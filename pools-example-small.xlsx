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<sst xmlns="http://schemas.openxmlformats.org/spreadsheetml/2006/main" count="76" uniqueCount="76">
  <si>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</si>
  <si>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</si>
  <si>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</si>
  <si>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</si>
  <si>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</si>
  <si>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</si>
  <si>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</si>
  <si>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</si>
  <si>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</si>
  <si>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</si>
  <si>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</si>
  <si>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</si>
  <si>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</si>
  <si>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</si>
  <si>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</si>
  <si>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</si>
  <si>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</si>
  <si>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</si>
  <si>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</si>
  <si>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</si>
  <si>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Steven Hernandez</t>
  </si>
  <si>
    <t>Team Delta</t>
  </si>
  <si>
    <t>Robert Young</t>
  </si>
  <si>
    <t>Team Gamma</t>
  </si>
  <si>
    <t>Pool B</t>
  </si>
  <si>
    <t>Luke Rodriguez</t>
  </si>
  <si>
    <t>Oliver Walker</t>
  </si>
  <si>
    <t>Team Epsilon</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</si>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</sst>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21</v>
      </c>
    </row>
    <row r="12">
      <c r="A12" t="s">
        <v>29</v>
      </c>
      <c r="B12" t="s">
        <v>32</v>
      </c>
      <c r="C12" t="s">
        <v>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C-2nd ",'Pool Matches'!O65)</f>
      </c>
      <c r="B4" s="14"/>
      <c r="C4" s="14"/>
      <c r="D4" s="18"/>
      <c r="E4" s="14"/>
      <c r="F4" s="14"/>
      <c r="G4" s="14" t="str">
        <f>CONCATENATE("Pool B-1st ",'Pool Matches'!G107)</f>
      </c>
      <c r="I4" s="14" t="str">
        <f>CONCATENATE("Pool B-2nd ",'Pool Matches'!G108)</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43</v>
      </c>
      <c r="C11" s="14" t="s">
        <v>46</v>
      </c>
      <c r="D11" s="14"/>
      <c r="E11" s="14" t="s">
        <v>46</v>
      </c>
      <c r="F11" s="14" t="s">
        <v>43</v>
      </c>
      <c r="G11" s="14" t="str">
        <f>CONCATENATE("Pool B-1st ",'Pool Matches'!G107)</f>
      </c>
      <c r="I11" s="14" t="str">
        <f>CONCATENATE("Pool B-2nd ",'Pool Matches'!G108)</f>
      </c>
      <c r="J11" s="14" t="s">
        <v>43</v>
      </c>
      <c r="K11" s="14" t="s">
        <v>46</v>
      </c>
      <c r="L11" s="14"/>
      <c r="M11" s="14" t="s">
        <v>46</v>
      </c>
      <c r="N11" s="14" t="s">
        <v>43</v>
      </c>
      <c r="O11" s="14" t="str">
        <f>CONCATENATE("Pool A-2nd ",'Pool Matches'!G67)</f>
      </c>
    </row>
    <row r="12">
      <c r="A12" s="14" t="s">
        <v>64</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64</v>
      </c>
      <c r="I12" s="14" t="s">
        <v>64</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C-1st ",'Pool Matches'!O64)</f>
      </c>
    </row>
    <row r="33">
      <c r="A33" s="14" t="s">
        <v>64</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64</v>
      </c>
      <c r="I33" s="14" t="s">
        <v>64</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"1. " &amp; data!$B$3</f>
      </c>
    </row>
    <row r="6">
      <c r="A6" s="26" t="str">
        <f>"2. " &amp; data!$B$4</f>
      </c>
      <c r="C6" s="23"/>
      <c r="D6" s="23"/>
      <c r="E6" s="23" t="str">
        <f>CONCATENATE("Pool A-1st ",'Pool Matches'!G66)</f>
      </c>
    </row>
    <row r="7">
      <c r="A7" s="26" t="str">
        <f>"3. " &amp; data!$B$5</f>
      </c>
      <c r="F7" s="22"/>
      <c r="G7" s="20"/>
    </row>
    <row r="8">
      <c r="A8" s="27" t="str">
        <f>"4. " &amp; data!$B$6</f>
      </c>
      <c r="G8" s="21">
        <v>3</v>
      </c>
    </row>
    <row r="9">
      <c r="A9" s="22"/>
      <c r="C9" s="23" t="str">
        <f>CONCATENATE("Pool B-1st ",'Pool Matches'!G107)</f>
      </c>
      <c r="G9" s="20"/>
    </row>
    <row r="10">
      <c r="A10" s="24" t="str">
        <f>'data'!$A$9</f>
      </c>
      <c r="D10" s="22"/>
      <c r="E10" s="21">
        <v>1</v>
      </c>
      <c r="F10" s="15"/>
      <c r="G10" s="20"/>
    </row>
    <row r="11">
      <c r="A11" s="25" t="str">
        <f>"1. " &amp; data!$B$7</f>
      </c>
      <c r="C11" s="23" t="str">
        <f>CONCATENATE("Pool C-2nd ",'Pool Matches'!O65)</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"1. " &amp; data!$B$10</f>
      </c>
    </row>
    <row r="6">
      <c r="A6" s="26" t="str">
        <f>"2. " &amp; data!$B$11</f>
      </c>
      <c r="C6" s="23"/>
      <c r="D6" s="23"/>
      <c r="E6" s="23" t="str">
        <f>CONCATENATE("Pool C-1st ",'Pool Matches'!O64)</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B-2nd ",'Pool Matches'!G108)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53</v>
      </c>
    </row>
    <row r="2" ht="409" customHeight="true">
      <c r="A2" s="30" t="s">
        <v>53</v>
      </c>
    </row>
    <row r="3" ht="409" customHeight="true">
      <c r="A3" s="30" t="s">
        <v>54</v>
      </c>
    </row>
    <row r="4" ht="409" customHeight="true">
      <c r="A4" s="30" t="s">
        <v>54</v>
      </c>
    </row>
    <row r="5" ht="409" customHeight="true">
      <c r="A5" s="30" t="s">
        <v>55</v>
      </c>
    </row>
    <row r="6" ht="409" customHeight="true">
      <c r="A6" s="30" t="s">
        <v>55</v>
      </c>
    </row>
    <row r="7" ht="409" customHeight="true">
      <c r="A7" s="30" t="s">
        <v>56</v>
      </c>
    </row>
    <row r="8" ht="409" customHeight="true">
      <c r="A8" s="30" t="s">
        <v>56</v>
      </c>
    </row>
    <row r="9" ht="409" customHeight="true">
      <c r="A9" s="30" t="s">
        <v>57</v>
      </c>
    </row>
    <row r="10" ht="409" customHeight="true">
      <c r="A10" s="30" t="s">
        <v>57</v>
      </c>
    </row>
    <row r="11" ht="409" customHeight="true">
      <c r="A11" s="30" t="s">
        <v>58</v>
      </c>
    </row>
    <row r="12" ht="409" customHeight="true">
      <c r="A12" s="30" t="s">
        <v>58</v>
      </c>
    </row>
    <row r="13" ht="409" customHeight="true">
      <c r="A13" s="30" t="s">
        <v>59</v>
      </c>
    </row>
    <row r="14" ht="409" customHeight="true">
      <c r="A14" s="30" t="s">
        <v>59</v>
      </c>
    </row>
    <row r="15" ht="409" customHeight="true">
      <c r="A15" s="30" t="s">
        <v>60</v>
      </c>
    </row>
    <row r="16" ht="409" customHeight="true">
      <c r="A16" s="30" t="s">
        <v>60</v>
      </c>
    </row>
    <row r="17" ht="409" customHeight="true">
      <c r="A17" s="30" t="s">
        <v>61</v>
      </c>
    </row>
    <row r="18" ht="409" customHeight="true">
      <c r="A18" s="30" t="s">
        <v>61</v>
      </c>
    </row>
    <row r="19" ht="409" customHeight="true">
      <c r="A19" s="30" t="s">
        <v>62</v>
      </c>
    </row>
    <row r="20" ht="409"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