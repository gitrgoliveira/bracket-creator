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ime Estimator" sheetId="2" r:id="rId4"/>
    <sheet name="Pool Draw" sheetId="3" r:id="rId5"/>
    <sheet name="Pool Matches" sheetId="4" r:id="rId6"/>
    <sheet name="Elimination Matches" sheetId="5" r:id="rId7"/>
    <sheet name="Tree" sheetId="7" r:id="rId9"/>
    <sheet name="Names to Print A" sheetId="8" r:id="rId11"/>
  </sheets>
  <definedNames>
    <definedName localSheetId="2" name="_xlnm.Print_Area">'Pool Draw'!$B$2:$F$14</definedName>
    <definedName localSheetId="3" name="_xlnm.Print_Area">'Pool Matches'!$A$1:$H$36</definedName>
    <definedName localSheetId="6" name="_xlnm.Print_Area">'Names to Print A'!$A$1:$B$6</definedName>
  </definedNames>
  <calcPr calcId="122211"/>
</workbook>
</file>

<file path=xl/sharedStrings.xml><?xml version="1.0" encoding="utf-8"?>
<sst xmlns="http://schemas.openxmlformats.org/spreadsheetml/2006/main" count="63" uniqueCount="63">
  <si>
    <t>Number of pools</t>
  </si>
  <si>
    <t>Team size</t>
  </si>
  <si>
    <t>Matches per pool</t>
  </si>
  <si>
    <t>Time per match</t>
  </si>
  <si>
    <t>Total time for matches</t>
  </si>
  <si>
    <t>Padding time for rotation</t>
  </si>
  <si>
    <t>Time for breaks</t>
  </si>
  <si>
    <t>Total Time</t>
  </si>
  <si>
    <t>Number of Elimination Matches</t>
  </si>
  <si>
    <t>Title prefix:</t>
  </si>
  <si>
    <t>Engi League</t>
  </si>
  <si>
    <t>Pool</t>
  </si>
  <si>
    <t>Player Name</t>
  </si>
  <si>
    <t>Player Dojo</t>
  </si>
  <si>
    <t>Display Name</t>
  </si>
  <si>
    <t>Metadata</t>
  </si>
  <si>
    <t>Pool A</t>
  </si>
  <si>
    <t>Hikaru Mori</t>
  </si>
  <si>
    <t>Kaede Dojo</t>
  </si>
  <si>
    <t>Aya Shimizu</t>
  </si>
  <si>
    <t>Tsubasa Hayashi</t>
  </si>
  <si>
    <t>Momiji Dojo</t>
  </si>
  <si>
    <t>Riko Ogawa</t>
  </si>
  <si>
    <t>Itsuki Ishikawa</t>
  </si>
  <si>
    <t>Fuji Dojo</t>
  </si>
  <si>
    <t>Saki Maeda</t>
  </si>
  <si>
    <t>Ryo Fujita</t>
  </si>
  <si>
    <t>Kawa Dojo</t>
  </si>
  <si>
    <t>Nana Okada</t>
  </si>
  <si>
    <t>Sho Matsumoto</t>
  </si>
  <si>
    <t>Yama Dojo</t>
  </si>
  <si>
    <t>Mio Ueda</t>
  </si>
  <si>
    <t>Daiki Hasegawa</t>
  </si>
  <si>
    <t>Umi Dojo</t>
  </si>
  <si>
    <t>Koharu Ono</t>
  </si>
  <si>
    <t>Shiaijo A</t>
  </si>
  <si>
    <t>White</t>
  </si>
  <si>
    <t>vs</t>
  </si>
  <si>
    <t>Red</t>
  </si>
  <si>
    <t>Results</t>
  </si>
  <si>
    <t>W</t>
  </si>
  <si>
    <t>L</t>
  </si>
  <si>
    <t>Flags</t>
  </si>
  <si>
    <t>Rank</t>
  </si>
  <si>
    <t>Ranking</t>
  </si>
  <si>
    <t>1.</t>
  </si>
  <si>
    <t>2.</t>
  </si>
  <si>
    <t>3.</t>
  </si>
  <si>
    <t>4.</t>
  </si>
  <si>
    <t>5.</t>
  </si>
  <si>
    <t>6.</t>
  </si>
  <si>
    <t>4</t>
  </si>
  <si>
    <t>1</t>
  </si>
  <si>
    <t>2</t>
  </si>
  <si>
    <t>3</t>
  </si>
  <si>
    <t>0</t>
  </si>
  <si>
    <t>5</t>
  </si>
  <si>
    <t>A1</t>
  </si>
  <si>
    <t>A2</t>
  </si>
  <si>
    <t>A3</t>
  </si>
  <si>
    <t>A4</t>
  </si>
  <si>
    <t>A5</t>
  </si>
  <si>
    <t>A6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</si>
</sst>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12">
    <font>
      <name val="Calibri"/>
      <family val="2"/>
      <color theme="1"/>
      <sz val="11"/>
    </font>
    <font>
      <name val="Calibri"/>
      <family val="2"/>
      <b val="1"/>
      <color rgb="FF000000"/>
      <sz val="12"/>
    </font>
    <font>
      <name val="Calibri"/>
      <family val="2"/>
      <color rgb="FF000000"/>
      <sz val="12"/>
    </font>
    <font>
      <name val="Calibri"/>
      <family val="2"/>
      <b val="1"/>
      <color/>
      <sz val="16"/>
      <u val="single"/>
    </font>
    <font>
      <name val="Calibri"/>
      <family val="2"/>
      <b val="1"/>
      <color/>
      <sz val="12"/>
      <u val="single"/>
    </font>
    <font>
      <name val="Calibri"/>
      <family val="2"/>
      <color/>
      <sz val="12"/>
    </font>
    <font>
      <name val="Calibri"/>
      <family val="2"/>
      <b val="1"/>
      <color rgb="FF000000"/>
      <sz val="28"/>
    </font>
    <font>
      <name val="Calibri"/>
      <family val="2"/>
      <b val="1"/>
      <color rgb="FF000000"/>
      <sz val="72"/>
    </font>
    <font>
      <name val="Calibri"/>
      <family val="2"/>
      <b val="1"/>
      <i val="1"/>
      <color/>
      <sz val="12"/>
    </font>
    <font>
      <name val="Calibri"/>
      <family val="2"/>
      <b val="1"/>
      <color rgb="FFFFFFFF"/>
      <sz val="12"/>
    </font>
    <font>
      <name val="Calibri"/>
      <family val="2"/>
      <b val="1"/>
      <color rgb="FF000000"/>
      <sz val="100"/>
    </font>
    <font>
      <name val="Calibri"/>
      <family val="2"/>
      <color rgb="FF000000"/>
      <sz val="110"/>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4">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s>
  <cellStyleXfs count="1">
    <xf numFmtId="0" fontId="0" fillId="0" borderId="0"/>
  </cellStyleXfs>
  <cellXfs count="22">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10" fillId="0" borderId="1" xfId="0" applyFont="true" applyBorder="true" applyAlignment="true">
      <alignment horizontal="center" vertical="center"/>
    </xf>
    <xf numFmtId="0" fontId="11" fillId="0" borderId="1"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9" Target="worksheets/sheet7.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tabSelected="true"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16</v>
      </c>
      <c r="B7" t="s">
        <v>29</v>
      </c>
      <c r="C7" t="s">
        <v>30</v>
      </c>
      <c r="D7" t="s">
        <v>31</v>
      </c>
    </row>
    <row r="8">
      <c r="A8" t="s">
        <v>16</v>
      </c>
      <c r="B8" t="s">
        <v>32</v>
      </c>
      <c r="C8" t="s">
        <v>33</v>
      </c>
      <c r="D8" t="s">
        <v>34</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2</v>
      </c>
      <c r="B2" s="2">
        <v>3</v>
      </c>
      <c r="C2" s="2">
        <v>3</v>
      </c>
      <c r="D2" s="3">
        <v>0.0020833333333333333</v>
      </c>
      <c r="E2" s="3" t="str">
        <f>(A2*B2*C2*D2)</f>
      </c>
      <c r="F2" s="3">
        <v>0.00034722222222222224</v>
      </c>
      <c r="G2" s="3">
        <v>0.020833333333333332</v>
      </c>
      <c r="H2" s="3"/>
    </row>
    <row r="3" ht="16" customHeight="true">
      <c r="A3" s="2">
        <v>0</v>
      </c>
      <c r="B3" s="2">
        <v>0</v>
      </c>
      <c r="C3" s="2">
        <v>0</v>
      </c>
      <c r="D3" s="3">
        <v>0.0020833333333333333</v>
      </c>
      <c r="E3" s="3" t="str">
        <f>(A3*B3*C3*D3)</f>
      </c>
      <c r="F3" s="3">
        <v>0.00034722222222222224</v>
      </c>
      <c r="G3" s="3">
        <v>0.020833333333333332</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5</v>
      </c>
      <c r="B8" s="2">
        <v>3</v>
      </c>
      <c r="C8" s="2"/>
      <c r="D8" s="3">
        <v>0.002777777777777778</v>
      </c>
      <c r="E8" s="3" t="str">
        <f>(A8*B8*D8)</f>
      </c>
      <c r="F8" s="3">
        <v>0.00034722222222222224</v>
      </c>
      <c r="G8" s="3">
        <v>0.020833333333333332</v>
      </c>
      <c r="H8" s="3"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sheetData>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'data'!$A$8</f>
      </c>
    </row>
    <row r="6" ht="17" customHeight="true">
      <c r="B6" s="12" t="str">
        <f>"1. " &amp; data!$B$3</f>
      </c>
    </row>
    <row r="7" ht="17" customHeight="true">
      <c r="B7" s="12" t="str">
        <f>"2. " &amp; data!$B$4</f>
      </c>
    </row>
    <row r="8">
      <c r="B8" s="12" t="str">
        <f>"3. " &amp; data!$B$5</f>
      </c>
    </row>
    <row r="9">
      <c r="B9" s="12" t="str">
        <f>"4. " &amp; data!$B$6</f>
      </c>
    </row>
    <row r="10">
      <c r="B10" s="12" t="str">
        <f>"5. " &amp; data!$B$7</f>
      </c>
    </row>
    <row r="11">
      <c r="B11" s="12" t="str">
        <f>"6. " &amp; data!$B$8</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35</v>
      </c>
      <c r="B1" s="13"/>
      <c r="C1" s="13"/>
      <c r="D1" s="13"/>
      <c r="E1" s="13"/>
      <c r="F1" s="13"/>
      <c r="G1" s="13"/>
    </row>
    <row r="2">
      <c r="A2" s="13" t="str">
        <f>'data'!$A$8</f>
      </c>
      <c r="B2" s="13"/>
      <c r="C2" s="13"/>
      <c r="D2" s="13"/>
      <c r="E2" s="13"/>
      <c r="F2" s="13"/>
      <c r="G2" s="13"/>
    </row>
    <row r="3">
      <c r="A3" s="17" t="s">
        <v>36</v>
      </c>
      <c r="D3" s="14" t="s">
        <v>37</v>
      </c>
      <c r="G3" s="16" t="s">
        <v>38</v>
      </c>
    </row>
    <row r="4">
      <c r="A4" s="14" t="str">
        <f>'data'!$B$4</f>
      </c>
      <c r="B4" s="18" t="s">
        <v>51</v>
      </c>
      <c r="C4" s="18"/>
      <c r="D4" s="18"/>
      <c r="E4" s="18"/>
      <c r="F4" s="18" t="s">
        <v>52</v>
      </c>
      <c r="G4" s="14" t="str">
        <f>'data'!$B$3</f>
      </c>
    </row>
    <row r="5">
      <c r="A5" s="14" t="str">
        <f>'data'!$B$4</f>
      </c>
      <c r="B5" s="18" t="s">
        <v>53</v>
      </c>
      <c r="C5" s="18"/>
      <c r="D5" s="18"/>
      <c r="E5" s="18"/>
      <c r="F5" s="18" t="s">
        <v>52</v>
      </c>
      <c r="G5" s="14" t="str">
        <f>'data'!$B$5</f>
      </c>
    </row>
    <row r="6">
      <c r="A6" s="14" t="str">
        <f>'data'!$B$6</f>
      </c>
      <c r="B6" s="18" t="s">
        <v>53</v>
      </c>
      <c r="C6" s="18"/>
      <c r="D6" s="18"/>
      <c r="E6" s="18"/>
      <c r="F6" s="18" t="s">
        <v>54</v>
      </c>
      <c r="G6" s="14" t="str">
        <f>'data'!$B$5</f>
      </c>
    </row>
    <row r="7">
      <c r="A7" s="14" t="str">
        <f>'data'!$B$6</f>
      </c>
      <c r="B7" s="18" t="s">
        <v>54</v>
      </c>
      <c r="C7" s="18"/>
      <c r="D7" s="18"/>
      <c r="E7" s="18"/>
      <c r="F7" s="18" t="s">
        <v>55</v>
      </c>
      <c r="G7" s="14" t="str">
        <f>'data'!$B$7</f>
      </c>
    </row>
    <row r="8">
      <c r="A8" s="14" t="str">
        <f>'data'!$B$8</f>
      </c>
      <c r="B8" s="18" t="s">
        <v>54</v>
      </c>
      <c r="C8" s="18"/>
      <c r="D8" s="18"/>
      <c r="E8" s="18"/>
      <c r="F8" s="18" t="s">
        <v>53</v>
      </c>
      <c r="G8" s="14" t="str">
        <f>'data'!$B$7</f>
      </c>
    </row>
    <row r="9">
      <c r="A9" s="14" t="str">
        <f>'data'!$B$5</f>
      </c>
      <c r="B9" s="18" t="s">
        <v>53</v>
      </c>
      <c r="C9" s="18"/>
      <c r="D9" s="18"/>
      <c r="E9" s="18"/>
      <c r="F9" s="18" t="s">
        <v>52</v>
      </c>
      <c r="G9" s="14" t="str">
        <f>'data'!$B$3</f>
      </c>
    </row>
    <row r="10">
      <c r="A10" s="14" t="str">
        <f>'data'!$B$6</f>
      </c>
      <c r="B10" s="18" t="s">
        <v>55</v>
      </c>
      <c r="C10" s="18"/>
      <c r="D10" s="18"/>
      <c r="E10" s="18"/>
      <c r="F10" s="18" t="s">
        <v>56</v>
      </c>
      <c r="G10" s="14" t="str">
        <f>'data'!$B$4</f>
      </c>
    </row>
    <row r="11">
      <c r="A11" s="14" t="str">
        <f>'data'!$B$7</f>
      </c>
      <c r="B11" s="18" t="s">
        <v>53</v>
      </c>
      <c r="C11" s="18"/>
      <c r="D11" s="18"/>
      <c r="E11" s="18"/>
      <c r="F11" s="18" t="s">
        <v>54</v>
      </c>
      <c r="G11" s="14" t="str">
        <f>'data'!$B$5</f>
      </c>
    </row>
    <row r="12">
      <c r="A12" s="14" t="str">
        <f>'data'!$B$8</f>
      </c>
      <c r="B12" s="18" t="s">
        <v>53</v>
      </c>
      <c r="C12" s="18"/>
      <c r="D12" s="18"/>
      <c r="E12" s="18"/>
      <c r="F12" s="18" t="s">
        <v>54</v>
      </c>
      <c r="G12" s="14" t="str">
        <f>'data'!$B$6</f>
      </c>
    </row>
    <row r="13">
      <c r="A13" s="14" t="str">
        <f>'data'!$B$3</f>
      </c>
      <c r="B13" s="18" t="s">
        <v>52</v>
      </c>
      <c r="C13" s="18"/>
      <c r="D13" s="18"/>
      <c r="E13" s="18"/>
      <c r="F13" s="18" t="s">
        <v>55</v>
      </c>
      <c r="G13" s="14" t="str">
        <f>'data'!$B$6</f>
      </c>
    </row>
    <row r="14">
      <c r="A14" s="14" t="str">
        <f>'data'!$B$7</f>
      </c>
      <c r="B14" s="18" t="s">
        <v>54</v>
      </c>
      <c r="C14" s="18"/>
      <c r="D14" s="18"/>
      <c r="E14" s="18"/>
      <c r="F14" s="18" t="s">
        <v>53</v>
      </c>
      <c r="G14" s="14" t="str">
        <f>'data'!$B$4</f>
      </c>
    </row>
    <row r="15">
      <c r="A15" s="14" t="str">
        <f>'data'!$B$8</f>
      </c>
      <c r="B15" s="18" t="s">
        <v>52</v>
      </c>
      <c r="C15" s="18"/>
      <c r="D15" s="18"/>
      <c r="E15" s="18"/>
      <c r="F15" s="18" t="s">
        <v>53</v>
      </c>
      <c r="G15" s="14" t="str">
        <f>'data'!$B$5</f>
      </c>
    </row>
    <row r="16">
      <c r="A16" s="14" t="str">
        <f>'data'!$B$7</f>
      </c>
      <c r="B16" s="18" t="s">
        <v>54</v>
      </c>
      <c r="C16" s="18"/>
      <c r="D16" s="18"/>
      <c r="E16" s="18"/>
      <c r="F16" s="18" t="s">
        <v>55</v>
      </c>
      <c r="G16" s="14" t="str">
        <f>'data'!$B$3</f>
      </c>
    </row>
    <row r="17">
      <c r="A17" s="14" t="str">
        <f>'data'!$B$8</f>
      </c>
      <c r="B17" s="18" t="s">
        <v>54</v>
      </c>
      <c r="C17" s="18"/>
      <c r="D17" s="18"/>
      <c r="E17" s="18"/>
      <c r="F17" s="18" t="s">
        <v>53</v>
      </c>
      <c r="G17" s="14" t="str">
        <f>'data'!$B$4</f>
      </c>
    </row>
    <row r="18">
      <c r="A18" s="14" t="str">
        <f>'data'!$B$8</f>
      </c>
      <c r="B18" s="18" t="s">
        <v>56</v>
      </c>
      <c r="C18" s="18"/>
      <c r="D18" s="18"/>
      <c r="E18" s="18"/>
      <c r="F18" s="18" t="s">
        <v>55</v>
      </c>
      <c r="G18" s="14" t="str">
        <f>'data'!$B$3</f>
      </c>
    </row>
    <row r="20">
      <c r="A20" s="13" t="s">
        <v>39</v>
      </c>
      <c r="B20" s="13" t="s">
        <v>40</v>
      </c>
      <c r="C20" s="13" t="s">
        <v>41</v>
      </c>
      <c r="D20" s="13" t="s">
        <v>42</v>
      </c>
      <c r="E20" s="13"/>
      <c r="F20" s="13"/>
      <c r="G20" s="13" t="s">
        <v>43</v>
      </c>
    </row>
    <row r="21">
      <c r="A21" s="14" t="str">
        <f>'data'!$B$3</f>
      </c>
      <c r="B21" s="14">
        <v>1</v>
      </c>
      <c r="C21" s="14">
        <v>4</v>
      </c>
      <c r="D21" s="14">
        <v>3</v>
      </c>
      <c r="E21" s="14"/>
      <c r="F21" s="14"/>
      <c r="G21" s="18">
        <v>6</v>
      </c>
      <c r="U21" t="str">
        <f>(B21*1000000)+(D21)</f>
      </c>
    </row>
    <row r="22">
      <c r="A22" s="14" t="str">
        <f>'data'!$B$4</f>
      </c>
      <c r="B22" s="14">
        <v>3</v>
      </c>
      <c r="C22" s="14">
        <v>2</v>
      </c>
      <c r="D22" s="14">
        <v>15</v>
      </c>
      <c r="E22" s="14"/>
      <c r="F22" s="14"/>
      <c r="G22" s="18">
        <v>2</v>
      </c>
      <c r="U22" t="str">
        <f>(B22*1000000)+(D22)</f>
      </c>
    </row>
    <row r="23">
      <c r="A23" s="14" t="str">
        <f>'data'!$B$5</f>
      </c>
      <c r="B23" s="14">
        <v>4</v>
      </c>
      <c r="C23" s="14">
        <v>1</v>
      </c>
      <c r="D23" s="14">
        <v>11</v>
      </c>
      <c r="E23" s="14"/>
      <c r="F23" s="14"/>
      <c r="G23" s="18">
        <v>1</v>
      </c>
      <c r="U23" t="str">
        <f>(B23*1000000)+(D23)</f>
      </c>
    </row>
    <row r="24">
      <c r="A24" s="14" t="str">
        <f>'data'!$B$6</f>
      </c>
      <c r="B24" s="14">
        <v>2</v>
      </c>
      <c r="C24" s="14">
        <v>3</v>
      </c>
      <c r="D24" s="14">
        <v>8</v>
      </c>
      <c r="E24" s="14"/>
      <c r="F24" s="14"/>
      <c r="G24" s="18">
        <v>5</v>
      </c>
      <c r="U24" t="str">
        <f>(B24*1000000)+(D24)</f>
      </c>
    </row>
    <row r="25">
      <c r="A25" s="14" t="str">
        <f>'data'!$B$7</f>
      </c>
      <c r="B25" s="14">
        <v>2</v>
      </c>
      <c r="C25" s="14">
        <v>3</v>
      </c>
      <c r="D25" s="14">
        <v>10</v>
      </c>
      <c r="E25" s="14"/>
      <c r="F25" s="14"/>
      <c r="G25" s="18">
        <v>4</v>
      </c>
      <c r="U25" t="str">
        <f>(B25*1000000)+(D25)</f>
      </c>
    </row>
    <row r="26">
      <c r="A26" s="14" t="str">
        <f>'data'!$B$8</f>
      </c>
      <c r="B26" s="14">
        <v>3</v>
      </c>
      <c r="C26" s="14">
        <v>2</v>
      </c>
      <c r="D26" s="14">
        <v>14</v>
      </c>
      <c r="E26" s="14"/>
      <c r="F26" s="14"/>
      <c r="G26" s="18">
        <v>3</v>
      </c>
      <c r="U26" t="str">
        <f>(B26*1000000)+(D26)</f>
      </c>
    </row>
    <row r="29">
      <c r="F29" s="13"/>
      <c r="G29" s="13" t="s">
        <v>44</v>
      </c>
    </row>
    <row r="30">
      <c r="F30" t="s">
        <v>45</v>
      </c>
      <c r="G30" s="19" t="s">
        <v>23</v>
      </c>
    </row>
    <row r="31">
      <c r="F31" t="s">
        <v>46</v>
      </c>
      <c r="G31" s="19" t="s">
        <v>20</v>
      </c>
    </row>
    <row r="32">
      <c r="F32" t="s">
        <v>47</v>
      </c>
      <c r="G32" s="19" t="s">
        <v>32</v>
      </c>
    </row>
    <row r="33">
      <c r="F33" t="s">
        <v>48</v>
      </c>
      <c r="G33" s="19" t="s">
        <v>29</v>
      </c>
    </row>
    <row r="34">
      <c r="F34" t="s">
        <v>49</v>
      </c>
      <c r="G34" s="19" t="s">
        <v>26</v>
      </c>
    </row>
    <row r="35">
      <c r="F35" t="s">
        <v>50</v>
      </c>
      <c r="G35" s="19" t="s">
        <v>17</v>
      </c>
    </row>
  </sheetData>
  <mergeCells count="2">
    <mergeCell ref="A1:G1"/>
    <mergeCell ref="A2:G2"/>
  </mergeCells>
  <printOptions horizontalCentered="true" verticalCentered="true"/>
  <pageSetup fitToHeight="0" fitToWidth="1" orientation="portrait" pageOrder="downThenOver" paperSize="9"/>
</worksheet>
</file>

<file path=xl/worksheets/sheet5.xml><?xml version="1.0" encoding="utf-8"?>
<worksheet xmlns="http://schemas.openxmlformats.org/spreadsheetml/2006/main">
  <dimension ref="A1"/>
  <sheetViews>
    <sheetView workbookViewId="0"/>
  </sheetViews>
  <cols>
    <col customWidth="true" max="1" min="1" width="34.83"/>
    <col customWidth="true" max="6" min="2" width="3.83"/>
    <col customWidth="true" max="7" min="7" width="34.83"/>
    <col customWidth="true" max="8" min="8" width="3.83"/>
    <col customWidth="true" max="9" min="9" width="34.83"/>
    <col customWidth="true" max="14" min="10" width="3.83"/>
    <col customWidth="true" max="15" min="15" width="34.83"/>
    <col customWidth="true" max="20" min="16" width="10.83"/>
  </cols>
  <sheetData/>
</worksheet>
</file>

<file path=xl/worksheets/sheet7.xml><?xml version="1.0" encoding="utf-8"?>
<worksheet xmlns="http://schemas.openxmlformats.org/spreadsheetml/2006/main">
  <dimension ref="A1"/>
  <sheetViews>
    <sheetView workbookViewId="0"/>
  </sheetViews>
  <cols>
    <col customWidth="true" max="1" min="1" width="25"/>
    <col customWidth="true" max="2" min="2" width="10"/>
    <col customWidth="true" max="26" min="3" width="3.5"/>
  </cols>
  <sheetData/>
  <pageSetup orientation="portrait" paperSize="9"/>
</worksheet>
</file>

<file path=xl/worksheets/sheet8.xml><?xml version="1.0" encoding="utf-8"?>
<worksheet xmlns="http://schemas.openxmlformats.org/spreadsheetml/2006/main">
  <dimension ref="A1"/>
  <sheetViews>
    <sheetView workbookViewId="0"/>
  </sheetViews>
  <cols>
    <col customWidth="true" max="1" min="1" width="30"/>
    <col customWidth="true" max="2" min="2" width="160"/>
  </cols>
  <sheetData>
    <row r="1" ht="270" customHeight="true">
      <c r="A1" s="20" t="s">
        <v>57</v>
      </c>
      <c r="B1" s="21" t="str">
        <f>'data'!D3</f>
      </c>
    </row>
    <row r="2" ht="270" customHeight="true">
      <c r="A2" s="20" t="s">
        <v>58</v>
      </c>
      <c r="B2" s="21" t="str">
        <f>'data'!D4</f>
      </c>
    </row>
    <row r="3" ht="270" customHeight="true">
      <c r="A3" s="20" t="s">
        <v>59</v>
      </c>
      <c r="B3" s="21" t="str">
        <f>'data'!D5</f>
      </c>
    </row>
    <row r="4" ht="270" customHeight="true">
      <c r="A4" s="20" t="s">
        <v>60</v>
      </c>
      <c r="B4" s="21" t="str">
        <f>'data'!D6</f>
      </c>
    </row>
    <row r="5" ht="270" customHeight="true">
      <c r="A5" s="20" t="s">
        <v>61</v>
      </c>
      <c r="B5" s="21" t="str">
        <f>'data'!D7</f>
      </c>
    </row>
    <row r="6" ht="270" customHeight="true">
      <c r="A6" s="20" t="s">
        <v>62</v>
      </c>
      <c r="B6" s="21" t="str">
        <f>'data'!D8</f>
      </c>
    </row>
  </sheetData>
  <pageMargins left="0.1" right="0.1" top="0.1" bottom="0.1" header="0.1" footer="0.1"/>
  <pageSetup orientation="landscape" paperSize="8"/>
  <rowBreaks count="2" manualBreakCount="2">
    <brk id="3" max="16383" man="true"/>
    <brk id="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