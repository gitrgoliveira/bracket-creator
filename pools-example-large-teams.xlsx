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<sst xmlns="http://schemas.openxmlformats.org/spreadsheetml/2006/main" count="415" uniqueCount="415">
  <si>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</si>
  <si>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</si>
  <si>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</si>
  <si>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</si>
  <si>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</si>
  <si>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</si>
  <si>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</si>
  <si>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</si>
  <si>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</si>
  <si>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</si>
  <si>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</si>
  <si>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</si>
  <si>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</si>
  <si>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</si>
  <si>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</si>
  <si>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</si>
  <si>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</si>
  <si>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</si>
  <si>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</si>
  <si>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</si>
  <si>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</si>
  <si>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</si>
  <si>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</si>
  <si>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</si>
  <si>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</si>
  <si>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</si>
  <si>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</si>
  <si>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</si>
  <si>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</si>
  <si>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</si>
  <si>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</si>
  <si>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</si>
  <si>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</si>
  <si>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</si>
  <si>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</si>
  <si>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</si>
  <si>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</si>
  <si>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</si>
  <si>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</si>
  <si>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</si>
  <si>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</si>
  <si>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</si>
  <si>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</si>
  <si>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</si>
  <si>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</si>
  <si>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</si>
  <si>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</si>
  <si>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</si>
  <si>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</si>
  <si>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</si>
  <si>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</si>
  <si>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</si>
  <si>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</si>
  <si>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</si>
  <si>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K9</t>
  </si>
  <si>
    <t>Quirinus Quirrell</t>
  </si>
  <si>
    <t>Team Rho</t>
  </si>
  <si>
    <t>QUIRRELL</t>
  </si>
  <si>
    <t>K10</t>
  </si>
  <si>
    <t>Pool D</t>
  </si>
  <si>
    <t>Gabriel Thomas</t>
  </si>
  <si>
    <t>Team Eta</t>
  </si>
  <si>
    <t>THOMAS</t>
  </si>
  <si>
    <t>K11</t>
  </si>
  <si>
    <t>Nathaniel Hawthorne</t>
  </si>
  <si>
    <t>Team Xi</t>
  </si>
  <si>
    <t>HAWTHORNE</t>
  </si>
  <si>
    <t>K12</t>
  </si>
  <si>
    <t>Ygritte</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</si>
  <si>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</si>
  <si>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</si>
  <si>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</si>
  <si>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</si>
  <si>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</si>
  <si>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</si>
  <si>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</si>
  <si>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</si>
  <si>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</si>
  <si>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</si>
  <si>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</si>
  <si>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</si>
  <si>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</si>
  <si>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</si>
  <si>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</si>
  <si>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</si>
  <si>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</si>
  <si>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</si>
  <si>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</si>
  <si>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</si>
  <si>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</si>
  <si>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</si>
  <si>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</si>
  <si>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</si>
  <si>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</si>
  <si>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</si>
  <si>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</si>
  <si>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</si>
  <si>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</si>
  <si>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</si>
  <si>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</si>
  <si>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</si>
  <si>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</si>
  <si>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</si>
  <si>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</si>
  <si>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</si>
  <si>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</si>
  <si>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</si>
  <si>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</si>
  <si>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</si>
  <si>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</si>
  <si>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</si>
  <si>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</si>
  <si>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</si>
  <si>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</si>
  <si>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</si>
  <si>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</si>
  <si>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</si>
  <si>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</si>
  <si>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</si>
  <si>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</si>
  <si>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</si>
  <si>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</si>
  <si>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</si>
  <si>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</si>
  <si>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</si>
  <si>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</si>
  <si>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</si>
  <si>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</si>
  <si>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</si>
  <si>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</si>
  <si>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</si>
  <si>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</si>
  <si>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</si>
  <si>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</si>
  <si>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</si>
  <si>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</si>
  <si>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</si>
  <si>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</si>
  <si>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</si>
  <si>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</si>
  <si>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</si>
  <si>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</si>
  <si>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</si>
  <si>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</si>
  <si>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</si>
  <si>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</si>
  <si>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</si>
  <si>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</si>
  <si>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</si>
  <si>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</si>
  <si>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Philip K Dick</t>
  </si>
  <si>
    <t>Team Pi</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</si>
  <si>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</si>
  <si>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</si>
  <si>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</si>
  <si>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</si>
  <si>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</si>
  <si>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</si>
  <si>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</si>
  <si>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</si>
  <si>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</si>
  <si>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</si>
  <si>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</si>
  <si>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</si>
  <si>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</si>
  <si>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</si>
  <si>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</si>
  <si>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</si>
  <si>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</si>
  <si>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</si>
  <si>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</si>
  <si>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</si>
  <si>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</si>
  <si>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</si>
  <si>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</si>
  <si>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Tyrion Lannister</t>
  </si>
  <si>
    <t>Team Upsilon</t>
  </si>
  <si>
    <t>LANNISTER</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</si>
  <si>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</si>
  <si>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</si>
  <si>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</si>
  <si>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</si>
  <si>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</si>
  <si>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</si>
  <si>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</si>
  <si>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</si>
  <si>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</si>
  <si>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</si>
  <si>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</si>
  <si>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</si>
  <si>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</si>
  <si>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</si>
  <si>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</si>
  <si>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</si>
  <si>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</si>
  <si>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</si>
  <si>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</si>
  <si>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</si>
  <si>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</si>
  <si>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</si>
  <si>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</si>
  <si>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</si>
  <si>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</si>
  <si>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Thomas Hardy</t>
  </si>
  <si>
    <t>HARDY</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</si>
  <si>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</si>
  <si>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</si>
  <si>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</si>
  <si>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</si>
  <si>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</si>
  <si>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</si>
  <si>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</si>
  <si>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</si>
  <si>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</si>
  <si>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</si>
  <si>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</si>
  <si>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</si>
  <si>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</si>
  <si>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</si>
  <si>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</si>
  <si>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</si>
  <si>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</si>
  <si>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</si>
  <si>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</si>
  <si>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</si>
  <si>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</si>
  <si>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</si>
  <si>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</si>
  <si>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</si>
  <si>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</si>
  <si>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</si>
  <si>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</si>
  <si>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</si>
  <si>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</si>
  <si>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</si>
  <si>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</si>
  <si>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</si>
  <si>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</si>
  <si>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</si>
  <si>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</si>
  <si>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</si>
  <si>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</si>
  <si>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</si>
  <si>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</si>
  <si>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</si>
  <si>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</si>
  <si>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</si>
  <si>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</si>
  <si>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</si>
  <si>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</si>
  <si>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</si>
  <si>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</si>
  <si>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</si>
  <si>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</si>
  <si>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</si>
  <si>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</si>
  <si>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</si>
  <si>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</si>
  <si>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</si>
  <si>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</si>
  <si>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</si>
  <si>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</si>
  <si>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</si>
  <si>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</si>
  <si>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</si>
  <si>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</si>
  <si>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</si>
  <si>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</si>
  <si>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</si>
  <si>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</si>
  <si>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</si>
  <si>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</si>
  <si>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</si>
  <si>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</si>
  <si>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</si>
  <si>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</si>
  <si>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</si>
  <si>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</si>
  <si>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</si>
  <si>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</si>
  <si>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</si>
  <si>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</si>
  <si>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</si>
  <si>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</si>
  <si>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</si>
  <si>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</si>
  <si>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</si>
  <si>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</si>
  <si>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</si>
  <si>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</si>
  <si>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</si>
  <si>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</si>
  <si>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</si>
  <si>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</si>
  <si>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</si>
  <si>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</si>
  <si>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</si>
  <si>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</si>
  <si>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</si>
  <si>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</si>
  <si>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</si>
  <si>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BB</t>
  </si>
  <si>
    <t>Ulysses Hernandez</t>
  </si>
  <si>
    <t>K83</t>
  </si>
  <si>
    <t>Fyodor Dostoevsky</t>
  </si>
  <si>
    <t>DOSTOEVSKY</t>
  </si>
  <si>
    <t>K84</t>
  </si>
  <si>
    <t>Lewis Carroll</t>
  </si>
  <si>
    <t>CARROLL</t>
  </si>
  <si>
    <t>K85</t>
  </si>
  <si>
    <t>Pool CC</t>
  </si>
  <si>
    <t>Daniel Defoe</t>
  </si>
  <si>
    <t>DEFOE</t>
  </si>
  <si>
    <t>K86</t>
  </si>
  <si>
    <t>Gandalf The Grey</t>
  </si>
  <si>
    <t>GANDALF</t>
  </si>
  <si>
    <t>K87</t>
  </si>
  <si>
    <t>Bilbo Baggins</t>
  </si>
  <si>
    <t>K88</t>
  </si>
  <si>
    <t>Pool DD</t>
  </si>
  <si>
    <t>Eddard Stark</t>
  </si>
  <si>
    <t>STARK</t>
  </si>
  <si>
    <t>K89</t>
  </si>
  <si>
    <t>Zachary Adams</t>
  </si>
  <si>
    <t>ADAMS</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</si>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</sst>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20</v>
      </c>
      <c r="E11" t="s">
        <v>54</v>
      </c>
    </row>
    <row r="12">
      <c r="A12" t="s">
        <v>47</v>
      </c>
      <c r="B12" t="s">
        <v>55</v>
      </c>
      <c r="C12" t="s">
        <v>56</v>
      </c>
      <c r="D12" t="s">
        <v>57</v>
      </c>
      <c r="E12" t="s">
        <v>58</v>
      </c>
    </row>
    <row r="13">
      <c r="A13" t="s">
        <v>59</v>
      </c>
      <c r="B13" t="s">
        <v>60</v>
      </c>
      <c r="C13" t="s">
        <v>61</v>
      </c>
      <c r="D13" t="s">
        <v>62</v>
      </c>
      <c r="E13" t="s">
        <v>63</v>
      </c>
    </row>
    <row r="14">
      <c r="A14" t="s">
        <v>59</v>
      </c>
      <c r="B14" t="s">
        <v>64</v>
      </c>
      <c r="C14" t="s">
        <v>65</v>
      </c>
      <c r="D14" t="s">
        <v>66</v>
      </c>
      <c r="E14" t="s">
        <v>67</v>
      </c>
    </row>
    <row r="15">
      <c r="A15" t="s">
        <v>59</v>
      </c>
      <c r="B15" t="s">
        <v>68</v>
      </c>
      <c r="C15" t="s">
        <v>19</v>
      </c>
      <c r="D15" t="s">
        <v>69</v>
      </c>
      <c r="E15" t="s">
        <v>70</v>
      </c>
    </row>
    <row r="16">
      <c r="A16" t="s">
        <v>71</v>
      </c>
      <c r="B16" t="s">
        <v>72</v>
      </c>
      <c r="C16" t="s">
        <v>36</v>
      </c>
      <c r="D16" t="s">
        <v>73</v>
      </c>
      <c r="E16" t="s">
        <v>74</v>
      </c>
    </row>
    <row r="17">
      <c r="A17" t="s">
        <v>71</v>
      </c>
      <c r="B17" t="s">
        <v>75</v>
      </c>
      <c r="C17" t="s">
        <v>23</v>
      </c>
      <c r="D17" t="s">
        <v>76</v>
      </c>
      <c r="E17" t="s">
        <v>77</v>
      </c>
    </row>
    <row r="18">
      <c r="A18" t="s">
        <v>71</v>
      </c>
      <c r="B18" t="s">
        <v>78</v>
      </c>
      <c r="C18" t="s">
        <v>79</v>
      </c>
      <c r="D18" t="s">
        <v>80</v>
      </c>
      <c r="E18" t="s">
        <v>81</v>
      </c>
    </row>
    <row r="19">
      <c r="A19" t="s">
        <v>82</v>
      </c>
      <c r="B19" t="s">
        <v>83</v>
      </c>
      <c r="C19" t="s">
        <v>84</v>
      </c>
      <c r="D19" t="s">
        <v>85</v>
      </c>
      <c r="E19" t="s">
        <v>86</v>
      </c>
    </row>
    <row r="20">
      <c r="A20" t="s">
        <v>82</v>
      </c>
      <c r="B20" t="s">
        <v>87</v>
      </c>
      <c r="C20" t="s">
        <v>88</v>
      </c>
      <c r="D20" t="s">
        <v>89</v>
      </c>
      <c r="E20" t="s">
        <v>90</v>
      </c>
    </row>
    <row r="21">
      <c r="A21" t="s">
        <v>82</v>
      </c>
      <c r="B21" t="s">
        <v>91</v>
      </c>
      <c r="C21" t="s">
        <v>19</v>
      </c>
      <c r="D21" t="s">
        <v>92</v>
      </c>
      <c r="E21" t="s">
        <v>93</v>
      </c>
    </row>
    <row r="22">
      <c r="A22" t="s">
        <v>94</v>
      </c>
      <c r="B22" t="s">
        <v>95</v>
      </c>
      <c r="C22" t="s">
        <v>53</v>
      </c>
      <c r="D22" t="s">
        <v>96</v>
      </c>
      <c r="E22" t="s">
        <v>97</v>
      </c>
    </row>
    <row r="23">
      <c r="A23" t="s">
        <v>94</v>
      </c>
      <c r="B23" t="s">
        <v>98</v>
      </c>
      <c r="C23" t="s">
        <v>99</v>
      </c>
      <c r="D23" t="s">
        <v>24</v>
      </c>
      <c r="E23" t="s">
        <v>100</v>
      </c>
    </row>
    <row r="24">
      <c r="A24" t="s">
        <v>94</v>
      </c>
      <c r="B24" t="s">
        <v>101</v>
      </c>
      <c r="C24" t="s">
        <v>102</v>
      </c>
      <c r="D24" t="s">
        <v>103</v>
      </c>
      <c r="E24" t="s">
        <v>104</v>
      </c>
    </row>
    <row r="25">
      <c r="A25" t="s">
        <v>105</v>
      </c>
      <c r="B25" t="s">
        <v>106</v>
      </c>
      <c r="C25" t="s">
        <v>19</v>
      </c>
      <c r="D25" t="s">
        <v>37</v>
      </c>
      <c r="E25" t="s">
        <v>107</v>
      </c>
    </row>
    <row r="26">
      <c r="A26" t="s">
        <v>105</v>
      </c>
      <c r="B26" t="s">
        <v>108</v>
      </c>
      <c r="C26" t="s">
        <v>49</v>
      </c>
      <c r="D26" t="s">
        <v>109</v>
      </c>
      <c r="E26" t="s">
        <v>110</v>
      </c>
    </row>
    <row r="27">
      <c r="A27" t="s">
        <v>105</v>
      </c>
      <c r="B27" t="s">
        <v>111</v>
      </c>
      <c r="C27" t="s">
        <v>112</v>
      </c>
      <c r="D27" t="s">
        <v>113</v>
      </c>
      <c r="E27" t="s">
        <v>114</v>
      </c>
    </row>
    <row r="28">
      <c r="A28" t="s">
        <v>115</v>
      </c>
      <c r="B28" t="s">
        <v>116</v>
      </c>
      <c r="C28" t="s">
        <v>19</v>
      </c>
      <c r="D28" t="s">
        <v>117</v>
      </c>
      <c r="E28" t="s">
        <v>118</v>
      </c>
    </row>
    <row r="29">
      <c r="A29" t="s">
        <v>115</v>
      </c>
      <c r="B29" t="s">
        <v>119</v>
      </c>
      <c r="C29" t="s">
        <v>49</v>
      </c>
      <c r="D29" t="s">
        <v>120</v>
      </c>
      <c r="E29" t="s">
        <v>121</v>
      </c>
    </row>
    <row r="30">
      <c r="A30" t="s">
        <v>115</v>
      </c>
      <c r="B30" t="s">
        <v>122</v>
      </c>
      <c r="C30" t="s">
        <v>36</v>
      </c>
      <c r="D30" t="s">
        <v>123</v>
      </c>
      <c r="E30" t="s">
        <v>124</v>
      </c>
    </row>
    <row r="31">
      <c r="A31" t="s">
        <v>125</v>
      </c>
      <c r="B31" t="s">
        <v>126</v>
      </c>
      <c r="C31" t="s">
        <v>53</v>
      </c>
      <c r="D31" t="s">
        <v>127</v>
      </c>
      <c r="E31" t="s">
        <v>128</v>
      </c>
    </row>
    <row r="32">
      <c r="A32" t="s">
        <v>125</v>
      </c>
      <c r="B32" t="s">
        <v>129</v>
      </c>
      <c r="C32" t="s">
        <v>84</v>
      </c>
      <c r="D32" t="s">
        <v>130</v>
      </c>
      <c r="E32" t="s">
        <v>131</v>
      </c>
    </row>
    <row r="33">
      <c r="A33" t="s">
        <v>125</v>
      </c>
      <c r="B33" t="s">
        <v>132</v>
      </c>
      <c r="C33" t="s">
        <v>133</v>
      </c>
      <c r="D33" t="s">
        <v>134</v>
      </c>
      <c r="E33" t="s">
        <v>135</v>
      </c>
    </row>
    <row r="34">
      <c r="A34" t="s">
        <v>136</v>
      </c>
      <c r="B34" t="s">
        <v>137</v>
      </c>
      <c r="C34" t="s">
        <v>27</v>
      </c>
      <c r="D34" t="s">
        <v>138</v>
      </c>
      <c r="E34" t="s">
        <v>139</v>
      </c>
    </row>
    <row r="35">
      <c r="A35" t="s">
        <v>136</v>
      </c>
      <c r="B35" t="s">
        <v>140</v>
      </c>
      <c r="C35" t="s">
        <v>61</v>
      </c>
      <c r="D35" t="s">
        <v>141</v>
      </c>
      <c r="E35" t="s">
        <v>142</v>
      </c>
    </row>
    <row r="36">
      <c r="A36" t="s">
        <v>136</v>
      </c>
      <c r="B36" t="s">
        <v>143</v>
      </c>
      <c r="C36" t="s">
        <v>99</v>
      </c>
      <c r="D36" t="s">
        <v>144</v>
      </c>
      <c r="E36" t="s">
        <v>145</v>
      </c>
    </row>
    <row r="37">
      <c r="A37" t="s">
        <v>146</v>
      </c>
      <c r="B37" t="s">
        <v>147</v>
      </c>
      <c r="C37" t="s">
        <v>23</v>
      </c>
      <c r="D37" t="s">
        <v>148</v>
      </c>
      <c r="E37" t="s">
        <v>149</v>
      </c>
    </row>
    <row r="38">
      <c r="A38" t="s">
        <v>146</v>
      </c>
      <c r="B38" t="s">
        <v>150</v>
      </c>
      <c r="C38" t="s">
        <v>151</v>
      </c>
      <c r="D38" t="s">
        <v>80</v>
      </c>
      <c r="E38" t="s">
        <v>152</v>
      </c>
    </row>
    <row r="39">
      <c r="A39" t="s">
        <v>146</v>
      </c>
      <c r="B39" t="s">
        <v>153</v>
      </c>
      <c r="C39" t="s">
        <v>154</v>
      </c>
      <c r="D39" t="s">
        <v>155</v>
      </c>
      <c r="E39" t="s">
        <v>156</v>
      </c>
    </row>
    <row r="40">
      <c r="A40" t="s">
        <v>157</v>
      </c>
      <c r="B40" t="s">
        <v>158</v>
      </c>
      <c r="C40" t="s">
        <v>36</v>
      </c>
      <c r="D40" t="s">
        <v>159</v>
      </c>
      <c r="E40" t="s">
        <v>160</v>
      </c>
    </row>
    <row r="41">
      <c r="A41" t="s">
        <v>157</v>
      </c>
      <c r="B41" t="s">
        <v>161</v>
      </c>
      <c r="C41" t="s">
        <v>23</v>
      </c>
      <c r="D41" t="s">
        <v>162</v>
      </c>
      <c r="E41" t="s">
        <v>163</v>
      </c>
    </row>
    <row r="42">
      <c r="A42" t="s">
        <v>157</v>
      </c>
      <c r="B42" t="s">
        <v>164</v>
      </c>
      <c r="C42" t="s">
        <v>165</v>
      </c>
      <c r="D42" t="s">
        <v>166</v>
      </c>
      <c r="E42" t="s">
        <v>167</v>
      </c>
    </row>
    <row r="43">
      <c r="A43" t="s">
        <v>168</v>
      </c>
      <c r="B43" t="s">
        <v>169</v>
      </c>
      <c r="C43" t="s">
        <v>19</v>
      </c>
      <c r="D43" t="s">
        <v>170</v>
      </c>
      <c r="E43" t="s">
        <v>171</v>
      </c>
    </row>
    <row r="44">
      <c r="A44" t="s">
        <v>168</v>
      </c>
      <c r="B44" t="s">
        <v>172</v>
      </c>
      <c r="C44" t="s">
        <v>49</v>
      </c>
      <c r="D44" t="s">
        <v>173</v>
      </c>
      <c r="E44" t="s">
        <v>174</v>
      </c>
    </row>
    <row r="45">
      <c r="A45" t="s">
        <v>168</v>
      </c>
      <c r="B45" t="s">
        <v>175</v>
      </c>
      <c r="C45" t="s">
        <v>176</v>
      </c>
      <c r="D45" t="s">
        <v>177</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151</v>
      </c>
      <c r="D51" t="s">
        <v>197</v>
      </c>
      <c r="E51" t="s">
        <v>198</v>
      </c>
    </row>
    <row r="52">
      <c r="A52" t="s">
        <v>199</v>
      </c>
      <c r="B52" t="s">
        <v>200</v>
      </c>
      <c r="C52" t="s">
        <v>53</v>
      </c>
      <c r="D52" t="s">
        <v>201</v>
      </c>
      <c r="E52" t="s">
        <v>202</v>
      </c>
    </row>
    <row r="53">
      <c r="A53" t="s">
        <v>199</v>
      </c>
      <c r="B53" t="s">
        <v>203</v>
      </c>
      <c r="C53" t="s">
        <v>176</v>
      </c>
      <c r="D53" t="s">
        <v>204</v>
      </c>
      <c r="E53" t="s">
        <v>205</v>
      </c>
    </row>
    <row r="54">
      <c r="A54" t="s">
        <v>199</v>
      </c>
      <c r="B54" t="s">
        <v>206</v>
      </c>
      <c r="C54" t="s">
        <v>154</v>
      </c>
      <c r="D54" t="s">
        <v>207</v>
      </c>
      <c r="E54" t="s">
        <v>208</v>
      </c>
    </row>
    <row r="55">
      <c r="A55" t="s">
        <v>209</v>
      </c>
      <c r="B55" t="s">
        <v>210</v>
      </c>
      <c r="C55" t="s">
        <v>99</v>
      </c>
      <c r="D55" t="s">
        <v>211</v>
      </c>
      <c r="E55" t="s">
        <v>212</v>
      </c>
    </row>
    <row r="56">
      <c r="A56" t="s">
        <v>209</v>
      </c>
      <c r="B56" t="s">
        <v>213</v>
      </c>
      <c r="C56" t="s">
        <v>19</v>
      </c>
      <c r="D56" t="s">
        <v>214</v>
      </c>
      <c r="E56" t="s">
        <v>215</v>
      </c>
    </row>
    <row r="57">
      <c r="A57" t="s">
        <v>209</v>
      </c>
      <c r="B57" t="s">
        <v>216</v>
      </c>
      <c r="C57" t="s">
        <v>88</v>
      </c>
      <c r="D57" t="s">
        <v>217</v>
      </c>
      <c r="E57" t="s">
        <v>218</v>
      </c>
    </row>
    <row r="58">
      <c r="A58" t="s">
        <v>219</v>
      </c>
      <c r="B58" t="s">
        <v>220</v>
      </c>
      <c r="C58" t="s">
        <v>27</v>
      </c>
      <c r="D58" t="s">
        <v>221</v>
      </c>
      <c r="E58" t="s">
        <v>222</v>
      </c>
    </row>
    <row r="59">
      <c r="A59" t="s">
        <v>219</v>
      </c>
      <c r="B59" t="s">
        <v>223</v>
      </c>
      <c r="C59" t="s">
        <v>23</v>
      </c>
      <c r="D59" t="s">
        <v>117</v>
      </c>
      <c r="E59" t="s">
        <v>224</v>
      </c>
    </row>
    <row r="60">
      <c r="A60" t="s">
        <v>219</v>
      </c>
      <c r="B60" t="s">
        <v>225</v>
      </c>
      <c r="C60" t="s">
        <v>184</v>
      </c>
      <c r="D60" t="s">
        <v>226</v>
      </c>
      <c r="E60" t="s">
        <v>227</v>
      </c>
    </row>
    <row r="61">
      <c r="A61" t="s">
        <v>228</v>
      </c>
      <c r="B61" t="s">
        <v>229</v>
      </c>
      <c r="C61" t="s">
        <v>19</v>
      </c>
      <c r="D61" t="s">
        <v>28</v>
      </c>
      <c r="E61" t="s">
        <v>230</v>
      </c>
    </row>
    <row r="62">
      <c r="A62" t="s">
        <v>228</v>
      </c>
      <c r="B62" t="s">
        <v>231</v>
      </c>
      <c r="C62" t="s">
        <v>61</v>
      </c>
      <c r="D62" t="s">
        <v>50</v>
      </c>
      <c r="E62" t="s">
        <v>232</v>
      </c>
    </row>
    <row r="63">
      <c r="A63" t="s">
        <v>228</v>
      </c>
      <c r="B63" t="s">
        <v>233</v>
      </c>
      <c r="C63" t="s">
        <v>165</v>
      </c>
      <c r="D63" t="s">
        <v>234</v>
      </c>
      <c r="E63" t="s">
        <v>235</v>
      </c>
    </row>
    <row r="64">
      <c r="A64" t="s">
        <v>236</v>
      </c>
      <c r="B64" t="s">
        <v>237</v>
      </c>
      <c r="C64" t="s">
        <v>49</v>
      </c>
      <c r="D64" t="s">
        <v>238</v>
      </c>
      <c r="E64" t="s">
        <v>239</v>
      </c>
    </row>
    <row r="65">
      <c r="A65" t="s">
        <v>236</v>
      </c>
      <c r="B65" t="s">
        <v>240</v>
      </c>
      <c r="C65" t="s">
        <v>53</v>
      </c>
      <c r="D65" t="s">
        <v>123</v>
      </c>
      <c r="E65" t="s">
        <v>241</v>
      </c>
    </row>
    <row r="66">
      <c r="A66" t="s">
        <v>236</v>
      </c>
      <c r="B66" t="s">
        <v>242</v>
      </c>
      <c r="C66" t="s">
        <v>65</v>
      </c>
      <c r="D66" t="s">
        <v>243</v>
      </c>
      <c r="E66" t="s">
        <v>244</v>
      </c>
    </row>
    <row r="67">
      <c r="A67" t="s">
        <v>245</v>
      </c>
      <c r="B67" t="s">
        <v>246</v>
      </c>
      <c r="C67" t="s">
        <v>23</v>
      </c>
      <c r="D67" t="s">
        <v>41</v>
      </c>
      <c r="E67" t="s">
        <v>247</v>
      </c>
    </row>
    <row r="68">
      <c r="A68" t="s">
        <v>245</v>
      </c>
      <c r="B68" t="s">
        <v>248</v>
      </c>
      <c r="C68" t="s">
        <v>84</v>
      </c>
      <c r="D68" t="s">
        <v>73</v>
      </c>
      <c r="E68" t="s">
        <v>249</v>
      </c>
    </row>
    <row r="69">
      <c r="A69" t="s">
        <v>245</v>
      </c>
      <c r="B69" t="s">
        <v>250</v>
      </c>
      <c r="C69" t="s">
        <v>19</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133</v>
      </c>
      <c r="D72" t="s">
        <v>260</v>
      </c>
      <c r="E72" t="s">
        <v>261</v>
      </c>
    </row>
    <row r="73">
      <c r="A73" t="s">
        <v>262</v>
      </c>
      <c r="B73" t="s">
        <v>263</v>
      </c>
      <c r="C73" t="s">
        <v>23</v>
      </c>
      <c r="D73" t="s">
        <v>109</v>
      </c>
      <c r="E73" t="s">
        <v>264</v>
      </c>
    </row>
    <row r="74">
      <c r="A74" t="s">
        <v>262</v>
      </c>
      <c r="B74" t="s">
        <v>265</v>
      </c>
      <c r="C74" t="s">
        <v>56</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112</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84</v>
      </c>
      <c r="D81" t="s">
        <v>289</v>
      </c>
      <c r="E81" t="s">
        <v>290</v>
      </c>
    </row>
    <row r="82">
      <c r="A82" t="s">
        <v>291</v>
      </c>
      <c r="B82" t="s">
        <v>292</v>
      </c>
      <c r="C82" t="s">
        <v>79</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19</v>
      </c>
      <c r="D85" t="s">
        <v>96</v>
      </c>
      <c r="E85" t="s">
        <v>303</v>
      </c>
    </row>
    <row r="86">
      <c r="A86" t="s">
        <v>301</v>
      </c>
      <c r="B86" t="s">
        <v>304</v>
      </c>
      <c r="C86" t="s">
        <v>99</v>
      </c>
      <c r="D86" t="s">
        <v>305</v>
      </c>
      <c r="E86" t="s">
        <v>306</v>
      </c>
    </row>
    <row r="87">
      <c r="A87" t="s">
        <v>301</v>
      </c>
      <c r="B87" t="s">
        <v>307</v>
      </c>
      <c r="C87" t="s">
        <v>102</v>
      </c>
      <c r="D87" t="s">
        <v>308</v>
      </c>
      <c r="E87" t="s">
        <v>309</v>
      </c>
    </row>
    <row r="88">
      <c r="A88" t="s">
        <v>310</v>
      </c>
      <c r="B88" t="s">
        <v>311</v>
      </c>
      <c r="C88" t="s">
        <v>53</v>
      </c>
      <c r="D88" t="s">
        <v>312</v>
      </c>
      <c r="E88" t="s">
        <v>313</v>
      </c>
    </row>
    <row r="89">
      <c r="A89" t="s">
        <v>310</v>
      </c>
      <c r="B89" t="s">
        <v>314</v>
      </c>
      <c r="C89" t="s">
        <v>61</v>
      </c>
      <c r="D89" t="s">
        <v>315</v>
      </c>
      <c r="E89" t="s">
        <v>316</v>
      </c>
    </row>
    <row r="90">
      <c r="A90" t="s">
        <v>310</v>
      </c>
      <c r="B90" t="s">
        <v>317</v>
      </c>
      <c r="C90" t="s">
        <v>36</v>
      </c>
      <c r="D90" t="s">
        <v>144</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177</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BB-2nd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BB-1st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CC-2nd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CC-1st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CC-2nd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CC-1st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26">
      <c r="A226" s="13" t="s">
        <v>377</v>
      </c>
      <c r="B226" s="13"/>
      <c r="C226" s="13"/>
      <c r="D226" s="13"/>
      <c r="E226" s="13"/>
      <c r="F226" s="13"/>
      <c r="G226" s="13"/>
      <c r="I226" s="13" t="s">
        <v>378</v>
      </c>
      <c r="J226" s="13"/>
      <c r="K226" s="13"/>
      <c r="L226" s="13"/>
      <c r="M226" s="13"/>
      <c r="N226" s="13"/>
      <c r="O226" s="13"/>
    </row>
    <row r="227">
      <c r="A227" s="17" t="s">
        <v>330</v>
      </c>
      <c r="D227" s="14" t="s">
        <v>331</v>
      </c>
      <c r="G227" s="16" t="s">
        <v>332</v>
      </c>
      <c r="I227" s="17" t="s">
        <v>330</v>
      </c>
      <c r="L227" s="14" t="s">
        <v>331</v>
      </c>
      <c r="O227" s="16" t="s">
        <v>332</v>
      </c>
    </row>
    <row r="228">
      <c r="A228" s="14" t="str">
        <f>CONCATENATE("Pool DD-2nd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DD-1st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Matches'!O653)</f>
      </c>
      <c r="B235" s="14" t="s">
        <v>338</v>
      </c>
      <c r="C235" s="14" t="s">
        <v>341</v>
      </c>
      <c r="D235" s="14"/>
      <c r="E235" s="14" t="s">
        <v>341</v>
      </c>
      <c r="F235" s="14" t="s">
        <v>338</v>
      </c>
      <c r="G235" s="14" t="str">
        <f>CONCATENATE("Pool O-1st ",'Pool Matches'!G652)</f>
      </c>
      <c r="I235" s="14" t="str">
        <f>CONCATENATE("Pool O-2nd ",'Pool Matches'!G653)</f>
      </c>
      <c r="J235" s="14" t="s">
        <v>338</v>
      </c>
      <c r="K235" s="14" t="s">
        <v>341</v>
      </c>
      <c r="L235" s="14"/>
      <c r="M235" s="14" t="s">
        <v>341</v>
      </c>
      <c r="N235" s="14" t="s">
        <v>338</v>
      </c>
      <c r="O235" s="14" t="str">
        <f>CONCATENATE("Pool DD-1st ",'Pool Matches'!O652)</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344</v>
      </c>
      <c r="G239" s="19"/>
      <c r="N239" t="s">
        <v>344</v>
      </c>
      <c r="O239" s="19"/>
    </row>
    <row r="240">
      <c r="F240" t="s">
        <v>345</v>
      </c>
      <c r="G240" s="19"/>
      <c r="N240" t="s">
        <v>345</v>
      </c>
      <c r="O240"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338</v>
      </c>
      <c r="C256" s="14" t="s">
        <v>341</v>
      </c>
      <c r="D256" s="14"/>
      <c r="E256" s="14" t="s">
        <v>341</v>
      </c>
      <c r="F256" s="14" t="s">
        <v>338</v>
      </c>
      <c r="G256" s="14" t="str">
        <f>CONCATENATE("M 1 ",G15)</f>
      </c>
      <c r="I256" s="14" t="str">
        <f>CONCATENATE("M 17 ",O31)</f>
      </c>
      <c r="J256" s="14" t="s">
        <v>338</v>
      </c>
      <c r="K256" s="14" t="s">
        <v>341</v>
      </c>
      <c r="L256" s="14"/>
      <c r="M256" s="14" t="s">
        <v>341</v>
      </c>
      <c r="N256" s="14" t="s">
        <v>338</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338</v>
      </c>
      <c r="C272" s="14" t="s">
        <v>341</v>
      </c>
      <c r="D272" s="14"/>
      <c r="E272" s="14" t="s">
        <v>341</v>
      </c>
      <c r="F272" s="14" t="s">
        <v>338</v>
      </c>
      <c r="G272" s="14" t="str">
        <f>CONCATENATE("M 3 ",G47)</f>
      </c>
      <c r="I272" s="14" t="str">
        <f>CONCATENATE("M 19 ",O63)</f>
      </c>
      <c r="J272" s="14" t="s">
        <v>338</v>
      </c>
      <c r="K272" s="14" t="s">
        <v>341</v>
      </c>
      <c r="L272" s="14"/>
      <c r="M272" s="14" t="s">
        <v>341</v>
      </c>
      <c r="N272" s="14" t="s">
        <v>338</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338</v>
      </c>
      <c r="C288" s="14" t="s">
        <v>341</v>
      </c>
      <c r="D288" s="14"/>
      <c r="E288" s="14" t="s">
        <v>341</v>
      </c>
      <c r="F288" s="14" t="s">
        <v>338</v>
      </c>
      <c r="G288" s="14" t="str">
        <f>CONCATENATE("M 5 ",G79)</f>
      </c>
      <c r="I288" s="14" t="str">
        <f>CONCATENATE("M 21 ",O95)</f>
      </c>
      <c r="J288" s="14" t="s">
        <v>338</v>
      </c>
      <c r="K288" s="14" t="s">
        <v>341</v>
      </c>
      <c r="L288" s="14"/>
      <c r="M288" s="14" t="s">
        <v>341</v>
      </c>
      <c r="N288" s="14" t="s">
        <v>338</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338</v>
      </c>
      <c r="C304" s="14" t="s">
        <v>341</v>
      </c>
      <c r="D304" s="14"/>
      <c r="E304" s="14" t="s">
        <v>341</v>
      </c>
      <c r="F304" s="14" t="s">
        <v>338</v>
      </c>
      <c r="G304" s="14" t="str">
        <f>CONCATENATE("M 7 ",G111)</f>
      </c>
      <c r="I304" s="14" t="str">
        <f>CONCATENATE("M 23 ",O127)</f>
      </c>
      <c r="J304" s="14" t="s">
        <v>338</v>
      </c>
      <c r="K304" s="14" t="s">
        <v>341</v>
      </c>
      <c r="L304" s="14"/>
      <c r="M304" s="14" t="s">
        <v>341</v>
      </c>
      <c r="N304" s="14" t="s">
        <v>338</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338</v>
      </c>
      <c r="C320" s="14" t="s">
        <v>341</v>
      </c>
      <c r="D320" s="14"/>
      <c r="E320" s="14" t="s">
        <v>341</v>
      </c>
      <c r="F320" s="14" t="s">
        <v>338</v>
      </c>
      <c r="G320" s="14" t="str">
        <f>CONCATENATE("M 9 ",G143)</f>
      </c>
      <c r="I320" s="14" t="str">
        <f>CONCATENATE("M 25 ",O159)</f>
      </c>
      <c r="J320" s="14" t="s">
        <v>338</v>
      </c>
      <c r="K320" s="14" t="s">
        <v>341</v>
      </c>
      <c r="L320" s="14"/>
      <c r="M320" s="14" t="s">
        <v>341</v>
      </c>
      <c r="N320" s="14" t="s">
        <v>338</v>
      </c>
      <c r="O320" s="14" t="str">
        <f>CONCATENATE("M 24 ",O143)</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338</v>
      </c>
      <c r="C336" s="14" t="s">
        <v>341</v>
      </c>
      <c r="D336" s="14"/>
      <c r="E336" s="14" t="s">
        <v>341</v>
      </c>
      <c r="F336" s="14" t="s">
        <v>338</v>
      </c>
      <c r="G336" s="14" t="str">
        <f>CONCATENATE("M 11 ",G175)</f>
      </c>
      <c r="I336" s="14" t="str">
        <f>CONCATENATE("M 27 ",O191)</f>
      </c>
      <c r="J336" s="14" t="s">
        <v>338</v>
      </c>
      <c r="K336" s="14" t="s">
        <v>341</v>
      </c>
      <c r="L336" s="14"/>
      <c r="M336" s="14" t="s">
        <v>341</v>
      </c>
      <c r="N336" s="14" t="s">
        <v>338</v>
      </c>
      <c r="O336" s="14" t="str">
        <f>CONCATENATE("M 26 ",O175)</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338</v>
      </c>
      <c r="C352" s="14" t="s">
        <v>341</v>
      </c>
      <c r="D352" s="14"/>
      <c r="E352" s="14" t="s">
        <v>341</v>
      </c>
      <c r="F352" s="14" t="s">
        <v>338</v>
      </c>
      <c r="G352" s="14" t="str">
        <f>CONCATENATE("M 13 ",G207)</f>
      </c>
      <c r="I352" s="14" t="str">
        <f>CONCATENATE("M 29 ",O223)</f>
      </c>
      <c r="J352" s="14" t="s">
        <v>338</v>
      </c>
      <c r="K352" s="14" t="s">
        <v>341</v>
      </c>
      <c r="L352" s="14"/>
      <c r="M352" s="14" t="s">
        <v>341</v>
      </c>
      <c r="N352" s="14" t="s">
        <v>338</v>
      </c>
      <c r="O352" s="14" t="str">
        <f>CONCATENATE("M 28 ",O207)</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338</v>
      </c>
      <c r="C373" s="14" t="s">
        <v>341</v>
      </c>
      <c r="D373" s="14"/>
      <c r="E373" s="14" t="s">
        <v>341</v>
      </c>
      <c r="F373" s="14" t="s">
        <v>338</v>
      </c>
      <c r="G373" s="14" t="str">
        <f>CONCATENATE("M 31 ",G260)</f>
      </c>
      <c r="I373" s="14" t="str">
        <f>CONCATENATE("M 39 ",O276)</f>
      </c>
      <c r="J373" s="14" t="s">
        <v>338</v>
      </c>
      <c r="K373" s="14" t="s">
        <v>341</v>
      </c>
      <c r="L373" s="14"/>
      <c r="M373" s="14" t="s">
        <v>341</v>
      </c>
      <c r="N373" s="14" t="s">
        <v>338</v>
      </c>
      <c r="O373" s="14" t="str">
        <f>CONCATENATE("M 38 ",O260)</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338</v>
      </c>
      <c r="C389" s="14" t="s">
        <v>341</v>
      </c>
      <c r="D389" s="14"/>
      <c r="E389" s="14" t="s">
        <v>341</v>
      </c>
      <c r="F389" s="14" t="s">
        <v>338</v>
      </c>
      <c r="G389" s="14" t="str">
        <f>CONCATENATE("M 33 ",G292)</f>
      </c>
      <c r="I389" s="14" t="str">
        <f>CONCATENATE("M 41 ",O308)</f>
      </c>
      <c r="J389" s="14" t="s">
        <v>338</v>
      </c>
      <c r="K389" s="14" t="s">
        <v>341</v>
      </c>
      <c r="L389" s="14"/>
      <c r="M389" s="14" t="s">
        <v>341</v>
      </c>
      <c r="N389" s="14" t="s">
        <v>338</v>
      </c>
      <c r="O389" s="14" t="str">
        <f>CONCATENATE("M 40 ",O292)</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338</v>
      </c>
      <c r="C405" s="14" t="s">
        <v>341</v>
      </c>
      <c r="D405" s="14"/>
      <c r="E405" s="14" t="s">
        <v>341</v>
      </c>
      <c r="F405" s="14" t="s">
        <v>338</v>
      </c>
      <c r="G405" s="14" t="str">
        <f>CONCATENATE("M 35 ",G324)</f>
      </c>
      <c r="I405" s="14" t="str">
        <f>CONCATENATE("M 43 ",O340)</f>
      </c>
      <c r="J405" s="14" t="s">
        <v>338</v>
      </c>
      <c r="K405" s="14" t="s">
        <v>341</v>
      </c>
      <c r="L405" s="14"/>
      <c r="M405" s="14" t="s">
        <v>341</v>
      </c>
      <c r="N405" s="14" t="s">
        <v>338</v>
      </c>
      <c r="O405" s="14" t="str">
        <f>CONCATENATE("M 42 ",O324)</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338</v>
      </c>
      <c r="C421" s="14" t="s">
        <v>341</v>
      </c>
      <c r="D421" s="14"/>
      <c r="E421" s="14" t="s">
        <v>341</v>
      </c>
      <c r="F421" s="14" t="s">
        <v>338</v>
      </c>
      <c r="G421" s="14" t="str">
        <f>CONCATENATE("M 37 ",G356)</f>
      </c>
      <c r="I421" s="14" t="str">
        <f>CONCATENATE("M 30 ",O239)</f>
      </c>
      <c r="J421" s="14" t="s">
        <v>338</v>
      </c>
      <c r="K421" s="14" t="s">
        <v>341</v>
      </c>
      <c r="L421" s="14"/>
      <c r="M421" s="14" t="s">
        <v>341</v>
      </c>
      <c r="N421" s="14" t="s">
        <v>338</v>
      </c>
      <c r="O421" s="14" t="str">
        <f>CONCATENATE("M 44 ",O356)</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31</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34</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BB-2nd ",'Pool Matches'!O567)</f>
      </c>
      <c r="D23" s="15"/>
      <c r="E23" s="20"/>
      <c r="F23" s="22"/>
      <c r="G23" s="20"/>
      <c r="K23" s="20"/>
    </row>
    <row r="24">
      <c r="A24" s="24" t="str">
        <f>'data'!$A$42</f>
      </c>
      <c r="G24" s="21">
        <v>37</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CC-2nd ",'Pool Matches'!O610)</f>
      </c>
      <c r="D27" s="15"/>
      <c r="E27" s="20"/>
      <c r="I27" s="20"/>
      <c r="K27" s="20"/>
    </row>
    <row r="28">
      <c r="A28" s="22"/>
      <c r="I28" s="21">
        <v>48</v>
      </c>
      <c r="J28" s="15"/>
      <c r="K28" s="20"/>
    </row>
    <row r="29">
      <c r="A29" s="24" t="str">
        <f>'data'!$A$45</f>
      </c>
      <c r="C29" s="23" t="str">
        <f>CONCATENATE("Pool O-1st ",'Pool Matches'!G652)</f>
      </c>
      <c r="I29" s="20"/>
    </row>
    <row r="30">
      <c r="A30" s="25" t="str">
        <f>data!$E$43&amp;" "&amp;data!$B$43</f>
      </c>
      <c r="D30" s="22"/>
      <c r="E30" s="21">
        <v>15</v>
      </c>
      <c r="I30" s="20"/>
    </row>
    <row r="31">
      <c r="A31" s="26" t="str">
        <f>data!$E$44&amp;" "&amp;data!$B$44</f>
      </c>
      <c r="C31" s="23" t="str">
        <f>CONCATENATE("Pool DD-2nd ",'Pool Matches'!O653)</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16</v>
      </c>
    </row>
    <row r="7">
      <c r="A7" s="27" t="str">
        <f>data!$E$51&amp;" "&amp;data!$B$51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data!$E$52&amp;" "&amp;data!$B$52</f>
      </c>
      <c r="D10" s="22"/>
      <c r="E10" s="21">
        <v>17</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18</v>
      </c>
      <c r="I14" s="20"/>
      <c r="K14" s="20"/>
    </row>
    <row r="15">
      <c r="A15" s="25" t="str">
        <f>data!$E$55&amp;" "&amp;data!$B$55</f>
      </c>
      <c r="C15" s="23" t="str">
        <f>CONCATENATE("Pool C-2nd ",'Pool Matches'!G137)</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data!$E$61&amp;" "&amp;data!$B$61</f>
      </c>
      <c r="C25" s="23" t="str">
        <f>CONCATENATE("Pool U-1st ",'Pool Matches'!O265)</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22</v>
      </c>
      <c r="I30" s="20"/>
    </row>
    <row r="31">
      <c r="A31" s="26" t="str">
        <f>data!$E$65&amp;" "&amp;data!$B$65</f>
      </c>
      <c r="C31" s="23" t="str">
        <f>CONCATENATE("Pool G-2nd ",'Pool Matches'!G309)</f>
      </c>
      <c r="D31" s="15"/>
      <c r="E31" s="20"/>
      <c r="F31" s="22"/>
      <c r="G31" s="20"/>
      <c r="I31" s="20"/>
    </row>
    <row r="32">
      <c r="A32" s="27" t="str">
        <f>data!$E$66&amp;" "&amp;data!$B$66</f>
      </c>
      <c r="G32" s="21">
        <v>41</v>
      </c>
      <c r="H32" s="15"/>
      <c r="I32" s="20"/>
    </row>
    <row r="33">
      <c r="A33" s="22"/>
      <c r="C33" s="23" t="str">
        <f>CONCATENATE("Pool W-1st ",'Pool Matches'!O351)</f>
      </c>
      <c r="G33" s="20"/>
    </row>
    <row r="34">
      <c r="A34" s="24" t="str">
        <f>'data'!$A$69</f>
      </c>
      <c r="D34" s="22"/>
      <c r="E34" s="21">
        <v>23</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24</v>
      </c>
    </row>
    <row r="7">
      <c r="A7" s="27" t="str">
        <f>data!$E$75&amp;" "&amp;data!$B$75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data!$E$76&amp;" "&amp;data!$B$76</f>
      </c>
      <c r="D10" s="22"/>
      <c r="E10" s="21">
        <v>25</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26</v>
      </c>
      <c r="I14" s="20"/>
      <c r="K14" s="20"/>
    </row>
    <row r="15">
      <c r="A15" s="25" t="str">
        <f>data!$E$79&amp;" "&amp;data!$B$79</f>
      </c>
      <c r="C15" s="23" t="str">
        <f>CONCATENATE("Pool K-2nd ",'Pool Matches'!G481)</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BB-1st ",'Pool Matches'!O566)</f>
      </c>
      <c r="K21" s="20"/>
    </row>
    <row r="22">
      <c r="A22" s="27" t="str">
        <f>data!$E$84&amp;" "&amp;data!$B$84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data!$E$85&amp;" "&amp;data!$B$85</f>
      </c>
      <c r="C25" s="23" t="str">
        <f>CONCATENATE("Pool CC-1st ",'Pool Matches'!O609)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C29" s="23" t="str">
        <f>CONCATENATE("Pool DD-1st ",'Pool Matches'!O652)</f>
      </c>
      <c r="I29" s="20"/>
    </row>
    <row r="30">
      <c r="A30" s="25" t="str">
        <f>data!$E$88&amp;" "&amp;data!$B$88</f>
      </c>
      <c r="D30" s="22"/>
      <c r="E30" s="21">
        <v>30</v>
      </c>
      <c r="I30" s="20"/>
    </row>
    <row r="31">
      <c r="A31" s="26" t="str">
        <f>data!$E$89&amp;" "&amp;data!$B$89</f>
      </c>
      <c r="C31" s="23" t="str">
        <f>CONCATENATE("Pool O-2nd ",'Pool Matches'!G653)</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54</v>
      </c>
    </row>
    <row r="18" ht="409" customHeight="true">
      <c r="A18" s="30" t="s">
        <v>54</v>
      </c>
    </row>
    <row r="19" ht="409" customHeight="true">
      <c r="A19" s="30" t="s">
        <v>58</v>
      </c>
    </row>
    <row r="20" ht="409" customHeight="true">
      <c r="A20" s="30" t="s">
        <v>58</v>
      </c>
    </row>
    <row r="21" ht="409" customHeight="true">
      <c r="A21" s="30" t="s">
        <v>63</v>
      </c>
    </row>
    <row r="22" ht="409" customHeight="true">
      <c r="A22" s="30" t="s">
        <v>63</v>
      </c>
    </row>
    <row r="23" ht="409" customHeight="true">
      <c r="A23" s="30" t="s">
        <v>67</v>
      </c>
    </row>
    <row r="24" ht="409" customHeight="true">
      <c r="A24" s="30" t="s">
        <v>67</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81</v>
      </c>
    </row>
    <row r="32" ht="409" customHeight="true">
      <c r="A32" s="30" t="s">
        <v>81</v>
      </c>
    </row>
    <row r="33" ht="409" customHeight="true">
      <c r="A33" s="30" t="s">
        <v>86</v>
      </c>
    </row>
    <row r="34" ht="409" customHeight="true">
      <c r="A34" s="30" t="s">
        <v>86</v>
      </c>
    </row>
    <row r="35" ht="409" customHeight="true">
      <c r="A35" s="30" t="s">
        <v>90</v>
      </c>
    </row>
    <row r="36" ht="409" customHeight="true">
      <c r="A36" s="30" t="s">
        <v>90</v>
      </c>
    </row>
    <row r="37" ht="409" customHeight="true">
      <c r="A37" s="30" t="s">
        <v>93</v>
      </c>
    </row>
    <row r="38" ht="409" customHeight="true">
      <c r="A38" s="30" t="s">
        <v>93</v>
      </c>
    </row>
    <row r="39" ht="409" customHeight="true">
      <c r="A39" s="30" t="s">
        <v>97</v>
      </c>
    </row>
    <row r="40" ht="409" customHeight="true">
      <c r="A40" s="30" t="s">
        <v>97</v>
      </c>
    </row>
    <row r="41" ht="409" customHeight="true">
      <c r="A41" s="30" t="s">
        <v>100</v>
      </c>
    </row>
    <row r="42" ht="409" customHeight="true">
      <c r="A42" s="30" t="s">
        <v>100</v>
      </c>
    </row>
    <row r="43" ht="409" customHeight="true">
      <c r="A43" s="30" t="s">
        <v>104</v>
      </c>
    </row>
    <row r="44" ht="409" customHeight="true">
      <c r="A44" s="30" t="s">
        <v>104</v>
      </c>
    </row>
    <row r="45" ht="409" customHeight="true">
      <c r="A45" s="30" t="s">
        <v>107</v>
      </c>
    </row>
    <row r="46" ht="409" customHeight="true">
      <c r="A46" s="30" t="s">
        <v>107</v>
      </c>
    </row>
    <row r="47" ht="409" customHeight="true">
      <c r="A47" s="30" t="s">
        <v>110</v>
      </c>
    </row>
    <row r="48" ht="409" customHeight="true">
      <c r="A48" s="30" t="s">
        <v>110</v>
      </c>
    </row>
    <row r="49" ht="409" customHeight="true">
      <c r="A49" s="30" t="s">
        <v>114</v>
      </c>
    </row>
    <row r="50" ht="409" customHeight="true">
      <c r="A50" s="30" t="s">
        <v>114</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124</v>
      </c>
    </row>
    <row r="56" ht="409" customHeight="true">
      <c r="A56" s="30" t="s">
        <v>124</v>
      </c>
    </row>
    <row r="57" ht="409" customHeight="true">
      <c r="A57" s="30" t="s">
        <v>128</v>
      </c>
    </row>
    <row r="58" ht="409" customHeight="true">
      <c r="A58" s="30" t="s">
        <v>128</v>
      </c>
    </row>
    <row r="59" ht="409" customHeight="true">
      <c r="A59" s="30" t="s">
        <v>131</v>
      </c>
    </row>
    <row r="60" ht="409" customHeight="true">
      <c r="A60" s="30" t="s">
        <v>131</v>
      </c>
    </row>
    <row r="61" ht="409" customHeight="true">
      <c r="A61" s="30" t="s">
        <v>135</v>
      </c>
    </row>
    <row r="62" ht="409" customHeight="true">
      <c r="A62" s="30" t="s">
        <v>135</v>
      </c>
    </row>
    <row r="63" ht="409" customHeight="true">
      <c r="A63" s="30" t="s">
        <v>139</v>
      </c>
    </row>
    <row r="64" ht="409" customHeight="true">
      <c r="A64" s="30" t="s">
        <v>139</v>
      </c>
    </row>
    <row r="65" ht="409" customHeight="true">
      <c r="A65" s="30" t="s">
        <v>142</v>
      </c>
    </row>
    <row r="66" ht="409" customHeight="true">
      <c r="A66" s="30" t="s">
        <v>142</v>
      </c>
    </row>
    <row r="67" ht="409" customHeight="true">
      <c r="A67" s="30" t="s">
        <v>145</v>
      </c>
    </row>
    <row r="68" ht="409" customHeight="true">
      <c r="A68" s="30" t="s">
        <v>145</v>
      </c>
    </row>
    <row r="69" ht="409" customHeight="true">
      <c r="A69" s="30" t="s">
        <v>149</v>
      </c>
    </row>
    <row r="70" ht="409" customHeight="true">
      <c r="A70" s="30" t="s">
        <v>149</v>
      </c>
    </row>
    <row r="71" ht="409" customHeight="true">
      <c r="A71" s="30" t="s">
        <v>152</v>
      </c>
    </row>
    <row r="72" ht="409" customHeight="true">
      <c r="A72" s="30" t="s">
        <v>152</v>
      </c>
    </row>
    <row r="73" ht="409" customHeight="true">
      <c r="A73" s="30" t="s">
        <v>156</v>
      </c>
    </row>
    <row r="74" ht="409" customHeight="true">
      <c r="A74" s="30" t="s">
        <v>156</v>
      </c>
    </row>
    <row r="75" ht="409" customHeight="true">
      <c r="A75" s="30" t="s">
        <v>160</v>
      </c>
    </row>
    <row r="76" ht="409" customHeight="true">
      <c r="A76" s="30" t="s">
        <v>160</v>
      </c>
    </row>
    <row r="77" ht="409" customHeight="true">
      <c r="A77" s="30" t="s">
        <v>163</v>
      </c>
    </row>
    <row r="78" ht="409" customHeight="true">
      <c r="A78" s="30" t="s">
        <v>163</v>
      </c>
    </row>
    <row r="79" ht="409" customHeight="true">
      <c r="A79" s="30" t="s">
        <v>167</v>
      </c>
    </row>
    <row r="80" ht="409" customHeight="true">
      <c r="A80" s="30" t="s">
        <v>167</v>
      </c>
    </row>
    <row r="81" ht="409" customHeight="true">
      <c r="A81" s="30" t="s">
        <v>171</v>
      </c>
    </row>
    <row r="82" ht="409" customHeight="true">
      <c r="A82" s="30" t="s">
        <v>171</v>
      </c>
    </row>
    <row r="83" ht="409" customHeight="true">
      <c r="A83" s="30" t="s">
        <v>174</v>
      </c>
    </row>
    <row r="84" ht="409" customHeight="true">
      <c r="A84" s="30" t="s">
        <v>174</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