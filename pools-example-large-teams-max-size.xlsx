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9" name="_xlnm.Print_Area">'Names to Print A'!$A$1:$B$47</definedName>
    <definedName localSheetId="10" name="_xlnm.Print_Area">'Names to Print B'!$A$1:$B$44</definedName>
    <definedName localSheetId="4" name="_xlnm.Print_Area">'Elimination Matches'!$A$1:$P$527</definedName>
  </definedNames>
  <calcPr calcId="122211"/>
</workbook>
</file>

<file path=xl/sharedStrings.xml><?xml version="1.0" encoding="utf-8"?>
<sst xmlns="http://schemas.openxmlformats.org/spreadsheetml/2006/main" count="416" uniqueCount="416">
  <si>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</si>
  <si>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</si>
  <si>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</si>
  <si>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</si>
  <si>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</si>
  <si>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</si>
  <si>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</si>
  <si>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</si>
  <si>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</si>
  <si>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</si>
  <si>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</si>
  <si>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</si>
  <si>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</si>
  <si>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</si>
  <si>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</si>
  <si>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</si>
  <si>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</si>
  <si>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</si>
  <si>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</si>
  <si>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</si>
  <si>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Owen Rodriguez</t>
  </si>
  <si>
    <t>Team Epsilon</t>
  </si>
  <si>
    <t>RODRIGUEZ</t>
  </si>
  <si>
    <t>Frodo Baggins</t>
  </si>
  <si>
    <t>Team Zeta</t>
  </si>
  <si>
    <t>BAGGINS</t>
  </si>
  <si>
    <t>Pool B</t>
  </si>
  <si>
    <t>Uriel Wright</t>
  </si>
  <si>
    <t>WRIGHT</t>
  </si>
  <si>
    <t>Emily Bronte</t>
  </si>
  <si>
    <t>BRONTE</t>
  </si>
  <si>
    <t>Voldemort</t>
  </si>
  <si>
    <t>Team Chi</t>
  </si>
  <si>
    <t>VOLDEMORT</t>
  </si>
  <si>
    <t>Pool C</t>
  </si>
  <si>
    <t>Aaron Thompson</t>
  </si>
  <si>
    <t>THOMPSON</t>
  </si>
  <si>
    <t>Michael Lewis</t>
  </si>
  <si>
    <t>Team Gamma</t>
  </si>
  <si>
    <t>LEWIS</t>
  </si>
  <si>
    <t>Katniss Everdeen</t>
  </si>
  <si>
    <t>Team Lambda</t>
  </si>
  <si>
    <t>EVERDEEN</t>
  </si>
  <si>
    <t>Pool D</t>
  </si>
  <si>
    <t>Ulysses Hernandez</t>
  </si>
  <si>
    <t>HERNANDEZ</t>
  </si>
  <si>
    <t>William Hill</t>
  </si>
  <si>
    <t>HILL</t>
  </si>
  <si>
    <t>Legolas Greenleaf</t>
  </si>
  <si>
    <t>Team Mu</t>
  </si>
  <si>
    <t>GREENLEAF</t>
  </si>
  <si>
    <t>Pool E</t>
  </si>
  <si>
    <t>Yann Martel</t>
  </si>
  <si>
    <t>MARTEL</t>
  </si>
  <si>
    <t>Mason Martinez</t>
  </si>
  <si>
    <t>MARTINEZ</t>
  </si>
  <si>
    <t>Moby Dick</t>
  </si>
  <si>
    <t>Team Nu</t>
  </si>
  <si>
    <t>DICK</t>
  </si>
  <si>
    <t>Pool F</t>
  </si>
  <si>
    <t>Ygritte</t>
  </si>
  <si>
    <t>YGRITTE</t>
  </si>
  <si>
    <t>Charles Dickens</t>
  </si>
  <si>
    <t>DICKENS</t>
  </si>
  <si>
    <t>Xaro Xhoan Daxos</t>
  </si>
  <si>
    <t>Team Omega</t>
  </si>
  <si>
    <t>DAXOS</t>
  </si>
  <si>
    <t>Pool G</t>
  </si>
  <si>
    <t>Quentin Allen</t>
  </si>
  <si>
    <t>Team Beta</t>
  </si>
  <si>
    <t>ALLEN</t>
  </si>
  <si>
    <t>Gabriel Thomas</t>
  </si>
  <si>
    <t>Team Eta</t>
  </si>
  <si>
    <t>THOMAS</t>
  </si>
  <si>
    <t>Othello</t>
  </si>
  <si>
    <t>Team Omicron</t>
  </si>
  <si>
    <t>OTHELLO</t>
  </si>
  <si>
    <t>Pool H</t>
  </si>
  <si>
    <t>Benjamin Evans</t>
  </si>
  <si>
    <t>EVANS</t>
  </si>
  <si>
    <t>George Orwell</t>
  </si>
  <si>
    <t>ORWELL</t>
  </si>
  <si>
    <t>Ulysses</t>
  </si>
  <si>
    <t>Team Phi</t>
  </si>
  <si>
    <t>ULYSSES</t>
  </si>
  <si>
    <t>Pool I</t>
  </si>
  <si>
    <t>Vincent King</t>
  </si>
  <si>
    <t>KING</t>
  </si>
  <si>
    <t>Isaac White</t>
  </si>
  <si>
    <t>Team Iota</t>
  </si>
  <si>
    <t>WHITE</t>
  </si>
  <si>
    <t>Petyr Baelish</t>
  </si>
  <si>
    <t>Team Pi</t>
  </si>
  <si>
    <t>BAELISH</t>
  </si>
  <si>
    <t>Pool J</t>
  </si>
  <si>
    <t>Bilbo Baggins</t>
  </si>
  <si>
    <t>Isaac Asimov</t>
  </si>
  <si>
    <t>ASIMOV</t>
  </si>
  <si>
    <t>Willy Wonka</t>
  </si>
  <si>
    <t>Team Psi</t>
  </si>
  <si>
    <t>WONKA</t>
  </si>
  <si>
    <t>Pool K</t>
  </si>
  <si>
    <t>Steven Hernandez</t>
  </si>
  <si>
    <t>Team Delta</t>
  </si>
  <si>
    <t>Jackson Harris</t>
  </si>
  <si>
    <t>Team Kappa</t>
  </si>
  <si>
    <t>HARRIS</t>
  </si>
  <si>
    <t>Quirinus Quirrell</t>
  </si>
  <si>
    <t>Team Rho</t>
  </si>
  <si>
    <t>QUIRRELL</t>
  </si>
  <si>
    <t>Pool L</t>
  </si>
  <si>
    <t>Dylan Moore</t>
  </si>
  <si>
    <t>MOORE</t>
  </si>
  <si>
    <t>Jane Austen</t>
  </si>
  <si>
    <t>AUSTEN</t>
  </si>
  <si>
    <t>Ron Weasley</t>
  </si>
  <si>
    <t>Team Sigma</t>
  </si>
  <si>
    <t>WEASLEY</t>
  </si>
  <si>
    <t>Pool M</t>
  </si>
  <si>
    <t>Xavier Lopez</t>
  </si>
  <si>
    <t>LOPEZ</t>
  </si>
  <si>
    <t>Hudson Jackson</t>
  </si>
  <si>
    <t>Team Theta</t>
  </si>
  <si>
    <t>JACKSON</t>
  </si>
  <si>
    <t>Samwise Gamgee</t>
  </si>
  <si>
    <t>Team Tau</t>
  </si>
  <si>
    <t>GAMGEE</t>
  </si>
  <si>
    <t>Pool N</t>
  </si>
  <si>
    <t>Daenerys Targaryen</t>
  </si>
  <si>
    <t>TARGARYEN</t>
  </si>
  <si>
    <t>Herman Melville</t>
  </si>
  <si>
    <t>MELVILLE</t>
  </si>
  <si>
    <t>Tyrion Lannister</t>
  </si>
  <si>
    <t>Team Upsilon</t>
  </si>
  <si>
    <t>LANNISTER</t>
  </si>
  <si>
    <t>Pool O</t>
  </si>
  <si>
    <t>Thomas King</t>
  </si>
  <si>
    <t>Finn Anderson</t>
  </si>
  <si>
    <t>ANDERSON</t>
  </si>
  <si>
    <t>Neville Longbottom</t>
  </si>
  <si>
    <t>Team Xi</t>
  </si>
  <si>
    <t>LONGBOTTOM</t>
  </si>
  <si>
    <t>Pool P</t>
  </si>
  <si>
    <t>Elijah Taylor</t>
  </si>
  <si>
    <t>TAYLOR</t>
  </si>
  <si>
    <t>Fyodor Dostoevsky</t>
  </si>
  <si>
    <t>DOSTOEVSKY</t>
  </si>
  <si>
    <t>Pool Q</t>
  </si>
  <si>
    <t>Paul Hall</t>
  </si>
  <si>
    <t>HALL</t>
  </si>
  <si>
    <t>Yosef Hill</t>
  </si>
  <si>
    <t>Virginia Woolf</t>
  </si>
  <si>
    <t>WOOLF</t>
  </si>
  <si>
    <t>Pool R</t>
  </si>
  <si>
    <t>Zachary Adams</t>
  </si>
  <si>
    <t>ADAMS</t>
  </si>
  <si>
    <t>Eddard Stark</t>
  </si>
  <si>
    <t>STARK</t>
  </si>
  <si>
    <t>Kurt Vonnegut</t>
  </si>
  <si>
    <t>VONNEGUT</t>
  </si>
  <si>
    <t>Pool S</t>
  </si>
  <si>
    <t>Kaden Martin</t>
  </si>
  <si>
    <t>MARTIN</t>
  </si>
  <si>
    <t>Robert Young</t>
  </si>
  <si>
    <t>YOUNG</t>
  </si>
  <si>
    <t>Lewis Carroll</t>
  </si>
  <si>
    <t>CARROLL</t>
  </si>
  <si>
    <t>Pool T</t>
  </si>
  <si>
    <t>Arthur Conan</t>
  </si>
  <si>
    <t>CONAN</t>
  </si>
  <si>
    <t>Caleb Wilson</t>
  </si>
  <si>
    <t>WILSON</t>
  </si>
  <si>
    <t>Mary Shelley</t>
  </si>
  <si>
    <t>SHELLEY</t>
  </si>
  <si>
    <t>Pool U</t>
  </si>
  <si>
    <t>Albus Dumbledore</t>
  </si>
  <si>
    <t>DUMBLEDORE</t>
  </si>
  <si>
    <t>William Wright</t>
  </si>
  <si>
    <t>Xavier Herbert</t>
  </si>
  <si>
    <t>HERBERT</t>
  </si>
  <si>
    <t>Pool V</t>
  </si>
  <si>
    <t>Luke Rodriguez</t>
  </si>
  <si>
    <t>Cersei Lannister</t>
  </si>
  <si>
    <t>Oscar Wilde</t>
  </si>
  <si>
    <t>WILDE</t>
  </si>
  <si>
    <t>Pool W</t>
  </si>
  <si>
    <t>Victor Lopez</t>
  </si>
  <si>
    <t>Quinn Walker</t>
  </si>
  <si>
    <t>WALKER</t>
  </si>
  <si>
    <t>Ursula K Le Guin</t>
  </si>
  <si>
    <t>LE GUIN</t>
  </si>
  <si>
    <t>Pool X</t>
  </si>
  <si>
    <t>Liam Thompson</t>
  </si>
  <si>
    <t>Gandalf The Grey</t>
  </si>
  <si>
    <t>GANDALF</t>
  </si>
  <si>
    <t>Philip K Dick</t>
  </si>
  <si>
    <t>Pool Y</t>
  </si>
  <si>
    <t>Bram Stoker</t>
  </si>
  <si>
    <t>STOKER</t>
  </si>
  <si>
    <t>Sebastian Allen</t>
  </si>
  <si>
    <t>William Shakespeare</t>
  </si>
  <si>
    <t>SHAKESPEARE</t>
  </si>
  <si>
    <t>Pool Z</t>
  </si>
  <si>
    <t>Nathan Lee</t>
  </si>
  <si>
    <t>LEE</t>
  </si>
  <si>
    <t>Inigo Montoya</t>
  </si>
  <si>
    <t>MONTOYA</t>
  </si>
  <si>
    <t>Quentin Blake</t>
  </si>
  <si>
    <t>BLAKE</t>
  </si>
  <si>
    <t>Pool AA</t>
  </si>
  <si>
    <t>Xavier Scott</t>
  </si>
  <si>
    <t>SCOTT</t>
  </si>
  <si>
    <t>Tristan Young</t>
  </si>
  <si>
    <t>Ray Bradbury</t>
  </si>
  <si>
    <t>BRADBURY</t>
  </si>
  <si>
    <t>Pool BB</t>
  </si>
  <si>
    <t>Nolan Clark</t>
  </si>
  <si>
    <t>Jon Snow</t>
  </si>
  <si>
    <t>SNOW</t>
  </si>
  <si>
    <t>Sylvia Plath</t>
  </si>
  <si>
    <t>PLATH</t>
  </si>
  <si>
    <t>Pool CC</t>
  </si>
  <si>
    <t>Daniel Defoe</t>
  </si>
  <si>
    <t>DEFOE</t>
  </si>
  <si>
    <t>Ryan Hall</t>
  </si>
  <si>
    <t>Thomas Hardy</t>
  </si>
  <si>
    <t>HARDY</t>
  </si>
  <si>
    <t>Pool DD</t>
  </si>
  <si>
    <t>Oliver Walker</t>
  </si>
  <si>
    <t>Hermione Granger</t>
  </si>
  <si>
    <t>GRANGER</t>
  </si>
  <si>
    <t>Nathaniel Hawthorne</t>
  </si>
  <si>
    <t>HAWTHORNE</t>
  </si>
  <si>
    <t>Pool EE</t>
  </si>
  <si>
    <t>Yosef Green</t>
  </si>
  <si>
    <t>GREEN</t>
  </si>
  <si>
    <t>Parker Lewis</t>
  </si>
  <si>
    <t>Shiaijo A</t>
  </si>
  <si>
    <t>Shiaijo B</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</si>
  <si>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</si>
  <si>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</si>
  <si>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</si>
  <si>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</si>
  <si>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</si>
  <si>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</si>
  <si>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</si>
  <si>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</si>
  <si>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</si>
  <si>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</si>
  <si>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</si>
  <si>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</si>
  <si>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</si>
  <si>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</si>
  <si>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</si>
  <si>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</si>
  <si>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</si>
  <si>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</si>
  <si>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</si>
  <si>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</si>
  <si>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</si>
  <si>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</si>
  <si>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</si>
  <si>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</si>
  <si>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</si>
  <si>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</si>
  <si>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</si>
  <si>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</si>
  <si>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</si>
  <si>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</si>
  <si>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</si>
  <si>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</si>
  <si>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</si>
  <si>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</si>
  <si>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</si>
  <si>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</si>
  <si>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</si>
  <si>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</si>
  <si>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</si>
  <si>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</si>
  <si>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</si>
  <si>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</si>
  <si>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</si>
  <si>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</si>
  <si>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</si>
  <si>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</si>
  <si>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</si>
  <si>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</si>
  <si>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</si>
  <si>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</si>
  <si>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</si>
  <si>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</si>
  <si>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</si>
  <si>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</si>
  <si>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</si>
  <si>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</si>
  <si>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</si>
  <si>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</si>
  <si>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</si>
  <si>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</si>
  <si>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</si>
  <si>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</si>
  <si>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</si>
  <si>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</si>
  <si>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</si>
  <si>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</si>
  <si>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</si>
  <si>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</si>
  <si>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</si>
  <si>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</si>
  <si>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</si>
  <si>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</si>
  <si>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</si>
  <si>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</si>
  <si>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</si>
  <si>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</si>
  <si>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</si>
  <si>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</si>
  <si>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</si>
  <si>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</si>
  <si>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</si>
  <si>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</si>
  <si>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</si>
  <si>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</si>
  <si>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</si>
  <si>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</si>
  <si>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</si>
  <si>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</si>
  <si>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</si>
  <si>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</si>
  <si>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</si>
  <si>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</si>
  <si>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</si>
  <si>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</si>
  <si>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</si>
  <si>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</si>
  <si>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</si>
  <si>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</si>
  <si>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</si>
  <si>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</si>
  <si>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</si>
  <si>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</si>
  <si>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</si>
  <si>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</si>
  <si>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</si>
  <si>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</si>
  <si>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EE1</t>
  </si>
  <si>
    <t>EE2</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</si>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</sst>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18</v>
      </c>
      <c r="D6" t="s">
        <v>28</v>
      </c>
    </row>
    <row r="7">
      <c r="A7" t="s">
        <v>26</v>
      </c>
      <c r="B7" t="s">
        <v>29</v>
      </c>
      <c r="C7" t="s">
        <v>21</v>
      </c>
      <c r="D7" t="s">
        <v>30</v>
      </c>
    </row>
    <row r="8">
      <c r="A8" t="s">
        <v>26</v>
      </c>
      <c r="B8" t="s">
        <v>31</v>
      </c>
      <c r="C8" t="s">
        <v>32</v>
      </c>
      <c r="D8" t="s">
        <v>33</v>
      </c>
    </row>
    <row r="9">
      <c r="A9" t="s">
        <v>34</v>
      </c>
      <c r="B9" t="s">
        <v>35</v>
      </c>
      <c r="C9" t="s">
        <v>18</v>
      </c>
      <c r="D9" t="s">
        <v>36</v>
      </c>
    </row>
    <row r="10">
      <c r="A10" t="s">
        <v>34</v>
      </c>
      <c r="B10" t="s">
        <v>37</v>
      </c>
      <c r="C10" t="s">
        <v>38</v>
      </c>
      <c r="D10" t="s">
        <v>39</v>
      </c>
    </row>
    <row r="11">
      <c r="A11" t="s">
        <v>34</v>
      </c>
      <c r="B11" t="s">
        <v>40</v>
      </c>
      <c r="C11" t="s">
        <v>41</v>
      </c>
      <c r="D11" t="s">
        <v>42</v>
      </c>
    </row>
    <row r="12">
      <c r="A12" t="s">
        <v>43</v>
      </c>
      <c r="B12" t="s">
        <v>44</v>
      </c>
      <c r="C12" t="s">
        <v>18</v>
      </c>
      <c r="D12" t="s">
        <v>45</v>
      </c>
    </row>
    <row r="13">
      <c r="A13" t="s">
        <v>43</v>
      </c>
      <c r="B13" t="s">
        <v>46</v>
      </c>
      <c r="C13" t="s">
        <v>38</v>
      </c>
      <c r="D13" t="s">
        <v>47</v>
      </c>
    </row>
    <row r="14">
      <c r="A14" t="s">
        <v>43</v>
      </c>
      <c r="B14" t="s">
        <v>48</v>
      </c>
      <c r="C14" t="s">
        <v>49</v>
      </c>
      <c r="D14" t="s">
        <v>50</v>
      </c>
    </row>
    <row r="15">
      <c r="A15" t="s">
        <v>51</v>
      </c>
      <c r="B15" t="s">
        <v>52</v>
      </c>
      <c r="C15" t="s">
        <v>18</v>
      </c>
      <c r="D15" t="s">
        <v>53</v>
      </c>
    </row>
    <row r="16">
      <c r="A16" t="s">
        <v>51</v>
      </c>
      <c r="B16" t="s">
        <v>54</v>
      </c>
      <c r="C16" t="s">
        <v>38</v>
      </c>
      <c r="D16" t="s">
        <v>55</v>
      </c>
    </row>
    <row r="17">
      <c r="A17" t="s">
        <v>51</v>
      </c>
      <c r="B17" t="s">
        <v>56</v>
      </c>
      <c r="C17" t="s">
        <v>57</v>
      </c>
      <c r="D17" t="s">
        <v>58</v>
      </c>
    </row>
    <row r="18">
      <c r="A18" t="s">
        <v>59</v>
      </c>
      <c r="B18" t="s">
        <v>60</v>
      </c>
      <c r="C18" t="s">
        <v>18</v>
      </c>
      <c r="D18" t="s">
        <v>61</v>
      </c>
    </row>
    <row r="19">
      <c r="A19" t="s">
        <v>59</v>
      </c>
      <c r="B19" t="s">
        <v>62</v>
      </c>
      <c r="C19" t="s">
        <v>38</v>
      </c>
      <c r="D19" t="s">
        <v>63</v>
      </c>
    </row>
    <row r="20">
      <c r="A20" t="s">
        <v>59</v>
      </c>
      <c r="B20" t="s">
        <v>64</v>
      </c>
      <c r="C20" t="s">
        <v>65</v>
      </c>
      <c r="D20" t="s">
        <v>66</v>
      </c>
    </row>
    <row r="21">
      <c r="A21" t="s">
        <v>67</v>
      </c>
      <c r="B21" t="s">
        <v>68</v>
      </c>
      <c r="C21" t="s">
        <v>69</v>
      </c>
      <c r="D21" t="s">
        <v>70</v>
      </c>
    </row>
    <row r="22">
      <c r="A22" t="s">
        <v>67</v>
      </c>
      <c r="B22" t="s">
        <v>71</v>
      </c>
      <c r="C22" t="s">
        <v>72</v>
      </c>
      <c r="D22" t="s">
        <v>73</v>
      </c>
    </row>
    <row r="23">
      <c r="A23" t="s">
        <v>67</v>
      </c>
      <c r="B23" t="s">
        <v>74</v>
      </c>
      <c r="C23" t="s">
        <v>75</v>
      </c>
      <c r="D23" t="s">
        <v>76</v>
      </c>
    </row>
    <row r="24">
      <c r="A24" t="s">
        <v>77</v>
      </c>
      <c r="B24" t="s">
        <v>78</v>
      </c>
      <c r="C24" t="s">
        <v>69</v>
      </c>
      <c r="D24" t="s">
        <v>79</v>
      </c>
    </row>
    <row r="25">
      <c r="A25" t="s">
        <v>77</v>
      </c>
      <c r="B25" t="s">
        <v>80</v>
      </c>
      <c r="C25" t="s">
        <v>72</v>
      </c>
      <c r="D25" t="s">
        <v>81</v>
      </c>
    </row>
    <row r="26">
      <c r="A26" t="s">
        <v>77</v>
      </c>
      <c r="B26" t="s">
        <v>82</v>
      </c>
      <c r="C26" t="s">
        <v>83</v>
      </c>
      <c r="D26" t="s">
        <v>84</v>
      </c>
    </row>
    <row r="27">
      <c r="A27" t="s">
        <v>85</v>
      </c>
      <c r="B27" t="s">
        <v>86</v>
      </c>
      <c r="C27" t="s">
        <v>69</v>
      </c>
      <c r="D27" t="s">
        <v>87</v>
      </c>
    </row>
    <row r="28">
      <c r="A28" t="s">
        <v>85</v>
      </c>
      <c r="B28" t="s">
        <v>88</v>
      </c>
      <c r="C28" t="s">
        <v>89</v>
      </c>
      <c r="D28" t="s">
        <v>90</v>
      </c>
    </row>
    <row r="29">
      <c r="A29" t="s">
        <v>85</v>
      </c>
      <c r="B29" t="s">
        <v>91</v>
      </c>
      <c r="C29" t="s">
        <v>92</v>
      </c>
      <c r="D29" t="s">
        <v>93</v>
      </c>
    </row>
    <row r="30">
      <c r="A30" t="s">
        <v>94</v>
      </c>
      <c r="B30" t="s">
        <v>95</v>
      </c>
      <c r="C30" t="s">
        <v>69</v>
      </c>
      <c r="D30" t="s">
        <v>25</v>
      </c>
    </row>
    <row r="31">
      <c r="A31" t="s">
        <v>94</v>
      </c>
      <c r="B31" t="s">
        <v>96</v>
      </c>
      <c r="C31" t="s">
        <v>89</v>
      </c>
      <c r="D31" t="s">
        <v>97</v>
      </c>
    </row>
    <row r="32">
      <c r="A32" t="s">
        <v>94</v>
      </c>
      <c r="B32" t="s">
        <v>98</v>
      </c>
      <c r="C32" t="s">
        <v>99</v>
      </c>
      <c r="D32" t="s">
        <v>100</v>
      </c>
    </row>
    <row r="33">
      <c r="A33" t="s">
        <v>101</v>
      </c>
      <c r="B33" t="s">
        <v>102</v>
      </c>
      <c r="C33" t="s">
        <v>103</v>
      </c>
      <c r="D33" t="s">
        <v>45</v>
      </c>
    </row>
    <row r="34">
      <c r="A34" t="s">
        <v>101</v>
      </c>
      <c r="B34" t="s">
        <v>104</v>
      </c>
      <c r="C34" t="s">
        <v>105</v>
      </c>
      <c r="D34" t="s">
        <v>106</v>
      </c>
    </row>
    <row r="35">
      <c r="A35" t="s">
        <v>101</v>
      </c>
      <c r="B35" t="s">
        <v>107</v>
      </c>
      <c r="C35" t="s">
        <v>108</v>
      </c>
      <c r="D35" t="s">
        <v>109</v>
      </c>
    </row>
    <row r="36">
      <c r="A36" t="s">
        <v>110</v>
      </c>
      <c r="B36" t="s">
        <v>111</v>
      </c>
      <c r="C36" t="s">
        <v>103</v>
      </c>
      <c r="D36" t="s">
        <v>112</v>
      </c>
    </row>
    <row r="37">
      <c r="A37" t="s">
        <v>110</v>
      </c>
      <c r="B37" t="s">
        <v>113</v>
      </c>
      <c r="C37" t="s">
        <v>105</v>
      </c>
      <c r="D37" t="s">
        <v>114</v>
      </c>
    </row>
    <row r="38">
      <c r="A38" t="s">
        <v>110</v>
      </c>
      <c r="B38" t="s">
        <v>115</v>
      </c>
      <c r="C38" t="s">
        <v>116</v>
      </c>
      <c r="D38" t="s">
        <v>117</v>
      </c>
    </row>
    <row r="39">
      <c r="A39" t="s">
        <v>118</v>
      </c>
      <c r="B39" t="s">
        <v>119</v>
      </c>
      <c r="C39" t="s">
        <v>103</v>
      </c>
      <c r="D39" t="s">
        <v>120</v>
      </c>
    </row>
    <row r="40">
      <c r="A40" t="s">
        <v>118</v>
      </c>
      <c r="B40" t="s">
        <v>121</v>
      </c>
      <c r="C40" t="s">
        <v>122</v>
      </c>
      <c r="D40" t="s">
        <v>123</v>
      </c>
    </row>
    <row r="41">
      <c r="A41" t="s">
        <v>118</v>
      </c>
      <c r="B41" t="s">
        <v>124</v>
      </c>
      <c r="C41" t="s">
        <v>125</v>
      </c>
      <c r="D41" t="s">
        <v>126</v>
      </c>
    </row>
    <row r="42">
      <c r="A42" t="s">
        <v>127</v>
      </c>
      <c r="B42" t="s">
        <v>128</v>
      </c>
      <c r="C42" t="s">
        <v>103</v>
      </c>
      <c r="D42" t="s">
        <v>129</v>
      </c>
    </row>
    <row r="43">
      <c r="A43" t="s">
        <v>127</v>
      </c>
      <c r="B43" t="s">
        <v>130</v>
      </c>
      <c r="C43" t="s">
        <v>122</v>
      </c>
      <c r="D43" t="s">
        <v>131</v>
      </c>
    </row>
    <row r="44">
      <c r="A44" t="s">
        <v>127</v>
      </c>
      <c r="B44" t="s">
        <v>132</v>
      </c>
      <c r="C44" t="s">
        <v>133</v>
      </c>
      <c r="D44" t="s">
        <v>134</v>
      </c>
    </row>
    <row r="45">
      <c r="A45" t="s">
        <v>135</v>
      </c>
      <c r="B45" t="s">
        <v>136</v>
      </c>
      <c r="C45" t="s">
        <v>21</v>
      </c>
      <c r="D45" t="s">
        <v>87</v>
      </c>
    </row>
    <row r="46">
      <c r="A46" t="s">
        <v>135</v>
      </c>
      <c r="B46" t="s">
        <v>137</v>
      </c>
      <c r="C46" t="s">
        <v>24</v>
      </c>
      <c r="D46" t="s">
        <v>138</v>
      </c>
    </row>
    <row r="47">
      <c r="A47" t="s">
        <v>135</v>
      </c>
      <c r="B47" t="s">
        <v>139</v>
      </c>
      <c r="C47" t="s">
        <v>140</v>
      </c>
      <c r="D47" t="s">
        <v>141</v>
      </c>
    </row>
    <row r="48">
      <c r="A48" t="s">
        <v>142</v>
      </c>
      <c r="B48" t="s">
        <v>143</v>
      </c>
      <c r="C48" t="s">
        <v>21</v>
      </c>
      <c r="D48" t="s">
        <v>144</v>
      </c>
    </row>
    <row r="49">
      <c r="A49" t="s">
        <v>142</v>
      </c>
      <c r="B49" t="s">
        <v>145</v>
      </c>
      <c r="C49" t="s">
        <v>24</v>
      </c>
      <c r="D49" t="s">
        <v>146</v>
      </c>
    </row>
    <row r="50">
      <c r="A50" t="s">
        <v>147</v>
      </c>
      <c r="B50" t="s">
        <v>148</v>
      </c>
      <c r="C50" t="s">
        <v>18</v>
      </c>
      <c r="D50" t="s">
        <v>149</v>
      </c>
    </row>
    <row r="51">
      <c r="A51" t="s">
        <v>147</v>
      </c>
      <c r="B51" t="s">
        <v>150</v>
      </c>
      <c r="C51" t="s">
        <v>21</v>
      </c>
      <c r="D51" t="s">
        <v>47</v>
      </c>
    </row>
    <row r="52">
      <c r="A52" t="s">
        <v>147</v>
      </c>
      <c r="B52" t="s">
        <v>151</v>
      </c>
      <c r="C52" t="s">
        <v>32</v>
      </c>
      <c r="D52" t="s">
        <v>152</v>
      </c>
    </row>
    <row r="53">
      <c r="A53" t="s">
        <v>153</v>
      </c>
      <c r="B53" t="s">
        <v>154</v>
      </c>
      <c r="C53" t="s">
        <v>18</v>
      </c>
      <c r="D53" t="s">
        <v>155</v>
      </c>
    </row>
    <row r="54">
      <c r="A54" t="s">
        <v>153</v>
      </c>
      <c r="B54" t="s">
        <v>156</v>
      </c>
      <c r="C54" t="s">
        <v>21</v>
      </c>
      <c r="D54" t="s">
        <v>157</v>
      </c>
    </row>
    <row r="55">
      <c r="A55" t="s">
        <v>153</v>
      </c>
      <c r="B55" t="s">
        <v>158</v>
      </c>
      <c r="C55" t="s">
        <v>41</v>
      </c>
      <c r="D55" t="s">
        <v>159</v>
      </c>
    </row>
    <row r="56">
      <c r="A56" t="s">
        <v>160</v>
      </c>
      <c r="B56" t="s">
        <v>161</v>
      </c>
      <c r="C56" t="s">
        <v>18</v>
      </c>
      <c r="D56" t="s">
        <v>162</v>
      </c>
    </row>
    <row r="57">
      <c r="A57" t="s">
        <v>160</v>
      </c>
      <c r="B57" t="s">
        <v>163</v>
      </c>
      <c r="C57" t="s">
        <v>38</v>
      </c>
      <c r="D57" t="s">
        <v>164</v>
      </c>
    </row>
    <row r="58">
      <c r="A58" t="s">
        <v>160</v>
      </c>
      <c r="B58" t="s">
        <v>165</v>
      </c>
      <c r="C58" t="s">
        <v>49</v>
      </c>
      <c r="D58" t="s">
        <v>166</v>
      </c>
    </row>
    <row r="59">
      <c r="A59" t="s">
        <v>167</v>
      </c>
      <c r="B59" t="s">
        <v>168</v>
      </c>
      <c r="C59" t="s">
        <v>18</v>
      </c>
      <c r="D59" t="s">
        <v>169</v>
      </c>
    </row>
    <row r="60">
      <c r="A60" t="s">
        <v>167</v>
      </c>
      <c r="B60" t="s">
        <v>170</v>
      </c>
      <c r="C60" t="s">
        <v>38</v>
      </c>
      <c r="D60" t="s">
        <v>171</v>
      </c>
    </row>
    <row r="61">
      <c r="A61" t="s">
        <v>167</v>
      </c>
      <c r="B61" t="s">
        <v>172</v>
      </c>
      <c r="C61" t="s">
        <v>57</v>
      </c>
      <c r="D61" t="s">
        <v>173</v>
      </c>
    </row>
    <row r="62">
      <c r="A62" t="s">
        <v>174</v>
      </c>
      <c r="B62" t="s">
        <v>175</v>
      </c>
      <c r="C62" t="s">
        <v>18</v>
      </c>
      <c r="D62" t="s">
        <v>176</v>
      </c>
    </row>
    <row r="63">
      <c r="A63" t="s">
        <v>174</v>
      </c>
      <c r="B63" t="s">
        <v>177</v>
      </c>
      <c r="C63" t="s">
        <v>38</v>
      </c>
      <c r="D63" t="s">
        <v>28</v>
      </c>
    </row>
    <row r="64">
      <c r="A64" t="s">
        <v>174</v>
      </c>
      <c r="B64" t="s">
        <v>178</v>
      </c>
      <c r="C64" t="s">
        <v>65</v>
      </c>
      <c r="D64" t="s">
        <v>179</v>
      </c>
    </row>
    <row r="65">
      <c r="A65" t="s">
        <v>180</v>
      </c>
      <c r="B65" t="s">
        <v>181</v>
      </c>
      <c r="C65" t="s">
        <v>69</v>
      </c>
      <c r="D65" t="s">
        <v>22</v>
      </c>
    </row>
    <row r="66">
      <c r="A66" t="s">
        <v>180</v>
      </c>
      <c r="B66" t="s">
        <v>182</v>
      </c>
      <c r="C66" t="s">
        <v>38</v>
      </c>
      <c r="D66" t="s">
        <v>134</v>
      </c>
    </row>
    <row r="67">
      <c r="A67" t="s">
        <v>180</v>
      </c>
      <c r="B67" t="s">
        <v>183</v>
      </c>
      <c r="C67" t="s">
        <v>75</v>
      </c>
      <c r="D67" t="s">
        <v>184</v>
      </c>
    </row>
    <row r="68">
      <c r="A68" t="s">
        <v>185</v>
      </c>
      <c r="B68" t="s">
        <v>186</v>
      </c>
      <c r="C68" t="s">
        <v>69</v>
      </c>
      <c r="D68" t="s">
        <v>120</v>
      </c>
    </row>
    <row r="69">
      <c r="A69" t="s">
        <v>185</v>
      </c>
      <c r="B69" t="s">
        <v>187</v>
      </c>
      <c r="C69" t="s">
        <v>72</v>
      </c>
      <c r="D69" t="s">
        <v>188</v>
      </c>
    </row>
    <row r="70">
      <c r="A70" t="s">
        <v>185</v>
      </c>
      <c r="B70" t="s">
        <v>189</v>
      </c>
      <c r="C70" t="s">
        <v>83</v>
      </c>
      <c r="D70" t="s">
        <v>190</v>
      </c>
    </row>
    <row r="71">
      <c r="A71" t="s">
        <v>191</v>
      </c>
      <c r="B71" t="s">
        <v>192</v>
      </c>
      <c r="C71" t="s">
        <v>69</v>
      </c>
      <c r="D71" t="s">
        <v>36</v>
      </c>
    </row>
    <row r="72">
      <c r="A72" t="s">
        <v>191</v>
      </c>
      <c r="B72" t="s">
        <v>193</v>
      </c>
      <c r="C72" t="s">
        <v>72</v>
      </c>
      <c r="D72" t="s">
        <v>194</v>
      </c>
    </row>
    <row r="73">
      <c r="A73" t="s">
        <v>191</v>
      </c>
      <c r="B73" t="s">
        <v>195</v>
      </c>
      <c r="C73" t="s">
        <v>92</v>
      </c>
      <c r="D73" t="s">
        <v>58</v>
      </c>
    </row>
    <row r="74">
      <c r="A74" t="s">
        <v>196</v>
      </c>
      <c r="B74" t="s">
        <v>197</v>
      </c>
      <c r="C74" t="s">
        <v>69</v>
      </c>
      <c r="D74" t="s">
        <v>198</v>
      </c>
    </row>
    <row r="75">
      <c r="A75" t="s">
        <v>196</v>
      </c>
      <c r="B75" t="s">
        <v>199</v>
      </c>
      <c r="C75" t="s">
        <v>89</v>
      </c>
      <c r="D75" t="s">
        <v>70</v>
      </c>
    </row>
    <row r="76">
      <c r="A76" t="s">
        <v>196</v>
      </c>
      <c r="B76" t="s">
        <v>200</v>
      </c>
      <c r="C76" t="s">
        <v>99</v>
      </c>
      <c r="D76" t="s">
        <v>201</v>
      </c>
    </row>
    <row r="77">
      <c r="A77" t="s">
        <v>202</v>
      </c>
      <c r="B77" t="s">
        <v>203</v>
      </c>
      <c r="C77" t="s">
        <v>103</v>
      </c>
      <c r="D77" t="s">
        <v>204</v>
      </c>
    </row>
    <row r="78">
      <c r="A78" t="s">
        <v>202</v>
      </c>
      <c r="B78" t="s">
        <v>205</v>
      </c>
      <c r="C78" t="s">
        <v>89</v>
      </c>
      <c r="D78" t="s">
        <v>206</v>
      </c>
    </row>
    <row r="79">
      <c r="A79" t="s">
        <v>202</v>
      </c>
      <c r="B79" t="s">
        <v>207</v>
      </c>
      <c r="C79" t="s">
        <v>108</v>
      </c>
      <c r="D79" t="s">
        <v>208</v>
      </c>
    </row>
    <row r="80">
      <c r="A80" t="s">
        <v>209</v>
      </c>
      <c r="B80" t="s">
        <v>210</v>
      </c>
      <c r="C80" t="s">
        <v>103</v>
      </c>
      <c r="D80" t="s">
        <v>211</v>
      </c>
    </row>
    <row r="81">
      <c r="A81" t="s">
        <v>209</v>
      </c>
      <c r="B81" t="s">
        <v>212</v>
      </c>
      <c r="C81" t="s">
        <v>105</v>
      </c>
      <c r="D81" t="s">
        <v>164</v>
      </c>
    </row>
    <row r="82">
      <c r="A82" t="s">
        <v>209</v>
      </c>
      <c r="B82" t="s">
        <v>213</v>
      </c>
      <c r="C82" t="s">
        <v>116</v>
      </c>
      <c r="D82" t="s">
        <v>214</v>
      </c>
    </row>
    <row r="83">
      <c r="A83" t="s">
        <v>215</v>
      </c>
      <c r="B83" t="s">
        <v>216</v>
      </c>
      <c r="C83" t="s">
        <v>103</v>
      </c>
      <c r="D83" t="s">
        <v>19</v>
      </c>
    </row>
    <row r="84">
      <c r="A84" t="s">
        <v>215</v>
      </c>
      <c r="B84" t="s">
        <v>217</v>
      </c>
      <c r="C84" t="s">
        <v>105</v>
      </c>
      <c r="D84" t="s">
        <v>218</v>
      </c>
    </row>
    <row r="85">
      <c r="A85" t="s">
        <v>215</v>
      </c>
      <c r="B85" t="s">
        <v>219</v>
      </c>
      <c r="C85" t="s">
        <v>125</v>
      </c>
      <c r="D85" t="s">
        <v>220</v>
      </c>
    </row>
    <row r="86">
      <c r="A86" t="s">
        <v>221</v>
      </c>
      <c r="B86" t="s">
        <v>222</v>
      </c>
      <c r="C86" t="s">
        <v>103</v>
      </c>
      <c r="D86" t="s">
        <v>223</v>
      </c>
    </row>
    <row r="87">
      <c r="A87" t="s">
        <v>221</v>
      </c>
      <c r="B87" t="s">
        <v>224</v>
      </c>
      <c r="C87" t="s">
        <v>122</v>
      </c>
      <c r="D87" t="s">
        <v>149</v>
      </c>
    </row>
    <row r="88">
      <c r="A88" t="s">
        <v>221</v>
      </c>
      <c r="B88" t="s">
        <v>225</v>
      </c>
      <c r="C88" t="s">
        <v>133</v>
      </c>
      <c r="D88" t="s">
        <v>226</v>
      </c>
    </row>
    <row r="89">
      <c r="A89" t="s">
        <v>227</v>
      </c>
      <c r="B89" t="s">
        <v>228</v>
      </c>
      <c r="C89" t="s">
        <v>21</v>
      </c>
      <c r="D89" t="s">
        <v>188</v>
      </c>
    </row>
    <row r="90">
      <c r="A90" t="s">
        <v>227</v>
      </c>
      <c r="B90" t="s">
        <v>229</v>
      </c>
      <c r="C90" t="s">
        <v>122</v>
      </c>
      <c r="D90" t="s">
        <v>230</v>
      </c>
    </row>
    <row r="91">
      <c r="A91" t="s">
        <v>227</v>
      </c>
      <c r="B91" t="s">
        <v>231</v>
      </c>
      <c r="C91" t="s">
        <v>140</v>
      </c>
      <c r="D91" t="s">
        <v>232</v>
      </c>
    </row>
    <row r="92">
      <c r="A92" t="s">
        <v>233</v>
      </c>
      <c r="B92" t="s">
        <v>234</v>
      </c>
      <c r="C92" t="s">
        <v>21</v>
      </c>
      <c r="D92" t="s">
        <v>235</v>
      </c>
    </row>
    <row r="93">
      <c r="A93" t="s">
        <v>233</v>
      </c>
      <c r="B93" t="s">
        <v>236</v>
      </c>
      <c r="C93" t="s">
        <v>24</v>
      </c>
      <c r="D93" t="s">
        <v>39</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409</v>
      </c>
      <c r="F13" s="13"/>
      <c r="G13" s="13"/>
      <c r="H13" s="13"/>
    </row>
    <row r="14">
      <c r="A14">
        <v>2</v>
      </c>
      <c r="E14" s="32" t="s">
        <v>410</v>
      </c>
      <c r="F14" s="32"/>
      <c r="G14" s="32"/>
      <c r="H14" s="31" t="str">
        <f>H2</f>
      </c>
    </row>
    <row r="15">
      <c r="E15" s="32" t="s">
        <v>411</v>
      </c>
      <c r="F15" s="32"/>
      <c r="G15" s="32"/>
      <c r="H15" s="31" t="str">
        <f>H8</f>
      </c>
    </row>
    <row r="16">
      <c r="E16" s="32" t="s">
        <v>412</v>
      </c>
      <c r="F16" s="32"/>
      <c r="G16" s="32"/>
      <c r="H16" s="31" t="str">
        <f>H14+H15</f>
      </c>
    </row>
    <row r="17">
      <c r="E17" s="32" t="s">
        <v>413</v>
      </c>
      <c r="F17" s="32"/>
      <c r="G17" s="32"/>
      <c r="H17" s="31" t="str">
        <f>H16/A14</f>
      </c>
    </row>
    <row r="18">
      <c r="E18" s="13" t="s">
        <v>414</v>
      </c>
      <c r="F18" s="13"/>
      <c r="G18" s="13"/>
      <c r="H18" s="33">
        <v>0.375</v>
      </c>
    </row>
    <row r="19">
      <c r="E19" s="13" t="s">
        <v>415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"1. " &amp; data!$B$3</f>
      </c>
      <c r="D6" s="12" t="str">
        <f>"1. " &amp; data!$B$36</f>
      </c>
      <c r="F6" s="12" t="str">
        <f>"1. " &amp; data!$B$65</f>
      </c>
    </row>
    <row r="7" ht="17" customHeight="true">
      <c r="B7" s="12" t="str">
        <f>"2. " &amp; data!$B$4</f>
      </c>
      <c r="D7" s="12" t="str">
        <f>"2. " &amp; data!$B$37</f>
      </c>
      <c r="F7" s="12" t="str">
        <f>"2. " &amp; data!$B$66</f>
      </c>
    </row>
    <row r="8">
      <c r="B8" s="12" t="str">
        <f>"3. " &amp; data!$B$5</f>
      </c>
      <c r="D8" s="12" t="str">
        <f>"3. " &amp; data!$B$38</f>
      </c>
      <c r="F8" s="12" t="str">
        <f>"3. " &amp; data!$B$67</f>
      </c>
    </row>
    <row r="11">
      <c r="B11" s="11" t="str">
        <f>'data'!$A$8</f>
      </c>
      <c r="D11" s="11" t="str">
        <f>'data'!$A$41</f>
      </c>
      <c r="F11" s="11" t="str">
        <f>'data'!$A$70</f>
      </c>
    </row>
    <row r="12">
      <c r="B12" s="12" t="str">
        <f>"1. " &amp; data!$B$6</f>
      </c>
      <c r="D12" s="12" t="str">
        <f>"1. " &amp; data!$B$39</f>
      </c>
      <c r="F12" s="12" t="str">
        <f>"1. " &amp; data!$B$68</f>
      </c>
    </row>
    <row r="13">
      <c r="B13" s="12" t="str">
        <f>"2. " &amp; data!$B$7</f>
      </c>
      <c r="D13" s="12" t="str">
        <f>"2. " &amp; data!$B$40</f>
      </c>
      <c r="F13" s="12" t="str">
        <f>"2. " &amp; data!$B$69</f>
      </c>
    </row>
    <row r="14">
      <c r="B14" s="12" t="str">
        <f>"3. " &amp; data!$B$8</f>
      </c>
      <c r="D14" s="12" t="str">
        <f>"3. " &amp; data!$B$41</f>
      </c>
      <c r="F14" s="12" t="str">
        <f>"3. " &amp; data!$B$70</f>
      </c>
    </row>
    <row r="17">
      <c r="B17" s="11" t="str">
        <f>'data'!$A$11</f>
      </c>
      <c r="D17" s="11" t="str">
        <f>'data'!$A$44</f>
      </c>
      <c r="F17" s="11" t="str">
        <f>'data'!$A$73</f>
      </c>
    </row>
    <row r="18">
      <c r="B18" s="12" t="str">
        <f>"1. " &amp; data!$B$9</f>
      </c>
      <c r="D18" s="12" t="str">
        <f>"1. " &amp; data!$B$42</f>
      </c>
      <c r="F18" s="12" t="str">
        <f>"1. " &amp; data!$B$71</f>
      </c>
    </row>
    <row r="19">
      <c r="B19" s="12" t="str">
        <f>"2. " &amp; data!$B$10</f>
      </c>
      <c r="D19" s="12" t="str">
        <f>"2. " &amp; data!$B$43</f>
      </c>
      <c r="F19" s="12" t="str">
        <f>"2. " &amp; data!$B$72</f>
      </c>
    </row>
    <row r="20">
      <c r="B20" s="12" t="str">
        <f>"3. " &amp; data!$B$11</f>
      </c>
      <c r="D20" s="12" t="str">
        <f>"3. " &amp; data!$B$44</f>
      </c>
      <c r="F20" s="12" t="str">
        <f>"3. " &amp; data!$B$73</f>
      </c>
    </row>
    <row r="23">
      <c r="B23" s="11" t="str">
        <f>'data'!$A$14</f>
      </c>
      <c r="D23" s="11" t="str">
        <f>'data'!$A$47</f>
      </c>
      <c r="F23" s="11" t="str">
        <f>'data'!$A$76</f>
      </c>
    </row>
    <row r="24">
      <c r="B24" s="12" t="str">
        <f>"1. " &amp; data!$B$12</f>
      </c>
      <c r="D24" s="12" t="str">
        <f>"1. " &amp; data!$B$45</f>
      </c>
      <c r="F24" s="12" t="str">
        <f>"1. " &amp; data!$B$74</f>
      </c>
    </row>
    <row r="25">
      <c r="B25" s="12" t="str">
        <f>"2. " &amp; data!$B$13</f>
      </c>
      <c r="D25" s="12" t="str">
        <f>"2. " &amp; data!$B$46</f>
      </c>
      <c r="F25" s="12" t="str">
        <f>"2. " &amp; data!$B$75</f>
      </c>
    </row>
    <row r="26">
      <c r="B26" s="12" t="str">
        <f>"3. " &amp; data!$B$14</f>
      </c>
      <c r="D26" s="12" t="str">
        <f>"3. " &amp; data!$B$47</f>
      </c>
      <c r="F26" s="12" t="str">
        <f>"3. " &amp; data!$B$76</f>
      </c>
    </row>
    <row r="29">
      <c r="B29" s="11" t="str">
        <f>'data'!$A$17</f>
      </c>
      <c r="D29" s="11" t="str">
        <f>'data'!$A$49</f>
      </c>
      <c r="F29" s="11" t="str">
        <f>'data'!$A$79</f>
      </c>
    </row>
    <row r="30">
      <c r="B30" s="12" t="str">
        <f>"1. " &amp; data!$B$15</f>
      </c>
      <c r="D30" s="12" t="str">
        <f>"1. " &amp; data!$B$48</f>
      </c>
      <c r="F30" s="12" t="str">
        <f>"1. " &amp; data!$B$77</f>
      </c>
    </row>
    <row r="31">
      <c r="B31" s="12" t="str">
        <f>"2. " &amp; data!$B$16</f>
      </c>
      <c r="D31" s="12" t="str">
        <f>"2. " &amp; data!$B$49</f>
      </c>
      <c r="F31" s="12" t="str">
        <f>"2. " &amp; data!$B$78</f>
      </c>
    </row>
    <row r="32">
      <c r="B32" s="12" t="str">
        <f>"3. " &amp; data!$B$17</f>
      </c>
      <c r="F32" s="12" t="str">
        <f>"3. " &amp; data!$B$79</f>
      </c>
    </row>
    <row r="34">
      <c r="D34" s="11" t="str">
        <f>'data'!$A$52</f>
      </c>
    </row>
    <row r="35">
      <c r="B35" s="11" t="str">
        <f>'data'!$A$20</f>
      </c>
      <c r="D35" s="12" t="str">
        <f>"1. " &amp; data!$B$50</f>
      </c>
      <c r="F35" s="11" t="str">
        <f>'data'!$A$82</f>
      </c>
    </row>
    <row r="36">
      <c r="B36" s="12" t="str">
        <f>"1. " &amp; data!$B$18</f>
      </c>
      <c r="D36" s="12" t="str">
        <f>"2. " &amp; data!$B$51</f>
      </c>
      <c r="F36" s="12" t="str">
        <f>"1. " &amp; data!$B$80</f>
      </c>
    </row>
    <row r="37">
      <c r="B37" s="12" t="str">
        <f>"2. " &amp; data!$B$19</f>
      </c>
      <c r="D37" s="12" t="str">
        <f>"3. " &amp; data!$B$52</f>
      </c>
      <c r="F37" s="12" t="str">
        <f>"2. " &amp; data!$B$81</f>
      </c>
    </row>
    <row r="38">
      <c r="B38" s="12" t="str">
        <f>"3. " &amp; data!$B$20</f>
      </c>
      <c r="F38" s="12" t="str">
        <f>"3. " &amp; data!$B$82</f>
      </c>
    </row>
    <row r="40">
      <c r="D40" s="11" t="str">
        <f>'data'!$A$55</f>
      </c>
    </row>
    <row r="41">
      <c r="B41" s="11" t="str">
        <f>'data'!$A$23</f>
      </c>
      <c r="D41" s="12" t="str">
        <f>"1. " &amp; data!$B$53</f>
      </c>
      <c r="F41" s="11" t="str">
        <f>'data'!$A$85</f>
      </c>
    </row>
    <row r="42">
      <c r="B42" s="12" t="str">
        <f>"1. " &amp; data!$B$21</f>
      </c>
      <c r="D42" s="12" t="str">
        <f>"2. " &amp; data!$B$54</f>
      </c>
      <c r="F42" s="12" t="str">
        <f>"1. " &amp; data!$B$83</f>
      </c>
    </row>
    <row r="43">
      <c r="B43" s="12" t="str">
        <f>"2. " &amp; data!$B$22</f>
      </c>
      <c r="D43" s="12" t="str">
        <f>"3. " &amp; data!$B$55</f>
      </c>
      <c r="F43" s="12" t="str">
        <f>"2. " &amp; data!$B$84</f>
      </c>
    </row>
    <row r="44">
      <c r="B44" s="12" t="str">
        <f>"3. " &amp; data!$B$23</f>
      </c>
      <c r="F44" s="12" t="str">
        <f>"3. " &amp; data!$B$85</f>
      </c>
    </row>
    <row r="46">
      <c r="D46" s="11" t="str">
        <f>'data'!$A$58</f>
      </c>
    </row>
    <row r="47">
      <c r="B47" s="11" t="str">
        <f>'data'!$A$26</f>
      </c>
      <c r="D47" s="12" t="str">
        <f>"1. " &amp; data!$B$56</f>
      </c>
      <c r="F47" s="11" t="str">
        <f>'data'!$A$88</f>
      </c>
    </row>
    <row r="48">
      <c r="B48" s="12" t="str">
        <f>"1. " &amp; data!$B$24</f>
      </c>
      <c r="D48" s="12" t="str">
        <f>"2. " &amp; data!$B$57</f>
      </c>
      <c r="F48" s="12" t="str">
        <f>"1. " &amp; data!$B$86</f>
      </c>
    </row>
    <row r="49">
      <c r="B49" s="12" t="str">
        <f>"2. " &amp; data!$B$25</f>
      </c>
      <c r="D49" s="12" t="str">
        <f>"3. " &amp; data!$B$58</f>
      </c>
      <c r="F49" s="12" t="str">
        <f>"2. " &amp; data!$B$87</f>
      </c>
    </row>
    <row r="50">
      <c r="B50" s="12" t="str">
        <f>"3. " &amp; data!$B$26</f>
      </c>
      <c r="F50" s="12" t="str">
        <f>"3. " &amp; data!$B$88</f>
      </c>
    </row>
    <row r="52">
      <c r="D52" s="11" t="str">
        <f>'data'!$A$61</f>
      </c>
    </row>
    <row r="53">
      <c r="B53" s="11" t="str">
        <f>'data'!$A$29</f>
      </c>
      <c r="D53" s="12" t="str">
        <f>"1. " &amp; data!$B$59</f>
      </c>
      <c r="F53" s="11" t="str">
        <f>'data'!$A$91</f>
      </c>
    </row>
    <row r="54">
      <c r="B54" s="12" t="str">
        <f>"1. " &amp; data!$B$27</f>
      </c>
      <c r="D54" s="12" t="str">
        <f>"2. " &amp; data!$B$60</f>
      </c>
      <c r="F54" s="12" t="str">
        <f>"1. " &amp; data!$B$89</f>
      </c>
    </row>
    <row r="55">
      <c r="B55" s="12" t="str">
        <f>"2. " &amp; data!$B$28</f>
      </c>
      <c r="D55" s="12" t="str">
        <f>"3. " &amp; data!$B$61</f>
      </c>
      <c r="F55" s="12" t="str">
        <f>"2. " &amp; data!$B$90</f>
      </c>
    </row>
    <row r="56">
      <c r="B56" s="12" t="str">
        <f>"3. " &amp; data!$B$29</f>
      </c>
      <c r="F56" s="12" t="str">
        <f>"3. " &amp; data!$B$91</f>
      </c>
    </row>
    <row r="58">
      <c r="D58" s="11" t="str">
        <f>'data'!$A$64</f>
      </c>
    </row>
    <row r="59">
      <c r="B59" s="11" t="str">
        <f>'data'!$A$32</f>
      </c>
      <c r="D59" s="12" t="str">
        <f>"1. " &amp; data!$B$62</f>
      </c>
      <c r="F59" s="11" t="str">
        <f>'data'!$A$93</f>
      </c>
    </row>
    <row r="60">
      <c r="B60" s="12" t="str">
        <f>"1. " &amp; data!$B$30</f>
      </c>
      <c r="D60" s="12" t="str">
        <f>"2. " &amp; data!$B$63</f>
      </c>
      <c r="F60" s="12" t="str">
        <f>"1. " &amp; data!$B$92</f>
      </c>
    </row>
    <row r="61">
      <c r="B61" s="12" t="str">
        <f>"2. " &amp; data!$B$31</f>
      </c>
      <c r="D61" s="12" t="str">
        <f>"3. " &amp; data!$B$64</f>
      </c>
      <c r="F61" s="12" t="str">
        <f>"2. " &amp; data!$B$93</f>
      </c>
    </row>
    <row r="62">
      <c r="B62" s="12" t="str">
        <f>"3. " &amp; data!$B$32</f>
      </c>
    </row>
    <row r="65">
      <c r="B65" s="11" t="str">
        <f>'data'!$A$35</f>
      </c>
    </row>
    <row r="66">
      <c r="B66" s="12" t="str">
        <f>"1. " &amp; data!$B$33</f>
      </c>
    </row>
    <row r="67">
      <c r="B67" s="12" t="str">
        <f>"2. " &amp; data!$B$34</f>
      </c>
    </row>
    <row r="68">
      <c r="B68" s="12" t="str">
        <f>"3. " &amp; 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237</v>
      </c>
      <c r="B1" s="13"/>
      <c r="C1" s="13"/>
      <c r="D1" s="13"/>
      <c r="E1" s="13"/>
      <c r="F1" s="13"/>
      <c r="G1" s="13"/>
      <c r="I1" s="13" t="s">
        <v>238</v>
      </c>
      <c r="J1" s="13"/>
      <c r="K1" s="13"/>
      <c r="L1" s="13"/>
      <c r="M1" s="13"/>
      <c r="N1" s="13"/>
      <c r="O1" s="13"/>
    </row>
    <row r="2">
      <c r="A2" s="13" t="str">
        <f>'data'!$A$5</f>
      </c>
      <c r="B2" s="13"/>
      <c r="C2" s="13"/>
      <c r="D2" s="13"/>
      <c r="E2" s="13"/>
      <c r="F2" s="13"/>
      <c r="G2" s="13"/>
      <c r="I2" s="13" t="str">
        <f>'data'!$A$52</f>
      </c>
      <c r="J2" s="13"/>
      <c r="K2" s="13"/>
      <c r="L2" s="13"/>
      <c r="M2" s="13"/>
      <c r="N2" s="13"/>
      <c r="O2" s="13"/>
    </row>
    <row r="3">
      <c r="A3" s="17" t="s">
        <v>239</v>
      </c>
      <c r="B3" s="14"/>
      <c r="C3" s="14"/>
      <c r="D3" s="14" t="s">
        <v>240</v>
      </c>
      <c r="E3" s="14"/>
      <c r="F3" s="14"/>
      <c r="G3" s="16" t="s">
        <v>241</v>
      </c>
      <c r="I3" s="17" t="s">
        <v>239</v>
      </c>
      <c r="J3" s="14"/>
      <c r="K3" s="14"/>
      <c r="L3" s="14" t="s">
        <v>240</v>
      </c>
      <c r="M3" s="14"/>
      <c r="N3" s="14"/>
      <c r="O3" s="16" t="s">
        <v>241</v>
      </c>
    </row>
    <row r="4">
      <c r="A4" s="14" t="str">
        <f>'data'!$B$4</f>
      </c>
      <c r="B4" s="14" t="str">
        <f>SUMPRODUCT((UPPER(D5:D9)&lt;&gt;"X")*((LEN(SUBSTITUTE(SUBSTITUTE(SUBSTITUTE(B5:B9," ",""),"0",""),"-",""))+LEN(SUBSTITUTE(SUBSTITUTE(SUBSTITUTE(C5:C9," ",""),"0",""),"-","")))&gt;(LEN(SUBSTITUTE(SUBSTITUTE(SUBSTITUTE(E5:E9," ",""),"0",""),"-",""))+LEN(SUBSTITUTE(SUBSTITUTE(SUBSTITUTE(F5:F9," ",""),"0",""),"-",""))))*1)</f>
      </c>
      <c r="C4" s="14" t="str">
        <f>SUMPRODUCT(LEN(SUBSTITUTE(SUBSTITUTE(SUBSTITUTE(B5:B9," ",""),"0",""),"-",""))+LEN(SUBSTITUTE(SUBSTITUTE(SUBSTITUTE(C5:C9," ",""),"0",""),"-","")))</f>
      </c>
      <c r="D4" s="18"/>
      <c r="E4" s="14" t="str">
        <f>SUMPRODUCT(LEN(SUBSTITUTE(SUBSTITUTE(SUBSTITUTE(E5:E9," ",""),"0",""),"-",""))+LEN(SUBSTITUTE(SUBSTITUTE(SUBSTITUTE(F5:F9," ",""),"0",""),"-","")))</f>
      </c>
      <c r="F4" s="14" t="str">
        <f>SUMPRODUCT((UPPER(D5:D9)&lt;&gt;"X")*((LEN(SUBSTITUTE(SUBSTITUTE(SUBSTITUTE(E5:E9," ",""),"0",""),"-",""))+LEN(SUBSTITUTE(SUBSTITUTE(SUBSTITUTE(F5:F9," ",""),"0",""),"-","")))&gt;(LEN(SUBSTITUTE(SUBSTITUTE(SUBSTITUTE(B5:B9," ",""),"0",""),"-",""))+LEN(SUBSTITUTE(SUBSTITUTE(SUBSTITUTE(C5:C9," ",""),"0",""),"-",""))))*1)</f>
      </c>
      <c r="G4" s="14" t="str">
        <f>'data'!$B$3</f>
      </c>
      <c r="I4" s="14" t="str">
        <f>'data'!$B$51</f>
      </c>
      <c r="J4" s="14" t="str">
        <f>SUMPRODUCT((UPPER(L5:L9)&lt;&gt;"X")*((LEN(SUBSTITUTE(SUBSTITUTE(SUBSTITUTE(J5:J9," ",""),"0",""),"-",""))+LEN(SUBSTITUTE(SUBSTITUTE(SUBSTITUTE(K5:K9," ",""),"0",""),"-","")))&gt;(LEN(SUBSTITUTE(SUBSTITUTE(SUBSTITUTE(M5:M9," ",""),"0",""),"-",""))+LEN(SUBSTITUTE(SUBSTITUTE(SUBSTITUTE(N5:N9," ",""),"0",""),"-",""))))*1)</f>
      </c>
      <c r="K4" s="14" t="str">
        <f>SUMPRODUCT(LEN(SUBSTITUTE(SUBSTITUTE(SUBSTITUTE(J5:J9," ",""),"0",""),"-",""))+LEN(SUBSTITUTE(SUBSTITUTE(SUBSTITUTE(K5:K9," ",""),"0",""),"-","")))</f>
      </c>
      <c r="L4" s="18"/>
      <c r="M4" s="14" t="str">
        <f>SUMPRODUCT(LEN(SUBSTITUTE(SUBSTITUTE(SUBSTITUTE(M5:M9," ",""),"0",""),"-",""))+LEN(SUBSTITUTE(SUBSTITUTE(SUBSTITUTE(N5:N9," ",""),"0",""),"-","")))</f>
      </c>
      <c r="N4" s="14" t="str">
        <f>SUMPRODUCT((UPPER(L5:L9)&lt;&gt;"X")*((LEN(SUBSTITUTE(SUBSTITUTE(SUBSTITUTE(M5:M9," ",""),"0",""),"-",""))+LEN(SUBSTITUTE(SUBSTITUTE(SUBSTITUTE(N5:N9," ",""),"0",""),"-","")))&gt;(LEN(SUBSTITUTE(SUBSTITUTE(SUBSTITUTE(J5:J9," ",""),"0",""),"-",""))+LEN(SUBSTITUTE(SUBSTITUTE(SUBSTITUTE(K5:K9," ",""),"0",""),"-",""))))*1)</f>
      </c>
      <c r="O4" s="14" t="str">
        <f>'data'!$B$50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239</v>
      </c>
      <c r="B11" s="14"/>
      <c r="C11" s="14"/>
      <c r="D11" s="14" t="s">
        <v>240</v>
      </c>
      <c r="E11" s="14"/>
      <c r="F11" s="14"/>
      <c r="G11" s="16" t="s">
        <v>241</v>
      </c>
      <c r="I11" s="17" t="s">
        <v>239</v>
      </c>
      <c r="J11" s="14"/>
      <c r="K11" s="14"/>
      <c r="L11" s="14" t="s">
        <v>240</v>
      </c>
      <c r="M11" s="14"/>
      <c r="N11" s="14"/>
      <c r="O11" s="16" t="s">
        <v>241</v>
      </c>
    </row>
    <row r="12">
      <c r="A12" s="14" t="str">
        <f>'data'!$B$5</f>
      </c>
      <c r="B12" s="14" t="str">
        <f>SUMPRODUCT((UPPER(D13:D17)&lt;&gt;"X")*((LEN(SUBSTITUTE(SUBSTITUTE(SUBSTITUTE(B13:B17," ",""),"0",""),"-",""))+LEN(SUBSTITUTE(SUBSTITUTE(SUBSTITUTE(C13:C17," ",""),"0",""),"-","")))&gt;(LEN(SUBSTITUTE(SUBSTITUTE(SUBSTITUTE(E13:E17," ",""),"0",""),"-",""))+LEN(SUBSTITUTE(SUBSTITUTE(SUBSTITUTE(F13:F17," ",""),"0",""),"-",""))))*1)</f>
      </c>
      <c r="C12" s="14" t="str">
        <f>SUMPRODUCT(LEN(SUBSTITUTE(SUBSTITUTE(SUBSTITUTE(B13:B17," ",""),"0",""),"-",""))+LEN(SUBSTITUTE(SUBSTITUTE(SUBSTITUTE(C13:C17," ",""),"0",""),"-","")))</f>
      </c>
      <c r="D12" s="18"/>
      <c r="E12" s="14" t="str">
        <f>SUMPRODUCT(LEN(SUBSTITUTE(SUBSTITUTE(SUBSTITUTE(E13:E17," ",""),"0",""),"-",""))+LEN(SUBSTITUTE(SUBSTITUTE(SUBSTITUTE(F13:F17," ",""),"0",""),"-","")))</f>
      </c>
      <c r="F12" s="14" t="str">
        <f>SUMPRODUCT((UPPER(D13:D17)&lt;&gt;"X")*((LEN(SUBSTITUTE(SUBSTITUTE(SUBSTITUTE(E13:E17," ",""),"0",""),"-",""))+LEN(SUBSTITUTE(SUBSTITUTE(SUBSTITUTE(F13:F17," ",""),"0",""),"-","")))&gt;(LEN(SUBSTITUTE(SUBSTITUTE(SUBSTITUTE(B13:B17," ",""),"0",""),"-",""))+LEN(SUBSTITUTE(SUBSTITUTE(SUBSTITUTE(C13:C17," ",""),"0",""),"-",""))))*1)</f>
      </c>
      <c r="G12" s="14" t="str">
        <f>'data'!$B$3</f>
      </c>
      <c r="I12" s="14" t="str">
        <f>'data'!$B$52</f>
      </c>
      <c r="J12" s="14" t="str">
        <f>SUMPRODUCT((UPPER(L13:L17)&lt;&gt;"X")*((LEN(SUBSTITUTE(SUBSTITUTE(SUBSTITUTE(J13:J17," ",""),"0",""),"-",""))+LEN(SUBSTITUTE(SUBSTITUTE(SUBSTITUTE(K13:K17," ",""),"0",""),"-","")))&gt;(LEN(SUBSTITUTE(SUBSTITUTE(SUBSTITUTE(M13:M17," ",""),"0",""),"-",""))+LEN(SUBSTITUTE(SUBSTITUTE(SUBSTITUTE(N13:N17," ",""),"0",""),"-",""))))*1)</f>
      </c>
      <c r="K12" s="14" t="str">
        <f>SUMPRODUCT(LEN(SUBSTITUTE(SUBSTITUTE(SUBSTITUTE(J13:J17," ",""),"0",""),"-",""))+LEN(SUBSTITUTE(SUBSTITUTE(SUBSTITUTE(K13:K17," ",""),"0",""),"-","")))</f>
      </c>
      <c r="L12" s="18"/>
      <c r="M12" s="14" t="str">
        <f>SUMPRODUCT(LEN(SUBSTITUTE(SUBSTITUTE(SUBSTITUTE(M13:M17," ",""),"0",""),"-",""))+LEN(SUBSTITUTE(SUBSTITUTE(SUBSTITUTE(N13:N17," ",""),"0",""),"-","")))</f>
      </c>
      <c r="N12" s="14" t="str">
        <f>SUMPRODUCT((UPPER(L13:L17)&lt;&gt;"X")*((LEN(SUBSTITUTE(SUBSTITUTE(SUBSTITUTE(M13:M17," ",""),"0",""),"-",""))+LEN(SUBSTITUTE(SUBSTITUTE(SUBSTITUTE(N13:N17," ",""),"0",""),"-","")))&gt;(LEN(SUBSTITUTE(SUBSTITUTE(SUBSTITUTE(J13:J17," ",""),"0",""),"-",""))+LEN(SUBSTITUTE(SUBSTITUTE(SUBSTITUTE(K13:K17," ",""),"0",""),"-",""))))*1)</f>
      </c>
      <c r="O12" s="14" t="str">
        <f>'data'!$B$50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239</v>
      </c>
      <c r="B19" s="14"/>
      <c r="C19" s="14"/>
      <c r="D19" s="14" t="s">
        <v>240</v>
      </c>
      <c r="E19" s="14"/>
      <c r="F19" s="14"/>
      <c r="G19" s="16" t="s">
        <v>241</v>
      </c>
      <c r="I19" s="17" t="s">
        <v>239</v>
      </c>
      <c r="J19" s="14"/>
      <c r="K19" s="14"/>
      <c r="L19" s="14" t="s">
        <v>240</v>
      </c>
      <c r="M19" s="14"/>
      <c r="N19" s="14"/>
      <c r="O19" s="16" t="s">
        <v>241</v>
      </c>
    </row>
    <row r="20">
      <c r="A20" s="14" t="str">
        <f>'data'!$B$5</f>
      </c>
      <c r="B20" s="14" t="str">
        <f>SUMPRODUCT((UPPER(D21:D25)&lt;&gt;"X")*((LEN(SUBSTITUTE(SUBSTITUTE(SUBSTITUTE(B21:B25," ",""),"0",""),"-",""))+LEN(SUBSTITUTE(SUBSTITUTE(SUBSTITUTE(C21:C25," ",""),"0",""),"-","")))&gt;(LEN(SUBSTITUTE(SUBSTITUTE(SUBSTITUTE(E21:E25," ",""),"0",""),"-",""))+LEN(SUBSTITUTE(SUBSTITUTE(SUBSTITUTE(F21:F25," ",""),"0",""),"-",""))))*1)</f>
      </c>
      <c r="C20" s="14" t="str">
        <f>SUMPRODUCT(LEN(SUBSTITUTE(SUBSTITUTE(SUBSTITUTE(B21:B25," ",""),"0",""),"-",""))+LEN(SUBSTITUTE(SUBSTITUTE(SUBSTITUTE(C21:C25," ",""),"0",""),"-","")))</f>
      </c>
      <c r="D20" s="18"/>
      <c r="E20" s="14" t="str">
        <f>SUMPRODUCT(LEN(SUBSTITUTE(SUBSTITUTE(SUBSTITUTE(E21:E25," ",""),"0",""),"-",""))+LEN(SUBSTITUTE(SUBSTITUTE(SUBSTITUTE(F21:F25," ",""),"0",""),"-","")))</f>
      </c>
      <c r="F20" s="14" t="str">
        <f>SUMPRODUCT((UPPER(D21:D25)&lt;&gt;"X")*((LEN(SUBSTITUTE(SUBSTITUTE(SUBSTITUTE(E21:E25," ",""),"0",""),"-",""))+LEN(SUBSTITUTE(SUBSTITUTE(SUBSTITUTE(F21:F25," ",""),"0",""),"-","")))&gt;(LEN(SUBSTITUTE(SUBSTITUTE(SUBSTITUTE(B21:B25," ",""),"0",""),"-",""))+LEN(SUBSTITUTE(SUBSTITUTE(SUBSTITUTE(C21:C25," ",""),"0",""),"-",""))))*1)</f>
      </c>
      <c r="G20" s="14" t="str">
        <f>'data'!$B$4</f>
      </c>
      <c r="I20" s="14" t="str">
        <f>'data'!$B$52</f>
      </c>
      <c r="J20" s="14" t="str">
        <f>SUMPRODUCT((UPPER(L21:L25)&lt;&gt;"X")*((LEN(SUBSTITUTE(SUBSTITUTE(SUBSTITUTE(J21:J25," ",""),"0",""),"-",""))+LEN(SUBSTITUTE(SUBSTITUTE(SUBSTITUTE(K21:K25," ",""),"0",""),"-","")))&gt;(LEN(SUBSTITUTE(SUBSTITUTE(SUBSTITUTE(M21:M25," ",""),"0",""),"-",""))+LEN(SUBSTITUTE(SUBSTITUTE(SUBSTITUTE(N21:N25," ",""),"0",""),"-",""))))*1)</f>
      </c>
      <c r="K20" s="14" t="str">
        <f>SUMPRODUCT(LEN(SUBSTITUTE(SUBSTITUTE(SUBSTITUTE(J21:J25," ",""),"0",""),"-",""))+LEN(SUBSTITUTE(SUBSTITUTE(SUBSTITUTE(K21:K25," ",""),"0",""),"-","")))</f>
      </c>
      <c r="L20" s="18"/>
      <c r="M20" s="14" t="str">
        <f>SUMPRODUCT(LEN(SUBSTITUTE(SUBSTITUTE(SUBSTITUTE(M21:M25," ",""),"0",""),"-",""))+LEN(SUBSTITUTE(SUBSTITUTE(SUBSTITUTE(N21:N25," ",""),"0",""),"-","")))</f>
      </c>
      <c r="N20" s="14" t="str">
        <f>SUMPRODUCT((UPPER(L21:L25)&lt;&gt;"X")*((LEN(SUBSTITUTE(SUBSTITUTE(SUBSTITUTE(M21:M25," ",""),"0",""),"-",""))+LEN(SUBSTITUTE(SUBSTITUTE(SUBSTITUTE(N21:N25," ",""),"0",""),"-","")))&gt;(LEN(SUBSTITUTE(SUBSTITUTE(SUBSTITUTE(J21:J25," ",""),"0",""),"-",""))+LEN(SUBSTITUTE(SUBSTITUTE(SUBSTITUTE(K21:K25," ",""),"0",""),"-",""))))*1)</f>
      </c>
      <c r="O20" s="14" t="str">
        <f>'data'!$B$51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242</v>
      </c>
      <c r="B28" s="13" t="s">
        <v>243</v>
      </c>
      <c r="C28" s="13" t="s">
        <v>244</v>
      </c>
      <c r="D28" s="13" t="s">
        <v>245</v>
      </c>
      <c r="E28" s="13"/>
      <c r="F28" s="13"/>
      <c r="G28" s="13" t="s">
        <v>246</v>
      </c>
      <c r="I28" s="13" t="s">
        <v>242</v>
      </c>
      <c r="J28" s="13" t="s">
        <v>243</v>
      </c>
      <c r="K28" s="13" t="s">
        <v>244</v>
      </c>
      <c r="L28" s="13" t="s">
        <v>245</v>
      </c>
      <c r="M28" s="13"/>
      <c r="N28" s="13"/>
      <c r="O28" s="13" t="s">
        <v>246</v>
      </c>
    </row>
    <row r="29">
      <c r="A29" s="14" t="str">
        <f>'data'!$B$3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247</v>
      </c>
      <c r="C33" s="13" t="s">
        <v>248</v>
      </c>
      <c r="D33" s="13" t="s">
        <v>249</v>
      </c>
      <c r="E33" s="13" t="s">
        <v>250</v>
      </c>
      <c r="F33" s="13" t="s">
        <v>251</v>
      </c>
      <c r="I33" s="13"/>
      <c r="J33" s="13" t="s">
        <v>247</v>
      </c>
      <c r="K33" s="13" t="s">
        <v>248</v>
      </c>
      <c r="L33" s="13" t="s">
        <v>249</v>
      </c>
      <c r="M33" s="13" t="s">
        <v>250</v>
      </c>
      <c r="N33" s="13" t="s">
        <v>251</v>
      </c>
    </row>
    <row r="34">
      <c r="A34" s="14" t="str">
        <f>'data'!$B$3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252</v>
      </c>
      <c r="N39" s="13"/>
      <c r="O39" s="13" t="s">
        <v>252</v>
      </c>
    </row>
    <row r="40">
      <c r="F40" t="s">
        <v>253</v>
      </c>
      <c r="G40" s="19" t="str">
        <f>IFERROR(INDEX($A$29:$A$36, MATCH(1, $G$29:$G$36, 0)), "-")</f>
      </c>
      <c r="N40" t="s">
        <v>253</v>
      </c>
      <c r="O40" s="19" t="str">
        <f>IFERROR(INDEX($I$29:$I$36, MATCH(1, $O$29:$O$36, 0)), "-")</f>
      </c>
    </row>
    <row r="41">
      <c r="F41" t="s">
        <v>254</v>
      </c>
      <c r="G41" s="19" t="str">
        <f>IFERROR(INDEX($A$29:$A$36, MATCH(2, $G$29:$G$36, 0)), "-")</f>
      </c>
      <c r="N41" t="s">
        <v>254</v>
      </c>
      <c r="O41" s="19" t="str">
        <f>IFERROR(INDEX($I$29:$I$36, MATCH(2, $O$29:$O$36, 0)), "-")</f>
      </c>
    </row>
    <row r="42">
      <c r="F42" t="s">
        <v>255</v>
      </c>
      <c r="G42" s="19" t="str">
        <f>IFERROR(INDEX($A$29:$A$36, MATCH(3, $G$29:$G$36, 0)), "-")</f>
      </c>
      <c r="N42" t="s">
        <v>255</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239</v>
      </c>
      <c r="B46" s="14"/>
      <c r="C46" s="14"/>
      <c r="D46" s="14" t="s">
        <v>240</v>
      </c>
      <c r="E46" s="14"/>
      <c r="F46" s="14"/>
      <c r="G46" s="16" t="s">
        <v>241</v>
      </c>
      <c r="I46" s="17" t="s">
        <v>239</v>
      </c>
      <c r="J46" s="14"/>
      <c r="K46" s="14"/>
      <c r="L46" s="14" t="s">
        <v>240</v>
      </c>
      <c r="M46" s="14"/>
      <c r="N46" s="14"/>
      <c r="O46" s="16" t="s">
        <v>241</v>
      </c>
    </row>
    <row r="47">
      <c r="A47" s="14" t="str">
        <f>'data'!$B$7</f>
      </c>
      <c r="B47" s="14" t="str">
        <f>SUMPRODUCT((UPPER(D48:D52)&lt;&gt;"X")*((LEN(SUBSTITUTE(SUBSTITUTE(SUBSTITUTE(B48:B52," ",""),"0",""),"-",""))+LEN(SUBSTITUTE(SUBSTITUTE(SUBSTITUTE(C48:C52," ",""),"0",""),"-","")))&gt;(LEN(SUBSTITUTE(SUBSTITUTE(SUBSTITUTE(E48:E52," ",""),"0",""),"-",""))+LEN(SUBSTITUTE(SUBSTITUTE(SUBSTITUTE(F48:F52," ",""),"0",""),"-",""))))*1)</f>
      </c>
      <c r="C47" s="14" t="str">
        <f>SUMPRODUCT(LEN(SUBSTITUTE(SUBSTITUTE(SUBSTITUTE(B48:B52," ",""),"0",""),"-",""))+LEN(SUBSTITUTE(SUBSTITUTE(SUBSTITUTE(C48:C52," ",""),"0",""),"-","")))</f>
      </c>
      <c r="D47" s="18"/>
      <c r="E47" s="14" t="str">
        <f>SUMPRODUCT(LEN(SUBSTITUTE(SUBSTITUTE(SUBSTITUTE(E48:E52," ",""),"0",""),"-",""))+LEN(SUBSTITUTE(SUBSTITUTE(SUBSTITUTE(F48:F52," ",""),"0",""),"-","")))</f>
      </c>
      <c r="F47" s="14" t="str">
        <f>SUMPRODUCT((UPPER(D48:D52)&lt;&gt;"X")*((LEN(SUBSTITUTE(SUBSTITUTE(SUBSTITUTE(E48:E52," ",""),"0",""),"-",""))+LEN(SUBSTITUTE(SUBSTITUTE(SUBSTITUTE(F48:F52," ",""),"0",""),"-","")))&gt;(LEN(SUBSTITUTE(SUBSTITUTE(SUBSTITUTE(B48:B52," ",""),"0",""),"-",""))+LEN(SUBSTITUTE(SUBSTITUTE(SUBSTITUTE(C48:C52," ",""),"0",""),"-",""))))*1)</f>
      </c>
      <c r="G47" s="14" t="str">
        <f>'data'!$B$6</f>
      </c>
      <c r="I47" s="14" t="str">
        <f>'data'!$B$54</f>
      </c>
      <c r="J47" s="14" t="str">
        <f>SUMPRODUCT((UPPER(L48:L52)&lt;&gt;"X")*((LEN(SUBSTITUTE(SUBSTITUTE(SUBSTITUTE(J48:J52," ",""),"0",""),"-",""))+LEN(SUBSTITUTE(SUBSTITUTE(SUBSTITUTE(K48:K52," ",""),"0",""),"-","")))&gt;(LEN(SUBSTITUTE(SUBSTITUTE(SUBSTITUTE(M48:M52," ",""),"0",""),"-",""))+LEN(SUBSTITUTE(SUBSTITUTE(SUBSTITUTE(N48:N52," ",""),"0",""),"-",""))))*1)</f>
      </c>
      <c r="K47" s="14" t="str">
        <f>SUMPRODUCT(LEN(SUBSTITUTE(SUBSTITUTE(SUBSTITUTE(J48:J52," ",""),"0",""),"-",""))+LEN(SUBSTITUTE(SUBSTITUTE(SUBSTITUTE(K48:K52," ",""),"0",""),"-","")))</f>
      </c>
      <c r="L47" s="18"/>
      <c r="M47" s="14" t="str">
        <f>SUMPRODUCT(LEN(SUBSTITUTE(SUBSTITUTE(SUBSTITUTE(M48:M52," ",""),"0",""),"-",""))+LEN(SUBSTITUTE(SUBSTITUTE(SUBSTITUTE(N48:N52," ",""),"0",""),"-","")))</f>
      </c>
      <c r="N47" s="14" t="str">
        <f>SUMPRODUCT((UPPER(L48:L52)&lt;&gt;"X")*((LEN(SUBSTITUTE(SUBSTITUTE(SUBSTITUTE(M48:M52," ",""),"0",""),"-",""))+LEN(SUBSTITUTE(SUBSTITUTE(SUBSTITUTE(N48:N52," ",""),"0",""),"-","")))&gt;(LEN(SUBSTITUTE(SUBSTITUTE(SUBSTITUTE(J48:J52," ",""),"0",""),"-",""))+LEN(SUBSTITUTE(SUBSTITUTE(SUBSTITUTE(K48:K52," ",""),"0",""),"-",""))))*1)</f>
      </c>
      <c r="O47" s="14" t="str">
        <f>'data'!$B$53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239</v>
      </c>
      <c r="B54" s="14"/>
      <c r="C54" s="14"/>
      <c r="D54" s="14" t="s">
        <v>240</v>
      </c>
      <c r="E54" s="14"/>
      <c r="F54" s="14"/>
      <c r="G54" s="16" t="s">
        <v>241</v>
      </c>
      <c r="I54" s="17" t="s">
        <v>239</v>
      </c>
      <c r="J54" s="14"/>
      <c r="K54" s="14"/>
      <c r="L54" s="14" t="s">
        <v>240</v>
      </c>
      <c r="M54" s="14"/>
      <c r="N54" s="14"/>
      <c r="O54" s="16" t="s">
        <v>241</v>
      </c>
    </row>
    <row r="55">
      <c r="A55" s="14" t="str">
        <f>'data'!$B$8</f>
      </c>
      <c r="B55" s="14" t="str">
        <f>SUMPRODUCT((UPPER(D56:D60)&lt;&gt;"X")*((LEN(SUBSTITUTE(SUBSTITUTE(SUBSTITUTE(B56:B60," ",""),"0",""),"-",""))+LEN(SUBSTITUTE(SUBSTITUTE(SUBSTITUTE(C56:C60," ",""),"0",""),"-","")))&gt;(LEN(SUBSTITUTE(SUBSTITUTE(SUBSTITUTE(E56:E60," ",""),"0",""),"-",""))+LEN(SUBSTITUTE(SUBSTITUTE(SUBSTITUTE(F56:F60," ",""),"0",""),"-",""))))*1)</f>
      </c>
      <c r="C55" s="14" t="str">
        <f>SUMPRODUCT(LEN(SUBSTITUTE(SUBSTITUTE(SUBSTITUTE(B56:B60," ",""),"0",""),"-",""))+LEN(SUBSTITUTE(SUBSTITUTE(SUBSTITUTE(C56:C60," ",""),"0",""),"-","")))</f>
      </c>
      <c r="D55" s="18"/>
      <c r="E55" s="14" t="str">
        <f>SUMPRODUCT(LEN(SUBSTITUTE(SUBSTITUTE(SUBSTITUTE(E56:E60," ",""),"0",""),"-",""))+LEN(SUBSTITUTE(SUBSTITUTE(SUBSTITUTE(F56:F60," ",""),"0",""),"-","")))</f>
      </c>
      <c r="F55" s="14" t="str">
        <f>SUMPRODUCT((UPPER(D56:D60)&lt;&gt;"X")*((LEN(SUBSTITUTE(SUBSTITUTE(SUBSTITUTE(E56:E60," ",""),"0",""),"-",""))+LEN(SUBSTITUTE(SUBSTITUTE(SUBSTITUTE(F56:F60," ",""),"0",""),"-","")))&gt;(LEN(SUBSTITUTE(SUBSTITUTE(SUBSTITUTE(B56:B60," ",""),"0",""),"-",""))+LEN(SUBSTITUTE(SUBSTITUTE(SUBSTITUTE(C56:C60," ",""),"0",""),"-",""))))*1)</f>
      </c>
      <c r="G55" s="14" t="str">
        <f>'data'!$B$6</f>
      </c>
      <c r="I55" s="14" t="str">
        <f>'data'!$B$55</f>
      </c>
      <c r="J55" s="14" t="str">
        <f>SUMPRODUCT((UPPER(L56:L60)&lt;&gt;"X")*((LEN(SUBSTITUTE(SUBSTITUTE(SUBSTITUTE(J56:J60," ",""),"0",""),"-",""))+LEN(SUBSTITUTE(SUBSTITUTE(SUBSTITUTE(K56:K60," ",""),"0",""),"-","")))&gt;(LEN(SUBSTITUTE(SUBSTITUTE(SUBSTITUTE(M56:M60," ",""),"0",""),"-",""))+LEN(SUBSTITUTE(SUBSTITUTE(SUBSTITUTE(N56:N60," ",""),"0",""),"-",""))))*1)</f>
      </c>
      <c r="K55" s="14" t="str">
        <f>SUMPRODUCT(LEN(SUBSTITUTE(SUBSTITUTE(SUBSTITUTE(J56:J60," ",""),"0",""),"-",""))+LEN(SUBSTITUTE(SUBSTITUTE(SUBSTITUTE(K56:K60," ",""),"0",""),"-","")))</f>
      </c>
      <c r="L55" s="18"/>
      <c r="M55" s="14" t="str">
        <f>SUMPRODUCT(LEN(SUBSTITUTE(SUBSTITUTE(SUBSTITUTE(M56:M60," ",""),"0",""),"-",""))+LEN(SUBSTITUTE(SUBSTITUTE(SUBSTITUTE(N56:N60," ",""),"0",""),"-","")))</f>
      </c>
      <c r="N55" s="14" t="str">
        <f>SUMPRODUCT((UPPER(L56:L60)&lt;&gt;"X")*((LEN(SUBSTITUTE(SUBSTITUTE(SUBSTITUTE(M56:M60," ",""),"0",""),"-",""))+LEN(SUBSTITUTE(SUBSTITUTE(SUBSTITUTE(N56:N60," ",""),"0",""),"-","")))&gt;(LEN(SUBSTITUTE(SUBSTITUTE(SUBSTITUTE(J56:J60," ",""),"0",""),"-",""))+LEN(SUBSTITUTE(SUBSTITUTE(SUBSTITUTE(K56:K60," ",""),"0",""),"-",""))))*1)</f>
      </c>
      <c r="O55" s="14" t="str">
        <f>'data'!$B$53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239</v>
      </c>
      <c r="B62" s="14"/>
      <c r="C62" s="14"/>
      <c r="D62" s="14" t="s">
        <v>240</v>
      </c>
      <c r="E62" s="14"/>
      <c r="F62" s="14"/>
      <c r="G62" s="16" t="s">
        <v>241</v>
      </c>
      <c r="I62" s="17" t="s">
        <v>239</v>
      </c>
      <c r="J62" s="14"/>
      <c r="K62" s="14"/>
      <c r="L62" s="14" t="s">
        <v>240</v>
      </c>
      <c r="M62" s="14"/>
      <c r="N62" s="14"/>
      <c r="O62" s="16" t="s">
        <v>241</v>
      </c>
    </row>
    <row r="63">
      <c r="A63" s="14" t="str">
        <f>'data'!$B$8</f>
      </c>
      <c r="B63" s="14" t="str">
        <f>SUMPRODUCT((UPPER(D64:D68)&lt;&gt;"X")*((LEN(SUBSTITUTE(SUBSTITUTE(SUBSTITUTE(B64:B68," ",""),"0",""),"-",""))+LEN(SUBSTITUTE(SUBSTITUTE(SUBSTITUTE(C64:C68," ",""),"0",""),"-","")))&gt;(LEN(SUBSTITUTE(SUBSTITUTE(SUBSTITUTE(E64:E68," ",""),"0",""),"-",""))+LEN(SUBSTITUTE(SUBSTITUTE(SUBSTITUTE(F64:F68," ",""),"0",""),"-",""))))*1)</f>
      </c>
      <c r="C63" s="14" t="str">
        <f>SUMPRODUCT(LEN(SUBSTITUTE(SUBSTITUTE(SUBSTITUTE(B64:B68," ",""),"0",""),"-",""))+LEN(SUBSTITUTE(SUBSTITUTE(SUBSTITUTE(C64:C68," ",""),"0",""),"-","")))</f>
      </c>
      <c r="D63" s="18"/>
      <c r="E63" s="14" t="str">
        <f>SUMPRODUCT(LEN(SUBSTITUTE(SUBSTITUTE(SUBSTITUTE(E64:E68," ",""),"0",""),"-",""))+LEN(SUBSTITUTE(SUBSTITUTE(SUBSTITUTE(F64:F68," ",""),"0",""),"-","")))</f>
      </c>
      <c r="F63" s="14" t="str">
        <f>SUMPRODUCT((UPPER(D64:D68)&lt;&gt;"X")*((LEN(SUBSTITUTE(SUBSTITUTE(SUBSTITUTE(E64:E68," ",""),"0",""),"-",""))+LEN(SUBSTITUTE(SUBSTITUTE(SUBSTITUTE(F64:F68," ",""),"0",""),"-","")))&gt;(LEN(SUBSTITUTE(SUBSTITUTE(SUBSTITUTE(B64:B68," ",""),"0",""),"-",""))+LEN(SUBSTITUTE(SUBSTITUTE(SUBSTITUTE(C64:C68," ",""),"0",""),"-",""))))*1)</f>
      </c>
      <c r="G63" s="14" t="str">
        <f>'data'!$B$7</f>
      </c>
      <c r="I63" s="14" t="str">
        <f>'data'!$B$55</f>
      </c>
      <c r="J63" s="14" t="str">
        <f>SUMPRODUCT((UPPER(L64:L68)&lt;&gt;"X")*((LEN(SUBSTITUTE(SUBSTITUTE(SUBSTITUTE(J64:J68," ",""),"0",""),"-",""))+LEN(SUBSTITUTE(SUBSTITUTE(SUBSTITUTE(K64:K68," ",""),"0",""),"-","")))&gt;(LEN(SUBSTITUTE(SUBSTITUTE(SUBSTITUTE(M64:M68," ",""),"0",""),"-",""))+LEN(SUBSTITUTE(SUBSTITUTE(SUBSTITUTE(N64:N68," ",""),"0",""),"-",""))))*1)</f>
      </c>
      <c r="K63" s="14" t="str">
        <f>SUMPRODUCT(LEN(SUBSTITUTE(SUBSTITUTE(SUBSTITUTE(J64:J68," ",""),"0",""),"-",""))+LEN(SUBSTITUTE(SUBSTITUTE(SUBSTITUTE(K64:K68," ",""),"0",""),"-","")))</f>
      </c>
      <c r="L63" s="18"/>
      <c r="M63" s="14" t="str">
        <f>SUMPRODUCT(LEN(SUBSTITUTE(SUBSTITUTE(SUBSTITUTE(M64:M68," ",""),"0",""),"-",""))+LEN(SUBSTITUTE(SUBSTITUTE(SUBSTITUTE(N64:N68," ",""),"0",""),"-","")))</f>
      </c>
      <c r="N63" s="14" t="str">
        <f>SUMPRODUCT((UPPER(L64:L68)&lt;&gt;"X")*((LEN(SUBSTITUTE(SUBSTITUTE(SUBSTITUTE(M64:M68," ",""),"0",""),"-",""))+LEN(SUBSTITUTE(SUBSTITUTE(SUBSTITUTE(N64:N68," ",""),"0",""),"-","")))&gt;(LEN(SUBSTITUTE(SUBSTITUTE(SUBSTITUTE(J64:J68," ",""),"0",""),"-",""))+LEN(SUBSTITUTE(SUBSTITUTE(SUBSTITUTE(K64:K68," ",""),"0",""),"-",""))))*1)</f>
      </c>
      <c r="O63" s="14" t="str">
        <f>'data'!$B$54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242</v>
      </c>
      <c r="B71" s="13" t="s">
        <v>243</v>
      </c>
      <c r="C71" s="13" t="s">
        <v>244</v>
      </c>
      <c r="D71" s="13" t="s">
        <v>245</v>
      </c>
      <c r="E71" s="13"/>
      <c r="F71" s="13"/>
      <c r="G71" s="13" t="s">
        <v>246</v>
      </c>
      <c r="I71" s="13" t="s">
        <v>242</v>
      </c>
      <c r="J71" s="13" t="s">
        <v>243</v>
      </c>
      <c r="K71" s="13" t="s">
        <v>244</v>
      </c>
      <c r="L71" s="13" t="s">
        <v>245</v>
      </c>
      <c r="M71" s="13"/>
      <c r="N71" s="13"/>
      <c r="O71" s="13" t="s">
        <v>246</v>
      </c>
    </row>
    <row r="72">
      <c r="A72" s="14" t="str">
        <f>'data'!$B$6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247</v>
      </c>
      <c r="C76" s="13" t="s">
        <v>248</v>
      </c>
      <c r="D76" s="13" t="s">
        <v>249</v>
      </c>
      <c r="E76" s="13" t="s">
        <v>250</v>
      </c>
      <c r="F76" s="13" t="s">
        <v>251</v>
      </c>
      <c r="I76" s="13"/>
      <c r="J76" s="13" t="s">
        <v>247</v>
      </c>
      <c r="K76" s="13" t="s">
        <v>248</v>
      </c>
      <c r="L76" s="13" t="s">
        <v>249</v>
      </c>
      <c r="M76" s="13" t="s">
        <v>250</v>
      </c>
      <c r="N76" s="13" t="s">
        <v>251</v>
      </c>
    </row>
    <row r="77">
      <c r="A77" s="14" t="str">
        <f>'data'!$B$6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252</v>
      </c>
      <c r="N82" s="13"/>
      <c r="O82" s="13" t="s">
        <v>252</v>
      </c>
    </row>
    <row r="83">
      <c r="F83" t="s">
        <v>253</v>
      </c>
      <c r="G83" s="19" t="str">
        <f>IFERROR(INDEX($A$72:$A$79, MATCH(1, $G$72:$G$79, 0)), "-")</f>
      </c>
      <c r="N83" t="s">
        <v>253</v>
      </c>
      <c r="O83" s="19" t="str">
        <f>IFERROR(INDEX($I$72:$I$79, MATCH(1, $O$72:$O$79, 0)), "-")</f>
      </c>
    </row>
    <row r="84">
      <c r="F84" t="s">
        <v>254</v>
      </c>
      <c r="G84" s="19" t="str">
        <f>IFERROR(INDEX($A$72:$A$79, MATCH(2, $G$72:$G$79, 0)), "-")</f>
      </c>
      <c r="N84" t="s">
        <v>254</v>
      </c>
      <c r="O84" s="19" t="str">
        <f>IFERROR(INDEX($I$72:$I$79, MATCH(2, $O$72:$O$79, 0)), "-")</f>
      </c>
    </row>
    <row r="85">
      <c r="F85" t="s">
        <v>255</v>
      </c>
      <c r="G85" s="19" t="str">
        <f>IFERROR(INDEX($A$72:$A$79, MATCH(3, $G$72:$G$79, 0)), "-")</f>
      </c>
      <c r="N85" t="s">
        <v>255</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239</v>
      </c>
      <c r="B89" s="14"/>
      <c r="C89" s="14"/>
      <c r="D89" s="14" t="s">
        <v>240</v>
      </c>
      <c r="E89" s="14"/>
      <c r="F89" s="14"/>
      <c r="G89" s="16" t="s">
        <v>241</v>
      </c>
      <c r="I89" s="17" t="s">
        <v>239</v>
      </c>
      <c r="J89" s="14"/>
      <c r="K89" s="14"/>
      <c r="L89" s="14" t="s">
        <v>240</v>
      </c>
      <c r="M89" s="14"/>
      <c r="N89" s="14"/>
      <c r="O89" s="16" t="s">
        <v>241</v>
      </c>
    </row>
    <row r="90">
      <c r="A90" s="14" t="str">
        <f>'data'!$B$10</f>
      </c>
      <c r="B90" s="14" t="str">
        <f>SUMPRODUCT((UPPER(D91:D95)&lt;&gt;"X")*((LEN(SUBSTITUTE(SUBSTITUTE(SUBSTITUTE(B91:B95," ",""),"0",""),"-",""))+LEN(SUBSTITUTE(SUBSTITUTE(SUBSTITUTE(C91:C95," ",""),"0",""),"-","")))&gt;(LEN(SUBSTITUTE(SUBSTITUTE(SUBSTITUTE(E91:E95," ",""),"0",""),"-",""))+LEN(SUBSTITUTE(SUBSTITUTE(SUBSTITUTE(F91:F95," ",""),"0",""),"-",""))))*1)</f>
      </c>
      <c r="C90" s="14" t="str">
        <f>SUMPRODUCT(LEN(SUBSTITUTE(SUBSTITUTE(SUBSTITUTE(B91:B95," ",""),"0",""),"-",""))+LEN(SUBSTITUTE(SUBSTITUTE(SUBSTITUTE(C91:C95," ",""),"0",""),"-","")))</f>
      </c>
      <c r="D90" s="18"/>
      <c r="E90" s="14" t="str">
        <f>SUMPRODUCT(LEN(SUBSTITUTE(SUBSTITUTE(SUBSTITUTE(E91:E95," ",""),"0",""),"-",""))+LEN(SUBSTITUTE(SUBSTITUTE(SUBSTITUTE(F91:F95," ",""),"0",""),"-","")))</f>
      </c>
      <c r="F90" s="14" t="str">
        <f>SUMPRODUCT((UPPER(D91:D95)&lt;&gt;"X")*((LEN(SUBSTITUTE(SUBSTITUTE(SUBSTITUTE(E91:E95," ",""),"0",""),"-",""))+LEN(SUBSTITUTE(SUBSTITUTE(SUBSTITUTE(F91:F95," ",""),"0",""),"-","")))&gt;(LEN(SUBSTITUTE(SUBSTITUTE(SUBSTITUTE(B91:B95," ",""),"0",""),"-",""))+LEN(SUBSTITUTE(SUBSTITUTE(SUBSTITUTE(C91:C95," ",""),"0",""),"-",""))))*1)</f>
      </c>
      <c r="G90" s="14" t="str">
        <f>'data'!$B$9</f>
      </c>
      <c r="I90" s="14" t="str">
        <f>'data'!$B$57</f>
      </c>
      <c r="J90" s="14" t="str">
        <f>SUMPRODUCT((UPPER(L91:L95)&lt;&gt;"X")*((LEN(SUBSTITUTE(SUBSTITUTE(SUBSTITUTE(J91:J95," ",""),"0",""),"-",""))+LEN(SUBSTITUTE(SUBSTITUTE(SUBSTITUTE(K91:K95," ",""),"0",""),"-","")))&gt;(LEN(SUBSTITUTE(SUBSTITUTE(SUBSTITUTE(M91:M95," ",""),"0",""),"-",""))+LEN(SUBSTITUTE(SUBSTITUTE(SUBSTITUTE(N91:N95," ",""),"0",""),"-",""))))*1)</f>
      </c>
      <c r="K90" s="14" t="str">
        <f>SUMPRODUCT(LEN(SUBSTITUTE(SUBSTITUTE(SUBSTITUTE(J91:J95," ",""),"0",""),"-",""))+LEN(SUBSTITUTE(SUBSTITUTE(SUBSTITUTE(K91:K95," ",""),"0",""),"-","")))</f>
      </c>
      <c r="L90" s="18"/>
      <c r="M90" s="14" t="str">
        <f>SUMPRODUCT(LEN(SUBSTITUTE(SUBSTITUTE(SUBSTITUTE(M91:M95," ",""),"0",""),"-",""))+LEN(SUBSTITUTE(SUBSTITUTE(SUBSTITUTE(N91:N95," ",""),"0",""),"-","")))</f>
      </c>
      <c r="N90" s="14" t="str">
        <f>SUMPRODUCT((UPPER(L91:L95)&lt;&gt;"X")*((LEN(SUBSTITUTE(SUBSTITUTE(SUBSTITUTE(M91:M95," ",""),"0",""),"-",""))+LEN(SUBSTITUTE(SUBSTITUTE(SUBSTITUTE(N91:N95," ",""),"0",""),"-","")))&gt;(LEN(SUBSTITUTE(SUBSTITUTE(SUBSTITUTE(J91:J95," ",""),"0",""),"-",""))+LEN(SUBSTITUTE(SUBSTITUTE(SUBSTITUTE(K91:K95," ",""),"0",""),"-",""))))*1)</f>
      </c>
      <c r="O90" s="14" t="str">
        <f>'data'!$B$56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239</v>
      </c>
      <c r="B97" s="14"/>
      <c r="C97" s="14"/>
      <c r="D97" s="14" t="s">
        <v>240</v>
      </c>
      <c r="E97" s="14"/>
      <c r="F97" s="14"/>
      <c r="G97" s="16" t="s">
        <v>241</v>
      </c>
      <c r="I97" s="17" t="s">
        <v>239</v>
      </c>
      <c r="J97" s="14"/>
      <c r="K97" s="14"/>
      <c r="L97" s="14" t="s">
        <v>240</v>
      </c>
      <c r="M97" s="14"/>
      <c r="N97" s="14"/>
      <c r="O97" s="16" t="s">
        <v>241</v>
      </c>
    </row>
    <row r="98">
      <c r="A98" s="14" t="str">
        <f>'data'!$B$11</f>
      </c>
      <c r="B98" s="14" t="str">
        <f>SUMPRODUCT((UPPER(D99:D103)&lt;&gt;"X")*((LEN(SUBSTITUTE(SUBSTITUTE(SUBSTITUTE(B99:B103," ",""),"0",""),"-",""))+LEN(SUBSTITUTE(SUBSTITUTE(SUBSTITUTE(C99:C103," ",""),"0",""),"-","")))&gt;(LEN(SUBSTITUTE(SUBSTITUTE(SUBSTITUTE(E99:E103," ",""),"0",""),"-",""))+LEN(SUBSTITUTE(SUBSTITUTE(SUBSTITUTE(F99:F103," ",""),"0",""),"-",""))))*1)</f>
      </c>
      <c r="C98" s="14" t="str">
        <f>SUMPRODUCT(LEN(SUBSTITUTE(SUBSTITUTE(SUBSTITUTE(B99:B103," ",""),"0",""),"-",""))+LEN(SUBSTITUTE(SUBSTITUTE(SUBSTITUTE(C99:C103," ",""),"0",""),"-","")))</f>
      </c>
      <c r="D98" s="18"/>
      <c r="E98" s="14" t="str">
        <f>SUMPRODUCT(LEN(SUBSTITUTE(SUBSTITUTE(SUBSTITUTE(E99:E103," ",""),"0",""),"-",""))+LEN(SUBSTITUTE(SUBSTITUTE(SUBSTITUTE(F99:F103," ",""),"0",""),"-","")))</f>
      </c>
      <c r="F98" s="14" t="str">
        <f>SUMPRODUCT((UPPER(D99:D103)&lt;&gt;"X")*((LEN(SUBSTITUTE(SUBSTITUTE(SUBSTITUTE(E99:E103," ",""),"0",""),"-",""))+LEN(SUBSTITUTE(SUBSTITUTE(SUBSTITUTE(F99:F103," ",""),"0",""),"-","")))&gt;(LEN(SUBSTITUTE(SUBSTITUTE(SUBSTITUTE(B99:B103," ",""),"0",""),"-",""))+LEN(SUBSTITUTE(SUBSTITUTE(SUBSTITUTE(C99:C103," ",""),"0",""),"-",""))))*1)</f>
      </c>
      <c r="G98" s="14" t="str">
        <f>'data'!$B$9</f>
      </c>
      <c r="I98" s="14" t="str">
        <f>'data'!$B$58</f>
      </c>
      <c r="J98" s="14" t="str">
        <f>SUMPRODUCT((UPPER(L99:L103)&lt;&gt;"X")*((LEN(SUBSTITUTE(SUBSTITUTE(SUBSTITUTE(J99:J103," ",""),"0",""),"-",""))+LEN(SUBSTITUTE(SUBSTITUTE(SUBSTITUTE(K99:K103," ",""),"0",""),"-","")))&gt;(LEN(SUBSTITUTE(SUBSTITUTE(SUBSTITUTE(M99:M103," ",""),"0",""),"-",""))+LEN(SUBSTITUTE(SUBSTITUTE(SUBSTITUTE(N99:N103," ",""),"0",""),"-",""))))*1)</f>
      </c>
      <c r="K98" s="14" t="str">
        <f>SUMPRODUCT(LEN(SUBSTITUTE(SUBSTITUTE(SUBSTITUTE(J99:J103," ",""),"0",""),"-",""))+LEN(SUBSTITUTE(SUBSTITUTE(SUBSTITUTE(K99:K103," ",""),"0",""),"-","")))</f>
      </c>
      <c r="L98" s="18"/>
      <c r="M98" s="14" t="str">
        <f>SUMPRODUCT(LEN(SUBSTITUTE(SUBSTITUTE(SUBSTITUTE(M99:M103," ",""),"0",""),"-",""))+LEN(SUBSTITUTE(SUBSTITUTE(SUBSTITUTE(N99:N103," ",""),"0",""),"-","")))</f>
      </c>
      <c r="N98" s="14" t="str">
        <f>SUMPRODUCT((UPPER(L99:L103)&lt;&gt;"X")*((LEN(SUBSTITUTE(SUBSTITUTE(SUBSTITUTE(M99:M103," ",""),"0",""),"-",""))+LEN(SUBSTITUTE(SUBSTITUTE(SUBSTITUTE(N99:N103," ",""),"0",""),"-","")))&gt;(LEN(SUBSTITUTE(SUBSTITUTE(SUBSTITUTE(J99:J103," ",""),"0",""),"-",""))+LEN(SUBSTITUTE(SUBSTITUTE(SUBSTITUTE(K99:K103," ",""),"0",""),"-",""))))*1)</f>
      </c>
      <c r="O98" s="14" t="str">
        <f>'data'!$B$56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239</v>
      </c>
      <c r="B105" s="14"/>
      <c r="C105" s="14"/>
      <c r="D105" s="14" t="s">
        <v>240</v>
      </c>
      <c r="E105" s="14"/>
      <c r="F105" s="14"/>
      <c r="G105" s="16" t="s">
        <v>241</v>
      </c>
      <c r="I105" s="17" t="s">
        <v>239</v>
      </c>
      <c r="J105" s="14"/>
      <c r="K105" s="14"/>
      <c r="L105" s="14" t="s">
        <v>240</v>
      </c>
      <c r="M105" s="14"/>
      <c r="N105" s="14"/>
      <c r="O105" s="16" t="s">
        <v>241</v>
      </c>
    </row>
    <row r="106">
      <c r="A106" s="14" t="str">
        <f>'data'!$B$11</f>
      </c>
      <c r="B106" s="14" t="str">
        <f>SUMPRODUCT((UPPER(D107:D111)&lt;&gt;"X")*((LEN(SUBSTITUTE(SUBSTITUTE(SUBSTITUTE(B107:B111," ",""),"0",""),"-",""))+LEN(SUBSTITUTE(SUBSTITUTE(SUBSTITUTE(C107:C111," ",""),"0",""),"-","")))&gt;(LEN(SUBSTITUTE(SUBSTITUTE(SUBSTITUTE(E107:E111," ",""),"0",""),"-",""))+LEN(SUBSTITUTE(SUBSTITUTE(SUBSTITUTE(F107:F111," ",""),"0",""),"-",""))))*1)</f>
      </c>
      <c r="C106" s="14" t="str">
        <f>SUMPRODUCT(LEN(SUBSTITUTE(SUBSTITUTE(SUBSTITUTE(B107:B111," ",""),"0",""),"-",""))+LEN(SUBSTITUTE(SUBSTITUTE(SUBSTITUTE(C107:C111," ",""),"0",""),"-","")))</f>
      </c>
      <c r="D106" s="18"/>
      <c r="E106" s="14" t="str">
        <f>SUMPRODUCT(LEN(SUBSTITUTE(SUBSTITUTE(SUBSTITUTE(E107:E111," ",""),"0",""),"-",""))+LEN(SUBSTITUTE(SUBSTITUTE(SUBSTITUTE(F107:F111," ",""),"0",""),"-","")))</f>
      </c>
      <c r="F106" s="14" t="str">
        <f>SUMPRODUCT((UPPER(D107:D111)&lt;&gt;"X")*((LEN(SUBSTITUTE(SUBSTITUTE(SUBSTITUTE(E107:E111," ",""),"0",""),"-",""))+LEN(SUBSTITUTE(SUBSTITUTE(SUBSTITUTE(F107:F111," ",""),"0",""),"-","")))&gt;(LEN(SUBSTITUTE(SUBSTITUTE(SUBSTITUTE(B107:B111," ",""),"0",""),"-",""))+LEN(SUBSTITUTE(SUBSTITUTE(SUBSTITUTE(C107:C111," ",""),"0",""),"-",""))))*1)</f>
      </c>
      <c r="G106" s="14" t="str">
        <f>'data'!$B$10</f>
      </c>
      <c r="I106" s="14" t="str">
        <f>'data'!$B$58</f>
      </c>
      <c r="J106" s="14" t="str">
        <f>SUMPRODUCT((UPPER(L107:L111)&lt;&gt;"X")*((LEN(SUBSTITUTE(SUBSTITUTE(SUBSTITUTE(J107:J111," ",""),"0",""),"-",""))+LEN(SUBSTITUTE(SUBSTITUTE(SUBSTITUTE(K107:K111," ",""),"0",""),"-","")))&gt;(LEN(SUBSTITUTE(SUBSTITUTE(SUBSTITUTE(M107:M111," ",""),"0",""),"-",""))+LEN(SUBSTITUTE(SUBSTITUTE(SUBSTITUTE(N107:N111," ",""),"0",""),"-",""))))*1)</f>
      </c>
      <c r="K106" s="14" t="str">
        <f>SUMPRODUCT(LEN(SUBSTITUTE(SUBSTITUTE(SUBSTITUTE(J107:J111," ",""),"0",""),"-",""))+LEN(SUBSTITUTE(SUBSTITUTE(SUBSTITUTE(K107:K111," ",""),"0",""),"-","")))</f>
      </c>
      <c r="L106" s="18"/>
      <c r="M106" s="14" t="str">
        <f>SUMPRODUCT(LEN(SUBSTITUTE(SUBSTITUTE(SUBSTITUTE(M107:M111," ",""),"0",""),"-",""))+LEN(SUBSTITUTE(SUBSTITUTE(SUBSTITUTE(N107:N111," ",""),"0",""),"-","")))</f>
      </c>
      <c r="N106" s="14" t="str">
        <f>SUMPRODUCT((UPPER(L107:L111)&lt;&gt;"X")*((LEN(SUBSTITUTE(SUBSTITUTE(SUBSTITUTE(M107:M111," ",""),"0",""),"-",""))+LEN(SUBSTITUTE(SUBSTITUTE(SUBSTITUTE(N107:N111," ",""),"0",""),"-","")))&gt;(LEN(SUBSTITUTE(SUBSTITUTE(SUBSTITUTE(J107:J111," ",""),"0",""),"-",""))+LEN(SUBSTITUTE(SUBSTITUTE(SUBSTITUTE(K107:K111," ",""),"0",""),"-",""))))*1)</f>
      </c>
      <c r="O106" s="14" t="str">
        <f>'data'!$B$57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242</v>
      </c>
      <c r="B114" s="13" t="s">
        <v>243</v>
      </c>
      <c r="C114" s="13" t="s">
        <v>244</v>
      </c>
      <c r="D114" s="13" t="s">
        <v>245</v>
      </c>
      <c r="E114" s="13"/>
      <c r="F114" s="13"/>
      <c r="G114" s="13" t="s">
        <v>246</v>
      </c>
      <c r="I114" s="13" t="s">
        <v>242</v>
      </c>
      <c r="J114" s="13" t="s">
        <v>243</v>
      </c>
      <c r="K114" s="13" t="s">
        <v>244</v>
      </c>
      <c r="L114" s="13" t="s">
        <v>245</v>
      </c>
      <c r="M114" s="13"/>
      <c r="N114" s="13"/>
      <c r="O114" s="13" t="s">
        <v>246</v>
      </c>
    </row>
    <row r="115">
      <c r="A115" s="14" t="str">
        <f>'data'!$B$9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247</v>
      </c>
      <c r="C119" s="13" t="s">
        <v>248</v>
      </c>
      <c r="D119" s="13" t="s">
        <v>249</v>
      </c>
      <c r="E119" s="13" t="s">
        <v>250</v>
      </c>
      <c r="F119" s="13" t="s">
        <v>251</v>
      </c>
      <c r="I119" s="13"/>
      <c r="J119" s="13" t="s">
        <v>247</v>
      </c>
      <c r="K119" s="13" t="s">
        <v>248</v>
      </c>
      <c r="L119" s="13" t="s">
        <v>249</v>
      </c>
      <c r="M119" s="13" t="s">
        <v>250</v>
      </c>
      <c r="N119" s="13" t="s">
        <v>251</v>
      </c>
    </row>
    <row r="120">
      <c r="A120" s="14" t="str">
        <f>'data'!$B$9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252</v>
      </c>
      <c r="N125" s="13"/>
      <c r="O125" s="13" t="s">
        <v>252</v>
      </c>
    </row>
    <row r="126">
      <c r="F126" t="s">
        <v>253</v>
      </c>
      <c r="G126" s="19" t="str">
        <f>IFERROR(INDEX($A$115:$A$122, MATCH(1, $G$115:$G$122, 0)), "-")</f>
      </c>
      <c r="N126" t="s">
        <v>253</v>
      </c>
      <c r="O126" s="19" t="str">
        <f>IFERROR(INDEX($I$115:$I$122, MATCH(1, $O$115:$O$122, 0)), "-")</f>
      </c>
    </row>
    <row r="127">
      <c r="F127" t="s">
        <v>254</v>
      </c>
      <c r="G127" s="19" t="str">
        <f>IFERROR(INDEX($A$115:$A$122, MATCH(2, $G$115:$G$122, 0)), "-")</f>
      </c>
      <c r="N127" t="s">
        <v>254</v>
      </c>
      <c r="O127" s="19" t="str">
        <f>IFERROR(INDEX($I$115:$I$122, MATCH(2, $O$115:$O$122, 0)), "-")</f>
      </c>
    </row>
    <row r="128">
      <c r="F128" t="s">
        <v>255</v>
      </c>
      <c r="G128" s="19" t="str">
        <f>IFERROR(INDEX($A$115:$A$122, MATCH(3, $G$115:$G$122, 0)), "-")</f>
      </c>
      <c r="N128" t="s">
        <v>255</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239</v>
      </c>
      <c r="B132" s="14"/>
      <c r="C132" s="14"/>
      <c r="D132" s="14" t="s">
        <v>240</v>
      </c>
      <c r="E132" s="14"/>
      <c r="F132" s="14"/>
      <c r="G132" s="16" t="s">
        <v>241</v>
      </c>
      <c r="I132" s="17" t="s">
        <v>239</v>
      </c>
      <c r="J132" s="14"/>
      <c r="K132" s="14"/>
      <c r="L132" s="14" t="s">
        <v>240</v>
      </c>
      <c r="M132" s="14"/>
      <c r="N132" s="14"/>
      <c r="O132" s="16" t="s">
        <v>241</v>
      </c>
    </row>
    <row r="133">
      <c r="A133" s="14" t="str">
        <f>'data'!$B$13</f>
      </c>
      <c r="B133" s="14" t="str">
        <f>SUMPRODUCT((UPPER(D134:D138)&lt;&gt;"X")*((LEN(SUBSTITUTE(SUBSTITUTE(SUBSTITUTE(B134:B138," ",""),"0",""),"-",""))+LEN(SUBSTITUTE(SUBSTITUTE(SUBSTITUTE(C134:C138," ",""),"0",""),"-","")))&gt;(LEN(SUBSTITUTE(SUBSTITUTE(SUBSTITUTE(E134:E138," ",""),"0",""),"-",""))+LEN(SUBSTITUTE(SUBSTITUTE(SUBSTITUTE(F134:F138," ",""),"0",""),"-",""))))*1)</f>
      </c>
      <c r="C133" s="14" t="str">
        <f>SUMPRODUCT(LEN(SUBSTITUTE(SUBSTITUTE(SUBSTITUTE(B134:B138," ",""),"0",""),"-",""))+LEN(SUBSTITUTE(SUBSTITUTE(SUBSTITUTE(C134:C138," ",""),"0",""),"-","")))</f>
      </c>
      <c r="D133" s="18"/>
      <c r="E133" s="14" t="str">
        <f>SUMPRODUCT(LEN(SUBSTITUTE(SUBSTITUTE(SUBSTITUTE(E134:E138," ",""),"0",""),"-",""))+LEN(SUBSTITUTE(SUBSTITUTE(SUBSTITUTE(F134:F138," ",""),"0",""),"-","")))</f>
      </c>
      <c r="F133" s="14" t="str">
        <f>SUMPRODUCT((UPPER(D134:D138)&lt;&gt;"X")*((LEN(SUBSTITUTE(SUBSTITUTE(SUBSTITUTE(E134:E138," ",""),"0",""),"-",""))+LEN(SUBSTITUTE(SUBSTITUTE(SUBSTITUTE(F134:F138," ",""),"0",""),"-","")))&gt;(LEN(SUBSTITUTE(SUBSTITUTE(SUBSTITUTE(B134:B138," ",""),"0",""),"-",""))+LEN(SUBSTITUTE(SUBSTITUTE(SUBSTITUTE(C134:C138," ",""),"0",""),"-",""))))*1)</f>
      </c>
      <c r="G133" s="14" t="str">
        <f>'data'!$B$12</f>
      </c>
      <c r="I133" s="14" t="str">
        <f>'data'!$B$60</f>
      </c>
      <c r="J133" s="14" t="str">
        <f>SUMPRODUCT((UPPER(L134:L138)&lt;&gt;"X")*((LEN(SUBSTITUTE(SUBSTITUTE(SUBSTITUTE(J134:J138," ",""),"0",""),"-",""))+LEN(SUBSTITUTE(SUBSTITUTE(SUBSTITUTE(K134:K138," ",""),"0",""),"-","")))&gt;(LEN(SUBSTITUTE(SUBSTITUTE(SUBSTITUTE(M134:M138," ",""),"0",""),"-",""))+LEN(SUBSTITUTE(SUBSTITUTE(SUBSTITUTE(N134:N138," ",""),"0",""),"-",""))))*1)</f>
      </c>
      <c r="K133" s="14" t="str">
        <f>SUMPRODUCT(LEN(SUBSTITUTE(SUBSTITUTE(SUBSTITUTE(J134:J138," ",""),"0",""),"-",""))+LEN(SUBSTITUTE(SUBSTITUTE(SUBSTITUTE(K134:K138," ",""),"0",""),"-","")))</f>
      </c>
      <c r="L133" s="18"/>
      <c r="M133" s="14" t="str">
        <f>SUMPRODUCT(LEN(SUBSTITUTE(SUBSTITUTE(SUBSTITUTE(M134:M138," ",""),"0",""),"-",""))+LEN(SUBSTITUTE(SUBSTITUTE(SUBSTITUTE(N134:N138," ",""),"0",""),"-","")))</f>
      </c>
      <c r="N133" s="14" t="str">
        <f>SUMPRODUCT((UPPER(L134:L138)&lt;&gt;"X")*((LEN(SUBSTITUTE(SUBSTITUTE(SUBSTITUTE(M134:M138," ",""),"0",""),"-",""))+LEN(SUBSTITUTE(SUBSTITUTE(SUBSTITUTE(N134:N138," ",""),"0",""),"-","")))&gt;(LEN(SUBSTITUTE(SUBSTITUTE(SUBSTITUTE(J134:J138," ",""),"0",""),"-",""))+LEN(SUBSTITUTE(SUBSTITUTE(SUBSTITUTE(K134:K138," ",""),"0",""),"-",""))))*1)</f>
      </c>
      <c r="O133" s="14" t="str">
        <f>'data'!$B$59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239</v>
      </c>
      <c r="B140" s="14"/>
      <c r="C140" s="14"/>
      <c r="D140" s="14" t="s">
        <v>240</v>
      </c>
      <c r="E140" s="14"/>
      <c r="F140" s="14"/>
      <c r="G140" s="16" t="s">
        <v>241</v>
      </c>
      <c r="I140" s="17" t="s">
        <v>239</v>
      </c>
      <c r="J140" s="14"/>
      <c r="K140" s="14"/>
      <c r="L140" s="14" t="s">
        <v>240</v>
      </c>
      <c r="M140" s="14"/>
      <c r="N140" s="14"/>
      <c r="O140" s="16" t="s">
        <v>241</v>
      </c>
    </row>
    <row r="141">
      <c r="A141" s="14" t="str">
        <f>'data'!$B$14</f>
      </c>
      <c r="B141" s="14" t="str">
        <f>SUMPRODUCT((UPPER(D142:D146)&lt;&gt;"X")*((LEN(SUBSTITUTE(SUBSTITUTE(SUBSTITUTE(B142:B146," ",""),"0",""),"-",""))+LEN(SUBSTITUTE(SUBSTITUTE(SUBSTITUTE(C142:C146," ",""),"0",""),"-","")))&gt;(LEN(SUBSTITUTE(SUBSTITUTE(SUBSTITUTE(E142:E146," ",""),"0",""),"-",""))+LEN(SUBSTITUTE(SUBSTITUTE(SUBSTITUTE(F142:F146," ",""),"0",""),"-",""))))*1)</f>
      </c>
      <c r="C141" s="14" t="str">
        <f>SUMPRODUCT(LEN(SUBSTITUTE(SUBSTITUTE(SUBSTITUTE(B142:B146," ",""),"0",""),"-",""))+LEN(SUBSTITUTE(SUBSTITUTE(SUBSTITUTE(C142:C146," ",""),"0",""),"-","")))</f>
      </c>
      <c r="D141" s="18"/>
      <c r="E141" s="14" t="str">
        <f>SUMPRODUCT(LEN(SUBSTITUTE(SUBSTITUTE(SUBSTITUTE(E142:E146," ",""),"0",""),"-",""))+LEN(SUBSTITUTE(SUBSTITUTE(SUBSTITUTE(F142:F146," ",""),"0",""),"-","")))</f>
      </c>
      <c r="F141" s="14" t="str">
        <f>SUMPRODUCT((UPPER(D142:D146)&lt;&gt;"X")*((LEN(SUBSTITUTE(SUBSTITUTE(SUBSTITUTE(E142:E146," ",""),"0",""),"-",""))+LEN(SUBSTITUTE(SUBSTITUTE(SUBSTITUTE(F142:F146," ",""),"0",""),"-","")))&gt;(LEN(SUBSTITUTE(SUBSTITUTE(SUBSTITUTE(B142:B146," ",""),"0",""),"-",""))+LEN(SUBSTITUTE(SUBSTITUTE(SUBSTITUTE(C142:C146," ",""),"0",""),"-",""))))*1)</f>
      </c>
      <c r="G141" s="14" t="str">
        <f>'data'!$B$12</f>
      </c>
      <c r="I141" s="14" t="str">
        <f>'data'!$B$61</f>
      </c>
      <c r="J141" s="14" t="str">
        <f>SUMPRODUCT((UPPER(L142:L146)&lt;&gt;"X")*((LEN(SUBSTITUTE(SUBSTITUTE(SUBSTITUTE(J142:J146," ",""),"0",""),"-",""))+LEN(SUBSTITUTE(SUBSTITUTE(SUBSTITUTE(K142:K146," ",""),"0",""),"-","")))&gt;(LEN(SUBSTITUTE(SUBSTITUTE(SUBSTITUTE(M142:M146," ",""),"0",""),"-",""))+LEN(SUBSTITUTE(SUBSTITUTE(SUBSTITUTE(N142:N146," ",""),"0",""),"-",""))))*1)</f>
      </c>
      <c r="K141" s="14" t="str">
        <f>SUMPRODUCT(LEN(SUBSTITUTE(SUBSTITUTE(SUBSTITUTE(J142:J146," ",""),"0",""),"-",""))+LEN(SUBSTITUTE(SUBSTITUTE(SUBSTITUTE(K142:K146," ",""),"0",""),"-","")))</f>
      </c>
      <c r="L141" s="18"/>
      <c r="M141" s="14" t="str">
        <f>SUMPRODUCT(LEN(SUBSTITUTE(SUBSTITUTE(SUBSTITUTE(M142:M146," ",""),"0",""),"-",""))+LEN(SUBSTITUTE(SUBSTITUTE(SUBSTITUTE(N142:N146," ",""),"0",""),"-","")))</f>
      </c>
      <c r="N141" s="14" t="str">
        <f>SUMPRODUCT((UPPER(L142:L146)&lt;&gt;"X")*((LEN(SUBSTITUTE(SUBSTITUTE(SUBSTITUTE(M142:M146," ",""),"0",""),"-",""))+LEN(SUBSTITUTE(SUBSTITUTE(SUBSTITUTE(N142:N146," ",""),"0",""),"-","")))&gt;(LEN(SUBSTITUTE(SUBSTITUTE(SUBSTITUTE(J142:J146," ",""),"0",""),"-",""))+LEN(SUBSTITUTE(SUBSTITUTE(SUBSTITUTE(K142:K146," ",""),"0",""),"-",""))))*1)</f>
      </c>
      <c r="O141" s="14" t="str">
        <f>'data'!$B$59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239</v>
      </c>
      <c r="B148" s="14"/>
      <c r="C148" s="14"/>
      <c r="D148" s="14" t="s">
        <v>240</v>
      </c>
      <c r="E148" s="14"/>
      <c r="F148" s="14"/>
      <c r="G148" s="16" t="s">
        <v>241</v>
      </c>
      <c r="I148" s="17" t="s">
        <v>239</v>
      </c>
      <c r="J148" s="14"/>
      <c r="K148" s="14"/>
      <c r="L148" s="14" t="s">
        <v>240</v>
      </c>
      <c r="M148" s="14"/>
      <c r="N148" s="14"/>
      <c r="O148" s="16" t="s">
        <v>241</v>
      </c>
    </row>
    <row r="149">
      <c r="A149" s="14" t="str">
        <f>'data'!$B$14</f>
      </c>
      <c r="B149" s="14" t="str">
        <f>SUMPRODUCT((UPPER(D150:D154)&lt;&gt;"X")*((LEN(SUBSTITUTE(SUBSTITUTE(SUBSTITUTE(B150:B154," ",""),"0",""),"-",""))+LEN(SUBSTITUTE(SUBSTITUTE(SUBSTITUTE(C150:C154," ",""),"0",""),"-","")))&gt;(LEN(SUBSTITUTE(SUBSTITUTE(SUBSTITUTE(E150:E154," ",""),"0",""),"-",""))+LEN(SUBSTITUTE(SUBSTITUTE(SUBSTITUTE(F150:F154," ",""),"0",""),"-",""))))*1)</f>
      </c>
      <c r="C149" s="14" t="str">
        <f>SUMPRODUCT(LEN(SUBSTITUTE(SUBSTITUTE(SUBSTITUTE(B150:B154," ",""),"0",""),"-",""))+LEN(SUBSTITUTE(SUBSTITUTE(SUBSTITUTE(C150:C154," ",""),"0",""),"-","")))</f>
      </c>
      <c r="D149" s="18"/>
      <c r="E149" s="14" t="str">
        <f>SUMPRODUCT(LEN(SUBSTITUTE(SUBSTITUTE(SUBSTITUTE(E150:E154," ",""),"0",""),"-",""))+LEN(SUBSTITUTE(SUBSTITUTE(SUBSTITUTE(F150:F154," ",""),"0",""),"-","")))</f>
      </c>
      <c r="F149" s="14" t="str">
        <f>SUMPRODUCT((UPPER(D150:D154)&lt;&gt;"X")*((LEN(SUBSTITUTE(SUBSTITUTE(SUBSTITUTE(E150:E154," ",""),"0",""),"-",""))+LEN(SUBSTITUTE(SUBSTITUTE(SUBSTITUTE(F150:F154," ",""),"0",""),"-","")))&gt;(LEN(SUBSTITUTE(SUBSTITUTE(SUBSTITUTE(B150:B154," ",""),"0",""),"-",""))+LEN(SUBSTITUTE(SUBSTITUTE(SUBSTITUTE(C150:C154," ",""),"0",""),"-",""))))*1)</f>
      </c>
      <c r="G149" s="14" t="str">
        <f>'data'!$B$13</f>
      </c>
      <c r="I149" s="14" t="str">
        <f>'data'!$B$61</f>
      </c>
      <c r="J149" s="14" t="str">
        <f>SUMPRODUCT((UPPER(L150:L154)&lt;&gt;"X")*((LEN(SUBSTITUTE(SUBSTITUTE(SUBSTITUTE(J150:J154," ",""),"0",""),"-",""))+LEN(SUBSTITUTE(SUBSTITUTE(SUBSTITUTE(K150:K154," ",""),"0",""),"-","")))&gt;(LEN(SUBSTITUTE(SUBSTITUTE(SUBSTITUTE(M150:M154," ",""),"0",""),"-",""))+LEN(SUBSTITUTE(SUBSTITUTE(SUBSTITUTE(N150:N154," ",""),"0",""),"-",""))))*1)</f>
      </c>
      <c r="K149" s="14" t="str">
        <f>SUMPRODUCT(LEN(SUBSTITUTE(SUBSTITUTE(SUBSTITUTE(J150:J154," ",""),"0",""),"-",""))+LEN(SUBSTITUTE(SUBSTITUTE(SUBSTITUTE(K150:K154," ",""),"0",""),"-","")))</f>
      </c>
      <c r="L149" s="18"/>
      <c r="M149" s="14" t="str">
        <f>SUMPRODUCT(LEN(SUBSTITUTE(SUBSTITUTE(SUBSTITUTE(M150:M154," ",""),"0",""),"-",""))+LEN(SUBSTITUTE(SUBSTITUTE(SUBSTITUTE(N150:N154," ",""),"0",""),"-","")))</f>
      </c>
      <c r="N149" s="14" t="str">
        <f>SUMPRODUCT((UPPER(L150:L154)&lt;&gt;"X")*((LEN(SUBSTITUTE(SUBSTITUTE(SUBSTITUTE(M150:M154," ",""),"0",""),"-",""))+LEN(SUBSTITUTE(SUBSTITUTE(SUBSTITUTE(N150:N154," ",""),"0",""),"-","")))&gt;(LEN(SUBSTITUTE(SUBSTITUTE(SUBSTITUTE(J150:J154," ",""),"0",""),"-",""))+LEN(SUBSTITUTE(SUBSTITUTE(SUBSTITUTE(K150:K154," ",""),"0",""),"-",""))))*1)</f>
      </c>
      <c r="O149" s="14" t="str">
        <f>'data'!$B$60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242</v>
      </c>
      <c r="B157" s="13" t="s">
        <v>243</v>
      </c>
      <c r="C157" s="13" t="s">
        <v>244</v>
      </c>
      <c r="D157" s="13" t="s">
        <v>245</v>
      </c>
      <c r="E157" s="13"/>
      <c r="F157" s="13"/>
      <c r="G157" s="13" t="s">
        <v>246</v>
      </c>
      <c r="I157" s="13" t="s">
        <v>242</v>
      </c>
      <c r="J157" s="13" t="s">
        <v>243</v>
      </c>
      <c r="K157" s="13" t="s">
        <v>244</v>
      </c>
      <c r="L157" s="13" t="s">
        <v>245</v>
      </c>
      <c r="M157" s="13"/>
      <c r="N157" s="13"/>
      <c r="O157" s="13" t="s">
        <v>246</v>
      </c>
    </row>
    <row r="158">
      <c r="A158" s="14" t="str">
        <f>'data'!$B$12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247</v>
      </c>
      <c r="C162" s="13" t="s">
        <v>248</v>
      </c>
      <c r="D162" s="13" t="s">
        <v>249</v>
      </c>
      <c r="E162" s="13" t="s">
        <v>250</v>
      </c>
      <c r="F162" s="13" t="s">
        <v>251</v>
      </c>
      <c r="I162" s="13"/>
      <c r="J162" s="13" t="s">
        <v>247</v>
      </c>
      <c r="K162" s="13" t="s">
        <v>248</v>
      </c>
      <c r="L162" s="13" t="s">
        <v>249</v>
      </c>
      <c r="M162" s="13" t="s">
        <v>250</v>
      </c>
      <c r="N162" s="13" t="s">
        <v>251</v>
      </c>
    </row>
    <row r="163">
      <c r="A163" s="14" t="str">
        <f>'data'!$B$12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252</v>
      </c>
      <c r="N168" s="13"/>
      <c r="O168" s="13" t="s">
        <v>252</v>
      </c>
    </row>
    <row r="169">
      <c r="F169" t="s">
        <v>253</v>
      </c>
      <c r="G169" s="19" t="str">
        <f>IFERROR(INDEX($A$158:$A$165, MATCH(1, $G$158:$G$165, 0)), "-")</f>
      </c>
      <c r="N169" t="s">
        <v>253</v>
      </c>
      <c r="O169" s="19" t="str">
        <f>IFERROR(INDEX($I$158:$I$165, MATCH(1, $O$158:$O$165, 0)), "-")</f>
      </c>
    </row>
    <row r="170">
      <c r="F170" t="s">
        <v>254</v>
      </c>
      <c r="G170" s="19" t="str">
        <f>IFERROR(INDEX($A$158:$A$165, MATCH(2, $G$158:$G$165, 0)), "-")</f>
      </c>
      <c r="N170" t="s">
        <v>254</v>
      </c>
      <c r="O170" s="19" t="str">
        <f>IFERROR(INDEX($I$158:$I$165, MATCH(2, $O$158:$O$165, 0)), "-")</f>
      </c>
    </row>
    <row r="171">
      <c r="F171" t="s">
        <v>255</v>
      </c>
      <c r="G171" s="19" t="str">
        <f>IFERROR(INDEX($A$158:$A$165, MATCH(3, $G$158:$G$165, 0)), "-")</f>
      </c>
      <c r="N171" t="s">
        <v>255</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239</v>
      </c>
      <c r="B175" s="14"/>
      <c r="C175" s="14"/>
      <c r="D175" s="14" t="s">
        <v>240</v>
      </c>
      <c r="E175" s="14"/>
      <c r="F175" s="14"/>
      <c r="G175" s="16" t="s">
        <v>241</v>
      </c>
      <c r="I175" s="17" t="s">
        <v>239</v>
      </c>
      <c r="J175" s="14"/>
      <c r="K175" s="14"/>
      <c r="L175" s="14" t="s">
        <v>240</v>
      </c>
      <c r="M175" s="14"/>
      <c r="N175" s="14"/>
      <c r="O175" s="16" t="s">
        <v>241</v>
      </c>
    </row>
    <row r="176">
      <c r="A176" s="14" t="str">
        <f>'data'!$B$16</f>
      </c>
      <c r="B176" s="14" t="str">
        <f>SUMPRODUCT((UPPER(D177:D181)&lt;&gt;"X")*((LEN(SUBSTITUTE(SUBSTITUTE(SUBSTITUTE(B177:B181," ",""),"0",""),"-",""))+LEN(SUBSTITUTE(SUBSTITUTE(SUBSTITUTE(C177:C181," ",""),"0",""),"-","")))&gt;(LEN(SUBSTITUTE(SUBSTITUTE(SUBSTITUTE(E177:E181," ",""),"0",""),"-",""))+LEN(SUBSTITUTE(SUBSTITUTE(SUBSTITUTE(F177:F181," ",""),"0",""),"-",""))))*1)</f>
      </c>
      <c r="C176" s="14" t="str">
        <f>SUMPRODUCT(LEN(SUBSTITUTE(SUBSTITUTE(SUBSTITUTE(B177:B181," ",""),"0",""),"-",""))+LEN(SUBSTITUTE(SUBSTITUTE(SUBSTITUTE(C177:C181," ",""),"0",""),"-","")))</f>
      </c>
      <c r="D176" s="18"/>
      <c r="E176" s="14" t="str">
        <f>SUMPRODUCT(LEN(SUBSTITUTE(SUBSTITUTE(SUBSTITUTE(E177:E181," ",""),"0",""),"-",""))+LEN(SUBSTITUTE(SUBSTITUTE(SUBSTITUTE(F177:F181," ",""),"0",""),"-","")))</f>
      </c>
      <c r="F176" s="14" t="str">
        <f>SUMPRODUCT((UPPER(D177:D181)&lt;&gt;"X")*((LEN(SUBSTITUTE(SUBSTITUTE(SUBSTITUTE(E177:E181," ",""),"0",""),"-",""))+LEN(SUBSTITUTE(SUBSTITUTE(SUBSTITUTE(F177:F181," ",""),"0",""),"-","")))&gt;(LEN(SUBSTITUTE(SUBSTITUTE(SUBSTITUTE(B177:B181," ",""),"0",""),"-",""))+LEN(SUBSTITUTE(SUBSTITUTE(SUBSTITUTE(C177:C181," ",""),"0",""),"-",""))))*1)</f>
      </c>
      <c r="G176" s="14" t="str">
        <f>'data'!$B$15</f>
      </c>
      <c r="I176" s="14" t="str">
        <f>'data'!$B$63</f>
      </c>
      <c r="J176" s="14" t="str">
        <f>SUMPRODUCT((UPPER(L177:L181)&lt;&gt;"X")*((LEN(SUBSTITUTE(SUBSTITUTE(SUBSTITUTE(J177:J181," ",""),"0",""),"-",""))+LEN(SUBSTITUTE(SUBSTITUTE(SUBSTITUTE(K177:K181," ",""),"0",""),"-","")))&gt;(LEN(SUBSTITUTE(SUBSTITUTE(SUBSTITUTE(M177:M181," ",""),"0",""),"-",""))+LEN(SUBSTITUTE(SUBSTITUTE(SUBSTITUTE(N177:N181," ",""),"0",""),"-",""))))*1)</f>
      </c>
      <c r="K176" s="14" t="str">
        <f>SUMPRODUCT(LEN(SUBSTITUTE(SUBSTITUTE(SUBSTITUTE(J177:J181," ",""),"0",""),"-",""))+LEN(SUBSTITUTE(SUBSTITUTE(SUBSTITUTE(K177:K181," ",""),"0",""),"-","")))</f>
      </c>
      <c r="L176" s="18"/>
      <c r="M176" s="14" t="str">
        <f>SUMPRODUCT(LEN(SUBSTITUTE(SUBSTITUTE(SUBSTITUTE(M177:M181," ",""),"0",""),"-",""))+LEN(SUBSTITUTE(SUBSTITUTE(SUBSTITUTE(N177:N181," ",""),"0",""),"-","")))</f>
      </c>
      <c r="N176" s="14" t="str">
        <f>SUMPRODUCT((UPPER(L177:L181)&lt;&gt;"X")*((LEN(SUBSTITUTE(SUBSTITUTE(SUBSTITUTE(M177:M181," ",""),"0",""),"-",""))+LEN(SUBSTITUTE(SUBSTITUTE(SUBSTITUTE(N177:N181," ",""),"0",""),"-","")))&gt;(LEN(SUBSTITUTE(SUBSTITUTE(SUBSTITUTE(J177:J181," ",""),"0",""),"-",""))+LEN(SUBSTITUTE(SUBSTITUTE(SUBSTITUTE(K177:K181," ",""),"0",""),"-",""))))*1)</f>
      </c>
      <c r="O176" s="14" t="str">
        <f>'data'!$B$62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239</v>
      </c>
      <c r="B183" s="14"/>
      <c r="C183" s="14"/>
      <c r="D183" s="14" t="s">
        <v>240</v>
      </c>
      <c r="E183" s="14"/>
      <c r="F183" s="14"/>
      <c r="G183" s="16" t="s">
        <v>241</v>
      </c>
      <c r="I183" s="17" t="s">
        <v>239</v>
      </c>
      <c r="J183" s="14"/>
      <c r="K183" s="14"/>
      <c r="L183" s="14" t="s">
        <v>240</v>
      </c>
      <c r="M183" s="14"/>
      <c r="N183" s="14"/>
      <c r="O183" s="16" t="s">
        <v>241</v>
      </c>
    </row>
    <row r="184">
      <c r="A184" s="14" t="str">
        <f>'data'!$B$17</f>
      </c>
      <c r="B184" s="14" t="str">
        <f>SUMPRODUCT((UPPER(D185:D189)&lt;&gt;"X")*((LEN(SUBSTITUTE(SUBSTITUTE(SUBSTITUTE(B185:B189," ",""),"0",""),"-",""))+LEN(SUBSTITUTE(SUBSTITUTE(SUBSTITUTE(C185:C189," ",""),"0",""),"-","")))&gt;(LEN(SUBSTITUTE(SUBSTITUTE(SUBSTITUTE(E185:E189," ",""),"0",""),"-",""))+LEN(SUBSTITUTE(SUBSTITUTE(SUBSTITUTE(F185:F189," ",""),"0",""),"-",""))))*1)</f>
      </c>
      <c r="C184" s="14" t="str">
        <f>SUMPRODUCT(LEN(SUBSTITUTE(SUBSTITUTE(SUBSTITUTE(B185:B189," ",""),"0",""),"-",""))+LEN(SUBSTITUTE(SUBSTITUTE(SUBSTITUTE(C185:C189," ",""),"0",""),"-","")))</f>
      </c>
      <c r="D184" s="18"/>
      <c r="E184" s="14" t="str">
        <f>SUMPRODUCT(LEN(SUBSTITUTE(SUBSTITUTE(SUBSTITUTE(E185:E189," ",""),"0",""),"-",""))+LEN(SUBSTITUTE(SUBSTITUTE(SUBSTITUTE(F185:F189," ",""),"0",""),"-","")))</f>
      </c>
      <c r="F184" s="14" t="str">
        <f>SUMPRODUCT((UPPER(D185:D189)&lt;&gt;"X")*((LEN(SUBSTITUTE(SUBSTITUTE(SUBSTITUTE(E185:E189," ",""),"0",""),"-",""))+LEN(SUBSTITUTE(SUBSTITUTE(SUBSTITUTE(F185:F189," ",""),"0",""),"-","")))&gt;(LEN(SUBSTITUTE(SUBSTITUTE(SUBSTITUTE(B185:B189," ",""),"0",""),"-",""))+LEN(SUBSTITUTE(SUBSTITUTE(SUBSTITUTE(C185:C189," ",""),"0",""),"-",""))))*1)</f>
      </c>
      <c r="G184" s="14" t="str">
        <f>'data'!$B$15</f>
      </c>
      <c r="I184" s="14" t="str">
        <f>'data'!$B$64</f>
      </c>
      <c r="J184" s="14" t="str">
        <f>SUMPRODUCT((UPPER(L185:L189)&lt;&gt;"X")*((LEN(SUBSTITUTE(SUBSTITUTE(SUBSTITUTE(J185:J189," ",""),"0",""),"-",""))+LEN(SUBSTITUTE(SUBSTITUTE(SUBSTITUTE(K185:K189," ",""),"0",""),"-","")))&gt;(LEN(SUBSTITUTE(SUBSTITUTE(SUBSTITUTE(M185:M189," ",""),"0",""),"-",""))+LEN(SUBSTITUTE(SUBSTITUTE(SUBSTITUTE(N185:N189," ",""),"0",""),"-",""))))*1)</f>
      </c>
      <c r="K184" s="14" t="str">
        <f>SUMPRODUCT(LEN(SUBSTITUTE(SUBSTITUTE(SUBSTITUTE(J185:J189," ",""),"0",""),"-",""))+LEN(SUBSTITUTE(SUBSTITUTE(SUBSTITUTE(K185:K189," ",""),"0",""),"-","")))</f>
      </c>
      <c r="L184" s="18"/>
      <c r="M184" s="14" t="str">
        <f>SUMPRODUCT(LEN(SUBSTITUTE(SUBSTITUTE(SUBSTITUTE(M185:M189," ",""),"0",""),"-",""))+LEN(SUBSTITUTE(SUBSTITUTE(SUBSTITUTE(N185:N189," ",""),"0",""),"-","")))</f>
      </c>
      <c r="N184" s="14" t="str">
        <f>SUMPRODUCT((UPPER(L185:L189)&lt;&gt;"X")*((LEN(SUBSTITUTE(SUBSTITUTE(SUBSTITUTE(M185:M189," ",""),"0",""),"-",""))+LEN(SUBSTITUTE(SUBSTITUTE(SUBSTITUTE(N185:N189," ",""),"0",""),"-","")))&gt;(LEN(SUBSTITUTE(SUBSTITUTE(SUBSTITUTE(J185:J189," ",""),"0",""),"-",""))+LEN(SUBSTITUTE(SUBSTITUTE(SUBSTITUTE(K185:K189," ",""),"0",""),"-",""))))*1)</f>
      </c>
      <c r="O184" s="14" t="str">
        <f>'data'!$B$62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239</v>
      </c>
      <c r="B191" s="14"/>
      <c r="C191" s="14"/>
      <c r="D191" s="14" t="s">
        <v>240</v>
      </c>
      <c r="E191" s="14"/>
      <c r="F191" s="14"/>
      <c r="G191" s="16" t="s">
        <v>241</v>
      </c>
      <c r="I191" s="17" t="s">
        <v>239</v>
      </c>
      <c r="J191" s="14"/>
      <c r="K191" s="14"/>
      <c r="L191" s="14" t="s">
        <v>240</v>
      </c>
      <c r="M191" s="14"/>
      <c r="N191" s="14"/>
      <c r="O191" s="16" t="s">
        <v>241</v>
      </c>
    </row>
    <row r="192">
      <c r="A192" s="14" t="str">
        <f>'data'!$B$17</f>
      </c>
      <c r="B192" s="14" t="str">
        <f>SUMPRODUCT((UPPER(D193:D197)&lt;&gt;"X")*((LEN(SUBSTITUTE(SUBSTITUTE(SUBSTITUTE(B193:B197," ",""),"0",""),"-",""))+LEN(SUBSTITUTE(SUBSTITUTE(SUBSTITUTE(C193:C197," ",""),"0",""),"-","")))&gt;(LEN(SUBSTITUTE(SUBSTITUTE(SUBSTITUTE(E193:E197," ",""),"0",""),"-",""))+LEN(SUBSTITUTE(SUBSTITUTE(SUBSTITUTE(F193:F197," ",""),"0",""),"-",""))))*1)</f>
      </c>
      <c r="C192" s="14" t="str">
        <f>SUMPRODUCT(LEN(SUBSTITUTE(SUBSTITUTE(SUBSTITUTE(B193:B197," ",""),"0",""),"-",""))+LEN(SUBSTITUTE(SUBSTITUTE(SUBSTITUTE(C193:C197," ",""),"0",""),"-","")))</f>
      </c>
      <c r="D192" s="18"/>
      <c r="E192" s="14" t="str">
        <f>SUMPRODUCT(LEN(SUBSTITUTE(SUBSTITUTE(SUBSTITUTE(E193:E197," ",""),"0",""),"-",""))+LEN(SUBSTITUTE(SUBSTITUTE(SUBSTITUTE(F193:F197," ",""),"0",""),"-","")))</f>
      </c>
      <c r="F192" s="14" t="str">
        <f>SUMPRODUCT((UPPER(D193:D197)&lt;&gt;"X")*((LEN(SUBSTITUTE(SUBSTITUTE(SUBSTITUTE(E193:E197," ",""),"0",""),"-",""))+LEN(SUBSTITUTE(SUBSTITUTE(SUBSTITUTE(F193:F197," ",""),"0",""),"-","")))&gt;(LEN(SUBSTITUTE(SUBSTITUTE(SUBSTITUTE(B193:B197," ",""),"0",""),"-",""))+LEN(SUBSTITUTE(SUBSTITUTE(SUBSTITUTE(C193:C197," ",""),"0",""),"-",""))))*1)</f>
      </c>
      <c r="G192" s="14" t="str">
        <f>'data'!$B$16</f>
      </c>
      <c r="I192" s="14" t="str">
        <f>'data'!$B$64</f>
      </c>
      <c r="J192" s="14" t="str">
        <f>SUMPRODUCT((UPPER(L193:L197)&lt;&gt;"X")*((LEN(SUBSTITUTE(SUBSTITUTE(SUBSTITUTE(J193:J197," ",""),"0",""),"-",""))+LEN(SUBSTITUTE(SUBSTITUTE(SUBSTITUTE(K193:K197," ",""),"0",""),"-","")))&gt;(LEN(SUBSTITUTE(SUBSTITUTE(SUBSTITUTE(M193:M197," ",""),"0",""),"-",""))+LEN(SUBSTITUTE(SUBSTITUTE(SUBSTITUTE(N193:N197," ",""),"0",""),"-",""))))*1)</f>
      </c>
      <c r="K192" s="14" t="str">
        <f>SUMPRODUCT(LEN(SUBSTITUTE(SUBSTITUTE(SUBSTITUTE(J193:J197," ",""),"0",""),"-",""))+LEN(SUBSTITUTE(SUBSTITUTE(SUBSTITUTE(K193:K197," ",""),"0",""),"-","")))</f>
      </c>
      <c r="L192" s="18"/>
      <c r="M192" s="14" t="str">
        <f>SUMPRODUCT(LEN(SUBSTITUTE(SUBSTITUTE(SUBSTITUTE(M193:M197," ",""),"0",""),"-",""))+LEN(SUBSTITUTE(SUBSTITUTE(SUBSTITUTE(N193:N197," ",""),"0",""),"-","")))</f>
      </c>
      <c r="N192" s="14" t="str">
        <f>SUMPRODUCT((UPPER(L193:L197)&lt;&gt;"X")*((LEN(SUBSTITUTE(SUBSTITUTE(SUBSTITUTE(M193:M197," ",""),"0",""),"-",""))+LEN(SUBSTITUTE(SUBSTITUTE(SUBSTITUTE(N193:N197," ",""),"0",""),"-","")))&gt;(LEN(SUBSTITUTE(SUBSTITUTE(SUBSTITUTE(J193:J197," ",""),"0",""),"-",""))+LEN(SUBSTITUTE(SUBSTITUTE(SUBSTITUTE(K193:K197," ",""),"0",""),"-",""))))*1)</f>
      </c>
      <c r="O192" s="14" t="str">
        <f>'data'!$B$63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242</v>
      </c>
      <c r="B200" s="13" t="s">
        <v>243</v>
      </c>
      <c r="C200" s="13" t="s">
        <v>244</v>
      </c>
      <c r="D200" s="13" t="s">
        <v>245</v>
      </c>
      <c r="E200" s="13"/>
      <c r="F200" s="13"/>
      <c r="G200" s="13" t="s">
        <v>246</v>
      </c>
      <c r="I200" s="13" t="s">
        <v>242</v>
      </c>
      <c r="J200" s="13" t="s">
        <v>243</v>
      </c>
      <c r="K200" s="13" t="s">
        <v>244</v>
      </c>
      <c r="L200" s="13" t="s">
        <v>245</v>
      </c>
      <c r="M200" s="13"/>
      <c r="N200" s="13"/>
      <c r="O200" s="13" t="s">
        <v>246</v>
      </c>
    </row>
    <row r="201">
      <c r="A201" s="14" t="str">
        <f>'data'!$B$15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247</v>
      </c>
      <c r="C205" s="13" t="s">
        <v>248</v>
      </c>
      <c r="D205" s="13" t="s">
        <v>249</v>
      </c>
      <c r="E205" s="13" t="s">
        <v>250</v>
      </c>
      <c r="F205" s="13" t="s">
        <v>251</v>
      </c>
      <c r="I205" s="13"/>
      <c r="J205" s="13" t="s">
        <v>247</v>
      </c>
      <c r="K205" s="13" t="s">
        <v>248</v>
      </c>
      <c r="L205" s="13" t="s">
        <v>249</v>
      </c>
      <c r="M205" s="13" t="s">
        <v>250</v>
      </c>
      <c r="N205" s="13" t="s">
        <v>251</v>
      </c>
    </row>
    <row r="206">
      <c r="A206" s="14" t="str">
        <f>'data'!$B$15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252</v>
      </c>
      <c r="N211" s="13"/>
      <c r="O211" s="13" t="s">
        <v>252</v>
      </c>
    </row>
    <row r="212">
      <c r="F212" t="s">
        <v>253</v>
      </c>
      <c r="G212" s="19" t="str">
        <f>IFERROR(INDEX($A$201:$A$208, MATCH(1, $G$201:$G$208, 0)), "-")</f>
      </c>
      <c r="N212" t="s">
        <v>253</v>
      </c>
      <c r="O212" s="19" t="str">
        <f>IFERROR(INDEX($I$201:$I$208, MATCH(1, $O$201:$O$208, 0)), "-")</f>
      </c>
    </row>
    <row r="213">
      <c r="F213" t="s">
        <v>254</v>
      </c>
      <c r="G213" s="19" t="str">
        <f>IFERROR(INDEX($A$201:$A$208, MATCH(2, $G$201:$G$208, 0)), "-")</f>
      </c>
      <c r="N213" t="s">
        <v>254</v>
      </c>
      <c r="O213" s="19" t="str">
        <f>IFERROR(INDEX($I$201:$I$208, MATCH(2, $O$201:$O$208, 0)), "-")</f>
      </c>
    </row>
    <row r="214">
      <c r="F214" t="s">
        <v>255</v>
      </c>
      <c r="G214" s="19" t="str">
        <f>IFERROR(INDEX($A$201:$A$208, MATCH(3, $G$201:$G$208, 0)), "-")</f>
      </c>
      <c r="N214" t="s">
        <v>255</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239</v>
      </c>
      <c r="B218" s="14"/>
      <c r="C218" s="14"/>
      <c r="D218" s="14" t="s">
        <v>240</v>
      </c>
      <c r="E218" s="14"/>
      <c r="F218" s="14"/>
      <c r="G218" s="16" t="s">
        <v>241</v>
      </c>
      <c r="I218" s="17" t="s">
        <v>239</v>
      </c>
      <c r="J218" s="14"/>
      <c r="K218" s="14"/>
      <c r="L218" s="14" t="s">
        <v>240</v>
      </c>
      <c r="M218" s="14"/>
      <c r="N218" s="14"/>
      <c r="O218" s="16" t="s">
        <v>241</v>
      </c>
    </row>
    <row r="219">
      <c r="A219" s="14" t="str">
        <f>'data'!$B$19</f>
      </c>
      <c r="B219" s="14" t="str">
        <f>SUMPRODUCT((UPPER(D220:D224)&lt;&gt;"X")*((LEN(SUBSTITUTE(SUBSTITUTE(SUBSTITUTE(B220:B224," ",""),"0",""),"-",""))+LEN(SUBSTITUTE(SUBSTITUTE(SUBSTITUTE(C220:C224," ",""),"0",""),"-","")))&gt;(LEN(SUBSTITUTE(SUBSTITUTE(SUBSTITUTE(E220:E224," ",""),"0",""),"-",""))+LEN(SUBSTITUTE(SUBSTITUTE(SUBSTITUTE(F220:F224," ",""),"0",""),"-",""))))*1)</f>
      </c>
      <c r="C219" s="14" t="str">
        <f>SUMPRODUCT(LEN(SUBSTITUTE(SUBSTITUTE(SUBSTITUTE(B220:B224," ",""),"0",""),"-",""))+LEN(SUBSTITUTE(SUBSTITUTE(SUBSTITUTE(C220:C224," ",""),"0",""),"-","")))</f>
      </c>
      <c r="D219" s="18"/>
      <c r="E219" s="14" t="str">
        <f>SUMPRODUCT(LEN(SUBSTITUTE(SUBSTITUTE(SUBSTITUTE(E220:E224," ",""),"0",""),"-",""))+LEN(SUBSTITUTE(SUBSTITUTE(SUBSTITUTE(F220:F224," ",""),"0",""),"-","")))</f>
      </c>
      <c r="F219" s="14" t="str">
        <f>SUMPRODUCT((UPPER(D220:D224)&lt;&gt;"X")*((LEN(SUBSTITUTE(SUBSTITUTE(SUBSTITUTE(E220:E224," ",""),"0",""),"-",""))+LEN(SUBSTITUTE(SUBSTITUTE(SUBSTITUTE(F220:F224," ",""),"0",""),"-","")))&gt;(LEN(SUBSTITUTE(SUBSTITUTE(SUBSTITUTE(B220:B224," ",""),"0",""),"-",""))+LEN(SUBSTITUTE(SUBSTITUTE(SUBSTITUTE(C220:C224," ",""),"0",""),"-",""))))*1)</f>
      </c>
      <c r="G219" s="14" t="str">
        <f>'data'!$B$18</f>
      </c>
      <c r="I219" s="14" t="str">
        <f>'data'!$B$66</f>
      </c>
      <c r="J219" s="14" t="str">
        <f>SUMPRODUCT((UPPER(L220:L224)&lt;&gt;"X")*((LEN(SUBSTITUTE(SUBSTITUTE(SUBSTITUTE(J220:J224," ",""),"0",""),"-",""))+LEN(SUBSTITUTE(SUBSTITUTE(SUBSTITUTE(K220:K224," ",""),"0",""),"-","")))&gt;(LEN(SUBSTITUTE(SUBSTITUTE(SUBSTITUTE(M220:M224," ",""),"0",""),"-",""))+LEN(SUBSTITUTE(SUBSTITUTE(SUBSTITUTE(N220:N224," ",""),"0",""),"-",""))))*1)</f>
      </c>
      <c r="K219" s="14" t="str">
        <f>SUMPRODUCT(LEN(SUBSTITUTE(SUBSTITUTE(SUBSTITUTE(J220:J224," ",""),"0",""),"-",""))+LEN(SUBSTITUTE(SUBSTITUTE(SUBSTITUTE(K220:K224," ",""),"0",""),"-","")))</f>
      </c>
      <c r="L219" s="18"/>
      <c r="M219" s="14" t="str">
        <f>SUMPRODUCT(LEN(SUBSTITUTE(SUBSTITUTE(SUBSTITUTE(M220:M224," ",""),"0",""),"-",""))+LEN(SUBSTITUTE(SUBSTITUTE(SUBSTITUTE(N220:N224," ",""),"0",""),"-","")))</f>
      </c>
      <c r="N219" s="14" t="str">
        <f>SUMPRODUCT((UPPER(L220:L224)&lt;&gt;"X")*((LEN(SUBSTITUTE(SUBSTITUTE(SUBSTITUTE(M220:M224," ",""),"0",""),"-",""))+LEN(SUBSTITUTE(SUBSTITUTE(SUBSTITUTE(N220:N224," ",""),"0",""),"-","")))&gt;(LEN(SUBSTITUTE(SUBSTITUTE(SUBSTITUTE(J220:J224," ",""),"0",""),"-",""))+LEN(SUBSTITUTE(SUBSTITUTE(SUBSTITUTE(K220:K224," ",""),"0",""),"-",""))))*1)</f>
      </c>
      <c r="O219" s="14" t="str">
        <f>'data'!$B$65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239</v>
      </c>
      <c r="B226" s="14"/>
      <c r="C226" s="14"/>
      <c r="D226" s="14" t="s">
        <v>240</v>
      </c>
      <c r="E226" s="14"/>
      <c r="F226" s="14"/>
      <c r="G226" s="16" t="s">
        <v>241</v>
      </c>
      <c r="I226" s="17" t="s">
        <v>239</v>
      </c>
      <c r="J226" s="14"/>
      <c r="K226" s="14"/>
      <c r="L226" s="14" t="s">
        <v>240</v>
      </c>
      <c r="M226" s="14"/>
      <c r="N226" s="14"/>
      <c r="O226" s="16" t="s">
        <v>241</v>
      </c>
    </row>
    <row r="227">
      <c r="A227" s="14" t="str">
        <f>'data'!$B$20</f>
      </c>
      <c r="B227" s="14" t="str">
        <f>SUMPRODUCT((UPPER(D228:D232)&lt;&gt;"X")*((LEN(SUBSTITUTE(SUBSTITUTE(SUBSTITUTE(B228:B232," ",""),"0",""),"-",""))+LEN(SUBSTITUTE(SUBSTITUTE(SUBSTITUTE(C228:C232," ",""),"0",""),"-","")))&gt;(LEN(SUBSTITUTE(SUBSTITUTE(SUBSTITUTE(E228:E232," ",""),"0",""),"-",""))+LEN(SUBSTITUTE(SUBSTITUTE(SUBSTITUTE(F228:F232," ",""),"0",""),"-",""))))*1)</f>
      </c>
      <c r="C227" s="14" t="str">
        <f>SUMPRODUCT(LEN(SUBSTITUTE(SUBSTITUTE(SUBSTITUTE(B228:B232," ",""),"0",""),"-",""))+LEN(SUBSTITUTE(SUBSTITUTE(SUBSTITUTE(C228:C232," ",""),"0",""),"-","")))</f>
      </c>
      <c r="D227" s="18"/>
      <c r="E227" s="14" t="str">
        <f>SUMPRODUCT(LEN(SUBSTITUTE(SUBSTITUTE(SUBSTITUTE(E228:E232," ",""),"0",""),"-",""))+LEN(SUBSTITUTE(SUBSTITUTE(SUBSTITUTE(F228:F232," ",""),"0",""),"-","")))</f>
      </c>
      <c r="F227" s="14" t="str">
        <f>SUMPRODUCT((UPPER(D228:D232)&lt;&gt;"X")*((LEN(SUBSTITUTE(SUBSTITUTE(SUBSTITUTE(E228:E232," ",""),"0",""),"-",""))+LEN(SUBSTITUTE(SUBSTITUTE(SUBSTITUTE(F228:F232," ",""),"0",""),"-","")))&gt;(LEN(SUBSTITUTE(SUBSTITUTE(SUBSTITUTE(B228:B232," ",""),"0",""),"-",""))+LEN(SUBSTITUTE(SUBSTITUTE(SUBSTITUTE(C228:C232," ",""),"0",""),"-",""))))*1)</f>
      </c>
      <c r="G227" s="14" t="str">
        <f>'data'!$B$18</f>
      </c>
      <c r="I227" s="14" t="str">
        <f>'data'!$B$67</f>
      </c>
      <c r="J227" s="14" t="str">
        <f>SUMPRODUCT((UPPER(L228:L232)&lt;&gt;"X")*((LEN(SUBSTITUTE(SUBSTITUTE(SUBSTITUTE(J228:J232," ",""),"0",""),"-",""))+LEN(SUBSTITUTE(SUBSTITUTE(SUBSTITUTE(K228:K232," ",""),"0",""),"-","")))&gt;(LEN(SUBSTITUTE(SUBSTITUTE(SUBSTITUTE(M228:M232," ",""),"0",""),"-",""))+LEN(SUBSTITUTE(SUBSTITUTE(SUBSTITUTE(N228:N232," ",""),"0",""),"-",""))))*1)</f>
      </c>
      <c r="K227" s="14" t="str">
        <f>SUMPRODUCT(LEN(SUBSTITUTE(SUBSTITUTE(SUBSTITUTE(J228:J232," ",""),"0",""),"-",""))+LEN(SUBSTITUTE(SUBSTITUTE(SUBSTITUTE(K228:K232," ",""),"0",""),"-","")))</f>
      </c>
      <c r="L227" s="18"/>
      <c r="M227" s="14" t="str">
        <f>SUMPRODUCT(LEN(SUBSTITUTE(SUBSTITUTE(SUBSTITUTE(M228:M232," ",""),"0",""),"-",""))+LEN(SUBSTITUTE(SUBSTITUTE(SUBSTITUTE(N228:N232," ",""),"0",""),"-","")))</f>
      </c>
      <c r="N227" s="14" t="str">
        <f>SUMPRODUCT((UPPER(L228:L232)&lt;&gt;"X")*((LEN(SUBSTITUTE(SUBSTITUTE(SUBSTITUTE(M228:M232," ",""),"0",""),"-",""))+LEN(SUBSTITUTE(SUBSTITUTE(SUBSTITUTE(N228:N232," ",""),"0",""),"-","")))&gt;(LEN(SUBSTITUTE(SUBSTITUTE(SUBSTITUTE(J228:J232," ",""),"0",""),"-",""))+LEN(SUBSTITUTE(SUBSTITUTE(SUBSTITUTE(K228:K232," ",""),"0",""),"-",""))))*1)</f>
      </c>
      <c r="O227" s="14" t="str">
        <f>'data'!$B$65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239</v>
      </c>
      <c r="B234" s="14"/>
      <c r="C234" s="14"/>
      <c r="D234" s="14" t="s">
        <v>240</v>
      </c>
      <c r="E234" s="14"/>
      <c r="F234" s="14"/>
      <c r="G234" s="16" t="s">
        <v>241</v>
      </c>
      <c r="I234" s="17" t="s">
        <v>239</v>
      </c>
      <c r="J234" s="14"/>
      <c r="K234" s="14"/>
      <c r="L234" s="14" t="s">
        <v>240</v>
      </c>
      <c r="M234" s="14"/>
      <c r="N234" s="14"/>
      <c r="O234" s="16" t="s">
        <v>241</v>
      </c>
    </row>
    <row r="235">
      <c r="A235" s="14" t="str">
        <f>'data'!$B$20</f>
      </c>
      <c r="B235" s="14" t="str">
        <f>SUMPRODUCT((UPPER(D236:D240)&lt;&gt;"X")*((LEN(SUBSTITUTE(SUBSTITUTE(SUBSTITUTE(B236:B240," ",""),"0",""),"-",""))+LEN(SUBSTITUTE(SUBSTITUTE(SUBSTITUTE(C236:C240," ",""),"0",""),"-","")))&gt;(LEN(SUBSTITUTE(SUBSTITUTE(SUBSTITUTE(E236:E240," ",""),"0",""),"-",""))+LEN(SUBSTITUTE(SUBSTITUTE(SUBSTITUTE(F236:F240," ",""),"0",""),"-",""))))*1)</f>
      </c>
      <c r="C235" s="14" t="str">
        <f>SUMPRODUCT(LEN(SUBSTITUTE(SUBSTITUTE(SUBSTITUTE(B236:B240," ",""),"0",""),"-",""))+LEN(SUBSTITUTE(SUBSTITUTE(SUBSTITUTE(C236:C240," ",""),"0",""),"-","")))</f>
      </c>
      <c r="D235" s="18"/>
      <c r="E235" s="14" t="str">
        <f>SUMPRODUCT(LEN(SUBSTITUTE(SUBSTITUTE(SUBSTITUTE(E236:E240," ",""),"0",""),"-",""))+LEN(SUBSTITUTE(SUBSTITUTE(SUBSTITUTE(F236:F240," ",""),"0",""),"-","")))</f>
      </c>
      <c r="F235" s="14" t="str">
        <f>SUMPRODUCT((UPPER(D236:D240)&lt;&gt;"X")*((LEN(SUBSTITUTE(SUBSTITUTE(SUBSTITUTE(E236:E240," ",""),"0",""),"-",""))+LEN(SUBSTITUTE(SUBSTITUTE(SUBSTITUTE(F236:F240," ",""),"0",""),"-","")))&gt;(LEN(SUBSTITUTE(SUBSTITUTE(SUBSTITUTE(B236:B240," ",""),"0",""),"-",""))+LEN(SUBSTITUTE(SUBSTITUTE(SUBSTITUTE(C236:C240," ",""),"0",""),"-",""))))*1)</f>
      </c>
      <c r="G235" s="14" t="str">
        <f>'data'!$B$19</f>
      </c>
      <c r="I235" s="14" t="str">
        <f>'data'!$B$67</f>
      </c>
      <c r="J235" s="14" t="str">
        <f>SUMPRODUCT((UPPER(L236:L240)&lt;&gt;"X")*((LEN(SUBSTITUTE(SUBSTITUTE(SUBSTITUTE(J236:J240," ",""),"0",""),"-",""))+LEN(SUBSTITUTE(SUBSTITUTE(SUBSTITUTE(K236:K240," ",""),"0",""),"-","")))&gt;(LEN(SUBSTITUTE(SUBSTITUTE(SUBSTITUTE(M236:M240," ",""),"0",""),"-",""))+LEN(SUBSTITUTE(SUBSTITUTE(SUBSTITUTE(N236:N240," ",""),"0",""),"-",""))))*1)</f>
      </c>
      <c r="K235" s="14" t="str">
        <f>SUMPRODUCT(LEN(SUBSTITUTE(SUBSTITUTE(SUBSTITUTE(J236:J240," ",""),"0",""),"-",""))+LEN(SUBSTITUTE(SUBSTITUTE(SUBSTITUTE(K236:K240," ",""),"0",""),"-","")))</f>
      </c>
      <c r="L235" s="18"/>
      <c r="M235" s="14" t="str">
        <f>SUMPRODUCT(LEN(SUBSTITUTE(SUBSTITUTE(SUBSTITUTE(M236:M240," ",""),"0",""),"-",""))+LEN(SUBSTITUTE(SUBSTITUTE(SUBSTITUTE(N236:N240," ",""),"0",""),"-","")))</f>
      </c>
      <c r="N235" s="14" t="str">
        <f>SUMPRODUCT((UPPER(L236:L240)&lt;&gt;"X")*((LEN(SUBSTITUTE(SUBSTITUTE(SUBSTITUTE(M236:M240," ",""),"0",""),"-",""))+LEN(SUBSTITUTE(SUBSTITUTE(SUBSTITUTE(N236:N240," ",""),"0",""),"-","")))&gt;(LEN(SUBSTITUTE(SUBSTITUTE(SUBSTITUTE(J236:J240," ",""),"0",""),"-",""))+LEN(SUBSTITUTE(SUBSTITUTE(SUBSTITUTE(K236:K240," ",""),"0",""),"-",""))))*1)</f>
      </c>
      <c r="O235" s="14" t="str">
        <f>'data'!$B$66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242</v>
      </c>
      <c r="B243" s="13" t="s">
        <v>243</v>
      </c>
      <c r="C243" s="13" t="s">
        <v>244</v>
      </c>
      <c r="D243" s="13" t="s">
        <v>245</v>
      </c>
      <c r="E243" s="13"/>
      <c r="F243" s="13"/>
      <c r="G243" s="13" t="s">
        <v>246</v>
      </c>
      <c r="I243" s="13" t="s">
        <v>242</v>
      </c>
      <c r="J243" s="13" t="s">
        <v>243</v>
      </c>
      <c r="K243" s="13" t="s">
        <v>244</v>
      </c>
      <c r="L243" s="13" t="s">
        <v>245</v>
      </c>
      <c r="M243" s="13"/>
      <c r="N243" s="13"/>
      <c r="O243" s="13" t="s">
        <v>246</v>
      </c>
    </row>
    <row r="244">
      <c r="A244" s="14" t="str">
        <f>'data'!$B$18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247</v>
      </c>
      <c r="C248" s="13" t="s">
        <v>248</v>
      </c>
      <c r="D248" s="13" t="s">
        <v>249</v>
      </c>
      <c r="E248" s="13" t="s">
        <v>250</v>
      </c>
      <c r="F248" s="13" t="s">
        <v>251</v>
      </c>
      <c r="I248" s="13"/>
      <c r="J248" s="13" t="s">
        <v>247</v>
      </c>
      <c r="K248" s="13" t="s">
        <v>248</v>
      </c>
      <c r="L248" s="13" t="s">
        <v>249</v>
      </c>
      <c r="M248" s="13" t="s">
        <v>250</v>
      </c>
      <c r="N248" s="13" t="s">
        <v>251</v>
      </c>
    </row>
    <row r="249">
      <c r="A249" s="14" t="str">
        <f>'data'!$B$18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252</v>
      </c>
      <c r="N254" s="13"/>
      <c r="O254" s="13" t="s">
        <v>252</v>
      </c>
    </row>
    <row r="255">
      <c r="F255" t="s">
        <v>253</v>
      </c>
      <c r="G255" s="19" t="str">
        <f>IFERROR(INDEX($A$244:$A$251, MATCH(1, $G$244:$G$251, 0)), "-")</f>
      </c>
      <c r="N255" t="s">
        <v>253</v>
      </c>
      <c r="O255" s="19" t="str">
        <f>IFERROR(INDEX($I$244:$I$251, MATCH(1, $O$244:$O$251, 0)), "-")</f>
      </c>
    </row>
    <row r="256">
      <c r="F256" t="s">
        <v>254</v>
      </c>
      <c r="G256" s="19" t="str">
        <f>IFERROR(INDEX($A$244:$A$251, MATCH(2, $G$244:$G$251, 0)), "-")</f>
      </c>
      <c r="N256" t="s">
        <v>254</v>
      </c>
      <c r="O256" s="19" t="str">
        <f>IFERROR(INDEX($I$244:$I$251, MATCH(2, $O$244:$O$251, 0)), "-")</f>
      </c>
    </row>
    <row r="257">
      <c r="F257" t="s">
        <v>255</v>
      </c>
      <c r="G257" s="19" t="str">
        <f>IFERROR(INDEX($A$244:$A$251, MATCH(3, $G$244:$G$251, 0)), "-")</f>
      </c>
      <c r="N257" t="s">
        <v>255</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239</v>
      </c>
      <c r="B261" s="14"/>
      <c r="C261" s="14"/>
      <c r="D261" s="14" t="s">
        <v>240</v>
      </c>
      <c r="E261" s="14"/>
      <c r="F261" s="14"/>
      <c r="G261" s="16" t="s">
        <v>241</v>
      </c>
      <c r="I261" s="17" t="s">
        <v>239</v>
      </c>
      <c r="J261" s="14"/>
      <c r="K261" s="14"/>
      <c r="L261" s="14" t="s">
        <v>240</v>
      </c>
      <c r="M261" s="14"/>
      <c r="N261" s="14"/>
      <c r="O261" s="16" t="s">
        <v>241</v>
      </c>
    </row>
    <row r="262">
      <c r="A262" s="14" t="str">
        <f>'data'!$B$22</f>
      </c>
      <c r="B262" s="14" t="str">
        <f>SUMPRODUCT((UPPER(D263:D267)&lt;&gt;"X")*((LEN(SUBSTITUTE(SUBSTITUTE(SUBSTITUTE(B263:B267," ",""),"0",""),"-",""))+LEN(SUBSTITUTE(SUBSTITUTE(SUBSTITUTE(C263:C267," ",""),"0",""),"-","")))&gt;(LEN(SUBSTITUTE(SUBSTITUTE(SUBSTITUTE(E263:E267," ",""),"0",""),"-",""))+LEN(SUBSTITUTE(SUBSTITUTE(SUBSTITUTE(F263:F267," ",""),"0",""),"-",""))))*1)</f>
      </c>
      <c r="C262" s="14" t="str">
        <f>SUMPRODUCT(LEN(SUBSTITUTE(SUBSTITUTE(SUBSTITUTE(B263:B267," ",""),"0",""),"-",""))+LEN(SUBSTITUTE(SUBSTITUTE(SUBSTITUTE(C263:C267," ",""),"0",""),"-","")))</f>
      </c>
      <c r="D262" s="18"/>
      <c r="E262" s="14" t="str">
        <f>SUMPRODUCT(LEN(SUBSTITUTE(SUBSTITUTE(SUBSTITUTE(E263:E267," ",""),"0",""),"-",""))+LEN(SUBSTITUTE(SUBSTITUTE(SUBSTITUTE(F263:F267," ",""),"0",""),"-","")))</f>
      </c>
      <c r="F262" s="14" t="str">
        <f>SUMPRODUCT((UPPER(D263:D267)&lt;&gt;"X")*((LEN(SUBSTITUTE(SUBSTITUTE(SUBSTITUTE(E263:E267," ",""),"0",""),"-",""))+LEN(SUBSTITUTE(SUBSTITUTE(SUBSTITUTE(F263:F267," ",""),"0",""),"-","")))&gt;(LEN(SUBSTITUTE(SUBSTITUTE(SUBSTITUTE(B263:B267," ",""),"0",""),"-",""))+LEN(SUBSTITUTE(SUBSTITUTE(SUBSTITUTE(C263:C267," ",""),"0",""),"-",""))))*1)</f>
      </c>
      <c r="G262" s="14" t="str">
        <f>'data'!$B$21</f>
      </c>
      <c r="I262" s="14" t="str">
        <f>'data'!$B$69</f>
      </c>
      <c r="J262" s="14" t="str">
        <f>SUMPRODUCT((UPPER(L263:L267)&lt;&gt;"X")*((LEN(SUBSTITUTE(SUBSTITUTE(SUBSTITUTE(J263:J267," ",""),"0",""),"-",""))+LEN(SUBSTITUTE(SUBSTITUTE(SUBSTITUTE(K263:K267," ",""),"0",""),"-","")))&gt;(LEN(SUBSTITUTE(SUBSTITUTE(SUBSTITUTE(M263:M267," ",""),"0",""),"-",""))+LEN(SUBSTITUTE(SUBSTITUTE(SUBSTITUTE(N263:N267," ",""),"0",""),"-",""))))*1)</f>
      </c>
      <c r="K262" s="14" t="str">
        <f>SUMPRODUCT(LEN(SUBSTITUTE(SUBSTITUTE(SUBSTITUTE(J263:J267," ",""),"0",""),"-",""))+LEN(SUBSTITUTE(SUBSTITUTE(SUBSTITUTE(K263:K267," ",""),"0",""),"-","")))</f>
      </c>
      <c r="L262" s="18"/>
      <c r="M262" s="14" t="str">
        <f>SUMPRODUCT(LEN(SUBSTITUTE(SUBSTITUTE(SUBSTITUTE(M263:M267," ",""),"0",""),"-",""))+LEN(SUBSTITUTE(SUBSTITUTE(SUBSTITUTE(N263:N267," ",""),"0",""),"-","")))</f>
      </c>
      <c r="N262" s="14" t="str">
        <f>SUMPRODUCT((UPPER(L263:L267)&lt;&gt;"X")*((LEN(SUBSTITUTE(SUBSTITUTE(SUBSTITUTE(M263:M267," ",""),"0",""),"-",""))+LEN(SUBSTITUTE(SUBSTITUTE(SUBSTITUTE(N263:N267," ",""),"0",""),"-","")))&gt;(LEN(SUBSTITUTE(SUBSTITUTE(SUBSTITUTE(J263:J267," ",""),"0",""),"-",""))+LEN(SUBSTITUTE(SUBSTITUTE(SUBSTITUTE(K263:K267," ",""),"0",""),"-",""))))*1)</f>
      </c>
      <c r="O262" s="14" t="str">
        <f>'data'!$B$68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239</v>
      </c>
      <c r="B269" s="14"/>
      <c r="C269" s="14"/>
      <c r="D269" s="14" t="s">
        <v>240</v>
      </c>
      <c r="E269" s="14"/>
      <c r="F269" s="14"/>
      <c r="G269" s="16" t="s">
        <v>241</v>
      </c>
      <c r="I269" s="17" t="s">
        <v>239</v>
      </c>
      <c r="J269" s="14"/>
      <c r="K269" s="14"/>
      <c r="L269" s="14" t="s">
        <v>240</v>
      </c>
      <c r="M269" s="14"/>
      <c r="N269" s="14"/>
      <c r="O269" s="16" t="s">
        <v>241</v>
      </c>
    </row>
    <row r="270">
      <c r="A270" s="14" t="str">
        <f>'data'!$B$23</f>
      </c>
      <c r="B270" s="14" t="str">
        <f>SUMPRODUCT((UPPER(D271:D275)&lt;&gt;"X")*((LEN(SUBSTITUTE(SUBSTITUTE(SUBSTITUTE(B271:B275," ",""),"0",""),"-",""))+LEN(SUBSTITUTE(SUBSTITUTE(SUBSTITUTE(C271:C275," ",""),"0",""),"-","")))&gt;(LEN(SUBSTITUTE(SUBSTITUTE(SUBSTITUTE(E271:E275," ",""),"0",""),"-",""))+LEN(SUBSTITUTE(SUBSTITUTE(SUBSTITUTE(F271:F275," ",""),"0",""),"-",""))))*1)</f>
      </c>
      <c r="C270" s="14" t="str">
        <f>SUMPRODUCT(LEN(SUBSTITUTE(SUBSTITUTE(SUBSTITUTE(B271:B275," ",""),"0",""),"-",""))+LEN(SUBSTITUTE(SUBSTITUTE(SUBSTITUTE(C271:C275," ",""),"0",""),"-","")))</f>
      </c>
      <c r="D270" s="18"/>
      <c r="E270" s="14" t="str">
        <f>SUMPRODUCT(LEN(SUBSTITUTE(SUBSTITUTE(SUBSTITUTE(E271:E275," ",""),"0",""),"-",""))+LEN(SUBSTITUTE(SUBSTITUTE(SUBSTITUTE(F271:F275," ",""),"0",""),"-","")))</f>
      </c>
      <c r="F270" s="14" t="str">
        <f>SUMPRODUCT((UPPER(D271:D275)&lt;&gt;"X")*((LEN(SUBSTITUTE(SUBSTITUTE(SUBSTITUTE(E271:E275," ",""),"0",""),"-",""))+LEN(SUBSTITUTE(SUBSTITUTE(SUBSTITUTE(F271:F275," ",""),"0",""),"-","")))&gt;(LEN(SUBSTITUTE(SUBSTITUTE(SUBSTITUTE(B271:B275," ",""),"0",""),"-",""))+LEN(SUBSTITUTE(SUBSTITUTE(SUBSTITUTE(C271:C275," ",""),"0",""),"-",""))))*1)</f>
      </c>
      <c r="G270" s="14" t="str">
        <f>'data'!$B$21</f>
      </c>
      <c r="I270" s="14" t="str">
        <f>'data'!$B$70</f>
      </c>
      <c r="J270" s="14" t="str">
        <f>SUMPRODUCT((UPPER(L271:L275)&lt;&gt;"X")*((LEN(SUBSTITUTE(SUBSTITUTE(SUBSTITUTE(J271:J275," ",""),"0",""),"-",""))+LEN(SUBSTITUTE(SUBSTITUTE(SUBSTITUTE(K271:K275," ",""),"0",""),"-","")))&gt;(LEN(SUBSTITUTE(SUBSTITUTE(SUBSTITUTE(M271:M275," ",""),"0",""),"-",""))+LEN(SUBSTITUTE(SUBSTITUTE(SUBSTITUTE(N271:N275," ",""),"0",""),"-",""))))*1)</f>
      </c>
      <c r="K270" s="14" t="str">
        <f>SUMPRODUCT(LEN(SUBSTITUTE(SUBSTITUTE(SUBSTITUTE(J271:J275," ",""),"0",""),"-",""))+LEN(SUBSTITUTE(SUBSTITUTE(SUBSTITUTE(K271:K275," ",""),"0",""),"-","")))</f>
      </c>
      <c r="L270" s="18"/>
      <c r="M270" s="14" t="str">
        <f>SUMPRODUCT(LEN(SUBSTITUTE(SUBSTITUTE(SUBSTITUTE(M271:M275," ",""),"0",""),"-",""))+LEN(SUBSTITUTE(SUBSTITUTE(SUBSTITUTE(N271:N275," ",""),"0",""),"-","")))</f>
      </c>
      <c r="N270" s="14" t="str">
        <f>SUMPRODUCT((UPPER(L271:L275)&lt;&gt;"X")*((LEN(SUBSTITUTE(SUBSTITUTE(SUBSTITUTE(M271:M275," ",""),"0",""),"-",""))+LEN(SUBSTITUTE(SUBSTITUTE(SUBSTITUTE(N271:N275," ",""),"0",""),"-","")))&gt;(LEN(SUBSTITUTE(SUBSTITUTE(SUBSTITUTE(J271:J275," ",""),"0",""),"-",""))+LEN(SUBSTITUTE(SUBSTITUTE(SUBSTITUTE(K271:K275," ",""),"0",""),"-",""))))*1)</f>
      </c>
      <c r="O270" s="14" t="str">
        <f>'data'!$B$68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239</v>
      </c>
      <c r="B277" s="14"/>
      <c r="C277" s="14"/>
      <c r="D277" s="14" t="s">
        <v>240</v>
      </c>
      <c r="E277" s="14"/>
      <c r="F277" s="14"/>
      <c r="G277" s="16" t="s">
        <v>241</v>
      </c>
      <c r="I277" s="17" t="s">
        <v>239</v>
      </c>
      <c r="J277" s="14"/>
      <c r="K277" s="14"/>
      <c r="L277" s="14" t="s">
        <v>240</v>
      </c>
      <c r="M277" s="14"/>
      <c r="N277" s="14"/>
      <c r="O277" s="16" t="s">
        <v>241</v>
      </c>
    </row>
    <row r="278">
      <c r="A278" s="14" t="str">
        <f>'data'!$B$23</f>
      </c>
      <c r="B278" s="14" t="str">
        <f>SUMPRODUCT((UPPER(D279:D283)&lt;&gt;"X")*((LEN(SUBSTITUTE(SUBSTITUTE(SUBSTITUTE(B279:B283," ",""),"0",""),"-",""))+LEN(SUBSTITUTE(SUBSTITUTE(SUBSTITUTE(C279:C283," ",""),"0",""),"-","")))&gt;(LEN(SUBSTITUTE(SUBSTITUTE(SUBSTITUTE(E279:E283," ",""),"0",""),"-",""))+LEN(SUBSTITUTE(SUBSTITUTE(SUBSTITUTE(F279:F283," ",""),"0",""),"-",""))))*1)</f>
      </c>
      <c r="C278" s="14" t="str">
        <f>SUMPRODUCT(LEN(SUBSTITUTE(SUBSTITUTE(SUBSTITUTE(B279:B283," ",""),"0",""),"-",""))+LEN(SUBSTITUTE(SUBSTITUTE(SUBSTITUTE(C279:C283," ",""),"0",""),"-","")))</f>
      </c>
      <c r="D278" s="18"/>
      <c r="E278" s="14" t="str">
        <f>SUMPRODUCT(LEN(SUBSTITUTE(SUBSTITUTE(SUBSTITUTE(E279:E283," ",""),"0",""),"-",""))+LEN(SUBSTITUTE(SUBSTITUTE(SUBSTITUTE(F279:F283," ",""),"0",""),"-","")))</f>
      </c>
      <c r="F278" s="14" t="str">
        <f>SUMPRODUCT((UPPER(D279:D283)&lt;&gt;"X")*((LEN(SUBSTITUTE(SUBSTITUTE(SUBSTITUTE(E279:E283," ",""),"0",""),"-",""))+LEN(SUBSTITUTE(SUBSTITUTE(SUBSTITUTE(F279:F283," ",""),"0",""),"-","")))&gt;(LEN(SUBSTITUTE(SUBSTITUTE(SUBSTITUTE(B279:B283," ",""),"0",""),"-",""))+LEN(SUBSTITUTE(SUBSTITUTE(SUBSTITUTE(C279:C283," ",""),"0",""),"-",""))))*1)</f>
      </c>
      <c r="G278" s="14" t="str">
        <f>'data'!$B$22</f>
      </c>
      <c r="I278" s="14" t="str">
        <f>'data'!$B$70</f>
      </c>
      <c r="J278" s="14" t="str">
        <f>SUMPRODUCT((UPPER(L279:L283)&lt;&gt;"X")*((LEN(SUBSTITUTE(SUBSTITUTE(SUBSTITUTE(J279:J283," ",""),"0",""),"-",""))+LEN(SUBSTITUTE(SUBSTITUTE(SUBSTITUTE(K279:K283," ",""),"0",""),"-","")))&gt;(LEN(SUBSTITUTE(SUBSTITUTE(SUBSTITUTE(M279:M283," ",""),"0",""),"-",""))+LEN(SUBSTITUTE(SUBSTITUTE(SUBSTITUTE(N279:N283," ",""),"0",""),"-",""))))*1)</f>
      </c>
      <c r="K278" s="14" t="str">
        <f>SUMPRODUCT(LEN(SUBSTITUTE(SUBSTITUTE(SUBSTITUTE(J279:J283," ",""),"0",""),"-",""))+LEN(SUBSTITUTE(SUBSTITUTE(SUBSTITUTE(K279:K283," ",""),"0",""),"-","")))</f>
      </c>
      <c r="L278" s="18"/>
      <c r="M278" s="14" t="str">
        <f>SUMPRODUCT(LEN(SUBSTITUTE(SUBSTITUTE(SUBSTITUTE(M279:M283," ",""),"0",""),"-",""))+LEN(SUBSTITUTE(SUBSTITUTE(SUBSTITUTE(N279:N283," ",""),"0",""),"-","")))</f>
      </c>
      <c r="N278" s="14" t="str">
        <f>SUMPRODUCT((UPPER(L279:L283)&lt;&gt;"X")*((LEN(SUBSTITUTE(SUBSTITUTE(SUBSTITUTE(M279:M283," ",""),"0",""),"-",""))+LEN(SUBSTITUTE(SUBSTITUTE(SUBSTITUTE(N279:N283," ",""),"0",""),"-","")))&gt;(LEN(SUBSTITUTE(SUBSTITUTE(SUBSTITUTE(J279:J283," ",""),"0",""),"-",""))+LEN(SUBSTITUTE(SUBSTITUTE(SUBSTITUTE(K279:K283," ",""),"0",""),"-",""))))*1)</f>
      </c>
      <c r="O278" s="14" t="str">
        <f>'data'!$B$69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242</v>
      </c>
      <c r="B286" s="13" t="s">
        <v>243</v>
      </c>
      <c r="C286" s="13" t="s">
        <v>244</v>
      </c>
      <c r="D286" s="13" t="s">
        <v>245</v>
      </c>
      <c r="E286" s="13"/>
      <c r="F286" s="13"/>
      <c r="G286" s="13" t="s">
        <v>246</v>
      </c>
      <c r="I286" s="13" t="s">
        <v>242</v>
      </c>
      <c r="J286" s="13" t="s">
        <v>243</v>
      </c>
      <c r="K286" s="13" t="s">
        <v>244</v>
      </c>
      <c r="L286" s="13" t="s">
        <v>245</v>
      </c>
      <c r="M286" s="13"/>
      <c r="N286" s="13"/>
      <c r="O286" s="13" t="s">
        <v>246</v>
      </c>
    </row>
    <row r="287">
      <c r="A287" s="14" t="str">
        <f>'data'!$B$21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247</v>
      </c>
      <c r="C291" s="13" t="s">
        <v>248</v>
      </c>
      <c r="D291" s="13" t="s">
        <v>249</v>
      </c>
      <c r="E291" s="13" t="s">
        <v>250</v>
      </c>
      <c r="F291" s="13" t="s">
        <v>251</v>
      </c>
      <c r="I291" s="13"/>
      <c r="J291" s="13" t="s">
        <v>247</v>
      </c>
      <c r="K291" s="13" t="s">
        <v>248</v>
      </c>
      <c r="L291" s="13" t="s">
        <v>249</v>
      </c>
      <c r="M291" s="13" t="s">
        <v>250</v>
      </c>
      <c r="N291" s="13" t="s">
        <v>251</v>
      </c>
    </row>
    <row r="292">
      <c r="A292" s="14" t="str">
        <f>'data'!$B$21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252</v>
      </c>
      <c r="N297" s="13"/>
      <c r="O297" s="13" t="s">
        <v>252</v>
      </c>
    </row>
    <row r="298">
      <c r="F298" t="s">
        <v>253</v>
      </c>
      <c r="G298" s="19" t="str">
        <f>IFERROR(INDEX($A$287:$A$294, MATCH(1, $G$287:$G$294, 0)), "-")</f>
      </c>
      <c r="N298" t="s">
        <v>253</v>
      </c>
      <c r="O298" s="19" t="str">
        <f>IFERROR(INDEX($I$287:$I$294, MATCH(1, $O$287:$O$294, 0)), "-")</f>
      </c>
    </row>
    <row r="299">
      <c r="F299" t="s">
        <v>254</v>
      </c>
      <c r="G299" s="19" t="str">
        <f>IFERROR(INDEX($A$287:$A$294, MATCH(2, $G$287:$G$294, 0)), "-")</f>
      </c>
      <c r="N299" t="s">
        <v>254</v>
      </c>
      <c r="O299" s="19" t="str">
        <f>IFERROR(INDEX($I$287:$I$294, MATCH(2, $O$287:$O$294, 0)), "-")</f>
      </c>
    </row>
    <row r="300">
      <c r="F300" t="s">
        <v>255</v>
      </c>
      <c r="G300" s="19" t="str">
        <f>IFERROR(INDEX($A$287:$A$294, MATCH(3, $G$287:$G$294, 0)), "-")</f>
      </c>
      <c r="N300" t="s">
        <v>255</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239</v>
      </c>
      <c r="B304" s="14"/>
      <c r="C304" s="14"/>
      <c r="D304" s="14" t="s">
        <v>240</v>
      </c>
      <c r="E304" s="14"/>
      <c r="F304" s="14"/>
      <c r="G304" s="16" t="s">
        <v>241</v>
      </c>
      <c r="I304" s="17" t="s">
        <v>239</v>
      </c>
      <c r="J304" s="14"/>
      <c r="K304" s="14"/>
      <c r="L304" s="14" t="s">
        <v>240</v>
      </c>
      <c r="M304" s="14"/>
      <c r="N304" s="14"/>
      <c r="O304" s="16" t="s">
        <v>241</v>
      </c>
    </row>
    <row r="305">
      <c r="A305" s="14" t="str">
        <f>'data'!$B$25</f>
      </c>
      <c r="B305" s="14" t="str">
        <f>SUMPRODUCT((UPPER(D306:D310)&lt;&gt;"X")*((LEN(SUBSTITUTE(SUBSTITUTE(SUBSTITUTE(B306:B310," ",""),"0",""),"-",""))+LEN(SUBSTITUTE(SUBSTITUTE(SUBSTITUTE(C306:C310," ",""),"0",""),"-","")))&gt;(LEN(SUBSTITUTE(SUBSTITUTE(SUBSTITUTE(E306:E310," ",""),"0",""),"-",""))+LEN(SUBSTITUTE(SUBSTITUTE(SUBSTITUTE(F306:F310," ",""),"0",""),"-",""))))*1)</f>
      </c>
      <c r="C305" s="14" t="str">
        <f>SUMPRODUCT(LEN(SUBSTITUTE(SUBSTITUTE(SUBSTITUTE(B306:B310," ",""),"0",""),"-",""))+LEN(SUBSTITUTE(SUBSTITUTE(SUBSTITUTE(C306:C310," ",""),"0",""),"-","")))</f>
      </c>
      <c r="D305" s="18"/>
      <c r="E305" s="14" t="str">
        <f>SUMPRODUCT(LEN(SUBSTITUTE(SUBSTITUTE(SUBSTITUTE(E306:E310," ",""),"0",""),"-",""))+LEN(SUBSTITUTE(SUBSTITUTE(SUBSTITUTE(F306:F310," ",""),"0",""),"-","")))</f>
      </c>
      <c r="F305" s="14" t="str">
        <f>SUMPRODUCT((UPPER(D306:D310)&lt;&gt;"X")*((LEN(SUBSTITUTE(SUBSTITUTE(SUBSTITUTE(E306:E310," ",""),"0",""),"-",""))+LEN(SUBSTITUTE(SUBSTITUTE(SUBSTITUTE(F306:F310," ",""),"0",""),"-","")))&gt;(LEN(SUBSTITUTE(SUBSTITUTE(SUBSTITUTE(B306:B310," ",""),"0",""),"-",""))+LEN(SUBSTITUTE(SUBSTITUTE(SUBSTITUTE(C306:C310," ",""),"0",""),"-",""))))*1)</f>
      </c>
      <c r="G305" s="14" t="str">
        <f>'data'!$B$24</f>
      </c>
      <c r="I305" s="14" t="str">
        <f>'data'!$B$72</f>
      </c>
      <c r="J305" s="14" t="str">
        <f>SUMPRODUCT((UPPER(L306:L310)&lt;&gt;"X")*((LEN(SUBSTITUTE(SUBSTITUTE(SUBSTITUTE(J306:J310," ",""),"0",""),"-",""))+LEN(SUBSTITUTE(SUBSTITUTE(SUBSTITUTE(K306:K310," ",""),"0",""),"-","")))&gt;(LEN(SUBSTITUTE(SUBSTITUTE(SUBSTITUTE(M306:M310," ",""),"0",""),"-",""))+LEN(SUBSTITUTE(SUBSTITUTE(SUBSTITUTE(N306:N310," ",""),"0",""),"-",""))))*1)</f>
      </c>
      <c r="K305" s="14" t="str">
        <f>SUMPRODUCT(LEN(SUBSTITUTE(SUBSTITUTE(SUBSTITUTE(J306:J310," ",""),"0",""),"-",""))+LEN(SUBSTITUTE(SUBSTITUTE(SUBSTITUTE(K306:K310," ",""),"0",""),"-","")))</f>
      </c>
      <c r="L305" s="18"/>
      <c r="M305" s="14" t="str">
        <f>SUMPRODUCT(LEN(SUBSTITUTE(SUBSTITUTE(SUBSTITUTE(M306:M310," ",""),"0",""),"-",""))+LEN(SUBSTITUTE(SUBSTITUTE(SUBSTITUTE(N306:N310," ",""),"0",""),"-","")))</f>
      </c>
      <c r="N305" s="14" t="str">
        <f>SUMPRODUCT((UPPER(L306:L310)&lt;&gt;"X")*((LEN(SUBSTITUTE(SUBSTITUTE(SUBSTITUTE(M306:M310," ",""),"0",""),"-",""))+LEN(SUBSTITUTE(SUBSTITUTE(SUBSTITUTE(N306:N310," ",""),"0",""),"-","")))&gt;(LEN(SUBSTITUTE(SUBSTITUTE(SUBSTITUTE(J306:J310," ",""),"0",""),"-",""))+LEN(SUBSTITUTE(SUBSTITUTE(SUBSTITUTE(K306:K310," ",""),"0",""),"-",""))))*1)</f>
      </c>
      <c r="O305" s="14" t="str">
        <f>'data'!$B$71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239</v>
      </c>
      <c r="B312" s="14"/>
      <c r="C312" s="14"/>
      <c r="D312" s="14" t="s">
        <v>240</v>
      </c>
      <c r="E312" s="14"/>
      <c r="F312" s="14"/>
      <c r="G312" s="16" t="s">
        <v>241</v>
      </c>
      <c r="I312" s="17" t="s">
        <v>239</v>
      </c>
      <c r="J312" s="14"/>
      <c r="K312" s="14"/>
      <c r="L312" s="14" t="s">
        <v>240</v>
      </c>
      <c r="M312" s="14"/>
      <c r="N312" s="14"/>
      <c r="O312" s="16" t="s">
        <v>241</v>
      </c>
    </row>
    <row r="313">
      <c r="A313" s="14" t="str">
        <f>'data'!$B$26</f>
      </c>
      <c r="B313" s="14" t="str">
        <f>SUMPRODUCT((UPPER(D314:D318)&lt;&gt;"X")*((LEN(SUBSTITUTE(SUBSTITUTE(SUBSTITUTE(B314:B318," ",""),"0",""),"-",""))+LEN(SUBSTITUTE(SUBSTITUTE(SUBSTITUTE(C314:C318," ",""),"0",""),"-","")))&gt;(LEN(SUBSTITUTE(SUBSTITUTE(SUBSTITUTE(E314:E318," ",""),"0",""),"-",""))+LEN(SUBSTITUTE(SUBSTITUTE(SUBSTITUTE(F314:F318," ",""),"0",""),"-",""))))*1)</f>
      </c>
      <c r="C313" s="14" t="str">
        <f>SUMPRODUCT(LEN(SUBSTITUTE(SUBSTITUTE(SUBSTITUTE(B314:B318," ",""),"0",""),"-",""))+LEN(SUBSTITUTE(SUBSTITUTE(SUBSTITUTE(C314:C318," ",""),"0",""),"-","")))</f>
      </c>
      <c r="D313" s="18"/>
      <c r="E313" s="14" t="str">
        <f>SUMPRODUCT(LEN(SUBSTITUTE(SUBSTITUTE(SUBSTITUTE(E314:E318," ",""),"0",""),"-",""))+LEN(SUBSTITUTE(SUBSTITUTE(SUBSTITUTE(F314:F318," ",""),"0",""),"-","")))</f>
      </c>
      <c r="F313" s="14" t="str">
        <f>SUMPRODUCT((UPPER(D314:D318)&lt;&gt;"X")*((LEN(SUBSTITUTE(SUBSTITUTE(SUBSTITUTE(E314:E318," ",""),"0",""),"-",""))+LEN(SUBSTITUTE(SUBSTITUTE(SUBSTITUTE(F314:F318," ",""),"0",""),"-","")))&gt;(LEN(SUBSTITUTE(SUBSTITUTE(SUBSTITUTE(B314:B318," ",""),"0",""),"-",""))+LEN(SUBSTITUTE(SUBSTITUTE(SUBSTITUTE(C314:C318," ",""),"0",""),"-",""))))*1)</f>
      </c>
      <c r="G313" s="14" t="str">
        <f>'data'!$B$24</f>
      </c>
      <c r="I313" s="14" t="str">
        <f>'data'!$B$73</f>
      </c>
      <c r="J313" s="14" t="str">
        <f>SUMPRODUCT((UPPER(L314:L318)&lt;&gt;"X")*((LEN(SUBSTITUTE(SUBSTITUTE(SUBSTITUTE(J314:J318," ",""),"0",""),"-",""))+LEN(SUBSTITUTE(SUBSTITUTE(SUBSTITUTE(K314:K318," ",""),"0",""),"-","")))&gt;(LEN(SUBSTITUTE(SUBSTITUTE(SUBSTITUTE(M314:M318," ",""),"0",""),"-",""))+LEN(SUBSTITUTE(SUBSTITUTE(SUBSTITUTE(N314:N318," ",""),"0",""),"-",""))))*1)</f>
      </c>
      <c r="K313" s="14" t="str">
        <f>SUMPRODUCT(LEN(SUBSTITUTE(SUBSTITUTE(SUBSTITUTE(J314:J318," ",""),"0",""),"-",""))+LEN(SUBSTITUTE(SUBSTITUTE(SUBSTITUTE(K314:K318," ",""),"0",""),"-","")))</f>
      </c>
      <c r="L313" s="18"/>
      <c r="M313" s="14" t="str">
        <f>SUMPRODUCT(LEN(SUBSTITUTE(SUBSTITUTE(SUBSTITUTE(M314:M318," ",""),"0",""),"-",""))+LEN(SUBSTITUTE(SUBSTITUTE(SUBSTITUTE(N314:N318," ",""),"0",""),"-","")))</f>
      </c>
      <c r="N313" s="14" t="str">
        <f>SUMPRODUCT((UPPER(L314:L318)&lt;&gt;"X")*((LEN(SUBSTITUTE(SUBSTITUTE(SUBSTITUTE(M314:M318," ",""),"0",""),"-",""))+LEN(SUBSTITUTE(SUBSTITUTE(SUBSTITUTE(N314:N318," ",""),"0",""),"-","")))&gt;(LEN(SUBSTITUTE(SUBSTITUTE(SUBSTITUTE(J314:J318," ",""),"0",""),"-",""))+LEN(SUBSTITUTE(SUBSTITUTE(SUBSTITUTE(K314:K318," ",""),"0",""),"-",""))))*1)</f>
      </c>
      <c r="O313" s="14" t="str">
        <f>'data'!$B$71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239</v>
      </c>
      <c r="B320" s="14"/>
      <c r="C320" s="14"/>
      <c r="D320" s="14" t="s">
        <v>240</v>
      </c>
      <c r="E320" s="14"/>
      <c r="F320" s="14"/>
      <c r="G320" s="16" t="s">
        <v>241</v>
      </c>
      <c r="I320" s="17" t="s">
        <v>239</v>
      </c>
      <c r="J320" s="14"/>
      <c r="K320" s="14"/>
      <c r="L320" s="14" t="s">
        <v>240</v>
      </c>
      <c r="M320" s="14"/>
      <c r="N320" s="14"/>
      <c r="O320" s="16" t="s">
        <v>241</v>
      </c>
    </row>
    <row r="321">
      <c r="A321" s="14" t="str">
        <f>'data'!$B$26</f>
      </c>
      <c r="B321" s="14" t="str">
        <f>SUMPRODUCT((UPPER(D322:D326)&lt;&gt;"X")*((LEN(SUBSTITUTE(SUBSTITUTE(SUBSTITUTE(B322:B326," ",""),"0",""),"-",""))+LEN(SUBSTITUTE(SUBSTITUTE(SUBSTITUTE(C322:C326," ",""),"0",""),"-","")))&gt;(LEN(SUBSTITUTE(SUBSTITUTE(SUBSTITUTE(E322:E326," ",""),"0",""),"-",""))+LEN(SUBSTITUTE(SUBSTITUTE(SUBSTITUTE(F322:F326," ",""),"0",""),"-",""))))*1)</f>
      </c>
      <c r="C321" s="14" t="str">
        <f>SUMPRODUCT(LEN(SUBSTITUTE(SUBSTITUTE(SUBSTITUTE(B322:B326," ",""),"0",""),"-",""))+LEN(SUBSTITUTE(SUBSTITUTE(SUBSTITUTE(C322:C326," ",""),"0",""),"-","")))</f>
      </c>
      <c r="D321" s="18"/>
      <c r="E321" s="14" t="str">
        <f>SUMPRODUCT(LEN(SUBSTITUTE(SUBSTITUTE(SUBSTITUTE(E322:E326," ",""),"0",""),"-",""))+LEN(SUBSTITUTE(SUBSTITUTE(SUBSTITUTE(F322:F326," ",""),"0",""),"-","")))</f>
      </c>
      <c r="F321" s="14" t="str">
        <f>SUMPRODUCT((UPPER(D322:D326)&lt;&gt;"X")*((LEN(SUBSTITUTE(SUBSTITUTE(SUBSTITUTE(E322:E326," ",""),"0",""),"-",""))+LEN(SUBSTITUTE(SUBSTITUTE(SUBSTITUTE(F322:F326," ",""),"0",""),"-","")))&gt;(LEN(SUBSTITUTE(SUBSTITUTE(SUBSTITUTE(B322:B326," ",""),"0",""),"-",""))+LEN(SUBSTITUTE(SUBSTITUTE(SUBSTITUTE(C322:C326," ",""),"0",""),"-",""))))*1)</f>
      </c>
      <c r="G321" s="14" t="str">
        <f>'data'!$B$25</f>
      </c>
      <c r="I321" s="14" t="str">
        <f>'data'!$B$73</f>
      </c>
      <c r="J321" s="14" t="str">
        <f>SUMPRODUCT((UPPER(L322:L326)&lt;&gt;"X")*((LEN(SUBSTITUTE(SUBSTITUTE(SUBSTITUTE(J322:J326," ",""),"0",""),"-",""))+LEN(SUBSTITUTE(SUBSTITUTE(SUBSTITUTE(K322:K326," ",""),"0",""),"-","")))&gt;(LEN(SUBSTITUTE(SUBSTITUTE(SUBSTITUTE(M322:M326," ",""),"0",""),"-",""))+LEN(SUBSTITUTE(SUBSTITUTE(SUBSTITUTE(N322:N326," ",""),"0",""),"-",""))))*1)</f>
      </c>
      <c r="K321" s="14" t="str">
        <f>SUMPRODUCT(LEN(SUBSTITUTE(SUBSTITUTE(SUBSTITUTE(J322:J326," ",""),"0",""),"-",""))+LEN(SUBSTITUTE(SUBSTITUTE(SUBSTITUTE(K322:K326," ",""),"0",""),"-","")))</f>
      </c>
      <c r="L321" s="18"/>
      <c r="M321" s="14" t="str">
        <f>SUMPRODUCT(LEN(SUBSTITUTE(SUBSTITUTE(SUBSTITUTE(M322:M326," ",""),"0",""),"-",""))+LEN(SUBSTITUTE(SUBSTITUTE(SUBSTITUTE(N322:N326," ",""),"0",""),"-","")))</f>
      </c>
      <c r="N321" s="14" t="str">
        <f>SUMPRODUCT((UPPER(L322:L326)&lt;&gt;"X")*((LEN(SUBSTITUTE(SUBSTITUTE(SUBSTITUTE(M322:M326," ",""),"0",""),"-",""))+LEN(SUBSTITUTE(SUBSTITUTE(SUBSTITUTE(N322:N326," ",""),"0",""),"-","")))&gt;(LEN(SUBSTITUTE(SUBSTITUTE(SUBSTITUTE(J322:J326," ",""),"0",""),"-",""))+LEN(SUBSTITUTE(SUBSTITUTE(SUBSTITUTE(K322:K326," ",""),"0",""),"-",""))))*1)</f>
      </c>
      <c r="O321" s="14" t="str">
        <f>'data'!$B$72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242</v>
      </c>
      <c r="B329" s="13" t="s">
        <v>243</v>
      </c>
      <c r="C329" s="13" t="s">
        <v>244</v>
      </c>
      <c r="D329" s="13" t="s">
        <v>245</v>
      </c>
      <c r="E329" s="13"/>
      <c r="F329" s="13"/>
      <c r="G329" s="13" t="s">
        <v>246</v>
      </c>
      <c r="I329" s="13" t="s">
        <v>242</v>
      </c>
      <c r="J329" s="13" t="s">
        <v>243</v>
      </c>
      <c r="K329" s="13" t="s">
        <v>244</v>
      </c>
      <c r="L329" s="13" t="s">
        <v>245</v>
      </c>
      <c r="M329" s="13"/>
      <c r="N329" s="13"/>
      <c r="O329" s="13" t="s">
        <v>246</v>
      </c>
    </row>
    <row r="330">
      <c r="A330" s="14" t="str">
        <f>'data'!$B$24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247</v>
      </c>
      <c r="C334" s="13" t="s">
        <v>248</v>
      </c>
      <c r="D334" s="13" t="s">
        <v>249</v>
      </c>
      <c r="E334" s="13" t="s">
        <v>250</v>
      </c>
      <c r="F334" s="13" t="s">
        <v>251</v>
      </c>
      <c r="I334" s="13"/>
      <c r="J334" s="13" t="s">
        <v>247</v>
      </c>
      <c r="K334" s="13" t="s">
        <v>248</v>
      </c>
      <c r="L334" s="13" t="s">
        <v>249</v>
      </c>
      <c r="M334" s="13" t="s">
        <v>250</v>
      </c>
      <c r="N334" s="13" t="s">
        <v>251</v>
      </c>
    </row>
    <row r="335">
      <c r="A335" s="14" t="str">
        <f>'data'!$B$24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252</v>
      </c>
      <c r="N340" s="13"/>
      <c r="O340" s="13" t="s">
        <v>252</v>
      </c>
    </row>
    <row r="341">
      <c r="F341" t="s">
        <v>253</v>
      </c>
      <c r="G341" s="19" t="str">
        <f>IFERROR(INDEX($A$330:$A$337, MATCH(1, $G$330:$G$337, 0)), "-")</f>
      </c>
      <c r="N341" t="s">
        <v>253</v>
      </c>
      <c r="O341" s="19" t="str">
        <f>IFERROR(INDEX($I$330:$I$337, MATCH(1, $O$330:$O$337, 0)), "-")</f>
      </c>
    </row>
    <row r="342">
      <c r="F342" t="s">
        <v>254</v>
      </c>
      <c r="G342" s="19" t="str">
        <f>IFERROR(INDEX($A$330:$A$337, MATCH(2, $G$330:$G$337, 0)), "-")</f>
      </c>
      <c r="N342" t="s">
        <v>254</v>
      </c>
      <c r="O342" s="19" t="str">
        <f>IFERROR(INDEX($I$330:$I$337, MATCH(2, $O$330:$O$337, 0)), "-")</f>
      </c>
    </row>
    <row r="343">
      <c r="F343" t="s">
        <v>255</v>
      </c>
      <c r="G343" s="19" t="str">
        <f>IFERROR(INDEX($A$330:$A$337, MATCH(3, $G$330:$G$337, 0)), "-")</f>
      </c>
      <c r="N343" t="s">
        <v>255</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239</v>
      </c>
      <c r="B347" s="14"/>
      <c r="C347" s="14"/>
      <c r="D347" s="14" t="s">
        <v>240</v>
      </c>
      <c r="E347" s="14"/>
      <c r="F347" s="14"/>
      <c r="G347" s="16" t="s">
        <v>241</v>
      </c>
      <c r="I347" s="17" t="s">
        <v>239</v>
      </c>
      <c r="J347" s="14"/>
      <c r="K347" s="14"/>
      <c r="L347" s="14" t="s">
        <v>240</v>
      </c>
      <c r="M347" s="14"/>
      <c r="N347" s="14"/>
      <c r="O347" s="16" t="s">
        <v>241</v>
      </c>
    </row>
    <row r="348">
      <c r="A348" s="14" t="str">
        <f>'data'!$B$28</f>
      </c>
      <c r="B348" s="14" t="str">
        <f>SUMPRODUCT((UPPER(D349:D353)&lt;&gt;"X")*((LEN(SUBSTITUTE(SUBSTITUTE(SUBSTITUTE(B349:B353," ",""),"0",""),"-",""))+LEN(SUBSTITUTE(SUBSTITUTE(SUBSTITUTE(C349:C353," ",""),"0",""),"-","")))&gt;(LEN(SUBSTITUTE(SUBSTITUTE(SUBSTITUTE(E349:E353," ",""),"0",""),"-",""))+LEN(SUBSTITUTE(SUBSTITUTE(SUBSTITUTE(F349:F353," ",""),"0",""),"-",""))))*1)</f>
      </c>
      <c r="C348" s="14" t="str">
        <f>SUMPRODUCT(LEN(SUBSTITUTE(SUBSTITUTE(SUBSTITUTE(B349:B353," ",""),"0",""),"-",""))+LEN(SUBSTITUTE(SUBSTITUTE(SUBSTITUTE(C349:C353," ",""),"0",""),"-","")))</f>
      </c>
      <c r="D348" s="18"/>
      <c r="E348" s="14" t="str">
        <f>SUMPRODUCT(LEN(SUBSTITUTE(SUBSTITUTE(SUBSTITUTE(E349:E353," ",""),"0",""),"-",""))+LEN(SUBSTITUTE(SUBSTITUTE(SUBSTITUTE(F349:F353," ",""),"0",""),"-","")))</f>
      </c>
      <c r="F348" s="14" t="str">
        <f>SUMPRODUCT((UPPER(D349:D353)&lt;&gt;"X")*((LEN(SUBSTITUTE(SUBSTITUTE(SUBSTITUTE(E349:E353," ",""),"0",""),"-",""))+LEN(SUBSTITUTE(SUBSTITUTE(SUBSTITUTE(F349:F353," ",""),"0",""),"-","")))&gt;(LEN(SUBSTITUTE(SUBSTITUTE(SUBSTITUTE(B349:B353," ",""),"0",""),"-",""))+LEN(SUBSTITUTE(SUBSTITUTE(SUBSTITUTE(C349:C353," ",""),"0",""),"-",""))))*1)</f>
      </c>
      <c r="G348" s="14" t="str">
        <f>'data'!$B$27</f>
      </c>
      <c r="I348" s="14" t="str">
        <f>'data'!$B$75</f>
      </c>
      <c r="J348" s="14" t="str">
        <f>SUMPRODUCT((UPPER(L349:L353)&lt;&gt;"X")*((LEN(SUBSTITUTE(SUBSTITUTE(SUBSTITUTE(J349:J353," ",""),"0",""),"-",""))+LEN(SUBSTITUTE(SUBSTITUTE(SUBSTITUTE(K349:K353," ",""),"0",""),"-","")))&gt;(LEN(SUBSTITUTE(SUBSTITUTE(SUBSTITUTE(M349:M353," ",""),"0",""),"-",""))+LEN(SUBSTITUTE(SUBSTITUTE(SUBSTITUTE(N349:N353," ",""),"0",""),"-",""))))*1)</f>
      </c>
      <c r="K348" s="14" t="str">
        <f>SUMPRODUCT(LEN(SUBSTITUTE(SUBSTITUTE(SUBSTITUTE(J349:J353," ",""),"0",""),"-",""))+LEN(SUBSTITUTE(SUBSTITUTE(SUBSTITUTE(K349:K353," ",""),"0",""),"-","")))</f>
      </c>
      <c r="L348" s="18"/>
      <c r="M348" s="14" t="str">
        <f>SUMPRODUCT(LEN(SUBSTITUTE(SUBSTITUTE(SUBSTITUTE(M349:M353," ",""),"0",""),"-",""))+LEN(SUBSTITUTE(SUBSTITUTE(SUBSTITUTE(N349:N353," ",""),"0",""),"-","")))</f>
      </c>
      <c r="N348" s="14" t="str">
        <f>SUMPRODUCT((UPPER(L349:L353)&lt;&gt;"X")*((LEN(SUBSTITUTE(SUBSTITUTE(SUBSTITUTE(M349:M353," ",""),"0",""),"-",""))+LEN(SUBSTITUTE(SUBSTITUTE(SUBSTITUTE(N349:N353," ",""),"0",""),"-","")))&gt;(LEN(SUBSTITUTE(SUBSTITUTE(SUBSTITUTE(J349:J353," ",""),"0",""),"-",""))+LEN(SUBSTITUTE(SUBSTITUTE(SUBSTITUTE(K349:K353," ",""),"0",""),"-",""))))*1)</f>
      </c>
      <c r="O348" s="14" t="str">
        <f>'data'!$B$74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239</v>
      </c>
      <c r="B355" s="14"/>
      <c r="C355" s="14"/>
      <c r="D355" s="14" t="s">
        <v>240</v>
      </c>
      <c r="E355" s="14"/>
      <c r="F355" s="14"/>
      <c r="G355" s="16" t="s">
        <v>241</v>
      </c>
      <c r="I355" s="17" t="s">
        <v>239</v>
      </c>
      <c r="J355" s="14"/>
      <c r="K355" s="14"/>
      <c r="L355" s="14" t="s">
        <v>240</v>
      </c>
      <c r="M355" s="14"/>
      <c r="N355" s="14"/>
      <c r="O355" s="16" t="s">
        <v>241</v>
      </c>
    </row>
    <row r="356">
      <c r="A356" s="14" t="str">
        <f>'data'!$B$29</f>
      </c>
      <c r="B356" s="14" t="str">
        <f>SUMPRODUCT((UPPER(D357:D361)&lt;&gt;"X")*((LEN(SUBSTITUTE(SUBSTITUTE(SUBSTITUTE(B357:B361," ",""),"0",""),"-",""))+LEN(SUBSTITUTE(SUBSTITUTE(SUBSTITUTE(C357:C361," ",""),"0",""),"-","")))&gt;(LEN(SUBSTITUTE(SUBSTITUTE(SUBSTITUTE(E357:E361," ",""),"0",""),"-",""))+LEN(SUBSTITUTE(SUBSTITUTE(SUBSTITUTE(F357:F361," ",""),"0",""),"-",""))))*1)</f>
      </c>
      <c r="C356" s="14" t="str">
        <f>SUMPRODUCT(LEN(SUBSTITUTE(SUBSTITUTE(SUBSTITUTE(B357:B361," ",""),"0",""),"-",""))+LEN(SUBSTITUTE(SUBSTITUTE(SUBSTITUTE(C357:C361," ",""),"0",""),"-","")))</f>
      </c>
      <c r="D356" s="18"/>
      <c r="E356" s="14" t="str">
        <f>SUMPRODUCT(LEN(SUBSTITUTE(SUBSTITUTE(SUBSTITUTE(E357:E361," ",""),"0",""),"-",""))+LEN(SUBSTITUTE(SUBSTITUTE(SUBSTITUTE(F357:F361," ",""),"0",""),"-","")))</f>
      </c>
      <c r="F356" s="14" t="str">
        <f>SUMPRODUCT((UPPER(D357:D361)&lt;&gt;"X")*((LEN(SUBSTITUTE(SUBSTITUTE(SUBSTITUTE(E357:E361," ",""),"0",""),"-",""))+LEN(SUBSTITUTE(SUBSTITUTE(SUBSTITUTE(F357:F361," ",""),"0",""),"-","")))&gt;(LEN(SUBSTITUTE(SUBSTITUTE(SUBSTITUTE(B357:B361," ",""),"0",""),"-",""))+LEN(SUBSTITUTE(SUBSTITUTE(SUBSTITUTE(C357:C361," ",""),"0",""),"-",""))))*1)</f>
      </c>
      <c r="G356" s="14" t="str">
        <f>'data'!$B$27</f>
      </c>
      <c r="I356" s="14" t="str">
        <f>'data'!$B$76</f>
      </c>
      <c r="J356" s="14" t="str">
        <f>SUMPRODUCT((UPPER(L357:L361)&lt;&gt;"X")*((LEN(SUBSTITUTE(SUBSTITUTE(SUBSTITUTE(J357:J361," ",""),"0",""),"-",""))+LEN(SUBSTITUTE(SUBSTITUTE(SUBSTITUTE(K357:K361," ",""),"0",""),"-","")))&gt;(LEN(SUBSTITUTE(SUBSTITUTE(SUBSTITUTE(M357:M361," ",""),"0",""),"-",""))+LEN(SUBSTITUTE(SUBSTITUTE(SUBSTITUTE(N357:N361," ",""),"0",""),"-",""))))*1)</f>
      </c>
      <c r="K356" s="14" t="str">
        <f>SUMPRODUCT(LEN(SUBSTITUTE(SUBSTITUTE(SUBSTITUTE(J357:J361," ",""),"0",""),"-",""))+LEN(SUBSTITUTE(SUBSTITUTE(SUBSTITUTE(K357:K361," ",""),"0",""),"-","")))</f>
      </c>
      <c r="L356" s="18"/>
      <c r="M356" s="14" t="str">
        <f>SUMPRODUCT(LEN(SUBSTITUTE(SUBSTITUTE(SUBSTITUTE(M357:M361," ",""),"0",""),"-",""))+LEN(SUBSTITUTE(SUBSTITUTE(SUBSTITUTE(N357:N361," ",""),"0",""),"-","")))</f>
      </c>
      <c r="N356" s="14" t="str">
        <f>SUMPRODUCT((UPPER(L357:L361)&lt;&gt;"X")*((LEN(SUBSTITUTE(SUBSTITUTE(SUBSTITUTE(M357:M361," ",""),"0",""),"-",""))+LEN(SUBSTITUTE(SUBSTITUTE(SUBSTITUTE(N357:N361," ",""),"0",""),"-","")))&gt;(LEN(SUBSTITUTE(SUBSTITUTE(SUBSTITUTE(J357:J361," ",""),"0",""),"-",""))+LEN(SUBSTITUTE(SUBSTITUTE(SUBSTITUTE(K357:K361," ",""),"0",""),"-",""))))*1)</f>
      </c>
      <c r="O356" s="14" t="str">
        <f>'data'!$B$74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239</v>
      </c>
      <c r="B363" s="14"/>
      <c r="C363" s="14"/>
      <c r="D363" s="14" t="s">
        <v>240</v>
      </c>
      <c r="E363" s="14"/>
      <c r="F363" s="14"/>
      <c r="G363" s="16" t="s">
        <v>241</v>
      </c>
      <c r="I363" s="17" t="s">
        <v>239</v>
      </c>
      <c r="J363" s="14"/>
      <c r="K363" s="14"/>
      <c r="L363" s="14" t="s">
        <v>240</v>
      </c>
      <c r="M363" s="14"/>
      <c r="N363" s="14"/>
      <c r="O363" s="16" t="s">
        <v>241</v>
      </c>
    </row>
    <row r="364">
      <c r="A364" s="14" t="str">
        <f>'data'!$B$29</f>
      </c>
      <c r="B364" s="14" t="str">
        <f>SUMPRODUCT((UPPER(D365:D369)&lt;&gt;"X")*((LEN(SUBSTITUTE(SUBSTITUTE(SUBSTITUTE(B365:B369," ",""),"0",""),"-",""))+LEN(SUBSTITUTE(SUBSTITUTE(SUBSTITUTE(C365:C369," ",""),"0",""),"-","")))&gt;(LEN(SUBSTITUTE(SUBSTITUTE(SUBSTITUTE(E365:E369," ",""),"0",""),"-",""))+LEN(SUBSTITUTE(SUBSTITUTE(SUBSTITUTE(F365:F369," ",""),"0",""),"-",""))))*1)</f>
      </c>
      <c r="C364" s="14" t="str">
        <f>SUMPRODUCT(LEN(SUBSTITUTE(SUBSTITUTE(SUBSTITUTE(B365:B369," ",""),"0",""),"-",""))+LEN(SUBSTITUTE(SUBSTITUTE(SUBSTITUTE(C365:C369," ",""),"0",""),"-","")))</f>
      </c>
      <c r="D364" s="18"/>
      <c r="E364" s="14" t="str">
        <f>SUMPRODUCT(LEN(SUBSTITUTE(SUBSTITUTE(SUBSTITUTE(E365:E369," ",""),"0",""),"-",""))+LEN(SUBSTITUTE(SUBSTITUTE(SUBSTITUTE(F365:F369," ",""),"0",""),"-","")))</f>
      </c>
      <c r="F364" s="14" t="str">
        <f>SUMPRODUCT((UPPER(D365:D369)&lt;&gt;"X")*((LEN(SUBSTITUTE(SUBSTITUTE(SUBSTITUTE(E365:E369," ",""),"0",""),"-",""))+LEN(SUBSTITUTE(SUBSTITUTE(SUBSTITUTE(F365:F369," ",""),"0",""),"-","")))&gt;(LEN(SUBSTITUTE(SUBSTITUTE(SUBSTITUTE(B365:B369," ",""),"0",""),"-",""))+LEN(SUBSTITUTE(SUBSTITUTE(SUBSTITUTE(C365:C369," ",""),"0",""),"-",""))))*1)</f>
      </c>
      <c r="G364" s="14" t="str">
        <f>'data'!$B$28</f>
      </c>
      <c r="I364" s="14" t="str">
        <f>'data'!$B$76</f>
      </c>
      <c r="J364" s="14" t="str">
        <f>SUMPRODUCT((UPPER(L365:L369)&lt;&gt;"X")*((LEN(SUBSTITUTE(SUBSTITUTE(SUBSTITUTE(J365:J369," ",""),"0",""),"-",""))+LEN(SUBSTITUTE(SUBSTITUTE(SUBSTITUTE(K365:K369," ",""),"0",""),"-","")))&gt;(LEN(SUBSTITUTE(SUBSTITUTE(SUBSTITUTE(M365:M369," ",""),"0",""),"-",""))+LEN(SUBSTITUTE(SUBSTITUTE(SUBSTITUTE(N365:N369," ",""),"0",""),"-",""))))*1)</f>
      </c>
      <c r="K364" s="14" t="str">
        <f>SUMPRODUCT(LEN(SUBSTITUTE(SUBSTITUTE(SUBSTITUTE(J365:J369," ",""),"0",""),"-",""))+LEN(SUBSTITUTE(SUBSTITUTE(SUBSTITUTE(K365:K369," ",""),"0",""),"-","")))</f>
      </c>
      <c r="L364" s="18"/>
      <c r="M364" s="14" t="str">
        <f>SUMPRODUCT(LEN(SUBSTITUTE(SUBSTITUTE(SUBSTITUTE(M365:M369," ",""),"0",""),"-",""))+LEN(SUBSTITUTE(SUBSTITUTE(SUBSTITUTE(N365:N369," ",""),"0",""),"-","")))</f>
      </c>
      <c r="N364" s="14" t="str">
        <f>SUMPRODUCT((UPPER(L365:L369)&lt;&gt;"X")*((LEN(SUBSTITUTE(SUBSTITUTE(SUBSTITUTE(M365:M369," ",""),"0",""),"-",""))+LEN(SUBSTITUTE(SUBSTITUTE(SUBSTITUTE(N365:N369," ",""),"0",""),"-","")))&gt;(LEN(SUBSTITUTE(SUBSTITUTE(SUBSTITUTE(J365:J369," ",""),"0",""),"-",""))+LEN(SUBSTITUTE(SUBSTITUTE(SUBSTITUTE(K365:K369," ",""),"0",""),"-",""))))*1)</f>
      </c>
      <c r="O364" s="14" t="str">
        <f>'data'!$B$75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242</v>
      </c>
      <c r="B372" s="13" t="s">
        <v>243</v>
      </c>
      <c r="C372" s="13" t="s">
        <v>244</v>
      </c>
      <c r="D372" s="13" t="s">
        <v>245</v>
      </c>
      <c r="E372" s="13"/>
      <c r="F372" s="13"/>
      <c r="G372" s="13" t="s">
        <v>246</v>
      </c>
      <c r="I372" s="13" t="s">
        <v>242</v>
      </c>
      <c r="J372" s="13" t="s">
        <v>243</v>
      </c>
      <c r="K372" s="13" t="s">
        <v>244</v>
      </c>
      <c r="L372" s="13" t="s">
        <v>245</v>
      </c>
      <c r="M372" s="13"/>
      <c r="N372" s="13"/>
      <c r="O372" s="13" t="s">
        <v>246</v>
      </c>
    </row>
    <row r="373">
      <c r="A373" s="14" t="str">
        <f>'data'!$B$27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247</v>
      </c>
      <c r="C377" s="13" t="s">
        <v>248</v>
      </c>
      <c r="D377" s="13" t="s">
        <v>249</v>
      </c>
      <c r="E377" s="13" t="s">
        <v>250</v>
      </c>
      <c r="F377" s="13" t="s">
        <v>251</v>
      </c>
      <c r="I377" s="13"/>
      <c r="J377" s="13" t="s">
        <v>247</v>
      </c>
      <c r="K377" s="13" t="s">
        <v>248</v>
      </c>
      <c r="L377" s="13" t="s">
        <v>249</v>
      </c>
      <c r="M377" s="13" t="s">
        <v>250</v>
      </c>
      <c r="N377" s="13" t="s">
        <v>251</v>
      </c>
    </row>
    <row r="378">
      <c r="A378" s="14" t="str">
        <f>'data'!$B$27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252</v>
      </c>
      <c r="N383" s="13"/>
      <c r="O383" s="13" t="s">
        <v>252</v>
      </c>
    </row>
    <row r="384">
      <c r="F384" t="s">
        <v>253</v>
      </c>
      <c r="G384" s="19" t="str">
        <f>IFERROR(INDEX($A$373:$A$380, MATCH(1, $G$373:$G$380, 0)), "-")</f>
      </c>
      <c r="N384" t="s">
        <v>253</v>
      </c>
      <c r="O384" s="19" t="str">
        <f>IFERROR(INDEX($I$373:$I$380, MATCH(1, $O$373:$O$380, 0)), "-")</f>
      </c>
    </row>
    <row r="385">
      <c r="F385" t="s">
        <v>254</v>
      </c>
      <c r="G385" s="19" t="str">
        <f>IFERROR(INDEX($A$373:$A$380, MATCH(2, $G$373:$G$380, 0)), "-")</f>
      </c>
      <c r="N385" t="s">
        <v>254</v>
      </c>
      <c r="O385" s="19" t="str">
        <f>IFERROR(INDEX($I$373:$I$380, MATCH(2, $O$373:$O$380, 0)), "-")</f>
      </c>
    </row>
    <row r="386">
      <c r="F386" t="s">
        <v>255</v>
      </c>
      <c r="G386" s="19" t="str">
        <f>IFERROR(INDEX($A$373:$A$380, MATCH(3, $G$373:$G$380, 0)), "-")</f>
      </c>
      <c r="N386" t="s">
        <v>255</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239</v>
      </c>
      <c r="B390" s="14"/>
      <c r="C390" s="14"/>
      <c r="D390" s="14" t="s">
        <v>240</v>
      </c>
      <c r="E390" s="14"/>
      <c r="F390" s="14"/>
      <c r="G390" s="16" t="s">
        <v>241</v>
      </c>
      <c r="I390" s="17" t="s">
        <v>239</v>
      </c>
      <c r="J390" s="14"/>
      <c r="K390" s="14"/>
      <c r="L390" s="14" t="s">
        <v>240</v>
      </c>
      <c r="M390" s="14"/>
      <c r="N390" s="14"/>
      <c r="O390" s="16" t="s">
        <v>241</v>
      </c>
    </row>
    <row r="391">
      <c r="A391" s="14" t="str">
        <f>'data'!$B$31</f>
      </c>
      <c r="B391" s="14" t="str">
        <f>SUMPRODUCT((UPPER(D392:D396)&lt;&gt;"X")*((LEN(SUBSTITUTE(SUBSTITUTE(SUBSTITUTE(B392:B396," ",""),"0",""),"-",""))+LEN(SUBSTITUTE(SUBSTITUTE(SUBSTITUTE(C392:C396," ",""),"0",""),"-","")))&gt;(LEN(SUBSTITUTE(SUBSTITUTE(SUBSTITUTE(E392:E396," ",""),"0",""),"-",""))+LEN(SUBSTITUTE(SUBSTITUTE(SUBSTITUTE(F392:F396," ",""),"0",""),"-",""))))*1)</f>
      </c>
      <c r="C391" s="14" t="str">
        <f>SUMPRODUCT(LEN(SUBSTITUTE(SUBSTITUTE(SUBSTITUTE(B392:B396," ",""),"0",""),"-",""))+LEN(SUBSTITUTE(SUBSTITUTE(SUBSTITUTE(C392:C396," ",""),"0",""),"-","")))</f>
      </c>
      <c r="D391" s="18"/>
      <c r="E391" s="14" t="str">
        <f>SUMPRODUCT(LEN(SUBSTITUTE(SUBSTITUTE(SUBSTITUTE(E392:E396," ",""),"0",""),"-",""))+LEN(SUBSTITUTE(SUBSTITUTE(SUBSTITUTE(F392:F396," ",""),"0",""),"-","")))</f>
      </c>
      <c r="F391" s="14" t="str">
        <f>SUMPRODUCT((UPPER(D392:D396)&lt;&gt;"X")*((LEN(SUBSTITUTE(SUBSTITUTE(SUBSTITUTE(E392:E396," ",""),"0",""),"-",""))+LEN(SUBSTITUTE(SUBSTITUTE(SUBSTITUTE(F392:F396," ",""),"0",""),"-","")))&gt;(LEN(SUBSTITUTE(SUBSTITUTE(SUBSTITUTE(B392:B396," ",""),"0",""),"-",""))+LEN(SUBSTITUTE(SUBSTITUTE(SUBSTITUTE(C392:C396," ",""),"0",""),"-",""))))*1)</f>
      </c>
      <c r="G391" s="14" t="str">
        <f>'data'!$B$30</f>
      </c>
      <c r="I391" s="14" t="str">
        <f>'data'!$B$78</f>
      </c>
      <c r="J391" s="14" t="str">
        <f>SUMPRODUCT((UPPER(L392:L396)&lt;&gt;"X")*((LEN(SUBSTITUTE(SUBSTITUTE(SUBSTITUTE(J392:J396," ",""),"0",""),"-",""))+LEN(SUBSTITUTE(SUBSTITUTE(SUBSTITUTE(K392:K396," ",""),"0",""),"-","")))&gt;(LEN(SUBSTITUTE(SUBSTITUTE(SUBSTITUTE(M392:M396," ",""),"0",""),"-",""))+LEN(SUBSTITUTE(SUBSTITUTE(SUBSTITUTE(N392:N396," ",""),"0",""),"-",""))))*1)</f>
      </c>
      <c r="K391" s="14" t="str">
        <f>SUMPRODUCT(LEN(SUBSTITUTE(SUBSTITUTE(SUBSTITUTE(J392:J396," ",""),"0",""),"-",""))+LEN(SUBSTITUTE(SUBSTITUTE(SUBSTITUTE(K392:K396," ",""),"0",""),"-","")))</f>
      </c>
      <c r="L391" s="18"/>
      <c r="M391" s="14" t="str">
        <f>SUMPRODUCT(LEN(SUBSTITUTE(SUBSTITUTE(SUBSTITUTE(M392:M396," ",""),"0",""),"-",""))+LEN(SUBSTITUTE(SUBSTITUTE(SUBSTITUTE(N392:N396," ",""),"0",""),"-","")))</f>
      </c>
      <c r="N391" s="14" t="str">
        <f>SUMPRODUCT((UPPER(L392:L396)&lt;&gt;"X")*((LEN(SUBSTITUTE(SUBSTITUTE(SUBSTITUTE(M392:M396," ",""),"0",""),"-",""))+LEN(SUBSTITUTE(SUBSTITUTE(SUBSTITUTE(N392:N396," ",""),"0",""),"-","")))&gt;(LEN(SUBSTITUTE(SUBSTITUTE(SUBSTITUTE(J392:J396," ",""),"0",""),"-",""))+LEN(SUBSTITUTE(SUBSTITUTE(SUBSTITUTE(K392:K396," ",""),"0",""),"-",""))))*1)</f>
      </c>
      <c r="O391" s="14" t="str">
        <f>'data'!$B$77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239</v>
      </c>
      <c r="B398" s="14"/>
      <c r="C398" s="14"/>
      <c r="D398" s="14" t="s">
        <v>240</v>
      </c>
      <c r="E398" s="14"/>
      <c r="F398" s="14"/>
      <c r="G398" s="16" t="s">
        <v>241</v>
      </c>
      <c r="I398" s="17" t="s">
        <v>239</v>
      </c>
      <c r="J398" s="14"/>
      <c r="K398" s="14"/>
      <c r="L398" s="14" t="s">
        <v>240</v>
      </c>
      <c r="M398" s="14"/>
      <c r="N398" s="14"/>
      <c r="O398" s="16" t="s">
        <v>241</v>
      </c>
    </row>
    <row r="399">
      <c r="A399" s="14" t="str">
        <f>'data'!$B$32</f>
      </c>
      <c r="B399" s="14" t="str">
        <f>SUMPRODUCT((UPPER(D400:D404)&lt;&gt;"X")*((LEN(SUBSTITUTE(SUBSTITUTE(SUBSTITUTE(B400:B404," ",""),"0",""),"-",""))+LEN(SUBSTITUTE(SUBSTITUTE(SUBSTITUTE(C400:C404," ",""),"0",""),"-","")))&gt;(LEN(SUBSTITUTE(SUBSTITUTE(SUBSTITUTE(E400:E404," ",""),"0",""),"-",""))+LEN(SUBSTITUTE(SUBSTITUTE(SUBSTITUTE(F400:F404," ",""),"0",""),"-",""))))*1)</f>
      </c>
      <c r="C399" s="14" t="str">
        <f>SUMPRODUCT(LEN(SUBSTITUTE(SUBSTITUTE(SUBSTITUTE(B400:B404," ",""),"0",""),"-",""))+LEN(SUBSTITUTE(SUBSTITUTE(SUBSTITUTE(C400:C404," ",""),"0",""),"-","")))</f>
      </c>
      <c r="D399" s="18"/>
      <c r="E399" s="14" t="str">
        <f>SUMPRODUCT(LEN(SUBSTITUTE(SUBSTITUTE(SUBSTITUTE(E400:E404," ",""),"0",""),"-",""))+LEN(SUBSTITUTE(SUBSTITUTE(SUBSTITUTE(F400:F404," ",""),"0",""),"-","")))</f>
      </c>
      <c r="F399" s="14" t="str">
        <f>SUMPRODUCT((UPPER(D400:D404)&lt;&gt;"X")*((LEN(SUBSTITUTE(SUBSTITUTE(SUBSTITUTE(E400:E404," ",""),"0",""),"-",""))+LEN(SUBSTITUTE(SUBSTITUTE(SUBSTITUTE(F400:F404," ",""),"0",""),"-","")))&gt;(LEN(SUBSTITUTE(SUBSTITUTE(SUBSTITUTE(B400:B404," ",""),"0",""),"-",""))+LEN(SUBSTITUTE(SUBSTITUTE(SUBSTITUTE(C400:C404," ",""),"0",""),"-",""))))*1)</f>
      </c>
      <c r="G399" s="14" t="str">
        <f>'data'!$B$30</f>
      </c>
      <c r="I399" s="14" t="str">
        <f>'data'!$B$79</f>
      </c>
      <c r="J399" s="14" t="str">
        <f>SUMPRODUCT((UPPER(L400:L404)&lt;&gt;"X")*((LEN(SUBSTITUTE(SUBSTITUTE(SUBSTITUTE(J400:J404," ",""),"0",""),"-",""))+LEN(SUBSTITUTE(SUBSTITUTE(SUBSTITUTE(K400:K404," ",""),"0",""),"-","")))&gt;(LEN(SUBSTITUTE(SUBSTITUTE(SUBSTITUTE(M400:M404," ",""),"0",""),"-",""))+LEN(SUBSTITUTE(SUBSTITUTE(SUBSTITUTE(N400:N404," ",""),"0",""),"-",""))))*1)</f>
      </c>
      <c r="K399" s="14" t="str">
        <f>SUMPRODUCT(LEN(SUBSTITUTE(SUBSTITUTE(SUBSTITUTE(J400:J404," ",""),"0",""),"-",""))+LEN(SUBSTITUTE(SUBSTITUTE(SUBSTITUTE(K400:K404," ",""),"0",""),"-","")))</f>
      </c>
      <c r="L399" s="18"/>
      <c r="M399" s="14" t="str">
        <f>SUMPRODUCT(LEN(SUBSTITUTE(SUBSTITUTE(SUBSTITUTE(M400:M404," ",""),"0",""),"-",""))+LEN(SUBSTITUTE(SUBSTITUTE(SUBSTITUTE(N400:N404," ",""),"0",""),"-","")))</f>
      </c>
      <c r="N399" s="14" t="str">
        <f>SUMPRODUCT((UPPER(L400:L404)&lt;&gt;"X")*((LEN(SUBSTITUTE(SUBSTITUTE(SUBSTITUTE(M400:M404," ",""),"0",""),"-",""))+LEN(SUBSTITUTE(SUBSTITUTE(SUBSTITUTE(N400:N404," ",""),"0",""),"-","")))&gt;(LEN(SUBSTITUTE(SUBSTITUTE(SUBSTITUTE(J400:J404," ",""),"0",""),"-",""))+LEN(SUBSTITUTE(SUBSTITUTE(SUBSTITUTE(K400:K404," ",""),"0",""),"-",""))))*1)</f>
      </c>
      <c r="O399" s="14" t="str">
        <f>'data'!$B$77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239</v>
      </c>
      <c r="B406" s="14"/>
      <c r="C406" s="14"/>
      <c r="D406" s="14" t="s">
        <v>240</v>
      </c>
      <c r="E406" s="14"/>
      <c r="F406" s="14"/>
      <c r="G406" s="16" t="s">
        <v>241</v>
      </c>
      <c r="I406" s="17" t="s">
        <v>239</v>
      </c>
      <c r="J406" s="14"/>
      <c r="K406" s="14"/>
      <c r="L406" s="14" t="s">
        <v>240</v>
      </c>
      <c r="M406" s="14"/>
      <c r="N406" s="14"/>
      <c r="O406" s="16" t="s">
        <v>241</v>
      </c>
    </row>
    <row r="407">
      <c r="A407" s="14" t="str">
        <f>'data'!$B$32</f>
      </c>
      <c r="B407" s="14" t="str">
        <f>SUMPRODUCT((UPPER(D408:D412)&lt;&gt;"X")*((LEN(SUBSTITUTE(SUBSTITUTE(SUBSTITUTE(B408:B412," ",""),"0",""),"-",""))+LEN(SUBSTITUTE(SUBSTITUTE(SUBSTITUTE(C408:C412," ",""),"0",""),"-","")))&gt;(LEN(SUBSTITUTE(SUBSTITUTE(SUBSTITUTE(E408:E412," ",""),"0",""),"-",""))+LEN(SUBSTITUTE(SUBSTITUTE(SUBSTITUTE(F408:F412," ",""),"0",""),"-",""))))*1)</f>
      </c>
      <c r="C407" s="14" t="str">
        <f>SUMPRODUCT(LEN(SUBSTITUTE(SUBSTITUTE(SUBSTITUTE(B408:B412," ",""),"0",""),"-",""))+LEN(SUBSTITUTE(SUBSTITUTE(SUBSTITUTE(C408:C412," ",""),"0",""),"-","")))</f>
      </c>
      <c r="D407" s="18"/>
      <c r="E407" s="14" t="str">
        <f>SUMPRODUCT(LEN(SUBSTITUTE(SUBSTITUTE(SUBSTITUTE(E408:E412," ",""),"0",""),"-",""))+LEN(SUBSTITUTE(SUBSTITUTE(SUBSTITUTE(F408:F412," ",""),"0",""),"-","")))</f>
      </c>
      <c r="F407" s="14" t="str">
        <f>SUMPRODUCT((UPPER(D408:D412)&lt;&gt;"X")*((LEN(SUBSTITUTE(SUBSTITUTE(SUBSTITUTE(E408:E412," ",""),"0",""),"-",""))+LEN(SUBSTITUTE(SUBSTITUTE(SUBSTITUTE(F408:F412," ",""),"0",""),"-","")))&gt;(LEN(SUBSTITUTE(SUBSTITUTE(SUBSTITUTE(B408:B412," ",""),"0",""),"-",""))+LEN(SUBSTITUTE(SUBSTITUTE(SUBSTITUTE(C408:C412," ",""),"0",""),"-",""))))*1)</f>
      </c>
      <c r="G407" s="14" t="str">
        <f>'data'!$B$31</f>
      </c>
      <c r="I407" s="14" t="str">
        <f>'data'!$B$79</f>
      </c>
      <c r="J407" s="14" t="str">
        <f>SUMPRODUCT((UPPER(L408:L412)&lt;&gt;"X")*((LEN(SUBSTITUTE(SUBSTITUTE(SUBSTITUTE(J408:J412," ",""),"0",""),"-",""))+LEN(SUBSTITUTE(SUBSTITUTE(SUBSTITUTE(K408:K412," ",""),"0",""),"-","")))&gt;(LEN(SUBSTITUTE(SUBSTITUTE(SUBSTITUTE(M408:M412," ",""),"0",""),"-",""))+LEN(SUBSTITUTE(SUBSTITUTE(SUBSTITUTE(N408:N412," ",""),"0",""),"-",""))))*1)</f>
      </c>
      <c r="K407" s="14" t="str">
        <f>SUMPRODUCT(LEN(SUBSTITUTE(SUBSTITUTE(SUBSTITUTE(J408:J412," ",""),"0",""),"-",""))+LEN(SUBSTITUTE(SUBSTITUTE(SUBSTITUTE(K408:K412," ",""),"0",""),"-","")))</f>
      </c>
      <c r="L407" s="18"/>
      <c r="M407" s="14" t="str">
        <f>SUMPRODUCT(LEN(SUBSTITUTE(SUBSTITUTE(SUBSTITUTE(M408:M412," ",""),"0",""),"-",""))+LEN(SUBSTITUTE(SUBSTITUTE(SUBSTITUTE(N408:N412," ",""),"0",""),"-","")))</f>
      </c>
      <c r="N407" s="14" t="str">
        <f>SUMPRODUCT((UPPER(L408:L412)&lt;&gt;"X")*((LEN(SUBSTITUTE(SUBSTITUTE(SUBSTITUTE(M408:M412," ",""),"0",""),"-",""))+LEN(SUBSTITUTE(SUBSTITUTE(SUBSTITUTE(N408:N412," ",""),"0",""),"-","")))&gt;(LEN(SUBSTITUTE(SUBSTITUTE(SUBSTITUTE(J408:J412," ",""),"0",""),"-",""))+LEN(SUBSTITUTE(SUBSTITUTE(SUBSTITUTE(K408:K412," ",""),"0",""),"-",""))))*1)</f>
      </c>
      <c r="O407" s="14" t="str">
        <f>'data'!$B$78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242</v>
      </c>
      <c r="B415" s="13" t="s">
        <v>243</v>
      </c>
      <c r="C415" s="13" t="s">
        <v>244</v>
      </c>
      <c r="D415" s="13" t="s">
        <v>245</v>
      </c>
      <c r="E415" s="13"/>
      <c r="F415" s="13"/>
      <c r="G415" s="13" t="s">
        <v>246</v>
      </c>
      <c r="I415" s="13" t="s">
        <v>242</v>
      </c>
      <c r="J415" s="13" t="s">
        <v>243</v>
      </c>
      <c r="K415" s="13" t="s">
        <v>244</v>
      </c>
      <c r="L415" s="13" t="s">
        <v>245</v>
      </c>
      <c r="M415" s="13"/>
      <c r="N415" s="13"/>
      <c r="O415" s="13" t="s">
        <v>246</v>
      </c>
    </row>
    <row r="416">
      <c r="A416" s="14" t="str">
        <f>'data'!$B$30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247</v>
      </c>
      <c r="C420" s="13" t="s">
        <v>248</v>
      </c>
      <c r="D420" s="13" t="s">
        <v>249</v>
      </c>
      <c r="E420" s="13" t="s">
        <v>250</v>
      </c>
      <c r="F420" s="13" t="s">
        <v>251</v>
      </c>
      <c r="I420" s="13"/>
      <c r="J420" s="13" t="s">
        <v>247</v>
      </c>
      <c r="K420" s="13" t="s">
        <v>248</v>
      </c>
      <c r="L420" s="13" t="s">
        <v>249</v>
      </c>
      <c r="M420" s="13" t="s">
        <v>250</v>
      </c>
      <c r="N420" s="13" t="s">
        <v>251</v>
      </c>
    </row>
    <row r="421">
      <c r="A421" s="14" t="str">
        <f>'data'!$B$30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252</v>
      </c>
      <c r="N426" s="13"/>
      <c r="O426" s="13" t="s">
        <v>252</v>
      </c>
    </row>
    <row r="427">
      <c r="F427" t="s">
        <v>253</v>
      </c>
      <c r="G427" s="19" t="str">
        <f>IFERROR(INDEX($A$416:$A$423, MATCH(1, $G$416:$G$423, 0)), "-")</f>
      </c>
      <c r="N427" t="s">
        <v>253</v>
      </c>
      <c r="O427" s="19" t="str">
        <f>IFERROR(INDEX($I$416:$I$423, MATCH(1, $O$416:$O$423, 0)), "-")</f>
      </c>
    </row>
    <row r="428">
      <c r="F428" t="s">
        <v>254</v>
      </c>
      <c r="G428" s="19" t="str">
        <f>IFERROR(INDEX($A$416:$A$423, MATCH(2, $G$416:$G$423, 0)), "-")</f>
      </c>
      <c r="N428" t="s">
        <v>254</v>
      </c>
      <c r="O428" s="19" t="str">
        <f>IFERROR(INDEX($I$416:$I$423, MATCH(2, $O$416:$O$423, 0)), "-")</f>
      </c>
    </row>
    <row r="429">
      <c r="F429" t="s">
        <v>255</v>
      </c>
      <c r="G429" s="19" t="str">
        <f>IFERROR(INDEX($A$416:$A$423, MATCH(3, $G$416:$G$423, 0)), "-")</f>
      </c>
      <c r="N429" t="s">
        <v>255</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239</v>
      </c>
      <c r="B433" s="14"/>
      <c r="C433" s="14"/>
      <c r="D433" s="14" t="s">
        <v>240</v>
      </c>
      <c r="E433" s="14"/>
      <c r="F433" s="14"/>
      <c r="G433" s="16" t="s">
        <v>241</v>
      </c>
      <c r="I433" s="17" t="s">
        <v>239</v>
      </c>
      <c r="J433" s="14"/>
      <c r="K433" s="14"/>
      <c r="L433" s="14" t="s">
        <v>240</v>
      </c>
      <c r="M433" s="14"/>
      <c r="N433" s="14"/>
      <c r="O433" s="16" t="s">
        <v>241</v>
      </c>
    </row>
    <row r="434">
      <c r="A434" s="14" t="str">
        <f>'data'!$B$34</f>
      </c>
      <c r="B434" s="14" t="str">
        <f>SUMPRODUCT((UPPER(D435:D439)&lt;&gt;"X")*((LEN(SUBSTITUTE(SUBSTITUTE(SUBSTITUTE(B435:B439," ",""),"0",""),"-",""))+LEN(SUBSTITUTE(SUBSTITUTE(SUBSTITUTE(C435:C439," ",""),"0",""),"-","")))&gt;(LEN(SUBSTITUTE(SUBSTITUTE(SUBSTITUTE(E435:E439," ",""),"0",""),"-",""))+LEN(SUBSTITUTE(SUBSTITUTE(SUBSTITUTE(F435:F439," ",""),"0",""),"-",""))))*1)</f>
      </c>
      <c r="C434" s="14" t="str">
        <f>SUMPRODUCT(LEN(SUBSTITUTE(SUBSTITUTE(SUBSTITUTE(B435:B439," ",""),"0",""),"-",""))+LEN(SUBSTITUTE(SUBSTITUTE(SUBSTITUTE(C435:C439," ",""),"0",""),"-","")))</f>
      </c>
      <c r="D434" s="18"/>
      <c r="E434" s="14" t="str">
        <f>SUMPRODUCT(LEN(SUBSTITUTE(SUBSTITUTE(SUBSTITUTE(E435:E439," ",""),"0",""),"-",""))+LEN(SUBSTITUTE(SUBSTITUTE(SUBSTITUTE(F435:F439," ",""),"0",""),"-","")))</f>
      </c>
      <c r="F434" s="14" t="str">
        <f>SUMPRODUCT((UPPER(D435:D439)&lt;&gt;"X")*((LEN(SUBSTITUTE(SUBSTITUTE(SUBSTITUTE(E435:E439," ",""),"0",""),"-",""))+LEN(SUBSTITUTE(SUBSTITUTE(SUBSTITUTE(F435:F439," ",""),"0",""),"-","")))&gt;(LEN(SUBSTITUTE(SUBSTITUTE(SUBSTITUTE(B435:B439," ",""),"0",""),"-",""))+LEN(SUBSTITUTE(SUBSTITUTE(SUBSTITUTE(C435:C439," ",""),"0",""),"-",""))))*1)</f>
      </c>
      <c r="G434" s="14" t="str">
        <f>'data'!$B$33</f>
      </c>
      <c r="I434" s="14" t="str">
        <f>'data'!$B$81</f>
      </c>
      <c r="J434" s="14" t="str">
        <f>SUMPRODUCT((UPPER(L435:L439)&lt;&gt;"X")*((LEN(SUBSTITUTE(SUBSTITUTE(SUBSTITUTE(J435:J439," ",""),"0",""),"-",""))+LEN(SUBSTITUTE(SUBSTITUTE(SUBSTITUTE(K435:K439," ",""),"0",""),"-","")))&gt;(LEN(SUBSTITUTE(SUBSTITUTE(SUBSTITUTE(M435:M439," ",""),"0",""),"-",""))+LEN(SUBSTITUTE(SUBSTITUTE(SUBSTITUTE(N435:N439," ",""),"0",""),"-",""))))*1)</f>
      </c>
      <c r="K434" s="14" t="str">
        <f>SUMPRODUCT(LEN(SUBSTITUTE(SUBSTITUTE(SUBSTITUTE(J435:J439," ",""),"0",""),"-",""))+LEN(SUBSTITUTE(SUBSTITUTE(SUBSTITUTE(K435:K439," ",""),"0",""),"-","")))</f>
      </c>
      <c r="L434" s="18"/>
      <c r="M434" s="14" t="str">
        <f>SUMPRODUCT(LEN(SUBSTITUTE(SUBSTITUTE(SUBSTITUTE(M435:M439," ",""),"0",""),"-",""))+LEN(SUBSTITUTE(SUBSTITUTE(SUBSTITUTE(N435:N439," ",""),"0",""),"-","")))</f>
      </c>
      <c r="N434" s="14" t="str">
        <f>SUMPRODUCT((UPPER(L435:L439)&lt;&gt;"X")*((LEN(SUBSTITUTE(SUBSTITUTE(SUBSTITUTE(M435:M439," ",""),"0",""),"-",""))+LEN(SUBSTITUTE(SUBSTITUTE(SUBSTITUTE(N435:N439," ",""),"0",""),"-","")))&gt;(LEN(SUBSTITUTE(SUBSTITUTE(SUBSTITUTE(J435:J439," ",""),"0",""),"-",""))+LEN(SUBSTITUTE(SUBSTITUTE(SUBSTITUTE(K435:K439," ",""),"0",""),"-",""))))*1)</f>
      </c>
      <c r="O434" s="14" t="str">
        <f>'data'!$B$80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239</v>
      </c>
      <c r="B441" s="14"/>
      <c r="C441" s="14"/>
      <c r="D441" s="14" t="s">
        <v>240</v>
      </c>
      <c r="E441" s="14"/>
      <c r="F441" s="14"/>
      <c r="G441" s="16" t="s">
        <v>241</v>
      </c>
      <c r="I441" s="17" t="s">
        <v>239</v>
      </c>
      <c r="J441" s="14"/>
      <c r="K441" s="14"/>
      <c r="L441" s="14" t="s">
        <v>240</v>
      </c>
      <c r="M441" s="14"/>
      <c r="N441" s="14"/>
      <c r="O441" s="16" t="s">
        <v>241</v>
      </c>
    </row>
    <row r="442">
      <c r="A442" s="14" t="str">
        <f>'data'!$B$35</f>
      </c>
      <c r="B442" s="14" t="str">
        <f>SUMPRODUCT((UPPER(D443:D447)&lt;&gt;"X")*((LEN(SUBSTITUTE(SUBSTITUTE(SUBSTITUTE(B443:B447," ",""),"0",""),"-",""))+LEN(SUBSTITUTE(SUBSTITUTE(SUBSTITUTE(C443:C447," ",""),"0",""),"-","")))&gt;(LEN(SUBSTITUTE(SUBSTITUTE(SUBSTITUTE(E443:E447," ",""),"0",""),"-",""))+LEN(SUBSTITUTE(SUBSTITUTE(SUBSTITUTE(F443:F447," ",""),"0",""),"-",""))))*1)</f>
      </c>
      <c r="C442" s="14" t="str">
        <f>SUMPRODUCT(LEN(SUBSTITUTE(SUBSTITUTE(SUBSTITUTE(B443:B447," ",""),"0",""),"-",""))+LEN(SUBSTITUTE(SUBSTITUTE(SUBSTITUTE(C443:C447," ",""),"0",""),"-","")))</f>
      </c>
      <c r="D442" s="18"/>
      <c r="E442" s="14" t="str">
        <f>SUMPRODUCT(LEN(SUBSTITUTE(SUBSTITUTE(SUBSTITUTE(E443:E447," ",""),"0",""),"-",""))+LEN(SUBSTITUTE(SUBSTITUTE(SUBSTITUTE(F443:F447," ",""),"0",""),"-","")))</f>
      </c>
      <c r="F442" s="14" t="str">
        <f>SUMPRODUCT((UPPER(D443:D447)&lt;&gt;"X")*((LEN(SUBSTITUTE(SUBSTITUTE(SUBSTITUTE(E443:E447," ",""),"0",""),"-",""))+LEN(SUBSTITUTE(SUBSTITUTE(SUBSTITUTE(F443:F447," ",""),"0",""),"-","")))&gt;(LEN(SUBSTITUTE(SUBSTITUTE(SUBSTITUTE(B443:B447," ",""),"0",""),"-",""))+LEN(SUBSTITUTE(SUBSTITUTE(SUBSTITUTE(C443:C447," ",""),"0",""),"-",""))))*1)</f>
      </c>
      <c r="G442" s="14" t="str">
        <f>'data'!$B$33</f>
      </c>
      <c r="I442" s="14" t="str">
        <f>'data'!$B$82</f>
      </c>
      <c r="J442" s="14" t="str">
        <f>SUMPRODUCT((UPPER(L443:L447)&lt;&gt;"X")*((LEN(SUBSTITUTE(SUBSTITUTE(SUBSTITUTE(J443:J447," ",""),"0",""),"-",""))+LEN(SUBSTITUTE(SUBSTITUTE(SUBSTITUTE(K443:K447," ",""),"0",""),"-","")))&gt;(LEN(SUBSTITUTE(SUBSTITUTE(SUBSTITUTE(M443:M447," ",""),"0",""),"-",""))+LEN(SUBSTITUTE(SUBSTITUTE(SUBSTITUTE(N443:N447," ",""),"0",""),"-",""))))*1)</f>
      </c>
      <c r="K442" s="14" t="str">
        <f>SUMPRODUCT(LEN(SUBSTITUTE(SUBSTITUTE(SUBSTITUTE(J443:J447," ",""),"0",""),"-",""))+LEN(SUBSTITUTE(SUBSTITUTE(SUBSTITUTE(K443:K447," ",""),"0",""),"-","")))</f>
      </c>
      <c r="L442" s="18"/>
      <c r="M442" s="14" t="str">
        <f>SUMPRODUCT(LEN(SUBSTITUTE(SUBSTITUTE(SUBSTITUTE(M443:M447," ",""),"0",""),"-",""))+LEN(SUBSTITUTE(SUBSTITUTE(SUBSTITUTE(N443:N447," ",""),"0",""),"-","")))</f>
      </c>
      <c r="N442" s="14" t="str">
        <f>SUMPRODUCT((UPPER(L443:L447)&lt;&gt;"X")*((LEN(SUBSTITUTE(SUBSTITUTE(SUBSTITUTE(M443:M447," ",""),"0",""),"-",""))+LEN(SUBSTITUTE(SUBSTITUTE(SUBSTITUTE(N443:N447," ",""),"0",""),"-","")))&gt;(LEN(SUBSTITUTE(SUBSTITUTE(SUBSTITUTE(J443:J447," ",""),"0",""),"-",""))+LEN(SUBSTITUTE(SUBSTITUTE(SUBSTITUTE(K443:K447," ",""),"0",""),"-",""))))*1)</f>
      </c>
      <c r="O442" s="14" t="str">
        <f>'data'!$B$80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239</v>
      </c>
      <c r="B449" s="14"/>
      <c r="C449" s="14"/>
      <c r="D449" s="14" t="s">
        <v>240</v>
      </c>
      <c r="E449" s="14"/>
      <c r="F449" s="14"/>
      <c r="G449" s="16" t="s">
        <v>241</v>
      </c>
      <c r="I449" s="17" t="s">
        <v>239</v>
      </c>
      <c r="J449" s="14"/>
      <c r="K449" s="14"/>
      <c r="L449" s="14" t="s">
        <v>240</v>
      </c>
      <c r="M449" s="14"/>
      <c r="N449" s="14"/>
      <c r="O449" s="16" t="s">
        <v>241</v>
      </c>
    </row>
    <row r="450">
      <c r="A450" s="14" t="str">
        <f>'data'!$B$35</f>
      </c>
      <c r="B450" s="14" t="str">
        <f>SUMPRODUCT((UPPER(D451:D455)&lt;&gt;"X")*((LEN(SUBSTITUTE(SUBSTITUTE(SUBSTITUTE(B451:B455," ",""),"0",""),"-",""))+LEN(SUBSTITUTE(SUBSTITUTE(SUBSTITUTE(C451:C455," ",""),"0",""),"-","")))&gt;(LEN(SUBSTITUTE(SUBSTITUTE(SUBSTITUTE(E451:E455," ",""),"0",""),"-",""))+LEN(SUBSTITUTE(SUBSTITUTE(SUBSTITUTE(F451:F455," ",""),"0",""),"-",""))))*1)</f>
      </c>
      <c r="C450" s="14" t="str">
        <f>SUMPRODUCT(LEN(SUBSTITUTE(SUBSTITUTE(SUBSTITUTE(B451:B455," ",""),"0",""),"-",""))+LEN(SUBSTITUTE(SUBSTITUTE(SUBSTITUTE(C451:C455," ",""),"0",""),"-","")))</f>
      </c>
      <c r="D450" s="18"/>
      <c r="E450" s="14" t="str">
        <f>SUMPRODUCT(LEN(SUBSTITUTE(SUBSTITUTE(SUBSTITUTE(E451:E455," ",""),"0",""),"-",""))+LEN(SUBSTITUTE(SUBSTITUTE(SUBSTITUTE(F451:F455," ",""),"0",""),"-","")))</f>
      </c>
      <c r="F450" s="14" t="str">
        <f>SUMPRODUCT((UPPER(D451:D455)&lt;&gt;"X")*((LEN(SUBSTITUTE(SUBSTITUTE(SUBSTITUTE(E451:E455," ",""),"0",""),"-",""))+LEN(SUBSTITUTE(SUBSTITUTE(SUBSTITUTE(F451:F455," ",""),"0",""),"-","")))&gt;(LEN(SUBSTITUTE(SUBSTITUTE(SUBSTITUTE(B451:B455," ",""),"0",""),"-",""))+LEN(SUBSTITUTE(SUBSTITUTE(SUBSTITUTE(C451:C455," ",""),"0",""),"-",""))))*1)</f>
      </c>
      <c r="G450" s="14" t="str">
        <f>'data'!$B$34</f>
      </c>
      <c r="I450" s="14" t="str">
        <f>'data'!$B$82</f>
      </c>
      <c r="J450" s="14" t="str">
        <f>SUMPRODUCT((UPPER(L451:L455)&lt;&gt;"X")*((LEN(SUBSTITUTE(SUBSTITUTE(SUBSTITUTE(J451:J455," ",""),"0",""),"-",""))+LEN(SUBSTITUTE(SUBSTITUTE(SUBSTITUTE(K451:K455," ",""),"0",""),"-","")))&gt;(LEN(SUBSTITUTE(SUBSTITUTE(SUBSTITUTE(M451:M455," ",""),"0",""),"-",""))+LEN(SUBSTITUTE(SUBSTITUTE(SUBSTITUTE(N451:N455," ",""),"0",""),"-",""))))*1)</f>
      </c>
      <c r="K450" s="14" t="str">
        <f>SUMPRODUCT(LEN(SUBSTITUTE(SUBSTITUTE(SUBSTITUTE(J451:J455," ",""),"0",""),"-",""))+LEN(SUBSTITUTE(SUBSTITUTE(SUBSTITUTE(K451:K455," ",""),"0",""),"-","")))</f>
      </c>
      <c r="L450" s="18"/>
      <c r="M450" s="14" t="str">
        <f>SUMPRODUCT(LEN(SUBSTITUTE(SUBSTITUTE(SUBSTITUTE(M451:M455," ",""),"0",""),"-",""))+LEN(SUBSTITUTE(SUBSTITUTE(SUBSTITUTE(N451:N455," ",""),"0",""),"-","")))</f>
      </c>
      <c r="N450" s="14" t="str">
        <f>SUMPRODUCT((UPPER(L451:L455)&lt;&gt;"X")*((LEN(SUBSTITUTE(SUBSTITUTE(SUBSTITUTE(M451:M455," ",""),"0",""),"-",""))+LEN(SUBSTITUTE(SUBSTITUTE(SUBSTITUTE(N451:N455," ",""),"0",""),"-","")))&gt;(LEN(SUBSTITUTE(SUBSTITUTE(SUBSTITUTE(J451:J455," ",""),"0",""),"-",""))+LEN(SUBSTITUTE(SUBSTITUTE(SUBSTITUTE(K451:K455," ",""),"0",""),"-",""))))*1)</f>
      </c>
      <c r="O450" s="14" t="str">
        <f>'data'!$B$81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242</v>
      </c>
      <c r="B458" s="13" t="s">
        <v>243</v>
      </c>
      <c r="C458" s="13" t="s">
        <v>244</v>
      </c>
      <c r="D458" s="13" t="s">
        <v>245</v>
      </c>
      <c r="E458" s="13"/>
      <c r="F458" s="13"/>
      <c r="G458" s="13" t="s">
        <v>246</v>
      </c>
      <c r="I458" s="13" t="s">
        <v>242</v>
      </c>
      <c r="J458" s="13" t="s">
        <v>243</v>
      </c>
      <c r="K458" s="13" t="s">
        <v>244</v>
      </c>
      <c r="L458" s="13" t="s">
        <v>245</v>
      </c>
      <c r="M458" s="13"/>
      <c r="N458" s="13"/>
      <c r="O458" s="13" t="s">
        <v>246</v>
      </c>
    </row>
    <row r="459">
      <c r="A459" s="14" t="str">
        <f>'data'!$B$33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247</v>
      </c>
      <c r="C463" s="13" t="s">
        <v>248</v>
      </c>
      <c r="D463" s="13" t="s">
        <v>249</v>
      </c>
      <c r="E463" s="13" t="s">
        <v>250</v>
      </c>
      <c r="F463" s="13" t="s">
        <v>251</v>
      </c>
      <c r="I463" s="13"/>
      <c r="J463" s="13" t="s">
        <v>247</v>
      </c>
      <c r="K463" s="13" t="s">
        <v>248</v>
      </c>
      <c r="L463" s="13" t="s">
        <v>249</v>
      </c>
      <c r="M463" s="13" t="s">
        <v>250</v>
      </c>
      <c r="N463" s="13" t="s">
        <v>251</v>
      </c>
    </row>
    <row r="464">
      <c r="A464" s="14" t="str">
        <f>'data'!$B$33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252</v>
      </c>
      <c r="N469" s="13"/>
      <c r="O469" s="13" t="s">
        <v>252</v>
      </c>
    </row>
    <row r="470">
      <c r="F470" t="s">
        <v>253</v>
      </c>
      <c r="G470" s="19" t="str">
        <f>IFERROR(INDEX($A$459:$A$466, MATCH(1, $G$459:$G$466, 0)), "-")</f>
      </c>
      <c r="N470" t="s">
        <v>253</v>
      </c>
      <c r="O470" s="19" t="str">
        <f>IFERROR(INDEX($I$459:$I$466, MATCH(1, $O$459:$O$466, 0)), "-")</f>
      </c>
    </row>
    <row r="471">
      <c r="F471" t="s">
        <v>254</v>
      </c>
      <c r="G471" s="19" t="str">
        <f>IFERROR(INDEX($A$459:$A$466, MATCH(2, $G$459:$G$466, 0)), "-")</f>
      </c>
      <c r="N471" t="s">
        <v>254</v>
      </c>
      <c r="O471" s="19" t="str">
        <f>IFERROR(INDEX($I$459:$I$466, MATCH(2, $O$459:$O$466, 0)), "-")</f>
      </c>
    </row>
    <row r="472">
      <c r="F472" t="s">
        <v>255</v>
      </c>
      <c r="G472" s="19" t="str">
        <f>IFERROR(INDEX($A$459:$A$466, MATCH(3, $G$459:$G$466, 0)), "-")</f>
      </c>
      <c r="N472" t="s">
        <v>255</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239</v>
      </c>
      <c r="B476" s="14"/>
      <c r="C476" s="14"/>
      <c r="D476" s="14" t="s">
        <v>240</v>
      </c>
      <c r="E476" s="14"/>
      <c r="F476" s="14"/>
      <c r="G476" s="16" t="s">
        <v>241</v>
      </c>
      <c r="I476" s="17" t="s">
        <v>239</v>
      </c>
      <c r="J476" s="14"/>
      <c r="K476" s="14"/>
      <c r="L476" s="14" t="s">
        <v>240</v>
      </c>
      <c r="M476" s="14"/>
      <c r="N476" s="14"/>
      <c r="O476" s="16" t="s">
        <v>241</v>
      </c>
    </row>
    <row r="477">
      <c r="A477" s="14" t="str">
        <f>'data'!$B$37</f>
      </c>
      <c r="B477" s="14" t="str">
        <f>SUMPRODUCT((UPPER(D478:D482)&lt;&gt;"X")*((LEN(SUBSTITUTE(SUBSTITUTE(SUBSTITUTE(B478:B482," ",""),"0",""),"-",""))+LEN(SUBSTITUTE(SUBSTITUTE(SUBSTITUTE(C478:C482," ",""),"0",""),"-","")))&gt;(LEN(SUBSTITUTE(SUBSTITUTE(SUBSTITUTE(E478:E482," ",""),"0",""),"-",""))+LEN(SUBSTITUTE(SUBSTITUTE(SUBSTITUTE(F478:F482," ",""),"0",""),"-",""))))*1)</f>
      </c>
      <c r="C477" s="14" t="str">
        <f>SUMPRODUCT(LEN(SUBSTITUTE(SUBSTITUTE(SUBSTITUTE(B478:B482," ",""),"0",""),"-",""))+LEN(SUBSTITUTE(SUBSTITUTE(SUBSTITUTE(C478:C482," ",""),"0",""),"-","")))</f>
      </c>
      <c r="D477" s="18"/>
      <c r="E477" s="14" t="str">
        <f>SUMPRODUCT(LEN(SUBSTITUTE(SUBSTITUTE(SUBSTITUTE(E478:E482," ",""),"0",""),"-",""))+LEN(SUBSTITUTE(SUBSTITUTE(SUBSTITUTE(F478:F482," ",""),"0",""),"-","")))</f>
      </c>
      <c r="F477" s="14" t="str">
        <f>SUMPRODUCT((UPPER(D478:D482)&lt;&gt;"X")*((LEN(SUBSTITUTE(SUBSTITUTE(SUBSTITUTE(E478:E482," ",""),"0",""),"-",""))+LEN(SUBSTITUTE(SUBSTITUTE(SUBSTITUTE(F478:F482," ",""),"0",""),"-","")))&gt;(LEN(SUBSTITUTE(SUBSTITUTE(SUBSTITUTE(B478:B482," ",""),"0",""),"-",""))+LEN(SUBSTITUTE(SUBSTITUTE(SUBSTITUTE(C478:C482," ",""),"0",""),"-",""))))*1)</f>
      </c>
      <c r="G477" s="14" t="str">
        <f>'data'!$B$36</f>
      </c>
      <c r="I477" s="14" t="str">
        <f>'data'!$B$84</f>
      </c>
      <c r="J477" s="14" t="str">
        <f>SUMPRODUCT((UPPER(L478:L482)&lt;&gt;"X")*((LEN(SUBSTITUTE(SUBSTITUTE(SUBSTITUTE(J478:J482," ",""),"0",""),"-",""))+LEN(SUBSTITUTE(SUBSTITUTE(SUBSTITUTE(K478:K482," ",""),"0",""),"-","")))&gt;(LEN(SUBSTITUTE(SUBSTITUTE(SUBSTITUTE(M478:M482," ",""),"0",""),"-",""))+LEN(SUBSTITUTE(SUBSTITUTE(SUBSTITUTE(N478:N482," ",""),"0",""),"-",""))))*1)</f>
      </c>
      <c r="K477" s="14" t="str">
        <f>SUMPRODUCT(LEN(SUBSTITUTE(SUBSTITUTE(SUBSTITUTE(J478:J482," ",""),"0",""),"-",""))+LEN(SUBSTITUTE(SUBSTITUTE(SUBSTITUTE(K478:K482," ",""),"0",""),"-","")))</f>
      </c>
      <c r="L477" s="18"/>
      <c r="M477" s="14" t="str">
        <f>SUMPRODUCT(LEN(SUBSTITUTE(SUBSTITUTE(SUBSTITUTE(M478:M482," ",""),"0",""),"-",""))+LEN(SUBSTITUTE(SUBSTITUTE(SUBSTITUTE(N478:N482," ",""),"0",""),"-","")))</f>
      </c>
      <c r="N477" s="14" t="str">
        <f>SUMPRODUCT((UPPER(L478:L482)&lt;&gt;"X")*((LEN(SUBSTITUTE(SUBSTITUTE(SUBSTITUTE(M478:M482," ",""),"0",""),"-",""))+LEN(SUBSTITUTE(SUBSTITUTE(SUBSTITUTE(N478:N482," ",""),"0",""),"-","")))&gt;(LEN(SUBSTITUTE(SUBSTITUTE(SUBSTITUTE(J478:J482," ",""),"0",""),"-",""))+LEN(SUBSTITUTE(SUBSTITUTE(SUBSTITUTE(K478:K482," ",""),"0",""),"-",""))))*1)</f>
      </c>
      <c r="O477" s="14" t="str">
        <f>'data'!$B$83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239</v>
      </c>
      <c r="B484" s="14"/>
      <c r="C484" s="14"/>
      <c r="D484" s="14" t="s">
        <v>240</v>
      </c>
      <c r="E484" s="14"/>
      <c r="F484" s="14"/>
      <c r="G484" s="16" t="s">
        <v>241</v>
      </c>
      <c r="I484" s="17" t="s">
        <v>239</v>
      </c>
      <c r="J484" s="14"/>
      <c r="K484" s="14"/>
      <c r="L484" s="14" t="s">
        <v>240</v>
      </c>
      <c r="M484" s="14"/>
      <c r="N484" s="14"/>
      <c r="O484" s="16" t="s">
        <v>241</v>
      </c>
    </row>
    <row r="485">
      <c r="A485" s="14" t="str">
        <f>'data'!$B$38</f>
      </c>
      <c r="B485" s="14" t="str">
        <f>SUMPRODUCT((UPPER(D486:D490)&lt;&gt;"X")*((LEN(SUBSTITUTE(SUBSTITUTE(SUBSTITUTE(B486:B490," ",""),"0",""),"-",""))+LEN(SUBSTITUTE(SUBSTITUTE(SUBSTITUTE(C486:C490," ",""),"0",""),"-","")))&gt;(LEN(SUBSTITUTE(SUBSTITUTE(SUBSTITUTE(E486:E490," ",""),"0",""),"-",""))+LEN(SUBSTITUTE(SUBSTITUTE(SUBSTITUTE(F486:F490," ",""),"0",""),"-",""))))*1)</f>
      </c>
      <c r="C485" s="14" t="str">
        <f>SUMPRODUCT(LEN(SUBSTITUTE(SUBSTITUTE(SUBSTITUTE(B486:B490," ",""),"0",""),"-",""))+LEN(SUBSTITUTE(SUBSTITUTE(SUBSTITUTE(C486:C490," ",""),"0",""),"-","")))</f>
      </c>
      <c r="D485" s="18"/>
      <c r="E485" s="14" t="str">
        <f>SUMPRODUCT(LEN(SUBSTITUTE(SUBSTITUTE(SUBSTITUTE(E486:E490," ",""),"0",""),"-",""))+LEN(SUBSTITUTE(SUBSTITUTE(SUBSTITUTE(F486:F490," ",""),"0",""),"-","")))</f>
      </c>
      <c r="F485" s="14" t="str">
        <f>SUMPRODUCT((UPPER(D486:D490)&lt;&gt;"X")*((LEN(SUBSTITUTE(SUBSTITUTE(SUBSTITUTE(E486:E490," ",""),"0",""),"-",""))+LEN(SUBSTITUTE(SUBSTITUTE(SUBSTITUTE(F486:F490," ",""),"0",""),"-","")))&gt;(LEN(SUBSTITUTE(SUBSTITUTE(SUBSTITUTE(B486:B490," ",""),"0",""),"-",""))+LEN(SUBSTITUTE(SUBSTITUTE(SUBSTITUTE(C486:C490," ",""),"0",""),"-",""))))*1)</f>
      </c>
      <c r="G485" s="14" t="str">
        <f>'data'!$B$36</f>
      </c>
      <c r="I485" s="14" t="str">
        <f>'data'!$B$85</f>
      </c>
      <c r="J485" s="14" t="str">
        <f>SUMPRODUCT((UPPER(L486:L490)&lt;&gt;"X")*((LEN(SUBSTITUTE(SUBSTITUTE(SUBSTITUTE(J486:J490," ",""),"0",""),"-",""))+LEN(SUBSTITUTE(SUBSTITUTE(SUBSTITUTE(K486:K490," ",""),"0",""),"-","")))&gt;(LEN(SUBSTITUTE(SUBSTITUTE(SUBSTITUTE(M486:M490," ",""),"0",""),"-",""))+LEN(SUBSTITUTE(SUBSTITUTE(SUBSTITUTE(N486:N490," ",""),"0",""),"-",""))))*1)</f>
      </c>
      <c r="K485" s="14" t="str">
        <f>SUMPRODUCT(LEN(SUBSTITUTE(SUBSTITUTE(SUBSTITUTE(J486:J490," ",""),"0",""),"-",""))+LEN(SUBSTITUTE(SUBSTITUTE(SUBSTITUTE(K486:K490," ",""),"0",""),"-","")))</f>
      </c>
      <c r="L485" s="18"/>
      <c r="M485" s="14" t="str">
        <f>SUMPRODUCT(LEN(SUBSTITUTE(SUBSTITUTE(SUBSTITUTE(M486:M490," ",""),"0",""),"-",""))+LEN(SUBSTITUTE(SUBSTITUTE(SUBSTITUTE(N486:N490," ",""),"0",""),"-","")))</f>
      </c>
      <c r="N485" s="14" t="str">
        <f>SUMPRODUCT((UPPER(L486:L490)&lt;&gt;"X")*((LEN(SUBSTITUTE(SUBSTITUTE(SUBSTITUTE(M486:M490," ",""),"0",""),"-",""))+LEN(SUBSTITUTE(SUBSTITUTE(SUBSTITUTE(N486:N490," ",""),"0",""),"-","")))&gt;(LEN(SUBSTITUTE(SUBSTITUTE(SUBSTITUTE(J486:J490," ",""),"0",""),"-",""))+LEN(SUBSTITUTE(SUBSTITUTE(SUBSTITUTE(K486:K490," ",""),"0",""),"-",""))))*1)</f>
      </c>
      <c r="O485" s="14" t="str">
        <f>'data'!$B$83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239</v>
      </c>
      <c r="B492" s="14"/>
      <c r="C492" s="14"/>
      <c r="D492" s="14" t="s">
        <v>240</v>
      </c>
      <c r="E492" s="14"/>
      <c r="F492" s="14"/>
      <c r="G492" s="16" t="s">
        <v>241</v>
      </c>
      <c r="I492" s="17" t="s">
        <v>239</v>
      </c>
      <c r="J492" s="14"/>
      <c r="K492" s="14"/>
      <c r="L492" s="14" t="s">
        <v>240</v>
      </c>
      <c r="M492" s="14"/>
      <c r="N492" s="14"/>
      <c r="O492" s="16" t="s">
        <v>241</v>
      </c>
    </row>
    <row r="493">
      <c r="A493" s="14" t="str">
        <f>'data'!$B$38</f>
      </c>
      <c r="B493" s="14" t="str">
        <f>SUMPRODUCT((UPPER(D494:D498)&lt;&gt;"X")*((LEN(SUBSTITUTE(SUBSTITUTE(SUBSTITUTE(B494:B498," ",""),"0",""),"-",""))+LEN(SUBSTITUTE(SUBSTITUTE(SUBSTITUTE(C494:C498," ",""),"0",""),"-","")))&gt;(LEN(SUBSTITUTE(SUBSTITUTE(SUBSTITUTE(E494:E498," ",""),"0",""),"-",""))+LEN(SUBSTITUTE(SUBSTITUTE(SUBSTITUTE(F494:F498," ",""),"0",""),"-",""))))*1)</f>
      </c>
      <c r="C493" s="14" t="str">
        <f>SUMPRODUCT(LEN(SUBSTITUTE(SUBSTITUTE(SUBSTITUTE(B494:B498," ",""),"0",""),"-",""))+LEN(SUBSTITUTE(SUBSTITUTE(SUBSTITUTE(C494:C498," ",""),"0",""),"-","")))</f>
      </c>
      <c r="D493" s="18"/>
      <c r="E493" s="14" t="str">
        <f>SUMPRODUCT(LEN(SUBSTITUTE(SUBSTITUTE(SUBSTITUTE(E494:E498," ",""),"0",""),"-",""))+LEN(SUBSTITUTE(SUBSTITUTE(SUBSTITUTE(F494:F498," ",""),"0",""),"-","")))</f>
      </c>
      <c r="F493" s="14" t="str">
        <f>SUMPRODUCT((UPPER(D494:D498)&lt;&gt;"X")*((LEN(SUBSTITUTE(SUBSTITUTE(SUBSTITUTE(E494:E498," ",""),"0",""),"-",""))+LEN(SUBSTITUTE(SUBSTITUTE(SUBSTITUTE(F494:F498," ",""),"0",""),"-","")))&gt;(LEN(SUBSTITUTE(SUBSTITUTE(SUBSTITUTE(B494:B498," ",""),"0",""),"-",""))+LEN(SUBSTITUTE(SUBSTITUTE(SUBSTITUTE(C494:C498," ",""),"0",""),"-",""))))*1)</f>
      </c>
      <c r="G493" s="14" t="str">
        <f>'data'!$B$37</f>
      </c>
      <c r="I493" s="14" t="str">
        <f>'data'!$B$85</f>
      </c>
      <c r="J493" s="14" t="str">
        <f>SUMPRODUCT((UPPER(L494:L498)&lt;&gt;"X")*((LEN(SUBSTITUTE(SUBSTITUTE(SUBSTITUTE(J494:J498," ",""),"0",""),"-",""))+LEN(SUBSTITUTE(SUBSTITUTE(SUBSTITUTE(K494:K498," ",""),"0",""),"-","")))&gt;(LEN(SUBSTITUTE(SUBSTITUTE(SUBSTITUTE(M494:M498," ",""),"0",""),"-",""))+LEN(SUBSTITUTE(SUBSTITUTE(SUBSTITUTE(N494:N498," ",""),"0",""),"-",""))))*1)</f>
      </c>
      <c r="K493" s="14" t="str">
        <f>SUMPRODUCT(LEN(SUBSTITUTE(SUBSTITUTE(SUBSTITUTE(J494:J498," ",""),"0",""),"-",""))+LEN(SUBSTITUTE(SUBSTITUTE(SUBSTITUTE(K494:K498," ",""),"0",""),"-","")))</f>
      </c>
      <c r="L493" s="18"/>
      <c r="M493" s="14" t="str">
        <f>SUMPRODUCT(LEN(SUBSTITUTE(SUBSTITUTE(SUBSTITUTE(M494:M498," ",""),"0",""),"-",""))+LEN(SUBSTITUTE(SUBSTITUTE(SUBSTITUTE(N494:N498," ",""),"0",""),"-","")))</f>
      </c>
      <c r="N493" s="14" t="str">
        <f>SUMPRODUCT((UPPER(L494:L498)&lt;&gt;"X")*((LEN(SUBSTITUTE(SUBSTITUTE(SUBSTITUTE(M494:M498," ",""),"0",""),"-",""))+LEN(SUBSTITUTE(SUBSTITUTE(SUBSTITUTE(N494:N498," ",""),"0",""),"-","")))&gt;(LEN(SUBSTITUTE(SUBSTITUTE(SUBSTITUTE(J494:J498," ",""),"0",""),"-",""))+LEN(SUBSTITUTE(SUBSTITUTE(SUBSTITUTE(K494:K498," ",""),"0",""),"-",""))))*1)</f>
      </c>
      <c r="O493" s="14" t="str">
        <f>'data'!$B$84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242</v>
      </c>
      <c r="B501" s="13" t="s">
        <v>243</v>
      </c>
      <c r="C501" s="13" t="s">
        <v>244</v>
      </c>
      <c r="D501" s="13" t="s">
        <v>245</v>
      </c>
      <c r="E501" s="13"/>
      <c r="F501" s="13"/>
      <c r="G501" s="13" t="s">
        <v>246</v>
      </c>
      <c r="I501" s="13" t="s">
        <v>242</v>
      </c>
      <c r="J501" s="13" t="s">
        <v>243</v>
      </c>
      <c r="K501" s="13" t="s">
        <v>244</v>
      </c>
      <c r="L501" s="13" t="s">
        <v>245</v>
      </c>
      <c r="M501" s="13"/>
      <c r="N501" s="13"/>
      <c r="O501" s="13" t="s">
        <v>246</v>
      </c>
    </row>
    <row r="502">
      <c r="A502" s="14" t="str">
        <f>'data'!$B$36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247</v>
      </c>
      <c r="C506" s="13" t="s">
        <v>248</v>
      </c>
      <c r="D506" s="13" t="s">
        <v>249</v>
      </c>
      <c r="E506" s="13" t="s">
        <v>250</v>
      </c>
      <c r="F506" s="13" t="s">
        <v>251</v>
      </c>
      <c r="I506" s="13"/>
      <c r="J506" s="13" t="s">
        <v>247</v>
      </c>
      <c r="K506" s="13" t="s">
        <v>248</v>
      </c>
      <c r="L506" s="13" t="s">
        <v>249</v>
      </c>
      <c r="M506" s="13" t="s">
        <v>250</v>
      </c>
      <c r="N506" s="13" t="s">
        <v>251</v>
      </c>
    </row>
    <row r="507">
      <c r="A507" s="14" t="str">
        <f>'data'!$B$36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252</v>
      </c>
      <c r="N512" s="13"/>
      <c r="O512" s="13" t="s">
        <v>252</v>
      </c>
    </row>
    <row r="513">
      <c r="F513" t="s">
        <v>253</v>
      </c>
      <c r="G513" s="19" t="str">
        <f>IFERROR(INDEX($A$502:$A$509, MATCH(1, $G$502:$G$509, 0)), "-")</f>
      </c>
      <c r="N513" t="s">
        <v>253</v>
      </c>
      <c r="O513" s="19" t="str">
        <f>IFERROR(INDEX($I$502:$I$509, MATCH(1, $O$502:$O$509, 0)), "-")</f>
      </c>
    </row>
    <row r="514">
      <c r="F514" t="s">
        <v>254</v>
      </c>
      <c r="G514" s="19" t="str">
        <f>IFERROR(INDEX($A$502:$A$509, MATCH(2, $G$502:$G$509, 0)), "-")</f>
      </c>
      <c r="N514" t="s">
        <v>254</v>
      </c>
      <c r="O514" s="19" t="str">
        <f>IFERROR(INDEX($I$502:$I$509, MATCH(2, $O$502:$O$509, 0)), "-")</f>
      </c>
    </row>
    <row r="515">
      <c r="F515" t="s">
        <v>255</v>
      </c>
      <c r="G515" s="19" t="str">
        <f>IFERROR(INDEX($A$502:$A$509, MATCH(3, $G$502:$G$509, 0)), "-")</f>
      </c>
      <c r="N515" t="s">
        <v>255</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239</v>
      </c>
      <c r="B519" s="14"/>
      <c r="C519" s="14"/>
      <c r="D519" s="14" t="s">
        <v>240</v>
      </c>
      <c r="E519" s="14"/>
      <c r="F519" s="14"/>
      <c r="G519" s="16" t="s">
        <v>241</v>
      </c>
      <c r="I519" s="17" t="s">
        <v>239</v>
      </c>
      <c r="J519" s="14"/>
      <c r="K519" s="14"/>
      <c r="L519" s="14" t="s">
        <v>240</v>
      </c>
      <c r="M519" s="14"/>
      <c r="N519" s="14"/>
      <c r="O519" s="16" t="s">
        <v>241</v>
      </c>
    </row>
    <row r="520">
      <c r="A520" s="14" t="str">
        <f>'data'!$B$40</f>
      </c>
      <c r="B520" s="14" t="str">
        <f>SUMPRODUCT((UPPER(D521:D525)&lt;&gt;"X")*((LEN(SUBSTITUTE(SUBSTITUTE(SUBSTITUTE(B521:B525," ",""),"0",""),"-",""))+LEN(SUBSTITUTE(SUBSTITUTE(SUBSTITUTE(C521:C525," ",""),"0",""),"-","")))&gt;(LEN(SUBSTITUTE(SUBSTITUTE(SUBSTITUTE(E521:E525," ",""),"0",""),"-",""))+LEN(SUBSTITUTE(SUBSTITUTE(SUBSTITUTE(F521:F525," ",""),"0",""),"-",""))))*1)</f>
      </c>
      <c r="C520" s="14" t="str">
        <f>SUMPRODUCT(LEN(SUBSTITUTE(SUBSTITUTE(SUBSTITUTE(B521:B525," ",""),"0",""),"-",""))+LEN(SUBSTITUTE(SUBSTITUTE(SUBSTITUTE(C521:C525," ",""),"0",""),"-","")))</f>
      </c>
      <c r="D520" s="18"/>
      <c r="E520" s="14" t="str">
        <f>SUMPRODUCT(LEN(SUBSTITUTE(SUBSTITUTE(SUBSTITUTE(E521:E525," ",""),"0",""),"-",""))+LEN(SUBSTITUTE(SUBSTITUTE(SUBSTITUTE(F521:F525," ",""),"0",""),"-","")))</f>
      </c>
      <c r="F520" s="14" t="str">
        <f>SUMPRODUCT((UPPER(D521:D525)&lt;&gt;"X")*((LEN(SUBSTITUTE(SUBSTITUTE(SUBSTITUTE(E521:E525," ",""),"0",""),"-",""))+LEN(SUBSTITUTE(SUBSTITUTE(SUBSTITUTE(F521:F525," ",""),"0",""),"-","")))&gt;(LEN(SUBSTITUTE(SUBSTITUTE(SUBSTITUTE(B521:B525," ",""),"0",""),"-",""))+LEN(SUBSTITUTE(SUBSTITUTE(SUBSTITUTE(C521:C525," ",""),"0",""),"-",""))))*1)</f>
      </c>
      <c r="G520" s="14" t="str">
        <f>'data'!$B$39</f>
      </c>
      <c r="I520" s="14" t="str">
        <f>'data'!$B$87</f>
      </c>
      <c r="J520" s="14" t="str">
        <f>SUMPRODUCT((UPPER(L521:L525)&lt;&gt;"X")*((LEN(SUBSTITUTE(SUBSTITUTE(SUBSTITUTE(J521:J525," ",""),"0",""),"-",""))+LEN(SUBSTITUTE(SUBSTITUTE(SUBSTITUTE(K521:K525," ",""),"0",""),"-","")))&gt;(LEN(SUBSTITUTE(SUBSTITUTE(SUBSTITUTE(M521:M525," ",""),"0",""),"-",""))+LEN(SUBSTITUTE(SUBSTITUTE(SUBSTITUTE(N521:N525," ",""),"0",""),"-",""))))*1)</f>
      </c>
      <c r="K520" s="14" t="str">
        <f>SUMPRODUCT(LEN(SUBSTITUTE(SUBSTITUTE(SUBSTITUTE(J521:J525," ",""),"0",""),"-",""))+LEN(SUBSTITUTE(SUBSTITUTE(SUBSTITUTE(K521:K525," ",""),"0",""),"-","")))</f>
      </c>
      <c r="L520" s="18"/>
      <c r="M520" s="14" t="str">
        <f>SUMPRODUCT(LEN(SUBSTITUTE(SUBSTITUTE(SUBSTITUTE(M521:M525," ",""),"0",""),"-",""))+LEN(SUBSTITUTE(SUBSTITUTE(SUBSTITUTE(N521:N525," ",""),"0",""),"-","")))</f>
      </c>
      <c r="N520" s="14" t="str">
        <f>SUMPRODUCT((UPPER(L521:L525)&lt;&gt;"X")*((LEN(SUBSTITUTE(SUBSTITUTE(SUBSTITUTE(M521:M525," ",""),"0",""),"-",""))+LEN(SUBSTITUTE(SUBSTITUTE(SUBSTITUTE(N521:N525," ",""),"0",""),"-","")))&gt;(LEN(SUBSTITUTE(SUBSTITUTE(SUBSTITUTE(J521:J525," ",""),"0",""),"-",""))+LEN(SUBSTITUTE(SUBSTITUTE(SUBSTITUTE(K521:K525," ",""),"0",""),"-",""))))*1)</f>
      </c>
      <c r="O520" s="14" t="str">
        <f>'data'!$B$86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239</v>
      </c>
      <c r="B527" s="14"/>
      <c r="C527" s="14"/>
      <c r="D527" s="14" t="s">
        <v>240</v>
      </c>
      <c r="E527" s="14"/>
      <c r="F527" s="14"/>
      <c r="G527" s="16" t="s">
        <v>241</v>
      </c>
      <c r="I527" s="17" t="s">
        <v>239</v>
      </c>
      <c r="J527" s="14"/>
      <c r="K527" s="14"/>
      <c r="L527" s="14" t="s">
        <v>240</v>
      </c>
      <c r="M527" s="14"/>
      <c r="N527" s="14"/>
      <c r="O527" s="16" t="s">
        <v>241</v>
      </c>
    </row>
    <row r="528">
      <c r="A528" s="14" t="str">
        <f>'data'!$B$41</f>
      </c>
      <c r="B528" s="14" t="str">
        <f>SUMPRODUCT((UPPER(D529:D533)&lt;&gt;"X")*((LEN(SUBSTITUTE(SUBSTITUTE(SUBSTITUTE(B529:B533," ",""),"0",""),"-",""))+LEN(SUBSTITUTE(SUBSTITUTE(SUBSTITUTE(C529:C533," ",""),"0",""),"-","")))&gt;(LEN(SUBSTITUTE(SUBSTITUTE(SUBSTITUTE(E529:E533," ",""),"0",""),"-",""))+LEN(SUBSTITUTE(SUBSTITUTE(SUBSTITUTE(F529:F533," ",""),"0",""),"-",""))))*1)</f>
      </c>
      <c r="C528" s="14" t="str">
        <f>SUMPRODUCT(LEN(SUBSTITUTE(SUBSTITUTE(SUBSTITUTE(B529:B533," ",""),"0",""),"-",""))+LEN(SUBSTITUTE(SUBSTITUTE(SUBSTITUTE(C529:C533," ",""),"0",""),"-","")))</f>
      </c>
      <c r="D528" s="18"/>
      <c r="E528" s="14" t="str">
        <f>SUMPRODUCT(LEN(SUBSTITUTE(SUBSTITUTE(SUBSTITUTE(E529:E533," ",""),"0",""),"-",""))+LEN(SUBSTITUTE(SUBSTITUTE(SUBSTITUTE(F529:F533," ",""),"0",""),"-","")))</f>
      </c>
      <c r="F528" s="14" t="str">
        <f>SUMPRODUCT((UPPER(D529:D533)&lt;&gt;"X")*((LEN(SUBSTITUTE(SUBSTITUTE(SUBSTITUTE(E529:E533," ",""),"0",""),"-",""))+LEN(SUBSTITUTE(SUBSTITUTE(SUBSTITUTE(F529:F533," ",""),"0",""),"-","")))&gt;(LEN(SUBSTITUTE(SUBSTITUTE(SUBSTITUTE(B529:B533," ",""),"0",""),"-",""))+LEN(SUBSTITUTE(SUBSTITUTE(SUBSTITUTE(C529:C533," ",""),"0",""),"-",""))))*1)</f>
      </c>
      <c r="G528" s="14" t="str">
        <f>'data'!$B$39</f>
      </c>
      <c r="I528" s="14" t="str">
        <f>'data'!$B$88</f>
      </c>
      <c r="J528" s="14" t="str">
        <f>SUMPRODUCT((UPPER(L529:L533)&lt;&gt;"X")*((LEN(SUBSTITUTE(SUBSTITUTE(SUBSTITUTE(J529:J533," ",""),"0",""),"-",""))+LEN(SUBSTITUTE(SUBSTITUTE(SUBSTITUTE(K529:K533," ",""),"0",""),"-","")))&gt;(LEN(SUBSTITUTE(SUBSTITUTE(SUBSTITUTE(M529:M533," ",""),"0",""),"-",""))+LEN(SUBSTITUTE(SUBSTITUTE(SUBSTITUTE(N529:N533," ",""),"0",""),"-",""))))*1)</f>
      </c>
      <c r="K528" s="14" t="str">
        <f>SUMPRODUCT(LEN(SUBSTITUTE(SUBSTITUTE(SUBSTITUTE(J529:J533," ",""),"0",""),"-",""))+LEN(SUBSTITUTE(SUBSTITUTE(SUBSTITUTE(K529:K533," ",""),"0",""),"-","")))</f>
      </c>
      <c r="L528" s="18"/>
      <c r="M528" s="14" t="str">
        <f>SUMPRODUCT(LEN(SUBSTITUTE(SUBSTITUTE(SUBSTITUTE(M529:M533," ",""),"0",""),"-",""))+LEN(SUBSTITUTE(SUBSTITUTE(SUBSTITUTE(N529:N533," ",""),"0",""),"-","")))</f>
      </c>
      <c r="N528" s="14" t="str">
        <f>SUMPRODUCT((UPPER(L529:L533)&lt;&gt;"X")*((LEN(SUBSTITUTE(SUBSTITUTE(SUBSTITUTE(M529:M533," ",""),"0",""),"-",""))+LEN(SUBSTITUTE(SUBSTITUTE(SUBSTITUTE(N529:N533," ",""),"0",""),"-","")))&gt;(LEN(SUBSTITUTE(SUBSTITUTE(SUBSTITUTE(J529:J533," ",""),"0",""),"-",""))+LEN(SUBSTITUTE(SUBSTITUTE(SUBSTITUTE(K529:K533," ",""),"0",""),"-",""))))*1)</f>
      </c>
      <c r="O528" s="14" t="str">
        <f>'data'!$B$86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239</v>
      </c>
      <c r="B535" s="14"/>
      <c r="C535" s="14"/>
      <c r="D535" s="14" t="s">
        <v>240</v>
      </c>
      <c r="E535" s="14"/>
      <c r="F535" s="14"/>
      <c r="G535" s="16" t="s">
        <v>241</v>
      </c>
      <c r="I535" s="17" t="s">
        <v>239</v>
      </c>
      <c r="J535" s="14"/>
      <c r="K535" s="14"/>
      <c r="L535" s="14" t="s">
        <v>240</v>
      </c>
      <c r="M535" s="14"/>
      <c r="N535" s="14"/>
      <c r="O535" s="16" t="s">
        <v>241</v>
      </c>
    </row>
    <row r="536">
      <c r="A536" s="14" t="str">
        <f>'data'!$B$41</f>
      </c>
      <c r="B536" s="14" t="str">
        <f>SUMPRODUCT((UPPER(D537:D541)&lt;&gt;"X")*((LEN(SUBSTITUTE(SUBSTITUTE(SUBSTITUTE(B537:B541," ",""),"0",""),"-",""))+LEN(SUBSTITUTE(SUBSTITUTE(SUBSTITUTE(C537:C541," ",""),"0",""),"-","")))&gt;(LEN(SUBSTITUTE(SUBSTITUTE(SUBSTITUTE(E537:E541," ",""),"0",""),"-",""))+LEN(SUBSTITUTE(SUBSTITUTE(SUBSTITUTE(F537:F541," ",""),"0",""),"-",""))))*1)</f>
      </c>
      <c r="C536" s="14" t="str">
        <f>SUMPRODUCT(LEN(SUBSTITUTE(SUBSTITUTE(SUBSTITUTE(B537:B541," ",""),"0",""),"-",""))+LEN(SUBSTITUTE(SUBSTITUTE(SUBSTITUTE(C537:C541," ",""),"0",""),"-","")))</f>
      </c>
      <c r="D536" s="18"/>
      <c r="E536" s="14" t="str">
        <f>SUMPRODUCT(LEN(SUBSTITUTE(SUBSTITUTE(SUBSTITUTE(E537:E541," ",""),"0",""),"-",""))+LEN(SUBSTITUTE(SUBSTITUTE(SUBSTITUTE(F537:F541," ",""),"0",""),"-","")))</f>
      </c>
      <c r="F536" s="14" t="str">
        <f>SUMPRODUCT((UPPER(D537:D541)&lt;&gt;"X")*((LEN(SUBSTITUTE(SUBSTITUTE(SUBSTITUTE(E537:E541," ",""),"0",""),"-",""))+LEN(SUBSTITUTE(SUBSTITUTE(SUBSTITUTE(F537:F541," ",""),"0",""),"-","")))&gt;(LEN(SUBSTITUTE(SUBSTITUTE(SUBSTITUTE(B537:B541," ",""),"0",""),"-",""))+LEN(SUBSTITUTE(SUBSTITUTE(SUBSTITUTE(C537:C541," ",""),"0",""),"-",""))))*1)</f>
      </c>
      <c r="G536" s="14" t="str">
        <f>'data'!$B$40</f>
      </c>
      <c r="I536" s="14" t="str">
        <f>'data'!$B$88</f>
      </c>
      <c r="J536" s="14" t="str">
        <f>SUMPRODUCT((UPPER(L537:L541)&lt;&gt;"X")*((LEN(SUBSTITUTE(SUBSTITUTE(SUBSTITUTE(J537:J541," ",""),"0",""),"-",""))+LEN(SUBSTITUTE(SUBSTITUTE(SUBSTITUTE(K537:K541," ",""),"0",""),"-","")))&gt;(LEN(SUBSTITUTE(SUBSTITUTE(SUBSTITUTE(M537:M541," ",""),"0",""),"-",""))+LEN(SUBSTITUTE(SUBSTITUTE(SUBSTITUTE(N537:N541," ",""),"0",""),"-",""))))*1)</f>
      </c>
      <c r="K536" s="14" t="str">
        <f>SUMPRODUCT(LEN(SUBSTITUTE(SUBSTITUTE(SUBSTITUTE(J537:J541," ",""),"0",""),"-",""))+LEN(SUBSTITUTE(SUBSTITUTE(SUBSTITUTE(K537:K541," ",""),"0",""),"-","")))</f>
      </c>
      <c r="L536" s="18"/>
      <c r="M536" s="14" t="str">
        <f>SUMPRODUCT(LEN(SUBSTITUTE(SUBSTITUTE(SUBSTITUTE(M537:M541," ",""),"0",""),"-",""))+LEN(SUBSTITUTE(SUBSTITUTE(SUBSTITUTE(N537:N541," ",""),"0",""),"-","")))</f>
      </c>
      <c r="N536" s="14" t="str">
        <f>SUMPRODUCT((UPPER(L537:L541)&lt;&gt;"X")*((LEN(SUBSTITUTE(SUBSTITUTE(SUBSTITUTE(M537:M541," ",""),"0",""),"-",""))+LEN(SUBSTITUTE(SUBSTITUTE(SUBSTITUTE(N537:N541," ",""),"0",""),"-","")))&gt;(LEN(SUBSTITUTE(SUBSTITUTE(SUBSTITUTE(J537:J541," ",""),"0",""),"-",""))+LEN(SUBSTITUTE(SUBSTITUTE(SUBSTITUTE(K537:K541," ",""),"0",""),"-",""))))*1)</f>
      </c>
      <c r="O536" s="14" t="str">
        <f>'data'!$B$87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242</v>
      </c>
      <c r="B544" s="13" t="s">
        <v>243</v>
      </c>
      <c r="C544" s="13" t="s">
        <v>244</v>
      </c>
      <c r="D544" s="13" t="s">
        <v>245</v>
      </c>
      <c r="E544" s="13"/>
      <c r="F544" s="13"/>
      <c r="G544" s="13" t="s">
        <v>246</v>
      </c>
      <c r="I544" s="13" t="s">
        <v>242</v>
      </c>
      <c r="J544" s="13" t="s">
        <v>243</v>
      </c>
      <c r="K544" s="13" t="s">
        <v>244</v>
      </c>
      <c r="L544" s="13" t="s">
        <v>245</v>
      </c>
      <c r="M544" s="13"/>
      <c r="N544" s="13"/>
      <c r="O544" s="13" t="s">
        <v>246</v>
      </c>
    </row>
    <row r="545">
      <c r="A545" s="14" t="str">
        <f>'data'!$B$39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247</v>
      </c>
      <c r="C549" s="13" t="s">
        <v>248</v>
      </c>
      <c r="D549" s="13" t="s">
        <v>249</v>
      </c>
      <c r="E549" s="13" t="s">
        <v>250</v>
      </c>
      <c r="F549" s="13" t="s">
        <v>251</v>
      </c>
      <c r="I549" s="13"/>
      <c r="J549" s="13" t="s">
        <v>247</v>
      </c>
      <c r="K549" s="13" t="s">
        <v>248</v>
      </c>
      <c r="L549" s="13" t="s">
        <v>249</v>
      </c>
      <c r="M549" s="13" t="s">
        <v>250</v>
      </c>
      <c r="N549" s="13" t="s">
        <v>251</v>
      </c>
    </row>
    <row r="550">
      <c r="A550" s="14" t="str">
        <f>'data'!$B$39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252</v>
      </c>
      <c r="N555" s="13"/>
      <c r="O555" s="13" t="s">
        <v>252</v>
      </c>
    </row>
    <row r="556">
      <c r="F556" t="s">
        <v>253</v>
      </c>
      <c r="G556" s="19" t="str">
        <f>IFERROR(INDEX($A$545:$A$552, MATCH(1, $G$545:$G$552, 0)), "-")</f>
      </c>
      <c r="N556" t="s">
        <v>253</v>
      </c>
      <c r="O556" s="19" t="str">
        <f>IFERROR(INDEX($I$545:$I$552, MATCH(1, $O$545:$O$552, 0)), "-")</f>
      </c>
    </row>
    <row r="557">
      <c r="F557" t="s">
        <v>254</v>
      </c>
      <c r="G557" s="19" t="str">
        <f>IFERROR(INDEX($A$545:$A$552, MATCH(2, $G$545:$G$552, 0)), "-")</f>
      </c>
      <c r="N557" t="s">
        <v>254</v>
      </c>
      <c r="O557" s="19" t="str">
        <f>IFERROR(INDEX($I$545:$I$552, MATCH(2, $O$545:$O$552, 0)), "-")</f>
      </c>
    </row>
    <row r="558">
      <c r="F558" t="s">
        <v>255</v>
      </c>
      <c r="G558" s="19" t="str">
        <f>IFERROR(INDEX($A$545:$A$552, MATCH(3, $G$545:$G$552, 0)), "-")</f>
      </c>
      <c r="N558" t="s">
        <v>255</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239</v>
      </c>
      <c r="B562" s="14"/>
      <c r="C562" s="14"/>
      <c r="D562" s="14" t="s">
        <v>240</v>
      </c>
      <c r="E562" s="14"/>
      <c r="F562" s="14"/>
      <c r="G562" s="16" t="s">
        <v>241</v>
      </c>
      <c r="I562" s="17" t="s">
        <v>239</v>
      </c>
      <c r="J562" s="14"/>
      <c r="K562" s="14"/>
      <c r="L562" s="14" t="s">
        <v>240</v>
      </c>
      <c r="M562" s="14"/>
      <c r="N562" s="14"/>
      <c r="O562" s="16" t="s">
        <v>241</v>
      </c>
    </row>
    <row r="563">
      <c r="A563" s="14" t="str">
        <f>'data'!$B$43</f>
      </c>
      <c r="B563" s="14" t="str">
        <f>SUMPRODUCT((UPPER(D564:D568)&lt;&gt;"X")*((LEN(SUBSTITUTE(SUBSTITUTE(SUBSTITUTE(B564:B568," ",""),"0",""),"-",""))+LEN(SUBSTITUTE(SUBSTITUTE(SUBSTITUTE(C564:C568," ",""),"0",""),"-","")))&gt;(LEN(SUBSTITUTE(SUBSTITUTE(SUBSTITUTE(E564:E568," ",""),"0",""),"-",""))+LEN(SUBSTITUTE(SUBSTITUTE(SUBSTITUTE(F564:F568," ",""),"0",""),"-",""))))*1)</f>
      </c>
      <c r="C563" s="14" t="str">
        <f>SUMPRODUCT(LEN(SUBSTITUTE(SUBSTITUTE(SUBSTITUTE(B564:B568," ",""),"0",""),"-",""))+LEN(SUBSTITUTE(SUBSTITUTE(SUBSTITUTE(C564:C568," ",""),"0",""),"-","")))</f>
      </c>
      <c r="D563" s="18"/>
      <c r="E563" s="14" t="str">
        <f>SUMPRODUCT(LEN(SUBSTITUTE(SUBSTITUTE(SUBSTITUTE(E564:E568," ",""),"0",""),"-",""))+LEN(SUBSTITUTE(SUBSTITUTE(SUBSTITUTE(F564:F568," ",""),"0",""),"-","")))</f>
      </c>
      <c r="F563" s="14" t="str">
        <f>SUMPRODUCT((UPPER(D564:D568)&lt;&gt;"X")*((LEN(SUBSTITUTE(SUBSTITUTE(SUBSTITUTE(E564:E568," ",""),"0",""),"-",""))+LEN(SUBSTITUTE(SUBSTITUTE(SUBSTITUTE(F564:F568," ",""),"0",""),"-","")))&gt;(LEN(SUBSTITUTE(SUBSTITUTE(SUBSTITUTE(B564:B568," ",""),"0",""),"-",""))+LEN(SUBSTITUTE(SUBSTITUTE(SUBSTITUTE(C564:C568," ",""),"0",""),"-",""))))*1)</f>
      </c>
      <c r="G563" s="14" t="str">
        <f>'data'!$B$42</f>
      </c>
      <c r="I563" s="14" t="str">
        <f>'data'!$B$90</f>
      </c>
      <c r="J563" s="14" t="str">
        <f>SUMPRODUCT((UPPER(L564:L568)&lt;&gt;"X")*((LEN(SUBSTITUTE(SUBSTITUTE(SUBSTITUTE(J564:J568," ",""),"0",""),"-",""))+LEN(SUBSTITUTE(SUBSTITUTE(SUBSTITUTE(K564:K568," ",""),"0",""),"-","")))&gt;(LEN(SUBSTITUTE(SUBSTITUTE(SUBSTITUTE(M564:M568," ",""),"0",""),"-",""))+LEN(SUBSTITUTE(SUBSTITUTE(SUBSTITUTE(N564:N568," ",""),"0",""),"-",""))))*1)</f>
      </c>
      <c r="K563" s="14" t="str">
        <f>SUMPRODUCT(LEN(SUBSTITUTE(SUBSTITUTE(SUBSTITUTE(J564:J568," ",""),"0",""),"-",""))+LEN(SUBSTITUTE(SUBSTITUTE(SUBSTITUTE(K564:K568," ",""),"0",""),"-","")))</f>
      </c>
      <c r="L563" s="18"/>
      <c r="M563" s="14" t="str">
        <f>SUMPRODUCT(LEN(SUBSTITUTE(SUBSTITUTE(SUBSTITUTE(M564:M568," ",""),"0",""),"-",""))+LEN(SUBSTITUTE(SUBSTITUTE(SUBSTITUTE(N564:N568," ",""),"0",""),"-","")))</f>
      </c>
      <c r="N563" s="14" t="str">
        <f>SUMPRODUCT((UPPER(L564:L568)&lt;&gt;"X")*((LEN(SUBSTITUTE(SUBSTITUTE(SUBSTITUTE(M564:M568," ",""),"0",""),"-",""))+LEN(SUBSTITUTE(SUBSTITUTE(SUBSTITUTE(N564:N568," ",""),"0",""),"-","")))&gt;(LEN(SUBSTITUTE(SUBSTITUTE(SUBSTITUTE(J564:J568," ",""),"0",""),"-",""))+LEN(SUBSTITUTE(SUBSTITUTE(SUBSTITUTE(K564:K568," ",""),"0",""),"-",""))))*1)</f>
      </c>
      <c r="O563" s="14" t="str">
        <f>'data'!$B$89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239</v>
      </c>
      <c r="B570" s="14"/>
      <c r="C570" s="14"/>
      <c r="D570" s="14" t="s">
        <v>240</v>
      </c>
      <c r="E570" s="14"/>
      <c r="F570" s="14"/>
      <c r="G570" s="16" t="s">
        <v>241</v>
      </c>
      <c r="I570" s="17" t="s">
        <v>239</v>
      </c>
      <c r="J570" s="14"/>
      <c r="K570" s="14"/>
      <c r="L570" s="14" t="s">
        <v>240</v>
      </c>
      <c r="M570" s="14"/>
      <c r="N570" s="14"/>
      <c r="O570" s="16" t="s">
        <v>241</v>
      </c>
    </row>
    <row r="571">
      <c r="A571" s="14" t="str">
        <f>'data'!$B$44</f>
      </c>
      <c r="B571" s="14" t="str">
        <f>SUMPRODUCT((UPPER(D572:D576)&lt;&gt;"X")*((LEN(SUBSTITUTE(SUBSTITUTE(SUBSTITUTE(B572:B576," ",""),"0",""),"-",""))+LEN(SUBSTITUTE(SUBSTITUTE(SUBSTITUTE(C572:C576," ",""),"0",""),"-","")))&gt;(LEN(SUBSTITUTE(SUBSTITUTE(SUBSTITUTE(E572:E576," ",""),"0",""),"-",""))+LEN(SUBSTITUTE(SUBSTITUTE(SUBSTITUTE(F572:F576," ",""),"0",""),"-",""))))*1)</f>
      </c>
      <c r="C571" s="14" t="str">
        <f>SUMPRODUCT(LEN(SUBSTITUTE(SUBSTITUTE(SUBSTITUTE(B572:B576," ",""),"0",""),"-",""))+LEN(SUBSTITUTE(SUBSTITUTE(SUBSTITUTE(C572:C576," ",""),"0",""),"-","")))</f>
      </c>
      <c r="D571" s="18"/>
      <c r="E571" s="14" t="str">
        <f>SUMPRODUCT(LEN(SUBSTITUTE(SUBSTITUTE(SUBSTITUTE(E572:E576," ",""),"0",""),"-",""))+LEN(SUBSTITUTE(SUBSTITUTE(SUBSTITUTE(F572:F576," ",""),"0",""),"-","")))</f>
      </c>
      <c r="F571" s="14" t="str">
        <f>SUMPRODUCT((UPPER(D572:D576)&lt;&gt;"X")*((LEN(SUBSTITUTE(SUBSTITUTE(SUBSTITUTE(E572:E576," ",""),"0",""),"-",""))+LEN(SUBSTITUTE(SUBSTITUTE(SUBSTITUTE(F572:F576," ",""),"0",""),"-","")))&gt;(LEN(SUBSTITUTE(SUBSTITUTE(SUBSTITUTE(B572:B576," ",""),"0",""),"-",""))+LEN(SUBSTITUTE(SUBSTITUTE(SUBSTITUTE(C572:C576," ",""),"0",""),"-",""))))*1)</f>
      </c>
      <c r="G571" s="14" t="str">
        <f>'data'!$B$42</f>
      </c>
      <c r="I571" s="14" t="str">
        <f>'data'!$B$91</f>
      </c>
      <c r="J571" s="14" t="str">
        <f>SUMPRODUCT((UPPER(L572:L576)&lt;&gt;"X")*((LEN(SUBSTITUTE(SUBSTITUTE(SUBSTITUTE(J572:J576," ",""),"0",""),"-",""))+LEN(SUBSTITUTE(SUBSTITUTE(SUBSTITUTE(K572:K576," ",""),"0",""),"-","")))&gt;(LEN(SUBSTITUTE(SUBSTITUTE(SUBSTITUTE(M572:M576," ",""),"0",""),"-",""))+LEN(SUBSTITUTE(SUBSTITUTE(SUBSTITUTE(N572:N576," ",""),"0",""),"-",""))))*1)</f>
      </c>
      <c r="K571" s="14" t="str">
        <f>SUMPRODUCT(LEN(SUBSTITUTE(SUBSTITUTE(SUBSTITUTE(J572:J576," ",""),"0",""),"-",""))+LEN(SUBSTITUTE(SUBSTITUTE(SUBSTITUTE(K572:K576," ",""),"0",""),"-","")))</f>
      </c>
      <c r="L571" s="18"/>
      <c r="M571" s="14" t="str">
        <f>SUMPRODUCT(LEN(SUBSTITUTE(SUBSTITUTE(SUBSTITUTE(M572:M576," ",""),"0",""),"-",""))+LEN(SUBSTITUTE(SUBSTITUTE(SUBSTITUTE(N572:N576," ",""),"0",""),"-","")))</f>
      </c>
      <c r="N571" s="14" t="str">
        <f>SUMPRODUCT((UPPER(L572:L576)&lt;&gt;"X")*((LEN(SUBSTITUTE(SUBSTITUTE(SUBSTITUTE(M572:M576," ",""),"0",""),"-",""))+LEN(SUBSTITUTE(SUBSTITUTE(SUBSTITUTE(N572:N576," ",""),"0",""),"-","")))&gt;(LEN(SUBSTITUTE(SUBSTITUTE(SUBSTITUTE(J572:J576," ",""),"0",""),"-",""))+LEN(SUBSTITUTE(SUBSTITUTE(SUBSTITUTE(K572:K576," ",""),"0",""),"-",""))))*1)</f>
      </c>
      <c r="O571" s="14" t="str">
        <f>'data'!$B$89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239</v>
      </c>
      <c r="B578" s="14"/>
      <c r="C578" s="14"/>
      <c r="D578" s="14" t="s">
        <v>240</v>
      </c>
      <c r="E578" s="14"/>
      <c r="F578" s="14"/>
      <c r="G578" s="16" t="s">
        <v>241</v>
      </c>
      <c r="I578" s="17" t="s">
        <v>239</v>
      </c>
      <c r="J578" s="14"/>
      <c r="K578" s="14"/>
      <c r="L578" s="14" t="s">
        <v>240</v>
      </c>
      <c r="M578" s="14"/>
      <c r="N578" s="14"/>
      <c r="O578" s="16" t="s">
        <v>241</v>
      </c>
    </row>
    <row r="579">
      <c r="A579" s="14" t="str">
        <f>'data'!$B$44</f>
      </c>
      <c r="B579" s="14" t="str">
        <f>SUMPRODUCT((UPPER(D580:D584)&lt;&gt;"X")*((LEN(SUBSTITUTE(SUBSTITUTE(SUBSTITUTE(B580:B584," ",""),"0",""),"-",""))+LEN(SUBSTITUTE(SUBSTITUTE(SUBSTITUTE(C580:C584," ",""),"0",""),"-","")))&gt;(LEN(SUBSTITUTE(SUBSTITUTE(SUBSTITUTE(E580:E584," ",""),"0",""),"-",""))+LEN(SUBSTITUTE(SUBSTITUTE(SUBSTITUTE(F580:F584," ",""),"0",""),"-",""))))*1)</f>
      </c>
      <c r="C579" s="14" t="str">
        <f>SUMPRODUCT(LEN(SUBSTITUTE(SUBSTITUTE(SUBSTITUTE(B580:B584," ",""),"0",""),"-",""))+LEN(SUBSTITUTE(SUBSTITUTE(SUBSTITUTE(C580:C584," ",""),"0",""),"-","")))</f>
      </c>
      <c r="D579" s="18"/>
      <c r="E579" s="14" t="str">
        <f>SUMPRODUCT(LEN(SUBSTITUTE(SUBSTITUTE(SUBSTITUTE(E580:E584," ",""),"0",""),"-",""))+LEN(SUBSTITUTE(SUBSTITUTE(SUBSTITUTE(F580:F584," ",""),"0",""),"-","")))</f>
      </c>
      <c r="F579" s="14" t="str">
        <f>SUMPRODUCT((UPPER(D580:D584)&lt;&gt;"X")*((LEN(SUBSTITUTE(SUBSTITUTE(SUBSTITUTE(E580:E584," ",""),"0",""),"-",""))+LEN(SUBSTITUTE(SUBSTITUTE(SUBSTITUTE(F580:F584," ",""),"0",""),"-","")))&gt;(LEN(SUBSTITUTE(SUBSTITUTE(SUBSTITUTE(B580:B584," ",""),"0",""),"-",""))+LEN(SUBSTITUTE(SUBSTITUTE(SUBSTITUTE(C580:C584," ",""),"0",""),"-",""))))*1)</f>
      </c>
      <c r="G579" s="14" t="str">
        <f>'data'!$B$43</f>
      </c>
      <c r="I579" s="14" t="str">
        <f>'data'!$B$91</f>
      </c>
      <c r="J579" s="14" t="str">
        <f>SUMPRODUCT((UPPER(L580:L584)&lt;&gt;"X")*((LEN(SUBSTITUTE(SUBSTITUTE(SUBSTITUTE(J580:J584," ",""),"0",""),"-",""))+LEN(SUBSTITUTE(SUBSTITUTE(SUBSTITUTE(K580:K584," ",""),"0",""),"-","")))&gt;(LEN(SUBSTITUTE(SUBSTITUTE(SUBSTITUTE(M580:M584," ",""),"0",""),"-",""))+LEN(SUBSTITUTE(SUBSTITUTE(SUBSTITUTE(N580:N584," ",""),"0",""),"-",""))))*1)</f>
      </c>
      <c r="K579" s="14" t="str">
        <f>SUMPRODUCT(LEN(SUBSTITUTE(SUBSTITUTE(SUBSTITUTE(J580:J584," ",""),"0",""),"-",""))+LEN(SUBSTITUTE(SUBSTITUTE(SUBSTITUTE(K580:K584," ",""),"0",""),"-","")))</f>
      </c>
      <c r="L579" s="18"/>
      <c r="M579" s="14" t="str">
        <f>SUMPRODUCT(LEN(SUBSTITUTE(SUBSTITUTE(SUBSTITUTE(M580:M584," ",""),"0",""),"-",""))+LEN(SUBSTITUTE(SUBSTITUTE(SUBSTITUTE(N580:N584," ",""),"0",""),"-","")))</f>
      </c>
      <c r="N579" s="14" t="str">
        <f>SUMPRODUCT((UPPER(L580:L584)&lt;&gt;"X")*((LEN(SUBSTITUTE(SUBSTITUTE(SUBSTITUTE(M580:M584," ",""),"0",""),"-",""))+LEN(SUBSTITUTE(SUBSTITUTE(SUBSTITUTE(N580:N584," ",""),"0",""),"-","")))&gt;(LEN(SUBSTITUTE(SUBSTITUTE(SUBSTITUTE(J580:J584," ",""),"0",""),"-",""))+LEN(SUBSTITUTE(SUBSTITUTE(SUBSTITUTE(K580:K584," ",""),"0",""),"-",""))))*1)</f>
      </c>
      <c r="O579" s="14" t="str">
        <f>'data'!$B$90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242</v>
      </c>
      <c r="B587" s="13" t="s">
        <v>243</v>
      </c>
      <c r="C587" s="13" t="s">
        <v>244</v>
      </c>
      <c r="D587" s="13" t="s">
        <v>245</v>
      </c>
      <c r="E587" s="13"/>
      <c r="F587" s="13"/>
      <c r="G587" s="13" t="s">
        <v>246</v>
      </c>
      <c r="I587" s="13" t="s">
        <v>242</v>
      </c>
      <c r="J587" s="13" t="s">
        <v>243</v>
      </c>
      <c r="K587" s="13" t="s">
        <v>244</v>
      </c>
      <c r="L587" s="13" t="s">
        <v>245</v>
      </c>
      <c r="M587" s="13"/>
      <c r="N587" s="13"/>
      <c r="O587" s="13" t="s">
        <v>246</v>
      </c>
    </row>
    <row r="588">
      <c r="A588" s="14" t="str">
        <f>'data'!$B$42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247</v>
      </c>
      <c r="C592" s="13" t="s">
        <v>248</v>
      </c>
      <c r="D592" s="13" t="s">
        <v>249</v>
      </c>
      <c r="E592" s="13" t="s">
        <v>250</v>
      </c>
      <c r="F592" s="13" t="s">
        <v>251</v>
      </c>
      <c r="I592" s="13"/>
      <c r="J592" s="13" t="s">
        <v>247</v>
      </c>
      <c r="K592" s="13" t="s">
        <v>248</v>
      </c>
      <c r="L592" s="13" t="s">
        <v>249</v>
      </c>
      <c r="M592" s="13" t="s">
        <v>250</v>
      </c>
      <c r="N592" s="13" t="s">
        <v>251</v>
      </c>
    </row>
    <row r="593">
      <c r="A593" s="14" t="str">
        <f>'data'!$B$42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252</v>
      </c>
      <c r="N598" s="13"/>
      <c r="O598" s="13" t="s">
        <v>252</v>
      </c>
    </row>
    <row r="599">
      <c r="F599" t="s">
        <v>253</v>
      </c>
      <c r="G599" s="19" t="str">
        <f>IFERROR(INDEX($A$588:$A$595, MATCH(1, $G$588:$G$595, 0)), "-")</f>
      </c>
      <c r="N599" t="s">
        <v>253</v>
      </c>
      <c r="O599" s="19" t="str">
        <f>IFERROR(INDEX($I$588:$I$595, MATCH(1, $O$588:$O$595, 0)), "-")</f>
      </c>
    </row>
    <row r="600">
      <c r="F600" t="s">
        <v>254</v>
      </c>
      <c r="G600" s="19" t="str">
        <f>IFERROR(INDEX($A$588:$A$595, MATCH(2, $G$588:$G$595, 0)), "-")</f>
      </c>
      <c r="N600" t="s">
        <v>254</v>
      </c>
      <c r="O600" s="19" t="str">
        <f>IFERROR(INDEX($I$588:$I$595, MATCH(2, $O$588:$O$595, 0)), "-")</f>
      </c>
    </row>
    <row r="601">
      <c r="F601" t="s">
        <v>255</v>
      </c>
      <c r="G601" s="19" t="str">
        <f>IFERROR(INDEX($A$588:$A$595, MATCH(3, $G$588:$G$595, 0)), "-")</f>
      </c>
      <c r="N601" t="s">
        <v>255</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239</v>
      </c>
      <c r="B605" s="14"/>
      <c r="C605" s="14"/>
      <c r="D605" s="14" t="s">
        <v>240</v>
      </c>
      <c r="E605" s="14"/>
      <c r="F605" s="14"/>
      <c r="G605" s="16" t="s">
        <v>241</v>
      </c>
      <c r="I605" s="17" t="s">
        <v>239</v>
      </c>
      <c r="J605" s="14"/>
      <c r="K605" s="14"/>
      <c r="L605" s="14" t="s">
        <v>240</v>
      </c>
      <c r="M605" s="14"/>
      <c r="N605" s="14"/>
      <c r="O605" s="16" t="s">
        <v>241</v>
      </c>
    </row>
    <row r="606">
      <c r="A606" s="14" t="str">
        <f>'data'!$B$46</f>
      </c>
      <c r="B606" s="14" t="str">
        <f>SUMPRODUCT((UPPER(D607:D611)&lt;&gt;"X")*((LEN(SUBSTITUTE(SUBSTITUTE(SUBSTITUTE(B607:B611," ",""),"0",""),"-",""))+LEN(SUBSTITUTE(SUBSTITUTE(SUBSTITUTE(C607:C611," ",""),"0",""),"-","")))&gt;(LEN(SUBSTITUTE(SUBSTITUTE(SUBSTITUTE(E607:E611," ",""),"0",""),"-",""))+LEN(SUBSTITUTE(SUBSTITUTE(SUBSTITUTE(F607:F611," ",""),"0",""),"-",""))))*1)</f>
      </c>
      <c r="C606" s="14" t="str">
        <f>SUMPRODUCT(LEN(SUBSTITUTE(SUBSTITUTE(SUBSTITUTE(B607:B611," ",""),"0",""),"-",""))+LEN(SUBSTITUTE(SUBSTITUTE(SUBSTITUTE(C607:C611," ",""),"0",""),"-","")))</f>
      </c>
      <c r="D606" s="18"/>
      <c r="E606" s="14" t="str">
        <f>SUMPRODUCT(LEN(SUBSTITUTE(SUBSTITUTE(SUBSTITUTE(E607:E611," ",""),"0",""),"-",""))+LEN(SUBSTITUTE(SUBSTITUTE(SUBSTITUTE(F607:F611," ",""),"0",""),"-","")))</f>
      </c>
      <c r="F606" s="14" t="str">
        <f>SUMPRODUCT((UPPER(D607:D611)&lt;&gt;"X")*((LEN(SUBSTITUTE(SUBSTITUTE(SUBSTITUTE(E607:E611," ",""),"0",""),"-",""))+LEN(SUBSTITUTE(SUBSTITUTE(SUBSTITUTE(F607:F611," ",""),"0",""),"-","")))&gt;(LEN(SUBSTITUTE(SUBSTITUTE(SUBSTITUTE(B607:B611," ",""),"0",""),"-",""))+LEN(SUBSTITUTE(SUBSTITUTE(SUBSTITUTE(C607:C611," ",""),"0",""),"-",""))))*1)</f>
      </c>
      <c r="G606" s="14" t="str">
        <f>'data'!$B$45</f>
      </c>
      <c r="I606" s="14" t="str">
        <f>'data'!$B$93</f>
      </c>
      <c r="J606" s="14" t="str">
        <f>SUMPRODUCT((UPPER(L607:L611)&lt;&gt;"X")*((LEN(SUBSTITUTE(SUBSTITUTE(SUBSTITUTE(J607:J611," ",""),"0",""),"-",""))+LEN(SUBSTITUTE(SUBSTITUTE(SUBSTITUTE(K607:K611," ",""),"0",""),"-","")))&gt;(LEN(SUBSTITUTE(SUBSTITUTE(SUBSTITUTE(M607:M611," ",""),"0",""),"-",""))+LEN(SUBSTITUTE(SUBSTITUTE(SUBSTITUTE(N607:N611," ",""),"0",""),"-",""))))*1)</f>
      </c>
      <c r="K606" s="14" t="str">
        <f>SUMPRODUCT(LEN(SUBSTITUTE(SUBSTITUTE(SUBSTITUTE(J607:J611," ",""),"0",""),"-",""))+LEN(SUBSTITUTE(SUBSTITUTE(SUBSTITUTE(K607:K611," ",""),"0",""),"-","")))</f>
      </c>
      <c r="L606" s="18"/>
      <c r="M606" s="14" t="str">
        <f>SUMPRODUCT(LEN(SUBSTITUTE(SUBSTITUTE(SUBSTITUTE(M607:M611," ",""),"0",""),"-",""))+LEN(SUBSTITUTE(SUBSTITUTE(SUBSTITUTE(N607:N611," ",""),"0",""),"-","")))</f>
      </c>
      <c r="N606" s="14" t="str">
        <f>SUMPRODUCT((UPPER(L607:L611)&lt;&gt;"X")*((LEN(SUBSTITUTE(SUBSTITUTE(SUBSTITUTE(M607:M611," ",""),"0",""),"-",""))+LEN(SUBSTITUTE(SUBSTITUTE(SUBSTITUTE(N607:N611," ",""),"0",""),"-","")))&gt;(LEN(SUBSTITUTE(SUBSTITUTE(SUBSTITUTE(J607:J611," ",""),"0",""),"-",""))+LEN(SUBSTITUTE(SUBSTITUTE(SUBSTITUTE(K607:K611," ",""),"0",""),"-",""))))*1)</f>
      </c>
      <c r="O606" s="14" t="str">
        <f>'data'!$B$92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239</v>
      </c>
      <c r="B613" s="14"/>
      <c r="C613" s="14"/>
      <c r="D613" s="14" t="s">
        <v>240</v>
      </c>
      <c r="E613" s="14"/>
      <c r="F613" s="14"/>
      <c r="G613" s="16" t="s">
        <v>241</v>
      </c>
    </row>
    <row r="614">
      <c r="A614" s="14" t="str">
        <f>'data'!$B$47</f>
      </c>
      <c r="B614" s="14" t="str">
        <f>SUMPRODUCT((UPPER(D615:D619)&lt;&gt;"X")*((LEN(SUBSTITUTE(SUBSTITUTE(SUBSTITUTE(B615:B619," ",""),"0",""),"-",""))+LEN(SUBSTITUTE(SUBSTITUTE(SUBSTITUTE(C615:C619," ",""),"0",""),"-","")))&gt;(LEN(SUBSTITUTE(SUBSTITUTE(SUBSTITUTE(E615:E619," ",""),"0",""),"-",""))+LEN(SUBSTITUTE(SUBSTITUTE(SUBSTITUTE(F615:F619," ",""),"0",""),"-",""))))*1)</f>
      </c>
      <c r="C614" s="14" t="str">
        <f>SUMPRODUCT(LEN(SUBSTITUTE(SUBSTITUTE(SUBSTITUTE(B615:B619," ",""),"0",""),"-",""))+LEN(SUBSTITUTE(SUBSTITUTE(SUBSTITUTE(C615:C619," ",""),"0",""),"-","")))</f>
      </c>
      <c r="D614" s="18"/>
      <c r="E614" s="14" t="str">
        <f>SUMPRODUCT(LEN(SUBSTITUTE(SUBSTITUTE(SUBSTITUTE(E615:E619," ",""),"0",""),"-",""))+LEN(SUBSTITUTE(SUBSTITUTE(SUBSTITUTE(F615:F619," ",""),"0",""),"-","")))</f>
      </c>
      <c r="F614" s="14" t="str">
        <f>SUMPRODUCT((UPPER(D615:D619)&lt;&gt;"X")*((LEN(SUBSTITUTE(SUBSTITUTE(SUBSTITUTE(E615:E619," ",""),"0",""),"-",""))+LEN(SUBSTITUTE(SUBSTITUTE(SUBSTITUTE(F615:F619," ",""),"0",""),"-","")))&gt;(LEN(SUBSTITUTE(SUBSTITUTE(SUBSTITUTE(B615:B619," ",""),"0",""),"-",""))+LEN(SUBSTITUTE(SUBSTITUTE(SUBSTITUTE(C615:C619," ",""),"0",""),"-",""))))*1)</f>
      </c>
      <c r="G614" s="14" t="str">
        <f>'data'!$B$45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239</v>
      </c>
      <c r="B621" s="14"/>
      <c r="C621" s="14"/>
      <c r="D621" s="14" t="s">
        <v>240</v>
      </c>
      <c r="E621" s="14"/>
      <c r="F621" s="14"/>
      <c r="G621" s="16" t="s">
        <v>241</v>
      </c>
    </row>
    <row r="622">
      <c r="A622" s="14" t="str">
        <f>'data'!$B$47</f>
      </c>
      <c r="B622" s="14" t="str">
        <f>SUMPRODUCT((UPPER(D623:D627)&lt;&gt;"X")*((LEN(SUBSTITUTE(SUBSTITUTE(SUBSTITUTE(B623:B627," ",""),"0",""),"-",""))+LEN(SUBSTITUTE(SUBSTITUTE(SUBSTITUTE(C623:C627," ",""),"0",""),"-","")))&gt;(LEN(SUBSTITUTE(SUBSTITUTE(SUBSTITUTE(E623:E627," ",""),"0",""),"-",""))+LEN(SUBSTITUTE(SUBSTITUTE(SUBSTITUTE(F623:F627," ",""),"0",""),"-",""))))*1)</f>
      </c>
      <c r="C622" s="14" t="str">
        <f>SUMPRODUCT(LEN(SUBSTITUTE(SUBSTITUTE(SUBSTITUTE(B623:B627," ",""),"0",""),"-",""))+LEN(SUBSTITUTE(SUBSTITUTE(SUBSTITUTE(C623:C627," ",""),"0",""),"-","")))</f>
      </c>
      <c r="D622" s="18"/>
      <c r="E622" s="14" t="str">
        <f>SUMPRODUCT(LEN(SUBSTITUTE(SUBSTITUTE(SUBSTITUTE(E623:E627," ",""),"0",""),"-",""))+LEN(SUBSTITUTE(SUBSTITUTE(SUBSTITUTE(F623:F627," ",""),"0",""),"-","")))</f>
      </c>
      <c r="F622" s="14" t="str">
        <f>SUMPRODUCT((UPPER(D623:D627)&lt;&gt;"X")*((LEN(SUBSTITUTE(SUBSTITUTE(SUBSTITUTE(E623:E627," ",""),"0",""),"-",""))+LEN(SUBSTITUTE(SUBSTITUTE(SUBSTITUTE(F623:F627," ",""),"0",""),"-","")))&gt;(LEN(SUBSTITUTE(SUBSTITUTE(SUBSTITUTE(B623:B627," ",""),"0",""),"-",""))+LEN(SUBSTITUTE(SUBSTITUTE(SUBSTITUTE(C623:C627," ",""),"0",""),"-",""))))*1)</f>
      </c>
      <c r="G622" s="14" t="str">
        <f>'data'!$B$46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242</v>
      </c>
      <c r="B630" s="13" t="s">
        <v>243</v>
      </c>
      <c r="C630" s="13" t="s">
        <v>244</v>
      </c>
      <c r="D630" s="13" t="s">
        <v>245</v>
      </c>
      <c r="E630" s="13"/>
      <c r="F630" s="13"/>
      <c r="G630" s="13" t="s">
        <v>246</v>
      </c>
      <c r="I630" s="13" t="s">
        <v>242</v>
      </c>
      <c r="J630" s="13" t="s">
        <v>243</v>
      </c>
      <c r="K630" s="13" t="s">
        <v>244</v>
      </c>
      <c r="L630" s="13" t="s">
        <v>245</v>
      </c>
      <c r="M630" s="13"/>
      <c r="N630" s="13"/>
      <c r="O630" s="13" t="s">
        <v>246</v>
      </c>
    </row>
    <row r="631">
      <c r="A631" s="14" t="str">
        <f>'data'!$B$45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247</v>
      </c>
      <c r="K634" s="13" t="s">
        <v>248</v>
      </c>
      <c r="L634" s="13" t="s">
        <v>249</v>
      </c>
      <c r="M634" s="13" t="s">
        <v>250</v>
      </c>
      <c r="N634" s="13" t="s">
        <v>251</v>
      </c>
    </row>
    <row r="635">
      <c r="A635" s="13"/>
      <c r="B635" s="13" t="s">
        <v>247</v>
      </c>
      <c r="C635" s="13" t="s">
        <v>248</v>
      </c>
      <c r="D635" s="13" t="s">
        <v>249</v>
      </c>
      <c r="E635" s="13" t="s">
        <v>250</v>
      </c>
      <c r="F635" s="13" t="s">
        <v>251</v>
      </c>
      <c r="I635" s="14" t="str">
        <f>'data'!$B$92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252</v>
      </c>
    </row>
    <row r="640">
      <c r="N640" t="s">
        <v>253</v>
      </c>
      <c r="O640" s="19" t="str">
        <f>IFERROR(INDEX($I$631:$I$636, MATCH(1, $O$631:$O$636, 0)), "-")</f>
      </c>
    </row>
    <row r="641">
      <c r="F641" s="13"/>
      <c r="G641" s="13" t="s">
        <v>252</v>
      </c>
      <c r="N641" t="s">
        <v>254</v>
      </c>
      <c r="O641" s="19" t="str">
        <f>IFERROR(INDEX($I$631:$I$636, MATCH(2, $O$631:$O$636, 0)), "-")</f>
      </c>
    </row>
    <row r="642">
      <c r="F642" t="s">
        <v>253</v>
      </c>
      <c r="G642" s="19" t="str">
        <f>IFERROR(INDEX($A$631:$A$638, MATCH(1, $G$631:$G$638, 0)), "-")</f>
      </c>
    </row>
    <row r="643">
      <c r="F643" t="s">
        <v>254</v>
      </c>
      <c r="G643" s="19" t="str">
        <f>IFERROR(INDEX($A$631:$A$638, MATCH(2, $G$631:$G$638, 0)), "-")</f>
      </c>
    </row>
    <row r="644">
      <c r="F644" t="s">
        <v>255</v>
      </c>
      <c r="G644" s="19" t="str">
        <f>IFERROR(INDEX($A$631:$A$638, MATCH(3, $G$631:$G$638, 0)), "-")</f>
      </c>
    </row>
    <row r="647">
      <c r="A647" s="13" t="str">
        <f>'data'!$A$49</f>
      </c>
      <c r="B647" s="13"/>
      <c r="C647" s="13"/>
      <c r="D647" s="13"/>
      <c r="E647" s="13"/>
      <c r="F647" s="13"/>
      <c r="G647" s="13"/>
    </row>
    <row r="648">
      <c r="A648" s="17" t="s">
        <v>239</v>
      </c>
      <c r="B648" s="14"/>
      <c r="C648" s="14"/>
      <c r="D648" s="14" t="s">
        <v>240</v>
      </c>
      <c r="E648" s="14"/>
      <c r="F648" s="14"/>
      <c r="G648" s="16" t="s">
        <v>241</v>
      </c>
    </row>
    <row r="649">
      <c r="A649" s="14" t="str">
        <f>'data'!$B$49</f>
      </c>
      <c r="B649" s="14" t="str">
        <f>SUMPRODUCT((UPPER(D650:D654)&lt;&gt;"X")*((LEN(SUBSTITUTE(SUBSTITUTE(SUBSTITUTE(B650:B654," ",""),"0",""),"-",""))+LEN(SUBSTITUTE(SUBSTITUTE(SUBSTITUTE(C650:C654," ",""),"0",""),"-","")))&gt;(LEN(SUBSTITUTE(SUBSTITUTE(SUBSTITUTE(E650:E654," ",""),"0",""),"-",""))+LEN(SUBSTITUTE(SUBSTITUTE(SUBSTITUTE(F650:F654," ",""),"0",""),"-",""))))*1)</f>
      </c>
      <c r="C649" s="14" t="str">
        <f>SUMPRODUCT(LEN(SUBSTITUTE(SUBSTITUTE(SUBSTITUTE(B650:B654," ",""),"0",""),"-",""))+LEN(SUBSTITUTE(SUBSTITUTE(SUBSTITUTE(C650:C654," ",""),"0",""),"-","")))</f>
      </c>
      <c r="D649" s="18"/>
      <c r="E649" s="14" t="str">
        <f>SUMPRODUCT(LEN(SUBSTITUTE(SUBSTITUTE(SUBSTITUTE(E650:E654," ",""),"0",""),"-",""))+LEN(SUBSTITUTE(SUBSTITUTE(SUBSTITUTE(F650:F654," ",""),"0",""),"-","")))</f>
      </c>
      <c r="F649" s="14" t="str">
        <f>SUMPRODUCT((UPPER(D650:D654)&lt;&gt;"X")*((LEN(SUBSTITUTE(SUBSTITUTE(SUBSTITUTE(E650:E654," ",""),"0",""),"-",""))+LEN(SUBSTITUTE(SUBSTITUTE(SUBSTITUTE(F650:F654," ",""),"0",""),"-","")))&gt;(LEN(SUBSTITUTE(SUBSTITUTE(SUBSTITUTE(B650:B654," ",""),"0",""),"-",""))+LEN(SUBSTITUTE(SUBSTITUTE(SUBSTITUTE(C650:C654," ",""),"0",""),"-",""))))*1)</f>
      </c>
      <c r="G649" s="14" t="str">
        <f>'data'!$B$48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242</v>
      </c>
      <c r="B657" s="13" t="s">
        <v>243</v>
      </c>
      <c r="C657" s="13" t="s">
        <v>244</v>
      </c>
      <c r="D657" s="13" t="s">
        <v>245</v>
      </c>
      <c r="E657" s="13"/>
      <c r="F657" s="13"/>
      <c r="G657" s="13" t="s">
        <v>246</v>
      </c>
    </row>
    <row r="658">
      <c r="A658" s="14" t="str">
        <f>'data'!$B$48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247</v>
      </c>
      <c r="C661" s="13" t="s">
        <v>248</v>
      </c>
      <c r="D661" s="13" t="s">
        <v>249</v>
      </c>
      <c r="E661" s="13" t="s">
        <v>250</v>
      </c>
      <c r="F661" s="13" t="s">
        <v>251</v>
      </c>
    </row>
    <row r="662">
      <c r="A662" s="14" t="str">
        <f>'data'!$B$48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252</v>
      </c>
    </row>
    <row r="667">
      <c r="F667" t="s">
        <v>253</v>
      </c>
      <c r="G667" s="19" t="str">
        <f>IFERROR(INDEX($A$658:$A$663, MATCH(1, $G$658:$G$663, 0)), "-")</f>
      </c>
    </row>
    <row r="668">
      <c r="F668" t="s">
        <v>254</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237</v>
      </c>
      <c r="B1" s="13"/>
      <c r="C1" s="13"/>
      <c r="D1" s="13"/>
      <c r="E1" s="13"/>
      <c r="F1" s="13"/>
      <c r="G1" s="13"/>
      <c r="I1" s="13" t="s">
        <v>238</v>
      </c>
      <c r="J1" s="13"/>
      <c r="K1" s="13"/>
      <c r="L1" s="13"/>
      <c r="M1" s="13"/>
      <c r="N1" s="13"/>
      <c r="O1" s="13"/>
    </row>
    <row r="2">
      <c r="A2" s="13" t="s">
        <v>347</v>
      </c>
      <c r="B2" s="13"/>
      <c r="C2" s="13"/>
      <c r="D2" s="13"/>
      <c r="E2" s="13"/>
      <c r="F2" s="13"/>
      <c r="G2" s="13"/>
      <c r="I2" s="13" t="s">
        <v>349</v>
      </c>
      <c r="J2" s="13"/>
      <c r="K2" s="13"/>
      <c r="L2" s="13"/>
      <c r="M2" s="13"/>
      <c r="N2" s="13"/>
      <c r="O2" s="13"/>
    </row>
    <row r="3">
      <c r="A3" s="17" t="s">
        <v>239</v>
      </c>
      <c r="D3" s="14" t="s">
        <v>240</v>
      </c>
      <c r="G3" s="16" t="s">
        <v>241</v>
      </c>
      <c r="I3" s="17" t="s">
        <v>239</v>
      </c>
      <c r="L3" s="14" t="s">
        <v>240</v>
      </c>
      <c r="O3" s="16" t="s">
        <v>241</v>
      </c>
    </row>
    <row r="4">
      <c r="A4" s="14" t="str">
        <f>CONCATENATE("Pool B-2nd ",'Pool Matches'!G84)</f>
      </c>
      <c r="B4" s="14"/>
      <c r="C4" s="14"/>
      <c r="D4" s="18"/>
      <c r="E4" s="14"/>
      <c r="F4" s="14"/>
      <c r="G4" s="14" t="str">
        <f>CONCATENATE("Pool C-1st ",'Pool Matches'!G126)</f>
      </c>
      <c r="I4" s="14" t="str">
        <f>CONCATENATE("Pool C-2nd ",'Pool Matches'!G127)</f>
      </c>
      <c r="J4" s="14"/>
      <c r="K4" s="14"/>
      <c r="L4" s="18"/>
      <c r="M4" s="14"/>
      <c r="N4" s="14"/>
      <c r="O4" s="14" t="str">
        <f>CONCATENATE("Pool A-2nd ",'Pool Matches'!G41)</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Matches'!G84)</f>
      </c>
      <c r="B11" s="14" t="s">
        <v>247</v>
      </c>
      <c r="C11" s="14" t="s">
        <v>250</v>
      </c>
      <c r="D11" s="14"/>
      <c r="E11" s="14" t="s">
        <v>250</v>
      </c>
      <c r="F11" s="14" t="s">
        <v>247</v>
      </c>
      <c r="G11" s="14" t="str">
        <f>CONCATENATE("Pool C-1st ",'Pool Matches'!G126)</f>
      </c>
      <c r="I11" s="14" t="str">
        <f>CONCATENATE("Pool C-2nd ",'Pool Matches'!G127)</f>
      </c>
      <c r="J11" s="14" t="s">
        <v>247</v>
      </c>
      <c r="K11" s="14" t="s">
        <v>250</v>
      </c>
      <c r="L11" s="14"/>
      <c r="M11" s="14" t="s">
        <v>250</v>
      </c>
      <c r="N11" s="14" t="s">
        <v>247</v>
      </c>
      <c r="O11" s="14" t="str">
        <f>CONCATENATE("Pool A-2nd ",'Pool Matches'!G41)</f>
      </c>
    </row>
    <row r="12">
      <c r="A12" s="14" t="s">
        <v>348</v>
      </c>
      <c r="B12" s="14" t="str">
        <f>SUMPRODUCT((UPPER(D5:D9)&lt;&gt;"X")*((LEN(SUBSTITUTE(SUBSTITUTE(SUBSTITUTE(B5:B9," ",""),"0",""),"-",""))+LEN(SUBSTITUTE(SUBSTITUTE(SUBSTITUTE(C5:C9," ",""),"0",""),"-","")))&gt;(LEN(SUBSTITUTE(SUBSTITUTE(SUBSTITUTE(E5:E9," ",""),"0",""),"-",""))+LEN(SUBSTITUTE(SUBSTITUTE(SUBSTITUTE(F5:F9," ",""),"0",""),"-",""))))*1)</f>
      </c>
      <c r="C12" s="14" t="str">
        <f>SUMPRODUCT(LEN(SUBSTITUTE(SUBSTITUTE(SUBSTITUTE(B5:B9," ",""),"0",""),"-",""))+LEN(SUBSTITUTE(SUBSTITUTE(SUBSTITUTE(C5:C9," ",""),"0",""),"-","")))</f>
      </c>
      <c r="D12" s="14"/>
      <c r="E12" s="14" t="str">
        <f>SUMPRODUCT(LEN(SUBSTITUTE(SUBSTITUTE(SUBSTITUTE(E5:E9," ",""),"0",""),"-",""))+LEN(SUBSTITUTE(SUBSTITUTE(SUBSTITUTE(F5:F9," ",""),"0",""),"-","")))</f>
      </c>
      <c r="F12" s="14" t="str">
        <f>SUMPRODUCT((UPPER(D5:D9)&lt;&gt;"X")*((LEN(SUBSTITUTE(SUBSTITUTE(SUBSTITUTE(E5:E9," ",""),"0",""),"-",""))+LEN(SUBSTITUTE(SUBSTITUTE(SUBSTITUTE(F5:F9," ",""),"0",""),"-","")))&gt;(LEN(SUBSTITUTE(SUBSTITUTE(SUBSTITUTE(B5:B9," ",""),"0",""),"-",""))+LEN(SUBSTITUTE(SUBSTITUTE(SUBSTITUTE(C5:C9," ",""),"0",""),"-",""))))*1)</f>
      </c>
      <c r="G12" s="14" t="s">
        <v>348</v>
      </c>
      <c r="I12" s="14" t="s">
        <v>348</v>
      </c>
      <c r="J12" s="14" t="str">
        <f>SUMPRODUCT((UPPER(L5:L9)&lt;&gt;"X")*((LEN(SUBSTITUTE(SUBSTITUTE(SUBSTITUTE(J5:J9," ",""),"0",""),"-",""))+LEN(SUBSTITUTE(SUBSTITUTE(SUBSTITUTE(K5:K9," ",""),"0",""),"-","")))&gt;(LEN(SUBSTITUTE(SUBSTITUTE(SUBSTITUTE(M5:M9," ",""),"0",""),"-",""))+LEN(SUBSTITUTE(SUBSTITUTE(SUBSTITUTE(N5:N9," ",""),"0",""),"-",""))))*1)</f>
      </c>
      <c r="K12" s="14" t="str">
        <f>SUMPRODUCT(LEN(SUBSTITUTE(SUBSTITUTE(SUBSTITUTE(J5:J9," ",""),"0",""),"-",""))+LEN(SUBSTITUTE(SUBSTITUTE(SUBSTITUTE(K5:K9," ",""),"0",""),"-","")))</f>
      </c>
      <c r="L12" s="14"/>
      <c r="M12" s="14" t="str">
        <f>SUMPRODUCT(LEN(SUBSTITUTE(SUBSTITUTE(SUBSTITUTE(M5:M9," ",""),"0",""),"-",""))+LEN(SUBSTITUTE(SUBSTITUTE(SUBSTITUTE(N5:N9," ",""),"0",""),"-","")))</f>
      </c>
      <c r="N12" s="14" t="str">
        <f>SUMPRODUCT((UPPER(L5:L9)&lt;&gt;"X")*((LEN(SUBSTITUTE(SUBSTITUTE(SUBSTITUTE(M5:M9," ",""),"0",""),"-",""))+LEN(SUBSTITUTE(SUBSTITUTE(SUBSTITUTE(N5:N9," ",""),"0",""),"-","")))&gt;(LEN(SUBSTITUTE(SUBSTITUTE(SUBSTITUTE(J5:J9," ",""),"0",""),"-",""))+LEN(SUBSTITUTE(SUBSTITUTE(SUBSTITUTE(K5:K9," ",""),"0",""),"-",""))))*1)</f>
      </c>
      <c r="O12" s="14" t="s">
        <v>348</v>
      </c>
    </row>
    <row r="15">
      <c r="F15" t="s">
        <v>253</v>
      </c>
      <c r="G15" s="19"/>
      <c r="N15" t="s">
        <v>253</v>
      </c>
      <c r="O15" s="19"/>
    </row>
    <row r="16">
      <c r="F16" t="s">
        <v>254</v>
      </c>
      <c r="G16" s="19"/>
      <c r="N16" t="s">
        <v>254</v>
      </c>
      <c r="O16" s="19"/>
    </row>
    <row r="18">
      <c r="A18" s="13" t="s">
        <v>350</v>
      </c>
      <c r="B18" s="13"/>
      <c r="C18" s="13"/>
      <c r="D18" s="13"/>
      <c r="E18" s="13"/>
      <c r="F18" s="13"/>
      <c r="G18" s="13"/>
      <c r="I18" s="13" t="s">
        <v>351</v>
      </c>
      <c r="J18" s="13"/>
      <c r="K18" s="13"/>
      <c r="L18" s="13"/>
      <c r="M18" s="13"/>
      <c r="N18" s="13"/>
      <c r="O18" s="13"/>
    </row>
    <row r="19">
      <c r="A19" s="17" t="s">
        <v>239</v>
      </c>
      <c r="D19" s="14" t="s">
        <v>240</v>
      </c>
      <c r="G19" s="16" t="s">
        <v>241</v>
      </c>
      <c r="I19" s="17" t="s">
        <v>239</v>
      </c>
      <c r="L19" s="14" t="s">
        <v>240</v>
      </c>
      <c r="O19" s="16" t="s">
        <v>241</v>
      </c>
    </row>
    <row r="20">
      <c r="A20" s="14" t="str">
        <f>CONCATENATE("Pool D-2nd ",'Pool Matches'!G170)</f>
      </c>
      <c r="B20" s="14"/>
      <c r="C20" s="14"/>
      <c r="D20" s="18"/>
      <c r="E20" s="14"/>
      <c r="F20" s="14"/>
      <c r="G20" s="14" t="str">
        <f>CONCATENATE("Pool E-1st ",'Pool Matches'!G212)</f>
      </c>
      <c r="I20" s="14" t="str">
        <f>CONCATENATE("Pool E-2nd ",'Pool Matches'!G213)</f>
      </c>
      <c r="J20" s="14"/>
      <c r="K20" s="14"/>
      <c r="L20" s="18"/>
      <c r="M20" s="14"/>
      <c r="N20" s="14"/>
      <c r="O20" s="14" t="str">
        <f>CONCATENATE("Pool D-1st ",'Pool Matches'!G169)</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D-2nd ",'Pool Matches'!G170)</f>
      </c>
      <c r="B27" s="14" t="s">
        <v>247</v>
      </c>
      <c r="C27" s="14" t="s">
        <v>250</v>
      </c>
      <c r="D27" s="14"/>
      <c r="E27" s="14" t="s">
        <v>250</v>
      </c>
      <c r="F27" s="14" t="s">
        <v>247</v>
      </c>
      <c r="G27" s="14" t="str">
        <f>CONCATENATE("Pool E-1st ",'Pool Matches'!G212)</f>
      </c>
      <c r="I27" s="14" t="str">
        <f>CONCATENATE("Pool E-2nd ",'Pool Matches'!G213)</f>
      </c>
      <c r="J27" s="14" t="s">
        <v>247</v>
      </c>
      <c r="K27" s="14" t="s">
        <v>250</v>
      </c>
      <c r="L27" s="14"/>
      <c r="M27" s="14" t="s">
        <v>250</v>
      </c>
      <c r="N27" s="14" t="s">
        <v>247</v>
      </c>
      <c r="O27" s="14" t="str">
        <f>CONCATENATE("Pool D-1st ",'Pool Matches'!G169)</f>
      </c>
    </row>
    <row r="28">
      <c r="A28" s="14" t="s">
        <v>348</v>
      </c>
      <c r="B28" s="14" t="str">
        <f>SUMPRODUCT((UPPER(D21:D25)&lt;&gt;"X")*((LEN(SUBSTITUTE(SUBSTITUTE(SUBSTITUTE(B21:B25," ",""),"0",""),"-",""))+LEN(SUBSTITUTE(SUBSTITUTE(SUBSTITUTE(C21:C25," ",""),"0",""),"-","")))&gt;(LEN(SUBSTITUTE(SUBSTITUTE(SUBSTITUTE(E21:E25," ",""),"0",""),"-",""))+LEN(SUBSTITUTE(SUBSTITUTE(SUBSTITUTE(F21:F25," ",""),"0",""),"-",""))))*1)</f>
      </c>
      <c r="C28" s="14" t="str">
        <f>SUMPRODUCT(LEN(SUBSTITUTE(SUBSTITUTE(SUBSTITUTE(B21:B25," ",""),"0",""),"-",""))+LEN(SUBSTITUTE(SUBSTITUTE(SUBSTITUTE(C21:C25," ",""),"0",""),"-","")))</f>
      </c>
      <c r="D28" s="14"/>
      <c r="E28" s="14" t="str">
        <f>SUMPRODUCT(LEN(SUBSTITUTE(SUBSTITUTE(SUBSTITUTE(E21:E25," ",""),"0",""),"-",""))+LEN(SUBSTITUTE(SUBSTITUTE(SUBSTITUTE(F21:F25," ",""),"0",""),"-","")))</f>
      </c>
      <c r="F28" s="14" t="str">
        <f>SUMPRODUCT((UPPER(D21:D25)&lt;&gt;"X")*((LEN(SUBSTITUTE(SUBSTITUTE(SUBSTITUTE(E21:E25," ",""),"0",""),"-",""))+LEN(SUBSTITUTE(SUBSTITUTE(SUBSTITUTE(F21:F25," ",""),"0",""),"-","")))&gt;(LEN(SUBSTITUTE(SUBSTITUTE(SUBSTITUTE(B21:B25," ",""),"0",""),"-",""))+LEN(SUBSTITUTE(SUBSTITUTE(SUBSTITUTE(C21:C25," ",""),"0",""),"-",""))))*1)</f>
      </c>
      <c r="G28" s="14" t="s">
        <v>348</v>
      </c>
      <c r="I28" s="14" t="s">
        <v>348</v>
      </c>
      <c r="J28" s="14" t="str">
        <f>SUMPRODUCT((UPPER(L21:L25)&lt;&gt;"X")*((LEN(SUBSTITUTE(SUBSTITUTE(SUBSTITUTE(J21:J25," ",""),"0",""),"-",""))+LEN(SUBSTITUTE(SUBSTITUTE(SUBSTITUTE(K21:K25," ",""),"0",""),"-","")))&gt;(LEN(SUBSTITUTE(SUBSTITUTE(SUBSTITUTE(M21:M25," ",""),"0",""),"-",""))+LEN(SUBSTITUTE(SUBSTITUTE(SUBSTITUTE(N21:N25," ",""),"0",""),"-",""))))*1)</f>
      </c>
      <c r="K28" s="14" t="str">
        <f>SUMPRODUCT(LEN(SUBSTITUTE(SUBSTITUTE(SUBSTITUTE(J21:J25," ",""),"0",""),"-",""))+LEN(SUBSTITUTE(SUBSTITUTE(SUBSTITUTE(K21:K25," ",""),"0",""),"-","")))</f>
      </c>
      <c r="L28" s="14"/>
      <c r="M28" s="14" t="str">
        <f>SUMPRODUCT(LEN(SUBSTITUTE(SUBSTITUTE(SUBSTITUTE(M21:M25," ",""),"0",""),"-",""))+LEN(SUBSTITUTE(SUBSTITUTE(SUBSTITUTE(N21:N25," ",""),"0",""),"-","")))</f>
      </c>
      <c r="N28" s="14" t="str">
        <f>SUMPRODUCT((UPPER(L21:L25)&lt;&gt;"X")*((LEN(SUBSTITUTE(SUBSTITUTE(SUBSTITUTE(M21:M25," ",""),"0",""),"-",""))+LEN(SUBSTITUTE(SUBSTITUTE(SUBSTITUTE(N21:N25," ",""),"0",""),"-","")))&gt;(LEN(SUBSTITUTE(SUBSTITUTE(SUBSTITUTE(J21:J25," ",""),"0",""),"-",""))+LEN(SUBSTITUTE(SUBSTITUTE(SUBSTITUTE(K21:K25," ",""),"0",""),"-",""))))*1)</f>
      </c>
      <c r="O28" s="14" t="s">
        <v>348</v>
      </c>
    </row>
    <row r="31">
      <c r="F31" t="s">
        <v>253</v>
      </c>
      <c r="G31" s="19"/>
      <c r="N31" t="s">
        <v>253</v>
      </c>
      <c r="O31" s="19"/>
    </row>
    <row r="32">
      <c r="F32" t="s">
        <v>254</v>
      </c>
      <c r="G32" s="19"/>
      <c r="N32" t="s">
        <v>254</v>
      </c>
      <c r="O32" s="19"/>
    </row>
    <row r="34">
      <c r="A34" s="13" t="s">
        <v>352</v>
      </c>
      <c r="B34" s="13"/>
      <c r="C34" s="13"/>
      <c r="D34" s="13"/>
      <c r="E34" s="13"/>
      <c r="F34" s="13"/>
      <c r="G34" s="13"/>
      <c r="I34" s="13" t="s">
        <v>353</v>
      </c>
      <c r="J34" s="13"/>
      <c r="K34" s="13"/>
      <c r="L34" s="13"/>
      <c r="M34" s="13"/>
      <c r="N34" s="13"/>
      <c r="O34" s="13"/>
    </row>
    <row r="35">
      <c r="A35" s="17" t="s">
        <v>239</v>
      </c>
      <c r="D35" s="14" t="s">
        <v>240</v>
      </c>
      <c r="G35" s="16" t="s">
        <v>241</v>
      </c>
      <c r="I35" s="17" t="s">
        <v>239</v>
      </c>
      <c r="L35" s="14" t="s">
        <v>240</v>
      </c>
      <c r="O35" s="16" t="s">
        <v>241</v>
      </c>
    </row>
    <row r="36">
      <c r="A36" s="14" t="str">
        <f>CONCATENATE("Pool F-2nd ",'Pool Matches'!G256)</f>
      </c>
      <c r="B36" s="14"/>
      <c r="C36" s="14"/>
      <c r="D36" s="18"/>
      <c r="E36" s="14"/>
      <c r="F36" s="14"/>
      <c r="G36" s="14" t="str">
        <f>CONCATENATE("Pool G-1st ",'Pool Matches'!G298)</f>
      </c>
      <c r="I36" s="14" t="str">
        <f>CONCATENATE("Pool G-2nd ",'Pool Matches'!G299)</f>
      </c>
      <c r="J36" s="14"/>
      <c r="K36" s="14"/>
      <c r="L36" s="18"/>
      <c r="M36" s="14"/>
      <c r="N36" s="14"/>
      <c r="O36" s="14" t="str">
        <f>CONCATENATE("Pool F-1st ",'Pool Matches'!G255)</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F-2nd ",'Pool Matches'!G256)</f>
      </c>
      <c r="B43" s="14" t="s">
        <v>247</v>
      </c>
      <c r="C43" s="14" t="s">
        <v>250</v>
      </c>
      <c r="D43" s="14"/>
      <c r="E43" s="14" t="s">
        <v>250</v>
      </c>
      <c r="F43" s="14" t="s">
        <v>247</v>
      </c>
      <c r="G43" s="14" t="str">
        <f>CONCATENATE("Pool G-1st ",'Pool Matches'!G298)</f>
      </c>
      <c r="I43" s="14" t="str">
        <f>CONCATENATE("Pool G-2nd ",'Pool Matches'!G299)</f>
      </c>
      <c r="J43" s="14" t="s">
        <v>247</v>
      </c>
      <c r="K43" s="14" t="s">
        <v>250</v>
      </c>
      <c r="L43" s="14"/>
      <c r="M43" s="14" t="s">
        <v>250</v>
      </c>
      <c r="N43" s="14" t="s">
        <v>247</v>
      </c>
      <c r="O43" s="14" t="str">
        <f>CONCATENATE("Pool F-1st ",'Pool Matches'!G255)</f>
      </c>
    </row>
    <row r="44">
      <c r="A44" s="14" t="s">
        <v>348</v>
      </c>
      <c r="B44" s="14" t="str">
        <f>SUMPRODUCT((UPPER(D37:D41)&lt;&gt;"X")*((LEN(SUBSTITUTE(SUBSTITUTE(SUBSTITUTE(B37:B41," ",""),"0",""),"-",""))+LEN(SUBSTITUTE(SUBSTITUTE(SUBSTITUTE(C37:C41," ",""),"0",""),"-","")))&gt;(LEN(SUBSTITUTE(SUBSTITUTE(SUBSTITUTE(E37:E41," ",""),"0",""),"-",""))+LEN(SUBSTITUTE(SUBSTITUTE(SUBSTITUTE(F37:F41," ",""),"0",""),"-",""))))*1)</f>
      </c>
      <c r="C44" s="14" t="str">
        <f>SUMPRODUCT(LEN(SUBSTITUTE(SUBSTITUTE(SUBSTITUTE(B37:B41," ",""),"0",""),"-",""))+LEN(SUBSTITUTE(SUBSTITUTE(SUBSTITUTE(C37:C41," ",""),"0",""),"-","")))</f>
      </c>
      <c r="D44" s="14"/>
      <c r="E44" s="14" t="str">
        <f>SUMPRODUCT(LEN(SUBSTITUTE(SUBSTITUTE(SUBSTITUTE(E37:E41," ",""),"0",""),"-",""))+LEN(SUBSTITUTE(SUBSTITUTE(SUBSTITUTE(F37:F41," ",""),"0",""),"-","")))</f>
      </c>
      <c r="F44" s="14" t="str">
        <f>SUMPRODUCT((UPPER(D37:D41)&lt;&gt;"X")*((LEN(SUBSTITUTE(SUBSTITUTE(SUBSTITUTE(E37:E41," ",""),"0",""),"-",""))+LEN(SUBSTITUTE(SUBSTITUTE(SUBSTITUTE(F37:F41," ",""),"0",""),"-","")))&gt;(LEN(SUBSTITUTE(SUBSTITUTE(SUBSTITUTE(B37:B41," ",""),"0",""),"-",""))+LEN(SUBSTITUTE(SUBSTITUTE(SUBSTITUTE(C37:C41," ",""),"0",""),"-",""))))*1)</f>
      </c>
      <c r="G44" s="14" t="s">
        <v>348</v>
      </c>
      <c r="I44" s="14" t="s">
        <v>348</v>
      </c>
      <c r="J44" s="14" t="str">
        <f>SUMPRODUCT((UPPER(L37:L41)&lt;&gt;"X")*((LEN(SUBSTITUTE(SUBSTITUTE(SUBSTITUTE(J37:J41," ",""),"0",""),"-",""))+LEN(SUBSTITUTE(SUBSTITUTE(SUBSTITUTE(K37:K41," ",""),"0",""),"-","")))&gt;(LEN(SUBSTITUTE(SUBSTITUTE(SUBSTITUTE(M37:M41," ",""),"0",""),"-",""))+LEN(SUBSTITUTE(SUBSTITUTE(SUBSTITUTE(N37:N41," ",""),"0",""),"-",""))))*1)</f>
      </c>
      <c r="K44" s="14" t="str">
        <f>SUMPRODUCT(LEN(SUBSTITUTE(SUBSTITUTE(SUBSTITUTE(J37:J41," ",""),"0",""),"-",""))+LEN(SUBSTITUTE(SUBSTITUTE(SUBSTITUTE(K37:K41," ",""),"0",""),"-","")))</f>
      </c>
      <c r="L44" s="14"/>
      <c r="M44" s="14" t="str">
        <f>SUMPRODUCT(LEN(SUBSTITUTE(SUBSTITUTE(SUBSTITUTE(M37:M41," ",""),"0",""),"-",""))+LEN(SUBSTITUTE(SUBSTITUTE(SUBSTITUTE(N37:N41," ",""),"0",""),"-","")))</f>
      </c>
      <c r="N44" s="14" t="str">
        <f>SUMPRODUCT((UPPER(L37:L41)&lt;&gt;"X")*((LEN(SUBSTITUTE(SUBSTITUTE(SUBSTITUTE(M37:M41," ",""),"0",""),"-",""))+LEN(SUBSTITUTE(SUBSTITUTE(SUBSTITUTE(N37:N41," ",""),"0",""),"-","")))&gt;(LEN(SUBSTITUTE(SUBSTITUTE(SUBSTITUTE(J37:J41," ",""),"0",""),"-",""))+LEN(SUBSTITUTE(SUBSTITUTE(SUBSTITUTE(K37:K41," ",""),"0",""),"-",""))))*1)</f>
      </c>
      <c r="O44" s="14" t="s">
        <v>348</v>
      </c>
    </row>
    <row r="47">
      <c r="F47" t="s">
        <v>253</v>
      </c>
      <c r="G47" s="19"/>
      <c r="N47" t="s">
        <v>253</v>
      </c>
      <c r="O47" s="19"/>
    </row>
    <row r="48">
      <c r="F48" t="s">
        <v>254</v>
      </c>
      <c r="G48" s="19"/>
      <c r="N48" t="s">
        <v>254</v>
      </c>
      <c r="O48" s="19"/>
    </row>
    <row r="50">
      <c r="A50" s="13" t="s">
        <v>354</v>
      </c>
      <c r="B50" s="13"/>
      <c r="C50" s="13"/>
      <c r="D50" s="13"/>
      <c r="E50" s="13"/>
      <c r="F50" s="13"/>
      <c r="G50" s="13"/>
      <c r="I50" s="13" t="s">
        <v>355</v>
      </c>
      <c r="J50" s="13"/>
      <c r="K50" s="13"/>
      <c r="L50" s="13"/>
      <c r="M50" s="13"/>
      <c r="N50" s="13"/>
      <c r="O50" s="13"/>
    </row>
    <row r="51">
      <c r="A51" s="17" t="s">
        <v>239</v>
      </c>
      <c r="D51" s="14" t="s">
        <v>240</v>
      </c>
      <c r="G51" s="16" t="s">
        <v>241</v>
      </c>
      <c r="I51" s="17" t="s">
        <v>239</v>
      </c>
      <c r="L51" s="14" t="s">
        <v>240</v>
      </c>
      <c r="O51" s="16" t="s">
        <v>241</v>
      </c>
    </row>
    <row r="52">
      <c r="A52" s="14" t="str">
        <f>CONCATENATE("Pool H-2nd ",'Pool Matches'!G342)</f>
      </c>
      <c r="B52" s="14"/>
      <c r="C52" s="14"/>
      <c r="D52" s="18"/>
      <c r="E52" s="14"/>
      <c r="F52" s="14"/>
      <c r="G52" s="14" t="str">
        <f>CONCATENATE("Pool I-1st ",'Pool Matches'!G384)</f>
      </c>
      <c r="I52" s="14" t="str">
        <f>CONCATENATE("Pool I-2nd ",'Pool Matches'!G385)</f>
      </c>
      <c r="J52" s="14"/>
      <c r="K52" s="14"/>
      <c r="L52" s="18"/>
      <c r="M52" s="14"/>
      <c r="N52" s="14"/>
      <c r="O52" s="14" t="str">
        <f>CONCATENATE("Pool H-1st ",'Pool Matches'!G341)</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H-2nd ",'Pool Matches'!G342)</f>
      </c>
      <c r="B59" s="14" t="s">
        <v>247</v>
      </c>
      <c r="C59" s="14" t="s">
        <v>250</v>
      </c>
      <c r="D59" s="14"/>
      <c r="E59" s="14" t="s">
        <v>250</v>
      </c>
      <c r="F59" s="14" t="s">
        <v>247</v>
      </c>
      <c r="G59" s="14" t="str">
        <f>CONCATENATE("Pool I-1st ",'Pool Matches'!G384)</f>
      </c>
      <c r="I59" s="14" t="str">
        <f>CONCATENATE("Pool I-2nd ",'Pool Matches'!G385)</f>
      </c>
      <c r="J59" s="14" t="s">
        <v>247</v>
      </c>
      <c r="K59" s="14" t="s">
        <v>250</v>
      </c>
      <c r="L59" s="14"/>
      <c r="M59" s="14" t="s">
        <v>250</v>
      </c>
      <c r="N59" s="14" t="s">
        <v>247</v>
      </c>
      <c r="O59" s="14" t="str">
        <f>CONCATENATE("Pool H-1st ",'Pool Matches'!G341)</f>
      </c>
    </row>
    <row r="60">
      <c r="A60" s="14" t="s">
        <v>348</v>
      </c>
      <c r="B60" s="14" t="str">
        <f>SUMPRODUCT((UPPER(D53:D57)&lt;&gt;"X")*((LEN(SUBSTITUTE(SUBSTITUTE(SUBSTITUTE(B53:B57," ",""),"0",""),"-",""))+LEN(SUBSTITUTE(SUBSTITUTE(SUBSTITUTE(C53:C57," ",""),"0",""),"-","")))&gt;(LEN(SUBSTITUTE(SUBSTITUTE(SUBSTITUTE(E53:E57," ",""),"0",""),"-",""))+LEN(SUBSTITUTE(SUBSTITUTE(SUBSTITUTE(F53:F57," ",""),"0",""),"-",""))))*1)</f>
      </c>
      <c r="C60" s="14" t="str">
        <f>SUMPRODUCT(LEN(SUBSTITUTE(SUBSTITUTE(SUBSTITUTE(B53:B57," ",""),"0",""),"-",""))+LEN(SUBSTITUTE(SUBSTITUTE(SUBSTITUTE(C53:C57," ",""),"0",""),"-","")))</f>
      </c>
      <c r="D60" s="14"/>
      <c r="E60" s="14" t="str">
        <f>SUMPRODUCT(LEN(SUBSTITUTE(SUBSTITUTE(SUBSTITUTE(E53:E57," ",""),"0",""),"-",""))+LEN(SUBSTITUTE(SUBSTITUTE(SUBSTITUTE(F53:F57," ",""),"0",""),"-","")))</f>
      </c>
      <c r="F60" s="14" t="str">
        <f>SUMPRODUCT((UPPER(D53:D57)&lt;&gt;"X")*((LEN(SUBSTITUTE(SUBSTITUTE(SUBSTITUTE(E53:E57," ",""),"0",""),"-",""))+LEN(SUBSTITUTE(SUBSTITUTE(SUBSTITUTE(F53:F57," ",""),"0",""),"-","")))&gt;(LEN(SUBSTITUTE(SUBSTITUTE(SUBSTITUTE(B53:B57," ",""),"0",""),"-",""))+LEN(SUBSTITUTE(SUBSTITUTE(SUBSTITUTE(C53:C57," ",""),"0",""),"-",""))))*1)</f>
      </c>
      <c r="G60" s="14" t="s">
        <v>348</v>
      </c>
      <c r="I60" s="14" t="s">
        <v>348</v>
      </c>
      <c r="J60" s="14" t="str">
        <f>SUMPRODUCT((UPPER(L53:L57)&lt;&gt;"X")*((LEN(SUBSTITUTE(SUBSTITUTE(SUBSTITUTE(J53:J57," ",""),"0",""),"-",""))+LEN(SUBSTITUTE(SUBSTITUTE(SUBSTITUTE(K53:K57," ",""),"0",""),"-","")))&gt;(LEN(SUBSTITUTE(SUBSTITUTE(SUBSTITUTE(M53:M57," ",""),"0",""),"-",""))+LEN(SUBSTITUTE(SUBSTITUTE(SUBSTITUTE(N53:N57," ",""),"0",""),"-",""))))*1)</f>
      </c>
      <c r="K60" s="14" t="str">
        <f>SUMPRODUCT(LEN(SUBSTITUTE(SUBSTITUTE(SUBSTITUTE(J53:J57," ",""),"0",""),"-",""))+LEN(SUBSTITUTE(SUBSTITUTE(SUBSTITUTE(K53:K57," ",""),"0",""),"-","")))</f>
      </c>
      <c r="L60" s="14"/>
      <c r="M60" s="14" t="str">
        <f>SUMPRODUCT(LEN(SUBSTITUTE(SUBSTITUTE(SUBSTITUTE(M53:M57," ",""),"0",""),"-",""))+LEN(SUBSTITUTE(SUBSTITUTE(SUBSTITUTE(N53:N57," ",""),"0",""),"-","")))</f>
      </c>
      <c r="N60" s="14" t="str">
        <f>SUMPRODUCT((UPPER(L53:L57)&lt;&gt;"X")*((LEN(SUBSTITUTE(SUBSTITUTE(SUBSTITUTE(M53:M57," ",""),"0",""),"-",""))+LEN(SUBSTITUTE(SUBSTITUTE(SUBSTITUTE(N53:N57," ",""),"0",""),"-","")))&gt;(LEN(SUBSTITUTE(SUBSTITUTE(SUBSTITUTE(J53:J57," ",""),"0",""),"-",""))+LEN(SUBSTITUTE(SUBSTITUTE(SUBSTITUTE(K53:K57," ",""),"0",""),"-",""))))*1)</f>
      </c>
      <c r="O60" s="14" t="s">
        <v>348</v>
      </c>
    </row>
    <row r="63">
      <c r="F63" t="s">
        <v>253</v>
      </c>
      <c r="G63" s="19"/>
      <c r="N63" t="s">
        <v>253</v>
      </c>
      <c r="O63" s="19"/>
    </row>
    <row r="64">
      <c r="F64" t="s">
        <v>254</v>
      </c>
      <c r="G64" s="19"/>
      <c r="N64" t="s">
        <v>254</v>
      </c>
      <c r="O64" s="19"/>
    </row>
    <row r="66">
      <c r="A66" s="13" t="s">
        <v>356</v>
      </c>
      <c r="B66" s="13"/>
      <c r="C66" s="13"/>
      <c r="D66" s="13"/>
      <c r="E66" s="13"/>
      <c r="F66" s="13"/>
      <c r="G66" s="13"/>
      <c r="I66" s="13" t="s">
        <v>357</v>
      </c>
      <c r="J66" s="13"/>
      <c r="K66" s="13"/>
      <c r="L66" s="13"/>
      <c r="M66" s="13"/>
      <c r="N66" s="13"/>
      <c r="O66" s="13"/>
    </row>
    <row r="67">
      <c r="A67" s="17" t="s">
        <v>239</v>
      </c>
      <c r="D67" s="14" t="s">
        <v>240</v>
      </c>
      <c r="G67" s="16" t="s">
        <v>241</v>
      </c>
      <c r="I67" s="17" t="s">
        <v>239</v>
      </c>
      <c r="L67" s="14" t="s">
        <v>240</v>
      </c>
      <c r="O67" s="16" t="s">
        <v>241</v>
      </c>
    </row>
    <row r="68">
      <c r="A68" s="14" t="str">
        <f>CONCATENATE("Pool J-2nd ",'Pool Matches'!G428)</f>
      </c>
      <c r="B68" s="14"/>
      <c r="C68" s="14"/>
      <c r="D68" s="18"/>
      <c r="E68" s="14"/>
      <c r="F68" s="14"/>
      <c r="G68" s="14" t="str">
        <f>CONCATENATE("Pool K-1st ",'Pool Matches'!G470)</f>
      </c>
      <c r="I68" s="14" t="str">
        <f>CONCATENATE("Pool K-2nd ",'Pool Matches'!G471)</f>
      </c>
      <c r="J68" s="14"/>
      <c r="K68" s="14"/>
      <c r="L68" s="18"/>
      <c r="M68" s="14"/>
      <c r="N68" s="14"/>
      <c r="O68" s="14" t="str">
        <f>CONCATENATE("Pool J-1st ",'Pool Matches'!G427)</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J-2nd ",'Pool Matches'!G428)</f>
      </c>
      <c r="B75" s="14" t="s">
        <v>247</v>
      </c>
      <c r="C75" s="14" t="s">
        <v>250</v>
      </c>
      <c r="D75" s="14"/>
      <c r="E75" s="14" t="s">
        <v>250</v>
      </c>
      <c r="F75" s="14" t="s">
        <v>247</v>
      </c>
      <c r="G75" s="14" t="str">
        <f>CONCATENATE("Pool K-1st ",'Pool Matches'!G470)</f>
      </c>
      <c r="I75" s="14" t="str">
        <f>CONCATENATE("Pool K-2nd ",'Pool Matches'!G471)</f>
      </c>
      <c r="J75" s="14" t="s">
        <v>247</v>
      </c>
      <c r="K75" s="14" t="s">
        <v>250</v>
      </c>
      <c r="L75" s="14"/>
      <c r="M75" s="14" t="s">
        <v>250</v>
      </c>
      <c r="N75" s="14" t="s">
        <v>247</v>
      </c>
      <c r="O75" s="14" t="str">
        <f>CONCATENATE("Pool J-1st ",'Pool Matches'!G427)</f>
      </c>
    </row>
    <row r="76">
      <c r="A76" s="14" t="s">
        <v>348</v>
      </c>
      <c r="B76" s="14" t="str">
        <f>SUMPRODUCT((UPPER(D69:D73)&lt;&gt;"X")*((LEN(SUBSTITUTE(SUBSTITUTE(SUBSTITUTE(B69:B73," ",""),"0",""),"-",""))+LEN(SUBSTITUTE(SUBSTITUTE(SUBSTITUTE(C69:C73," ",""),"0",""),"-","")))&gt;(LEN(SUBSTITUTE(SUBSTITUTE(SUBSTITUTE(E69:E73," ",""),"0",""),"-",""))+LEN(SUBSTITUTE(SUBSTITUTE(SUBSTITUTE(F69:F73," ",""),"0",""),"-",""))))*1)</f>
      </c>
      <c r="C76" s="14" t="str">
        <f>SUMPRODUCT(LEN(SUBSTITUTE(SUBSTITUTE(SUBSTITUTE(B69:B73," ",""),"0",""),"-",""))+LEN(SUBSTITUTE(SUBSTITUTE(SUBSTITUTE(C69:C73," ",""),"0",""),"-","")))</f>
      </c>
      <c r="D76" s="14"/>
      <c r="E76" s="14" t="str">
        <f>SUMPRODUCT(LEN(SUBSTITUTE(SUBSTITUTE(SUBSTITUTE(E69:E73," ",""),"0",""),"-",""))+LEN(SUBSTITUTE(SUBSTITUTE(SUBSTITUTE(F69:F73," ",""),"0",""),"-","")))</f>
      </c>
      <c r="F76" s="14" t="str">
        <f>SUMPRODUCT((UPPER(D69:D73)&lt;&gt;"X")*((LEN(SUBSTITUTE(SUBSTITUTE(SUBSTITUTE(E69:E73," ",""),"0",""),"-",""))+LEN(SUBSTITUTE(SUBSTITUTE(SUBSTITUTE(F69:F73," ",""),"0",""),"-","")))&gt;(LEN(SUBSTITUTE(SUBSTITUTE(SUBSTITUTE(B69:B73," ",""),"0",""),"-",""))+LEN(SUBSTITUTE(SUBSTITUTE(SUBSTITUTE(C69:C73," ",""),"0",""),"-",""))))*1)</f>
      </c>
      <c r="G76" s="14" t="s">
        <v>348</v>
      </c>
      <c r="I76" s="14" t="s">
        <v>348</v>
      </c>
      <c r="J76" s="14" t="str">
        <f>SUMPRODUCT((UPPER(L69:L73)&lt;&gt;"X")*((LEN(SUBSTITUTE(SUBSTITUTE(SUBSTITUTE(J69:J73," ",""),"0",""),"-",""))+LEN(SUBSTITUTE(SUBSTITUTE(SUBSTITUTE(K69:K73," ",""),"0",""),"-","")))&gt;(LEN(SUBSTITUTE(SUBSTITUTE(SUBSTITUTE(M69:M73," ",""),"0",""),"-",""))+LEN(SUBSTITUTE(SUBSTITUTE(SUBSTITUTE(N69:N73," ",""),"0",""),"-",""))))*1)</f>
      </c>
      <c r="K76" s="14" t="str">
        <f>SUMPRODUCT(LEN(SUBSTITUTE(SUBSTITUTE(SUBSTITUTE(J69:J73," ",""),"0",""),"-",""))+LEN(SUBSTITUTE(SUBSTITUTE(SUBSTITUTE(K69:K73," ",""),"0",""),"-","")))</f>
      </c>
      <c r="L76" s="14"/>
      <c r="M76" s="14" t="str">
        <f>SUMPRODUCT(LEN(SUBSTITUTE(SUBSTITUTE(SUBSTITUTE(M69:M73," ",""),"0",""),"-",""))+LEN(SUBSTITUTE(SUBSTITUTE(SUBSTITUTE(N69:N73," ",""),"0",""),"-","")))</f>
      </c>
      <c r="N76" s="14" t="str">
        <f>SUMPRODUCT((UPPER(L69:L73)&lt;&gt;"X")*((LEN(SUBSTITUTE(SUBSTITUTE(SUBSTITUTE(M69:M73," ",""),"0",""),"-",""))+LEN(SUBSTITUTE(SUBSTITUTE(SUBSTITUTE(N69:N73," ",""),"0",""),"-","")))&gt;(LEN(SUBSTITUTE(SUBSTITUTE(SUBSTITUTE(J69:J73," ",""),"0",""),"-",""))+LEN(SUBSTITUTE(SUBSTITUTE(SUBSTITUTE(K69:K73," ",""),"0",""),"-",""))))*1)</f>
      </c>
      <c r="O76" s="14" t="s">
        <v>348</v>
      </c>
    </row>
    <row r="79">
      <c r="F79" t="s">
        <v>253</v>
      </c>
      <c r="G79" s="19"/>
      <c r="N79" t="s">
        <v>253</v>
      </c>
      <c r="O79" s="19"/>
    </row>
    <row r="80">
      <c r="F80" t="s">
        <v>254</v>
      </c>
      <c r="G80" s="19"/>
      <c r="N80" t="s">
        <v>254</v>
      </c>
      <c r="O80" s="19"/>
    </row>
    <row r="82">
      <c r="A82" s="13" t="s">
        <v>358</v>
      </c>
      <c r="B82" s="13"/>
      <c r="C82" s="13"/>
      <c r="D82" s="13"/>
      <c r="E82" s="13"/>
      <c r="F82" s="13"/>
      <c r="G82" s="13"/>
      <c r="I82" s="13" t="s">
        <v>359</v>
      </c>
      <c r="J82" s="13"/>
      <c r="K82" s="13"/>
      <c r="L82" s="13"/>
      <c r="M82" s="13"/>
      <c r="N82" s="13"/>
      <c r="O82" s="13"/>
    </row>
    <row r="83">
      <c r="A83" s="17" t="s">
        <v>239</v>
      </c>
      <c r="D83" s="14" t="s">
        <v>240</v>
      </c>
      <c r="G83" s="16" t="s">
        <v>241</v>
      </c>
      <c r="I83" s="17" t="s">
        <v>239</v>
      </c>
      <c r="L83" s="14" t="s">
        <v>240</v>
      </c>
      <c r="O83" s="16" t="s">
        <v>241</v>
      </c>
    </row>
    <row r="84">
      <c r="A84" s="14" t="str">
        <f>CONCATENATE("Pool L-2nd ",'Pool Matches'!G514)</f>
      </c>
      <c r="B84" s="14"/>
      <c r="C84" s="14"/>
      <c r="D84" s="18"/>
      <c r="E84" s="14"/>
      <c r="F84" s="14"/>
      <c r="G84" s="14" t="str">
        <f>CONCATENATE("Pool M-1st ",'Pool Matches'!G556)</f>
      </c>
      <c r="I84" s="14" t="str">
        <f>CONCATENATE("Pool M-2nd ",'Pool Matches'!G557)</f>
      </c>
      <c r="J84" s="14"/>
      <c r="K84" s="14"/>
      <c r="L84" s="18"/>
      <c r="M84" s="14"/>
      <c r="N84" s="14"/>
      <c r="O84" s="14" t="str">
        <f>CONCATENATE("Pool L-1st ",'Pool Matches'!G513)</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L-2nd ",'Pool Matches'!G514)</f>
      </c>
      <c r="B91" s="14" t="s">
        <v>247</v>
      </c>
      <c r="C91" s="14" t="s">
        <v>250</v>
      </c>
      <c r="D91" s="14"/>
      <c r="E91" s="14" t="s">
        <v>250</v>
      </c>
      <c r="F91" s="14" t="s">
        <v>247</v>
      </c>
      <c r="G91" s="14" t="str">
        <f>CONCATENATE("Pool M-1st ",'Pool Matches'!G556)</f>
      </c>
      <c r="I91" s="14" t="str">
        <f>CONCATENATE("Pool M-2nd ",'Pool Matches'!G557)</f>
      </c>
      <c r="J91" s="14" t="s">
        <v>247</v>
      </c>
      <c r="K91" s="14" t="s">
        <v>250</v>
      </c>
      <c r="L91" s="14"/>
      <c r="M91" s="14" t="s">
        <v>250</v>
      </c>
      <c r="N91" s="14" t="s">
        <v>247</v>
      </c>
      <c r="O91" s="14" t="str">
        <f>CONCATENATE("Pool L-1st ",'Pool Matches'!G513)</f>
      </c>
    </row>
    <row r="92">
      <c r="A92" s="14" t="s">
        <v>348</v>
      </c>
      <c r="B92" s="14" t="str">
        <f>SUMPRODUCT((UPPER(D85:D89)&lt;&gt;"X")*((LEN(SUBSTITUTE(SUBSTITUTE(SUBSTITUTE(B85:B89," ",""),"0",""),"-",""))+LEN(SUBSTITUTE(SUBSTITUTE(SUBSTITUTE(C85:C89," ",""),"0",""),"-","")))&gt;(LEN(SUBSTITUTE(SUBSTITUTE(SUBSTITUTE(E85:E89," ",""),"0",""),"-",""))+LEN(SUBSTITUTE(SUBSTITUTE(SUBSTITUTE(F85:F89," ",""),"0",""),"-",""))))*1)</f>
      </c>
      <c r="C92" s="14" t="str">
        <f>SUMPRODUCT(LEN(SUBSTITUTE(SUBSTITUTE(SUBSTITUTE(B85:B89," ",""),"0",""),"-",""))+LEN(SUBSTITUTE(SUBSTITUTE(SUBSTITUTE(C85:C89," ",""),"0",""),"-","")))</f>
      </c>
      <c r="D92" s="14"/>
      <c r="E92" s="14" t="str">
        <f>SUMPRODUCT(LEN(SUBSTITUTE(SUBSTITUTE(SUBSTITUTE(E85:E89," ",""),"0",""),"-",""))+LEN(SUBSTITUTE(SUBSTITUTE(SUBSTITUTE(F85:F89," ",""),"0",""),"-","")))</f>
      </c>
      <c r="F92" s="14" t="str">
        <f>SUMPRODUCT((UPPER(D85:D89)&lt;&gt;"X")*((LEN(SUBSTITUTE(SUBSTITUTE(SUBSTITUTE(E85:E89," ",""),"0",""),"-",""))+LEN(SUBSTITUTE(SUBSTITUTE(SUBSTITUTE(F85:F89," ",""),"0",""),"-","")))&gt;(LEN(SUBSTITUTE(SUBSTITUTE(SUBSTITUTE(B85:B89," ",""),"0",""),"-",""))+LEN(SUBSTITUTE(SUBSTITUTE(SUBSTITUTE(C85:C89," ",""),"0",""),"-",""))))*1)</f>
      </c>
      <c r="G92" s="14" t="s">
        <v>348</v>
      </c>
      <c r="I92" s="14" t="s">
        <v>348</v>
      </c>
      <c r="J92" s="14" t="str">
        <f>SUMPRODUCT((UPPER(L85:L89)&lt;&gt;"X")*((LEN(SUBSTITUTE(SUBSTITUTE(SUBSTITUTE(J85:J89," ",""),"0",""),"-",""))+LEN(SUBSTITUTE(SUBSTITUTE(SUBSTITUTE(K85:K89," ",""),"0",""),"-","")))&gt;(LEN(SUBSTITUTE(SUBSTITUTE(SUBSTITUTE(M85:M89," ",""),"0",""),"-",""))+LEN(SUBSTITUTE(SUBSTITUTE(SUBSTITUTE(N85:N89," ",""),"0",""),"-",""))))*1)</f>
      </c>
      <c r="K92" s="14" t="str">
        <f>SUMPRODUCT(LEN(SUBSTITUTE(SUBSTITUTE(SUBSTITUTE(J85:J89," ",""),"0",""),"-",""))+LEN(SUBSTITUTE(SUBSTITUTE(SUBSTITUTE(K85:K89," ",""),"0",""),"-","")))</f>
      </c>
      <c r="L92" s="14"/>
      <c r="M92" s="14" t="str">
        <f>SUMPRODUCT(LEN(SUBSTITUTE(SUBSTITUTE(SUBSTITUTE(M85:M89," ",""),"0",""),"-",""))+LEN(SUBSTITUTE(SUBSTITUTE(SUBSTITUTE(N85:N89," ",""),"0",""),"-","")))</f>
      </c>
      <c r="N92" s="14" t="str">
        <f>SUMPRODUCT((UPPER(L85:L89)&lt;&gt;"X")*((LEN(SUBSTITUTE(SUBSTITUTE(SUBSTITUTE(M85:M89," ",""),"0",""),"-",""))+LEN(SUBSTITUTE(SUBSTITUTE(SUBSTITUTE(N85:N89," ",""),"0",""),"-","")))&gt;(LEN(SUBSTITUTE(SUBSTITUTE(SUBSTITUTE(J85:J89," ",""),"0",""),"-",""))+LEN(SUBSTITUTE(SUBSTITUTE(SUBSTITUTE(K85:K89," ",""),"0",""),"-",""))))*1)</f>
      </c>
      <c r="O92" s="14" t="s">
        <v>348</v>
      </c>
    </row>
    <row r="95">
      <c r="F95" t="s">
        <v>253</v>
      </c>
      <c r="G95" s="19"/>
      <c r="N95" t="s">
        <v>253</v>
      </c>
      <c r="O95" s="19"/>
    </row>
    <row r="96">
      <c r="F96" t="s">
        <v>254</v>
      </c>
      <c r="G96" s="19"/>
      <c r="N96" t="s">
        <v>254</v>
      </c>
      <c r="O96" s="19"/>
    </row>
    <row r="98">
      <c r="A98" s="13" t="s">
        <v>360</v>
      </c>
      <c r="B98" s="13"/>
      <c r="C98" s="13"/>
      <c r="D98" s="13"/>
      <c r="E98" s="13"/>
      <c r="F98" s="13"/>
      <c r="G98" s="13"/>
      <c r="I98" s="13" t="s">
        <v>361</v>
      </c>
      <c r="J98" s="13"/>
      <c r="K98" s="13"/>
      <c r="L98" s="13"/>
      <c r="M98" s="13"/>
      <c r="N98" s="13"/>
      <c r="O98" s="13"/>
    </row>
    <row r="99">
      <c r="A99" s="17" t="s">
        <v>239</v>
      </c>
      <c r="D99" s="14" t="s">
        <v>240</v>
      </c>
      <c r="G99" s="16" t="s">
        <v>241</v>
      </c>
      <c r="I99" s="17" t="s">
        <v>239</v>
      </c>
      <c r="L99" s="14" t="s">
        <v>240</v>
      </c>
      <c r="O99" s="16" t="s">
        <v>241</v>
      </c>
    </row>
    <row r="100">
      <c r="A100" s="14" t="str">
        <f>CONCATENATE("Pool N-2nd ",'Pool Matches'!G600)</f>
      </c>
      <c r="B100" s="14"/>
      <c r="C100" s="14"/>
      <c r="D100" s="18"/>
      <c r="E100" s="14"/>
      <c r="F100" s="14"/>
      <c r="G100" s="14" t="str">
        <f>CONCATENATE("Pool O-1st ",'Pool Matches'!G642)</f>
      </c>
      <c r="I100" s="14" t="str">
        <f>CONCATENATE("Pool O-2nd ",'Pool Matches'!G643)</f>
      </c>
      <c r="J100" s="14"/>
      <c r="K100" s="14"/>
      <c r="L100" s="18"/>
      <c r="M100" s="14"/>
      <c r="N100" s="14"/>
      <c r="O100" s="14" t="str">
        <f>CONCATENATE("Pool N-1st ",'Pool Matches'!G599)</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N-2nd ",'Pool Matches'!G600)</f>
      </c>
      <c r="B107" s="14" t="s">
        <v>247</v>
      </c>
      <c r="C107" s="14" t="s">
        <v>250</v>
      </c>
      <c r="D107" s="14"/>
      <c r="E107" s="14" t="s">
        <v>250</v>
      </c>
      <c r="F107" s="14" t="s">
        <v>247</v>
      </c>
      <c r="G107" s="14" t="str">
        <f>CONCATENATE("Pool O-1st ",'Pool Matches'!G642)</f>
      </c>
      <c r="I107" s="14" t="str">
        <f>CONCATENATE("Pool O-2nd ",'Pool Matches'!G643)</f>
      </c>
      <c r="J107" s="14" t="s">
        <v>247</v>
      </c>
      <c r="K107" s="14" t="s">
        <v>250</v>
      </c>
      <c r="L107" s="14"/>
      <c r="M107" s="14" t="s">
        <v>250</v>
      </c>
      <c r="N107" s="14" t="s">
        <v>247</v>
      </c>
      <c r="O107" s="14" t="str">
        <f>CONCATENATE("Pool N-1st ",'Pool Matches'!G599)</f>
      </c>
    </row>
    <row r="108">
      <c r="A108" s="14" t="s">
        <v>348</v>
      </c>
      <c r="B108" s="14" t="str">
        <f>SUMPRODUCT((UPPER(D101:D105)&lt;&gt;"X")*((LEN(SUBSTITUTE(SUBSTITUTE(SUBSTITUTE(B101:B105," ",""),"0",""),"-",""))+LEN(SUBSTITUTE(SUBSTITUTE(SUBSTITUTE(C101:C105," ",""),"0",""),"-","")))&gt;(LEN(SUBSTITUTE(SUBSTITUTE(SUBSTITUTE(E101:E105," ",""),"0",""),"-",""))+LEN(SUBSTITUTE(SUBSTITUTE(SUBSTITUTE(F101:F105," ",""),"0",""),"-",""))))*1)</f>
      </c>
      <c r="C108" s="14" t="str">
        <f>SUMPRODUCT(LEN(SUBSTITUTE(SUBSTITUTE(SUBSTITUTE(B101:B105," ",""),"0",""),"-",""))+LEN(SUBSTITUTE(SUBSTITUTE(SUBSTITUTE(C101:C105," ",""),"0",""),"-","")))</f>
      </c>
      <c r="D108" s="14"/>
      <c r="E108" s="14" t="str">
        <f>SUMPRODUCT(LEN(SUBSTITUTE(SUBSTITUTE(SUBSTITUTE(E101:E105," ",""),"0",""),"-",""))+LEN(SUBSTITUTE(SUBSTITUTE(SUBSTITUTE(F101:F105," ",""),"0",""),"-","")))</f>
      </c>
      <c r="F108" s="14" t="str">
        <f>SUMPRODUCT((UPPER(D101:D105)&lt;&gt;"X")*((LEN(SUBSTITUTE(SUBSTITUTE(SUBSTITUTE(E101:E105," ",""),"0",""),"-",""))+LEN(SUBSTITUTE(SUBSTITUTE(SUBSTITUTE(F101:F105," ",""),"0",""),"-","")))&gt;(LEN(SUBSTITUTE(SUBSTITUTE(SUBSTITUTE(B101:B105," ",""),"0",""),"-",""))+LEN(SUBSTITUTE(SUBSTITUTE(SUBSTITUTE(C101:C105," ",""),"0",""),"-",""))))*1)</f>
      </c>
      <c r="G108" s="14" t="s">
        <v>348</v>
      </c>
      <c r="I108" s="14" t="s">
        <v>348</v>
      </c>
      <c r="J108" s="14" t="str">
        <f>SUMPRODUCT((UPPER(L101:L105)&lt;&gt;"X")*((LEN(SUBSTITUTE(SUBSTITUTE(SUBSTITUTE(J101:J105," ",""),"0",""),"-",""))+LEN(SUBSTITUTE(SUBSTITUTE(SUBSTITUTE(K101:K105," ",""),"0",""),"-","")))&gt;(LEN(SUBSTITUTE(SUBSTITUTE(SUBSTITUTE(M101:M105," ",""),"0",""),"-",""))+LEN(SUBSTITUTE(SUBSTITUTE(SUBSTITUTE(N101:N105," ",""),"0",""),"-",""))))*1)</f>
      </c>
      <c r="K108" s="14" t="str">
        <f>SUMPRODUCT(LEN(SUBSTITUTE(SUBSTITUTE(SUBSTITUTE(J101:J105," ",""),"0",""),"-",""))+LEN(SUBSTITUTE(SUBSTITUTE(SUBSTITUTE(K101:K105," ",""),"0",""),"-","")))</f>
      </c>
      <c r="L108" s="14"/>
      <c r="M108" s="14" t="str">
        <f>SUMPRODUCT(LEN(SUBSTITUTE(SUBSTITUTE(SUBSTITUTE(M101:M105," ",""),"0",""),"-",""))+LEN(SUBSTITUTE(SUBSTITUTE(SUBSTITUTE(N101:N105," ",""),"0",""),"-","")))</f>
      </c>
      <c r="N108" s="14" t="str">
        <f>SUMPRODUCT((UPPER(L101:L105)&lt;&gt;"X")*((LEN(SUBSTITUTE(SUBSTITUTE(SUBSTITUTE(M101:M105," ",""),"0",""),"-",""))+LEN(SUBSTITUTE(SUBSTITUTE(SUBSTITUTE(N101:N105," ",""),"0",""),"-","")))&gt;(LEN(SUBSTITUTE(SUBSTITUTE(SUBSTITUTE(J101:J105," ",""),"0",""),"-",""))+LEN(SUBSTITUTE(SUBSTITUTE(SUBSTITUTE(K101:K105," ",""),"0",""),"-",""))))*1)</f>
      </c>
      <c r="O108" s="14" t="s">
        <v>348</v>
      </c>
    </row>
    <row r="111">
      <c r="F111" t="s">
        <v>253</v>
      </c>
      <c r="G111" s="19"/>
      <c r="N111" t="s">
        <v>253</v>
      </c>
      <c r="O111" s="19"/>
    </row>
    <row r="112">
      <c r="F112" t="s">
        <v>254</v>
      </c>
      <c r="G112" s="19"/>
      <c r="N112" t="s">
        <v>254</v>
      </c>
      <c r="O112" s="19"/>
    </row>
    <row r="114">
      <c r="A114" s="13" t="s">
        <v>362</v>
      </c>
      <c r="B114" s="13"/>
      <c r="C114" s="13"/>
      <c r="D114" s="13"/>
      <c r="E114" s="13"/>
      <c r="F114" s="13"/>
      <c r="G114" s="13"/>
      <c r="I114" s="13" t="s">
        <v>363</v>
      </c>
      <c r="J114" s="13"/>
      <c r="K114" s="13"/>
      <c r="L114" s="13"/>
      <c r="M114" s="13"/>
      <c r="N114" s="13"/>
      <c r="O114" s="13"/>
    </row>
    <row r="115">
      <c r="A115" s="17" t="s">
        <v>239</v>
      </c>
      <c r="D115" s="14" t="s">
        <v>240</v>
      </c>
      <c r="G115" s="16" t="s">
        <v>241</v>
      </c>
      <c r="I115" s="17" t="s">
        <v>239</v>
      </c>
      <c r="L115" s="14" t="s">
        <v>240</v>
      </c>
      <c r="O115" s="16" t="s">
        <v>241</v>
      </c>
    </row>
    <row r="116">
      <c r="A116" s="14" t="str">
        <f>CONCATENATE("Pool P-2nd ",'Pool Matches'!G668)</f>
      </c>
      <c r="B116" s="14"/>
      <c r="C116" s="14"/>
      <c r="D116" s="18"/>
      <c r="E116" s="14"/>
      <c r="F116" s="14"/>
      <c r="G116" s="14" t="str">
        <f>CONCATENATE("Pool Q-1st ",'Pool Matches'!O40)</f>
      </c>
      <c r="I116" s="14" t="str">
        <f>CONCATENATE("Pool Q-2nd ",'Pool Matches'!O41)</f>
      </c>
      <c r="J116" s="14"/>
      <c r="K116" s="14"/>
      <c r="L116" s="18"/>
      <c r="M116" s="14"/>
      <c r="N116" s="14"/>
      <c r="O116" s="14" t="str">
        <f>CONCATENATE("Pool P-1st ",'Pool Matches'!G667)</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P-2nd ",'Pool Matches'!G668)</f>
      </c>
      <c r="B123" s="14" t="s">
        <v>247</v>
      </c>
      <c r="C123" s="14" t="s">
        <v>250</v>
      </c>
      <c r="D123" s="14"/>
      <c r="E123" s="14" t="s">
        <v>250</v>
      </c>
      <c r="F123" s="14" t="s">
        <v>247</v>
      </c>
      <c r="G123" s="14" t="str">
        <f>CONCATENATE("Pool Q-1st ",'Pool Matches'!O40)</f>
      </c>
      <c r="I123" s="14" t="str">
        <f>CONCATENATE("Pool Q-2nd ",'Pool Matches'!O41)</f>
      </c>
      <c r="J123" s="14" t="s">
        <v>247</v>
      </c>
      <c r="K123" s="14" t="s">
        <v>250</v>
      </c>
      <c r="L123" s="14"/>
      <c r="M123" s="14" t="s">
        <v>250</v>
      </c>
      <c r="N123" s="14" t="s">
        <v>247</v>
      </c>
      <c r="O123" s="14" t="str">
        <f>CONCATENATE("Pool P-1st ",'Pool Matches'!G667)</f>
      </c>
    </row>
    <row r="124">
      <c r="A124" s="14" t="s">
        <v>348</v>
      </c>
      <c r="B124" s="14" t="str">
        <f>SUMPRODUCT((UPPER(D117:D121)&lt;&gt;"X")*((LEN(SUBSTITUTE(SUBSTITUTE(SUBSTITUTE(B117:B121," ",""),"0",""),"-",""))+LEN(SUBSTITUTE(SUBSTITUTE(SUBSTITUTE(C117:C121," ",""),"0",""),"-","")))&gt;(LEN(SUBSTITUTE(SUBSTITUTE(SUBSTITUTE(E117:E121," ",""),"0",""),"-",""))+LEN(SUBSTITUTE(SUBSTITUTE(SUBSTITUTE(F117:F121," ",""),"0",""),"-",""))))*1)</f>
      </c>
      <c r="C124" s="14" t="str">
        <f>SUMPRODUCT(LEN(SUBSTITUTE(SUBSTITUTE(SUBSTITUTE(B117:B121," ",""),"0",""),"-",""))+LEN(SUBSTITUTE(SUBSTITUTE(SUBSTITUTE(C117:C121," ",""),"0",""),"-","")))</f>
      </c>
      <c r="D124" s="14"/>
      <c r="E124" s="14" t="str">
        <f>SUMPRODUCT(LEN(SUBSTITUTE(SUBSTITUTE(SUBSTITUTE(E117:E121," ",""),"0",""),"-",""))+LEN(SUBSTITUTE(SUBSTITUTE(SUBSTITUTE(F117:F121," ",""),"0",""),"-","")))</f>
      </c>
      <c r="F124" s="14" t="str">
        <f>SUMPRODUCT((UPPER(D117:D121)&lt;&gt;"X")*((LEN(SUBSTITUTE(SUBSTITUTE(SUBSTITUTE(E117:E121," ",""),"0",""),"-",""))+LEN(SUBSTITUTE(SUBSTITUTE(SUBSTITUTE(F117:F121," ",""),"0",""),"-","")))&gt;(LEN(SUBSTITUTE(SUBSTITUTE(SUBSTITUTE(B117:B121," ",""),"0",""),"-",""))+LEN(SUBSTITUTE(SUBSTITUTE(SUBSTITUTE(C117:C121," ",""),"0",""),"-",""))))*1)</f>
      </c>
      <c r="G124" s="14" t="s">
        <v>348</v>
      </c>
      <c r="I124" s="14" t="s">
        <v>348</v>
      </c>
      <c r="J124" s="14" t="str">
        <f>SUMPRODUCT((UPPER(L117:L121)&lt;&gt;"X")*((LEN(SUBSTITUTE(SUBSTITUTE(SUBSTITUTE(J117:J121," ",""),"0",""),"-",""))+LEN(SUBSTITUTE(SUBSTITUTE(SUBSTITUTE(K117:K121," ",""),"0",""),"-","")))&gt;(LEN(SUBSTITUTE(SUBSTITUTE(SUBSTITUTE(M117:M121," ",""),"0",""),"-",""))+LEN(SUBSTITUTE(SUBSTITUTE(SUBSTITUTE(N117:N121," ",""),"0",""),"-",""))))*1)</f>
      </c>
      <c r="K124" s="14" t="str">
        <f>SUMPRODUCT(LEN(SUBSTITUTE(SUBSTITUTE(SUBSTITUTE(J117:J121," ",""),"0",""),"-",""))+LEN(SUBSTITUTE(SUBSTITUTE(SUBSTITUTE(K117:K121," ",""),"0",""),"-","")))</f>
      </c>
      <c r="L124" s="14"/>
      <c r="M124" s="14" t="str">
        <f>SUMPRODUCT(LEN(SUBSTITUTE(SUBSTITUTE(SUBSTITUTE(M117:M121," ",""),"0",""),"-",""))+LEN(SUBSTITUTE(SUBSTITUTE(SUBSTITUTE(N117:N121," ",""),"0",""),"-","")))</f>
      </c>
      <c r="N124" s="14" t="str">
        <f>SUMPRODUCT((UPPER(L117:L121)&lt;&gt;"X")*((LEN(SUBSTITUTE(SUBSTITUTE(SUBSTITUTE(M117:M121," ",""),"0",""),"-",""))+LEN(SUBSTITUTE(SUBSTITUTE(SUBSTITUTE(N117:N121," ",""),"0",""),"-","")))&gt;(LEN(SUBSTITUTE(SUBSTITUTE(SUBSTITUTE(J117:J121," ",""),"0",""),"-",""))+LEN(SUBSTITUTE(SUBSTITUTE(SUBSTITUTE(K117:K121," ",""),"0",""),"-",""))))*1)</f>
      </c>
      <c r="O124" s="14" t="s">
        <v>348</v>
      </c>
    </row>
    <row r="127">
      <c r="F127" t="s">
        <v>253</v>
      </c>
      <c r="G127" s="19"/>
      <c r="N127" t="s">
        <v>253</v>
      </c>
      <c r="O127" s="19"/>
    </row>
    <row r="128">
      <c r="F128" t="s">
        <v>254</v>
      </c>
      <c r="G128" s="19"/>
      <c r="N128" t="s">
        <v>254</v>
      </c>
      <c r="O128" s="19"/>
    </row>
    <row r="130">
      <c r="A130" s="13" t="s">
        <v>364</v>
      </c>
      <c r="B130" s="13"/>
      <c r="C130" s="13"/>
      <c r="D130" s="13"/>
      <c r="E130" s="13"/>
      <c r="F130" s="13"/>
      <c r="G130" s="13"/>
      <c r="I130" s="13" t="s">
        <v>365</v>
      </c>
      <c r="J130" s="13"/>
      <c r="K130" s="13"/>
      <c r="L130" s="13"/>
      <c r="M130" s="13"/>
      <c r="N130" s="13"/>
      <c r="O130" s="13"/>
    </row>
    <row r="131">
      <c r="A131" s="17" t="s">
        <v>239</v>
      </c>
      <c r="D131" s="14" t="s">
        <v>240</v>
      </c>
      <c r="G131" s="16" t="s">
        <v>241</v>
      </c>
      <c r="I131" s="17" t="s">
        <v>239</v>
      </c>
      <c r="L131" s="14" t="s">
        <v>240</v>
      </c>
      <c r="O131" s="16" t="s">
        <v>241</v>
      </c>
    </row>
    <row r="132">
      <c r="A132" s="14" t="str">
        <f>CONCATENATE("Pool R-2nd ",'Pool Matches'!O84)</f>
      </c>
      <c r="B132" s="14"/>
      <c r="C132" s="14"/>
      <c r="D132" s="18"/>
      <c r="E132" s="14"/>
      <c r="F132" s="14"/>
      <c r="G132" s="14" t="str">
        <f>CONCATENATE("Pool S-1st ",'Pool Matches'!O126)</f>
      </c>
      <c r="I132" s="14" t="str">
        <f>CONCATENATE("Pool S-2nd ",'Pool Matches'!O127)</f>
      </c>
      <c r="J132" s="14"/>
      <c r="K132" s="14"/>
      <c r="L132" s="18"/>
      <c r="M132" s="14"/>
      <c r="N132" s="14"/>
      <c r="O132" s="14" t="str">
        <f>CONCATENATE("Pool R-1st ",'Pool Matches'!O83)</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R-2nd ",'Pool Matches'!O84)</f>
      </c>
      <c r="B139" s="14" t="s">
        <v>247</v>
      </c>
      <c r="C139" s="14" t="s">
        <v>250</v>
      </c>
      <c r="D139" s="14"/>
      <c r="E139" s="14" t="s">
        <v>250</v>
      </c>
      <c r="F139" s="14" t="s">
        <v>247</v>
      </c>
      <c r="G139" s="14" t="str">
        <f>CONCATENATE("Pool S-1st ",'Pool Matches'!O126)</f>
      </c>
      <c r="I139" s="14" t="str">
        <f>CONCATENATE("Pool S-2nd ",'Pool Matches'!O127)</f>
      </c>
      <c r="J139" s="14" t="s">
        <v>247</v>
      </c>
      <c r="K139" s="14" t="s">
        <v>250</v>
      </c>
      <c r="L139" s="14"/>
      <c r="M139" s="14" t="s">
        <v>250</v>
      </c>
      <c r="N139" s="14" t="s">
        <v>247</v>
      </c>
      <c r="O139" s="14" t="str">
        <f>CONCATENATE("Pool R-1st ",'Pool Matches'!O83)</f>
      </c>
    </row>
    <row r="140">
      <c r="A140" s="14" t="s">
        <v>348</v>
      </c>
      <c r="B140" s="14" t="str">
        <f>SUMPRODUCT((UPPER(D133:D137)&lt;&gt;"X")*((LEN(SUBSTITUTE(SUBSTITUTE(SUBSTITUTE(B133:B137," ",""),"0",""),"-",""))+LEN(SUBSTITUTE(SUBSTITUTE(SUBSTITUTE(C133:C137," ",""),"0",""),"-","")))&gt;(LEN(SUBSTITUTE(SUBSTITUTE(SUBSTITUTE(E133:E137," ",""),"0",""),"-",""))+LEN(SUBSTITUTE(SUBSTITUTE(SUBSTITUTE(F133:F137," ",""),"0",""),"-",""))))*1)</f>
      </c>
      <c r="C140" s="14" t="str">
        <f>SUMPRODUCT(LEN(SUBSTITUTE(SUBSTITUTE(SUBSTITUTE(B133:B137," ",""),"0",""),"-",""))+LEN(SUBSTITUTE(SUBSTITUTE(SUBSTITUTE(C133:C137," ",""),"0",""),"-","")))</f>
      </c>
      <c r="D140" s="14"/>
      <c r="E140" s="14" t="str">
        <f>SUMPRODUCT(LEN(SUBSTITUTE(SUBSTITUTE(SUBSTITUTE(E133:E137," ",""),"0",""),"-",""))+LEN(SUBSTITUTE(SUBSTITUTE(SUBSTITUTE(F133:F137," ",""),"0",""),"-","")))</f>
      </c>
      <c r="F140" s="14" t="str">
        <f>SUMPRODUCT((UPPER(D133:D137)&lt;&gt;"X")*((LEN(SUBSTITUTE(SUBSTITUTE(SUBSTITUTE(E133:E137," ",""),"0",""),"-",""))+LEN(SUBSTITUTE(SUBSTITUTE(SUBSTITUTE(F133:F137," ",""),"0",""),"-","")))&gt;(LEN(SUBSTITUTE(SUBSTITUTE(SUBSTITUTE(B133:B137," ",""),"0",""),"-",""))+LEN(SUBSTITUTE(SUBSTITUTE(SUBSTITUTE(C133:C137," ",""),"0",""),"-",""))))*1)</f>
      </c>
      <c r="G140" s="14" t="s">
        <v>348</v>
      </c>
      <c r="I140" s="14" t="s">
        <v>348</v>
      </c>
      <c r="J140" s="14" t="str">
        <f>SUMPRODUCT((UPPER(L133:L137)&lt;&gt;"X")*((LEN(SUBSTITUTE(SUBSTITUTE(SUBSTITUTE(J133:J137," ",""),"0",""),"-",""))+LEN(SUBSTITUTE(SUBSTITUTE(SUBSTITUTE(K133:K137," ",""),"0",""),"-","")))&gt;(LEN(SUBSTITUTE(SUBSTITUTE(SUBSTITUTE(M133:M137," ",""),"0",""),"-",""))+LEN(SUBSTITUTE(SUBSTITUTE(SUBSTITUTE(N133:N137," ",""),"0",""),"-",""))))*1)</f>
      </c>
      <c r="K140" s="14" t="str">
        <f>SUMPRODUCT(LEN(SUBSTITUTE(SUBSTITUTE(SUBSTITUTE(J133:J137," ",""),"0",""),"-",""))+LEN(SUBSTITUTE(SUBSTITUTE(SUBSTITUTE(K133:K137," ",""),"0",""),"-","")))</f>
      </c>
      <c r="L140" s="14"/>
      <c r="M140" s="14" t="str">
        <f>SUMPRODUCT(LEN(SUBSTITUTE(SUBSTITUTE(SUBSTITUTE(M133:M137," ",""),"0",""),"-",""))+LEN(SUBSTITUTE(SUBSTITUTE(SUBSTITUTE(N133:N137," ",""),"0",""),"-","")))</f>
      </c>
      <c r="N140" s="14" t="str">
        <f>SUMPRODUCT((UPPER(L133:L137)&lt;&gt;"X")*((LEN(SUBSTITUTE(SUBSTITUTE(SUBSTITUTE(M133:M137," ",""),"0",""),"-",""))+LEN(SUBSTITUTE(SUBSTITUTE(SUBSTITUTE(N133:N137," ",""),"0",""),"-","")))&gt;(LEN(SUBSTITUTE(SUBSTITUTE(SUBSTITUTE(J133:J137," ",""),"0",""),"-",""))+LEN(SUBSTITUTE(SUBSTITUTE(SUBSTITUTE(K133:K137," ",""),"0",""),"-",""))))*1)</f>
      </c>
      <c r="O140" s="14" t="s">
        <v>348</v>
      </c>
    </row>
    <row r="143">
      <c r="F143" t="s">
        <v>253</v>
      </c>
      <c r="G143" s="19"/>
      <c r="N143" t="s">
        <v>253</v>
      </c>
      <c r="O143" s="19"/>
    </row>
    <row r="144">
      <c r="F144" t="s">
        <v>254</v>
      </c>
      <c r="G144" s="19"/>
      <c r="N144" t="s">
        <v>254</v>
      </c>
      <c r="O144" s="19"/>
    </row>
    <row r="146">
      <c r="A146" s="13" t="s">
        <v>366</v>
      </c>
      <c r="B146" s="13"/>
      <c r="C146" s="13"/>
      <c r="D146" s="13"/>
      <c r="E146" s="13"/>
      <c r="F146" s="13"/>
      <c r="G146" s="13"/>
      <c r="I146" s="13" t="s">
        <v>367</v>
      </c>
      <c r="J146" s="13"/>
      <c r="K146" s="13"/>
      <c r="L146" s="13"/>
      <c r="M146" s="13"/>
      <c r="N146" s="13"/>
      <c r="O146" s="13"/>
    </row>
    <row r="147">
      <c r="A147" s="17" t="s">
        <v>239</v>
      </c>
      <c r="D147" s="14" t="s">
        <v>240</v>
      </c>
      <c r="G147" s="16" t="s">
        <v>241</v>
      </c>
      <c r="I147" s="17" t="s">
        <v>239</v>
      </c>
      <c r="L147" s="14" t="s">
        <v>240</v>
      </c>
      <c r="O147" s="16" t="s">
        <v>241</v>
      </c>
    </row>
    <row r="148">
      <c r="A148" s="14" t="str">
        <f>CONCATENATE("Pool T-2nd ",'Pool Matches'!O170)</f>
      </c>
      <c r="B148" s="14"/>
      <c r="C148" s="14"/>
      <c r="D148" s="18"/>
      <c r="E148" s="14"/>
      <c r="F148" s="14"/>
      <c r="G148" s="14" t="str">
        <f>CONCATENATE("Pool U-1st ",'Pool Matches'!O212)</f>
      </c>
      <c r="I148" s="14" t="str">
        <f>CONCATENATE("Pool U-2nd ",'Pool Matches'!O213)</f>
      </c>
      <c r="J148" s="14"/>
      <c r="K148" s="14"/>
      <c r="L148" s="18"/>
      <c r="M148" s="14"/>
      <c r="N148" s="14"/>
      <c r="O148" s="14" t="str">
        <f>CONCATENATE("Pool T-1st ",'Pool Matches'!O169)</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T-2nd ",'Pool Matches'!O170)</f>
      </c>
      <c r="B155" s="14" t="s">
        <v>247</v>
      </c>
      <c r="C155" s="14" t="s">
        <v>250</v>
      </c>
      <c r="D155" s="14"/>
      <c r="E155" s="14" t="s">
        <v>250</v>
      </c>
      <c r="F155" s="14" t="s">
        <v>247</v>
      </c>
      <c r="G155" s="14" t="str">
        <f>CONCATENATE("Pool U-1st ",'Pool Matches'!O212)</f>
      </c>
      <c r="I155" s="14" t="str">
        <f>CONCATENATE("Pool U-2nd ",'Pool Matches'!O213)</f>
      </c>
      <c r="J155" s="14" t="s">
        <v>247</v>
      </c>
      <c r="K155" s="14" t="s">
        <v>250</v>
      </c>
      <c r="L155" s="14"/>
      <c r="M155" s="14" t="s">
        <v>250</v>
      </c>
      <c r="N155" s="14" t="s">
        <v>247</v>
      </c>
      <c r="O155" s="14" t="str">
        <f>CONCATENATE("Pool T-1st ",'Pool Matches'!O169)</f>
      </c>
    </row>
    <row r="156">
      <c r="A156" s="14" t="s">
        <v>348</v>
      </c>
      <c r="B156" s="14" t="str">
        <f>SUMPRODUCT((UPPER(D149:D153)&lt;&gt;"X")*((LEN(SUBSTITUTE(SUBSTITUTE(SUBSTITUTE(B149:B153," ",""),"0",""),"-",""))+LEN(SUBSTITUTE(SUBSTITUTE(SUBSTITUTE(C149:C153," ",""),"0",""),"-","")))&gt;(LEN(SUBSTITUTE(SUBSTITUTE(SUBSTITUTE(E149:E153," ",""),"0",""),"-",""))+LEN(SUBSTITUTE(SUBSTITUTE(SUBSTITUTE(F149:F153," ",""),"0",""),"-",""))))*1)</f>
      </c>
      <c r="C156" s="14" t="str">
        <f>SUMPRODUCT(LEN(SUBSTITUTE(SUBSTITUTE(SUBSTITUTE(B149:B153," ",""),"0",""),"-",""))+LEN(SUBSTITUTE(SUBSTITUTE(SUBSTITUTE(C149:C153," ",""),"0",""),"-","")))</f>
      </c>
      <c r="D156" s="14"/>
      <c r="E156" s="14" t="str">
        <f>SUMPRODUCT(LEN(SUBSTITUTE(SUBSTITUTE(SUBSTITUTE(E149:E153," ",""),"0",""),"-",""))+LEN(SUBSTITUTE(SUBSTITUTE(SUBSTITUTE(F149:F153," ",""),"0",""),"-","")))</f>
      </c>
      <c r="F156" s="14" t="str">
        <f>SUMPRODUCT((UPPER(D149:D153)&lt;&gt;"X")*((LEN(SUBSTITUTE(SUBSTITUTE(SUBSTITUTE(E149:E153," ",""),"0",""),"-",""))+LEN(SUBSTITUTE(SUBSTITUTE(SUBSTITUTE(F149:F153," ",""),"0",""),"-","")))&gt;(LEN(SUBSTITUTE(SUBSTITUTE(SUBSTITUTE(B149:B153," ",""),"0",""),"-",""))+LEN(SUBSTITUTE(SUBSTITUTE(SUBSTITUTE(C149:C153," ",""),"0",""),"-",""))))*1)</f>
      </c>
      <c r="G156" s="14" t="s">
        <v>348</v>
      </c>
      <c r="I156" s="14" t="s">
        <v>348</v>
      </c>
      <c r="J156" s="14" t="str">
        <f>SUMPRODUCT((UPPER(L149:L153)&lt;&gt;"X")*((LEN(SUBSTITUTE(SUBSTITUTE(SUBSTITUTE(J149:J153," ",""),"0",""),"-",""))+LEN(SUBSTITUTE(SUBSTITUTE(SUBSTITUTE(K149:K153," ",""),"0",""),"-","")))&gt;(LEN(SUBSTITUTE(SUBSTITUTE(SUBSTITUTE(M149:M153," ",""),"0",""),"-",""))+LEN(SUBSTITUTE(SUBSTITUTE(SUBSTITUTE(N149:N153," ",""),"0",""),"-",""))))*1)</f>
      </c>
      <c r="K156" s="14" t="str">
        <f>SUMPRODUCT(LEN(SUBSTITUTE(SUBSTITUTE(SUBSTITUTE(J149:J153," ",""),"0",""),"-",""))+LEN(SUBSTITUTE(SUBSTITUTE(SUBSTITUTE(K149:K153," ",""),"0",""),"-","")))</f>
      </c>
      <c r="L156" s="14"/>
      <c r="M156" s="14" t="str">
        <f>SUMPRODUCT(LEN(SUBSTITUTE(SUBSTITUTE(SUBSTITUTE(M149:M153," ",""),"0",""),"-",""))+LEN(SUBSTITUTE(SUBSTITUTE(SUBSTITUTE(N149:N153," ",""),"0",""),"-","")))</f>
      </c>
      <c r="N156" s="14" t="str">
        <f>SUMPRODUCT((UPPER(L149:L153)&lt;&gt;"X")*((LEN(SUBSTITUTE(SUBSTITUTE(SUBSTITUTE(M149:M153," ",""),"0",""),"-",""))+LEN(SUBSTITUTE(SUBSTITUTE(SUBSTITUTE(N149:N153," ",""),"0",""),"-","")))&gt;(LEN(SUBSTITUTE(SUBSTITUTE(SUBSTITUTE(J149:J153," ",""),"0",""),"-",""))+LEN(SUBSTITUTE(SUBSTITUTE(SUBSTITUTE(K149:K153," ",""),"0",""),"-",""))))*1)</f>
      </c>
      <c r="O156" s="14" t="s">
        <v>348</v>
      </c>
    </row>
    <row r="159">
      <c r="F159" t="s">
        <v>253</v>
      </c>
      <c r="G159" s="19"/>
      <c r="N159" t="s">
        <v>253</v>
      </c>
      <c r="O159" s="19"/>
    </row>
    <row r="160">
      <c r="F160" t="s">
        <v>254</v>
      </c>
      <c r="G160" s="19"/>
      <c r="N160" t="s">
        <v>254</v>
      </c>
      <c r="O160" s="19"/>
    </row>
    <row r="162">
      <c r="A162" s="13" t="s">
        <v>368</v>
      </c>
      <c r="B162" s="13"/>
      <c r="C162" s="13"/>
      <c r="D162" s="13"/>
      <c r="E162" s="13"/>
      <c r="F162" s="13"/>
      <c r="G162" s="13"/>
      <c r="I162" s="13" t="s">
        <v>369</v>
      </c>
      <c r="J162" s="13"/>
      <c r="K162" s="13"/>
      <c r="L162" s="13"/>
      <c r="M162" s="13"/>
      <c r="N162" s="13"/>
      <c r="O162" s="13"/>
    </row>
    <row r="163">
      <c r="A163" s="17" t="s">
        <v>239</v>
      </c>
      <c r="D163" s="14" t="s">
        <v>240</v>
      </c>
      <c r="G163" s="16" t="s">
        <v>241</v>
      </c>
      <c r="I163" s="17" t="s">
        <v>239</v>
      </c>
      <c r="L163" s="14" t="s">
        <v>240</v>
      </c>
      <c r="O163" s="16" t="s">
        <v>241</v>
      </c>
    </row>
    <row r="164">
      <c r="A164" s="14" t="str">
        <f>CONCATENATE("Pool V-2nd ",'Pool Matches'!O256)</f>
      </c>
      <c r="B164" s="14"/>
      <c r="C164" s="14"/>
      <c r="D164" s="18"/>
      <c r="E164" s="14"/>
      <c r="F164" s="14"/>
      <c r="G164" s="14" t="str">
        <f>CONCATENATE("Pool W-1st ",'Pool Matches'!O298)</f>
      </c>
      <c r="I164" s="14" t="str">
        <f>CONCATENATE("Pool W-2nd ",'Pool Matches'!O299)</f>
      </c>
      <c r="J164" s="14"/>
      <c r="K164" s="14"/>
      <c r="L164" s="18"/>
      <c r="M164" s="14"/>
      <c r="N164" s="14"/>
      <c r="O164" s="14" t="str">
        <f>CONCATENATE("Pool V-1st ",'Pool Matches'!O255)</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V-2nd ",'Pool Matches'!O256)</f>
      </c>
      <c r="B171" s="14" t="s">
        <v>247</v>
      </c>
      <c r="C171" s="14" t="s">
        <v>250</v>
      </c>
      <c r="D171" s="14"/>
      <c r="E171" s="14" t="s">
        <v>250</v>
      </c>
      <c r="F171" s="14" t="s">
        <v>247</v>
      </c>
      <c r="G171" s="14" t="str">
        <f>CONCATENATE("Pool W-1st ",'Pool Matches'!O298)</f>
      </c>
      <c r="I171" s="14" t="str">
        <f>CONCATENATE("Pool W-2nd ",'Pool Matches'!O299)</f>
      </c>
      <c r="J171" s="14" t="s">
        <v>247</v>
      </c>
      <c r="K171" s="14" t="s">
        <v>250</v>
      </c>
      <c r="L171" s="14"/>
      <c r="M171" s="14" t="s">
        <v>250</v>
      </c>
      <c r="N171" s="14" t="s">
        <v>247</v>
      </c>
      <c r="O171" s="14" t="str">
        <f>CONCATENATE("Pool V-1st ",'Pool Matches'!O255)</f>
      </c>
    </row>
    <row r="172">
      <c r="A172" s="14" t="s">
        <v>348</v>
      </c>
      <c r="B172" s="14" t="str">
        <f>SUMPRODUCT((UPPER(D165:D169)&lt;&gt;"X")*((LEN(SUBSTITUTE(SUBSTITUTE(SUBSTITUTE(B165:B169," ",""),"0",""),"-",""))+LEN(SUBSTITUTE(SUBSTITUTE(SUBSTITUTE(C165:C169," ",""),"0",""),"-","")))&gt;(LEN(SUBSTITUTE(SUBSTITUTE(SUBSTITUTE(E165:E169," ",""),"0",""),"-",""))+LEN(SUBSTITUTE(SUBSTITUTE(SUBSTITUTE(F165:F169," ",""),"0",""),"-",""))))*1)</f>
      </c>
      <c r="C172" s="14" t="str">
        <f>SUMPRODUCT(LEN(SUBSTITUTE(SUBSTITUTE(SUBSTITUTE(B165:B169," ",""),"0",""),"-",""))+LEN(SUBSTITUTE(SUBSTITUTE(SUBSTITUTE(C165:C169," ",""),"0",""),"-","")))</f>
      </c>
      <c r="D172" s="14"/>
      <c r="E172" s="14" t="str">
        <f>SUMPRODUCT(LEN(SUBSTITUTE(SUBSTITUTE(SUBSTITUTE(E165:E169," ",""),"0",""),"-",""))+LEN(SUBSTITUTE(SUBSTITUTE(SUBSTITUTE(F165:F169," ",""),"0",""),"-","")))</f>
      </c>
      <c r="F172" s="14" t="str">
        <f>SUMPRODUCT((UPPER(D165:D169)&lt;&gt;"X")*((LEN(SUBSTITUTE(SUBSTITUTE(SUBSTITUTE(E165:E169," ",""),"0",""),"-",""))+LEN(SUBSTITUTE(SUBSTITUTE(SUBSTITUTE(F165:F169," ",""),"0",""),"-","")))&gt;(LEN(SUBSTITUTE(SUBSTITUTE(SUBSTITUTE(B165:B169," ",""),"0",""),"-",""))+LEN(SUBSTITUTE(SUBSTITUTE(SUBSTITUTE(C165:C169," ",""),"0",""),"-",""))))*1)</f>
      </c>
      <c r="G172" s="14" t="s">
        <v>348</v>
      </c>
      <c r="I172" s="14" t="s">
        <v>348</v>
      </c>
      <c r="J172" s="14" t="str">
        <f>SUMPRODUCT((UPPER(L165:L169)&lt;&gt;"X")*((LEN(SUBSTITUTE(SUBSTITUTE(SUBSTITUTE(J165:J169," ",""),"0",""),"-",""))+LEN(SUBSTITUTE(SUBSTITUTE(SUBSTITUTE(K165:K169," ",""),"0",""),"-","")))&gt;(LEN(SUBSTITUTE(SUBSTITUTE(SUBSTITUTE(M165:M169," ",""),"0",""),"-",""))+LEN(SUBSTITUTE(SUBSTITUTE(SUBSTITUTE(N165:N169," ",""),"0",""),"-",""))))*1)</f>
      </c>
      <c r="K172" s="14" t="str">
        <f>SUMPRODUCT(LEN(SUBSTITUTE(SUBSTITUTE(SUBSTITUTE(J165:J169," ",""),"0",""),"-",""))+LEN(SUBSTITUTE(SUBSTITUTE(SUBSTITUTE(K165:K169," ",""),"0",""),"-","")))</f>
      </c>
      <c r="L172" s="14"/>
      <c r="M172" s="14" t="str">
        <f>SUMPRODUCT(LEN(SUBSTITUTE(SUBSTITUTE(SUBSTITUTE(M165:M169," ",""),"0",""),"-",""))+LEN(SUBSTITUTE(SUBSTITUTE(SUBSTITUTE(N165:N169," ",""),"0",""),"-","")))</f>
      </c>
      <c r="N172" s="14" t="str">
        <f>SUMPRODUCT((UPPER(L165:L169)&lt;&gt;"X")*((LEN(SUBSTITUTE(SUBSTITUTE(SUBSTITUTE(M165:M169," ",""),"0",""),"-",""))+LEN(SUBSTITUTE(SUBSTITUTE(SUBSTITUTE(N165:N169," ",""),"0",""),"-","")))&gt;(LEN(SUBSTITUTE(SUBSTITUTE(SUBSTITUTE(J165:J169," ",""),"0",""),"-",""))+LEN(SUBSTITUTE(SUBSTITUTE(SUBSTITUTE(K165:K169," ",""),"0",""),"-",""))))*1)</f>
      </c>
      <c r="O172" s="14" t="s">
        <v>348</v>
      </c>
    </row>
    <row r="175">
      <c r="F175" t="s">
        <v>253</v>
      </c>
      <c r="G175" s="19"/>
      <c r="N175" t="s">
        <v>253</v>
      </c>
      <c r="O175" s="19"/>
    </row>
    <row r="176">
      <c r="F176" t="s">
        <v>254</v>
      </c>
      <c r="G176" s="19"/>
      <c r="N176" t="s">
        <v>254</v>
      </c>
      <c r="O176" s="19"/>
    </row>
    <row r="178">
      <c r="A178" s="13" t="s">
        <v>370</v>
      </c>
      <c r="B178" s="13"/>
      <c r="C178" s="13"/>
      <c r="D178" s="13"/>
      <c r="E178" s="13"/>
      <c r="F178" s="13"/>
      <c r="G178" s="13"/>
      <c r="I178" s="13" t="s">
        <v>371</v>
      </c>
      <c r="J178" s="13"/>
      <c r="K178" s="13"/>
      <c r="L178" s="13"/>
      <c r="M178" s="13"/>
      <c r="N178" s="13"/>
      <c r="O178" s="13"/>
    </row>
    <row r="179">
      <c r="A179" s="17" t="s">
        <v>239</v>
      </c>
      <c r="D179" s="14" t="s">
        <v>240</v>
      </c>
      <c r="G179" s="16" t="s">
        <v>241</v>
      </c>
      <c r="I179" s="17" t="s">
        <v>239</v>
      </c>
      <c r="L179" s="14" t="s">
        <v>240</v>
      </c>
      <c r="O179" s="16" t="s">
        <v>241</v>
      </c>
    </row>
    <row r="180">
      <c r="A180" s="14" t="str">
        <f>CONCATENATE("Pool X-2nd ",'Pool Matches'!O342)</f>
      </c>
      <c r="B180" s="14"/>
      <c r="C180" s="14"/>
      <c r="D180" s="18"/>
      <c r="E180" s="14"/>
      <c r="F180" s="14"/>
      <c r="G180" s="14" t="str">
        <f>CONCATENATE("Pool Y-1st ",'Pool Matches'!O384)</f>
      </c>
      <c r="I180" s="14" t="str">
        <f>CONCATENATE("Pool Y-2nd ",'Pool Matches'!O385)</f>
      </c>
      <c r="J180" s="14"/>
      <c r="K180" s="14"/>
      <c r="L180" s="18"/>
      <c r="M180" s="14"/>
      <c r="N180" s="14"/>
      <c r="O180" s="14" t="str">
        <f>CONCATENATE("Pool X-1st ",'Pool Matches'!O341)</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X-2nd ",'Pool Matches'!O342)</f>
      </c>
      <c r="B187" s="14" t="s">
        <v>247</v>
      </c>
      <c r="C187" s="14" t="s">
        <v>250</v>
      </c>
      <c r="D187" s="14"/>
      <c r="E187" s="14" t="s">
        <v>250</v>
      </c>
      <c r="F187" s="14" t="s">
        <v>247</v>
      </c>
      <c r="G187" s="14" t="str">
        <f>CONCATENATE("Pool Y-1st ",'Pool Matches'!O384)</f>
      </c>
      <c r="I187" s="14" t="str">
        <f>CONCATENATE("Pool Y-2nd ",'Pool Matches'!O385)</f>
      </c>
      <c r="J187" s="14" t="s">
        <v>247</v>
      </c>
      <c r="K187" s="14" t="s">
        <v>250</v>
      </c>
      <c r="L187" s="14"/>
      <c r="M187" s="14" t="s">
        <v>250</v>
      </c>
      <c r="N187" s="14" t="s">
        <v>247</v>
      </c>
      <c r="O187" s="14" t="str">
        <f>CONCATENATE("Pool X-1st ",'Pool Matches'!O341)</f>
      </c>
    </row>
    <row r="188">
      <c r="A188" s="14" t="s">
        <v>348</v>
      </c>
      <c r="B188" s="14" t="str">
        <f>SUMPRODUCT((UPPER(D181:D185)&lt;&gt;"X")*((LEN(SUBSTITUTE(SUBSTITUTE(SUBSTITUTE(B181:B185," ",""),"0",""),"-",""))+LEN(SUBSTITUTE(SUBSTITUTE(SUBSTITUTE(C181:C185," ",""),"0",""),"-","")))&gt;(LEN(SUBSTITUTE(SUBSTITUTE(SUBSTITUTE(E181:E185," ",""),"0",""),"-",""))+LEN(SUBSTITUTE(SUBSTITUTE(SUBSTITUTE(F181:F185," ",""),"0",""),"-",""))))*1)</f>
      </c>
      <c r="C188" s="14" t="str">
        <f>SUMPRODUCT(LEN(SUBSTITUTE(SUBSTITUTE(SUBSTITUTE(B181:B185," ",""),"0",""),"-",""))+LEN(SUBSTITUTE(SUBSTITUTE(SUBSTITUTE(C181:C185," ",""),"0",""),"-","")))</f>
      </c>
      <c r="D188" s="14"/>
      <c r="E188" s="14" t="str">
        <f>SUMPRODUCT(LEN(SUBSTITUTE(SUBSTITUTE(SUBSTITUTE(E181:E185," ",""),"0",""),"-",""))+LEN(SUBSTITUTE(SUBSTITUTE(SUBSTITUTE(F181:F185," ",""),"0",""),"-","")))</f>
      </c>
      <c r="F188" s="14" t="str">
        <f>SUMPRODUCT((UPPER(D181:D185)&lt;&gt;"X")*((LEN(SUBSTITUTE(SUBSTITUTE(SUBSTITUTE(E181:E185," ",""),"0",""),"-",""))+LEN(SUBSTITUTE(SUBSTITUTE(SUBSTITUTE(F181:F185," ",""),"0",""),"-","")))&gt;(LEN(SUBSTITUTE(SUBSTITUTE(SUBSTITUTE(B181:B185," ",""),"0",""),"-",""))+LEN(SUBSTITUTE(SUBSTITUTE(SUBSTITUTE(C181:C185," ",""),"0",""),"-",""))))*1)</f>
      </c>
      <c r="G188" s="14" t="s">
        <v>348</v>
      </c>
      <c r="I188" s="14" t="s">
        <v>348</v>
      </c>
      <c r="J188" s="14" t="str">
        <f>SUMPRODUCT((UPPER(L181:L185)&lt;&gt;"X")*((LEN(SUBSTITUTE(SUBSTITUTE(SUBSTITUTE(J181:J185," ",""),"0",""),"-",""))+LEN(SUBSTITUTE(SUBSTITUTE(SUBSTITUTE(K181:K185," ",""),"0",""),"-","")))&gt;(LEN(SUBSTITUTE(SUBSTITUTE(SUBSTITUTE(M181:M185," ",""),"0",""),"-",""))+LEN(SUBSTITUTE(SUBSTITUTE(SUBSTITUTE(N181:N185," ",""),"0",""),"-",""))))*1)</f>
      </c>
      <c r="K188" s="14" t="str">
        <f>SUMPRODUCT(LEN(SUBSTITUTE(SUBSTITUTE(SUBSTITUTE(J181:J185," ",""),"0",""),"-",""))+LEN(SUBSTITUTE(SUBSTITUTE(SUBSTITUTE(K181:K185," ",""),"0",""),"-","")))</f>
      </c>
      <c r="L188" s="14"/>
      <c r="M188" s="14" t="str">
        <f>SUMPRODUCT(LEN(SUBSTITUTE(SUBSTITUTE(SUBSTITUTE(M181:M185," ",""),"0",""),"-",""))+LEN(SUBSTITUTE(SUBSTITUTE(SUBSTITUTE(N181:N185," ",""),"0",""),"-","")))</f>
      </c>
      <c r="N188" s="14" t="str">
        <f>SUMPRODUCT((UPPER(L181:L185)&lt;&gt;"X")*((LEN(SUBSTITUTE(SUBSTITUTE(SUBSTITUTE(M181:M185," ",""),"0",""),"-",""))+LEN(SUBSTITUTE(SUBSTITUTE(SUBSTITUTE(N181:N185," ",""),"0",""),"-","")))&gt;(LEN(SUBSTITUTE(SUBSTITUTE(SUBSTITUTE(J181:J185," ",""),"0",""),"-",""))+LEN(SUBSTITUTE(SUBSTITUTE(SUBSTITUTE(K181:K185," ",""),"0",""),"-",""))))*1)</f>
      </c>
      <c r="O188" s="14" t="s">
        <v>348</v>
      </c>
    </row>
    <row r="191">
      <c r="F191" t="s">
        <v>253</v>
      </c>
      <c r="G191" s="19"/>
      <c r="N191" t="s">
        <v>253</v>
      </c>
      <c r="O191" s="19"/>
    </row>
    <row r="192">
      <c r="F192" t="s">
        <v>254</v>
      </c>
      <c r="G192" s="19"/>
      <c r="N192" t="s">
        <v>254</v>
      </c>
      <c r="O192" s="19"/>
    </row>
    <row r="194">
      <c r="A194" s="13" t="s">
        <v>372</v>
      </c>
      <c r="B194" s="13"/>
      <c r="C194" s="13"/>
      <c r="D194" s="13"/>
      <c r="E194" s="13"/>
      <c r="F194" s="13"/>
      <c r="G194" s="13"/>
      <c r="I194" s="13" t="s">
        <v>373</v>
      </c>
      <c r="J194" s="13"/>
      <c r="K194" s="13"/>
      <c r="L194" s="13"/>
      <c r="M194" s="13"/>
      <c r="N194" s="13"/>
      <c r="O194" s="13"/>
    </row>
    <row r="195">
      <c r="A195" s="17" t="s">
        <v>239</v>
      </c>
      <c r="D195" s="14" t="s">
        <v>240</v>
      </c>
      <c r="G195" s="16" t="s">
        <v>241</v>
      </c>
      <c r="I195" s="17" t="s">
        <v>239</v>
      </c>
      <c r="L195" s="14" t="s">
        <v>240</v>
      </c>
      <c r="O195" s="16" t="s">
        <v>241</v>
      </c>
    </row>
    <row r="196">
      <c r="A196" s="14" t="str">
        <f>CONCATENATE("Pool Z-2nd ",'Pool Matches'!O428)</f>
      </c>
      <c r="B196" s="14"/>
      <c r="C196" s="14"/>
      <c r="D196" s="18"/>
      <c r="E196" s="14"/>
      <c r="F196" s="14"/>
      <c r="G196" s="14" t="str">
        <f>CONCATENATE("Pool AA-1st ",'Pool Matches'!O470)</f>
      </c>
      <c r="I196" s="14" t="str">
        <f>CONCATENATE("Pool AA-2nd ",'Pool Matches'!O471)</f>
      </c>
      <c r="J196" s="14"/>
      <c r="K196" s="14"/>
      <c r="L196" s="18"/>
      <c r="M196" s="14"/>
      <c r="N196" s="14"/>
      <c r="O196" s="14" t="str">
        <f>CONCATENATE("Pool Z-1st ",'Pool Matches'!O427)</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Z-2nd ",'Pool Matches'!O428)</f>
      </c>
      <c r="B203" s="14" t="s">
        <v>247</v>
      </c>
      <c r="C203" s="14" t="s">
        <v>250</v>
      </c>
      <c r="D203" s="14"/>
      <c r="E203" s="14" t="s">
        <v>250</v>
      </c>
      <c r="F203" s="14" t="s">
        <v>247</v>
      </c>
      <c r="G203" s="14" t="str">
        <f>CONCATENATE("Pool AA-1st ",'Pool Matches'!O470)</f>
      </c>
      <c r="I203" s="14" t="str">
        <f>CONCATENATE("Pool AA-2nd ",'Pool Matches'!O471)</f>
      </c>
      <c r="J203" s="14" t="s">
        <v>247</v>
      </c>
      <c r="K203" s="14" t="s">
        <v>250</v>
      </c>
      <c r="L203" s="14"/>
      <c r="M203" s="14" t="s">
        <v>250</v>
      </c>
      <c r="N203" s="14" t="s">
        <v>247</v>
      </c>
      <c r="O203" s="14" t="str">
        <f>CONCATENATE("Pool Z-1st ",'Pool Matches'!O427)</f>
      </c>
    </row>
    <row r="204">
      <c r="A204" s="14" t="s">
        <v>348</v>
      </c>
      <c r="B204" s="14" t="str">
        <f>SUMPRODUCT((UPPER(D197:D201)&lt;&gt;"X")*((LEN(SUBSTITUTE(SUBSTITUTE(SUBSTITUTE(B197:B201," ",""),"0",""),"-",""))+LEN(SUBSTITUTE(SUBSTITUTE(SUBSTITUTE(C197:C201," ",""),"0",""),"-","")))&gt;(LEN(SUBSTITUTE(SUBSTITUTE(SUBSTITUTE(E197:E201," ",""),"0",""),"-",""))+LEN(SUBSTITUTE(SUBSTITUTE(SUBSTITUTE(F197:F201," ",""),"0",""),"-",""))))*1)</f>
      </c>
      <c r="C204" s="14" t="str">
        <f>SUMPRODUCT(LEN(SUBSTITUTE(SUBSTITUTE(SUBSTITUTE(B197:B201," ",""),"0",""),"-",""))+LEN(SUBSTITUTE(SUBSTITUTE(SUBSTITUTE(C197:C201," ",""),"0",""),"-","")))</f>
      </c>
      <c r="D204" s="14"/>
      <c r="E204" s="14" t="str">
        <f>SUMPRODUCT(LEN(SUBSTITUTE(SUBSTITUTE(SUBSTITUTE(E197:E201," ",""),"0",""),"-",""))+LEN(SUBSTITUTE(SUBSTITUTE(SUBSTITUTE(F197:F201," ",""),"0",""),"-","")))</f>
      </c>
      <c r="F204" s="14" t="str">
        <f>SUMPRODUCT((UPPER(D197:D201)&lt;&gt;"X")*((LEN(SUBSTITUTE(SUBSTITUTE(SUBSTITUTE(E197:E201," ",""),"0",""),"-",""))+LEN(SUBSTITUTE(SUBSTITUTE(SUBSTITUTE(F197:F201," ",""),"0",""),"-","")))&gt;(LEN(SUBSTITUTE(SUBSTITUTE(SUBSTITUTE(B197:B201," ",""),"0",""),"-",""))+LEN(SUBSTITUTE(SUBSTITUTE(SUBSTITUTE(C197:C201," ",""),"0",""),"-",""))))*1)</f>
      </c>
      <c r="G204" s="14" t="s">
        <v>348</v>
      </c>
      <c r="I204" s="14" t="s">
        <v>348</v>
      </c>
      <c r="J204" s="14" t="str">
        <f>SUMPRODUCT((UPPER(L197:L201)&lt;&gt;"X")*((LEN(SUBSTITUTE(SUBSTITUTE(SUBSTITUTE(J197:J201," ",""),"0",""),"-",""))+LEN(SUBSTITUTE(SUBSTITUTE(SUBSTITUTE(K197:K201," ",""),"0",""),"-","")))&gt;(LEN(SUBSTITUTE(SUBSTITUTE(SUBSTITUTE(M197:M201," ",""),"0",""),"-",""))+LEN(SUBSTITUTE(SUBSTITUTE(SUBSTITUTE(N197:N201," ",""),"0",""),"-",""))))*1)</f>
      </c>
      <c r="K204" s="14" t="str">
        <f>SUMPRODUCT(LEN(SUBSTITUTE(SUBSTITUTE(SUBSTITUTE(J197:J201," ",""),"0",""),"-",""))+LEN(SUBSTITUTE(SUBSTITUTE(SUBSTITUTE(K197:K201," ",""),"0",""),"-","")))</f>
      </c>
      <c r="L204" s="14"/>
      <c r="M204" s="14" t="str">
        <f>SUMPRODUCT(LEN(SUBSTITUTE(SUBSTITUTE(SUBSTITUTE(M197:M201," ",""),"0",""),"-",""))+LEN(SUBSTITUTE(SUBSTITUTE(SUBSTITUTE(N197:N201," ",""),"0",""),"-","")))</f>
      </c>
      <c r="N204" s="14" t="str">
        <f>SUMPRODUCT((UPPER(L197:L201)&lt;&gt;"X")*((LEN(SUBSTITUTE(SUBSTITUTE(SUBSTITUTE(M197:M201," ",""),"0",""),"-",""))+LEN(SUBSTITUTE(SUBSTITUTE(SUBSTITUTE(N197:N201," ",""),"0",""),"-","")))&gt;(LEN(SUBSTITUTE(SUBSTITUTE(SUBSTITUTE(J197:J201," ",""),"0",""),"-",""))+LEN(SUBSTITUTE(SUBSTITUTE(SUBSTITUTE(K197:K201," ",""),"0",""),"-",""))))*1)</f>
      </c>
      <c r="O204" s="14" t="s">
        <v>348</v>
      </c>
    </row>
    <row r="207">
      <c r="F207" t="s">
        <v>253</v>
      </c>
      <c r="G207" s="19"/>
      <c r="N207" t="s">
        <v>253</v>
      </c>
      <c r="O207" s="19"/>
    </row>
    <row r="208">
      <c r="F208" t="s">
        <v>254</v>
      </c>
      <c r="G208" s="19"/>
      <c r="N208" t="s">
        <v>254</v>
      </c>
      <c r="O208" s="19"/>
    </row>
    <row r="210">
      <c r="A210" s="13" t="s">
        <v>374</v>
      </c>
      <c r="B210" s="13"/>
      <c r="C210" s="13"/>
      <c r="D210" s="13"/>
      <c r="E210" s="13"/>
      <c r="F210" s="13"/>
      <c r="G210" s="13"/>
      <c r="I210" s="13" t="s">
        <v>375</v>
      </c>
      <c r="J210" s="13"/>
      <c r="K210" s="13"/>
      <c r="L210" s="13"/>
      <c r="M210" s="13"/>
      <c r="N210" s="13"/>
      <c r="O210" s="13"/>
    </row>
    <row r="211">
      <c r="A211" s="17" t="s">
        <v>239</v>
      </c>
      <c r="D211" s="14" t="s">
        <v>240</v>
      </c>
      <c r="G211" s="16" t="s">
        <v>241</v>
      </c>
      <c r="I211" s="17" t="s">
        <v>239</v>
      </c>
      <c r="L211" s="14" t="s">
        <v>240</v>
      </c>
      <c r="O211" s="16" t="s">
        <v>241</v>
      </c>
    </row>
    <row r="212">
      <c r="A212" s="14" t="str">
        <f>CONCATENATE("Pool BB-2nd ",'Pool Matches'!O514)</f>
      </c>
      <c r="B212" s="14"/>
      <c r="C212" s="14"/>
      <c r="D212" s="18"/>
      <c r="E212" s="14"/>
      <c r="F212" s="14"/>
      <c r="G212" s="14" t="str">
        <f>CONCATENATE("Pool CC-1st ",'Pool Matches'!O556)</f>
      </c>
      <c r="I212" s="14" t="str">
        <f>CONCATENATE("Pool CC-2nd ",'Pool Matches'!O557)</f>
      </c>
      <c r="J212" s="14"/>
      <c r="K212" s="14"/>
      <c r="L212" s="18"/>
      <c r="M212" s="14"/>
      <c r="N212" s="14"/>
      <c r="O212" s="14" t="str">
        <f>CONCATENATE("Pool BB-1st ",'Pool Matches'!O513)</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BB-2nd ",'Pool Matches'!O514)</f>
      </c>
      <c r="B219" s="14" t="s">
        <v>247</v>
      </c>
      <c r="C219" s="14" t="s">
        <v>250</v>
      </c>
      <c r="D219" s="14"/>
      <c r="E219" s="14" t="s">
        <v>250</v>
      </c>
      <c r="F219" s="14" t="s">
        <v>247</v>
      </c>
      <c r="G219" s="14" t="str">
        <f>CONCATENATE("Pool CC-1st ",'Pool Matches'!O556)</f>
      </c>
      <c r="I219" s="14" t="str">
        <f>CONCATENATE("Pool CC-2nd ",'Pool Matches'!O557)</f>
      </c>
      <c r="J219" s="14" t="s">
        <v>247</v>
      </c>
      <c r="K219" s="14" t="s">
        <v>250</v>
      </c>
      <c r="L219" s="14"/>
      <c r="M219" s="14" t="s">
        <v>250</v>
      </c>
      <c r="N219" s="14" t="s">
        <v>247</v>
      </c>
      <c r="O219" s="14" t="str">
        <f>CONCATENATE("Pool BB-1st ",'Pool Matches'!O513)</f>
      </c>
    </row>
    <row r="220">
      <c r="A220" s="14" t="s">
        <v>348</v>
      </c>
      <c r="B220" s="14" t="str">
        <f>SUMPRODUCT((UPPER(D213:D217)&lt;&gt;"X")*((LEN(SUBSTITUTE(SUBSTITUTE(SUBSTITUTE(B213:B217," ",""),"0",""),"-",""))+LEN(SUBSTITUTE(SUBSTITUTE(SUBSTITUTE(C213:C217," ",""),"0",""),"-","")))&gt;(LEN(SUBSTITUTE(SUBSTITUTE(SUBSTITUTE(E213:E217," ",""),"0",""),"-",""))+LEN(SUBSTITUTE(SUBSTITUTE(SUBSTITUTE(F213:F217," ",""),"0",""),"-",""))))*1)</f>
      </c>
      <c r="C220" s="14" t="str">
        <f>SUMPRODUCT(LEN(SUBSTITUTE(SUBSTITUTE(SUBSTITUTE(B213:B217," ",""),"0",""),"-",""))+LEN(SUBSTITUTE(SUBSTITUTE(SUBSTITUTE(C213:C217," ",""),"0",""),"-","")))</f>
      </c>
      <c r="D220" s="14"/>
      <c r="E220" s="14" t="str">
        <f>SUMPRODUCT(LEN(SUBSTITUTE(SUBSTITUTE(SUBSTITUTE(E213:E217," ",""),"0",""),"-",""))+LEN(SUBSTITUTE(SUBSTITUTE(SUBSTITUTE(F213:F217," ",""),"0",""),"-","")))</f>
      </c>
      <c r="F220" s="14" t="str">
        <f>SUMPRODUCT((UPPER(D213:D217)&lt;&gt;"X")*((LEN(SUBSTITUTE(SUBSTITUTE(SUBSTITUTE(E213:E217," ",""),"0",""),"-",""))+LEN(SUBSTITUTE(SUBSTITUTE(SUBSTITUTE(F213:F217," ",""),"0",""),"-","")))&gt;(LEN(SUBSTITUTE(SUBSTITUTE(SUBSTITUTE(B213:B217," ",""),"0",""),"-",""))+LEN(SUBSTITUTE(SUBSTITUTE(SUBSTITUTE(C213:C217," ",""),"0",""),"-",""))))*1)</f>
      </c>
      <c r="G220" s="14" t="s">
        <v>348</v>
      </c>
      <c r="I220" s="14" t="s">
        <v>348</v>
      </c>
      <c r="J220" s="14" t="str">
        <f>SUMPRODUCT((UPPER(L213:L217)&lt;&gt;"X")*((LEN(SUBSTITUTE(SUBSTITUTE(SUBSTITUTE(J213:J217," ",""),"0",""),"-",""))+LEN(SUBSTITUTE(SUBSTITUTE(SUBSTITUTE(K213:K217," ",""),"0",""),"-","")))&gt;(LEN(SUBSTITUTE(SUBSTITUTE(SUBSTITUTE(M213:M217," ",""),"0",""),"-",""))+LEN(SUBSTITUTE(SUBSTITUTE(SUBSTITUTE(N213:N217," ",""),"0",""),"-",""))))*1)</f>
      </c>
      <c r="K220" s="14" t="str">
        <f>SUMPRODUCT(LEN(SUBSTITUTE(SUBSTITUTE(SUBSTITUTE(J213:J217," ",""),"0",""),"-",""))+LEN(SUBSTITUTE(SUBSTITUTE(SUBSTITUTE(K213:K217," ",""),"0",""),"-","")))</f>
      </c>
      <c r="L220" s="14"/>
      <c r="M220" s="14" t="str">
        <f>SUMPRODUCT(LEN(SUBSTITUTE(SUBSTITUTE(SUBSTITUTE(M213:M217," ",""),"0",""),"-",""))+LEN(SUBSTITUTE(SUBSTITUTE(SUBSTITUTE(N213:N217," ",""),"0",""),"-","")))</f>
      </c>
      <c r="N220" s="14" t="str">
        <f>SUMPRODUCT((UPPER(L213:L217)&lt;&gt;"X")*((LEN(SUBSTITUTE(SUBSTITUTE(SUBSTITUTE(M213:M217," ",""),"0",""),"-",""))+LEN(SUBSTITUTE(SUBSTITUTE(SUBSTITUTE(N213:N217," ",""),"0",""),"-","")))&gt;(LEN(SUBSTITUTE(SUBSTITUTE(SUBSTITUTE(J213:J217," ",""),"0",""),"-",""))+LEN(SUBSTITUTE(SUBSTITUTE(SUBSTITUTE(K213:K217," ",""),"0",""),"-",""))))*1)</f>
      </c>
      <c r="O220" s="14" t="s">
        <v>348</v>
      </c>
    </row>
    <row r="223">
      <c r="F223" t="s">
        <v>253</v>
      </c>
      <c r="G223" s="19"/>
      <c r="N223" t="s">
        <v>253</v>
      </c>
      <c r="O223" s="19"/>
    </row>
    <row r="224">
      <c r="F224" t="s">
        <v>254</v>
      </c>
      <c r="G224" s="19"/>
      <c r="N224" t="s">
        <v>254</v>
      </c>
      <c r="O224" s="19"/>
    </row>
    <row r="226">
      <c r="A226" s="13" t="s">
        <v>376</v>
      </c>
      <c r="B226" s="13"/>
      <c r="C226" s="13"/>
      <c r="D226" s="13"/>
      <c r="E226" s="13"/>
      <c r="F226" s="13"/>
      <c r="G226" s="13"/>
      <c r="I226" s="13" t="s">
        <v>377</v>
      </c>
      <c r="J226" s="13"/>
      <c r="K226" s="13"/>
      <c r="L226" s="13"/>
      <c r="M226" s="13"/>
      <c r="N226" s="13"/>
      <c r="O226" s="13"/>
    </row>
    <row r="227">
      <c r="A227" s="17" t="s">
        <v>239</v>
      </c>
      <c r="D227" s="14" t="s">
        <v>240</v>
      </c>
      <c r="G227" s="16" t="s">
        <v>241</v>
      </c>
      <c r="I227" s="17" t="s">
        <v>239</v>
      </c>
      <c r="L227" s="14" t="s">
        <v>240</v>
      </c>
      <c r="O227" s="16" t="s">
        <v>241</v>
      </c>
    </row>
    <row r="228">
      <c r="A228" s="14" t="str">
        <f>CONCATENATE("Pool DD-2nd ",'Pool Matches'!O600)</f>
      </c>
      <c r="B228" s="14"/>
      <c r="C228" s="14"/>
      <c r="D228" s="18"/>
      <c r="E228" s="14"/>
      <c r="F228" s="14"/>
      <c r="G228" s="14" t="str">
        <f>CONCATENATE("Pool EE-1st ",'Pool Matches'!O640)</f>
      </c>
      <c r="I228" s="14" t="str">
        <f>CONCATENATE("Pool EE-2nd ",'Pool Matches'!O641)</f>
      </c>
      <c r="J228" s="14"/>
      <c r="K228" s="14"/>
      <c r="L228" s="18"/>
      <c r="M228" s="14"/>
      <c r="N228" s="14"/>
      <c r="O228" s="14" t="str">
        <f>CONCATENATE("Pool DD-1st ",'Pool Matches'!O599)</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DD-2nd ",'Pool Matches'!O600)</f>
      </c>
      <c r="B235" s="14" t="s">
        <v>247</v>
      </c>
      <c r="C235" s="14" t="s">
        <v>250</v>
      </c>
      <c r="D235" s="14"/>
      <c r="E235" s="14" t="s">
        <v>250</v>
      </c>
      <c r="F235" s="14" t="s">
        <v>247</v>
      </c>
      <c r="G235" s="14" t="str">
        <f>CONCATENATE("Pool EE-1st ",'Pool Matches'!O640)</f>
      </c>
      <c r="I235" s="14" t="str">
        <f>CONCATENATE("Pool EE-2nd ",'Pool Matches'!O641)</f>
      </c>
      <c r="J235" s="14" t="s">
        <v>247</v>
      </c>
      <c r="K235" s="14" t="s">
        <v>250</v>
      </c>
      <c r="L235" s="14"/>
      <c r="M235" s="14" t="s">
        <v>250</v>
      </c>
      <c r="N235" s="14" t="s">
        <v>247</v>
      </c>
      <c r="O235" s="14" t="str">
        <f>CONCATENATE("Pool DD-1st ",'Pool Matches'!O599)</f>
      </c>
    </row>
    <row r="236">
      <c r="A236" s="14" t="s">
        <v>348</v>
      </c>
      <c r="B236" s="14" t="str">
        <f>SUMPRODUCT((UPPER(D229:D233)&lt;&gt;"X")*((LEN(SUBSTITUTE(SUBSTITUTE(SUBSTITUTE(B229:B233," ",""),"0",""),"-",""))+LEN(SUBSTITUTE(SUBSTITUTE(SUBSTITUTE(C229:C233," ",""),"0",""),"-","")))&gt;(LEN(SUBSTITUTE(SUBSTITUTE(SUBSTITUTE(E229:E233," ",""),"0",""),"-",""))+LEN(SUBSTITUTE(SUBSTITUTE(SUBSTITUTE(F229:F233," ",""),"0",""),"-",""))))*1)</f>
      </c>
      <c r="C236" s="14" t="str">
        <f>SUMPRODUCT(LEN(SUBSTITUTE(SUBSTITUTE(SUBSTITUTE(B229:B233," ",""),"0",""),"-",""))+LEN(SUBSTITUTE(SUBSTITUTE(SUBSTITUTE(C229:C233," ",""),"0",""),"-","")))</f>
      </c>
      <c r="D236" s="14"/>
      <c r="E236" s="14" t="str">
        <f>SUMPRODUCT(LEN(SUBSTITUTE(SUBSTITUTE(SUBSTITUTE(E229:E233," ",""),"0",""),"-",""))+LEN(SUBSTITUTE(SUBSTITUTE(SUBSTITUTE(F229:F233," ",""),"0",""),"-","")))</f>
      </c>
      <c r="F236" s="14" t="str">
        <f>SUMPRODUCT((UPPER(D229:D233)&lt;&gt;"X")*((LEN(SUBSTITUTE(SUBSTITUTE(SUBSTITUTE(E229:E233," ",""),"0",""),"-",""))+LEN(SUBSTITUTE(SUBSTITUTE(SUBSTITUTE(F229:F233," ",""),"0",""),"-","")))&gt;(LEN(SUBSTITUTE(SUBSTITUTE(SUBSTITUTE(B229:B233," ",""),"0",""),"-",""))+LEN(SUBSTITUTE(SUBSTITUTE(SUBSTITUTE(C229:C233," ",""),"0",""),"-",""))))*1)</f>
      </c>
      <c r="G236" s="14" t="s">
        <v>348</v>
      </c>
      <c r="I236" s="14" t="s">
        <v>348</v>
      </c>
      <c r="J236" s="14" t="str">
        <f>SUMPRODUCT((UPPER(L229:L233)&lt;&gt;"X")*((LEN(SUBSTITUTE(SUBSTITUTE(SUBSTITUTE(J229:J233," ",""),"0",""),"-",""))+LEN(SUBSTITUTE(SUBSTITUTE(SUBSTITUTE(K229:K233," ",""),"0",""),"-","")))&gt;(LEN(SUBSTITUTE(SUBSTITUTE(SUBSTITUTE(M229:M233," ",""),"0",""),"-",""))+LEN(SUBSTITUTE(SUBSTITUTE(SUBSTITUTE(N229:N233," ",""),"0",""),"-",""))))*1)</f>
      </c>
      <c r="K236" s="14" t="str">
        <f>SUMPRODUCT(LEN(SUBSTITUTE(SUBSTITUTE(SUBSTITUTE(J229:J233," ",""),"0",""),"-",""))+LEN(SUBSTITUTE(SUBSTITUTE(SUBSTITUTE(K229:K233," ",""),"0",""),"-","")))</f>
      </c>
      <c r="L236" s="14"/>
      <c r="M236" s="14" t="str">
        <f>SUMPRODUCT(LEN(SUBSTITUTE(SUBSTITUTE(SUBSTITUTE(M229:M233," ",""),"0",""),"-",""))+LEN(SUBSTITUTE(SUBSTITUTE(SUBSTITUTE(N229:N233," ",""),"0",""),"-","")))</f>
      </c>
      <c r="N236" s="14" t="str">
        <f>SUMPRODUCT((UPPER(L229:L233)&lt;&gt;"X")*((LEN(SUBSTITUTE(SUBSTITUTE(SUBSTITUTE(M229:M233," ",""),"0",""),"-",""))+LEN(SUBSTITUTE(SUBSTITUTE(SUBSTITUTE(N229:N233," ",""),"0",""),"-","")))&gt;(LEN(SUBSTITUTE(SUBSTITUTE(SUBSTITUTE(J229:J233," ",""),"0",""),"-",""))+LEN(SUBSTITUTE(SUBSTITUTE(SUBSTITUTE(K229:K233," ",""),"0",""),"-",""))))*1)</f>
      </c>
      <c r="O236" s="14" t="s">
        <v>348</v>
      </c>
    </row>
    <row r="239">
      <c r="F239" t="s">
        <v>253</v>
      </c>
      <c r="G239" s="19"/>
      <c r="N239" t="s">
        <v>253</v>
      </c>
      <c r="O239" s="19"/>
    </row>
    <row r="240">
      <c r="F240" t="s">
        <v>254</v>
      </c>
      <c r="G240" s="19"/>
      <c r="N240" t="s">
        <v>254</v>
      </c>
      <c r="O240" s="19"/>
    </row>
    <row r="247">
      <c r="A247" s="13" t="s">
        <v>378</v>
      </c>
      <c r="B247" s="13"/>
      <c r="C247" s="13"/>
      <c r="D247" s="13"/>
      <c r="E247" s="13"/>
      <c r="F247" s="13"/>
      <c r="G247" s="13"/>
      <c r="I247" s="13" t="s">
        <v>379</v>
      </c>
      <c r="J247" s="13"/>
      <c r="K247" s="13"/>
      <c r="L247" s="13"/>
      <c r="M247" s="13"/>
      <c r="N247" s="13"/>
      <c r="O247" s="13"/>
    </row>
    <row r="248">
      <c r="A248" s="17" t="s">
        <v>239</v>
      </c>
      <c r="D248" s="14" t="s">
        <v>240</v>
      </c>
      <c r="G248" s="16" t="s">
        <v>241</v>
      </c>
      <c r="I248" s="17" t="s">
        <v>239</v>
      </c>
      <c r="L248" s="14" t="s">
        <v>240</v>
      </c>
      <c r="O248" s="16" t="s">
        <v>241</v>
      </c>
    </row>
    <row r="249">
      <c r="A249" s="14" t="str">
        <f>CONCATENATE("M 1 ",G15)</f>
      </c>
      <c r="B249" s="14"/>
      <c r="C249" s="14"/>
      <c r="D249" s="18"/>
      <c r="E249" s="14"/>
      <c r="F249" s="14"/>
      <c r="G249" s="14" t="str">
        <f>CONCATENATE("Pool A-1st ",'Pool Matches'!G40)</f>
      </c>
      <c r="I249" s="14" t="str">
        <f>CONCATENATE("M 16 ",O15)</f>
      </c>
      <c r="J249" s="14"/>
      <c r="K249" s="14"/>
      <c r="L249" s="18"/>
      <c r="M249" s="14"/>
      <c r="N249" s="14"/>
      <c r="O249" s="14" t="str">
        <f>CONCATENATE("Pool B-1st ",'Pool Matches'!G83)</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1 ",G15)</f>
      </c>
      <c r="B256" s="14" t="s">
        <v>247</v>
      </c>
      <c r="C256" s="14" t="s">
        <v>250</v>
      </c>
      <c r="D256" s="14"/>
      <c r="E256" s="14" t="s">
        <v>250</v>
      </c>
      <c r="F256" s="14" t="s">
        <v>247</v>
      </c>
      <c r="G256" s="14" t="str">
        <f>CONCATENATE("Pool A-1st ",'Pool Matches'!G40)</f>
      </c>
      <c r="I256" s="14" t="str">
        <f>CONCATENATE("M 16 ",O15)</f>
      </c>
      <c r="J256" s="14" t="s">
        <v>247</v>
      </c>
      <c r="K256" s="14" t="s">
        <v>250</v>
      </c>
      <c r="L256" s="14"/>
      <c r="M256" s="14" t="s">
        <v>250</v>
      </c>
      <c r="N256" s="14" t="s">
        <v>247</v>
      </c>
      <c r="O256" s="14" t="str">
        <f>CONCATENATE("Pool B-1st ",'Pool Matches'!G83)</f>
      </c>
    </row>
    <row r="257">
      <c r="A257" s="14" t="s">
        <v>348</v>
      </c>
      <c r="B257" s="14" t="str">
        <f>SUMPRODUCT((UPPER(D250:D254)&lt;&gt;"X")*((LEN(SUBSTITUTE(SUBSTITUTE(SUBSTITUTE(B250:B254," ",""),"0",""),"-",""))+LEN(SUBSTITUTE(SUBSTITUTE(SUBSTITUTE(C250:C254," ",""),"0",""),"-","")))&gt;(LEN(SUBSTITUTE(SUBSTITUTE(SUBSTITUTE(E250:E254," ",""),"0",""),"-",""))+LEN(SUBSTITUTE(SUBSTITUTE(SUBSTITUTE(F250:F254," ",""),"0",""),"-",""))))*1)</f>
      </c>
      <c r="C257" s="14" t="str">
        <f>SUMPRODUCT(LEN(SUBSTITUTE(SUBSTITUTE(SUBSTITUTE(B250:B254," ",""),"0",""),"-",""))+LEN(SUBSTITUTE(SUBSTITUTE(SUBSTITUTE(C250:C254," ",""),"0",""),"-","")))</f>
      </c>
      <c r="D257" s="14"/>
      <c r="E257" s="14" t="str">
        <f>SUMPRODUCT(LEN(SUBSTITUTE(SUBSTITUTE(SUBSTITUTE(E250:E254," ",""),"0",""),"-",""))+LEN(SUBSTITUTE(SUBSTITUTE(SUBSTITUTE(F250:F254," ",""),"0",""),"-","")))</f>
      </c>
      <c r="F257" s="14" t="str">
        <f>SUMPRODUCT((UPPER(D250:D254)&lt;&gt;"X")*((LEN(SUBSTITUTE(SUBSTITUTE(SUBSTITUTE(E250:E254," ",""),"0",""),"-",""))+LEN(SUBSTITUTE(SUBSTITUTE(SUBSTITUTE(F250:F254," ",""),"0",""),"-","")))&gt;(LEN(SUBSTITUTE(SUBSTITUTE(SUBSTITUTE(B250:B254," ",""),"0",""),"-",""))+LEN(SUBSTITUTE(SUBSTITUTE(SUBSTITUTE(C250:C254," ",""),"0",""),"-",""))))*1)</f>
      </c>
      <c r="G257" s="14" t="s">
        <v>348</v>
      </c>
      <c r="I257" s="14" t="s">
        <v>348</v>
      </c>
      <c r="J257" s="14" t="str">
        <f>SUMPRODUCT((UPPER(L250:L254)&lt;&gt;"X")*((LEN(SUBSTITUTE(SUBSTITUTE(SUBSTITUTE(J250:J254," ",""),"0",""),"-",""))+LEN(SUBSTITUTE(SUBSTITUTE(SUBSTITUTE(K250:K254," ",""),"0",""),"-","")))&gt;(LEN(SUBSTITUTE(SUBSTITUTE(SUBSTITUTE(M250:M254," ",""),"0",""),"-",""))+LEN(SUBSTITUTE(SUBSTITUTE(SUBSTITUTE(N250:N254," ",""),"0",""),"-",""))))*1)</f>
      </c>
      <c r="K257" s="14" t="str">
        <f>SUMPRODUCT(LEN(SUBSTITUTE(SUBSTITUTE(SUBSTITUTE(J250:J254," ",""),"0",""),"-",""))+LEN(SUBSTITUTE(SUBSTITUTE(SUBSTITUTE(K250:K254," ",""),"0",""),"-","")))</f>
      </c>
      <c r="L257" s="14"/>
      <c r="M257" s="14" t="str">
        <f>SUMPRODUCT(LEN(SUBSTITUTE(SUBSTITUTE(SUBSTITUTE(M250:M254," ",""),"0",""),"-",""))+LEN(SUBSTITUTE(SUBSTITUTE(SUBSTITUTE(N250:N254," ",""),"0",""),"-","")))</f>
      </c>
      <c r="N257" s="14" t="str">
        <f>SUMPRODUCT((UPPER(L250:L254)&lt;&gt;"X")*((LEN(SUBSTITUTE(SUBSTITUTE(SUBSTITUTE(M250:M254," ",""),"0",""),"-",""))+LEN(SUBSTITUTE(SUBSTITUTE(SUBSTITUTE(N250:N254," ",""),"0",""),"-","")))&gt;(LEN(SUBSTITUTE(SUBSTITUTE(SUBSTITUTE(J250:J254," ",""),"0",""),"-",""))+LEN(SUBSTITUTE(SUBSTITUTE(SUBSTITUTE(K250:K254," ",""),"0",""),"-",""))))*1)</f>
      </c>
      <c r="O257" s="14" t="s">
        <v>348</v>
      </c>
    </row>
    <row r="260">
      <c r="F260" t="s">
        <v>253</v>
      </c>
      <c r="G260" s="19"/>
      <c r="N260" t="s">
        <v>253</v>
      </c>
      <c r="O260" s="19"/>
    </row>
    <row r="261">
      <c r="F261" t="s">
        <v>254</v>
      </c>
      <c r="G261" s="19"/>
      <c r="N261" t="s">
        <v>254</v>
      </c>
      <c r="O261" s="19"/>
    </row>
    <row r="263">
      <c r="A263" s="13" t="s">
        <v>380</v>
      </c>
      <c r="B263" s="13"/>
      <c r="C263" s="13"/>
      <c r="D263" s="13"/>
      <c r="E263" s="13"/>
      <c r="F263" s="13"/>
      <c r="G263" s="13"/>
      <c r="I263" s="13" t="s">
        <v>381</v>
      </c>
      <c r="J263" s="13"/>
      <c r="K263" s="13"/>
      <c r="L263" s="13"/>
      <c r="M263" s="13"/>
      <c r="N263" s="13"/>
      <c r="O263" s="13"/>
    </row>
    <row r="264">
      <c r="A264" s="17" t="s">
        <v>239</v>
      </c>
      <c r="D264" s="14" t="s">
        <v>240</v>
      </c>
      <c r="G264" s="16" t="s">
        <v>241</v>
      </c>
      <c r="I264" s="17" t="s">
        <v>239</v>
      </c>
      <c r="L264" s="14" t="s">
        <v>240</v>
      </c>
      <c r="O264" s="16" t="s">
        <v>241</v>
      </c>
    </row>
    <row r="265">
      <c r="A265" s="14" t="str">
        <f>CONCATENATE("M 3 ",G47)</f>
      </c>
      <c r="B265" s="14"/>
      <c r="C265" s="14"/>
      <c r="D265" s="18"/>
      <c r="E265" s="14"/>
      <c r="F265" s="14"/>
      <c r="G265" s="14" t="str">
        <f>CONCATENATE("M 2 ",G31)</f>
      </c>
      <c r="I265" s="14" t="str">
        <f>CONCATENATE("M 18 ",O47)</f>
      </c>
      <c r="J265" s="14"/>
      <c r="K265" s="14"/>
      <c r="L265" s="18"/>
      <c r="M265" s="14"/>
      <c r="N265" s="14"/>
      <c r="O265" s="14" t="str">
        <f>CONCATENATE("M 17 ",O31)</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3 ",G47)</f>
      </c>
      <c r="B272" s="14" t="s">
        <v>247</v>
      </c>
      <c r="C272" s="14" t="s">
        <v>250</v>
      </c>
      <c r="D272" s="14"/>
      <c r="E272" s="14" t="s">
        <v>250</v>
      </c>
      <c r="F272" s="14" t="s">
        <v>247</v>
      </c>
      <c r="G272" s="14" t="str">
        <f>CONCATENATE("M 2 ",G31)</f>
      </c>
      <c r="I272" s="14" t="str">
        <f>CONCATENATE("M 18 ",O47)</f>
      </c>
      <c r="J272" s="14" t="s">
        <v>247</v>
      </c>
      <c r="K272" s="14" t="s">
        <v>250</v>
      </c>
      <c r="L272" s="14"/>
      <c r="M272" s="14" t="s">
        <v>250</v>
      </c>
      <c r="N272" s="14" t="s">
        <v>247</v>
      </c>
      <c r="O272" s="14" t="str">
        <f>CONCATENATE("M 17 ",O31)</f>
      </c>
    </row>
    <row r="273">
      <c r="A273" s="14" t="s">
        <v>348</v>
      </c>
      <c r="B273" s="14" t="str">
        <f>SUMPRODUCT((UPPER(D266:D270)&lt;&gt;"X")*((LEN(SUBSTITUTE(SUBSTITUTE(SUBSTITUTE(B266:B270," ",""),"0",""),"-",""))+LEN(SUBSTITUTE(SUBSTITUTE(SUBSTITUTE(C266:C270," ",""),"0",""),"-","")))&gt;(LEN(SUBSTITUTE(SUBSTITUTE(SUBSTITUTE(E266:E270," ",""),"0",""),"-",""))+LEN(SUBSTITUTE(SUBSTITUTE(SUBSTITUTE(F266:F270," ",""),"0",""),"-",""))))*1)</f>
      </c>
      <c r="C273" s="14" t="str">
        <f>SUMPRODUCT(LEN(SUBSTITUTE(SUBSTITUTE(SUBSTITUTE(B266:B270," ",""),"0",""),"-",""))+LEN(SUBSTITUTE(SUBSTITUTE(SUBSTITUTE(C266:C270," ",""),"0",""),"-","")))</f>
      </c>
      <c r="D273" s="14"/>
      <c r="E273" s="14" t="str">
        <f>SUMPRODUCT(LEN(SUBSTITUTE(SUBSTITUTE(SUBSTITUTE(E266:E270," ",""),"0",""),"-",""))+LEN(SUBSTITUTE(SUBSTITUTE(SUBSTITUTE(F266:F270," ",""),"0",""),"-","")))</f>
      </c>
      <c r="F273" s="14" t="str">
        <f>SUMPRODUCT((UPPER(D266:D270)&lt;&gt;"X")*((LEN(SUBSTITUTE(SUBSTITUTE(SUBSTITUTE(E266:E270," ",""),"0",""),"-",""))+LEN(SUBSTITUTE(SUBSTITUTE(SUBSTITUTE(F266:F270," ",""),"0",""),"-","")))&gt;(LEN(SUBSTITUTE(SUBSTITUTE(SUBSTITUTE(B266:B270," ",""),"0",""),"-",""))+LEN(SUBSTITUTE(SUBSTITUTE(SUBSTITUTE(C266:C270," ",""),"0",""),"-",""))))*1)</f>
      </c>
      <c r="G273" s="14" t="s">
        <v>348</v>
      </c>
      <c r="I273" s="14" t="s">
        <v>348</v>
      </c>
      <c r="J273" s="14" t="str">
        <f>SUMPRODUCT((UPPER(L266:L270)&lt;&gt;"X")*((LEN(SUBSTITUTE(SUBSTITUTE(SUBSTITUTE(J266:J270," ",""),"0",""),"-",""))+LEN(SUBSTITUTE(SUBSTITUTE(SUBSTITUTE(K266:K270," ",""),"0",""),"-","")))&gt;(LEN(SUBSTITUTE(SUBSTITUTE(SUBSTITUTE(M266:M270," ",""),"0",""),"-",""))+LEN(SUBSTITUTE(SUBSTITUTE(SUBSTITUTE(N266:N270," ",""),"0",""),"-",""))))*1)</f>
      </c>
      <c r="K273" s="14" t="str">
        <f>SUMPRODUCT(LEN(SUBSTITUTE(SUBSTITUTE(SUBSTITUTE(J266:J270," ",""),"0",""),"-",""))+LEN(SUBSTITUTE(SUBSTITUTE(SUBSTITUTE(K266:K270," ",""),"0",""),"-","")))</f>
      </c>
      <c r="L273" s="14"/>
      <c r="M273" s="14" t="str">
        <f>SUMPRODUCT(LEN(SUBSTITUTE(SUBSTITUTE(SUBSTITUTE(M266:M270," ",""),"0",""),"-",""))+LEN(SUBSTITUTE(SUBSTITUTE(SUBSTITUTE(N266:N270," ",""),"0",""),"-","")))</f>
      </c>
      <c r="N273" s="14" t="str">
        <f>SUMPRODUCT((UPPER(L266:L270)&lt;&gt;"X")*((LEN(SUBSTITUTE(SUBSTITUTE(SUBSTITUTE(M266:M270," ",""),"0",""),"-",""))+LEN(SUBSTITUTE(SUBSTITUTE(SUBSTITUTE(N266:N270," ",""),"0",""),"-","")))&gt;(LEN(SUBSTITUTE(SUBSTITUTE(SUBSTITUTE(J266:J270," ",""),"0",""),"-",""))+LEN(SUBSTITUTE(SUBSTITUTE(SUBSTITUTE(K266:K270," ",""),"0",""),"-",""))))*1)</f>
      </c>
      <c r="O273" s="14" t="s">
        <v>348</v>
      </c>
    </row>
    <row r="276">
      <c r="F276" t="s">
        <v>253</v>
      </c>
      <c r="G276" s="19"/>
      <c r="N276" t="s">
        <v>253</v>
      </c>
      <c r="O276" s="19"/>
    </row>
    <row r="277">
      <c r="F277" t="s">
        <v>254</v>
      </c>
      <c r="G277" s="19"/>
      <c r="N277" t="s">
        <v>254</v>
      </c>
      <c r="O277" s="19"/>
    </row>
    <row r="279">
      <c r="A279" s="13" t="s">
        <v>382</v>
      </c>
      <c r="B279" s="13"/>
      <c r="C279" s="13"/>
      <c r="D279" s="13"/>
      <c r="E279" s="13"/>
      <c r="F279" s="13"/>
      <c r="G279" s="13"/>
      <c r="I279" s="13" t="s">
        <v>383</v>
      </c>
      <c r="J279" s="13"/>
      <c r="K279" s="13"/>
      <c r="L279" s="13"/>
      <c r="M279" s="13"/>
      <c r="N279" s="13"/>
      <c r="O279" s="13"/>
    </row>
    <row r="280">
      <c r="A280" s="17" t="s">
        <v>239</v>
      </c>
      <c r="D280" s="14" t="s">
        <v>240</v>
      </c>
      <c r="G280" s="16" t="s">
        <v>241</v>
      </c>
      <c r="I280" s="17" t="s">
        <v>239</v>
      </c>
      <c r="L280" s="14" t="s">
        <v>240</v>
      </c>
      <c r="O280" s="16" t="s">
        <v>241</v>
      </c>
    </row>
    <row r="281">
      <c r="A281" s="14" t="str">
        <f>CONCATENATE("M 5 ",G79)</f>
      </c>
      <c r="B281" s="14"/>
      <c r="C281" s="14"/>
      <c r="D281" s="18"/>
      <c r="E281" s="14"/>
      <c r="F281" s="14"/>
      <c r="G281" s="14" t="str">
        <f>CONCATENATE("M 4 ",G63)</f>
      </c>
      <c r="I281" s="14" t="str">
        <f>CONCATENATE("M 20 ",O79)</f>
      </c>
      <c r="J281" s="14"/>
      <c r="K281" s="14"/>
      <c r="L281" s="18"/>
      <c r="M281" s="14"/>
      <c r="N281" s="14"/>
      <c r="O281" s="14" t="str">
        <f>CONCATENATE("M 19 ",O63)</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5 ",G79)</f>
      </c>
      <c r="B288" s="14" t="s">
        <v>247</v>
      </c>
      <c r="C288" s="14" t="s">
        <v>250</v>
      </c>
      <c r="D288" s="14"/>
      <c r="E288" s="14" t="s">
        <v>250</v>
      </c>
      <c r="F288" s="14" t="s">
        <v>247</v>
      </c>
      <c r="G288" s="14" t="str">
        <f>CONCATENATE("M 4 ",G63)</f>
      </c>
      <c r="I288" s="14" t="str">
        <f>CONCATENATE("M 20 ",O79)</f>
      </c>
      <c r="J288" s="14" t="s">
        <v>247</v>
      </c>
      <c r="K288" s="14" t="s">
        <v>250</v>
      </c>
      <c r="L288" s="14"/>
      <c r="M288" s="14" t="s">
        <v>250</v>
      </c>
      <c r="N288" s="14" t="s">
        <v>247</v>
      </c>
      <c r="O288" s="14" t="str">
        <f>CONCATENATE("M 19 ",O63)</f>
      </c>
    </row>
    <row r="289">
      <c r="A289" s="14" t="s">
        <v>348</v>
      </c>
      <c r="B289" s="14" t="str">
        <f>SUMPRODUCT((UPPER(D282:D286)&lt;&gt;"X")*((LEN(SUBSTITUTE(SUBSTITUTE(SUBSTITUTE(B282:B286," ",""),"0",""),"-",""))+LEN(SUBSTITUTE(SUBSTITUTE(SUBSTITUTE(C282:C286," ",""),"0",""),"-","")))&gt;(LEN(SUBSTITUTE(SUBSTITUTE(SUBSTITUTE(E282:E286," ",""),"0",""),"-",""))+LEN(SUBSTITUTE(SUBSTITUTE(SUBSTITUTE(F282:F286," ",""),"0",""),"-",""))))*1)</f>
      </c>
      <c r="C289" s="14" t="str">
        <f>SUMPRODUCT(LEN(SUBSTITUTE(SUBSTITUTE(SUBSTITUTE(B282:B286," ",""),"0",""),"-",""))+LEN(SUBSTITUTE(SUBSTITUTE(SUBSTITUTE(C282:C286," ",""),"0",""),"-","")))</f>
      </c>
      <c r="D289" s="14"/>
      <c r="E289" s="14" t="str">
        <f>SUMPRODUCT(LEN(SUBSTITUTE(SUBSTITUTE(SUBSTITUTE(E282:E286," ",""),"0",""),"-",""))+LEN(SUBSTITUTE(SUBSTITUTE(SUBSTITUTE(F282:F286," ",""),"0",""),"-","")))</f>
      </c>
      <c r="F289" s="14" t="str">
        <f>SUMPRODUCT((UPPER(D282:D286)&lt;&gt;"X")*((LEN(SUBSTITUTE(SUBSTITUTE(SUBSTITUTE(E282:E286," ",""),"0",""),"-",""))+LEN(SUBSTITUTE(SUBSTITUTE(SUBSTITUTE(F282:F286," ",""),"0",""),"-","")))&gt;(LEN(SUBSTITUTE(SUBSTITUTE(SUBSTITUTE(B282:B286," ",""),"0",""),"-",""))+LEN(SUBSTITUTE(SUBSTITUTE(SUBSTITUTE(C282:C286," ",""),"0",""),"-",""))))*1)</f>
      </c>
      <c r="G289" s="14" t="s">
        <v>348</v>
      </c>
      <c r="I289" s="14" t="s">
        <v>348</v>
      </c>
      <c r="J289" s="14" t="str">
        <f>SUMPRODUCT((UPPER(L282:L286)&lt;&gt;"X")*((LEN(SUBSTITUTE(SUBSTITUTE(SUBSTITUTE(J282:J286," ",""),"0",""),"-",""))+LEN(SUBSTITUTE(SUBSTITUTE(SUBSTITUTE(K282:K286," ",""),"0",""),"-","")))&gt;(LEN(SUBSTITUTE(SUBSTITUTE(SUBSTITUTE(M282:M286," ",""),"0",""),"-",""))+LEN(SUBSTITUTE(SUBSTITUTE(SUBSTITUTE(N282:N286," ",""),"0",""),"-",""))))*1)</f>
      </c>
      <c r="K289" s="14" t="str">
        <f>SUMPRODUCT(LEN(SUBSTITUTE(SUBSTITUTE(SUBSTITUTE(J282:J286," ",""),"0",""),"-",""))+LEN(SUBSTITUTE(SUBSTITUTE(SUBSTITUTE(K282:K286," ",""),"0",""),"-","")))</f>
      </c>
      <c r="L289" s="14"/>
      <c r="M289" s="14" t="str">
        <f>SUMPRODUCT(LEN(SUBSTITUTE(SUBSTITUTE(SUBSTITUTE(M282:M286," ",""),"0",""),"-",""))+LEN(SUBSTITUTE(SUBSTITUTE(SUBSTITUTE(N282:N286," ",""),"0",""),"-","")))</f>
      </c>
      <c r="N289" s="14" t="str">
        <f>SUMPRODUCT((UPPER(L282:L286)&lt;&gt;"X")*((LEN(SUBSTITUTE(SUBSTITUTE(SUBSTITUTE(M282:M286," ",""),"0",""),"-",""))+LEN(SUBSTITUTE(SUBSTITUTE(SUBSTITUTE(N282:N286," ",""),"0",""),"-","")))&gt;(LEN(SUBSTITUTE(SUBSTITUTE(SUBSTITUTE(J282:J286," ",""),"0",""),"-",""))+LEN(SUBSTITUTE(SUBSTITUTE(SUBSTITUTE(K282:K286," ",""),"0",""),"-",""))))*1)</f>
      </c>
      <c r="O289" s="14" t="s">
        <v>348</v>
      </c>
    </row>
    <row r="292">
      <c r="F292" t="s">
        <v>253</v>
      </c>
      <c r="G292" s="19"/>
      <c r="N292" t="s">
        <v>253</v>
      </c>
      <c r="O292" s="19"/>
    </row>
    <row r="293">
      <c r="F293" t="s">
        <v>254</v>
      </c>
      <c r="G293" s="19"/>
      <c r="N293" t="s">
        <v>254</v>
      </c>
      <c r="O293" s="19"/>
    </row>
    <row r="295">
      <c r="A295" s="13" t="s">
        <v>384</v>
      </c>
      <c r="B295" s="13"/>
      <c r="C295" s="13"/>
      <c r="D295" s="13"/>
      <c r="E295" s="13"/>
      <c r="F295" s="13"/>
      <c r="G295" s="13"/>
      <c r="I295" s="13" t="s">
        <v>385</v>
      </c>
      <c r="J295" s="13"/>
      <c r="K295" s="13"/>
      <c r="L295" s="13"/>
      <c r="M295" s="13"/>
      <c r="N295" s="13"/>
      <c r="O295" s="13"/>
    </row>
    <row r="296">
      <c r="A296" s="17" t="s">
        <v>239</v>
      </c>
      <c r="D296" s="14" t="s">
        <v>240</v>
      </c>
      <c r="G296" s="16" t="s">
        <v>241</v>
      </c>
      <c r="I296" s="17" t="s">
        <v>239</v>
      </c>
      <c r="L296" s="14" t="s">
        <v>240</v>
      </c>
      <c r="O296" s="16" t="s">
        <v>241</v>
      </c>
    </row>
    <row r="297">
      <c r="A297" s="14" t="str">
        <f>CONCATENATE("M 7 ",G111)</f>
      </c>
      <c r="B297" s="14"/>
      <c r="C297" s="14"/>
      <c r="D297" s="18"/>
      <c r="E297" s="14"/>
      <c r="F297" s="14"/>
      <c r="G297" s="14" t="str">
        <f>CONCATENATE("M 6 ",G95)</f>
      </c>
      <c r="I297" s="14" t="str">
        <f>CONCATENATE("M 22 ",O111)</f>
      </c>
      <c r="J297" s="14"/>
      <c r="K297" s="14"/>
      <c r="L297" s="18"/>
      <c r="M297" s="14"/>
      <c r="N297" s="14"/>
      <c r="O297" s="14" t="str">
        <f>CONCATENATE("M 21 ",O95)</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7 ",G111)</f>
      </c>
      <c r="B304" s="14" t="s">
        <v>247</v>
      </c>
      <c r="C304" s="14" t="s">
        <v>250</v>
      </c>
      <c r="D304" s="14"/>
      <c r="E304" s="14" t="s">
        <v>250</v>
      </c>
      <c r="F304" s="14" t="s">
        <v>247</v>
      </c>
      <c r="G304" s="14" t="str">
        <f>CONCATENATE("M 6 ",G95)</f>
      </c>
      <c r="I304" s="14" t="str">
        <f>CONCATENATE("M 22 ",O111)</f>
      </c>
      <c r="J304" s="14" t="s">
        <v>247</v>
      </c>
      <c r="K304" s="14" t="s">
        <v>250</v>
      </c>
      <c r="L304" s="14"/>
      <c r="M304" s="14" t="s">
        <v>250</v>
      </c>
      <c r="N304" s="14" t="s">
        <v>247</v>
      </c>
      <c r="O304" s="14" t="str">
        <f>CONCATENATE("M 21 ",O95)</f>
      </c>
    </row>
    <row r="305">
      <c r="A305" s="14" t="s">
        <v>348</v>
      </c>
      <c r="B305" s="14" t="str">
        <f>SUMPRODUCT((UPPER(D298:D302)&lt;&gt;"X")*((LEN(SUBSTITUTE(SUBSTITUTE(SUBSTITUTE(B298:B302," ",""),"0",""),"-",""))+LEN(SUBSTITUTE(SUBSTITUTE(SUBSTITUTE(C298:C302," ",""),"0",""),"-","")))&gt;(LEN(SUBSTITUTE(SUBSTITUTE(SUBSTITUTE(E298:E302," ",""),"0",""),"-",""))+LEN(SUBSTITUTE(SUBSTITUTE(SUBSTITUTE(F298:F302," ",""),"0",""),"-",""))))*1)</f>
      </c>
      <c r="C305" s="14" t="str">
        <f>SUMPRODUCT(LEN(SUBSTITUTE(SUBSTITUTE(SUBSTITUTE(B298:B302," ",""),"0",""),"-",""))+LEN(SUBSTITUTE(SUBSTITUTE(SUBSTITUTE(C298:C302," ",""),"0",""),"-","")))</f>
      </c>
      <c r="D305" s="14"/>
      <c r="E305" s="14" t="str">
        <f>SUMPRODUCT(LEN(SUBSTITUTE(SUBSTITUTE(SUBSTITUTE(E298:E302," ",""),"0",""),"-",""))+LEN(SUBSTITUTE(SUBSTITUTE(SUBSTITUTE(F298:F302," ",""),"0",""),"-","")))</f>
      </c>
      <c r="F305" s="14" t="str">
        <f>SUMPRODUCT((UPPER(D298:D302)&lt;&gt;"X")*((LEN(SUBSTITUTE(SUBSTITUTE(SUBSTITUTE(E298:E302," ",""),"0",""),"-",""))+LEN(SUBSTITUTE(SUBSTITUTE(SUBSTITUTE(F298:F302," ",""),"0",""),"-","")))&gt;(LEN(SUBSTITUTE(SUBSTITUTE(SUBSTITUTE(B298:B302," ",""),"0",""),"-",""))+LEN(SUBSTITUTE(SUBSTITUTE(SUBSTITUTE(C298:C302," ",""),"0",""),"-",""))))*1)</f>
      </c>
      <c r="G305" s="14" t="s">
        <v>348</v>
      </c>
      <c r="I305" s="14" t="s">
        <v>348</v>
      </c>
      <c r="J305" s="14" t="str">
        <f>SUMPRODUCT((UPPER(L298:L302)&lt;&gt;"X")*((LEN(SUBSTITUTE(SUBSTITUTE(SUBSTITUTE(J298:J302," ",""),"0",""),"-",""))+LEN(SUBSTITUTE(SUBSTITUTE(SUBSTITUTE(K298:K302," ",""),"0",""),"-","")))&gt;(LEN(SUBSTITUTE(SUBSTITUTE(SUBSTITUTE(M298:M302," ",""),"0",""),"-",""))+LEN(SUBSTITUTE(SUBSTITUTE(SUBSTITUTE(N298:N302," ",""),"0",""),"-",""))))*1)</f>
      </c>
      <c r="K305" s="14" t="str">
        <f>SUMPRODUCT(LEN(SUBSTITUTE(SUBSTITUTE(SUBSTITUTE(J298:J302," ",""),"0",""),"-",""))+LEN(SUBSTITUTE(SUBSTITUTE(SUBSTITUTE(K298:K302," ",""),"0",""),"-","")))</f>
      </c>
      <c r="L305" s="14"/>
      <c r="M305" s="14" t="str">
        <f>SUMPRODUCT(LEN(SUBSTITUTE(SUBSTITUTE(SUBSTITUTE(M298:M302," ",""),"0",""),"-",""))+LEN(SUBSTITUTE(SUBSTITUTE(SUBSTITUTE(N298:N302," ",""),"0",""),"-","")))</f>
      </c>
      <c r="N305" s="14" t="str">
        <f>SUMPRODUCT((UPPER(L298:L302)&lt;&gt;"X")*((LEN(SUBSTITUTE(SUBSTITUTE(SUBSTITUTE(M298:M302," ",""),"0",""),"-",""))+LEN(SUBSTITUTE(SUBSTITUTE(SUBSTITUTE(N298:N302," ",""),"0",""),"-","")))&gt;(LEN(SUBSTITUTE(SUBSTITUTE(SUBSTITUTE(J298:J302," ",""),"0",""),"-",""))+LEN(SUBSTITUTE(SUBSTITUTE(SUBSTITUTE(K298:K302," ",""),"0",""),"-",""))))*1)</f>
      </c>
      <c r="O305" s="14" t="s">
        <v>348</v>
      </c>
    </row>
    <row r="308">
      <c r="F308" t="s">
        <v>253</v>
      </c>
      <c r="G308" s="19"/>
      <c r="N308" t="s">
        <v>253</v>
      </c>
      <c r="O308" s="19"/>
    </row>
    <row r="309">
      <c r="F309" t="s">
        <v>254</v>
      </c>
      <c r="G309" s="19"/>
      <c r="N309" t="s">
        <v>254</v>
      </c>
      <c r="O309" s="19"/>
    </row>
    <row r="311">
      <c r="A311" s="13" t="s">
        <v>386</v>
      </c>
      <c r="B311" s="13"/>
      <c r="C311" s="13"/>
      <c r="D311" s="13"/>
      <c r="E311" s="13"/>
      <c r="F311" s="13"/>
      <c r="G311" s="13"/>
      <c r="I311" s="13" t="s">
        <v>387</v>
      </c>
      <c r="J311" s="13"/>
      <c r="K311" s="13"/>
      <c r="L311" s="13"/>
      <c r="M311" s="13"/>
      <c r="N311" s="13"/>
      <c r="O311" s="13"/>
    </row>
    <row r="312">
      <c r="A312" s="17" t="s">
        <v>239</v>
      </c>
      <c r="D312" s="14" t="s">
        <v>240</v>
      </c>
      <c r="G312" s="16" t="s">
        <v>241</v>
      </c>
      <c r="I312" s="17" t="s">
        <v>239</v>
      </c>
      <c r="L312" s="14" t="s">
        <v>240</v>
      </c>
      <c r="O312" s="16" t="s">
        <v>241</v>
      </c>
    </row>
    <row r="313">
      <c r="A313" s="14" t="str">
        <f>CONCATENATE("M 9 ",G143)</f>
      </c>
      <c r="B313" s="14"/>
      <c r="C313" s="14"/>
      <c r="D313" s="18"/>
      <c r="E313" s="14"/>
      <c r="F313" s="14"/>
      <c r="G313" s="14" t="str">
        <f>CONCATENATE("M 8 ",G127)</f>
      </c>
      <c r="I313" s="14" t="str">
        <f>CONCATENATE("M 24 ",O143)</f>
      </c>
      <c r="J313" s="14"/>
      <c r="K313" s="14"/>
      <c r="L313" s="18"/>
      <c r="M313" s="14"/>
      <c r="N313" s="14"/>
      <c r="O313" s="14" t="str">
        <f>CONCATENATE("M 23 ",O127)</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247</v>
      </c>
      <c r="C320" s="14" t="s">
        <v>250</v>
      </c>
      <c r="D320" s="14"/>
      <c r="E320" s="14" t="s">
        <v>250</v>
      </c>
      <c r="F320" s="14" t="s">
        <v>247</v>
      </c>
      <c r="G320" s="14" t="str">
        <f>CONCATENATE("M 8 ",G127)</f>
      </c>
      <c r="I320" s="14" t="str">
        <f>CONCATENATE("M 24 ",O143)</f>
      </c>
      <c r="J320" s="14" t="s">
        <v>247</v>
      </c>
      <c r="K320" s="14" t="s">
        <v>250</v>
      </c>
      <c r="L320" s="14"/>
      <c r="M320" s="14" t="s">
        <v>250</v>
      </c>
      <c r="N320" s="14" t="s">
        <v>247</v>
      </c>
      <c r="O320" s="14" t="str">
        <f>CONCATENATE("M 23 ",O127)</f>
      </c>
    </row>
    <row r="321">
      <c r="A321" s="14" t="s">
        <v>348</v>
      </c>
      <c r="B321" s="14" t="str">
        <f>SUMPRODUCT((UPPER(D314:D318)&lt;&gt;"X")*((LEN(SUBSTITUTE(SUBSTITUTE(SUBSTITUTE(B314:B318," ",""),"0",""),"-",""))+LEN(SUBSTITUTE(SUBSTITUTE(SUBSTITUTE(C314:C318," ",""),"0",""),"-","")))&gt;(LEN(SUBSTITUTE(SUBSTITUTE(SUBSTITUTE(E314:E318," ",""),"0",""),"-",""))+LEN(SUBSTITUTE(SUBSTITUTE(SUBSTITUTE(F314:F318," ",""),"0",""),"-",""))))*1)</f>
      </c>
      <c r="C321" s="14" t="str">
        <f>SUMPRODUCT(LEN(SUBSTITUTE(SUBSTITUTE(SUBSTITUTE(B314:B318," ",""),"0",""),"-",""))+LEN(SUBSTITUTE(SUBSTITUTE(SUBSTITUTE(C314:C318," ",""),"0",""),"-","")))</f>
      </c>
      <c r="D321" s="14"/>
      <c r="E321" s="14" t="str">
        <f>SUMPRODUCT(LEN(SUBSTITUTE(SUBSTITUTE(SUBSTITUTE(E314:E318," ",""),"0",""),"-",""))+LEN(SUBSTITUTE(SUBSTITUTE(SUBSTITUTE(F314:F318," ",""),"0",""),"-","")))</f>
      </c>
      <c r="F321" s="14" t="str">
        <f>SUMPRODUCT((UPPER(D314:D318)&lt;&gt;"X")*((LEN(SUBSTITUTE(SUBSTITUTE(SUBSTITUTE(E314:E318," ",""),"0",""),"-",""))+LEN(SUBSTITUTE(SUBSTITUTE(SUBSTITUTE(F314:F318," ",""),"0",""),"-","")))&gt;(LEN(SUBSTITUTE(SUBSTITUTE(SUBSTITUTE(B314:B318," ",""),"0",""),"-",""))+LEN(SUBSTITUTE(SUBSTITUTE(SUBSTITUTE(C314:C318," ",""),"0",""),"-",""))))*1)</f>
      </c>
      <c r="G321" s="14" t="s">
        <v>348</v>
      </c>
      <c r="I321" s="14" t="s">
        <v>348</v>
      </c>
      <c r="J321" s="14" t="str">
        <f>SUMPRODUCT((UPPER(L314:L318)&lt;&gt;"X")*((LEN(SUBSTITUTE(SUBSTITUTE(SUBSTITUTE(J314:J318," ",""),"0",""),"-",""))+LEN(SUBSTITUTE(SUBSTITUTE(SUBSTITUTE(K314:K318," ",""),"0",""),"-","")))&gt;(LEN(SUBSTITUTE(SUBSTITUTE(SUBSTITUTE(M314:M318," ",""),"0",""),"-",""))+LEN(SUBSTITUTE(SUBSTITUTE(SUBSTITUTE(N314:N318," ",""),"0",""),"-",""))))*1)</f>
      </c>
      <c r="K321" s="14" t="str">
        <f>SUMPRODUCT(LEN(SUBSTITUTE(SUBSTITUTE(SUBSTITUTE(J314:J318," ",""),"0",""),"-",""))+LEN(SUBSTITUTE(SUBSTITUTE(SUBSTITUTE(K314:K318," ",""),"0",""),"-","")))</f>
      </c>
      <c r="L321" s="14"/>
      <c r="M321" s="14" t="str">
        <f>SUMPRODUCT(LEN(SUBSTITUTE(SUBSTITUTE(SUBSTITUTE(M314:M318," ",""),"0",""),"-",""))+LEN(SUBSTITUTE(SUBSTITUTE(SUBSTITUTE(N314:N318," ",""),"0",""),"-","")))</f>
      </c>
      <c r="N321" s="14" t="str">
        <f>SUMPRODUCT((UPPER(L314:L318)&lt;&gt;"X")*((LEN(SUBSTITUTE(SUBSTITUTE(SUBSTITUTE(M314:M318," ",""),"0",""),"-",""))+LEN(SUBSTITUTE(SUBSTITUTE(SUBSTITUTE(N314:N318," ",""),"0",""),"-","")))&gt;(LEN(SUBSTITUTE(SUBSTITUTE(SUBSTITUTE(J314:J318," ",""),"0",""),"-",""))+LEN(SUBSTITUTE(SUBSTITUTE(SUBSTITUTE(K314:K318," ",""),"0",""),"-",""))))*1)</f>
      </c>
      <c r="O321" s="14" t="s">
        <v>348</v>
      </c>
    </row>
    <row r="324">
      <c r="F324" t="s">
        <v>253</v>
      </c>
      <c r="G324" s="19"/>
      <c r="N324" t="s">
        <v>253</v>
      </c>
      <c r="O324" s="19"/>
    </row>
    <row r="325">
      <c r="F325" t="s">
        <v>254</v>
      </c>
      <c r="G325" s="19"/>
      <c r="N325" t="s">
        <v>254</v>
      </c>
      <c r="O325" s="19"/>
    </row>
    <row r="327">
      <c r="A327" s="13" t="s">
        <v>388</v>
      </c>
      <c r="B327" s="13"/>
      <c r="C327" s="13"/>
      <c r="D327" s="13"/>
      <c r="E327" s="13"/>
      <c r="F327" s="13"/>
      <c r="G327" s="13"/>
      <c r="I327" s="13" t="s">
        <v>389</v>
      </c>
      <c r="J327" s="13"/>
      <c r="K327" s="13"/>
      <c r="L327" s="13"/>
      <c r="M327" s="13"/>
      <c r="N327" s="13"/>
      <c r="O327" s="13"/>
    </row>
    <row r="328">
      <c r="A328" s="17" t="s">
        <v>239</v>
      </c>
      <c r="D328" s="14" t="s">
        <v>240</v>
      </c>
      <c r="G328" s="16" t="s">
        <v>241</v>
      </c>
      <c r="I328" s="17" t="s">
        <v>239</v>
      </c>
      <c r="L328" s="14" t="s">
        <v>240</v>
      </c>
      <c r="O328" s="16" t="s">
        <v>241</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247</v>
      </c>
      <c r="C336" s="14" t="s">
        <v>250</v>
      </c>
      <c r="D336" s="14"/>
      <c r="E336" s="14" t="s">
        <v>250</v>
      </c>
      <c r="F336" s="14" t="s">
        <v>247</v>
      </c>
      <c r="G336" s="14" t="str">
        <f>CONCATENATE("M 10 ",G159)</f>
      </c>
      <c r="I336" s="14" t="str">
        <f>CONCATENATE("M 26 ",O175)</f>
      </c>
      <c r="J336" s="14" t="s">
        <v>247</v>
      </c>
      <c r="K336" s="14" t="s">
        <v>250</v>
      </c>
      <c r="L336" s="14"/>
      <c r="M336" s="14" t="s">
        <v>250</v>
      </c>
      <c r="N336" s="14" t="s">
        <v>247</v>
      </c>
      <c r="O336" s="14" t="str">
        <f>CONCATENATE("M 25 ",O159)</f>
      </c>
    </row>
    <row r="337">
      <c r="A337" s="14" t="s">
        <v>348</v>
      </c>
      <c r="B337" s="14" t="str">
        <f>SUMPRODUCT((UPPER(D330:D334)&lt;&gt;"X")*((LEN(SUBSTITUTE(SUBSTITUTE(SUBSTITUTE(B330:B334," ",""),"0",""),"-",""))+LEN(SUBSTITUTE(SUBSTITUTE(SUBSTITUTE(C330:C334," ",""),"0",""),"-","")))&gt;(LEN(SUBSTITUTE(SUBSTITUTE(SUBSTITUTE(E330:E334," ",""),"0",""),"-",""))+LEN(SUBSTITUTE(SUBSTITUTE(SUBSTITUTE(F330:F334," ",""),"0",""),"-",""))))*1)</f>
      </c>
      <c r="C337" s="14" t="str">
        <f>SUMPRODUCT(LEN(SUBSTITUTE(SUBSTITUTE(SUBSTITUTE(B330:B334," ",""),"0",""),"-",""))+LEN(SUBSTITUTE(SUBSTITUTE(SUBSTITUTE(C330:C334," ",""),"0",""),"-","")))</f>
      </c>
      <c r="D337" s="14"/>
      <c r="E337" s="14" t="str">
        <f>SUMPRODUCT(LEN(SUBSTITUTE(SUBSTITUTE(SUBSTITUTE(E330:E334," ",""),"0",""),"-",""))+LEN(SUBSTITUTE(SUBSTITUTE(SUBSTITUTE(F330:F334," ",""),"0",""),"-","")))</f>
      </c>
      <c r="F337" s="14" t="str">
        <f>SUMPRODUCT((UPPER(D330:D334)&lt;&gt;"X")*((LEN(SUBSTITUTE(SUBSTITUTE(SUBSTITUTE(E330:E334," ",""),"0",""),"-",""))+LEN(SUBSTITUTE(SUBSTITUTE(SUBSTITUTE(F330:F334," ",""),"0",""),"-","")))&gt;(LEN(SUBSTITUTE(SUBSTITUTE(SUBSTITUTE(B330:B334," ",""),"0",""),"-",""))+LEN(SUBSTITUTE(SUBSTITUTE(SUBSTITUTE(C330:C334," ",""),"0",""),"-",""))))*1)</f>
      </c>
      <c r="G337" s="14" t="s">
        <v>348</v>
      </c>
      <c r="I337" s="14" t="s">
        <v>348</v>
      </c>
      <c r="J337" s="14" t="str">
        <f>SUMPRODUCT((UPPER(L330:L334)&lt;&gt;"X")*((LEN(SUBSTITUTE(SUBSTITUTE(SUBSTITUTE(J330:J334," ",""),"0",""),"-",""))+LEN(SUBSTITUTE(SUBSTITUTE(SUBSTITUTE(K330:K334," ",""),"0",""),"-","")))&gt;(LEN(SUBSTITUTE(SUBSTITUTE(SUBSTITUTE(M330:M334," ",""),"0",""),"-",""))+LEN(SUBSTITUTE(SUBSTITUTE(SUBSTITUTE(N330:N334," ",""),"0",""),"-",""))))*1)</f>
      </c>
      <c r="K337" s="14" t="str">
        <f>SUMPRODUCT(LEN(SUBSTITUTE(SUBSTITUTE(SUBSTITUTE(J330:J334," ",""),"0",""),"-",""))+LEN(SUBSTITUTE(SUBSTITUTE(SUBSTITUTE(K330:K334," ",""),"0",""),"-","")))</f>
      </c>
      <c r="L337" s="14"/>
      <c r="M337" s="14" t="str">
        <f>SUMPRODUCT(LEN(SUBSTITUTE(SUBSTITUTE(SUBSTITUTE(M330:M334," ",""),"0",""),"-",""))+LEN(SUBSTITUTE(SUBSTITUTE(SUBSTITUTE(N330:N334," ",""),"0",""),"-","")))</f>
      </c>
      <c r="N337" s="14" t="str">
        <f>SUMPRODUCT((UPPER(L330:L334)&lt;&gt;"X")*((LEN(SUBSTITUTE(SUBSTITUTE(SUBSTITUTE(M330:M334," ",""),"0",""),"-",""))+LEN(SUBSTITUTE(SUBSTITUTE(SUBSTITUTE(N330:N334," ",""),"0",""),"-","")))&gt;(LEN(SUBSTITUTE(SUBSTITUTE(SUBSTITUTE(J330:J334," ",""),"0",""),"-",""))+LEN(SUBSTITUTE(SUBSTITUTE(SUBSTITUTE(K330:K334," ",""),"0",""),"-",""))))*1)</f>
      </c>
      <c r="O337" s="14" t="s">
        <v>348</v>
      </c>
    </row>
    <row r="340">
      <c r="F340" t="s">
        <v>253</v>
      </c>
      <c r="G340" s="19"/>
      <c r="N340" t="s">
        <v>253</v>
      </c>
      <c r="O340" s="19"/>
    </row>
    <row r="341">
      <c r="F341" t="s">
        <v>254</v>
      </c>
      <c r="G341" s="19"/>
      <c r="N341" t="s">
        <v>254</v>
      </c>
      <c r="O341" s="19"/>
    </row>
    <row r="343">
      <c r="A343" s="13" t="s">
        <v>390</v>
      </c>
      <c r="B343" s="13"/>
      <c r="C343" s="13"/>
      <c r="D343" s="13"/>
      <c r="E343" s="13"/>
      <c r="F343" s="13"/>
      <c r="G343" s="13"/>
      <c r="I343" s="13" t="s">
        <v>391</v>
      </c>
      <c r="J343" s="13"/>
      <c r="K343" s="13"/>
      <c r="L343" s="13"/>
      <c r="M343" s="13"/>
      <c r="N343" s="13"/>
      <c r="O343" s="13"/>
    </row>
    <row r="344">
      <c r="A344" s="17" t="s">
        <v>239</v>
      </c>
      <c r="D344" s="14" t="s">
        <v>240</v>
      </c>
      <c r="G344" s="16" t="s">
        <v>241</v>
      </c>
      <c r="I344" s="17" t="s">
        <v>239</v>
      </c>
      <c r="L344" s="14" t="s">
        <v>240</v>
      </c>
      <c r="O344" s="16" t="s">
        <v>241</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247</v>
      </c>
      <c r="C352" s="14" t="s">
        <v>250</v>
      </c>
      <c r="D352" s="14"/>
      <c r="E352" s="14" t="s">
        <v>250</v>
      </c>
      <c r="F352" s="14" t="s">
        <v>247</v>
      </c>
      <c r="G352" s="14" t="str">
        <f>CONCATENATE("M 12 ",G191)</f>
      </c>
      <c r="I352" s="14" t="str">
        <f>CONCATENATE("M 28 ",O207)</f>
      </c>
      <c r="J352" s="14" t="s">
        <v>247</v>
      </c>
      <c r="K352" s="14" t="s">
        <v>250</v>
      </c>
      <c r="L352" s="14"/>
      <c r="M352" s="14" t="s">
        <v>250</v>
      </c>
      <c r="N352" s="14" t="s">
        <v>247</v>
      </c>
      <c r="O352" s="14" t="str">
        <f>CONCATENATE("M 27 ",O191)</f>
      </c>
    </row>
    <row r="353">
      <c r="A353" s="14" t="s">
        <v>348</v>
      </c>
      <c r="B353" s="14" t="str">
        <f>SUMPRODUCT((UPPER(D346:D350)&lt;&gt;"X")*((LEN(SUBSTITUTE(SUBSTITUTE(SUBSTITUTE(B346:B350," ",""),"0",""),"-",""))+LEN(SUBSTITUTE(SUBSTITUTE(SUBSTITUTE(C346:C350," ",""),"0",""),"-","")))&gt;(LEN(SUBSTITUTE(SUBSTITUTE(SUBSTITUTE(E346:E350," ",""),"0",""),"-",""))+LEN(SUBSTITUTE(SUBSTITUTE(SUBSTITUTE(F346:F350," ",""),"0",""),"-",""))))*1)</f>
      </c>
      <c r="C353" s="14" t="str">
        <f>SUMPRODUCT(LEN(SUBSTITUTE(SUBSTITUTE(SUBSTITUTE(B346:B350," ",""),"0",""),"-",""))+LEN(SUBSTITUTE(SUBSTITUTE(SUBSTITUTE(C346:C350," ",""),"0",""),"-","")))</f>
      </c>
      <c r="D353" s="14"/>
      <c r="E353" s="14" t="str">
        <f>SUMPRODUCT(LEN(SUBSTITUTE(SUBSTITUTE(SUBSTITUTE(E346:E350," ",""),"0",""),"-",""))+LEN(SUBSTITUTE(SUBSTITUTE(SUBSTITUTE(F346:F350," ",""),"0",""),"-","")))</f>
      </c>
      <c r="F353" s="14" t="str">
        <f>SUMPRODUCT((UPPER(D346:D350)&lt;&gt;"X")*((LEN(SUBSTITUTE(SUBSTITUTE(SUBSTITUTE(E346:E350," ",""),"0",""),"-",""))+LEN(SUBSTITUTE(SUBSTITUTE(SUBSTITUTE(F346:F350," ",""),"0",""),"-","")))&gt;(LEN(SUBSTITUTE(SUBSTITUTE(SUBSTITUTE(B346:B350," ",""),"0",""),"-",""))+LEN(SUBSTITUTE(SUBSTITUTE(SUBSTITUTE(C346:C350," ",""),"0",""),"-",""))))*1)</f>
      </c>
      <c r="G353" s="14" t="s">
        <v>348</v>
      </c>
      <c r="I353" s="14" t="s">
        <v>348</v>
      </c>
      <c r="J353" s="14" t="str">
        <f>SUMPRODUCT((UPPER(L346:L350)&lt;&gt;"X")*((LEN(SUBSTITUTE(SUBSTITUTE(SUBSTITUTE(J346:J350," ",""),"0",""),"-",""))+LEN(SUBSTITUTE(SUBSTITUTE(SUBSTITUTE(K346:K350," ",""),"0",""),"-","")))&gt;(LEN(SUBSTITUTE(SUBSTITUTE(SUBSTITUTE(M346:M350," ",""),"0",""),"-",""))+LEN(SUBSTITUTE(SUBSTITUTE(SUBSTITUTE(N346:N350," ",""),"0",""),"-",""))))*1)</f>
      </c>
      <c r="K353" s="14" t="str">
        <f>SUMPRODUCT(LEN(SUBSTITUTE(SUBSTITUTE(SUBSTITUTE(J346:J350," ",""),"0",""),"-",""))+LEN(SUBSTITUTE(SUBSTITUTE(SUBSTITUTE(K346:K350," ",""),"0",""),"-","")))</f>
      </c>
      <c r="L353" s="14"/>
      <c r="M353" s="14" t="str">
        <f>SUMPRODUCT(LEN(SUBSTITUTE(SUBSTITUTE(SUBSTITUTE(M346:M350," ",""),"0",""),"-",""))+LEN(SUBSTITUTE(SUBSTITUTE(SUBSTITUTE(N346:N350," ",""),"0",""),"-","")))</f>
      </c>
      <c r="N353" s="14" t="str">
        <f>SUMPRODUCT((UPPER(L346:L350)&lt;&gt;"X")*((LEN(SUBSTITUTE(SUBSTITUTE(SUBSTITUTE(M346:M350," ",""),"0",""),"-",""))+LEN(SUBSTITUTE(SUBSTITUTE(SUBSTITUTE(N346:N350," ",""),"0",""),"-","")))&gt;(LEN(SUBSTITUTE(SUBSTITUTE(SUBSTITUTE(J346:J350," ",""),"0",""),"-",""))+LEN(SUBSTITUTE(SUBSTITUTE(SUBSTITUTE(K346:K350," ",""),"0",""),"-",""))))*1)</f>
      </c>
      <c r="O353" s="14" t="s">
        <v>348</v>
      </c>
    </row>
    <row r="356">
      <c r="F356" t="s">
        <v>253</v>
      </c>
      <c r="G356" s="19"/>
      <c r="N356" t="s">
        <v>253</v>
      </c>
      <c r="O356" s="19"/>
    </row>
    <row r="357">
      <c r="F357" t="s">
        <v>254</v>
      </c>
      <c r="G357" s="19"/>
      <c r="N357" t="s">
        <v>254</v>
      </c>
      <c r="O357" s="19"/>
    </row>
    <row r="359">
      <c r="A359" s="13" t="s">
        <v>392</v>
      </c>
      <c r="B359" s="13"/>
      <c r="C359" s="13"/>
      <c r="D359" s="13"/>
      <c r="E359" s="13"/>
      <c r="F359" s="13"/>
      <c r="G359" s="13"/>
      <c r="I359" s="13" t="s">
        <v>393</v>
      </c>
      <c r="J359" s="13"/>
      <c r="K359" s="13"/>
      <c r="L359" s="13"/>
      <c r="M359" s="13"/>
      <c r="N359" s="13"/>
      <c r="O359" s="13"/>
    </row>
    <row r="360">
      <c r="A360" s="17" t="s">
        <v>239</v>
      </c>
      <c r="D360" s="14" t="s">
        <v>240</v>
      </c>
      <c r="G360" s="16" t="s">
        <v>241</v>
      </c>
      <c r="I360" s="17" t="s">
        <v>239</v>
      </c>
      <c r="L360" s="14" t="s">
        <v>240</v>
      </c>
      <c r="O360" s="16" t="s">
        <v>241</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247</v>
      </c>
      <c r="C368" s="14" t="s">
        <v>250</v>
      </c>
      <c r="D368" s="14"/>
      <c r="E368" s="14" t="s">
        <v>250</v>
      </c>
      <c r="F368" s="14" t="s">
        <v>247</v>
      </c>
      <c r="G368" s="14" t="str">
        <f>CONCATENATE("M 14 ",G223)</f>
      </c>
      <c r="I368" s="14" t="str">
        <f>CONCATENATE("M 30 ",O239)</f>
      </c>
      <c r="J368" s="14" t="s">
        <v>247</v>
      </c>
      <c r="K368" s="14" t="s">
        <v>250</v>
      </c>
      <c r="L368" s="14"/>
      <c r="M368" s="14" t="s">
        <v>250</v>
      </c>
      <c r="N368" s="14" t="s">
        <v>247</v>
      </c>
      <c r="O368" s="14" t="str">
        <f>CONCATENATE("M 29 ",O223)</f>
      </c>
    </row>
    <row r="369">
      <c r="A369" s="14" t="s">
        <v>348</v>
      </c>
      <c r="B369" s="14" t="str">
        <f>SUMPRODUCT((UPPER(D362:D366)&lt;&gt;"X")*((LEN(SUBSTITUTE(SUBSTITUTE(SUBSTITUTE(B362:B366," ",""),"0",""),"-",""))+LEN(SUBSTITUTE(SUBSTITUTE(SUBSTITUTE(C362:C366," ",""),"0",""),"-","")))&gt;(LEN(SUBSTITUTE(SUBSTITUTE(SUBSTITUTE(E362:E366," ",""),"0",""),"-",""))+LEN(SUBSTITUTE(SUBSTITUTE(SUBSTITUTE(F362:F366," ",""),"0",""),"-",""))))*1)</f>
      </c>
      <c r="C369" s="14" t="str">
        <f>SUMPRODUCT(LEN(SUBSTITUTE(SUBSTITUTE(SUBSTITUTE(B362:B366," ",""),"0",""),"-",""))+LEN(SUBSTITUTE(SUBSTITUTE(SUBSTITUTE(C362:C366," ",""),"0",""),"-","")))</f>
      </c>
      <c r="D369" s="14"/>
      <c r="E369" s="14" t="str">
        <f>SUMPRODUCT(LEN(SUBSTITUTE(SUBSTITUTE(SUBSTITUTE(E362:E366," ",""),"0",""),"-",""))+LEN(SUBSTITUTE(SUBSTITUTE(SUBSTITUTE(F362:F366," ",""),"0",""),"-","")))</f>
      </c>
      <c r="F369" s="14" t="str">
        <f>SUMPRODUCT((UPPER(D362:D366)&lt;&gt;"X")*((LEN(SUBSTITUTE(SUBSTITUTE(SUBSTITUTE(E362:E366," ",""),"0",""),"-",""))+LEN(SUBSTITUTE(SUBSTITUTE(SUBSTITUTE(F362:F366," ",""),"0",""),"-","")))&gt;(LEN(SUBSTITUTE(SUBSTITUTE(SUBSTITUTE(B362:B366," ",""),"0",""),"-",""))+LEN(SUBSTITUTE(SUBSTITUTE(SUBSTITUTE(C362:C366," ",""),"0",""),"-",""))))*1)</f>
      </c>
      <c r="G369" s="14" t="s">
        <v>348</v>
      </c>
      <c r="I369" s="14" t="s">
        <v>348</v>
      </c>
      <c r="J369" s="14" t="str">
        <f>SUMPRODUCT((UPPER(L362:L366)&lt;&gt;"X")*((LEN(SUBSTITUTE(SUBSTITUTE(SUBSTITUTE(J362:J366," ",""),"0",""),"-",""))+LEN(SUBSTITUTE(SUBSTITUTE(SUBSTITUTE(K362:K366," ",""),"0",""),"-","")))&gt;(LEN(SUBSTITUTE(SUBSTITUTE(SUBSTITUTE(M362:M366," ",""),"0",""),"-",""))+LEN(SUBSTITUTE(SUBSTITUTE(SUBSTITUTE(N362:N366," ",""),"0",""),"-",""))))*1)</f>
      </c>
      <c r="K369" s="14" t="str">
        <f>SUMPRODUCT(LEN(SUBSTITUTE(SUBSTITUTE(SUBSTITUTE(J362:J366," ",""),"0",""),"-",""))+LEN(SUBSTITUTE(SUBSTITUTE(SUBSTITUTE(K362:K366," ",""),"0",""),"-","")))</f>
      </c>
      <c r="L369" s="14"/>
      <c r="M369" s="14" t="str">
        <f>SUMPRODUCT(LEN(SUBSTITUTE(SUBSTITUTE(SUBSTITUTE(M362:M366," ",""),"0",""),"-",""))+LEN(SUBSTITUTE(SUBSTITUTE(SUBSTITUTE(N362:N366," ",""),"0",""),"-","")))</f>
      </c>
      <c r="N369" s="14" t="str">
        <f>SUMPRODUCT((UPPER(L362:L366)&lt;&gt;"X")*((LEN(SUBSTITUTE(SUBSTITUTE(SUBSTITUTE(M362:M366," ",""),"0",""),"-",""))+LEN(SUBSTITUTE(SUBSTITUTE(SUBSTITUTE(N362:N366," ",""),"0",""),"-","")))&gt;(LEN(SUBSTITUTE(SUBSTITUTE(SUBSTITUTE(J362:J366," ",""),"0",""),"-",""))+LEN(SUBSTITUTE(SUBSTITUTE(SUBSTITUTE(K362:K366," ",""),"0",""),"-",""))))*1)</f>
      </c>
      <c r="O369" s="14" t="s">
        <v>348</v>
      </c>
    </row>
    <row r="372">
      <c r="F372" t="s">
        <v>253</v>
      </c>
      <c r="G372" s="19"/>
      <c r="N372" t="s">
        <v>253</v>
      </c>
      <c r="O372" s="19"/>
    </row>
    <row r="373">
      <c r="F373" t="s">
        <v>254</v>
      </c>
      <c r="G373" s="19"/>
      <c r="N373" t="s">
        <v>254</v>
      </c>
      <c r="O373" s="19"/>
    </row>
    <row r="380">
      <c r="A380" s="13" t="s">
        <v>394</v>
      </c>
      <c r="B380" s="13"/>
      <c r="C380" s="13"/>
      <c r="D380" s="13"/>
      <c r="E380" s="13"/>
      <c r="F380" s="13"/>
      <c r="G380" s="13"/>
      <c r="I380" s="13" t="s">
        <v>395</v>
      </c>
      <c r="J380" s="13"/>
      <c r="K380" s="13"/>
      <c r="L380" s="13"/>
      <c r="M380" s="13"/>
      <c r="N380" s="13"/>
      <c r="O380" s="13"/>
    </row>
    <row r="381">
      <c r="A381" s="17" t="s">
        <v>239</v>
      </c>
      <c r="D381" s="14" t="s">
        <v>240</v>
      </c>
      <c r="G381" s="16" t="s">
        <v>241</v>
      </c>
      <c r="I381" s="17" t="s">
        <v>239</v>
      </c>
      <c r="L381" s="14" t="s">
        <v>240</v>
      </c>
      <c r="O381" s="16" t="s">
        <v>241</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247</v>
      </c>
      <c r="C389" s="14" t="s">
        <v>250</v>
      </c>
      <c r="D389" s="14"/>
      <c r="E389" s="14" t="s">
        <v>250</v>
      </c>
      <c r="F389" s="14" t="s">
        <v>247</v>
      </c>
      <c r="G389" s="14" t="str">
        <f>CONCATENATE("M 31 ",G260)</f>
      </c>
      <c r="I389" s="14" t="str">
        <f>CONCATENATE("M 40 ",O276)</f>
      </c>
      <c r="J389" s="14" t="s">
        <v>247</v>
      </c>
      <c r="K389" s="14" t="s">
        <v>250</v>
      </c>
      <c r="L389" s="14"/>
      <c r="M389" s="14" t="s">
        <v>250</v>
      </c>
      <c r="N389" s="14" t="s">
        <v>247</v>
      </c>
      <c r="O389" s="14" t="str">
        <f>CONCATENATE("M 39 ",O260)</f>
      </c>
    </row>
    <row r="390">
      <c r="A390" s="14" t="s">
        <v>348</v>
      </c>
      <c r="B390" s="14" t="str">
        <f>SUMPRODUCT((UPPER(D383:D387)&lt;&gt;"X")*((LEN(SUBSTITUTE(SUBSTITUTE(SUBSTITUTE(B383:B387," ",""),"0",""),"-",""))+LEN(SUBSTITUTE(SUBSTITUTE(SUBSTITUTE(C383:C387," ",""),"0",""),"-","")))&gt;(LEN(SUBSTITUTE(SUBSTITUTE(SUBSTITUTE(E383:E387," ",""),"0",""),"-",""))+LEN(SUBSTITUTE(SUBSTITUTE(SUBSTITUTE(F383:F387," ",""),"0",""),"-",""))))*1)</f>
      </c>
      <c r="C390" s="14" t="str">
        <f>SUMPRODUCT(LEN(SUBSTITUTE(SUBSTITUTE(SUBSTITUTE(B383:B387," ",""),"0",""),"-",""))+LEN(SUBSTITUTE(SUBSTITUTE(SUBSTITUTE(C383:C387," ",""),"0",""),"-","")))</f>
      </c>
      <c r="D390" s="14"/>
      <c r="E390" s="14" t="str">
        <f>SUMPRODUCT(LEN(SUBSTITUTE(SUBSTITUTE(SUBSTITUTE(E383:E387," ",""),"0",""),"-",""))+LEN(SUBSTITUTE(SUBSTITUTE(SUBSTITUTE(F383:F387," ",""),"0",""),"-","")))</f>
      </c>
      <c r="F390" s="14" t="str">
        <f>SUMPRODUCT((UPPER(D383:D387)&lt;&gt;"X")*((LEN(SUBSTITUTE(SUBSTITUTE(SUBSTITUTE(E383:E387," ",""),"0",""),"-",""))+LEN(SUBSTITUTE(SUBSTITUTE(SUBSTITUTE(F383:F387," ",""),"0",""),"-","")))&gt;(LEN(SUBSTITUTE(SUBSTITUTE(SUBSTITUTE(B383:B387," ",""),"0",""),"-",""))+LEN(SUBSTITUTE(SUBSTITUTE(SUBSTITUTE(C383:C387," ",""),"0",""),"-",""))))*1)</f>
      </c>
      <c r="G390" s="14" t="s">
        <v>348</v>
      </c>
      <c r="I390" s="14" t="s">
        <v>348</v>
      </c>
      <c r="J390" s="14" t="str">
        <f>SUMPRODUCT((UPPER(L383:L387)&lt;&gt;"X")*((LEN(SUBSTITUTE(SUBSTITUTE(SUBSTITUTE(J383:J387," ",""),"0",""),"-",""))+LEN(SUBSTITUTE(SUBSTITUTE(SUBSTITUTE(K383:K387," ",""),"0",""),"-","")))&gt;(LEN(SUBSTITUTE(SUBSTITUTE(SUBSTITUTE(M383:M387," ",""),"0",""),"-",""))+LEN(SUBSTITUTE(SUBSTITUTE(SUBSTITUTE(N383:N387," ",""),"0",""),"-",""))))*1)</f>
      </c>
      <c r="K390" s="14" t="str">
        <f>SUMPRODUCT(LEN(SUBSTITUTE(SUBSTITUTE(SUBSTITUTE(J383:J387," ",""),"0",""),"-",""))+LEN(SUBSTITUTE(SUBSTITUTE(SUBSTITUTE(K383:K387," ",""),"0",""),"-","")))</f>
      </c>
      <c r="L390" s="14"/>
      <c r="M390" s="14" t="str">
        <f>SUMPRODUCT(LEN(SUBSTITUTE(SUBSTITUTE(SUBSTITUTE(M383:M387," ",""),"0",""),"-",""))+LEN(SUBSTITUTE(SUBSTITUTE(SUBSTITUTE(N383:N387," ",""),"0",""),"-","")))</f>
      </c>
      <c r="N390" s="14" t="str">
        <f>SUMPRODUCT((UPPER(L383:L387)&lt;&gt;"X")*((LEN(SUBSTITUTE(SUBSTITUTE(SUBSTITUTE(M383:M387," ",""),"0",""),"-",""))+LEN(SUBSTITUTE(SUBSTITUTE(SUBSTITUTE(N383:N387," ",""),"0",""),"-","")))&gt;(LEN(SUBSTITUTE(SUBSTITUTE(SUBSTITUTE(J383:J387," ",""),"0",""),"-",""))+LEN(SUBSTITUTE(SUBSTITUTE(SUBSTITUTE(K383:K387," ",""),"0",""),"-",""))))*1)</f>
      </c>
      <c r="O390" s="14" t="s">
        <v>348</v>
      </c>
    </row>
    <row r="393">
      <c r="F393" t="s">
        <v>253</v>
      </c>
      <c r="G393" s="19"/>
      <c r="N393" t="s">
        <v>253</v>
      </c>
      <c r="O393" s="19"/>
    </row>
    <row r="394">
      <c r="F394" t="s">
        <v>254</v>
      </c>
      <c r="G394" s="19"/>
      <c r="N394" t="s">
        <v>254</v>
      </c>
      <c r="O394" s="19"/>
    </row>
    <row r="396">
      <c r="A396" s="13" t="s">
        <v>396</v>
      </c>
      <c r="B396" s="13"/>
      <c r="C396" s="13"/>
      <c r="D396" s="13"/>
      <c r="E396" s="13"/>
      <c r="F396" s="13"/>
      <c r="G396" s="13"/>
      <c r="I396" s="13" t="s">
        <v>397</v>
      </c>
      <c r="J396" s="13"/>
      <c r="K396" s="13"/>
      <c r="L396" s="13"/>
      <c r="M396" s="13"/>
      <c r="N396" s="13"/>
      <c r="O396" s="13"/>
    </row>
    <row r="397">
      <c r="A397" s="17" t="s">
        <v>239</v>
      </c>
      <c r="D397" s="14" t="s">
        <v>240</v>
      </c>
      <c r="G397" s="16" t="s">
        <v>241</v>
      </c>
      <c r="I397" s="17" t="s">
        <v>239</v>
      </c>
      <c r="L397" s="14" t="s">
        <v>240</v>
      </c>
      <c r="O397" s="16" t="s">
        <v>241</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247</v>
      </c>
      <c r="C405" s="14" t="s">
        <v>250</v>
      </c>
      <c r="D405" s="14"/>
      <c r="E405" s="14" t="s">
        <v>250</v>
      </c>
      <c r="F405" s="14" t="s">
        <v>247</v>
      </c>
      <c r="G405" s="14" t="str">
        <f>CONCATENATE("M 33 ",G292)</f>
      </c>
      <c r="I405" s="14" t="str">
        <f>CONCATENATE("M 42 ",O308)</f>
      </c>
      <c r="J405" s="14" t="s">
        <v>247</v>
      </c>
      <c r="K405" s="14" t="s">
        <v>250</v>
      </c>
      <c r="L405" s="14"/>
      <c r="M405" s="14" t="s">
        <v>250</v>
      </c>
      <c r="N405" s="14" t="s">
        <v>247</v>
      </c>
      <c r="O405" s="14" t="str">
        <f>CONCATENATE("M 41 ",O292)</f>
      </c>
    </row>
    <row r="406">
      <c r="A406" s="14" t="s">
        <v>348</v>
      </c>
      <c r="B406" s="14" t="str">
        <f>SUMPRODUCT((UPPER(D399:D403)&lt;&gt;"X")*((LEN(SUBSTITUTE(SUBSTITUTE(SUBSTITUTE(B399:B403," ",""),"0",""),"-",""))+LEN(SUBSTITUTE(SUBSTITUTE(SUBSTITUTE(C399:C403," ",""),"0",""),"-","")))&gt;(LEN(SUBSTITUTE(SUBSTITUTE(SUBSTITUTE(E399:E403," ",""),"0",""),"-",""))+LEN(SUBSTITUTE(SUBSTITUTE(SUBSTITUTE(F399:F403," ",""),"0",""),"-",""))))*1)</f>
      </c>
      <c r="C406" s="14" t="str">
        <f>SUMPRODUCT(LEN(SUBSTITUTE(SUBSTITUTE(SUBSTITUTE(B399:B403," ",""),"0",""),"-",""))+LEN(SUBSTITUTE(SUBSTITUTE(SUBSTITUTE(C399:C403," ",""),"0",""),"-","")))</f>
      </c>
      <c r="D406" s="14"/>
      <c r="E406" s="14" t="str">
        <f>SUMPRODUCT(LEN(SUBSTITUTE(SUBSTITUTE(SUBSTITUTE(E399:E403," ",""),"0",""),"-",""))+LEN(SUBSTITUTE(SUBSTITUTE(SUBSTITUTE(F399:F403," ",""),"0",""),"-","")))</f>
      </c>
      <c r="F406" s="14" t="str">
        <f>SUMPRODUCT((UPPER(D399:D403)&lt;&gt;"X")*((LEN(SUBSTITUTE(SUBSTITUTE(SUBSTITUTE(E399:E403," ",""),"0",""),"-",""))+LEN(SUBSTITUTE(SUBSTITUTE(SUBSTITUTE(F399:F403," ",""),"0",""),"-","")))&gt;(LEN(SUBSTITUTE(SUBSTITUTE(SUBSTITUTE(B399:B403," ",""),"0",""),"-",""))+LEN(SUBSTITUTE(SUBSTITUTE(SUBSTITUTE(C399:C403," ",""),"0",""),"-",""))))*1)</f>
      </c>
      <c r="G406" s="14" t="s">
        <v>348</v>
      </c>
      <c r="I406" s="14" t="s">
        <v>348</v>
      </c>
      <c r="J406" s="14" t="str">
        <f>SUMPRODUCT((UPPER(L399:L403)&lt;&gt;"X")*((LEN(SUBSTITUTE(SUBSTITUTE(SUBSTITUTE(J399:J403," ",""),"0",""),"-",""))+LEN(SUBSTITUTE(SUBSTITUTE(SUBSTITUTE(K399:K403," ",""),"0",""),"-","")))&gt;(LEN(SUBSTITUTE(SUBSTITUTE(SUBSTITUTE(M399:M403," ",""),"0",""),"-",""))+LEN(SUBSTITUTE(SUBSTITUTE(SUBSTITUTE(N399:N403," ",""),"0",""),"-",""))))*1)</f>
      </c>
      <c r="K406" s="14" t="str">
        <f>SUMPRODUCT(LEN(SUBSTITUTE(SUBSTITUTE(SUBSTITUTE(J399:J403," ",""),"0",""),"-",""))+LEN(SUBSTITUTE(SUBSTITUTE(SUBSTITUTE(K399:K403," ",""),"0",""),"-","")))</f>
      </c>
      <c r="L406" s="14"/>
      <c r="M406" s="14" t="str">
        <f>SUMPRODUCT(LEN(SUBSTITUTE(SUBSTITUTE(SUBSTITUTE(M399:M403," ",""),"0",""),"-",""))+LEN(SUBSTITUTE(SUBSTITUTE(SUBSTITUTE(N399:N403," ",""),"0",""),"-","")))</f>
      </c>
      <c r="N406" s="14" t="str">
        <f>SUMPRODUCT((UPPER(L399:L403)&lt;&gt;"X")*((LEN(SUBSTITUTE(SUBSTITUTE(SUBSTITUTE(M399:M403," ",""),"0",""),"-",""))+LEN(SUBSTITUTE(SUBSTITUTE(SUBSTITUTE(N399:N403," ",""),"0",""),"-","")))&gt;(LEN(SUBSTITUTE(SUBSTITUTE(SUBSTITUTE(J399:J403," ",""),"0",""),"-",""))+LEN(SUBSTITUTE(SUBSTITUTE(SUBSTITUTE(K399:K403," ",""),"0",""),"-",""))))*1)</f>
      </c>
      <c r="O406" s="14" t="s">
        <v>348</v>
      </c>
    </row>
    <row r="409">
      <c r="F409" t="s">
        <v>253</v>
      </c>
      <c r="G409" s="19"/>
      <c r="N409" t="s">
        <v>253</v>
      </c>
      <c r="O409" s="19"/>
    </row>
    <row r="410">
      <c r="F410" t="s">
        <v>254</v>
      </c>
      <c r="G410" s="19"/>
      <c r="N410" t="s">
        <v>254</v>
      </c>
      <c r="O410" s="19"/>
    </row>
    <row r="412">
      <c r="A412" s="13" t="s">
        <v>398</v>
      </c>
      <c r="B412" s="13"/>
      <c r="C412" s="13"/>
      <c r="D412" s="13"/>
      <c r="E412" s="13"/>
      <c r="F412" s="13"/>
      <c r="G412" s="13"/>
      <c r="I412" s="13" t="s">
        <v>399</v>
      </c>
      <c r="J412" s="13"/>
      <c r="K412" s="13"/>
      <c r="L412" s="13"/>
      <c r="M412" s="13"/>
      <c r="N412" s="13"/>
      <c r="O412" s="13"/>
    </row>
    <row r="413">
      <c r="A413" s="17" t="s">
        <v>239</v>
      </c>
      <c r="D413" s="14" t="s">
        <v>240</v>
      </c>
      <c r="G413" s="16" t="s">
        <v>241</v>
      </c>
      <c r="I413" s="17" t="s">
        <v>239</v>
      </c>
      <c r="L413" s="14" t="s">
        <v>240</v>
      </c>
      <c r="O413" s="16" t="s">
        <v>241</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247</v>
      </c>
      <c r="C421" s="14" t="s">
        <v>250</v>
      </c>
      <c r="D421" s="14"/>
      <c r="E421" s="14" t="s">
        <v>250</v>
      </c>
      <c r="F421" s="14" t="s">
        <v>247</v>
      </c>
      <c r="G421" s="14" t="str">
        <f>CONCATENATE("M 35 ",G324)</f>
      </c>
      <c r="I421" s="14" t="str">
        <f>CONCATENATE("M 44 ",O340)</f>
      </c>
      <c r="J421" s="14" t="s">
        <v>247</v>
      </c>
      <c r="K421" s="14" t="s">
        <v>250</v>
      </c>
      <c r="L421" s="14"/>
      <c r="M421" s="14" t="s">
        <v>250</v>
      </c>
      <c r="N421" s="14" t="s">
        <v>247</v>
      </c>
      <c r="O421" s="14" t="str">
        <f>CONCATENATE("M 43 ",O324)</f>
      </c>
    </row>
    <row r="422">
      <c r="A422" s="14" t="s">
        <v>348</v>
      </c>
      <c r="B422" s="14" t="str">
        <f>SUMPRODUCT((UPPER(D415:D419)&lt;&gt;"X")*((LEN(SUBSTITUTE(SUBSTITUTE(SUBSTITUTE(B415:B419," ",""),"0",""),"-",""))+LEN(SUBSTITUTE(SUBSTITUTE(SUBSTITUTE(C415:C419," ",""),"0",""),"-","")))&gt;(LEN(SUBSTITUTE(SUBSTITUTE(SUBSTITUTE(E415:E419," ",""),"0",""),"-",""))+LEN(SUBSTITUTE(SUBSTITUTE(SUBSTITUTE(F415:F419," ",""),"0",""),"-",""))))*1)</f>
      </c>
      <c r="C422" s="14" t="str">
        <f>SUMPRODUCT(LEN(SUBSTITUTE(SUBSTITUTE(SUBSTITUTE(B415:B419," ",""),"0",""),"-",""))+LEN(SUBSTITUTE(SUBSTITUTE(SUBSTITUTE(C415:C419," ",""),"0",""),"-","")))</f>
      </c>
      <c r="D422" s="14"/>
      <c r="E422" s="14" t="str">
        <f>SUMPRODUCT(LEN(SUBSTITUTE(SUBSTITUTE(SUBSTITUTE(E415:E419," ",""),"0",""),"-",""))+LEN(SUBSTITUTE(SUBSTITUTE(SUBSTITUTE(F415:F419," ",""),"0",""),"-","")))</f>
      </c>
      <c r="F422" s="14" t="str">
        <f>SUMPRODUCT((UPPER(D415:D419)&lt;&gt;"X")*((LEN(SUBSTITUTE(SUBSTITUTE(SUBSTITUTE(E415:E419," ",""),"0",""),"-",""))+LEN(SUBSTITUTE(SUBSTITUTE(SUBSTITUTE(F415:F419," ",""),"0",""),"-","")))&gt;(LEN(SUBSTITUTE(SUBSTITUTE(SUBSTITUTE(B415:B419," ",""),"0",""),"-",""))+LEN(SUBSTITUTE(SUBSTITUTE(SUBSTITUTE(C415:C419," ",""),"0",""),"-",""))))*1)</f>
      </c>
      <c r="G422" s="14" t="s">
        <v>348</v>
      </c>
      <c r="I422" s="14" t="s">
        <v>348</v>
      </c>
      <c r="J422" s="14" t="str">
        <f>SUMPRODUCT((UPPER(L415:L419)&lt;&gt;"X")*((LEN(SUBSTITUTE(SUBSTITUTE(SUBSTITUTE(J415:J419," ",""),"0",""),"-",""))+LEN(SUBSTITUTE(SUBSTITUTE(SUBSTITUTE(K415:K419," ",""),"0",""),"-","")))&gt;(LEN(SUBSTITUTE(SUBSTITUTE(SUBSTITUTE(M415:M419," ",""),"0",""),"-",""))+LEN(SUBSTITUTE(SUBSTITUTE(SUBSTITUTE(N415:N419," ",""),"0",""),"-",""))))*1)</f>
      </c>
      <c r="K422" s="14" t="str">
        <f>SUMPRODUCT(LEN(SUBSTITUTE(SUBSTITUTE(SUBSTITUTE(J415:J419," ",""),"0",""),"-",""))+LEN(SUBSTITUTE(SUBSTITUTE(SUBSTITUTE(K415:K419," ",""),"0",""),"-","")))</f>
      </c>
      <c r="L422" s="14"/>
      <c r="M422" s="14" t="str">
        <f>SUMPRODUCT(LEN(SUBSTITUTE(SUBSTITUTE(SUBSTITUTE(M415:M419," ",""),"0",""),"-",""))+LEN(SUBSTITUTE(SUBSTITUTE(SUBSTITUTE(N415:N419," ",""),"0",""),"-","")))</f>
      </c>
      <c r="N422" s="14" t="str">
        <f>SUMPRODUCT((UPPER(L415:L419)&lt;&gt;"X")*((LEN(SUBSTITUTE(SUBSTITUTE(SUBSTITUTE(M415:M419," ",""),"0",""),"-",""))+LEN(SUBSTITUTE(SUBSTITUTE(SUBSTITUTE(N415:N419," ",""),"0",""),"-","")))&gt;(LEN(SUBSTITUTE(SUBSTITUTE(SUBSTITUTE(J415:J419," ",""),"0",""),"-",""))+LEN(SUBSTITUTE(SUBSTITUTE(SUBSTITUTE(K415:K419," ",""),"0",""),"-",""))))*1)</f>
      </c>
      <c r="O422" s="14" t="s">
        <v>348</v>
      </c>
    </row>
    <row r="425">
      <c r="F425" t="s">
        <v>253</v>
      </c>
      <c r="G425" s="19"/>
      <c r="N425" t="s">
        <v>253</v>
      </c>
      <c r="O425" s="19"/>
    </row>
    <row r="426">
      <c r="F426" t="s">
        <v>254</v>
      </c>
      <c r="G426" s="19"/>
      <c r="N426" t="s">
        <v>254</v>
      </c>
      <c r="O426" s="19"/>
    </row>
    <row r="428">
      <c r="A428" s="13" t="s">
        <v>400</v>
      </c>
      <c r="B428" s="13"/>
      <c r="C428" s="13"/>
      <c r="D428" s="13"/>
      <c r="E428" s="13"/>
      <c r="F428" s="13"/>
      <c r="G428" s="13"/>
      <c r="I428" s="13" t="s">
        <v>401</v>
      </c>
      <c r="J428" s="13"/>
      <c r="K428" s="13"/>
      <c r="L428" s="13"/>
      <c r="M428" s="13"/>
      <c r="N428" s="13"/>
      <c r="O428" s="13"/>
    </row>
    <row r="429">
      <c r="A429" s="17" t="s">
        <v>239</v>
      </c>
      <c r="D429" s="14" t="s">
        <v>240</v>
      </c>
      <c r="G429" s="16" t="s">
        <v>241</v>
      </c>
      <c r="I429" s="17" t="s">
        <v>239</v>
      </c>
      <c r="L429" s="14" t="s">
        <v>240</v>
      </c>
      <c r="O429" s="16" t="s">
        <v>241</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247</v>
      </c>
      <c r="C437" s="14" t="s">
        <v>250</v>
      </c>
      <c r="D437" s="14"/>
      <c r="E437" s="14" t="s">
        <v>250</v>
      </c>
      <c r="F437" s="14" t="s">
        <v>247</v>
      </c>
      <c r="G437" s="14" t="str">
        <f>CONCATENATE("M 37 ",G356)</f>
      </c>
      <c r="I437" s="14" t="str">
        <f>CONCATENATE("M 46 ",O372)</f>
      </c>
      <c r="J437" s="14" t="s">
        <v>247</v>
      </c>
      <c r="K437" s="14" t="s">
        <v>250</v>
      </c>
      <c r="L437" s="14"/>
      <c r="M437" s="14" t="s">
        <v>250</v>
      </c>
      <c r="N437" s="14" t="s">
        <v>247</v>
      </c>
      <c r="O437" s="14" t="str">
        <f>CONCATENATE("M 45 ",O356)</f>
      </c>
    </row>
    <row r="438">
      <c r="A438" s="14" t="s">
        <v>348</v>
      </c>
      <c r="B438" s="14" t="str">
        <f>SUMPRODUCT((UPPER(D431:D435)&lt;&gt;"X")*((LEN(SUBSTITUTE(SUBSTITUTE(SUBSTITUTE(B431:B435," ",""),"0",""),"-",""))+LEN(SUBSTITUTE(SUBSTITUTE(SUBSTITUTE(C431:C435," ",""),"0",""),"-","")))&gt;(LEN(SUBSTITUTE(SUBSTITUTE(SUBSTITUTE(E431:E435," ",""),"0",""),"-",""))+LEN(SUBSTITUTE(SUBSTITUTE(SUBSTITUTE(F431:F435," ",""),"0",""),"-",""))))*1)</f>
      </c>
      <c r="C438" s="14" t="str">
        <f>SUMPRODUCT(LEN(SUBSTITUTE(SUBSTITUTE(SUBSTITUTE(B431:B435," ",""),"0",""),"-",""))+LEN(SUBSTITUTE(SUBSTITUTE(SUBSTITUTE(C431:C435," ",""),"0",""),"-","")))</f>
      </c>
      <c r="D438" s="14"/>
      <c r="E438" s="14" t="str">
        <f>SUMPRODUCT(LEN(SUBSTITUTE(SUBSTITUTE(SUBSTITUTE(E431:E435," ",""),"0",""),"-",""))+LEN(SUBSTITUTE(SUBSTITUTE(SUBSTITUTE(F431:F435," ",""),"0",""),"-","")))</f>
      </c>
      <c r="F438" s="14" t="str">
        <f>SUMPRODUCT((UPPER(D431:D435)&lt;&gt;"X")*((LEN(SUBSTITUTE(SUBSTITUTE(SUBSTITUTE(E431:E435," ",""),"0",""),"-",""))+LEN(SUBSTITUTE(SUBSTITUTE(SUBSTITUTE(F431:F435," ",""),"0",""),"-","")))&gt;(LEN(SUBSTITUTE(SUBSTITUTE(SUBSTITUTE(B431:B435," ",""),"0",""),"-",""))+LEN(SUBSTITUTE(SUBSTITUTE(SUBSTITUTE(C431:C435," ",""),"0",""),"-",""))))*1)</f>
      </c>
      <c r="G438" s="14" t="s">
        <v>348</v>
      </c>
      <c r="I438" s="14" t="s">
        <v>348</v>
      </c>
      <c r="J438" s="14" t="str">
        <f>SUMPRODUCT((UPPER(L431:L435)&lt;&gt;"X")*((LEN(SUBSTITUTE(SUBSTITUTE(SUBSTITUTE(J431:J435," ",""),"0",""),"-",""))+LEN(SUBSTITUTE(SUBSTITUTE(SUBSTITUTE(K431:K435," ",""),"0",""),"-","")))&gt;(LEN(SUBSTITUTE(SUBSTITUTE(SUBSTITUTE(M431:M435," ",""),"0",""),"-",""))+LEN(SUBSTITUTE(SUBSTITUTE(SUBSTITUTE(N431:N435," ",""),"0",""),"-",""))))*1)</f>
      </c>
      <c r="K438" s="14" t="str">
        <f>SUMPRODUCT(LEN(SUBSTITUTE(SUBSTITUTE(SUBSTITUTE(J431:J435," ",""),"0",""),"-",""))+LEN(SUBSTITUTE(SUBSTITUTE(SUBSTITUTE(K431:K435," ",""),"0",""),"-","")))</f>
      </c>
      <c r="L438" s="14"/>
      <c r="M438" s="14" t="str">
        <f>SUMPRODUCT(LEN(SUBSTITUTE(SUBSTITUTE(SUBSTITUTE(M431:M435," ",""),"0",""),"-",""))+LEN(SUBSTITUTE(SUBSTITUTE(SUBSTITUTE(N431:N435," ",""),"0",""),"-","")))</f>
      </c>
      <c r="N438" s="14" t="str">
        <f>SUMPRODUCT((UPPER(L431:L435)&lt;&gt;"X")*((LEN(SUBSTITUTE(SUBSTITUTE(SUBSTITUTE(M431:M435," ",""),"0",""),"-",""))+LEN(SUBSTITUTE(SUBSTITUTE(SUBSTITUTE(N431:N435," ",""),"0",""),"-","")))&gt;(LEN(SUBSTITUTE(SUBSTITUTE(SUBSTITUTE(J431:J435," ",""),"0",""),"-",""))+LEN(SUBSTITUTE(SUBSTITUTE(SUBSTITUTE(K431:K435," ",""),"0",""),"-",""))))*1)</f>
      </c>
      <c r="O438" s="14" t="s">
        <v>348</v>
      </c>
    </row>
    <row r="441">
      <c r="F441" t="s">
        <v>253</v>
      </c>
      <c r="G441" s="19"/>
      <c r="N441" t="s">
        <v>253</v>
      </c>
      <c r="O441" s="19"/>
    </row>
    <row r="442">
      <c r="F442" t="s">
        <v>254</v>
      </c>
      <c r="G442" s="19"/>
      <c r="N442" t="s">
        <v>254</v>
      </c>
      <c r="O442" s="19"/>
    </row>
    <row r="449">
      <c r="A449" s="13" t="s">
        <v>402</v>
      </c>
      <c r="B449" s="13"/>
      <c r="C449" s="13"/>
      <c r="D449" s="13"/>
      <c r="E449" s="13"/>
      <c r="F449" s="13"/>
      <c r="G449" s="13"/>
      <c r="I449" s="13" t="s">
        <v>403</v>
      </c>
      <c r="J449" s="13"/>
      <c r="K449" s="13"/>
      <c r="L449" s="13"/>
      <c r="M449" s="13"/>
      <c r="N449" s="13"/>
      <c r="O449" s="13"/>
    </row>
    <row r="450">
      <c r="A450" s="17" t="s">
        <v>239</v>
      </c>
      <c r="D450" s="14" t="s">
        <v>240</v>
      </c>
      <c r="G450" s="16" t="s">
        <v>241</v>
      </c>
      <c r="I450" s="17" t="s">
        <v>239</v>
      </c>
      <c r="L450" s="14" t="s">
        <v>240</v>
      </c>
      <c r="O450" s="16" t="s">
        <v>241</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247</v>
      </c>
      <c r="C458" s="14" t="s">
        <v>250</v>
      </c>
      <c r="D458" s="14"/>
      <c r="E458" s="14" t="s">
        <v>250</v>
      </c>
      <c r="F458" s="14" t="s">
        <v>247</v>
      </c>
      <c r="G458" s="14" t="str">
        <f>CONCATENATE("M 47 ",G393)</f>
      </c>
      <c r="I458" s="14" t="str">
        <f>CONCATENATE("M 52 ",O409)</f>
      </c>
      <c r="J458" s="14" t="s">
        <v>247</v>
      </c>
      <c r="K458" s="14" t="s">
        <v>250</v>
      </c>
      <c r="L458" s="14"/>
      <c r="M458" s="14" t="s">
        <v>250</v>
      </c>
      <c r="N458" s="14" t="s">
        <v>247</v>
      </c>
      <c r="O458" s="14" t="str">
        <f>CONCATENATE("M 51 ",O393)</f>
      </c>
    </row>
    <row r="459">
      <c r="A459" s="14" t="s">
        <v>348</v>
      </c>
      <c r="B459" s="14" t="str">
        <f>SUMPRODUCT((UPPER(D452:D456)&lt;&gt;"X")*((LEN(SUBSTITUTE(SUBSTITUTE(SUBSTITUTE(B452:B456," ",""),"0",""),"-",""))+LEN(SUBSTITUTE(SUBSTITUTE(SUBSTITUTE(C452:C456," ",""),"0",""),"-","")))&gt;(LEN(SUBSTITUTE(SUBSTITUTE(SUBSTITUTE(E452:E456," ",""),"0",""),"-",""))+LEN(SUBSTITUTE(SUBSTITUTE(SUBSTITUTE(F452:F456," ",""),"0",""),"-",""))))*1)</f>
      </c>
      <c r="C459" s="14" t="str">
        <f>SUMPRODUCT(LEN(SUBSTITUTE(SUBSTITUTE(SUBSTITUTE(B452:B456," ",""),"0",""),"-",""))+LEN(SUBSTITUTE(SUBSTITUTE(SUBSTITUTE(C452:C456," ",""),"0",""),"-","")))</f>
      </c>
      <c r="D459" s="14"/>
      <c r="E459" s="14" t="str">
        <f>SUMPRODUCT(LEN(SUBSTITUTE(SUBSTITUTE(SUBSTITUTE(E452:E456," ",""),"0",""),"-",""))+LEN(SUBSTITUTE(SUBSTITUTE(SUBSTITUTE(F452:F456," ",""),"0",""),"-","")))</f>
      </c>
      <c r="F459" s="14" t="str">
        <f>SUMPRODUCT((UPPER(D452:D456)&lt;&gt;"X")*((LEN(SUBSTITUTE(SUBSTITUTE(SUBSTITUTE(E452:E456," ",""),"0",""),"-",""))+LEN(SUBSTITUTE(SUBSTITUTE(SUBSTITUTE(F452:F456," ",""),"0",""),"-","")))&gt;(LEN(SUBSTITUTE(SUBSTITUTE(SUBSTITUTE(B452:B456," ",""),"0",""),"-",""))+LEN(SUBSTITUTE(SUBSTITUTE(SUBSTITUTE(C452:C456," ",""),"0",""),"-",""))))*1)</f>
      </c>
      <c r="G459" s="14" t="s">
        <v>348</v>
      </c>
      <c r="I459" s="14" t="s">
        <v>348</v>
      </c>
      <c r="J459" s="14" t="str">
        <f>SUMPRODUCT((UPPER(L452:L456)&lt;&gt;"X")*((LEN(SUBSTITUTE(SUBSTITUTE(SUBSTITUTE(J452:J456," ",""),"0",""),"-",""))+LEN(SUBSTITUTE(SUBSTITUTE(SUBSTITUTE(K452:K456," ",""),"0",""),"-","")))&gt;(LEN(SUBSTITUTE(SUBSTITUTE(SUBSTITUTE(M452:M456," ",""),"0",""),"-",""))+LEN(SUBSTITUTE(SUBSTITUTE(SUBSTITUTE(N452:N456," ",""),"0",""),"-",""))))*1)</f>
      </c>
      <c r="K459" s="14" t="str">
        <f>SUMPRODUCT(LEN(SUBSTITUTE(SUBSTITUTE(SUBSTITUTE(J452:J456," ",""),"0",""),"-",""))+LEN(SUBSTITUTE(SUBSTITUTE(SUBSTITUTE(K452:K456," ",""),"0",""),"-","")))</f>
      </c>
      <c r="L459" s="14"/>
      <c r="M459" s="14" t="str">
        <f>SUMPRODUCT(LEN(SUBSTITUTE(SUBSTITUTE(SUBSTITUTE(M452:M456," ",""),"0",""),"-",""))+LEN(SUBSTITUTE(SUBSTITUTE(SUBSTITUTE(N452:N456," ",""),"0",""),"-","")))</f>
      </c>
      <c r="N459" s="14" t="str">
        <f>SUMPRODUCT((UPPER(L452:L456)&lt;&gt;"X")*((LEN(SUBSTITUTE(SUBSTITUTE(SUBSTITUTE(M452:M456," ",""),"0",""),"-",""))+LEN(SUBSTITUTE(SUBSTITUTE(SUBSTITUTE(N452:N456," ",""),"0",""),"-","")))&gt;(LEN(SUBSTITUTE(SUBSTITUTE(SUBSTITUTE(J452:J456," ",""),"0",""),"-",""))+LEN(SUBSTITUTE(SUBSTITUTE(SUBSTITUTE(K452:K456," ",""),"0",""),"-",""))))*1)</f>
      </c>
      <c r="O459" s="14" t="s">
        <v>348</v>
      </c>
    </row>
    <row r="462">
      <c r="F462" t="s">
        <v>253</v>
      </c>
      <c r="G462" s="19"/>
      <c r="N462" t="s">
        <v>253</v>
      </c>
      <c r="O462" s="19"/>
    </row>
    <row r="463">
      <c r="F463" t="s">
        <v>254</v>
      </c>
      <c r="G463" s="19"/>
      <c r="N463" t="s">
        <v>254</v>
      </c>
      <c r="O463" s="19"/>
    </row>
    <row r="465">
      <c r="A465" s="13" t="s">
        <v>404</v>
      </c>
      <c r="B465" s="13"/>
      <c r="C465" s="13"/>
      <c r="D465" s="13"/>
      <c r="E465" s="13"/>
      <c r="F465" s="13"/>
      <c r="G465" s="13"/>
      <c r="I465" s="13" t="s">
        <v>405</v>
      </c>
      <c r="J465" s="13"/>
      <c r="K465" s="13"/>
      <c r="L465" s="13"/>
      <c r="M465" s="13"/>
      <c r="N465" s="13"/>
      <c r="O465" s="13"/>
    </row>
    <row r="466">
      <c r="A466" s="17" t="s">
        <v>239</v>
      </c>
      <c r="D466" s="14" t="s">
        <v>240</v>
      </c>
      <c r="G466" s="16" t="s">
        <v>241</v>
      </c>
      <c r="I466" s="17" t="s">
        <v>239</v>
      </c>
      <c r="L466" s="14" t="s">
        <v>240</v>
      </c>
      <c r="O466" s="16" t="s">
        <v>241</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247</v>
      </c>
      <c r="C474" s="14" t="s">
        <v>250</v>
      </c>
      <c r="D474" s="14"/>
      <c r="E474" s="14" t="s">
        <v>250</v>
      </c>
      <c r="F474" s="14" t="s">
        <v>247</v>
      </c>
      <c r="G474" s="14" t="str">
        <f>CONCATENATE("M 49 ",G425)</f>
      </c>
      <c r="I474" s="14" t="str">
        <f>CONCATENATE("M 54 ",O441)</f>
      </c>
      <c r="J474" s="14" t="s">
        <v>247</v>
      </c>
      <c r="K474" s="14" t="s">
        <v>250</v>
      </c>
      <c r="L474" s="14"/>
      <c r="M474" s="14" t="s">
        <v>250</v>
      </c>
      <c r="N474" s="14" t="s">
        <v>247</v>
      </c>
      <c r="O474" s="14" t="str">
        <f>CONCATENATE("M 53 ",O425)</f>
      </c>
    </row>
    <row r="475">
      <c r="A475" s="14" t="s">
        <v>348</v>
      </c>
      <c r="B475" s="14" t="str">
        <f>SUMPRODUCT((UPPER(D468:D472)&lt;&gt;"X")*((LEN(SUBSTITUTE(SUBSTITUTE(SUBSTITUTE(B468:B472," ",""),"0",""),"-",""))+LEN(SUBSTITUTE(SUBSTITUTE(SUBSTITUTE(C468:C472," ",""),"0",""),"-","")))&gt;(LEN(SUBSTITUTE(SUBSTITUTE(SUBSTITUTE(E468:E472," ",""),"0",""),"-",""))+LEN(SUBSTITUTE(SUBSTITUTE(SUBSTITUTE(F468:F472," ",""),"0",""),"-",""))))*1)</f>
      </c>
      <c r="C475" s="14" t="str">
        <f>SUMPRODUCT(LEN(SUBSTITUTE(SUBSTITUTE(SUBSTITUTE(B468:B472," ",""),"0",""),"-",""))+LEN(SUBSTITUTE(SUBSTITUTE(SUBSTITUTE(C468:C472," ",""),"0",""),"-","")))</f>
      </c>
      <c r="D475" s="14"/>
      <c r="E475" s="14" t="str">
        <f>SUMPRODUCT(LEN(SUBSTITUTE(SUBSTITUTE(SUBSTITUTE(E468:E472," ",""),"0",""),"-",""))+LEN(SUBSTITUTE(SUBSTITUTE(SUBSTITUTE(F468:F472," ",""),"0",""),"-","")))</f>
      </c>
      <c r="F475" s="14" t="str">
        <f>SUMPRODUCT((UPPER(D468:D472)&lt;&gt;"X")*((LEN(SUBSTITUTE(SUBSTITUTE(SUBSTITUTE(E468:E472," ",""),"0",""),"-",""))+LEN(SUBSTITUTE(SUBSTITUTE(SUBSTITUTE(F468:F472," ",""),"0",""),"-","")))&gt;(LEN(SUBSTITUTE(SUBSTITUTE(SUBSTITUTE(B468:B472," ",""),"0",""),"-",""))+LEN(SUBSTITUTE(SUBSTITUTE(SUBSTITUTE(C468:C472," ",""),"0",""),"-",""))))*1)</f>
      </c>
      <c r="G475" s="14" t="s">
        <v>348</v>
      </c>
      <c r="I475" s="14" t="s">
        <v>348</v>
      </c>
      <c r="J475" s="14" t="str">
        <f>SUMPRODUCT((UPPER(L468:L472)&lt;&gt;"X")*((LEN(SUBSTITUTE(SUBSTITUTE(SUBSTITUTE(J468:J472," ",""),"0",""),"-",""))+LEN(SUBSTITUTE(SUBSTITUTE(SUBSTITUTE(K468:K472," ",""),"0",""),"-","")))&gt;(LEN(SUBSTITUTE(SUBSTITUTE(SUBSTITUTE(M468:M472," ",""),"0",""),"-",""))+LEN(SUBSTITUTE(SUBSTITUTE(SUBSTITUTE(N468:N472," ",""),"0",""),"-",""))))*1)</f>
      </c>
      <c r="K475" s="14" t="str">
        <f>SUMPRODUCT(LEN(SUBSTITUTE(SUBSTITUTE(SUBSTITUTE(J468:J472," ",""),"0",""),"-",""))+LEN(SUBSTITUTE(SUBSTITUTE(SUBSTITUTE(K468:K472," ",""),"0",""),"-","")))</f>
      </c>
      <c r="L475" s="14"/>
      <c r="M475" s="14" t="str">
        <f>SUMPRODUCT(LEN(SUBSTITUTE(SUBSTITUTE(SUBSTITUTE(M468:M472," ",""),"0",""),"-",""))+LEN(SUBSTITUTE(SUBSTITUTE(SUBSTITUTE(N468:N472," ",""),"0",""),"-","")))</f>
      </c>
      <c r="N475" s="14" t="str">
        <f>SUMPRODUCT((UPPER(L468:L472)&lt;&gt;"X")*((LEN(SUBSTITUTE(SUBSTITUTE(SUBSTITUTE(M468:M472," ",""),"0",""),"-",""))+LEN(SUBSTITUTE(SUBSTITUTE(SUBSTITUTE(N468:N472," ",""),"0",""),"-","")))&gt;(LEN(SUBSTITUTE(SUBSTITUTE(SUBSTITUTE(J468:J472," ",""),"0",""),"-",""))+LEN(SUBSTITUTE(SUBSTITUTE(SUBSTITUTE(K468:K472," ",""),"0",""),"-",""))))*1)</f>
      </c>
      <c r="O475" s="14" t="s">
        <v>348</v>
      </c>
    </row>
    <row r="478">
      <c r="F478" t="s">
        <v>253</v>
      </c>
      <c r="G478" s="19"/>
      <c r="N478" t="s">
        <v>253</v>
      </c>
      <c r="O478" s="19"/>
    </row>
    <row r="479">
      <c r="F479" t="s">
        <v>254</v>
      </c>
      <c r="G479" s="19"/>
      <c r="N479" t="s">
        <v>254</v>
      </c>
      <c r="O479" s="19"/>
    </row>
    <row r="486">
      <c r="A486" s="13" t="s">
        <v>406</v>
      </c>
      <c r="B486" s="13"/>
      <c r="C486" s="13"/>
      <c r="D486" s="13"/>
      <c r="E486" s="13"/>
      <c r="F486" s="13"/>
      <c r="G486" s="13"/>
      <c r="I486" s="13" t="s">
        <v>407</v>
      </c>
      <c r="J486" s="13"/>
      <c r="K486" s="13"/>
      <c r="L486" s="13"/>
      <c r="M486" s="13"/>
      <c r="N486" s="13"/>
      <c r="O486" s="13"/>
    </row>
    <row r="487">
      <c r="A487" s="17" t="s">
        <v>239</v>
      </c>
      <c r="D487" s="14" t="s">
        <v>240</v>
      </c>
      <c r="G487" s="16" t="s">
        <v>241</v>
      </c>
      <c r="I487" s="17" t="s">
        <v>239</v>
      </c>
      <c r="L487" s="14" t="s">
        <v>240</v>
      </c>
      <c r="O487" s="16" t="s">
        <v>241</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247</v>
      </c>
      <c r="C495" s="14" t="s">
        <v>250</v>
      </c>
      <c r="D495" s="14"/>
      <c r="E495" s="14" t="s">
        <v>250</v>
      </c>
      <c r="F495" s="14" t="s">
        <v>247</v>
      </c>
      <c r="G495" s="14" t="str">
        <f>CONCATENATE("M 55 ",G462)</f>
      </c>
      <c r="I495" s="14" t="str">
        <f>CONCATENATE("M 58 ",O478)</f>
      </c>
      <c r="J495" s="14" t="s">
        <v>247</v>
      </c>
      <c r="K495" s="14" t="s">
        <v>250</v>
      </c>
      <c r="L495" s="14"/>
      <c r="M495" s="14" t="s">
        <v>250</v>
      </c>
      <c r="N495" s="14" t="s">
        <v>247</v>
      </c>
      <c r="O495" s="14" t="str">
        <f>CONCATENATE("M 57 ",O462)</f>
      </c>
    </row>
    <row r="496">
      <c r="A496" s="14" t="s">
        <v>348</v>
      </c>
      <c r="B496" s="14" t="str">
        <f>SUMPRODUCT((UPPER(D489:D493)&lt;&gt;"X")*((LEN(SUBSTITUTE(SUBSTITUTE(SUBSTITUTE(B489:B493," ",""),"0",""),"-",""))+LEN(SUBSTITUTE(SUBSTITUTE(SUBSTITUTE(C489:C493," ",""),"0",""),"-","")))&gt;(LEN(SUBSTITUTE(SUBSTITUTE(SUBSTITUTE(E489:E493," ",""),"0",""),"-",""))+LEN(SUBSTITUTE(SUBSTITUTE(SUBSTITUTE(F489:F493," ",""),"0",""),"-",""))))*1)</f>
      </c>
      <c r="C496" s="14" t="str">
        <f>SUMPRODUCT(LEN(SUBSTITUTE(SUBSTITUTE(SUBSTITUTE(B489:B493," ",""),"0",""),"-",""))+LEN(SUBSTITUTE(SUBSTITUTE(SUBSTITUTE(C489:C493," ",""),"0",""),"-","")))</f>
      </c>
      <c r="D496" s="14"/>
      <c r="E496" s="14" t="str">
        <f>SUMPRODUCT(LEN(SUBSTITUTE(SUBSTITUTE(SUBSTITUTE(E489:E493," ",""),"0",""),"-",""))+LEN(SUBSTITUTE(SUBSTITUTE(SUBSTITUTE(F489:F493," ",""),"0",""),"-","")))</f>
      </c>
      <c r="F496" s="14" t="str">
        <f>SUMPRODUCT((UPPER(D489:D493)&lt;&gt;"X")*((LEN(SUBSTITUTE(SUBSTITUTE(SUBSTITUTE(E489:E493," ",""),"0",""),"-",""))+LEN(SUBSTITUTE(SUBSTITUTE(SUBSTITUTE(F489:F493," ",""),"0",""),"-","")))&gt;(LEN(SUBSTITUTE(SUBSTITUTE(SUBSTITUTE(B489:B493," ",""),"0",""),"-",""))+LEN(SUBSTITUTE(SUBSTITUTE(SUBSTITUTE(C489:C493," ",""),"0",""),"-",""))))*1)</f>
      </c>
      <c r="G496" s="14" t="s">
        <v>348</v>
      </c>
      <c r="I496" s="14" t="s">
        <v>348</v>
      </c>
      <c r="J496" s="14" t="str">
        <f>SUMPRODUCT((UPPER(L489:L493)&lt;&gt;"X")*((LEN(SUBSTITUTE(SUBSTITUTE(SUBSTITUTE(J489:J493," ",""),"0",""),"-",""))+LEN(SUBSTITUTE(SUBSTITUTE(SUBSTITUTE(K489:K493," ",""),"0",""),"-","")))&gt;(LEN(SUBSTITUTE(SUBSTITUTE(SUBSTITUTE(M489:M493," ",""),"0",""),"-",""))+LEN(SUBSTITUTE(SUBSTITUTE(SUBSTITUTE(N489:N493," ",""),"0",""),"-",""))))*1)</f>
      </c>
      <c r="K496" s="14" t="str">
        <f>SUMPRODUCT(LEN(SUBSTITUTE(SUBSTITUTE(SUBSTITUTE(J489:J493," ",""),"0",""),"-",""))+LEN(SUBSTITUTE(SUBSTITUTE(SUBSTITUTE(K489:K493," ",""),"0",""),"-","")))</f>
      </c>
      <c r="L496" s="14"/>
      <c r="M496" s="14" t="str">
        <f>SUMPRODUCT(LEN(SUBSTITUTE(SUBSTITUTE(SUBSTITUTE(M489:M493," ",""),"0",""),"-",""))+LEN(SUBSTITUTE(SUBSTITUTE(SUBSTITUTE(N489:N493," ",""),"0",""),"-","")))</f>
      </c>
      <c r="N496" s="14" t="str">
        <f>SUMPRODUCT((UPPER(L489:L493)&lt;&gt;"X")*((LEN(SUBSTITUTE(SUBSTITUTE(SUBSTITUTE(M489:M493," ",""),"0",""),"-",""))+LEN(SUBSTITUTE(SUBSTITUTE(SUBSTITUTE(N489:N493," ",""),"0",""),"-","")))&gt;(LEN(SUBSTITUTE(SUBSTITUTE(SUBSTITUTE(J489:J493," ",""),"0",""),"-",""))+LEN(SUBSTITUTE(SUBSTITUTE(SUBSTITUTE(K489:K493," ",""),"0",""),"-",""))))*1)</f>
      </c>
      <c r="O496" s="14" t="s">
        <v>348</v>
      </c>
    </row>
    <row r="499">
      <c r="F499" t="s">
        <v>253</v>
      </c>
      <c r="G499" s="19"/>
      <c r="N499" t="s">
        <v>253</v>
      </c>
      <c r="O499" s="19"/>
    </row>
    <row r="500">
      <c r="F500" t="s">
        <v>254</v>
      </c>
      <c r="G500" s="19"/>
      <c r="N500" t="s">
        <v>254</v>
      </c>
      <c r="O500" s="19"/>
    </row>
    <row r="507">
      <c r="A507" s="13" t="s">
        <v>408</v>
      </c>
      <c r="B507" s="13"/>
      <c r="C507" s="13"/>
      <c r="D507" s="13"/>
      <c r="E507" s="13"/>
      <c r="F507" s="13"/>
      <c r="G507" s="13"/>
    </row>
    <row r="508">
      <c r="A508" s="17" t="s">
        <v>239</v>
      </c>
      <c r="D508" s="14" t="s">
        <v>240</v>
      </c>
      <c r="G508" s="16" t="s">
        <v>241</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247</v>
      </c>
      <c r="C516" s="14" t="s">
        <v>250</v>
      </c>
      <c r="D516" s="14"/>
      <c r="E516" s="14" t="s">
        <v>250</v>
      </c>
      <c r="F516" s="14" t="s">
        <v>247</v>
      </c>
      <c r="G516" s="14" t="str">
        <f>CONCATENATE("M 59 ",G499)</f>
      </c>
    </row>
    <row r="517">
      <c r="A517" s="14" t="s">
        <v>348</v>
      </c>
      <c r="B517" s="14" t="str">
        <f>SUMPRODUCT((UPPER(D510:D514)&lt;&gt;"X")*((LEN(SUBSTITUTE(SUBSTITUTE(SUBSTITUTE(B510:B514," ",""),"0",""),"-",""))+LEN(SUBSTITUTE(SUBSTITUTE(SUBSTITUTE(C510:C514," ",""),"0",""),"-","")))&gt;(LEN(SUBSTITUTE(SUBSTITUTE(SUBSTITUTE(E510:E514," ",""),"0",""),"-",""))+LEN(SUBSTITUTE(SUBSTITUTE(SUBSTITUTE(F510:F514," ",""),"0",""),"-",""))))*1)</f>
      </c>
      <c r="C517" s="14" t="str">
        <f>SUMPRODUCT(LEN(SUBSTITUTE(SUBSTITUTE(SUBSTITUTE(B510:B514," ",""),"0",""),"-",""))+LEN(SUBSTITUTE(SUBSTITUTE(SUBSTITUTE(C510:C514," ",""),"0",""),"-","")))</f>
      </c>
      <c r="D517" s="14"/>
      <c r="E517" s="14" t="str">
        <f>SUMPRODUCT(LEN(SUBSTITUTE(SUBSTITUTE(SUBSTITUTE(E510:E514," ",""),"0",""),"-",""))+LEN(SUBSTITUTE(SUBSTITUTE(SUBSTITUTE(F510:F514," ",""),"0",""),"-","")))</f>
      </c>
      <c r="F517" s="14" t="str">
        <f>SUMPRODUCT((UPPER(D510:D514)&lt;&gt;"X")*((LEN(SUBSTITUTE(SUBSTITUTE(SUBSTITUTE(E510:E514," ",""),"0",""),"-",""))+LEN(SUBSTITUTE(SUBSTITUTE(SUBSTITUTE(F510:F514," ",""),"0",""),"-","")))&gt;(LEN(SUBSTITUTE(SUBSTITUTE(SUBSTITUTE(B510:B514," ",""),"0",""),"-",""))+LEN(SUBSTITUTE(SUBSTITUTE(SUBSTITUTE(C510:C514," ",""),"0",""),"-",""))))*1)</f>
      </c>
      <c r="G517" s="14" t="s">
        <v>348</v>
      </c>
    </row>
    <row r="520">
      <c r="F520" t="s">
        <v>253</v>
      </c>
      <c r="G520" s="19"/>
    </row>
    <row r="521">
      <c r="F521" t="s">
        <v>254</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row>
    <row r="6">
      <c r="A6" s="26" t="str">
        <f>"2. " &amp; data!$B$4</f>
      </c>
      <c r="E6" s="23" t="str">
        <f>CONCATENATE("Pool A-1st ",'Pool Matches'!G40)</f>
      </c>
    </row>
    <row r="7">
      <c r="A7" s="27" t="str">
        <f>"3. " &amp; data!$B$5</f>
      </c>
      <c r="F7" s="22"/>
      <c r="G7" s="20"/>
    </row>
    <row r="8">
      <c r="A8" s="22"/>
      <c r="G8" s="21">
        <v>31</v>
      </c>
    </row>
    <row r="9">
      <c r="A9" s="24" t="str">
        <f>'data'!$A$8</f>
      </c>
      <c r="C9" s="23" t="str">
        <f>CONCATENATE("Pool C-1st ",'Pool Matches'!G126)</f>
      </c>
      <c r="G9" s="20"/>
      <c r="H9" s="22"/>
      <c r="I9" s="20"/>
    </row>
    <row r="10">
      <c r="A10" s="25" t="str">
        <f>"1. " &amp; data!$B$6</f>
      </c>
      <c r="D10" s="22"/>
      <c r="E10" s="21">
        <v>1</v>
      </c>
      <c r="F10" s="15"/>
      <c r="G10" s="20"/>
      <c r="I10" s="20"/>
    </row>
    <row r="11">
      <c r="A11" s="26" t="str">
        <f>"2. " &amp; data!$B$7</f>
      </c>
      <c r="C11" s="23" t="str">
        <f>CONCATENATE("Pool B-2nd ",'Pool Matches'!G84)</f>
      </c>
      <c r="D11" s="15"/>
      <c r="E11" s="20"/>
      <c r="I11" s="20"/>
    </row>
    <row r="12">
      <c r="A12" s="27" t="str">
        <f>"3. " &amp; data!$B$8</f>
      </c>
      <c r="I12" s="21">
        <v>47</v>
      </c>
    </row>
    <row r="13">
      <c r="A13" s="22"/>
      <c r="C13" s="23" t="str">
        <f>CONCATENATE("Pool E-1st ",'Pool Matches'!G212)</f>
      </c>
      <c r="I13" s="20"/>
      <c r="J13" s="22"/>
      <c r="K13" s="20"/>
    </row>
    <row r="14">
      <c r="A14" s="24" t="str">
        <f>'data'!$A$11</f>
      </c>
      <c r="D14" s="22"/>
      <c r="E14" s="21">
        <v>2</v>
      </c>
      <c r="I14" s="20"/>
      <c r="K14" s="20"/>
    </row>
    <row r="15">
      <c r="A15" s="25" t="str">
        <f>"1. " &amp; data!$B$9</f>
      </c>
      <c r="C15" s="23" t="str">
        <f>CONCATENATE("Pool D-2nd ",'Pool Matches'!G170)</f>
      </c>
      <c r="D15" s="15"/>
      <c r="E15" s="20"/>
      <c r="F15" s="22"/>
      <c r="G15" s="20"/>
      <c r="I15" s="20"/>
      <c r="K15" s="20"/>
    </row>
    <row r="16">
      <c r="A16" s="26" t="str">
        <f>"2. " &amp; data!$B$10</f>
      </c>
      <c r="G16" s="21">
        <v>32</v>
      </c>
      <c r="H16" s="15"/>
      <c r="I16" s="20"/>
      <c r="K16" s="20"/>
    </row>
    <row r="17">
      <c r="A17" s="27" t="str">
        <f>"3. " &amp; data!$B$11</f>
      </c>
      <c r="C17" s="23" t="str">
        <f>CONCATENATE("Pool G-1st ",'Pool Matches'!G298)</f>
      </c>
      <c r="G17" s="20"/>
      <c r="K17" s="20"/>
    </row>
    <row r="18">
      <c r="A18" s="22"/>
      <c r="D18" s="22"/>
      <c r="E18" s="21">
        <v>3</v>
      </c>
      <c r="F18" s="15"/>
      <c r="G18" s="20"/>
      <c r="K18" s="20"/>
    </row>
    <row r="19">
      <c r="A19" s="24" t="str">
        <f>'data'!$A$14</f>
      </c>
      <c r="C19" s="23" t="str">
        <f>CONCATENATE("Pool F-2nd ",'Pool Matches'!G256)</f>
      </c>
      <c r="D19" s="15"/>
      <c r="E19" s="20"/>
      <c r="K19" s="20"/>
    </row>
    <row r="20">
      <c r="A20" s="25" t="str">
        <f>"1. " &amp; data!$B$12</f>
      </c>
      <c r="K20" s="21">
        <v>55</v>
      </c>
    </row>
    <row r="21">
      <c r="A21" s="26" t="str">
        <f>"2. " &amp; data!$B$13</f>
      </c>
      <c r="C21" s="23" t="str">
        <f>CONCATENATE("Pool I-1st ",'Pool Matches'!G384)</f>
      </c>
      <c r="K21" s="20"/>
    </row>
    <row r="22">
      <c r="A22" s="27" t="str">
        <f>"3. " &amp; data!$B$14</f>
      </c>
      <c r="D22" s="22"/>
      <c r="E22" s="21">
        <v>4</v>
      </c>
      <c r="K22" s="20"/>
    </row>
    <row r="23">
      <c r="A23" s="22"/>
      <c r="C23" s="23" t="str">
        <f>CONCATENATE("Pool H-2nd ",'Pool Matches'!G342)</f>
      </c>
      <c r="D23" s="15"/>
      <c r="E23" s="20"/>
      <c r="F23" s="22"/>
      <c r="G23" s="20"/>
      <c r="K23" s="20"/>
    </row>
    <row r="24">
      <c r="A24" s="24" t="str">
        <f>'data'!$A$17</f>
      </c>
      <c r="G24" s="21">
        <v>33</v>
      </c>
      <c r="K24" s="20"/>
    </row>
    <row r="25">
      <c r="A25" s="25" t="str">
        <f>"1. " &amp; data!$B$15</f>
      </c>
      <c r="C25" s="23" t="str">
        <f>CONCATENATE("Pool K-1st ",'Pool Matches'!G470)</f>
      </c>
      <c r="G25" s="20"/>
      <c r="H25" s="22"/>
      <c r="I25" s="20"/>
      <c r="K25" s="20"/>
    </row>
    <row r="26">
      <c r="A26" s="26" t="str">
        <f>"2. " &amp; data!$B$16</f>
      </c>
      <c r="D26" s="22"/>
      <c r="E26" s="21">
        <v>5</v>
      </c>
      <c r="F26" s="15"/>
      <c r="G26" s="20"/>
      <c r="I26" s="20"/>
      <c r="K26" s="20"/>
    </row>
    <row r="27">
      <c r="A27" s="27" t="str">
        <f>"3. " &amp; data!$B$17</f>
      </c>
      <c r="C27" s="23" t="str">
        <f>CONCATENATE("Pool J-2nd ",'Pool Matches'!G428)</f>
      </c>
      <c r="D27" s="15"/>
      <c r="E27" s="20"/>
      <c r="I27" s="20"/>
      <c r="K27" s="20"/>
    </row>
    <row r="28">
      <c r="A28" s="22"/>
      <c r="I28" s="21">
        <v>48</v>
      </c>
      <c r="J28" s="15"/>
      <c r="K28" s="20"/>
    </row>
    <row r="29">
      <c r="A29" s="24" t="str">
        <f>'data'!$A$20</f>
      </c>
      <c r="C29" s="23" t="str">
        <f>CONCATENATE("Pool M-1st ",'Pool Matches'!G556)</f>
      </c>
      <c r="I29" s="20"/>
    </row>
    <row r="30">
      <c r="A30" s="25" t="str">
        <f>"1. " &amp; data!$B$18</f>
      </c>
      <c r="D30" s="22"/>
      <c r="E30" s="21">
        <v>6</v>
      </c>
      <c r="I30" s="20"/>
    </row>
    <row r="31">
      <c r="A31" s="26" t="str">
        <f>"2. " &amp; data!$B$19</f>
      </c>
      <c r="C31" s="23" t="str">
        <f>CONCATENATE("Pool L-2nd ",'Pool Matches'!G514)</f>
      </c>
      <c r="D31" s="15"/>
      <c r="E31" s="20"/>
      <c r="F31" s="22"/>
      <c r="G31" s="20"/>
      <c r="I31" s="20"/>
    </row>
    <row r="32">
      <c r="A32" s="27" t="str">
        <f>"3. " &amp; data!$B$20</f>
      </c>
      <c r="G32" s="21">
        <v>34</v>
      </c>
      <c r="H32" s="15"/>
      <c r="I32" s="20"/>
    </row>
    <row r="33">
      <c r="A33" s="22"/>
      <c r="C33" s="23" t="str">
        <f>CONCATENATE("Pool O-1st ",'Pool Matches'!G642)</f>
      </c>
      <c r="G33" s="20"/>
    </row>
    <row r="34">
      <c r="A34" s="24" t="str">
        <f>'data'!$A$23</f>
      </c>
      <c r="D34" s="22"/>
      <c r="E34" s="21">
        <v>7</v>
      </c>
      <c r="F34" s="15"/>
      <c r="G34" s="20"/>
    </row>
    <row r="35">
      <c r="A35" s="25" t="str">
        <f>"1. " &amp; data!$B$21</f>
      </c>
      <c r="C35" s="23" t="str">
        <f>CONCATENATE("Pool N-2nd ",'Pool Matches'!G600)</f>
      </c>
      <c r="D35" s="15"/>
      <c r="E35" s="20"/>
    </row>
    <row r="36">
      <c r="A36" s="26" t="str">
        <f>"2. " &amp; data!$B$22</f>
      </c>
    </row>
    <row r="37">
      <c r="A37" s="27" t="str">
        <f>"3. " &amp; data!$B$23</f>
      </c>
    </row>
    <row r="38">
      <c r="A38" s="22"/>
    </row>
    <row r="39">
      <c r="A39" s="24" t="str">
        <f>'data'!$A$26</f>
      </c>
    </row>
    <row r="40">
      <c r="A40" s="25" t="str">
        <f>"1. " &amp; data!$B$24</f>
      </c>
    </row>
    <row r="41">
      <c r="A41" s="26" t="str">
        <f>"2. " &amp; data!$B$25</f>
      </c>
    </row>
    <row r="42">
      <c r="A42" s="27" t="str">
        <f>"3. " &amp; 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'data'!$A$29</f>
      </c>
    </row>
    <row r="5">
      <c r="A5" s="25" t="str">
        <f>"1. " &amp; data!$B$27</f>
      </c>
      <c r="C5" s="23" t="str">
        <f>CONCATENATE("Pool Q-1st ",'Pool Matches'!O40)</f>
      </c>
    </row>
    <row r="6">
      <c r="A6" s="26" t="str">
        <f>"2. " &amp; data!$B$28</f>
      </c>
      <c r="D6" s="22"/>
      <c r="E6" s="21">
        <v>8</v>
      </c>
    </row>
    <row r="7">
      <c r="A7" s="27" t="str">
        <f>"3. " &amp; data!$B$29</f>
      </c>
      <c r="C7" s="23" t="str">
        <f>CONCATENATE("Pool P-2nd ",'Pool Matches'!G668)</f>
      </c>
      <c r="D7" s="15"/>
      <c r="E7" s="20"/>
      <c r="F7" s="22"/>
      <c r="G7" s="20"/>
    </row>
    <row r="8">
      <c r="A8" s="22"/>
      <c r="G8" s="21">
        <v>35</v>
      </c>
    </row>
    <row r="9">
      <c r="A9" s="24" t="str">
        <f>'data'!$A$32</f>
      </c>
      <c r="C9" s="23" t="str">
        <f>CONCATENATE("Pool S-1st ",'Pool Matches'!O126)</f>
      </c>
      <c r="G9" s="20"/>
      <c r="H9" s="22"/>
      <c r="I9" s="20"/>
    </row>
    <row r="10">
      <c r="A10" s="25" t="str">
        <f>"1. " &amp; data!$B$30</f>
      </c>
      <c r="D10" s="22"/>
      <c r="E10" s="21">
        <v>9</v>
      </c>
      <c r="F10" s="15"/>
      <c r="G10" s="20"/>
      <c r="I10" s="20"/>
    </row>
    <row r="11">
      <c r="A11" s="26" t="str">
        <f>"2. " &amp; data!$B$31</f>
      </c>
      <c r="C11" s="23" t="str">
        <f>CONCATENATE("Pool R-2nd ",'Pool Matches'!O84)</f>
      </c>
      <c r="D11" s="15"/>
      <c r="E11" s="20"/>
      <c r="I11" s="20"/>
    </row>
    <row r="12">
      <c r="A12" s="27" t="str">
        <f>"3. " &amp; data!$B$32</f>
      </c>
      <c r="I12" s="21">
        <v>49</v>
      </c>
    </row>
    <row r="13">
      <c r="A13" s="22"/>
      <c r="C13" s="23" t="str">
        <f>CONCATENATE("Pool U-1st ",'Pool Matches'!O212)</f>
      </c>
      <c r="I13" s="20"/>
      <c r="J13" s="22"/>
      <c r="K13" s="20"/>
    </row>
    <row r="14">
      <c r="A14" s="24" t="str">
        <f>'data'!$A$35</f>
      </c>
      <c r="D14" s="22"/>
      <c r="E14" s="21">
        <v>10</v>
      </c>
      <c r="I14" s="20"/>
      <c r="K14" s="20"/>
    </row>
    <row r="15">
      <c r="A15" s="25" t="str">
        <f>"1. " &amp; data!$B$33</f>
      </c>
      <c r="C15" s="23" t="str">
        <f>CONCATENATE("Pool T-2nd ",'Pool Matches'!O170)</f>
      </c>
      <c r="D15" s="15"/>
      <c r="E15" s="20"/>
      <c r="F15" s="22"/>
      <c r="G15" s="20"/>
      <c r="I15" s="20"/>
      <c r="K15" s="20"/>
    </row>
    <row r="16">
      <c r="A16" s="26" t="str">
        <f>"2. " &amp; data!$B$34</f>
      </c>
      <c r="G16" s="21">
        <v>36</v>
      </c>
      <c r="H16" s="15"/>
      <c r="I16" s="20"/>
      <c r="K16" s="20"/>
    </row>
    <row r="17">
      <c r="A17" s="27" t="str">
        <f>"3. " &amp; data!$B$35</f>
      </c>
      <c r="C17" s="23" t="str">
        <f>CONCATENATE("Pool W-1st ",'Pool Matches'!O298)</f>
      </c>
      <c r="G17" s="20"/>
      <c r="K17" s="20"/>
    </row>
    <row r="18">
      <c r="A18" s="22"/>
      <c r="D18" s="22"/>
      <c r="E18" s="21">
        <v>11</v>
      </c>
      <c r="F18" s="15"/>
      <c r="G18" s="20"/>
      <c r="K18" s="20"/>
    </row>
    <row r="19">
      <c r="A19" s="24" t="str">
        <f>'data'!$A$38</f>
      </c>
      <c r="C19" s="23" t="str">
        <f>CONCATENATE("Pool V-2nd ",'Pool Matches'!O256)</f>
      </c>
      <c r="D19" s="15"/>
      <c r="E19" s="20"/>
      <c r="K19" s="20"/>
    </row>
    <row r="20">
      <c r="A20" s="25" t="str">
        <f>"1. " &amp; data!$B$36</f>
      </c>
      <c r="K20" s="21">
        <v>56</v>
      </c>
    </row>
    <row r="21">
      <c r="A21" s="26" t="str">
        <f>"2. " &amp; data!$B$37</f>
      </c>
      <c r="C21" s="23" t="str">
        <f>CONCATENATE("Pool Y-1st ",'Pool Matches'!O384)</f>
      </c>
      <c r="K21" s="20"/>
    </row>
    <row r="22">
      <c r="A22" s="27" t="str">
        <f>"3. " &amp; data!$B$38</f>
      </c>
      <c r="D22" s="22"/>
      <c r="E22" s="21">
        <v>12</v>
      </c>
      <c r="K22" s="20"/>
    </row>
    <row r="23">
      <c r="A23" s="22"/>
      <c r="C23" s="23" t="str">
        <f>CONCATENATE("Pool X-2nd ",'Pool Matches'!O342)</f>
      </c>
      <c r="D23" s="15"/>
      <c r="E23" s="20"/>
      <c r="F23" s="22"/>
      <c r="G23" s="20"/>
      <c r="K23" s="20"/>
    </row>
    <row r="24">
      <c r="A24" s="24" t="str">
        <f>'data'!$A$41</f>
      </c>
      <c r="G24" s="21">
        <v>37</v>
      </c>
      <c r="K24" s="20"/>
    </row>
    <row r="25">
      <c r="A25" s="25" t="str">
        <f>"1. " &amp; data!$B$39</f>
      </c>
      <c r="C25" s="23" t="str">
        <f>CONCATENATE("Pool AA-1st ",'Pool Matches'!O470)</f>
      </c>
      <c r="G25" s="20"/>
      <c r="H25" s="22"/>
      <c r="I25" s="20"/>
      <c r="K25" s="20"/>
    </row>
    <row r="26">
      <c r="A26" s="26" t="str">
        <f>"2. " &amp; data!$B$40</f>
      </c>
      <c r="D26" s="22"/>
      <c r="E26" s="21">
        <v>13</v>
      </c>
      <c r="F26" s="15"/>
      <c r="G26" s="20"/>
      <c r="I26" s="20"/>
      <c r="K26" s="20"/>
    </row>
    <row r="27">
      <c r="A27" s="27" t="str">
        <f>"3. " &amp; data!$B$41</f>
      </c>
      <c r="C27" s="23" t="str">
        <f>CONCATENATE("Pool Z-2nd ",'Pool Matches'!O428)</f>
      </c>
      <c r="D27" s="15"/>
      <c r="E27" s="20"/>
      <c r="I27" s="20"/>
      <c r="K27" s="20"/>
    </row>
    <row r="28">
      <c r="A28" s="22"/>
      <c r="I28" s="21">
        <v>50</v>
      </c>
      <c r="J28" s="15"/>
      <c r="K28" s="20"/>
    </row>
    <row r="29">
      <c r="A29" s="24" t="str">
        <f>'data'!$A$44</f>
      </c>
      <c r="C29" s="23" t="str">
        <f>CONCATENATE("Pool CC-1st ",'Pool Matches'!O556)</f>
      </c>
      <c r="I29" s="20"/>
    </row>
    <row r="30">
      <c r="A30" s="25" t="str">
        <f>"1. " &amp; data!$B$42</f>
      </c>
      <c r="D30" s="22"/>
      <c r="E30" s="21">
        <v>14</v>
      </c>
      <c r="I30" s="20"/>
    </row>
    <row r="31">
      <c r="A31" s="26" t="str">
        <f>"2. " &amp; data!$B$43</f>
      </c>
      <c r="C31" s="23" t="str">
        <f>CONCATENATE("Pool BB-2nd ",'Pool Matches'!O514)</f>
      </c>
      <c r="D31" s="15"/>
      <c r="E31" s="20"/>
      <c r="F31" s="22"/>
      <c r="G31" s="20"/>
      <c r="I31" s="20"/>
    </row>
    <row r="32">
      <c r="A32" s="27" t="str">
        <f>"3. " &amp; data!$B$44</f>
      </c>
      <c r="G32" s="21">
        <v>38</v>
      </c>
      <c r="H32" s="15"/>
      <c r="I32" s="20"/>
    </row>
    <row r="33">
      <c r="A33" s="22"/>
      <c r="C33" s="23" t="str">
        <f>CONCATENATE("Pool EE-1st ",'Pool Matches'!O640)</f>
      </c>
      <c r="G33" s="20"/>
    </row>
    <row r="34">
      <c r="A34" s="24" t="str">
        <f>'data'!$A$47</f>
      </c>
      <c r="D34" s="22"/>
      <c r="E34" s="21">
        <v>15</v>
      </c>
      <c r="F34" s="15"/>
      <c r="G34" s="20"/>
    </row>
    <row r="35">
      <c r="A35" s="25" t="str">
        <f>"1. " &amp; data!$B$45</f>
      </c>
      <c r="C35" s="23" t="str">
        <f>CONCATENATE("Pool DD-2nd ",'Pool Matches'!O600)</f>
      </c>
      <c r="D35" s="15"/>
      <c r="E35" s="20"/>
    </row>
    <row r="36">
      <c r="A36" s="26" t="str">
        <f>"2. " &amp; data!$B$46</f>
      </c>
    </row>
    <row r="37">
      <c r="A37" s="27" t="str">
        <f>"3. " &amp; data!$B$47</f>
      </c>
    </row>
    <row r="38">
      <c r="A38" s="22"/>
    </row>
    <row r="39">
      <c r="A39" s="24" t="str">
        <f>'data'!$A$49</f>
      </c>
    </row>
    <row r="40">
      <c r="A40" s="25" t="str">
        <f>"1. " &amp; data!$B$48</f>
      </c>
    </row>
    <row r="41">
      <c r="A41" s="27" t="str">
        <f>"2. " &amp; 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'data'!$A$52</f>
      </c>
    </row>
    <row r="5">
      <c r="A5" s="25" t="str">
        <f>"1. " &amp; data!$B$50</f>
      </c>
    </row>
    <row r="6">
      <c r="A6" s="26" t="str">
        <f>"2. " &amp; data!$B$51</f>
      </c>
      <c r="E6" s="23" t="str">
        <f>CONCATENATE("Pool B-1st ",'Pool Matches'!G83)</f>
      </c>
    </row>
    <row r="7">
      <c r="A7" s="27" t="str">
        <f>"3. " &amp; data!$B$52</f>
      </c>
      <c r="F7" s="22"/>
      <c r="G7" s="20"/>
    </row>
    <row r="8">
      <c r="A8" s="22"/>
      <c r="G8" s="21">
        <v>39</v>
      </c>
    </row>
    <row r="9">
      <c r="A9" s="24" t="str">
        <f>'data'!$A$55</f>
      </c>
      <c r="C9" s="23" t="str">
        <f>CONCATENATE("Pool A-2nd ",'Pool Matches'!G41)</f>
      </c>
      <c r="G9" s="20"/>
      <c r="H9" s="22"/>
      <c r="I9" s="20"/>
    </row>
    <row r="10">
      <c r="A10" s="25" t="str">
        <f>"1. " &amp; data!$B$53</f>
      </c>
      <c r="D10" s="22"/>
      <c r="E10" s="21">
        <v>16</v>
      </c>
      <c r="F10" s="15"/>
      <c r="G10" s="20"/>
      <c r="I10" s="20"/>
    </row>
    <row r="11">
      <c r="A11" s="26" t="str">
        <f>"2. " &amp; data!$B$54</f>
      </c>
      <c r="C11" s="23" t="str">
        <f>CONCATENATE("Pool C-2nd ",'Pool Matches'!G127)</f>
      </c>
      <c r="D11" s="15"/>
      <c r="E11" s="20"/>
      <c r="I11" s="20"/>
    </row>
    <row r="12">
      <c r="A12" s="27" t="str">
        <f>"3. " &amp; data!$B$55</f>
      </c>
      <c r="I12" s="21">
        <v>51</v>
      </c>
    </row>
    <row r="13">
      <c r="A13" s="22"/>
      <c r="C13" s="23" t="str">
        <f>CONCATENATE("Pool D-1st ",'Pool Matches'!G169)</f>
      </c>
      <c r="I13" s="20"/>
      <c r="J13" s="22"/>
      <c r="K13" s="20"/>
    </row>
    <row r="14">
      <c r="A14" s="24" t="str">
        <f>'data'!$A$58</f>
      </c>
      <c r="D14" s="22"/>
      <c r="E14" s="21">
        <v>17</v>
      </c>
      <c r="I14" s="20"/>
      <c r="K14" s="20"/>
    </row>
    <row r="15">
      <c r="A15" s="25" t="str">
        <f>"1. " &amp; data!$B$56</f>
      </c>
      <c r="C15" s="23" t="str">
        <f>CONCATENATE("Pool E-2nd ",'Pool Matches'!G213)</f>
      </c>
      <c r="D15" s="15"/>
      <c r="E15" s="20"/>
      <c r="F15" s="22"/>
      <c r="G15" s="20"/>
      <c r="I15" s="20"/>
      <c r="K15" s="20"/>
    </row>
    <row r="16">
      <c r="A16" s="26" t="str">
        <f>"2. " &amp; data!$B$57</f>
      </c>
      <c r="G16" s="21">
        <v>40</v>
      </c>
      <c r="H16" s="15"/>
      <c r="I16" s="20"/>
      <c r="K16" s="20"/>
    </row>
    <row r="17">
      <c r="A17" s="27" t="str">
        <f>"3. " &amp; data!$B$58</f>
      </c>
      <c r="C17" s="23" t="str">
        <f>CONCATENATE("Pool F-1st ",'Pool Matches'!G255)</f>
      </c>
      <c r="G17" s="20"/>
      <c r="K17" s="20"/>
    </row>
    <row r="18">
      <c r="A18" s="22"/>
      <c r="D18" s="22"/>
      <c r="E18" s="21">
        <v>18</v>
      </c>
      <c r="F18" s="15"/>
      <c r="G18" s="20"/>
      <c r="K18" s="20"/>
    </row>
    <row r="19">
      <c r="A19" s="24" t="str">
        <f>'data'!$A$61</f>
      </c>
      <c r="C19" s="23" t="str">
        <f>CONCATENATE("Pool G-2nd ",'Pool Matches'!G299)</f>
      </c>
      <c r="D19" s="15"/>
      <c r="E19" s="20"/>
      <c r="K19" s="20"/>
    </row>
    <row r="20">
      <c r="A20" s="25" t="str">
        <f>"1. " &amp; data!$B$59</f>
      </c>
      <c r="K20" s="21">
        <v>57</v>
      </c>
    </row>
    <row r="21">
      <c r="A21" s="26" t="str">
        <f>"2. " &amp; data!$B$60</f>
      </c>
      <c r="C21" s="23" t="str">
        <f>CONCATENATE("Pool H-1st ",'Pool Matches'!G341)</f>
      </c>
      <c r="K21" s="20"/>
    </row>
    <row r="22">
      <c r="A22" s="27" t="str">
        <f>"3. " &amp; data!$B$61</f>
      </c>
      <c r="D22" s="22"/>
      <c r="E22" s="21">
        <v>19</v>
      </c>
      <c r="K22" s="20"/>
    </row>
    <row r="23">
      <c r="A23" s="22"/>
      <c r="C23" s="23" t="str">
        <f>CONCATENATE("Pool I-2nd ",'Pool Matches'!G385)</f>
      </c>
      <c r="D23" s="15"/>
      <c r="E23" s="20"/>
      <c r="F23" s="22"/>
      <c r="G23" s="20"/>
      <c r="K23" s="20"/>
    </row>
    <row r="24">
      <c r="A24" s="24" t="str">
        <f>'data'!$A$64</f>
      </c>
      <c r="G24" s="21">
        <v>41</v>
      </c>
      <c r="K24" s="20"/>
    </row>
    <row r="25">
      <c r="A25" s="25" t="str">
        <f>"1. " &amp; data!$B$62</f>
      </c>
      <c r="C25" s="23" t="str">
        <f>CONCATENATE("Pool J-1st ",'Pool Matches'!G427)</f>
      </c>
      <c r="G25" s="20"/>
      <c r="H25" s="22"/>
      <c r="I25" s="20"/>
      <c r="K25" s="20"/>
    </row>
    <row r="26">
      <c r="A26" s="26" t="str">
        <f>"2. " &amp; data!$B$63</f>
      </c>
      <c r="D26" s="22"/>
      <c r="E26" s="21">
        <v>20</v>
      </c>
      <c r="F26" s="15"/>
      <c r="G26" s="20"/>
      <c r="I26" s="20"/>
      <c r="K26" s="20"/>
    </row>
    <row r="27">
      <c r="A27" s="27" t="str">
        <f>"3. " &amp; data!$B$64</f>
      </c>
      <c r="C27" s="23" t="str">
        <f>CONCATENATE("Pool K-2nd ",'Pool Matches'!G471)</f>
      </c>
      <c r="D27" s="15"/>
      <c r="E27" s="20"/>
      <c r="I27" s="20"/>
      <c r="K27" s="20"/>
    </row>
    <row r="28">
      <c r="A28" s="22"/>
      <c r="I28" s="21">
        <v>52</v>
      </c>
      <c r="J28" s="15"/>
      <c r="K28" s="20"/>
    </row>
    <row r="29">
      <c r="A29" s="24" t="str">
        <f>'data'!$A$67</f>
      </c>
      <c r="C29" s="23" t="str">
        <f>CONCATENATE("Pool L-1st ",'Pool Matches'!G513)</f>
      </c>
      <c r="I29" s="20"/>
    </row>
    <row r="30">
      <c r="A30" s="25" t="str">
        <f>"1. " &amp; data!$B$65</f>
      </c>
      <c r="D30" s="22"/>
      <c r="E30" s="21">
        <v>21</v>
      </c>
      <c r="I30" s="20"/>
    </row>
    <row r="31">
      <c r="A31" s="26" t="str">
        <f>"2. " &amp; data!$B$66</f>
      </c>
      <c r="C31" s="23" t="str">
        <f>CONCATENATE("Pool M-2nd ",'Pool Matches'!G557)</f>
      </c>
      <c r="D31" s="15"/>
      <c r="E31" s="20"/>
      <c r="F31" s="22"/>
      <c r="G31" s="20"/>
      <c r="I31" s="20"/>
    </row>
    <row r="32">
      <c r="A32" s="27" t="str">
        <f>"3. " &amp; data!$B$67</f>
      </c>
      <c r="G32" s="21">
        <v>42</v>
      </c>
      <c r="H32" s="15"/>
      <c r="I32" s="20"/>
    </row>
    <row r="33">
      <c r="A33" s="22"/>
      <c r="C33" s="23" t="str">
        <f>CONCATENATE("Pool N-1st ",'Pool Matches'!G599)</f>
      </c>
      <c r="G33" s="20"/>
    </row>
    <row r="34">
      <c r="A34" s="24" t="str">
        <f>'data'!$A$70</f>
      </c>
      <c r="D34" s="22"/>
      <c r="E34" s="21">
        <v>22</v>
      </c>
      <c r="F34" s="15"/>
      <c r="G34" s="20"/>
    </row>
    <row r="35">
      <c r="A35" s="25" t="str">
        <f>"1. " &amp; data!$B$68</f>
      </c>
      <c r="C35" s="23" t="str">
        <f>CONCATENATE("Pool O-2nd ",'Pool Matches'!G643)</f>
      </c>
      <c r="D35" s="15"/>
      <c r="E35" s="20"/>
    </row>
    <row r="36">
      <c r="A36" s="26" t="str">
        <f>"2. " &amp; data!$B$69</f>
      </c>
    </row>
    <row r="37">
      <c r="A37" s="27" t="str">
        <f>"3. " &amp; data!$B$70</f>
      </c>
    </row>
    <row r="38">
      <c r="A38" s="22"/>
    </row>
    <row r="39">
      <c r="A39" s="24" t="str">
        <f>'data'!$A$73</f>
      </c>
    </row>
    <row r="40">
      <c r="A40" s="25" t="str">
        <f>"1. " &amp; data!$B$71</f>
      </c>
    </row>
    <row r="41">
      <c r="A41" s="26" t="str">
        <f>"2. " &amp; data!$B$72</f>
      </c>
    </row>
    <row r="42">
      <c r="A42" s="27" t="str">
        <f>"3. " &amp; 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'data'!$A$76</f>
      </c>
    </row>
    <row r="5">
      <c r="A5" s="25" t="str">
        <f>"1. " &amp; data!$B$74</f>
      </c>
      <c r="C5" s="23" t="str">
        <f>CONCATENATE("Pool P-1st ",'Pool Matches'!G667)</f>
      </c>
    </row>
    <row r="6">
      <c r="A6" s="26" t="str">
        <f>"2. " &amp; data!$B$75</f>
      </c>
      <c r="D6" s="22"/>
      <c r="E6" s="21">
        <v>23</v>
      </c>
    </row>
    <row r="7">
      <c r="A7" s="27" t="str">
        <f>"3. " &amp; data!$B$76</f>
      </c>
      <c r="C7" s="23" t="str">
        <f>CONCATENATE("Pool Q-2nd ",'Pool Matches'!O41)</f>
      </c>
      <c r="D7" s="15"/>
      <c r="E7" s="20"/>
      <c r="F7" s="22"/>
      <c r="G7" s="20"/>
    </row>
    <row r="8">
      <c r="A8" s="22"/>
      <c r="G8" s="21">
        <v>43</v>
      </c>
    </row>
    <row r="9">
      <c r="A9" s="24" t="str">
        <f>'data'!$A$79</f>
      </c>
      <c r="C9" s="23" t="str">
        <f>CONCATENATE("Pool R-1st ",'Pool Matches'!O83)</f>
      </c>
      <c r="G9" s="20"/>
      <c r="H9" s="22"/>
      <c r="I9" s="20"/>
    </row>
    <row r="10">
      <c r="A10" s="25" t="str">
        <f>"1. " &amp; data!$B$77</f>
      </c>
      <c r="D10" s="22"/>
      <c r="E10" s="21">
        <v>24</v>
      </c>
      <c r="F10" s="15"/>
      <c r="G10" s="20"/>
      <c r="I10" s="20"/>
    </row>
    <row r="11">
      <c r="A11" s="26" t="str">
        <f>"2. " &amp; data!$B$78</f>
      </c>
      <c r="C11" s="23" t="str">
        <f>CONCATENATE("Pool S-2nd ",'Pool Matches'!O127)</f>
      </c>
      <c r="D11" s="15"/>
      <c r="E11" s="20"/>
      <c r="I11" s="20"/>
    </row>
    <row r="12">
      <c r="A12" s="27" t="str">
        <f>"3. " &amp; data!$B$79</f>
      </c>
      <c r="I12" s="21">
        <v>53</v>
      </c>
    </row>
    <row r="13">
      <c r="A13" s="22"/>
      <c r="C13" s="23" t="str">
        <f>CONCATENATE("Pool T-1st ",'Pool Matches'!O169)</f>
      </c>
      <c r="I13" s="20"/>
      <c r="J13" s="22"/>
      <c r="K13" s="20"/>
    </row>
    <row r="14">
      <c r="A14" s="24" t="str">
        <f>'data'!$A$82</f>
      </c>
      <c r="D14" s="22"/>
      <c r="E14" s="21">
        <v>25</v>
      </c>
      <c r="I14" s="20"/>
      <c r="K14" s="20"/>
    </row>
    <row r="15">
      <c r="A15" s="25" t="str">
        <f>"1. " &amp; data!$B$80</f>
      </c>
      <c r="C15" s="23" t="str">
        <f>CONCATENATE("Pool U-2nd ",'Pool Matches'!O213)</f>
      </c>
      <c r="D15" s="15"/>
      <c r="E15" s="20"/>
      <c r="F15" s="22"/>
      <c r="G15" s="20"/>
      <c r="I15" s="20"/>
      <c r="K15" s="20"/>
    </row>
    <row r="16">
      <c r="A16" s="26" t="str">
        <f>"2. " &amp; data!$B$81</f>
      </c>
      <c r="G16" s="21">
        <v>44</v>
      </c>
      <c r="H16" s="15"/>
      <c r="I16" s="20"/>
      <c r="K16" s="20"/>
    </row>
    <row r="17">
      <c r="A17" s="27" t="str">
        <f>"3. " &amp; data!$B$82</f>
      </c>
      <c r="C17" s="23" t="str">
        <f>CONCATENATE("Pool V-1st ",'Pool Matches'!O255)</f>
      </c>
      <c r="G17" s="20"/>
      <c r="K17" s="20"/>
    </row>
    <row r="18">
      <c r="A18" s="22"/>
      <c r="D18" s="22"/>
      <c r="E18" s="21">
        <v>26</v>
      </c>
      <c r="F18" s="15"/>
      <c r="G18" s="20"/>
      <c r="K18" s="20"/>
    </row>
    <row r="19">
      <c r="A19" s="24" t="str">
        <f>'data'!$A$85</f>
      </c>
      <c r="C19" s="23" t="str">
        <f>CONCATENATE("Pool W-2nd ",'Pool Matches'!O299)</f>
      </c>
      <c r="D19" s="15"/>
      <c r="E19" s="20"/>
      <c r="K19" s="20"/>
    </row>
    <row r="20">
      <c r="A20" s="25" t="str">
        <f>"1. " &amp; data!$B$83</f>
      </c>
      <c r="K20" s="21">
        <v>58</v>
      </c>
    </row>
    <row r="21">
      <c r="A21" s="26" t="str">
        <f>"2. " &amp; data!$B$84</f>
      </c>
      <c r="C21" s="23" t="str">
        <f>CONCATENATE("Pool X-1st ",'Pool Matches'!O341)</f>
      </c>
      <c r="K21" s="20"/>
    </row>
    <row r="22">
      <c r="A22" s="27" t="str">
        <f>"3. " &amp; data!$B$85</f>
      </c>
      <c r="D22" s="22"/>
      <c r="E22" s="21">
        <v>27</v>
      </c>
      <c r="K22" s="20"/>
    </row>
    <row r="23">
      <c r="A23" s="22"/>
      <c r="C23" s="23" t="str">
        <f>CONCATENATE("Pool Y-2nd ",'Pool Matches'!O385)</f>
      </c>
      <c r="D23" s="15"/>
      <c r="E23" s="20"/>
      <c r="F23" s="22"/>
      <c r="G23" s="20"/>
      <c r="K23" s="20"/>
    </row>
    <row r="24">
      <c r="A24" s="24" t="str">
        <f>'data'!$A$88</f>
      </c>
      <c r="G24" s="21">
        <v>45</v>
      </c>
      <c r="K24" s="20"/>
    </row>
    <row r="25">
      <c r="A25" s="25" t="str">
        <f>"1. " &amp; data!$B$86</f>
      </c>
      <c r="C25" s="23" t="str">
        <f>CONCATENATE("Pool Z-1st ",'Pool Matches'!O427)</f>
      </c>
      <c r="G25" s="20"/>
      <c r="H25" s="22"/>
      <c r="I25" s="20"/>
      <c r="K25" s="20"/>
    </row>
    <row r="26">
      <c r="A26" s="26" t="str">
        <f>"2. " &amp; data!$B$87</f>
      </c>
      <c r="D26" s="22"/>
      <c r="E26" s="21">
        <v>28</v>
      </c>
      <c r="F26" s="15"/>
      <c r="G26" s="20"/>
      <c r="I26" s="20"/>
      <c r="K26" s="20"/>
    </row>
    <row r="27">
      <c r="A27" s="27" t="str">
        <f>"3. " &amp; data!$B$88</f>
      </c>
      <c r="C27" s="23" t="str">
        <f>CONCATENATE("Pool AA-2nd ",'Pool Matches'!O471)</f>
      </c>
      <c r="D27" s="15"/>
      <c r="E27" s="20"/>
      <c r="I27" s="20"/>
      <c r="K27" s="20"/>
    </row>
    <row r="28">
      <c r="A28" s="22"/>
      <c r="I28" s="21">
        <v>54</v>
      </c>
      <c r="J28" s="15"/>
      <c r="K28" s="20"/>
    </row>
    <row r="29">
      <c r="A29" s="24" t="str">
        <f>'data'!$A$91</f>
      </c>
      <c r="C29" s="23" t="str">
        <f>CONCATENATE("Pool BB-1st ",'Pool Matches'!O513)</f>
      </c>
      <c r="I29" s="20"/>
    </row>
    <row r="30">
      <c r="A30" s="25" t="str">
        <f>"1. " &amp; data!$B$89</f>
      </c>
      <c r="D30" s="22"/>
      <c r="E30" s="21">
        <v>29</v>
      </c>
      <c r="I30" s="20"/>
    </row>
    <row r="31">
      <c r="A31" s="26" t="str">
        <f>"2. " &amp; data!$B$90</f>
      </c>
      <c r="C31" s="23" t="str">
        <f>CONCATENATE("Pool CC-2nd ",'Pool Matches'!O557)</f>
      </c>
      <c r="D31" s="15"/>
      <c r="E31" s="20"/>
      <c r="F31" s="22"/>
      <c r="G31" s="20"/>
      <c r="I31" s="20"/>
    </row>
    <row r="32">
      <c r="A32" s="27" t="str">
        <f>"3. " &amp; data!$B$91</f>
      </c>
      <c r="G32" s="21">
        <v>46</v>
      </c>
      <c r="H32" s="15"/>
      <c r="I32" s="20"/>
    </row>
    <row r="33">
      <c r="A33" s="22"/>
      <c r="C33" s="23" t="str">
        <f>CONCATENATE("Pool DD-1st ",'Pool Matches'!O599)</f>
      </c>
      <c r="G33" s="20"/>
    </row>
    <row r="34">
      <c r="A34" s="24" t="str">
        <f>'data'!$A$93</f>
      </c>
      <c r="D34" s="22"/>
      <c r="E34" s="21">
        <v>30</v>
      </c>
      <c r="F34" s="15"/>
      <c r="G34" s="20"/>
    </row>
    <row r="35">
      <c r="A35" s="25" t="str">
        <f>"1. " &amp; data!$B$92</f>
      </c>
      <c r="C35" s="23" t="str">
        <f>CONCATENATE("Pool EE-2nd ",'Pool Matches'!O641)</f>
      </c>
      <c r="D35" s="15"/>
      <c r="E35" s="20"/>
    </row>
    <row r="36">
      <c r="A36" s="27" t="str">
        <f>"2. " &amp; 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256</v>
      </c>
      <c r="B1" s="29" t="str">
        <f>'data'!D3</f>
      </c>
    </row>
    <row r="2" ht="270" customHeight="true">
      <c r="A2" s="28" t="s">
        <v>257</v>
      </c>
      <c r="B2" s="29" t="str">
        <f>'data'!D4</f>
      </c>
    </row>
    <row r="3" ht="270" customHeight="true">
      <c r="A3" s="28" t="s">
        <v>258</v>
      </c>
      <c r="B3" s="29" t="str">
        <f>'data'!D5</f>
      </c>
    </row>
    <row r="4" ht="270" customHeight="true">
      <c r="A4" s="28" t="s">
        <v>259</v>
      </c>
      <c r="B4" s="29" t="str">
        <f>'data'!D6</f>
      </c>
    </row>
    <row r="5" ht="270" customHeight="true">
      <c r="A5" s="28" t="s">
        <v>260</v>
      </c>
      <c r="B5" s="29" t="str">
        <f>'data'!D7</f>
      </c>
    </row>
    <row r="6" ht="270" customHeight="true">
      <c r="A6" s="28" t="s">
        <v>261</v>
      </c>
      <c r="B6" s="29" t="str">
        <f>'data'!D8</f>
      </c>
    </row>
    <row r="7" ht="270" customHeight="true">
      <c r="A7" s="28" t="s">
        <v>262</v>
      </c>
      <c r="B7" s="29" t="str">
        <f>'data'!D9</f>
      </c>
    </row>
    <row r="8" ht="270" customHeight="true">
      <c r="A8" s="28" t="s">
        <v>263</v>
      </c>
      <c r="B8" s="29" t="str">
        <f>'data'!D10</f>
      </c>
    </row>
    <row r="9" ht="270" customHeight="true">
      <c r="A9" s="28" t="s">
        <v>264</v>
      </c>
      <c r="B9" s="29" t="str">
        <f>'data'!D11</f>
      </c>
    </row>
    <row r="10" ht="270" customHeight="true">
      <c r="A10" s="28" t="s">
        <v>265</v>
      </c>
      <c r="B10" s="29" t="str">
        <f>'data'!D12</f>
      </c>
    </row>
    <row r="11" ht="270" customHeight="true">
      <c r="A11" s="28" t="s">
        <v>266</v>
      </c>
      <c r="B11" s="29" t="str">
        <f>'data'!D13</f>
      </c>
    </row>
    <row r="12" ht="270" customHeight="true">
      <c r="A12" s="28" t="s">
        <v>267</v>
      </c>
      <c r="B12" s="29" t="str">
        <f>'data'!D14</f>
      </c>
    </row>
    <row r="13" ht="270" customHeight="true">
      <c r="A13" s="28" t="s">
        <v>268</v>
      </c>
      <c r="B13" s="29" t="str">
        <f>'data'!D15</f>
      </c>
    </row>
    <row r="14" ht="270" customHeight="true">
      <c r="A14" s="28" t="s">
        <v>269</v>
      </c>
      <c r="B14" s="29" t="str">
        <f>'data'!D16</f>
      </c>
    </row>
    <row r="15" ht="270" customHeight="true">
      <c r="A15" s="28" t="s">
        <v>270</v>
      </c>
      <c r="B15" s="29" t="str">
        <f>'data'!D17</f>
      </c>
    </row>
    <row r="16" ht="270" customHeight="true">
      <c r="A16" s="28" t="s">
        <v>271</v>
      </c>
      <c r="B16" s="29" t="str">
        <f>'data'!D18</f>
      </c>
    </row>
    <row r="17" ht="270" customHeight="true">
      <c r="A17" s="28" t="s">
        <v>272</v>
      </c>
      <c r="B17" s="29" t="str">
        <f>'data'!D19</f>
      </c>
    </row>
    <row r="18" ht="270" customHeight="true">
      <c r="A18" s="28" t="s">
        <v>273</v>
      </c>
      <c r="B18" s="29" t="str">
        <f>'data'!D20</f>
      </c>
    </row>
    <row r="19" ht="270" customHeight="true">
      <c r="A19" s="28" t="s">
        <v>274</v>
      </c>
      <c r="B19" s="29" t="str">
        <f>'data'!D21</f>
      </c>
    </row>
    <row r="20" ht="270" customHeight="true">
      <c r="A20" s="28" t="s">
        <v>275</v>
      </c>
      <c r="B20" s="29" t="str">
        <f>'data'!D22</f>
      </c>
    </row>
    <row r="21" ht="270" customHeight="true">
      <c r="A21" s="28" t="s">
        <v>276</v>
      </c>
      <c r="B21" s="29" t="str">
        <f>'data'!D23</f>
      </c>
    </row>
    <row r="22" ht="270" customHeight="true">
      <c r="A22" s="28" t="s">
        <v>277</v>
      </c>
      <c r="B22" s="29" t="str">
        <f>'data'!D24</f>
      </c>
    </row>
    <row r="23" ht="270" customHeight="true">
      <c r="A23" s="28" t="s">
        <v>278</v>
      </c>
      <c r="B23" s="29" t="str">
        <f>'data'!D25</f>
      </c>
    </row>
    <row r="24" ht="270" customHeight="true">
      <c r="A24" s="28" t="s">
        <v>279</v>
      </c>
      <c r="B24" s="29" t="str">
        <f>'data'!D26</f>
      </c>
    </row>
    <row r="25" ht="270" customHeight="true">
      <c r="A25" s="28" t="s">
        <v>280</v>
      </c>
      <c r="B25" s="29" t="str">
        <f>'data'!D27</f>
      </c>
    </row>
    <row r="26" ht="270" customHeight="true">
      <c r="A26" s="28" t="s">
        <v>281</v>
      </c>
      <c r="B26" s="29" t="str">
        <f>'data'!D28</f>
      </c>
    </row>
    <row r="27" ht="270" customHeight="true">
      <c r="A27" s="28" t="s">
        <v>282</v>
      </c>
      <c r="B27" s="29" t="str">
        <f>'data'!D29</f>
      </c>
    </row>
    <row r="28" ht="270" customHeight="true">
      <c r="A28" s="28" t="s">
        <v>283</v>
      </c>
      <c r="B28" s="29" t="str">
        <f>'data'!D30</f>
      </c>
    </row>
    <row r="29" ht="270" customHeight="true">
      <c r="A29" s="28" t="s">
        <v>284</v>
      </c>
      <c r="B29" s="29" t="str">
        <f>'data'!D31</f>
      </c>
    </row>
    <row r="30" ht="270" customHeight="true">
      <c r="A30" s="28" t="s">
        <v>285</v>
      </c>
      <c r="B30" s="29" t="str">
        <f>'data'!D32</f>
      </c>
    </row>
    <row r="31" ht="270" customHeight="true">
      <c r="A31" s="28" t="s">
        <v>286</v>
      </c>
      <c r="B31" s="29" t="str">
        <f>'data'!D33</f>
      </c>
    </row>
    <row r="32" ht="270" customHeight="true">
      <c r="A32" s="28" t="s">
        <v>287</v>
      </c>
      <c r="B32" s="29" t="str">
        <f>'data'!D34</f>
      </c>
    </row>
    <row r="33" ht="270" customHeight="true">
      <c r="A33" s="28" t="s">
        <v>288</v>
      </c>
      <c r="B33" s="29" t="str">
        <f>'data'!D35</f>
      </c>
    </row>
    <row r="34" ht="270" customHeight="true">
      <c r="A34" s="28" t="s">
        <v>289</v>
      </c>
      <c r="B34" s="29" t="str">
        <f>'data'!D36</f>
      </c>
    </row>
    <row r="35" ht="270" customHeight="true">
      <c r="A35" s="28" t="s">
        <v>290</v>
      </c>
      <c r="B35" s="29" t="str">
        <f>'data'!D37</f>
      </c>
    </row>
    <row r="36" ht="270" customHeight="true">
      <c r="A36" s="28" t="s">
        <v>291</v>
      </c>
      <c r="B36" s="29" t="str">
        <f>'data'!D38</f>
      </c>
    </row>
    <row r="37" ht="270" customHeight="true">
      <c r="A37" s="28" t="s">
        <v>292</v>
      </c>
      <c r="B37" s="29" t="str">
        <f>'data'!D39</f>
      </c>
    </row>
    <row r="38" ht="270" customHeight="true">
      <c r="A38" s="28" t="s">
        <v>293</v>
      </c>
      <c r="B38" s="29" t="str">
        <f>'data'!D40</f>
      </c>
    </row>
    <row r="39" ht="270" customHeight="true">
      <c r="A39" s="28" t="s">
        <v>294</v>
      </c>
      <c r="B39" s="29" t="str">
        <f>'data'!D41</f>
      </c>
    </row>
    <row r="40" ht="270" customHeight="true">
      <c r="A40" s="28" t="s">
        <v>295</v>
      </c>
      <c r="B40" s="29" t="str">
        <f>'data'!D42</f>
      </c>
    </row>
    <row r="41" ht="270" customHeight="true">
      <c r="A41" s="28" t="s">
        <v>296</v>
      </c>
      <c r="B41" s="29" t="str">
        <f>'data'!D43</f>
      </c>
    </row>
    <row r="42" ht="270" customHeight="true">
      <c r="A42" s="28" t="s">
        <v>297</v>
      </c>
      <c r="B42" s="29" t="str">
        <f>'data'!D44</f>
      </c>
    </row>
    <row r="43" ht="270" customHeight="true">
      <c r="A43" s="28" t="s">
        <v>298</v>
      </c>
      <c r="B43" s="29" t="str">
        <f>'data'!D45</f>
      </c>
    </row>
    <row r="44" ht="270" customHeight="true">
      <c r="A44" s="28" t="s">
        <v>299</v>
      </c>
      <c r="B44" s="29" t="str">
        <f>'data'!D46</f>
      </c>
    </row>
    <row r="45" ht="270" customHeight="true">
      <c r="A45" s="28" t="s">
        <v>300</v>
      </c>
      <c r="B45" s="29" t="str">
        <f>'data'!D47</f>
      </c>
    </row>
    <row r="46" ht="270" customHeight="true">
      <c r="A46" s="28" t="s">
        <v>301</v>
      </c>
      <c r="B46" s="29" t="str">
        <f>'data'!D48</f>
      </c>
    </row>
    <row r="47" ht="270" customHeight="true">
      <c r="A47" s="28" t="s">
        <v>302</v>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303</v>
      </c>
      <c r="B1" s="29" t="str">
        <f>'data'!D50</f>
      </c>
    </row>
    <row r="2" ht="270" customHeight="true">
      <c r="A2" s="28" t="s">
        <v>304</v>
      </c>
      <c r="B2" s="29" t="str">
        <f>'data'!D51</f>
      </c>
    </row>
    <row r="3" ht="270" customHeight="true">
      <c r="A3" s="28" t="s">
        <v>305</v>
      </c>
      <c r="B3" s="29" t="str">
        <f>'data'!D52</f>
      </c>
    </row>
    <row r="4" ht="270" customHeight="true">
      <c r="A4" s="28" t="s">
        <v>306</v>
      </c>
      <c r="B4" s="29" t="str">
        <f>'data'!D53</f>
      </c>
    </row>
    <row r="5" ht="270" customHeight="true">
      <c r="A5" s="28" t="s">
        <v>307</v>
      </c>
      <c r="B5" s="29" t="str">
        <f>'data'!D54</f>
      </c>
    </row>
    <row r="6" ht="270" customHeight="true">
      <c r="A6" s="28" t="s">
        <v>308</v>
      </c>
      <c r="B6" s="29" t="str">
        <f>'data'!D55</f>
      </c>
    </row>
    <row r="7" ht="270" customHeight="true">
      <c r="A7" s="28" t="s">
        <v>309</v>
      </c>
      <c r="B7" s="29" t="str">
        <f>'data'!D56</f>
      </c>
    </row>
    <row r="8" ht="270" customHeight="true">
      <c r="A8" s="28" t="s">
        <v>310</v>
      </c>
      <c r="B8" s="29" t="str">
        <f>'data'!D57</f>
      </c>
    </row>
    <row r="9" ht="270" customHeight="true">
      <c r="A9" s="28" t="s">
        <v>311</v>
      </c>
      <c r="B9" s="29" t="str">
        <f>'data'!D58</f>
      </c>
    </row>
    <row r="10" ht="270" customHeight="true">
      <c r="A10" s="28" t="s">
        <v>312</v>
      </c>
      <c r="B10" s="29" t="str">
        <f>'data'!D59</f>
      </c>
    </row>
    <row r="11" ht="270" customHeight="true">
      <c r="A11" s="28" t="s">
        <v>313</v>
      </c>
      <c r="B11" s="29" t="str">
        <f>'data'!D60</f>
      </c>
    </row>
    <row r="12" ht="270" customHeight="true">
      <c r="A12" s="28" t="s">
        <v>314</v>
      </c>
      <c r="B12" s="29" t="str">
        <f>'data'!D61</f>
      </c>
    </row>
    <row r="13" ht="270" customHeight="true">
      <c r="A13" s="28" t="s">
        <v>315</v>
      </c>
      <c r="B13" s="29" t="str">
        <f>'data'!D62</f>
      </c>
    </row>
    <row r="14" ht="270" customHeight="true">
      <c r="A14" s="28" t="s">
        <v>316</v>
      </c>
      <c r="B14" s="29" t="str">
        <f>'data'!D63</f>
      </c>
    </row>
    <row r="15" ht="270" customHeight="true">
      <c r="A15" s="28" t="s">
        <v>317</v>
      </c>
      <c r="B15" s="29" t="str">
        <f>'data'!D64</f>
      </c>
    </row>
    <row r="16" ht="270" customHeight="true">
      <c r="A16" s="28" t="s">
        <v>318</v>
      </c>
      <c r="B16" s="29" t="str">
        <f>'data'!D65</f>
      </c>
    </row>
    <row r="17" ht="270" customHeight="true">
      <c r="A17" s="28" t="s">
        <v>319</v>
      </c>
      <c r="B17" s="29" t="str">
        <f>'data'!D66</f>
      </c>
    </row>
    <row r="18" ht="270" customHeight="true">
      <c r="A18" s="28" t="s">
        <v>320</v>
      </c>
      <c r="B18" s="29" t="str">
        <f>'data'!D67</f>
      </c>
    </row>
    <row r="19" ht="270" customHeight="true">
      <c r="A19" s="28" t="s">
        <v>321</v>
      </c>
      <c r="B19" s="29" t="str">
        <f>'data'!D68</f>
      </c>
    </row>
    <row r="20" ht="270" customHeight="true">
      <c r="A20" s="28" t="s">
        <v>322</v>
      </c>
      <c r="B20" s="29" t="str">
        <f>'data'!D69</f>
      </c>
    </row>
    <row r="21" ht="270" customHeight="true">
      <c r="A21" s="28" t="s">
        <v>323</v>
      </c>
      <c r="B21" s="29" t="str">
        <f>'data'!D70</f>
      </c>
    </row>
    <row r="22" ht="270" customHeight="true">
      <c r="A22" s="28" t="s">
        <v>324</v>
      </c>
      <c r="B22" s="29" t="str">
        <f>'data'!D71</f>
      </c>
    </row>
    <row r="23" ht="270" customHeight="true">
      <c r="A23" s="28" t="s">
        <v>325</v>
      </c>
      <c r="B23" s="29" t="str">
        <f>'data'!D72</f>
      </c>
    </row>
    <row r="24" ht="270" customHeight="true">
      <c r="A24" s="28" t="s">
        <v>326</v>
      </c>
      <c r="B24" s="29" t="str">
        <f>'data'!D73</f>
      </c>
    </row>
    <row r="25" ht="270" customHeight="true">
      <c r="A25" s="28" t="s">
        <v>327</v>
      </c>
      <c r="B25" s="29" t="str">
        <f>'data'!D74</f>
      </c>
    </row>
    <row r="26" ht="270" customHeight="true">
      <c r="A26" s="28" t="s">
        <v>328</v>
      </c>
      <c r="B26" s="29" t="str">
        <f>'data'!D75</f>
      </c>
    </row>
    <row r="27" ht="270" customHeight="true">
      <c r="A27" s="28" t="s">
        <v>329</v>
      </c>
      <c r="B27" s="29" t="str">
        <f>'data'!D76</f>
      </c>
    </row>
    <row r="28" ht="270" customHeight="true">
      <c r="A28" s="28" t="s">
        <v>330</v>
      </c>
      <c r="B28" s="29" t="str">
        <f>'data'!D77</f>
      </c>
    </row>
    <row r="29" ht="270" customHeight="true">
      <c r="A29" s="28" t="s">
        <v>331</v>
      </c>
      <c r="B29" s="29" t="str">
        <f>'data'!D78</f>
      </c>
    </row>
    <row r="30" ht="270" customHeight="true">
      <c r="A30" s="28" t="s">
        <v>332</v>
      </c>
      <c r="B30" s="29" t="str">
        <f>'data'!D79</f>
      </c>
    </row>
    <row r="31" ht="270" customHeight="true">
      <c r="A31" s="28" t="s">
        <v>333</v>
      </c>
      <c r="B31" s="29" t="str">
        <f>'data'!D80</f>
      </c>
    </row>
    <row r="32" ht="270" customHeight="true">
      <c r="A32" s="28" t="s">
        <v>334</v>
      </c>
      <c r="B32" s="29" t="str">
        <f>'data'!D81</f>
      </c>
    </row>
    <row r="33" ht="270" customHeight="true">
      <c r="A33" s="28" t="s">
        <v>335</v>
      </c>
      <c r="B33" s="29" t="str">
        <f>'data'!D82</f>
      </c>
    </row>
    <row r="34" ht="270" customHeight="true">
      <c r="A34" s="28" t="s">
        <v>336</v>
      </c>
      <c r="B34" s="29" t="str">
        <f>'data'!D83</f>
      </c>
    </row>
    <row r="35" ht="270" customHeight="true">
      <c r="A35" s="28" t="s">
        <v>337</v>
      </c>
      <c r="B35" s="29" t="str">
        <f>'data'!D84</f>
      </c>
    </row>
    <row r="36" ht="270" customHeight="true">
      <c r="A36" s="28" t="s">
        <v>338</v>
      </c>
      <c r="B36" s="29" t="str">
        <f>'data'!D85</f>
      </c>
    </row>
    <row r="37" ht="270" customHeight="true">
      <c r="A37" s="28" t="s">
        <v>339</v>
      </c>
      <c r="B37" s="29" t="str">
        <f>'data'!D86</f>
      </c>
    </row>
    <row r="38" ht="270" customHeight="true">
      <c r="A38" s="28" t="s">
        <v>340</v>
      </c>
      <c r="B38" s="29" t="str">
        <f>'data'!D87</f>
      </c>
    </row>
    <row r="39" ht="270" customHeight="true">
      <c r="A39" s="28" t="s">
        <v>341</v>
      </c>
      <c r="B39" s="29" t="str">
        <f>'data'!D88</f>
      </c>
    </row>
    <row r="40" ht="270" customHeight="true">
      <c r="A40" s="28" t="s">
        <v>342</v>
      </c>
      <c r="B40" s="29" t="str">
        <f>'data'!D89</f>
      </c>
    </row>
    <row r="41" ht="270" customHeight="true">
      <c r="A41" s="28" t="s">
        <v>343</v>
      </c>
      <c r="B41" s="29" t="str">
        <f>'data'!D90</f>
      </c>
    </row>
    <row r="42" ht="270" customHeight="true">
      <c r="A42" s="28" t="s">
        <v>344</v>
      </c>
      <c r="B42" s="29" t="str">
        <f>'data'!D91</f>
      </c>
    </row>
    <row r="43" ht="270" customHeight="true">
      <c r="A43" s="28" t="s">
        <v>345</v>
      </c>
      <c r="B43" s="29" t="str">
        <f>'data'!D92</f>
      </c>
    </row>
    <row r="44" ht="270" customHeight="true">
      <c r="A44" s="28" t="s">
        <v>346</v>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256</v>
      </c>
    </row>
    <row r="2" ht="390" customHeight="true">
      <c r="A2" s="30" t="s">
        <v>256</v>
      </c>
    </row>
    <row r="3" ht="390" customHeight="true">
      <c r="A3" s="30" t="s">
        <v>257</v>
      </c>
    </row>
    <row r="4" ht="390" customHeight="true">
      <c r="A4" s="30" t="s">
        <v>257</v>
      </c>
    </row>
    <row r="5" ht="390" customHeight="true">
      <c r="A5" s="30" t="s">
        <v>258</v>
      </c>
    </row>
    <row r="6" ht="390" customHeight="true">
      <c r="A6" s="30" t="s">
        <v>258</v>
      </c>
    </row>
    <row r="7" ht="390" customHeight="true">
      <c r="A7" s="30" t="s">
        <v>259</v>
      </c>
    </row>
    <row r="8" ht="390" customHeight="true">
      <c r="A8" s="30" t="s">
        <v>259</v>
      </c>
    </row>
    <row r="9" ht="390" customHeight="true">
      <c r="A9" s="30" t="s">
        <v>260</v>
      </c>
    </row>
    <row r="10" ht="390" customHeight="true">
      <c r="A10" s="30" t="s">
        <v>260</v>
      </c>
    </row>
    <row r="11" ht="390" customHeight="true">
      <c r="A11" s="30" t="s">
        <v>261</v>
      </c>
    </row>
    <row r="12" ht="390" customHeight="true">
      <c r="A12" s="30" t="s">
        <v>261</v>
      </c>
    </row>
    <row r="13" ht="390" customHeight="true">
      <c r="A13" s="30" t="s">
        <v>262</v>
      </c>
    </row>
    <row r="14" ht="390" customHeight="true">
      <c r="A14" s="30" t="s">
        <v>262</v>
      </c>
    </row>
    <row r="15" ht="390" customHeight="true">
      <c r="A15" s="30" t="s">
        <v>263</v>
      </c>
    </row>
    <row r="16" ht="390" customHeight="true">
      <c r="A16" s="30" t="s">
        <v>263</v>
      </c>
    </row>
    <row r="17" ht="390" customHeight="true">
      <c r="A17" s="30" t="s">
        <v>264</v>
      </c>
    </row>
    <row r="18" ht="390" customHeight="true">
      <c r="A18" s="30" t="s">
        <v>264</v>
      </c>
    </row>
    <row r="19" ht="390" customHeight="true">
      <c r="A19" s="30" t="s">
        <v>265</v>
      </c>
    </row>
    <row r="20" ht="390" customHeight="true">
      <c r="A20" s="30" t="s">
        <v>265</v>
      </c>
    </row>
    <row r="21" ht="390" customHeight="true">
      <c r="A21" s="30" t="s">
        <v>266</v>
      </c>
    </row>
    <row r="22" ht="390" customHeight="true">
      <c r="A22" s="30" t="s">
        <v>266</v>
      </c>
    </row>
    <row r="23" ht="390" customHeight="true">
      <c r="A23" s="30" t="s">
        <v>267</v>
      </c>
    </row>
    <row r="24" ht="390" customHeight="true">
      <c r="A24" s="30" t="s">
        <v>267</v>
      </c>
    </row>
    <row r="25" ht="390" customHeight="true">
      <c r="A25" s="30" t="s">
        <v>268</v>
      </c>
    </row>
    <row r="26" ht="390" customHeight="true">
      <c r="A26" s="30" t="s">
        <v>268</v>
      </c>
    </row>
    <row r="27" ht="390" customHeight="true">
      <c r="A27" s="30" t="s">
        <v>269</v>
      </c>
    </row>
    <row r="28" ht="390" customHeight="true">
      <c r="A28" s="30" t="s">
        <v>269</v>
      </c>
    </row>
    <row r="29" ht="390" customHeight="true">
      <c r="A29" s="30" t="s">
        <v>270</v>
      </c>
    </row>
    <row r="30" ht="390" customHeight="true">
      <c r="A30" s="30" t="s">
        <v>270</v>
      </c>
    </row>
    <row r="31" ht="390" customHeight="true">
      <c r="A31" s="30" t="s">
        <v>271</v>
      </c>
    </row>
    <row r="32" ht="390" customHeight="true">
      <c r="A32" s="30" t="s">
        <v>271</v>
      </c>
    </row>
    <row r="33" ht="390" customHeight="true">
      <c r="A33" s="30" t="s">
        <v>272</v>
      </c>
    </row>
    <row r="34" ht="390" customHeight="true">
      <c r="A34" s="30" t="s">
        <v>272</v>
      </c>
    </row>
    <row r="35" ht="390" customHeight="true">
      <c r="A35" s="30" t="s">
        <v>273</v>
      </c>
    </row>
    <row r="36" ht="390" customHeight="true">
      <c r="A36" s="30" t="s">
        <v>273</v>
      </c>
    </row>
    <row r="37" ht="390" customHeight="true">
      <c r="A37" s="30" t="s">
        <v>274</v>
      </c>
    </row>
    <row r="38" ht="390" customHeight="true">
      <c r="A38" s="30" t="s">
        <v>274</v>
      </c>
    </row>
    <row r="39" ht="390" customHeight="true">
      <c r="A39" s="30" t="s">
        <v>275</v>
      </c>
    </row>
    <row r="40" ht="390" customHeight="true">
      <c r="A40" s="30" t="s">
        <v>275</v>
      </c>
    </row>
    <row r="41" ht="390" customHeight="true">
      <c r="A41" s="30" t="s">
        <v>276</v>
      </c>
    </row>
    <row r="42" ht="390" customHeight="true">
      <c r="A42" s="30" t="s">
        <v>276</v>
      </c>
    </row>
    <row r="43" ht="390" customHeight="true">
      <c r="A43" s="30" t="s">
        <v>277</v>
      </c>
    </row>
    <row r="44" ht="390" customHeight="true">
      <c r="A44" s="30" t="s">
        <v>277</v>
      </c>
    </row>
    <row r="45" ht="390" customHeight="true">
      <c r="A45" s="30" t="s">
        <v>278</v>
      </c>
    </row>
    <row r="46" ht="390" customHeight="true">
      <c r="A46" s="30" t="s">
        <v>278</v>
      </c>
    </row>
    <row r="47" ht="390" customHeight="true">
      <c r="A47" s="30" t="s">
        <v>279</v>
      </c>
    </row>
    <row r="48" ht="390" customHeight="true">
      <c r="A48" s="30" t="s">
        <v>279</v>
      </c>
    </row>
    <row r="49" ht="390" customHeight="true">
      <c r="A49" s="30" t="s">
        <v>280</v>
      </c>
    </row>
    <row r="50" ht="390" customHeight="true">
      <c r="A50" s="30" t="s">
        <v>280</v>
      </c>
    </row>
    <row r="51" ht="390" customHeight="true">
      <c r="A51" s="30" t="s">
        <v>281</v>
      </c>
    </row>
    <row r="52" ht="390" customHeight="true">
      <c r="A52" s="30" t="s">
        <v>281</v>
      </c>
    </row>
    <row r="53" ht="390" customHeight="true">
      <c r="A53" s="30" t="s">
        <v>282</v>
      </c>
    </row>
    <row r="54" ht="390" customHeight="true">
      <c r="A54" s="30" t="s">
        <v>282</v>
      </c>
    </row>
    <row r="55" ht="390" customHeight="true">
      <c r="A55" s="30" t="s">
        <v>283</v>
      </c>
    </row>
    <row r="56" ht="390" customHeight="true">
      <c r="A56" s="30" t="s">
        <v>283</v>
      </c>
    </row>
    <row r="57" ht="390" customHeight="true">
      <c r="A57" s="30" t="s">
        <v>284</v>
      </c>
    </row>
    <row r="58" ht="390" customHeight="true">
      <c r="A58" s="30" t="s">
        <v>284</v>
      </c>
    </row>
    <row r="59" ht="390" customHeight="true">
      <c r="A59" s="30" t="s">
        <v>285</v>
      </c>
    </row>
    <row r="60" ht="390" customHeight="true">
      <c r="A60" s="30" t="s">
        <v>285</v>
      </c>
    </row>
    <row r="61" ht="390" customHeight="true">
      <c r="A61" s="30" t="s">
        <v>286</v>
      </c>
    </row>
    <row r="62" ht="390" customHeight="true">
      <c r="A62" s="30" t="s">
        <v>286</v>
      </c>
    </row>
    <row r="63" ht="390" customHeight="true">
      <c r="A63" s="30" t="s">
        <v>287</v>
      </c>
    </row>
    <row r="64" ht="390" customHeight="true">
      <c r="A64" s="30" t="s">
        <v>287</v>
      </c>
    </row>
    <row r="65" ht="390" customHeight="true">
      <c r="A65" s="30" t="s">
        <v>288</v>
      </c>
    </row>
    <row r="66" ht="390" customHeight="true">
      <c r="A66" s="30" t="s">
        <v>288</v>
      </c>
    </row>
    <row r="67" ht="390" customHeight="true">
      <c r="A67" s="30" t="s">
        <v>289</v>
      </c>
    </row>
    <row r="68" ht="390" customHeight="true">
      <c r="A68" s="30" t="s">
        <v>289</v>
      </c>
    </row>
    <row r="69" ht="390" customHeight="true">
      <c r="A69" s="30" t="s">
        <v>290</v>
      </c>
    </row>
    <row r="70" ht="390" customHeight="true">
      <c r="A70" s="30" t="s">
        <v>290</v>
      </c>
    </row>
    <row r="71" ht="390" customHeight="true">
      <c r="A71" s="30" t="s">
        <v>291</v>
      </c>
    </row>
    <row r="72" ht="390" customHeight="true">
      <c r="A72" s="30" t="s">
        <v>291</v>
      </c>
    </row>
    <row r="73" ht="390" customHeight="true">
      <c r="A73" s="30" t="s">
        <v>292</v>
      </c>
    </row>
    <row r="74" ht="390" customHeight="true">
      <c r="A74" s="30" t="s">
        <v>292</v>
      </c>
    </row>
    <row r="75" ht="390" customHeight="true">
      <c r="A75" s="30" t="s">
        <v>293</v>
      </c>
    </row>
    <row r="76" ht="390" customHeight="true">
      <c r="A76" s="30" t="s">
        <v>293</v>
      </c>
    </row>
    <row r="77" ht="390" customHeight="true">
      <c r="A77" s="30" t="s">
        <v>294</v>
      </c>
    </row>
    <row r="78" ht="390" customHeight="true">
      <c r="A78" s="30" t="s">
        <v>294</v>
      </c>
    </row>
    <row r="79" ht="390" customHeight="true">
      <c r="A79" s="30" t="s">
        <v>295</v>
      </c>
    </row>
    <row r="80" ht="390" customHeight="true">
      <c r="A80" s="30" t="s">
        <v>295</v>
      </c>
    </row>
    <row r="81" ht="390" customHeight="true">
      <c r="A81" s="30" t="s">
        <v>296</v>
      </c>
    </row>
    <row r="82" ht="390" customHeight="true">
      <c r="A82" s="30" t="s">
        <v>296</v>
      </c>
    </row>
    <row r="83" ht="390" customHeight="true">
      <c r="A83" s="30" t="s">
        <v>297</v>
      </c>
    </row>
    <row r="84" ht="390" customHeight="true">
      <c r="A84" s="30" t="s">
        <v>297</v>
      </c>
    </row>
    <row r="85" ht="390" customHeight="true">
      <c r="A85" s="30" t="s">
        <v>298</v>
      </c>
    </row>
    <row r="86" ht="390" customHeight="true">
      <c r="A86" s="30" t="s">
        <v>298</v>
      </c>
    </row>
    <row r="87" ht="390" customHeight="true">
      <c r="A87" s="30" t="s">
        <v>299</v>
      </c>
    </row>
    <row r="88" ht="390" customHeight="true">
      <c r="A88" s="30" t="s">
        <v>299</v>
      </c>
    </row>
    <row r="89" ht="390" customHeight="true">
      <c r="A89" s="30" t="s">
        <v>300</v>
      </c>
    </row>
    <row r="90" ht="390" customHeight="true">
      <c r="A90" s="30" t="s">
        <v>300</v>
      </c>
    </row>
    <row r="91" ht="390" customHeight="true">
      <c r="A91" s="30" t="s">
        <v>301</v>
      </c>
    </row>
    <row r="92" ht="390" customHeight="true">
      <c r="A92" s="30" t="s">
        <v>301</v>
      </c>
    </row>
    <row r="93" ht="390" customHeight="true">
      <c r="A93" s="30" t="s">
        <v>302</v>
      </c>
    </row>
    <row r="94" ht="390" customHeight="true">
      <c r="A94" s="30" t="s">
        <v>302</v>
      </c>
    </row>
    <row r="95" ht="390" customHeight="true">
      <c r="A95" s="30" t="s">
        <v>303</v>
      </c>
    </row>
    <row r="96" ht="390" customHeight="true">
      <c r="A96" s="30" t="s">
        <v>303</v>
      </c>
    </row>
    <row r="97" ht="390" customHeight="true">
      <c r="A97" s="30" t="s">
        <v>304</v>
      </c>
    </row>
    <row r="98" ht="390" customHeight="true">
      <c r="A98" s="30" t="s">
        <v>304</v>
      </c>
    </row>
    <row r="99" ht="390" customHeight="true">
      <c r="A99" s="30" t="s">
        <v>305</v>
      </c>
    </row>
    <row r="100" ht="390" customHeight="true">
      <c r="A100" s="30" t="s">
        <v>305</v>
      </c>
    </row>
    <row r="101" ht="390" customHeight="true">
      <c r="A101" s="30" t="s">
        <v>306</v>
      </c>
    </row>
    <row r="102" ht="390" customHeight="true">
      <c r="A102" s="30" t="s">
        <v>306</v>
      </c>
    </row>
    <row r="103" ht="390" customHeight="true">
      <c r="A103" s="30" t="s">
        <v>307</v>
      </c>
    </row>
    <row r="104" ht="390" customHeight="true">
      <c r="A104" s="30" t="s">
        <v>307</v>
      </c>
    </row>
    <row r="105" ht="390" customHeight="true">
      <c r="A105" s="30" t="s">
        <v>308</v>
      </c>
    </row>
    <row r="106" ht="390" customHeight="true">
      <c r="A106" s="30" t="s">
        <v>308</v>
      </c>
    </row>
    <row r="107" ht="390" customHeight="true">
      <c r="A107" s="30" t="s">
        <v>309</v>
      </c>
    </row>
    <row r="108" ht="390" customHeight="true">
      <c r="A108" s="30" t="s">
        <v>309</v>
      </c>
    </row>
    <row r="109" ht="390" customHeight="true">
      <c r="A109" s="30" t="s">
        <v>310</v>
      </c>
    </row>
    <row r="110" ht="390" customHeight="true">
      <c r="A110" s="30" t="s">
        <v>310</v>
      </c>
    </row>
    <row r="111" ht="390" customHeight="true">
      <c r="A111" s="30" t="s">
        <v>311</v>
      </c>
    </row>
    <row r="112" ht="390" customHeight="true">
      <c r="A112" s="30" t="s">
        <v>311</v>
      </c>
    </row>
    <row r="113" ht="390" customHeight="true">
      <c r="A113" s="30" t="s">
        <v>312</v>
      </c>
    </row>
    <row r="114" ht="390" customHeight="true">
      <c r="A114" s="30" t="s">
        <v>312</v>
      </c>
    </row>
    <row r="115" ht="390" customHeight="true">
      <c r="A115" s="30" t="s">
        <v>313</v>
      </c>
    </row>
    <row r="116" ht="390" customHeight="true">
      <c r="A116" s="30" t="s">
        <v>313</v>
      </c>
    </row>
    <row r="117" ht="390" customHeight="true">
      <c r="A117" s="30" t="s">
        <v>314</v>
      </c>
    </row>
    <row r="118" ht="390" customHeight="true">
      <c r="A118" s="30" t="s">
        <v>314</v>
      </c>
    </row>
    <row r="119" ht="390" customHeight="true">
      <c r="A119" s="30" t="s">
        <v>315</v>
      </c>
    </row>
    <row r="120" ht="390" customHeight="true">
      <c r="A120" s="30" t="s">
        <v>315</v>
      </c>
    </row>
    <row r="121" ht="390" customHeight="true">
      <c r="A121" s="30" t="s">
        <v>316</v>
      </c>
    </row>
    <row r="122" ht="390" customHeight="true">
      <c r="A122" s="30" t="s">
        <v>316</v>
      </c>
    </row>
    <row r="123" ht="390" customHeight="true">
      <c r="A123" s="30" t="s">
        <v>317</v>
      </c>
    </row>
    <row r="124" ht="390" customHeight="true">
      <c r="A124" s="30" t="s">
        <v>317</v>
      </c>
    </row>
    <row r="125" ht="390" customHeight="true">
      <c r="A125" s="30" t="s">
        <v>318</v>
      </c>
    </row>
    <row r="126" ht="390" customHeight="true">
      <c r="A126" s="30" t="s">
        <v>318</v>
      </c>
    </row>
    <row r="127" ht="390" customHeight="true">
      <c r="A127" s="30" t="s">
        <v>319</v>
      </c>
    </row>
    <row r="128" ht="390" customHeight="true">
      <c r="A128" s="30" t="s">
        <v>319</v>
      </c>
    </row>
    <row r="129" ht="390" customHeight="true">
      <c r="A129" s="30" t="s">
        <v>320</v>
      </c>
    </row>
    <row r="130" ht="390" customHeight="true">
      <c r="A130" s="30" t="s">
        <v>320</v>
      </c>
    </row>
    <row r="131" ht="390" customHeight="true">
      <c r="A131" s="30" t="s">
        <v>321</v>
      </c>
    </row>
    <row r="132" ht="390" customHeight="true">
      <c r="A132" s="30" t="s">
        <v>321</v>
      </c>
    </row>
    <row r="133" ht="390" customHeight="true">
      <c r="A133" s="30" t="s">
        <v>322</v>
      </c>
    </row>
    <row r="134" ht="390" customHeight="true">
      <c r="A134" s="30" t="s">
        <v>322</v>
      </c>
    </row>
    <row r="135" ht="390" customHeight="true">
      <c r="A135" s="30" t="s">
        <v>323</v>
      </c>
    </row>
    <row r="136" ht="390" customHeight="true">
      <c r="A136" s="30" t="s">
        <v>323</v>
      </c>
    </row>
    <row r="137" ht="390" customHeight="true">
      <c r="A137" s="30" t="s">
        <v>324</v>
      </c>
    </row>
    <row r="138" ht="390" customHeight="true">
      <c r="A138" s="30" t="s">
        <v>324</v>
      </c>
    </row>
    <row r="139" ht="390" customHeight="true">
      <c r="A139" s="30" t="s">
        <v>325</v>
      </c>
    </row>
    <row r="140" ht="390" customHeight="true">
      <c r="A140" s="30" t="s">
        <v>325</v>
      </c>
    </row>
    <row r="141" ht="390" customHeight="true">
      <c r="A141" s="30" t="s">
        <v>326</v>
      </c>
    </row>
    <row r="142" ht="390" customHeight="true">
      <c r="A142" s="30" t="s">
        <v>326</v>
      </c>
    </row>
    <row r="143" ht="390" customHeight="true">
      <c r="A143" s="30" t="s">
        <v>327</v>
      </c>
    </row>
    <row r="144" ht="390" customHeight="true">
      <c r="A144" s="30" t="s">
        <v>327</v>
      </c>
    </row>
    <row r="145" ht="390" customHeight="true">
      <c r="A145" s="30" t="s">
        <v>328</v>
      </c>
    </row>
    <row r="146" ht="390" customHeight="true">
      <c r="A146" s="30" t="s">
        <v>328</v>
      </c>
    </row>
    <row r="147" ht="390" customHeight="true">
      <c r="A147" s="30" t="s">
        <v>329</v>
      </c>
    </row>
    <row r="148" ht="390" customHeight="true">
      <c r="A148" s="30" t="s">
        <v>329</v>
      </c>
    </row>
    <row r="149" ht="390" customHeight="true">
      <c r="A149" s="30" t="s">
        <v>330</v>
      </c>
    </row>
    <row r="150" ht="390" customHeight="true">
      <c r="A150" s="30" t="s">
        <v>330</v>
      </c>
    </row>
    <row r="151" ht="390" customHeight="true">
      <c r="A151" s="30" t="s">
        <v>331</v>
      </c>
    </row>
    <row r="152" ht="390" customHeight="true">
      <c r="A152" s="30" t="s">
        <v>331</v>
      </c>
    </row>
    <row r="153" ht="390" customHeight="true">
      <c r="A153" s="30" t="s">
        <v>332</v>
      </c>
    </row>
    <row r="154" ht="390" customHeight="true">
      <c r="A154" s="30" t="s">
        <v>332</v>
      </c>
    </row>
    <row r="155" ht="390" customHeight="true">
      <c r="A155" s="30" t="s">
        <v>333</v>
      </c>
    </row>
    <row r="156" ht="390" customHeight="true">
      <c r="A156" s="30" t="s">
        <v>333</v>
      </c>
    </row>
    <row r="157" ht="390" customHeight="true">
      <c r="A157" s="30" t="s">
        <v>334</v>
      </c>
    </row>
    <row r="158" ht="390" customHeight="true">
      <c r="A158" s="30" t="s">
        <v>334</v>
      </c>
    </row>
    <row r="159" ht="390" customHeight="true">
      <c r="A159" s="30" t="s">
        <v>335</v>
      </c>
    </row>
    <row r="160" ht="390" customHeight="true">
      <c r="A160" s="30" t="s">
        <v>335</v>
      </c>
    </row>
    <row r="161" ht="390" customHeight="true">
      <c r="A161" s="30" t="s">
        <v>336</v>
      </c>
    </row>
    <row r="162" ht="390" customHeight="true">
      <c r="A162" s="30" t="s">
        <v>336</v>
      </c>
    </row>
    <row r="163" ht="390" customHeight="true">
      <c r="A163" s="30" t="s">
        <v>337</v>
      </c>
    </row>
    <row r="164" ht="390" customHeight="true">
      <c r="A164" s="30" t="s">
        <v>337</v>
      </c>
    </row>
    <row r="165" ht="390" customHeight="true">
      <c r="A165" s="30" t="s">
        <v>338</v>
      </c>
    </row>
    <row r="166" ht="390" customHeight="true">
      <c r="A166" s="30" t="s">
        <v>338</v>
      </c>
    </row>
    <row r="167" ht="390" customHeight="true">
      <c r="A167" s="30" t="s">
        <v>339</v>
      </c>
    </row>
    <row r="168" ht="390" customHeight="true">
      <c r="A168" s="30" t="s">
        <v>339</v>
      </c>
    </row>
    <row r="169" ht="390" customHeight="true">
      <c r="A169" s="30" t="s">
        <v>340</v>
      </c>
    </row>
    <row r="170" ht="390" customHeight="true">
      <c r="A170" s="30" t="s">
        <v>340</v>
      </c>
    </row>
    <row r="171" ht="390" customHeight="true">
      <c r="A171" s="30" t="s">
        <v>341</v>
      </c>
    </row>
    <row r="172" ht="390" customHeight="true">
      <c r="A172" s="30" t="s">
        <v>341</v>
      </c>
    </row>
    <row r="173" ht="390" customHeight="true">
      <c r="A173" s="30" t="s">
        <v>342</v>
      </c>
    </row>
    <row r="174" ht="390" customHeight="true">
      <c r="A174" s="30" t="s">
        <v>342</v>
      </c>
    </row>
    <row r="175" ht="390" customHeight="true">
      <c r="A175" s="30" t="s">
        <v>343</v>
      </c>
    </row>
    <row r="176" ht="390" customHeight="true">
      <c r="A176" s="30" t="s">
        <v>343</v>
      </c>
    </row>
    <row r="177" ht="390" customHeight="true">
      <c r="A177" s="30" t="s">
        <v>344</v>
      </c>
    </row>
    <row r="178" ht="390" customHeight="true">
      <c r="A178" s="30" t="s">
        <v>344</v>
      </c>
    </row>
    <row r="179" ht="390" customHeight="true">
      <c r="A179" s="30" t="s">
        <v>345</v>
      </c>
    </row>
    <row r="180" ht="390" customHeight="true">
      <c r="A180" s="30" t="s">
        <v>345</v>
      </c>
    </row>
    <row r="181" ht="390" customHeight="true">
      <c r="A181" s="30" t="s">
        <v>346</v>
      </c>
    </row>
    <row r="182" ht="390" customHeight="true">
      <c r="A182" s="30" t="s">
        <v>346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