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7" name="_xlnm.Print_Area">'Tags'!$A$1:$A$6</definedName>
    <definedName localSheetId="4" name="_xlnm.Print_Area">'Elimination Matches'!$A$1:$H$20</definedName>
  </definedNames>
  <calcPr calcId="122211"/>
</workbook>
</file>

<file path=xl/sharedStrings.xml><?xml version="1.0" encoding="utf-8"?>
<sst xmlns="http://schemas.openxmlformats.org/spreadsheetml/2006/main" count="51" uniqueCount="51">
  <si>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</si>
  <si>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</si>
  <si>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</si>
  <si>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</si>
  <si>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</si>
  <si>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</si>
  <si>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</si>
  <si>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</si>
  <si>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</si>
  <si>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</si>
  <si>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</si>
  <si>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</si>
  <si>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</si>
  <si>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</si>
  <si>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</si>
  <si>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</si>
  <si>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</si>
  <si>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</si>
  <si>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NA</t>
  </si>
  <si>
    <t>K1</t>
  </si>
  <si>
    <t>Team Bravo</t>
  </si>
  <si>
    <t>K2</t>
  </si>
  <si>
    <t>Team Charlie</t>
  </si>
  <si>
    <t>K3</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</si>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</sst>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18</v>
      </c>
      <c r="D4" t="s">
        <v>21</v>
      </c>
    </row>
    <row r="5">
      <c r="A5" t="s">
        <v>16</v>
      </c>
      <c r="B5" t="s">
        <v>22</v>
      </c>
      <c r="C5" t="s">
        <v>18</v>
      </c>
      <c r="D5" t="s">
        <v>23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44</v>
      </c>
      <c r="F13" s="13"/>
      <c r="G13" s="13"/>
      <c r="H13" s="13"/>
    </row>
    <row r="14">
      <c r="A14">
        <v>1</v>
      </c>
      <c r="E14" s="32" t="s">
        <v>45</v>
      </c>
      <c r="F14" s="32"/>
      <c r="G14" s="32"/>
      <c r="H14" s="31" t="str">
        <f>H2</f>
      </c>
    </row>
    <row r="15">
      <c r="E15" s="32" t="s">
        <v>46</v>
      </c>
      <c r="F15" s="32"/>
      <c r="G15" s="32"/>
      <c r="H15" s="31" t="str">
        <f>H8</f>
      </c>
    </row>
    <row r="16">
      <c r="E16" s="32" t="s">
        <v>47</v>
      </c>
      <c r="F16" s="32"/>
      <c r="G16" s="32"/>
      <c r="H16" s="31" t="str">
        <f>H14+H15</f>
      </c>
    </row>
    <row r="17">
      <c r="E17" s="32" t="s">
        <v>48</v>
      </c>
      <c r="F17" s="32"/>
      <c r="G17" s="32"/>
      <c r="H17" s="31" t="str">
        <f>H16/A14</f>
      </c>
    </row>
    <row r="18">
      <c r="E18" s="13" t="s">
        <v>49</v>
      </c>
      <c r="F18" s="13"/>
      <c r="G18" s="13"/>
      <c r="H18" s="33">
        <v>0.375</v>
      </c>
    </row>
    <row r="19">
      <c r="E19" s="13" t="s">
        <v>50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data!$D$3&amp;" "&amp;data!$B$3</f>
      </c>
    </row>
    <row r="7" ht="17" customHeight="true">
      <c r="B7" s="12" t="str">
        <f>data!$D$4&amp;" "&amp;data!$B$4</f>
      </c>
    </row>
    <row r="8">
      <c r="B8" s="12" t="str">
        <f>data!$D$5&amp;" "&amp;data!$B$5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24</v>
      </c>
      <c r="B1" s="13"/>
      <c r="C1" s="13"/>
      <c r="D1" s="13"/>
      <c r="E1" s="13"/>
      <c r="F1" s="13"/>
      <c r="G1" s="13"/>
    </row>
    <row r="2">
      <c r="A2" s="13" t="str">
        <f>'data'!$A$5</f>
      </c>
      <c r="B2" s="13"/>
      <c r="C2" s="13"/>
      <c r="D2" s="13"/>
      <c r="E2" s="13"/>
      <c r="F2" s="13"/>
      <c r="G2" s="13"/>
    </row>
    <row r="3">
      <c r="A3" s="17" t="s">
        <v>25</v>
      </c>
      <c r="B3" s="14"/>
      <c r="C3" s="14"/>
      <c r="D3" s="14" t="s">
        <v>26</v>
      </c>
      <c r="E3" s="14"/>
      <c r="F3" s="14"/>
      <c r="G3" s="16" t="s">
        <v>27</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25</v>
      </c>
      <c r="B9" s="14"/>
      <c r="C9" s="14"/>
      <c r="D9" s="14" t="s">
        <v>26</v>
      </c>
      <c r="E9" s="14"/>
      <c r="F9" s="14"/>
      <c r="G9" s="16" t="s">
        <v>27</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25</v>
      </c>
      <c r="B15" s="14"/>
      <c r="C15" s="14"/>
      <c r="D15" s="14" t="s">
        <v>26</v>
      </c>
      <c r="E15" s="14"/>
      <c r="F15" s="14"/>
      <c r="G15" s="16" t="s">
        <v>27</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28</v>
      </c>
      <c r="B22" s="13" t="s">
        <v>29</v>
      </c>
      <c r="C22" s="13" t="s">
        <v>30</v>
      </c>
      <c r="D22" s="13" t="s">
        <v>31</v>
      </c>
      <c r="E22" s="13"/>
      <c r="F22" s="13"/>
      <c r="G22" s="13" t="s">
        <v>32</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33</v>
      </c>
      <c r="C27" s="13" t="s">
        <v>34</v>
      </c>
      <c r="D27" s="13" t="s">
        <v>35</v>
      </c>
      <c r="E27" s="13" t="s">
        <v>36</v>
      </c>
      <c r="F27" s="13" t="s">
        <v>37</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38</v>
      </c>
    </row>
    <row r="34">
      <c r="F34" t="s">
        <v>39</v>
      </c>
      <c r="G34" s="19" t="str">
        <f>IFERROR(INDEX($A$23:$A$30, MATCH(1, $G$23:$G$30, 0)), "-")</f>
      </c>
    </row>
    <row r="35">
      <c r="F35" t="s">
        <v>40</v>
      </c>
      <c r="G35" s="19" t="str">
        <f>IFERROR(INDEX($A$23:$A$30, MATCH(2, $G$23:$G$30, 0)), "-")</f>
      </c>
    </row>
    <row r="36">
      <c r="F36" t="s">
        <v>41</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24</v>
      </c>
      <c r="B1" s="13"/>
      <c r="C1" s="13"/>
      <c r="D1" s="13"/>
      <c r="E1" s="13"/>
      <c r="F1" s="13"/>
      <c r="G1" s="13"/>
    </row>
    <row r="2">
      <c r="A2" s="13" t="s">
        <v>42</v>
      </c>
      <c r="B2" s="13"/>
      <c r="C2" s="13"/>
      <c r="D2" s="13"/>
      <c r="E2" s="13"/>
      <c r="F2" s="13"/>
      <c r="G2" s="13"/>
    </row>
    <row r="3">
      <c r="A3" s="17" t="s">
        <v>25</v>
      </c>
      <c r="D3" s="14" t="s">
        <v>26</v>
      </c>
      <c r="G3" s="16" t="s">
        <v>27</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33</v>
      </c>
      <c r="C9" s="14" t="s">
        <v>36</v>
      </c>
      <c r="D9" s="14"/>
      <c r="E9" s="14" t="s">
        <v>36</v>
      </c>
      <c r="F9" s="14" t="s">
        <v>33</v>
      </c>
      <c r="G9" s="14" t="str">
        <f>CONCATENATE("Pool A-1st ",'Pool Matches'!G34)</f>
      </c>
    </row>
    <row r="10">
      <c r="A10" s="14" t="s">
        <v>43</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43</v>
      </c>
    </row>
    <row r="13">
      <c r="F13" t="s">
        <v>39</v>
      </c>
      <c r="G13" s="19"/>
    </row>
    <row r="14">
      <c r="F14" t="s">
        <v>40</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21</v>
      </c>
    </row>
    <row r="4" ht="409" customHeight="true">
      <c r="A4" s="30" t="s">
        <v>21</v>
      </c>
    </row>
    <row r="5" ht="409" customHeight="true">
      <c r="A5" s="30" t="s">
        <v>23</v>
      </c>
    </row>
    <row r="6" ht="409" customHeight="true">
      <c r="A6" s="30" t="s">
        <v>23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