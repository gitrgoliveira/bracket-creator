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11" name="_xlnm.Print_Area">'Names to Print A'!$A$1:$B$46</definedName>
    <definedName localSheetId="12" name="_xlnm.Print_Area">'Names to Print B'!$A$1:$B$45</definedName>
    <definedName localSheetId="2" name="_xlnm.Print_Area">'Elimination Matches'!$A$1:$O$404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<sst xmlns="http://schemas.openxmlformats.org/spreadsheetml/2006/main" count="310" uniqueCount="310">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</sst>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19" t="s">
        <v>304</v>
      </c>
      <c r="F14" s="19"/>
      <c r="G14" s="19"/>
      <c r="H14" s="22" t="str">
        <f>H2</f>
      </c>
    </row>
    <row r="15">
      <c r="E15" s="19" t="s">
        <v>305</v>
      </c>
      <c r="F15" s="19"/>
      <c r="G15" s="19"/>
      <c r="H15" s="22" t="str">
        <f>H8</f>
      </c>
    </row>
    <row r="16">
      <c r="E16" s="19" t="s">
        <v>306</v>
      </c>
      <c r="F16" s="19"/>
      <c r="G16" s="19"/>
      <c r="H16" s="22" t="str">
        <f>H14+H15</f>
      </c>
    </row>
    <row r="17">
      <c r="E17" s="19" t="s">
        <v>307</v>
      </c>
      <c r="F17" s="19"/>
      <c r="G17" s="19"/>
      <c r="H17" s="22" t="str">
        <f>H16/A14</f>
      </c>
    </row>
    <row r="18">
      <c r="E18" s="11" t="s">
        <v>308</v>
      </c>
      <c r="F18" s="11"/>
      <c r="G18" s="11"/>
      <c r="H18" s="23">
        <v>0.375</v>
      </c>
    </row>
    <row r="19">
      <c r="E19" s="11" t="s">
        <v>309</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'data'!$B$38</f>
      </c>
      <c r="B4" s="19"/>
      <c r="C4" s="19"/>
      <c r="D4" s="19"/>
      <c r="E4" s="19"/>
      <c r="F4" s="19"/>
      <c r="G4" s="19" t="str">
        <f>'data'!$B$37</f>
      </c>
      <c r="I4" s="19" t="str">
        <f>'data'!$B$54</f>
      </c>
      <c r="J4" s="19"/>
      <c r="K4" s="19"/>
      <c r="L4" s="19"/>
      <c r="M4" s="19"/>
      <c r="N4" s="19"/>
      <c r="O4" s="19" t="str">
        <f>'data'!$B$53</f>
      </c>
    </row>
    <row r="6">
      <c r="F6" t="s">
        <v>212</v>
      </c>
      <c r="G6" s="15"/>
      <c r="N6" t="s">
        <v>212</v>
      </c>
      <c r="O6" s="15"/>
    </row>
    <row r="7">
      <c r="F7" t="s">
        <v>213</v>
      </c>
      <c r="G7" s="15"/>
      <c r="N7" t="s">
        <v>213</v>
      </c>
      <c r="O7" s="15"/>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'data'!$B$41</f>
      </c>
      <c r="B12" s="19"/>
      <c r="C12" s="19"/>
      <c r="D12" s="19"/>
      <c r="E12" s="19"/>
      <c r="F12" s="19"/>
      <c r="G12" s="19" t="str">
        <f>'data'!$B$40</f>
      </c>
      <c r="I12" s="19" t="str">
        <f>'data'!$B$57</f>
      </c>
      <c r="J12" s="19"/>
      <c r="K12" s="19"/>
      <c r="L12" s="19"/>
      <c r="M12" s="19"/>
      <c r="N12" s="19"/>
      <c r="O12" s="19" t="str">
        <f>'data'!$B$56</f>
      </c>
    </row>
    <row r="14">
      <c r="F14" t="s">
        <v>212</v>
      </c>
      <c r="G14" s="15"/>
      <c r="N14" t="s">
        <v>212</v>
      </c>
      <c r="O14" s="15"/>
    </row>
    <row r="15">
      <c r="F15" t="s">
        <v>213</v>
      </c>
      <c r="G15" s="15"/>
      <c r="N15" t="s">
        <v>213</v>
      </c>
      <c r="O15" s="15"/>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'data'!$B$16</f>
      </c>
      <c r="B20" s="19"/>
      <c r="C20" s="19"/>
      <c r="D20" s="19"/>
      <c r="E20" s="19"/>
      <c r="F20" s="19"/>
      <c r="G20" s="19" t="str">
        <f>'data'!$B$43</f>
      </c>
      <c r="I20" s="19" t="str">
        <f>'data'!$B$60</f>
      </c>
      <c r="J20" s="19"/>
      <c r="K20" s="19"/>
      <c r="L20" s="19"/>
      <c r="M20" s="19"/>
      <c r="N20" s="19"/>
      <c r="O20" s="19" t="str">
        <f>'data'!$B$81</f>
      </c>
    </row>
    <row r="22">
      <c r="F22" t="s">
        <v>212</v>
      </c>
      <c r="G22" s="15"/>
      <c r="N22" t="s">
        <v>212</v>
      </c>
      <c r="O22" s="15"/>
    </row>
    <row r="23">
      <c r="F23" t="s">
        <v>213</v>
      </c>
      <c r="G23" s="15"/>
      <c r="N23" t="s">
        <v>213</v>
      </c>
      <c r="O23" s="15"/>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'data'!$B$21</f>
      </c>
      <c r="B28" s="19"/>
      <c r="C28" s="19"/>
      <c r="D28" s="19"/>
      <c r="E28" s="19"/>
      <c r="F28" s="19"/>
      <c r="G28" s="19" t="str">
        <f>'data'!$B$20</f>
      </c>
      <c r="I28" s="19" t="str">
        <f>'data'!$B$63</f>
      </c>
      <c r="J28" s="19"/>
      <c r="K28" s="19"/>
      <c r="L28" s="19"/>
      <c r="M28" s="19"/>
      <c r="N28" s="19"/>
      <c r="O28" s="19" t="str">
        <f>'data'!$B$62</f>
      </c>
    </row>
    <row r="30">
      <c r="F30" t="s">
        <v>212</v>
      </c>
      <c r="G30" s="15"/>
      <c r="N30" t="s">
        <v>212</v>
      </c>
      <c r="O30" s="15"/>
    </row>
    <row r="31">
      <c r="F31" t="s">
        <v>213</v>
      </c>
      <c r="G31" s="15"/>
      <c r="N31" t="s">
        <v>213</v>
      </c>
      <c r="O31" s="15"/>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'data'!$B$24</f>
      </c>
      <c r="B36" s="19"/>
      <c r="C36" s="19"/>
      <c r="D36" s="19"/>
      <c r="E36" s="19"/>
      <c r="F36" s="19"/>
      <c r="G36" s="19" t="str">
        <f>'data'!$B$23</f>
      </c>
      <c r="I36" s="19" t="str">
        <f>'data'!$B$66</f>
      </c>
      <c r="J36" s="19"/>
      <c r="K36" s="19"/>
      <c r="L36" s="19"/>
      <c r="M36" s="19"/>
      <c r="N36" s="19"/>
      <c r="O36" s="19" t="str">
        <f>'data'!$B$65</f>
      </c>
    </row>
    <row r="38">
      <c r="F38" t="s">
        <v>212</v>
      </c>
      <c r="G38" s="15"/>
      <c r="N38" t="s">
        <v>212</v>
      </c>
      <c r="O38" s="15"/>
    </row>
    <row r="39">
      <c r="F39" t="s">
        <v>213</v>
      </c>
      <c r="G39" s="15"/>
      <c r="N39" t="s">
        <v>213</v>
      </c>
      <c r="O39" s="15"/>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'data'!$B$27</f>
      </c>
      <c r="B44" s="19"/>
      <c r="C44" s="19"/>
      <c r="D44" s="19"/>
      <c r="E44" s="19"/>
      <c r="F44" s="19"/>
      <c r="G44" s="19" t="str">
        <f>'data'!$B$26</f>
      </c>
      <c r="I44" s="19" t="str">
        <f>'data'!$B$4</f>
      </c>
      <c r="J44" s="19"/>
      <c r="K44" s="19"/>
      <c r="L44" s="19"/>
      <c r="M44" s="19"/>
      <c r="N44" s="19"/>
      <c r="O44" s="19" t="str">
        <f>'data'!$B$68</f>
      </c>
    </row>
    <row r="46">
      <c r="F46" t="s">
        <v>212</v>
      </c>
      <c r="G46" s="15"/>
      <c r="N46" t="s">
        <v>212</v>
      </c>
      <c r="O46" s="15"/>
    </row>
    <row r="47">
      <c r="F47" t="s">
        <v>213</v>
      </c>
      <c r="G47" s="15"/>
      <c r="N47" t="s">
        <v>213</v>
      </c>
      <c r="O47" s="15"/>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'data'!$B$32</f>
      </c>
      <c r="B52" s="19"/>
      <c r="C52" s="19"/>
      <c r="D52" s="19"/>
      <c r="E52" s="19"/>
      <c r="F52" s="19"/>
      <c r="G52" s="19" t="str">
        <f>'data'!$B$31</f>
      </c>
      <c r="I52" s="19" t="str">
        <f>'data'!$B$88</f>
      </c>
      <c r="J52" s="19"/>
      <c r="K52" s="19"/>
      <c r="L52" s="19"/>
      <c r="M52" s="19"/>
      <c r="N52" s="19"/>
      <c r="O52" s="19" t="str">
        <f>'data'!$B$74</f>
      </c>
    </row>
    <row r="54">
      <c r="F54" t="s">
        <v>212</v>
      </c>
      <c r="G54" s="15"/>
      <c r="N54" t="s">
        <v>212</v>
      </c>
      <c r="O54" s="15"/>
    </row>
    <row r="55">
      <c r="F55" t="s">
        <v>213</v>
      </c>
      <c r="G55" s="15"/>
      <c r="N55" t="s">
        <v>213</v>
      </c>
      <c r="O55" s="15"/>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'data'!$B$35</f>
      </c>
      <c r="B60" s="19"/>
      <c r="C60" s="19"/>
      <c r="D60" s="19"/>
      <c r="E60" s="19"/>
      <c r="F60" s="19"/>
      <c r="G60" s="19" t="str">
        <f>'data'!$B$5</f>
      </c>
      <c r="I60" s="19" t="str">
        <f>'data'!$B$76</f>
      </c>
      <c r="J60" s="19"/>
      <c r="K60" s="19"/>
      <c r="L60" s="19"/>
      <c r="M60" s="19"/>
      <c r="N60" s="19"/>
      <c r="O60" s="19" t="str">
        <f>'data'!$B$75</f>
      </c>
    </row>
    <row r="62">
      <c r="F62" t="s">
        <v>212</v>
      </c>
      <c r="G62" s="15"/>
      <c r="N62" t="s">
        <v>212</v>
      </c>
      <c r="O62" s="15"/>
    </row>
    <row r="63">
      <c r="F63" t="s">
        <v>213</v>
      </c>
      <c r="G63" s="15"/>
      <c r="N63" t="s">
        <v>213</v>
      </c>
      <c r="O63" s="15"/>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'data'!$B$6</f>
      </c>
      <c r="B68" s="19"/>
      <c r="C68" s="19"/>
      <c r="D68" s="19"/>
      <c r="E68" s="19"/>
      <c r="F68" s="19"/>
      <c r="G68" s="19" t="str">
        <f>'data'!$B$37</f>
      </c>
      <c r="I68" s="19" t="str">
        <f>'data'!$B$79</f>
      </c>
      <c r="J68" s="19"/>
      <c r="K68" s="19"/>
      <c r="L68" s="19"/>
      <c r="M68" s="19"/>
      <c r="N68" s="19"/>
      <c r="O68" s="19" t="str">
        <f>'data'!$B$78</f>
      </c>
    </row>
    <row r="70">
      <c r="F70" t="s">
        <v>212</v>
      </c>
      <c r="G70" s="15"/>
      <c r="N70" t="s">
        <v>212</v>
      </c>
      <c r="O70" s="15"/>
    </row>
    <row r="71">
      <c r="F71" t="s">
        <v>213</v>
      </c>
      <c r="G71" s="15"/>
      <c r="N71" t="s">
        <v>213</v>
      </c>
      <c r="O71" s="15"/>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'data'!$B$40</f>
      </c>
      <c r="B76" s="19"/>
      <c r="C76" s="19"/>
      <c r="D76" s="19"/>
      <c r="E76" s="19"/>
      <c r="F76" s="19"/>
      <c r="G76" s="19" t="str">
        <f>'data'!$B$39</f>
      </c>
      <c r="I76" s="19" t="str">
        <f>'data'!$B$82</f>
      </c>
      <c r="J76" s="19"/>
      <c r="K76" s="19"/>
      <c r="L76" s="19"/>
      <c r="M76" s="19"/>
      <c r="N76" s="19"/>
      <c r="O76" s="19" t="str">
        <f>'data'!$B$81</f>
      </c>
    </row>
    <row r="78">
      <c r="F78" t="s">
        <v>212</v>
      </c>
      <c r="G78" s="15"/>
      <c r="N78" t="s">
        <v>212</v>
      </c>
      <c r="O78" s="15"/>
    </row>
    <row r="79">
      <c r="F79" t="s">
        <v>213</v>
      </c>
      <c r="G79" s="15"/>
      <c r="N79" t="s">
        <v>213</v>
      </c>
      <c r="O79" s="15"/>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'data'!$B$43</f>
      </c>
      <c r="B84" s="19"/>
      <c r="C84" s="19"/>
      <c r="D84" s="19"/>
      <c r="E84" s="19"/>
      <c r="F84" s="19"/>
      <c r="G84" s="19" t="str">
        <f>'data'!$B$42</f>
      </c>
      <c r="I84" s="19" t="str">
        <f>'data'!$B$85</f>
      </c>
      <c r="J84" s="19"/>
      <c r="K84" s="19"/>
      <c r="L84" s="19"/>
      <c r="M84" s="19"/>
      <c r="N84" s="19"/>
      <c r="O84" s="19" t="str">
        <f>'data'!$B$84</f>
      </c>
    </row>
    <row r="86">
      <c r="F86" t="s">
        <v>212</v>
      </c>
      <c r="G86" s="15"/>
      <c r="N86" t="s">
        <v>212</v>
      </c>
      <c r="O86" s="15"/>
    </row>
    <row r="87">
      <c r="F87" t="s">
        <v>213</v>
      </c>
      <c r="G87" s="15"/>
      <c r="N87" t="s">
        <v>213</v>
      </c>
      <c r="O87" s="15"/>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'data'!$B$46</f>
      </c>
      <c r="B92" s="19"/>
      <c r="C92" s="19"/>
      <c r="D92" s="19"/>
      <c r="E92" s="19"/>
      <c r="F92" s="19"/>
      <c r="G92" s="19" t="str">
        <f>'data'!$B$45</f>
      </c>
      <c r="I92" s="19" t="str">
        <f>'data'!$B$88</f>
      </c>
      <c r="J92" s="19"/>
      <c r="K92" s="19"/>
      <c r="L92" s="19"/>
      <c r="M92" s="19"/>
      <c r="N92" s="19"/>
      <c r="O92" s="19" t="str">
        <f>'data'!$B$87</f>
      </c>
    </row>
    <row r="94">
      <c r="F94" t="s">
        <v>212</v>
      </c>
      <c r="G94" s="15"/>
      <c r="N94" t="s">
        <v>212</v>
      </c>
      <c r="O94" s="15"/>
    </row>
    <row r="95">
      <c r="F95" t="s">
        <v>213</v>
      </c>
      <c r="G95" s="15"/>
      <c r="N95" t="s">
        <v>213</v>
      </c>
      <c r="O95" s="15"/>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'data'!$B$49</f>
      </c>
      <c r="B100" s="19"/>
      <c r="C100" s="19"/>
      <c r="D100" s="19"/>
      <c r="E100" s="19"/>
      <c r="F100" s="19"/>
      <c r="G100" s="19" t="str">
        <f>'data'!$B$48</f>
      </c>
      <c r="I100" s="19" t="str">
        <f>'data'!$B$91</f>
      </c>
      <c r="J100" s="19"/>
      <c r="K100" s="19"/>
      <c r="L100" s="19"/>
      <c r="M100" s="19"/>
      <c r="N100" s="19"/>
      <c r="O100" s="19" t="str">
        <f>'data'!$B$90</f>
      </c>
    </row>
    <row r="102">
      <c r="F102" t="s">
        <v>212</v>
      </c>
      <c r="G102" s="15"/>
      <c r="N102" t="s">
        <v>212</v>
      </c>
      <c r="O102" s="15"/>
    </row>
    <row r="103">
      <c r="F103" t="s">
        <v>213</v>
      </c>
      <c r="G103" s="15"/>
      <c r="N103" t="s">
        <v>213</v>
      </c>
      <c r="O103" s="15"/>
    </row>
    <row r="106">
      <c r="I106" s="11" t="s">
        <v>239</v>
      </c>
      <c r="J106" s="11"/>
      <c r="K106" s="11"/>
      <c r="L106" s="11"/>
      <c r="M106" s="11"/>
      <c r="N106" s="11"/>
      <c r="O106" s="11"/>
    </row>
    <row r="107">
      <c r="I107" s="21" t="s">
        <v>209</v>
      </c>
      <c r="L107" s="19" t="s">
        <v>210</v>
      </c>
      <c r="O107" s="20" t="s">
        <v>211</v>
      </c>
    </row>
    <row r="108">
      <c r="I108" s="19" t="str">
        <f>'data'!$B$5</f>
      </c>
      <c r="J108" s="19"/>
      <c r="K108" s="19"/>
      <c r="L108" s="19"/>
      <c r="M108" s="19"/>
      <c r="N108" s="19"/>
      <c r="O108" s="19" t="str">
        <f>'data'!$B$93</f>
      </c>
    </row>
    <row r="110">
      <c r="N110" t="s">
        <v>212</v>
      </c>
      <c r="O110" s="15"/>
    </row>
    <row r="111">
      <c r="N111" t="s">
        <v>213</v>
      </c>
      <c r="O111" s="15"/>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'data'!$B$35</f>
      </c>
      <c r="B121" s="19"/>
      <c r="C121" s="19"/>
      <c r="D121" s="19"/>
      <c r="E121" s="19"/>
      <c r="F121" s="19"/>
      <c r="G121" s="19" t="str">
        <f>'data'!$B$32</f>
      </c>
      <c r="I121" s="19" t="str">
        <f>'data'!$B$51</f>
      </c>
      <c r="J121" s="19"/>
      <c r="K121" s="19"/>
      <c r="L121" s="19"/>
      <c r="M121" s="19"/>
      <c r="N121" s="19"/>
      <c r="O121" s="19" t="str">
        <f>'data'!$B$50</f>
      </c>
    </row>
    <row r="123">
      <c r="F123" t="s">
        <v>212</v>
      </c>
      <c r="G123" s="15"/>
      <c r="N123" t="s">
        <v>212</v>
      </c>
      <c r="O123" s="15"/>
    </row>
    <row r="124">
      <c r="F124" t="s">
        <v>213</v>
      </c>
      <c r="G124" s="15"/>
      <c r="N124" t="s">
        <v>213</v>
      </c>
      <c r="O124" s="15"/>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19"/>
      <c r="C129" s="19"/>
      <c r="D129" s="19"/>
      <c r="E129" s="19"/>
      <c r="F129" s="19"/>
      <c r="G129" s="19" t="str">
        <f>'data'!$B$36</f>
      </c>
      <c r="I129" s="19" t="str">
        <f>CONCATENATE("M 14 ",O6)</f>
      </c>
      <c r="J129" s="19"/>
      <c r="K129" s="19"/>
      <c r="L129" s="19"/>
      <c r="M129" s="19"/>
      <c r="N129" s="19"/>
      <c r="O129" s="19" t="str">
        <f>'data'!$B$52</f>
      </c>
    </row>
    <row r="131">
      <c r="F131" t="s">
        <v>212</v>
      </c>
      <c r="G131" s="15"/>
      <c r="N131" t="s">
        <v>212</v>
      </c>
      <c r="O131" s="15"/>
    </row>
    <row r="132">
      <c r="F132" t="s">
        <v>213</v>
      </c>
      <c r="G132" s="15"/>
      <c r="N132" t="s">
        <v>213</v>
      </c>
      <c r="O132" s="15"/>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19"/>
      <c r="C137" s="19"/>
      <c r="D137" s="19"/>
      <c r="E137" s="19"/>
      <c r="F137" s="19"/>
      <c r="G137" s="19" t="str">
        <f>'data'!$B$39</f>
      </c>
      <c r="I137" s="19" t="str">
        <f>CONCATENATE("M 15 ",O14)</f>
      </c>
      <c r="J137" s="19"/>
      <c r="K137" s="19"/>
      <c r="L137" s="19"/>
      <c r="M137" s="19"/>
      <c r="N137" s="19"/>
      <c r="O137" s="19" t="str">
        <f>'data'!$B$55</f>
      </c>
    </row>
    <row r="139">
      <c r="F139" t="s">
        <v>212</v>
      </c>
      <c r="G139" s="15"/>
      <c r="N139" t="s">
        <v>212</v>
      </c>
      <c r="O139" s="15"/>
    </row>
    <row r="140">
      <c r="F140" t="s">
        <v>213</v>
      </c>
      <c r="G140" s="15"/>
      <c r="N140" t="s">
        <v>213</v>
      </c>
      <c r="O140" s="15"/>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19"/>
      <c r="C145" s="19"/>
      <c r="D145" s="19"/>
      <c r="E145" s="19"/>
      <c r="F145" s="19"/>
      <c r="G145" s="19" t="str">
        <f>'data'!$B$42</f>
      </c>
      <c r="I145" s="19" t="str">
        <f>CONCATENATE("M 16 ",O22)</f>
      </c>
      <c r="J145" s="19"/>
      <c r="K145" s="19"/>
      <c r="L145" s="19"/>
      <c r="M145" s="19"/>
      <c r="N145" s="19"/>
      <c r="O145" s="19" t="str">
        <f>'data'!$B$58</f>
      </c>
    </row>
    <row r="147">
      <c r="F147" t="s">
        <v>212</v>
      </c>
      <c r="G147" s="15"/>
      <c r="N147" t="s">
        <v>212</v>
      </c>
      <c r="O147" s="15"/>
    </row>
    <row r="148">
      <c r="F148" t="s">
        <v>213</v>
      </c>
      <c r="G148" s="15"/>
      <c r="N148" t="s">
        <v>213</v>
      </c>
      <c r="O148" s="15"/>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'data'!$B$18</f>
      </c>
      <c r="B153" s="19"/>
      <c r="C153" s="19"/>
      <c r="D153" s="19"/>
      <c r="E153" s="19"/>
      <c r="F153" s="19"/>
      <c r="G153" s="19" t="str">
        <f>'data'!$B$17</f>
      </c>
      <c r="I153" s="19" t="str">
        <f>CONCATENATE("M 17 ",O30)</f>
      </c>
      <c r="J153" s="19"/>
      <c r="K153" s="19"/>
      <c r="L153" s="19"/>
      <c r="M153" s="19"/>
      <c r="N153" s="19"/>
      <c r="O153" s="19" t="str">
        <f>'data'!$B$61</f>
      </c>
    </row>
    <row r="155">
      <c r="F155" t="s">
        <v>212</v>
      </c>
      <c r="G155" s="15"/>
      <c r="N155" t="s">
        <v>212</v>
      </c>
      <c r="O155" s="15"/>
    </row>
    <row r="156">
      <c r="F156" t="s">
        <v>213</v>
      </c>
      <c r="G156" s="15"/>
      <c r="N156" t="s">
        <v>213</v>
      </c>
      <c r="O156" s="15"/>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19"/>
      <c r="C161" s="19"/>
      <c r="D161" s="19"/>
      <c r="E161" s="19"/>
      <c r="F161" s="19"/>
      <c r="G161" s="19" t="str">
        <f>'data'!$B$30</f>
      </c>
      <c r="I161" s="19" t="str">
        <f>CONCATENATE("M 18 ",O38)</f>
      </c>
      <c r="J161" s="19"/>
      <c r="K161" s="19"/>
      <c r="L161" s="19"/>
      <c r="M161" s="19"/>
      <c r="N161" s="19"/>
      <c r="O161" s="19" t="str">
        <f>'data'!$B$64</f>
      </c>
    </row>
    <row r="163">
      <c r="F163" t="s">
        <v>212</v>
      </c>
      <c r="G163" s="15"/>
      <c r="N163" t="s">
        <v>212</v>
      </c>
      <c r="O163" s="15"/>
    </row>
    <row r="164">
      <c r="F164" t="s">
        <v>213</v>
      </c>
      <c r="G164" s="15"/>
      <c r="N164" t="s">
        <v>213</v>
      </c>
      <c r="O164" s="15"/>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19"/>
      <c r="C169" s="19"/>
      <c r="D169" s="19"/>
      <c r="E169" s="19"/>
      <c r="F169" s="19"/>
      <c r="G169" s="19" t="str">
        <f>'data'!$B$22</f>
      </c>
      <c r="I169" s="19" t="str">
        <f>CONCATENATE("M 19 ",O46)</f>
      </c>
      <c r="J169" s="19"/>
      <c r="K169" s="19"/>
      <c r="L169" s="19"/>
      <c r="M169" s="19"/>
      <c r="N169" s="19"/>
      <c r="O169" s="19" t="str">
        <f>'data'!$B$67</f>
      </c>
    </row>
    <row r="171">
      <c r="F171" t="s">
        <v>212</v>
      </c>
      <c r="G171" s="15"/>
      <c r="N171" t="s">
        <v>212</v>
      </c>
      <c r="O171" s="15"/>
    </row>
    <row r="172">
      <c r="F172" t="s">
        <v>213</v>
      </c>
      <c r="G172" s="15"/>
      <c r="N172" t="s">
        <v>213</v>
      </c>
      <c r="O172" s="15"/>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19"/>
      <c r="C177" s="19"/>
      <c r="D177" s="19"/>
      <c r="E177" s="19"/>
      <c r="F177" s="19"/>
      <c r="G177" s="19" t="str">
        <f>'data'!$B$25</f>
      </c>
      <c r="I177" s="19" t="str">
        <f>CONCATENATE("M 20 ",O54)</f>
      </c>
      <c r="J177" s="19"/>
      <c r="K177" s="19"/>
      <c r="L177" s="19"/>
      <c r="M177" s="19"/>
      <c r="N177" s="19"/>
      <c r="O177" s="19" t="str">
        <f>'data'!$B$69</f>
      </c>
    </row>
    <row r="179">
      <c r="F179" t="s">
        <v>212</v>
      </c>
      <c r="G179" s="15"/>
      <c r="N179" t="s">
        <v>212</v>
      </c>
      <c r="O179" s="15"/>
    </row>
    <row r="180">
      <c r="F180" t="s">
        <v>213</v>
      </c>
      <c r="G180" s="15"/>
      <c r="N180" t="s">
        <v>213</v>
      </c>
      <c r="O180" s="15"/>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'data'!$B$29</f>
      </c>
      <c r="B185" s="19"/>
      <c r="C185" s="19"/>
      <c r="D185" s="19"/>
      <c r="E185" s="19"/>
      <c r="F185" s="19"/>
      <c r="G185" s="19" t="str">
        <f>'data'!$B$28</f>
      </c>
      <c r="I185" s="19" t="str">
        <f>'data'!$B$73</f>
      </c>
      <c r="J185" s="19"/>
      <c r="K185" s="19"/>
      <c r="L185" s="19"/>
      <c r="M185" s="19"/>
      <c r="N185" s="19"/>
      <c r="O185" s="19" t="str">
        <f>'data'!$B$72</f>
      </c>
    </row>
    <row r="187">
      <c r="F187" t="s">
        <v>212</v>
      </c>
      <c r="G187" s="15"/>
      <c r="N187" t="s">
        <v>212</v>
      </c>
      <c r="O187" s="15"/>
    </row>
    <row r="188">
      <c r="F188" t="s">
        <v>213</v>
      </c>
      <c r="G188" s="15"/>
      <c r="N188" t="s">
        <v>213</v>
      </c>
      <c r="O188" s="15"/>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19"/>
      <c r="C193" s="19"/>
      <c r="D193" s="19"/>
      <c r="E193" s="19"/>
      <c r="F193" s="19"/>
      <c r="G193" s="19" t="str">
        <f>'data'!$B$30</f>
      </c>
      <c r="I193" s="19" t="str">
        <f>CONCATENATE("M 21 ",O62)</f>
      </c>
      <c r="J193" s="19"/>
      <c r="K193" s="19"/>
      <c r="L193" s="19"/>
      <c r="M193" s="19"/>
      <c r="N193" s="19"/>
      <c r="O193" s="19" t="str">
        <f>'data'!$B$74</f>
      </c>
    </row>
    <row r="195">
      <c r="F195" t="s">
        <v>212</v>
      </c>
      <c r="G195" s="15"/>
      <c r="N195" t="s">
        <v>212</v>
      </c>
      <c r="O195" s="15"/>
    </row>
    <row r="196">
      <c r="F196" t="s">
        <v>213</v>
      </c>
      <c r="G196" s="15"/>
      <c r="N196" t="s">
        <v>213</v>
      </c>
      <c r="O196" s="15"/>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19"/>
      <c r="C201" s="19"/>
      <c r="D201" s="19"/>
      <c r="E201" s="19"/>
      <c r="F201" s="19"/>
      <c r="G201" s="19" t="str">
        <f>'data'!$B$4</f>
      </c>
      <c r="I201" s="19" t="str">
        <f>CONCATENATE("M 22 ",O70)</f>
      </c>
      <c r="J201" s="19"/>
      <c r="K201" s="19"/>
      <c r="L201" s="19"/>
      <c r="M201" s="19"/>
      <c r="N201" s="19"/>
      <c r="O201" s="19" t="str">
        <f>'data'!$B$77</f>
      </c>
    </row>
    <row r="203">
      <c r="F203" t="s">
        <v>212</v>
      </c>
      <c r="G203" s="15"/>
      <c r="N203" t="s">
        <v>212</v>
      </c>
      <c r="O203" s="15"/>
    </row>
    <row r="204">
      <c r="F204" t="s">
        <v>213</v>
      </c>
      <c r="G204" s="15"/>
      <c r="N204" t="s">
        <v>213</v>
      </c>
      <c r="O204" s="15"/>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19"/>
      <c r="C209" s="19"/>
      <c r="D209" s="19"/>
      <c r="E209" s="19"/>
      <c r="F209" s="19"/>
      <c r="G209" s="19" t="str">
        <f>'data'!$B$36</f>
      </c>
      <c r="I209" s="19" t="str">
        <f>CONCATENATE("M 23 ",O78)</f>
      </c>
      <c r="J209" s="19"/>
      <c r="K209" s="19"/>
      <c r="L209" s="19"/>
      <c r="M209" s="19"/>
      <c r="N209" s="19"/>
      <c r="O209" s="19" t="str">
        <f>'data'!$B$80</f>
      </c>
    </row>
    <row r="211">
      <c r="F211" t="s">
        <v>212</v>
      </c>
      <c r="G211" s="15"/>
      <c r="N211" t="s">
        <v>212</v>
      </c>
      <c r="O211" s="15"/>
    </row>
    <row r="212">
      <c r="F212" t="s">
        <v>213</v>
      </c>
      <c r="G212" s="15"/>
      <c r="N212" t="s">
        <v>213</v>
      </c>
      <c r="O212" s="15"/>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19"/>
      <c r="C217" s="19"/>
      <c r="D217" s="19"/>
      <c r="E217" s="19"/>
      <c r="F217" s="19"/>
      <c r="G217" s="19" t="str">
        <f>'data'!$B$38</f>
      </c>
      <c r="I217" s="19" t="str">
        <f>CONCATENATE("M 24 ",O86)</f>
      </c>
      <c r="J217" s="19"/>
      <c r="K217" s="19"/>
      <c r="L217" s="19"/>
      <c r="M217" s="19"/>
      <c r="N217" s="19"/>
      <c r="O217" s="19" t="str">
        <f>'data'!$B$83</f>
      </c>
    </row>
    <row r="219">
      <c r="F219" t="s">
        <v>212</v>
      </c>
      <c r="G219" s="15"/>
      <c r="N219" t="s">
        <v>212</v>
      </c>
      <c r="O219" s="15"/>
    </row>
    <row r="220">
      <c r="F220" t="s">
        <v>213</v>
      </c>
      <c r="G220" s="15"/>
      <c r="N220" t="s">
        <v>213</v>
      </c>
      <c r="O220" s="15"/>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19"/>
      <c r="C225" s="19"/>
      <c r="D225" s="19"/>
      <c r="E225" s="19"/>
      <c r="F225" s="19"/>
      <c r="G225" s="19" t="str">
        <f>'data'!$B$41</f>
      </c>
      <c r="I225" s="19" t="str">
        <f>CONCATENATE("M 25 ",O94)</f>
      </c>
      <c r="J225" s="19"/>
      <c r="K225" s="19"/>
      <c r="L225" s="19"/>
      <c r="M225" s="19"/>
      <c r="N225" s="19"/>
      <c r="O225" s="19" t="str">
        <f>'data'!$B$86</f>
      </c>
    </row>
    <row r="227">
      <c r="F227" t="s">
        <v>212</v>
      </c>
      <c r="G227" s="15"/>
      <c r="N227" t="s">
        <v>212</v>
      </c>
      <c r="O227" s="15"/>
    </row>
    <row r="228">
      <c r="F228" t="s">
        <v>213</v>
      </c>
      <c r="G228" s="15"/>
      <c r="N228" t="s">
        <v>213</v>
      </c>
      <c r="O228" s="15"/>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19"/>
      <c r="C233" s="19"/>
      <c r="D233" s="19"/>
      <c r="E233" s="19"/>
      <c r="F233" s="19"/>
      <c r="G233" s="19" t="str">
        <f>'data'!$B$44</f>
      </c>
      <c r="I233" s="19" t="str">
        <f>CONCATENATE("M 26 ",O102)</f>
      </c>
      <c r="J233" s="19"/>
      <c r="K233" s="19"/>
      <c r="L233" s="19"/>
      <c r="M233" s="19"/>
      <c r="N233" s="19"/>
      <c r="O233" s="19" t="str">
        <f>'data'!$B$89</f>
      </c>
    </row>
    <row r="235">
      <c r="F235" t="s">
        <v>212</v>
      </c>
      <c r="G235" s="15"/>
      <c r="N235" t="s">
        <v>212</v>
      </c>
      <c r="O235" s="15"/>
    </row>
    <row r="236">
      <c r="F236" t="s">
        <v>213</v>
      </c>
      <c r="G236" s="15"/>
      <c r="N236" t="s">
        <v>213</v>
      </c>
      <c r="O236" s="15"/>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19"/>
      <c r="C241" s="19"/>
      <c r="D241" s="19"/>
      <c r="E241" s="19"/>
      <c r="F241" s="19"/>
      <c r="G241" s="19" t="str">
        <f>'data'!$B$47</f>
      </c>
      <c r="I241" s="19" t="str">
        <f>CONCATENATE("M 27 ",O110)</f>
      </c>
      <c r="J241" s="19"/>
      <c r="K241" s="19"/>
      <c r="L241" s="19"/>
      <c r="M241" s="19"/>
      <c r="N241" s="19"/>
      <c r="O241" s="19" t="str">
        <f>'data'!$B$92</f>
      </c>
    </row>
    <row r="243">
      <c r="F243" t="s">
        <v>212</v>
      </c>
      <c r="G243" s="15"/>
      <c r="N243" t="s">
        <v>212</v>
      </c>
      <c r="O243" s="15"/>
    </row>
    <row r="244">
      <c r="F244" t="s">
        <v>213</v>
      </c>
      <c r="G244" s="15"/>
      <c r="N244" t="s">
        <v>213</v>
      </c>
      <c r="O244" s="15"/>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19"/>
      <c r="C254" s="19"/>
      <c r="D254" s="19"/>
      <c r="E254" s="19"/>
      <c r="F254" s="19"/>
      <c r="G254" s="19" t="str">
        <f>CONCATENATE("M 28 ",G123)</f>
      </c>
      <c r="I254" s="19" t="str">
        <f>CONCATENATE("M 45 ",O131)</f>
      </c>
      <c r="J254" s="19"/>
      <c r="K254" s="19"/>
      <c r="L254" s="19"/>
      <c r="M254" s="19"/>
      <c r="N254" s="19"/>
      <c r="O254" s="19" t="str">
        <f>CONCATENATE("M 44 ",O123)</f>
      </c>
    </row>
    <row r="256">
      <c r="F256" t="s">
        <v>212</v>
      </c>
      <c r="G256" s="15"/>
      <c r="N256" t="s">
        <v>212</v>
      </c>
      <c r="O256" s="15"/>
    </row>
    <row r="257">
      <c r="F257" t="s">
        <v>213</v>
      </c>
      <c r="G257" s="15"/>
      <c r="N257" t="s">
        <v>213</v>
      </c>
      <c r="O257" s="15"/>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19"/>
      <c r="C262" s="19"/>
      <c r="D262" s="19"/>
      <c r="E262" s="19"/>
      <c r="F262" s="19"/>
      <c r="G262" s="19" t="str">
        <f>CONCATENATE("M 30 ",G139)</f>
      </c>
      <c r="I262" s="19" t="str">
        <f>CONCATENATE("M 47 ",O147)</f>
      </c>
      <c r="J262" s="19"/>
      <c r="K262" s="19"/>
      <c r="L262" s="19"/>
      <c r="M262" s="19"/>
      <c r="N262" s="19"/>
      <c r="O262" s="19" t="str">
        <f>CONCATENATE("M 46 ",O139)</f>
      </c>
    </row>
    <row r="264">
      <c r="F264" t="s">
        <v>212</v>
      </c>
      <c r="G264" s="15"/>
      <c r="N264" t="s">
        <v>212</v>
      </c>
      <c r="O264" s="15"/>
    </row>
    <row r="265">
      <c r="F265" t="s">
        <v>213</v>
      </c>
      <c r="G265" s="15"/>
      <c r="N265" t="s">
        <v>213</v>
      </c>
      <c r="O265" s="15"/>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19"/>
      <c r="C270" s="19"/>
      <c r="D270" s="19"/>
      <c r="E270" s="19"/>
      <c r="F270" s="19"/>
      <c r="G270" s="19" t="str">
        <f>CONCATENATE("M 32 ",G155)</f>
      </c>
      <c r="I270" s="19" t="str">
        <f>CONCATENATE("M 49 ",O163)</f>
      </c>
      <c r="J270" s="19"/>
      <c r="K270" s="19"/>
      <c r="L270" s="19"/>
      <c r="M270" s="19"/>
      <c r="N270" s="19"/>
      <c r="O270" s="19" t="str">
        <f>CONCATENATE("M 48 ",O155)</f>
      </c>
    </row>
    <row r="272">
      <c r="F272" t="s">
        <v>212</v>
      </c>
      <c r="G272" s="15"/>
      <c r="N272" t="s">
        <v>212</v>
      </c>
      <c r="O272" s="15"/>
    </row>
    <row r="273">
      <c r="F273" t="s">
        <v>213</v>
      </c>
      <c r="G273" s="15"/>
      <c r="N273" t="s">
        <v>213</v>
      </c>
      <c r="O273" s="15"/>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19"/>
      <c r="C278" s="19"/>
      <c r="D278" s="19"/>
      <c r="E278" s="19"/>
      <c r="F278" s="19"/>
      <c r="G278" s="19" t="str">
        <f>CONCATENATE("M 34 ",G171)</f>
      </c>
      <c r="I278" s="19" t="str">
        <f>CONCATENATE("M 51 ",O179)</f>
      </c>
      <c r="J278" s="19"/>
      <c r="K278" s="19"/>
      <c r="L278" s="19"/>
      <c r="M278" s="19"/>
      <c r="N278" s="19"/>
      <c r="O278" s="19" t="str">
        <f>CONCATENATE("M 50 ",O171)</f>
      </c>
    </row>
    <row r="280">
      <c r="F280" t="s">
        <v>212</v>
      </c>
      <c r="G280" s="15"/>
      <c r="N280" t="s">
        <v>212</v>
      </c>
      <c r="O280" s="15"/>
    </row>
    <row r="281">
      <c r="F281" t="s">
        <v>213</v>
      </c>
      <c r="G281" s="15"/>
      <c r="N281" t="s">
        <v>213</v>
      </c>
      <c r="O281" s="15"/>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19"/>
      <c r="C286" s="19"/>
      <c r="D286" s="19"/>
      <c r="E286" s="19"/>
      <c r="F286" s="19"/>
      <c r="G286" s="19" t="str">
        <f>CONCATENATE("M 36 ",G187)</f>
      </c>
      <c r="I286" s="19" t="str">
        <f>CONCATENATE("M 53 ",O195)</f>
      </c>
      <c r="J286" s="19"/>
      <c r="K286" s="19"/>
      <c r="L286" s="19"/>
      <c r="M286" s="19"/>
      <c r="N286" s="19"/>
      <c r="O286" s="19" t="str">
        <f>CONCATENATE("M 52 ",O187)</f>
      </c>
    </row>
    <row r="288">
      <c r="F288" t="s">
        <v>212</v>
      </c>
      <c r="G288" s="15"/>
      <c r="N288" t="s">
        <v>212</v>
      </c>
      <c r="O288" s="15"/>
    </row>
    <row r="289">
      <c r="F289" t="s">
        <v>213</v>
      </c>
      <c r="G289" s="15"/>
      <c r="N289" t="s">
        <v>213</v>
      </c>
      <c r="O289" s="15"/>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19"/>
      <c r="C294" s="19"/>
      <c r="D294" s="19"/>
      <c r="E294" s="19"/>
      <c r="F294" s="19"/>
      <c r="G294" s="19" t="str">
        <f>CONCATENATE("M 38 ",G203)</f>
      </c>
      <c r="I294" s="19" t="str">
        <f>CONCATENATE("M 55 ",O211)</f>
      </c>
      <c r="J294" s="19"/>
      <c r="K294" s="19"/>
      <c r="L294" s="19"/>
      <c r="M294" s="19"/>
      <c r="N294" s="19"/>
      <c r="O294" s="19" t="str">
        <f>CONCATENATE("M 54 ",O203)</f>
      </c>
    </row>
    <row r="296">
      <c r="F296" t="s">
        <v>212</v>
      </c>
      <c r="G296" s="15"/>
      <c r="N296" t="s">
        <v>212</v>
      </c>
      <c r="O296" s="15"/>
    </row>
    <row r="297">
      <c r="F297" t="s">
        <v>213</v>
      </c>
      <c r="G297" s="15"/>
      <c r="N297" t="s">
        <v>213</v>
      </c>
      <c r="O297" s="15"/>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19"/>
      <c r="C302" s="19"/>
      <c r="D302" s="19"/>
      <c r="E302" s="19"/>
      <c r="F302" s="19"/>
      <c r="G302" s="19" t="str">
        <f>CONCATENATE("M 40 ",G219)</f>
      </c>
      <c r="I302" s="19" t="str">
        <f>CONCATENATE("M 57 ",O227)</f>
      </c>
      <c r="J302" s="19"/>
      <c r="K302" s="19"/>
      <c r="L302" s="19"/>
      <c r="M302" s="19"/>
      <c r="N302" s="19"/>
      <c r="O302" s="19" t="str">
        <f>CONCATENATE("M 56 ",O219)</f>
      </c>
    </row>
    <row r="304">
      <c r="F304" t="s">
        <v>212</v>
      </c>
      <c r="G304" s="15"/>
      <c r="N304" t="s">
        <v>212</v>
      </c>
      <c r="O304" s="15"/>
    </row>
    <row r="305">
      <c r="F305" t="s">
        <v>213</v>
      </c>
      <c r="G305" s="15"/>
      <c r="N305" t="s">
        <v>213</v>
      </c>
      <c r="O305" s="15"/>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19"/>
      <c r="C310" s="19"/>
      <c r="D310" s="19"/>
      <c r="E310" s="19"/>
      <c r="F310" s="19"/>
      <c r="G310" s="19" t="str">
        <f>CONCATENATE("M 42 ",G235)</f>
      </c>
      <c r="I310" s="19" t="str">
        <f>CONCATENATE("M 59 ",O243)</f>
      </c>
      <c r="J310" s="19"/>
      <c r="K310" s="19"/>
      <c r="L310" s="19"/>
      <c r="M310" s="19"/>
      <c r="N310" s="19"/>
      <c r="O310" s="19" t="str">
        <f>CONCATENATE("M 58 ",O235)</f>
      </c>
    </row>
    <row r="312">
      <c r="F312" t="s">
        <v>212</v>
      </c>
      <c r="G312" s="15"/>
      <c r="N312" t="s">
        <v>212</v>
      </c>
      <c r="O312" s="15"/>
    </row>
    <row r="313">
      <c r="F313" t="s">
        <v>213</v>
      </c>
      <c r="G313" s="15"/>
      <c r="N313" t="s">
        <v>213</v>
      </c>
      <c r="O313" s="15"/>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19"/>
      <c r="C323" s="19"/>
      <c r="D323" s="19"/>
      <c r="E323" s="19"/>
      <c r="F323" s="19"/>
      <c r="G323" s="19" t="str">
        <f>CONCATENATE("M 60 ",G256)</f>
      </c>
      <c r="I323" s="19" t="str">
        <f>CONCATENATE("M 69 ",O264)</f>
      </c>
      <c r="J323" s="19"/>
      <c r="K323" s="19"/>
      <c r="L323" s="19"/>
      <c r="M323" s="19"/>
      <c r="N323" s="19"/>
      <c r="O323" s="19" t="str">
        <f>CONCATENATE("M 68 ",O256)</f>
      </c>
    </row>
    <row r="325">
      <c r="F325" t="s">
        <v>212</v>
      </c>
      <c r="G325" s="15"/>
      <c r="N325" t="s">
        <v>212</v>
      </c>
      <c r="O325" s="15"/>
    </row>
    <row r="326">
      <c r="F326" t="s">
        <v>213</v>
      </c>
      <c r="G326" s="15"/>
      <c r="N326" t="s">
        <v>213</v>
      </c>
      <c r="O326" s="15"/>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19"/>
      <c r="C331" s="19"/>
      <c r="D331" s="19"/>
      <c r="E331" s="19"/>
      <c r="F331" s="19"/>
      <c r="G331" s="19" t="str">
        <f>CONCATENATE("M 62 ",G272)</f>
      </c>
      <c r="I331" s="19" t="str">
        <f>CONCATENATE("M 71 ",O280)</f>
      </c>
      <c r="J331" s="19"/>
      <c r="K331" s="19"/>
      <c r="L331" s="19"/>
      <c r="M331" s="19"/>
      <c r="N331" s="19"/>
      <c r="O331" s="19" t="str">
        <f>CONCATENATE("M 70 ",O272)</f>
      </c>
    </row>
    <row r="333">
      <c r="F333" t="s">
        <v>212</v>
      </c>
      <c r="G333" s="15"/>
      <c r="N333" t="s">
        <v>212</v>
      </c>
      <c r="O333" s="15"/>
    </row>
    <row r="334">
      <c r="F334" t="s">
        <v>213</v>
      </c>
      <c r="G334" s="15"/>
      <c r="N334" t="s">
        <v>213</v>
      </c>
      <c r="O334" s="15"/>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19"/>
      <c r="C339" s="19"/>
      <c r="D339" s="19"/>
      <c r="E339" s="19"/>
      <c r="F339" s="19"/>
      <c r="G339" s="19" t="str">
        <f>CONCATENATE("M 64 ",G288)</f>
      </c>
      <c r="I339" s="19" t="str">
        <f>CONCATENATE("M 73 ",O296)</f>
      </c>
      <c r="J339" s="19"/>
      <c r="K339" s="19"/>
      <c r="L339" s="19"/>
      <c r="M339" s="19"/>
      <c r="N339" s="19"/>
      <c r="O339" s="19" t="str">
        <f>CONCATENATE("M 72 ",O288)</f>
      </c>
    </row>
    <row r="341">
      <c r="F341" t="s">
        <v>212</v>
      </c>
      <c r="G341" s="15"/>
      <c r="N341" t="s">
        <v>212</v>
      </c>
      <c r="O341" s="15"/>
    </row>
    <row r="342">
      <c r="F342" t="s">
        <v>213</v>
      </c>
      <c r="G342" s="15"/>
      <c r="N342" t="s">
        <v>213</v>
      </c>
      <c r="O342" s="15"/>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19"/>
      <c r="C347" s="19"/>
      <c r="D347" s="19"/>
      <c r="E347" s="19"/>
      <c r="F347" s="19"/>
      <c r="G347" s="19" t="str">
        <f>CONCATENATE("M 66 ",G304)</f>
      </c>
      <c r="I347" s="19" t="str">
        <f>CONCATENATE("M 75 ",O312)</f>
      </c>
      <c r="J347" s="19"/>
      <c r="K347" s="19"/>
      <c r="L347" s="19"/>
      <c r="M347" s="19"/>
      <c r="N347" s="19"/>
      <c r="O347" s="19" t="str">
        <f>CONCATENATE("M 74 ",O304)</f>
      </c>
    </row>
    <row r="349">
      <c r="F349" t="s">
        <v>212</v>
      </c>
      <c r="G349" s="15"/>
      <c r="N349" t="s">
        <v>212</v>
      </c>
      <c r="O349" s="15"/>
    </row>
    <row r="350">
      <c r="F350" t="s">
        <v>213</v>
      </c>
      <c r="G350" s="15"/>
      <c r="N350" t="s">
        <v>213</v>
      </c>
      <c r="O350" s="15"/>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19"/>
      <c r="C360" s="19"/>
      <c r="D360" s="19"/>
      <c r="E360" s="19"/>
      <c r="F360" s="19"/>
      <c r="G360" s="19" t="str">
        <f>CONCATENATE("M 76 ",G325)</f>
      </c>
      <c r="I360" s="19" t="str">
        <f>CONCATENATE("M 81 ",O333)</f>
      </c>
      <c r="J360" s="19"/>
      <c r="K360" s="19"/>
      <c r="L360" s="19"/>
      <c r="M360" s="19"/>
      <c r="N360" s="19"/>
      <c r="O360" s="19" t="str">
        <f>CONCATENATE("M 80 ",O325)</f>
      </c>
    </row>
    <row r="362">
      <c r="F362" t="s">
        <v>212</v>
      </c>
      <c r="G362" s="15"/>
      <c r="N362" t="s">
        <v>212</v>
      </c>
      <c r="O362" s="15"/>
    </row>
    <row r="363">
      <c r="F363" t="s">
        <v>213</v>
      </c>
      <c r="G363" s="15"/>
      <c r="N363" t="s">
        <v>213</v>
      </c>
      <c r="O363" s="15"/>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19"/>
      <c r="C368" s="19"/>
      <c r="D368" s="19"/>
      <c r="E368" s="19"/>
      <c r="F368" s="19"/>
      <c r="G368" s="19" t="str">
        <f>CONCATENATE("M 78 ",G341)</f>
      </c>
      <c r="I368" s="19" t="str">
        <f>CONCATENATE("M 83 ",O349)</f>
      </c>
      <c r="J368" s="19"/>
      <c r="K368" s="19"/>
      <c r="L368" s="19"/>
      <c r="M368" s="19"/>
      <c r="N368" s="19"/>
      <c r="O368" s="19" t="str">
        <f>CONCATENATE("M 82 ",O341)</f>
      </c>
    </row>
    <row r="370">
      <c r="F370" t="s">
        <v>212</v>
      </c>
      <c r="G370" s="15"/>
      <c r="N370" t="s">
        <v>212</v>
      </c>
      <c r="O370" s="15"/>
    </row>
    <row r="371">
      <c r="F371" t="s">
        <v>213</v>
      </c>
      <c r="G371" s="15"/>
      <c r="N371" t="s">
        <v>213</v>
      </c>
      <c r="O371" s="15"/>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19"/>
      <c r="C381" s="19"/>
      <c r="D381" s="19"/>
      <c r="E381" s="19"/>
      <c r="F381" s="19"/>
      <c r="G381" s="19" t="str">
        <f>CONCATENATE("M 84 ",G362)</f>
      </c>
      <c r="I381" s="19" t="str">
        <f>CONCATENATE("M 87 ",O370)</f>
      </c>
      <c r="J381" s="19"/>
      <c r="K381" s="19"/>
      <c r="L381" s="19"/>
      <c r="M381" s="19"/>
      <c r="N381" s="19"/>
      <c r="O381" s="19" t="str">
        <f>CONCATENATE("M 86 ",O362)</f>
      </c>
    </row>
    <row r="383">
      <c r="F383" t="s">
        <v>212</v>
      </c>
      <c r="G383" s="15"/>
      <c r="N383" t="s">
        <v>212</v>
      </c>
      <c r="O383" s="15"/>
    </row>
    <row r="384">
      <c r="F384" t="s">
        <v>213</v>
      </c>
      <c r="G384" s="15"/>
      <c r="N384" t="s">
        <v>213</v>
      </c>
      <c r="O384" s="15"/>
    </row>
    <row r="392">
      <c r="A392" s="11" t="s">
        <v>302</v>
      </c>
      <c r="B392" s="11"/>
      <c r="C392" s="11"/>
      <c r="D392" s="11"/>
      <c r="E392" s="11"/>
      <c r="F392" s="11"/>
      <c r="G392" s="11"/>
    </row>
    <row r="393">
      <c r="A393" s="21" t="s">
        <v>209</v>
      </c>
      <c r="D393" s="19" t="s">
        <v>210</v>
      </c>
      <c r="G393" s="20" t="s">
        <v>211</v>
      </c>
    </row>
    <row r="394">
      <c r="A394" s="19" t="str">
        <f>CONCATENATE("M 89 ",O383)</f>
      </c>
      <c r="B394" s="19"/>
      <c r="C394" s="19"/>
      <c r="D394" s="19"/>
      <c r="E394" s="19"/>
      <c r="F394" s="19"/>
      <c r="G394" s="19" t="str">
        <f>CONCATENATE("M 88 ",G383)</f>
      </c>
    </row>
    <row r="396">
      <c r="F396" t="s">
        <v>212</v>
      </c>
      <c r="G396" s="15"/>
    </row>
    <row r="397">
      <c r="F397" t="s">
        <v>213</v>
      </c>
      <c r="G397" s="15"/>
    </row>
  </sheetData>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30</v>
      </c>
      <c r="F10" s="15"/>
      <c r="G10" s="12"/>
      <c r="I10" s="12"/>
    </row>
    <row r="11">
      <c r="I11" s="12"/>
    </row>
    <row r="12">
      <c r="I12" s="13">
        <v>60</v>
      </c>
    </row>
    <row r="13">
      <c r="I13" s="12"/>
      <c r="J13" s="14"/>
      <c r="K13" s="12"/>
    </row>
    <row r="14">
      <c r="E14" s="16" t="s">
        <v>32</v>
      </c>
      <c r="I14" s="12"/>
      <c r="K14" s="12"/>
    </row>
    <row r="15">
      <c r="F15" s="14"/>
      <c r="G15" s="12"/>
      <c r="I15" s="12"/>
      <c r="K15" s="12"/>
    </row>
    <row r="16">
      <c r="G16" s="13">
        <v>29</v>
      </c>
      <c r="H16" s="15"/>
      <c r="I16" s="12"/>
      <c r="K16" s="12"/>
    </row>
    <row r="17">
      <c r="C17" s="16" t="s">
        <v>34</v>
      </c>
      <c r="G17" s="12"/>
      <c r="K17" s="12"/>
    </row>
    <row r="18">
      <c r="D18" s="14"/>
      <c r="E18" s="13">
        <v>1</v>
      </c>
      <c r="F18" s="15"/>
      <c r="G18" s="12"/>
      <c r="K18" s="12"/>
    </row>
    <row r="19">
      <c r="C19" s="16" t="s">
        <v>36</v>
      </c>
      <c r="D19" s="15"/>
      <c r="E19" s="12"/>
      <c r="K19" s="12"/>
    </row>
    <row r="20">
      <c r="K20" s="13">
        <v>76</v>
      </c>
    </row>
    <row r="21">
      <c r="K21" s="12"/>
    </row>
    <row r="22">
      <c r="E22" s="16" t="s">
        <v>38</v>
      </c>
      <c r="K22" s="12"/>
    </row>
    <row r="23">
      <c r="F23" s="14"/>
      <c r="G23" s="12"/>
      <c r="K23" s="12"/>
    </row>
    <row r="24">
      <c r="G24" s="13">
        <v>30</v>
      </c>
      <c r="K24" s="12"/>
    </row>
    <row r="25">
      <c r="C25" s="16" t="s">
        <v>40</v>
      </c>
      <c r="G25" s="12"/>
      <c r="H25" s="14"/>
      <c r="I25" s="12"/>
      <c r="K25" s="12"/>
    </row>
    <row r="26">
      <c r="D26" s="14"/>
      <c r="E26" s="13">
        <v>2</v>
      </c>
      <c r="F26" s="15"/>
      <c r="G26" s="12"/>
      <c r="I26" s="12"/>
      <c r="K26" s="12"/>
    </row>
    <row r="27">
      <c r="C27" s="16" t="s">
        <v>42</v>
      </c>
      <c r="D27" s="15"/>
      <c r="E27" s="12"/>
      <c r="I27" s="12"/>
      <c r="K27" s="12"/>
    </row>
    <row r="28">
      <c r="I28" s="13">
        <v>61</v>
      </c>
      <c r="J28" s="15"/>
      <c r="K28" s="12"/>
    </row>
    <row r="29">
      <c r="I29" s="12"/>
    </row>
    <row r="30">
      <c r="E30" s="16" t="s">
        <v>44</v>
      </c>
      <c r="I30" s="12"/>
    </row>
    <row r="31">
      <c r="F31" s="14"/>
      <c r="G31" s="12"/>
      <c r="I31" s="12"/>
    </row>
    <row r="32">
      <c r="G32" s="13">
        <v>31</v>
      </c>
      <c r="H32" s="15"/>
      <c r="I32" s="12"/>
    </row>
    <row r="33">
      <c r="C33" s="16" t="s">
        <v>46</v>
      </c>
      <c r="G33" s="12"/>
    </row>
    <row r="34">
      <c r="D34" s="14"/>
      <c r="E34" s="13">
        <v>3</v>
      </c>
      <c r="F34" s="15"/>
      <c r="G34" s="12"/>
    </row>
    <row r="35">
      <c r="C35" s="16" t="s">
        <v>48</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50</v>
      </c>
    </row>
    <row r="7">
      <c r="F7" s="14"/>
      <c r="G7" s="12"/>
    </row>
    <row r="8">
      <c r="G8" s="13">
        <v>32</v>
      </c>
    </row>
    <row r="9">
      <c r="G9" s="12"/>
      <c r="H9" s="14"/>
      <c r="I9" s="12"/>
    </row>
    <row r="10">
      <c r="E10" s="16" t="s">
        <v>52</v>
      </c>
      <c r="F10" s="15"/>
      <c r="G10" s="12"/>
      <c r="I10" s="12"/>
    </row>
    <row r="11">
      <c r="I11" s="12"/>
    </row>
    <row r="12">
      <c r="I12" s="13">
        <v>62</v>
      </c>
    </row>
    <row r="13">
      <c r="I13" s="12"/>
      <c r="J13" s="14"/>
      <c r="K13" s="12"/>
    </row>
    <row r="14">
      <c r="E14" s="16" t="s">
        <v>54</v>
      </c>
      <c r="I14" s="12"/>
      <c r="K14" s="12"/>
    </row>
    <row r="15">
      <c r="F15" s="14"/>
      <c r="G15" s="12"/>
      <c r="I15" s="12"/>
      <c r="K15" s="12"/>
    </row>
    <row r="16">
      <c r="G16" s="13">
        <v>33</v>
      </c>
      <c r="H16" s="15"/>
      <c r="I16" s="12"/>
      <c r="K16" s="12"/>
    </row>
    <row r="17">
      <c r="C17" s="16" t="s">
        <v>56</v>
      </c>
      <c r="G17" s="12"/>
      <c r="K17" s="12"/>
    </row>
    <row r="18">
      <c r="D18" s="14"/>
      <c r="E18" s="13">
        <v>4</v>
      </c>
      <c r="F18" s="15"/>
      <c r="G18" s="12"/>
      <c r="K18" s="12"/>
    </row>
    <row r="19">
      <c r="C19" s="16" t="s">
        <v>58</v>
      </c>
      <c r="D19" s="15"/>
      <c r="E19" s="12"/>
      <c r="K19" s="12"/>
    </row>
    <row r="20">
      <c r="K20" s="13">
        <v>77</v>
      </c>
    </row>
    <row r="21">
      <c r="K21" s="12"/>
    </row>
    <row r="22">
      <c r="E22" s="16" t="s">
        <v>60</v>
      </c>
      <c r="K22" s="12"/>
    </row>
    <row r="23">
      <c r="F23" s="14"/>
      <c r="G23" s="12"/>
      <c r="K23" s="12"/>
    </row>
    <row r="24">
      <c r="G24" s="13">
        <v>34</v>
      </c>
      <c r="K24" s="12"/>
    </row>
    <row r="25">
      <c r="C25" s="16" t="s">
        <v>62</v>
      </c>
      <c r="G25" s="12"/>
      <c r="H25" s="14"/>
      <c r="I25" s="12"/>
      <c r="K25" s="12"/>
    </row>
    <row r="26">
      <c r="D26" s="14"/>
      <c r="E26" s="13">
        <v>5</v>
      </c>
      <c r="F26" s="15"/>
      <c r="G26" s="12"/>
      <c r="I26" s="12"/>
      <c r="K26" s="12"/>
    </row>
    <row r="27">
      <c r="C27" s="16" t="s">
        <v>65</v>
      </c>
      <c r="D27" s="15"/>
      <c r="E27" s="12"/>
      <c r="I27" s="12"/>
      <c r="K27" s="12"/>
    </row>
    <row r="28">
      <c r="I28" s="13">
        <v>63</v>
      </c>
      <c r="J28" s="15"/>
      <c r="K28" s="12"/>
    </row>
    <row r="29">
      <c r="I29" s="12"/>
    </row>
    <row r="30">
      <c r="E30" s="16" t="s">
        <v>68</v>
      </c>
      <c r="I30" s="12"/>
    </row>
    <row r="31">
      <c r="F31" s="14"/>
      <c r="G31" s="12"/>
      <c r="I31" s="12"/>
    </row>
    <row r="32">
      <c r="G32" s="13">
        <v>35</v>
      </c>
      <c r="H32" s="15"/>
      <c r="I32" s="12"/>
    </row>
    <row r="33">
      <c r="C33" s="16" t="s">
        <v>71</v>
      </c>
      <c r="G33" s="12"/>
    </row>
    <row r="34">
      <c r="D34" s="14"/>
      <c r="E34" s="13">
        <v>6</v>
      </c>
      <c r="F34" s="15"/>
      <c r="G34" s="12"/>
    </row>
    <row r="35">
      <c r="C35" s="16" t="s">
        <v>74</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77</v>
      </c>
    </row>
    <row r="7">
      <c r="F7" s="14"/>
      <c r="G7" s="12"/>
    </row>
    <row r="8">
      <c r="G8" s="13">
        <v>36</v>
      </c>
    </row>
    <row r="9">
      <c r="G9" s="12"/>
      <c r="H9" s="14"/>
      <c r="I9" s="12"/>
    </row>
    <row r="10">
      <c r="E10" s="16" t="s">
        <v>79</v>
      </c>
      <c r="F10" s="15"/>
      <c r="G10" s="12"/>
      <c r="I10" s="12"/>
    </row>
    <row r="11">
      <c r="I11" s="12"/>
    </row>
    <row r="12">
      <c r="I12" s="13">
        <v>64</v>
      </c>
    </row>
    <row r="13">
      <c r="I13" s="12"/>
      <c r="J13" s="14"/>
      <c r="K13" s="12"/>
    </row>
    <row r="14">
      <c r="E14" s="16" t="s">
        <v>54</v>
      </c>
      <c r="I14" s="12"/>
      <c r="K14" s="12"/>
    </row>
    <row r="15">
      <c r="F15" s="14"/>
      <c r="G15" s="12"/>
      <c r="I15" s="12"/>
      <c r="K15" s="12"/>
    </row>
    <row r="16">
      <c r="G16" s="13">
        <v>37</v>
      </c>
      <c r="H16" s="15"/>
      <c r="I16" s="12"/>
      <c r="K16" s="12"/>
    </row>
    <row r="17">
      <c r="C17" s="16" t="s">
        <v>82</v>
      </c>
      <c r="G17" s="12"/>
      <c r="K17" s="12"/>
    </row>
    <row r="18">
      <c r="D18" s="14"/>
      <c r="E18" s="13">
        <v>7</v>
      </c>
      <c r="F18" s="15"/>
      <c r="G18" s="12"/>
      <c r="K18" s="12"/>
    </row>
    <row r="19">
      <c r="C19" s="16" t="s">
        <v>18</v>
      </c>
      <c r="D19" s="15"/>
      <c r="E19" s="12"/>
      <c r="K19" s="12"/>
    </row>
    <row r="20">
      <c r="K20" s="13">
        <v>78</v>
      </c>
    </row>
    <row r="21">
      <c r="K21" s="12"/>
    </row>
    <row r="22">
      <c r="E22" s="16" t="s">
        <v>21</v>
      </c>
      <c r="K22" s="12"/>
    </row>
    <row r="23">
      <c r="F23" s="14"/>
      <c r="G23" s="12"/>
      <c r="K23" s="12"/>
    </row>
    <row r="24">
      <c r="G24" s="13">
        <v>38</v>
      </c>
      <c r="K24" s="12"/>
    </row>
    <row r="25">
      <c r="C25" s="16" t="s">
        <v>24</v>
      </c>
      <c r="G25" s="12"/>
      <c r="H25" s="14"/>
      <c r="I25" s="12"/>
      <c r="K25" s="12"/>
    </row>
    <row r="26">
      <c r="D26" s="14"/>
      <c r="E26" s="13">
        <v>8</v>
      </c>
      <c r="F26" s="15"/>
      <c r="G26" s="12"/>
      <c r="I26" s="12"/>
      <c r="K26" s="12"/>
    </row>
    <row r="27">
      <c r="C27" s="16" t="s">
        <v>30</v>
      </c>
      <c r="D27" s="15"/>
      <c r="E27" s="12"/>
      <c r="I27" s="12"/>
      <c r="K27" s="12"/>
    </row>
    <row r="28">
      <c r="I28" s="13">
        <v>65</v>
      </c>
      <c r="J28" s="15"/>
      <c r="K28" s="12"/>
    </row>
    <row r="29">
      <c r="I29" s="12"/>
    </row>
    <row r="30">
      <c r="E30" s="16" t="s">
        <v>32</v>
      </c>
      <c r="I30" s="12"/>
    </row>
    <row r="31">
      <c r="F31" s="14"/>
      <c r="G31" s="12"/>
      <c r="I31" s="12"/>
    </row>
    <row r="32">
      <c r="G32" s="13">
        <v>39</v>
      </c>
      <c r="H32" s="15"/>
      <c r="I32" s="12"/>
    </row>
    <row r="33">
      <c r="C33" s="16" t="s">
        <v>34</v>
      </c>
      <c r="G33" s="12"/>
    </row>
    <row r="34">
      <c r="D34" s="14"/>
      <c r="E34" s="13">
        <v>9</v>
      </c>
      <c r="F34" s="15"/>
      <c r="G34" s="12"/>
    </row>
    <row r="35">
      <c r="C35" s="16" t="s">
        <v>27</v>
      </c>
      <c r="D35" s="15"/>
      <c r="E35" s="12"/>
    </row>
  </sheetData>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36</v>
      </c>
    </row>
    <row r="7">
      <c r="F7" s="14"/>
      <c r="G7" s="12"/>
    </row>
    <row r="8">
      <c r="G8" s="13">
        <v>40</v>
      </c>
    </row>
    <row r="9">
      <c r="C9" s="16" t="s">
        <v>38</v>
      </c>
      <c r="G9" s="12"/>
      <c r="H9" s="14"/>
      <c r="I9" s="12"/>
    </row>
    <row r="10">
      <c r="D10" s="14"/>
      <c r="E10" s="13">
        <v>10</v>
      </c>
      <c r="F10" s="15"/>
      <c r="G10" s="12"/>
      <c r="I10" s="12"/>
    </row>
    <row r="11">
      <c r="C11" s="16" t="s">
        <v>40</v>
      </c>
      <c r="D11" s="15"/>
      <c r="E11" s="12"/>
      <c r="I11" s="12"/>
    </row>
    <row r="12">
      <c r="I12" s="13">
        <v>66</v>
      </c>
    </row>
    <row r="13">
      <c r="I13" s="12"/>
      <c r="J13" s="14"/>
      <c r="K13" s="12"/>
    </row>
    <row r="14">
      <c r="E14" s="16" t="s">
        <v>42</v>
      </c>
      <c r="I14" s="12"/>
      <c r="K14" s="12"/>
    </row>
    <row r="15">
      <c r="F15" s="14"/>
      <c r="G15" s="12"/>
      <c r="I15" s="12"/>
      <c r="K15" s="12"/>
    </row>
    <row r="16">
      <c r="G16" s="13">
        <v>41</v>
      </c>
      <c r="H16" s="15"/>
      <c r="I16" s="12"/>
      <c r="K16" s="12"/>
    </row>
    <row r="17">
      <c r="C17" s="16" t="s">
        <v>44</v>
      </c>
      <c r="G17" s="12"/>
      <c r="K17" s="12"/>
    </row>
    <row r="18">
      <c r="D18" s="14"/>
      <c r="E18" s="13">
        <v>11</v>
      </c>
      <c r="F18" s="15"/>
      <c r="G18" s="12"/>
      <c r="K18" s="12"/>
    </row>
    <row r="19">
      <c r="C19" s="16" t="s">
        <v>46</v>
      </c>
      <c r="D19" s="15"/>
      <c r="E19" s="12"/>
      <c r="K19" s="12"/>
    </row>
    <row r="20">
      <c r="K20" s="13">
        <v>79</v>
      </c>
    </row>
    <row r="21">
      <c r="K21" s="12"/>
    </row>
    <row r="22">
      <c r="E22" s="16" t="s">
        <v>96</v>
      </c>
      <c r="K22" s="12"/>
    </row>
    <row r="23">
      <c r="F23" s="14"/>
      <c r="G23" s="12"/>
      <c r="K23" s="12"/>
    </row>
    <row r="24">
      <c r="G24" s="13">
        <v>42</v>
      </c>
      <c r="K24" s="12"/>
    </row>
    <row r="25">
      <c r="C25" s="16" t="s">
        <v>98</v>
      </c>
      <c r="G25" s="12"/>
      <c r="H25" s="14"/>
      <c r="I25" s="12"/>
      <c r="K25" s="12"/>
    </row>
    <row r="26">
      <c r="D26" s="14"/>
      <c r="E26" s="13">
        <v>12</v>
      </c>
      <c r="F26" s="15"/>
      <c r="G26" s="12"/>
      <c r="I26" s="12"/>
      <c r="K26" s="12"/>
    </row>
    <row r="27">
      <c r="C27" s="16" t="s">
        <v>100</v>
      </c>
      <c r="D27" s="15"/>
      <c r="E27" s="12"/>
      <c r="I27" s="12"/>
      <c r="K27" s="12"/>
    </row>
    <row r="28">
      <c r="I28" s="13">
        <v>67</v>
      </c>
      <c r="J28" s="15"/>
      <c r="K28" s="12"/>
    </row>
    <row r="29">
      <c r="I29" s="12"/>
    </row>
    <row r="30">
      <c r="E30" s="16" t="s">
        <v>102</v>
      </c>
      <c r="I30" s="12"/>
    </row>
    <row r="31">
      <c r="F31" s="14"/>
      <c r="G31" s="12"/>
      <c r="I31" s="12"/>
    </row>
    <row r="32">
      <c r="G32" s="13">
        <v>43</v>
      </c>
      <c r="H32" s="15"/>
      <c r="I32" s="12"/>
    </row>
    <row r="33">
      <c r="C33" s="16" t="s">
        <v>104</v>
      </c>
      <c r="G33" s="12"/>
    </row>
    <row r="34">
      <c r="D34" s="14"/>
      <c r="E34" s="13">
        <v>13</v>
      </c>
      <c r="F34" s="15"/>
      <c r="G34" s="12"/>
    </row>
    <row r="35">
      <c r="C35" s="16" t="s">
        <v>106</v>
      </c>
      <c r="D35" s="15"/>
      <c r="E35" s="12"/>
    </row>
  </sheetData>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108</v>
      </c>
    </row>
    <row r="7">
      <c r="F7" s="14"/>
      <c r="G7" s="12"/>
    </row>
    <row r="8">
      <c r="G8" s="13">
        <v>44</v>
      </c>
    </row>
    <row r="9">
      <c r="G9" s="12"/>
      <c r="H9" s="14"/>
      <c r="I9" s="12"/>
    </row>
    <row r="10">
      <c r="E10" s="16" t="s">
        <v>110</v>
      </c>
      <c r="F10" s="15"/>
      <c r="G10" s="12"/>
      <c r="I10" s="12"/>
    </row>
    <row r="11">
      <c r="I11" s="12"/>
    </row>
    <row r="12">
      <c r="I12" s="13">
        <v>68</v>
      </c>
    </row>
    <row r="13">
      <c r="I13" s="12"/>
      <c r="J13" s="14"/>
      <c r="K13" s="12"/>
    </row>
    <row r="14">
      <c r="E14" s="16" t="s">
        <v>112</v>
      </c>
      <c r="I14" s="12"/>
      <c r="K14" s="12"/>
    </row>
    <row r="15">
      <c r="F15" s="14"/>
      <c r="G15" s="12"/>
      <c r="I15" s="12"/>
      <c r="K15" s="12"/>
    </row>
    <row r="16">
      <c r="G16" s="13">
        <v>45</v>
      </c>
      <c r="H16" s="15"/>
      <c r="I16" s="12"/>
      <c r="K16" s="12"/>
    </row>
    <row r="17">
      <c r="C17" s="16" t="s">
        <v>114</v>
      </c>
      <c r="G17" s="12"/>
      <c r="K17" s="12"/>
    </row>
    <row r="18">
      <c r="D18" s="14"/>
      <c r="E18" s="13">
        <v>14</v>
      </c>
      <c r="F18" s="15"/>
      <c r="G18" s="12"/>
      <c r="K18" s="12"/>
    </row>
    <row r="19">
      <c r="C19" s="16" t="s">
        <v>117</v>
      </c>
      <c r="D19" s="15"/>
      <c r="E19" s="12"/>
      <c r="K19" s="12"/>
    </row>
    <row r="20">
      <c r="K20" s="13">
        <v>80</v>
      </c>
    </row>
    <row r="21">
      <c r="K21" s="12"/>
    </row>
    <row r="22">
      <c r="E22" s="16" t="s">
        <v>120</v>
      </c>
      <c r="K22" s="12"/>
    </row>
    <row r="23">
      <c r="F23" s="14"/>
      <c r="G23" s="12"/>
      <c r="K23" s="12"/>
    </row>
    <row r="24">
      <c r="G24" s="13">
        <v>46</v>
      </c>
      <c r="K24" s="12"/>
    </row>
    <row r="25">
      <c r="C25" s="16" t="s">
        <v>123</v>
      </c>
      <c r="G25" s="12"/>
      <c r="H25" s="14"/>
      <c r="I25" s="12"/>
      <c r="K25" s="12"/>
    </row>
    <row r="26">
      <c r="D26" s="14"/>
      <c r="E26" s="13">
        <v>15</v>
      </c>
      <c r="F26" s="15"/>
      <c r="G26" s="12"/>
      <c r="I26" s="12"/>
      <c r="K26" s="12"/>
    </row>
    <row r="27">
      <c r="C27" s="16" t="s">
        <v>126</v>
      </c>
      <c r="D27" s="15"/>
      <c r="E27" s="12"/>
      <c r="I27" s="12"/>
      <c r="K27" s="12"/>
    </row>
    <row r="28">
      <c r="I28" s="13">
        <v>69</v>
      </c>
      <c r="J28" s="15"/>
      <c r="K28" s="12"/>
    </row>
    <row r="29">
      <c r="I29" s="12"/>
    </row>
    <row r="30">
      <c r="E30" s="16" t="s">
        <v>129</v>
      </c>
      <c r="I30" s="12"/>
    </row>
    <row r="31">
      <c r="F31" s="14"/>
      <c r="G31" s="12"/>
      <c r="I31" s="12"/>
    </row>
    <row r="32">
      <c r="G32" s="13">
        <v>47</v>
      </c>
      <c r="H32" s="15"/>
      <c r="I32" s="12"/>
    </row>
    <row r="33">
      <c r="C33" s="16" t="s">
        <v>132</v>
      </c>
      <c r="G33" s="12"/>
    </row>
    <row r="34">
      <c r="D34" s="14"/>
      <c r="E34" s="13">
        <v>16</v>
      </c>
      <c r="F34" s="15"/>
      <c r="G34" s="12"/>
    </row>
    <row r="35">
      <c r="C35" s="16" t="s">
        <v>135</v>
      </c>
      <c r="D35" s="15"/>
      <c r="E35" s="12"/>
    </row>
  </sheetData>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138</v>
      </c>
    </row>
    <row r="7">
      <c r="F7" s="14"/>
      <c r="G7" s="12"/>
    </row>
    <row r="8">
      <c r="G8" s="13">
        <v>48</v>
      </c>
    </row>
    <row r="9">
      <c r="C9" s="16" t="s">
        <v>141</v>
      </c>
      <c r="G9" s="12"/>
      <c r="H9" s="14"/>
      <c r="I9" s="12"/>
    </row>
    <row r="10">
      <c r="D10" s="14"/>
      <c r="E10" s="13">
        <v>17</v>
      </c>
      <c r="F10" s="15"/>
      <c r="G10" s="12"/>
      <c r="I10" s="12"/>
    </row>
    <row r="11">
      <c r="C11" s="16" t="s">
        <v>144</v>
      </c>
      <c r="D11" s="15"/>
      <c r="E11" s="12"/>
      <c r="I11" s="12"/>
    </row>
    <row r="12">
      <c r="I12" s="13">
        <v>70</v>
      </c>
    </row>
    <row r="13">
      <c r="I13" s="12"/>
      <c r="J13" s="14"/>
      <c r="K13" s="12"/>
    </row>
    <row r="14">
      <c r="E14" s="16" t="s">
        <v>147</v>
      </c>
      <c r="I14" s="12"/>
      <c r="K14" s="12"/>
    </row>
    <row r="15">
      <c r="F15" s="14"/>
      <c r="G15" s="12"/>
      <c r="I15" s="12"/>
      <c r="K15" s="12"/>
    </row>
    <row r="16">
      <c r="G16" s="13">
        <v>49</v>
      </c>
      <c r="H16" s="15"/>
      <c r="I16" s="12"/>
      <c r="K16" s="12"/>
    </row>
    <row r="17">
      <c r="C17" s="16" t="s">
        <v>150</v>
      </c>
      <c r="G17" s="12"/>
      <c r="K17" s="12"/>
    </row>
    <row r="18">
      <c r="D18" s="14"/>
      <c r="E18" s="13">
        <v>18</v>
      </c>
      <c r="F18" s="15"/>
      <c r="G18" s="12"/>
      <c r="K18" s="12"/>
    </row>
    <row r="19">
      <c r="C19" s="16" t="s">
        <v>153</v>
      </c>
      <c r="D19" s="15"/>
      <c r="E19" s="12"/>
      <c r="K19" s="12"/>
    </row>
    <row r="20">
      <c r="K20" s="13">
        <v>81</v>
      </c>
    </row>
    <row r="21">
      <c r="K21" s="12"/>
    </row>
    <row r="22">
      <c r="E22" s="16" t="s">
        <v>156</v>
      </c>
      <c r="K22" s="12"/>
    </row>
    <row r="23">
      <c r="F23" s="14"/>
      <c r="G23" s="12"/>
      <c r="K23" s="12"/>
    </row>
    <row r="24">
      <c r="G24" s="13">
        <v>50</v>
      </c>
      <c r="K24" s="12"/>
    </row>
    <row r="25">
      <c r="C25" s="16" t="s">
        <v>158</v>
      </c>
      <c r="G25" s="12"/>
      <c r="H25" s="14"/>
      <c r="I25" s="12"/>
      <c r="K25" s="12"/>
    </row>
    <row r="26">
      <c r="D26" s="14"/>
      <c r="E26" s="13">
        <v>19</v>
      </c>
      <c r="F26" s="15"/>
      <c r="G26" s="12"/>
      <c r="I26" s="12"/>
      <c r="K26" s="12"/>
    </row>
    <row r="27">
      <c r="C27" s="16" t="s">
        <v>21</v>
      </c>
      <c r="D27" s="15"/>
      <c r="E27" s="12"/>
      <c r="I27" s="12"/>
      <c r="K27" s="12"/>
    </row>
    <row r="28">
      <c r="I28" s="13">
        <v>71</v>
      </c>
      <c r="J28" s="15"/>
      <c r="K28" s="12"/>
    </row>
    <row r="29">
      <c r="I29" s="12"/>
    </row>
    <row r="30">
      <c r="E30" s="16" t="s">
        <v>160</v>
      </c>
      <c r="I30" s="12"/>
    </row>
    <row r="31">
      <c r="F31" s="14"/>
      <c r="G31" s="12"/>
      <c r="I31" s="12"/>
    </row>
    <row r="32">
      <c r="G32" s="13">
        <v>51</v>
      </c>
      <c r="H32" s="15"/>
      <c r="I32" s="12"/>
    </row>
    <row r="33">
      <c r="C33" s="16" t="s">
        <v>162</v>
      </c>
      <c r="G33" s="12"/>
    </row>
    <row r="34">
      <c r="D34" s="14"/>
      <c r="E34" s="13">
        <v>20</v>
      </c>
      <c r="F34" s="15"/>
      <c r="G34" s="12"/>
    </row>
    <row r="35">
      <c r="C35" s="16" t="s">
        <v>164</v>
      </c>
      <c r="D35" s="15"/>
      <c r="E35" s="12"/>
    </row>
  </sheetData>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166</v>
      </c>
    </row>
    <row r="7">
      <c r="F7" s="14"/>
      <c r="G7" s="12"/>
    </row>
    <row r="8">
      <c r="G8" s="13">
        <v>52</v>
      </c>
    </row>
    <row r="9">
      <c r="G9" s="12"/>
      <c r="H9" s="14"/>
      <c r="I9" s="12"/>
    </row>
    <row r="10">
      <c r="E10" s="16" t="s">
        <v>168</v>
      </c>
      <c r="F10" s="15"/>
      <c r="G10" s="12"/>
      <c r="I10" s="12"/>
    </row>
    <row r="11">
      <c r="I11" s="12"/>
    </row>
    <row r="12">
      <c r="I12" s="13">
        <v>72</v>
      </c>
    </row>
    <row r="13">
      <c r="I13" s="12"/>
      <c r="J13" s="14"/>
      <c r="K13" s="12"/>
    </row>
    <row r="14">
      <c r="E14" s="16" t="s">
        <v>162</v>
      </c>
      <c r="I14" s="12"/>
      <c r="K14" s="12"/>
    </row>
    <row r="15">
      <c r="F15" s="14"/>
      <c r="G15" s="12"/>
      <c r="I15" s="12"/>
      <c r="K15" s="12"/>
    </row>
    <row r="16">
      <c r="G16" s="13">
        <v>53</v>
      </c>
      <c r="H16" s="15"/>
      <c r="I16" s="12"/>
      <c r="K16" s="12"/>
    </row>
    <row r="17">
      <c r="C17" s="16" t="s">
        <v>171</v>
      </c>
      <c r="G17" s="12"/>
      <c r="K17" s="12"/>
    </row>
    <row r="18">
      <c r="D18" s="14"/>
      <c r="E18" s="13">
        <v>21</v>
      </c>
      <c r="F18" s="15"/>
      <c r="G18" s="12"/>
      <c r="K18" s="12"/>
    </row>
    <row r="19">
      <c r="C19" s="16" t="s">
        <v>173</v>
      </c>
      <c r="D19" s="15"/>
      <c r="E19" s="12"/>
      <c r="K19" s="12"/>
    </row>
    <row r="20">
      <c r="K20" s="13">
        <v>82</v>
      </c>
    </row>
    <row r="21">
      <c r="K21" s="12"/>
    </row>
    <row r="22">
      <c r="E22" s="16" t="s">
        <v>175</v>
      </c>
      <c r="K22" s="12"/>
    </row>
    <row r="23">
      <c r="F23" s="14"/>
      <c r="G23" s="12"/>
      <c r="K23" s="12"/>
    </row>
    <row r="24">
      <c r="G24" s="13">
        <v>54</v>
      </c>
      <c r="K24" s="12"/>
    </row>
    <row r="25">
      <c r="C25" s="16" t="s">
        <v>177</v>
      </c>
      <c r="G25" s="12"/>
      <c r="H25" s="14"/>
      <c r="I25" s="12"/>
      <c r="K25" s="12"/>
    </row>
    <row r="26">
      <c r="D26" s="14"/>
      <c r="E26" s="13">
        <v>22</v>
      </c>
      <c r="F26" s="15"/>
      <c r="G26" s="12"/>
      <c r="I26" s="12"/>
      <c r="K26" s="12"/>
    </row>
    <row r="27">
      <c r="C27" s="16" t="s">
        <v>179</v>
      </c>
      <c r="D27" s="15"/>
      <c r="E27" s="12"/>
      <c r="I27" s="12"/>
      <c r="K27" s="12"/>
    </row>
    <row r="28">
      <c r="I28" s="13">
        <v>73</v>
      </c>
      <c r="J28" s="15"/>
      <c r="K28" s="12"/>
    </row>
    <row r="29">
      <c r="I29" s="12"/>
    </row>
    <row r="30">
      <c r="E30" s="16" t="s">
        <v>181</v>
      </c>
      <c r="I30" s="12"/>
    </row>
    <row r="31">
      <c r="F31" s="14"/>
      <c r="G31" s="12"/>
      <c r="I31" s="12"/>
    </row>
    <row r="32">
      <c r="G32" s="13">
        <v>55</v>
      </c>
      <c r="H32" s="15"/>
      <c r="I32" s="12"/>
    </row>
    <row r="33">
      <c r="C33" s="16" t="s">
        <v>132</v>
      </c>
      <c r="G33" s="12"/>
    </row>
    <row r="34">
      <c r="D34" s="14"/>
      <c r="E34" s="13">
        <v>23</v>
      </c>
      <c r="F34" s="15"/>
      <c r="G34" s="12"/>
    </row>
    <row r="35">
      <c r="C35" s="16" t="s">
        <v>184</v>
      </c>
      <c r="D35" s="15"/>
      <c r="E35" s="12"/>
    </row>
  </sheetData>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186</v>
      </c>
    </row>
    <row r="7">
      <c r="F7" s="14"/>
      <c r="G7" s="12"/>
    </row>
    <row r="8">
      <c r="G8" s="13">
        <v>56</v>
      </c>
    </row>
    <row r="9">
      <c r="C9" s="16" t="s">
        <v>188</v>
      </c>
      <c r="G9" s="12"/>
      <c r="H9" s="14"/>
      <c r="I9" s="12"/>
    </row>
    <row r="10">
      <c r="D10" s="14"/>
      <c r="E10" s="13">
        <v>24</v>
      </c>
      <c r="F10" s="15"/>
      <c r="G10" s="12"/>
      <c r="I10" s="12"/>
    </row>
    <row r="11">
      <c r="C11" s="16" t="s">
        <v>190</v>
      </c>
      <c r="D11" s="15"/>
      <c r="E11" s="12"/>
      <c r="I11" s="12"/>
    </row>
    <row r="12">
      <c r="I12" s="13">
        <v>74</v>
      </c>
    </row>
    <row r="13">
      <c r="I13" s="12"/>
      <c r="J13" s="14"/>
      <c r="K13" s="12"/>
    </row>
    <row r="14">
      <c r="E14" s="16" t="s">
        <v>192</v>
      </c>
      <c r="I14" s="12"/>
      <c r="K14" s="12"/>
    </row>
    <row r="15">
      <c r="F15" s="14"/>
      <c r="G15" s="12"/>
      <c r="I15" s="12"/>
      <c r="K15" s="12"/>
    </row>
    <row r="16">
      <c r="G16" s="13">
        <v>57</v>
      </c>
      <c r="H16" s="15"/>
      <c r="I16" s="12"/>
      <c r="K16" s="12"/>
    </row>
    <row r="17">
      <c r="C17" s="16" t="s">
        <v>194</v>
      </c>
      <c r="G17" s="12"/>
      <c r="K17" s="12"/>
    </row>
    <row r="18">
      <c r="D18" s="14"/>
      <c r="E18" s="13">
        <v>25</v>
      </c>
      <c r="F18" s="15"/>
      <c r="G18" s="12"/>
      <c r="K18" s="12"/>
    </row>
    <row r="19">
      <c r="C19" s="16" t="s">
        <v>164</v>
      </c>
      <c r="D19" s="15"/>
      <c r="E19" s="12"/>
      <c r="K19" s="12"/>
    </row>
    <row r="20">
      <c r="K20" s="13">
        <v>83</v>
      </c>
    </row>
    <row r="21">
      <c r="K21" s="12"/>
    </row>
    <row r="22">
      <c r="E22" s="16" t="s">
        <v>197</v>
      </c>
      <c r="K22" s="12"/>
    </row>
    <row r="23">
      <c r="F23" s="14"/>
      <c r="G23" s="12"/>
      <c r="K23" s="12"/>
    </row>
    <row r="24">
      <c r="G24" s="13">
        <v>58</v>
      </c>
      <c r="K24" s="12"/>
    </row>
    <row r="25">
      <c r="C25" s="16" t="s">
        <v>199</v>
      </c>
      <c r="G25" s="12"/>
      <c r="H25" s="14"/>
      <c r="I25" s="12"/>
      <c r="K25" s="12"/>
    </row>
    <row r="26">
      <c r="D26" s="14"/>
      <c r="E26" s="13">
        <v>26</v>
      </c>
      <c r="F26" s="15"/>
      <c r="G26" s="12"/>
      <c r="I26" s="12"/>
      <c r="K26" s="12"/>
    </row>
    <row r="27">
      <c r="C27" s="16" t="s">
        <v>201</v>
      </c>
      <c r="D27" s="15"/>
      <c r="E27" s="12"/>
      <c r="I27" s="12"/>
      <c r="K27" s="12"/>
    </row>
    <row r="28">
      <c r="I28" s="13">
        <v>75</v>
      </c>
      <c r="J28" s="15"/>
      <c r="K28" s="12"/>
    </row>
    <row r="29">
      <c r="I29" s="12"/>
    </row>
    <row r="30">
      <c r="E30" s="16" t="s">
        <v>203</v>
      </c>
      <c r="I30" s="12"/>
    </row>
    <row r="31">
      <c r="F31" s="14"/>
      <c r="G31" s="12"/>
      <c r="I31" s="12"/>
    </row>
    <row r="32">
      <c r="G32" s="13">
        <v>59</v>
      </c>
      <c r="H32" s="15"/>
      <c r="I32" s="12"/>
    </row>
    <row r="33">
      <c r="C33" s="16" t="s">
        <v>205</v>
      </c>
      <c r="G33" s="12"/>
    </row>
    <row r="34">
      <c r="D34" s="14"/>
      <c r="E34" s="13">
        <v>27</v>
      </c>
      <c r="F34" s="15"/>
      <c r="G34" s="12"/>
    </row>
    <row r="35">
      <c r="C35" s="16" t="s">
        <v>24</v>
      </c>
      <c r="D35" s="15"/>
      <c r="E35" s="12"/>
    </row>
  </sheetData>
  <mergeCells count="1">
    <mergeCell ref="A1:P1"/>
  </mergeCells>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67</v>
      </c>
      <c r="B21" s="18" t="str">
        <f>data!D70</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76</v>
      </c>
      <c r="B30" s="18" t="str">
        <f>data!D79</f>
      </c>
    </row>
    <row r="31" ht="270" customHeight="true">
      <c r="A31" s="17">
        <v>77</v>
      </c>
      <c r="B31" s="18" t="str">
        <f>data!D80</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82</v>
      </c>
      <c r="B36" s="18" t="str">
        <f>data!D85</f>
      </c>
    </row>
    <row r="37" ht="270" customHeight="true">
      <c r="A37" s="17">
        <v>83</v>
      </c>
      <c r="B37" s="18" t="str">
        <f>data!D86</f>
      </c>
    </row>
    <row r="38" ht="270" customHeight="true">
      <c r="A38" s="17">
        <v>84</v>
      </c>
      <c r="B38" s="18" t="str">
        <f>data!D87</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