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Matches'!$A$1:$H$38</definedName>
    <definedName localSheetId="5" name="_xlnm.Print_Area">'Tree 1'!$A$1:$E$8</definedName>
    <definedName localSheetId="6" name="_xlnm.Print_Area">'Names to Print A'!$A$1:$B$3</definedName>
    <definedName localSheetId="4" name="_xlnm.Print_Area">'Elimination Matches'!$A$1:$H$20</definedName>
  </definedNames>
  <calcPr calcId="122211"/>
</workbook>
</file>

<file path=xl/sharedStrings.xml><?xml version="1.0" encoding="utf-8"?>
<sst xmlns="http://schemas.openxmlformats.org/spreadsheetml/2006/main" count="52" uniqueCount="52">
  <si>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</si>
  <si>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</si>
  <si>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</si>
  <si>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</si>
  <si>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</si>
  <si>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</si>
  <si>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</si>
  <si>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</si>
  <si>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</si>
  <si>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</si>
  <si>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</si>
  <si>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</si>
  <si>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</si>
  <si>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</si>
  <si>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</si>
  <si>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</si>
  <si>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Team Alpha</t>
  </si>
  <si>
    <t>Sakura Dojo</t>
  </si>
  <si>
    <t>Team Bravo</t>
  </si>
  <si>
    <t>Tora Dojo</t>
  </si>
  <si>
    <t>Team Charlie</t>
  </si>
  <si>
    <t>Kaze Dojo</t>
  </si>
  <si>
    <t>Shiaijo A</t>
  </si>
  <si>
    <t>White</t>
  </si>
  <si>
    <t>vs</t>
  </si>
  <si>
    <t>Red</t>
  </si>
  <si>
    <t>Team Results</t>
  </si>
  <si>
    <t>W</t>
  </si>
  <si>
    <t>L</t>
  </si>
  <si>
    <t>T</t>
  </si>
  <si>
    <t>Rank</t>
  </si>
  <si>
    <t>IV</t>
  </si>
  <si>
    <t>IL</t>
  </si>
  <si>
    <t>IT</t>
  </si>
  <si>
    <t>PW</t>
  </si>
  <si>
    <t>PL</t>
  </si>
  <si>
    <t>Ranking</t>
  </si>
  <si>
    <t>1.</t>
  </si>
  <si>
    <t>2.</t>
  </si>
  <si>
    <t>3.</t>
  </si>
  <si>
    <t>A1</t>
  </si>
  <si>
    <t>A2</t>
  </si>
  <si>
    <t>A3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</si>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</sst>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3</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45</v>
      </c>
      <c r="F13" s="13"/>
      <c r="G13" s="13"/>
      <c r="H13" s="13"/>
    </row>
    <row r="14">
      <c r="A14">
        <v>1</v>
      </c>
      <c r="E14" s="32" t="s">
        <v>46</v>
      </c>
      <c r="F14" s="32"/>
      <c r="G14" s="32"/>
      <c r="H14" s="31" t="str">
        <f>H2</f>
      </c>
    </row>
    <row r="15">
      <c r="E15" s="32" t="s">
        <v>47</v>
      </c>
      <c r="F15" s="32"/>
      <c r="G15" s="32"/>
      <c r="H15" s="31" t="str">
        <f>H8</f>
      </c>
    </row>
    <row r="16">
      <c r="E16" s="32" t="s">
        <v>48</v>
      </c>
      <c r="F16" s="32"/>
      <c r="G16" s="32"/>
      <c r="H16" s="31" t="str">
        <f>H14+H15</f>
      </c>
    </row>
    <row r="17">
      <c r="E17" s="32" t="s">
        <v>49</v>
      </c>
      <c r="F17" s="32"/>
      <c r="G17" s="32"/>
      <c r="H17" s="31" t="str">
        <f>H16/A14</f>
      </c>
    </row>
    <row r="18">
      <c r="E18" s="13" t="s">
        <v>50</v>
      </c>
      <c r="F18" s="13"/>
      <c r="G18" s="13"/>
      <c r="H18" s="33">
        <v>0.375</v>
      </c>
    </row>
    <row r="19">
      <c r="E19" s="13" t="s">
        <v>51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"1. " &amp; data!$B$3</f>
      </c>
    </row>
    <row r="7" ht="17" customHeight="true">
      <c r="B7" s="12" t="str">
        <f>"2. " &amp; data!$B$4</f>
      </c>
    </row>
    <row r="8">
      <c r="B8" s="12" t="str">
        <f>"3. " &amp; 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22</v>
      </c>
      <c r="B1" s="13"/>
      <c r="C1" s="13"/>
      <c r="D1" s="13"/>
      <c r="E1" s="13"/>
      <c r="F1" s="13"/>
      <c r="G1" s="13"/>
    </row>
    <row r="2">
      <c r="A2" s="13" t="str">
        <f>'data'!$A$5</f>
      </c>
      <c r="B2" s="13"/>
      <c r="C2" s="13"/>
      <c r="D2" s="13"/>
      <c r="E2" s="13"/>
      <c r="F2" s="13"/>
      <c r="G2" s="13"/>
    </row>
    <row r="3">
      <c r="A3" s="17" t="s">
        <v>23</v>
      </c>
      <c r="B3" s="14"/>
      <c r="C3" s="14"/>
      <c r="D3" s="14" t="s">
        <v>24</v>
      </c>
      <c r="E3" s="14"/>
      <c r="F3" s="14"/>
      <c r="G3" s="16" t="s">
        <v>25</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23</v>
      </c>
      <c r="B9" s="14"/>
      <c r="C9" s="14"/>
      <c r="D9" s="14" t="s">
        <v>24</v>
      </c>
      <c r="E9" s="14"/>
      <c r="F9" s="14"/>
      <c r="G9" s="16" t="s">
        <v>25</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23</v>
      </c>
      <c r="B15" s="14"/>
      <c r="C15" s="14"/>
      <c r="D15" s="14" t="s">
        <v>24</v>
      </c>
      <c r="E15" s="14"/>
      <c r="F15" s="14"/>
      <c r="G15" s="16" t="s">
        <v>25</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26</v>
      </c>
      <c r="B22" s="13" t="s">
        <v>27</v>
      </c>
      <c r="C22" s="13" t="s">
        <v>28</v>
      </c>
      <c r="D22" s="13" t="s">
        <v>29</v>
      </c>
      <c r="E22" s="13"/>
      <c r="F22" s="13"/>
      <c r="G22" s="13" t="s">
        <v>30</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31</v>
      </c>
      <c r="C27" s="13" t="s">
        <v>32</v>
      </c>
      <c r="D27" s="13" t="s">
        <v>33</v>
      </c>
      <c r="E27" s="13" t="s">
        <v>34</v>
      </c>
      <c r="F27" s="13" t="s">
        <v>35</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36</v>
      </c>
    </row>
    <row r="34">
      <c r="F34" t="s">
        <v>37</v>
      </c>
      <c r="G34" s="19" t="str">
        <f>IFERROR(INDEX($A$23:$A$30, MATCH(1, $G$23:$G$30, 0)), "-")</f>
      </c>
    </row>
    <row r="35">
      <c r="F35" t="s">
        <v>38</v>
      </c>
      <c r="G35" s="19" t="str">
        <f>IFERROR(INDEX($A$23:$A$30, MATCH(2, $G$23:$G$30, 0)), "-")</f>
      </c>
    </row>
    <row r="36">
      <c r="F36" t="s">
        <v>39</v>
      </c>
      <c r="G36" s="19" t="str">
        <f>IFERROR(INDEX($A$23:$A$30, MATCH(3, $G$23:$G$30,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22</v>
      </c>
      <c r="B1" s="13"/>
      <c r="C1" s="13"/>
      <c r="D1" s="13"/>
      <c r="E1" s="13"/>
      <c r="F1" s="13"/>
      <c r="G1" s="13"/>
    </row>
    <row r="2">
      <c r="A2" s="13" t="s">
        <v>43</v>
      </c>
      <c r="B2" s="13"/>
      <c r="C2" s="13"/>
      <c r="D2" s="13"/>
      <c r="E2" s="13"/>
      <c r="F2" s="13"/>
      <c r="G2" s="13"/>
    </row>
    <row r="3">
      <c r="A3" s="17" t="s">
        <v>23</v>
      </c>
      <c r="D3" s="14" t="s">
        <v>24</v>
      </c>
      <c r="G3" s="16" t="s">
        <v>25</v>
      </c>
    </row>
    <row r="4">
      <c r="A4" s="14" t="str">
        <f>CONCATENATE("Pool A-2nd ",'Pool Matches'!G35)</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A-2nd ",'Pool Matches'!G35)</f>
      </c>
      <c r="B9" s="14" t="s">
        <v>31</v>
      </c>
      <c r="C9" s="14" t="s">
        <v>34</v>
      </c>
      <c r="D9" s="14"/>
      <c r="E9" s="14" t="s">
        <v>34</v>
      </c>
      <c r="F9" s="14" t="s">
        <v>31</v>
      </c>
      <c r="G9" s="14" t="str">
        <f>CONCATENATE("Pool A-1st ",'Pool Matches'!G34)</f>
      </c>
    </row>
    <row r="10">
      <c r="A10" s="14" t="s">
        <v>44</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44</v>
      </c>
    </row>
    <row r="13">
      <c r="F13" t="s">
        <v>37</v>
      </c>
      <c r="G13" s="19"/>
    </row>
    <row r="14">
      <c r="F14" t="s">
        <v>38</v>
      </c>
      <c r="G1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'data'!$A$5</f>
      </c>
    </row>
    <row r="5">
      <c r="A5" s="25" t="str">
        <f>"1. " &amp; data!$B$3</f>
      </c>
      <c r="C5" s="23" t="str">
        <f>CONCATENATE("Pool A-1st ",'Pool Matches'!G34)</f>
      </c>
    </row>
    <row r="6">
      <c r="A6" s="26" t="str">
        <f>"2. " &amp; data!$B$4</f>
      </c>
      <c r="D6" s="22"/>
      <c r="E6" s="21">
        <v>1</v>
      </c>
    </row>
    <row r="7">
      <c r="A7" s="27" t="str">
        <f>"3. " &amp; data!$B$5</f>
      </c>
      <c r="C7" s="23" t="str">
        <f>CONCATENATE("Pool A-2nd ",'Pool Matches'!G35)</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40</v>
      </c>
      <c r="B1" s="29" t="str">
        <f>'data'!$B$3</f>
      </c>
    </row>
    <row r="2" ht="270" customHeight="true">
      <c r="A2" s="28" t="s">
        <v>41</v>
      </c>
      <c r="B2" s="29" t="str">
        <f>'data'!$B$4</f>
      </c>
    </row>
    <row r="3" ht="270" customHeight="true">
      <c r="A3" s="28" t="s">
        <v>42</v>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40</v>
      </c>
    </row>
    <row r="2" ht="409" customHeight="true">
      <c r="A2" s="30" t="s">
        <v>40</v>
      </c>
    </row>
    <row r="3" ht="409" customHeight="true">
      <c r="A3" s="30" t="s">
        <v>41</v>
      </c>
    </row>
    <row r="4" ht="409" customHeight="true">
      <c r="A4" s="30" t="s">
        <v>41</v>
      </c>
    </row>
    <row r="5" ht="409" customHeight="true">
      <c r="A5" s="30" t="s">
        <v>42</v>
      </c>
    </row>
    <row r="6" ht="409" customHeight="true">
      <c r="A6" s="30" t="s">
        <v>42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