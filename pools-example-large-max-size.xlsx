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<sst xmlns="http://schemas.openxmlformats.org/spreadsheetml/2006/main" count="413" uniqueCount="413">
  <si>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</si>
  <si>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</si>
  <si>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</si>
  <si>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</si>
  <si>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</si>
  <si>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</si>
  <si>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</si>
  <si>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</si>
  <si>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</si>
  <si>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</si>
  <si>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</si>
  <si>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</si>
  <si>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</si>
  <si>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</si>
  <si>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</si>
  <si>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</si>
  <si>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</si>
  <si>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</si>
  <si>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Kaden Martin</t>
  </si>
  <si>
    <t>Team Alpha</t>
  </si>
  <si>
    <t>MARTIN</t>
  </si>
  <si>
    <t>K1</t>
  </si>
  <si>
    <t>Jane Austen</t>
  </si>
  <si>
    <t>Team Kappa</t>
  </si>
  <si>
    <t>AUSTEN</t>
  </si>
  <si>
    <t>K2</t>
  </si>
  <si>
    <t>Quirinus Quirrell</t>
  </si>
  <si>
    <t>Team Rho</t>
  </si>
  <si>
    <t>QUIRRELL</t>
  </si>
  <si>
    <t>K3</t>
  </si>
  <si>
    <t>Pool B</t>
  </si>
  <si>
    <t>Michael Lewis</t>
  </si>
  <si>
    <t>Team Gamma</t>
  </si>
  <si>
    <t>LEWIS</t>
  </si>
  <si>
    <t>K4</t>
  </si>
  <si>
    <t>Bram Stoker</t>
  </si>
  <si>
    <t>Team Beta</t>
  </si>
  <si>
    <t>STOKER</t>
  </si>
  <si>
    <t>K5</t>
  </si>
  <si>
    <t>Isaac White</t>
  </si>
  <si>
    <t>Team Iota</t>
  </si>
  <si>
    <t>WHITE</t>
  </si>
  <si>
    <t>K6</t>
  </si>
  <si>
    <t>Pool C</t>
  </si>
  <si>
    <t>Oliver Walker</t>
  </si>
  <si>
    <t>Team Epsilon</t>
  </si>
  <si>
    <t>WALKER</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</si>
  <si>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</si>
  <si>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</si>
  <si>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</si>
  <si>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</si>
  <si>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</si>
  <si>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</si>
  <si>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</si>
  <si>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</si>
  <si>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</si>
  <si>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</si>
  <si>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</si>
  <si>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</si>
  <si>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</si>
  <si>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</si>
  <si>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</si>
  <si>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</si>
  <si>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</si>
  <si>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</si>
  <si>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</si>
  <si>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</si>
  <si>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</si>
  <si>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</si>
  <si>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</si>
  <si>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</si>
  <si>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Charles Dickens</t>
  </si>
  <si>
    <t>DICKENS</t>
  </si>
  <si>
    <t>K14</t>
  </si>
  <si>
    <t>Katniss Everdeen</t>
  </si>
  <si>
    <t>Team Lambda</t>
  </si>
  <si>
    <t>EVERDEEN</t>
  </si>
  <si>
    <t>K15</t>
  </si>
  <si>
    <t>Pool F</t>
  </si>
  <si>
    <t>Samwise Gamgee</t>
  </si>
  <si>
    <t>Team Tau</t>
  </si>
  <si>
    <t>GAMGEE</t>
  </si>
  <si>
    <t>K16</t>
  </si>
  <si>
    <t>Mary Shelley</t>
  </si>
  <si>
    <t>Team Nu</t>
  </si>
  <si>
    <t>SHELLEY</t>
  </si>
  <si>
    <t>K17</t>
  </si>
  <si>
    <t>Ron Weasley</t>
  </si>
  <si>
    <t>Team Sigma</t>
  </si>
  <si>
    <t>WEASLEY</t>
  </si>
  <si>
    <t>K18</t>
  </si>
  <si>
    <t>Pool G</t>
  </si>
  <si>
    <t>Xavier Scott</t>
  </si>
  <si>
    <t>SCOTT</t>
  </si>
  <si>
    <t>K19</t>
  </si>
  <si>
    <t>Emily Bronte</t>
  </si>
  <si>
    <t>BRONTE</t>
  </si>
  <si>
    <t>K20</t>
  </si>
  <si>
    <t>Othello</t>
  </si>
  <si>
    <t>Team Omicron</t>
  </si>
  <si>
    <t>OTHELLO</t>
  </si>
  <si>
    <t>K21</t>
  </si>
  <si>
    <t>Pool H</t>
  </si>
  <si>
    <t>Ryan Hall</t>
  </si>
  <si>
    <t>Team Theta</t>
  </si>
  <si>
    <t>HALL</t>
  </si>
  <si>
    <t>K22</t>
  </si>
  <si>
    <t>Fyodor Dostoevsky</t>
  </si>
  <si>
    <t>Team Zeta</t>
  </si>
  <si>
    <t>DOSTOEVSKY</t>
  </si>
  <si>
    <t>K23</t>
  </si>
  <si>
    <t>Ygritte</t>
  </si>
  <si>
    <t>YGRITTE</t>
  </si>
  <si>
    <t>K24</t>
  </si>
  <si>
    <t>Pool I</t>
  </si>
  <si>
    <t>Quentin Allen</t>
  </si>
  <si>
    <t>ALLEN</t>
  </si>
  <si>
    <t>K25</t>
  </si>
  <si>
    <t>Neville Longbottom</t>
  </si>
  <si>
    <t>Team Xi</t>
  </si>
  <si>
    <t>LONGBOTTOM</t>
  </si>
  <si>
    <t>K26</t>
  </si>
  <si>
    <t>Virginia Woolf</t>
  </si>
  <si>
    <t>Team Chi</t>
  </si>
  <si>
    <t>WOOLF</t>
  </si>
  <si>
    <t>K27</t>
  </si>
  <si>
    <t>Pool J</t>
  </si>
  <si>
    <t>William Hill</t>
  </si>
  <si>
    <t>HILL</t>
  </si>
  <si>
    <t>K28</t>
  </si>
  <si>
    <t>Herman Melville</t>
  </si>
  <si>
    <t>MELVILLE</t>
  </si>
  <si>
    <t>K29</t>
  </si>
  <si>
    <t>Yann Martel</t>
  </si>
  <si>
    <t>MARTEL</t>
  </si>
  <si>
    <t>K30</t>
  </si>
  <si>
    <t>Pool K</t>
  </si>
  <si>
    <t>Steven Hernandez</t>
  </si>
  <si>
    <t>HERNANDEZ</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</si>
  <si>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</si>
  <si>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</si>
  <si>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</si>
  <si>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</si>
  <si>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</si>
  <si>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</si>
  <si>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</si>
  <si>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</si>
  <si>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</si>
  <si>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</si>
  <si>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</si>
  <si>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</si>
  <si>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</si>
  <si>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</si>
  <si>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</si>
  <si>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</si>
  <si>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</si>
  <si>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</si>
  <si>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</si>
  <si>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</si>
  <si>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</si>
  <si>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</si>
  <si>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George Orwell</t>
  </si>
  <si>
    <t>ORWELL</t>
  </si>
  <si>
    <t>K38</t>
  </si>
  <si>
    <t>Parker Lewis</t>
  </si>
  <si>
    <t>K39</t>
  </si>
  <si>
    <t>Pool N</t>
  </si>
  <si>
    <t>Yosef Green</t>
  </si>
  <si>
    <t>GREEN</t>
  </si>
  <si>
    <t>K40</t>
  </si>
  <si>
    <t>Mason Martinez</t>
  </si>
  <si>
    <t>MARTINEZ</t>
  </si>
  <si>
    <t>K41</t>
  </si>
  <si>
    <t>Uriel Wright</t>
  </si>
  <si>
    <t>WRIGHT</t>
  </si>
  <si>
    <t>K42</t>
  </si>
  <si>
    <t>Pool O</t>
  </si>
  <si>
    <t>Liam Thompson</t>
  </si>
  <si>
    <t>THOMPSON</t>
  </si>
  <si>
    <t>K43</t>
  </si>
  <si>
    <t>Zachary Adams</t>
  </si>
  <si>
    <t>ADAMS</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</si>
  <si>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</si>
  <si>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</si>
  <si>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</si>
  <si>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</si>
  <si>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</si>
  <si>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</si>
  <si>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</si>
  <si>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</si>
  <si>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</si>
  <si>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</si>
  <si>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</si>
  <si>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</si>
  <si>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</si>
  <si>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</si>
  <si>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</si>
  <si>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</si>
  <si>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</si>
  <si>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</si>
  <si>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</si>
  <si>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</si>
  <si>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</si>
  <si>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</si>
  <si>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</si>
  <si>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</si>
  <si>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</si>
  <si>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</si>
  <si>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</si>
  <si>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Yosef Hill</t>
  </si>
  <si>
    <t>K52</t>
  </si>
  <si>
    <t>Aaron Thompson</t>
  </si>
  <si>
    <t>K53</t>
  </si>
  <si>
    <t>Pool S</t>
  </si>
  <si>
    <t>Finn Anderson</t>
  </si>
  <si>
    <t>ANDERSON</t>
  </si>
  <si>
    <t>K54</t>
  </si>
  <si>
    <t>Luke Rodriguez</t>
  </si>
  <si>
    <t>K55</t>
  </si>
  <si>
    <t>Arthur Conan</t>
  </si>
  <si>
    <t>CONAN</t>
  </si>
  <si>
    <t>K56</t>
  </si>
  <si>
    <t>Pool T</t>
  </si>
  <si>
    <t>Hudson Jackson</t>
  </si>
  <si>
    <t>JACKSON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</si>
  <si>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</si>
  <si>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</si>
  <si>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</si>
  <si>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</si>
  <si>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</si>
  <si>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</si>
  <si>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</si>
  <si>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</si>
  <si>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</si>
  <si>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</si>
  <si>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</si>
  <si>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</si>
  <si>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</si>
  <si>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</si>
  <si>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</si>
  <si>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</si>
  <si>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</si>
  <si>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</si>
  <si>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</si>
  <si>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</si>
  <si>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</si>
  <si>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</si>
  <si>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</si>
  <si>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</si>
  <si>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</si>
  <si>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</si>
  <si>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</si>
  <si>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</si>
  <si>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</si>
  <si>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</si>
  <si>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</si>
  <si>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</si>
  <si>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</si>
  <si>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</si>
  <si>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</si>
  <si>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</si>
  <si>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</si>
  <si>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</si>
  <si>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</si>
  <si>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</si>
  <si>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</si>
  <si>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</si>
  <si>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</si>
  <si>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</si>
  <si>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Kurt Vonnegut</t>
  </si>
  <si>
    <t>VONNEGUT</t>
  </si>
  <si>
    <t>K73</t>
  </si>
  <si>
    <t>Daenerys Targaryen</t>
  </si>
  <si>
    <t>TARGARYEN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</si>
  <si>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</si>
  <si>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</si>
  <si>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</si>
  <si>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</si>
  <si>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</si>
  <si>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</si>
  <si>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</si>
  <si>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</si>
  <si>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</si>
  <si>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</si>
  <si>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</si>
  <si>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</si>
  <si>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</si>
  <si>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</si>
  <si>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</si>
  <si>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</si>
  <si>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</si>
  <si>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</si>
  <si>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</si>
  <si>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</si>
  <si>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</si>
  <si>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BB</t>
  </si>
  <si>
    <t>Moby Dick</t>
  </si>
  <si>
    <t>K81</t>
  </si>
  <si>
    <t>Quentin Blake</t>
  </si>
  <si>
    <t>BLAKE</t>
  </si>
  <si>
    <t>K82</t>
  </si>
  <si>
    <t>Eddard Stark</t>
  </si>
  <si>
    <t>STARK</t>
  </si>
  <si>
    <t>K83</t>
  </si>
  <si>
    <t>Pool CC</t>
  </si>
  <si>
    <t>Jon Snow</t>
  </si>
  <si>
    <t>SNOW</t>
  </si>
  <si>
    <t>K84</t>
  </si>
  <si>
    <t>Ray Bradbury</t>
  </si>
  <si>
    <t>BRADBURY</t>
  </si>
  <si>
    <t>K85</t>
  </si>
  <si>
    <t>Bilbo Baggins</t>
  </si>
  <si>
    <t>K86</t>
  </si>
  <si>
    <t>Pool DD</t>
  </si>
  <si>
    <t>Elijah Taylor</t>
  </si>
  <si>
    <t>TAYLOR</t>
  </si>
  <si>
    <t>K87</t>
  </si>
  <si>
    <t>Sylvia Plath</t>
  </si>
  <si>
    <t>PLATH</t>
  </si>
  <si>
    <t>K88</t>
  </si>
  <si>
    <t>Cersei Lannister</t>
  </si>
  <si>
    <t>K89</t>
  </si>
  <si>
    <t>Pool EE</t>
  </si>
  <si>
    <t>Daniel Defoe</t>
  </si>
  <si>
    <t>DEFOE</t>
  </si>
  <si>
    <t>K90</t>
  </si>
  <si>
    <t>Thomas Hardy</t>
  </si>
  <si>
    <t>HARDY</t>
  </si>
  <si>
    <t>K91</t>
  </si>
  <si>
    <t>Shiaijo A</t>
  </si>
  <si>
    <t>Shiaijo B</t>
  </si>
  <si>
    <t>White</t>
  </si>
  <si>
    <t>vs</t>
  </si>
  <si>
    <t>Red</t>
  </si>
  <si>
    <t>Results</t>
  </si>
  <si>
    <t>W</t>
  </si>
  <si>
    <t>L</t>
  </si>
  <si>
    <t>T</t>
  </si>
  <si>
    <t>PW</t>
  </si>
  <si>
    <t>PL</t>
  </si>
  <si>
    <t>Rank</t>
  </si>
  <si>
    <t>Ranking</t>
  </si>
  <si>
    <t>1.</t>
  </si>
  <si>
    <t>2.</t>
  </si>
  <si>
    <t>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</si>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</sst>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19</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32</v>
      </c>
      <c r="D16" t="s">
        <v>72</v>
      </c>
      <c r="E16" t="s">
        <v>73</v>
      </c>
    </row>
    <row r="17">
      <c r="A17" t="s">
        <v>67</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49</v>
      </c>
      <c r="D21" t="s">
        <v>93</v>
      </c>
      <c r="E21" t="s">
        <v>94</v>
      </c>
    </row>
    <row r="22">
      <c r="A22" t="s">
        <v>91</v>
      </c>
      <c r="B22" t="s">
        <v>95</v>
      </c>
      <c r="C22" t="s">
        <v>45</v>
      </c>
      <c r="D22" t="s">
        <v>96</v>
      </c>
      <c r="E22" t="s">
        <v>97</v>
      </c>
    </row>
    <row r="23">
      <c r="A23" t="s">
        <v>91</v>
      </c>
      <c r="B23" t="s">
        <v>98</v>
      </c>
      <c r="C23" t="s">
        <v>99</v>
      </c>
      <c r="D23" t="s">
        <v>100</v>
      </c>
      <c r="E23" t="s">
        <v>101</v>
      </c>
    </row>
    <row r="24">
      <c r="A24" t="s">
        <v>102</v>
      </c>
      <c r="B24" t="s">
        <v>103</v>
      </c>
      <c r="C24" t="s">
        <v>104</v>
      </c>
      <c r="D24" t="s">
        <v>105</v>
      </c>
      <c r="E24" t="s">
        <v>106</v>
      </c>
    </row>
    <row r="25">
      <c r="A25" t="s">
        <v>102</v>
      </c>
      <c r="B25" t="s">
        <v>107</v>
      </c>
      <c r="C25" t="s">
        <v>108</v>
      </c>
      <c r="D25" t="s">
        <v>109</v>
      </c>
      <c r="E25" t="s">
        <v>110</v>
      </c>
    </row>
    <row r="26">
      <c r="A26" t="s">
        <v>102</v>
      </c>
      <c r="B26" t="s">
        <v>111</v>
      </c>
      <c r="C26" t="s">
        <v>19</v>
      </c>
      <c r="D26" t="s">
        <v>112</v>
      </c>
      <c r="E26" t="s">
        <v>113</v>
      </c>
    </row>
    <row r="27">
      <c r="A27" t="s">
        <v>114</v>
      </c>
      <c r="B27" t="s">
        <v>115</v>
      </c>
      <c r="C27" t="s">
        <v>36</v>
      </c>
      <c r="D27" t="s">
        <v>116</v>
      </c>
      <c r="E27" t="s">
        <v>117</v>
      </c>
    </row>
    <row r="28">
      <c r="A28" t="s">
        <v>114</v>
      </c>
      <c r="B28" t="s">
        <v>118</v>
      </c>
      <c r="C28" t="s">
        <v>119</v>
      </c>
      <c r="D28" t="s">
        <v>120</v>
      </c>
      <c r="E28" t="s">
        <v>121</v>
      </c>
    </row>
    <row r="29">
      <c r="A29" t="s">
        <v>114</v>
      </c>
      <c r="B29" t="s">
        <v>122</v>
      </c>
      <c r="C29" t="s">
        <v>123</v>
      </c>
      <c r="D29" t="s">
        <v>124</v>
      </c>
      <c r="E29" t="s">
        <v>125</v>
      </c>
    </row>
    <row r="30">
      <c r="A30" t="s">
        <v>126</v>
      </c>
      <c r="B30" t="s">
        <v>127</v>
      </c>
      <c r="C30" t="s">
        <v>32</v>
      </c>
      <c r="D30" t="s">
        <v>128</v>
      </c>
      <c r="E30" t="s">
        <v>129</v>
      </c>
    </row>
    <row r="31">
      <c r="A31" t="s">
        <v>126</v>
      </c>
      <c r="B31" t="s">
        <v>130</v>
      </c>
      <c r="C31" t="s">
        <v>104</v>
      </c>
      <c r="D31" t="s">
        <v>131</v>
      </c>
      <c r="E31" t="s">
        <v>132</v>
      </c>
    </row>
    <row r="32">
      <c r="A32" t="s">
        <v>126</v>
      </c>
      <c r="B32" t="s">
        <v>133</v>
      </c>
      <c r="C32" t="s">
        <v>19</v>
      </c>
      <c r="D32" t="s">
        <v>134</v>
      </c>
      <c r="E32" t="s">
        <v>135</v>
      </c>
    </row>
    <row r="33">
      <c r="A33" t="s">
        <v>136</v>
      </c>
      <c r="B33" t="s">
        <v>137</v>
      </c>
      <c r="C33" t="s">
        <v>49</v>
      </c>
      <c r="D33" t="s">
        <v>138</v>
      </c>
      <c r="E33" t="s">
        <v>139</v>
      </c>
    </row>
    <row r="34">
      <c r="A34" t="s">
        <v>136</v>
      </c>
      <c r="B34" t="s">
        <v>140</v>
      </c>
      <c r="C34" t="s">
        <v>23</v>
      </c>
      <c r="D34" t="s">
        <v>141</v>
      </c>
      <c r="E34" t="s">
        <v>142</v>
      </c>
    </row>
    <row r="35">
      <c r="A35" t="s">
        <v>136</v>
      </c>
      <c r="B35" t="s">
        <v>143</v>
      </c>
      <c r="C35" t="s">
        <v>144</v>
      </c>
      <c r="D35" t="s">
        <v>145</v>
      </c>
      <c r="E35" t="s">
        <v>146</v>
      </c>
    </row>
    <row r="36">
      <c r="A36" t="s">
        <v>147</v>
      </c>
      <c r="B36" t="s">
        <v>148</v>
      </c>
      <c r="C36" t="s">
        <v>45</v>
      </c>
      <c r="D36" t="s">
        <v>149</v>
      </c>
      <c r="E36" t="s">
        <v>150</v>
      </c>
    </row>
    <row r="37">
      <c r="A37" t="s">
        <v>147</v>
      </c>
      <c r="B37" t="s">
        <v>151</v>
      </c>
      <c r="C37" t="s">
        <v>19</v>
      </c>
      <c r="D37" t="s">
        <v>138</v>
      </c>
      <c r="E37" t="s">
        <v>152</v>
      </c>
    </row>
    <row r="38">
      <c r="A38" t="s">
        <v>147</v>
      </c>
      <c r="B38" t="s">
        <v>153</v>
      </c>
      <c r="C38" t="s">
        <v>154</v>
      </c>
      <c r="D38" t="s">
        <v>155</v>
      </c>
      <c r="E38" t="s">
        <v>156</v>
      </c>
    </row>
    <row r="39">
      <c r="A39" t="s">
        <v>157</v>
      </c>
      <c r="B39" t="s">
        <v>158</v>
      </c>
      <c r="C39" t="s">
        <v>49</v>
      </c>
      <c r="D39" t="s">
        <v>159</v>
      </c>
      <c r="E39" t="s">
        <v>160</v>
      </c>
    </row>
    <row r="40">
      <c r="A40" t="s">
        <v>157</v>
      </c>
      <c r="B40" t="s">
        <v>161</v>
      </c>
      <c r="C40" t="s">
        <v>58</v>
      </c>
      <c r="D40" t="s">
        <v>162</v>
      </c>
      <c r="E40" t="s">
        <v>163</v>
      </c>
    </row>
    <row r="41">
      <c r="A41" t="s">
        <v>157</v>
      </c>
      <c r="B41" t="s">
        <v>164</v>
      </c>
      <c r="C41" t="s">
        <v>108</v>
      </c>
      <c r="D41" t="s">
        <v>33</v>
      </c>
      <c r="E41" t="s">
        <v>165</v>
      </c>
    </row>
    <row r="42">
      <c r="A42" t="s">
        <v>166</v>
      </c>
      <c r="B42" t="s">
        <v>167</v>
      </c>
      <c r="C42" t="s">
        <v>45</v>
      </c>
      <c r="D42" t="s">
        <v>168</v>
      </c>
      <c r="E42" t="s">
        <v>169</v>
      </c>
    </row>
    <row r="43">
      <c r="A43" t="s">
        <v>166</v>
      </c>
      <c r="B43" t="s">
        <v>170</v>
      </c>
      <c r="C43" t="s">
        <v>32</v>
      </c>
      <c r="D43" t="s">
        <v>171</v>
      </c>
      <c r="E43" t="s">
        <v>172</v>
      </c>
    </row>
    <row r="44">
      <c r="A44" t="s">
        <v>166</v>
      </c>
      <c r="B44" t="s">
        <v>173</v>
      </c>
      <c r="C44" t="s">
        <v>19</v>
      </c>
      <c r="D44" t="s">
        <v>174</v>
      </c>
      <c r="E44" t="s">
        <v>175</v>
      </c>
    </row>
    <row r="45">
      <c r="A45" t="s">
        <v>176</v>
      </c>
      <c r="B45" t="s">
        <v>177</v>
      </c>
      <c r="C45" t="s">
        <v>36</v>
      </c>
      <c r="D45" t="s">
        <v>178</v>
      </c>
      <c r="E45" t="s">
        <v>179</v>
      </c>
    </row>
    <row r="46">
      <c r="A46" t="s">
        <v>176</v>
      </c>
      <c r="B46" t="s">
        <v>180</v>
      </c>
      <c r="C46" t="s">
        <v>19</v>
      </c>
      <c r="D46" t="s">
        <v>181</v>
      </c>
      <c r="E46" t="s">
        <v>182</v>
      </c>
    </row>
    <row r="47">
      <c r="A47" t="s">
        <v>176</v>
      </c>
      <c r="B47" t="s">
        <v>183</v>
      </c>
      <c r="C47" t="s">
        <v>184</v>
      </c>
      <c r="D47" t="s">
        <v>185</v>
      </c>
      <c r="E47" t="s">
        <v>186</v>
      </c>
    </row>
    <row r="48">
      <c r="A48" t="s">
        <v>187</v>
      </c>
      <c r="B48" t="s">
        <v>188</v>
      </c>
      <c r="C48" t="s">
        <v>40</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144</v>
      </c>
      <c r="D51" t="s">
        <v>200</v>
      </c>
      <c r="E51" t="s">
        <v>201</v>
      </c>
    </row>
    <row r="52">
      <c r="A52" t="s">
        <v>195</v>
      </c>
      <c r="B52" t="s">
        <v>202</v>
      </c>
      <c r="C52" t="s">
        <v>154</v>
      </c>
      <c r="D52" t="s">
        <v>203</v>
      </c>
      <c r="E52" t="s">
        <v>204</v>
      </c>
    </row>
    <row r="53">
      <c r="A53" t="s">
        <v>205</v>
      </c>
      <c r="B53" t="s">
        <v>206</v>
      </c>
      <c r="C53" t="s">
        <v>49</v>
      </c>
      <c r="D53" t="s">
        <v>207</v>
      </c>
      <c r="E53" t="s">
        <v>208</v>
      </c>
    </row>
    <row r="54">
      <c r="A54" t="s">
        <v>205</v>
      </c>
      <c r="B54" t="s">
        <v>209</v>
      </c>
      <c r="C54" t="s">
        <v>45</v>
      </c>
      <c r="D54" t="s">
        <v>128</v>
      </c>
      <c r="E54" t="s">
        <v>210</v>
      </c>
    </row>
    <row r="55">
      <c r="A55" t="s">
        <v>205</v>
      </c>
      <c r="B55" t="s">
        <v>211</v>
      </c>
      <c r="C55" t="s">
        <v>19</v>
      </c>
      <c r="D55" t="s">
        <v>178</v>
      </c>
      <c r="E55" t="s">
        <v>212</v>
      </c>
    </row>
    <row r="56">
      <c r="A56" t="s">
        <v>213</v>
      </c>
      <c r="B56" t="s">
        <v>214</v>
      </c>
      <c r="C56" t="s">
        <v>108</v>
      </c>
      <c r="D56" t="s">
        <v>215</v>
      </c>
      <c r="E56" t="s">
        <v>216</v>
      </c>
    </row>
    <row r="57">
      <c r="A57" t="s">
        <v>213</v>
      </c>
      <c r="B57" t="s">
        <v>217</v>
      </c>
      <c r="C57" t="s">
        <v>36</v>
      </c>
      <c r="D57" t="s">
        <v>149</v>
      </c>
      <c r="E57" t="s">
        <v>218</v>
      </c>
    </row>
    <row r="58">
      <c r="A58" t="s">
        <v>213</v>
      </c>
      <c r="B58" t="s">
        <v>219</v>
      </c>
      <c r="C58" t="s">
        <v>19</v>
      </c>
      <c r="D58" t="s">
        <v>220</v>
      </c>
      <c r="E58" t="s">
        <v>221</v>
      </c>
    </row>
    <row r="59">
      <c r="A59" t="s">
        <v>222</v>
      </c>
      <c r="B59" t="s">
        <v>223</v>
      </c>
      <c r="C59" t="s">
        <v>104</v>
      </c>
      <c r="D59" t="s">
        <v>224</v>
      </c>
      <c r="E59" t="s">
        <v>225</v>
      </c>
    </row>
    <row r="60">
      <c r="A60" t="s">
        <v>222</v>
      </c>
      <c r="B60" t="s">
        <v>226</v>
      </c>
      <c r="C60" t="s">
        <v>32</v>
      </c>
      <c r="D60" t="s">
        <v>174</v>
      </c>
      <c r="E60" t="s">
        <v>227</v>
      </c>
    </row>
    <row r="61">
      <c r="A61" t="s">
        <v>222</v>
      </c>
      <c r="B61" t="s">
        <v>228</v>
      </c>
      <c r="C61" t="s">
        <v>192</v>
      </c>
      <c r="D61" t="s">
        <v>229</v>
      </c>
      <c r="E61" t="s">
        <v>230</v>
      </c>
    </row>
    <row r="62">
      <c r="A62" t="s">
        <v>231</v>
      </c>
      <c r="B62" t="s">
        <v>232</v>
      </c>
      <c r="C62" t="s">
        <v>19</v>
      </c>
      <c r="D62" t="s">
        <v>105</v>
      </c>
      <c r="E62" t="s">
        <v>233</v>
      </c>
    </row>
    <row r="63">
      <c r="A63" t="s">
        <v>231</v>
      </c>
      <c r="B63" t="s">
        <v>234</v>
      </c>
      <c r="C63" t="s">
        <v>58</v>
      </c>
      <c r="D63" t="s">
        <v>46</v>
      </c>
      <c r="E63" t="s">
        <v>235</v>
      </c>
    </row>
    <row r="64">
      <c r="A64" t="s">
        <v>231</v>
      </c>
      <c r="B64" t="s">
        <v>236</v>
      </c>
      <c r="C64" t="s">
        <v>123</v>
      </c>
      <c r="D64" t="s">
        <v>237</v>
      </c>
      <c r="E64" t="s">
        <v>238</v>
      </c>
    </row>
    <row r="65">
      <c r="A65" t="s">
        <v>239</v>
      </c>
      <c r="B65" t="s">
        <v>240</v>
      </c>
      <c r="C65" t="s">
        <v>45</v>
      </c>
      <c r="D65" t="s">
        <v>241</v>
      </c>
      <c r="E65" t="s">
        <v>242</v>
      </c>
    </row>
    <row r="66">
      <c r="A66" t="s">
        <v>239</v>
      </c>
      <c r="B66" t="s">
        <v>243</v>
      </c>
      <c r="C66" t="s">
        <v>49</v>
      </c>
      <c r="D66" t="s">
        <v>69</v>
      </c>
      <c r="E66" t="s">
        <v>244</v>
      </c>
    </row>
    <row r="67">
      <c r="A67" t="s">
        <v>239</v>
      </c>
      <c r="B67" t="s">
        <v>245</v>
      </c>
      <c r="C67" t="s">
        <v>104</v>
      </c>
      <c r="D67" t="s">
        <v>246</v>
      </c>
      <c r="E67" t="s">
        <v>247</v>
      </c>
    </row>
    <row r="68">
      <c r="A68" t="s">
        <v>248</v>
      </c>
      <c r="B68" t="s">
        <v>249</v>
      </c>
      <c r="C68" t="s">
        <v>32</v>
      </c>
      <c r="D68" t="s">
        <v>141</v>
      </c>
      <c r="E68" t="s">
        <v>250</v>
      </c>
    </row>
    <row r="69">
      <c r="A69" t="s">
        <v>248</v>
      </c>
      <c r="B69" t="s">
        <v>251</v>
      </c>
      <c r="C69" t="s">
        <v>36</v>
      </c>
      <c r="D69" t="s">
        <v>241</v>
      </c>
      <c r="E69" t="s">
        <v>252</v>
      </c>
    </row>
    <row r="70">
      <c r="A70" t="s">
        <v>248</v>
      </c>
      <c r="B70" t="s">
        <v>253</v>
      </c>
      <c r="C70" t="s">
        <v>19</v>
      </c>
      <c r="D70" t="s">
        <v>254</v>
      </c>
      <c r="E70" t="s">
        <v>255</v>
      </c>
    </row>
    <row r="71">
      <c r="A71" t="s">
        <v>256</v>
      </c>
      <c r="B71" t="s">
        <v>257</v>
      </c>
      <c r="C71" t="s">
        <v>23</v>
      </c>
      <c r="D71" t="s">
        <v>258</v>
      </c>
      <c r="E71" t="s">
        <v>259</v>
      </c>
    </row>
    <row r="72">
      <c r="A72" t="s">
        <v>256</v>
      </c>
      <c r="B72" t="s">
        <v>260</v>
      </c>
      <c r="C72" t="s">
        <v>119</v>
      </c>
      <c r="D72" t="s">
        <v>261</v>
      </c>
      <c r="E72" t="s">
        <v>262</v>
      </c>
    </row>
    <row r="73">
      <c r="A73" t="s">
        <v>256</v>
      </c>
      <c r="B73" t="s">
        <v>263</v>
      </c>
      <c r="C73" t="s">
        <v>40</v>
      </c>
      <c r="D73" t="s">
        <v>264</v>
      </c>
      <c r="E73" t="s">
        <v>265</v>
      </c>
    </row>
    <row r="74">
      <c r="A74" t="s">
        <v>266</v>
      </c>
      <c r="B74" t="s">
        <v>267</v>
      </c>
      <c r="C74" t="s">
        <v>40</v>
      </c>
      <c r="D74" t="s">
        <v>116</v>
      </c>
      <c r="E74" t="s">
        <v>268</v>
      </c>
    </row>
    <row r="75">
      <c r="A75" t="s">
        <v>266</v>
      </c>
      <c r="B75" t="s">
        <v>269</v>
      </c>
      <c r="C75" t="s">
        <v>75</v>
      </c>
      <c r="D75" t="s">
        <v>270</v>
      </c>
      <c r="E75" t="s">
        <v>271</v>
      </c>
    </row>
    <row r="76">
      <c r="A76" t="s">
        <v>266</v>
      </c>
      <c r="B76" t="s">
        <v>272</v>
      </c>
      <c r="C76" t="s">
        <v>49</v>
      </c>
      <c r="D76" t="s">
        <v>273</v>
      </c>
      <c r="E76" t="s">
        <v>274</v>
      </c>
    </row>
    <row r="77">
      <c r="A77" t="s">
        <v>275</v>
      </c>
      <c r="B77" t="s">
        <v>276</v>
      </c>
      <c r="C77" t="s">
        <v>32</v>
      </c>
      <c r="D77" t="s">
        <v>277</v>
      </c>
      <c r="E77" t="s">
        <v>278</v>
      </c>
    </row>
    <row r="78">
      <c r="A78" t="s">
        <v>275</v>
      </c>
      <c r="B78" t="s">
        <v>279</v>
      </c>
      <c r="C78" t="s">
        <v>99</v>
      </c>
      <c r="D78" t="s">
        <v>280</v>
      </c>
      <c r="E78" t="s">
        <v>281</v>
      </c>
    </row>
    <row r="79">
      <c r="A79" t="s">
        <v>275</v>
      </c>
      <c r="B79" t="s">
        <v>282</v>
      </c>
      <c r="C79" t="s">
        <v>58</v>
      </c>
      <c r="D79" t="s">
        <v>283</v>
      </c>
      <c r="E79" t="s">
        <v>284</v>
      </c>
    </row>
    <row r="80">
      <c r="A80" t="s">
        <v>285</v>
      </c>
      <c r="B80" t="s">
        <v>286</v>
      </c>
      <c r="C80" t="s">
        <v>36</v>
      </c>
      <c r="D80" t="s">
        <v>287</v>
      </c>
      <c r="E80" t="s">
        <v>288</v>
      </c>
    </row>
    <row r="81">
      <c r="A81" t="s">
        <v>285</v>
      </c>
      <c r="B81" t="s">
        <v>289</v>
      </c>
      <c r="C81" t="s">
        <v>53</v>
      </c>
      <c r="D81" t="s">
        <v>290</v>
      </c>
      <c r="E81" t="s">
        <v>291</v>
      </c>
    </row>
    <row r="82">
      <c r="A82" t="s">
        <v>285</v>
      </c>
      <c r="B82" t="s">
        <v>292</v>
      </c>
      <c r="C82" t="s">
        <v>108</v>
      </c>
      <c r="D82" t="s">
        <v>293</v>
      </c>
      <c r="E82" t="s">
        <v>294</v>
      </c>
    </row>
    <row r="83">
      <c r="A83" t="s">
        <v>295</v>
      </c>
      <c r="B83" t="s">
        <v>296</v>
      </c>
      <c r="C83" t="s">
        <v>84</v>
      </c>
      <c r="D83" t="s">
        <v>290</v>
      </c>
      <c r="E83" t="s">
        <v>297</v>
      </c>
    </row>
    <row r="84">
      <c r="A84" t="s">
        <v>295</v>
      </c>
      <c r="B84" t="s">
        <v>298</v>
      </c>
      <c r="C84" t="s">
        <v>27</v>
      </c>
      <c r="D84" t="s">
        <v>299</v>
      </c>
      <c r="E84" t="s">
        <v>300</v>
      </c>
    </row>
    <row r="85">
      <c r="A85" t="s">
        <v>295</v>
      </c>
      <c r="B85" t="s">
        <v>301</v>
      </c>
      <c r="C85" t="s">
        <v>45</v>
      </c>
      <c r="D85" t="s">
        <v>302</v>
      </c>
      <c r="E85" t="s">
        <v>303</v>
      </c>
    </row>
    <row r="86">
      <c r="A86" t="s">
        <v>304</v>
      </c>
      <c r="B86" t="s">
        <v>305</v>
      </c>
      <c r="C86" t="s">
        <v>23</v>
      </c>
      <c r="D86" t="s">
        <v>306</v>
      </c>
      <c r="E86" t="s">
        <v>307</v>
      </c>
    </row>
    <row r="87">
      <c r="A87" t="s">
        <v>304</v>
      </c>
      <c r="B87" t="s">
        <v>308</v>
      </c>
      <c r="C87" t="s">
        <v>88</v>
      </c>
      <c r="D87" t="s">
        <v>309</v>
      </c>
      <c r="E87" t="s">
        <v>310</v>
      </c>
    </row>
    <row r="88">
      <c r="A88" t="s">
        <v>304</v>
      </c>
      <c r="B88" t="s">
        <v>311</v>
      </c>
      <c r="C88" t="s">
        <v>36</v>
      </c>
      <c r="D88" t="s">
        <v>293</v>
      </c>
      <c r="E88" t="s">
        <v>312</v>
      </c>
    </row>
    <row r="89">
      <c r="A89" t="s">
        <v>313</v>
      </c>
      <c r="B89" t="s">
        <v>314</v>
      </c>
      <c r="C89" t="s">
        <v>45</v>
      </c>
      <c r="D89" t="s">
        <v>315</v>
      </c>
      <c r="E89" t="s">
        <v>316</v>
      </c>
    </row>
    <row r="90">
      <c r="A90" t="s">
        <v>313</v>
      </c>
      <c r="B90" t="s">
        <v>317</v>
      </c>
      <c r="C90" t="s">
        <v>80</v>
      </c>
      <c r="D90" t="s">
        <v>318</v>
      </c>
      <c r="E90" t="s">
        <v>319</v>
      </c>
    </row>
    <row r="91">
      <c r="A91" t="s">
        <v>313</v>
      </c>
      <c r="B91" t="s">
        <v>320</v>
      </c>
      <c r="C91" t="s">
        <v>32</v>
      </c>
      <c r="D91" t="s">
        <v>65</v>
      </c>
      <c r="E91" t="s">
        <v>321</v>
      </c>
    </row>
    <row r="92">
      <c r="A92" t="s">
        <v>322</v>
      </c>
      <c r="B92" t="s">
        <v>323</v>
      </c>
      <c r="C92" t="s">
        <v>49</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406</v>
      </c>
      <c r="F13" s="13"/>
      <c r="G13" s="13"/>
      <c r="H13" s="13"/>
    </row>
    <row r="14">
      <c r="A14">
        <v>2</v>
      </c>
      <c r="E14" s="32" t="s">
        <v>407</v>
      </c>
      <c r="F14" s="32"/>
      <c r="G14" s="32"/>
      <c r="H14" s="31" t="str">
        <f>H2</f>
      </c>
    </row>
    <row r="15">
      <c r="E15" s="32" t="s">
        <v>408</v>
      </c>
      <c r="F15" s="32"/>
      <c r="G15" s="32"/>
      <c r="H15" s="31" t="str">
        <f>H8</f>
      </c>
    </row>
    <row r="16">
      <c r="E16" s="32" t="s">
        <v>409</v>
      </c>
      <c r="F16" s="32"/>
      <c r="G16" s="32"/>
      <c r="H16" s="31" t="str">
        <f>H14+H15</f>
      </c>
    </row>
    <row r="17">
      <c r="E17" s="32" t="s">
        <v>410</v>
      </c>
      <c r="F17" s="32"/>
      <c r="G17" s="32"/>
      <c r="H17" s="31" t="str">
        <f>H16/A14</f>
      </c>
    </row>
    <row r="18">
      <c r="E18" s="13" t="s">
        <v>411</v>
      </c>
      <c r="F18" s="13"/>
      <c r="G18" s="13"/>
      <c r="H18" s="33">
        <v>0.375</v>
      </c>
    </row>
    <row r="19">
      <c r="E19" s="13" t="s">
        <v>412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D3" s="14" t="s">
        <v>332</v>
      </c>
      <c r="G3" s="16" t="s">
        <v>333</v>
      </c>
      <c r="I3" s="17" t="s">
        <v>331</v>
      </c>
      <c r="L3" s="14" t="s">
        <v>332</v>
      </c>
      <c r="O3" s="16" t="s">
        <v>333</v>
      </c>
    </row>
    <row r="4">
      <c r="A4" s="14" t="str">
        <f>data!$E$4&amp;" "&amp;data!$B$4</f>
      </c>
      <c r="B4" s="18"/>
      <c r="C4" s="18"/>
      <c r="D4" s="18"/>
      <c r="E4" s="18"/>
      <c r="F4" s="18"/>
      <c r="G4" s="14" t="str">
        <f>data!$E$3&amp;" "&amp;data!$B$3</f>
      </c>
      <c r="I4" s="14" t="str">
        <f>data!$E$51&amp;" "&amp;data!$B$51</f>
      </c>
      <c r="J4" s="18"/>
      <c r="K4" s="18"/>
      <c r="L4" s="18"/>
      <c r="M4" s="18"/>
      <c r="N4" s="18"/>
      <c r="O4" s="14" t="str">
        <f>data!$E$50&amp;" "&amp;data!$B$50</f>
      </c>
    </row>
    <row r="5">
      <c r="A5" s="14" t="str">
        <f>data!$E$5&amp;" "&amp;data!$B$5</f>
      </c>
      <c r="B5" s="18"/>
      <c r="C5" s="18"/>
      <c r="D5" s="18"/>
      <c r="E5" s="18"/>
      <c r="F5" s="18"/>
      <c r="G5" s="14" t="str">
        <f>data!$E$3&amp;" "&amp;data!$B$3</f>
      </c>
      <c r="I5" s="14" t="str">
        <f>data!$E$52&amp;" "&amp;data!$B$52</f>
      </c>
      <c r="J5" s="18"/>
      <c r="K5" s="18"/>
      <c r="L5" s="18"/>
      <c r="M5" s="18"/>
      <c r="N5" s="18"/>
      <c r="O5" s="14" t="str">
        <f>data!$E$50&amp;" "&amp;data!$B$50</f>
      </c>
    </row>
    <row r="6">
      <c r="A6" s="14" t="str">
        <f>data!$E$5&amp;" "&amp;data!$B$5</f>
      </c>
      <c r="B6" s="18"/>
      <c r="C6" s="18"/>
      <c r="D6" s="18"/>
      <c r="E6" s="18"/>
      <c r="F6" s="18"/>
      <c r="G6" s="14" t="str">
        <f>data!$E$4&amp;" "&amp;data!$B$4</f>
      </c>
      <c r="I6" s="14" t="str">
        <f>data!$E$52&amp;" "&amp;data!$B$52</f>
      </c>
      <c r="J6" s="18"/>
      <c r="K6" s="18"/>
      <c r="L6" s="18"/>
      <c r="M6" s="18"/>
      <c r="N6" s="18"/>
      <c r="O6" s="14" t="str">
        <f>data!$E$51&amp;" "&amp;data!$B$51</f>
      </c>
    </row>
    <row r="8">
      <c r="A8" s="13" t="s">
        <v>334</v>
      </c>
      <c r="B8" s="13" t="s">
        <v>335</v>
      </c>
      <c r="C8" s="13" t="s">
        <v>336</v>
      </c>
      <c r="D8" s="13" t="s">
        <v>337</v>
      </c>
      <c r="E8" s="13" t="s">
        <v>338</v>
      </c>
      <c r="F8" s="13" t="s">
        <v>339</v>
      </c>
      <c r="G8" s="13" t="s">
        <v>340</v>
      </c>
      <c r="I8" s="13" t="s">
        <v>334</v>
      </c>
      <c r="J8" s="13" t="s">
        <v>335</v>
      </c>
      <c r="K8" s="13" t="s">
        <v>336</v>
      </c>
      <c r="L8" s="13" t="s">
        <v>337</v>
      </c>
      <c r="M8" s="13" t="s">
        <v>338</v>
      </c>
      <c r="N8" s="13" t="s">
        <v>339</v>
      </c>
      <c r="O8" s="13" t="s">
        <v>340</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data!$E$50&amp;" "&amp;data!$B$50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data!$E$51&amp;" "&amp;data!$B$51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data!$E$52&amp;" "&amp;data!$B$52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341</v>
      </c>
      <c r="N14" s="13"/>
      <c r="O14" s="13" t="s">
        <v>341</v>
      </c>
    </row>
    <row r="15">
      <c r="F15" t="s">
        <v>342</v>
      </c>
      <c r="G15" s="19" t="str">
        <f>IFERROR(INDEX($A$9:$A$11, MATCH(1, $G$9:$G$11, 0)), "-")</f>
      </c>
      <c r="N15" t="s">
        <v>342</v>
      </c>
      <c r="O15" s="19" t="str">
        <f>IFERROR(INDEX($I$9:$I$11, MATCH(1, $O$9:$O$11, 0)), "-")</f>
      </c>
    </row>
    <row r="16">
      <c r="F16" t="s">
        <v>343</v>
      </c>
      <c r="G16" s="19" t="str">
        <f>IFERROR(INDEX($A$9:$A$11, MATCH(2, $G$9:$G$11, 0)), "-")</f>
      </c>
      <c r="N16" t="s">
        <v>343</v>
      </c>
      <c r="O16" s="19" t="str">
        <f>IFERROR(INDEX($I$9:$I$11, MATCH(2, $O$9:$O$11, 0)), "-")</f>
      </c>
    </row>
    <row r="17">
      <c r="F17" t="s">
        <v>344</v>
      </c>
      <c r="G17" s="19" t="str">
        <f>IFERROR(INDEX($A$9:$A$11, MATCH(3, $G$9:$G$11, 0)), "-")</f>
      </c>
      <c r="N17" t="s">
        <v>344</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331</v>
      </c>
      <c r="D20" s="14" t="s">
        <v>332</v>
      </c>
      <c r="G20" s="16" t="s">
        <v>333</v>
      </c>
      <c r="I20" s="17" t="s">
        <v>331</v>
      </c>
      <c r="L20" s="14" t="s">
        <v>332</v>
      </c>
      <c r="O20" s="16" t="s">
        <v>333</v>
      </c>
    </row>
    <row r="21">
      <c r="A21" s="14" t="str">
        <f>data!$E$7&amp;" "&amp;data!$B$7</f>
      </c>
      <c r="B21" s="18"/>
      <c r="C21" s="18"/>
      <c r="D21" s="18"/>
      <c r="E21" s="18"/>
      <c r="F21" s="18"/>
      <c r="G21" s="14" t="str">
        <f>data!$E$6&amp;" "&amp;data!$B$6</f>
      </c>
      <c r="I21" s="14" t="str">
        <f>data!$E$54&amp;" "&amp;data!$B$54</f>
      </c>
      <c r="J21" s="18"/>
      <c r="K21" s="18"/>
      <c r="L21" s="18"/>
      <c r="M21" s="18"/>
      <c r="N21" s="18"/>
      <c r="O21" s="14" t="str">
        <f>data!$E$53&amp;" "&amp;data!$B$53</f>
      </c>
    </row>
    <row r="22">
      <c r="A22" s="14" t="str">
        <f>data!$E$8&amp;" "&amp;data!$B$8</f>
      </c>
      <c r="B22" s="18"/>
      <c r="C22" s="18"/>
      <c r="D22" s="18"/>
      <c r="E22" s="18"/>
      <c r="F22" s="18"/>
      <c r="G22" s="14" t="str">
        <f>data!$E$6&amp;" "&amp;data!$B$6</f>
      </c>
      <c r="I22" s="14" t="str">
        <f>data!$E$55&amp;" "&amp;data!$B$55</f>
      </c>
      <c r="J22" s="18"/>
      <c r="K22" s="18"/>
      <c r="L22" s="18"/>
      <c r="M22" s="18"/>
      <c r="N22" s="18"/>
      <c r="O22" s="14" t="str">
        <f>data!$E$53&amp;" "&amp;data!$B$53</f>
      </c>
    </row>
    <row r="23">
      <c r="A23" s="14" t="str">
        <f>data!$E$8&amp;" "&amp;data!$B$8</f>
      </c>
      <c r="B23" s="18"/>
      <c r="C23" s="18"/>
      <c r="D23" s="18"/>
      <c r="E23" s="18"/>
      <c r="F23" s="18"/>
      <c r="G23" s="14" t="str">
        <f>data!$E$7&amp;" "&amp;data!$B$7</f>
      </c>
      <c r="I23" s="14" t="str">
        <f>data!$E$55&amp;" "&amp;data!$B$55</f>
      </c>
      <c r="J23" s="18"/>
      <c r="K23" s="18"/>
      <c r="L23" s="18"/>
      <c r="M23" s="18"/>
      <c r="N23" s="18"/>
      <c r="O23" s="14" t="str">
        <f>data!$E$54&amp;" "&amp;data!$B$54</f>
      </c>
    </row>
    <row r="25">
      <c r="A25" s="13" t="s">
        <v>334</v>
      </c>
      <c r="B25" s="13" t="s">
        <v>335</v>
      </c>
      <c r="C25" s="13" t="s">
        <v>336</v>
      </c>
      <c r="D25" s="13" t="s">
        <v>337</v>
      </c>
      <c r="E25" s="13" t="s">
        <v>338</v>
      </c>
      <c r="F25" s="13" t="s">
        <v>339</v>
      </c>
      <c r="G25" s="13" t="s">
        <v>340</v>
      </c>
      <c r="I25" s="13" t="s">
        <v>334</v>
      </c>
      <c r="J25" s="13" t="s">
        <v>335</v>
      </c>
      <c r="K25" s="13" t="s">
        <v>336</v>
      </c>
      <c r="L25" s="13" t="s">
        <v>337</v>
      </c>
      <c r="M25" s="13" t="s">
        <v>338</v>
      </c>
      <c r="N25" s="13" t="s">
        <v>339</v>
      </c>
      <c r="O25" s="13" t="s">
        <v>340</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data!$E$53&amp;" "&amp;data!$B$53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data!$E$54&amp;" "&amp;data!$B$54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data!$E$55&amp;" "&amp;data!$B$55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341</v>
      </c>
      <c r="N31" s="13"/>
      <c r="O31" s="13" t="s">
        <v>341</v>
      </c>
    </row>
    <row r="32">
      <c r="F32" t="s">
        <v>342</v>
      </c>
      <c r="G32" s="19" t="str">
        <f>IFERROR(INDEX($A$26:$A$28, MATCH(1, $G$26:$G$28, 0)), "-")</f>
      </c>
      <c r="N32" t="s">
        <v>342</v>
      </c>
      <c r="O32" s="19" t="str">
        <f>IFERROR(INDEX($I$26:$I$28, MATCH(1, $O$26:$O$28, 0)), "-")</f>
      </c>
    </row>
    <row r="33">
      <c r="F33" t="s">
        <v>343</v>
      </c>
      <c r="G33" s="19" t="str">
        <f>IFERROR(INDEX($A$26:$A$28, MATCH(2, $G$26:$G$28, 0)), "-")</f>
      </c>
      <c r="N33" t="s">
        <v>343</v>
      </c>
      <c r="O33" s="19" t="str">
        <f>IFERROR(INDEX($I$26:$I$28, MATCH(2, $O$26:$O$28, 0)), "-")</f>
      </c>
    </row>
    <row r="34">
      <c r="F34" t="s">
        <v>344</v>
      </c>
      <c r="G34" s="19" t="str">
        <f>IFERROR(INDEX($A$26:$A$28, MATCH(3, $G$26:$G$28, 0)), "-")</f>
      </c>
      <c r="N34" t="s">
        <v>344</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331</v>
      </c>
      <c r="D37" s="14" t="s">
        <v>332</v>
      </c>
      <c r="G37" s="16" t="s">
        <v>333</v>
      </c>
      <c r="I37" s="17" t="s">
        <v>331</v>
      </c>
      <c r="L37" s="14" t="s">
        <v>332</v>
      </c>
      <c r="O37" s="16" t="s">
        <v>333</v>
      </c>
    </row>
    <row r="38">
      <c r="A38" s="14" t="str">
        <f>data!$E$10&amp;" "&amp;data!$B$10</f>
      </c>
      <c r="B38" s="18"/>
      <c r="C38" s="18"/>
      <c r="D38" s="18"/>
      <c r="E38" s="18"/>
      <c r="F38" s="18"/>
      <c r="G38" s="14" t="str">
        <f>data!$E$9&amp;" "&amp;data!$B$9</f>
      </c>
      <c r="I38" s="14" t="str">
        <f>data!$E$57&amp;" "&amp;data!$B$57</f>
      </c>
      <c r="J38" s="18"/>
      <c r="K38" s="18"/>
      <c r="L38" s="18"/>
      <c r="M38" s="18"/>
      <c r="N38" s="18"/>
      <c r="O38" s="14" t="str">
        <f>data!$E$56&amp;" "&amp;data!$B$56</f>
      </c>
    </row>
    <row r="39">
      <c r="A39" s="14" t="str">
        <f>data!$E$11&amp;" "&amp;data!$B$11</f>
      </c>
      <c r="B39" s="18"/>
      <c r="C39" s="18"/>
      <c r="D39" s="18"/>
      <c r="E39" s="18"/>
      <c r="F39" s="18"/>
      <c r="G39" s="14" t="str">
        <f>data!$E$9&amp;" "&amp;data!$B$9</f>
      </c>
      <c r="I39" s="14" t="str">
        <f>data!$E$58&amp;" "&amp;data!$B$58</f>
      </c>
      <c r="J39" s="18"/>
      <c r="K39" s="18"/>
      <c r="L39" s="18"/>
      <c r="M39" s="18"/>
      <c r="N39" s="18"/>
      <c r="O39" s="14" t="str">
        <f>data!$E$56&amp;" "&amp;data!$B$56</f>
      </c>
    </row>
    <row r="40">
      <c r="A40" s="14" t="str">
        <f>data!$E$11&amp;" "&amp;data!$B$11</f>
      </c>
      <c r="B40" s="18"/>
      <c r="C40" s="18"/>
      <c r="D40" s="18"/>
      <c r="E40" s="18"/>
      <c r="F40" s="18"/>
      <c r="G40" s="14" t="str">
        <f>data!$E$10&amp;" "&amp;data!$B$10</f>
      </c>
      <c r="I40" s="14" t="str">
        <f>data!$E$58&amp;" "&amp;data!$B$58</f>
      </c>
      <c r="J40" s="18"/>
      <c r="K40" s="18"/>
      <c r="L40" s="18"/>
      <c r="M40" s="18"/>
      <c r="N40" s="18"/>
      <c r="O40" s="14" t="str">
        <f>data!$E$57&amp;" "&amp;data!$B$57</f>
      </c>
    </row>
    <row r="42">
      <c r="A42" s="13" t="s">
        <v>334</v>
      </c>
      <c r="B42" s="13" t="s">
        <v>335</v>
      </c>
      <c r="C42" s="13" t="s">
        <v>336</v>
      </c>
      <c r="D42" s="13" t="s">
        <v>337</v>
      </c>
      <c r="E42" s="13" t="s">
        <v>338</v>
      </c>
      <c r="F42" s="13" t="s">
        <v>339</v>
      </c>
      <c r="G42" s="13" t="s">
        <v>340</v>
      </c>
      <c r="I42" s="13" t="s">
        <v>334</v>
      </c>
      <c r="J42" s="13" t="s">
        <v>335</v>
      </c>
      <c r="K42" s="13" t="s">
        <v>336</v>
      </c>
      <c r="L42" s="13" t="s">
        <v>337</v>
      </c>
      <c r="M42" s="13" t="s">
        <v>338</v>
      </c>
      <c r="N42" s="13" t="s">
        <v>339</v>
      </c>
      <c r="O42" s="13" t="s">
        <v>340</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data!$E$56&amp;" "&amp;data!$B$56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data!$E$57&amp;" "&amp;data!$B$57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data!$E$58&amp;" "&amp;data!$B$58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341</v>
      </c>
      <c r="N48" s="13"/>
      <c r="O48" s="13" t="s">
        <v>341</v>
      </c>
    </row>
    <row r="49">
      <c r="F49" t="s">
        <v>342</v>
      </c>
      <c r="G49" s="19" t="str">
        <f>IFERROR(INDEX($A$43:$A$45, MATCH(1, $G$43:$G$45, 0)), "-")</f>
      </c>
      <c r="N49" t="s">
        <v>342</v>
      </c>
      <c r="O49" s="19" t="str">
        <f>IFERROR(INDEX($I$43:$I$45, MATCH(1, $O$43:$O$45, 0)), "-")</f>
      </c>
    </row>
    <row r="50">
      <c r="F50" t="s">
        <v>343</v>
      </c>
      <c r="G50" s="19" t="str">
        <f>IFERROR(INDEX($A$43:$A$45, MATCH(2, $G$43:$G$45, 0)), "-")</f>
      </c>
      <c r="N50" t="s">
        <v>343</v>
      </c>
      <c r="O50" s="19" t="str">
        <f>IFERROR(INDEX($I$43:$I$45, MATCH(2, $O$43:$O$45, 0)), "-")</f>
      </c>
    </row>
    <row r="51">
      <c r="F51" t="s">
        <v>344</v>
      </c>
      <c r="G51" s="19" t="str">
        <f>IFERROR(INDEX($A$43:$A$45, MATCH(3, $G$43:$G$45, 0)), "-")</f>
      </c>
      <c r="N51" t="s">
        <v>344</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331</v>
      </c>
      <c r="D54" s="14" t="s">
        <v>332</v>
      </c>
      <c r="G54" s="16" t="s">
        <v>333</v>
      </c>
      <c r="I54" s="17" t="s">
        <v>331</v>
      </c>
      <c r="L54" s="14" t="s">
        <v>332</v>
      </c>
      <c r="O54" s="16" t="s">
        <v>333</v>
      </c>
    </row>
    <row r="55">
      <c r="A55" s="14" t="str">
        <f>data!$E$13&amp;" "&amp;data!$B$13</f>
      </c>
      <c r="B55" s="18"/>
      <c r="C55" s="18"/>
      <c r="D55" s="18"/>
      <c r="E55" s="18"/>
      <c r="F55" s="18"/>
      <c r="G55" s="14" t="str">
        <f>data!$E$12&amp;" "&amp;data!$B$12</f>
      </c>
      <c r="I55" s="14" t="str">
        <f>data!$E$60&amp;" "&amp;data!$B$60</f>
      </c>
      <c r="J55" s="18"/>
      <c r="K55" s="18"/>
      <c r="L55" s="18"/>
      <c r="M55" s="18"/>
      <c r="N55" s="18"/>
      <c r="O55" s="14" t="str">
        <f>data!$E$59&amp;" "&amp;data!$B$59</f>
      </c>
    </row>
    <row r="56">
      <c r="A56" s="14" t="str">
        <f>data!$E$14&amp;" "&amp;data!$B$14</f>
      </c>
      <c r="B56" s="18"/>
      <c r="C56" s="18"/>
      <c r="D56" s="18"/>
      <c r="E56" s="18"/>
      <c r="F56" s="18"/>
      <c r="G56" s="14" t="str">
        <f>data!$E$12&amp;" "&amp;data!$B$12</f>
      </c>
      <c r="I56" s="14" t="str">
        <f>data!$E$61&amp;" "&amp;data!$B$61</f>
      </c>
      <c r="J56" s="18"/>
      <c r="K56" s="18"/>
      <c r="L56" s="18"/>
      <c r="M56" s="18"/>
      <c r="N56" s="18"/>
      <c r="O56" s="14" t="str">
        <f>data!$E$59&amp;" "&amp;data!$B$59</f>
      </c>
    </row>
    <row r="57">
      <c r="A57" s="14" t="str">
        <f>data!$E$14&amp;" "&amp;data!$B$14</f>
      </c>
      <c r="B57" s="18"/>
      <c r="C57" s="18"/>
      <c r="D57" s="18"/>
      <c r="E57" s="18"/>
      <c r="F57" s="18"/>
      <c r="G57" s="14" t="str">
        <f>data!$E$13&amp;" "&amp;data!$B$13</f>
      </c>
      <c r="I57" s="14" t="str">
        <f>data!$E$61&amp;" "&amp;data!$B$61</f>
      </c>
      <c r="J57" s="18"/>
      <c r="K57" s="18"/>
      <c r="L57" s="18"/>
      <c r="M57" s="18"/>
      <c r="N57" s="18"/>
      <c r="O57" s="14" t="str">
        <f>data!$E$60&amp;" "&amp;data!$B$60</f>
      </c>
    </row>
    <row r="59">
      <c r="A59" s="13" t="s">
        <v>334</v>
      </c>
      <c r="B59" s="13" t="s">
        <v>335</v>
      </c>
      <c r="C59" s="13" t="s">
        <v>336</v>
      </c>
      <c r="D59" s="13" t="s">
        <v>337</v>
      </c>
      <c r="E59" s="13" t="s">
        <v>338</v>
      </c>
      <c r="F59" s="13" t="s">
        <v>339</v>
      </c>
      <c r="G59" s="13" t="s">
        <v>340</v>
      </c>
      <c r="I59" s="13" t="s">
        <v>334</v>
      </c>
      <c r="J59" s="13" t="s">
        <v>335</v>
      </c>
      <c r="K59" s="13" t="s">
        <v>336</v>
      </c>
      <c r="L59" s="13" t="s">
        <v>337</v>
      </c>
      <c r="M59" s="13" t="s">
        <v>338</v>
      </c>
      <c r="N59" s="13" t="s">
        <v>339</v>
      </c>
      <c r="O59" s="13" t="s">
        <v>340</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data!$E$59&amp;" "&amp;data!$B$59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data!$E$60&amp;" "&amp;data!$B$60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data!$E$61&amp;" "&amp;data!$B$61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341</v>
      </c>
      <c r="N65" s="13"/>
      <c r="O65" s="13" t="s">
        <v>341</v>
      </c>
    </row>
    <row r="66">
      <c r="F66" t="s">
        <v>342</v>
      </c>
      <c r="G66" s="19" t="str">
        <f>IFERROR(INDEX($A$60:$A$62, MATCH(1, $G$60:$G$62, 0)), "-")</f>
      </c>
      <c r="N66" t="s">
        <v>342</v>
      </c>
      <c r="O66" s="19" t="str">
        <f>IFERROR(INDEX($I$60:$I$62, MATCH(1, $O$60:$O$62, 0)), "-")</f>
      </c>
    </row>
    <row r="67">
      <c r="F67" t="s">
        <v>343</v>
      </c>
      <c r="G67" s="19" t="str">
        <f>IFERROR(INDEX($A$60:$A$62, MATCH(2, $G$60:$G$62, 0)), "-")</f>
      </c>
      <c r="N67" t="s">
        <v>343</v>
      </c>
      <c r="O67" s="19" t="str">
        <f>IFERROR(INDEX($I$60:$I$62, MATCH(2, $O$60:$O$62, 0)), "-")</f>
      </c>
    </row>
    <row r="68">
      <c r="F68" t="s">
        <v>344</v>
      </c>
      <c r="G68" s="19" t="str">
        <f>IFERROR(INDEX($A$60:$A$62, MATCH(3, $G$60:$G$62, 0)), "-")</f>
      </c>
      <c r="N68" t="s">
        <v>344</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331</v>
      </c>
      <c r="D71" s="14" t="s">
        <v>332</v>
      </c>
      <c r="G71" s="16" t="s">
        <v>333</v>
      </c>
      <c r="I71" s="17" t="s">
        <v>331</v>
      </c>
      <c r="L71" s="14" t="s">
        <v>332</v>
      </c>
      <c r="O71" s="16" t="s">
        <v>333</v>
      </c>
    </row>
    <row r="72">
      <c r="A72" s="14" t="str">
        <f>data!$E$16&amp;" "&amp;data!$B$16</f>
      </c>
      <c r="B72" s="18"/>
      <c r="C72" s="18"/>
      <c r="D72" s="18"/>
      <c r="E72" s="18"/>
      <c r="F72" s="18"/>
      <c r="G72" s="14" t="str">
        <f>data!$E$15&amp;" "&amp;data!$B$15</f>
      </c>
      <c r="I72" s="14" t="str">
        <f>data!$E$63&amp;" "&amp;data!$B$63</f>
      </c>
      <c r="J72" s="18"/>
      <c r="K72" s="18"/>
      <c r="L72" s="18"/>
      <c r="M72" s="18"/>
      <c r="N72" s="18"/>
      <c r="O72" s="14" t="str">
        <f>data!$E$62&amp;" "&amp;data!$B$62</f>
      </c>
    </row>
    <row r="73">
      <c r="A73" s="14" t="str">
        <f>data!$E$17&amp;" "&amp;data!$B$17</f>
      </c>
      <c r="B73" s="18"/>
      <c r="C73" s="18"/>
      <c r="D73" s="18"/>
      <c r="E73" s="18"/>
      <c r="F73" s="18"/>
      <c r="G73" s="14" t="str">
        <f>data!$E$15&amp;" "&amp;data!$B$15</f>
      </c>
      <c r="I73" s="14" t="str">
        <f>data!$E$64&amp;" "&amp;data!$B$64</f>
      </c>
      <c r="J73" s="18"/>
      <c r="K73" s="18"/>
      <c r="L73" s="18"/>
      <c r="M73" s="18"/>
      <c r="N73" s="18"/>
      <c r="O73" s="14" t="str">
        <f>data!$E$62&amp;" "&amp;data!$B$62</f>
      </c>
    </row>
    <row r="74">
      <c r="A74" s="14" t="str">
        <f>data!$E$17&amp;" "&amp;data!$B$17</f>
      </c>
      <c r="B74" s="18"/>
      <c r="C74" s="18"/>
      <c r="D74" s="18"/>
      <c r="E74" s="18"/>
      <c r="F74" s="18"/>
      <c r="G74" s="14" t="str">
        <f>data!$E$16&amp;" "&amp;data!$B$16</f>
      </c>
      <c r="I74" s="14" t="str">
        <f>data!$E$64&amp;" "&amp;data!$B$64</f>
      </c>
      <c r="J74" s="18"/>
      <c r="K74" s="18"/>
      <c r="L74" s="18"/>
      <c r="M74" s="18"/>
      <c r="N74" s="18"/>
      <c r="O74" s="14" t="str">
        <f>data!$E$63&amp;" "&amp;data!$B$63</f>
      </c>
    </row>
    <row r="76">
      <c r="A76" s="13" t="s">
        <v>334</v>
      </c>
      <c r="B76" s="13" t="s">
        <v>335</v>
      </c>
      <c r="C76" s="13" t="s">
        <v>336</v>
      </c>
      <c r="D76" s="13" t="s">
        <v>337</v>
      </c>
      <c r="E76" s="13" t="s">
        <v>338</v>
      </c>
      <c r="F76" s="13" t="s">
        <v>339</v>
      </c>
      <c r="G76" s="13" t="s">
        <v>340</v>
      </c>
      <c r="I76" s="13" t="s">
        <v>334</v>
      </c>
      <c r="J76" s="13" t="s">
        <v>335</v>
      </c>
      <c r="K76" s="13" t="s">
        <v>336</v>
      </c>
      <c r="L76" s="13" t="s">
        <v>337</v>
      </c>
      <c r="M76" s="13" t="s">
        <v>338</v>
      </c>
      <c r="N76" s="13" t="s">
        <v>339</v>
      </c>
      <c r="O76" s="13" t="s">
        <v>340</v>
      </c>
    </row>
    <row r="77">
      <c r="A77" s="14" t="str">
        <f>data!$E$15&amp;" "&amp;data!$B$15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data!$E$62&amp;" "&amp;data!$B$62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data!$E$16&amp;" "&amp;data!$B$16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data!$E$63&amp;" "&amp;data!$B$63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data!$E$17&amp;" "&amp;data!$B$17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data!$E$64&amp;" "&amp;data!$B$64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341</v>
      </c>
      <c r="N82" s="13"/>
      <c r="O82" s="13" t="s">
        <v>341</v>
      </c>
    </row>
    <row r="83">
      <c r="F83" t="s">
        <v>342</v>
      </c>
      <c r="G83" s="19" t="str">
        <f>IFERROR(INDEX($A$77:$A$79, MATCH(1, $G$77:$G$79, 0)), "-")</f>
      </c>
      <c r="N83" t="s">
        <v>342</v>
      </c>
      <c r="O83" s="19" t="str">
        <f>IFERROR(INDEX($I$77:$I$79, MATCH(1, $O$77:$O$79, 0)), "-")</f>
      </c>
    </row>
    <row r="84">
      <c r="F84" t="s">
        <v>343</v>
      </c>
      <c r="G84" s="19" t="str">
        <f>IFERROR(INDEX($A$77:$A$79, MATCH(2, $G$77:$G$79, 0)), "-")</f>
      </c>
      <c r="N84" t="s">
        <v>343</v>
      </c>
      <c r="O84" s="19" t="str">
        <f>IFERROR(INDEX($I$77:$I$79, MATCH(2, $O$77:$O$79, 0)), "-")</f>
      </c>
    </row>
    <row r="85">
      <c r="F85" t="s">
        <v>344</v>
      </c>
      <c r="G85" s="19" t="str">
        <f>IFERROR(INDEX($A$77:$A$79, MATCH(3, $G$77:$G$79, 0)), "-")</f>
      </c>
      <c r="N85" t="s">
        <v>344</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331</v>
      </c>
      <c r="D88" s="14" t="s">
        <v>332</v>
      </c>
      <c r="G88" s="16" t="s">
        <v>333</v>
      </c>
      <c r="I88" s="17" t="s">
        <v>331</v>
      </c>
      <c r="L88" s="14" t="s">
        <v>332</v>
      </c>
      <c r="O88" s="16" t="s">
        <v>333</v>
      </c>
    </row>
    <row r="89">
      <c r="A89" s="14" t="str">
        <f>data!$E$19&amp;" "&amp;data!$B$19</f>
      </c>
      <c r="B89" s="18"/>
      <c r="C89" s="18"/>
      <c r="D89" s="18"/>
      <c r="E89" s="18"/>
      <c r="F89" s="18"/>
      <c r="G89" s="14" t="str">
        <f>data!$E$18&amp;" "&amp;data!$B$18</f>
      </c>
      <c r="I89" s="14" t="str">
        <f>data!$E$66&amp;" "&amp;data!$B$66</f>
      </c>
      <c r="J89" s="18"/>
      <c r="K89" s="18"/>
      <c r="L89" s="18"/>
      <c r="M89" s="18"/>
      <c r="N89" s="18"/>
      <c r="O89" s="14" t="str">
        <f>data!$E$65&amp;" "&amp;data!$B$65</f>
      </c>
    </row>
    <row r="90">
      <c r="A90" s="14" t="str">
        <f>data!$E$20&amp;" "&amp;data!$B$20</f>
      </c>
      <c r="B90" s="18"/>
      <c r="C90" s="18"/>
      <c r="D90" s="18"/>
      <c r="E90" s="18"/>
      <c r="F90" s="18"/>
      <c r="G90" s="14" t="str">
        <f>data!$E$18&amp;" "&amp;data!$B$18</f>
      </c>
      <c r="I90" s="14" t="str">
        <f>data!$E$67&amp;" "&amp;data!$B$67</f>
      </c>
      <c r="J90" s="18"/>
      <c r="K90" s="18"/>
      <c r="L90" s="18"/>
      <c r="M90" s="18"/>
      <c r="N90" s="18"/>
      <c r="O90" s="14" t="str">
        <f>data!$E$65&amp;" "&amp;data!$B$65</f>
      </c>
    </row>
    <row r="91">
      <c r="A91" s="14" t="str">
        <f>data!$E$20&amp;" "&amp;data!$B$20</f>
      </c>
      <c r="B91" s="18"/>
      <c r="C91" s="18"/>
      <c r="D91" s="18"/>
      <c r="E91" s="18"/>
      <c r="F91" s="18"/>
      <c r="G91" s="14" t="str">
        <f>data!$E$19&amp;" "&amp;data!$B$19</f>
      </c>
      <c r="I91" s="14" t="str">
        <f>data!$E$67&amp;" "&amp;data!$B$67</f>
      </c>
      <c r="J91" s="18"/>
      <c r="K91" s="18"/>
      <c r="L91" s="18"/>
      <c r="M91" s="18"/>
      <c r="N91" s="18"/>
      <c r="O91" s="14" t="str">
        <f>data!$E$66&amp;" "&amp;data!$B$66</f>
      </c>
    </row>
    <row r="93">
      <c r="A93" s="13" t="s">
        <v>334</v>
      </c>
      <c r="B93" s="13" t="s">
        <v>335</v>
      </c>
      <c r="C93" s="13" t="s">
        <v>336</v>
      </c>
      <c r="D93" s="13" t="s">
        <v>337</v>
      </c>
      <c r="E93" s="13" t="s">
        <v>338</v>
      </c>
      <c r="F93" s="13" t="s">
        <v>339</v>
      </c>
      <c r="G93" s="13" t="s">
        <v>340</v>
      </c>
      <c r="I93" s="13" t="s">
        <v>334</v>
      </c>
      <c r="J93" s="13" t="s">
        <v>335</v>
      </c>
      <c r="K93" s="13" t="s">
        <v>336</v>
      </c>
      <c r="L93" s="13" t="s">
        <v>337</v>
      </c>
      <c r="M93" s="13" t="s">
        <v>338</v>
      </c>
      <c r="N93" s="13" t="s">
        <v>339</v>
      </c>
      <c r="O93" s="13" t="s">
        <v>340</v>
      </c>
    </row>
    <row r="94">
      <c r="A94" s="14" t="str">
        <f>data!$E$18&amp;" "&amp;data!$B$18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data!$E$65&amp;" "&amp;data!$B$65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data!$E$19&amp;" "&amp;data!$B$19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data!$E$66&amp;" "&amp;data!$B$66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data!$E$20&amp;" "&amp;data!$B$20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data!$E$67&amp;" "&amp;data!$B$67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341</v>
      </c>
      <c r="N99" s="13"/>
      <c r="O99" s="13" t="s">
        <v>341</v>
      </c>
    </row>
    <row r="100">
      <c r="F100" t="s">
        <v>342</v>
      </c>
      <c r="G100" s="19" t="str">
        <f>IFERROR(INDEX($A$94:$A$96, MATCH(1, $G$94:$G$96, 0)), "-")</f>
      </c>
      <c r="N100" t="s">
        <v>342</v>
      </c>
      <c r="O100" s="19" t="str">
        <f>IFERROR(INDEX($I$94:$I$96, MATCH(1, $O$94:$O$96, 0)), "-")</f>
      </c>
    </row>
    <row r="101">
      <c r="F101" t="s">
        <v>343</v>
      </c>
      <c r="G101" s="19" t="str">
        <f>IFERROR(INDEX($A$94:$A$96, MATCH(2, $G$94:$G$96, 0)), "-")</f>
      </c>
      <c r="N101" t="s">
        <v>343</v>
      </c>
      <c r="O101" s="19" t="str">
        <f>IFERROR(INDEX($I$94:$I$96, MATCH(2, $O$94:$O$96, 0)), "-")</f>
      </c>
    </row>
    <row r="102">
      <c r="F102" t="s">
        <v>344</v>
      </c>
      <c r="G102" s="19" t="str">
        <f>IFERROR(INDEX($A$94:$A$96, MATCH(3, $G$94:$G$96, 0)), "-")</f>
      </c>
      <c r="N102" t="s">
        <v>344</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331</v>
      </c>
      <c r="D105" s="14" t="s">
        <v>332</v>
      </c>
      <c r="G105" s="16" t="s">
        <v>333</v>
      </c>
      <c r="I105" s="17" t="s">
        <v>331</v>
      </c>
      <c r="L105" s="14" t="s">
        <v>332</v>
      </c>
      <c r="O105" s="16" t="s">
        <v>333</v>
      </c>
    </row>
    <row r="106">
      <c r="A106" s="14" t="str">
        <f>data!$E$22&amp;" "&amp;data!$B$22</f>
      </c>
      <c r="B106" s="18"/>
      <c r="C106" s="18"/>
      <c r="D106" s="18"/>
      <c r="E106" s="18"/>
      <c r="F106" s="18"/>
      <c r="G106" s="14" t="str">
        <f>data!$E$21&amp;" "&amp;data!$B$21</f>
      </c>
      <c r="I106" s="14" t="str">
        <f>data!$E$69&amp;" "&amp;data!$B$69</f>
      </c>
      <c r="J106" s="18"/>
      <c r="K106" s="18"/>
      <c r="L106" s="18"/>
      <c r="M106" s="18"/>
      <c r="N106" s="18"/>
      <c r="O106" s="14" t="str">
        <f>data!$E$68&amp;" "&amp;data!$B$68</f>
      </c>
    </row>
    <row r="107">
      <c r="A107" s="14" t="str">
        <f>data!$E$23&amp;" "&amp;data!$B$23</f>
      </c>
      <c r="B107" s="18"/>
      <c r="C107" s="18"/>
      <c r="D107" s="18"/>
      <c r="E107" s="18"/>
      <c r="F107" s="18"/>
      <c r="G107" s="14" t="str">
        <f>data!$E$21&amp;" "&amp;data!$B$21</f>
      </c>
      <c r="I107" s="14" t="str">
        <f>data!$E$70&amp;" "&amp;data!$B$70</f>
      </c>
      <c r="J107" s="18"/>
      <c r="K107" s="18"/>
      <c r="L107" s="18"/>
      <c r="M107" s="18"/>
      <c r="N107" s="18"/>
      <c r="O107" s="14" t="str">
        <f>data!$E$68&amp;" "&amp;data!$B$68</f>
      </c>
    </row>
    <row r="108">
      <c r="A108" s="14" t="str">
        <f>data!$E$23&amp;" "&amp;data!$B$23</f>
      </c>
      <c r="B108" s="18"/>
      <c r="C108" s="18"/>
      <c r="D108" s="18"/>
      <c r="E108" s="18"/>
      <c r="F108" s="18"/>
      <c r="G108" s="14" t="str">
        <f>data!$E$22&amp;" "&amp;data!$B$22</f>
      </c>
      <c r="I108" s="14" t="str">
        <f>data!$E$70&amp;" "&amp;data!$B$70</f>
      </c>
      <c r="J108" s="18"/>
      <c r="K108" s="18"/>
      <c r="L108" s="18"/>
      <c r="M108" s="18"/>
      <c r="N108" s="18"/>
      <c r="O108" s="14" t="str">
        <f>data!$E$69&amp;" "&amp;data!$B$69</f>
      </c>
    </row>
    <row r="110">
      <c r="A110" s="13" t="s">
        <v>334</v>
      </c>
      <c r="B110" s="13" t="s">
        <v>335</v>
      </c>
      <c r="C110" s="13" t="s">
        <v>336</v>
      </c>
      <c r="D110" s="13" t="s">
        <v>337</v>
      </c>
      <c r="E110" s="13" t="s">
        <v>338</v>
      </c>
      <c r="F110" s="13" t="s">
        <v>339</v>
      </c>
      <c r="G110" s="13" t="s">
        <v>340</v>
      </c>
      <c r="I110" s="13" t="s">
        <v>334</v>
      </c>
      <c r="J110" s="13" t="s">
        <v>335</v>
      </c>
      <c r="K110" s="13" t="s">
        <v>336</v>
      </c>
      <c r="L110" s="13" t="s">
        <v>337</v>
      </c>
      <c r="M110" s="13" t="s">
        <v>338</v>
      </c>
      <c r="N110" s="13" t="s">
        <v>339</v>
      </c>
      <c r="O110" s="13" t="s">
        <v>340</v>
      </c>
    </row>
    <row r="111">
      <c r="A111" s="14" t="str">
        <f>data!$E$21&amp;" "&amp;data!$B$21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data!$E$68&amp;" "&amp;data!$B$68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data!$E$22&amp;" "&amp;data!$B$22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data!$E$69&amp;" "&amp;data!$B$69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data!$E$23&amp;" "&amp;data!$B$23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data!$E$70&amp;" "&amp;data!$B$70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341</v>
      </c>
      <c r="N116" s="13"/>
      <c r="O116" s="13" t="s">
        <v>341</v>
      </c>
    </row>
    <row r="117">
      <c r="F117" t="s">
        <v>342</v>
      </c>
      <c r="G117" s="19" t="str">
        <f>IFERROR(INDEX($A$111:$A$113, MATCH(1, $G$111:$G$113, 0)), "-")</f>
      </c>
      <c r="N117" t="s">
        <v>342</v>
      </c>
      <c r="O117" s="19" t="str">
        <f>IFERROR(INDEX($I$111:$I$113, MATCH(1, $O$111:$O$113, 0)), "-")</f>
      </c>
    </row>
    <row r="118">
      <c r="F118" t="s">
        <v>343</v>
      </c>
      <c r="G118" s="19" t="str">
        <f>IFERROR(INDEX($A$111:$A$113, MATCH(2, $G$111:$G$113, 0)), "-")</f>
      </c>
      <c r="N118" t="s">
        <v>343</v>
      </c>
      <c r="O118" s="19" t="str">
        <f>IFERROR(INDEX($I$111:$I$113, MATCH(2, $O$111:$O$113, 0)), "-")</f>
      </c>
    </row>
    <row r="119">
      <c r="F119" t="s">
        <v>344</v>
      </c>
      <c r="G119" s="19" t="str">
        <f>IFERROR(INDEX($A$111:$A$113, MATCH(3, $G$111:$G$113, 0)), "-")</f>
      </c>
      <c r="N119" t="s">
        <v>344</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331</v>
      </c>
      <c r="D122" s="14" t="s">
        <v>332</v>
      </c>
      <c r="G122" s="16" t="s">
        <v>333</v>
      </c>
      <c r="I122" s="17" t="s">
        <v>331</v>
      </c>
      <c r="L122" s="14" t="s">
        <v>332</v>
      </c>
      <c r="O122" s="16" t="s">
        <v>333</v>
      </c>
    </row>
    <row r="123">
      <c r="A123" s="14" t="str">
        <f>data!$E$25&amp;" "&amp;data!$B$25</f>
      </c>
      <c r="B123" s="18"/>
      <c r="C123" s="18"/>
      <c r="D123" s="18"/>
      <c r="E123" s="18"/>
      <c r="F123" s="18"/>
      <c r="G123" s="14" t="str">
        <f>data!$E$24&amp;" "&amp;data!$B$24</f>
      </c>
      <c r="I123" s="14" t="str">
        <f>data!$E$72&amp;" "&amp;data!$B$72</f>
      </c>
      <c r="J123" s="18"/>
      <c r="K123" s="18"/>
      <c r="L123" s="18"/>
      <c r="M123" s="18"/>
      <c r="N123" s="18"/>
      <c r="O123" s="14" t="str">
        <f>data!$E$71&amp;" "&amp;data!$B$71</f>
      </c>
    </row>
    <row r="124">
      <c r="A124" s="14" t="str">
        <f>data!$E$26&amp;" "&amp;data!$B$26</f>
      </c>
      <c r="B124" s="18"/>
      <c r="C124" s="18"/>
      <c r="D124" s="18"/>
      <c r="E124" s="18"/>
      <c r="F124" s="18"/>
      <c r="G124" s="14" t="str">
        <f>data!$E$24&amp;" "&amp;data!$B$24</f>
      </c>
      <c r="I124" s="14" t="str">
        <f>data!$E$73&amp;" "&amp;data!$B$73</f>
      </c>
      <c r="J124" s="18"/>
      <c r="K124" s="18"/>
      <c r="L124" s="18"/>
      <c r="M124" s="18"/>
      <c r="N124" s="18"/>
      <c r="O124" s="14" t="str">
        <f>data!$E$71&amp;" "&amp;data!$B$71</f>
      </c>
    </row>
    <row r="125">
      <c r="A125" s="14" t="str">
        <f>data!$E$26&amp;" "&amp;data!$B$26</f>
      </c>
      <c r="B125" s="18"/>
      <c r="C125" s="18"/>
      <c r="D125" s="18"/>
      <c r="E125" s="18"/>
      <c r="F125" s="18"/>
      <c r="G125" s="14" t="str">
        <f>data!$E$25&amp;" "&amp;data!$B$25</f>
      </c>
      <c r="I125" s="14" t="str">
        <f>data!$E$73&amp;" "&amp;data!$B$73</f>
      </c>
      <c r="J125" s="18"/>
      <c r="K125" s="18"/>
      <c r="L125" s="18"/>
      <c r="M125" s="18"/>
      <c r="N125" s="18"/>
      <c r="O125" s="14" t="str">
        <f>data!$E$72&amp;" "&amp;data!$B$72</f>
      </c>
    </row>
    <row r="127">
      <c r="A127" s="13" t="s">
        <v>334</v>
      </c>
      <c r="B127" s="13" t="s">
        <v>335</v>
      </c>
      <c r="C127" s="13" t="s">
        <v>336</v>
      </c>
      <c r="D127" s="13" t="s">
        <v>337</v>
      </c>
      <c r="E127" s="13" t="s">
        <v>338</v>
      </c>
      <c r="F127" s="13" t="s">
        <v>339</v>
      </c>
      <c r="G127" s="13" t="s">
        <v>340</v>
      </c>
      <c r="I127" s="13" t="s">
        <v>334</v>
      </c>
      <c r="J127" s="13" t="s">
        <v>335</v>
      </c>
      <c r="K127" s="13" t="s">
        <v>336</v>
      </c>
      <c r="L127" s="13" t="s">
        <v>337</v>
      </c>
      <c r="M127" s="13" t="s">
        <v>338</v>
      </c>
      <c r="N127" s="13" t="s">
        <v>339</v>
      </c>
      <c r="O127" s="13" t="s">
        <v>340</v>
      </c>
    </row>
    <row r="128">
      <c r="A128" s="14" t="str">
        <f>data!$E$24&amp;" "&amp;data!$B$24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data!$E$71&amp;" "&amp;data!$B$71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data!$E$25&amp;" "&amp;data!$B$25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data!$E$72&amp;" "&amp;data!$B$72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data!$E$26&amp;" "&amp;data!$B$26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data!$E$73&amp;" "&amp;data!$B$73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341</v>
      </c>
      <c r="N133" s="13"/>
      <c r="O133" s="13" t="s">
        <v>341</v>
      </c>
    </row>
    <row r="134">
      <c r="F134" t="s">
        <v>342</v>
      </c>
      <c r="G134" s="19" t="str">
        <f>IFERROR(INDEX($A$128:$A$130, MATCH(1, $G$128:$G$130, 0)), "-")</f>
      </c>
      <c r="N134" t="s">
        <v>342</v>
      </c>
      <c r="O134" s="19" t="str">
        <f>IFERROR(INDEX($I$128:$I$130, MATCH(1, $O$128:$O$130, 0)), "-")</f>
      </c>
    </row>
    <row r="135">
      <c r="F135" t="s">
        <v>343</v>
      </c>
      <c r="G135" s="19" t="str">
        <f>IFERROR(INDEX($A$128:$A$130, MATCH(2, $G$128:$G$130, 0)), "-")</f>
      </c>
      <c r="N135" t="s">
        <v>343</v>
      </c>
      <c r="O135" s="19" t="str">
        <f>IFERROR(INDEX($I$128:$I$130, MATCH(2, $O$128:$O$130, 0)), "-")</f>
      </c>
    </row>
    <row r="136">
      <c r="F136" t="s">
        <v>344</v>
      </c>
      <c r="G136" s="19" t="str">
        <f>IFERROR(INDEX($A$128:$A$130, MATCH(3, $G$128:$G$130, 0)), "-")</f>
      </c>
      <c r="N136" t="s">
        <v>344</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331</v>
      </c>
      <c r="D139" s="14" t="s">
        <v>332</v>
      </c>
      <c r="G139" s="16" t="s">
        <v>333</v>
      </c>
      <c r="I139" s="17" t="s">
        <v>331</v>
      </c>
      <c r="L139" s="14" t="s">
        <v>332</v>
      </c>
      <c r="O139" s="16" t="s">
        <v>333</v>
      </c>
    </row>
    <row r="140">
      <c r="A140" s="14" t="str">
        <f>data!$E$28&amp;" "&amp;data!$B$28</f>
      </c>
      <c r="B140" s="18"/>
      <c r="C140" s="18"/>
      <c r="D140" s="18"/>
      <c r="E140" s="18"/>
      <c r="F140" s="18"/>
      <c r="G140" s="14" t="str">
        <f>data!$E$27&amp;" "&amp;data!$B$27</f>
      </c>
      <c r="I140" s="14" t="str">
        <f>data!$E$75&amp;" "&amp;data!$B$75</f>
      </c>
      <c r="J140" s="18"/>
      <c r="K140" s="18"/>
      <c r="L140" s="18"/>
      <c r="M140" s="18"/>
      <c r="N140" s="18"/>
      <c r="O140" s="14" t="str">
        <f>data!$E$74&amp;" "&amp;data!$B$74</f>
      </c>
    </row>
    <row r="141">
      <c r="A141" s="14" t="str">
        <f>data!$E$29&amp;" "&amp;data!$B$29</f>
      </c>
      <c r="B141" s="18"/>
      <c r="C141" s="18"/>
      <c r="D141" s="18"/>
      <c r="E141" s="18"/>
      <c r="F141" s="18"/>
      <c r="G141" s="14" t="str">
        <f>data!$E$27&amp;" "&amp;data!$B$27</f>
      </c>
      <c r="I141" s="14" t="str">
        <f>data!$E$76&amp;" "&amp;data!$B$76</f>
      </c>
      <c r="J141" s="18"/>
      <c r="K141" s="18"/>
      <c r="L141" s="18"/>
      <c r="M141" s="18"/>
      <c r="N141" s="18"/>
      <c r="O141" s="14" t="str">
        <f>data!$E$74&amp;" "&amp;data!$B$74</f>
      </c>
    </row>
    <row r="142">
      <c r="A142" s="14" t="str">
        <f>data!$E$29&amp;" "&amp;data!$B$29</f>
      </c>
      <c r="B142" s="18"/>
      <c r="C142" s="18"/>
      <c r="D142" s="18"/>
      <c r="E142" s="18"/>
      <c r="F142" s="18"/>
      <c r="G142" s="14" t="str">
        <f>data!$E$28&amp;" "&amp;data!$B$28</f>
      </c>
      <c r="I142" s="14" t="str">
        <f>data!$E$76&amp;" "&amp;data!$B$76</f>
      </c>
      <c r="J142" s="18"/>
      <c r="K142" s="18"/>
      <c r="L142" s="18"/>
      <c r="M142" s="18"/>
      <c r="N142" s="18"/>
      <c r="O142" s="14" t="str">
        <f>data!$E$75&amp;" "&amp;data!$B$75</f>
      </c>
    </row>
    <row r="144">
      <c r="A144" s="13" t="s">
        <v>334</v>
      </c>
      <c r="B144" s="13" t="s">
        <v>335</v>
      </c>
      <c r="C144" s="13" t="s">
        <v>336</v>
      </c>
      <c r="D144" s="13" t="s">
        <v>337</v>
      </c>
      <c r="E144" s="13" t="s">
        <v>338</v>
      </c>
      <c r="F144" s="13" t="s">
        <v>339</v>
      </c>
      <c r="G144" s="13" t="s">
        <v>340</v>
      </c>
      <c r="I144" s="13" t="s">
        <v>334</v>
      </c>
      <c r="J144" s="13" t="s">
        <v>335</v>
      </c>
      <c r="K144" s="13" t="s">
        <v>336</v>
      </c>
      <c r="L144" s="13" t="s">
        <v>337</v>
      </c>
      <c r="M144" s="13" t="s">
        <v>338</v>
      </c>
      <c r="N144" s="13" t="s">
        <v>339</v>
      </c>
      <c r="O144" s="13" t="s">
        <v>340</v>
      </c>
    </row>
    <row r="145">
      <c r="A145" s="14" t="str">
        <f>data!$E$27&amp;" "&amp;data!$B$27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data!$E$74&amp;" "&amp;data!$B$74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data!$E$28&amp;" "&amp;data!$B$28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data!$E$75&amp;" "&amp;data!$B$75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data!$E$29&amp;" "&amp;data!$B$29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data!$E$76&amp;" "&amp;data!$B$76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341</v>
      </c>
      <c r="N150" s="13"/>
      <c r="O150" s="13" t="s">
        <v>341</v>
      </c>
    </row>
    <row r="151">
      <c r="F151" t="s">
        <v>342</v>
      </c>
      <c r="G151" s="19" t="str">
        <f>IFERROR(INDEX($A$145:$A$147, MATCH(1, $G$145:$G$147, 0)), "-")</f>
      </c>
      <c r="N151" t="s">
        <v>342</v>
      </c>
      <c r="O151" s="19" t="str">
        <f>IFERROR(INDEX($I$145:$I$147, MATCH(1, $O$145:$O$147, 0)), "-")</f>
      </c>
    </row>
    <row r="152">
      <c r="F152" t="s">
        <v>343</v>
      </c>
      <c r="G152" s="19" t="str">
        <f>IFERROR(INDEX($A$145:$A$147, MATCH(2, $G$145:$G$147, 0)), "-")</f>
      </c>
      <c r="N152" t="s">
        <v>343</v>
      </c>
      <c r="O152" s="19" t="str">
        <f>IFERROR(INDEX($I$145:$I$147, MATCH(2, $O$145:$O$147, 0)), "-")</f>
      </c>
    </row>
    <row r="153">
      <c r="F153" t="s">
        <v>344</v>
      </c>
      <c r="G153" s="19" t="str">
        <f>IFERROR(INDEX($A$145:$A$147, MATCH(3, $G$145:$G$147, 0)), "-")</f>
      </c>
      <c r="N153" t="s">
        <v>344</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331</v>
      </c>
      <c r="D156" s="14" t="s">
        <v>332</v>
      </c>
      <c r="G156" s="16" t="s">
        <v>333</v>
      </c>
      <c r="I156" s="17" t="s">
        <v>331</v>
      </c>
      <c r="L156" s="14" t="s">
        <v>332</v>
      </c>
      <c r="O156" s="16" t="s">
        <v>333</v>
      </c>
    </row>
    <row r="157">
      <c r="A157" s="14" t="str">
        <f>data!$E$31&amp;" "&amp;data!$B$31</f>
      </c>
      <c r="B157" s="18"/>
      <c r="C157" s="18"/>
      <c r="D157" s="18"/>
      <c r="E157" s="18"/>
      <c r="F157" s="18"/>
      <c r="G157" s="14" t="str">
        <f>data!$E$30&amp;" "&amp;data!$B$30</f>
      </c>
      <c r="I157" s="14" t="str">
        <f>data!$E$78&amp;" "&amp;data!$B$78</f>
      </c>
      <c r="J157" s="18"/>
      <c r="K157" s="18"/>
      <c r="L157" s="18"/>
      <c r="M157" s="18"/>
      <c r="N157" s="18"/>
      <c r="O157" s="14" t="str">
        <f>data!$E$77&amp;" "&amp;data!$B$77</f>
      </c>
    </row>
    <row r="158">
      <c r="A158" s="14" t="str">
        <f>data!$E$32&amp;" "&amp;data!$B$32</f>
      </c>
      <c r="B158" s="18"/>
      <c r="C158" s="18"/>
      <c r="D158" s="18"/>
      <c r="E158" s="18"/>
      <c r="F158" s="18"/>
      <c r="G158" s="14" t="str">
        <f>data!$E$30&amp;" "&amp;data!$B$30</f>
      </c>
      <c r="I158" s="14" t="str">
        <f>data!$E$79&amp;" "&amp;data!$B$79</f>
      </c>
      <c r="J158" s="18"/>
      <c r="K158" s="18"/>
      <c r="L158" s="18"/>
      <c r="M158" s="18"/>
      <c r="N158" s="18"/>
      <c r="O158" s="14" t="str">
        <f>data!$E$77&amp;" "&amp;data!$B$77</f>
      </c>
    </row>
    <row r="159">
      <c r="A159" s="14" t="str">
        <f>data!$E$32&amp;" "&amp;data!$B$32</f>
      </c>
      <c r="B159" s="18"/>
      <c r="C159" s="18"/>
      <c r="D159" s="18"/>
      <c r="E159" s="18"/>
      <c r="F159" s="18"/>
      <c r="G159" s="14" t="str">
        <f>data!$E$31&amp;" "&amp;data!$B$31</f>
      </c>
      <c r="I159" s="14" t="str">
        <f>data!$E$79&amp;" "&amp;data!$B$79</f>
      </c>
      <c r="J159" s="18"/>
      <c r="K159" s="18"/>
      <c r="L159" s="18"/>
      <c r="M159" s="18"/>
      <c r="N159" s="18"/>
      <c r="O159" s="14" t="str">
        <f>data!$E$78&amp;" "&amp;data!$B$78</f>
      </c>
    </row>
    <row r="161">
      <c r="A161" s="13" t="s">
        <v>334</v>
      </c>
      <c r="B161" s="13" t="s">
        <v>335</v>
      </c>
      <c r="C161" s="13" t="s">
        <v>336</v>
      </c>
      <c r="D161" s="13" t="s">
        <v>337</v>
      </c>
      <c r="E161" s="13" t="s">
        <v>338</v>
      </c>
      <c r="F161" s="13" t="s">
        <v>339</v>
      </c>
      <c r="G161" s="13" t="s">
        <v>340</v>
      </c>
      <c r="I161" s="13" t="s">
        <v>334</v>
      </c>
      <c r="J161" s="13" t="s">
        <v>335</v>
      </c>
      <c r="K161" s="13" t="s">
        <v>336</v>
      </c>
      <c r="L161" s="13" t="s">
        <v>337</v>
      </c>
      <c r="M161" s="13" t="s">
        <v>338</v>
      </c>
      <c r="N161" s="13" t="s">
        <v>339</v>
      </c>
      <c r="O161" s="13" t="s">
        <v>340</v>
      </c>
    </row>
    <row r="162">
      <c r="A162" s="14" t="str">
        <f>data!$E$30&amp;" "&amp;data!$B$30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data!$E$77&amp;" "&amp;data!$B$77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data!$E$31&amp;" "&amp;data!$B$31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data!$E$78&amp;" "&amp;data!$B$78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data!$E$32&amp;" "&amp;data!$B$32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data!$E$79&amp;" "&amp;data!$B$79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341</v>
      </c>
      <c r="N167" s="13"/>
      <c r="O167" s="13" t="s">
        <v>341</v>
      </c>
    </row>
    <row r="168">
      <c r="F168" t="s">
        <v>342</v>
      </c>
      <c r="G168" s="19" t="str">
        <f>IFERROR(INDEX($A$162:$A$164, MATCH(1, $G$162:$G$164, 0)), "-")</f>
      </c>
      <c r="N168" t="s">
        <v>342</v>
      </c>
      <c r="O168" s="19" t="str">
        <f>IFERROR(INDEX($I$162:$I$164, MATCH(1, $O$162:$O$164, 0)), "-")</f>
      </c>
    </row>
    <row r="169">
      <c r="F169" t="s">
        <v>343</v>
      </c>
      <c r="G169" s="19" t="str">
        <f>IFERROR(INDEX($A$162:$A$164, MATCH(2, $G$162:$G$164, 0)), "-")</f>
      </c>
      <c r="N169" t="s">
        <v>343</v>
      </c>
      <c r="O169" s="19" t="str">
        <f>IFERROR(INDEX($I$162:$I$164, MATCH(2, $O$162:$O$164, 0)), "-")</f>
      </c>
    </row>
    <row r="170">
      <c r="F170" t="s">
        <v>344</v>
      </c>
      <c r="G170" s="19" t="str">
        <f>IFERROR(INDEX($A$162:$A$164, MATCH(3, $G$162:$G$164, 0)), "-")</f>
      </c>
      <c r="N170" t="s">
        <v>344</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331</v>
      </c>
      <c r="D173" s="14" t="s">
        <v>332</v>
      </c>
      <c r="G173" s="16" t="s">
        <v>333</v>
      </c>
      <c r="I173" s="17" t="s">
        <v>331</v>
      </c>
      <c r="L173" s="14" t="s">
        <v>332</v>
      </c>
      <c r="O173" s="16" t="s">
        <v>333</v>
      </c>
    </row>
    <row r="174">
      <c r="A174" s="14" t="str">
        <f>data!$E$34&amp;" "&amp;data!$B$34</f>
      </c>
      <c r="B174" s="18"/>
      <c r="C174" s="18"/>
      <c r="D174" s="18"/>
      <c r="E174" s="18"/>
      <c r="F174" s="18"/>
      <c r="G174" s="14" t="str">
        <f>data!$E$33&amp;" "&amp;data!$B$33</f>
      </c>
      <c r="I174" s="14" t="str">
        <f>data!$E$81&amp;" "&amp;data!$B$81</f>
      </c>
      <c r="J174" s="18"/>
      <c r="K174" s="18"/>
      <c r="L174" s="18"/>
      <c r="M174" s="18"/>
      <c r="N174" s="18"/>
      <c r="O174" s="14" t="str">
        <f>data!$E$80&amp;" "&amp;data!$B$80</f>
      </c>
    </row>
    <row r="175">
      <c r="A175" s="14" t="str">
        <f>data!$E$35&amp;" "&amp;data!$B$35</f>
      </c>
      <c r="B175" s="18"/>
      <c r="C175" s="18"/>
      <c r="D175" s="18"/>
      <c r="E175" s="18"/>
      <c r="F175" s="18"/>
      <c r="G175" s="14" t="str">
        <f>data!$E$33&amp;" "&amp;data!$B$33</f>
      </c>
      <c r="I175" s="14" t="str">
        <f>data!$E$82&amp;" "&amp;data!$B$82</f>
      </c>
      <c r="J175" s="18"/>
      <c r="K175" s="18"/>
      <c r="L175" s="18"/>
      <c r="M175" s="18"/>
      <c r="N175" s="18"/>
      <c r="O175" s="14" t="str">
        <f>data!$E$80&amp;" "&amp;data!$B$80</f>
      </c>
    </row>
    <row r="176">
      <c r="A176" s="14" t="str">
        <f>data!$E$35&amp;" "&amp;data!$B$35</f>
      </c>
      <c r="B176" s="18"/>
      <c r="C176" s="18"/>
      <c r="D176" s="18"/>
      <c r="E176" s="18"/>
      <c r="F176" s="18"/>
      <c r="G176" s="14" t="str">
        <f>data!$E$34&amp;" "&amp;data!$B$34</f>
      </c>
      <c r="I176" s="14" t="str">
        <f>data!$E$82&amp;" "&amp;data!$B$82</f>
      </c>
      <c r="J176" s="18"/>
      <c r="K176" s="18"/>
      <c r="L176" s="18"/>
      <c r="M176" s="18"/>
      <c r="N176" s="18"/>
      <c r="O176" s="14" t="str">
        <f>data!$E$81&amp;" "&amp;data!$B$81</f>
      </c>
    </row>
    <row r="178">
      <c r="A178" s="13" t="s">
        <v>334</v>
      </c>
      <c r="B178" s="13" t="s">
        <v>335</v>
      </c>
      <c r="C178" s="13" t="s">
        <v>336</v>
      </c>
      <c r="D178" s="13" t="s">
        <v>337</v>
      </c>
      <c r="E178" s="13" t="s">
        <v>338</v>
      </c>
      <c r="F178" s="13" t="s">
        <v>339</v>
      </c>
      <c r="G178" s="13" t="s">
        <v>340</v>
      </c>
      <c r="I178" s="13" t="s">
        <v>334</v>
      </c>
      <c r="J178" s="13" t="s">
        <v>335</v>
      </c>
      <c r="K178" s="13" t="s">
        <v>336</v>
      </c>
      <c r="L178" s="13" t="s">
        <v>337</v>
      </c>
      <c r="M178" s="13" t="s">
        <v>338</v>
      </c>
      <c r="N178" s="13" t="s">
        <v>339</v>
      </c>
      <c r="O178" s="13" t="s">
        <v>340</v>
      </c>
    </row>
    <row r="179">
      <c r="A179" s="14" t="str">
        <f>data!$E$33&amp;" "&amp;data!$B$33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data!$E$80&amp;" "&amp;data!$B$80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data!$E$34&amp;" "&amp;data!$B$34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data!$E$81&amp;" "&amp;data!$B$81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data!$E$35&amp;" "&amp;data!$B$35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data!$E$82&amp;" "&amp;data!$B$82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341</v>
      </c>
      <c r="N184" s="13"/>
      <c r="O184" s="13" t="s">
        <v>341</v>
      </c>
    </row>
    <row r="185">
      <c r="F185" t="s">
        <v>342</v>
      </c>
      <c r="G185" s="19" t="str">
        <f>IFERROR(INDEX($A$179:$A$181, MATCH(1, $G$179:$G$181, 0)), "-")</f>
      </c>
      <c r="N185" t="s">
        <v>342</v>
      </c>
      <c r="O185" s="19" t="str">
        <f>IFERROR(INDEX($I$179:$I$181, MATCH(1, $O$179:$O$181, 0)), "-")</f>
      </c>
    </row>
    <row r="186">
      <c r="F186" t="s">
        <v>343</v>
      </c>
      <c r="G186" s="19" t="str">
        <f>IFERROR(INDEX($A$179:$A$181, MATCH(2, $G$179:$G$181, 0)), "-")</f>
      </c>
      <c r="N186" t="s">
        <v>343</v>
      </c>
      <c r="O186" s="19" t="str">
        <f>IFERROR(INDEX($I$179:$I$181, MATCH(2, $O$179:$O$181, 0)), "-")</f>
      </c>
    </row>
    <row r="187">
      <c r="F187" t="s">
        <v>344</v>
      </c>
      <c r="G187" s="19" t="str">
        <f>IFERROR(INDEX($A$179:$A$181, MATCH(3, $G$179:$G$181, 0)), "-")</f>
      </c>
      <c r="N187" t="s">
        <v>344</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331</v>
      </c>
      <c r="D190" s="14" t="s">
        <v>332</v>
      </c>
      <c r="G190" s="16" t="s">
        <v>333</v>
      </c>
      <c r="I190" s="17" t="s">
        <v>331</v>
      </c>
      <c r="L190" s="14" t="s">
        <v>332</v>
      </c>
      <c r="O190" s="16" t="s">
        <v>333</v>
      </c>
    </row>
    <row r="191">
      <c r="A191" s="14" t="str">
        <f>data!$E$37&amp;" "&amp;data!$B$37</f>
      </c>
      <c r="B191" s="18"/>
      <c r="C191" s="18"/>
      <c r="D191" s="18"/>
      <c r="E191" s="18"/>
      <c r="F191" s="18"/>
      <c r="G191" s="14" t="str">
        <f>data!$E$36&amp;" "&amp;data!$B$36</f>
      </c>
      <c r="I191" s="14" t="str">
        <f>data!$E$84&amp;" "&amp;data!$B$84</f>
      </c>
      <c r="J191" s="18"/>
      <c r="K191" s="18"/>
      <c r="L191" s="18"/>
      <c r="M191" s="18"/>
      <c r="N191" s="18"/>
      <c r="O191" s="14" t="str">
        <f>data!$E$83&amp;" "&amp;data!$B$83</f>
      </c>
    </row>
    <row r="192">
      <c r="A192" s="14" t="str">
        <f>data!$E$38&amp;" "&amp;data!$B$38</f>
      </c>
      <c r="B192" s="18"/>
      <c r="C192" s="18"/>
      <c r="D192" s="18"/>
      <c r="E192" s="18"/>
      <c r="F192" s="18"/>
      <c r="G192" s="14" t="str">
        <f>data!$E$36&amp;" "&amp;data!$B$36</f>
      </c>
      <c r="I192" s="14" t="str">
        <f>data!$E$85&amp;" "&amp;data!$B$85</f>
      </c>
      <c r="J192" s="18"/>
      <c r="K192" s="18"/>
      <c r="L192" s="18"/>
      <c r="M192" s="18"/>
      <c r="N192" s="18"/>
      <c r="O192" s="14" t="str">
        <f>data!$E$83&amp;" "&amp;data!$B$83</f>
      </c>
    </row>
    <row r="193">
      <c r="A193" s="14" t="str">
        <f>data!$E$38&amp;" "&amp;data!$B$38</f>
      </c>
      <c r="B193" s="18"/>
      <c r="C193" s="18"/>
      <c r="D193" s="18"/>
      <c r="E193" s="18"/>
      <c r="F193" s="18"/>
      <c r="G193" s="14" t="str">
        <f>data!$E$37&amp;" "&amp;data!$B$37</f>
      </c>
      <c r="I193" s="14" t="str">
        <f>data!$E$85&amp;" "&amp;data!$B$85</f>
      </c>
      <c r="J193" s="18"/>
      <c r="K193" s="18"/>
      <c r="L193" s="18"/>
      <c r="M193" s="18"/>
      <c r="N193" s="18"/>
      <c r="O193" s="14" t="str">
        <f>data!$E$84&amp;" "&amp;data!$B$84</f>
      </c>
    </row>
    <row r="195">
      <c r="A195" s="13" t="s">
        <v>334</v>
      </c>
      <c r="B195" s="13" t="s">
        <v>335</v>
      </c>
      <c r="C195" s="13" t="s">
        <v>336</v>
      </c>
      <c r="D195" s="13" t="s">
        <v>337</v>
      </c>
      <c r="E195" s="13" t="s">
        <v>338</v>
      </c>
      <c r="F195" s="13" t="s">
        <v>339</v>
      </c>
      <c r="G195" s="13" t="s">
        <v>340</v>
      </c>
      <c r="I195" s="13" t="s">
        <v>334</v>
      </c>
      <c r="J195" s="13" t="s">
        <v>335</v>
      </c>
      <c r="K195" s="13" t="s">
        <v>336</v>
      </c>
      <c r="L195" s="13" t="s">
        <v>337</v>
      </c>
      <c r="M195" s="13" t="s">
        <v>338</v>
      </c>
      <c r="N195" s="13" t="s">
        <v>339</v>
      </c>
      <c r="O195" s="13" t="s">
        <v>340</v>
      </c>
    </row>
    <row r="196">
      <c r="A196" s="14" t="str">
        <f>data!$E$36&amp;" "&amp;data!$B$36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data!$E$83&amp;" "&amp;data!$B$83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data!$E$37&amp;" "&amp;data!$B$37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data!$E$84&amp;" "&amp;data!$B$84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data!$E$38&amp;" "&amp;data!$B$38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data!$E$85&amp;" "&amp;data!$B$85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341</v>
      </c>
      <c r="N201" s="13"/>
      <c r="O201" s="13" t="s">
        <v>341</v>
      </c>
    </row>
    <row r="202">
      <c r="F202" t="s">
        <v>342</v>
      </c>
      <c r="G202" s="19" t="str">
        <f>IFERROR(INDEX($A$196:$A$198, MATCH(1, $G$196:$G$198, 0)), "-")</f>
      </c>
      <c r="N202" t="s">
        <v>342</v>
      </c>
      <c r="O202" s="19" t="str">
        <f>IFERROR(INDEX($I$196:$I$198, MATCH(1, $O$196:$O$198, 0)), "-")</f>
      </c>
    </row>
    <row r="203">
      <c r="F203" t="s">
        <v>343</v>
      </c>
      <c r="G203" s="19" t="str">
        <f>IFERROR(INDEX($A$196:$A$198, MATCH(2, $G$196:$G$198, 0)), "-")</f>
      </c>
      <c r="N203" t="s">
        <v>343</v>
      </c>
      <c r="O203" s="19" t="str">
        <f>IFERROR(INDEX($I$196:$I$198, MATCH(2, $O$196:$O$198, 0)), "-")</f>
      </c>
    </row>
    <row r="204">
      <c r="F204" t="s">
        <v>344</v>
      </c>
      <c r="G204" s="19" t="str">
        <f>IFERROR(INDEX($A$196:$A$198, MATCH(3, $G$196:$G$198, 0)), "-")</f>
      </c>
      <c r="N204" t="s">
        <v>344</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331</v>
      </c>
      <c r="D207" s="14" t="s">
        <v>332</v>
      </c>
      <c r="G207" s="16" t="s">
        <v>333</v>
      </c>
      <c r="I207" s="17" t="s">
        <v>331</v>
      </c>
      <c r="L207" s="14" t="s">
        <v>332</v>
      </c>
      <c r="O207" s="16" t="s">
        <v>333</v>
      </c>
    </row>
    <row r="208">
      <c r="A208" s="14" t="str">
        <f>data!$E$40&amp;" "&amp;data!$B$40</f>
      </c>
      <c r="B208" s="18"/>
      <c r="C208" s="18"/>
      <c r="D208" s="18"/>
      <c r="E208" s="18"/>
      <c r="F208" s="18"/>
      <c r="G208" s="14" t="str">
        <f>data!$E$39&amp;" "&amp;data!$B$39</f>
      </c>
      <c r="I208" s="14" t="str">
        <f>data!$E$87&amp;" "&amp;data!$B$87</f>
      </c>
      <c r="J208" s="18"/>
      <c r="K208" s="18"/>
      <c r="L208" s="18"/>
      <c r="M208" s="18"/>
      <c r="N208" s="18"/>
      <c r="O208" s="14" t="str">
        <f>data!$E$86&amp;" "&amp;data!$B$86</f>
      </c>
    </row>
    <row r="209">
      <c r="A209" s="14" t="str">
        <f>data!$E$41&amp;" "&amp;data!$B$41</f>
      </c>
      <c r="B209" s="18"/>
      <c r="C209" s="18"/>
      <c r="D209" s="18"/>
      <c r="E209" s="18"/>
      <c r="F209" s="18"/>
      <c r="G209" s="14" t="str">
        <f>data!$E$39&amp;" "&amp;data!$B$39</f>
      </c>
      <c r="I209" s="14" t="str">
        <f>data!$E$88&amp;" "&amp;data!$B$88</f>
      </c>
      <c r="J209" s="18"/>
      <c r="K209" s="18"/>
      <c r="L209" s="18"/>
      <c r="M209" s="18"/>
      <c r="N209" s="18"/>
      <c r="O209" s="14" t="str">
        <f>data!$E$86&amp;" "&amp;data!$B$86</f>
      </c>
    </row>
    <row r="210">
      <c r="A210" s="14" t="str">
        <f>data!$E$41&amp;" "&amp;data!$B$41</f>
      </c>
      <c r="B210" s="18"/>
      <c r="C210" s="18"/>
      <c r="D210" s="18"/>
      <c r="E210" s="18"/>
      <c r="F210" s="18"/>
      <c r="G210" s="14" t="str">
        <f>data!$E$40&amp;" "&amp;data!$B$40</f>
      </c>
      <c r="I210" s="14" t="str">
        <f>data!$E$88&amp;" "&amp;data!$B$88</f>
      </c>
      <c r="J210" s="18"/>
      <c r="K210" s="18"/>
      <c r="L210" s="18"/>
      <c r="M210" s="18"/>
      <c r="N210" s="18"/>
      <c r="O210" s="14" t="str">
        <f>data!$E$87&amp;" "&amp;data!$B$87</f>
      </c>
    </row>
    <row r="212">
      <c r="A212" s="13" t="s">
        <v>334</v>
      </c>
      <c r="B212" s="13" t="s">
        <v>335</v>
      </c>
      <c r="C212" s="13" t="s">
        <v>336</v>
      </c>
      <c r="D212" s="13" t="s">
        <v>337</v>
      </c>
      <c r="E212" s="13" t="s">
        <v>338</v>
      </c>
      <c r="F212" s="13" t="s">
        <v>339</v>
      </c>
      <c r="G212" s="13" t="s">
        <v>340</v>
      </c>
      <c r="I212" s="13" t="s">
        <v>334</v>
      </c>
      <c r="J212" s="13" t="s">
        <v>335</v>
      </c>
      <c r="K212" s="13" t="s">
        <v>336</v>
      </c>
      <c r="L212" s="13" t="s">
        <v>337</v>
      </c>
      <c r="M212" s="13" t="s">
        <v>338</v>
      </c>
      <c r="N212" s="13" t="s">
        <v>339</v>
      </c>
      <c r="O212" s="13" t="s">
        <v>340</v>
      </c>
    </row>
    <row r="213">
      <c r="A213" s="14" t="str">
        <f>data!$E$39&amp;" "&amp;data!$B$39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data!$E$86&amp;" "&amp;data!$B$86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data!$E$40&amp;" "&amp;data!$B$40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data!$E$87&amp;" "&amp;data!$B$87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data!$E$41&amp;" "&amp;data!$B$41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data!$E$88&amp;" "&amp;data!$B$88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341</v>
      </c>
      <c r="N218" s="13"/>
      <c r="O218" s="13" t="s">
        <v>341</v>
      </c>
    </row>
    <row r="219">
      <c r="F219" t="s">
        <v>342</v>
      </c>
      <c r="G219" s="19" t="str">
        <f>IFERROR(INDEX($A$213:$A$215, MATCH(1, $G$213:$G$215, 0)), "-")</f>
      </c>
      <c r="N219" t="s">
        <v>342</v>
      </c>
      <c r="O219" s="19" t="str">
        <f>IFERROR(INDEX($I$213:$I$215, MATCH(1, $O$213:$O$215, 0)), "-")</f>
      </c>
    </row>
    <row r="220">
      <c r="F220" t="s">
        <v>343</v>
      </c>
      <c r="G220" s="19" t="str">
        <f>IFERROR(INDEX($A$213:$A$215, MATCH(2, $G$213:$G$215, 0)), "-")</f>
      </c>
      <c r="N220" t="s">
        <v>343</v>
      </c>
      <c r="O220" s="19" t="str">
        <f>IFERROR(INDEX($I$213:$I$215, MATCH(2, $O$213:$O$215, 0)), "-")</f>
      </c>
    </row>
    <row r="221">
      <c r="F221" t="s">
        <v>344</v>
      </c>
      <c r="G221" s="19" t="str">
        <f>IFERROR(INDEX($A$213:$A$215, MATCH(3, $G$213:$G$215, 0)), "-")</f>
      </c>
      <c r="N221" t="s">
        <v>344</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331</v>
      </c>
      <c r="D224" s="14" t="s">
        <v>332</v>
      </c>
      <c r="G224" s="16" t="s">
        <v>333</v>
      </c>
      <c r="I224" s="17" t="s">
        <v>331</v>
      </c>
      <c r="L224" s="14" t="s">
        <v>332</v>
      </c>
      <c r="O224" s="16" t="s">
        <v>333</v>
      </c>
    </row>
    <row r="225">
      <c r="A225" s="14" t="str">
        <f>data!$E$43&amp;" "&amp;data!$B$43</f>
      </c>
      <c r="B225" s="18"/>
      <c r="C225" s="18"/>
      <c r="D225" s="18"/>
      <c r="E225" s="18"/>
      <c r="F225" s="18"/>
      <c r="G225" s="14" t="str">
        <f>data!$E$42&amp;" "&amp;data!$B$42</f>
      </c>
      <c r="I225" s="14" t="str">
        <f>data!$E$90&amp;" "&amp;data!$B$90</f>
      </c>
      <c r="J225" s="18"/>
      <c r="K225" s="18"/>
      <c r="L225" s="18"/>
      <c r="M225" s="18"/>
      <c r="N225" s="18"/>
      <c r="O225" s="14" t="str">
        <f>data!$E$89&amp;" "&amp;data!$B$89</f>
      </c>
    </row>
    <row r="226">
      <c r="A226" s="14" t="str">
        <f>data!$E$44&amp;" "&amp;data!$B$44</f>
      </c>
      <c r="B226" s="18"/>
      <c r="C226" s="18"/>
      <c r="D226" s="18"/>
      <c r="E226" s="18"/>
      <c r="F226" s="18"/>
      <c r="G226" s="14" t="str">
        <f>data!$E$42&amp;" "&amp;data!$B$42</f>
      </c>
      <c r="I226" s="14" t="str">
        <f>data!$E$91&amp;" "&amp;data!$B$91</f>
      </c>
      <c r="J226" s="18"/>
      <c r="K226" s="18"/>
      <c r="L226" s="18"/>
      <c r="M226" s="18"/>
      <c r="N226" s="18"/>
      <c r="O226" s="14" t="str">
        <f>data!$E$89&amp;" "&amp;data!$B$89</f>
      </c>
    </row>
    <row r="227">
      <c r="A227" s="14" t="str">
        <f>data!$E$44&amp;" "&amp;data!$B$44</f>
      </c>
      <c r="B227" s="18"/>
      <c r="C227" s="18"/>
      <c r="D227" s="18"/>
      <c r="E227" s="18"/>
      <c r="F227" s="18"/>
      <c r="G227" s="14" t="str">
        <f>data!$E$43&amp;" "&amp;data!$B$43</f>
      </c>
      <c r="I227" s="14" t="str">
        <f>data!$E$91&amp;" "&amp;data!$B$91</f>
      </c>
      <c r="J227" s="18"/>
      <c r="K227" s="18"/>
      <c r="L227" s="18"/>
      <c r="M227" s="18"/>
      <c r="N227" s="18"/>
      <c r="O227" s="14" t="str">
        <f>data!$E$90&amp;" "&amp;data!$B$90</f>
      </c>
    </row>
    <row r="229">
      <c r="A229" s="13" t="s">
        <v>334</v>
      </c>
      <c r="B229" s="13" t="s">
        <v>335</v>
      </c>
      <c r="C229" s="13" t="s">
        <v>336</v>
      </c>
      <c r="D229" s="13" t="s">
        <v>337</v>
      </c>
      <c r="E229" s="13" t="s">
        <v>338</v>
      </c>
      <c r="F229" s="13" t="s">
        <v>339</v>
      </c>
      <c r="G229" s="13" t="s">
        <v>340</v>
      </c>
      <c r="I229" s="13" t="s">
        <v>334</v>
      </c>
      <c r="J229" s="13" t="s">
        <v>335</v>
      </c>
      <c r="K229" s="13" t="s">
        <v>336</v>
      </c>
      <c r="L229" s="13" t="s">
        <v>337</v>
      </c>
      <c r="M229" s="13" t="s">
        <v>338</v>
      </c>
      <c r="N229" s="13" t="s">
        <v>339</v>
      </c>
      <c r="O229" s="13" t="s">
        <v>340</v>
      </c>
    </row>
    <row r="230">
      <c r="A230" s="14" t="str">
        <f>data!$E$42&amp;" "&amp;data!$B$42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data!$E$89&amp;" "&amp;data!$B$89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data!$E$43&amp;" "&amp;data!$B$43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data!$E$90&amp;" "&amp;data!$B$90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data!$E$44&amp;" "&amp;data!$B$44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data!$E$91&amp;" "&amp;data!$B$91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341</v>
      </c>
      <c r="N235" s="13"/>
      <c r="O235" s="13" t="s">
        <v>341</v>
      </c>
    </row>
    <row r="236">
      <c r="F236" t="s">
        <v>342</v>
      </c>
      <c r="G236" s="19" t="str">
        <f>IFERROR(INDEX($A$230:$A$232, MATCH(1, $G$230:$G$232, 0)), "-")</f>
      </c>
      <c r="N236" t="s">
        <v>342</v>
      </c>
      <c r="O236" s="19" t="str">
        <f>IFERROR(INDEX($I$230:$I$232, MATCH(1, $O$230:$O$232, 0)), "-")</f>
      </c>
    </row>
    <row r="237">
      <c r="F237" t="s">
        <v>343</v>
      </c>
      <c r="G237" s="19" t="str">
        <f>IFERROR(INDEX($A$230:$A$232, MATCH(2, $G$230:$G$232, 0)), "-")</f>
      </c>
      <c r="N237" t="s">
        <v>343</v>
      </c>
      <c r="O237" s="19" t="str">
        <f>IFERROR(INDEX($I$230:$I$232, MATCH(2, $O$230:$O$232, 0)), "-")</f>
      </c>
    </row>
    <row r="238">
      <c r="F238" t="s">
        <v>344</v>
      </c>
      <c r="G238" s="19" t="str">
        <f>IFERROR(INDEX($A$230:$A$232, MATCH(3, $G$230:$G$232, 0)), "-")</f>
      </c>
      <c r="N238" t="s">
        <v>344</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331</v>
      </c>
      <c r="D241" s="14" t="s">
        <v>332</v>
      </c>
      <c r="G241" s="16" t="s">
        <v>333</v>
      </c>
      <c r="I241" s="17" t="s">
        <v>331</v>
      </c>
      <c r="L241" s="14" t="s">
        <v>332</v>
      </c>
      <c r="O241" s="16" t="s">
        <v>333</v>
      </c>
    </row>
    <row r="242">
      <c r="A242" s="14" t="str">
        <f>data!$E$46&amp;" "&amp;data!$B$46</f>
      </c>
      <c r="B242" s="18"/>
      <c r="C242" s="18"/>
      <c r="D242" s="18"/>
      <c r="E242" s="18"/>
      <c r="F242" s="18"/>
      <c r="G242" s="14" t="str">
        <f>data!$E$45&amp;" "&amp;data!$B$45</f>
      </c>
      <c r="I242" s="14" t="str">
        <f>data!$E$93&amp;" "&amp;data!$B$93</f>
      </c>
      <c r="J242" s="18"/>
      <c r="K242" s="18"/>
      <c r="L242" s="18"/>
      <c r="M242" s="18"/>
      <c r="N242" s="18"/>
      <c r="O242" s="14" t="str">
        <f>data!$E$92&amp;" "&amp;data!$B$92</f>
      </c>
    </row>
    <row r="243">
      <c r="A243" s="14" t="str">
        <f>data!$E$47&amp;" "&amp;data!$B$47</f>
      </c>
      <c r="B243" s="18"/>
      <c r="C243" s="18"/>
      <c r="D243" s="18"/>
      <c r="E243" s="18"/>
      <c r="F243" s="18"/>
      <c r="G243" s="14" t="str">
        <f>data!$E$45&amp;" "&amp;data!$B$45</f>
      </c>
    </row>
    <row r="244">
      <c r="A244" s="14" t="str">
        <f>data!$E$47&amp;" "&amp;data!$B$47</f>
      </c>
      <c r="B244" s="18"/>
      <c r="C244" s="18"/>
      <c r="D244" s="18"/>
      <c r="E244" s="18"/>
      <c r="F244" s="18"/>
      <c r="G244" s="14" t="str">
        <f>data!$E$46&amp;" "&amp;data!$B$46</f>
      </c>
    </row>
    <row r="246">
      <c r="A246" s="13" t="s">
        <v>334</v>
      </c>
      <c r="B246" s="13" t="s">
        <v>335</v>
      </c>
      <c r="C246" s="13" t="s">
        <v>336</v>
      </c>
      <c r="D246" s="13" t="s">
        <v>337</v>
      </c>
      <c r="E246" s="13" t="s">
        <v>338</v>
      </c>
      <c r="F246" s="13" t="s">
        <v>339</v>
      </c>
      <c r="G246" s="13" t="s">
        <v>340</v>
      </c>
      <c r="I246" s="13" t="s">
        <v>334</v>
      </c>
      <c r="J246" s="13" t="s">
        <v>335</v>
      </c>
      <c r="K246" s="13" t="s">
        <v>336</v>
      </c>
      <c r="L246" s="13" t="s">
        <v>337</v>
      </c>
      <c r="M246" s="13" t="s">
        <v>338</v>
      </c>
      <c r="N246" s="13" t="s">
        <v>339</v>
      </c>
      <c r="O246" s="13" t="s">
        <v>340</v>
      </c>
    </row>
    <row r="247">
      <c r="A247" s="14" t="str">
        <f>data!$E$45&amp;" "&amp;data!$B$45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data!$E$92&amp;" "&amp;data!$B$92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data!$E$46&amp;" "&amp;data!$B$46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data!$E$93&amp;" "&amp;data!$B$93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data!$E$47&amp;" "&amp;data!$B$47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341</v>
      </c>
    </row>
    <row r="252">
      <c r="F252" s="13"/>
      <c r="G252" s="13" t="s">
        <v>341</v>
      </c>
      <c r="N252" t="s">
        <v>342</v>
      </c>
      <c r="O252" s="19" t="str">
        <f>IFERROR(INDEX($I$247:$I$248, MATCH(1, $O$247:$O$248, 0)), "-")</f>
      </c>
    </row>
    <row r="253">
      <c r="F253" t="s">
        <v>342</v>
      </c>
      <c r="G253" s="19" t="str">
        <f>IFERROR(INDEX($A$247:$A$249, MATCH(1, $G$247:$G$249, 0)), "-")</f>
      </c>
      <c r="N253" t="s">
        <v>343</v>
      </c>
      <c r="O253" s="19" t="str">
        <f>IFERROR(INDEX($I$247:$I$248, MATCH(2, $O$247:$O$248, 0)), "-")</f>
      </c>
    </row>
    <row r="254">
      <c r="F254" t="s">
        <v>343</v>
      </c>
      <c r="G254" s="19" t="str">
        <f>IFERROR(INDEX($A$247:$A$249, MATCH(2, $G$247:$G$249, 0)), "-")</f>
      </c>
    </row>
    <row r="255">
      <c r="F255" t="s">
        <v>344</v>
      </c>
      <c r="G255" s="19" t="str">
        <f>IFERROR(INDEX($A$247:$A$249, MATCH(3, $G$247:$G$249, 0)), "-")</f>
      </c>
    </row>
    <row r="257">
      <c r="A257" s="13" t="str">
        <f>'data'!$A$49</f>
      </c>
      <c r="B257" s="13"/>
      <c r="C257" s="13"/>
      <c r="D257" s="13"/>
      <c r="E257" s="13"/>
      <c r="F257" s="13"/>
      <c r="G257" s="13"/>
    </row>
    <row r="258">
      <c r="A258" s="17" t="s">
        <v>331</v>
      </c>
      <c r="D258" s="14" t="s">
        <v>332</v>
      </c>
      <c r="G258" s="16" t="s">
        <v>333</v>
      </c>
    </row>
    <row r="259">
      <c r="A259" s="14" t="str">
        <f>data!$E$49&amp;" "&amp;data!$B$49</f>
      </c>
      <c r="B259" s="18"/>
      <c r="C259" s="18"/>
      <c r="D259" s="18"/>
      <c r="E259" s="18"/>
      <c r="F259" s="18"/>
      <c r="G259" s="14" t="str">
        <f>data!$E$48&amp;" "&amp;data!$B$48</f>
      </c>
    </row>
    <row r="261">
      <c r="A261" s="13" t="s">
        <v>334</v>
      </c>
      <c r="B261" s="13" t="s">
        <v>335</v>
      </c>
      <c r="C261" s="13" t="s">
        <v>336</v>
      </c>
      <c r="D261" s="13" t="s">
        <v>337</v>
      </c>
      <c r="E261" s="13" t="s">
        <v>338</v>
      </c>
      <c r="F261" s="13" t="s">
        <v>339</v>
      </c>
      <c r="G261" s="13" t="s">
        <v>340</v>
      </c>
    </row>
    <row r="262">
      <c r="A262" s="14" t="str">
        <f>data!$E$48&amp;" "&amp;data!$B$48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data!$E$49&amp;" "&amp;data!$B$49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341</v>
      </c>
    </row>
    <row r="267">
      <c r="F267" t="s">
        <v>342</v>
      </c>
      <c r="G267" s="19" t="str">
        <f>IFERROR(INDEX($A$262:$A$263, MATCH(1, $G$262:$G$263, 0)), "-")</f>
      </c>
    </row>
    <row r="268">
      <c r="F268" t="s">
        <v>343</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345</v>
      </c>
      <c r="B2" s="13"/>
      <c r="C2" s="13"/>
      <c r="D2" s="13"/>
      <c r="E2" s="13"/>
      <c r="F2" s="13"/>
      <c r="G2" s="13"/>
      <c r="I2" s="13" t="s">
        <v>346</v>
      </c>
      <c r="J2" s="13"/>
      <c r="K2" s="13"/>
      <c r="L2" s="13"/>
      <c r="M2" s="13"/>
      <c r="N2" s="13"/>
      <c r="O2" s="13"/>
    </row>
    <row r="3">
      <c r="A3" s="17" t="s">
        <v>331</v>
      </c>
      <c r="D3" s="14" t="s">
        <v>332</v>
      </c>
      <c r="G3" s="16" t="s">
        <v>333</v>
      </c>
      <c r="I3" s="17" t="s">
        <v>331</v>
      </c>
      <c r="L3" s="14" t="s">
        <v>332</v>
      </c>
      <c r="O3" s="16" t="s">
        <v>333</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342</v>
      </c>
      <c r="G6" s="19"/>
      <c r="N6" t="s">
        <v>342</v>
      </c>
      <c r="O6" s="19"/>
    </row>
    <row r="7">
      <c r="F7" t="s">
        <v>343</v>
      </c>
      <c r="G7" s="19"/>
      <c r="N7" t="s">
        <v>343</v>
      </c>
      <c r="O7" s="19"/>
    </row>
    <row r="10">
      <c r="A10" s="13" t="s">
        <v>347</v>
      </c>
      <c r="B10" s="13"/>
      <c r="C10" s="13"/>
      <c r="D10" s="13"/>
      <c r="E10" s="13"/>
      <c r="F10" s="13"/>
      <c r="G10" s="13"/>
      <c r="I10" s="13" t="s">
        <v>348</v>
      </c>
      <c r="J10" s="13"/>
      <c r="K10" s="13"/>
      <c r="L10" s="13"/>
      <c r="M10" s="13"/>
      <c r="N10" s="13"/>
      <c r="O10" s="13"/>
    </row>
    <row r="11">
      <c r="A11" s="17" t="s">
        <v>331</v>
      </c>
      <c r="D11" s="14" t="s">
        <v>332</v>
      </c>
      <c r="G11" s="16" t="s">
        <v>333</v>
      </c>
      <c r="I11" s="17" t="s">
        <v>331</v>
      </c>
      <c r="L11" s="14" t="s">
        <v>332</v>
      </c>
      <c r="O11" s="16" t="s">
        <v>333</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342</v>
      </c>
      <c r="G14" s="19"/>
      <c r="N14" t="s">
        <v>342</v>
      </c>
      <c r="O14" s="19"/>
    </row>
    <row r="15">
      <c r="F15" t="s">
        <v>343</v>
      </c>
      <c r="G15" s="19"/>
      <c r="N15" t="s">
        <v>343</v>
      </c>
      <c r="O15" s="19"/>
    </row>
    <row r="18">
      <c r="A18" s="13" t="s">
        <v>349</v>
      </c>
      <c r="B18" s="13"/>
      <c r="C18" s="13"/>
      <c r="D18" s="13"/>
      <c r="E18" s="13"/>
      <c r="F18" s="13"/>
      <c r="G18" s="13"/>
      <c r="I18" s="13" t="s">
        <v>350</v>
      </c>
      <c r="J18" s="13"/>
      <c r="K18" s="13"/>
      <c r="L18" s="13"/>
      <c r="M18" s="13"/>
      <c r="N18" s="13"/>
      <c r="O18" s="13"/>
    </row>
    <row r="19">
      <c r="A19" s="17" t="s">
        <v>331</v>
      </c>
      <c r="D19" s="14" t="s">
        <v>332</v>
      </c>
      <c r="G19" s="16" t="s">
        <v>333</v>
      </c>
      <c r="I19" s="17" t="s">
        <v>331</v>
      </c>
      <c r="L19" s="14" t="s">
        <v>332</v>
      </c>
      <c r="O19" s="16" t="s">
        <v>333</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342</v>
      </c>
      <c r="G22" s="19"/>
      <c r="N22" t="s">
        <v>342</v>
      </c>
      <c r="O22" s="19"/>
    </row>
    <row r="23">
      <c r="F23" t="s">
        <v>343</v>
      </c>
      <c r="G23" s="19"/>
      <c r="N23" t="s">
        <v>343</v>
      </c>
      <c r="O23" s="19"/>
    </row>
    <row r="26">
      <c r="A26" s="13" t="s">
        <v>351</v>
      </c>
      <c r="B26" s="13"/>
      <c r="C26" s="13"/>
      <c r="D26" s="13"/>
      <c r="E26" s="13"/>
      <c r="F26" s="13"/>
      <c r="G26" s="13"/>
      <c r="I26" s="13" t="s">
        <v>352</v>
      </c>
      <c r="J26" s="13"/>
      <c r="K26" s="13"/>
      <c r="L26" s="13"/>
      <c r="M26" s="13"/>
      <c r="N26" s="13"/>
      <c r="O26" s="13"/>
    </row>
    <row r="27">
      <c r="A27" s="17" t="s">
        <v>331</v>
      </c>
      <c r="D27" s="14" t="s">
        <v>332</v>
      </c>
      <c r="G27" s="16" t="s">
        <v>333</v>
      </c>
      <c r="I27" s="17" t="s">
        <v>331</v>
      </c>
      <c r="L27" s="14" t="s">
        <v>332</v>
      </c>
      <c r="O27" s="16" t="s">
        <v>333</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342</v>
      </c>
      <c r="G30" s="19"/>
      <c r="N30" t="s">
        <v>342</v>
      </c>
      <c r="O30" s="19"/>
    </row>
    <row r="31">
      <c r="F31" t="s">
        <v>343</v>
      </c>
      <c r="G31" s="19"/>
      <c r="N31" t="s">
        <v>343</v>
      </c>
      <c r="O31"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342</v>
      </c>
      <c r="G38" s="19"/>
      <c r="N38" t="s">
        <v>342</v>
      </c>
      <c r="O38" s="19"/>
    </row>
    <row r="39">
      <c r="F39" t="s">
        <v>343</v>
      </c>
      <c r="G39" s="19"/>
      <c r="N39" t="s">
        <v>343</v>
      </c>
      <c r="O39" s="19"/>
    </row>
    <row r="42">
      <c r="A42" s="13" t="s">
        <v>355</v>
      </c>
      <c r="B42" s="13"/>
      <c r="C42" s="13"/>
      <c r="D42" s="13"/>
      <c r="E42" s="13"/>
      <c r="F42" s="13"/>
      <c r="G42" s="13"/>
      <c r="I42" s="13" t="s">
        <v>356</v>
      </c>
      <c r="J42" s="13"/>
      <c r="K42" s="13"/>
      <c r="L42" s="13"/>
      <c r="M42" s="13"/>
      <c r="N42" s="13"/>
      <c r="O42" s="13"/>
    </row>
    <row r="43">
      <c r="A43" s="17" t="s">
        <v>331</v>
      </c>
      <c r="D43" s="14" t="s">
        <v>332</v>
      </c>
      <c r="G43" s="16" t="s">
        <v>333</v>
      </c>
      <c r="I43" s="17" t="s">
        <v>331</v>
      </c>
      <c r="L43" s="14" t="s">
        <v>332</v>
      </c>
      <c r="O43" s="16" t="s">
        <v>333</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342</v>
      </c>
      <c r="G46" s="19"/>
      <c r="N46" t="s">
        <v>342</v>
      </c>
      <c r="O46" s="19"/>
    </row>
    <row r="47">
      <c r="F47" t="s">
        <v>343</v>
      </c>
      <c r="G47" s="19"/>
      <c r="N47" t="s">
        <v>343</v>
      </c>
      <c r="O47" s="19"/>
    </row>
    <row r="50">
      <c r="A50" s="13" t="s">
        <v>357</v>
      </c>
      <c r="B50" s="13"/>
      <c r="C50" s="13"/>
      <c r="D50" s="13"/>
      <c r="E50" s="13"/>
      <c r="F50" s="13"/>
      <c r="G50" s="13"/>
      <c r="I50" s="13" t="s">
        <v>358</v>
      </c>
      <c r="J50" s="13"/>
      <c r="K50" s="13"/>
      <c r="L50" s="13"/>
      <c r="M50" s="13"/>
      <c r="N50" s="13"/>
      <c r="O50" s="13"/>
    </row>
    <row r="51">
      <c r="A51" s="17" t="s">
        <v>331</v>
      </c>
      <c r="D51" s="14" t="s">
        <v>332</v>
      </c>
      <c r="G51" s="16" t="s">
        <v>333</v>
      </c>
      <c r="I51" s="17" t="s">
        <v>331</v>
      </c>
      <c r="L51" s="14" t="s">
        <v>332</v>
      </c>
      <c r="O51" s="16" t="s">
        <v>333</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342</v>
      </c>
      <c r="G54" s="19"/>
      <c r="N54" t="s">
        <v>342</v>
      </c>
      <c r="O54" s="19"/>
    </row>
    <row r="55">
      <c r="F55" t="s">
        <v>343</v>
      </c>
      <c r="G55" s="19"/>
      <c r="N55" t="s">
        <v>343</v>
      </c>
      <c r="O55" s="19"/>
    </row>
    <row r="58">
      <c r="A58" s="13" t="s">
        <v>359</v>
      </c>
      <c r="B58" s="13"/>
      <c r="C58" s="13"/>
      <c r="D58" s="13"/>
      <c r="E58" s="13"/>
      <c r="F58" s="13"/>
      <c r="G58" s="13"/>
      <c r="I58" s="13" t="s">
        <v>360</v>
      </c>
      <c r="J58" s="13"/>
      <c r="K58" s="13"/>
      <c r="L58" s="13"/>
      <c r="M58" s="13"/>
      <c r="N58" s="13"/>
      <c r="O58" s="13"/>
    </row>
    <row r="59">
      <c r="A59" s="17" t="s">
        <v>331</v>
      </c>
      <c r="D59" s="14" t="s">
        <v>332</v>
      </c>
      <c r="G59" s="16" t="s">
        <v>333</v>
      </c>
      <c r="I59" s="17" t="s">
        <v>331</v>
      </c>
      <c r="L59" s="14" t="s">
        <v>332</v>
      </c>
      <c r="O59" s="16" t="s">
        <v>333</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342</v>
      </c>
      <c r="G62" s="19"/>
      <c r="N62" t="s">
        <v>342</v>
      </c>
      <c r="O62" s="19"/>
    </row>
    <row r="63">
      <c r="F63" t="s">
        <v>343</v>
      </c>
      <c r="G63" s="19"/>
      <c r="N63" t="s">
        <v>343</v>
      </c>
      <c r="O63" s="19"/>
    </row>
    <row r="66">
      <c r="A66" s="13" t="s">
        <v>361</v>
      </c>
      <c r="B66" s="13"/>
      <c r="C66" s="13"/>
      <c r="D66" s="13"/>
      <c r="E66" s="13"/>
      <c r="F66" s="13"/>
      <c r="G66" s="13"/>
      <c r="I66" s="13" t="s">
        <v>362</v>
      </c>
      <c r="J66" s="13"/>
      <c r="K66" s="13"/>
      <c r="L66" s="13"/>
      <c r="M66" s="13"/>
      <c r="N66" s="13"/>
      <c r="O66" s="13"/>
    </row>
    <row r="67">
      <c r="A67" s="17" t="s">
        <v>331</v>
      </c>
      <c r="D67" s="14" t="s">
        <v>332</v>
      </c>
      <c r="G67" s="16" t="s">
        <v>333</v>
      </c>
      <c r="I67" s="17" t="s">
        <v>331</v>
      </c>
      <c r="L67" s="14" t="s">
        <v>332</v>
      </c>
      <c r="O67" s="16" t="s">
        <v>333</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342</v>
      </c>
      <c r="G70" s="19"/>
      <c r="N70" t="s">
        <v>342</v>
      </c>
      <c r="O70" s="19"/>
    </row>
    <row r="71">
      <c r="F71" t="s">
        <v>343</v>
      </c>
      <c r="G71" s="19"/>
      <c r="N71" t="s">
        <v>343</v>
      </c>
      <c r="O71" s="19"/>
    </row>
    <row r="74">
      <c r="A74" s="13" t="s">
        <v>363</v>
      </c>
      <c r="B74" s="13"/>
      <c r="C74" s="13"/>
      <c r="D74" s="13"/>
      <c r="E74" s="13"/>
      <c r="F74" s="13"/>
      <c r="G74" s="13"/>
      <c r="I74" s="13" t="s">
        <v>364</v>
      </c>
      <c r="J74" s="13"/>
      <c r="K74" s="13"/>
      <c r="L74" s="13"/>
      <c r="M74" s="13"/>
      <c r="N74" s="13"/>
      <c r="O74" s="13"/>
    </row>
    <row r="75">
      <c r="A75" s="17" t="s">
        <v>331</v>
      </c>
      <c r="D75" s="14" t="s">
        <v>332</v>
      </c>
      <c r="G75" s="16" t="s">
        <v>333</v>
      </c>
      <c r="I75" s="17" t="s">
        <v>331</v>
      </c>
      <c r="L75" s="14" t="s">
        <v>332</v>
      </c>
      <c r="O75" s="16" t="s">
        <v>333</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342</v>
      </c>
      <c r="G78" s="19"/>
      <c r="N78" t="s">
        <v>342</v>
      </c>
      <c r="O78" s="19"/>
    </row>
    <row r="79">
      <c r="F79" t="s">
        <v>343</v>
      </c>
      <c r="G79" s="19"/>
      <c r="N79" t="s">
        <v>343</v>
      </c>
      <c r="O79" s="19"/>
    </row>
    <row r="82">
      <c r="A82" s="13" t="s">
        <v>365</v>
      </c>
      <c r="B82" s="13"/>
      <c r="C82" s="13"/>
      <c r="D82" s="13"/>
      <c r="E82" s="13"/>
      <c r="F82" s="13"/>
      <c r="G82" s="13"/>
      <c r="I82" s="13" t="s">
        <v>366</v>
      </c>
      <c r="J82" s="13"/>
      <c r="K82" s="13"/>
      <c r="L82" s="13"/>
      <c r="M82" s="13"/>
      <c r="N82" s="13"/>
      <c r="O82" s="13"/>
    </row>
    <row r="83">
      <c r="A83" s="17" t="s">
        <v>331</v>
      </c>
      <c r="D83" s="14" t="s">
        <v>332</v>
      </c>
      <c r="G83" s="16" t="s">
        <v>333</v>
      </c>
      <c r="I83" s="17" t="s">
        <v>331</v>
      </c>
      <c r="L83" s="14" t="s">
        <v>332</v>
      </c>
      <c r="O83" s="16" t="s">
        <v>333</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BB-1st ",'Pool Matches'!O202)</f>
      </c>
    </row>
    <row r="86">
      <c r="F86" t="s">
        <v>342</v>
      </c>
      <c r="G86" s="19"/>
      <c r="N86" t="s">
        <v>342</v>
      </c>
      <c r="O86" s="19"/>
    </row>
    <row r="87">
      <c r="F87" t="s">
        <v>343</v>
      </c>
      <c r="G87" s="19"/>
      <c r="N87" t="s">
        <v>343</v>
      </c>
      <c r="O87" s="19"/>
    </row>
    <row r="90">
      <c r="A90" s="13" t="s">
        <v>367</v>
      </c>
      <c r="B90" s="13"/>
      <c r="C90" s="13"/>
      <c r="D90" s="13"/>
      <c r="E90" s="13"/>
      <c r="F90" s="13"/>
      <c r="G90" s="13"/>
      <c r="I90" s="13" t="s">
        <v>368</v>
      </c>
      <c r="J90" s="13"/>
      <c r="K90" s="13"/>
      <c r="L90" s="13"/>
      <c r="M90" s="13"/>
      <c r="N90" s="13"/>
      <c r="O90" s="13"/>
    </row>
    <row r="91">
      <c r="A91" s="17" t="s">
        <v>331</v>
      </c>
      <c r="D91" s="14" t="s">
        <v>332</v>
      </c>
      <c r="G91" s="16" t="s">
        <v>333</v>
      </c>
      <c r="I91" s="17" t="s">
        <v>331</v>
      </c>
      <c r="L91" s="14" t="s">
        <v>332</v>
      </c>
      <c r="O91" s="16" t="s">
        <v>333</v>
      </c>
    </row>
    <row r="92">
      <c r="A92" s="14" t="str">
        <f>CONCATENATE("Pool BB-2nd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CC-1st ",'Pool Matches'!O219)</f>
      </c>
    </row>
    <row r="94">
      <c r="F94" t="s">
        <v>342</v>
      </c>
      <c r="G94" s="19"/>
      <c r="N94" t="s">
        <v>342</v>
      </c>
      <c r="O94" s="19"/>
    </row>
    <row r="95">
      <c r="F95" t="s">
        <v>343</v>
      </c>
      <c r="G95" s="19"/>
      <c r="N95" t="s">
        <v>343</v>
      </c>
      <c r="O95" s="19"/>
    </row>
    <row r="98">
      <c r="A98" s="13" t="s">
        <v>369</v>
      </c>
      <c r="B98" s="13"/>
      <c r="C98" s="13"/>
      <c r="D98" s="13"/>
      <c r="E98" s="13"/>
      <c r="F98" s="13"/>
      <c r="G98" s="13"/>
      <c r="I98" s="13" t="s">
        <v>370</v>
      </c>
      <c r="J98" s="13"/>
      <c r="K98" s="13"/>
      <c r="L98" s="13"/>
      <c r="M98" s="13"/>
      <c r="N98" s="13"/>
      <c r="O98" s="13"/>
    </row>
    <row r="99">
      <c r="A99" s="17" t="s">
        <v>331</v>
      </c>
      <c r="D99" s="14" t="s">
        <v>332</v>
      </c>
      <c r="G99" s="16" t="s">
        <v>333</v>
      </c>
      <c r="I99" s="17" t="s">
        <v>331</v>
      </c>
      <c r="L99" s="14" t="s">
        <v>332</v>
      </c>
      <c r="O99" s="16" t="s">
        <v>333</v>
      </c>
    </row>
    <row r="100">
      <c r="A100" s="14" t="str">
        <f>CONCATENATE("Pool CC-2nd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DD-1st ",'Pool Matches'!O236)</f>
      </c>
    </row>
    <row r="102">
      <c r="F102" t="s">
        <v>342</v>
      </c>
      <c r="G102" s="19"/>
      <c r="N102" t="s">
        <v>342</v>
      </c>
      <c r="O102" s="19"/>
    </row>
    <row r="103">
      <c r="F103" t="s">
        <v>343</v>
      </c>
      <c r="G103" s="19"/>
      <c r="N103" t="s">
        <v>343</v>
      </c>
      <c r="O103" s="19"/>
    </row>
    <row r="106">
      <c r="A106" s="13" t="s">
        <v>371</v>
      </c>
      <c r="B106" s="13"/>
      <c r="C106" s="13"/>
      <c r="D106" s="13"/>
      <c r="E106" s="13"/>
      <c r="F106" s="13"/>
      <c r="G106" s="13"/>
      <c r="I106" s="13" t="s">
        <v>372</v>
      </c>
      <c r="J106" s="13"/>
      <c r="K106" s="13"/>
      <c r="L106" s="13"/>
      <c r="M106" s="13"/>
      <c r="N106" s="13"/>
      <c r="O106" s="13"/>
    </row>
    <row r="107">
      <c r="A107" s="17" t="s">
        <v>331</v>
      </c>
      <c r="D107" s="14" t="s">
        <v>332</v>
      </c>
      <c r="G107" s="16" t="s">
        <v>333</v>
      </c>
      <c r="I107" s="17" t="s">
        <v>331</v>
      </c>
      <c r="L107" s="14" t="s">
        <v>332</v>
      </c>
      <c r="O107" s="16" t="s">
        <v>333</v>
      </c>
    </row>
    <row r="108">
      <c r="A108" s="14" t="str">
        <f>CONCATENATE("Pool DD-2nd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EE-1st ",'Pool Matches'!O252)</f>
      </c>
    </row>
    <row r="110">
      <c r="F110" t="s">
        <v>342</v>
      </c>
      <c r="G110" s="19"/>
      <c r="N110" t="s">
        <v>342</v>
      </c>
      <c r="O110" s="19"/>
    </row>
    <row r="111">
      <c r="F111" t="s">
        <v>343</v>
      </c>
      <c r="G111" s="19"/>
      <c r="N111" t="s">
        <v>343</v>
      </c>
      <c r="O111" s="19"/>
    </row>
    <row r="114">
      <c r="A114" s="13" t="s">
        <v>373</v>
      </c>
      <c r="B114" s="13"/>
      <c r="C114" s="13"/>
      <c r="D114" s="13"/>
      <c r="E114" s="13"/>
      <c r="F114" s="13"/>
      <c r="G114" s="13"/>
      <c r="I114" s="13" t="s">
        <v>374</v>
      </c>
      <c r="J114" s="13"/>
      <c r="K114" s="13"/>
      <c r="L114" s="13"/>
      <c r="M114" s="13"/>
      <c r="N114" s="13"/>
      <c r="O114" s="13"/>
    </row>
    <row r="115">
      <c r="A115" s="17" t="s">
        <v>331</v>
      </c>
      <c r="D115" s="14" t="s">
        <v>332</v>
      </c>
      <c r="G115" s="16" t="s">
        <v>333</v>
      </c>
      <c r="I115" s="17" t="s">
        <v>331</v>
      </c>
      <c r="L115" s="14" t="s">
        <v>332</v>
      </c>
      <c r="O115" s="16" t="s">
        <v>333</v>
      </c>
    </row>
    <row r="116">
      <c r="A116" s="14" t="str">
        <f>CONCATENATE("Pool EE-2nd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342</v>
      </c>
      <c r="G118" s="19"/>
      <c r="N118" t="s">
        <v>342</v>
      </c>
      <c r="O118" s="19"/>
    </row>
    <row r="119">
      <c r="F119" t="s">
        <v>343</v>
      </c>
      <c r="G119" s="19"/>
      <c r="N119" t="s">
        <v>343</v>
      </c>
      <c r="O119" s="19"/>
    </row>
    <row r="127">
      <c r="A127" s="13" t="s">
        <v>375</v>
      </c>
      <c r="B127" s="13"/>
      <c r="C127" s="13"/>
      <c r="D127" s="13"/>
      <c r="E127" s="13"/>
      <c r="F127" s="13"/>
      <c r="G127" s="13"/>
      <c r="I127" s="13" t="s">
        <v>376</v>
      </c>
      <c r="J127" s="13"/>
      <c r="K127" s="13"/>
      <c r="L127" s="13"/>
      <c r="M127" s="13"/>
      <c r="N127" s="13"/>
      <c r="O127" s="13"/>
    </row>
    <row r="128">
      <c r="A128" s="17" t="s">
        <v>331</v>
      </c>
      <c r="D128" s="14" t="s">
        <v>332</v>
      </c>
      <c r="G128" s="16" t="s">
        <v>333</v>
      </c>
      <c r="I128" s="17" t="s">
        <v>331</v>
      </c>
      <c r="L128" s="14" t="s">
        <v>332</v>
      </c>
      <c r="O128" s="16" t="s">
        <v>333</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342</v>
      </c>
      <c r="G131" s="19"/>
      <c r="N131" t="s">
        <v>342</v>
      </c>
      <c r="O131" s="19"/>
    </row>
    <row r="132">
      <c r="F132" t="s">
        <v>343</v>
      </c>
      <c r="G132" s="19"/>
      <c r="N132" t="s">
        <v>343</v>
      </c>
      <c r="O132" s="19"/>
    </row>
    <row r="135">
      <c r="A135" s="13" t="s">
        <v>377</v>
      </c>
      <c r="B135" s="13"/>
      <c r="C135" s="13"/>
      <c r="D135" s="13"/>
      <c r="E135" s="13"/>
      <c r="F135" s="13"/>
      <c r="G135" s="13"/>
      <c r="I135" s="13" t="s">
        <v>378</v>
      </c>
      <c r="J135" s="13"/>
      <c r="K135" s="13"/>
      <c r="L135" s="13"/>
      <c r="M135" s="13"/>
      <c r="N135" s="13"/>
      <c r="O135" s="13"/>
    </row>
    <row r="136">
      <c r="A136" s="17" t="s">
        <v>331</v>
      </c>
      <c r="D136" s="14" t="s">
        <v>332</v>
      </c>
      <c r="G136" s="16" t="s">
        <v>333</v>
      </c>
      <c r="I136" s="17" t="s">
        <v>331</v>
      </c>
      <c r="L136" s="14" t="s">
        <v>332</v>
      </c>
      <c r="O136" s="16" t="s">
        <v>333</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342</v>
      </c>
      <c r="G139" s="19"/>
      <c r="N139" t="s">
        <v>342</v>
      </c>
      <c r="O139" s="19"/>
    </row>
    <row r="140">
      <c r="F140" t="s">
        <v>343</v>
      </c>
      <c r="G140" s="19"/>
      <c r="N140" t="s">
        <v>343</v>
      </c>
      <c r="O140" s="19"/>
    </row>
    <row r="143">
      <c r="A143" s="13" t="s">
        <v>379</v>
      </c>
      <c r="B143" s="13"/>
      <c r="C143" s="13"/>
      <c r="D143" s="13"/>
      <c r="E143" s="13"/>
      <c r="F143" s="13"/>
      <c r="G143" s="13"/>
      <c r="I143" s="13" t="s">
        <v>380</v>
      </c>
      <c r="J143" s="13"/>
      <c r="K143" s="13"/>
      <c r="L143" s="13"/>
      <c r="M143" s="13"/>
      <c r="N143" s="13"/>
      <c r="O143" s="13"/>
    </row>
    <row r="144">
      <c r="A144" s="17" t="s">
        <v>331</v>
      </c>
      <c r="D144" s="14" t="s">
        <v>332</v>
      </c>
      <c r="G144" s="16" t="s">
        <v>333</v>
      </c>
      <c r="I144" s="17" t="s">
        <v>331</v>
      </c>
      <c r="L144" s="14" t="s">
        <v>332</v>
      </c>
      <c r="O144" s="16" t="s">
        <v>333</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342</v>
      </c>
      <c r="G147" s="19"/>
      <c r="N147" t="s">
        <v>342</v>
      </c>
      <c r="O147" s="19"/>
    </row>
    <row r="148">
      <c r="F148" t="s">
        <v>343</v>
      </c>
      <c r="G148" s="19"/>
      <c r="N148" t="s">
        <v>343</v>
      </c>
      <c r="O148" s="19"/>
    </row>
    <row r="151">
      <c r="A151" s="13" t="s">
        <v>381</v>
      </c>
      <c r="B151" s="13"/>
      <c r="C151" s="13"/>
      <c r="D151" s="13"/>
      <c r="E151" s="13"/>
      <c r="F151" s="13"/>
      <c r="G151" s="13"/>
      <c r="I151" s="13" t="s">
        <v>382</v>
      </c>
      <c r="J151" s="13"/>
      <c r="K151" s="13"/>
      <c r="L151" s="13"/>
      <c r="M151" s="13"/>
      <c r="N151" s="13"/>
      <c r="O151" s="13"/>
    </row>
    <row r="152">
      <c r="A152" s="17" t="s">
        <v>331</v>
      </c>
      <c r="D152" s="14" t="s">
        <v>332</v>
      </c>
      <c r="G152" s="16" t="s">
        <v>333</v>
      </c>
      <c r="I152" s="17" t="s">
        <v>331</v>
      </c>
      <c r="L152" s="14" t="s">
        <v>332</v>
      </c>
      <c r="O152" s="16" t="s">
        <v>333</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342</v>
      </c>
      <c r="G155" s="19"/>
      <c r="N155" t="s">
        <v>342</v>
      </c>
      <c r="O155" s="19"/>
    </row>
    <row r="156">
      <c r="F156" t="s">
        <v>343</v>
      </c>
      <c r="G156" s="19"/>
      <c r="N156" t="s">
        <v>343</v>
      </c>
      <c r="O156" s="19"/>
    </row>
    <row r="159">
      <c r="A159" s="13" t="s">
        <v>383</v>
      </c>
      <c r="B159" s="13"/>
      <c r="C159" s="13"/>
      <c r="D159" s="13"/>
      <c r="E159" s="13"/>
      <c r="F159" s="13"/>
      <c r="G159" s="13"/>
      <c r="I159" s="13" t="s">
        <v>384</v>
      </c>
      <c r="J159" s="13"/>
      <c r="K159" s="13"/>
      <c r="L159" s="13"/>
      <c r="M159" s="13"/>
      <c r="N159" s="13"/>
      <c r="O159" s="13"/>
    </row>
    <row r="160">
      <c r="A160" s="17" t="s">
        <v>331</v>
      </c>
      <c r="D160" s="14" t="s">
        <v>332</v>
      </c>
      <c r="G160" s="16" t="s">
        <v>333</v>
      </c>
      <c r="I160" s="17" t="s">
        <v>331</v>
      </c>
      <c r="L160" s="14" t="s">
        <v>332</v>
      </c>
      <c r="O160" s="16" t="s">
        <v>333</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342</v>
      </c>
      <c r="G163" s="19"/>
      <c r="N163" t="s">
        <v>342</v>
      </c>
      <c r="O163" s="19"/>
    </row>
    <row r="164">
      <c r="F164" t="s">
        <v>343</v>
      </c>
      <c r="G164" s="19"/>
      <c r="N164" t="s">
        <v>343</v>
      </c>
      <c r="O164" s="19"/>
    </row>
    <row r="167">
      <c r="A167" s="13" t="s">
        <v>385</v>
      </c>
      <c r="B167" s="13"/>
      <c r="C167" s="13"/>
      <c r="D167" s="13"/>
      <c r="E167" s="13"/>
      <c r="F167" s="13"/>
      <c r="G167" s="13"/>
      <c r="I167" s="13" t="s">
        <v>386</v>
      </c>
      <c r="J167" s="13"/>
      <c r="K167" s="13"/>
      <c r="L167" s="13"/>
      <c r="M167" s="13"/>
      <c r="N167" s="13"/>
      <c r="O167" s="13"/>
    </row>
    <row r="168">
      <c r="A168" s="17" t="s">
        <v>331</v>
      </c>
      <c r="D168" s="14" t="s">
        <v>332</v>
      </c>
      <c r="G168" s="16" t="s">
        <v>333</v>
      </c>
      <c r="I168" s="17" t="s">
        <v>331</v>
      </c>
      <c r="L168" s="14" t="s">
        <v>332</v>
      </c>
      <c r="O168" s="16" t="s">
        <v>333</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342</v>
      </c>
      <c r="G171" s="19"/>
      <c r="N171" t="s">
        <v>342</v>
      </c>
      <c r="O171" s="19"/>
    </row>
    <row r="172">
      <c r="F172" t="s">
        <v>343</v>
      </c>
      <c r="G172" s="19"/>
      <c r="N172" t="s">
        <v>343</v>
      </c>
      <c r="O172" s="19"/>
    </row>
    <row r="175">
      <c r="A175" s="13" t="s">
        <v>387</v>
      </c>
      <c r="B175" s="13"/>
      <c r="C175" s="13"/>
      <c r="D175" s="13"/>
      <c r="E175" s="13"/>
      <c r="F175" s="13"/>
      <c r="G175" s="13"/>
      <c r="I175" s="13" t="s">
        <v>388</v>
      </c>
      <c r="J175" s="13"/>
      <c r="K175" s="13"/>
      <c r="L175" s="13"/>
      <c r="M175" s="13"/>
      <c r="N175" s="13"/>
      <c r="O175" s="13"/>
    </row>
    <row r="176">
      <c r="A176" s="17" t="s">
        <v>331</v>
      </c>
      <c r="D176" s="14" t="s">
        <v>332</v>
      </c>
      <c r="G176" s="16" t="s">
        <v>333</v>
      </c>
      <c r="I176" s="17" t="s">
        <v>331</v>
      </c>
      <c r="L176" s="14" t="s">
        <v>332</v>
      </c>
      <c r="O176" s="16" t="s">
        <v>333</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342</v>
      </c>
      <c r="G179" s="19"/>
      <c r="N179" t="s">
        <v>342</v>
      </c>
      <c r="O179" s="19"/>
    </row>
    <row r="180">
      <c r="F180" t="s">
        <v>343</v>
      </c>
      <c r="G180" s="19"/>
      <c r="N180" t="s">
        <v>343</v>
      </c>
      <c r="O180" s="19"/>
    </row>
    <row r="183">
      <c r="A183" s="13" t="s">
        <v>389</v>
      </c>
      <c r="B183" s="13"/>
      <c r="C183" s="13"/>
      <c r="D183" s="13"/>
      <c r="E183" s="13"/>
      <c r="F183" s="13"/>
      <c r="G183" s="13"/>
      <c r="I183" s="13" t="s">
        <v>390</v>
      </c>
      <c r="J183" s="13"/>
      <c r="K183" s="13"/>
      <c r="L183" s="13"/>
      <c r="M183" s="13"/>
      <c r="N183" s="13"/>
      <c r="O183" s="13"/>
    </row>
    <row r="184">
      <c r="A184" s="17" t="s">
        <v>331</v>
      </c>
      <c r="D184" s="14" t="s">
        <v>332</v>
      </c>
      <c r="G184" s="16" t="s">
        <v>333</v>
      </c>
      <c r="I184" s="17" t="s">
        <v>331</v>
      </c>
      <c r="L184" s="14" t="s">
        <v>332</v>
      </c>
      <c r="O184" s="16" t="s">
        <v>333</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342</v>
      </c>
      <c r="G187" s="19"/>
      <c r="N187" t="s">
        <v>342</v>
      </c>
      <c r="O187" s="19"/>
    </row>
    <row r="188">
      <c r="F188" t="s">
        <v>343</v>
      </c>
      <c r="G188" s="19"/>
      <c r="N188" t="s">
        <v>343</v>
      </c>
      <c r="O188" s="19"/>
    </row>
    <row r="196">
      <c r="A196" s="13" t="s">
        <v>391</v>
      </c>
      <c r="B196" s="13"/>
      <c r="C196" s="13"/>
      <c r="D196" s="13"/>
      <c r="E196" s="13"/>
      <c r="F196" s="13"/>
      <c r="G196" s="13"/>
      <c r="I196" s="13" t="s">
        <v>392</v>
      </c>
      <c r="J196" s="13"/>
      <c r="K196" s="13"/>
      <c r="L196" s="13"/>
      <c r="M196" s="13"/>
      <c r="N196" s="13"/>
      <c r="O196" s="13"/>
    </row>
    <row r="197">
      <c r="A197" s="17" t="s">
        <v>331</v>
      </c>
      <c r="D197" s="14" t="s">
        <v>332</v>
      </c>
      <c r="G197" s="16" t="s">
        <v>333</v>
      </c>
      <c r="I197" s="17" t="s">
        <v>331</v>
      </c>
      <c r="L197" s="14" t="s">
        <v>332</v>
      </c>
      <c r="O197" s="16" t="s">
        <v>333</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342</v>
      </c>
      <c r="G200" s="19"/>
      <c r="N200" t="s">
        <v>342</v>
      </c>
      <c r="O200" s="19"/>
    </row>
    <row r="201">
      <c r="F201" t="s">
        <v>343</v>
      </c>
      <c r="G201" s="19"/>
      <c r="N201" t="s">
        <v>343</v>
      </c>
      <c r="O201" s="19"/>
    </row>
    <row r="204">
      <c r="A204" s="13" t="s">
        <v>393</v>
      </c>
      <c r="B204" s="13"/>
      <c r="C204" s="13"/>
      <c r="D204" s="13"/>
      <c r="E204" s="13"/>
      <c r="F204" s="13"/>
      <c r="G204" s="13"/>
      <c r="I204" s="13" t="s">
        <v>394</v>
      </c>
      <c r="J204" s="13"/>
      <c r="K204" s="13"/>
      <c r="L204" s="13"/>
      <c r="M204" s="13"/>
      <c r="N204" s="13"/>
      <c r="O204" s="13"/>
    </row>
    <row r="205">
      <c r="A205" s="17" t="s">
        <v>331</v>
      </c>
      <c r="D205" s="14" t="s">
        <v>332</v>
      </c>
      <c r="G205" s="16" t="s">
        <v>333</v>
      </c>
      <c r="I205" s="17" t="s">
        <v>331</v>
      </c>
      <c r="L205" s="14" t="s">
        <v>332</v>
      </c>
      <c r="O205" s="16" t="s">
        <v>333</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342</v>
      </c>
      <c r="G208" s="19"/>
      <c r="N208" t="s">
        <v>342</v>
      </c>
      <c r="O208" s="19"/>
    </row>
    <row r="209">
      <c r="F209" t="s">
        <v>343</v>
      </c>
      <c r="G209" s="19"/>
      <c r="N209" t="s">
        <v>343</v>
      </c>
      <c r="O209" s="19"/>
    </row>
    <row r="212">
      <c r="A212" s="13" t="s">
        <v>395</v>
      </c>
      <c r="B212" s="13"/>
      <c r="C212" s="13"/>
      <c r="D212" s="13"/>
      <c r="E212" s="13"/>
      <c r="F212" s="13"/>
      <c r="G212" s="13"/>
      <c r="I212" s="13" t="s">
        <v>396</v>
      </c>
      <c r="J212" s="13"/>
      <c r="K212" s="13"/>
      <c r="L212" s="13"/>
      <c r="M212" s="13"/>
      <c r="N212" s="13"/>
      <c r="O212" s="13"/>
    </row>
    <row r="213">
      <c r="A213" s="17" t="s">
        <v>331</v>
      </c>
      <c r="D213" s="14" t="s">
        <v>332</v>
      </c>
      <c r="G213" s="16" t="s">
        <v>333</v>
      </c>
      <c r="I213" s="17" t="s">
        <v>331</v>
      </c>
      <c r="L213" s="14" t="s">
        <v>332</v>
      </c>
      <c r="O213" s="16" t="s">
        <v>333</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342</v>
      </c>
      <c r="G216" s="19"/>
      <c r="N216" t="s">
        <v>342</v>
      </c>
      <c r="O216" s="19"/>
    </row>
    <row r="217">
      <c r="F217" t="s">
        <v>343</v>
      </c>
      <c r="G217" s="19"/>
      <c r="N217" t="s">
        <v>343</v>
      </c>
      <c r="O217" s="19"/>
    </row>
    <row r="220">
      <c r="A220" s="13" t="s">
        <v>397</v>
      </c>
      <c r="B220" s="13"/>
      <c r="C220" s="13"/>
      <c r="D220" s="13"/>
      <c r="E220" s="13"/>
      <c r="F220" s="13"/>
      <c r="G220" s="13"/>
      <c r="I220" s="13" t="s">
        <v>398</v>
      </c>
      <c r="J220" s="13"/>
      <c r="K220" s="13"/>
      <c r="L220" s="13"/>
      <c r="M220" s="13"/>
      <c r="N220" s="13"/>
      <c r="O220" s="13"/>
    </row>
    <row r="221">
      <c r="A221" s="17" t="s">
        <v>331</v>
      </c>
      <c r="D221" s="14" t="s">
        <v>332</v>
      </c>
      <c r="G221" s="16" t="s">
        <v>333</v>
      </c>
      <c r="I221" s="17" t="s">
        <v>331</v>
      </c>
      <c r="L221" s="14" t="s">
        <v>332</v>
      </c>
      <c r="O221" s="16" t="s">
        <v>333</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342</v>
      </c>
      <c r="G224" s="19"/>
      <c r="N224" t="s">
        <v>342</v>
      </c>
      <c r="O224" s="19"/>
    </row>
    <row r="225">
      <c r="F225" t="s">
        <v>343</v>
      </c>
      <c r="G225" s="19"/>
      <c r="N225" t="s">
        <v>343</v>
      </c>
      <c r="O225" s="19"/>
    </row>
    <row r="233">
      <c r="A233" s="13" t="s">
        <v>399</v>
      </c>
      <c r="B233" s="13"/>
      <c r="C233" s="13"/>
      <c r="D233" s="13"/>
      <c r="E233" s="13"/>
      <c r="F233" s="13"/>
      <c r="G233" s="13"/>
      <c r="I233" s="13" t="s">
        <v>400</v>
      </c>
      <c r="J233" s="13"/>
      <c r="K233" s="13"/>
      <c r="L233" s="13"/>
      <c r="M233" s="13"/>
      <c r="N233" s="13"/>
      <c r="O233" s="13"/>
    </row>
    <row r="234">
      <c r="A234" s="17" t="s">
        <v>331</v>
      </c>
      <c r="D234" s="14" t="s">
        <v>332</v>
      </c>
      <c r="G234" s="16" t="s">
        <v>333</v>
      </c>
      <c r="I234" s="17" t="s">
        <v>331</v>
      </c>
      <c r="L234" s="14" t="s">
        <v>332</v>
      </c>
      <c r="O234" s="16" t="s">
        <v>333</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342</v>
      </c>
      <c r="G237" s="19"/>
      <c r="N237" t="s">
        <v>342</v>
      </c>
      <c r="O237" s="19"/>
    </row>
    <row r="238">
      <c r="F238" t="s">
        <v>343</v>
      </c>
      <c r="G238" s="19"/>
      <c r="N238" t="s">
        <v>343</v>
      </c>
      <c r="O238" s="19"/>
    </row>
    <row r="241">
      <c r="A241" s="13" t="s">
        <v>401</v>
      </c>
      <c r="B241" s="13"/>
      <c r="C241" s="13"/>
      <c r="D241" s="13"/>
      <c r="E241" s="13"/>
      <c r="F241" s="13"/>
      <c r="G241" s="13"/>
      <c r="I241" s="13" t="s">
        <v>402</v>
      </c>
      <c r="J241" s="13"/>
      <c r="K241" s="13"/>
      <c r="L241" s="13"/>
      <c r="M241" s="13"/>
      <c r="N241" s="13"/>
      <c r="O241" s="13"/>
    </row>
    <row r="242">
      <c r="A242" s="17" t="s">
        <v>331</v>
      </c>
      <c r="D242" s="14" t="s">
        <v>332</v>
      </c>
      <c r="G242" s="16" t="s">
        <v>333</v>
      </c>
      <c r="I242" s="17" t="s">
        <v>331</v>
      </c>
      <c r="L242" s="14" t="s">
        <v>332</v>
      </c>
      <c r="O242" s="16" t="s">
        <v>333</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342</v>
      </c>
      <c r="G245" s="19"/>
      <c r="N245" t="s">
        <v>342</v>
      </c>
      <c r="O245" s="19"/>
    </row>
    <row r="246">
      <c r="F246" t="s">
        <v>343</v>
      </c>
      <c r="G246" s="19"/>
      <c r="N246" t="s">
        <v>343</v>
      </c>
      <c r="O246" s="19"/>
    </row>
    <row r="254">
      <c r="A254" s="13" t="s">
        <v>403</v>
      </c>
      <c r="B254" s="13"/>
      <c r="C254" s="13"/>
      <c r="D254" s="13"/>
      <c r="E254" s="13"/>
      <c r="F254" s="13"/>
      <c r="G254" s="13"/>
      <c r="I254" s="13" t="s">
        <v>404</v>
      </c>
      <c r="J254" s="13"/>
      <c r="K254" s="13"/>
      <c r="L254" s="13"/>
      <c r="M254" s="13"/>
      <c r="N254" s="13"/>
      <c r="O254" s="13"/>
    </row>
    <row r="255">
      <c r="A255" s="17" t="s">
        <v>331</v>
      </c>
      <c r="D255" s="14" t="s">
        <v>332</v>
      </c>
      <c r="G255" s="16" t="s">
        <v>333</v>
      </c>
      <c r="I255" s="17" t="s">
        <v>331</v>
      </c>
      <c r="L255" s="14" t="s">
        <v>332</v>
      </c>
      <c r="O255" s="16" t="s">
        <v>333</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342</v>
      </c>
      <c r="G258" s="19"/>
      <c r="N258" t="s">
        <v>342</v>
      </c>
      <c r="O258" s="19"/>
    </row>
    <row r="259">
      <c r="F259" t="s">
        <v>343</v>
      </c>
      <c r="G259" s="19"/>
      <c r="N259" t="s">
        <v>343</v>
      </c>
      <c r="O259" s="19"/>
    </row>
    <row r="267">
      <c r="A267" s="13" t="s">
        <v>405</v>
      </c>
      <c r="B267" s="13"/>
      <c r="C267" s="13"/>
      <c r="D267" s="13"/>
      <c r="E267" s="13"/>
      <c r="F267" s="13"/>
      <c r="G267" s="13"/>
    </row>
    <row r="268">
      <c r="A268" s="17" t="s">
        <v>331</v>
      </c>
      <c r="D268" s="14" t="s">
        <v>332</v>
      </c>
      <c r="G268" s="16" t="s">
        <v>333</v>
      </c>
    </row>
    <row r="269">
      <c r="A269" s="14" t="str">
        <f>CONCATENATE("M 60 ",O258)</f>
      </c>
      <c r="B269" s="18"/>
      <c r="C269" s="18"/>
      <c r="D269" s="18"/>
      <c r="E269" s="18"/>
      <c r="F269" s="18"/>
      <c r="G269" s="14" t="str">
        <f>CONCATENATE("M 59 ",G258)</f>
      </c>
    </row>
    <row r="271">
      <c r="F271" t="s">
        <v>342</v>
      </c>
      <c r="G271" s="19"/>
    </row>
    <row r="272">
      <c r="F272" t="s">
        <v>343</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R-2nd ",'Pool Matches'!O33)</f>
      </c>
      <c r="D11" s="15"/>
      <c r="E11" s="20"/>
      <c r="I11" s="20"/>
    </row>
    <row r="12">
      <c r="A12" s="27" t="str">
        <f>data!$E$8&amp;" "&amp;data!$B$8</f>
      </c>
      <c r="I12" s="21">
        <v>47</v>
      </c>
    </row>
    <row r="13">
      <c r="A13" s="22"/>
      <c r="C13" s="23" t="str">
        <f>CONCATENATE("Pool C-1st ",'Pool Matches'!G49)</f>
      </c>
      <c r="I13" s="20"/>
      <c r="J13" s="22"/>
      <c r="K13" s="20"/>
    </row>
    <row r="14">
      <c r="A14" s="24" t="str">
        <f>'data'!$A$11</f>
      </c>
      <c r="D14" s="22"/>
      <c r="E14" s="21">
        <v>3</v>
      </c>
      <c r="I14" s="20"/>
      <c r="K14" s="20"/>
    </row>
    <row r="15">
      <c r="A15" s="25" t="str">
        <f>data!$E$9&amp;" "&amp;data!$B$9</f>
      </c>
      <c r="C15" s="23" t="str">
        <f>CONCATENATE("Pool S-2nd ",'Pool Matches'!O50)</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data!$E$12&amp;" "&amp;data!$B$12</f>
      </c>
      <c r="K20" s="21">
        <v>55</v>
      </c>
    </row>
    <row r="21">
      <c r="A21" s="26" t="str">
        <f>data!$E$13&amp;" "&amp;data!$B$13</f>
      </c>
      <c r="C21" s="23" t="str">
        <f>CONCATENATE("Pool E-1st ",'Pool Matches'!G83)</f>
      </c>
      <c r="K21" s="20"/>
    </row>
    <row r="22">
      <c r="A22" s="27" t="str">
        <f>data!$E$14&amp;" "&amp;data!$B$14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data!$E$15&amp;" "&amp;data!$B$15</f>
      </c>
      <c r="C25" s="23" t="str">
        <f>CONCATENATE("Pool F-1st ",'Pool Matches'!G100)</f>
      </c>
      <c r="G25" s="20"/>
      <c r="H25" s="22"/>
      <c r="I25" s="20"/>
      <c r="K25" s="20"/>
    </row>
    <row r="26">
      <c r="A26" s="26" t="str">
        <f>data!$E$16&amp;" "&amp;data!$B$16</f>
      </c>
      <c r="D26" s="22"/>
      <c r="E26" s="21">
        <v>6</v>
      </c>
      <c r="F26" s="15"/>
      <c r="G26" s="20"/>
      <c r="I26" s="20"/>
      <c r="K26" s="20"/>
    </row>
    <row r="27">
      <c r="A27" s="27" t="str">
        <f>data!$E$17&amp;" "&amp;data!$B$17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data!$E$18&amp;" "&amp;data!$B$18</f>
      </c>
      <c r="D30" s="22"/>
      <c r="E30" s="21">
        <v>7</v>
      </c>
      <c r="I30" s="20"/>
    </row>
    <row r="31">
      <c r="A31" s="26" t="str">
        <f>data!$E$19&amp;" "&amp;data!$B$19</f>
      </c>
      <c r="C31" s="23" t="str">
        <f>CONCATENATE("Pool W-2nd ",'Pool Matches'!O118)</f>
      </c>
      <c r="D31" s="15"/>
      <c r="E31" s="20"/>
      <c r="F31" s="22"/>
      <c r="G31" s="20"/>
      <c r="I31" s="20"/>
    </row>
    <row r="32">
      <c r="A32" s="27" t="str">
        <f>data!$E$20&amp;" "&amp;data!$B$20</f>
      </c>
      <c r="G32" s="21">
        <v>34</v>
      </c>
      <c r="H32" s="15"/>
      <c r="I32" s="20"/>
    </row>
    <row r="33">
      <c r="A33" s="22"/>
      <c r="C33" s="23" t="str">
        <f>CONCATENATE("Pool H-1st ",'Pool Matches'!G134)</f>
      </c>
      <c r="G33" s="20"/>
    </row>
    <row r="34">
      <c r="A34" s="24" t="str">
        <f>'data'!$A$23</f>
      </c>
      <c r="D34" s="22"/>
      <c r="E34" s="21">
        <v>8</v>
      </c>
      <c r="F34" s="15"/>
      <c r="G34" s="20"/>
    </row>
    <row r="35">
      <c r="A35" s="25" t="str">
        <f>data!$E$21&amp;" "&amp;data!$B$21</f>
      </c>
      <c r="C35" s="23" t="str">
        <f>CONCATENATE("Pool X-2nd ",'Pool Matches'!O135)</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Matches'!G151)</f>
      </c>
    </row>
    <row r="7">
      <c r="A7" s="27" t="str">
        <f>data!$E$29&amp;" "&amp;data!$B$29</f>
      </c>
      <c r="F7" s="22"/>
      <c r="G7" s="20"/>
    </row>
    <row r="8">
      <c r="A8" s="22"/>
      <c r="G8" s="21">
        <v>35</v>
      </c>
    </row>
    <row r="9">
      <c r="A9" s="24" t="str">
        <f>'data'!$A$32</f>
      </c>
      <c r="C9" s="23" t="str">
        <f>CONCATENATE("Pool J-1st ",'Pool Matches'!G168)</f>
      </c>
      <c r="G9" s="20"/>
      <c r="H9" s="22"/>
      <c r="I9" s="20"/>
    </row>
    <row r="10">
      <c r="A10" s="25" t="str">
        <f>data!$E$30&amp;" "&amp;data!$B$30</f>
      </c>
      <c r="D10" s="22"/>
      <c r="E10" s="21">
        <v>9</v>
      </c>
      <c r="F10" s="15"/>
      <c r="G10" s="20"/>
      <c r="I10" s="20"/>
    </row>
    <row r="11">
      <c r="A11" s="26" t="str">
        <f>data!$E$31&amp;" "&amp;data!$B$31</f>
      </c>
      <c r="C11" s="23" t="str">
        <f>CONCATENATE("Pool Y-2nd ",'Pool Matches'!O152)</f>
      </c>
      <c r="D11" s="15"/>
      <c r="E11" s="20"/>
      <c r="I11" s="20"/>
    </row>
    <row r="12">
      <c r="A12" s="27" t="str">
        <f>data!$E$32&amp;" "&amp;data!$B$32</f>
      </c>
      <c r="I12" s="21">
        <v>49</v>
      </c>
    </row>
    <row r="13">
      <c r="A13" s="22"/>
      <c r="C13" s="23" t="str">
        <f>CONCATENATE("Pool K-1st ",'Pool Matches'!G185)</f>
      </c>
      <c r="I13" s="20"/>
      <c r="J13" s="22"/>
      <c r="K13" s="20"/>
    </row>
    <row r="14">
      <c r="A14" s="24" t="str">
        <f>'data'!$A$35</f>
      </c>
      <c r="D14" s="22"/>
      <c r="E14" s="21">
        <v>10</v>
      </c>
      <c r="I14" s="20"/>
      <c r="K14" s="20"/>
    </row>
    <row r="15">
      <c r="A15" s="25" t="str">
        <f>data!$E$33&amp;" "&amp;data!$B$33</f>
      </c>
      <c r="C15" s="23" t="str">
        <f>CONCATENATE("Pool Z-2nd ",'Pool Matches'!O169)</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data!$E$36&amp;" "&amp;data!$B$36</f>
      </c>
      <c r="K20" s="21">
        <v>56</v>
      </c>
    </row>
    <row r="21">
      <c r="A21" s="26" t="str">
        <f>data!$E$37&amp;" "&amp;data!$B$37</f>
      </c>
      <c r="C21" s="23" t="str">
        <f>CONCATENATE("Pool M-1st ",'Pool Matches'!G219)</f>
      </c>
      <c r="K21" s="20"/>
    </row>
    <row r="22">
      <c r="A22" s="27" t="str">
        <f>data!$E$38&amp;" "&amp;data!$B$38</f>
      </c>
      <c r="D22" s="22"/>
      <c r="E22" s="21">
        <v>12</v>
      </c>
      <c r="K22" s="20"/>
    </row>
    <row r="23">
      <c r="A23" s="22"/>
      <c r="C23" s="23" t="str">
        <f>CONCATENATE("Pool BB-2nd ",'Pool Matches'!O203)</f>
      </c>
      <c r="D23" s="15"/>
      <c r="E23" s="20"/>
      <c r="F23" s="22"/>
      <c r="G23" s="20"/>
      <c r="K23" s="20"/>
    </row>
    <row r="24">
      <c r="A24" s="24" t="str">
        <f>'data'!$A$41</f>
      </c>
      <c r="G24" s="21">
        <v>37</v>
      </c>
      <c r="K24" s="20"/>
    </row>
    <row r="25">
      <c r="A25" s="25" t="str">
        <f>data!$E$39&amp;" "&amp;data!$B$39</f>
      </c>
      <c r="C25" s="23" t="str">
        <f>CONCATENATE("Pool N-1st ",'Pool Matches'!G236)</f>
      </c>
      <c r="G25" s="20"/>
      <c r="H25" s="22"/>
      <c r="I25" s="20"/>
      <c r="K25" s="20"/>
    </row>
    <row r="26">
      <c r="A26" s="26" t="str">
        <f>data!$E$40&amp;" "&amp;data!$B$40</f>
      </c>
      <c r="D26" s="22"/>
      <c r="E26" s="21">
        <v>13</v>
      </c>
      <c r="F26" s="15"/>
      <c r="G26" s="20"/>
      <c r="I26" s="20"/>
      <c r="K26" s="20"/>
    </row>
    <row r="27">
      <c r="A27" s="27" t="str">
        <f>data!$E$41&amp;" "&amp;data!$B$41</f>
      </c>
      <c r="C27" s="23" t="str">
        <f>CONCATENATE("Pool CC-2nd ",'Pool Matches'!O220)</f>
      </c>
      <c r="D27" s="15"/>
      <c r="E27" s="20"/>
      <c r="I27" s="20"/>
      <c r="K27" s="20"/>
    </row>
    <row r="28">
      <c r="A28" s="22"/>
      <c r="I28" s="21">
        <v>50</v>
      </c>
      <c r="J28" s="15"/>
      <c r="K28" s="20"/>
    </row>
    <row r="29">
      <c r="A29" s="24" t="str">
        <f>'data'!$A$44</f>
      </c>
      <c r="C29" s="23" t="str">
        <f>CONCATENATE("Pool O-1st ",'Pool Matches'!G253)</f>
      </c>
      <c r="I29" s="20"/>
    </row>
    <row r="30">
      <c r="A30" s="25" t="str">
        <f>data!$E$42&amp;" "&amp;data!$B$42</f>
      </c>
      <c r="D30" s="22"/>
      <c r="E30" s="21">
        <v>14</v>
      </c>
      <c r="I30" s="20"/>
    </row>
    <row r="31">
      <c r="A31" s="26" t="str">
        <f>data!$E$43&amp;" "&amp;data!$B$43</f>
      </c>
      <c r="C31" s="23" t="str">
        <f>CONCATENATE("Pool DD-2nd ",'Pool Matches'!O237)</f>
      </c>
      <c r="D31" s="15"/>
      <c r="E31" s="20"/>
      <c r="F31" s="22"/>
      <c r="G31" s="20"/>
      <c r="I31" s="20"/>
    </row>
    <row r="32">
      <c r="A32" s="27" t="str">
        <f>data!$E$44&amp;" "&amp;data!$B$44</f>
      </c>
      <c r="G32" s="21">
        <v>38</v>
      </c>
      <c r="H32" s="15"/>
      <c r="I32" s="20"/>
    </row>
    <row r="33">
      <c r="A33" s="22"/>
      <c r="C33" s="23" t="str">
        <f>CONCATENATE("Pool P-1st ",'Pool Matches'!G267)</f>
      </c>
      <c r="G33" s="20"/>
    </row>
    <row r="34">
      <c r="A34" s="24" t="str">
        <f>'data'!$A$47</f>
      </c>
      <c r="D34" s="22"/>
      <c r="E34" s="21">
        <v>15</v>
      </c>
      <c r="F34" s="15"/>
      <c r="G34" s="20"/>
    </row>
    <row r="35">
      <c r="A35" s="25" t="str">
        <f>data!$E$45&amp;" "&amp;data!$B$45</f>
      </c>
      <c r="C35" s="23" t="str">
        <f>CONCATENATE("Pool EE-2nd ",'Pool Matches'!O253)</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Matches'!O15)</f>
      </c>
    </row>
    <row r="6">
      <c r="A6" s="26" t="str">
        <f>data!$E$51&amp;" "&amp;data!$B$51</f>
      </c>
      <c r="D6" s="22"/>
      <c r="E6" s="21">
        <v>16</v>
      </c>
    </row>
    <row r="7">
      <c r="A7" s="27" t="str">
        <f>data!$E$52&amp;" "&amp;data!$B$52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data!$E$53&amp;" "&amp;data!$B$53</f>
      </c>
      <c r="D10" s="22"/>
      <c r="E10" s="21">
        <v>17</v>
      </c>
      <c r="F10" s="15"/>
      <c r="G10" s="20"/>
      <c r="I10" s="20"/>
    </row>
    <row r="11">
      <c r="A11" s="26" t="str">
        <f>data!$E$54&amp;" "&amp;data!$B$54</f>
      </c>
      <c r="C11" s="23" t="str">
        <f>CONCATENATE("Pool B-2nd ",'Pool Matches'!G33)</f>
      </c>
      <c r="D11" s="15"/>
      <c r="E11" s="20"/>
      <c r="I11" s="20"/>
    </row>
    <row r="12">
      <c r="A12" s="27" t="str">
        <f>data!$E$55&amp;" "&amp;data!$B$55</f>
      </c>
      <c r="I12" s="21">
        <v>51</v>
      </c>
    </row>
    <row r="13">
      <c r="A13" s="22"/>
      <c r="C13" s="23" t="str">
        <f>CONCATENATE("Pool S-1st ",'Pool Matches'!O49)</f>
      </c>
      <c r="I13" s="20"/>
      <c r="J13" s="22"/>
      <c r="K13" s="20"/>
    </row>
    <row r="14">
      <c r="A14" s="24" t="str">
        <f>'data'!$A$58</f>
      </c>
      <c r="D14" s="22"/>
      <c r="E14" s="21">
        <v>18</v>
      </c>
      <c r="I14" s="20"/>
      <c r="K14" s="20"/>
    </row>
    <row r="15">
      <c r="A15" s="25" t="str">
        <f>data!$E$56&amp;" "&amp;data!$B$56</f>
      </c>
      <c r="C15" s="23" t="str">
        <f>CONCATENATE("Pool C-2nd ",'Pool Matches'!G50)</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data!$E$59&amp;" "&amp;data!$B$59</f>
      </c>
      <c r="K20" s="21">
        <v>57</v>
      </c>
    </row>
    <row r="21">
      <c r="A21" s="26" t="str">
        <f>data!$E$60&amp;" "&amp;data!$B$60</f>
      </c>
      <c r="C21" s="23" t="str">
        <f>CONCATENATE("Pool U-1st ",'Pool Matches'!O83)</f>
      </c>
      <c r="K21" s="20"/>
    </row>
    <row r="22">
      <c r="A22" s="27" t="str">
        <f>data!$E$61&amp;" "&amp;data!$B$61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data!$E$62&amp;" "&amp;data!$B$62</f>
      </c>
      <c r="C25" s="23" t="str">
        <f>CONCATENATE("Pool V-1st ",'Pool Matches'!O100)</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data!$E$65&amp;" "&amp;data!$B$65</f>
      </c>
      <c r="D30" s="22"/>
      <c r="E30" s="21">
        <v>22</v>
      </c>
      <c r="I30" s="20"/>
    </row>
    <row r="31">
      <c r="A31" s="26" t="str">
        <f>data!$E$66&amp;" "&amp;data!$B$66</f>
      </c>
      <c r="C31" s="23" t="str">
        <f>CONCATENATE("Pool G-2nd ",'Pool Matches'!G118)</f>
      </c>
      <c r="D31" s="15"/>
      <c r="E31" s="20"/>
      <c r="F31" s="22"/>
      <c r="G31" s="20"/>
      <c r="I31" s="20"/>
    </row>
    <row r="32">
      <c r="A32" s="27" t="str">
        <f>data!$E$67&amp;" "&amp;data!$B$67</f>
      </c>
      <c r="G32" s="21">
        <v>42</v>
      </c>
      <c r="H32" s="15"/>
      <c r="I32" s="20"/>
    </row>
    <row r="33">
      <c r="A33" s="22"/>
      <c r="C33" s="23" t="str">
        <f>CONCATENATE("Pool X-1st ",'Pool Matches'!O134)</f>
      </c>
      <c r="G33" s="20"/>
    </row>
    <row r="34">
      <c r="A34" s="24" t="str">
        <f>'data'!$A$70</f>
      </c>
      <c r="D34" s="22"/>
      <c r="E34" s="21">
        <v>23</v>
      </c>
      <c r="F34" s="15"/>
      <c r="G34" s="20"/>
    </row>
    <row r="35">
      <c r="A35" s="25" t="str">
        <f>data!$E$68&amp;" "&amp;data!$B$68</f>
      </c>
      <c r="C35" s="23" t="str">
        <f>CONCATENATE("Pool H-2nd ",'Pool Matches'!G135)</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Matches'!O151)</f>
      </c>
    </row>
    <row r="7">
      <c r="A7" s="27" t="str">
        <f>data!$E$76&amp;" "&amp;data!$B$76</f>
      </c>
      <c r="F7" s="22"/>
      <c r="G7" s="20"/>
    </row>
    <row r="8">
      <c r="A8" s="22"/>
      <c r="G8" s="21">
        <v>43</v>
      </c>
    </row>
    <row r="9">
      <c r="A9" s="24" t="str">
        <f>'data'!$A$79</f>
      </c>
      <c r="C9" s="23" t="str">
        <f>CONCATENATE("Pool Z-1st ",'Pool Matches'!O168)</f>
      </c>
      <c r="G9" s="20"/>
      <c r="H9" s="22"/>
      <c r="I9" s="20"/>
    </row>
    <row r="10">
      <c r="A10" s="25" t="str">
        <f>data!$E$77&amp;" "&amp;data!$B$77</f>
      </c>
      <c r="D10" s="22"/>
      <c r="E10" s="21">
        <v>24</v>
      </c>
      <c r="F10" s="15"/>
      <c r="G10" s="20"/>
      <c r="I10" s="20"/>
    </row>
    <row r="11">
      <c r="A11" s="26" t="str">
        <f>data!$E$78&amp;" "&amp;data!$B$78</f>
      </c>
      <c r="C11" s="23" t="str">
        <f>CONCATENATE("Pool I-2nd ",'Pool Matches'!G152)</f>
      </c>
      <c r="D11" s="15"/>
      <c r="E11" s="20"/>
      <c r="I11" s="20"/>
    </row>
    <row r="12">
      <c r="A12" s="27" t="str">
        <f>data!$E$79&amp;" "&amp;data!$B$79</f>
      </c>
      <c r="I12" s="21">
        <v>53</v>
      </c>
    </row>
    <row r="13">
      <c r="A13" s="22"/>
      <c r="C13" s="23" t="str">
        <f>CONCATENATE("Pool AA-1st ",'Pool Matches'!O185)</f>
      </c>
      <c r="I13" s="20"/>
      <c r="J13" s="22"/>
      <c r="K13" s="20"/>
    </row>
    <row r="14">
      <c r="A14" s="24" t="str">
        <f>'data'!$A$82</f>
      </c>
      <c r="D14" s="22"/>
      <c r="E14" s="21">
        <v>25</v>
      </c>
      <c r="I14" s="20"/>
      <c r="K14" s="20"/>
    </row>
    <row r="15">
      <c r="A15" s="25" t="str">
        <f>data!$E$80&amp;" "&amp;data!$B$80</f>
      </c>
      <c r="C15" s="23" t="str">
        <f>CONCATENATE("Pool J-2nd ",'Pool Matches'!G169)</f>
      </c>
      <c r="D15" s="15"/>
      <c r="E15" s="20"/>
      <c r="F15" s="22"/>
      <c r="G15" s="20"/>
      <c r="I15" s="20"/>
      <c r="K15" s="20"/>
    </row>
    <row r="16">
      <c r="A16" s="26" t="str">
        <f>data!$E$81&amp;" "&amp;data!$B$81</f>
      </c>
      <c r="G16" s="21">
        <v>44</v>
      </c>
      <c r="H16" s="15"/>
      <c r="I16" s="20"/>
      <c r="K16" s="20"/>
    </row>
    <row r="17">
      <c r="A17" s="27" t="str">
        <f>data!$E$82&amp;" "&amp;data!$B$82</f>
      </c>
      <c r="C17" s="23" t="str">
        <f>CONCATENATE("Pool BB-1st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data!$E$83&amp;" "&amp;data!$B$83</f>
      </c>
      <c r="K20" s="21">
        <v>58</v>
      </c>
    </row>
    <row r="21">
      <c r="A21" s="26" t="str">
        <f>data!$E$84&amp;" "&amp;data!$B$84</f>
      </c>
      <c r="C21" s="23" t="str">
        <f>CONCATENATE("Pool CC-1st ",'Pool Matches'!O219)</f>
      </c>
      <c r="K21" s="20"/>
    </row>
    <row r="22">
      <c r="A22" s="27" t="str">
        <f>data!$E$85&amp;" "&amp;data!$B$85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data!$E$86&amp;" "&amp;data!$B$86</f>
      </c>
      <c r="C25" s="23" t="str">
        <f>CONCATENATE("Pool DD-1st ",'Pool Matches'!O236)</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Matches'!G220)</f>
      </c>
      <c r="D27" s="15"/>
      <c r="E27" s="20"/>
      <c r="I27" s="20"/>
      <c r="K27" s="20"/>
    </row>
    <row r="28">
      <c r="A28" s="22"/>
      <c r="I28" s="21">
        <v>54</v>
      </c>
      <c r="J28" s="15"/>
      <c r="K28" s="20"/>
    </row>
    <row r="29">
      <c r="A29" s="24" t="str">
        <f>'data'!$A$91</f>
      </c>
      <c r="C29" s="23" t="str">
        <f>CONCATENATE("Pool EE-1st ",'Pool Matches'!O252)</f>
      </c>
      <c r="I29" s="20"/>
    </row>
    <row r="30">
      <c r="A30" s="25" t="str">
        <f>data!$E$89&amp;" "&amp;data!$B$89</f>
      </c>
      <c r="D30" s="22"/>
      <c r="E30" s="21">
        <v>29</v>
      </c>
      <c r="I30" s="20"/>
    </row>
    <row r="31">
      <c r="A31" s="26" t="str">
        <f>data!$E$90&amp;" "&amp;data!$B$90</f>
      </c>
      <c r="C31" s="23" t="str">
        <f>CONCATENATE("Pool N-2nd ",'Pool Matches'!G237)</f>
      </c>
      <c r="D31" s="15"/>
      <c r="E31" s="20"/>
      <c r="F31" s="22"/>
      <c r="G31" s="20"/>
      <c r="I31" s="20"/>
    </row>
    <row r="32">
      <c r="A32" s="27" t="str">
        <f>data!$E$91&amp;" "&amp;data!$B$91</f>
      </c>
      <c r="G32" s="21">
        <v>46</v>
      </c>
      <c r="H32" s="15"/>
      <c r="I32" s="20"/>
    </row>
    <row r="33">
      <c r="A33" s="22"/>
      <c r="C33" s="23" t="str">
        <f>CONCATENATE("Pool O-2nd ",'Pool Matches'!G254)</f>
      </c>
      <c r="G33" s="20"/>
    </row>
    <row r="34">
      <c r="A34" s="24" t="str">
        <f>'data'!$A$93</f>
      </c>
      <c r="D34" s="22"/>
      <c r="E34" s="21">
        <v>30</v>
      </c>
      <c r="F34" s="15"/>
      <c r="G34" s="20"/>
    </row>
    <row r="35">
      <c r="A35" s="25" t="str">
        <f>data!$E$92&amp;" "&amp;data!$B$92</f>
      </c>
      <c r="C35" s="23" t="str">
        <f>CONCATENATE("Pool P-2nd ",'Pool Matches'!G268)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94</v>
      </c>
    </row>
    <row r="38" ht="409" customHeight="true">
      <c r="A38" s="30" t="s">
        <v>94</v>
      </c>
    </row>
    <row r="39" ht="409" customHeight="true">
      <c r="A39" s="30" t="s">
        <v>97</v>
      </c>
    </row>
    <row r="40" ht="409" customHeight="true">
      <c r="A40" s="30" t="s">
        <v>97</v>
      </c>
    </row>
    <row r="41" ht="409" customHeight="true">
      <c r="A41" s="30" t="s">
        <v>101</v>
      </c>
    </row>
    <row r="42" ht="409" customHeight="true">
      <c r="A42" s="30" t="s">
        <v>101</v>
      </c>
    </row>
    <row r="43" ht="409" customHeight="true">
      <c r="A43" s="30" t="s">
        <v>106</v>
      </c>
    </row>
    <row r="44" ht="409" customHeight="true">
      <c r="A44" s="30" t="s">
        <v>106</v>
      </c>
    </row>
    <row r="45" ht="409" customHeight="true">
      <c r="A45" s="30" t="s">
        <v>110</v>
      </c>
    </row>
    <row r="46" ht="409" customHeight="true">
      <c r="A46" s="30" t="s">
        <v>110</v>
      </c>
    </row>
    <row r="47" ht="409" customHeight="true">
      <c r="A47" s="30" t="s">
        <v>113</v>
      </c>
    </row>
    <row r="48" ht="409" customHeight="true">
      <c r="A48" s="30" t="s">
        <v>113</v>
      </c>
    </row>
    <row r="49" ht="409" customHeight="true">
      <c r="A49" s="30" t="s">
        <v>117</v>
      </c>
    </row>
    <row r="50" ht="409" customHeight="true">
      <c r="A50" s="30" t="s">
        <v>117</v>
      </c>
    </row>
    <row r="51" ht="409" customHeight="true">
      <c r="A51" s="30" t="s">
        <v>121</v>
      </c>
    </row>
    <row r="52" ht="409" customHeight="true">
      <c r="A52" s="30" t="s">
        <v>121</v>
      </c>
    </row>
    <row r="53" ht="409" customHeight="true">
      <c r="A53" s="30" t="s">
        <v>125</v>
      </c>
    </row>
    <row r="54" ht="409" customHeight="true">
      <c r="A54" s="30" t="s">
        <v>125</v>
      </c>
    </row>
    <row r="55" ht="409" customHeight="true">
      <c r="A55" s="30" t="s">
        <v>129</v>
      </c>
    </row>
    <row r="56" ht="409" customHeight="true">
      <c r="A56" s="30" t="s">
        <v>129</v>
      </c>
    </row>
    <row r="57" ht="409" customHeight="true">
      <c r="A57" s="30" t="s">
        <v>132</v>
      </c>
    </row>
    <row r="58" ht="409" customHeight="true">
      <c r="A58" s="30" t="s">
        <v>132</v>
      </c>
    </row>
    <row r="59" ht="409" customHeight="true">
      <c r="A59" s="30" t="s">
        <v>135</v>
      </c>
    </row>
    <row r="60" ht="409" customHeight="true">
      <c r="A60" s="30" t="s">
        <v>135</v>
      </c>
    </row>
    <row r="61" ht="409" customHeight="true">
      <c r="A61" s="30" t="s">
        <v>139</v>
      </c>
    </row>
    <row r="62" ht="409" customHeight="true">
      <c r="A62" s="30" t="s">
        <v>139</v>
      </c>
    </row>
    <row r="63" ht="409" customHeight="true">
      <c r="A63" s="30" t="s">
        <v>142</v>
      </c>
    </row>
    <row r="64" ht="409" customHeight="true">
      <c r="A64" s="30" t="s">
        <v>142</v>
      </c>
    </row>
    <row r="65" ht="409" customHeight="true">
      <c r="A65" s="30" t="s">
        <v>146</v>
      </c>
    </row>
    <row r="66" ht="409" customHeight="true">
      <c r="A66" s="30" t="s">
        <v>146</v>
      </c>
    </row>
    <row r="67" ht="409" customHeight="true">
      <c r="A67" s="30" t="s">
        <v>150</v>
      </c>
    </row>
    <row r="68" ht="409" customHeight="true">
      <c r="A68" s="30" t="s">
        <v>150</v>
      </c>
    </row>
    <row r="69" ht="409" customHeight="true">
      <c r="A69" s="30" t="s">
        <v>152</v>
      </c>
    </row>
    <row r="70" ht="409" customHeight="true">
      <c r="A70" s="30" t="s">
        <v>152</v>
      </c>
    </row>
    <row r="71" ht="409" customHeight="true">
      <c r="A71" s="30" t="s">
        <v>156</v>
      </c>
    </row>
    <row r="72" ht="409" customHeight="true">
      <c r="A72" s="30" t="s">
        <v>156</v>
      </c>
    </row>
    <row r="73" ht="409" customHeight="true">
      <c r="A73" s="30" t="s">
        <v>160</v>
      </c>
    </row>
    <row r="74" ht="409" customHeight="true">
      <c r="A74" s="30" t="s">
        <v>160</v>
      </c>
    </row>
    <row r="75" ht="409" customHeight="true">
      <c r="A75" s="30" t="s">
        <v>163</v>
      </c>
    </row>
    <row r="76" ht="409" customHeight="true">
      <c r="A76" s="30" t="s">
        <v>163</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210</v>
      </c>
    </row>
    <row r="104" ht="409" customHeight="true">
      <c r="A104" s="30" t="s">
        <v>210</v>
      </c>
    </row>
    <row r="105" ht="409" customHeight="true">
      <c r="A105" s="30" t="s">
        <v>212</v>
      </c>
    </row>
    <row r="106" ht="409" customHeight="true">
      <c r="A106" s="30" t="s">
        <v>212</v>
      </c>
    </row>
    <row r="107" ht="409" customHeight="true">
      <c r="A107" s="30" t="s">
        <v>216</v>
      </c>
    </row>
    <row r="108" ht="409" customHeight="true">
      <c r="A108" s="30" t="s">
        <v>216</v>
      </c>
    </row>
    <row r="109" ht="409" customHeight="true">
      <c r="A109" s="30" t="s">
        <v>218</v>
      </c>
    </row>
    <row r="110" ht="409" customHeight="true">
      <c r="A110" s="30" t="s">
        <v>218</v>
      </c>
    </row>
    <row r="111" ht="409" customHeight="true">
      <c r="A111" s="30" t="s">
        <v>221</v>
      </c>
    </row>
    <row r="112" ht="409" customHeight="true">
      <c r="A112" s="30" t="s">
        <v>221</v>
      </c>
    </row>
    <row r="113" ht="409" customHeight="true">
      <c r="A113" s="30" t="s">
        <v>225</v>
      </c>
    </row>
    <row r="114" ht="409" customHeight="true">
      <c r="A114" s="30" t="s">
        <v>225</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233</v>
      </c>
    </row>
    <row r="120" ht="409" customHeight="true">
      <c r="A120" s="30" t="s">
        <v>233</v>
      </c>
    </row>
    <row r="121" ht="409" customHeight="true">
      <c r="A121" s="30" t="s">
        <v>235</v>
      </c>
    </row>
    <row r="122" ht="409" customHeight="true">
      <c r="A122" s="30" t="s">
        <v>235</v>
      </c>
    </row>
    <row r="123" ht="409" customHeight="true">
      <c r="A123" s="30" t="s">
        <v>238</v>
      </c>
    </row>
    <row r="124" ht="409" customHeight="true">
      <c r="A124" s="30" t="s">
        <v>238</v>
      </c>
    </row>
    <row r="125" ht="409" customHeight="true">
      <c r="A125" s="30" t="s">
        <v>242</v>
      </c>
    </row>
    <row r="126" ht="409" customHeight="true">
      <c r="A126" s="30" t="s">
        <v>242</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250</v>
      </c>
    </row>
    <row r="132" ht="409" customHeight="true">
      <c r="A132" s="30" t="s">
        <v>250</v>
      </c>
    </row>
    <row r="133" ht="409" customHeight="true">
      <c r="A133" s="30" t="s">
        <v>252</v>
      </c>
    </row>
    <row r="134" ht="409" customHeight="true">
      <c r="A134" s="30" t="s">
        <v>252</v>
      </c>
    </row>
    <row r="135" ht="409" customHeight="true">
      <c r="A135" s="30" t="s">
        <v>255</v>
      </c>
    </row>
    <row r="136" ht="409" customHeight="true">
      <c r="A136" s="30" t="s">
        <v>255</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268</v>
      </c>
    </row>
    <row r="144" ht="409" customHeight="true">
      <c r="A144" s="30" t="s">
        <v>268</v>
      </c>
    </row>
    <row r="145" ht="409" customHeight="true">
      <c r="A145" s="30" t="s">
        <v>271</v>
      </c>
    </row>
    <row r="146" ht="409" customHeight="true">
      <c r="A146" s="30" t="s">
        <v>271</v>
      </c>
    </row>
    <row r="147" ht="409" customHeight="true">
      <c r="A147" s="30" t="s">
        <v>274</v>
      </c>
    </row>
    <row r="148" ht="409" customHeight="true">
      <c r="A148" s="30" t="s">
        <v>274</v>
      </c>
    </row>
    <row r="149" ht="409" customHeight="true">
      <c r="A149" s="30" t="s">
        <v>278</v>
      </c>
    </row>
    <row r="150" ht="409" customHeight="true">
      <c r="A150" s="30" t="s">
        <v>278</v>
      </c>
    </row>
    <row r="151" ht="409" customHeight="true">
      <c r="A151" s="30" t="s">
        <v>281</v>
      </c>
    </row>
    <row r="152" ht="409" customHeight="true">
      <c r="A152" s="30" t="s">
        <v>281</v>
      </c>
    </row>
    <row r="153" ht="409" customHeight="true">
      <c r="A153" s="30" t="s">
        <v>284</v>
      </c>
    </row>
    <row r="154" ht="409" customHeight="true">
      <c r="A154" s="30" t="s">
        <v>284</v>
      </c>
    </row>
    <row r="155" ht="409" customHeight="true">
      <c r="A155" s="30" t="s">
        <v>288</v>
      </c>
    </row>
    <row r="156" ht="409" customHeight="true">
      <c r="A156" s="30" t="s">
        <v>288</v>
      </c>
    </row>
    <row r="157" ht="409" customHeight="true">
      <c r="A157" s="30" t="s">
        <v>291</v>
      </c>
    </row>
    <row r="158" ht="409" customHeight="true">
      <c r="A158" s="30" t="s">
        <v>291</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307</v>
      </c>
    </row>
    <row r="168" ht="409" customHeight="true">
      <c r="A168" s="30" t="s">
        <v>307</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