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Matches'!$A$1:$H$112</definedName>
    <definedName localSheetId="6" name="_xlnm.Print_Area">'Names to Print A'!$A$1:$B$9</definedName>
    <definedName localSheetId="4" name="_xlnm.Print_Area">'Elimination Matches'!$A$1:$H$86</definedName>
  </definedNames>
  <calcPr calcId="122211"/>
</workbook>
</file>

<file path=xl/sharedStrings.xml><?xml version="1.0" encoding="utf-8"?>
<sst xmlns="http://schemas.openxmlformats.org/spreadsheetml/2006/main" count="70" uniqueCount="70">
  <si>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</si>
  <si>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</si>
  <si>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</si>
  <si>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</si>
  <si>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</si>
  <si>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</si>
  <si>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</si>
  <si>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</si>
  <si>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</si>
  <si>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</si>
  <si>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</si>
  <si>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</si>
  <si>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</si>
  <si>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</si>
  <si>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</si>
  <si>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</si>
  <si>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Alice Adams</t>
  </si>
  <si>
    <t>Team Alpha</t>
  </si>
  <si>
    <t>Dave Brown</t>
  </si>
  <si>
    <t>Team Bravo</t>
  </si>
  <si>
    <t>Grace Carter</t>
  </si>
  <si>
    <t>Team Charlie</t>
  </si>
  <si>
    <t>Pool B</t>
  </si>
  <si>
    <t>Bob Adams</t>
  </si>
  <si>
    <t>Eve Brown</t>
  </si>
  <si>
    <t>Henry Carter</t>
  </si>
  <si>
    <t>Pool C</t>
  </si>
  <si>
    <t>Charlie Adams</t>
  </si>
  <si>
    <t>Frank Brown</t>
  </si>
  <si>
    <t>Iris Carter</t>
  </si>
  <si>
    <t>Shiaijo A</t>
  </si>
  <si>
    <t>White</t>
  </si>
  <si>
    <t>vs</t>
  </si>
  <si>
    <t>Red</t>
  </si>
  <si>
    <t>Team Results</t>
  </si>
  <si>
    <t>W</t>
  </si>
  <si>
    <t>L</t>
  </si>
  <si>
    <t>T</t>
  </si>
  <si>
    <t>Rank</t>
  </si>
  <si>
    <t>IV</t>
  </si>
  <si>
    <t>IL</t>
  </si>
  <si>
    <t>IT</t>
  </si>
  <si>
    <t>PW</t>
  </si>
  <si>
    <t>PL</t>
  </si>
  <si>
    <t>Ranking</t>
  </si>
  <si>
    <t>1.</t>
  </si>
  <si>
    <t>2.</t>
  </si>
  <si>
    <t>3.</t>
  </si>
  <si>
    <t>A1</t>
  </si>
  <si>
    <t>A2</t>
  </si>
  <si>
    <t>A3</t>
  </si>
  <si>
    <t>B1</t>
  </si>
  <si>
    <t>B2</t>
  </si>
  <si>
    <t>B3</t>
  </si>
  <si>
    <t>C1</t>
  </si>
  <si>
    <t>C2</t>
  </si>
  <si>
    <t>C3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</si>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</sst>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22</v>
      </c>
      <c r="B6" t="s">
        <v>23</v>
      </c>
      <c r="C6" t="s">
        <v>17</v>
      </c>
    </row>
    <row r="7">
      <c r="A7" t="s">
        <v>22</v>
      </c>
      <c r="B7" t="s">
        <v>24</v>
      </c>
      <c r="C7" t="s">
        <v>19</v>
      </c>
    </row>
    <row r="8">
      <c r="A8" t="s">
        <v>22</v>
      </c>
      <c r="B8" t="s">
        <v>25</v>
      </c>
      <c r="C8" t="s">
        <v>21</v>
      </c>
    </row>
    <row r="9">
      <c r="A9" t="s">
        <v>26</v>
      </c>
      <c r="B9" t="s">
        <v>27</v>
      </c>
      <c r="C9" t="s">
        <v>17</v>
      </c>
    </row>
    <row r="10">
      <c r="A10" t="s">
        <v>26</v>
      </c>
      <c r="B10" t="s">
        <v>28</v>
      </c>
      <c r="C10" t="s">
        <v>19</v>
      </c>
    </row>
    <row r="11">
      <c r="A11" t="s">
        <v>26</v>
      </c>
      <c r="B11" t="s">
        <v>29</v>
      </c>
      <c r="C11" t="s">
        <v>21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3</v>
      </c>
      <c r="C2" s="2">
        <v>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63</v>
      </c>
      <c r="F13" s="13"/>
      <c r="G13" s="13"/>
      <c r="H13" s="13"/>
    </row>
    <row r="14">
      <c r="A14">
        <v>1</v>
      </c>
      <c r="E14" s="32" t="s">
        <v>64</v>
      </c>
      <c r="F14" s="32"/>
      <c r="G14" s="32"/>
      <c r="H14" s="31" t="str">
        <f>H2</f>
      </c>
    </row>
    <row r="15">
      <c r="E15" s="32" t="s">
        <v>65</v>
      </c>
      <c r="F15" s="32"/>
      <c r="G15" s="32"/>
      <c r="H15" s="31" t="str">
        <f>H8</f>
      </c>
    </row>
    <row r="16">
      <c r="E16" s="32" t="s">
        <v>66</v>
      </c>
      <c r="F16" s="32"/>
      <c r="G16" s="32"/>
      <c r="H16" s="31" t="str">
        <f>H14+H15</f>
      </c>
    </row>
    <row r="17">
      <c r="E17" s="32" t="s">
        <v>67</v>
      </c>
      <c r="F17" s="32"/>
      <c r="G17" s="32"/>
      <c r="H17" s="31" t="str">
        <f>H16/A14</f>
      </c>
    </row>
    <row r="18">
      <c r="E18" s="13" t="s">
        <v>68</v>
      </c>
      <c r="F18" s="13"/>
      <c r="G18" s="13"/>
      <c r="H18" s="33">
        <v>0.375</v>
      </c>
    </row>
    <row r="19">
      <c r="E19" s="13" t="s">
        <v>69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'data'!$A$8</f>
      </c>
      <c r="F5" s="11" t="str">
        <f>'data'!$A$11</f>
      </c>
    </row>
    <row r="6" ht="17" customHeight="true">
      <c r="B6" s="12" t="str">
        <f>"1. " &amp; data!$B$3</f>
      </c>
      <c r="D6" s="12" t="str">
        <f>"1. " &amp; data!$B$6</f>
      </c>
      <c r="F6" s="12" t="str">
        <f>"1. " &amp; data!$B$9</f>
      </c>
    </row>
    <row r="7" ht="17" customHeight="true">
      <c r="B7" s="12" t="str">
        <f>"2. " &amp; data!$B$4</f>
      </c>
      <c r="D7" s="12" t="str">
        <f>"2. " &amp; data!$B$7</f>
      </c>
      <c r="F7" s="12" t="str">
        <f>"2. " &amp; data!$B$10</f>
      </c>
    </row>
    <row r="8">
      <c r="B8" s="12" t="str">
        <f>"3. " &amp; data!$B$5</f>
      </c>
      <c r="D8" s="12" t="str">
        <f>"3. " &amp; data!$B$8</f>
      </c>
      <c r="F8" s="12" t="str">
        <f>"3. " &amp; data!$B$11</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30</v>
      </c>
      <c r="B1" s="13"/>
      <c r="C1" s="13"/>
      <c r="D1" s="13"/>
      <c r="E1" s="13"/>
      <c r="F1" s="13"/>
      <c r="G1" s="13"/>
    </row>
    <row r="2">
      <c r="A2" s="13" t="str">
        <f>'data'!$A$5</f>
      </c>
      <c r="B2" s="13"/>
      <c r="C2" s="13"/>
      <c r="D2" s="13"/>
      <c r="E2" s="13"/>
      <c r="F2" s="13"/>
      <c r="G2" s="13"/>
    </row>
    <row r="3">
      <c r="A3" s="17" t="s">
        <v>31</v>
      </c>
      <c r="B3" s="14"/>
      <c r="C3" s="14"/>
      <c r="D3" s="14" t="s">
        <v>32</v>
      </c>
      <c r="E3" s="14"/>
      <c r="F3" s="14"/>
      <c r="G3" s="16" t="s">
        <v>33</v>
      </c>
    </row>
    <row r="4">
      <c r="A4" s="14" t="str">
        <f>'data'!$B$4</f>
      </c>
      <c r="B4" s="14" t="str">
        <f>IF(UPPER(D5)="X",0,IF((LEN(SUBSTITUTE(SUBSTITUTE(SUBSTITUTE(B5," ",""),"0",""),"-","")) +LEN(SUBSTITUTE(SUBSTITUTE(SUBSTITUTE(C5," ",""),"0",""),"-","")) )&gt;(LEN(SUBSTITUTE(SUBSTITUTE(SUBSTITUTE(E5," ",""),"0",""),"-","")) +LEN(SUBSTITUTE(SUBSTITUTE(SUBSTITUTE(F5," ",""),"0",""),"-","")) ),1,0))+IF(UPPER(D6)="X",0,IF((LEN(SUBSTITUTE(SUBSTITUTE(SUBSTITUTE(B6," ",""),"0",""),"-","")) +LEN(SUBSTITUTE(SUBSTITUTE(SUBSTITUTE(C6," ",""),"0",""),"-","")) )&gt;(LEN(SUBSTITUTE(SUBSTITUTE(SUBSTITUTE(E6," ",""),"0",""),"-","")) +LEN(SUBSTITUTE(SUBSTITUTE(SUBSTITUTE(F6," ",""),"0",""),"-","")) ),1,0))+IF(UPPER(D7)="X",0,IF((LEN(SUBSTITUTE(SUBSTITUTE(SUBSTITUTE(B7," ",""),"0",""),"-","")) +LEN(SUBSTITUTE(SUBSTITUTE(SUBSTITUTE(C7," ",""),"0",""),"-","")) )&gt;(LEN(SUBSTITUTE(SUBSTITUTE(SUBSTITUTE(E7," ",""),"0",""),"-","")) +LEN(SUBSTITUTE(SUBSTITUTE(SUBSTITUTE(F7," ",""),"0",""),"-","")) ),1,0))</f>
      </c>
      <c r="C4" s="14" t="str">
        <f>LEN(SUBSTITUTE(SUBSTITUTE(SUBSTITUTE(B5," ",""),"0",""),"-","")) +LEN(SUBSTITUTE(SUBSTITUTE(SUBSTITUTE(C5," ",""),"0",""),"-","")) +LEN(SUBSTITUTE(SUBSTITUTE(SUBSTITUTE(B6," ",""),"0",""),"-","")) +LEN(SUBSTITUTE(SUBSTITUTE(SUBSTITUTE(C6," ",""),"0",""),"-","")) +LEN(SUBSTITUTE(SUBSTITUTE(SUBSTITUTE(B7," ",""),"0",""),"-","")) +LEN(SUBSTITUTE(SUBSTITUTE(SUBSTITUTE(C7," ",""),"0",""),"-","")) </f>
      </c>
      <c r="D4" s="18"/>
      <c r="E4" s="14" t="str">
        <f>LEN(SUBSTITUTE(SUBSTITUTE(SUBSTITUTE(E5," ",""),"0",""),"-","")) +LEN(SUBSTITUTE(SUBSTITUTE(SUBSTITUTE(F5," ",""),"0",""),"-","")) +LEN(SUBSTITUTE(SUBSTITUTE(SUBSTITUTE(E6," ",""),"0",""),"-","")) +LEN(SUBSTITUTE(SUBSTITUTE(SUBSTITUTE(F6," ",""),"0",""),"-","")) +LEN(SUBSTITUTE(SUBSTITUTE(SUBSTITUTE(E7," ",""),"0",""),"-","")) +LEN(SUBSTITUTE(SUBSTITUTE(SUBSTITUTE(F7," ",""),"0",""),"-","")) </f>
      </c>
      <c r="F4" s="14" t="str">
        <f>IF(UPPER(D5)="X",0,IF((LEN(SUBSTITUTE(SUBSTITUTE(SUBSTITUTE(E5," ",""),"0",""),"-","")) +LEN(SUBSTITUTE(SUBSTITUTE(SUBSTITUTE(F5," ",""),"0",""),"-","")) )&gt;(LEN(SUBSTITUTE(SUBSTITUTE(SUBSTITUTE(B5," ",""),"0",""),"-","")) +LEN(SUBSTITUTE(SUBSTITUTE(SUBSTITUTE(C5," ",""),"0",""),"-","")) ),1,0))+IF(UPPER(D6)="X",0,IF((LEN(SUBSTITUTE(SUBSTITUTE(SUBSTITUTE(E6," ",""),"0",""),"-","")) +LEN(SUBSTITUTE(SUBSTITUTE(SUBSTITUTE(F6," ",""),"0",""),"-","")) )&gt;(LEN(SUBSTITUTE(SUBSTITUTE(SUBSTITUTE(B6," ",""),"0",""),"-","")) +LEN(SUBSTITUTE(SUBSTITUTE(SUBSTITUTE(C6," ",""),"0",""),"-","")) ),1,0))+IF(UPPER(D7)="X",0,IF((LEN(SUBSTITUTE(SUBSTITUTE(SUBSTITUTE(E7," ",""),"0",""),"-","")) +LEN(SUBSTITUTE(SUBSTITUTE(SUBSTITUTE(F7," ",""),"0",""),"-","")) )&gt;(LEN(SUBSTITUTE(SUBSTITUTE(SUBSTITUTE(B7," ",""),"0",""),"-","")) +LEN(SUBSTITUTE(SUBSTITUTE(SUBSTITUTE(C7," ",""),"0",""),"-","")) ),1,0))</f>
      </c>
      <c r="G4" s="14" t="str">
        <f>'data'!$B$3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31</v>
      </c>
      <c r="B9" s="14"/>
      <c r="C9" s="14"/>
      <c r="D9" s="14" t="s">
        <v>32</v>
      </c>
      <c r="E9" s="14"/>
      <c r="F9" s="14"/>
      <c r="G9" s="16" t="s">
        <v>33</v>
      </c>
    </row>
    <row r="10">
      <c r="A10" s="14" t="str">
        <f>'data'!$B$5</f>
      </c>
      <c r="B10" s="14" t="str">
        <f>IF(UPPER(D11)="X",0,IF((LEN(SUBSTITUTE(SUBSTITUTE(SUBSTITUTE(B11," ",""),"0",""),"-","")) +LEN(SUBSTITUTE(SUBSTITUTE(SUBSTITUTE(C11," ",""),"0",""),"-","")) )&gt;(LEN(SUBSTITUTE(SUBSTITUTE(SUBSTITUTE(E11," ",""),"0",""),"-","")) +LEN(SUBSTITUTE(SUBSTITUTE(SUBSTITUTE(F11," ",""),"0",""),"-","")) ),1,0))+IF(UPPER(D12)="X",0,IF((LEN(SUBSTITUTE(SUBSTITUTE(SUBSTITUTE(B12," ",""),"0",""),"-","")) +LEN(SUBSTITUTE(SUBSTITUTE(SUBSTITUTE(C12," ",""),"0",""),"-","")) )&gt;(LEN(SUBSTITUTE(SUBSTITUTE(SUBSTITUTE(E12," ",""),"0",""),"-","")) +LEN(SUBSTITUTE(SUBSTITUTE(SUBSTITUTE(F12," ",""),"0",""),"-","")) ),1,0))+IF(UPPER(D13)="X",0,IF((LEN(SUBSTITUTE(SUBSTITUTE(SUBSTITUTE(B13," ",""),"0",""),"-","")) +LEN(SUBSTITUTE(SUBSTITUTE(SUBSTITUTE(C13," ",""),"0",""),"-","")) )&gt;(LEN(SUBSTITUTE(SUBSTITUTE(SUBSTITUTE(E13," ",""),"0",""),"-","")) +LEN(SUBSTITUTE(SUBSTITUTE(SUBSTITUTE(F13," ",""),"0",""),"-","")) ),1,0))</f>
      </c>
      <c r="C10" s="14" t="str">
        <f>LEN(SUBSTITUTE(SUBSTITUTE(SUBSTITUTE(B11," ",""),"0",""),"-","")) +LEN(SUBSTITUTE(SUBSTITUTE(SUBSTITUTE(C11," ",""),"0",""),"-","")) +LEN(SUBSTITUTE(SUBSTITUTE(SUBSTITUTE(B12," ",""),"0",""),"-","")) +LEN(SUBSTITUTE(SUBSTITUTE(SUBSTITUTE(C12," ",""),"0",""),"-","")) +LEN(SUBSTITUTE(SUBSTITUTE(SUBSTITUTE(B13," ",""),"0",""),"-","")) +LEN(SUBSTITUTE(SUBSTITUTE(SUBSTITUTE(C13," ",""),"0",""),"-","")) </f>
      </c>
      <c r="D10" s="18"/>
      <c r="E10" s="14" t="str">
        <f>LEN(SUBSTITUTE(SUBSTITUTE(SUBSTITUTE(E11," ",""),"0",""),"-","")) +LEN(SUBSTITUTE(SUBSTITUTE(SUBSTITUTE(F11," ",""),"0",""),"-","")) +LEN(SUBSTITUTE(SUBSTITUTE(SUBSTITUTE(E12," ",""),"0",""),"-","")) +LEN(SUBSTITUTE(SUBSTITUTE(SUBSTITUTE(F12," ",""),"0",""),"-","")) +LEN(SUBSTITUTE(SUBSTITUTE(SUBSTITUTE(E13," ",""),"0",""),"-","")) +LEN(SUBSTITUTE(SUBSTITUTE(SUBSTITUTE(F13," ",""),"0",""),"-","")) </f>
      </c>
      <c r="F10" s="14" t="str">
        <f>IF(UPPER(D11)="X",0,IF((LEN(SUBSTITUTE(SUBSTITUTE(SUBSTITUTE(E11," ",""),"0",""),"-","")) +LEN(SUBSTITUTE(SUBSTITUTE(SUBSTITUTE(F11," ",""),"0",""),"-","")) )&gt;(LEN(SUBSTITUTE(SUBSTITUTE(SUBSTITUTE(B11," ",""),"0",""),"-","")) +LEN(SUBSTITUTE(SUBSTITUTE(SUBSTITUTE(C11," ",""),"0",""),"-","")) ),1,0))+IF(UPPER(D12)="X",0,IF((LEN(SUBSTITUTE(SUBSTITUTE(SUBSTITUTE(E12," ",""),"0",""),"-","")) +LEN(SUBSTITUTE(SUBSTITUTE(SUBSTITUTE(F12," ",""),"0",""),"-","")) )&gt;(LEN(SUBSTITUTE(SUBSTITUTE(SUBSTITUTE(B12," ",""),"0",""),"-","")) +LEN(SUBSTITUTE(SUBSTITUTE(SUBSTITUTE(C12," ",""),"0",""),"-","")) ),1,0))+IF(UPPER(D13)="X",0,IF((LEN(SUBSTITUTE(SUBSTITUTE(SUBSTITUTE(E13," ",""),"0",""),"-","")) +LEN(SUBSTITUTE(SUBSTITUTE(SUBSTITUTE(F13," ",""),"0",""),"-","")) )&gt;(LEN(SUBSTITUTE(SUBSTITUTE(SUBSTITUTE(B13," ",""),"0",""),"-","")) +LEN(SUBSTITUTE(SUBSTITUTE(SUBSTITUTE(C13," ",""),"0",""),"-","")) ),1,0))</f>
      </c>
      <c r="G10" s="14" t="str">
        <f>'data'!$B$3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31</v>
      </c>
      <c r="B15" s="14"/>
      <c r="C15" s="14"/>
      <c r="D15" s="14" t="s">
        <v>32</v>
      </c>
      <c r="E15" s="14"/>
      <c r="F15" s="14"/>
      <c r="G15" s="16" t="s">
        <v>33</v>
      </c>
    </row>
    <row r="16">
      <c r="A16" s="14" t="str">
        <f>'data'!$B$5</f>
      </c>
      <c r="B16" s="14" t="str">
        <f>IF(UPPER(D17)="X",0,IF((LEN(SUBSTITUTE(SUBSTITUTE(SUBSTITUTE(B17," ",""),"0",""),"-","")) +LEN(SUBSTITUTE(SUBSTITUTE(SUBSTITUTE(C17," ",""),"0",""),"-","")) )&gt;(LEN(SUBSTITUTE(SUBSTITUTE(SUBSTITUTE(E17," ",""),"0",""),"-","")) +LEN(SUBSTITUTE(SUBSTITUTE(SUBSTITUTE(F17," ",""),"0",""),"-","")) ),1,0))+IF(UPPER(D18)="X",0,IF((LEN(SUBSTITUTE(SUBSTITUTE(SUBSTITUTE(B18," ",""),"0",""),"-","")) +LEN(SUBSTITUTE(SUBSTITUTE(SUBSTITUTE(C18," ",""),"0",""),"-","")) )&gt;(LEN(SUBSTITUTE(SUBSTITUTE(SUBSTITUTE(E18," ",""),"0",""),"-","")) +LEN(SUBSTITUTE(SUBSTITUTE(SUBSTITUTE(F18," ",""),"0",""),"-","")) ),1,0))+IF(UPPER(D19)="X",0,IF((LEN(SUBSTITUTE(SUBSTITUTE(SUBSTITUTE(B19," ",""),"0",""),"-","")) +LEN(SUBSTITUTE(SUBSTITUTE(SUBSTITUTE(C19," ",""),"0",""),"-","")) )&gt;(LEN(SUBSTITUTE(SUBSTITUTE(SUBSTITUTE(E19," ",""),"0",""),"-","")) +LEN(SUBSTITUTE(SUBSTITUTE(SUBSTITUTE(F19," ",""),"0",""),"-","")) ),1,0))</f>
      </c>
      <c r="C16" s="14" t="str">
        <f>LEN(SUBSTITUTE(SUBSTITUTE(SUBSTITUTE(B17," ",""),"0",""),"-","")) +LEN(SUBSTITUTE(SUBSTITUTE(SUBSTITUTE(C17," ",""),"0",""),"-","")) +LEN(SUBSTITUTE(SUBSTITUTE(SUBSTITUTE(B18," ",""),"0",""),"-","")) +LEN(SUBSTITUTE(SUBSTITUTE(SUBSTITUTE(C18," ",""),"0",""),"-","")) +LEN(SUBSTITUTE(SUBSTITUTE(SUBSTITUTE(B19," ",""),"0",""),"-","")) +LEN(SUBSTITUTE(SUBSTITUTE(SUBSTITUTE(C19," ",""),"0",""),"-","")) </f>
      </c>
      <c r="D16" s="18"/>
      <c r="E16" s="14" t="str">
        <f>LEN(SUBSTITUTE(SUBSTITUTE(SUBSTITUTE(E17," ",""),"0",""),"-","")) +LEN(SUBSTITUTE(SUBSTITUTE(SUBSTITUTE(F17," ",""),"0",""),"-","")) +LEN(SUBSTITUTE(SUBSTITUTE(SUBSTITUTE(E18," ",""),"0",""),"-","")) +LEN(SUBSTITUTE(SUBSTITUTE(SUBSTITUTE(F18," ",""),"0",""),"-","")) +LEN(SUBSTITUTE(SUBSTITUTE(SUBSTITUTE(E19," ",""),"0",""),"-","")) +LEN(SUBSTITUTE(SUBSTITUTE(SUBSTITUTE(F19," ",""),"0",""),"-","")) </f>
      </c>
      <c r="F16" s="14" t="str">
        <f>IF(UPPER(D17)="X",0,IF((LEN(SUBSTITUTE(SUBSTITUTE(SUBSTITUTE(E17," ",""),"0",""),"-","")) +LEN(SUBSTITUTE(SUBSTITUTE(SUBSTITUTE(F17," ",""),"0",""),"-","")) )&gt;(LEN(SUBSTITUTE(SUBSTITUTE(SUBSTITUTE(B17," ",""),"0",""),"-","")) +LEN(SUBSTITUTE(SUBSTITUTE(SUBSTITUTE(C17," ",""),"0",""),"-","")) ),1,0))+IF(UPPER(D18)="X",0,IF((LEN(SUBSTITUTE(SUBSTITUTE(SUBSTITUTE(E18," ",""),"0",""),"-","")) +LEN(SUBSTITUTE(SUBSTITUTE(SUBSTITUTE(F18," ",""),"0",""),"-","")) )&gt;(LEN(SUBSTITUTE(SUBSTITUTE(SUBSTITUTE(B18," ",""),"0",""),"-","")) +LEN(SUBSTITUTE(SUBSTITUTE(SUBSTITUTE(C18," ",""),"0",""),"-","")) ),1,0))+IF(UPPER(D19)="X",0,IF((LEN(SUBSTITUTE(SUBSTITUTE(SUBSTITUTE(E19," ",""),"0",""),"-","")) +LEN(SUBSTITUTE(SUBSTITUTE(SUBSTITUTE(F19," ",""),"0",""),"-","")) )&gt;(LEN(SUBSTITUTE(SUBSTITUTE(SUBSTITUTE(B19," ",""),"0",""),"-","")) +LEN(SUBSTITUTE(SUBSTITUTE(SUBSTITUTE(C19," ",""),"0",""),"-","")) ),1,0))</f>
      </c>
      <c r="G16" s="14" t="str">
        <f>'data'!$B$4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34</v>
      </c>
      <c r="B22" s="13" t="s">
        <v>35</v>
      </c>
      <c r="C22" s="13" t="s">
        <v>36</v>
      </c>
      <c r="D22" s="13" t="s">
        <v>37</v>
      </c>
      <c r="E22" s="13"/>
      <c r="F22" s="13"/>
      <c r="G22" s="13" t="s">
        <v>38</v>
      </c>
    </row>
    <row r="23">
      <c r="A23" s="14" t="str">
        <f>'data'!$B$3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39</v>
      </c>
      <c r="C27" s="13" t="s">
        <v>40</v>
      </c>
      <c r="D27" s="13" t="s">
        <v>41</v>
      </c>
      <c r="E27" s="13" t="s">
        <v>42</v>
      </c>
      <c r="F27" s="13" t="s">
        <v>43</v>
      </c>
    </row>
    <row r="28">
      <c r="A28" s="14" t="str">
        <f>'data'!$B$3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44</v>
      </c>
    </row>
    <row r="34">
      <c r="F34" t="s">
        <v>45</v>
      </c>
      <c r="G34" s="19" t="str">
        <f>IFERROR(INDEX($A$23:$A$30, MATCH(1, $G$23:$G$30, 0)), "-")</f>
      </c>
    </row>
    <row r="35">
      <c r="F35" t="s">
        <v>46</v>
      </c>
      <c r="G35" s="19" t="str">
        <f>IFERROR(INDEX($A$23:$A$30, MATCH(2, $G$23:$G$30, 0)), "-")</f>
      </c>
    </row>
    <row r="36">
      <c r="F36" t="s">
        <v>47</v>
      </c>
      <c r="G36" s="19" t="str">
        <f>IFERROR(INDEX($A$23:$A$30, MATCH(3, $G$23:$G$30, 0)), "-")</f>
      </c>
    </row>
    <row r="39">
      <c r="A39" s="13" t="str">
        <f>'data'!$A$8</f>
      </c>
      <c r="B39" s="13"/>
      <c r="C39" s="13"/>
      <c r="D39" s="13"/>
      <c r="E39" s="13"/>
      <c r="F39" s="13"/>
      <c r="G39" s="13"/>
    </row>
    <row r="40">
      <c r="A40" s="17" t="s">
        <v>31</v>
      </c>
      <c r="B40" s="14"/>
      <c r="C40" s="14"/>
      <c r="D40" s="14" t="s">
        <v>32</v>
      </c>
      <c r="E40" s="14"/>
      <c r="F40" s="14"/>
      <c r="G40" s="16" t="s">
        <v>33</v>
      </c>
    </row>
    <row r="41">
      <c r="A41" s="14" t="str">
        <f>'data'!$B$7</f>
      </c>
      <c r="B41" s="14" t="str">
        <f>IF(UPPER(D42)="X",0,IF((LEN(SUBSTITUTE(SUBSTITUTE(SUBSTITUTE(B42," ",""),"0",""),"-","")) +LEN(SUBSTITUTE(SUBSTITUTE(SUBSTITUTE(C42," ",""),"0",""),"-","")) )&gt;(LEN(SUBSTITUTE(SUBSTITUTE(SUBSTITUTE(E42," ",""),"0",""),"-","")) +LEN(SUBSTITUTE(SUBSTITUTE(SUBSTITUTE(F42," ",""),"0",""),"-","")) ),1,0))+IF(UPPER(D43)="X",0,IF((LEN(SUBSTITUTE(SUBSTITUTE(SUBSTITUTE(B43," ",""),"0",""),"-","")) +LEN(SUBSTITUTE(SUBSTITUTE(SUBSTITUTE(C43," ",""),"0",""),"-","")) )&gt;(LEN(SUBSTITUTE(SUBSTITUTE(SUBSTITUTE(E43," ",""),"0",""),"-","")) +LEN(SUBSTITUTE(SUBSTITUTE(SUBSTITUTE(F43," ",""),"0",""),"-","")) ),1,0))+IF(UPPER(D44)="X",0,IF((LEN(SUBSTITUTE(SUBSTITUTE(SUBSTITUTE(B44," ",""),"0",""),"-","")) +LEN(SUBSTITUTE(SUBSTITUTE(SUBSTITUTE(C44," ",""),"0",""),"-","")) )&gt;(LEN(SUBSTITUTE(SUBSTITUTE(SUBSTITUTE(E44," ",""),"0",""),"-","")) +LEN(SUBSTITUTE(SUBSTITUTE(SUBSTITUTE(F44," ",""),"0",""),"-","")) ),1,0))</f>
      </c>
      <c r="C41" s="14" t="str">
        <f>LEN(SUBSTITUTE(SUBSTITUTE(SUBSTITUTE(B42," ",""),"0",""),"-","")) +LEN(SUBSTITUTE(SUBSTITUTE(SUBSTITUTE(C42," ",""),"0",""),"-","")) +LEN(SUBSTITUTE(SUBSTITUTE(SUBSTITUTE(B43," ",""),"0",""),"-","")) +LEN(SUBSTITUTE(SUBSTITUTE(SUBSTITUTE(C43," ",""),"0",""),"-","")) +LEN(SUBSTITUTE(SUBSTITUTE(SUBSTITUTE(B44," ",""),"0",""),"-","")) +LEN(SUBSTITUTE(SUBSTITUTE(SUBSTITUTE(C44," ",""),"0",""),"-","")) </f>
      </c>
      <c r="D41" s="18"/>
      <c r="E41" s="14" t="str">
        <f>LEN(SUBSTITUTE(SUBSTITUTE(SUBSTITUTE(E42," ",""),"0",""),"-","")) +LEN(SUBSTITUTE(SUBSTITUTE(SUBSTITUTE(F42," ",""),"0",""),"-","")) +LEN(SUBSTITUTE(SUBSTITUTE(SUBSTITUTE(E43," ",""),"0",""),"-","")) +LEN(SUBSTITUTE(SUBSTITUTE(SUBSTITUTE(F43," ",""),"0",""),"-","")) +LEN(SUBSTITUTE(SUBSTITUTE(SUBSTITUTE(E44," ",""),"0",""),"-","")) +LEN(SUBSTITUTE(SUBSTITUTE(SUBSTITUTE(F44," ",""),"0",""),"-","")) </f>
      </c>
      <c r="F41" s="14" t="str">
        <f>IF(UPPER(D42)="X",0,IF((LEN(SUBSTITUTE(SUBSTITUTE(SUBSTITUTE(E42," ",""),"0",""),"-","")) +LEN(SUBSTITUTE(SUBSTITUTE(SUBSTITUTE(F42," ",""),"0",""),"-","")) )&gt;(LEN(SUBSTITUTE(SUBSTITUTE(SUBSTITUTE(B42," ",""),"0",""),"-","")) +LEN(SUBSTITUTE(SUBSTITUTE(SUBSTITUTE(C42," ",""),"0",""),"-","")) ),1,0))+IF(UPPER(D43)="X",0,IF((LEN(SUBSTITUTE(SUBSTITUTE(SUBSTITUTE(E43," ",""),"0",""),"-","")) +LEN(SUBSTITUTE(SUBSTITUTE(SUBSTITUTE(F43," ",""),"0",""),"-","")) )&gt;(LEN(SUBSTITUTE(SUBSTITUTE(SUBSTITUTE(B43," ",""),"0",""),"-","")) +LEN(SUBSTITUTE(SUBSTITUTE(SUBSTITUTE(C43," ",""),"0",""),"-","")) ),1,0))+IF(UPPER(D44)="X",0,IF((LEN(SUBSTITUTE(SUBSTITUTE(SUBSTITUTE(E44," ",""),"0",""),"-","")) +LEN(SUBSTITUTE(SUBSTITUTE(SUBSTITUTE(F44," ",""),"0",""),"-","")) )&gt;(LEN(SUBSTITUTE(SUBSTITUTE(SUBSTITUTE(B44," ",""),"0",""),"-","")) +LEN(SUBSTITUTE(SUBSTITUTE(SUBSTITUTE(C44," ",""),"0",""),"-","")) ),1,0))</f>
      </c>
      <c r="G41" s="14" t="str">
        <f>'data'!$B$6</f>
      </c>
    </row>
    <row r="42">
      <c r="A42" s="14">
        <v>1</v>
      </c>
      <c r="B42" s="18"/>
      <c r="C42" s="18"/>
      <c r="D42" s="18"/>
      <c r="E42" s="18"/>
      <c r="F42" s="18"/>
      <c r="G42" s="14">
        <v>1</v>
      </c>
    </row>
    <row r="43">
      <c r="A43" s="14">
        <v>2</v>
      </c>
      <c r="B43" s="18"/>
      <c r="C43" s="18"/>
      <c r="D43" s="18"/>
      <c r="E43" s="18"/>
      <c r="F43" s="18"/>
      <c r="G43" s="14">
        <v>2</v>
      </c>
    </row>
    <row r="44">
      <c r="A44" s="14">
        <v>3</v>
      </c>
      <c r="B44" s="18"/>
      <c r="C44" s="18"/>
      <c r="D44" s="18"/>
      <c r="E44" s="18"/>
      <c r="F44" s="18"/>
      <c r="G44" s="14">
        <v>3</v>
      </c>
    </row>
    <row r="46">
      <c r="A46" s="17" t="s">
        <v>31</v>
      </c>
      <c r="B46" s="14"/>
      <c r="C46" s="14"/>
      <c r="D46" s="14" t="s">
        <v>32</v>
      </c>
      <c r="E46" s="14"/>
      <c r="F46" s="14"/>
      <c r="G46" s="16" t="s">
        <v>33</v>
      </c>
    </row>
    <row r="47">
      <c r="A47" s="14" t="str">
        <f>'data'!$B$8</f>
      </c>
      <c r="B47" s="14" t="str">
        <f>IF(UPPER(D48)="X",0,IF((LEN(SUBSTITUTE(SUBSTITUTE(SUBSTITUTE(B48," ",""),"0",""),"-","")) +LEN(SUBSTITUTE(SUBSTITUTE(SUBSTITUTE(C48," ",""),"0",""),"-","")) )&gt;(LEN(SUBSTITUTE(SUBSTITUTE(SUBSTITUTE(E48," ",""),"0",""),"-","")) +LEN(SUBSTITUTE(SUBSTITUTE(SUBSTITUTE(F48," ",""),"0",""),"-","")) ),1,0))+IF(UPPER(D49)="X",0,IF((LEN(SUBSTITUTE(SUBSTITUTE(SUBSTITUTE(B49," ",""),"0",""),"-","")) +LEN(SUBSTITUTE(SUBSTITUTE(SUBSTITUTE(C49," ",""),"0",""),"-","")) )&gt;(LEN(SUBSTITUTE(SUBSTITUTE(SUBSTITUTE(E49," ",""),"0",""),"-","")) +LEN(SUBSTITUTE(SUBSTITUTE(SUBSTITUTE(F49," ",""),"0",""),"-","")) ),1,0))+IF(UPPER(D50)="X",0,IF((LEN(SUBSTITUTE(SUBSTITUTE(SUBSTITUTE(B50," ",""),"0",""),"-","")) +LEN(SUBSTITUTE(SUBSTITUTE(SUBSTITUTE(C50," ",""),"0",""),"-","")) )&gt;(LEN(SUBSTITUTE(SUBSTITUTE(SUBSTITUTE(E50," ",""),"0",""),"-","")) +LEN(SUBSTITUTE(SUBSTITUTE(SUBSTITUTE(F50," ",""),"0",""),"-","")) ),1,0))</f>
      </c>
      <c r="C47" s="14" t="str">
        <f>LEN(SUBSTITUTE(SUBSTITUTE(SUBSTITUTE(B48," ",""),"0",""),"-","")) +LEN(SUBSTITUTE(SUBSTITUTE(SUBSTITUTE(C48," ",""),"0",""),"-","")) +LEN(SUBSTITUTE(SUBSTITUTE(SUBSTITUTE(B49," ",""),"0",""),"-","")) +LEN(SUBSTITUTE(SUBSTITUTE(SUBSTITUTE(C49," ",""),"0",""),"-","")) +LEN(SUBSTITUTE(SUBSTITUTE(SUBSTITUTE(B50," ",""),"0",""),"-","")) +LEN(SUBSTITUTE(SUBSTITUTE(SUBSTITUTE(C50," ",""),"0",""),"-","")) </f>
      </c>
      <c r="D47" s="18"/>
      <c r="E47" s="14" t="str">
        <f>LEN(SUBSTITUTE(SUBSTITUTE(SUBSTITUTE(E48," ",""),"0",""),"-","")) +LEN(SUBSTITUTE(SUBSTITUTE(SUBSTITUTE(F48," ",""),"0",""),"-","")) +LEN(SUBSTITUTE(SUBSTITUTE(SUBSTITUTE(E49," ",""),"0",""),"-","")) +LEN(SUBSTITUTE(SUBSTITUTE(SUBSTITUTE(F49," ",""),"0",""),"-","")) +LEN(SUBSTITUTE(SUBSTITUTE(SUBSTITUTE(E50," ",""),"0",""),"-","")) +LEN(SUBSTITUTE(SUBSTITUTE(SUBSTITUTE(F50," ",""),"0",""),"-","")) </f>
      </c>
      <c r="F47" s="14" t="str">
        <f>IF(UPPER(D48)="X",0,IF((LEN(SUBSTITUTE(SUBSTITUTE(SUBSTITUTE(E48," ",""),"0",""),"-","")) +LEN(SUBSTITUTE(SUBSTITUTE(SUBSTITUTE(F48," ",""),"0",""),"-","")) )&gt;(LEN(SUBSTITUTE(SUBSTITUTE(SUBSTITUTE(B48," ",""),"0",""),"-","")) +LEN(SUBSTITUTE(SUBSTITUTE(SUBSTITUTE(C48," ",""),"0",""),"-","")) ),1,0))+IF(UPPER(D49)="X",0,IF((LEN(SUBSTITUTE(SUBSTITUTE(SUBSTITUTE(E49," ",""),"0",""),"-","")) +LEN(SUBSTITUTE(SUBSTITUTE(SUBSTITUTE(F49," ",""),"0",""),"-","")) )&gt;(LEN(SUBSTITUTE(SUBSTITUTE(SUBSTITUTE(B49," ",""),"0",""),"-","")) +LEN(SUBSTITUTE(SUBSTITUTE(SUBSTITUTE(C49," ",""),"0",""),"-","")) ),1,0))+IF(UPPER(D50)="X",0,IF((LEN(SUBSTITUTE(SUBSTITUTE(SUBSTITUTE(E50," ",""),"0",""),"-","")) +LEN(SUBSTITUTE(SUBSTITUTE(SUBSTITUTE(F50," ",""),"0",""),"-","")) )&gt;(LEN(SUBSTITUTE(SUBSTITUTE(SUBSTITUTE(B50," ",""),"0",""),"-","")) +LEN(SUBSTITUTE(SUBSTITUTE(SUBSTITUTE(C50," ",""),"0",""),"-","")) ),1,0))</f>
      </c>
      <c r="G47" s="14" t="str">
        <f>'data'!$B$6</f>
      </c>
    </row>
    <row r="48">
      <c r="A48" s="14">
        <v>1</v>
      </c>
      <c r="B48" s="18"/>
      <c r="C48" s="18"/>
      <c r="D48" s="18"/>
      <c r="E48" s="18"/>
      <c r="F48" s="18"/>
      <c r="G48" s="14">
        <v>1</v>
      </c>
    </row>
    <row r="49">
      <c r="A49" s="14">
        <v>2</v>
      </c>
      <c r="B49" s="18"/>
      <c r="C49" s="18"/>
      <c r="D49" s="18"/>
      <c r="E49" s="18"/>
      <c r="F49" s="18"/>
      <c r="G49" s="14">
        <v>2</v>
      </c>
    </row>
    <row r="50">
      <c r="A50" s="14">
        <v>3</v>
      </c>
      <c r="B50" s="18"/>
      <c r="C50" s="18"/>
      <c r="D50" s="18"/>
      <c r="E50" s="18"/>
      <c r="F50" s="18"/>
      <c r="G50" s="14">
        <v>3</v>
      </c>
    </row>
    <row r="52">
      <c r="A52" s="17" t="s">
        <v>31</v>
      </c>
      <c r="B52" s="14"/>
      <c r="C52" s="14"/>
      <c r="D52" s="14" t="s">
        <v>32</v>
      </c>
      <c r="E52" s="14"/>
      <c r="F52" s="14"/>
      <c r="G52" s="16" t="s">
        <v>33</v>
      </c>
    </row>
    <row r="53">
      <c r="A53" s="14" t="str">
        <f>'data'!$B$8</f>
      </c>
      <c r="B53" s="14" t="str">
        <f>IF(UPPER(D54)="X",0,IF((LEN(SUBSTITUTE(SUBSTITUTE(SUBSTITUTE(B54," ",""),"0",""),"-","")) +LEN(SUBSTITUTE(SUBSTITUTE(SUBSTITUTE(C54," ",""),"0",""),"-","")) )&gt;(LEN(SUBSTITUTE(SUBSTITUTE(SUBSTITUTE(E54," ",""),"0",""),"-","")) +LEN(SUBSTITUTE(SUBSTITUTE(SUBSTITUTE(F54," ",""),"0",""),"-","")) ),1,0))+IF(UPPER(D55)="X",0,IF((LEN(SUBSTITUTE(SUBSTITUTE(SUBSTITUTE(B55," ",""),"0",""),"-","")) +LEN(SUBSTITUTE(SUBSTITUTE(SUBSTITUTE(C55," ",""),"0",""),"-","")) )&gt;(LEN(SUBSTITUTE(SUBSTITUTE(SUBSTITUTE(E55," ",""),"0",""),"-","")) +LEN(SUBSTITUTE(SUBSTITUTE(SUBSTITUTE(F55," ",""),"0",""),"-","")) ),1,0))+IF(UPPER(D56)="X",0,IF((LEN(SUBSTITUTE(SUBSTITUTE(SUBSTITUTE(B56," ",""),"0",""),"-","")) +LEN(SUBSTITUTE(SUBSTITUTE(SUBSTITUTE(C56," ",""),"0",""),"-","")) )&gt;(LEN(SUBSTITUTE(SUBSTITUTE(SUBSTITUTE(E56," ",""),"0",""),"-","")) +LEN(SUBSTITUTE(SUBSTITUTE(SUBSTITUTE(F56," ",""),"0",""),"-","")) ),1,0))</f>
      </c>
      <c r="C53" s="14" t="str">
        <f>LEN(SUBSTITUTE(SUBSTITUTE(SUBSTITUTE(B54," ",""),"0",""),"-","")) +LEN(SUBSTITUTE(SUBSTITUTE(SUBSTITUTE(C54," ",""),"0",""),"-","")) +LEN(SUBSTITUTE(SUBSTITUTE(SUBSTITUTE(B55," ",""),"0",""),"-","")) +LEN(SUBSTITUTE(SUBSTITUTE(SUBSTITUTE(C55," ",""),"0",""),"-","")) +LEN(SUBSTITUTE(SUBSTITUTE(SUBSTITUTE(B56," ",""),"0",""),"-","")) +LEN(SUBSTITUTE(SUBSTITUTE(SUBSTITUTE(C56," ",""),"0",""),"-","")) </f>
      </c>
      <c r="D53" s="18"/>
      <c r="E53" s="14" t="str">
        <f>LEN(SUBSTITUTE(SUBSTITUTE(SUBSTITUTE(E54," ",""),"0",""),"-","")) +LEN(SUBSTITUTE(SUBSTITUTE(SUBSTITUTE(F54," ",""),"0",""),"-","")) +LEN(SUBSTITUTE(SUBSTITUTE(SUBSTITUTE(E55," ",""),"0",""),"-","")) +LEN(SUBSTITUTE(SUBSTITUTE(SUBSTITUTE(F55," ",""),"0",""),"-","")) +LEN(SUBSTITUTE(SUBSTITUTE(SUBSTITUTE(E56," ",""),"0",""),"-","")) +LEN(SUBSTITUTE(SUBSTITUTE(SUBSTITUTE(F56," ",""),"0",""),"-","")) </f>
      </c>
      <c r="F53" s="14" t="str">
        <f>IF(UPPER(D54)="X",0,IF((LEN(SUBSTITUTE(SUBSTITUTE(SUBSTITUTE(E54," ",""),"0",""),"-","")) +LEN(SUBSTITUTE(SUBSTITUTE(SUBSTITUTE(F54," ",""),"0",""),"-","")) )&gt;(LEN(SUBSTITUTE(SUBSTITUTE(SUBSTITUTE(B54," ",""),"0",""),"-","")) +LEN(SUBSTITUTE(SUBSTITUTE(SUBSTITUTE(C54," ",""),"0",""),"-","")) ),1,0))+IF(UPPER(D55)="X",0,IF((LEN(SUBSTITUTE(SUBSTITUTE(SUBSTITUTE(E55," ",""),"0",""),"-","")) +LEN(SUBSTITUTE(SUBSTITUTE(SUBSTITUTE(F55," ",""),"0",""),"-","")) )&gt;(LEN(SUBSTITUTE(SUBSTITUTE(SUBSTITUTE(B55," ",""),"0",""),"-","")) +LEN(SUBSTITUTE(SUBSTITUTE(SUBSTITUTE(C55," ",""),"0",""),"-","")) ),1,0))+IF(UPPER(D56)="X",0,IF((LEN(SUBSTITUTE(SUBSTITUTE(SUBSTITUTE(E56," ",""),"0",""),"-","")) +LEN(SUBSTITUTE(SUBSTITUTE(SUBSTITUTE(F56," ",""),"0",""),"-","")) )&gt;(LEN(SUBSTITUTE(SUBSTITUTE(SUBSTITUTE(B56," ",""),"0",""),"-","")) +LEN(SUBSTITUTE(SUBSTITUTE(SUBSTITUTE(C56," ",""),"0",""),"-","")) ),1,0))</f>
      </c>
      <c r="G53" s="14" t="str">
        <f>'data'!$B$7</f>
      </c>
    </row>
    <row r="54">
      <c r="A54" s="14">
        <v>1</v>
      </c>
      <c r="B54" s="18"/>
      <c r="C54" s="18"/>
      <c r="D54" s="18"/>
      <c r="E54" s="18"/>
      <c r="F54" s="18"/>
      <c r="G54" s="14">
        <v>1</v>
      </c>
    </row>
    <row r="55">
      <c r="A55" s="14">
        <v>2</v>
      </c>
      <c r="B55" s="18"/>
      <c r="C55" s="18"/>
      <c r="D55" s="18"/>
      <c r="E55" s="18"/>
      <c r="F55" s="18"/>
      <c r="G55" s="14">
        <v>2</v>
      </c>
    </row>
    <row r="56">
      <c r="A56" s="14">
        <v>3</v>
      </c>
      <c r="B56" s="18"/>
      <c r="C56" s="18"/>
      <c r="D56" s="18"/>
      <c r="E56" s="18"/>
      <c r="F56" s="18"/>
      <c r="G56" s="14">
        <v>3</v>
      </c>
    </row>
    <row r="59">
      <c r="A59" s="13" t="s">
        <v>34</v>
      </c>
      <c r="B59" s="13" t="s">
        <v>35</v>
      </c>
      <c r="C59" s="13" t="s">
        <v>36</v>
      </c>
      <c r="D59" s="13" t="s">
        <v>37</v>
      </c>
      <c r="E59" s="13"/>
      <c r="F59" s="13"/>
      <c r="G59" s="13" t="s">
        <v>38</v>
      </c>
    </row>
    <row r="60">
      <c r="A60" s="14" t="str">
        <f>'data'!$B$6</f>
      </c>
      <c r="B60" s="14" t="str">
        <f>IF(OR(COUNTA(B42:C44,E42:F44)&gt;0,D42="X",D42="x",D43="X",D43="x",D44="X",D44="x",OR(D41="X",D41="x")),IF(OR(OR(D41="X",D41="x"),AND(B41=F41,C41=E41)),0,IF(OR(F41&gt;B41,AND(F41=B41,E41&gt;C41)),1,0)),0)+IF(OR(COUNTA(B48:C50,E48:F50)&gt;0,D48="X",D48="x",D49="X",D49="x",D50="X",D50="x",OR(D47="X",D47="x")),IF(OR(OR(D47="X",D47="x"),AND(B47=F47,C47=E47)),0,IF(OR(F47&gt;B47,AND(F47=B47,E47&gt;C47)),1,0)),0)</f>
      </c>
      <c r="C60" s="14" t="str">
        <f>IF(OR(COUNTA(B42:C44,E42:F44)&gt;0,D42="X",D42="x",D43="X",D43="x",D44="X",D44="x",OR(D41="X",D41="x")),IF(OR(OR(D41="X",D41="x"),AND(B41=F41,C41=E41)),0,IF(OR(F41&lt;B41,AND(F41=B41,E41&lt;C41)),1,0)),0)+IF(OR(COUNTA(B48:C50,E48:F50)&gt;0,D48="X",D48="x",D49="X",D49="x",D50="X",D50="x",OR(D47="X",D47="x")),IF(OR(OR(D47="X",D47="x"),AND(B47=F47,C47=E47)),0,IF(OR(F47&lt;B47,AND(F47=B47,E47&lt;C47)),1,0)),0)</f>
      </c>
      <c r="D60" s="14" t="str">
        <f>IF(OR(COUNTA(B42:C44,E42:F44)&gt;0,D42="X",D42="x",D43="X",D43="x",D44="X",D44="x",OR(D41="X",D41="x")),IF(OR(OR(D41="X",D41="x"),AND(B41=F41,C41=E41)),1,0),0)+IF(OR(COUNTA(B48:C50,E48:F50)&gt;0,D48="X",D48="x",D49="X",D49="x",D50="X",D50="x",OR(D47="X",D47="x")),IF(OR(OR(D47="X",D47="x"),AND(B47=F47,C47=E47)),1,0),0)</f>
      </c>
      <c r="G60" s="18" t="str">
        <f>RANK(U60,$U$60:$U$62)+COUNTIF($U$59:U59,U60)</f>
      </c>
      <c r="U60" t="str">
        <f>(B60*1000000000)-(C60*10000000)+(D60*100000)+(B65*1000)-(C65*100)+(D65*10)+(E65*1)-(F65*0.01)</f>
      </c>
    </row>
    <row r="61">
      <c r="A61" s="14" t="str">
        <f>'data'!$B$7</f>
      </c>
      <c r="B61" s="14" t="str">
        <f>IF(OR(COUNTA(B42:C44,E42:F44)&gt;0,D42="X",D42="x",D43="X",D43="x",D44="X",D44="x",OR(D41="X",D41="x")),IF(OR(OR(D41="X",D41="x"),AND(B41=F41,C41=E41)),0,IF(OR(B41&gt;F41,AND(B41=F41,C41&gt;E41)),1,0)),0)+IF(OR(COUNTA(B54:C56,E54:F56)&gt;0,D54="X",D54="x",D55="X",D55="x",D56="X",D56="x",OR(D53="X",D53="x")),IF(OR(OR(D53="X",D53="x"),AND(B53=F53,C53=E53)),0,IF(OR(F53&gt;B53,AND(F53=B53,E53&gt;C53)),1,0)),0)</f>
      </c>
      <c r="C61" s="14" t="str">
        <f>IF(OR(COUNTA(B42:C44,E42:F44)&gt;0,D42="X",D42="x",D43="X",D43="x",D44="X",D44="x",OR(D41="X",D41="x")),IF(OR(OR(D41="X",D41="x"),AND(B41=F41,C41=E41)),0,IF(OR(B41&lt;F41,AND(B41=F41,C41&lt;E41)),1,0)),0)+IF(OR(COUNTA(B54:C56,E54:F56)&gt;0,D54="X",D54="x",D55="X",D55="x",D56="X",D56="x",OR(D53="X",D53="x")),IF(OR(OR(D53="X",D53="x"),AND(B53=F53,C53=E53)),0,IF(OR(F53&lt;B53,AND(F53=B53,E53&lt;C53)),1,0)),0)</f>
      </c>
      <c r="D61" s="14" t="str">
        <f>IF(OR(COUNTA(B42:C44,E42:F44)&gt;0,D42="X",D42="x",D43="X",D43="x",D44="X",D44="x",OR(D41="X",D41="x")),IF(OR(OR(D41="X",D41="x"),AND(B41=F41,C41=E41)),1,0),0)+IF(OR(COUNTA(B54:C56,E54:F56)&gt;0,D54="X",D54="x",D55="X",D55="x",D56="X",D56="x",OR(D53="X",D53="x")),IF(OR(OR(D53="X",D53="x"),AND(B53=F53,C53=E53)),1,0),0)</f>
      </c>
      <c r="G61" s="18" t="str">
        <f>RANK(U61,$U$60:$U$62)+COUNTIF($U$59:U60,U61)</f>
      </c>
      <c r="U61" t="str">
        <f>(B61*1000000000)-(C61*10000000)+(D61*100000)+(B66*1000)-(C66*100)+(D66*10)+(E66*1)-(F66*0.01)</f>
      </c>
    </row>
    <row r="62">
      <c r="A62" s="14" t="str">
        <f>'data'!$B$8</f>
      </c>
      <c r="B62" s="14" t="str">
        <f>IF(OR(COUNTA(B48:C50,E48:F50)&gt;0,D48="X",D48="x",D49="X",D49="x",D50="X",D50="x",OR(D47="X",D47="x")),IF(OR(OR(D47="X",D47="x"),AND(B47=F47,C47=E47)),0,IF(OR(B47&gt;F47,AND(B47=F47,C47&gt;E47)),1,0)),0)+IF(OR(COUNTA(B54:C56,E54:F56)&gt;0,D54="X",D54="x",D55="X",D55="x",D56="X",D56="x",OR(D53="X",D53="x")),IF(OR(OR(D53="X",D53="x"),AND(B53=F53,C53=E53)),0,IF(OR(B53&gt;F53,AND(B53=F53,C53&gt;E53)),1,0)),0)</f>
      </c>
      <c r="C62" s="14" t="str">
        <f>IF(OR(COUNTA(B48:C50,E48:F50)&gt;0,D48="X",D48="x",D49="X",D49="x",D50="X",D50="x",OR(D47="X",D47="x")),IF(OR(OR(D47="X",D47="x"),AND(B47=F47,C47=E47)),0,IF(OR(B47&lt;F47,AND(B47=F47,C47&lt;E47)),1,0)),0)+IF(OR(COUNTA(B54:C56,E54:F56)&gt;0,D54="X",D54="x",D55="X",D55="x",D56="X",D56="x",OR(D53="X",D53="x")),IF(OR(OR(D53="X",D53="x"),AND(B53=F53,C53=E53)),0,IF(OR(B53&lt;F53,AND(B53=F53,C53&lt;E53)),1,0)),0)</f>
      </c>
      <c r="D62" s="14" t="str">
        <f>IF(OR(COUNTA(B48:C50,E48:F50)&gt;0,D48="X",D48="x",D49="X",D49="x",D50="X",D50="x",OR(D47="X",D47="x")),IF(OR(OR(D47="X",D47="x"),AND(B47=F47,C47=E47)),1,0),0)+IF(OR(COUNTA(B54:C56,E54:F56)&gt;0,D54="X",D54="x",D55="X",D55="x",D56="X",D56="x",OR(D53="X",D53="x")),IF(OR(OR(D53="X",D53="x"),AND(B53=F53,C53=E53)),1,0),0)</f>
      </c>
      <c r="G62" s="18" t="str">
        <f>RANK(U62,$U$60:$U$62)+COUNTIF($U$59:U61,U62)</f>
      </c>
      <c r="U62" t="str">
        <f>(B62*1000000000)-(C62*10000000)+(D62*100000)+(B67*1000)-(C67*100)+(D67*10)+(E67*1)-(F67*0.01)</f>
      </c>
    </row>
    <row r="64">
      <c r="A64" s="13"/>
      <c r="B64" s="13" t="s">
        <v>39</v>
      </c>
      <c r="C64" s="13" t="s">
        <v>40</v>
      </c>
      <c r="D64" s="13" t="s">
        <v>41</v>
      </c>
      <c r="E64" s="13" t="s">
        <v>42</v>
      </c>
      <c r="F64" s="13" t="s">
        <v>43</v>
      </c>
    </row>
    <row r="65">
      <c r="A65" s="14" t="str">
        <f>'data'!$B$6</f>
      </c>
      <c r="B65" s="14" t="str">
        <f>IF(OR(COUNTA(B42:C44,E42:F44)&gt;0,OR(D41="X",D41="x"),UPPER(D42)="X",UPPER(D43)="X",UPPER(D44)="X"),F41,0)+IF(OR(COUNTA(B48:C50,E48:F50)&gt;0,OR(D47="X",D47="x"),UPPER(D48)="X",UPPER(D49)="X",UPPER(D50)="X"),F47,0)</f>
      </c>
      <c r="C65" s="14" t="str">
        <f>IF(OR(COUNTA(B42:C44,E42:F44)&gt;0,OR(D41="X",D41="x"),UPPER(D42)="X",UPPER(D43)="X",UPPER(D44)="X"),B41,0)+IF(OR(COUNTA(B48:C50,E48:F50)&gt;0,OR(D47="X",D47="x"),UPPER(D48)="X",UPPER(D49)="X",UPPER(D50)="X"),B47,0)</f>
      </c>
      <c r="D65"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f>
      </c>
      <c r="E65" s="14" t="str">
        <f>E41+E47</f>
      </c>
      <c r="F65" s="14" t="str">
        <f>C41+C47</f>
      </c>
    </row>
    <row r="66">
      <c r="A66" s="14" t="str">
        <f>'data'!$B$7</f>
      </c>
      <c r="B66" s="14" t="str">
        <f>IF(OR(COUNTA(B42:C44,E42:F44)&gt;0,OR(D41="X",D41="x"),UPPER(D42)="X",UPPER(D43)="X",UPPER(D44)="X"),B41,0)+IF(OR(COUNTA(B54:C56,E54:F56)&gt;0,OR(D53="X",D53="x"),UPPER(D54)="X",UPPER(D55)="X",UPPER(D56)="X"),F53,0)</f>
      </c>
      <c r="C66" s="14" t="str">
        <f>IF(OR(COUNTA(B42:C44,E42:F44)&gt;0,OR(D41="X",D41="x"),UPPER(D42)="X",UPPER(D43)="X",UPPER(D44)="X"),F41,0)+IF(OR(COUNTA(B54:C56,E54:F56)&gt;0,OR(D53="X",D53="x"),UPPER(D54)="X",UPPER(D55)="X",UPPER(D56)="X"),B53,0)</f>
      </c>
      <c r="D66"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6" s="14" t="str">
        <f>C41+E53</f>
      </c>
      <c r="F66" s="14" t="str">
        <f>E41+C53</f>
      </c>
    </row>
    <row r="67">
      <c r="A67" s="14" t="str">
        <f>'data'!$B$8</f>
      </c>
      <c r="B67" s="14" t="str">
        <f>IF(OR(COUNTA(B48:C50,E48:F50)&gt;0,OR(D47="X",D47="x"),UPPER(D48)="X",UPPER(D49)="X",UPPER(D50)="X"),B47,0)+IF(OR(COUNTA(B54:C56,E54:F56)&gt;0,OR(D53="X",D53="x"),UPPER(D54)="X",UPPER(D55)="X",UPPER(D56)="X"),B53,0)</f>
      </c>
      <c r="C67" s="14" t="str">
        <f>IF(OR(COUNTA(B48:C50,E48:F50)&gt;0,OR(D47="X",D47="x"),UPPER(D48)="X",UPPER(D49)="X",UPPER(D50)="X"),F47,0)+IF(OR(COUNTA(B54:C56,E54:F56)&gt;0,OR(D53="X",D53="x"),UPPER(D54)="X",UPPER(D55)="X",UPPER(D56)="X"),F53,0)</f>
      </c>
      <c r="D67" s="14" t="str">
        <f>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7" s="14" t="str">
        <f>C47+C53</f>
      </c>
      <c r="F67" s="14" t="str">
        <f>E47+E53</f>
      </c>
    </row>
    <row r="70">
      <c r="F70" s="13"/>
      <c r="G70" s="13" t="s">
        <v>44</v>
      </c>
    </row>
    <row r="71">
      <c r="F71" t="s">
        <v>45</v>
      </c>
      <c r="G71" s="19" t="str">
        <f>IFERROR(INDEX($A$60:$A$67, MATCH(1, $G$60:$G$67, 0)), "-")</f>
      </c>
    </row>
    <row r="72">
      <c r="F72" t="s">
        <v>46</v>
      </c>
      <c r="G72" s="19" t="str">
        <f>IFERROR(INDEX($A$60:$A$67, MATCH(2, $G$60:$G$67, 0)), "-")</f>
      </c>
    </row>
    <row r="73">
      <c r="F73" t="s">
        <v>47</v>
      </c>
      <c r="G73" s="19" t="str">
        <f>IFERROR(INDEX($A$60:$A$67, MATCH(3, $G$60:$G$67, 0)), "-")</f>
      </c>
    </row>
    <row r="76">
      <c r="A76" s="13" t="str">
        <f>'data'!$A$11</f>
      </c>
      <c r="B76" s="13"/>
      <c r="C76" s="13"/>
      <c r="D76" s="13"/>
      <c r="E76" s="13"/>
      <c r="F76" s="13"/>
      <c r="G76" s="13"/>
    </row>
    <row r="77">
      <c r="A77" s="17" t="s">
        <v>31</v>
      </c>
      <c r="B77" s="14"/>
      <c r="C77" s="14"/>
      <c r="D77" s="14" t="s">
        <v>32</v>
      </c>
      <c r="E77" s="14"/>
      <c r="F77" s="14"/>
      <c r="G77" s="16" t="s">
        <v>33</v>
      </c>
    </row>
    <row r="78">
      <c r="A78" s="14" t="str">
        <f>'data'!$B$10</f>
      </c>
      <c r="B78" s="14" t="str">
        <f>IF(UPPER(D79)="X",0,IF((LEN(SUBSTITUTE(SUBSTITUTE(SUBSTITUTE(B79," ",""),"0",""),"-","")) +LEN(SUBSTITUTE(SUBSTITUTE(SUBSTITUTE(C79," ",""),"0",""),"-","")) )&gt;(LEN(SUBSTITUTE(SUBSTITUTE(SUBSTITUTE(E79," ",""),"0",""),"-","")) +LEN(SUBSTITUTE(SUBSTITUTE(SUBSTITUTE(F79," ",""),"0",""),"-","")) ),1,0))+IF(UPPER(D80)="X",0,IF((LEN(SUBSTITUTE(SUBSTITUTE(SUBSTITUTE(B80," ",""),"0",""),"-","")) +LEN(SUBSTITUTE(SUBSTITUTE(SUBSTITUTE(C80," ",""),"0",""),"-","")) )&gt;(LEN(SUBSTITUTE(SUBSTITUTE(SUBSTITUTE(E80," ",""),"0",""),"-","")) +LEN(SUBSTITUTE(SUBSTITUTE(SUBSTITUTE(F80," ",""),"0",""),"-","")) ),1,0))+IF(UPPER(D81)="X",0,IF((LEN(SUBSTITUTE(SUBSTITUTE(SUBSTITUTE(B81," ",""),"0",""),"-","")) +LEN(SUBSTITUTE(SUBSTITUTE(SUBSTITUTE(C81," ",""),"0",""),"-","")) )&gt;(LEN(SUBSTITUTE(SUBSTITUTE(SUBSTITUTE(E81," ",""),"0",""),"-","")) +LEN(SUBSTITUTE(SUBSTITUTE(SUBSTITUTE(F81," ",""),"0",""),"-","")) ),1,0))</f>
      </c>
      <c r="C78" s="14" t="str">
        <f>LEN(SUBSTITUTE(SUBSTITUTE(SUBSTITUTE(B79," ",""),"0",""),"-","")) +LEN(SUBSTITUTE(SUBSTITUTE(SUBSTITUTE(C79," ",""),"0",""),"-","")) +LEN(SUBSTITUTE(SUBSTITUTE(SUBSTITUTE(B80," ",""),"0",""),"-","")) +LEN(SUBSTITUTE(SUBSTITUTE(SUBSTITUTE(C80," ",""),"0",""),"-","")) +LEN(SUBSTITUTE(SUBSTITUTE(SUBSTITUTE(B81," ",""),"0",""),"-","")) +LEN(SUBSTITUTE(SUBSTITUTE(SUBSTITUTE(C81," ",""),"0",""),"-","")) </f>
      </c>
      <c r="D78" s="18"/>
      <c r="E78" s="14" t="str">
        <f>LEN(SUBSTITUTE(SUBSTITUTE(SUBSTITUTE(E79," ",""),"0",""),"-","")) +LEN(SUBSTITUTE(SUBSTITUTE(SUBSTITUTE(F79," ",""),"0",""),"-","")) +LEN(SUBSTITUTE(SUBSTITUTE(SUBSTITUTE(E80," ",""),"0",""),"-","")) +LEN(SUBSTITUTE(SUBSTITUTE(SUBSTITUTE(F80," ",""),"0",""),"-","")) +LEN(SUBSTITUTE(SUBSTITUTE(SUBSTITUTE(E81," ",""),"0",""),"-","")) +LEN(SUBSTITUTE(SUBSTITUTE(SUBSTITUTE(F81," ",""),"0",""),"-","")) </f>
      </c>
      <c r="F78" s="14" t="str">
        <f>IF(UPPER(D79)="X",0,IF((LEN(SUBSTITUTE(SUBSTITUTE(SUBSTITUTE(E79," ",""),"0",""),"-","")) +LEN(SUBSTITUTE(SUBSTITUTE(SUBSTITUTE(F79," ",""),"0",""),"-","")) )&gt;(LEN(SUBSTITUTE(SUBSTITUTE(SUBSTITUTE(B79," ",""),"0",""),"-","")) +LEN(SUBSTITUTE(SUBSTITUTE(SUBSTITUTE(C79," ",""),"0",""),"-","")) ),1,0))+IF(UPPER(D80)="X",0,IF((LEN(SUBSTITUTE(SUBSTITUTE(SUBSTITUTE(E80," ",""),"0",""),"-","")) +LEN(SUBSTITUTE(SUBSTITUTE(SUBSTITUTE(F80," ",""),"0",""),"-","")) )&gt;(LEN(SUBSTITUTE(SUBSTITUTE(SUBSTITUTE(B80," ",""),"0",""),"-","")) +LEN(SUBSTITUTE(SUBSTITUTE(SUBSTITUTE(C80," ",""),"0",""),"-","")) ),1,0))+IF(UPPER(D81)="X",0,IF((LEN(SUBSTITUTE(SUBSTITUTE(SUBSTITUTE(E81," ",""),"0",""),"-","")) +LEN(SUBSTITUTE(SUBSTITUTE(SUBSTITUTE(F81," ",""),"0",""),"-","")) )&gt;(LEN(SUBSTITUTE(SUBSTITUTE(SUBSTITUTE(B81," ",""),"0",""),"-","")) +LEN(SUBSTITUTE(SUBSTITUTE(SUBSTITUTE(C81," ",""),"0",""),"-","")) ),1,0))</f>
      </c>
      <c r="G78" s="14" t="str">
        <f>'data'!$B$9</f>
      </c>
    </row>
    <row r="79">
      <c r="A79" s="14">
        <v>1</v>
      </c>
      <c r="B79" s="18"/>
      <c r="C79" s="18"/>
      <c r="D79" s="18"/>
      <c r="E79" s="18"/>
      <c r="F79" s="18"/>
      <c r="G79" s="14">
        <v>1</v>
      </c>
    </row>
    <row r="80">
      <c r="A80" s="14">
        <v>2</v>
      </c>
      <c r="B80" s="18"/>
      <c r="C80" s="18"/>
      <c r="D80" s="18"/>
      <c r="E80" s="18"/>
      <c r="F80" s="18"/>
      <c r="G80" s="14">
        <v>2</v>
      </c>
    </row>
    <row r="81">
      <c r="A81" s="14">
        <v>3</v>
      </c>
      <c r="B81" s="18"/>
      <c r="C81" s="18"/>
      <c r="D81" s="18"/>
      <c r="E81" s="18"/>
      <c r="F81" s="18"/>
      <c r="G81" s="14">
        <v>3</v>
      </c>
    </row>
    <row r="83">
      <c r="A83" s="17" t="s">
        <v>31</v>
      </c>
      <c r="B83" s="14"/>
      <c r="C83" s="14"/>
      <c r="D83" s="14" t="s">
        <v>32</v>
      </c>
      <c r="E83" s="14"/>
      <c r="F83" s="14"/>
      <c r="G83" s="16" t="s">
        <v>33</v>
      </c>
    </row>
    <row r="84">
      <c r="A84" s="14" t="str">
        <f>'data'!$B$11</f>
      </c>
      <c r="B84" s="14" t="str">
        <f>IF(UPPER(D85)="X",0,IF((LEN(SUBSTITUTE(SUBSTITUTE(SUBSTITUTE(B85," ",""),"0",""),"-","")) +LEN(SUBSTITUTE(SUBSTITUTE(SUBSTITUTE(C85," ",""),"0",""),"-","")) )&gt;(LEN(SUBSTITUTE(SUBSTITUTE(SUBSTITUTE(E85," ",""),"0",""),"-","")) +LEN(SUBSTITUTE(SUBSTITUTE(SUBSTITUTE(F85," ",""),"0",""),"-","")) ),1,0))+IF(UPPER(D86)="X",0,IF((LEN(SUBSTITUTE(SUBSTITUTE(SUBSTITUTE(B86," ",""),"0",""),"-","")) +LEN(SUBSTITUTE(SUBSTITUTE(SUBSTITUTE(C86," ",""),"0",""),"-","")) )&gt;(LEN(SUBSTITUTE(SUBSTITUTE(SUBSTITUTE(E86," ",""),"0",""),"-","")) +LEN(SUBSTITUTE(SUBSTITUTE(SUBSTITUTE(F86," ",""),"0",""),"-","")) ),1,0))+IF(UPPER(D87)="X",0,IF((LEN(SUBSTITUTE(SUBSTITUTE(SUBSTITUTE(B87," ",""),"0",""),"-","")) +LEN(SUBSTITUTE(SUBSTITUTE(SUBSTITUTE(C87," ",""),"0",""),"-","")) )&gt;(LEN(SUBSTITUTE(SUBSTITUTE(SUBSTITUTE(E87," ",""),"0",""),"-","")) +LEN(SUBSTITUTE(SUBSTITUTE(SUBSTITUTE(F87," ",""),"0",""),"-","")) ),1,0))</f>
      </c>
      <c r="C84" s="14" t="str">
        <f>LEN(SUBSTITUTE(SUBSTITUTE(SUBSTITUTE(B85," ",""),"0",""),"-","")) +LEN(SUBSTITUTE(SUBSTITUTE(SUBSTITUTE(C85," ",""),"0",""),"-","")) +LEN(SUBSTITUTE(SUBSTITUTE(SUBSTITUTE(B86," ",""),"0",""),"-","")) +LEN(SUBSTITUTE(SUBSTITUTE(SUBSTITUTE(C86," ",""),"0",""),"-","")) +LEN(SUBSTITUTE(SUBSTITUTE(SUBSTITUTE(B87," ",""),"0",""),"-","")) +LEN(SUBSTITUTE(SUBSTITUTE(SUBSTITUTE(C87," ",""),"0",""),"-","")) </f>
      </c>
      <c r="D84" s="18"/>
      <c r="E84" s="14" t="str">
        <f>LEN(SUBSTITUTE(SUBSTITUTE(SUBSTITUTE(E85," ",""),"0",""),"-","")) +LEN(SUBSTITUTE(SUBSTITUTE(SUBSTITUTE(F85," ",""),"0",""),"-","")) +LEN(SUBSTITUTE(SUBSTITUTE(SUBSTITUTE(E86," ",""),"0",""),"-","")) +LEN(SUBSTITUTE(SUBSTITUTE(SUBSTITUTE(F86," ",""),"0",""),"-","")) +LEN(SUBSTITUTE(SUBSTITUTE(SUBSTITUTE(E87," ",""),"0",""),"-","")) +LEN(SUBSTITUTE(SUBSTITUTE(SUBSTITUTE(F87," ",""),"0",""),"-","")) </f>
      </c>
      <c r="F84" s="14" t="str">
        <f>IF(UPPER(D85)="X",0,IF((LEN(SUBSTITUTE(SUBSTITUTE(SUBSTITUTE(E85," ",""),"0",""),"-","")) +LEN(SUBSTITUTE(SUBSTITUTE(SUBSTITUTE(F85," ",""),"0",""),"-","")) )&gt;(LEN(SUBSTITUTE(SUBSTITUTE(SUBSTITUTE(B85," ",""),"0",""),"-","")) +LEN(SUBSTITUTE(SUBSTITUTE(SUBSTITUTE(C85," ",""),"0",""),"-","")) ),1,0))+IF(UPPER(D86)="X",0,IF((LEN(SUBSTITUTE(SUBSTITUTE(SUBSTITUTE(E86," ",""),"0",""),"-","")) +LEN(SUBSTITUTE(SUBSTITUTE(SUBSTITUTE(F86," ",""),"0",""),"-","")) )&gt;(LEN(SUBSTITUTE(SUBSTITUTE(SUBSTITUTE(B86," ",""),"0",""),"-","")) +LEN(SUBSTITUTE(SUBSTITUTE(SUBSTITUTE(C86," ",""),"0",""),"-","")) ),1,0))+IF(UPPER(D87)="X",0,IF((LEN(SUBSTITUTE(SUBSTITUTE(SUBSTITUTE(E87," ",""),"0",""),"-","")) +LEN(SUBSTITUTE(SUBSTITUTE(SUBSTITUTE(F87," ",""),"0",""),"-","")) )&gt;(LEN(SUBSTITUTE(SUBSTITUTE(SUBSTITUTE(B87," ",""),"0",""),"-","")) +LEN(SUBSTITUTE(SUBSTITUTE(SUBSTITUTE(C87," ",""),"0",""),"-","")) ),1,0))</f>
      </c>
      <c r="G84" s="14" t="str">
        <f>'data'!$B$9</f>
      </c>
    </row>
    <row r="85">
      <c r="A85" s="14">
        <v>1</v>
      </c>
      <c r="B85" s="18"/>
      <c r="C85" s="18"/>
      <c r="D85" s="18"/>
      <c r="E85" s="18"/>
      <c r="F85" s="18"/>
      <c r="G85" s="14">
        <v>1</v>
      </c>
    </row>
    <row r="86">
      <c r="A86" s="14">
        <v>2</v>
      </c>
      <c r="B86" s="18"/>
      <c r="C86" s="18"/>
      <c r="D86" s="18"/>
      <c r="E86" s="18"/>
      <c r="F86" s="18"/>
      <c r="G86" s="14">
        <v>2</v>
      </c>
    </row>
    <row r="87">
      <c r="A87" s="14">
        <v>3</v>
      </c>
      <c r="B87" s="18"/>
      <c r="C87" s="18"/>
      <c r="D87" s="18"/>
      <c r="E87" s="18"/>
      <c r="F87" s="18"/>
      <c r="G87" s="14">
        <v>3</v>
      </c>
    </row>
    <row r="89">
      <c r="A89" s="17" t="s">
        <v>31</v>
      </c>
      <c r="B89" s="14"/>
      <c r="C89" s="14"/>
      <c r="D89" s="14" t="s">
        <v>32</v>
      </c>
      <c r="E89" s="14"/>
      <c r="F89" s="14"/>
      <c r="G89" s="16" t="s">
        <v>33</v>
      </c>
    </row>
    <row r="90">
      <c r="A90" s="14" t="str">
        <f>'data'!$B$11</f>
      </c>
      <c r="B90" s="14" t="str">
        <f>IF(UPPER(D91)="X",0,IF((LEN(SUBSTITUTE(SUBSTITUTE(SUBSTITUTE(B91," ",""),"0",""),"-","")) +LEN(SUBSTITUTE(SUBSTITUTE(SUBSTITUTE(C91," ",""),"0",""),"-","")) )&gt;(LEN(SUBSTITUTE(SUBSTITUTE(SUBSTITUTE(E91," ",""),"0",""),"-","")) +LEN(SUBSTITUTE(SUBSTITUTE(SUBSTITUTE(F91," ",""),"0",""),"-","")) ),1,0))+IF(UPPER(D92)="X",0,IF((LEN(SUBSTITUTE(SUBSTITUTE(SUBSTITUTE(B92," ",""),"0",""),"-","")) +LEN(SUBSTITUTE(SUBSTITUTE(SUBSTITUTE(C92," ",""),"0",""),"-","")) )&gt;(LEN(SUBSTITUTE(SUBSTITUTE(SUBSTITUTE(E92," ",""),"0",""),"-","")) +LEN(SUBSTITUTE(SUBSTITUTE(SUBSTITUTE(F92," ",""),"0",""),"-","")) ),1,0))+IF(UPPER(D93)="X",0,IF((LEN(SUBSTITUTE(SUBSTITUTE(SUBSTITUTE(B93," ",""),"0",""),"-","")) +LEN(SUBSTITUTE(SUBSTITUTE(SUBSTITUTE(C93," ",""),"0",""),"-","")) )&gt;(LEN(SUBSTITUTE(SUBSTITUTE(SUBSTITUTE(E93," ",""),"0",""),"-","")) +LEN(SUBSTITUTE(SUBSTITUTE(SUBSTITUTE(F93," ",""),"0",""),"-","")) ),1,0))</f>
      </c>
      <c r="C90" s="14" t="str">
        <f>LEN(SUBSTITUTE(SUBSTITUTE(SUBSTITUTE(B91," ",""),"0",""),"-","")) +LEN(SUBSTITUTE(SUBSTITUTE(SUBSTITUTE(C91," ",""),"0",""),"-","")) +LEN(SUBSTITUTE(SUBSTITUTE(SUBSTITUTE(B92," ",""),"0",""),"-","")) +LEN(SUBSTITUTE(SUBSTITUTE(SUBSTITUTE(C92," ",""),"0",""),"-","")) +LEN(SUBSTITUTE(SUBSTITUTE(SUBSTITUTE(B93," ",""),"0",""),"-","")) +LEN(SUBSTITUTE(SUBSTITUTE(SUBSTITUTE(C93," ",""),"0",""),"-","")) </f>
      </c>
      <c r="D90" s="18"/>
      <c r="E90" s="14" t="str">
        <f>LEN(SUBSTITUTE(SUBSTITUTE(SUBSTITUTE(E91," ",""),"0",""),"-","")) +LEN(SUBSTITUTE(SUBSTITUTE(SUBSTITUTE(F91," ",""),"0",""),"-","")) +LEN(SUBSTITUTE(SUBSTITUTE(SUBSTITUTE(E92," ",""),"0",""),"-","")) +LEN(SUBSTITUTE(SUBSTITUTE(SUBSTITUTE(F92," ",""),"0",""),"-","")) +LEN(SUBSTITUTE(SUBSTITUTE(SUBSTITUTE(E93," ",""),"0",""),"-","")) +LEN(SUBSTITUTE(SUBSTITUTE(SUBSTITUTE(F93," ",""),"0",""),"-","")) </f>
      </c>
      <c r="F90" s="14" t="str">
        <f>IF(UPPER(D91)="X",0,IF((LEN(SUBSTITUTE(SUBSTITUTE(SUBSTITUTE(E91," ",""),"0",""),"-","")) +LEN(SUBSTITUTE(SUBSTITUTE(SUBSTITUTE(F91," ",""),"0",""),"-","")) )&gt;(LEN(SUBSTITUTE(SUBSTITUTE(SUBSTITUTE(B91," ",""),"0",""),"-","")) +LEN(SUBSTITUTE(SUBSTITUTE(SUBSTITUTE(C91," ",""),"0",""),"-","")) ),1,0))+IF(UPPER(D92)="X",0,IF((LEN(SUBSTITUTE(SUBSTITUTE(SUBSTITUTE(E92," ",""),"0",""),"-","")) +LEN(SUBSTITUTE(SUBSTITUTE(SUBSTITUTE(F92," ",""),"0",""),"-","")) )&gt;(LEN(SUBSTITUTE(SUBSTITUTE(SUBSTITUTE(B92," ",""),"0",""),"-","")) +LEN(SUBSTITUTE(SUBSTITUTE(SUBSTITUTE(C92," ",""),"0",""),"-","")) ),1,0))+IF(UPPER(D93)="X",0,IF((LEN(SUBSTITUTE(SUBSTITUTE(SUBSTITUTE(E93," ",""),"0",""),"-","")) +LEN(SUBSTITUTE(SUBSTITUTE(SUBSTITUTE(F93," ",""),"0",""),"-","")) )&gt;(LEN(SUBSTITUTE(SUBSTITUTE(SUBSTITUTE(B93," ",""),"0",""),"-","")) +LEN(SUBSTITUTE(SUBSTITUTE(SUBSTITUTE(C93," ",""),"0",""),"-","")) ),1,0))</f>
      </c>
      <c r="G90" s="14" t="str">
        <f>'data'!$B$10</f>
      </c>
    </row>
    <row r="91">
      <c r="A91" s="14">
        <v>1</v>
      </c>
      <c r="B91" s="18"/>
      <c r="C91" s="18"/>
      <c r="D91" s="18"/>
      <c r="E91" s="18"/>
      <c r="F91" s="18"/>
      <c r="G91" s="14">
        <v>1</v>
      </c>
    </row>
    <row r="92">
      <c r="A92" s="14">
        <v>2</v>
      </c>
      <c r="B92" s="18"/>
      <c r="C92" s="18"/>
      <c r="D92" s="18"/>
      <c r="E92" s="18"/>
      <c r="F92" s="18"/>
      <c r="G92" s="14">
        <v>2</v>
      </c>
    </row>
    <row r="93">
      <c r="A93" s="14">
        <v>3</v>
      </c>
      <c r="B93" s="18"/>
      <c r="C93" s="18"/>
      <c r="D93" s="18"/>
      <c r="E93" s="18"/>
      <c r="F93" s="18"/>
      <c r="G93" s="14">
        <v>3</v>
      </c>
    </row>
    <row r="96">
      <c r="A96" s="13" t="s">
        <v>34</v>
      </c>
      <c r="B96" s="13" t="s">
        <v>35</v>
      </c>
      <c r="C96" s="13" t="s">
        <v>36</v>
      </c>
      <c r="D96" s="13" t="s">
        <v>37</v>
      </c>
      <c r="E96" s="13"/>
      <c r="F96" s="13"/>
      <c r="G96" s="13" t="s">
        <v>38</v>
      </c>
    </row>
    <row r="97">
      <c r="A97" s="14" t="str">
        <f>'data'!$B$9</f>
      </c>
      <c r="B97" s="14" t="str">
        <f>IF(OR(COUNTA(B79:C81,E79:F81)&gt;0,D79="X",D79="x",D80="X",D80="x",D81="X",D81="x",OR(D78="X",D78="x")),IF(OR(OR(D78="X",D78="x"),AND(B78=F78,C78=E78)),0,IF(OR(F78&gt;B78,AND(F78=B78,E78&gt;C78)),1,0)),0)+IF(OR(COUNTA(B85:C87,E85:F87)&gt;0,D85="X",D85="x",D86="X",D86="x",D87="X",D87="x",OR(D84="X",D84="x")),IF(OR(OR(D84="X",D84="x"),AND(B84=F84,C84=E84)),0,IF(OR(F84&gt;B84,AND(F84=B84,E84&gt;C84)),1,0)),0)</f>
      </c>
      <c r="C97" s="14" t="str">
        <f>IF(OR(COUNTA(B79:C81,E79:F81)&gt;0,D79="X",D79="x",D80="X",D80="x",D81="X",D81="x",OR(D78="X",D78="x")),IF(OR(OR(D78="X",D78="x"),AND(B78=F78,C78=E78)),0,IF(OR(F78&lt;B78,AND(F78=B78,E78&lt;C78)),1,0)),0)+IF(OR(COUNTA(B85:C87,E85:F87)&gt;0,D85="X",D85="x",D86="X",D86="x",D87="X",D87="x",OR(D84="X",D84="x")),IF(OR(OR(D84="X",D84="x"),AND(B84=F84,C84=E84)),0,IF(OR(F84&lt;B84,AND(F84=B84,E84&lt;C84)),1,0)),0)</f>
      </c>
      <c r="D97" s="14" t="str">
        <f>IF(OR(COUNTA(B79:C81,E79:F81)&gt;0,D79="X",D79="x",D80="X",D80="x",D81="X",D81="x",OR(D78="X",D78="x")),IF(OR(OR(D78="X",D78="x"),AND(B78=F78,C78=E78)),1,0),0)+IF(OR(COUNTA(B85:C87,E85:F87)&gt;0,D85="X",D85="x",D86="X",D86="x",D87="X",D87="x",OR(D84="X",D84="x")),IF(OR(OR(D84="X",D84="x"),AND(B84=F84,C84=E84)),1,0),0)</f>
      </c>
      <c r="G97" s="18" t="str">
        <f>RANK(U97,$U$97:$U$99)+COUNTIF($U$96:U96,U97)</f>
      </c>
      <c r="U97" t="str">
        <f>(B97*1000000000)-(C97*10000000)+(D97*100000)+(B102*1000)-(C102*100)+(D102*10)+(E102*1)-(F102*0.01)</f>
      </c>
    </row>
    <row r="98">
      <c r="A98" s="14" t="str">
        <f>'data'!$B$10</f>
      </c>
      <c r="B98" s="14" t="str">
        <f>IF(OR(COUNTA(B79:C81,E79:F81)&gt;0,D79="X",D79="x",D80="X",D80="x",D81="X",D81="x",OR(D78="X",D78="x")),IF(OR(OR(D78="X",D78="x"),AND(B78=F78,C78=E78)),0,IF(OR(B78&gt;F78,AND(B78=F78,C78&gt;E78)),1,0)),0)+IF(OR(COUNTA(B91:C93,E91:F93)&gt;0,D91="X",D91="x",D92="X",D92="x",D93="X",D93="x",OR(D90="X",D90="x")),IF(OR(OR(D90="X",D90="x"),AND(B90=F90,C90=E90)),0,IF(OR(F90&gt;B90,AND(F90=B90,E90&gt;C90)),1,0)),0)</f>
      </c>
      <c r="C98" s="14" t="str">
        <f>IF(OR(COUNTA(B79:C81,E79:F81)&gt;0,D79="X",D79="x",D80="X",D80="x",D81="X",D81="x",OR(D78="X",D78="x")),IF(OR(OR(D78="X",D78="x"),AND(B78=F78,C78=E78)),0,IF(OR(B78&lt;F78,AND(B78=F78,C78&lt;E78)),1,0)),0)+IF(OR(COUNTA(B91:C93,E91:F93)&gt;0,D91="X",D91="x",D92="X",D92="x",D93="X",D93="x",OR(D90="X",D90="x")),IF(OR(OR(D90="X",D90="x"),AND(B90=F90,C90=E90)),0,IF(OR(F90&lt;B90,AND(F90=B90,E90&lt;C90)),1,0)),0)</f>
      </c>
      <c r="D98" s="14" t="str">
        <f>IF(OR(COUNTA(B79:C81,E79:F81)&gt;0,D79="X",D79="x",D80="X",D80="x",D81="X",D81="x",OR(D78="X",D78="x")),IF(OR(OR(D78="X",D78="x"),AND(B78=F78,C78=E78)),1,0),0)+IF(OR(COUNTA(B91:C93,E91:F93)&gt;0,D91="X",D91="x",D92="X",D92="x",D93="X",D93="x",OR(D90="X",D90="x")),IF(OR(OR(D90="X",D90="x"),AND(B90=F90,C90=E90)),1,0),0)</f>
      </c>
      <c r="G98" s="18" t="str">
        <f>RANK(U98,$U$97:$U$99)+COUNTIF($U$96:U97,U98)</f>
      </c>
      <c r="U98" t="str">
        <f>(B98*1000000000)-(C98*10000000)+(D98*100000)+(B103*1000)-(C103*100)+(D103*10)+(E103*1)-(F103*0.01)</f>
      </c>
    </row>
    <row r="99">
      <c r="A99" s="14" t="str">
        <f>'data'!$B$11</f>
      </c>
      <c r="B99" s="14" t="str">
        <f>IF(OR(COUNTA(B85:C87,E85:F87)&gt;0,D85="X",D85="x",D86="X",D86="x",D87="X",D87="x",OR(D84="X",D84="x")),IF(OR(OR(D84="X",D84="x"),AND(B84=F84,C84=E84)),0,IF(OR(B84&gt;F84,AND(B84=F84,C84&gt;E84)),1,0)),0)+IF(OR(COUNTA(B91:C93,E91:F93)&gt;0,D91="X",D91="x",D92="X",D92="x",D93="X",D93="x",OR(D90="X",D90="x")),IF(OR(OR(D90="X",D90="x"),AND(B90=F90,C90=E90)),0,IF(OR(B90&gt;F90,AND(B90=F90,C90&gt;E90)),1,0)),0)</f>
      </c>
      <c r="C99" s="14" t="str">
        <f>IF(OR(COUNTA(B85:C87,E85:F87)&gt;0,D85="X",D85="x",D86="X",D86="x",D87="X",D87="x",OR(D84="X",D84="x")),IF(OR(OR(D84="X",D84="x"),AND(B84=F84,C84=E84)),0,IF(OR(B84&lt;F84,AND(B84=F84,C84&lt;E84)),1,0)),0)+IF(OR(COUNTA(B91:C93,E91:F93)&gt;0,D91="X",D91="x",D92="X",D92="x",D93="X",D93="x",OR(D90="X",D90="x")),IF(OR(OR(D90="X",D90="x"),AND(B90=F90,C90=E90)),0,IF(OR(B90&lt;F90,AND(B90=F90,C90&lt;E90)),1,0)),0)</f>
      </c>
      <c r="D99" s="14" t="str">
        <f>IF(OR(COUNTA(B85:C87,E85:F87)&gt;0,D85="X",D85="x",D86="X",D86="x",D87="X",D87="x",OR(D84="X",D84="x")),IF(OR(OR(D84="X",D84="x"),AND(B84=F84,C84=E84)),1,0),0)+IF(OR(COUNTA(B91:C93,E91:F93)&gt;0,D91="X",D91="x",D92="X",D92="x",D93="X",D93="x",OR(D90="X",D90="x")),IF(OR(OR(D90="X",D90="x"),AND(B90=F90,C90=E90)),1,0),0)</f>
      </c>
      <c r="G99" s="18" t="str">
        <f>RANK(U99,$U$97:$U$99)+COUNTIF($U$96:U98,U99)</f>
      </c>
      <c r="U99" t="str">
        <f>(B99*1000000000)-(C99*10000000)+(D99*100000)+(B104*1000)-(C104*100)+(D104*10)+(E104*1)-(F104*0.01)</f>
      </c>
    </row>
    <row r="101">
      <c r="A101" s="13"/>
      <c r="B101" s="13" t="s">
        <v>39</v>
      </c>
      <c r="C101" s="13" t="s">
        <v>40</v>
      </c>
      <c r="D101" s="13" t="s">
        <v>41</v>
      </c>
      <c r="E101" s="13" t="s">
        <v>42</v>
      </c>
      <c r="F101" s="13" t="s">
        <v>43</v>
      </c>
    </row>
    <row r="102">
      <c r="A102" s="14" t="str">
        <f>'data'!$B$9</f>
      </c>
      <c r="B102" s="14" t="str">
        <f>IF(OR(COUNTA(B79:C81,E79:F81)&gt;0,OR(D78="X",D78="x"),UPPER(D79)="X",UPPER(D80)="X",UPPER(D81)="X"),F78,0)+IF(OR(COUNTA(B85:C87,E85:F87)&gt;0,OR(D84="X",D84="x"),UPPER(D85)="X",UPPER(D86)="X",UPPER(D87)="X"),F84,0)</f>
      </c>
      <c r="C102" s="14" t="str">
        <f>IF(OR(COUNTA(B79:C81,E79:F81)&gt;0,OR(D78="X",D78="x"),UPPER(D79)="X",UPPER(D80)="X",UPPER(D81)="X"),B78,0)+IF(OR(COUNTA(B85:C87,E85:F87)&gt;0,OR(D84="X",D84="x"),UPPER(D85)="X",UPPER(D86)="X",UPPER(D87)="X"),B84,0)</f>
      </c>
      <c r="D102"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f>
      </c>
      <c r="E102" s="14" t="str">
        <f>E78+E84</f>
      </c>
      <c r="F102" s="14" t="str">
        <f>C78+C84</f>
      </c>
    </row>
    <row r="103">
      <c r="A103" s="14" t="str">
        <f>'data'!$B$10</f>
      </c>
      <c r="B103" s="14" t="str">
        <f>IF(OR(COUNTA(B79:C81,E79:F81)&gt;0,OR(D78="X",D78="x"),UPPER(D79)="X",UPPER(D80)="X",UPPER(D81)="X"),B78,0)+IF(OR(COUNTA(B91:C93,E91:F93)&gt;0,OR(D90="X",D90="x"),UPPER(D91)="X",UPPER(D92)="X",UPPER(D93)="X"),F90,0)</f>
      </c>
      <c r="C103" s="14" t="str">
        <f>IF(OR(COUNTA(B79:C81,E79:F81)&gt;0,OR(D78="X",D78="x"),UPPER(D79)="X",UPPER(D80)="X",UPPER(D81)="X"),F78,0)+IF(OR(COUNTA(B91:C93,E91:F93)&gt;0,OR(D90="X",D90="x"),UPPER(D91)="X",UPPER(D92)="X",UPPER(D93)="X"),B90,0)</f>
      </c>
      <c r="D103"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3" s="14" t="str">
        <f>C78+E90</f>
      </c>
      <c r="F103" s="14" t="str">
        <f>E78+C90</f>
      </c>
    </row>
    <row r="104">
      <c r="A104" s="14" t="str">
        <f>'data'!$B$11</f>
      </c>
      <c r="B104" s="14" t="str">
        <f>IF(OR(COUNTA(B85:C87,E85:F87)&gt;0,OR(D84="X",D84="x"),UPPER(D85)="X",UPPER(D86)="X",UPPER(D87)="X"),B84,0)+IF(OR(COUNTA(B91:C93,E91:F93)&gt;0,OR(D90="X",D90="x"),UPPER(D91)="X",UPPER(D92)="X",UPPER(D93)="X"),B90,0)</f>
      </c>
      <c r="C104" s="14" t="str">
        <f>IF(OR(COUNTA(B85:C87,E85:F87)&gt;0,OR(D84="X",D84="x"),UPPER(D85)="X",UPPER(D86)="X",UPPER(D87)="X"),F84,0)+IF(OR(COUNTA(B91:C93,E91:F93)&gt;0,OR(D90="X",D90="x"),UPPER(D91)="X",UPPER(D92)="X",UPPER(D93)="X"),F90,0)</f>
      </c>
      <c r="D104" s="14" t="str">
        <f>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4" s="14" t="str">
        <f>C84+C90</f>
      </c>
      <c r="F104" s="14" t="str">
        <f>E84+E90</f>
      </c>
    </row>
    <row r="107">
      <c r="F107" s="13"/>
      <c r="G107" s="13" t="s">
        <v>44</v>
      </c>
    </row>
    <row r="108">
      <c r="F108" t="s">
        <v>45</v>
      </c>
      <c r="G108" s="19" t="str">
        <f>IFERROR(INDEX($A$97:$A$104, MATCH(1, $G$97:$G$104, 0)), "-")</f>
      </c>
    </row>
    <row r="109">
      <c r="F109" t="s">
        <v>46</v>
      </c>
      <c r="G109" s="19" t="str">
        <f>IFERROR(INDEX($A$97:$A$104, MATCH(2, $G$97:$G$104, 0)), "-")</f>
      </c>
    </row>
    <row r="110">
      <c r="F110" t="s">
        <v>47</v>
      </c>
      <c r="G110" s="19" t="str">
        <f>IFERROR(INDEX($A$97:$A$104, MATCH(3, $G$97:$G$104,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4">
    <mergeCell ref="A1:G1"/>
    <mergeCell ref="A2:G2"/>
    <mergeCell ref="A39:G39"/>
    <mergeCell ref="A76:G76"/>
  </mergeCells>
  <printOptions horizontalCentered="true" verticalCentered="true"/>
  <pageSetup fitToHeight="0" fitToWidth="1" orientation="portrait" pageOrder="downThenOver" paperSize="9"/>
  <rowBreaks count="2" manualBreakCount="2">
    <brk id="38" max="16383" man="true"/>
    <brk id="75"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30</v>
      </c>
      <c r="B1" s="13"/>
      <c r="C1" s="13"/>
      <c r="D1" s="13"/>
      <c r="E1" s="13"/>
      <c r="F1" s="13"/>
      <c r="G1" s="13"/>
    </row>
    <row r="2">
      <c r="A2" s="13" t="s">
        <v>57</v>
      </c>
      <c r="B2" s="13"/>
      <c r="C2" s="13"/>
      <c r="D2" s="13"/>
      <c r="E2" s="13"/>
      <c r="F2" s="13"/>
      <c r="G2" s="13"/>
    </row>
    <row r="3">
      <c r="A3" s="17" t="s">
        <v>31</v>
      </c>
      <c r="D3" s="14" t="s">
        <v>32</v>
      </c>
      <c r="G3" s="16" t="s">
        <v>33</v>
      </c>
    </row>
    <row r="4">
      <c r="A4" s="14" t="str">
        <f>CONCATENATE("Pool B-2nd ",'Pool Matches'!G72)</f>
      </c>
      <c r="B4" s="14"/>
      <c r="C4" s="14"/>
      <c r="D4" s="18"/>
      <c r="E4" s="14"/>
      <c r="F4" s="14"/>
      <c r="G4" s="14" t="str">
        <f>CONCATENATE("Pool C-1st ",'Pool Matches'!G108)</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B-2nd ",'Pool Matches'!G72)</f>
      </c>
      <c r="B9" s="14" t="s">
        <v>39</v>
      </c>
      <c r="C9" s="14" t="s">
        <v>42</v>
      </c>
      <c r="D9" s="14"/>
      <c r="E9" s="14" t="s">
        <v>42</v>
      </c>
      <c r="F9" s="14" t="s">
        <v>39</v>
      </c>
      <c r="G9" s="14" t="str">
        <f>CONCATENATE("Pool C-1st ",'Pool Matches'!G108)</f>
      </c>
    </row>
    <row r="10">
      <c r="A10" s="14" t="s">
        <v>58</v>
      </c>
      <c r="B10" s="14" t="str">
        <f>IF(UPPER(D5)="X",0,IF((LEN(SUBSTITUTE(SUBSTITUTE(SUBSTITUTE(B5," ",""),"0",""),"-","")) +LEN(SUBSTITUTE(SUBSTITUTE(SUBSTITUTE(C5," ",""),"0",""),"-","")) )&gt;(LEN(SUBSTITUTE(SUBSTITUTE(SUBSTITUTE(E5," ",""),"0",""),"-","")) +LEN(SUBSTITUTE(SUBSTITUTE(SUBSTITUTE(F5," ",""),"0",""),"-","")) ),1,0))+IF(UPPER(D6)="X",0,IF((LEN(SUBSTITUTE(SUBSTITUTE(SUBSTITUTE(B6," ",""),"0",""),"-","")) +LEN(SUBSTITUTE(SUBSTITUTE(SUBSTITUTE(C6," ",""),"0",""),"-","")) )&gt;(LEN(SUBSTITUTE(SUBSTITUTE(SUBSTITUTE(E6," ",""),"0",""),"-","")) +LEN(SUBSTITUTE(SUBSTITUTE(SUBSTITUTE(F6," ",""),"0",""),"-","")) ),1,0))+IF(UPPER(D7)="X",0,IF((LEN(SUBSTITUTE(SUBSTITUTE(SUBSTITUTE(B7," ",""),"0",""),"-","")) +LEN(SUBSTITUTE(SUBSTITUTE(SUBSTITUTE(C7," ",""),"0",""),"-","")) )&gt;(LEN(SUBSTITUTE(SUBSTITUTE(SUBSTITUTE(E7," ",""),"0",""),"-","")) +LEN(SUBSTITUTE(SUBSTITUTE(SUBSTITUTE(F7," ",""),"0",""),"-","")) ),1,0))</f>
      </c>
      <c r="C10" s="14" t="str">
        <f>LEN(SUBSTITUTE(SUBSTITUTE(SUBSTITUTE(B5," ",""),"0",""),"-","")) +LEN(SUBSTITUTE(SUBSTITUTE(SUBSTITUTE(C5," ",""),"0",""),"-","")) +LEN(SUBSTITUTE(SUBSTITUTE(SUBSTITUTE(B6," ",""),"0",""),"-","")) +LEN(SUBSTITUTE(SUBSTITUTE(SUBSTITUTE(C6," ",""),"0",""),"-","")) +LEN(SUBSTITUTE(SUBSTITUTE(SUBSTITUTE(B7," ",""),"0",""),"-","")) +LEN(SUBSTITUTE(SUBSTITUTE(SUBSTITUTE(C7," ",""),"0",""),"-","")) </f>
      </c>
      <c r="D10" s="14"/>
      <c r="E10" s="14" t="str">
        <f>LEN(SUBSTITUTE(SUBSTITUTE(SUBSTITUTE(E5," ",""),"0",""),"-","")) +LEN(SUBSTITUTE(SUBSTITUTE(SUBSTITUTE(F5," ",""),"0",""),"-","")) +LEN(SUBSTITUTE(SUBSTITUTE(SUBSTITUTE(E6," ",""),"0",""),"-","")) +LEN(SUBSTITUTE(SUBSTITUTE(SUBSTITUTE(F6," ",""),"0",""),"-","")) +LEN(SUBSTITUTE(SUBSTITUTE(SUBSTITUTE(E7," ",""),"0",""),"-","")) +LEN(SUBSTITUTE(SUBSTITUTE(SUBSTITUTE(F7," ",""),"0",""),"-","")) </f>
      </c>
      <c r="F10" s="14" t="str">
        <f>IF(UPPER(D5)="X",0,IF((LEN(SUBSTITUTE(SUBSTITUTE(SUBSTITUTE(E5," ",""),"0",""),"-","")) +LEN(SUBSTITUTE(SUBSTITUTE(SUBSTITUTE(F5," ",""),"0",""),"-","")) )&gt;(LEN(SUBSTITUTE(SUBSTITUTE(SUBSTITUTE(B5," ",""),"0",""),"-","")) +LEN(SUBSTITUTE(SUBSTITUTE(SUBSTITUTE(C5," ",""),"0",""),"-","")) ),1,0))+IF(UPPER(D6)="X",0,IF((LEN(SUBSTITUTE(SUBSTITUTE(SUBSTITUTE(E6," ",""),"0",""),"-","")) +LEN(SUBSTITUTE(SUBSTITUTE(SUBSTITUTE(F6," ",""),"0",""),"-","")) )&gt;(LEN(SUBSTITUTE(SUBSTITUTE(SUBSTITUTE(B6," ",""),"0",""),"-","")) +LEN(SUBSTITUTE(SUBSTITUTE(SUBSTITUTE(C6," ",""),"0",""),"-","")) ),1,0))+IF(UPPER(D7)="X",0,IF((LEN(SUBSTITUTE(SUBSTITUTE(SUBSTITUTE(E7," ",""),"0",""),"-","")) +LEN(SUBSTITUTE(SUBSTITUTE(SUBSTITUTE(F7," ",""),"0",""),"-","")) )&gt;(LEN(SUBSTITUTE(SUBSTITUTE(SUBSTITUTE(B7," ",""),"0",""),"-","")) +LEN(SUBSTITUTE(SUBSTITUTE(SUBSTITUTE(C7," ",""),"0",""),"-","")) ),1,0))</f>
      </c>
      <c r="G10" s="14" t="s">
        <v>58</v>
      </c>
    </row>
    <row r="13">
      <c r="F13" t="s">
        <v>45</v>
      </c>
      <c r="G13" s="19"/>
    </row>
    <row r="14">
      <c r="F14" t="s">
        <v>46</v>
      </c>
      <c r="G14" s="19"/>
    </row>
    <row r="16">
      <c r="A16" s="13" t="s">
        <v>59</v>
      </c>
      <c r="B16" s="13"/>
      <c r="C16" s="13"/>
      <c r="D16" s="13"/>
      <c r="E16" s="13"/>
      <c r="F16" s="13"/>
      <c r="G16" s="13"/>
    </row>
    <row r="17">
      <c r="A17" s="17" t="s">
        <v>31</v>
      </c>
      <c r="D17" s="14" t="s">
        <v>32</v>
      </c>
      <c r="G17" s="16" t="s">
        <v>33</v>
      </c>
    </row>
    <row r="18">
      <c r="A18" s="14" t="str">
        <f>CONCATENATE("Pool C-2nd ",'Pool Matches'!G109)</f>
      </c>
      <c r="B18" s="14"/>
      <c r="C18" s="14"/>
      <c r="D18" s="18"/>
      <c r="E18" s="14"/>
      <c r="F18" s="14"/>
      <c r="G18" s="14" t="str">
        <f>CONCATENATE("Pool A-2nd ",'Pool Matches'!G35)</f>
      </c>
    </row>
    <row r="19">
      <c r="A19" s="14">
        <v>1</v>
      </c>
      <c r="B19" s="18"/>
      <c r="C19" s="18"/>
      <c r="D19" s="18"/>
      <c r="E19" s="18"/>
      <c r="F19" s="18"/>
      <c r="G19" s="14">
        <v>1</v>
      </c>
    </row>
    <row r="20">
      <c r="A20" s="14">
        <v>2</v>
      </c>
      <c r="B20" s="18"/>
      <c r="C20" s="18"/>
      <c r="D20" s="18"/>
      <c r="E20" s="18"/>
      <c r="F20" s="18"/>
      <c r="G20" s="14">
        <v>2</v>
      </c>
    </row>
    <row r="21">
      <c r="A21" s="14">
        <v>3</v>
      </c>
      <c r="B21" s="18"/>
      <c r="C21" s="18"/>
      <c r="D21" s="18"/>
      <c r="E21" s="18"/>
      <c r="F21" s="18"/>
      <c r="G21" s="14">
        <v>3</v>
      </c>
    </row>
    <row r="23">
      <c r="A23" s="14" t="str">
        <f>CONCATENATE("Pool C-2nd ",'Pool Matches'!G109)</f>
      </c>
      <c r="B23" s="14" t="s">
        <v>39</v>
      </c>
      <c r="C23" s="14" t="s">
        <v>42</v>
      </c>
      <c r="D23" s="14"/>
      <c r="E23" s="14" t="s">
        <v>42</v>
      </c>
      <c r="F23" s="14" t="s">
        <v>39</v>
      </c>
      <c r="G23" s="14" t="str">
        <f>CONCATENATE("Pool A-2nd ",'Pool Matches'!G35)</f>
      </c>
    </row>
    <row r="24">
      <c r="A24" s="14" t="s">
        <v>58</v>
      </c>
      <c r="B24" s="14" t="str">
        <f>IF(UPPER(D19)="X",0,IF((LEN(SUBSTITUTE(SUBSTITUTE(SUBSTITUTE(B19," ",""),"0",""),"-","")) +LEN(SUBSTITUTE(SUBSTITUTE(SUBSTITUTE(C19," ",""),"0",""),"-","")) )&gt;(LEN(SUBSTITUTE(SUBSTITUTE(SUBSTITUTE(E19," ",""),"0",""),"-","")) +LEN(SUBSTITUTE(SUBSTITUTE(SUBSTITUTE(F19," ",""),"0",""),"-","")) ),1,0))+IF(UPPER(D20)="X",0,IF((LEN(SUBSTITUTE(SUBSTITUTE(SUBSTITUTE(B20," ",""),"0",""),"-","")) +LEN(SUBSTITUTE(SUBSTITUTE(SUBSTITUTE(C20," ",""),"0",""),"-","")) )&gt;(LEN(SUBSTITUTE(SUBSTITUTE(SUBSTITUTE(E20," ",""),"0",""),"-","")) +LEN(SUBSTITUTE(SUBSTITUTE(SUBSTITUTE(F20," ",""),"0",""),"-","")) ),1,0))+IF(UPPER(D21)="X",0,IF((LEN(SUBSTITUTE(SUBSTITUTE(SUBSTITUTE(B21," ",""),"0",""),"-","")) +LEN(SUBSTITUTE(SUBSTITUTE(SUBSTITUTE(C21," ",""),"0",""),"-","")) )&gt;(LEN(SUBSTITUTE(SUBSTITUTE(SUBSTITUTE(E21," ",""),"0",""),"-","")) +LEN(SUBSTITUTE(SUBSTITUTE(SUBSTITUTE(F21," ",""),"0",""),"-","")) ),1,0))</f>
      </c>
      <c r="C24" s="14" t="str">
        <f>LEN(SUBSTITUTE(SUBSTITUTE(SUBSTITUTE(B19," ",""),"0",""),"-","")) +LEN(SUBSTITUTE(SUBSTITUTE(SUBSTITUTE(C19," ",""),"0",""),"-","")) +LEN(SUBSTITUTE(SUBSTITUTE(SUBSTITUTE(B20," ",""),"0",""),"-","")) +LEN(SUBSTITUTE(SUBSTITUTE(SUBSTITUTE(C20," ",""),"0",""),"-","")) +LEN(SUBSTITUTE(SUBSTITUTE(SUBSTITUTE(B21," ",""),"0",""),"-","")) +LEN(SUBSTITUTE(SUBSTITUTE(SUBSTITUTE(C21," ",""),"0",""),"-","")) </f>
      </c>
      <c r="D24" s="14"/>
      <c r="E24" s="14" t="str">
        <f>LEN(SUBSTITUTE(SUBSTITUTE(SUBSTITUTE(E19," ",""),"0",""),"-","")) +LEN(SUBSTITUTE(SUBSTITUTE(SUBSTITUTE(F19," ",""),"0",""),"-","")) +LEN(SUBSTITUTE(SUBSTITUTE(SUBSTITUTE(E20," ",""),"0",""),"-","")) +LEN(SUBSTITUTE(SUBSTITUTE(SUBSTITUTE(F20," ",""),"0",""),"-","")) +LEN(SUBSTITUTE(SUBSTITUTE(SUBSTITUTE(E21," ",""),"0",""),"-","")) +LEN(SUBSTITUTE(SUBSTITUTE(SUBSTITUTE(F21," ",""),"0",""),"-","")) </f>
      </c>
      <c r="F24" s="14" t="str">
        <f>IF(UPPER(D19)="X",0,IF((LEN(SUBSTITUTE(SUBSTITUTE(SUBSTITUTE(E19," ",""),"0",""),"-","")) +LEN(SUBSTITUTE(SUBSTITUTE(SUBSTITUTE(F19," ",""),"0",""),"-","")) )&gt;(LEN(SUBSTITUTE(SUBSTITUTE(SUBSTITUTE(B19," ",""),"0",""),"-","")) +LEN(SUBSTITUTE(SUBSTITUTE(SUBSTITUTE(C19," ",""),"0",""),"-","")) ),1,0))+IF(UPPER(D20)="X",0,IF((LEN(SUBSTITUTE(SUBSTITUTE(SUBSTITUTE(E20," ",""),"0",""),"-","")) +LEN(SUBSTITUTE(SUBSTITUTE(SUBSTITUTE(F20," ",""),"0",""),"-","")) )&gt;(LEN(SUBSTITUTE(SUBSTITUTE(SUBSTITUTE(B20," ",""),"0",""),"-","")) +LEN(SUBSTITUTE(SUBSTITUTE(SUBSTITUTE(C20," ",""),"0",""),"-","")) ),1,0))+IF(UPPER(D21)="X",0,IF((LEN(SUBSTITUTE(SUBSTITUTE(SUBSTITUTE(E21," ",""),"0",""),"-","")) +LEN(SUBSTITUTE(SUBSTITUTE(SUBSTITUTE(F21," ",""),"0",""),"-","")) )&gt;(LEN(SUBSTITUTE(SUBSTITUTE(SUBSTITUTE(B21," ",""),"0",""),"-","")) +LEN(SUBSTITUTE(SUBSTITUTE(SUBSTITUTE(C21," ",""),"0",""),"-","")) ),1,0))</f>
      </c>
      <c r="G24" s="14" t="s">
        <v>58</v>
      </c>
    </row>
    <row r="27">
      <c r="F27" t="s">
        <v>45</v>
      </c>
      <c r="G27" s="19"/>
    </row>
    <row r="28">
      <c r="F28" t="s">
        <v>46</v>
      </c>
      <c r="G28" s="19"/>
    </row>
    <row r="35">
      <c r="A35" s="13" t="s">
        <v>60</v>
      </c>
      <c r="B35" s="13"/>
      <c r="C35" s="13"/>
      <c r="D35" s="13"/>
      <c r="E35" s="13"/>
      <c r="F35" s="13"/>
      <c r="G35" s="13"/>
    </row>
    <row r="36">
      <c r="A36" s="17" t="s">
        <v>31</v>
      </c>
      <c r="D36" s="14" t="s">
        <v>32</v>
      </c>
      <c r="G36" s="16" t="s">
        <v>33</v>
      </c>
    </row>
    <row r="37">
      <c r="A37" s="14" t="str">
        <f>CONCATENATE("M 1 ",G13)</f>
      </c>
      <c r="B37" s="14"/>
      <c r="C37" s="14"/>
      <c r="D37" s="18"/>
      <c r="E37" s="14"/>
      <c r="F37" s="14"/>
      <c r="G37" s="14" t="str">
        <f>CONCATENATE("Pool A-1st ",'Pool Matches'!G34)</f>
      </c>
    </row>
    <row r="38">
      <c r="A38" s="14">
        <v>1</v>
      </c>
      <c r="B38" s="18"/>
      <c r="C38" s="18"/>
      <c r="D38" s="18"/>
      <c r="E38" s="18"/>
      <c r="F38" s="18"/>
      <c r="G38" s="14">
        <v>1</v>
      </c>
    </row>
    <row r="39">
      <c r="A39" s="14">
        <v>2</v>
      </c>
      <c r="B39" s="18"/>
      <c r="C39" s="18"/>
      <c r="D39" s="18"/>
      <c r="E39" s="18"/>
      <c r="F39" s="18"/>
      <c r="G39" s="14">
        <v>2</v>
      </c>
    </row>
    <row r="40">
      <c r="A40" s="14">
        <v>3</v>
      </c>
      <c r="B40" s="18"/>
      <c r="C40" s="18"/>
      <c r="D40" s="18"/>
      <c r="E40" s="18"/>
      <c r="F40" s="18"/>
      <c r="G40" s="14">
        <v>3</v>
      </c>
    </row>
    <row r="42">
      <c r="A42" s="14" t="str">
        <f>CONCATENATE("M 1 ",G13)</f>
      </c>
      <c r="B42" s="14" t="s">
        <v>39</v>
      </c>
      <c r="C42" s="14" t="s">
        <v>42</v>
      </c>
      <c r="D42" s="14"/>
      <c r="E42" s="14" t="s">
        <v>42</v>
      </c>
      <c r="F42" s="14" t="s">
        <v>39</v>
      </c>
      <c r="G42" s="14" t="str">
        <f>CONCATENATE("Pool A-1st ",'Pool Matches'!G34)</f>
      </c>
    </row>
    <row r="43">
      <c r="A43" s="14" t="s">
        <v>58</v>
      </c>
      <c r="B43" s="14" t="str">
        <f>IF(UPPER(D38)="X",0,IF((LEN(SUBSTITUTE(SUBSTITUTE(SUBSTITUTE(B38," ",""),"0",""),"-","")) +LEN(SUBSTITUTE(SUBSTITUTE(SUBSTITUTE(C38," ",""),"0",""),"-","")) )&gt;(LEN(SUBSTITUTE(SUBSTITUTE(SUBSTITUTE(E38," ",""),"0",""),"-","")) +LEN(SUBSTITUTE(SUBSTITUTE(SUBSTITUTE(F38," ",""),"0",""),"-","")) ),1,0))+IF(UPPER(D39)="X",0,IF((LEN(SUBSTITUTE(SUBSTITUTE(SUBSTITUTE(B39," ",""),"0",""),"-","")) +LEN(SUBSTITUTE(SUBSTITUTE(SUBSTITUTE(C39," ",""),"0",""),"-","")) )&gt;(LEN(SUBSTITUTE(SUBSTITUTE(SUBSTITUTE(E39," ",""),"0",""),"-","")) +LEN(SUBSTITUTE(SUBSTITUTE(SUBSTITUTE(F39," ",""),"0",""),"-","")) ),1,0))+IF(UPPER(D40)="X",0,IF((LEN(SUBSTITUTE(SUBSTITUTE(SUBSTITUTE(B40," ",""),"0",""),"-","")) +LEN(SUBSTITUTE(SUBSTITUTE(SUBSTITUTE(C40," ",""),"0",""),"-","")) )&gt;(LEN(SUBSTITUTE(SUBSTITUTE(SUBSTITUTE(E40," ",""),"0",""),"-","")) +LEN(SUBSTITUTE(SUBSTITUTE(SUBSTITUTE(F40," ",""),"0",""),"-","")) ),1,0))</f>
      </c>
      <c r="C43" s="14" t="str">
        <f>LEN(SUBSTITUTE(SUBSTITUTE(SUBSTITUTE(B38," ",""),"0",""),"-","")) +LEN(SUBSTITUTE(SUBSTITUTE(SUBSTITUTE(C38," ",""),"0",""),"-","")) +LEN(SUBSTITUTE(SUBSTITUTE(SUBSTITUTE(B39," ",""),"0",""),"-","")) +LEN(SUBSTITUTE(SUBSTITUTE(SUBSTITUTE(C39," ",""),"0",""),"-","")) +LEN(SUBSTITUTE(SUBSTITUTE(SUBSTITUTE(B40," ",""),"0",""),"-","")) +LEN(SUBSTITUTE(SUBSTITUTE(SUBSTITUTE(C40," ",""),"0",""),"-","")) </f>
      </c>
      <c r="D43" s="14"/>
      <c r="E43" s="14" t="str">
        <f>LEN(SUBSTITUTE(SUBSTITUTE(SUBSTITUTE(E38," ",""),"0",""),"-","")) +LEN(SUBSTITUTE(SUBSTITUTE(SUBSTITUTE(F38," ",""),"0",""),"-","")) +LEN(SUBSTITUTE(SUBSTITUTE(SUBSTITUTE(E39," ",""),"0",""),"-","")) +LEN(SUBSTITUTE(SUBSTITUTE(SUBSTITUTE(F39," ",""),"0",""),"-","")) +LEN(SUBSTITUTE(SUBSTITUTE(SUBSTITUTE(E40," ",""),"0",""),"-","")) +LEN(SUBSTITUTE(SUBSTITUTE(SUBSTITUTE(F40," ",""),"0",""),"-","")) </f>
      </c>
      <c r="F43" s="14" t="str">
        <f>IF(UPPER(D38)="X",0,IF((LEN(SUBSTITUTE(SUBSTITUTE(SUBSTITUTE(E38," ",""),"0",""),"-","")) +LEN(SUBSTITUTE(SUBSTITUTE(SUBSTITUTE(F38," ",""),"0",""),"-","")) )&gt;(LEN(SUBSTITUTE(SUBSTITUTE(SUBSTITUTE(B38," ",""),"0",""),"-","")) +LEN(SUBSTITUTE(SUBSTITUTE(SUBSTITUTE(C38," ",""),"0",""),"-","")) ),1,0))+IF(UPPER(D39)="X",0,IF((LEN(SUBSTITUTE(SUBSTITUTE(SUBSTITUTE(E39," ",""),"0",""),"-","")) +LEN(SUBSTITUTE(SUBSTITUTE(SUBSTITUTE(F39," ",""),"0",""),"-","")) )&gt;(LEN(SUBSTITUTE(SUBSTITUTE(SUBSTITUTE(B39," ",""),"0",""),"-","")) +LEN(SUBSTITUTE(SUBSTITUTE(SUBSTITUTE(C39," ",""),"0",""),"-","")) ),1,0))+IF(UPPER(D40)="X",0,IF((LEN(SUBSTITUTE(SUBSTITUTE(SUBSTITUTE(E40," ",""),"0",""),"-","")) +LEN(SUBSTITUTE(SUBSTITUTE(SUBSTITUTE(F40," ",""),"0",""),"-","")) )&gt;(LEN(SUBSTITUTE(SUBSTITUTE(SUBSTITUTE(B40," ",""),"0",""),"-","")) +LEN(SUBSTITUTE(SUBSTITUTE(SUBSTITUTE(C40," ",""),"0",""),"-","")) ),1,0))</f>
      </c>
      <c r="G43" s="14" t="s">
        <v>58</v>
      </c>
    </row>
    <row r="46">
      <c r="F46" t="s">
        <v>45</v>
      </c>
      <c r="G46" s="19"/>
    </row>
    <row r="47">
      <c r="F47" t="s">
        <v>46</v>
      </c>
      <c r="G47" s="19"/>
    </row>
    <row r="49">
      <c r="A49" s="13" t="s">
        <v>61</v>
      </c>
      <c r="B49" s="13"/>
      <c r="C49" s="13"/>
      <c r="D49" s="13"/>
      <c r="E49" s="13"/>
      <c r="F49" s="13"/>
      <c r="G49" s="13"/>
    </row>
    <row r="50">
      <c r="A50" s="17" t="s">
        <v>31</v>
      </c>
      <c r="D50" s="14" t="s">
        <v>32</v>
      </c>
      <c r="G50" s="16" t="s">
        <v>33</v>
      </c>
    </row>
    <row r="51">
      <c r="A51" s="14" t="str">
        <f>CONCATENATE("M 2 ",G27)</f>
      </c>
      <c r="B51" s="14"/>
      <c r="C51" s="14"/>
      <c r="D51" s="18"/>
      <c r="E51" s="14"/>
      <c r="F51" s="14"/>
      <c r="G51" s="14" t="str">
        <f>CONCATENATE("Pool B-1st ",'Pool Matches'!G71)</f>
      </c>
    </row>
    <row r="52">
      <c r="A52" s="14">
        <v>1</v>
      </c>
      <c r="B52" s="18"/>
      <c r="C52" s="18"/>
      <c r="D52" s="18"/>
      <c r="E52" s="18"/>
      <c r="F52" s="18"/>
      <c r="G52" s="14">
        <v>1</v>
      </c>
    </row>
    <row r="53">
      <c r="A53" s="14">
        <v>2</v>
      </c>
      <c r="B53" s="18"/>
      <c r="C53" s="18"/>
      <c r="D53" s="18"/>
      <c r="E53" s="18"/>
      <c r="F53" s="18"/>
      <c r="G53" s="14">
        <v>2</v>
      </c>
    </row>
    <row r="54">
      <c r="A54" s="14">
        <v>3</v>
      </c>
      <c r="B54" s="18"/>
      <c r="C54" s="18"/>
      <c r="D54" s="18"/>
      <c r="E54" s="18"/>
      <c r="F54" s="18"/>
      <c r="G54" s="14">
        <v>3</v>
      </c>
    </row>
    <row r="56">
      <c r="A56" s="14" t="str">
        <f>CONCATENATE("M 2 ",G27)</f>
      </c>
      <c r="B56" s="14" t="s">
        <v>39</v>
      </c>
      <c r="C56" s="14" t="s">
        <v>42</v>
      </c>
      <c r="D56" s="14"/>
      <c r="E56" s="14" t="s">
        <v>42</v>
      </c>
      <c r="F56" s="14" t="s">
        <v>39</v>
      </c>
      <c r="G56" s="14" t="str">
        <f>CONCATENATE("Pool B-1st ",'Pool Matches'!G71)</f>
      </c>
    </row>
    <row r="57">
      <c r="A57" s="14" t="s">
        <v>58</v>
      </c>
      <c r="B57" s="14" t="str">
        <f>IF(UPPER(D52)="X",0,IF((LEN(SUBSTITUTE(SUBSTITUTE(SUBSTITUTE(B52," ",""),"0",""),"-","")) +LEN(SUBSTITUTE(SUBSTITUTE(SUBSTITUTE(C52," ",""),"0",""),"-","")) )&gt;(LEN(SUBSTITUTE(SUBSTITUTE(SUBSTITUTE(E52," ",""),"0",""),"-","")) +LEN(SUBSTITUTE(SUBSTITUTE(SUBSTITUTE(F52," ",""),"0",""),"-","")) ),1,0))+IF(UPPER(D53)="X",0,IF((LEN(SUBSTITUTE(SUBSTITUTE(SUBSTITUTE(B53," ",""),"0",""),"-","")) +LEN(SUBSTITUTE(SUBSTITUTE(SUBSTITUTE(C53," ",""),"0",""),"-","")) )&gt;(LEN(SUBSTITUTE(SUBSTITUTE(SUBSTITUTE(E53," ",""),"0",""),"-","")) +LEN(SUBSTITUTE(SUBSTITUTE(SUBSTITUTE(F53," ",""),"0",""),"-","")) ),1,0))+IF(UPPER(D54)="X",0,IF((LEN(SUBSTITUTE(SUBSTITUTE(SUBSTITUTE(B54," ",""),"0",""),"-","")) +LEN(SUBSTITUTE(SUBSTITUTE(SUBSTITUTE(C54," ",""),"0",""),"-","")) )&gt;(LEN(SUBSTITUTE(SUBSTITUTE(SUBSTITUTE(E54," ",""),"0",""),"-","")) +LEN(SUBSTITUTE(SUBSTITUTE(SUBSTITUTE(F54," ",""),"0",""),"-","")) ),1,0))</f>
      </c>
      <c r="C57" s="14" t="str">
        <f>LEN(SUBSTITUTE(SUBSTITUTE(SUBSTITUTE(B52," ",""),"0",""),"-","")) +LEN(SUBSTITUTE(SUBSTITUTE(SUBSTITUTE(C52," ",""),"0",""),"-","")) +LEN(SUBSTITUTE(SUBSTITUTE(SUBSTITUTE(B53," ",""),"0",""),"-","")) +LEN(SUBSTITUTE(SUBSTITUTE(SUBSTITUTE(C53," ",""),"0",""),"-","")) +LEN(SUBSTITUTE(SUBSTITUTE(SUBSTITUTE(B54," ",""),"0",""),"-","")) +LEN(SUBSTITUTE(SUBSTITUTE(SUBSTITUTE(C54," ",""),"0",""),"-","")) </f>
      </c>
      <c r="D57" s="14"/>
      <c r="E57" s="14" t="str">
        <f>LEN(SUBSTITUTE(SUBSTITUTE(SUBSTITUTE(E52," ",""),"0",""),"-","")) +LEN(SUBSTITUTE(SUBSTITUTE(SUBSTITUTE(F52," ",""),"0",""),"-","")) +LEN(SUBSTITUTE(SUBSTITUTE(SUBSTITUTE(E53," ",""),"0",""),"-","")) +LEN(SUBSTITUTE(SUBSTITUTE(SUBSTITUTE(F53," ",""),"0",""),"-","")) +LEN(SUBSTITUTE(SUBSTITUTE(SUBSTITUTE(E54," ",""),"0",""),"-","")) +LEN(SUBSTITUTE(SUBSTITUTE(SUBSTITUTE(F54," ",""),"0",""),"-","")) </f>
      </c>
      <c r="F57" s="14" t="str">
        <f>IF(UPPER(D52)="X",0,IF((LEN(SUBSTITUTE(SUBSTITUTE(SUBSTITUTE(E52," ",""),"0",""),"-","")) +LEN(SUBSTITUTE(SUBSTITUTE(SUBSTITUTE(F52," ",""),"0",""),"-","")) )&gt;(LEN(SUBSTITUTE(SUBSTITUTE(SUBSTITUTE(B52," ",""),"0",""),"-","")) +LEN(SUBSTITUTE(SUBSTITUTE(SUBSTITUTE(C52," ",""),"0",""),"-","")) ),1,0))+IF(UPPER(D53)="X",0,IF((LEN(SUBSTITUTE(SUBSTITUTE(SUBSTITUTE(E53," ",""),"0",""),"-","")) +LEN(SUBSTITUTE(SUBSTITUTE(SUBSTITUTE(F53," ",""),"0",""),"-","")) )&gt;(LEN(SUBSTITUTE(SUBSTITUTE(SUBSTITUTE(B53," ",""),"0",""),"-","")) +LEN(SUBSTITUTE(SUBSTITUTE(SUBSTITUTE(C53," ",""),"0",""),"-","")) ),1,0))+IF(UPPER(D54)="X",0,IF((LEN(SUBSTITUTE(SUBSTITUTE(SUBSTITUTE(E54," ",""),"0",""),"-","")) +LEN(SUBSTITUTE(SUBSTITUTE(SUBSTITUTE(F54," ",""),"0",""),"-","")) )&gt;(LEN(SUBSTITUTE(SUBSTITUTE(SUBSTITUTE(B54," ",""),"0",""),"-","")) +LEN(SUBSTITUTE(SUBSTITUTE(SUBSTITUTE(C54," ",""),"0",""),"-","")) ),1,0))</f>
      </c>
      <c r="G57" s="14" t="s">
        <v>58</v>
      </c>
    </row>
    <row r="60">
      <c r="F60" t="s">
        <v>45</v>
      </c>
      <c r="G60" s="19"/>
    </row>
    <row r="61">
      <c r="F61" t="s">
        <v>46</v>
      </c>
      <c r="G61" s="19"/>
    </row>
    <row r="68">
      <c r="A68" s="13" t="s">
        <v>62</v>
      </c>
      <c r="B68" s="13"/>
      <c r="C68" s="13"/>
      <c r="D68" s="13"/>
      <c r="E68" s="13"/>
      <c r="F68" s="13"/>
      <c r="G68" s="13"/>
    </row>
    <row r="69">
      <c r="A69" s="17" t="s">
        <v>31</v>
      </c>
      <c r="D69" s="14" t="s">
        <v>32</v>
      </c>
      <c r="G69" s="16" t="s">
        <v>33</v>
      </c>
    </row>
    <row r="70">
      <c r="A70" s="14" t="str">
        <f>CONCATENATE("M 4 ",G60)</f>
      </c>
      <c r="B70" s="14"/>
      <c r="C70" s="14"/>
      <c r="D70" s="18"/>
      <c r="E70" s="14"/>
      <c r="F70" s="14"/>
      <c r="G70" s="14" t="str">
        <f>CONCATENATE("M 3 ",G46)</f>
      </c>
    </row>
    <row r="71">
      <c r="A71" s="14">
        <v>1</v>
      </c>
      <c r="B71" s="18"/>
      <c r="C71" s="18"/>
      <c r="D71" s="18"/>
      <c r="E71" s="18"/>
      <c r="F71" s="18"/>
      <c r="G71" s="14">
        <v>1</v>
      </c>
    </row>
    <row r="72">
      <c r="A72" s="14">
        <v>2</v>
      </c>
      <c r="B72" s="18"/>
      <c r="C72" s="18"/>
      <c r="D72" s="18"/>
      <c r="E72" s="18"/>
      <c r="F72" s="18"/>
      <c r="G72" s="14">
        <v>2</v>
      </c>
    </row>
    <row r="73">
      <c r="A73" s="14">
        <v>3</v>
      </c>
      <c r="B73" s="18"/>
      <c r="C73" s="18"/>
      <c r="D73" s="18"/>
      <c r="E73" s="18"/>
      <c r="F73" s="18"/>
      <c r="G73" s="14">
        <v>3</v>
      </c>
    </row>
    <row r="75">
      <c r="A75" s="14" t="str">
        <f>CONCATENATE("M 4 ",G60)</f>
      </c>
      <c r="B75" s="14" t="s">
        <v>39</v>
      </c>
      <c r="C75" s="14" t="s">
        <v>42</v>
      </c>
      <c r="D75" s="14"/>
      <c r="E75" s="14" t="s">
        <v>42</v>
      </c>
      <c r="F75" s="14" t="s">
        <v>39</v>
      </c>
      <c r="G75" s="14" t="str">
        <f>CONCATENATE("M 3 ",G46)</f>
      </c>
    </row>
    <row r="76">
      <c r="A76" s="14" t="s">
        <v>58</v>
      </c>
      <c r="B76" s="14" t="str">
        <f>IF(UPPER(D71)="X",0,IF((LEN(SUBSTITUTE(SUBSTITUTE(SUBSTITUTE(B71," ",""),"0",""),"-","")) +LEN(SUBSTITUTE(SUBSTITUTE(SUBSTITUTE(C71," ",""),"0",""),"-","")) )&gt;(LEN(SUBSTITUTE(SUBSTITUTE(SUBSTITUTE(E71," ",""),"0",""),"-","")) +LEN(SUBSTITUTE(SUBSTITUTE(SUBSTITUTE(F71," ",""),"0",""),"-","")) ),1,0))+IF(UPPER(D72)="X",0,IF((LEN(SUBSTITUTE(SUBSTITUTE(SUBSTITUTE(B72," ",""),"0",""),"-","")) +LEN(SUBSTITUTE(SUBSTITUTE(SUBSTITUTE(C72," ",""),"0",""),"-","")) )&gt;(LEN(SUBSTITUTE(SUBSTITUTE(SUBSTITUTE(E72," ",""),"0",""),"-","")) +LEN(SUBSTITUTE(SUBSTITUTE(SUBSTITUTE(F72," ",""),"0",""),"-","")) ),1,0))+IF(UPPER(D73)="X",0,IF((LEN(SUBSTITUTE(SUBSTITUTE(SUBSTITUTE(B73," ",""),"0",""),"-","")) +LEN(SUBSTITUTE(SUBSTITUTE(SUBSTITUTE(C73," ",""),"0",""),"-","")) )&gt;(LEN(SUBSTITUTE(SUBSTITUTE(SUBSTITUTE(E73," ",""),"0",""),"-","")) +LEN(SUBSTITUTE(SUBSTITUTE(SUBSTITUTE(F73," ",""),"0",""),"-","")) ),1,0))</f>
      </c>
      <c r="C76" s="14" t="str">
        <f>LEN(SUBSTITUTE(SUBSTITUTE(SUBSTITUTE(B71," ",""),"0",""),"-","")) +LEN(SUBSTITUTE(SUBSTITUTE(SUBSTITUTE(C71," ",""),"0",""),"-","")) +LEN(SUBSTITUTE(SUBSTITUTE(SUBSTITUTE(B72," ",""),"0",""),"-","")) +LEN(SUBSTITUTE(SUBSTITUTE(SUBSTITUTE(C72," ",""),"0",""),"-","")) +LEN(SUBSTITUTE(SUBSTITUTE(SUBSTITUTE(B73," ",""),"0",""),"-","")) +LEN(SUBSTITUTE(SUBSTITUTE(SUBSTITUTE(C73," ",""),"0",""),"-","")) </f>
      </c>
      <c r="D76" s="14"/>
      <c r="E76" s="14" t="str">
        <f>LEN(SUBSTITUTE(SUBSTITUTE(SUBSTITUTE(E71," ",""),"0",""),"-","")) +LEN(SUBSTITUTE(SUBSTITUTE(SUBSTITUTE(F71," ",""),"0",""),"-","")) +LEN(SUBSTITUTE(SUBSTITUTE(SUBSTITUTE(E72," ",""),"0",""),"-","")) +LEN(SUBSTITUTE(SUBSTITUTE(SUBSTITUTE(F72," ",""),"0",""),"-","")) +LEN(SUBSTITUTE(SUBSTITUTE(SUBSTITUTE(E73," ",""),"0",""),"-","")) +LEN(SUBSTITUTE(SUBSTITUTE(SUBSTITUTE(F73," ",""),"0",""),"-","")) </f>
      </c>
      <c r="F76" s="14" t="str">
        <f>IF(UPPER(D71)="X",0,IF((LEN(SUBSTITUTE(SUBSTITUTE(SUBSTITUTE(E71," ",""),"0",""),"-","")) +LEN(SUBSTITUTE(SUBSTITUTE(SUBSTITUTE(F71," ",""),"0",""),"-","")) )&gt;(LEN(SUBSTITUTE(SUBSTITUTE(SUBSTITUTE(B71," ",""),"0",""),"-","")) +LEN(SUBSTITUTE(SUBSTITUTE(SUBSTITUTE(C71," ",""),"0",""),"-","")) ),1,0))+IF(UPPER(D72)="X",0,IF((LEN(SUBSTITUTE(SUBSTITUTE(SUBSTITUTE(E72," ",""),"0",""),"-","")) +LEN(SUBSTITUTE(SUBSTITUTE(SUBSTITUTE(F72," ",""),"0",""),"-","")) )&gt;(LEN(SUBSTITUTE(SUBSTITUTE(SUBSTITUTE(B72," ",""),"0",""),"-","")) +LEN(SUBSTITUTE(SUBSTITUTE(SUBSTITUTE(C72," ",""),"0",""),"-","")) ),1,0))+IF(UPPER(D73)="X",0,IF((LEN(SUBSTITUTE(SUBSTITUTE(SUBSTITUTE(E73," ",""),"0",""),"-","")) +LEN(SUBSTITUTE(SUBSTITUTE(SUBSTITUTE(F73," ",""),"0",""),"-","")) )&gt;(LEN(SUBSTITUTE(SUBSTITUTE(SUBSTITUTE(B73," ",""),"0",""),"-","")) +LEN(SUBSTITUTE(SUBSTITUTE(SUBSTITUTE(C73," ",""),"0",""),"-","")) ),1,0))</f>
      </c>
      <c r="G76" s="14" t="s">
        <v>58</v>
      </c>
    </row>
    <row r="79">
      <c r="F79" t="s">
        <v>45</v>
      </c>
      <c r="G79" s="19"/>
    </row>
    <row r="80">
      <c r="F80" t="s">
        <v>46</v>
      </c>
      <c r="G80"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
    <mergeCell ref="A1:G1"/>
    <mergeCell ref="A2:G2"/>
    <mergeCell ref="A16:G16"/>
    <mergeCell ref="A35:G35"/>
    <mergeCell ref="A49:G49"/>
    <mergeCell ref="A68:G68"/>
  </mergeCells>
  <printOptions horizontalCentered="true" verticalCentered="true"/>
  <pageSetup fitToHeight="0" fitToWidth="1" orientation="portrait" pageOrder="downThenOver" paperSize="9"/>
  <rowBreaks count="2" manualBreakCount="2">
    <brk id="34" max="16383" man="true"/>
    <brk id="67"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row>
    <row r="6">
      <c r="A6" s="26" t="str">
        <f>"2. " &amp; data!$B$4</f>
      </c>
      <c r="E6" s="23" t="str">
        <f>CONCATENATE("Pool A-1st ",'Pool Matches'!G34)</f>
      </c>
    </row>
    <row r="7">
      <c r="A7" s="27" t="str">
        <f>"3. " &amp; data!$B$5</f>
      </c>
      <c r="F7" s="22"/>
      <c r="G7" s="20"/>
    </row>
    <row r="8">
      <c r="A8" s="22"/>
      <c r="G8" s="21">
        <v>3</v>
      </c>
    </row>
    <row r="9">
      <c r="A9" s="24" t="str">
        <f>'data'!$A$8</f>
      </c>
      <c r="C9" s="23" t="str">
        <f>CONCATENATE("Pool C-1st ",'Pool Matches'!G108)</f>
      </c>
      <c r="G9" s="20"/>
      <c r="H9" s="22"/>
      <c r="I9" s="20"/>
    </row>
    <row r="10">
      <c r="A10" s="25" t="str">
        <f>"1. " &amp; data!$B$6</f>
      </c>
      <c r="D10" s="22"/>
      <c r="E10" s="21">
        <v>1</v>
      </c>
      <c r="F10" s="15"/>
      <c r="G10" s="20"/>
      <c r="I10" s="20"/>
    </row>
    <row r="11">
      <c r="A11" s="26" t="str">
        <f>"2. " &amp; data!$B$7</f>
      </c>
      <c r="C11" s="23" t="str">
        <f>CONCATENATE("Pool B-2nd ",'Pool Matches'!G72)</f>
      </c>
      <c r="D11" s="15"/>
      <c r="E11" s="20"/>
      <c r="I11" s="20"/>
    </row>
    <row r="12">
      <c r="A12" s="27" t="str">
        <f>"3. " &amp; data!$B$8</f>
      </c>
      <c r="I12" s="21">
        <v>5</v>
      </c>
    </row>
    <row r="13">
      <c r="A13" s="22"/>
      <c r="I13" s="20"/>
    </row>
    <row r="14">
      <c r="A14" s="24" t="str">
        <f>'data'!$A$11</f>
      </c>
      <c r="E14" s="23" t="str">
        <f>CONCATENATE("Pool B-1st ",'Pool Matches'!G71)</f>
      </c>
      <c r="I14" s="20"/>
    </row>
    <row r="15">
      <c r="A15" s="25" t="str">
        <f>"1. " &amp; data!$B$9</f>
      </c>
      <c r="F15" s="22"/>
      <c r="G15" s="20"/>
      <c r="I15" s="20"/>
    </row>
    <row r="16">
      <c r="A16" s="26" t="str">
        <f>"2. " &amp; data!$B$10</f>
      </c>
      <c r="G16" s="21">
        <v>4</v>
      </c>
      <c r="H16" s="15"/>
      <c r="I16" s="20"/>
    </row>
    <row r="17">
      <c r="A17" s="27" t="str">
        <f>"3. " &amp; data!$B$11</f>
      </c>
      <c r="C17" s="23" t="str">
        <f>CONCATENATE("Pool A-2nd ",'Pool Matches'!G35)</f>
      </c>
      <c r="G17" s="20"/>
    </row>
    <row r="18">
      <c r="A18" s="22"/>
      <c r="D18" s="22"/>
      <c r="E18" s="21">
        <v>2</v>
      </c>
      <c r="F18" s="15"/>
      <c r="G18" s="20"/>
    </row>
    <row r="19">
      <c r="C19" s="23" t="str">
        <f>CONCATENATE("Pool C-2nd ",'Pool Matches'!G109)</f>
      </c>
      <c r="D19" s="15"/>
      <c r="E19"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48</v>
      </c>
      <c r="B1" s="29" t="str">
        <f>'data'!$B$3</f>
      </c>
    </row>
    <row r="2" ht="270" customHeight="true">
      <c r="A2" s="28" t="s">
        <v>49</v>
      </c>
      <c r="B2" s="29" t="str">
        <f>'data'!$B$4</f>
      </c>
    </row>
    <row r="3" ht="270" customHeight="true">
      <c r="A3" s="28" t="s">
        <v>50</v>
      </c>
      <c r="B3" s="29" t="str">
        <f>'data'!$B$5</f>
      </c>
    </row>
    <row r="4" ht="270" customHeight="true">
      <c r="A4" s="28" t="s">
        <v>51</v>
      </c>
      <c r="B4" s="29" t="str">
        <f>'data'!$B$6</f>
      </c>
    </row>
    <row r="5" ht="270" customHeight="true">
      <c r="A5" s="28" t="s">
        <v>52</v>
      </c>
      <c r="B5" s="29" t="str">
        <f>'data'!$B$7</f>
      </c>
    </row>
    <row r="6" ht="270" customHeight="true">
      <c r="A6" s="28" t="s">
        <v>53</v>
      </c>
      <c r="B6" s="29" t="str">
        <f>'data'!$B$8</f>
      </c>
    </row>
    <row r="7" ht="270" customHeight="true">
      <c r="A7" s="28" t="s">
        <v>54</v>
      </c>
      <c r="B7" s="29" t="str">
        <f>'data'!$B$9</f>
      </c>
    </row>
    <row r="8" ht="270" customHeight="true">
      <c r="A8" s="28" t="s">
        <v>55</v>
      </c>
      <c r="B8" s="29" t="str">
        <f>'data'!$B$10</f>
      </c>
    </row>
    <row r="9" ht="270" customHeight="true">
      <c r="A9" s="28" t="s">
        <v>56</v>
      </c>
      <c r="B9" s="29" t="str">
        <f>'data'!$B$11</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90"/>
  </cols>
  <sheetData>
    <row r="1" ht="390" customHeight="true">
      <c r="A1" s="30" t="s">
        <v>48</v>
      </c>
    </row>
    <row r="2" ht="390" customHeight="true">
      <c r="A2" s="30" t="s">
        <v>48</v>
      </c>
    </row>
    <row r="3" ht="390" customHeight="true">
      <c r="A3" s="30" t="s">
        <v>49</v>
      </c>
    </row>
    <row r="4" ht="390" customHeight="true">
      <c r="A4" s="30" t="s">
        <v>49</v>
      </c>
    </row>
    <row r="5" ht="390" customHeight="true">
      <c r="A5" s="30" t="s">
        <v>50</v>
      </c>
    </row>
    <row r="6" ht="390" customHeight="true">
      <c r="A6" s="30" t="s">
        <v>50</v>
      </c>
    </row>
    <row r="7" ht="390" customHeight="true">
      <c r="A7" s="30" t="s">
        <v>51</v>
      </c>
    </row>
    <row r="8" ht="390" customHeight="true">
      <c r="A8" s="30" t="s">
        <v>51</v>
      </c>
    </row>
    <row r="9" ht="390" customHeight="true">
      <c r="A9" s="30" t="s">
        <v>52</v>
      </c>
    </row>
    <row r="10" ht="390" customHeight="true">
      <c r="A10" s="30" t="s">
        <v>52</v>
      </c>
    </row>
    <row r="11" ht="390" customHeight="true">
      <c r="A11" s="30" t="s">
        <v>53</v>
      </c>
    </row>
    <row r="12" ht="390" customHeight="true">
      <c r="A12" s="30" t="s">
        <v>53</v>
      </c>
    </row>
    <row r="13" ht="390" customHeight="true">
      <c r="A13" s="30" t="s">
        <v>54</v>
      </c>
    </row>
    <row r="14" ht="390" customHeight="true">
      <c r="A14" s="30" t="s">
        <v>54</v>
      </c>
    </row>
    <row r="15" ht="390" customHeight="true">
      <c r="A15" s="30" t="s">
        <v>55</v>
      </c>
    </row>
    <row r="16" ht="390" customHeight="true">
      <c r="A16" s="30" t="s">
        <v>55</v>
      </c>
    </row>
    <row r="17" ht="390" customHeight="true">
      <c r="A17" s="30" t="s">
        <v>56</v>
      </c>
    </row>
    <row r="18" ht="390" customHeight="true">
      <c r="A18" s="30" t="s">
        <v>56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 manualBreakCount="9">
    <brk id="2" max="16383" man="true"/>
    <brk id="4" max="16383" man="true"/>
    <brk id="6" max="16383" man="true"/>
    <brk id="8" max="16383" man="true"/>
    <brk id="10" max="16383" man="true"/>
    <brk id="12" max="16383" man="true"/>
    <brk id="14" max="16383" man="true"/>
    <brk id="16" max="16383" man="true"/>
    <brk id="1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