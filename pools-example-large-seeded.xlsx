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Matches'!$A$1:$O$244</definedName>
    <definedName localSheetId="9" name="_xlnm.Print_Area">'Names to Print A'!$A$1:$B$46</definedName>
    <definedName localSheetId="10" name="_xlnm.Print_Area">'Names to Print B'!$A$1:$B$45</definedName>
    <definedName localSheetId="4" name="_xlnm.Print_Area">'Elimination Matches'!$A$1:$O$271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<sst xmlns="http://schemas.openxmlformats.org/spreadsheetml/2006/main" count="410" uniqueCount="410">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</sst>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I9" s="13" t="s">
        <v>241</v>
      </c>
      <c r="J9" s="13" t="s">
        <v>242</v>
      </c>
      <c r="K9" s="13" t="s">
        <v>243</v>
      </c>
      <c r="L9" s="13" t="s">
        <v>244</v>
      </c>
      <c r="M9" s="13" t="s">
        <v>245</v>
      </c>
      <c r="N9" s="13" t="s">
        <v>246</v>
      </c>
    </row>
    <row r="10">
      <c r="A10" s="14" t="str">
        <f>data!$B$3</f>
      </c>
      <c r="B10" s="14" t="str">
        <f>IF(OR(COUNTA(B4,C4,E4,F4)&gt;0,OR(D4="X",D4="x")),IF(OR(D4="X",D4="x"),0,(LEN(SUBSTITUTE(SUBSTITUTE(SUBSTITUTE(E4," ",""),"0",""),"-",""))+LEN(SUBSTITUTE(SUBSTITUTE(SUBSTITUTE(F4," ",""),"0",""),"-",""))&gt;LEN(SUBSTITUTE(SUBSTITUTE(SUBSTITUTE(B4," ",""),"0",""),"-",""))+LEN(SUBSTITUTE(SUBSTITUTE(SUBSTITUTE(C4," ",""),"0",""),"-","")))*1),0)+IF(OR(COUNTA(B7,C7,E7,F7)&gt;0,OR(D7="X",D7="x")),IF(OR(D7="X",D7="x"),0,(LEN(SUBSTITUTE(SUBSTITUTE(SUBSTITUTE(E7," ",""),"0",""),"-",""))+LEN(SUBSTITUTE(SUBSTITUTE(SUBSTITUTE(F7," ",""),"0",""),"-",""))&gt;LEN(SUBSTITUTE(SUBSTITUTE(SUBSTITUTE(B7," ",""),"0",""),"-",""))+LEN(SUBSTITUTE(SUBSTITUTE(SUBSTITUTE(C7," ",""),"0",""),"-","")))*1),0)</f>
      </c>
      <c r="C10" s="14" t="str">
        <f>IF(OR(COUNTA(B4,C4,E4,F4)&gt;0,OR(D4="X",D4="x")),IF(OR(D4="X",D4="x"),0,(LEN(SUBSTITUTE(SUBSTITUTE(SUBSTITUTE(E4," ",""),"0",""),"-",""))+LEN(SUBSTITUTE(SUBSTITUTE(SUBSTITUTE(F4," ",""),"0",""),"-",""))&lt;LEN(SUBSTITUTE(SUBSTITUTE(SUBSTITUTE(B4," ",""),"0",""),"-",""))+LEN(SUBSTITUTE(SUBSTITUTE(SUBSTITUTE(C4," ",""),"0",""),"-","")))*1),0)+IF(OR(COUNTA(B7,C7,E7,F7)&gt;0,OR(D7="X",D7="x")),IF(OR(D7="X",D7="x"),0,(LEN(SUBSTITUTE(SUBSTITUTE(SUBSTITUTE(E7," ",""),"0",""),"-",""))+LEN(SUBSTITUTE(SUBSTITUTE(SUBSTITUTE(F7," ",""),"0",""),"-",""))&lt;LEN(SUBSTITUTE(SUBSTITUTE(SUBSTITUTE(B7," ",""),"0",""),"-",""))+LEN(SUBSTITUTE(SUBSTITUTE(SUBSTITUTE(C7," ",""),"0",""),"-","")))*1),0)</f>
      </c>
      <c r="D10" s="14" t="str">
        <f>IF(OR(COUNTA(B4,C4,E4,F4)&gt;0,OR(D4="X",D4="x")),IF(OR(D4="X",D4="x"),1,0),0)+IF(OR(COUNTA(B7,C7,E7,F7)&gt;0,OR(D7="X",D7="x")),IF(OR(D7="X",D7="x"),1,0),0)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I10" s="14" t="str">
        <f>data!$B$49</f>
      </c>
      <c r="J10" s="14" t="str">
        <f>IF(OR(COUNTA(J4,K4,M4,N4)&gt;0,OR(L4="X",L4="x")),IF(OR(L4="X",L4="x"),0,(LEN(SUBSTITUTE(SUBSTITUTE(SUBSTITUTE(M4," ",""),"0",""),"-",""))+LEN(SUBSTITUTE(SUBSTITUTE(SUBSTITUTE(N4," ",""),"0",""),"-",""))&gt;LEN(SUBSTITUTE(SUBSTITUTE(SUBSTITUTE(J4," ",""),"0",""),"-",""))+LEN(SUBSTITUTE(SUBSTITUTE(SUBSTITUTE(K4," ",""),"0",""),"-","")))*1),0)+IF(OR(COUNTA(J5,K5,M5,N5)&gt;0,OR(L5="X",L5="x")),IF(OR(L5="X",L5="x"),0,(LEN(SUBSTITUTE(SUBSTITUTE(SUBSTITUTE(M5," ",""),"0",""),"-",""))+LEN(SUBSTITUTE(SUBSTITUTE(SUBSTITUTE(N5," ",""),"0",""),"-",""))&gt;LEN(SUBSTITUTE(SUBSTITUTE(SUBSTITUTE(J5," ",""),"0",""),"-",""))+LEN(SUBSTITUTE(SUBSTITUTE(SUBSTITUTE(K5," ",""),"0",""),"-","")))*1),0)</f>
      </c>
      <c r="K10" s="14" t="str">
        <f>IF(OR(COUNTA(J4,K4,M4,N4)&gt;0,OR(L4="X",L4="x")),IF(OR(L4="X",L4="x"),0,(LEN(SUBSTITUTE(SUBSTITUTE(SUBSTITUTE(M4," ",""),"0",""),"-",""))+LEN(SUBSTITUTE(SUBSTITUTE(SUBSTITUTE(N4," ",""),"0",""),"-",""))&lt;LEN(SUBSTITUTE(SUBSTITUTE(SUBSTITUTE(J4," ",""),"0",""),"-",""))+LEN(SUBSTITUTE(SUBSTITUTE(SUBSTITUTE(K4," ",""),"0",""),"-","")))*1),0)+IF(OR(COUNTA(J5,K5,M5,N5)&gt;0,OR(L5="X",L5="x")),IF(OR(L5="X",L5="x"),0,(LEN(SUBSTITUTE(SUBSTITUTE(SUBSTITUTE(M5," ",""),"0",""),"-",""))+LEN(SUBSTITUTE(SUBSTITUTE(SUBSTITUTE(N5," ",""),"0",""),"-",""))&lt;LEN(SUBSTITUTE(SUBSTITUTE(SUBSTITUTE(J5," ",""),"0",""),"-",""))+LEN(SUBSTITUTE(SUBSTITUTE(SUBSTITUTE(K5," ",""),"0",""),"-","")))*1),0)</f>
      </c>
      <c r="L10" s="14" t="str">
        <f>IF(OR(COUNTA(J4,K4,M4,N4)&gt;0,OR(L4="X",L4="x")),IF(OR(L4="X",L4="x"),1,0),0)+IF(OR(COUNTA(J5,K5,M5,N5)&gt;0,OR(L5="X",L5="x")),IF(OR(L5="X",L5="x"),1,0),0)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row>
    <row r="11">
      <c r="A11" s="14" t="str">
        <f>data!$B$4</f>
      </c>
      <c r="B11" s="14" t="str">
        <f>IF(OR(COUNTA(B4,C4,E4,F4)&gt;0,OR(D4="X",D4="x")),IF(OR(D4="X",D4="x"),0,(LEN(SUBSTITUTE(SUBSTITUTE(SUBSTITUTE(B4," ",""),"0",""),"-",""))+LEN(SUBSTITUTE(SUBSTITUTE(SUBSTITUTE(C4," ",""),"0",""),"-",""))&gt;LEN(SUBSTITUTE(SUBSTITUTE(SUBSTITUTE(E4," ",""),"0",""),"-",""))+LEN(SUBSTITUTE(SUBSTITUTE(SUBSTITUTE(F4," ",""),"0",""),"-","")))*1),0)+IF(OR(COUNTA(B5,C5,E5,F5)&gt;0,OR(D5="X",D5="x")),IF(OR(D5="X",D5="x"),0,(LEN(SUBSTITUTE(SUBSTITUTE(SUBSTITUTE(B5," ",""),"0",""),"-",""))+LEN(SUBSTITUTE(SUBSTITUTE(SUBSTITUTE(C5," ",""),"0",""),"-",""))&gt;LEN(SUBSTITUTE(SUBSTITUTE(SUBSTITUTE(E5," ",""),"0",""),"-",""))+LEN(SUBSTITUTE(SUBSTITUTE(SUBSTITUTE(F5," ",""),"0",""),"-","")))*1),0)</f>
      </c>
      <c r="C11" s="14" t="str">
        <f>IF(OR(COUNTA(B4,C4,E4,F4)&gt;0,OR(D4="X",D4="x")),IF(OR(D4="X",D4="x"),0,(LEN(SUBSTITUTE(SUBSTITUTE(SUBSTITUTE(B4," ",""),"0",""),"-",""))+LEN(SUBSTITUTE(SUBSTITUTE(SUBSTITUTE(C4," ",""),"0",""),"-",""))&lt;LEN(SUBSTITUTE(SUBSTITUTE(SUBSTITUTE(E4," ",""),"0",""),"-",""))+LEN(SUBSTITUTE(SUBSTITUTE(SUBSTITUTE(F4," ",""),"0",""),"-","")))*1),0)+IF(OR(COUNTA(B5,C5,E5,F5)&gt;0,OR(D5="X",D5="x")),IF(OR(D5="X",D5="x"),0,(LEN(SUBSTITUTE(SUBSTITUTE(SUBSTITUTE(B5," ",""),"0",""),"-",""))+LEN(SUBSTITUTE(SUBSTITUTE(SUBSTITUTE(C5," ",""),"0",""),"-",""))&lt;LEN(SUBSTITUTE(SUBSTITUTE(SUBSTITUTE(E5," ",""),"0",""),"-",""))+LEN(SUBSTITUTE(SUBSTITUTE(SUBSTITUTE(F5," ",""),"0",""),"-","")))*1),0)</f>
      </c>
      <c r="D11" s="14" t="str">
        <f>IF(OR(COUNTA(B4,C4,E4,F4)&gt;0,OR(D4="X",D4="x")),IF(OR(D4="X",D4="x"),1,0),0)+IF(OR(COUNTA(B5,C5,E5,F5)&gt;0,OR(D5="X",D5="x")),IF(OR(D5="X",D5="x"),1,0),0)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I11" s="14" t="str">
        <f>data!$B$50</f>
      </c>
      <c r="J11" s="14" t="str">
        <f>IF(OR(COUNTA(J4,K4,M4,N4)&gt;0,OR(L4="X",L4="x")),IF(OR(L4="X",L4="x"),0,(LEN(SUBSTITUTE(SUBSTITUTE(SUBSTITUTE(J4," ",""),"0",""),"-",""))+LEN(SUBSTITUTE(SUBSTITUTE(SUBSTITUTE(K4," ",""),"0",""),"-",""))&gt;LEN(SUBSTITUTE(SUBSTITUTE(SUBSTITUTE(M4," ",""),"0",""),"-",""))+LEN(SUBSTITUTE(SUBSTITUTE(SUBSTITUTE(N4," ",""),"0",""),"-","")))*1),0)+IF(OR(COUNTA(J6,K6,M6,N6)&gt;0,OR(L6="X",L6="x")),IF(OR(L6="X",L6="x"),0,(LEN(SUBSTITUTE(SUBSTITUTE(SUBSTITUTE(M6," ",""),"0",""),"-",""))+LEN(SUBSTITUTE(SUBSTITUTE(SUBSTITUTE(N6," ",""),"0",""),"-",""))&gt;LEN(SUBSTITUTE(SUBSTITUTE(SUBSTITUTE(J6," ",""),"0",""),"-",""))+LEN(SUBSTITUTE(SUBSTITUTE(SUBSTITUTE(K6," ",""),"0",""),"-","")))*1),0)</f>
      </c>
      <c r="K11" s="14" t="str">
        <f>IF(OR(COUNTA(J4,K4,M4,N4)&gt;0,OR(L4="X",L4="x")),IF(OR(L4="X",L4="x"),0,(LEN(SUBSTITUTE(SUBSTITUTE(SUBSTITUTE(J4," ",""),"0",""),"-",""))+LEN(SUBSTITUTE(SUBSTITUTE(SUBSTITUTE(K4," ",""),"0",""),"-",""))&lt;LEN(SUBSTITUTE(SUBSTITUTE(SUBSTITUTE(M4," ",""),"0",""),"-",""))+LEN(SUBSTITUTE(SUBSTITUTE(SUBSTITUTE(N4," ",""),"0",""),"-","")))*1),0)+IF(OR(COUNTA(J6,K6,M6,N6)&gt;0,OR(L6="X",L6="x")),IF(OR(L6="X",L6="x"),0,(LEN(SUBSTITUTE(SUBSTITUTE(SUBSTITUTE(M6," ",""),"0",""),"-",""))+LEN(SUBSTITUTE(SUBSTITUTE(SUBSTITUTE(N6," ",""),"0",""),"-",""))&lt;LEN(SUBSTITUTE(SUBSTITUTE(SUBSTITUTE(J6," ",""),"0",""),"-",""))+LEN(SUBSTITUTE(SUBSTITUTE(SUBSTITUTE(K6," ",""),"0",""),"-","")))*1),0)</f>
      </c>
      <c r="L11" s="14" t="str">
        <f>IF(OR(COUNTA(J4,K4,M4,N4)&gt;0,OR(L4="X",L4="x")),IF(OR(L4="X",L4="x"),1,0),0)+IF(OR(COUNTA(J6,K6,M6,N6)&gt;0,OR(L6="X",L6="x")),IF(OR(L6="X",L6="x"),1,0),0)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row>
    <row r="12">
      <c r="A12" s="14" t="str">
        <f>data!$B$5</f>
      </c>
      <c r="B12" s="14" t="str">
        <f>IF(OR(COUNTA(B5,C5,E5,F5)&gt;0,OR(D5="X",D5="x")),IF(OR(D5="X",D5="x"),0,(LEN(SUBSTITUTE(SUBSTITUTE(SUBSTITUTE(E5," ",""),"0",""),"-",""))+LEN(SUBSTITUTE(SUBSTITUTE(SUBSTITUTE(F5," ",""),"0",""),"-",""))&gt;LEN(SUBSTITUTE(SUBSTITUTE(SUBSTITUTE(B5," ",""),"0",""),"-",""))+LEN(SUBSTITUTE(SUBSTITUTE(SUBSTITUTE(C5," ",""),"0",""),"-","")))*1),0)+IF(OR(COUNTA(B6,C6,E6,F6)&gt;0,OR(D6="X",D6="x")),IF(OR(D6="X",D6="x"),0,(LEN(SUBSTITUTE(SUBSTITUTE(SUBSTITUTE(E6," ",""),"0",""),"-",""))+LEN(SUBSTITUTE(SUBSTITUTE(SUBSTITUTE(F6," ",""),"0",""),"-",""))&gt;LEN(SUBSTITUTE(SUBSTITUTE(SUBSTITUTE(B6," ",""),"0",""),"-",""))+LEN(SUBSTITUTE(SUBSTITUTE(SUBSTITUTE(C6," ",""),"0",""),"-","")))*1),0)</f>
      </c>
      <c r="C12" s="14" t="str">
        <f>IF(OR(COUNTA(B5,C5,E5,F5)&gt;0,OR(D5="X",D5="x")),IF(OR(D5="X",D5="x"),0,(LEN(SUBSTITUTE(SUBSTITUTE(SUBSTITUTE(E5," ",""),"0",""),"-",""))+LEN(SUBSTITUTE(SUBSTITUTE(SUBSTITUTE(F5," ",""),"0",""),"-",""))&lt;LEN(SUBSTITUTE(SUBSTITUTE(SUBSTITUTE(B5," ",""),"0",""),"-",""))+LEN(SUBSTITUTE(SUBSTITUTE(SUBSTITUTE(C5," ",""),"0",""),"-","")))*1),0)+IF(OR(COUNTA(B6,C6,E6,F6)&gt;0,OR(D6="X",D6="x")),IF(OR(D6="X",D6="x"),0,(LEN(SUBSTITUTE(SUBSTITUTE(SUBSTITUTE(E6," ",""),"0",""),"-",""))+LEN(SUBSTITUTE(SUBSTITUTE(SUBSTITUTE(F6," ",""),"0",""),"-",""))&lt;LEN(SUBSTITUTE(SUBSTITUTE(SUBSTITUTE(B6," ",""),"0",""),"-",""))+LEN(SUBSTITUTE(SUBSTITUTE(SUBSTITUTE(C6," ",""),"0",""),"-","")))*1),0)</f>
      </c>
      <c r="D12" s="14" t="str">
        <f>IF(OR(COUNTA(B5,C5,E5,F5)&gt;0,OR(D5="X",D5="x")),IF(OR(D5="X",D5="x"),1,0),0)+IF(OR(COUNTA(B6,C6,E6,F6)&gt;0,OR(D6="X",D6="x")),IF(OR(D6="X",D6="x"),1,0),0)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I12" s="14" t="str">
        <f>data!$B$51</f>
      </c>
      <c r="J12" s="14" t="str">
        <f>IF(OR(COUNTA(J5,K5,M5,N5)&gt;0,OR(L5="X",L5="x")),IF(OR(L5="X",L5="x"),0,(LEN(SUBSTITUTE(SUBSTITUTE(SUBSTITUTE(J5," ",""),"0",""),"-",""))+LEN(SUBSTITUTE(SUBSTITUTE(SUBSTITUTE(K5," ",""),"0",""),"-",""))&gt;LEN(SUBSTITUTE(SUBSTITUTE(SUBSTITUTE(M5," ",""),"0",""),"-",""))+LEN(SUBSTITUTE(SUBSTITUTE(SUBSTITUTE(N5," ",""),"0",""),"-","")))*1),0)+IF(OR(COUNTA(J6,K6,M6,N6)&gt;0,OR(L6="X",L6="x")),IF(OR(L6="X",L6="x"),0,(LEN(SUBSTITUTE(SUBSTITUTE(SUBSTITUTE(J6," ",""),"0",""),"-",""))+LEN(SUBSTITUTE(SUBSTITUTE(SUBSTITUTE(K6," ",""),"0",""),"-",""))&gt;LEN(SUBSTITUTE(SUBSTITUTE(SUBSTITUTE(M6," ",""),"0",""),"-",""))+LEN(SUBSTITUTE(SUBSTITUTE(SUBSTITUTE(N6," ",""),"0",""),"-","")))*1),0)</f>
      </c>
      <c r="K12" s="14" t="str">
        <f>IF(OR(COUNTA(J5,K5,M5,N5)&gt;0,OR(L5="X",L5="x")),IF(OR(L5="X",L5="x"),0,(LEN(SUBSTITUTE(SUBSTITUTE(SUBSTITUTE(J5," ",""),"0",""),"-",""))+LEN(SUBSTITUTE(SUBSTITUTE(SUBSTITUTE(K5," ",""),"0",""),"-",""))&lt;LEN(SUBSTITUTE(SUBSTITUTE(SUBSTITUTE(M5," ",""),"0",""),"-",""))+LEN(SUBSTITUTE(SUBSTITUTE(SUBSTITUTE(N5," ",""),"0",""),"-","")))*1),0)+IF(OR(COUNTA(J6,K6,M6,N6)&gt;0,OR(L6="X",L6="x")),IF(OR(L6="X",L6="x"),0,(LEN(SUBSTITUTE(SUBSTITUTE(SUBSTITUTE(J6," ",""),"0",""),"-",""))+LEN(SUBSTITUTE(SUBSTITUTE(SUBSTITUTE(K6," ",""),"0",""),"-",""))&lt;LEN(SUBSTITUTE(SUBSTITUTE(SUBSTITUTE(M6," ",""),"0",""),"-",""))+LEN(SUBSTITUTE(SUBSTITUTE(SUBSTITUTE(N6," ",""),"0",""),"-","")))*1),0)</f>
      </c>
      <c r="L12" s="14" t="str">
        <f>IF(OR(COUNTA(J5,K5,M5,N5)&gt;0,OR(L5="X",L5="x")),IF(OR(L5="X",L5="x"),1,0),0)+IF(OR(COUNTA(J6,K6,M6,N6)&gt;0,OR(L6="X",L6="x")),IF(OR(L6="X",L6="x"),1,0),0)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row>
    <row r="13">
      <c r="A13" s="14" t="str">
        <f>data!$B$6</f>
      </c>
      <c r="B13" s="14" t="str">
        <f>IF(OR(COUNTA(B6,C6,E6,F6)&gt;0,OR(D6="X",D6="x")),IF(OR(D6="X",D6="x"),0,(LEN(SUBSTITUTE(SUBSTITUTE(SUBSTITUTE(B6," ",""),"0",""),"-",""))+LEN(SUBSTITUTE(SUBSTITUTE(SUBSTITUTE(C6," ",""),"0",""),"-",""))&gt;LEN(SUBSTITUTE(SUBSTITUTE(SUBSTITUTE(E6," ",""),"0",""),"-",""))+LEN(SUBSTITUTE(SUBSTITUTE(SUBSTITUTE(F6," ",""),"0",""),"-","")))*1),0)+IF(OR(COUNTA(B7,C7,E7,F7)&gt;0,OR(D7="X",D7="x")),IF(OR(D7="X",D7="x"),0,(LEN(SUBSTITUTE(SUBSTITUTE(SUBSTITUTE(B7," ",""),"0",""),"-",""))+LEN(SUBSTITUTE(SUBSTITUTE(SUBSTITUTE(C7," ",""),"0",""),"-",""))&gt;LEN(SUBSTITUTE(SUBSTITUTE(SUBSTITUTE(E7," ",""),"0",""),"-",""))+LEN(SUBSTITUTE(SUBSTITUTE(SUBSTITUTE(F7," ",""),"0",""),"-","")))*1),0)</f>
      </c>
      <c r="C13" s="14" t="str">
        <f>IF(OR(COUNTA(B6,C6,E6,F6)&gt;0,OR(D6="X",D6="x")),IF(OR(D6="X",D6="x"),0,(LEN(SUBSTITUTE(SUBSTITUTE(SUBSTITUTE(B6," ",""),"0",""),"-",""))+LEN(SUBSTITUTE(SUBSTITUTE(SUBSTITUTE(C6," ",""),"0",""),"-",""))&lt;LEN(SUBSTITUTE(SUBSTITUTE(SUBSTITUTE(E6," ",""),"0",""),"-",""))+LEN(SUBSTITUTE(SUBSTITUTE(SUBSTITUTE(F6," ",""),"0",""),"-","")))*1),0)+IF(OR(COUNTA(B7,C7,E7,F7)&gt;0,OR(D7="X",D7="x")),IF(OR(D7="X",D7="x"),0,(LEN(SUBSTITUTE(SUBSTITUTE(SUBSTITUTE(B7," ",""),"0",""),"-",""))+LEN(SUBSTITUTE(SUBSTITUTE(SUBSTITUTE(C7," ",""),"0",""),"-",""))&lt;LEN(SUBSTITUTE(SUBSTITUTE(SUBSTITUTE(E7," ",""),"0",""),"-",""))+LEN(SUBSTITUTE(SUBSTITUTE(SUBSTITUTE(F7," ",""),"0",""),"-","")))*1),0)</f>
      </c>
      <c r="D13" s="14" t="str">
        <f>IF(OR(COUNTA(B6,C6,E6,F6)&gt;0,OR(D6="X",D6="x")),IF(OR(D6="X",D6="x"),1,0),0)+IF(OR(COUNTA(B7,C7,E7,F7)&gt;0,OR(D7="X",D7="x")),IF(OR(D7="X",D7="x"),1,0),0)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row>
    <row r="14">
      <c r="N14" t="s">
        <v>247</v>
      </c>
      <c r="O14" s="19"/>
    </row>
    <row r="15">
      <c r="F15" t="s">
        <v>247</v>
      </c>
      <c r="G15" s="19"/>
      <c r="N15" t="s">
        <v>248</v>
      </c>
      <c r="O15" s="19"/>
    </row>
    <row r="16">
      <c r="F16" t="s">
        <v>248</v>
      </c>
      <c r="G16" s="19"/>
      <c r="N16" t="s">
        <v>249</v>
      </c>
      <c r="O16" s="19"/>
    </row>
    <row r="17">
      <c r="F17" t="s">
        <v>249</v>
      </c>
      <c r="G17" s="19"/>
    </row>
    <row r="18">
      <c r="F18" t="s">
        <v>250</v>
      </c>
      <c r="G18" s="19"/>
    </row>
    <row r="21">
      <c r="A21" s="13" t="str">
        <f>data!$A$9</f>
      </c>
      <c r="B21" s="13"/>
      <c r="C21" s="13"/>
      <c r="D21" s="13"/>
      <c r="E21" s="13"/>
      <c r="F21" s="13"/>
      <c r="G21" s="13"/>
      <c r="I21" s="13" t="str">
        <f>data!$A$54</f>
      </c>
      <c r="J21" s="13"/>
      <c r="K21" s="13"/>
      <c r="L21" s="13"/>
      <c r="M21" s="13"/>
      <c r="N21" s="13"/>
      <c r="O21" s="13"/>
    </row>
    <row r="22">
      <c r="A22" s="17" t="s">
        <v>238</v>
      </c>
      <c r="D22" s="14" t="s">
        <v>239</v>
      </c>
      <c r="G22" s="16" t="s">
        <v>240</v>
      </c>
      <c r="I22" s="17" t="s">
        <v>238</v>
      </c>
      <c r="L22" s="14" t="s">
        <v>239</v>
      </c>
      <c r="O22" s="16" t="s">
        <v>240</v>
      </c>
    </row>
    <row r="23">
      <c r="A23" s="14" t="str">
        <f>data!$B$8</f>
      </c>
      <c r="B23" s="18"/>
      <c r="C23" s="18"/>
      <c r="D23" s="18"/>
      <c r="E23" s="18"/>
      <c r="F23" s="18"/>
      <c r="G23" s="14" t="str">
        <f>data!$B$7</f>
      </c>
      <c r="I23" s="14" t="str">
        <f>data!$B$53</f>
      </c>
      <c r="J23" s="18"/>
      <c r="K23" s="18"/>
      <c r="L23" s="18"/>
      <c r="M23" s="18"/>
      <c r="N23" s="18"/>
      <c r="O23" s="14" t="str">
        <f>data!$B$52</f>
      </c>
    </row>
    <row r="24">
      <c r="A24" s="14" t="str">
        <f>data!$B$9</f>
      </c>
      <c r="B24" s="18"/>
      <c r="C24" s="18"/>
      <c r="D24" s="18"/>
      <c r="E24" s="18"/>
      <c r="F24" s="18"/>
      <c r="G24" s="14" t="str">
        <f>data!$B$7</f>
      </c>
      <c r="I24" s="14" t="str">
        <f>data!$B$54</f>
      </c>
      <c r="J24" s="18"/>
      <c r="K24" s="18"/>
      <c r="L24" s="18"/>
      <c r="M24" s="18"/>
      <c r="N24" s="18"/>
      <c r="O24" s="14" t="str">
        <f>data!$B$52</f>
      </c>
    </row>
    <row r="25">
      <c r="A25" s="14" t="str">
        <f>data!$B$9</f>
      </c>
      <c r="B25" s="18"/>
      <c r="C25" s="18"/>
      <c r="D25" s="18"/>
      <c r="E25" s="18"/>
      <c r="F25" s="18"/>
      <c r="G25" s="14" t="str">
        <f>data!$B$8</f>
      </c>
      <c r="I25" s="14" t="str">
        <f>data!$B$54</f>
      </c>
      <c r="J25" s="18"/>
      <c r="K25" s="18"/>
      <c r="L25" s="18"/>
      <c r="M25" s="18"/>
      <c r="N25" s="18"/>
      <c r="O25" s="14" t="str">
        <f>data!$B$53</f>
      </c>
    </row>
    <row r="27">
      <c r="A27" s="13" t="s">
        <v>241</v>
      </c>
      <c r="B27" s="13" t="s">
        <v>242</v>
      </c>
      <c r="C27" s="13" t="s">
        <v>243</v>
      </c>
      <c r="D27" s="13" t="s">
        <v>244</v>
      </c>
      <c r="E27" s="13" t="s">
        <v>245</v>
      </c>
      <c r="F27" s="13" t="s">
        <v>246</v>
      </c>
      <c r="I27" s="13" t="s">
        <v>241</v>
      </c>
      <c r="J27" s="13" t="s">
        <v>242</v>
      </c>
      <c r="K27" s="13" t="s">
        <v>243</v>
      </c>
      <c r="L27" s="13" t="s">
        <v>244</v>
      </c>
      <c r="M27" s="13" t="s">
        <v>245</v>
      </c>
      <c r="N27" s="13" t="s">
        <v>246</v>
      </c>
    </row>
    <row r="28">
      <c r="A28" s="14" t="str">
        <f>data!$B$7</f>
      </c>
      <c r="B28" s="14" t="str">
        <f>IF(OR(COUNTA(B23,C23,E23,F23)&gt;0,OR(D23="X",D23="x")),IF(OR(D23="X",D23="x"),0,(LEN(SUBSTITUTE(SUBSTITUTE(SUBSTITUTE(E23," ",""),"0",""),"-",""))+LEN(SUBSTITUTE(SUBSTITUTE(SUBSTITUTE(F23," ",""),"0",""),"-",""))&gt;LEN(SUBSTITUTE(SUBSTITUTE(SUBSTITUTE(B23," ",""),"0",""),"-",""))+LEN(SUBSTITUTE(SUBSTITUTE(SUBSTITUTE(C23," ",""),"0",""),"-","")))*1),0)+IF(OR(COUNTA(B24,C24,E24,F24)&gt;0,OR(D24="X",D24="x")),IF(OR(D24="X",D24="x"),0,(LEN(SUBSTITUTE(SUBSTITUTE(SUBSTITUTE(E24," ",""),"0",""),"-",""))+LEN(SUBSTITUTE(SUBSTITUTE(SUBSTITUTE(F24," ",""),"0",""),"-",""))&gt;LEN(SUBSTITUTE(SUBSTITUTE(SUBSTITUTE(B24," ",""),"0",""),"-",""))+LEN(SUBSTITUTE(SUBSTITUTE(SUBSTITUTE(C24," ",""),"0",""),"-","")))*1),0)</f>
      </c>
      <c r="C28" s="14" t="str">
        <f>IF(OR(COUNTA(B23,C23,E23,F23)&gt;0,OR(D23="X",D23="x")),IF(OR(D23="X",D23="x"),0,(LEN(SUBSTITUTE(SUBSTITUTE(SUBSTITUTE(E23," ",""),"0",""),"-",""))+LEN(SUBSTITUTE(SUBSTITUTE(SUBSTITUTE(F23," ",""),"0",""),"-",""))&lt;LEN(SUBSTITUTE(SUBSTITUTE(SUBSTITUTE(B23," ",""),"0",""),"-",""))+LEN(SUBSTITUTE(SUBSTITUTE(SUBSTITUTE(C23," ",""),"0",""),"-","")))*1),0)+IF(OR(COUNTA(B24,C24,E24,F24)&gt;0,OR(D24="X",D24="x")),IF(OR(D24="X",D24="x"),0,(LEN(SUBSTITUTE(SUBSTITUTE(SUBSTITUTE(E24," ",""),"0",""),"-",""))+LEN(SUBSTITUTE(SUBSTITUTE(SUBSTITUTE(F24," ",""),"0",""),"-",""))&lt;LEN(SUBSTITUTE(SUBSTITUTE(SUBSTITUTE(B24," ",""),"0",""),"-",""))+LEN(SUBSTITUTE(SUBSTITUTE(SUBSTITUTE(C24," ",""),"0",""),"-","")))*1),0)</f>
      </c>
      <c r="D28" s="14" t="str">
        <f>IF(OR(COUNTA(B23,C23,E23,F23)&gt;0,OR(D23="X",D23="x")),IF(OR(D23="X",D23="x"),1,0),0)+IF(OR(COUNTA(B24,C24,E24,F24)&gt;0,OR(D24="X",D24="x")),IF(OR(D24="X",D24="x"),1,0),0)</f>
      </c>
      <c r="E28" s="14" t="str">
        <f>LEN(SUBSTITUTE(SUBSTITUTE(SUBSTITUTE(E23," ",""),"0",""),"-",""))+LEN(SUBSTITUTE(SUBSTITUTE(SUBSTITUTE(F23," ",""),"0",""),"-",""))+LEN(SUBSTITUTE(SUBSTITUTE(SUBSTITUTE(E24," ",""),"0",""),"-",""))+LEN(SUBSTITUTE(SUBSTITUTE(SUBSTITUTE(F24," ",""),"0",""),"-",""))</f>
      </c>
      <c r="F28" s="14" t="str">
        <f>LEN(SUBSTITUTE(SUBSTITUTE(SUBSTITUTE(B23," ",""),"0",""),"-",""))+LEN(SUBSTITUTE(SUBSTITUTE(SUBSTITUTE(C23," ",""),"0",""),"-",""))+LEN(SUBSTITUTE(SUBSTITUTE(SUBSTITUTE(B24," ",""),"0",""),"-",""))+LEN(SUBSTITUTE(SUBSTITUTE(SUBSTITUTE(C24," ",""),"0",""),"-",""))</f>
      </c>
      <c r="I28" s="14" t="str">
        <f>data!$B$52</f>
      </c>
      <c r="J28" s="14" t="str">
        <f>IF(OR(COUNTA(J23,K23,M23,N23)&gt;0,OR(L23="X",L23="x")),IF(OR(L23="X",L23="x"),0,(LEN(SUBSTITUTE(SUBSTITUTE(SUBSTITUTE(M23," ",""),"0",""),"-",""))+LEN(SUBSTITUTE(SUBSTITUTE(SUBSTITUTE(N23," ",""),"0",""),"-",""))&gt;LEN(SUBSTITUTE(SUBSTITUTE(SUBSTITUTE(J23," ",""),"0",""),"-",""))+LEN(SUBSTITUTE(SUBSTITUTE(SUBSTITUTE(K23," ",""),"0",""),"-","")))*1),0)+IF(OR(COUNTA(J24,K24,M24,N24)&gt;0,OR(L24="X",L24="x")),IF(OR(L24="X",L24="x"),0,(LEN(SUBSTITUTE(SUBSTITUTE(SUBSTITUTE(M24," ",""),"0",""),"-",""))+LEN(SUBSTITUTE(SUBSTITUTE(SUBSTITUTE(N24," ",""),"0",""),"-",""))&gt;LEN(SUBSTITUTE(SUBSTITUTE(SUBSTITUTE(J24," ",""),"0",""),"-",""))+LEN(SUBSTITUTE(SUBSTITUTE(SUBSTITUTE(K24," ",""),"0",""),"-","")))*1),0)</f>
      </c>
      <c r="K28" s="14" t="str">
        <f>IF(OR(COUNTA(J23,K23,M23,N23)&gt;0,OR(L23="X",L23="x")),IF(OR(L23="X",L23="x"),0,(LEN(SUBSTITUTE(SUBSTITUTE(SUBSTITUTE(M23," ",""),"0",""),"-",""))+LEN(SUBSTITUTE(SUBSTITUTE(SUBSTITUTE(N23," ",""),"0",""),"-",""))&lt;LEN(SUBSTITUTE(SUBSTITUTE(SUBSTITUTE(J23," ",""),"0",""),"-",""))+LEN(SUBSTITUTE(SUBSTITUTE(SUBSTITUTE(K23," ",""),"0",""),"-","")))*1),0)+IF(OR(COUNTA(J24,K24,M24,N24)&gt;0,OR(L24="X",L24="x")),IF(OR(L24="X",L24="x"),0,(LEN(SUBSTITUTE(SUBSTITUTE(SUBSTITUTE(M24," ",""),"0",""),"-",""))+LEN(SUBSTITUTE(SUBSTITUTE(SUBSTITUTE(N24," ",""),"0",""),"-",""))&lt;LEN(SUBSTITUTE(SUBSTITUTE(SUBSTITUTE(J24," ",""),"0",""),"-",""))+LEN(SUBSTITUTE(SUBSTITUTE(SUBSTITUTE(K24," ",""),"0",""),"-","")))*1),0)</f>
      </c>
      <c r="L28" s="14" t="str">
        <f>IF(OR(COUNTA(J23,K23,M23,N23)&gt;0,OR(L23="X",L23="x")),IF(OR(L23="X",L23="x"),1,0),0)+IF(OR(COUNTA(J24,K24,M24,N24)&gt;0,OR(L24="X",L24="x")),IF(OR(L24="X",L24="x"),1,0),0)</f>
      </c>
      <c r="M28" s="14" t="str">
        <f>LEN(SUBSTITUTE(SUBSTITUTE(SUBSTITUTE(M23," ",""),"0",""),"-",""))+LEN(SUBSTITUTE(SUBSTITUTE(SUBSTITUTE(N23," ",""),"0",""),"-",""))+LEN(SUBSTITUTE(SUBSTITUTE(SUBSTITUTE(M24," ",""),"0",""),"-",""))+LEN(SUBSTITUTE(SUBSTITUTE(SUBSTITUTE(N24," ",""),"0",""),"-",""))</f>
      </c>
      <c r="N28" s="14" t="str">
        <f>LEN(SUBSTITUTE(SUBSTITUTE(SUBSTITUTE(J23," ",""),"0",""),"-",""))+LEN(SUBSTITUTE(SUBSTITUTE(SUBSTITUTE(K23," ",""),"0",""),"-",""))+LEN(SUBSTITUTE(SUBSTITUTE(SUBSTITUTE(J24," ",""),"0",""),"-",""))+LEN(SUBSTITUTE(SUBSTITUTE(SUBSTITUTE(K24," ",""),"0",""),"-",""))</f>
      </c>
    </row>
    <row r="29">
      <c r="A29" s="14" t="str">
        <f>data!$B$8</f>
      </c>
      <c r="B29" s="14" t="str">
        <f>IF(OR(COUNTA(B23,C23,E23,F23)&gt;0,OR(D23="X",D23="x")),IF(OR(D23="X",D23="x"),0,(LEN(SUBSTITUTE(SUBSTITUTE(SUBSTITUTE(B23," ",""),"0",""),"-",""))+LEN(SUBSTITUTE(SUBSTITUTE(SUBSTITUTE(C23," ",""),"0",""),"-",""))&gt;LEN(SUBSTITUTE(SUBSTITUTE(SUBSTITUTE(E23," ",""),"0",""),"-",""))+LEN(SUBSTITUTE(SUBSTITUTE(SUBSTITUTE(F23," ",""),"0",""),"-","")))*1),0)+IF(OR(COUNTA(B25,C25,E25,F25)&gt;0,OR(D25="X",D25="x")),IF(OR(D25="X",D25="x"),0,(LEN(SUBSTITUTE(SUBSTITUTE(SUBSTITUTE(E25," ",""),"0",""),"-",""))+LEN(SUBSTITUTE(SUBSTITUTE(SUBSTITUTE(F25," ",""),"0",""),"-",""))&gt;LEN(SUBSTITUTE(SUBSTITUTE(SUBSTITUTE(B25," ",""),"0",""),"-",""))+LEN(SUBSTITUTE(SUBSTITUTE(SUBSTITUTE(C25," ",""),"0",""),"-","")))*1),0)</f>
      </c>
      <c r="C29" s="14" t="str">
        <f>IF(OR(COUNTA(B23,C23,E23,F23)&gt;0,OR(D23="X",D23="x")),IF(OR(D23="X",D23="x"),0,(LEN(SUBSTITUTE(SUBSTITUTE(SUBSTITUTE(B23," ",""),"0",""),"-",""))+LEN(SUBSTITUTE(SUBSTITUTE(SUBSTITUTE(C23," ",""),"0",""),"-",""))&lt;LEN(SUBSTITUTE(SUBSTITUTE(SUBSTITUTE(E23," ",""),"0",""),"-",""))+LEN(SUBSTITUTE(SUBSTITUTE(SUBSTITUTE(F23," ",""),"0",""),"-","")))*1),0)+IF(OR(COUNTA(B25,C25,E25,F25)&gt;0,OR(D25="X",D25="x")),IF(OR(D25="X",D25="x"),0,(LEN(SUBSTITUTE(SUBSTITUTE(SUBSTITUTE(E25," ",""),"0",""),"-",""))+LEN(SUBSTITUTE(SUBSTITUTE(SUBSTITUTE(F25," ",""),"0",""),"-",""))&lt;LEN(SUBSTITUTE(SUBSTITUTE(SUBSTITUTE(B25," ",""),"0",""),"-",""))+LEN(SUBSTITUTE(SUBSTITUTE(SUBSTITUTE(C25," ",""),"0",""),"-","")))*1),0)</f>
      </c>
      <c r="D29" s="14" t="str">
        <f>IF(OR(COUNTA(B23,C23,E23,F23)&gt;0,OR(D23="X",D23="x")),IF(OR(D23="X",D23="x"),1,0),0)+IF(OR(COUNTA(B25,C25,E25,F25)&gt;0,OR(D25="X",D25="x")),IF(OR(D25="X",D25="x"),1,0),0)</f>
      </c>
      <c r="E29" s="14" t="str">
        <f>LEN(SUBSTITUTE(SUBSTITUTE(SUBSTITUTE(B23," ",""),"0",""),"-",""))+LEN(SUBSTITUTE(SUBSTITUTE(SUBSTITUTE(C23," ",""),"0",""),"-",""))+LEN(SUBSTITUTE(SUBSTITUTE(SUBSTITUTE(E25," ",""),"0",""),"-",""))+LEN(SUBSTITUTE(SUBSTITUTE(SUBSTITUTE(F25," ",""),"0",""),"-",""))</f>
      </c>
      <c r="F29" s="14" t="str">
        <f>LEN(SUBSTITUTE(SUBSTITUTE(SUBSTITUTE(E23," ",""),"0",""),"-",""))+LEN(SUBSTITUTE(SUBSTITUTE(SUBSTITUTE(F23," ",""),"0",""),"-",""))+LEN(SUBSTITUTE(SUBSTITUTE(SUBSTITUTE(B25," ",""),"0",""),"-",""))+LEN(SUBSTITUTE(SUBSTITUTE(SUBSTITUTE(C25," ",""),"0",""),"-",""))</f>
      </c>
      <c r="I29" s="14" t="str">
        <f>data!$B$53</f>
      </c>
      <c r="J29" s="14" t="str">
        <f>IF(OR(COUNTA(J23,K23,M23,N23)&gt;0,OR(L23="X",L23="x")),IF(OR(L23="X",L23="x"),0,(LEN(SUBSTITUTE(SUBSTITUTE(SUBSTITUTE(J23," ",""),"0",""),"-",""))+LEN(SUBSTITUTE(SUBSTITUTE(SUBSTITUTE(K23," ",""),"0",""),"-",""))&gt;LEN(SUBSTITUTE(SUBSTITUTE(SUBSTITUTE(M23," ",""),"0",""),"-",""))+LEN(SUBSTITUTE(SUBSTITUTE(SUBSTITUTE(N23," ",""),"0",""),"-","")))*1),0)+IF(OR(COUNTA(J25,K25,M25,N25)&gt;0,OR(L25="X",L25="x")),IF(OR(L25="X",L25="x"),0,(LEN(SUBSTITUTE(SUBSTITUTE(SUBSTITUTE(M25," ",""),"0",""),"-",""))+LEN(SUBSTITUTE(SUBSTITUTE(SUBSTITUTE(N25," ",""),"0",""),"-",""))&gt;LEN(SUBSTITUTE(SUBSTITUTE(SUBSTITUTE(J25," ",""),"0",""),"-",""))+LEN(SUBSTITUTE(SUBSTITUTE(SUBSTITUTE(K25," ",""),"0",""),"-","")))*1),0)</f>
      </c>
      <c r="K29" s="14" t="str">
        <f>IF(OR(COUNTA(J23,K23,M23,N23)&gt;0,OR(L23="X",L23="x")),IF(OR(L23="X",L23="x"),0,(LEN(SUBSTITUTE(SUBSTITUTE(SUBSTITUTE(J23," ",""),"0",""),"-",""))+LEN(SUBSTITUTE(SUBSTITUTE(SUBSTITUTE(K23," ",""),"0",""),"-",""))&lt;LEN(SUBSTITUTE(SUBSTITUTE(SUBSTITUTE(M23," ",""),"0",""),"-",""))+LEN(SUBSTITUTE(SUBSTITUTE(SUBSTITUTE(N23," ",""),"0",""),"-","")))*1),0)+IF(OR(COUNTA(J25,K25,M25,N25)&gt;0,OR(L25="X",L25="x")),IF(OR(L25="X",L25="x"),0,(LEN(SUBSTITUTE(SUBSTITUTE(SUBSTITUTE(M25," ",""),"0",""),"-",""))+LEN(SUBSTITUTE(SUBSTITUTE(SUBSTITUTE(N25," ",""),"0",""),"-",""))&lt;LEN(SUBSTITUTE(SUBSTITUTE(SUBSTITUTE(J25," ",""),"0",""),"-",""))+LEN(SUBSTITUTE(SUBSTITUTE(SUBSTITUTE(K25," ",""),"0",""),"-","")))*1),0)</f>
      </c>
      <c r="L29" s="14" t="str">
        <f>IF(OR(COUNTA(J23,K23,M23,N23)&gt;0,OR(L23="X",L23="x")),IF(OR(L23="X",L23="x"),1,0),0)+IF(OR(COUNTA(J25,K25,M25,N25)&gt;0,OR(L25="X",L25="x")),IF(OR(L25="X",L25="x"),1,0),0)</f>
      </c>
      <c r="M29" s="14" t="str">
        <f>LEN(SUBSTITUTE(SUBSTITUTE(SUBSTITUTE(J23," ",""),"0",""),"-",""))+LEN(SUBSTITUTE(SUBSTITUTE(SUBSTITUTE(K23," ",""),"0",""),"-",""))+LEN(SUBSTITUTE(SUBSTITUTE(SUBSTITUTE(M25," ",""),"0",""),"-",""))+LEN(SUBSTITUTE(SUBSTITUTE(SUBSTITUTE(N25," ",""),"0",""),"-",""))</f>
      </c>
      <c r="N29" s="14" t="str">
        <f>LEN(SUBSTITUTE(SUBSTITUTE(SUBSTITUTE(M23," ",""),"0",""),"-",""))+LEN(SUBSTITUTE(SUBSTITUTE(SUBSTITUTE(N23," ",""),"0",""),"-",""))+LEN(SUBSTITUTE(SUBSTITUTE(SUBSTITUTE(J25," ",""),"0",""),"-",""))+LEN(SUBSTITUTE(SUBSTITUTE(SUBSTITUTE(K25," ",""),"0",""),"-",""))</f>
      </c>
    </row>
    <row r="30">
      <c r="A30" s="14" t="str">
        <f>data!$B$9</f>
      </c>
      <c r="B30" s="14" t="str">
        <f>IF(OR(COUNTA(B24,C24,E24,F24)&gt;0,OR(D24="X",D24="x")),IF(OR(D24="X",D24="x"),0,(LEN(SUBSTITUTE(SUBSTITUTE(SUBSTITUTE(B24," ",""),"0",""),"-",""))+LEN(SUBSTITUTE(SUBSTITUTE(SUBSTITUTE(C24," ",""),"0",""),"-",""))&gt;LEN(SUBSTITUTE(SUBSTITUTE(SUBSTITUTE(E24," ",""),"0",""),"-",""))+LEN(SUBSTITUTE(SUBSTITUTE(SUBSTITUTE(F24," ",""),"0",""),"-","")))*1),0)+IF(OR(COUNTA(B25,C25,E25,F25)&gt;0,OR(D25="X",D25="x")),IF(OR(D25="X",D25="x"),0,(LEN(SUBSTITUTE(SUBSTITUTE(SUBSTITUTE(B25," ",""),"0",""),"-",""))+LEN(SUBSTITUTE(SUBSTITUTE(SUBSTITUTE(C25," ",""),"0",""),"-",""))&gt;LEN(SUBSTITUTE(SUBSTITUTE(SUBSTITUTE(E25," ",""),"0",""),"-",""))+LEN(SUBSTITUTE(SUBSTITUTE(SUBSTITUTE(F25," ",""),"0",""),"-","")))*1),0)</f>
      </c>
      <c r="C30" s="14" t="str">
        <f>IF(OR(COUNTA(B24,C24,E24,F24)&gt;0,OR(D24="X",D24="x")),IF(OR(D24="X",D24="x"),0,(LEN(SUBSTITUTE(SUBSTITUTE(SUBSTITUTE(B24," ",""),"0",""),"-",""))+LEN(SUBSTITUTE(SUBSTITUTE(SUBSTITUTE(C24," ",""),"0",""),"-",""))&lt;LEN(SUBSTITUTE(SUBSTITUTE(SUBSTITUTE(E24," ",""),"0",""),"-",""))+LEN(SUBSTITUTE(SUBSTITUTE(SUBSTITUTE(F24," ",""),"0",""),"-","")))*1),0)+IF(OR(COUNTA(B25,C25,E25,F25)&gt;0,OR(D25="X",D25="x")),IF(OR(D25="X",D25="x"),0,(LEN(SUBSTITUTE(SUBSTITUTE(SUBSTITUTE(B25," ",""),"0",""),"-",""))+LEN(SUBSTITUTE(SUBSTITUTE(SUBSTITUTE(C25," ",""),"0",""),"-",""))&lt;LEN(SUBSTITUTE(SUBSTITUTE(SUBSTITUTE(E25," ",""),"0",""),"-",""))+LEN(SUBSTITUTE(SUBSTITUTE(SUBSTITUTE(F25," ",""),"0",""),"-","")))*1),0)</f>
      </c>
      <c r="D30" s="14" t="str">
        <f>IF(OR(COUNTA(B24,C24,E24,F24)&gt;0,OR(D24="X",D24="x")),IF(OR(D24="X",D24="x"),1,0),0)+IF(OR(COUNTA(B25,C25,E25,F25)&gt;0,OR(D25="X",D25="x")),IF(OR(D25="X",D25="x"),1,0),0)</f>
      </c>
      <c r="E30" s="14" t="str">
        <f>LEN(SUBSTITUTE(SUBSTITUTE(SUBSTITUTE(B24," ",""),"0",""),"-",""))+LEN(SUBSTITUTE(SUBSTITUTE(SUBSTITUTE(C24," ",""),"0",""),"-",""))+LEN(SUBSTITUTE(SUBSTITUTE(SUBSTITUTE(B25," ",""),"0",""),"-",""))+LEN(SUBSTITUTE(SUBSTITUTE(SUBSTITUTE(C25," ",""),"0",""),"-",""))</f>
      </c>
      <c r="F30" s="14" t="str">
        <f>LEN(SUBSTITUTE(SUBSTITUTE(SUBSTITUTE(E24," ",""),"0",""),"-",""))+LEN(SUBSTITUTE(SUBSTITUTE(SUBSTITUTE(F24," ",""),"0",""),"-",""))+LEN(SUBSTITUTE(SUBSTITUTE(SUBSTITUTE(E25," ",""),"0",""),"-",""))+LEN(SUBSTITUTE(SUBSTITUTE(SUBSTITUTE(F25," ",""),"0",""),"-",""))</f>
      </c>
      <c r="I30" s="14" t="str">
        <f>data!$B$54</f>
      </c>
      <c r="J30" s="14" t="str">
        <f>IF(OR(COUNTA(J24,K24,M24,N24)&gt;0,OR(L24="X",L24="x")),IF(OR(L24="X",L24="x"),0,(LEN(SUBSTITUTE(SUBSTITUTE(SUBSTITUTE(J24," ",""),"0",""),"-",""))+LEN(SUBSTITUTE(SUBSTITUTE(SUBSTITUTE(K24," ",""),"0",""),"-",""))&gt;LEN(SUBSTITUTE(SUBSTITUTE(SUBSTITUTE(M24," ",""),"0",""),"-",""))+LEN(SUBSTITUTE(SUBSTITUTE(SUBSTITUTE(N24," ",""),"0",""),"-","")))*1),0)+IF(OR(COUNTA(J25,K25,M25,N25)&gt;0,OR(L25="X",L25="x")),IF(OR(L25="X",L25="x"),0,(LEN(SUBSTITUTE(SUBSTITUTE(SUBSTITUTE(J25," ",""),"0",""),"-",""))+LEN(SUBSTITUTE(SUBSTITUTE(SUBSTITUTE(K25," ",""),"0",""),"-",""))&gt;LEN(SUBSTITUTE(SUBSTITUTE(SUBSTITUTE(M25," ",""),"0",""),"-",""))+LEN(SUBSTITUTE(SUBSTITUTE(SUBSTITUTE(N25," ",""),"0",""),"-","")))*1),0)</f>
      </c>
      <c r="K30" s="14" t="str">
        <f>IF(OR(COUNTA(J24,K24,M24,N24)&gt;0,OR(L24="X",L24="x")),IF(OR(L24="X",L24="x"),0,(LEN(SUBSTITUTE(SUBSTITUTE(SUBSTITUTE(J24," ",""),"0",""),"-",""))+LEN(SUBSTITUTE(SUBSTITUTE(SUBSTITUTE(K24," ",""),"0",""),"-",""))&lt;LEN(SUBSTITUTE(SUBSTITUTE(SUBSTITUTE(M24," ",""),"0",""),"-",""))+LEN(SUBSTITUTE(SUBSTITUTE(SUBSTITUTE(N24," ",""),"0",""),"-","")))*1),0)+IF(OR(COUNTA(J25,K25,M25,N25)&gt;0,OR(L25="X",L25="x")),IF(OR(L25="X",L25="x"),0,(LEN(SUBSTITUTE(SUBSTITUTE(SUBSTITUTE(J25," ",""),"0",""),"-",""))+LEN(SUBSTITUTE(SUBSTITUTE(SUBSTITUTE(K25," ",""),"0",""),"-",""))&lt;LEN(SUBSTITUTE(SUBSTITUTE(SUBSTITUTE(M25," ",""),"0",""),"-",""))+LEN(SUBSTITUTE(SUBSTITUTE(SUBSTITUTE(N25," ",""),"0",""),"-","")))*1),0)</f>
      </c>
      <c r="L30" s="14" t="str">
        <f>IF(OR(COUNTA(J24,K24,M24,N24)&gt;0,OR(L24="X",L24="x")),IF(OR(L24="X",L24="x"),1,0),0)+IF(OR(COUNTA(J25,K25,M25,N25)&gt;0,OR(L25="X",L25="x")),IF(OR(L25="X",L25="x"),1,0),0)</f>
      </c>
      <c r="M30" s="14" t="str">
        <f>LEN(SUBSTITUTE(SUBSTITUTE(SUBSTITUTE(J24," ",""),"0",""),"-",""))+LEN(SUBSTITUTE(SUBSTITUTE(SUBSTITUTE(K24," ",""),"0",""),"-",""))+LEN(SUBSTITUTE(SUBSTITUTE(SUBSTITUTE(J25," ",""),"0",""),"-",""))+LEN(SUBSTITUTE(SUBSTITUTE(SUBSTITUTE(K25," ",""),"0",""),"-",""))</f>
      </c>
      <c r="N30" s="14" t="str">
        <f>LEN(SUBSTITUTE(SUBSTITUTE(SUBSTITUTE(M24," ",""),"0",""),"-",""))+LEN(SUBSTITUTE(SUBSTITUTE(SUBSTITUTE(N24," ",""),"0",""),"-",""))+LEN(SUBSTITUTE(SUBSTITUTE(SUBSTITUTE(M25," ",""),"0",""),"-",""))+LEN(SUBSTITUTE(SUBSTITUTE(SUBSTITUTE(N25," ",""),"0",""),"-",""))</f>
      </c>
    </row>
    <row r="32">
      <c r="F32" t="s">
        <v>247</v>
      </c>
      <c r="G32" s="19"/>
      <c r="N32" t="s">
        <v>247</v>
      </c>
      <c r="O32" s="19"/>
    </row>
    <row r="33">
      <c r="F33" t="s">
        <v>248</v>
      </c>
      <c r="G33" s="19"/>
      <c r="N33" t="s">
        <v>248</v>
      </c>
      <c r="O33" s="19"/>
    </row>
    <row r="34">
      <c r="F34" t="s">
        <v>249</v>
      </c>
      <c r="G34" s="19"/>
      <c r="N34" t="s">
        <v>249</v>
      </c>
      <c r="O34" s="19"/>
    </row>
    <row r="37">
      <c r="A37" s="13" t="str">
        <f>data!$A$12</f>
      </c>
      <c r="B37" s="13"/>
      <c r="C37" s="13"/>
      <c r="D37" s="13"/>
      <c r="E37" s="13"/>
      <c r="F37" s="13"/>
      <c r="G37" s="13"/>
      <c r="I37" s="13" t="str">
        <f>data!$A$57</f>
      </c>
      <c r="J37" s="13"/>
      <c r="K37" s="13"/>
      <c r="L37" s="13"/>
      <c r="M37" s="13"/>
      <c r="N37" s="13"/>
      <c r="O37" s="13"/>
    </row>
    <row r="38">
      <c r="A38" s="17" t="s">
        <v>238</v>
      </c>
      <c r="D38" s="14" t="s">
        <v>239</v>
      </c>
      <c r="G38" s="16" t="s">
        <v>240</v>
      </c>
      <c r="I38" s="17" t="s">
        <v>238</v>
      </c>
      <c r="L38" s="14" t="s">
        <v>239</v>
      </c>
      <c r="O38" s="16" t="s">
        <v>240</v>
      </c>
    </row>
    <row r="39">
      <c r="A39" s="14" t="str">
        <f>data!$B$11</f>
      </c>
      <c r="B39" s="18"/>
      <c r="C39" s="18"/>
      <c r="D39" s="18"/>
      <c r="E39" s="18"/>
      <c r="F39" s="18"/>
      <c r="G39" s="14" t="str">
        <f>data!$B$10</f>
      </c>
      <c r="I39" s="14" t="str">
        <f>data!$B$56</f>
      </c>
      <c r="J39" s="18"/>
      <c r="K39" s="18"/>
      <c r="L39" s="18"/>
      <c r="M39" s="18"/>
      <c r="N39" s="18"/>
      <c r="O39" s="14" t="str">
        <f>data!$B$55</f>
      </c>
    </row>
    <row r="40">
      <c r="A40" s="14" t="str">
        <f>data!$B$12</f>
      </c>
      <c r="B40" s="18"/>
      <c r="C40" s="18"/>
      <c r="D40" s="18"/>
      <c r="E40" s="18"/>
      <c r="F40" s="18"/>
      <c r="G40" s="14" t="str">
        <f>data!$B$10</f>
      </c>
      <c r="I40" s="14" t="str">
        <f>data!$B$57</f>
      </c>
      <c r="J40" s="18"/>
      <c r="K40" s="18"/>
      <c r="L40" s="18"/>
      <c r="M40" s="18"/>
      <c r="N40" s="18"/>
      <c r="O40" s="14" t="str">
        <f>data!$B$55</f>
      </c>
    </row>
    <row r="41">
      <c r="A41" s="14" t="str">
        <f>data!$B$12</f>
      </c>
      <c r="B41" s="18"/>
      <c r="C41" s="18"/>
      <c r="D41" s="18"/>
      <c r="E41" s="18"/>
      <c r="F41" s="18"/>
      <c r="G41" s="14" t="str">
        <f>data!$B$11</f>
      </c>
      <c r="I41" s="14" t="str">
        <f>data!$B$57</f>
      </c>
      <c r="J41" s="18"/>
      <c r="K41" s="18"/>
      <c r="L41" s="18"/>
      <c r="M41" s="18"/>
      <c r="N41" s="18"/>
      <c r="O41" s="14" t="str">
        <f>data!$B$56</f>
      </c>
    </row>
    <row r="43">
      <c r="A43" s="13" t="s">
        <v>241</v>
      </c>
      <c r="B43" s="13" t="s">
        <v>242</v>
      </c>
      <c r="C43" s="13" t="s">
        <v>243</v>
      </c>
      <c r="D43" s="13" t="s">
        <v>244</v>
      </c>
      <c r="E43" s="13" t="s">
        <v>245</v>
      </c>
      <c r="F43" s="13" t="s">
        <v>246</v>
      </c>
      <c r="I43" s="13" t="s">
        <v>241</v>
      </c>
      <c r="J43" s="13" t="s">
        <v>242</v>
      </c>
      <c r="K43" s="13" t="s">
        <v>243</v>
      </c>
      <c r="L43" s="13" t="s">
        <v>244</v>
      </c>
      <c r="M43" s="13" t="s">
        <v>245</v>
      </c>
      <c r="N43" s="13" t="s">
        <v>246</v>
      </c>
    </row>
    <row r="44">
      <c r="A44" s="14" t="str">
        <f>data!$B$10</f>
      </c>
      <c r="B44" s="14" t="str">
        <f>IF(OR(COUNTA(B39,C39,E39,F39)&gt;0,OR(D39="X",D39="x")),IF(OR(D39="X",D39="x"),0,(LEN(SUBSTITUTE(SUBSTITUTE(SUBSTITUTE(E39," ",""),"0",""),"-",""))+LEN(SUBSTITUTE(SUBSTITUTE(SUBSTITUTE(F39," ",""),"0",""),"-",""))&gt;LEN(SUBSTITUTE(SUBSTITUTE(SUBSTITUTE(B39," ",""),"0",""),"-",""))+LEN(SUBSTITUTE(SUBSTITUTE(SUBSTITUTE(C39," ",""),"0",""),"-","")))*1),0)+IF(OR(COUNTA(B40,C40,E40,F40)&gt;0,OR(D40="X",D40="x")),IF(OR(D40="X",D40="x"),0,(LEN(SUBSTITUTE(SUBSTITUTE(SUBSTITUTE(E40," ",""),"0",""),"-",""))+LEN(SUBSTITUTE(SUBSTITUTE(SUBSTITUTE(F40," ",""),"0",""),"-",""))&gt;LEN(SUBSTITUTE(SUBSTITUTE(SUBSTITUTE(B40," ",""),"0",""),"-",""))+LEN(SUBSTITUTE(SUBSTITUTE(SUBSTITUTE(C40," ",""),"0",""),"-","")))*1),0)</f>
      </c>
      <c r="C44" s="14" t="str">
        <f>IF(OR(COUNTA(B39,C39,E39,F39)&gt;0,OR(D39="X",D39="x")),IF(OR(D39="X",D39="x"),0,(LEN(SUBSTITUTE(SUBSTITUTE(SUBSTITUTE(E39," ",""),"0",""),"-",""))+LEN(SUBSTITUTE(SUBSTITUTE(SUBSTITUTE(F39," ",""),"0",""),"-",""))&lt;LEN(SUBSTITUTE(SUBSTITUTE(SUBSTITUTE(B39," ",""),"0",""),"-",""))+LEN(SUBSTITUTE(SUBSTITUTE(SUBSTITUTE(C39," ",""),"0",""),"-","")))*1),0)+IF(OR(COUNTA(B40,C40,E40,F40)&gt;0,OR(D40="X",D40="x")),IF(OR(D40="X",D40="x"),0,(LEN(SUBSTITUTE(SUBSTITUTE(SUBSTITUTE(E40," ",""),"0",""),"-",""))+LEN(SUBSTITUTE(SUBSTITUTE(SUBSTITUTE(F40," ",""),"0",""),"-",""))&lt;LEN(SUBSTITUTE(SUBSTITUTE(SUBSTITUTE(B40," ",""),"0",""),"-",""))+LEN(SUBSTITUTE(SUBSTITUTE(SUBSTITUTE(C40," ",""),"0",""),"-","")))*1),0)</f>
      </c>
      <c r="D44" s="14" t="str">
        <f>IF(OR(COUNTA(B39,C39,E39,F39)&gt;0,OR(D39="X",D39="x")),IF(OR(D39="X",D39="x"),1,0),0)+IF(OR(COUNTA(B40,C40,E40,F40)&gt;0,OR(D40="X",D40="x")),IF(OR(D40="X",D40="x"),1,0),0)</f>
      </c>
      <c r="E44" s="14" t="str">
        <f>LEN(SUBSTITUTE(SUBSTITUTE(SUBSTITUTE(E39," ",""),"0",""),"-",""))+LEN(SUBSTITUTE(SUBSTITUTE(SUBSTITUTE(F39," ",""),"0",""),"-",""))+LEN(SUBSTITUTE(SUBSTITUTE(SUBSTITUTE(E40," ",""),"0",""),"-",""))+LEN(SUBSTITUTE(SUBSTITUTE(SUBSTITUTE(F40," ",""),"0",""),"-",""))</f>
      </c>
      <c r="F44" s="14" t="str">
        <f>LEN(SUBSTITUTE(SUBSTITUTE(SUBSTITUTE(B39," ",""),"0",""),"-",""))+LEN(SUBSTITUTE(SUBSTITUTE(SUBSTITUTE(C39," ",""),"0",""),"-",""))+LEN(SUBSTITUTE(SUBSTITUTE(SUBSTITUTE(B40," ",""),"0",""),"-",""))+LEN(SUBSTITUTE(SUBSTITUTE(SUBSTITUTE(C40," ",""),"0",""),"-",""))</f>
      </c>
      <c r="I44" s="14" t="str">
        <f>data!$B$55</f>
      </c>
      <c r="J44" s="14" t="str">
        <f>IF(OR(COUNTA(J39,K39,M39,N39)&gt;0,OR(L39="X",L39="x")),IF(OR(L39="X",L39="x"),0,(LEN(SUBSTITUTE(SUBSTITUTE(SUBSTITUTE(M39," ",""),"0",""),"-",""))+LEN(SUBSTITUTE(SUBSTITUTE(SUBSTITUTE(N39," ",""),"0",""),"-",""))&gt;LEN(SUBSTITUTE(SUBSTITUTE(SUBSTITUTE(J39," ",""),"0",""),"-",""))+LEN(SUBSTITUTE(SUBSTITUTE(SUBSTITUTE(K39," ",""),"0",""),"-","")))*1),0)+IF(OR(COUNTA(J40,K40,M40,N40)&gt;0,OR(L40="X",L40="x")),IF(OR(L40="X",L40="x"),0,(LEN(SUBSTITUTE(SUBSTITUTE(SUBSTITUTE(M40," ",""),"0",""),"-",""))+LEN(SUBSTITUTE(SUBSTITUTE(SUBSTITUTE(N40," ",""),"0",""),"-",""))&gt;LEN(SUBSTITUTE(SUBSTITUTE(SUBSTITUTE(J40," ",""),"0",""),"-",""))+LEN(SUBSTITUTE(SUBSTITUTE(SUBSTITUTE(K40," ",""),"0",""),"-","")))*1),0)</f>
      </c>
      <c r="K44" s="14" t="str">
        <f>IF(OR(COUNTA(J39,K39,M39,N39)&gt;0,OR(L39="X",L39="x")),IF(OR(L39="X",L39="x"),0,(LEN(SUBSTITUTE(SUBSTITUTE(SUBSTITUTE(M39," ",""),"0",""),"-",""))+LEN(SUBSTITUTE(SUBSTITUTE(SUBSTITUTE(N39," ",""),"0",""),"-",""))&lt;LEN(SUBSTITUTE(SUBSTITUTE(SUBSTITUTE(J39," ",""),"0",""),"-",""))+LEN(SUBSTITUTE(SUBSTITUTE(SUBSTITUTE(K39," ",""),"0",""),"-","")))*1),0)+IF(OR(COUNTA(J40,K40,M40,N40)&gt;0,OR(L40="X",L40="x")),IF(OR(L40="X",L40="x"),0,(LEN(SUBSTITUTE(SUBSTITUTE(SUBSTITUTE(M40," ",""),"0",""),"-",""))+LEN(SUBSTITUTE(SUBSTITUTE(SUBSTITUTE(N40," ",""),"0",""),"-",""))&lt;LEN(SUBSTITUTE(SUBSTITUTE(SUBSTITUTE(J40," ",""),"0",""),"-",""))+LEN(SUBSTITUTE(SUBSTITUTE(SUBSTITUTE(K40," ",""),"0",""),"-","")))*1),0)</f>
      </c>
      <c r="L44" s="14" t="str">
        <f>IF(OR(COUNTA(J39,K39,M39,N39)&gt;0,OR(L39="X",L39="x")),IF(OR(L39="X",L39="x"),1,0),0)+IF(OR(COUNTA(J40,K40,M40,N40)&gt;0,OR(L40="X",L40="x")),IF(OR(L40="X",L40="x"),1,0),0)</f>
      </c>
      <c r="M44" s="14" t="str">
        <f>LEN(SUBSTITUTE(SUBSTITUTE(SUBSTITUTE(M39," ",""),"0",""),"-",""))+LEN(SUBSTITUTE(SUBSTITUTE(SUBSTITUTE(N39," ",""),"0",""),"-",""))+LEN(SUBSTITUTE(SUBSTITUTE(SUBSTITUTE(M40," ",""),"0",""),"-",""))+LEN(SUBSTITUTE(SUBSTITUTE(SUBSTITUTE(N40," ",""),"0",""),"-",""))</f>
      </c>
      <c r="N44" s="14" t="str">
        <f>LEN(SUBSTITUTE(SUBSTITUTE(SUBSTITUTE(J39," ",""),"0",""),"-",""))+LEN(SUBSTITUTE(SUBSTITUTE(SUBSTITUTE(K39," ",""),"0",""),"-",""))+LEN(SUBSTITUTE(SUBSTITUTE(SUBSTITUTE(J40," ",""),"0",""),"-",""))+LEN(SUBSTITUTE(SUBSTITUTE(SUBSTITUTE(K40," ",""),"0",""),"-",""))</f>
      </c>
    </row>
    <row r="45">
      <c r="A45" s="14" t="str">
        <f>data!$B$11</f>
      </c>
      <c r="B45" s="14" t="str">
        <f>IF(OR(COUNTA(B39,C39,E39,F39)&gt;0,OR(D39="X",D39="x")),IF(OR(D39="X",D39="x"),0,(LEN(SUBSTITUTE(SUBSTITUTE(SUBSTITUTE(B39," ",""),"0",""),"-",""))+LEN(SUBSTITUTE(SUBSTITUTE(SUBSTITUTE(C39," ",""),"0",""),"-",""))&gt;LEN(SUBSTITUTE(SUBSTITUTE(SUBSTITUTE(E39," ",""),"0",""),"-",""))+LEN(SUBSTITUTE(SUBSTITUTE(SUBSTITUTE(F39," ",""),"0",""),"-","")))*1),0)+IF(OR(COUNTA(B41,C41,E41,F41)&gt;0,OR(D41="X",D41="x")),IF(OR(D41="X",D41="x"),0,(LEN(SUBSTITUTE(SUBSTITUTE(SUBSTITUTE(E41," ",""),"0",""),"-",""))+LEN(SUBSTITUTE(SUBSTITUTE(SUBSTITUTE(F41," ",""),"0",""),"-",""))&gt;LEN(SUBSTITUTE(SUBSTITUTE(SUBSTITUTE(B41," ",""),"0",""),"-",""))+LEN(SUBSTITUTE(SUBSTITUTE(SUBSTITUTE(C41," ",""),"0",""),"-","")))*1),0)</f>
      </c>
      <c r="C45" s="14" t="str">
        <f>IF(OR(COUNTA(B39,C39,E39,F39)&gt;0,OR(D39="X",D39="x")),IF(OR(D39="X",D39="x"),0,(LEN(SUBSTITUTE(SUBSTITUTE(SUBSTITUTE(B39," ",""),"0",""),"-",""))+LEN(SUBSTITUTE(SUBSTITUTE(SUBSTITUTE(C39," ",""),"0",""),"-",""))&lt;LEN(SUBSTITUTE(SUBSTITUTE(SUBSTITUTE(E39," ",""),"0",""),"-",""))+LEN(SUBSTITUTE(SUBSTITUTE(SUBSTITUTE(F39," ",""),"0",""),"-","")))*1),0)+IF(OR(COUNTA(B41,C41,E41,F41)&gt;0,OR(D41="X",D41="x")),IF(OR(D41="X",D41="x"),0,(LEN(SUBSTITUTE(SUBSTITUTE(SUBSTITUTE(E41," ",""),"0",""),"-",""))+LEN(SUBSTITUTE(SUBSTITUTE(SUBSTITUTE(F41," ",""),"0",""),"-",""))&lt;LEN(SUBSTITUTE(SUBSTITUTE(SUBSTITUTE(B41," ",""),"0",""),"-",""))+LEN(SUBSTITUTE(SUBSTITUTE(SUBSTITUTE(C41," ",""),"0",""),"-","")))*1),0)</f>
      </c>
      <c r="D45" s="14" t="str">
        <f>IF(OR(COUNTA(B39,C39,E39,F39)&gt;0,OR(D39="X",D39="x")),IF(OR(D39="X",D39="x"),1,0),0)+IF(OR(COUNTA(B41,C41,E41,F41)&gt;0,OR(D41="X",D41="x")),IF(OR(D41="X",D41="x"),1,0),0)</f>
      </c>
      <c r="E45" s="14" t="str">
        <f>LEN(SUBSTITUTE(SUBSTITUTE(SUBSTITUTE(B39," ",""),"0",""),"-",""))+LEN(SUBSTITUTE(SUBSTITUTE(SUBSTITUTE(C39," ",""),"0",""),"-",""))+LEN(SUBSTITUTE(SUBSTITUTE(SUBSTITUTE(E41," ",""),"0",""),"-",""))+LEN(SUBSTITUTE(SUBSTITUTE(SUBSTITUTE(F41," ",""),"0",""),"-",""))</f>
      </c>
      <c r="F45" s="14" t="str">
        <f>LEN(SUBSTITUTE(SUBSTITUTE(SUBSTITUTE(E39," ",""),"0",""),"-",""))+LEN(SUBSTITUTE(SUBSTITUTE(SUBSTITUTE(F39," ",""),"0",""),"-",""))+LEN(SUBSTITUTE(SUBSTITUTE(SUBSTITUTE(B41," ",""),"0",""),"-",""))+LEN(SUBSTITUTE(SUBSTITUTE(SUBSTITUTE(C41," ",""),"0",""),"-",""))</f>
      </c>
      <c r="I45" s="14" t="str">
        <f>data!$B$56</f>
      </c>
      <c r="J45" s="14" t="str">
        <f>IF(OR(COUNTA(J39,K39,M39,N39)&gt;0,OR(L39="X",L39="x")),IF(OR(L39="X",L39="x"),0,(LEN(SUBSTITUTE(SUBSTITUTE(SUBSTITUTE(J39," ",""),"0",""),"-",""))+LEN(SUBSTITUTE(SUBSTITUTE(SUBSTITUTE(K39," ",""),"0",""),"-",""))&gt;LEN(SUBSTITUTE(SUBSTITUTE(SUBSTITUTE(M39," ",""),"0",""),"-",""))+LEN(SUBSTITUTE(SUBSTITUTE(SUBSTITUTE(N39," ",""),"0",""),"-","")))*1),0)+IF(OR(COUNTA(J41,K41,M41,N41)&gt;0,OR(L41="X",L41="x")),IF(OR(L41="X",L41="x"),0,(LEN(SUBSTITUTE(SUBSTITUTE(SUBSTITUTE(M41," ",""),"0",""),"-",""))+LEN(SUBSTITUTE(SUBSTITUTE(SUBSTITUTE(N41," ",""),"0",""),"-",""))&gt;LEN(SUBSTITUTE(SUBSTITUTE(SUBSTITUTE(J41," ",""),"0",""),"-",""))+LEN(SUBSTITUTE(SUBSTITUTE(SUBSTITUTE(K41," ",""),"0",""),"-","")))*1),0)</f>
      </c>
      <c r="K45" s="14" t="str">
        <f>IF(OR(COUNTA(J39,K39,M39,N39)&gt;0,OR(L39="X",L39="x")),IF(OR(L39="X",L39="x"),0,(LEN(SUBSTITUTE(SUBSTITUTE(SUBSTITUTE(J39," ",""),"0",""),"-",""))+LEN(SUBSTITUTE(SUBSTITUTE(SUBSTITUTE(K39," ",""),"0",""),"-",""))&lt;LEN(SUBSTITUTE(SUBSTITUTE(SUBSTITUTE(M39," ",""),"0",""),"-",""))+LEN(SUBSTITUTE(SUBSTITUTE(SUBSTITUTE(N39," ",""),"0",""),"-","")))*1),0)+IF(OR(COUNTA(J41,K41,M41,N41)&gt;0,OR(L41="X",L41="x")),IF(OR(L41="X",L41="x"),0,(LEN(SUBSTITUTE(SUBSTITUTE(SUBSTITUTE(M41," ",""),"0",""),"-",""))+LEN(SUBSTITUTE(SUBSTITUTE(SUBSTITUTE(N41," ",""),"0",""),"-",""))&lt;LEN(SUBSTITUTE(SUBSTITUTE(SUBSTITUTE(J41," ",""),"0",""),"-",""))+LEN(SUBSTITUTE(SUBSTITUTE(SUBSTITUTE(K41," ",""),"0",""),"-","")))*1),0)</f>
      </c>
      <c r="L45" s="14" t="str">
        <f>IF(OR(COUNTA(J39,K39,M39,N39)&gt;0,OR(L39="X",L39="x")),IF(OR(L39="X",L39="x"),1,0),0)+IF(OR(COUNTA(J41,K41,M41,N41)&gt;0,OR(L41="X",L41="x")),IF(OR(L41="X",L41="x"),1,0),0)</f>
      </c>
      <c r="M45" s="14" t="str">
        <f>LEN(SUBSTITUTE(SUBSTITUTE(SUBSTITUTE(J39," ",""),"0",""),"-",""))+LEN(SUBSTITUTE(SUBSTITUTE(SUBSTITUTE(K39," ",""),"0",""),"-",""))+LEN(SUBSTITUTE(SUBSTITUTE(SUBSTITUTE(M41," ",""),"0",""),"-",""))+LEN(SUBSTITUTE(SUBSTITUTE(SUBSTITUTE(N41," ",""),"0",""),"-",""))</f>
      </c>
      <c r="N45" s="14" t="str">
        <f>LEN(SUBSTITUTE(SUBSTITUTE(SUBSTITUTE(M39," ",""),"0",""),"-",""))+LEN(SUBSTITUTE(SUBSTITUTE(SUBSTITUTE(N39," ",""),"0",""),"-",""))+LEN(SUBSTITUTE(SUBSTITUTE(SUBSTITUTE(J41," ",""),"0",""),"-",""))+LEN(SUBSTITUTE(SUBSTITUTE(SUBSTITUTE(K41," ",""),"0",""),"-",""))</f>
      </c>
    </row>
    <row r="46">
      <c r="A46" s="14" t="str">
        <f>data!$B$12</f>
      </c>
      <c r="B46" s="14" t="str">
        <f>IF(OR(COUNTA(B40,C40,E40,F40)&gt;0,OR(D40="X",D40="x")),IF(OR(D40="X",D40="x"),0,(LEN(SUBSTITUTE(SUBSTITUTE(SUBSTITUTE(B40," ",""),"0",""),"-",""))+LEN(SUBSTITUTE(SUBSTITUTE(SUBSTITUTE(C40," ",""),"0",""),"-",""))&gt;LEN(SUBSTITUTE(SUBSTITUTE(SUBSTITUTE(E40," ",""),"0",""),"-",""))+LEN(SUBSTITUTE(SUBSTITUTE(SUBSTITUTE(F40," ",""),"0",""),"-","")))*1),0)+IF(OR(COUNTA(B41,C41,E41,F41)&gt;0,OR(D41="X",D41="x")),IF(OR(D41="X",D41="x"),0,(LEN(SUBSTITUTE(SUBSTITUTE(SUBSTITUTE(B41," ",""),"0",""),"-",""))+LEN(SUBSTITUTE(SUBSTITUTE(SUBSTITUTE(C41," ",""),"0",""),"-",""))&gt;LEN(SUBSTITUTE(SUBSTITUTE(SUBSTITUTE(E41," ",""),"0",""),"-",""))+LEN(SUBSTITUTE(SUBSTITUTE(SUBSTITUTE(F41," ",""),"0",""),"-","")))*1),0)</f>
      </c>
      <c r="C46" s="14" t="str">
        <f>IF(OR(COUNTA(B40,C40,E40,F40)&gt;0,OR(D40="X",D40="x")),IF(OR(D40="X",D40="x"),0,(LEN(SUBSTITUTE(SUBSTITUTE(SUBSTITUTE(B40," ",""),"0",""),"-",""))+LEN(SUBSTITUTE(SUBSTITUTE(SUBSTITUTE(C40," ",""),"0",""),"-",""))&lt;LEN(SUBSTITUTE(SUBSTITUTE(SUBSTITUTE(E40," ",""),"0",""),"-",""))+LEN(SUBSTITUTE(SUBSTITUTE(SUBSTITUTE(F40," ",""),"0",""),"-","")))*1),0)+IF(OR(COUNTA(B41,C41,E41,F41)&gt;0,OR(D41="X",D41="x")),IF(OR(D41="X",D41="x"),0,(LEN(SUBSTITUTE(SUBSTITUTE(SUBSTITUTE(B41," ",""),"0",""),"-",""))+LEN(SUBSTITUTE(SUBSTITUTE(SUBSTITUTE(C41," ",""),"0",""),"-",""))&lt;LEN(SUBSTITUTE(SUBSTITUTE(SUBSTITUTE(E41," ",""),"0",""),"-",""))+LEN(SUBSTITUTE(SUBSTITUTE(SUBSTITUTE(F41," ",""),"0",""),"-","")))*1),0)</f>
      </c>
      <c r="D46" s="14" t="str">
        <f>IF(OR(COUNTA(B40,C40,E40,F40)&gt;0,OR(D40="X",D40="x")),IF(OR(D40="X",D40="x"),1,0),0)+IF(OR(COUNTA(B41,C41,E41,F41)&gt;0,OR(D41="X",D41="x")),IF(OR(D41="X",D41="x"),1,0),0)</f>
      </c>
      <c r="E46" s="14" t="str">
        <f>LEN(SUBSTITUTE(SUBSTITUTE(SUBSTITUTE(B40," ",""),"0",""),"-",""))+LEN(SUBSTITUTE(SUBSTITUTE(SUBSTITUTE(C40," ",""),"0",""),"-",""))+LEN(SUBSTITUTE(SUBSTITUTE(SUBSTITUTE(B41," ",""),"0",""),"-",""))+LEN(SUBSTITUTE(SUBSTITUTE(SUBSTITUTE(C41," ",""),"0",""),"-",""))</f>
      </c>
      <c r="F46" s="14" t="str">
        <f>LEN(SUBSTITUTE(SUBSTITUTE(SUBSTITUTE(E40," ",""),"0",""),"-",""))+LEN(SUBSTITUTE(SUBSTITUTE(SUBSTITUTE(F40," ",""),"0",""),"-",""))+LEN(SUBSTITUTE(SUBSTITUTE(SUBSTITUTE(E41," ",""),"0",""),"-",""))+LEN(SUBSTITUTE(SUBSTITUTE(SUBSTITUTE(F41," ",""),"0",""),"-",""))</f>
      </c>
      <c r="I46" s="14" t="str">
        <f>data!$B$57</f>
      </c>
      <c r="J46" s="14" t="str">
        <f>IF(OR(COUNTA(J40,K40,M40,N40)&gt;0,OR(L40="X",L40="x")),IF(OR(L40="X",L40="x"),0,(LEN(SUBSTITUTE(SUBSTITUTE(SUBSTITUTE(J40," ",""),"0",""),"-",""))+LEN(SUBSTITUTE(SUBSTITUTE(SUBSTITUTE(K40," ",""),"0",""),"-",""))&gt;LEN(SUBSTITUTE(SUBSTITUTE(SUBSTITUTE(M40," ",""),"0",""),"-",""))+LEN(SUBSTITUTE(SUBSTITUTE(SUBSTITUTE(N40," ",""),"0",""),"-","")))*1),0)+IF(OR(COUNTA(J41,K41,M41,N41)&gt;0,OR(L41="X",L41="x")),IF(OR(L41="X",L41="x"),0,(LEN(SUBSTITUTE(SUBSTITUTE(SUBSTITUTE(J41," ",""),"0",""),"-",""))+LEN(SUBSTITUTE(SUBSTITUTE(SUBSTITUTE(K41," ",""),"0",""),"-",""))&gt;LEN(SUBSTITUTE(SUBSTITUTE(SUBSTITUTE(M41," ",""),"0",""),"-",""))+LEN(SUBSTITUTE(SUBSTITUTE(SUBSTITUTE(N41," ",""),"0",""),"-","")))*1),0)</f>
      </c>
      <c r="K46" s="14" t="str">
        <f>IF(OR(COUNTA(J40,K40,M40,N40)&gt;0,OR(L40="X",L40="x")),IF(OR(L40="X",L40="x"),0,(LEN(SUBSTITUTE(SUBSTITUTE(SUBSTITUTE(J40," ",""),"0",""),"-",""))+LEN(SUBSTITUTE(SUBSTITUTE(SUBSTITUTE(K40," ",""),"0",""),"-",""))&lt;LEN(SUBSTITUTE(SUBSTITUTE(SUBSTITUTE(M40," ",""),"0",""),"-",""))+LEN(SUBSTITUTE(SUBSTITUTE(SUBSTITUTE(N40," ",""),"0",""),"-","")))*1),0)+IF(OR(COUNTA(J41,K41,M41,N41)&gt;0,OR(L41="X",L41="x")),IF(OR(L41="X",L41="x"),0,(LEN(SUBSTITUTE(SUBSTITUTE(SUBSTITUTE(J41," ",""),"0",""),"-",""))+LEN(SUBSTITUTE(SUBSTITUTE(SUBSTITUTE(K41," ",""),"0",""),"-",""))&lt;LEN(SUBSTITUTE(SUBSTITUTE(SUBSTITUTE(M41," ",""),"0",""),"-",""))+LEN(SUBSTITUTE(SUBSTITUTE(SUBSTITUTE(N41," ",""),"0",""),"-","")))*1),0)</f>
      </c>
      <c r="L46" s="14" t="str">
        <f>IF(OR(COUNTA(J40,K40,M40,N40)&gt;0,OR(L40="X",L40="x")),IF(OR(L40="X",L40="x"),1,0),0)+IF(OR(COUNTA(J41,K41,M41,N41)&gt;0,OR(L41="X",L41="x")),IF(OR(L41="X",L41="x"),1,0),0)</f>
      </c>
      <c r="M46" s="14" t="str">
        <f>LEN(SUBSTITUTE(SUBSTITUTE(SUBSTITUTE(J40," ",""),"0",""),"-",""))+LEN(SUBSTITUTE(SUBSTITUTE(SUBSTITUTE(K40," ",""),"0",""),"-",""))+LEN(SUBSTITUTE(SUBSTITUTE(SUBSTITUTE(J41," ",""),"0",""),"-",""))+LEN(SUBSTITUTE(SUBSTITUTE(SUBSTITUTE(K41," ",""),"0",""),"-",""))</f>
      </c>
      <c r="N46" s="14" t="str">
        <f>LEN(SUBSTITUTE(SUBSTITUTE(SUBSTITUTE(M40," ",""),"0",""),"-",""))+LEN(SUBSTITUTE(SUBSTITUTE(SUBSTITUTE(N40," ",""),"0",""),"-",""))+LEN(SUBSTITUTE(SUBSTITUTE(SUBSTITUTE(M41," ",""),"0",""),"-",""))+LEN(SUBSTITUTE(SUBSTITUTE(SUBSTITUTE(N41," ",""),"0",""),"-",""))</f>
      </c>
    </row>
    <row r="48">
      <c r="F48" t="s">
        <v>247</v>
      </c>
      <c r="G48" s="19"/>
      <c r="N48" t="s">
        <v>247</v>
      </c>
      <c r="O48" s="19"/>
    </row>
    <row r="49">
      <c r="F49" t="s">
        <v>248</v>
      </c>
      <c r="G49" s="19"/>
      <c r="N49" t="s">
        <v>248</v>
      </c>
      <c r="O49" s="19"/>
    </row>
    <row r="50">
      <c r="F50" t="s">
        <v>249</v>
      </c>
      <c r="G50" s="19"/>
      <c r="N50" t="s">
        <v>249</v>
      </c>
      <c r="O50" s="19"/>
    </row>
    <row r="53">
      <c r="A53" s="13" t="str">
        <f>data!$A$15</f>
      </c>
      <c r="B53" s="13"/>
      <c r="C53" s="13"/>
      <c r="D53" s="13"/>
      <c r="E53" s="13"/>
      <c r="F53" s="13"/>
      <c r="G53" s="13"/>
      <c r="I53" s="13" t="str">
        <f>data!$A$60</f>
      </c>
      <c r="J53" s="13"/>
      <c r="K53" s="13"/>
      <c r="L53" s="13"/>
      <c r="M53" s="13"/>
      <c r="N53" s="13"/>
      <c r="O53" s="13"/>
    </row>
    <row r="54">
      <c r="A54" s="17" t="s">
        <v>238</v>
      </c>
      <c r="D54" s="14" t="s">
        <v>239</v>
      </c>
      <c r="G54" s="16" t="s">
        <v>240</v>
      </c>
      <c r="I54" s="17" t="s">
        <v>238</v>
      </c>
      <c r="L54" s="14" t="s">
        <v>239</v>
      </c>
      <c r="O54" s="16" t="s">
        <v>240</v>
      </c>
    </row>
    <row r="55">
      <c r="A55" s="14" t="str">
        <f>data!$B$14</f>
      </c>
      <c r="B55" s="18"/>
      <c r="C55" s="18"/>
      <c r="D55" s="18"/>
      <c r="E55" s="18"/>
      <c r="F55" s="18"/>
      <c r="G55" s="14" t="str">
        <f>data!$B$13</f>
      </c>
      <c r="I55" s="14" t="str">
        <f>data!$B$59</f>
      </c>
      <c r="J55" s="18"/>
      <c r="K55" s="18"/>
      <c r="L55" s="18"/>
      <c r="M55" s="18"/>
      <c r="N55" s="18"/>
      <c r="O55" s="14" t="str">
        <f>data!$B$58</f>
      </c>
    </row>
    <row r="56">
      <c r="A56" s="14" t="str">
        <f>data!$B$15</f>
      </c>
      <c r="B56" s="18"/>
      <c r="C56" s="18"/>
      <c r="D56" s="18"/>
      <c r="E56" s="18"/>
      <c r="F56" s="18"/>
      <c r="G56" s="14" t="str">
        <f>data!$B$13</f>
      </c>
      <c r="I56" s="14" t="str">
        <f>data!$B$60</f>
      </c>
      <c r="J56" s="18"/>
      <c r="K56" s="18"/>
      <c r="L56" s="18"/>
      <c r="M56" s="18"/>
      <c r="N56" s="18"/>
      <c r="O56" s="14" t="str">
        <f>data!$B$58</f>
      </c>
    </row>
    <row r="57">
      <c r="A57" s="14" t="str">
        <f>data!$B$15</f>
      </c>
      <c r="B57" s="18"/>
      <c r="C57" s="18"/>
      <c r="D57" s="18"/>
      <c r="E57" s="18"/>
      <c r="F57" s="18"/>
      <c r="G57" s="14" t="str">
        <f>data!$B$14</f>
      </c>
      <c r="I57" s="14" t="str">
        <f>data!$B$60</f>
      </c>
      <c r="J57" s="18"/>
      <c r="K57" s="18"/>
      <c r="L57" s="18"/>
      <c r="M57" s="18"/>
      <c r="N57" s="18"/>
      <c r="O57" s="14" t="str">
        <f>data!$B$59</f>
      </c>
    </row>
    <row r="59">
      <c r="A59" s="13" t="s">
        <v>241</v>
      </c>
      <c r="B59" s="13" t="s">
        <v>242</v>
      </c>
      <c r="C59" s="13" t="s">
        <v>243</v>
      </c>
      <c r="D59" s="13" t="s">
        <v>244</v>
      </c>
      <c r="E59" s="13" t="s">
        <v>245</v>
      </c>
      <c r="F59" s="13" t="s">
        <v>246</v>
      </c>
      <c r="I59" s="13" t="s">
        <v>241</v>
      </c>
      <c r="J59" s="13" t="s">
        <v>242</v>
      </c>
      <c r="K59" s="13" t="s">
        <v>243</v>
      </c>
      <c r="L59" s="13" t="s">
        <v>244</v>
      </c>
      <c r="M59" s="13" t="s">
        <v>245</v>
      </c>
      <c r="N59" s="13" t="s">
        <v>246</v>
      </c>
    </row>
    <row r="60">
      <c r="A60" s="14" t="str">
        <f>data!$B$13</f>
      </c>
      <c r="B60" s="14" t="str">
        <f>IF(OR(COUNTA(B55,C55,E55,F55)&gt;0,OR(D55="X",D55="x")),IF(OR(D55="X",D55="x"),0,(LEN(SUBSTITUTE(SUBSTITUTE(SUBSTITUTE(E55," ",""),"0",""),"-",""))+LEN(SUBSTITUTE(SUBSTITUTE(SUBSTITUTE(F55," ",""),"0",""),"-",""))&gt;LEN(SUBSTITUTE(SUBSTITUTE(SUBSTITUTE(B55," ",""),"0",""),"-",""))+LEN(SUBSTITUTE(SUBSTITUTE(SUBSTITUTE(C55," ",""),"0",""),"-","")))*1),0)+IF(OR(COUNTA(B56,C56,E56,F56)&gt;0,OR(D56="X",D56="x")),IF(OR(D56="X",D56="x"),0,(LEN(SUBSTITUTE(SUBSTITUTE(SUBSTITUTE(E56," ",""),"0",""),"-",""))+LEN(SUBSTITUTE(SUBSTITUTE(SUBSTITUTE(F56," ",""),"0",""),"-",""))&gt;LEN(SUBSTITUTE(SUBSTITUTE(SUBSTITUTE(B56," ",""),"0",""),"-",""))+LEN(SUBSTITUTE(SUBSTITUTE(SUBSTITUTE(C56," ",""),"0",""),"-","")))*1),0)</f>
      </c>
      <c r="C60" s="14" t="str">
        <f>IF(OR(COUNTA(B55,C55,E55,F55)&gt;0,OR(D55="X",D55="x")),IF(OR(D55="X",D55="x"),0,(LEN(SUBSTITUTE(SUBSTITUTE(SUBSTITUTE(E55," ",""),"0",""),"-",""))+LEN(SUBSTITUTE(SUBSTITUTE(SUBSTITUTE(F55," ",""),"0",""),"-",""))&lt;LEN(SUBSTITUTE(SUBSTITUTE(SUBSTITUTE(B55," ",""),"0",""),"-",""))+LEN(SUBSTITUTE(SUBSTITUTE(SUBSTITUTE(C55," ",""),"0",""),"-","")))*1),0)+IF(OR(COUNTA(B56,C56,E56,F56)&gt;0,OR(D56="X",D56="x")),IF(OR(D56="X",D56="x"),0,(LEN(SUBSTITUTE(SUBSTITUTE(SUBSTITUTE(E56," ",""),"0",""),"-",""))+LEN(SUBSTITUTE(SUBSTITUTE(SUBSTITUTE(F56," ",""),"0",""),"-",""))&lt;LEN(SUBSTITUTE(SUBSTITUTE(SUBSTITUTE(B56," ",""),"0",""),"-",""))+LEN(SUBSTITUTE(SUBSTITUTE(SUBSTITUTE(C56," ",""),"0",""),"-","")))*1),0)</f>
      </c>
      <c r="D60" s="14" t="str">
        <f>IF(OR(COUNTA(B55,C55,E55,F55)&gt;0,OR(D55="X",D55="x")),IF(OR(D55="X",D55="x"),1,0),0)+IF(OR(COUNTA(B56,C56,E56,F56)&gt;0,OR(D56="X",D56="x")),IF(OR(D56="X",D56="x"),1,0),0)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I60" s="14" t="str">
        <f>data!$B$58</f>
      </c>
      <c r="J60" s="14" t="str">
        <f>IF(OR(COUNTA(J55,K55,M55,N55)&gt;0,OR(L55="X",L55="x")),IF(OR(L55="X",L55="x"),0,(LEN(SUBSTITUTE(SUBSTITUTE(SUBSTITUTE(M55," ",""),"0",""),"-",""))+LEN(SUBSTITUTE(SUBSTITUTE(SUBSTITUTE(N55," ",""),"0",""),"-",""))&gt;LEN(SUBSTITUTE(SUBSTITUTE(SUBSTITUTE(J55," ",""),"0",""),"-",""))+LEN(SUBSTITUTE(SUBSTITUTE(SUBSTITUTE(K55," ",""),"0",""),"-","")))*1),0)+IF(OR(COUNTA(J56,K56,M56,N56)&gt;0,OR(L56="X",L56="x")),IF(OR(L56="X",L56="x"),0,(LEN(SUBSTITUTE(SUBSTITUTE(SUBSTITUTE(M56," ",""),"0",""),"-",""))+LEN(SUBSTITUTE(SUBSTITUTE(SUBSTITUTE(N56," ",""),"0",""),"-",""))&gt;LEN(SUBSTITUTE(SUBSTITUTE(SUBSTITUTE(J56," ",""),"0",""),"-",""))+LEN(SUBSTITUTE(SUBSTITUTE(SUBSTITUTE(K56," ",""),"0",""),"-","")))*1),0)</f>
      </c>
      <c r="K60" s="14" t="str">
        <f>IF(OR(COUNTA(J55,K55,M55,N55)&gt;0,OR(L55="X",L55="x")),IF(OR(L55="X",L55="x"),0,(LEN(SUBSTITUTE(SUBSTITUTE(SUBSTITUTE(M55," ",""),"0",""),"-",""))+LEN(SUBSTITUTE(SUBSTITUTE(SUBSTITUTE(N55," ",""),"0",""),"-",""))&lt;LEN(SUBSTITUTE(SUBSTITUTE(SUBSTITUTE(J55," ",""),"0",""),"-",""))+LEN(SUBSTITUTE(SUBSTITUTE(SUBSTITUTE(K55," ",""),"0",""),"-","")))*1),0)+IF(OR(COUNTA(J56,K56,M56,N56)&gt;0,OR(L56="X",L56="x")),IF(OR(L56="X",L56="x"),0,(LEN(SUBSTITUTE(SUBSTITUTE(SUBSTITUTE(M56," ",""),"0",""),"-",""))+LEN(SUBSTITUTE(SUBSTITUTE(SUBSTITUTE(N56," ",""),"0",""),"-",""))&lt;LEN(SUBSTITUTE(SUBSTITUTE(SUBSTITUTE(J56," ",""),"0",""),"-",""))+LEN(SUBSTITUTE(SUBSTITUTE(SUBSTITUTE(K56," ",""),"0",""),"-","")))*1),0)</f>
      </c>
      <c r="L60" s="14" t="str">
        <f>IF(OR(COUNTA(J55,K55,M55,N55)&gt;0,OR(L55="X",L55="x")),IF(OR(L55="X",L55="x"),1,0),0)+IF(OR(COUNTA(J56,K56,M56,N56)&gt;0,OR(L56="X",L56="x")),IF(OR(L56="X",L56="x"),1,0),0)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row>
    <row r="61">
      <c r="A61" s="14" t="str">
        <f>data!$B$14</f>
      </c>
      <c r="B61" s="14" t="str">
        <f>IF(OR(COUNTA(B55,C55,E55,F55)&gt;0,OR(D55="X",D55="x")),IF(OR(D55="X",D55="x"),0,(LEN(SUBSTITUTE(SUBSTITUTE(SUBSTITUTE(B55," ",""),"0",""),"-",""))+LEN(SUBSTITUTE(SUBSTITUTE(SUBSTITUTE(C55," ",""),"0",""),"-",""))&gt;LEN(SUBSTITUTE(SUBSTITUTE(SUBSTITUTE(E55," ",""),"0",""),"-",""))+LEN(SUBSTITUTE(SUBSTITUTE(SUBSTITUTE(F55," ",""),"0",""),"-","")))*1),0)+IF(OR(COUNTA(B57,C57,E57,F57)&gt;0,OR(D57="X",D57="x")),IF(OR(D57="X",D57="x"),0,(LEN(SUBSTITUTE(SUBSTITUTE(SUBSTITUTE(E57," ",""),"0",""),"-",""))+LEN(SUBSTITUTE(SUBSTITUTE(SUBSTITUTE(F57," ",""),"0",""),"-",""))&gt;LEN(SUBSTITUTE(SUBSTITUTE(SUBSTITUTE(B57," ",""),"0",""),"-",""))+LEN(SUBSTITUTE(SUBSTITUTE(SUBSTITUTE(C57," ",""),"0",""),"-","")))*1),0)</f>
      </c>
      <c r="C61" s="14" t="str">
        <f>IF(OR(COUNTA(B55,C55,E55,F55)&gt;0,OR(D55="X",D55="x")),IF(OR(D55="X",D55="x"),0,(LEN(SUBSTITUTE(SUBSTITUTE(SUBSTITUTE(B55," ",""),"0",""),"-",""))+LEN(SUBSTITUTE(SUBSTITUTE(SUBSTITUTE(C55," ",""),"0",""),"-",""))&lt;LEN(SUBSTITUTE(SUBSTITUTE(SUBSTITUTE(E55," ",""),"0",""),"-",""))+LEN(SUBSTITUTE(SUBSTITUTE(SUBSTITUTE(F55," ",""),"0",""),"-","")))*1),0)+IF(OR(COUNTA(B57,C57,E57,F57)&gt;0,OR(D57="X",D57="x")),IF(OR(D57="X",D57="x"),0,(LEN(SUBSTITUTE(SUBSTITUTE(SUBSTITUTE(E57," ",""),"0",""),"-",""))+LEN(SUBSTITUTE(SUBSTITUTE(SUBSTITUTE(F57," ",""),"0",""),"-",""))&lt;LEN(SUBSTITUTE(SUBSTITUTE(SUBSTITUTE(B57," ",""),"0",""),"-",""))+LEN(SUBSTITUTE(SUBSTITUTE(SUBSTITUTE(C57," ",""),"0",""),"-","")))*1),0)</f>
      </c>
      <c r="D61" s="14" t="str">
        <f>IF(OR(COUNTA(B55,C55,E55,F55)&gt;0,OR(D55="X",D55="x")),IF(OR(D55="X",D55="x"),1,0),0)+IF(OR(COUNTA(B57,C57,E57,F57)&gt;0,OR(D57="X",D57="x")),IF(OR(D57="X",D57="x"),1,0),0)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I61" s="14" t="str">
        <f>data!$B$59</f>
      </c>
      <c r="J61" s="14" t="str">
        <f>IF(OR(COUNTA(J55,K55,M55,N55)&gt;0,OR(L55="X",L55="x")),IF(OR(L55="X",L55="x"),0,(LEN(SUBSTITUTE(SUBSTITUTE(SUBSTITUTE(J55," ",""),"0",""),"-",""))+LEN(SUBSTITUTE(SUBSTITUTE(SUBSTITUTE(K55," ",""),"0",""),"-",""))&gt;LEN(SUBSTITUTE(SUBSTITUTE(SUBSTITUTE(M55," ",""),"0",""),"-",""))+LEN(SUBSTITUTE(SUBSTITUTE(SUBSTITUTE(N55," ",""),"0",""),"-","")))*1),0)+IF(OR(COUNTA(J57,K57,M57,N57)&gt;0,OR(L57="X",L57="x")),IF(OR(L57="X",L57="x"),0,(LEN(SUBSTITUTE(SUBSTITUTE(SUBSTITUTE(M57," ",""),"0",""),"-",""))+LEN(SUBSTITUTE(SUBSTITUTE(SUBSTITUTE(N57," ",""),"0",""),"-",""))&gt;LEN(SUBSTITUTE(SUBSTITUTE(SUBSTITUTE(J57," ",""),"0",""),"-",""))+LEN(SUBSTITUTE(SUBSTITUTE(SUBSTITUTE(K57," ",""),"0",""),"-","")))*1),0)</f>
      </c>
      <c r="K61" s="14" t="str">
        <f>IF(OR(COUNTA(J55,K55,M55,N55)&gt;0,OR(L55="X",L55="x")),IF(OR(L55="X",L55="x"),0,(LEN(SUBSTITUTE(SUBSTITUTE(SUBSTITUTE(J55," ",""),"0",""),"-",""))+LEN(SUBSTITUTE(SUBSTITUTE(SUBSTITUTE(K55," ",""),"0",""),"-",""))&lt;LEN(SUBSTITUTE(SUBSTITUTE(SUBSTITUTE(M55," ",""),"0",""),"-",""))+LEN(SUBSTITUTE(SUBSTITUTE(SUBSTITUTE(N55," ",""),"0",""),"-","")))*1),0)+IF(OR(COUNTA(J57,K57,M57,N57)&gt;0,OR(L57="X",L57="x")),IF(OR(L57="X",L57="x"),0,(LEN(SUBSTITUTE(SUBSTITUTE(SUBSTITUTE(M57," ",""),"0",""),"-",""))+LEN(SUBSTITUTE(SUBSTITUTE(SUBSTITUTE(N57," ",""),"0",""),"-",""))&lt;LEN(SUBSTITUTE(SUBSTITUTE(SUBSTITUTE(J57," ",""),"0",""),"-",""))+LEN(SUBSTITUTE(SUBSTITUTE(SUBSTITUTE(K57," ",""),"0",""),"-","")))*1),0)</f>
      </c>
      <c r="L61" s="14" t="str">
        <f>IF(OR(COUNTA(J55,K55,M55,N55)&gt;0,OR(L55="X",L55="x")),IF(OR(L55="X",L55="x"),1,0),0)+IF(OR(COUNTA(J57,K57,M57,N57)&gt;0,OR(L57="X",L57="x")),IF(OR(L57="X",L57="x"),1,0),0)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row>
    <row r="62">
      <c r="A62" s="14" t="str">
        <f>data!$B$15</f>
      </c>
      <c r="B62" s="14" t="str">
        <f>IF(OR(COUNTA(B56,C56,E56,F56)&gt;0,OR(D56="X",D56="x")),IF(OR(D56="X",D56="x"),0,(LEN(SUBSTITUTE(SUBSTITUTE(SUBSTITUTE(B56," ",""),"0",""),"-",""))+LEN(SUBSTITUTE(SUBSTITUTE(SUBSTITUTE(C56," ",""),"0",""),"-",""))&gt;LEN(SUBSTITUTE(SUBSTITUTE(SUBSTITUTE(E56," ",""),"0",""),"-",""))+LEN(SUBSTITUTE(SUBSTITUTE(SUBSTITUTE(F56," ",""),"0",""),"-","")))*1),0)+IF(OR(COUNTA(B57,C57,E57,F57)&gt;0,OR(D57="X",D57="x")),IF(OR(D57="X",D57="x"),0,(LEN(SUBSTITUTE(SUBSTITUTE(SUBSTITUTE(B57," ",""),"0",""),"-",""))+LEN(SUBSTITUTE(SUBSTITUTE(SUBSTITUTE(C57," ",""),"0",""),"-",""))&gt;LEN(SUBSTITUTE(SUBSTITUTE(SUBSTITUTE(E57," ",""),"0",""),"-",""))+LEN(SUBSTITUTE(SUBSTITUTE(SUBSTITUTE(F57," ",""),"0",""),"-","")))*1),0)</f>
      </c>
      <c r="C62" s="14" t="str">
        <f>IF(OR(COUNTA(B56,C56,E56,F56)&gt;0,OR(D56="X",D56="x")),IF(OR(D56="X",D56="x"),0,(LEN(SUBSTITUTE(SUBSTITUTE(SUBSTITUTE(B56," ",""),"0",""),"-",""))+LEN(SUBSTITUTE(SUBSTITUTE(SUBSTITUTE(C56," ",""),"0",""),"-",""))&lt;LEN(SUBSTITUTE(SUBSTITUTE(SUBSTITUTE(E56," ",""),"0",""),"-",""))+LEN(SUBSTITUTE(SUBSTITUTE(SUBSTITUTE(F56," ",""),"0",""),"-","")))*1),0)+IF(OR(COUNTA(B57,C57,E57,F57)&gt;0,OR(D57="X",D57="x")),IF(OR(D57="X",D57="x"),0,(LEN(SUBSTITUTE(SUBSTITUTE(SUBSTITUTE(B57," ",""),"0",""),"-",""))+LEN(SUBSTITUTE(SUBSTITUTE(SUBSTITUTE(C57," ",""),"0",""),"-",""))&lt;LEN(SUBSTITUTE(SUBSTITUTE(SUBSTITUTE(E57," ",""),"0",""),"-",""))+LEN(SUBSTITUTE(SUBSTITUTE(SUBSTITUTE(F57," ",""),"0",""),"-","")))*1),0)</f>
      </c>
      <c r="D62" s="14" t="str">
        <f>IF(OR(COUNTA(B56,C56,E56,F56)&gt;0,OR(D56="X",D56="x")),IF(OR(D56="X",D56="x"),1,0),0)+IF(OR(COUNTA(B57,C57,E57,F57)&gt;0,OR(D57="X",D57="x")),IF(OR(D57="X",D57="x"),1,0),0)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I62" s="14" t="str">
        <f>data!$B$60</f>
      </c>
      <c r="J62" s="14" t="str">
        <f>IF(OR(COUNTA(J56,K56,M56,N56)&gt;0,OR(L56="X",L56="x")),IF(OR(L56="X",L56="x"),0,(LEN(SUBSTITUTE(SUBSTITUTE(SUBSTITUTE(J56," ",""),"0",""),"-",""))+LEN(SUBSTITUTE(SUBSTITUTE(SUBSTITUTE(K56," ",""),"0",""),"-",""))&gt;LEN(SUBSTITUTE(SUBSTITUTE(SUBSTITUTE(M56," ",""),"0",""),"-",""))+LEN(SUBSTITUTE(SUBSTITUTE(SUBSTITUTE(N56," ",""),"0",""),"-","")))*1),0)+IF(OR(COUNTA(J57,K57,M57,N57)&gt;0,OR(L57="X",L57="x")),IF(OR(L57="X",L57="x"),0,(LEN(SUBSTITUTE(SUBSTITUTE(SUBSTITUTE(J57," ",""),"0",""),"-",""))+LEN(SUBSTITUTE(SUBSTITUTE(SUBSTITUTE(K57," ",""),"0",""),"-",""))&gt;LEN(SUBSTITUTE(SUBSTITUTE(SUBSTITUTE(M57," ",""),"0",""),"-",""))+LEN(SUBSTITUTE(SUBSTITUTE(SUBSTITUTE(N57," ",""),"0",""),"-","")))*1),0)</f>
      </c>
      <c r="K62" s="14" t="str">
        <f>IF(OR(COUNTA(J56,K56,M56,N56)&gt;0,OR(L56="X",L56="x")),IF(OR(L56="X",L56="x"),0,(LEN(SUBSTITUTE(SUBSTITUTE(SUBSTITUTE(J56," ",""),"0",""),"-",""))+LEN(SUBSTITUTE(SUBSTITUTE(SUBSTITUTE(K56," ",""),"0",""),"-",""))&lt;LEN(SUBSTITUTE(SUBSTITUTE(SUBSTITUTE(M56," ",""),"0",""),"-",""))+LEN(SUBSTITUTE(SUBSTITUTE(SUBSTITUTE(N56," ",""),"0",""),"-","")))*1),0)+IF(OR(COUNTA(J57,K57,M57,N57)&gt;0,OR(L57="X",L57="x")),IF(OR(L57="X",L57="x"),0,(LEN(SUBSTITUTE(SUBSTITUTE(SUBSTITUTE(J57," ",""),"0",""),"-",""))+LEN(SUBSTITUTE(SUBSTITUTE(SUBSTITUTE(K57," ",""),"0",""),"-",""))&lt;LEN(SUBSTITUTE(SUBSTITUTE(SUBSTITUTE(M57," ",""),"0",""),"-",""))+LEN(SUBSTITUTE(SUBSTITUTE(SUBSTITUTE(N57," ",""),"0",""),"-","")))*1),0)</f>
      </c>
      <c r="L62" s="14" t="str">
        <f>IF(OR(COUNTA(J56,K56,M56,N56)&gt;0,OR(L56="X",L56="x")),IF(OR(L56="X",L56="x"),1,0),0)+IF(OR(COUNTA(J57,K57,M57,N57)&gt;0,OR(L57="X",L57="x")),IF(OR(L57="X",L57="x"),1,0),0)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row>
    <row r="64">
      <c r="F64" t="s">
        <v>247</v>
      </c>
      <c r="G64" s="19"/>
      <c r="N64" t="s">
        <v>247</v>
      </c>
      <c r="O64" s="19"/>
    </row>
    <row r="65">
      <c r="F65" t="s">
        <v>248</v>
      </c>
      <c r="G65" s="19"/>
      <c r="N65" t="s">
        <v>248</v>
      </c>
      <c r="O65" s="19"/>
    </row>
    <row r="66">
      <c r="F66" t="s">
        <v>249</v>
      </c>
      <c r="G66" s="19"/>
      <c r="N66" t="s">
        <v>249</v>
      </c>
      <c r="O66" s="19"/>
    </row>
    <row r="69">
      <c r="A69" s="13" t="str">
        <f>data!$A$18</f>
      </c>
      <c r="B69" s="13"/>
      <c r="C69" s="13"/>
      <c r="D69" s="13"/>
      <c r="E69" s="13"/>
      <c r="F69" s="13"/>
      <c r="G69" s="13"/>
      <c r="I69" s="13" t="str">
        <f>data!$A$63</f>
      </c>
      <c r="J69" s="13"/>
      <c r="K69" s="13"/>
      <c r="L69" s="13"/>
      <c r="M69" s="13"/>
      <c r="N69" s="13"/>
      <c r="O69" s="13"/>
    </row>
    <row r="70">
      <c r="A70" s="17" t="s">
        <v>238</v>
      </c>
      <c r="D70" s="14" t="s">
        <v>239</v>
      </c>
      <c r="G70" s="16" t="s">
        <v>240</v>
      </c>
      <c r="I70" s="17" t="s">
        <v>238</v>
      </c>
      <c r="L70" s="14" t="s">
        <v>239</v>
      </c>
      <c r="O70" s="16" t="s">
        <v>240</v>
      </c>
    </row>
    <row r="71">
      <c r="A71" s="14" t="str">
        <f>data!$B$17</f>
      </c>
      <c r="B71" s="18"/>
      <c r="C71" s="18"/>
      <c r="D71" s="18"/>
      <c r="E71" s="18"/>
      <c r="F71" s="18"/>
      <c r="G71" s="14" t="str">
        <f>data!$B$16</f>
      </c>
      <c r="I71" s="14" t="str">
        <f>data!$B$62</f>
      </c>
      <c r="J71" s="18"/>
      <c r="K71" s="18"/>
      <c r="L71" s="18"/>
      <c r="M71" s="18"/>
      <c r="N71" s="18"/>
      <c r="O71" s="14" t="str">
        <f>data!$B$61</f>
      </c>
    </row>
    <row r="72">
      <c r="A72" s="14" t="str">
        <f>data!$B$18</f>
      </c>
      <c r="B72" s="18"/>
      <c r="C72" s="18"/>
      <c r="D72" s="18"/>
      <c r="E72" s="18"/>
      <c r="F72" s="18"/>
      <c r="G72" s="14" t="str">
        <f>data!$B$16</f>
      </c>
      <c r="I72" s="14" t="str">
        <f>data!$B$63</f>
      </c>
      <c r="J72" s="18"/>
      <c r="K72" s="18"/>
      <c r="L72" s="18"/>
      <c r="M72" s="18"/>
      <c r="N72" s="18"/>
      <c r="O72" s="14" t="str">
        <f>data!$B$61</f>
      </c>
    </row>
    <row r="73">
      <c r="A73" s="14" t="str">
        <f>data!$B$18</f>
      </c>
      <c r="B73" s="18"/>
      <c r="C73" s="18"/>
      <c r="D73" s="18"/>
      <c r="E73" s="18"/>
      <c r="F73" s="18"/>
      <c r="G73" s="14" t="str">
        <f>data!$B$17</f>
      </c>
      <c r="I73" s="14" t="str">
        <f>data!$B$63</f>
      </c>
      <c r="J73" s="18"/>
      <c r="K73" s="18"/>
      <c r="L73" s="18"/>
      <c r="M73" s="18"/>
      <c r="N73" s="18"/>
      <c r="O73" s="14" t="str">
        <f>data!$B$62</f>
      </c>
    </row>
    <row r="75">
      <c r="A75" s="13" t="s">
        <v>241</v>
      </c>
      <c r="B75" s="13" t="s">
        <v>242</v>
      </c>
      <c r="C75" s="13" t="s">
        <v>243</v>
      </c>
      <c r="D75" s="13" t="s">
        <v>244</v>
      </c>
      <c r="E75" s="13" t="s">
        <v>245</v>
      </c>
      <c r="F75" s="13" t="s">
        <v>246</v>
      </c>
      <c r="I75" s="13" t="s">
        <v>241</v>
      </c>
      <c r="J75" s="13" t="s">
        <v>242</v>
      </c>
      <c r="K75" s="13" t="s">
        <v>243</v>
      </c>
      <c r="L75" s="13" t="s">
        <v>244</v>
      </c>
      <c r="M75" s="13" t="s">
        <v>245</v>
      </c>
      <c r="N75" s="13" t="s">
        <v>246</v>
      </c>
    </row>
    <row r="76">
      <c r="A76" s="14" t="str">
        <f>data!$B$16</f>
      </c>
      <c r="B76" s="14" t="str">
        <f>IF(OR(COUNTA(B71,C71,E71,F71)&gt;0,OR(D71="X",D71="x")),IF(OR(D71="X",D71="x"),0,(LEN(SUBSTITUTE(SUBSTITUTE(SUBSTITUTE(E71," ",""),"0",""),"-",""))+LEN(SUBSTITUTE(SUBSTITUTE(SUBSTITUTE(F71," ",""),"0",""),"-",""))&gt;LEN(SUBSTITUTE(SUBSTITUTE(SUBSTITUTE(B71," ",""),"0",""),"-",""))+LEN(SUBSTITUTE(SUBSTITUTE(SUBSTITUTE(C71," ",""),"0",""),"-","")))*1),0)+IF(OR(COUNTA(B72,C72,E72,F72)&gt;0,OR(D72="X",D72="x")),IF(OR(D72="X",D72="x"),0,(LEN(SUBSTITUTE(SUBSTITUTE(SUBSTITUTE(E72," ",""),"0",""),"-",""))+LEN(SUBSTITUTE(SUBSTITUTE(SUBSTITUTE(F72," ",""),"0",""),"-",""))&gt;LEN(SUBSTITUTE(SUBSTITUTE(SUBSTITUTE(B72," ",""),"0",""),"-",""))+LEN(SUBSTITUTE(SUBSTITUTE(SUBSTITUTE(C72," ",""),"0",""),"-","")))*1),0)</f>
      </c>
      <c r="C76" s="14" t="str">
        <f>IF(OR(COUNTA(B71,C71,E71,F71)&gt;0,OR(D71="X",D71="x")),IF(OR(D71="X",D71="x"),0,(LEN(SUBSTITUTE(SUBSTITUTE(SUBSTITUTE(E71," ",""),"0",""),"-",""))+LEN(SUBSTITUTE(SUBSTITUTE(SUBSTITUTE(F71," ",""),"0",""),"-",""))&lt;LEN(SUBSTITUTE(SUBSTITUTE(SUBSTITUTE(B71," ",""),"0",""),"-",""))+LEN(SUBSTITUTE(SUBSTITUTE(SUBSTITUTE(C71," ",""),"0",""),"-","")))*1),0)+IF(OR(COUNTA(B72,C72,E72,F72)&gt;0,OR(D72="X",D72="x")),IF(OR(D72="X",D72="x"),0,(LEN(SUBSTITUTE(SUBSTITUTE(SUBSTITUTE(E72," ",""),"0",""),"-",""))+LEN(SUBSTITUTE(SUBSTITUTE(SUBSTITUTE(F72," ",""),"0",""),"-",""))&lt;LEN(SUBSTITUTE(SUBSTITUTE(SUBSTITUTE(B72," ",""),"0",""),"-",""))+LEN(SUBSTITUTE(SUBSTITUTE(SUBSTITUTE(C72," ",""),"0",""),"-","")))*1),0)</f>
      </c>
      <c r="D76" s="14" t="str">
        <f>IF(OR(COUNTA(B71,C71,E71,F71)&gt;0,OR(D71="X",D71="x")),IF(OR(D71="X",D71="x"),1,0),0)+IF(OR(COUNTA(B72,C72,E72,F72)&gt;0,OR(D72="X",D72="x")),IF(OR(D72="X",D72="x"),1,0),0)</f>
      </c>
      <c r="E76" s="14" t="str">
        <f>LEN(SUBSTITUTE(SUBSTITUTE(SUBSTITUTE(E71," ",""),"0",""),"-",""))+LEN(SUBSTITUTE(SUBSTITUTE(SUBSTITUTE(F71," ",""),"0",""),"-",""))+LEN(SUBSTITUTE(SUBSTITUTE(SUBSTITUTE(E72," ",""),"0",""),"-",""))+LEN(SUBSTITUTE(SUBSTITUTE(SUBSTITUTE(F72," ",""),"0",""),"-",""))</f>
      </c>
      <c r="F76" s="14" t="str">
        <f>LEN(SUBSTITUTE(SUBSTITUTE(SUBSTITUTE(B71," ",""),"0",""),"-",""))+LEN(SUBSTITUTE(SUBSTITUTE(SUBSTITUTE(C71," ",""),"0",""),"-",""))+LEN(SUBSTITUTE(SUBSTITUTE(SUBSTITUTE(B72," ",""),"0",""),"-",""))+LEN(SUBSTITUTE(SUBSTITUTE(SUBSTITUTE(C72," ",""),"0",""),"-",""))</f>
      </c>
      <c r="I76" s="14" t="str">
        <f>data!$B$61</f>
      </c>
      <c r="J76" s="14" t="str">
        <f>IF(OR(COUNTA(J71,K71,M71,N71)&gt;0,OR(L71="X",L71="x")),IF(OR(L71="X",L71="x"),0,(LEN(SUBSTITUTE(SUBSTITUTE(SUBSTITUTE(M71," ",""),"0",""),"-",""))+LEN(SUBSTITUTE(SUBSTITUTE(SUBSTITUTE(N71," ",""),"0",""),"-",""))&gt;LEN(SUBSTITUTE(SUBSTITUTE(SUBSTITUTE(J71," ",""),"0",""),"-",""))+LEN(SUBSTITUTE(SUBSTITUTE(SUBSTITUTE(K71," ",""),"0",""),"-","")))*1),0)+IF(OR(COUNTA(J72,K72,M72,N72)&gt;0,OR(L72="X",L72="x")),IF(OR(L72="X",L72="x"),0,(LEN(SUBSTITUTE(SUBSTITUTE(SUBSTITUTE(M72," ",""),"0",""),"-",""))+LEN(SUBSTITUTE(SUBSTITUTE(SUBSTITUTE(N72," ",""),"0",""),"-",""))&gt;LEN(SUBSTITUTE(SUBSTITUTE(SUBSTITUTE(J72," ",""),"0",""),"-",""))+LEN(SUBSTITUTE(SUBSTITUTE(SUBSTITUTE(K72," ",""),"0",""),"-","")))*1),0)</f>
      </c>
      <c r="K76" s="14" t="str">
        <f>IF(OR(COUNTA(J71,K71,M71,N71)&gt;0,OR(L71="X",L71="x")),IF(OR(L71="X",L71="x"),0,(LEN(SUBSTITUTE(SUBSTITUTE(SUBSTITUTE(M71," ",""),"0",""),"-",""))+LEN(SUBSTITUTE(SUBSTITUTE(SUBSTITUTE(N71," ",""),"0",""),"-",""))&lt;LEN(SUBSTITUTE(SUBSTITUTE(SUBSTITUTE(J71," ",""),"0",""),"-",""))+LEN(SUBSTITUTE(SUBSTITUTE(SUBSTITUTE(K71," ",""),"0",""),"-","")))*1),0)+IF(OR(COUNTA(J72,K72,M72,N72)&gt;0,OR(L72="X",L72="x")),IF(OR(L72="X",L72="x"),0,(LEN(SUBSTITUTE(SUBSTITUTE(SUBSTITUTE(M72," ",""),"0",""),"-",""))+LEN(SUBSTITUTE(SUBSTITUTE(SUBSTITUTE(N72," ",""),"0",""),"-",""))&lt;LEN(SUBSTITUTE(SUBSTITUTE(SUBSTITUTE(J72," ",""),"0",""),"-",""))+LEN(SUBSTITUTE(SUBSTITUTE(SUBSTITUTE(K72," ",""),"0",""),"-","")))*1),0)</f>
      </c>
      <c r="L76" s="14" t="str">
        <f>IF(OR(COUNTA(J71,K71,M71,N71)&gt;0,OR(L71="X",L71="x")),IF(OR(L71="X",L71="x"),1,0),0)+IF(OR(COUNTA(J72,K72,M72,N72)&gt;0,OR(L72="X",L72="x")),IF(OR(L72="X",L72="x"),1,0),0)</f>
      </c>
      <c r="M76" s="14" t="str">
        <f>LEN(SUBSTITUTE(SUBSTITUTE(SUBSTITUTE(M71," ",""),"0",""),"-",""))+LEN(SUBSTITUTE(SUBSTITUTE(SUBSTITUTE(N71," ",""),"0",""),"-",""))+LEN(SUBSTITUTE(SUBSTITUTE(SUBSTITUTE(M72," ",""),"0",""),"-",""))+LEN(SUBSTITUTE(SUBSTITUTE(SUBSTITUTE(N72," ",""),"0",""),"-",""))</f>
      </c>
      <c r="N76" s="14" t="str">
        <f>LEN(SUBSTITUTE(SUBSTITUTE(SUBSTITUTE(J71," ",""),"0",""),"-",""))+LEN(SUBSTITUTE(SUBSTITUTE(SUBSTITUTE(K71," ",""),"0",""),"-",""))+LEN(SUBSTITUTE(SUBSTITUTE(SUBSTITUTE(J72," ",""),"0",""),"-",""))+LEN(SUBSTITUTE(SUBSTITUTE(SUBSTITUTE(K72," ",""),"0",""),"-",""))</f>
      </c>
    </row>
    <row r="77">
      <c r="A77" s="14" t="str">
        <f>data!$B$17</f>
      </c>
      <c r="B77" s="14" t="str">
        <f>IF(OR(COUNTA(B71,C71,E71,F71)&gt;0,OR(D71="X",D71="x")),IF(OR(D71="X",D71="x"),0,(LEN(SUBSTITUTE(SUBSTITUTE(SUBSTITUTE(B71," ",""),"0",""),"-",""))+LEN(SUBSTITUTE(SUBSTITUTE(SUBSTITUTE(C71," ",""),"0",""),"-",""))&gt;LEN(SUBSTITUTE(SUBSTITUTE(SUBSTITUTE(E71," ",""),"0",""),"-",""))+LEN(SUBSTITUTE(SUBSTITUTE(SUBSTITUTE(F71," ",""),"0",""),"-","")))*1),0)+IF(OR(COUNTA(B73,C73,E73,F73)&gt;0,OR(D73="X",D73="x")),IF(OR(D73="X",D73="x"),0,(LEN(SUBSTITUTE(SUBSTITUTE(SUBSTITUTE(E73," ",""),"0",""),"-",""))+LEN(SUBSTITUTE(SUBSTITUTE(SUBSTITUTE(F73," ",""),"0",""),"-",""))&gt;LEN(SUBSTITUTE(SUBSTITUTE(SUBSTITUTE(B73," ",""),"0",""),"-",""))+LEN(SUBSTITUTE(SUBSTITUTE(SUBSTITUTE(C73," ",""),"0",""),"-","")))*1),0)</f>
      </c>
      <c r="C77" s="14" t="str">
        <f>IF(OR(COUNTA(B71,C71,E71,F71)&gt;0,OR(D71="X",D71="x")),IF(OR(D71="X",D71="x"),0,(LEN(SUBSTITUTE(SUBSTITUTE(SUBSTITUTE(B71," ",""),"0",""),"-",""))+LEN(SUBSTITUTE(SUBSTITUTE(SUBSTITUTE(C71," ",""),"0",""),"-",""))&lt;LEN(SUBSTITUTE(SUBSTITUTE(SUBSTITUTE(E71," ",""),"0",""),"-",""))+LEN(SUBSTITUTE(SUBSTITUTE(SUBSTITUTE(F71," ",""),"0",""),"-","")))*1),0)+IF(OR(COUNTA(B73,C73,E73,F73)&gt;0,OR(D73="X",D73="x")),IF(OR(D73="X",D73="x"),0,(LEN(SUBSTITUTE(SUBSTITUTE(SUBSTITUTE(E73," ",""),"0",""),"-",""))+LEN(SUBSTITUTE(SUBSTITUTE(SUBSTITUTE(F73," ",""),"0",""),"-",""))&lt;LEN(SUBSTITUTE(SUBSTITUTE(SUBSTITUTE(B73," ",""),"0",""),"-",""))+LEN(SUBSTITUTE(SUBSTITUTE(SUBSTITUTE(C73," ",""),"0",""),"-","")))*1),0)</f>
      </c>
      <c r="D77" s="14" t="str">
        <f>IF(OR(COUNTA(B71,C71,E71,F71)&gt;0,OR(D71="X",D71="x")),IF(OR(D71="X",D71="x"),1,0),0)+IF(OR(COUNTA(B73,C73,E73,F73)&gt;0,OR(D73="X",D73="x")),IF(OR(D73="X",D73="x"),1,0),0)</f>
      </c>
      <c r="E77" s="14" t="str">
        <f>LEN(SUBSTITUTE(SUBSTITUTE(SUBSTITUTE(B71," ",""),"0",""),"-",""))+LEN(SUBSTITUTE(SUBSTITUTE(SUBSTITUTE(C71," ",""),"0",""),"-",""))+LEN(SUBSTITUTE(SUBSTITUTE(SUBSTITUTE(E73," ",""),"0",""),"-",""))+LEN(SUBSTITUTE(SUBSTITUTE(SUBSTITUTE(F73," ",""),"0",""),"-",""))</f>
      </c>
      <c r="F77" s="14" t="str">
        <f>LEN(SUBSTITUTE(SUBSTITUTE(SUBSTITUTE(E71," ",""),"0",""),"-",""))+LEN(SUBSTITUTE(SUBSTITUTE(SUBSTITUTE(F71," ",""),"0",""),"-",""))+LEN(SUBSTITUTE(SUBSTITUTE(SUBSTITUTE(B73," ",""),"0",""),"-",""))+LEN(SUBSTITUTE(SUBSTITUTE(SUBSTITUTE(C73," ",""),"0",""),"-",""))</f>
      </c>
      <c r="I77" s="14" t="str">
        <f>data!$B$62</f>
      </c>
      <c r="J77" s="14" t="str">
        <f>IF(OR(COUNTA(J71,K71,M71,N71)&gt;0,OR(L71="X",L71="x")),IF(OR(L71="X",L71="x"),0,(LEN(SUBSTITUTE(SUBSTITUTE(SUBSTITUTE(J71," ",""),"0",""),"-",""))+LEN(SUBSTITUTE(SUBSTITUTE(SUBSTITUTE(K71," ",""),"0",""),"-",""))&gt;LEN(SUBSTITUTE(SUBSTITUTE(SUBSTITUTE(M71," ",""),"0",""),"-",""))+LEN(SUBSTITUTE(SUBSTITUTE(SUBSTITUTE(N71," ",""),"0",""),"-","")))*1),0)+IF(OR(COUNTA(J73,K73,M73,N73)&gt;0,OR(L73="X",L73="x")),IF(OR(L73="X",L73="x"),0,(LEN(SUBSTITUTE(SUBSTITUTE(SUBSTITUTE(M73," ",""),"0",""),"-",""))+LEN(SUBSTITUTE(SUBSTITUTE(SUBSTITUTE(N73," ",""),"0",""),"-",""))&gt;LEN(SUBSTITUTE(SUBSTITUTE(SUBSTITUTE(J73," ",""),"0",""),"-",""))+LEN(SUBSTITUTE(SUBSTITUTE(SUBSTITUTE(K73," ",""),"0",""),"-","")))*1),0)</f>
      </c>
      <c r="K77" s="14" t="str">
        <f>IF(OR(COUNTA(J71,K71,M71,N71)&gt;0,OR(L71="X",L71="x")),IF(OR(L71="X",L71="x"),0,(LEN(SUBSTITUTE(SUBSTITUTE(SUBSTITUTE(J71," ",""),"0",""),"-",""))+LEN(SUBSTITUTE(SUBSTITUTE(SUBSTITUTE(K71," ",""),"0",""),"-",""))&lt;LEN(SUBSTITUTE(SUBSTITUTE(SUBSTITUTE(M71," ",""),"0",""),"-",""))+LEN(SUBSTITUTE(SUBSTITUTE(SUBSTITUTE(N71," ",""),"0",""),"-","")))*1),0)+IF(OR(COUNTA(J73,K73,M73,N73)&gt;0,OR(L73="X",L73="x")),IF(OR(L73="X",L73="x"),0,(LEN(SUBSTITUTE(SUBSTITUTE(SUBSTITUTE(M73," ",""),"0",""),"-",""))+LEN(SUBSTITUTE(SUBSTITUTE(SUBSTITUTE(N73," ",""),"0",""),"-",""))&lt;LEN(SUBSTITUTE(SUBSTITUTE(SUBSTITUTE(J73," ",""),"0",""),"-",""))+LEN(SUBSTITUTE(SUBSTITUTE(SUBSTITUTE(K73," ",""),"0",""),"-","")))*1),0)</f>
      </c>
      <c r="L77" s="14" t="str">
        <f>IF(OR(COUNTA(J71,K71,M71,N71)&gt;0,OR(L71="X",L71="x")),IF(OR(L71="X",L71="x"),1,0),0)+IF(OR(COUNTA(J73,K73,M73,N73)&gt;0,OR(L73="X",L73="x")),IF(OR(L73="X",L73="x"),1,0),0)</f>
      </c>
      <c r="M77" s="14" t="str">
        <f>LEN(SUBSTITUTE(SUBSTITUTE(SUBSTITUTE(J71," ",""),"0",""),"-",""))+LEN(SUBSTITUTE(SUBSTITUTE(SUBSTITUTE(K71," ",""),"0",""),"-",""))+LEN(SUBSTITUTE(SUBSTITUTE(SUBSTITUTE(M73," ",""),"0",""),"-",""))+LEN(SUBSTITUTE(SUBSTITUTE(SUBSTITUTE(N73," ",""),"0",""),"-",""))</f>
      </c>
      <c r="N77" s="14" t="str">
        <f>LEN(SUBSTITUTE(SUBSTITUTE(SUBSTITUTE(M71," ",""),"0",""),"-",""))+LEN(SUBSTITUTE(SUBSTITUTE(SUBSTITUTE(N71," ",""),"0",""),"-",""))+LEN(SUBSTITUTE(SUBSTITUTE(SUBSTITUTE(J73," ",""),"0",""),"-",""))+LEN(SUBSTITUTE(SUBSTITUTE(SUBSTITUTE(K73," ",""),"0",""),"-",""))</f>
      </c>
    </row>
    <row r="78">
      <c r="A78" s="14" t="str">
        <f>data!$B$18</f>
      </c>
      <c r="B78" s="14" t="str">
        <f>IF(OR(COUNTA(B72,C72,E72,F72)&gt;0,OR(D72="X",D72="x")),IF(OR(D72="X",D72="x"),0,(LEN(SUBSTITUTE(SUBSTITUTE(SUBSTITUTE(B72," ",""),"0",""),"-",""))+LEN(SUBSTITUTE(SUBSTITUTE(SUBSTITUTE(C72," ",""),"0",""),"-",""))&gt;LEN(SUBSTITUTE(SUBSTITUTE(SUBSTITUTE(E72," ",""),"0",""),"-",""))+LEN(SUBSTITUTE(SUBSTITUTE(SUBSTITUTE(F72," ",""),"0",""),"-","")))*1),0)+IF(OR(COUNTA(B73,C73,E73,F73)&gt;0,OR(D73="X",D73="x")),IF(OR(D73="X",D73="x"),0,(LEN(SUBSTITUTE(SUBSTITUTE(SUBSTITUTE(B73," ",""),"0",""),"-",""))+LEN(SUBSTITUTE(SUBSTITUTE(SUBSTITUTE(C73," ",""),"0",""),"-",""))&gt;LEN(SUBSTITUTE(SUBSTITUTE(SUBSTITUTE(E73," ",""),"0",""),"-",""))+LEN(SUBSTITUTE(SUBSTITUTE(SUBSTITUTE(F73," ",""),"0",""),"-","")))*1),0)</f>
      </c>
      <c r="C78" s="14" t="str">
        <f>IF(OR(COUNTA(B72,C72,E72,F72)&gt;0,OR(D72="X",D72="x")),IF(OR(D72="X",D72="x"),0,(LEN(SUBSTITUTE(SUBSTITUTE(SUBSTITUTE(B72," ",""),"0",""),"-",""))+LEN(SUBSTITUTE(SUBSTITUTE(SUBSTITUTE(C72," ",""),"0",""),"-",""))&lt;LEN(SUBSTITUTE(SUBSTITUTE(SUBSTITUTE(E72," ",""),"0",""),"-",""))+LEN(SUBSTITUTE(SUBSTITUTE(SUBSTITUTE(F72," ",""),"0",""),"-","")))*1),0)+IF(OR(COUNTA(B73,C73,E73,F73)&gt;0,OR(D73="X",D73="x")),IF(OR(D73="X",D73="x"),0,(LEN(SUBSTITUTE(SUBSTITUTE(SUBSTITUTE(B73," ",""),"0",""),"-",""))+LEN(SUBSTITUTE(SUBSTITUTE(SUBSTITUTE(C73," ",""),"0",""),"-",""))&lt;LEN(SUBSTITUTE(SUBSTITUTE(SUBSTITUTE(E73," ",""),"0",""),"-",""))+LEN(SUBSTITUTE(SUBSTITUTE(SUBSTITUTE(F73," ",""),"0",""),"-","")))*1),0)</f>
      </c>
      <c r="D78" s="14" t="str">
        <f>IF(OR(COUNTA(B72,C72,E72,F72)&gt;0,OR(D72="X",D72="x")),IF(OR(D72="X",D72="x"),1,0),0)+IF(OR(COUNTA(B73,C73,E73,F73)&gt;0,OR(D73="X",D73="x")),IF(OR(D73="X",D73="x"),1,0),0)</f>
      </c>
      <c r="E78" s="14" t="str">
        <f>LEN(SUBSTITUTE(SUBSTITUTE(SUBSTITUTE(B72," ",""),"0",""),"-",""))+LEN(SUBSTITUTE(SUBSTITUTE(SUBSTITUTE(C72," ",""),"0",""),"-",""))+LEN(SUBSTITUTE(SUBSTITUTE(SUBSTITUTE(B73," ",""),"0",""),"-",""))+LEN(SUBSTITUTE(SUBSTITUTE(SUBSTITUTE(C73," ",""),"0",""),"-",""))</f>
      </c>
      <c r="F78" s="14" t="str">
        <f>LEN(SUBSTITUTE(SUBSTITUTE(SUBSTITUTE(E72," ",""),"0",""),"-",""))+LEN(SUBSTITUTE(SUBSTITUTE(SUBSTITUTE(F72," ",""),"0",""),"-",""))+LEN(SUBSTITUTE(SUBSTITUTE(SUBSTITUTE(E73," ",""),"0",""),"-",""))+LEN(SUBSTITUTE(SUBSTITUTE(SUBSTITUTE(F73," ",""),"0",""),"-",""))</f>
      </c>
      <c r="I78" s="14" t="str">
        <f>data!$B$63</f>
      </c>
      <c r="J78" s="14" t="str">
        <f>IF(OR(COUNTA(J72,K72,M72,N72)&gt;0,OR(L72="X",L72="x")),IF(OR(L72="X",L72="x"),0,(LEN(SUBSTITUTE(SUBSTITUTE(SUBSTITUTE(J72," ",""),"0",""),"-",""))+LEN(SUBSTITUTE(SUBSTITUTE(SUBSTITUTE(K72," ",""),"0",""),"-",""))&gt;LEN(SUBSTITUTE(SUBSTITUTE(SUBSTITUTE(M72," ",""),"0",""),"-",""))+LEN(SUBSTITUTE(SUBSTITUTE(SUBSTITUTE(N72," ",""),"0",""),"-","")))*1),0)+IF(OR(COUNTA(J73,K73,M73,N73)&gt;0,OR(L73="X",L73="x")),IF(OR(L73="X",L73="x"),0,(LEN(SUBSTITUTE(SUBSTITUTE(SUBSTITUTE(J73," ",""),"0",""),"-",""))+LEN(SUBSTITUTE(SUBSTITUTE(SUBSTITUTE(K73," ",""),"0",""),"-",""))&gt;LEN(SUBSTITUTE(SUBSTITUTE(SUBSTITUTE(M73," ",""),"0",""),"-",""))+LEN(SUBSTITUTE(SUBSTITUTE(SUBSTITUTE(N73," ",""),"0",""),"-","")))*1),0)</f>
      </c>
      <c r="K78" s="14" t="str">
        <f>IF(OR(COUNTA(J72,K72,M72,N72)&gt;0,OR(L72="X",L72="x")),IF(OR(L72="X",L72="x"),0,(LEN(SUBSTITUTE(SUBSTITUTE(SUBSTITUTE(J72," ",""),"0",""),"-",""))+LEN(SUBSTITUTE(SUBSTITUTE(SUBSTITUTE(K72," ",""),"0",""),"-",""))&lt;LEN(SUBSTITUTE(SUBSTITUTE(SUBSTITUTE(M72," ",""),"0",""),"-",""))+LEN(SUBSTITUTE(SUBSTITUTE(SUBSTITUTE(N72," ",""),"0",""),"-","")))*1),0)+IF(OR(COUNTA(J73,K73,M73,N73)&gt;0,OR(L73="X",L73="x")),IF(OR(L73="X",L73="x"),0,(LEN(SUBSTITUTE(SUBSTITUTE(SUBSTITUTE(J73," ",""),"0",""),"-",""))+LEN(SUBSTITUTE(SUBSTITUTE(SUBSTITUTE(K73," ",""),"0",""),"-",""))&lt;LEN(SUBSTITUTE(SUBSTITUTE(SUBSTITUTE(M73," ",""),"0",""),"-",""))+LEN(SUBSTITUTE(SUBSTITUTE(SUBSTITUTE(N73," ",""),"0",""),"-","")))*1),0)</f>
      </c>
      <c r="L78" s="14" t="str">
        <f>IF(OR(COUNTA(J72,K72,M72,N72)&gt;0,OR(L72="X",L72="x")),IF(OR(L72="X",L72="x"),1,0),0)+IF(OR(COUNTA(J73,K73,M73,N73)&gt;0,OR(L73="X",L73="x")),IF(OR(L73="X",L73="x"),1,0),0)</f>
      </c>
      <c r="M78" s="14" t="str">
        <f>LEN(SUBSTITUTE(SUBSTITUTE(SUBSTITUTE(J72," ",""),"0",""),"-",""))+LEN(SUBSTITUTE(SUBSTITUTE(SUBSTITUTE(K72," ",""),"0",""),"-",""))+LEN(SUBSTITUTE(SUBSTITUTE(SUBSTITUTE(J73," ",""),"0",""),"-",""))+LEN(SUBSTITUTE(SUBSTITUTE(SUBSTITUTE(K73," ",""),"0",""),"-",""))</f>
      </c>
      <c r="N78" s="14" t="str">
        <f>LEN(SUBSTITUTE(SUBSTITUTE(SUBSTITUTE(M72," ",""),"0",""),"-",""))+LEN(SUBSTITUTE(SUBSTITUTE(SUBSTITUTE(N72," ",""),"0",""),"-",""))+LEN(SUBSTITUTE(SUBSTITUTE(SUBSTITUTE(M73," ",""),"0",""),"-",""))+LEN(SUBSTITUTE(SUBSTITUTE(SUBSTITUTE(N73," ",""),"0",""),"-",""))</f>
      </c>
    </row>
    <row r="80">
      <c r="F80" t="s">
        <v>247</v>
      </c>
      <c r="G80" s="19"/>
      <c r="N80" t="s">
        <v>247</v>
      </c>
      <c r="O80" s="19"/>
    </row>
    <row r="81">
      <c r="F81" t="s">
        <v>248</v>
      </c>
      <c r="G81" s="19"/>
      <c r="N81" t="s">
        <v>248</v>
      </c>
      <c r="O81" s="19"/>
    </row>
    <row r="82">
      <c r="F82" t="s">
        <v>249</v>
      </c>
      <c r="G82" s="19"/>
      <c r="N82" t="s">
        <v>249</v>
      </c>
      <c r="O82" s="19"/>
    </row>
    <row r="85">
      <c r="A85" s="13" t="str">
        <f>data!$A$21</f>
      </c>
      <c r="B85" s="13"/>
      <c r="C85" s="13"/>
      <c r="D85" s="13"/>
      <c r="E85" s="13"/>
      <c r="F85" s="13"/>
      <c r="G85" s="13"/>
      <c r="I85" s="13" t="str">
        <f>data!$A$66</f>
      </c>
      <c r="J85" s="13"/>
      <c r="K85" s="13"/>
      <c r="L85" s="13"/>
      <c r="M85" s="13"/>
      <c r="N85" s="13"/>
      <c r="O85" s="13"/>
    </row>
    <row r="86">
      <c r="A86" s="17" t="s">
        <v>238</v>
      </c>
      <c r="D86" s="14" t="s">
        <v>239</v>
      </c>
      <c r="G86" s="16" t="s">
        <v>240</v>
      </c>
      <c r="I86" s="17" t="s">
        <v>238</v>
      </c>
      <c r="L86" s="14" t="s">
        <v>239</v>
      </c>
      <c r="O86" s="16" t="s">
        <v>240</v>
      </c>
    </row>
    <row r="87">
      <c r="A87" s="14" t="str">
        <f>data!$B$20</f>
      </c>
      <c r="B87" s="18"/>
      <c r="C87" s="18"/>
      <c r="D87" s="18"/>
      <c r="E87" s="18"/>
      <c r="F87" s="18"/>
      <c r="G87" s="14" t="str">
        <f>data!$B$19</f>
      </c>
      <c r="I87" s="14" t="str">
        <f>data!$B$65</f>
      </c>
      <c r="J87" s="18"/>
      <c r="K87" s="18"/>
      <c r="L87" s="18"/>
      <c r="M87" s="18"/>
      <c r="N87" s="18"/>
      <c r="O87" s="14" t="str">
        <f>data!$B$64</f>
      </c>
    </row>
    <row r="88">
      <c r="A88" s="14" t="str">
        <f>data!$B$21</f>
      </c>
      <c r="B88" s="18"/>
      <c r="C88" s="18"/>
      <c r="D88" s="18"/>
      <c r="E88" s="18"/>
      <c r="F88" s="18"/>
      <c r="G88" s="14" t="str">
        <f>data!$B$19</f>
      </c>
      <c r="I88" s="14" t="str">
        <f>data!$B$66</f>
      </c>
      <c r="J88" s="18"/>
      <c r="K88" s="18"/>
      <c r="L88" s="18"/>
      <c r="M88" s="18"/>
      <c r="N88" s="18"/>
      <c r="O88" s="14" t="str">
        <f>data!$B$64</f>
      </c>
    </row>
    <row r="89">
      <c r="A89" s="14" t="str">
        <f>data!$B$21</f>
      </c>
      <c r="B89" s="18"/>
      <c r="C89" s="18"/>
      <c r="D89" s="18"/>
      <c r="E89" s="18"/>
      <c r="F89" s="18"/>
      <c r="G89" s="14" t="str">
        <f>data!$B$20</f>
      </c>
      <c r="I89" s="14" t="str">
        <f>data!$B$66</f>
      </c>
      <c r="J89" s="18"/>
      <c r="K89" s="18"/>
      <c r="L89" s="18"/>
      <c r="M89" s="18"/>
      <c r="N89" s="18"/>
      <c r="O89" s="14" t="str">
        <f>data!$B$65</f>
      </c>
    </row>
    <row r="91">
      <c r="A91" s="13" t="s">
        <v>241</v>
      </c>
      <c r="B91" s="13" t="s">
        <v>242</v>
      </c>
      <c r="C91" s="13" t="s">
        <v>243</v>
      </c>
      <c r="D91" s="13" t="s">
        <v>244</v>
      </c>
      <c r="E91" s="13" t="s">
        <v>245</v>
      </c>
      <c r="F91" s="13" t="s">
        <v>246</v>
      </c>
      <c r="I91" s="13" t="s">
        <v>241</v>
      </c>
      <c r="J91" s="13" t="s">
        <v>242</v>
      </c>
      <c r="K91" s="13" t="s">
        <v>243</v>
      </c>
      <c r="L91" s="13" t="s">
        <v>244</v>
      </c>
      <c r="M91" s="13" t="s">
        <v>245</v>
      </c>
      <c r="N91" s="13" t="s">
        <v>246</v>
      </c>
    </row>
    <row r="92">
      <c r="A92" s="14" t="str">
        <f>data!$B$19</f>
      </c>
      <c r="B92" s="14" t="str">
        <f>IF(OR(COUNTA(B87,C87,E87,F87)&gt;0,OR(D87="X",D87="x")),IF(OR(D87="X",D87="x"),0,(LEN(SUBSTITUTE(SUBSTITUTE(SUBSTITUTE(E87," ",""),"0",""),"-",""))+LEN(SUBSTITUTE(SUBSTITUTE(SUBSTITUTE(F87," ",""),"0",""),"-",""))&gt;LEN(SUBSTITUTE(SUBSTITUTE(SUBSTITUTE(B87," ",""),"0",""),"-",""))+LEN(SUBSTITUTE(SUBSTITUTE(SUBSTITUTE(C87," ",""),"0",""),"-","")))*1),0)+IF(OR(COUNTA(B88,C88,E88,F88)&gt;0,OR(D88="X",D88="x")),IF(OR(D88="X",D88="x"),0,(LEN(SUBSTITUTE(SUBSTITUTE(SUBSTITUTE(E88," ",""),"0",""),"-",""))+LEN(SUBSTITUTE(SUBSTITUTE(SUBSTITUTE(F88," ",""),"0",""),"-",""))&gt;LEN(SUBSTITUTE(SUBSTITUTE(SUBSTITUTE(B88," ",""),"0",""),"-",""))+LEN(SUBSTITUTE(SUBSTITUTE(SUBSTITUTE(C88," ",""),"0",""),"-","")))*1),0)</f>
      </c>
      <c r="C92" s="14" t="str">
        <f>IF(OR(COUNTA(B87,C87,E87,F87)&gt;0,OR(D87="X",D87="x")),IF(OR(D87="X",D87="x"),0,(LEN(SUBSTITUTE(SUBSTITUTE(SUBSTITUTE(E87," ",""),"0",""),"-",""))+LEN(SUBSTITUTE(SUBSTITUTE(SUBSTITUTE(F87," ",""),"0",""),"-",""))&lt;LEN(SUBSTITUTE(SUBSTITUTE(SUBSTITUTE(B87," ",""),"0",""),"-",""))+LEN(SUBSTITUTE(SUBSTITUTE(SUBSTITUTE(C87," ",""),"0",""),"-","")))*1),0)+IF(OR(COUNTA(B88,C88,E88,F88)&gt;0,OR(D88="X",D88="x")),IF(OR(D88="X",D88="x"),0,(LEN(SUBSTITUTE(SUBSTITUTE(SUBSTITUTE(E88," ",""),"0",""),"-",""))+LEN(SUBSTITUTE(SUBSTITUTE(SUBSTITUTE(F88," ",""),"0",""),"-",""))&lt;LEN(SUBSTITUTE(SUBSTITUTE(SUBSTITUTE(B88," ",""),"0",""),"-",""))+LEN(SUBSTITUTE(SUBSTITUTE(SUBSTITUTE(C88," ",""),"0",""),"-","")))*1),0)</f>
      </c>
      <c r="D92" s="14" t="str">
        <f>IF(OR(COUNTA(B87,C87,E87,F87)&gt;0,OR(D87="X",D87="x")),IF(OR(D87="X",D87="x"),1,0),0)+IF(OR(COUNTA(B88,C88,E88,F88)&gt;0,OR(D88="X",D88="x")),IF(OR(D88="X",D88="x"),1,0),0)</f>
      </c>
      <c r="E92" s="14" t="str">
        <f>LEN(SUBSTITUTE(SUBSTITUTE(SUBSTITUTE(E87," ",""),"0",""),"-",""))+LEN(SUBSTITUTE(SUBSTITUTE(SUBSTITUTE(F87," ",""),"0",""),"-",""))+LEN(SUBSTITUTE(SUBSTITUTE(SUBSTITUTE(E88," ",""),"0",""),"-",""))+LEN(SUBSTITUTE(SUBSTITUTE(SUBSTITUTE(F88," ",""),"0",""),"-",""))</f>
      </c>
      <c r="F92" s="14" t="str">
        <f>LEN(SUBSTITUTE(SUBSTITUTE(SUBSTITUTE(B87," ",""),"0",""),"-",""))+LEN(SUBSTITUTE(SUBSTITUTE(SUBSTITUTE(C87," ",""),"0",""),"-",""))+LEN(SUBSTITUTE(SUBSTITUTE(SUBSTITUTE(B88," ",""),"0",""),"-",""))+LEN(SUBSTITUTE(SUBSTITUTE(SUBSTITUTE(C88," ",""),"0",""),"-",""))</f>
      </c>
      <c r="I92" s="14" t="str">
        <f>data!$B$64</f>
      </c>
      <c r="J92" s="14" t="str">
        <f>IF(OR(COUNTA(J87,K87,M87,N87)&gt;0,OR(L87="X",L87="x")),IF(OR(L87="X",L87="x"),0,(LEN(SUBSTITUTE(SUBSTITUTE(SUBSTITUTE(M87," ",""),"0",""),"-",""))+LEN(SUBSTITUTE(SUBSTITUTE(SUBSTITUTE(N87," ",""),"0",""),"-",""))&gt;LEN(SUBSTITUTE(SUBSTITUTE(SUBSTITUTE(J87," ",""),"0",""),"-",""))+LEN(SUBSTITUTE(SUBSTITUTE(SUBSTITUTE(K87," ",""),"0",""),"-","")))*1),0)+IF(OR(COUNTA(J88,K88,M88,N88)&gt;0,OR(L88="X",L88="x")),IF(OR(L88="X",L88="x"),0,(LEN(SUBSTITUTE(SUBSTITUTE(SUBSTITUTE(M88," ",""),"0",""),"-",""))+LEN(SUBSTITUTE(SUBSTITUTE(SUBSTITUTE(N88," ",""),"0",""),"-",""))&gt;LEN(SUBSTITUTE(SUBSTITUTE(SUBSTITUTE(J88," ",""),"0",""),"-",""))+LEN(SUBSTITUTE(SUBSTITUTE(SUBSTITUTE(K88," ",""),"0",""),"-","")))*1),0)</f>
      </c>
      <c r="K92" s="14" t="str">
        <f>IF(OR(COUNTA(J87,K87,M87,N87)&gt;0,OR(L87="X",L87="x")),IF(OR(L87="X",L87="x"),0,(LEN(SUBSTITUTE(SUBSTITUTE(SUBSTITUTE(M87," ",""),"0",""),"-",""))+LEN(SUBSTITUTE(SUBSTITUTE(SUBSTITUTE(N87," ",""),"0",""),"-",""))&lt;LEN(SUBSTITUTE(SUBSTITUTE(SUBSTITUTE(J87," ",""),"0",""),"-",""))+LEN(SUBSTITUTE(SUBSTITUTE(SUBSTITUTE(K87," ",""),"0",""),"-","")))*1),0)+IF(OR(COUNTA(J88,K88,M88,N88)&gt;0,OR(L88="X",L88="x")),IF(OR(L88="X",L88="x"),0,(LEN(SUBSTITUTE(SUBSTITUTE(SUBSTITUTE(M88," ",""),"0",""),"-",""))+LEN(SUBSTITUTE(SUBSTITUTE(SUBSTITUTE(N88," ",""),"0",""),"-",""))&lt;LEN(SUBSTITUTE(SUBSTITUTE(SUBSTITUTE(J88," ",""),"0",""),"-",""))+LEN(SUBSTITUTE(SUBSTITUTE(SUBSTITUTE(K88," ",""),"0",""),"-","")))*1),0)</f>
      </c>
      <c r="L92" s="14" t="str">
        <f>IF(OR(COUNTA(J87,K87,M87,N87)&gt;0,OR(L87="X",L87="x")),IF(OR(L87="X",L87="x"),1,0),0)+IF(OR(COUNTA(J88,K88,M88,N88)&gt;0,OR(L88="X",L88="x")),IF(OR(L88="X",L88="x"),1,0),0)</f>
      </c>
      <c r="M92" s="14" t="str">
        <f>LEN(SUBSTITUTE(SUBSTITUTE(SUBSTITUTE(M87," ",""),"0",""),"-",""))+LEN(SUBSTITUTE(SUBSTITUTE(SUBSTITUTE(N87," ",""),"0",""),"-",""))+LEN(SUBSTITUTE(SUBSTITUTE(SUBSTITUTE(M88," ",""),"0",""),"-",""))+LEN(SUBSTITUTE(SUBSTITUTE(SUBSTITUTE(N88," ",""),"0",""),"-",""))</f>
      </c>
      <c r="N92" s="14" t="str">
        <f>LEN(SUBSTITUTE(SUBSTITUTE(SUBSTITUTE(J87," ",""),"0",""),"-",""))+LEN(SUBSTITUTE(SUBSTITUTE(SUBSTITUTE(K87," ",""),"0",""),"-",""))+LEN(SUBSTITUTE(SUBSTITUTE(SUBSTITUTE(J88," ",""),"0",""),"-",""))+LEN(SUBSTITUTE(SUBSTITUTE(SUBSTITUTE(K88," ",""),"0",""),"-",""))</f>
      </c>
    </row>
    <row r="93">
      <c r="A93" s="14" t="str">
        <f>data!$B$20</f>
      </c>
      <c r="B93" s="14" t="str">
        <f>IF(OR(COUNTA(B87,C87,E87,F87)&gt;0,OR(D87="X",D87="x")),IF(OR(D87="X",D87="x"),0,(LEN(SUBSTITUTE(SUBSTITUTE(SUBSTITUTE(B87," ",""),"0",""),"-",""))+LEN(SUBSTITUTE(SUBSTITUTE(SUBSTITUTE(C87," ",""),"0",""),"-",""))&gt;LEN(SUBSTITUTE(SUBSTITUTE(SUBSTITUTE(E87," ",""),"0",""),"-",""))+LEN(SUBSTITUTE(SUBSTITUTE(SUBSTITUTE(F87," ",""),"0",""),"-","")))*1),0)+IF(OR(COUNTA(B89,C89,E89,F89)&gt;0,OR(D89="X",D89="x")),IF(OR(D89="X",D89="x"),0,(LEN(SUBSTITUTE(SUBSTITUTE(SUBSTITUTE(E89," ",""),"0",""),"-",""))+LEN(SUBSTITUTE(SUBSTITUTE(SUBSTITUTE(F89," ",""),"0",""),"-",""))&gt;LEN(SUBSTITUTE(SUBSTITUTE(SUBSTITUTE(B89," ",""),"0",""),"-",""))+LEN(SUBSTITUTE(SUBSTITUTE(SUBSTITUTE(C89," ",""),"0",""),"-","")))*1),0)</f>
      </c>
      <c r="C93" s="14" t="str">
        <f>IF(OR(COUNTA(B87,C87,E87,F87)&gt;0,OR(D87="X",D87="x")),IF(OR(D87="X",D87="x"),0,(LEN(SUBSTITUTE(SUBSTITUTE(SUBSTITUTE(B87," ",""),"0",""),"-",""))+LEN(SUBSTITUTE(SUBSTITUTE(SUBSTITUTE(C87," ",""),"0",""),"-",""))&lt;LEN(SUBSTITUTE(SUBSTITUTE(SUBSTITUTE(E87," ",""),"0",""),"-",""))+LEN(SUBSTITUTE(SUBSTITUTE(SUBSTITUTE(F87," ",""),"0",""),"-","")))*1),0)+IF(OR(COUNTA(B89,C89,E89,F89)&gt;0,OR(D89="X",D89="x")),IF(OR(D89="X",D89="x"),0,(LEN(SUBSTITUTE(SUBSTITUTE(SUBSTITUTE(E89," ",""),"0",""),"-",""))+LEN(SUBSTITUTE(SUBSTITUTE(SUBSTITUTE(F89," ",""),"0",""),"-",""))&lt;LEN(SUBSTITUTE(SUBSTITUTE(SUBSTITUTE(B89," ",""),"0",""),"-",""))+LEN(SUBSTITUTE(SUBSTITUTE(SUBSTITUTE(C89," ",""),"0",""),"-","")))*1),0)</f>
      </c>
      <c r="D93" s="14" t="str">
        <f>IF(OR(COUNTA(B87,C87,E87,F87)&gt;0,OR(D87="X",D87="x")),IF(OR(D87="X",D87="x"),1,0),0)+IF(OR(COUNTA(B89,C89,E89,F89)&gt;0,OR(D89="X",D89="x")),IF(OR(D89="X",D89="x"),1,0),0)</f>
      </c>
      <c r="E93" s="14" t="str">
        <f>LEN(SUBSTITUTE(SUBSTITUTE(SUBSTITUTE(B87," ",""),"0",""),"-",""))+LEN(SUBSTITUTE(SUBSTITUTE(SUBSTITUTE(C87," ",""),"0",""),"-",""))+LEN(SUBSTITUTE(SUBSTITUTE(SUBSTITUTE(E89," ",""),"0",""),"-",""))+LEN(SUBSTITUTE(SUBSTITUTE(SUBSTITUTE(F89," ",""),"0",""),"-",""))</f>
      </c>
      <c r="F93" s="14" t="str">
        <f>LEN(SUBSTITUTE(SUBSTITUTE(SUBSTITUTE(E87," ",""),"0",""),"-",""))+LEN(SUBSTITUTE(SUBSTITUTE(SUBSTITUTE(F87," ",""),"0",""),"-",""))+LEN(SUBSTITUTE(SUBSTITUTE(SUBSTITUTE(B89," ",""),"0",""),"-",""))+LEN(SUBSTITUTE(SUBSTITUTE(SUBSTITUTE(C89," ",""),"0",""),"-",""))</f>
      </c>
      <c r="I93" s="14" t="str">
        <f>data!$B$65</f>
      </c>
      <c r="J93" s="14" t="str">
        <f>IF(OR(COUNTA(J87,K87,M87,N87)&gt;0,OR(L87="X",L87="x")),IF(OR(L87="X",L87="x"),0,(LEN(SUBSTITUTE(SUBSTITUTE(SUBSTITUTE(J87," ",""),"0",""),"-",""))+LEN(SUBSTITUTE(SUBSTITUTE(SUBSTITUTE(K87," ",""),"0",""),"-",""))&gt;LEN(SUBSTITUTE(SUBSTITUTE(SUBSTITUTE(M87," ",""),"0",""),"-",""))+LEN(SUBSTITUTE(SUBSTITUTE(SUBSTITUTE(N87," ",""),"0",""),"-","")))*1),0)+IF(OR(COUNTA(J89,K89,M89,N89)&gt;0,OR(L89="X",L89="x")),IF(OR(L89="X",L89="x"),0,(LEN(SUBSTITUTE(SUBSTITUTE(SUBSTITUTE(M89," ",""),"0",""),"-",""))+LEN(SUBSTITUTE(SUBSTITUTE(SUBSTITUTE(N89," ",""),"0",""),"-",""))&gt;LEN(SUBSTITUTE(SUBSTITUTE(SUBSTITUTE(J89," ",""),"0",""),"-",""))+LEN(SUBSTITUTE(SUBSTITUTE(SUBSTITUTE(K89," ",""),"0",""),"-","")))*1),0)</f>
      </c>
      <c r="K93" s="14" t="str">
        <f>IF(OR(COUNTA(J87,K87,M87,N87)&gt;0,OR(L87="X",L87="x")),IF(OR(L87="X",L87="x"),0,(LEN(SUBSTITUTE(SUBSTITUTE(SUBSTITUTE(J87," ",""),"0",""),"-",""))+LEN(SUBSTITUTE(SUBSTITUTE(SUBSTITUTE(K87," ",""),"0",""),"-",""))&lt;LEN(SUBSTITUTE(SUBSTITUTE(SUBSTITUTE(M87," ",""),"0",""),"-",""))+LEN(SUBSTITUTE(SUBSTITUTE(SUBSTITUTE(N87," ",""),"0",""),"-","")))*1),0)+IF(OR(COUNTA(J89,K89,M89,N89)&gt;0,OR(L89="X",L89="x")),IF(OR(L89="X",L89="x"),0,(LEN(SUBSTITUTE(SUBSTITUTE(SUBSTITUTE(M89," ",""),"0",""),"-",""))+LEN(SUBSTITUTE(SUBSTITUTE(SUBSTITUTE(N89," ",""),"0",""),"-",""))&lt;LEN(SUBSTITUTE(SUBSTITUTE(SUBSTITUTE(J89," ",""),"0",""),"-",""))+LEN(SUBSTITUTE(SUBSTITUTE(SUBSTITUTE(K89," ",""),"0",""),"-","")))*1),0)</f>
      </c>
      <c r="L93" s="14" t="str">
        <f>IF(OR(COUNTA(J87,K87,M87,N87)&gt;0,OR(L87="X",L87="x")),IF(OR(L87="X",L87="x"),1,0),0)+IF(OR(COUNTA(J89,K89,M89,N89)&gt;0,OR(L89="X",L89="x")),IF(OR(L89="X",L89="x"),1,0),0)</f>
      </c>
      <c r="M93" s="14" t="str">
        <f>LEN(SUBSTITUTE(SUBSTITUTE(SUBSTITUTE(J87," ",""),"0",""),"-",""))+LEN(SUBSTITUTE(SUBSTITUTE(SUBSTITUTE(K87," ",""),"0",""),"-",""))+LEN(SUBSTITUTE(SUBSTITUTE(SUBSTITUTE(M89," ",""),"0",""),"-",""))+LEN(SUBSTITUTE(SUBSTITUTE(SUBSTITUTE(N89," ",""),"0",""),"-",""))</f>
      </c>
      <c r="N93" s="14" t="str">
        <f>LEN(SUBSTITUTE(SUBSTITUTE(SUBSTITUTE(M87," ",""),"0",""),"-",""))+LEN(SUBSTITUTE(SUBSTITUTE(SUBSTITUTE(N87," ",""),"0",""),"-",""))+LEN(SUBSTITUTE(SUBSTITUTE(SUBSTITUTE(J89," ",""),"0",""),"-",""))+LEN(SUBSTITUTE(SUBSTITUTE(SUBSTITUTE(K89," ",""),"0",""),"-",""))</f>
      </c>
    </row>
    <row r="94">
      <c r="A94" s="14" t="str">
        <f>data!$B$21</f>
      </c>
      <c r="B94" s="14" t="str">
        <f>IF(OR(COUNTA(B88,C88,E88,F88)&gt;0,OR(D88="X",D88="x")),IF(OR(D88="X",D88="x"),0,(LEN(SUBSTITUTE(SUBSTITUTE(SUBSTITUTE(B88," ",""),"0",""),"-",""))+LEN(SUBSTITUTE(SUBSTITUTE(SUBSTITUTE(C88," ",""),"0",""),"-",""))&gt;LEN(SUBSTITUTE(SUBSTITUTE(SUBSTITUTE(E88," ",""),"0",""),"-",""))+LEN(SUBSTITUTE(SUBSTITUTE(SUBSTITUTE(F88," ",""),"0",""),"-","")))*1),0)+IF(OR(COUNTA(B89,C89,E89,F89)&gt;0,OR(D89="X",D89="x")),IF(OR(D89="X",D89="x"),0,(LEN(SUBSTITUTE(SUBSTITUTE(SUBSTITUTE(B89," ",""),"0",""),"-",""))+LEN(SUBSTITUTE(SUBSTITUTE(SUBSTITUTE(C89," ",""),"0",""),"-",""))&gt;LEN(SUBSTITUTE(SUBSTITUTE(SUBSTITUTE(E89," ",""),"0",""),"-",""))+LEN(SUBSTITUTE(SUBSTITUTE(SUBSTITUTE(F89," ",""),"0",""),"-","")))*1),0)</f>
      </c>
      <c r="C94" s="14" t="str">
        <f>IF(OR(COUNTA(B88,C88,E88,F88)&gt;0,OR(D88="X",D88="x")),IF(OR(D88="X",D88="x"),0,(LEN(SUBSTITUTE(SUBSTITUTE(SUBSTITUTE(B88," ",""),"0",""),"-",""))+LEN(SUBSTITUTE(SUBSTITUTE(SUBSTITUTE(C88," ",""),"0",""),"-",""))&lt;LEN(SUBSTITUTE(SUBSTITUTE(SUBSTITUTE(E88," ",""),"0",""),"-",""))+LEN(SUBSTITUTE(SUBSTITUTE(SUBSTITUTE(F88," ",""),"0",""),"-","")))*1),0)+IF(OR(COUNTA(B89,C89,E89,F89)&gt;0,OR(D89="X",D89="x")),IF(OR(D89="X",D89="x"),0,(LEN(SUBSTITUTE(SUBSTITUTE(SUBSTITUTE(B89," ",""),"0",""),"-",""))+LEN(SUBSTITUTE(SUBSTITUTE(SUBSTITUTE(C89," ",""),"0",""),"-",""))&lt;LEN(SUBSTITUTE(SUBSTITUTE(SUBSTITUTE(E89," ",""),"0",""),"-",""))+LEN(SUBSTITUTE(SUBSTITUTE(SUBSTITUTE(F89," ",""),"0",""),"-","")))*1),0)</f>
      </c>
      <c r="D94" s="14" t="str">
        <f>IF(OR(COUNTA(B88,C88,E88,F88)&gt;0,OR(D88="X",D88="x")),IF(OR(D88="X",D88="x"),1,0),0)+IF(OR(COUNTA(B89,C89,E89,F89)&gt;0,OR(D89="X",D89="x")),IF(OR(D89="X",D89="x"),1,0),0)</f>
      </c>
      <c r="E94" s="14" t="str">
        <f>LEN(SUBSTITUTE(SUBSTITUTE(SUBSTITUTE(B88," ",""),"0",""),"-",""))+LEN(SUBSTITUTE(SUBSTITUTE(SUBSTITUTE(C88," ",""),"0",""),"-",""))+LEN(SUBSTITUTE(SUBSTITUTE(SUBSTITUTE(B89," ",""),"0",""),"-",""))+LEN(SUBSTITUTE(SUBSTITUTE(SUBSTITUTE(C89," ",""),"0",""),"-",""))</f>
      </c>
      <c r="F94" s="14" t="str">
        <f>LEN(SUBSTITUTE(SUBSTITUTE(SUBSTITUTE(E88," ",""),"0",""),"-",""))+LEN(SUBSTITUTE(SUBSTITUTE(SUBSTITUTE(F88," ",""),"0",""),"-",""))+LEN(SUBSTITUTE(SUBSTITUTE(SUBSTITUTE(E89," ",""),"0",""),"-",""))+LEN(SUBSTITUTE(SUBSTITUTE(SUBSTITUTE(F89," ",""),"0",""),"-",""))</f>
      </c>
      <c r="I94" s="14" t="str">
        <f>data!$B$66</f>
      </c>
      <c r="J94" s="14" t="str">
        <f>IF(OR(COUNTA(J88,K88,M88,N88)&gt;0,OR(L88="X",L88="x")),IF(OR(L88="X",L88="x"),0,(LEN(SUBSTITUTE(SUBSTITUTE(SUBSTITUTE(J88," ",""),"0",""),"-",""))+LEN(SUBSTITUTE(SUBSTITUTE(SUBSTITUTE(K88," ",""),"0",""),"-",""))&gt;LEN(SUBSTITUTE(SUBSTITUTE(SUBSTITUTE(M88," ",""),"0",""),"-",""))+LEN(SUBSTITUTE(SUBSTITUTE(SUBSTITUTE(N88," ",""),"0",""),"-","")))*1),0)+IF(OR(COUNTA(J89,K89,M89,N89)&gt;0,OR(L89="X",L89="x")),IF(OR(L89="X",L89="x"),0,(LEN(SUBSTITUTE(SUBSTITUTE(SUBSTITUTE(J89," ",""),"0",""),"-",""))+LEN(SUBSTITUTE(SUBSTITUTE(SUBSTITUTE(K89," ",""),"0",""),"-",""))&gt;LEN(SUBSTITUTE(SUBSTITUTE(SUBSTITUTE(M89," ",""),"0",""),"-",""))+LEN(SUBSTITUTE(SUBSTITUTE(SUBSTITUTE(N89," ",""),"0",""),"-","")))*1),0)</f>
      </c>
      <c r="K94" s="14" t="str">
        <f>IF(OR(COUNTA(J88,K88,M88,N88)&gt;0,OR(L88="X",L88="x")),IF(OR(L88="X",L88="x"),0,(LEN(SUBSTITUTE(SUBSTITUTE(SUBSTITUTE(J88," ",""),"0",""),"-",""))+LEN(SUBSTITUTE(SUBSTITUTE(SUBSTITUTE(K88," ",""),"0",""),"-",""))&lt;LEN(SUBSTITUTE(SUBSTITUTE(SUBSTITUTE(M88," ",""),"0",""),"-",""))+LEN(SUBSTITUTE(SUBSTITUTE(SUBSTITUTE(N88," ",""),"0",""),"-","")))*1),0)+IF(OR(COUNTA(J89,K89,M89,N89)&gt;0,OR(L89="X",L89="x")),IF(OR(L89="X",L89="x"),0,(LEN(SUBSTITUTE(SUBSTITUTE(SUBSTITUTE(J89," ",""),"0",""),"-",""))+LEN(SUBSTITUTE(SUBSTITUTE(SUBSTITUTE(K89," ",""),"0",""),"-",""))&lt;LEN(SUBSTITUTE(SUBSTITUTE(SUBSTITUTE(M89," ",""),"0",""),"-",""))+LEN(SUBSTITUTE(SUBSTITUTE(SUBSTITUTE(N89," ",""),"0",""),"-","")))*1),0)</f>
      </c>
      <c r="L94" s="14" t="str">
        <f>IF(OR(COUNTA(J88,K88,M88,N88)&gt;0,OR(L88="X",L88="x")),IF(OR(L88="X",L88="x"),1,0),0)+IF(OR(COUNTA(J89,K89,M89,N89)&gt;0,OR(L89="X",L89="x")),IF(OR(L89="X",L89="x"),1,0),0)</f>
      </c>
      <c r="M94" s="14" t="str">
        <f>LEN(SUBSTITUTE(SUBSTITUTE(SUBSTITUTE(J88," ",""),"0",""),"-",""))+LEN(SUBSTITUTE(SUBSTITUTE(SUBSTITUTE(K88," ",""),"0",""),"-",""))+LEN(SUBSTITUTE(SUBSTITUTE(SUBSTITUTE(J89," ",""),"0",""),"-",""))+LEN(SUBSTITUTE(SUBSTITUTE(SUBSTITUTE(K89," ",""),"0",""),"-",""))</f>
      </c>
      <c r="N94" s="14" t="str">
        <f>LEN(SUBSTITUTE(SUBSTITUTE(SUBSTITUTE(M88," ",""),"0",""),"-",""))+LEN(SUBSTITUTE(SUBSTITUTE(SUBSTITUTE(N88," ",""),"0",""),"-",""))+LEN(SUBSTITUTE(SUBSTITUTE(SUBSTITUTE(M89," ",""),"0",""),"-",""))+LEN(SUBSTITUTE(SUBSTITUTE(SUBSTITUTE(N89," ",""),"0",""),"-",""))</f>
      </c>
    </row>
    <row r="96">
      <c r="F96" t="s">
        <v>247</v>
      </c>
      <c r="G96" s="19"/>
      <c r="N96" t="s">
        <v>247</v>
      </c>
      <c r="O96" s="19"/>
    </row>
    <row r="97">
      <c r="F97" t="s">
        <v>248</v>
      </c>
      <c r="G97" s="19"/>
      <c r="N97" t="s">
        <v>248</v>
      </c>
      <c r="O97" s="19"/>
    </row>
    <row r="98">
      <c r="F98" t="s">
        <v>249</v>
      </c>
      <c r="G98" s="19"/>
      <c r="N98" t="s">
        <v>249</v>
      </c>
      <c r="O98" s="19"/>
    </row>
    <row r="101">
      <c r="A101" s="13" t="str">
        <f>data!$A$24</f>
      </c>
      <c r="B101" s="13"/>
      <c r="C101" s="13"/>
      <c r="D101" s="13"/>
      <c r="E101" s="13"/>
      <c r="F101" s="13"/>
      <c r="G101" s="13"/>
      <c r="I101" s="13" t="str">
        <f>data!$A$69</f>
      </c>
      <c r="J101" s="13"/>
      <c r="K101" s="13"/>
      <c r="L101" s="13"/>
      <c r="M101" s="13"/>
      <c r="N101" s="13"/>
      <c r="O101" s="13"/>
    </row>
    <row r="102">
      <c r="A102" s="17" t="s">
        <v>238</v>
      </c>
      <c r="D102" s="14" t="s">
        <v>239</v>
      </c>
      <c r="G102" s="16" t="s">
        <v>240</v>
      </c>
      <c r="I102" s="17" t="s">
        <v>238</v>
      </c>
      <c r="L102" s="14" t="s">
        <v>239</v>
      </c>
      <c r="O102" s="16" t="s">
        <v>240</v>
      </c>
    </row>
    <row r="103">
      <c r="A103" s="14" t="str">
        <f>data!$B$23</f>
      </c>
      <c r="B103" s="18"/>
      <c r="C103" s="18"/>
      <c r="D103" s="18"/>
      <c r="E103" s="18"/>
      <c r="F103" s="18"/>
      <c r="G103" s="14" t="str">
        <f>data!$B$22</f>
      </c>
      <c r="I103" s="14" t="str">
        <f>data!$B$68</f>
      </c>
      <c r="J103" s="18"/>
      <c r="K103" s="18"/>
      <c r="L103" s="18"/>
      <c r="M103" s="18"/>
      <c r="N103" s="18"/>
      <c r="O103" s="14" t="str">
        <f>data!$B$67</f>
      </c>
    </row>
    <row r="104">
      <c r="A104" s="14" t="str">
        <f>data!$B$24</f>
      </c>
      <c r="B104" s="18"/>
      <c r="C104" s="18"/>
      <c r="D104" s="18"/>
      <c r="E104" s="18"/>
      <c r="F104" s="18"/>
      <c r="G104" s="14" t="str">
        <f>data!$B$22</f>
      </c>
      <c r="I104" s="14" t="str">
        <f>data!$B$69</f>
      </c>
      <c r="J104" s="18"/>
      <c r="K104" s="18"/>
      <c r="L104" s="18"/>
      <c r="M104" s="18"/>
      <c r="N104" s="18"/>
      <c r="O104" s="14" t="str">
        <f>data!$B$67</f>
      </c>
    </row>
    <row r="105">
      <c r="A105" s="14" t="str">
        <f>data!$B$24</f>
      </c>
      <c r="B105" s="18"/>
      <c r="C105" s="18"/>
      <c r="D105" s="18"/>
      <c r="E105" s="18"/>
      <c r="F105" s="18"/>
      <c r="G105" s="14" t="str">
        <f>data!$B$23</f>
      </c>
      <c r="I105" s="14" t="str">
        <f>data!$B$69</f>
      </c>
      <c r="J105" s="18"/>
      <c r="K105" s="18"/>
      <c r="L105" s="18"/>
      <c r="M105" s="18"/>
      <c r="N105" s="18"/>
      <c r="O105" s="14" t="str">
        <f>data!$B$68</f>
      </c>
    </row>
    <row r="107">
      <c r="A107" s="13" t="s">
        <v>241</v>
      </c>
      <c r="B107" s="13" t="s">
        <v>242</v>
      </c>
      <c r="C107" s="13" t="s">
        <v>243</v>
      </c>
      <c r="D107" s="13" t="s">
        <v>244</v>
      </c>
      <c r="E107" s="13" t="s">
        <v>245</v>
      </c>
      <c r="F107" s="13" t="s">
        <v>246</v>
      </c>
      <c r="I107" s="13" t="s">
        <v>241</v>
      </c>
      <c r="J107" s="13" t="s">
        <v>242</v>
      </c>
      <c r="K107" s="13" t="s">
        <v>243</v>
      </c>
      <c r="L107" s="13" t="s">
        <v>244</v>
      </c>
      <c r="M107" s="13" t="s">
        <v>245</v>
      </c>
      <c r="N107" s="13" t="s">
        <v>246</v>
      </c>
    </row>
    <row r="108">
      <c r="A108" s="14" t="str">
        <f>data!$B$22</f>
      </c>
      <c r="B108" s="14" t="str">
        <f>IF(OR(COUNTA(B103,C103,E103,F103)&gt;0,OR(D103="X",D103="x")),IF(OR(D103="X",D103="x"),0,(LEN(SUBSTITUTE(SUBSTITUTE(SUBSTITUTE(E103," ",""),"0",""),"-",""))+LEN(SUBSTITUTE(SUBSTITUTE(SUBSTITUTE(F103," ",""),"0",""),"-",""))&gt;LEN(SUBSTITUTE(SUBSTITUTE(SUBSTITUTE(B103," ",""),"0",""),"-",""))+LEN(SUBSTITUTE(SUBSTITUTE(SUBSTITUTE(C103," ",""),"0",""),"-","")))*1),0)+IF(OR(COUNTA(B104,C104,E104,F104)&gt;0,OR(D104="X",D104="x")),IF(OR(D104="X",D104="x"),0,(LEN(SUBSTITUTE(SUBSTITUTE(SUBSTITUTE(E104," ",""),"0",""),"-",""))+LEN(SUBSTITUTE(SUBSTITUTE(SUBSTITUTE(F104," ",""),"0",""),"-",""))&gt;LEN(SUBSTITUTE(SUBSTITUTE(SUBSTITUTE(B104," ",""),"0",""),"-",""))+LEN(SUBSTITUTE(SUBSTITUTE(SUBSTITUTE(C104," ",""),"0",""),"-","")))*1),0)</f>
      </c>
      <c r="C108" s="14" t="str">
        <f>IF(OR(COUNTA(B103,C103,E103,F103)&gt;0,OR(D103="X",D103="x")),IF(OR(D103="X",D103="x"),0,(LEN(SUBSTITUTE(SUBSTITUTE(SUBSTITUTE(E103," ",""),"0",""),"-",""))+LEN(SUBSTITUTE(SUBSTITUTE(SUBSTITUTE(F103," ",""),"0",""),"-",""))&lt;LEN(SUBSTITUTE(SUBSTITUTE(SUBSTITUTE(B103," ",""),"0",""),"-",""))+LEN(SUBSTITUTE(SUBSTITUTE(SUBSTITUTE(C103," ",""),"0",""),"-","")))*1),0)+IF(OR(COUNTA(B104,C104,E104,F104)&gt;0,OR(D104="X",D104="x")),IF(OR(D104="X",D104="x"),0,(LEN(SUBSTITUTE(SUBSTITUTE(SUBSTITUTE(E104," ",""),"0",""),"-",""))+LEN(SUBSTITUTE(SUBSTITUTE(SUBSTITUTE(F104," ",""),"0",""),"-",""))&lt;LEN(SUBSTITUTE(SUBSTITUTE(SUBSTITUTE(B104," ",""),"0",""),"-",""))+LEN(SUBSTITUTE(SUBSTITUTE(SUBSTITUTE(C104," ",""),"0",""),"-","")))*1),0)</f>
      </c>
      <c r="D108" s="14" t="str">
        <f>IF(OR(COUNTA(B103,C103,E103,F103)&gt;0,OR(D103="X",D103="x")),IF(OR(D103="X",D103="x"),1,0),0)+IF(OR(COUNTA(B104,C104,E104,F104)&gt;0,OR(D104="X",D104="x")),IF(OR(D104="X",D104="x"),1,0),0)</f>
      </c>
      <c r="E108" s="14" t="str">
        <f>LEN(SUBSTITUTE(SUBSTITUTE(SUBSTITUTE(E103," ",""),"0",""),"-",""))+LEN(SUBSTITUTE(SUBSTITUTE(SUBSTITUTE(F103," ",""),"0",""),"-",""))+LEN(SUBSTITUTE(SUBSTITUTE(SUBSTITUTE(E104," ",""),"0",""),"-",""))+LEN(SUBSTITUTE(SUBSTITUTE(SUBSTITUTE(F104," ",""),"0",""),"-",""))</f>
      </c>
      <c r="F108" s="14" t="str">
        <f>LEN(SUBSTITUTE(SUBSTITUTE(SUBSTITUTE(B103," ",""),"0",""),"-",""))+LEN(SUBSTITUTE(SUBSTITUTE(SUBSTITUTE(C103," ",""),"0",""),"-",""))+LEN(SUBSTITUTE(SUBSTITUTE(SUBSTITUTE(B104," ",""),"0",""),"-",""))+LEN(SUBSTITUTE(SUBSTITUTE(SUBSTITUTE(C104," ",""),"0",""),"-",""))</f>
      </c>
      <c r="I108" s="14" t="str">
        <f>data!$B$67</f>
      </c>
      <c r="J108" s="14" t="str">
        <f>IF(OR(COUNTA(J103,K103,M103,N103)&gt;0,OR(L103="X",L103="x")),IF(OR(L103="X",L103="x"),0,(LEN(SUBSTITUTE(SUBSTITUTE(SUBSTITUTE(M103," ",""),"0",""),"-",""))+LEN(SUBSTITUTE(SUBSTITUTE(SUBSTITUTE(N103," ",""),"0",""),"-",""))&gt;LEN(SUBSTITUTE(SUBSTITUTE(SUBSTITUTE(J103," ",""),"0",""),"-",""))+LEN(SUBSTITUTE(SUBSTITUTE(SUBSTITUTE(K103," ",""),"0",""),"-","")))*1),0)+IF(OR(COUNTA(J104,K104,M104,N104)&gt;0,OR(L104="X",L104="x")),IF(OR(L104="X",L104="x"),0,(LEN(SUBSTITUTE(SUBSTITUTE(SUBSTITUTE(M104," ",""),"0",""),"-",""))+LEN(SUBSTITUTE(SUBSTITUTE(SUBSTITUTE(N104," ",""),"0",""),"-",""))&gt;LEN(SUBSTITUTE(SUBSTITUTE(SUBSTITUTE(J104," ",""),"0",""),"-",""))+LEN(SUBSTITUTE(SUBSTITUTE(SUBSTITUTE(K104," ",""),"0",""),"-","")))*1),0)</f>
      </c>
      <c r="K108" s="14" t="str">
        <f>IF(OR(COUNTA(J103,K103,M103,N103)&gt;0,OR(L103="X",L103="x")),IF(OR(L103="X",L103="x"),0,(LEN(SUBSTITUTE(SUBSTITUTE(SUBSTITUTE(M103," ",""),"0",""),"-",""))+LEN(SUBSTITUTE(SUBSTITUTE(SUBSTITUTE(N103," ",""),"0",""),"-",""))&lt;LEN(SUBSTITUTE(SUBSTITUTE(SUBSTITUTE(J103," ",""),"0",""),"-",""))+LEN(SUBSTITUTE(SUBSTITUTE(SUBSTITUTE(K103," ",""),"0",""),"-","")))*1),0)+IF(OR(COUNTA(J104,K104,M104,N104)&gt;0,OR(L104="X",L104="x")),IF(OR(L104="X",L104="x"),0,(LEN(SUBSTITUTE(SUBSTITUTE(SUBSTITUTE(M104," ",""),"0",""),"-",""))+LEN(SUBSTITUTE(SUBSTITUTE(SUBSTITUTE(N104," ",""),"0",""),"-",""))&lt;LEN(SUBSTITUTE(SUBSTITUTE(SUBSTITUTE(J104," ",""),"0",""),"-",""))+LEN(SUBSTITUTE(SUBSTITUTE(SUBSTITUTE(K104," ",""),"0",""),"-","")))*1),0)</f>
      </c>
      <c r="L108" s="14" t="str">
        <f>IF(OR(COUNTA(J103,K103,M103,N103)&gt;0,OR(L103="X",L103="x")),IF(OR(L103="X",L103="x"),1,0),0)+IF(OR(COUNTA(J104,K104,M104,N104)&gt;0,OR(L104="X",L104="x")),IF(OR(L104="X",L104="x"),1,0),0)</f>
      </c>
      <c r="M108" s="14" t="str">
        <f>LEN(SUBSTITUTE(SUBSTITUTE(SUBSTITUTE(M103," ",""),"0",""),"-",""))+LEN(SUBSTITUTE(SUBSTITUTE(SUBSTITUTE(N103," ",""),"0",""),"-",""))+LEN(SUBSTITUTE(SUBSTITUTE(SUBSTITUTE(M104," ",""),"0",""),"-",""))+LEN(SUBSTITUTE(SUBSTITUTE(SUBSTITUTE(N104," ",""),"0",""),"-",""))</f>
      </c>
      <c r="N108" s="14" t="str">
        <f>LEN(SUBSTITUTE(SUBSTITUTE(SUBSTITUTE(J103," ",""),"0",""),"-",""))+LEN(SUBSTITUTE(SUBSTITUTE(SUBSTITUTE(K103," ",""),"0",""),"-",""))+LEN(SUBSTITUTE(SUBSTITUTE(SUBSTITUTE(J104," ",""),"0",""),"-",""))+LEN(SUBSTITUTE(SUBSTITUTE(SUBSTITUTE(K104," ",""),"0",""),"-",""))</f>
      </c>
    </row>
    <row r="109">
      <c r="A109" s="14" t="str">
        <f>data!$B$23</f>
      </c>
      <c r="B109" s="14" t="str">
        <f>IF(OR(COUNTA(B103,C103,E103,F103)&gt;0,OR(D103="X",D103="x")),IF(OR(D103="X",D103="x"),0,(LEN(SUBSTITUTE(SUBSTITUTE(SUBSTITUTE(B103," ",""),"0",""),"-",""))+LEN(SUBSTITUTE(SUBSTITUTE(SUBSTITUTE(C103," ",""),"0",""),"-",""))&gt;LEN(SUBSTITUTE(SUBSTITUTE(SUBSTITUTE(E103," ",""),"0",""),"-",""))+LEN(SUBSTITUTE(SUBSTITUTE(SUBSTITUTE(F103," ",""),"0",""),"-","")))*1),0)+IF(OR(COUNTA(B105,C105,E105,F105)&gt;0,OR(D105="X",D105="x")),IF(OR(D105="X",D105="x"),0,(LEN(SUBSTITUTE(SUBSTITUTE(SUBSTITUTE(E105," ",""),"0",""),"-",""))+LEN(SUBSTITUTE(SUBSTITUTE(SUBSTITUTE(F105," ",""),"0",""),"-",""))&gt;LEN(SUBSTITUTE(SUBSTITUTE(SUBSTITUTE(B105," ",""),"0",""),"-",""))+LEN(SUBSTITUTE(SUBSTITUTE(SUBSTITUTE(C105," ",""),"0",""),"-","")))*1),0)</f>
      </c>
      <c r="C109" s="14" t="str">
        <f>IF(OR(COUNTA(B103,C103,E103,F103)&gt;0,OR(D103="X",D103="x")),IF(OR(D103="X",D103="x"),0,(LEN(SUBSTITUTE(SUBSTITUTE(SUBSTITUTE(B103," ",""),"0",""),"-",""))+LEN(SUBSTITUTE(SUBSTITUTE(SUBSTITUTE(C103," ",""),"0",""),"-",""))&lt;LEN(SUBSTITUTE(SUBSTITUTE(SUBSTITUTE(E103," ",""),"0",""),"-",""))+LEN(SUBSTITUTE(SUBSTITUTE(SUBSTITUTE(F103," ",""),"0",""),"-","")))*1),0)+IF(OR(COUNTA(B105,C105,E105,F105)&gt;0,OR(D105="X",D105="x")),IF(OR(D105="X",D105="x"),0,(LEN(SUBSTITUTE(SUBSTITUTE(SUBSTITUTE(E105," ",""),"0",""),"-",""))+LEN(SUBSTITUTE(SUBSTITUTE(SUBSTITUTE(F105," ",""),"0",""),"-",""))&lt;LEN(SUBSTITUTE(SUBSTITUTE(SUBSTITUTE(B105," ",""),"0",""),"-",""))+LEN(SUBSTITUTE(SUBSTITUTE(SUBSTITUTE(C105," ",""),"0",""),"-","")))*1),0)</f>
      </c>
      <c r="D109" s="14" t="str">
        <f>IF(OR(COUNTA(B103,C103,E103,F103)&gt;0,OR(D103="X",D103="x")),IF(OR(D103="X",D103="x"),1,0),0)+IF(OR(COUNTA(B105,C105,E105,F105)&gt;0,OR(D105="X",D105="x")),IF(OR(D105="X",D105="x"),1,0),0)</f>
      </c>
      <c r="E109" s="14" t="str">
        <f>LEN(SUBSTITUTE(SUBSTITUTE(SUBSTITUTE(B103," ",""),"0",""),"-",""))+LEN(SUBSTITUTE(SUBSTITUTE(SUBSTITUTE(C103," ",""),"0",""),"-",""))+LEN(SUBSTITUTE(SUBSTITUTE(SUBSTITUTE(E105," ",""),"0",""),"-",""))+LEN(SUBSTITUTE(SUBSTITUTE(SUBSTITUTE(F105," ",""),"0",""),"-",""))</f>
      </c>
      <c r="F109" s="14" t="str">
        <f>LEN(SUBSTITUTE(SUBSTITUTE(SUBSTITUTE(E103," ",""),"0",""),"-",""))+LEN(SUBSTITUTE(SUBSTITUTE(SUBSTITUTE(F103," ",""),"0",""),"-",""))+LEN(SUBSTITUTE(SUBSTITUTE(SUBSTITUTE(B105," ",""),"0",""),"-",""))+LEN(SUBSTITUTE(SUBSTITUTE(SUBSTITUTE(C105," ",""),"0",""),"-",""))</f>
      </c>
      <c r="I109" s="14" t="str">
        <f>data!$B$68</f>
      </c>
      <c r="J109" s="14" t="str">
        <f>IF(OR(COUNTA(J103,K103,M103,N103)&gt;0,OR(L103="X",L103="x")),IF(OR(L103="X",L103="x"),0,(LEN(SUBSTITUTE(SUBSTITUTE(SUBSTITUTE(J103," ",""),"0",""),"-",""))+LEN(SUBSTITUTE(SUBSTITUTE(SUBSTITUTE(K103," ",""),"0",""),"-",""))&gt;LEN(SUBSTITUTE(SUBSTITUTE(SUBSTITUTE(M103," ",""),"0",""),"-",""))+LEN(SUBSTITUTE(SUBSTITUTE(SUBSTITUTE(N103," ",""),"0",""),"-","")))*1),0)+IF(OR(COUNTA(J105,K105,M105,N105)&gt;0,OR(L105="X",L105="x")),IF(OR(L105="X",L105="x"),0,(LEN(SUBSTITUTE(SUBSTITUTE(SUBSTITUTE(M105," ",""),"0",""),"-",""))+LEN(SUBSTITUTE(SUBSTITUTE(SUBSTITUTE(N105," ",""),"0",""),"-",""))&gt;LEN(SUBSTITUTE(SUBSTITUTE(SUBSTITUTE(J105," ",""),"0",""),"-",""))+LEN(SUBSTITUTE(SUBSTITUTE(SUBSTITUTE(K105," ",""),"0",""),"-","")))*1),0)</f>
      </c>
      <c r="K109" s="14" t="str">
        <f>IF(OR(COUNTA(J103,K103,M103,N103)&gt;0,OR(L103="X",L103="x")),IF(OR(L103="X",L103="x"),0,(LEN(SUBSTITUTE(SUBSTITUTE(SUBSTITUTE(J103," ",""),"0",""),"-",""))+LEN(SUBSTITUTE(SUBSTITUTE(SUBSTITUTE(K103," ",""),"0",""),"-",""))&lt;LEN(SUBSTITUTE(SUBSTITUTE(SUBSTITUTE(M103," ",""),"0",""),"-",""))+LEN(SUBSTITUTE(SUBSTITUTE(SUBSTITUTE(N103," ",""),"0",""),"-","")))*1),0)+IF(OR(COUNTA(J105,K105,M105,N105)&gt;0,OR(L105="X",L105="x")),IF(OR(L105="X",L105="x"),0,(LEN(SUBSTITUTE(SUBSTITUTE(SUBSTITUTE(M105," ",""),"0",""),"-",""))+LEN(SUBSTITUTE(SUBSTITUTE(SUBSTITUTE(N105," ",""),"0",""),"-",""))&lt;LEN(SUBSTITUTE(SUBSTITUTE(SUBSTITUTE(J105," ",""),"0",""),"-",""))+LEN(SUBSTITUTE(SUBSTITUTE(SUBSTITUTE(K105," ",""),"0",""),"-","")))*1),0)</f>
      </c>
      <c r="L109" s="14" t="str">
        <f>IF(OR(COUNTA(J103,K103,M103,N103)&gt;0,OR(L103="X",L103="x")),IF(OR(L103="X",L103="x"),1,0),0)+IF(OR(COUNTA(J105,K105,M105,N105)&gt;0,OR(L105="X",L105="x")),IF(OR(L105="X",L105="x"),1,0),0)</f>
      </c>
      <c r="M109" s="14" t="str">
        <f>LEN(SUBSTITUTE(SUBSTITUTE(SUBSTITUTE(J103," ",""),"0",""),"-",""))+LEN(SUBSTITUTE(SUBSTITUTE(SUBSTITUTE(K103," ",""),"0",""),"-",""))+LEN(SUBSTITUTE(SUBSTITUTE(SUBSTITUTE(M105," ",""),"0",""),"-",""))+LEN(SUBSTITUTE(SUBSTITUTE(SUBSTITUTE(N105," ",""),"0",""),"-",""))</f>
      </c>
      <c r="N109" s="14" t="str">
        <f>LEN(SUBSTITUTE(SUBSTITUTE(SUBSTITUTE(M103," ",""),"0",""),"-",""))+LEN(SUBSTITUTE(SUBSTITUTE(SUBSTITUTE(N103," ",""),"0",""),"-",""))+LEN(SUBSTITUTE(SUBSTITUTE(SUBSTITUTE(J105," ",""),"0",""),"-",""))+LEN(SUBSTITUTE(SUBSTITUTE(SUBSTITUTE(K105," ",""),"0",""),"-",""))</f>
      </c>
    </row>
    <row r="110">
      <c r="A110" s="14" t="str">
        <f>data!$B$24</f>
      </c>
      <c r="B110" s="14" t="str">
        <f>IF(OR(COUNTA(B104,C104,E104,F104)&gt;0,OR(D104="X",D104="x")),IF(OR(D104="X",D104="x"),0,(LEN(SUBSTITUTE(SUBSTITUTE(SUBSTITUTE(B104," ",""),"0",""),"-",""))+LEN(SUBSTITUTE(SUBSTITUTE(SUBSTITUTE(C104," ",""),"0",""),"-",""))&gt;LEN(SUBSTITUTE(SUBSTITUTE(SUBSTITUTE(E104," ",""),"0",""),"-",""))+LEN(SUBSTITUTE(SUBSTITUTE(SUBSTITUTE(F104," ",""),"0",""),"-","")))*1),0)+IF(OR(COUNTA(B105,C105,E105,F105)&gt;0,OR(D105="X",D105="x")),IF(OR(D105="X",D105="x"),0,(LEN(SUBSTITUTE(SUBSTITUTE(SUBSTITUTE(B105," ",""),"0",""),"-",""))+LEN(SUBSTITUTE(SUBSTITUTE(SUBSTITUTE(C105," ",""),"0",""),"-",""))&gt;LEN(SUBSTITUTE(SUBSTITUTE(SUBSTITUTE(E105," ",""),"0",""),"-",""))+LEN(SUBSTITUTE(SUBSTITUTE(SUBSTITUTE(F105," ",""),"0",""),"-","")))*1),0)</f>
      </c>
      <c r="C110" s="14" t="str">
        <f>IF(OR(COUNTA(B104,C104,E104,F104)&gt;0,OR(D104="X",D104="x")),IF(OR(D104="X",D104="x"),0,(LEN(SUBSTITUTE(SUBSTITUTE(SUBSTITUTE(B104," ",""),"0",""),"-",""))+LEN(SUBSTITUTE(SUBSTITUTE(SUBSTITUTE(C104," ",""),"0",""),"-",""))&lt;LEN(SUBSTITUTE(SUBSTITUTE(SUBSTITUTE(E104," ",""),"0",""),"-",""))+LEN(SUBSTITUTE(SUBSTITUTE(SUBSTITUTE(F104," ",""),"0",""),"-","")))*1),0)+IF(OR(COUNTA(B105,C105,E105,F105)&gt;0,OR(D105="X",D105="x")),IF(OR(D105="X",D105="x"),0,(LEN(SUBSTITUTE(SUBSTITUTE(SUBSTITUTE(B105," ",""),"0",""),"-",""))+LEN(SUBSTITUTE(SUBSTITUTE(SUBSTITUTE(C105," ",""),"0",""),"-",""))&lt;LEN(SUBSTITUTE(SUBSTITUTE(SUBSTITUTE(E105," ",""),"0",""),"-",""))+LEN(SUBSTITUTE(SUBSTITUTE(SUBSTITUTE(F105," ",""),"0",""),"-","")))*1),0)</f>
      </c>
      <c r="D110" s="14" t="str">
        <f>IF(OR(COUNTA(B104,C104,E104,F104)&gt;0,OR(D104="X",D104="x")),IF(OR(D104="X",D104="x"),1,0),0)+IF(OR(COUNTA(B105,C105,E105,F105)&gt;0,OR(D105="X",D105="x")),IF(OR(D105="X",D105="x"),1,0),0)</f>
      </c>
      <c r="E110" s="14" t="str">
        <f>LEN(SUBSTITUTE(SUBSTITUTE(SUBSTITUTE(B104," ",""),"0",""),"-",""))+LEN(SUBSTITUTE(SUBSTITUTE(SUBSTITUTE(C104," ",""),"0",""),"-",""))+LEN(SUBSTITUTE(SUBSTITUTE(SUBSTITUTE(B105," ",""),"0",""),"-",""))+LEN(SUBSTITUTE(SUBSTITUTE(SUBSTITUTE(C105," ",""),"0",""),"-",""))</f>
      </c>
      <c r="F110" s="14" t="str">
        <f>LEN(SUBSTITUTE(SUBSTITUTE(SUBSTITUTE(E104," ",""),"0",""),"-",""))+LEN(SUBSTITUTE(SUBSTITUTE(SUBSTITUTE(F104," ",""),"0",""),"-",""))+LEN(SUBSTITUTE(SUBSTITUTE(SUBSTITUTE(E105," ",""),"0",""),"-",""))+LEN(SUBSTITUTE(SUBSTITUTE(SUBSTITUTE(F105," ",""),"0",""),"-",""))</f>
      </c>
      <c r="I110" s="14" t="str">
        <f>data!$B$69</f>
      </c>
      <c r="J110" s="14" t="str">
        <f>IF(OR(COUNTA(J104,K104,M104,N104)&gt;0,OR(L104="X",L104="x")),IF(OR(L104="X",L104="x"),0,(LEN(SUBSTITUTE(SUBSTITUTE(SUBSTITUTE(J104," ",""),"0",""),"-",""))+LEN(SUBSTITUTE(SUBSTITUTE(SUBSTITUTE(K104," ",""),"0",""),"-",""))&gt;LEN(SUBSTITUTE(SUBSTITUTE(SUBSTITUTE(M104," ",""),"0",""),"-",""))+LEN(SUBSTITUTE(SUBSTITUTE(SUBSTITUTE(N104," ",""),"0",""),"-","")))*1),0)+IF(OR(COUNTA(J105,K105,M105,N105)&gt;0,OR(L105="X",L105="x")),IF(OR(L105="X",L105="x"),0,(LEN(SUBSTITUTE(SUBSTITUTE(SUBSTITUTE(J105," ",""),"0",""),"-",""))+LEN(SUBSTITUTE(SUBSTITUTE(SUBSTITUTE(K105," ",""),"0",""),"-",""))&gt;LEN(SUBSTITUTE(SUBSTITUTE(SUBSTITUTE(M105," ",""),"0",""),"-",""))+LEN(SUBSTITUTE(SUBSTITUTE(SUBSTITUTE(N105," ",""),"0",""),"-","")))*1),0)</f>
      </c>
      <c r="K110" s="14" t="str">
        <f>IF(OR(COUNTA(J104,K104,M104,N104)&gt;0,OR(L104="X",L104="x")),IF(OR(L104="X",L104="x"),0,(LEN(SUBSTITUTE(SUBSTITUTE(SUBSTITUTE(J104," ",""),"0",""),"-",""))+LEN(SUBSTITUTE(SUBSTITUTE(SUBSTITUTE(K104," ",""),"0",""),"-",""))&lt;LEN(SUBSTITUTE(SUBSTITUTE(SUBSTITUTE(M104," ",""),"0",""),"-",""))+LEN(SUBSTITUTE(SUBSTITUTE(SUBSTITUTE(N104," ",""),"0",""),"-","")))*1),0)+IF(OR(COUNTA(J105,K105,M105,N105)&gt;0,OR(L105="X",L105="x")),IF(OR(L105="X",L105="x"),0,(LEN(SUBSTITUTE(SUBSTITUTE(SUBSTITUTE(J105," ",""),"0",""),"-",""))+LEN(SUBSTITUTE(SUBSTITUTE(SUBSTITUTE(K105," ",""),"0",""),"-",""))&lt;LEN(SUBSTITUTE(SUBSTITUTE(SUBSTITUTE(M105," ",""),"0",""),"-",""))+LEN(SUBSTITUTE(SUBSTITUTE(SUBSTITUTE(N105," ",""),"0",""),"-","")))*1),0)</f>
      </c>
      <c r="L110" s="14" t="str">
        <f>IF(OR(COUNTA(J104,K104,M104,N104)&gt;0,OR(L104="X",L104="x")),IF(OR(L104="X",L104="x"),1,0),0)+IF(OR(COUNTA(J105,K105,M105,N105)&gt;0,OR(L105="X",L105="x")),IF(OR(L105="X",L105="x"),1,0),0)</f>
      </c>
      <c r="M110" s="14" t="str">
        <f>LEN(SUBSTITUTE(SUBSTITUTE(SUBSTITUTE(J104," ",""),"0",""),"-",""))+LEN(SUBSTITUTE(SUBSTITUTE(SUBSTITUTE(K104," ",""),"0",""),"-",""))+LEN(SUBSTITUTE(SUBSTITUTE(SUBSTITUTE(J105," ",""),"0",""),"-",""))+LEN(SUBSTITUTE(SUBSTITUTE(SUBSTITUTE(K105," ",""),"0",""),"-",""))</f>
      </c>
      <c r="N110" s="14" t="str">
        <f>LEN(SUBSTITUTE(SUBSTITUTE(SUBSTITUTE(M104," ",""),"0",""),"-",""))+LEN(SUBSTITUTE(SUBSTITUTE(SUBSTITUTE(N104," ",""),"0",""),"-",""))+LEN(SUBSTITUTE(SUBSTITUTE(SUBSTITUTE(M105," ",""),"0",""),"-",""))+LEN(SUBSTITUTE(SUBSTITUTE(SUBSTITUTE(N105," ",""),"0",""),"-",""))</f>
      </c>
    </row>
    <row r="112">
      <c r="F112" t="s">
        <v>247</v>
      </c>
      <c r="G112" s="19"/>
      <c r="N112" t="s">
        <v>247</v>
      </c>
      <c r="O112" s="19"/>
    </row>
    <row r="113">
      <c r="F113" t="s">
        <v>248</v>
      </c>
      <c r="G113" s="19"/>
      <c r="N113" t="s">
        <v>248</v>
      </c>
      <c r="O113" s="19"/>
    </row>
    <row r="114">
      <c r="F114" t="s">
        <v>249</v>
      </c>
      <c r="G114" s="19"/>
      <c r="N114" t="s">
        <v>249</v>
      </c>
      <c r="O114" s="19"/>
    </row>
    <row r="117">
      <c r="A117" s="13" t="str">
        <f>data!$A$27</f>
      </c>
      <c r="B117" s="13"/>
      <c r="C117" s="13"/>
      <c r="D117" s="13"/>
      <c r="E117" s="13"/>
      <c r="F117" s="13"/>
      <c r="G117" s="13"/>
      <c r="I117" s="13" t="str">
        <f>data!$A$72</f>
      </c>
      <c r="J117" s="13"/>
      <c r="K117" s="13"/>
      <c r="L117" s="13"/>
      <c r="M117" s="13"/>
      <c r="N117" s="13"/>
      <c r="O117" s="13"/>
    </row>
    <row r="118">
      <c r="A118" s="17" t="s">
        <v>238</v>
      </c>
      <c r="D118" s="14" t="s">
        <v>239</v>
      </c>
      <c r="G118" s="16" t="s">
        <v>240</v>
      </c>
      <c r="I118" s="17" t="s">
        <v>238</v>
      </c>
      <c r="L118" s="14" t="s">
        <v>239</v>
      </c>
      <c r="O118" s="16" t="s">
        <v>240</v>
      </c>
    </row>
    <row r="119">
      <c r="A119" s="14" t="str">
        <f>data!$B$26</f>
      </c>
      <c r="B119" s="18"/>
      <c r="C119" s="18"/>
      <c r="D119" s="18"/>
      <c r="E119" s="18"/>
      <c r="F119" s="18"/>
      <c r="G119" s="14" t="str">
        <f>data!$B$25</f>
      </c>
      <c r="I119" s="14" t="str">
        <f>data!$B$71</f>
      </c>
      <c r="J119" s="18"/>
      <c r="K119" s="18"/>
      <c r="L119" s="18"/>
      <c r="M119" s="18"/>
      <c r="N119" s="18"/>
      <c r="O119" s="14" t="str">
        <f>data!$B$70</f>
      </c>
    </row>
    <row r="120">
      <c r="A120" s="14" t="str">
        <f>data!$B$27</f>
      </c>
      <c r="B120" s="18"/>
      <c r="C120" s="18"/>
      <c r="D120" s="18"/>
      <c r="E120" s="18"/>
      <c r="F120" s="18"/>
      <c r="G120" s="14" t="str">
        <f>data!$B$25</f>
      </c>
      <c r="I120" s="14" t="str">
        <f>data!$B$72</f>
      </c>
      <c r="J120" s="18"/>
      <c r="K120" s="18"/>
      <c r="L120" s="18"/>
      <c r="M120" s="18"/>
      <c r="N120" s="18"/>
      <c r="O120" s="14" t="str">
        <f>data!$B$70</f>
      </c>
    </row>
    <row r="121">
      <c r="A121" s="14" t="str">
        <f>data!$B$27</f>
      </c>
      <c r="B121" s="18"/>
      <c r="C121" s="18"/>
      <c r="D121" s="18"/>
      <c r="E121" s="18"/>
      <c r="F121" s="18"/>
      <c r="G121" s="14" t="str">
        <f>data!$B$26</f>
      </c>
      <c r="I121" s="14" t="str">
        <f>data!$B$72</f>
      </c>
      <c r="J121" s="18"/>
      <c r="K121" s="18"/>
      <c r="L121" s="18"/>
      <c r="M121" s="18"/>
      <c r="N121" s="18"/>
      <c r="O121" s="14" t="str">
        <f>data!$B$71</f>
      </c>
    </row>
    <row r="123">
      <c r="A123" s="13" t="s">
        <v>241</v>
      </c>
      <c r="B123" s="13" t="s">
        <v>242</v>
      </c>
      <c r="C123" s="13" t="s">
        <v>243</v>
      </c>
      <c r="D123" s="13" t="s">
        <v>244</v>
      </c>
      <c r="E123" s="13" t="s">
        <v>245</v>
      </c>
      <c r="F123" s="13" t="s">
        <v>246</v>
      </c>
      <c r="I123" s="13" t="s">
        <v>241</v>
      </c>
      <c r="J123" s="13" t="s">
        <v>242</v>
      </c>
      <c r="K123" s="13" t="s">
        <v>243</v>
      </c>
      <c r="L123" s="13" t="s">
        <v>244</v>
      </c>
      <c r="M123" s="13" t="s">
        <v>245</v>
      </c>
      <c r="N123" s="13" t="s">
        <v>246</v>
      </c>
    </row>
    <row r="124">
      <c r="A124" s="14" t="str">
        <f>data!$B$25</f>
      </c>
      <c r="B124" s="14" t="str">
        <f>IF(OR(COUNTA(B119,C119,E119,F119)&gt;0,OR(D119="X",D119="x")),IF(OR(D119="X",D119="x"),0,(LEN(SUBSTITUTE(SUBSTITUTE(SUBSTITUTE(E119," ",""),"0",""),"-",""))+LEN(SUBSTITUTE(SUBSTITUTE(SUBSTITUTE(F119," ",""),"0",""),"-",""))&gt;LEN(SUBSTITUTE(SUBSTITUTE(SUBSTITUTE(B119," ",""),"0",""),"-",""))+LEN(SUBSTITUTE(SUBSTITUTE(SUBSTITUTE(C119," ",""),"0",""),"-","")))*1),0)+IF(OR(COUNTA(B120,C120,E120,F120)&gt;0,OR(D120="X",D120="x")),IF(OR(D120="X",D120="x"),0,(LEN(SUBSTITUTE(SUBSTITUTE(SUBSTITUTE(E120," ",""),"0",""),"-",""))+LEN(SUBSTITUTE(SUBSTITUTE(SUBSTITUTE(F120," ",""),"0",""),"-",""))&gt;LEN(SUBSTITUTE(SUBSTITUTE(SUBSTITUTE(B120," ",""),"0",""),"-",""))+LEN(SUBSTITUTE(SUBSTITUTE(SUBSTITUTE(C120," ",""),"0",""),"-","")))*1),0)</f>
      </c>
      <c r="C124" s="14" t="str">
        <f>IF(OR(COUNTA(B119,C119,E119,F119)&gt;0,OR(D119="X",D119="x")),IF(OR(D119="X",D119="x"),0,(LEN(SUBSTITUTE(SUBSTITUTE(SUBSTITUTE(E119," ",""),"0",""),"-",""))+LEN(SUBSTITUTE(SUBSTITUTE(SUBSTITUTE(F119," ",""),"0",""),"-",""))&lt;LEN(SUBSTITUTE(SUBSTITUTE(SUBSTITUTE(B119," ",""),"0",""),"-",""))+LEN(SUBSTITUTE(SUBSTITUTE(SUBSTITUTE(C119," ",""),"0",""),"-","")))*1),0)+IF(OR(COUNTA(B120,C120,E120,F120)&gt;0,OR(D120="X",D120="x")),IF(OR(D120="X",D120="x"),0,(LEN(SUBSTITUTE(SUBSTITUTE(SUBSTITUTE(E120," ",""),"0",""),"-",""))+LEN(SUBSTITUTE(SUBSTITUTE(SUBSTITUTE(F120," ",""),"0",""),"-",""))&lt;LEN(SUBSTITUTE(SUBSTITUTE(SUBSTITUTE(B120," ",""),"0",""),"-",""))+LEN(SUBSTITUTE(SUBSTITUTE(SUBSTITUTE(C120," ",""),"0",""),"-","")))*1),0)</f>
      </c>
      <c r="D124" s="14" t="str">
        <f>IF(OR(COUNTA(B119,C119,E119,F119)&gt;0,OR(D119="X",D119="x")),IF(OR(D119="X",D119="x"),1,0),0)+IF(OR(COUNTA(B120,C120,E120,F120)&gt;0,OR(D120="X",D120="x")),IF(OR(D120="X",D120="x"),1,0),0)</f>
      </c>
      <c r="E124" s="14" t="str">
        <f>LEN(SUBSTITUTE(SUBSTITUTE(SUBSTITUTE(E119," ",""),"0",""),"-",""))+LEN(SUBSTITUTE(SUBSTITUTE(SUBSTITUTE(F119," ",""),"0",""),"-",""))+LEN(SUBSTITUTE(SUBSTITUTE(SUBSTITUTE(E120," ",""),"0",""),"-",""))+LEN(SUBSTITUTE(SUBSTITUTE(SUBSTITUTE(F120," ",""),"0",""),"-",""))</f>
      </c>
      <c r="F124" s="14" t="str">
        <f>LEN(SUBSTITUTE(SUBSTITUTE(SUBSTITUTE(B119," ",""),"0",""),"-",""))+LEN(SUBSTITUTE(SUBSTITUTE(SUBSTITUTE(C119," ",""),"0",""),"-",""))+LEN(SUBSTITUTE(SUBSTITUTE(SUBSTITUTE(B120," ",""),"0",""),"-",""))+LEN(SUBSTITUTE(SUBSTITUTE(SUBSTITUTE(C120," ",""),"0",""),"-",""))</f>
      </c>
      <c r="I124" s="14" t="str">
        <f>data!$B$70</f>
      </c>
      <c r="J124" s="14" t="str">
        <f>IF(OR(COUNTA(J119,K119,M119,N119)&gt;0,OR(L119="X",L119="x")),IF(OR(L119="X",L119="x"),0,(LEN(SUBSTITUTE(SUBSTITUTE(SUBSTITUTE(M119," ",""),"0",""),"-",""))+LEN(SUBSTITUTE(SUBSTITUTE(SUBSTITUTE(N119," ",""),"0",""),"-",""))&gt;LEN(SUBSTITUTE(SUBSTITUTE(SUBSTITUTE(J119," ",""),"0",""),"-",""))+LEN(SUBSTITUTE(SUBSTITUTE(SUBSTITUTE(K119," ",""),"0",""),"-","")))*1),0)+IF(OR(COUNTA(J120,K120,M120,N120)&gt;0,OR(L120="X",L120="x")),IF(OR(L120="X",L120="x"),0,(LEN(SUBSTITUTE(SUBSTITUTE(SUBSTITUTE(M120," ",""),"0",""),"-",""))+LEN(SUBSTITUTE(SUBSTITUTE(SUBSTITUTE(N120," ",""),"0",""),"-",""))&gt;LEN(SUBSTITUTE(SUBSTITUTE(SUBSTITUTE(J120," ",""),"0",""),"-",""))+LEN(SUBSTITUTE(SUBSTITUTE(SUBSTITUTE(K120," ",""),"0",""),"-","")))*1),0)</f>
      </c>
      <c r="K124" s="14" t="str">
        <f>IF(OR(COUNTA(J119,K119,M119,N119)&gt;0,OR(L119="X",L119="x")),IF(OR(L119="X",L119="x"),0,(LEN(SUBSTITUTE(SUBSTITUTE(SUBSTITUTE(M119," ",""),"0",""),"-",""))+LEN(SUBSTITUTE(SUBSTITUTE(SUBSTITUTE(N119," ",""),"0",""),"-",""))&lt;LEN(SUBSTITUTE(SUBSTITUTE(SUBSTITUTE(J119," ",""),"0",""),"-",""))+LEN(SUBSTITUTE(SUBSTITUTE(SUBSTITUTE(K119," ",""),"0",""),"-","")))*1),0)+IF(OR(COUNTA(J120,K120,M120,N120)&gt;0,OR(L120="X",L120="x")),IF(OR(L120="X",L120="x"),0,(LEN(SUBSTITUTE(SUBSTITUTE(SUBSTITUTE(M120," ",""),"0",""),"-",""))+LEN(SUBSTITUTE(SUBSTITUTE(SUBSTITUTE(N120," ",""),"0",""),"-",""))&lt;LEN(SUBSTITUTE(SUBSTITUTE(SUBSTITUTE(J120," ",""),"0",""),"-",""))+LEN(SUBSTITUTE(SUBSTITUTE(SUBSTITUTE(K120," ",""),"0",""),"-","")))*1),0)</f>
      </c>
      <c r="L124" s="14" t="str">
        <f>IF(OR(COUNTA(J119,K119,M119,N119)&gt;0,OR(L119="X",L119="x")),IF(OR(L119="X",L119="x"),1,0),0)+IF(OR(COUNTA(J120,K120,M120,N120)&gt;0,OR(L120="X",L120="x")),IF(OR(L120="X",L120="x"),1,0),0)</f>
      </c>
      <c r="M124" s="14" t="str">
        <f>LEN(SUBSTITUTE(SUBSTITUTE(SUBSTITUTE(M119," ",""),"0",""),"-",""))+LEN(SUBSTITUTE(SUBSTITUTE(SUBSTITUTE(N119," ",""),"0",""),"-",""))+LEN(SUBSTITUTE(SUBSTITUTE(SUBSTITUTE(M120," ",""),"0",""),"-",""))+LEN(SUBSTITUTE(SUBSTITUTE(SUBSTITUTE(N120," ",""),"0",""),"-",""))</f>
      </c>
      <c r="N124" s="14" t="str">
        <f>LEN(SUBSTITUTE(SUBSTITUTE(SUBSTITUTE(J119," ",""),"0",""),"-",""))+LEN(SUBSTITUTE(SUBSTITUTE(SUBSTITUTE(K119," ",""),"0",""),"-",""))+LEN(SUBSTITUTE(SUBSTITUTE(SUBSTITUTE(J120," ",""),"0",""),"-",""))+LEN(SUBSTITUTE(SUBSTITUTE(SUBSTITUTE(K120," ",""),"0",""),"-",""))</f>
      </c>
    </row>
    <row r="125">
      <c r="A125" s="14" t="str">
        <f>data!$B$26</f>
      </c>
      <c r="B125" s="14" t="str">
        <f>IF(OR(COUNTA(B119,C119,E119,F119)&gt;0,OR(D119="X",D119="x")),IF(OR(D119="X",D119="x"),0,(LEN(SUBSTITUTE(SUBSTITUTE(SUBSTITUTE(B119," ",""),"0",""),"-",""))+LEN(SUBSTITUTE(SUBSTITUTE(SUBSTITUTE(C119," ",""),"0",""),"-",""))&gt;LEN(SUBSTITUTE(SUBSTITUTE(SUBSTITUTE(E119," ",""),"0",""),"-",""))+LEN(SUBSTITUTE(SUBSTITUTE(SUBSTITUTE(F119," ",""),"0",""),"-","")))*1),0)+IF(OR(COUNTA(B121,C121,E121,F121)&gt;0,OR(D121="X",D121="x")),IF(OR(D121="X",D121="x"),0,(LEN(SUBSTITUTE(SUBSTITUTE(SUBSTITUTE(E121," ",""),"0",""),"-",""))+LEN(SUBSTITUTE(SUBSTITUTE(SUBSTITUTE(F121," ",""),"0",""),"-",""))&gt;LEN(SUBSTITUTE(SUBSTITUTE(SUBSTITUTE(B121," ",""),"0",""),"-",""))+LEN(SUBSTITUTE(SUBSTITUTE(SUBSTITUTE(C121," ",""),"0",""),"-","")))*1),0)</f>
      </c>
      <c r="C125" s="14" t="str">
        <f>IF(OR(COUNTA(B119,C119,E119,F119)&gt;0,OR(D119="X",D119="x")),IF(OR(D119="X",D119="x"),0,(LEN(SUBSTITUTE(SUBSTITUTE(SUBSTITUTE(B119," ",""),"0",""),"-",""))+LEN(SUBSTITUTE(SUBSTITUTE(SUBSTITUTE(C119," ",""),"0",""),"-",""))&lt;LEN(SUBSTITUTE(SUBSTITUTE(SUBSTITUTE(E119," ",""),"0",""),"-",""))+LEN(SUBSTITUTE(SUBSTITUTE(SUBSTITUTE(F119," ",""),"0",""),"-","")))*1),0)+IF(OR(COUNTA(B121,C121,E121,F121)&gt;0,OR(D121="X",D121="x")),IF(OR(D121="X",D121="x"),0,(LEN(SUBSTITUTE(SUBSTITUTE(SUBSTITUTE(E121," ",""),"0",""),"-",""))+LEN(SUBSTITUTE(SUBSTITUTE(SUBSTITUTE(F121," ",""),"0",""),"-",""))&lt;LEN(SUBSTITUTE(SUBSTITUTE(SUBSTITUTE(B121," ",""),"0",""),"-",""))+LEN(SUBSTITUTE(SUBSTITUTE(SUBSTITUTE(C121," ",""),"0",""),"-","")))*1),0)</f>
      </c>
      <c r="D125" s="14" t="str">
        <f>IF(OR(COUNTA(B119,C119,E119,F119)&gt;0,OR(D119="X",D119="x")),IF(OR(D119="X",D119="x"),1,0),0)+IF(OR(COUNTA(B121,C121,E121,F121)&gt;0,OR(D121="X",D121="x")),IF(OR(D121="X",D121="x"),1,0),0)</f>
      </c>
      <c r="E125" s="14" t="str">
        <f>LEN(SUBSTITUTE(SUBSTITUTE(SUBSTITUTE(B119," ",""),"0",""),"-",""))+LEN(SUBSTITUTE(SUBSTITUTE(SUBSTITUTE(C119," ",""),"0",""),"-",""))+LEN(SUBSTITUTE(SUBSTITUTE(SUBSTITUTE(E121," ",""),"0",""),"-",""))+LEN(SUBSTITUTE(SUBSTITUTE(SUBSTITUTE(F121," ",""),"0",""),"-",""))</f>
      </c>
      <c r="F125" s="14" t="str">
        <f>LEN(SUBSTITUTE(SUBSTITUTE(SUBSTITUTE(E119," ",""),"0",""),"-",""))+LEN(SUBSTITUTE(SUBSTITUTE(SUBSTITUTE(F119," ",""),"0",""),"-",""))+LEN(SUBSTITUTE(SUBSTITUTE(SUBSTITUTE(B121," ",""),"0",""),"-",""))+LEN(SUBSTITUTE(SUBSTITUTE(SUBSTITUTE(C121," ",""),"0",""),"-",""))</f>
      </c>
      <c r="I125" s="14" t="str">
        <f>data!$B$71</f>
      </c>
      <c r="J125" s="14" t="str">
        <f>IF(OR(COUNTA(J119,K119,M119,N119)&gt;0,OR(L119="X",L119="x")),IF(OR(L119="X",L119="x"),0,(LEN(SUBSTITUTE(SUBSTITUTE(SUBSTITUTE(J119," ",""),"0",""),"-",""))+LEN(SUBSTITUTE(SUBSTITUTE(SUBSTITUTE(K119," ",""),"0",""),"-",""))&gt;LEN(SUBSTITUTE(SUBSTITUTE(SUBSTITUTE(M119," ",""),"0",""),"-",""))+LEN(SUBSTITUTE(SUBSTITUTE(SUBSTITUTE(N119," ",""),"0",""),"-","")))*1),0)+IF(OR(COUNTA(J121,K121,M121,N121)&gt;0,OR(L121="X",L121="x")),IF(OR(L121="X",L121="x"),0,(LEN(SUBSTITUTE(SUBSTITUTE(SUBSTITUTE(M121," ",""),"0",""),"-",""))+LEN(SUBSTITUTE(SUBSTITUTE(SUBSTITUTE(N121," ",""),"0",""),"-",""))&gt;LEN(SUBSTITUTE(SUBSTITUTE(SUBSTITUTE(J121," ",""),"0",""),"-",""))+LEN(SUBSTITUTE(SUBSTITUTE(SUBSTITUTE(K121," ",""),"0",""),"-","")))*1),0)</f>
      </c>
      <c r="K125" s="14" t="str">
        <f>IF(OR(COUNTA(J119,K119,M119,N119)&gt;0,OR(L119="X",L119="x")),IF(OR(L119="X",L119="x"),0,(LEN(SUBSTITUTE(SUBSTITUTE(SUBSTITUTE(J119," ",""),"0",""),"-",""))+LEN(SUBSTITUTE(SUBSTITUTE(SUBSTITUTE(K119," ",""),"0",""),"-",""))&lt;LEN(SUBSTITUTE(SUBSTITUTE(SUBSTITUTE(M119," ",""),"0",""),"-",""))+LEN(SUBSTITUTE(SUBSTITUTE(SUBSTITUTE(N119," ",""),"0",""),"-","")))*1),0)+IF(OR(COUNTA(J121,K121,M121,N121)&gt;0,OR(L121="X",L121="x")),IF(OR(L121="X",L121="x"),0,(LEN(SUBSTITUTE(SUBSTITUTE(SUBSTITUTE(M121," ",""),"0",""),"-",""))+LEN(SUBSTITUTE(SUBSTITUTE(SUBSTITUTE(N121," ",""),"0",""),"-",""))&lt;LEN(SUBSTITUTE(SUBSTITUTE(SUBSTITUTE(J121," ",""),"0",""),"-",""))+LEN(SUBSTITUTE(SUBSTITUTE(SUBSTITUTE(K121," ",""),"0",""),"-","")))*1),0)</f>
      </c>
      <c r="L125" s="14" t="str">
        <f>IF(OR(COUNTA(J119,K119,M119,N119)&gt;0,OR(L119="X",L119="x")),IF(OR(L119="X",L119="x"),1,0),0)+IF(OR(COUNTA(J121,K121,M121,N121)&gt;0,OR(L121="X",L121="x")),IF(OR(L121="X",L121="x"),1,0),0)</f>
      </c>
      <c r="M125" s="14" t="str">
        <f>LEN(SUBSTITUTE(SUBSTITUTE(SUBSTITUTE(J119," ",""),"0",""),"-",""))+LEN(SUBSTITUTE(SUBSTITUTE(SUBSTITUTE(K119," ",""),"0",""),"-",""))+LEN(SUBSTITUTE(SUBSTITUTE(SUBSTITUTE(M121," ",""),"0",""),"-",""))+LEN(SUBSTITUTE(SUBSTITUTE(SUBSTITUTE(N121," ",""),"0",""),"-",""))</f>
      </c>
      <c r="N125" s="14" t="str">
        <f>LEN(SUBSTITUTE(SUBSTITUTE(SUBSTITUTE(M119," ",""),"0",""),"-",""))+LEN(SUBSTITUTE(SUBSTITUTE(SUBSTITUTE(N119," ",""),"0",""),"-",""))+LEN(SUBSTITUTE(SUBSTITUTE(SUBSTITUTE(J121," ",""),"0",""),"-",""))+LEN(SUBSTITUTE(SUBSTITUTE(SUBSTITUTE(K121," ",""),"0",""),"-",""))</f>
      </c>
    </row>
    <row r="126">
      <c r="A126" s="14" t="str">
        <f>data!$B$27</f>
      </c>
      <c r="B126" s="14" t="str">
        <f>IF(OR(COUNTA(B120,C120,E120,F120)&gt;0,OR(D120="X",D120="x")),IF(OR(D120="X",D120="x"),0,(LEN(SUBSTITUTE(SUBSTITUTE(SUBSTITUTE(B120," ",""),"0",""),"-",""))+LEN(SUBSTITUTE(SUBSTITUTE(SUBSTITUTE(C120," ",""),"0",""),"-",""))&gt;LEN(SUBSTITUTE(SUBSTITUTE(SUBSTITUTE(E120," ",""),"0",""),"-",""))+LEN(SUBSTITUTE(SUBSTITUTE(SUBSTITUTE(F120," ",""),"0",""),"-","")))*1),0)+IF(OR(COUNTA(B121,C121,E121,F121)&gt;0,OR(D121="X",D121="x")),IF(OR(D121="X",D121="x"),0,(LEN(SUBSTITUTE(SUBSTITUTE(SUBSTITUTE(B121," ",""),"0",""),"-",""))+LEN(SUBSTITUTE(SUBSTITUTE(SUBSTITUTE(C121," ",""),"0",""),"-",""))&gt;LEN(SUBSTITUTE(SUBSTITUTE(SUBSTITUTE(E121," ",""),"0",""),"-",""))+LEN(SUBSTITUTE(SUBSTITUTE(SUBSTITUTE(F121," ",""),"0",""),"-","")))*1),0)</f>
      </c>
      <c r="C126" s="14" t="str">
        <f>IF(OR(COUNTA(B120,C120,E120,F120)&gt;0,OR(D120="X",D120="x")),IF(OR(D120="X",D120="x"),0,(LEN(SUBSTITUTE(SUBSTITUTE(SUBSTITUTE(B120," ",""),"0",""),"-",""))+LEN(SUBSTITUTE(SUBSTITUTE(SUBSTITUTE(C120," ",""),"0",""),"-",""))&lt;LEN(SUBSTITUTE(SUBSTITUTE(SUBSTITUTE(E120," ",""),"0",""),"-",""))+LEN(SUBSTITUTE(SUBSTITUTE(SUBSTITUTE(F120," ",""),"0",""),"-","")))*1),0)+IF(OR(COUNTA(B121,C121,E121,F121)&gt;0,OR(D121="X",D121="x")),IF(OR(D121="X",D121="x"),0,(LEN(SUBSTITUTE(SUBSTITUTE(SUBSTITUTE(B121," ",""),"0",""),"-",""))+LEN(SUBSTITUTE(SUBSTITUTE(SUBSTITUTE(C121," ",""),"0",""),"-",""))&lt;LEN(SUBSTITUTE(SUBSTITUTE(SUBSTITUTE(E121," ",""),"0",""),"-",""))+LEN(SUBSTITUTE(SUBSTITUTE(SUBSTITUTE(F121," ",""),"0",""),"-","")))*1),0)</f>
      </c>
      <c r="D126" s="14" t="str">
        <f>IF(OR(COUNTA(B120,C120,E120,F120)&gt;0,OR(D120="X",D120="x")),IF(OR(D120="X",D120="x"),1,0),0)+IF(OR(COUNTA(B121,C121,E121,F121)&gt;0,OR(D121="X",D121="x")),IF(OR(D121="X",D121="x"),1,0),0)</f>
      </c>
      <c r="E126" s="14" t="str">
        <f>LEN(SUBSTITUTE(SUBSTITUTE(SUBSTITUTE(B120," ",""),"0",""),"-",""))+LEN(SUBSTITUTE(SUBSTITUTE(SUBSTITUTE(C120," ",""),"0",""),"-",""))+LEN(SUBSTITUTE(SUBSTITUTE(SUBSTITUTE(B121," ",""),"0",""),"-",""))+LEN(SUBSTITUTE(SUBSTITUTE(SUBSTITUTE(C121," ",""),"0",""),"-",""))</f>
      </c>
      <c r="F126" s="14" t="str">
        <f>LEN(SUBSTITUTE(SUBSTITUTE(SUBSTITUTE(E120," ",""),"0",""),"-",""))+LEN(SUBSTITUTE(SUBSTITUTE(SUBSTITUTE(F120," ",""),"0",""),"-",""))+LEN(SUBSTITUTE(SUBSTITUTE(SUBSTITUTE(E121," ",""),"0",""),"-",""))+LEN(SUBSTITUTE(SUBSTITUTE(SUBSTITUTE(F121," ",""),"0",""),"-",""))</f>
      </c>
      <c r="I126" s="14" t="str">
        <f>data!$B$72</f>
      </c>
      <c r="J126" s="14" t="str">
        <f>IF(OR(COUNTA(J120,K120,M120,N120)&gt;0,OR(L120="X",L120="x")),IF(OR(L120="X",L120="x"),0,(LEN(SUBSTITUTE(SUBSTITUTE(SUBSTITUTE(J120," ",""),"0",""),"-",""))+LEN(SUBSTITUTE(SUBSTITUTE(SUBSTITUTE(K120," ",""),"0",""),"-",""))&gt;LEN(SUBSTITUTE(SUBSTITUTE(SUBSTITUTE(M120," ",""),"0",""),"-",""))+LEN(SUBSTITUTE(SUBSTITUTE(SUBSTITUTE(N120," ",""),"0",""),"-","")))*1),0)+IF(OR(COUNTA(J121,K121,M121,N121)&gt;0,OR(L121="X",L121="x")),IF(OR(L121="X",L121="x"),0,(LEN(SUBSTITUTE(SUBSTITUTE(SUBSTITUTE(J121," ",""),"0",""),"-",""))+LEN(SUBSTITUTE(SUBSTITUTE(SUBSTITUTE(K121," ",""),"0",""),"-",""))&gt;LEN(SUBSTITUTE(SUBSTITUTE(SUBSTITUTE(M121," ",""),"0",""),"-",""))+LEN(SUBSTITUTE(SUBSTITUTE(SUBSTITUTE(N121," ",""),"0",""),"-","")))*1),0)</f>
      </c>
      <c r="K126" s="14" t="str">
        <f>IF(OR(COUNTA(J120,K120,M120,N120)&gt;0,OR(L120="X",L120="x")),IF(OR(L120="X",L120="x"),0,(LEN(SUBSTITUTE(SUBSTITUTE(SUBSTITUTE(J120," ",""),"0",""),"-",""))+LEN(SUBSTITUTE(SUBSTITUTE(SUBSTITUTE(K120," ",""),"0",""),"-",""))&lt;LEN(SUBSTITUTE(SUBSTITUTE(SUBSTITUTE(M120," ",""),"0",""),"-",""))+LEN(SUBSTITUTE(SUBSTITUTE(SUBSTITUTE(N120," ",""),"0",""),"-","")))*1),0)+IF(OR(COUNTA(J121,K121,M121,N121)&gt;0,OR(L121="X",L121="x")),IF(OR(L121="X",L121="x"),0,(LEN(SUBSTITUTE(SUBSTITUTE(SUBSTITUTE(J121," ",""),"0",""),"-",""))+LEN(SUBSTITUTE(SUBSTITUTE(SUBSTITUTE(K121," ",""),"0",""),"-",""))&lt;LEN(SUBSTITUTE(SUBSTITUTE(SUBSTITUTE(M121," ",""),"0",""),"-",""))+LEN(SUBSTITUTE(SUBSTITUTE(SUBSTITUTE(N121," ",""),"0",""),"-","")))*1),0)</f>
      </c>
      <c r="L126" s="14" t="str">
        <f>IF(OR(COUNTA(J120,K120,M120,N120)&gt;0,OR(L120="X",L120="x")),IF(OR(L120="X",L120="x"),1,0),0)+IF(OR(COUNTA(J121,K121,M121,N121)&gt;0,OR(L121="X",L121="x")),IF(OR(L121="X",L121="x"),1,0),0)</f>
      </c>
      <c r="M126" s="14" t="str">
        <f>LEN(SUBSTITUTE(SUBSTITUTE(SUBSTITUTE(J120," ",""),"0",""),"-",""))+LEN(SUBSTITUTE(SUBSTITUTE(SUBSTITUTE(K120," ",""),"0",""),"-",""))+LEN(SUBSTITUTE(SUBSTITUTE(SUBSTITUTE(J121," ",""),"0",""),"-",""))+LEN(SUBSTITUTE(SUBSTITUTE(SUBSTITUTE(K121," ",""),"0",""),"-",""))</f>
      </c>
      <c r="N126" s="14" t="str">
        <f>LEN(SUBSTITUTE(SUBSTITUTE(SUBSTITUTE(M120," ",""),"0",""),"-",""))+LEN(SUBSTITUTE(SUBSTITUTE(SUBSTITUTE(N120," ",""),"0",""),"-",""))+LEN(SUBSTITUTE(SUBSTITUTE(SUBSTITUTE(M121," ",""),"0",""),"-",""))+LEN(SUBSTITUTE(SUBSTITUTE(SUBSTITUTE(N121," ",""),"0",""),"-",""))</f>
      </c>
    </row>
    <row r="128">
      <c r="F128" t="s">
        <v>247</v>
      </c>
      <c r="G128" s="19"/>
      <c r="N128" t="s">
        <v>247</v>
      </c>
      <c r="O128" s="19"/>
    </row>
    <row r="129">
      <c r="F129" t="s">
        <v>248</v>
      </c>
      <c r="G129" s="19"/>
      <c r="N129" t="s">
        <v>248</v>
      </c>
      <c r="O129" s="19"/>
    </row>
    <row r="130">
      <c r="F130" t="s">
        <v>249</v>
      </c>
      <c r="G130" s="19"/>
      <c r="N130" t="s">
        <v>249</v>
      </c>
      <c r="O130" s="19"/>
    </row>
    <row r="133">
      <c r="A133" s="13" t="str">
        <f>data!$A$30</f>
      </c>
      <c r="B133" s="13"/>
      <c r="C133" s="13"/>
      <c r="D133" s="13"/>
      <c r="E133" s="13"/>
      <c r="F133" s="13"/>
      <c r="G133" s="13"/>
      <c r="I133" s="13" t="str">
        <f>data!$A$75</f>
      </c>
      <c r="J133" s="13"/>
      <c r="K133" s="13"/>
      <c r="L133" s="13"/>
      <c r="M133" s="13"/>
      <c r="N133" s="13"/>
      <c r="O133" s="13"/>
    </row>
    <row r="134">
      <c r="A134" s="17" t="s">
        <v>238</v>
      </c>
      <c r="D134" s="14" t="s">
        <v>239</v>
      </c>
      <c r="G134" s="16" t="s">
        <v>240</v>
      </c>
      <c r="I134" s="17" t="s">
        <v>238</v>
      </c>
      <c r="L134" s="14" t="s">
        <v>239</v>
      </c>
      <c r="O134" s="16" t="s">
        <v>240</v>
      </c>
    </row>
    <row r="135">
      <c r="A135" s="14" t="str">
        <f>data!$B$29</f>
      </c>
      <c r="B135" s="18"/>
      <c r="C135" s="18"/>
      <c r="D135" s="18"/>
      <c r="E135" s="18"/>
      <c r="F135" s="18"/>
      <c r="G135" s="14" t="str">
        <f>data!$B$28</f>
      </c>
      <c r="I135" s="14" t="str">
        <f>data!$B$74</f>
      </c>
      <c r="J135" s="18"/>
      <c r="K135" s="18"/>
      <c r="L135" s="18"/>
      <c r="M135" s="18"/>
      <c r="N135" s="18"/>
      <c r="O135" s="14" t="str">
        <f>data!$B$73</f>
      </c>
    </row>
    <row r="136">
      <c r="A136" s="14" t="str">
        <f>data!$B$30</f>
      </c>
      <c r="B136" s="18"/>
      <c r="C136" s="18"/>
      <c r="D136" s="18"/>
      <c r="E136" s="18"/>
      <c r="F136" s="18"/>
      <c r="G136" s="14" t="str">
        <f>data!$B$28</f>
      </c>
      <c r="I136" s="14" t="str">
        <f>data!$B$75</f>
      </c>
      <c r="J136" s="18"/>
      <c r="K136" s="18"/>
      <c r="L136" s="18"/>
      <c r="M136" s="18"/>
      <c r="N136" s="18"/>
      <c r="O136" s="14" t="str">
        <f>data!$B$73</f>
      </c>
    </row>
    <row r="137">
      <c r="A137" s="14" t="str">
        <f>data!$B$30</f>
      </c>
      <c r="B137" s="18"/>
      <c r="C137" s="18"/>
      <c r="D137" s="18"/>
      <c r="E137" s="18"/>
      <c r="F137" s="18"/>
      <c r="G137" s="14" t="str">
        <f>data!$B$29</f>
      </c>
      <c r="I137" s="14" t="str">
        <f>data!$B$75</f>
      </c>
      <c r="J137" s="18"/>
      <c r="K137" s="18"/>
      <c r="L137" s="18"/>
      <c r="M137" s="18"/>
      <c r="N137" s="18"/>
      <c r="O137" s="14" t="str">
        <f>data!$B$74</f>
      </c>
    </row>
    <row r="139">
      <c r="A139" s="13" t="s">
        <v>241</v>
      </c>
      <c r="B139" s="13" t="s">
        <v>242</v>
      </c>
      <c r="C139" s="13" t="s">
        <v>243</v>
      </c>
      <c r="D139" s="13" t="s">
        <v>244</v>
      </c>
      <c r="E139" s="13" t="s">
        <v>245</v>
      </c>
      <c r="F139" s="13" t="s">
        <v>246</v>
      </c>
      <c r="I139" s="13" t="s">
        <v>241</v>
      </c>
      <c r="J139" s="13" t="s">
        <v>242</v>
      </c>
      <c r="K139" s="13" t="s">
        <v>243</v>
      </c>
      <c r="L139" s="13" t="s">
        <v>244</v>
      </c>
      <c r="M139" s="13" t="s">
        <v>245</v>
      </c>
      <c r="N139" s="13" t="s">
        <v>246</v>
      </c>
    </row>
    <row r="140">
      <c r="A140" s="14" t="str">
        <f>data!$B$28</f>
      </c>
      <c r="B140" s="14" t="str">
        <f>IF(OR(COUNTA(B135,C135,E135,F135)&gt;0,OR(D135="X",D135="x")),IF(OR(D135="X",D135="x"),0,(LEN(SUBSTITUTE(SUBSTITUTE(SUBSTITUTE(E135," ",""),"0",""),"-",""))+LEN(SUBSTITUTE(SUBSTITUTE(SUBSTITUTE(F135," ",""),"0",""),"-",""))&gt;LEN(SUBSTITUTE(SUBSTITUTE(SUBSTITUTE(B135," ",""),"0",""),"-",""))+LEN(SUBSTITUTE(SUBSTITUTE(SUBSTITUTE(C135," ",""),"0",""),"-","")))*1),0)+IF(OR(COUNTA(B136,C136,E136,F136)&gt;0,OR(D136="X",D136="x")),IF(OR(D136="X",D136="x"),0,(LEN(SUBSTITUTE(SUBSTITUTE(SUBSTITUTE(E136," ",""),"0",""),"-",""))+LEN(SUBSTITUTE(SUBSTITUTE(SUBSTITUTE(F136," ",""),"0",""),"-",""))&gt;LEN(SUBSTITUTE(SUBSTITUTE(SUBSTITUTE(B136," ",""),"0",""),"-",""))+LEN(SUBSTITUTE(SUBSTITUTE(SUBSTITUTE(C136," ",""),"0",""),"-","")))*1),0)</f>
      </c>
      <c r="C140" s="14" t="str">
        <f>IF(OR(COUNTA(B135,C135,E135,F135)&gt;0,OR(D135="X",D135="x")),IF(OR(D135="X",D135="x"),0,(LEN(SUBSTITUTE(SUBSTITUTE(SUBSTITUTE(E135," ",""),"0",""),"-",""))+LEN(SUBSTITUTE(SUBSTITUTE(SUBSTITUTE(F135," ",""),"0",""),"-",""))&lt;LEN(SUBSTITUTE(SUBSTITUTE(SUBSTITUTE(B135," ",""),"0",""),"-",""))+LEN(SUBSTITUTE(SUBSTITUTE(SUBSTITUTE(C135," ",""),"0",""),"-","")))*1),0)+IF(OR(COUNTA(B136,C136,E136,F136)&gt;0,OR(D136="X",D136="x")),IF(OR(D136="X",D136="x"),0,(LEN(SUBSTITUTE(SUBSTITUTE(SUBSTITUTE(E136," ",""),"0",""),"-",""))+LEN(SUBSTITUTE(SUBSTITUTE(SUBSTITUTE(F136," ",""),"0",""),"-",""))&lt;LEN(SUBSTITUTE(SUBSTITUTE(SUBSTITUTE(B136," ",""),"0",""),"-",""))+LEN(SUBSTITUTE(SUBSTITUTE(SUBSTITUTE(C136," ",""),"0",""),"-","")))*1),0)</f>
      </c>
      <c r="D140" s="14" t="str">
        <f>IF(OR(COUNTA(B135,C135,E135,F135)&gt;0,OR(D135="X",D135="x")),IF(OR(D135="X",D135="x"),1,0),0)+IF(OR(COUNTA(B136,C136,E136,F136)&gt;0,OR(D136="X",D136="x")),IF(OR(D136="X",D136="x"),1,0),0)</f>
      </c>
      <c r="E140" s="14" t="str">
        <f>LEN(SUBSTITUTE(SUBSTITUTE(SUBSTITUTE(E135," ",""),"0",""),"-",""))+LEN(SUBSTITUTE(SUBSTITUTE(SUBSTITUTE(F135," ",""),"0",""),"-",""))+LEN(SUBSTITUTE(SUBSTITUTE(SUBSTITUTE(E136," ",""),"0",""),"-",""))+LEN(SUBSTITUTE(SUBSTITUTE(SUBSTITUTE(F136," ",""),"0",""),"-",""))</f>
      </c>
      <c r="F140" s="14" t="str">
        <f>LEN(SUBSTITUTE(SUBSTITUTE(SUBSTITUTE(B135," ",""),"0",""),"-",""))+LEN(SUBSTITUTE(SUBSTITUTE(SUBSTITUTE(C135," ",""),"0",""),"-",""))+LEN(SUBSTITUTE(SUBSTITUTE(SUBSTITUTE(B136," ",""),"0",""),"-",""))+LEN(SUBSTITUTE(SUBSTITUTE(SUBSTITUTE(C136," ",""),"0",""),"-",""))</f>
      </c>
      <c r="I140" s="14" t="str">
        <f>data!$B$73</f>
      </c>
      <c r="J140" s="14" t="str">
        <f>IF(OR(COUNTA(J135,K135,M135,N135)&gt;0,OR(L135="X",L135="x")),IF(OR(L135="X",L135="x"),0,(LEN(SUBSTITUTE(SUBSTITUTE(SUBSTITUTE(M135," ",""),"0",""),"-",""))+LEN(SUBSTITUTE(SUBSTITUTE(SUBSTITUTE(N135," ",""),"0",""),"-",""))&gt;LEN(SUBSTITUTE(SUBSTITUTE(SUBSTITUTE(J135," ",""),"0",""),"-",""))+LEN(SUBSTITUTE(SUBSTITUTE(SUBSTITUTE(K135," ",""),"0",""),"-","")))*1),0)+IF(OR(COUNTA(J136,K136,M136,N136)&gt;0,OR(L136="X",L136="x")),IF(OR(L136="X",L136="x"),0,(LEN(SUBSTITUTE(SUBSTITUTE(SUBSTITUTE(M136," ",""),"0",""),"-",""))+LEN(SUBSTITUTE(SUBSTITUTE(SUBSTITUTE(N136," ",""),"0",""),"-",""))&gt;LEN(SUBSTITUTE(SUBSTITUTE(SUBSTITUTE(J136," ",""),"0",""),"-",""))+LEN(SUBSTITUTE(SUBSTITUTE(SUBSTITUTE(K136," ",""),"0",""),"-","")))*1),0)</f>
      </c>
      <c r="K140" s="14" t="str">
        <f>IF(OR(COUNTA(J135,K135,M135,N135)&gt;0,OR(L135="X",L135="x")),IF(OR(L135="X",L135="x"),0,(LEN(SUBSTITUTE(SUBSTITUTE(SUBSTITUTE(M135," ",""),"0",""),"-",""))+LEN(SUBSTITUTE(SUBSTITUTE(SUBSTITUTE(N135," ",""),"0",""),"-",""))&lt;LEN(SUBSTITUTE(SUBSTITUTE(SUBSTITUTE(J135," ",""),"0",""),"-",""))+LEN(SUBSTITUTE(SUBSTITUTE(SUBSTITUTE(K135," ",""),"0",""),"-","")))*1),0)+IF(OR(COUNTA(J136,K136,M136,N136)&gt;0,OR(L136="X",L136="x")),IF(OR(L136="X",L136="x"),0,(LEN(SUBSTITUTE(SUBSTITUTE(SUBSTITUTE(M136," ",""),"0",""),"-",""))+LEN(SUBSTITUTE(SUBSTITUTE(SUBSTITUTE(N136," ",""),"0",""),"-",""))&lt;LEN(SUBSTITUTE(SUBSTITUTE(SUBSTITUTE(J136," ",""),"0",""),"-",""))+LEN(SUBSTITUTE(SUBSTITUTE(SUBSTITUTE(K136," ",""),"0",""),"-","")))*1),0)</f>
      </c>
      <c r="L140" s="14" t="str">
        <f>IF(OR(COUNTA(J135,K135,M135,N135)&gt;0,OR(L135="X",L135="x")),IF(OR(L135="X",L135="x"),1,0),0)+IF(OR(COUNTA(J136,K136,M136,N136)&gt;0,OR(L136="X",L136="x")),IF(OR(L136="X",L136="x"),1,0),0)</f>
      </c>
      <c r="M140" s="14" t="str">
        <f>LEN(SUBSTITUTE(SUBSTITUTE(SUBSTITUTE(M135," ",""),"0",""),"-",""))+LEN(SUBSTITUTE(SUBSTITUTE(SUBSTITUTE(N135," ",""),"0",""),"-",""))+LEN(SUBSTITUTE(SUBSTITUTE(SUBSTITUTE(M136," ",""),"0",""),"-",""))+LEN(SUBSTITUTE(SUBSTITUTE(SUBSTITUTE(N136," ",""),"0",""),"-",""))</f>
      </c>
      <c r="N140" s="14" t="str">
        <f>LEN(SUBSTITUTE(SUBSTITUTE(SUBSTITUTE(J135," ",""),"0",""),"-",""))+LEN(SUBSTITUTE(SUBSTITUTE(SUBSTITUTE(K135," ",""),"0",""),"-",""))+LEN(SUBSTITUTE(SUBSTITUTE(SUBSTITUTE(J136," ",""),"0",""),"-",""))+LEN(SUBSTITUTE(SUBSTITUTE(SUBSTITUTE(K136," ",""),"0",""),"-",""))</f>
      </c>
    </row>
    <row r="141">
      <c r="A141" s="14" t="str">
        <f>data!$B$29</f>
      </c>
      <c r="B141" s="14" t="str">
        <f>IF(OR(COUNTA(B135,C135,E135,F135)&gt;0,OR(D135="X",D135="x")),IF(OR(D135="X",D135="x"),0,(LEN(SUBSTITUTE(SUBSTITUTE(SUBSTITUTE(B135," ",""),"0",""),"-",""))+LEN(SUBSTITUTE(SUBSTITUTE(SUBSTITUTE(C135," ",""),"0",""),"-",""))&gt;LEN(SUBSTITUTE(SUBSTITUTE(SUBSTITUTE(E135," ",""),"0",""),"-",""))+LEN(SUBSTITUTE(SUBSTITUTE(SUBSTITUTE(F135," ",""),"0",""),"-","")))*1),0)+IF(OR(COUNTA(B137,C137,E137,F137)&gt;0,OR(D137="X",D137="x")),IF(OR(D137="X",D137="x"),0,(LEN(SUBSTITUTE(SUBSTITUTE(SUBSTITUTE(E137," ",""),"0",""),"-",""))+LEN(SUBSTITUTE(SUBSTITUTE(SUBSTITUTE(F137," ",""),"0",""),"-",""))&gt;LEN(SUBSTITUTE(SUBSTITUTE(SUBSTITUTE(B137," ",""),"0",""),"-",""))+LEN(SUBSTITUTE(SUBSTITUTE(SUBSTITUTE(C137," ",""),"0",""),"-","")))*1),0)</f>
      </c>
      <c r="C141" s="14" t="str">
        <f>IF(OR(COUNTA(B135,C135,E135,F135)&gt;0,OR(D135="X",D135="x")),IF(OR(D135="X",D135="x"),0,(LEN(SUBSTITUTE(SUBSTITUTE(SUBSTITUTE(B135," ",""),"0",""),"-",""))+LEN(SUBSTITUTE(SUBSTITUTE(SUBSTITUTE(C135," ",""),"0",""),"-",""))&lt;LEN(SUBSTITUTE(SUBSTITUTE(SUBSTITUTE(E135," ",""),"0",""),"-",""))+LEN(SUBSTITUTE(SUBSTITUTE(SUBSTITUTE(F135," ",""),"0",""),"-","")))*1),0)+IF(OR(COUNTA(B137,C137,E137,F137)&gt;0,OR(D137="X",D137="x")),IF(OR(D137="X",D137="x"),0,(LEN(SUBSTITUTE(SUBSTITUTE(SUBSTITUTE(E137," ",""),"0",""),"-",""))+LEN(SUBSTITUTE(SUBSTITUTE(SUBSTITUTE(F137," ",""),"0",""),"-",""))&lt;LEN(SUBSTITUTE(SUBSTITUTE(SUBSTITUTE(B137," ",""),"0",""),"-",""))+LEN(SUBSTITUTE(SUBSTITUTE(SUBSTITUTE(C137," ",""),"0",""),"-","")))*1),0)</f>
      </c>
      <c r="D141" s="14" t="str">
        <f>IF(OR(COUNTA(B135,C135,E135,F135)&gt;0,OR(D135="X",D135="x")),IF(OR(D135="X",D135="x"),1,0),0)+IF(OR(COUNTA(B137,C137,E137,F137)&gt;0,OR(D137="X",D137="x")),IF(OR(D137="X",D137="x"),1,0),0)</f>
      </c>
      <c r="E141" s="14" t="str">
        <f>LEN(SUBSTITUTE(SUBSTITUTE(SUBSTITUTE(B135," ",""),"0",""),"-",""))+LEN(SUBSTITUTE(SUBSTITUTE(SUBSTITUTE(C135," ",""),"0",""),"-",""))+LEN(SUBSTITUTE(SUBSTITUTE(SUBSTITUTE(E137," ",""),"0",""),"-",""))+LEN(SUBSTITUTE(SUBSTITUTE(SUBSTITUTE(F137," ",""),"0",""),"-",""))</f>
      </c>
      <c r="F141" s="14" t="str">
        <f>LEN(SUBSTITUTE(SUBSTITUTE(SUBSTITUTE(E135," ",""),"0",""),"-",""))+LEN(SUBSTITUTE(SUBSTITUTE(SUBSTITUTE(F135," ",""),"0",""),"-",""))+LEN(SUBSTITUTE(SUBSTITUTE(SUBSTITUTE(B137," ",""),"0",""),"-",""))+LEN(SUBSTITUTE(SUBSTITUTE(SUBSTITUTE(C137," ",""),"0",""),"-",""))</f>
      </c>
      <c r="I141" s="14" t="str">
        <f>data!$B$74</f>
      </c>
      <c r="J141" s="14" t="str">
        <f>IF(OR(COUNTA(J135,K135,M135,N135)&gt;0,OR(L135="X",L135="x")),IF(OR(L135="X",L135="x"),0,(LEN(SUBSTITUTE(SUBSTITUTE(SUBSTITUTE(J135," ",""),"0",""),"-",""))+LEN(SUBSTITUTE(SUBSTITUTE(SUBSTITUTE(K135," ",""),"0",""),"-",""))&gt;LEN(SUBSTITUTE(SUBSTITUTE(SUBSTITUTE(M135," ",""),"0",""),"-",""))+LEN(SUBSTITUTE(SUBSTITUTE(SUBSTITUTE(N135," ",""),"0",""),"-","")))*1),0)+IF(OR(COUNTA(J137,K137,M137,N137)&gt;0,OR(L137="X",L137="x")),IF(OR(L137="X",L137="x"),0,(LEN(SUBSTITUTE(SUBSTITUTE(SUBSTITUTE(M137," ",""),"0",""),"-",""))+LEN(SUBSTITUTE(SUBSTITUTE(SUBSTITUTE(N137," ",""),"0",""),"-",""))&gt;LEN(SUBSTITUTE(SUBSTITUTE(SUBSTITUTE(J137," ",""),"0",""),"-",""))+LEN(SUBSTITUTE(SUBSTITUTE(SUBSTITUTE(K137," ",""),"0",""),"-","")))*1),0)</f>
      </c>
      <c r="K141" s="14" t="str">
        <f>IF(OR(COUNTA(J135,K135,M135,N135)&gt;0,OR(L135="X",L135="x")),IF(OR(L135="X",L135="x"),0,(LEN(SUBSTITUTE(SUBSTITUTE(SUBSTITUTE(J135," ",""),"0",""),"-",""))+LEN(SUBSTITUTE(SUBSTITUTE(SUBSTITUTE(K135," ",""),"0",""),"-",""))&lt;LEN(SUBSTITUTE(SUBSTITUTE(SUBSTITUTE(M135," ",""),"0",""),"-",""))+LEN(SUBSTITUTE(SUBSTITUTE(SUBSTITUTE(N135," ",""),"0",""),"-","")))*1),0)+IF(OR(COUNTA(J137,K137,M137,N137)&gt;0,OR(L137="X",L137="x")),IF(OR(L137="X",L137="x"),0,(LEN(SUBSTITUTE(SUBSTITUTE(SUBSTITUTE(M137," ",""),"0",""),"-",""))+LEN(SUBSTITUTE(SUBSTITUTE(SUBSTITUTE(N137," ",""),"0",""),"-",""))&lt;LEN(SUBSTITUTE(SUBSTITUTE(SUBSTITUTE(J137," ",""),"0",""),"-",""))+LEN(SUBSTITUTE(SUBSTITUTE(SUBSTITUTE(K137," ",""),"0",""),"-","")))*1),0)</f>
      </c>
      <c r="L141" s="14" t="str">
        <f>IF(OR(COUNTA(J135,K135,M135,N135)&gt;0,OR(L135="X",L135="x")),IF(OR(L135="X",L135="x"),1,0),0)+IF(OR(COUNTA(J137,K137,M137,N137)&gt;0,OR(L137="X",L137="x")),IF(OR(L137="X",L137="x"),1,0),0)</f>
      </c>
      <c r="M141" s="14" t="str">
        <f>LEN(SUBSTITUTE(SUBSTITUTE(SUBSTITUTE(J135," ",""),"0",""),"-",""))+LEN(SUBSTITUTE(SUBSTITUTE(SUBSTITUTE(K135," ",""),"0",""),"-",""))+LEN(SUBSTITUTE(SUBSTITUTE(SUBSTITUTE(M137," ",""),"0",""),"-",""))+LEN(SUBSTITUTE(SUBSTITUTE(SUBSTITUTE(N137," ",""),"0",""),"-",""))</f>
      </c>
      <c r="N141" s="14" t="str">
        <f>LEN(SUBSTITUTE(SUBSTITUTE(SUBSTITUTE(M135," ",""),"0",""),"-",""))+LEN(SUBSTITUTE(SUBSTITUTE(SUBSTITUTE(N135," ",""),"0",""),"-",""))+LEN(SUBSTITUTE(SUBSTITUTE(SUBSTITUTE(J137," ",""),"0",""),"-",""))+LEN(SUBSTITUTE(SUBSTITUTE(SUBSTITUTE(K137," ",""),"0",""),"-",""))</f>
      </c>
    </row>
    <row r="142">
      <c r="A142" s="14" t="str">
        <f>data!$B$30</f>
      </c>
      <c r="B142" s="14" t="str">
        <f>IF(OR(COUNTA(B136,C136,E136,F136)&gt;0,OR(D136="X",D136="x")),IF(OR(D136="X",D136="x"),0,(LEN(SUBSTITUTE(SUBSTITUTE(SUBSTITUTE(B136," ",""),"0",""),"-",""))+LEN(SUBSTITUTE(SUBSTITUTE(SUBSTITUTE(C136," ",""),"0",""),"-",""))&gt;LEN(SUBSTITUTE(SUBSTITUTE(SUBSTITUTE(E136," ",""),"0",""),"-",""))+LEN(SUBSTITUTE(SUBSTITUTE(SUBSTITUTE(F136," ",""),"0",""),"-","")))*1),0)+IF(OR(COUNTA(B137,C137,E137,F137)&gt;0,OR(D137="X",D137="x")),IF(OR(D137="X",D137="x"),0,(LEN(SUBSTITUTE(SUBSTITUTE(SUBSTITUTE(B137," ",""),"0",""),"-",""))+LEN(SUBSTITUTE(SUBSTITUTE(SUBSTITUTE(C137," ",""),"0",""),"-",""))&gt;LEN(SUBSTITUTE(SUBSTITUTE(SUBSTITUTE(E137," ",""),"0",""),"-",""))+LEN(SUBSTITUTE(SUBSTITUTE(SUBSTITUTE(F137," ",""),"0",""),"-","")))*1),0)</f>
      </c>
      <c r="C142" s="14" t="str">
        <f>IF(OR(COUNTA(B136,C136,E136,F136)&gt;0,OR(D136="X",D136="x")),IF(OR(D136="X",D136="x"),0,(LEN(SUBSTITUTE(SUBSTITUTE(SUBSTITUTE(B136," ",""),"0",""),"-",""))+LEN(SUBSTITUTE(SUBSTITUTE(SUBSTITUTE(C136," ",""),"0",""),"-",""))&lt;LEN(SUBSTITUTE(SUBSTITUTE(SUBSTITUTE(E136," ",""),"0",""),"-",""))+LEN(SUBSTITUTE(SUBSTITUTE(SUBSTITUTE(F136," ",""),"0",""),"-","")))*1),0)+IF(OR(COUNTA(B137,C137,E137,F137)&gt;0,OR(D137="X",D137="x")),IF(OR(D137="X",D137="x"),0,(LEN(SUBSTITUTE(SUBSTITUTE(SUBSTITUTE(B137," ",""),"0",""),"-",""))+LEN(SUBSTITUTE(SUBSTITUTE(SUBSTITUTE(C137," ",""),"0",""),"-",""))&lt;LEN(SUBSTITUTE(SUBSTITUTE(SUBSTITUTE(E137," ",""),"0",""),"-",""))+LEN(SUBSTITUTE(SUBSTITUTE(SUBSTITUTE(F137," ",""),"0",""),"-","")))*1),0)</f>
      </c>
      <c r="D142" s="14" t="str">
        <f>IF(OR(COUNTA(B136,C136,E136,F136)&gt;0,OR(D136="X",D136="x")),IF(OR(D136="X",D136="x"),1,0),0)+IF(OR(COUNTA(B137,C137,E137,F137)&gt;0,OR(D137="X",D137="x")),IF(OR(D137="X",D137="x"),1,0),0)</f>
      </c>
      <c r="E142" s="14" t="str">
        <f>LEN(SUBSTITUTE(SUBSTITUTE(SUBSTITUTE(B136," ",""),"0",""),"-",""))+LEN(SUBSTITUTE(SUBSTITUTE(SUBSTITUTE(C136," ",""),"0",""),"-",""))+LEN(SUBSTITUTE(SUBSTITUTE(SUBSTITUTE(B137," ",""),"0",""),"-",""))+LEN(SUBSTITUTE(SUBSTITUTE(SUBSTITUTE(C137," ",""),"0",""),"-",""))</f>
      </c>
      <c r="F142" s="14" t="str">
        <f>LEN(SUBSTITUTE(SUBSTITUTE(SUBSTITUTE(E136," ",""),"0",""),"-",""))+LEN(SUBSTITUTE(SUBSTITUTE(SUBSTITUTE(F136," ",""),"0",""),"-",""))+LEN(SUBSTITUTE(SUBSTITUTE(SUBSTITUTE(E137," ",""),"0",""),"-",""))+LEN(SUBSTITUTE(SUBSTITUTE(SUBSTITUTE(F137," ",""),"0",""),"-",""))</f>
      </c>
      <c r="I142" s="14" t="str">
        <f>data!$B$75</f>
      </c>
      <c r="J142" s="14" t="str">
        <f>IF(OR(COUNTA(J136,K136,M136,N136)&gt;0,OR(L136="X",L136="x")),IF(OR(L136="X",L136="x"),0,(LEN(SUBSTITUTE(SUBSTITUTE(SUBSTITUTE(J136," ",""),"0",""),"-",""))+LEN(SUBSTITUTE(SUBSTITUTE(SUBSTITUTE(K136," ",""),"0",""),"-",""))&gt;LEN(SUBSTITUTE(SUBSTITUTE(SUBSTITUTE(M136," ",""),"0",""),"-",""))+LEN(SUBSTITUTE(SUBSTITUTE(SUBSTITUTE(N136," ",""),"0",""),"-","")))*1),0)+IF(OR(COUNTA(J137,K137,M137,N137)&gt;0,OR(L137="X",L137="x")),IF(OR(L137="X",L137="x"),0,(LEN(SUBSTITUTE(SUBSTITUTE(SUBSTITUTE(J137," ",""),"0",""),"-",""))+LEN(SUBSTITUTE(SUBSTITUTE(SUBSTITUTE(K137," ",""),"0",""),"-",""))&gt;LEN(SUBSTITUTE(SUBSTITUTE(SUBSTITUTE(M137," ",""),"0",""),"-",""))+LEN(SUBSTITUTE(SUBSTITUTE(SUBSTITUTE(N137," ",""),"0",""),"-","")))*1),0)</f>
      </c>
      <c r="K142" s="14" t="str">
        <f>IF(OR(COUNTA(J136,K136,M136,N136)&gt;0,OR(L136="X",L136="x")),IF(OR(L136="X",L136="x"),0,(LEN(SUBSTITUTE(SUBSTITUTE(SUBSTITUTE(J136," ",""),"0",""),"-",""))+LEN(SUBSTITUTE(SUBSTITUTE(SUBSTITUTE(K136," ",""),"0",""),"-",""))&lt;LEN(SUBSTITUTE(SUBSTITUTE(SUBSTITUTE(M136," ",""),"0",""),"-",""))+LEN(SUBSTITUTE(SUBSTITUTE(SUBSTITUTE(N136," ",""),"0",""),"-","")))*1),0)+IF(OR(COUNTA(J137,K137,M137,N137)&gt;0,OR(L137="X",L137="x")),IF(OR(L137="X",L137="x"),0,(LEN(SUBSTITUTE(SUBSTITUTE(SUBSTITUTE(J137," ",""),"0",""),"-",""))+LEN(SUBSTITUTE(SUBSTITUTE(SUBSTITUTE(K137," ",""),"0",""),"-",""))&lt;LEN(SUBSTITUTE(SUBSTITUTE(SUBSTITUTE(M137," ",""),"0",""),"-",""))+LEN(SUBSTITUTE(SUBSTITUTE(SUBSTITUTE(N137," ",""),"0",""),"-","")))*1),0)</f>
      </c>
      <c r="L142" s="14" t="str">
        <f>IF(OR(COUNTA(J136,K136,M136,N136)&gt;0,OR(L136="X",L136="x")),IF(OR(L136="X",L136="x"),1,0),0)+IF(OR(COUNTA(J137,K137,M137,N137)&gt;0,OR(L137="X",L137="x")),IF(OR(L137="X",L137="x"),1,0),0)</f>
      </c>
      <c r="M142" s="14" t="str">
        <f>LEN(SUBSTITUTE(SUBSTITUTE(SUBSTITUTE(J136," ",""),"0",""),"-",""))+LEN(SUBSTITUTE(SUBSTITUTE(SUBSTITUTE(K136," ",""),"0",""),"-",""))+LEN(SUBSTITUTE(SUBSTITUTE(SUBSTITUTE(J137," ",""),"0",""),"-",""))+LEN(SUBSTITUTE(SUBSTITUTE(SUBSTITUTE(K137," ",""),"0",""),"-",""))</f>
      </c>
      <c r="N142" s="14" t="str">
        <f>LEN(SUBSTITUTE(SUBSTITUTE(SUBSTITUTE(M136," ",""),"0",""),"-",""))+LEN(SUBSTITUTE(SUBSTITUTE(SUBSTITUTE(N136," ",""),"0",""),"-",""))+LEN(SUBSTITUTE(SUBSTITUTE(SUBSTITUTE(M137," ",""),"0",""),"-",""))+LEN(SUBSTITUTE(SUBSTITUTE(SUBSTITUTE(N137," ",""),"0",""),"-",""))</f>
      </c>
    </row>
    <row r="144">
      <c r="F144" t="s">
        <v>247</v>
      </c>
      <c r="G144" s="19"/>
      <c r="N144" t="s">
        <v>247</v>
      </c>
      <c r="O144" s="19"/>
    </row>
    <row r="145">
      <c r="F145" t="s">
        <v>248</v>
      </c>
      <c r="G145" s="19"/>
      <c r="N145" t="s">
        <v>248</v>
      </c>
      <c r="O145" s="19"/>
    </row>
    <row r="146">
      <c r="F146" t="s">
        <v>249</v>
      </c>
      <c r="G146" s="19"/>
      <c r="N146" t="s">
        <v>249</v>
      </c>
      <c r="O146" s="19"/>
    </row>
    <row r="149">
      <c r="A149" s="13" t="str">
        <f>data!$A$33</f>
      </c>
      <c r="B149" s="13"/>
      <c r="C149" s="13"/>
      <c r="D149" s="13"/>
      <c r="E149" s="13"/>
      <c r="F149" s="13"/>
      <c r="G149" s="13"/>
      <c r="I149" s="13" t="str">
        <f>data!$A$78</f>
      </c>
      <c r="J149" s="13"/>
      <c r="K149" s="13"/>
      <c r="L149" s="13"/>
      <c r="M149" s="13"/>
      <c r="N149" s="13"/>
      <c r="O149" s="13"/>
    </row>
    <row r="150">
      <c r="A150" s="17" t="s">
        <v>238</v>
      </c>
      <c r="D150" s="14" t="s">
        <v>239</v>
      </c>
      <c r="G150" s="16" t="s">
        <v>240</v>
      </c>
      <c r="I150" s="17" t="s">
        <v>238</v>
      </c>
      <c r="L150" s="14" t="s">
        <v>239</v>
      </c>
      <c r="O150" s="16" t="s">
        <v>240</v>
      </c>
    </row>
    <row r="151">
      <c r="A151" s="14" t="str">
        <f>data!$B$32</f>
      </c>
      <c r="B151" s="18"/>
      <c r="C151" s="18"/>
      <c r="D151" s="18"/>
      <c r="E151" s="18"/>
      <c r="F151" s="18"/>
      <c r="G151" s="14" t="str">
        <f>data!$B$31</f>
      </c>
      <c r="I151" s="14" t="str">
        <f>data!$B$77</f>
      </c>
      <c r="J151" s="18"/>
      <c r="K151" s="18"/>
      <c r="L151" s="18"/>
      <c r="M151" s="18"/>
      <c r="N151" s="18"/>
      <c r="O151" s="14" t="str">
        <f>data!$B$76</f>
      </c>
    </row>
    <row r="152">
      <c r="A152" s="14" t="str">
        <f>data!$B$33</f>
      </c>
      <c r="B152" s="18"/>
      <c r="C152" s="18"/>
      <c r="D152" s="18"/>
      <c r="E152" s="18"/>
      <c r="F152" s="18"/>
      <c r="G152" s="14" t="str">
        <f>data!$B$31</f>
      </c>
      <c r="I152" s="14" t="str">
        <f>data!$B$78</f>
      </c>
      <c r="J152" s="18"/>
      <c r="K152" s="18"/>
      <c r="L152" s="18"/>
      <c r="M152" s="18"/>
      <c r="N152" s="18"/>
      <c r="O152" s="14" t="str">
        <f>data!$B$76</f>
      </c>
    </row>
    <row r="153">
      <c r="A153" s="14" t="str">
        <f>data!$B$33</f>
      </c>
      <c r="B153" s="18"/>
      <c r="C153" s="18"/>
      <c r="D153" s="18"/>
      <c r="E153" s="18"/>
      <c r="F153" s="18"/>
      <c r="G153" s="14" t="str">
        <f>data!$B$32</f>
      </c>
      <c r="I153" s="14" t="str">
        <f>data!$B$78</f>
      </c>
      <c r="J153" s="18"/>
      <c r="K153" s="18"/>
      <c r="L153" s="18"/>
      <c r="M153" s="18"/>
      <c r="N153" s="18"/>
      <c r="O153" s="14" t="str">
        <f>data!$B$77</f>
      </c>
    </row>
    <row r="155">
      <c r="A155" s="13" t="s">
        <v>241</v>
      </c>
      <c r="B155" s="13" t="s">
        <v>242</v>
      </c>
      <c r="C155" s="13" t="s">
        <v>243</v>
      </c>
      <c r="D155" s="13" t="s">
        <v>244</v>
      </c>
      <c r="E155" s="13" t="s">
        <v>245</v>
      </c>
      <c r="F155" s="13" t="s">
        <v>246</v>
      </c>
      <c r="I155" s="13" t="s">
        <v>241</v>
      </c>
      <c r="J155" s="13" t="s">
        <v>242</v>
      </c>
      <c r="K155" s="13" t="s">
        <v>243</v>
      </c>
      <c r="L155" s="13" t="s">
        <v>244</v>
      </c>
      <c r="M155" s="13" t="s">
        <v>245</v>
      </c>
      <c r="N155" s="13" t="s">
        <v>246</v>
      </c>
    </row>
    <row r="156">
      <c r="A156" s="14" t="str">
        <f>data!$B$31</f>
      </c>
      <c r="B156" s="14" t="str">
        <f>IF(OR(COUNTA(B151,C151,E151,F151)&gt;0,OR(D151="X",D151="x")),IF(OR(D151="X",D151="x"),0,(LEN(SUBSTITUTE(SUBSTITUTE(SUBSTITUTE(E151," ",""),"0",""),"-",""))+LEN(SUBSTITUTE(SUBSTITUTE(SUBSTITUTE(F151," ",""),"0",""),"-",""))&gt;LEN(SUBSTITUTE(SUBSTITUTE(SUBSTITUTE(B151," ",""),"0",""),"-",""))+LEN(SUBSTITUTE(SUBSTITUTE(SUBSTITUTE(C151," ",""),"0",""),"-","")))*1),0)+IF(OR(COUNTA(B152,C152,E152,F152)&gt;0,OR(D152="X",D152="x")),IF(OR(D152="X",D152="x"),0,(LEN(SUBSTITUTE(SUBSTITUTE(SUBSTITUTE(E152," ",""),"0",""),"-",""))+LEN(SUBSTITUTE(SUBSTITUTE(SUBSTITUTE(F152," ",""),"0",""),"-",""))&gt;LEN(SUBSTITUTE(SUBSTITUTE(SUBSTITUTE(B152," ",""),"0",""),"-",""))+LEN(SUBSTITUTE(SUBSTITUTE(SUBSTITUTE(C152," ",""),"0",""),"-","")))*1),0)</f>
      </c>
      <c r="C156" s="14" t="str">
        <f>IF(OR(COUNTA(B151,C151,E151,F151)&gt;0,OR(D151="X",D151="x")),IF(OR(D151="X",D151="x"),0,(LEN(SUBSTITUTE(SUBSTITUTE(SUBSTITUTE(E151," ",""),"0",""),"-",""))+LEN(SUBSTITUTE(SUBSTITUTE(SUBSTITUTE(F151," ",""),"0",""),"-",""))&lt;LEN(SUBSTITUTE(SUBSTITUTE(SUBSTITUTE(B151," ",""),"0",""),"-",""))+LEN(SUBSTITUTE(SUBSTITUTE(SUBSTITUTE(C151," ",""),"0",""),"-","")))*1),0)+IF(OR(COUNTA(B152,C152,E152,F152)&gt;0,OR(D152="X",D152="x")),IF(OR(D152="X",D152="x"),0,(LEN(SUBSTITUTE(SUBSTITUTE(SUBSTITUTE(E152," ",""),"0",""),"-",""))+LEN(SUBSTITUTE(SUBSTITUTE(SUBSTITUTE(F152," ",""),"0",""),"-",""))&lt;LEN(SUBSTITUTE(SUBSTITUTE(SUBSTITUTE(B152," ",""),"0",""),"-",""))+LEN(SUBSTITUTE(SUBSTITUTE(SUBSTITUTE(C152," ",""),"0",""),"-","")))*1),0)</f>
      </c>
      <c r="D156" s="14" t="str">
        <f>IF(OR(COUNTA(B151,C151,E151,F151)&gt;0,OR(D151="X",D151="x")),IF(OR(D151="X",D151="x"),1,0),0)+IF(OR(COUNTA(B152,C152,E152,F152)&gt;0,OR(D152="X",D152="x")),IF(OR(D152="X",D152="x"),1,0),0)</f>
      </c>
      <c r="E156" s="14" t="str">
        <f>LEN(SUBSTITUTE(SUBSTITUTE(SUBSTITUTE(E151," ",""),"0",""),"-",""))+LEN(SUBSTITUTE(SUBSTITUTE(SUBSTITUTE(F151," ",""),"0",""),"-",""))+LEN(SUBSTITUTE(SUBSTITUTE(SUBSTITUTE(E152," ",""),"0",""),"-",""))+LEN(SUBSTITUTE(SUBSTITUTE(SUBSTITUTE(F152," ",""),"0",""),"-",""))</f>
      </c>
      <c r="F156" s="14" t="str">
        <f>LEN(SUBSTITUTE(SUBSTITUTE(SUBSTITUTE(B151," ",""),"0",""),"-",""))+LEN(SUBSTITUTE(SUBSTITUTE(SUBSTITUTE(C151," ",""),"0",""),"-",""))+LEN(SUBSTITUTE(SUBSTITUTE(SUBSTITUTE(B152," ",""),"0",""),"-",""))+LEN(SUBSTITUTE(SUBSTITUTE(SUBSTITUTE(C152," ",""),"0",""),"-",""))</f>
      </c>
      <c r="I156" s="14" t="str">
        <f>data!$B$76</f>
      </c>
      <c r="J156" s="14" t="str">
        <f>IF(OR(COUNTA(J151,K151,M151,N151)&gt;0,OR(L151="X",L151="x")),IF(OR(L151="X",L151="x"),0,(LEN(SUBSTITUTE(SUBSTITUTE(SUBSTITUTE(M151," ",""),"0",""),"-",""))+LEN(SUBSTITUTE(SUBSTITUTE(SUBSTITUTE(N151," ",""),"0",""),"-",""))&gt;LEN(SUBSTITUTE(SUBSTITUTE(SUBSTITUTE(J151," ",""),"0",""),"-",""))+LEN(SUBSTITUTE(SUBSTITUTE(SUBSTITUTE(K151," ",""),"0",""),"-","")))*1),0)+IF(OR(COUNTA(J152,K152,M152,N152)&gt;0,OR(L152="X",L152="x")),IF(OR(L152="X",L152="x"),0,(LEN(SUBSTITUTE(SUBSTITUTE(SUBSTITUTE(M152," ",""),"0",""),"-",""))+LEN(SUBSTITUTE(SUBSTITUTE(SUBSTITUTE(N152," ",""),"0",""),"-",""))&gt;LEN(SUBSTITUTE(SUBSTITUTE(SUBSTITUTE(J152," ",""),"0",""),"-",""))+LEN(SUBSTITUTE(SUBSTITUTE(SUBSTITUTE(K152," ",""),"0",""),"-","")))*1),0)</f>
      </c>
      <c r="K156" s="14" t="str">
        <f>IF(OR(COUNTA(J151,K151,M151,N151)&gt;0,OR(L151="X",L151="x")),IF(OR(L151="X",L151="x"),0,(LEN(SUBSTITUTE(SUBSTITUTE(SUBSTITUTE(M151," ",""),"0",""),"-",""))+LEN(SUBSTITUTE(SUBSTITUTE(SUBSTITUTE(N151," ",""),"0",""),"-",""))&lt;LEN(SUBSTITUTE(SUBSTITUTE(SUBSTITUTE(J151," ",""),"0",""),"-",""))+LEN(SUBSTITUTE(SUBSTITUTE(SUBSTITUTE(K151," ",""),"0",""),"-","")))*1),0)+IF(OR(COUNTA(J152,K152,M152,N152)&gt;0,OR(L152="X",L152="x")),IF(OR(L152="X",L152="x"),0,(LEN(SUBSTITUTE(SUBSTITUTE(SUBSTITUTE(M152," ",""),"0",""),"-",""))+LEN(SUBSTITUTE(SUBSTITUTE(SUBSTITUTE(N152," ",""),"0",""),"-",""))&lt;LEN(SUBSTITUTE(SUBSTITUTE(SUBSTITUTE(J152," ",""),"0",""),"-",""))+LEN(SUBSTITUTE(SUBSTITUTE(SUBSTITUTE(K152," ",""),"0",""),"-","")))*1),0)</f>
      </c>
      <c r="L156" s="14" t="str">
        <f>IF(OR(COUNTA(J151,K151,M151,N151)&gt;0,OR(L151="X",L151="x")),IF(OR(L151="X",L151="x"),1,0),0)+IF(OR(COUNTA(J152,K152,M152,N152)&gt;0,OR(L152="X",L152="x")),IF(OR(L152="X",L152="x"),1,0),0)</f>
      </c>
      <c r="M156" s="14" t="str">
        <f>LEN(SUBSTITUTE(SUBSTITUTE(SUBSTITUTE(M151," ",""),"0",""),"-",""))+LEN(SUBSTITUTE(SUBSTITUTE(SUBSTITUTE(N151," ",""),"0",""),"-",""))+LEN(SUBSTITUTE(SUBSTITUTE(SUBSTITUTE(M152," ",""),"0",""),"-",""))+LEN(SUBSTITUTE(SUBSTITUTE(SUBSTITUTE(N152," ",""),"0",""),"-",""))</f>
      </c>
      <c r="N156" s="14" t="str">
        <f>LEN(SUBSTITUTE(SUBSTITUTE(SUBSTITUTE(J151," ",""),"0",""),"-",""))+LEN(SUBSTITUTE(SUBSTITUTE(SUBSTITUTE(K151," ",""),"0",""),"-",""))+LEN(SUBSTITUTE(SUBSTITUTE(SUBSTITUTE(J152," ",""),"0",""),"-",""))+LEN(SUBSTITUTE(SUBSTITUTE(SUBSTITUTE(K152," ",""),"0",""),"-",""))</f>
      </c>
    </row>
    <row r="157">
      <c r="A157" s="14" t="str">
        <f>data!$B$32</f>
      </c>
      <c r="B157" s="14" t="str">
        <f>IF(OR(COUNTA(B151,C151,E151,F151)&gt;0,OR(D151="X",D151="x")),IF(OR(D151="X",D151="x"),0,(LEN(SUBSTITUTE(SUBSTITUTE(SUBSTITUTE(B151," ",""),"0",""),"-",""))+LEN(SUBSTITUTE(SUBSTITUTE(SUBSTITUTE(C151," ",""),"0",""),"-",""))&gt;LEN(SUBSTITUTE(SUBSTITUTE(SUBSTITUTE(E151," ",""),"0",""),"-",""))+LEN(SUBSTITUTE(SUBSTITUTE(SUBSTITUTE(F151," ",""),"0",""),"-","")))*1),0)+IF(OR(COUNTA(B153,C153,E153,F153)&gt;0,OR(D153="X",D153="x")),IF(OR(D153="X",D153="x"),0,(LEN(SUBSTITUTE(SUBSTITUTE(SUBSTITUTE(E153," ",""),"0",""),"-",""))+LEN(SUBSTITUTE(SUBSTITUTE(SUBSTITUTE(F153," ",""),"0",""),"-",""))&gt;LEN(SUBSTITUTE(SUBSTITUTE(SUBSTITUTE(B153," ",""),"0",""),"-",""))+LEN(SUBSTITUTE(SUBSTITUTE(SUBSTITUTE(C153," ",""),"0",""),"-","")))*1),0)</f>
      </c>
      <c r="C157" s="14" t="str">
        <f>IF(OR(COUNTA(B151,C151,E151,F151)&gt;0,OR(D151="X",D151="x")),IF(OR(D151="X",D151="x"),0,(LEN(SUBSTITUTE(SUBSTITUTE(SUBSTITUTE(B151," ",""),"0",""),"-",""))+LEN(SUBSTITUTE(SUBSTITUTE(SUBSTITUTE(C151," ",""),"0",""),"-",""))&lt;LEN(SUBSTITUTE(SUBSTITUTE(SUBSTITUTE(E151," ",""),"0",""),"-",""))+LEN(SUBSTITUTE(SUBSTITUTE(SUBSTITUTE(F151," ",""),"0",""),"-","")))*1),0)+IF(OR(COUNTA(B153,C153,E153,F153)&gt;0,OR(D153="X",D153="x")),IF(OR(D153="X",D153="x"),0,(LEN(SUBSTITUTE(SUBSTITUTE(SUBSTITUTE(E153," ",""),"0",""),"-",""))+LEN(SUBSTITUTE(SUBSTITUTE(SUBSTITUTE(F153," ",""),"0",""),"-",""))&lt;LEN(SUBSTITUTE(SUBSTITUTE(SUBSTITUTE(B153," ",""),"0",""),"-",""))+LEN(SUBSTITUTE(SUBSTITUTE(SUBSTITUTE(C153," ",""),"0",""),"-","")))*1),0)</f>
      </c>
      <c r="D157" s="14" t="str">
        <f>IF(OR(COUNTA(B151,C151,E151,F151)&gt;0,OR(D151="X",D151="x")),IF(OR(D151="X",D151="x"),1,0),0)+IF(OR(COUNTA(B153,C153,E153,F153)&gt;0,OR(D153="X",D153="x")),IF(OR(D153="X",D153="x"),1,0),0)</f>
      </c>
      <c r="E157" s="14" t="str">
        <f>LEN(SUBSTITUTE(SUBSTITUTE(SUBSTITUTE(B151," ",""),"0",""),"-",""))+LEN(SUBSTITUTE(SUBSTITUTE(SUBSTITUTE(C151," ",""),"0",""),"-",""))+LEN(SUBSTITUTE(SUBSTITUTE(SUBSTITUTE(E153," ",""),"0",""),"-",""))+LEN(SUBSTITUTE(SUBSTITUTE(SUBSTITUTE(F153," ",""),"0",""),"-",""))</f>
      </c>
      <c r="F157" s="14" t="str">
        <f>LEN(SUBSTITUTE(SUBSTITUTE(SUBSTITUTE(E151," ",""),"0",""),"-",""))+LEN(SUBSTITUTE(SUBSTITUTE(SUBSTITUTE(F151," ",""),"0",""),"-",""))+LEN(SUBSTITUTE(SUBSTITUTE(SUBSTITUTE(B153," ",""),"0",""),"-",""))+LEN(SUBSTITUTE(SUBSTITUTE(SUBSTITUTE(C153," ",""),"0",""),"-",""))</f>
      </c>
      <c r="I157" s="14" t="str">
        <f>data!$B$77</f>
      </c>
      <c r="J157" s="14" t="str">
        <f>IF(OR(COUNTA(J151,K151,M151,N151)&gt;0,OR(L151="X",L151="x")),IF(OR(L151="X",L151="x"),0,(LEN(SUBSTITUTE(SUBSTITUTE(SUBSTITUTE(J151," ",""),"0",""),"-",""))+LEN(SUBSTITUTE(SUBSTITUTE(SUBSTITUTE(K151," ",""),"0",""),"-",""))&gt;LEN(SUBSTITUTE(SUBSTITUTE(SUBSTITUTE(M151," ",""),"0",""),"-",""))+LEN(SUBSTITUTE(SUBSTITUTE(SUBSTITUTE(N151," ",""),"0",""),"-","")))*1),0)+IF(OR(COUNTA(J153,K153,M153,N153)&gt;0,OR(L153="X",L153="x")),IF(OR(L153="X",L153="x"),0,(LEN(SUBSTITUTE(SUBSTITUTE(SUBSTITUTE(M153," ",""),"0",""),"-",""))+LEN(SUBSTITUTE(SUBSTITUTE(SUBSTITUTE(N153," ",""),"0",""),"-",""))&gt;LEN(SUBSTITUTE(SUBSTITUTE(SUBSTITUTE(J153," ",""),"0",""),"-",""))+LEN(SUBSTITUTE(SUBSTITUTE(SUBSTITUTE(K153," ",""),"0",""),"-","")))*1),0)</f>
      </c>
      <c r="K157" s="14" t="str">
        <f>IF(OR(COUNTA(J151,K151,M151,N151)&gt;0,OR(L151="X",L151="x")),IF(OR(L151="X",L151="x"),0,(LEN(SUBSTITUTE(SUBSTITUTE(SUBSTITUTE(J151," ",""),"0",""),"-",""))+LEN(SUBSTITUTE(SUBSTITUTE(SUBSTITUTE(K151," ",""),"0",""),"-",""))&lt;LEN(SUBSTITUTE(SUBSTITUTE(SUBSTITUTE(M151," ",""),"0",""),"-",""))+LEN(SUBSTITUTE(SUBSTITUTE(SUBSTITUTE(N151," ",""),"0",""),"-","")))*1),0)+IF(OR(COUNTA(J153,K153,M153,N153)&gt;0,OR(L153="X",L153="x")),IF(OR(L153="X",L153="x"),0,(LEN(SUBSTITUTE(SUBSTITUTE(SUBSTITUTE(M153," ",""),"0",""),"-",""))+LEN(SUBSTITUTE(SUBSTITUTE(SUBSTITUTE(N153," ",""),"0",""),"-",""))&lt;LEN(SUBSTITUTE(SUBSTITUTE(SUBSTITUTE(J153," ",""),"0",""),"-",""))+LEN(SUBSTITUTE(SUBSTITUTE(SUBSTITUTE(K153," ",""),"0",""),"-","")))*1),0)</f>
      </c>
      <c r="L157" s="14" t="str">
        <f>IF(OR(COUNTA(J151,K151,M151,N151)&gt;0,OR(L151="X",L151="x")),IF(OR(L151="X",L151="x"),1,0),0)+IF(OR(COUNTA(J153,K153,M153,N153)&gt;0,OR(L153="X",L153="x")),IF(OR(L153="X",L153="x"),1,0),0)</f>
      </c>
      <c r="M157" s="14" t="str">
        <f>LEN(SUBSTITUTE(SUBSTITUTE(SUBSTITUTE(J151," ",""),"0",""),"-",""))+LEN(SUBSTITUTE(SUBSTITUTE(SUBSTITUTE(K151," ",""),"0",""),"-",""))+LEN(SUBSTITUTE(SUBSTITUTE(SUBSTITUTE(M153," ",""),"0",""),"-",""))+LEN(SUBSTITUTE(SUBSTITUTE(SUBSTITUTE(N153," ",""),"0",""),"-",""))</f>
      </c>
      <c r="N157" s="14" t="str">
        <f>LEN(SUBSTITUTE(SUBSTITUTE(SUBSTITUTE(M151," ",""),"0",""),"-",""))+LEN(SUBSTITUTE(SUBSTITUTE(SUBSTITUTE(N151," ",""),"0",""),"-",""))+LEN(SUBSTITUTE(SUBSTITUTE(SUBSTITUTE(J153," ",""),"0",""),"-",""))+LEN(SUBSTITUTE(SUBSTITUTE(SUBSTITUTE(K153," ",""),"0",""),"-",""))</f>
      </c>
    </row>
    <row r="158">
      <c r="A158" s="14" t="str">
        <f>data!$B$33</f>
      </c>
      <c r="B158" s="14" t="str">
        <f>IF(OR(COUNTA(B152,C152,E152,F152)&gt;0,OR(D152="X",D152="x")),IF(OR(D152="X",D152="x"),0,(LEN(SUBSTITUTE(SUBSTITUTE(SUBSTITUTE(B152," ",""),"0",""),"-",""))+LEN(SUBSTITUTE(SUBSTITUTE(SUBSTITUTE(C152," ",""),"0",""),"-",""))&gt;LEN(SUBSTITUTE(SUBSTITUTE(SUBSTITUTE(E152," ",""),"0",""),"-",""))+LEN(SUBSTITUTE(SUBSTITUTE(SUBSTITUTE(F152," ",""),"0",""),"-","")))*1),0)+IF(OR(COUNTA(B153,C153,E153,F153)&gt;0,OR(D153="X",D153="x")),IF(OR(D153="X",D153="x"),0,(LEN(SUBSTITUTE(SUBSTITUTE(SUBSTITUTE(B153," ",""),"0",""),"-",""))+LEN(SUBSTITUTE(SUBSTITUTE(SUBSTITUTE(C153," ",""),"0",""),"-",""))&gt;LEN(SUBSTITUTE(SUBSTITUTE(SUBSTITUTE(E153," ",""),"0",""),"-",""))+LEN(SUBSTITUTE(SUBSTITUTE(SUBSTITUTE(F153," ",""),"0",""),"-","")))*1),0)</f>
      </c>
      <c r="C158" s="14" t="str">
        <f>IF(OR(COUNTA(B152,C152,E152,F152)&gt;0,OR(D152="X",D152="x")),IF(OR(D152="X",D152="x"),0,(LEN(SUBSTITUTE(SUBSTITUTE(SUBSTITUTE(B152," ",""),"0",""),"-",""))+LEN(SUBSTITUTE(SUBSTITUTE(SUBSTITUTE(C152," ",""),"0",""),"-",""))&lt;LEN(SUBSTITUTE(SUBSTITUTE(SUBSTITUTE(E152," ",""),"0",""),"-",""))+LEN(SUBSTITUTE(SUBSTITUTE(SUBSTITUTE(F152," ",""),"0",""),"-","")))*1),0)+IF(OR(COUNTA(B153,C153,E153,F153)&gt;0,OR(D153="X",D153="x")),IF(OR(D153="X",D153="x"),0,(LEN(SUBSTITUTE(SUBSTITUTE(SUBSTITUTE(B153," ",""),"0",""),"-",""))+LEN(SUBSTITUTE(SUBSTITUTE(SUBSTITUTE(C153," ",""),"0",""),"-",""))&lt;LEN(SUBSTITUTE(SUBSTITUTE(SUBSTITUTE(E153," ",""),"0",""),"-",""))+LEN(SUBSTITUTE(SUBSTITUTE(SUBSTITUTE(F153," ",""),"0",""),"-","")))*1),0)</f>
      </c>
      <c r="D158" s="14" t="str">
        <f>IF(OR(COUNTA(B152,C152,E152,F152)&gt;0,OR(D152="X",D152="x")),IF(OR(D152="X",D152="x"),1,0),0)+IF(OR(COUNTA(B153,C153,E153,F153)&gt;0,OR(D153="X",D153="x")),IF(OR(D153="X",D153="x"),1,0),0)</f>
      </c>
      <c r="E158" s="14" t="str">
        <f>LEN(SUBSTITUTE(SUBSTITUTE(SUBSTITUTE(B152," ",""),"0",""),"-",""))+LEN(SUBSTITUTE(SUBSTITUTE(SUBSTITUTE(C152," ",""),"0",""),"-",""))+LEN(SUBSTITUTE(SUBSTITUTE(SUBSTITUTE(B153," ",""),"0",""),"-",""))+LEN(SUBSTITUTE(SUBSTITUTE(SUBSTITUTE(C153," ",""),"0",""),"-",""))</f>
      </c>
      <c r="F158" s="14" t="str">
        <f>LEN(SUBSTITUTE(SUBSTITUTE(SUBSTITUTE(E152," ",""),"0",""),"-",""))+LEN(SUBSTITUTE(SUBSTITUTE(SUBSTITUTE(F152," ",""),"0",""),"-",""))+LEN(SUBSTITUTE(SUBSTITUTE(SUBSTITUTE(E153," ",""),"0",""),"-",""))+LEN(SUBSTITUTE(SUBSTITUTE(SUBSTITUTE(F153," ",""),"0",""),"-",""))</f>
      </c>
      <c r="I158" s="14" t="str">
        <f>data!$B$78</f>
      </c>
      <c r="J158" s="14" t="str">
        <f>IF(OR(COUNTA(J152,K152,M152,N152)&gt;0,OR(L152="X",L152="x")),IF(OR(L152="X",L152="x"),0,(LEN(SUBSTITUTE(SUBSTITUTE(SUBSTITUTE(J152," ",""),"0",""),"-",""))+LEN(SUBSTITUTE(SUBSTITUTE(SUBSTITUTE(K152," ",""),"0",""),"-",""))&gt;LEN(SUBSTITUTE(SUBSTITUTE(SUBSTITUTE(M152," ",""),"0",""),"-",""))+LEN(SUBSTITUTE(SUBSTITUTE(SUBSTITUTE(N152," ",""),"0",""),"-","")))*1),0)+IF(OR(COUNTA(J153,K153,M153,N153)&gt;0,OR(L153="X",L153="x")),IF(OR(L153="X",L153="x"),0,(LEN(SUBSTITUTE(SUBSTITUTE(SUBSTITUTE(J153," ",""),"0",""),"-",""))+LEN(SUBSTITUTE(SUBSTITUTE(SUBSTITUTE(K153," ",""),"0",""),"-",""))&gt;LEN(SUBSTITUTE(SUBSTITUTE(SUBSTITUTE(M153," ",""),"0",""),"-",""))+LEN(SUBSTITUTE(SUBSTITUTE(SUBSTITUTE(N153," ",""),"0",""),"-","")))*1),0)</f>
      </c>
      <c r="K158" s="14" t="str">
        <f>IF(OR(COUNTA(J152,K152,M152,N152)&gt;0,OR(L152="X",L152="x")),IF(OR(L152="X",L152="x"),0,(LEN(SUBSTITUTE(SUBSTITUTE(SUBSTITUTE(J152," ",""),"0",""),"-",""))+LEN(SUBSTITUTE(SUBSTITUTE(SUBSTITUTE(K152," ",""),"0",""),"-",""))&lt;LEN(SUBSTITUTE(SUBSTITUTE(SUBSTITUTE(M152," ",""),"0",""),"-",""))+LEN(SUBSTITUTE(SUBSTITUTE(SUBSTITUTE(N152," ",""),"0",""),"-","")))*1),0)+IF(OR(COUNTA(J153,K153,M153,N153)&gt;0,OR(L153="X",L153="x")),IF(OR(L153="X",L153="x"),0,(LEN(SUBSTITUTE(SUBSTITUTE(SUBSTITUTE(J153," ",""),"0",""),"-",""))+LEN(SUBSTITUTE(SUBSTITUTE(SUBSTITUTE(K153," ",""),"0",""),"-",""))&lt;LEN(SUBSTITUTE(SUBSTITUTE(SUBSTITUTE(M153," ",""),"0",""),"-",""))+LEN(SUBSTITUTE(SUBSTITUTE(SUBSTITUTE(N153," ",""),"0",""),"-","")))*1),0)</f>
      </c>
      <c r="L158" s="14" t="str">
        <f>IF(OR(COUNTA(J152,K152,M152,N152)&gt;0,OR(L152="X",L152="x")),IF(OR(L152="X",L152="x"),1,0),0)+IF(OR(COUNTA(J153,K153,M153,N153)&gt;0,OR(L153="X",L153="x")),IF(OR(L153="X",L153="x"),1,0),0)</f>
      </c>
      <c r="M158" s="14" t="str">
        <f>LEN(SUBSTITUTE(SUBSTITUTE(SUBSTITUTE(J152," ",""),"0",""),"-",""))+LEN(SUBSTITUTE(SUBSTITUTE(SUBSTITUTE(K152," ",""),"0",""),"-",""))+LEN(SUBSTITUTE(SUBSTITUTE(SUBSTITUTE(J153," ",""),"0",""),"-",""))+LEN(SUBSTITUTE(SUBSTITUTE(SUBSTITUTE(K153," ",""),"0",""),"-",""))</f>
      </c>
      <c r="N158" s="14" t="str">
        <f>LEN(SUBSTITUTE(SUBSTITUTE(SUBSTITUTE(M152," ",""),"0",""),"-",""))+LEN(SUBSTITUTE(SUBSTITUTE(SUBSTITUTE(N152," ",""),"0",""),"-",""))+LEN(SUBSTITUTE(SUBSTITUTE(SUBSTITUTE(M153," ",""),"0",""),"-",""))+LEN(SUBSTITUTE(SUBSTITUTE(SUBSTITUTE(N153," ",""),"0",""),"-",""))</f>
      </c>
    </row>
    <row r="160">
      <c r="F160" t="s">
        <v>247</v>
      </c>
      <c r="G160" s="19"/>
      <c r="N160" t="s">
        <v>247</v>
      </c>
      <c r="O160" s="19"/>
    </row>
    <row r="161">
      <c r="F161" t="s">
        <v>248</v>
      </c>
      <c r="G161" s="19"/>
      <c r="N161" t="s">
        <v>248</v>
      </c>
      <c r="O161" s="19"/>
    </row>
    <row r="162">
      <c r="F162" t="s">
        <v>249</v>
      </c>
      <c r="G162" s="19"/>
      <c r="N162" t="s">
        <v>249</v>
      </c>
      <c r="O162" s="19"/>
    </row>
    <row r="165">
      <c r="A165" s="13" t="str">
        <f>data!$A$36</f>
      </c>
      <c r="B165" s="13"/>
      <c r="C165" s="13"/>
      <c r="D165" s="13"/>
      <c r="E165" s="13"/>
      <c r="F165" s="13"/>
      <c r="G165" s="13"/>
      <c r="I165" s="13" t="str">
        <f>data!$A$81</f>
      </c>
      <c r="J165" s="13"/>
      <c r="K165" s="13"/>
      <c r="L165" s="13"/>
      <c r="M165" s="13"/>
      <c r="N165" s="13"/>
      <c r="O165" s="13"/>
    </row>
    <row r="166">
      <c r="A166" s="17" t="s">
        <v>238</v>
      </c>
      <c r="D166" s="14" t="s">
        <v>239</v>
      </c>
      <c r="G166" s="16" t="s">
        <v>240</v>
      </c>
      <c r="I166" s="17" t="s">
        <v>238</v>
      </c>
      <c r="L166" s="14" t="s">
        <v>239</v>
      </c>
      <c r="O166" s="16" t="s">
        <v>240</v>
      </c>
    </row>
    <row r="167">
      <c r="A167" s="14" t="str">
        <f>data!$B$35</f>
      </c>
      <c r="B167" s="18"/>
      <c r="C167" s="18"/>
      <c r="D167" s="18"/>
      <c r="E167" s="18"/>
      <c r="F167" s="18"/>
      <c r="G167" s="14" t="str">
        <f>data!$B$34</f>
      </c>
      <c r="I167" s="14" t="str">
        <f>data!$B$80</f>
      </c>
      <c r="J167" s="18"/>
      <c r="K167" s="18"/>
      <c r="L167" s="18"/>
      <c r="M167" s="18"/>
      <c r="N167" s="18"/>
      <c r="O167" s="14" t="str">
        <f>data!$B$79</f>
      </c>
    </row>
    <row r="168">
      <c r="A168" s="14" t="str">
        <f>data!$B$36</f>
      </c>
      <c r="B168" s="18"/>
      <c r="C168" s="18"/>
      <c r="D168" s="18"/>
      <c r="E168" s="18"/>
      <c r="F168" s="18"/>
      <c r="G168" s="14" t="str">
        <f>data!$B$34</f>
      </c>
      <c r="I168" s="14" t="str">
        <f>data!$B$81</f>
      </c>
      <c r="J168" s="18"/>
      <c r="K168" s="18"/>
      <c r="L168" s="18"/>
      <c r="M168" s="18"/>
      <c r="N168" s="18"/>
      <c r="O168" s="14" t="str">
        <f>data!$B$79</f>
      </c>
    </row>
    <row r="169">
      <c r="A169" s="14" t="str">
        <f>data!$B$36</f>
      </c>
      <c r="B169" s="18"/>
      <c r="C169" s="18"/>
      <c r="D169" s="18"/>
      <c r="E169" s="18"/>
      <c r="F169" s="18"/>
      <c r="G169" s="14" t="str">
        <f>data!$B$35</f>
      </c>
      <c r="I169" s="14" t="str">
        <f>data!$B$81</f>
      </c>
      <c r="J169" s="18"/>
      <c r="K169" s="18"/>
      <c r="L169" s="18"/>
      <c r="M169" s="18"/>
      <c r="N169" s="18"/>
      <c r="O169" s="14" t="str">
        <f>data!$B$80</f>
      </c>
    </row>
    <row r="171">
      <c r="A171" s="13" t="s">
        <v>241</v>
      </c>
      <c r="B171" s="13" t="s">
        <v>242</v>
      </c>
      <c r="C171" s="13" t="s">
        <v>243</v>
      </c>
      <c r="D171" s="13" t="s">
        <v>244</v>
      </c>
      <c r="E171" s="13" t="s">
        <v>245</v>
      </c>
      <c r="F171" s="13" t="s">
        <v>246</v>
      </c>
      <c r="I171" s="13" t="s">
        <v>241</v>
      </c>
      <c r="J171" s="13" t="s">
        <v>242</v>
      </c>
      <c r="K171" s="13" t="s">
        <v>243</v>
      </c>
      <c r="L171" s="13" t="s">
        <v>244</v>
      </c>
      <c r="M171" s="13" t="s">
        <v>245</v>
      </c>
      <c r="N171" s="13" t="s">
        <v>246</v>
      </c>
    </row>
    <row r="172">
      <c r="A172" s="14" t="str">
        <f>data!$B$34</f>
      </c>
      <c r="B172" s="14" t="str">
        <f>IF(OR(COUNTA(B167,C167,E167,F167)&gt;0,OR(D167="X",D167="x")),IF(OR(D167="X",D167="x"),0,(LEN(SUBSTITUTE(SUBSTITUTE(SUBSTITUTE(E167," ",""),"0",""),"-",""))+LEN(SUBSTITUTE(SUBSTITUTE(SUBSTITUTE(F167," ",""),"0",""),"-",""))&gt;LEN(SUBSTITUTE(SUBSTITUTE(SUBSTITUTE(B167," ",""),"0",""),"-",""))+LEN(SUBSTITUTE(SUBSTITUTE(SUBSTITUTE(C167," ",""),"0",""),"-","")))*1),0)+IF(OR(COUNTA(B168,C168,E168,F168)&gt;0,OR(D168="X",D168="x")),IF(OR(D168="X",D168="x"),0,(LEN(SUBSTITUTE(SUBSTITUTE(SUBSTITUTE(E168," ",""),"0",""),"-",""))+LEN(SUBSTITUTE(SUBSTITUTE(SUBSTITUTE(F168," ",""),"0",""),"-",""))&gt;LEN(SUBSTITUTE(SUBSTITUTE(SUBSTITUTE(B168," ",""),"0",""),"-",""))+LEN(SUBSTITUTE(SUBSTITUTE(SUBSTITUTE(C168," ",""),"0",""),"-","")))*1),0)</f>
      </c>
      <c r="C172" s="14" t="str">
        <f>IF(OR(COUNTA(B167,C167,E167,F167)&gt;0,OR(D167="X",D167="x")),IF(OR(D167="X",D167="x"),0,(LEN(SUBSTITUTE(SUBSTITUTE(SUBSTITUTE(E167," ",""),"0",""),"-",""))+LEN(SUBSTITUTE(SUBSTITUTE(SUBSTITUTE(F167," ",""),"0",""),"-",""))&lt;LEN(SUBSTITUTE(SUBSTITUTE(SUBSTITUTE(B167," ",""),"0",""),"-",""))+LEN(SUBSTITUTE(SUBSTITUTE(SUBSTITUTE(C167," ",""),"0",""),"-","")))*1),0)+IF(OR(COUNTA(B168,C168,E168,F168)&gt;0,OR(D168="X",D168="x")),IF(OR(D168="X",D168="x"),0,(LEN(SUBSTITUTE(SUBSTITUTE(SUBSTITUTE(E168," ",""),"0",""),"-",""))+LEN(SUBSTITUTE(SUBSTITUTE(SUBSTITUTE(F168," ",""),"0",""),"-",""))&lt;LEN(SUBSTITUTE(SUBSTITUTE(SUBSTITUTE(B168," ",""),"0",""),"-",""))+LEN(SUBSTITUTE(SUBSTITUTE(SUBSTITUTE(C168," ",""),"0",""),"-","")))*1),0)</f>
      </c>
      <c r="D172" s="14" t="str">
        <f>IF(OR(COUNTA(B167,C167,E167,F167)&gt;0,OR(D167="X",D167="x")),IF(OR(D167="X",D167="x"),1,0),0)+IF(OR(COUNTA(B168,C168,E168,F168)&gt;0,OR(D168="X",D168="x")),IF(OR(D168="X",D168="x"),1,0),0)</f>
      </c>
      <c r="E172" s="14" t="str">
        <f>LEN(SUBSTITUTE(SUBSTITUTE(SUBSTITUTE(E167," ",""),"0",""),"-",""))+LEN(SUBSTITUTE(SUBSTITUTE(SUBSTITUTE(F167," ",""),"0",""),"-",""))+LEN(SUBSTITUTE(SUBSTITUTE(SUBSTITUTE(E168," ",""),"0",""),"-",""))+LEN(SUBSTITUTE(SUBSTITUTE(SUBSTITUTE(F168," ",""),"0",""),"-",""))</f>
      </c>
      <c r="F172" s="14" t="str">
        <f>LEN(SUBSTITUTE(SUBSTITUTE(SUBSTITUTE(B167," ",""),"0",""),"-",""))+LEN(SUBSTITUTE(SUBSTITUTE(SUBSTITUTE(C167," ",""),"0",""),"-",""))+LEN(SUBSTITUTE(SUBSTITUTE(SUBSTITUTE(B168," ",""),"0",""),"-",""))+LEN(SUBSTITUTE(SUBSTITUTE(SUBSTITUTE(C168," ",""),"0",""),"-",""))</f>
      </c>
      <c r="I172" s="14" t="str">
        <f>data!$B$79</f>
      </c>
      <c r="J172" s="14" t="str">
        <f>IF(OR(COUNTA(J167,K167,M167,N167)&gt;0,OR(L167="X",L167="x")),IF(OR(L167="X",L167="x"),0,(LEN(SUBSTITUTE(SUBSTITUTE(SUBSTITUTE(M167," ",""),"0",""),"-",""))+LEN(SUBSTITUTE(SUBSTITUTE(SUBSTITUTE(N167," ",""),"0",""),"-",""))&gt;LEN(SUBSTITUTE(SUBSTITUTE(SUBSTITUTE(J167," ",""),"0",""),"-",""))+LEN(SUBSTITUTE(SUBSTITUTE(SUBSTITUTE(K167," ",""),"0",""),"-","")))*1),0)+IF(OR(COUNTA(J168,K168,M168,N168)&gt;0,OR(L168="X",L168="x")),IF(OR(L168="X",L168="x"),0,(LEN(SUBSTITUTE(SUBSTITUTE(SUBSTITUTE(M168," ",""),"0",""),"-",""))+LEN(SUBSTITUTE(SUBSTITUTE(SUBSTITUTE(N168," ",""),"0",""),"-",""))&gt;LEN(SUBSTITUTE(SUBSTITUTE(SUBSTITUTE(J168," ",""),"0",""),"-",""))+LEN(SUBSTITUTE(SUBSTITUTE(SUBSTITUTE(K168," ",""),"0",""),"-","")))*1),0)</f>
      </c>
      <c r="K172" s="14" t="str">
        <f>IF(OR(COUNTA(J167,K167,M167,N167)&gt;0,OR(L167="X",L167="x")),IF(OR(L167="X",L167="x"),0,(LEN(SUBSTITUTE(SUBSTITUTE(SUBSTITUTE(M167," ",""),"0",""),"-",""))+LEN(SUBSTITUTE(SUBSTITUTE(SUBSTITUTE(N167," ",""),"0",""),"-",""))&lt;LEN(SUBSTITUTE(SUBSTITUTE(SUBSTITUTE(J167," ",""),"0",""),"-",""))+LEN(SUBSTITUTE(SUBSTITUTE(SUBSTITUTE(K167," ",""),"0",""),"-","")))*1),0)+IF(OR(COUNTA(J168,K168,M168,N168)&gt;0,OR(L168="X",L168="x")),IF(OR(L168="X",L168="x"),0,(LEN(SUBSTITUTE(SUBSTITUTE(SUBSTITUTE(M168," ",""),"0",""),"-",""))+LEN(SUBSTITUTE(SUBSTITUTE(SUBSTITUTE(N168," ",""),"0",""),"-",""))&lt;LEN(SUBSTITUTE(SUBSTITUTE(SUBSTITUTE(J168," ",""),"0",""),"-",""))+LEN(SUBSTITUTE(SUBSTITUTE(SUBSTITUTE(K168," ",""),"0",""),"-","")))*1),0)</f>
      </c>
      <c r="L172" s="14" t="str">
        <f>IF(OR(COUNTA(J167,K167,M167,N167)&gt;0,OR(L167="X",L167="x")),IF(OR(L167="X",L167="x"),1,0),0)+IF(OR(COUNTA(J168,K168,M168,N168)&gt;0,OR(L168="X",L168="x")),IF(OR(L168="X",L168="x"),1,0),0)</f>
      </c>
      <c r="M172" s="14" t="str">
        <f>LEN(SUBSTITUTE(SUBSTITUTE(SUBSTITUTE(M167," ",""),"0",""),"-",""))+LEN(SUBSTITUTE(SUBSTITUTE(SUBSTITUTE(N167," ",""),"0",""),"-",""))+LEN(SUBSTITUTE(SUBSTITUTE(SUBSTITUTE(M168," ",""),"0",""),"-",""))+LEN(SUBSTITUTE(SUBSTITUTE(SUBSTITUTE(N168," ",""),"0",""),"-",""))</f>
      </c>
      <c r="N172" s="14" t="str">
        <f>LEN(SUBSTITUTE(SUBSTITUTE(SUBSTITUTE(J167," ",""),"0",""),"-",""))+LEN(SUBSTITUTE(SUBSTITUTE(SUBSTITUTE(K167," ",""),"0",""),"-",""))+LEN(SUBSTITUTE(SUBSTITUTE(SUBSTITUTE(J168," ",""),"0",""),"-",""))+LEN(SUBSTITUTE(SUBSTITUTE(SUBSTITUTE(K168," ",""),"0",""),"-",""))</f>
      </c>
    </row>
    <row r="173">
      <c r="A173" s="14" t="str">
        <f>data!$B$35</f>
      </c>
      <c r="B173" s="14" t="str">
        <f>IF(OR(COUNTA(B167,C167,E167,F167)&gt;0,OR(D167="X",D167="x")),IF(OR(D167="X",D167="x"),0,(LEN(SUBSTITUTE(SUBSTITUTE(SUBSTITUTE(B167," ",""),"0",""),"-",""))+LEN(SUBSTITUTE(SUBSTITUTE(SUBSTITUTE(C167," ",""),"0",""),"-",""))&gt;LEN(SUBSTITUTE(SUBSTITUTE(SUBSTITUTE(E167," ",""),"0",""),"-",""))+LEN(SUBSTITUTE(SUBSTITUTE(SUBSTITUTE(F167," ",""),"0",""),"-","")))*1),0)+IF(OR(COUNTA(B169,C169,E169,F169)&gt;0,OR(D169="X",D169="x")),IF(OR(D169="X",D169="x"),0,(LEN(SUBSTITUTE(SUBSTITUTE(SUBSTITUTE(E169," ",""),"0",""),"-",""))+LEN(SUBSTITUTE(SUBSTITUTE(SUBSTITUTE(F169," ",""),"0",""),"-",""))&gt;LEN(SUBSTITUTE(SUBSTITUTE(SUBSTITUTE(B169," ",""),"0",""),"-",""))+LEN(SUBSTITUTE(SUBSTITUTE(SUBSTITUTE(C169," ",""),"0",""),"-","")))*1),0)</f>
      </c>
      <c r="C173" s="14" t="str">
        <f>IF(OR(COUNTA(B167,C167,E167,F167)&gt;0,OR(D167="X",D167="x")),IF(OR(D167="X",D167="x"),0,(LEN(SUBSTITUTE(SUBSTITUTE(SUBSTITUTE(B167," ",""),"0",""),"-",""))+LEN(SUBSTITUTE(SUBSTITUTE(SUBSTITUTE(C167," ",""),"0",""),"-",""))&lt;LEN(SUBSTITUTE(SUBSTITUTE(SUBSTITUTE(E167," ",""),"0",""),"-",""))+LEN(SUBSTITUTE(SUBSTITUTE(SUBSTITUTE(F167," ",""),"0",""),"-","")))*1),0)+IF(OR(COUNTA(B169,C169,E169,F169)&gt;0,OR(D169="X",D169="x")),IF(OR(D169="X",D169="x"),0,(LEN(SUBSTITUTE(SUBSTITUTE(SUBSTITUTE(E169," ",""),"0",""),"-",""))+LEN(SUBSTITUTE(SUBSTITUTE(SUBSTITUTE(F169," ",""),"0",""),"-",""))&lt;LEN(SUBSTITUTE(SUBSTITUTE(SUBSTITUTE(B169," ",""),"0",""),"-",""))+LEN(SUBSTITUTE(SUBSTITUTE(SUBSTITUTE(C169," ",""),"0",""),"-","")))*1),0)</f>
      </c>
      <c r="D173" s="14" t="str">
        <f>IF(OR(COUNTA(B167,C167,E167,F167)&gt;0,OR(D167="X",D167="x")),IF(OR(D167="X",D167="x"),1,0),0)+IF(OR(COUNTA(B169,C169,E169,F169)&gt;0,OR(D169="X",D169="x")),IF(OR(D169="X",D169="x"),1,0),0)</f>
      </c>
      <c r="E173" s="14" t="str">
        <f>LEN(SUBSTITUTE(SUBSTITUTE(SUBSTITUTE(B167," ",""),"0",""),"-",""))+LEN(SUBSTITUTE(SUBSTITUTE(SUBSTITUTE(C167," ",""),"0",""),"-",""))+LEN(SUBSTITUTE(SUBSTITUTE(SUBSTITUTE(E169," ",""),"0",""),"-",""))+LEN(SUBSTITUTE(SUBSTITUTE(SUBSTITUTE(F169," ",""),"0",""),"-",""))</f>
      </c>
      <c r="F173" s="14" t="str">
        <f>LEN(SUBSTITUTE(SUBSTITUTE(SUBSTITUTE(E167," ",""),"0",""),"-",""))+LEN(SUBSTITUTE(SUBSTITUTE(SUBSTITUTE(F167," ",""),"0",""),"-",""))+LEN(SUBSTITUTE(SUBSTITUTE(SUBSTITUTE(B169," ",""),"0",""),"-",""))+LEN(SUBSTITUTE(SUBSTITUTE(SUBSTITUTE(C169," ",""),"0",""),"-",""))</f>
      </c>
      <c r="I173" s="14" t="str">
        <f>data!$B$80</f>
      </c>
      <c r="J173" s="14" t="str">
        <f>IF(OR(COUNTA(J167,K167,M167,N167)&gt;0,OR(L167="X",L167="x")),IF(OR(L167="X",L167="x"),0,(LEN(SUBSTITUTE(SUBSTITUTE(SUBSTITUTE(J167," ",""),"0",""),"-",""))+LEN(SUBSTITUTE(SUBSTITUTE(SUBSTITUTE(K167," ",""),"0",""),"-",""))&gt;LEN(SUBSTITUTE(SUBSTITUTE(SUBSTITUTE(M167," ",""),"0",""),"-",""))+LEN(SUBSTITUTE(SUBSTITUTE(SUBSTITUTE(N167," ",""),"0",""),"-","")))*1),0)+IF(OR(COUNTA(J169,K169,M169,N169)&gt;0,OR(L169="X",L169="x")),IF(OR(L169="X",L169="x"),0,(LEN(SUBSTITUTE(SUBSTITUTE(SUBSTITUTE(M169," ",""),"0",""),"-",""))+LEN(SUBSTITUTE(SUBSTITUTE(SUBSTITUTE(N169," ",""),"0",""),"-",""))&gt;LEN(SUBSTITUTE(SUBSTITUTE(SUBSTITUTE(J169," ",""),"0",""),"-",""))+LEN(SUBSTITUTE(SUBSTITUTE(SUBSTITUTE(K169," ",""),"0",""),"-","")))*1),0)</f>
      </c>
      <c r="K173" s="14" t="str">
        <f>IF(OR(COUNTA(J167,K167,M167,N167)&gt;0,OR(L167="X",L167="x")),IF(OR(L167="X",L167="x"),0,(LEN(SUBSTITUTE(SUBSTITUTE(SUBSTITUTE(J167," ",""),"0",""),"-",""))+LEN(SUBSTITUTE(SUBSTITUTE(SUBSTITUTE(K167," ",""),"0",""),"-",""))&lt;LEN(SUBSTITUTE(SUBSTITUTE(SUBSTITUTE(M167," ",""),"0",""),"-",""))+LEN(SUBSTITUTE(SUBSTITUTE(SUBSTITUTE(N167," ",""),"0",""),"-","")))*1),0)+IF(OR(COUNTA(J169,K169,M169,N169)&gt;0,OR(L169="X",L169="x")),IF(OR(L169="X",L169="x"),0,(LEN(SUBSTITUTE(SUBSTITUTE(SUBSTITUTE(M169," ",""),"0",""),"-",""))+LEN(SUBSTITUTE(SUBSTITUTE(SUBSTITUTE(N169," ",""),"0",""),"-",""))&lt;LEN(SUBSTITUTE(SUBSTITUTE(SUBSTITUTE(J169," ",""),"0",""),"-",""))+LEN(SUBSTITUTE(SUBSTITUTE(SUBSTITUTE(K169," ",""),"0",""),"-","")))*1),0)</f>
      </c>
      <c r="L173" s="14" t="str">
        <f>IF(OR(COUNTA(J167,K167,M167,N167)&gt;0,OR(L167="X",L167="x")),IF(OR(L167="X",L167="x"),1,0),0)+IF(OR(COUNTA(J169,K169,M169,N169)&gt;0,OR(L169="X",L169="x")),IF(OR(L169="X",L169="x"),1,0),0)</f>
      </c>
      <c r="M173" s="14" t="str">
        <f>LEN(SUBSTITUTE(SUBSTITUTE(SUBSTITUTE(J167," ",""),"0",""),"-",""))+LEN(SUBSTITUTE(SUBSTITUTE(SUBSTITUTE(K167," ",""),"0",""),"-",""))+LEN(SUBSTITUTE(SUBSTITUTE(SUBSTITUTE(M169," ",""),"0",""),"-",""))+LEN(SUBSTITUTE(SUBSTITUTE(SUBSTITUTE(N169," ",""),"0",""),"-",""))</f>
      </c>
      <c r="N173" s="14" t="str">
        <f>LEN(SUBSTITUTE(SUBSTITUTE(SUBSTITUTE(M167," ",""),"0",""),"-",""))+LEN(SUBSTITUTE(SUBSTITUTE(SUBSTITUTE(N167," ",""),"0",""),"-",""))+LEN(SUBSTITUTE(SUBSTITUTE(SUBSTITUTE(J169," ",""),"0",""),"-",""))+LEN(SUBSTITUTE(SUBSTITUTE(SUBSTITUTE(K169," ",""),"0",""),"-",""))</f>
      </c>
    </row>
    <row r="174">
      <c r="A174" s="14" t="str">
        <f>data!$B$36</f>
      </c>
      <c r="B174" s="14" t="str">
        <f>IF(OR(COUNTA(B168,C168,E168,F168)&gt;0,OR(D168="X",D168="x")),IF(OR(D168="X",D168="x"),0,(LEN(SUBSTITUTE(SUBSTITUTE(SUBSTITUTE(B168," ",""),"0",""),"-",""))+LEN(SUBSTITUTE(SUBSTITUTE(SUBSTITUTE(C168," ",""),"0",""),"-",""))&gt;LEN(SUBSTITUTE(SUBSTITUTE(SUBSTITUTE(E168," ",""),"0",""),"-",""))+LEN(SUBSTITUTE(SUBSTITUTE(SUBSTITUTE(F168," ",""),"0",""),"-","")))*1),0)+IF(OR(COUNTA(B169,C169,E169,F169)&gt;0,OR(D169="X",D169="x")),IF(OR(D169="X",D169="x"),0,(LEN(SUBSTITUTE(SUBSTITUTE(SUBSTITUTE(B169," ",""),"0",""),"-",""))+LEN(SUBSTITUTE(SUBSTITUTE(SUBSTITUTE(C169," ",""),"0",""),"-",""))&gt;LEN(SUBSTITUTE(SUBSTITUTE(SUBSTITUTE(E169," ",""),"0",""),"-",""))+LEN(SUBSTITUTE(SUBSTITUTE(SUBSTITUTE(F169," ",""),"0",""),"-","")))*1),0)</f>
      </c>
      <c r="C174" s="14" t="str">
        <f>IF(OR(COUNTA(B168,C168,E168,F168)&gt;0,OR(D168="X",D168="x")),IF(OR(D168="X",D168="x"),0,(LEN(SUBSTITUTE(SUBSTITUTE(SUBSTITUTE(B168," ",""),"0",""),"-",""))+LEN(SUBSTITUTE(SUBSTITUTE(SUBSTITUTE(C168," ",""),"0",""),"-",""))&lt;LEN(SUBSTITUTE(SUBSTITUTE(SUBSTITUTE(E168," ",""),"0",""),"-",""))+LEN(SUBSTITUTE(SUBSTITUTE(SUBSTITUTE(F168," ",""),"0",""),"-","")))*1),0)+IF(OR(COUNTA(B169,C169,E169,F169)&gt;0,OR(D169="X",D169="x")),IF(OR(D169="X",D169="x"),0,(LEN(SUBSTITUTE(SUBSTITUTE(SUBSTITUTE(B169," ",""),"0",""),"-",""))+LEN(SUBSTITUTE(SUBSTITUTE(SUBSTITUTE(C169," ",""),"0",""),"-",""))&lt;LEN(SUBSTITUTE(SUBSTITUTE(SUBSTITUTE(E169," ",""),"0",""),"-",""))+LEN(SUBSTITUTE(SUBSTITUTE(SUBSTITUTE(F169," ",""),"0",""),"-","")))*1),0)</f>
      </c>
      <c r="D174" s="14" t="str">
        <f>IF(OR(COUNTA(B168,C168,E168,F168)&gt;0,OR(D168="X",D168="x")),IF(OR(D168="X",D168="x"),1,0),0)+IF(OR(COUNTA(B169,C169,E169,F169)&gt;0,OR(D169="X",D169="x")),IF(OR(D169="X",D169="x"),1,0),0)</f>
      </c>
      <c r="E174" s="14" t="str">
        <f>LEN(SUBSTITUTE(SUBSTITUTE(SUBSTITUTE(B168," ",""),"0",""),"-",""))+LEN(SUBSTITUTE(SUBSTITUTE(SUBSTITUTE(C168," ",""),"0",""),"-",""))+LEN(SUBSTITUTE(SUBSTITUTE(SUBSTITUTE(B169," ",""),"0",""),"-",""))+LEN(SUBSTITUTE(SUBSTITUTE(SUBSTITUTE(C169," ",""),"0",""),"-",""))</f>
      </c>
      <c r="F174" s="14" t="str">
        <f>LEN(SUBSTITUTE(SUBSTITUTE(SUBSTITUTE(E168," ",""),"0",""),"-",""))+LEN(SUBSTITUTE(SUBSTITUTE(SUBSTITUTE(F168," ",""),"0",""),"-",""))+LEN(SUBSTITUTE(SUBSTITUTE(SUBSTITUTE(E169," ",""),"0",""),"-",""))+LEN(SUBSTITUTE(SUBSTITUTE(SUBSTITUTE(F169," ",""),"0",""),"-",""))</f>
      </c>
      <c r="I174" s="14" t="str">
        <f>data!$B$81</f>
      </c>
      <c r="J174" s="14" t="str">
        <f>IF(OR(COUNTA(J168,K168,M168,N168)&gt;0,OR(L168="X",L168="x")),IF(OR(L168="X",L168="x"),0,(LEN(SUBSTITUTE(SUBSTITUTE(SUBSTITUTE(J168," ",""),"0",""),"-",""))+LEN(SUBSTITUTE(SUBSTITUTE(SUBSTITUTE(K168," ",""),"0",""),"-",""))&gt;LEN(SUBSTITUTE(SUBSTITUTE(SUBSTITUTE(M168," ",""),"0",""),"-",""))+LEN(SUBSTITUTE(SUBSTITUTE(SUBSTITUTE(N168," ",""),"0",""),"-","")))*1),0)+IF(OR(COUNTA(J169,K169,M169,N169)&gt;0,OR(L169="X",L169="x")),IF(OR(L169="X",L169="x"),0,(LEN(SUBSTITUTE(SUBSTITUTE(SUBSTITUTE(J169," ",""),"0",""),"-",""))+LEN(SUBSTITUTE(SUBSTITUTE(SUBSTITUTE(K169," ",""),"0",""),"-",""))&gt;LEN(SUBSTITUTE(SUBSTITUTE(SUBSTITUTE(M169," ",""),"0",""),"-",""))+LEN(SUBSTITUTE(SUBSTITUTE(SUBSTITUTE(N169," ",""),"0",""),"-","")))*1),0)</f>
      </c>
      <c r="K174" s="14" t="str">
        <f>IF(OR(COUNTA(J168,K168,M168,N168)&gt;0,OR(L168="X",L168="x")),IF(OR(L168="X",L168="x"),0,(LEN(SUBSTITUTE(SUBSTITUTE(SUBSTITUTE(J168," ",""),"0",""),"-",""))+LEN(SUBSTITUTE(SUBSTITUTE(SUBSTITUTE(K168," ",""),"0",""),"-",""))&lt;LEN(SUBSTITUTE(SUBSTITUTE(SUBSTITUTE(M168," ",""),"0",""),"-",""))+LEN(SUBSTITUTE(SUBSTITUTE(SUBSTITUTE(N168," ",""),"0",""),"-","")))*1),0)+IF(OR(COUNTA(J169,K169,M169,N169)&gt;0,OR(L169="X",L169="x")),IF(OR(L169="X",L169="x"),0,(LEN(SUBSTITUTE(SUBSTITUTE(SUBSTITUTE(J169," ",""),"0",""),"-",""))+LEN(SUBSTITUTE(SUBSTITUTE(SUBSTITUTE(K169," ",""),"0",""),"-",""))&lt;LEN(SUBSTITUTE(SUBSTITUTE(SUBSTITUTE(M169," ",""),"0",""),"-",""))+LEN(SUBSTITUTE(SUBSTITUTE(SUBSTITUTE(N169," ",""),"0",""),"-","")))*1),0)</f>
      </c>
      <c r="L174" s="14" t="str">
        <f>IF(OR(COUNTA(J168,K168,M168,N168)&gt;0,OR(L168="X",L168="x")),IF(OR(L168="X",L168="x"),1,0),0)+IF(OR(COUNTA(J169,K169,M169,N169)&gt;0,OR(L169="X",L169="x")),IF(OR(L169="X",L169="x"),1,0),0)</f>
      </c>
      <c r="M174" s="14" t="str">
        <f>LEN(SUBSTITUTE(SUBSTITUTE(SUBSTITUTE(J168," ",""),"0",""),"-",""))+LEN(SUBSTITUTE(SUBSTITUTE(SUBSTITUTE(K168," ",""),"0",""),"-",""))+LEN(SUBSTITUTE(SUBSTITUTE(SUBSTITUTE(J169," ",""),"0",""),"-",""))+LEN(SUBSTITUTE(SUBSTITUTE(SUBSTITUTE(K169," ",""),"0",""),"-",""))</f>
      </c>
      <c r="N174" s="14" t="str">
        <f>LEN(SUBSTITUTE(SUBSTITUTE(SUBSTITUTE(M168," ",""),"0",""),"-",""))+LEN(SUBSTITUTE(SUBSTITUTE(SUBSTITUTE(N168," ",""),"0",""),"-",""))+LEN(SUBSTITUTE(SUBSTITUTE(SUBSTITUTE(M169," ",""),"0",""),"-",""))+LEN(SUBSTITUTE(SUBSTITUTE(SUBSTITUTE(N169," ",""),"0",""),"-",""))</f>
      </c>
    </row>
    <row r="176">
      <c r="F176" t="s">
        <v>247</v>
      </c>
      <c r="G176" s="19"/>
      <c r="N176" t="s">
        <v>247</v>
      </c>
      <c r="O176" s="19"/>
    </row>
    <row r="177">
      <c r="F177" t="s">
        <v>248</v>
      </c>
      <c r="G177" s="19"/>
      <c r="N177" t="s">
        <v>248</v>
      </c>
      <c r="O177" s="19"/>
    </row>
    <row r="178">
      <c r="F178" t="s">
        <v>249</v>
      </c>
      <c r="G178" s="19"/>
      <c r="N178" t="s">
        <v>249</v>
      </c>
      <c r="O178" s="19"/>
    </row>
    <row r="181">
      <c r="A181" s="13" t="str">
        <f>data!$A$39</f>
      </c>
      <c r="B181" s="13"/>
      <c r="C181" s="13"/>
      <c r="D181" s="13"/>
      <c r="E181" s="13"/>
      <c r="F181" s="13"/>
      <c r="G181" s="13"/>
      <c r="I181" s="13" t="str">
        <f>data!$A$84</f>
      </c>
      <c r="J181" s="13"/>
      <c r="K181" s="13"/>
      <c r="L181" s="13"/>
      <c r="M181" s="13"/>
      <c r="N181" s="13"/>
      <c r="O181" s="13"/>
    </row>
    <row r="182">
      <c r="A182" s="17" t="s">
        <v>238</v>
      </c>
      <c r="D182" s="14" t="s">
        <v>239</v>
      </c>
      <c r="G182" s="16" t="s">
        <v>240</v>
      </c>
      <c r="I182" s="17" t="s">
        <v>238</v>
      </c>
      <c r="L182" s="14" t="s">
        <v>239</v>
      </c>
      <c r="O182" s="16" t="s">
        <v>240</v>
      </c>
    </row>
    <row r="183">
      <c r="A183" s="14" t="str">
        <f>data!$B$38</f>
      </c>
      <c r="B183" s="18"/>
      <c r="C183" s="18"/>
      <c r="D183" s="18"/>
      <c r="E183" s="18"/>
      <c r="F183" s="18"/>
      <c r="G183" s="14" t="str">
        <f>data!$B$37</f>
      </c>
      <c r="I183" s="14" t="str">
        <f>data!$B$83</f>
      </c>
      <c r="J183" s="18"/>
      <c r="K183" s="18"/>
      <c r="L183" s="18"/>
      <c r="M183" s="18"/>
      <c r="N183" s="18"/>
      <c r="O183" s="14" t="str">
        <f>data!$B$82</f>
      </c>
    </row>
    <row r="184">
      <c r="A184" s="14" t="str">
        <f>data!$B$39</f>
      </c>
      <c r="B184" s="18"/>
      <c r="C184" s="18"/>
      <c r="D184" s="18"/>
      <c r="E184" s="18"/>
      <c r="F184" s="18"/>
      <c r="G184" s="14" t="str">
        <f>data!$B$37</f>
      </c>
      <c r="I184" s="14" t="str">
        <f>data!$B$84</f>
      </c>
      <c r="J184" s="18"/>
      <c r="K184" s="18"/>
      <c r="L184" s="18"/>
      <c r="M184" s="18"/>
      <c r="N184" s="18"/>
      <c r="O184" s="14" t="str">
        <f>data!$B$82</f>
      </c>
    </row>
    <row r="185">
      <c r="A185" s="14" t="str">
        <f>data!$B$39</f>
      </c>
      <c r="B185" s="18"/>
      <c r="C185" s="18"/>
      <c r="D185" s="18"/>
      <c r="E185" s="18"/>
      <c r="F185" s="18"/>
      <c r="G185" s="14" t="str">
        <f>data!$B$38</f>
      </c>
      <c r="I185" s="14" t="str">
        <f>data!$B$84</f>
      </c>
      <c r="J185" s="18"/>
      <c r="K185" s="18"/>
      <c r="L185" s="18"/>
      <c r="M185" s="18"/>
      <c r="N185" s="18"/>
      <c r="O185" s="14" t="str">
        <f>data!$B$83</f>
      </c>
    </row>
    <row r="187">
      <c r="A187" s="13" t="s">
        <v>241</v>
      </c>
      <c r="B187" s="13" t="s">
        <v>242</v>
      </c>
      <c r="C187" s="13" t="s">
        <v>243</v>
      </c>
      <c r="D187" s="13" t="s">
        <v>244</v>
      </c>
      <c r="E187" s="13" t="s">
        <v>245</v>
      </c>
      <c r="F187" s="13" t="s">
        <v>246</v>
      </c>
      <c r="I187" s="13" t="s">
        <v>241</v>
      </c>
      <c r="J187" s="13" t="s">
        <v>242</v>
      </c>
      <c r="K187" s="13" t="s">
        <v>243</v>
      </c>
      <c r="L187" s="13" t="s">
        <v>244</v>
      </c>
      <c r="M187" s="13" t="s">
        <v>245</v>
      </c>
      <c r="N187" s="13" t="s">
        <v>246</v>
      </c>
    </row>
    <row r="188">
      <c r="A188" s="14" t="str">
        <f>data!$B$37</f>
      </c>
      <c r="B188" s="14" t="str">
        <f>IF(OR(COUNTA(B183,C183,E183,F183)&gt;0,OR(D183="X",D183="x")),IF(OR(D183="X",D183="x"),0,(LEN(SUBSTITUTE(SUBSTITUTE(SUBSTITUTE(E183," ",""),"0",""),"-",""))+LEN(SUBSTITUTE(SUBSTITUTE(SUBSTITUTE(F183," ",""),"0",""),"-",""))&gt;LEN(SUBSTITUTE(SUBSTITUTE(SUBSTITUTE(B183," ",""),"0",""),"-",""))+LEN(SUBSTITUTE(SUBSTITUTE(SUBSTITUTE(C183," ",""),"0",""),"-","")))*1),0)+IF(OR(COUNTA(B184,C184,E184,F184)&gt;0,OR(D184="X",D184="x")),IF(OR(D184="X",D184="x"),0,(LEN(SUBSTITUTE(SUBSTITUTE(SUBSTITUTE(E184," ",""),"0",""),"-",""))+LEN(SUBSTITUTE(SUBSTITUTE(SUBSTITUTE(F184," ",""),"0",""),"-",""))&gt;LEN(SUBSTITUTE(SUBSTITUTE(SUBSTITUTE(B184," ",""),"0",""),"-",""))+LEN(SUBSTITUTE(SUBSTITUTE(SUBSTITUTE(C184," ",""),"0",""),"-","")))*1),0)</f>
      </c>
      <c r="C188" s="14" t="str">
        <f>IF(OR(COUNTA(B183,C183,E183,F183)&gt;0,OR(D183="X",D183="x")),IF(OR(D183="X",D183="x"),0,(LEN(SUBSTITUTE(SUBSTITUTE(SUBSTITUTE(E183," ",""),"0",""),"-",""))+LEN(SUBSTITUTE(SUBSTITUTE(SUBSTITUTE(F183," ",""),"0",""),"-",""))&lt;LEN(SUBSTITUTE(SUBSTITUTE(SUBSTITUTE(B183," ",""),"0",""),"-",""))+LEN(SUBSTITUTE(SUBSTITUTE(SUBSTITUTE(C183," ",""),"0",""),"-","")))*1),0)+IF(OR(COUNTA(B184,C184,E184,F184)&gt;0,OR(D184="X",D184="x")),IF(OR(D184="X",D184="x"),0,(LEN(SUBSTITUTE(SUBSTITUTE(SUBSTITUTE(E184," ",""),"0",""),"-",""))+LEN(SUBSTITUTE(SUBSTITUTE(SUBSTITUTE(F184," ",""),"0",""),"-",""))&lt;LEN(SUBSTITUTE(SUBSTITUTE(SUBSTITUTE(B184," ",""),"0",""),"-",""))+LEN(SUBSTITUTE(SUBSTITUTE(SUBSTITUTE(C184," ",""),"0",""),"-","")))*1),0)</f>
      </c>
      <c r="D188" s="14" t="str">
        <f>IF(OR(COUNTA(B183,C183,E183,F183)&gt;0,OR(D183="X",D183="x")),IF(OR(D183="X",D183="x"),1,0),0)+IF(OR(COUNTA(B184,C184,E184,F184)&gt;0,OR(D184="X",D184="x")),IF(OR(D184="X",D184="x"),1,0),0)</f>
      </c>
      <c r="E188" s="14" t="str">
        <f>LEN(SUBSTITUTE(SUBSTITUTE(SUBSTITUTE(E183," ",""),"0",""),"-",""))+LEN(SUBSTITUTE(SUBSTITUTE(SUBSTITUTE(F183," ",""),"0",""),"-",""))+LEN(SUBSTITUTE(SUBSTITUTE(SUBSTITUTE(E184," ",""),"0",""),"-",""))+LEN(SUBSTITUTE(SUBSTITUTE(SUBSTITUTE(F184," ",""),"0",""),"-",""))</f>
      </c>
      <c r="F188" s="14" t="str">
        <f>LEN(SUBSTITUTE(SUBSTITUTE(SUBSTITUTE(B183," ",""),"0",""),"-",""))+LEN(SUBSTITUTE(SUBSTITUTE(SUBSTITUTE(C183," ",""),"0",""),"-",""))+LEN(SUBSTITUTE(SUBSTITUTE(SUBSTITUTE(B184," ",""),"0",""),"-",""))+LEN(SUBSTITUTE(SUBSTITUTE(SUBSTITUTE(C184," ",""),"0",""),"-",""))</f>
      </c>
      <c r="I188" s="14" t="str">
        <f>data!$B$82</f>
      </c>
      <c r="J188" s="14" t="str">
        <f>IF(OR(COUNTA(J183,K183,M183,N183)&gt;0,OR(L183="X",L183="x")),IF(OR(L183="X",L183="x"),0,(LEN(SUBSTITUTE(SUBSTITUTE(SUBSTITUTE(M183," ",""),"0",""),"-",""))+LEN(SUBSTITUTE(SUBSTITUTE(SUBSTITUTE(N183," ",""),"0",""),"-",""))&gt;LEN(SUBSTITUTE(SUBSTITUTE(SUBSTITUTE(J183," ",""),"0",""),"-",""))+LEN(SUBSTITUTE(SUBSTITUTE(SUBSTITUTE(K183," ",""),"0",""),"-","")))*1),0)+IF(OR(COUNTA(J184,K184,M184,N184)&gt;0,OR(L184="X",L184="x")),IF(OR(L184="X",L184="x"),0,(LEN(SUBSTITUTE(SUBSTITUTE(SUBSTITUTE(M184," ",""),"0",""),"-",""))+LEN(SUBSTITUTE(SUBSTITUTE(SUBSTITUTE(N184," ",""),"0",""),"-",""))&gt;LEN(SUBSTITUTE(SUBSTITUTE(SUBSTITUTE(J184," ",""),"0",""),"-",""))+LEN(SUBSTITUTE(SUBSTITUTE(SUBSTITUTE(K184," ",""),"0",""),"-","")))*1),0)</f>
      </c>
      <c r="K188" s="14" t="str">
        <f>IF(OR(COUNTA(J183,K183,M183,N183)&gt;0,OR(L183="X",L183="x")),IF(OR(L183="X",L183="x"),0,(LEN(SUBSTITUTE(SUBSTITUTE(SUBSTITUTE(M183," ",""),"0",""),"-",""))+LEN(SUBSTITUTE(SUBSTITUTE(SUBSTITUTE(N183," ",""),"0",""),"-",""))&lt;LEN(SUBSTITUTE(SUBSTITUTE(SUBSTITUTE(J183," ",""),"0",""),"-",""))+LEN(SUBSTITUTE(SUBSTITUTE(SUBSTITUTE(K183," ",""),"0",""),"-","")))*1),0)+IF(OR(COUNTA(J184,K184,M184,N184)&gt;0,OR(L184="X",L184="x")),IF(OR(L184="X",L184="x"),0,(LEN(SUBSTITUTE(SUBSTITUTE(SUBSTITUTE(M184," ",""),"0",""),"-",""))+LEN(SUBSTITUTE(SUBSTITUTE(SUBSTITUTE(N184," ",""),"0",""),"-",""))&lt;LEN(SUBSTITUTE(SUBSTITUTE(SUBSTITUTE(J184," ",""),"0",""),"-",""))+LEN(SUBSTITUTE(SUBSTITUTE(SUBSTITUTE(K184," ",""),"0",""),"-","")))*1),0)</f>
      </c>
      <c r="L188" s="14" t="str">
        <f>IF(OR(COUNTA(J183,K183,M183,N183)&gt;0,OR(L183="X",L183="x")),IF(OR(L183="X",L183="x"),1,0),0)+IF(OR(COUNTA(J184,K184,M184,N184)&gt;0,OR(L184="X",L184="x")),IF(OR(L184="X",L184="x"),1,0),0)</f>
      </c>
      <c r="M188" s="14" t="str">
        <f>LEN(SUBSTITUTE(SUBSTITUTE(SUBSTITUTE(M183," ",""),"0",""),"-",""))+LEN(SUBSTITUTE(SUBSTITUTE(SUBSTITUTE(N183," ",""),"0",""),"-",""))+LEN(SUBSTITUTE(SUBSTITUTE(SUBSTITUTE(M184," ",""),"0",""),"-",""))+LEN(SUBSTITUTE(SUBSTITUTE(SUBSTITUTE(N184," ",""),"0",""),"-",""))</f>
      </c>
      <c r="N188" s="14" t="str">
        <f>LEN(SUBSTITUTE(SUBSTITUTE(SUBSTITUTE(J183," ",""),"0",""),"-",""))+LEN(SUBSTITUTE(SUBSTITUTE(SUBSTITUTE(K183," ",""),"0",""),"-",""))+LEN(SUBSTITUTE(SUBSTITUTE(SUBSTITUTE(J184," ",""),"0",""),"-",""))+LEN(SUBSTITUTE(SUBSTITUTE(SUBSTITUTE(K184," ",""),"0",""),"-",""))</f>
      </c>
    </row>
    <row r="189">
      <c r="A189" s="14" t="str">
        <f>data!$B$38</f>
      </c>
      <c r="B189" s="14" t="str">
        <f>IF(OR(COUNTA(B183,C183,E183,F183)&gt;0,OR(D183="X",D183="x")),IF(OR(D183="X",D183="x"),0,(LEN(SUBSTITUTE(SUBSTITUTE(SUBSTITUTE(B183," ",""),"0",""),"-",""))+LEN(SUBSTITUTE(SUBSTITUTE(SUBSTITUTE(C183," ",""),"0",""),"-",""))&gt;LEN(SUBSTITUTE(SUBSTITUTE(SUBSTITUTE(E183," ",""),"0",""),"-",""))+LEN(SUBSTITUTE(SUBSTITUTE(SUBSTITUTE(F183," ",""),"0",""),"-","")))*1),0)+IF(OR(COUNTA(B185,C185,E185,F185)&gt;0,OR(D185="X",D185="x")),IF(OR(D185="X",D185="x"),0,(LEN(SUBSTITUTE(SUBSTITUTE(SUBSTITUTE(E185," ",""),"0",""),"-",""))+LEN(SUBSTITUTE(SUBSTITUTE(SUBSTITUTE(F185," ",""),"0",""),"-",""))&gt;LEN(SUBSTITUTE(SUBSTITUTE(SUBSTITUTE(B185," ",""),"0",""),"-",""))+LEN(SUBSTITUTE(SUBSTITUTE(SUBSTITUTE(C185," ",""),"0",""),"-","")))*1),0)</f>
      </c>
      <c r="C189" s="14" t="str">
        <f>IF(OR(COUNTA(B183,C183,E183,F183)&gt;0,OR(D183="X",D183="x")),IF(OR(D183="X",D183="x"),0,(LEN(SUBSTITUTE(SUBSTITUTE(SUBSTITUTE(B183," ",""),"0",""),"-",""))+LEN(SUBSTITUTE(SUBSTITUTE(SUBSTITUTE(C183," ",""),"0",""),"-",""))&lt;LEN(SUBSTITUTE(SUBSTITUTE(SUBSTITUTE(E183," ",""),"0",""),"-",""))+LEN(SUBSTITUTE(SUBSTITUTE(SUBSTITUTE(F183," ",""),"0",""),"-","")))*1),0)+IF(OR(COUNTA(B185,C185,E185,F185)&gt;0,OR(D185="X",D185="x")),IF(OR(D185="X",D185="x"),0,(LEN(SUBSTITUTE(SUBSTITUTE(SUBSTITUTE(E185," ",""),"0",""),"-",""))+LEN(SUBSTITUTE(SUBSTITUTE(SUBSTITUTE(F185," ",""),"0",""),"-",""))&lt;LEN(SUBSTITUTE(SUBSTITUTE(SUBSTITUTE(B185," ",""),"0",""),"-",""))+LEN(SUBSTITUTE(SUBSTITUTE(SUBSTITUTE(C185," ",""),"0",""),"-","")))*1),0)</f>
      </c>
      <c r="D189" s="14" t="str">
        <f>IF(OR(COUNTA(B183,C183,E183,F183)&gt;0,OR(D183="X",D183="x")),IF(OR(D183="X",D183="x"),1,0),0)+IF(OR(COUNTA(B185,C185,E185,F185)&gt;0,OR(D185="X",D185="x")),IF(OR(D185="X",D185="x"),1,0),0)</f>
      </c>
      <c r="E189" s="14" t="str">
        <f>LEN(SUBSTITUTE(SUBSTITUTE(SUBSTITUTE(B183," ",""),"0",""),"-",""))+LEN(SUBSTITUTE(SUBSTITUTE(SUBSTITUTE(C183," ",""),"0",""),"-",""))+LEN(SUBSTITUTE(SUBSTITUTE(SUBSTITUTE(E185," ",""),"0",""),"-",""))+LEN(SUBSTITUTE(SUBSTITUTE(SUBSTITUTE(F185," ",""),"0",""),"-",""))</f>
      </c>
      <c r="F189" s="14" t="str">
        <f>LEN(SUBSTITUTE(SUBSTITUTE(SUBSTITUTE(E183," ",""),"0",""),"-",""))+LEN(SUBSTITUTE(SUBSTITUTE(SUBSTITUTE(F183," ",""),"0",""),"-",""))+LEN(SUBSTITUTE(SUBSTITUTE(SUBSTITUTE(B185," ",""),"0",""),"-",""))+LEN(SUBSTITUTE(SUBSTITUTE(SUBSTITUTE(C185," ",""),"0",""),"-",""))</f>
      </c>
      <c r="I189" s="14" t="str">
        <f>data!$B$83</f>
      </c>
      <c r="J189" s="14" t="str">
        <f>IF(OR(COUNTA(J183,K183,M183,N183)&gt;0,OR(L183="X",L183="x")),IF(OR(L183="X",L183="x"),0,(LEN(SUBSTITUTE(SUBSTITUTE(SUBSTITUTE(J183," ",""),"0",""),"-",""))+LEN(SUBSTITUTE(SUBSTITUTE(SUBSTITUTE(K183," ",""),"0",""),"-",""))&gt;LEN(SUBSTITUTE(SUBSTITUTE(SUBSTITUTE(M183," ",""),"0",""),"-",""))+LEN(SUBSTITUTE(SUBSTITUTE(SUBSTITUTE(N183," ",""),"0",""),"-","")))*1),0)+IF(OR(COUNTA(J185,K185,M185,N185)&gt;0,OR(L185="X",L185="x")),IF(OR(L185="X",L185="x"),0,(LEN(SUBSTITUTE(SUBSTITUTE(SUBSTITUTE(M185," ",""),"0",""),"-",""))+LEN(SUBSTITUTE(SUBSTITUTE(SUBSTITUTE(N185," ",""),"0",""),"-",""))&gt;LEN(SUBSTITUTE(SUBSTITUTE(SUBSTITUTE(J185," ",""),"0",""),"-",""))+LEN(SUBSTITUTE(SUBSTITUTE(SUBSTITUTE(K185," ",""),"0",""),"-","")))*1),0)</f>
      </c>
      <c r="K189" s="14" t="str">
        <f>IF(OR(COUNTA(J183,K183,M183,N183)&gt;0,OR(L183="X",L183="x")),IF(OR(L183="X",L183="x"),0,(LEN(SUBSTITUTE(SUBSTITUTE(SUBSTITUTE(J183," ",""),"0",""),"-",""))+LEN(SUBSTITUTE(SUBSTITUTE(SUBSTITUTE(K183," ",""),"0",""),"-",""))&lt;LEN(SUBSTITUTE(SUBSTITUTE(SUBSTITUTE(M183," ",""),"0",""),"-",""))+LEN(SUBSTITUTE(SUBSTITUTE(SUBSTITUTE(N183," ",""),"0",""),"-","")))*1),0)+IF(OR(COUNTA(J185,K185,M185,N185)&gt;0,OR(L185="X",L185="x")),IF(OR(L185="X",L185="x"),0,(LEN(SUBSTITUTE(SUBSTITUTE(SUBSTITUTE(M185," ",""),"0",""),"-",""))+LEN(SUBSTITUTE(SUBSTITUTE(SUBSTITUTE(N185," ",""),"0",""),"-",""))&lt;LEN(SUBSTITUTE(SUBSTITUTE(SUBSTITUTE(J185," ",""),"0",""),"-",""))+LEN(SUBSTITUTE(SUBSTITUTE(SUBSTITUTE(K185," ",""),"0",""),"-","")))*1),0)</f>
      </c>
      <c r="L189" s="14" t="str">
        <f>IF(OR(COUNTA(J183,K183,M183,N183)&gt;0,OR(L183="X",L183="x")),IF(OR(L183="X",L183="x"),1,0),0)+IF(OR(COUNTA(J185,K185,M185,N185)&gt;0,OR(L185="X",L185="x")),IF(OR(L185="X",L185="x"),1,0),0)</f>
      </c>
      <c r="M189" s="14" t="str">
        <f>LEN(SUBSTITUTE(SUBSTITUTE(SUBSTITUTE(J183," ",""),"0",""),"-",""))+LEN(SUBSTITUTE(SUBSTITUTE(SUBSTITUTE(K183," ",""),"0",""),"-",""))+LEN(SUBSTITUTE(SUBSTITUTE(SUBSTITUTE(M185," ",""),"0",""),"-",""))+LEN(SUBSTITUTE(SUBSTITUTE(SUBSTITUTE(N185," ",""),"0",""),"-",""))</f>
      </c>
      <c r="N189" s="14" t="str">
        <f>LEN(SUBSTITUTE(SUBSTITUTE(SUBSTITUTE(M183," ",""),"0",""),"-",""))+LEN(SUBSTITUTE(SUBSTITUTE(SUBSTITUTE(N183," ",""),"0",""),"-",""))+LEN(SUBSTITUTE(SUBSTITUTE(SUBSTITUTE(J185," ",""),"0",""),"-",""))+LEN(SUBSTITUTE(SUBSTITUTE(SUBSTITUTE(K185," ",""),"0",""),"-",""))</f>
      </c>
    </row>
    <row r="190">
      <c r="A190" s="14" t="str">
        <f>data!$B$39</f>
      </c>
      <c r="B190" s="14" t="str">
        <f>IF(OR(COUNTA(B184,C184,E184,F184)&gt;0,OR(D184="X",D184="x")),IF(OR(D184="X",D184="x"),0,(LEN(SUBSTITUTE(SUBSTITUTE(SUBSTITUTE(B184," ",""),"0",""),"-",""))+LEN(SUBSTITUTE(SUBSTITUTE(SUBSTITUTE(C184," ",""),"0",""),"-",""))&gt;LEN(SUBSTITUTE(SUBSTITUTE(SUBSTITUTE(E184," ",""),"0",""),"-",""))+LEN(SUBSTITUTE(SUBSTITUTE(SUBSTITUTE(F184," ",""),"0",""),"-","")))*1),0)+IF(OR(COUNTA(B185,C185,E185,F185)&gt;0,OR(D185="X",D185="x")),IF(OR(D185="X",D185="x"),0,(LEN(SUBSTITUTE(SUBSTITUTE(SUBSTITUTE(B185," ",""),"0",""),"-",""))+LEN(SUBSTITUTE(SUBSTITUTE(SUBSTITUTE(C185," ",""),"0",""),"-",""))&gt;LEN(SUBSTITUTE(SUBSTITUTE(SUBSTITUTE(E185," ",""),"0",""),"-",""))+LEN(SUBSTITUTE(SUBSTITUTE(SUBSTITUTE(F185," ",""),"0",""),"-","")))*1),0)</f>
      </c>
      <c r="C190" s="14" t="str">
        <f>IF(OR(COUNTA(B184,C184,E184,F184)&gt;0,OR(D184="X",D184="x")),IF(OR(D184="X",D184="x"),0,(LEN(SUBSTITUTE(SUBSTITUTE(SUBSTITUTE(B184," ",""),"0",""),"-",""))+LEN(SUBSTITUTE(SUBSTITUTE(SUBSTITUTE(C184," ",""),"0",""),"-",""))&lt;LEN(SUBSTITUTE(SUBSTITUTE(SUBSTITUTE(E184," ",""),"0",""),"-",""))+LEN(SUBSTITUTE(SUBSTITUTE(SUBSTITUTE(F184," ",""),"0",""),"-","")))*1),0)+IF(OR(COUNTA(B185,C185,E185,F185)&gt;0,OR(D185="X",D185="x")),IF(OR(D185="X",D185="x"),0,(LEN(SUBSTITUTE(SUBSTITUTE(SUBSTITUTE(B185," ",""),"0",""),"-",""))+LEN(SUBSTITUTE(SUBSTITUTE(SUBSTITUTE(C185," ",""),"0",""),"-",""))&lt;LEN(SUBSTITUTE(SUBSTITUTE(SUBSTITUTE(E185," ",""),"0",""),"-",""))+LEN(SUBSTITUTE(SUBSTITUTE(SUBSTITUTE(F185," ",""),"0",""),"-","")))*1),0)</f>
      </c>
      <c r="D190" s="14" t="str">
        <f>IF(OR(COUNTA(B184,C184,E184,F184)&gt;0,OR(D184="X",D184="x")),IF(OR(D184="X",D184="x"),1,0),0)+IF(OR(COUNTA(B185,C185,E185,F185)&gt;0,OR(D185="X",D185="x")),IF(OR(D185="X",D185="x"),1,0),0)</f>
      </c>
      <c r="E190" s="14" t="str">
        <f>LEN(SUBSTITUTE(SUBSTITUTE(SUBSTITUTE(B184," ",""),"0",""),"-",""))+LEN(SUBSTITUTE(SUBSTITUTE(SUBSTITUTE(C184," ",""),"0",""),"-",""))+LEN(SUBSTITUTE(SUBSTITUTE(SUBSTITUTE(B185," ",""),"0",""),"-",""))+LEN(SUBSTITUTE(SUBSTITUTE(SUBSTITUTE(C185," ",""),"0",""),"-",""))</f>
      </c>
      <c r="F190" s="14" t="str">
        <f>LEN(SUBSTITUTE(SUBSTITUTE(SUBSTITUTE(E184," ",""),"0",""),"-",""))+LEN(SUBSTITUTE(SUBSTITUTE(SUBSTITUTE(F184," ",""),"0",""),"-",""))+LEN(SUBSTITUTE(SUBSTITUTE(SUBSTITUTE(E185," ",""),"0",""),"-",""))+LEN(SUBSTITUTE(SUBSTITUTE(SUBSTITUTE(F185," ",""),"0",""),"-",""))</f>
      </c>
      <c r="I190" s="14" t="str">
        <f>data!$B$84</f>
      </c>
      <c r="J190" s="14" t="str">
        <f>IF(OR(COUNTA(J184,K184,M184,N184)&gt;0,OR(L184="X",L184="x")),IF(OR(L184="X",L184="x"),0,(LEN(SUBSTITUTE(SUBSTITUTE(SUBSTITUTE(J184," ",""),"0",""),"-",""))+LEN(SUBSTITUTE(SUBSTITUTE(SUBSTITUTE(K184," ",""),"0",""),"-",""))&gt;LEN(SUBSTITUTE(SUBSTITUTE(SUBSTITUTE(M184," ",""),"0",""),"-",""))+LEN(SUBSTITUTE(SUBSTITUTE(SUBSTITUTE(N184," ",""),"0",""),"-","")))*1),0)+IF(OR(COUNTA(J185,K185,M185,N185)&gt;0,OR(L185="X",L185="x")),IF(OR(L185="X",L185="x"),0,(LEN(SUBSTITUTE(SUBSTITUTE(SUBSTITUTE(J185," ",""),"0",""),"-",""))+LEN(SUBSTITUTE(SUBSTITUTE(SUBSTITUTE(K185," ",""),"0",""),"-",""))&gt;LEN(SUBSTITUTE(SUBSTITUTE(SUBSTITUTE(M185," ",""),"0",""),"-",""))+LEN(SUBSTITUTE(SUBSTITUTE(SUBSTITUTE(N185," ",""),"0",""),"-","")))*1),0)</f>
      </c>
      <c r="K190" s="14" t="str">
        <f>IF(OR(COUNTA(J184,K184,M184,N184)&gt;0,OR(L184="X",L184="x")),IF(OR(L184="X",L184="x"),0,(LEN(SUBSTITUTE(SUBSTITUTE(SUBSTITUTE(J184," ",""),"0",""),"-",""))+LEN(SUBSTITUTE(SUBSTITUTE(SUBSTITUTE(K184," ",""),"0",""),"-",""))&lt;LEN(SUBSTITUTE(SUBSTITUTE(SUBSTITUTE(M184," ",""),"0",""),"-",""))+LEN(SUBSTITUTE(SUBSTITUTE(SUBSTITUTE(N184," ",""),"0",""),"-","")))*1),0)+IF(OR(COUNTA(J185,K185,M185,N185)&gt;0,OR(L185="X",L185="x")),IF(OR(L185="X",L185="x"),0,(LEN(SUBSTITUTE(SUBSTITUTE(SUBSTITUTE(J185," ",""),"0",""),"-",""))+LEN(SUBSTITUTE(SUBSTITUTE(SUBSTITUTE(K185," ",""),"0",""),"-",""))&lt;LEN(SUBSTITUTE(SUBSTITUTE(SUBSTITUTE(M185," ",""),"0",""),"-",""))+LEN(SUBSTITUTE(SUBSTITUTE(SUBSTITUTE(N185," ",""),"0",""),"-","")))*1),0)</f>
      </c>
      <c r="L190" s="14" t="str">
        <f>IF(OR(COUNTA(J184,K184,M184,N184)&gt;0,OR(L184="X",L184="x")),IF(OR(L184="X",L184="x"),1,0),0)+IF(OR(COUNTA(J185,K185,M185,N185)&gt;0,OR(L185="X",L185="x")),IF(OR(L185="X",L185="x"),1,0),0)</f>
      </c>
      <c r="M190" s="14" t="str">
        <f>LEN(SUBSTITUTE(SUBSTITUTE(SUBSTITUTE(J184," ",""),"0",""),"-",""))+LEN(SUBSTITUTE(SUBSTITUTE(SUBSTITUTE(K184," ",""),"0",""),"-",""))+LEN(SUBSTITUTE(SUBSTITUTE(SUBSTITUTE(J185," ",""),"0",""),"-",""))+LEN(SUBSTITUTE(SUBSTITUTE(SUBSTITUTE(K185," ",""),"0",""),"-",""))</f>
      </c>
      <c r="N190" s="14" t="str">
        <f>LEN(SUBSTITUTE(SUBSTITUTE(SUBSTITUTE(M184," ",""),"0",""),"-",""))+LEN(SUBSTITUTE(SUBSTITUTE(SUBSTITUTE(N184," ",""),"0",""),"-",""))+LEN(SUBSTITUTE(SUBSTITUTE(SUBSTITUTE(M185," ",""),"0",""),"-",""))+LEN(SUBSTITUTE(SUBSTITUTE(SUBSTITUTE(N185," ",""),"0",""),"-",""))</f>
      </c>
    </row>
    <row r="192">
      <c r="F192" t="s">
        <v>247</v>
      </c>
      <c r="G192" s="19"/>
      <c r="N192" t="s">
        <v>247</v>
      </c>
      <c r="O192" s="19"/>
    </row>
    <row r="193">
      <c r="F193" t="s">
        <v>248</v>
      </c>
      <c r="G193" s="19"/>
      <c r="N193" t="s">
        <v>248</v>
      </c>
      <c r="O193" s="19"/>
    </row>
    <row r="194">
      <c r="F194" t="s">
        <v>249</v>
      </c>
      <c r="G194" s="19"/>
      <c r="N194" t="s">
        <v>249</v>
      </c>
      <c r="O194" s="19"/>
    </row>
    <row r="197">
      <c r="A197" s="13" t="str">
        <f>data!$A$42</f>
      </c>
      <c r="B197" s="13"/>
      <c r="C197" s="13"/>
      <c r="D197" s="13"/>
      <c r="E197" s="13"/>
      <c r="F197" s="13"/>
      <c r="G197" s="13"/>
      <c r="I197" s="13" t="str">
        <f>data!$A$87</f>
      </c>
      <c r="J197" s="13"/>
      <c r="K197" s="13"/>
      <c r="L197" s="13"/>
      <c r="M197" s="13"/>
      <c r="N197" s="13"/>
      <c r="O197" s="13"/>
    </row>
    <row r="198">
      <c r="A198" s="17" t="s">
        <v>238</v>
      </c>
      <c r="D198" s="14" t="s">
        <v>239</v>
      </c>
      <c r="G198" s="16" t="s">
        <v>240</v>
      </c>
      <c r="I198" s="17" t="s">
        <v>238</v>
      </c>
      <c r="L198" s="14" t="s">
        <v>239</v>
      </c>
      <c r="O198" s="16" t="s">
        <v>240</v>
      </c>
    </row>
    <row r="199">
      <c r="A199" s="14" t="str">
        <f>data!$B$41</f>
      </c>
      <c r="B199" s="18"/>
      <c r="C199" s="18"/>
      <c r="D199" s="18"/>
      <c r="E199" s="18"/>
      <c r="F199" s="18"/>
      <c r="G199" s="14" t="str">
        <f>data!$B$40</f>
      </c>
      <c r="I199" s="14" t="str">
        <f>data!$B$86</f>
      </c>
      <c r="J199" s="18"/>
      <c r="K199" s="18"/>
      <c r="L199" s="18"/>
      <c r="M199" s="18"/>
      <c r="N199" s="18"/>
      <c r="O199" s="14" t="str">
        <f>data!$B$85</f>
      </c>
    </row>
    <row r="200">
      <c r="A200" s="14" t="str">
        <f>data!$B$42</f>
      </c>
      <c r="B200" s="18"/>
      <c r="C200" s="18"/>
      <c r="D200" s="18"/>
      <c r="E200" s="18"/>
      <c r="F200" s="18"/>
      <c r="G200" s="14" t="str">
        <f>data!$B$40</f>
      </c>
      <c r="I200" s="14" t="str">
        <f>data!$B$87</f>
      </c>
      <c r="J200" s="18"/>
      <c r="K200" s="18"/>
      <c r="L200" s="18"/>
      <c r="M200" s="18"/>
      <c r="N200" s="18"/>
      <c r="O200" s="14" t="str">
        <f>data!$B$85</f>
      </c>
    </row>
    <row r="201">
      <c r="A201" s="14" t="str">
        <f>data!$B$42</f>
      </c>
      <c r="B201" s="18"/>
      <c r="C201" s="18"/>
      <c r="D201" s="18"/>
      <c r="E201" s="18"/>
      <c r="F201" s="18"/>
      <c r="G201" s="14" t="str">
        <f>data!$B$41</f>
      </c>
      <c r="I201" s="14" t="str">
        <f>data!$B$87</f>
      </c>
      <c r="J201" s="18"/>
      <c r="K201" s="18"/>
      <c r="L201" s="18"/>
      <c r="M201" s="18"/>
      <c r="N201" s="18"/>
      <c r="O201" s="14" t="str">
        <f>data!$B$86</f>
      </c>
    </row>
    <row r="203">
      <c r="A203" s="13" t="s">
        <v>241</v>
      </c>
      <c r="B203" s="13" t="s">
        <v>242</v>
      </c>
      <c r="C203" s="13" t="s">
        <v>243</v>
      </c>
      <c r="D203" s="13" t="s">
        <v>244</v>
      </c>
      <c r="E203" s="13" t="s">
        <v>245</v>
      </c>
      <c r="F203" s="13" t="s">
        <v>246</v>
      </c>
      <c r="I203" s="13" t="s">
        <v>241</v>
      </c>
      <c r="J203" s="13" t="s">
        <v>242</v>
      </c>
      <c r="K203" s="13" t="s">
        <v>243</v>
      </c>
      <c r="L203" s="13" t="s">
        <v>244</v>
      </c>
      <c r="M203" s="13" t="s">
        <v>245</v>
      </c>
      <c r="N203" s="13" t="s">
        <v>246</v>
      </c>
    </row>
    <row r="204">
      <c r="A204" s="14" t="str">
        <f>data!$B$40</f>
      </c>
      <c r="B204" s="14" t="str">
        <f>IF(OR(COUNTA(B199,C199,E199,F199)&gt;0,OR(D199="X",D199="x")),IF(OR(D199="X",D199="x"),0,(LEN(SUBSTITUTE(SUBSTITUTE(SUBSTITUTE(E199," ",""),"0",""),"-",""))+LEN(SUBSTITUTE(SUBSTITUTE(SUBSTITUTE(F199," ",""),"0",""),"-",""))&gt;LEN(SUBSTITUTE(SUBSTITUTE(SUBSTITUTE(B199," ",""),"0",""),"-",""))+LEN(SUBSTITUTE(SUBSTITUTE(SUBSTITUTE(C199," ",""),"0",""),"-","")))*1),0)+IF(OR(COUNTA(B200,C200,E200,F200)&gt;0,OR(D200="X",D200="x")),IF(OR(D200="X",D200="x"),0,(LEN(SUBSTITUTE(SUBSTITUTE(SUBSTITUTE(E200," ",""),"0",""),"-",""))+LEN(SUBSTITUTE(SUBSTITUTE(SUBSTITUTE(F200," ",""),"0",""),"-",""))&gt;LEN(SUBSTITUTE(SUBSTITUTE(SUBSTITUTE(B200," ",""),"0",""),"-",""))+LEN(SUBSTITUTE(SUBSTITUTE(SUBSTITUTE(C200," ",""),"0",""),"-","")))*1),0)</f>
      </c>
      <c r="C204" s="14" t="str">
        <f>IF(OR(COUNTA(B199,C199,E199,F199)&gt;0,OR(D199="X",D199="x")),IF(OR(D199="X",D199="x"),0,(LEN(SUBSTITUTE(SUBSTITUTE(SUBSTITUTE(E199," ",""),"0",""),"-",""))+LEN(SUBSTITUTE(SUBSTITUTE(SUBSTITUTE(F199," ",""),"0",""),"-",""))&lt;LEN(SUBSTITUTE(SUBSTITUTE(SUBSTITUTE(B199," ",""),"0",""),"-",""))+LEN(SUBSTITUTE(SUBSTITUTE(SUBSTITUTE(C199," ",""),"0",""),"-","")))*1),0)+IF(OR(COUNTA(B200,C200,E200,F200)&gt;0,OR(D200="X",D200="x")),IF(OR(D200="X",D200="x"),0,(LEN(SUBSTITUTE(SUBSTITUTE(SUBSTITUTE(E200," ",""),"0",""),"-",""))+LEN(SUBSTITUTE(SUBSTITUTE(SUBSTITUTE(F200," ",""),"0",""),"-",""))&lt;LEN(SUBSTITUTE(SUBSTITUTE(SUBSTITUTE(B200," ",""),"0",""),"-",""))+LEN(SUBSTITUTE(SUBSTITUTE(SUBSTITUTE(C200," ",""),"0",""),"-","")))*1),0)</f>
      </c>
      <c r="D204" s="14" t="str">
        <f>IF(OR(COUNTA(B199,C199,E199,F199)&gt;0,OR(D199="X",D199="x")),IF(OR(D199="X",D199="x"),1,0),0)+IF(OR(COUNTA(B200,C200,E200,F200)&gt;0,OR(D200="X",D200="x")),IF(OR(D200="X",D200="x"),1,0),0)</f>
      </c>
      <c r="E204" s="14" t="str">
        <f>LEN(SUBSTITUTE(SUBSTITUTE(SUBSTITUTE(E199," ",""),"0",""),"-",""))+LEN(SUBSTITUTE(SUBSTITUTE(SUBSTITUTE(F199," ",""),"0",""),"-",""))+LEN(SUBSTITUTE(SUBSTITUTE(SUBSTITUTE(E200," ",""),"0",""),"-",""))+LEN(SUBSTITUTE(SUBSTITUTE(SUBSTITUTE(F200," ",""),"0",""),"-",""))</f>
      </c>
      <c r="F204" s="14" t="str">
        <f>LEN(SUBSTITUTE(SUBSTITUTE(SUBSTITUTE(B199," ",""),"0",""),"-",""))+LEN(SUBSTITUTE(SUBSTITUTE(SUBSTITUTE(C199," ",""),"0",""),"-",""))+LEN(SUBSTITUTE(SUBSTITUTE(SUBSTITUTE(B200," ",""),"0",""),"-",""))+LEN(SUBSTITUTE(SUBSTITUTE(SUBSTITUTE(C200," ",""),"0",""),"-",""))</f>
      </c>
      <c r="I204" s="14" t="str">
        <f>data!$B$85</f>
      </c>
      <c r="J204" s="14" t="str">
        <f>IF(OR(COUNTA(J199,K199,M199,N199)&gt;0,OR(L199="X",L199="x")),IF(OR(L199="X",L199="x"),0,(LEN(SUBSTITUTE(SUBSTITUTE(SUBSTITUTE(M199," ",""),"0",""),"-",""))+LEN(SUBSTITUTE(SUBSTITUTE(SUBSTITUTE(N199," ",""),"0",""),"-",""))&gt;LEN(SUBSTITUTE(SUBSTITUTE(SUBSTITUTE(J199," ",""),"0",""),"-",""))+LEN(SUBSTITUTE(SUBSTITUTE(SUBSTITUTE(K199," ",""),"0",""),"-","")))*1),0)+IF(OR(COUNTA(J200,K200,M200,N200)&gt;0,OR(L200="X",L200="x")),IF(OR(L200="X",L200="x"),0,(LEN(SUBSTITUTE(SUBSTITUTE(SUBSTITUTE(M200," ",""),"0",""),"-",""))+LEN(SUBSTITUTE(SUBSTITUTE(SUBSTITUTE(N200," ",""),"0",""),"-",""))&gt;LEN(SUBSTITUTE(SUBSTITUTE(SUBSTITUTE(J200," ",""),"0",""),"-",""))+LEN(SUBSTITUTE(SUBSTITUTE(SUBSTITUTE(K200," ",""),"0",""),"-","")))*1),0)</f>
      </c>
      <c r="K204" s="14" t="str">
        <f>IF(OR(COUNTA(J199,K199,M199,N199)&gt;0,OR(L199="X",L199="x")),IF(OR(L199="X",L199="x"),0,(LEN(SUBSTITUTE(SUBSTITUTE(SUBSTITUTE(M199," ",""),"0",""),"-",""))+LEN(SUBSTITUTE(SUBSTITUTE(SUBSTITUTE(N199," ",""),"0",""),"-",""))&lt;LEN(SUBSTITUTE(SUBSTITUTE(SUBSTITUTE(J199," ",""),"0",""),"-",""))+LEN(SUBSTITUTE(SUBSTITUTE(SUBSTITUTE(K199," ",""),"0",""),"-","")))*1),0)+IF(OR(COUNTA(J200,K200,M200,N200)&gt;0,OR(L200="X",L200="x")),IF(OR(L200="X",L200="x"),0,(LEN(SUBSTITUTE(SUBSTITUTE(SUBSTITUTE(M200," ",""),"0",""),"-",""))+LEN(SUBSTITUTE(SUBSTITUTE(SUBSTITUTE(N200," ",""),"0",""),"-",""))&lt;LEN(SUBSTITUTE(SUBSTITUTE(SUBSTITUTE(J200," ",""),"0",""),"-",""))+LEN(SUBSTITUTE(SUBSTITUTE(SUBSTITUTE(K200," ",""),"0",""),"-","")))*1),0)</f>
      </c>
      <c r="L204" s="14" t="str">
        <f>IF(OR(COUNTA(J199,K199,M199,N199)&gt;0,OR(L199="X",L199="x")),IF(OR(L199="X",L199="x"),1,0),0)+IF(OR(COUNTA(J200,K200,M200,N200)&gt;0,OR(L200="X",L200="x")),IF(OR(L200="X",L200="x"),1,0),0)</f>
      </c>
      <c r="M204" s="14" t="str">
        <f>LEN(SUBSTITUTE(SUBSTITUTE(SUBSTITUTE(M199," ",""),"0",""),"-",""))+LEN(SUBSTITUTE(SUBSTITUTE(SUBSTITUTE(N199," ",""),"0",""),"-",""))+LEN(SUBSTITUTE(SUBSTITUTE(SUBSTITUTE(M200," ",""),"0",""),"-",""))+LEN(SUBSTITUTE(SUBSTITUTE(SUBSTITUTE(N200," ",""),"0",""),"-",""))</f>
      </c>
      <c r="N204" s="14" t="str">
        <f>LEN(SUBSTITUTE(SUBSTITUTE(SUBSTITUTE(J199," ",""),"0",""),"-",""))+LEN(SUBSTITUTE(SUBSTITUTE(SUBSTITUTE(K199," ",""),"0",""),"-",""))+LEN(SUBSTITUTE(SUBSTITUTE(SUBSTITUTE(J200," ",""),"0",""),"-",""))+LEN(SUBSTITUTE(SUBSTITUTE(SUBSTITUTE(K200," ",""),"0",""),"-",""))</f>
      </c>
    </row>
    <row r="205">
      <c r="A205" s="14" t="str">
        <f>data!$B$41</f>
      </c>
      <c r="B205" s="14" t="str">
        <f>IF(OR(COUNTA(B199,C199,E199,F199)&gt;0,OR(D199="X",D199="x")),IF(OR(D199="X",D199="x"),0,(LEN(SUBSTITUTE(SUBSTITUTE(SUBSTITUTE(B199," ",""),"0",""),"-",""))+LEN(SUBSTITUTE(SUBSTITUTE(SUBSTITUTE(C199," ",""),"0",""),"-",""))&gt;LEN(SUBSTITUTE(SUBSTITUTE(SUBSTITUTE(E199," ",""),"0",""),"-",""))+LEN(SUBSTITUTE(SUBSTITUTE(SUBSTITUTE(F199," ",""),"0",""),"-","")))*1),0)+IF(OR(COUNTA(B201,C201,E201,F201)&gt;0,OR(D201="X",D201="x")),IF(OR(D201="X",D201="x"),0,(LEN(SUBSTITUTE(SUBSTITUTE(SUBSTITUTE(E201," ",""),"0",""),"-",""))+LEN(SUBSTITUTE(SUBSTITUTE(SUBSTITUTE(F201," ",""),"0",""),"-",""))&gt;LEN(SUBSTITUTE(SUBSTITUTE(SUBSTITUTE(B201," ",""),"0",""),"-",""))+LEN(SUBSTITUTE(SUBSTITUTE(SUBSTITUTE(C201," ",""),"0",""),"-","")))*1),0)</f>
      </c>
      <c r="C205" s="14" t="str">
        <f>IF(OR(COUNTA(B199,C199,E199,F199)&gt;0,OR(D199="X",D199="x")),IF(OR(D199="X",D199="x"),0,(LEN(SUBSTITUTE(SUBSTITUTE(SUBSTITUTE(B199," ",""),"0",""),"-",""))+LEN(SUBSTITUTE(SUBSTITUTE(SUBSTITUTE(C199," ",""),"0",""),"-",""))&lt;LEN(SUBSTITUTE(SUBSTITUTE(SUBSTITUTE(E199," ",""),"0",""),"-",""))+LEN(SUBSTITUTE(SUBSTITUTE(SUBSTITUTE(F199," ",""),"0",""),"-","")))*1),0)+IF(OR(COUNTA(B201,C201,E201,F201)&gt;0,OR(D201="X",D201="x")),IF(OR(D201="X",D201="x"),0,(LEN(SUBSTITUTE(SUBSTITUTE(SUBSTITUTE(E201," ",""),"0",""),"-",""))+LEN(SUBSTITUTE(SUBSTITUTE(SUBSTITUTE(F201," ",""),"0",""),"-",""))&lt;LEN(SUBSTITUTE(SUBSTITUTE(SUBSTITUTE(B201," ",""),"0",""),"-",""))+LEN(SUBSTITUTE(SUBSTITUTE(SUBSTITUTE(C201," ",""),"0",""),"-","")))*1),0)</f>
      </c>
      <c r="D205" s="14" t="str">
        <f>IF(OR(COUNTA(B199,C199,E199,F199)&gt;0,OR(D199="X",D199="x")),IF(OR(D199="X",D199="x"),1,0),0)+IF(OR(COUNTA(B201,C201,E201,F201)&gt;0,OR(D201="X",D201="x")),IF(OR(D201="X",D201="x"),1,0),0)</f>
      </c>
      <c r="E205" s="14" t="str">
        <f>LEN(SUBSTITUTE(SUBSTITUTE(SUBSTITUTE(B199," ",""),"0",""),"-",""))+LEN(SUBSTITUTE(SUBSTITUTE(SUBSTITUTE(C199," ",""),"0",""),"-",""))+LEN(SUBSTITUTE(SUBSTITUTE(SUBSTITUTE(E201," ",""),"0",""),"-",""))+LEN(SUBSTITUTE(SUBSTITUTE(SUBSTITUTE(F201," ",""),"0",""),"-",""))</f>
      </c>
      <c r="F205" s="14" t="str">
        <f>LEN(SUBSTITUTE(SUBSTITUTE(SUBSTITUTE(E199," ",""),"0",""),"-",""))+LEN(SUBSTITUTE(SUBSTITUTE(SUBSTITUTE(F199," ",""),"0",""),"-",""))+LEN(SUBSTITUTE(SUBSTITUTE(SUBSTITUTE(B201," ",""),"0",""),"-",""))+LEN(SUBSTITUTE(SUBSTITUTE(SUBSTITUTE(C201," ",""),"0",""),"-",""))</f>
      </c>
      <c r="I205" s="14" t="str">
        <f>data!$B$86</f>
      </c>
      <c r="J205" s="14" t="str">
        <f>IF(OR(COUNTA(J199,K199,M199,N199)&gt;0,OR(L199="X",L199="x")),IF(OR(L199="X",L199="x"),0,(LEN(SUBSTITUTE(SUBSTITUTE(SUBSTITUTE(J199," ",""),"0",""),"-",""))+LEN(SUBSTITUTE(SUBSTITUTE(SUBSTITUTE(K199," ",""),"0",""),"-",""))&gt;LEN(SUBSTITUTE(SUBSTITUTE(SUBSTITUTE(M199," ",""),"0",""),"-",""))+LEN(SUBSTITUTE(SUBSTITUTE(SUBSTITUTE(N199," ",""),"0",""),"-","")))*1),0)+IF(OR(COUNTA(J201,K201,M201,N201)&gt;0,OR(L201="X",L201="x")),IF(OR(L201="X",L201="x"),0,(LEN(SUBSTITUTE(SUBSTITUTE(SUBSTITUTE(M201," ",""),"0",""),"-",""))+LEN(SUBSTITUTE(SUBSTITUTE(SUBSTITUTE(N201," ",""),"0",""),"-",""))&gt;LEN(SUBSTITUTE(SUBSTITUTE(SUBSTITUTE(J201," ",""),"0",""),"-",""))+LEN(SUBSTITUTE(SUBSTITUTE(SUBSTITUTE(K201," ",""),"0",""),"-","")))*1),0)</f>
      </c>
      <c r="K205" s="14" t="str">
        <f>IF(OR(COUNTA(J199,K199,M199,N199)&gt;0,OR(L199="X",L199="x")),IF(OR(L199="X",L199="x"),0,(LEN(SUBSTITUTE(SUBSTITUTE(SUBSTITUTE(J199," ",""),"0",""),"-",""))+LEN(SUBSTITUTE(SUBSTITUTE(SUBSTITUTE(K199," ",""),"0",""),"-",""))&lt;LEN(SUBSTITUTE(SUBSTITUTE(SUBSTITUTE(M199," ",""),"0",""),"-",""))+LEN(SUBSTITUTE(SUBSTITUTE(SUBSTITUTE(N199," ",""),"0",""),"-","")))*1),0)+IF(OR(COUNTA(J201,K201,M201,N201)&gt;0,OR(L201="X",L201="x")),IF(OR(L201="X",L201="x"),0,(LEN(SUBSTITUTE(SUBSTITUTE(SUBSTITUTE(M201," ",""),"0",""),"-",""))+LEN(SUBSTITUTE(SUBSTITUTE(SUBSTITUTE(N201," ",""),"0",""),"-",""))&lt;LEN(SUBSTITUTE(SUBSTITUTE(SUBSTITUTE(J201," ",""),"0",""),"-",""))+LEN(SUBSTITUTE(SUBSTITUTE(SUBSTITUTE(K201," ",""),"0",""),"-","")))*1),0)</f>
      </c>
      <c r="L205" s="14" t="str">
        <f>IF(OR(COUNTA(J199,K199,M199,N199)&gt;0,OR(L199="X",L199="x")),IF(OR(L199="X",L199="x"),1,0),0)+IF(OR(COUNTA(J201,K201,M201,N201)&gt;0,OR(L201="X",L201="x")),IF(OR(L201="X",L201="x"),1,0),0)</f>
      </c>
      <c r="M205" s="14" t="str">
        <f>LEN(SUBSTITUTE(SUBSTITUTE(SUBSTITUTE(J199," ",""),"0",""),"-",""))+LEN(SUBSTITUTE(SUBSTITUTE(SUBSTITUTE(K199," ",""),"0",""),"-",""))+LEN(SUBSTITUTE(SUBSTITUTE(SUBSTITUTE(M201," ",""),"0",""),"-",""))+LEN(SUBSTITUTE(SUBSTITUTE(SUBSTITUTE(N201," ",""),"0",""),"-",""))</f>
      </c>
      <c r="N205" s="14" t="str">
        <f>LEN(SUBSTITUTE(SUBSTITUTE(SUBSTITUTE(M199," ",""),"0",""),"-",""))+LEN(SUBSTITUTE(SUBSTITUTE(SUBSTITUTE(N199," ",""),"0",""),"-",""))+LEN(SUBSTITUTE(SUBSTITUTE(SUBSTITUTE(J201," ",""),"0",""),"-",""))+LEN(SUBSTITUTE(SUBSTITUTE(SUBSTITUTE(K201," ",""),"0",""),"-",""))</f>
      </c>
    </row>
    <row r="206">
      <c r="A206" s="14" t="str">
        <f>data!$B$42</f>
      </c>
      <c r="B206" s="14" t="str">
        <f>IF(OR(COUNTA(B200,C200,E200,F200)&gt;0,OR(D200="X",D200="x")),IF(OR(D200="X",D200="x"),0,(LEN(SUBSTITUTE(SUBSTITUTE(SUBSTITUTE(B200," ",""),"0",""),"-",""))+LEN(SUBSTITUTE(SUBSTITUTE(SUBSTITUTE(C200," ",""),"0",""),"-",""))&gt;LEN(SUBSTITUTE(SUBSTITUTE(SUBSTITUTE(E200," ",""),"0",""),"-",""))+LEN(SUBSTITUTE(SUBSTITUTE(SUBSTITUTE(F200," ",""),"0",""),"-","")))*1),0)+IF(OR(COUNTA(B201,C201,E201,F201)&gt;0,OR(D201="X",D201="x")),IF(OR(D201="X",D201="x"),0,(LEN(SUBSTITUTE(SUBSTITUTE(SUBSTITUTE(B201," ",""),"0",""),"-",""))+LEN(SUBSTITUTE(SUBSTITUTE(SUBSTITUTE(C201," ",""),"0",""),"-",""))&gt;LEN(SUBSTITUTE(SUBSTITUTE(SUBSTITUTE(E201," ",""),"0",""),"-",""))+LEN(SUBSTITUTE(SUBSTITUTE(SUBSTITUTE(F201," ",""),"0",""),"-","")))*1),0)</f>
      </c>
      <c r="C206" s="14" t="str">
        <f>IF(OR(COUNTA(B200,C200,E200,F200)&gt;0,OR(D200="X",D200="x")),IF(OR(D200="X",D200="x"),0,(LEN(SUBSTITUTE(SUBSTITUTE(SUBSTITUTE(B200," ",""),"0",""),"-",""))+LEN(SUBSTITUTE(SUBSTITUTE(SUBSTITUTE(C200," ",""),"0",""),"-",""))&lt;LEN(SUBSTITUTE(SUBSTITUTE(SUBSTITUTE(E200," ",""),"0",""),"-",""))+LEN(SUBSTITUTE(SUBSTITUTE(SUBSTITUTE(F200," ",""),"0",""),"-","")))*1),0)+IF(OR(COUNTA(B201,C201,E201,F201)&gt;0,OR(D201="X",D201="x")),IF(OR(D201="X",D201="x"),0,(LEN(SUBSTITUTE(SUBSTITUTE(SUBSTITUTE(B201," ",""),"0",""),"-",""))+LEN(SUBSTITUTE(SUBSTITUTE(SUBSTITUTE(C201," ",""),"0",""),"-",""))&lt;LEN(SUBSTITUTE(SUBSTITUTE(SUBSTITUTE(E201," ",""),"0",""),"-",""))+LEN(SUBSTITUTE(SUBSTITUTE(SUBSTITUTE(F201," ",""),"0",""),"-","")))*1),0)</f>
      </c>
      <c r="D206" s="14" t="str">
        <f>IF(OR(COUNTA(B200,C200,E200,F200)&gt;0,OR(D200="X",D200="x")),IF(OR(D200="X",D200="x"),1,0),0)+IF(OR(COUNTA(B201,C201,E201,F201)&gt;0,OR(D201="X",D201="x")),IF(OR(D201="X",D201="x"),1,0),0)</f>
      </c>
      <c r="E206" s="14" t="str">
        <f>LEN(SUBSTITUTE(SUBSTITUTE(SUBSTITUTE(B200," ",""),"0",""),"-",""))+LEN(SUBSTITUTE(SUBSTITUTE(SUBSTITUTE(C200," ",""),"0",""),"-",""))+LEN(SUBSTITUTE(SUBSTITUTE(SUBSTITUTE(B201," ",""),"0",""),"-",""))+LEN(SUBSTITUTE(SUBSTITUTE(SUBSTITUTE(C201," ",""),"0",""),"-",""))</f>
      </c>
      <c r="F206" s="14" t="str">
        <f>LEN(SUBSTITUTE(SUBSTITUTE(SUBSTITUTE(E200," ",""),"0",""),"-",""))+LEN(SUBSTITUTE(SUBSTITUTE(SUBSTITUTE(F200," ",""),"0",""),"-",""))+LEN(SUBSTITUTE(SUBSTITUTE(SUBSTITUTE(E201," ",""),"0",""),"-",""))+LEN(SUBSTITUTE(SUBSTITUTE(SUBSTITUTE(F201," ",""),"0",""),"-",""))</f>
      </c>
      <c r="I206" s="14" t="str">
        <f>data!$B$87</f>
      </c>
      <c r="J206" s="14" t="str">
        <f>IF(OR(COUNTA(J200,K200,M200,N200)&gt;0,OR(L200="X",L200="x")),IF(OR(L200="X",L200="x"),0,(LEN(SUBSTITUTE(SUBSTITUTE(SUBSTITUTE(J200," ",""),"0",""),"-",""))+LEN(SUBSTITUTE(SUBSTITUTE(SUBSTITUTE(K200," ",""),"0",""),"-",""))&gt;LEN(SUBSTITUTE(SUBSTITUTE(SUBSTITUTE(M200," ",""),"0",""),"-",""))+LEN(SUBSTITUTE(SUBSTITUTE(SUBSTITUTE(N200," ",""),"0",""),"-","")))*1),0)+IF(OR(COUNTA(J201,K201,M201,N201)&gt;0,OR(L201="X",L201="x")),IF(OR(L201="X",L201="x"),0,(LEN(SUBSTITUTE(SUBSTITUTE(SUBSTITUTE(J201," ",""),"0",""),"-",""))+LEN(SUBSTITUTE(SUBSTITUTE(SUBSTITUTE(K201," ",""),"0",""),"-",""))&gt;LEN(SUBSTITUTE(SUBSTITUTE(SUBSTITUTE(M201," ",""),"0",""),"-",""))+LEN(SUBSTITUTE(SUBSTITUTE(SUBSTITUTE(N201," ",""),"0",""),"-","")))*1),0)</f>
      </c>
      <c r="K206" s="14" t="str">
        <f>IF(OR(COUNTA(J200,K200,M200,N200)&gt;0,OR(L200="X",L200="x")),IF(OR(L200="X",L200="x"),0,(LEN(SUBSTITUTE(SUBSTITUTE(SUBSTITUTE(J200," ",""),"0",""),"-",""))+LEN(SUBSTITUTE(SUBSTITUTE(SUBSTITUTE(K200," ",""),"0",""),"-",""))&lt;LEN(SUBSTITUTE(SUBSTITUTE(SUBSTITUTE(M200," ",""),"0",""),"-",""))+LEN(SUBSTITUTE(SUBSTITUTE(SUBSTITUTE(N200," ",""),"0",""),"-","")))*1),0)+IF(OR(COUNTA(J201,K201,M201,N201)&gt;0,OR(L201="X",L201="x")),IF(OR(L201="X",L201="x"),0,(LEN(SUBSTITUTE(SUBSTITUTE(SUBSTITUTE(J201," ",""),"0",""),"-",""))+LEN(SUBSTITUTE(SUBSTITUTE(SUBSTITUTE(K201," ",""),"0",""),"-",""))&lt;LEN(SUBSTITUTE(SUBSTITUTE(SUBSTITUTE(M201," ",""),"0",""),"-",""))+LEN(SUBSTITUTE(SUBSTITUTE(SUBSTITUTE(N201," ",""),"0",""),"-","")))*1),0)</f>
      </c>
      <c r="L206" s="14" t="str">
        <f>IF(OR(COUNTA(J200,K200,M200,N200)&gt;0,OR(L200="X",L200="x")),IF(OR(L200="X",L200="x"),1,0),0)+IF(OR(COUNTA(J201,K201,M201,N201)&gt;0,OR(L201="X",L201="x")),IF(OR(L201="X",L201="x"),1,0),0)</f>
      </c>
      <c r="M206" s="14" t="str">
        <f>LEN(SUBSTITUTE(SUBSTITUTE(SUBSTITUTE(J200," ",""),"0",""),"-",""))+LEN(SUBSTITUTE(SUBSTITUTE(SUBSTITUTE(K200," ",""),"0",""),"-",""))+LEN(SUBSTITUTE(SUBSTITUTE(SUBSTITUTE(J201," ",""),"0",""),"-",""))+LEN(SUBSTITUTE(SUBSTITUTE(SUBSTITUTE(K201," ",""),"0",""),"-",""))</f>
      </c>
      <c r="N206" s="14" t="str">
        <f>LEN(SUBSTITUTE(SUBSTITUTE(SUBSTITUTE(M200," ",""),"0",""),"-",""))+LEN(SUBSTITUTE(SUBSTITUTE(SUBSTITUTE(N200," ",""),"0",""),"-",""))+LEN(SUBSTITUTE(SUBSTITUTE(SUBSTITUTE(M201," ",""),"0",""),"-",""))+LEN(SUBSTITUTE(SUBSTITUTE(SUBSTITUTE(N201," ",""),"0",""),"-",""))</f>
      </c>
    </row>
    <row r="208">
      <c r="F208" t="s">
        <v>247</v>
      </c>
      <c r="G208" s="19"/>
      <c r="N208" t="s">
        <v>247</v>
      </c>
      <c r="O208" s="19"/>
    </row>
    <row r="209">
      <c r="F209" t="s">
        <v>248</v>
      </c>
      <c r="G209" s="19"/>
      <c r="N209" t="s">
        <v>248</v>
      </c>
      <c r="O209" s="19"/>
    </row>
    <row r="210">
      <c r="F210" t="s">
        <v>249</v>
      </c>
      <c r="G210" s="19"/>
      <c r="N210" t="s">
        <v>249</v>
      </c>
      <c r="O210" s="19"/>
    </row>
    <row r="213">
      <c r="A213" s="13" t="str">
        <f>data!$A$45</f>
      </c>
      <c r="B213" s="13"/>
      <c r="C213" s="13"/>
      <c r="D213" s="13"/>
      <c r="E213" s="13"/>
      <c r="F213" s="13"/>
      <c r="G213" s="13"/>
      <c r="I213" s="13" t="str">
        <f>data!$A$90</f>
      </c>
      <c r="J213" s="13"/>
      <c r="K213" s="13"/>
      <c r="L213" s="13"/>
      <c r="M213" s="13"/>
      <c r="N213" s="13"/>
      <c r="O213" s="13"/>
    </row>
    <row r="214">
      <c r="A214" s="17" t="s">
        <v>238</v>
      </c>
      <c r="D214" s="14" t="s">
        <v>239</v>
      </c>
      <c r="G214" s="16" t="s">
        <v>240</v>
      </c>
      <c r="I214" s="17" t="s">
        <v>238</v>
      </c>
      <c r="L214" s="14" t="s">
        <v>239</v>
      </c>
      <c r="O214" s="16" t="s">
        <v>240</v>
      </c>
    </row>
    <row r="215">
      <c r="A215" s="14" t="str">
        <f>data!$B$44</f>
      </c>
      <c r="B215" s="18"/>
      <c r="C215" s="18"/>
      <c r="D215" s="18"/>
      <c r="E215" s="18"/>
      <c r="F215" s="18"/>
      <c r="G215" s="14" t="str">
        <f>data!$B$43</f>
      </c>
      <c r="I215" s="14" t="str">
        <f>data!$B$89</f>
      </c>
      <c r="J215" s="18"/>
      <c r="K215" s="18"/>
      <c r="L215" s="18"/>
      <c r="M215" s="18"/>
      <c r="N215" s="18"/>
      <c r="O215" s="14" t="str">
        <f>data!$B$88</f>
      </c>
    </row>
    <row r="216">
      <c r="A216" s="14" t="str">
        <f>data!$B$45</f>
      </c>
      <c r="B216" s="18"/>
      <c r="C216" s="18"/>
      <c r="D216" s="18"/>
      <c r="E216" s="18"/>
      <c r="F216" s="18"/>
      <c r="G216" s="14" t="str">
        <f>data!$B$43</f>
      </c>
      <c r="I216" s="14" t="str">
        <f>data!$B$90</f>
      </c>
      <c r="J216" s="18"/>
      <c r="K216" s="18"/>
      <c r="L216" s="18"/>
      <c r="M216" s="18"/>
      <c r="N216" s="18"/>
      <c r="O216" s="14" t="str">
        <f>data!$B$88</f>
      </c>
    </row>
    <row r="217">
      <c r="A217" s="14" t="str">
        <f>data!$B$45</f>
      </c>
      <c r="B217" s="18"/>
      <c r="C217" s="18"/>
      <c r="D217" s="18"/>
      <c r="E217" s="18"/>
      <c r="F217" s="18"/>
      <c r="G217" s="14" t="str">
        <f>data!$B$44</f>
      </c>
      <c r="I217" s="14" t="str">
        <f>data!$B$90</f>
      </c>
      <c r="J217" s="18"/>
      <c r="K217" s="18"/>
      <c r="L217" s="18"/>
      <c r="M217" s="18"/>
      <c r="N217" s="18"/>
      <c r="O217" s="14" t="str">
        <f>data!$B$89</f>
      </c>
    </row>
    <row r="219">
      <c r="A219" s="13" t="s">
        <v>241</v>
      </c>
      <c r="B219" s="13" t="s">
        <v>242</v>
      </c>
      <c r="C219" s="13" t="s">
        <v>243</v>
      </c>
      <c r="D219" s="13" t="s">
        <v>244</v>
      </c>
      <c r="E219" s="13" t="s">
        <v>245</v>
      </c>
      <c r="F219" s="13" t="s">
        <v>246</v>
      </c>
      <c r="I219" s="13" t="s">
        <v>241</v>
      </c>
      <c r="J219" s="13" t="s">
        <v>242</v>
      </c>
      <c r="K219" s="13" t="s">
        <v>243</v>
      </c>
      <c r="L219" s="13" t="s">
        <v>244</v>
      </c>
      <c r="M219" s="13" t="s">
        <v>245</v>
      </c>
      <c r="N219" s="13" t="s">
        <v>246</v>
      </c>
    </row>
    <row r="220">
      <c r="A220" s="14" t="str">
        <f>data!$B$43</f>
      </c>
      <c r="B220" s="14" t="str">
        <f>IF(OR(COUNTA(B215,C215,E215,F215)&gt;0,OR(D215="X",D215="x")),IF(OR(D215="X",D215="x"),0,(LEN(SUBSTITUTE(SUBSTITUTE(SUBSTITUTE(E215," ",""),"0",""),"-",""))+LEN(SUBSTITUTE(SUBSTITUTE(SUBSTITUTE(F215," ",""),"0",""),"-",""))&gt;LEN(SUBSTITUTE(SUBSTITUTE(SUBSTITUTE(B215," ",""),"0",""),"-",""))+LEN(SUBSTITUTE(SUBSTITUTE(SUBSTITUTE(C215," ",""),"0",""),"-","")))*1),0)+IF(OR(COUNTA(B216,C216,E216,F216)&gt;0,OR(D216="X",D216="x")),IF(OR(D216="X",D216="x"),0,(LEN(SUBSTITUTE(SUBSTITUTE(SUBSTITUTE(E216," ",""),"0",""),"-",""))+LEN(SUBSTITUTE(SUBSTITUTE(SUBSTITUTE(F216," ",""),"0",""),"-",""))&gt;LEN(SUBSTITUTE(SUBSTITUTE(SUBSTITUTE(B216," ",""),"0",""),"-",""))+LEN(SUBSTITUTE(SUBSTITUTE(SUBSTITUTE(C216," ",""),"0",""),"-","")))*1),0)</f>
      </c>
      <c r="C220" s="14" t="str">
        <f>IF(OR(COUNTA(B215,C215,E215,F215)&gt;0,OR(D215="X",D215="x")),IF(OR(D215="X",D215="x"),0,(LEN(SUBSTITUTE(SUBSTITUTE(SUBSTITUTE(E215," ",""),"0",""),"-",""))+LEN(SUBSTITUTE(SUBSTITUTE(SUBSTITUTE(F215," ",""),"0",""),"-",""))&lt;LEN(SUBSTITUTE(SUBSTITUTE(SUBSTITUTE(B215," ",""),"0",""),"-",""))+LEN(SUBSTITUTE(SUBSTITUTE(SUBSTITUTE(C215," ",""),"0",""),"-","")))*1),0)+IF(OR(COUNTA(B216,C216,E216,F216)&gt;0,OR(D216="X",D216="x")),IF(OR(D216="X",D216="x"),0,(LEN(SUBSTITUTE(SUBSTITUTE(SUBSTITUTE(E216," ",""),"0",""),"-",""))+LEN(SUBSTITUTE(SUBSTITUTE(SUBSTITUTE(F216," ",""),"0",""),"-",""))&lt;LEN(SUBSTITUTE(SUBSTITUTE(SUBSTITUTE(B216," ",""),"0",""),"-",""))+LEN(SUBSTITUTE(SUBSTITUTE(SUBSTITUTE(C216," ",""),"0",""),"-","")))*1),0)</f>
      </c>
      <c r="D220" s="14" t="str">
        <f>IF(OR(COUNTA(B215,C215,E215,F215)&gt;0,OR(D215="X",D215="x")),IF(OR(D215="X",D215="x"),1,0),0)+IF(OR(COUNTA(B216,C216,E216,F216)&gt;0,OR(D216="X",D216="x")),IF(OR(D216="X",D216="x"),1,0),0)</f>
      </c>
      <c r="E220" s="14" t="str">
        <f>LEN(SUBSTITUTE(SUBSTITUTE(SUBSTITUTE(E215," ",""),"0",""),"-",""))+LEN(SUBSTITUTE(SUBSTITUTE(SUBSTITUTE(F215," ",""),"0",""),"-",""))+LEN(SUBSTITUTE(SUBSTITUTE(SUBSTITUTE(E216," ",""),"0",""),"-",""))+LEN(SUBSTITUTE(SUBSTITUTE(SUBSTITUTE(F216," ",""),"0",""),"-",""))</f>
      </c>
      <c r="F220" s="14" t="str">
        <f>LEN(SUBSTITUTE(SUBSTITUTE(SUBSTITUTE(B215," ",""),"0",""),"-",""))+LEN(SUBSTITUTE(SUBSTITUTE(SUBSTITUTE(C215," ",""),"0",""),"-",""))+LEN(SUBSTITUTE(SUBSTITUTE(SUBSTITUTE(B216," ",""),"0",""),"-",""))+LEN(SUBSTITUTE(SUBSTITUTE(SUBSTITUTE(C216," ",""),"0",""),"-",""))</f>
      </c>
      <c r="I220" s="14" t="str">
        <f>data!$B$88</f>
      </c>
      <c r="J220" s="14" t="str">
        <f>IF(OR(COUNTA(J215,K215,M215,N215)&gt;0,OR(L215="X",L215="x")),IF(OR(L215="X",L215="x"),0,(LEN(SUBSTITUTE(SUBSTITUTE(SUBSTITUTE(M215," ",""),"0",""),"-",""))+LEN(SUBSTITUTE(SUBSTITUTE(SUBSTITUTE(N215," ",""),"0",""),"-",""))&gt;LEN(SUBSTITUTE(SUBSTITUTE(SUBSTITUTE(J215," ",""),"0",""),"-",""))+LEN(SUBSTITUTE(SUBSTITUTE(SUBSTITUTE(K215," ",""),"0",""),"-","")))*1),0)+IF(OR(COUNTA(J216,K216,M216,N216)&gt;0,OR(L216="X",L216="x")),IF(OR(L216="X",L216="x"),0,(LEN(SUBSTITUTE(SUBSTITUTE(SUBSTITUTE(M216," ",""),"0",""),"-",""))+LEN(SUBSTITUTE(SUBSTITUTE(SUBSTITUTE(N216," ",""),"0",""),"-",""))&gt;LEN(SUBSTITUTE(SUBSTITUTE(SUBSTITUTE(J216," ",""),"0",""),"-",""))+LEN(SUBSTITUTE(SUBSTITUTE(SUBSTITUTE(K216," ",""),"0",""),"-","")))*1),0)</f>
      </c>
      <c r="K220" s="14" t="str">
        <f>IF(OR(COUNTA(J215,K215,M215,N215)&gt;0,OR(L215="X",L215="x")),IF(OR(L215="X",L215="x"),0,(LEN(SUBSTITUTE(SUBSTITUTE(SUBSTITUTE(M215," ",""),"0",""),"-",""))+LEN(SUBSTITUTE(SUBSTITUTE(SUBSTITUTE(N215," ",""),"0",""),"-",""))&lt;LEN(SUBSTITUTE(SUBSTITUTE(SUBSTITUTE(J215," ",""),"0",""),"-",""))+LEN(SUBSTITUTE(SUBSTITUTE(SUBSTITUTE(K215," ",""),"0",""),"-","")))*1),0)+IF(OR(COUNTA(J216,K216,M216,N216)&gt;0,OR(L216="X",L216="x")),IF(OR(L216="X",L216="x"),0,(LEN(SUBSTITUTE(SUBSTITUTE(SUBSTITUTE(M216," ",""),"0",""),"-",""))+LEN(SUBSTITUTE(SUBSTITUTE(SUBSTITUTE(N216," ",""),"0",""),"-",""))&lt;LEN(SUBSTITUTE(SUBSTITUTE(SUBSTITUTE(J216," ",""),"0",""),"-",""))+LEN(SUBSTITUTE(SUBSTITUTE(SUBSTITUTE(K216," ",""),"0",""),"-","")))*1),0)</f>
      </c>
      <c r="L220" s="14" t="str">
        <f>IF(OR(COUNTA(J215,K215,M215,N215)&gt;0,OR(L215="X",L215="x")),IF(OR(L215="X",L215="x"),1,0),0)+IF(OR(COUNTA(J216,K216,M216,N216)&gt;0,OR(L216="X",L216="x")),IF(OR(L216="X",L216="x"),1,0),0)</f>
      </c>
      <c r="M220" s="14" t="str">
        <f>LEN(SUBSTITUTE(SUBSTITUTE(SUBSTITUTE(M215," ",""),"0",""),"-",""))+LEN(SUBSTITUTE(SUBSTITUTE(SUBSTITUTE(N215," ",""),"0",""),"-",""))+LEN(SUBSTITUTE(SUBSTITUTE(SUBSTITUTE(M216," ",""),"0",""),"-",""))+LEN(SUBSTITUTE(SUBSTITUTE(SUBSTITUTE(N216," ",""),"0",""),"-",""))</f>
      </c>
      <c r="N220" s="14" t="str">
        <f>LEN(SUBSTITUTE(SUBSTITUTE(SUBSTITUTE(J215," ",""),"0",""),"-",""))+LEN(SUBSTITUTE(SUBSTITUTE(SUBSTITUTE(K215," ",""),"0",""),"-",""))+LEN(SUBSTITUTE(SUBSTITUTE(SUBSTITUTE(J216," ",""),"0",""),"-",""))+LEN(SUBSTITUTE(SUBSTITUTE(SUBSTITUTE(K216," ",""),"0",""),"-",""))</f>
      </c>
    </row>
    <row r="221">
      <c r="A221" s="14" t="str">
        <f>data!$B$44</f>
      </c>
      <c r="B221" s="14" t="str">
        <f>IF(OR(COUNTA(B215,C215,E215,F215)&gt;0,OR(D215="X",D215="x")),IF(OR(D215="X",D215="x"),0,(LEN(SUBSTITUTE(SUBSTITUTE(SUBSTITUTE(B215," ",""),"0",""),"-",""))+LEN(SUBSTITUTE(SUBSTITUTE(SUBSTITUTE(C215," ",""),"0",""),"-",""))&gt;LEN(SUBSTITUTE(SUBSTITUTE(SUBSTITUTE(E215," ",""),"0",""),"-",""))+LEN(SUBSTITUTE(SUBSTITUTE(SUBSTITUTE(F215," ",""),"0",""),"-","")))*1),0)+IF(OR(COUNTA(B217,C217,E217,F217)&gt;0,OR(D217="X",D217="x")),IF(OR(D217="X",D217="x"),0,(LEN(SUBSTITUTE(SUBSTITUTE(SUBSTITUTE(E217," ",""),"0",""),"-",""))+LEN(SUBSTITUTE(SUBSTITUTE(SUBSTITUTE(F217," ",""),"0",""),"-",""))&gt;LEN(SUBSTITUTE(SUBSTITUTE(SUBSTITUTE(B217," ",""),"0",""),"-",""))+LEN(SUBSTITUTE(SUBSTITUTE(SUBSTITUTE(C217," ",""),"0",""),"-","")))*1),0)</f>
      </c>
      <c r="C221" s="14" t="str">
        <f>IF(OR(COUNTA(B215,C215,E215,F215)&gt;0,OR(D215="X",D215="x")),IF(OR(D215="X",D215="x"),0,(LEN(SUBSTITUTE(SUBSTITUTE(SUBSTITUTE(B215," ",""),"0",""),"-",""))+LEN(SUBSTITUTE(SUBSTITUTE(SUBSTITUTE(C215," ",""),"0",""),"-",""))&lt;LEN(SUBSTITUTE(SUBSTITUTE(SUBSTITUTE(E215," ",""),"0",""),"-",""))+LEN(SUBSTITUTE(SUBSTITUTE(SUBSTITUTE(F215," ",""),"0",""),"-","")))*1),0)+IF(OR(COUNTA(B217,C217,E217,F217)&gt;0,OR(D217="X",D217="x")),IF(OR(D217="X",D217="x"),0,(LEN(SUBSTITUTE(SUBSTITUTE(SUBSTITUTE(E217," ",""),"0",""),"-",""))+LEN(SUBSTITUTE(SUBSTITUTE(SUBSTITUTE(F217," ",""),"0",""),"-",""))&lt;LEN(SUBSTITUTE(SUBSTITUTE(SUBSTITUTE(B217," ",""),"0",""),"-",""))+LEN(SUBSTITUTE(SUBSTITUTE(SUBSTITUTE(C217," ",""),"0",""),"-","")))*1),0)</f>
      </c>
      <c r="D221" s="14" t="str">
        <f>IF(OR(COUNTA(B215,C215,E215,F215)&gt;0,OR(D215="X",D215="x")),IF(OR(D215="X",D215="x"),1,0),0)+IF(OR(COUNTA(B217,C217,E217,F217)&gt;0,OR(D217="X",D217="x")),IF(OR(D217="X",D217="x"),1,0),0)</f>
      </c>
      <c r="E221" s="14" t="str">
        <f>LEN(SUBSTITUTE(SUBSTITUTE(SUBSTITUTE(B215," ",""),"0",""),"-",""))+LEN(SUBSTITUTE(SUBSTITUTE(SUBSTITUTE(C215," ",""),"0",""),"-",""))+LEN(SUBSTITUTE(SUBSTITUTE(SUBSTITUTE(E217," ",""),"0",""),"-",""))+LEN(SUBSTITUTE(SUBSTITUTE(SUBSTITUTE(F217," ",""),"0",""),"-",""))</f>
      </c>
      <c r="F221" s="14" t="str">
        <f>LEN(SUBSTITUTE(SUBSTITUTE(SUBSTITUTE(E215," ",""),"0",""),"-",""))+LEN(SUBSTITUTE(SUBSTITUTE(SUBSTITUTE(F215," ",""),"0",""),"-",""))+LEN(SUBSTITUTE(SUBSTITUTE(SUBSTITUTE(B217," ",""),"0",""),"-",""))+LEN(SUBSTITUTE(SUBSTITUTE(SUBSTITUTE(C217," ",""),"0",""),"-",""))</f>
      </c>
      <c r="I221" s="14" t="str">
        <f>data!$B$89</f>
      </c>
      <c r="J221" s="14" t="str">
        <f>IF(OR(COUNTA(J215,K215,M215,N215)&gt;0,OR(L215="X",L215="x")),IF(OR(L215="X",L215="x"),0,(LEN(SUBSTITUTE(SUBSTITUTE(SUBSTITUTE(J215," ",""),"0",""),"-",""))+LEN(SUBSTITUTE(SUBSTITUTE(SUBSTITUTE(K215," ",""),"0",""),"-",""))&gt;LEN(SUBSTITUTE(SUBSTITUTE(SUBSTITUTE(M215," ",""),"0",""),"-",""))+LEN(SUBSTITUTE(SUBSTITUTE(SUBSTITUTE(N215," ",""),"0",""),"-","")))*1),0)+IF(OR(COUNTA(J217,K217,M217,N217)&gt;0,OR(L217="X",L217="x")),IF(OR(L217="X",L217="x"),0,(LEN(SUBSTITUTE(SUBSTITUTE(SUBSTITUTE(M217," ",""),"0",""),"-",""))+LEN(SUBSTITUTE(SUBSTITUTE(SUBSTITUTE(N217," ",""),"0",""),"-",""))&gt;LEN(SUBSTITUTE(SUBSTITUTE(SUBSTITUTE(J217," ",""),"0",""),"-",""))+LEN(SUBSTITUTE(SUBSTITUTE(SUBSTITUTE(K217," ",""),"0",""),"-","")))*1),0)</f>
      </c>
      <c r="K221" s="14" t="str">
        <f>IF(OR(COUNTA(J215,K215,M215,N215)&gt;0,OR(L215="X",L215="x")),IF(OR(L215="X",L215="x"),0,(LEN(SUBSTITUTE(SUBSTITUTE(SUBSTITUTE(J215," ",""),"0",""),"-",""))+LEN(SUBSTITUTE(SUBSTITUTE(SUBSTITUTE(K215," ",""),"0",""),"-",""))&lt;LEN(SUBSTITUTE(SUBSTITUTE(SUBSTITUTE(M215," ",""),"0",""),"-",""))+LEN(SUBSTITUTE(SUBSTITUTE(SUBSTITUTE(N215," ",""),"0",""),"-","")))*1),0)+IF(OR(COUNTA(J217,K217,M217,N217)&gt;0,OR(L217="X",L217="x")),IF(OR(L217="X",L217="x"),0,(LEN(SUBSTITUTE(SUBSTITUTE(SUBSTITUTE(M217," ",""),"0",""),"-",""))+LEN(SUBSTITUTE(SUBSTITUTE(SUBSTITUTE(N217," ",""),"0",""),"-",""))&lt;LEN(SUBSTITUTE(SUBSTITUTE(SUBSTITUTE(J217," ",""),"0",""),"-",""))+LEN(SUBSTITUTE(SUBSTITUTE(SUBSTITUTE(K217," ",""),"0",""),"-","")))*1),0)</f>
      </c>
      <c r="L221" s="14" t="str">
        <f>IF(OR(COUNTA(J215,K215,M215,N215)&gt;0,OR(L215="X",L215="x")),IF(OR(L215="X",L215="x"),1,0),0)+IF(OR(COUNTA(J217,K217,M217,N217)&gt;0,OR(L217="X",L217="x")),IF(OR(L217="X",L217="x"),1,0),0)</f>
      </c>
      <c r="M221" s="14" t="str">
        <f>LEN(SUBSTITUTE(SUBSTITUTE(SUBSTITUTE(J215," ",""),"0",""),"-",""))+LEN(SUBSTITUTE(SUBSTITUTE(SUBSTITUTE(K215," ",""),"0",""),"-",""))+LEN(SUBSTITUTE(SUBSTITUTE(SUBSTITUTE(M217," ",""),"0",""),"-",""))+LEN(SUBSTITUTE(SUBSTITUTE(SUBSTITUTE(N217," ",""),"0",""),"-",""))</f>
      </c>
      <c r="N221" s="14" t="str">
        <f>LEN(SUBSTITUTE(SUBSTITUTE(SUBSTITUTE(M215," ",""),"0",""),"-",""))+LEN(SUBSTITUTE(SUBSTITUTE(SUBSTITUTE(N215," ",""),"0",""),"-",""))+LEN(SUBSTITUTE(SUBSTITUTE(SUBSTITUTE(J217," ",""),"0",""),"-",""))+LEN(SUBSTITUTE(SUBSTITUTE(SUBSTITUTE(K217," ",""),"0",""),"-",""))</f>
      </c>
    </row>
    <row r="222">
      <c r="A222" s="14" t="str">
        <f>data!$B$45</f>
      </c>
      <c r="B222" s="14" t="str">
        <f>IF(OR(COUNTA(B216,C216,E216,F216)&gt;0,OR(D216="X",D216="x")),IF(OR(D216="X",D216="x"),0,(LEN(SUBSTITUTE(SUBSTITUTE(SUBSTITUTE(B216," ",""),"0",""),"-",""))+LEN(SUBSTITUTE(SUBSTITUTE(SUBSTITUTE(C216," ",""),"0",""),"-",""))&gt;LEN(SUBSTITUTE(SUBSTITUTE(SUBSTITUTE(E216," ",""),"0",""),"-",""))+LEN(SUBSTITUTE(SUBSTITUTE(SUBSTITUTE(F216," ",""),"0",""),"-","")))*1),0)+IF(OR(COUNTA(B217,C217,E217,F217)&gt;0,OR(D217="X",D217="x")),IF(OR(D217="X",D217="x"),0,(LEN(SUBSTITUTE(SUBSTITUTE(SUBSTITUTE(B217," ",""),"0",""),"-",""))+LEN(SUBSTITUTE(SUBSTITUTE(SUBSTITUTE(C217," ",""),"0",""),"-",""))&gt;LEN(SUBSTITUTE(SUBSTITUTE(SUBSTITUTE(E217," ",""),"0",""),"-",""))+LEN(SUBSTITUTE(SUBSTITUTE(SUBSTITUTE(F217," ",""),"0",""),"-","")))*1),0)</f>
      </c>
      <c r="C222" s="14" t="str">
        <f>IF(OR(COUNTA(B216,C216,E216,F216)&gt;0,OR(D216="X",D216="x")),IF(OR(D216="X",D216="x"),0,(LEN(SUBSTITUTE(SUBSTITUTE(SUBSTITUTE(B216," ",""),"0",""),"-",""))+LEN(SUBSTITUTE(SUBSTITUTE(SUBSTITUTE(C216," ",""),"0",""),"-",""))&lt;LEN(SUBSTITUTE(SUBSTITUTE(SUBSTITUTE(E216," ",""),"0",""),"-",""))+LEN(SUBSTITUTE(SUBSTITUTE(SUBSTITUTE(F216," ",""),"0",""),"-","")))*1),0)+IF(OR(COUNTA(B217,C217,E217,F217)&gt;0,OR(D217="X",D217="x")),IF(OR(D217="X",D217="x"),0,(LEN(SUBSTITUTE(SUBSTITUTE(SUBSTITUTE(B217," ",""),"0",""),"-",""))+LEN(SUBSTITUTE(SUBSTITUTE(SUBSTITUTE(C217," ",""),"0",""),"-",""))&lt;LEN(SUBSTITUTE(SUBSTITUTE(SUBSTITUTE(E217," ",""),"0",""),"-",""))+LEN(SUBSTITUTE(SUBSTITUTE(SUBSTITUTE(F217," ",""),"0",""),"-","")))*1),0)</f>
      </c>
      <c r="D222" s="14" t="str">
        <f>IF(OR(COUNTA(B216,C216,E216,F216)&gt;0,OR(D216="X",D216="x")),IF(OR(D216="X",D216="x"),1,0),0)+IF(OR(COUNTA(B217,C217,E217,F217)&gt;0,OR(D217="X",D217="x")),IF(OR(D217="X",D217="x"),1,0),0)</f>
      </c>
      <c r="E222" s="14" t="str">
        <f>LEN(SUBSTITUTE(SUBSTITUTE(SUBSTITUTE(B216," ",""),"0",""),"-",""))+LEN(SUBSTITUTE(SUBSTITUTE(SUBSTITUTE(C216," ",""),"0",""),"-",""))+LEN(SUBSTITUTE(SUBSTITUTE(SUBSTITUTE(B217," ",""),"0",""),"-",""))+LEN(SUBSTITUTE(SUBSTITUTE(SUBSTITUTE(C217," ",""),"0",""),"-",""))</f>
      </c>
      <c r="F222" s="14" t="str">
        <f>LEN(SUBSTITUTE(SUBSTITUTE(SUBSTITUTE(E216," ",""),"0",""),"-",""))+LEN(SUBSTITUTE(SUBSTITUTE(SUBSTITUTE(F216," ",""),"0",""),"-",""))+LEN(SUBSTITUTE(SUBSTITUTE(SUBSTITUTE(E217," ",""),"0",""),"-",""))+LEN(SUBSTITUTE(SUBSTITUTE(SUBSTITUTE(F217," ",""),"0",""),"-",""))</f>
      </c>
      <c r="I222" s="14" t="str">
        <f>data!$B$90</f>
      </c>
      <c r="J222" s="14" t="str">
        <f>IF(OR(COUNTA(J216,K216,M216,N216)&gt;0,OR(L216="X",L216="x")),IF(OR(L216="X",L216="x"),0,(LEN(SUBSTITUTE(SUBSTITUTE(SUBSTITUTE(J216," ",""),"0",""),"-",""))+LEN(SUBSTITUTE(SUBSTITUTE(SUBSTITUTE(K216," ",""),"0",""),"-",""))&gt;LEN(SUBSTITUTE(SUBSTITUTE(SUBSTITUTE(M216," ",""),"0",""),"-",""))+LEN(SUBSTITUTE(SUBSTITUTE(SUBSTITUTE(N216," ",""),"0",""),"-","")))*1),0)+IF(OR(COUNTA(J217,K217,M217,N217)&gt;0,OR(L217="X",L217="x")),IF(OR(L217="X",L217="x"),0,(LEN(SUBSTITUTE(SUBSTITUTE(SUBSTITUTE(J217," ",""),"0",""),"-",""))+LEN(SUBSTITUTE(SUBSTITUTE(SUBSTITUTE(K217," ",""),"0",""),"-",""))&gt;LEN(SUBSTITUTE(SUBSTITUTE(SUBSTITUTE(M217," ",""),"0",""),"-",""))+LEN(SUBSTITUTE(SUBSTITUTE(SUBSTITUTE(N217," ",""),"0",""),"-","")))*1),0)</f>
      </c>
      <c r="K222" s="14" t="str">
        <f>IF(OR(COUNTA(J216,K216,M216,N216)&gt;0,OR(L216="X",L216="x")),IF(OR(L216="X",L216="x"),0,(LEN(SUBSTITUTE(SUBSTITUTE(SUBSTITUTE(J216," ",""),"0",""),"-",""))+LEN(SUBSTITUTE(SUBSTITUTE(SUBSTITUTE(K216," ",""),"0",""),"-",""))&lt;LEN(SUBSTITUTE(SUBSTITUTE(SUBSTITUTE(M216," ",""),"0",""),"-",""))+LEN(SUBSTITUTE(SUBSTITUTE(SUBSTITUTE(N216," ",""),"0",""),"-","")))*1),0)+IF(OR(COUNTA(J217,K217,M217,N217)&gt;0,OR(L217="X",L217="x")),IF(OR(L217="X",L217="x"),0,(LEN(SUBSTITUTE(SUBSTITUTE(SUBSTITUTE(J217," ",""),"0",""),"-",""))+LEN(SUBSTITUTE(SUBSTITUTE(SUBSTITUTE(K217," ",""),"0",""),"-",""))&lt;LEN(SUBSTITUTE(SUBSTITUTE(SUBSTITUTE(M217," ",""),"0",""),"-",""))+LEN(SUBSTITUTE(SUBSTITUTE(SUBSTITUTE(N217," ",""),"0",""),"-","")))*1),0)</f>
      </c>
      <c r="L222" s="14" t="str">
        <f>IF(OR(COUNTA(J216,K216,M216,N216)&gt;0,OR(L216="X",L216="x")),IF(OR(L216="X",L216="x"),1,0),0)+IF(OR(COUNTA(J217,K217,M217,N217)&gt;0,OR(L217="X",L217="x")),IF(OR(L217="X",L217="x"),1,0),0)</f>
      </c>
      <c r="M222" s="14" t="str">
        <f>LEN(SUBSTITUTE(SUBSTITUTE(SUBSTITUTE(J216," ",""),"0",""),"-",""))+LEN(SUBSTITUTE(SUBSTITUTE(SUBSTITUTE(K216," ",""),"0",""),"-",""))+LEN(SUBSTITUTE(SUBSTITUTE(SUBSTITUTE(J217," ",""),"0",""),"-",""))+LEN(SUBSTITUTE(SUBSTITUTE(SUBSTITUTE(K217," ",""),"0",""),"-",""))</f>
      </c>
      <c r="N222" s="14" t="str">
        <f>LEN(SUBSTITUTE(SUBSTITUTE(SUBSTITUTE(M216," ",""),"0",""),"-",""))+LEN(SUBSTITUTE(SUBSTITUTE(SUBSTITUTE(N216," ",""),"0",""),"-",""))+LEN(SUBSTITUTE(SUBSTITUTE(SUBSTITUTE(M217," ",""),"0",""),"-",""))+LEN(SUBSTITUTE(SUBSTITUTE(SUBSTITUTE(N217," ",""),"0",""),"-",""))</f>
      </c>
    </row>
    <row r="224">
      <c r="F224" t="s">
        <v>247</v>
      </c>
      <c r="G224" s="19"/>
      <c r="N224" t="s">
        <v>247</v>
      </c>
      <c r="O224" s="19"/>
    </row>
    <row r="225">
      <c r="F225" t="s">
        <v>248</v>
      </c>
      <c r="G225" s="19"/>
      <c r="N225" t="s">
        <v>248</v>
      </c>
      <c r="O225" s="19"/>
    </row>
    <row r="226">
      <c r="F226" t="s">
        <v>249</v>
      </c>
      <c r="G226" s="19"/>
      <c r="N226" t="s">
        <v>249</v>
      </c>
      <c r="O226" s="19"/>
    </row>
    <row r="229">
      <c r="A229" s="13" t="str">
        <f>data!$A$48</f>
      </c>
      <c r="B229" s="13"/>
      <c r="C229" s="13"/>
      <c r="D229" s="13"/>
      <c r="E229" s="13"/>
      <c r="F229" s="13"/>
      <c r="G229" s="13"/>
      <c r="I229" s="13" t="str">
        <f>data!$A$93</f>
      </c>
      <c r="J229" s="13"/>
      <c r="K229" s="13"/>
      <c r="L229" s="13"/>
      <c r="M229" s="13"/>
      <c r="N229" s="13"/>
      <c r="O229" s="13"/>
    </row>
    <row r="230">
      <c r="A230" s="17" t="s">
        <v>238</v>
      </c>
      <c r="D230" s="14" t="s">
        <v>239</v>
      </c>
      <c r="G230" s="16" t="s">
        <v>240</v>
      </c>
      <c r="I230" s="17" t="s">
        <v>238</v>
      </c>
      <c r="L230" s="14" t="s">
        <v>239</v>
      </c>
      <c r="O230" s="16" t="s">
        <v>240</v>
      </c>
    </row>
    <row r="231">
      <c r="A231" s="14" t="str">
        <f>data!$B$47</f>
      </c>
      <c r="B231" s="18"/>
      <c r="C231" s="18"/>
      <c r="D231" s="18"/>
      <c r="E231" s="18"/>
      <c r="F231" s="18"/>
      <c r="G231" s="14" t="str">
        <f>data!$B$46</f>
      </c>
      <c r="I231" s="14" t="str">
        <f>data!$B$92</f>
      </c>
      <c r="J231" s="18"/>
      <c r="K231" s="18"/>
      <c r="L231" s="18"/>
      <c r="M231" s="18"/>
      <c r="N231" s="18"/>
      <c r="O231" s="14" t="str">
        <f>data!$B$91</f>
      </c>
    </row>
    <row r="232">
      <c r="A232" s="14" t="str">
        <f>data!$B$48</f>
      </c>
      <c r="B232" s="18"/>
      <c r="C232" s="18"/>
      <c r="D232" s="18"/>
      <c r="E232" s="18"/>
      <c r="F232" s="18"/>
      <c r="G232" s="14" t="str">
        <f>data!$B$46</f>
      </c>
      <c r="I232" s="14" t="str">
        <f>data!$B$93</f>
      </c>
      <c r="J232" s="18"/>
      <c r="K232" s="18"/>
      <c r="L232" s="18"/>
      <c r="M232" s="18"/>
      <c r="N232" s="18"/>
      <c r="O232" s="14" t="str">
        <f>data!$B$91</f>
      </c>
    </row>
    <row r="233">
      <c r="A233" s="14" t="str">
        <f>data!$B$48</f>
      </c>
      <c r="B233" s="18"/>
      <c r="C233" s="18"/>
      <c r="D233" s="18"/>
      <c r="E233" s="18"/>
      <c r="F233" s="18"/>
      <c r="G233" s="14" t="str">
        <f>data!$B$47</f>
      </c>
      <c r="I233" s="14" t="str">
        <f>data!$B$93</f>
      </c>
      <c r="J233" s="18"/>
      <c r="K233" s="18"/>
      <c r="L233" s="18"/>
      <c r="M233" s="18"/>
      <c r="N233" s="18"/>
      <c r="O233" s="14" t="str">
        <f>data!$B$92</f>
      </c>
    </row>
    <row r="235">
      <c r="A235" s="13" t="s">
        <v>241</v>
      </c>
      <c r="B235" s="13" t="s">
        <v>242</v>
      </c>
      <c r="C235" s="13" t="s">
        <v>243</v>
      </c>
      <c r="D235" s="13" t="s">
        <v>244</v>
      </c>
      <c r="E235" s="13" t="s">
        <v>245</v>
      </c>
      <c r="F235" s="13" t="s">
        <v>246</v>
      </c>
      <c r="I235" s="13" t="s">
        <v>241</v>
      </c>
      <c r="J235" s="13" t="s">
        <v>242</v>
      </c>
      <c r="K235" s="13" t="s">
        <v>243</v>
      </c>
      <c r="L235" s="13" t="s">
        <v>244</v>
      </c>
      <c r="M235" s="13" t="s">
        <v>245</v>
      </c>
      <c r="N235" s="13" t="s">
        <v>246</v>
      </c>
    </row>
    <row r="236">
      <c r="A236" s="14" t="str">
        <f>data!$B$46</f>
      </c>
      <c r="B236" s="14" t="str">
        <f>IF(OR(COUNTA(B231,C231,E231,F231)&gt;0,OR(D231="X",D231="x")),IF(OR(D231="X",D231="x"),0,(LEN(SUBSTITUTE(SUBSTITUTE(SUBSTITUTE(E231," ",""),"0",""),"-",""))+LEN(SUBSTITUTE(SUBSTITUTE(SUBSTITUTE(F231," ",""),"0",""),"-",""))&gt;LEN(SUBSTITUTE(SUBSTITUTE(SUBSTITUTE(B231," ",""),"0",""),"-",""))+LEN(SUBSTITUTE(SUBSTITUTE(SUBSTITUTE(C231," ",""),"0",""),"-","")))*1),0)+IF(OR(COUNTA(B232,C232,E232,F232)&gt;0,OR(D232="X",D232="x")),IF(OR(D232="X",D232="x"),0,(LEN(SUBSTITUTE(SUBSTITUTE(SUBSTITUTE(E232," ",""),"0",""),"-",""))+LEN(SUBSTITUTE(SUBSTITUTE(SUBSTITUTE(F232," ",""),"0",""),"-",""))&gt;LEN(SUBSTITUTE(SUBSTITUTE(SUBSTITUTE(B232," ",""),"0",""),"-",""))+LEN(SUBSTITUTE(SUBSTITUTE(SUBSTITUTE(C232," ",""),"0",""),"-","")))*1),0)</f>
      </c>
      <c r="C236" s="14" t="str">
        <f>IF(OR(COUNTA(B231,C231,E231,F231)&gt;0,OR(D231="X",D231="x")),IF(OR(D231="X",D231="x"),0,(LEN(SUBSTITUTE(SUBSTITUTE(SUBSTITUTE(E231," ",""),"0",""),"-",""))+LEN(SUBSTITUTE(SUBSTITUTE(SUBSTITUTE(F231," ",""),"0",""),"-",""))&lt;LEN(SUBSTITUTE(SUBSTITUTE(SUBSTITUTE(B231," ",""),"0",""),"-",""))+LEN(SUBSTITUTE(SUBSTITUTE(SUBSTITUTE(C231," ",""),"0",""),"-","")))*1),0)+IF(OR(COUNTA(B232,C232,E232,F232)&gt;0,OR(D232="X",D232="x")),IF(OR(D232="X",D232="x"),0,(LEN(SUBSTITUTE(SUBSTITUTE(SUBSTITUTE(E232," ",""),"0",""),"-",""))+LEN(SUBSTITUTE(SUBSTITUTE(SUBSTITUTE(F232," ",""),"0",""),"-",""))&lt;LEN(SUBSTITUTE(SUBSTITUTE(SUBSTITUTE(B232," ",""),"0",""),"-",""))+LEN(SUBSTITUTE(SUBSTITUTE(SUBSTITUTE(C232," ",""),"0",""),"-","")))*1),0)</f>
      </c>
      <c r="D236" s="14" t="str">
        <f>IF(OR(COUNTA(B231,C231,E231,F231)&gt;0,OR(D231="X",D231="x")),IF(OR(D231="X",D231="x"),1,0),0)+IF(OR(COUNTA(B232,C232,E232,F232)&gt;0,OR(D232="X",D232="x")),IF(OR(D232="X",D232="x"),1,0),0)</f>
      </c>
      <c r="E236" s="14" t="str">
        <f>LEN(SUBSTITUTE(SUBSTITUTE(SUBSTITUTE(E231," ",""),"0",""),"-",""))+LEN(SUBSTITUTE(SUBSTITUTE(SUBSTITUTE(F231," ",""),"0",""),"-",""))+LEN(SUBSTITUTE(SUBSTITUTE(SUBSTITUTE(E232," ",""),"0",""),"-",""))+LEN(SUBSTITUTE(SUBSTITUTE(SUBSTITUTE(F232," ",""),"0",""),"-",""))</f>
      </c>
      <c r="F236" s="14" t="str">
        <f>LEN(SUBSTITUTE(SUBSTITUTE(SUBSTITUTE(B231," ",""),"0",""),"-",""))+LEN(SUBSTITUTE(SUBSTITUTE(SUBSTITUTE(C231," ",""),"0",""),"-",""))+LEN(SUBSTITUTE(SUBSTITUTE(SUBSTITUTE(B232," ",""),"0",""),"-",""))+LEN(SUBSTITUTE(SUBSTITUTE(SUBSTITUTE(C232," ",""),"0",""),"-",""))</f>
      </c>
      <c r="I236" s="14" t="str">
        <f>data!$B$91</f>
      </c>
      <c r="J236" s="14" t="str">
        <f>IF(OR(COUNTA(J231,K231,M231,N231)&gt;0,OR(L231="X",L231="x")),IF(OR(L231="X",L231="x"),0,(LEN(SUBSTITUTE(SUBSTITUTE(SUBSTITUTE(M231," ",""),"0",""),"-",""))+LEN(SUBSTITUTE(SUBSTITUTE(SUBSTITUTE(N231," ",""),"0",""),"-",""))&gt;LEN(SUBSTITUTE(SUBSTITUTE(SUBSTITUTE(J231," ",""),"0",""),"-",""))+LEN(SUBSTITUTE(SUBSTITUTE(SUBSTITUTE(K231," ",""),"0",""),"-","")))*1),0)+IF(OR(COUNTA(J232,K232,M232,N232)&gt;0,OR(L232="X",L232="x")),IF(OR(L232="X",L232="x"),0,(LEN(SUBSTITUTE(SUBSTITUTE(SUBSTITUTE(M232," ",""),"0",""),"-",""))+LEN(SUBSTITUTE(SUBSTITUTE(SUBSTITUTE(N232," ",""),"0",""),"-",""))&gt;LEN(SUBSTITUTE(SUBSTITUTE(SUBSTITUTE(J232," ",""),"0",""),"-",""))+LEN(SUBSTITUTE(SUBSTITUTE(SUBSTITUTE(K232," ",""),"0",""),"-","")))*1),0)</f>
      </c>
      <c r="K236" s="14" t="str">
        <f>IF(OR(COUNTA(J231,K231,M231,N231)&gt;0,OR(L231="X",L231="x")),IF(OR(L231="X",L231="x"),0,(LEN(SUBSTITUTE(SUBSTITUTE(SUBSTITUTE(M231," ",""),"0",""),"-",""))+LEN(SUBSTITUTE(SUBSTITUTE(SUBSTITUTE(N231," ",""),"0",""),"-",""))&lt;LEN(SUBSTITUTE(SUBSTITUTE(SUBSTITUTE(J231," ",""),"0",""),"-",""))+LEN(SUBSTITUTE(SUBSTITUTE(SUBSTITUTE(K231," ",""),"0",""),"-","")))*1),0)+IF(OR(COUNTA(J232,K232,M232,N232)&gt;0,OR(L232="X",L232="x")),IF(OR(L232="X",L232="x"),0,(LEN(SUBSTITUTE(SUBSTITUTE(SUBSTITUTE(M232," ",""),"0",""),"-",""))+LEN(SUBSTITUTE(SUBSTITUTE(SUBSTITUTE(N232," ",""),"0",""),"-",""))&lt;LEN(SUBSTITUTE(SUBSTITUTE(SUBSTITUTE(J232," ",""),"0",""),"-",""))+LEN(SUBSTITUTE(SUBSTITUTE(SUBSTITUTE(K232," ",""),"0",""),"-","")))*1),0)</f>
      </c>
      <c r="L236" s="14" t="str">
        <f>IF(OR(COUNTA(J231,K231,M231,N231)&gt;0,OR(L231="X",L231="x")),IF(OR(L231="X",L231="x"),1,0),0)+IF(OR(COUNTA(J232,K232,M232,N232)&gt;0,OR(L232="X",L232="x")),IF(OR(L232="X",L232="x"),1,0),0)</f>
      </c>
      <c r="M236" s="14" t="str">
        <f>LEN(SUBSTITUTE(SUBSTITUTE(SUBSTITUTE(M231," ",""),"0",""),"-",""))+LEN(SUBSTITUTE(SUBSTITUTE(SUBSTITUTE(N231," ",""),"0",""),"-",""))+LEN(SUBSTITUTE(SUBSTITUTE(SUBSTITUTE(M232," ",""),"0",""),"-",""))+LEN(SUBSTITUTE(SUBSTITUTE(SUBSTITUTE(N232," ",""),"0",""),"-",""))</f>
      </c>
      <c r="N236" s="14" t="str">
        <f>LEN(SUBSTITUTE(SUBSTITUTE(SUBSTITUTE(J231," ",""),"0",""),"-",""))+LEN(SUBSTITUTE(SUBSTITUTE(SUBSTITUTE(K231," ",""),"0",""),"-",""))+LEN(SUBSTITUTE(SUBSTITUTE(SUBSTITUTE(J232," ",""),"0",""),"-",""))+LEN(SUBSTITUTE(SUBSTITUTE(SUBSTITUTE(K232," ",""),"0",""),"-",""))</f>
      </c>
    </row>
    <row r="237">
      <c r="A237" s="14" t="str">
        <f>data!$B$47</f>
      </c>
      <c r="B237" s="14" t="str">
        <f>IF(OR(COUNTA(B231,C231,E231,F231)&gt;0,OR(D231="X",D231="x")),IF(OR(D231="X",D231="x"),0,(LEN(SUBSTITUTE(SUBSTITUTE(SUBSTITUTE(B231," ",""),"0",""),"-",""))+LEN(SUBSTITUTE(SUBSTITUTE(SUBSTITUTE(C231," ",""),"0",""),"-",""))&gt;LEN(SUBSTITUTE(SUBSTITUTE(SUBSTITUTE(E231," ",""),"0",""),"-",""))+LEN(SUBSTITUTE(SUBSTITUTE(SUBSTITUTE(F231," ",""),"0",""),"-","")))*1),0)+IF(OR(COUNTA(B233,C233,E233,F233)&gt;0,OR(D233="X",D233="x")),IF(OR(D233="X",D233="x"),0,(LEN(SUBSTITUTE(SUBSTITUTE(SUBSTITUTE(E233," ",""),"0",""),"-",""))+LEN(SUBSTITUTE(SUBSTITUTE(SUBSTITUTE(F233," ",""),"0",""),"-",""))&gt;LEN(SUBSTITUTE(SUBSTITUTE(SUBSTITUTE(B233," ",""),"0",""),"-",""))+LEN(SUBSTITUTE(SUBSTITUTE(SUBSTITUTE(C233," ",""),"0",""),"-","")))*1),0)</f>
      </c>
      <c r="C237" s="14" t="str">
        <f>IF(OR(COUNTA(B231,C231,E231,F231)&gt;0,OR(D231="X",D231="x")),IF(OR(D231="X",D231="x"),0,(LEN(SUBSTITUTE(SUBSTITUTE(SUBSTITUTE(B231," ",""),"0",""),"-",""))+LEN(SUBSTITUTE(SUBSTITUTE(SUBSTITUTE(C231," ",""),"0",""),"-",""))&lt;LEN(SUBSTITUTE(SUBSTITUTE(SUBSTITUTE(E231," ",""),"0",""),"-",""))+LEN(SUBSTITUTE(SUBSTITUTE(SUBSTITUTE(F231," ",""),"0",""),"-","")))*1),0)+IF(OR(COUNTA(B233,C233,E233,F233)&gt;0,OR(D233="X",D233="x")),IF(OR(D233="X",D233="x"),0,(LEN(SUBSTITUTE(SUBSTITUTE(SUBSTITUTE(E233," ",""),"0",""),"-",""))+LEN(SUBSTITUTE(SUBSTITUTE(SUBSTITUTE(F233," ",""),"0",""),"-",""))&lt;LEN(SUBSTITUTE(SUBSTITUTE(SUBSTITUTE(B233," ",""),"0",""),"-",""))+LEN(SUBSTITUTE(SUBSTITUTE(SUBSTITUTE(C233," ",""),"0",""),"-","")))*1),0)</f>
      </c>
      <c r="D237" s="14" t="str">
        <f>IF(OR(COUNTA(B231,C231,E231,F231)&gt;0,OR(D231="X",D231="x")),IF(OR(D231="X",D231="x"),1,0),0)+IF(OR(COUNTA(B233,C233,E233,F233)&gt;0,OR(D233="X",D233="x")),IF(OR(D233="X",D233="x"),1,0),0)</f>
      </c>
      <c r="E237" s="14" t="str">
        <f>LEN(SUBSTITUTE(SUBSTITUTE(SUBSTITUTE(B231," ",""),"0",""),"-",""))+LEN(SUBSTITUTE(SUBSTITUTE(SUBSTITUTE(C231," ",""),"0",""),"-",""))+LEN(SUBSTITUTE(SUBSTITUTE(SUBSTITUTE(E233," ",""),"0",""),"-",""))+LEN(SUBSTITUTE(SUBSTITUTE(SUBSTITUTE(F233," ",""),"0",""),"-",""))</f>
      </c>
      <c r="F237" s="14" t="str">
        <f>LEN(SUBSTITUTE(SUBSTITUTE(SUBSTITUTE(E231," ",""),"0",""),"-",""))+LEN(SUBSTITUTE(SUBSTITUTE(SUBSTITUTE(F231," ",""),"0",""),"-",""))+LEN(SUBSTITUTE(SUBSTITUTE(SUBSTITUTE(B233," ",""),"0",""),"-",""))+LEN(SUBSTITUTE(SUBSTITUTE(SUBSTITUTE(C233," ",""),"0",""),"-",""))</f>
      </c>
      <c r="I237" s="14" t="str">
        <f>data!$B$92</f>
      </c>
      <c r="J237" s="14" t="str">
        <f>IF(OR(COUNTA(J231,K231,M231,N231)&gt;0,OR(L231="X",L231="x")),IF(OR(L231="X",L231="x"),0,(LEN(SUBSTITUTE(SUBSTITUTE(SUBSTITUTE(J231," ",""),"0",""),"-",""))+LEN(SUBSTITUTE(SUBSTITUTE(SUBSTITUTE(K231," ",""),"0",""),"-",""))&gt;LEN(SUBSTITUTE(SUBSTITUTE(SUBSTITUTE(M231," ",""),"0",""),"-",""))+LEN(SUBSTITUTE(SUBSTITUTE(SUBSTITUTE(N231," ",""),"0",""),"-","")))*1),0)+IF(OR(COUNTA(J233,K233,M233,N233)&gt;0,OR(L233="X",L233="x")),IF(OR(L233="X",L233="x"),0,(LEN(SUBSTITUTE(SUBSTITUTE(SUBSTITUTE(M233," ",""),"0",""),"-",""))+LEN(SUBSTITUTE(SUBSTITUTE(SUBSTITUTE(N233," ",""),"0",""),"-",""))&gt;LEN(SUBSTITUTE(SUBSTITUTE(SUBSTITUTE(J233," ",""),"0",""),"-",""))+LEN(SUBSTITUTE(SUBSTITUTE(SUBSTITUTE(K233," ",""),"0",""),"-","")))*1),0)</f>
      </c>
      <c r="K237" s="14" t="str">
        <f>IF(OR(COUNTA(J231,K231,M231,N231)&gt;0,OR(L231="X",L231="x")),IF(OR(L231="X",L231="x"),0,(LEN(SUBSTITUTE(SUBSTITUTE(SUBSTITUTE(J231," ",""),"0",""),"-",""))+LEN(SUBSTITUTE(SUBSTITUTE(SUBSTITUTE(K231," ",""),"0",""),"-",""))&lt;LEN(SUBSTITUTE(SUBSTITUTE(SUBSTITUTE(M231," ",""),"0",""),"-",""))+LEN(SUBSTITUTE(SUBSTITUTE(SUBSTITUTE(N231," ",""),"0",""),"-","")))*1),0)+IF(OR(COUNTA(J233,K233,M233,N233)&gt;0,OR(L233="X",L233="x")),IF(OR(L233="X",L233="x"),0,(LEN(SUBSTITUTE(SUBSTITUTE(SUBSTITUTE(M233," ",""),"0",""),"-",""))+LEN(SUBSTITUTE(SUBSTITUTE(SUBSTITUTE(N233," ",""),"0",""),"-",""))&lt;LEN(SUBSTITUTE(SUBSTITUTE(SUBSTITUTE(J233," ",""),"0",""),"-",""))+LEN(SUBSTITUTE(SUBSTITUTE(SUBSTITUTE(K233," ",""),"0",""),"-","")))*1),0)</f>
      </c>
      <c r="L237" s="14" t="str">
        <f>IF(OR(COUNTA(J231,K231,M231,N231)&gt;0,OR(L231="X",L231="x")),IF(OR(L231="X",L231="x"),1,0),0)+IF(OR(COUNTA(J233,K233,M233,N233)&gt;0,OR(L233="X",L233="x")),IF(OR(L233="X",L233="x"),1,0),0)</f>
      </c>
      <c r="M237" s="14" t="str">
        <f>LEN(SUBSTITUTE(SUBSTITUTE(SUBSTITUTE(J231," ",""),"0",""),"-",""))+LEN(SUBSTITUTE(SUBSTITUTE(SUBSTITUTE(K231," ",""),"0",""),"-",""))+LEN(SUBSTITUTE(SUBSTITUTE(SUBSTITUTE(M233," ",""),"0",""),"-",""))+LEN(SUBSTITUTE(SUBSTITUTE(SUBSTITUTE(N233," ",""),"0",""),"-",""))</f>
      </c>
      <c r="N237" s="14" t="str">
        <f>LEN(SUBSTITUTE(SUBSTITUTE(SUBSTITUTE(M231," ",""),"0",""),"-",""))+LEN(SUBSTITUTE(SUBSTITUTE(SUBSTITUTE(N231," ",""),"0",""),"-",""))+LEN(SUBSTITUTE(SUBSTITUTE(SUBSTITUTE(J233," ",""),"0",""),"-",""))+LEN(SUBSTITUTE(SUBSTITUTE(SUBSTITUTE(K233," ",""),"0",""),"-",""))</f>
      </c>
    </row>
    <row r="238">
      <c r="A238" s="14" t="str">
        <f>data!$B$48</f>
      </c>
      <c r="B238" s="14" t="str">
        <f>IF(OR(COUNTA(B232,C232,E232,F232)&gt;0,OR(D232="X",D232="x")),IF(OR(D232="X",D232="x"),0,(LEN(SUBSTITUTE(SUBSTITUTE(SUBSTITUTE(B232," ",""),"0",""),"-",""))+LEN(SUBSTITUTE(SUBSTITUTE(SUBSTITUTE(C232," ",""),"0",""),"-",""))&gt;LEN(SUBSTITUTE(SUBSTITUTE(SUBSTITUTE(E232," ",""),"0",""),"-",""))+LEN(SUBSTITUTE(SUBSTITUTE(SUBSTITUTE(F232," ",""),"0",""),"-","")))*1),0)+IF(OR(COUNTA(B233,C233,E233,F233)&gt;0,OR(D233="X",D233="x")),IF(OR(D233="X",D233="x"),0,(LEN(SUBSTITUTE(SUBSTITUTE(SUBSTITUTE(B233," ",""),"0",""),"-",""))+LEN(SUBSTITUTE(SUBSTITUTE(SUBSTITUTE(C233," ",""),"0",""),"-",""))&gt;LEN(SUBSTITUTE(SUBSTITUTE(SUBSTITUTE(E233," ",""),"0",""),"-",""))+LEN(SUBSTITUTE(SUBSTITUTE(SUBSTITUTE(F233," ",""),"0",""),"-","")))*1),0)</f>
      </c>
      <c r="C238" s="14" t="str">
        <f>IF(OR(COUNTA(B232,C232,E232,F232)&gt;0,OR(D232="X",D232="x")),IF(OR(D232="X",D232="x"),0,(LEN(SUBSTITUTE(SUBSTITUTE(SUBSTITUTE(B232," ",""),"0",""),"-",""))+LEN(SUBSTITUTE(SUBSTITUTE(SUBSTITUTE(C232," ",""),"0",""),"-",""))&lt;LEN(SUBSTITUTE(SUBSTITUTE(SUBSTITUTE(E232," ",""),"0",""),"-",""))+LEN(SUBSTITUTE(SUBSTITUTE(SUBSTITUTE(F232," ",""),"0",""),"-","")))*1),0)+IF(OR(COUNTA(B233,C233,E233,F233)&gt;0,OR(D233="X",D233="x")),IF(OR(D233="X",D233="x"),0,(LEN(SUBSTITUTE(SUBSTITUTE(SUBSTITUTE(B233," ",""),"0",""),"-",""))+LEN(SUBSTITUTE(SUBSTITUTE(SUBSTITUTE(C233," ",""),"0",""),"-",""))&lt;LEN(SUBSTITUTE(SUBSTITUTE(SUBSTITUTE(E233," ",""),"0",""),"-",""))+LEN(SUBSTITUTE(SUBSTITUTE(SUBSTITUTE(F233," ",""),"0",""),"-","")))*1),0)</f>
      </c>
      <c r="D238" s="14" t="str">
        <f>IF(OR(COUNTA(B232,C232,E232,F232)&gt;0,OR(D232="X",D232="x")),IF(OR(D232="X",D232="x"),1,0),0)+IF(OR(COUNTA(B233,C233,E233,F233)&gt;0,OR(D233="X",D233="x")),IF(OR(D233="X",D233="x"),1,0),0)</f>
      </c>
      <c r="E238" s="14" t="str">
        <f>LEN(SUBSTITUTE(SUBSTITUTE(SUBSTITUTE(B232," ",""),"0",""),"-",""))+LEN(SUBSTITUTE(SUBSTITUTE(SUBSTITUTE(C232," ",""),"0",""),"-",""))+LEN(SUBSTITUTE(SUBSTITUTE(SUBSTITUTE(B233," ",""),"0",""),"-",""))+LEN(SUBSTITUTE(SUBSTITUTE(SUBSTITUTE(C233," ",""),"0",""),"-",""))</f>
      </c>
      <c r="F238" s="14" t="str">
        <f>LEN(SUBSTITUTE(SUBSTITUTE(SUBSTITUTE(E232," ",""),"0",""),"-",""))+LEN(SUBSTITUTE(SUBSTITUTE(SUBSTITUTE(F232," ",""),"0",""),"-",""))+LEN(SUBSTITUTE(SUBSTITUTE(SUBSTITUTE(E233," ",""),"0",""),"-",""))+LEN(SUBSTITUTE(SUBSTITUTE(SUBSTITUTE(F233," ",""),"0",""),"-",""))</f>
      </c>
      <c r="I238" s="14" t="str">
        <f>data!$B$93</f>
      </c>
      <c r="J238" s="14" t="str">
        <f>IF(OR(COUNTA(J232,K232,M232,N232)&gt;0,OR(L232="X",L232="x")),IF(OR(L232="X",L232="x"),0,(LEN(SUBSTITUTE(SUBSTITUTE(SUBSTITUTE(J232," ",""),"0",""),"-",""))+LEN(SUBSTITUTE(SUBSTITUTE(SUBSTITUTE(K232," ",""),"0",""),"-",""))&gt;LEN(SUBSTITUTE(SUBSTITUTE(SUBSTITUTE(M232," ",""),"0",""),"-",""))+LEN(SUBSTITUTE(SUBSTITUTE(SUBSTITUTE(N232," ",""),"0",""),"-","")))*1),0)+IF(OR(COUNTA(J233,K233,M233,N233)&gt;0,OR(L233="X",L233="x")),IF(OR(L233="X",L233="x"),0,(LEN(SUBSTITUTE(SUBSTITUTE(SUBSTITUTE(J233," ",""),"0",""),"-",""))+LEN(SUBSTITUTE(SUBSTITUTE(SUBSTITUTE(K233," ",""),"0",""),"-",""))&gt;LEN(SUBSTITUTE(SUBSTITUTE(SUBSTITUTE(M233," ",""),"0",""),"-",""))+LEN(SUBSTITUTE(SUBSTITUTE(SUBSTITUTE(N233," ",""),"0",""),"-","")))*1),0)</f>
      </c>
      <c r="K238" s="14" t="str">
        <f>IF(OR(COUNTA(J232,K232,M232,N232)&gt;0,OR(L232="X",L232="x")),IF(OR(L232="X",L232="x"),0,(LEN(SUBSTITUTE(SUBSTITUTE(SUBSTITUTE(J232," ",""),"0",""),"-",""))+LEN(SUBSTITUTE(SUBSTITUTE(SUBSTITUTE(K232," ",""),"0",""),"-",""))&lt;LEN(SUBSTITUTE(SUBSTITUTE(SUBSTITUTE(M232," ",""),"0",""),"-",""))+LEN(SUBSTITUTE(SUBSTITUTE(SUBSTITUTE(N232," ",""),"0",""),"-","")))*1),0)+IF(OR(COUNTA(J233,K233,M233,N233)&gt;0,OR(L233="X",L233="x")),IF(OR(L233="X",L233="x"),0,(LEN(SUBSTITUTE(SUBSTITUTE(SUBSTITUTE(J233," ",""),"0",""),"-",""))+LEN(SUBSTITUTE(SUBSTITUTE(SUBSTITUTE(K233," ",""),"0",""),"-",""))&lt;LEN(SUBSTITUTE(SUBSTITUTE(SUBSTITUTE(M233," ",""),"0",""),"-",""))+LEN(SUBSTITUTE(SUBSTITUTE(SUBSTITUTE(N233," ",""),"0",""),"-","")))*1),0)</f>
      </c>
      <c r="L238" s="14" t="str">
        <f>IF(OR(COUNTA(J232,K232,M232,N232)&gt;0,OR(L232="X",L232="x")),IF(OR(L232="X",L232="x"),1,0),0)+IF(OR(COUNTA(J233,K233,M233,N233)&gt;0,OR(L233="X",L233="x")),IF(OR(L233="X",L233="x"),1,0),0)</f>
      </c>
      <c r="M238" s="14" t="str">
        <f>LEN(SUBSTITUTE(SUBSTITUTE(SUBSTITUTE(J232," ",""),"0",""),"-",""))+LEN(SUBSTITUTE(SUBSTITUTE(SUBSTITUTE(K232," ",""),"0",""),"-",""))+LEN(SUBSTITUTE(SUBSTITUTE(SUBSTITUTE(J233," ",""),"0",""),"-",""))+LEN(SUBSTITUTE(SUBSTITUTE(SUBSTITUTE(K233," ",""),"0",""),"-",""))</f>
      </c>
      <c r="N238" s="14" t="str">
        <f>LEN(SUBSTITUTE(SUBSTITUTE(SUBSTITUTE(M232," ",""),"0",""),"-",""))+LEN(SUBSTITUTE(SUBSTITUTE(SUBSTITUTE(N232," ",""),"0",""),"-",""))+LEN(SUBSTITUTE(SUBSTITUTE(SUBSTITUTE(M233," ",""),"0",""),"-",""))+LEN(SUBSTITUTE(SUBSTITUTE(SUBSTITUTE(N233," ",""),"0",""),"-",""))</f>
      </c>
    </row>
    <row r="240">
      <c r="F240" t="s">
        <v>247</v>
      </c>
      <c r="G240" s="19"/>
      <c r="N240" t="s">
        <v>247</v>
      </c>
      <c r="O240" s="19"/>
    </row>
    <row r="241">
      <c r="F241" t="s">
        <v>248</v>
      </c>
      <c r="G241" s="19"/>
      <c r="N241" t="s">
        <v>248</v>
      </c>
      <c r="O241" s="19"/>
    </row>
    <row r="242">
      <c r="F242" t="s">
        <v>249</v>
      </c>
      <c r="G242" s="19"/>
      <c r="N242" t="s">
        <v>249</v>
      </c>
      <c r="O24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1:G21"/>
    <mergeCell ref="I21:O21"/>
    <mergeCell ref="A37:G37"/>
    <mergeCell ref="I37:O37"/>
    <mergeCell ref="A53:G53"/>
    <mergeCell ref="I53:O53"/>
    <mergeCell ref="A69:G69"/>
    <mergeCell ref="I69:O69"/>
    <mergeCell ref="A85:G85"/>
    <mergeCell ref="I85:O85"/>
    <mergeCell ref="A101:G101"/>
    <mergeCell ref="I101:O101"/>
    <mergeCell ref="A117:G117"/>
    <mergeCell ref="I117:O117"/>
    <mergeCell ref="A133:G133"/>
    <mergeCell ref="I133:O133"/>
    <mergeCell ref="A149:G149"/>
    <mergeCell ref="I149:O149"/>
    <mergeCell ref="A165:G165"/>
    <mergeCell ref="I165:O165"/>
    <mergeCell ref="A181:G181"/>
    <mergeCell ref="I181:O181"/>
    <mergeCell ref="A197:G197"/>
    <mergeCell ref="I197:O197"/>
    <mergeCell ref="A213:G213"/>
    <mergeCell ref="I213:O213"/>
    <mergeCell ref="A229:G229"/>
    <mergeCell ref="I229:O229"/>
  </mergeCells>
  <printOptions horizontalCentered="true" verticalCentered="true"/>
  <pageSetup fitToHeight="0" fitToWidth="2" orientation="portrait" pageOrder="downThenOver" paperSize="9"/>
  <rowBreaks count="7" manualBreakCount="7">
    <brk id="36" max="16383" man="true"/>
    <brk id="68" max="16383" man="true"/>
    <brk id="100" max="16383" man="true"/>
    <brk id="132" max="16383" man="true"/>
    <brk id="164" max="16383" man="true"/>
    <brk id="196" max="16383" man="true"/>
    <brk id="22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236</v>
      </c>
      <c r="B1" s="13"/>
      <c r="C1" s="13"/>
      <c r="D1" s="13"/>
      <c r="E1" s="13"/>
      <c r="F1" s="13"/>
      <c r="G1" s="13"/>
      <c r="I1" s="13" t="s">
        <v>237</v>
      </c>
      <c r="J1" s="13"/>
      <c r="K1" s="13"/>
      <c r="L1" s="13"/>
      <c r="M1" s="13"/>
      <c r="N1" s="13"/>
      <c r="O1" s="13"/>
    </row>
    <row r="2">
      <c r="A2" s="13" t="s">
        <v>342</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Matches'!G33)</f>
      </c>
      <c r="B4" s="18"/>
      <c r="C4" s="18"/>
      <c r="D4" s="18"/>
      <c r="E4" s="18"/>
      <c r="F4" s="18"/>
      <c r="G4" s="14" t="str">
        <f>CONCATENATE("Pool C-1st ",'Pool Matches'!G48)</f>
      </c>
      <c r="I4" s="14" t="str">
        <f>CONCATENATE("Pool C-2nd ",'Pool Matches'!G49)</f>
      </c>
      <c r="J4" s="18"/>
      <c r="K4" s="18"/>
      <c r="L4" s="18"/>
      <c r="M4" s="18"/>
      <c r="N4" s="18"/>
      <c r="O4" s="14" t="str">
        <f>CONCATENATE("Pool A-2nd ",'Pool Matches'!G16)</f>
      </c>
    </row>
    <row r="6">
      <c r="F6" t="s">
        <v>343</v>
      </c>
      <c r="G6" s="19"/>
      <c r="N6" t="s">
        <v>343</v>
      </c>
      <c r="O6" s="19"/>
    </row>
    <row r="7">
      <c r="F7" t="s">
        <v>344</v>
      </c>
      <c r="G7" s="19"/>
      <c r="N7" t="s">
        <v>344</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Matches'!G65)</f>
      </c>
      <c r="B12" s="18"/>
      <c r="C12" s="18"/>
      <c r="D12" s="18"/>
      <c r="E12" s="18"/>
      <c r="F12" s="18"/>
      <c r="G12" s="14" t="str">
        <f>CONCATENATE("Pool E-1st ",'Pool Matches'!G80)</f>
      </c>
      <c r="I12" s="14" t="str">
        <f>CONCATENATE("Pool E-2nd ",'Pool Matches'!G81)</f>
      </c>
      <c r="J12" s="18"/>
      <c r="K12" s="18"/>
      <c r="L12" s="18"/>
      <c r="M12" s="18"/>
      <c r="N12" s="18"/>
      <c r="O12" s="14" t="str">
        <f>CONCATENATE("Pool D-1st ",'Pool Matches'!G64)</f>
      </c>
    </row>
    <row r="14">
      <c r="F14" t="s">
        <v>343</v>
      </c>
      <c r="G14" s="19"/>
      <c r="N14" t="s">
        <v>343</v>
      </c>
      <c r="O14" s="19"/>
    </row>
    <row r="15">
      <c r="F15" t="s">
        <v>344</v>
      </c>
      <c r="G15" s="19"/>
      <c r="N15" t="s">
        <v>344</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Matches'!G97)</f>
      </c>
      <c r="B20" s="18"/>
      <c r="C20" s="18"/>
      <c r="D20" s="18"/>
      <c r="E20" s="18"/>
      <c r="F20" s="18"/>
      <c r="G20" s="14" t="str">
        <f>CONCATENATE("Pool G-1st ",'Pool Matches'!G112)</f>
      </c>
      <c r="I20" s="14" t="str">
        <f>CONCATENATE("Pool G-2nd ",'Pool Matches'!G113)</f>
      </c>
      <c r="J20" s="18"/>
      <c r="K20" s="18"/>
      <c r="L20" s="18"/>
      <c r="M20" s="18"/>
      <c r="N20" s="18"/>
      <c r="O20" s="14" t="str">
        <f>CONCATENATE("Pool F-1st ",'Pool Matches'!G96)</f>
      </c>
    </row>
    <row r="22">
      <c r="F22" t="s">
        <v>343</v>
      </c>
      <c r="G22" s="19"/>
      <c r="N22" t="s">
        <v>343</v>
      </c>
      <c r="O22" s="19"/>
    </row>
    <row r="23">
      <c r="F23" t="s">
        <v>344</v>
      </c>
      <c r="G23" s="19"/>
      <c r="N23" t="s">
        <v>344</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Matches'!G129)</f>
      </c>
      <c r="B28" s="18"/>
      <c r="C28" s="18"/>
      <c r="D28" s="18"/>
      <c r="E28" s="18"/>
      <c r="F28" s="18"/>
      <c r="G28" s="14" t="str">
        <f>CONCATENATE("Pool I-1st ",'Pool Matches'!G144)</f>
      </c>
      <c r="I28" s="14" t="str">
        <f>CONCATENATE("Pool I-2nd ",'Pool Matches'!G145)</f>
      </c>
      <c r="J28" s="18"/>
      <c r="K28" s="18"/>
      <c r="L28" s="18"/>
      <c r="M28" s="18"/>
      <c r="N28" s="18"/>
      <c r="O28" s="14" t="str">
        <f>CONCATENATE("Pool H-1st ",'Pool Matches'!G128)</f>
      </c>
    </row>
    <row r="30">
      <c r="F30" t="s">
        <v>343</v>
      </c>
      <c r="G30" s="19"/>
      <c r="N30" t="s">
        <v>343</v>
      </c>
      <c r="O30" s="19"/>
    </row>
    <row r="31">
      <c r="F31" t="s">
        <v>344</v>
      </c>
      <c r="G31" s="19"/>
      <c r="N31" t="s">
        <v>344</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Matches'!G161)</f>
      </c>
      <c r="B36" s="18"/>
      <c r="C36" s="18"/>
      <c r="D36" s="18"/>
      <c r="E36" s="18"/>
      <c r="F36" s="18"/>
      <c r="G36" s="14" t="str">
        <f>CONCATENATE("Pool K-1st ",'Pool Matches'!G176)</f>
      </c>
      <c r="I36" s="14" t="str">
        <f>CONCATENATE("Pool K-2nd ",'Pool Matches'!G177)</f>
      </c>
      <c r="J36" s="18"/>
      <c r="K36" s="18"/>
      <c r="L36" s="18"/>
      <c r="M36" s="18"/>
      <c r="N36" s="18"/>
      <c r="O36" s="14" t="str">
        <f>CONCATENATE("Pool J-1st ",'Pool Matches'!G160)</f>
      </c>
    </row>
    <row r="38">
      <c r="F38" t="s">
        <v>343</v>
      </c>
      <c r="G38" s="19"/>
      <c r="N38" t="s">
        <v>343</v>
      </c>
      <c r="O38" s="19"/>
    </row>
    <row r="39">
      <c r="F39" t="s">
        <v>344</v>
      </c>
      <c r="G39" s="19"/>
      <c r="N39" t="s">
        <v>344</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Matches'!G193)</f>
      </c>
      <c r="B44" s="18"/>
      <c r="C44" s="18"/>
      <c r="D44" s="18"/>
      <c r="E44" s="18"/>
      <c r="F44" s="18"/>
      <c r="G44" s="14" t="str">
        <f>CONCATENATE("Pool M-1st ",'Pool Matches'!G208)</f>
      </c>
      <c r="I44" s="14" t="str">
        <f>CONCATENATE("Pool M-2nd ",'Pool Matches'!G209)</f>
      </c>
      <c r="J44" s="18"/>
      <c r="K44" s="18"/>
      <c r="L44" s="18"/>
      <c r="M44" s="18"/>
      <c r="N44" s="18"/>
      <c r="O44" s="14" t="str">
        <f>CONCATENATE("Pool L-1st ",'Pool Matches'!G192)</f>
      </c>
    </row>
    <row r="46">
      <c r="F46" t="s">
        <v>343</v>
      </c>
      <c r="G46" s="19"/>
      <c r="N46" t="s">
        <v>343</v>
      </c>
      <c r="O46" s="19"/>
    </row>
    <row r="47">
      <c r="F47" t="s">
        <v>344</v>
      </c>
      <c r="G47" s="19"/>
      <c r="N47" t="s">
        <v>344</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Matches'!G225)</f>
      </c>
      <c r="B52" s="18"/>
      <c r="C52" s="18"/>
      <c r="D52" s="18"/>
      <c r="E52" s="18"/>
      <c r="F52" s="18"/>
      <c r="G52" s="14" t="str">
        <f>CONCATENATE("Pool O-1st ",'Pool Matches'!G240)</f>
      </c>
      <c r="I52" s="14" t="str">
        <f>CONCATENATE("Pool O-2nd ",'Pool Matches'!G241)</f>
      </c>
      <c r="J52" s="18"/>
      <c r="K52" s="18"/>
      <c r="L52" s="18"/>
      <c r="M52" s="18"/>
      <c r="N52" s="18"/>
      <c r="O52" s="14" t="str">
        <f>CONCATENATE("Pool N-1st ",'Pool Matches'!G224)</f>
      </c>
    </row>
    <row r="54">
      <c r="F54" t="s">
        <v>343</v>
      </c>
      <c r="G54" s="19"/>
      <c r="N54" t="s">
        <v>343</v>
      </c>
      <c r="O54" s="19"/>
    </row>
    <row r="55">
      <c r="F55" t="s">
        <v>344</v>
      </c>
      <c r="G55" s="19"/>
      <c r="N55" t="s">
        <v>344</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Matches'!O49)</f>
      </c>
      <c r="B60" s="18"/>
      <c r="C60" s="18"/>
      <c r="D60" s="18"/>
      <c r="E60" s="18"/>
      <c r="F60" s="18"/>
      <c r="G60" s="14" t="str">
        <f>CONCATENATE("Pool P-2nd ",'Pool Matches'!O15)</f>
      </c>
      <c r="I60" s="14" t="str">
        <f>CONCATENATE("Pool Q-2nd ",'Pool Matches'!O33)</f>
      </c>
      <c r="J60" s="18"/>
      <c r="K60" s="18"/>
      <c r="L60" s="18"/>
      <c r="M60" s="18"/>
      <c r="N60" s="18"/>
      <c r="O60" s="14" t="str">
        <f>CONCATENATE("Pool R-1st ",'Pool Matches'!O48)</f>
      </c>
    </row>
    <row r="62">
      <c r="F62" t="s">
        <v>343</v>
      </c>
      <c r="G62" s="19"/>
      <c r="N62" t="s">
        <v>343</v>
      </c>
      <c r="O62" s="19"/>
    </row>
    <row r="63">
      <c r="F63" t="s">
        <v>344</v>
      </c>
      <c r="G63" s="19"/>
      <c r="N63" t="s">
        <v>344</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Matches'!O81)</f>
      </c>
      <c r="B68" s="18"/>
      <c r="C68" s="18"/>
      <c r="D68" s="18"/>
      <c r="E68" s="18"/>
      <c r="F68" s="18"/>
      <c r="G68" s="14" t="str">
        <f>CONCATENATE("Pool S-1st ",'Pool Matches'!O64)</f>
      </c>
      <c r="I68" s="14" t="str">
        <f>CONCATENATE("Pool S-2nd ",'Pool Matches'!O65)</f>
      </c>
      <c r="J68" s="18"/>
      <c r="K68" s="18"/>
      <c r="L68" s="18"/>
      <c r="M68" s="18"/>
      <c r="N68" s="18"/>
      <c r="O68" s="14" t="str">
        <f>CONCATENATE("Pool T-1st ",'Pool Matches'!O80)</f>
      </c>
    </row>
    <row r="70">
      <c r="F70" t="s">
        <v>343</v>
      </c>
      <c r="G70" s="19"/>
      <c r="N70" t="s">
        <v>343</v>
      </c>
      <c r="O70" s="19"/>
    </row>
    <row r="71">
      <c r="F71" t="s">
        <v>344</v>
      </c>
      <c r="G71" s="19"/>
      <c r="N71" t="s">
        <v>344</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Matches'!O113)</f>
      </c>
      <c r="B76" s="18"/>
      <c r="C76" s="18"/>
      <c r="D76" s="18"/>
      <c r="E76" s="18"/>
      <c r="F76" s="18"/>
      <c r="G76" s="14" t="str">
        <f>CONCATENATE("Pool U-1st ",'Pool Matches'!O96)</f>
      </c>
      <c r="I76" s="14" t="str">
        <f>CONCATENATE("Pool U-2nd ",'Pool Matches'!O97)</f>
      </c>
      <c r="J76" s="18"/>
      <c r="K76" s="18"/>
      <c r="L76" s="18"/>
      <c r="M76" s="18"/>
      <c r="N76" s="18"/>
      <c r="O76" s="14" t="str">
        <f>CONCATENATE("Pool V-1st ",'Pool Matches'!O112)</f>
      </c>
    </row>
    <row r="78">
      <c r="F78" t="s">
        <v>343</v>
      </c>
      <c r="G78" s="19"/>
      <c r="N78" t="s">
        <v>343</v>
      </c>
      <c r="O78" s="19"/>
    </row>
    <row r="79">
      <c r="F79" t="s">
        <v>344</v>
      </c>
      <c r="G79" s="19"/>
      <c r="N79" t="s">
        <v>344</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Matches'!O145)</f>
      </c>
      <c r="B84" s="18"/>
      <c r="C84" s="18"/>
      <c r="D84" s="18"/>
      <c r="E84" s="18"/>
      <c r="F84" s="18"/>
      <c r="G84" s="14" t="str">
        <f>CONCATENATE("Pool W-1st ",'Pool Matches'!O128)</f>
      </c>
      <c r="I84" s="14" t="str">
        <f>CONCATENATE("Pool W-2nd ",'Pool Matches'!O129)</f>
      </c>
      <c r="J84" s="18"/>
      <c r="K84" s="18"/>
      <c r="L84" s="18"/>
      <c r="M84" s="18"/>
      <c r="N84" s="18"/>
      <c r="O84" s="14" t="str">
        <f>CONCATENATE("Pool X-1st ",'Pool Matches'!O144)</f>
      </c>
    </row>
    <row r="86">
      <c r="F86" t="s">
        <v>343</v>
      </c>
      <c r="G86" s="19"/>
      <c r="N86" t="s">
        <v>343</v>
      </c>
      <c r="O86" s="19"/>
    </row>
    <row r="87">
      <c r="F87" t="s">
        <v>344</v>
      </c>
      <c r="G87" s="19"/>
      <c r="N87" t="s">
        <v>344</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Matches'!O177)</f>
      </c>
      <c r="B92" s="18"/>
      <c r="C92" s="18"/>
      <c r="D92" s="18"/>
      <c r="E92" s="18"/>
      <c r="F92" s="18"/>
      <c r="G92" s="14" t="str">
        <f>CONCATENATE("Pool Y-1st ",'Pool Matches'!O160)</f>
      </c>
      <c r="I92" s="14" t="str">
        <f>CONCATENATE("Pool Y-2nd ",'Pool Matches'!O161)</f>
      </c>
      <c r="J92" s="18"/>
      <c r="K92" s="18"/>
      <c r="L92" s="18"/>
      <c r="M92" s="18"/>
      <c r="N92" s="18"/>
      <c r="O92" s="14" t="str">
        <f>CONCATENATE("Pool Z-1st ",'Pool Matches'!O176)</f>
      </c>
    </row>
    <row r="94">
      <c r="F94" t="s">
        <v>343</v>
      </c>
      <c r="G94" s="19"/>
      <c r="N94" t="s">
        <v>343</v>
      </c>
      <c r="O94" s="19"/>
    </row>
    <row r="95">
      <c r="F95" t="s">
        <v>344</v>
      </c>
      <c r="G95" s="19"/>
      <c r="N95" t="s">
        <v>344</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Matches'!O209)</f>
      </c>
      <c r="B100" s="18"/>
      <c r="C100" s="18"/>
      <c r="D100" s="18"/>
      <c r="E100" s="18"/>
      <c r="F100" s="18"/>
      <c r="G100" s="14" t="str">
        <f>CONCATENATE("Pool AA-1st ",'Pool Matches'!O192)</f>
      </c>
      <c r="I100" s="14" t="str">
        <f>CONCATENATE("Pool AA-2nd ",'Pool Matches'!O193)</f>
      </c>
      <c r="J100" s="18"/>
      <c r="K100" s="18"/>
      <c r="L100" s="18"/>
      <c r="M100" s="18"/>
      <c r="N100" s="18"/>
      <c r="O100" s="14" t="str">
        <f>CONCATENATE("Pool BB-1st ",'Pool Matches'!O208)</f>
      </c>
    </row>
    <row r="102">
      <c r="F102" t="s">
        <v>343</v>
      </c>
      <c r="G102" s="19"/>
      <c r="N102" t="s">
        <v>343</v>
      </c>
      <c r="O102" s="19"/>
    </row>
    <row r="103">
      <c r="F103" t="s">
        <v>344</v>
      </c>
      <c r="G103" s="19"/>
      <c r="N103" t="s">
        <v>344</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Matches'!O241)</f>
      </c>
      <c r="B108" s="18"/>
      <c r="C108" s="18"/>
      <c r="D108" s="18"/>
      <c r="E108" s="18"/>
      <c r="F108" s="18"/>
      <c r="G108" s="14" t="str">
        <f>CONCATENATE("Pool CC-1st ",'Pool Matches'!O224)</f>
      </c>
      <c r="I108" s="14" t="str">
        <f>CONCATENATE("Pool CC-2nd ",'Pool Matches'!O225)</f>
      </c>
      <c r="J108" s="18"/>
      <c r="K108" s="18"/>
      <c r="L108" s="18"/>
      <c r="M108" s="18"/>
      <c r="N108" s="18"/>
      <c r="O108" s="14" t="str">
        <f>CONCATENATE("Pool DD-1st ",'Pool Matches'!O240)</f>
      </c>
    </row>
    <row r="110">
      <c r="F110" t="s">
        <v>343</v>
      </c>
      <c r="G110" s="19"/>
      <c r="N110" t="s">
        <v>343</v>
      </c>
      <c r="O110" s="19"/>
    </row>
    <row r="111">
      <c r="F111" t="s">
        <v>344</v>
      </c>
      <c r="G111" s="19"/>
      <c r="N111" t="s">
        <v>344</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Matches'!G15)</f>
      </c>
      <c r="I121" s="14" t="str">
        <f>CONCATENATE("M 15 ",O6)</f>
      </c>
      <c r="J121" s="18"/>
      <c r="K121" s="18"/>
      <c r="L121" s="18"/>
      <c r="M121" s="18"/>
      <c r="N121" s="18"/>
      <c r="O121" s="14" t="str">
        <f>CONCATENATE("Pool B-1st ",'Pool Matches'!G32)</f>
      </c>
    </row>
    <row r="123">
      <c r="F123" t="s">
        <v>343</v>
      </c>
      <c r="G123" s="19"/>
      <c r="N123" t="s">
        <v>343</v>
      </c>
      <c r="O123" s="19"/>
    </row>
    <row r="124">
      <c r="F124" t="s">
        <v>344</v>
      </c>
      <c r="G124" s="19"/>
      <c r="N124" t="s">
        <v>344</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343</v>
      </c>
      <c r="G131" s="19"/>
      <c r="N131" t="s">
        <v>343</v>
      </c>
      <c r="O131" s="19"/>
    </row>
    <row r="132">
      <c r="F132" t="s">
        <v>344</v>
      </c>
      <c r="G132" s="19"/>
      <c r="N132" t="s">
        <v>344</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343</v>
      </c>
      <c r="G139" s="19"/>
      <c r="N139" t="s">
        <v>343</v>
      </c>
      <c r="O139" s="19"/>
    </row>
    <row r="140">
      <c r="F140" t="s">
        <v>344</v>
      </c>
      <c r="G140" s="19"/>
      <c r="N140" t="s">
        <v>344</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343</v>
      </c>
      <c r="G147" s="19"/>
      <c r="N147" t="s">
        <v>343</v>
      </c>
      <c r="O147" s="19"/>
    </row>
    <row r="148">
      <c r="F148" t="s">
        <v>344</v>
      </c>
      <c r="G148" s="19"/>
      <c r="N148" t="s">
        <v>344</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Matches'!O32)</f>
      </c>
      <c r="I153" s="14" t="str">
        <f>CONCATENATE("M 22 ",O62)</f>
      </c>
      <c r="J153" s="18"/>
      <c r="K153" s="18"/>
      <c r="L153" s="18"/>
      <c r="M153" s="18"/>
      <c r="N153" s="18"/>
      <c r="O153" s="14" t="str">
        <f>CONCATENATE("Pool P-1st ",'Pool Matches'!O14)</f>
      </c>
    </row>
    <row r="155">
      <c r="F155" t="s">
        <v>343</v>
      </c>
      <c r="G155" s="19"/>
      <c r="N155" t="s">
        <v>343</v>
      </c>
      <c r="O155" s="19"/>
    </row>
    <row r="156">
      <c r="F156" t="s">
        <v>344</v>
      </c>
      <c r="G156" s="19"/>
      <c r="N156" t="s">
        <v>344</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343</v>
      </c>
      <c r="G163" s="19"/>
      <c r="N163" t="s">
        <v>343</v>
      </c>
      <c r="O163" s="19"/>
    </row>
    <row r="164">
      <c r="F164" t="s">
        <v>344</v>
      </c>
      <c r="G164" s="19"/>
      <c r="N164" t="s">
        <v>344</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343</v>
      </c>
      <c r="G171" s="19"/>
      <c r="N171" t="s">
        <v>343</v>
      </c>
      <c r="O171" s="19"/>
    </row>
    <row r="172">
      <c r="F172" t="s">
        <v>344</v>
      </c>
      <c r="G172" s="19"/>
      <c r="N172" t="s">
        <v>344</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343</v>
      </c>
      <c r="G179" s="19"/>
      <c r="N179" t="s">
        <v>343</v>
      </c>
      <c r="O179" s="19"/>
    </row>
    <row r="180">
      <c r="F180" t="s">
        <v>344</v>
      </c>
      <c r="G180" s="19"/>
      <c r="N180" t="s">
        <v>344</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343</v>
      </c>
      <c r="G192" s="19"/>
      <c r="N192" t="s">
        <v>343</v>
      </c>
      <c r="O192" s="19"/>
    </row>
    <row r="193">
      <c r="F193" t="s">
        <v>344</v>
      </c>
      <c r="G193" s="19"/>
      <c r="N193" t="s">
        <v>344</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343</v>
      </c>
      <c r="G200" s="19"/>
      <c r="N200" t="s">
        <v>343</v>
      </c>
      <c r="O200" s="19"/>
    </row>
    <row r="201">
      <c r="F201" t="s">
        <v>344</v>
      </c>
      <c r="G201" s="19"/>
      <c r="N201" t="s">
        <v>344</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343</v>
      </c>
      <c r="G208" s="19"/>
      <c r="N208" t="s">
        <v>343</v>
      </c>
      <c r="O208" s="19"/>
    </row>
    <row r="209">
      <c r="F209" t="s">
        <v>344</v>
      </c>
      <c r="G209" s="19"/>
      <c r="N209" t="s">
        <v>344</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343</v>
      </c>
      <c r="G216" s="19"/>
      <c r="N216" t="s">
        <v>343</v>
      </c>
      <c r="O216" s="19"/>
    </row>
    <row r="217">
      <c r="F217" t="s">
        <v>344</v>
      </c>
      <c r="G217" s="19"/>
      <c r="N217" t="s">
        <v>344</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343</v>
      </c>
      <c r="G229" s="19"/>
      <c r="N229" t="s">
        <v>343</v>
      </c>
      <c r="O229" s="19"/>
    </row>
    <row r="230">
      <c r="F230" t="s">
        <v>344</v>
      </c>
      <c r="G230" s="19"/>
      <c r="N230" t="s">
        <v>344</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343</v>
      </c>
      <c r="G237" s="19"/>
      <c r="N237" t="s">
        <v>343</v>
      </c>
      <c r="O237" s="19"/>
    </row>
    <row r="238">
      <c r="F238" t="s">
        <v>344</v>
      </c>
      <c r="G238" s="19"/>
      <c r="N238" t="s">
        <v>344</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343</v>
      </c>
      <c r="G250" s="19"/>
      <c r="N250" t="s">
        <v>343</v>
      </c>
      <c r="O250" s="19"/>
    </row>
    <row r="251">
      <c r="F251" t="s">
        <v>344</v>
      </c>
      <c r="G251" s="19"/>
      <c r="N251" t="s">
        <v>344</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343</v>
      </c>
      <c r="G263" s="19"/>
    </row>
    <row r="264">
      <c r="F264" t="s">
        <v>344</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Matches'!G15)</f>
      </c>
    </row>
    <row r="7">
      <c r="A7" s="26" t="str">
        <f>"3. " &amp; data!$B$5</f>
      </c>
      <c r="F7" s="22"/>
      <c r="G7" s="20"/>
    </row>
    <row r="8">
      <c r="A8" s="27" t="str">
        <f>"4. " &amp; data!$B$6</f>
      </c>
      <c r="G8" s="21">
        <v>29</v>
      </c>
    </row>
    <row r="9">
      <c r="A9" s="22"/>
      <c r="C9" s="23" t="str">
        <f>CONCATENATE("Pool C-1st ",'Pool Matches'!G48)</f>
      </c>
      <c r="G9" s="20"/>
      <c r="H9" s="22"/>
      <c r="I9" s="20"/>
    </row>
    <row r="10">
      <c r="A10" s="24" t="str">
        <f>data!$A$9</f>
      </c>
      <c r="D10" s="22"/>
      <c r="E10" s="21">
        <v>1</v>
      </c>
      <c r="F10" s="15"/>
      <c r="G10" s="20"/>
      <c r="I10" s="20"/>
    </row>
    <row r="11">
      <c r="A11" s="25" t="str">
        <f>"1. " &amp; data!$B$7</f>
      </c>
      <c r="C11" s="23" t="str">
        <f>CONCATENATE("Pool B-2nd ",'Pool Matches'!G33)</f>
      </c>
      <c r="D11" s="15"/>
      <c r="E11" s="20"/>
      <c r="I11" s="20"/>
    </row>
    <row r="12">
      <c r="A12" s="26" t="str">
        <f>"2. " &amp; data!$B$8</f>
      </c>
      <c r="I12" s="21">
        <v>45</v>
      </c>
    </row>
    <row r="13">
      <c r="A13" s="27" t="str">
        <f>"3. " &amp; data!$B$9</f>
      </c>
      <c r="C13" s="23" t="str">
        <f>CONCATENATE("Pool E-1st ",'Pool Matches'!G80)</f>
      </c>
      <c r="I13" s="20"/>
      <c r="J13" s="22"/>
      <c r="K13" s="20"/>
    </row>
    <row r="14">
      <c r="A14" s="22"/>
      <c r="D14" s="22"/>
      <c r="E14" s="21">
        <v>2</v>
      </c>
      <c r="I14" s="20"/>
      <c r="K14" s="20"/>
    </row>
    <row r="15">
      <c r="A15" s="24" t="str">
        <f>data!$A$12</f>
      </c>
      <c r="C15" s="23" t="str">
        <f>CONCATENATE("Pool D-2nd ",'Pool Matches'!G65)</f>
      </c>
      <c r="D15" s="15"/>
      <c r="E15" s="20"/>
      <c r="F15" s="22"/>
      <c r="G15" s="20"/>
      <c r="I15" s="20"/>
      <c r="K15" s="20"/>
    </row>
    <row r="16">
      <c r="A16" s="25" t="str">
        <f>"1. " &amp; data!$B$10</f>
      </c>
      <c r="G16" s="21">
        <v>30</v>
      </c>
      <c r="H16" s="15"/>
      <c r="I16" s="20"/>
      <c r="K16" s="20"/>
    </row>
    <row r="17">
      <c r="A17" s="26" t="str">
        <f>"2. " &amp; data!$B$11</f>
      </c>
      <c r="C17" s="23" t="str">
        <f>CONCATENATE("Pool G-1st ",'Pool Matches'!G112)</f>
      </c>
      <c r="G17" s="20"/>
      <c r="K17" s="20"/>
    </row>
    <row r="18">
      <c r="A18" s="27" t="str">
        <f>"3. " &amp; data!$B$12</f>
      </c>
      <c r="D18" s="22"/>
      <c r="E18" s="21">
        <v>3</v>
      </c>
      <c r="F18" s="15"/>
      <c r="G18" s="20"/>
      <c r="K18" s="20"/>
    </row>
    <row r="19">
      <c r="A19" s="22"/>
      <c r="C19" s="23" t="str">
        <f>CONCATENATE("Pool F-2nd ",'Pool Matches'!G97)</f>
      </c>
      <c r="D19" s="15"/>
      <c r="E19" s="20"/>
      <c r="K19" s="20"/>
    </row>
    <row r="20">
      <c r="A20" s="24" t="str">
        <f>data!$A$15</f>
      </c>
      <c r="K20" s="21">
        <v>53</v>
      </c>
    </row>
    <row r="21">
      <c r="A21" s="25" t="str">
        <f>"1. " &amp; data!$B$13</f>
      </c>
      <c r="C21" s="23" t="str">
        <f>CONCATENATE("Pool I-1st ",'Pool Matches'!G144)</f>
      </c>
      <c r="K21" s="20"/>
    </row>
    <row r="22">
      <c r="A22" s="26" t="str">
        <f>"2. " &amp; data!$B$14</f>
      </c>
      <c r="D22" s="22"/>
      <c r="E22" s="21">
        <v>4</v>
      </c>
      <c r="K22" s="20"/>
    </row>
    <row r="23">
      <c r="A23" s="27" t="str">
        <f>"3. " &amp; data!$B$15</f>
      </c>
      <c r="C23" s="23" t="str">
        <f>CONCATENATE("Pool H-2nd ",'Pool Matches'!G129)</f>
      </c>
      <c r="D23" s="15"/>
      <c r="E23" s="20"/>
      <c r="F23" s="22"/>
      <c r="G23" s="20"/>
      <c r="K23" s="20"/>
    </row>
    <row r="24">
      <c r="A24" s="22"/>
      <c r="G24" s="21">
        <v>31</v>
      </c>
      <c r="K24" s="20"/>
    </row>
    <row r="25">
      <c r="A25" s="24" t="str">
        <f>data!$A$18</f>
      </c>
      <c r="C25" s="23" t="str">
        <f>CONCATENATE("Pool K-1st ",'Pool Matches'!G176)</f>
      </c>
      <c r="G25" s="20"/>
      <c r="H25" s="22"/>
      <c r="I25" s="20"/>
      <c r="K25" s="20"/>
    </row>
    <row r="26">
      <c r="A26" s="25" t="str">
        <f>"1. " &amp; data!$B$16</f>
      </c>
      <c r="D26" s="22"/>
      <c r="E26" s="21">
        <v>5</v>
      </c>
      <c r="F26" s="15"/>
      <c r="G26" s="20"/>
      <c r="I26" s="20"/>
      <c r="K26" s="20"/>
    </row>
    <row r="27">
      <c r="A27" s="26" t="str">
        <f>"2. " &amp; data!$B$17</f>
      </c>
      <c r="C27" s="23" t="str">
        <f>CONCATENATE("Pool J-2nd ",'Pool Matches'!G161)</f>
      </c>
      <c r="D27" s="15"/>
      <c r="E27" s="20"/>
      <c r="I27" s="20"/>
      <c r="K27" s="20"/>
    </row>
    <row r="28">
      <c r="A28" s="27" t="str">
        <f>"3. " &amp; data!$B$18</f>
      </c>
      <c r="I28" s="21">
        <v>46</v>
      </c>
      <c r="J28" s="15"/>
      <c r="K28" s="20"/>
    </row>
    <row r="29">
      <c r="A29" s="22"/>
      <c r="C29" s="23" t="str">
        <f>CONCATENATE("Pool M-1st ",'Pool Matches'!G208)</f>
      </c>
      <c r="I29" s="20"/>
    </row>
    <row r="30">
      <c r="A30" s="24" t="str">
        <f>data!$A$21</f>
      </c>
      <c r="D30" s="22"/>
      <c r="E30" s="21">
        <v>6</v>
      </c>
      <c r="I30" s="20"/>
    </row>
    <row r="31">
      <c r="A31" s="25" t="str">
        <f>"1. " &amp; data!$B$19</f>
      </c>
      <c r="C31" s="23" t="str">
        <f>CONCATENATE("Pool L-2nd ",'Pool Matches'!G193)</f>
      </c>
      <c r="D31" s="15"/>
      <c r="E31" s="20"/>
      <c r="F31" s="22"/>
      <c r="G31" s="20"/>
      <c r="I31" s="20"/>
    </row>
    <row r="32">
      <c r="A32" s="26" t="str">
        <f>"2. " &amp; data!$B$20</f>
      </c>
      <c r="G32" s="21">
        <v>32</v>
      </c>
      <c r="H32" s="15"/>
      <c r="I32" s="20"/>
    </row>
    <row r="33">
      <c r="A33" s="27" t="str">
        <f>"3. " &amp; data!$B$21</f>
      </c>
      <c r="C33" s="23" t="str">
        <f>CONCATENATE("Pool O-1st ",'Pool Matches'!G240)</f>
      </c>
      <c r="G33" s="20"/>
    </row>
    <row r="34">
      <c r="A34" s="22"/>
      <c r="D34" s="22"/>
      <c r="E34" s="21">
        <v>7</v>
      </c>
      <c r="F34" s="15"/>
      <c r="G34" s="20"/>
    </row>
    <row r="35">
      <c r="A35" s="24" t="str">
        <f>data!$A$24</f>
      </c>
      <c r="C35" s="23" t="str">
        <f>CONCATENATE("Pool N-2nd ",'Pool Matches'!G225)</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Matches'!O32)</f>
      </c>
    </row>
    <row r="7">
      <c r="A7" s="27" t="str">
        <f>"3. " &amp; data!$B$30</f>
      </c>
      <c r="F7" s="22"/>
      <c r="G7" s="20"/>
    </row>
    <row r="8">
      <c r="A8" s="22"/>
      <c r="G8" s="21">
        <v>33</v>
      </c>
    </row>
    <row r="9">
      <c r="A9" s="24" t="str">
        <f>data!$A$33</f>
      </c>
      <c r="C9" s="23" t="str">
        <f>CONCATENATE("Pool P-2nd ",'Pool Matches'!O15)</f>
      </c>
      <c r="G9" s="20"/>
      <c r="H9" s="22"/>
      <c r="I9" s="20"/>
    </row>
    <row r="10">
      <c r="A10" s="25" t="str">
        <f>"1. " &amp; data!$B$31</f>
      </c>
      <c r="D10" s="22"/>
      <c r="E10" s="21">
        <v>8</v>
      </c>
      <c r="F10" s="15"/>
      <c r="G10" s="20"/>
      <c r="I10" s="20"/>
    </row>
    <row r="11">
      <c r="A11" s="26" t="str">
        <f>"2. " &amp; data!$B$32</f>
      </c>
      <c r="C11" s="23" t="str">
        <f>CONCATENATE("Pool R-2nd ",'Pool Matches'!O49)</f>
      </c>
      <c r="D11" s="15"/>
      <c r="E11" s="20"/>
      <c r="I11" s="20"/>
    </row>
    <row r="12">
      <c r="A12" s="27" t="str">
        <f>"3. " &amp; data!$B$33</f>
      </c>
      <c r="I12" s="21">
        <v>47</v>
      </c>
    </row>
    <row r="13">
      <c r="A13" s="22"/>
      <c r="C13" s="23" t="str">
        <f>CONCATENATE("Pool S-1st ",'Pool Matches'!O64)</f>
      </c>
      <c r="I13" s="20"/>
      <c r="J13" s="22"/>
      <c r="K13" s="20"/>
    </row>
    <row r="14">
      <c r="A14" s="24" t="str">
        <f>data!$A$36</f>
      </c>
      <c r="D14" s="22"/>
      <c r="E14" s="21">
        <v>9</v>
      </c>
      <c r="I14" s="20"/>
      <c r="K14" s="20"/>
    </row>
    <row r="15">
      <c r="A15" s="25" t="str">
        <f>"1. " &amp; data!$B$34</f>
      </c>
      <c r="C15" s="23" t="str">
        <f>CONCATENATE("Pool T-2nd ",'Pool Matches'!O81)</f>
      </c>
      <c r="D15" s="15"/>
      <c r="E15" s="20"/>
      <c r="F15" s="22"/>
      <c r="G15" s="20"/>
      <c r="I15" s="20"/>
      <c r="K15" s="20"/>
    </row>
    <row r="16">
      <c r="A16" s="26" t="str">
        <f>"2. " &amp; data!$B$35</f>
      </c>
      <c r="G16" s="21">
        <v>34</v>
      </c>
      <c r="H16" s="15"/>
      <c r="I16" s="20"/>
      <c r="K16" s="20"/>
    </row>
    <row r="17">
      <c r="A17" s="27" t="str">
        <f>"3. " &amp; data!$B$36</f>
      </c>
      <c r="C17" s="23" t="str">
        <f>CONCATENATE("Pool U-1st ",'Pool Matches'!O96)</f>
      </c>
      <c r="G17" s="20"/>
      <c r="K17" s="20"/>
    </row>
    <row r="18">
      <c r="A18" s="22"/>
      <c r="D18" s="22"/>
      <c r="E18" s="21">
        <v>10</v>
      </c>
      <c r="F18" s="15"/>
      <c r="G18" s="20"/>
      <c r="K18" s="20"/>
    </row>
    <row r="19">
      <c r="A19" s="24" t="str">
        <f>data!$A$39</f>
      </c>
      <c r="C19" s="23" t="str">
        <f>CONCATENATE("Pool V-2nd ",'Pool Matches'!O113)</f>
      </c>
      <c r="D19" s="15"/>
      <c r="E19" s="20"/>
      <c r="K19" s="20"/>
    </row>
    <row r="20">
      <c r="A20" s="25" t="str">
        <f>"1. " &amp; data!$B$37</f>
      </c>
      <c r="K20" s="21">
        <v>54</v>
      </c>
    </row>
    <row r="21">
      <c r="A21" s="26" t="str">
        <f>"2. " &amp; data!$B$38</f>
      </c>
      <c r="C21" s="23" t="str">
        <f>CONCATENATE("Pool W-1st ",'Pool Matches'!O128)</f>
      </c>
      <c r="K21" s="20"/>
    </row>
    <row r="22">
      <c r="A22" s="27" t="str">
        <f>"3. " &amp; data!$B$39</f>
      </c>
      <c r="D22" s="22"/>
      <c r="E22" s="21">
        <v>11</v>
      </c>
      <c r="K22" s="20"/>
    </row>
    <row r="23">
      <c r="A23" s="22"/>
      <c r="C23" s="23" t="str">
        <f>CONCATENATE("Pool X-2nd ",'Pool Matches'!O145)</f>
      </c>
      <c r="D23" s="15"/>
      <c r="E23" s="20"/>
      <c r="F23" s="22"/>
      <c r="G23" s="20"/>
      <c r="K23" s="20"/>
    </row>
    <row r="24">
      <c r="A24" s="24" t="str">
        <f>data!$A$42</f>
      </c>
      <c r="G24" s="21">
        <v>35</v>
      </c>
      <c r="K24" s="20"/>
    </row>
    <row r="25">
      <c r="A25" s="25" t="str">
        <f>"1. " &amp; data!$B$40</f>
      </c>
      <c r="C25" s="23" t="str">
        <f>CONCATENATE("Pool Y-1st ",'Pool Matches'!O160)</f>
      </c>
      <c r="G25" s="20"/>
      <c r="H25" s="22"/>
      <c r="I25" s="20"/>
      <c r="K25" s="20"/>
    </row>
    <row r="26">
      <c r="A26" s="26" t="str">
        <f>"2. " &amp; data!$B$41</f>
      </c>
      <c r="D26" s="22"/>
      <c r="E26" s="21">
        <v>12</v>
      </c>
      <c r="F26" s="15"/>
      <c r="G26" s="20"/>
      <c r="I26" s="20"/>
      <c r="K26" s="20"/>
    </row>
    <row r="27">
      <c r="A27" s="27" t="str">
        <f>"3. " &amp; data!$B$42</f>
      </c>
      <c r="C27" s="23" t="str">
        <f>CONCATENATE("Pool Z-2nd ",'Pool Matches'!O177)</f>
      </c>
      <c r="D27" s="15"/>
      <c r="E27" s="20"/>
      <c r="I27" s="20"/>
      <c r="K27" s="20"/>
    </row>
    <row r="28">
      <c r="A28" s="22"/>
      <c r="I28" s="21">
        <v>48</v>
      </c>
      <c r="J28" s="15"/>
      <c r="K28" s="20"/>
    </row>
    <row r="29">
      <c r="A29" s="24" t="str">
        <f>data!$A$45</f>
      </c>
      <c r="C29" s="23" t="str">
        <f>CONCATENATE("Pool AA-1st ",'Pool Matches'!O192)</f>
      </c>
      <c r="I29" s="20"/>
    </row>
    <row r="30">
      <c r="A30" s="25" t="str">
        <f>"1. " &amp; data!$B$43</f>
      </c>
      <c r="D30" s="22"/>
      <c r="E30" s="21">
        <v>13</v>
      </c>
      <c r="I30" s="20"/>
    </row>
    <row r="31">
      <c r="A31" s="26" t="str">
        <f>"2. " &amp; data!$B$44</f>
      </c>
      <c r="C31" s="23" t="str">
        <f>CONCATENATE("Pool BB-2nd ",'Pool Matches'!O209)</f>
      </c>
      <c r="D31" s="15"/>
      <c r="E31" s="20"/>
      <c r="F31" s="22"/>
      <c r="G31" s="20"/>
      <c r="I31" s="20"/>
    </row>
    <row r="32">
      <c r="A32" s="27" t="str">
        <f>"3. " &amp; data!$B$45</f>
      </c>
      <c r="G32" s="21">
        <v>36</v>
      </c>
      <c r="H32" s="15"/>
      <c r="I32" s="20"/>
    </row>
    <row r="33">
      <c r="A33" s="22"/>
      <c r="C33" s="23" t="str">
        <f>CONCATENATE("Pool CC-1st ",'Pool Matches'!O224)</f>
      </c>
      <c r="G33" s="20"/>
    </row>
    <row r="34">
      <c r="A34" s="24" t="str">
        <f>data!$A$48</f>
      </c>
      <c r="D34" s="22"/>
      <c r="E34" s="21">
        <v>14</v>
      </c>
      <c r="F34" s="15"/>
      <c r="G34" s="20"/>
    </row>
    <row r="35">
      <c r="A35" s="25" t="str">
        <f>"1. " &amp; data!$B$46</f>
      </c>
      <c r="C35" s="23" t="str">
        <f>CONCATENATE("Pool DD-2nd ",'Pool Matches'!O241)</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Matches'!G32)</f>
      </c>
    </row>
    <row r="7">
      <c r="A7" s="27" t="str">
        <f>"3. " &amp; data!$B$51</f>
      </c>
      <c r="F7" s="22"/>
      <c r="G7" s="20"/>
    </row>
    <row r="8">
      <c r="A8" s="22"/>
      <c r="G8" s="21">
        <v>37</v>
      </c>
    </row>
    <row r="9">
      <c r="A9" s="24" t="str">
        <f>data!$A$54</f>
      </c>
      <c r="C9" s="23" t="str">
        <f>CONCATENATE("Pool A-2nd ",'Pool Matches'!G16)</f>
      </c>
      <c r="G9" s="20"/>
      <c r="H9" s="22"/>
      <c r="I9" s="20"/>
    </row>
    <row r="10">
      <c r="A10" s="25" t="str">
        <f>"1. " &amp; data!$B$52</f>
      </c>
      <c r="D10" s="22"/>
      <c r="E10" s="21">
        <v>15</v>
      </c>
      <c r="F10" s="15"/>
      <c r="G10" s="20"/>
      <c r="I10" s="20"/>
    </row>
    <row r="11">
      <c r="A11" s="26" t="str">
        <f>"2. " &amp; data!$B$53</f>
      </c>
      <c r="C11" s="23" t="str">
        <f>CONCATENATE("Pool C-2nd ",'Pool Matches'!G49)</f>
      </c>
      <c r="D11" s="15"/>
      <c r="E11" s="20"/>
      <c r="I11" s="20"/>
    </row>
    <row r="12">
      <c r="A12" s="27" t="str">
        <f>"3. " &amp; data!$B$54</f>
      </c>
      <c r="I12" s="21">
        <v>49</v>
      </c>
    </row>
    <row r="13">
      <c r="A13" s="22"/>
      <c r="C13" s="23" t="str">
        <f>CONCATENATE("Pool D-1st ",'Pool Matches'!G64)</f>
      </c>
      <c r="I13" s="20"/>
      <c r="J13" s="22"/>
      <c r="K13" s="20"/>
    </row>
    <row r="14">
      <c r="A14" s="24" t="str">
        <f>data!$A$57</f>
      </c>
      <c r="D14" s="22"/>
      <c r="E14" s="21">
        <v>16</v>
      </c>
      <c r="I14" s="20"/>
      <c r="K14" s="20"/>
    </row>
    <row r="15">
      <c r="A15" s="25" t="str">
        <f>"1. " &amp; data!$B$55</f>
      </c>
      <c r="C15" s="23" t="str">
        <f>CONCATENATE("Pool E-2nd ",'Pool Matches'!G81)</f>
      </c>
      <c r="D15" s="15"/>
      <c r="E15" s="20"/>
      <c r="F15" s="22"/>
      <c r="G15" s="20"/>
      <c r="I15" s="20"/>
      <c r="K15" s="20"/>
    </row>
    <row r="16">
      <c r="A16" s="26" t="str">
        <f>"2. " &amp; data!$B$56</f>
      </c>
      <c r="G16" s="21">
        <v>38</v>
      </c>
      <c r="H16" s="15"/>
      <c r="I16" s="20"/>
      <c r="K16" s="20"/>
    </row>
    <row r="17">
      <c r="A17" s="27" t="str">
        <f>"3. " &amp; data!$B$57</f>
      </c>
      <c r="C17" s="23" t="str">
        <f>CONCATENATE("Pool F-1st ",'Pool Matches'!G96)</f>
      </c>
      <c r="G17" s="20"/>
      <c r="K17" s="20"/>
    </row>
    <row r="18">
      <c r="A18" s="22"/>
      <c r="D18" s="22"/>
      <c r="E18" s="21">
        <v>17</v>
      </c>
      <c r="F18" s="15"/>
      <c r="G18" s="20"/>
      <c r="K18" s="20"/>
    </row>
    <row r="19">
      <c r="A19" s="24" t="str">
        <f>data!$A$60</f>
      </c>
      <c r="C19" s="23" t="str">
        <f>CONCATENATE("Pool G-2nd ",'Pool Matches'!G113)</f>
      </c>
      <c r="D19" s="15"/>
      <c r="E19" s="20"/>
      <c r="K19" s="20"/>
    </row>
    <row r="20">
      <c r="A20" s="25" t="str">
        <f>"1. " &amp; data!$B$58</f>
      </c>
      <c r="K20" s="21">
        <v>55</v>
      </c>
    </row>
    <row r="21">
      <c r="A21" s="26" t="str">
        <f>"2. " &amp; data!$B$59</f>
      </c>
      <c r="C21" s="23" t="str">
        <f>CONCATENATE("Pool H-1st ",'Pool Matches'!G128)</f>
      </c>
      <c r="K21" s="20"/>
    </row>
    <row r="22">
      <c r="A22" s="27" t="str">
        <f>"3. " &amp; data!$B$60</f>
      </c>
      <c r="D22" s="22"/>
      <c r="E22" s="21">
        <v>18</v>
      </c>
      <c r="K22" s="20"/>
    </row>
    <row r="23">
      <c r="A23" s="22"/>
      <c r="C23" s="23" t="str">
        <f>CONCATENATE("Pool I-2nd ",'Pool Matches'!G145)</f>
      </c>
      <c r="D23" s="15"/>
      <c r="E23" s="20"/>
      <c r="F23" s="22"/>
      <c r="G23" s="20"/>
      <c r="K23" s="20"/>
    </row>
    <row r="24">
      <c r="A24" s="24" t="str">
        <f>data!$A$63</f>
      </c>
      <c r="G24" s="21">
        <v>39</v>
      </c>
      <c r="K24" s="20"/>
    </row>
    <row r="25">
      <c r="A25" s="25" t="str">
        <f>"1. " &amp; data!$B$61</f>
      </c>
      <c r="C25" s="23" t="str">
        <f>CONCATENATE("Pool J-1st ",'Pool Matches'!G160)</f>
      </c>
      <c r="G25" s="20"/>
      <c r="H25" s="22"/>
      <c r="I25" s="20"/>
      <c r="K25" s="20"/>
    </row>
    <row r="26">
      <c r="A26" s="26" t="str">
        <f>"2. " &amp; data!$B$62</f>
      </c>
      <c r="D26" s="22"/>
      <c r="E26" s="21">
        <v>19</v>
      </c>
      <c r="F26" s="15"/>
      <c r="G26" s="20"/>
      <c r="I26" s="20"/>
      <c r="K26" s="20"/>
    </row>
    <row r="27">
      <c r="A27" s="27" t="str">
        <f>"3. " &amp; data!$B$63</f>
      </c>
      <c r="C27" s="23" t="str">
        <f>CONCATENATE("Pool K-2nd ",'Pool Matches'!G177)</f>
      </c>
      <c r="D27" s="15"/>
      <c r="E27" s="20"/>
      <c r="I27" s="20"/>
      <c r="K27" s="20"/>
    </row>
    <row r="28">
      <c r="A28" s="22"/>
      <c r="I28" s="21">
        <v>50</v>
      </c>
      <c r="J28" s="15"/>
      <c r="K28" s="20"/>
    </row>
    <row r="29">
      <c r="A29" s="24" t="str">
        <f>data!$A$66</f>
      </c>
      <c r="C29" s="23" t="str">
        <f>CONCATENATE("Pool L-1st ",'Pool Matches'!G192)</f>
      </c>
      <c r="I29" s="20"/>
    </row>
    <row r="30">
      <c r="A30" s="25" t="str">
        <f>"1. " &amp; data!$B$64</f>
      </c>
      <c r="D30" s="22"/>
      <c r="E30" s="21">
        <v>20</v>
      </c>
      <c r="I30" s="20"/>
    </row>
    <row r="31">
      <c r="A31" s="26" t="str">
        <f>"2. " &amp; data!$B$65</f>
      </c>
      <c r="C31" s="23" t="str">
        <f>CONCATENATE("Pool M-2nd ",'Pool Matches'!G209)</f>
      </c>
      <c r="D31" s="15"/>
      <c r="E31" s="20"/>
      <c r="F31" s="22"/>
      <c r="G31" s="20"/>
      <c r="I31" s="20"/>
    </row>
    <row r="32">
      <c r="A32" s="27" t="str">
        <f>"3. " &amp; data!$B$66</f>
      </c>
      <c r="G32" s="21">
        <v>40</v>
      </c>
      <c r="H32" s="15"/>
      <c r="I32" s="20"/>
    </row>
    <row r="33">
      <c r="A33" s="22"/>
      <c r="C33" s="23" t="str">
        <f>CONCATENATE("Pool N-1st ",'Pool Matches'!G224)</f>
      </c>
      <c r="G33" s="20"/>
    </row>
    <row r="34">
      <c r="A34" s="24" t="str">
        <f>data!$A$69</f>
      </c>
      <c r="D34" s="22"/>
      <c r="E34" s="21">
        <v>21</v>
      </c>
      <c r="F34" s="15"/>
      <c r="G34" s="20"/>
    </row>
    <row r="35">
      <c r="A35" s="25" t="str">
        <f>"1. " &amp; data!$B$67</f>
      </c>
      <c r="C35" s="23" t="str">
        <f>CONCATENATE("Pool O-2nd ",'Pool Matches'!G241)</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Matches'!O14)</f>
      </c>
    </row>
    <row r="7">
      <c r="A7" s="27" t="str">
        <f>"3. " &amp; data!$B$75</f>
      </c>
      <c r="F7" s="22"/>
      <c r="G7" s="20"/>
    </row>
    <row r="8">
      <c r="A8" s="22"/>
      <c r="G8" s="21">
        <v>41</v>
      </c>
    </row>
    <row r="9">
      <c r="A9" s="24" t="str">
        <f>data!$A$78</f>
      </c>
      <c r="C9" s="23" t="str">
        <f>CONCATENATE("Pool R-1st ",'Pool Matches'!O48)</f>
      </c>
      <c r="G9" s="20"/>
      <c r="H9" s="22"/>
      <c r="I9" s="20"/>
    </row>
    <row r="10">
      <c r="A10" s="25" t="str">
        <f>"1. " &amp; data!$B$76</f>
      </c>
      <c r="D10" s="22"/>
      <c r="E10" s="21">
        <v>22</v>
      </c>
      <c r="F10" s="15"/>
      <c r="G10" s="20"/>
      <c r="I10" s="20"/>
    </row>
    <row r="11">
      <c r="A11" s="26" t="str">
        <f>"2. " &amp; data!$B$77</f>
      </c>
      <c r="C11" s="23" t="str">
        <f>CONCATENATE("Pool Q-2nd ",'Pool Matches'!O33)</f>
      </c>
      <c r="D11" s="15"/>
      <c r="E11" s="20"/>
      <c r="I11" s="20"/>
    </row>
    <row r="12">
      <c r="A12" s="27" t="str">
        <f>"3. " &amp; data!$B$78</f>
      </c>
      <c r="I12" s="21">
        <v>51</v>
      </c>
    </row>
    <row r="13">
      <c r="A13" s="22"/>
      <c r="C13" s="23" t="str">
        <f>CONCATENATE("Pool T-1st ",'Pool Matches'!O80)</f>
      </c>
      <c r="I13" s="20"/>
      <c r="J13" s="22"/>
      <c r="K13" s="20"/>
    </row>
    <row r="14">
      <c r="A14" s="24" t="str">
        <f>data!$A$81</f>
      </c>
      <c r="D14" s="22"/>
      <c r="E14" s="21">
        <v>23</v>
      </c>
      <c r="I14" s="20"/>
      <c r="K14" s="20"/>
    </row>
    <row r="15">
      <c r="A15" s="25" t="str">
        <f>"1. " &amp; data!$B$79</f>
      </c>
      <c r="C15" s="23" t="str">
        <f>CONCATENATE("Pool S-2nd ",'Pool Matches'!O65)</f>
      </c>
      <c r="D15" s="15"/>
      <c r="E15" s="20"/>
      <c r="F15" s="22"/>
      <c r="G15" s="20"/>
      <c r="I15" s="20"/>
      <c r="K15" s="20"/>
    </row>
    <row r="16">
      <c r="A16" s="26" t="str">
        <f>"2. " &amp; data!$B$80</f>
      </c>
      <c r="G16" s="21">
        <v>42</v>
      </c>
      <c r="H16" s="15"/>
      <c r="I16" s="20"/>
      <c r="K16" s="20"/>
    </row>
    <row r="17">
      <c r="A17" s="27" t="str">
        <f>"3. " &amp; data!$B$81</f>
      </c>
      <c r="C17" s="23" t="str">
        <f>CONCATENATE("Pool V-1st ",'Pool Matches'!O112)</f>
      </c>
      <c r="G17" s="20"/>
      <c r="K17" s="20"/>
    </row>
    <row r="18">
      <c r="A18" s="22"/>
      <c r="D18" s="22"/>
      <c r="E18" s="21">
        <v>24</v>
      </c>
      <c r="F18" s="15"/>
      <c r="G18" s="20"/>
      <c r="K18" s="20"/>
    </row>
    <row r="19">
      <c r="A19" s="24" t="str">
        <f>data!$A$84</f>
      </c>
      <c r="C19" s="23" t="str">
        <f>CONCATENATE("Pool U-2nd ",'Pool Matches'!O97)</f>
      </c>
      <c r="D19" s="15"/>
      <c r="E19" s="20"/>
      <c r="K19" s="20"/>
    </row>
    <row r="20">
      <c r="A20" s="25" t="str">
        <f>"1. " &amp; data!$B$82</f>
      </c>
      <c r="K20" s="21">
        <v>56</v>
      </c>
    </row>
    <row r="21">
      <c r="A21" s="26" t="str">
        <f>"2. " &amp; data!$B$83</f>
      </c>
      <c r="C21" s="23" t="str">
        <f>CONCATENATE("Pool X-1st ",'Pool Matches'!O144)</f>
      </c>
      <c r="K21" s="20"/>
    </row>
    <row r="22">
      <c r="A22" s="27" t="str">
        <f>"3. " &amp; data!$B$84</f>
      </c>
      <c r="D22" s="22"/>
      <c r="E22" s="21">
        <v>25</v>
      </c>
      <c r="K22" s="20"/>
    </row>
    <row r="23">
      <c r="A23" s="22"/>
      <c r="C23" s="23" t="str">
        <f>CONCATENATE("Pool W-2nd ",'Pool Matches'!O129)</f>
      </c>
      <c r="D23" s="15"/>
      <c r="E23" s="20"/>
      <c r="F23" s="22"/>
      <c r="G23" s="20"/>
      <c r="K23" s="20"/>
    </row>
    <row r="24">
      <c r="A24" s="24" t="str">
        <f>data!$A$87</f>
      </c>
      <c r="G24" s="21">
        <v>43</v>
      </c>
      <c r="K24" s="20"/>
    </row>
    <row r="25">
      <c r="A25" s="25" t="str">
        <f>"1. " &amp; data!$B$85</f>
      </c>
      <c r="C25" s="23" t="str">
        <f>CONCATENATE("Pool Z-1st ",'Pool Matches'!O176)</f>
      </c>
      <c r="G25" s="20"/>
      <c r="H25" s="22"/>
      <c r="I25" s="20"/>
      <c r="K25" s="20"/>
    </row>
    <row r="26">
      <c r="A26" s="26" t="str">
        <f>"2. " &amp; data!$B$86</f>
      </c>
      <c r="D26" s="22"/>
      <c r="E26" s="21">
        <v>26</v>
      </c>
      <c r="F26" s="15"/>
      <c r="G26" s="20"/>
      <c r="I26" s="20"/>
      <c r="K26" s="20"/>
    </row>
    <row r="27">
      <c r="A27" s="27" t="str">
        <f>"3. " &amp; data!$B$87</f>
      </c>
      <c r="C27" s="23" t="str">
        <f>CONCATENATE("Pool Y-2nd ",'Pool Matches'!O161)</f>
      </c>
      <c r="D27" s="15"/>
      <c r="E27" s="20"/>
      <c r="I27" s="20"/>
      <c r="K27" s="20"/>
    </row>
    <row r="28">
      <c r="A28" s="22"/>
      <c r="I28" s="21">
        <v>52</v>
      </c>
      <c r="J28" s="15"/>
      <c r="K28" s="20"/>
    </row>
    <row r="29">
      <c r="A29" s="24" t="str">
        <f>data!$A$90</f>
      </c>
      <c r="C29" s="23" t="str">
        <f>CONCATENATE("Pool BB-1st ",'Pool Matches'!O208)</f>
      </c>
      <c r="I29" s="20"/>
    </row>
    <row r="30">
      <c r="A30" s="25" t="str">
        <f>"1. " &amp; data!$B$88</f>
      </c>
      <c r="D30" s="22"/>
      <c r="E30" s="21">
        <v>27</v>
      </c>
      <c r="I30" s="20"/>
    </row>
    <row r="31">
      <c r="A31" s="26" t="str">
        <f>"2. " &amp; data!$B$89</f>
      </c>
      <c r="C31" s="23" t="str">
        <f>CONCATENATE("Pool AA-2nd ",'Pool Matches'!O193)</f>
      </c>
      <c r="D31" s="15"/>
      <c r="E31" s="20"/>
      <c r="F31" s="22"/>
      <c r="G31" s="20"/>
      <c r="I31" s="20"/>
    </row>
    <row r="32">
      <c r="A32" s="27" t="str">
        <f>"3. " &amp; data!$B$90</f>
      </c>
      <c r="G32" s="21">
        <v>44</v>
      </c>
      <c r="H32" s="15"/>
      <c r="I32" s="20"/>
    </row>
    <row r="33">
      <c r="A33" s="22"/>
      <c r="C33" s="23" t="str">
        <f>CONCATENATE("Pool DD-1st ",'Pool Matches'!O240)</f>
      </c>
      <c r="G33" s="20"/>
    </row>
    <row r="34">
      <c r="A34" s="24" t="str">
        <f>data!$A$93</f>
      </c>
      <c r="D34" s="22"/>
      <c r="E34" s="21">
        <v>28</v>
      </c>
      <c r="F34" s="15"/>
      <c r="G34" s="20"/>
    </row>
    <row r="35">
      <c r="A35" s="25" t="str">
        <f>"1. " &amp; data!$B$91</f>
      </c>
      <c r="C35" s="23" t="str">
        <f>CONCATENATE("Pool CC-2nd ",'Pool Matches'!O225)</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251</v>
      </c>
      <c r="B1" s="29" t="str">
        <f>data!D3</f>
      </c>
    </row>
    <row r="2" ht="270" customHeight="true">
      <c r="A2" s="28" t="s">
        <v>252</v>
      </c>
      <c r="B2" s="29" t="str">
        <f>data!D4</f>
      </c>
    </row>
    <row r="3" ht="270" customHeight="true">
      <c r="A3" s="28" t="s">
        <v>253</v>
      </c>
      <c r="B3" s="29" t="str">
        <f>data!D5</f>
      </c>
    </row>
    <row r="4" ht="270" customHeight="true">
      <c r="A4" s="28" t="s">
        <v>254</v>
      </c>
      <c r="B4" s="29" t="str">
        <f>data!D6</f>
      </c>
    </row>
    <row r="5" ht="270" customHeight="true">
      <c r="A5" s="28" t="s">
        <v>255</v>
      </c>
      <c r="B5" s="29" t="str">
        <f>data!D7</f>
      </c>
    </row>
    <row r="6" ht="270" customHeight="true">
      <c r="A6" s="28" t="s">
        <v>256</v>
      </c>
      <c r="B6" s="29" t="str">
        <f>data!D8</f>
      </c>
    </row>
    <row r="7" ht="270" customHeight="true">
      <c r="A7" s="28" t="s">
        <v>257</v>
      </c>
      <c r="B7" s="29" t="str">
        <f>data!D9</f>
      </c>
    </row>
    <row r="8" ht="270" customHeight="true">
      <c r="A8" s="28" t="s">
        <v>258</v>
      </c>
      <c r="B8" s="29" t="str">
        <f>data!D10</f>
      </c>
    </row>
    <row r="9" ht="270" customHeight="true">
      <c r="A9" s="28" t="s">
        <v>259</v>
      </c>
      <c r="B9" s="29" t="str">
        <f>data!D11</f>
      </c>
    </row>
    <row r="10" ht="270" customHeight="true">
      <c r="A10" s="28" t="s">
        <v>260</v>
      </c>
      <c r="B10" s="29" t="str">
        <f>data!D12</f>
      </c>
    </row>
    <row r="11" ht="270" customHeight="true">
      <c r="A11" s="28" t="s">
        <v>261</v>
      </c>
      <c r="B11" s="29" t="str">
        <f>data!D13</f>
      </c>
    </row>
    <row r="12" ht="270" customHeight="true">
      <c r="A12" s="28" t="s">
        <v>262</v>
      </c>
      <c r="B12" s="29" t="str">
        <f>data!D14</f>
      </c>
    </row>
    <row r="13" ht="270" customHeight="true">
      <c r="A13" s="28" t="s">
        <v>263</v>
      </c>
      <c r="B13" s="29" t="str">
        <f>data!D15</f>
      </c>
    </row>
    <row r="14" ht="270" customHeight="true">
      <c r="A14" s="28" t="s">
        <v>264</v>
      </c>
      <c r="B14" s="29" t="str">
        <f>data!D16</f>
      </c>
    </row>
    <row r="15" ht="270" customHeight="true">
      <c r="A15" s="28" t="s">
        <v>265</v>
      </c>
      <c r="B15" s="29" t="str">
        <f>data!D17</f>
      </c>
    </row>
    <row r="16" ht="270" customHeight="true">
      <c r="A16" s="28" t="s">
        <v>266</v>
      </c>
      <c r="B16" s="29" t="str">
        <f>data!D18</f>
      </c>
    </row>
    <row r="17" ht="270" customHeight="true">
      <c r="A17" s="28" t="s">
        <v>267</v>
      </c>
      <c r="B17" s="29" t="str">
        <f>data!D19</f>
      </c>
    </row>
    <row r="18" ht="270" customHeight="true">
      <c r="A18" s="28" t="s">
        <v>268</v>
      </c>
      <c r="B18" s="29" t="str">
        <f>data!D20</f>
      </c>
    </row>
    <row r="19" ht="270" customHeight="true">
      <c r="A19" s="28" t="s">
        <v>269</v>
      </c>
      <c r="B19" s="29" t="str">
        <f>data!D21</f>
      </c>
    </row>
    <row r="20" ht="270" customHeight="true">
      <c r="A20" s="28" t="s">
        <v>270</v>
      </c>
      <c r="B20" s="29" t="str">
        <f>data!D22</f>
      </c>
    </row>
    <row r="21" ht="270" customHeight="true">
      <c r="A21" s="28" t="s">
        <v>271</v>
      </c>
      <c r="B21" s="29" t="str">
        <f>data!D23</f>
      </c>
    </row>
    <row r="22" ht="270" customHeight="true">
      <c r="A22" s="28" t="s">
        <v>272</v>
      </c>
      <c r="B22" s="29" t="str">
        <f>data!D24</f>
      </c>
    </row>
    <row r="23" ht="270" customHeight="true">
      <c r="A23" s="28" t="s">
        <v>273</v>
      </c>
      <c r="B23" s="29" t="str">
        <f>data!D25</f>
      </c>
    </row>
    <row r="24" ht="270" customHeight="true">
      <c r="A24" s="28" t="s">
        <v>274</v>
      </c>
      <c r="B24" s="29" t="str">
        <f>data!D26</f>
      </c>
    </row>
    <row r="25" ht="270" customHeight="true">
      <c r="A25" s="28" t="s">
        <v>275</v>
      </c>
      <c r="B25" s="29" t="str">
        <f>data!D27</f>
      </c>
    </row>
    <row r="26" ht="270" customHeight="true">
      <c r="A26" s="28" t="s">
        <v>276</v>
      </c>
      <c r="B26" s="29" t="str">
        <f>data!D28</f>
      </c>
    </row>
    <row r="27" ht="270" customHeight="true">
      <c r="A27" s="28" t="s">
        <v>277</v>
      </c>
      <c r="B27" s="29" t="str">
        <f>data!D29</f>
      </c>
    </row>
    <row r="28" ht="270" customHeight="true">
      <c r="A28" s="28" t="s">
        <v>278</v>
      </c>
      <c r="B28" s="29" t="str">
        <f>data!D30</f>
      </c>
    </row>
    <row r="29" ht="270" customHeight="true">
      <c r="A29" s="28" t="s">
        <v>279</v>
      </c>
      <c r="B29" s="29" t="str">
        <f>data!D31</f>
      </c>
    </row>
    <row r="30" ht="270" customHeight="true">
      <c r="A30" s="28" t="s">
        <v>280</v>
      </c>
      <c r="B30" s="29" t="str">
        <f>data!D32</f>
      </c>
    </row>
    <row r="31" ht="270" customHeight="true">
      <c r="A31" s="28" t="s">
        <v>281</v>
      </c>
      <c r="B31" s="29" t="str">
        <f>data!D33</f>
      </c>
    </row>
    <row r="32" ht="270" customHeight="true">
      <c r="A32" s="28" t="s">
        <v>282</v>
      </c>
      <c r="B32" s="29" t="str">
        <f>data!D34</f>
      </c>
    </row>
    <row r="33" ht="270" customHeight="true">
      <c r="A33" s="28" t="s">
        <v>283</v>
      </c>
      <c r="B33" s="29" t="str">
        <f>data!D35</f>
      </c>
    </row>
    <row r="34" ht="270" customHeight="true">
      <c r="A34" s="28" t="s">
        <v>284</v>
      </c>
      <c r="B34" s="29" t="str">
        <f>data!D36</f>
      </c>
    </row>
    <row r="35" ht="270" customHeight="true">
      <c r="A35" s="28" t="s">
        <v>285</v>
      </c>
      <c r="B35" s="29" t="str">
        <f>data!D37</f>
      </c>
    </row>
    <row r="36" ht="270" customHeight="true">
      <c r="A36" s="28" t="s">
        <v>286</v>
      </c>
      <c r="B36" s="29" t="str">
        <f>data!D38</f>
      </c>
    </row>
    <row r="37" ht="270" customHeight="true">
      <c r="A37" s="28" t="s">
        <v>287</v>
      </c>
      <c r="B37" s="29" t="str">
        <f>data!D39</f>
      </c>
    </row>
    <row r="38" ht="270" customHeight="true">
      <c r="A38" s="28" t="s">
        <v>288</v>
      </c>
      <c r="B38" s="29" t="str">
        <f>data!D40</f>
      </c>
    </row>
    <row r="39" ht="270" customHeight="true">
      <c r="A39" s="28" t="s">
        <v>289</v>
      </c>
      <c r="B39" s="29" t="str">
        <f>data!D41</f>
      </c>
    </row>
    <row r="40" ht="270" customHeight="true">
      <c r="A40" s="28" t="s">
        <v>290</v>
      </c>
      <c r="B40" s="29" t="str">
        <f>data!D42</f>
      </c>
    </row>
    <row r="41" ht="270" customHeight="true">
      <c r="A41" s="28" t="s">
        <v>291</v>
      </c>
      <c r="B41" s="29" t="str">
        <f>data!D43</f>
      </c>
    </row>
    <row r="42" ht="270" customHeight="true">
      <c r="A42" s="28" t="s">
        <v>292</v>
      </c>
      <c r="B42" s="29" t="str">
        <f>data!D44</f>
      </c>
    </row>
    <row r="43" ht="270" customHeight="true">
      <c r="A43" s="28" t="s">
        <v>293</v>
      </c>
      <c r="B43" s="29" t="str">
        <f>data!D45</f>
      </c>
    </row>
    <row r="44" ht="270" customHeight="true">
      <c r="A44" s="28" t="s">
        <v>294</v>
      </c>
      <c r="B44" s="29" t="str">
        <f>data!D46</f>
      </c>
    </row>
    <row r="45" ht="270" customHeight="true">
      <c r="A45" s="28" t="s">
        <v>295</v>
      </c>
      <c r="B45" s="29" t="str">
        <f>data!D47</f>
      </c>
    </row>
    <row r="46" ht="270" customHeight="true">
      <c r="A46" s="28" t="s">
        <v>296</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297</v>
      </c>
      <c r="B1" s="29" t="str">
        <f>data!D49</f>
      </c>
    </row>
    <row r="2" ht="270" customHeight="true">
      <c r="A2" s="28" t="s">
        <v>298</v>
      </c>
      <c r="B2" s="29" t="str">
        <f>data!D50</f>
      </c>
    </row>
    <row r="3" ht="270" customHeight="true">
      <c r="A3" s="28" t="s">
        <v>299</v>
      </c>
      <c r="B3" s="29" t="str">
        <f>data!D51</f>
      </c>
    </row>
    <row r="4" ht="270" customHeight="true">
      <c r="A4" s="28" t="s">
        <v>300</v>
      </c>
      <c r="B4" s="29" t="str">
        <f>data!D52</f>
      </c>
    </row>
    <row r="5" ht="270" customHeight="true">
      <c r="A5" s="28" t="s">
        <v>301</v>
      </c>
      <c r="B5" s="29" t="str">
        <f>data!D53</f>
      </c>
    </row>
    <row r="6" ht="270" customHeight="true">
      <c r="A6" s="28" t="s">
        <v>302</v>
      </c>
      <c r="B6" s="29" t="str">
        <f>data!D54</f>
      </c>
    </row>
    <row r="7" ht="270" customHeight="true">
      <c r="A7" s="28" t="s">
        <v>303</v>
      </c>
      <c r="B7" s="29" t="str">
        <f>data!D55</f>
      </c>
    </row>
    <row r="8" ht="270" customHeight="true">
      <c r="A8" s="28" t="s">
        <v>304</v>
      </c>
      <c r="B8" s="29" t="str">
        <f>data!D56</f>
      </c>
    </row>
    <row r="9" ht="270" customHeight="true">
      <c r="A9" s="28" t="s">
        <v>305</v>
      </c>
      <c r="B9" s="29" t="str">
        <f>data!D57</f>
      </c>
    </row>
    <row r="10" ht="270" customHeight="true">
      <c r="A10" s="28" t="s">
        <v>306</v>
      </c>
      <c r="B10" s="29" t="str">
        <f>data!D58</f>
      </c>
    </row>
    <row r="11" ht="270" customHeight="true">
      <c r="A11" s="28" t="s">
        <v>307</v>
      </c>
      <c r="B11" s="29" t="str">
        <f>data!D59</f>
      </c>
    </row>
    <row r="12" ht="270" customHeight="true">
      <c r="A12" s="28" t="s">
        <v>308</v>
      </c>
      <c r="B12" s="29" t="str">
        <f>data!D60</f>
      </c>
    </row>
    <row r="13" ht="270" customHeight="true">
      <c r="A13" s="28" t="s">
        <v>309</v>
      </c>
      <c r="B13" s="29" t="str">
        <f>data!D61</f>
      </c>
    </row>
    <row r="14" ht="270" customHeight="true">
      <c r="A14" s="28" t="s">
        <v>310</v>
      </c>
      <c r="B14" s="29" t="str">
        <f>data!D62</f>
      </c>
    </row>
    <row r="15" ht="270" customHeight="true">
      <c r="A15" s="28" t="s">
        <v>311</v>
      </c>
      <c r="B15" s="29" t="str">
        <f>data!D63</f>
      </c>
    </row>
    <row r="16" ht="270" customHeight="true">
      <c r="A16" s="28" t="s">
        <v>312</v>
      </c>
      <c r="B16" s="29" t="str">
        <f>data!D64</f>
      </c>
    </row>
    <row r="17" ht="270" customHeight="true">
      <c r="A17" s="28" t="s">
        <v>313</v>
      </c>
      <c r="B17" s="29" t="str">
        <f>data!D65</f>
      </c>
    </row>
    <row r="18" ht="270" customHeight="true">
      <c r="A18" s="28" t="s">
        <v>314</v>
      </c>
      <c r="B18" s="29" t="str">
        <f>data!D66</f>
      </c>
    </row>
    <row r="19" ht="270" customHeight="true">
      <c r="A19" s="28" t="s">
        <v>315</v>
      </c>
      <c r="B19" s="29" t="str">
        <f>data!D67</f>
      </c>
    </row>
    <row r="20" ht="270" customHeight="true">
      <c r="A20" s="28" t="s">
        <v>316</v>
      </c>
      <c r="B20" s="29" t="str">
        <f>data!D68</f>
      </c>
    </row>
    <row r="21" ht="270" customHeight="true">
      <c r="A21" s="28" t="s">
        <v>317</v>
      </c>
      <c r="B21" s="29" t="str">
        <f>data!D69</f>
      </c>
    </row>
    <row r="22" ht="270" customHeight="true">
      <c r="A22" s="28" t="s">
        <v>318</v>
      </c>
      <c r="B22" s="29" t="str">
        <f>data!D70</f>
      </c>
    </row>
    <row r="23" ht="270" customHeight="true">
      <c r="A23" s="28" t="s">
        <v>319</v>
      </c>
      <c r="B23" s="29" t="str">
        <f>data!D71</f>
      </c>
    </row>
    <row r="24" ht="270" customHeight="true">
      <c r="A24" s="28" t="s">
        <v>320</v>
      </c>
      <c r="B24" s="29" t="str">
        <f>data!D72</f>
      </c>
    </row>
    <row r="25" ht="270" customHeight="true">
      <c r="A25" s="28" t="s">
        <v>321</v>
      </c>
      <c r="B25" s="29" t="str">
        <f>data!D73</f>
      </c>
    </row>
    <row r="26" ht="270" customHeight="true">
      <c r="A26" s="28" t="s">
        <v>322</v>
      </c>
      <c r="B26" s="29" t="str">
        <f>data!D74</f>
      </c>
    </row>
    <row r="27" ht="270" customHeight="true">
      <c r="A27" s="28" t="s">
        <v>323</v>
      </c>
      <c r="B27" s="29" t="str">
        <f>data!D75</f>
      </c>
    </row>
    <row r="28" ht="270" customHeight="true">
      <c r="A28" s="28" t="s">
        <v>324</v>
      </c>
      <c r="B28" s="29" t="str">
        <f>data!D76</f>
      </c>
    </row>
    <row r="29" ht="270" customHeight="true">
      <c r="A29" s="28" t="s">
        <v>325</v>
      </c>
      <c r="B29" s="29" t="str">
        <f>data!D77</f>
      </c>
    </row>
    <row r="30" ht="270" customHeight="true">
      <c r="A30" s="28" t="s">
        <v>326</v>
      </c>
      <c r="B30" s="29" t="str">
        <f>data!D78</f>
      </c>
    </row>
    <row r="31" ht="270" customHeight="true">
      <c r="A31" s="28" t="s">
        <v>327</v>
      </c>
      <c r="B31" s="29" t="str">
        <f>data!D79</f>
      </c>
    </row>
    <row r="32" ht="270" customHeight="true">
      <c r="A32" s="28" t="s">
        <v>328</v>
      </c>
      <c r="B32" s="29" t="str">
        <f>data!D80</f>
      </c>
    </row>
    <row r="33" ht="270" customHeight="true">
      <c r="A33" s="28" t="s">
        <v>329</v>
      </c>
      <c r="B33" s="29" t="str">
        <f>data!D81</f>
      </c>
    </row>
    <row r="34" ht="270" customHeight="true">
      <c r="A34" s="28" t="s">
        <v>330</v>
      </c>
      <c r="B34" s="29" t="str">
        <f>data!D82</f>
      </c>
    </row>
    <row r="35" ht="270" customHeight="true">
      <c r="A35" s="28" t="s">
        <v>331</v>
      </c>
      <c r="B35" s="29" t="str">
        <f>data!D83</f>
      </c>
    </row>
    <row r="36" ht="270" customHeight="true">
      <c r="A36" s="28" t="s">
        <v>332</v>
      </c>
      <c r="B36" s="29" t="str">
        <f>data!D84</f>
      </c>
    </row>
    <row r="37" ht="270" customHeight="true">
      <c r="A37" s="28" t="s">
        <v>333</v>
      </c>
      <c r="B37" s="29" t="str">
        <f>data!D85</f>
      </c>
    </row>
    <row r="38" ht="270" customHeight="true">
      <c r="A38" s="28" t="s">
        <v>334</v>
      </c>
      <c r="B38" s="29" t="str">
        <f>data!D86</f>
      </c>
    </row>
    <row r="39" ht="270" customHeight="true">
      <c r="A39" s="28" t="s">
        <v>335</v>
      </c>
      <c r="B39" s="29" t="str">
        <f>data!D87</f>
      </c>
    </row>
    <row r="40" ht="270" customHeight="true">
      <c r="A40" s="28" t="s">
        <v>336</v>
      </c>
      <c r="B40" s="29" t="str">
        <f>data!D88</f>
      </c>
    </row>
    <row r="41" ht="270" customHeight="true">
      <c r="A41" s="28" t="s">
        <v>337</v>
      </c>
      <c r="B41" s="29" t="str">
        <f>data!D89</f>
      </c>
    </row>
    <row r="42" ht="270" customHeight="true">
      <c r="A42" s="28" t="s">
        <v>338</v>
      </c>
      <c r="B42" s="29" t="str">
        <f>data!D90</f>
      </c>
    </row>
    <row r="43" ht="270" customHeight="true">
      <c r="A43" s="28" t="s">
        <v>339</v>
      </c>
      <c r="B43" s="29" t="str">
        <f>data!D91</f>
      </c>
    </row>
    <row r="44" ht="270" customHeight="true">
      <c r="A44" s="28" t="s">
        <v>340</v>
      </c>
      <c r="B44" s="29" t="str">
        <f>data!D92</f>
      </c>
    </row>
    <row r="45" ht="270" customHeight="true">
      <c r="A45" s="28" t="s">
        <v>341</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251</v>
      </c>
    </row>
    <row r="2" ht="390" customHeight="true">
      <c r="A2" s="30" t="s">
        <v>251</v>
      </c>
    </row>
    <row r="3" ht="390" customHeight="true">
      <c r="A3" s="30" t="s">
        <v>252</v>
      </c>
    </row>
    <row r="4" ht="390" customHeight="true">
      <c r="A4" s="30" t="s">
        <v>252</v>
      </c>
    </row>
    <row r="5" ht="390" customHeight="true">
      <c r="A5" s="30" t="s">
        <v>253</v>
      </c>
    </row>
    <row r="6" ht="390" customHeight="true">
      <c r="A6" s="30" t="s">
        <v>253</v>
      </c>
    </row>
    <row r="7" ht="390" customHeight="true">
      <c r="A7" s="30" t="s">
        <v>254</v>
      </c>
    </row>
    <row r="8" ht="390" customHeight="true">
      <c r="A8" s="30" t="s">
        <v>254</v>
      </c>
    </row>
    <row r="9" ht="390" customHeight="true">
      <c r="A9" s="30" t="s">
        <v>255</v>
      </c>
    </row>
    <row r="10" ht="390" customHeight="true">
      <c r="A10" s="30" t="s">
        <v>255</v>
      </c>
    </row>
    <row r="11" ht="390" customHeight="true">
      <c r="A11" s="30" t="s">
        <v>256</v>
      </c>
    </row>
    <row r="12" ht="390" customHeight="true">
      <c r="A12" s="30" t="s">
        <v>256</v>
      </c>
    </row>
    <row r="13" ht="390" customHeight="true">
      <c r="A13" s="30" t="s">
        <v>257</v>
      </c>
    </row>
    <row r="14" ht="390" customHeight="true">
      <c r="A14" s="30" t="s">
        <v>257</v>
      </c>
    </row>
    <row r="15" ht="390" customHeight="true">
      <c r="A15" s="30" t="s">
        <v>258</v>
      </c>
    </row>
    <row r="16" ht="390" customHeight="true">
      <c r="A16" s="30" t="s">
        <v>258</v>
      </c>
    </row>
    <row r="17" ht="390" customHeight="true">
      <c r="A17" s="30" t="s">
        <v>259</v>
      </c>
    </row>
    <row r="18" ht="390" customHeight="true">
      <c r="A18" s="30" t="s">
        <v>259</v>
      </c>
    </row>
    <row r="19" ht="390" customHeight="true">
      <c r="A19" s="30" t="s">
        <v>260</v>
      </c>
    </row>
    <row r="20" ht="390" customHeight="true">
      <c r="A20" s="30" t="s">
        <v>260</v>
      </c>
    </row>
    <row r="21" ht="390" customHeight="true">
      <c r="A21" s="30" t="s">
        <v>261</v>
      </c>
    </row>
    <row r="22" ht="390" customHeight="true">
      <c r="A22" s="30" t="s">
        <v>261</v>
      </c>
    </row>
    <row r="23" ht="390" customHeight="true">
      <c r="A23" s="30" t="s">
        <v>262</v>
      </c>
    </row>
    <row r="24" ht="390" customHeight="true">
      <c r="A24" s="30" t="s">
        <v>262</v>
      </c>
    </row>
    <row r="25" ht="390" customHeight="true">
      <c r="A25" s="30" t="s">
        <v>263</v>
      </c>
    </row>
    <row r="26" ht="390" customHeight="true">
      <c r="A26" s="30" t="s">
        <v>263</v>
      </c>
    </row>
    <row r="27" ht="390" customHeight="true">
      <c r="A27" s="30" t="s">
        <v>264</v>
      </c>
    </row>
    <row r="28" ht="390" customHeight="true">
      <c r="A28" s="30" t="s">
        <v>264</v>
      </c>
    </row>
    <row r="29" ht="390" customHeight="true">
      <c r="A29" s="30" t="s">
        <v>265</v>
      </c>
    </row>
    <row r="30" ht="390" customHeight="true">
      <c r="A30" s="30" t="s">
        <v>265</v>
      </c>
    </row>
    <row r="31" ht="390" customHeight="true">
      <c r="A31" s="30" t="s">
        <v>266</v>
      </c>
    </row>
    <row r="32" ht="390" customHeight="true">
      <c r="A32" s="30" t="s">
        <v>266</v>
      </c>
    </row>
    <row r="33" ht="390" customHeight="true">
      <c r="A33" s="30" t="s">
        <v>267</v>
      </c>
    </row>
    <row r="34" ht="390" customHeight="true">
      <c r="A34" s="30" t="s">
        <v>267</v>
      </c>
    </row>
    <row r="35" ht="390" customHeight="true">
      <c r="A35" s="30" t="s">
        <v>268</v>
      </c>
    </row>
    <row r="36" ht="390" customHeight="true">
      <c r="A36" s="30" t="s">
        <v>268</v>
      </c>
    </row>
    <row r="37" ht="390" customHeight="true">
      <c r="A37" s="30" t="s">
        <v>269</v>
      </c>
    </row>
    <row r="38" ht="390" customHeight="true">
      <c r="A38" s="30" t="s">
        <v>269</v>
      </c>
    </row>
    <row r="39" ht="390" customHeight="true">
      <c r="A39" s="30" t="s">
        <v>270</v>
      </c>
    </row>
    <row r="40" ht="390" customHeight="true">
      <c r="A40" s="30" t="s">
        <v>270</v>
      </c>
    </row>
    <row r="41" ht="390" customHeight="true">
      <c r="A41" s="30" t="s">
        <v>271</v>
      </c>
    </row>
    <row r="42" ht="390" customHeight="true">
      <c r="A42" s="30" t="s">
        <v>271</v>
      </c>
    </row>
    <row r="43" ht="390" customHeight="true">
      <c r="A43" s="30" t="s">
        <v>272</v>
      </c>
    </row>
    <row r="44" ht="390" customHeight="true">
      <c r="A44" s="30" t="s">
        <v>272</v>
      </c>
    </row>
    <row r="45" ht="390" customHeight="true">
      <c r="A45" s="30" t="s">
        <v>273</v>
      </c>
    </row>
    <row r="46" ht="390" customHeight="true">
      <c r="A46" s="30" t="s">
        <v>273</v>
      </c>
    </row>
    <row r="47" ht="390" customHeight="true">
      <c r="A47" s="30" t="s">
        <v>274</v>
      </c>
    </row>
    <row r="48" ht="390" customHeight="true">
      <c r="A48" s="30" t="s">
        <v>274</v>
      </c>
    </row>
    <row r="49" ht="390" customHeight="true">
      <c r="A49" s="30" t="s">
        <v>275</v>
      </c>
    </row>
    <row r="50" ht="390" customHeight="true">
      <c r="A50" s="30" t="s">
        <v>275</v>
      </c>
    </row>
    <row r="51" ht="390" customHeight="true">
      <c r="A51" s="30" t="s">
        <v>276</v>
      </c>
    </row>
    <row r="52" ht="390" customHeight="true">
      <c r="A52" s="30" t="s">
        <v>276</v>
      </c>
    </row>
    <row r="53" ht="390" customHeight="true">
      <c r="A53" s="30" t="s">
        <v>277</v>
      </c>
    </row>
    <row r="54" ht="390" customHeight="true">
      <c r="A54" s="30" t="s">
        <v>277</v>
      </c>
    </row>
    <row r="55" ht="390" customHeight="true">
      <c r="A55" s="30" t="s">
        <v>278</v>
      </c>
    </row>
    <row r="56" ht="390" customHeight="true">
      <c r="A56" s="30" t="s">
        <v>278</v>
      </c>
    </row>
    <row r="57" ht="390" customHeight="true">
      <c r="A57" s="30" t="s">
        <v>279</v>
      </c>
    </row>
    <row r="58" ht="390" customHeight="true">
      <c r="A58" s="30" t="s">
        <v>279</v>
      </c>
    </row>
    <row r="59" ht="390" customHeight="true">
      <c r="A59" s="30" t="s">
        <v>280</v>
      </c>
    </row>
    <row r="60" ht="390" customHeight="true">
      <c r="A60" s="30" t="s">
        <v>280</v>
      </c>
    </row>
    <row r="61" ht="390" customHeight="true">
      <c r="A61" s="30" t="s">
        <v>281</v>
      </c>
    </row>
    <row r="62" ht="390" customHeight="true">
      <c r="A62" s="30" t="s">
        <v>281</v>
      </c>
    </row>
    <row r="63" ht="390" customHeight="true">
      <c r="A63" s="30" t="s">
        <v>282</v>
      </c>
    </row>
    <row r="64" ht="390" customHeight="true">
      <c r="A64" s="30" t="s">
        <v>282</v>
      </c>
    </row>
    <row r="65" ht="390" customHeight="true">
      <c r="A65" s="30" t="s">
        <v>283</v>
      </c>
    </row>
    <row r="66" ht="390" customHeight="true">
      <c r="A66" s="30" t="s">
        <v>283</v>
      </c>
    </row>
    <row r="67" ht="390" customHeight="true">
      <c r="A67" s="30" t="s">
        <v>284</v>
      </c>
    </row>
    <row r="68" ht="390" customHeight="true">
      <c r="A68" s="30" t="s">
        <v>284</v>
      </c>
    </row>
    <row r="69" ht="390" customHeight="true">
      <c r="A69" s="30" t="s">
        <v>285</v>
      </c>
    </row>
    <row r="70" ht="390" customHeight="true">
      <c r="A70" s="30" t="s">
        <v>285</v>
      </c>
    </row>
    <row r="71" ht="390" customHeight="true">
      <c r="A71" s="30" t="s">
        <v>286</v>
      </c>
    </row>
    <row r="72" ht="390" customHeight="true">
      <c r="A72" s="30" t="s">
        <v>286</v>
      </c>
    </row>
    <row r="73" ht="390" customHeight="true">
      <c r="A73" s="30" t="s">
        <v>287</v>
      </c>
    </row>
    <row r="74" ht="390" customHeight="true">
      <c r="A74" s="30" t="s">
        <v>287</v>
      </c>
    </row>
    <row r="75" ht="390" customHeight="true">
      <c r="A75" s="30" t="s">
        <v>288</v>
      </c>
    </row>
    <row r="76" ht="390" customHeight="true">
      <c r="A76" s="30" t="s">
        <v>288</v>
      </c>
    </row>
    <row r="77" ht="390" customHeight="true">
      <c r="A77" s="30" t="s">
        <v>289</v>
      </c>
    </row>
    <row r="78" ht="390" customHeight="true">
      <c r="A78" s="30" t="s">
        <v>289</v>
      </c>
    </row>
    <row r="79" ht="390" customHeight="true">
      <c r="A79" s="30" t="s">
        <v>290</v>
      </c>
    </row>
    <row r="80" ht="390" customHeight="true">
      <c r="A80" s="30" t="s">
        <v>290</v>
      </c>
    </row>
    <row r="81" ht="390" customHeight="true">
      <c r="A81" s="30" t="s">
        <v>291</v>
      </c>
    </row>
    <row r="82" ht="390" customHeight="true">
      <c r="A82" s="30" t="s">
        <v>291</v>
      </c>
    </row>
    <row r="83" ht="390" customHeight="true">
      <c r="A83" s="30" t="s">
        <v>292</v>
      </c>
    </row>
    <row r="84" ht="390" customHeight="true">
      <c r="A84" s="30" t="s">
        <v>292</v>
      </c>
    </row>
    <row r="85" ht="390" customHeight="true">
      <c r="A85" s="30" t="s">
        <v>293</v>
      </c>
    </row>
    <row r="86" ht="390" customHeight="true">
      <c r="A86" s="30" t="s">
        <v>293</v>
      </c>
    </row>
    <row r="87" ht="390" customHeight="true">
      <c r="A87" s="30" t="s">
        <v>294</v>
      </c>
    </row>
    <row r="88" ht="390" customHeight="true">
      <c r="A88" s="30" t="s">
        <v>294</v>
      </c>
    </row>
    <row r="89" ht="390" customHeight="true">
      <c r="A89" s="30" t="s">
        <v>295</v>
      </c>
    </row>
    <row r="90" ht="390" customHeight="true">
      <c r="A90" s="30" t="s">
        <v>295</v>
      </c>
    </row>
    <row r="91" ht="390" customHeight="true">
      <c r="A91" s="30" t="s">
        <v>296</v>
      </c>
    </row>
    <row r="92" ht="390" customHeight="true">
      <c r="A92" s="30" t="s">
        <v>296</v>
      </c>
    </row>
    <row r="93" ht="390" customHeight="true">
      <c r="A93" s="30" t="s">
        <v>297</v>
      </c>
    </row>
    <row r="94" ht="390" customHeight="true">
      <c r="A94" s="30" t="s">
        <v>297</v>
      </c>
    </row>
    <row r="95" ht="390" customHeight="true">
      <c r="A95" s="30" t="s">
        <v>298</v>
      </c>
    </row>
    <row r="96" ht="390" customHeight="true">
      <c r="A96" s="30" t="s">
        <v>298</v>
      </c>
    </row>
    <row r="97" ht="390" customHeight="true">
      <c r="A97" s="30" t="s">
        <v>299</v>
      </c>
    </row>
    <row r="98" ht="390" customHeight="true">
      <c r="A98" s="30" t="s">
        <v>299</v>
      </c>
    </row>
    <row r="99" ht="390" customHeight="true">
      <c r="A99" s="30" t="s">
        <v>300</v>
      </c>
    </row>
    <row r="100" ht="390" customHeight="true">
      <c r="A100" s="30" t="s">
        <v>300</v>
      </c>
    </row>
    <row r="101" ht="390" customHeight="true">
      <c r="A101" s="30" t="s">
        <v>301</v>
      </c>
    </row>
    <row r="102" ht="390" customHeight="true">
      <c r="A102" s="30" t="s">
        <v>301</v>
      </c>
    </row>
    <row r="103" ht="390" customHeight="true">
      <c r="A103" s="30" t="s">
        <v>302</v>
      </c>
    </row>
    <row r="104" ht="390" customHeight="true">
      <c r="A104" s="30" t="s">
        <v>302</v>
      </c>
    </row>
    <row r="105" ht="390" customHeight="true">
      <c r="A105" s="30" t="s">
        <v>303</v>
      </c>
    </row>
    <row r="106" ht="390" customHeight="true">
      <c r="A106" s="30" t="s">
        <v>303</v>
      </c>
    </row>
    <row r="107" ht="390" customHeight="true">
      <c r="A107" s="30" t="s">
        <v>304</v>
      </c>
    </row>
    <row r="108" ht="390" customHeight="true">
      <c r="A108" s="30" t="s">
        <v>304</v>
      </c>
    </row>
    <row r="109" ht="390" customHeight="true">
      <c r="A109" s="30" t="s">
        <v>305</v>
      </c>
    </row>
    <row r="110" ht="390" customHeight="true">
      <c r="A110" s="30" t="s">
        <v>305</v>
      </c>
    </row>
    <row r="111" ht="390" customHeight="true">
      <c r="A111" s="30" t="s">
        <v>306</v>
      </c>
    </row>
    <row r="112" ht="390" customHeight="true">
      <c r="A112" s="30" t="s">
        <v>306</v>
      </c>
    </row>
    <row r="113" ht="390" customHeight="true">
      <c r="A113" s="30" t="s">
        <v>307</v>
      </c>
    </row>
    <row r="114" ht="390" customHeight="true">
      <c r="A114" s="30" t="s">
        <v>307</v>
      </c>
    </row>
    <row r="115" ht="390" customHeight="true">
      <c r="A115" s="30" t="s">
        <v>308</v>
      </c>
    </row>
    <row r="116" ht="390" customHeight="true">
      <c r="A116" s="30" t="s">
        <v>308</v>
      </c>
    </row>
    <row r="117" ht="390" customHeight="true">
      <c r="A117" s="30" t="s">
        <v>309</v>
      </c>
    </row>
    <row r="118" ht="390" customHeight="true">
      <c r="A118" s="30" t="s">
        <v>309</v>
      </c>
    </row>
    <row r="119" ht="390" customHeight="true">
      <c r="A119" s="30" t="s">
        <v>310</v>
      </c>
    </row>
    <row r="120" ht="390" customHeight="true">
      <c r="A120" s="30" t="s">
        <v>310</v>
      </c>
    </row>
    <row r="121" ht="390" customHeight="true">
      <c r="A121" s="30" t="s">
        <v>311</v>
      </c>
    </row>
    <row r="122" ht="390" customHeight="true">
      <c r="A122" s="30" t="s">
        <v>311</v>
      </c>
    </row>
    <row r="123" ht="390" customHeight="true">
      <c r="A123" s="30" t="s">
        <v>312</v>
      </c>
    </row>
    <row r="124" ht="390" customHeight="true">
      <c r="A124" s="30" t="s">
        <v>312</v>
      </c>
    </row>
    <row r="125" ht="390" customHeight="true">
      <c r="A125" s="30" t="s">
        <v>313</v>
      </c>
    </row>
    <row r="126" ht="390" customHeight="true">
      <c r="A126" s="30" t="s">
        <v>313</v>
      </c>
    </row>
    <row r="127" ht="390" customHeight="true">
      <c r="A127" s="30" t="s">
        <v>314</v>
      </c>
    </row>
    <row r="128" ht="390" customHeight="true">
      <c r="A128" s="30" t="s">
        <v>314</v>
      </c>
    </row>
    <row r="129" ht="390" customHeight="true">
      <c r="A129" s="30" t="s">
        <v>315</v>
      </c>
    </row>
    <row r="130" ht="390" customHeight="true">
      <c r="A130" s="30" t="s">
        <v>315</v>
      </c>
    </row>
    <row r="131" ht="390" customHeight="true">
      <c r="A131" s="30" t="s">
        <v>316</v>
      </c>
    </row>
    <row r="132" ht="390" customHeight="true">
      <c r="A132" s="30" t="s">
        <v>316</v>
      </c>
    </row>
    <row r="133" ht="390" customHeight="true">
      <c r="A133" s="30" t="s">
        <v>317</v>
      </c>
    </row>
    <row r="134" ht="390" customHeight="true">
      <c r="A134" s="30" t="s">
        <v>317</v>
      </c>
    </row>
    <row r="135" ht="390" customHeight="true">
      <c r="A135" s="30" t="s">
        <v>318</v>
      </c>
    </row>
    <row r="136" ht="390" customHeight="true">
      <c r="A136" s="30" t="s">
        <v>318</v>
      </c>
    </row>
    <row r="137" ht="390" customHeight="true">
      <c r="A137" s="30" t="s">
        <v>319</v>
      </c>
    </row>
    <row r="138" ht="390" customHeight="true">
      <c r="A138" s="30" t="s">
        <v>319</v>
      </c>
    </row>
    <row r="139" ht="390" customHeight="true">
      <c r="A139" s="30" t="s">
        <v>320</v>
      </c>
    </row>
    <row r="140" ht="390" customHeight="true">
      <c r="A140" s="30" t="s">
        <v>320</v>
      </c>
    </row>
    <row r="141" ht="390" customHeight="true">
      <c r="A141" s="30" t="s">
        <v>321</v>
      </c>
    </row>
    <row r="142" ht="390" customHeight="true">
      <c r="A142" s="30" t="s">
        <v>321</v>
      </c>
    </row>
    <row r="143" ht="390" customHeight="true">
      <c r="A143" s="30" t="s">
        <v>322</v>
      </c>
    </row>
    <row r="144" ht="390" customHeight="true">
      <c r="A144" s="30" t="s">
        <v>322</v>
      </c>
    </row>
    <row r="145" ht="390" customHeight="true">
      <c r="A145" s="30" t="s">
        <v>323</v>
      </c>
    </row>
    <row r="146" ht="390" customHeight="true">
      <c r="A146" s="30" t="s">
        <v>323</v>
      </c>
    </row>
    <row r="147" ht="390" customHeight="true">
      <c r="A147" s="30" t="s">
        <v>324</v>
      </c>
    </row>
    <row r="148" ht="390" customHeight="true">
      <c r="A148" s="30" t="s">
        <v>324</v>
      </c>
    </row>
    <row r="149" ht="390" customHeight="true">
      <c r="A149" s="30" t="s">
        <v>325</v>
      </c>
    </row>
    <row r="150" ht="390" customHeight="true">
      <c r="A150" s="30" t="s">
        <v>325</v>
      </c>
    </row>
    <row r="151" ht="390" customHeight="true">
      <c r="A151" s="30" t="s">
        <v>326</v>
      </c>
    </row>
    <row r="152" ht="390" customHeight="true">
      <c r="A152" s="30" t="s">
        <v>326</v>
      </c>
    </row>
    <row r="153" ht="390" customHeight="true">
      <c r="A153" s="30" t="s">
        <v>327</v>
      </c>
    </row>
    <row r="154" ht="390" customHeight="true">
      <c r="A154" s="30" t="s">
        <v>327</v>
      </c>
    </row>
    <row r="155" ht="390" customHeight="true">
      <c r="A155" s="30" t="s">
        <v>328</v>
      </c>
    </row>
    <row r="156" ht="390" customHeight="true">
      <c r="A156" s="30" t="s">
        <v>328</v>
      </c>
    </row>
    <row r="157" ht="390" customHeight="true">
      <c r="A157" s="30" t="s">
        <v>329</v>
      </c>
    </row>
    <row r="158" ht="390" customHeight="true">
      <c r="A158" s="30" t="s">
        <v>329</v>
      </c>
    </row>
    <row r="159" ht="390" customHeight="true">
      <c r="A159" s="30" t="s">
        <v>330</v>
      </c>
    </row>
    <row r="160" ht="390" customHeight="true">
      <c r="A160" s="30" t="s">
        <v>330</v>
      </c>
    </row>
    <row r="161" ht="390" customHeight="true">
      <c r="A161" s="30" t="s">
        <v>331</v>
      </c>
    </row>
    <row r="162" ht="390" customHeight="true">
      <c r="A162" s="30" t="s">
        <v>331</v>
      </c>
    </row>
    <row r="163" ht="390" customHeight="true">
      <c r="A163" s="30" t="s">
        <v>332</v>
      </c>
    </row>
    <row r="164" ht="390" customHeight="true">
      <c r="A164" s="30" t="s">
        <v>332</v>
      </c>
    </row>
    <row r="165" ht="390" customHeight="true">
      <c r="A165" s="30" t="s">
        <v>333</v>
      </c>
    </row>
    <row r="166" ht="390" customHeight="true">
      <c r="A166" s="30" t="s">
        <v>333</v>
      </c>
    </row>
    <row r="167" ht="390" customHeight="true">
      <c r="A167" s="30" t="s">
        <v>334</v>
      </c>
    </row>
    <row r="168" ht="390" customHeight="true">
      <c r="A168" s="30" t="s">
        <v>334</v>
      </c>
    </row>
    <row r="169" ht="390" customHeight="true">
      <c r="A169" s="30" t="s">
        <v>335</v>
      </c>
    </row>
    <row r="170" ht="390" customHeight="true">
      <c r="A170" s="30" t="s">
        <v>335</v>
      </c>
    </row>
    <row r="171" ht="390" customHeight="true">
      <c r="A171" s="30" t="s">
        <v>336</v>
      </c>
    </row>
    <row r="172" ht="390" customHeight="true">
      <c r="A172" s="30" t="s">
        <v>336</v>
      </c>
    </row>
    <row r="173" ht="390" customHeight="true">
      <c r="A173" s="30" t="s">
        <v>337</v>
      </c>
    </row>
    <row r="174" ht="390" customHeight="true">
      <c r="A174" s="30" t="s">
        <v>337</v>
      </c>
    </row>
    <row r="175" ht="390" customHeight="true">
      <c r="A175" s="30" t="s">
        <v>338</v>
      </c>
    </row>
    <row r="176" ht="390" customHeight="true">
      <c r="A176" s="30" t="s">
        <v>338</v>
      </c>
    </row>
    <row r="177" ht="390" customHeight="true">
      <c r="A177" s="30" t="s">
        <v>339</v>
      </c>
    </row>
    <row r="178" ht="390" customHeight="true">
      <c r="A178" s="30" t="s">
        <v>339</v>
      </c>
    </row>
    <row r="179" ht="390" customHeight="true">
      <c r="A179" s="30" t="s">
        <v>340</v>
      </c>
    </row>
    <row r="180" ht="390" customHeight="true">
      <c r="A180" s="30" t="s">
        <v>340</v>
      </c>
    </row>
    <row r="181" ht="390" customHeight="true">
      <c r="A181" s="30" t="s">
        <v>341</v>
      </c>
    </row>
    <row r="182" ht="390" customHeight="true">
      <c r="A182" s="30" t="s">
        <v>341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