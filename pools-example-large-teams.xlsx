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<sst xmlns="http://schemas.openxmlformats.org/spreadsheetml/2006/main" count="414" uniqueCount="414">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</sst>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'data'!$B$50</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'data'!$B$5</f>
      </c>
      <c r="I12" s="14" t="str">
        <f>'data'!$B$51</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'data'!$B$5</f>
      </c>
      <c r="I20" s="14" t="str">
        <f>'data'!$B$51</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SUMPRODUCT((UPPER(D29:D33)&lt;&gt;"X")*((LEN(SUBSTITUTE(SUBSTITUTE(SUBSTITUTE(B29:B33," ",""),"0",""),"-",""))+LEN(SUBSTITUTE(SUBSTITUTE(SUBSTITUTE(C29:C33," ",""),"0",""),"-","")))&gt;(LEN(SUBSTITUTE(SUBSTITUTE(SUBSTITUTE(E29:E33," ",""),"0",""),"-",""))+LEN(SUBSTITUTE(SUBSTITUTE(SUBSTITUTE(F29:F33," ",""),"0",""),"-",""))))*1)</f>
      </c>
      <c r="C28" s="14" t="str">
        <f>SUMPRODUCT(LEN(SUBSTITUTE(SUBSTITUTE(SUBSTITUTE(B29:B33," ",""),"0",""),"-",""))+LEN(SUBSTITUTE(SUBSTITUTE(SUBSTITUTE(C29:C33," ",""),"0",""),"-","")))</f>
      </c>
      <c r="D28" s="18"/>
      <c r="E28" s="14" t="str">
        <f>SUMPRODUCT(LEN(SUBSTITUTE(SUBSTITUTE(SUBSTITUTE(E29:E33," ",""),"0",""),"-",""))+LEN(SUBSTITUTE(SUBSTITUTE(SUBSTITUTE(F29:F33," ",""),"0",""),"-","")))</f>
      </c>
      <c r="F28" s="14" t="str">
        <f>SUMPRODUCT((UPPER(D29:D33)&lt;&gt;"X")*((LEN(SUBSTITUTE(SUBSTITUTE(SUBSTITUTE(E29:E33," ",""),"0",""),"-",""))+LEN(SUBSTITUTE(SUBSTITUTE(SUBSTITUTE(F29:F33," ",""),"0",""),"-","")))&gt;(LEN(SUBSTITUTE(SUBSTITUTE(SUBSTITUTE(B29:B33," ",""),"0",""),"-",""))+LEN(SUBSTITUTE(SUBSTITUTE(SUBSTITUTE(C29:C33," ",""),"0",""),"-",""))))*1)</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SUMPRODUCT((UPPER(D58:D62)&lt;&gt;"X")*((LEN(SUBSTITUTE(SUBSTITUTE(SUBSTITUTE(B58:B62," ",""),"0",""),"-",""))+LEN(SUBSTITUTE(SUBSTITUTE(SUBSTITUTE(C58:C62," ",""),"0",""),"-","")))&gt;(LEN(SUBSTITUTE(SUBSTITUTE(SUBSTITUTE(E58:E62," ",""),"0",""),"-",""))+LEN(SUBSTITUTE(SUBSTITUTE(SUBSTITUTE(F58:F62," ",""),"0",""),"-",""))))*1)</f>
      </c>
      <c r="C57" s="14" t="str">
        <f>SUMPRODUCT(LEN(SUBSTITUTE(SUBSTITUTE(SUBSTITUTE(B58:B62," ",""),"0",""),"-",""))+LEN(SUBSTITUTE(SUBSTITUTE(SUBSTITUTE(C58:C62," ",""),"0",""),"-","")))</f>
      </c>
      <c r="D57" s="18"/>
      <c r="E57" s="14" t="str">
        <f>SUMPRODUCT(LEN(SUBSTITUTE(SUBSTITUTE(SUBSTITUTE(E58:E62," ",""),"0",""),"-",""))+LEN(SUBSTITUTE(SUBSTITUTE(SUBSTITUTE(F58:F62," ",""),"0",""),"-","")))</f>
      </c>
      <c r="F57" s="14" t="str">
        <f>SUMPRODUCT((UPPER(D58:D62)&lt;&gt;"X")*((LEN(SUBSTITUTE(SUBSTITUTE(SUBSTITUTE(E58:E62," ",""),"0",""),"-",""))+LEN(SUBSTITUTE(SUBSTITUTE(SUBSTITUTE(F58:F62," ",""),"0",""),"-","")))&gt;(LEN(SUBSTITUTE(SUBSTITUTE(SUBSTITUTE(B58:B62," ",""),"0",""),"-",""))+LEN(SUBSTITUTE(SUBSTITUTE(SUBSTITUTE(C58:C62," ",""),"0",""),"-",""))))*1)</f>
      </c>
      <c r="G57" s="14" t="str">
        <f>'data'!$B$7</f>
      </c>
      <c r="I57" s="14" t="str">
        <f>'data'!$B$53</f>
      </c>
      <c r="J57" s="14" t="str">
        <f>SUMPRODUCT((UPPER(L58:L62)&lt;&gt;"X")*((LEN(SUBSTITUTE(SUBSTITUTE(SUBSTITUTE(J58:J62," ",""),"0",""),"-",""))+LEN(SUBSTITUTE(SUBSTITUTE(SUBSTITUTE(K58:K62," ",""),"0",""),"-","")))&gt;(LEN(SUBSTITUTE(SUBSTITUTE(SUBSTITUTE(M58:M62," ",""),"0",""),"-",""))+LEN(SUBSTITUTE(SUBSTITUTE(SUBSTITUTE(N58:N62," ",""),"0",""),"-",""))))*1)</f>
      </c>
      <c r="K57" s="14" t="str">
        <f>SUMPRODUCT(LEN(SUBSTITUTE(SUBSTITUTE(SUBSTITUTE(J58:J62," ",""),"0",""),"-",""))+LEN(SUBSTITUTE(SUBSTITUTE(SUBSTITUTE(K58:K62," ",""),"0",""),"-","")))</f>
      </c>
      <c r="L57" s="18"/>
      <c r="M57" s="14" t="str">
        <f>SUMPRODUCT(LEN(SUBSTITUTE(SUBSTITUTE(SUBSTITUTE(M58:M62," ",""),"0",""),"-",""))+LEN(SUBSTITUTE(SUBSTITUTE(SUBSTITUTE(N58:N62," ",""),"0",""),"-","")))</f>
      </c>
      <c r="N57" s="14" t="str">
        <f>SUMPRODUCT((UPPER(L58:L62)&lt;&gt;"X")*((LEN(SUBSTITUTE(SUBSTITUTE(SUBSTITUTE(M58:M62," ",""),"0",""),"-",""))+LEN(SUBSTITUTE(SUBSTITUTE(SUBSTITUTE(N58:N62," ",""),"0",""),"-","")))&gt;(LEN(SUBSTITUTE(SUBSTITUTE(SUBSTITUTE(J58:J62," ",""),"0",""),"-",""))+LEN(SUBSTITUTE(SUBSTITUTE(SUBSTITUTE(K58:K62," ",""),"0",""),"-",""))))*1)</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SUMPRODUCT((UPPER(D66:D70)&lt;&gt;"X")*((LEN(SUBSTITUTE(SUBSTITUTE(SUBSTITUTE(B66:B70," ",""),"0",""),"-",""))+LEN(SUBSTITUTE(SUBSTITUTE(SUBSTITUTE(C66:C70," ",""),"0",""),"-","")))&gt;(LEN(SUBSTITUTE(SUBSTITUTE(SUBSTITUTE(E66:E70," ",""),"0",""),"-",""))+LEN(SUBSTITUTE(SUBSTITUTE(SUBSTITUTE(F66:F70," ",""),"0",""),"-",""))))*1)</f>
      </c>
      <c r="C65" s="14" t="str">
        <f>SUMPRODUCT(LEN(SUBSTITUTE(SUBSTITUTE(SUBSTITUTE(B66:B70," ",""),"0",""),"-",""))+LEN(SUBSTITUTE(SUBSTITUTE(SUBSTITUTE(C66:C70," ",""),"0",""),"-","")))</f>
      </c>
      <c r="D65" s="18"/>
      <c r="E65" s="14" t="str">
        <f>SUMPRODUCT(LEN(SUBSTITUTE(SUBSTITUTE(SUBSTITUTE(E66:E70," ",""),"0",""),"-",""))+LEN(SUBSTITUTE(SUBSTITUTE(SUBSTITUTE(F66:F70," ",""),"0",""),"-","")))</f>
      </c>
      <c r="F65" s="14" t="str">
        <f>SUMPRODUCT((UPPER(D66:D70)&lt;&gt;"X")*((LEN(SUBSTITUTE(SUBSTITUTE(SUBSTITUTE(E66:E70," ",""),"0",""),"-",""))+LEN(SUBSTITUTE(SUBSTITUTE(SUBSTITUTE(F66:F70," ",""),"0",""),"-","")))&gt;(LEN(SUBSTITUTE(SUBSTITUTE(SUBSTITUTE(B66:B70," ",""),"0",""),"-",""))+LEN(SUBSTITUTE(SUBSTITUTE(SUBSTITUTE(C66:C70," ",""),"0",""),"-",""))))*1)</f>
      </c>
      <c r="G65" s="14" t="str">
        <f>'data'!$B$7</f>
      </c>
      <c r="I65" s="14" t="str">
        <f>'data'!$B$54</f>
      </c>
      <c r="J65" s="14" t="str">
        <f>SUMPRODUCT((UPPER(L66:L70)&lt;&gt;"X")*((LEN(SUBSTITUTE(SUBSTITUTE(SUBSTITUTE(J66:J70," ",""),"0",""),"-",""))+LEN(SUBSTITUTE(SUBSTITUTE(SUBSTITUTE(K66:K70," ",""),"0",""),"-","")))&gt;(LEN(SUBSTITUTE(SUBSTITUTE(SUBSTITUTE(M66:M70," ",""),"0",""),"-",""))+LEN(SUBSTITUTE(SUBSTITUTE(SUBSTITUTE(N66:N70," ",""),"0",""),"-",""))))*1)</f>
      </c>
      <c r="K65" s="14" t="str">
        <f>SUMPRODUCT(LEN(SUBSTITUTE(SUBSTITUTE(SUBSTITUTE(J66:J70," ",""),"0",""),"-",""))+LEN(SUBSTITUTE(SUBSTITUTE(SUBSTITUTE(K66:K70," ",""),"0",""),"-","")))</f>
      </c>
      <c r="L65" s="18"/>
      <c r="M65" s="14" t="str">
        <f>SUMPRODUCT(LEN(SUBSTITUTE(SUBSTITUTE(SUBSTITUTE(M66:M70," ",""),"0",""),"-",""))+LEN(SUBSTITUTE(SUBSTITUTE(SUBSTITUTE(N66:N70," ",""),"0",""),"-","")))</f>
      </c>
      <c r="N65" s="14" t="str">
        <f>SUMPRODUCT((UPPER(L66:L70)&lt;&gt;"X")*((LEN(SUBSTITUTE(SUBSTITUTE(SUBSTITUTE(M66:M70," ",""),"0",""),"-",""))+LEN(SUBSTITUTE(SUBSTITUTE(SUBSTITUTE(N66:N70," ",""),"0",""),"-","")))&gt;(LEN(SUBSTITUTE(SUBSTITUTE(SUBSTITUTE(J66:J70," ",""),"0",""),"-",""))+LEN(SUBSTITUTE(SUBSTITUTE(SUBSTITUTE(K66:K70," ",""),"0",""),"-",""))))*1)</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SUMPRODUCT((UPPER(D74:D78)&lt;&gt;"X")*((LEN(SUBSTITUTE(SUBSTITUTE(SUBSTITUTE(B74:B78," ",""),"0",""),"-",""))+LEN(SUBSTITUTE(SUBSTITUTE(SUBSTITUTE(C74:C78," ",""),"0",""),"-","")))&gt;(LEN(SUBSTITUTE(SUBSTITUTE(SUBSTITUTE(E74:E78," ",""),"0",""),"-",""))+LEN(SUBSTITUTE(SUBSTITUTE(SUBSTITUTE(F74:F78," ",""),"0",""),"-",""))))*1)</f>
      </c>
      <c r="C73" s="14" t="str">
        <f>SUMPRODUCT(LEN(SUBSTITUTE(SUBSTITUTE(SUBSTITUTE(B74:B78," ",""),"0",""),"-",""))+LEN(SUBSTITUTE(SUBSTITUTE(SUBSTITUTE(C74:C78," ",""),"0",""),"-","")))</f>
      </c>
      <c r="D73" s="18"/>
      <c r="E73" s="14" t="str">
        <f>SUMPRODUCT(LEN(SUBSTITUTE(SUBSTITUTE(SUBSTITUTE(E74:E78," ",""),"0",""),"-",""))+LEN(SUBSTITUTE(SUBSTITUTE(SUBSTITUTE(F74:F78," ",""),"0",""),"-","")))</f>
      </c>
      <c r="F73" s="14" t="str">
        <f>SUMPRODUCT((UPPER(D74:D78)&lt;&gt;"X")*((LEN(SUBSTITUTE(SUBSTITUTE(SUBSTITUTE(E74:E78," ",""),"0",""),"-",""))+LEN(SUBSTITUTE(SUBSTITUTE(SUBSTITUTE(F74:F78," ",""),"0",""),"-","")))&gt;(LEN(SUBSTITUTE(SUBSTITUTE(SUBSTITUTE(B74:B78," ",""),"0",""),"-",""))+LEN(SUBSTITUTE(SUBSTITUTE(SUBSTITUTE(C74:C78," ",""),"0",""),"-",""))))*1)</f>
      </c>
      <c r="G73" s="14" t="str">
        <f>'data'!$B$8</f>
      </c>
      <c r="I73" s="14" t="str">
        <f>'data'!$B$54</f>
      </c>
      <c r="J73" s="14" t="str">
        <f>SUMPRODUCT((UPPER(L74:L78)&lt;&gt;"X")*((LEN(SUBSTITUTE(SUBSTITUTE(SUBSTITUTE(J74:J78," ",""),"0",""),"-",""))+LEN(SUBSTITUTE(SUBSTITUTE(SUBSTITUTE(K74:K78," ",""),"0",""),"-","")))&gt;(LEN(SUBSTITUTE(SUBSTITUTE(SUBSTITUTE(M74:M78," ",""),"0",""),"-",""))+LEN(SUBSTITUTE(SUBSTITUTE(SUBSTITUTE(N74:N78," ",""),"0",""),"-",""))))*1)</f>
      </c>
      <c r="K73" s="14" t="str">
        <f>SUMPRODUCT(LEN(SUBSTITUTE(SUBSTITUTE(SUBSTITUTE(J74:J78," ",""),"0",""),"-",""))+LEN(SUBSTITUTE(SUBSTITUTE(SUBSTITUTE(K74:K78," ",""),"0",""),"-","")))</f>
      </c>
      <c r="L73" s="18"/>
      <c r="M73" s="14" t="str">
        <f>SUMPRODUCT(LEN(SUBSTITUTE(SUBSTITUTE(SUBSTITUTE(M74:M78," ",""),"0",""),"-",""))+LEN(SUBSTITUTE(SUBSTITUTE(SUBSTITUTE(N74:N78," ",""),"0",""),"-","")))</f>
      </c>
      <c r="N73" s="14" t="str">
        <f>SUMPRODUCT((UPPER(L74:L78)&lt;&gt;"X")*((LEN(SUBSTITUTE(SUBSTITUTE(SUBSTITUTE(M74:M78," ",""),"0",""),"-",""))+LEN(SUBSTITUTE(SUBSTITUTE(SUBSTITUTE(N74:N78," ",""),"0",""),"-","")))&gt;(LEN(SUBSTITUTE(SUBSTITUTE(SUBSTITUTE(J74:J78," ",""),"0",""),"-",""))+LEN(SUBSTITUTE(SUBSTITUTE(SUBSTITUTE(K74:K78," ",""),"0",""),"-",""))))*1)</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SUMPRODUCT((UPPER(D101:D105)&lt;&gt;"X")*((LEN(SUBSTITUTE(SUBSTITUTE(SUBSTITUTE(B101:B105," ",""),"0",""),"-",""))+LEN(SUBSTITUTE(SUBSTITUTE(SUBSTITUTE(C101:C105," ",""),"0",""),"-","")))&gt;(LEN(SUBSTITUTE(SUBSTITUTE(SUBSTITUTE(E101:E105," ",""),"0",""),"-",""))+LEN(SUBSTITUTE(SUBSTITUTE(SUBSTITUTE(F101:F105," ",""),"0",""),"-",""))))*1)</f>
      </c>
      <c r="C100" s="14" t="str">
        <f>SUMPRODUCT(LEN(SUBSTITUTE(SUBSTITUTE(SUBSTITUTE(B101:B105," ",""),"0",""),"-",""))+LEN(SUBSTITUTE(SUBSTITUTE(SUBSTITUTE(C101:C105," ",""),"0",""),"-","")))</f>
      </c>
      <c r="D100" s="18"/>
      <c r="E100" s="14" t="str">
        <f>SUMPRODUCT(LEN(SUBSTITUTE(SUBSTITUTE(SUBSTITUTE(E101:E105," ",""),"0",""),"-",""))+LEN(SUBSTITUTE(SUBSTITUTE(SUBSTITUTE(F101:F105," ",""),"0",""),"-","")))</f>
      </c>
      <c r="F100" s="14" t="str">
        <f>SUMPRODUCT((UPPER(D101:D105)&lt;&gt;"X")*((LEN(SUBSTITUTE(SUBSTITUTE(SUBSTITUTE(E101:E105," ",""),"0",""),"-",""))+LEN(SUBSTITUTE(SUBSTITUTE(SUBSTITUTE(F101:F105," ",""),"0",""),"-","")))&gt;(LEN(SUBSTITUTE(SUBSTITUTE(SUBSTITUTE(B101:B105," ",""),"0",""),"-",""))+LEN(SUBSTITUTE(SUBSTITUTE(SUBSTITUTE(C101:C105," ",""),"0",""),"-",""))))*1)</f>
      </c>
      <c r="G100" s="14" t="str">
        <f>'data'!$B$10</f>
      </c>
      <c r="I100" s="14" t="str">
        <f>'data'!$B$56</f>
      </c>
      <c r="J100" s="14" t="str">
        <f>SUMPRODUCT((UPPER(L101:L105)&lt;&gt;"X")*((LEN(SUBSTITUTE(SUBSTITUTE(SUBSTITUTE(J101:J105," ",""),"0",""),"-",""))+LEN(SUBSTITUTE(SUBSTITUTE(SUBSTITUTE(K101:K105," ",""),"0",""),"-","")))&gt;(LEN(SUBSTITUTE(SUBSTITUTE(SUBSTITUTE(M101:M105," ",""),"0",""),"-",""))+LEN(SUBSTITUTE(SUBSTITUTE(SUBSTITUTE(N101:N105," ",""),"0",""),"-",""))))*1)</f>
      </c>
      <c r="K100" s="14" t="str">
        <f>SUMPRODUCT(LEN(SUBSTITUTE(SUBSTITUTE(SUBSTITUTE(J101:J105," ",""),"0",""),"-",""))+LEN(SUBSTITUTE(SUBSTITUTE(SUBSTITUTE(K101:K105," ",""),"0",""),"-","")))</f>
      </c>
      <c r="L100" s="18"/>
      <c r="M100" s="14" t="str">
        <f>SUMPRODUCT(LEN(SUBSTITUTE(SUBSTITUTE(SUBSTITUTE(M101:M105," ",""),"0",""),"-",""))+LEN(SUBSTITUTE(SUBSTITUTE(SUBSTITUTE(N101:N105," ",""),"0",""),"-","")))</f>
      </c>
      <c r="N100" s="14" t="str">
        <f>SUMPRODUCT((UPPER(L101:L105)&lt;&gt;"X")*((LEN(SUBSTITUTE(SUBSTITUTE(SUBSTITUTE(M101:M105," ",""),"0",""),"-",""))+LEN(SUBSTITUTE(SUBSTITUTE(SUBSTITUTE(N101:N105," ",""),"0",""),"-","")))&gt;(LEN(SUBSTITUTE(SUBSTITUTE(SUBSTITUTE(J101:J105," ",""),"0",""),"-",""))+LEN(SUBSTITUTE(SUBSTITUTE(SUBSTITUTE(K101:K105," ",""),"0",""),"-",""))))*1)</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SUMPRODUCT((UPPER(D109:D113)&lt;&gt;"X")*((LEN(SUBSTITUTE(SUBSTITUTE(SUBSTITUTE(B109:B113," ",""),"0",""),"-",""))+LEN(SUBSTITUTE(SUBSTITUTE(SUBSTITUTE(C109:C113," ",""),"0",""),"-","")))&gt;(LEN(SUBSTITUTE(SUBSTITUTE(SUBSTITUTE(E109:E113," ",""),"0",""),"-",""))+LEN(SUBSTITUTE(SUBSTITUTE(SUBSTITUTE(F109:F113," ",""),"0",""),"-",""))))*1)</f>
      </c>
      <c r="C108" s="14" t="str">
        <f>SUMPRODUCT(LEN(SUBSTITUTE(SUBSTITUTE(SUBSTITUTE(B109:B113," ",""),"0",""),"-",""))+LEN(SUBSTITUTE(SUBSTITUTE(SUBSTITUTE(C109:C113," ",""),"0",""),"-","")))</f>
      </c>
      <c r="D108" s="18"/>
      <c r="E108" s="14" t="str">
        <f>SUMPRODUCT(LEN(SUBSTITUTE(SUBSTITUTE(SUBSTITUTE(E109:E113," ",""),"0",""),"-",""))+LEN(SUBSTITUTE(SUBSTITUTE(SUBSTITUTE(F109:F113," ",""),"0",""),"-","")))</f>
      </c>
      <c r="F108" s="14" t="str">
        <f>SUMPRODUCT((UPPER(D109:D113)&lt;&gt;"X")*((LEN(SUBSTITUTE(SUBSTITUTE(SUBSTITUTE(E109:E113," ",""),"0",""),"-",""))+LEN(SUBSTITUTE(SUBSTITUTE(SUBSTITUTE(F109:F113," ",""),"0",""),"-","")))&gt;(LEN(SUBSTITUTE(SUBSTITUTE(SUBSTITUTE(B109:B113," ",""),"0",""),"-",""))+LEN(SUBSTITUTE(SUBSTITUTE(SUBSTITUTE(C109:C113," ",""),"0",""),"-",""))))*1)</f>
      </c>
      <c r="G108" s="14" t="str">
        <f>'data'!$B$10</f>
      </c>
      <c r="I108" s="14" t="str">
        <f>'data'!$B$57</f>
      </c>
      <c r="J108" s="14" t="str">
        <f>SUMPRODUCT((UPPER(L109:L113)&lt;&gt;"X")*((LEN(SUBSTITUTE(SUBSTITUTE(SUBSTITUTE(J109:J113," ",""),"0",""),"-",""))+LEN(SUBSTITUTE(SUBSTITUTE(SUBSTITUTE(K109:K113," ",""),"0",""),"-","")))&gt;(LEN(SUBSTITUTE(SUBSTITUTE(SUBSTITUTE(M109:M113," ",""),"0",""),"-",""))+LEN(SUBSTITUTE(SUBSTITUTE(SUBSTITUTE(N109:N113," ",""),"0",""),"-",""))))*1)</f>
      </c>
      <c r="K108" s="14" t="str">
        <f>SUMPRODUCT(LEN(SUBSTITUTE(SUBSTITUTE(SUBSTITUTE(J109:J113," ",""),"0",""),"-",""))+LEN(SUBSTITUTE(SUBSTITUTE(SUBSTITUTE(K109:K113," ",""),"0",""),"-","")))</f>
      </c>
      <c r="L108" s="18"/>
      <c r="M108" s="14" t="str">
        <f>SUMPRODUCT(LEN(SUBSTITUTE(SUBSTITUTE(SUBSTITUTE(M109:M113," ",""),"0",""),"-",""))+LEN(SUBSTITUTE(SUBSTITUTE(SUBSTITUTE(N109:N113," ",""),"0",""),"-","")))</f>
      </c>
      <c r="N108" s="14" t="str">
        <f>SUMPRODUCT((UPPER(L109:L113)&lt;&gt;"X")*((LEN(SUBSTITUTE(SUBSTITUTE(SUBSTITUTE(M109:M113," ",""),"0",""),"-",""))+LEN(SUBSTITUTE(SUBSTITUTE(SUBSTITUTE(N109:N113," ",""),"0",""),"-","")))&gt;(LEN(SUBSTITUTE(SUBSTITUTE(SUBSTITUTE(J109:J113," ",""),"0",""),"-",""))+LEN(SUBSTITUTE(SUBSTITUTE(SUBSTITUTE(K109:K113," ",""),"0",""),"-",""))))*1)</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SUMPRODUCT((UPPER(D117:D121)&lt;&gt;"X")*((LEN(SUBSTITUTE(SUBSTITUTE(SUBSTITUTE(B117:B121," ",""),"0",""),"-",""))+LEN(SUBSTITUTE(SUBSTITUTE(SUBSTITUTE(C117:C121," ",""),"0",""),"-","")))&gt;(LEN(SUBSTITUTE(SUBSTITUTE(SUBSTITUTE(E117:E121," ",""),"0",""),"-",""))+LEN(SUBSTITUTE(SUBSTITUTE(SUBSTITUTE(F117:F121," ",""),"0",""),"-",""))))*1)</f>
      </c>
      <c r="C116" s="14" t="str">
        <f>SUMPRODUCT(LEN(SUBSTITUTE(SUBSTITUTE(SUBSTITUTE(B117:B121," ",""),"0",""),"-",""))+LEN(SUBSTITUTE(SUBSTITUTE(SUBSTITUTE(C117:C121," ",""),"0",""),"-","")))</f>
      </c>
      <c r="D116" s="18"/>
      <c r="E116" s="14" t="str">
        <f>SUMPRODUCT(LEN(SUBSTITUTE(SUBSTITUTE(SUBSTITUTE(E117:E121," ",""),"0",""),"-",""))+LEN(SUBSTITUTE(SUBSTITUTE(SUBSTITUTE(F117:F121," ",""),"0",""),"-","")))</f>
      </c>
      <c r="F116" s="14" t="str">
        <f>SUMPRODUCT((UPPER(D117:D121)&lt;&gt;"X")*((LEN(SUBSTITUTE(SUBSTITUTE(SUBSTITUTE(E117:E121," ",""),"0",""),"-",""))+LEN(SUBSTITUTE(SUBSTITUTE(SUBSTITUTE(F117:F121," ",""),"0",""),"-","")))&gt;(LEN(SUBSTITUTE(SUBSTITUTE(SUBSTITUTE(B117:B121," ",""),"0",""),"-",""))+LEN(SUBSTITUTE(SUBSTITUTE(SUBSTITUTE(C117:C121," ",""),"0",""),"-",""))))*1)</f>
      </c>
      <c r="G116" s="14" t="str">
        <f>'data'!$B$11</f>
      </c>
      <c r="I116" s="14" t="str">
        <f>'data'!$B$57</f>
      </c>
      <c r="J116" s="14" t="str">
        <f>SUMPRODUCT((UPPER(L117:L121)&lt;&gt;"X")*((LEN(SUBSTITUTE(SUBSTITUTE(SUBSTITUTE(J117:J121," ",""),"0",""),"-",""))+LEN(SUBSTITUTE(SUBSTITUTE(SUBSTITUTE(K117:K121," ",""),"0",""),"-","")))&gt;(LEN(SUBSTITUTE(SUBSTITUTE(SUBSTITUTE(M117:M121," ",""),"0",""),"-",""))+LEN(SUBSTITUTE(SUBSTITUTE(SUBSTITUTE(N117:N121," ",""),"0",""),"-",""))))*1)</f>
      </c>
      <c r="K116" s="14" t="str">
        <f>SUMPRODUCT(LEN(SUBSTITUTE(SUBSTITUTE(SUBSTITUTE(J117:J121," ",""),"0",""),"-",""))+LEN(SUBSTITUTE(SUBSTITUTE(SUBSTITUTE(K117:K121," ",""),"0",""),"-","")))</f>
      </c>
      <c r="L116" s="18"/>
      <c r="M116" s="14" t="str">
        <f>SUMPRODUCT(LEN(SUBSTITUTE(SUBSTITUTE(SUBSTITUTE(M117:M121," ",""),"0",""),"-",""))+LEN(SUBSTITUTE(SUBSTITUTE(SUBSTITUTE(N117:N121," ",""),"0",""),"-","")))</f>
      </c>
      <c r="N116" s="14" t="str">
        <f>SUMPRODUCT((UPPER(L117:L121)&lt;&gt;"X")*((LEN(SUBSTITUTE(SUBSTITUTE(SUBSTITUTE(M117:M121," ",""),"0",""),"-",""))+LEN(SUBSTITUTE(SUBSTITUTE(SUBSTITUTE(N117:N121," ",""),"0",""),"-","")))&gt;(LEN(SUBSTITUTE(SUBSTITUTE(SUBSTITUTE(J117:J121," ",""),"0",""),"-",""))+LEN(SUBSTITUTE(SUBSTITUTE(SUBSTITUTE(K117:K121," ",""),"0",""),"-",""))))*1)</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SUMPRODUCT((UPPER(D144:D148)&lt;&gt;"X")*((LEN(SUBSTITUTE(SUBSTITUTE(SUBSTITUTE(B144:B148," ",""),"0",""),"-",""))+LEN(SUBSTITUTE(SUBSTITUTE(SUBSTITUTE(C144:C148," ",""),"0",""),"-","")))&gt;(LEN(SUBSTITUTE(SUBSTITUTE(SUBSTITUTE(E144:E148," ",""),"0",""),"-",""))+LEN(SUBSTITUTE(SUBSTITUTE(SUBSTITUTE(F144:F148," ",""),"0",""),"-",""))))*1)</f>
      </c>
      <c r="C143" s="14" t="str">
        <f>SUMPRODUCT(LEN(SUBSTITUTE(SUBSTITUTE(SUBSTITUTE(B144:B148," ",""),"0",""),"-",""))+LEN(SUBSTITUTE(SUBSTITUTE(SUBSTITUTE(C144:C148," ",""),"0",""),"-","")))</f>
      </c>
      <c r="D143" s="18"/>
      <c r="E143" s="14" t="str">
        <f>SUMPRODUCT(LEN(SUBSTITUTE(SUBSTITUTE(SUBSTITUTE(E144:E148," ",""),"0",""),"-",""))+LEN(SUBSTITUTE(SUBSTITUTE(SUBSTITUTE(F144:F148," ",""),"0",""),"-","")))</f>
      </c>
      <c r="F143" s="14" t="str">
        <f>SUMPRODUCT((UPPER(D144:D148)&lt;&gt;"X")*((LEN(SUBSTITUTE(SUBSTITUTE(SUBSTITUTE(E144:E148," ",""),"0",""),"-",""))+LEN(SUBSTITUTE(SUBSTITUTE(SUBSTITUTE(F144:F148," ",""),"0",""),"-","")))&gt;(LEN(SUBSTITUTE(SUBSTITUTE(SUBSTITUTE(B144:B148," ",""),"0",""),"-",""))+LEN(SUBSTITUTE(SUBSTITUTE(SUBSTITUTE(C144:C148," ",""),"0",""),"-",""))))*1)</f>
      </c>
      <c r="G143" s="14" t="str">
        <f>'data'!$B$13</f>
      </c>
      <c r="I143" s="14" t="str">
        <f>'data'!$B$59</f>
      </c>
      <c r="J143" s="14" t="str">
        <f>SUMPRODUCT((UPPER(L144:L148)&lt;&gt;"X")*((LEN(SUBSTITUTE(SUBSTITUTE(SUBSTITUTE(J144:J148," ",""),"0",""),"-",""))+LEN(SUBSTITUTE(SUBSTITUTE(SUBSTITUTE(K144:K148," ",""),"0",""),"-","")))&gt;(LEN(SUBSTITUTE(SUBSTITUTE(SUBSTITUTE(M144:M148," ",""),"0",""),"-",""))+LEN(SUBSTITUTE(SUBSTITUTE(SUBSTITUTE(N144:N148," ",""),"0",""),"-",""))))*1)</f>
      </c>
      <c r="K143" s="14" t="str">
        <f>SUMPRODUCT(LEN(SUBSTITUTE(SUBSTITUTE(SUBSTITUTE(J144:J148," ",""),"0",""),"-",""))+LEN(SUBSTITUTE(SUBSTITUTE(SUBSTITUTE(K144:K148," ",""),"0",""),"-","")))</f>
      </c>
      <c r="L143" s="18"/>
      <c r="M143" s="14" t="str">
        <f>SUMPRODUCT(LEN(SUBSTITUTE(SUBSTITUTE(SUBSTITUTE(M144:M148," ",""),"0",""),"-",""))+LEN(SUBSTITUTE(SUBSTITUTE(SUBSTITUTE(N144:N148," ",""),"0",""),"-","")))</f>
      </c>
      <c r="N143" s="14" t="str">
        <f>SUMPRODUCT((UPPER(L144:L148)&lt;&gt;"X")*((LEN(SUBSTITUTE(SUBSTITUTE(SUBSTITUTE(M144:M148," ",""),"0",""),"-",""))+LEN(SUBSTITUTE(SUBSTITUTE(SUBSTITUTE(N144:N148," ",""),"0",""),"-","")))&gt;(LEN(SUBSTITUTE(SUBSTITUTE(SUBSTITUTE(J144:J148," ",""),"0",""),"-",""))+LEN(SUBSTITUTE(SUBSTITUTE(SUBSTITUTE(K144:K148," ",""),"0",""),"-",""))))*1)</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SUMPRODUCT((UPPER(D152:D156)&lt;&gt;"X")*((LEN(SUBSTITUTE(SUBSTITUTE(SUBSTITUTE(B152:B156," ",""),"0",""),"-",""))+LEN(SUBSTITUTE(SUBSTITUTE(SUBSTITUTE(C152:C156," ",""),"0",""),"-","")))&gt;(LEN(SUBSTITUTE(SUBSTITUTE(SUBSTITUTE(E152:E156," ",""),"0",""),"-",""))+LEN(SUBSTITUTE(SUBSTITUTE(SUBSTITUTE(F152:F156," ",""),"0",""),"-",""))))*1)</f>
      </c>
      <c r="C151" s="14" t="str">
        <f>SUMPRODUCT(LEN(SUBSTITUTE(SUBSTITUTE(SUBSTITUTE(B152:B156," ",""),"0",""),"-",""))+LEN(SUBSTITUTE(SUBSTITUTE(SUBSTITUTE(C152:C156," ",""),"0",""),"-","")))</f>
      </c>
      <c r="D151" s="18"/>
      <c r="E151" s="14" t="str">
        <f>SUMPRODUCT(LEN(SUBSTITUTE(SUBSTITUTE(SUBSTITUTE(E152:E156," ",""),"0",""),"-",""))+LEN(SUBSTITUTE(SUBSTITUTE(SUBSTITUTE(F152:F156," ",""),"0",""),"-","")))</f>
      </c>
      <c r="F151" s="14" t="str">
        <f>SUMPRODUCT((UPPER(D152:D156)&lt;&gt;"X")*((LEN(SUBSTITUTE(SUBSTITUTE(SUBSTITUTE(E152:E156," ",""),"0",""),"-",""))+LEN(SUBSTITUTE(SUBSTITUTE(SUBSTITUTE(F152:F156," ",""),"0",""),"-","")))&gt;(LEN(SUBSTITUTE(SUBSTITUTE(SUBSTITUTE(B152:B156," ",""),"0",""),"-",""))+LEN(SUBSTITUTE(SUBSTITUTE(SUBSTITUTE(C152:C156," ",""),"0",""),"-",""))))*1)</f>
      </c>
      <c r="G151" s="14" t="str">
        <f>'data'!$B$13</f>
      </c>
      <c r="I151" s="14" t="str">
        <f>'data'!$B$60</f>
      </c>
      <c r="J151" s="14" t="str">
        <f>SUMPRODUCT((UPPER(L152:L156)&lt;&gt;"X")*((LEN(SUBSTITUTE(SUBSTITUTE(SUBSTITUTE(J152:J156," ",""),"0",""),"-",""))+LEN(SUBSTITUTE(SUBSTITUTE(SUBSTITUTE(K152:K156," ",""),"0",""),"-","")))&gt;(LEN(SUBSTITUTE(SUBSTITUTE(SUBSTITUTE(M152:M156," ",""),"0",""),"-",""))+LEN(SUBSTITUTE(SUBSTITUTE(SUBSTITUTE(N152:N156," ",""),"0",""),"-",""))))*1)</f>
      </c>
      <c r="K151" s="14" t="str">
        <f>SUMPRODUCT(LEN(SUBSTITUTE(SUBSTITUTE(SUBSTITUTE(J152:J156," ",""),"0",""),"-",""))+LEN(SUBSTITUTE(SUBSTITUTE(SUBSTITUTE(K152:K156," ",""),"0",""),"-","")))</f>
      </c>
      <c r="L151" s="18"/>
      <c r="M151" s="14" t="str">
        <f>SUMPRODUCT(LEN(SUBSTITUTE(SUBSTITUTE(SUBSTITUTE(M152:M156," ",""),"0",""),"-",""))+LEN(SUBSTITUTE(SUBSTITUTE(SUBSTITUTE(N152:N156," ",""),"0",""),"-","")))</f>
      </c>
      <c r="N151" s="14" t="str">
        <f>SUMPRODUCT((UPPER(L152:L156)&lt;&gt;"X")*((LEN(SUBSTITUTE(SUBSTITUTE(SUBSTITUTE(M152:M156," ",""),"0",""),"-",""))+LEN(SUBSTITUTE(SUBSTITUTE(SUBSTITUTE(N152:N156," ",""),"0",""),"-","")))&gt;(LEN(SUBSTITUTE(SUBSTITUTE(SUBSTITUTE(J152:J156," ",""),"0",""),"-",""))+LEN(SUBSTITUTE(SUBSTITUTE(SUBSTITUTE(K152:K156," ",""),"0",""),"-",""))))*1)</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SUMPRODUCT((UPPER(D160:D164)&lt;&gt;"X")*((LEN(SUBSTITUTE(SUBSTITUTE(SUBSTITUTE(B160:B164," ",""),"0",""),"-",""))+LEN(SUBSTITUTE(SUBSTITUTE(SUBSTITUTE(C160:C164," ",""),"0",""),"-","")))&gt;(LEN(SUBSTITUTE(SUBSTITUTE(SUBSTITUTE(E160:E164," ",""),"0",""),"-",""))+LEN(SUBSTITUTE(SUBSTITUTE(SUBSTITUTE(F160:F164," ",""),"0",""),"-",""))))*1)</f>
      </c>
      <c r="C159" s="14" t="str">
        <f>SUMPRODUCT(LEN(SUBSTITUTE(SUBSTITUTE(SUBSTITUTE(B160:B164," ",""),"0",""),"-",""))+LEN(SUBSTITUTE(SUBSTITUTE(SUBSTITUTE(C160:C164," ",""),"0",""),"-","")))</f>
      </c>
      <c r="D159" s="18"/>
      <c r="E159" s="14" t="str">
        <f>SUMPRODUCT(LEN(SUBSTITUTE(SUBSTITUTE(SUBSTITUTE(E160:E164," ",""),"0",""),"-",""))+LEN(SUBSTITUTE(SUBSTITUTE(SUBSTITUTE(F160:F164," ",""),"0",""),"-","")))</f>
      </c>
      <c r="F159" s="14" t="str">
        <f>SUMPRODUCT((UPPER(D160:D164)&lt;&gt;"X")*((LEN(SUBSTITUTE(SUBSTITUTE(SUBSTITUTE(E160:E164," ",""),"0",""),"-",""))+LEN(SUBSTITUTE(SUBSTITUTE(SUBSTITUTE(F160:F164," ",""),"0",""),"-","")))&gt;(LEN(SUBSTITUTE(SUBSTITUTE(SUBSTITUTE(B160:B164," ",""),"0",""),"-",""))+LEN(SUBSTITUTE(SUBSTITUTE(SUBSTITUTE(C160:C164," ",""),"0",""),"-",""))))*1)</f>
      </c>
      <c r="G159" s="14" t="str">
        <f>'data'!$B$14</f>
      </c>
      <c r="I159" s="14" t="str">
        <f>'data'!$B$60</f>
      </c>
      <c r="J159" s="14" t="str">
        <f>SUMPRODUCT((UPPER(L160:L164)&lt;&gt;"X")*((LEN(SUBSTITUTE(SUBSTITUTE(SUBSTITUTE(J160:J164," ",""),"0",""),"-",""))+LEN(SUBSTITUTE(SUBSTITUTE(SUBSTITUTE(K160:K164," ",""),"0",""),"-","")))&gt;(LEN(SUBSTITUTE(SUBSTITUTE(SUBSTITUTE(M160:M164," ",""),"0",""),"-",""))+LEN(SUBSTITUTE(SUBSTITUTE(SUBSTITUTE(N160:N164," ",""),"0",""),"-",""))))*1)</f>
      </c>
      <c r="K159" s="14" t="str">
        <f>SUMPRODUCT(LEN(SUBSTITUTE(SUBSTITUTE(SUBSTITUTE(J160:J164," ",""),"0",""),"-",""))+LEN(SUBSTITUTE(SUBSTITUTE(SUBSTITUTE(K160:K164," ",""),"0",""),"-","")))</f>
      </c>
      <c r="L159" s="18"/>
      <c r="M159" s="14" t="str">
        <f>SUMPRODUCT(LEN(SUBSTITUTE(SUBSTITUTE(SUBSTITUTE(M160:M164," ",""),"0",""),"-",""))+LEN(SUBSTITUTE(SUBSTITUTE(SUBSTITUTE(N160:N164," ",""),"0",""),"-","")))</f>
      </c>
      <c r="N159" s="14" t="str">
        <f>SUMPRODUCT((UPPER(L160:L164)&lt;&gt;"X")*((LEN(SUBSTITUTE(SUBSTITUTE(SUBSTITUTE(M160:M164," ",""),"0",""),"-",""))+LEN(SUBSTITUTE(SUBSTITUTE(SUBSTITUTE(N160:N164," ",""),"0",""),"-","")))&gt;(LEN(SUBSTITUTE(SUBSTITUTE(SUBSTITUTE(J160:J164," ",""),"0",""),"-",""))+LEN(SUBSTITUTE(SUBSTITUTE(SUBSTITUTE(K160:K164," ",""),"0",""),"-",""))))*1)</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SUMPRODUCT((UPPER(D187:D191)&lt;&gt;"X")*((LEN(SUBSTITUTE(SUBSTITUTE(SUBSTITUTE(B187:B191," ",""),"0",""),"-",""))+LEN(SUBSTITUTE(SUBSTITUTE(SUBSTITUTE(C187:C191," ",""),"0",""),"-","")))&gt;(LEN(SUBSTITUTE(SUBSTITUTE(SUBSTITUTE(E187:E191," ",""),"0",""),"-",""))+LEN(SUBSTITUTE(SUBSTITUTE(SUBSTITUTE(F187:F191," ",""),"0",""),"-",""))))*1)</f>
      </c>
      <c r="C186" s="14" t="str">
        <f>SUMPRODUCT(LEN(SUBSTITUTE(SUBSTITUTE(SUBSTITUTE(B187:B191," ",""),"0",""),"-",""))+LEN(SUBSTITUTE(SUBSTITUTE(SUBSTITUTE(C187:C191," ",""),"0",""),"-","")))</f>
      </c>
      <c r="D186" s="18"/>
      <c r="E186" s="14" t="str">
        <f>SUMPRODUCT(LEN(SUBSTITUTE(SUBSTITUTE(SUBSTITUTE(E187:E191," ",""),"0",""),"-",""))+LEN(SUBSTITUTE(SUBSTITUTE(SUBSTITUTE(F187:F191," ",""),"0",""),"-","")))</f>
      </c>
      <c r="F186" s="14" t="str">
        <f>SUMPRODUCT((UPPER(D187:D191)&lt;&gt;"X")*((LEN(SUBSTITUTE(SUBSTITUTE(SUBSTITUTE(E187:E191," ",""),"0",""),"-",""))+LEN(SUBSTITUTE(SUBSTITUTE(SUBSTITUTE(F187:F191," ",""),"0",""),"-","")))&gt;(LEN(SUBSTITUTE(SUBSTITUTE(SUBSTITUTE(B187:B191," ",""),"0",""),"-",""))+LEN(SUBSTITUTE(SUBSTITUTE(SUBSTITUTE(C187:C191," ",""),"0",""),"-",""))))*1)</f>
      </c>
      <c r="G186" s="14" t="str">
        <f>'data'!$B$16</f>
      </c>
      <c r="I186" s="14" t="str">
        <f>'data'!$B$62</f>
      </c>
      <c r="J186" s="14" t="str">
        <f>SUMPRODUCT((UPPER(L187:L191)&lt;&gt;"X")*((LEN(SUBSTITUTE(SUBSTITUTE(SUBSTITUTE(J187:J191," ",""),"0",""),"-",""))+LEN(SUBSTITUTE(SUBSTITUTE(SUBSTITUTE(K187:K191," ",""),"0",""),"-","")))&gt;(LEN(SUBSTITUTE(SUBSTITUTE(SUBSTITUTE(M187:M191," ",""),"0",""),"-",""))+LEN(SUBSTITUTE(SUBSTITUTE(SUBSTITUTE(N187:N191," ",""),"0",""),"-",""))))*1)</f>
      </c>
      <c r="K186" s="14" t="str">
        <f>SUMPRODUCT(LEN(SUBSTITUTE(SUBSTITUTE(SUBSTITUTE(J187:J191," ",""),"0",""),"-",""))+LEN(SUBSTITUTE(SUBSTITUTE(SUBSTITUTE(K187:K191," ",""),"0",""),"-","")))</f>
      </c>
      <c r="L186" s="18"/>
      <c r="M186" s="14" t="str">
        <f>SUMPRODUCT(LEN(SUBSTITUTE(SUBSTITUTE(SUBSTITUTE(M187:M191," ",""),"0",""),"-",""))+LEN(SUBSTITUTE(SUBSTITUTE(SUBSTITUTE(N187:N191," ",""),"0",""),"-","")))</f>
      </c>
      <c r="N186" s="14" t="str">
        <f>SUMPRODUCT((UPPER(L187:L191)&lt;&gt;"X")*((LEN(SUBSTITUTE(SUBSTITUTE(SUBSTITUTE(M187:M191," ",""),"0",""),"-",""))+LEN(SUBSTITUTE(SUBSTITUTE(SUBSTITUTE(N187:N191," ",""),"0",""),"-","")))&gt;(LEN(SUBSTITUTE(SUBSTITUTE(SUBSTITUTE(J187:J191," ",""),"0",""),"-",""))+LEN(SUBSTITUTE(SUBSTITUTE(SUBSTITUTE(K187:K191," ",""),"0",""),"-",""))))*1)</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SUMPRODUCT((UPPER(D195:D199)&lt;&gt;"X")*((LEN(SUBSTITUTE(SUBSTITUTE(SUBSTITUTE(B195:B199," ",""),"0",""),"-",""))+LEN(SUBSTITUTE(SUBSTITUTE(SUBSTITUTE(C195:C199," ",""),"0",""),"-","")))&gt;(LEN(SUBSTITUTE(SUBSTITUTE(SUBSTITUTE(E195:E199," ",""),"0",""),"-",""))+LEN(SUBSTITUTE(SUBSTITUTE(SUBSTITUTE(F195:F199," ",""),"0",""),"-",""))))*1)</f>
      </c>
      <c r="C194" s="14" t="str">
        <f>SUMPRODUCT(LEN(SUBSTITUTE(SUBSTITUTE(SUBSTITUTE(B195:B199," ",""),"0",""),"-",""))+LEN(SUBSTITUTE(SUBSTITUTE(SUBSTITUTE(C195:C199," ",""),"0",""),"-","")))</f>
      </c>
      <c r="D194" s="18"/>
      <c r="E194" s="14" t="str">
        <f>SUMPRODUCT(LEN(SUBSTITUTE(SUBSTITUTE(SUBSTITUTE(E195:E199," ",""),"0",""),"-",""))+LEN(SUBSTITUTE(SUBSTITUTE(SUBSTITUTE(F195:F199," ",""),"0",""),"-","")))</f>
      </c>
      <c r="F194" s="14" t="str">
        <f>SUMPRODUCT((UPPER(D195:D199)&lt;&gt;"X")*((LEN(SUBSTITUTE(SUBSTITUTE(SUBSTITUTE(E195:E199," ",""),"0",""),"-",""))+LEN(SUBSTITUTE(SUBSTITUTE(SUBSTITUTE(F195:F199," ",""),"0",""),"-","")))&gt;(LEN(SUBSTITUTE(SUBSTITUTE(SUBSTITUTE(B195:B199," ",""),"0",""),"-",""))+LEN(SUBSTITUTE(SUBSTITUTE(SUBSTITUTE(C195:C199," ",""),"0",""),"-",""))))*1)</f>
      </c>
      <c r="G194" s="14" t="str">
        <f>'data'!$B$16</f>
      </c>
      <c r="I194" s="14" t="str">
        <f>'data'!$B$63</f>
      </c>
      <c r="J194" s="14" t="str">
        <f>SUMPRODUCT((UPPER(L195:L199)&lt;&gt;"X")*((LEN(SUBSTITUTE(SUBSTITUTE(SUBSTITUTE(J195:J199," ",""),"0",""),"-",""))+LEN(SUBSTITUTE(SUBSTITUTE(SUBSTITUTE(K195:K199," ",""),"0",""),"-","")))&gt;(LEN(SUBSTITUTE(SUBSTITUTE(SUBSTITUTE(M195:M199," ",""),"0",""),"-",""))+LEN(SUBSTITUTE(SUBSTITUTE(SUBSTITUTE(N195:N199," ",""),"0",""),"-",""))))*1)</f>
      </c>
      <c r="K194" s="14" t="str">
        <f>SUMPRODUCT(LEN(SUBSTITUTE(SUBSTITUTE(SUBSTITUTE(J195:J199," ",""),"0",""),"-",""))+LEN(SUBSTITUTE(SUBSTITUTE(SUBSTITUTE(K195:K199," ",""),"0",""),"-","")))</f>
      </c>
      <c r="L194" s="18"/>
      <c r="M194" s="14" t="str">
        <f>SUMPRODUCT(LEN(SUBSTITUTE(SUBSTITUTE(SUBSTITUTE(M195:M199," ",""),"0",""),"-",""))+LEN(SUBSTITUTE(SUBSTITUTE(SUBSTITUTE(N195:N199," ",""),"0",""),"-","")))</f>
      </c>
      <c r="N194" s="14" t="str">
        <f>SUMPRODUCT((UPPER(L195:L199)&lt;&gt;"X")*((LEN(SUBSTITUTE(SUBSTITUTE(SUBSTITUTE(M195:M199," ",""),"0",""),"-",""))+LEN(SUBSTITUTE(SUBSTITUTE(SUBSTITUTE(N195:N199," ",""),"0",""),"-","")))&gt;(LEN(SUBSTITUTE(SUBSTITUTE(SUBSTITUTE(J195:J199," ",""),"0",""),"-",""))+LEN(SUBSTITUTE(SUBSTITUTE(SUBSTITUTE(K195:K199," ",""),"0",""),"-",""))))*1)</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SUMPRODUCT((UPPER(D203:D207)&lt;&gt;"X")*((LEN(SUBSTITUTE(SUBSTITUTE(SUBSTITUTE(B203:B207," ",""),"0",""),"-",""))+LEN(SUBSTITUTE(SUBSTITUTE(SUBSTITUTE(C203:C207," ",""),"0",""),"-","")))&gt;(LEN(SUBSTITUTE(SUBSTITUTE(SUBSTITUTE(E203:E207," ",""),"0",""),"-",""))+LEN(SUBSTITUTE(SUBSTITUTE(SUBSTITUTE(F203:F207," ",""),"0",""),"-",""))))*1)</f>
      </c>
      <c r="C202" s="14" t="str">
        <f>SUMPRODUCT(LEN(SUBSTITUTE(SUBSTITUTE(SUBSTITUTE(B203:B207," ",""),"0",""),"-",""))+LEN(SUBSTITUTE(SUBSTITUTE(SUBSTITUTE(C203:C207," ",""),"0",""),"-","")))</f>
      </c>
      <c r="D202" s="18"/>
      <c r="E202" s="14" t="str">
        <f>SUMPRODUCT(LEN(SUBSTITUTE(SUBSTITUTE(SUBSTITUTE(E203:E207," ",""),"0",""),"-",""))+LEN(SUBSTITUTE(SUBSTITUTE(SUBSTITUTE(F203:F207," ",""),"0",""),"-","")))</f>
      </c>
      <c r="F202" s="14" t="str">
        <f>SUMPRODUCT((UPPER(D203:D207)&lt;&gt;"X")*((LEN(SUBSTITUTE(SUBSTITUTE(SUBSTITUTE(E203:E207," ",""),"0",""),"-",""))+LEN(SUBSTITUTE(SUBSTITUTE(SUBSTITUTE(F203:F207," ",""),"0",""),"-","")))&gt;(LEN(SUBSTITUTE(SUBSTITUTE(SUBSTITUTE(B203:B207," ",""),"0",""),"-",""))+LEN(SUBSTITUTE(SUBSTITUTE(SUBSTITUTE(C203:C207," ",""),"0",""),"-",""))))*1)</f>
      </c>
      <c r="G202" s="14" t="str">
        <f>'data'!$B$17</f>
      </c>
      <c r="I202" s="14" t="str">
        <f>'data'!$B$63</f>
      </c>
      <c r="J202" s="14" t="str">
        <f>SUMPRODUCT((UPPER(L203:L207)&lt;&gt;"X")*((LEN(SUBSTITUTE(SUBSTITUTE(SUBSTITUTE(J203:J207," ",""),"0",""),"-",""))+LEN(SUBSTITUTE(SUBSTITUTE(SUBSTITUTE(K203:K207," ",""),"0",""),"-","")))&gt;(LEN(SUBSTITUTE(SUBSTITUTE(SUBSTITUTE(M203:M207," ",""),"0",""),"-",""))+LEN(SUBSTITUTE(SUBSTITUTE(SUBSTITUTE(N203:N207," ",""),"0",""),"-",""))))*1)</f>
      </c>
      <c r="K202" s="14" t="str">
        <f>SUMPRODUCT(LEN(SUBSTITUTE(SUBSTITUTE(SUBSTITUTE(J203:J207," ",""),"0",""),"-",""))+LEN(SUBSTITUTE(SUBSTITUTE(SUBSTITUTE(K203:K207," ",""),"0",""),"-","")))</f>
      </c>
      <c r="L202" s="18"/>
      <c r="M202" s="14" t="str">
        <f>SUMPRODUCT(LEN(SUBSTITUTE(SUBSTITUTE(SUBSTITUTE(M203:M207," ",""),"0",""),"-",""))+LEN(SUBSTITUTE(SUBSTITUTE(SUBSTITUTE(N203:N207," ",""),"0",""),"-","")))</f>
      </c>
      <c r="N202" s="14" t="str">
        <f>SUMPRODUCT((UPPER(L203:L207)&lt;&gt;"X")*((LEN(SUBSTITUTE(SUBSTITUTE(SUBSTITUTE(M203:M207," ",""),"0",""),"-",""))+LEN(SUBSTITUTE(SUBSTITUTE(SUBSTITUTE(N203:N207," ",""),"0",""),"-","")))&gt;(LEN(SUBSTITUTE(SUBSTITUTE(SUBSTITUTE(J203:J207," ",""),"0",""),"-",""))+LEN(SUBSTITUTE(SUBSTITUTE(SUBSTITUTE(K203:K207," ",""),"0",""),"-",""))))*1)</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SUMPRODUCT((UPPER(D230:D234)&lt;&gt;"X")*((LEN(SUBSTITUTE(SUBSTITUTE(SUBSTITUTE(B230:B234," ",""),"0",""),"-",""))+LEN(SUBSTITUTE(SUBSTITUTE(SUBSTITUTE(C230:C234," ",""),"0",""),"-","")))&gt;(LEN(SUBSTITUTE(SUBSTITUTE(SUBSTITUTE(E230:E234," ",""),"0",""),"-",""))+LEN(SUBSTITUTE(SUBSTITUTE(SUBSTITUTE(F230:F234," ",""),"0",""),"-",""))))*1)</f>
      </c>
      <c r="C229" s="14" t="str">
        <f>SUMPRODUCT(LEN(SUBSTITUTE(SUBSTITUTE(SUBSTITUTE(B230:B234," ",""),"0",""),"-",""))+LEN(SUBSTITUTE(SUBSTITUTE(SUBSTITUTE(C230:C234," ",""),"0",""),"-","")))</f>
      </c>
      <c r="D229" s="18"/>
      <c r="E229" s="14" t="str">
        <f>SUMPRODUCT(LEN(SUBSTITUTE(SUBSTITUTE(SUBSTITUTE(E230:E234," ",""),"0",""),"-",""))+LEN(SUBSTITUTE(SUBSTITUTE(SUBSTITUTE(F230:F234," ",""),"0",""),"-","")))</f>
      </c>
      <c r="F229" s="14" t="str">
        <f>SUMPRODUCT((UPPER(D230:D234)&lt;&gt;"X")*((LEN(SUBSTITUTE(SUBSTITUTE(SUBSTITUTE(E230:E234," ",""),"0",""),"-",""))+LEN(SUBSTITUTE(SUBSTITUTE(SUBSTITUTE(F230:F234," ",""),"0",""),"-","")))&gt;(LEN(SUBSTITUTE(SUBSTITUTE(SUBSTITUTE(B230:B234," ",""),"0",""),"-",""))+LEN(SUBSTITUTE(SUBSTITUTE(SUBSTITUTE(C230:C234," ",""),"0",""),"-",""))))*1)</f>
      </c>
      <c r="G229" s="14" t="str">
        <f>'data'!$B$19</f>
      </c>
      <c r="I229" s="14" t="str">
        <f>'data'!$B$65</f>
      </c>
      <c r="J229" s="14" t="str">
        <f>SUMPRODUCT((UPPER(L230:L234)&lt;&gt;"X")*((LEN(SUBSTITUTE(SUBSTITUTE(SUBSTITUTE(J230:J234," ",""),"0",""),"-",""))+LEN(SUBSTITUTE(SUBSTITUTE(SUBSTITUTE(K230:K234," ",""),"0",""),"-","")))&gt;(LEN(SUBSTITUTE(SUBSTITUTE(SUBSTITUTE(M230:M234," ",""),"0",""),"-",""))+LEN(SUBSTITUTE(SUBSTITUTE(SUBSTITUTE(N230:N234," ",""),"0",""),"-",""))))*1)</f>
      </c>
      <c r="K229" s="14" t="str">
        <f>SUMPRODUCT(LEN(SUBSTITUTE(SUBSTITUTE(SUBSTITUTE(J230:J234," ",""),"0",""),"-",""))+LEN(SUBSTITUTE(SUBSTITUTE(SUBSTITUTE(K230:K234," ",""),"0",""),"-","")))</f>
      </c>
      <c r="L229" s="18"/>
      <c r="M229" s="14" t="str">
        <f>SUMPRODUCT(LEN(SUBSTITUTE(SUBSTITUTE(SUBSTITUTE(M230:M234," ",""),"0",""),"-",""))+LEN(SUBSTITUTE(SUBSTITUTE(SUBSTITUTE(N230:N234," ",""),"0",""),"-","")))</f>
      </c>
      <c r="N229" s="14" t="str">
        <f>SUMPRODUCT((UPPER(L230:L234)&lt;&gt;"X")*((LEN(SUBSTITUTE(SUBSTITUTE(SUBSTITUTE(M230:M234," ",""),"0",""),"-",""))+LEN(SUBSTITUTE(SUBSTITUTE(SUBSTITUTE(N230:N234," ",""),"0",""),"-","")))&gt;(LEN(SUBSTITUTE(SUBSTITUTE(SUBSTITUTE(J230:J234," ",""),"0",""),"-",""))+LEN(SUBSTITUTE(SUBSTITUTE(SUBSTITUTE(K230:K234," ",""),"0",""),"-",""))))*1)</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SUMPRODUCT((UPPER(D238:D242)&lt;&gt;"X")*((LEN(SUBSTITUTE(SUBSTITUTE(SUBSTITUTE(B238:B242," ",""),"0",""),"-",""))+LEN(SUBSTITUTE(SUBSTITUTE(SUBSTITUTE(C238:C242," ",""),"0",""),"-","")))&gt;(LEN(SUBSTITUTE(SUBSTITUTE(SUBSTITUTE(E238:E242," ",""),"0",""),"-",""))+LEN(SUBSTITUTE(SUBSTITUTE(SUBSTITUTE(F238:F242," ",""),"0",""),"-",""))))*1)</f>
      </c>
      <c r="C237" s="14" t="str">
        <f>SUMPRODUCT(LEN(SUBSTITUTE(SUBSTITUTE(SUBSTITUTE(B238:B242," ",""),"0",""),"-",""))+LEN(SUBSTITUTE(SUBSTITUTE(SUBSTITUTE(C238:C242," ",""),"0",""),"-","")))</f>
      </c>
      <c r="D237" s="18"/>
      <c r="E237" s="14" t="str">
        <f>SUMPRODUCT(LEN(SUBSTITUTE(SUBSTITUTE(SUBSTITUTE(E238:E242," ",""),"0",""),"-",""))+LEN(SUBSTITUTE(SUBSTITUTE(SUBSTITUTE(F238:F242," ",""),"0",""),"-","")))</f>
      </c>
      <c r="F237" s="14" t="str">
        <f>SUMPRODUCT((UPPER(D238:D242)&lt;&gt;"X")*((LEN(SUBSTITUTE(SUBSTITUTE(SUBSTITUTE(E238:E242," ",""),"0",""),"-",""))+LEN(SUBSTITUTE(SUBSTITUTE(SUBSTITUTE(F238:F242," ",""),"0",""),"-","")))&gt;(LEN(SUBSTITUTE(SUBSTITUTE(SUBSTITUTE(B238:B242," ",""),"0",""),"-",""))+LEN(SUBSTITUTE(SUBSTITUTE(SUBSTITUTE(C238:C242," ",""),"0",""),"-",""))))*1)</f>
      </c>
      <c r="G237" s="14" t="str">
        <f>'data'!$B$19</f>
      </c>
      <c r="I237" s="14" t="str">
        <f>'data'!$B$66</f>
      </c>
      <c r="J237" s="14" t="str">
        <f>SUMPRODUCT((UPPER(L238:L242)&lt;&gt;"X")*((LEN(SUBSTITUTE(SUBSTITUTE(SUBSTITUTE(J238:J242," ",""),"0",""),"-",""))+LEN(SUBSTITUTE(SUBSTITUTE(SUBSTITUTE(K238:K242," ",""),"0",""),"-","")))&gt;(LEN(SUBSTITUTE(SUBSTITUTE(SUBSTITUTE(M238:M242," ",""),"0",""),"-",""))+LEN(SUBSTITUTE(SUBSTITUTE(SUBSTITUTE(N238:N242," ",""),"0",""),"-",""))))*1)</f>
      </c>
      <c r="K237" s="14" t="str">
        <f>SUMPRODUCT(LEN(SUBSTITUTE(SUBSTITUTE(SUBSTITUTE(J238:J242," ",""),"0",""),"-",""))+LEN(SUBSTITUTE(SUBSTITUTE(SUBSTITUTE(K238:K242," ",""),"0",""),"-","")))</f>
      </c>
      <c r="L237" s="18"/>
      <c r="M237" s="14" t="str">
        <f>SUMPRODUCT(LEN(SUBSTITUTE(SUBSTITUTE(SUBSTITUTE(M238:M242," ",""),"0",""),"-",""))+LEN(SUBSTITUTE(SUBSTITUTE(SUBSTITUTE(N238:N242," ",""),"0",""),"-","")))</f>
      </c>
      <c r="N237" s="14" t="str">
        <f>SUMPRODUCT((UPPER(L238:L242)&lt;&gt;"X")*((LEN(SUBSTITUTE(SUBSTITUTE(SUBSTITUTE(M238:M242," ",""),"0",""),"-",""))+LEN(SUBSTITUTE(SUBSTITUTE(SUBSTITUTE(N238:N242," ",""),"0",""),"-","")))&gt;(LEN(SUBSTITUTE(SUBSTITUTE(SUBSTITUTE(J238:J242," ",""),"0",""),"-",""))+LEN(SUBSTITUTE(SUBSTITUTE(SUBSTITUTE(K238:K242," ",""),"0",""),"-",""))))*1)</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SUMPRODUCT((UPPER(D246:D250)&lt;&gt;"X")*((LEN(SUBSTITUTE(SUBSTITUTE(SUBSTITUTE(B246:B250," ",""),"0",""),"-",""))+LEN(SUBSTITUTE(SUBSTITUTE(SUBSTITUTE(C246:C250," ",""),"0",""),"-","")))&gt;(LEN(SUBSTITUTE(SUBSTITUTE(SUBSTITUTE(E246:E250," ",""),"0",""),"-",""))+LEN(SUBSTITUTE(SUBSTITUTE(SUBSTITUTE(F246:F250," ",""),"0",""),"-",""))))*1)</f>
      </c>
      <c r="C245" s="14" t="str">
        <f>SUMPRODUCT(LEN(SUBSTITUTE(SUBSTITUTE(SUBSTITUTE(B246:B250," ",""),"0",""),"-",""))+LEN(SUBSTITUTE(SUBSTITUTE(SUBSTITUTE(C246:C250," ",""),"0",""),"-","")))</f>
      </c>
      <c r="D245" s="18"/>
      <c r="E245" s="14" t="str">
        <f>SUMPRODUCT(LEN(SUBSTITUTE(SUBSTITUTE(SUBSTITUTE(E246:E250," ",""),"0",""),"-",""))+LEN(SUBSTITUTE(SUBSTITUTE(SUBSTITUTE(F246:F250," ",""),"0",""),"-","")))</f>
      </c>
      <c r="F245" s="14" t="str">
        <f>SUMPRODUCT((UPPER(D246:D250)&lt;&gt;"X")*((LEN(SUBSTITUTE(SUBSTITUTE(SUBSTITUTE(E246:E250," ",""),"0",""),"-",""))+LEN(SUBSTITUTE(SUBSTITUTE(SUBSTITUTE(F246:F250," ",""),"0",""),"-","")))&gt;(LEN(SUBSTITUTE(SUBSTITUTE(SUBSTITUTE(B246:B250," ",""),"0",""),"-",""))+LEN(SUBSTITUTE(SUBSTITUTE(SUBSTITUTE(C246:C250," ",""),"0",""),"-",""))))*1)</f>
      </c>
      <c r="G245" s="14" t="str">
        <f>'data'!$B$20</f>
      </c>
      <c r="I245" s="14" t="str">
        <f>'data'!$B$66</f>
      </c>
      <c r="J245" s="14" t="str">
        <f>SUMPRODUCT((UPPER(L246:L250)&lt;&gt;"X")*((LEN(SUBSTITUTE(SUBSTITUTE(SUBSTITUTE(J246:J250," ",""),"0",""),"-",""))+LEN(SUBSTITUTE(SUBSTITUTE(SUBSTITUTE(K246:K250," ",""),"0",""),"-","")))&gt;(LEN(SUBSTITUTE(SUBSTITUTE(SUBSTITUTE(M246:M250," ",""),"0",""),"-",""))+LEN(SUBSTITUTE(SUBSTITUTE(SUBSTITUTE(N246:N250," ",""),"0",""),"-",""))))*1)</f>
      </c>
      <c r="K245" s="14" t="str">
        <f>SUMPRODUCT(LEN(SUBSTITUTE(SUBSTITUTE(SUBSTITUTE(J246:J250," ",""),"0",""),"-",""))+LEN(SUBSTITUTE(SUBSTITUTE(SUBSTITUTE(K246:K250," ",""),"0",""),"-","")))</f>
      </c>
      <c r="L245" s="18"/>
      <c r="M245" s="14" t="str">
        <f>SUMPRODUCT(LEN(SUBSTITUTE(SUBSTITUTE(SUBSTITUTE(M246:M250," ",""),"0",""),"-",""))+LEN(SUBSTITUTE(SUBSTITUTE(SUBSTITUTE(N246:N250," ",""),"0",""),"-","")))</f>
      </c>
      <c r="N245" s="14" t="str">
        <f>SUMPRODUCT((UPPER(L246:L250)&lt;&gt;"X")*((LEN(SUBSTITUTE(SUBSTITUTE(SUBSTITUTE(M246:M250," ",""),"0",""),"-",""))+LEN(SUBSTITUTE(SUBSTITUTE(SUBSTITUTE(N246:N250," ",""),"0",""),"-","")))&gt;(LEN(SUBSTITUTE(SUBSTITUTE(SUBSTITUTE(J246:J250," ",""),"0",""),"-",""))+LEN(SUBSTITUTE(SUBSTITUTE(SUBSTITUTE(K246:K250," ",""),"0",""),"-",""))))*1)</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SUMPRODUCT((UPPER(D273:D277)&lt;&gt;"X")*((LEN(SUBSTITUTE(SUBSTITUTE(SUBSTITUTE(B273:B277," ",""),"0",""),"-",""))+LEN(SUBSTITUTE(SUBSTITUTE(SUBSTITUTE(C273:C277," ",""),"0",""),"-","")))&gt;(LEN(SUBSTITUTE(SUBSTITUTE(SUBSTITUTE(E273:E277," ",""),"0",""),"-",""))+LEN(SUBSTITUTE(SUBSTITUTE(SUBSTITUTE(F273:F277," ",""),"0",""),"-",""))))*1)</f>
      </c>
      <c r="C272" s="14" t="str">
        <f>SUMPRODUCT(LEN(SUBSTITUTE(SUBSTITUTE(SUBSTITUTE(B273:B277," ",""),"0",""),"-",""))+LEN(SUBSTITUTE(SUBSTITUTE(SUBSTITUTE(C273:C277," ",""),"0",""),"-","")))</f>
      </c>
      <c r="D272" s="18"/>
      <c r="E272" s="14" t="str">
        <f>SUMPRODUCT(LEN(SUBSTITUTE(SUBSTITUTE(SUBSTITUTE(E273:E277," ",""),"0",""),"-",""))+LEN(SUBSTITUTE(SUBSTITUTE(SUBSTITUTE(F273:F277," ",""),"0",""),"-","")))</f>
      </c>
      <c r="F272" s="14" t="str">
        <f>SUMPRODUCT((UPPER(D273:D277)&lt;&gt;"X")*((LEN(SUBSTITUTE(SUBSTITUTE(SUBSTITUTE(E273:E277," ",""),"0",""),"-",""))+LEN(SUBSTITUTE(SUBSTITUTE(SUBSTITUTE(F273:F277," ",""),"0",""),"-","")))&gt;(LEN(SUBSTITUTE(SUBSTITUTE(SUBSTITUTE(B273:B277," ",""),"0",""),"-",""))+LEN(SUBSTITUTE(SUBSTITUTE(SUBSTITUTE(C273:C277," ",""),"0",""),"-",""))))*1)</f>
      </c>
      <c r="G272" s="14" t="str">
        <f>'data'!$B$22</f>
      </c>
      <c r="I272" s="14" t="str">
        <f>'data'!$B$68</f>
      </c>
      <c r="J272" s="14" t="str">
        <f>SUMPRODUCT((UPPER(L273:L277)&lt;&gt;"X")*((LEN(SUBSTITUTE(SUBSTITUTE(SUBSTITUTE(J273:J277," ",""),"0",""),"-",""))+LEN(SUBSTITUTE(SUBSTITUTE(SUBSTITUTE(K273:K277," ",""),"0",""),"-","")))&gt;(LEN(SUBSTITUTE(SUBSTITUTE(SUBSTITUTE(M273:M277," ",""),"0",""),"-",""))+LEN(SUBSTITUTE(SUBSTITUTE(SUBSTITUTE(N273:N277," ",""),"0",""),"-",""))))*1)</f>
      </c>
      <c r="K272" s="14" t="str">
        <f>SUMPRODUCT(LEN(SUBSTITUTE(SUBSTITUTE(SUBSTITUTE(J273:J277," ",""),"0",""),"-",""))+LEN(SUBSTITUTE(SUBSTITUTE(SUBSTITUTE(K273:K277," ",""),"0",""),"-","")))</f>
      </c>
      <c r="L272" s="18"/>
      <c r="M272" s="14" t="str">
        <f>SUMPRODUCT(LEN(SUBSTITUTE(SUBSTITUTE(SUBSTITUTE(M273:M277," ",""),"0",""),"-",""))+LEN(SUBSTITUTE(SUBSTITUTE(SUBSTITUTE(N273:N277," ",""),"0",""),"-","")))</f>
      </c>
      <c r="N272" s="14" t="str">
        <f>SUMPRODUCT((UPPER(L273:L277)&lt;&gt;"X")*((LEN(SUBSTITUTE(SUBSTITUTE(SUBSTITUTE(M273:M277," ",""),"0",""),"-",""))+LEN(SUBSTITUTE(SUBSTITUTE(SUBSTITUTE(N273:N277," ",""),"0",""),"-","")))&gt;(LEN(SUBSTITUTE(SUBSTITUTE(SUBSTITUTE(J273:J277," ",""),"0",""),"-",""))+LEN(SUBSTITUTE(SUBSTITUTE(SUBSTITUTE(K273:K277," ",""),"0",""),"-",""))))*1)</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SUMPRODUCT((UPPER(D281:D285)&lt;&gt;"X")*((LEN(SUBSTITUTE(SUBSTITUTE(SUBSTITUTE(B281:B285," ",""),"0",""),"-",""))+LEN(SUBSTITUTE(SUBSTITUTE(SUBSTITUTE(C281:C285," ",""),"0",""),"-","")))&gt;(LEN(SUBSTITUTE(SUBSTITUTE(SUBSTITUTE(E281:E285," ",""),"0",""),"-",""))+LEN(SUBSTITUTE(SUBSTITUTE(SUBSTITUTE(F281:F285," ",""),"0",""),"-",""))))*1)</f>
      </c>
      <c r="C280" s="14" t="str">
        <f>SUMPRODUCT(LEN(SUBSTITUTE(SUBSTITUTE(SUBSTITUTE(B281:B285," ",""),"0",""),"-",""))+LEN(SUBSTITUTE(SUBSTITUTE(SUBSTITUTE(C281:C285," ",""),"0",""),"-","")))</f>
      </c>
      <c r="D280" s="18"/>
      <c r="E280" s="14" t="str">
        <f>SUMPRODUCT(LEN(SUBSTITUTE(SUBSTITUTE(SUBSTITUTE(E281:E285," ",""),"0",""),"-",""))+LEN(SUBSTITUTE(SUBSTITUTE(SUBSTITUTE(F281:F285," ",""),"0",""),"-","")))</f>
      </c>
      <c r="F280" s="14" t="str">
        <f>SUMPRODUCT((UPPER(D281:D285)&lt;&gt;"X")*((LEN(SUBSTITUTE(SUBSTITUTE(SUBSTITUTE(E281:E285," ",""),"0",""),"-",""))+LEN(SUBSTITUTE(SUBSTITUTE(SUBSTITUTE(F281:F285," ",""),"0",""),"-","")))&gt;(LEN(SUBSTITUTE(SUBSTITUTE(SUBSTITUTE(B281:B285," ",""),"0",""),"-",""))+LEN(SUBSTITUTE(SUBSTITUTE(SUBSTITUTE(C281:C285," ",""),"0",""),"-",""))))*1)</f>
      </c>
      <c r="G280" s="14" t="str">
        <f>'data'!$B$22</f>
      </c>
      <c r="I280" s="14" t="str">
        <f>'data'!$B$69</f>
      </c>
      <c r="J280" s="14" t="str">
        <f>SUMPRODUCT((UPPER(L281:L285)&lt;&gt;"X")*((LEN(SUBSTITUTE(SUBSTITUTE(SUBSTITUTE(J281:J285," ",""),"0",""),"-",""))+LEN(SUBSTITUTE(SUBSTITUTE(SUBSTITUTE(K281:K285," ",""),"0",""),"-","")))&gt;(LEN(SUBSTITUTE(SUBSTITUTE(SUBSTITUTE(M281:M285," ",""),"0",""),"-",""))+LEN(SUBSTITUTE(SUBSTITUTE(SUBSTITUTE(N281:N285," ",""),"0",""),"-",""))))*1)</f>
      </c>
      <c r="K280" s="14" t="str">
        <f>SUMPRODUCT(LEN(SUBSTITUTE(SUBSTITUTE(SUBSTITUTE(J281:J285," ",""),"0",""),"-",""))+LEN(SUBSTITUTE(SUBSTITUTE(SUBSTITUTE(K281:K285," ",""),"0",""),"-","")))</f>
      </c>
      <c r="L280" s="18"/>
      <c r="M280" s="14" t="str">
        <f>SUMPRODUCT(LEN(SUBSTITUTE(SUBSTITUTE(SUBSTITUTE(M281:M285," ",""),"0",""),"-",""))+LEN(SUBSTITUTE(SUBSTITUTE(SUBSTITUTE(N281:N285," ",""),"0",""),"-","")))</f>
      </c>
      <c r="N280" s="14" t="str">
        <f>SUMPRODUCT((UPPER(L281:L285)&lt;&gt;"X")*((LEN(SUBSTITUTE(SUBSTITUTE(SUBSTITUTE(M281:M285," ",""),"0",""),"-",""))+LEN(SUBSTITUTE(SUBSTITUTE(SUBSTITUTE(N281:N285," ",""),"0",""),"-","")))&gt;(LEN(SUBSTITUTE(SUBSTITUTE(SUBSTITUTE(J281:J285," ",""),"0",""),"-",""))+LEN(SUBSTITUTE(SUBSTITUTE(SUBSTITUTE(K281:K285," ",""),"0",""),"-",""))))*1)</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SUMPRODUCT((UPPER(D289:D293)&lt;&gt;"X")*((LEN(SUBSTITUTE(SUBSTITUTE(SUBSTITUTE(B289:B293," ",""),"0",""),"-",""))+LEN(SUBSTITUTE(SUBSTITUTE(SUBSTITUTE(C289:C293," ",""),"0",""),"-","")))&gt;(LEN(SUBSTITUTE(SUBSTITUTE(SUBSTITUTE(E289:E293," ",""),"0",""),"-",""))+LEN(SUBSTITUTE(SUBSTITUTE(SUBSTITUTE(F289:F293," ",""),"0",""),"-",""))))*1)</f>
      </c>
      <c r="C288" s="14" t="str">
        <f>SUMPRODUCT(LEN(SUBSTITUTE(SUBSTITUTE(SUBSTITUTE(B289:B293," ",""),"0",""),"-",""))+LEN(SUBSTITUTE(SUBSTITUTE(SUBSTITUTE(C289:C293," ",""),"0",""),"-","")))</f>
      </c>
      <c r="D288" s="18"/>
      <c r="E288" s="14" t="str">
        <f>SUMPRODUCT(LEN(SUBSTITUTE(SUBSTITUTE(SUBSTITUTE(E289:E293," ",""),"0",""),"-",""))+LEN(SUBSTITUTE(SUBSTITUTE(SUBSTITUTE(F289:F293," ",""),"0",""),"-","")))</f>
      </c>
      <c r="F288" s="14" t="str">
        <f>SUMPRODUCT((UPPER(D289:D293)&lt;&gt;"X")*((LEN(SUBSTITUTE(SUBSTITUTE(SUBSTITUTE(E289:E293," ",""),"0",""),"-",""))+LEN(SUBSTITUTE(SUBSTITUTE(SUBSTITUTE(F289:F293," ",""),"0",""),"-","")))&gt;(LEN(SUBSTITUTE(SUBSTITUTE(SUBSTITUTE(B289:B293," ",""),"0",""),"-",""))+LEN(SUBSTITUTE(SUBSTITUTE(SUBSTITUTE(C289:C293," ",""),"0",""),"-",""))))*1)</f>
      </c>
      <c r="G288" s="14" t="str">
        <f>'data'!$B$23</f>
      </c>
      <c r="I288" s="14" t="str">
        <f>'data'!$B$69</f>
      </c>
      <c r="J288" s="14" t="str">
        <f>SUMPRODUCT((UPPER(L289:L293)&lt;&gt;"X")*((LEN(SUBSTITUTE(SUBSTITUTE(SUBSTITUTE(J289:J293," ",""),"0",""),"-",""))+LEN(SUBSTITUTE(SUBSTITUTE(SUBSTITUTE(K289:K293," ",""),"0",""),"-","")))&gt;(LEN(SUBSTITUTE(SUBSTITUTE(SUBSTITUTE(M289:M293," ",""),"0",""),"-",""))+LEN(SUBSTITUTE(SUBSTITUTE(SUBSTITUTE(N289:N293," ",""),"0",""),"-",""))))*1)</f>
      </c>
      <c r="K288" s="14" t="str">
        <f>SUMPRODUCT(LEN(SUBSTITUTE(SUBSTITUTE(SUBSTITUTE(J289:J293," ",""),"0",""),"-",""))+LEN(SUBSTITUTE(SUBSTITUTE(SUBSTITUTE(K289:K293," ",""),"0",""),"-","")))</f>
      </c>
      <c r="L288" s="18"/>
      <c r="M288" s="14" t="str">
        <f>SUMPRODUCT(LEN(SUBSTITUTE(SUBSTITUTE(SUBSTITUTE(M289:M293," ",""),"0",""),"-",""))+LEN(SUBSTITUTE(SUBSTITUTE(SUBSTITUTE(N289:N293," ",""),"0",""),"-","")))</f>
      </c>
      <c r="N288" s="14" t="str">
        <f>SUMPRODUCT((UPPER(L289:L293)&lt;&gt;"X")*((LEN(SUBSTITUTE(SUBSTITUTE(SUBSTITUTE(M289:M293," ",""),"0",""),"-",""))+LEN(SUBSTITUTE(SUBSTITUTE(SUBSTITUTE(N289:N293," ",""),"0",""),"-","")))&gt;(LEN(SUBSTITUTE(SUBSTITUTE(SUBSTITUTE(J289:J293," ",""),"0",""),"-",""))+LEN(SUBSTITUTE(SUBSTITUTE(SUBSTITUTE(K289:K293," ",""),"0",""),"-",""))))*1)</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SUMPRODUCT((UPPER(D316:D320)&lt;&gt;"X")*((LEN(SUBSTITUTE(SUBSTITUTE(SUBSTITUTE(B316:B320," ",""),"0",""),"-",""))+LEN(SUBSTITUTE(SUBSTITUTE(SUBSTITUTE(C316:C320," ",""),"0",""),"-","")))&gt;(LEN(SUBSTITUTE(SUBSTITUTE(SUBSTITUTE(E316:E320," ",""),"0",""),"-",""))+LEN(SUBSTITUTE(SUBSTITUTE(SUBSTITUTE(F316:F320," ",""),"0",""),"-",""))))*1)</f>
      </c>
      <c r="C315" s="14" t="str">
        <f>SUMPRODUCT(LEN(SUBSTITUTE(SUBSTITUTE(SUBSTITUTE(B316:B320," ",""),"0",""),"-",""))+LEN(SUBSTITUTE(SUBSTITUTE(SUBSTITUTE(C316:C320," ",""),"0",""),"-","")))</f>
      </c>
      <c r="D315" s="18"/>
      <c r="E315" s="14" t="str">
        <f>SUMPRODUCT(LEN(SUBSTITUTE(SUBSTITUTE(SUBSTITUTE(E316:E320," ",""),"0",""),"-",""))+LEN(SUBSTITUTE(SUBSTITUTE(SUBSTITUTE(F316:F320," ",""),"0",""),"-","")))</f>
      </c>
      <c r="F315" s="14" t="str">
        <f>SUMPRODUCT((UPPER(D316:D320)&lt;&gt;"X")*((LEN(SUBSTITUTE(SUBSTITUTE(SUBSTITUTE(E316:E320," ",""),"0",""),"-",""))+LEN(SUBSTITUTE(SUBSTITUTE(SUBSTITUTE(F316:F320," ",""),"0",""),"-","")))&gt;(LEN(SUBSTITUTE(SUBSTITUTE(SUBSTITUTE(B316:B320," ",""),"0",""),"-",""))+LEN(SUBSTITUTE(SUBSTITUTE(SUBSTITUTE(C316:C320," ",""),"0",""),"-",""))))*1)</f>
      </c>
      <c r="G315" s="14" t="str">
        <f>'data'!$B$25</f>
      </c>
      <c r="I315" s="14" t="str">
        <f>'data'!$B$71</f>
      </c>
      <c r="J315" s="14" t="str">
        <f>SUMPRODUCT((UPPER(L316:L320)&lt;&gt;"X")*((LEN(SUBSTITUTE(SUBSTITUTE(SUBSTITUTE(J316:J320," ",""),"0",""),"-",""))+LEN(SUBSTITUTE(SUBSTITUTE(SUBSTITUTE(K316:K320," ",""),"0",""),"-","")))&gt;(LEN(SUBSTITUTE(SUBSTITUTE(SUBSTITUTE(M316:M320," ",""),"0",""),"-",""))+LEN(SUBSTITUTE(SUBSTITUTE(SUBSTITUTE(N316:N320," ",""),"0",""),"-",""))))*1)</f>
      </c>
      <c r="K315" s="14" t="str">
        <f>SUMPRODUCT(LEN(SUBSTITUTE(SUBSTITUTE(SUBSTITUTE(J316:J320," ",""),"0",""),"-",""))+LEN(SUBSTITUTE(SUBSTITUTE(SUBSTITUTE(K316:K320," ",""),"0",""),"-","")))</f>
      </c>
      <c r="L315" s="18"/>
      <c r="M315" s="14" t="str">
        <f>SUMPRODUCT(LEN(SUBSTITUTE(SUBSTITUTE(SUBSTITUTE(M316:M320," ",""),"0",""),"-",""))+LEN(SUBSTITUTE(SUBSTITUTE(SUBSTITUTE(N316:N320," ",""),"0",""),"-","")))</f>
      </c>
      <c r="N315" s="14" t="str">
        <f>SUMPRODUCT((UPPER(L316:L320)&lt;&gt;"X")*((LEN(SUBSTITUTE(SUBSTITUTE(SUBSTITUTE(M316:M320," ",""),"0",""),"-",""))+LEN(SUBSTITUTE(SUBSTITUTE(SUBSTITUTE(N316:N320," ",""),"0",""),"-","")))&gt;(LEN(SUBSTITUTE(SUBSTITUTE(SUBSTITUTE(J316:J320," ",""),"0",""),"-",""))+LEN(SUBSTITUTE(SUBSTITUTE(SUBSTITUTE(K316:K320," ",""),"0",""),"-",""))))*1)</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SUMPRODUCT((UPPER(D324:D328)&lt;&gt;"X")*((LEN(SUBSTITUTE(SUBSTITUTE(SUBSTITUTE(B324:B328," ",""),"0",""),"-",""))+LEN(SUBSTITUTE(SUBSTITUTE(SUBSTITUTE(C324:C328," ",""),"0",""),"-","")))&gt;(LEN(SUBSTITUTE(SUBSTITUTE(SUBSTITUTE(E324:E328," ",""),"0",""),"-",""))+LEN(SUBSTITUTE(SUBSTITUTE(SUBSTITUTE(F324:F328," ",""),"0",""),"-",""))))*1)</f>
      </c>
      <c r="C323" s="14" t="str">
        <f>SUMPRODUCT(LEN(SUBSTITUTE(SUBSTITUTE(SUBSTITUTE(B324:B328," ",""),"0",""),"-",""))+LEN(SUBSTITUTE(SUBSTITUTE(SUBSTITUTE(C324:C328," ",""),"0",""),"-","")))</f>
      </c>
      <c r="D323" s="18"/>
      <c r="E323" s="14" t="str">
        <f>SUMPRODUCT(LEN(SUBSTITUTE(SUBSTITUTE(SUBSTITUTE(E324:E328," ",""),"0",""),"-",""))+LEN(SUBSTITUTE(SUBSTITUTE(SUBSTITUTE(F324:F328," ",""),"0",""),"-","")))</f>
      </c>
      <c r="F323" s="14" t="str">
        <f>SUMPRODUCT((UPPER(D324:D328)&lt;&gt;"X")*((LEN(SUBSTITUTE(SUBSTITUTE(SUBSTITUTE(E324:E328," ",""),"0",""),"-",""))+LEN(SUBSTITUTE(SUBSTITUTE(SUBSTITUTE(F324:F328," ",""),"0",""),"-","")))&gt;(LEN(SUBSTITUTE(SUBSTITUTE(SUBSTITUTE(B324:B328," ",""),"0",""),"-",""))+LEN(SUBSTITUTE(SUBSTITUTE(SUBSTITUTE(C324:C328," ",""),"0",""),"-",""))))*1)</f>
      </c>
      <c r="G323" s="14" t="str">
        <f>'data'!$B$25</f>
      </c>
      <c r="I323" s="14" t="str">
        <f>'data'!$B$72</f>
      </c>
      <c r="J323" s="14" t="str">
        <f>SUMPRODUCT((UPPER(L324:L328)&lt;&gt;"X")*((LEN(SUBSTITUTE(SUBSTITUTE(SUBSTITUTE(J324:J328," ",""),"0",""),"-",""))+LEN(SUBSTITUTE(SUBSTITUTE(SUBSTITUTE(K324:K328," ",""),"0",""),"-","")))&gt;(LEN(SUBSTITUTE(SUBSTITUTE(SUBSTITUTE(M324:M328," ",""),"0",""),"-",""))+LEN(SUBSTITUTE(SUBSTITUTE(SUBSTITUTE(N324:N328," ",""),"0",""),"-",""))))*1)</f>
      </c>
      <c r="K323" s="14" t="str">
        <f>SUMPRODUCT(LEN(SUBSTITUTE(SUBSTITUTE(SUBSTITUTE(J324:J328," ",""),"0",""),"-",""))+LEN(SUBSTITUTE(SUBSTITUTE(SUBSTITUTE(K324:K328," ",""),"0",""),"-","")))</f>
      </c>
      <c r="L323" s="18"/>
      <c r="M323" s="14" t="str">
        <f>SUMPRODUCT(LEN(SUBSTITUTE(SUBSTITUTE(SUBSTITUTE(M324:M328," ",""),"0",""),"-",""))+LEN(SUBSTITUTE(SUBSTITUTE(SUBSTITUTE(N324:N328," ",""),"0",""),"-","")))</f>
      </c>
      <c r="N323" s="14" t="str">
        <f>SUMPRODUCT((UPPER(L324:L328)&lt;&gt;"X")*((LEN(SUBSTITUTE(SUBSTITUTE(SUBSTITUTE(M324:M328," ",""),"0",""),"-",""))+LEN(SUBSTITUTE(SUBSTITUTE(SUBSTITUTE(N324:N328," ",""),"0",""),"-","")))&gt;(LEN(SUBSTITUTE(SUBSTITUTE(SUBSTITUTE(J324:J328," ",""),"0",""),"-",""))+LEN(SUBSTITUTE(SUBSTITUTE(SUBSTITUTE(K324:K328," ",""),"0",""),"-",""))))*1)</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SUMPRODUCT((UPPER(D332:D336)&lt;&gt;"X")*((LEN(SUBSTITUTE(SUBSTITUTE(SUBSTITUTE(B332:B336," ",""),"0",""),"-",""))+LEN(SUBSTITUTE(SUBSTITUTE(SUBSTITUTE(C332:C336," ",""),"0",""),"-","")))&gt;(LEN(SUBSTITUTE(SUBSTITUTE(SUBSTITUTE(E332:E336," ",""),"0",""),"-",""))+LEN(SUBSTITUTE(SUBSTITUTE(SUBSTITUTE(F332:F336," ",""),"0",""),"-",""))))*1)</f>
      </c>
      <c r="C331" s="14" t="str">
        <f>SUMPRODUCT(LEN(SUBSTITUTE(SUBSTITUTE(SUBSTITUTE(B332:B336," ",""),"0",""),"-",""))+LEN(SUBSTITUTE(SUBSTITUTE(SUBSTITUTE(C332:C336," ",""),"0",""),"-","")))</f>
      </c>
      <c r="D331" s="18"/>
      <c r="E331" s="14" t="str">
        <f>SUMPRODUCT(LEN(SUBSTITUTE(SUBSTITUTE(SUBSTITUTE(E332:E336," ",""),"0",""),"-",""))+LEN(SUBSTITUTE(SUBSTITUTE(SUBSTITUTE(F332:F336," ",""),"0",""),"-","")))</f>
      </c>
      <c r="F331" s="14" t="str">
        <f>SUMPRODUCT((UPPER(D332:D336)&lt;&gt;"X")*((LEN(SUBSTITUTE(SUBSTITUTE(SUBSTITUTE(E332:E336," ",""),"0",""),"-",""))+LEN(SUBSTITUTE(SUBSTITUTE(SUBSTITUTE(F332:F336," ",""),"0",""),"-","")))&gt;(LEN(SUBSTITUTE(SUBSTITUTE(SUBSTITUTE(B332:B336," ",""),"0",""),"-",""))+LEN(SUBSTITUTE(SUBSTITUTE(SUBSTITUTE(C332:C336," ",""),"0",""),"-",""))))*1)</f>
      </c>
      <c r="G331" s="14" t="str">
        <f>'data'!$B$26</f>
      </c>
      <c r="I331" s="14" t="str">
        <f>'data'!$B$72</f>
      </c>
      <c r="J331" s="14" t="str">
        <f>SUMPRODUCT((UPPER(L332:L336)&lt;&gt;"X")*((LEN(SUBSTITUTE(SUBSTITUTE(SUBSTITUTE(J332:J336," ",""),"0",""),"-",""))+LEN(SUBSTITUTE(SUBSTITUTE(SUBSTITUTE(K332:K336," ",""),"0",""),"-","")))&gt;(LEN(SUBSTITUTE(SUBSTITUTE(SUBSTITUTE(M332:M336," ",""),"0",""),"-",""))+LEN(SUBSTITUTE(SUBSTITUTE(SUBSTITUTE(N332:N336," ",""),"0",""),"-",""))))*1)</f>
      </c>
      <c r="K331" s="14" t="str">
        <f>SUMPRODUCT(LEN(SUBSTITUTE(SUBSTITUTE(SUBSTITUTE(J332:J336," ",""),"0",""),"-",""))+LEN(SUBSTITUTE(SUBSTITUTE(SUBSTITUTE(K332:K336," ",""),"0",""),"-","")))</f>
      </c>
      <c r="L331" s="18"/>
      <c r="M331" s="14" t="str">
        <f>SUMPRODUCT(LEN(SUBSTITUTE(SUBSTITUTE(SUBSTITUTE(M332:M336," ",""),"0",""),"-",""))+LEN(SUBSTITUTE(SUBSTITUTE(SUBSTITUTE(N332:N336," ",""),"0",""),"-","")))</f>
      </c>
      <c r="N331" s="14" t="str">
        <f>SUMPRODUCT((UPPER(L332:L336)&lt;&gt;"X")*((LEN(SUBSTITUTE(SUBSTITUTE(SUBSTITUTE(M332:M336," ",""),"0",""),"-",""))+LEN(SUBSTITUTE(SUBSTITUTE(SUBSTITUTE(N332:N336," ",""),"0",""),"-","")))&gt;(LEN(SUBSTITUTE(SUBSTITUTE(SUBSTITUTE(J332:J336," ",""),"0",""),"-",""))+LEN(SUBSTITUTE(SUBSTITUTE(SUBSTITUTE(K332:K336," ",""),"0",""),"-",""))))*1)</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SUMPRODUCT((UPPER(D359:D363)&lt;&gt;"X")*((LEN(SUBSTITUTE(SUBSTITUTE(SUBSTITUTE(B359:B363," ",""),"0",""),"-",""))+LEN(SUBSTITUTE(SUBSTITUTE(SUBSTITUTE(C359:C363," ",""),"0",""),"-","")))&gt;(LEN(SUBSTITUTE(SUBSTITUTE(SUBSTITUTE(E359:E363," ",""),"0",""),"-",""))+LEN(SUBSTITUTE(SUBSTITUTE(SUBSTITUTE(F359:F363," ",""),"0",""),"-",""))))*1)</f>
      </c>
      <c r="C358" s="14" t="str">
        <f>SUMPRODUCT(LEN(SUBSTITUTE(SUBSTITUTE(SUBSTITUTE(B359:B363," ",""),"0",""),"-",""))+LEN(SUBSTITUTE(SUBSTITUTE(SUBSTITUTE(C359:C363," ",""),"0",""),"-","")))</f>
      </c>
      <c r="D358" s="18"/>
      <c r="E358" s="14" t="str">
        <f>SUMPRODUCT(LEN(SUBSTITUTE(SUBSTITUTE(SUBSTITUTE(E359:E363," ",""),"0",""),"-",""))+LEN(SUBSTITUTE(SUBSTITUTE(SUBSTITUTE(F359:F363," ",""),"0",""),"-","")))</f>
      </c>
      <c r="F358" s="14" t="str">
        <f>SUMPRODUCT((UPPER(D359:D363)&lt;&gt;"X")*((LEN(SUBSTITUTE(SUBSTITUTE(SUBSTITUTE(E359:E363," ",""),"0",""),"-",""))+LEN(SUBSTITUTE(SUBSTITUTE(SUBSTITUTE(F359:F363," ",""),"0",""),"-","")))&gt;(LEN(SUBSTITUTE(SUBSTITUTE(SUBSTITUTE(B359:B363," ",""),"0",""),"-",""))+LEN(SUBSTITUTE(SUBSTITUTE(SUBSTITUTE(C359:C363," ",""),"0",""),"-",""))))*1)</f>
      </c>
      <c r="G358" s="14" t="str">
        <f>'data'!$B$28</f>
      </c>
      <c r="I358" s="14" t="str">
        <f>'data'!$B$74</f>
      </c>
      <c r="J358" s="14" t="str">
        <f>SUMPRODUCT((UPPER(L359:L363)&lt;&gt;"X")*((LEN(SUBSTITUTE(SUBSTITUTE(SUBSTITUTE(J359:J363," ",""),"0",""),"-",""))+LEN(SUBSTITUTE(SUBSTITUTE(SUBSTITUTE(K359:K363," ",""),"0",""),"-","")))&gt;(LEN(SUBSTITUTE(SUBSTITUTE(SUBSTITUTE(M359:M363," ",""),"0",""),"-",""))+LEN(SUBSTITUTE(SUBSTITUTE(SUBSTITUTE(N359:N363," ",""),"0",""),"-",""))))*1)</f>
      </c>
      <c r="K358" s="14" t="str">
        <f>SUMPRODUCT(LEN(SUBSTITUTE(SUBSTITUTE(SUBSTITUTE(J359:J363," ",""),"0",""),"-",""))+LEN(SUBSTITUTE(SUBSTITUTE(SUBSTITUTE(K359:K363," ",""),"0",""),"-","")))</f>
      </c>
      <c r="L358" s="18"/>
      <c r="M358" s="14" t="str">
        <f>SUMPRODUCT(LEN(SUBSTITUTE(SUBSTITUTE(SUBSTITUTE(M359:M363," ",""),"0",""),"-",""))+LEN(SUBSTITUTE(SUBSTITUTE(SUBSTITUTE(N359:N363," ",""),"0",""),"-","")))</f>
      </c>
      <c r="N358" s="14" t="str">
        <f>SUMPRODUCT((UPPER(L359:L363)&lt;&gt;"X")*((LEN(SUBSTITUTE(SUBSTITUTE(SUBSTITUTE(M359:M363," ",""),"0",""),"-",""))+LEN(SUBSTITUTE(SUBSTITUTE(SUBSTITUTE(N359:N363," ",""),"0",""),"-","")))&gt;(LEN(SUBSTITUTE(SUBSTITUTE(SUBSTITUTE(J359:J363," ",""),"0",""),"-",""))+LEN(SUBSTITUTE(SUBSTITUTE(SUBSTITUTE(K359:K363," ",""),"0",""),"-",""))))*1)</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SUMPRODUCT((UPPER(D367:D371)&lt;&gt;"X")*((LEN(SUBSTITUTE(SUBSTITUTE(SUBSTITUTE(B367:B371," ",""),"0",""),"-",""))+LEN(SUBSTITUTE(SUBSTITUTE(SUBSTITUTE(C367:C371," ",""),"0",""),"-","")))&gt;(LEN(SUBSTITUTE(SUBSTITUTE(SUBSTITUTE(E367:E371," ",""),"0",""),"-",""))+LEN(SUBSTITUTE(SUBSTITUTE(SUBSTITUTE(F367:F371," ",""),"0",""),"-",""))))*1)</f>
      </c>
      <c r="C366" s="14" t="str">
        <f>SUMPRODUCT(LEN(SUBSTITUTE(SUBSTITUTE(SUBSTITUTE(B367:B371," ",""),"0",""),"-",""))+LEN(SUBSTITUTE(SUBSTITUTE(SUBSTITUTE(C367:C371," ",""),"0",""),"-","")))</f>
      </c>
      <c r="D366" s="18"/>
      <c r="E366" s="14" t="str">
        <f>SUMPRODUCT(LEN(SUBSTITUTE(SUBSTITUTE(SUBSTITUTE(E367:E371," ",""),"0",""),"-",""))+LEN(SUBSTITUTE(SUBSTITUTE(SUBSTITUTE(F367:F371," ",""),"0",""),"-","")))</f>
      </c>
      <c r="F366" s="14" t="str">
        <f>SUMPRODUCT((UPPER(D367:D371)&lt;&gt;"X")*((LEN(SUBSTITUTE(SUBSTITUTE(SUBSTITUTE(E367:E371," ",""),"0",""),"-",""))+LEN(SUBSTITUTE(SUBSTITUTE(SUBSTITUTE(F367:F371," ",""),"0",""),"-","")))&gt;(LEN(SUBSTITUTE(SUBSTITUTE(SUBSTITUTE(B367:B371," ",""),"0",""),"-",""))+LEN(SUBSTITUTE(SUBSTITUTE(SUBSTITUTE(C367:C371," ",""),"0",""),"-",""))))*1)</f>
      </c>
      <c r="G366" s="14" t="str">
        <f>'data'!$B$28</f>
      </c>
      <c r="I366" s="14" t="str">
        <f>'data'!$B$75</f>
      </c>
      <c r="J366" s="14" t="str">
        <f>SUMPRODUCT((UPPER(L367:L371)&lt;&gt;"X")*((LEN(SUBSTITUTE(SUBSTITUTE(SUBSTITUTE(J367:J371," ",""),"0",""),"-",""))+LEN(SUBSTITUTE(SUBSTITUTE(SUBSTITUTE(K367:K371," ",""),"0",""),"-","")))&gt;(LEN(SUBSTITUTE(SUBSTITUTE(SUBSTITUTE(M367:M371," ",""),"0",""),"-",""))+LEN(SUBSTITUTE(SUBSTITUTE(SUBSTITUTE(N367:N371," ",""),"0",""),"-",""))))*1)</f>
      </c>
      <c r="K366" s="14" t="str">
        <f>SUMPRODUCT(LEN(SUBSTITUTE(SUBSTITUTE(SUBSTITUTE(J367:J371," ",""),"0",""),"-",""))+LEN(SUBSTITUTE(SUBSTITUTE(SUBSTITUTE(K367:K371," ",""),"0",""),"-","")))</f>
      </c>
      <c r="L366" s="18"/>
      <c r="M366" s="14" t="str">
        <f>SUMPRODUCT(LEN(SUBSTITUTE(SUBSTITUTE(SUBSTITUTE(M367:M371," ",""),"0",""),"-",""))+LEN(SUBSTITUTE(SUBSTITUTE(SUBSTITUTE(N367:N371," ",""),"0",""),"-","")))</f>
      </c>
      <c r="N366" s="14" t="str">
        <f>SUMPRODUCT((UPPER(L367:L371)&lt;&gt;"X")*((LEN(SUBSTITUTE(SUBSTITUTE(SUBSTITUTE(M367:M371," ",""),"0",""),"-",""))+LEN(SUBSTITUTE(SUBSTITUTE(SUBSTITUTE(N367:N371," ",""),"0",""),"-","")))&gt;(LEN(SUBSTITUTE(SUBSTITUTE(SUBSTITUTE(J367:J371," ",""),"0",""),"-",""))+LEN(SUBSTITUTE(SUBSTITUTE(SUBSTITUTE(K367:K371," ",""),"0",""),"-",""))))*1)</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SUMPRODUCT((UPPER(D375:D379)&lt;&gt;"X")*((LEN(SUBSTITUTE(SUBSTITUTE(SUBSTITUTE(B375:B379," ",""),"0",""),"-",""))+LEN(SUBSTITUTE(SUBSTITUTE(SUBSTITUTE(C375:C379," ",""),"0",""),"-","")))&gt;(LEN(SUBSTITUTE(SUBSTITUTE(SUBSTITUTE(E375:E379," ",""),"0",""),"-",""))+LEN(SUBSTITUTE(SUBSTITUTE(SUBSTITUTE(F375:F379," ",""),"0",""),"-",""))))*1)</f>
      </c>
      <c r="C374" s="14" t="str">
        <f>SUMPRODUCT(LEN(SUBSTITUTE(SUBSTITUTE(SUBSTITUTE(B375:B379," ",""),"0",""),"-",""))+LEN(SUBSTITUTE(SUBSTITUTE(SUBSTITUTE(C375:C379," ",""),"0",""),"-","")))</f>
      </c>
      <c r="D374" s="18"/>
      <c r="E374" s="14" t="str">
        <f>SUMPRODUCT(LEN(SUBSTITUTE(SUBSTITUTE(SUBSTITUTE(E375:E379," ",""),"0",""),"-",""))+LEN(SUBSTITUTE(SUBSTITUTE(SUBSTITUTE(F375:F379," ",""),"0",""),"-","")))</f>
      </c>
      <c r="F374" s="14" t="str">
        <f>SUMPRODUCT((UPPER(D375:D379)&lt;&gt;"X")*((LEN(SUBSTITUTE(SUBSTITUTE(SUBSTITUTE(E375:E379," ",""),"0",""),"-",""))+LEN(SUBSTITUTE(SUBSTITUTE(SUBSTITUTE(F375:F379," ",""),"0",""),"-","")))&gt;(LEN(SUBSTITUTE(SUBSTITUTE(SUBSTITUTE(B375:B379," ",""),"0",""),"-",""))+LEN(SUBSTITUTE(SUBSTITUTE(SUBSTITUTE(C375:C379," ",""),"0",""),"-",""))))*1)</f>
      </c>
      <c r="G374" s="14" t="str">
        <f>'data'!$B$29</f>
      </c>
      <c r="I374" s="14" t="str">
        <f>'data'!$B$75</f>
      </c>
      <c r="J374" s="14" t="str">
        <f>SUMPRODUCT((UPPER(L375:L379)&lt;&gt;"X")*((LEN(SUBSTITUTE(SUBSTITUTE(SUBSTITUTE(J375:J379," ",""),"0",""),"-",""))+LEN(SUBSTITUTE(SUBSTITUTE(SUBSTITUTE(K375:K379," ",""),"0",""),"-","")))&gt;(LEN(SUBSTITUTE(SUBSTITUTE(SUBSTITUTE(M375:M379," ",""),"0",""),"-",""))+LEN(SUBSTITUTE(SUBSTITUTE(SUBSTITUTE(N375:N379," ",""),"0",""),"-",""))))*1)</f>
      </c>
      <c r="K374" s="14" t="str">
        <f>SUMPRODUCT(LEN(SUBSTITUTE(SUBSTITUTE(SUBSTITUTE(J375:J379," ",""),"0",""),"-",""))+LEN(SUBSTITUTE(SUBSTITUTE(SUBSTITUTE(K375:K379," ",""),"0",""),"-","")))</f>
      </c>
      <c r="L374" s="18"/>
      <c r="M374" s="14" t="str">
        <f>SUMPRODUCT(LEN(SUBSTITUTE(SUBSTITUTE(SUBSTITUTE(M375:M379," ",""),"0",""),"-",""))+LEN(SUBSTITUTE(SUBSTITUTE(SUBSTITUTE(N375:N379," ",""),"0",""),"-","")))</f>
      </c>
      <c r="N374" s="14" t="str">
        <f>SUMPRODUCT((UPPER(L375:L379)&lt;&gt;"X")*((LEN(SUBSTITUTE(SUBSTITUTE(SUBSTITUTE(M375:M379," ",""),"0",""),"-",""))+LEN(SUBSTITUTE(SUBSTITUTE(SUBSTITUTE(N375:N379," ",""),"0",""),"-","")))&gt;(LEN(SUBSTITUTE(SUBSTITUTE(SUBSTITUTE(J375:J379," ",""),"0",""),"-",""))+LEN(SUBSTITUTE(SUBSTITUTE(SUBSTITUTE(K375:K379," ",""),"0",""),"-",""))))*1)</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SUMPRODUCT((UPPER(D402:D406)&lt;&gt;"X")*((LEN(SUBSTITUTE(SUBSTITUTE(SUBSTITUTE(B402:B406," ",""),"0",""),"-",""))+LEN(SUBSTITUTE(SUBSTITUTE(SUBSTITUTE(C402:C406," ",""),"0",""),"-","")))&gt;(LEN(SUBSTITUTE(SUBSTITUTE(SUBSTITUTE(E402:E406," ",""),"0",""),"-",""))+LEN(SUBSTITUTE(SUBSTITUTE(SUBSTITUTE(F402:F406," ",""),"0",""),"-",""))))*1)</f>
      </c>
      <c r="C401" s="14" t="str">
        <f>SUMPRODUCT(LEN(SUBSTITUTE(SUBSTITUTE(SUBSTITUTE(B402:B406," ",""),"0",""),"-",""))+LEN(SUBSTITUTE(SUBSTITUTE(SUBSTITUTE(C402:C406," ",""),"0",""),"-","")))</f>
      </c>
      <c r="D401" s="18"/>
      <c r="E401" s="14" t="str">
        <f>SUMPRODUCT(LEN(SUBSTITUTE(SUBSTITUTE(SUBSTITUTE(E402:E406," ",""),"0",""),"-",""))+LEN(SUBSTITUTE(SUBSTITUTE(SUBSTITUTE(F402:F406," ",""),"0",""),"-","")))</f>
      </c>
      <c r="F401" s="14" t="str">
        <f>SUMPRODUCT((UPPER(D402:D406)&lt;&gt;"X")*((LEN(SUBSTITUTE(SUBSTITUTE(SUBSTITUTE(E402:E406," ",""),"0",""),"-",""))+LEN(SUBSTITUTE(SUBSTITUTE(SUBSTITUTE(F402:F406," ",""),"0",""),"-","")))&gt;(LEN(SUBSTITUTE(SUBSTITUTE(SUBSTITUTE(B402:B406," ",""),"0",""),"-",""))+LEN(SUBSTITUTE(SUBSTITUTE(SUBSTITUTE(C402:C406," ",""),"0",""),"-",""))))*1)</f>
      </c>
      <c r="G401" s="14" t="str">
        <f>'data'!$B$31</f>
      </c>
      <c r="I401" s="14" t="str">
        <f>'data'!$B$77</f>
      </c>
      <c r="J401" s="14" t="str">
        <f>SUMPRODUCT((UPPER(L402:L406)&lt;&gt;"X")*((LEN(SUBSTITUTE(SUBSTITUTE(SUBSTITUTE(J402:J406," ",""),"0",""),"-",""))+LEN(SUBSTITUTE(SUBSTITUTE(SUBSTITUTE(K402:K406," ",""),"0",""),"-","")))&gt;(LEN(SUBSTITUTE(SUBSTITUTE(SUBSTITUTE(M402:M406," ",""),"0",""),"-",""))+LEN(SUBSTITUTE(SUBSTITUTE(SUBSTITUTE(N402:N406," ",""),"0",""),"-",""))))*1)</f>
      </c>
      <c r="K401" s="14" t="str">
        <f>SUMPRODUCT(LEN(SUBSTITUTE(SUBSTITUTE(SUBSTITUTE(J402:J406," ",""),"0",""),"-",""))+LEN(SUBSTITUTE(SUBSTITUTE(SUBSTITUTE(K402:K406," ",""),"0",""),"-","")))</f>
      </c>
      <c r="L401" s="18"/>
      <c r="M401" s="14" t="str">
        <f>SUMPRODUCT(LEN(SUBSTITUTE(SUBSTITUTE(SUBSTITUTE(M402:M406," ",""),"0",""),"-",""))+LEN(SUBSTITUTE(SUBSTITUTE(SUBSTITUTE(N402:N406," ",""),"0",""),"-","")))</f>
      </c>
      <c r="N401" s="14" t="str">
        <f>SUMPRODUCT((UPPER(L402:L406)&lt;&gt;"X")*((LEN(SUBSTITUTE(SUBSTITUTE(SUBSTITUTE(M402:M406," ",""),"0",""),"-",""))+LEN(SUBSTITUTE(SUBSTITUTE(SUBSTITUTE(N402:N406," ",""),"0",""),"-","")))&gt;(LEN(SUBSTITUTE(SUBSTITUTE(SUBSTITUTE(J402:J406," ",""),"0",""),"-",""))+LEN(SUBSTITUTE(SUBSTITUTE(SUBSTITUTE(K402:K406," ",""),"0",""),"-",""))))*1)</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SUMPRODUCT((UPPER(D410:D414)&lt;&gt;"X")*((LEN(SUBSTITUTE(SUBSTITUTE(SUBSTITUTE(B410:B414," ",""),"0",""),"-",""))+LEN(SUBSTITUTE(SUBSTITUTE(SUBSTITUTE(C410:C414," ",""),"0",""),"-","")))&gt;(LEN(SUBSTITUTE(SUBSTITUTE(SUBSTITUTE(E410:E414," ",""),"0",""),"-",""))+LEN(SUBSTITUTE(SUBSTITUTE(SUBSTITUTE(F410:F414," ",""),"0",""),"-",""))))*1)</f>
      </c>
      <c r="C409" s="14" t="str">
        <f>SUMPRODUCT(LEN(SUBSTITUTE(SUBSTITUTE(SUBSTITUTE(B410:B414," ",""),"0",""),"-",""))+LEN(SUBSTITUTE(SUBSTITUTE(SUBSTITUTE(C410:C414," ",""),"0",""),"-","")))</f>
      </c>
      <c r="D409" s="18"/>
      <c r="E409" s="14" t="str">
        <f>SUMPRODUCT(LEN(SUBSTITUTE(SUBSTITUTE(SUBSTITUTE(E410:E414," ",""),"0",""),"-",""))+LEN(SUBSTITUTE(SUBSTITUTE(SUBSTITUTE(F410:F414," ",""),"0",""),"-","")))</f>
      </c>
      <c r="F409" s="14" t="str">
        <f>SUMPRODUCT((UPPER(D410:D414)&lt;&gt;"X")*((LEN(SUBSTITUTE(SUBSTITUTE(SUBSTITUTE(E410:E414," ",""),"0",""),"-",""))+LEN(SUBSTITUTE(SUBSTITUTE(SUBSTITUTE(F410:F414," ",""),"0",""),"-","")))&gt;(LEN(SUBSTITUTE(SUBSTITUTE(SUBSTITUTE(B410:B414," ",""),"0",""),"-",""))+LEN(SUBSTITUTE(SUBSTITUTE(SUBSTITUTE(C410:C414," ",""),"0",""),"-",""))))*1)</f>
      </c>
      <c r="G409" s="14" t="str">
        <f>'data'!$B$31</f>
      </c>
      <c r="I409" s="14" t="str">
        <f>'data'!$B$78</f>
      </c>
      <c r="J409" s="14" t="str">
        <f>SUMPRODUCT((UPPER(L410:L414)&lt;&gt;"X")*((LEN(SUBSTITUTE(SUBSTITUTE(SUBSTITUTE(J410:J414," ",""),"0",""),"-",""))+LEN(SUBSTITUTE(SUBSTITUTE(SUBSTITUTE(K410:K414," ",""),"0",""),"-","")))&gt;(LEN(SUBSTITUTE(SUBSTITUTE(SUBSTITUTE(M410:M414," ",""),"0",""),"-",""))+LEN(SUBSTITUTE(SUBSTITUTE(SUBSTITUTE(N410:N414," ",""),"0",""),"-",""))))*1)</f>
      </c>
      <c r="K409" s="14" t="str">
        <f>SUMPRODUCT(LEN(SUBSTITUTE(SUBSTITUTE(SUBSTITUTE(J410:J414," ",""),"0",""),"-",""))+LEN(SUBSTITUTE(SUBSTITUTE(SUBSTITUTE(K410:K414," ",""),"0",""),"-","")))</f>
      </c>
      <c r="L409" s="18"/>
      <c r="M409" s="14" t="str">
        <f>SUMPRODUCT(LEN(SUBSTITUTE(SUBSTITUTE(SUBSTITUTE(M410:M414," ",""),"0",""),"-",""))+LEN(SUBSTITUTE(SUBSTITUTE(SUBSTITUTE(N410:N414," ",""),"0",""),"-","")))</f>
      </c>
      <c r="N409" s="14" t="str">
        <f>SUMPRODUCT((UPPER(L410:L414)&lt;&gt;"X")*((LEN(SUBSTITUTE(SUBSTITUTE(SUBSTITUTE(M410:M414," ",""),"0",""),"-",""))+LEN(SUBSTITUTE(SUBSTITUTE(SUBSTITUTE(N410:N414," ",""),"0",""),"-","")))&gt;(LEN(SUBSTITUTE(SUBSTITUTE(SUBSTITUTE(J410:J414," ",""),"0",""),"-",""))+LEN(SUBSTITUTE(SUBSTITUTE(SUBSTITUTE(K410:K414," ",""),"0",""),"-",""))))*1)</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SUMPRODUCT((UPPER(D418:D422)&lt;&gt;"X")*((LEN(SUBSTITUTE(SUBSTITUTE(SUBSTITUTE(B418:B422," ",""),"0",""),"-",""))+LEN(SUBSTITUTE(SUBSTITUTE(SUBSTITUTE(C418:C422," ",""),"0",""),"-","")))&gt;(LEN(SUBSTITUTE(SUBSTITUTE(SUBSTITUTE(E418:E422," ",""),"0",""),"-",""))+LEN(SUBSTITUTE(SUBSTITUTE(SUBSTITUTE(F418:F422," ",""),"0",""),"-",""))))*1)</f>
      </c>
      <c r="C417" s="14" t="str">
        <f>SUMPRODUCT(LEN(SUBSTITUTE(SUBSTITUTE(SUBSTITUTE(B418:B422," ",""),"0",""),"-",""))+LEN(SUBSTITUTE(SUBSTITUTE(SUBSTITUTE(C418:C422," ",""),"0",""),"-","")))</f>
      </c>
      <c r="D417" s="18"/>
      <c r="E417" s="14" t="str">
        <f>SUMPRODUCT(LEN(SUBSTITUTE(SUBSTITUTE(SUBSTITUTE(E418:E422," ",""),"0",""),"-",""))+LEN(SUBSTITUTE(SUBSTITUTE(SUBSTITUTE(F418:F422," ",""),"0",""),"-","")))</f>
      </c>
      <c r="F417" s="14" t="str">
        <f>SUMPRODUCT((UPPER(D418:D422)&lt;&gt;"X")*((LEN(SUBSTITUTE(SUBSTITUTE(SUBSTITUTE(E418:E422," ",""),"0",""),"-",""))+LEN(SUBSTITUTE(SUBSTITUTE(SUBSTITUTE(F418:F422," ",""),"0",""),"-","")))&gt;(LEN(SUBSTITUTE(SUBSTITUTE(SUBSTITUTE(B418:B422," ",""),"0",""),"-",""))+LEN(SUBSTITUTE(SUBSTITUTE(SUBSTITUTE(C418:C422," ",""),"0",""),"-",""))))*1)</f>
      </c>
      <c r="G417" s="14" t="str">
        <f>'data'!$B$32</f>
      </c>
      <c r="I417" s="14" t="str">
        <f>'data'!$B$78</f>
      </c>
      <c r="J417" s="14" t="str">
        <f>SUMPRODUCT((UPPER(L418:L422)&lt;&gt;"X")*((LEN(SUBSTITUTE(SUBSTITUTE(SUBSTITUTE(J418:J422," ",""),"0",""),"-",""))+LEN(SUBSTITUTE(SUBSTITUTE(SUBSTITUTE(K418:K422," ",""),"0",""),"-","")))&gt;(LEN(SUBSTITUTE(SUBSTITUTE(SUBSTITUTE(M418:M422," ",""),"0",""),"-",""))+LEN(SUBSTITUTE(SUBSTITUTE(SUBSTITUTE(N418:N422," ",""),"0",""),"-",""))))*1)</f>
      </c>
      <c r="K417" s="14" t="str">
        <f>SUMPRODUCT(LEN(SUBSTITUTE(SUBSTITUTE(SUBSTITUTE(J418:J422," ",""),"0",""),"-",""))+LEN(SUBSTITUTE(SUBSTITUTE(SUBSTITUTE(K418:K422," ",""),"0",""),"-","")))</f>
      </c>
      <c r="L417" s="18"/>
      <c r="M417" s="14" t="str">
        <f>SUMPRODUCT(LEN(SUBSTITUTE(SUBSTITUTE(SUBSTITUTE(M418:M422," ",""),"0",""),"-",""))+LEN(SUBSTITUTE(SUBSTITUTE(SUBSTITUTE(N418:N422," ",""),"0",""),"-","")))</f>
      </c>
      <c r="N417" s="14" t="str">
        <f>SUMPRODUCT((UPPER(L418:L422)&lt;&gt;"X")*((LEN(SUBSTITUTE(SUBSTITUTE(SUBSTITUTE(M418:M422," ",""),"0",""),"-",""))+LEN(SUBSTITUTE(SUBSTITUTE(SUBSTITUTE(N418:N422," ",""),"0",""),"-","")))&gt;(LEN(SUBSTITUTE(SUBSTITUTE(SUBSTITUTE(J418:J422," ",""),"0",""),"-",""))+LEN(SUBSTITUTE(SUBSTITUTE(SUBSTITUTE(K418:K422," ",""),"0",""),"-",""))))*1)</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SUMPRODUCT((UPPER(D445:D449)&lt;&gt;"X")*((LEN(SUBSTITUTE(SUBSTITUTE(SUBSTITUTE(B445:B449," ",""),"0",""),"-",""))+LEN(SUBSTITUTE(SUBSTITUTE(SUBSTITUTE(C445:C449," ",""),"0",""),"-","")))&gt;(LEN(SUBSTITUTE(SUBSTITUTE(SUBSTITUTE(E445:E449," ",""),"0",""),"-",""))+LEN(SUBSTITUTE(SUBSTITUTE(SUBSTITUTE(F445:F449," ",""),"0",""),"-",""))))*1)</f>
      </c>
      <c r="C444" s="14" t="str">
        <f>SUMPRODUCT(LEN(SUBSTITUTE(SUBSTITUTE(SUBSTITUTE(B445:B449," ",""),"0",""),"-",""))+LEN(SUBSTITUTE(SUBSTITUTE(SUBSTITUTE(C445:C449," ",""),"0",""),"-","")))</f>
      </c>
      <c r="D444" s="18"/>
      <c r="E444" s="14" t="str">
        <f>SUMPRODUCT(LEN(SUBSTITUTE(SUBSTITUTE(SUBSTITUTE(E445:E449," ",""),"0",""),"-",""))+LEN(SUBSTITUTE(SUBSTITUTE(SUBSTITUTE(F445:F449," ",""),"0",""),"-","")))</f>
      </c>
      <c r="F444" s="14" t="str">
        <f>SUMPRODUCT((UPPER(D445:D449)&lt;&gt;"X")*((LEN(SUBSTITUTE(SUBSTITUTE(SUBSTITUTE(E445:E449," ",""),"0",""),"-",""))+LEN(SUBSTITUTE(SUBSTITUTE(SUBSTITUTE(F445:F449," ",""),"0",""),"-","")))&gt;(LEN(SUBSTITUTE(SUBSTITUTE(SUBSTITUTE(B445:B449," ",""),"0",""),"-",""))+LEN(SUBSTITUTE(SUBSTITUTE(SUBSTITUTE(C445:C449," ",""),"0",""),"-",""))))*1)</f>
      </c>
      <c r="G444" s="14" t="str">
        <f>'data'!$B$34</f>
      </c>
      <c r="I444" s="14" t="str">
        <f>'data'!$B$80</f>
      </c>
      <c r="J444" s="14" t="str">
        <f>SUMPRODUCT((UPPER(L445:L449)&lt;&gt;"X")*((LEN(SUBSTITUTE(SUBSTITUTE(SUBSTITUTE(J445:J449," ",""),"0",""),"-",""))+LEN(SUBSTITUTE(SUBSTITUTE(SUBSTITUTE(K445:K449," ",""),"0",""),"-","")))&gt;(LEN(SUBSTITUTE(SUBSTITUTE(SUBSTITUTE(M445:M449," ",""),"0",""),"-",""))+LEN(SUBSTITUTE(SUBSTITUTE(SUBSTITUTE(N445:N449," ",""),"0",""),"-",""))))*1)</f>
      </c>
      <c r="K444" s="14" t="str">
        <f>SUMPRODUCT(LEN(SUBSTITUTE(SUBSTITUTE(SUBSTITUTE(J445:J449," ",""),"0",""),"-",""))+LEN(SUBSTITUTE(SUBSTITUTE(SUBSTITUTE(K445:K449," ",""),"0",""),"-","")))</f>
      </c>
      <c r="L444" s="18"/>
      <c r="M444" s="14" t="str">
        <f>SUMPRODUCT(LEN(SUBSTITUTE(SUBSTITUTE(SUBSTITUTE(M445:M449," ",""),"0",""),"-",""))+LEN(SUBSTITUTE(SUBSTITUTE(SUBSTITUTE(N445:N449," ",""),"0",""),"-","")))</f>
      </c>
      <c r="N444" s="14" t="str">
        <f>SUMPRODUCT((UPPER(L445:L449)&lt;&gt;"X")*((LEN(SUBSTITUTE(SUBSTITUTE(SUBSTITUTE(M445:M449," ",""),"0",""),"-",""))+LEN(SUBSTITUTE(SUBSTITUTE(SUBSTITUTE(N445:N449," ",""),"0",""),"-","")))&gt;(LEN(SUBSTITUTE(SUBSTITUTE(SUBSTITUTE(J445:J449," ",""),"0",""),"-",""))+LEN(SUBSTITUTE(SUBSTITUTE(SUBSTITUTE(K445:K449," ",""),"0",""),"-",""))))*1)</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SUMPRODUCT((UPPER(D453:D457)&lt;&gt;"X")*((LEN(SUBSTITUTE(SUBSTITUTE(SUBSTITUTE(B453:B457," ",""),"0",""),"-",""))+LEN(SUBSTITUTE(SUBSTITUTE(SUBSTITUTE(C453:C457," ",""),"0",""),"-","")))&gt;(LEN(SUBSTITUTE(SUBSTITUTE(SUBSTITUTE(E453:E457," ",""),"0",""),"-",""))+LEN(SUBSTITUTE(SUBSTITUTE(SUBSTITUTE(F453:F457," ",""),"0",""),"-",""))))*1)</f>
      </c>
      <c r="C452" s="14" t="str">
        <f>SUMPRODUCT(LEN(SUBSTITUTE(SUBSTITUTE(SUBSTITUTE(B453:B457," ",""),"0",""),"-",""))+LEN(SUBSTITUTE(SUBSTITUTE(SUBSTITUTE(C453:C457," ",""),"0",""),"-","")))</f>
      </c>
      <c r="D452" s="18"/>
      <c r="E452" s="14" t="str">
        <f>SUMPRODUCT(LEN(SUBSTITUTE(SUBSTITUTE(SUBSTITUTE(E453:E457," ",""),"0",""),"-",""))+LEN(SUBSTITUTE(SUBSTITUTE(SUBSTITUTE(F453:F457," ",""),"0",""),"-","")))</f>
      </c>
      <c r="F452" s="14" t="str">
        <f>SUMPRODUCT((UPPER(D453:D457)&lt;&gt;"X")*((LEN(SUBSTITUTE(SUBSTITUTE(SUBSTITUTE(E453:E457," ",""),"0",""),"-",""))+LEN(SUBSTITUTE(SUBSTITUTE(SUBSTITUTE(F453:F457," ",""),"0",""),"-","")))&gt;(LEN(SUBSTITUTE(SUBSTITUTE(SUBSTITUTE(B453:B457," ",""),"0",""),"-",""))+LEN(SUBSTITUTE(SUBSTITUTE(SUBSTITUTE(C453:C457," ",""),"0",""),"-",""))))*1)</f>
      </c>
      <c r="G452" s="14" t="str">
        <f>'data'!$B$34</f>
      </c>
      <c r="I452" s="14" t="str">
        <f>'data'!$B$81</f>
      </c>
      <c r="J452" s="14" t="str">
        <f>SUMPRODUCT((UPPER(L453:L457)&lt;&gt;"X")*((LEN(SUBSTITUTE(SUBSTITUTE(SUBSTITUTE(J453:J457," ",""),"0",""),"-",""))+LEN(SUBSTITUTE(SUBSTITUTE(SUBSTITUTE(K453:K457," ",""),"0",""),"-","")))&gt;(LEN(SUBSTITUTE(SUBSTITUTE(SUBSTITUTE(M453:M457," ",""),"0",""),"-",""))+LEN(SUBSTITUTE(SUBSTITUTE(SUBSTITUTE(N453:N457," ",""),"0",""),"-",""))))*1)</f>
      </c>
      <c r="K452" s="14" t="str">
        <f>SUMPRODUCT(LEN(SUBSTITUTE(SUBSTITUTE(SUBSTITUTE(J453:J457," ",""),"0",""),"-",""))+LEN(SUBSTITUTE(SUBSTITUTE(SUBSTITUTE(K453:K457," ",""),"0",""),"-","")))</f>
      </c>
      <c r="L452" s="18"/>
      <c r="M452" s="14" t="str">
        <f>SUMPRODUCT(LEN(SUBSTITUTE(SUBSTITUTE(SUBSTITUTE(M453:M457," ",""),"0",""),"-",""))+LEN(SUBSTITUTE(SUBSTITUTE(SUBSTITUTE(N453:N457," ",""),"0",""),"-","")))</f>
      </c>
      <c r="N452" s="14" t="str">
        <f>SUMPRODUCT((UPPER(L453:L457)&lt;&gt;"X")*((LEN(SUBSTITUTE(SUBSTITUTE(SUBSTITUTE(M453:M457," ",""),"0",""),"-",""))+LEN(SUBSTITUTE(SUBSTITUTE(SUBSTITUTE(N453:N457," ",""),"0",""),"-","")))&gt;(LEN(SUBSTITUTE(SUBSTITUTE(SUBSTITUTE(J453:J457," ",""),"0",""),"-",""))+LEN(SUBSTITUTE(SUBSTITUTE(SUBSTITUTE(K453:K457," ",""),"0",""),"-",""))))*1)</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SUMPRODUCT((UPPER(D461:D465)&lt;&gt;"X")*((LEN(SUBSTITUTE(SUBSTITUTE(SUBSTITUTE(B461:B465," ",""),"0",""),"-",""))+LEN(SUBSTITUTE(SUBSTITUTE(SUBSTITUTE(C461:C465," ",""),"0",""),"-","")))&gt;(LEN(SUBSTITUTE(SUBSTITUTE(SUBSTITUTE(E461:E465," ",""),"0",""),"-",""))+LEN(SUBSTITUTE(SUBSTITUTE(SUBSTITUTE(F461:F465," ",""),"0",""),"-",""))))*1)</f>
      </c>
      <c r="C460" s="14" t="str">
        <f>SUMPRODUCT(LEN(SUBSTITUTE(SUBSTITUTE(SUBSTITUTE(B461:B465," ",""),"0",""),"-",""))+LEN(SUBSTITUTE(SUBSTITUTE(SUBSTITUTE(C461:C465," ",""),"0",""),"-","")))</f>
      </c>
      <c r="D460" s="18"/>
      <c r="E460" s="14" t="str">
        <f>SUMPRODUCT(LEN(SUBSTITUTE(SUBSTITUTE(SUBSTITUTE(E461:E465," ",""),"0",""),"-",""))+LEN(SUBSTITUTE(SUBSTITUTE(SUBSTITUTE(F461:F465," ",""),"0",""),"-","")))</f>
      </c>
      <c r="F460" s="14" t="str">
        <f>SUMPRODUCT((UPPER(D461:D465)&lt;&gt;"X")*((LEN(SUBSTITUTE(SUBSTITUTE(SUBSTITUTE(E461:E465," ",""),"0",""),"-",""))+LEN(SUBSTITUTE(SUBSTITUTE(SUBSTITUTE(F461:F465," ",""),"0",""),"-","")))&gt;(LEN(SUBSTITUTE(SUBSTITUTE(SUBSTITUTE(B461:B465," ",""),"0",""),"-",""))+LEN(SUBSTITUTE(SUBSTITUTE(SUBSTITUTE(C461:C465," ",""),"0",""),"-",""))))*1)</f>
      </c>
      <c r="G460" s="14" t="str">
        <f>'data'!$B$35</f>
      </c>
      <c r="I460" s="14" t="str">
        <f>'data'!$B$81</f>
      </c>
      <c r="J460" s="14" t="str">
        <f>SUMPRODUCT((UPPER(L461:L465)&lt;&gt;"X")*((LEN(SUBSTITUTE(SUBSTITUTE(SUBSTITUTE(J461:J465," ",""),"0",""),"-",""))+LEN(SUBSTITUTE(SUBSTITUTE(SUBSTITUTE(K461:K465," ",""),"0",""),"-","")))&gt;(LEN(SUBSTITUTE(SUBSTITUTE(SUBSTITUTE(M461:M465," ",""),"0",""),"-",""))+LEN(SUBSTITUTE(SUBSTITUTE(SUBSTITUTE(N461:N465," ",""),"0",""),"-",""))))*1)</f>
      </c>
      <c r="K460" s="14" t="str">
        <f>SUMPRODUCT(LEN(SUBSTITUTE(SUBSTITUTE(SUBSTITUTE(J461:J465," ",""),"0",""),"-",""))+LEN(SUBSTITUTE(SUBSTITUTE(SUBSTITUTE(K461:K465," ",""),"0",""),"-","")))</f>
      </c>
      <c r="L460" s="18"/>
      <c r="M460" s="14" t="str">
        <f>SUMPRODUCT(LEN(SUBSTITUTE(SUBSTITUTE(SUBSTITUTE(M461:M465," ",""),"0",""),"-",""))+LEN(SUBSTITUTE(SUBSTITUTE(SUBSTITUTE(N461:N465," ",""),"0",""),"-","")))</f>
      </c>
      <c r="N460" s="14" t="str">
        <f>SUMPRODUCT((UPPER(L461:L465)&lt;&gt;"X")*((LEN(SUBSTITUTE(SUBSTITUTE(SUBSTITUTE(M461:M465," ",""),"0",""),"-",""))+LEN(SUBSTITUTE(SUBSTITUTE(SUBSTITUTE(N461:N465," ",""),"0",""),"-","")))&gt;(LEN(SUBSTITUTE(SUBSTITUTE(SUBSTITUTE(J461:J465," ",""),"0",""),"-",""))+LEN(SUBSTITUTE(SUBSTITUTE(SUBSTITUTE(K461:K465," ",""),"0",""),"-",""))))*1)</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SUMPRODUCT((UPPER(D488:D492)&lt;&gt;"X")*((LEN(SUBSTITUTE(SUBSTITUTE(SUBSTITUTE(B488:B492," ",""),"0",""),"-",""))+LEN(SUBSTITUTE(SUBSTITUTE(SUBSTITUTE(C488:C492," ",""),"0",""),"-","")))&gt;(LEN(SUBSTITUTE(SUBSTITUTE(SUBSTITUTE(E488:E492," ",""),"0",""),"-",""))+LEN(SUBSTITUTE(SUBSTITUTE(SUBSTITUTE(F488:F492," ",""),"0",""),"-",""))))*1)</f>
      </c>
      <c r="C487" s="14" t="str">
        <f>SUMPRODUCT(LEN(SUBSTITUTE(SUBSTITUTE(SUBSTITUTE(B488:B492," ",""),"0",""),"-",""))+LEN(SUBSTITUTE(SUBSTITUTE(SUBSTITUTE(C488:C492," ",""),"0",""),"-","")))</f>
      </c>
      <c r="D487" s="18"/>
      <c r="E487" s="14" t="str">
        <f>SUMPRODUCT(LEN(SUBSTITUTE(SUBSTITUTE(SUBSTITUTE(E488:E492," ",""),"0",""),"-",""))+LEN(SUBSTITUTE(SUBSTITUTE(SUBSTITUTE(F488:F492," ",""),"0",""),"-","")))</f>
      </c>
      <c r="F487" s="14" t="str">
        <f>SUMPRODUCT((UPPER(D488:D492)&lt;&gt;"X")*((LEN(SUBSTITUTE(SUBSTITUTE(SUBSTITUTE(E488:E492," ",""),"0",""),"-",""))+LEN(SUBSTITUTE(SUBSTITUTE(SUBSTITUTE(F488:F492," ",""),"0",""),"-","")))&gt;(LEN(SUBSTITUTE(SUBSTITUTE(SUBSTITUTE(B488:B492," ",""),"0",""),"-",""))+LEN(SUBSTITUTE(SUBSTITUTE(SUBSTITUTE(C488:C492," ",""),"0",""),"-",""))))*1)</f>
      </c>
      <c r="G487" s="14" t="str">
        <f>'data'!$B$37</f>
      </c>
      <c r="I487" s="14" t="str">
        <f>'data'!$B$83</f>
      </c>
      <c r="J487" s="14" t="str">
        <f>SUMPRODUCT((UPPER(L488:L492)&lt;&gt;"X")*((LEN(SUBSTITUTE(SUBSTITUTE(SUBSTITUTE(J488:J492," ",""),"0",""),"-",""))+LEN(SUBSTITUTE(SUBSTITUTE(SUBSTITUTE(K488:K492," ",""),"0",""),"-","")))&gt;(LEN(SUBSTITUTE(SUBSTITUTE(SUBSTITUTE(M488:M492," ",""),"0",""),"-",""))+LEN(SUBSTITUTE(SUBSTITUTE(SUBSTITUTE(N488:N492," ",""),"0",""),"-",""))))*1)</f>
      </c>
      <c r="K487" s="14" t="str">
        <f>SUMPRODUCT(LEN(SUBSTITUTE(SUBSTITUTE(SUBSTITUTE(J488:J492," ",""),"0",""),"-",""))+LEN(SUBSTITUTE(SUBSTITUTE(SUBSTITUTE(K488:K492," ",""),"0",""),"-","")))</f>
      </c>
      <c r="L487" s="18"/>
      <c r="M487" s="14" t="str">
        <f>SUMPRODUCT(LEN(SUBSTITUTE(SUBSTITUTE(SUBSTITUTE(M488:M492," ",""),"0",""),"-",""))+LEN(SUBSTITUTE(SUBSTITUTE(SUBSTITUTE(N488:N492," ",""),"0",""),"-","")))</f>
      </c>
      <c r="N487" s="14" t="str">
        <f>SUMPRODUCT((UPPER(L488:L492)&lt;&gt;"X")*((LEN(SUBSTITUTE(SUBSTITUTE(SUBSTITUTE(M488:M492," ",""),"0",""),"-",""))+LEN(SUBSTITUTE(SUBSTITUTE(SUBSTITUTE(N488:N492," ",""),"0",""),"-","")))&gt;(LEN(SUBSTITUTE(SUBSTITUTE(SUBSTITUTE(J488:J492," ",""),"0",""),"-",""))+LEN(SUBSTITUTE(SUBSTITUTE(SUBSTITUTE(K488:K492," ",""),"0",""),"-",""))))*1)</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SUMPRODUCT((UPPER(D496:D500)&lt;&gt;"X")*((LEN(SUBSTITUTE(SUBSTITUTE(SUBSTITUTE(B496:B500," ",""),"0",""),"-",""))+LEN(SUBSTITUTE(SUBSTITUTE(SUBSTITUTE(C496:C500," ",""),"0",""),"-","")))&gt;(LEN(SUBSTITUTE(SUBSTITUTE(SUBSTITUTE(E496:E500," ",""),"0",""),"-",""))+LEN(SUBSTITUTE(SUBSTITUTE(SUBSTITUTE(F496:F500," ",""),"0",""),"-",""))))*1)</f>
      </c>
      <c r="C495" s="14" t="str">
        <f>SUMPRODUCT(LEN(SUBSTITUTE(SUBSTITUTE(SUBSTITUTE(B496:B500," ",""),"0",""),"-",""))+LEN(SUBSTITUTE(SUBSTITUTE(SUBSTITUTE(C496:C500," ",""),"0",""),"-","")))</f>
      </c>
      <c r="D495" s="18"/>
      <c r="E495" s="14" t="str">
        <f>SUMPRODUCT(LEN(SUBSTITUTE(SUBSTITUTE(SUBSTITUTE(E496:E500," ",""),"0",""),"-",""))+LEN(SUBSTITUTE(SUBSTITUTE(SUBSTITUTE(F496:F500," ",""),"0",""),"-","")))</f>
      </c>
      <c r="F495" s="14" t="str">
        <f>SUMPRODUCT((UPPER(D496:D500)&lt;&gt;"X")*((LEN(SUBSTITUTE(SUBSTITUTE(SUBSTITUTE(E496:E500," ",""),"0",""),"-",""))+LEN(SUBSTITUTE(SUBSTITUTE(SUBSTITUTE(F496:F500," ",""),"0",""),"-","")))&gt;(LEN(SUBSTITUTE(SUBSTITUTE(SUBSTITUTE(B496:B500," ",""),"0",""),"-",""))+LEN(SUBSTITUTE(SUBSTITUTE(SUBSTITUTE(C496:C500," ",""),"0",""),"-",""))))*1)</f>
      </c>
      <c r="G495" s="14" t="str">
        <f>'data'!$B$37</f>
      </c>
      <c r="I495" s="14" t="str">
        <f>'data'!$B$84</f>
      </c>
      <c r="J495" s="14" t="str">
        <f>SUMPRODUCT((UPPER(L496:L500)&lt;&gt;"X")*((LEN(SUBSTITUTE(SUBSTITUTE(SUBSTITUTE(J496:J500," ",""),"0",""),"-",""))+LEN(SUBSTITUTE(SUBSTITUTE(SUBSTITUTE(K496:K500," ",""),"0",""),"-","")))&gt;(LEN(SUBSTITUTE(SUBSTITUTE(SUBSTITUTE(M496:M500," ",""),"0",""),"-",""))+LEN(SUBSTITUTE(SUBSTITUTE(SUBSTITUTE(N496:N500," ",""),"0",""),"-",""))))*1)</f>
      </c>
      <c r="K495" s="14" t="str">
        <f>SUMPRODUCT(LEN(SUBSTITUTE(SUBSTITUTE(SUBSTITUTE(J496:J500," ",""),"0",""),"-",""))+LEN(SUBSTITUTE(SUBSTITUTE(SUBSTITUTE(K496:K500," ",""),"0",""),"-","")))</f>
      </c>
      <c r="L495" s="18"/>
      <c r="M495" s="14" t="str">
        <f>SUMPRODUCT(LEN(SUBSTITUTE(SUBSTITUTE(SUBSTITUTE(M496:M500," ",""),"0",""),"-",""))+LEN(SUBSTITUTE(SUBSTITUTE(SUBSTITUTE(N496:N500," ",""),"0",""),"-","")))</f>
      </c>
      <c r="N495" s="14" t="str">
        <f>SUMPRODUCT((UPPER(L496:L500)&lt;&gt;"X")*((LEN(SUBSTITUTE(SUBSTITUTE(SUBSTITUTE(M496:M500," ",""),"0",""),"-",""))+LEN(SUBSTITUTE(SUBSTITUTE(SUBSTITUTE(N496:N500," ",""),"0",""),"-","")))&gt;(LEN(SUBSTITUTE(SUBSTITUTE(SUBSTITUTE(J496:J500," ",""),"0",""),"-",""))+LEN(SUBSTITUTE(SUBSTITUTE(SUBSTITUTE(K496:K500," ",""),"0",""),"-",""))))*1)</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SUMPRODUCT((UPPER(D504:D508)&lt;&gt;"X")*((LEN(SUBSTITUTE(SUBSTITUTE(SUBSTITUTE(B504:B508," ",""),"0",""),"-",""))+LEN(SUBSTITUTE(SUBSTITUTE(SUBSTITUTE(C504:C508," ",""),"0",""),"-","")))&gt;(LEN(SUBSTITUTE(SUBSTITUTE(SUBSTITUTE(E504:E508," ",""),"0",""),"-",""))+LEN(SUBSTITUTE(SUBSTITUTE(SUBSTITUTE(F504:F508," ",""),"0",""),"-",""))))*1)</f>
      </c>
      <c r="C503" s="14" t="str">
        <f>SUMPRODUCT(LEN(SUBSTITUTE(SUBSTITUTE(SUBSTITUTE(B504:B508," ",""),"0",""),"-",""))+LEN(SUBSTITUTE(SUBSTITUTE(SUBSTITUTE(C504:C508," ",""),"0",""),"-","")))</f>
      </c>
      <c r="D503" s="18"/>
      <c r="E503" s="14" t="str">
        <f>SUMPRODUCT(LEN(SUBSTITUTE(SUBSTITUTE(SUBSTITUTE(E504:E508," ",""),"0",""),"-",""))+LEN(SUBSTITUTE(SUBSTITUTE(SUBSTITUTE(F504:F508," ",""),"0",""),"-","")))</f>
      </c>
      <c r="F503" s="14" t="str">
        <f>SUMPRODUCT((UPPER(D504:D508)&lt;&gt;"X")*((LEN(SUBSTITUTE(SUBSTITUTE(SUBSTITUTE(E504:E508," ",""),"0",""),"-",""))+LEN(SUBSTITUTE(SUBSTITUTE(SUBSTITUTE(F504:F508," ",""),"0",""),"-","")))&gt;(LEN(SUBSTITUTE(SUBSTITUTE(SUBSTITUTE(B504:B508," ",""),"0",""),"-",""))+LEN(SUBSTITUTE(SUBSTITUTE(SUBSTITUTE(C504:C508," ",""),"0",""),"-",""))))*1)</f>
      </c>
      <c r="G503" s="14" t="str">
        <f>'data'!$B$38</f>
      </c>
      <c r="I503" s="14" t="str">
        <f>'data'!$B$84</f>
      </c>
      <c r="J503" s="14" t="str">
        <f>SUMPRODUCT((UPPER(L504:L508)&lt;&gt;"X")*((LEN(SUBSTITUTE(SUBSTITUTE(SUBSTITUTE(J504:J508," ",""),"0",""),"-",""))+LEN(SUBSTITUTE(SUBSTITUTE(SUBSTITUTE(K504:K508," ",""),"0",""),"-","")))&gt;(LEN(SUBSTITUTE(SUBSTITUTE(SUBSTITUTE(M504:M508," ",""),"0",""),"-",""))+LEN(SUBSTITUTE(SUBSTITUTE(SUBSTITUTE(N504:N508," ",""),"0",""),"-",""))))*1)</f>
      </c>
      <c r="K503" s="14" t="str">
        <f>SUMPRODUCT(LEN(SUBSTITUTE(SUBSTITUTE(SUBSTITUTE(J504:J508," ",""),"0",""),"-",""))+LEN(SUBSTITUTE(SUBSTITUTE(SUBSTITUTE(K504:K508," ",""),"0",""),"-","")))</f>
      </c>
      <c r="L503" s="18"/>
      <c r="M503" s="14" t="str">
        <f>SUMPRODUCT(LEN(SUBSTITUTE(SUBSTITUTE(SUBSTITUTE(M504:M508," ",""),"0",""),"-",""))+LEN(SUBSTITUTE(SUBSTITUTE(SUBSTITUTE(N504:N508," ",""),"0",""),"-","")))</f>
      </c>
      <c r="N503" s="14" t="str">
        <f>SUMPRODUCT((UPPER(L504:L508)&lt;&gt;"X")*((LEN(SUBSTITUTE(SUBSTITUTE(SUBSTITUTE(M504:M508," ",""),"0",""),"-",""))+LEN(SUBSTITUTE(SUBSTITUTE(SUBSTITUTE(N504:N508," ",""),"0",""),"-","")))&gt;(LEN(SUBSTITUTE(SUBSTITUTE(SUBSTITUTE(J504:J508," ",""),"0",""),"-",""))+LEN(SUBSTITUTE(SUBSTITUTE(SUBSTITUTE(K504:K508," ",""),"0",""),"-",""))))*1)</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SUMPRODUCT((UPPER(D531:D535)&lt;&gt;"X")*((LEN(SUBSTITUTE(SUBSTITUTE(SUBSTITUTE(B531:B535," ",""),"0",""),"-",""))+LEN(SUBSTITUTE(SUBSTITUTE(SUBSTITUTE(C531:C535," ",""),"0",""),"-","")))&gt;(LEN(SUBSTITUTE(SUBSTITUTE(SUBSTITUTE(E531:E535," ",""),"0",""),"-",""))+LEN(SUBSTITUTE(SUBSTITUTE(SUBSTITUTE(F531:F535," ",""),"0",""),"-",""))))*1)</f>
      </c>
      <c r="C530" s="14" t="str">
        <f>SUMPRODUCT(LEN(SUBSTITUTE(SUBSTITUTE(SUBSTITUTE(B531:B535," ",""),"0",""),"-",""))+LEN(SUBSTITUTE(SUBSTITUTE(SUBSTITUTE(C531:C535," ",""),"0",""),"-","")))</f>
      </c>
      <c r="D530" s="18"/>
      <c r="E530" s="14" t="str">
        <f>SUMPRODUCT(LEN(SUBSTITUTE(SUBSTITUTE(SUBSTITUTE(E531:E535," ",""),"0",""),"-",""))+LEN(SUBSTITUTE(SUBSTITUTE(SUBSTITUTE(F531:F535," ",""),"0",""),"-","")))</f>
      </c>
      <c r="F530" s="14" t="str">
        <f>SUMPRODUCT((UPPER(D531:D535)&lt;&gt;"X")*((LEN(SUBSTITUTE(SUBSTITUTE(SUBSTITUTE(E531:E535," ",""),"0",""),"-",""))+LEN(SUBSTITUTE(SUBSTITUTE(SUBSTITUTE(F531:F535," ",""),"0",""),"-","")))&gt;(LEN(SUBSTITUTE(SUBSTITUTE(SUBSTITUTE(B531:B535," ",""),"0",""),"-",""))+LEN(SUBSTITUTE(SUBSTITUTE(SUBSTITUTE(C531:C535," ",""),"0",""),"-",""))))*1)</f>
      </c>
      <c r="G530" s="14" t="str">
        <f>'data'!$B$40</f>
      </c>
      <c r="I530" s="14" t="str">
        <f>'data'!$B$86</f>
      </c>
      <c r="J530" s="14" t="str">
        <f>SUMPRODUCT((UPPER(L531:L535)&lt;&gt;"X")*((LEN(SUBSTITUTE(SUBSTITUTE(SUBSTITUTE(J531:J535," ",""),"0",""),"-",""))+LEN(SUBSTITUTE(SUBSTITUTE(SUBSTITUTE(K531:K535," ",""),"0",""),"-","")))&gt;(LEN(SUBSTITUTE(SUBSTITUTE(SUBSTITUTE(M531:M535," ",""),"0",""),"-",""))+LEN(SUBSTITUTE(SUBSTITUTE(SUBSTITUTE(N531:N535," ",""),"0",""),"-",""))))*1)</f>
      </c>
      <c r="K530" s="14" t="str">
        <f>SUMPRODUCT(LEN(SUBSTITUTE(SUBSTITUTE(SUBSTITUTE(J531:J535," ",""),"0",""),"-",""))+LEN(SUBSTITUTE(SUBSTITUTE(SUBSTITUTE(K531:K535," ",""),"0",""),"-","")))</f>
      </c>
      <c r="L530" s="18"/>
      <c r="M530" s="14" t="str">
        <f>SUMPRODUCT(LEN(SUBSTITUTE(SUBSTITUTE(SUBSTITUTE(M531:M535," ",""),"0",""),"-",""))+LEN(SUBSTITUTE(SUBSTITUTE(SUBSTITUTE(N531:N535," ",""),"0",""),"-","")))</f>
      </c>
      <c r="N530" s="14" t="str">
        <f>SUMPRODUCT((UPPER(L531:L535)&lt;&gt;"X")*((LEN(SUBSTITUTE(SUBSTITUTE(SUBSTITUTE(M531:M535," ",""),"0",""),"-",""))+LEN(SUBSTITUTE(SUBSTITUTE(SUBSTITUTE(N531:N535," ",""),"0",""),"-","")))&gt;(LEN(SUBSTITUTE(SUBSTITUTE(SUBSTITUTE(J531:J535," ",""),"0",""),"-",""))+LEN(SUBSTITUTE(SUBSTITUTE(SUBSTITUTE(K531:K535," ",""),"0",""),"-",""))))*1)</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SUMPRODUCT((UPPER(D539:D543)&lt;&gt;"X")*((LEN(SUBSTITUTE(SUBSTITUTE(SUBSTITUTE(B539:B543," ",""),"0",""),"-",""))+LEN(SUBSTITUTE(SUBSTITUTE(SUBSTITUTE(C539:C543," ",""),"0",""),"-","")))&gt;(LEN(SUBSTITUTE(SUBSTITUTE(SUBSTITUTE(E539:E543," ",""),"0",""),"-",""))+LEN(SUBSTITUTE(SUBSTITUTE(SUBSTITUTE(F539:F543," ",""),"0",""),"-",""))))*1)</f>
      </c>
      <c r="C538" s="14" t="str">
        <f>SUMPRODUCT(LEN(SUBSTITUTE(SUBSTITUTE(SUBSTITUTE(B539:B543," ",""),"0",""),"-",""))+LEN(SUBSTITUTE(SUBSTITUTE(SUBSTITUTE(C539:C543," ",""),"0",""),"-","")))</f>
      </c>
      <c r="D538" s="18"/>
      <c r="E538" s="14" t="str">
        <f>SUMPRODUCT(LEN(SUBSTITUTE(SUBSTITUTE(SUBSTITUTE(E539:E543," ",""),"0",""),"-",""))+LEN(SUBSTITUTE(SUBSTITUTE(SUBSTITUTE(F539:F543," ",""),"0",""),"-","")))</f>
      </c>
      <c r="F538" s="14" t="str">
        <f>SUMPRODUCT((UPPER(D539:D543)&lt;&gt;"X")*((LEN(SUBSTITUTE(SUBSTITUTE(SUBSTITUTE(E539:E543," ",""),"0",""),"-",""))+LEN(SUBSTITUTE(SUBSTITUTE(SUBSTITUTE(F539:F543," ",""),"0",""),"-","")))&gt;(LEN(SUBSTITUTE(SUBSTITUTE(SUBSTITUTE(B539:B543," ",""),"0",""),"-",""))+LEN(SUBSTITUTE(SUBSTITUTE(SUBSTITUTE(C539:C543," ",""),"0",""),"-",""))))*1)</f>
      </c>
      <c r="G538" s="14" t="str">
        <f>'data'!$B$40</f>
      </c>
      <c r="I538" s="14" t="str">
        <f>'data'!$B$87</f>
      </c>
      <c r="J538" s="14" t="str">
        <f>SUMPRODUCT((UPPER(L539:L543)&lt;&gt;"X")*((LEN(SUBSTITUTE(SUBSTITUTE(SUBSTITUTE(J539:J543," ",""),"0",""),"-",""))+LEN(SUBSTITUTE(SUBSTITUTE(SUBSTITUTE(K539:K543," ",""),"0",""),"-","")))&gt;(LEN(SUBSTITUTE(SUBSTITUTE(SUBSTITUTE(M539:M543," ",""),"0",""),"-",""))+LEN(SUBSTITUTE(SUBSTITUTE(SUBSTITUTE(N539:N543," ",""),"0",""),"-",""))))*1)</f>
      </c>
      <c r="K538" s="14" t="str">
        <f>SUMPRODUCT(LEN(SUBSTITUTE(SUBSTITUTE(SUBSTITUTE(J539:J543," ",""),"0",""),"-",""))+LEN(SUBSTITUTE(SUBSTITUTE(SUBSTITUTE(K539:K543," ",""),"0",""),"-","")))</f>
      </c>
      <c r="L538" s="18"/>
      <c r="M538" s="14" t="str">
        <f>SUMPRODUCT(LEN(SUBSTITUTE(SUBSTITUTE(SUBSTITUTE(M539:M543," ",""),"0",""),"-",""))+LEN(SUBSTITUTE(SUBSTITUTE(SUBSTITUTE(N539:N543," ",""),"0",""),"-","")))</f>
      </c>
      <c r="N538" s="14" t="str">
        <f>SUMPRODUCT((UPPER(L539:L543)&lt;&gt;"X")*((LEN(SUBSTITUTE(SUBSTITUTE(SUBSTITUTE(M539:M543," ",""),"0",""),"-",""))+LEN(SUBSTITUTE(SUBSTITUTE(SUBSTITUTE(N539:N543," ",""),"0",""),"-","")))&gt;(LEN(SUBSTITUTE(SUBSTITUTE(SUBSTITUTE(J539:J543," ",""),"0",""),"-",""))+LEN(SUBSTITUTE(SUBSTITUTE(SUBSTITUTE(K539:K543," ",""),"0",""),"-",""))))*1)</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SUMPRODUCT((UPPER(D547:D551)&lt;&gt;"X")*((LEN(SUBSTITUTE(SUBSTITUTE(SUBSTITUTE(B547:B551," ",""),"0",""),"-",""))+LEN(SUBSTITUTE(SUBSTITUTE(SUBSTITUTE(C547:C551," ",""),"0",""),"-","")))&gt;(LEN(SUBSTITUTE(SUBSTITUTE(SUBSTITUTE(E547:E551," ",""),"0",""),"-",""))+LEN(SUBSTITUTE(SUBSTITUTE(SUBSTITUTE(F547:F551," ",""),"0",""),"-",""))))*1)</f>
      </c>
      <c r="C546" s="14" t="str">
        <f>SUMPRODUCT(LEN(SUBSTITUTE(SUBSTITUTE(SUBSTITUTE(B547:B551," ",""),"0",""),"-",""))+LEN(SUBSTITUTE(SUBSTITUTE(SUBSTITUTE(C547:C551," ",""),"0",""),"-","")))</f>
      </c>
      <c r="D546" s="18"/>
      <c r="E546" s="14" t="str">
        <f>SUMPRODUCT(LEN(SUBSTITUTE(SUBSTITUTE(SUBSTITUTE(E547:E551," ",""),"0",""),"-",""))+LEN(SUBSTITUTE(SUBSTITUTE(SUBSTITUTE(F547:F551," ",""),"0",""),"-","")))</f>
      </c>
      <c r="F546" s="14" t="str">
        <f>SUMPRODUCT((UPPER(D547:D551)&lt;&gt;"X")*((LEN(SUBSTITUTE(SUBSTITUTE(SUBSTITUTE(E547:E551," ",""),"0",""),"-",""))+LEN(SUBSTITUTE(SUBSTITUTE(SUBSTITUTE(F547:F551," ",""),"0",""),"-","")))&gt;(LEN(SUBSTITUTE(SUBSTITUTE(SUBSTITUTE(B547:B551," ",""),"0",""),"-",""))+LEN(SUBSTITUTE(SUBSTITUTE(SUBSTITUTE(C547:C551," ",""),"0",""),"-",""))))*1)</f>
      </c>
      <c r="G546" s="14" t="str">
        <f>'data'!$B$41</f>
      </c>
      <c r="I546" s="14" t="str">
        <f>'data'!$B$87</f>
      </c>
      <c r="J546" s="14" t="str">
        <f>SUMPRODUCT((UPPER(L547:L551)&lt;&gt;"X")*((LEN(SUBSTITUTE(SUBSTITUTE(SUBSTITUTE(J547:J551," ",""),"0",""),"-",""))+LEN(SUBSTITUTE(SUBSTITUTE(SUBSTITUTE(K547:K551," ",""),"0",""),"-","")))&gt;(LEN(SUBSTITUTE(SUBSTITUTE(SUBSTITUTE(M547:M551," ",""),"0",""),"-",""))+LEN(SUBSTITUTE(SUBSTITUTE(SUBSTITUTE(N547:N551," ",""),"0",""),"-",""))))*1)</f>
      </c>
      <c r="K546" s="14" t="str">
        <f>SUMPRODUCT(LEN(SUBSTITUTE(SUBSTITUTE(SUBSTITUTE(J547:J551," ",""),"0",""),"-",""))+LEN(SUBSTITUTE(SUBSTITUTE(SUBSTITUTE(K547:K551," ",""),"0",""),"-","")))</f>
      </c>
      <c r="L546" s="18"/>
      <c r="M546" s="14" t="str">
        <f>SUMPRODUCT(LEN(SUBSTITUTE(SUBSTITUTE(SUBSTITUTE(M547:M551," ",""),"0",""),"-",""))+LEN(SUBSTITUTE(SUBSTITUTE(SUBSTITUTE(N547:N551," ",""),"0",""),"-","")))</f>
      </c>
      <c r="N546" s="14" t="str">
        <f>SUMPRODUCT((UPPER(L547:L551)&lt;&gt;"X")*((LEN(SUBSTITUTE(SUBSTITUTE(SUBSTITUTE(M547:M551," ",""),"0",""),"-",""))+LEN(SUBSTITUTE(SUBSTITUTE(SUBSTITUTE(N547:N551," ",""),"0",""),"-","")))&gt;(LEN(SUBSTITUTE(SUBSTITUTE(SUBSTITUTE(J547:J551," ",""),"0",""),"-",""))+LEN(SUBSTITUTE(SUBSTITUTE(SUBSTITUTE(K547:K551," ",""),"0",""),"-",""))))*1)</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SUMPRODUCT((UPPER(D574:D578)&lt;&gt;"X")*((LEN(SUBSTITUTE(SUBSTITUTE(SUBSTITUTE(B574:B578," ",""),"0",""),"-",""))+LEN(SUBSTITUTE(SUBSTITUTE(SUBSTITUTE(C574:C578," ",""),"0",""),"-","")))&gt;(LEN(SUBSTITUTE(SUBSTITUTE(SUBSTITUTE(E574:E578," ",""),"0",""),"-",""))+LEN(SUBSTITUTE(SUBSTITUTE(SUBSTITUTE(F574:F578," ",""),"0",""),"-",""))))*1)</f>
      </c>
      <c r="C573" s="14" t="str">
        <f>SUMPRODUCT(LEN(SUBSTITUTE(SUBSTITUTE(SUBSTITUTE(B574:B578," ",""),"0",""),"-",""))+LEN(SUBSTITUTE(SUBSTITUTE(SUBSTITUTE(C574:C578," ",""),"0",""),"-","")))</f>
      </c>
      <c r="D573" s="18"/>
      <c r="E573" s="14" t="str">
        <f>SUMPRODUCT(LEN(SUBSTITUTE(SUBSTITUTE(SUBSTITUTE(E574:E578," ",""),"0",""),"-",""))+LEN(SUBSTITUTE(SUBSTITUTE(SUBSTITUTE(F574:F578," ",""),"0",""),"-","")))</f>
      </c>
      <c r="F573" s="14" t="str">
        <f>SUMPRODUCT((UPPER(D574:D578)&lt;&gt;"X")*((LEN(SUBSTITUTE(SUBSTITUTE(SUBSTITUTE(E574:E578," ",""),"0",""),"-",""))+LEN(SUBSTITUTE(SUBSTITUTE(SUBSTITUTE(F574:F578," ",""),"0",""),"-","")))&gt;(LEN(SUBSTITUTE(SUBSTITUTE(SUBSTITUTE(B574:B578," ",""),"0",""),"-",""))+LEN(SUBSTITUTE(SUBSTITUTE(SUBSTITUTE(C574:C578," ",""),"0",""),"-",""))))*1)</f>
      </c>
      <c r="G573" s="14" t="str">
        <f>'data'!$B$43</f>
      </c>
      <c r="I573" s="14" t="str">
        <f>'data'!$B$89</f>
      </c>
      <c r="J573" s="14" t="str">
        <f>SUMPRODUCT((UPPER(L574:L578)&lt;&gt;"X")*((LEN(SUBSTITUTE(SUBSTITUTE(SUBSTITUTE(J574:J578," ",""),"0",""),"-",""))+LEN(SUBSTITUTE(SUBSTITUTE(SUBSTITUTE(K574:K578," ",""),"0",""),"-","")))&gt;(LEN(SUBSTITUTE(SUBSTITUTE(SUBSTITUTE(M574:M578," ",""),"0",""),"-",""))+LEN(SUBSTITUTE(SUBSTITUTE(SUBSTITUTE(N574:N578," ",""),"0",""),"-",""))))*1)</f>
      </c>
      <c r="K573" s="14" t="str">
        <f>SUMPRODUCT(LEN(SUBSTITUTE(SUBSTITUTE(SUBSTITUTE(J574:J578," ",""),"0",""),"-",""))+LEN(SUBSTITUTE(SUBSTITUTE(SUBSTITUTE(K574:K578," ",""),"0",""),"-","")))</f>
      </c>
      <c r="L573" s="18"/>
      <c r="M573" s="14" t="str">
        <f>SUMPRODUCT(LEN(SUBSTITUTE(SUBSTITUTE(SUBSTITUTE(M574:M578," ",""),"0",""),"-",""))+LEN(SUBSTITUTE(SUBSTITUTE(SUBSTITUTE(N574:N578," ",""),"0",""),"-","")))</f>
      </c>
      <c r="N573" s="14" t="str">
        <f>SUMPRODUCT((UPPER(L574:L578)&lt;&gt;"X")*((LEN(SUBSTITUTE(SUBSTITUTE(SUBSTITUTE(M574:M578," ",""),"0",""),"-",""))+LEN(SUBSTITUTE(SUBSTITUTE(SUBSTITUTE(N574:N578," ",""),"0",""),"-","")))&gt;(LEN(SUBSTITUTE(SUBSTITUTE(SUBSTITUTE(J574:J578," ",""),"0",""),"-",""))+LEN(SUBSTITUTE(SUBSTITUTE(SUBSTITUTE(K574:K578," ",""),"0",""),"-",""))))*1)</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SUMPRODUCT((UPPER(D582:D586)&lt;&gt;"X")*((LEN(SUBSTITUTE(SUBSTITUTE(SUBSTITUTE(B582:B586," ",""),"0",""),"-",""))+LEN(SUBSTITUTE(SUBSTITUTE(SUBSTITUTE(C582:C586," ",""),"0",""),"-","")))&gt;(LEN(SUBSTITUTE(SUBSTITUTE(SUBSTITUTE(E582:E586," ",""),"0",""),"-",""))+LEN(SUBSTITUTE(SUBSTITUTE(SUBSTITUTE(F582:F586," ",""),"0",""),"-",""))))*1)</f>
      </c>
      <c r="C581" s="14" t="str">
        <f>SUMPRODUCT(LEN(SUBSTITUTE(SUBSTITUTE(SUBSTITUTE(B582:B586," ",""),"0",""),"-",""))+LEN(SUBSTITUTE(SUBSTITUTE(SUBSTITUTE(C582:C586," ",""),"0",""),"-","")))</f>
      </c>
      <c r="D581" s="18"/>
      <c r="E581" s="14" t="str">
        <f>SUMPRODUCT(LEN(SUBSTITUTE(SUBSTITUTE(SUBSTITUTE(E582:E586," ",""),"0",""),"-",""))+LEN(SUBSTITUTE(SUBSTITUTE(SUBSTITUTE(F582:F586," ",""),"0",""),"-","")))</f>
      </c>
      <c r="F581" s="14" t="str">
        <f>SUMPRODUCT((UPPER(D582:D586)&lt;&gt;"X")*((LEN(SUBSTITUTE(SUBSTITUTE(SUBSTITUTE(E582:E586," ",""),"0",""),"-",""))+LEN(SUBSTITUTE(SUBSTITUTE(SUBSTITUTE(F582:F586," ",""),"0",""),"-","")))&gt;(LEN(SUBSTITUTE(SUBSTITUTE(SUBSTITUTE(B582:B586," ",""),"0",""),"-",""))+LEN(SUBSTITUTE(SUBSTITUTE(SUBSTITUTE(C582:C586," ",""),"0",""),"-",""))))*1)</f>
      </c>
      <c r="G581" s="14" t="str">
        <f>'data'!$B$43</f>
      </c>
      <c r="I581" s="14" t="str">
        <f>'data'!$B$90</f>
      </c>
      <c r="J581" s="14" t="str">
        <f>SUMPRODUCT((UPPER(L582:L586)&lt;&gt;"X")*((LEN(SUBSTITUTE(SUBSTITUTE(SUBSTITUTE(J582:J586," ",""),"0",""),"-",""))+LEN(SUBSTITUTE(SUBSTITUTE(SUBSTITUTE(K582:K586," ",""),"0",""),"-","")))&gt;(LEN(SUBSTITUTE(SUBSTITUTE(SUBSTITUTE(M582:M586," ",""),"0",""),"-",""))+LEN(SUBSTITUTE(SUBSTITUTE(SUBSTITUTE(N582:N586," ",""),"0",""),"-",""))))*1)</f>
      </c>
      <c r="K581" s="14" t="str">
        <f>SUMPRODUCT(LEN(SUBSTITUTE(SUBSTITUTE(SUBSTITUTE(J582:J586," ",""),"0",""),"-",""))+LEN(SUBSTITUTE(SUBSTITUTE(SUBSTITUTE(K582:K586," ",""),"0",""),"-","")))</f>
      </c>
      <c r="L581" s="18"/>
      <c r="M581" s="14" t="str">
        <f>SUMPRODUCT(LEN(SUBSTITUTE(SUBSTITUTE(SUBSTITUTE(M582:M586," ",""),"0",""),"-",""))+LEN(SUBSTITUTE(SUBSTITUTE(SUBSTITUTE(N582:N586," ",""),"0",""),"-","")))</f>
      </c>
      <c r="N581" s="14" t="str">
        <f>SUMPRODUCT((UPPER(L582:L586)&lt;&gt;"X")*((LEN(SUBSTITUTE(SUBSTITUTE(SUBSTITUTE(M582:M586," ",""),"0",""),"-",""))+LEN(SUBSTITUTE(SUBSTITUTE(SUBSTITUTE(N582:N586," ",""),"0",""),"-","")))&gt;(LEN(SUBSTITUTE(SUBSTITUTE(SUBSTITUTE(J582:J586," ",""),"0",""),"-",""))+LEN(SUBSTITUTE(SUBSTITUTE(SUBSTITUTE(K582:K586," ",""),"0",""),"-",""))))*1)</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SUMPRODUCT((UPPER(D590:D594)&lt;&gt;"X")*((LEN(SUBSTITUTE(SUBSTITUTE(SUBSTITUTE(B590:B594," ",""),"0",""),"-",""))+LEN(SUBSTITUTE(SUBSTITUTE(SUBSTITUTE(C590:C594," ",""),"0",""),"-","")))&gt;(LEN(SUBSTITUTE(SUBSTITUTE(SUBSTITUTE(E590:E594," ",""),"0",""),"-",""))+LEN(SUBSTITUTE(SUBSTITUTE(SUBSTITUTE(F590:F594," ",""),"0",""),"-",""))))*1)</f>
      </c>
      <c r="C589" s="14" t="str">
        <f>SUMPRODUCT(LEN(SUBSTITUTE(SUBSTITUTE(SUBSTITUTE(B590:B594," ",""),"0",""),"-",""))+LEN(SUBSTITUTE(SUBSTITUTE(SUBSTITUTE(C590:C594," ",""),"0",""),"-","")))</f>
      </c>
      <c r="D589" s="18"/>
      <c r="E589" s="14" t="str">
        <f>SUMPRODUCT(LEN(SUBSTITUTE(SUBSTITUTE(SUBSTITUTE(E590:E594," ",""),"0",""),"-",""))+LEN(SUBSTITUTE(SUBSTITUTE(SUBSTITUTE(F590:F594," ",""),"0",""),"-","")))</f>
      </c>
      <c r="F589" s="14" t="str">
        <f>SUMPRODUCT((UPPER(D590:D594)&lt;&gt;"X")*((LEN(SUBSTITUTE(SUBSTITUTE(SUBSTITUTE(E590:E594," ",""),"0",""),"-",""))+LEN(SUBSTITUTE(SUBSTITUTE(SUBSTITUTE(F590:F594," ",""),"0",""),"-","")))&gt;(LEN(SUBSTITUTE(SUBSTITUTE(SUBSTITUTE(B590:B594," ",""),"0",""),"-",""))+LEN(SUBSTITUTE(SUBSTITUTE(SUBSTITUTE(C590:C594," ",""),"0",""),"-",""))))*1)</f>
      </c>
      <c r="G589" s="14" t="str">
        <f>'data'!$B$44</f>
      </c>
      <c r="I589" s="14" t="str">
        <f>'data'!$B$90</f>
      </c>
      <c r="J589" s="14" t="str">
        <f>SUMPRODUCT((UPPER(L590:L594)&lt;&gt;"X")*((LEN(SUBSTITUTE(SUBSTITUTE(SUBSTITUTE(J590:J594," ",""),"0",""),"-",""))+LEN(SUBSTITUTE(SUBSTITUTE(SUBSTITUTE(K590:K594," ",""),"0",""),"-","")))&gt;(LEN(SUBSTITUTE(SUBSTITUTE(SUBSTITUTE(M590:M594," ",""),"0",""),"-",""))+LEN(SUBSTITUTE(SUBSTITUTE(SUBSTITUTE(N590:N594," ",""),"0",""),"-",""))))*1)</f>
      </c>
      <c r="K589" s="14" t="str">
        <f>SUMPRODUCT(LEN(SUBSTITUTE(SUBSTITUTE(SUBSTITUTE(J590:J594," ",""),"0",""),"-",""))+LEN(SUBSTITUTE(SUBSTITUTE(SUBSTITUTE(K590:K594," ",""),"0",""),"-","")))</f>
      </c>
      <c r="L589" s="18"/>
      <c r="M589" s="14" t="str">
        <f>SUMPRODUCT(LEN(SUBSTITUTE(SUBSTITUTE(SUBSTITUTE(M590:M594," ",""),"0",""),"-",""))+LEN(SUBSTITUTE(SUBSTITUTE(SUBSTITUTE(N590:N594," ",""),"0",""),"-","")))</f>
      </c>
      <c r="N589" s="14" t="str">
        <f>SUMPRODUCT((UPPER(L590:L594)&lt;&gt;"X")*((LEN(SUBSTITUTE(SUBSTITUTE(SUBSTITUTE(M590:M594," ",""),"0",""),"-",""))+LEN(SUBSTITUTE(SUBSTITUTE(SUBSTITUTE(N590:N594," ",""),"0",""),"-","")))&gt;(LEN(SUBSTITUTE(SUBSTITUTE(SUBSTITUTE(J590:J594," ",""),"0",""),"-",""))+LEN(SUBSTITUTE(SUBSTITUTE(SUBSTITUTE(K590:K594," ",""),"0",""),"-",""))))*1)</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SUMPRODUCT((UPPER(D617:D621)&lt;&gt;"X")*((LEN(SUBSTITUTE(SUBSTITUTE(SUBSTITUTE(B617:B621," ",""),"0",""),"-",""))+LEN(SUBSTITUTE(SUBSTITUTE(SUBSTITUTE(C617:C621," ",""),"0",""),"-","")))&gt;(LEN(SUBSTITUTE(SUBSTITUTE(SUBSTITUTE(E617:E621," ",""),"0",""),"-",""))+LEN(SUBSTITUTE(SUBSTITUTE(SUBSTITUTE(F617:F621," ",""),"0",""),"-",""))))*1)</f>
      </c>
      <c r="C616" s="14" t="str">
        <f>SUMPRODUCT(LEN(SUBSTITUTE(SUBSTITUTE(SUBSTITUTE(B617:B621," ",""),"0",""),"-",""))+LEN(SUBSTITUTE(SUBSTITUTE(SUBSTITUTE(C617:C621," ",""),"0",""),"-","")))</f>
      </c>
      <c r="D616" s="18"/>
      <c r="E616" s="14" t="str">
        <f>SUMPRODUCT(LEN(SUBSTITUTE(SUBSTITUTE(SUBSTITUTE(E617:E621," ",""),"0",""),"-",""))+LEN(SUBSTITUTE(SUBSTITUTE(SUBSTITUTE(F617:F621," ",""),"0",""),"-","")))</f>
      </c>
      <c r="F616" s="14" t="str">
        <f>SUMPRODUCT((UPPER(D617:D621)&lt;&gt;"X")*((LEN(SUBSTITUTE(SUBSTITUTE(SUBSTITUTE(E617:E621," ",""),"0",""),"-",""))+LEN(SUBSTITUTE(SUBSTITUTE(SUBSTITUTE(F617:F621," ",""),"0",""),"-","")))&gt;(LEN(SUBSTITUTE(SUBSTITUTE(SUBSTITUTE(B617:B621," ",""),"0",""),"-",""))+LEN(SUBSTITUTE(SUBSTITUTE(SUBSTITUTE(C617:C621," ",""),"0",""),"-",""))))*1)</f>
      </c>
      <c r="G616" s="14" t="str">
        <f>'data'!$B$46</f>
      </c>
      <c r="I616" s="14" t="str">
        <f>'data'!$B$92</f>
      </c>
      <c r="J616" s="14" t="str">
        <f>SUMPRODUCT((UPPER(L617:L621)&lt;&gt;"X")*((LEN(SUBSTITUTE(SUBSTITUTE(SUBSTITUTE(J617:J621," ",""),"0",""),"-",""))+LEN(SUBSTITUTE(SUBSTITUTE(SUBSTITUTE(K617:K621," ",""),"0",""),"-","")))&gt;(LEN(SUBSTITUTE(SUBSTITUTE(SUBSTITUTE(M617:M621," ",""),"0",""),"-",""))+LEN(SUBSTITUTE(SUBSTITUTE(SUBSTITUTE(N617:N621," ",""),"0",""),"-",""))))*1)</f>
      </c>
      <c r="K616" s="14" t="str">
        <f>SUMPRODUCT(LEN(SUBSTITUTE(SUBSTITUTE(SUBSTITUTE(J617:J621," ",""),"0",""),"-",""))+LEN(SUBSTITUTE(SUBSTITUTE(SUBSTITUTE(K617:K621," ",""),"0",""),"-","")))</f>
      </c>
      <c r="L616" s="18"/>
      <c r="M616" s="14" t="str">
        <f>SUMPRODUCT(LEN(SUBSTITUTE(SUBSTITUTE(SUBSTITUTE(M617:M621," ",""),"0",""),"-",""))+LEN(SUBSTITUTE(SUBSTITUTE(SUBSTITUTE(N617:N621," ",""),"0",""),"-","")))</f>
      </c>
      <c r="N616" s="14" t="str">
        <f>SUMPRODUCT((UPPER(L617:L621)&lt;&gt;"X")*((LEN(SUBSTITUTE(SUBSTITUTE(SUBSTITUTE(M617:M621," ",""),"0",""),"-",""))+LEN(SUBSTITUTE(SUBSTITUTE(SUBSTITUTE(N617:N621," ",""),"0",""),"-","")))&gt;(LEN(SUBSTITUTE(SUBSTITUTE(SUBSTITUTE(J617:J621," ",""),"0",""),"-",""))+LEN(SUBSTITUTE(SUBSTITUTE(SUBSTITUTE(K617:K621," ",""),"0",""),"-",""))))*1)</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SUMPRODUCT((UPPER(D625:D629)&lt;&gt;"X")*((LEN(SUBSTITUTE(SUBSTITUTE(SUBSTITUTE(B625:B629," ",""),"0",""),"-",""))+LEN(SUBSTITUTE(SUBSTITUTE(SUBSTITUTE(C625:C629," ",""),"0",""),"-","")))&gt;(LEN(SUBSTITUTE(SUBSTITUTE(SUBSTITUTE(E625:E629," ",""),"0",""),"-",""))+LEN(SUBSTITUTE(SUBSTITUTE(SUBSTITUTE(F625:F629," ",""),"0",""),"-",""))))*1)</f>
      </c>
      <c r="C624" s="14" t="str">
        <f>SUMPRODUCT(LEN(SUBSTITUTE(SUBSTITUTE(SUBSTITUTE(B625:B629," ",""),"0",""),"-",""))+LEN(SUBSTITUTE(SUBSTITUTE(SUBSTITUTE(C625:C629," ",""),"0",""),"-","")))</f>
      </c>
      <c r="D624" s="18"/>
      <c r="E624" s="14" t="str">
        <f>SUMPRODUCT(LEN(SUBSTITUTE(SUBSTITUTE(SUBSTITUTE(E625:E629," ",""),"0",""),"-",""))+LEN(SUBSTITUTE(SUBSTITUTE(SUBSTITUTE(F625:F629," ",""),"0",""),"-","")))</f>
      </c>
      <c r="F624" s="14" t="str">
        <f>SUMPRODUCT((UPPER(D625:D629)&lt;&gt;"X")*((LEN(SUBSTITUTE(SUBSTITUTE(SUBSTITUTE(E625:E629," ",""),"0",""),"-",""))+LEN(SUBSTITUTE(SUBSTITUTE(SUBSTITUTE(F625:F629," ",""),"0",""),"-","")))&gt;(LEN(SUBSTITUTE(SUBSTITUTE(SUBSTITUTE(B625:B629," ",""),"0",""),"-",""))+LEN(SUBSTITUTE(SUBSTITUTE(SUBSTITUTE(C625:C629," ",""),"0",""),"-",""))))*1)</f>
      </c>
      <c r="G624" s="14" t="str">
        <f>'data'!$B$46</f>
      </c>
      <c r="I624" s="14" t="str">
        <f>'data'!$B$93</f>
      </c>
      <c r="J624" s="14" t="str">
        <f>SUMPRODUCT((UPPER(L625:L629)&lt;&gt;"X")*((LEN(SUBSTITUTE(SUBSTITUTE(SUBSTITUTE(J625:J629," ",""),"0",""),"-",""))+LEN(SUBSTITUTE(SUBSTITUTE(SUBSTITUTE(K625:K629," ",""),"0",""),"-","")))&gt;(LEN(SUBSTITUTE(SUBSTITUTE(SUBSTITUTE(M625:M629," ",""),"0",""),"-",""))+LEN(SUBSTITUTE(SUBSTITUTE(SUBSTITUTE(N625:N629," ",""),"0",""),"-",""))))*1)</f>
      </c>
      <c r="K624" s="14" t="str">
        <f>SUMPRODUCT(LEN(SUBSTITUTE(SUBSTITUTE(SUBSTITUTE(J625:J629," ",""),"0",""),"-",""))+LEN(SUBSTITUTE(SUBSTITUTE(SUBSTITUTE(K625:K629," ",""),"0",""),"-","")))</f>
      </c>
      <c r="L624" s="18"/>
      <c r="M624" s="14" t="str">
        <f>SUMPRODUCT(LEN(SUBSTITUTE(SUBSTITUTE(SUBSTITUTE(M625:M629," ",""),"0",""),"-",""))+LEN(SUBSTITUTE(SUBSTITUTE(SUBSTITUTE(N625:N629," ",""),"0",""),"-","")))</f>
      </c>
      <c r="N624" s="14" t="str">
        <f>SUMPRODUCT((UPPER(L625:L629)&lt;&gt;"X")*((LEN(SUBSTITUTE(SUBSTITUTE(SUBSTITUTE(M625:M629," ",""),"0",""),"-",""))+LEN(SUBSTITUTE(SUBSTITUTE(SUBSTITUTE(N625:N629," ",""),"0",""),"-","")))&gt;(LEN(SUBSTITUTE(SUBSTITUTE(SUBSTITUTE(J625:J629," ",""),"0",""),"-",""))+LEN(SUBSTITUTE(SUBSTITUTE(SUBSTITUTE(K625:K629," ",""),"0",""),"-",""))))*1)</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SUMPRODUCT((UPPER(D633:D637)&lt;&gt;"X")*((LEN(SUBSTITUTE(SUBSTITUTE(SUBSTITUTE(B633:B637," ",""),"0",""),"-",""))+LEN(SUBSTITUTE(SUBSTITUTE(SUBSTITUTE(C633:C637," ",""),"0",""),"-","")))&gt;(LEN(SUBSTITUTE(SUBSTITUTE(SUBSTITUTE(E633:E637," ",""),"0",""),"-",""))+LEN(SUBSTITUTE(SUBSTITUTE(SUBSTITUTE(F633:F637," ",""),"0",""),"-",""))))*1)</f>
      </c>
      <c r="C632" s="14" t="str">
        <f>SUMPRODUCT(LEN(SUBSTITUTE(SUBSTITUTE(SUBSTITUTE(B633:B637," ",""),"0",""),"-",""))+LEN(SUBSTITUTE(SUBSTITUTE(SUBSTITUTE(C633:C637," ",""),"0",""),"-","")))</f>
      </c>
      <c r="D632" s="18"/>
      <c r="E632" s="14" t="str">
        <f>SUMPRODUCT(LEN(SUBSTITUTE(SUBSTITUTE(SUBSTITUTE(E633:E637," ",""),"0",""),"-",""))+LEN(SUBSTITUTE(SUBSTITUTE(SUBSTITUTE(F633:F637," ",""),"0",""),"-","")))</f>
      </c>
      <c r="F632" s="14" t="str">
        <f>SUMPRODUCT((UPPER(D633:D637)&lt;&gt;"X")*((LEN(SUBSTITUTE(SUBSTITUTE(SUBSTITUTE(E633:E637," ",""),"0",""),"-",""))+LEN(SUBSTITUTE(SUBSTITUTE(SUBSTITUTE(F633:F637," ",""),"0",""),"-","")))&gt;(LEN(SUBSTITUTE(SUBSTITUTE(SUBSTITUTE(B633:B637," ",""),"0",""),"-",""))+LEN(SUBSTITUTE(SUBSTITUTE(SUBSTITUTE(C633:C637," ",""),"0",""),"-",""))))*1)</f>
      </c>
      <c r="G632" s="14" t="str">
        <f>'data'!$B$47</f>
      </c>
      <c r="I632" s="14" t="str">
        <f>'data'!$B$93</f>
      </c>
      <c r="J632" s="14" t="str">
        <f>SUMPRODUCT((UPPER(L633:L637)&lt;&gt;"X")*((LEN(SUBSTITUTE(SUBSTITUTE(SUBSTITUTE(J633:J637," ",""),"0",""),"-",""))+LEN(SUBSTITUTE(SUBSTITUTE(SUBSTITUTE(K633:K637," ",""),"0",""),"-","")))&gt;(LEN(SUBSTITUTE(SUBSTITUTE(SUBSTITUTE(M633:M637," ",""),"0",""),"-",""))+LEN(SUBSTITUTE(SUBSTITUTE(SUBSTITUTE(N633:N637," ",""),"0",""),"-",""))))*1)</f>
      </c>
      <c r="K632" s="14" t="str">
        <f>SUMPRODUCT(LEN(SUBSTITUTE(SUBSTITUTE(SUBSTITUTE(J633:J637," ",""),"0",""),"-",""))+LEN(SUBSTITUTE(SUBSTITUTE(SUBSTITUTE(K633:K637," ",""),"0",""),"-","")))</f>
      </c>
      <c r="L632" s="18"/>
      <c r="M632" s="14" t="str">
        <f>SUMPRODUCT(LEN(SUBSTITUTE(SUBSTITUTE(SUBSTITUTE(M633:M637," ",""),"0",""),"-",""))+LEN(SUBSTITUTE(SUBSTITUTE(SUBSTITUTE(N633:N637," ",""),"0",""),"-","")))</f>
      </c>
      <c r="N632" s="14" t="str">
        <f>SUMPRODUCT((UPPER(L633:L637)&lt;&gt;"X")*((LEN(SUBSTITUTE(SUBSTITUTE(SUBSTITUTE(M633:M637," ",""),"0",""),"-",""))+LEN(SUBSTITUTE(SUBSTITUTE(SUBSTITUTE(N633:N637," ",""),"0",""),"-","")))&gt;(LEN(SUBSTITUTE(SUBSTITUTE(SUBSTITUTE(J633:J637," ",""),"0",""),"-",""))+LEN(SUBSTITUTE(SUBSTITUTE(SUBSTITUTE(K633:K637," ",""),"0",""),"-",""))))*1)</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Matches'!G94)</f>
      </c>
      <c r="B4" s="14"/>
      <c r="C4" s="14"/>
      <c r="D4" s="18"/>
      <c r="E4" s="14"/>
      <c r="F4" s="14"/>
      <c r="G4" s="14" t="str">
        <f>CONCATENATE("Pool C-1st ",'Pool Matches'!G136)</f>
      </c>
      <c r="I4" s="14" t="str">
        <f>CONCATENATE("Pool C-2nd ",'Pool Matches'!G137)</f>
      </c>
      <c r="J4" s="14"/>
      <c r="K4" s="14"/>
      <c r="L4" s="18"/>
      <c r="M4" s="14"/>
      <c r="N4" s="14"/>
      <c r="O4" s="14" t="str">
        <f>CONCATENATE("Pool A-2nd ",'Pool Matches'!G51)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Matches'!G94)</f>
      </c>
      <c r="B11" s="14" t="s">
        <v>246</v>
      </c>
      <c r="C11" s="14" t="s">
        <v>249</v>
      </c>
      <c r="D11" s="14"/>
      <c r="E11" s="14" t="s">
        <v>249</v>
      </c>
      <c r="F11" s="14" t="s">
        <v>246</v>
      </c>
      <c r="G11" s="14" t="str">
        <f>CONCATENATE("Pool C-1st ",'Pool Matches'!G136)</f>
      </c>
      <c r="I11" s="14" t="str">
        <f>CONCATENATE("Pool C-2nd ",'Pool Matches'!G137)</f>
      </c>
      <c r="J11" s="14" t="s">
        <v>246</v>
      </c>
      <c r="K11" s="14" t="s">
        <v>249</v>
      </c>
      <c r="L11" s="14"/>
      <c r="M11" s="14" t="s">
        <v>249</v>
      </c>
      <c r="N11" s="14" t="s">
        <v>246</v>
      </c>
      <c r="O11" s="14" t="str">
        <f>CONCATENATE("Pool A-2nd ",'Pool Matches'!G51)</f>
      </c>
    </row>
    <row r="12">
      <c r="A12" s="14" t="s">
        <v>348</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348</v>
      </c>
      <c r="I12" s="14" t="s">
        <v>348</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Matches'!G180)</f>
      </c>
      <c r="B20" s="14"/>
      <c r="C20" s="14"/>
      <c r="D20" s="18"/>
      <c r="E20" s="14"/>
      <c r="F20" s="14"/>
      <c r="G20" s="14" t="str">
        <f>CONCATENATE("Pool E-1st ",'Pool Matches'!G222)</f>
      </c>
      <c r="I20" s="14" t="str">
        <f>CONCATENATE("Pool E-2nd ",'Pool Matches'!G223)</f>
      </c>
      <c r="J20" s="14"/>
      <c r="K20" s="14"/>
      <c r="L20" s="18"/>
      <c r="M20" s="14"/>
      <c r="N20" s="14"/>
      <c r="O20" s="14" t="str">
        <f>CONCATENATE("Pool D-1st ",'Pool Matches'!G179)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Matches'!G180)</f>
      </c>
      <c r="B27" s="14" t="s">
        <v>246</v>
      </c>
      <c r="C27" s="14" t="s">
        <v>249</v>
      </c>
      <c r="D27" s="14"/>
      <c r="E27" s="14" t="s">
        <v>249</v>
      </c>
      <c r="F27" s="14" t="s">
        <v>246</v>
      </c>
      <c r="G27" s="14" t="str">
        <f>CONCATENATE("Pool E-1st ",'Pool Matches'!G222)</f>
      </c>
      <c r="I27" s="14" t="str">
        <f>CONCATENATE("Pool E-2nd ",'Pool Matches'!G223)</f>
      </c>
      <c r="J27" s="14" t="s">
        <v>246</v>
      </c>
      <c r="K27" s="14" t="s">
        <v>249</v>
      </c>
      <c r="L27" s="14"/>
      <c r="M27" s="14" t="s">
        <v>249</v>
      </c>
      <c r="N27" s="14" t="s">
        <v>246</v>
      </c>
      <c r="O27" s="14" t="str">
        <f>CONCATENATE("Pool D-1st ",'Pool Matches'!G179)</f>
      </c>
    </row>
    <row r="28">
      <c r="A28" s="14" t="s">
        <v>348</v>
      </c>
      <c r="B28" s="14" t="str">
        <f>SUMPRODUCT((UPPER(D21:D25)&lt;&gt;"X")*((LEN(SUBSTITUTE(SUBSTITUTE(SUBSTITUTE(B21:B25," ",""),"0",""),"-",""))+LEN(SUBSTITUTE(SUBSTITUTE(SUBSTITUTE(C21:C25," ",""),"0",""),"-","")))&gt;(LEN(SUBSTITUTE(SUBSTITUTE(SUBSTITUTE(E21:E25," ",""),"0",""),"-",""))+LEN(SUBSTITUTE(SUBSTITUTE(SUBSTITUTE(F21:F25," ",""),"0",""),"-",""))))*1)</f>
      </c>
      <c r="C28" s="14" t="str">
        <f>SUMPRODUCT(LEN(SUBSTITUTE(SUBSTITUTE(SUBSTITUTE(B21:B25," ",""),"0",""),"-",""))+LEN(SUBSTITUTE(SUBSTITUTE(SUBSTITUTE(C21:C25," ",""),"0",""),"-","")))</f>
      </c>
      <c r="D28" s="14"/>
      <c r="E28" s="14" t="str">
        <f>SUMPRODUCT(LEN(SUBSTITUTE(SUBSTITUTE(SUBSTITUTE(E21:E25," ",""),"0",""),"-",""))+LEN(SUBSTITUTE(SUBSTITUTE(SUBSTITUTE(F21:F25," ",""),"0",""),"-","")))</f>
      </c>
      <c r="F28" s="14" t="str">
        <f>SUMPRODUCT((UPPER(D21:D25)&lt;&gt;"X")*((LEN(SUBSTITUTE(SUBSTITUTE(SUBSTITUTE(E21:E25," ",""),"0",""),"-",""))+LEN(SUBSTITUTE(SUBSTITUTE(SUBSTITUTE(F21:F25," ",""),"0",""),"-","")))&gt;(LEN(SUBSTITUTE(SUBSTITUTE(SUBSTITUTE(B21:B25," ",""),"0",""),"-",""))+LEN(SUBSTITUTE(SUBSTITUTE(SUBSTITUTE(C21:C25," ",""),"0",""),"-",""))))*1)</f>
      </c>
      <c r="G28" s="14" t="s">
        <v>348</v>
      </c>
      <c r="I28" s="14" t="s">
        <v>348</v>
      </c>
      <c r="J28" s="14" t="str">
        <f>SUMPRODUCT((UPPER(L21:L25)&lt;&gt;"X")*((LEN(SUBSTITUTE(SUBSTITUTE(SUBSTITUTE(J21:J25," ",""),"0",""),"-",""))+LEN(SUBSTITUTE(SUBSTITUTE(SUBSTITUTE(K21:K25," ",""),"0",""),"-","")))&gt;(LEN(SUBSTITUTE(SUBSTITUTE(SUBSTITUTE(M21:M25," ",""),"0",""),"-",""))+LEN(SUBSTITUTE(SUBSTITUTE(SUBSTITUTE(N21:N25," ",""),"0",""),"-",""))))*1)</f>
      </c>
      <c r="K28" s="14" t="str">
        <f>SUMPRODUCT(LEN(SUBSTITUTE(SUBSTITUTE(SUBSTITUTE(J21:J25," ",""),"0",""),"-",""))+LEN(SUBSTITUTE(SUBSTITUTE(SUBSTITUTE(K21:K25," ",""),"0",""),"-","")))</f>
      </c>
      <c r="L28" s="14"/>
      <c r="M28" s="14" t="str">
        <f>SUMPRODUCT(LEN(SUBSTITUTE(SUBSTITUTE(SUBSTITUTE(M21:M25," ",""),"0",""),"-",""))+LEN(SUBSTITUTE(SUBSTITUTE(SUBSTITUTE(N21:N25," ",""),"0",""),"-","")))</f>
      </c>
      <c r="N28" s="14" t="str">
        <f>SUMPRODUCT((UPPER(L21:L25)&lt;&gt;"X")*((LEN(SUBSTITUTE(SUBSTITUTE(SUBSTITUTE(M21:M25," ",""),"0",""),"-",""))+LEN(SUBSTITUTE(SUBSTITUTE(SUBSTITUTE(N21:N25," ",""),"0",""),"-","")))&gt;(LEN(SUBSTITUTE(SUBSTITUTE(SUBSTITUTE(J21:J25," ",""),"0",""),"-",""))+LEN(SUBSTITUTE(SUBSTITUTE(SUBSTITUTE(K21:K25," ",""),"0",""),"-",""))))*1)</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Matches'!G266)</f>
      </c>
      <c r="B36" s="14"/>
      <c r="C36" s="14"/>
      <c r="D36" s="18"/>
      <c r="E36" s="14"/>
      <c r="F36" s="14"/>
      <c r="G36" s="14" t="str">
        <f>CONCATENATE("Pool G-1st ",'Pool Matches'!G308)</f>
      </c>
      <c r="I36" s="14" t="str">
        <f>CONCATENATE("Pool G-2nd ",'Pool Matches'!G309)</f>
      </c>
      <c r="J36" s="14"/>
      <c r="K36" s="14"/>
      <c r="L36" s="18"/>
      <c r="M36" s="14"/>
      <c r="N36" s="14"/>
      <c r="O36" s="14" t="str">
        <f>CONCATENATE("Pool F-1st ",'Pool Matches'!G265)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Matches'!G266)</f>
      </c>
      <c r="B43" s="14" t="s">
        <v>246</v>
      </c>
      <c r="C43" s="14" t="s">
        <v>249</v>
      </c>
      <c r="D43" s="14"/>
      <c r="E43" s="14" t="s">
        <v>249</v>
      </c>
      <c r="F43" s="14" t="s">
        <v>246</v>
      </c>
      <c r="G43" s="14" t="str">
        <f>CONCATENATE("Pool G-1st ",'Pool Matches'!G308)</f>
      </c>
      <c r="I43" s="14" t="str">
        <f>CONCATENATE("Pool G-2nd ",'Pool Matches'!G309)</f>
      </c>
      <c r="J43" s="14" t="s">
        <v>246</v>
      </c>
      <c r="K43" s="14" t="s">
        <v>249</v>
      </c>
      <c r="L43" s="14"/>
      <c r="M43" s="14" t="s">
        <v>249</v>
      </c>
      <c r="N43" s="14" t="s">
        <v>246</v>
      </c>
      <c r="O43" s="14" t="str">
        <f>CONCATENATE("Pool F-1st ",'Pool Matches'!G265)</f>
      </c>
    </row>
    <row r="44">
      <c r="A44" s="14" t="s">
        <v>348</v>
      </c>
      <c r="B44" s="14" t="str">
        <f>SUMPRODUCT((UPPER(D37:D41)&lt;&gt;"X")*((LEN(SUBSTITUTE(SUBSTITUTE(SUBSTITUTE(B37:B41," ",""),"0",""),"-",""))+LEN(SUBSTITUTE(SUBSTITUTE(SUBSTITUTE(C37:C41," ",""),"0",""),"-","")))&gt;(LEN(SUBSTITUTE(SUBSTITUTE(SUBSTITUTE(E37:E41," ",""),"0",""),"-",""))+LEN(SUBSTITUTE(SUBSTITUTE(SUBSTITUTE(F37:F41," ",""),"0",""),"-",""))))*1)</f>
      </c>
      <c r="C44" s="14" t="str">
        <f>SUMPRODUCT(LEN(SUBSTITUTE(SUBSTITUTE(SUBSTITUTE(B37:B41," ",""),"0",""),"-",""))+LEN(SUBSTITUTE(SUBSTITUTE(SUBSTITUTE(C37:C41," ",""),"0",""),"-","")))</f>
      </c>
      <c r="D44" s="14"/>
      <c r="E44" s="14" t="str">
        <f>SUMPRODUCT(LEN(SUBSTITUTE(SUBSTITUTE(SUBSTITUTE(E37:E41," ",""),"0",""),"-",""))+LEN(SUBSTITUTE(SUBSTITUTE(SUBSTITUTE(F37:F41," ",""),"0",""),"-","")))</f>
      </c>
      <c r="F44" s="14" t="str">
        <f>SUMPRODUCT((UPPER(D37:D41)&lt;&gt;"X")*((LEN(SUBSTITUTE(SUBSTITUTE(SUBSTITUTE(E37:E41," ",""),"0",""),"-",""))+LEN(SUBSTITUTE(SUBSTITUTE(SUBSTITUTE(F37:F41," ",""),"0",""),"-","")))&gt;(LEN(SUBSTITUTE(SUBSTITUTE(SUBSTITUTE(B37:B41," ",""),"0",""),"-",""))+LEN(SUBSTITUTE(SUBSTITUTE(SUBSTITUTE(C37:C41," ",""),"0",""),"-",""))))*1)</f>
      </c>
      <c r="G44" s="14" t="s">
        <v>348</v>
      </c>
      <c r="I44" s="14" t="s">
        <v>348</v>
      </c>
      <c r="J44" s="14" t="str">
        <f>SUMPRODUCT((UPPER(L37:L41)&lt;&gt;"X")*((LEN(SUBSTITUTE(SUBSTITUTE(SUBSTITUTE(J37:J41," ",""),"0",""),"-",""))+LEN(SUBSTITUTE(SUBSTITUTE(SUBSTITUTE(K37:K41," ",""),"0",""),"-","")))&gt;(LEN(SUBSTITUTE(SUBSTITUTE(SUBSTITUTE(M37:M41," ",""),"0",""),"-",""))+LEN(SUBSTITUTE(SUBSTITUTE(SUBSTITUTE(N37:N41," ",""),"0",""),"-",""))))*1)</f>
      </c>
      <c r="K44" s="14" t="str">
        <f>SUMPRODUCT(LEN(SUBSTITUTE(SUBSTITUTE(SUBSTITUTE(J37:J41," ",""),"0",""),"-",""))+LEN(SUBSTITUTE(SUBSTITUTE(SUBSTITUTE(K37:K41," ",""),"0",""),"-","")))</f>
      </c>
      <c r="L44" s="14"/>
      <c r="M44" s="14" t="str">
        <f>SUMPRODUCT(LEN(SUBSTITUTE(SUBSTITUTE(SUBSTITUTE(M37:M41," ",""),"0",""),"-",""))+LEN(SUBSTITUTE(SUBSTITUTE(SUBSTITUTE(N37:N41," ",""),"0",""),"-","")))</f>
      </c>
      <c r="N44" s="14" t="str">
        <f>SUMPRODUCT((UPPER(L37:L41)&lt;&gt;"X")*((LEN(SUBSTITUTE(SUBSTITUTE(SUBSTITUTE(M37:M41," ",""),"0",""),"-",""))+LEN(SUBSTITUTE(SUBSTITUTE(SUBSTITUTE(N37:N41," ",""),"0",""),"-","")))&gt;(LEN(SUBSTITUTE(SUBSTITUTE(SUBSTITUTE(J37:J41," ",""),"0",""),"-",""))+LEN(SUBSTITUTE(SUBSTITUTE(SUBSTITUTE(K37:K41," ",""),"0",""),"-",""))))*1)</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Matches'!G352)</f>
      </c>
      <c r="B52" s="14"/>
      <c r="C52" s="14"/>
      <c r="D52" s="18"/>
      <c r="E52" s="14"/>
      <c r="F52" s="14"/>
      <c r="G52" s="14" t="str">
        <f>CONCATENATE("Pool I-1st ",'Pool Matches'!G394)</f>
      </c>
      <c r="I52" s="14" t="str">
        <f>CONCATENATE("Pool I-2nd ",'Pool Matches'!G395)</f>
      </c>
      <c r="J52" s="14"/>
      <c r="K52" s="14"/>
      <c r="L52" s="18"/>
      <c r="M52" s="14"/>
      <c r="N52" s="14"/>
      <c r="O52" s="14" t="str">
        <f>CONCATENATE("Pool H-1st ",'Pool Matches'!G351)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Matches'!G352)</f>
      </c>
      <c r="B59" s="14" t="s">
        <v>246</v>
      </c>
      <c r="C59" s="14" t="s">
        <v>249</v>
      </c>
      <c r="D59" s="14"/>
      <c r="E59" s="14" t="s">
        <v>249</v>
      </c>
      <c r="F59" s="14" t="s">
        <v>246</v>
      </c>
      <c r="G59" s="14" t="str">
        <f>CONCATENATE("Pool I-1st ",'Pool Matches'!G394)</f>
      </c>
      <c r="I59" s="14" t="str">
        <f>CONCATENATE("Pool I-2nd ",'Pool Matches'!G395)</f>
      </c>
      <c r="J59" s="14" t="s">
        <v>246</v>
      </c>
      <c r="K59" s="14" t="s">
        <v>249</v>
      </c>
      <c r="L59" s="14"/>
      <c r="M59" s="14" t="s">
        <v>249</v>
      </c>
      <c r="N59" s="14" t="s">
        <v>246</v>
      </c>
      <c r="O59" s="14" t="str">
        <f>CONCATENATE("Pool H-1st ",'Pool Matches'!G351)</f>
      </c>
    </row>
    <row r="60">
      <c r="A60" s="14" t="s">
        <v>348</v>
      </c>
      <c r="B60" s="14" t="str">
        <f>SUMPRODUCT((UPPER(D53:D57)&lt;&gt;"X")*((LEN(SUBSTITUTE(SUBSTITUTE(SUBSTITUTE(B53:B57," ",""),"0",""),"-",""))+LEN(SUBSTITUTE(SUBSTITUTE(SUBSTITUTE(C53:C57," ",""),"0",""),"-","")))&gt;(LEN(SUBSTITUTE(SUBSTITUTE(SUBSTITUTE(E53:E57," ",""),"0",""),"-",""))+LEN(SUBSTITUTE(SUBSTITUTE(SUBSTITUTE(F53:F57," ",""),"0",""),"-",""))))*1)</f>
      </c>
      <c r="C60" s="14" t="str">
        <f>SUMPRODUCT(LEN(SUBSTITUTE(SUBSTITUTE(SUBSTITUTE(B53:B57," ",""),"0",""),"-",""))+LEN(SUBSTITUTE(SUBSTITUTE(SUBSTITUTE(C53:C57," ",""),"0",""),"-","")))</f>
      </c>
      <c r="D60" s="14"/>
      <c r="E60" s="14" t="str">
        <f>SUMPRODUCT(LEN(SUBSTITUTE(SUBSTITUTE(SUBSTITUTE(E53:E57," ",""),"0",""),"-",""))+LEN(SUBSTITUTE(SUBSTITUTE(SUBSTITUTE(F53:F57," ",""),"0",""),"-","")))</f>
      </c>
      <c r="F60" s="14" t="str">
        <f>SUMPRODUCT((UPPER(D53:D57)&lt;&gt;"X")*((LEN(SUBSTITUTE(SUBSTITUTE(SUBSTITUTE(E53:E57," ",""),"0",""),"-",""))+LEN(SUBSTITUTE(SUBSTITUTE(SUBSTITUTE(F53:F57," ",""),"0",""),"-","")))&gt;(LEN(SUBSTITUTE(SUBSTITUTE(SUBSTITUTE(B53:B57," ",""),"0",""),"-",""))+LEN(SUBSTITUTE(SUBSTITUTE(SUBSTITUTE(C53:C57," ",""),"0",""),"-",""))))*1)</f>
      </c>
      <c r="G60" s="14" t="s">
        <v>348</v>
      </c>
      <c r="I60" s="14" t="s">
        <v>348</v>
      </c>
      <c r="J60" s="14" t="str">
        <f>SUMPRODUCT((UPPER(L53:L57)&lt;&gt;"X")*((LEN(SUBSTITUTE(SUBSTITUTE(SUBSTITUTE(J53:J57," ",""),"0",""),"-",""))+LEN(SUBSTITUTE(SUBSTITUTE(SUBSTITUTE(K53:K57," ",""),"0",""),"-","")))&gt;(LEN(SUBSTITUTE(SUBSTITUTE(SUBSTITUTE(M53:M57," ",""),"0",""),"-",""))+LEN(SUBSTITUTE(SUBSTITUTE(SUBSTITUTE(N53:N57," ",""),"0",""),"-",""))))*1)</f>
      </c>
      <c r="K60" s="14" t="str">
        <f>SUMPRODUCT(LEN(SUBSTITUTE(SUBSTITUTE(SUBSTITUTE(J53:J57," ",""),"0",""),"-",""))+LEN(SUBSTITUTE(SUBSTITUTE(SUBSTITUTE(K53:K57," ",""),"0",""),"-","")))</f>
      </c>
      <c r="L60" s="14"/>
      <c r="M60" s="14" t="str">
        <f>SUMPRODUCT(LEN(SUBSTITUTE(SUBSTITUTE(SUBSTITUTE(M53:M57," ",""),"0",""),"-",""))+LEN(SUBSTITUTE(SUBSTITUTE(SUBSTITUTE(N53:N57," ",""),"0",""),"-","")))</f>
      </c>
      <c r="N60" s="14" t="str">
        <f>SUMPRODUCT((UPPER(L53:L57)&lt;&gt;"X")*((LEN(SUBSTITUTE(SUBSTITUTE(SUBSTITUTE(M53:M57," ",""),"0",""),"-",""))+LEN(SUBSTITUTE(SUBSTITUTE(SUBSTITUTE(N53:N57," ",""),"0",""),"-","")))&gt;(LEN(SUBSTITUTE(SUBSTITUTE(SUBSTITUTE(J53:J57," ",""),"0",""),"-",""))+LEN(SUBSTITUTE(SUBSTITUTE(SUBSTITUTE(K53:K57," ",""),"0",""),"-",""))))*1)</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Matches'!G438)</f>
      </c>
      <c r="B68" s="14"/>
      <c r="C68" s="14"/>
      <c r="D68" s="18"/>
      <c r="E68" s="14"/>
      <c r="F68" s="14"/>
      <c r="G68" s="14" t="str">
        <f>CONCATENATE("Pool K-1st ",'Pool Matches'!G480)</f>
      </c>
      <c r="I68" s="14" t="str">
        <f>CONCATENATE("Pool K-2nd ",'Pool Matches'!G481)</f>
      </c>
      <c r="J68" s="14"/>
      <c r="K68" s="14"/>
      <c r="L68" s="18"/>
      <c r="M68" s="14"/>
      <c r="N68" s="14"/>
      <c r="O68" s="14" t="str">
        <f>CONCATENATE("Pool J-1st ",'Pool Matches'!G437)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Matches'!G438)</f>
      </c>
      <c r="B75" s="14" t="s">
        <v>246</v>
      </c>
      <c r="C75" s="14" t="s">
        <v>249</v>
      </c>
      <c r="D75" s="14"/>
      <c r="E75" s="14" t="s">
        <v>249</v>
      </c>
      <c r="F75" s="14" t="s">
        <v>246</v>
      </c>
      <c r="G75" s="14" t="str">
        <f>CONCATENATE("Pool K-1st ",'Pool Matches'!G480)</f>
      </c>
      <c r="I75" s="14" t="str">
        <f>CONCATENATE("Pool K-2nd ",'Pool Matches'!G481)</f>
      </c>
      <c r="J75" s="14" t="s">
        <v>246</v>
      </c>
      <c r="K75" s="14" t="s">
        <v>249</v>
      </c>
      <c r="L75" s="14"/>
      <c r="M75" s="14" t="s">
        <v>249</v>
      </c>
      <c r="N75" s="14" t="s">
        <v>246</v>
      </c>
      <c r="O75" s="14" t="str">
        <f>CONCATENATE("Pool J-1st ",'Pool Matches'!G437)</f>
      </c>
    </row>
    <row r="76">
      <c r="A76" s="14" t="s">
        <v>348</v>
      </c>
      <c r="B76" s="14" t="str">
        <f>SUMPRODUCT((UPPER(D69:D73)&lt;&gt;"X")*((LEN(SUBSTITUTE(SUBSTITUTE(SUBSTITUTE(B69:B73," ",""),"0",""),"-",""))+LEN(SUBSTITUTE(SUBSTITUTE(SUBSTITUTE(C69:C73," ",""),"0",""),"-","")))&gt;(LEN(SUBSTITUTE(SUBSTITUTE(SUBSTITUTE(E69:E73," ",""),"0",""),"-",""))+LEN(SUBSTITUTE(SUBSTITUTE(SUBSTITUTE(F69:F73," ",""),"0",""),"-",""))))*1)</f>
      </c>
      <c r="C76" s="14" t="str">
        <f>SUMPRODUCT(LEN(SUBSTITUTE(SUBSTITUTE(SUBSTITUTE(B69:B73," ",""),"0",""),"-",""))+LEN(SUBSTITUTE(SUBSTITUTE(SUBSTITUTE(C69:C73," ",""),"0",""),"-","")))</f>
      </c>
      <c r="D76" s="14"/>
      <c r="E76" s="14" t="str">
        <f>SUMPRODUCT(LEN(SUBSTITUTE(SUBSTITUTE(SUBSTITUTE(E69:E73," ",""),"0",""),"-",""))+LEN(SUBSTITUTE(SUBSTITUTE(SUBSTITUTE(F69:F73," ",""),"0",""),"-","")))</f>
      </c>
      <c r="F76" s="14" t="str">
        <f>SUMPRODUCT((UPPER(D69:D73)&lt;&gt;"X")*((LEN(SUBSTITUTE(SUBSTITUTE(SUBSTITUTE(E69:E73," ",""),"0",""),"-",""))+LEN(SUBSTITUTE(SUBSTITUTE(SUBSTITUTE(F69:F73," ",""),"0",""),"-","")))&gt;(LEN(SUBSTITUTE(SUBSTITUTE(SUBSTITUTE(B69:B73," ",""),"0",""),"-",""))+LEN(SUBSTITUTE(SUBSTITUTE(SUBSTITUTE(C69:C73," ",""),"0",""),"-",""))))*1)</f>
      </c>
      <c r="G76" s="14" t="s">
        <v>348</v>
      </c>
      <c r="I76" s="14" t="s">
        <v>348</v>
      </c>
      <c r="J76" s="14" t="str">
        <f>SUMPRODUCT((UPPER(L69:L73)&lt;&gt;"X")*((LEN(SUBSTITUTE(SUBSTITUTE(SUBSTITUTE(J69:J73," ",""),"0",""),"-",""))+LEN(SUBSTITUTE(SUBSTITUTE(SUBSTITUTE(K69:K73," ",""),"0",""),"-","")))&gt;(LEN(SUBSTITUTE(SUBSTITUTE(SUBSTITUTE(M69:M73," ",""),"0",""),"-",""))+LEN(SUBSTITUTE(SUBSTITUTE(SUBSTITUTE(N69:N73," ",""),"0",""),"-",""))))*1)</f>
      </c>
      <c r="K76" s="14" t="str">
        <f>SUMPRODUCT(LEN(SUBSTITUTE(SUBSTITUTE(SUBSTITUTE(J69:J73," ",""),"0",""),"-",""))+LEN(SUBSTITUTE(SUBSTITUTE(SUBSTITUTE(K69:K73," ",""),"0",""),"-","")))</f>
      </c>
      <c r="L76" s="14"/>
      <c r="M76" s="14" t="str">
        <f>SUMPRODUCT(LEN(SUBSTITUTE(SUBSTITUTE(SUBSTITUTE(M69:M73," ",""),"0",""),"-",""))+LEN(SUBSTITUTE(SUBSTITUTE(SUBSTITUTE(N69:N73," ",""),"0",""),"-","")))</f>
      </c>
      <c r="N76" s="14" t="str">
        <f>SUMPRODUCT((UPPER(L69:L73)&lt;&gt;"X")*((LEN(SUBSTITUTE(SUBSTITUTE(SUBSTITUTE(M69:M73," ",""),"0",""),"-",""))+LEN(SUBSTITUTE(SUBSTITUTE(SUBSTITUTE(N69:N73," ",""),"0",""),"-","")))&gt;(LEN(SUBSTITUTE(SUBSTITUTE(SUBSTITUTE(J69:J73," ",""),"0",""),"-",""))+LEN(SUBSTITUTE(SUBSTITUTE(SUBSTITUTE(K69:K73," ",""),"0",""),"-",""))))*1)</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Matches'!G524)</f>
      </c>
      <c r="B84" s="14"/>
      <c r="C84" s="14"/>
      <c r="D84" s="18"/>
      <c r="E84" s="14"/>
      <c r="F84" s="14"/>
      <c r="G84" s="14" t="str">
        <f>CONCATENATE("Pool M-1st ",'Pool Matches'!G566)</f>
      </c>
      <c r="I84" s="14" t="str">
        <f>CONCATENATE("Pool M-2nd ",'Pool Matches'!G567)</f>
      </c>
      <c r="J84" s="14"/>
      <c r="K84" s="14"/>
      <c r="L84" s="18"/>
      <c r="M84" s="14"/>
      <c r="N84" s="14"/>
      <c r="O84" s="14" t="str">
        <f>CONCATENATE("Pool L-1st ",'Pool Matches'!G523)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Matches'!G524)</f>
      </c>
      <c r="B91" s="14" t="s">
        <v>246</v>
      </c>
      <c r="C91" s="14" t="s">
        <v>249</v>
      </c>
      <c r="D91" s="14"/>
      <c r="E91" s="14" t="s">
        <v>249</v>
      </c>
      <c r="F91" s="14" t="s">
        <v>246</v>
      </c>
      <c r="G91" s="14" t="str">
        <f>CONCATENATE("Pool M-1st ",'Pool Matches'!G566)</f>
      </c>
      <c r="I91" s="14" t="str">
        <f>CONCATENATE("Pool M-2nd ",'Pool Matches'!G567)</f>
      </c>
      <c r="J91" s="14" t="s">
        <v>246</v>
      </c>
      <c r="K91" s="14" t="s">
        <v>249</v>
      </c>
      <c r="L91" s="14"/>
      <c r="M91" s="14" t="s">
        <v>249</v>
      </c>
      <c r="N91" s="14" t="s">
        <v>246</v>
      </c>
      <c r="O91" s="14" t="str">
        <f>CONCATENATE("Pool L-1st ",'Pool Matches'!G523)</f>
      </c>
    </row>
    <row r="92">
      <c r="A92" s="14" t="s">
        <v>348</v>
      </c>
      <c r="B92" s="14" t="str">
        <f>SUMPRODUCT((UPPER(D85:D89)&lt;&gt;"X")*((LEN(SUBSTITUTE(SUBSTITUTE(SUBSTITUTE(B85:B89," ",""),"0",""),"-",""))+LEN(SUBSTITUTE(SUBSTITUTE(SUBSTITUTE(C85:C89," ",""),"0",""),"-","")))&gt;(LEN(SUBSTITUTE(SUBSTITUTE(SUBSTITUTE(E85:E89," ",""),"0",""),"-",""))+LEN(SUBSTITUTE(SUBSTITUTE(SUBSTITUTE(F85:F89," ",""),"0",""),"-",""))))*1)</f>
      </c>
      <c r="C92" s="14" t="str">
        <f>SUMPRODUCT(LEN(SUBSTITUTE(SUBSTITUTE(SUBSTITUTE(B85:B89," ",""),"0",""),"-",""))+LEN(SUBSTITUTE(SUBSTITUTE(SUBSTITUTE(C85:C89," ",""),"0",""),"-","")))</f>
      </c>
      <c r="D92" s="14"/>
      <c r="E92" s="14" t="str">
        <f>SUMPRODUCT(LEN(SUBSTITUTE(SUBSTITUTE(SUBSTITUTE(E85:E89," ",""),"0",""),"-",""))+LEN(SUBSTITUTE(SUBSTITUTE(SUBSTITUTE(F85:F89," ",""),"0",""),"-","")))</f>
      </c>
      <c r="F92" s="14" t="str">
        <f>SUMPRODUCT((UPPER(D85:D89)&lt;&gt;"X")*((LEN(SUBSTITUTE(SUBSTITUTE(SUBSTITUTE(E85:E89," ",""),"0",""),"-",""))+LEN(SUBSTITUTE(SUBSTITUTE(SUBSTITUTE(F85:F89," ",""),"0",""),"-","")))&gt;(LEN(SUBSTITUTE(SUBSTITUTE(SUBSTITUTE(B85:B89," ",""),"0",""),"-",""))+LEN(SUBSTITUTE(SUBSTITUTE(SUBSTITUTE(C85:C89," ",""),"0",""),"-",""))))*1)</f>
      </c>
      <c r="G92" s="14" t="s">
        <v>348</v>
      </c>
      <c r="I92" s="14" t="s">
        <v>348</v>
      </c>
      <c r="J92" s="14" t="str">
        <f>SUMPRODUCT((UPPER(L85:L89)&lt;&gt;"X")*((LEN(SUBSTITUTE(SUBSTITUTE(SUBSTITUTE(J85:J89," ",""),"0",""),"-",""))+LEN(SUBSTITUTE(SUBSTITUTE(SUBSTITUTE(K85:K89," ",""),"0",""),"-","")))&gt;(LEN(SUBSTITUTE(SUBSTITUTE(SUBSTITUTE(M85:M89," ",""),"0",""),"-",""))+LEN(SUBSTITUTE(SUBSTITUTE(SUBSTITUTE(N85:N89," ",""),"0",""),"-",""))))*1)</f>
      </c>
      <c r="K92" s="14" t="str">
        <f>SUMPRODUCT(LEN(SUBSTITUTE(SUBSTITUTE(SUBSTITUTE(J85:J89," ",""),"0",""),"-",""))+LEN(SUBSTITUTE(SUBSTITUTE(SUBSTITUTE(K85:K89," ",""),"0",""),"-","")))</f>
      </c>
      <c r="L92" s="14"/>
      <c r="M92" s="14" t="str">
        <f>SUMPRODUCT(LEN(SUBSTITUTE(SUBSTITUTE(SUBSTITUTE(M85:M89," ",""),"0",""),"-",""))+LEN(SUBSTITUTE(SUBSTITUTE(SUBSTITUTE(N85:N89," ",""),"0",""),"-","")))</f>
      </c>
      <c r="N92" s="14" t="str">
        <f>SUMPRODUCT((UPPER(L85:L89)&lt;&gt;"X")*((LEN(SUBSTITUTE(SUBSTITUTE(SUBSTITUTE(M85:M89," ",""),"0",""),"-",""))+LEN(SUBSTITUTE(SUBSTITUTE(SUBSTITUTE(N85:N89," ",""),"0",""),"-","")))&gt;(LEN(SUBSTITUTE(SUBSTITUTE(SUBSTITUTE(J85:J89," ",""),"0",""),"-",""))+LEN(SUBSTITUTE(SUBSTITUTE(SUBSTITUTE(K85:K89," ",""),"0",""),"-",""))))*1)</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Matches'!G610)</f>
      </c>
      <c r="B100" s="14"/>
      <c r="C100" s="14"/>
      <c r="D100" s="18"/>
      <c r="E100" s="14"/>
      <c r="F100" s="14"/>
      <c r="G100" s="14" t="str">
        <f>CONCATENATE("Pool O-1st ",'Pool Matches'!G652)</f>
      </c>
      <c r="I100" s="14" t="str">
        <f>CONCATENATE("Pool O-2nd ",'Pool Matches'!G653)</f>
      </c>
      <c r="J100" s="14"/>
      <c r="K100" s="14"/>
      <c r="L100" s="18"/>
      <c r="M100" s="14"/>
      <c r="N100" s="14"/>
      <c r="O100" s="14" t="str">
        <f>CONCATENATE("Pool N-1st ",'Pool Matches'!G609)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Matches'!G610)</f>
      </c>
      <c r="B107" s="14" t="s">
        <v>246</v>
      </c>
      <c r="C107" s="14" t="s">
        <v>249</v>
      </c>
      <c r="D107" s="14"/>
      <c r="E107" s="14" t="s">
        <v>249</v>
      </c>
      <c r="F107" s="14" t="s">
        <v>246</v>
      </c>
      <c r="G107" s="14" t="str">
        <f>CONCATENATE("Pool O-1st ",'Pool Matches'!G652)</f>
      </c>
      <c r="I107" s="14" t="str">
        <f>CONCATENATE("Pool O-2nd ",'Pool Matches'!G653)</f>
      </c>
      <c r="J107" s="14" t="s">
        <v>246</v>
      </c>
      <c r="K107" s="14" t="s">
        <v>249</v>
      </c>
      <c r="L107" s="14"/>
      <c r="M107" s="14" t="s">
        <v>249</v>
      </c>
      <c r="N107" s="14" t="s">
        <v>246</v>
      </c>
      <c r="O107" s="14" t="str">
        <f>CONCATENATE("Pool N-1st ",'Pool Matches'!G609)</f>
      </c>
    </row>
    <row r="108">
      <c r="A108" s="14" t="s">
        <v>348</v>
      </c>
      <c r="B108" s="14" t="str">
        <f>SUMPRODUCT((UPPER(D101:D105)&lt;&gt;"X")*((LEN(SUBSTITUTE(SUBSTITUTE(SUBSTITUTE(B101:B105," ",""),"0",""),"-",""))+LEN(SUBSTITUTE(SUBSTITUTE(SUBSTITUTE(C101:C105," ",""),"0",""),"-","")))&gt;(LEN(SUBSTITUTE(SUBSTITUTE(SUBSTITUTE(E101:E105," ",""),"0",""),"-",""))+LEN(SUBSTITUTE(SUBSTITUTE(SUBSTITUTE(F101:F105," ",""),"0",""),"-",""))))*1)</f>
      </c>
      <c r="C108" s="14" t="str">
        <f>SUMPRODUCT(LEN(SUBSTITUTE(SUBSTITUTE(SUBSTITUTE(B101:B105," ",""),"0",""),"-",""))+LEN(SUBSTITUTE(SUBSTITUTE(SUBSTITUTE(C101:C105," ",""),"0",""),"-","")))</f>
      </c>
      <c r="D108" s="14"/>
      <c r="E108" s="14" t="str">
        <f>SUMPRODUCT(LEN(SUBSTITUTE(SUBSTITUTE(SUBSTITUTE(E101:E105," ",""),"0",""),"-",""))+LEN(SUBSTITUTE(SUBSTITUTE(SUBSTITUTE(F101:F105," ",""),"0",""),"-","")))</f>
      </c>
      <c r="F108" s="14" t="str">
        <f>SUMPRODUCT((UPPER(D101:D105)&lt;&gt;"X")*((LEN(SUBSTITUTE(SUBSTITUTE(SUBSTITUTE(E101:E105," ",""),"0",""),"-",""))+LEN(SUBSTITUTE(SUBSTITUTE(SUBSTITUTE(F101:F105," ",""),"0",""),"-","")))&gt;(LEN(SUBSTITUTE(SUBSTITUTE(SUBSTITUTE(B101:B105," ",""),"0",""),"-",""))+LEN(SUBSTITUTE(SUBSTITUTE(SUBSTITUTE(C101:C105," ",""),"0",""),"-",""))))*1)</f>
      </c>
      <c r="G108" s="14" t="s">
        <v>348</v>
      </c>
      <c r="I108" s="14" t="s">
        <v>348</v>
      </c>
      <c r="J108" s="14" t="str">
        <f>SUMPRODUCT((UPPER(L101:L105)&lt;&gt;"X")*((LEN(SUBSTITUTE(SUBSTITUTE(SUBSTITUTE(J101:J105," ",""),"0",""),"-",""))+LEN(SUBSTITUTE(SUBSTITUTE(SUBSTITUTE(K101:K105," ",""),"0",""),"-","")))&gt;(LEN(SUBSTITUTE(SUBSTITUTE(SUBSTITUTE(M101:M105," ",""),"0",""),"-",""))+LEN(SUBSTITUTE(SUBSTITUTE(SUBSTITUTE(N101:N105," ",""),"0",""),"-",""))))*1)</f>
      </c>
      <c r="K108" s="14" t="str">
        <f>SUMPRODUCT(LEN(SUBSTITUTE(SUBSTITUTE(SUBSTITUTE(J101:J105," ",""),"0",""),"-",""))+LEN(SUBSTITUTE(SUBSTITUTE(SUBSTITUTE(K101:K105," ",""),"0",""),"-","")))</f>
      </c>
      <c r="L108" s="14"/>
      <c r="M108" s="14" t="str">
        <f>SUMPRODUCT(LEN(SUBSTITUTE(SUBSTITUTE(SUBSTITUTE(M101:M105," ",""),"0",""),"-",""))+LEN(SUBSTITUTE(SUBSTITUTE(SUBSTITUTE(N101:N105," ",""),"0",""),"-","")))</f>
      </c>
      <c r="N108" s="14" t="str">
        <f>SUMPRODUCT((UPPER(L101:L105)&lt;&gt;"X")*((LEN(SUBSTITUTE(SUBSTITUTE(SUBSTITUTE(M101:M105," ",""),"0",""),"-",""))+LEN(SUBSTITUTE(SUBSTITUTE(SUBSTITUTE(N101:N105," ",""),"0",""),"-","")))&gt;(LEN(SUBSTITUTE(SUBSTITUTE(SUBSTITUTE(J101:J105," ",""),"0",""),"-",""))+LEN(SUBSTITUTE(SUBSTITUTE(SUBSTITUTE(K101:K105," ",""),"0",""),"-",""))))*1)</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Matches'!O137)</f>
      </c>
      <c r="B116" s="14"/>
      <c r="C116" s="14"/>
      <c r="D116" s="18"/>
      <c r="E116" s="14"/>
      <c r="F116" s="14"/>
      <c r="G116" s="14" t="str">
        <f>CONCATENATE("Pool P-2nd ",'Pool Matches'!O49)</f>
      </c>
      <c r="I116" s="14" t="str">
        <f>CONCATENATE("Pool Q-2nd ",'Pool Matches'!O94)</f>
      </c>
      <c r="J116" s="14"/>
      <c r="K116" s="14"/>
      <c r="L116" s="18"/>
      <c r="M116" s="14"/>
      <c r="N116" s="14"/>
      <c r="O116" s="14" t="str">
        <f>CONCATENATE("Pool R-1st ",'Pool Matches'!O136)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Matches'!O137)</f>
      </c>
      <c r="B123" s="14" t="s">
        <v>246</v>
      </c>
      <c r="C123" s="14" t="s">
        <v>249</v>
      </c>
      <c r="D123" s="14"/>
      <c r="E123" s="14" t="s">
        <v>249</v>
      </c>
      <c r="F123" s="14" t="s">
        <v>246</v>
      </c>
      <c r="G123" s="14" t="str">
        <f>CONCATENATE("Pool P-2nd ",'Pool Matches'!O49)</f>
      </c>
      <c r="I123" s="14" t="str">
        <f>CONCATENATE("Pool Q-2nd ",'Pool Matches'!O94)</f>
      </c>
      <c r="J123" s="14" t="s">
        <v>246</v>
      </c>
      <c r="K123" s="14" t="s">
        <v>249</v>
      </c>
      <c r="L123" s="14"/>
      <c r="M123" s="14" t="s">
        <v>249</v>
      </c>
      <c r="N123" s="14" t="s">
        <v>246</v>
      </c>
      <c r="O123" s="14" t="str">
        <f>CONCATENATE("Pool R-1st ",'Pool Matches'!O136)</f>
      </c>
    </row>
    <row r="124">
      <c r="A124" s="14" t="s">
        <v>348</v>
      </c>
      <c r="B124" s="14" t="str">
        <f>SUMPRODUCT((UPPER(D117:D121)&lt;&gt;"X")*((LEN(SUBSTITUTE(SUBSTITUTE(SUBSTITUTE(B117:B121," ",""),"0",""),"-",""))+LEN(SUBSTITUTE(SUBSTITUTE(SUBSTITUTE(C117:C121," ",""),"0",""),"-","")))&gt;(LEN(SUBSTITUTE(SUBSTITUTE(SUBSTITUTE(E117:E121," ",""),"0",""),"-",""))+LEN(SUBSTITUTE(SUBSTITUTE(SUBSTITUTE(F117:F121," ",""),"0",""),"-",""))))*1)</f>
      </c>
      <c r="C124" s="14" t="str">
        <f>SUMPRODUCT(LEN(SUBSTITUTE(SUBSTITUTE(SUBSTITUTE(B117:B121," ",""),"0",""),"-",""))+LEN(SUBSTITUTE(SUBSTITUTE(SUBSTITUTE(C117:C121," ",""),"0",""),"-","")))</f>
      </c>
      <c r="D124" s="14"/>
      <c r="E124" s="14" t="str">
        <f>SUMPRODUCT(LEN(SUBSTITUTE(SUBSTITUTE(SUBSTITUTE(E117:E121," ",""),"0",""),"-",""))+LEN(SUBSTITUTE(SUBSTITUTE(SUBSTITUTE(F117:F121," ",""),"0",""),"-","")))</f>
      </c>
      <c r="F124" s="14" t="str">
        <f>SUMPRODUCT((UPPER(D117:D121)&lt;&gt;"X")*((LEN(SUBSTITUTE(SUBSTITUTE(SUBSTITUTE(E117:E121," ",""),"0",""),"-",""))+LEN(SUBSTITUTE(SUBSTITUTE(SUBSTITUTE(F117:F121," ",""),"0",""),"-","")))&gt;(LEN(SUBSTITUTE(SUBSTITUTE(SUBSTITUTE(B117:B121," ",""),"0",""),"-",""))+LEN(SUBSTITUTE(SUBSTITUTE(SUBSTITUTE(C117:C121," ",""),"0",""),"-",""))))*1)</f>
      </c>
      <c r="G124" s="14" t="s">
        <v>348</v>
      </c>
      <c r="I124" s="14" t="s">
        <v>348</v>
      </c>
      <c r="J124" s="14" t="str">
        <f>SUMPRODUCT((UPPER(L117:L121)&lt;&gt;"X")*((LEN(SUBSTITUTE(SUBSTITUTE(SUBSTITUTE(J117:J121," ",""),"0",""),"-",""))+LEN(SUBSTITUTE(SUBSTITUTE(SUBSTITUTE(K117:K121," ",""),"0",""),"-","")))&gt;(LEN(SUBSTITUTE(SUBSTITUTE(SUBSTITUTE(M117:M121," ",""),"0",""),"-",""))+LEN(SUBSTITUTE(SUBSTITUTE(SUBSTITUTE(N117:N121," ",""),"0",""),"-",""))))*1)</f>
      </c>
      <c r="K124" s="14" t="str">
        <f>SUMPRODUCT(LEN(SUBSTITUTE(SUBSTITUTE(SUBSTITUTE(J117:J121," ",""),"0",""),"-",""))+LEN(SUBSTITUTE(SUBSTITUTE(SUBSTITUTE(K117:K121," ",""),"0",""),"-","")))</f>
      </c>
      <c r="L124" s="14"/>
      <c r="M124" s="14" t="str">
        <f>SUMPRODUCT(LEN(SUBSTITUTE(SUBSTITUTE(SUBSTITUTE(M117:M121," ",""),"0",""),"-",""))+LEN(SUBSTITUTE(SUBSTITUTE(SUBSTITUTE(N117:N121," ",""),"0",""),"-","")))</f>
      </c>
      <c r="N124" s="14" t="str">
        <f>SUMPRODUCT((UPPER(L117:L121)&lt;&gt;"X")*((LEN(SUBSTITUTE(SUBSTITUTE(SUBSTITUTE(M117:M121," ",""),"0",""),"-",""))+LEN(SUBSTITUTE(SUBSTITUTE(SUBSTITUTE(N117:N121," ",""),"0",""),"-","")))&gt;(LEN(SUBSTITUTE(SUBSTITUTE(SUBSTITUTE(J117:J121," ",""),"0",""),"-",""))+LEN(SUBSTITUTE(SUBSTITUTE(SUBSTITUTE(K117:K121," ",""),"0",""),"-",""))))*1)</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Matches'!O223)</f>
      </c>
      <c r="B132" s="14"/>
      <c r="C132" s="14"/>
      <c r="D132" s="18"/>
      <c r="E132" s="14"/>
      <c r="F132" s="14"/>
      <c r="G132" s="14" t="str">
        <f>CONCATENATE("Pool S-1st ",'Pool Matches'!O179)</f>
      </c>
      <c r="I132" s="14" t="str">
        <f>CONCATENATE("Pool S-2nd ",'Pool Matches'!O180)</f>
      </c>
      <c r="J132" s="14"/>
      <c r="K132" s="14"/>
      <c r="L132" s="18"/>
      <c r="M132" s="14"/>
      <c r="N132" s="14"/>
      <c r="O132" s="14" t="str">
        <f>CONCATENATE("Pool T-1st ",'Pool Matches'!O222)</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Matches'!O223)</f>
      </c>
      <c r="B139" s="14" t="s">
        <v>246</v>
      </c>
      <c r="C139" s="14" t="s">
        <v>249</v>
      </c>
      <c r="D139" s="14"/>
      <c r="E139" s="14" t="s">
        <v>249</v>
      </c>
      <c r="F139" s="14" t="s">
        <v>246</v>
      </c>
      <c r="G139" s="14" t="str">
        <f>CONCATENATE("Pool S-1st ",'Pool Matches'!O179)</f>
      </c>
      <c r="I139" s="14" t="str">
        <f>CONCATENATE("Pool S-2nd ",'Pool Matches'!O180)</f>
      </c>
      <c r="J139" s="14" t="s">
        <v>246</v>
      </c>
      <c r="K139" s="14" t="s">
        <v>249</v>
      </c>
      <c r="L139" s="14"/>
      <c r="M139" s="14" t="s">
        <v>249</v>
      </c>
      <c r="N139" s="14" t="s">
        <v>246</v>
      </c>
      <c r="O139" s="14" t="str">
        <f>CONCATENATE("Pool T-1st ",'Pool Matches'!O222)</f>
      </c>
    </row>
    <row r="140">
      <c r="A140" s="14" t="s">
        <v>348</v>
      </c>
      <c r="B140" s="14" t="str">
        <f>SUMPRODUCT((UPPER(D133:D137)&lt;&gt;"X")*((LEN(SUBSTITUTE(SUBSTITUTE(SUBSTITUTE(B133:B137," ",""),"0",""),"-",""))+LEN(SUBSTITUTE(SUBSTITUTE(SUBSTITUTE(C133:C137," ",""),"0",""),"-","")))&gt;(LEN(SUBSTITUTE(SUBSTITUTE(SUBSTITUTE(E133:E137," ",""),"0",""),"-",""))+LEN(SUBSTITUTE(SUBSTITUTE(SUBSTITUTE(F133:F137," ",""),"0",""),"-",""))))*1)</f>
      </c>
      <c r="C140" s="14" t="str">
        <f>SUMPRODUCT(LEN(SUBSTITUTE(SUBSTITUTE(SUBSTITUTE(B133:B137," ",""),"0",""),"-",""))+LEN(SUBSTITUTE(SUBSTITUTE(SUBSTITUTE(C133:C137," ",""),"0",""),"-","")))</f>
      </c>
      <c r="D140" s="14"/>
      <c r="E140" s="14" t="str">
        <f>SUMPRODUCT(LEN(SUBSTITUTE(SUBSTITUTE(SUBSTITUTE(E133:E137," ",""),"0",""),"-",""))+LEN(SUBSTITUTE(SUBSTITUTE(SUBSTITUTE(F133:F137," ",""),"0",""),"-","")))</f>
      </c>
      <c r="F140" s="14" t="str">
        <f>SUMPRODUCT((UPPER(D133:D137)&lt;&gt;"X")*((LEN(SUBSTITUTE(SUBSTITUTE(SUBSTITUTE(E133:E137," ",""),"0",""),"-",""))+LEN(SUBSTITUTE(SUBSTITUTE(SUBSTITUTE(F133:F137," ",""),"0",""),"-","")))&gt;(LEN(SUBSTITUTE(SUBSTITUTE(SUBSTITUTE(B133:B137," ",""),"0",""),"-",""))+LEN(SUBSTITUTE(SUBSTITUTE(SUBSTITUTE(C133:C137," ",""),"0",""),"-",""))))*1)</f>
      </c>
      <c r="G140" s="14" t="s">
        <v>348</v>
      </c>
      <c r="I140" s="14" t="s">
        <v>348</v>
      </c>
      <c r="J140" s="14" t="str">
        <f>SUMPRODUCT((UPPER(L133:L137)&lt;&gt;"X")*((LEN(SUBSTITUTE(SUBSTITUTE(SUBSTITUTE(J133:J137," ",""),"0",""),"-",""))+LEN(SUBSTITUTE(SUBSTITUTE(SUBSTITUTE(K133:K137," ",""),"0",""),"-","")))&gt;(LEN(SUBSTITUTE(SUBSTITUTE(SUBSTITUTE(M133:M137," ",""),"0",""),"-",""))+LEN(SUBSTITUTE(SUBSTITUTE(SUBSTITUTE(N133:N137," ",""),"0",""),"-",""))))*1)</f>
      </c>
      <c r="K140" s="14" t="str">
        <f>SUMPRODUCT(LEN(SUBSTITUTE(SUBSTITUTE(SUBSTITUTE(J133:J137," ",""),"0",""),"-",""))+LEN(SUBSTITUTE(SUBSTITUTE(SUBSTITUTE(K133:K137," ",""),"0",""),"-","")))</f>
      </c>
      <c r="L140" s="14"/>
      <c r="M140" s="14" t="str">
        <f>SUMPRODUCT(LEN(SUBSTITUTE(SUBSTITUTE(SUBSTITUTE(M133:M137," ",""),"0",""),"-",""))+LEN(SUBSTITUTE(SUBSTITUTE(SUBSTITUTE(N133:N137," ",""),"0",""),"-","")))</f>
      </c>
      <c r="N140" s="14" t="str">
        <f>SUMPRODUCT((UPPER(L133:L137)&lt;&gt;"X")*((LEN(SUBSTITUTE(SUBSTITUTE(SUBSTITUTE(M133:M137," ",""),"0",""),"-",""))+LEN(SUBSTITUTE(SUBSTITUTE(SUBSTITUTE(N133:N137," ",""),"0",""),"-","")))&gt;(LEN(SUBSTITUTE(SUBSTITUTE(SUBSTITUTE(J133:J137," ",""),"0",""),"-",""))+LEN(SUBSTITUTE(SUBSTITUTE(SUBSTITUTE(K133:K137," ",""),"0",""),"-",""))))*1)</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Matches'!O309)</f>
      </c>
      <c r="B148" s="14"/>
      <c r="C148" s="14"/>
      <c r="D148" s="18"/>
      <c r="E148" s="14"/>
      <c r="F148" s="14"/>
      <c r="G148" s="14" t="str">
        <f>CONCATENATE("Pool U-1st ",'Pool Matches'!O265)</f>
      </c>
      <c r="I148" s="14" t="str">
        <f>CONCATENATE("Pool U-2nd ",'Pool Matches'!O266)</f>
      </c>
      <c r="J148" s="14"/>
      <c r="K148" s="14"/>
      <c r="L148" s="18"/>
      <c r="M148" s="14"/>
      <c r="N148" s="14"/>
      <c r="O148" s="14" t="str">
        <f>CONCATENATE("Pool V-1st ",'Pool Matches'!O308)</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Matches'!O309)</f>
      </c>
      <c r="B155" s="14" t="s">
        <v>246</v>
      </c>
      <c r="C155" s="14" t="s">
        <v>249</v>
      </c>
      <c r="D155" s="14"/>
      <c r="E155" s="14" t="s">
        <v>249</v>
      </c>
      <c r="F155" s="14" t="s">
        <v>246</v>
      </c>
      <c r="G155" s="14" t="str">
        <f>CONCATENATE("Pool U-1st ",'Pool Matches'!O265)</f>
      </c>
      <c r="I155" s="14" t="str">
        <f>CONCATENATE("Pool U-2nd ",'Pool Matches'!O266)</f>
      </c>
      <c r="J155" s="14" t="s">
        <v>246</v>
      </c>
      <c r="K155" s="14" t="s">
        <v>249</v>
      </c>
      <c r="L155" s="14"/>
      <c r="M155" s="14" t="s">
        <v>249</v>
      </c>
      <c r="N155" s="14" t="s">
        <v>246</v>
      </c>
      <c r="O155" s="14" t="str">
        <f>CONCATENATE("Pool V-1st ",'Pool Matches'!O308)</f>
      </c>
    </row>
    <row r="156">
      <c r="A156" s="14" t="s">
        <v>348</v>
      </c>
      <c r="B156" s="14" t="str">
        <f>SUMPRODUCT((UPPER(D149:D153)&lt;&gt;"X")*((LEN(SUBSTITUTE(SUBSTITUTE(SUBSTITUTE(B149:B153," ",""),"0",""),"-",""))+LEN(SUBSTITUTE(SUBSTITUTE(SUBSTITUTE(C149:C153," ",""),"0",""),"-","")))&gt;(LEN(SUBSTITUTE(SUBSTITUTE(SUBSTITUTE(E149:E153," ",""),"0",""),"-",""))+LEN(SUBSTITUTE(SUBSTITUTE(SUBSTITUTE(F149:F153," ",""),"0",""),"-",""))))*1)</f>
      </c>
      <c r="C156" s="14" t="str">
        <f>SUMPRODUCT(LEN(SUBSTITUTE(SUBSTITUTE(SUBSTITUTE(B149:B153," ",""),"0",""),"-",""))+LEN(SUBSTITUTE(SUBSTITUTE(SUBSTITUTE(C149:C153," ",""),"0",""),"-","")))</f>
      </c>
      <c r="D156" s="14"/>
      <c r="E156" s="14" t="str">
        <f>SUMPRODUCT(LEN(SUBSTITUTE(SUBSTITUTE(SUBSTITUTE(E149:E153," ",""),"0",""),"-",""))+LEN(SUBSTITUTE(SUBSTITUTE(SUBSTITUTE(F149:F153," ",""),"0",""),"-","")))</f>
      </c>
      <c r="F156" s="14" t="str">
        <f>SUMPRODUCT((UPPER(D149:D153)&lt;&gt;"X")*((LEN(SUBSTITUTE(SUBSTITUTE(SUBSTITUTE(E149:E153," ",""),"0",""),"-",""))+LEN(SUBSTITUTE(SUBSTITUTE(SUBSTITUTE(F149:F153," ",""),"0",""),"-","")))&gt;(LEN(SUBSTITUTE(SUBSTITUTE(SUBSTITUTE(B149:B153," ",""),"0",""),"-",""))+LEN(SUBSTITUTE(SUBSTITUTE(SUBSTITUTE(C149:C153," ",""),"0",""),"-",""))))*1)</f>
      </c>
      <c r="G156" s="14" t="s">
        <v>348</v>
      </c>
      <c r="I156" s="14" t="s">
        <v>348</v>
      </c>
      <c r="J156" s="14" t="str">
        <f>SUMPRODUCT((UPPER(L149:L153)&lt;&gt;"X")*((LEN(SUBSTITUTE(SUBSTITUTE(SUBSTITUTE(J149:J153," ",""),"0",""),"-",""))+LEN(SUBSTITUTE(SUBSTITUTE(SUBSTITUTE(K149:K153," ",""),"0",""),"-","")))&gt;(LEN(SUBSTITUTE(SUBSTITUTE(SUBSTITUTE(M149:M153," ",""),"0",""),"-",""))+LEN(SUBSTITUTE(SUBSTITUTE(SUBSTITUTE(N149:N153," ",""),"0",""),"-",""))))*1)</f>
      </c>
      <c r="K156" s="14" t="str">
        <f>SUMPRODUCT(LEN(SUBSTITUTE(SUBSTITUTE(SUBSTITUTE(J149:J153," ",""),"0",""),"-",""))+LEN(SUBSTITUTE(SUBSTITUTE(SUBSTITUTE(K149:K153," ",""),"0",""),"-","")))</f>
      </c>
      <c r="L156" s="14"/>
      <c r="M156" s="14" t="str">
        <f>SUMPRODUCT(LEN(SUBSTITUTE(SUBSTITUTE(SUBSTITUTE(M149:M153," ",""),"0",""),"-",""))+LEN(SUBSTITUTE(SUBSTITUTE(SUBSTITUTE(N149:N153," ",""),"0",""),"-","")))</f>
      </c>
      <c r="N156" s="14" t="str">
        <f>SUMPRODUCT((UPPER(L149:L153)&lt;&gt;"X")*((LEN(SUBSTITUTE(SUBSTITUTE(SUBSTITUTE(M149:M153," ",""),"0",""),"-",""))+LEN(SUBSTITUTE(SUBSTITUTE(SUBSTITUTE(N149:N153," ",""),"0",""),"-","")))&gt;(LEN(SUBSTITUTE(SUBSTITUTE(SUBSTITUTE(J149:J153," ",""),"0",""),"-",""))+LEN(SUBSTITUTE(SUBSTITUTE(SUBSTITUTE(K149:K153," ",""),"0",""),"-",""))))*1)</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Matches'!O395)</f>
      </c>
      <c r="B164" s="14"/>
      <c r="C164" s="14"/>
      <c r="D164" s="18"/>
      <c r="E164" s="14"/>
      <c r="F164" s="14"/>
      <c r="G164" s="14" t="str">
        <f>CONCATENATE("Pool W-1st ",'Pool Matches'!O351)</f>
      </c>
      <c r="I164" s="14" t="str">
        <f>CONCATENATE("Pool W-2nd ",'Pool Matches'!O352)</f>
      </c>
      <c r="J164" s="14"/>
      <c r="K164" s="14"/>
      <c r="L164" s="18"/>
      <c r="M164" s="14"/>
      <c r="N164" s="14"/>
      <c r="O164" s="14" t="str">
        <f>CONCATENATE("Pool X-1st ",'Pool Matches'!O394)</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Matches'!O395)</f>
      </c>
      <c r="B171" s="14" t="s">
        <v>246</v>
      </c>
      <c r="C171" s="14" t="s">
        <v>249</v>
      </c>
      <c r="D171" s="14"/>
      <c r="E171" s="14" t="s">
        <v>249</v>
      </c>
      <c r="F171" s="14" t="s">
        <v>246</v>
      </c>
      <c r="G171" s="14" t="str">
        <f>CONCATENATE("Pool W-1st ",'Pool Matches'!O351)</f>
      </c>
      <c r="I171" s="14" t="str">
        <f>CONCATENATE("Pool W-2nd ",'Pool Matches'!O352)</f>
      </c>
      <c r="J171" s="14" t="s">
        <v>246</v>
      </c>
      <c r="K171" s="14" t="s">
        <v>249</v>
      </c>
      <c r="L171" s="14"/>
      <c r="M171" s="14" t="s">
        <v>249</v>
      </c>
      <c r="N171" s="14" t="s">
        <v>246</v>
      </c>
      <c r="O171" s="14" t="str">
        <f>CONCATENATE("Pool X-1st ",'Pool Matches'!O394)</f>
      </c>
    </row>
    <row r="172">
      <c r="A172" s="14" t="s">
        <v>348</v>
      </c>
      <c r="B172" s="14" t="str">
        <f>SUMPRODUCT((UPPER(D165:D169)&lt;&gt;"X")*((LEN(SUBSTITUTE(SUBSTITUTE(SUBSTITUTE(B165:B169," ",""),"0",""),"-",""))+LEN(SUBSTITUTE(SUBSTITUTE(SUBSTITUTE(C165:C169," ",""),"0",""),"-","")))&gt;(LEN(SUBSTITUTE(SUBSTITUTE(SUBSTITUTE(E165:E169," ",""),"0",""),"-",""))+LEN(SUBSTITUTE(SUBSTITUTE(SUBSTITUTE(F165:F169," ",""),"0",""),"-",""))))*1)</f>
      </c>
      <c r="C172" s="14" t="str">
        <f>SUMPRODUCT(LEN(SUBSTITUTE(SUBSTITUTE(SUBSTITUTE(B165:B169," ",""),"0",""),"-",""))+LEN(SUBSTITUTE(SUBSTITUTE(SUBSTITUTE(C165:C169," ",""),"0",""),"-","")))</f>
      </c>
      <c r="D172" s="14"/>
      <c r="E172" s="14" t="str">
        <f>SUMPRODUCT(LEN(SUBSTITUTE(SUBSTITUTE(SUBSTITUTE(E165:E169," ",""),"0",""),"-",""))+LEN(SUBSTITUTE(SUBSTITUTE(SUBSTITUTE(F165:F169," ",""),"0",""),"-","")))</f>
      </c>
      <c r="F172" s="14" t="str">
        <f>SUMPRODUCT((UPPER(D165:D169)&lt;&gt;"X")*((LEN(SUBSTITUTE(SUBSTITUTE(SUBSTITUTE(E165:E169," ",""),"0",""),"-",""))+LEN(SUBSTITUTE(SUBSTITUTE(SUBSTITUTE(F165:F169," ",""),"0",""),"-","")))&gt;(LEN(SUBSTITUTE(SUBSTITUTE(SUBSTITUTE(B165:B169," ",""),"0",""),"-",""))+LEN(SUBSTITUTE(SUBSTITUTE(SUBSTITUTE(C165:C169," ",""),"0",""),"-",""))))*1)</f>
      </c>
      <c r="G172" s="14" t="s">
        <v>348</v>
      </c>
      <c r="I172" s="14" t="s">
        <v>348</v>
      </c>
      <c r="J172" s="14" t="str">
        <f>SUMPRODUCT((UPPER(L165:L169)&lt;&gt;"X")*((LEN(SUBSTITUTE(SUBSTITUTE(SUBSTITUTE(J165:J169," ",""),"0",""),"-",""))+LEN(SUBSTITUTE(SUBSTITUTE(SUBSTITUTE(K165:K169," ",""),"0",""),"-","")))&gt;(LEN(SUBSTITUTE(SUBSTITUTE(SUBSTITUTE(M165:M169," ",""),"0",""),"-",""))+LEN(SUBSTITUTE(SUBSTITUTE(SUBSTITUTE(N165:N169," ",""),"0",""),"-",""))))*1)</f>
      </c>
      <c r="K172" s="14" t="str">
        <f>SUMPRODUCT(LEN(SUBSTITUTE(SUBSTITUTE(SUBSTITUTE(J165:J169," ",""),"0",""),"-",""))+LEN(SUBSTITUTE(SUBSTITUTE(SUBSTITUTE(K165:K169," ",""),"0",""),"-","")))</f>
      </c>
      <c r="L172" s="14"/>
      <c r="M172" s="14" t="str">
        <f>SUMPRODUCT(LEN(SUBSTITUTE(SUBSTITUTE(SUBSTITUTE(M165:M169," ",""),"0",""),"-",""))+LEN(SUBSTITUTE(SUBSTITUTE(SUBSTITUTE(N165:N169," ",""),"0",""),"-","")))</f>
      </c>
      <c r="N172" s="14" t="str">
        <f>SUMPRODUCT((UPPER(L165:L169)&lt;&gt;"X")*((LEN(SUBSTITUTE(SUBSTITUTE(SUBSTITUTE(M165:M169," ",""),"0",""),"-",""))+LEN(SUBSTITUTE(SUBSTITUTE(SUBSTITUTE(N165:N169," ",""),"0",""),"-","")))&gt;(LEN(SUBSTITUTE(SUBSTITUTE(SUBSTITUTE(J165:J169," ",""),"0",""),"-",""))+LEN(SUBSTITUTE(SUBSTITUTE(SUBSTITUTE(K165:K169," ",""),"0",""),"-",""))))*1)</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Matches'!O481)</f>
      </c>
      <c r="B180" s="14"/>
      <c r="C180" s="14"/>
      <c r="D180" s="18"/>
      <c r="E180" s="14"/>
      <c r="F180" s="14"/>
      <c r="G180" s="14" t="str">
        <f>CONCATENATE("Pool Y-1st ",'Pool Matches'!O437)</f>
      </c>
      <c r="I180" s="14" t="str">
        <f>CONCATENATE("Pool Y-2nd ",'Pool Matches'!O438)</f>
      </c>
      <c r="J180" s="14"/>
      <c r="K180" s="14"/>
      <c r="L180" s="18"/>
      <c r="M180" s="14"/>
      <c r="N180" s="14"/>
      <c r="O180" s="14" t="str">
        <f>CONCATENATE("Pool Z-1st ",'Pool Matches'!O480)</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Matches'!O481)</f>
      </c>
      <c r="B187" s="14" t="s">
        <v>246</v>
      </c>
      <c r="C187" s="14" t="s">
        <v>249</v>
      </c>
      <c r="D187" s="14"/>
      <c r="E187" s="14" t="s">
        <v>249</v>
      </c>
      <c r="F187" s="14" t="s">
        <v>246</v>
      </c>
      <c r="G187" s="14" t="str">
        <f>CONCATENATE("Pool Y-1st ",'Pool Matches'!O437)</f>
      </c>
      <c r="I187" s="14" t="str">
        <f>CONCATENATE("Pool Y-2nd ",'Pool Matches'!O438)</f>
      </c>
      <c r="J187" s="14" t="s">
        <v>246</v>
      </c>
      <c r="K187" s="14" t="s">
        <v>249</v>
      </c>
      <c r="L187" s="14"/>
      <c r="M187" s="14" t="s">
        <v>249</v>
      </c>
      <c r="N187" s="14" t="s">
        <v>246</v>
      </c>
      <c r="O187" s="14" t="str">
        <f>CONCATENATE("Pool Z-1st ",'Pool Matches'!O480)</f>
      </c>
    </row>
    <row r="188">
      <c r="A188" s="14" t="s">
        <v>348</v>
      </c>
      <c r="B188" s="14" t="str">
        <f>SUMPRODUCT((UPPER(D181:D185)&lt;&gt;"X")*((LEN(SUBSTITUTE(SUBSTITUTE(SUBSTITUTE(B181:B185," ",""),"0",""),"-",""))+LEN(SUBSTITUTE(SUBSTITUTE(SUBSTITUTE(C181:C185," ",""),"0",""),"-","")))&gt;(LEN(SUBSTITUTE(SUBSTITUTE(SUBSTITUTE(E181:E185," ",""),"0",""),"-",""))+LEN(SUBSTITUTE(SUBSTITUTE(SUBSTITUTE(F181:F185," ",""),"0",""),"-",""))))*1)</f>
      </c>
      <c r="C188" s="14" t="str">
        <f>SUMPRODUCT(LEN(SUBSTITUTE(SUBSTITUTE(SUBSTITUTE(B181:B185," ",""),"0",""),"-",""))+LEN(SUBSTITUTE(SUBSTITUTE(SUBSTITUTE(C181:C185," ",""),"0",""),"-","")))</f>
      </c>
      <c r="D188" s="14"/>
      <c r="E188" s="14" t="str">
        <f>SUMPRODUCT(LEN(SUBSTITUTE(SUBSTITUTE(SUBSTITUTE(E181:E185," ",""),"0",""),"-",""))+LEN(SUBSTITUTE(SUBSTITUTE(SUBSTITUTE(F181:F185," ",""),"0",""),"-","")))</f>
      </c>
      <c r="F188" s="14" t="str">
        <f>SUMPRODUCT((UPPER(D181:D185)&lt;&gt;"X")*((LEN(SUBSTITUTE(SUBSTITUTE(SUBSTITUTE(E181:E185," ",""),"0",""),"-",""))+LEN(SUBSTITUTE(SUBSTITUTE(SUBSTITUTE(F181:F185," ",""),"0",""),"-","")))&gt;(LEN(SUBSTITUTE(SUBSTITUTE(SUBSTITUTE(B181:B185," ",""),"0",""),"-",""))+LEN(SUBSTITUTE(SUBSTITUTE(SUBSTITUTE(C181:C185," ",""),"0",""),"-",""))))*1)</f>
      </c>
      <c r="G188" s="14" t="s">
        <v>348</v>
      </c>
      <c r="I188" s="14" t="s">
        <v>348</v>
      </c>
      <c r="J188" s="14" t="str">
        <f>SUMPRODUCT((UPPER(L181:L185)&lt;&gt;"X")*((LEN(SUBSTITUTE(SUBSTITUTE(SUBSTITUTE(J181:J185," ",""),"0",""),"-",""))+LEN(SUBSTITUTE(SUBSTITUTE(SUBSTITUTE(K181:K185," ",""),"0",""),"-","")))&gt;(LEN(SUBSTITUTE(SUBSTITUTE(SUBSTITUTE(M181:M185," ",""),"0",""),"-",""))+LEN(SUBSTITUTE(SUBSTITUTE(SUBSTITUTE(N181:N185," ",""),"0",""),"-",""))))*1)</f>
      </c>
      <c r="K188" s="14" t="str">
        <f>SUMPRODUCT(LEN(SUBSTITUTE(SUBSTITUTE(SUBSTITUTE(J181:J185," ",""),"0",""),"-",""))+LEN(SUBSTITUTE(SUBSTITUTE(SUBSTITUTE(K181:K185," ",""),"0",""),"-","")))</f>
      </c>
      <c r="L188" s="14"/>
      <c r="M188" s="14" t="str">
        <f>SUMPRODUCT(LEN(SUBSTITUTE(SUBSTITUTE(SUBSTITUTE(M181:M185," ",""),"0",""),"-",""))+LEN(SUBSTITUTE(SUBSTITUTE(SUBSTITUTE(N181:N185," ",""),"0",""),"-","")))</f>
      </c>
      <c r="N188" s="14" t="str">
        <f>SUMPRODUCT((UPPER(L181:L185)&lt;&gt;"X")*((LEN(SUBSTITUTE(SUBSTITUTE(SUBSTITUTE(M181:M185," ",""),"0",""),"-",""))+LEN(SUBSTITUTE(SUBSTITUTE(SUBSTITUTE(N181:N185," ",""),"0",""),"-","")))&gt;(LEN(SUBSTITUTE(SUBSTITUTE(SUBSTITUTE(J181:J185," ",""),"0",""),"-",""))+LEN(SUBSTITUTE(SUBSTITUTE(SUBSTITUTE(K181:K185," ",""),"0",""),"-",""))))*1)</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AA-1st ",'Pool Matches'!O523)</f>
      </c>
      <c r="I196" s="14" t="str">
        <f>CONCATENATE("Pool AA-2nd ",'Pool Matches'!O524)</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AA-1st ",'Pool Matches'!O523)</f>
      </c>
      <c r="I203" s="14" t="str">
        <f>CONCATENATE("Pool AA-2nd ",'Pool Matches'!O524)</f>
      </c>
      <c r="J203" s="14" t="s">
        <v>246</v>
      </c>
      <c r="K203" s="14" t="s">
        <v>249</v>
      </c>
      <c r="L203" s="14"/>
      <c r="M203" s="14" t="s">
        <v>249</v>
      </c>
      <c r="N203" s="14" t="s">
        <v>246</v>
      </c>
      <c r="O203" s="14" t="str">
        <f>CONCATENATE("Pool BB-1st ",'Pool Matches'!O566)</f>
      </c>
    </row>
    <row r="204">
      <c r="A204" s="14" t="s">
        <v>348</v>
      </c>
      <c r="B204" s="14" t="str">
        <f>SUMPRODUCT((UPPER(D197:D201)&lt;&gt;"X")*((LEN(SUBSTITUTE(SUBSTITUTE(SUBSTITUTE(B197:B201," ",""),"0",""),"-",""))+LEN(SUBSTITUTE(SUBSTITUTE(SUBSTITUTE(C197:C201," ",""),"0",""),"-","")))&gt;(LEN(SUBSTITUTE(SUBSTITUTE(SUBSTITUTE(E197:E201," ",""),"0",""),"-",""))+LEN(SUBSTITUTE(SUBSTITUTE(SUBSTITUTE(F197:F201," ",""),"0",""),"-",""))))*1)</f>
      </c>
      <c r="C204" s="14" t="str">
        <f>SUMPRODUCT(LEN(SUBSTITUTE(SUBSTITUTE(SUBSTITUTE(B197:B201," ",""),"0",""),"-",""))+LEN(SUBSTITUTE(SUBSTITUTE(SUBSTITUTE(C197:C201," ",""),"0",""),"-","")))</f>
      </c>
      <c r="D204" s="14"/>
      <c r="E204" s="14" t="str">
        <f>SUMPRODUCT(LEN(SUBSTITUTE(SUBSTITUTE(SUBSTITUTE(E197:E201," ",""),"0",""),"-",""))+LEN(SUBSTITUTE(SUBSTITUTE(SUBSTITUTE(F197:F201," ",""),"0",""),"-","")))</f>
      </c>
      <c r="F204" s="14" t="str">
        <f>SUMPRODUCT((UPPER(D197:D201)&lt;&gt;"X")*((LEN(SUBSTITUTE(SUBSTITUTE(SUBSTITUTE(E197:E201," ",""),"0",""),"-",""))+LEN(SUBSTITUTE(SUBSTITUTE(SUBSTITUTE(F197:F201," ",""),"0",""),"-","")))&gt;(LEN(SUBSTITUTE(SUBSTITUTE(SUBSTITUTE(B197:B201," ",""),"0",""),"-",""))+LEN(SUBSTITUTE(SUBSTITUTE(SUBSTITUTE(C197:C201," ",""),"0",""),"-",""))))*1)</f>
      </c>
      <c r="G204" s="14" t="s">
        <v>348</v>
      </c>
      <c r="I204" s="14" t="s">
        <v>348</v>
      </c>
      <c r="J204" s="14" t="str">
        <f>SUMPRODUCT((UPPER(L197:L201)&lt;&gt;"X")*((LEN(SUBSTITUTE(SUBSTITUTE(SUBSTITUTE(J197:J201," ",""),"0",""),"-",""))+LEN(SUBSTITUTE(SUBSTITUTE(SUBSTITUTE(K197:K201," ",""),"0",""),"-","")))&gt;(LEN(SUBSTITUTE(SUBSTITUTE(SUBSTITUTE(M197:M201," ",""),"0",""),"-",""))+LEN(SUBSTITUTE(SUBSTITUTE(SUBSTITUTE(N197:N201," ",""),"0",""),"-",""))))*1)</f>
      </c>
      <c r="K204" s="14" t="str">
        <f>SUMPRODUCT(LEN(SUBSTITUTE(SUBSTITUTE(SUBSTITUTE(J197:J201," ",""),"0",""),"-",""))+LEN(SUBSTITUTE(SUBSTITUTE(SUBSTITUTE(K197:K201," ",""),"0",""),"-","")))</f>
      </c>
      <c r="L204" s="14"/>
      <c r="M204" s="14" t="str">
        <f>SUMPRODUCT(LEN(SUBSTITUTE(SUBSTITUTE(SUBSTITUTE(M197:M201," ",""),"0",""),"-",""))+LEN(SUBSTITUTE(SUBSTITUTE(SUBSTITUTE(N197:N201," ",""),"0",""),"-","")))</f>
      </c>
      <c r="N204" s="14" t="str">
        <f>SUMPRODUCT((UPPER(L197:L201)&lt;&gt;"X")*((LEN(SUBSTITUTE(SUBSTITUTE(SUBSTITUTE(M197:M201," ",""),"0",""),"-",""))+LEN(SUBSTITUTE(SUBSTITUTE(SUBSTITUTE(N197:N201," ",""),"0",""),"-","")))&gt;(LEN(SUBSTITUTE(SUBSTITUTE(SUBSTITUTE(J197:J201," ",""),"0",""),"-",""))+LEN(SUBSTITUTE(SUBSTITUTE(SUBSTITUTE(K197:K201," ",""),"0",""),"-",""))))*1)</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Matches'!O653)</f>
      </c>
      <c r="B212" s="14"/>
      <c r="C212" s="14"/>
      <c r="D212" s="18"/>
      <c r="E212" s="14"/>
      <c r="F212" s="14"/>
      <c r="G212" s="14" t="str">
        <f>CONCATENATE("Pool CC-1st ",'Pool Matches'!O609)</f>
      </c>
      <c r="I212" s="14" t="str">
        <f>CONCATENATE("Pool CC-2nd ",'Pool Matches'!O610)</f>
      </c>
      <c r="J212" s="14"/>
      <c r="K212" s="14"/>
      <c r="L212" s="18"/>
      <c r="M212" s="14"/>
      <c r="N212" s="14"/>
      <c r="O212" s="14" t="str">
        <f>CONCATENATE("Pool DD-1st ",'Pool Matches'!O652)</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Matches'!O653)</f>
      </c>
      <c r="B219" s="14" t="s">
        <v>246</v>
      </c>
      <c r="C219" s="14" t="s">
        <v>249</v>
      </c>
      <c r="D219" s="14"/>
      <c r="E219" s="14" t="s">
        <v>249</v>
      </c>
      <c r="F219" s="14" t="s">
        <v>246</v>
      </c>
      <c r="G219" s="14" t="str">
        <f>CONCATENATE("Pool CC-1st ",'Pool Matches'!O609)</f>
      </c>
      <c r="I219" s="14" t="str">
        <f>CONCATENATE("Pool CC-2nd ",'Pool Matches'!O610)</f>
      </c>
      <c r="J219" s="14" t="s">
        <v>246</v>
      </c>
      <c r="K219" s="14" t="s">
        <v>249</v>
      </c>
      <c r="L219" s="14"/>
      <c r="M219" s="14" t="s">
        <v>249</v>
      </c>
      <c r="N219" s="14" t="s">
        <v>246</v>
      </c>
      <c r="O219" s="14" t="str">
        <f>CONCATENATE("Pool DD-1st ",'Pool Matches'!O652)</f>
      </c>
    </row>
    <row r="220">
      <c r="A220" s="14" t="s">
        <v>348</v>
      </c>
      <c r="B220" s="14" t="str">
        <f>SUMPRODUCT((UPPER(D213:D217)&lt;&gt;"X")*((LEN(SUBSTITUTE(SUBSTITUTE(SUBSTITUTE(B213:B217," ",""),"0",""),"-",""))+LEN(SUBSTITUTE(SUBSTITUTE(SUBSTITUTE(C213:C217," ",""),"0",""),"-","")))&gt;(LEN(SUBSTITUTE(SUBSTITUTE(SUBSTITUTE(E213:E217," ",""),"0",""),"-",""))+LEN(SUBSTITUTE(SUBSTITUTE(SUBSTITUTE(F213:F217," ",""),"0",""),"-",""))))*1)</f>
      </c>
      <c r="C220" s="14" t="str">
        <f>SUMPRODUCT(LEN(SUBSTITUTE(SUBSTITUTE(SUBSTITUTE(B213:B217," ",""),"0",""),"-",""))+LEN(SUBSTITUTE(SUBSTITUTE(SUBSTITUTE(C213:C217," ",""),"0",""),"-","")))</f>
      </c>
      <c r="D220" s="14"/>
      <c r="E220" s="14" t="str">
        <f>SUMPRODUCT(LEN(SUBSTITUTE(SUBSTITUTE(SUBSTITUTE(E213:E217," ",""),"0",""),"-",""))+LEN(SUBSTITUTE(SUBSTITUTE(SUBSTITUTE(F213:F217," ",""),"0",""),"-","")))</f>
      </c>
      <c r="F220" s="14" t="str">
        <f>SUMPRODUCT((UPPER(D213:D217)&lt;&gt;"X")*((LEN(SUBSTITUTE(SUBSTITUTE(SUBSTITUTE(E213:E217," ",""),"0",""),"-",""))+LEN(SUBSTITUTE(SUBSTITUTE(SUBSTITUTE(F213:F217," ",""),"0",""),"-","")))&gt;(LEN(SUBSTITUTE(SUBSTITUTE(SUBSTITUTE(B213:B217," ",""),"0",""),"-",""))+LEN(SUBSTITUTE(SUBSTITUTE(SUBSTITUTE(C213:C217," ",""),"0",""),"-",""))))*1)</f>
      </c>
      <c r="G220" s="14" t="s">
        <v>348</v>
      </c>
      <c r="I220" s="14" t="s">
        <v>348</v>
      </c>
      <c r="J220" s="14" t="str">
        <f>SUMPRODUCT((UPPER(L213:L217)&lt;&gt;"X")*((LEN(SUBSTITUTE(SUBSTITUTE(SUBSTITUTE(J213:J217," ",""),"0",""),"-",""))+LEN(SUBSTITUTE(SUBSTITUTE(SUBSTITUTE(K213:K217," ",""),"0",""),"-","")))&gt;(LEN(SUBSTITUTE(SUBSTITUTE(SUBSTITUTE(M213:M217," ",""),"0",""),"-",""))+LEN(SUBSTITUTE(SUBSTITUTE(SUBSTITUTE(N213:N217," ",""),"0",""),"-",""))))*1)</f>
      </c>
      <c r="K220" s="14" t="str">
        <f>SUMPRODUCT(LEN(SUBSTITUTE(SUBSTITUTE(SUBSTITUTE(J213:J217," ",""),"0",""),"-",""))+LEN(SUBSTITUTE(SUBSTITUTE(SUBSTITUTE(K213:K217," ",""),"0",""),"-","")))</f>
      </c>
      <c r="L220" s="14"/>
      <c r="M220" s="14" t="str">
        <f>SUMPRODUCT(LEN(SUBSTITUTE(SUBSTITUTE(SUBSTITUTE(M213:M217," ",""),"0",""),"-",""))+LEN(SUBSTITUTE(SUBSTITUTE(SUBSTITUTE(N213:N217," ",""),"0",""),"-","")))</f>
      </c>
      <c r="N220" s="14" t="str">
        <f>SUMPRODUCT((UPPER(L213:L217)&lt;&gt;"X")*((LEN(SUBSTITUTE(SUBSTITUTE(SUBSTITUTE(M213:M217," ",""),"0",""),"-",""))+LEN(SUBSTITUTE(SUBSTITUTE(SUBSTITUTE(N213:N217," ",""),"0",""),"-","")))&gt;(LEN(SUBSTITUTE(SUBSTITUTE(SUBSTITUTE(J213:J217," ",""),"0",""),"-",""))+LEN(SUBSTITUTE(SUBSTITUTE(SUBSTITUTE(K213:K217," ",""),"0",""),"-",""))))*1)</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Matches'!G50)</f>
      </c>
      <c r="I233" s="14" t="str">
        <f>CONCATENATE("M 15 ",O15)</f>
      </c>
      <c r="J233" s="14"/>
      <c r="K233" s="14"/>
      <c r="L233" s="18"/>
      <c r="M233" s="14"/>
      <c r="N233" s="14"/>
      <c r="O233" s="14" t="str">
        <f>CONCATENATE("Pool B-1st ",'Pool Matches'!G93)</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Matches'!G50)</f>
      </c>
      <c r="I240" s="14" t="str">
        <f>CONCATENATE("M 15 ",O15)</f>
      </c>
      <c r="J240" s="14" t="s">
        <v>246</v>
      </c>
      <c r="K240" s="14" t="s">
        <v>249</v>
      </c>
      <c r="L240" s="14"/>
      <c r="M240" s="14" t="s">
        <v>249</v>
      </c>
      <c r="N240" s="14" t="s">
        <v>246</v>
      </c>
      <c r="O240" s="14" t="str">
        <f>CONCATENATE("Pool B-1st ",'Pool Matches'!G93)</f>
      </c>
    </row>
    <row r="241">
      <c r="A241" s="14" t="s">
        <v>348</v>
      </c>
      <c r="B241" s="14" t="str">
        <f>SUMPRODUCT((UPPER(D234:D238)&lt;&gt;"X")*((LEN(SUBSTITUTE(SUBSTITUTE(SUBSTITUTE(B234:B238," ",""),"0",""),"-",""))+LEN(SUBSTITUTE(SUBSTITUTE(SUBSTITUTE(C234:C238," ",""),"0",""),"-","")))&gt;(LEN(SUBSTITUTE(SUBSTITUTE(SUBSTITUTE(E234:E238," ",""),"0",""),"-",""))+LEN(SUBSTITUTE(SUBSTITUTE(SUBSTITUTE(F234:F238," ",""),"0",""),"-",""))))*1)</f>
      </c>
      <c r="C241" s="14" t="str">
        <f>SUMPRODUCT(LEN(SUBSTITUTE(SUBSTITUTE(SUBSTITUTE(B234:B238," ",""),"0",""),"-",""))+LEN(SUBSTITUTE(SUBSTITUTE(SUBSTITUTE(C234:C238," ",""),"0",""),"-","")))</f>
      </c>
      <c r="D241" s="14"/>
      <c r="E241" s="14" t="str">
        <f>SUMPRODUCT(LEN(SUBSTITUTE(SUBSTITUTE(SUBSTITUTE(E234:E238," ",""),"0",""),"-",""))+LEN(SUBSTITUTE(SUBSTITUTE(SUBSTITUTE(F234:F238," ",""),"0",""),"-","")))</f>
      </c>
      <c r="F241" s="14" t="str">
        <f>SUMPRODUCT((UPPER(D234:D238)&lt;&gt;"X")*((LEN(SUBSTITUTE(SUBSTITUTE(SUBSTITUTE(E234:E238," ",""),"0",""),"-",""))+LEN(SUBSTITUTE(SUBSTITUTE(SUBSTITUTE(F234:F238," ",""),"0",""),"-","")))&gt;(LEN(SUBSTITUTE(SUBSTITUTE(SUBSTITUTE(B234:B238," ",""),"0",""),"-",""))+LEN(SUBSTITUTE(SUBSTITUTE(SUBSTITUTE(C234:C238," ",""),"0",""),"-",""))))*1)</f>
      </c>
      <c r="G241" s="14" t="s">
        <v>348</v>
      </c>
      <c r="I241" s="14" t="s">
        <v>348</v>
      </c>
      <c r="J241" s="14" t="str">
        <f>SUMPRODUCT((UPPER(L234:L238)&lt;&gt;"X")*((LEN(SUBSTITUTE(SUBSTITUTE(SUBSTITUTE(J234:J238," ",""),"0",""),"-",""))+LEN(SUBSTITUTE(SUBSTITUTE(SUBSTITUTE(K234:K238," ",""),"0",""),"-","")))&gt;(LEN(SUBSTITUTE(SUBSTITUTE(SUBSTITUTE(M234:M238," ",""),"0",""),"-",""))+LEN(SUBSTITUTE(SUBSTITUTE(SUBSTITUTE(N234:N238," ",""),"0",""),"-",""))))*1)</f>
      </c>
      <c r="K241" s="14" t="str">
        <f>SUMPRODUCT(LEN(SUBSTITUTE(SUBSTITUTE(SUBSTITUTE(J234:J238," ",""),"0",""),"-",""))+LEN(SUBSTITUTE(SUBSTITUTE(SUBSTITUTE(K234:K238," ",""),"0",""),"-","")))</f>
      </c>
      <c r="L241" s="14"/>
      <c r="M241" s="14" t="str">
        <f>SUMPRODUCT(LEN(SUBSTITUTE(SUBSTITUTE(SUBSTITUTE(M234:M238," ",""),"0",""),"-",""))+LEN(SUBSTITUTE(SUBSTITUTE(SUBSTITUTE(N234:N238," ",""),"0",""),"-","")))</f>
      </c>
      <c r="N241" s="14" t="str">
        <f>SUMPRODUCT((UPPER(L234:L238)&lt;&gt;"X")*((LEN(SUBSTITUTE(SUBSTITUTE(SUBSTITUTE(M234:M238," ",""),"0",""),"-",""))+LEN(SUBSTITUTE(SUBSTITUTE(SUBSTITUTE(N234:N238," ",""),"0",""),"-","")))&gt;(LEN(SUBSTITUTE(SUBSTITUTE(SUBSTITUTE(J234:J238," ",""),"0",""),"-",""))+LEN(SUBSTITUTE(SUBSTITUTE(SUBSTITUTE(K234:K238," ",""),"0",""),"-",""))))*1)</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SUMPRODUCT((UPPER(D250:D254)&lt;&gt;"X")*((LEN(SUBSTITUTE(SUBSTITUTE(SUBSTITUTE(B250:B254," ",""),"0",""),"-",""))+LEN(SUBSTITUTE(SUBSTITUTE(SUBSTITUTE(C250:C254," ",""),"0",""),"-","")))&gt;(LEN(SUBSTITUTE(SUBSTITUTE(SUBSTITUTE(E250:E254," ",""),"0",""),"-",""))+LEN(SUBSTITUTE(SUBSTITUTE(SUBSTITUTE(F250:F254," ",""),"0",""),"-",""))))*1)</f>
      </c>
      <c r="C257" s="14" t="str">
        <f>SUMPRODUCT(LEN(SUBSTITUTE(SUBSTITUTE(SUBSTITUTE(B250:B254," ",""),"0",""),"-",""))+LEN(SUBSTITUTE(SUBSTITUTE(SUBSTITUTE(C250:C254," ",""),"0",""),"-","")))</f>
      </c>
      <c r="D257" s="14"/>
      <c r="E257" s="14" t="str">
        <f>SUMPRODUCT(LEN(SUBSTITUTE(SUBSTITUTE(SUBSTITUTE(E250:E254," ",""),"0",""),"-",""))+LEN(SUBSTITUTE(SUBSTITUTE(SUBSTITUTE(F250:F254," ",""),"0",""),"-","")))</f>
      </c>
      <c r="F257" s="14" t="str">
        <f>SUMPRODUCT((UPPER(D250:D254)&lt;&gt;"X")*((LEN(SUBSTITUTE(SUBSTITUTE(SUBSTITUTE(E250:E254," ",""),"0",""),"-",""))+LEN(SUBSTITUTE(SUBSTITUTE(SUBSTITUTE(F250:F254," ",""),"0",""),"-","")))&gt;(LEN(SUBSTITUTE(SUBSTITUTE(SUBSTITUTE(B250:B254," ",""),"0",""),"-",""))+LEN(SUBSTITUTE(SUBSTITUTE(SUBSTITUTE(C250:C254," ",""),"0",""),"-",""))))*1)</f>
      </c>
      <c r="G257" s="14" t="s">
        <v>348</v>
      </c>
      <c r="I257" s="14" t="s">
        <v>348</v>
      </c>
      <c r="J257" s="14" t="str">
        <f>SUMPRODUCT((UPPER(L250:L254)&lt;&gt;"X")*((LEN(SUBSTITUTE(SUBSTITUTE(SUBSTITUTE(J250:J254," ",""),"0",""),"-",""))+LEN(SUBSTITUTE(SUBSTITUTE(SUBSTITUTE(K250:K254," ",""),"0",""),"-","")))&gt;(LEN(SUBSTITUTE(SUBSTITUTE(SUBSTITUTE(M250:M254," ",""),"0",""),"-",""))+LEN(SUBSTITUTE(SUBSTITUTE(SUBSTITUTE(N250:N254," ",""),"0",""),"-",""))))*1)</f>
      </c>
      <c r="K257" s="14" t="str">
        <f>SUMPRODUCT(LEN(SUBSTITUTE(SUBSTITUTE(SUBSTITUTE(J250:J254," ",""),"0",""),"-",""))+LEN(SUBSTITUTE(SUBSTITUTE(SUBSTITUTE(K250:K254," ",""),"0",""),"-","")))</f>
      </c>
      <c r="L257" s="14"/>
      <c r="M257" s="14" t="str">
        <f>SUMPRODUCT(LEN(SUBSTITUTE(SUBSTITUTE(SUBSTITUTE(M250:M254," ",""),"0",""),"-",""))+LEN(SUBSTITUTE(SUBSTITUTE(SUBSTITUTE(N250:N254," ",""),"0",""),"-","")))</f>
      </c>
      <c r="N257" s="14" t="str">
        <f>SUMPRODUCT((UPPER(L250:L254)&lt;&gt;"X")*((LEN(SUBSTITUTE(SUBSTITUTE(SUBSTITUTE(M250:M254," ",""),"0",""),"-",""))+LEN(SUBSTITUTE(SUBSTITUTE(SUBSTITUTE(N250:N254," ",""),"0",""),"-","")))&gt;(LEN(SUBSTITUTE(SUBSTITUTE(SUBSTITUTE(J250:J254," ",""),"0",""),"-",""))+LEN(SUBSTITUTE(SUBSTITUTE(SUBSTITUTE(K250:K254," ",""),"0",""),"-",""))))*1)</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SUMPRODUCT((UPPER(D266:D270)&lt;&gt;"X")*((LEN(SUBSTITUTE(SUBSTITUTE(SUBSTITUTE(B266:B270," ",""),"0",""),"-",""))+LEN(SUBSTITUTE(SUBSTITUTE(SUBSTITUTE(C266:C270," ",""),"0",""),"-","")))&gt;(LEN(SUBSTITUTE(SUBSTITUTE(SUBSTITUTE(E266:E270," ",""),"0",""),"-",""))+LEN(SUBSTITUTE(SUBSTITUTE(SUBSTITUTE(F266:F270," ",""),"0",""),"-",""))))*1)</f>
      </c>
      <c r="C273" s="14" t="str">
        <f>SUMPRODUCT(LEN(SUBSTITUTE(SUBSTITUTE(SUBSTITUTE(B266:B270," ",""),"0",""),"-",""))+LEN(SUBSTITUTE(SUBSTITUTE(SUBSTITUTE(C266:C270," ",""),"0",""),"-","")))</f>
      </c>
      <c r="D273" s="14"/>
      <c r="E273" s="14" t="str">
        <f>SUMPRODUCT(LEN(SUBSTITUTE(SUBSTITUTE(SUBSTITUTE(E266:E270," ",""),"0",""),"-",""))+LEN(SUBSTITUTE(SUBSTITUTE(SUBSTITUTE(F266:F270," ",""),"0",""),"-","")))</f>
      </c>
      <c r="F273" s="14" t="str">
        <f>SUMPRODUCT((UPPER(D266:D270)&lt;&gt;"X")*((LEN(SUBSTITUTE(SUBSTITUTE(SUBSTITUTE(E266:E270," ",""),"0",""),"-",""))+LEN(SUBSTITUTE(SUBSTITUTE(SUBSTITUTE(F266:F270," ",""),"0",""),"-","")))&gt;(LEN(SUBSTITUTE(SUBSTITUTE(SUBSTITUTE(B266:B270," ",""),"0",""),"-",""))+LEN(SUBSTITUTE(SUBSTITUTE(SUBSTITUTE(C266:C270," ",""),"0",""),"-",""))))*1)</f>
      </c>
      <c r="G273" s="14" t="s">
        <v>348</v>
      </c>
      <c r="I273" s="14" t="s">
        <v>348</v>
      </c>
      <c r="J273" s="14" t="str">
        <f>SUMPRODUCT((UPPER(L266:L270)&lt;&gt;"X")*((LEN(SUBSTITUTE(SUBSTITUTE(SUBSTITUTE(J266:J270," ",""),"0",""),"-",""))+LEN(SUBSTITUTE(SUBSTITUTE(SUBSTITUTE(K266:K270," ",""),"0",""),"-","")))&gt;(LEN(SUBSTITUTE(SUBSTITUTE(SUBSTITUTE(M266:M270," ",""),"0",""),"-",""))+LEN(SUBSTITUTE(SUBSTITUTE(SUBSTITUTE(N266:N270," ",""),"0",""),"-",""))))*1)</f>
      </c>
      <c r="K273" s="14" t="str">
        <f>SUMPRODUCT(LEN(SUBSTITUTE(SUBSTITUTE(SUBSTITUTE(J266:J270," ",""),"0",""),"-",""))+LEN(SUBSTITUTE(SUBSTITUTE(SUBSTITUTE(K266:K270," ",""),"0",""),"-","")))</f>
      </c>
      <c r="L273" s="14"/>
      <c r="M273" s="14" t="str">
        <f>SUMPRODUCT(LEN(SUBSTITUTE(SUBSTITUTE(SUBSTITUTE(M266:M270," ",""),"0",""),"-",""))+LEN(SUBSTITUTE(SUBSTITUTE(SUBSTITUTE(N266:N270," ",""),"0",""),"-","")))</f>
      </c>
      <c r="N273" s="14" t="str">
        <f>SUMPRODUCT((UPPER(L266:L270)&lt;&gt;"X")*((LEN(SUBSTITUTE(SUBSTITUTE(SUBSTITUTE(M266:M270," ",""),"0",""),"-",""))+LEN(SUBSTITUTE(SUBSTITUTE(SUBSTITUTE(N266:N270," ",""),"0",""),"-","")))&gt;(LEN(SUBSTITUTE(SUBSTITUTE(SUBSTITUTE(J266:J270," ",""),"0",""),"-",""))+LEN(SUBSTITUTE(SUBSTITUTE(SUBSTITUTE(K266:K270," ",""),"0",""),"-",""))))*1)</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SUMPRODUCT((UPPER(D282:D286)&lt;&gt;"X")*((LEN(SUBSTITUTE(SUBSTITUTE(SUBSTITUTE(B282:B286," ",""),"0",""),"-",""))+LEN(SUBSTITUTE(SUBSTITUTE(SUBSTITUTE(C282:C286," ",""),"0",""),"-","")))&gt;(LEN(SUBSTITUTE(SUBSTITUTE(SUBSTITUTE(E282:E286," ",""),"0",""),"-",""))+LEN(SUBSTITUTE(SUBSTITUTE(SUBSTITUTE(F282:F286," ",""),"0",""),"-",""))))*1)</f>
      </c>
      <c r="C289" s="14" t="str">
        <f>SUMPRODUCT(LEN(SUBSTITUTE(SUBSTITUTE(SUBSTITUTE(B282:B286," ",""),"0",""),"-",""))+LEN(SUBSTITUTE(SUBSTITUTE(SUBSTITUTE(C282:C286," ",""),"0",""),"-","")))</f>
      </c>
      <c r="D289" s="14"/>
      <c r="E289" s="14" t="str">
        <f>SUMPRODUCT(LEN(SUBSTITUTE(SUBSTITUTE(SUBSTITUTE(E282:E286," ",""),"0",""),"-",""))+LEN(SUBSTITUTE(SUBSTITUTE(SUBSTITUTE(F282:F286," ",""),"0",""),"-","")))</f>
      </c>
      <c r="F289" s="14" t="str">
        <f>SUMPRODUCT((UPPER(D282:D286)&lt;&gt;"X")*((LEN(SUBSTITUTE(SUBSTITUTE(SUBSTITUTE(E282:E286," ",""),"0",""),"-",""))+LEN(SUBSTITUTE(SUBSTITUTE(SUBSTITUTE(F282:F286," ",""),"0",""),"-","")))&gt;(LEN(SUBSTITUTE(SUBSTITUTE(SUBSTITUTE(B282:B286," ",""),"0",""),"-",""))+LEN(SUBSTITUTE(SUBSTITUTE(SUBSTITUTE(C282:C286," ",""),"0",""),"-",""))))*1)</f>
      </c>
      <c r="G289" s="14" t="s">
        <v>348</v>
      </c>
      <c r="I289" s="14" t="s">
        <v>348</v>
      </c>
      <c r="J289" s="14" t="str">
        <f>SUMPRODUCT((UPPER(L282:L286)&lt;&gt;"X")*((LEN(SUBSTITUTE(SUBSTITUTE(SUBSTITUTE(J282:J286," ",""),"0",""),"-",""))+LEN(SUBSTITUTE(SUBSTITUTE(SUBSTITUTE(K282:K286," ",""),"0",""),"-","")))&gt;(LEN(SUBSTITUTE(SUBSTITUTE(SUBSTITUTE(M282:M286," ",""),"0",""),"-",""))+LEN(SUBSTITUTE(SUBSTITUTE(SUBSTITUTE(N282:N286," ",""),"0",""),"-",""))))*1)</f>
      </c>
      <c r="K289" s="14" t="str">
        <f>SUMPRODUCT(LEN(SUBSTITUTE(SUBSTITUTE(SUBSTITUTE(J282:J286," ",""),"0",""),"-",""))+LEN(SUBSTITUTE(SUBSTITUTE(SUBSTITUTE(K282:K286," ",""),"0",""),"-","")))</f>
      </c>
      <c r="L289" s="14"/>
      <c r="M289" s="14" t="str">
        <f>SUMPRODUCT(LEN(SUBSTITUTE(SUBSTITUTE(SUBSTITUTE(M282:M286," ",""),"0",""),"-",""))+LEN(SUBSTITUTE(SUBSTITUTE(SUBSTITUTE(N282:N286," ",""),"0",""),"-","")))</f>
      </c>
      <c r="N289" s="14" t="str">
        <f>SUMPRODUCT((UPPER(L282:L286)&lt;&gt;"X")*((LEN(SUBSTITUTE(SUBSTITUTE(SUBSTITUTE(M282:M286," ",""),"0",""),"-",""))+LEN(SUBSTITUTE(SUBSTITUTE(SUBSTITUTE(N282:N286," ",""),"0",""),"-","")))&gt;(LEN(SUBSTITUTE(SUBSTITUTE(SUBSTITUTE(J282:J286," ",""),"0",""),"-",""))+LEN(SUBSTITUTE(SUBSTITUTE(SUBSTITUTE(K282:K286," ",""),"0",""),"-",""))))*1)</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Matches'!O93)</f>
      </c>
      <c r="I297" s="14" t="str">
        <f>CONCATENATE("M 22 ",O127)</f>
      </c>
      <c r="J297" s="14"/>
      <c r="K297" s="14"/>
      <c r="L297" s="18"/>
      <c r="M297" s="14"/>
      <c r="N297" s="14"/>
      <c r="O297" s="14" t="str">
        <f>CONCATENATE("Pool P-1st ",'Pool Matches'!O48)</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Matches'!O93)</f>
      </c>
      <c r="I304" s="14" t="str">
        <f>CONCATENATE("M 22 ",O127)</f>
      </c>
      <c r="J304" s="14" t="s">
        <v>246</v>
      </c>
      <c r="K304" s="14" t="s">
        <v>249</v>
      </c>
      <c r="L304" s="14"/>
      <c r="M304" s="14" t="s">
        <v>249</v>
      </c>
      <c r="N304" s="14" t="s">
        <v>246</v>
      </c>
      <c r="O304" s="14" t="str">
        <f>CONCATENATE("Pool P-1st ",'Pool Matches'!O48)</f>
      </c>
    </row>
    <row r="305">
      <c r="A305" s="14" t="s">
        <v>348</v>
      </c>
      <c r="B305" s="14" t="str">
        <f>SUMPRODUCT((UPPER(D298:D302)&lt;&gt;"X")*((LEN(SUBSTITUTE(SUBSTITUTE(SUBSTITUTE(B298:B302," ",""),"0",""),"-",""))+LEN(SUBSTITUTE(SUBSTITUTE(SUBSTITUTE(C298:C302," ",""),"0",""),"-","")))&gt;(LEN(SUBSTITUTE(SUBSTITUTE(SUBSTITUTE(E298:E302," ",""),"0",""),"-",""))+LEN(SUBSTITUTE(SUBSTITUTE(SUBSTITUTE(F298:F302," ",""),"0",""),"-",""))))*1)</f>
      </c>
      <c r="C305" s="14" t="str">
        <f>SUMPRODUCT(LEN(SUBSTITUTE(SUBSTITUTE(SUBSTITUTE(B298:B302," ",""),"0",""),"-",""))+LEN(SUBSTITUTE(SUBSTITUTE(SUBSTITUTE(C298:C302," ",""),"0",""),"-","")))</f>
      </c>
      <c r="D305" s="14"/>
      <c r="E305" s="14" t="str">
        <f>SUMPRODUCT(LEN(SUBSTITUTE(SUBSTITUTE(SUBSTITUTE(E298:E302," ",""),"0",""),"-",""))+LEN(SUBSTITUTE(SUBSTITUTE(SUBSTITUTE(F298:F302," ",""),"0",""),"-","")))</f>
      </c>
      <c r="F305" s="14" t="str">
        <f>SUMPRODUCT((UPPER(D298:D302)&lt;&gt;"X")*((LEN(SUBSTITUTE(SUBSTITUTE(SUBSTITUTE(E298:E302," ",""),"0",""),"-",""))+LEN(SUBSTITUTE(SUBSTITUTE(SUBSTITUTE(F298:F302," ",""),"0",""),"-","")))&gt;(LEN(SUBSTITUTE(SUBSTITUTE(SUBSTITUTE(B298:B302," ",""),"0",""),"-",""))+LEN(SUBSTITUTE(SUBSTITUTE(SUBSTITUTE(C298:C302," ",""),"0",""),"-",""))))*1)</f>
      </c>
      <c r="G305" s="14" t="s">
        <v>348</v>
      </c>
      <c r="I305" s="14" t="s">
        <v>348</v>
      </c>
      <c r="J305" s="14" t="str">
        <f>SUMPRODUCT((UPPER(L298:L302)&lt;&gt;"X")*((LEN(SUBSTITUTE(SUBSTITUTE(SUBSTITUTE(J298:J302," ",""),"0",""),"-",""))+LEN(SUBSTITUTE(SUBSTITUTE(SUBSTITUTE(K298:K302," ",""),"0",""),"-","")))&gt;(LEN(SUBSTITUTE(SUBSTITUTE(SUBSTITUTE(M298:M302," ",""),"0",""),"-",""))+LEN(SUBSTITUTE(SUBSTITUTE(SUBSTITUTE(N298:N302," ",""),"0",""),"-",""))))*1)</f>
      </c>
      <c r="K305" s="14" t="str">
        <f>SUMPRODUCT(LEN(SUBSTITUTE(SUBSTITUTE(SUBSTITUTE(J298:J302," ",""),"0",""),"-",""))+LEN(SUBSTITUTE(SUBSTITUTE(SUBSTITUTE(K298:K302," ",""),"0",""),"-","")))</f>
      </c>
      <c r="L305" s="14"/>
      <c r="M305" s="14" t="str">
        <f>SUMPRODUCT(LEN(SUBSTITUTE(SUBSTITUTE(SUBSTITUTE(M298:M302," ",""),"0",""),"-",""))+LEN(SUBSTITUTE(SUBSTITUTE(SUBSTITUTE(N298:N302," ",""),"0",""),"-","")))</f>
      </c>
      <c r="N305" s="14" t="str">
        <f>SUMPRODUCT((UPPER(L298:L302)&lt;&gt;"X")*((LEN(SUBSTITUTE(SUBSTITUTE(SUBSTITUTE(M298:M302," ",""),"0",""),"-",""))+LEN(SUBSTITUTE(SUBSTITUTE(SUBSTITUTE(N298:N302," ",""),"0",""),"-","")))&gt;(LEN(SUBSTITUTE(SUBSTITUTE(SUBSTITUTE(J298:J302," ",""),"0",""),"-",""))+LEN(SUBSTITUTE(SUBSTITUTE(SUBSTITUTE(K298:K302," ",""),"0",""),"-",""))))*1)</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SUMPRODUCT((UPPER(D314:D318)&lt;&gt;"X")*((LEN(SUBSTITUTE(SUBSTITUTE(SUBSTITUTE(B314:B318," ",""),"0",""),"-",""))+LEN(SUBSTITUTE(SUBSTITUTE(SUBSTITUTE(C314:C318," ",""),"0",""),"-","")))&gt;(LEN(SUBSTITUTE(SUBSTITUTE(SUBSTITUTE(E314:E318," ",""),"0",""),"-",""))+LEN(SUBSTITUTE(SUBSTITUTE(SUBSTITUTE(F314:F318," ",""),"0",""),"-",""))))*1)</f>
      </c>
      <c r="C321" s="14" t="str">
        <f>SUMPRODUCT(LEN(SUBSTITUTE(SUBSTITUTE(SUBSTITUTE(B314:B318," ",""),"0",""),"-",""))+LEN(SUBSTITUTE(SUBSTITUTE(SUBSTITUTE(C314:C318," ",""),"0",""),"-","")))</f>
      </c>
      <c r="D321" s="14"/>
      <c r="E321" s="14" t="str">
        <f>SUMPRODUCT(LEN(SUBSTITUTE(SUBSTITUTE(SUBSTITUTE(E314:E318," ",""),"0",""),"-",""))+LEN(SUBSTITUTE(SUBSTITUTE(SUBSTITUTE(F314:F318," ",""),"0",""),"-","")))</f>
      </c>
      <c r="F321" s="14" t="str">
        <f>SUMPRODUCT((UPPER(D314:D318)&lt;&gt;"X")*((LEN(SUBSTITUTE(SUBSTITUTE(SUBSTITUTE(E314:E318," ",""),"0",""),"-",""))+LEN(SUBSTITUTE(SUBSTITUTE(SUBSTITUTE(F314:F318," ",""),"0",""),"-","")))&gt;(LEN(SUBSTITUTE(SUBSTITUTE(SUBSTITUTE(B314:B318," ",""),"0",""),"-",""))+LEN(SUBSTITUTE(SUBSTITUTE(SUBSTITUTE(C314:C318," ",""),"0",""),"-",""))))*1)</f>
      </c>
      <c r="G321" s="14" t="s">
        <v>348</v>
      </c>
      <c r="I321" s="14" t="s">
        <v>348</v>
      </c>
      <c r="J321" s="14" t="str">
        <f>SUMPRODUCT((UPPER(L314:L318)&lt;&gt;"X")*((LEN(SUBSTITUTE(SUBSTITUTE(SUBSTITUTE(J314:J318," ",""),"0",""),"-",""))+LEN(SUBSTITUTE(SUBSTITUTE(SUBSTITUTE(K314:K318," ",""),"0",""),"-","")))&gt;(LEN(SUBSTITUTE(SUBSTITUTE(SUBSTITUTE(M314:M318," ",""),"0",""),"-",""))+LEN(SUBSTITUTE(SUBSTITUTE(SUBSTITUTE(N314:N318," ",""),"0",""),"-",""))))*1)</f>
      </c>
      <c r="K321" s="14" t="str">
        <f>SUMPRODUCT(LEN(SUBSTITUTE(SUBSTITUTE(SUBSTITUTE(J314:J318," ",""),"0",""),"-",""))+LEN(SUBSTITUTE(SUBSTITUTE(SUBSTITUTE(K314:K318," ",""),"0",""),"-","")))</f>
      </c>
      <c r="L321" s="14"/>
      <c r="M321" s="14" t="str">
        <f>SUMPRODUCT(LEN(SUBSTITUTE(SUBSTITUTE(SUBSTITUTE(M314:M318," ",""),"0",""),"-",""))+LEN(SUBSTITUTE(SUBSTITUTE(SUBSTITUTE(N314:N318," ",""),"0",""),"-","")))</f>
      </c>
      <c r="N321" s="14" t="str">
        <f>SUMPRODUCT((UPPER(L314:L318)&lt;&gt;"X")*((LEN(SUBSTITUTE(SUBSTITUTE(SUBSTITUTE(M314:M318," ",""),"0",""),"-",""))+LEN(SUBSTITUTE(SUBSTITUTE(SUBSTITUTE(N314:N318," ",""),"0",""),"-","")))&gt;(LEN(SUBSTITUTE(SUBSTITUTE(SUBSTITUTE(J314:J318," ",""),"0",""),"-",""))+LEN(SUBSTITUTE(SUBSTITUTE(SUBSTITUTE(K314:K318," ",""),"0",""),"-",""))))*1)</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SUMPRODUCT((UPPER(D330:D334)&lt;&gt;"X")*((LEN(SUBSTITUTE(SUBSTITUTE(SUBSTITUTE(B330:B334," ",""),"0",""),"-",""))+LEN(SUBSTITUTE(SUBSTITUTE(SUBSTITUTE(C330:C334," ",""),"0",""),"-","")))&gt;(LEN(SUBSTITUTE(SUBSTITUTE(SUBSTITUTE(E330:E334," ",""),"0",""),"-",""))+LEN(SUBSTITUTE(SUBSTITUTE(SUBSTITUTE(F330:F334," ",""),"0",""),"-",""))))*1)</f>
      </c>
      <c r="C337" s="14" t="str">
        <f>SUMPRODUCT(LEN(SUBSTITUTE(SUBSTITUTE(SUBSTITUTE(B330:B334," ",""),"0",""),"-",""))+LEN(SUBSTITUTE(SUBSTITUTE(SUBSTITUTE(C330:C334," ",""),"0",""),"-","")))</f>
      </c>
      <c r="D337" s="14"/>
      <c r="E337" s="14" t="str">
        <f>SUMPRODUCT(LEN(SUBSTITUTE(SUBSTITUTE(SUBSTITUTE(E330:E334," ",""),"0",""),"-",""))+LEN(SUBSTITUTE(SUBSTITUTE(SUBSTITUTE(F330:F334," ",""),"0",""),"-","")))</f>
      </c>
      <c r="F337" s="14" t="str">
        <f>SUMPRODUCT((UPPER(D330:D334)&lt;&gt;"X")*((LEN(SUBSTITUTE(SUBSTITUTE(SUBSTITUTE(E330:E334," ",""),"0",""),"-",""))+LEN(SUBSTITUTE(SUBSTITUTE(SUBSTITUTE(F330:F334," ",""),"0",""),"-","")))&gt;(LEN(SUBSTITUTE(SUBSTITUTE(SUBSTITUTE(B330:B334," ",""),"0",""),"-",""))+LEN(SUBSTITUTE(SUBSTITUTE(SUBSTITUTE(C330:C334," ",""),"0",""),"-",""))))*1)</f>
      </c>
      <c r="G337" s="14" t="s">
        <v>348</v>
      </c>
      <c r="I337" s="14" t="s">
        <v>348</v>
      </c>
      <c r="J337" s="14" t="str">
        <f>SUMPRODUCT((UPPER(L330:L334)&lt;&gt;"X")*((LEN(SUBSTITUTE(SUBSTITUTE(SUBSTITUTE(J330:J334," ",""),"0",""),"-",""))+LEN(SUBSTITUTE(SUBSTITUTE(SUBSTITUTE(K330:K334," ",""),"0",""),"-","")))&gt;(LEN(SUBSTITUTE(SUBSTITUTE(SUBSTITUTE(M330:M334," ",""),"0",""),"-",""))+LEN(SUBSTITUTE(SUBSTITUTE(SUBSTITUTE(N330:N334," ",""),"0",""),"-",""))))*1)</f>
      </c>
      <c r="K337" s="14" t="str">
        <f>SUMPRODUCT(LEN(SUBSTITUTE(SUBSTITUTE(SUBSTITUTE(J330:J334," ",""),"0",""),"-",""))+LEN(SUBSTITUTE(SUBSTITUTE(SUBSTITUTE(K330:K334," ",""),"0",""),"-","")))</f>
      </c>
      <c r="L337" s="14"/>
      <c r="M337" s="14" t="str">
        <f>SUMPRODUCT(LEN(SUBSTITUTE(SUBSTITUTE(SUBSTITUTE(M330:M334," ",""),"0",""),"-",""))+LEN(SUBSTITUTE(SUBSTITUTE(SUBSTITUTE(N330:N334," ",""),"0",""),"-","")))</f>
      </c>
      <c r="N337" s="14" t="str">
        <f>SUMPRODUCT((UPPER(L330:L334)&lt;&gt;"X")*((LEN(SUBSTITUTE(SUBSTITUTE(SUBSTITUTE(M330:M334," ",""),"0",""),"-",""))+LEN(SUBSTITUTE(SUBSTITUTE(SUBSTITUTE(N330:N334," ",""),"0",""),"-","")))&gt;(LEN(SUBSTITUTE(SUBSTITUTE(SUBSTITUTE(J330:J334," ",""),"0",""),"-",""))+LEN(SUBSTITUTE(SUBSTITUTE(SUBSTITUTE(K330:K334," ",""),"0",""),"-",""))))*1)</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SUMPRODUCT((UPPER(D346:D350)&lt;&gt;"X")*((LEN(SUBSTITUTE(SUBSTITUTE(SUBSTITUTE(B346:B350," ",""),"0",""),"-",""))+LEN(SUBSTITUTE(SUBSTITUTE(SUBSTITUTE(C346:C350," ",""),"0",""),"-","")))&gt;(LEN(SUBSTITUTE(SUBSTITUTE(SUBSTITUTE(E346:E350," ",""),"0",""),"-",""))+LEN(SUBSTITUTE(SUBSTITUTE(SUBSTITUTE(F346:F350," ",""),"0",""),"-",""))))*1)</f>
      </c>
      <c r="C353" s="14" t="str">
        <f>SUMPRODUCT(LEN(SUBSTITUTE(SUBSTITUTE(SUBSTITUTE(B346:B350," ",""),"0",""),"-",""))+LEN(SUBSTITUTE(SUBSTITUTE(SUBSTITUTE(C346:C350," ",""),"0",""),"-","")))</f>
      </c>
      <c r="D353" s="14"/>
      <c r="E353" s="14" t="str">
        <f>SUMPRODUCT(LEN(SUBSTITUTE(SUBSTITUTE(SUBSTITUTE(E346:E350," ",""),"0",""),"-",""))+LEN(SUBSTITUTE(SUBSTITUTE(SUBSTITUTE(F346:F350," ",""),"0",""),"-","")))</f>
      </c>
      <c r="F353" s="14" t="str">
        <f>SUMPRODUCT((UPPER(D346:D350)&lt;&gt;"X")*((LEN(SUBSTITUTE(SUBSTITUTE(SUBSTITUTE(E346:E350," ",""),"0",""),"-",""))+LEN(SUBSTITUTE(SUBSTITUTE(SUBSTITUTE(F346:F350," ",""),"0",""),"-","")))&gt;(LEN(SUBSTITUTE(SUBSTITUTE(SUBSTITUTE(B346:B350," ",""),"0",""),"-",""))+LEN(SUBSTITUTE(SUBSTITUTE(SUBSTITUTE(C346:C350," ",""),"0",""),"-",""))))*1)</f>
      </c>
      <c r="G353" s="14" t="s">
        <v>348</v>
      </c>
      <c r="I353" s="14" t="s">
        <v>348</v>
      </c>
      <c r="J353" s="14" t="str">
        <f>SUMPRODUCT((UPPER(L346:L350)&lt;&gt;"X")*((LEN(SUBSTITUTE(SUBSTITUTE(SUBSTITUTE(J346:J350," ",""),"0",""),"-",""))+LEN(SUBSTITUTE(SUBSTITUTE(SUBSTITUTE(K346:K350," ",""),"0",""),"-","")))&gt;(LEN(SUBSTITUTE(SUBSTITUTE(SUBSTITUTE(M346:M350," ",""),"0",""),"-",""))+LEN(SUBSTITUTE(SUBSTITUTE(SUBSTITUTE(N346:N350," ",""),"0",""),"-",""))))*1)</f>
      </c>
      <c r="K353" s="14" t="str">
        <f>SUMPRODUCT(LEN(SUBSTITUTE(SUBSTITUTE(SUBSTITUTE(J346:J350," ",""),"0",""),"-",""))+LEN(SUBSTITUTE(SUBSTITUTE(SUBSTITUTE(K346:K350," ",""),"0",""),"-","")))</f>
      </c>
      <c r="L353" s="14"/>
      <c r="M353" s="14" t="str">
        <f>SUMPRODUCT(LEN(SUBSTITUTE(SUBSTITUTE(SUBSTITUTE(M346:M350," ",""),"0",""),"-",""))+LEN(SUBSTITUTE(SUBSTITUTE(SUBSTITUTE(N346:N350," ",""),"0",""),"-","")))</f>
      </c>
      <c r="N353" s="14" t="str">
        <f>SUMPRODUCT((UPPER(L346:L350)&lt;&gt;"X")*((LEN(SUBSTITUTE(SUBSTITUTE(SUBSTITUTE(M346:M350," ",""),"0",""),"-",""))+LEN(SUBSTITUTE(SUBSTITUTE(SUBSTITUTE(N346:N350," ",""),"0",""),"-","")))&gt;(LEN(SUBSTITUTE(SUBSTITUTE(SUBSTITUTE(J346:J350," ",""),"0",""),"-",""))+LEN(SUBSTITUTE(SUBSTITUTE(SUBSTITUTE(K346:K350," ",""),"0",""),"-",""))))*1)</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SUMPRODUCT((UPPER(D367:D371)&lt;&gt;"X")*((LEN(SUBSTITUTE(SUBSTITUTE(SUBSTITUTE(B367:B371," ",""),"0",""),"-",""))+LEN(SUBSTITUTE(SUBSTITUTE(SUBSTITUTE(C367:C371," ",""),"0",""),"-","")))&gt;(LEN(SUBSTITUTE(SUBSTITUTE(SUBSTITUTE(E367:E371," ",""),"0",""),"-",""))+LEN(SUBSTITUTE(SUBSTITUTE(SUBSTITUTE(F367:F371," ",""),"0",""),"-",""))))*1)</f>
      </c>
      <c r="C374" s="14" t="str">
        <f>SUMPRODUCT(LEN(SUBSTITUTE(SUBSTITUTE(SUBSTITUTE(B367:B371," ",""),"0",""),"-",""))+LEN(SUBSTITUTE(SUBSTITUTE(SUBSTITUTE(C367:C371," ",""),"0",""),"-","")))</f>
      </c>
      <c r="D374" s="14"/>
      <c r="E374" s="14" t="str">
        <f>SUMPRODUCT(LEN(SUBSTITUTE(SUBSTITUTE(SUBSTITUTE(E367:E371," ",""),"0",""),"-",""))+LEN(SUBSTITUTE(SUBSTITUTE(SUBSTITUTE(F367:F371," ",""),"0",""),"-","")))</f>
      </c>
      <c r="F374" s="14" t="str">
        <f>SUMPRODUCT((UPPER(D367:D371)&lt;&gt;"X")*((LEN(SUBSTITUTE(SUBSTITUTE(SUBSTITUTE(E367:E371," ",""),"0",""),"-",""))+LEN(SUBSTITUTE(SUBSTITUTE(SUBSTITUTE(F367:F371," ",""),"0",""),"-","")))&gt;(LEN(SUBSTITUTE(SUBSTITUTE(SUBSTITUTE(B367:B371," ",""),"0",""),"-",""))+LEN(SUBSTITUTE(SUBSTITUTE(SUBSTITUTE(C367:C371," ",""),"0",""),"-",""))))*1)</f>
      </c>
      <c r="G374" s="14" t="s">
        <v>348</v>
      </c>
      <c r="I374" s="14" t="s">
        <v>348</v>
      </c>
      <c r="J374" s="14" t="str">
        <f>SUMPRODUCT((UPPER(L367:L371)&lt;&gt;"X")*((LEN(SUBSTITUTE(SUBSTITUTE(SUBSTITUTE(J367:J371," ",""),"0",""),"-",""))+LEN(SUBSTITUTE(SUBSTITUTE(SUBSTITUTE(K367:K371," ",""),"0",""),"-","")))&gt;(LEN(SUBSTITUTE(SUBSTITUTE(SUBSTITUTE(M367:M371," ",""),"0",""),"-",""))+LEN(SUBSTITUTE(SUBSTITUTE(SUBSTITUTE(N367:N371," ",""),"0",""),"-",""))))*1)</f>
      </c>
      <c r="K374" s="14" t="str">
        <f>SUMPRODUCT(LEN(SUBSTITUTE(SUBSTITUTE(SUBSTITUTE(J367:J371," ",""),"0",""),"-",""))+LEN(SUBSTITUTE(SUBSTITUTE(SUBSTITUTE(K367:K371," ",""),"0",""),"-","")))</f>
      </c>
      <c r="L374" s="14"/>
      <c r="M374" s="14" t="str">
        <f>SUMPRODUCT(LEN(SUBSTITUTE(SUBSTITUTE(SUBSTITUTE(M367:M371," ",""),"0",""),"-",""))+LEN(SUBSTITUTE(SUBSTITUTE(SUBSTITUTE(N367:N371," ",""),"0",""),"-","")))</f>
      </c>
      <c r="N374" s="14" t="str">
        <f>SUMPRODUCT((UPPER(L367:L371)&lt;&gt;"X")*((LEN(SUBSTITUTE(SUBSTITUTE(SUBSTITUTE(M367:M371," ",""),"0",""),"-",""))+LEN(SUBSTITUTE(SUBSTITUTE(SUBSTITUTE(N367:N371," ",""),"0",""),"-","")))&gt;(LEN(SUBSTITUTE(SUBSTITUTE(SUBSTITUTE(J367:J371," ",""),"0",""),"-",""))+LEN(SUBSTITUTE(SUBSTITUTE(SUBSTITUTE(K367:K371," ",""),"0",""),"-",""))))*1)</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SUMPRODUCT((UPPER(D383:D387)&lt;&gt;"X")*((LEN(SUBSTITUTE(SUBSTITUTE(SUBSTITUTE(B383:B387," ",""),"0",""),"-",""))+LEN(SUBSTITUTE(SUBSTITUTE(SUBSTITUTE(C383:C387," ",""),"0",""),"-","")))&gt;(LEN(SUBSTITUTE(SUBSTITUTE(SUBSTITUTE(E383:E387," ",""),"0",""),"-",""))+LEN(SUBSTITUTE(SUBSTITUTE(SUBSTITUTE(F383:F387," ",""),"0",""),"-",""))))*1)</f>
      </c>
      <c r="C390" s="14" t="str">
        <f>SUMPRODUCT(LEN(SUBSTITUTE(SUBSTITUTE(SUBSTITUTE(B383:B387," ",""),"0",""),"-",""))+LEN(SUBSTITUTE(SUBSTITUTE(SUBSTITUTE(C383:C387," ",""),"0",""),"-","")))</f>
      </c>
      <c r="D390" s="14"/>
      <c r="E390" s="14" t="str">
        <f>SUMPRODUCT(LEN(SUBSTITUTE(SUBSTITUTE(SUBSTITUTE(E383:E387," ",""),"0",""),"-",""))+LEN(SUBSTITUTE(SUBSTITUTE(SUBSTITUTE(F383:F387," ",""),"0",""),"-","")))</f>
      </c>
      <c r="F390" s="14" t="str">
        <f>SUMPRODUCT((UPPER(D383:D387)&lt;&gt;"X")*((LEN(SUBSTITUTE(SUBSTITUTE(SUBSTITUTE(E383:E387," ",""),"0",""),"-",""))+LEN(SUBSTITUTE(SUBSTITUTE(SUBSTITUTE(F383:F387," ",""),"0",""),"-","")))&gt;(LEN(SUBSTITUTE(SUBSTITUTE(SUBSTITUTE(B383:B387," ",""),"0",""),"-",""))+LEN(SUBSTITUTE(SUBSTITUTE(SUBSTITUTE(C383:C387," ",""),"0",""),"-",""))))*1)</f>
      </c>
      <c r="G390" s="14" t="s">
        <v>348</v>
      </c>
      <c r="I390" s="14" t="s">
        <v>348</v>
      </c>
      <c r="J390" s="14" t="str">
        <f>SUMPRODUCT((UPPER(L383:L387)&lt;&gt;"X")*((LEN(SUBSTITUTE(SUBSTITUTE(SUBSTITUTE(J383:J387," ",""),"0",""),"-",""))+LEN(SUBSTITUTE(SUBSTITUTE(SUBSTITUTE(K383:K387," ",""),"0",""),"-","")))&gt;(LEN(SUBSTITUTE(SUBSTITUTE(SUBSTITUTE(M383:M387," ",""),"0",""),"-",""))+LEN(SUBSTITUTE(SUBSTITUTE(SUBSTITUTE(N383:N387," ",""),"0",""),"-",""))))*1)</f>
      </c>
      <c r="K390" s="14" t="str">
        <f>SUMPRODUCT(LEN(SUBSTITUTE(SUBSTITUTE(SUBSTITUTE(J383:J387," ",""),"0",""),"-",""))+LEN(SUBSTITUTE(SUBSTITUTE(SUBSTITUTE(K383:K387," ",""),"0",""),"-","")))</f>
      </c>
      <c r="L390" s="14"/>
      <c r="M390" s="14" t="str">
        <f>SUMPRODUCT(LEN(SUBSTITUTE(SUBSTITUTE(SUBSTITUTE(M383:M387," ",""),"0",""),"-",""))+LEN(SUBSTITUTE(SUBSTITUTE(SUBSTITUTE(N383:N387," ",""),"0",""),"-","")))</f>
      </c>
      <c r="N390" s="14" t="str">
        <f>SUMPRODUCT((UPPER(L383:L387)&lt;&gt;"X")*((LEN(SUBSTITUTE(SUBSTITUTE(SUBSTITUTE(M383:M387," ",""),"0",""),"-",""))+LEN(SUBSTITUTE(SUBSTITUTE(SUBSTITUTE(N383:N387," ",""),"0",""),"-","")))&gt;(LEN(SUBSTITUTE(SUBSTITUTE(SUBSTITUTE(J383:J387," ",""),"0",""),"-",""))+LEN(SUBSTITUTE(SUBSTITUTE(SUBSTITUTE(K383:K387," ",""),"0",""),"-",""))))*1)</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SUMPRODUCT((UPPER(D399:D403)&lt;&gt;"X")*((LEN(SUBSTITUTE(SUBSTITUTE(SUBSTITUTE(B399:B403," ",""),"0",""),"-",""))+LEN(SUBSTITUTE(SUBSTITUTE(SUBSTITUTE(C399:C403," ",""),"0",""),"-","")))&gt;(LEN(SUBSTITUTE(SUBSTITUTE(SUBSTITUTE(E399:E403," ",""),"0",""),"-",""))+LEN(SUBSTITUTE(SUBSTITUTE(SUBSTITUTE(F399:F403," ",""),"0",""),"-",""))))*1)</f>
      </c>
      <c r="C406" s="14" t="str">
        <f>SUMPRODUCT(LEN(SUBSTITUTE(SUBSTITUTE(SUBSTITUTE(B399:B403," ",""),"0",""),"-",""))+LEN(SUBSTITUTE(SUBSTITUTE(SUBSTITUTE(C399:C403," ",""),"0",""),"-","")))</f>
      </c>
      <c r="D406" s="14"/>
      <c r="E406" s="14" t="str">
        <f>SUMPRODUCT(LEN(SUBSTITUTE(SUBSTITUTE(SUBSTITUTE(E399:E403," ",""),"0",""),"-",""))+LEN(SUBSTITUTE(SUBSTITUTE(SUBSTITUTE(F399:F403," ",""),"0",""),"-","")))</f>
      </c>
      <c r="F406" s="14" t="str">
        <f>SUMPRODUCT((UPPER(D399:D403)&lt;&gt;"X")*((LEN(SUBSTITUTE(SUBSTITUTE(SUBSTITUTE(E399:E403," ",""),"0",""),"-",""))+LEN(SUBSTITUTE(SUBSTITUTE(SUBSTITUTE(F399:F403," ",""),"0",""),"-","")))&gt;(LEN(SUBSTITUTE(SUBSTITUTE(SUBSTITUTE(B399:B403," ",""),"0",""),"-",""))+LEN(SUBSTITUTE(SUBSTITUTE(SUBSTITUTE(C399:C403," ",""),"0",""),"-",""))))*1)</f>
      </c>
      <c r="G406" s="14" t="s">
        <v>348</v>
      </c>
      <c r="I406" s="14" t="s">
        <v>348</v>
      </c>
      <c r="J406" s="14" t="str">
        <f>SUMPRODUCT((UPPER(L399:L403)&lt;&gt;"X")*((LEN(SUBSTITUTE(SUBSTITUTE(SUBSTITUTE(J399:J403," ",""),"0",""),"-",""))+LEN(SUBSTITUTE(SUBSTITUTE(SUBSTITUTE(K399:K403," ",""),"0",""),"-","")))&gt;(LEN(SUBSTITUTE(SUBSTITUTE(SUBSTITUTE(M399:M403," ",""),"0",""),"-",""))+LEN(SUBSTITUTE(SUBSTITUTE(SUBSTITUTE(N399:N403," ",""),"0",""),"-",""))))*1)</f>
      </c>
      <c r="K406" s="14" t="str">
        <f>SUMPRODUCT(LEN(SUBSTITUTE(SUBSTITUTE(SUBSTITUTE(J399:J403," ",""),"0",""),"-",""))+LEN(SUBSTITUTE(SUBSTITUTE(SUBSTITUTE(K399:K403," ",""),"0",""),"-","")))</f>
      </c>
      <c r="L406" s="14"/>
      <c r="M406" s="14" t="str">
        <f>SUMPRODUCT(LEN(SUBSTITUTE(SUBSTITUTE(SUBSTITUTE(M399:M403," ",""),"0",""),"-",""))+LEN(SUBSTITUTE(SUBSTITUTE(SUBSTITUTE(N399:N403," ",""),"0",""),"-","")))</f>
      </c>
      <c r="N406" s="14" t="str">
        <f>SUMPRODUCT((UPPER(L399:L403)&lt;&gt;"X")*((LEN(SUBSTITUTE(SUBSTITUTE(SUBSTITUTE(M399:M403," ",""),"0",""),"-",""))+LEN(SUBSTITUTE(SUBSTITUTE(SUBSTITUTE(N399:N403," ",""),"0",""),"-","")))&gt;(LEN(SUBSTITUTE(SUBSTITUTE(SUBSTITUTE(J399:J403," ",""),"0",""),"-",""))+LEN(SUBSTITUTE(SUBSTITUTE(SUBSTITUTE(K399:K403," ",""),"0",""),"-",""))))*1)</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SUMPRODUCT((UPPER(D415:D419)&lt;&gt;"X")*((LEN(SUBSTITUTE(SUBSTITUTE(SUBSTITUTE(B415:B419," ",""),"0",""),"-",""))+LEN(SUBSTITUTE(SUBSTITUTE(SUBSTITUTE(C415:C419," ",""),"0",""),"-","")))&gt;(LEN(SUBSTITUTE(SUBSTITUTE(SUBSTITUTE(E415:E419," ",""),"0",""),"-",""))+LEN(SUBSTITUTE(SUBSTITUTE(SUBSTITUTE(F415:F419," ",""),"0",""),"-",""))))*1)</f>
      </c>
      <c r="C422" s="14" t="str">
        <f>SUMPRODUCT(LEN(SUBSTITUTE(SUBSTITUTE(SUBSTITUTE(B415:B419," ",""),"0",""),"-",""))+LEN(SUBSTITUTE(SUBSTITUTE(SUBSTITUTE(C415:C419," ",""),"0",""),"-","")))</f>
      </c>
      <c r="D422" s="14"/>
      <c r="E422" s="14" t="str">
        <f>SUMPRODUCT(LEN(SUBSTITUTE(SUBSTITUTE(SUBSTITUTE(E415:E419," ",""),"0",""),"-",""))+LEN(SUBSTITUTE(SUBSTITUTE(SUBSTITUTE(F415:F419," ",""),"0",""),"-","")))</f>
      </c>
      <c r="F422" s="14" t="str">
        <f>SUMPRODUCT((UPPER(D415:D419)&lt;&gt;"X")*((LEN(SUBSTITUTE(SUBSTITUTE(SUBSTITUTE(E415:E419," ",""),"0",""),"-",""))+LEN(SUBSTITUTE(SUBSTITUTE(SUBSTITUTE(F415:F419," ",""),"0",""),"-","")))&gt;(LEN(SUBSTITUTE(SUBSTITUTE(SUBSTITUTE(B415:B419," ",""),"0",""),"-",""))+LEN(SUBSTITUTE(SUBSTITUTE(SUBSTITUTE(C415:C419," ",""),"0",""),"-",""))))*1)</f>
      </c>
      <c r="G422" s="14" t="s">
        <v>348</v>
      </c>
      <c r="I422" s="14" t="s">
        <v>348</v>
      </c>
      <c r="J422" s="14" t="str">
        <f>SUMPRODUCT((UPPER(L415:L419)&lt;&gt;"X")*((LEN(SUBSTITUTE(SUBSTITUTE(SUBSTITUTE(J415:J419," ",""),"0",""),"-",""))+LEN(SUBSTITUTE(SUBSTITUTE(SUBSTITUTE(K415:K419," ",""),"0",""),"-","")))&gt;(LEN(SUBSTITUTE(SUBSTITUTE(SUBSTITUTE(M415:M419," ",""),"0",""),"-",""))+LEN(SUBSTITUTE(SUBSTITUTE(SUBSTITUTE(N415:N419," ",""),"0",""),"-",""))))*1)</f>
      </c>
      <c r="K422" s="14" t="str">
        <f>SUMPRODUCT(LEN(SUBSTITUTE(SUBSTITUTE(SUBSTITUTE(J415:J419," ",""),"0",""),"-",""))+LEN(SUBSTITUTE(SUBSTITUTE(SUBSTITUTE(K415:K419," ",""),"0",""),"-","")))</f>
      </c>
      <c r="L422" s="14"/>
      <c r="M422" s="14" t="str">
        <f>SUMPRODUCT(LEN(SUBSTITUTE(SUBSTITUTE(SUBSTITUTE(M415:M419," ",""),"0",""),"-",""))+LEN(SUBSTITUTE(SUBSTITUTE(SUBSTITUTE(N415:N419," ",""),"0",""),"-","")))</f>
      </c>
      <c r="N422" s="14" t="str">
        <f>SUMPRODUCT((UPPER(L415:L419)&lt;&gt;"X")*((LEN(SUBSTITUTE(SUBSTITUTE(SUBSTITUTE(M415:M419," ",""),"0",""),"-",""))+LEN(SUBSTITUTE(SUBSTITUTE(SUBSTITUTE(N415:N419," ",""),"0",""),"-","")))&gt;(LEN(SUBSTITUTE(SUBSTITUTE(SUBSTITUTE(J415:J419," ",""),"0",""),"-",""))+LEN(SUBSTITUTE(SUBSTITUTE(SUBSTITUTE(K415:K419," ",""),"0",""),"-",""))))*1)</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SUMPRODUCT((UPPER(D436:D440)&lt;&gt;"X")*((LEN(SUBSTITUTE(SUBSTITUTE(SUBSTITUTE(B436:B440," ",""),"0",""),"-",""))+LEN(SUBSTITUTE(SUBSTITUTE(SUBSTITUTE(C436:C440," ",""),"0",""),"-","")))&gt;(LEN(SUBSTITUTE(SUBSTITUTE(SUBSTITUTE(E436:E440," ",""),"0",""),"-",""))+LEN(SUBSTITUTE(SUBSTITUTE(SUBSTITUTE(F436:F440," ",""),"0",""),"-",""))))*1)</f>
      </c>
      <c r="C443" s="14" t="str">
        <f>SUMPRODUCT(LEN(SUBSTITUTE(SUBSTITUTE(SUBSTITUTE(B436:B440," ",""),"0",""),"-",""))+LEN(SUBSTITUTE(SUBSTITUTE(SUBSTITUTE(C436:C440," ",""),"0",""),"-","")))</f>
      </c>
      <c r="D443" s="14"/>
      <c r="E443" s="14" t="str">
        <f>SUMPRODUCT(LEN(SUBSTITUTE(SUBSTITUTE(SUBSTITUTE(E436:E440," ",""),"0",""),"-",""))+LEN(SUBSTITUTE(SUBSTITUTE(SUBSTITUTE(F436:F440," ",""),"0",""),"-","")))</f>
      </c>
      <c r="F443" s="14" t="str">
        <f>SUMPRODUCT((UPPER(D436:D440)&lt;&gt;"X")*((LEN(SUBSTITUTE(SUBSTITUTE(SUBSTITUTE(E436:E440," ",""),"0",""),"-",""))+LEN(SUBSTITUTE(SUBSTITUTE(SUBSTITUTE(F436:F440," ",""),"0",""),"-","")))&gt;(LEN(SUBSTITUTE(SUBSTITUTE(SUBSTITUTE(B436:B440," ",""),"0",""),"-",""))+LEN(SUBSTITUTE(SUBSTITUTE(SUBSTITUTE(C436:C440," ",""),"0",""),"-",""))))*1)</f>
      </c>
      <c r="G443" s="14" t="s">
        <v>348</v>
      </c>
      <c r="I443" s="14" t="s">
        <v>348</v>
      </c>
      <c r="J443" s="14" t="str">
        <f>SUMPRODUCT((UPPER(L436:L440)&lt;&gt;"X")*((LEN(SUBSTITUTE(SUBSTITUTE(SUBSTITUTE(J436:J440," ",""),"0",""),"-",""))+LEN(SUBSTITUTE(SUBSTITUTE(SUBSTITUTE(K436:K440," ",""),"0",""),"-","")))&gt;(LEN(SUBSTITUTE(SUBSTITUTE(SUBSTITUTE(M436:M440," ",""),"0",""),"-",""))+LEN(SUBSTITUTE(SUBSTITUTE(SUBSTITUTE(N436:N440," ",""),"0",""),"-",""))))*1)</f>
      </c>
      <c r="K443" s="14" t="str">
        <f>SUMPRODUCT(LEN(SUBSTITUTE(SUBSTITUTE(SUBSTITUTE(J436:J440," ",""),"0",""),"-",""))+LEN(SUBSTITUTE(SUBSTITUTE(SUBSTITUTE(K436:K440," ",""),"0",""),"-","")))</f>
      </c>
      <c r="L443" s="14"/>
      <c r="M443" s="14" t="str">
        <f>SUMPRODUCT(LEN(SUBSTITUTE(SUBSTITUTE(SUBSTITUTE(M436:M440," ",""),"0",""),"-",""))+LEN(SUBSTITUTE(SUBSTITUTE(SUBSTITUTE(N436:N440," ",""),"0",""),"-","")))</f>
      </c>
      <c r="N443" s="14" t="str">
        <f>SUMPRODUCT((UPPER(L436:L440)&lt;&gt;"X")*((LEN(SUBSTITUTE(SUBSTITUTE(SUBSTITUTE(M436:M440," ",""),"0",""),"-",""))+LEN(SUBSTITUTE(SUBSTITUTE(SUBSTITUTE(N436:N440," ",""),"0",""),"-","")))&gt;(LEN(SUBSTITUTE(SUBSTITUTE(SUBSTITUTE(J436:J440," ",""),"0",""),"-",""))+LEN(SUBSTITUTE(SUBSTITUTE(SUBSTITUTE(K436:K440," ",""),"0",""),"-",""))))*1)</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SUMPRODUCT((UPPER(D452:D456)&lt;&gt;"X")*((LEN(SUBSTITUTE(SUBSTITUTE(SUBSTITUTE(B452:B456," ",""),"0",""),"-",""))+LEN(SUBSTITUTE(SUBSTITUTE(SUBSTITUTE(C452:C456," ",""),"0",""),"-","")))&gt;(LEN(SUBSTITUTE(SUBSTITUTE(SUBSTITUTE(E452:E456," ",""),"0",""),"-",""))+LEN(SUBSTITUTE(SUBSTITUTE(SUBSTITUTE(F452:F456," ",""),"0",""),"-",""))))*1)</f>
      </c>
      <c r="C459" s="14" t="str">
        <f>SUMPRODUCT(LEN(SUBSTITUTE(SUBSTITUTE(SUBSTITUTE(B452:B456," ",""),"0",""),"-",""))+LEN(SUBSTITUTE(SUBSTITUTE(SUBSTITUTE(C452:C456," ",""),"0",""),"-","")))</f>
      </c>
      <c r="D459" s="14"/>
      <c r="E459" s="14" t="str">
        <f>SUMPRODUCT(LEN(SUBSTITUTE(SUBSTITUTE(SUBSTITUTE(E452:E456," ",""),"0",""),"-",""))+LEN(SUBSTITUTE(SUBSTITUTE(SUBSTITUTE(F452:F456," ",""),"0",""),"-","")))</f>
      </c>
      <c r="F459" s="14" t="str">
        <f>SUMPRODUCT((UPPER(D452:D456)&lt;&gt;"X")*((LEN(SUBSTITUTE(SUBSTITUTE(SUBSTITUTE(E452:E456," ",""),"0",""),"-",""))+LEN(SUBSTITUTE(SUBSTITUTE(SUBSTITUTE(F452:F456," ",""),"0",""),"-","")))&gt;(LEN(SUBSTITUTE(SUBSTITUTE(SUBSTITUTE(B452:B456," ",""),"0",""),"-",""))+LEN(SUBSTITUTE(SUBSTITUTE(SUBSTITUTE(C452:C456," ",""),"0",""),"-",""))))*1)</f>
      </c>
      <c r="G459" s="14" t="s">
        <v>348</v>
      </c>
      <c r="I459" s="14" t="s">
        <v>348</v>
      </c>
      <c r="J459" s="14" t="str">
        <f>SUMPRODUCT((UPPER(L452:L456)&lt;&gt;"X")*((LEN(SUBSTITUTE(SUBSTITUTE(SUBSTITUTE(J452:J456," ",""),"0",""),"-",""))+LEN(SUBSTITUTE(SUBSTITUTE(SUBSTITUTE(K452:K456," ",""),"0",""),"-","")))&gt;(LEN(SUBSTITUTE(SUBSTITUTE(SUBSTITUTE(M452:M456," ",""),"0",""),"-",""))+LEN(SUBSTITUTE(SUBSTITUTE(SUBSTITUTE(N452:N456," ",""),"0",""),"-",""))))*1)</f>
      </c>
      <c r="K459" s="14" t="str">
        <f>SUMPRODUCT(LEN(SUBSTITUTE(SUBSTITUTE(SUBSTITUTE(J452:J456," ",""),"0",""),"-",""))+LEN(SUBSTITUTE(SUBSTITUTE(SUBSTITUTE(K452:K456," ",""),"0",""),"-","")))</f>
      </c>
      <c r="L459" s="14"/>
      <c r="M459" s="14" t="str">
        <f>SUMPRODUCT(LEN(SUBSTITUTE(SUBSTITUTE(SUBSTITUTE(M452:M456," ",""),"0",""),"-",""))+LEN(SUBSTITUTE(SUBSTITUTE(SUBSTITUTE(N452:N456," ",""),"0",""),"-","")))</f>
      </c>
      <c r="N459" s="14" t="str">
        <f>SUMPRODUCT((UPPER(L452:L456)&lt;&gt;"X")*((LEN(SUBSTITUTE(SUBSTITUTE(SUBSTITUTE(M452:M456," ",""),"0",""),"-",""))+LEN(SUBSTITUTE(SUBSTITUTE(SUBSTITUTE(N452:N456," ",""),"0",""),"-","")))&gt;(LEN(SUBSTITUTE(SUBSTITUTE(SUBSTITUTE(J452:J456," ",""),"0",""),"-",""))+LEN(SUBSTITUTE(SUBSTITUTE(SUBSTITUTE(K452:K456," ",""),"0",""),"-",""))))*1)</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SUMPRODUCT((UPPER(D473:D477)&lt;&gt;"X")*((LEN(SUBSTITUTE(SUBSTITUTE(SUBSTITUTE(B473:B477," ",""),"0",""),"-",""))+LEN(SUBSTITUTE(SUBSTITUTE(SUBSTITUTE(C473:C477," ",""),"0",""),"-","")))&gt;(LEN(SUBSTITUTE(SUBSTITUTE(SUBSTITUTE(E473:E477," ",""),"0",""),"-",""))+LEN(SUBSTITUTE(SUBSTITUTE(SUBSTITUTE(F473:F477," ",""),"0",""),"-",""))))*1)</f>
      </c>
      <c r="C480" s="14" t="str">
        <f>SUMPRODUCT(LEN(SUBSTITUTE(SUBSTITUTE(SUBSTITUTE(B473:B477," ",""),"0",""),"-",""))+LEN(SUBSTITUTE(SUBSTITUTE(SUBSTITUTE(C473:C477," ",""),"0",""),"-","")))</f>
      </c>
      <c r="D480" s="14"/>
      <c r="E480" s="14" t="str">
        <f>SUMPRODUCT(LEN(SUBSTITUTE(SUBSTITUTE(SUBSTITUTE(E473:E477," ",""),"0",""),"-",""))+LEN(SUBSTITUTE(SUBSTITUTE(SUBSTITUTE(F473:F477," ",""),"0",""),"-","")))</f>
      </c>
      <c r="F480" s="14" t="str">
        <f>SUMPRODUCT((UPPER(D473:D477)&lt;&gt;"X")*((LEN(SUBSTITUTE(SUBSTITUTE(SUBSTITUTE(E473:E477," ",""),"0",""),"-",""))+LEN(SUBSTITUTE(SUBSTITUTE(SUBSTITUTE(F473:F477," ",""),"0",""),"-","")))&gt;(LEN(SUBSTITUTE(SUBSTITUTE(SUBSTITUTE(B473:B477," ",""),"0",""),"-",""))+LEN(SUBSTITUTE(SUBSTITUTE(SUBSTITUTE(C473:C477," ",""),"0",""),"-",""))))*1)</f>
      </c>
      <c r="G480" s="14" t="s">
        <v>348</v>
      </c>
      <c r="I480" s="14" t="s">
        <v>348</v>
      </c>
      <c r="J480" s="14" t="str">
        <f>SUMPRODUCT((UPPER(L473:L477)&lt;&gt;"X")*((LEN(SUBSTITUTE(SUBSTITUTE(SUBSTITUTE(J473:J477," ",""),"0",""),"-",""))+LEN(SUBSTITUTE(SUBSTITUTE(SUBSTITUTE(K473:K477," ",""),"0",""),"-","")))&gt;(LEN(SUBSTITUTE(SUBSTITUTE(SUBSTITUTE(M473:M477," ",""),"0",""),"-",""))+LEN(SUBSTITUTE(SUBSTITUTE(SUBSTITUTE(N473:N477," ",""),"0",""),"-",""))))*1)</f>
      </c>
      <c r="K480" s="14" t="str">
        <f>SUMPRODUCT(LEN(SUBSTITUTE(SUBSTITUTE(SUBSTITUTE(J473:J477," ",""),"0",""),"-",""))+LEN(SUBSTITUTE(SUBSTITUTE(SUBSTITUTE(K473:K477," ",""),"0",""),"-","")))</f>
      </c>
      <c r="L480" s="14"/>
      <c r="M480" s="14" t="str">
        <f>SUMPRODUCT(LEN(SUBSTITUTE(SUBSTITUTE(SUBSTITUTE(M473:M477," ",""),"0",""),"-",""))+LEN(SUBSTITUTE(SUBSTITUTE(SUBSTITUTE(N473:N477," ",""),"0",""),"-","")))</f>
      </c>
      <c r="N480" s="14" t="str">
        <f>SUMPRODUCT((UPPER(L473:L477)&lt;&gt;"X")*((LEN(SUBSTITUTE(SUBSTITUTE(SUBSTITUTE(M473:M477," ",""),"0",""),"-",""))+LEN(SUBSTITUTE(SUBSTITUTE(SUBSTITUTE(N473:N477," ",""),"0",""),"-","")))&gt;(LEN(SUBSTITUTE(SUBSTITUTE(SUBSTITUTE(J473:J477," ",""),"0",""),"-",""))+LEN(SUBSTITUTE(SUBSTITUTE(SUBSTITUTE(K473:K477," ",""),"0",""),"-",""))))*1)</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SUMPRODUCT((UPPER(D494:D498)&lt;&gt;"X")*((LEN(SUBSTITUTE(SUBSTITUTE(SUBSTITUTE(B494:B498," ",""),"0",""),"-",""))+LEN(SUBSTITUTE(SUBSTITUTE(SUBSTITUTE(C494:C498," ",""),"0",""),"-","")))&gt;(LEN(SUBSTITUTE(SUBSTITUTE(SUBSTITUTE(E494:E498," ",""),"0",""),"-",""))+LEN(SUBSTITUTE(SUBSTITUTE(SUBSTITUTE(F494:F498," ",""),"0",""),"-",""))))*1)</f>
      </c>
      <c r="C501" s="14" t="str">
        <f>SUMPRODUCT(LEN(SUBSTITUTE(SUBSTITUTE(SUBSTITUTE(B494:B498," ",""),"0",""),"-",""))+LEN(SUBSTITUTE(SUBSTITUTE(SUBSTITUTE(C494:C498," ",""),"0",""),"-","")))</f>
      </c>
      <c r="D501" s="14"/>
      <c r="E501" s="14" t="str">
        <f>SUMPRODUCT(LEN(SUBSTITUTE(SUBSTITUTE(SUBSTITUTE(E494:E498," ",""),"0",""),"-",""))+LEN(SUBSTITUTE(SUBSTITUTE(SUBSTITUTE(F494:F498," ",""),"0",""),"-","")))</f>
      </c>
      <c r="F501" s="14" t="str">
        <f>SUMPRODUCT((UPPER(D494:D498)&lt;&gt;"X")*((LEN(SUBSTITUTE(SUBSTITUTE(SUBSTITUTE(E494:E498," ",""),"0",""),"-",""))+LEN(SUBSTITUTE(SUBSTITUTE(SUBSTITUTE(F494:F498," ",""),"0",""),"-","")))&gt;(LEN(SUBSTITUTE(SUBSTITUTE(SUBSTITUTE(B494:B498," ",""),"0",""),"-",""))+LEN(SUBSTITUTE(SUBSTITUTE(SUBSTITUTE(C494:C498," ",""),"0",""),"-",""))))*1)</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Matches'!G50)</f>
      </c>
    </row>
    <row r="7">
      <c r="A7" s="26" t="str">
        <f>"3. " &amp; data!$B$5</f>
      </c>
      <c r="F7" s="22"/>
      <c r="G7" s="20"/>
    </row>
    <row r="8">
      <c r="A8" s="27" t="str">
        <f>"4. " &amp; data!$B$6</f>
      </c>
      <c r="G8" s="21">
        <v>29</v>
      </c>
    </row>
    <row r="9">
      <c r="A9" s="22"/>
      <c r="C9" s="23" t="str">
        <f>CONCATENATE("Pool C-1st ",'Pool Matches'!G136)</f>
      </c>
      <c r="G9" s="20"/>
      <c r="H9" s="22"/>
      <c r="I9" s="20"/>
    </row>
    <row r="10">
      <c r="A10" s="24" t="str">
        <f>'data'!$A$9</f>
      </c>
      <c r="D10" s="22"/>
      <c r="E10" s="21">
        <v>1</v>
      </c>
      <c r="F10" s="15"/>
      <c r="G10" s="20"/>
      <c r="I10" s="20"/>
    </row>
    <row r="11">
      <c r="A11" s="25" t="str">
        <f>"1. " &amp; data!$B$7</f>
      </c>
      <c r="C11" s="23" t="str">
        <f>CONCATENATE("Pool B-2nd ",'Pool Matches'!G94)</f>
      </c>
      <c r="D11" s="15"/>
      <c r="E11" s="20"/>
      <c r="I11" s="20"/>
    </row>
    <row r="12">
      <c r="A12" s="26" t="str">
        <f>"2. " &amp; data!$B$8</f>
      </c>
      <c r="I12" s="21">
        <v>45</v>
      </c>
    </row>
    <row r="13">
      <c r="A13" s="27" t="str">
        <f>"3. " &amp; data!$B$9</f>
      </c>
      <c r="C13" s="23" t="str">
        <f>CONCATENATE("Pool E-1st ",'Pool Matches'!G222)</f>
      </c>
      <c r="I13" s="20"/>
      <c r="J13" s="22"/>
      <c r="K13" s="20"/>
    </row>
    <row r="14">
      <c r="A14" s="22"/>
      <c r="D14" s="22"/>
      <c r="E14" s="21">
        <v>2</v>
      </c>
      <c r="I14" s="20"/>
      <c r="K14" s="20"/>
    </row>
    <row r="15">
      <c r="A15" s="24" t="str">
        <f>'data'!$A$12</f>
      </c>
      <c r="C15" s="23" t="str">
        <f>CONCATENATE("Pool D-2nd ",'Pool Matches'!G180)</f>
      </c>
      <c r="D15" s="15"/>
      <c r="E15" s="20"/>
      <c r="F15" s="22"/>
      <c r="G15" s="20"/>
      <c r="I15" s="20"/>
      <c r="K15" s="20"/>
    </row>
    <row r="16">
      <c r="A16" s="25" t="str">
        <f>"1. " &amp; data!$B$10</f>
      </c>
      <c r="G16" s="21">
        <v>30</v>
      </c>
      <c r="H16" s="15"/>
      <c r="I16" s="20"/>
      <c r="K16" s="20"/>
    </row>
    <row r="17">
      <c r="A17" s="26" t="str">
        <f>"2. " &amp; data!$B$11</f>
      </c>
      <c r="C17" s="23" t="str">
        <f>CONCATENATE("Pool G-1st ",'Pool Matches'!G308)</f>
      </c>
      <c r="G17" s="20"/>
      <c r="K17" s="20"/>
    </row>
    <row r="18">
      <c r="A18" s="27" t="str">
        <f>"3. " &amp; data!$B$12</f>
      </c>
      <c r="D18" s="22"/>
      <c r="E18" s="21">
        <v>3</v>
      </c>
      <c r="F18" s="15"/>
      <c r="G18" s="20"/>
      <c r="K18" s="20"/>
    </row>
    <row r="19">
      <c r="A19" s="22"/>
      <c r="C19" s="23" t="str">
        <f>CONCATENATE("Pool F-2nd ",'Pool Matches'!G266)</f>
      </c>
      <c r="D19" s="15"/>
      <c r="E19" s="20"/>
      <c r="K19" s="20"/>
    </row>
    <row r="20">
      <c r="A20" s="24" t="str">
        <f>'data'!$A$15</f>
      </c>
      <c r="K20" s="21">
        <v>53</v>
      </c>
    </row>
    <row r="21">
      <c r="A21" s="25" t="str">
        <f>"1. " &amp; data!$B$13</f>
      </c>
      <c r="C21" s="23" t="str">
        <f>CONCATENATE("Pool I-1st ",'Pool Matches'!G394)</f>
      </c>
      <c r="K21" s="20"/>
    </row>
    <row r="22">
      <c r="A22" s="26" t="str">
        <f>"2. " &amp; data!$B$14</f>
      </c>
      <c r="D22" s="22"/>
      <c r="E22" s="21">
        <v>4</v>
      </c>
      <c r="K22" s="20"/>
    </row>
    <row r="23">
      <c r="A23" s="27" t="str">
        <f>"3. " &amp; data!$B$15</f>
      </c>
      <c r="C23" s="23" t="str">
        <f>CONCATENATE("Pool H-2nd ",'Pool Matches'!G352)</f>
      </c>
      <c r="D23" s="15"/>
      <c r="E23" s="20"/>
      <c r="F23" s="22"/>
      <c r="G23" s="20"/>
      <c r="K23" s="20"/>
    </row>
    <row r="24">
      <c r="A24" s="22"/>
      <c r="G24" s="21">
        <v>31</v>
      </c>
      <c r="K24" s="20"/>
    </row>
    <row r="25">
      <c r="A25" s="24" t="str">
        <f>'data'!$A$18</f>
      </c>
      <c r="C25" s="23" t="str">
        <f>CONCATENATE("Pool K-1st ",'Pool Matches'!G480)</f>
      </c>
      <c r="G25" s="20"/>
      <c r="H25" s="22"/>
      <c r="I25" s="20"/>
      <c r="K25" s="20"/>
    </row>
    <row r="26">
      <c r="A26" s="25" t="str">
        <f>"1. " &amp; data!$B$16</f>
      </c>
      <c r="D26" s="22"/>
      <c r="E26" s="21">
        <v>5</v>
      </c>
      <c r="F26" s="15"/>
      <c r="G26" s="20"/>
      <c r="I26" s="20"/>
      <c r="K26" s="20"/>
    </row>
    <row r="27">
      <c r="A27" s="26" t="str">
        <f>"2. " &amp; data!$B$17</f>
      </c>
      <c r="C27" s="23" t="str">
        <f>CONCATENATE("Pool J-2nd ",'Pool Matches'!G438)</f>
      </c>
      <c r="D27" s="15"/>
      <c r="E27" s="20"/>
      <c r="I27" s="20"/>
      <c r="K27" s="20"/>
    </row>
    <row r="28">
      <c r="A28" s="27" t="str">
        <f>"3. " &amp; data!$B$18</f>
      </c>
      <c r="I28" s="21">
        <v>46</v>
      </c>
      <c r="J28" s="15"/>
      <c r="K28" s="20"/>
    </row>
    <row r="29">
      <c r="A29" s="22"/>
      <c r="C29" s="23" t="str">
        <f>CONCATENATE("Pool M-1st ",'Pool Matches'!G566)</f>
      </c>
      <c r="I29" s="20"/>
    </row>
    <row r="30">
      <c r="A30" s="24" t="str">
        <f>'data'!$A$21</f>
      </c>
      <c r="D30" s="22"/>
      <c r="E30" s="21">
        <v>6</v>
      </c>
      <c r="I30" s="20"/>
    </row>
    <row r="31">
      <c r="A31" s="25" t="str">
        <f>"1. " &amp; data!$B$19</f>
      </c>
      <c r="C31" s="23" t="str">
        <f>CONCATENATE("Pool L-2nd ",'Pool Matches'!G524)</f>
      </c>
      <c r="D31" s="15"/>
      <c r="E31" s="20"/>
      <c r="F31" s="22"/>
      <c r="G31" s="20"/>
      <c r="I31" s="20"/>
    </row>
    <row r="32">
      <c r="A32" s="26" t="str">
        <f>"2. " &amp; data!$B$20</f>
      </c>
      <c r="G32" s="21">
        <v>32</v>
      </c>
      <c r="H32" s="15"/>
      <c r="I32" s="20"/>
    </row>
    <row r="33">
      <c r="A33" s="27" t="str">
        <f>"3. " &amp; data!$B$21</f>
      </c>
      <c r="C33" s="23" t="str">
        <f>CONCATENATE("Pool O-1st ",'Pool Matches'!G652)</f>
      </c>
      <c r="G33" s="20"/>
    </row>
    <row r="34">
      <c r="A34" s="22"/>
      <c r="D34" s="22"/>
      <c r="E34" s="21">
        <v>7</v>
      </c>
      <c r="F34" s="15"/>
      <c r="G34" s="20"/>
    </row>
    <row r="35">
      <c r="A35" s="24" t="str">
        <f>'data'!$A$24</f>
      </c>
      <c r="C35" s="23" t="str">
        <f>CONCATENATE("Pool N-2nd ",'Pool Matches'!G610)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Matches'!O93)</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Matches'!O137)</f>
      </c>
      <c r="D11" s="15"/>
      <c r="E11" s="20"/>
      <c r="I11" s="20"/>
    </row>
    <row r="12">
      <c r="A12" s="27" t="str">
        <f>"3. " &amp; data!$B$33</f>
      </c>
      <c r="I12" s="21">
        <v>47</v>
      </c>
    </row>
    <row r="13">
      <c r="A13" s="22"/>
      <c r="C13" s="23" t="str">
        <f>CONCATENATE("Pool S-1st ",'Pool Matches'!O179)</f>
      </c>
      <c r="I13" s="20"/>
      <c r="J13" s="22"/>
      <c r="K13" s="20"/>
    </row>
    <row r="14">
      <c r="A14" s="24" t="str">
        <f>'data'!$A$36</f>
      </c>
      <c r="D14" s="22"/>
      <c r="E14" s="21">
        <v>9</v>
      </c>
      <c r="I14" s="20"/>
      <c r="K14" s="20"/>
    </row>
    <row r="15">
      <c r="A15" s="25" t="str">
        <f>"1. " &amp; data!$B$34</f>
      </c>
      <c r="C15" s="23" t="str">
        <f>CONCATENATE("Pool T-2nd ",'Pool Matches'!O223)</f>
      </c>
      <c r="D15" s="15"/>
      <c r="E15" s="20"/>
      <c r="F15" s="22"/>
      <c r="G15" s="20"/>
      <c r="I15" s="20"/>
      <c r="K15" s="20"/>
    </row>
    <row r="16">
      <c r="A16" s="26" t="str">
        <f>"2. " &amp; data!$B$35</f>
      </c>
      <c r="G16" s="21">
        <v>34</v>
      </c>
      <c r="H16" s="15"/>
      <c r="I16" s="20"/>
      <c r="K16" s="20"/>
    </row>
    <row r="17">
      <c r="A17" s="27" t="str">
        <f>"3. " &amp; data!$B$36</f>
      </c>
      <c r="C17" s="23" t="str">
        <f>CONCATENATE("Pool U-1st ",'Pool Matches'!O265)</f>
      </c>
      <c r="G17" s="20"/>
      <c r="K17" s="20"/>
    </row>
    <row r="18">
      <c r="A18" s="22"/>
      <c r="D18" s="22"/>
      <c r="E18" s="21">
        <v>10</v>
      </c>
      <c r="F18" s="15"/>
      <c r="G18" s="20"/>
      <c r="K18" s="20"/>
    </row>
    <row r="19">
      <c r="A19" s="24" t="str">
        <f>'data'!$A$39</f>
      </c>
      <c r="C19" s="23" t="str">
        <f>CONCATENATE("Pool V-2nd ",'Pool Matches'!O309)</f>
      </c>
      <c r="D19" s="15"/>
      <c r="E19" s="20"/>
      <c r="K19" s="20"/>
    </row>
    <row r="20">
      <c r="A20" s="25" t="str">
        <f>"1. " &amp; data!$B$37</f>
      </c>
      <c r="K20" s="21">
        <v>54</v>
      </c>
    </row>
    <row r="21">
      <c r="A21" s="26" t="str">
        <f>"2. " &amp; data!$B$38</f>
      </c>
      <c r="C21" s="23" t="str">
        <f>CONCATENATE("Pool W-1st ",'Pool Matches'!O351)</f>
      </c>
      <c r="K21" s="20"/>
    </row>
    <row r="22">
      <c r="A22" s="27" t="str">
        <f>"3. " &amp; data!$B$39</f>
      </c>
      <c r="D22" s="22"/>
      <c r="E22" s="21">
        <v>11</v>
      </c>
      <c r="K22" s="20"/>
    </row>
    <row r="23">
      <c r="A23" s="22"/>
      <c r="C23" s="23" t="str">
        <f>CONCATENATE("Pool X-2nd ",'Pool Matches'!O395)</f>
      </c>
      <c r="D23" s="15"/>
      <c r="E23" s="20"/>
      <c r="F23" s="22"/>
      <c r="G23" s="20"/>
      <c r="K23" s="20"/>
    </row>
    <row r="24">
      <c r="A24" s="24" t="str">
        <f>'data'!$A$42</f>
      </c>
      <c r="G24" s="21">
        <v>35</v>
      </c>
      <c r="K24" s="20"/>
    </row>
    <row r="25">
      <c r="A25" s="25" t="str">
        <f>"1. " &amp; data!$B$40</f>
      </c>
      <c r="C25" s="23" t="str">
        <f>CONCATENATE("Pool Y-1st ",'Pool Matches'!O437)</f>
      </c>
      <c r="G25" s="20"/>
      <c r="H25" s="22"/>
      <c r="I25" s="20"/>
      <c r="K25" s="20"/>
    </row>
    <row r="26">
      <c r="A26" s="26" t="str">
        <f>"2. " &amp; data!$B$41</f>
      </c>
      <c r="D26" s="22"/>
      <c r="E26" s="21">
        <v>12</v>
      </c>
      <c r="F26" s="15"/>
      <c r="G26" s="20"/>
      <c r="I26" s="20"/>
      <c r="K26" s="20"/>
    </row>
    <row r="27">
      <c r="A27" s="27" t="str">
        <f>"3. " &amp; data!$B$42</f>
      </c>
      <c r="C27" s="23" t="str">
        <f>CONCATENATE("Pool Z-2nd ",'Pool Matches'!O481)</f>
      </c>
      <c r="D27" s="15"/>
      <c r="E27" s="20"/>
      <c r="I27" s="20"/>
      <c r="K27" s="20"/>
    </row>
    <row r="28">
      <c r="A28" s="22"/>
      <c r="I28" s="21">
        <v>48</v>
      </c>
      <c r="J28" s="15"/>
      <c r="K28" s="20"/>
    </row>
    <row r="29">
      <c r="A29" s="24" t="str">
        <f>'data'!$A$45</f>
      </c>
      <c r="C29" s="23" t="str">
        <f>CONCATENATE("Pool AA-1st ",'Pool Matches'!O523)</f>
      </c>
      <c r="I29" s="20"/>
    </row>
    <row r="30">
      <c r="A30" s="25" t="str">
        <f>"1. " &amp; data!$B$43</f>
      </c>
      <c r="D30" s="22"/>
      <c r="E30" s="21">
        <v>13</v>
      </c>
      <c r="I30" s="20"/>
    </row>
    <row r="31">
      <c r="A31" s="26" t="str">
        <f>"2. " &amp; data!$B$44</f>
      </c>
      <c r="C31" s="23" t="str">
        <f>CONCATENATE("Pool BB-2nd ",'Pool Matches'!O567)</f>
      </c>
      <c r="D31" s="15"/>
      <c r="E31" s="20"/>
      <c r="F31" s="22"/>
      <c r="G31" s="20"/>
      <c r="I31" s="20"/>
    </row>
    <row r="32">
      <c r="A32" s="27" t="str">
        <f>"3. " &amp; data!$B$45</f>
      </c>
      <c r="G32" s="21">
        <v>36</v>
      </c>
      <c r="H32" s="15"/>
      <c r="I32" s="20"/>
    </row>
    <row r="33">
      <c r="A33" s="22"/>
      <c r="C33" s="23" t="str">
        <f>CONCATENATE("Pool CC-1st ",'Pool Matches'!O609)</f>
      </c>
      <c r="G33" s="20"/>
    </row>
    <row r="34">
      <c r="A34" s="24" t="str">
        <f>'data'!$A$48</f>
      </c>
      <c r="D34" s="22"/>
      <c r="E34" s="21">
        <v>14</v>
      </c>
      <c r="F34" s="15"/>
      <c r="G34" s="20"/>
    </row>
    <row r="35">
      <c r="A35" s="25" t="str">
        <f>"1. " &amp; data!$B$46</f>
      </c>
      <c r="C35" s="23" t="str">
        <f>CONCATENATE("Pool DD-2nd ",'Pool Matches'!O653)</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Matches'!G93)</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Matches'!G137)</f>
      </c>
      <c r="D11" s="15"/>
      <c r="E11" s="20"/>
      <c r="I11" s="20"/>
    </row>
    <row r="12">
      <c r="A12" s="27" t="str">
        <f>"3. " &amp; data!$B$54</f>
      </c>
      <c r="I12" s="21">
        <v>49</v>
      </c>
    </row>
    <row r="13">
      <c r="A13" s="22"/>
      <c r="C13" s="23" t="str">
        <f>CONCATENATE("Pool D-1st ",'Pool Matches'!G179)</f>
      </c>
      <c r="I13" s="20"/>
      <c r="J13" s="22"/>
      <c r="K13" s="20"/>
    </row>
    <row r="14">
      <c r="A14" s="24" t="str">
        <f>'data'!$A$57</f>
      </c>
      <c r="D14" s="22"/>
      <c r="E14" s="21">
        <v>16</v>
      </c>
      <c r="I14" s="20"/>
      <c r="K14" s="20"/>
    </row>
    <row r="15">
      <c r="A15" s="25" t="str">
        <f>"1. " &amp; data!$B$55</f>
      </c>
      <c r="C15" s="23" t="str">
        <f>CONCATENATE("Pool E-2nd ",'Pool Matches'!G223)</f>
      </c>
      <c r="D15" s="15"/>
      <c r="E15" s="20"/>
      <c r="F15" s="22"/>
      <c r="G15" s="20"/>
      <c r="I15" s="20"/>
      <c r="K15" s="20"/>
    </row>
    <row r="16">
      <c r="A16" s="26" t="str">
        <f>"2. " &amp; data!$B$56</f>
      </c>
      <c r="G16" s="21">
        <v>38</v>
      </c>
      <c r="H16" s="15"/>
      <c r="I16" s="20"/>
      <c r="K16" s="20"/>
    </row>
    <row r="17">
      <c r="A17" s="27" t="str">
        <f>"3. " &amp; data!$B$57</f>
      </c>
      <c r="C17" s="23" t="str">
        <f>CONCATENATE("Pool F-1st ",'Pool Matches'!G265)</f>
      </c>
      <c r="G17" s="20"/>
      <c r="K17" s="20"/>
    </row>
    <row r="18">
      <c r="A18" s="22"/>
      <c r="D18" s="22"/>
      <c r="E18" s="21">
        <v>17</v>
      </c>
      <c r="F18" s="15"/>
      <c r="G18" s="20"/>
      <c r="K18" s="20"/>
    </row>
    <row r="19">
      <c r="A19" s="24" t="str">
        <f>'data'!$A$60</f>
      </c>
      <c r="C19" s="23" t="str">
        <f>CONCATENATE("Pool G-2nd ",'Pool Matches'!G309)</f>
      </c>
      <c r="D19" s="15"/>
      <c r="E19" s="20"/>
      <c r="K19" s="20"/>
    </row>
    <row r="20">
      <c r="A20" s="25" t="str">
        <f>"1. " &amp; data!$B$58</f>
      </c>
      <c r="K20" s="21">
        <v>55</v>
      </c>
    </row>
    <row r="21">
      <c r="A21" s="26" t="str">
        <f>"2. " &amp; data!$B$59</f>
      </c>
      <c r="C21" s="23" t="str">
        <f>CONCATENATE("Pool H-1st ",'Pool Matches'!G351)</f>
      </c>
      <c r="K21" s="20"/>
    </row>
    <row r="22">
      <c r="A22" s="27" t="str">
        <f>"3. " &amp; data!$B$60</f>
      </c>
      <c r="D22" s="22"/>
      <c r="E22" s="21">
        <v>18</v>
      </c>
      <c r="K22" s="20"/>
    </row>
    <row r="23">
      <c r="A23" s="22"/>
      <c r="C23" s="23" t="str">
        <f>CONCATENATE("Pool I-2nd ",'Pool Matches'!G395)</f>
      </c>
      <c r="D23" s="15"/>
      <c r="E23" s="20"/>
      <c r="F23" s="22"/>
      <c r="G23" s="20"/>
      <c r="K23" s="20"/>
    </row>
    <row r="24">
      <c r="A24" s="24" t="str">
        <f>'data'!$A$63</f>
      </c>
      <c r="G24" s="21">
        <v>39</v>
      </c>
      <c r="K24" s="20"/>
    </row>
    <row r="25">
      <c r="A25" s="25" t="str">
        <f>"1. " &amp; data!$B$61</f>
      </c>
      <c r="C25" s="23" t="str">
        <f>CONCATENATE("Pool J-1st ",'Pool Matches'!G437)</f>
      </c>
      <c r="G25" s="20"/>
      <c r="H25" s="22"/>
      <c r="I25" s="20"/>
      <c r="K25" s="20"/>
    </row>
    <row r="26">
      <c r="A26" s="26" t="str">
        <f>"2. " &amp; data!$B$62</f>
      </c>
      <c r="D26" s="22"/>
      <c r="E26" s="21">
        <v>19</v>
      </c>
      <c r="F26" s="15"/>
      <c r="G26" s="20"/>
      <c r="I26" s="20"/>
      <c r="K26" s="20"/>
    </row>
    <row r="27">
      <c r="A27" s="27" t="str">
        <f>"3. " &amp; data!$B$63</f>
      </c>
      <c r="C27" s="23" t="str">
        <f>CONCATENATE("Pool K-2nd ",'Pool Matches'!G481)</f>
      </c>
      <c r="D27" s="15"/>
      <c r="E27" s="20"/>
      <c r="I27" s="20"/>
      <c r="K27" s="20"/>
    </row>
    <row r="28">
      <c r="A28" s="22"/>
      <c r="I28" s="21">
        <v>50</v>
      </c>
      <c r="J28" s="15"/>
      <c r="K28" s="20"/>
    </row>
    <row r="29">
      <c r="A29" s="24" t="str">
        <f>'data'!$A$66</f>
      </c>
      <c r="C29" s="23" t="str">
        <f>CONCATENATE("Pool L-1st ",'Pool Matches'!G523)</f>
      </c>
      <c r="I29" s="20"/>
    </row>
    <row r="30">
      <c r="A30" s="25" t="str">
        <f>"1. " &amp; data!$B$64</f>
      </c>
      <c r="D30" s="22"/>
      <c r="E30" s="21">
        <v>20</v>
      </c>
      <c r="I30" s="20"/>
    </row>
    <row r="31">
      <c r="A31" s="26" t="str">
        <f>"2. " &amp; data!$B$65</f>
      </c>
      <c r="C31" s="23" t="str">
        <f>CONCATENATE("Pool M-2nd ",'Pool Matches'!G567)</f>
      </c>
      <c r="D31" s="15"/>
      <c r="E31" s="20"/>
      <c r="F31" s="22"/>
      <c r="G31" s="20"/>
      <c r="I31" s="20"/>
    </row>
    <row r="32">
      <c r="A32" s="27" t="str">
        <f>"3. " &amp; data!$B$66</f>
      </c>
      <c r="G32" s="21">
        <v>40</v>
      </c>
      <c r="H32" s="15"/>
      <c r="I32" s="20"/>
    </row>
    <row r="33">
      <c r="A33" s="22"/>
      <c r="C33" s="23" t="str">
        <f>CONCATENATE("Pool N-1st ",'Pool Matches'!G609)</f>
      </c>
      <c r="G33" s="20"/>
    </row>
    <row r="34">
      <c r="A34" s="24" t="str">
        <f>'data'!$A$69</f>
      </c>
      <c r="D34" s="22"/>
      <c r="E34" s="21">
        <v>21</v>
      </c>
      <c r="F34" s="15"/>
      <c r="G34" s="20"/>
    </row>
    <row r="35">
      <c r="A35" s="25" t="str">
        <f>"1. " &amp; data!$B$67</f>
      </c>
      <c r="C35" s="23" t="str">
        <f>CONCATENATE("Pool O-2nd ",'Pool Matches'!G653)</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Matches'!O48)</f>
      </c>
    </row>
    <row r="7">
      <c r="A7" s="27" t="str">
        <f>"3. " &amp; data!$B$75</f>
      </c>
      <c r="F7" s="22"/>
      <c r="G7" s="20"/>
    </row>
    <row r="8">
      <c r="A8" s="22"/>
      <c r="G8" s="21">
        <v>41</v>
      </c>
    </row>
    <row r="9">
      <c r="A9" s="24" t="str">
        <f>'data'!$A$78</f>
      </c>
      <c r="C9" s="23" t="str">
        <f>CONCATENATE("Pool R-1st ",'Pool Matches'!O136)</f>
      </c>
      <c r="G9" s="20"/>
      <c r="H9" s="22"/>
      <c r="I9" s="20"/>
    </row>
    <row r="10">
      <c r="A10" s="25" t="str">
        <f>"1. " &amp; data!$B$76</f>
      </c>
      <c r="D10" s="22"/>
      <c r="E10" s="21">
        <v>22</v>
      </c>
      <c r="F10" s="15"/>
      <c r="G10" s="20"/>
      <c r="I10" s="20"/>
    </row>
    <row r="11">
      <c r="A11" s="26" t="str">
        <f>"2. " &amp; data!$B$77</f>
      </c>
      <c r="C11" s="23" t="str">
        <f>CONCATENATE("Pool Q-2nd ",'Pool Matches'!O94)</f>
      </c>
      <c r="D11" s="15"/>
      <c r="E11" s="20"/>
      <c r="I11" s="20"/>
    </row>
    <row r="12">
      <c r="A12" s="27" t="str">
        <f>"3. " &amp; data!$B$78</f>
      </c>
      <c r="I12" s="21">
        <v>51</v>
      </c>
    </row>
    <row r="13">
      <c r="A13" s="22"/>
      <c r="C13" s="23" t="str">
        <f>CONCATENATE("Pool T-1st ",'Pool Matches'!O222)</f>
      </c>
      <c r="I13" s="20"/>
      <c r="J13" s="22"/>
      <c r="K13" s="20"/>
    </row>
    <row r="14">
      <c r="A14" s="24" t="str">
        <f>'data'!$A$81</f>
      </c>
      <c r="D14" s="22"/>
      <c r="E14" s="21">
        <v>23</v>
      </c>
      <c r="I14" s="20"/>
      <c r="K14" s="20"/>
    </row>
    <row r="15">
      <c r="A15" s="25" t="str">
        <f>"1. " &amp; data!$B$79</f>
      </c>
      <c r="C15" s="23" t="str">
        <f>CONCATENATE("Pool S-2nd ",'Pool Matches'!O180)</f>
      </c>
      <c r="D15" s="15"/>
      <c r="E15" s="20"/>
      <c r="F15" s="22"/>
      <c r="G15" s="20"/>
      <c r="I15" s="20"/>
      <c r="K15" s="20"/>
    </row>
    <row r="16">
      <c r="A16" s="26" t="str">
        <f>"2. " &amp; data!$B$80</f>
      </c>
      <c r="G16" s="21">
        <v>42</v>
      </c>
      <c r="H16" s="15"/>
      <c r="I16" s="20"/>
      <c r="K16" s="20"/>
    </row>
    <row r="17">
      <c r="A17" s="27" t="str">
        <f>"3. " &amp; data!$B$81</f>
      </c>
      <c r="C17" s="23" t="str">
        <f>CONCATENATE("Pool V-1st ",'Pool Matches'!O308)</f>
      </c>
      <c r="G17" s="20"/>
      <c r="K17" s="20"/>
    </row>
    <row r="18">
      <c r="A18" s="22"/>
      <c r="D18" s="22"/>
      <c r="E18" s="21">
        <v>24</v>
      </c>
      <c r="F18" s="15"/>
      <c r="G18" s="20"/>
      <c r="K18" s="20"/>
    </row>
    <row r="19">
      <c r="A19" s="24" t="str">
        <f>'data'!$A$84</f>
      </c>
      <c r="C19" s="23" t="str">
        <f>CONCATENATE("Pool U-2nd ",'Pool Matches'!O266)</f>
      </c>
      <c r="D19" s="15"/>
      <c r="E19" s="20"/>
      <c r="K19" s="20"/>
    </row>
    <row r="20">
      <c r="A20" s="25" t="str">
        <f>"1. " &amp; data!$B$82</f>
      </c>
      <c r="K20" s="21">
        <v>56</v>
      </c>
    </row>
    <row r="21">
      <c r="A21" s="26" t="str">
        <f>"2. " &amp; data!$B$83</f>
      </c>
      <c r="C21" s="23" t="str">
        <f>CONCATENATE("Pool X-1st ",'Pool Matches'!O394)</f>
      </c>
      <c r="K21" s="20"/>
    </row>
    <row r="22">
      <c r="A22" s="27" t="str">
        <f>"3. " &amp; data!$B$84</f>
      </c>
      <c r="D22" s="22"/>
      <c r="E22" s="21">
        <v>25</v>
      </c>
      <c r="K22" s="20"/>
    </row>
    <row r="23">
      <c r="A23" s="22"/>
      <c r="C23" s="23" t="str">
        <f>CONCATENATE("Pool W-2nd ",'Pool Matches'!O352)</f>
      </c>
      <c r="D23" s="15"/>
      <c r="E23" s="20"/>
      <c r="F23" s="22"/>
      <c r="G23" s="20"/>
      <c r="K23" s="20"/>
    </row>
    <row r="24">
      <c r="A24" s="24" t="str">
        <f>'data'!$A$87</f>
      </c>
      <c r="G24" s="21">
        <v>43</v>
      </c>
      <c r="K24" s="20"/>
    </row>
    <row r="25">
      <c r="A25" s="25" t="str">
        <f>"1. " &amp; data!$B$85</f>
      </c>
      <c r="C25" s="23" t="str">
        <f>CONCATENATE("Pool Z-1st ",'Pool Matches'!O480)</f>
      </c>
      <c r="G25" s="20"/>
      <c r="H25" s="22"/>
      <c r="I25" s="20"/>
      <c r="K25" s="20"/>
    </row>
    <row r="26">
      <c r="A26" s="26" t="str">
        <f>"2. " &amp; data!$B$86</f>
      </c>
      <c r="D26" s="22"/>
      <c r="E26" s="21">
        <v>26</v>
      </c>
      <c r="F26" s="15"/>
      <c r="G26" s="20"/>
      <c r="I26" s="20"/>
      <c r="K26" s="20"/>
    </row>
    <row r="27">
      <c r="A27" s="27" t="str">
        <f>"3. " &amp; data!$B$87</f>
      </c>
      <c r="C27" s="23" t="str">
        <f>CONCATENATE("Pool Y-2nd ",'Pool Matches'!O438)</f>
      </c>
      <c r="D27" s="15"/>
      <c r="E27" s="20"/>
      <c r="I27" s="20"/>
      <c r="K27" s="20"/>
    </row>
    <row r="28">
      <c r="A28" s="22"/>
      <c r="I28" s="21">
        <v>52</v>
      </c>
      <c r="J28" s="15"/>
      <c r="K28" s="20"/>
    </row>
    <row r="29">
      <c r="A29" s="24" t="str">
        <f>'data'!$A$90</f>
      </c>
      <c r="C29" s="23" t="str">
        <f>CONCATENATE("Pool BB-1st ",'Pool Matches'!O566)</f>
      </c>
      <c r="I29" s="20"/>
    </row>
    <row r="30">
      <c r="A30" s="25" t="str">
        <f>"1. " &amp; data!$B$88</f>
      </c>
      <c r="D30" s="22"/>
      <c r="E30" s="21">
        <v>27</v>
      </c>
      <c r="I30" s="20"/>
    </row>
    <row r="31">
      <c r="A31" s="26" t="str">
        <f>"2. " &amp; data!$B$89</f>
      </c>
      <c r="C31" s="23" t="str">
        <f>CONCATENATE("Pool AA-2nd ",'Pool Matches'!O524)</f>
      </c>
      <c r="D31" s="15"/>
      <c r="E31" s="20"/>
      <c r="F31" s="22"/>
      <c r="G31" s="20"/>
      <c r="I31" s="20"/>
    </row>
    <row r="32">
      <c r="A32" s="27" t="str">
        <f>"3. " &amp; data!$B$90</f>
      </c>
      <c r="G32" s="21">
        <v>44</v>
      </c>
      <c r="H32" s="15"/>
      <c r="I32" s="20"/>
    </row>
    <row r="33">
      <c r="A33" s="22"/>
      <c r="C33" s="23" t="str">
        <f>CONCATENATE("Pool DD-1st ",'Pool Matches'!O652)</f>
      </c>
      <c r="G33" s="20"/>
    </row>
    <row r="34">
      <c r="A34" s="24" t="str">
        <f>'data'!$A$93</f>
      </c>
      <c r="D34" s="22"/>
      <c r="E34" s="21">
        <v>28</v>
      </c>
      <c r="F34" s="15"/>
      <c r="G34" s="20"/>
    </row>
    <row r="35">
      <c r="A35" s="25" t="str">
        <f>"1. " &amp; data!$B$91</f>
      </c>
      <c r="C35" s="23" t="str">
        <f>CONCATENATE("Pool CC-2nd ",'Pool Matches'!O610)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