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1"/>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Tree 3" sheetId="10" r:id="rId13"/>
    <sheet name="Tree 4" sheetId="11" r:id="rId14"/>
    <sheet name="Names to Print A" sheetId="12" r:id="rId15"/>
    <sheet name="Names to Print B" sheetId="13" r:id="rId16"/>
    <sheet name="Tags" sheetId="14" r:id="rId17"/>
  </sheets>
  <definedNames>
    <definedName localSheetId="2" name="_xlnm.Print_Area">'Pool Draw'!$B$2:$F$66</definedName>
    <definedName localSheetId="3" name="_xlnm.Print_Area">'Pool Matches'!$A$1:$P$656</definedName>
    <definedName localSheetId="5" name="_xlnm.Print_Area">'Tree 1'!$A$1:$K$44</definedName>
    <definedName localSheetId="6" name="_xlnm.Print_Area">'Tree 2'!$A$1:$K$38</definedName>
    <definedName localSheetId="7" name="_xlnm.Print_Area">'Tree 3'!$A$1:$K$43</definedName>
    <definedName localSheetId="8" name="_xlnm.Print_Area">'Tree 4'!$A$1:$K$38</definedName>
    <definedName localSheetId="9" name="_xlnm.Print_Area">'Names to Print A'!$A$1:$B$46</definedName>
    <definedName localSheetId="10" name="_xlnm.Print_Area">'Names to Print B'!$A$1:$B$45</definedName>
    <definedName localSheetId="11" name="_xlnm.Print_Area">'Tags'!$A$1:$A$182</definedName>
    <definedName localSheetId="4" name="_xlnm.Print_Area">'Elimination Matches'!$A$1:$P$511</definedName>
  </definedNames>
  <calcPr calcId="122211"/>
</workbook>
</file>

<file path=xl/sharedStrings.xml><?xml version="1.0" encoding="utf-8"?>
<sst xmlns="http://schemas.openxmlformats.org/spreadsheetml/2006/main" count="415" uniqueCount="415">
  <si>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</si>
  <si>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</si>
  <si>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</si>
  <si>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</si>
  <si>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</si>
  <si>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</si>
  <si>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</si>
  <si>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</si>
  <si>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</si>
  <si>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</si>
  <si>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</si>
  <si>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</si>
  <si>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</si>
  <si>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</si>
  <si>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</si>
  <si>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</si>
  <si>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</si>
  <si>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</si>
  <si>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Tyrion Lannister</t>
  </si>
  <si>
    <t>Team Upsilon</t>
  </si>
  <si>
    <t>LANNISTER</t>
  </si>
  <si>
    <t>K1</t>
  </si>
  <si>
    <t>Michael Lewis</t>
  </si>
  <si>
    <t>Team Gamma</t>
  </si>
  <si>
    <t>LEWIS</t>
  </si>
  <si>
    <t>K2</t>
  </si>
  <si>
    <t>Ryan Hall</t>
  </si>
  <si>
    <t>Team Theta</t>
  </si>
  <si>
    <t>HALL</t>
  </si>
  <si>
    <t>K3</t>
  </si>
  <si>
    <t>Ron Weasley</t>
  </si>
  <si>
    <t>Team Sigma</t>
  </si>
  <si>
    <t>WEASLEY</t>
  </si>
  <si>
    <t>K4</t>
  </si>
  <si>
    <t>Pool B</t>
  </si>
  <si>
    <t>Liam Thompson</t>
  </si>
  <si>
    <t>Team Beta</t>
  </si>
  <si>
    <t>THOMPSON</t>
  </si>
  <si>
    <t>K5</t>
  </si>
  <si>
    <t>Tristan Young</t>
  </si>
  <si>
    <t>Team Kappa</t>
  </si>
  <si>
    <t>YOUNG</t>
  </si>
  <si>
    <t>K6</t>
  </si>
  <si>
    <t>Virginia Woolf</t>
  </si>
  <si>
    <t>Team Chi</t>
  </si>
  <si>
    <t>WOOLF</t>
  </si>
  <si>
    <t>K7</t>
  </si>
  <si>
    <t>Pool C</t>
  </si>
  <si>
    <t>Oliver Walker</t>
  </si>
  <si>
    <t>Team Epsilon</t>
  </si>
  <si>
    <t>WALKER</t>
  </si>
  <si>
    <t>K8</t>
  </si>
  <si>
    <t>Nolan Clark</t>
  </si>
  <si>
    <t>Team Delta</t>
  </si>
  <si>
    <t>CLARK</t>
  </si>
  <si>
    <t>K9</t>
  </si>
  <si>
    <t>Quirinus Quirrell</t>
  </si>
  <si>
    <t>Team Rho</t>
  </si>
  <si>
    <t>QUIRRELL</t>
  </si>
  <si>
    <t>K10</t>
  </si>
  <si>
    <t>Pool D</t>
  </si>
  <si>
    <t>Gabriel Thomas</t>
  </si>
  <si>
    <t>Team Eta</t>
  </si>
  <si>
    <t>THOMAS</t>
  </si>
  <si>
    <t>K11</t>
  </si>
  <si>
    <t>Nathaniel Hawthorne</t>
  </si>
  <si>
    <t>Team Xi</t>
  </si>
  <si>
    <t>HAWTHORNE</t>
  </si>
  <si>
    <t>K12</t>
  </si>
  <si>
    <t>Ygritte</t>
  </si>
  <si>
    <t>Team Alpha</t>
  </si>
  <si>
    <t>YGRITTE</t>
  </si>
  <si>
    <t>K13</t>
  </si>
  <si>
    <t>Pool E</t>
  </si>
  <si>
    <t>Quentin Allen</t>
  </si>
  <si>
    <t>ALLEN</t>
  </si>
  <si>
    <t>K14</t>
  </si>
  <si>
    <t>Mason Martinez</t>
  </si>
  <si>
    <t>MARTINEZ</t>
  </si>
  <si>
    <t>K15</t>
  </si>
  <si>
    <t>Moby Dick</t>
  </si>
  <si>
    <t>Team Nu</t>
  </si>
  <si>
    <t>DICK</t>
  </si>
  <si>
    <t>K16</t>
  </si>
  <si>
    <t>Pool F</t>
  </si>
  <si>
    <t>Isaac White</t>
  </si>
  <si>
    <t>Team Iota</t>
  </si>
  <si>
    <t>WHITE</t>
  </si>
  <si>
    <t>K17</t>
  </si>
  <si>
    <t>Oscar Wilde</t>
  </si>
  <si>
    <t>Team Omicron</t>
  </si>
  <si>
    <t>WILDE</t>
  </si>
  <si>
    <t>K18</t>
  </si>
  <si>
    <t>Yann Martel</t>
  </si>
  <si>
    <t>MARTEL</t>
  </si>
  <si>
    <t>K19</t>
  </si>
  <si>
    <t>Pool G</t>
  </si>
  <si>
    <t>Steven Hernandez</t>
  </si>
  <si>
    <t>HERNANDEZ</t>
  </si>
  <si>
    <t>K20</t>
  </si>
  <si>
    <t>Parker Lewis</t>
  </si>
  <si>
    <t>Team Zeta</t>
  </si>
  <si>
    <t>K21</t>
  </si>
  <si>
    <t>Legolas Greenleaf</t>
  </si>
  <si>
    <t>Team Mu</t>
  </si>
  <si>
    <t>GREENLEAF</t>
  </si>
  <si>
    <t>K22</t>
  </si>
  <si>
    <t>Pool H</t>
  </si>
  <si>
    <t>Aaron Thompson</t>
  </si>
  <si>
    <t>K23</t>
  </si>
  <si>
    <t>Yosef Hill</t>
  </si>
  <si>
    <t>HILL</t>
  </si>
  <si>
    <t>K24</t>
  </si>
  <si>
    <t>Ulysses</t>
  </si>
  <si>
    <t>Team Phi</t>
  </si>
  <si>
    <t>ULYSSES</t>
  </si>
  <si>
    <t>K25</t>
  </si>
  <si>
    <t>Pool I</t>
  </si>
  <si>
    <t>Uriel Wright</t>
  </si>
  <si>
    <t>WRIGHT</t>
  </si>
  <si>
    <t>K26</t>
  </si>
  <si>
    <t>Elijah Taylor</t>
  </si>
  <si>
    <t>TAYLOR</t>
  </si>
  <si>
    <t>K27</t>
  </si>
  <si>
    <t>Victor Lopez</t>
  </si>
  <si>
    <t>LOPEZ</t>
  </si>
  <si>
    <t>K28</t>
  </si>
  <si>
    <t>Pool J</t>
  </si>
  <si>
    <t>Xavier Scott</t>
  </si>
  <si>
    <t>SCOTT</t>
  </si>
  <si>
    <t>K29</t>
  </si>
  <si>
    <t>Isaac Asimov</t>
  </si>
  <si>
    <t>ASIMOV</t>
  </si>
  <si>
    <t>K30</t>
  </si>
  <si>
    <t>Xavier Herbert</t>
  </si>
  <si>
    <t>Team Omega</t>
  </si>
  <si>
    <t>HERBERT</t>
  </si>
  <si>
    <t>K31</t>
  </si>
  <si>
    <t>Pool K</t>
  </si>
  <si>
    <t>Hermione Granger</t>
  </si>
  <si>
    <t>GRANGER</t>
  </si>
  <si>
    <t>K32</t>
  </si>
  <si>
    <t>George Orwell</t>
  </si>
  <si>
    <t>ORWELL</t>
  </si>
  <si>
    <t>K33</t>
  </si>
  <si>
    <t>Frodo Baggins</t>
  </si>
  <si>
    <t>BAGGINS</t>
  </si>
  <si>
    <t>K34</t>
  </si>
  <si>
    <t>Pool L</t>
  </si>
  <si>
    <t>Caleb Wilson</t>
  </si>
  <si>
    <t>WILSON</t>
  </si>
  <si>
    <t>K35</t>
  </si>
  <si>
    <t>Kevin Clark</t>
  </si>
  <si>
    <t>K36</t>
  </si>
  <si>
    <t>Willy Wonka</t>
  </si>
  <si>
    <t>Team Psi</t>
  </si>
  <si>
    <t>WONKA</t>
  </si>
  <si>
    <t>K37</t>
  </si>
  <si>
    <t>Pool M</t>
  </si>
  <si>
    <t>Bram Stoker</t>
  </si>
  <si>
    <t>STOKER</t>
  </si>
  <si>
    <t>K38</t>
  </si>
  <si>
    <t>Charles Dickens</t>
  </si>
  <si>
    <t>DICKENS</t>
  </si>
  <si>
    <t>K39</t>
  </si>
  <si>
    <t>Kurt Vonnegut</t>
  </si>
  <si>
    <t>Team Lambda</t>
  </si>
  <si>
    <t>VONNEGUT</t>
  </si>
  <si>
    <t>K40</t>
  </si>
  <si>
    <t>Pool N</t>
  </si>
  <si>
    <t>Arthur Conan</t>
  </si>
  <si>
    <t>CONAN</t>
  </si>
  <si>
    <t>K41</t>
  </si>
  <si>
    <t>Emily Bronte</t>
  </si>
  <si>
    <t>BRONTE</t>
  </si>
  <si>
    <t>K42</t>
  </si>
  <si>
    <t>Philip K Dick</t>
  </si>
  <si>
    <t>Team Pi</t>
  </si>
  <si>
    <t>K43</t>
  </si>
  <si>
    <t>Pool O</t>
  </si>
  <si>
    <t>Daenerys Targaryen</t>
  </si>
  <si>
    <t>TARGARYEN</t>
  </si>
  <si>
    <t>K44</t>
  </si>
  <si>
    <t>Sylvia Plath</t>
  </si>
  <si>
    <t>Team Tau</t>
  </si>
  <si>
    <t>PLATH</t>
  </si>
  <si>
    <t>K45</t>
  </si>
  <si>
    <t>Jon Snow</t>
  </si>
  <si>
    <t>SNOW</t>
  </si>
  <si>
    <t>K46</t>
  </si>
  <si>
    <t>Pool P</t>
  </si>
  <si>
    <t>Luke Rodriguez</t>
  </si>
  <si>
    <t>RODRIGUEZ</t>
  </si>
  <si>
    <t>K47</t>
  </si>
  <si>
    <t>Owen Rodriguez</t>
  </si>
  <si>
    <t>K48</t>
  </si>
  <si>
    <t>Petyr Baelish</t>
  </si>
  <si>
    <t>BAELISH</t>
  </si>
  <si>
    <t>K49</t>
  </si>
  <si>
    <t>Pool Q</t>
  </si>
  <si>
    <t>Nathan Lee</t>
  </si>
  <si>
    <t>LEE</t>
  </si>
  <si>
    <t>K50</t>
  </si>
  <si>
    <t>Zachary Adams</t>
  </si>
  <si>
    <t>ADAMS</t>
  </si>
  <si>
    <t>K51</t>
  </si>
  <si>
    <t>William Shakespeare</t>
  </si>
  <si>
    <t>SHAKESPEARE</t>
  </si>
  <si>
    <t>K52</t>
  </si>
  <si>
    <t>Pool R</t>
  </si>
  <si>
    <t>Finn Anderson</t>
  </si>
  <si>
    <t>ANDERSON</t>
  </si>
  <si>
    <t>K53</t>
  </si>
  <si>
    <t>Kaden Martin</t>
  </si>
  <si>
    <t>MARTIN</t>
  </si>
  <si>
    <t>K54</t>
  </si>
  <si>
    <t>Othello</t>
  </si>
  <si>
    <t>OTHELLO</t>
  </si>
  <si>
    <t>K55</t>
  </si>
  <si>
    <t>Pool S</t>
  </si>
  <si>
    <t>Hudson Jackson</t>
  </si>
  <si>
    <t>JACKSON</t>
  </si>
  <si>
    <t>K56</t>
  </si>
  <si>
    <t>William Wright</t>
  </si>
  <si>
    <t>K57</t>
  </si>
  <si>
    <t>Samwise Gamgee</t>
  </si>
  <si>
    <t>GAMGEE</t>
  </si>
  <si>
    <t>K58</t>
  </si>
  <si>
    <t>Pool T</t>
  </si>
  <si>
    <t>Paul Hall</t>
  </si>
  <si>
    <t>K59</t>
  </si>
  <si>
    <t>Quinn Walker</t>
  </si>
  <si>
    <t>K60</t>
  </si>
  <si>
    <t>Katniss Everdeen</t>
  </si>
  <si>
    <t>EVERDEEN</t>
  </si>
  <si>
    <t>K61</t>
  </si>
  <si>
    <t>Pool U</t>
  </si>
  <si>
    <t>Thomas King</t>
  </si>
  <si>
    <t>KING</t>
  </si>
  <si>
    <t>K62</t>
  </si>
  <si>
    <t>Xavier Lopez</t>
  </si>
  <si>
    <t>K63</t>
  </si>
  <si>
    <t>Neville Longbottom</t>
  </si>
  <si>
    <t>LONGBOTTOM</t>
  </si>
  <si>
    <t>K64</t>
  </si>
  <si>
    <t>Pool V</t>
  </si>
  <si>
    <t>Robert Young</t>
  </si>
  <si>
    <t>K65</t>
  </si>
  <si>
    <t>Sebastian Allen</t>
  </si>
  <si>
    <t>K66</t>
  </si>
  <si>
    <t>Albus Dumbledore</t>
  </si>
  <si>
    <t>DUMBLEDORE</t>
  </si>
  <si>
    <t>K67</t>
  </si>
  <si>
    <t>Pool W</t>
  </si>
  <si>
    <t>Jackson Harris</t>
  </si>
  <si>
    <t>HARRIS</t>
  </si>
  <si>
    <t>K68</t>
  </si>
  <si>
    <t>Vincent King</t>
  </si>
  <si>
    <t>K69</t>
  </si>
  <si>
    <t>Xaro Xhoan Daxos</t>
  </si>
  <si>
    <t>DAXOS</t>
  </si>
  <si>
    <t>K70</t>
  </si>
  <si>
    <t>Pool X</t>
  </si>
  <si>
    <t>William Hill</t>
  </si>
  <si>
    <t>K71</t>
  </si>
  <si>
    <t>Quentin Blake</t>
  </si>
  <si>
    <t>BLAKE</t>
  </si>
  <si>
    <t>K72</t>
  </si>
  <si>
    <t>Ray Bradbury</t>
  </si>
  <si>
    <t>BRADBURY</t>
  </si>
  <si>
    <t>K73</t>
  </si>
  <si>
    <t>Pool Y</t>
  </si>
  <si>
    <t>Benjamin Evans</t>
  </si>
  <si>
    <t>EVANS</t>
  </si>
  <si>
    <t>K74</t>
  </si>
  <si>
    <t>Herman Melville</t>
  </si>
  <si>
    <t>MELVILLE</t>
  </si>
  <si>
    <t>K75</t>
  </si>
  <si>
    <t>Ursula K Le Guin</t>
  </si>
  <si>
    <t>LE GUIN</t>
  </si>
  <si>
    <t>K76</t>
  </si>
  <si>
    <t>Pool Z</t>
  </si>
  <si>
    <t>Yosef Green</t>
  </si>
  <si>
    <t>GREEN</t>
  </si>
  <si>
    <t>K77</t>
  </si>
  <si>
    <t>Dylan Moore</t>
  </si>
  <si>
    <t>MOORE</t>
  </si>
  <si>
    <t>K78</t>
  </si>
  <si>
    <t>Inigo Montoya</t>
  </si>
  <si>
    <t>MONTOYA</t>
  </si>
  <si>
    <t>K79</t>
  </si>
  <si>
    <t>Pool AA</t>
  </si>
  <si>
    <t>Mary Shelley</t>
  </si>
  <si>
    <t>SHELLEY</t>
  </si>
  <si>
    <t>K80</t>
  </si>
  <si>
    <t>Jane Austen</t>
  </si>
  <si>
    <t>AUSTEN</t>
  </si>
  <si>
    <t>K81</t>
  </si>
  <si>
    <t>Voldemort</t>
  </si>
  <si>
    <t>VOLDEMORT</t>
  </si>
  <si>
    <t>K82</t>
  </si>
  <si>
    <t>Pool AB</t>
  </si>
  <si>
    <t>Ulysses Hernandez</t>
  </si>
  <si>
    <t>K83</t>
  </si>
  <si>
    <t>Fyodor Dostoevsky</t>
  </si>
  <si>
    <t>DOSTOEVSKY</t>
  </si>
  <si>
    <t>K84</t>
  </si>
  <si>
    <t>Lewis Carroll</t>
  </si>
  <si>
    <t>CARROLL</t>
  </si>
  <si>
    <t>K85</t>
  </si>
  <si>
    <t>Pool AC</t>
  </si>
  <si>
    <t>Daniel Defoe</t>
  </si>
  <si>
    <t>DEFOE</t>
  </si>
  <si>
    <t>K86</t>
  </si>
  <si>
    <t>Gandalf The Grey</t>
  </si>
  <si>
    <t>GANDALF</t>
  </si>
  <si>
    <t>K87</t>
  </si>
  <si>
    <t>Bilbo Baggins</t>
  </si>
  <si>
    <t>K88</t>
  </si>
  <si>
    <t>Pool AD</t>
  </si>
  <si>
    <t>Eddard Stark</t>
  </si>
  <si>
    <t>STARK</t>
  </si>
  <si>
    <t>K89</t>
  </si>
  <si>
    <t>Thomas Hardy</t>
  </si>
  <si>
    <t>HARDY</t>
  </si>
  <si>
    <t>K90</t>
  </si>
  <si>
    <t>Cersei Lannister</t>
  </si>
  <si>
    <t>K91</t>
  </si>
  <si>
    <t>Shiaijo A</t>
  </si>
  <si>
    <t>Shiaijo B</t>
  </si>
  <si>
    <t>White</t>
  </si>
  <si>
    <t>vs</t>
  </si>
  <si>
    <t>Red</t>
  </si>
  <si>
    <t>Team Results</t>
  </si>
  <si>
    <t>W</t>
  </si>
  <si>
    <t>L</t>
  </si>
  <si>
    <t>T</t>
  </si>
  <si>
    <t>Rank</t>
  </si>
  <si>
    <t>IV</t>
  </si>
  <si>
    <t>IL</t>
  </si>
  <si>
    <t>IT</t>
  </si>
  <si>
    <t>PW</t>
  </si>
  <si>
    <t>PL</t>
  </si>
  <si>
    <t>Ranking</t>
  </si>
  <si>
    <t>1.</t>
  </si>
  <si>
    <t>2.</t>
  </si>
  <si>
    <t>3.</t>
  </si>
  <si>
    <t>4.</t>
  </si>
  <si>
    <t>Round 1 - Match 1</t>
  </si>
  <si>
    <t>Victories / Points</t>
  </si>
  <si>
    <t>Round 1 - Match 15</t>
  </si>
  <si>
    <t>Round 1 - Match 2</t>
  </si>
  <si>
    <t>Round 1 - Match 16</t>
  </si>
  <si>
    <t>Round 1 - Match 3</t>
  </si>
  <si>
    <t>Round 1 - Match 17</t>
  </si>
  <si>
    <t>Round 1 - Match 4</t>
  </si>
  <si>
    <t>Round 1 - Match 18</t>
  </si>
  <si>
    <t>Round 1 - Match 5</t>
  </si>
  <si>
    <t>Round 1 - Match 19</t>
  </si>
  <si>
    <t>Round 1 - Match 6</t>
  </si>
  <si>
    <t>Round 1 - Match 20</t>
  </si>
  <si>
    <t>Round 1 - Match 7</t>
  </si>
  <si>
    <t>Round 1 - Match 21</t>
  </si>
  <si>
    <t>Round 1 - Match 8</t>
  </si>
  <si>
    <t>Round 1 - Match 22</t>
  </si>
  <si>
    <t>Round 1 - Match 9</t>
  </si>
  <si>
    <t>Round 1 - Match 23</t>
  </si>
  <si>
    <t>Round 1 - Match 10</t>
  </si>
  <si>
    <t>Round 1 - Match 24</t>
  </si>
  <si>
    <t>Round 1 - Match 11</t>
  </si>
  <si>
    <t>Round 1 - Match 25</t>
  </si>
  <si>
    <t>Round 1 - Match 12</t>
  </si>
  <si>
    <t>Round 1 - Match 26</t>
  </si>
  <si>
    <t>Round 1 - Match 13</t>
  </si>
  <si>
    <t>Round 1 - Match 27</t>
  </si>
  <si>
    <t>Round 1 - Match 14</t>
  </si>
  <si>
    <t>Round 1 - Match 28</t>
  </si>
  <si>
    <t>Round 2 - Match 29</t>
  </si>
  <si>
    <t>Round 2 - Match 37</t>
  </si>
  <si>
    <t>Round 2 - Match 30</t>
  </si>
  <si>
    <t>Round 2 - Match 38</t>
  </si>
  <si>
    <t>Round 2 - Match 31</t>
  </si>
  <si>
    <t>Round 2 - Match 39</t>
  </si>
  <si>
    <t>Round 2 - Match 32</t>
  </si>
  <si>
    <t>Round 2 - Match 40</t>
  </si>
  <si>
    <t>Round 2 - Match 33</t>
  </si>
  <si>
    <t>Round 2 - Match 41</t>
  </si>
  <si>
    <t>Round 2 - Match 34</t>
  </si>
  <si>
    <t>Round 2 - Match 42</t>
  </si>
  <si>
    <t>Round 2 - Match 35</t>
  </si>
  <si>
    <t>Round 2 - Match 43</t>
  </si>
  <si>
    <t>Round 2 - Match 36</t>
  </si>
  <si>
    <t>Round 2 - Match 44</t>
  </si>
  <si>
    <t>Round 3 - Match 45</t>
  </si>
  <si>
    <t>Round 3 - Match 49</t>
  </si>
  <si>
    <t>Round 3 - Match 46</t>
  </si>
  <si>
    <t>Round 3 - Match 50</t>
  </si>
  <si>
    <t>Round 3 - Match 47</t>
  </si>
  <si>
    <t>Round 3 - Match 51</t>
  </si>
  <si>
    <t>Round 3 - Match 48</t>
  </si>
  <si>
    <t>Round 3 - Match 52</t>
  </si>
  <si>
    <t>Round 4 - Match 53</t>
  </si>
  <si>
    <t>Round 4 - Match 55</t>
  </si>
  <si>
    <t>Round 4 - Match 54</t>
  </si>
  <si>
    <t>Round 4 - Match 56</t>
  </si>
  <si>
    <t>Round 5 - Match 57</t>
  </si>
  <si>
    <t>Round 5 - Match 58</t>
  </si>
  <si>
    <t>Round 6 - Match 59</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</si>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</sst>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
      <name val="Calibri"/>
      <family val="2"/>
      <b val="1"/>
      <color/>
      <sz val="25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34</v>
      </c>
      <c r="B7" t="s">
        <v>35</v>
      </c>
      <c r="C7" t="s">
        <v>36</v>
      </c>
      <c r="D7" t="s">
        <v>37</v>
      </c>
      <c r="E7" t="s">
        <v>38</v>
      </c>
    </row>
    <row r="8">
      <c r="A8" t="s">
        <v>34</v>
      </c>
      <c r="B8" t="s">
        <v>39</v>
      </c>
      <c r="C8" t="s">
        <v>40</v>
      </c>
      <c r="D8" t="s">
        <v>41</v>
      </c>
      <c r="E8" t="s">
        <v>42</v>
      </c>
    </row>
    <row r="9">
      <c r="A9" t="s">
        <v>34</v>
      </c>
      <c r="B9" t="s">
        <v>43</v>
      </c>
      <c r="C9" t="s">
        <v>44</v>
      </c>
      <c r="D9" t="s">
        <v>45</v>
      </c>
      <c r="E9" t="s">
        <v>46</v>
      </c>
    </row>
    <row r="10">
      <c r="A10" t="s">
        <v>47</v>
      </c>
      <c r="B10" t="s">
        <v>48</v>
      </c>
      <c r="C10" t="s">
        <v>49</v>
      </c>
      <c r="D10" t="s">
        <v>50</v>
      </c>
      <c r="E10" t="s">
        <v>51</v>
      </c>
    </row>
    <row r="11">
      <c r="A11" t="s">
        <v>47</v>
      </c>
      <c r="B11" t="s">
        <v>52</v>
      </c>
      <c r="C11" t="s">
        <v>53</v>
      </c>
      <c r="D11" t="s">
        <v>54</v>
      </c>
      <c r="E11" t="s">
        <v>55</v>
      </c>
    </row>
    <row r="12">
      <c r="A12" t="s">
        <v>47</v>
      </c>
      <c r="B12" t="s">
        <v>56</v>
      </c>
      <c r="C12" t="s">
        <v>57</v>
      </c>
      <c r="D12" t="s">
        <v>58</v>
      </c>
      <c r="E12" t="s">
        <v>59</v>
      </c>
    </row>
    <row r="13">
      <c r="A13" t="s">
        <v>60</v>
      </c>
      <c r="B13" t="s">
        <v>61</v>
      </c>
      <c r="C13" t="s">
        <v>62</v>
      </c>
      <c r="D13" t="s">
        <v>63</v>
      </c>
      <c r="E13" t="s">
        <v>64</v>
      </c>
    </row>
    <row r="14">
      <c r="A14" t="s">
        <v>60</v>
      </c>
      <c r="B14" t="s">
        <v>65</v>
      </c>
      <c r="C14" t="s">
        <v>66</v>
      </c>
      <c r="D14" t="s">
        <v>67</v>
      </c>
      <c r="E14" t="s">
        <v>68</v>
      </c>
    </row>
    <row r="15">
      <c r="A15" t="s">
        <v>60</v>
      </c>
      <c r="B15" t="s">
        <v>69</v>
      </c>
      <c r="C15" t="s">
        <v>70</v>
      </c>
      <c r="D15" t="s">
        <v>71</v>
      </c>
      <c r="E15" t="s">
        <v>72</v>
      </c>
    </row>
    <row r="16">
      <c r="A16" t="s">
        <v>73</v>
      </c>
      <c r="B16" t="s">
        <v>74</v>
      </c>
      <c r="C16" t="s">
        <v>36</v>
      </c>
      <c r="D16" t="s">
        <v>75</v>
      </c>
      <c r="E16" t="s">
        <v>76</v>
      </c>
    </row>
    <row r="17">
      <c r="A17" t="s">
        <v>73</v>
      </c>
      <c r="B17" t="s">
        <v>77</v>
      </c>
      <c r="C17" t="s">
        <v>23</v>
      </c>
      <c r="D17" t="s">
        <v>78</v>
      </c>
      <c r="E17" t="s">
        <v>79</v>
      </c>
    </row>
    <row r="18">
      <c r="A18" t="s">
        <v>73</v>
      </c>
      <c r="B18" t="s">
        <v>80</v>
      </c>
      <c r="C18" t="s">
        <v>81</v>
      </c>
      <c r="D18" t="s">
        <v>82</v>
      </c>
      <c r="E18" t="s">
        <v>83</v>
      </c>
    </row>
    <row r="19">
      <c r="A19" t="s">
        <v>84</v>
      </c>
      <c r="B19" t="s">
        <v>85</v>
      </c>
      <c r="C19" t="s">
        <v>86</v>
      </c>
      <c r="D19" t="s">
        <v>87</v>
      </c>
      <c r="E19" t="s">
        <v>88</v>
      </c>
    </row>
    <row r="20">
      <c r="A20" t="s">
        <v>84</v>
      </c>
      <c r="B20" t="s">
        <v>89</v>
      </c>
      <c r="C20" t="s">
        <v>90</v>
      </c>
      <c r="D20" t="s">
        <v>91</v>
      </c>
      <c r="E20" t="s">
        <v>92</v>
      </c>
    </row>
    <row r="21">
      <c r="A21" t="s">
        <v>84</v>
      </c>
      <c r="B21" t="s">
        <v>93</v>
      </c>
      <c r="C21" t="s">
        <v>70</v>
      </c>
      <c r="D21" t="s">
        <v>94</v>
      </c>
      <c r="E21" t="s">
        <v>95</v>
      </c>
    </row>
    <row r="22">
      <c r="A22" t="s">
        <v>96</v>
      </c>
      <c r="B22" t="s">
        <v>97</v>
      </c>
      <c r="C22" t="s">
        <v>53</v>
      </c>
      <c r="D22" t="s">
        <v>98</v>
      </c>
      <c r="E22" t="s">
        <v>99</v>
      </c>
    </row>
    <row r="23">
      <c r="A23" t="s">
        <v>96</v>
      </c>
      <c r="B23" t="s">
        <v>100</v>
      </c>
      <c r="C23" t="s">
        <v>101</v>
      </c>
      <c r="D23" t="s">
        <v>24</v>
      </c>
      <c r="E23" t="s">
        <v>102</v>
      </c>
    </row>
    <row r="24">
      <c r="A24" t="s">
        <v>96</v>
      </c>
      <c r="B24" t="s">
        <v>103</v>
      </c>
      <c r="C24" t="s">
        <v>104</v>
      </c>
      <c r="D24" t="s">
        <v>105</v>
      </c>
      <c r="E24" t="s">
        <v>106</v>
      </c>
    </row>
    <row r="25">
      <c r="A25" t="s">
        <v>107</v>
      </c>
      <c r="B25" t="s">
        <v>108</v>
      </c>
      <c r="C25" t="s">
        <v>70</v>
      </c>
      <c r="D25" t="s">
        <v>37</v>
      </c>
      <c r="E25" t="s">
        <v>109</v>
      </c>
    </row>
    <row r="26">
      <c r="A26" t="s">
        <v>107</v>
      </c>
      <c r="B26" t="s">
        <v>110</v>
      </c>
      <c r="C26" t="s">
        <v>49</v>
      </c>
      <c r="D26" t="s">
        <v>111</v>
      </c>
      <c r="E26" t="s">
        <v>112</v>
      </c>
    </row>
    <row r="27">
      <c r="A27" t="s">
        <v>107</v>
      </c>
      <c r="B27" t="s">
        <v>113</v>
      </c>
      <c r="C27" t="s">
        <v>114</v>
      </c>
      <c r="D27" t="s">
        <v>115</v>
      </c>
      <c r="E27" t="s">
        <v>116</v>
      </c>
    </row>
    <row r="28">
      <c r="A28" t="s">
        <v>117</v>
      </c>
      <c r="B28" t="s">
        <v>118</v>
      </c>
      <c r="C28" t="s">
        <v>70</v>
      </c>
      <c r="D28" t="s">
        <v>119</v>
      </c>
      <c r="E28" t="s">
        <v>120</v>
      </c>
    </row>
    <row r="29">
      <c r="A29" t="s">
        <v>117</v>
      </c>
      <c r="B29" t="s">
        <v>121</v>
      </c>
      <c r="C29" t="s">
        <v>49</v>
      </c>
      <c r="D29" t="s">
        <v>122</v>
      </c>
      <c r="E29" t="s">
        <v>123</v>
      </c>
    </row>
    <row r="30">
      <c r="A30" t="s">
        <v>117</v>
      </c>
      <c r="B30" t="s">
        <v>124</v>
      </c>
      <c r="C30" t="s">
        <v>36</v>
      </c>
      <c r="D30" t="s">
        <v>125</v>
      </c>
      <c r="E30" t="s">
        <v>126</v>
      </c>
    </row>
    <row r="31">
      <c r="A31" t="s">
        <v>127</v>
      </c>
      <c r="B31" t="s">
        <v>128</v>
      </c>
      <c r="C31" t="s">
        <v>53</v>
      </c>
      <c r="D31" t="s">
        <v>129</v>
      </c>
      <c r="E31" t="s">
        <v>130</v>
      </c>
    </row>
    <row r="32">
      <c r="A32" t="s">
        <v>127</v>
      </c>
      <c r="B32" t="s">
        <v>131</v>
      </c>
      <c r="C32" t="s">
        <v>86</v>
      </c>
      <c r="D32" t="s">
        <v>132</v>
      </c>
      <c r="E32" t="s">
        <v>133</v>
      </c>
    </row>
    <row r="33">
      <c r="A33" t="s">
        <v>127</v>
      </c>
      <c r="B33" t="s">
        <v>134</v>
      </c>
      <c r="C33" t="s">
        <v>135</v>
      </c>
      <c r="D33" t="s">
        <v>136</v>
      </c>
      <c r="E33" t="s">
        <v>137</v>
      </c>
    </row>
    <row r="34">
      <c r="A34" t="s">
        <v>138</v>
      </c>
      <c r="B34" t="s">
        <v>139</v>
      </c>
      <c r="C34" t="s">
        <v>27</v>
      </c>
      <c r="D34" t="s">
        <v>140</v>
      </c>
      <c r="E34" t="s">
        <v>141</v>
      </c>
    </row>
    <row r="35">
      <c r="A35" t="s">
        <v>138</v>
      </c>
      <c r="B35" t="s">
        <v>142</v>
      </c>
      <c r="C35" t="s">
        <v>62</v>
      </c>
      <c r="D35" t="s">
        <v>143</v>
      </c>
      <c r="E35" t="s">
        <v>144</v>
      </c>
    </row>
    <row r="36">
      <c r="A36" t="s">
        <v>138</v>
      </c>
      <c r="B36" t="s">
        <v>145</v>
      </c>
      <c r="C36" t="s">
        <v>101</v>
      </c>
      <c r="D36" t="s">
        <v>146</v>
      </c>
      <c r="E36" t="s">
        <v>147</v>
      </c>
    </row>
    <row r="37">
      <c r="A37" t="s">
        <v>148</v>
      </c>
      <c r="B37" t="s">
        <v>149</v>
      </c>
      <c r="C37" t="s">
        <v>23</v>
      </c>
      <c r="D37" t="s">
        <v>150</v>
      </c>
      <c r="E37" t="s">
        <v>151</v>
      </c>
    </row>
    <row r="38">
      <c r="A38" t="s">
        <v>148</v>
      </c>
      <c r="B38" t="s">
        <v>152</v>
      </c>
      <c r="C38" t="s">
        <v>70</v>
      </c>
      <c r="D38" t="s">
        <v>54</v>
      </c>
      <c r="E38" t="s">
        <v>153</v>
      </c>
    </row>
    <row r="39">
      <c r="A39" t="s">
        <v>148</v>
      </c>
      <c r="B39" t="s">
        <v>154</v>
      </c>
      <c r="C39" t="s">
        <v>155</v>
      </c>
      <c r="D39" t="s">
        <v>156</v>
      </c>
      <c r="E39" t="s">
        <v>157</v>
      </c>
    </row>
    <row r="40">
      <c r="A40" t="s">
        <v>158</v>
      </c>
      <c r="B40" t="s">
        <v>159</v>
      </c>
      <c r="C40" t="s">
        <v>36</v>
      </c>
      <c r="D40" t="s">
        <v>160</v>
      </c>
      <c r="E40" t="s">
        <v>161</v>
      </c>
    </row>
    <row r="41">
      <c r="A41" t="s">
        <v>158</v>
      </c>
      <c r="B41" t="s">
        <v>162</v>
      </c>
      <c r="C41" t="s">
        <v>23</v>
      </c>
      <c r="D41" t="s">
        <v>163</v>
      </c>
      <c r="E41" t="s">
        <v>164</v>
      </c>
    </row>
    <row r="42">
      <c r="A42" t="s">
        <v>158</v>
      </c>
      <c r="B42" t="s">
        <v>165</v>
      </c>
      <c r="C42" t="s">
        <v>166</v>
      </c>
      <c r="D42" t="s">
        <v>167</v>
      </c>
      <c r="E42" t="s">
        <v>168</v>
      </c>
    </row>
    <row r="43">
      <c r="A43" t="s">
        <v>169</v>
      </c>
      <c r="B43" t="s">
        <v>170</v>
      </c>
      <c r="C43" t="s">
        <v>70</v>
      </c>
      <c r="D43" t="s">
        <v>171</v>
      </c>
      <c r="E43" t="s">
        <v>172</v>
      </c>
    </row>
    <row r="44">
      <c r="A44" t="s">
        <v>169</v>
      </c>
      <c r="B44" t="s">
        <v>173</v>
      </c>
      <c r="C44" t="s">
        <v>49</v>
      </c>
      <c r="D44" t="s">
        <v>174</v>
      </c>
      <c r="E44" t="s">
        <v>175</v>
      </c>
    </row>
    <row r="45">
      <c r="A45" t="s">
        <v>169</v>
      </c>
      <c r="B45" t="s">
        <v>176</v>
      </c>
      <c r="C45" t="s">
        <v>177</v>
      </c>
      <c r="D45" t="s">
        <v>82</v>
      </c>
      <c r="E45" t="s">
        <v>178</v>
      </c>
    </row>
    <row r="46">
      <c r="A46" t="s">
        <v>179</v>
      </c>
      <c r="B46" t="s">
        <v>180</v>
      </c>
      <c r="C46" t="s">
        <v>53</v>
      </c>
      <c r="D46" t="s">
        <v>181</v>
      </c>
      <c r="E46" t="s">
        <v>182</v>
      </c>
    </row>
    <row r="47">
      <c r="A47" t="s">
        <v>179</v>
      </c>
      <c r="B47" t="s">
        <v>183</v>
      </c>
      <c r="C47" t="s">
        <v>184</v>
      </c>
      <c r="D47" t="s">
        <v>185</v>
      </c>
      <c r="E47" t="s">
        <v>186</v>
      </c>
    </row>
    <row r="48">
      <c r="A48" t="s">
        <v>179</v>
      </c>
      <c r="B48" t="s">
        <v>187</v>
      </c>
      <c r="C48" t="s">
        <v>40</v>
      </c>
      <c r="D48" t="s">
        <v>188</v>
      </c>
      <c r="E48" t="s">
        <v>189</v>
      </c>
    </row>
    <row r="49">
      <c r="A49" t="s">
        <v>190</v>
      </c>
      <c r="B49" t="s">
        <v>191</v>
      </c>
      <c r="C49" t="s">
        <v>36</v>
      </c>
      <c r="D49" t="s">
        <v>192</v>
      </c>
      <c r="E49" t="s">
        <v>193</v>
      </c>
    </row>
    <row r="50">
      <c r="A50" t="s">
        <v>190</v>
      </c>
      <c r="B50" t="s">
        <v>194</v>
      </c>
      <c r="C50" t="s">
        <v>49</v>
      </c>
      <c r="D50" t="s">
        <v>192</v>
      </c>
      <c r="E50" t="s">
        <v>195</v>
      </c>
    </row>
    <row r="51">
      <c r="A51" t="s">
        <v>190</v>
      </c>
      <c r="B51" t="s">
        <v>196</v>
      </c>
      <c r="C51" t="s">
        <v>177</v>
      </c>
      <c r="D51" t="s">
        <v>197</v>
      </c>
      <c r="E51" t="s">
        <v>198</v>
      </c>
    </row>
    <row r="52">
      <c r="A52" t="s">
        <v>199</v>
      </c>
      <c r="B52" t="s">
        <v>200</v>
      </c>
      <c r="C52" t="s">
        <v>53</v>
      </c>
      <c r="D52" t="s">
        <v>201</v>
      </c>
      <c r="E52" t="s">
        <v>202</v>
      </c>
    </row>
    <row r="53">
      <c r="A53" t="s">
        <v>199</v>
      </c>
      <c r="B53" t="s">
        <v>203</v>
      </c>
      <c r="C53" t="s">
        <v>70</v>
      </c>
      <c r="D53" t="s">
        <v>204</v>
      </c>
      <c r="E53" t="s">
        <v>205</v>
      </c>
    </row>
    <row r="54">
      <c r="A54" t="s">
        <v>199</v>
      </c>
      <c r="B54" t="s">
        <v>206</v>
      </c>
      <c r="C54" t="s">
        <v>155</v>
      </c>
      <c r="D54" t="s">
        <v>207</v>
      </c>
      <c r="E54" t="s">
        <v>208</v>
      </c>
    </row>
    <row r="55">
      <c r="A55" t="s">
        <v>209</v>
      </c>
      <c r="B55" t="s">
        <v>210</v>
      </c>
      <c r="C55" t="s">
        <v>101</v>
      </c>
      <c r="D55" t="s">
        <v>211</v>
      </c>
      <c r="E55" t="s">
        <v>212</v>
      </c>
    </row>
    <row r="56">
      <c r="A56" t="s">
        <v>209</v>
      </c>
      <c r="B56" t="s">
        <v>213</v>
      </c>
      <c r="C56" t="s">
        <v>70</v>
      </c>
      <c r="D56" t="s">
        <v>214</v>
      </c>
      <c r="E56" t="s">
        <v>215</v>
      </c>
    </row>
    <row r="57">
      <c r="A57" t="s">
        <v>209</v>
      </c>
      <c r="B57" t="s">
        <v>216</v>
      </c>
      <c r="C57" t="s">
        <v>90</v>
      </c>
      <c r="D57" t="s">
        <v>217</v>
      </c>
      <c r="E57" t="s">
        <v>218</v>
      </c>
    </row>
    <row r="58">
      <c r="A58" t="s">
        <v>219</v>
      </c>
      <c r="B58" t="s">
        <v>220</v>
      </c>
      <c r="C58" t="s">
        <v>27</v>
      </c>
      <c r="D58" t="s">
        <v>221</v>
      </c>
      <c r="E58" t="s">
        <v>222</v>
      </c>
    </row>
    <row r="59">
      <c r="A59" t="s">
        <v>219</v>
      </c>
      <c r="B59" t="s">
        <v>223</v>
      </c>
      <c r="C59" t="s">
        <v>23</v>
      </c>
      <c r="D59" t="s">
        <v>119</v>
      </c>
      <c r="E59" t="s">
        <v>224</v>
      </c>
    </row>
    <row r="60">
      <c r="A60" t="s">
        <v>219</v>
      </c>
      <c r="B60" t="s">
        <v>225</v>
      </c>
      <c r="C60" t="s">
        <v>184</v>
      </c>
      <c r="D60" t="s">
        <v>226</v>
      </c>
      <c r="E60" t="s">
        <v>227</v>
      </c>
    </row>
    <row r="61">
      <c r="A61" t="s">
        <v>228</v>
      </c>
      <c r="B61" t="s">
        <v>229</v>
      </c>
      <c r="C61" t="s">
        <v>70</v>
      </c>
      <c r="D61" t="s">
        <v>28</v>
      </c>
      <c r="E61" t="s">
        <v>230</v>
      </c>
    </row>
    <row r="62">
      <c r="A62" t="s">
        <v>228</v>
      </c>
      <c r="B62" t="s">
        <v>231</v>
      </c>
      <c r="C62" t="s">
        <v>62</v>
      </c>
      <c r="D62" t="s">
        <v>50</v>
      </c>
      <c r="E62" t="s">
        <v>232</v>
      </c>
    </row>
    <row r="63">
      <c r="A63" t="s">
        <v>228</v>
      </c>
      <c r="B63" t="s">
        <v>233</v>
      </c>
      <c r="C63" t="s">
        <v>166</v>
      </c>
      <c r="D63" t="s">
        <v>234</v>
      </c>
      <c r="E63" t="s">
        <v>235</v>
      </c>
    </row>
    <row r="64">
      <c r="A64" t="s">
        <v>236</v>
      </c>
      <c r="B64" t="s">
        <v>237</v>
      </c>
      <c r="C64" t="s">
        <v>49</v>
      </c>
      <c r="D64" t="s">
        <v>238</v>
      </c>
      <c r="E64" t="s">
        <v>239</v>
      </c>
    </row>
    <row r="65">
      <c r="A65" t="s">
        <v>236</v>
      </c>
      <c r="B65" t="s">
        <v>240</v>
      </c>
      <c r="C65" t="s">
        <v>53</v>
      </c>
      <c r="D65" t="s">
        <v>125</v>
      </c>
      <c r="E65" t="s">
        <v>241</v>
      </c>
    </row>
    <row r="66">
      <c r="A66" t="s">
        <v>236</v>
      </c>
      <c r="B66" t="s">
        <v>242</v>
      </c>
      <c r="C66" t="s">
        <v>66</v>
      </c>
      <c r="D66" t="s">
        <v>243</v>
      </c>
      <c r="E66" t="s">
        <v>244</v>
      </c>
    </row>
    <row r="67">
      <c r="A67" t="s">
        <v>245</v>
      </c>
      <c r="B67" t="s">
        <v>246</v>
      </c>
      <c r="C67" t="s">
        <v>23</v>
      </c>
      <c r="D67" t="s">
        <v>41</v>
      </c>
      <c r="E67" t="s">
        <v>247</v>
      </c>
    </row>
    <row r="68">
      <c r="A68" t="s">
        <v>245</v>
      </c>
      <c r="B68" t="s">
        <v>248</v>
      </c>
      <c r="C68" t="s">
        <v>86</v>
      </c>
      <c r="D68" t="s">
        <v>75</v>
      </c>
      <c r="E68" t="s">
        <v>249</v>
      </c>
    </row>
    <row r="69">
      <c r="A69" t="s">
        <v>245</v>
      </c>
      <c r="B69" t="s">
        <v>250</v>
      </c>
      <c r="C69" t="s">
        <v>70</v>
      </c>
      <c r="D69" t="s">
        <v>251</v>
      </c>
      <c r="E69" t="s">
        <v>252</v>
      </c>
    </row>
    <row r="70">
      <c r="A70" t="s">
        <v>253</v>
      </c>
      <c r="B70" t="s">
        <v>254</v>
      </c>
      <c r="C70" t="s">
        <v>40</v>
      </c>
      <c r="D70" t="s">
        <v>255</v>
      </c>
      <c r="E70" t="s">
        <v>256</v>
      </c>
    </row>
    <row r="71">
      <c r="A71" t="s">
        <v>253</v>
      </c>
      <c r="B71" t="s">
        <v>257</v>
      </c>
      <c r="C71" t="s">
        <v>36</v>
      </c>
      <c r="D71" t="s">
        <v>238</v>
      </c>
      <c r="E71" t="s">
        <v>258</v>
      </c>
    </row>
    <row r="72">
      <c r="A72" t="s">
        <v>253</v>
      </c>
      <c r="B72" t="s">
        <v>259</v>
      </c>
      <c r="C72" t="s">
        <v>135</v>
      </c>
      <c r="D72" t="s">
        <v>260</v>
      </c>
      <c r="E72" t="s">
        <v>261</v>
      </c>
    </row>
    <row r="73">
      <c r="A73" t="s">
        <v>262</v>
      </c>
      <c r="B73" t="s">
        <v>263</v>
      </c>
      <c r="C73" t="s">
        <v>23</v>
      </c>
      <c r="D73" t="s">
        <v>111</v>
      </c>
      <c r="E73" t="s">
        <v>264</v>
      </c>
    </row>
    <row r="74">
      <c r="A74" t="s">
        <v>262</v>
      </c>
      <c r="B74" t="s">
        <v>265</v>
      </c>
      <c r="C74" t="s">
        <v>57</v>
      </c>
      <c r="D74" t="s">
        <v>266</v>
      </c>
      <c r="E74" t="s">
        <v>267</v>
      </c>
    </row>
    <row r="75">
      <c r="A75" t="s">
        <v>262</v>
      </c>
      <c r="B75" t="s">
        <v>268</v>
      </c>
      <c r="C75" t="s">
        <v>31</v>
      </c>
      <c r="D75" t="s">
        <v>269</v>
      </c>
      <c r="E75" t="s">
        <v>270</v>
      </c>
    </row>
    <row r="76">
      <c r="A76" t="s">
        <v>271</v>
      </c>
      <c r="B76" t="s">
        <v>272</v>
      </c>
      <c r="C76" t="s">
        <v>36</v>
      </c>
      <c r="D76" t="s">
        <v>273</v>
      </c>
      <c r="E76" t="s">
        <v>274</v>
      </c>
    </row>
    <row r="77">
      <c r="A77" t="s">
        <v>271</v>
      </c>
      <c r="B77" t="s">
        <v>275</v>
      </c>
      <c r="C77" t="s">
        <v>27</v>
      </c>
      <c r="D77" t="s">
        <v>276</v>
      </c>
      <c r="E77" t="s">
        <v>277</v>
      </c>
    </row>
    <row r="78">
      <c r="A78" t="s">
        <v>271</v>
      </c>
      <c r="B78" t="s">
        <v>278</v>
      </c>
      <c r="C78" t="s">
        <v>114</v>
      </c>
      <c r="D78" t="s">
        <v>279</v>
      </c>
      <c r="E78" t="s">
        <v>280</v>
      </c>
    </row>
    <row r="79">
      <c r="A79" t="s">
        <v>281</v>
      </c>
      <c r="B79" t="s">
        <v>282</v>
      </c>
      <c r="C79" t="s">
        <v>49</v>
      </c>
      <c r="D79" t="s">
        <v>283</v>
      </c>
      <c r="E79" t="s">
        <v>284</v>
      </c>
    </row>
    <row r="80">
      <c r="A80" t="s">
        <v>281</v>
      </c>
      <c r="B80" t="s">
        <v>285</v>
      </c>
      <c r="C80" t="s">
        <v>53</v>
      </c>
      <c r="D80" t="s">
        <v>286</v>
      </c>
      <c r="E80" t="s">
        <v>287</v>
      </c>
    </row>
    <row r="81">
      <c r="A81" t="s">
        <v>281</v>
      </c>
      <c r="B81" t="s">
        <v>288</v>
      </c>
      <c r="C81" t="s">
        <v>86</v>
      </c>
      <c r="D81" t="s">
        <v>289</v>
      </c>
      <c r="E81" t="s">
        <v>290</v>
      </c>
    </row>
    <row r="82">
      <c r="A82" t="s">
        <v>291</v>
      </c>
      <c r="B82" t="s">
        <v>292</v>
      </c>
      <c r="C82" t="s">
        <v>81</v>
      </c>
      <c r="D82" t="s">
        <v>293</v>
      </c>
      <c r="E82" t="s">
        <v>294</v>
      </c>
    </row>
    <row r="83">
      <c r="A83" t="s">
        <v>291</v>
      </c>
      <c r="B83" t="s">
        <v>295</v>
      </c>
      <c r="C83" t="s">
        <v>40</v>
      </c>
      <c r="D83" t="s">
        <v>296</v>
      </c>
      <c r="E83" t="s">
        <v>297</v>
      </c>
    </row>
    <row r="84">
      <c r="A84" t="s">
        <v>291</v>
      </c>
      <c r="B84" t="s">
        <v>298</v>
      </c>
      <c r="C84" t="s">
        <v>44</v>
      </c>
      <c r="D84" t="s">
        <v>299</v>
      </c>
      <c r="E84" t="s">
        <v>300</v>
      </c>
    </row>
    <row r="85">
      <c r="A85" t="s">
        <v>301</v>
      </c>
      <c r="B85" t="s">
        <v>302</v>
      </c>
      <c r="C85" t="s">
        <v>70</v>
      </c>
      <c r="D85" t="s">
        <v>98</v>
      </c>
      <c r="E85" t="s">
        <v>303</v>
      </c>
    </row>
    <row r="86">
      <c r="A86" t="s">
        <v>301</v>
      </c>
      <c r="B86" t="s">
        <v>304</v>
      </c>
      <c r="C86" t="s">
        <v>101</v>
      </c>
      <c r="D86" t="s">
        <v>305</v>
      </c>
      <c r="E86" t="s">
        <v>306</v>
      </c>
    </row>
    <row r="87">
      <c r="A87" t="s">
        <v>301</v>
      </c>
      <c r="B87" t="s">
        <v>307</v>
      </c>
      <c r="C87" t="s">
        <v>104</v>
      </c>
      <c r="D87" t="s">
        <v>308</v>
      </c>
      <c r="E87" t="s">
        <v>309</v>
      </c>
    </row>
    <row r="88">
      <c r="A88" t="s">
        <v>310</v>
      </c>
      <c r="B88" t="s">
        <v>311</v>
      </c>
      <c r="C88" t="s">
        <v>53</v>
      </c>
      <c r="D88" t="s">
        <v>312</v>
      </c>
      <c r="E88" t="s">
        <v>313</v>
      </c>
    </row>
    <row r="89">
      <c r="A89" t="s">
        <v>310</v>
      </c>
      <c r="B89" t="s">
        <v>314</v>
      </c>
      <c r="C89" t="s">
        <v>62</v>
      </c>
      <c r="D89" t="s">
        <v>315</v>
      </c>
      <c r="E89" t="s">
        <v>316</v>
      </c>
    </row>
    <row r="90">
      <c r="A90" t="s">
        <v>310</v>
      </c>
      <c r="B90" t="s">
        <v>317</v>
      </c>
      <c r="C90" t="s">
        <v>36</v>
      </c>
      <c r="D90" t="s">
        <v>146</v>
      </c>
      <c r="E90" t="s">
        <v>318</v>
      </c>
    </row>
    <row r="91">
      <c r="A91" t="s">
        <v>319</v>
      </c>
      <c r="B91" t="s">
        <v>320</v>
      </c>
      <c r="C91" t="s">
        <v>49</v>
      </c>
      <c r="D91" t="s">
        <v>321</v>
      </c>
      <c r="E91" t="s">
        <v>322</v>
      </c>
    </row>
    <row r="92">
      <c r="A92" t="s">
        <v>319</v>
      </c>
      <c r="B92" t="s">
        <v>323</v>
      </c>
      <c r="C92" t="s">
        <v>19</v>
      </c>
      <c r="D92" t="s">
        <v>324</v>
      </c>
      <c r="E92" t="s">
        <v>325</v>
      </c>
    </row>
    <row r="93">
      <c r="A93" t="s">
        <v>319</v>
      </c>
      <c r="B93" t="s">
        <v>326</v>
      </c>
      <c r="C93" t="s">
        <v>23</v>
      </c>
      <c r="D93" t="s">
        <v>20</v>
      </c>
      <c r="E93" t="s">
        <v>327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30</v>
      </c>
      <c r="B2" s="2">
        <v>5</v>
      </c>
      <c r="C2" s="2">
        <v>91</v>
      </c>
      <c r="D2" s="3">
        <v>0.0020833333333333333</v>
      </c>
      <c r="E2" s="3" t="str">
        <f>(A2*B2*C2*D2)</f>
      </c>
      <c r="F2" s="3">
        <v>0.00034722222222222224</v>
      </c>
      <c r="G2" s="3">
        <v>0.020833333333333332</v>
      </c>
      <c r="H2" s="31"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59</v>
      </c>
      <c r="B8" s="2">
        <v>5</v>
      </c>
      <c r="C8" s="2"/>
      <c r="D8" s="3">
        <v>0.002777777777777778</v>
      </c>
      <c r="E8" s="3" t="str">
        <f>(A8*B8*D8)</f>
      </c>
      <c r="F8" s="3">
        <v>0.00034722222222222224</v>
      </c>
      <c r="G8" s="3">
        <v>0.020833333333333332</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408</v>
      </c>
      <c r="F13" s="13"/>
      <c r="G13" s="13"/>
      <c r="H13" s="13"/>
    </row>
    <row r="14">
      <c r="A14">
        <v>2</v>
      </c>
      <c r="E14" s="32" t="s">
        <v>409</v>
      </c>
      <c r="F14" s="32"/>
      <c r="G14" s="32"/>
      <c r="H14" s="31" t="str">
        <f>H2</f>
      </c>
    </row>
    <row r="15">
      <c r="E15" s="32" t="s">
        <v>410</v>
      </c>
      <c r="F15" s="32"/>
      <c r="G15" s="32"/>
      <c r="H15" s="31" t="str">
        <f>H8</f>
      </c>
    </row>
    <row r="16">
      <c r="E16" s="32" t="s">
        <v>411</v>
      </c>
      <c r="F16" s="32"/>
      <c r="G16" s="32"/>
      <c r="H16" s="31" t="str">
        <f>H14+H15</f>
      </c>
    </row>
    <row r="17">
      <c r="E17" s="32" t="s">
        <v>412</v>
      </c>
      <c r="F17" s="32"/>
      <c r="G17" s="32"/>
      <c r="H17" s="31" t="str">
        <f>H16/A14</f>
      </c>
    </row>
    <row r="18">
      <c r="E18" s="13" t="s">
        <v>413</v>
      </c>
      <c r="F18" s="13"/>
      <c r="G18" s="13"/>
      <c r="H18" s="33">
        <v>0.375</v>
      </c>
    </row>
    <row r="19">
      <c r="E19" s="13" t="s">
        <v>414</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'data'!$A$36</f>
      </c>
      <c r="F5" s="11" t="str">
        <f>'data'!$A$66</f>
      </c>
    </row>
    <row r="6" ht="17" customHeight="true">
      <c r="B6" s="12" t="str">
        <f>data!$E$3&amp;" "&amp;data!$B$3</f>
      </c>
      <c r="D6" s="12" t="str">
        <f>data!$E$34&amp;" "&amp;data!$B$34</f>
      </c>
      <c r="F6" s="12" t="str">
        <f>data!$E$64&amp;" "&amp;data!$B$64</f>
      </c>
    </row>
    <row r="7" ht="17" customHeight="true">
      <c r="B7" s="12" t="str">
        <f>data!$E$4&amp;" "&amp;data!$B$4</f>
      </c>
      <c r="D7" s="12" t="str">
        <f>data!$E$35&amp;" "&amp;data!$B$35</f>
      </c>
      <c r="F7" s="12" t="str">
        <f>data!$E$65&amp;" "&amp;data!$B$65</f>
      </c>
    </row>
    <row r="8">
      <c r="B8" s="12" t="str">
        <f>data!$E$5&amp;" "&amp;data!$B$5</f>
      </c>
      <c r="D8" s="12" t="str">
        <f>data!$E$36&amp;" "&amp;data!$B$36</f>
      </c>
      <c r="F8" s="12" t="str">
        <f>data!$E$66&amp;" "&amp;data!$B$66</f>
      </c>
    </row>
    <row r="9">
      <c r="B9" s="12" t="str">
        <f>data!$E$6&amp;" "&amp;data!$B$6</f>
      </c>
    </row>
    <row r="11">
      <c r="D11" s="11" t="str">
        <f>'data'!$A$39</f>
      </c>
      <c r="F11" s="11" t="str">
        <f>'data'!$A$69</f>
      </c>
    </row>
    <row r="12">
      <c r="B12" s="11" t="str">
        <f>'data'!$A$9</f>
      </c>
      <c r="D12" s="12" t="str">
        <f>data!$E$37&amp;" "&amp;data!$B$37</f>
      </c>
      <c r="F12" s="12" t="str">
        <f>data!$E$67&amp;" "&amp;data!$B$67</f>
      </c>
    </row>
    <row r="13">
      <c r="B13" s="12" t="str">
        <f>data!$E$7&amp;" "&amp;data!$B$7</f>
      </c>
      <c r="D13" s="12" t="str">
        <f>data!$E$38&amp;" "&amp;data!$B$38</f>
      </c>
      <c r="F13" s="12" t="str">
        <f>data!$E$68&amp;" "&amp;data!$B$68</f>
      </c>
    </row>
    <row r="14">
      <c r="B14" s="12" t="str">
        <f>data!$E$8&amp;" "&amp;data!$B$8</f>
      </c>
      <c r="D14" s="12" t="str">
        <f>data!$E$39&amp;" "&amp;data!$B$39</f>
      </c>
      <c r="F14" s="12" t="str">
        <f>data!$E$69&amp;" "&amp;data!$B$69</f>
      </c>
    </row>
    <row r="15">
      <c r="B15" s="12" t="str">
        <f>data!$E$9&amp;" "&amp;data!$B$9</f>
      </c>
    </row>
    <row r="17">
      <c r="D17" s="11" t="str">
        <f>'data'!$A$42</f>
      </c>
      <c r="F17" s="11" t="str">
        <f>'data'!$A$72</f>
      </c>
    </row>
    <row r="18">
      <c r="B18" s="11" t="str">
        <f>'data'!$A$12</f>
      </c>
      <c r="D18" s="12" t="str">
        <f>data!$E$40&amp;" "&amp;data!$B$40</f>
      </c>
      <c r="F18" s="12" t="str">
        <f>data!$E$70&amp;" "&amp;data!$B$70</f>
      </c>
    </row>
    <row r="19">
      <c r="B19" s="12" t="str">
        <f>data!$E$10&amp;" "&amp;data!$B$10</f>
      </c>
      <c r="D19" s="12" t="str">
        <f>data!$E$41&amp;" "&amp;data!$B$41</f>
      </c>
      <c r="F19" s="12" t="str">
        <f>data!$E$71&amp;" "&amp;data!$B$71</f>
      </c>
    </row>
    <row r="20">
      <c r="B20" s="12" t="str">
        <f>data!$E$11&amp;" "&amp;data!$B$11</f>
      </c>
      <c r="D20" s="12" t="str">
        <f>data!$E$42&amp;" "&amp;data!$B$42</f>
      </c>
      <c r="F20" s="12" t="str">
        <f>data!$E$72&amp;" "&amp;data!$B$72</f>
      </c>
    </row>
    <row r="21">
      <c r="B21" s="12" t="str">
        <f>data!$E$12&amp;" "&amp;data!$B$12</f>
      </c>
    </row>
    <row r="23">
      <c r="D23" s="11" t="str">
        <f>'data'!$A$45</f>
      </c>
      <c r="F23" s="11" t="str">
        <f>'data'!$A$75</f>
      </c>
    </row>
    <row r="24">
      <c r="B24" s="11" t="str">
        <f>'data'!$A$15</f>
      </c>
      <c r="D24" s="12" t="str">
        <f>data!$E$43&amp;" "&amp;data!$B$43</f>
      </c>
      <c r="F24" s="12" t="str">
        <f>data!$E$73&amp;" "&amp;data!$B$73</f>
      </c>
    </row>
    <row r="25">
      <c r="B25" s="12" t="str">
        <f>data!$E$13&amp;" "&amp;data!$B$13</f>
      </c>
      <c r="D25" s="12" t="str">
        <f>data!$E$44&amp;" "&amp;data!$B$44</f>
      </c>
      <c r="F25" s="12" t="str">
        <f>data!$E$74&amp;" "&amp;data!$B$74</f>
      </c>
    </row>
    <row r="26">
      <c r="B26" s="12" t="str">
        <f>data!$E$14&amp;" "&amp;data!$B$14</f>
      </c>
      <c r="D26" s="12" t="str">
        <f>data!$E$45&amp;" "&amp;data!$B$45</f>
      </c>
      <c r="F26" s="12" t="str">
        <f>data!$E$75&amp;" "&amp;data!$B$75</f>
      </c>
    </row>
    <row r="27">
      <c r="B27" s="12" t="str">
        <f>data!$E$15&amp;" "&amp;data!$B$15</f>
      </c>
    </row>
    <row r="29">
      <c r="D29" s="11" t="str">
        <f>'data'!$A$48</f>
      </c>
      <c r="F29" s="11" t="str">
        <f>'data'!$A$78</f>
      </c>
    </row>
    <row r="30">
      <c r="B30" s="11" t="str">
        <f>'data'!$A$18</f>
      </c>
      <c r="D30" s="12" t="str">
        <f>data!$E$46&amp;" "&amp;data!$B$46</f>
      </c>
      <c r="F30" s="12" t="str">
        <f>data!$E$76&amp;" "&amp;data!$B$76</f>
      </c>
    </row>
    <row r="31">
      <c r="B31" s="12" t="str">
        <f>data!$E$16&amp;" "&amp;data!$B$16</f>
      </c>
      <c r="D31" s="12" t="str">
        <f>data!$E$47&amp;" "&amp;data!$B$47</f>
      </c>
      <c r="F31" s="12" t="str">
        <f>data!$E$77&amp;" "&amp;data!$B$77</f>
      </c>
    </row>
    <row r="32">
      <c r="B32" s="12" t="str">
        <f>data!$E$17&amp;" "&amp;data!$B$17</f>
      </c>
      <c r="D32" s="12" t="str">
        <f>data!$E$48&amp;" "&amp;data!$B$48</f>
      </c>
      <c r="F32" s="12" t="str">
        <f>data!$E$78&amp;" "&amp;data!$B$78</f>
      </c>
    </row>
    <row r="33">
      <c r="B33" s="12" t="str">
        <f>data!$E$18&amp;" "&amp;data!$B$18</f>
      </c>
    </row>
    <row r="35">
      <c r="D35" s="11" t="str">
        <f>'data'!$A$51</f>
      </c>
      <c r="F35" s="11" t="str">
        <f>'data'!$A$81</f>
      </c>
    </row>
    <row r="36">
      <c r="B36" s="11" t="str">
        <f>'data'!$A$21</f>
      </c>
      <c r="D36" s="12" t="str">
        <f>data!$E$49&amp;" "&amp;data!$B$49</f>
      </c>
      <c r="F36" s="12" t="str">
        <f>data!$E$79&amp;" "&amp;data!$B$79</f>
      </c>
    </row>
    <row r="37">
      <c r="B37" s="12" t="str">
        <f>data!$E$19&amp;" "&amp;data!$B$19</f>
      </c>
      <c r="D37" s="12" t="str">
        <f>data!$E$50&amp;" "&amp;data!$B$50</f>
      </c>
      <c r="F37" s="12" t="str">
        <f>data!$E$80&amp;" "&amp;data!$B$80</f>
      </c>
    </row>
    <row r="38">
      <c r="B38" s="12" t="str">
        <f>data!$E$20&amp;" "&amp;data!$B$20</f>
      </c>
      <c r="D38" s="12" t="str">
        <f>data!$E$51&amp;" "&amp;data!$B$51</f>
      </c>
      <c r="F38" s="12" t="str">
        <f>data!$E$81&amp;" "&amp;data!$B$81</f>
      </c>
    </row>
    <row r="39">
      <c r="B39" s="12" t="str">
        <f>data!$E$21&amp;" "&amp;data!$B$21</f>
      </c>
    </row>
    <row r="41">
      <c r="D41" s="11" t="str">
        <f>'data'!$A$54</f>
      </c>
      <c r="F41" s="11" t="str">
        <f>'data'!$A$84</f>
      </c>
    </row>
    <row r="42">
      <c r="B42" s="11" t="str">
        <f>'data'!$A$24</f>
      </c>
      <c r="D42" s="12" t="str">
        <f>data!$E$52&amp;" "&amp;data!$B$52</f>
      </c>
      <c r="F42" s="12" t="str">
        <f>data!$E$82&amp;" "&amp;data!$B$82</f>
      </c>
    </row>
    <row r="43">
      <c r="B43" s="12" t="str">
        <f>data!$E$22&amp;" "&amp;data!$B$22</f>
      </c>
      <c r="D43" s="12" t="str">
        <f>data!$E$53&amp;" "&amp;data!$B$53</f>
      </c>
      <c r="F43" s="12" t="str">
        <f>data!$E$83&amp;" "&amp;data!$B$83</f>
      </c>
    </row>
    <row r="44">
      <c r="B44" s="12" t="str">
        <f>data!$E$23&amp;" "&amp;data!$B$23</f>
      </c>
      <c r="D44" s="12" t="str">
        <f>data!$E$54&amp;" "&amp;data!$B$54</f>
      </c>
      <c r="F44" s="12" t="str">
        <f>data!$E$84&amp;" "&amp;data!$B$84</f>
      </c>
    </row>
    <row r="45">
      <c r="B45" s="12" t="str">
        <f>data!$E$24&amp;" "&amp;data!$B$24</f>
      </c>
    </row>
    <row r="47">
      <c r="D47" s="11" t="str">
        <f>'data'!$A$57</f>
      </c>
      <c r="F47" s="11" t="str">
        <f>'data'!$A$87</f>
      </c>
    </row>
    <row r="48">
      <c r="B48" s="11" t="str">
        <f>'data'!$A$27</f>
      </c>
      <c r="D48" s="12" t="str">
        <f>data!$E$55&amp;" "&amp;data!$B$55</f>
      </c>
      <c r="F48" s="12" t="str">
        <f>data!$E$85&amp;" "&amp;data!$B$85</f>
      </c>
    </row>
    <row r="49">
      <c r="B49" s="12" t="str">
        <f>data!$E$25&amp;" "&amp;data!$B$25</f>
      </c>
      <c r="D49" s="12" t="str">
        <f>data!$E$56&amp;" "&amp;data!$B$56</f>
      </c>
      <c r="F49" s="12" t="str">
        <f>data!$E$86&amp;" "&amp;data!$B$86</f>
      </c>
    </row>
    <row r="50">
      <c r="B50" s="12" t="str">
        <f>data!$E$26&amp;" "&amp;data!$B$26</f>
      </c>
      <c r="D50" s="12" t="str">
        <f>data!$E$57&amp;" "&amp;data!$B$57</f>
      </c>
      <c r="F50" s="12" t="str">
        <f>data!$E$87&amp;" "&amp;data!$B$87</f>
      </c>
    </row>
    <row r="51">
      <c r="B51" s="12" t="str">
        <f>data!$E$27&amp;" "&amp;data!$B$27</f>
      </c>
    </row>
    <row r="53">
      <c r="D53" s="11" t="str">
        <f>'data'!$A$60</f>
      </c>
      <c r="F53" s="11" t="str">
        <f>'data'!$A$90</f>
      </c>
    </row>
    <row r="54">
      <c r="B54" s="11" t="str">
        <f>'data'!$A$30</f>
      </c>
      <c r="D54" s="12" t="str">
        <f>data!$E$58&amp;" "&amp;data!$B$58</f>
      </c>
      <c r="F54" s="12" t="str">
        <f>data!$E$88&amp;" "&amp;data!$B$88</f>
      </c>
    </row>
    <row r="55">
      <c r="B55" s="12" t="str">
        <f>data!$E$28&amp;" "&amp;data!$B$28</f>
      </c>
      <c r="D55" s="12" t="str">
        <f>data!$E$59&amp;" "&amp;data!$B$59</f>
      </c>
      <c r="F55" s="12" t="str">
        <f>data!$E$89&amp;" "&amp;data!$B$89</f>
      </c>
    </row>
    <row r="56">
      <c r="B56" s="12" t="str">
        <f>data!$E$29&amp;" "&amp;data!$B$29</f>
      </c>
      <c r="D56" s="12" t="str">
        <f>data!$E$60&amp;" "&amp;data!$B$60</f>
      </c>
      <c r="F56" s="12" t="str">
        <f>data!$E$90&amp;" "&amp;data!$B$90</f>
      </c>
    </row>
    <row r="57">
      <c r="B57" s="12" t="str">
        <f>data!$E$30&amp;" "&amp;data!$B$30</f>
      </c>
    </row>
    <row r="59">
      <c r="D59" s="11" t="str">
        <f>'data'!$A$63</f>
      </c>
      <c r="F59" s="11" t="str">
        <f>'data'!$A$93</f>
      </c>
    </row>
    <row r="60">
      <c r="B60" s="11" t="str">
        <f>'data'!$A$33</f>
      </c>
      <c r="D60" s="12" t="str">
        <f>data!$E$61&amp;" "&amp;data!$B$61</f>
      </c>
      <c r="F60" s="12" t="str">
        <f>data!$E$91&amp;" "&amp;data!$B$91</f>
      </c>
    </row>
    <row r="61">
      <c r="B61" s="12" t="str">
        <f>data!$E$31&amp;" "&amp;data!$B$31</f>
      </c>
      <c r="D61" s="12" t="str">
        <f>data!$E$62&amp;" "&amp;data!$B$62</f>
      </c>
      <c r="F61" s="12" t="str">
        <f>data!$E$92&amp;" "&amp;data!$B$92</f>
      </c>
    </row>
    <row r="62">
      <c r="B62" s="12" t="str">
        <f>data!$E$32&amp;" "&amp;data!$B$32</f>
      </c>
      <c r="D62" s="12" t="str">
        <f>data!$E$63&amp;" "&amp;data!$B$63</f>
      </c>
      <c r="F62" s="12" t="str">
        <f>data!$E$93&amp;" "&amp;data!$B$93</f>
      </c>
    </row>
    <row r="63">
      <c r="B63" s="12" t="str">
        <f>data!$E$33&amp;" "&amp;data!$B$33</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328</v>
      </c>
      <c r="B1" s="13"/>
      <c r="C1" s="13"/>
      <c r="D1" s="13"/>
      <c r="E1" s="13"/>
      <c r="F1" s="13"/>
      <c r="G1" s="13"/>
      <c r="I1" s="13" t="s">
        <v>329</v>
      </c>
      <c r="J1" s="13"/>
      <c r="K1" s="13"/>
      <c r="L1" s="13"/>
      <c r="M1" s="13"/>
      <c r="N1" s="13"/>
      <c r="O1" s="13"/>
    </row>
    <row r="2">
      <c r="A2" s="13" t="str">
        <f>'data'!$A$6</f>
      </c>
      <c r="B2" s="13"/>
      <c r="C2" s="13"/>
      <c r="D2" s="13"/>
      <c r="E2" s="13"/>
      <c r="F2" s="13"/>
      <c r="G2" s="13"/>
      <c r="I2" s="13" t="str">
        <f>'data'!$A$51</f>
      </c>
      <c r="J2" s="13"/>
      <c r="K2" s="13"/>
      <c r="L2" s="13"/>
      <c r="M2" s="13"/>
      <c r="N2" s="13"/>
      <c r="O2" s="13"/>
    </row>
    <row r="3">
      <c r="A3" s="17" t="s">
        <v>330</v>
      </c>
      <c r="B3" s="14"/>
      <c r="C3" s="14"/>
      <c r="D3" s="14" t="s">
        <v>331</v>
      </c>
      <c r="E3" s="14"/>
      <c r="F3" s="14"/>
      <c r="G3" s="16" t="s">
        <v>332</v>
      </c>
      <c r="I3" s="17" t="s">
        <v>330</v>
      </c>
      <c r="J3" s="14"/>
      <c r="K3" s="14"/>
      <c r="L3" s="14" t="s">
        <v>331</v>
      </c>
      <c r="M3" s="14"/>
      <c r="N3" s="14"/>
      <c r="O3" s="16" t="s">
        <v>332</v>
      </c>
    </row>
    <row r="4">
      <c r="A4" s="14" t="str">
        <f>data!$E$4&amp;" "&amp;data!$B$4</f>
      </c>
      <c r="B4"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4"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4" s="18"/>
      <c r="E4"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4"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4" s="14" t="str">
        <f>data!$E$3&amp;" "&amp;data!$B$3</f>
      </c>
      <c r="I4" s="14" t="str">
        <f>data!$E$50&amp;" "&amp;data!$B$50</f>
      </c>
      <c r="J4"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4"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4" s="18"/>
      <c r="M4"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4"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4" s="14" t="str">
        <f>data!$E$49&amp;" "&amp;data!$B$49</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7" t="s">
        <v>330</v>
      </c>
      <c r="B11" s="14"/>
      <c r="C11" s="14"/>
      <c r="D11" s="14" t="s">
        <v>331</v>
      </c>
      <c r="E11" s="14"/>
      <c r="F11" s="14"/>
      <c r="G11" s="16" t="s">
        <v>332</v>
      </c>
      <c r="I11" s="17" t="s">
        <v>330</v>
      </c>
      <c r="J11" s="14"/>
      <c r="K11" s="14"/>
      <c r="L11" s="14" t="s">
        <v>331</v>
      </c>
      <c r="M11" s="14"/>
      <c r="N11" s="14"/>
      <c r="O11" s="16" t="s">
        <v>332</v>
      </c>
    </row>
    <row r="12">
      <c r="A12" s="14" t="str">
        <f>data!$E$4&amp;" "&amp;data!$B$4</f>
      </c>
      <c r="B12" s="14" t="str">
        <f>IF(UPPER(D13)="X",0,IF((LEN(SUBSTITUTE(SUBSTITUTE(SUBSTITUTE(B13," ",""),"0",""),"-",""))+LEN(SUBSTITUTE(SUBSTITUTE(SUBSTITUTE(C13," ",""),"0",""),"-","")))&gt;(LEN(SUBSTITUTE(SUBSTITUTE(SUBSTITUTE(E13," ",""),"0",""),"-",""))+LEN(SUBSTITUTE(SUBSTITUTE(SUBSTITUTE(F13," ",""),"0",""),"-",""))),1,0))+IF(UPPER(D14)="X",0,IF((LEN(SUBSTITUTE(SUBSTITUTE(SUBSTITUTE(B14," ",""),"0",""),"-",""))+LEN(SUBSTITUTE(SUBSTITUTE(SUBSTITUTE(C14," ",""),"0",""),"-","")))&gt;(LEN(SUBSTITUTE(SUBSTITUTE(SUBSTITUTE(E14," ",""),"0",""),"-",""))+LEN(SUBSTITUTE(SUBSTITUTE(SUBSTITUTE(F14," ",""),"0",""),"-",""))),1,0))+IF(UPPER(D15)="X",0,IF((LEN(SUBSTITUTE(SUBSTITUTE(SUBSTITUTE(B15," ",""),"0",""),"-",""))+LEN(SUBSTITUTE(SUBSTITUTE(SUBSTITUTE(C15," ",""),"0",""),"-","")))&gt;(LEN(SUBSTITUTE(SUBSTITUTE(SUBSTITUTE(E15," ",""),"0",""),"-",""))+LEN(SUBSTITUTE(SUBSTITUTE(SUBSTITUTE(F15," ",""),"0",""),"-",""))),1,0))+IF(UPPER(D16)="X",0,IF((LEN(SUBSTITUTE(SUBSTITUTE(SUBSTITUTE(B16," ",""),"0",""),"-",""))+LEN(SUBSTITUTE(SUBSTITUTE(SUBSTITUTE(C16," ",""),"0",""),"-","")))&gt;(LEN(SUBSTITUTE(SUBSTITUTE(SUBSTITUTE(E16," ",""),"0",""),"-",""))+LEN(SUBSTITUTE(SUBSTITUTE(SUBSTITUTE(F16," ",""),"0",""),"-",""))),1,0))+IF(UPPER(D17)="X",0,IF((LEN(SUBSTITUTE(SUBSTITUTE(SUBSTITUTE(B17," ",""),"0",""),"-",""))+LEN(SUBSTITUTE(SUBSTITUTE(SUBSTITUTE(C17," ",""),"0",""),"-","")))&gt;(LEN(SUBSTITUTE(SUBSTITUTE(SUBSTITUTE(E17," ",""),"0",""),"-",""))+LEN(SUBSTITUTE(SUBSTITUTE(SUBSTITUTE(F17," ",""),"0",""),"-",""))),1,0))</f>
      </c>
      <c r="C12" s="14" t="str">
        <f>LEN(SUBSTITUTE(SUBSTITUTE(SUBSTITUTE(B13," ",""),"0",""),"-",""))+LEN(SUBSTITUTE(SUBSTITUTE(SUBSTITUTE(C13," ",""),"0",""),"-",""))+LEN(SUBSTITUTE(SUBSTITUTE(SUBSTITUTE(B14," ",""),"0",""),"-",""))+LEN(SUBSTITUTE(SUBSTITUTE(SUBSTITUTE(C14," ",""),"0",""),"-",""))+LEN(SUBSTITUTE(SUBSTITUTE(SUBSTITUTE(B15," ",""),"0",""),"-",""))+LEN(SUBSTITUTE(SUBSTITUTE(SUBSTITUTE(C15," ",""),"0",""),"-",""))+LEN(SUBSTITUTE(SUBSTITUTE(SUBSTITUTE(B16," ",""),"0",""),"-",""))+LEN(SUBSTITUTE(SUBSTITUTE(SUBSTITUTE(C16," ",""),"0",""),"-",""))+LEN(SUBSTITUTE(SUBSTITUTE(SUBSTITUTE(B17," ",""),"0",""),"-",""))+LEN(SUBSTITUTE(SUBSTITUTE(SUBSTITUTE(C17," ",""),"0",""),"-",""))</f>
      </c>
      <c r="D12" s="18"/>
      <c r="E12" s="14" t="str">
        <f>LEN(SUBSTITUTE(SUBSTITUTE(SUBSTITUTE(E13," ",""),"0",""),"-",""))+LEN(SUBSTITUTE(SUBSTITUTE(SUBSTITUTE(F13," ",""),"0",""),"-",""))+LEN(SUBSTITUTE(SUBSTITUTE(SUBSTITUTE(E14," ",""),"0",""),"-",""))+LEN(SUBSTITUTE(SUBSTITUTE(SUBSTITUTE(F14," ",""),"0",""),"-",""))+LEN(SUBSTITUTE(SUBSTITUTE(SUBSTITUTE(E15," ",""),"0",""),"-",""))+LEN(SUBSTITUTE(SUBSTITUTE(SUBSTITUTE(F15," ",""),"0",""),"-",""))+LEN(SUBSTITUTE(SUBSTITUTE(SUBSTITUTE(E16," ",""),"0",""),"-",""))+LEN(SUBSTITUTE(SUBSTITUTE(SUBSTITUTE(F16," ",""),"0",""),"-",""))+LEN(SUBSTITUTE(SUBSTITUTE(SUBSTITUTE(E17," ",""),"0",""),"-",""))+LEN(SUBSTITUTE(SUBSTITUTE(SUBSTITUTE(F17," ",""),"0",""),"-",""))</f>
      </c>
      <c r="F12" s="14" t="str">
        <f>IF(UPPER(D13)="X",0,IF((LEN(SUBSTITUTE(SUBSTITUTE(SUBSTITUTE(E13," ",""),"0",""),"-",""))+LEN(SUBSTITUTE(SUBSTITUTE(SUBSTITUTE(F13," ",""),"0",""),"-","")))&gt;(LEN(SUBSTITUTE(SUBSTITUTE(SUBSTITUTE(B13," ",""),"0",""),"-",""))+LEN(SUBSTITUTE(SUBSTITUTE(SUBSTITUTE(C13," ",""),"0",""),"-",""))),1,0))+IF(UPPER(D14)="X",0,IF((LEN(SUBSTITUTE(SUBSTITUTE(SUBSTITUTE(E14," ",""),"0",""),"-",""))+LEN(SUBSTITUTE(SUBSTITUTE(SUBSTITUTE(F14," ",""),"0",""),"-","")))&gt;(LEN(SUBSTITUTE(SUBSTITUTE(SUBSTITUTE(B14," ",""),"0",""),"-",""))+LEN(SUBSTITUTE(SUBSTITUTE(SUBSTITUTE(C14," ",""),"0",""),"-",""))),1,0))+IF(UPPER(D15)="X",0,IF((LEN(SUBSTITUTE(SUBSTITUTE(SUBSTITUTE(E15," ",""),"0",""),"-",""))+LEN(SUBSTITUTE(SUBSTITUTE(SUBSTITUTE(F15," ",""),"0",""),"-","")))&gt;(LEN(SUBSTITUTE(SUBSTITUTE(SUBSTITUTE(B15," ",""),"0",""),"-",""))+LEN(SUBSTITUTE(SUBSTITUTE(SUBSTITUTE(C15," ",""),"0",""),"-",""))),1,0))+IF(UPPER(D16)="X",0,IF((LEN(SUBSTITUTE(SUBSTITUTE(SUBSTITUTE(E16," ",""),"0",""),"-",""))+LEN(SUBSTITUTE(SUBSTITUTE(SUBSTITUTE(F16," ",""),"0",""),"-","")))&gt;(LEN(SUBSTITUTE(SUBSTITUTE(SUBSTITUTE(B16," ",""),"0",""),"-",""))+LEN(SUBSTITUTE(SUBSTITUTE(SUBSTITUTE(C16," ",""),"0",""),"-",""))),1,0))+IF(UPPER(D17)="X",0,IF((LEN(SUBSTITUTE(SUBSTITUTE(SUBSTITUTE(E17," ",""),"0",""),"-",""))+LEN(SUBSTITUTE(SUBSTITUTE(SUBSTITUTE(F17," ",""),"0",""),"-","")))&gt;(LEN(SUBSTITUTE(SUBSTITUTE(SUBSTITUTE(B17," ",""),"0",""),"-",""))+LEN(SUBSTITUTE(SUBSTITUTE(SUBSTITUTE(C17," ",""),"0",""),"-",""))),1,0))</f>
      </c>
      <c r="G12" s="14" t="str">
        <f>data!$E$5&amp;" "&amp;data!$B$5</f>
      </c>
      <c r="I12" s="14" t="str">
        <f>data!$E$51&amp;" "&amp;data!$B$51</f>
      </c>
      <c r="J12" s="14" t="str">
        <f>IF(UPPER(L13)="X",0,IF((LEN(SUBSTITUTE(SUBSTITUTE(SUBSTITUTE(J13," ",""),"0",""),"-",""))+LEN(SUBSTITUTE(SUBSTITUTE(SUBSTITUTE(K13," ",""),"0",""),"-","")))&gt;(LEN(SUBSTITUTE(SUBSTITUTE(SUBSTITUTE(M13," ",""),"0",""),"-",""))+LEN(SUBSTITUTE(SUBSTITUTE(SUBSTITUTE(N13," ",""),"0",""),"-",""))),1,0))+IF(UPPER(L14)="X",0,IF((LEN(SUBSTITUTE(SUBSTITUTE(SUBSTITUTE(J14," ",""),"0",""),"-",""))+LEN(SUBSTITUTE(SUBSTITUTE(SUBSTITUTE(K14," ",""),"0",""),"-","")))&gt;(LEN(SUBSTITUTE(SUBSTITUTE(SUBSTITUTE(M14," ",""),"0",""),"-",""))+LEN(SUBSTITUTE(SUBSTITUTE(SUBSTITUTE(N14," ",""),"0",""),"-",""))),1,0))+IF(UPPER(L15)="X",0,IF((LEN(SUBSTITUTE(SUBSTITUTE(SUBSTITUTE(J15," ",""),"0",""),"-",""))+LEN(SUBSTITUTE(SUBSTITUTE(SUBSTITUTE(K15," ",""),"0",""),"-","")))&gt;(LEN(SUBSTITUTE(SUBSTITUTE(SUBSTITUTE(M15," ",""),"0",""),"-",""))+LEN(SUBSTITUTE(SUBSTITUTE(SUBSTITUTE(N15," ",""),"0",""),"-",""))),1,0))+IF(UPPER(L16)="X",0,IF((LEN(SUBSTITUTE(SUBSTITUTE(SUBSTITUTE(J16," ",""),"0",""),"-",""))+LEN(SUBSTITUTE(SUBSTITUTE(SUBSTITUTE(K16," ",""),"0",""),"-","")))&gt;(LEN(SUBSTITUTE(SUBSTITUTE(SUBSTITUTE(M16," ",""),"0",""),"-",""))+LEN(SUBSTITUTE(SUBSTITUTE(SUBSTITUTE(N16," ",""),"0",""),"-",""))),1,0))+IF(UPPER(L17)="X",0,IF((LEN(SUBSTITUTE(SUBSTITUTE(SUBSTITUTE(J17," ",""),"0",""),"-",""))+LEN(SUBSTITUTE(SUBSTITUTE(SUBSTITUTE(K17," ",""),"0",""),"-","")))&gt;(LEN(SUBSTITUTE(SUBSTITUTE(SUBSTITUTE(M17," ",""),"0",""),"-",""))+LEN(SUBSTITUTE(SUBSTITUTE(SUBSTITUTE(N17," ",""),"0",""),"-",""))),1,0))</f>
      </c>
      <c r="K12" s="14" t="str">
        <f>LEN(SUBSTITUTE(SUBSTITUTE(SUBSTITUTE(J13," ",""),"0",""),"-",""))+LEN(SUBSTITUTE(SUBSTITUTE(SUBSTITUTE(K13," ",""),"0",""),"-",""))+LEN(SUBSTITUTE(SUBSTITUTE(SUBSTITUTE(J14," ",""),"0",""),"-",""))+LEN(SUBSTITUTE(SUBSTITUTE(SUBSTITUTE(K14," ",""),"0",""),"-",""))+LEN(SUBSTITUTE(SUBSTITUTE(SUBSTITUTE(J15," ",""),"0",""),"-",""))+LEN(SUBSTITUTE(SUBSTITUTE(SUBSTITUTE(K15," ",""),"0",""),"-",""))+LEN(SUBSTITUTE(SUBSTITUTE(SUBSTITUTE(J16," ",""),"0",""),"-",""))+LEN(SUBSTITUTE(SUBSTITUTE(SUBSTITUTE(K16," ",""),"0",""),"-",""))+LEN(SUBSTITUTE(SUBSTITUTE(SUBSTITUTE(J17," ",""),"0",""),"-",""))+LEN(SUBSTITUTE(SUBSTITUTE(SUBSTITUTE(K17," ",""),"0",""),"-",""))</f>
      </c>
      <c r="L12" s="18"/>
      <c r="M12" s="14" t="str">
        <f>LEN(SUBSTITUTE(SUBSTITUTE(SUBSTITUTE(M13," ",""),"0",""),"-",""))+LEN(SUBSTITUTE(SUBSTITUTE(SUBSTITUTE(N13," ",""),"0",""),"-",""))+LEN(SUBSTITUTE(SUBSTITUTE(SUBSTITUTE(M14," ",""),"0",""),"-",""))+LEN(SUBSTITUTE(SUBSTITUTE(SUBSTITUTE(N14," ",""),"0",""),"-",""))+LEN(SUBSTITUTE(SUBSTITUTE(SUBSTITUTE(M15," ",""),"0",""),"-",""))+LEN(SUBSTITUTE(SUBSTITUTE(SUBSTITUTE(N15," ",""),"0",""),"-",""))+LEN(SUBSTITUTE(SUBSTITUTE(SUBSTITUTE(M16," ",""),"0",""),"-",""))+LEN(SUBSTITUTE(SUBSTITUTE(SUBSTITUTE(N16," ",""),"0",""),"-",""))+LEN(SUBSTITUTE(SUBSTITUTE(SUBSTITUTE(M17," ",""),"0",""),"-",""))+LEN(SUBSTITUTE(SUBSTITUTE(SUBSTITUTE(N17," ",""),"0",""),"-",""))</f>
      </c>
      <c r="N12" s="14" t="str">
        <f>IF(UPPER(L13)="X",0,IF((LEN(SUBSTITUTE(SUBSTITUTE(SUBSTITUTE(M13," ",""),"0",""),"-",""))+LEN(SUBSTITUTE(SUBSTITUTE(SUBSTITUTE(N13," ",""),"0",""),"-","")))&gt;(LEN(SUBSTITUTE(SUBSTITUTE(SUBSTITUTE(J13," ",""),"0",""),"-",""))+LEN(SUBSTITUTE(SUBSTITUTE(SUBSTITUTE(K13," ",""),"0",""),"-",""))),1,0))+IF(UPPER(L14)="X",0,IF((LEN(SUBSTITUTE(SUBSTITUTE(SUBSTITUTE(M14," ",""),"0",""),"-",""))+LEN(SUBSTITUTE(SUBSTITUTE(SUBSTITUTE(N14," ",""),"0",""),"-","")))&gt;(LEN(SUBSTITUTE(SUBSTITUTE(SUBSTITUTE(J14," ",""),"0",""),"-",""))+LEN(SUBSTITUTE(SUBSTITUTE(SUBSTITUTE(K14," ",""),"0",""),"-",""))),1,0))+IF(UPPER(L15)="X",0,IF((LEN(SUBSTITUTE(SUBSTITUTE(SUBSTITUTE(M15," ",""),"0",""),"-",""))+LEN(SUBSTITUTE(SUBSTITUTE(SUBSTITUTE(N15," ",""),"0",""),"-","")))&gt;(LEN(SUBSTITUTE(SUBSTITUTE(SUBSTITUTE(J15," ",""),"0",""),"-",""))+LEN(SUBSTITUTE(SUBSTITUTE(SUBSTITUTE(K15," ",""),"0",""),"-",""))),1,0))+IF(UPPER(L16)="X",0,IF((LEN(SUBSTITUTE(SUBSTITUTE(SUBSTITUTE(M16," ",""),"0",""),"-",""))+LEN(SUBSTITUTE(SUBSTITUTE(SUBSTITUTE(N16," ",""),"0",""),"-","")))&gt;(LEN(SUBSTITUTE(SUBSTITUTE(SUBSTITUTE(J16," ",""),"0",""),"-",""))+LEN(SUBSTITUTE(SUBSTITUTE(SUBSTITUTE(K16," ",""),"0",""),"-",""))),1,0))+IF(UPPER(L17)="X",0,IF((LEN(SUBSTITUTE(SUBSTITUTE(SUBSTITUTE(M17," ",""),"0",""),"-",""))+LEN(SUBSTITUTE(SUBSTITUTE(SUBSTITUTE(N17," ",""),"0",""),"-","")))&gt;(LEN(SUBSTITUTE(SUBSTITUTE(SUBSTITUTE(J17," ",""),"0",""),"-",""))+LEN(SUBSTITUTE(SUBSTITUTE(SUBSTITUTE(K17," ",""),"0",""),"-",""))),1,0))</f>
      </c>
      <c r="O12" s="14" t="str">
        <f>data!$E$49&amp;" "&amp;data!$B$49</f>
      </c>
    </row>
    <row r="13">
      <c r="A13" s="14">
        <v>1</v>
      </c>
      <c r="B13" s="18"/>
      <c r="C13" s="18"/>
      <c r="D13" s="18"/>
      <c r="E13" s="18"/>
      <c r="F13" s="18"/>
      <c r="G13" s="14">
        <v>1</v>
      </c>
      <c r="I13" s="14">
        <v>1</v>
      </c>
      <c r="J13" s="18"/>
      <c r="K13" s="18"/>
      <c r="L13" s="18"/>
      <c r="M13" s="18"/>
      <c r="N13" s="18"/>
      <c r="O13" s="14">
        <v>1</v>
      </c>
    </row>
    <row r="14">
      <c r="A14" s="14">
        <v>2</v>
      </c>
      <c r="B14" s="18"/>
      <c r="C14" s="18"/>
      <c r="D14" s="18"/>
      <c r="E14" s="18"/>
      <c r="F14" s="18"/>
      <c r="G14" s="14">
        <v>2</v>
      </c>
      <c r="I14" s="14">
        <v>2</v>
      </c>
      <c r="J14" s="18"/>
      <c r="K14" s="18"/>
      <c r="L14" s="18"/>
      <c r="M14" s="18"/>
      <c r="N14" s="18"/>
      <c r="O14" s="14">
        <v>2</v>
      </c>
    </row>
    <row r="15">
      <c r="A15" s="14">
        <v>3</v>
      </c>
      <c r="B15" s="18"/>
      <c r="C15" s="18"/>
      <c r="D15" s="18"/>
      <c r="E15" s="18"/>
      <c r="F15" s="18"/>
      <c r="G15" s="14">
        <v>3</v>
      </c>
      <c r="I15" s="14">
        <v>3</v>
      </c>
      <c r="J15" s="18"/>
      <c r="K15" s="18"/>
      <c r="L15" s="18"/>
      <c r="M15" s="18"/>
      <c r="N15" s="18"/>
      <c r="O15" s="14">
        <v>3</v>
      </c>
    </row>
    <row r="16">
      <c r="A16" s="14">
        <v>4</v>
      </c>
      <c r="B16" s="18"/>
      <c r="C16" s="18"/>
      <c r="D16" s="18"/>
      <c r="E16" s="18"/>
      <c r="F16" s="18"/>
      <c r="G16" s="14">
        <v>4</v>
      </c>
      <c r="I16" s="14">
        <v>4</v>
      </c>
      <c r="J16" s="18"/>
      <c r="K16" s="18"/>
      <c r="L16" s="18"/>
      <c r="M16" s="18"/>
      <c r="N16" s="18"/>
      <c r="O16" s="14">
        <v>4</v>
      </c>
    </row>
    <row r="17">
      <c r="A17" s="14">
        <v>5</v>
      </c>
      <c r="B17" s="18"/>
      <c r="C17" s="18"/>
      <c r="D17" s="18"/>
      <c r="E17" s="18"/>
      <c r="F17" s="18"/>
      <c r="G17" s="14">
        <v>5</v>
      </c>
      <c r="I17" s="14">
        <v>5</v>
      </c>
      <c r="J17" s="18"/>
      <c r="K17" s="18"/>
      <c r="L17" s="18"/>
      <c r="M17" s="18"/>
      <c r="N17" s="18"/>
      <c r="O17" s="14">
        <v>5</v>
      </c>
    </row>
    <row r="19">
      <c r="A19" s="17" t="s">
        <v>330</v>
      </c>
      <c r="B19" s="14"/>
      <c r="C19" s="14"/>
      <c r="D19" s="14" t="s">
        <v>331</v>
      </c>
      <c r="E19" s="14"/>
      <c r="F19" s="14"/>
      <c r="G19" s="16" t="s">
        <v>332</v>
      </c>
      <c r="I19" s="17" t="s">
        <v>330</v>
      </c>
      <c r="J19" s="14"/>
      <c r="K19" s="14"/>
      <c r="L19" s="14" t="s">
        <v>331</v>
      </c>
      <c r="M19" s="14"/>
      <c r="N19" s="14"/>
      <c r="O19" s="16" t="s">
        <v>332</v>
      </c>
    </row>
    <row r="20">
      <c r="A20" s="14" t="str">
        <f>data!$E$6&amp;" "&amp;data!$B$6</f>
      </c>
      <c r="B20" s="14"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0" s="14"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0" s="18"/>
      <c r="E20" s="14"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0" s="14"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0" s="14" t="str">
        <f>data!$E$5&amp;" "&amp;data!$B$5</f>
      </c>
      <c r="I20" s="14" t="str">
        <f>data!$E$51&amp;" "&amp;data!$B$51</f>
      </c>
      <c r="J20" s="14" t="str">
        <f>IF(UPPER(L21)="X",0,IF((LEN(SUBSTITUTE(SUBSTITUTE(SUBSTITUTE(J21," ",""),"0",""),"-",""))+LEN(SUBSTITUTE(SUBSTITUTE(SUBSTITUTE(K21," ",""),"0",""),"-","")))&gt;(LEN(SUBSTITUTE(SUBSTITUTE(SUBSTITUTE(M21," ",""),"0",""),"-",""))+LEN(SUBSTITUTE(SUBSTITUTE(SUBSTITUTE(N21," ",""),"0",""),"-",""))),1,0))+IF(UPPER(L22)="X",0,IF((LEN(SUBSTITUTE(SUBSTITUTE(SUBSTITUTE(J22," ",""),"0",""),"-",""))+LEN(SUBSTITUTE(SUBSTITUTE(SUBSTITUTE(K22," ",""),"0",""),"-","")))&gt;(LEN(SUBSTITUTE(SUBSTITUTE(SUBSTITUTE(M22," ",""),"0",""),"-",""))+LEN(SUBSTITUTE(SUBSTITUTE(SUBSTITUTE(N22," ",""),"0",""),"-",""))),1,0))+IF(UPPER(L23)="X",0,IF((LEN(SUBSTITUTE(SUBSTITUTE(SUBSTITUTE(J23," ",""),"0",""),"-",""))+LEN(SUBSTITUTE(SUBSTITUTE(SUBSTITUTE(K23," ",""),"0",""),"-","")))&gt;(LEN(SUBSTITUTE(SUBSTITUTE(SUBSTITUTE(M23," ",""),"0",""),"-",""))+LEN(SUBSTITUTE(SUBSTITUTE(SUBSTITUTE(N23," ",""),"0",""),"-",""))),1,0))+IF(UPPER(L24)="X",0,IF((LEN(SUBSTITUTE(SUBSTITUTE(SUBSTITUTE(J24," ",""),"0",""),"-",""))+LEN(SUBSTITUTE(SUBSTITUTE(SUBSTITUTE(K24," ",""),"0",""),"-","")))&gt;(LEN(SUBSTITUTE(SUBSTITUTE(SUBSTITUTE(M24," ",""),"0",""),"-",""))+LEN(SUBSTITUTE(SUBSTITUTE(SUBSTITUTE(N24," ",""),"0",""),"-",""))),1,0))+IF(UPPER(L25)="X",0,IF((LEN(SUBSTITUTE(SUBSTITUTE(SUBSTITUTE(J25," ",""),"0",""),"-",""))+LEN(SUBSTITUTE(SUBSTITUTE(SUBSTITUTE(K25," ",""),"0",""),"-","")))&gt;(LEN(SUBSTITUTE(SUBSTITUTE(SUBSTITUTE(M25," ",""),"0",""),"-",""))+LEN(SUBSTITUTE(SUBSTITUTE(SUBSTITUTE(N25," ",""),"0",""),"-",""))),1,0))</f>
      </c>
      <c r="K20" s="14" t="str">
        <f>LEN(SUBSTITUTE(SUBSTITUTE(SUBSTITUTE(J21," ",""),"0",""),"-",""))+LEN(SUBSTITUTE(SUBSTITUTE(SUBSTITUTE(K21," ",""),"0",""),"-",""))+LEN(SUBSTITUTE(SUBSTITUTE(SUBSTITUTE(J22," ",""),"0",""),"-",""))+LEN(SUBSTITUTE(SUBSTITUTE(SUBSTITUTE(K22," ",""),"0",""),"-",""))+LEN(SUBSTITUTE(SUBSTITUTE(SUBSTITUTE(J23," ",""),"0",""),"-",""))+LEN(SUBSTITUTE(SUBSTITUTE(SUBSTITUTE(K23," ",""),"0",""),"-",""))+LEN(SUBSTITUTE(SUBSTITUTE(SUBSTITUTE(J24," ",""),"0",""),"-",""))+LEN(SUBSTITUTE(SUBSTITUTE(SUBSTITUTE(K24," ",""),"0",""),"-",""))+LEN(SUBSTITUTE(SUBSTITUTE(SUBSTITUTE(J25," ",""),"0",""),"-",""))+LEN(SUBSTITUTE(SUBSTITUTE(SUBSTITUTE(K25," ",""),"0",""),"-",""))</f>
      </c>
      <c r="L20" s="18"/>
      <c r="M20" s="14" t="str">
        <f>LEN(SUBSTITUTE(SUBSTITUTE(SUBSTITUTE(M21," ",""),"0",""),"-",""))+LEN(SUBSTITUTE(SUBSTITUTE(SUBSTITUTE(N21," ",""),"0",""),"-",""))+LEN(SUBSTITUTE(SUBSTITUTE(SUBSTITUTE(M22," ",""),"0",""),"-",""))+LEN(SUBSTITUTE(SUBSTITUTE(SUBSTITUTE(N22," ",""),"0",""),"-",""))+LEN(SUBSTITUTE(SUBSTITUTE(SUBSTITUTE(M23," ",""),"0",""),"-",""))+LEN(SUBSTITUTE(SUBSTITUTE(SUBSTITUTE(N23," ",""),"0",""),"-",""))+LEN(SUBSTITUTE(SUBSTITUTE(SUBSTITUTE(M24," ",""),"0",""),"-",""))+LEN(SUBSTITUTE(SUBSTITUTE(SUBSTITUTE(N24," ",""),"0",""),"-",""))+LEN(SUBSTITUTE(SUBSTITUTE(SUBSTITUTE(M25," ",""),"0",""),"-",""))+LEN(SUBSTITUTE(SUBSTITUTE(SUBSTITUTE(N25," ",""),"0",""),"-",""))</f>
      </c>
      <c r="N20" s="14" t="str">
        <f>IF(UPPER(L21)="X",0,IF((LEN(SUBSTITUTE(SUBSTITUTE(SUBSTITUTE(M21," ",""),"0",""),"-",""))+LEN(SUBSTITUTE(SUBSTITUTE(SUBSTITUTE(N21," ",""),"0",""),"-","")))&gt;(LEN(SUBSTITUTE(SUBSTITUTE(SUBSTITUTE(J21," ",""),"0",""),"-",""))+LEN(SUBSTITUTE(SUBSTITUTE(SUBSTITUTE(K21," ",""),"0",""),"-",""))),1,0))+IF(UPPER(L22)="X",0,IF((LEN(SUBSTITUTE(SUBSTITUTE(SUBSTITUTE(M22," ",""),"0",""),"-",""))+LEN(SUBSTITUTE(SUBSTITUTE(SUBSTITUTE(N22," ",""),"0",""),"-","")))&gt;(LEN(SUBSTITUTE(SUBSTITUTE(SUBSTITUTE(J22," ",""),"0",""),"-",""))+LEN(SUBSTITUTE(SUBSTITUTE(SUBSTITUTE(K22," ",""),"0",""),"-",""))),1,0))+IF(UPPER(L23)="X",0,IF((LEN(SUBSTITUTE(SUBSTITUTE(SUBSTITUTE(M23," ",""),"0",""),"-",""))+LEN(SUBSTITUTE(SUBSTITUTE(SUBSTITUTE(N23," ",""),"0",""),"-","")))&gt;(LEN(SUBSTITUTE(SUBSTITUTE(SUBSTITUTE(J23," ",""),"0",""),"-",""))+LEN(SUBSTITUTE(SUBSTITUTE(SUBSTITUTE(K23," ",""),"0",""),"-",""))),1,0))+IF(UPPER(L24)="X",0,IF((LEN(SUBSTITUTE(SUBSTITUTE(SUBSTITUTE(M24," ",""),"0",""),"-",""))+LEN(SUBSTITUTE(SUBSTITUTE(SUBSTITUTE(N24," ",""),"0",""),"-","")))&gt;(LEN(SUBSTITUTE(SUBSTITUTE(SUBSTITUTE(J24," ",""),"0",""),"-",""))+LEN(SUBSTITUTE(SUBSTITUTE(SUBSTITUTE(K24," ",""),"0",""),"-",""))),1,0))+IF(UPPER(L25)="X",0,IF((LEN(SUBSTITUTE(SUBSTITUTE(SUBSTITUTE(M25," ",""),"0",""),"-",""))+LEN(SUBSTITUTE(SUBSTITUTE(SUBSTITUTE(N25," ",""),"0",""),"-","")))&gt;(LEN(SUBSTITUTE(SUBSTITUTE(SUBSTITUTE(J25," ",""),"0",""),"-",""))+LEN(SUBSTITUTE(SUBSTITUTE(SUBSTITUTE(K25," ",""),"0",""),"-",""))),1,0))</f>
      </c>
      <c r="O20" s="14" t="str">
        <f>data!$E$50&amp;" "&amp;data!$B$50</f>
      </c>
    </row>
    <row r="21">
      <c r="A21" s="14">
        <v>1</v>
      </c>
      <c r="B21" s="18"/>
      <c r="C21" s="18"/>
      <c r="D21" s="18"/>
      <c r="E21" s="18"/>
      <c r="F21" s="18"/>
      <c r="G21" s="14">
        <v>1</v>
      </c>
      <c r="I21" s="14">
        <v>1</v>
      </c>
      <c r="J21" s="18"/>
      <c r="K21" s="18"/>
      <c r="L21" s="18"/>
      <c r="M21" s="18"/>
      <c r="N21" s="18"/>
      <c r="O21" s="14">
        <v>1</v>
      </c>
    </row>
    <row r="22">
      <c r="A22" s="14">
        <v>2</v>
      </c>
      <c r="B22" s="18"/>
      <c r="C22" s="18"/>
      <c r="D22" s="18"/>
      <c r="E22" s="18"/>
      <c r="F22" s="18"/>
      <c r="G22" s="14">
        <v>2</v>
      </c>
      <c r="I22" s="14">
        <v>2</v>
      </c>
      <c r="J22" s="18"/>
      <c r="K22" s="18"/>
      <c r="L22" s="18"/>
      <c r="M22" s="18"/>
      <c r="N22" s="18"/>
      <c r="O22" s="14">
        <v>2</v>
      </c>
    </row>
    <row r="23">
      <c r="A23" s="14">
        <v>3</v>
      </c>
      <c r="B23" s="18"/>
      <c r="C23" s="18"/>
      <c r="D23" s="18"/>
      <c r="E23" s="18"/>
      <c r="F23" s="18"/>
      <c r="G23" s="14">
        <v>3</v>
      </c>
      <c r="I23" s="14">
        <v>3</v>
      </c>
      <c r="J23" s="18"/>
      <c r="K23" s="18"/>
      <c r="L23" s="18"/>
      <c r="M23" s="18"/>
      <c r="N23" s="18"/>
      <c r="O23" s="14">
        <v>3</v>
      </c>
    </row>
    <row r="24">
      <c r="A24" s="14">
        <v>4</v>
      </c>
      <c r="B24" s="18"/>
      <c r="C24" s="18"/>
      <c r="D24" s="18"/>
      <c r="E24" s="18"/>
      <c r="F24" s="18"/>
      <c r="G24" s="14">
        <v>4</v>
      </c>
      <c r="I24" s="14">
        <v>4</v>
      </c>
      <c r="J24" s="18"/>
      <c r="K24" s="18"/>
      <c r="L24" s="18"/>
      <c r="M24" s="18"/>
      <c r="N24" s="18"/>
      <c r="O24" s="14">
        <v>4</v>
      </c>
    </row>
    <row r="25">
      <c r="A25" s="14">
        <v>5</v>
      </c>
      <c r="B25" s="18"/>
      <c r="C25" s="18"/>
      <c r="D25" s="18"/>
      <c r="E25" s="18"/>
      <c r="F25" s="18"/>
      <c r="G25" s="14">
        <v>5</v>
      </c>
      <c r="I25" s="14">
        <v>5</v>
      </c>
      <c r="J25" s="18"/>
      <c r="K25" s="18"/>
      <c r="L25" s="18"/>
      <c r="M25" s="18"/>
      <c r="N25" s="18"/>
      <c r="O25" s="14">
        <v>5</v>
      </c>
    </row>
    <row r="27">
      <c r="A27" s="17" t="s">
        <v>330</v>
      </c>
      <c r="B27" s="14"/>
      <c r="C27" s="14"/>
      <c r="D27" s="14" t="s">
        <v>331</v>
      </c>
      <c r="E27" s="14"/>
      <c r="F27" s="14"/>
      <c r="G27" s="16" t="s">
        <v>332</v>
      </c>
    </row>
    <row r="28">
      <c r="A28" s="14" t="str">
        <f>data!$E$6&amp;" "&amp;data!$B$6</f>
      </c>
      <c r="B28" s="14" t="str">
        <f>IF(UPPER(D29)="X",0,IF((LEN(SUBSTITUTE(SUBSTITUTE(SUBSTITUTE(B29," ",""),"0",""),"-",""))+LEN(SUBSTITUTE(SUBSTITUTE(SUBSTITUTE(C29," ",""),"0",""),"-","")))&gt;(LEN(SUBSTITUTE(SUBSTITUTE(SUBSTITUTE(E29," ",""),"0",""),"-",""))+LEN(SUBSTITUTE(SUBSTITUTE(SUBSTITUTE(F29," ",""),"0",""),"-",""))),1,0))+IF(UPPER(D30)="X",0,IF((LEN(SUBSTITUTE(SUBSTITUTE(SUBSTITUTE(B30," ",""),"0",""),"-",""))+LEN(SUBSTITUTE(SUBSTITUTE(SUBSTITUTE(C30," ",""),"0",""),"-","")))&gt;(LEN(SUBSTITUTE(SUBSTITUTE(SUBSTITUTE(E30," ",""),"0",""),"-",""))+LEN(SUBSTITUTE(SUBSTITUTE(SUBSTITUTE(F30," ",""),"0",""),"-",""))),1,0))+IF(UPPER(D31)="X",0,IF((LEN(SUBSTITUTE(SUBSTITUTE(SUBSTITUTE(B31," ",""),"0",""),"-",""))+LEN(SUBSTITUTE(SUBSTITUTE(SUBSTITUTE(C31," ",""),"0",""),"-","")))&gt;(LEN(SUBSTITUTE(SUBSTITUTE(SUBSTITUTE(E31," ",""),"0",""),"-",""))+LEN(SUBSTITUTE(SUBSTITUTE(SUBSTITUTE(F31," ",""),"0",""),"-",""))),1,0))+IF(UPPER(D32)="X",0,IF((LEN(SUBSTITUTE(SUBSTITUTE(SUBSTITUTE(B32," ",""),"0",""),"-",""))+LEN(SUBSTITUTE(SUBSTITUTE(SUBSTITUTE(C32," ",""),"0",""),"-","")))&gt;(LEN(SUBSTITUTE(SUBSTITUTE(SUBSTITUTE(E32," ",""),"0",""),"-",""))+LEN(SUBSTITUTE(SUBSTITUTE(SUBSTITUTE(F32," ",""),"0",""),"-",""))),1,0))+IF(UPPER(D33)="X",0,IF((LEN(SUBSTITUTE(SUBSTITUTE(SUBSTITUTE(B33," ",""),"0",""),"-",""))+LEN(SUBSTITUTE(SUBSTITUTE(SUBSTITUTE(C33," ",""),"0",""),"-","")))&gt;(LEN(SUBSTITUTE(SUBSTITUTE(SUBSTITUTE(E33," ",""),"0",""),"-",""))+LEN(SUBSTITUTE(SUBSTITUTE(SUBSTITUTE(F33," ",""),"0",""),"-",""))),1,0))</f>
      </c>
      <c r="C28" s="14" t="str">
        <f>LEN(SUBSTITUTE(SUBSTITUTE(SUBSTITUTE(B29," ",""),"0",""),"-",""))+LEN(SUBSTITUTE(SUBSTITUTE(SUBSTITUTE(C29," ",""),"0",""),"-",""))+LEN(SUBSTITUTE(SUBSTITUTE(SUBSTITUTE(B30," ",""),"0",""),"-",""))+LEN(SUBSTITUTE(SUBSTITUTE(SUBSTITUTE(C30," ",""),"0",""),"-",""))+LEN(SUBSTITUTE(SUBSTITUTE(SUBSTITUTE(B31," ",""),"0",""),"-",""))+LEN(SUBSTITUTE(SUBSTITUTE(SUBSTITUTE(C31," ",""),"0",""),"-",""))+LEN(SUBSTITUTE(SUBSTITUTE(SUBSTITUTE(B32," ",""),"0",""),"-",""))+LEN(SUBSTITUTE(SUBSTITUTE(SUBSTITUTE(C32," ",""),"0",""),"-",""))+LEN(SUBSTITUTE(SUBSTITUTE(SUBSTITUTE(B33," ",""),"0",""),"-",""))+LEN(SUBSTITUTE(SUBSTITUTE(SUBSTITUTE(C33," ",""),"0",""),"-",""))</f>
      </c>
      <c r="D28" s="18"/>
      <c r="E28" s="14" t="str">
        <f>LEN(SUBSTITUTE(SUBSTITUTE(SUBSTITUTE(E29," ",""),"0",""),"-",""))+LEN(SUBSTITUTE(SUBSTITUTE(SUBSTITUTE(F29," ",""),"0",""),"-",""))+LEN(SUBSTITUTE(SUBSTITUTE(SUBSTITUTE(E30," ",""),"0",""),"-",""))+LEN(SUBSTITUTE(SUBSTITUTE(SUBSTITUTE(F30," ",""),"0",""),"-",""))+LEN(SUBSTITUTE(SUBSTITUTE(SUBSTITUTE(E31," ",""),"0",""),"-",""))+LEN(SUBSTITUTE(SUBSTITUTE(SUBSTITUTE(F31," ",""),"0",""),"-",""))+LEN(SUBSTITUTE(SUBSTITUTE(SUBSTITUTE(E32," ",""),"0",""),"-",""))+LEN(SUBSTITUTE(SUBSTITUTE(SUBSTITUTE(F32," ",""),"0",""),"-",""))+LEN(SUBSTITUTE(SUBSTITUTE(SUBSTITUTE(E33," ",""),"0",""),"-",""))+LEN(SUBSTITUTE(SUBSTITUTE(SUBSTITUTE(F33," ",""),"0",""),"-",""))</f>
      </c>
      <c r="F28" s="14" t="str">
        <f>IF(UPPER(D29)="X",0,IF((LEN(SUBSTITUTE(SUBSTITUTE(SUBSTITUTE(E29," ",""),"0",""),"-",""))+LEN(SUBSTITUTE(SUBSTITUTE(SUBSTITUTE(F29," ",""),"0",""),"-","")))&gt;(LEN(SUBSTITUTE(SUBSTITUTE(SUBSTITUTE(B29," ",""),"0",""),"-",""))+LEN(SUBSTITUTE(SUBSTITUTE(SUBSTITUTE(C29," ",""),"0",""),"-",""))),1,0))+IF(UPPER(D30)="X",0,IF((LEN(SUBSTITUTE(SUBSTITUTE(SUBSTITUTE(E30," ",""),"0",""),"-",""))+LEN(SUBSTITUTE(SUBSTITUTE(SUBSTITUTE(F30," ",""),"0",""),"-","")))&gt;(LEN(SUBSTITUTE(SUBSTITUTE(SUBSTITUTE(B30," ",""),"0",""),"-",""))+LEN(SUBSTITUTE(SUBSTITUTE(SUBSTITUTE(C30," ",""),"0",""),"-",""))),1,0))+IF(UPPER(D31)="X",0,IF((LEN(SUBSTITUTE(SUBSTITUTE(SUBSTITUTE(E31," ",""),"0",""),"-",""))+LEN(SUBSTITUTE(SUBSTITUTE(SUBSTITUTE(F31," ",""),"0",""),"-","")))&gt;(LEN(SUBSTITUTE(SUBSTITUTE(SUBSTITUTE(B31," ",""),"0",""),"-",""))+LEN(SUBSTITUTE(SUBSTITUTE(SUBSTITUTE(C31," ",""),"0",""),"-",""))),1,0))+IF(UPPER(D32)="X",0,IF((LEN(SUBSTITUTE(SUBSTITUTE(SUBSTITUTE(E32," ",""),"0",""),"-",""))+LEN(SUBSTITUTE(SUBSTITUTE(SUBSTITUTE(F32," ",""),"0",""),"-","")))&gt;(LEN(SUBSTITUTE(SUBSTITUTE(SUBSTITUTE(B32," ",""),"0",""),"-",""))+LEN(SUBSTITUTE(SUBSTITUTE(SUBSTITUTE(C32," ",""),"0",""),"-",""))),1,0))+IF(UPPER(D33)="X",0,IF((LEN(SUBSTITUTE(SUBSTITUTE(SUBSTITUTE(E33," ",""),"0",""),"-",""))+LEN(SUBSTITUTE(SUBSTITUTE(SUBSTITUTE(F33," ",""),"0",""),"-","")))&gt;(LEN(SUBSTITUTE(SUBSTITUTE(SUBSTITUTE(B33," ",""),"0",""),"-",""))+LEN(SUBSTITUTE(SUBSTITUTE(SUBSTITUTE(C33," ",""),"0",""),"-",""))),1,0))</f>
      </c>
      <c r="G28" s="14" t="str">
        <f>data!$E$3&amp;" "&amp;data!$B$3</f>
      </c>
    </row>
    <row r="29">
      <c r="A29" s="14">
        <v>1</v>
      </c>
      <c r="B29" s="18"/>
      <c r="C29" s="18"/>
      <c r="D29" s="18"/>
      <c r="E29" s="18"/>
      <c r="F29" s="18"/>
      <c r="G29" s="14">
        <v>1</v>
      </c>
    </row>
    <row r="30">
      <c r="A30" s="14">
        <v>2</v>
      </c>
      <c r="B30" s="18"/>
      <c r="C30" s="18"/>
      <c r="D30" s="18"/>
      <c r="E30" s="18"/>
      <c r="F30" s="18"/>
      <c r="G30" s="14">
        <v>2</v>
      </c>
    </row>
    <row r="31">
      <c r="A31" s="14">
        <v>3</v>
      </c>
      <c r="B31" s="18"/>
      <c r="C31" s="18"/>
      <c r="D31" s="18"/>
      <c r="E31" s="18"/>
      <c r="F31" s="18"/>
      <c r="G31" s="14">
        <v>3</v>
      </c>
    </row>
    <row r="32">
      <c r="A32" s="14">
        <v>4</v>
      </c>
      <c r="B32" s="18"/>
      <c r="C32" s="18"/>
      <c r="D32" s="18"/>
      <c r="E32" s="18"/>
      <c r="F32" s="18"/>
      <c r="G32" s="14">
        <v>4</v>
      </c>
    </row>
    <row r="33">
      <c r="A33" s="14">
        <v>5</v>
      </c>
      <c r="B33" s="18"/>
      <c r="C33" s="18"/>
      <c r="D33" s="18"/>
      <c r="E33" s="18"/>
      <c r="F33" s="18"/>
      <c r="G33" s="14">
        <v>5</v>
      </c>
    </row>
    <row r="36">
      <c r="A36" s="13" t="s">
        <v>333</v>
      </c>
      <c r="B36" s="13" t="s">
        <v>334</v>
      </c>
      <c r="C36" s="13" t="s">
        <v>335</v>
      </c>
      <c r="D36" s="13" t="s">
        <v>336</v>
      </c>
      <c r="E36" s="13"/>
      <c r="F36" s="13"/>
      <c r="G36" s="13" t="s">
        <v>337</v>
      </c>
      <c r="I36" s="13" t="s">
        <v>333</v>
      </c>
      <c r="J36" s="13" t="s">
        <v>334</v>
      </c>
      <c r="K36" s="13" t="s">
        <v>335</v>
      </c>
      <c r="L36" s="13" t="s">
        <v>336</v>
      </c>
      <c r="M36" s="13"/>
      <c r="N36" s="13"/>
      <c r="O36" s="13" t="s">
        <v>337</v>
      </c>
    </row>
    <row r="37">
      <c r="A37" s="14" t="str">
        <f>data!$E$3&amp;" "&amp;data!$B$3</f>
      </c>
      <c r="B37" s="14" t="str">
        <f>IF(OR(COUNTA(B5:C9,E5:F9)&gt;0,D5="X",D5="x",D6="X",D6="x",D7="X",D7="x",D8="X",D8="x",D9="X",D9="x",OR(D4="X",D4="x")),IF(OR(OR(D4="X",D4="x"),AND(B4=F4,C4=E4)),0,IF(OR(F4&gt;B4,AND(F4=B4,E4&gt;C4)),1,0)),0)+IF(OR(COUNTA(B29:C33,E29:F33)&gt;0,D29="X",D29="x",D30="X",D30="x",D31="X",D31="x",D32="X",D32="x",D33="X",D33="x",OR(D28="X",D28="x")),IF(OR(OR(D28="X",D28="x"),AND(B28=F28,C28=E28)),0,IF(OR(F28&gt;B28,AND(F28=B28,E28&gt;C28)),1,0)),0)</f>
      </c>
      <c r="C37" s="14" t="str">
        <f>IF(OR(COUNTA(B5:C9,E5:F9)&gt;0,D5="X",D5="x",D6="X",D6="x",D7="X",D7="x",D8="X",D8="x",D9="X",D9="x",OR(D4="X",D4="x")),IF(OR(OR(D4="X",D4="x"),AND(B4=F4,C4=E4)),0,IF(OR(F4&lt;B4,AND(F4=B4,E4&lt;C4)),1,0)),0)+IF(OR(COUNTA(B29:C33,E29:F33)&gt;0,D29="X",D29="x",D30="X",D30="x",D31="X",D31="x",D32="X",D32="x",D33="X",D33="x",OR(D28="X",D28="x")),IF(OR(OR(D28="X",D28="x"),AND(B28=F28,C28=E28)),0,IF(OR(F28&lt;B28,AND(F28=B28,E28&lt;C28)),1,0)),0)</f>
      </c>
      <c r="D37" s="14" t="str">
        <f>IF(OR(COUNTA(B5:C9,E5:F9)&gt;0,D5="X",D5="x",D6="X",D6="x",D7="X",D7="x",D8="X",D8="x",D9="X",D9="x",OR(D4="X",D4="x")),IF(OR(OR(D4="X",D4="x"),AND(B4=F4,C4=E4)),1,0),0)+IF(OR(COUNTA(B29:C33,E29:F33)&gt;0,D29="X",D29="x",D30="X",D30="x",D31="X",D31="x",D32="X",D32="x",D33="X",D33="x",OR(D28="X",D28="x")),IF(OR(OR(D28="X",D28="x"),AND(B28=F28,C28=E28)),1,0),0)</f>
      </c>
      <c r="G37" s="18" t="str">
        <f>RANK(U37,$U$37:$U$40)+COUNTIF($U$36:U36,U37)</f>
      </c>
      <c r="I37" s="14" t="str">
        <f>data!$E$49&amp;" "&amp;data!$B$49</f>
      </c>
      <c r="J37" s="14" t="str">
        <f>IF(OR(COUNTA(J5:K9,M5:N9)&gt;0,L5="X",L5="x",L6="X",L6="x",L7="X",L7="x",L8="X",L8="x",L9="X",L9="x",OR(L4="X",L4="x")),IF(OR(OR(L4="X",L4="x"),AND(J4=N4,K4=M4)),0,IF(OR(N4&gt;J4,AND(N4=J4,M4&gt;K4)),1,0)),0)+IF(OR(COUNTA(J13:K17,M13:N17)&gt;0,L13="X",L13="x",L14="X",L14="x",L15="X",L15="x",L16="X",L16="x",L17="X",L17="x",OR(L12="X",L12="x")),IF(OR(OR(L12="X",L12="x"),AND(J12=N12,K12=M12)),0,IF(OR(N12&gt;J12,AND(N12=J12,M12&gt;K12)),1,0)),0)</f>
      </c>
      <c r="K37" s="14" t="str">
        <f>IF(OR(COUNTA(J5:K9,M5:N9)&gt;0,L5="X",L5="x",L6="X",L6="x",L7="X",L7="x",L8="X",L8="x",L9="X",L9="x",OR(L4="X",L4="x")),IF(OR(OR(L4="X",L4="x"),AND(J4=N4,K4=M4)),0,IF(OR(N4&lt;J4,AND(N4=J4,M4&lt;K4)),1,0)),0)+IF(OR(COUNTA(J13:K17,M13:N17)&gt;0,L13="X",L13="x",L14="X",L14="x",L15="X",L15="x",L16="X",L16="x",L17="X",L17="x",OR(L12="X",L12="x")),IF(OR(OR(L12="X",L12="x"),AND(J12=N12,K12=M12)),0,IF(OR(N12&lt;J12,AND(N12=J12,M12&lt;K12)),1,0)),0)</f>
      </c>
      <c r="L37" s="14" t="str">
        <f>IF(OR(COUNTA(J5:K9,M5:N9)&gt;0,L5="X",L5="x",L6="X",L6="x",L7="X",L7="x",L8="X",L8="x",L9="X",L9="x",OR(L4="X",L4="x")),IF(OR(OR(L4="X",L4="x"),AND(J4=N4,K4=M4)),1,0),0)+IF(OR(COUNTA(J13:K17,M13:N17)&gt;0,L13="X",L13="x",L14="X",L14="x",L15="X",L15="x",L16="X",L16="x",L17="X",L17="x",OR(L12="X",L12="x")),IF(OR(OR(L12="X",L12="x"),AND(J12=N12,K12=M12)),1,0),0)</f>
      </c>
      <c r="O37" s="18" t="str">
        <f>RANK(AC37,$AC$37:$AC$39)+COUNTIF($AC$36:AC36,AC37)</f>
      </c>
      <c r="U37" t="str">
        <f>(B37*1000000000)-(C37*10000000)+(D37*100000)+(B43*1000)-(C43*100)+(D43*10)+(E43*1)-(F43*0.01)</f>
      </c>
      <c r="AC37" t="str">
        <f>(J37*1000000000)-(K37*10000000)+(L37*100000)+(J42*1000)-(K42*100)+(L42*10)+(M42*1)-(N42*0.01)</f>
      </c>
    </row>
    <row r="38">
      <c r="A38" s="14" t="str">
        <f>data!$E$4&amp;" "&amp;data!$B$4</f>
      </c>
      <c r="B38" s="14" t="str">
        <f>IF(OR(COUNTA(B5:C9,E5:F9)&gt;0,D5="X",D5="x",D6="X",D6="x",D7="X",D7="x",D8="X",D8="x",D9="X",D9="x",OR(D4="X",D4="x")),IF(OR(OR(D4="X",D4="x"),AND(B4=F4,C4=E4)),0,IF(OR(B4&gt;F4,AND(B4=F4,C4&gt;E4)),1,0)),0)+IF(OR(COUNTA(B13:C17,E13:F17)&gt;0,D13="X",D13="x",D14="X",D14="x",D15="X",D15="x",D16="X",D16="x",D17="X",D17="x",OR(D12="X",D12="x")),IF(OR(OR(D12="X",D12="x"),AND(B12=F12,C12=E12)),0,IF(OR(B12&gt;F12,AND(B12=F12,C12&gt;E12)),1,0)),0)</f>
      </c>
      <c r="C38" s="14" t="str">
        <f>IF(OR(COUNTA(B5:C9,E5:F9)&gt;0,D5="X",D5="x",D6="X",D6="x",D7="X",D7="x",D8="X",D8="x",D9="X",D9="x",OR(D4="X",D4="x")),IF(OR(OR(D4="X",D4="x"),AND(B4=F4,C4=E4)),0,IF(OR(B4&lt;F4,AND(B4=F4,C4&lt;E4)),1,0)),0)+IF(OR(COUNTA(B13:C17,E13:F17)&gt;0,D13="X",D13="x",D14="X",D14="x",D15="X",D15="x",D16="X",D16="x",D17="X",D17="x",OR(D12="X",D12="x")),IF(OR(OR(D12="X",D12="x"),AND(B12=F12,C12=E12)),0,IF(OR(B12&lt;F12,AND(B12=F12,C12&lt;E12)),1,0)),0)</f>
      </c>
      <c r="D38" s="14" t="str">
        <f>IF(OR(COUNTA(B5:C9,E5:F9)&gt;0,D5="X",D5="x",D6="X",D6="x",D7="X",D7="x",D8="X",D8="x",D9="X",D9="x",OR(D4="X",D4="x")),IF(OR(OR(D4="X",D4="x"),AND(B4=F4,C4=E4)),1,0),0)+IF(OR(COUNTA(B13:C17,E13:F17)&gt;0,D13="X",D13="x",D14="X",D14="x",D15="X",D15="x",D16="X",D16="x",D17="X",D17="x",OR(D12="X",D12="x")),IF(OR(OR(D12="X",D12="x"),AND(B12=F12,C12=E12)),1,0),0)</f>
      </c>
      <c r="G38" s="18" t="str">
        <f>RANK(U38,$U$37:$U$40)+COUNTIF($U$36:U37,U38)</f>
      </c>
      <c r="I38" s="14" t="str">
        <f>data!$E$50&amp;" "&amp;data!$B$50</f>
      </c>
      <c r="J38" s="14" t="str">
        <f>IF(OR(COUNTA(J5:K9,M5:N9)&gt;0,L5="X",L5="x",L6="X",L6="x",L7="X",L7="x",L8="X",L8="x",L9="X",L9="x",OR(L4="X",L4="x")),IF(OR(OR(L4="X",L4="x"),AND(J4=N4,K4=M4)),0,IF(OR(J4&gt;N4,AND(J4=N4,K4&gt;M4)),1,0)),0)+IF(OR(COUNTA(J21:K25,M21:N25)&gt;0,L21="X",L21="x",L22="X",L22="x",L23="X",L23="x",L24="X",L24="x",L25="X",L25="x",OR(L20="X",L20="x")),IF(OR(OR(L20="X",L20="x"),AND(J20=N20,K20=M20)),0,IF(OR(N20&gt;J20,AND(N20=J20,M20&gt;K20)),1,0)),0)</f>
      </c>
      <c r="K38" s="14" t="str">
        <f>IF(OR(COUNTA(J5:K9,M5:N9)&gt;0,L5="X",L5="x",L6="X",L6="x",L7="X",L7="x",L8="X",L8="x",L9="X",L9="x",OR(L4="X",L4="x")),IF(OR(OR(L4="X",L4="x"),AND(J4=N4,K4=M4)),0,IF(OR(J4&lt;N4,AND(J4=N4,K4&lt;M4)),1,0)),0)+IF(OR(COUNTA(J21:K25,M21:N25)&gt;0,L21="X",L21="x",L22="X",L22="x",L23="X",L23="x",L24="X",L24="x",L25="X",L25="x",OR(L20="X",L20="x")),IF(OR(OR(L20="X",L20="x"),AND(J20=N20,K20=M20)),0,IF(OR(N20&lt;J20,AND(N20=J20,M20&lt;K20)),1,0)),0)</f>
      </c>
      <c r="L38" s="14" t="str">
        <f>IF(OR(COUNTA(J5:K9,M5:N9)&gt;0,L5="X",L5="x",L6="X",L6="x",L7="X",L7="x",L8="X",L8="x",L9="X",L9="x",OR(L4="X",L4="x")),IF(OR(OR(L4="X",L4="x"),AND(J4=N4,K4=M4)),1,0),0)+IF(OR(COUNTA(J21:K25,M21:N25)&gt;0,L21="X",L21="x",L22="X",L22="x",L23="X",L23="x",L24="X",L24="x",L25="X",L25="x",OR(L20="X",L20="x")),IF(OR(OR(L20="X",L20="x"),AND(J20=N20,K20=M20)),1,0),0)</f>
      </c>
      <c r="O38" s="18" t="str">
        <f>RANK(AC38,$AC$37:$AC$39)+COUNTIF($AC$36:AC37,AC38)</f>
      </c>
      <c r="U38" t="str">
        <f>(B38*1000000000)-(C38*10000000)+(D38*100000)+(B44*1000)-(C44*100)+(D44*10)+(E44*1)-(F44*0.01)</f>
      </c>
      <c r="AC38" t="str">
        <f>(J38*1000000000)-(K38*10000000)+(L38*100000)+(J43*1000)-(K43*100)+(L43*10)+(M43*1)-(N43*0.01)</f>
      </c>
    </row>
    <row r="39">
      <c r="A39" s="14" t="str">
        <f>data!$E$5&amp;" "&amp;data!$B$5</f>
      </c>
      <c r="B39" s="14" t="str">
        <f>IF(OR(COUNTA(B13:C17,E13:F17)&gt;0,D13="X",D13="x",D14="X",D14="x",D15="X",D15="x",D16="X",D16="x",D17="X",D17="x",OR(D12="X",D12="x")),IF(OR(OR(D12="X",D12="x"),AND(B12=F12,C12=E12)),0,IF(OR(F12&gt;B12,AND(F12=B12,E12&gt;C12)),1,0)),0)+IF(OR(COUNTA(B21:C25,E21:F25)&gt;0,D21="X",D21="x",D22="X",D22="x",D23="X",D23="x",D24="X",D24="x",D25="X",D25="x",OR(D20="X",D20="x")),IF(OR(OR(D20="X",D20="x"),AND(B20=F20,C20=E20)),0,IF(OR(F20&gt;B20,AND(F20=B20,E20&gt;C20)),1,0)),0)</f>
      </c>
      <c r="C39" s="14" t="str">
        <f>IF(OR(COUNTA(B13:C17,E13:F17)&gt;0,D13="X",D13="x",D14="X",D14="x",D15="X",D15="x",D16="X",D16="x",D17="X",D17="x",OR(D12="X",D12="x")),IF(OR(OR(D12="X",D12="x"),AND(B12=F12,C12=E12)),0,IF(OR(F12&lt;B12,AND(F12=B12,E12&lt;C12)),1,0)),0)+IF(OR(COUNTA(B21:C25,E21:F25)&gt;0,D21="X",D21="x",D22="X",D22="x",D23="X",D23="x",D24="X",D24="x",D25="X",D25="x",OR(D20="X",D20="x")),IF(OR(OR(D20="X",D20="x"),AND(B20=F20,C20=E20)),0,IF(OR(F20&lt;B20,AND(F20=B20,E20&lt;C20)),1,0)),0)</f>
      </c>
      <c r="D39" s="14" t="str">
        <f>IF(OR(COUNTA(B13:C17,E13:F17)&gt;0,D13="X",D13="x",D14="X",D14="x",D15="X",D15="x",D16="X",D16="x",D17="X",D17="x",OR(D12="X",D12="x")),IF(OR(OR(D12="X",D12="x"),AND(B12=F12,C12=E12)),1,0),0)+IF(OR(COUNTA(B21:C25,E21:F25)&gt;0,D21="X",D21="x",D22="X",D22="x",D23="X",D23="x",D24="X",D24="x",D25="X",D25="x",OR(D20="X",D20="x")),IF(OR(OR(D20="X",D20="x"),AND(B20=F20,C20=E20)),1,0),0)</f>
      </c>
      <c r="G39" s="18" t="str">
        <f>RANK(U39,$U$37:$U$40)+COUNTIF($U$36:U38,U39)</f>
      </c>
      <c r="I39" s="14" t="str">
        <f>data!$E$51&amp;" "&amp;data!$B$51</f>
      </c>
      <c r="J39" s="14" t="str">
        <f>IF(OR(COUNTA(J13:K17,M13:N17)&gt;0,L13="X",L13="x",L14="X",L14="x",L15="X",L15="x",L16="X",L16="x",L17="X",L17="x",OR(L12="X",L12="x")),IF(OR(OR(L12="X",L12="x"),AND(J12=N12,K12=M12)),0,IF(OR(J12&gt;N12,AND(J12=N12,K12&gt;M12)),1,0)),0)+IF(OR(COUNTA(J21:K25,M21:N25)&gt;0,L21="X",L21="x",L22="X",L22="x",L23="X",L23="x",L24="X",L24="x",L25="X",L25="x",OR(L20="X",L20="x")),IF(OR(OR(L20="X",L20="x"),AND(J20=N20,K20=M20)),0,IF(OR(J20&gt;N20,AND(J20=N20,K20&gt;M20)),1,0)),0)</f>
      </c>
      <c r="K39" s="14" t="str">
        <f>IF(OR(COUNTA(J13:K17,M13:N17)&gt;0,L13="X",L13="x",L14="X",L14="x",L15="X",L15="x",L16="X",L16="x",L17="X",L17="x",OR(L12="X",L12="x")),IF(OR(OR(L12="X",L12="x"),AND(J12=N12,K12=M12)),0,IF(OR(J12&lt;N12,AND(J12=N12,K12&lt;M12)),1,0)),0)+IF(OR(COUNTA(J21:K25,M21:N25)&gt;0,L21="X",L21="x",L22="X",L22="x",L23="X",L23="x",L24="X",L24="x",L25="X",L25="x",OR(L20="X",L20="x")),IF(OR(OR(L20="X",L20="x"),AND(J20=N20,K20=M20)),0,IF(OR(J20&lt;N20,AND(J20=N20,K20&lt;M20)),1,0)),0)</f>
      </c>
      <c r="L39" s="14" t="str">
        <f>IF(OR(COUNTA(J13:K17,M13:N17)&gt;0,L13="X",L13="x",L14="X",L14="x",L15="X",L15="x",L16="X",L16="x",L17="X",L17="x",OR(L12="X",L12="x")),IF(OR(OR(L12="X",L12="x"),AND(J12=N12,K12=M12)),1,0),0)+IF(OR(COUNTA(J21:K25,M21:N25)&gt;0,L21="X",L21="x",L22="X",L22="x",L23="X",L23="x",L24="X",L24="x",L25="X",L25="x",OR(L20="X",L20="x")),IF(OR(OR(L20="X",L20="x"),AND(J20=N20,K20=M20)),1,0),0)</f>
      </c>
      <c r="O39" s="18" t="str">
        <f>RANK(AC39,$AC$37:$AC$39)+COUNTIF($AC$36:AC38,AC39)</f>
      </c>
      <c r="U39" t="str">
        <f>(B39*1000000000)-(C39*10000000)+(D39*100000)+(B45*1000)-(C45*100)+(D45*10)+(E45*1)-(F45*0.01)</f>
      </c>
      <c r="AC39" t="str">
        <f>(J39*1000000000)-(K39*10000000)+(L39*100000)+(J44*1000)-(K44*100)+(L44*10)+(M44*1)-(N44*0.01)</f>
      </c>
    </row>
    <row r="40">
      <c r="A40" s="14" t="str">
        <f>data!$E$6&amp;" "&amp;data!$B$6</f>
      </c>
      <c r="B40" s="14" t="str">
        <f>IF(OR(COUNTA(B21:C25,E21:F25)&gt;0,D21="X",D21="x",D22="X",D22="x",D23="X",D23="x",D24="X",D24="x",D25="X",D25="x",OR(D20="X",D20="x")),IF(OR(OR(D20="X",D20="x"),AND(B20=F20,C20=E20)),0,IF(OR(B20&gt;F20,AND(B20=F20,C20&gt;E20)),1,0)),0)+IF(OR(COUNTA(B29:C33,E29:F33)&gt;0,D29="X",D29="x",D30="X",D30="x",D31="X",D31="x",D32="X",D32="x",D33="X",D33="x",OR(D28="X",D28="x")),IF(OR(OR(D28="X",D28="x"),AND(B28=F28,C28=E28)),0,IF(OR(B28&gt;F28,AND(B28=F28,C28&gt;E28)),1,0)),0)</f>
      </c>
      <c r="C40" s="14" t="str">
        <f>IF(OR(COUNTA(B21:C25,E21:F25)&gt;0,D21="X",D21="x",D22="X",D22="x",D23="X",D23="x",D24="X",D24="x",D25="X",D25="x",OR(D20="X",D20="x")),IF(OR(OR(D20="X",D20="x"),AND(B20=F20,C20=E20)),0,IF(OR(B20&lt;F20,AND(B20=F20,C20&lt;E20)),1,0)),0)+IF(OR(COUNTA(B29:C33,E29:F33)&gt;0,D29="X",D29="x",D30="X",D30="x",D31="X",D31="x",D32="X",D32="x",D33="X",D33="x",OR(D28="X",D28="x")),IF(OR(OR(D28="X",D28="x"),AND(B28=F28,C28=E28)),0,IF(OR(B28&lt;F28,AND(B28=F28,C28&lt;E28)),1,0)),0)</f>
      </c>
      <c r="D40" s="14" t="str">
        <f>IF(OR(COUNTA(B21:C25,E21:F25)&gt;0,D21="X",D21="x",D22="X",D22="x",D23="X",D23="x",D24="X",D24="x",D25="X",D25="x",OR(D20="X",D20="x")),IF(OR(OR(D20="X",D20="x"),AND(B20=F20,C20=E20)),1,0),0)+IF(OR(COUNTA(B29:C33,E29:F33)&gt;0,D29="X",D29="x",D30="X",D30="x",D31="X",D31="x",D32="X",D32="x",D33="X",D33="x",OR(D28="X",D28="x")),IF(OR(OR(D28="X",D28="x"),AND(B28=F28,C28=E28)),1,0),0)</f>
      </c>
      <c r="G40" s="18" t="str">
        <f>RANK(U40,$U$37:$U$40)+COUNTIF($U$36:U39,U40)</f>
      </c>
      <c r="U40" t="str">
        <f>(B40*1000000000)-(C40*10000000)+(D40*100000)+(B46*1000)-(C46*100)+(D46*10)+(E46*1)-(F46*0.01)</f>
      </c>
    </row>
    <row r="41">
      <c r="I41" s="13"/>
      <c r="J41" s="13" t="s">
        <v>338</v>
      </c>
      <c r="K41" s="13" t="s">
        <v>339</v>
      </c>
      <c r="L41" s="13" t="s">
        <v>340</v>
      </c>
      <c r="M41" s="13" t="s">
        <v>341</v>
      </c>
      <c r="N41" s="13" t="s">
        <v>342</v>
      </c>
    </row>
    <row r="42">
      <c r="A42" s="13"/>
      <c r="B42" s="13" t="s">
        <v>338</v>
      </c>
      <c r="C42" s="13" t="s">
        <v>339</v>
      </c>
      <c r="D42" s="13" t="s">
        <v>340</v>
      </c>
      <c r="E42" s="13" t="s">
        <v>341</v>
      </c>
      <c r="F42" s="13" t="s">
        <v>342</v>
      </c>
      <c r="I42" s="14" t="str">
        <f>data!$E$49&amp;" "&amp;data!$B$49</f>
      </c>
      <c r="J42" s="14" t="str">
        <f>IF(OR(COUNTA(J5:K9,M5:N9)&gt;0,OR(L4="X",L4="x"),UPPER(L5)="X",UPPER(L6)="X",UPPER(L7)="X",UPPER(L8)="X",UPPER(L9)="X"),N4,0)+IF(OR(COUNTA(J13:K17,M13:N17)&gt;0,OR(L12="X",L12="x"),UPPER(L13)="X",UPPER(L14)="X",UPPER(L15)="X",UPPER(L16)="X",UPPER(L17)="X"),N12,0)</f>
      </c>
      <c r="K42" s="14" t="str">
        <f>IF(OR(COUNTA(J5:K9,M5:N9)&gt;0,OR(L4="X",L4="x"),UPPER(L5)="X",UPPER(L6)="X",UPPER(L7)="X",UPPER(L8)="X",UPPER(L9)="X"),J4,0)+IF(OR(COUNTA(J13:K17,M13:N17)&gt;0,OR(L12="X",L12="x"),UPPER(L13)="X",UPPER(L14)="X",UPPER(L15)="X",UPPER(L16)="X",UPPER(L17)="X"),J12,0)</f>
      </c>
      <c r="L42"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f>
      </c>
      <c r="M42" s="14" t="str">
        <f>M4+M12</f>
      </c>
      <c r="N42" s="14" t="str">
        <f>K4+K12</f>
      </c>
    </row>
    <row r="43">
      <c r="A43" s="14" t="str">
        <f>data!$E$3&amp;" "&amp;data!$B$3</f>
      </c>
      <c r="B43" s="14" t="str">
        <f>IF(OR(COUNTA(B5:C9,E5:F9)&gt;0,OR(D4="X",D4="x"),UPPER(D5)="X",UPPER(D6)="X",UPPER(D7)="X",UPPER(D8)="X",UPPER(D9)="X"),F4,0)+IF(OR(COUNTA(B29:C33,E29:F33)&gt;0,OR(D28="X",D28="x"),UPPER(D29)="X",UPPER(D30)="X",UPPER(D31)="X",UPPER(D32)="X",UPPER(D33)="X"),F28,0)</f>
      </c>
      <c r="C43" s="14" t="str">
        <f>IF(OR(COUNTA(B5:C9,E5:F9)&gt;0,OR(D4="X",D4="x"),UPPER(D5)="X",UPPER(D6)="X",UPPER(D7)="X",UPPER(D8)="X",UPPER(D9)="X"),B4,0)+IF(OR(COUNTA(B29:C33,E29:F33)&gt;0,OR(D28="X",D28="x"),UPPER(D29)="X",UPPER(D30)="X",UPPER(D31)="X",UPPER(D32)="X",UPPER(D33)="X"),B28,0)</f>
      </c>
      <c r="D43"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",""),"0",""),"-",""))))),1,0)),0)+IF(OR(COUNTA(B29:C33,E29:F33)&gt;0,OR(D28="X",D28="x"),UPPER(D29)="X",UPPER(D30)="X",UPPER(D31)="X",UPPER(D32)="X",UPPER(D33)="X"),(IF(OR(D29="X",D29="x",AND(COUNTA(B29,C29,E29,F29)&gt;0,(LEN(SUBSTITUTE(SUBSTITUTE(SUBSTITUTE(B29," ",""),"0",""),"-",""))+LEN(SUBSTITUTE(SUBSTITUTE(SUBSTITUTE(C29," ",""),"0",""),"-","")))=(LEN(SUBSTITUTE(SUBSTITUTE(SUBSTITUTE(E29," ",""),"0",""),"-",""))+LEN(SUBSTITUTE(SUBSTITUTE(SUBSTITUTE(F29," ",""),"0",""),"-",""))))),1,0)+IF(OR(D30="X",D30="x",AND(COUNTA(B30,C30,E30,F30)&gt;0,(LEN(SUBSTITUTE(SUBSTITUTE(SUBSTITUTE(B30," ",""),"0",""),"-",""))+LEN(SUBSTITUTE(SUBSTITUTE(SUBSTITUTE(C30," ",""),"0",""),"-","")))=(LEN(SUBSTITUTE(SUBSTITUTE(SUBSTITUTE(E30," ",""),"0",""),"-",""))+LEN(SUBSTITUTE(SUBSTITUTE(SUBSTITUTE(F30," ",""),"0",""),"-",""))))),1,0)+IF(OR(D31="X",D31="x",AND(COUNTA(B31,C31,E31,F31)&gt;0,(LEN(SUBSTITUTE(SUBSTITUTE(SUBSTITUTE(B31," ",""),"0",""),"-",""))+LEN(SUBSTITUTE(SUBSTITUTE(SUBSTITUTE(C31," ",""),"0",""),"-","")))=(LEN(SUBSTITUTE(SUBSTITUTE(SUBSTITUTE(E31," ",""),"0",""),"-",""))+LEN(SUBSTITUTE(SUBSTITUTE(SUBSTITUTE(F31," ",""),"0",""),"-",""))))),1,0)+IF(OR(D32="X",D32="x",AND(COUNTA(B32,C32,E32,F32)&gt;0,(LEN(SUBSTITUTE(SUBSTITUTE(SUBSTITUTE(B32," ",""),"0",""),"-",""))+LEN(SUBSTITUTE(SUBSTITUTE(SUBSTITUTE(C32," ",""),"0",""),"-","")))=(LEN(SUBSTITUTE(SUBSTITUTE(SUBSTITUTE(E32," ",""),"0",""),"-",""))+LEN(SUBSTITUTE(SUBSTITUTE(SUBSTITUTE(F32," ",""),"0",""),"-",""))))),1,0)+IF(OR(D33="X",D33="x",AND(COUNTA(B33,C33,E33,F33)&gt;0,(LEN(SUBSTITUTE(SUBSTITUTE(SUBSTITUTE(B33," ",""),"0",""),"-",""))+LEN(SUBSTITUTE(SUBSTITUTE(SUBSTITUTE(C33," ",""),"0",""),"-","")))=(LEN(SUBSTITUTE(SUBSTITUTE(SUBSTITUTE(E33," ",""),"0",""),"-",""))+LEN(SUBSTITUTE(SUBSTITUTE(SUBSTITUTE(F33," ",""),"0",""),"-",""))))),1,0)),0)</f>
      </c>
      <c r="E43" s="14" t="str">
        <f>E4+E28</f>
      </c>
      <c r="F43" s="14" t="str">
        <f>C4+C28</f>
      </c>
      <c r="I43" s="14" t="str">
        <f>data!$E$50&amp;" "&amp;data!$B$50</f>
      </c>
      <c r="J43" s="14" t="str">
        <f>IF(OR(COUNTA(J5:K9,M5:N9)&gt;0,OR(L4="X",L4="x"),UPPER(L5)="X",UPPER(L6)="X",UPPER(L7)="X",UPPER(L8)="X",UPPER(L9)="X"),J4,0)+IF(OR(COUNTA(J21:K25,M21:N25)&gt;0,OR(L20="X",L20="x"),UPPER(L21)="X",UPPER(L22)="X",UPPER(L23)="X",UPPER(L24)="X",UPPER(L25)="X"),N20,0)</f>
      </c>
      <c r="K43" s="14" t="str">
        <f>IF(OR(COUNTA(J5:K9,M5:N9)&gt;0,OR(L4="X",L4="x"),UPPER(L5)="X",UPPER(L6)="X",UPPER(L7)="X",UPPER(L8)="X",UPPER(L9)="X"),N4,0)+IF(OR(COUNTA(J21:K25,M21:N25)&gt;0,OR(L20="X",L20="x"),UPPER(L21)="X",UPPER(L22)="X",UPPER(L23)="X",UPPER(L24)="X",UPPER(L25)="X"),J20,0)</f>
      </c>
      <c r="L43"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43" s="14" t="str">
        <f>K4+M20</f>
      </c>
      <c r="N43" s="14" t="str">
        <f>M4+K20</f>
      </c>
    </row>
    <row r="44">
      <c r="A44" s="14" t="str">
        <f>data!$E$4&amp;" "&amp;data!$B$4</f>
      </c>
      <c r="B44" s="14" t="str">
        <f>IF(OR(COUNTA(B5:C9,E5:F9)&gt;0,OR(D4="X",D4="x"),UPPER(D5)="X",UPPER(D6)="X",UPPER(D7)="X",UPPER(D8)="X",UPPER(D9)="X"),B4,0)+IF(OR(COUNTA(B13:C17,E13:F17)&gt;0,OR(D12="X",D12="x"),UPPER(D13)="X",UPPER(D14)="X",UPPER(D15)="X",UPPER(D16)="X",UPPER(D17)="X"),B12,0)</f>
      </c>
      <c r="C44" s="14" t="str">
        <f>IF(OR(COUNTA(B5:C9,E5:F9)&gt;0,OR(D4="X",D4="x"),UPPER(D5)="X",UPPER(D6)="X",UPPER(D7)="X",UPPER(D8)="X",UPPER(D9)="X"),F4,0)+IF(OR(COUNTA(B13:C17,E13:F17)&gt;0,OR(D12="X",D12="x"),UPPER(D13)="X",UPPER(D14)="X",UPPER(D15)="X",UPPER(D16)="X",UPPER(D17)="X"),F12,0)</f>
      </c>
      <c r="D44"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f>
      </c>
      <c r="E44" s="14" t="str">
        <f>C4+C12</f>
      </c>
      <c r="F44" s="14" t="str">
        <f>E4+E12</f>
      </c>
      <c r="I44" s="14" t="str">
        <f>data!$E$51&amp;" "&amp;data!$B$51</f>
      </c>
      <c r="J44" s="14" t="str">
        <f>IF(OR(COUNTA(J13:K17,M13:N17)&gt;0,OR(L12="X",L12="x"),UPPER(L13)="X",UPPER(L14)="X",UPPER(L15)="X",UPPER(L16)="X",UPPER(L17)="X"),J12,0)+IF(OR(COUNTA(J21:K25,M21:N25)&gt;0,OR(L20="X",L20="x"),UPPER(L21)="X",UPPER(L22)="X",UPPER(L23)="X",UPPER(L24)="X",UPPER(L25)="X"),J20,0)</f>
      </c>
      <c r="K44" s="14" t="str">
        <f>IF(OR(COUNTA(J13:K17,M13:N17)&gt;0,OR(L12="X",L12="x"),UPPER(L13)="X",UPPER(L14)="X",UPPER(L15)="X",UPPER(L16)="X",UPPER(L17)="X"),N12,0)+IF(OR(COUNTA(J21:K25,M21:N25)&gt;0,OR(L20="X",L20="x"),UPPER(L21)="X",UPPER(L22)="X",UPPER(L23)="X",UPPER(L24)="X",UPPER(L25)="X"),N20,0)</f>
      </c>
      <c r="L44" s="14" t="str">
        <f>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44" s="14" t="str">
        <f>K12+K20</f>
      </c>
      <c r="N44" s="14" t="str">
        <f>M12+M20</f>
      </c>
    </row>
    <row r="45">
      <c r="A45" s="14" t="str">
        <f>data!$E$5&amp;" "&amp;data!$B$5</f>
      </c>
      <c r="B45" s="14" t="str">
        <f>IF(OR(COUNTA(B13:C17,E13:F17)&gt;0,OR(D12="X",D12="x"),UPPER(D13)="X",UPPER(D14)="X",UPPER(D15)="X",UPPER(D16)="X",UPPER(D17)="X"),F12,0)+IF(OR(COUNTA(B21:C25,E21:F25)&gt;0,OR(D20="X",D20="x"),UPPER(D21)="X",UPPER(D22)="X",UPPER(D23)="X",UPPER(D24)="X",UPPER(D25)="X"),F20,0)</f>
      </c>
      <c r="C45" s="14" t="str">
        <f>IF(OR(COUNTA(B13:C17,E13:F17)&gt;0,OR(D12="X",D12="x"),UPPER(D13)="X",UPPER(D14)="X",UPPER(D15)="X",UPPER(D16)="X",UPPER(D17)="X"),B12,0)+IF(OR(COUNTA(B21:C25,E21:F25)&gt;0,OR(D20="X",D20="x"),UPPER(D21)="X",UPPER(D22)="X",UPPER(D23)="X",UPPER(D24)="X",UPPER(D25)="X"),B20,0)</f>
      </c>
      <c r="D45" s="14" t="str">
        <f>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f>
      </c>
      <c r="E45" s="14" t="str">
        <f>E12+E20</f>
      </c>
      <c r="F45" s="14" t="str">
        <f>C12+C20</f>
      </c>
    </row>
    <row r="46">
      <c r="A46" s="14" t="str">
        <f>data!$E$6&amp;" "&amp;data!$B$6</f>
      </c>
      <c r="B46" s="14" t="str">
        <f>IF(OR(COUNTA(B21:C25,E21:F25)&gt;0,OR(D20="X",D20="x"),UPPER(D21)="X",UPPER(D22)="X",UPPER(D23)="X",UPPER(D24)="X",UPPER(D25)="X"),B20,0)+IF(OR(COUNTA(B29:C33,E29:F33)&gt;0,OR(D28="X",D28="x"),UPPER(D29)="X",UPPER(D30)="X",UPPER(D31)="X",UPPER(D32)="X",UPPER(D33)="X"),B28,0)</f>
      </c>
      <c r="C46" s="14" t="str">
        <f>IF(OR(COUNTA(B21:C25,E21:F25)&gt;0,OR(D20="X",D20="x"),UPPER(D21)="X",UPPER(D22)="X",UPPER(D23)="X",UPPER(D24)="X",UPPER(D25)="X"),F20,0)+IF(OR(COUNTA(B29:C33,E29:F33)&gt;0,OR(D28="X",D28="x"),UPPER(D29)="X",UPPER(D30)="X",UPPER(D31)="X",UPPER(D32)="X",UPPER(D33)="X"),F28,0)</f>
      </c>
      <c r="D46" s="14" t="str">
        <f>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",""),"0",""),"-",""))))),1,0)),0)+IF(OR(COUNTA(B29:C33,E29:F33)&gt;0,OR(D28="X",D28="x"),UPPER(D29)="X",UPPER(D30)="X",UPPER(D31)="X",UPPER(D32)="X",UPPER(D33)="X"),(IF(OR(D29="X",D29="x",AND(COUNTA(B29,C29,E29,F29)&gt;0,(LEN(SUBSTITUTE(SUBSTITUTE(SUBSTITUTE(B29," ",""),"0",""),"-",""))+LEN(SUBSTITUTE(SUBSTITUTE(SUBSTITUTE(C29," ",""),"0",""),"-","")))=(LEN(SUBSTITUTE(SUBSTITUTE(SUBSTITUTE(E29," ",""),"0",""),"-",""))+LEN(SUBSTITUTE(SUBSTITUTE(SUBSTITUTE(F29," ",""),"0",""),"-",""))))),1,0)+IF(OR(D30="X",D30="x",AND(COUNTA(B30,C30,E30,F30)&gt;0,(LEN(SUBSTITUTE(SUBSTITUTE(SUBSTITUTE(B30," ",""),"0",""),"-",""))+LEN(SUBSTITUTE(SUBSTITUTE(SUBSTITUTE(C30," ",""),"0",""),"-","")))=(LEN(SUBSTITUTE(SUBSTITUTE(SUBSTITUTE(E30," ",""),"0",""),"-",""))+LEN(SUBSTITUTE(SUBSTITUTE(SUBSTITUTE(F30," ",""),"0",""),"-",""))))),1,0)+IF(OR(D31="X",D31="x",AND(COUNTA(B31,C31,E31,F31)&gt;0,(LEN(SUBSTITUTE(SUBSTITUTE(SUBSTITUTE(B31," ",""),"0",""),"-",""))+LEN(SUBSTITUTE(SUBSTITUTE(SUBSTITUTE(C31," ",""),"0",""),"-","")))=(LEN(SUBSTITUTE(SUBSTITUTE(SUBSTITUTE(E31," ",""),"0",""),"-",""))+LEN(SUBSTITUTE(SUBSTITUTE(SUBSTITUTE(F31," ",""),"0",""),"-",""))))),1,0)+IF(OR(D32="X",D32="x",AND(COUNTA(B32,C32,E32,F32)&gt;0,(LEN(SUBSTITUTE(SUBSTITUTE(SUBSTITUTE(B32," ",""),"0",""),"-",""))+LEN(SUBSTITUTE(SUBSTITUTE(SUBSTITUTE(C32," ",""),"0",""),"-","")))=(LEN(SUBSTITUTE(SUBSTITUTE(SUBSTITUTE(E32," ",""),"0",""),"-",""))+LEN(SUBSTITUTE(SUBSTITUTE(SUBSTITUTE(F32," ",""),"0",""),"-",""))))),1,0)+IF(OR(D33="X",D33="x",AND(COUNTA(B33,C33,E33,F33)&gt;0,(LEN(SUBSTITUTE(SUBSTITUTE(SUBSTITUTE(B33," ",""),"0",""),"-",""))+LEN(SUBSTITUTE(SUBSTITUTE(SUBSTITUTE(C33," ",""),"0",""),"-","")))=(LEN(SUBSTITUTE(SUBSTITUTE(SUBSTITUTE(E33," ",""),"0",""),"-",""))+LEN(SUBSTITUTE(SUBSTITUTE(SUBSTITUTE(F33," ",""),"0",""),"-",""))))),1,0)),0)</f>
      </c>
      <c r="E46" s="14" t="str">
        <f>C20+C28</f>
      </c>
      <c r="F46" s="14" t="str">
        <f>E20+E28</f>
      </c>
    </row>
    <row r="47">
      <c r="N47" s="13"/>
      <c r="O47" s="13" t="s">
        <v>343</v>
      </c>
    </row>
    <row r="48">
      <c r="N48" t="s">
        <v>344</v>
      </c>
      <c r="O48" s="19" t="str">
        <f>IFERROR(INDEX($I$37:$I$44, MATCH(1, $O$37:$O$44, 0)), "-")</f>
      </c>
    </row>
    <row r="49">
      <c r="F49" s="13"/>
      <c r="G49" s="13" t="s">
        <v>343</v>
      </c>
      <c r="N49" t="s">
        <v>345</v>
      </c>
      <c r="O49" s="19" t="str">
        <f>IFERROR(INDEX($I$37:$I$44, MATCH(2, $O$37:$O$44, 0)), "-")</f>
      </c>
    </row>
    <row r="50">
      <c r="F50" t="s">
        <v>344</v>
      </c>
      <c r="G50" s="19" t="str">
        <f>IFERROR(INDEX($A$37:$A$46, MATCH(1, $G$37:$G$46, 0)), "-")</f>
      </c>
      <c r="N50" t="s">
        <v>346</v>
      </c>
      <c r="O50" s="19" t="str">
        <f>IFERROR(INDEX($I$37:$I$44, MATCH(3, $O$37:$O$44, 0)), "-")</f>
      </c>
    </row>
    <row r="51">
      <c r="F51" t="s">
        <v>345</v>
      </c>
      <c r="G51" s="19" t="str">
        <f>IFERROR(INDEX($A$37:$A$46, MATCH(2, $G$37:$G$46, 0)), "-")</f>
      </c>
    </row>
    <row r="52">
      <c r="F52" t="s">
        <v>346</v>
      </c>
      <c r="G52" s="19" t="str">
        <f>IFERROR(INDEX($A$37:$A$46, MATCH(3, $G$37:$G$46, 0)), "-")</f>
      </c>
    </row>
    <row r="53">
      <c r="F53" t="s">
        <v>347</v>
      </c>
      <c r="G53" s="19" t="str">
        <f>IFERROR(INDEX($A$37:$A$46, MATCH(4, $G$37:$G$46, 0)), "-")</f>
      </c>
    </row>
    <row r="55">
      <c r="A55" s="13" t="str">
        <f>'data'!$A$9</f>
      </c>
      <c r="B55" s="13"/>
      <c r="C55" s="13"/>
      <c r="D55" s="13"/>
      <c r="E55" s="13"/>
      <c r="F55" s="13"/>
      <c r="G55" s="13"/>
      <c r="I55" s="13" t="str">
        <f>'data'!$A$54</f>
      </c>
      <c r="J55" s="13"/>
      <c r="K55" s="13"/>
      <c r="L55" s="13"/>
      <c r="M55" s="13"/>
      <c r="N55" s="13"/>
      <c r="O55" s="13"/>
    </row>
    <row r="56">
      <c r="A56" s="17" t="s">
        <v>330</v>
      </c>
      <c r="B56" s="14"/>
      <c r="C56" s="14"/>
      <c r="D56" s="14" t="s">
        <v>331</v>
      </c>
      <c r="E56" s="14"/>
      <c r="F56" s="14"/>
      <c r="G56" s="16" t="s">
        <v>332</v>
      </c>
      <c r="I56" s="17" t="s">
        <v>330</v>
      </c>
      <c r="J56" s="14"/>
      <c r="K56" s="14"/>
      <c r="L56" s="14" t="s">
        <v>331</v>
      </c>
      <c r="M56" s="14"/>
      <c r="N56" s="14"/>
      <c r="O56" s="16" t="s">
        <v>332</v>
      </c>
    </row>
    <row r="57">
      <c r="A57" s="14" t="str">
        <f>data!$E$8&amp;" "&amp;data!$B$8</f>
      </c>
      <c r="B57" s="14" t="str">
        <f>IF(UPPER(D58)="X",0,IF((LEN(SUBSTITUTE(SUBSTITUTE(SUBSTITUTE(B58," ",""),"0",""),"-",""))+LEN(SUBSTITUTE(SUBSTITUTE(SUBSTITUTE(C58," ",""),"0",""),"-","")))&gt;(LEN(SUBSTITUTE(SUBSTITUTE(SUBSTITUTE(E58," ",""),"0",""),"-",""))+LEN(SUBSTITUTE(SUBSTITUTE(SUBSTITUTE(F58," ",""),"0",""),"-",""))),1,0))+IF(UPPER(D59)="X",0,IF((LEN(SUBSTITUTE(SUBSTITUTE(SUBSTITUTE(B59," ",""),"0",""),"-",""))+LEN(SUBSTITUTE(SUBSTITUTE(SUBSTITUTE(C59," ",""),"0",""),"-","")))&gt;(LEN(SUBSTITUTE(SUBSTITUTE(SUBSTITUTE(E59," ",""),"0",""),"-",""))+LEN(SUBSTITUTE(SUBSTITUTE(SUBSTITUTE(F59," ",""),"0",""),"-",""))),1,0))+IF(UPPER(D60)="X",0,IF((LEN(SUBSTITUTE(SUBSTITUTE(SUBSTITUTE(B60," ",""),"0",""),"-",""))+LEN(SUBSTITUTE(SUBSTITUTE(SUBSTITUTE(C60," ",""),"0",""),"-","")))&gt;(LEN(SUBSTITUTE(SUBSTITUTE(SUBSTITUTE(E60," ",""),"0",""),"-",""))+LEN(SUBSTITUTE(SUBSTITUTE(SUBSTITUTE(F60," ",""),"0",""),"-",""))),1,0))+IF(UPPER(D61)="X",0,IF((LEN(SUBSTITUTE(SUBSTITUTE(SUBSTITUTE(B61," ",""),"0",""),"-",""))+LEN(SUBSTITUTE(SUBSTITUTE(SUBSTITUTE(C61," ",""),"0",""),"-","")))&gt;(LEN(SUBSTITUTE(SUBSTITUTE(SUBSTITUTE(E61," ",""),"0",""),"-",""))+LEN(SUBSTITUTE(SUBSTITUTE(SUBSTITUTE(F61," ",""),"0",""),"-",""))),1,0))+IF(UPPER(D62)="X",0,IF((LEN(SUBSTITUTE(SUBSTITUTE(SUBSTITUTE(B62," ",""),"0",""),"-",""))+LEN(SUBSTITUTE(SUBSTITUTE(SUBSTITUTE(C62," ",""),"0",""),"-","")))&gt;(LEN(SUBSTITUTE(SUBSTITUTE(SUBSTITUTE(E62," ",""),"0",""),"-",""))+LEN(SUBSTITUTE(SUBSTITUTE(SUBSTITUTE(F62," ",""),"0",""),"-",""))),1,0))</f>
      </c>
      <c r="C57" s="14" t="str">
        <f>LEN(SUBSTITUTE(SUBSTITUTE(SUBSTITUTE(B58," ",""),"0",""),"-",""))+LEN(SUBSTITUTE(SUBSTITUTE(SUBSTITUTE(C58," ",""),"0",""),"-",""))+LEN(SUBSTITUTE(SUBSTITUTE(SUBSTITUTE(B59," ",""),"0",""),"-",""))+LEN(SUBSTITUTE(SUBSTITUTE(SUBSTITUTE(C59," ",""),"0",""),"-",""))+LEN(SUBSTITUTE(SUBSTITUTE(SUBSTITUTE(B60," ",""),"0",""),"-",""))+LEN(SUBSTITUTE(SUBSTITUTE(SUBSTITUTE(C60," ",""),"0",""),"-",""))+LEN(SUBSTITUTE(SUBSTITUTE(SUBSTITUTE(B61," ",""),"0",""),"-",""))+LEN(SUBSTITUTE(SUBSTITUTE(SUBSTITUTE(C61," ",""),"0",""),"-",""))+LEN(SUBSTITUTE(SUBSTITUTE(SUBSTITUTE(B62," ",""),"0",""),"-",""))+LEN(SUBSTITUTE(SUBSTITUTE(SUBSTITUTE(C62," ",""),"0",""),"-",""))</f>
      </c>
      <c r="D57" s="18"/>
      <c r="E57" s="14" t="str">
        <f>LEN(SUBSTITUTE(SUBSTITUTE(SUBSTITUTE(E58," ",""),"0",""),"-",""))+LEN(SUBSTITUTE(SUBSTITUTE(SUBSTITUTE(F58," ",""),"0",""),"-",""))+LEN(SUBSTITUTE(SUBSTITUTE(SUBSTITUTE(E59," ",""),"0",""),"-",""))+LEN(SUBSTITUTE(SUBSTITUTE(SUBSTITUTE(F59," ",""),"0",""),"-",""))+LEN(SUBSTITUTE(SUBSTITUTE(SUBSTITUTE(E60," ",""),"0",""),"-",""))+LEN(SUBSTITUTE(SUBSTITUTE(SUBSTITUTE(F60," ",""),"0",""),"-",""))+LEN(SUBSTITUTE(SUBSTITUTE(SUBSTITUTE(E61," ",""),"0",""),"-",""))+LEN(SUBSTITUTE(SUBSTITUTE(SUBSTITUTE(F61," ",""),"0",""),"-",""))+LEN(SUBSTITUTE(SUBSTITUTE(SUBSTITUTE(E62," ",""),"0",""),"-",""))+LEN(SUBSTITUTE(SUBSTITUTE(SUBSTITUTE(F62," ",""),"0",""),"-",""))</f>
      </c>
      <c r="F57" s="14" t="str">
        <f>IF(UPPER(D58)="X",0,IF((LEN(SUBSTITUTE(SUBSTITUTE(SUBSTITUTE(E58," ",""),"0",""),"-",""))+LEN(SUBSTITUTE(SUBSTITUTE(SUBSTITUTE(F58," ",""),"0",""),"-","")))&gt;(LEN(SUBSTITUTE(SUBSTITUTE(SUBSTITUTE(B58," ",""),"0",""),"-",""))+LEN(SUBSTITUTE(SUBSTITUTE(SUBSTITUTE(C58," ",""),"0",""),"-",""))),1,0))+IF(UPPER(D59)="X",0,IF((LEN(SUBSTITUTE(SUBSTITUTE(SUBSTITUTE(E59," ",""),"0",""),"-",""))+LEN(SUBSTITUTE(SUBSTITUTE(SUBSTITUTE(F59," ",""),"0",""),"-","")))&gt;(LEN(SUBSTITUTE(SUBSTITUTE(SUBSTITUTE(B59," ",""),"0",""),"-",""))+LEN(SUBSTITUTE(SUBSTITUTE(SUBSTITUTE(C59," ",""),"0",""),"-",""))),1,0))+IF(UPPER(D60)="X",0,IF((LEN(SUBSTITUTE(SUBSTITUTE(SUBSTITUTE(E60," ",""),"0",""),"-",""))+LEN(SUBSTITUTE(SUBSTITUTE(SUBSTITUTE(F60," ",""),"0",""),"-","")))&gt;(LEN(SUBSTITUTE(SUBSTITUTE(SUBSTITUTE(B60," ",""),"0",""),"-",""))+LEN(SUBSTITUTE(SUBSTITUTE(SUBSTITUTE(C60," ",""),"0",""),"-",""))),1,0))+IF(UPPER(D61)="X",0,IF((LEN(SUBSTITUTE(SUBSTITUTE(SUBSTITUTE(E61," ",""),"0",""),"-",""))+LEN(SUBSTITUTE(SUBSTITUTE(SUBSTITUTE(F61," ",""),"0",""),"-","")))&gt;(LEN(SUBSTITUTE(SUBSTITUTE(SUBSTITUTE(B61," ",""),"0",""),"-",""))+LEN(SUBSTITUTE(SUBSTITUTE(SUBSTITUTE(C61," ",""),"0",""),"-",""))),1,0))+IF(UPPER(D62)="X",0,IF((LEN(SUBSTITUTE(SUBSTITUTE(SUBSTITUTE(E62," ",""),"0",""),"-",""))+LEN(SUBSTITUTE(SUBSTITUTE(SUBSTITUTE(F62," ",""),"0",""),"-","")))&gt;(LEN(SUBSTITUTE(SUBSTITUTE(SUBSTITUTE(B62," ",""),"0",""),"-",""))+LEN(SUBSTITUTE(SUBSTITUTE(SUBSTITUTE(C62," ",""),"0",""),"-",""))),1,0))</f>
      </c>
      <c r="G57" s="14" t="str">
        <f>data!$E$7&amp;" "&amp;data!$B$7</f>
      </c>
      <c r="I57" s="14" t="str">
        <f>data!$E$53&amp;" "&amp;data!$B$53</f>
      </c>
      <c r="J57" s="14" t="str">
        <f>IF(UPPER(L58)="X",0,IF((LEN(SUBSTITUTE(SUBSTITUTE(SUBSTITUTE(J58," ",""),"0",""),"-",""))+LEN(SUBSTITUTE(SUBSTITUTE(SUBSTITUTE(K58," ",""),"0",""),"-","")))&gt;(LEN(SUBSTITUTE(SUBSTITUTE(SUBSTITUTE(M58," ",""),"0",""),"-",""))+LEN(SUBSTITUTE(SUBSTITUTE(SUBSTITUTE(N58," ",""),"0",""),"-",""))),1,0))+IF(UPPER(L59)="X",0,IF((LEN(SUBSTITUTE(SUBSTITUTE(SUBSTITUTE(J59," ",""),"0",""),"-",""))+LEN(SUBSTITUTE(SUBSTITUTE(SUBSTITUTE(K59," ",""),"0",""),"-","")))&gt;(LEN(SUBSTITUTE(SUBSTITUTE(SUBSTITUTE(M59," ",""),"0",""),"-",""))+LEN(SUBSTITUTE(SUBSTITUTE(SUBSTITUTE(N59," ",""),"0",""),"-",""))),1,0))+IF(UPPER(L60)="X",0,IF((LEN(SUBSTITUTE(SUBSTITUTE(SUBSTITUTE(J60," ",""),"0",""),"-",""))+LEN(SUBSTITUTE(SUBSTITUTE(SUBSTITUTE(K60," ",""),"0",""),"-","")))&gt;(LEN(SUBSTITUTE(SUBSTITUTE(SUBSTITUTE(M60," ",""),"0",""),"-",""))+LEN(SUBSTITUTE(SUBSTITUTE(SUBSTITUTE(N60," ",""),"0",""),"-",""))),1,0))+IF(UPPER(L61)="X",0,IF((LEN(SUBSTITUTE(SUBSTITUTE(SUBSTITUTE(J61," ",""),"0",""),"-",""))+LEN(SUBSTITUTE(SUBSTITUTE(SUBSTITUTE(K61," ",""),"0",""),"-","")))&gt;(LEN(SUBSTITUTE(SUBSTITUTE(SUBSTITUTE(M61," ",""),"0",""),"-",""))+LEN(SUBSTITUTE(SUBSTITUTE(SUBSTITUTE(N61," ",""),"0",""),"-",""))),1,0))+IF(UPPER(L62)="X",0,IF((LEN(SUBSTITUTE(SUBSTITUTE(SUBSTITUTE(J62," ",""),"0",""),"-",""))+LEN(SUBSTITUTE(SUBSTITUTE(SUBSTITUTE(K62," ",""),"0",""),"-","")))&gt;(LEN(SUBSTITUTE(SUBSTITUTE(SUBSTITUTE(M62," ",""),"0",""),"-",""))+LEN(SUBSTITUTE(SUBSTITUTE(SUBSTITUTE(N62," ",""),"0",""),"-",""))),1,0))</f>
      </c>
      <c r="K57" s="14" t="str">
        <f>LEN(SUBSTITUTE(SUBSTITUTE(SUBSTITUTE(J58," ",""),"0",""),"-",""))+LEN(SUBSTITUTE(SUBSTITUTE(SUBSTITUTE(K58," ",""),"0",""),"-",""))+LEN(SUBSTITUTE(SUBSTITUTE(SUBSTITUTE(J59," ",""),"0",""),"-",""))+LEN(SUBSTITUTE(SUBSTITUTE(SUBSTITUTE(K59," ",""),"0",""),"-",""))+LEN(SUBSTITUTE(SUBSTITUTE(SUBSTITUTE(J60," ",""),"0",""),"-",""))+LEN(SUBSTITUTE(SUBSTITUTE(SUBSTITUTE(K60," ",""),"0",""),"-",""))+LEN(SUBSTITUTE(SUBSTITUTE(SUBSTITUTE(J61," ",""),"0",""),"-",""))+LEN(SUBSTITUTE(SUBSTITUTE(SUBSTITUTE(K61," ",""),"0",""),"-",""))+LEN(SUBSTITUTE(SUBSTITUTE(SUBSTITUTE(J62," ",""),"0",""),"-",""))+LEN(SUBSTITUTE(SUBSTITUTE(SUBSTITUTE(K62," ",""),"0",""),"-",""))</f>
      </c>
      <c r="L57" s="18"/>
      <c r="M57" s="14" t="str">
        <f>LEN(SUBSTITUTE(SUBSTITUTE(SUBSTITUTE(M58," ",""),"0",""),"-",""))+LEN(SUBSTITUTE(SUBSTITUTE(SUBSTITUTE(N58," ",""),"0",""),"-",""))+LEN(SUBSTITUTE(SUBSTITUTE(SUBSTITUTE(M59," ",""),"0",""),"-",""))+LEN(SUBSTITUTE(SUBSTITUTE(SUBSTITUTE(N59," ",""),"0",""),"-",""))+LEN(SUBSTITUTE(SUBSTITUTE(SUBSTITUTE(M60," ",""),"0",""),"-",""))+LEN(SUBSTITUTE(SUBSTITUTE(SUBSTITUTE(N60," ",""),"0",""),"-",""))+LEN(SUBSTITUTE(SUBSTITUTE(SUBSTITUTE(M61," ",""),"0",""),"-",""))+LEN(SUBSTITUTE(SUBSTITUTE(SUBSTITUTE(N61," ",""),"0",""),"-",""))+LEN(SUBSTITUTE(SUBSTITUTE(SUBSTITUTE(M62," ",""),"0",""),"-",""))+LEN(SUBSTITUTE(SUBSTITUTE(SUBSTITUTE(N62," ",""),"0",""),"-",""))</f>
      </c>
      <c r="N57" s="14" t="str">
        <f>IF(UPPER(L58)="X",0,IF((LEN(SUBSTITUTE(SUBSTITUTE(SUBSTITUTE(M58," ",""),"0",""),"-",""))+LEN(SUBSTITUTE(SUBSTITUTE(SUBSTITUTE(N58," ",""),"0",""),"-","")))&gt;(LEN(SUBSTITUTE(SUBSTITUTE(SUBSTITUTE(J58," ",""),"0",""),"-",""))+LEN(SUBSTITUTE(SUBSTITUTE(SUBSTITUTE(K58," ",""),"0",""),"-",""))),1,0))+IF(UPPER(L59)="X",0,IF((LEN(SUBSTITUTE(SUBSTITUTE(SUBSTITUTE(M59," ",""),"0",""),"-",""))+LEN(SUBSTITUTE(SUBSTITUTE(SUBSTITUTE(N59," ",""),"0",""),"-","")))&gt;(LEN(SUBSTITUTE(SUBSTITUTE(SUBSTITUTE(J59," ",""),"0",""),"-",""))+LEN(SUBSTITUTE(SUBSTITUTE(SUBSTITUTE(K59," ",""),"0",""),"-",""))),1,0))+IF(UPPER(L60)="X",0,IF((LEN(SUBSTITUTE(SUBSTITUTE(SUBSTITUTE(M60," ",""),"0",""),"-",""))+LEN(SUBSTITUTE(SUBSTITUTE(SUBSTITUTE(N60," ",""),"0",""),"-","")))&gt;(LEN(SUBSTITUTE(SUBSTITUTE(SUBSTITUTE(J60," ",""),"0",""),"-",""))+LEN(SUBSTITUTE(SUBSTITUTE(SUBSTITUTE(K60," ",""),"0",""),"-",""))),1,0))+IF(UPPER(L61)="X",0,IF((LEN(SUBSTITUTE(SUBSTITUTE(SUBSTITUTE(M61," ",""),"0",""),"-",""))+LEN(SUBSTITUTE(SUBSTITUTE(SUBSTITUTE(N61," ",""),"0",""),"-","")))&gt;(LEN(SUBSTITUTE(SUBSTITUTE(SUBSTITUTE(J61," ",""),"0",""),"-",""))+LEN(SUBSTITUTE(SUBSTITUTE(SUBSTITUTE(K61," ",""),"0",""),"-",""))),1,0))+IF(UPPER(L62)="X",0,IF((LEN(SUBSTITUTE(SUBSTITUTE(SUBSTITUTE(M62," ",""),"0",""),"-",""))+LEN(SUBSTITUTE(SUBSTITUTE(SUBSTITUTE(N62," ",""),"0",""),"-","")))&gt;(LEN(SUBSTITUTE(SUBSTITUTE(SUBSTITUTE(J62," ",""),"0",""),"-",""))+LEN(SUBSTITUTE(SUBSTITUTE(SUBSTITUTE(K62," ",""),"0",""),"-",""))),1,0))</f>
      </c>
      <c r="O57" s="14" t="str">
        <f>data!$E$52&amp;" "&amp;data!$B$52</f>
      </c>
    </row>
    <row r="58">
      <c r="A58" s="14">
        <v>1</v>
      </c>
      <c r="B58" s="18"/>
      <c r="C58" s="18"/>
      <c r="D58" s="18"/>
      <c r="E58" s="18"/>
      <c r="F58" s="18"/>
      <c r="G58" s="14">
        <v>1</v>
      </c>
      <c r="I58" s="14">
        <v>1</v>
      </c>
      <c r="J58" s="18"/>
      <c r="K58" s="18"/>
      <c r="L58" s="18"/>
      <c r="M58" s="18"/>
      <c r="N58" s="18"/>
      <c r="O58" s="14">
        <v>1</v>
      </c>
    </row>
    <row r="59">
      <c r="A59" s="14">
        <v>2</v>
      </c>
      <c r="B59" s="18"/>
      <c r="C59" s="18"/>
      <c r="D59" s="18"/>
      <c r="E59" s="18"/>
      <c r="F59" s="18"/>
      <c r="G59" s="14">
        <v>2</v>
      </c>
      <c r="I59" s="14">
        <v>2</v>
      </c>
      <c r="J59" s="18"/>
      <c r="K59" s="18"/>
      <c r="L59" s="18"/>
      <c r="M59" s="18"/>
      <c r="N59" s="18"/>
      <c r="O59" s="14">
        <v>2</v>
      </c>
    </row>
    <row r="60">
      <c r="A60" s="14">
        <v>3</v>
      </c>
      <c r="B60" s="18"/>
      <c r="C60" s="18"/>
      <c r="D60" s="18"/>
      <c r="E60" s="18"/>
      <c r="F60" s="18"/>
      <c r="G60" s="14">
        <v>3</v>
      </c>
      <c r="I60" s="14">
        <v>3</v>
      </c>
      <c r="J60" s="18"/>
      <c r="K60" s="18"/>
      <c r="L60" s="18"/>
      <c r="M60" s="18"/>
      <c r="N60" s="18"/>
      <c r="O60" s="14">
        <v>3</v>
      </c>
    </row>
    <row r="61">
      <c r="A61" s="14">
        <v>4</v>
      </c>
      <c r="B61" s="18"/>
      <c r="C61" s="18"/>
      <c r="D61" s="18"/>
      <c r="E61" s="18"/>
      <c r="F61" s="18"/>
      <c r="G61" s="14">
        <v>4</v>
      </c>
      <c r="I61" s="14">
        <v>4</v>
      </c>
      <c r="J61" s="18"/>
      <c r="K61" s="18"/>
      <c r="L61" s="18"/>
      <c r="M61" s="18"/>
      <c r="N61" s="18"/>
      <c r="O61" s="14">
        <v>4</v>
      </c>
    </row>
    <row r="62">
      <c r="A62" s="14">
        <v>5</v>
      </c>
      <c r="B62" s="18"/>
      <c r="C62" s="18"/>
      <c r="D62" s="18"/>
      <c r="E62" s="18"/>
      <c r="F62" s="18"/>
      <c r="G62" s="14">
        <v>5</v>
      </c>
      <c r="I62" s="14">
        <v>5</v>
      </c>
      <c r="J62" s="18"/>
      <c r="K62" s="18"/>
      <c r="L62" s="18"/>
      <c r="M62" s="18"/>
      <c r="N62" s="18"/>
      <c r="O62" s="14">
        <v>5</v>
      </c>
    </row>
    <row r="64">
      <c r="A64" s="17" t="s">
        <v>330</v>
      </c>
      <c r="B64" s="14"/>
      <c r="C64" s="14"/>
      <c r="D64" s="14" t="s">
        <v>331</v>
      </c>
      <c r="E64" s="14"/>
      <c r="F64" s="14"/>
      <c r="G64" s="16" t="s">
        <v>332</v>
      </c>
      <c r="I64" s="17" t="s">
        <v>330</v>
      </c>
      <c r="J64" s="14"/>
      <c r="K64" s="14"/>
      <c r="L64" s="14" t="s">
        <v>331</v>
      </c>
      <c r="M64" s="14"/>
      <c r="N64" s="14"/>
      <c r="O64" s="16" t="s">
        <v>332</v>
      </c>
    </row>
    <row r="65">
      <c r="A65" s="14" t="str">
        <f>data!$E$9&amp;" "&amp;data!$B$9</f>
      </c>
      <c r="B65" s="14" t="str">
        <f>IF(UPPER(D66)="X",0,IF((LEN(SUBSTITUTE(SUBSTITUTE(SUBSTITUTE(B66," ",""),"0",""),"-",""))+LEN(SUBSTITUTE(SUBSTITUTE(SUBSTITUTE(C66," ",""),"0",""),"-","")))&gt;(LEN(SUBSTITUTE(SUBSTITUTE(SUBSTITUTE(E66," ",""),"0",""),"-",""))+LEN(SUBSTITUTE(SUBSTITUTE(SUBSTITUTE(F66," ",""),"0",""),"-",""))),1,0))+IF(UPPER(D67)="X",0,IF((LEN(SUBSTITUTE(SUBSTITUTE(SUBSTITUTE(B67," ",""),"0",""),"-",""))+LEN(SUBSTITUTE(SUBSTITUTE(SUBSTITUTE(C67," ",""),"0",""),"-","")))&gt;(LEN(SUBSTITUTE(SUBSTITUTE(SUBSTITUTE(E67," ",""),"0",""),"-",""))+LEN(SUBSTITUTE(SUBSTITUTE(SUBSTITUTE(F67," ",""),"0",""),"-",""))),1,0))+IF(UPPER(D68)="X",0,IF((LEN(SUBSTITUTE(SUBSTITUTE(SUBSTITUTE(B68," ",""),"0",""),"-",""))+LEN(SUBSTITUTE(SUBSTITUTE(SUBSTITUTE(C68," ",""),"0",""),"-","")))&gt;(LEN(SUBSTITUTE(SUBSTITUTE(SUBSTITUTE(E68," ",""),"0",""),"-",""))+LEN(SUBSTITUTE(SUBSTITUTE(SUBSTITUTE(F68," ",""),"0",""),"-",""))),1,0))+IF(UPPER(D69)="X",0,IF((LEN(SUBSTITUTE(SUBSTITUTE(SUBSTITUTE(B69," ",""),"0",""),"-",""))+LEN(SUBSTITUTE(SUBSTITUTE(SUBSTITUTE(C69," ",""),"0",""),"-","")))&gt;(LEN(SUBSTITUTE(SUBSTITUTE(SUBSTITUTE(E69," ",""),"0",""),"-",""))+LEN(SUBSTITUTE(SUBSTITUTE(SUBSTITUTE(F69," ",""),"0",""),"-",""))),1,0))+IF(UPPER(D70)="X",0,IF((LEN(SUBSTITUTE(SUBSTITUTE(SUBSTITUTE(B70," ",""),"0",""),"-",""))+LEN(SUBSTITUTE(SUBSTITUTE(SUBSTITUTE(C70," ",""),"0",""),"-","")))&gt;(LEN(SUBSTITUTE(SUBSTITUTE(SUBSTITUTE(E70," ",""),"0",""),"-",""))+LEN(SUBSTITUTE(SUBSTITUTE(SUBSTITUTE(F70," ",""),"0",""),"-",""))),1,0))</f>
      </c>
      <c r="C65" s="14" t="str">
        <f>LEN(SUBSTITUTE(SUBSTITUTE(SUBSTITUTE(B66," ",""),"0",""),"-",""))+LEN(SUBSTITUTE(SUBSTITUTE(SUBSTITUTE(C66," ",""),"0",""),"-",""))+LEN(SUBSTITUTE(SUBSTITUTE(SUBSTITUTE(B67," ",""),"0",""),"-",""))+LEN(SUBSTITUTE(SUBSTITUTE(SUBSTITUTE(C67," ",""),"0",""),"-",""))+LEN(SUBSTITUTE(SUBSTITUTE(SUBSTITUTE(B68," ",""),"0",""),"-",""))+LEN(SUBSTITUTE(SUBSTITUTE(SUBSTITUTE(C68," ",""),"0",""),"-",""))+LEN(SUBSTITUTE(SUBSTITUTE(SUBSTITUTE(B69," ",""),"0",""),"-",""))+LEN(SUBSTITUTE(SUBSTITUTE(SUBSTITUTE(C69," ",""),"0",""),"-",""))+LEN(SUBSTITUTE(SUBSTITUTE(SUBSTITUTE(B70," ",""),"0",""),"-",""))+LEN(SUBSTITUTE(SUBSTITUTE(SUBSTITUTE(C70," ",""),"0",""),"-",""))</f>
      </c>
      <c r="D65" s="18"/>
      <c r="E65" s="14" t="str">
        <f>LEN(SUBSTITUTE(SUBSTITUTE(SUBSTITUTE(E66," ",""),"0",""),"-",""))+LEN(SUBSTITUTE(SUBSTITUTE(SUBSTITUTE(F66," ",""),"0",""),"-",""))+LEN(SUBSTITUTE(SUBSTITUTE(SUBSTITUTE(E67," ",""),"0",""),"-",""))+LEN(SUBSTITUTE(SUBSTITUTE(SUBSTITUTE(F67," ",""),"0",""),"-",""))+LEN(SUBSTITUTE(SUBSTITUTE(SUBSTITUTE(E68," ",""),"0",""),"-",""))+LEN(SUBSTITUTE(SUBSTITUTE(SUBSTITUTE(F68," ",""),"0",""),"-",""))+LEN(SUBSTITUTE(SUBSTITUTE(SUBSTITUTE(E69," ",""),"0",""),"-",""))+LEN(SUBSTITUTE(SUBSTITUTE(SUBSTITUTE(F69," ",""),"0",""),"-",""))+LEN(SUBSTITUTE(SUBSTITUTE(SUBSTITUTE(E70," ",""),"0",""),"-",""))+LEN(SUBSTITUTE(SUBSTITUTE(SUBSTITUTE(F70," ",""),"0",""),"-",""))</f>
      </c>
      <c r="F65" s="14" t="str">
        <f>IF(UPPER(D66)="X",0,IF((LEN(SUBSTITUTE(SUBSTITUTE(SUBSTITUTE(E66," ",""),"0",""),"-",""))+LEN(SUBSTITUTE(SUBSTITUTE(SUBSTITUTE(F66," ",""),"0",""),"-","")))&gt;(LEN(SUBSTITUTE(SUBSTITUTE(SUBSTITUTE(B66," ",""),"0",""),"-",""))+LEN(SUBSTITUTE(SUBSTITUTE(SUBSTITUTE(C66," ",""),"0",""),"-",""))),1,0))+IF(UPPER(D67)="X",0,IF((LEN(SUBSTITUTE(SUBSTITUTE(SUBSTITUTE(E67," ",""),"0",""),"-",""))+LEN(SUBSTITUTE(SUBSTITUTE(SUBSTITUTE(F67," ",""),"0",""),"-","")))&gt;(LEN(SUBSTITUTE(SUBSTITUTE(SUBSTITUTE(B67," ",""),"0",""),"-",""))+LEN(SUBSTITUTE(SUBSTITUTE(SUBSTITUTE(C67," ",""),"0",""),"-",""))),1,0))+IF(UPPER(D68)="X",0,IF((LEN(SUBSTITUTE(SUBSTITUTE(SUBSTITUTE(E68," ",""),"0",""),"-",""))+LEN(SUBSTITUTE(SUBSTITUTE(SUBSTITUTE(F68," ",""),"0",""),"-","")))&gt;(LEN(SUBSTITUTE(SUBSTITUTE(SUBSTITUTE(B68," ",""),"0",""),"-",""))+LEN(SUBSTITUTE(SUBSTITUTE(SUBSTITUTE(C68," ",""),"0",""),"-",""))),1,0))+IF(UPPER(D69)="X",0,IF((LEN(SUBSTITUTE(SUBSTITUTE(SUBSTITUTE(E69," ",""),"0",""),"-",""))+LEN(SUBSTITUTE(SUBSTITUTE(SUBSTITUTE(F69," ",""),"0",""),"-","")))&gt;(LEN(SUBSTITUTE(SUBSTITUTE(SUBSTITUTE(B69," ",""),"0",""),"-",""))+LEN(SUBSTITUTE(SUBSTITUTE(SUBSTITUTE(C69," ",""),"0",""),"-",""))),1,0))+IF(UPPER(D70)="X",0,IF((LEN(SUBSTITUTE(SUBSTITUTE(SUBSTITUTE(E70," ",""),"0",""),"-",""))+LEN(SUBSTITUTE(SUBSTITUTE(SUBSTITUTE(F70," ",""),"0",""),"-","")))&gt;(LEN(SUBSTITUTE(SUBSTITUTE(SUBSTITUTE(B70," ",""),"0",""),"-",""))+LEN(SUBSTITUTE(SUBSTITUTE(SUBSTITUTE(C70," ",""),"0",""),"-",""))),1,0))</f>
      </c>
      <c r="G65" s="14" t="str">
        <f>data!$E$7&amp;" "&amp;data!$B$7</f>
      </c>
      <c r="I65" s="14" t="str">
        <f>data!$E$54&amp;" "&amp;data!$B$54</f>
      </c>
      <c r="J65" s="14" t="str">
        <f>IF(UPPER(L66)="X",0,IF((LEN(SUBSTITUTE(SUBSTITUTE(SUBSTITUTE(J66," ",""),"0",""),"-",""))+LEN(SUBSTITUTE(SUBSTITUTE(SUBSTITUTE(K66," ",""),"0",""),"-","")))&gt;(LEN(SUBSTITUTE(SUBSTITUTE(SUBSTITUTE(M66," ",""),"0",""),"-",""))+LEN(SUBSTITUTE(SUBSTITUTE(SUBSTITUTE(N66," ",""),"0",""),"-",""))),1,0))+IF(UPPER(L67)="X",0,IF((LEN(SUBSTITUTE(SUBSTITUTE(SUBSTITUTE(J67," ",""),"0",""),"-",""))+LEN(SUBSTITUTE(SUBSTITUTE(SUBSTITUTE(K67," ",""),"0",""),"-","")))&gt;(LEN(SUBSTITUTE(SUBSTITUTE(SUBSTITUTE(M67," ",""),"0",""),"-",""))+LEN(SUBSTITUTE(SUBSTITUTE(SUBSTITUTE(N67," ",""),"0",""),"-",""))),1,0))+IF(UPPER(L68)="X",0,IF((LEN(SUBSTITUTE(SUBSTITUTE(SUBSTITUTE(J68," ",""),"0",""),"-",""))+LEN(SUBSTITUTE(SUBSTITUTE(SUBSTITUTE(K68," ",""),"0",""),"-","")))&gt;(LEN(SUBSTITUTE(SUBSTITUTE(SUBSTITUTE(M68," ",""),"0",""),"-",""))+LEN(SUBSTITUTE(SUBSTITUTE(SUBSTITUTE(N68," ",""),"0",""),"-",""))),1,0))+IF(UPPER(L69)="X",0,IF((LEN(SUBSTITUTE(SUBSTITUTE(SUBSTITUTE(J69," ",""),"0",""),"-",""))+LEN(SUBSTITUTE(SUBSTITUTE(SUBSTITUTE(K69," ",""),"0",""),"-","")))&gt;(LEN(SUBSTITUTE(SUBSTITUTE(SUBSTITUTE(M69," ",""),"0",""),"-",""))+LEN(SUBSTITUTE(SUBSTITUTE(SUBSTITUTE(N69," ",""),"0",""),"-",""))),1,0))+IF(UPPER(L70)="X",0,IF((LEN(SUBSTITUTE(SUBSTITUTE(SUBSTITUTE(J70," ",""),"0",""),"-",""))+LEN(SUBSTITUTE(SUBSTITUTE(SUBSTITUTE(K70," ",""),"0",""),"-","")))&gt;(LEN(SUBSTITUTE(SUBSTITUTE(SUBSTITUTE(M70," ",""),"0",""),"-",""))+LEN(SUBSTITUTE(SUBSTITUTE(SUBSTITUTE(N70," ",""),"0",""),"-",""))),1,0))</f>
      </c>
      <c r="K65" s="14" t="str">
        <f>LEN(SUBSTITUTE(SUBSTITUTE(SUBSTITUTE(J66," ",""),"0",""),"-",""))+LEN(SUBSTITUTE(SUBSTITUTE(SUBSTITUTE(K66," ",""),"0",""),"-",""))+LEN(SUBSTITUTE(SUBSTITUTE(SUBSTITUTE(J67," ",""),"0",""),"-",""))+LEN(SUBSTITUTE(SUBSTITUTE(SUBSTITUTE(K67," ",""),"0",""),"-",""))+LEN(SUBSTITUTE(SUBSTITUTE(SUBSTITUTE(J68," ",""),"0",""),"-",""))+LEN(SUBSTITUTE(SUBSTITUTE(SUBSTITUTE(K68," ",""),"0",""),"-",""))+LEN(SUBSTITUTE(SUBSTITUTE(SUBSTITUTE(J69," ",""),"0",""),"-",""))+LEN(SUBSTITUTE(SUBSTITUTE(SUBSTITUTE(K69," ",""),"0",""),"-",""))+LEN(SUBSTITUTE(SUBSTITUTE(SUBSTITUTE(J70," ",""),"0",""),"-",""))+LEN(SUBSTITUTE(SUBSTITUTE(SUBSTITUTE(K70," ",""),"0",""),"-",""))</f>
      </c>
      <c r="L65" s="18"/>
      <c r="M65" s="14" t="str">
        <f>LEN(SUBSTITUTE(SUBSTITUTE(SUBSTITUTE(M66," ",""),"0",""),"-",""))+LEN(SUBSTITUTE(SUBSTITUTE(SUBSTITUTE(N66," ",""),"0",""),"-",""))+LEN(SUBSTITUTE(SUBSTITUTE(SUBSTITUTE(M67," ",""),"0",""),"-",""))+LEN(SUBSTITUTE(SUBSTITUTE(SUBSTITUTE(N67," ",""),"0",""),"-",""))+LEN(SUBSTITUTE(SUBSTITUTE(SUBSTITUTE(M68," ",""),"0",""),"-",""))+LEN(SUBSTITUTE(SUBSTITUTE(SUBSTITUTE(N68," ",""),"0",""),"-",""))+LEN(SUBSTITUTE(SUBSTITUTE(SUBSTITUTE(M69," ",""),"0",""),"-",""))+LEN(SUBSTITUTE(SUBSTITUTE(SUBSTITUTE(N69," ",""),"0",""),"-",""))+LEN(SUBSTITUTE(SUBSTITUTE(SUBSTITUTE(M70," ",""),"0",""),"-",""))+LEN(SUBSTITUTE(SUBSTITUTE(SUBSTITUTE(N70," ",""),"0",""),"-",""))</f>
      </c>
      <c r="N65" s="14" t="str">
        <f>IF(UPPER(L66)="X",0,IF((LEN(SUBSTITUTE(SUBSTITUTE(SUBSTITUTE(M66," ",""),"0",""),"-",""))+LEN(SUBSTITUTE(SUBSTITUTE(SUBSTITUTE(N66," ",""),"0",""),"-","")))&gt;(LEN(SUBSTITUTE(SUBSTITUTE(SUBSTITUTE(J66," ",""),"0",""),"-",""))+LEN(SUBSTITUTE(SUBSTITUTE(SUBSTITUTE(K66," ",""),"0",""),"-",""))),1,0))+IF(UPPER(L67)="X",0,IF((LEN(SUBSTITUTE(SUBSTITUTE(SUBSTITUTE(M67," ",""),"0",""),"-",""))+LEN(SUBSTITUTE(SUBSTITUTE(SUBSTITUTE(N67," ",""),"0",""),"-","")))&gt;(LEN(SUBSTITUTE(SUBSTITUTE(SUBSTITUTE(J67," ",""),"0",""),"-",""))+LEN(SUBSTITUTE(SUBSTITUTE(SUBSTITUTE(K67," ",""),"0",""),"-",""))),1,0))+IF(UPPER(L68)="X",0,IF((LEN(SUBSTITUTE(SUBSTITUTE(SUBSTITUTE(M68," ",""),"0",""),"-",""))+LEN(SUBSTITUTE(SUBSTITUTE(SUBSTITUTE(N68," ",""),"0",""),"-","")))&gt;(LEN(SUBSTITUTE(SUBSTITUTE(SUBSTITUTE(J68," ",""),"0",""),"-",""))+LEN(SUBSTITUTE(SUBSTITUTE(SUBSTITUTE(K68," ",""),"0",""),"-",""))),1,0))+IF(UPPER(L69)="X",0,IF((LEN(SUBSTITUTE(SUBSTITUTE(SUBSTITUTE(M69," ",""),"0",""),"-",""))+LEN(SUBSTITUTE(SUBSTITUTE(SUBSTITUTE(N69," ",""),"0",""),"-","")))&gt;(LEN(SUBSTITUTE(SUBSTITUTE(SUBSTITUTE(J69," ",""),"0",""),"-",""))+LEN(SUBSTITUTE(SUBSTITUTE(SUBSTITUTE(K69," ",""),"0",""),"-",""))),1,0))+IF(UPPER(L70)="X",0,IF((LEN(SUBSTITUTE(SUBSTITUTE(SUBSTITUTE(M70," ",""),"0",""),"-",""))+LEN(SUBSTITUTE(SUBSTITUTE(SUBSTITUTE(N70," ",""),"0",""),"-","")))&gt;(LEN(SUBSTITUTE(SUBSTITUTE(SUBSTITUTE(J70," ",""),"0",""),"-",""))+LEN(SUBSTITUTE(SUBSTITUTE(SUBSTITUTE(K70," ",""),"0",""),"-",""))),1,0))</f>
      </c>
      <c r="O65" s="14" t="str">
        <f>data!$E$52&amp;" "&amp;data!$B$52</f>
      </c>
    </row>
    <row r="66">
      <c r="A66" s="14">
        <v>1</v>
      </c>
      <c r="B66" s="18"/>
      <c r="C66" s="18"/>
      <c r="D66" s="18"/>
      <c r="E66" s="18"/>
      <c r="F66" s="18"/>
      <c r="G66" s="14">
        <v>1</v>
      </c>
      <c r="I66" s="14">
        <v>1</v>
      </c>
      <c r="J66" s="18"/>
      <c r="K66" s="18"/>
      <c r="L66" s="18"/>
      <c r="M66" s="18"/>
      <c r="N66" s="18"/>
      <c r="O66" s="14">
        <v>1</v>
      </c>
    </row>
    <row r="67">
      <c r="A67" s="14">
        <v>2</v>
      </c>
      <c r="B67" s="18"/>
      <c r="C67" s="18"/>
      <c r="D67" s="18"/>
      <c r="E67" s="18"/>
      <c r="F67" s="18"/>
      <c r="G67" s="14">
        <v>2</v>
      </c>
      <c r="I67" s="14">
        <v>2</v>
      </c>
      <c r="J67" s="18"/>
      <c r="K67" s="18"/>
      <c r="L67" s="18"/>
      <c r="M67" s="18"/>
      <c r="N67" s="18"/>
      <c r="O67" s="14">
        <v>2</v>
      </c>
    </row>
    <row r="68">
      <c r="A68" s="14">
        <v>3</v>
      </c>
      <c r="B68" s="18"/>
      <c r="C68" s="18"/>
      <c r="D68" s="18"/>
      <c r="E68" s="18"/>
      <c r="F68" s="18"/>
      <c r="G68" s="14">
        <v>3</v>
      </c>
      <c r="I68" s="14">
        <v>3</v>
      </c>
      <c r="J68" s="18"/>
      <c r="K68" s="18"/>
      <c r="L68" s="18"/>
      <c r="M68" s="18"/>
      <c r="N68" s="18"/>
      <c r="O68" s="14">
        <v>3</v>
      </c>
    </row>
    <row r="69">
      <c r="A69" s="14">
        <v>4</v>
      </c>
      <c r="B69" s="18"/>
      <c r="C69" s="18"/>
      <c r="D69" s="18"/>
      <c r="E69" s="18"/>
      <c r="F69" s="18"/>
      <c r="G69" s="14">
        <v>4</v>
      </c>
      <c r="I69" s="14">
        <v>4</v>
      </c>
      <c r="J69" s="18"/>
      <c r="K69" s="18"/>
      <c r="L69" s="18"/>
      <c r="M69" s="18"/>
      <c r="N69" s="18"/>
      <c r="O69" s="14">
        <v>4</v>
      </c>
    </row>
    <row r="70">
      <c r="A70" s="14">
        <v>5</v>
      </c>
      <c r="B70" s="18"/>
      <c r="C70" s="18"/>
      <c r="D70" s="18"/>
      <c r="E70" s="18"/>
      <c r="F70" s="18"/>
      <c r="G70" s="14">
        <v>5</v>
      </c>
      <c r="I70" s="14">
        <v>5</v>
      </c>
      <c r="J70" s="18"/>
      <c r="K70" s="18"/>
      <c r="L70" s="18"/>
      <c r="M70" s="18"/>
      <c r="N70" s="18"/>
      <c r="O70" s="14">
        <v>5</v>
      </c>
    </row>
    <row r="72">
      <c r="A72" s="17" t="s">
        <v>330</v>
      </c>
      <c r="B72" s="14"/>
      <c r="C72" s="14"/>
      <c r="D72" s="14" t="s">
        <v>331</v>
      </c>
      <c r="E72" s="14"/>
      <c r="F72" s="14"/>
      <c r="G72" s="16" t="s">
        <v>332</v>
      </c>
      <c r="I72" s="17" t="s">
        <v>330</v>
      </c>
      <c r="J72" s="14"/>
      <c r="K72" s="14"/>
      <c r="L72" s="14" t="s">
        <v>331</v>
      </c>
      <c r="M72" s="14"/>
      <c r="N72" s="14"/>
      <c r="O72" s="16" t="s">
        <v>332</v>
      </c>
    </row>
    <row r="73">
      <c r="A73" s="14" t="str">
        <f>data!$E$9&amp;" "&amp;data!$B$9</f>
      </c>
      <c r="B73" s="14" t="str">
        <f>IF(UPPER(D74)="X",0,IF((LEN(SUBSTITUTE(SUBSTITUTE(SUBSTITUTE(B74," ",""),"0",""),"-",""))+LEN(SUBSTITUTE(SUBSTITUTE(SUBSTITUTE(C74," ",""),"0",""),"-","")))&gt;(LEN(SUBSTITUTE(SUBSTITUTE(SUBSTITUTE(E74," ",""),"0",""),"-",""))+LEN(SUBSTITUTE(SUBSTITUTE(SUBSTITUTE(F74," ",""),"0",""),"-",""))),1,0))+IF(UPPER(D75)="X",0,IF((LEN(SUBSTITUTE(SUBSTITUTE(SUBSTITUTE(B75," ",""),"0",""),"-",""))+LEN(SUBSTITUTE(SUBSTITUTE(SUBSTITUTE(C75," ",""),"0",""),"-","")))&gt;(LEN(SUBSTITUTE(SUBSTITUTE(SUBSTITUTE(E75," ",""),"0",""),"-",""))+LEN(SUBSTITUTE(SUBSTITUTE(SUBSTITUTE(F75," ",""),"0",""),"-",""))),1,0))+IF(UPPER(D76)="X",0,IF((LEN(SUBSTITUTE(SUBSTITUTE(SUBSTITUTE(B76," ",""),"0",""),"-",""))+LEN(SUBSTITUTE(SUBSTITUTE(SUBSTITUTE(C76," ",""),"0",""),"-","")))&gt;(LEN(SUBSTITUTE(SUBSTITUTE(SUBSTITUTE(E76," ",""),"0",""),"-",""))+LEN(SUBSTITUTE(SUBSTITUTE(SUBSTITUTE(F76," ",""),"0",""),"-",""))),1,0))+IF(UPPER(D77)="X",0,IF((LEN(SUBSTITUTE(SUBSTITUTE(SUBSTITUTE(B77," ",""),"0",""),"-",""))+LEN(SUBSTITUTE(SUBSTITUTE(SUBSTITUTE(C77," ",""),"0",""),"-","")))&gt;(LEN(SUBSTITUTE(SUBSTITUTE(SUBSTITUTE(E77," ",""),"0",""),"-",""))+LEN(SUBSTITUTE(SUBSTITUTE(SUBSTITUTE(F77," ",""),"0",""),"-",""))),1,0))+IF(UPPER(D78)="X",0,IF((LEN(SUBSTITUTE(SUBSTITUTE(SUBSTITUTE(B78," ",""),"0",""),"-",""))+LEN(SUBSTITUTE(SUBSTITUTE(SUBSTITUTE(C78," ",""),"0",""),"-","")))&gt;(LEN(SUBSTITUTE(SUBSTITUTE(SUBSTITUTE(E78," ",""),"0",""),"-",""))+LEN(SUBSTITUTE(SUBSTITUTE(SUBSTITUTE(F78," ",""),"0",""),"-",""))),1,0))</f>
      </c>
      <c r="C73" s="14" t="str">
        <f>LEN(SUBSTITUTE(SUBSTITUTE(SUBSTITUTE(B74," ",""),"0",""),"-",""))+LEN(SUBSTITUTE(SUBSTITUTE(SUBSTITUTE(C74," ",""),"0",""),"-",""))+LEN(SUBSTITUTE(SUBSTITUTE(SUBSTITUTE(B75," ",""),"0",""),"-",""))+LEN(SUBSTITUTE(SUBSTITUTE(SUBSTITUTE(C75," ",""),"0",""),"-",""))+LEN(SUBSTITUTE(SUBSTITUTE(SUBSTITUTE(B76," ",""),"0",""),"-",""))+LEN(SUBSTITUTE(SUBSTITUTE(SUBSTITUTE(C76," ",""),"0",""),"-",""))+LEN(SUBSTITUTE(SUBSTITUTE(SUBSTITUTE(B77," ",""),"0",""),"-",""))+LEN(SUBSTITUTE(SUBSTITUTE(SUBSTITUTE(C77," ",""),"0",""),"-",""))+LEN(SUBSTITUTE(SUBSTITUTE(SUBSTITUTE(B78," ",""),"0",""),"-",""))+LEN(SUBSTITUTE(SUBSTITUTE(SUBSTITUTE(C78," ",""),"0",""),"-",""))</f>
      </c>
      <c r="D73" s="18"/>
      <c r="E73" s="14" t="str">
        <f>LEN(SUBSTITUTE(SUBSTITUTE(SUBSTITUTE(E74," ",""),"0",""),"-",""))+LEN(SUBSTITUTE(SUBSTITUTE(SUBSTITUTE(F74," ",""),"0",""),"-",""))+LEN(SUBSTITUTE(SUBSTITUTE(SUBSTITUTE(E75," ",""),"0",""),"-",""))+LEN(SUBSTITUTE(SUBSTITUTE(SUBSTITUTE(F75," ",""),"0",""),"-",""))+LEN(SUBSTITUTE(SUBSTITUTE(SUBSTITUTE(E76," ",""),"0",""),"-",""))+LEN(SUBSTITUTE(SUBSTITUTE(SUBSTITUTE(F76," ",""),"0",""),"-",""))+LEN(SUBSTITUTE(SUBSTITUTE(SUBSTITUTE(E77," ",""),"0",""),"-",""))+LEN(SUBSTITUTE(SUBSTITUTE(SUBSTITUTE(F77," ",""),"0",""),"-",""))+LEN(SUBSTITUTE(SUBSTITUTE(SUBSTITUTE(E78," ",""),"0",""),"-",""))+LEN(SUBSTITUTE(SUBSTITUTE(SUBSTITUTE(F78," ",""),"0",""),"-",""))</f>
      </c>
      <c r="F73" s="14" t="str">
        <f>IF(UPPER(D74)="X",0,IF((LEN(SUBSTITUTE(SUBSTITUTE(SUBSTITUTE(E74," ",""),"0",""),"-",""))+LEN(SUBSTITUTE(SUBSTITUTE(SUBSTITUTE(F74," ",""),"0",""),"-","")))&gt;(LEN(SUBSTITUTE(SUBSTITUTE(SUBSTITUTE(B74," ",""),"0",""),"-",""))+LEN(SUBSTITUTE(SUBSTITUTE(SUBSTITUTE(C74," ",""),"0",""),"-",""))),1,0))+IF(UPPER(D75)="X",0,IF((LEN(SUBSTITUTE(SUBSTITUTE(SUBSTITUTE(E75," ",""),"0",""),"-",""))+LEN(SUBSTITUTE(SUBSTITUTE(SUBSTITUTE(F75," ",""),"0",""),"-","")))&gt;(LEN(SUBSTITUTE(SUBSTITUTE(SUBSTITUTE(B75," ",""),"0",""),"-",""))+LEN(SUBSTITUTE(SUBSTITUTE(SUBSTITUTE(C75," ",""),"0",""),"-",""))),1,0))+IF(UPPER(D76)="X",0,IF((LEN(SUBSTITUTE(SUBSTITUTE(SUBSTITUTE(E76," ",""),"0",""),"-",""))+LEN(SUBSTITUTE(SUBSTITUTE(SUBSTITUTE(F76," ",""),"0",""),"-","")))&gt;(LEN(SUBSTITUTE(SUBSTITUTE(SUBSTITUTE(B76," ",""),"0",""),"-",""))+LEN(SUBSTITUTE(SUBSTITUTE(SUBSTITUTE(C76," ",""),"0",""),"-",""))),1,0))+IF(UPPER(D77)="X",0,IF((LEN(SUBSTITUTE(SUBSTITUTE(SUBSTITUTE(E77," ",""),"0",""),"-",""))+LEN(SUBSTITUTE(SUBSTITUTE(SUBSTITUTE(F77," ",""),"0",""),"-","")))&gt;(LEN(SUBSTITUTE(SUBSTITUTE(SUBSTITUTE(B77," ",""),"0",""),"-",""))+LEN(SUBSTITUTE(SUBSTITUTE(SUBSTITUTE(C77," ",""),"0",""),"-",""))),1,0))+IF(UPPER(D78)="X",0,IF((LEN(SUBSTITUTE(SUBSTITUTE(SUBSTITUTE(E78," ",""),"0",""),"-",""))+LEN(SUBSTITUTE(SUBSTITUTE(SUBSTITUTE(F78," ",""),"0",""),"-","")))&gt;(LEN(SUBSTITUTE(SUBSTITUTE(SUBSTITUTE(B78," ",""),"0",""),"-",""))+LEN(SUBSTITUTE(SUBSTITUTE(SUBSTITUTE(C78," ",""),"0",""),"-",""))),1,0))</f>
      </c>
      <c r="G73" s="14" t="str">
        <f>data!$E$8&amp;" "&amp;data!$B$8</f>
      </c>
      <c r="I73" s="14" t="str">
        <f>data!$E$54&amp;" "&amp;data!$B$54</f>
      </c>
      <c r="J73" s="14" t="str">
        <f>IF(UPPER(L74)="X",0,IF((LEN(SUBSTITUTE(SUBSTITUTE(SUBSTITUTE(J74," ",""),"0",""),"-",""))+LEN(SUBSTITUTE(SUBSTITUTE(SUBSTITUTE(K74," ",""),"0",""),"-","")))&gt;(LEN(SUBSTITUTE(SUBSTITUTE(SUBSTITUTE(M74," ",""),"0",""),"-",""))+LEN(SUBSTITUTE(SUBSTITUTE(SUBSTITUTE(N74," ",""),"0",""),"-",""))),1,0))+IF(UPPER(L75)="X",0,IF((LEN(SUBSTITUTE(SUBSTITUTE(SUBSTITUTE(J75," ",""),"0",""),"-",""))+LEN(SUBSTITUTE(SUBSTITUTE(SUBSTITUTE(K75," ",""),"0",""),"-","")))&gt;(LEN(SUBSTITUTE(SUBSTITUTE(SUBSTITUTE(M75," ",""),"0",""),"-",""))+LEN(SUBSTITUTE(SUBSTITUTE(SUBSTITUTE(N75," ",""),"0",""),"-",""))),1,0))+IF(UPPER(L76)="X",0,IF((LEN(SUBSTITUTE(SUBSTITUTE(SUBSTITUTE(J76," ",""),"0",""),"-",""))+LEN(SUBSTITUTE(SUBSTITUTE(SUBSTITUTE(K76," ",""),"0",""),"-","")))&gt;(LEN(SUBSTITUTE(SUBSTITUTE(SUBSTITUTE(M76," ",""),"0",""),"-",""))+LEN(SUBSTITUTE(SUBSTITUTE(SUBSTITUTE(N76," ",""),"0",""),"-",""))),1,0))+IF(UPPER(L77)="X",0,IF((LEN(SUBSTITUTE(SUBSTITUTE(SUBSTITUTE(J77," ",""),"0",""),"-",""))+LEN(SUBSTITUTE(SUBSTITUTE(SUBSTITUTE(K77," ",""),"0",""),"-","")))&gt;(LEN(SUBSTITUTE(SUBSTITUTE(SUBSTITUTE(M77," ",""),"0",""),"-",""))+LEN(SUBSTITUTE(SUBSTITUTE(SUBSTITUTE(N77," ",""),"0",""),"-",""))),1,0))+IF(UPPER(L78)="X",0,IF((LEN(SUBSTITUTE(SUBSTITUTE(SUBSTITUTE(J78," ",""),"0",""),"-",""))+LEN(SUBSTITUTE(SUBSTITUTE(SUBSTITUTE(K78," ",""),"0",""),"-","")))&gt;(LEN(SUBSTITUTE(SUBSTITUTE(SUBSTITUTE(M78," ",""),"0",""),"-",""))+LEN(SUBSTITUTE(SUBSTITUTE(SUBSTITUTE(N78," ",""),"0",""),"-",""))),1,0))</f>
      </c>
      <c r="K73" s="14" t="str">
        <f>LEN(SUBSTITUTE(SUBSTITUTE(SUBSTITUTE(J74," ",""),"0",""),"-",""))+LEN(SUBSTITUTE(SUBSTITUTE(SUBSTITUTE(K74," ",""),"0",""),"-",""))+LEN(SUBSTITUTE(SUBSTITUTE(SUBSTITUTE(J75," ",""),"0",""),"-",""))+LEN(SUBSTITUTE(SUBSTITUTE(SUBSTITUTE(K75," ",""),"0",""),"-",""))+LEN(SUBSTITUTE(SUBSTITUTE(SUBSTITUTE(J76," ",""),"0",""),"-",""))+LEN(SUBSTITUTE(SUBSTITUTE(SUBSTITUTE(K76," ",""),"0",""),"-",""))+LEN(SUBSTITUTE(SUBSTITUTE(SUBSTITUTE(J77," ",""),"0",""),"-",""))+LEN(SUBSTITUTE(SUBSTITUTE(SUBSTITUTE(K77," ",""),"0",""),"-",""))+LEN(SUBSTITUTE(SUBSTITUTE(SUBSTITUTE(J78," ",""),"0",""),"-",""))+LEN(SUBSTITUTE(SUBSTITUTE(SUBSTITUTE(K78," ",""),"0",""),"-",""))</f>
      </c>
      <c r="L73" s="18"/>
      <c r="M73" s="14" t="str">
        <f>LEN(SUBSTITUTE(SUBSTITUTE(SUBSTITUTE(M74," ",""),"0",""),"-",""))+LEN(SUBSTITUTE(SUBSTITUTE(SUBSTITUTE(N74," ",""),"0",""),"-",""))+LEN(SUBSTITUTE(SUBSTITUTE(SUBSTITUTE(M75," ",""),"0",""),"-",""))+LEN(SUBSTITUTE(SUBSTITUTE(SUBSTITUTE(N75," ",""),"0",""),"-",""))+LEN(SUBSTITUTE(SUBSTITUTE(SUBSTITUTE(M76," ",""),"0",""),"-",""))+LEN(SUBSTITUTE(SUBSTITUTE(SUBSTITUTE(N76," ",""),"0",""),"-",""))+LEN(SUBSTITUTE(SUBSTITUTE(SUBSTITUTE(M77," ",""),"0",""),"-",""))+LEN(SUBSTITUTE(SUBSTITUTE(SUBSTITUTE(N77," ",""),"0",""),"-",""))+LEN(SUBSTITUTE(SUBSTITUTE(SUBSTITUTE(M78," ",""),"0",""),"-",""))+LEN(SUBSTITUTE(SUBSTITUTE(SUBSTITUTE(N78," ",""),"0",""),"-",""))</f>
      </c>
      <c r="N73" s="14" t="str">
        <f>IF(UPPER(L74)="X",0,IF((LEN(SUBSTITUTE(SUBSTITUTE(SUBSTITUTE(M74," ",""),"0",""),"-",""))+LEN(SUBSTITUTE(SUBSTITUTE(SUBSTITUTE(N74," ",""),"0",""),"-","")))&gt;(LEN(SUBSTITUTE(SUBSTITUTE(SUBSTITUTE(J74," ",""),"0",""),"-",""))+LEN(SUBSTITUTE(SUBSTITUTE(SUBSTITUTE(K74," ",""),"0",""),"-",""))),1,0))+IF(UPPER(L75)="X",0,IF((LEN(SUBSTITUTE(SUBSTITUTE(SUBSTITUTE(M75," ",""),"0",""),"-",""))+LEN(SUBSTITUTE(SUBSTITUTE(SUBSTITUTE(N75," ",""),"0",""),"-","")))&gt;(LEN(SUBSTITUTE(SUBSTITUTE(SUBSTITUTE(J75," ",""),"0",""),"-",""))+LEN(SUBSTITUTE(SUBSTITUTE(SUBSTITUTE(K75," ",""),"0",""),"-",""))),1,0))+IF(UPPER(L76)="X",0,IF((LEN(SUBSTITUTE(SUBSTITUTE(SUBSTITUTE(M76," ",""),"0",""),"-",""))+LEN(SUBSTITUTE(SUBSTITUTE(SUBSTITUTE(N76," ",""),"0",""),"-","")))&gt;(LEN(SUBSTITUTE(SUBSTITUTE(SUBSTITUTE(J76," ",""),"0",""),"-",""))+LEN(SUBSTITUTE(SUBSTITUTE(SUBSTITUTE(K76," ",""),"0",""),"-",""))),1,0))+IF(UPPER(L77)="X",0,IF((LEN(SUBSTITUTE(SUBSTITUTE(SUBSTITUTE(M77," ",""),"0",""),"-",""))+LEN(SUBSTITUTE(SUBSTITUTE(SUBSTITUTE(N77," ",""),"0",""),"-","")))&gt;(LEN(SUBSTITUTE(SUBSTITUTE(SUBSTITUTE(J77," ",""),"0",""),"-",""))+LEN(SUBSTITUTE(SUBSTITUTE(SUBSTITUTE(K77," ",""),"0",""),"-",""))),1,0))+IF(UPPER(L78)="X",0,IF((LEN(SUBSTITUTE(SUBSTITUTE(SUBSTITUTE(M78," ",""),"0",""),"-",""))+LEN(SUBSTITUTE(SUBSTITUTE(SUBSTITUTE(N78," ",""),"0",""),"-","")))&gt;(LEN(SUBSTITUTE(SUBSTITUTE(SUBSTITUTE(J78," ",""),"0",""),"-",""))+LEN(SUBSTITUTE(SUBSTITUTE(SUBSTITUTE(K78," ",""),"0",""),"-",""))),1,0))</f>
      </c>
      <c r="O73" s="14" t="str">
        <f>data!$E$53&amp;" "&amp;data!$B$53</f>
      </c>
    </row>
    <row r="74">
      <c r="A74" s="14">
        <v>1</v>
      </c>
      <c r="B74" s="18"/>
      <c r="C74" s="18"/>
      <c r="D74" s="18"/>
      <c r="E74" s="18"/>
      <c r="F74" s="18"/>
      <c r="G74" s="14">
        <v>1</v>
      </c>
      <c r="I74" s="14">
        <v>1</v>
      </c>
      <c r="J74" s="18"/>
      <c r="K74" s="18"/>
      <c r="L74" s="18"/>
      <c r="M74" s="18"/>
      <c r="N74" s="18"/>
      <c r="O74" s="14">
        <v>1</v>
      </c>
    </row>
    <row r="75">
      <c r="A75" s="14">
        <v>2</v>
      </c>
      <c r="B75" s="18"/>
      <c r="C75" s="18"/>
      <c r="D75" s="18"/>
      <c r="E75" s="18"/>
      <c r="F75" s="18"/>
      <c r="G75" s="14">
        <v>2</v>
      </c>
      <c r="I75" s="14">
        <v>2</v>
      </c>
      <c r="J75" s="18"/>
      <c r="K75" s="18"/>
      <c r="L75" s="18"/>
      <c r="M75" s="18"/>
      <c r="N75" s="18"/>
      <c r="O75" s="14">
        <v>2</v>
      </c>
    </row>
    <row r="76">
      <c r="A76" s="14">
        <v>3</v>
      </c>
      <c r="B76" s="18"/>
      <c r="C76" s="18"/>
      <c r="D76" s="18"/>
      <c r="E76" s="18"/>
      <c r="F76" s="18"/>
      <c r="G76" s="14">
        <v>3</v>
      </c>
      <c r="I76" s="14">
        <v>3</v>
      </c>
      <c r="J76" s="18"/>
      <c r="K76" s="18"/>
      <c r="L76" s="18"/>
      <c r="M76" s="18"/>
      <c r="N76" s="18"/>
      <c r="O76" s="14">
        <v>3</v>
      </c>
    </row>
    <row r="77">
      <c r="A77" s="14">
        <v>4</v>
      </c>
      <c r="B77" s="18"/>
      <c r="C77" s="18"/>
      <c r="D77" s="18"/>
      <c r="E77" s="18"/>
      <c r="F77" s="18"/>
      <c r="G77" s="14">
        <v>4</v>
      </c>
      <c r="I77" s="14">
        <v>4</v>
      </c>
      <c r="J77" s="18"/>
      <c r="K77" s="18"/>
      <c r="L77" s="18"/>
      <c r="M77" s="18"/>
      <c r="N77" s="18"/>
      <c r="O77" s="14">
        <v>4</v>
      </c>
    </row>
    <row r="78">
      <c r="A78" s="14">
        <v>5</v>
      </c>
      <c r="B78" s="18"/>
      <c r="C78" s="18"/>
      <c r="D78" s="18"/>
      <c r="E78" s="18"/>
      <c r="F78" s="18"/>
      <c r="G78" s="14">
        <v>5</v>
      </c>
      <c r="I78" s="14">
        <v>5</v>
      </c>
      <c r="J78" s="18"/>
      <c r="K78" s="18"/>
      <c r="L78" s="18"/>
      <c r="M78" s="18"/>
      <c r="N78" s="18"/>
      <c r="O78" s="14">
        <v>5</v>
      </c>
    </row>
    <row r="81">
      <c r="A81" s="13" t="s">
        <v>333</v>
      </c>
      <c r="B81" s="13" t="s">
        <v>334</v>
      </c>
      <c r="C81" s="13" t="s">
        <v>335</v>
      </c>
      <c r="D81" s="13" t="s">
        <v>336</v>
      </c>
      <c r="E81" s="13"/>
      <c r="F81" s="13"/>
      <c r="G81" s="13" t="s">
        <v>337</v>
      </c>
      <c r="I81" s="13" t="s">
        <v>333</v>
      </c>
      <c r="J81" s="13" t="s">
        <v>334</v>
      </c>
      <c r="K81" s="13" t="s">
        <v>335</v>
      </c>
      <c r="L81" s="13" t="s">
        <v>336</v>
      </c>
      <c r="M81" s="13"/>
      <c r="N81" s="13"/>
      <c r="O81" s="13" t="s">
        <v>337</v>
      </c>
    </row>
    <row r="82">
      <c r="A82" s="14" t="str">
        <f>data!$E$7&amp;" "&amp;data!$B$7</f>
      </c>
      <c r="B82" s="14" t="str">
        <f>IF(OR(COUNTA(B58:C62,E58:F62)&gt;0,D58="X",D58="x",D59="X",D59="x",D60="X",D60="x",D61="X",D61="x",D62="X",D62="x",OR(D57="X",D57="x")),IF(OR(OR(D57="X",D57="x"),AND(B57=F57,C57=E57)),0,IF(OR(F57&gt;B57,AND(F57=B57,E57&gt;C57)),1,0)),0)+IF(OR(COUNTA(B66:C70,E66:F70)&gt;0,D66="X",D66="x",D67="X",D67="x",D68="X",D68="x",D69="X",D69="x",D70="X",D70="x",OR(D65="X",D65="x")),IF(OR(OR(D65="X",D65="x"),AND(B65=F65,C65=E65)),0,IF(OR(F65&gt;B65,AND(F65=B65,E65&gt;C65)),1,0)),0)</f>
      </c>
      <c r="C82" s="14" t="str">
        <f>IF(OR(COUNTA(B58:C62,E58:F62)&gt;0,D58="X",D58="x",D59="X",D59="x",D60="X",D60="x",D61="X",D61="x",D62="X",D62="x",OR(D57="X",D57="x")),IF(OR(OR(D57="X",D57="x"),AND(B57=F57,C57=E57)),0,IF(OR(F57&lt;B57,AND(F57=B57,E57&lt;C57)),1,0)),0)+IF(OR(COUNTA(B66:C70,E66:F70)&gt;0,D66="X",D66="x",D67="X",D67="x",D68="X",D68="x",D69="X",D69="x",D70="X",D70="x",OR(D65="X",D65="x")),IF(OR(OR(D65="X",D65="x"),AND(B65=F65,C65=E65)),0,IF(OR(F65&lt;B65,AND(F65=B65,E65&lt;C65)),1,0)),0)</f>
      </c>
      <c r="D82" s="14" t="str">
        <f>IF(OR(COUNTA(B58:C62,E58:F62)&gt;0,D58="X",D58="x",D59="X",D59="x",D60="X",D60="x",D61="X",D61="x",D62="X",D62="x",OR(D57="X",D57="x")),IF(OR(OR(D57="X",D57="x"),AND(B57=F57,C57=E57)),1,0),0)+IF(OR(COUNTA(B66:C70,E66:F70)&gt;0,D66="X",D66="x",D67="X",D67="x",D68="X",D68="x",D69="X",D69="x",D70="X",D70="x",OR(D65="X",D65="x")),IF(OR(OR(D65="X",D65="x"),AND(B65=F65,C65=E65)),1,0),0)</f>
      </c>
      <c r="G82" s="18" t="str">
        <f>RANK(U82,$U$82:$U$84)+COUNTIF($U$81:U81,U82)</f>
      </c>
      <c r="I82" s="14" t="str">
        <f>data!$E$52&amp;" "&amp;data!$B$52</f>
      </c>
      <c r="J82" s="14" t="str">
        <f>IF(OR(COUNTA(J58:K62,M58:N62)&gt;0,L58="X",L58="x",L59="X",L59="x",L60="X",L60="x",L61="X",L61="x",L62="X",L62="x",OR(L57="X",L57="x")),IF(OR(OR(L57="X",L57="x"),AND(J57=N57,K57=M57)),0,IF(OR(N57&gt;J57,AND(N57=J57,M57&gt;K57)),1,0)),0)+IF(OR(COUNTA(J66:K70,M66:N70)&gt;0,L66="X",L66="x",L67="X",L67="x",L68="X",L68="x",L69="X",L69="x",L70="X",L70="x",OR(L65="X",L65="x")),IF(OR(OR(L65="X",L65="x"),AND(J65=N65,K65=M65)),0,IF(OR(N65&gt;J65,AND(N65=J65,M65&gt;K65)),1,0)),0)</f>
      </c>
      <c r="K82" s="14" t="str">
        <f>IF(OR(COUNTA(J58:K62,M58:N62)&gt;0,L58="X",L58="x",L59="X",L59="x",L60="X",L60="x",L61="X",L61="x",L62="X",L62="x",OR(L57="X",L57="x")),IF(OR(OR(L57="X",L57="x"),AND(J57=N57,K57=M57)),0,IF(OR(N57&lt;J57,AND(N57=J57,M57&lt;K57)),1,0)),0)+IF(OR(COUNTA(J66:K70,M66:N70)&gt;0,L66="X",L66="x",L67="X",L67="x",L68="X",L68="x",L69="X",L69="x",L70="X",L70="x",OR(L65="X",L65="x")),IF(OR(OR(L65="X",L65="x"),AND(J65=N65,K65=M65)),0,IF(OR(N65&lt;J65,AND(N65=J65,M65&lt;K65)),1,0)),0)</f>
      </c>
      <c r="L82" s="14" t="str">
        <f>IF(OR(COUNTA(J58:K62,M58:N62)&gt;0,L58="X",L58="x",L59="X",L59="x",L60="X",L60="x",L61="X",L61="x",L62="X",L62="x",OR(L57="X",L57="x")),IF(OR(OR(L57="X",L57="x"),AND(J57=N57,K57=M57)),1,0),0)+IF(OR(COUNTA(J66:K70,M66:N70)&gt;0,L66="X",L66="x",L67="X",L67="x",L68="X",L68="x",L69="X",L69="x",L70="X",L70="x",OR(L65="X",L65="x")),IF(OR(OR(L65="X",L65="x"),AND(J65=N65,K65=M65)),1,0),0)</f>
      </c>
      <c r="O82" s="18" t="str">
        <f>RANK(AC82,$AC$82:$AC$84)+COUNTIF($AC$81:AC81,AC82)</f>
      </c>
      <c r="U82" t="str">
        <f>(B82*1000000000)-(C82*10000000)+(D82*100000)+(B87*1000)-(C87*100)+(D87*10)+(E87*1)-(F87*0.01)</f>
      </c>
      <c r="AC82" t="str">
        <f>(J82*1000000000)-(K82*10000000)+(L82*100000)+(J87*1000)-(K87*100)+(L87*10)+(M87*1)-(N87*0.01)</f>
      </c>
    </row>
    <row r="83">
      <c r="A83" s="14" t="str">
        <f>data!$E$8&amp;" "&amp;data!$B$8</f>
      </c>
      <c r="B83" s="14" t="str">
        <f>IF(OR(COUNTA(B58:C62,E58:F62)&gt;0,D58="X",D58="x",D59="X",D59="x",D60="X",D60="x",D61="X",D61="x",D62="X",D62="x",OR(D57="X",D57="x")),IF(OR(OR(D57="X",D57="x"),AND(B57=F57,C57=E57)),0,IF(OR(B57&gt;F57,AND(B57=F57,C57&gt;E57)),1,0)),0)+IF(OR(COUNTA(B74:C78,E74:F78)&gt;0,D74="X",D74="x",D75="X",D75="x",D76="X",D76="x",D77="X",D77="x",D78="X",D78="x",OR(D73="X",D73="x")),IF(OR(OR(D73="X",D73="x"),AND(B73=F73,C73=E73)),0,IF(OR(F73&gt;B73,AND(F73=B73,E73&gt;C73)),1,0)),0)</f>
      </c>
      <c r="C83" s="14" t="str">
        <f>IF(OR(COUNTA(B58:C62,E58:F62)&gt;0,D58="X",D58="x",D59="X",D59="x",D60="X",D60="x",D61="X",D61="x",D62="X",D62="x",OR(D57="X",D57="x")),IF(OR(OR(D57="X",D57="x"),AND(B57=F57,C57=E57)),0,IF(OR(B57&lt;F57,AND(B57=F57,C57&lt;E57)),1,0)),0)+IF(OR(COUNTA(B74:C78,E74:F78)&gt;0,D74="X",D74="x",D75="X",D75="x",D76="X",D76="x",D77="X",D77="x",D78="X",D78="x",OR(D73="X",D73="x")),IF(OR(OR(D73="X",D73="x"),AND(B73=F73,C73=E73)),0,IF(OR(F73&lt;B73,AND(F73=B73,E73&lt;C73)),1,0)),0)</f>
      </c>
      <c r="D83" s="14" t="str">
        <f>IF(OR(COUNTA(B58:C62,E58:F62)&gt;0,D58="X",D58="x",D59="X",D59="x",D60="X",D60="x",D61="X",D61="x",D62="X",D62="x",OR(D57="X",D57="x")),IF(OR(OR(D57="X",D57="x"),AND(B57=F57,C57=E57)),1,0),0)+IF(OR(COUNTA(B74:C78,E74:F78)&gt;0,D74="X",D74="x",D75="X",D75="x",D76="X",D76="x",D77="X",D77="x",D78="X",D78="x",OR(D73="X",D73="x")),IF(OR(OR(D73="X",D73="x"),AND(B73=F73,C73=E73)),1,0),0)</f>
      </c>
      <c r="G83" s="18" t="str">
        <f>RANK(U83,$U$82:$U$84)+COUNTIF($U$81:U82,U83)</f>
      </c>
      <c r="I83" s="14" t="str">
        <f>data!$E$53&amp;" "&amp;data!$B$53</f>
      </c>
      <c r="J83" s="14" t="str">
        <f>IF(OR(COUNTA(J58:K62,M58:N62)&gt;0,L58="X",L58="x",L59="X",L59="x",L60="X",L60="x",L61="X",L61="x",L62="X",L62="x",OR(L57="X",L57="x")),IF(OR(OR(L57="X",L57="x"),AND(J57=N57,K57=M57)),0,IF(OR(J57&gt;N57,AND(J57=N57,K57&gt;M57)),1,0)),0)+IF(OR(COUNTA(J74:K78,M74:N78)&gt;0,L74="X",L74="x",L75="X",L75="x",L76="X",L76="x",L77="X",L77="x",L78="X",L78="x",OR(L73="X",L73="x")),IF(OR(OR(L73="X",L73="x"),AND(J73=N73,K73=M73)),0,IF(OR(N73&gt;J73,AND(N73=J73,M73&gt;K73)),1,0)),0)</f>
      </c>
      <c r="K83" s="14" t="str">
        <f>IF(OR(COUNTA(J58:K62,M58:N62)&gt;0,L58="X",L58="x",L59="X",L59="x",L60="X",L60="x",L61="X",L61="x",L62="X",L62="x",OR(L57="X",L57="x")),IF(OR(OR(L57="X",L57="x"),AND(J57=N57,K57=M57)),0,IF(OR(J57&lt;N57,AND(J57=N57,K57&lt;M57)),1,0)),0)+IF(OR(COUNTA(J74:K78,M74:N78)&gt;0,L74="X",L74="x",L75="X",L75="x",L76="X",L76="x",L77="X",L77="x",L78="X",L78="x",OR(L73="X",L73="x")),IF(OR(OR(L73="X",L73="x"),AND(J73=N73,K73=M73)),0,IF(OR(N73&lt;J73,AND(N73=J73,M73&lt;K73)),1,0)),0)</f>
      </c>
      <c r="L83" s="14" t="str">
        <f>IF(OR(COUNTA(J58:K62,M58:N62)&gt;0,L58="X",L58="x",L59="X",L59="x",L60="X",L60="x",L61="X",L61="x",L62="X",L62="x",OR(L57="X",L57="x")),IF(OR(OR(L57="X",L57="x"),AND(J57=N57,K57=M57)),1,0),0)+IF(OR(COUNTA(J74:K78,M74:N78)&gt;0,L74="X",L74="x",L75="X",L75="x",L76="X",L76="x",L77="X",L77="x",L78="X",L78="x",OR(L73="X",L73="x")),IF(OR(OR(L73="X",L73="x"),AND(J73=N73,K73=M73)),1,0),0)</f>
      </c>
      <c r="O83" s="18" t="str">
        <f>RANK(AC83,$AC$82:$AC$84)+COUNTIF($AC$81:AC82,AC83)</f>
      </c>
      <c r="U83" t="str">
        <f>(B83*1000000000)-(C83*10000000)+(D83*100000)+(B88*1000)-(C88*100)+(D88*10)+(E88*1)-(F88*0.01)</f>
      </c>
      <c r="AC83" t="str">
        <f>(J83*1000000000)-(K83*10000000)+(L83*100000)+(J88*1000)-(K88*100)+(L88*10)+(M88*1)-(N88*0.01)</f>
      </c>
    </row>
    <row r="84">
      <c r="A84" s="14" t="str">
        <f>data!$E$9&amp;" "&amp;data!$B$9</f>
      </c>
      <c r="B84" s="14" t="str">
        <f>IF(OR(COUNTA(B66:C70,E66:F70)&gt;0,D66="X",D66="x",D67="X",D67="x",D68="X",D68="x",D69="X",D69="x",D70="X",D70="x",OR(D65="X",D65="x")),IF(OR(OR(D65="X",D65="x"),AND(B65=F65,C65=E65)),0,IF(OR(B65&gt;F65,AND(B65=F65,C65&gt;E65)),1,0)),0)+IF(OR(COUNTA(B74:C78,E74:F78)&gt;0,D74="X",D74="x",D75="X",D75="x",D76="X",D76="x",D77="X",D77="x",D78="X",D78="x",OR(D73="X",D73="x")),IF(OR(OR(D73="X",D73="x"),AND(B73=F73,C73=E73)),0,IF(OR(B73&gt;F73,AND(B73=F73,C73&gt;E73)),1,0)),0)</f>
      </c>
      <c r="C84" s="14" t="str">
        <f>IF(OR(COUNTA(B66:C70,E66:F70)&gt;0,D66="X",D66="x",D67="X",D67="x",D68="X",D68="x",D69="X",D69="x",D70="X",D70="x",OR(D65="X",D65="x")),IF(OR(OR(D65="X",D65="x"),AND(B65=F65,C65=E65)),0,IF(OR(B65&lt;F65,AND(B65=F65,C65&lt;E65)),1,0)),0)+IF(OR(COUNTA(B74:C78,E74:F78)&gt;0,D74="X",D74="x",D75="X",D75="x",D76="X",D76="x",D77="X",D77="x",D78="X",D78="x",OR(D73="X",D73="x")),IF(OR(OR(D73="X",D73="x"),AND(B73=F73,C73=E73)),0,IF(OR(B73&lt;F73,AND(B73=F73,C73&lt;E73)),1,0)),0)</f>
      </c>
      <c r="D84" s="14" t="str">
        <f>IF(OR(COUNTA(B66:C70,E66:F70)&gt;0,D66="X",D66="x",D67="X",D67="x",D68="X",D68="x",D69="X",D69="x",D70="X",D70="x",OR(D65="X",D65="x")),IF(OR(OR(D65="X",D65="x"),AND(B65=F65,C65=E65)),1,0),0)+IF(OR(COUNTA(B74:C78,E74:F78)&gt;0,D74="X",D74="x",D75="X",D75="x",D76="X",D76="x",D77="X",D77="x",D78="X",D78="x",OR(D73="X",D73="x")),IF(OR(OR(D73="X",D73="x"),AND(B73=F73,C73=E73)),1,0),0)</f>
      </c>
      <c r="G84" s="18" t="str">
        <f>RANK(U84,$U$82:$U$84)+COUNTIF($U$81:U83,U84)</f>
      </c>
      <c r="I84" s="14" t="str">
        <f>data!$E$54&amp;" "&amp;data!$B$54</f>
      </c>
      <c r="J84" s="14" t="str">
        <f>IF(OR(COUNTA(J66:K70,M66:N70)&gt;0,L66="X",L66="x",L67="X",L67="x",L68="X",L68="x",L69="X",L69="x",L70="X",L70="x",OR(L65="X",L65="x")),IF(OR(OR(L65="X",L65="x"),AND(J65=N65,K65=M65)),0,IF(OR(J65&gt;N65,AND(J65=N65,K65&gt;M65)),1,0)),0)+IF(OR(COUNTA(J74:K78,M74:N78)&gt;0,L74="X",L74="x",L75="X",L75="x",L76="X",L76="x",L77="X",L77="x",L78="X",L78="x",OR(L73="X",L73="x")),IF(OR(OR(L73="X",L73="x"),AND(J73=N73,K73=M73)),0,IF(OR(J73&gt;N73,AND(J73=N73,K73&gt;M73)),1,0)),0)</f>
      </c>
      <c r="K84" s="14" t="str">
        <f>IF(OR(COUNTA(J66:K70,M66:N70)&gt;0,L66="X",L66="x",L67="X",L67="x",L68="X",L68="x",L69="X",L69="x",L70="X",L70="x",OR(L65="X",L65="x")),IF(OR(OR(L65="X",L65="x"),AND(J65=N65,K65=M65)),0,IF(OR(J65&lt;N65,AND(J65=N65,K65&lt;M65)),1,0)),0)+IF(OR(COUNTA(J74:K78,M74:N78)&gt;0,L74="X",L74="x",L75="X",L75="x",L76="X",L76="x",L77="X",L77="x",L78="X",L78="x",OR(L73="X",L73="x")),IF(OR(OR(L73="X",L73="x"),AND(J73=N73,K73=M73)),0,IF(OR(J73&lt;N73,AND(J73=N73,K73&lt;M73)),1,0)),0)</f>
      </c>
      <c r="L84" s="14" t="str">
        <f>IF(OR(COUNTA(J66:K70,M66:N70)&gt;0,L66="X",L66="x",L67="X",L67="x",L68="X",L68="x",L69="X",L69="x",L70="X",L70="x",OR(L65="X",L65="x")),IF(OR(OR(L65="X",L65="x"),AND(J65=N65,K65=M65)),1,0),0)+IF(OR(COUNTA(J74:K78,M74:N78)&gt;0,L74="X",L74="x",L75="X",L75="x",L76="X",L76="x",L77="X",L77="x",L78="X",L78="x",OR(L73="X",L73="x")),IF(OR(OR(L73="X",L73="x"),AND(J73=N73,K73=M73)),1,0),0)</f>
      </c>
      <c r="O84" s="18" t="str">
        <f>RANK(AC84,$AC$82:$AC$84)+COUNTIF($AC$81:AC83,AC84)</f>
      </c>
      <c r="U84" t="str">
        <f>(B84*1000000000)-(C84*10000000)+(D84*100000)+(B89*1000)-(C89*100)+(D89*10)+(E89*1)-(F89*0.01)</f>
      </c>
      <c r="AC84" t="str">
        <f>(J84*1000000000)-(K84*10000000)+(L84*100000)+(J89*1000)-(K89*100)+(L89*10)+(M89*1)-(N89*0.01)</f>
      </c>
    </row>
    <row r="86">
      <c r="A86" s="13"/>
      <c r="B86" s="13" t="s">
        <v>338</v>
      </c>
      <c r="C86" s="13" t="s">
        <v>339</v>
      </c>
      <c r="D86" s="13" t="s">
        <v>340</v>
      </c>
      <c r="E86" s="13" t="s">
        <v>341</v>
      </c>
      <c r="F86" s="13" t="s">
        <v>342</v>
      </c>
      <c r="I86" s="13"/>
      <c r="J86" s="13" t="s">
        <v>338</v>
      </c>
      <c r="K86" s="13" t="s">
        <v>339</v>
      </c>
      <c r="L86" s="13" t="s">
        <v>340</v>
      </c>
      <c r="M86" s="13" t="s">
        <v>341</v>
      </c>
      <c r="N86" s="13" t="s">
        <v>342</v>
      </c>
    </row>
    <row r="87">
      <c r="A87" s="14" t="str">
        <f>data!$E$7&amp;" "&amp;data!$B$7</f>
      </c>
      <c r="B87" s="14" t="str">
        <f>IF(OR(COUNTA(B58:C62,E58:F62)&gt;0,OR(D57="X",D57="x"),UPPER(D58)="X",UPPER(D59)="X",UPPER(D60)="X",UPPER(D61)="X",UPPER(D62)="X"),F57,0)+IF(OR(COUNTA(B66:C70,E66:F70)&gt;0,OR(D65="X",D65="x"),UPPER(D66)="X",UPPER(D67)="X",UPPER(D68)="X",UPPER(D69)="X",UPPER(D70)="X"),F65,0)</f>
      </c>
      <c r="C87" s="14" t="str">
        <f>IF(OR(COUNTA(B58:C62,E58:F62)&gt;0,OR(D57="X",D57="x"),UPPER(D58)="X",UPPER(D59)="X",UPPER(D60)="X",UPPER(D61)="X",UPPER(D62)="X"),B57,0)+IF(OR(COUNTA(B66:C70,E66:F70)&gt;0,OR(D65="X",D65="x"),UPPER(D66)="X",UPPER(D67)="X",UPPER(D68)="X",UPPER(D69)="X",UPPER(D70)="X"),B65,0)</f>
      </c>
      <c r="D87" s="14" t="str">
        <f>IF(OR(COUNTA(B58:C62,E58:F62)&gt;0,OR(D57="X",D57="x"),UPPER(D58)="X",UPPER(D59)="X",UPPER(D60)="X",UPPER(D61)="X",UPPER(D62)="X"),(IF(OR(D58="X",D58="x",AND(COUNTA(B58,C58,E58,F58)&gt;0,(LEN(SUBSTITUTE(SUBSTITUTE(SUBSTITUTE(B58," ",""),"0",""),"-",""))+LEN(SUBSTITUTE(SUBSTITUTE(SUBSTITUTE(C58," ",""),"0",""),"-","")))=(LEN(SUBSTITUTE(SUBSTITUTE(SUBSTITUTE(E58," ",""),"0",""),"-",""))+LEN(SUBSTITUTE(SUBSTITUTE(SUBSTITUTE(F58," ",""),"0",""),"-",""))))),1,0)+IF(OR(D59="X",D59="x",AND(COUNTA(B59,C59,E59,F59)&gt;0,(LEN(SUBSTITUTE(SUBSTITUTE(SUBSTITUTE(B59," ",""),"0",""),"-",""))+LEN(SUBSTITUTE(SUBSTITUTE(SUBSTITUTE(C59," ",""),"0",""),"-","")))=(LEN(SUBSTITUTE(SUBSTITUTE(SUBSTITUTE(E59," ",""),"0",""),"-",""))+LEN(SUBSTITUTE(SUBSTITUTE(SUBSTITUTE(F59," ",""),"0",""),"-",""))))),1,0)+IF(OR(D60="X",D60="x",AND(COUNTA(B60,C60,E60,F60)&gt;0,(LEN(SUBSTITUTE(SUBSTITUTE(SUBSTITUTE(B60," ",""),"0",""),"-",""))+LEN(SUBSTITUTE(SUBSTITUTE(SUBSTITUTE(C60," ",""),"0",""),"-","")))=(LEN(SUBSTITUTE(SUBSTITUTE(SUBSTITUTE(E60," ",""),"0",""),"-",""))+LEN(SUBSTITUTE(SUBSTITUTE(SUBSTITUTE(F60," ",""),"0",""),"-",""))))),1,0)+IF(OR(D61="X",D61="x",AND(COUNTA(B61,C61,E61,F61)&gt;0,(LEN(SUBSTITUTE(SUBSTITUTE(SUBSTITUTE(B61," ",""),"0",""),"-",""))+LEN(SUBSTITUTE(SUBSTITUTE(SUBSTITUTE(C61," ",""),"0",""),"-","")))=(LEN(SUBSTITUTE(SUBSTITUTE(SUBSTITUTE(E61," ",""),"0",""),"-",""))+LEN(SUBSTITUTE(SUBSTITUTE(SUBSTITUTE(F61," ",""),"0",""),"-",""))))),1,0)+IF(OR(D62="X",D62="x",AND(COUNTA(B62,C62,E62,F62)&gt;0,(LEN(SUBSTITUTE(SUBSTITUTE(SUBSTITUTE(B62," ",""),"0",""),"-",""))+LEN(SUBSTITUTE(SUBSTITUTE(SUBSTITUTE(C62," ",""),"0",""),"-","")))=(LEN(SUBSTITUTE(SUBSTITUTE(SUBSTITUTE(E62," ",""),"0",""),"-",""))+LEN(SUBSTITUTE(SUBSTITUTE(SUBSTITUTE(F62," ",""),"0",""),"-",""))))),1,0)),0)+IF(OR(COUNTA(B66:C70,E66:F70)&gt;0,OR(D65="X",D65="x"),UPPER(D66)="X",UPPER(D67)="X",UPPER(D68)="X",UPPER(D69)="X",UPPER(D70)="X"),(IF(OR(D66="X",D66="x",AND(COUNTA(B66,C66,E66,F66)&gt;0,(LEN(SUBSTITUTE(SUBSTITUTE(SUBSTITUTE(B66," ",""),"0",""),"-",""))+LEN(SUBSTITUTE(SUBSTITUTE(SUBSTITUTE(C66," ",""),"0",""),"-","")))=(LEN(SUBSTITUTE(SUBSTITUTE(SUBSTITUTE(E66," ",""),"0",""),"-",""))+LEN(SUBSTITUTE(SUBSTITUTE(SUBSTITUTE(F66," ",""),"0",""),"-",""))))),1,0)+IF(OR(D67="X",D67="x",AND(COUNTA(B67,C67,E67,F67)&gt;0,(LEN(SUBSTITUTE(SUBSTITUTE(SUBSTITUTE(B67," ",""),"0",""),"-",""))+LEN(SUBSTITUTE(SUBSTITUTE(SUBSTITUTE(C67," ",""),"0",""),"-","")))=(LEN(SUBSTITUTE(SUBSTITUTE(SUBSTITUTE(E67," ",""),"0",""),"-",""))+LEN(SUBSTITUTE(SUBSTITUTE(SUBSTITUTE(F67," ",""),"0",""),"-",""))))),1,0)+IF(OR(D68="X",D68="x",AND(COUNTA(B68,C68,E68,F68)&gt;0,(LEN(SUBSTITUTE(SUBSTITUTE(SUBSTITUTE(B68," ",""),"0",""),"-",""))+LEN(SUBSTITUTE(SUBSTITUTE(SUBSTITUTE(C68," ",""),"0",""),"-","")))=(LEN(SUBSTITUTE(SUBSTITUTE(SUBSTITUTE(E68," ",""),"0",""),"-",""))+LEN(SUBSTITUTE(SUBSTITUTE(SUBSTITUTE(F68," ",""),"0",""),"-",""))))),1,0)+IF(OR(D69="X",D69="x",AND(COUNTA(B69,C69,E69,F69)&gt;0,(LEN(SUBSTITUTE(SUBSTITUTE(SUBSTITUTE(B69," ",""),"0",""),"-",""))+LEN(SUBSTITUTE(SUBSTITUTE(SUBSTITUTE(C69," ",""),"0",""),"-","")))=(LEN(SUBSTITUTE(SUBSTITUTE(SUBSTITUTE(E69," ",""),"0",""),"-",""))+LEN(SUBSTITUTE(SUBSTITUTE(SUBSTITUTE(F69," ",""),"0",""),"-",""))))),1,0)+IF(OR(D70="X",D70="x",AND(COUNTA(B70,C70,E70,F70)&gt;0,(LEN(SUBSTITUTE(SUBSTITUTE(SUBSTITUTE(B70," ",""),"0",""),"-",""))+LEN(SUBSTITUTE(SUBSTITUTE(SUBSTITUTE(C70," ",""),"0",""),"-","")))=(LEN(SUBSTITUTE(SUBSTITUTE(SUBSTITUTE(E70," ",""),"0",""),"-",""))+LEN(SUBSTITUTE(SUBSTITUTE(SUBSTITUTE(F70," ",""),"0",""),"-",""))))),1,0)),0)</f>
      </c>
      <c r="E87" s="14" t="str">
        <f>E57+E65</f>
      </c>
      <c r="F87" s="14" t="str">
        <f>C57+C65</f>
      </c>
      <c r="I87" s="14" t="str">
        <f>data!$E$52&amp;" "&amp;data!$B$52</f>
      </c>
      <c r="J87" s="14" t="str">
        <f>IF(OR(COUNTA(J58:K62,M58:N62)&gt;0,OR(L57="X",L57="x"),UPPER(L58)="X",UPPER(L59)="X",UPPER(L60)="X",UPPER(L61)="X",UPPER(L62)="X"),N57,0)+IF(OR(COUNTA(J66:K70,M66:N70)&gt;0,OR(L65="X",L65="x"),UPPER(L66)="X",UPPER(L67)="X",UPPER(L68)="X",UPPER(L69)="X",UPPER(L70)="X"),N65,0)</f>
      </c>
      <c r="K87" s="14" t="str">
        <f>IF(OR(COUNTA(J58:K62,M58:N62)&gt;0,OR(L57="X",L57="x"),UPPER(L58)="X",UPPER(L59)="X",UPPER(L60)="X",UPPER(L61)="X",UPPER(L62)="X"),J57,0)+IF(OR(COUNTA(J66:K70,M66:N70)&gt;0,OR(L65="X",L65="x"),UPPER(L66)="X",UPPER(L67)="X",UPPER(L68)="X",UPPER(L69)="X",UPPER(L70)="X"),J65,0)</f>
      </c>
      <c r="L87" s="14" t="str">
        <f>IF(OR(COUNTA(J58:K62,M58:N62)&gt;0,OR(L57="X",L57="x"),UPPER(L58)="X",UPPER(L59)="X",UPPER(L60)="X",UPPER(L61)="X",UPPER(L62)="X"),(IF(OR(L58="X",L58="x",AND(COUNTA(J58,K58,M58,N58)&gt;0,(LEN(SUBSTITUTE(SUBSTITUTE(SUBSTITUTE(J58," ",""),"0",""),"-",""))+LEN(SUBSTITUTE(SUBSTITUTE(SUBSTITUTE(K58," ",""),"0",""),"-","")))=(LEN(SUBSTITUTE(SUBSTITUTE(SUBSTITUTE(M58," ",""),"0",""),"-",""))+LEN(SUBSTITUTE(SUBSTITUTE(SUBSTITUTE(N58," ",""),"0",""),"-",""))))),1,0)+IF(OR(L59="X",L59="x",AND(COUNTA(J59,K59,M59,N59)&gt;0,(LEN(SUBSTITUTE(SUBSTITUTE(SUBSTITUTE(J59," ",""),"0",""),"-",""))+LEN(SUBSTITUTE(SUBSTITUTE(SUBSTITUTE(K59," ",""),"0",""),"-","")))=(LEN(SUBSTITUTE(SUBSTITUTE(SUBSTITUTE(M59," ",""),"0",""),"-",""))+LEN(SUBSTITUTE(SUBSTITUTE(SUBSTITUTE(N59," ",""),"0",""),"-",""))))),1,0)+IF(OR(L60="X",L60="x",AND(COUNTA(J60,K60,M60,N60)&gt;0,(LEN(SUBSTITUTE(SUBSTITUTE(SUBSTITUTE(J60," ",""),"0",""),"-",""))+LEN(SUBSTITUTE(SUBSTITUTE(SUBSTITUTE(K60," ",""),"0",""),"-","")))=(LEN(SUBSTITUTE(SUBSTITUTE(SUBSTITUTE(M60," ",""),"0",""),"-",""))+LEN(SUBSTITUTE(SUBSTITUTE(SUBSTITUTE(N60," ",""),"0",""),"-",""))))),1,0)+IF(OR(L61="X",L61="x",AND(COUNTA(J61,K61,M61,N61)&gt;0,(LEN(SUBSTITUTE(SUBSTITUTE(SUBSTITUTE(J61," ",""),"0",""),"-",""))+LEN(SUBSTITUTE(SUBSTITUTE(SUBSTITUTE(K61," ",""),"0",""),"-","")))=(LEN(SUBSTITUTE(SUBSTITUTE(SUBSTITUTE(M61," ",""),"0",""),"-",""))+LEN(SUBSTITUTE(SUBSTITUTE(SUBSTITUTE(N61," ",""),"0",""),"-",""))))),1,0)+IF(OR(L62="X",L62="x",AND(COUNTA(J62,K62,M62,N62)&gt;0,(LEN(SUBSTITUTE(SUBSTITUTE(SUBSTITUTE(J62," ",""),"0",""),"-",""))+LEN(SUBSTITUTE(SUBSTITUTE(SUBSTITUTE(K62," ",""),"0",""),"-","")))=(LEN(SUBSTITUTE(SUBSTITUTE(SUBSTITUTE(M62," ",""),"0",""),"-",""))+LEN(SUBSTITUTE(SUBSTITUTE(SUBSTITUTE(N62," ",""),"0",""),"-",""))))),1,0)),0)+IF(OR(COUNTA(J66:K70,M66:N70)&gt;0,OR(L65="X",L65="x"),UPPER(L66)="X",UPPER(L67)="X",UPPER(L68)="X",UPPER(L69)="X",UPPER(L70)="X"),(IF(OR(L66="X",L66="x",AND(COUNTA(J66,K66,M66,N66)&gt;0,(LEN(SUBSTITUTE(SUBSTITUTE(SUBSTITUTE(J66," ",""),"0",""),"-",""))+LEN(SUBSTITUTE(SUBSTITUTE(SUBSTITUTE(K66," ",""),"0",""),"-","")))=(LEN(SUBSTITUTE(SUBSTITUTE(SUBSTITUTE(M66," ",""),"0",""),"-",""))+LEN(SUBSTITUTE(SUBSTITUTE(SUBSTITUTE(N66," ",""),"0",""),"-",""))))),1,0)+IF(OR(L67="X",L67="x",AND(COUNTA(J67,K67,M67,N67)&gt;0,(LEN(SUBSTITUTE(SUBSTITUTE(SUBSTITUTE(J67," ",""),"0",""),"-",""))+LEN(SUBSTITUTE(SUBSTITUTE(SUBSTITUTE(K67," ",""),"0",""),"-","")))=(LEN(SUBSTITUTE(SUBSTITUTE(SUBSTITUTE(M67," ",""),"0",""),"-",""))+LEN(SUBSTITUTE(SUBSTITUTE(SUBSTITUTE(N67," ",""),"0",""),"-",""))))),1,0)+IF(OR(L68="X",L68="x",AND(COUNTA(J68,K68,M68,N68)&gt;0,(LEN(SUBSTITUTE(SUBSTITUTE(SUBSTITUTE(J68," ",""),"0",""),"-",""))+LEN(SUBSTITUTE(SUBSTITUTE(SUBSTITUTE(K68," ",""),"0",""),"-","")))=(LEN(SUBSTITUTE(SUBSTITUTE(SUBSTITUTE(M68," ",""),"0",""),"-",""))+LEN(SUBSTITUTE(SUBSTITUTE(SUBSTITUTE(N68," ",""),"0",""),"-",""))))),1,0)+IF(OR(L69="X",L69="x",AND(COUNTA(J69,K69,M69,N69)&gt;0,(LEN(SUBSTITUTE(SUBSTITUTE(SUBSTITUTE(J69," ",""),"0",""),"-",""))+LEN(SUBSTITUTE(SUBSTITUTE(SUBSTITUTE(K69," ",""),"0",""),"-","")))=(LEN(SUBSTITUTE(SUBSTITUTE(SUBSTITUTE(M69," ",""),"0",""),"-",""))+LEN(SUBSTITUTE(SUBSTITUTE(SUBSTITUTE(N69," ",""),"0",""),"-",""))))),1,0)+IF(OR(L70="X",L70="x",AND(COUNTA(J70,K70,M70,N70)&gt;0,(LEN(SUBSTITUTE(SUBSTITUTE(SUBSTITUTE(J70," ",""),"0",""),"-",""))+LEN(SUBSTITUTE(SUBSTITUTE(SUBSTITUTE(K70," ",""),"0",""),"-","")))=(LEN(SUBSTITUTE(SUBSTITUTE(SUBSTITUTE(M70," ",""),"0",""),"-",""))+LEN(SUBSTITUTE(SUBSTITUTE(SUBSTITUTE(N70," ",""),"0",""),"-",""))))),1,0)),0)</f>
      </c>
      <c r="M87" s="14" t="str">
        <f>M57+M65</f>
      </c>
      <c r="N87" s="14" t="str">
        <f>K57+K65</f>
      </c>
    </row>
    <row r="88">
      <c r="A88" s="14" t="str">
        <f>data!$E$8&amp;" "&amp;data!$B$8</f>
      </c>
      <c r="B88" s="14" t="str">
        <f>IF(OR(COUNTA(B58:C62,E58:F62)&gt;0,OR(D57="X",D57="x"),UPPER(D58)="X",UPPER(D59)="X",UPPER(D60)="X",UPPER(D61)="X",UPPER(D62)="X"),B57,0)+IF(OR(COUNTA(B74:C78,E74:F78)&gt;0,OR(D73="X",D73="x"),UPPER(D74)="X",UPPER(D75)="X",UPPER(D76)="X",UPPER(D77)="X",UPPER(D78)="X"),F73,0)</f>
      </c>
      <c r="C88" s="14" t="str">
        <f>IF(OR(COUNTA(B58:C62,E58:F62)&gt;0,OR(D57="X",D57="x"),UPPER(D58)="X",UPPER(D59)="X",UPPER(D60)="X",UPPER(D61)="X",UPPER(D62)="X"),F57,0)+IF(OR(COUNTA(B74:C78,E74:F78)&gt;0,OR(D73="X",D73="x"),UPPER(D74)="X",UPPER(D75)="X",UPPER(D76)="X",UPPER(D77)="X",UPPER(D78)="X"),B73,0)</f>
      </c>
      <c r="D88" s="14" t="str">
        <f>IF(OR(COUNTA(B58:C62,E58:F62)&gt;0,OR(D57="X",D57="x"),UPPER(D58)="X",UPPER(D59)="X",UPPER(D60)="X",UPPER(D61)="X",UPPER(D62)="X"),(IF(OR(D58="X",D58="x",AND(COUNTA(B58,C58,E58,F58)&gt;0,(LEN(SUBSTITUTE(SUBSTITUTE(SUBSTITUTE(B58," ",""),"0",""),"-",""))+LEN(SUBSTITUTE(SUBSTITUTE(SUBSTITUTE(C58," ",""),"0",""),"-","")))=(LEN(SUBSTITUTE(SUBSTITUTE(SUBSTITUTE(E58," ",""),"0",""),"-",""))+LEN(SUBSTITUTE(SUBSTITUTE(SUBSTITUTE(F58," ",""),"0",""),"-",""))))),1,0)+IF(OR(D59="X",D59="x",AND(COUNTA(B59,C59,E59,F59)&gt;0,(LEN(SUBSTITUTE(SUBSTITUTE(SUBSTITUTE(B59," ",""),"0",""),"-",""))+LEN(SUBSTITUTE(SUBSTITUTE(SUBSTITUTE(C59," ",""),"0",""),"-","")))=(LEN(SUBSTITUTE(SUBSTITUTE(SUBSTITUTE(E59," ",""),"0",""),"-",""))+LEN(SUBSTITUTE(SUBSTITUTE(SUBSTITUTE(F59," ",""),"0",""),"-",""))))),1,0)+IF(OR(D60="X",D60="x",AND(COUNTA(B60,C60,E60,F60)&gt;0,(LEN(SUBSTITUTE(SUBSTITUTE(SUBSTITUTE(B60," ",""),"0",""),"-",""))+LEN(SUBSTITUTE(SUBSTITUTE(SUBSTITUTE(C60," ",""),"0",""),"-","")))=(LEN(SUBSTITUTE(SUBSTITUTE(SUBSTITUTE(E60," ",""),"0",""),"-",""))+LEN(SUBSTITUTE(SUBSTITUTE(SUBSTITUTE(F60," ",""),"0",""),"-",""))))),1,0)+IF(OR(D61="X",D61="x",AND(COUNTA(B61,C61,E61,F61)&gt;0,(LEN(SUBSTITUTE(SUBSTITUTE(SUBSTITUTE(B61," ",""),"0",""),"-",""))+LEN(SUBSTITUTE(SUBSTITUTE(SUBSTITUTE(C61," ",""),"0",""),"-","")))=(LEN(SUBSTITUTE(SUBSTITUTE(SUBSTITUTE(E61," ",""),"0",""),"-",""))+LEN(SUBSTITUTE(SUBSTITUTE(SUBSTITUTE(F61," ",""),"0",""),"-",""))))),1,0)+IF(OR(D62="X",D62="x",AND(COUNTA(B62,C62,E62,F62)&gt;0,(LEN(SUBSTITUTE(SUBSTITUTE(SUBSTITUTE(B62," ",""),"0",""),"-",""))+LEN(SUBSTITUTE(SUBSTITUTE(SUBSTITUTE(C62," ",""),"0",""),"-","")))=(LEN(SUBSTITUTE(SUBSTITUTE(SUBSTITUTE(E62," ",""),"0",""),"-",""))+LEN(SUBSTITUTE(SUBSTITUTE(SUBSTITUTE(F62," ",""),"0",""),"-",""))))),1,0)),0)+IF(OR(COUNTA(B74:C78,E74:F78)&gt;0,OR(D73="X",D73="x"),UPPER(D74)="X",UPPER(D75)="X",UPPER(D76)="X",UPPER(D77)="X",UPPER(D78)="X"),(IF(OR(D74="X",D74="x",AND(COUNTA(B74,C74,E74,F74)&gt;0,(LEN(SUBSTITUTE(SUBSTITUTE(SUBSTITUTE(B74," ",""),"0",""),"-",""))+LEN(SUBSTITUTE(SUBSTITUTE(SUBSTITUTE(C74," ",""),"0",""),"-","")))=(LEN(SUBSTITUTE(SUBSTITUTE(SUBSTITUTE(E74," ",""),"0",""),"-",""))+LEN(SUBSTITUTE(SUBSTITUTE(SUBSTITUTE(F74," ",""),"0",""),"-",""))))),1,0)+IF(OR(D75="X",D75="x",AND(COUNTA(B75,C75,E75,F75)&gt;0,(LEN(SUBSTITUTE(SUBSTITUTE(SUBSTITUTE(B75," ",""),"0",""),"-",""))+LEN(SUBSTITUTE(SUBSTITUTE(SUBSTITUTE(C75," ",""),"0",""),"-","")))=(LEN(SUBSTITUTE(SUBSTITUTE(SUBSTITUTE(E75," ",""),"0",""),"-",""))+LEN(SUBSTITUTE(SUBSTITUTE(SUBSTITUTE(F75," ",""),"0",""),"-",""))))),1,0)+IF(OR(D76="X",D76="x",AND(COUNTA(B76,C76,E76,F76)&gt;0,(LEN(SUBSTITUTE(SUBSTITUTE(SUBSTITUTE(B76," ",""),"0",""),"-",""))+LEN(SUBSTITUTE(SUBSTITUTE(SUBSTITUTE(C76," ",""),"0",""),"-","")))=(LEN(SUBSTITUTE(SUBSTITUTE(SUBSTITUTE(E76," ",""),"0",""),"-",""))+LEN(SUBSTITUTE(SUBSTITUTE(SUBSTITUTE(F76," ",""),"0",""),"-",""))))),1,0)+IF(OR(D77="X",D77="x",AND(COUNTA(B77,C77,E77,F77)&gt;0,(LEN(SUBSTITUTE(SUBSTITUTE(SUBSTITUTE(B77," ",""),"0",""),"-",""))+LEN(SUBSTITUTE(SUBSTITUTE(SUBSTITUTE(C77," ",""),"0",""),"-","")))=(LEN(SUBSTITUTE(SUBSTITUTE(SUBSTITUTE(E77," ",""),"0",""),"-",""))+LEN(SUBSTITUTE(SUBSTITUTE(SUBSTITUTE(F77," ",""),"0",""),"-",""))))),1,0)+IF(OR(D78="X",D78="x",AND(COUNTA(B78,C78,E78,F78)&gt;0,(LEN(SUBSTITUTE(SUBSTITUTE(SUBSTITUTE(B78," ",""),"0",""),"-",""))+LEN(SUBSTITUTE(SUBSTITUTE(SUBSTITUTE(C78," ",""),"0",""),"-","")))=(LEN(SUBSTITUTE(SUBSTITUTE(SUBSTITUTE(E78," ",""),"0",""),"-",""))+LEN(SUBSTITUTE(SUBSTITUTE(SUBSTITUTE(F78," ",""),"0",""),"-",""))))),1,0)),0)</f>
      </c>
      <c r="E88" s="14" t="str">
        <f>C57+E73</f>
      </c>
      <c r="F88" s="14" t="str">
        <f>E57+C73</f>
      </c>
      <c r="I88" s="14" t="str">
        <f>data!$E$53&amp;" "&amp;data!$B$53</f>
      </c>
      <c r="J88" s="14" t="str">
        <f>IF(OR(COUNTA(J58:K62,M58:N62)&gt;0,OR(L57="X",L57="x"),UPPER(L58)="X",UPPER(L59)="X",UPPER(L60)="X",UPPER(L61)="X",UPPER(L62)="X"),J57,0)+IF(OR(COUNTA(J74:K78,M74:N78)&gt;0,OR(L73="X",L73="x"),UPPER(L74)="X",UPPER(L75)="X",UPPER(L76)="X",UPPER(L77)="X",UPPER(L78)="X"),N73,0)</f>
      </c>
      <c r="K88" s="14" t="str">
        <f>IF(OR(COUNTA(J58:K62,M58:N62)&gt;0,OR(L57="X",L57="x"),UPPER(L58)="X",UPPER(L59)="X",UPPER(L60)="X",UPPER(L61)="X",UPPER(L62)="X"),N57,0)+IF(OR(COUNTA(J74:K78,M74:N78)&gt;0,OR(L73="X",L73="x"),UPPER(L74)="X",UPPER(L75)="X",UPPER(L76)="X",UPPER(L77)="X",UPPER(L78)="X"),J73,0)</f>
      </c>
      <c r="L88" s="14" t="str">
        <f>IF(OR(COUNTA(J58:K62,M58:N62)&gt;0,OR(L57="X",L57="x"),UPPER(L58)="X",UPPER(L59)="X",UPPER(L60)="X",UPPER(L61)="X",UPPER(L62)="X"),(IF(OR(L58="X",L58="x",AND(COUNTA(J58,K58,M58,N58)&gt;0,(LEN(SUBSTITUTE(SUBSTITUTE(SUBSTITUTE(J58," ",""),"0",""),"-",""))+LEN(SUBSTITUTE(SUBSTITUTE(SUBSTITUTE(K58," ",""),"0",""),"-","")))=(LEN(SUBSTITUTE(SUBSTITUTE(SUBSTITUTE(M58," ",""),"0",""),"-",""))+LEN(SUBSTITUTE(SUBSTITUTE(SUBSTITUTE(N58," ",""),"0",""),"-",""))))),1,0)+IF(OR(L59="X",L59="x",AND(COUNTA(J59,K59,M59,N59)&gt;0,(LEN(SUBSTITUTE(SUBSTITUTE(SUBSTITUTE(J59," ",""),"0",""),"-",""))+LEN(SUBSTITUTE(SUBSTITUTE(SUBSTITUTE(K59," ",""),"0",""),"-","")))=(LEN(SUBSTITUTE(SUBSTITUTE(SUBSTITUTE(M59," ",""),"0",""),"-",""))+LEN(SUBSTITUTE(SUBSTITUTE(SUBSTITUTE(N59," ",""),"0",""),"-",""))))),1,0)+IF(OR(L60="X",L60="x",AND(COUNTA(J60,K60,M60,N60)&gt;0,(LEN(SUBSTITUTE(SUBSTITUTE(SUBSTITUTE(J60," ",""),"0",""),"-",""))+LEN(SUBSTITUTE(SUBSTITUTE(SUBSTITUTE(K60," ",""),"0",""),"-","")))=(LEN(SUBSTITUTE(SUBSTITUTE(SUBSTITUTE(M60," ",""),"0",""),"-",""))+LEN(SUBSTITUTE(SUBSTITUTE(SUBSTITUTE(N60," ",""),"0",""),"-",""))))),1,0)+IF(OR(L61="X",L61="x",AND(COUNTA(J61,K61,M61,N61)&gt;0,(LEN(SUBSTITUTE(SUBSTITUTE(SUBSTITUTE(J61," ",""),"0",""),"-",""))+LEN(SUBSTITUTE(SUBSTITUTE(SUBSTITUTE(K61," ",""),"0",""),"-","")))=(LEN(SUBSTITUTE(SUBSTITUTE(SUBSTITUTE(M61," ",""),"0",""),"-",""))+LEN(SUBSTITUTE(SUBSTITUTE(SUBSTITUTE(N61," ",""),"0",""),"-",""))))),1,0)+IF(OR(L62="X",L62="x",AND(COUNTA(J62,K62,M62,N62)&gt;0,(LEN(SUBSTITUTE(SUBSTITUTE(SUBSTITUTE(J62," ",""),"0",""),"-",""))+LEN(SUBSTITUTE(SUBSTITUTE(SUBSTITUTE(K62," ",""),"0",""),"-","")))=(LEN(SUBSTITUTE(SUBSTITUTE(SUBSTITUTE(M62," ",""),"0",""),"-",""))+LEN(SUBSTITUTE(SUBSTITUTE(SUBSTITUTE(N62," ",""),"0",""),"-",""))))),1,0)),0)+IF(OR(COUNTA(J74:K78,M74:N78)&gt;0,OR(L73="X",L73="x"),UPPER(L74)="X",UPPER(L75)="X",UPPER(L76)="X",UPPER(L77)="X",UPPER(L78)="X"),(IF(OR(L74="X",L74="x",AND(COUNTA(J74,K74,M74,N74)&gt;0,(LEN(SUBSTITUTE(SUBSTITUTE(SUBSTITUTE(J74," ",""),"0",""),"-",""))+LEN(SUBSTITUTE(SUBSTITUTE(SUBSTITUTE(K74," ",""),"0",""),"-","")))=(LEN(SUBSTITUTE(SUBSTITUTE(SUBSTITUTE(M74," ",""),"0",""),"-",""))+LEN(SUBSTITUTE(SUBSTITUTE(SUBSTITUTE(N74," ",""),"0",""),"-",""))))),1,0)+IF(OR(L75="X",L75="x",AND(COUNTA(J75,K75,M75,N75)&gt;0,(LEN(SUBSTITUTE(SUBSTITUTE(SUBSTITUTE(J75," ",""),"0",""),"-",""))+LEN(SUBSTITUTE(SUBSTITUTE(SUBSTITUTE(K75," ",""),"0",""),"-","")))=(LEN(SUBSTITUTE(SUBSTITUTE(SUBSTITUTE(M75," ",""),"0",""),"-",""))+LEN(SUBSTITUTE(SUBSTITUTE(SUBSTITUTE(N75," ",""),"0",""),"-",""))))),1,0)+IF(OR(L76="X",L76="x",AND(COUNTA(J76,K76,M76,N76)&gt;0,(LEN(SUBSTITUTE(SUBSTITUTE(SUBSTITUTE(J76," ",""),"0",""),"-",""))+LEN(SUBSTITUTE(SUBSTITUTE(SUBSTITUTE(K76," ",""),"0",""),"-","")))=(LEN(SUBSTITUTE(SUBSTITUTE(SUBSTITUTE(M76," ",""),"0",""),"-",""))+LEN(SUBSTITUTE(SUBSTITUTE(SUBSTITUTE(N76," ",""),"0",""),"-",""))))),1,0)+IF(OR(L77="X",L77="x",AND(COUNTA(J77,K77,M77,N77)&gt;0,(LEN(SUBSTITUTE(SUBSTITUTE(SUBSTITUTE(J77," ",""),"0",""),"-",""))+LEN(SUBSTITUTE(SUBSTITUTE(SUBSTITUTE(K77," ",""),"0",""),"-","")))=(LEN(SUBSTITUTE(SUBSTITUTE(SUBSTITUTE(M77," ",""),"0",""),"-",""))+LEN(SUBSTITUTE(SUBSTITUTE(SUBSTITUTE(N77," ",""),"0",""),"-",""))))),1,0)+IF(OR(L78="X",L78="x",AND(COUNTA(J78,K78,M78,N78)&gt;0,(LEN(SUBSTITUTE(SUBSTITUTE(SUBSTITUTE(J78," ",""),"0",""),"-",""))+LEN(SUBSTITUTE(SUBSTITUTE(SUBSTITUTE(K78," ",""),"0",""),"-","")))=(LEN(SUBSTITUTE(SUBSTITUTE(SUBSTITUTE(M78," ",""),"0",""),"-",""))+LEN(SUBSTITUTE(SUBSTITUTE(SUBSTITUTE(N78," ",""),"0",""),"-",""))))),1,0)),0)</f>
      </c>
      <c r="M88" s="14" t="str">
        <f>K57+M73</f>
      </c>
      <c r="N88" s="14" t="str">
        <f>M57+K73</f>
      </c>
    </row>
    <row r="89">
      <c r="A89" s="14" t="str">
        <f>data!$E$9&amp;" "&amp;data!$B$9</f>
      </c>
      <c r="B89" s="14" t="str">
        <f>IF(OR(COUNTA(B66:C70,E66:F70)&gt;0,OR(D65="X",D65="x"),UPPER(D66)="X",UPPER(D67)="X",UPPER(D68)="X",UPPER(D69)="X",UPPER(D70)="X"),B65,0)+IF(OR(COUNTA(B74:C78,E74:F78)&gt;0,OR(D73="X",D73="x"),UPPER(D74)="X",UPPER(D75)="X",UPPER(D76)="X",UPPER(D77)="X",UPPER(D78)="X"),B73,0)</f>
      </c>
      <c r="C89" s="14" t="str">
        <f>IF(OR(COUNTA(B66:C70,E66:F70)&gt;0,OR(D65="X",D65="x"),UPPER(D66)="X",UPPER(D67)="X",UPPER(D68)="X",UPPER(D69)="X",UPPER(D70)="X"),F65,0)+IF(OR(COUNTA(B74:C78,E74:F78)&gt;0,OR(D73="X",D73="x"),UPPER(D74)="X",UPPER(D75)="X",UPPER(D76)="X",UPPER(D77)="X",UPPER(D78)="X"),F73,0)</f>
      </c>
      <c r="D89" s="14" t="str">
        <f>IF(OR(COUNTA(B66:C70,E66:F70)&gt;0,OR(D65="X",D65="x"),UPPER(D66)="X",UPPER(D67)="X",UPPER(D68)="X",UPPER(D69)="X",UPPER(D70)="X"),(IF(OR(D66="X",D66="x",AND(COUNTA(B66,C66,E66,F66)&gt;0,(LEN(SUBSTITUTE(SUBSTITUTE(SUBSTITUTE(B66," ",""),"0",""),"-",""))+LEN(SUBSTITUTE(SUBSTITUTE(SUBSTITUTE(C66," ",""),"0",""),"-","")))=(LEN(SUBSTITUTE(SUBSTITUTE(SUBSTITUTE(E66," ",""),"0",""),"-",""))+LEN(SUBSTITUTE(SUBSTITUTE(SUBSTITUTE(F66," ",""),"0",""),"-",""))))),1,0)+IF(OR(D67="X",D67="x",AND(COUNTA(B67,C67,E67,F67)&gt;0,(LEN(SUBSTITUTE(SUBSTITUTE(SUBSTITUTE(B67," ",""),"0",""),"-",""))+LEN(SUBSTITUTE(SUBSTITUTE(SUBSTITUTE(C67," ",""),"0",""),"-","")))=(LEN(SUBSTITUTE(SUBSTITUTE(SUBSTITUTE(E67," ",""),"0",""),"-",""))+LEN(SUBSTITUTE(SUBSTITUTE(SUBSTITUTE(F67," ",""),"0",""),"-",""))))),1,0)+IF(OR(D68="X",D68="x",AND(COUNTA(B68,C68,E68,F68)&gt;0,(LEN(SUBSTITUTE(SUBSTITUTE(SUBSTITUTE(B68," ",""),"0",""),"-",""))+LEN(SUBSTITUTE(SUBSTITUTE(SUBSTITUTE(C68," ",""),"0",""),"-","")))=(LEN(SUBSTITUTE(SUBSTITUTE(SUBSTITUTE(E68," ",""),"0",""),"-",""))+LEN(SUBSTITUTE(SUBSTITUTE(SUBSTITUTE(F68," ",""),"0",""),"-",""))))),1,0)+IF(OR(D69="X",D69="x",AND(COUNTA(B69,C69,E69,F69)&gt;0,(LEN(SUBSTITUTE(SUBSTITUTE(SUBSTITUTE(B69," ",""),"0",""),"-",""))+LEN(SUBSTITUTE(SUBSTITUTE(SUBSTITUTE(C69," ",""),"0",""),"-","")))=(LEN(SUBSTITUTE(SUBSTITUTE(SUBSTITUTE(E69," ",""),"0",""),"-",""))+LEN(SUBSTITUTE(SUBSTITUTE(SUBSTITUTE(F69," ",""),"0",""),"-",""))))),1,0)+IF(OR(D70="X",D70="x",AND(COUNTA(B70,C70,E70,F70)&gt;0,(LEN(SUBSTITUTE(SUBSTITUTE(SUBSTITUTE(B70," ",""),"0",""),"-",""))+LEN(SUBSTITUTE(SUBSTITUTE(SUBSTITUTE(C70," ",""),"0",""),"-","")))=(LEN(SUBSTITUTE(SUBSTITUTE(SUBSTITUTE(E70," ",""),"0",""),"-",""))+LEN(SUBSTITUTE(SUBSTITUTE(SUBSTITUTE(F70," ",""),"0",""),"-",""))))),1,0)),0)+IF(OR(COUNTA(B74:C78,E74:F78)&gt;0,OR(D73="X",D73="x"),UPPER(D74)="X",UPPER(D75)="X",UPPER(D76)="X",UPPER(D77)="X",UPPER(D78)="X"),(IF(OR(D74="X",D74="x",AND(COUNTA(B74,C74,E74,F74)&gt;0,(LEN(SUBSTITUTE(SUBSTITUTE(SUBSTITUTE(B74," ",""),"0",""),"-",""))+LEN(SUBSTITUTE(SUBSTITUTE(SUBSTITUTE(C74," ",""),"0",""),"-","")))=(LEN(SUBSTITUTE(SUBSTITUTE(SUBSTITUTE(E74," ",""),"0",""),"-",""))+LEN(SUBSTITUTE(SUBSTITUTE(SUBSTITUTE(F74," ",""),"0",""),"-",""))))),1,0)+IF(OR(D75="X",D75="x",AND(COUNTA(B75,C75,E75,F75)&gt;0,(LEN(SUBSTITUTE(SUBSTITUTE(SUBSTITUTE(B75," ",""),"0",""),"-",""))+LEN(SUBSTITUTE(SUBSTITUTE(SUBSTITUTE(C75," ",""),"0",""),"-","")))=(LEN(SUBSTITUTE(SUBSTITUTE(SUBSTITUTE(E75," ",""),"0",""),"-",""))+LEN(SUBSTITUTE(SUBSTITUTE(SUBSTITUTE(F75," ",""),"0",""),"-",""))))),1,0)+IF(OR(D76="X",D76="x",AND(COUNTA(B76,C76,E76,F76)&gt;0,(LEN(SUBSTITUTE(SUBSTITUTE(SUBSTITUTE(B76," ",""),"0",""),"-",""))+LEN(SUBSTITUTE(SUBSTITUTE(SUBSTITUTE(C76," ",""),"0",""),"-","")))=(LEN(SUBSTITUTE(SUBSTITUTE(SUBSTITUTE(E76," ",""),"0",""),"-",""))+LEN(SUBSTITUTE(SUBSTITUTE(SUBSTITUTE(F76," ",""),"0",""),"-",""))))),1,0)+IF(OR(D77="X",D77="x",AND(COUNTA(B77,C77,E77,F77)&gt;0,(LEN(SUBSTITUTE(SUBSTITUTE(SUBSTITUTE(B77," ",""),"0",""),"-",""))+LEN(SUBSTITUTE(SUBSTITUTE(SUBSTITUTE(C77," ",""),"0",""),"-","")))=(LEN(SUBSTITUTE(SUBSTITUTE(SUBSTITUTE(E77," ",""),"0",""),"-",""))+LEN(SUBSTITUTE(SUBSTITUTE(SUBSTITUTE(F77," ",""),"0",""),"-",""))))),1,0)+IF(OR(D78="X",D78="x",AND(COUNTA(B78,C78,E78,F78)&gt;0,(LEN(SUBSTITUTE(SUBSTITUTE(SUBSTITUTE(B78," ",""),"0",""),"-",""))+LEN(SUBSTITUTE(SUBSTITUTE(SUBSTITUTE(C78," ",""),"0",""),"-","")))=(LEN(SUBSTITUTE(SUBSTITUTE(SUBSTITUTE(E78," ",""),"0",""),"-",""))+LEN(SUBSTITUTE(SUBSTITUTE(SUBSTITUTE(F78," ",""),"0",""),"-",""))))),1,0)),0)</f>
      </c>
      <c r="E89" s="14" t="str">
        <f>C65+C73</f>
      </c>
      <c r="F89" s="14" t="str">
        <f>E65+E73</f>
      </c>
      <c r="I89" s="14" t="str">
        <f>data!$E$54&amp;" "&amp;data!$B$54</f>
      </c>
      <c r="J89" s="14" t="str">
        <f>IF(OR(COUNTA(J66:K70,M66:N70)&gt;0,OR(L65="X",L65="x"),UPPER(L66)="X",UPPER(L67)="X",UPPER(L68)="X",UPPER(L69)="X",UPPER(L70)="X"),J65,0)+IF(OR(COUNTA(J74:K78,M74:N78)&gt;0,OR(L73="X",L73="x"),UPPER(L74)="X",UPPER(L75)="X",UPPER(L76)="X",UPPER(L77)="X",UPPER(L78)="X"),J73,0)</f>
      </c>
      <c r="K89" s="14" t="str">
        <f>IF(OR(COUNTA(J66:K70,M66:N70)&gt;0,OR(L65="X",L65="x"),UPPER(L66)="X",UPPER(L67)="X",UPPER(L68)="X",UPPER(L69)="X",UPPER(L70)="X"),N65,0)+IF(OR(COUNTA(J74:K78,M74:N78)&gt;0,OR(L73="X",L73="x"),UPPER(L74)="X",UPPER(L75)="X",UPPER(L76)="X",UPPER(L77)="X",UPPER(L78)="X"),N73,0)</f>
      </c>
      <c r="L89" s="14" t="str">
        <f>IF(OR(COUNTA(J66:K70,M66:N70)&gt;0,OR(L65="X",L65="x"),UPPER(L66)="X",UPPER(L67)="X",UPPER(L68)="X",UPPER(L69)="X",UPPER(L70)="X"),(IF(OR(L66="X",L66="x",AND(COUNTA(J66,K66,M66,N66)&gt;0,(LEN(SUBSTITUTE(SUBSTITUTE(SUBSTITUTE(J66," ",""),"0",""),"-",""))+LEN(SUBSTITUTE(SUBSTITUTE(SUBSTITUTE(K66," ",""),"0",""),"-","")))=(LEN(SUBSTITUTE(SUBSTITUTE(SUBSTITUTE(M66," ",""),"0",""),"-",""))+LEN(SUBSTITUTE(SUBSTITUTE(SUBSTITUTE(N66," ",""),"0",""),"-",""))))),1,0)+IF(OR(L67="X",L67="x",AND(COUNTA(J67,K67,M67,N67)&gt;0,(LEN(SUBSTITUTE(SUBSTITUTE(SUBSTITUTE(J67," ",""),"0",""),"-",""))+LEN(SUBSTITUTE(SUBSTITUTE(SUBSTITUTE(K67," ",""),"0",""),"-","")))=(LEN(SUBSTITUTE(SUBSTITUTE(SUBSTITUTE(M67," ",""),"0",""),"-",""))+LEN(SUBSTITUTE(SUBSTITUTE(SUBSTITUTE(N67," ",""),"0",""),"-",""))))),1,0)+IF(OR(L68="X",L68="x",AND(COUNTA(J68,K68,M68,N68)&gt;0,(LEN(SUBSTITUTE(SUBSTITUTE(SUBSTITUTE(J68," ",""),"0",""),"-",""))+LEN(SUBSTITUTE(SUBSTITUTE(SUBSTITUTE(K68," ",""),"0",""),"-","")))=(LEN(SUBSTITUTE(SUBSTITUTE(SUBSTITUTE(M68," ",""),"0",""),"-",""))+LEN(SUBSTITUTE(SUBSTITUTE(SUBSTITUTE(N68," ",""),"0",""),"-",""))))),1,0)+IF(OR(L69="X",L69="x",AND(COUNTA(J69,K69,M69,N69)&gt;0,(LEN(SUBSTITUTE(SUBSTITUTE(SUBSTITUTE(J69," ",""),"0",""),"-",""))+LEN(SUBSTITUTE(SUBSTITUTE(SUBSTITUTE(K69," ",""),"0",""),"-","")))=(LEN(SUBSTITUTE(SUBSTITUTE(SUBSTITUTE(M69," ",""),"0",""),"-",""))+LEN(SUBSTITUTE(SUBSTITUTE(SUBSTITUTE(N69," ",""),"0",""),"-",""))))),1,0)+IF(OR(L70="X",L70="x",AND(COUNTA(J70,K70,M70,N70)&gt;0,(LEN(SUBSTITUTE(SUBSTITUTE(SUBSTITUTE(J70," ",""),"0",""),"-",""))+LEN(SUBSTITUTE(SUBSTITUTE(SUBSTITUTE(K70," ",""),"0",""),"-","")))=(LEN(SUBSTITUTE(SUBSTITUTE(SUBSTITUTE(M70," ",""),"0",""),"-",""))+LEN(SUBSTITUTE(SUBSTITUTE(SUBSTITUTE(N70," ",""),"0",""),"-",""))))),1,0)),0)+IF(OR(COUNTA(J74:K78,M74:N78)&gt;0,OR(L73="X",L73="x"),UPPER(L74)="X",UPPER(L75)="X",UPPER(L76)="X",UPPER(L77)="X",UPPER(L78)="X"),(IF(OR(L74="X",L74="x",AND(COUNTA(J74,K74,M74,N74)&gt;0,(LEN(SUBSTITUTE(SUBSTITUTE(SUBSTITUTE(J74," ",""),"0",""),"-",""))+LEN(SUBSTITUTE(SUBSTITUTE(SUBSTITUTE(K74," ",""),"0",""),"-","")))=(LEN(SUBSTITUTE(SUBSTITUTE(SUBSTITUTE(M74," ",""),"0",""),"-",""))+LEN(SUBSTITUTE(SUBSTITUTE(SUBSTITUTE(N74," ",""),"0",""),"-",""))))),1,0)+IF(OR(L75="X",L75="x",AND(COUNTA(J75,K75,M75,N75)&gt;0,(LEN(SUBSTITUTE(SUBSTITUTE(SUBSTITUTE(J75," ",""),"0",""),"-",""))+LEN(SUBSTITUTE(SUBSTITUTE(SUBSTITUTE(K75," ",""),"0",""),"-","")))=(LEN(SUBSTITUTE(SUBSTITUTE(SUBSTITUTE(M75," ",""),"0",""),"-",""))+LEN(SUBSTITUTE(SUBSTITUTE(SUBSTITUTE(N75," ",""),"0",""),"-",""))))),1,0)+IF(OR(L76="X",L76="x",AND(COUNTA(J76,K76,M76,N76)&gt;0,(LEN(SUBSTITUTE(SUBSTITUTE(SUBSTITUTE(J76," ",""),"0",""),"-",""))+LEN(SUBSTITUTE(SUBSTITUTE(SUBSTITUTE(K76," ",""),"0",""),"-","")))=(LEN(SUBSTITUTE(SUBSTITUTE(SUBSTITUTE(M76," ",""),"0",""),"-",""))+LEN(SUBSTITUTE(SUBSTITUTE(SUBSTITUTE(N76," ",""),"0",""),"-",""))))),1,0)+IF(OR(L77="X",L77="x",AND(COUNTA(J77,K77,M77,N77)&gt;0,(LEN(SUBSTITUTE(SUBSTITUTE(SUBSTITUTE(J77," ",""),"0",""),"-",""))+LEN(SUBSTITUTE(SUBSTITUTE(SUBSTITUTE(K77," ",""),"0",""),"-","")))=(LEN(SUBSTITUTE(SUBSTITUTE(SUBSTITUTE(M77," ",""),"0",""),"-",""))+LEN(SUBSTITUTE(SUBSTITUTE(SUBSTITUTE(N77," ",""),"0",""),"-",""))))),1,0)+IF(OR(L78="X",L78="x",AND(COUNTA(J78,K78,M78,N78)&gt;0,(LEN(SUBSTITUTE(SUBSTITUTE(SUBSTITUTE(J78," ",""),"0",""),"-",""))+LEN(SUBSTITUTE(SUBSTITUTE(SUBSTITUTE(K78," ",""),"0",""),"-","")))=(LEN(SUBSTITUTE(SUBSTITUTE(SUBSTITUTE(M78," ",""),"0",""),"-",""))+LEN(SUBSTITUTE(SUBSTITUTE(SUBSTITUTE(N78," ",""),"0",""),"-",""))))),1,0)),0)</f>
      </c>
      <c r="M89" s="14" t="str">
        <f>K65+K73</f>
      </c>
      <c r="N89" s="14" t="str">
        <f>M65+M73</f>
      </c>
    </row>
    <row r="92">
      <c r="F92" s="13"/>
      <c r="G92" s="13" t="s">
        <v>343</v>
      </c>
      <c r="N92" s="13"/>
      <c r="O92" s="13" t="s">
        <v>343</v>
      </c>
    </row>
    <row r="93">
      <c r="F93" t="s">
        <v>344</v>
      </c>
      <c r="G93" s="19" t="str">
        <f>IFERROR(INDEX($A$82:$A$89, MATCH(1, $G$82:$G$89, 0)), "-")</f>
      </c>
      <c r="N93" t="s">
        <v>344</v>
      </c>
      <c r="O93" s="19" t="str">
        <f>IFERROR(INDEX($I$82:$I$89, MATCH(1, $O$82:$O$89, 0)), "-")</f>
      </c>
    </row>
    <row r="94">
      <c r="F94" t="s">
        <v>345</v>
      </c>
      <c r="G94" s="19" t="str">
        <f>IFERROR(INDEX($A$82:$A$89, MATCH(2, $G$82:$G$89, 0)), "-")</f>
      </c>
      <c r="N94" t="s">
        <v>345</v>
      </c>
      <c r="O94" s="19" t="str">
        <f>IFERROR(INDEX($I$82:$I$89, MATCH(2, $O$82:$O$89, 0)), "-")</f>
      </c>
    </row>
    <row r="95">
      <c r="F95" t="s">
        <v>346</v>
      </c>
      <c r="G95" s="19" t="str">
        <f>IFERROR(INDEX($A$82:$A$89, MATCH(3, $G$82:$G$89, 0)), "-")</f>
      </c>
      <c r="N95" t="s">
        <v>346</v>
      </c>
      <c r="O95" s="19" t="str">
        <f>IFERROR(INDEX($I$82:$I$89, MATCH(3, $O$82:$O$89, 0)), "-")</f>
      </c>
    </row>
    <row r="98">
      <c r="A98" s="13" t="str">
        <f>'data'!$A$12</f>
      </c>
      <c r="B98" s="13"/>
      <c r="C98" s="13"/>
      <c r="D98" s="13"/>
      <c r="E98" s="13"/>
      <c r="F98" s="13"/>
      <c r="G98" s="13"/>
      <c r="I98" s="13" t="str">
        <f>'data'!$A$57</f>
      </c>
      <c r="J98" s="13"/>
      <c r="K98" s="13"/>
      <c r="L98" s="13"/>
      <c r="M98" s="13"/>
      <c r="N98" s="13"/>
      <c r="O98" s="13"/>
    </row>
    <row r="99">
      <c r="A99" s="17" t="s">
        <v>330</v>
      </c>
      <c r="B99" s="14"/>
      <c r="C99" s="14"/>
      <c r="D99" s="14" t="s">
        <v>331</v>
      </c>
      <c r="E99" s="14"/>
      <c r="F99" s="14"/>
      <c r="G99" s="16" t="s">
        <v>332</v>
      </c>
      <c r="I99" s="17" t="s">
        <v>330</v>
      </c>
      <c r="J99" s="14"/>
      <c r="K99" s="14"/>
      <c r="L99" s="14" t="s">
        <v>331</v>
      </c>
      <c r="M99" s="14"/>
      <c r="N99" s="14"/>
      <c r="O99" s="16" t="s">
        <v>332</v>
      </c>
    </row>
    <row r="100">
      <c r="A100" s="14" t="str">
        <f>data!$E$11&amp;" "&amp;data!$B$11</f>
      </c>
      <c r="B100" s="14" t="str">
        <f>IF(UPPER(D101)="X",0,IF((LEN(SUBSTITUTE(SUBSTITUTE(SUBSTITUTE(B101," ",""),"0",""),"-",""))+LEN(SUBSTITUTE(SUBSTITUTE(SUBSTITUTE(C101," ",""),"0",""),"-","")))&gt;(LEN(SUBSTITUTE(SUBSTITUTE(SUBSTITUTE(E101," ",""),"0",""),"-",""))+LEN(SUBSTITUTE(SUBSTITUTE(SUBSTITUTE(F101," ",""),"0",""),"-",""))),1,0))+IF(UPPER(D102)="X",0,IF((LEN(SUBSTITUTE(SUBSTITUTE(SUBSTITUTE(B102," ",""),"0",""),"-",""))+LEN(SUBSTITUTE(SUBSTITUTE(SUBSTITUTE(C102," ",""),"0",""),"-","")))&gt;(LEN(SUBSTITUTE(SUBSTITUTE(SUBSTITUTE(E102," ",""),"0",""),"-",""))+LEN(SUBSTITUTE(SUBSTITUTE(SUBSTITUTE(F102," ",""),"0",""),"-",""))),1,0))+IF(UPPER(D103)="X",0,IF((LEN(SUBSTITUTE(SUBSTITUTE(SUBSTITUTE(B103," ",""),"0",""),"-",""))+LEN(SUBSTITUTE(SUBSTITUTE(SUBSTITUTE(C103," ",""),"0",""),"-","")))&gt;(LEN(SUBSTITUTE(SUBSTITUTE(SUBSTITUTE(E103," ",""),"0",""),"-",""))+LEN(SUBSTITUTE(SUBSTITUTE(SUBSTITUTE(F103," ",""),"0",""),"-",""))),1,0))+IF(UPPER(D104)="X",0,IF((LEN(SUBSTITUTE(SUBSTITUTE(SUBSTITUTE(B104," ",""),"0",""),"-",""))+LEN(SUBSTITUTE(SUBSTITUTE(SUBSTITUTE(C104," ",""),"0",""),"-","")))&gt;(LEN(SUBSTITUTE(SUBSTITUTE(SUBSTITUTE(E104," ",""),"0",""),"-",""))+LEN(SUBSTITUTE(SUBSTITUTE(SUBSTITUTE(F104," ",""),"0",""),"-",""))),1,0))+IF(UPPER(D105)="X",0,IF((LEN(SUBSTITUTE(SUBSTITUTE(SUBSTITUTE(B105," ",""),"0",""),"-",""))+LEN(SUBSTITUTE(SUBSTITUTE(SUBSTITUTE(C105," ",""),"0",""),"-","")))&gt;(LEN(SUBSTITUTE(SUBSTITUTE(SUBSTITUTE(E105," ",""),"0",""),"-",""))+LEN(SUBSTITUTE(SUBSTITUTE(SUBSTITUTE(F105," ",""),"0",""),"-",""))),1,0))</f>
      </c>
      <c r="C100" s="14" t="str">
        <f>LEN(SUBSTITUTE(SUBSTITUTE(SUBSTITUTE(B101," ",""),"0",""),"-",""))+LEN(SUBSTITUTE(SUBSTITUTE(SUBSTITUTE(C101," ",""),"0",""),"-",""))+LEN(SUBSTITUTE(SUBSTITUTE(SUBSTITUTE(B102," ",""),"0",""),"-",""))+LEN(SUBSTITUTE(SUBSTITUTE(SUBSTITUTE(C102," ",""),"0",""),"-",""))+LEN(SUBSTITUTE(SUBSTITUTE(SUBSTITUTE(B103," ",""),"0",""),"-",""))+LEN(SUBSTITUTE(SUBSTITUTE(SUBSTITUTE(C103," ",""),"0",""),"-",""))+LEN(SUBSTITUTE(SUBSTITUTE(SUBSTITUTE(B104," ",""),"0",""),"-",""))+LEN(SUBSTITUTE(SUBSTITUTE(SUBSTITUTE(C104," ",""),"0",""),"-",""))+LEN(SUBSTITUTE(SUBSTITUTE(SUBSTITUTE(B105," ",""),"0",""),"-",""))+LEN(SUBSTITUTE(SUBSTITUTE(SUBSTITUTE(C105," ",""),"0",""),"-",""))</f>
      </c>
      <c r="D100" s="18"/>
      <c r="E100" s="14" t="str">
        <f>LEN(SUBSTITUTE(SUBSTITUTE(SUBSTITUTE(E101," ",""),"0",""),"-",""))+LEN(SUBSTITUTE(SUBSTITUTE(SUBSTITUTE(F101," ",""),"0",""),"-",""))+LEN(SUBSTITUTE(SUBSTITUTE(SUBSTITUTE(E102," ",""),"0",""),"-",""))+LEN(SUBSTITUTE(SUBSTITUTE(SUBSTITUTE(F102," ",""),"0",""),"-",""))+LEN(SUBSTITUTE(SUBSTITUTE(SUBSTITUTE(E103," ",""),"0",""),"-",""))+LEN(SUBSTITUTE(SUBSTITUTE(SUBSTITUTE(F103," ",""),"0",""),"-",""))+LEN(SUBSTITUTE(SUBSTITUTE(SUBSTITUTE(E104," ",""),"0",""),"-",""))+LEN(SUBSTITUTE(SUBSTITUTE(SUBSTITUTE(F104," ",""),"0",""),"-",""))+LEN(SUBSTITUTE(SUBSTITUTE(SUBSTITUTE(E105," ",""),"0",""),"-",""))+LEN(SUBSTITUTE(SUBSTITUTE(SUBSTITUTE(F105," ",""),"0",""),"-",""))</f>
      </c>
      <c r="F100" s="14" t="str">
        <f>IF(UPPER(D101)="X",0,IF((LEN(SUBSTITUTE(SUBSTITUTE(SUBSTITUTE(E101," ",""),"0",""),"-",""))+LEN(SUBSTITUTE(SUBSTITUTE(SUBSTITUTE(F101," ",""),"0",""),"-","")))&gt;(LEN(SUBSTITUTE(SUBSTITUTE(SUBSTITUTE(B101," ",""),"0",""),"-",""))+LEN(SUBSTITUTE(SUBSTITUTE(SUBSTITUTE(C101," ",""),"0",""),"-",""))),1,0))+IF(UPPER(D102)="X",0,IF((LEN(SUBSTITUTE(SUBSTITUTE(SUBSTITUTE(E102," ",""),"0",""),"-",""))+LEN(SUBSTITUTE(SUBSTITUTE(SUBSTITUTE(F102," ",""),"0",""),"-","")))&gt;(LEN(SUBSTITUTE(SUBSTITUTE(SUBSTITUTE(B102," ",""),"0",""),"-",""))+LEN(SUBSTITUTE(SUBSTITUTE(SUBSTITUTE(C102," ",""),"0",""),"-",""))),1,0))+IF(UPPER(D103)="X",0,IF((LEN(SUBSTITUTE(SUBSTITUTE(SUBSTITUTE(E103," ",""),"0",""),"-",""))+LEN(SUBSTITUTE(SUBSTITUTE(SUBSTITUTE(F103," ",""),"0",""),"-","")))&gt;(LEN(SUBSTITUTE(SUBSTITUTE(SUBSTITUTE(B103," ",""),"0",""),"-",""))+LEN(SUBSTITUTE(SUBSTITUTE(SUBSTITUTE(C103," ",""),"0",""),"-",""))),1,0))+IF(UPPER(D104)="X",0,IF((LEN(SUBSTITUTE(SUBSTITUTE(SUBSTITUTE(E104," ",""),"0",""),"-",""))+LEN(SUBSTITUTE(SUBSTITUTE(SUBSTITUTE(F104," ",""),"0",""),"-","")))&gt;(LEN(SUBSTITUTE(SUBSTITUTE(SUBSTITUTE(B104," ",""),"0",""),"-",""))+LEN(SUBSTITUTE(SUBSTITUTE(SUBSTITUTE(C104," ",""),"0",""),"-",""))),1,0))+IF(UPPER(D105)="X",0,IF((LEN(SUBSTITUTE(SUBSTITUTE(SUBSTITUTE(E105," ",""),"0",""),"-",""))+LEN(SUBSTITUTE(SUBSTITUTE(SUBSTITUTE(F105," ",""),"0",""),"-","")))&gt;(LEN(SUBSTITUTE(SUBSTITUTE(SUBSTITUTE(B105," ",""),"0",""),"-",""))+LEN(SUBSTITUTE(SUBSTITUTE(SUBSTITUTE(C105," ",""),"0",""),"-",""))),1,0))</f>
      </c>
      <c r="G100" s="14" t="str">
        <f>data!$E$10&amp;" "&amp;data!$B$10</f>
      </c>
      <c r="I100" s="14" t="str">
        <f>data!$E$56&amp;" "&amp;data!$B$56</f>
      </c>
      <c r="J100" s="14" t="str">
        <f>IF(UPPER(L101)="X",0,IF((LEN(SUBSTITUTE(SUBSTITUTE(SUBSTITUTE(J101," ",""),"0",""),"-",""))+LEN(SUBSTITUTE(SUBSTITUTE(SUBSTITUTE(K101," ",""),"0",""),"-","")))&gt;(LEN(SUBSTITUTE(SUBSTITUTE(SUBSTITUTE(M101," ",""),"0",""),"-",""))+LEN(SUBSTITUTE(SUBSTITUTE(SUBSTITUTE(N101," ",""),"0",""),"-",""))),1,0))+IF(UPPER(L102)="X",0,IF((LEN(SUBSTITUTE(SUBSTITUTE(SUBSTITUTE(J102," ",""),"0",""),"-",""))+LEN(SUBSTITUTE(SUBSTITUTE(SUBSTITUTE(K102," ",""),"0",""),"-","")))&gt;(LEN(SUBSTITUTE(SUBSTITUTE(SUBSTITUTE(M102," ",""),"0",""),"-",""))+LEN(SUBSTITUTE(SUBSTITUTE(SUBSTITUTE(N102," ",""),"0",""),"-",""))),1,0))+IF(UPPER(L103)="X",0,IF((LEN(SUBSTITUTE(SUBSTITUTE(SUBSTITUTE(J103," ",""),"0",""),"-",""))+LEN(SUBSTITUTE(SUBSTITUTE(SUBSTITUTE(K103," ",""),"0",""),"-","")))&gt;(LEN(SUBSTITUTE(SUBSTITUTE(SUBSTITUTE(M103," ",""),"0",""),"-",""))+LEN(SUBSTITUTE(SUBSTITUTE(SUBSTITUTE(N103," ",""),"0",""),"-",""))),1,0))+IF(UPPER(L104)="X",0,IF((LEN(SUBSTITUTE(SUBSTITUTE(SUBSTITUTE(J104," ",""),"0",""),"-",""))+LEN(SUBSTITUTE(SUBSTITUTE(SUBSTITUTE(K104," ",""),"0",""),"-","")))&gt;(LEN(SUBSTITUTE(SUBSTITUTE(SUBSTITUTE(M104," ",""),"0",""),"-",""))+LEN(SUBSTITUTE(SUBSTITUTE(SUBSTITUTE(N104," ",""),"0",""),"-",""))),1,0))+IF(UPPER(L105)="X",0,IF((LEN(SUBSTITUTE(SUBSTITUTE(SUBSTITUTE(J105," ",""),"0",""),"-",""))+LEN(SUBSTITUTE(SUBSTITUTE(SUBSTITUTE(K105," ",""),"0",""),"-","")))&gt;(LEN(SUBSTITUTE(SUBSTITUTE(SUBSTITUTE(M105," ",""),"0",""),"-",""))+LEN(SUBSTITUTE(SUBSTITUTE(SUBSTITUTE(N105," ",""),"0",""),"-",""))),1,0))</f>
      </c>
      <c r="K100" s="14" t="str">
        <f>LEN(SUBSTITUTE(SUBSTITUTE(SUBSTITUTE(J101," ",""),"0",""),"-",""))+LEN(SUBSTITUTE(SUBSTITUTE(SUBSTITUTE(K101," ",""),"0",""),"-",""))+LEN(SUBSTITUTE(SUBSTITUTE(SUBSTITUTE(J102," ",""),"0",""),"-",""))+LEN(SUBSTITUTE(SUBSTITUTE(SUBSTITUTE(K102," ",""),"0",""),"-",""))+LEN(SUBSTITUTE(SUBSTITUTE(SUBSTITUTE(J103," ",""),"0",""),"-",""))+LEN(SUBSTITUTE(SUBSTITUTE(SUBSTITUTE(K103," ",""),"0",""),"-",""))+LEN(SUBSTITUTE(SUBSTITUTE(SUBSTITUTE(J104," ",""),"0",""),"-",""))+LEN(SUBSTITUTE(SUBSTITUTE(SUBSTITUTE(K104," ",""),"0",""),"-",""))+LEN(SUBSTITUTE(SUBSTITUTE(SUBSTITUTE(J105," ",""),"0",""),"-",""))+LEN(SUBSTITUTE(SUBSTITUTE(SUBSTITUTE(K105," ",""),"0",""),"-",""))</f>
      </c>
      <c r="L100" s="18"/>
      <c r="M100" s="14" t="str">
        <f>LEN(SUBSTITUTE(SUBSTITUTE(SUBSTITUTE(M101," ",""),"0",""),"-",""))+LEN(SUBSTITUTE(SUBSTITUTE(SUBSTITUTE(N101," ",""),"0",""),"-",""))+LEN(SUBSTITUTE(SUBSTITUTE(SUBSTITUTE(M102," ",""),"0",""),"-",""))+LEN(SUBSTITUTE(SUBSTITUTE(SUBSTITUTE(N102," ",""),"0",""),"-",""))+LEN(SUBSTITUTE(SUBSTITUTE(SUBSTITUTE(M103," ",""),"0",""),"-",""))+LEN(SUBSTITUTE(SUBSTITUTE(SUBSTITUTE(N103," ",""),"0",""),"-",""))+LEN(SUBSTITUTE(SUBSTITUTE(SUBSTITUTE(M104," ",""),"0",""),"-",""))+LEN(SUBSTITUTE(SUBSTITUTE(SUBSTITUTE(N104," ",""),"0",""),"-",""))+LEN(SUBSTITUTE(SUBSTITUTE(SUBSTITUTE(M105," ",""),"0",""),"-",""))+LEN(SUBSTITUTE(SUBSTITUTE(SUBSTITUTE(N105," ",""),"0",""),"-",""))</f>
      </c>
      <c r="N100" s="14" t="str">
        <f>IF(UPPER(L101)="X",0,IF((LEN(SUBSTITUTE(SUBSTITUTE(SUBSTITUTE(M101," ",""),"0",""),"-",""))+LEN(SUBSTITUTE(SUBSTITUTE(SUBSTITUTE(N101," ",""),"0",""),"-","")))&gt;(LEN(SUBSTITUTE(SUBSTITUTE(SUBSTITUTE(J101," ",""),"0",""),"-",""))+LEN(SUBSTITUTE(SUBSTITUTE(SUBSTITUTE(K101," ",""),"0",""),"-",""))),1,0))+IF(UPPER(L102)="X",0,IF((LEN(SUBSTITUTE(SUBSTITUTE(SUBSTITUTE(M102," ",""),"0",""),"-",""))+LEN(SUBSTITUTE(SUBSTITUTE(SUBSTITUTE(N102," ",""),"0",""),"-","")))&gt;(LEN(SUBSTITUTE(SUBSTITUTE(SUBSTITUTE(J102," ",""),"0",""),"-",""))+LEN(SUBSTITUTE(SUBSTITUTE(SUBSTITUTE(K102," ",""),"0",""),"-",""))),1,0))+IF(UPPER(L103)="X",0,IF((LEN(SUBSTITUTE(SUBSTITUTE(SUBSTITUTE(M103," ",""),"0",""),"-",""))+LEN(SUBSTITUTE(SUBSTITUTE(SUBSTITUTE(N103," ",""),"0",""),"-","")))&gt;(LEN(SUBSTITUTE(SUBSTITUTE(SUBSTITUTE(J103," ",""),"0",""),"-",""))+LEN(SUBSTITUTE(SUBSTITUTE(SUBSTITUTE(K103," ",""),"0",""),"-",""))),1,0))+IF(UPPER(L104)="X",0,IF((LEN(SUBSTITUTE(SUBSTITUTE(SUBSTITUTE(M104," ",""),"0",""),"-",""))+LEN(SUBSTITUTE(SUBSTITUTE(SUBSTITUTE(N104," ",""),"0",""),"-","")))&gt;(LEN(SUBSTITUTE(SUBSTITUTE(SUBSTITUTE(J104," ",""),"0",""),"-",""))+LEN(SUBSTITUTE(SUBSTITUTE(SUBSTITUTE(K104," ",""),"0",""),"-",""))),1,0))+IF(UPPER(L105)="X",0,IF((LEN(SUBSTITUTE(SUBSTITUTE(SUBSTITUTE(M105," ",""),"0",""),"-",""))+LEN(SUBSTITUTE(SUBSTITUTE(SUBSTITUTE(N105," ",""),"0",""),"-","")))&gt;(LEN(SUBSTITUTE(SUBSTITUTE(SUBSTITUTE(J105," ",""),"0",""),"-",""))+LEN(SUBSTITUTE(SUBSTITUTE(SUBSTITUTE(K105," ",""),"0",""),"-",""))),1,0))</f>
      </c>
      <c r="O100" s="14" t="str">
        <f>data!$E$55&amp;" "&amp;data!$B$55</f>
      </c>
    </row>
    <row r="101">
      <c r="A101" s="14">
        <v>1</v>
      </c>
      <c r="B101" s="18"/>
      <c r="C101" s="18"/>
      <c r="D101" s="18"/>
      <c r="E101" s="18"/>
      <c r="F101" s="18"/>
      <c r="G101" s="14">
        <v>1</v>
      </c>
      <c r="I101" s="14">
        <v>1</v>
      </c>
      <c r="J101" s="18"/>
      <c r="K101" s="18"/>
      <c r="L101" s="18"/>
      <c r="M101" s="18"/>
      <c r="N101" s="18"/>
      <c r="O101" s="14">
        <v>1</v>
      </c>
    </row>
    <row r="102">
      <c r="A102" s="14">
        <v>2</v>
      </c>
      <c r="B102" s="18"/>
      <c r="C102" s="18"/>
      <c r="D102" s="18"/>
      <c r="E102" s="18"/>
      <c r="F102" s="18"/>
      <c r="G102" s="14">
        <v>2</v>
      </c>
      <c r="I102" s="14">
        <v>2</v>
      </c>
      <c r="J102" s="18"/>
      <c r="K102" s="18"/>
      <c r="L102" s="18"/>
      <c r="M102" s="18"/>
      <c r="N102" s="18"/>
      <c r="O102" s="14">
        <v>2</v>
      </c>
    </row>
    <row r="103">
      <c r="A103" s="14">
        <v>3</v>
      </c>
      <c r="B103" s="18"/>
      <c r="C103" s="18"/>
      <c r="D103" s="18"/>
      <c r="E103" s="18"/>
      <c r="F103" s="18"/>
      <c r="G103" s="14">
        <v>3</v>
      </c>
      <c r="I103" s="14">
        <v>3</v>
      </c>
      <c r="J103" s="18"/>
      <c r="K103" s="18"/>
      <c r="L103" s="18"/>
      <c r="M103" s="18"/>
      <c r="N103" s="18"/>
      <c r="O103" s="14">
        <v>3</v>
      </c>
    </row>
    <row r="104">
      <c r="A104" s="14">
        <v>4</v>
      </c>
      <c r="B104" s="18"/>
      <c r="C104" s="18"/>
      <c r="D104" s="18"/>
      <c r="E104" s="18"/>
      <c r="F104" s="18"/>
      <c r="G104" s="14">
        <v>4</v>
      </c>
      <c r="I104" s="14">
        <v>4</v>
      </c>
      <c r="J104" s="18"/>
      <c r="K104" s="18"/>
      <c r="L104" s="18"/>
      <c r="M104" s="18"/>
      <c r="N104" s="18"/>
      <c r="O104" s="14">
        <v>4</v>
      </c>
    </row>
    <row r="105">
      <c r="A105" s="14">
        <v>5</v>
      </c>
      <c r="B105" s="18"/>
      <c r="C105" s="18"/>
      <c r="D105" s="18"/>
      <c r="E105" s="18"/>
      <c r="F105" s="18"/>
      <c r="G105" s="14">
        <v>5</v>
      </c>
      <c r="I105" s="14">
        <v>5</v>
      </c>
      <c r="J105" s="18"/>
      <c r="K105" s="18"/>
      <c r="L105" s="18"/>
      <c r="M105" s="18"/>
      <c r="N105" s="18"/>
      <c r="O105" s="14">
        <v>5</v>
      </c>
    </row>
    <row r="107">
      <c r="A107" s="17" t="s">
        <v>330</v>
      </c>
      <c r="B107" s="14"/>
      <c r="C107" s="14"/>
      <c r="D107" s="14" t="s">
        <v>331</v>
      </c>
      <c r="E107" s="14"/>
      <c r="F107" s="14"/>
      <c r="G107" s="16" t="s">
        <v>332</v>
      </c>
      <c r="I107" s="17" t="s">
        <v>330</v>
      </c>
      <c r="J107" s="14"/>
      <c r="K107" s="14"/>
      <c r="L107" s="14" t="s">
        <v>331</v>
      </c>
      <c r="M107" s="14"/>
      <c r="N107" s="14"/>
      <c r="O107" s="16" t="s">
        <v>332</v>
      </c>
    </row>
    <row r="108">
      <c r="A108" s="14" t="str">
        <f>data!$E$12&amp;" "&amp;data!$B$12</f>
      </c>
      <c r="B108" s="14" t="str">
        <f>IF(UPPER(D109)="X",0,IF((LEN(SUBSTITUTE(SUBSTITUTE(SUBSTITUTE(B109," ",""),"0",""),"-",""))+LEN(SUBSTITUTE(SUBSTITUTE(SUBSTITUTE(C109," ",""),"0",""),"-","")))&gt;(LEN(SUBSTITUTE(SUBSTITUTE(SUBSTITUTE(E109," ",""),"0",""),"-",""))+LEN(SUBSTITUTE(SUBSTITUTE(SUBSTITUTE(F109," ",""),"0",""),"-",""))),1,0))+IF(UPPER(D110)="X",0,IF((LEN(SUBSTITUTE(SUBSTITUTE(SUBSTITUTE(B110," ",""),"0",""),"-",""))+LEN(SUBSTITUTE(SUBSTITUTE(SUBSTITUTE(C110," ",""),"0",""),"-","")))&gt;(LEN(SUBSTITUTE(SUBSTITUTE(SUBSTITUTE(E110," ",""),"0",""),"-",""))+LEN(SUBSTITUTE(SUBSTITUTE(SUBSTITUTE(F110," ",""),"0",""),"-",""))),1,0))+IF(UPPER(D111)="X",0,IF((LEN(SUBSTITUTE(SUBSTITUTE(SUBSTITUTE(B111," ",""),"0",""),"-",""))+LEN(SUBSTITUTE(SUBSTITUTE(SUBSTITUTE(C111," ",""),"0",""),"-","")))&gt;(LEN(SUBSTITUTE(SUBSTITUTE(SUBSTITUTE(E111," ",""),"0",""),"-",""))+LEN(SUBSTITUTE(SUBSTITUTE(SUBSTITUTE(F111," ",""),"0",""),"-",""))),1,0))+IF(UPPER(D112)="X",0,IF((LEN(SUBSTITUTE(SUBSTITUTE(SUBSTITUTE(B112," ",""),"0",""),"-",""))+LEN(SUBSTITUTE(SUBSTITUTE(SUBSTITUTE(C112," ",""),"0",""),"-","")))&gt;(LEN(SUBSTITUTE(SUBSTITUTE(SUBSTITUTE(E112," ",""),"0",""),"-",""))+LEN(SUBSTITUTE(SUBSTITUTE(SUBSTITUTE(F112," ",""),"0",""),"-",""))),1,0))+IF(UPPER(D113)="X",0,IF((LEN(SUBSTITUTE(SUBSTITUTE(SUBSTITUTE(B113," ",""),"0",""),"-",""))+LEN(SUBSTITUTE(SUBSTITUTE(SUBSTITUTE(C113," ",""),"0",""),"-","")))&gt;(LEN(SUBSTITUTE(SUBSTITUTE(SUBSTITUTE(E113," ",""),"0",""),"-",""))+LEN(SUBSTITUTE(SUBSTITUTE(SUBSTITUTE(F113," ",""),"0",""),"-",""))),1,0))</f>
      </c>
      <c r="C108" s="14" t="str">
        <f>LEN(SUBSTITUTE(SUBSTITUTE(SUBSTITUTE(B109," ",""),"0",""),"-",""))+LEN(SUBSTITUTE(SUBSTITUTE(SUBSTITUTE(C109," ",""),"0",""),"-",""))+LEN(SUBSTITUTE(SUBSTITUTE(SUBSTITUTE(B110," ",""),"0",""),"-",""))+LEN(SUBSTITUTE(SUBSTITUTE(SUBSTITUTE(C110," ",""),"0",""),"-",""))+LEN(SUBSTITUTE(SUBSTITUTE(SUBSTITUTE(B111," ",""),"0",""),"-",""))+LEN(SUBSTITUTE(SUBSTITUTE(SUBSTITUTE(C111," ",""),"0",""),"-",""))+LEN(SUBSTITUTE(SUBSTITUTE(SUBSTITUTE(B112," ",""),"0",""),"-",""))+LEN(SUBSTITUTE(SUBSTITUTE(SUBSTITUTE(C112," ",""),"0",""),"-",""))+LEN(SUBSTITUTE(SUBSTITUTE(SUBSTITUTE(B113," ",""),"0",""),"-",""))+LEN(SUBSTITUTE(SUBSTITUTE(SUBSTITUTE(C113," ",""),"0",""),"-",""))</f>
      </c>
      <c r="D108" s="18"/>
      <c r="E108" s="14" t="str">
        <f>LEN(SUBSTITUTE(SUBSTITUTE(SUBSTITUTE(E109," ",""),"0",""),"-",""))+LEN(SUBSTITUTE(SUBSTITUTE(SUBSTITUTE(F109," ",""),"0",""),"-",""))+LEN(SUBSTITUTE(SUBSTITUTE(SUBSTITUTE(E110," ",""),"0",""),"-",""))+LEN(SUBSTITUTE(SUBSTITUTE(SUBSTITUTE(F110," ",""),"0",""),"-",""))+LEN(SUBSTITUTE(SUBSTITUTE(SUBSTITUTE(E111," ",""),"0",""),"-",""))+LEN(SUBSTITUTE(SUBSTITUTE(SUBSTITUTE(F111," ",""),"0",""),"-",""))+LEN(SUBSTITUTE(SUBSTITUTE(SUBSTITUTE(E112," ",""),"0",""),"-",""))+LEN(SUBSTITUTE(SUBSTITUTE(SUBSTITUTE(F112," ",""),"0",""),"-",""))+LEN(SUBSTITUTE(SUBSTITUTE(SUBSTITUTE(E113," ",""),"0",""),"-",""))+LEN(SUBSTITUTE(SUBSTITUTE(SUBSTITUTE(F113," ",""),"0",""),"-",""))</f>
      </c>
      <c r="F108" s="14" t="str">
        <f>IF(UPPER(D109)="X",0,IF((LEN(SUBSTITUTE(SUBSTITUTE(SUBSTITUTE(E109," ",""),"0",""),"-",""))+LEN(SUBSTITUTE(SUBSTITUTE(SUBSTITUTE(F109," ",""),"0",""),"-","")))&gt;(LEN(SUBSTITUTE(SUBSTITUTE(SUBSTITUTE(B109," ",""),"0",""),"-",""))+LEN(SUBSTITUTE(SUBSTITUTE(SUBSTITUTE(C109," ",""),"0",""),"-",""))),1,0))+IF(UPPER(D110)="X",0,IF((LEN(SUBSTITUTE(SUBSTITUTE(SUBSTITUTE(E110," ",""),"0",""),"-",""))+LEN(SUBSTITUTE(SUBSTITUTE(SUBSTITUTE(F110," ",""),"0",""),"-","")))&gt;(LEN(SUBSTITUTE(SUBSTITUTE(SUBSTITUTE(B110," ",""),"0",""),"-",""))+LEN(SUBSTITUTE(SUBSTITUTE(SUBSTITUTE(C110," ",""),"0",""),"-",""))),1,0))+IF(UPPER(D111)="X",0,IF((LEN(SUBSTITUTE(SUBSTITUTE(SUBSTITUTE(E111," ",""),"0",""),"-",""))+LEN(SUBSTITUTE(SUBSTITUTE(SUBSTITUTE(F111," ",""),"0",""),"-","")))&gt;(LEN(SUBSTITUTE(SUBSTITUTE(SUBSTITUTE(B111," ",""),"0",""),"-",""))+LEN(SUBSTITUTE(SUBSTITUTE(SUBSTITUTE(C111," ",""),"0",""),"-",""))),1,0))+IF(UPPER(D112)="X",0,IF((LEN(SUBSTITUTE(SUBSTITUTE(SUBSTITUTE(E112," ",""),"0",""),"-",""))+LEN(SUBSTITUTE(SUBSTITUTE(SUBSTITUTE(F112," ",""),"0",""),"-","")))&gt;(LEN(SUBSTITUTE(SUBSTITUTE(SUBSTITUTE(B112," ",""),"0",""),"-",""))+LEN(SUBSTITUTE(SUBSTITUTE(SUBSTITUTE(C112," ",""),"0",""),"-",""))),1,0))+IF(UPPER(D113)="X",0,IF((LEN(SUBSTITUTE(SUBSTITUTE(SUBSTITUTE(E113," ",""),"0",""),"-",""))+LEN(SUBSTITUTE(SUBSTITUTE(SUBSTITUTE(F113," ",""),"0",""),"-","")))&gt;(LEN(SUBSTITUTE(SUBSTITUTE(SUBSTITUTE(B113," ",""),"0",""),"-",""))+LEN(SUBSTITUTE(SUBSTITUTE(SUBSTITUTE(C113," ",""),"0",""),"-",""))),1,0))</f>
      </c>
      <c r="G108" s="14" t="str">
        <f>data!$E$10&amp;" "&amp;data!$B$10</f>
      </c>
      <c r="I108" s="14" t="str">
        <f>data!$E$57&amp;" "&amp;data!$B$57</f>
      </c>
      <c r="J108" s="14" t="str">
        <f>IF(UPPER(L109)="X",0,IF((LEN(SUBSTITUTE(SUBSTITUTE(SUBSTITUTE(J109," ",""),"0",""),"-",""))+LEN(SUBSTITUTE(SUBSTITUTE(SUBSTITUTE(K109," ",""),"0",""),"-","")))&gt;(LEN(SUBSTITUTE(SUBSTITUTE(SUBSTITUTE(M109," ",""),"0",""),"-",""))+LEN(SUBSTITUTE(SUBSTITUTE(SUBSTITUTE(N109," ",""),"0",""),"-",""))),1,0))+IF(UPPER(L110)="X",0,IF((LEN(SUBSTITUTE(SUBSTITUTE(SUBSTITUTE(J110," ",""),"0",""),"-",""))+LEN(SUBSTITUTE(SUBSTITUTE(SUBSTITUTE(K110," ",""),"0",""),"-","")))&gt;(LEN(SUBSTITUTE(SUBSTITUTE(SUBSTITUTE(M110," ",""),"0",""),"-",""))+LEN(SUBSTITUTE(SUBSTITUTE(SUBSTITUTE(N110," ",""),"0",""),"-",""))),1,0))+IF(UPPER(L111)="X",0,IF((LEN(SUBSTITUTE(SUBSTITUTE(SUBSTITUTE(J111," ",""),"0",""),"-",""))+LEN(SUBSTITUTE(SUBSTITUTE(SUBSTITUTE(K111," ",""),"0",""),"-","")))&gt;(LEN(SUBSTITUTE(SUBSTITUTE(SUBSTITUTE(M111," ",""),"0",""),"-",""))+LEN(SUBSTITUTE(SUBSTITUTE(SUBSTITUTE(N111," ",""),"0",""),"-",""))),1,0))+IF(UPPER(L112)="X",0,IF((LEN(SUBSTITUTE(SUBSTITUTE(SUBSTITUTE(J112," ",""),"0",""),"-",""))+LEN(SUBSTITUTE(SUBSTITUTE(SUBSTITUTE(K112," ",""),"0",""),"-","")))&gt;(LEN(SUBSTITUTE(SUBSTITUTE(SUBSTITUTE(M112," ",""),"0",""),"-",""))+LEN(SUBSTITUTE(SUBSTITUTE(SUBSTITUTE(N112," ",""),"0",""),"-",""))),1,0))+IF(UPPER(L113)="X",0,IF((LEN(SUBSTITUTE(SUBSTITUTE(SUBSTITUTE(J113," ",""),"0",""),"-",""))+LEN(SUBSTITUTE(SUBSTITUTE(SUBSTITUTE(K113," ",""),"0",""),"-","")))&gt;(LEN(SUBSTITUTE(SUBSTITUTE(SUBSTITUTE(M113," ",""),"0",""),"-",""))+LEN(SUBSTITUTE(SUBSTITUTE(SUBSTITUTE(N113," ",""),"0",""),"-",""))),1,0))</f>
      </c>
      <c r="K108" s="14" t="str">
        <f>LEN(SUBSTITUTE(SUBSTITUTE(SUBSTITUTE(J109," ",""),"0",""),"-",""))+LEN(SUBSTITUTE(SUBSTITUTE(SUBSTITUTE(K109," ",""),"0",""),"-",""))+LEN(SUBSTITUTE(SUBSTITUTE(SUBSTITUTE(J110," ",""),"0",""),"-",""))+LEN(SUBSTITUTE(SUBSTITUTE(SUBSTITUTE(K110," ",""),"0",""),"-",""))+LEN(SUBSTITUTE(SUBSTITUTE(SUBSTITUTE(J111," ",""),"0",""),"-",""))+LEN(SUBSTITUTE(SUBSTITUTE(SUBSTITUTE(K111," ",""),"0",""),"-",""))+LEN(SUBSTITUTE(SUBSTITUTE(SUBSTITUTE(J112," ",""),"0",""),"-",""))+LEN(SUBSTITUTE(SUBSTITUTE(SUBSTITUTE(K112," ",""),"0",""),"-",""))+LEN(SUBSTITUTE(SUBSTITUTE(SUBSTITUTE(J113," ",""),"0",""),"-",""))+LEN(SUBSTITUTE(SUBSTITUTE(SUBSTITUTE(K113," ",""),"0",""),"-",""))</f>
      </c>
      <c r="L108" s="18"/>
      <c r="M108" s="14" t="str">
        <f>LEN(SUBSTITUTE(SUBSTITUTE(SUBSTITUTE(M109," ",""),"0",""),"-",""))+LEN(SUBSTITUTE(SUBSTITUTE(SUBSTITUTE(N109," ",""),"0",""),"-",""))+LEN(SUBSTITUTE(SUBSTITUTE(SUBSTITUTE(M110," ",""),"0",""),"-",""))+LEN(SUBSTITUTE(SUBSTITUTE(SUBSTITUTE(N110," ",""),"0",""),"-",""))+LEN(SUBSTITUTE(SUBSTITUTE(SUBSTITUTE(M111," ",""),"0",""),"-",""))+LEN(SUBSTITUTE(SUBSTITUTE(SUBSTITUTE(N111," ",""),"0",""),"-",""))+LEN(SUBSTITUTE(SUBSTITUTE(SUBSTITUTE(M112," ",""),"0",""),"-",""))+LEN(SUBSTITUTE(SUBSTITUTE(SUBSTITUTE(N112," ",""),"0",""),"-",""))+LEN(SUBSTITUTE(SUBSTITUTE(SUBSTITUTE(M113," ",""),"0",""),"-",""))+LEN(SUBSTITUTE(SUBSTITUTE(SUBSTITUTE(N113," ",""),"0",""),"-",""))</f>
      </c>
      <c r="N108" s="14" t="str">
        <f>IF(UPPER(L109)="X",0,IF((LEN(SUBSTITUTE(SUBSTITUTE(SUBSTITUTE(M109," ",""),"0",""),"-",""))+LEN(SUBSTITUTE(SUBSTITUTE(SUBSTITUTE(N109," ",""),"0",""),"-","")))&gt;(LEN(SUBSTITUTE(SUBSTITUTE(SUBSTITUTE(J109," ",""),"0",""),"-",""))+LEN(SUBSTITUTE(SUBSTITUTE(SUBSTITUTE(K109," ",""),"0",""),"-",""))),1,0))+IF(UPPER(L110)="X",0,IF((LEN(SUBSTITUTE(SUBSTITUTE(SUBSTITUTE(M110," ",""),"0",""),"-",""))+LEN(SUBSTITUTE(SUBSTITUTE(SUBSTITUTE(N110," ",""),"0",""),"-","")))&gt;(LEN(SUBSTITUTE(SUBSTITUTE(SUBSTITUTE(J110," ",""),"0",""),"-",""))+LEN(SUBSTITUTE(SUBSTITUTE(SUBSTITUTE(K110," ",""),"0",""),"-",""))),1,0))+IF(UPPER(L111)="X",0,IF((LEN(SUBSTITUTE(SUBSTITUTE(SUBSTITUTE(M111," ",""),"0",""),"-",""))+LEN(SUBSTITUTE(SUBSTITUTE(SUBSTITUTE(N111," ",""),"0",""),"-","")))&gt;(LEN(SUBSTITUTE(SUBSTITUTE(SUBSTITUTE(J111," ",""),"0",""),"-",""))+LEN(SUBSTITUTE(SUBSTITUTE(SUBSTITUTE(K111," ",""),"0",""),"-",""))),1,0))+IF(UPPER(L112)="X",0,IF((LEN(SUBSTITUTE(SUBSTITUTE(SUBSTITUTE(M112," ",""),"0",""),"-",""))+LEN(SUBSTITUTE(SUBSTITUTE(SUBSTITUTE(N112," ",""),"0",""),"-","")))&gt;(LEN(SUBSTITUTE(SUBSTITUTE(SUBSTITUTE(J112," ",""),"0",""),"-",""))+LEN(SUBSTITUTE(SUBSTITUTE(SUBSTITUTE(K112," ",""),"0",""),"-",""))),1,0))+IF(UPPER(L113)="X",0,IF((LEN(SUBSTITUTE(SUBSTITUTE(SUBSTITUTE(M113," ",""),"0",""),"-",""))+LEN(SUBSTITUTE(SUBSTITUTE(SUBSTITUTE(N113," ",""),"0",""),"-","")))&gt;(LEN(SUBSTITUTE(SUBSTITUTE(SUBSTITUTE(J113," ",""),"0",""),"-",""))+LEN(SUBSTITUTE(SUBSTITUTE(SUBSTITUTE(K113," ",""),"0",""),"-",""))),1,0))</f>
      </c>
      <c r="O108" s="14" t="str">
        <f>data!$E$55&amp;" "&amp;data!$B$55</f>
      </c>
    </row>
    <row r="109">
      <c r="A109" s="14">
        <v>1</v>
      </c>
      <c r="B109" s="18"/>
      <c r="C109" s="18"/>
      <c r="D109" s="18"/>
      <c r="E109" s="18"/>
      <c r="F109" s="18"/>
      <c r="G109" s="14">
        <v>1</v>
      </c>
      <c r="I109" s="14">
        <v>1</v>
      </c>
      <c r="J109" s="18"/>
      <c r="K109" s="18"/>
      <c r="L109" s="18"/>
      <c r="M109" s="18"/>
      <c r="N109" s="18"/>
      <c r="O109" s="14">
        <v>1</v>
      </c>
    </row>
    <row r="110">
      <c r="A110" s="14">
        <v>2</v>
      </c>
      <c r="B110" s="18"/>
      <c r="C110" s="18"/>
      <c r="D110" s="18"/>
      <c r="E110" s="18"/>
      <c r="F110" s="18"/>
      <c r="G110" s="14">
        <v>2</v>
      </c>
      <c r="I110" s="14">
        <v>2</v>
      </c>
      <c r="J110" s="18"/>
      <c r="K110" s="18"/>
      <c r="L110" s="18"/>
      <c r="M110" s="18"/>
      <c r="N110" s="18"/>
      <c r="O110" s="14">
        <v>2</v>
      </c>
    </row>
    <row r="111">
      <c r="A111" s="14">
        <v>3</v>
      </c>
      <c r="B111" s="18"/>
      <c r="C111" s="18"/>
      <c r="D111" s="18"/>
      <c r="E111" s="18"/>
      <c r="F111" s="18"/>
      <c r="G111" s="14">
        <v>3</v>
      </c>
      <c r="I111" s="14">
        <v>3</v>
      </c>
      <c r="J111" s="18"/>
      <c r="K111" s="18"/>
      <c r="L111" s="18"/>
      <c r="M111" s="18"/>
      <c r="N111" s="18"/>
      <c r="O111" s="14">
        <v>3</v>
      </c>
    </row>
    <row r="112">
      <c r="A112" s="14">
        <v>4</v>
      </c>
      <c r="B112" s="18"/>
      <c r="C112" s="18"/>
      <c r="D112" s="18"/>
      <c r="E112" s="18"/>
      <c r="F112" s="18"/>
      <c r="G112" s="14">
        <v>4</v>
      </c>
      <c r="I112" s="14">
        <v>4</v>
      </c>
      <c r="J112" s="18"/>
      <c r="K112" s="18"/>
      <c r="L112" s="18"/>
      <c r="M112" s="18"/>
      <c r="N112" s="18"/>
      <c r="O112" s="14">
        <v>4</v>
      </c>
    </row>
    <row r="113">
      <c r="A113" s="14">
        <v>5</v>
      </c>
      <c r="B113" s="18"/>
      <c r="C113" s="18"/>
      <c r="D113" s="18"/>
      <c r="E113" s="18"/>
      <c r="F113" s="18"/>
      <c r="G113" s="14">
        <v>5</v>
      </c>
      <c r="I113" s="14">
        <v>5</v>
      </c>
      <c r="J113" s="18"/>
      <c r="K113" s="18"/>
      <c r="L113" s="18"/>
      <c r="M113" s="18"/>
      <c r="N113" s="18"/>
      <c r="O113" s="14">
        <v>5</v>
      </c>
    </row>
    <row r="115">
      <c r="A115" s="17" t="s">
        <v>330</v>
      </c>
      <c r="B115" s="14"/>
      <c r="C115" s="14"/>
      <c r="D115" s="14" t="s">
        <v>331</v>
      </c>
      <c r="E115" s="14"/>
      <c r="F115" s="14"/>
      <c r="G115" s="16" t="s">
        <v>332</v>
      </c>
      <c r="I115" s="17" t="s">
        <v>330</v>
      </c>
      <c r="J115" s="14"/>
      <c r="K115" s="14"/>
      <c r="L115" s="14" t="s">
        <v>331</v>
      </c>
      <c r="M115" s="14"/>
      <c r="N115" s="14"/>
      <c r="O115" s="16" t="s">
        <v>332</v>
      </c>
    </row>
    <row r="116">
      <c r="A116" s="14" t="str">
        <f>data!$E$12&amp;" "&amp;data!$B$12</f>
      </c>
      <c r="B116" s="14" t="str">
        <f>IF(UPPER(D117)="X",0,IF((LEN(SUBSTITUTE(SUBSTITUTE(SUBSTITUTE(B117," ",""),"0",""),"-",""))+LEN(SUBSTITUTE(SUBSTITUTE(SUBSTITUTE(C117," ",""),"0",""),"-","")))&gt;(LEN(SUBSTITUTE(SUBSTITUTE(SUBSTITUTE(E117," ",""),"0",""),"-",""))+LEN(SUBSTITUTE(SUBSTITUTE(SUBSTITUTE(F117," ",""),"0",""),"-",""))),1,0))+IF(UPPER(D118)="X",0,IF((LEN(SUBSTITUTE(SUBSTITUTE(SUBSTITUTE(B118," ",""),"0",""),"-",""))+LEN(SUBSTITUTE(SUBSTITUTE(SUBSTITUTE(C118," ",""),"0",""),"-","")))&gt;(LEN(SUBSTITUTE(SUBSTITUTE(SUBSTITUTE(E118," ",""),"0",""),"-",""))+LEN(SUBSTITUTE(SUBSTITUTE(SUBSTITUTE(F118," ",""),"0",""),"-",""))),1,0))+IF(UPPER(D119)="X",0,IF((LEN(SUBSTITUTE(SUBSTITUTE(SUBSTITUTE(B119," ",""),"0",""),"-",""))+LEN(SUBSTITUTE(SUBSTITUTE(SUBSTITUTE(C119," ",""),"0",""),"-","")))&gt;(LEN(SUBSTITUTE(SUBSTITUTE(SUBSTITUTE(E119," ",""),"0",""),"-",""))+LEN(SUBSTITUTE(SUBSTITUTE(SUBSTITUTE(F119," ",""),"0",""),"-",""))),1,0))+IF(UPPER(D120)="X",0,IF((LEN(SUBSTITUTE(SUBSTITUTE(SUBSTITUTE(B120," ",""),"0",""),"-",""))+LEN(SUBSTITUTE(SUBSTITUTE(SUBSTITUTE(C120," ",""),"0",""),"-","")))&gt;(LEN(SUBSTITUTE(SUBSTITUTE(SUBSTITUTE(E120," ",""),"0",""),"-",""))+LEN(SUBSTITUTE(SUBSTITUTE(SUBSTITUTE(F120," ",""),"0",""),"-",""))),1,0))+IF(UPPER(D121)="X",0,IF((LEN(SUBSTITUTE(SUBSTITUTE(SUBSTITUTE(B121," ",""),"0",""),"-",""))+LEN(SUBSTITUTE(SUBSTITUTE(SUBSTITUTE(C121," ",""),"0",""),"-","")))&gt;(LEN(SUBSTITUTE(SUBSTITUTE(SUBSTITUTE(E121," ",""),"0",""),"-",""))+LEN(SUBSTITUTE(SUBSTITUTE(SUBSTITUTE(F121," ",""),"0",""),"-",""))),1,0))</f>
      </c>
      <c r="C116" s="14" t="str">
        <f>LEN(SUBSTITUTE(SUBSTITUTE(SUBSTITUTE(B117," ",""),"0",""),"-",""))+LEN(SUBSTITUTE(SUBSTITUTE(SUBSTITUTE(C117," ",""),"0",""),"-",""))+LEN(SUBSTITUTE(SUBSTITUTE(SUBSTITUTE(B118," ",""),"0",""),"-",""))+LEN(SUBSTITUTE(SUBSTITUTE(SUBSTITUTE(C118," ",""),"0",""),"-",""))+LEN(SUBSTITUTE(SUBSTITUTE(SUBSTITUTE(B119," ",""),"0",""),"-",""))+LEN(SUBSTITUTE(SUBSTITUTE(SUBSTITUTE(C119," ",""),"0",""),"-",""))+LEN(SUBSTITUTE(SUBSTITUTE(SUBSTITUTE(B120," ",""),"0",""),"-",""))+LEN(SUBSTITUTE(SUBSTITUTE(SUBSTITUTE(C120," ",""),"0",""),"-",""))+LEN(SUBSTITUTE(SUBSTITUTE(SUBSTITUTE(B121," ",""),"0",""),"-",""))+LEN(SUBSTITUTE(SUBSTITUTE(SUBSTITUTE(C121," ",""),"0",""),"-",""))</f>
      </c>
      <c r="D116" s="18"/>
      <c r="E116" s="14" t="str">
        <f>LEN(SUBSTITUTE(SUBSTITUTE(SUBSTITUTE(E117," ",""),"0",""),"-",""))+LEN(SUBSTITUTE(SUBSTITUTE(SUBSTITUTE(F117," ",""),"0",""),"-",""))+LEN(SUBSTITUTE(SUBSTITUTE(SUBSTITUTE(E118," ",""),"0",""),"-",""))+LEN(SUBSTITUTE(SUBSTITUTE(SUBSTITUTE(F118," ",""),"0",""),"-",""))+LEN(SUBSTITUTE(SUBSTITUTE(SUBSTITUTE(E119," ",""),"0",""),"-",""))+LEN(SUBSTITUTE(SUBSTITUTE(SUBSTITUTE(F119," ",""),"0",""),"-",""))+LEN(SUBSTITUTE(SUBSTITUTE(SUBSTITUTE(E120," ",""),"0",""),"-",""))+LEN(SUBSTITUTE(SUBSTITUTE(SUBSTITUTE(F120," ",""),"0",""),"-",""))+LEN(SUBSTITUTE(SUBSTITUTE(SUBSTITUTE(E121," ",""),"0",""),"-",""))+LEN(SUBSTITUTE(SUBSTITUTE(SUBSTITUTE(F121," ",""),"0",""),"-",""))</f>
      </c>
      <c r="F116" s="14" t="str">
        <f>IF(UPPER(D117)="X",0,IF((LEN(SUBSTITUTE(SUBSTITUTE(SUBSTITUTE(E117," ",""),"0",""),"-",""))+LEN(SUBSTITUTE(SUBSTITUTE(SUBSTITUTE(F117," ",""),"0",""),"-","")))&gt;(LEN(SUBSTITUTE(SUBSTITUTE(SUBSTITUTE(B117," ",""),"0",""),"-",""))+LEN(SUBSTITUTE(SUBSTITUTE(SUBSTITUTE(C117," ",""),"0",""),"-",""))),1,0))+IF(UPPER(D118)="X",0,IF((LEN(SUBSTITUTE(SUBSTITUTE(SUBSTITUTE(E118," ",""),"0",""),"-",""))+LEN(SUBSTITUTE(SUBSTITUTE(SUBSTITUTE(F118," ",""),"0",""),"-","")))&gt;(LEN(SUBSTITUTE(SUBSTITUTE(SUBSTITUTE(B118," ",""),"0",""),"-",""))+LEN(SUBSTITUTE(SUBSTITUTE(SUBSTITUTE(C118," ",""),"0",""),"-",""))),1,0))+IF(UPPER(D119)="X",0,IF((LEN(SUBSTITUTE(SUBSTITUTE(SUBSTITUTE(E119," ",""),"0",""),"-",""))+LEN(SUBSTITUTE(SUBSTITUTE(SUBSTITUTE(F119," ",""),"0",""),"-","")))&gt;(LEN(SUBSTITUTE(SUBSTITUTE(SUBSTITUTE(B119," ",""),"0",""),"-",""))+LEN(SUBSTITUTE(SUBSTITUTE(SUBSTITUTE(C119," ",""),"0",""),"-",""))),1,0))+IF(UPPER(D120)="X",0,IF((LEN(SUBSTITUTE(SUBSTITUTE(SUBSTITUTE(E120," ",""),"0",""),"-",""))+LEN(SUBSTITUTE(SUBSTITUTE(SUBSTITUTE(F120," ",""),"0",""),"-","")))&gt;(LEN(SUBSTITUTE(SUBSTITUTE(SUBSTITUTE(B120," ",""),"0",""),"-",""))+LEN(SUBSTITUTE(SUBSTITUTE(SUBSTITUTE(C120," ",""),"0",""),"-",""))),1,0))+IF(UPPER(D121)="X",0,IF((LEN(SUBSTITUTE(SUBSTITUTE(SUBSTITUTE(E121," ",""),"0",""),"-",""))+LEN(SUBSTITUTE(SUBSTITUTE(SUBSTITUTE(F121," ",""),"0",""),"-","")))&gt;(LEN(SUBSTITUTE(SUBSTITUTE(SUBSTITUTE(B121," ",""),"0",""),"-",""))+LEN(SUBSTITUTE(SUBSTITUTE(SUBSTITUTE(C121," ",""),"0",""),"-",""))),1,0))</f>
      </c>
      <c r="G116" s="14" t="str">
        <f>data!$E$11&amp;" "&amp;data!$B$11</f>
      </c>
      <c r="I116" s="14" t="str">
        <f>data!$E$57&amp;" "&amp;data!$B$57</f>
      </c>
      <c r="J116" s="14" t="str">
        <f>IF(UPPER(L117)="X",0,IF((LEN(SUBSTITUTE(SUBSTITUTE(SUBSTITUTE(J117," ",""),"0",""),"-",""))+LEN(SUBSTITUTE(SUBSTITUTE(SUBSTITUTE(K117," ",""),"0",""),"-","")))&gt;(LEN(SUBSTITUTE(SUBSTITUTE(SUBSTITUTE(M117," ",""),"0",""),"-",""))+LEN(SUBSTITUTE(SUBSTITUTE(SUBSTITUTE(N117," ",""),"0",""),"-",""))),1,0))+IF(UPPER(L118)="X",0,IF((LEN(SUBSTITUTE(SUBSTITUTE(SUBSTITUTE(J118," ",""),"0",""),"-",""))+LEN(SUBSTITUTE(SUBSTITUTE(SUBSTITUTE(K118," ",""),"0",""),"-","")))&gt;(LEN(SUBSTITUTE(SUBSTITUTE(SUBSTITUTE(M118," ",""),"0",""),"-",""))+LEN(SUBSTITUTE(SUBSTITUTE(SUBSTITUTE(N118," ",""),"0",""),"-",""))),1,0))+IF(UPPER(L119)="X",0,IF((LEN(SUBSTITUTE(SUBSTITUTE(SUBSTITUTE(J119," ",""),"0",""),"-",""))+LEN(SUBSTITUTE(SUBSTITUTE(SUBSTITUTE(K119," ",""),"0",""),"-","")))&gt;(LEN(SUBSTITUTE(SUBSTITUTE(SUBSTITUTE(M119," ",""),"0",""),"-",""))+LEN(SUBSTITUTE(SUBSTITUTE(SUBSTITUTE(N119," ",""),"0",""),"-",""))),1,0))+IF(UPPER(L120)="X",0,IF((LEN(SUBSTITUTE(SUBSTITUTE(SUBSTITUTE(J120," ",""),"0",""),"-",""))+LEN(SUBSTITUTE(SUBSTITUTE(SUBSTITUTE(K120," ",""),"0",""),"-","")))&gt;(LEN(SUBSTITUTE(SUBSTITUTE(SUBSTITUTE(M120," ",""),"0",""),"-",""))+LEN(SUBSTITUTE(SUBSTITUTE(SUBSTITUTE(N120," ",""),"0",""),"-",""))),1,0))+IF(UPPER(L121)="X",0,IF((LEN(SUBSTITUTE(SUBSTITUTE(SUBSTITUTE(J121," ",""),"0",""),"-",""))+LEN(SUBSTITUTE(SUBSTITUTE(SUBSTITUTE(K121," ",""),"0",""),"-","")))&gt;(LEN(SUBSTITUTE(SUBSTITUTE(SUBSTITUTE(M121," ",""),"0",""),"-",""))+LEN(SUBSTITUTE(SUBSTITUTE(SUBSTITUTE(N121," ",""),"0",""),"-",""))),1,0))</f>
      </c>
      <c r="K116" s="14" t="str">
        <f>LEN(SUBSTITUTE(SUBSTITUTE(SUBSTITUTE(J117," ",""),"0",""),"-",""))+LEN(SUBSTITUTE(SUBSTITUTE(SUBSTITUTE(K117," ",""),"0",""),"-",""))+LEN(SUBSTITUTE(SUBSTITUTE(SUBSTITUTE(J118," ",""),"0",""),"-",""))+LEN(SUBSTITUTE(SUBSTITUTE(SUBSTITUTE(K118," ",""),"0",""),"-",""))+LEN(SUBSTITUTE(SUBSTITUTE(SUBSTITUTE(J119," ",""),"0",""),"-",""))+LEN(SUBSTITUTE(SUBSTITUTE(SUBSTITUTE(K119," ",""),"0",""),"-",""))+LEN(SUBSTITUTE(SUBSTITUTE(SUBSTITUTE(J120," ",""),"0",""),"-",""))+LEN(SUBSTITUTE(SUBSTITUTE(SUBSTITUTE(K120," ",""),"0",""),"-",""))+LEN(SUBSTITUTE(SUBSTITUTE(SUBSTITUTE(J121," ",""),"0",""),"-",""))+LEN(SUBSTITUTE(SUBSTITUTE(SUBSTITUTE(K121," ",""),"0",""),"-",""))</f>
      </c>
      <c r="L116" s="18"/>
      <c r="M116" s="14" t="str">
        <f>LEN(SUBSTITUTE(SUBSTITUTE(SUBSTITUTE(M117," ",""),"0",""),"-",""))+LEN(SUBSTITUTE(SUBSTITUTE(SUBSTITUTE(N117," ",""),"0",""),"-",""))+LEN(SUBSTITUTE(SUBSTITUTE(SUBSTITUTE(M118," ",""),"0",""),"-",""))+LEN(SUBSTITUTE(SUBSTITUTE(SUBSTITUTE(N118," ",""),"0",""),"-",""))+LEN(SUBSTITUTE(SUBSTITUTE(SUBSTITUTE(M119," ",""),"0",""),"-",""))+LEN(SUBSTITUTE(SUBSTITUTE(SUBSTITUTE(N119," ",""),"0",""),"-",""))+LEN(SUBSTITUTE(SUBSTITUTE(SUBSTITUTE(M120," ",""),"0",""),"-",""))+LEN(SUBSTITUTE(SUBSTITUTE(SUBSTITUTE(N120," ",""),"0",""),"-",""))+LEN(SUBSTITUTE(SUBSTITUTE(SUBSTITUTE(M121," ",""),"0",""),"-",""))+LEN(SUBSTITUTE(SUBSTITUTE(SUBSTITUTE(N121," ",""),"0",""),"-",""))</f>
      </c>
      <c r="N116" s="14" t="str">
        <f>IF(UPPER(L117)="X",0,IF((LEN(SUBSTITUTE(SUBSTITUTE(SUBSTITUTE(M117," ",""),"0",""),"-",""))+LEN(SUBSTITUTE(SUBSTITUTE(SUBSTITUTE(N117," ",""),"0",""),"-","")))&gt;(LEN(SUBSTITUTE(SUBSTITUTE(SUBSTITUTE(J117," ",""),"0",""),"-",""))+LEN(SUBSTITUTE(SUBSTITUTE(SUBSTITUTE(K117," ",""),"0",""),"-",""))),1,0))+IF(UPPER(L118)="X",0,IF((LEN(SUBSTITUTE(SUBSTITUTE(SUBSTITUTE(M118," ",""),"0",""),"-",""))+LEN(SUBSTITUTE(SUBSTITUTE(SUBSTITUTE(N118," ",""),"0",""),"-","")))&gt;(LEN(SUBSTITUTE(SUBSTITUTE(SUBSTITUTE(J118," ",""),"0",""),"-",""))+LEN(SUBSTITUTE(SUBSTITUTE(SUBSTITUTE(K118," ",""),"0",""),"-",""))),1,0))+IF(UPPER(L119)="X",0,IF((LEN(SUBSTITUTE(SUBSTITUTE(SUBSTITUTE(M119," ",""),"0",""),"-",""))+LEN(SUBSTITUTE(SUBSTITUTE(SUBSTITUTE(N119," ",""),"0",""),"-","")))&gt;(LEN(SUBSTITUTE(SUBSTITUTE(SUBSTITUTE(J119," ",""),"0",""),"-",""))+LEN(SUBSTITUTE(SUBSTITUTE(SUBSTITUTE(K119," ",""),"0",""),"-",""))),1,0))+IF(UPPER(L120)="X",0,IF((LEN(SUBSTITUTE(SUBSTITUTE(SUBSTITUTE(M120," ",""),"0",""),"-",""))+LEN(SUBSTITUTE(SUBSTITUTE(SUBSTITUTE(N120," ",""),"0",""),"-","")))&gt;(LEN(SUBSTITUTE(SUBSTITUTE(SUBSTITUTE(J120," ",""),"0",""),"-",""))+LEN(SUBSTITUTE(SUBSTITUTE(SUBSTITUTE(K120," ",""),"0",""),"-",""))),1,0))+IF(UPPER(L121)="X",0,IF((LEN(SUBSTITUTE(SUBSTITUTE(SUBSTITUTE(M121," ",""),"0",""),"-",""))+LEN(SUBSTITUTE(SUBSTITUTE(SUBSTITUTE(N121," ",""),"0",""),"-","")))&gt;(LEN(SUBSTITUTE(SUBSTITUTE(SUBSTITUTE(J121," ",""),"0",""),"-",""))+LEN(SUBSTITUTE(SUBSTITUTE(SUBSTITUTE(K121," ",""),"0",""),"-",""))),1,0))</f>
      </c>
      <c r="O116" s="14" t="str">
        <f>data!$E$56&amp;" "&amp;data!$B$56</f>
      </c>
    </row>
    <row r="117">
      <c r="A117" s="14">
        <v>1</v>
      </c>
      <c r="B117" s="18"/>
      <c r="C117" s="18"/>
      <c r="D117" s="18"/>
      <c r="E117" s="18"/>
      <c r="F117" s="18"/>
      <c r="G117" s="14">
        <v>1</v>
      </c>
      <c r="I117" s="14">
        <v>1</v>
      </c>
      <c r="J117" s="18"/>
      <c r="K117" s="18"/>
      <c r="L117" s="18"/>
      <c r="M117" s="18"/>
      <c r="N117" s="18"/>
      <c r="O117" s="14">
        <v>1</v>
      </c>
    </row>
    <row r="118">
      <c r="A118" s="14">
        <v>2</v>
      </c>
      <c r="B118" s="18"/>
      <c r="C118" s="18"/>
      <c r="D118" s="18"/>
      <c r="E118" s="18"/>
      <c r="F118" s="18"/>
      <c r="G118" s="14">
        <v>2</v>
      </c>
      <c r="I118" s="14">
        <v>2</v>
      </c>
      <c r="J118" s="18"/>
      <c r="K118" s="18"/>
      <c r="L118" s="18"/>
      <c r="M118" s="18"/>
      <c r="N118" s="18"/>
      <c r="O118" s="14">
        <v>2</v>
      </c>
    </row>
    <row r="119">
      <c r="A119" s="14">
        <v>3</v>
      </c>
      <c r="B119" s="18"/>
      <c r="C119" s="18"/>
      <c r="D119" s="18"/>
      <c r="E119" s="18"/>
      <c r="F119" s="18"/>
      <c r="G119" s="14">
        <v>3</v>
      </c>
      <c r="I119" s="14">
        <v>3</v>
      </c>
      <c r="J119" s="18"/>
      <c r="K119" s="18"/>
      <c r="L119" s="18"/>
      <c r="M119" s="18"/>
      <c r="N119" s="18"/>
      <c r="O119" s="14">
        <v>3</v>
      </c>
    </row>
    <row r="120">
      <c r="A120" s="14">
        <v>4</v>
      </c>
      <c r="B120" s="18"/>
      <c r="C120" s="18"/>
      <c r="D120" s="18"/>
      <c r="E120" s="18"/>
      <c r="F120" s="18"/>
      <c r="G120" s="14">
        <v>4</v>
      </c>
      <c r="I120" s="14">
        <v>4</v>
      </c>
      <c r="J120" s="18"/>
      <c r="K120" s="18"/>
      <c r="L120" s="18"/>
      <c r="M120" s="18"/>
      <c r="N120" s="18"/>
      <c r="O120" s="14">
        <v>4</v>
      </c>
    </row>
    <row r="121">
      <c r="A121" s="14">
        <v>5</v>
      </c>
      <c r="B121" s="18"/>
      <c r="C121" s="18"/>
      <c r="D121" s="18"/>
      <c r="E121" s="18"/>
      <c r="F121" s="18"/>
      <c r="G121" s="14">
        <v>5</v>
      </c>
      <c r="I121" s="14">
        <v>5</v>
      </c>
      <c r="J121" s="18"/>
      <c r="K121" s="18"/>
      <c r="L121" s="18"/>
      <c r="M121" s="18"/>
      <c r="N121" s="18"/>
      <c r="O121" s="14">
        <v>5</v>
      </c>
    </row>
    <row r="124">
      <c r="A124" s="13" t="s">
        <v>333</v>
      </c>
      <c r="B124" s="13" t="s">
        <v>334</v>
      </c>
      <c r="C124" s="13" t="s">
        <v>335</v>
      </c>
      <c r="D124" s="13" t="s">
        <v>336</v>
      </c>
      <c r="E124" s="13"/>
      <c r="F124" s="13"/>
      <c r="G124" s="13" t="s">
        <v>337</v>
      </c>
      <c r="I124" s="13" t="s">
        <v>333</v>
      </c>
      <c r="J124" s="13" t="s">
        <v>334</v>
      </c>
      <c r="K124" s="13" t="s">
        <v>335</v>
      </c>
      <c r="L124" s="13" t="s">
        <v>336</v>
      </c>
      <c r="M124" s="13"/>
      <c r="N124" s="13"/>
      <c r="O124" s="13" t="s">
        <v>337</v>
      </c>
    </row>
    <row r="125">
      <c r="A125" s="14" t="str">
        <f>data!$E$10&amp;" "&amp;data!$B$10</f>
      </c>
      <c r="B125" s="14" t="str">
        <f>IF(OR(COUNTA(B101:C105,E101:F105)&gt;0,D101="X",D101="x",D102="X",D102="x",D103="X",D103="x",D104="X",D104="x",D105="X",D105="x",OR(D100="X",D100="x")),IF(OR(OR(D100="X",D100="x"),AND(B100=F100,C100=E100)),0,IF(OR(F100&gt;B100,AND(F100=B100,E100&gt;C100)),1,0)),0)+IF(OR(COUNTA(B109:C113,E109:F113)&gt;0,D109="X",D109="x",D110="X",D110="x",D111="X",D111="x",D112="X",D112="x",D113="X",D113="x",OR(D108="X",D108="x")),IF(OR(OR(D108="X",D108="x"),AND(B108=F108,C108=E108)),0,IF(OR(F108&gt;B108,AND(F108=B108,E108&gt;C108)),1,0)),0)</f>
      </c>
      <c r="C125" s="14" t="str">
        <f>IF(OR(COUNTA(B101:C105,E101:F105)&gt;0,D101="X",D101="x",D102="X",D102="x",D103="X",D103="x",D104="X",D104="x",D105="X",D105="x",OR(D100="X",D100="x")),IF(OR(OR(D100="X",D100="x"),AND(B100=F100,C100=E100)),0,IF(OR(F100&lt;B100,AND(F100=B100,E100&lt;C100)),1,0)),0)+IF(OR(COUNTA(B109:C113,E109:F113)&gt;0,D109="X",D109="x",D110="X",D110="x",D111="X",D111="x",D112="X",D112="x",D113="X",D113="x",OR(D108="X",D108="x")),IF(OR(OR(D108="X",D108="x"),AND(B108=F108,C108=E108)),0,IF(OR(F108&lt;B108,AND(F108=B108,E108&lt;C108)),1,0)),0)</f>
      </c>
      <c r="D125" s="14" t="str">
        <f>IF(OR(COUNTA(B101:C105,E101:F105)&gt;0,D101="X",D101="x",D102="X",D102="x",D103="X",D103="x",D104="X",D104="x",D105="X",D105="x",OR(D100="X",D100="x")),IF(OR(OR(D100="X",D100="x"),AND(B100=F100,C100=E100)),1,0),0)+IF(OR(COUNTA(B109:C113,E109:F113)&gt;0,D109="X",D109="x",D110="X",D110="x",D111="X",D111="x",D112="X",D112="x",D113="X",D113="x",OR(D108="X",D108="x")),IF(OR(OR(D108="X",D108="x"),AND(B108=F108,C108=E108)),1,0),0)</f>
      </c>
      <c r="G125" s="18" t="str">
        <f>RANK(U125,$U$125:$U$127)+COUNTIF($U$124:U124,U125)</f>
      </c>
      <c r="I125" s="14" t="str">
        <f>data!$E$55&amp;" "&amp;data!$B$55</f>
      </c>
      <c r="J125" s="14" t="str">
        <f>IF(OR(COUNTA(J101:K105,M101:N105)&gt;0,L101="X",L101="x",L102="X",L102="x",L103="X",L103="x",L104="X",L104="x",L105="X",L105="x",OR(L100="X",L100="x")),IF(OR(OR(L100="X",L100="x"),AND(J100=N100,K100=M100)),0,IF(OR(N100&gt;J100,AND(N100=J100,M100&gt;K100)),1,0)),0)+IF(OR(COUNTA(J109:K113,M109:N113)&gt;0,L109="X",L109="x",L110="X",L110="x",L111="X",L111="x",L112="X",L112="x",L113="X",L113="x",OR(L108="X",L108="x")),IF(OR(OR(L108="X",L108="x"),AND(J108=N108,K108=M108)),0,IF(OR(N108&gt;J108,AND(N108=J108,M108&gt;K108)),1,0)),0)</f>
      </c>
      <c r="K125" s="14" t="str">
        <f>IF(OR(COUNTA(J101:K105,M101:N105)&gt;0,L101="X",L101="x",L102="X",L102="x",L103="X",L103="x",L104="X",L104="x",L105="X",L105="x",OR(L100="X",L100="x")),IF(OR(OR(L100="X",L100="x"),AND(J100=N100,K100=M100)),0,IF(OR(N100&lt;J100,AND(N100=J100,M100&lt;K100)),1,0)),0)+IF(OR(COUNTA(J109:K113,M109:N113)&gt;0,L109="X",L109="x",L110="X",L110="x",L111="X",L111="x",L112="X",L112="x",L113="X",L113="x",OR(L108="X",L108="x")),IF(OR(OR(L108="X",L108="x"),AND(J108=N108,K108=M108)),0,IF(OR(N108&lt;J108,AND(N108=J108,M108&lt;K108)),1,0)),0)</f>
      </c>
      <c r="L125" s="14" t="str">
        <f>IF(OR(COUNTA(J101:K105,M101:N105)&gt;0,L101="X",L101="x",L102="X",L102="x",L103="X",L103="x",L104="X",L104="x",L105="X",L105="x",OR(L100="X",L100="x")),IF(OR(OR(L100="X",L100="x"),AND(J100=N100,K100=M100)),1,0),0)+IF(OR(COUNTA(J109:K113,M109:N113)&gt;0,L109="X",L109="x",L110="X",L110="x",L111="X",L111="x",L112="X",L112="x",L113="X",L113="x",OR(L108="X",L108="x")),IF(OR(OR(L108="X",L108="x"),AND(J108=N108,K108=M108)),1,0),0)</f>
      </c>
      <c r="O125" s="18" t="str">
        <f>RANK(AC125,$AC$125:$AC$127)+COUNTIF($AC$124:AC124,AC125)</f>
      </c>
      <c r="U125" t="str">
        <f>(B125*1000000000)-(C125*10000000)+(D125*100000)+(B130*1000)-(C130*100)+(D130*10)+(E130*1)-(F130*0.01)</f>
      </c>
      <c r="AC125" t="str">
        <f>(J125*1000000000)-(K125*10000000)+(L125*100000)+(J130*1000)-(K130*100)+(L130*10)+(M130*1)-(N130*0.01)</f>
      </c>
    </row>
    <row r="126">
      <c r="A126" s="14" t="str">
        <f>data!$E$11&amp;" "&amp;data!$B$11</f>
      </c>
      <c r="B126" s="14" t="str">
        <f>IF(OR(COUNTA(B101:C105,E101:F105)&gt;0,D101="X",D101="x",D102="X",D102="x",D103="X",D103="x",D104="X",D104="x",D105="X",D105="x",OR(D100="X",D100="x")),IF(OR(OR(D100="X",D100="x"),AND(B100=F100,C100=E100)),0,IF(OR(B100&gt;F100,AND(B100=F100,C100&gt;E100)),1,0)),0)+IF(OR(COUNTA(B117:C121,E117:F121)&gt;0,D117="X",D117="x",D118="X",D118="x",D119="X",D119="x",D120="X",D120="x",D121="X",D121="x",OR(D116="X",D116="x")),IF(OR(OR(D116="X",D116="x"),AND(B116=F116,C116=E116)),0,IF(OR(F116&gt;B116,AND(F116=B116,E116&gt;C116)),1,0)),0)</f>
      </c>
      <c r="C126" s="14" t="str">
        <f>IF(OR(COUNTA(B101:C105,E101:F105)&gt;0,D101="X",D101="x",D102="X",D102="x",D103="X",D103="x",D104="X",D104="x",D105="X",D105="x",OR(D100="X",D100="x")),IF(OR(OR(D100="X",D100="x"),AND(B100=F100,C100=E100)),0,IF(OR(B100&lt;F100,AND(B100=F100,C100&lt;E100)),1,0)),0)+IF(OR(COUNTA(B117:C121,E117:F121)&gt;0,D117="X",D117="x",D118="X",D118="x",D119="X",D119="x",D120="X",D120="x",D121="X",D121="x",OR(D116="X",D116="x")),IF(OR(OR(D116="X",D116="x"),AND(B116=F116,C116=E116)),0,IF(OR(F116&lt;B116,AND(F116=B116,E116&lt;C116)),1,0)),0)</f>
      </c>
      <c r="D126" s="14" t="str">
        <f>IF(OR(COUNTA(B101:C105,E101:F105)&gt;0,D101="X",D101="x",D102="X",D102="x",D103="X",D103="x",D104="X",D104="x",D105="X",D105="x",OR(D100="X",D100="x")),IF(OR(OR(D100="X",D100="x"),AND(B100=F100,C100=E100)),1,0),0)+IF(OR(COUNTA(B117:C121,E117:F121)&gt;0,D117="X",D117="x",D118="X",D118="x",D119="X",D119="x",D120="X",D120="x",D121="X",D121="x",OR(D116="X",D116="x")),IF(OR(OR(D116="X",D116="x"),AND(B116=F116,C116=E116)),1,0),0)</f>
      </c>
      <c r="G126" s="18" t="str">
        <f>RANK(U126,$U$125:$U$127)+COUNTIF($U$124:U125,U126)</f>
      </c>
      <c r="I126" s="14" t="str">
        <f>data!$E$56&amp;" "&amp;data!$B$56</f>
      </c>
      <c r="J126" s="14" t="str">
        <f>IF(OR(COUNTA(J101:K105,M101:N105)&gt;0,L101="X",L101="x",L102="X",L102="x",L103="X",L103="x",L104="X",L104="x",L105="X",L105="x",OR(L100="X",L100="x")),IF(OR(OR(L100="X",L100="x"),AND(J100=N100,K100=M100)),0,IF(OR(J100&gt;N100,AND(J100=N100,K100&gt;M100)),1,0)),0)+IF(OR(COUNTA(J117:K121,M117:N121)&gt;0,L117="X",L117="x",L118="X",L118="x",L119="X",L119="x",L120="X",L120="x",L121="X",L121="x",OR(L116="X",L116="x")),IF(OR(OR(L116="X",L116="x"),AND(J116=N116,K116=M116)),0,IF(OR(N116&gt;J116,AND(N116=J116,M116&gt;K116)),1,0)),0)</f>
      </c>
      <c r="K126" s="14" t="str">
        <f>IF(OR(COUNTA(J101:K105,M101:N105)&gt;0,L101="X",L101="x",L102="X",L102="x",L103="X",L103="x",L104="X",L104="x",L105="X",L105="x",OR(L100="X",L100="x")),IF(OR(OR(L100="X",L100="x"),AND(J100=N100,K100=M100)),0,IF(OR(J100&lt;N100,AND(J100=N100,K100&lt;M100)),1,0)),0)+IF(OR(COUNTA(J117:K121,M117:N121)&gt;0,L117="X",L117="x",L118="X",L118="x",L119="X",L119="x",L120="X",L120="x",L121="X",L121="x",OR(L116="X",L116="x")),IF(OR(OR(L116="X",L116="x"),AND(J116=N116,K116=M116)),0,IF(OR(N116&lt;J116,AND(N116=J116,M116&lt;K116)),1,0)),0)</f>
      </c>
      <c r="L126" s="14" t="str">
        <f>IF(OR(COUNTA(J101:K105,M101:N105)&gt;0,L101="X",L101="x",L102="X",L102="x",L103="X",L103="x",L104="X",L104="x",L105="X",L105="x",OR(L100="X",L100="x")),IF(OR(OR(L100="X",L100="x"),AND(J100=N100,K100=M100)),1,0),0)+IF(OR(COUNTA(J117:K121,M117:N121)&gt;0,L117="X",L117="x",L118="X",L118="x",L119="X",L119="x",L120="X",L120="x",L121="X",L121="x",OR(L116="X",L116="x")),IF(OR(OR(L116="X",L116="x"),AND(J116=N116,K116=M116)),1,0),0)</f>
      </c>
      <c r="O126" s="18" t="str">
        <f>RANK(AC126,$AC$125:$AC$127)+COUNTIF($AC$124:AC125,AC126)</f>
      </c>
      <c r="U126" t="str">
        <f>(B126*1000000000)-(C126*10000000)+(D126*100000)+(B131*1000)-(C131*100)+(D131*10)+(E131*1)-(F131*0.01)</f>
      </c>
      <c r="AC126" t="str">
        <f>(J126*1000000000)-(K126*10000000)+(L126*100000)+(J131*1000)-(K131*100)+(L131*10)+(M131*1)-(N131*0.01)</f>
      </c>
    </row>
    <row r="127">
      <c r="A127" s="14" t="str">
        <f>data!$E$12&amp;" "&amp;data!$B$12</f>
      </c>
      <c r="B127" s="14" t="str">
        <f>IF(OR(COUNTA(B109:C113,E109:F113)&gt;0,D109="X",D109="x",D110="X",D110="x",D111="X",D111="x",D112="X",D112="x",D113="X",D113="x",OR(D108="X",D108="x")),IF(OR(OR(D108="X",D108="x"),AND(B108=F108,C108=E108)),0,IF(OR(B108&gt;F108,AND(B108=F108,C108&gt;E108)),1,0)),0)+IF(OR(COUNTA(B117:C121,E117:F121)&gt;0,D117="X",D117="x",D118="X",D118="x",D119="X",D119="x",D120="X",D120="x",D121="X",D121="x",OR(D116="X",D116="x")),IF(OR(OR(D116="X",D116="x"),AND(B116=F116,C116=E116)),0,IF(OR(B116&gt;F116,AND(B116=F116,C116&gt;E116)),1,0)),0)</f>
      </c>
      <c r="C127" s="14" t="str">
        <f>IF(OR(COUNTA(B109:C113,E109:F113)&gt;0,D109="X",D109="x",D110="X",D110="x",D111="X",D111="x",D112="X",D112="x",D113="X",D113="x",OR(D108="X",D108="x")),IF(OR(OR(D108="X",D108="x"),AND(B108=F108,C108=E108)),0,IF(OR(B108&lt;F108,AND(B108=F108,C108&lt;E108)),1,0)),0)+IF(OR(COUNTA(B117:C121,E117:F121)&gt;0,D117="X",D117="x",D118="X",D118="x",D119="X",D119="x",D120="X",D120="x",D121="X",D121="x",OR(D116="X",D116="x")),IF(OR(OR(D116="X",D116="x"),AND(B116=F116,C116=E116)),0,IF(OR(B116&lt;F116,AND(B116=F116,C116&lt;E116)),1,0)),0)</f>
      </c>
      <c r="D127" s="14" t="str">
        <f>IF(OR(COUNTA(B109:C113,E109:F113)&gt;0,D109="X",D109="x",D110="X",D110="x",D111="X",D111="x",D112="X",D112="x",D113="X",D113="x",OR(D108="X",D108="x")),IF(OR(OR(D108="X",D108="x"),AND(B108=F108,C108=E108)),1,0),0)+IF(OR(COUNTA(B117:C121,E117:F121)&gt;0,D117="X",D117="x",D118="X",D118="x",D119="X",D119="x",D120="X",D120="x",D121="X",D121="x",OR(D116="X",D116="x")),IF(OR(OR(D116="X",D116="x"),AND(B116=F116,C116=E116)),1,0),0)</f>
      </c>
      <c r="G127" s="18" t="str">
        <f>RANK(U127,$U$125:$U$127)+COUNTIF($U$124:U126,U127)</f>
      </c>
      <c r="I127" s="14" t="str">
        <f>data!$E$57&amp;" "&amp;data!$B$57</f>
      </c>
      <c r="J127" s="14" t="str">
        <f>IF(OR(COUNTA(J109:K113,M109:N113)&gt;0,L109="X",L109="x",L110="X",L110="x",L111="X",L111="x",L112="X",L112="x",L113="X",L113="x",OR(L108="X",L108="x")),IF(OR(OR(L108="X",L108="x"),AND(J108=N108,K108=M108)),0,IF(OR(J108&gt;N108,AND(J108=N108,K108&gt;M108)),1,0)),0)+IF(OR(COUNTA(J117:K121,M117:N121)&gt;0,L117="X",L117="x",L118="X",L118="x",L119="X",L119="x",L120="X",L120="x",L121="X",L121="x",OR(L116="X",L116="x")),IF(OR(OR(L116="X",L116="x"),AND(J116=N116,K116=M116)),0,IF(OR(J116&gt;N116,AND(J116=N116,K116&gt;M116)),1,0)),0)</f>
      </c>
      <c r="K127" s="14" t="str">
        <f>IF(OR(COUNTA(J109:K113,M109:N113)&gt;0,L109="X",L109="x",L110="X",L110="x",L111="X",L111="x",L112="X",L112="x",L113="X",L113="x",OR(L108="X",L108="x")),IF(OR(OR(L108="X",L108="x"),AND(J108=N108,K108=M108)),0,IF(OR(J108&lt;N108,AND(J108=N108,K108&lt;M108)),1,0)),0)+IF(OR(COUNTA(J117:K121,M117:N121)&gt;0,L117="X",L117="x",L118="X",L118="x",L119="X",L119="x",L120="X",L120="x",L121="X",L121="x",OR(L116="X",L116="x")),IF(OR(OR(L116="X",L116="x"),AND(J116=N116,K116=M116)),0,IF(OR(J116&lt;N116,AND(J116=N116,K116&lt;M116)),1,0)),0)</f>
      </c>
      <c r="L127" s="14" t="str">
        <f>IF(OR(COUNTA(J109:K113,M109:N113)&gt;0,L109="X",L109="x",L110="X",L110="x",L111="X",L111="x",L112="X",L112="x",L113="X",L113="x",OR(L108="X",L108="x")),IF(OR(OR(L108="X",L108="x"),AND(J108=N108,K108=M108)),1,0),0)+IF(OR(COUNTA(J117:K121,M117:N121)&gt;0,L117="X",L117="x",L118="X",L118="x",L119="X",L119="x",L120="X",L120="x",L121="X",L121="x",OR(L116="X",L116="x")),IF(OR(OR(L116="X",L116="x"),AND(J116=N116,K116=M116)),1,0),0)</f>
      </c>
      <c r="O127" s="18" t="str">
        <f>RANK(AC127,$AC$125:$AC$127)+COUNTIF($AC$124:AC126,AC127)</f>
      </c>
      <c r="U127" t="str">
        <f>(B127*1000000000)-(C127*10000000)+(D127*100000)+(B132*1000)-(C132*100)+(D132*10)+(E132*1)-(F132*0.01)</f>
      </c>
      <c r="AC127" t="str">
        <f>(J127*1000000000)-(K127*10000000)+(L127*100000)+(J132*1000)-(K132*100)+(L132*10)+(M132*1)-(N132*0.01)</f>
      </c>
    </row>
    <row r="129">
      <c r="A129" s="13"/>
      <c r="B129" s="13" t="s">
        <v>338</v>
      </c>
      <c r="C129" s="13" t="s">
        <v>339</v>
      </c>
      <c r="D129" s="13" t="s">
        <v>340</v>
      </c>
      <c r="E129" s="13" t="s">
        <v>341</v>
      </c>
      <c r="F129" s="13" t="s">
        <v>342</v>
      </c>
      <c r="I129" s="13"/>
      <c r="J129" s="13" t="s">
        <v>338</v>
      </c>
      <c r="K129" s="13" t="s">
        <v>339</v>
      </c>
      <c r="L129" s="13" t="s">
        <v>340</v>
      </c>
      <c r="M129" s="13" t="s">
        <v>341</v>
      </c>
      <c r="N129" s="13" t="s">
        <v>342</v>
      </c>
    </row>
    <row r="130">
      <c r="A130" s="14" t="str">
        <f>data!$E$10&amp;" "&amp;data!$B$10</f>
      </c>
      <c r="B130" s="14" t="str">
        <f>IF(OR(COUNTA(B101:C105,E101:F105)&gt;0,OR(D100="X",D100="x"),UPPER(D101)="X",UPPER(D102)="X",UPPER(D103)="X",UPPER(D104)="X",UPPER(D105)="X"),F100,0)+IF(OR(COUNTA(B109:C113,E109:F113)&gt;0,OR(D108="X",D108="x"),UPPER(D109)="X",UPPER(D110)="X",UPPER(D111)="X",UPPER(D112)="X",UPPER(D113)="X"),F108,0)</f>
      </c>
      <c r="C130" s="14" t="str">
        <f>IF(OR(COUNTA(B101:C105,E101:F105)&gt;0,OR(D100="X",D100="x"),UPPER(D101)="X",UPPER(D102)="X",UPPER(D103)="X",UPPER(D104)="X",UPPER(D105)="X"),B100,0)+IF(OR(COUNTA(B109:C113,E109:F113)&gt;0,OR(D108="X",D108="x"),UPPER(D109)="X",UPPER(D110)="X",UPPER(D111)="X",UPPER(D112)="X",UPPER(D113)="X"),B108,0)</f>
      </c>
      <c r="D130" s="14" t="str">
        <f>IF(OR(COUNTA(B101:C105,E101:F105)&gt;0,OR(D100="X",D100="x"),UPPER(D101)="X",UPPER(D102)="X",UPPER(D103)="X",UPPER(D104)="X",UPPER(D105)="X"),(IF(OR(D101="X",D101="x",AND(COUNTA(B101,C101,E101,F101)&gt;0,(LEN(SUBSTITUTE(SUBSTITUTE(SUBSTITUTE(B101," ",""),"0",""),"-",""))+LEN(SUBSTITUTE(SUBSTITUTE(SUBSTITUTE(C101," ",""),"0",""),"-","")))=(LEN(SUBSTITUTE(SUBSTITUTE(SUBSTITUTE(E101," ",""),"0",""),"-",""))+LEN(SUBSTITUTE(SUBSTITUTE(SUBSTITUTE(F101," ",""),"0",""),"-",""))))),1,0)+IF(OR(D102="X",D102="x",AND(COUNTA(B102,C102,E102,F102)&gt;0,(LEN(SUBSTITUTE(SUBSTITUTE(SUBSTITUTE(B102," ",""),"0",""),"-",""))+LEN(SUBSTITUTE(SUBSTITUTE(SUBSTITUTE(C102," ",""),"0",""),"-","")))=(LEN(SUBSTITUTE(SUBSTITUTE(SUBSTITUTE(E102," ",""),"0",""),"-",""))+LEN(SUBSTITUTE(SUBSTITUTE(SUBSTITUTE(F102," ",""),"0",""),"-",""))))),1,0)+IF(OR(D103="X",D103="x",AND(COUNTA(B103,C103,E103,F103)&gt;0,(LEN(SUBSTITUTE(SUBSTITUTE(SUBSTITUTE(B103," ",""),"0",""),"-",""))+LEN(SUBSTITUTE(SUBSTITUTE(SUBSTITUTE(C103," ",""),"0",""),"-","")))=(LEN(SUBSTITUTE(SUBSTITUTE(SUBSTITUTE(E103," ",""),"0",""),"-",""))+LEN(SUBSTITUTE(SUBSTITUTE(SUBSTITUTE(F103," ",""),"0",""),"-",""))))),1,0)+IF(OR(D104="X",D104="x",AND(COUNTA(B104,C104,E104,F104)&gt;0,(LEN(SUBSTITUTE(SUBSTITUTE(SUBSTITUTE(B104," ",""),"0",""),"-",""))+LEN(SUBSTITUTE(SUBSTITUTE(SUBSTITUTE(C104," ",""),"0",""),"-","")))=(LEN(SUBSTITUTE(SUBSTITUTE(SUBSTITUTE(E104," ",""),"0",""),"-",""))+LEN(SUBSTITUTE(SUBSTITUTE(SUBSTITUTE(F104," ",""),"0",""),"-",""))))),1,0)+IF(OR(D105="X",D105="x",AND(COUNTA(B105,C105,E105,F105)&gt;0,(LEN(SUBSTITUTE(SUBSTITUTE(SUBSTITUTE(B105," ",""),"0",""),"-",""))+LEN(SUBSTITUTE(SUBSTITUTE(SUBSTITUTE(C105," ",""),"0",""),"-","")))=(LEN(SUBSTITUTE(SUBSTITUTE(SUBSTITUTE(E105," ",""),"0",""),"-",""))+LEN(SUBSTITUTE(SUBSTITUTE(SUBSTITUTE(F105," ",""),"0",""),"-",""))))),1,0)),0)+IF(OR(COUNTA(B109:C113,E109:F113)&gt;0,OR(D108="X",D108="x"),UPPER(D109)="X",UPPER(D110)="X",UPPER(D111)="X",UPPER(D112)="X",UPPER(D113)="X"),(IF(OR(D109="X",D109="x",AND(COUNTA(B109,C109,E109,F109)&gt;0,(LEN(SUBSTITUTE(SUBSTITUTE(SUBSTITUTE(B109," ",""),"0",""),"-",""))+LEN(SUBSTITUTE(SUBSTITUTE(SUBSTITUTE(C109," ",""),"0",""),"-","")))=(LEN(SUBSTITUTE(SUBSTITUTE(SUBSTITUTE(E109," ",""),"0",""),"-",""))+LEN(SUBSTITUTE(SUBSTITUTE(SUBSTITUTE(F109," ",""),"0",""),"-",""))))),1,0)+IF(OR(D110="X",D110="x",AND(COUNTA(B110,C110,E110,F110)&gt;0,(LEN(SUBSTITUTE(SUBSTITUTE(SUBSTITUTE(B110," ",""),"0",""),"-",""))+LEN(SUBSTITUTE(SUBSTITUTE(SUBSTITUTE(C110," ",""),"0",""),"-","")))=(LEN(SUBSTITUTE(SUBSTITUTE(SUBSTITUTE(E110," ",""),"0",""),"-",""))+LEN(SUBSTITUTE(SUBSTITUTE(SUBSTITUTE(F110," ",""),"0",""),"-",""))))),1,0)+IF(OR(D111="X",D111="x",AND(COUNTA(B111,C111,E111,F111)&gt;0,(LEN(SUBSTITUTE(SUBSTITUTE(SUBSTITUTE(B111," ",""),"0",""),"-",""))+LEN(SUBSTITUTE(SUBSTITUTE(SUBSTITUTE(C111," ",""),"0",""),"-","")))=(LEN(SUBSTITUTE(SUBSTITUTE(SUBSTITUTE(E111," ",""),"0",""),"-",""))+LEN(SUBSTITUTE(SUBSTITUTE(SUBSTITUTE(F111," ",""),"0",""),"-",""))))),1,0)+IF(OR(D112="X",D112="x",AND(COUNTA(B112,C112,E112,F112)&gt;0,(LEN(SUBSTITUTE(SUBSTITUTE(SUBSTITUTE(B112," ",""),"0",""),"-",""))+LEN(SUBSTITUTE(SUBSTITUTE(SUBSTITUTE(C112," ",""),"0",""),"-","")))=(LEN(SUBSTITUTE(SUBSTITUTE(SUBSTITUTE(E112," ",""),"0",""),"-",""))+LEN(SUBSTITUTE(SUBSTITUTE(SUBSTITUTE(F112," ",""),"0",""),"-",""))))),1,0)+IF(OR(D113="X",D113="x",AND(COUNTA(B113,C113,E113,F113)&gt;0,(LEN(SUBSTITUTE(SUBSTITUTE(SUBSTITUTE(B113," ",""),"0",""),"-",""))+LEN(SUBSTITUTE(SUBSTITUTE(SUBSTITUTE(C113," ",""),"0",""),"-","")))=(LEN(SUBSTITUTE(SUBSTITUTE(SUBSTITUTE(E113," ",""),"0",""),"-",""))+LEN(SUBSTITUTE(SUBSTITUTE(SUBSTITUTE(F113," ",""),"0",""),"-",""))))),1,0)),0)</f>
      </c>
      <c r="E130" s="14" t="str">
        <f>E100+E108</f>
      </c>
      <c r="F130" s="14" t="str">
        <f>C100+C108</f>
      </c>
      <c r="I130" s="14" t="str">
        <f>data!$E$55&amp;" "&amp;data!$B$55</f>
      </c>
      <c r="J130" s="14" t="str">
        <f>IF(OR(COUNTA(J101:K105,M101:N105)&gt;0,OR(L100="X",L100="x"),UPPER(L101)="X",UPPER(L102)="X",UPPER(L103)="X",UPPER(L104)="X",UPPER(L105)="X"),N100,0)+IF(OR(COUNTA(J109:K113,M109:N113)&gt;0,OR(L108="X",L108="x"),UPPER(L109)="X",UPPER(L110)="X",UPPER(L111)="X",UPPER(L112)="X",UPPER(L113)="X"),N108,0)</f>
      </c>
      <c r="K130" s="14" t="str">
        <f>IF(OR(COUNTA(J101:K105,M101:N105)&gt;0,OR(L100="X",L100="x"),UPPER(L101)="X",UPPER(L102)="X",UPPER(L103)="X",UPPER(L104)="X",UPPER(L105)="X"),J100,0)+IF(OR(COUNTA(J109:K113,M109:N113)&gt;0,OR(L108="X",L108="x"),UPPER(L109)="X",UPPER(L110)="X",UPPER(L111)="X",UPPER(L112)="X",UPPER(L113)="X"),J108,0)</f>
      </c>
      <c r="L130" s="14" t="str">
        <f>IF(OR(COUNTA(J101:K105,M101:N105)&gt;0,OR(L100="X",L100="x"),UPPER(L101)="X",UPPER(L102)="X",UPPER(L103)="X",UPPER(L104)="X",UPPER(L105)="X"),(IF(OR(L101="X",L101="x",AND(COUNTA(J101,K101,M101,N101)&gt;0,(LEN(SUBSTITUTE(SUBSTITUTE(SUBSTITUTE(J101," ",""),"0",""),"-",""))+LEN(SUBSTITUTE(SUBSTITUTE(SUBSTITUTE(K101," ",""),"0",""),"-","")))=(LEN(SUBSTITUTE(SUBSTITUTE(SUBSTITUTE(M101," ",""),"0",""),"-",""))+LEN(SUBSTITUTE(SUBSTITUTE(SUBSTITUTE(N101," ",""),"0",""),"-",""))))),1,0)+IF(OR(L102="X",L102="x",AND(COUNTA(J102,K102,M102,N102)&gt;0,(LEN(SUBSTITUTE(SUBSTITUTE(SUBSTITUTE(J102," ",""),"0",""),"-",""))+LEN(SUBSTITUTE(SUBSTITUTE(SUBSTITUTE(K102," ",""),"0",""),"-","")))=(LEN(SUBSTITUTE(SUBSTITUTE(SUBSTITUTE(M102," ",""),"0",""),"-",""))+LEN(SUBSTITUTE(SUBSTITUTE(SUBSTITUTE(N102," ",""),"0",""),"-",""))))),1,0)+IF(OR(L103="X",L103="x",AND(COUNTA(J103,K103,M103,N103)&gt;0,(LEN(SUBSTITUTE(SUBSTITUTE(SUBSTITUTE(J103," ",""),"0",""),"-",""))+LEN(SUBSTITUTE(SUBSTITUTE(SUBSTITUTE(K103," ",""),"0",""),"-","")))=(LEN(SUBSTITUTE(SUBSTITUTE(SUBSTITUTE(M103," ",""),"0",""),"-",""))+LEN(SUBSTITUTE(SUBSTITUTE(SUBSTITUTE(N103," ",""),"0",""),"-",""))))),1,0)+IF(OR(L104="X",L104="x",AND(COUNTA(J104,K104,M104,N104)&gt;0,(LEN(SUBSTITUTE(SUBSTITUTE(SUBSTITUTE(J104," ",""),"0",""),"-",""))+LEN(SUBSTITUTE(SUBSTITUTE(SUBSTITUTE(K104," ",""),"0",""),"-","")))=(LEN(SUBSTITUTE(SUBSTITUTE(SUBSTITUTE(M104," ",""),"0",""),"-",""))+LEN(SUBSTITUTE(SUBSTITUTE(SUBSTITUTE(N104," ",""),"0",""),"-",""))))),1,0)+IF(OR(L105="X",L105="x",AND(COUNTA(J105,K105,M105,N105)&gt;0,(LEN(SUBSTITUTE(SUBSTITUTE(SUBSTITUTE(J105," ",""),"0",""),"-",""))+LEN(SUBSTITUTE(SUBSTITUTE(SUBSTITUTE(K105," ",""),"0",""),"-","")))=(LEN(SUBSTITUTE(SUBSTITUTE(SUBSTITUTE(M105," ",""),"0",""),"-",""))+LEN(SUBSTITUTE(SUBSTITUTE(SUBSTITUTE(N105," ",""),"0",""),"-",""))))),1,0)),0)+IF(OR(COUNTA(J109:K113,M109:N113)&gt;0,OR(L108="X",L108="x"),UPPER(L109)="X",UPPER(L110)="X",UPPER(L111)="X",UPPER(L112)="X",UPPER(L113)="X"),(IF(OR(L109="X",L109="x",AND(COUNTA(J109,K109,M109,N109)&gt;0,(LEN(SUBSTITUTE(SUBSTITUTE(SUBSTITUTE(J109," ",""),"0",""),"-",""))+LEN(SUBSTITUTE(SUBSTITUTE(SUBSTITUTE(K109," ",""),"0",""),"-","")))=(LEN(SUBSTITUTE(SUBSTITUTE(SUBSTITUTE(M109," ",""),"0",""),"-",""))+LEN(SUBSTITUTE(SUBSTITUTE(SUBSTITUTE(N109," ",""),"0",""),"-",""))))),1,0)+IF(OR(L110="X",L110="x",AND(COUNTA(J110,K110,M110,N110)&gt;0,(LEN(SUBSTITUTE(SUBSTITUTE(SUBSTITUTE(J110," ",""),"0",""),"-",""))+LEN(SUBSTITUTE(SUBSTITUTE(SUBSTITUTE(K110," ",""),"0",""),"-","")))=(LEN(SUBSTITUTE(SUBSTITUTE(SUBSTITUTE(M110," ",""),"0",""),"-",""))+LEN(SUBSTITUTE(SUBSTITUTE(SUBSTITUTE(N110," ",""),"0",""),"-",""))))),1,0)+IF(OR(L111="X",L111="x",AND(COUNTA(J111,K111,M111,N111)&gt;0,(LEN(SUBSTITUTE(SUBSTITUTE(SUBSTITUTE(J111," ",""),"0",""),"-",""))+LEN(SUBSTITUTE(SUBSTITUTE(SUBSTITUTE(K111," ",""),"0",""),"-","")))=(LEN(SUBSTITUTE(SUBSTITUTE(SUBSTITUTE(M111," ",""),"0",""),"-",""))+LEN(SUBSTITUTE(SUBSTITUTE(SUBSTITUTE(N111," ",""),"0",""),"-",""))))),1,0)+IF(OR(L112="X",L112="x",AND(COUNTA(J112,K112,M112,N112)&gt;0,(LEN(SUBSTITUTE(SUBSTITUTE(SUBSTITUTE(J112," ",""),"0",""),"-",""))+LEN(SUBSTITUTE(SUBSTITUTE(SUBSTITUTE(K112," ",""),"0",""),"-","")))=(LEN(SUBSTITUTE(SUBSTITUTE(SUBSTITUTE(M112," ",""),"0",""),"-",""))+LEN(SUBSTITUTE(SUBSTITUTE(SUBSTITUTE(N112," ",""),"0",""),"-",""))))),1,0)+IF(OR(L113="X",L113="x",AND(COUNTA(J113,K113,M113,N113)&gt;0,(LEN(SUBSTITUTE(SUBSTITUTE(SUBSTITUTE(J113," ",""),"0",""),"-",""))+LEN(SUBSTITUTE(SUBSTITUTE(SUBSTITUTE(K113," ",""),"0",""),"-","")))=(LEN(SUBSTITUTE(SUBSTITUTE(SUBSTITUTE(M113," ",""),"0",""),"-",""))+LEN(SUBSTITUTE(SUBSTITUTE(SUBSTITUTE(N113," ",""),"0",""),"-",""))))),1,0)),0)</f>
      </c>
      <c r="M130" s="14" t="str">
        <f>M100+M108</f>
      </c>
      <c r="N130" s="14" t="str">
        <f>K100+K108</f>
      </c>
    </row>
    <row r="131">
      <c r="A131" s="14" t="str">
        <f>data!$E$11&amp;" "&amp;data!$B$11</f>
      </c>
      <c r="B131" s="14" t="str">
        <f>IF(OR(COUNTA(B101:C105,E101:F105)&gt;0,OR(D100="X",D100="x"),UPPER(D101)="X",UPPER(D102)="X",UPPER(D103)="X",UPPER(D104)="X",UPPER(D105)="X"),B100,0)+IF(OR(COUNTA(B117:C121,E117:F121)&gt;0,OR(D116="X",D116="x"),UPPER(D117)="X",UPPER(D118)="X",UPPER(D119)="X",UPPER(D120)="X",UPPER(D121)="X"),F116,0)</f>
      </c>
      <c r="C131" s="14" t="str">
        <f>IF(OR(COUNTA(B101:C105,E101:F105)&gt;0,OR(D100="X",D100="x"),UPPER(D101)="X",UPPER(D102)="X",UPPER(D103)="X",UPPER(D104)="X",UPPER(D105)="X"),F100,0)+IF(OR(COUNTA(B117:C121,E117:F121)&gt;0,OR(D116="X",D116="x"),UPPER(D117)="X",UPPER(D118)="X",UPPER(D119)="X",UPPER(D120)="X",UPPER(D121)="X"),B116,0)</f>
      </c>
      <c r="D131" s="14" t="str">
        <f>IF(OR(COUNTA(B101:C105,E101:F105)&gt;0,OR(D100="X",D100="x"),UPPER(D101)="X",UPPER(D102)="X",UPPER(D103)="X",UPPER(D104)="X",UPPER(D105)="X"),(IF(OR(D101="X",D101="x",AND(COUNTA(B101,C101,E101,F101)&gt;0,(LEN(SUBSTITUTE(SUBSTITUTE(SUBSTITUTE(B101," ",""),"0",""),"-",""))+LEN(SUBSTITUTE(SUBSTITUTE(SUBSTITUTE(C101," ",""),"0",""),"-","")))=(LEN(SUBSTITUTE(SUBSTITUTE(SUBSTITUTE(E101," ",""),"0",""),"-",""))+LEN(SUBSTITUTE(SUBSTITUTE(SUBSTITUTE(F101," ",""),"0",""),"-",""))))),1,0)+IF(OR(D102="X",D102="x",AND(COUNTA(B102,C102,E102,F102)&gt;0,(LEN(SUBSTITUTE(SUBSTITUTE(SUBSTITUTE(B102," ",""),"0",""),"-",""))+LEN(SUBSTITUTE(SUBSTITUTE(SUBSTITUTE(C102," ",""),"0",""),"-","")))=(LEN(SUBSTITUTE(SUBSTITUTE(SUBSTITUTE(E102," ",""),"0",""),"-",""))+LEN(SUBSTITUTE(SUBSTITUTE(SUBSTITUTE(F102," ",""),"0",""),"-",""))))),1,0)+IF(OR(D103="X",D103="x",AND(COUNTA(B103,C103,E103,F103)&gt;0,(LEN(SUBSTITUTE(SUBSTITUTE(SUBSTITUTE(B103," ",""),"0",""),"-",""))+LEN(SUBSTITUTE(SUBSTITUTE(SUBSTITUTE(C103," ",""),"0",""),"-","")))=(LEN(SUBSTITUTE(SUBSTITUTE(SUBSTITUTE(E103," ",""),"0",""),"-",""))+LEN(SUBSTITUTE(SUBSTITUTE(SUBSTITUTE(F103," ",""),"0",""),"-",""))))),1,0)+IF(OR(D104="X",D104="x",AND(COUNTA(B104,C104,E104,F104)&gt;0,(LEN(SUBSTITUTE(SUBSTITUTE(SUBSTITUTE(B104," ",""),"0",""),"-",""))+LEN(SUBSTITUTE(SUBSTITUTE(SUBSTITUTE(C104," ",""),"0",""),"-","")))=(LEN(SUBSTITUTE(SUBSTITUTE(SUBSTITUTE(E104," ",""),"0",""),"-",""))+LEN(SUBSTITUTE(SUBSTITUTE(SUBSTITUTE(F104," ",""),"0",""),"-",""))))),1,0)+IF(OR(D105="X",D105="x",AND(COUNTA(B105,C105,E105,F105)&gt;0,(LEN(SUBSTITUTE(SUBSTITUTE(SUBSTITUTE(B105," ",""),"0",""),"-",""))+LEN(SUBSTITUTE(SUBSTITUTE(SUBSTITUTE(C105," ",""),"0",""),"-","")))=(LEN(SUBSTITUTE(SUBSTITUTE(SUBSTITUTE(E105," ",""),"0",""),"-",""))+LEN(SUBSTITUTE(SUBSTITUTE(SUBSTITUTE(F105," ",""),"0",""),"-",""))))),1,0)),0)+IF(OR(COUNTA(B117:C121,E117:F121)&gt;0,OR(D116="X",D116="x"),UPPER(D117)="X",UPPER(D118)="X",UPPER(D119)="X",UPPER(D120)="X",UPPER(D121)="X"),(IF(OR(D117="X",D117="x",AND(COUNTA(B117,C117,E117,F117)&gt;0,(LEN(SUBSTITUTE(SUBSTITUTE(SUBSTITUTE(B117," ",""),"0",""),"-",""))+LEN(SUBSTITUTE(SUBSTITUTE(SUBSTITUTE(C117," ",""),"0",""),"-","")))=(LEN(SUBSTITUTE(SUBSTITUTE(SUBSTITUTE(E117," ",""),"0",""),"-",""))+LEN(SUBSTITUTE(SUBSTITUTE(SUBSTITUTE(F117," ",""),"0",""),"-",""))))),1,0)+IF(OR(D118="X",D118="x",AND(COUNTA(B118,C118,E118,F118)&gt;0,(LEN(SUBSTITUTE(SUBSTITUTE(SUBSTITUTE(B118," ",""),"0",""),"-",""))+LEN(SUBSTITUTE(SUBSTITUTE(SUBSTITUTE(C118," ",""),"0",""),"-","")))=(LEN(SUBSTITUTE(SUBSTITUTE(SUBSTITUTE(E118," ",""),"0",""),"-",""))+LEN(SUBSTITUTE(SUBSTITUTE(SUBSTITUTE(F118," ",""),"0",""),"-",""))))),1,0)+IF(OR(D119="X",D119="x",AND(COUNTA(B119,C119,E119,F119)&gt;0,(LEN(SUBSTITUTE(SUBSTITUTE(SUBSTITUTE(B119," ",""),"0",""),"-",""))+LEN(SUBSTITUTE(SUBSTITUTE(SUBSTITUTE(C119," ",""),"0",""),"-","")))=(LEN(SUBSTITUTE(SUBSTITUTE(SUBSTITUTE(E119," ",""),"0",""),"-",""))+LEN(SUBSTITUTE(SUBSTITUTE(SUBSTITUTE(F119," ",""),"0",""),"-",""))))),1,0)+IF(OR(D120="X",D120="x",AND(COUNTA(B120,C120,E120,F120)&gt;0,(LEN(SUBSTITUTE(SUBSTITUTE(SUBSTITUTE(B120," ",""),"0",""),"-",""))+LEN(SUBSTITUTE(SUBSTITUTE(SUBSTITUTE(C120," ",""),"0",""),"-","")))=(LEN(SUBSTITUTE(SUBSTITUTE(SUBSTITUTE(E120," ",""),"0",""),"-",""))+LEN(SUBSTITUTE(SUBSTITUTE(SUBSTITUTE(F120," ",""),"0",""),"-",""))))),1,0)+IF(OR(D121="X",D121="x",AND(COUNTA(B121,C121,E121,F121)&gt;0,(LEN(SUBSTITUTE(SUBSTITUTE(SUBSTITUTE(B121," ",""),"0",""),"-",""))+LEN(SUBSTITUTE(SUBSTITUTE(SUBSTITUTE(C121," ",""),"0",""),"-","")))=(LEN(SUBSTITUTE(SUBSTITUTE(SUBSTITUTE(E121," ",""),"0",""),"-",""))+LEN(SUBSTITUTE(SUBSTITUTE(SUBSTITUTE(F121," ",""),"0",""),"-",""))))),1,0)),0)</f>
      </c>
      <c r="E131" s="14" t="str">
        <f>C100+E116</f>
      </c>
      <c r="F131" s="14" t="str">
        <f>E100+C116</f>
      </c>
      <c r="I131" s="14" t="str">
        <f>data!$E$56&amp;" "&amp;data!$B$56</f>
      </c>
      <c r="J131" s="14" t="str">
        <f>IF(OR(COUNTA(J101:K105,M101:N105)&gt;0,OR(L100="X",L100="x"),UPPER(L101)="X",UPPER(L102)="X",UPPER(L103)="X",UPPER(L104)="X",UPPER(L105)="X"),J100,0)+IF(OR(COUNTA(J117:K121,M117:N121)&gt;0,OR(L116="X",L116="x"),UPPER(L117)="X",UPPER(L118)="X",UPPER(L119)="X",UPPER(L120)="X",UPPER(L121)="X"),N116,0)</f>
      </c>
      <c r="K131" s="14" t="str">
        <f>IF(OR(COUNTA(J101:K105,M101:N105)&gt;0,OR(L100="X",L100="x"),UPPER(L101)="X",UPPER(L102)="X",UPPER(L103)="X",UPPER(L104)="X",UPPER(L105)="X"),N100,0)+IF(OR(COUNTA(J117:K121,M117:N121)&gt;0,OR(L116="X",L116="x"),UPPER(L117)="X",UPPER(L118)="X",UPPER(L119)="X",UPPER(L120)="X",UPPER(L121)="X"),J116,0)</f>
      </c>
      <c r="L131" s="14" t="str">
        <f>IF(OR(COUNTA(J101:K105,M101:N105)&gt;0,OR(L100="X",L100="x"),UPPER(L101)="X",UPPER(L102)="X",UPPER(L103)="X",UPPER(L104)="X",UPPER(L105)="X"),(IF(OR(L101="X",L101="x",AND(COUNTA(J101,K101,M101,N101)&gt;0,(LEN(SUBSTITUTE(SUBSTITUTE(SUBSTITUTE(J101," ",""),"0",""),"-",""))+LEN(SUBSTITUTE(SUBSTITUTE(SUBSTITUTE(K101," ",""),"0",""),"-","")))=(LEN(SUBSTITUTE(SUBSTITUTE(SUBSTITUTE(M101," ",""),"0",""),"-",""))+LEN(SUBSTITUTE(SUBSTITUTE(SUBSTITUTE(N101," ",""),"0",""),"-",""))))),1,0)+IF(OR(L102="X",L102="x",AND(COUNTA(J102,K102,M102,N102)&gt;0,(LEN(SUBSTITUTE(SUBSTITUTE(SUBSTITUTE(J102," ",""),"0",""),"-",""))+LEN(SUBSTITUTE(SUBSTITUTE(SUBSTITUTE(K102," ",""),"0",""),"-","")))=(LEN(SUBSTITUTE(SUBSTITUTE(SUBSTITUTE(M102," ",""),"0",""),"-",""))+LEN(SUBSTITUTE(SUBSTITUTE(SUBSTITUTE(N102," ",""),"0",""),"-",""))))),1,0)+IF(OR(L103="X",L103="x",AND(COUNTA(J103,K103,M103,N103)&gt;0,(LEN(SUBSTITUTE(SUBSTITUTE(SUBSTITUTE(J103," ",""),"0",""),"-",""))+LEN(SUBSTITUTE(SUBSTITUTE(SUBSTITUTE(K103," ",""),"0",""),"-","")))=(LEN(SUBSTITUTE(SUBSTITUTE(SUBSTITUTE(M103," ",""),"0",""),"-",""))+LEN(SUBSTITUTE(SUBSTITUTE(SUBSTITUTE(N103," ",""),"0",""),"-",""))))),1,0)+IF(OR(L104="X",L104="x",AND(COUNTA(J104,K104,M104,N104)&gt;0,(LEN(SUBSTITUTE(SUBSTITUTE(SUBSTITUTE(J104," ",""),"0",""),"-",""))+LEN(SUBSTITUTE(SUBSTITUTE(SUBSTITUTE(K104," ",""),"0",""),"-","")))=(LEN(SUBSTITUTE(SUBSTITUTE(SUBSTITUTE(M104," ",""),"0",""),"-",""))+LEN(SUBSTITUTE(SUBSTITUTE(SUBSTITUTE(N104," ",""),"0",""),"-",""))))),1,0)+IF(OR(L105="X",L105="x",AND(COUNTA(J105,K105,M105,N105)&gt;0,(LEN(SUBSTITUTE(SUBSTITUTE(SUBSTITUTE(J105," ",""),"0",""),"-",""))+LEN(SUBSTITUTE(SUBSTITUTE(SUBSTITUTE(K105," ",""),"0",""),"-","")))=(LEN(SUBSTITUTE(SUBSTITUTE(SUBSTITUTE(M105," ",""),"0",""),"-",""))+LEN(SUBSTITUTE(SUBSTITUTE(SUBSTITUTE(N105," ",""),"0",""),"-",""))))),1,0)),0)+IF(OR(COUNTA(J117:K121,M117:N121)&gt;0,OR(L116="X",L116="x"),UPPER(L117)="X",UPPER(L118)="X",UPPER(L119)="X",UPPER(L120)="X",UPPER(L121)="X"),(IF(OR(L117="X",L117="x",AND(COUNTA(J117,K117,M117,N117)&gt;0,(LEN(SUBSTITUTE(SUBSTITUTE(SUBSTITUTE(J117," ",""),"0",""),"-",""))+LEN(SUBSTITUTE(SUBSTITUTE(SUBSTITUTE(K117," ",""),"0",""),"-","")))=(LEN(SUBSTITUTE(SUBSTITUTE(SUBSTITUTE(M117," ",""),"0",""),"-",""))+LEN(SUBSTITUTE(SUBSTITUTE(SUBSTITUTE(N117," ",""),"0",""),"-",""))))),1,0)+IF(OR(L118="X",L118="x",AND(COUNTA(J118,K118,M118,N118)&gt;0,(LEN(SUBSTITUTE(SUBSTITUTE(SUBSTITUTE(J118," ",""),"0",""),"-",""))+LEN(SUBSTITUTE(SUBSTITUTE(SUBSTITUTE(K118," ",""),"0",""),"-","")))=(LEN(SUBSTITUTE(SUBSTITUTE(SUBSTITUTE(M118," ",""),"0",""),"-",""))+LEN(SUBSTITUTE(SUBSTITUTE(SUBSTITUTE(N118," ",""),"0",""),"-",""))))),1,0)+IF(OR(L119="X",L119="x",AND(COUNTA(J119,K119,M119,N119)&gt;0,(LEN(SUBSTITUTE(SUBSTITUTE(SUBSTITUTE(J119," ",""),"0",""),"-",""))+LEN(SUBSTITUTE(SUBSTITUTE(SUBSTITUTE(K119," ",""),"0",""),"-","")))=(LEN(SUBSTITUTE(SUBSTITUTE(SUBSTITUTE(M119," ",""),"0",""),"-",""))+LEN(SUBSTITUTE(SUBSTITUTE(SUBSTITUTE(N119," ",""),"0",""),"-",""))))),1,0)+IF(OR(L120="X",L120="x",AND(COUNTA(J120,K120,M120,N120)&gt;0,(LEN(SUBSTITUTE(SUBSTITUTE(SUBSTITUTE(J120," ",""),"0",""),"-",""))+LEN(SUBSTITUTE(SUBSTITUTE(SUBSTITUTE(K120," ",""),"0",""),"-","")))=(LEN(SUBSTITUTE(SUBSTITUTE(SUBSTITUTE(M120," ",""),"0",""),"-",""))+LEN(SUBSTITUTE(SUBSTITUTE(SUBSTITUTE(N120," ",""),"0",""),"-",""))))),1,0)+IF(OR(L121="X",L121="x",AND(COUNTA(J121,K121,M121,N121)&gt;0,(LEN(SUBSTITUTE(SUBSTITUTE(SUBSTITUTE(J121," ",""),"0",""),"-",""))+LEN(SUBSTITUTE(SUBSTITUTE(SUBSTITUTE(K121," ",""),"0",""),"-","")))=(LEN(SUBSTITUTE(SUBSTITUTE(SUBSTITUTE(M121," ",""),"0",""),"-",""))+LEN(SUBSTITUTE(SUBSTITUTE(SUBSTITUTE(N121," ",""),"0",""),"-",""))))),1,0)),0)</f>
      </c>
      <c r="M131" s="14" t="str">
        <f>K100+M116</f>
      </c>
      <c r="N131" s="14" t="str">
        <f>M100+K116</f>
      </c>
    </row>
    <row r="132">
      <c r="A132" s="14" t="str">
        <f>data!$E$12&amp;" "&amp;data!$B$12</f>
      </c>
      <c r="B132" s="14" t="str">
        <f>IF(OR(COUNTA(B109:C113,E109:F113)&gt;0,OR(D108="X",D108="x"),UPPER(D109)="X",UPPER(D110)="X",UPPER(D111)="X",UPPER(D112)="X",UPPER(D113)="X"),B108,0)+IF(OR(COUNTA(B117:C121,E117:F121)&gt;0,OR(D116="X",D116="x"),UPPER(D117)="X",UPPER(D118)="X",UPPER(D119)="X",UPPER(D120)="X",UPPER(D121)="X"),B116,0)</f>
      </c>
      <c r="C132" s="14" t="str">
        <f>IF(OR(COUNTA(B109:C113,E109:F113)&gt;0,OR(D108="X",D108="x"),UPPER(D109)="X",UPPER(D110)="X",UPPER(D111)="X",UPPER(D112)="X",UPPER(D113)="X"),F108,0)+IF(OR(COUNTA(B117:C121,E117:F121)&gt;0,OR(D116="X",D116="x"),UPPER(D117)="X",UPPER(D118)="X",UPPER(D119)="X",UPPER(D120)="X",UPPER(D121)="X"),F116,0)</f>
      </c>
      <c r="D132" s="14" t="str">
        <f>IF(OR(COUNTA(B109:C113,E109:F113)&gt;0,OR(D108="X",D108="x"),UPPER(D109)="X",UPPER(D110)="X",UPPER(D111)="X",UPPER(D112)="X",UPPER(D113)="X"),(IF(OR(D109="X",D109="x",AND(COUNTA(B109,C109,E109,F109)&gt;0,(LEN(SUBSTITUTE(SUBSTITUTE(SUBSTITUTE(B109," ",""),"0",""),"-",""))+LEN(SUBSTITUTE(SUBSTITUTE(SUBSTITUTE(C109," ",""),"0",""),"-","")))=(LEN(SUBSTITUTE(SUBSTITUTE(SUBSTITUTE(E109," ",""),"0",""),"-",""))+LEN(SUBSTITUTE(SUBSTITUTE(SUBSTITUTE(F109," ",""),"0",""),"-",""))))),1,0)+IF(OR(D110="X",D110="x",AND(COUNTA(B110,C110,E110,F110)&gt;0,(LEN(SUBSTITUTE(SUBSTITUTE(SUBSTITUTE(B110," ",""),"0",""),"-",""))+LEN(SUBSTITUTE(SUBSTITUTE(SUBSTITUTE(C110," ",""),"0",""),"-","")))=(LEN(SUBSTITUTE(SUBSTITUTE(SUBSTITUTE(E110," ",""),"0",""),"-",""))+LEN(SUBSTITUTE(SUBSTITUTE(SUBSTITUTE(F110," ",""),"0",""),"-",""))))),1,0)+IF(OR(D111="X",D111="x",AND(COUNTA(B111,C111,E111,F111)&gt;0,(LEN(SUBSTITUTE(SUBSTITUTE(SUBSTITUTE(B111," ",""),"0",""),"-",""))+LEN(SUBSTITUTE(SUBSTITUTE(SUBSTITUTE(C111," ",""),"0",""),"-","")))=(LEN(SUBSTITUTE(SUBSTITUTE(SUBSTITUTE(E111," ",""),"0",""),"-",""))+LEN(SUBSTITUTE(SUBSTITUTE(SUBSTITUTE(F111," ",""),"0",""),"-",""))))),1,0)+IF(OR(D112="X",D112="x",AND(COUNTA(B112,C112,E112,F112)&gt;0,(LEN(SUBSTITUTE(SUBSTITUTE(SUBSTITUTE(B112," ",""),"0",""),"-",""))+LEN(SUBSTITUTE(SUBSTITUTE(SUBSTITUTE(C112," ",""),"0",""),"-","")))=(LEN(SUBSTITUTE(SUBSTITUTE(SUBSTITUTE(E112," ",""),"0",""),"-",""))+LEN(SUBSTITUTE(SUBSTITUTE(SUBSTITUTE(F112," ",""),"0",""),"-",""))))),1,0)+IF(OR(D113="X",D113="x",AND(COUNTA(B113,C113,E113,F113)&gt;0,(LEN(SUBSTITUTE(SUBSTITUTE(SUBSTITUTE(B113," ",""),"0",""),"-",""))+LEN(SUBSTITUTE(SUBSTITUTE(SUBSTITUTE(C113," ",""),"0",""),"-","")))=(LEN(SUBSTITUTE(SUBSTITUTE(SUBSTITUTE(E113," ",""),"0",""),"-",""))+LEN(SUBSTITUTE(SUBSTITUTE(SUBSTITUTE(F113," ",""),"0",""),"-",""))))),1,0)),0)+IF(OR(COUNTA(B117:C121,E117:F121)&gt;0,OR(D116="X",D116="x"),UPPER(D117)="X",UPPER(D118)="X",UPPER(D119)="X",UPPER(D120)="X",UPPER(D121)="X"),(IF(OR(D117="X",D117="x",AND(COUNTA(B117,C117,E117,F117)&gt;0,(LEN(SUBSTITUTE(SUBSTITUTE(SUBSTITUTE(B117," ",""),"0",""),"-",""))+LEN(SUBSTITUTE(SUBSTITUTE(SUBSTITUTE(C117," ",""),"0",""),"-","")))=(LEN(SUBSTITUTE(SUBSTITUTE(SUBSTITUTE(E117," ",""),"0",""),"-",""))+LEN(SUBSTITUTE(SUBSTITUTE(SUBSTITUTE(F117," ",""),"0",""),"-",""))))),1,0)+IF(OR(D118="X",D118="x",AND(COUNTA(B118,C118,E118,F118)&gt;0,(LEN(SUBSTITUTE(SUBSTITUTE(SUBSTITUTE(B118," ",""),"0",""),"-",""))+LEN(SUBSTITUTE(SUBSTITUTE(SUBSTITUTE(C118," ",""),"0",""),"-","")))=(LEN(SUBSTITUTE(SUBSTITUTE(SUBSTITUTE(E118," ",""),"0",""),"-",""))+LEN(SUBSTITUTE(SUBSTITUTE(SUBSTITUTE(F118," ",""),"0",""),"-",""))))),1,0)+IF(OR(D119="X",D119="x",AND(COUNTA(B119,C119,E119,F119)&gt;0,(LEN(SUBSTITUTE(SUBSTITUTE(SUBSTITUTE(B119," ",""),"0",""),"-",""))+LEN(SUBSTITUTE(SUBSTITUTE(SUBSTITUTE(C119," ",""),"0",""),"-","")))=(LEN(SUBSTITUTE(SUBSTITUTE(SUBSTITUTE(E119," ",""),"0",""),"-",""))+LEN(SUBSTITUTE(SUBSTITUTE(SUBSTITUTE(F119," ",""),"0",""),"-",""))))),1,0)+IF(OR(D120="X",D120="x",AND(COUNTA(B120,C120,E120,F120)&gt;0,(LEN(SUBSTITUTE(SUBSTITUTE(SUBSTITUTE(B120," ",""),"0",""),"-",""))+LEN(SUBSTITUTE(SUBSTITUTE(SUBSTITUTE(C120," ",""),"0",""),"-","")))=(LEN(SUBSTITUTE(SUBSTITUTE(SUBSTITUTE(E120," ",""),"0",""),"-",""))+LEN(SUBSTITUTE(SUBSTITUTE(SUBSTITUTE(F120," ",""),"0",""),"-",""))))),1,0)+IF(OR(D121="X",D121="x",AND(COUNTA(B121,C121,E121,F121)&gt;0,(LEN(SUBSTITUTE(SUBSTITUTE(SUBSTITUTE(B121," ",""),"0",""),"-",""))+LEN(SUBSTITUTE(SUBSTITUTE(SUBSTITUTE(C121," ",""),"0",""),"-","")))=(LEN(SUBSTITUTE(SUBSTITUTE(SUBSTITUTE(E121," ",""),"0",""),"-",""))+LEN(SUBSTITUTE(SUBSTITUTE(SUBSTITUTE(F121," ",""),"0",""),"-",""))))),1,0)),0)</f>
      </c>
      <c r="E132" s="14" t="str">
        <f>C108+C116</f>
      </c>
      <c r="F132" s="14" t="str">
        <f>E108+E116</f>
      </c>
      <c r="I132" s="14" t="str">
        <f>data!$E$57&amp;" "&amp;data!$B$57</f>
      </c>
      <c r="J132" s="14" t="str">
        <f>IF(OR(COUNTA(J109:K113,M109:N113)&gt;0,OR(L108="X",L108="x"),UPPER(L109)="X",UPPER(L110)="X",UPPER(L111)="X",UPPER(L112)="X",UPPER(L113)="X"),J108,0)+IF(OR(COUNTA(J117:K121,M117:N121)&gt;0,OR(L116="X",L116="x"),UPPER(L117)="X",UPPER(L118)="X",UPPER(L119)="X",UPPER(L120)="X",UPPER(L121)="X"),J116,0)</f>
      </c>
      <c r="K132" s="14" t="str">
        <f>IF(OR(COUNTA(J109:K113,M109:N113)&gt;0,OR(L108="X",L108="x"),UPPER(L109)="X",UPPER(L110)="X",UPPER(L111)="X",UPPER(L112)="X",UPPER(L113)="X"),N108,0)+IF(OR(COUNTA(J117:K121,M117:N121)&gt;0,OR(L116="X",L116="x"),UPPER(L117)="X",UPPER(L118)="X",UPPER(L119)="X",UPPER(L120)="X",UPPER(L121)="X"),N116,0)</f>
      </c>
      <c r="L132" s="14" t="str">
        <f>IF(OR(COUNTA(J109:K113,M109:N113)&gt;0,OR(L108="X",L108="x"),UPPER(L109)="X",UPPER(L110)="X",UPPER(L111)="X",UPPER(L112)="X",UPPER(L113)="X"),(IF(OR(L109="X",L109="x",AND(COUNTA(J109,K109,M109,N109)&gt;0,(LEN(SUBSTITUTE(SUBSTITUTE(SUBSTITUTE(J109," ",""),"0",""),"-",""))+LEN(SUBSTITUTE(SUBSTITUTE(SUBSTITUTE(K109," ",""),"0",""),"-","")))=(LEN(SUBSTITUTE(SUBSTITUTE(SUBSTITUTE(M109," ",""),"0",""),"-",""))+LEN(SUBSTITUTE(SUBSTITUTE(SUBSTITUTE(N109," ",""),"0",""),"-",""))))),1,0)+IF(OR(L110="X",L110="x",AND(COUNTA(J110,K110,M110,N110)&gt;0,(LEN(SUBSTITUTE(SUBSTITUTE(SUBSTITUTE(J110," ",""),"0",""),"-",""))+LEN(SUBSTITUTE(SUBSTITUTE(SUBSTITUTE(K110," ",""),"0",""),"-","")))=(LEN(SUBSTITUTE(SUBSTITUTE(SUBSTITUTE(M110," ",""),"0",""),"-",""))+LEN(SUBSTITUTE(SUBSTITUTE(SUBSTITUTE(N110," ",""),"0",""),"-",""))))),1,0)+IF(OR(L111="X",L111="x",AND(COUNTA(J111,K111,M111,N111)&gt;0,(LEN(SUBSTITUTE(SUBSTITUTE(SUBSTITUTE(J111," ",""),"0",""),"-",""))+LEN(SUBSTITUTE(SUBSTITUTE(SUBSTITUTE(K111," ",""),"0",""),"-","")))=(LEN(SUBSTITUTE(SUBSTITUTE(SUBSTITUTE(M111," ",""),"0",""),"-",""))+LEN(SUBSTITUTE(SUBSTITUTE(SUBSTITUTE(N111," ",""),"0",""),"-",""))))),1,0)+IF(OR(L112="X",L112="x",AND(COUNTA(J112,K112,M112,N112)&gt;0,(LEN(SUBSTITUTE(SUBSTITUTE(SUBSTITUTE(J112," ",""),"0",""),"-",""))+LEN(SUBSTITUTE(SUBSTITUTE(SUBSTITUTE(K112," ",""),"0",""),"-","")))=(LEN(SUBSTITUTE(SUBSTITUTE(SUBSTITUTE(M112," ",""),"0",""),"-",""))+LEN(SUBSTITUTE(SUBSTITUTE(SUBSTITUTE(N112," ",""),"0",""),"-",""))))),1,0)+IF(OR(L113="X",L113="x",AND(COUNTA(J113,K113,M113,N113)&gt;0,(LEN(SUBSTITUTE(SUBSTITUTE(SUBSTITUTE(J113," ",""),"0",""),"-",""))+LEN(SUBSTITUTE(SUBSTITUTE(SUBSTITUTE(K113," ",""),"0",""),"-","")))=(LEN(SUBSTITUTE(SUBSTITUTE(SUBSTITUTE(M113," ",""),"0",""),"-",""))+LEN(SUBSTITUTE(SUBSTITUTE(SUBSTITUTE(N113," ",""),"0",""),"-",""))))),1,0)),0)+IF(OR(COUNTA(J117:K121,M117:N121)&gt;0,OR(L116="X",L116="x"),UPPER(L117)="X",UPPER(L118)="X",UPPER(L119)="X",UPPER(L120)="X",UPPER(L121)="X"),(IF(OR(L117="X",L117="x",AND(COUNTA(J117,K117,M117,N117)&gt;0,(LEN(SUBSTITUTE(SUBSTITUTE(SUBSTITUTE(J117," ",""),"0",""),"-",""))+LEN(SUBSTITUTE(SUBSTITUTE(SUBSTITUTE(K117," ",""),"0",""),"-","")))=(LEN(SUBSTITUTE(SUBSTITUTE(SUBSTITUTE(M117," ",""),"0",""),"-",""))+LEN(SUBSTITUTE(SUBSTITUTE(SUBSTITUTE(N117," ",""),"0",""),"-",""))))),1,0)+IF(OR(L118="X",L118="x",AND(COUNTA(J118,K118,M118,N118)&gt;0,(LEN(SUBSTITUTE(SUBSTITUTE(SUBSTITUTE(J118," ",""),"0",""),"-",""))+LEN(SUBSTITUTE(SUBSTITUTE(SUBSTITUTE(K118," ",""),"0",""),"-","")))=(LEN(SUBSTITUTE(SUBSTITUTE(SUBSTITUTE(M118," ",""),"0",""),"-",""))+LEN(SUBSTITUTE(SUBSTITUTE(SUBSTITUTE(N118," ",""),"0",""),"-",""))))),1,0)+IF(OR(L119="X",L119="x",AND(COUNTA(J119,K119,M119,N119)&gt;0,(LEN(SUBSTITUTE(SUBSTITUTE(SUBSTITUTE(J119," ",""),"0",""),"-",""))+LEN(SUBSTITUTE(SUBSTITUTE(SUBSTITUTE(K119," ",""),"0",""),"-","")))=(LEN(SUBSTITUTE(SUBSTITUTE(SUBSTITUTE(M119," ",""),"0",""),"-",""))+LEN(SUBSTITUTE(SUBSTITUTE(SUBSTITUTE(N119," ",""),"0",""),"-",""))))),1,0)+IF(OR(L120="X",L120="x",AND(COUNTA(J120,K120,M120,N120)&gt;0,(LEN(SUBSTITUTE(SUBSTITUTE(SUBSTITUTE(J120," ",""),"0",""),"-",""))+LEN(SUBSTITUTE(SUBSTITUTE(SUBSTITUTE(K120," ",""),"0",""),"-","")))=(LEN(SUBSTITUTE(SUBSTITUTE(SUBSTITUTE(M120," ",""),"0",""),"-",""))+LEN(SUBSTITUTE(SUBSTITUTE(SUBSTITUTE(N120," ",""),"0",""),"-",""))))),1,0)+IF(OR(L121="X",L121="x",AND(COUNTA(J121,K121,M121,N121)&gt;0,(LEN(SUBSTITUTE(SUBSTITUTE(SUBSTITUTE(J121," ",""),"0",""),"-",""))+LEN(SUBSTITUTE(SUBSTITUTE(SUBSTITUTE(K121," ",""),"0",""),"-","")))=(LEN(SUBSTITUTE(SUBSTITUTE(SUBSTITUTE(M121," ",""),"0",""),"-",""))+LEN(SUBSTITUTE(SUBSTITUTE(SUBSTITUTE(N121," ",""),"0",""),"-",""))))),1,0)),0)</f>
      </c>
      <c r="M132" s="14" t="str">
        <f>K108+K116</f>
      </c>
      <c r="N132" s="14" t="str">
        <f>M108+M116</f>
      </c>
    </row>
    <row r="135">
      <c r="F135" s="13"/>
      <c r="G135" s="13" t="s">
        <v>343</v>
      </c>
      <c r="N135" s="13"/>
      <c r="O135" s="13" t="s">
        <v>343</v>
      </c>
    </row>
    <row r="136">
      <c r="F136" t="s">
        <v>344</v>
      </c>
      <c r="G136" s="19" t="str">
        <f>IFERROR(INDEX($A$125:$A$132, MATCH(1, $G$125:$G$132, 0)), "-")</f>
      </c>
      <c r="N136" t="s">
        <v>344</v>
      </c>
      <c r="O136" s="19" t="str">
        <f>IFERROR(INDEX($I$125:$I$132, MATCH(1, $O$125:$O$132, 0)), "-")</f>
      </c>
    </row>
    <row r="137">
      <c r="F137" t="s">
        <v>345</v>
      </c>
      <c r="G137" s="19" t="str">
        <f>IFERROR(INDEX($A$125:$A$132, MATCH(2, $G$125:$G$132, 0)), "-")</f>
      </c>
      <c r="N137" t="s">
        <v>345</v>
      </c>
      <c r="O137" s="19" t="str">
        <f>IFERROR(INDEX($I$125:$I$132, MATCH(2, $O$125:$O$132, 0)), "-")</f>
      </c>
    </row>
    <row r="138">
      <c r="F138" t="s">
        <v>346</v>
      </c>
      <c r="G138" s="19" t="str">
        <f>IFERROR(INDEX($A$125:$A$132, MATCH(3, $G$125:$G$132, 0)), "-")</f>
      </c>
      <c r="N138" t="s">
        <v>346</v>
      </c>
      <c r="O138" s="19" t="str">
        <f>IFERROR(INDEX($I$125:$I$132, MATCH(3, $O$125:$O$132, 0)), "-")</f>
      </c>
    </row>
    <row r="141">
      <c r="A141" s="13" t="str">
        <f>'data'!$A$15</f>
      </c>
      <c r="B141" s="13"/>
      <c r="C141" s="13"/>
      <c r="D141" s="13"/>
      <c r="E141" s="13"/>
      <c r="F141" s="13"/>
      <c r="G141" s="13"/>
      <c r="I141" s="13" t="str">
        <f>'data'!$A$60</f>
      </c>
      <c r="J141" s="13"/>
      <c r="K141" s="13"/>
      <c r="L141" s="13"/>
      <c r="M141" s="13"/>
      <c r="N141" s="13"/>
      <c r="O141" s="13"/>
    </row>
    <row r="142">
      <c r="A142" s="17" t="s">
        <v>330</v>
      </c>
      <c r="B142" s="14"/>
      <c r="C142" s="14"/>
      <c r="D142" s="14" t="s">
        <v>331</v>
      </c>
      <c r="E142" s="14"/>
      <c r="F142" s="14"/>
      <c r="G142" s="16" t="s">
        <v>332</v>
      </c>
      <c r="I142" s="17" t="s">
        <v>330</v>
      </c>
      <c r="J142" s="14"/>
      <c r="K142" s="14"/>
      <c r="L142" s="14" t="s">
        <v>331</v>
      </c>
      <c r="M142" s="14"/>
      <c r="N142" s="14"/>
      <c r="O142" s="16" t="s">
        <v>332</v>
      </c>
    </row>
    <row r="143">
      <c r="A143" s="14" t="str">
        <f>data!$E$14&amp;" "&amp;data!$B$14</f>
      </c>
      <c r="B143" s="14" t="str">
        <f>IF(UPPER(D144)="X",0,IF((LEN(SUBSTITUTE(SUBSTITUTE(SUBSTITUTE(B144," ",""),"0",""),"-",""))+LEN(SUBSTITUTE(SUBSTITUTE(SUBSTITUTE(C144," ",""),"0",""),"-","")))&gt;(LEN(SUBSTITUTE(SUBSTITUTE(SUBSTITUTE(E144," ",""),"0",""),"-",""))+LEN(SUBSTITUTE(SUBSTITUTE(SUBSTITUTE(F144," ",""),"0",""),"-",""))),1,0))+IF(UPPER(D145)="X",0,IF((LEN(SUBSTITUTE(SUBSTITUTE(SUBSTITUTE(B145," ",""),"0",""),"-",""))+LEN(SUBSTITUTE(SUBSTITUTE(SUBSTITUTE(C145," ",""),"0",""),"-","")))&gt;(LEN(SUBSTITUTE(SUBSTITUTE(SUBSTITUTE(E145," ",""),"0",""),"-",""))+LEN(SUBSTITUTE(SUBSTITUTE(SUBSTITUTE(F145," ",""),"0",""),"-",""))),1,0))+IF(UPPER(D146)="X",0,IF((LEN(SUBSTITUTE(SUBSTITUTE(SUBSTITUTE(B146," ",""),"0",""),"-",""))+LEN(SUBSTITUTE(SUBSTITUTE(SUBSTITUTE(C146," ",""),"0",""),"-","")))&gt;(LEN(SUBSTITUTE(SUBSTITUTE(SUBSTITUTE(E146," ",""),"0",""),"-",""))+LEN(SUBSTITUTE(SUBSTITUTE(SUBSTITUTE(F146," ",""),"0",""),"-",""))),1,0))+IF(UPPER(D147)="X",0,IF((LEN(SUBSTITUTE(SUBSTITUTE(SUBSTITUTE(B147," ",""),"0",""),"-",""))+LEN(SUBSTITUTE(SUBSTITUTE(SUBSTITUTE(C147," ",""),"0",""),"-","")))&gt;(LEN(SUBSTITUTE(SUBSTITUTE(SUBSTITUTE(E147," ",""),"0",""),"-",""))+LEN(SUBSTITUTE(SUBSTITUTE(SUBSTITUTE(F147," ",""),"0",""),"-",""))),1,0))+IF(UPPER(D148)="X",0,IF((LEN(SUBSTITUTE(SUBSTITUTE(SUBSTITUTE(B148," ",""),"0",""),"-",""))+LEN(SUBSTITUTE(SUBSTITUTE(SUBSTITUTE(C148," ",""),"0",""),"-","")))&gt;(LEN(SUBSTITUTE(SUBSTITUTE(SUBSTITUTE(E148," ",""),"0",""),"-",""))+LEN(SUBSTITUTE(SUBSTITUTE(SUBSTITUTE(F148," ",""),"0",""),"-",""))),1,0))</f>
      </c>
      <c r="C143" s="14" t="str">
        <f>LEN(SUBSTITUTE(SUBSTITUTE(SUBSTITUTE(B144," ",""),"0",""),"-",""))+LEN(SUBSTITUTE(SUBSTITUTE(SUBSTITUTE(C144," ",""),"0",""),"-",""))+LEN(SUBSTITUTE(SUBSTITUTE(SUBSTITUTE(B145," ",""),"0",""),"-",""))+LEN(SUBSTITUTE(SUBSTITUTE(SUBSTITUTE(C145," ",""),"0",""),"-",""))+LEN(SUBSTITUTE(SUBSTITUTE(SUBSTITUTE(B146," ",""),"0",""),"-",""))+LEN(SUBSTITUTE(SUBSTITUTE(SUBSTITUTE(C146," ",""),"0",""),"-",""))+LEN(SUBSTITUTE(SUBSTITUTE(SUBSTITUTE(B147," ",""),"0",""),"-",""))+LEN(SUBSTITUTE(SUBSTITUTE(SUBSTITUTE(C147," ",""),"0",""),"-",""))+LEN(SUBSTITUTE(SUBSTITUTE(SUBSTITUTE(B148," ",""),"0",""),"-",""))+LEN(SUBSTITUTE(SUBSTITUTE(SUBSTITUTE(C148," ",""),"0",""),"-",""))</f>
      </c>
      <c r="D143" s="18"/>
      <c r="E143" s="14" t="str">
        <f>LEN(SUBSTITUTE(SUBSTITUTE(SUBSTITUTE(E144," ",""),"0",""),"-",""))+LEN(SUBSTITUTE(SUBSTITUTE(SUBSTITUTE(F144," ",""),"0",""),"-",""))+LEN(SUBSTITUTE(SUBSTITUTE(SUBSTITUTE(E145," ",""),"0",""),"-",""))+LEN(SUBSTITUTE(SUBSTITUTE(SUBSTITUTE(F145," ",""),"0",""),"-",""))+LEN(SUBSTITUTE(SUBSTITUTE(SUBSTITUTE(E146," ",""),"0",""),"-",""))+LEN(SUBSTITUTE(SUBSTITUTE(SUBSTITUTE(F146," ",""),"0",""),"-",""))+LEN(SUBSTITUTE(SUBSTITUTE(SUBSTITUTE(E147," ",""),"0",""),"-",""))+LEN(SUBSTITUTE(SUBSTITUTE(SUBSTITUTE(F147," ",""),"0",""),"-",""))+LEN(SUBSTITUTE(SUBSTITUTE(SUBSTITUTE(E148," ",""),"0",""),"-",""))+LEN(SUBSTITUTE(SUBSTITUTE(SUBSTITUTE(F148," ",""),"0",""),"-",""))</f>
      </c>
      <c r="F143" s="14" t="str">
        <f>IF(UPPER(D144)="X",0,IF((LEN(SUBSTITUTE(SUBSTITUTE(SUBSTITUTE(E144," ",""),"0",""),"-",""))+LEN(SUBSTITUTE(SUBSTITUTE(SUBSTITUTE(F144," ",""),"0",""),"-","")))&gt;(LEN(SUBSTITUTE(SUBSTITUTE(SUBSTITUTE(B144," ",""),"0",""),"-",""))+LEN(SUBSTITUTE(SUBSTITUTE(SUBSTITUTE(C144," ",""),"0",""),"-",""))),1,0))+IF(UPPER(D145)="X",0,IF((LEN(SUBSTITUTE(SUBSTITUTE(SUBSTITUTE(E145," ",""),"0",""),"-",""))+LEN(SUBSTITUTE(SUBSTITUTE(SUBSTITUTE(F145," ",""),"0",""),"-","")))&gt;(LEN(SUBSTITUTE(SUBSTITUTE(SUBSTITUTE(B145," ",""),"0",""),"-",""))+LEN(SUBSTITUTE(SUBSTITUTE(SUBSTITUTE(C145," ",""),"0",""),"-",""))),1,0))+IF(UPPER(D146)="X",0,IF((LEN(SUBSTITUTE(SUBSTITUTE(SUBSTITUTE(E146," ",""),"0",""),"-",""))+LEN(SUBSTITUTE(SUBSTITUTE(SUBSTITUTE(F146," ",""),"0",""),"-","")))&gt;(LEN(SUBSTITUTE(SUBSTITUTE(SUBSTITUTE(B146," ",""),"0",""),"-",""))+LEN(SUBSTITUTE(SUBSTITUTE(SUBSTITUTE(C146," ",""),"0",""),"-",""))),1,0))+IF(UPPER(D147)="X",0,IF((LEN(SUBSTITUTE(SUBSTITUTE(SUBSTITUTE(E147," ",""),"0",""),"-",""))+LEN(SUBSTITUTE(SUBSTITUTE(SUBSTITUTE(F147," ",""),"0",""),"-","")))&gt;(LEN(SUBSTITUTE(SUBSTITUTE(SUBSTITUTE(B147," ",""),"0",""),"-",""))+LEN(SUBSTITUTE(SUBSTITUTE(SUBSTITUTE(C147," ",""),"0",""),"-",""))),1,0))+IF(UPPER(D148)="X",0,IF((LEN(SUBSTITUTE(SUBSTITUTE(SUBSTITUTE(E148," ",""),"0",""),"-",""))+LEN(SUBSTITUTE(SUBSTITUTE(SUBSTITUTE(F148," ",""),"0",""),"-","")))&gt;(LEN(SUBSTITUTE(SUBSTITUTE(SUBSTITUTE(B148," ",""),"0",""),"-",""))+LEN(SUBSTITUTE(SUBSTITUTE(SUBSTITUTE(C148," ",""),"0",""),"-",""))),1,0))</f>
      </c>
      <c r="G143" s="14" t="str">
        <f>data!$E$13&amp;" "&amp;data!$B$13</f>
      </c>
      <c r="I143" s="14" t="str">
        <f>data!$E$59&amp;" "&amp;data!$B$59</f>
      </c>
      <c r="J143" s="14" t="str">
        <f>IF(UPPER(L144)="X",0,IF((LEN(SUBSTITUTE(SUBSTITUTE(SUBSTITUTE(J144," ",""),"0",""),"-",""))+LEN(SUBSTITUTE(SUBSTITUTE(SUBSTITUTE(K144," ",""),"0",""),"-","")))&gt;(LEN(SUBSTITUTE(SUBSTITUTE(SUBSTITUTE(M144," ",""),"0",""),"-",""))+LEN(SUBSTITUTE(SUBSTITUTE(SUBSTITUTE(N144," ",""),"0",""),"-",""))),1,0))+IF(UPPER(L145)="X",0,IF((LEN(SUBSTITUTE(SUBSTITUTE(SUBSTITUTE(J145," ",""),"0",""),"-",""))+LEN(SUBSTITUTE(SUBSTITUTE(SUBSTITUTE(K145," ",""),"0",""),"-","")))&gt;(LEN(SUBSTITUTE(SUBSTITUTE(SUBSTITUTE(M145," ",""),"0",""),"-",""))+LEN(SUBSTITUTE(SUBSTITUTE(SUBSTITUTE(N145," ",""),"0",""),"-",""))),1,0))+IF(UPPER(L146)="X",0,IF((LEN(SUBSTITUTE(SUBSTITUTE(SUBSTITUTE(J146," ",""),"0",""),"-",""))+LEN(SUBSTITUTE(SUBSTITUTE(SUBSTITUTE(K146," ",""),"0",""),"-","")))&gt;(LEN(SUBSTITUTE(SUBSTITUTE(SUBSTITUTE(M146," ",""),"0",""),"-",""))+LEN(SUBSTITUTE(SUBSTITUTE(SUBSTITUTE(N146," ",""),"0",""),"-",""))),1,0))+IF(UPPER(L147)="X",0,IF((LEN(SUBSTITUTE(SUBSTITUTE(SUBSTITUTE(J147," ",""),"0",""),"-",""))+LEN(SUBSTITUTE(SUBSTITUTE(SUBSTITUTE(K147," ",""),"0",""),"-","")))&gt;(LEN(SUBSTITUTE(SUBSTITUTE(SUBSTITUTE(M147," ",""),"0",""),"-",""))+LEN(SUBSTITUTE(SUBSTITUTE(SUBSTITUTE(N147," ",""),"0",""),"-",""))),1,0))+IF(UPPER(L148)="X",0,IF((LEN(SUBSTITUTE(SUBSTITUTE(SUBSTITUTE(J148," ",""),"0",""),"-",""))+LEN(SUBSTITUTE(SUBSTITUTE(SUBSTITUTE(K148," ",""),"0",""),"-","")))&gt;(LEN(SUBSTITUTE(SUBSTITUTE(SUBSTITUTE(M148," ",""),"0",""),"-",""))+LEN(SUBSTITUTE(SUBSTITUTE(SUBSTITUTE(N148," ",""),"0",""),"-",""))),1,0))</f>
      </c>
      <c r="K143" s="14" t="str">
        <f>LEN(SUBSTITUTE(SUBSTITUTE(SUBSTITUTE(J144," ",""),"0",""),"-",""))+LEN(SUBSTITUTE(SUBSTITUTE(SUBSTITUTE(K144," ",""),"0",""),"-",""))+LEN(SUBSTITUTE(SUBSTITUTE(SUBSTITUTE(J145," ",""),"0",""),"-",""))+LEN(SUBSTITUTE(SUBSTITUTE(SUBSTITUTE(K145," ",""),"0",""),"-",""))+LEN(SUBSTITUTE(SUBSTITUTE(SUBSTITUTE(J146," ",""),"0",""),"-",""))+LEN(SUBSTITUTE(SUBSTITUTE(SUBSTITUTE(K146," ",""),"0",""),"-",""))+LEN(SUBSTITUTE(SUBSTITUTE(SUBSTITUTE(J147," ",""),"0",""),"-",""))+LEN(SUBSTITUTE(SUBSTITUTE(SUBSTITUTE(K147," ",""),"0",""),"-",""))+LEN(SUBSTITUTE(SUBSTITUTE(SUBSTITUTE(J148," ",""),"0",""),"-",""))+LEN(SUBSTITUTE(SUBSTITUTE(SUBSTITUTE(K148," ",""),"0",""),"-",""))</f>
      </c>
      <c r="L143" s="18"/>
      <c r="M143" s="14" t="str">
        <f>LEN(SUBSTITUTE(SUBSTITUTE(SUBSTITUTE(M144," ",""),"0",""),"-",""))+LEN(SUBSTITUTE(SUBSTITUTE(SUBSTITUTE(N144," ",""),"0",""),"-",""))+LEN(SUBSTITUTE(SUBSTITUTE(SUBSTITUTE(M145," ",""),"0",""),"-",""))+LEN(SUBSTITUTE(SUBSTITUTE(SUBSTITUTE(N145," ",""),"0",""),"-",""))+LEN(SUBSTITUTE(SUBSTITUTE(SUBSTITUTE(M146," ",""),"0",""),"-",""))+LEN(SUBSTITUTE(SUBSTITUTE(SUBSTITUTE(N146," ",""),"0",""),"-",""))+LEN(SUBSTITUTE(SUBSTITUTE(SUBSTITUTE(M147," ",""),"0",""),"-",""))+LEN(SUBSTITUTE(SUBSTITUTE(SUBSTITUTE(N147," ",""),"0",""),"-",""))+LEN(SUBSTITUTE(SUBSTITUTE(SUBSTITUTE(M148," ",""),"0",""),"-",""))+LEN(SUBSTITUTE(SUBSTITUTE(SUBSTITUTE(N148," ",""),"0",""),"-",""))</f>
      </c>
      <c r="N143" s="14" t="str">
        <f>IF(UPPER(L144)="X",0,IF((LEN(SUBSTITUTE(SUBSTITUTE(SUBSTITUTE(M144," ",""),"0",""),"-",""))+LEN(SUBSTITUTE(SUBSTITUTE(SUBSTITUTE(N144," ",""),"0",""),"-","")))&gt;(LEN(SUBSTITUTE(SUBSTITUTE(SUBSTITUTE(J144," ",""),"0",""),"-",""))+LEN(SUBSTITUTE(SUBSTITUTE(SUBSTITUTE(K144," ",""),"0",""),"-",""))),1,0))+IF(UPPER(L145)="X",0,IF((LEN(SUBSTITUTE(SUBSTITUTE(SUBSTITUTE(M145," ",""),"0",""),"-",""))+LEN(SUBSTITUTE(SUBSTITUTE(SUBSTITUTE(N145," ",""),"0",""),"-","")))&gt;(LEN(SUBSTITUTE(SUBSTITUTE(SUBSTITUTE(J145," ",""),"0",""),"-",""))+LEN(SUBSTITUTE(SUBSTITUTE(SUBSTITUTE(K145," ",""),"0",""),"-",""))),1,0))+IF(UPPER(L146)="X",0,IF((LEN(SUBSTITUTE(SUBSTITUTE(SUBSTITUTE(M146," ",""),"0",""),"-",""))+LEN(SUBSTITUTE(SUBSTITUTE(SUBSTITUTE(N146," ",""),"0",""),"-","")))&gt;(LEN(SUBSTITUTE(SUBSTITUTE(SUBSTITUTE(J146," ",""),"0",""),"-",""))+LEN(SUBSTITUTE(SUBSTITUTE(SUBSTITUTE(K146," ",""),"0",""),"-",""))),1,0))+IF(UPPER(L147)="X",0,IF((LEN(SUBSTITUTE(SUBSTITUTE(SUBSTITUTE(M147," ",""),"0",""),"-",""))+LEN(SUBSTITUTE(SUBSTITUTE(SUBSTITUTE(N147," ",""),"0",""),"-","")))&gt;(LEN(SUBSTITUTE(SUBSTITUTE(SUBSTITUTE(J147," ",""),"0",""),"-",""))+LEN(SUBSTITUTE(SUBSTITUTE(SUBSTITUTE(K147," ",""),"0",""),"-",""))),1,0))+IF(UPPER(L148)="X",0,IF((LEN(SUBSTITUTE(SUBSTITUTE(SUBSTITUTE(M148," ",""),"0",""),"-",""))+LEN(SUBSTITUTE(SUBSTITUTE(SUBSTITUTE(N148," ",""),"0",""),"-","")))&gt;(LEN(SUBSTITUTE(SUBSTITUTE(SUBSTITUTE(J148," ",""),"0",""),"-",""))+LEN(SUBSTITUTE(SUBSTITUTE(SUBSTITUTE(K148," ",""),"0",""),"-",""))),1,0))</f>
      </c>
      <c r="O143" s="14" t="str">
        <f>data!$E$58&amp;" "&amp;data!$B$58</f>
      </c>
    </row>
    <row r="144">
      <c r="A144" s="14">
        <v>1</v>
      </c>
      <c r="B144" s="18"/>
      <c r="C144" s="18"/>
      <c r="D144" s="18"/>
      <c r="E144" s="18"/>
      <c r="F144" s="18"/>
      <c r="G144" s="14">
        <v>1</v>
      </c>
      <c r="I144" s="14">
        <v>1</v>
      </c>
      <c r="J144" s="18"/>
      <c r="K144" s="18"/>
      <c r="L144" s="18"/>
      <c r="M144" s="18"/>
      <c r="N144" s="18"/>
      <c r="O144" s="14">
        <v>1</v>
      </c>
    </row>
    <row r="145">
      <c r="A145" s="14">
        <v>2</v>
      </c>
      <c r="B145" s="18"/>
      <c r="C145" s="18"/>
      <c r="D145" s="18"/>
      <c r="E145" s="18"/>
      <c r="F145" s="18"/>
      <c r="G145" s="14">
        <v>2</v>
      </c>
      <c r="I145" s="14">
        <v>2</v>
      </c>
      <c r="J145" s="18"/>
      <c r="K145" s="18"/>
      <c r="L145" s="18"/>
      <c r="M145" s="18"/>
      <c r="N145" s="18"/>
      <c r="O145" s="14">
        <v>2</v>
      </c>
    </row>
    <row r="146">
      <c r="A146" s="14">
        <v>3</v>
      </c>
      <c r="B146" s="18"/>
      <c r="C146" s="18"/>
      <c r="D146" s="18"/>
      <c r="E146" s="18"/>
      <c r="F146" s="18"/>
      <c r="G146" s="14">
        <v>3</v>
      </c>
      <c r="I146" s="14">
        <v>3</v>
      </c>
      <c r="J146" s="18"/>
      <c r="K146" s="18"/>
      <c r="L146" s="18"/>
      <c r="M146" s="18"/>
      <c r="N146" s="18"/>
      <c r="O146" s="14">
        <v>3</v>
      </c>
    </row>
    <row r="147">
      <c r="A147" s="14">
        <v>4</v>
      </c>
      <c r="B147" s="18"/>
      <c r="C147" s="18"/>
      <c r="D147" s="18"/>
      <c r="E147" s="18"/>
      <c r="F147" s="18"/>
      <c r="G147" s="14">
        <v>4</v>
      </c>
      <c r="I147" s="14">
        <v>4</v>
      </c>
      <c r="J147" s="18"/>
      <c r="K147" s="18"/>
      <c r="L147" s="18"/>
      <c r="M147" s="18"/>
      <c r="N147" s="18"/>
      <c r="O147" s="14">
        <v>4</v>
      </c>
    </row>
    <row r="148">
      <c r="A148" s="14">
        <v>5</v>
      </c>
      <c r="B148" s="18"/>
      <c r="C148" s="18"/>
      <c r="D148" s="18"/>
      <c r="E148" s="18"/>
      <c r="F148" s="18"/>
      <c r="G148" s="14">
        <v>5</v>
      </c>
      <c r="I148" s="14">
        <v>5</v>
      </c>
      <c r="J148" s="18"/>
      <c r="K148" s="18"/>
      <c r="L148" s="18"/>
      <c r="M148" s="18"/>
      <c r="N148" s="18"/>
      <c r="O148" s="14">
        <v>5</v>
      </c>
    </row>
    <row r="150">
      <c r="A150" s="17" t="s">
        <v>330</v>
      </c>
      <c r="B150" s="14"/>
      <c r="C150" s="14"/>
      <c r="D150" s="14" t="s">
        <v>331</v>
      </c>
      <c r="E150" s="14"/>
      <c r="F150" s="14"/>
      <c r="G150" s="16" t="s">
        <v>332</v>
      </c>
      <c r="I150" s="17" t="s">
        <v>330</v>
      </c>
      <c r="J150" s="14"/>
      <c r="K150" s="14"/>
      <c r="L150" s="14" t="s">
        <v>331</v>
      </c>
      <c r="M150" s="14"/>
      <c r="N150" s="14"/>
      <c r="O150" s="16" t="s">
        <v>332</v>
      </c>
    </row>
    <row r="151">
      <c r="A151" s="14" t="str">
        <f>data!$E$15&amp;" "&amp;data!$B$15</f>
      </c>
      <c r="B151" s="14" t="str">
        <f>IF(UPPER(D152)="X",0,IF((LEN(SUBSTITUTE(SUBSTITUTE(SUBSTITUTE(B152," ",""),"0",""),"-",""))+LEN(SUBSTITUTE(SUBSTITUTE(SUBSTITUTE(C152," ",""),"0",""),"-","")))&gt;(LEN(SUBSTITUTE(SUBSTITUTE(SUBSTITUTE(E152," ",""),"0",""),"-",""))+LEN(SUBSTITUTE(SUBSTITUTE(SUBSTITUTE(F152," ",""),"0",""),"-",""))),1,0))+IF(UPPER(D153)="X",0,IF((LEN(SUBSTITUTE(SUBSTITUTE(SUBSTITUTE(B153," ",""),"0",""),"-",""))+LEN(SUBSTITUTE(SUBSTITUTE(SUBSTITUTE(C153," ",""),"0",""),"-","")))&gt;(LEN(SUBSTITUTE(SUBSTITUTE(SUBSTITUTE(E153," ",""),"0",""),"-",""))+LEN(SUBSTITUTE(SUBSTITUTE(SUBSTITUTE(F153," ",""),"0",""),"-",""))),1,0))+IF(UPPER(D154)="X",0,IF((LEN(SUBSTITUTE(SUBSTITUTE(SUBSTITUTE(B154," ",""),"0",""),"-",""))+LEN(SUBSTITUTE(SUBSTITUTE(SUBSTITUTE(C154," ",""),"0",""),"-","")))&gt;(LEN(SUBSTITUTE(SUBSTITUTE(SUBSTITUTE(E154," ",""),"0",""),"-",""))+LEN(SUBSTITUTE(SUBSTITUTE(SUBSTITUTE(F154," ",""),"0",""),"-",""))),1,0))+IF(UPPER(D155)="X",0,IF((LEN(SUBSTITUTE(SUBSTITUTE(SUBSTITUTE(B155," ",""),"0",""),"-",""))+LEN(SUBSTITUTE(SUBSTITUTE(SUBSTITUTE(C155," ",""),"0",""),"-","")))&gt;(LEN(SUBSTITUTE(SUBSTITUTE(SUBSTITUTE(E155," ",""),"0",""),"-",""))+LEN(SUBSTITUTE(SUBSTITUTE(SUBSTITUTE(F155," ",""),"0",""),"-",""))),1,0))+IF(UPPER(D156)="X",0,IF((LEN(SUBSTITUTE(SUBSTITUTE(SUBSTITUTE(B156," ",""),"0",""),"-",""))+LEN(SUBSTITUTE(SUBSTITUTE(SUBSTITUTE(C156," ",""),"0",""),"-","")))&gt;(LEN(SUBSTITUTE(SUBSTITUTE(SUBSTITUTE(E156," ",""),"0",""),"-",""))+LEN(SUBSTITUTE(SUBSTITUTE(SUBSTITUTE(F156," ",""),"0",""),"-",""))),1,0))</f>
      </c>
      <c r="C151" s="14" t="str">
        <f>LEN(SUBSTITUTE(SUBSTITUTE(SUBSTITUTE(B152," ",""),"0",""),"-",""))+LEN(SUBSTITUTE(SUBSTITUTE(SUBSTITUTE(C152," ",""),"0",""),"-",""))+LEN(SUBSTITUTE(SUBSTITUTE(SUBSTITUTE(B153," ",""),"0",""),"-",""))+LEN(SUBSTITUTE(SUBSTITUTE(SUBSTITUTE(C153," ",""),"0",""),"-",""))+LEN(SUBSTITUTE(SUBSTITUTE(SUBSTITUTE(B154," ",""),"0",""),"-",""))+LEN(SUBSTITUTE(SUBSTITUTE(SUBSTITUTE(C154," ",""),"0",""),"-",""))+LEN(SUBSTITUTE(SUBSTITUTE(SUBSTITUTE(B155," ",""),"0",""),"-",""))+LEN(SUBSTITUTE(SUBSTITUTE(SUBSTITUTE(C155," ",""),"0",""),"-",""))+LEN(SUBSTITUTE(SUBSTITUTE(SUBSTITUTE(B156," ",""),"0",""),"-",""))+LEN(SUBSTITUTE(SUBSTITUTE(SUBSTITUTE(C156," ",""),"0",""),"-",""))</f>
      </c>
      <c r="D151" s="18"/>
      <c r="E151" s="14" t="str">
        <f>LEN(SUBSTITUTE(SUBSTITUTE(SUBSTITUTE(E152," ",""),"0",""),"-",""))+LEN(SUBSTITUTE(SUBSTITUTE(SUBSTITUTE(F152," ",""),"0",""),"-",""))+LEN(SUBSTITUTE(SUBSTITUTE(SUBSTITUTE(E153," ",""),"0",""),"-",""))+LEN(SUBSTITUTE(SUBSTITUTE(SUBSTITUTE(F153," ",""),"0",""),"-",""))+LEN(SUBSTITUTE(SUBSTITUTE(SUBSTITUTE(E154," ",""),"0",""),"-",""))+LEN(SUBSTITUTE(SUBSTITUTE(SUBSTITUTE(F154," ",""),"0",""),"-",""))+LEN(SUBSTITUTE(SUBSTITUTE(SUBSTITUTE(E155," ",""),"0",""),"-",""))+LEN(SUBSTITUTE(SUBSTITUTE(SUBSTITUTE(F155," ",""),"0",""),"-",""))+LEN(SUBSTITUTE(SUBSTITUTE(SUBSTITUTE(E156," ",""),"0",""),"-",""))+LEN(SUBSTITUTE(SUBSTITUTE(SUBSTITUTE(F156," ",""),"0",""),"-",""))</f>
      </c>
      <c r="F151" s="14" t="str">
        <f>IF(UPPER(D152)="X",0,IF((LEN(SUBSTITUTE(SUBSTITUTE(SUBSTITUTE(E152," ",""),"0",""),"-",""))+LEN(SUBSTITUTE(SUBSTITUTE(SUBSTITUTE(F152," ",""),"0",""),"-","")))&gt;(LEN(SUBSTITUTE(SUBSTITUTE(SUBSTITUTE(B152," ",""),"0",""),"-",""))+LEN(SUBSTITUTE(SUBSTITUTE(SUBSTITUTE(C152," ",""),"0",""),"-",""))),1,0))+IF(UPPER(D153)="X",0,IF((LEN(SUBSTITUTE(SUBSTITUTE(SUBSTITUTE(E153," ",""),"0",""),"-",""))+LEN(SUBSTITUTE(SUBSTITUTE(SUBSTITUTE(F153," ",""),"0",""),"-","")))&gt;(LEN(SUBSTITUTE(SUBSTITUTE(SUBSTITUTE(B153," ",""),"0",""),"-",""))+LEN(SUBSTITUTE(SUBSTITUTE(SUBSTITUTE(C153," ",""),"0",""),"-",""))),1,0))+IF(UPPER(D154)="X",0,IF((LEN(SUBSTITUTE(SUBSTITUTE(SUBSTITUTE(E154," ",""),"0",""),"-",""))+LEN(SUBSTITUTE(SUBSTITUTE(SUBSTITUTE(F154," ",""),"0",""),"-","")))&gt;(LEN(SUBSTITUTE(SUBSTITUTE(SUBSTITUTE(B154," ",""),"0",""),"-",""))+LEN(SUBSTITUTE(SUBSTITUTE(SUBSTITUTE(C154," ",""),"0",""),"-",""))),1,0))+IF(UPPER(D155)="X",0,IF((LEN(SUBSTITUTE(SUBSTITUTE(SUBSTITUTE(E155," ",""),"0",""),"-",""))+LEN(SUBSTITUTE(SUBSTITUTE(SUBSTITUTE(F155," ",""),"0",""),"-","")))&gt;(LEN(SUBSTITUTE(SUBSTITUTE(SUBSTITUTE(B155," ",""),"0",""),"-",""))+LEN(SUBSTITUTE(SUBSTITUTE(SUBSTITUTE(C155," ",""),"0",""),"-",""))),1,0))+IF(UPPER(D156)="X",0,IF((LEN(SUBSTITUTE(SUBSTITUTE(SUBSTITUTE(E156," ",""),"0",""),"-",""))+LEN(SUBSTITUTE(SUBSTITUTE(SUBSTITUTE(F156," ",""),"0",""),"-","")))&gt;(LEN(SUBSTITUTE(SUBSTITUTE(SUBSTITUTE(B156," ",""),"0",""),"-",""))+LEN(SUBSTITUTE(SUBSTITUTE(SUBSTITUTE(C156," ",""),"0",""),"-",""))),1,0))</f>
      </c>
      <c r="G151" s="14" t="str">
        <f>data!$E$13&amp;" "&amp;data!$B$13</f>
      </c>
      <c r="I151" s="14" t="str">
        <f>data!$E$60&amp;" "&amp;data!$B$60</f>
      </c>
      <c r="J151" s="14" t="str">
        <f>IF(UPPER(L152)="X",0,IF((LEN(SUBSTITUTE(SUBSTITUTE(SUBSTITUTE(J152," ",""),"0",""),"-",""))+LEN(SUBSTITUTE(SUBSTITUTE(SUBSTITUTE(K152," ",""),"0",""),"-","")))&gt;(LEN(SUBSTITUTE(SUBSTITUTE(SUBSTITUTE(M152," ",""),"0",""),"-",""))+LEN(SUBSTITUTE(SUBSTITUTE(SUBSTITUTE(N152," ",""),"0",""),"-",""))),1,0))+IF(UPPER(L153)="X",0,IF((LEN(SUBSTITUTE(SUBSTITUTE(SUBSTITUTE(J153," ",""),"0",""),"-",""))+LEN(SUBSTITUTE(SUBSTITUTE(SUBSTITUTE(K153," ",""),"0",""),"-","")))&gt;(LEN(SUBSTITUTE(SUBSTITUTE(SUBSTITUTE(M153," ",""),"0",""),"-",""))+LEN(SUBSTITUTE(SUBSTITUTE(SUBSTITUTE(N153," ",""),"0",""),"-",""))),1,0))+IF(UPPER(L154)="X",0,IF((LEN(SUBSTITUTE(SUBSTITUTE(SUBSTITUTE(J154," ",""),"0",""),"-",""))+LEN(SUBSTITUTE(SUBSTITUTE(SUBSTITUTE(K154," ",""),"0",""),"-","")))&gt;(LEN(SUBSTITUTE(SUBSTITUTE(SUBSTITUTE(M154," ",""),"0",""),"-",""))+LEN(SUBSTITUTE(SUBSTITUTE(SUBSTITUTE(N154," ",""),"0",""),"-",""))),1,0))+IF(UPPER(L155)="X",0,IF((LEN(SUBSTITUTE(SUBSTITUTE(SUBSTITUTE(J155," ",""),"0",""),"-",""))+LEN(SUBSTITUTE(SUBSTITUTE(SUBSTITUTE(K155," ",""),"0",""),"-","")))&gt;(LEN(SUBSTITUTE(SUBSTITUTE(SUBSTITUTE(M155," ",""),"0",""),"-",""))+LEN(SUBSTITUTE(SUBSTITUTE(SUBSTITUTE(N155," ",""),"0",""),"-",""))),1,0))+IF(UPPER(L156)="X",0,IF((LEN(SUBSTITUTE(SUBSTITUTE(SUBSTITUTE(J156," ",""),"0",""),"-",""))+LEN(SUBSTITUTE(SUBSTITUTE(SUBSTITUTE(K156," ",""),"0",""),"-","")))&gt;(LEN(SUBSTITUTE(SUBSTITUTE(SUBSTITUTE(M156," ",""),"0",""),"-",""))+LEN(SUBSTITUTE(SUBSTITUTE(SUBSTITUTE(N156," ",""),"0",""),"-",""))),1,0))</f>
      </c>
      <c r="K151" s="14" t="str">
        <f>LEN(SUBSTITUTE(SUBSTITUTE(SUBSTITUTE(J152," ",""),"0",""),"-",""))+LEN(SUBSTITUTE(SUBSTITUTE(SUBSTITUTE(K152," ",""),"0",""),"-",""))+LEN(SUBSTITUTE(SUBSTITUTE(SUBSTITUTE(J153," ",""),"0",""),"-",""))+LEN(SUBSTITUTE(SUBSTITUTE(SUBSTITUTE(K153," ",""),"0",""),"-",""))+LEN(SUBSTITUTE(SUBSTITUTE(SUBSTITUTE(J154," ",""),"0",""),"-",""))+LEN(SUBSTITUTE(SUBSTITUTE(SUBSTITUTE(K154," ",""),"0",""),"-",""))+LEN(SUBSTITUTE(SUBSTITUTE(SUBSTITUTE(J155," ",""),"0",""),"-",""))+LEN(SUBSTITUTE(SUBSTITUTE(SUBSTITUTE(K155," ",""),"0",""),"-",""))+LEN(SUBSTITUTE(SUBSTITUTE(SUBSTITUTE(J156," ",""),"0",""),"-",""))+LEN(SUBSTITUTE(SUBSTITUTE(SUBSTITUTE(K156," ",""),"0",""),"-",""))</f>
      </c>
      <c r="L151" s="18"/>
      <c r="M151" s="14" t="str">
        <f>LEN(SUBSTITUTE(SUBSTITUTE(SUBSTITUTE(M152," ",""),"0",""),"-",""))+LEN(SUBSTITUTE(SUBSTITUTE(SUBSTITUTE(N152," ",""),"0",""),"-",""))+LEN(SUBSTITUTE(SUBSTITUTE(SUBSTITUTE(M153," ",""),"0",""),"-",""))+LEN(SUBSTITUTE(SUBSTITUTE(SUBSTITUTE(N153," ",""),"0",""),"-",""))+LEN(SUBSTITUTE(SUBSTITUTE(SUBSTITUTE(M154," ",""),"0",""),"-",""))+LEN(SUBSTITUTE(SUBSTITUTE(SUBSTITUTE(N154," ",""),"0",""),"-",""))+LEN(SUBSTITUTE(SUBSTITUTE(SUBSTITUTE(M155," ",""),"0",""),"-",""))+LEN(SUBSTITUTE(SUBSTITUTE(SUBSTITUTE(N155," ",""),"0",""),"-",""))+LEN(SUBSTITUTE(SUBSTITUTE(SUBSTITUTE(M156," ",""),"0",""),"-",""))+LEN(SUBSTITUTE(SUBSTITUTE(SUBSTITUTE(N156," ",""),"0",""),"-",""))</f>
      </c>
      <c r="N151" s="14" t="str">
        <f>IF(UPPER(L152)="X",0,IF((LEN(SUBSTITUTE(SUBSTITUTE(SUBSTITUTE(M152," ",""),"0",""),"-",""))+LEN(SUBSTITUTE(SUBSTITUTE(SUBSTITUTE(N152," ",""),"0",""),"-","")))&gt;(LEN(SUBSTITUTE(SUBSTITUTE(SUBSTITUTE(J152," ",""),"0",""),"-",""))+LEN(SUBSTITUTE(SUBSTITUTE(SUBSTITUTE(K152," ",""),"0",""),"-",""))),1,0))+IF(UPPER(L153)="X",0,IF((LEN(SUBSTITUTE(SUBSTITUTE(SUBSTITUTE(M153," ",""),"0",""),"-",""))+LEN(SUBSTITUTE(SUBSTITUTE(SUBSTITUTE(N153," ",""),"0",""),"-","")))&gt;(LEN(SUBSTITUTE(SUBSTITUTE(SUBSTITUTE(J153," ",""),"0",""),"-",""))+LEN(SUBSTITUTE(SUBSTITUTE(SUBSTITUTE(K153," ",""),"0",""),"-",""))),1,0))+IF(UPPER(L154)="X",0,IF((LEN(SUBSTITUTE(SUBSTITUTE(SUBSTITUTE(M154," ",""),"0",""),"-",""))+LEN(SUBSTITUTE(SUBSTITUTE(SUBSTITUTE(N154," ",""),"0",""),"-","")))&gt;(LEN(SUBSTITUTE(SUBSTITUTE(SUBSTITUTE(J154," ",""),"0",""),"-",""))+LEN(SUBSTITUTE(SUBSTITUTE(SUBSTITUTE(K154," ",""),"0",""),"-",""))),1,0))+IF(UPPER(L155)="X",0,IF((LEN(SUBSTITUTE(SUBSTITUTE(SUBSTITUTE(M155," ",""),"0",""),"-",""))+LEN(SUBSTITUTE(SUBSTITUTE(SUBSTITUTE(N155," ",""),"0",""),"-","")))&gt;(LEN(SUBSTITUTE(SUBSTITUTE(SUBSTITUTE(J155," ",""),"0",""),"-",""))+LEN(SUBSTITUTE(SUBSTITUTE(SUBSTITUTE(K155," ",""),"0",""),"-",""))),1,0))+IF(UPPER(L156)="X",0,IF((LEN(SUBSTITUTE(SUBSTITUTE(SUBSTITUTE(M156," ",""),"0",""),"-",""))+LEN(SUBSTITUTE(SUBSTITUTE(SUBSTITUTE(N156," ",""),"0",""),"-","")))&gt;(LEN(SUBSTITUTE(SUBSTITUTE(SUBSTITUTE(J156," ",""),"0",""),"-",""))+LEN(SUBSTITUTE(SUBSTITUTE(SUBSTITUTE(K156," ",""),"0",""),"-",""))),1,0))</f>
      </c>
      <c r="O151" s="14" t="str">
        <f>data!$E$58&amp;" "&amp;data!$B$58</f>
      </c>
    </row>
    <row r="152">
      <c r="A152" s="14">
        <v>1</v>
      </c>
      <c r="B152" s="18"/>
      <c r="C152" s="18"/>
      <c r="D152" s="18"/>
      <c r="E152" s="18"/>
      <c r="F152" s="18"/>
      <c r="G152" s="14">
        <v>1</v>
      </c>
      <c r="I152" s="14">
        <v>1</v>
      </c>
      <c r="J152" s="18"/>
      <c r="K152" s="18"/>
      <c r="L152" s="18"/>
      <c r="M152" s="18"/>
      <c r="N152" s="18"/>
      <c r="O152" s="14">
        <v>1</v>
      </c>
    </row>
    <row r="153">
      <c r="A153" s="14">
        <v>2</v>
      </c>
      <c r="B153" s="18"/>
      <c r="C153" s="18"/>
      <c r="D153" s="18"/>
      <c r="E153" s="18"/>
      <c r="F153" s="18"/>
      <c r="G153" s="14">
        <v>2</v>
      </c>
      <c r="I153" s="14">
        <v>2</v>
      </c>
      <c r="J153" s="18"/>
      <c r="K153" s="18"/>
      <c r="L153" s="18"/>
      <c r="M153" s="18"/>
      <c r="N153" s="18"/>
      <c r="O153" s="14">
        <v>2</v>
      </c>
    </row>
    <row r="154">
      <c r="A154" s="14">
        <v>3</v>
      </c>
      <c r="B154" s="18"/>
      <c r="C154" s="18"/>
      <c r="D154" s="18"/>
      <c r="E154" s="18"/>
      <c r="F154" s="18"/>
      <c r="G154" s="14">
        <v>3</v>
      </c>
      <c r="I154" s="14">
        <v>3</v>
      </c>
      <c r="J154" s="18"/>
      <c r="K154" s="18"/>
      <c r="L154" s="18"/>
      <c r="M154" s="18"/>
      <c r="N154" s="18"/>
      <c r="O154" s="14">
        <v>3</v>
      </c>
    </row>
    <row r="155">
      <c r="A155" s="14">
        <v>4</v>
      </c>
      <c r="B155" s="18"/>
      <c r="C155" s="18"/>
      <c r="D155" s="18"/>
      <c r="E155" s="18"/>
      <c r="F155" s="18"/>
      <c r="G155" s="14">
        <v>4</v>
      </c>
      <c r="I155" s="14">
        <v>4</v>
      </c>
      <c r="J155" s="18"/>
      <c r="K155" s="18"/>
      <c r="L155" s="18"/>
      <c r="M155" s="18"/>
      <c r="N155" s="18"/>
      <c r="O155" s="14">
        <v>4</v>
      </c>
    </row>
    <row r="156">
      <c r="A156" s="14">
        <v>5</v>
      </c>
      <c r="B156" s="18"/>
      <c r="C156" s="18"/>
      <c r="D156" s="18"/>
      <c r="E156" s="18"/>
      <c r="F156" s="18"/>
      <c r="G156" s="14">
        <v>5</v>
      </c>
      <c r="I156" s="14">
        <v>5</v>
      </c>
      <c r="J156" s="18"/>
      <c r="K156" s="18"/>
      <c r="L156" s="18"/>
      <c r="M156" s="18"/>
      <c r="N156" s="18"/>
      <c r="O156" s="14">
        <v>5</v>
      </c>
    </row>
    <row r="158">
      <c r="A158" s="17" t="s">
        <v>330</v>
      </c>
      <c r="B158" s="14"/>
      <c r="C158" s="14"/>
      <c r="D158" s="14" t="s">
        <v>331</v>
      </c>
      <c r="E158" s="14"/>
      <c r="F158" s="14"/>
      <c r="G158" s="16" t="s">
        <v>332</v>
      </c>
      <c r="I158" s="17" t="s">
        <v>330</v>
      </c>
      <c r="J158" s="14"/>
      <c r="K158" s="14"/>
      <c r="L158" s="14" t="s">
        <v>331</v>
      </c>
      <c r="M158" s="14"/>
      <c r="N158" s="14"/>
      <c r="O158" s="16" t="s">
        <v>332</v>
      </c>
    </row>
    <row r="159">
      <c r="A159" s="14" t="str">
        <f>data!$E$15&amp;" "&amp;data!$B$15</f>
      </c>
      <c r="B159" s="14" t="str">
        <f>IF(UPPER(D160)="X",0,IF((LEN(SUBSTITUTE(SUBSTITUTE(SUBSTITUTE(B160," ",""),"0",""),"-",""))+LEN(SUBSTITUTE(SUBSTITUTE(SUBSTITUTE(C160," ",""),"0",""),"-","")))&gt;(LEN(SUBSTITUTE(SUBSTITUTE(SUBSTITUTE(E160," ",""),"0",""),"-",""))+LEN(SUBSTITUTE(SUBSTITUTE(SUBSTITUTE(F160," ",""),"0",""),"-",""))),1,0))+IF(UPPER(D161)="X",0,IF((LEN(SUBSTITUTE(SUBSTITUTE(SUBSTITUTE(B161," ",""),"0",""),"-",""))+LEN(SUBSTITUTE(SUBSTITUTE(SUBSTITUTE(C161," ",""),"0",""),"-","")))&gt;(LEN(SUBSTITUTE(SUBSTITUTE(SUBSTITUTE(E161," ",""),"0",""),"-",""))+LEN(SUBSTITUTE(SUBSTITUTE(SUBSTITUTE(F161," ",""),"0",""),"-",""))),1,0))+IF(UPPER(D162)="X",0,IF((LEN(SUBSTITUTE(SUBSTITUTE(SUBSTITUTE(B162," ",""),"0",""),"-",""))+LEN(SUBSTITUTE(SUBSTITUTE(SUBSTITUTE(C162," ",""),"0",""),"-","")))&gt;(LEN(SUBSTITUTE(SUBSTITUTE(SUBSTITUTE(E162," ",""),"0",""),"-",""))+LEN(SUBSTITUTE(SUBSTITUTE(SUBSTITUTE(F162," ",""),"0",""),"-",""))),1,0))+IF(UPPER(D163)="X",0,IF((LEN(SUBSTITUTE(SUBSTITUTE(SUBSTITUTE(B163," ",""),"0",""),"-",""))+LEN(SUBSTITUTE(SUBSTITUTE(SUBSTITUTE(C163," ",""),"0",""),"-","")))&gt;(LEN(SUBSTITUTE(SUBSTITUTE(SUBSTITUTE(E163," ",""),"0",""),"-",""))+LEN(SUBSTITUTE(SUBSTITUTE(SUBSTITUTE(F163," ",""),"0",""),"-",""))),1,0))+IF(UPPER(D164)="X",0,IF((LEN(SUBSTITUTE(SUBSTITUTE(SUBSTITUTE(B164," ",""),"0",""),"-",""))+LEN(SUBSTITUTE(SUBSTITUTE(SUBSTITUTE(C164," ",""),"0",""),"-","")))&gt;(LEN(SUBSTITUTE(SUBSTITUTE(SUBSTITUTE(E164," ",""),"0",""),"-",""))+LEN(SUBSTITUTE(SUBSTITUTE(SUBSTITUTE(F164," ",""),"0",""),"-",""))),1,0))</f>
      </c>
      <c r="C159" s="14" t="str">
        <f>LEN(SUBSTITUTE(SUBSTITUTE(SUBSTITUTE(B160," ",""),"0",""),"-",""))+LEN(SUBSTITUTE(SUBSTITUTE(SUBSTITUTE(C160," ",""),"0",""),"-",""))+LEN(SUBSTITUTE(SUBSTITUTE(SUBSTITUTE(B161," ",""),"0",""),"-",""))+LEN(SUBSTITUTE(SUBSTITUTE(SUBSTITUTE(C161," ",""),"0",""),"-",""))+LEN(SUBSTITUTE(SUBSTITUTE(SUBSTITUTE(B162," ",""),"0",""),"-",""))+LEN(SUBSTITUTE(SUBSTITUTE(SUBSTITUTE(C162," ",""),"0",""),"-",""))+LEN(SUBSTITUTE(SUBSTITUTE(SUBSTITUTE(B163," ",""),"0",""),"-",""))+LEN(SUBSTITUTE(SUBSTITUTE(SUBSTITUTE(C163," ",""),"0",""),"-",""))+LEN(SUBSTITUTE(SUBSTITUTE(SUBSTITUTE(B164," ",""),"0",""),"-",""))+LEN(SUBSTITUTE(SUBSTITUTE(SUBSTITUTE(C164," ",""),"0",""),"-",""))</f>
      </c>
      <c r="D159" s="18"/>
      <c r="E159" s="14" t="str">
        <f>LEN(SUBSTITUTE(SUBSTITUTE(SUBSTITUTE(E160," ",""),"0",""),"-",""))+LEN(SUBSTITUTE(SUBSTITUTE(SUBSTITUTE(F160," ",""),"0",""),"-",""))+LEN(SUBSTITUTE(SUBSTITUTE(SUBSTITUTE(E161," ",""),"0",""),"-",""))+LEN(SUBSTITUTE(SUBSTITUTE(SUBSTITUTE(F161," ",""),"0",""),"-",""))+LEN(SUBSTITUTE(SUBSTITUTE(SUBSTITUTE(E162," ",""),"0",""),"-",""))+LEN(SUBSTITUTE(SUBSTITUTE(SUBSTITUTE(F162," ",""),"0",""),"-",""))+LEN(SUBSTITUTE(SUBSTITUTE(SUBSTITUTE(E163," ",""),"0",""),"-",""))+LEN(SUBSTITUTE(SUBSTITUTE(SUBSTITUTE(F163," ",""),"0",""),"-",""))+LEN(SUBSTITUTE(SUBSTITUTE(SUBSTITUTE(E164," ",""),"0",""),"-",""))+LEN(SUBSTITUTE(SUBSTITUTE(SUBSTITUTE(F164," ",""),"0",""),"-",""))</f>
      </c>
      <c r="F159" s="14" t="str">
        <f>IF(UPPER(D160)="X",0,IF((LEN(SUBSTITUTE(SUBSTITUTE(SUBSTITUTE(E160," ",""),"0",""),"-",""))+LEN(SUBSTITUTE(SUBSTITUTE(SUBSTITUTE(F160," ",""),"0",""),"-","")))&gt;(LEN(SUBSTITUTE(SUBSTITUTE(SUBSTITUTE(B160," ",""),"0",""),"-",""))+LEN(SUBSTITUTE(SUBSTITUTE(SUBSTITUTE(C160," ",""),"0",""),"-",""))),1,0))+IF(UPPER(D161)="X",0,IF((LEN(SUBSTITUTE(SUBSTITUTE(SUBSTITUTE(E161," ",""),"0",""),"-",""))+LEN(SUBSTITUTE(SUBSTITUTE(SUBSTITUTE(F161," ",""),"0",""),"-","")))&gt;(LEN(SUBSTITUTE(SUBSTITUTE(SUBSTITUTE(B161," ",""),"0",""),"-",""))+LEN(SUBSTITUTE(SUBSTITUTE(SUBSTITUTE(C161," ",""),"0",""),"-",""))),1,0))+IF(UPPER(D162)="X",0,IF((LEN(SUBSTITUTE(SUBSTITUTE(SUBSTITUTE(E162," ",""),"0",""),"-",""))+LEN(SUBSTITUTE(SUBSTITUTE(SUBSTITUTE(F162," ",""),"0",""),"-","")))&gt;(LEN(SUBSTITUTE(SUBSTITUTE(SUBSTITUTE(B162," ",""),"0",""),"-",""))+LEN(SUBSTITUTE(SUBSTITUTE(SUBSTITUTE(C162," ",""),"0",""),"-",""))),1,0))+IF(UPPER(D163)="X",0,IF((LEN(SUBSTITUTE(SUBSTITUTE(SUBSTITUTE(E163," ",""),"0",""),"-",""))+LEN(SUBSTITUTE(SUBSTITUTE(SUBSTITUTE(F163," ",""),"0",""),"-","")))&gt;(LEN(SUBSTITUTE(SUBSTITUTE(SUBSTITUTE(B163," ",""),"0",""),"-",""))+LEN(SUBSTITUTE(SUBSTITUTE(SUBSTITUTE(C163," ",""),"0",""),"-",""))),1,0))+IF(UPPER(D164)="X",0,IF((LEN(SUBSTITUTE(SUBSTITUTE(SUBSTITUTE(E164," ",""),"0",""),"-",""))+LEN(SUBSTITUTE(SUBSTITUTE(SUBSTITUTE(F164," ",""),"0",""),"-","")))&gt;(LEN(SUBSTITUTE(SUBSTITUTE(SUBSTITUTE(B164," ",""),"0",""),"-",""))+LEN(SUBSTITUTE(SUBSTITUTE(SUBSTITUTE(C164," ",""),"0",""),"-",""))),1,0))</f>
      </c>
      <c r="G159" s="14" t="str">
        <f>data!$E$14&amp;" "&amp;data!$B$14</f>
      </c>
      <c r="I159" s="14" t="str">
        <f>data!$E$60&amp;" "&amp;data!$B$60</f>
      </c>
      <c r="J159" s="14" t="str">
        <f>IF(UPPER(L160)="X",0,IF((LEN(SUBSTITUTE(SUBSTITUTE(SUBSTITUTE(J160," ",""),"0",""),"-",""))+LEN(SUBSTITUTE(SUBSTITUTE(SUBSTITUTE(K160," ",""),"0",""),"-","")))&gt;(LEN(SUBSTITUTE(SUBSTITUTE(SUBSTITUTE(M160," ",""),"0",""),"-",""))+LEN(SUBSTITUTE(SUBSTITUTE(SUBSTITUTE(N160," ",""),"0",""),"-",""))),1,0))+IF(UPPER(L161)="X",0,IF((LEN(SUBSTITUTE(SUBSTITUTE(SUBSTITUTE(J161," ",""),"0",""),"-",""))+LEN(SUBSTITUTE(SUBSTITUTE(SUBSTITUTE(K161," ",""),"0",""),"-","")))&gt;(LEN(SUBSTITUTE(SUBSTITUTE(SUBSTITUTE(M161," ",""),"0",""),"-",""))+LEN(SUBSTITUTE(SUBSTITUTE(SUBSTITUTE(N161," ",""),"0",""),"-",""))),1,0))+IF(UPPER(L162)="X",0,IF((LEN(SUBSTITUTE(SUBSTITUTE(SUBSTITUTE(J162," ",""),"0",""),"-",""))+LEN(SUBSTITUTE(SUBSTITUTE(SUBSTITUTE(K162," ",""),"0",""),"-","")))&gt;(LEN(SUBSTITUTE(SUBSTITUTE(SUBSTITUTE(M162," ",""),"0",""),"-",""))+LEN(SUBSTITUTE(SUBSTITUTE(SUBSTITUTE(N162," ",""),"0",""),"-",""))),1,0))+IF(UPPER(L163)="X",0,IF((LEN(SUBSTITUTE(SUBSTITUTE(SUBSTITUTE(J163," ",""),"0",""),"-",""))+LEN(SUBSTITUTE(SUBSTITUTE(SUBSTITUTE(K163," ",""),"0",""),"-","")))&gt;(LEN(SUBSTITUTE(SUBSTITUTE(SUBSTITUTE(M163," ",""),"0",""),"-",""))+LEN(SUBSTITUTE(SUBSTITUTE(SUBSTITUTE(N163," ",""),"0",""),"-",""))),1,0))+IF(UPPER(L164)="X",0,IF((LEN(SUBSTITUTE(SUBSTITUTE(SUBSTITUTE(J164," ",""),"0",""),"-",""))+LEN(SUBSTITUTE(SUBSTITUTE(SUBSTITUTE(K164," ",""),"0",""),"-","")))&gt;(LEN(SUBSTITUTE(SUBSTITUTE(SUBSTITUTE(M164," ",""),"0",""),"-",""))+LEN(SUBSTITUTE(SUBSTITUTE(SUBSTITUTE(N164," ",""),"0",""),"-",""))),1,0))</f>
      </c>
      <c r="K159" s="14" t="str">
        <f>LEN(SUBSTITUTE(SUBSTITUTE(SUBSTITUTE(J160," ",""),"0",""),"-",""))+LEN(SUBSTITUTE(SUBSTITUTE(SUBSTITUTE(K160," ",""),"0",""),"-",""))+LEN(SUBSTITUTE(SUBSTITUTE(SUBSTITUTE(J161," ",""),"0",""),"-",""))+LEN(SUBSTITUTE(SUBSTITUTE(SUBSTITUTE(K161," ",""),"0",""),"-",""))+LEN(SUBSTITUTE(SUBSTITUTE(SUBSTITUTE(J162," ",""),"0",""),"-",""))+LEN(SUBSTITUTE(SUBSTITUTE(SUBSTITUTE(K162," ",""),"0",""),"-",""))+LEN(SUBSTITUTE(SUBSTITUTE(SUBSTITUTE(J163," ",""),"0",""),"-",""))+LEN(SUBSTITUTE(SUBSTITUTE(SUBSTITUTE(K163," ",""),"0",""),"-",""))+LEN(SUBSTITUTE(SUBSTITUTE(SUBSTITUTE(J164," ",""),"0",""),"-",""))+LEN(SUBSTITUTE(SUBSTITUTE(SUBSTITUTE(K164," ",""),"0",""),"-",""))</f>
      </c>
      <c r="L159" s="18"/>
      <c r="M159" s="14" t="str">
        <f>LEN(SUBSTITUTE(SUBSTITUTE(SUBSTITUTE(M160," ",""),"0",""),"-",""))+LEN(SUBSTITUTE(SUBSTITUTE(SUBSTITUTE(N160," ",""),"0",""),"-",""))+LEN(SUBSTITUTE(SUBSTITUTE(SUBSTITUTE(M161," ",""),"0",""),"-",""))+LEN(SUBSTITUTE(SUBSTITUTE(SUBSTITUTE(N161," ",""),"0",""),"-",""))+LEN(SUBSTITUTE(SUBSTITUTE(SUBSTITUTE(M162," ",""),"0",""),"-",""))+LEN(SUBSTITUTE(SUBSTITUTE(SUBSTITUTE(N162," ",""),"0",""),"-",""))+LEN(SUBSTITUTE(SUBSTITUTE(SUBSTITUTE(M163," ",""),"0",""),"-",""))+LEN(SUBSTITUTE(SUBSTITUTE(SUBSTITUTE(N163," ",""),"0",""),"-",""))+LEN(SUBSTITUTE(SUBSTITUTE(SUBSTITUTE(M164," ",""),"0",""),"-",""))+LEN(SUBSTITUTE(SUBSTITUTE(SUBSTITUTE(N164," ",""),"0",""),"-",""))</f>
      </c>
      <c r="N159" s="14" t="str">
        <f>IF(UPPER(L160)="X",0,IF((LEN(SUBSTITUTE(SUBSTITUTE(SUBSTITUTE(M160," ",""),"0",""),"-",""))+LEN(SUBSTITUTE(SUBSTITUTE(SUBSTITUTE(N160," ",""),"0",""),"-","")))&gt;(LEN(SUBSTITUTE(SUBSTITUTE(SUBSTITUTE(J160," ",""),"0",""),"-",""))+LEN(SUBSTITUTE(SUBSTITUTE(SUBSTITUTE(K160," ",""),"0",""),"-",""))),1,0))+IF(UPPER(L161)="X",0,IF((LEN(SUBSTITUTE(SUBSTITUTE(SUBSTITUTE(M161," ",""),"0",""),"-",""))+LEN(SUBSTITUTE(SUBSTITUTE(SUBSTITUTE(N161," ",""),"0",""),"-","")))&gt;(LEN(SUBSTITUTE(SUBSTITUTE(SUBSTITUTE(J161," ",""),"0",""),"-",""))+LEN(SUBSTITUTE(SUBSTITUTE(SUBSTITUTE(K161," ",""),"0",""),"-",""))),1,0))+IF(UPPER(L162)="X",0,IF((LEN(SUBSTITUTE(SUBSTITUTE(SUBSTITUTE(M162," ",""),"0",""),"-",""))+LEN(SUBSTITUTE(SUBSTITUTE(SUBSTITUTE(N162," ",""),"0",""),"-","")))&gt;(LEN(SUBSTITUTE(SUBSTITUTE(SUBSTITUTE(J162," ",""),"0",""),"-",""))+LEN(SUBSTITUTE(SUBSTITUTE(SUBSTITUTE(K162," ",""),"0",""),"-",""))),1,0))+IF(UPPER(L163)="X",0,IF((LEN(SUBSTITUTE(SUBSTITUTE(SUBSTITUTE(M163," ",""),"0",""),"-",""))+LEN(SUBSTITUTE(SUBSTITUTE(SUBSTITUTE(N163," ",""),"0",""),"-","")))&gt;(LEN(SUBSTITUTE(SUBSTITUTE(SUBSTITUTE(J163," ",""),"0",""),"-",""))+LEN(SUBSTITUTE(SUBSTITUTE(SUBSTITUTE(K163," ",""),"0",""),"-",""))),1,0))+IF(UPPER(L164)="X",0,IF((LEN(SUBSTITUTE(SUBSTITUTE(SUBSTITUTE(M164," ",""),"0",""),"-",""))+LEN(SUBSTITUTE(SUBSTITUTE(SUBSTITUTE(N164," ",""),"0",""),"-","")))&gt;(LEN(SUBSTITUTE(SUBSTITUTE(SUBSTITUTE(J164," ",""),"0",""),"-",""))+LEN(SUBSTITUTE(SUBSTITUTE(SUBSTITUTE(K164," ",""),"0",""),"-",""))),1,0))</f>
      </c>
      <c r="O159" s="14" t="str">
        <f>data!$E$59&amp;" "&amp;data!$B$59</f>
      </c>
    </row>
    <row r="160">
      <c r="A160" s="14">
        <v>1</v>
      </c>
      <c r="B160" s="18"/>
      <c r="C160" s="18"/>
      <c r="D160" s="18"/>
      <c r="E160" s="18"/>
      <c r="F160" s="18"/>
      <c r="G160" s="14">
        <v>1</v>
      </c>
      <c r="I160" s="14">
        <v>1</v>
      </c>
      <c r="J160" s="18"/>
      <c r="K160" s="18"/>
      <c r="L160" s="18"/>
      <c r="M160" s="18"/>
      <c r="N160" s="18"/>
      <c r="O160" s="14">
        <v>1</v>
      </c>
    </row>
    <row r="161">
      <c r="A161" s="14">
        <v>2</v>
      </c>
      <c r="B161" s="18"/>
      <c r="C161" s="18"/>
      <c r="D161" s="18"/>
      <c r="E161" s="18"/>
      <c r="F161" s="18"/>
      <c r="G161" s="14">
        <v>2</v>
      </c>
      <c r="I161" s="14">
        <v>2</v>
      </c>
      <c r="J161" s="18"/>
      <c r="K161" s="18"/>
      <c r="L161" s="18"/>
      <c r="M161" s="18"/>
      <c r="N161" s="18"/>
      <c r="O161" s="14">
        <v>2</v>
      </c>
    </row>
    <row r="162">
      <c r="A162" s="14">
        <v>3</v>
      </c>
      <c r="B162" s="18"/>
      <c r="C162" s="18"/>
      <c r="D162" s="18"/>
      <c r="E162" s="18"/>
      <c r="F162" s="18"/>
      <c r="G162" s="14">
        <v>3</v>
      </c>
      <c r="I162" s="14">
        <v>3</v>
      </c>
      <c r="J162" s="18"/>
      <c r="K162" s="18"/>
      <c r="L162" s="18"/>
      <c r="M162" s="18"/>
      <c r="N162" s="18"/>
      <c r="O162" s="14">
        <v>3</v>
      </c>
    </row>
    <row r="163">
      <c r="A163" s="14">
        <v>4</v>
      </c>
      <c r="B163" s="18"/>
      <c r="C163" s="18"/>
      <c r="D163" s="18"/>
      <c r="E163" s="18"/>
      <c r="F163" s="18"/>
      <c r="G163" s="14">
        <v>4</v>
      </c>
      <c r="I163" s="14">
        <v>4</v>
      </c>
      <c r="J163" s="18"/>
      <c r="K163" s="18"/>
      <c r="L163" s="18"/>
      <c r="M163" s="18"/>
      <c r="N163" s="18"/>
      <c r="O163" s="14">
        <v>4</v>
      </c>
    </row>
    <row r="164">
      <c r="A164" s="14">
        <v>5</v>
      </c>
      <c r="B164" s="18"/>
      <c r="C164" s="18"/>
      <c r="D164" s="18"/>
      <c r="E164" s="18"/>
      <c r="F164" s="18"/>
      <c r="G164" s="14">
        <v>5</v>
      </c>
      <c r="I164" s="14">
        <v>5</v>
      </c>
      <c r="J164" s="18"/>
      <c r="K164" s="18"/>
      <c r="L164" s="18"/>
      <c r="M164" s="18"/>
      <c r="N164" s="18"/>
      <c r="O164" s="14">
        <v>5</v>
      </c>
    </row>
    <row r="167">
      <c r="A167" s="13" t="s">
        <v>333</v>
      </c>
      <c r="B167" s="13" t="s">
        <v>334</v>
      </c>
      <c r="C167" s="13" t="s">
        <v>335</v>
      </c>
      <c r="D167" s="13" t="s">
        <v>336</v>
      </c>
      <c r="E167" s="13"/>
      <c r="F167" s="13"/>
      <c r="G167" s="13" t="s">
        <v>337</v>
      </c>
      <c r="I167" s="13" t="s">
        <v>333</v>
      </c>
      <c r="J167" s="13" t="s">
        <v>334</v>
      </c>
      <c r="K167" s="13" t="s">
        <v>335</v>
      </c>
      <c r="L167" s="13" t="s">
        <v>336</v>
      </c>
      <c r="M167" s="13"/>
      <c r="N167" s="13"/>
      <c r="O167" s="13" t="s">
        <v>337</v>
      </c>
    </row>
    <row r="168">
      <c r="A168" s="14" t="str">
        <f>data!$E$13&amp;" "&amp;data!$B$13</f>
      </c>
      <c r="B168" s="14" t="str">
        <f>IF(OR(COUNTA(B144:C148,E144:F148)&gt;0,D144="X",D144="x",D145="X",D145="x",D146="X",D146="x",D147="X",D147="x",D148="X",D148="x",OR(D143="X",D143="x")),IF(OR(OR(D143="X",D143="x"),AND(B143=F143,C143=E143)),0,IF(OR(F143&gt;B143,AND(F143=B143,E143&gt;C143)),1,0)),0)+IF(OR(COUNTA(B152:C156,E152:F156)&gt;0,D152="X",D152="x",D153="X",D153="x",D154="X",D154="x",D155="X",D155="x",D156="X",D156="x",OR(D151="X",D151="x")),IF(OR(OR(D151="X",D151="x"),AND(B151=F151,C151=E151)),0,IF(OR(F151&gt;B151,AND(F151=B151,E151&gt;C151)),1,0)),0)</f>
      </c>
      <c r="C168" s="14" t="str">
        <f>IF(OR(COUNTA(B144:C148,E144:F148)&gt;0,D144="X",D144="x",D145="X",D145="x",D146="X",D146="x",D147="X",D147="x",D148="X",D148="x",OR(D143="X",D143="x")),IF(OR(OR(D143="X",D143="x"),AND(B143=F143,C143=E143)),0,IF(OR(F143&lt;B143,AND(F143=B143,E143&lt;C143)),1,0)),0)+IF(OR(COUNTA(B152:C156,E152:F156)&gt;0,D152="X",D152="x",D153="X",D153="x",D154="X",D154="x",D155="X",D155="x",D156="X",D156="x",OR(D151="X",D151="x")),IF(OR(OR(D151="X",D151="x"),AND(B151=F151,C151=E151)),0,IF(OR(F151&lt;B151,AND(F151=B151,E151&lt;C151)),1,0)),0)</f>
      </c>
      <c r="D168" s="14" t="str">
        <f>IF(OR(COUNTA(B144:C148,E144:F148)&gt;0,D144="X",D144="x",D145="X",D145="x",D146="X",D146="x",D147="X",D147="x",D148="X",D148="x",OR(D143="X",D143="x")),IF(OR(OR(D143="X",D143="x"),AND(B143=F143,C143=E143)),1,0),0)+IF(OR(COUNTA(B152:C156,E152:F156)&gt;0,D152="X",D152="x",D153="X",D153="x",D154="X",D154="x",D155="X",D155="x",D156="X",D156="x",OR(D151="X",D151="x")),IF(OR(OR(D151="X",D151="x"),AND(B151=F151,C151=E151)),1,0),0)</f>
      </c>
      <c r="G168" s="18" t="str">
        <f>RANK(U168,$U$168:$U$170)+COUNTIF($U$167:U167,U168)</f>
      </c>
      <c r="I168" s="14" t="str">
        <f>data!$E$58&amp;" "&amp;data!$B$58</f>
      </c>
      <c r="J168" s="14" t="str">
        <f>IF(OR(COUNTA(J144:K148,M144:N148)&gt;0,L144="X",L144="x",L145="X",L145="x",L146="X",L146="x",L147="X",L147="x",L148="X",L148="x",OR(L143="X",L143="x")),IF(OR(OR(L143="X",L143="x"),AND(J143=N143,K143=M143)),0,IF(OR(N143&gt;J143,AND(N143=J143,M143&gt;K143)),1,0)),0)+IF(OR(COUNTA(J152:K156,M152:N156)&gt;0,L152="X",L152="x",L153="X",L153="x",L154="X",L154="x",L155="X",L155="x",L156="X",L156="x",OR(L151="X",L151="x")),IF(OR(OR(L151="X",L151="x"),AND(J151=N151,K151=M151)),0,IF(OR(N151&gt;J151,AND(N151=J151,M151&gt;K151)),1,0)),0)</f>
      </c>
      <c r="K168" s="14" t="str">
        <f>IF(OR(COUNTA(J144:K148,M144:N148)&gt;0,L144="X",L144="x",L145="X",L145="x",L146="X",L146="x",L147="X",L147="x",L148="X",L148="x",OR(L143="X",L143="x")),IF(OR(OR(L143="X",L143="x"),AND(J143=N143,K143=M143)),0,IF(OR(N143&lt;J143,AND(N143=J143,M143&lt;K143)),1,0)),0)+IF(OR(COUNTA(J152:K156,M152:N156)&gt;0,L152="X",L152="x",L153="X",L153="x",L154="X",L154="x",L155="X",L155="x",L156="X",L156="x",OR(L151="X",L151="x")),IF(OR(OR(L151="X",L151="x"),AND(J151=N151,K151=M151)),0,IF(OR(N151&lt;J151,AND(N151=J151,M151&lt;K151)),1,0)),0)</f>
      </c>
      <c r="L168" s="14" t="str">
        <f>IF(OR(COUNTA(J144:K148,M144:N148)&gt;0,L144="X",L144="x",L145="X",L145="x",L146="X",L146="x",L147="X",L147="x",L148="X",L148="x",OR(L143="X",L143="x")),IF(OR(OR(L143="X",L143="x"),AND(J143=N143,K143=M143)),1,0),0)+IF(OR(COUNTA(J152:K156,M152:N156)&gt;0,L152="X",L152="x",L153="X",L153="x",L154="X",L154="x",L155="X",L155="x",L156="X",L156="x",OR(L151="X",L151="x")),IF(OR(OR(L151="X",L151="x"),AND(J151=N151,K151=M151)),1,0),0)</f>
      </c>
      <c r="O168" s="18" t="str">
        <f>RANK(AC168,$AC$168:$AC$170)+COUNTIF($AC$167:AC167,AC168)</f>
      </c>
      <c r="U168" t="str">
        <f>(B168*1000000000)-(C168*10000000)+(D168*100000)+(B173*1000)-(C173*100)+(D173*10)+(E173*1)-(F173*0.01)</f>
      </c>
      <c r="AC168" t="str">
        <f>(J168*1000000000)-(K168*10000000)+(L168*100000)+(J173*1000)-(K173*100)+(L173*10)+(M173*1)-(N173*0.01)</f>
      </c>
    </row>
    <row r="169">
      <c r="A169" s="14" t="str">
        <f>data!$E$14&amp;" "&amp;data!$B$14</f>
      </c>
      <c r="B169" s="14" t="str">
        <f>IF(OR(COUNTA(B144:C148,E144:F148)&gt;0,D144="X",D144="x",D145="X",D145="x",D146="X",D146="x",D147="X",D147="x",D148="X",D148="x",OR(D143="X",D143="x")),IF(OR(OR(D143="X",D143="x"),AND(B143=F143,C143=E143)),0,IF(OR(B143&gt;F143,AND(B143=F143,C143&gt;E143)),1,0)),0)+IF(OR(COUNTA(B160:C164,E160:F164)&gt;0,D160="X",D160="x",D161="X",D161="x",D162="X",D162="x",D163="X",D163="x",D164="X",D164="x",OR(D159="X",D159="x")),IF(OR(OR(D159="X",D159="x"),AND(B159=F159,C159=E159)),0,IF(OR(F159&gt;B159,AND(F159=B159,E159&gt;C159)),1,0)),0)</f>
      </c>
      <c r="C169" s="14" t="str">
        <f>IF(OR(COUNTA(B144:C148,E144:F148)&gt;0,D144="X",D144="x",D145="X",D145="x",D146="X",D146="x",D147="X",D147="x",D148="X",D148="x",OR(D143="X",D143="x")),IF(OR(OR(D143="X",D143="x"),AND(B143=F143,C143=E143)),0,IF(OR(B143&lt;F143,AND(B143=F143,C143&lt;E143)),1,0)),0)+IF(OR(COUNTA(B160:C164,E160:F164)&gt;0,D160="X",D160="x",D161="X",D161="x",D162="X",D162="x",D163="X",D163="x",D164="X",D164="x",OR(D159="X",D159="x")),IF(OR(OR(D159="X",D159="x"),AND(B159=F159,C159=E159)),0,IF(OR(F159&lt;B159,AND(F159=B159,E159&lt;C159)),1,0)),0)</f>
      </c>
      <c r="D169" s="14" t="str">
        <f>IF(OR(COUNTA(B144:C148,E144:F148)&gt;0,D144="X",D144="x",D145="X",D145="x",D146="X",D146="x",D147="X",D147="x",D148="X",D148="x",OR(D143="X",D143="x")),IF(OR(OR(D143="X",D143="x"),AND(B143=F143,C143=E143)),1,0),0)+IF(OR(COUNTA(B160:C164,E160:F164)&gt;0,D160="X",D160="x",D161="X",D161="x",D162="X",D162="x",D163="X",D163="x",D164="X",D164="x",OR(D159="X",D159="x")),IF(OR(OR(D159="X",D159="x"),AND(B159=F159,C159=E159)),1,0),0)</f>
      </c>
      <c r="G169" s="18" t="str">
        <f>RANK(U169,$U$168:$U$170)+COUNTIF($U$167:U168,U169)</f>
      </c>
      <c r="I169" s="14" t="str">
        <f>data!$E$59&amp;" "&amp;data!$B$59</f>
      </c>
      <c r="J169" s="14" t="str">
        <f>IF(OR(COUNTA(J144:K148,M144:N148)&gt;0,L144="X",L144="x",L145="X",L145="x",L146="X",L146="x",L147="X",L147="x",L148="X",L148="x",OR(L143="X",L143="x")),IF(OR(OR(L143="X",L143="x"),AND(J143=N143,K143=M143)),0,IF(OR(J143&gt;N143,AND(J143=N143,K143&gt;M143)),1,0)),0)+IF(OR(COUNTA(J160:K164,M160:N164)&gt;0,L160="X",L160="x",L161="X",L161="x",L162="X",L162="x",L163="X",L163="x",L164="X",L164="x",OR(L159="X",L159="x")),IF(OR(OR(L159="X",L159="x"),AND(J159=N159,K159=M159)),0,IF(OR(N159&gt;J159,AND(N159=J159,M159&gt;K159)),1,0)),0)</f>
      </c>
      <c r="K169" s="14" t="str">
        <f>IF(OR(COUNTA(J144:K148,M144:N148)&gt;0,L144="X",L144="x",L145="X",L145="x",L146="X",L146="x",L147="X",L147="x",L148="X",L148="x",OR(L143="X",L143="x")),IF(OR(OR(L143="X",L143="x"),AND(J143=N143,K143=M143)),0,IF(OR(J143&lt;N143,AND(J143=N143,K143&lt;M143)),1,0)),0)+IF(OR(COUNTA(J160:K164,M160:N164)&gt;0,L160="X",L160="x",L161="X",L161="x",L162="X",L162="x",L163="X",L163="x",L164="X",L164="x",OR(L159="X",L159="x")),IF(OR(OR(L159="X",L159="x"),AND(J159=N159,K159=M159)),0,IF(OR(N159&lt;J159,AND(N159=J159,M159&lt;K159)),1,0)),0)</f>
      </c>
      <c r="L169" s="14" t="str">
        <f>IF(OR(COUNTA(J144:K148,M144:N148)&gt;0,L144="X",L144="x",L145="X",L145="x",L146="X",L146="x",L147="X",L147="x",L148="X",L148="x",OR(L143="X",L143="x")),IF(OR(OR(L143="X",L143="x"),AND(J143=N143,K143=M143)),1,0),0)+IF(OR(COUNTA(J160:K164,M160:N164)&gt;0,L160="X",L160="x",L161="X",L161="x",L162="X",L162="x",L163="X",L163="x",L164="X",L164="x",OR(L159="X",L159="x")),IF(OR(OR(L159="X",L159="x"),AND(J159=N159,K159=M159)),1,0),0)</f>
      </c>
      <c r="O169" s="18" t="str">
        <f>RANK(AC169,$AC$168:$AC$170)+COUNTIF($AC$167:AC168,AC169)</f>
      </c>
      <c r="U169" t="str">
        <f>(B169*1000000000)-(C169*10000000)+(D169*100000)+(B174*1000)-(C174*100)+(D174*10)+(E174*1)-(F174*0.01)</f>
      </c>
      <c r="AC169" t="str">
        <f>(J169*1000000000)-(K169*10000000)+(L169*100000)+(J174*1000)-(K174*100)+(L174*10)+(M174*1)-(N174*0.01)</f>
      </c>
    </row>
    <row r="170">
      <c r="A170" s="14" t="str">
        <f>data!$E$15&amp;" "&amp;data!$B$15</f>
      </c>
      <c r="B170" s="14" t="str">
        <f>IF(OR(COUNTA(B152:C156,E152:F156)&gt;0,D152="X",D152="x",D153="X",D153="x",D154="X",D154="x",D155="X",D155="x",D156="X",D156="x",OR(D151="X",D151="x")),IF(OR(OR(D151="X",D151="x"),AND(B151=F151,C151=E151)),0,IF(OR(B151&gt;F151,AND(B151=F151,C151&gt;E151)),1,0)),0)+IF(OR(COUNTA(B160:C164,E160:F164)&gt;0,D160="X",D160="x",D161="X",D161="x",D162="X",D162="x",D163="X",D163="x",D164="X",D164="x",OR(D159="X",D159="x")),IF(OR(OR(D159="X",D159="x"),AND(B159=F159,C159=E159)),0,IF(OR(B159&gt;F159,AND(B159=F159,C159&gt;E159)),1,0)),0)</f>
      </c>
      <c r="C170" s="14" t="str">
        <f>IF(OR(COUNTA(B152:C156,E152:F156)&gt;0,D152="X",D152="x",D153="X",D153="x",D154="X",D154="x",D155="X",D155="x",D156="X",D156="x",OR(D151="X",D151="x")),IF(OR(OR(D151="X",D151="x"),AND(B151=F151,C151=E151)),0,IF(OR(B151&lt;F151,AND(B151=F151,C151&lt;E151)),1,0)),0)+IF(OR(COUNTA(B160:C164,E160:F164)&gt;0,D160="X",D160="x",D161="X",D161="x",D162="X",D162="x",D163="X",D163="x",D164="X",D164="x",OR(D159="X",D159="x")),IF(OR(OR(D159="X",D159="x"),AND(B159=F159,C159=E159)),0,IF(OR(B159&lt;F159,AND(B159=F159,C159&lt;E159)),1,0)),0)</f>
      </c>
      <c r="D170" s="14" t="str">
        <f>IF(OR(COUNTA(B152:C156,E152:F156)&gt;0,D152="X",D152="x",D153="X",D153="x",D154="X",D154="x",D155="X",D155="x",D156="X",D156="x",OR(D151="X",D151="x")),IF(OR(OR(D151="X",D151="x"),AND(B151=F151,C151=E151)),1,0),0)+IF(OR(COUNTA(B160:C164,E160:F164)&gt;0,D160="X",D160="x",D161="X",D161="x",D162="X",D162="x",D163="X",D163="x",D164="X",D164="x",OR(D159="X",D159="x")),IF(OR(OR(D159="X",D159="x"),AND(B159=F159,C159=E159)),1,0),0)</f>
      </c>
      <c r="G170" s="18" t="str">
        <f>RANK(U170,$U$168:$U$170)+COUNTIF($U$167:U169,U170)</f>
      </c>
      <c r="I170" s="14" t="str">
        <f>data!$E$60&amp;" "&amp;data!$B$60</f>
      </c>
      <c r="J170" s="14" t="str">
        <f>IF(OR(COUNTA(J152:K156,M152:N156)&gt;0,L152="X",L152="x",L153="X",L153="x",L154="X",L154="x",L155="X",L155="x",L156="X",L156="x",OR(L151="X",L151="x")),IF(OR(OR(L151="X",L151="x"),AND(J151=N151,K151=M151)),0,IF(OR(J151&gt;N151,AND(J151=N151,K151&gt;M151)),1,0)),0)+IF(OR(COUNTA(J160:K164,M160:N164)&gt;0,L160="X",L160="x",L161="X",L161="x",L162="X",L162="x",L163="X",L163="x",L164="X",L164="x",OR(L159="X",L159="x")),IF(OR(OR(L159="X",L159="x"),AND(J159=N159,K159=M159)),0,IF(OR(J159&gt;N159,AND(J159=N159,K159&gt;M159)),1,0)),0)</f>
      </c>
      <c r="K170" s="14" t="str">
        <f>IF(OR(COUNTA(J152:K156,M152:N156)&gt;0,L152="X",L152="x",L153="X",L153="x",L154="X",L154="x",L155="X",L155="x",L156="X",L156="x",OR(L151="X",L151="x")),IF(OR(OR(L151="X",L151="x"),AND(J151=N151,K151=M151)),0,IF(OR(J151&lt;N151,AND(J151=N151,K151&lt;M151)),1,0)),0)+IF(OR(COUNTA(J160:K164,M160:N164)&gt;0,L160="X",L160="x",L161="X",L161="x",L162="X",L162="x",L163="X",L163="x",L164="X",L164="x",OR(L159="X",L159="x")),IF(OR(OR(L159="X",L159="x"),AND(J159=N159,K159=M159)),0,IF(OR(J159&lt;N159,AND(J159=N159,K159&lt;M159)),1,0)),0)</f>
      </c>
      <c r="L170" s="14" t="str">
        <f>IF(OR(COUNTA(J152:K156,M152:N156)&gt;0,L152="X",L152="x",L153="X",L153="x",L154="X",L154="x",L155="X",L155="x",L156="X",L156="x",OR(L151="X",L151="x")),IF(OR(OR(L151="X",L151="x"),AND(J151=N151,K151=M151)),1,0),0)+IF(OR(COUNTA(J160:K164,M160:N164)&gt;0,L160="X",L160="x",L161="X",L161="x",L162="X",L162="x",L163="X",L163="x",L164="X",L164="x",OR(L159="X",L159="x")),IF(OR(OR(L159="X",L159="x"),AND(J159=N159,K159=M159)),1,0),0)</f>
      </c>
      <c r="O170" s="18" t="str">
        <f>RANK(AC170,$AC$168:$AC$170)+COUNTIF($AC$167:AC169,AC170)</f>
      </c>
      <c r="U170" t="str">
        <f>(B170*1000000000)-(C170*10000000)+(D170*100000)+(B175*1000)-(C175*100)+(D175*10)+(E175*1)-(F175*0.01)</f>
      </c>
      <c r="AC170" t="str">
        <f>(J170*1000000000)-(K170*10000000)+(L170*100000)+(J175*1000)-(K175*100)+(L175*10)+(M175*1)-(N175*0.01)</f>
      </c>
    </row>
    <row r="172">
      <c r="A172" s="13"/>
      <c r="B172" s="13" t="s">
        <v>338</v>
      </c>
      <c r="C172" s="13" t="s">
        <v>339</v>
      </c>
      <c r="D172" s="13" t="s">
        <v>340</v>
      </c>
      <c r="E172" s="13" t="s">
        <v>341</v>
      </c>
      <c r="F172" s="13" t="s">
        <v>342</v>
      </c>
      <c r="I172" s="13"/>
      <c r="J172" s="13" t="s">
        <v>338</v>
      </c>
      <c r="K172" s="13" t="s">
        <v>339</v>
      </c>
      <c r="L172" s="13" t="s">
        <v>340</v>
      </c>
      <c r="M172" s="13" t="s">
        <v>341</v>
      </c>
      <c r="N172" s="13" t="s">
        <v>342</v>
      </c>
    </row>
    <row r="173">
      <c r="A173" s="14" t="str">
        <f>data!$E$13&amp;" "&amp;data!$B$13</f>
      </c>
      <c r="B173" s="14" t="str">
        <f>IF(OR(COUNTA(B144:C148,E144:F148)&gt;0,OR(D143="X",D143="x"),UPPER(D144)="X",UPPER(D145)="X",UPPER(D146)="X",UPPER(D147)="X",UPPER(D148)="X"),F143,0)+IF(OR(COUNTA(B152:C156,E152:F156)&gt;0,OR(D151="X",D151="x"),UPPER(D152)="X",UPPER(D153)="X",UPPER(D154)="X",UPPER(D155)="X",UPPER(D156)="X"),F151,0)</f>
      </c>
      <c r="C173" s="14" t="str">
        <f>IF(OR(COUNTA(B144:C148,E144:F148)&gt;0,OR(D143="X",D143="x"),UPPER(D144)="X",UPPER(D145)="X",UPPER(D146)="X",UPPER(D147)="X",UPPER(D148)="X"),B143,0)+IF(OR(COUNTA(B152:C156,E152:F156)&gt;0,OR(D151="X",D151="x"),UPPER(D152)="X",UPPER(D153)="X",UPPER(D154)="X",UPPER(D155)="X",UPPER(D156)="X"),B151,0)</f>
      </c>
      <c r="D173" s="14" t="str">
        <f>IF(OR(COUNTA(B144:C148,E144:F148)&gt;0,OR(D143="X",D143="x"),UPPER(D144)="X",UPPER(D145)="X",UPPER(D146)="X",UPPER(D147)="X",UPPER(D148)="X"),(IF(OR(D144="X",D144="x",AND(COUNTA(B144,C144,E144,F144)&gt;0,(LEN(SUBSTITUTE(SUBSTITUTE(SUBSTITUTE(B144," ",""),"0",""),"-",""))+LEN(SUBSTITUTE(SUBSTITUTE(SUBSTITUTE(C144," ",""),"0",""),"-","")))=(LEN(SUBSTITUTE(SUBSTITUTE(SUBSTITUTE(E144," ",""),"0",""),"-",""))+LEN(SUBSTITUTE(SUBSTITUTE(SUBSTITUTE(F144," ",""),"0",""),"-",""))))),1,0)+IF(OR(D145="X",D145="x",AND(COUNTA(B145,C145,E145,F145)&gt;0,(LEN(SUBSTITUTE(SUBSTITUTE(SUBSTITUTE(B145," ",""),"0",""),"-",""))+LEN(SUBSTITUTE(SUBSTITUTE(SUBSTITUTE(C145," ",""),"0",""),"-","")))=(LEN(SUBSTITUTE(SUBSTITUTE(SUBSTITUTE(E145," ",""),"0",""),"-",""))+LEN(SUBSTITUTE(SUBSTITUTE(SUBSTITUTE(F145," ",""),"0",""),"-",""))))),1,0)+IF(OR(D146="X",D146="x",AND(COUNTA(B146,C146,E146,F146)&gt;0,(LEN(SUBSTITUTE(SUBSTITUTE(SUBSTITUTE(B146," ",""),"0",""),"-",""))+LEN(SUBSTITUTE(SUBSTITUTE(SUBSTITUTE(C146," ",""),"0",""),"-","")))=(LEN(SUBSTITUTE(SUBSTITUTE(SUBSTITUTE(E146," ",""),"0",""),"-",""))+LEN(SUBSTITUTE(SUBSTITUTE(SUBSTITUTE(F146," ",""),"0",""),"-",""))))),1,0)+IF(OR(D147="X",D147="x",AND(COUNTA(B147,C147,E147,F147)&gt;0,(LEN(SUBSTITUTE(SUBSTITUTE(SUBSTITUTE(B147," ",""),"0",""),"-",""))+LEN(SUBSTITUTE(SUBSTITUTE(SUBSTITUTE(C147," ",""),"0",""),"-","")))=(LEN(SUBSTITUTE(SUBSTITUTE(SUBSTITUTE(E147," ",""),"0",""),"-",""))+LEN(SUBSTITUTE(SUBSTITUTE(SUBSTITUTE(F147," ",""),"0",""),"-",""))))),1,0)+IF(OR(D148="X",D148="x",AND(COUNTA(B148,C148,E148,F148)&gt;0,(LEN(SUBSTITUTE(SUBSTITUTE(SUBSTITUTE(B148," ",""),"0",""),"-",""))+LEN(SUBSTITUTE(SUBSTITUTE(SUBSTITUTE(C148," ",""),"0",""),"-","")))=(LEN(SUBSTITUTE(SUBSTITUTE(SUBSTITUTE(E148," ",""),"0",""),"-",""))+LEN(SUBSTITUTE(SUBSTITUTE(SUBSTITUTE(F148," ",""),"0",""),"-",""))))),1,0)),0)+IF(OR(COUNTA(B152:C156,E152:F156)&gt;0,OR(D151="X",D151="x"),UPPER(D152)="X",UPPER(D153)="X",UPPER(D154)="X",UPPER(D155)="X",UPPER(D156)="X"),(IF(OR(D152="X",D152="x",AND(COUNTA(B152,C152,E152,F152)&gt;0,(LEN(SUBSTITUTE(SUBSTITUTE(SUBSTITUTE(B152," ",""),"0",""),"-",""))+LEN(SUBSTITUTE(SUBSTITUTE(SUBSTITUTE(C152," ",""),"0",""),"-","")))=(LEN(SUBSTITUTE(SUBSTITUTE(SUBSTITUTE(E152," ",""),"0",""),"-",""))+LEN(SUBSTITUTE(SUBSTITUTE(SUBSTITUTE(F152," ",""),"0",""),"-",""))))),1,0)+IF(OR(D153="X",D153="x",AND(COUNTA(B153,C153,E153,F153)&gt;0,(LEN(SUBSTITUTE(SUBSTITUTE(SUBSTITUTE(B153," ",""),"0",""),"-",""))+LEN(SUBSTITUTE(SUBSTITUTE(SUBSTITUTE(C153," ",""),"0",""),"-","")))=(LEN(SUBSTITUTE(SUBSTITUTE(SUBSTITUTE(E153," ",""),"0",""),"-",""))+LEN(SUBSTITUTE(SUBSTITUTE(SUBSTITUTE(F153," ",""),"0",""),"-",""))))),1,0)+IF(OR(D154="X",D154="x",AND(COUNTA(B154,C154,E154,F154)&gt;0,(LEN(SUBSTITUTE(SUBSTITUTE(SUBSTITUTE(B154," ",""),"0",""),"-",""))+LEN(SUBSTITUTE(SUBSTITUTE(SUBSTITUTE(C154," ",""),"0",""),"-","")))=(LEN(SUBSTITUTE(SUBSTITUTE(SUBSTITUTE(E154," ",""),"0",""),"-",""))+LEN(SUBSTITUTE(SUBSTITUTE(SUBSTITUTE(F154," ",""),"0",""),"-",""))))),1,0)+IF(OR(D155="X",D155="x",AND(COUNTA(B155,C155,E155,F155)&gt;0,(LEN(SUBSTITUTE(SUBSTITUTE(SUBSTITUTE(B155," ",""),"0",""),"-",""))+LEN(SUBSTITUTE(SUBSTITUTE(SUBSTITUTE(C155," ",""),"0",""),"-","")))=(LEN(SUBSTITUTE(SUBSTITUTE(SUBSTITUTE(E155," ",""),"0",""),"-",""))+LEN(SUBSTITUTE(SUBSTITUTE(SUBSTITUTE(F155," ",""),"0",""),"-",""))))),1,0)+IF(OR(D156="X",D156="x",AND(COUNTA(B156,C156,E156,F156)&gt;0,(LEN(SUBSTITUTE(SUBSTITUTE(SUBSTITUTE(B156," ",""),"0",""),"-",""))+LEN(SUBSTITUTE(SUBSTITUTE(SUBSTITUTE(C156," ",""),"0",""),"-","")))=(LEN(SUBSTITUTE(SUBSTITUTE(SUBSTITUTE(E156," ",""),"0",""),"-",""))+LEN(SUBSTITUTE(SUBSTITUTE(SUBSTITUTE(F156," ",""),"0",""),"-",""))))),1,0)),0)</f>
      </c>
      <c r="E173" s="14" t="str">
        <f>E143+E151</f>
      </c>
      <c r="F173" s="14" t="str">
        <f>C143+C151</f>
      </c>
      <c r="I173" s="14" t="str">
        <f>data!$E$58&amp;" "&amp;data!$B$58</f>
      </c>
      <c r="J173" s="14" t="str">
        <f>IF(OR(COUNTA(J144:K148,M144:N148)&gt;0,OR(L143="X",L143="x"),UPPER(L144)="X",UPPER(L145)="X",UPPER(L146)="X",UPPER(L147)="X",UPPER(L148)="X"),N143,0)+IF(OR(COUNTA(J152:K156,M152:N156)&gt;0,OR(L151="X",L151="x"),UPPER(L152)="X",UPPER(L153)="X",UPPER(L154)="X",UPPER(L155)="X",UPPER(L156)="X"),N151,0)</f>
      </c>
      <c r="K173" s="14" t="str">
        <f>IF(OR(COUNTA(J144:K148,M144:N148)&gt;0,OR(L143="X",L143="x"),UPPER(L144)="X",UPPER(L145)="X",UPPER(L146)="X",UPPER(L147)="X",UPPER(L148)="X"),J143,0)+IF(OR(COUNTA(J152:K156,M152:N156)&gt;0,OR(L151="X",L151="x"),UPPER(L152)="X",UPPER(L153)="X",UPPER(L154)="X",UPPER(L155)="X",UPPER(L156)="X"),J151,0)</f>
      </c>
      <c r="L173" s="14" t="str">
        <f>IF(OR(COUNTA(J144:K148,M144:N148)&gt;0,OR(L143="X",L143="x"),UPPER(L144)="X",UPPER(L145)="X",UPPER(L146)="X",UPPER(L147)="X",UPPER(L148)="X"),(IF(OR(L144="X",L144="x",AND(COUNTA(J144,K144,M144,N144)&gt;0,(LEN(SUBSTITUTE(SUBSTITUTE(SUBSTITUTE(J144," ",""),"0",""),"-",""))+LEN(SUBSTITUTE(SUBSTITUTE(SUBSTITUTE(K144," ",""),"0",""),"-","")))=(LEN(SUBSTITUTE(SUBSTITUTE(SUBSTITUTE(M144," ",""),"0",""),"-",""))+LEN(SUBSTITUTE(SUBSTITUTE(SUBSTITUTE(N144," ",""),"0",""),"-",""))))),1,0)+IF(OR(L145="X",L145="x",AND(COUNTA(J145,K145,M145,N145)&gt;0,(LEN(SUBSTITUTE(SUBSTITUTE(SUBSTITUTE(J145," ",""),"0",""),"-",""))+LEN(SUBSTITUTE(SUBSTITUTE(SUBSTITUTE(K145," ",""),"0",""),"-","")))=(LEN(SUBSTITUTE(SUBSTITUTE(SUBSTITUTE(M145," ",""),"0",""),"-",""))+LEN(SUBSTITUTE(SUBSTITUTE(SUBSTITUTE(N145," ",""),"0",""),"-",""))))),1,0)+IF(OR(L146="X",L146="x",AND(COUNTA(J146,K146,M146,N146)&gt;0,(LEN(SUBSTITUTE(SUBSTITUTE(SUBSTITUTE(J146," ",""),"0",""),"-",""))+LEN(SUBSTITUTE(SUBSTITUTE(SUBSTITUTE(K146," ",""),"0",""),"-","")))=(LEN(SUBSTITUTE(SUBSTITUTE(SUBSTITUTE(M146," ",""),"0",""),"-",""))+LEN(SUBSTITUTE(SUBSTITUTE(SUBSTITUTE(N146," ",""),"0",""),"-",""))))),1,0)+IF(OR(L147="X",L147="x",AND(COUNTA(J147,K147,M147,N147)&gt;0,(LEN(SUBSTITUTE(SUBSTITUTE(SUBSTITUTE(J147," ",""),"0",""),"-",""))+LEN(SUBSTITUTE(SUBSTITUTE(SUBSTITUTE(K147," ",""),"0",""),"-","")))=(LEN(SUBSTITUTE(SUBSTITUTE(SUBSTITUTE(M147," ",""),"0",""),"-",""))+LEN(SUBSTITUTE(SUBSTITUTE(SUBSTITUTE(N147," ",""),"0",""),"-",""))))),1,0)+IF(OR(L148="X",L148="x",AND(COUNTA(J148,K148,M148,N148)&gt;0,(LEN(SUBSTITUTE(SUBSTITUTE(SUBSTITUTE(J148," ",""),"0",""),"-",""))+LEN(SUBSTITUTE(SUBSTITUTE(SUBSTITUTE(K148," ",""),"0",""),"-","")))=(LEN(SUBSTITUTE(SUBSTITUTE(SUBSTITUTE(M148," ",""),"0",""),"-",""))+LEN(SUBSTITUTE(SUBSTITUTE(SUBSTITUTE(N148," ",""),"0",""),"-",""))))),1,0)),0)+IF(OR(COUNTA(J152:K156,M152:N156)&gt;0,OR(L151="X",L151="x"),UPPER(L152)="X",UPPER(L153)="X",UPPER(L154)="X",UPPER(L155)="X",UPPER(L156)="X"),(IF(OR(L152="X",L152="x",AND(COUNTA(J152,K152,M152,N152)&gt;0,(LEN(SUBSTITUTE(SUBSTITUTE(SUBSTITUTE(J152," ",""),"0",""),"-",""))+LEN(SUBSTITUTE(SUBSTITUTE(SUBSTITUTE(K152," ",""),"0",""),"-","")))=(LEN(SUBSTITUTE(SUBSTITUTE(SUBSTITUTE(M152," ",""),"0",""),"-",""))+LEN(SUBSTITUTE(SUBSTITUTE(SUBSTITUTE(N152," ",""),"0",""),"-",""))))),1,0)+IF(OR(L153="X",L153="x",AND(COUNTA(J153,K153,M153,N153)&gt;0,(LEN(SUBSTITUTE(SUBSTITUTE(SUBSTITUTE(J153," ",""),"0",""),"-",""))+LEN(SUBSTITUTE(SUBSTITUTE(SUBSTITUTE(K153," ",""),"0",""),"-","")))=(LEN(SUBSTITUTE(SUBSTITUTE(SUBSTITUTE(M153," ",""),"0",""),"-",""))+LEN(SUBSTITUTE(SUBSTITUTE(SUBSTITUTE(N153," ",""),"0",""),"-",""))))),1,0)+IF(OR(L154="X",L154="x",AND(COUNTA(J154,K154,M154,N154)&gt;0,(LEN(SUBSTITUTE(SUBSTITUTE(SUBSTITUTE(J154," ",""),"0",""),"-",""))+LEN(SUBSTITUTE(SUBSTITUTE(SUBSTITUTE(K154," ",""),"0",""),"-","")))=(LEN(SUBSTITUTE(SUBSTITUTE(SUBSTITUTE(M154," ",""),"0",""),"-",""))+LEN(SUBSTITUTE(SUBSTITUTE(SUBSTITUTE(N154," ",""),"0",""),"-",""))))),1,0)+IF(OR(L155="X",L155="x",AND(COUNTA(J155,K155,M155,N155)&gt;0,(LEN(SUBSTITUTE(SUBSTITUTE(SUBSTITUTE(J155," ",""),"0",""),"-",""))+LEN(SUBSTITUTE(SUBSTITUTE(SUBSTITUTE(K155," ",""),"0",""),"-","")))=(LEN(SUBSTITUTE(SUBSTITUTE(SUBSTITUTE(M155," ",""),"0",""),"-",""))+LEN(SUBSTITUTE(SUBSTITUTE(SUBSTITUTE(N155," ",""),"0",""),"-",""))))),1,0)+IF(OR(L156="X",L156="x",AND(COUNTA(J156,K156,M156,N156)&gt;0,(LEN(SUBSTITUTE(SUBSTITUTE(SUBSTITUTE(J156," ",""),"0",""),"-",""))+LEN(SUBSTITUTE(SUBSTITUTE(SUBSTITUTE(K156," ",""),"0",""),"-","")))=(LEN(SUBSTITUTE(SUBSTITUTE(SUBSTITUTE(M156," ",""),"0",""),"-",""))+LEN(SUBSTITUTE(SUBSTITUTE(SUBSTITUTE(N156," ",""),"0",""),"-",""))))),1,0)),0)</f>
      </c>
      <c r="M173" s="14" t="str">
        <f>M143+M151</f>
      </c>
      <c r="N173" s="14" t="str">
        <f>K143+K151</f>
      </c>
    </row>
    <row r="174">
      <c r="A174" s="14" t="str">
        <f>data!$E$14&amp;" "&amp;data!$B$14</f>
      </c>
      <c r="B174" s="14" t="str">
        <f>IF(OR(COUNTA(B144:C148,E144:F148)&gt;0,OR(D143="X",D143="x"),UPPER(D144)="X",UPPER(D145)="X",UPPER(D146)="X",UPPER(D147)="X",UPPER(D148)="X"),B143,0)+IF(OR(COUNTA(B160:C164,E160:F164)&gt;0,OR(D159="X",D159="x"),UPPER(D160)="X",UPPER(D161)="X",UPPER(D162)="X",UPPER(D163)="X",UPPER(D164)="X"),F159,0)</f>
      </c>
      <c r="C174" s="14" t="str">
        <f>IF(OR(COUNTA(B144:C148,E144:F148)&gt;0,OR(D143="X",D143="x"),UPPER(D144)="X",UPPER(D145)="X",UPPER(D146)="X",UPPER(D147)="X",UPPER(D148)="X"),F143,0)+IF(OR(COUNTA(B160:C164,E160:F164)&gt;0,OR(D159="X",D159="x"),UPPER(D160)="X",UPPER(D161)="X",UPPER(D162)="X",UPPER(D163)="X",UPPER(D164)="X"),B159,0)</f>
      </c>
      <c r="D174" s="14" t="str">
        <f>IF(OR(COUNTA(B144:C148,E144:F148)&gt;0,OR(D143="X",D143="x"),UPPER(D144)="X",UPPER(D145)="X",UPPER(D146)="X",UPPER(D147)="X",UPPER(D148)="X"),(IF(OR(D144="X",D144="x",AND(COUNTA(B144,C144,E144,F144)&gt;0,(LEN(SUBSTITUTE(SUBSTITUTE(SUBSTITUTE(B144," ",""),"0",""),"-",""))+LEN(SUBSTITUTE(SUBSTITUTE(SUBSTITUTE(C144," ",""),"0",""),"-","")))=(LEN(SUBSTITUTE(SUBSTITUTE(SUBSTITUTE(E144," ",""),"0",""),"-",""))+LEN(SUBSTITUTE(SUBSTITUTE(SUBSTITUTE(F144," ",""),"0",""),"-",""))))),1,0)+IF(OR(D145="X",D145="x",AND(COUNTA(B145,C145,E145,F145)&gt;0,(LEN(SUBSTITUTE(SUBSTITUTE(SUBSTITUTE(B145," ",""),"0",""),"-",""))+LEN(SUBSTITUTE(SUBSTITUTE(SUBSTITUTE(C145," ",""),"0",""),"-","")))=(LEN(SUBSTITUTE(SUBSTITUTE(SUBSTITUTE(E145," ",""),"0",""),"-",""))+LEN(SUBSTITUTE(SUBSTITUTE(SUBSTITUTE(F145," ",""),"0",""),"-",""))))),1,0)+IF(OR(D146="X",D146="x",AND(COUNTA(B146,C146,E146,F146)&gt;0,(LEN(SUBSTITUTE(SUBSTITUTE(SUBSTITUTE(B146," ",""),"0",""),"-",""))+LEN(SUBSTITUTE(SUBSTITUTE(SUBSTITUTE(C146," ",""),"0",""),"-","")))=(LEN(SUBSTITUTE(SUBSTITUTE(SUBSTITUTE(E146," ",""),"0",""),"-",""))+LEN(SUBSTITUTE(SUBSTITUTE(SUBSTITUTE(F146," ",""),"0",""),"-",""))))),1,0)+IF(OR(D147="X",D147="x",AND(COUNTA(B147,C147,E147,F147)&gt;0,(LEN(SUBSTITUTE(SUBSTITUTE(SUBSTITUTE(B147," ",""),"0",""),"-",""))+LEN(SUBSTITUTE(SUBSTITUTE(SUBSTITUTE(C147," ",""),"0",""),"-","")))=(LEN(SUBSTITUTE(SUBSTITUTE(SUBSTITUTE(E147," ",""),"0",""),"-",""))+LEN(SUBSTITUTE(SUBSTITUTE(SUBSTITUTE(F147," ",""),"0",""),"-",""))))),1,0)+IF(OR(D148="X",D148="x",AND(COUNTA(B148,C148,E148,F148)&gt;0,(LEN(SUBSTITUTE(SUBSTITUTE(SUBSTITUTE(B148," ",""),"0",""),"-",""))+LEN(SUBSTITUTE(SUBSTITUTE(SUBSTITUTE(C148," ",""),"0",""),"-","")))=(LEN(SUBSTITUTE(SUBSTITUTE(SUBSTITUTE(E148," ",""),"0",""),"-",""))+LEN(SUBSTITUTE(SUBSTITUTE(SUBSTITUTE(F148," ",""),"0",""),"-",""))))),1,0)),0)+IF(OR(COUNTA(B160:C164,E160:F164)&gt;0,OR(D159="X",D159="x"),UPPER(D160)="X",UPPER(D161)="X",UPPER(D162)="X",UPPER(D163)="X",UPPER(D164)="X"),(IF(OR(D160="X",D160="x",AND(COUNTA(B160,C160,E160,F160)&gt;0,(LEN(SUBSTITUTE(SUBSTITUTE(SUBSTITUTE(B160," ",""),"0",""),"-",""))+LEN(SUBSTITUTE(SUBSTITUTE(SUBSTITUTE(C160," ",""),"0",""),"-","")))=(LEN(SUBSTITUTE(SUBSTITUTE(SUBSTITUTE(E160," ",""),"0",""),"-",""))+LEN(SUBSTITUTE(SUBSTITUTE(SUBSTITUTE(F160," ",""),"0",""),"-",""))))),1,0)+IF(OR(D161="X",D161="x",AND(COUNTA(B161,C161,E161,F161)&gt;0,(LEN(SUBSTITUTE(SUBSTITUTE(SUBSTITUTE(B161," ",""),"0",""),"-",""))+LEN(SUBSTITUTE(SUBSTITUTE(SUBSTITUTE(C161," ",""),"0",""),"-","")))=(LEN(SUBSTITUTE(SUBSTITUTE(SUBSTITUTE(E161," ",""),"0",""),"-",""))+LEN(SUBSTITUTE(SUBSTITUTE(SUBSTITUTE(F161," ",""),"0",""),"-",""))))),1,0)+IF(OR(D162="X",D162="x",AND(COUNTA(B162,C162,E162,F162)&gt;0,(LEN(SUBSTITUTE(SUBSTITUTE(SUBSTITUTE(B162," ",""),"0",""),"-",""))+LEN(SUBSTITUTE(SUBSTITUTE(SUBSTITUTE(C162," ",""),"0",""),"-","")))=(LEN(SUBSTITUTE(SUBSTITUTE(SUBSTITUTE(E162," ",""),"0",""),"-",""))+LEN(SUBSTITUTE(SUBSTITUTE(SUBSTITUTE(F162," ",""),"0",""),"-",""))))),1,0)+IF(OR(D163="X",D163="x",AND(COUNTA(B163,C163,E163,F163)&gt;0,(LEN(SUBSTITUTE(SUBSTITUTE(SUBSTITUTE(B163," ",""),"0",""),"-",""))+LEN(SUBSTITUTE(SUBSTITUTE(SUBSTITUTE(C163," ",""),"0",""),"-","")))=(LEN(SUBSTITUTE(SUBSTITUTE(SUBSTITUTE(E163," ",""),"0",""),"-",""))+LEN(SUBSTITUTE(SUBSTITUTE(SUBSTITUTE(F163," ",""),"0",""),"-",""))))),1,0)+IF(OR(D164="X",D164="x",AND(COUNTA(B164,C164,E164,F164)&gt;0,(LEN(SUBSTITUTE(SUBSTITUTE(SUBSTITUTE(B164," ",""),"0",""),"-",""))+LEN(SUBSTITUTE(SUBSTITUTE(SUBSTITUTE(C164," ",""),"0",""),"-","")))=(LEN(SUBSTITUTE(SUBSTITUTE(SUBSTITUTE(E164," ",""),"0",""),"-",""))+LEN(SUBSTITUTE(SUBSTITUTE(SUBSTITUTE(F164," ",""),"0",""),"-",""))))),1,0)),0)</f>
      </c>
      <c r="E174" s="14" t="str">
        <f>C143+E159</f>
      </c>
      <c r="F174" s="14" t="str">
        <f>E143+C159</f>
      </c>
      <c r="I174" s="14" t="str">
        <f>data!$E$59&amp;" "&amp;data!$B$59</f>
      </c>
      <c r="J174" s="14" t="str">
        <f>IF(OR(COUNTA(J144:K148,M144:N148)&gt;0,OR(L143="X",L143="x"),UPPER(L144)="X",UPPER(L145)="X",UPPER(L146)="X",UPPER(L147)="X",UPPER(L148)="X"),J143,0)+IF(OR(COUNTA(J160:K164,M160:N164)&gt;0,OR(L159="X",L159="x"),UPPER(L160)="X",UPPER(L161)="X",UPPER(L162)="X",UPPER(L163)="X",UPPER(L164)="X"),N159,0)</f>
      </c>
      <c r="K174" s="14" t="str">
        <f>IF(OR(COUNTA(J144:K148,M144:N148)&gt;0,OR(L143="X",L143="x"),UPPER(L144)="X",UPPER(L145)="X",UPPER(L146)="X",UPPER(L147)="X",UPPER(L148)="X"),N143,0)+IF(OR(COUNTA(J160:K164,M160:N164)&gt;0,OR(L159="X",L159="x"),UPPER(L160)="X",UPPER(L161)="X",UPPER(L162)="X",UPPER(L163)="X",UPPER(L164)="X"),J159,0)</f>
      </c>
      <c r="L174" s="14" t="str">
        <f>IF(OR(COUNTA(J144:K148,M144:N148)&gt;0,OR(L143="X",L143="x"),UPPER(L144)="X",UPPER(L145)="X",UPPER(L146)="X",UPPER(L147)="X",UPPER(L148)="X"),(IF(OR(L144="X",L144="x",AND(COUNTA(J144,K144,M144,N144)&gt;0,(LEN(SUBSTITUTE(SUBSTITUTE(SUBSTITUTE(J144," ",""),"0",""),"-",""))+LEN(SUBSTITUTE(SUBSTITUTE(SUBSTITUTE(K144," ",""),"0",""),"-","")))=(LEN(SUBSTITUTE(SUBSTITUTE(SUBSTITUTE(M144," ",""),"0",""),"-",""))+LEN(SUBSTITUTE(SUBSTITUTE(SUBSTITUTE(N144," ",""),"0",""),"-",""))))),1,0)+IF(OR(L145="X",L145="x",AND(COUNTA(J145,K145,M145,N145)&gt;0,(LEN(SUBSTITUTE(SUBSTITUTE(SUBSTITUTE(J145," ",""),"0",""),"-",""))+LEN(SUBSTITUTE(SUBSTITUTE(SUBSTITUTE(K145," ",""),"0",""),"-","")))=(LEN(SUBSTITUTE(SUBSTITUTE(SUBSTITUTE(M145," ",""),"0",""),"-",""))+LEN(SUBSTITUTE(SUBSTITUTE(SUBSTITUTE(N145," ",""),"0",""),"-",""))))),1,0)+IF(OR(L146="X",L146="x",AND(COUNTA(J146,K146,M146,N146)&gt;0,(LEN(SUBSTITUTE(SUBSTITUTE(SUBSTITUTE(J146," ",""),"0",""),"-",""))+LEN(SUBSTITUTE(SUBSTITUTE(SUBSTITUTE(K146," ",""),"0",""),"-","")))=(LEN(SUBSTITUTE(SUBSTITUTE(SUBSTITUTE(M146," ",""),"0",""),"-",""))+LEN(SUBSTITUTE(SUBSTITUTE(SUBSTITUTE(N146," ",""),"0",""),"-",""))))),1,0)+IF(OR(L147="X",L147="x",AND(COUNTA(J147,K147,M147,N147)&gt;0,(LEN(SUBSTITUTE(SUBSTITUTE(SUBSTITUTE(J147," ",""),"0",""),"-",""))+LEN(SUBSTITUTE(SUBSTITUTE(SUBSTITUTE(K147," ",""),"0",""),"-","")))=(LEN(SUBSTITUTE(SUBSTITUTE(SUBSTITUTE(M147," ",""),"0",""),"-",""))+LEN(SUBSTITUTE(SUBSTITUTE(SUBSTITUTE(N147," ",""),"0",""),"-",""))))),1,0)+IF(OR(L148="X",L148="x",AND(COUNTA(J148,K148,M148,N148)&gt;0,(LEN(SUBSTITUTE(SUBSTITUTE(SUBSTITUTE(J148," ",""),"0",""),"-",""))+LEN(SUBSTITUTE(SUBSTITUTE(SUBSTITUTE(K148," ",""),"0",""),"-","")))=(LEN(SUBSTITUTE(SUBSTITUTE(SUBSTITUTE(M148," ",""),"0",""),"-",""))+LEN(SUBSTITUTE(SUBSTITUTE(SUBSTITUTE(N148," ",""),"0",""),"-",""))))),1,0)),0)+IF(OR(COUNTA(J160:K164,M160:N164)&gt;0,OR(L159="X",L159="x"),UPPER(L160)="X",UPPER(L161)="X",UPPER(L162)="X",UPPER(L163)="X",UPPER(L164)="X"),(IF(OR(L160="X",L160="x",AND(COUNTA(J160,K160,M160,N160)&gt;0,(LEN(SUBSTITUTE(SUBSTITUTE(SUBSTITUTE(J160," ",""),"0",""),"-",""))+LEN(SUBSTITUTE(SUBSTITUTE(SUBSTITUTE(K160," ",""),"0",""),"-","")))=(LEN(SUBSTITUTE(SUBSTITUTE(SUBSTITUTE(M160," ",""),"0",""),"-",""))+LEN(SUBSTITUTE(SUBSTITUTE(SUBSTITUTE(N160," ",""),"0",""),"-",""))))),1,0)+IF(OR(L161="X",L161="x",AND(COUNTA(J161,K161,M161,N161)&gt;0,(LEN(SUBSTITUTE(SUBSTITUTE(SUBSTITUTE(J161," ",""),"0",""),"-",""))+LEN(SUBSTITUTE(SUBSTITUTE(SUBSTITUTE(K161," ",""),"0",""),"-","")))=(LEN(SUBSTITUTE(SUBSTITUTE(SUBSTITUTE(M161," ",""),"0",""),"-",""))+LEN(SUBSTITUTE(SUBSTITUTE(SUBSTITUTE(N161," ",""),"0",""),"-",""))))),1,0)+IF(OR(L162="X",L162="x",AND(COUNTA(J162,K162,M162,N162)&gt;0,(LEN(SUBSTITUTE(SUBSTITUTE(SUBSTITUTE(J162," ",""),"0",""),"-",""))+LEN(SUBSTITUTE(SUBSTITUTE(SUBSTITUTE(K162," ",""),"0",""),"-","")))=(LEN(SUBSTITUTE(SUBSTITUTE(SUBSTITUTE(M162," ",""),"0",""),"-",""))+LEN(SUBSTITUTE(SUBSTITUTE(SUBSTITUTE(N162," ",""),"0",""),"-",""))))),1,0)+IF(OR(L163="X",L163="x",AND(COUNTA(J163,K163,M163,N163)&gt;0,(LEN(SUBSTITUTE(SUBSTITUTE(SUBSTITUTE(J163," ",""),"0",""),"-",""))+LEN(SUBSTITUTE(SUBSTITUTE(SUBSTITUTE(K163," ",""),"0",""),"-","")))=(LEN(SUBSTITUTE(SUBSTITUTE(SUBSTITUTE(M163," ",""),"0",""),"-",""))+LEN(SUBSTITUTE(SUBSTITUTE(SUBSTITUTE(N163," ",""),"0",""),"-",""))))),1,0)+IF(OR(L164="X",L164="x",AND(COUNTA(J164,K164,M164,N164)&gt;0,(LEN(SUBSTITUTE(SUBSTITUTE(SUBSTITUTE(J164," ",""),"0",""),"-",""))+LEN(SUBSTITUTE(SUBSTITUTE(SUBSTITUTE(K164," ",""),"0",""),"-","")))=(LEN(SUBSTITUTE(SUBSTITUTE(SUBSTITUTE(M164," ",""),"0",""),"-",""))+LEN(SUBSTITUTE(SUBSTITUTE(SUBSTITUTE(N164," ",""),"0",""),"-",""))))),1,0)),0)</f>
      </c>
      <c r="M174" s="14" t="str">
        <f>K143+M159</f>
      </c>
      <c r="N174" s="14" t="str">
        <f>M143+K159</f>
      </c>
    </row>
    <row r="175">
      <c r="A175" s="14" t="str">
        <f>data!$E$15&amp;" "&amp;data!$B$15</f>
      </c>
      <c r="B175" s="14" t="str">
        <f>IF(OR(COUNTA(B152:C156,E152:F156)&gt;0,OR(D151="X",D151="x"),UPPER(D152)="X",UPPER(D153)="X",UPPER(D154)="X",UPPER(D155)="X",UPPER(D156)="X"),B151,0)+IF(OR(COUNTA(B160:C164,E160:F164)&gt;0,OR(D159="X",D159="x"),UPPER(D160)="X",UPPER(D161)="X",UPPER(D162)="X",UPPER(D163)="X",UPPER(D164)="X"),B159,0)</f>
      </c>
      <c r="C175" s="14" t="str">
        <f>IF(OR(COUNTA(B152:C156,E152:F156)&gt;0,OR(D151="X",D151="x"),UPPER(D152)="X",UPPER(D153)="X",UPPER(D154)="X",UPPER(D155)="X",UPPER(D156)="X"),F151,0)+IF(OR(COUNTA(B160:C164,E160:F164)&gt;0,OR(D159="X",D159="x"),UPPER(D160)="X",UPPER(D161)="X",UPPER(D162)="X",UPPER(D163)="X",UPPER(D164)="X"),F159,0)</f>
      </c>
      <c r="D175" s="14" t="str">
        <f>IF(OR(COUNTA(B152:C156,E152:F156)&gt;0,OR(D151="X",D151="x"),UPPER(D152)="X",UPPER(D153)="X",UPPER(D154)="X",UPPER(D155)="X",UPPER(D156)="X"),(IF(OR(D152="X",D152="x",AND(COUNTA(B152,C152,E152,F152)&gt;0,(LEN(SUBSTITUTE(SUBSTITUTE(SUBSTITUTE(B152," ",""),"0",""),"-",""))+LEN(SUBSTITUTE(SUBSTITUTE(SUBSTITUTE(C152," ",""),"0",""),"-","")))=(LEN(SUBSTITUTE(SUBSTITUTE(SUBSTITUTE(E152," ",""),"0",""),"-",""))+LEN(SUBSTITUTE(SUBSTITUTE(SUBSTITUTE(F152," ",""),"0",""),"-",""))))),1,0)+IF(OR(D153="X",D153="x",AND(COUNTA(B153,C153,E153,F153)&gt;0,(LEN(SUBSTITUTE(SUBSTITUTE(SUBSTITUTE(B153," ",""),"0",""),"-",""))+LEN(SUBSTITUTE(SUBSTITUTE(SUBSTITUTE(C153," ",""),"0",""),"-","")))=(LEN(SUBSTITUTE(SUBSTITUTE(SUBSTITUTE(E153," ",""),"0",""),"-",""))+LEN(SUBSTITUTE(SUBSTITUTE(SUBSTITUTE(F153," ",""),"0",""),"-",""))))),1,0)+IF(OR(D154="X",D154="x",AND(COUNTA(B154,C154,E154,F154)&gt;0,(LEN(SUBSTITUTE(SUBSTITUTE(SUBSTITUTE(B154," ",""),"0",""),"-",""))+LEN(SUBSTITUTE(SUBSTITUTE(SUBSTITUTE(C154," ",""),"0",""),"-","")))=(LEN(SUBSTITUTE(SUBSTITUTE(SUBSTITUTE(E154," ",""),"0",""),"-",""))+LEN(SUBSTITUTE(SUBSTITUTE(SUBSTITUTE(F154," ",""),"0",""),"-",""))))),1,0)+IF(OR(D155="X",D155="x",AND(COUNTA(B155,C155,E155,F155)&gt;0,(LEN(SUBSTITUTE(SUBSTITUTE(SUBSTITUTE(B155," ",""),"0",""),"-",""))+LEN(SUBSTITUTE(SUBSTITUTE(SUBSTITUTE(C155," ",""),"0",""),"-","")))=(LEN(SUBSTITUTE(SUBSTITUTE(SUBSTITUTE(E155," ",""),"0",""),"-",""))+LEN(SUBSTITUTE(SUBSTITUTE(SUBSTITUTE(F155," ",""),"0",""),"-",""))))),1,0)+IF(OR(D156="X",D156="x",AND(COUNTA(B156,C156,E156,F156)&gt;0,(LEN(SUBSTITUTE(SUBSTITUTE(SUBSTITUTE(B156," ",""),"0",""),"-",""))+LEN(SUBSTITUTE(SUBSTITUTE(SUBSTITUTE(C156," ",""),"0",""),"-","")))=(LEN(SUBSTITUTE(SUBSTITUTE(SUBSTITUTE(E156," ",""),"0",""),"-",""))+LEN(SUBSTITUTE(SUBSTITUTE(SUBSTITUTE(F156," ",""),"0",""),"-",""))))),1,0)),0)+IF(OR(COUNTA(B160:C164,E160:F164)&gt;0,OR(D159="X",D159="x"),UPPER(D160)="X",UPPER(D161)="X",UPPER(D162)="X",UPPER(D163)="X",UPPER(D164)="X"),(IF(OR(D160="X",D160="x",AND(COUNTA(B160,C160,E160,F160)&gt;0,(LEN(SUBSTITUTE(SUBSTITUTE(SUBSTITUTE(B160," ",""),"0",""),"-",""))+LEN(SUBSTITUTE(SUBSTITUTE(SUBSTITUTE(C160," ",""),"0",""),"-","")))=(LEN(SUBSTITUTE(SUBSTITUTE(SUBSTITUTE(E160," ",""),"0",""),"-",""))+LEN(SUBSTITUTE(SUBSTITUTE(SUBSTITUTE(F160," ",""),"0",""),"-",""))))),1,0)+IF(OR(D161="X",D161="x",AND(COUNTA(B161,C161,E161,F161)&gt;0,(LEN(SUBSTITUTE(SUBSTITUTE(SUBSTITUTE(B161," ",""),"0",""),"-",""))+LEN(SUBSTITUTE(SUBSTITUTE(SUBSTITUTE(C161," ",""),"0",""),"-","")))=(LEN(SUBSTITUTE(SUBSTITUTE(SUBSTITUTE(E161," ",""),"0",""),"-",""))+LEN(SUBSTITUTE(SUBSTITUTE(SUBSTITUTE(F161," ",""),"0",""),"-",""))))),1,0)+IF(OR(D162="X",D162="x",AND(COUNTA(B162,C162,E162,F162)&gt;0,(LEN(SUBSTITUTE(SUBSTITUTE(SUBSTITUTE(B162," ",""),"0",""),"-",""))+LEN(SUBSTITUTE(SUBSTITUTE(SUBSTITUTE(C162," ",""),"0",""),"-","")))=(LEN(SUBSTITUTE(SUBSTITUTE(SUBSTITUTE(E162," ",""),"0",""),"-",""))+LEN(SUBSTITUTE(SUBSTITUTE(SUBSTITUTE(F162," ",""),"0",""),"-",""))))),1,0)+IF(OR(D163="X",D163="x",AND(COUNTA(B163,C163,E163,F163)&gt;0,(LEN(SUBSTITUTE(SUBSTITUTE(SUBSTITUTE(B163," ",""),"0",""),"-",""))+LEN(SUBSTITUTE(SUBSTITUTE(SUBSTITUTE(C163," ",""),"0",""),"-","")))=(LEN(SUBSTITUTE(SUBSTITUTE(SUBSTITUTE(E163," ",""),"0",""),"-",""))+LEN(SUBSTITUTE(SUBSTITUTE(SUBSTITUTE(F163," ",""),"0",""),"-",""))))),1,0)+IF(OR(D164="X",D164="x",AND(COUNTA(B164,C164,E164,F164)&gt;0,(LEN(SUBSTITUTE(SUBSTITUTE(SUBSTITUTE(B164," ",""),"0",""),"-",""))+LEN(SUBSTITUTE(SUBSTITUTE(SUBSTITUTE(C164," ",""),"0",""),"-","")))=(LEN(SUBSTITUTE(SUBSTITUTE(SUBSTITUTE(E164," ",""),"0",""),"-",""))+LEN(SUBSTITUTE(SUBSTITUTE(SUBSTITUTE(F164," ",""),"0",""),"-",""))))),1,0)),0)</f>
      </c>
      <c r="E175" s="14" t="str">
        <f>C151+C159</f>
      </c>
      <c r="F175" s="14" t="str">
        <f>E151+E159</f>
      </c>
      <c r="I175" s="14" t="str">
        <f>data!$E$60&amp;" "&amp;data!$B$60</f>
      </c>
      <c r="J175" s="14" t="str">
        <f>IF(OR(COUNTA(J152:K156,M152:N156)&gt;0,OR(L151="X",L151="x"),UPPER(L152)="X",UPPER(L153)="X",UPPER(L154)="X",UPPER(L155)="X",UPPER(L156)="X"),J151,0)+IF(OR(COUNTA(J160:K164,M160:N164)&gt;0,OR(L159="X",L159="x"),UPPER(L160)="X",UPPER(L161)="X",UPPER(L162)="X",UPPER(L163)="X",UPPER(L164)="X"),J159,0)</f>
      </c>
      <c r="K175" s="14" t="str">
        <f>IF(OR(COUNTA(J152:K156,M152:N156)&gt;0,OR(L151="X",L151="x"),UPPER(L152)="X",UPPER(L153)="X",UPPER(L154)="X",UPPER(L155)="X",UPPER(L156)="X"),N151,0)+IF(OR(COUNTA(J160:K164,M160:N164)&gt;0,OR(L159="X",L159="x"),UPPER(L160)="X",UPPER(L161)="X",UPPER(L162)="X",UPPER(L163)="X",UPPER(L164)="X"),N159,0)</f>
      </c>
      <c r="L175" s="14" t="str">
        <f>IF(OR(COUNTA(J152:K156,M152:N156)&gt;0,OR(L151="X",L151="x"),UPPER(L152)="X",UPPER(L153)="X",UPPER(L154)="X",UPPER(L155)="X",UPPER(L156)="X"),(IF(OR(L152="X",L152="x",AND(COUNTA(J152,K152,M152,N152)&gt;0,(LEN(SUBSTITUTE(SUBSTITUTE(SUBSTITUTE(J152," ",""),"0",""),"-",""))+LEN(SUBSTITUTE(SUBSTITUTE(SUBSTITUTE(K152," ",""),"0",""),"-","")))=(LEN(SUBSTITUTE(SUBSTITUTE(SUBSTITUTE(M152," ",""),"0",""),"-",""))+LEN(SUBSTITUTE(SUBSTITUTE(SUBSTITUTE(N152," ",""),"0",""),"-",""))))),1,0)+IF(OR(L153="X",L153="x",AND(COUNTA(J153,K153,M153,N153)&gt;0,(LEN(SUBSTITUTE(SUBSTITUTE(SUBSTITUTE(J153," ",""),"0",""),"-",""))+LEN(SUBSTITUTE(SUBSTITUTE(SUBSTITUTE(K153," ",""),"0",""),"-","")))=(LEN(SUBSTITUTE(SUBSTITUTE(SUBSTITUTE(M153," ",""),"0",""),"-",""))+LEN(SUBSTITUTE(SUBSTITUTE(SUBSTITUTE(N153," ",""),"0",""),"-",""))))),1,0)+IF(OR(L154="X",L154="x",AND(COUNTA(J154,K154,M154,N154)&gt;0,(LEN(SUBSTITUTE(SUBSTITUTE(SUBSTITUTE(J154," ",""),"0",""),"-",""))+LEN(SUBSTITUTE(SUBSTITUTE(SUBSTITUTE(K154," ",""),"0",""),"-","")))=(LEN(SUBSTITUTE(SUBSTITUTE(SUBSTITUTE(M154," ",""),"0",""),"-",""))+LEN(SUBSTITUTE(SUBSTITUTE(SUBSTITUTE(N154," ",""),"0",""),"-",""))))),1,0)+IF(OR(L155="X",L155="x",AND(COUNTA(J155,K155,M155,N155)&gt;0,(LEN(SUBSTITUTE(SUBSTITUTE(SUBSTITUTE(J155," ",""),"0",""),"-",""))+LEN(SUBSTITUTE(SUBSTITUTE(SUBSTITUTE(K155," ",""),"0",""),"-","")))=(LEN(SUBSTITUTE(SUBSTITUTE(SUBSTITUTE(M155," ",""),"0",""),"-",""))+LEN(SUBSTITUTE(SUBSTITUTE(SUBSTITUTE(N155," ",""),"0",""),"-",""))))),1,0)+IF(OR(L156="X",L156="x",AND(COUNTA(J156,K156,M156,N156)&gt;0,(LEN(SUBSTITUTE(SUBSTITUTE(SUBSTITUTE(J156," ",""),"0",""),"-",""))+LEN(SUBSTITUTE(SUBSTITUTE(SUBSTITUTE(K156," ",""),"0",""),"-","")))=(LEN(SUBSTITUTE(SUBSTITUTE(SUBSTITUTE(M156," ",""),"0",""),"-",""))+LEN(SUBSTITUTE(SUBSTITUTE(SUBSTITUTE(N156," ",""),"0",""),"-",""))))),1,0)),0)+IF(OR(COUNTA(J160:K164,M160:N164)&gt;0,OR(L159="X",L159="x"),UPPER(L160)="X",UPPER(L161)="X",UPPER(L162)="X",UPPER(L163)="X",UPPER(L164)="X"),(IF(OR(L160="X",L160="x",AND(COUNTA(J160,K160,M160,N160)&gt;0,(LEN(SUBSTITUTE(SUBSTITUTE(SUBSTITUTE(J160," ",""),"0",""),"-",""))+LEN(SUBSTITUTE(SUBSTITUTE(SUBSTITUTE(K160," ",""),"0",""),"-","")))=(LEN(SUBSTITUTE(SUBSTITUTE(SUBSTITUTE(M160," ",""),"0",""),"-",""))+LEN(SUBSTITUTE(SUBSTITUTE(SUBSTITUTE(N160," ",""),"0",""),"-",""))))),1,0)+IF(OR(L161="X",L161="x",AND(COUNTA(J161,K161,M161,N161)&gt;0,(LEN(SUBSTITUTE(SUBSTITUTE(SUBSTITUTE(J161," ",""),"0",""),"-",""))+LEN(SUBSTITUTE(SUBSTITUTE(SUBSTITUTE(K161," ",""),"0",""),"-","")))=(LEN(SUBSTITUTE(SUBSTITUTE(SUBSTITUTE(M161," ",""),"0",""),"-",""))+LEN(SUBSTITUTE(SUBSTITUTE(SUBSTITUTE(N161," ",""),"0",""),"-",""))))),1,0)+IF(OR(L162="X",L162="x",AND(COUNTA(J162,K162,M162,N162)&gt;0,(LEN(SUBSTITUTE(SUBSTITUTE(SUBSTITUTE(J162," ",""),"0",""),"-",""))+LEN(SUBSTITUTE(SUBSTITUTE(SUBSTITUTE(K162," ",""),"0",""),"-","")))=(LEN(SUBSTITUTE(SUBSTITUTE(SUBSTITUTE(M162," ",""),"0",""),"-",""))+LEN(SUBSTITUTE(SUBSTITUTE(SUBSTITUTE(N162," ",""),"0",""),"-",""))))),1,0)+IF(OR(L163="X",L163="x",AND(COUNTA(J163,K163,M163,N163)&gt;0,(LEN(SUBSTITUTE(SUBSTITUTE(SUBSTITUTE(J163," ",""),"0",""),"-",""))+LEN(SUBSTITUTE(SUBSTITUTE(SUBSTITUTE(K163," ",""),"0",""),"-","")))=(LEN(SUBSTITUTE(SUBSTITUTE(SUBSTITUTE(M163," ",""),"0",""),"-",""))+LEN(SUBSTITUTE(SUBSTITUTE(SUBSTITUTE(N163," ",""),"0",""),"-",""))))),1,0)+IF(OR(L164="X",L164="x",AND(COUNTA(J164,K164,M164,N164)&gt;0,(LEN(SUBSTITUTE(SUBSTITUTE(SUBSTITUTE(J164," ",""),"0",""),"-",""))+LEN(SUBSTITUTE(SUBSTITUTE(SUBSTITUTE(K164," ",""),"0",""),"-","")))=(LEN(SUBSTITUTE(SUBSTITUTE(SUBSTITUTE(M164," ",""),"0",""),"-",""))+LEN(SUBSTITUTE(SUBSTITUTE(SUBSTITUTE(N164," ",""),"0",""),"-",""))))),1,0)),0)</f>
      </c>
      <c r="M175" s="14" t="str">
        <f>K151+K159</f>
      </c>
      <c r="N175" s="14" t="str">
        <f>M151+M159</f>
      </c>
    </row>
    <row r="178">
      <c r="F178" s="13"/>
      <c r="G178" s="13" t="s">
        <v>343</v>
      </c>
      <c r="N178" s="13"/>
      <c r="O178" s="13" t="s">
        <v>343</v>
      </c>
    </row>
    <row r="179">
      <c r="F179" t="s">
        <v>344</v>
      </c>
      <c r="G179" s="19" t="str">
        <f>IFERROR(INDEX($A$168:$A$175, MATCH(1, $G$168:$G$175, 0)), "-")</f>
      </c>
      <c r="N179" t="s">
        <v>344</v>
      </c>
      <c r="O179" s="19" t="str">
        <f>IFERROR(INDEX($I$168:$I$175, MATCH(1, $O$168:$O$175, 0)), "-")</f>
      </c>
    </row>
    <row r="180">
      <c r="F180" t="s">
        <v>345</v>
      </c>
      <c r="G180" s="19" t="str">
        <f>IFERROR(INDEX($A$168:$A$175, MATCH(2, $G$168:$G$175, 0)), "-")</f>
      </c>
      <c r="N180" t="s">
        <v>345</v>
      </c>
      <c r="O180" s="19" t="str">
        <f>IFERROR(INDEX($I$168:$I$175, MATCH(2, $O$168:$O$175, 0)), "-")</f>
      </c>
    </row>
    <row r="181">
      <c r="F181" t="s">
        <v>346</v>
      </c>
      <c r="G181" s="19" t="str">
        <f>IFERROR(INDEX($A$168:$A$175, MATCH(3, $G$168:$G$175, 0)), "-")</f>
      </c>
      <c r="N181" t="s">
        <v>346</v>
      </c>
      <c r="O181" s="19" t="str">
        <f>IFERROR(INDEX($I$168:$I$175, MATCH(3, $O$168:$O$175, 0)), "-")</f>
      </c>
    </row>
    <row r="184">
      <c r="A184" s="13" t="str">
        <f>'data'!$A$18</f>
      </c>
      <c r="B184" s="13"/>
      <c r="C184" s="13"/>
      <c r="D184" s="13"/>
      <c r="E184" s="13"/>
      <c r="F184" s="13"/>
      <c r="G184" s="13"/>
      <c r="I184" s="13" t="str">
        <f>'data'!$A$63</f>
      </c>
      <c r="J184" s="13"/>
      <c r="K184" s="13"/>
      <c r="L184" s="13"/>
      <c r="M184" s="13"/>
      <c r="N184" s="13"/>
      <c r="O184" s="13"/>
    </row>
    <row r="185">
      <c r="A185" s="17" t="s">
        <v>330</v>
      </c>
      <c r="B185" s="14"/>
      <c r="C185" s="14"/>
      <c r="D185" s="14" t="s">
        <v>331</v>
      </c>
      <c r="E185" s="14"/>
      <c r="F185" s="14"/>
      <c r="G185" s="16" t="s">
        <v>332</v>
      </c>
      <c r="I185" s="17" t="s">
        <v>330</v>
      </c>
      <c r="J185" s="14"/>
      <c r="K185" s="14"/>
      <c r="L185" s="14" t="s">
        <v>331</v>
      </c>
      <c r="M185" s="14"/>
      <c r="N185" s="14"/>
      <c r="O185" s="16" t="s">
        <v>332</v>
      </c>
    </row>
    <row r="186">
      <c r="A186" s="14" t="str">
        <f>data!$E$17&amp;" "&amp;data!$B$17</f>
      </c>
      <c r="B186" s="14" t="str">
        <f>IF(UPPER(D187)="X",0,IF((LEN(SUBSTITUTE(SUBSTITUTE(SUBSTITUTE(B187," ",""),"0",""),"-",""))+LEN(SUBSTITUTE(SUBSTITUTE(SUBSTITUTE(C187," ",""),"0",""),"-","")))&gt;(LEN(SUBSTITUTE(SUBSTITUTE(SUBSTITUTE(E187," ",""),"0",""),"-",""))+LEN(SUBSTITUTE(SUBSTITUTE(SUBSTITUTE(F187," ",""),"0",""),"-",""))),1,0))+IF(UPPER(D188)="X",0,IF((LEN(SUBSTITUTE(SUBSTITUTE(SUBSTITUTE(B188," ",""),"0",""),"-",""))+LEN(SUBSTITUTE(SUBSTITUTE(SUBSTITUTE(C188," ",""),"0",""),"-","")))&gt;(LEN(SUBSTITUTE(SUBSTITUTE(SUBSTITUTE(E188," ",""),"0",""),"-",""))+LEN(SUBSTITUTE(SUBSTITUTE(SUBSTITUTE(F188," ",""),"0",""),"-",""))),1,0))+IF(UPPER(D189)="X",0,IF((LEN(SUBSTITUTE(SUBSTITUTE(SUBSTITUTE(B189," ",""),"0",""),"-",""))+LEN(SUBSTITUTE(SUBSTITUTE(SUBSTITUTE(C189," ",""),"0",""),"-","")))&gt;(LEN(SUBSTITUTE(SUBSTITUTE(SUBSTITUTE(E189," ",""),"0",""),"-",""))+LEN(SUBSTITUTE(SUBSTITUTE(SUBSTITUTE(F189," ",""),"0",""),"-",""))),1,0))+IF(UPPER(D190)="X",0,IF((LEN(SUBSTITUTE(SUBSTITUTE(SUBSTITUTE(B190," ",""),"0",""),"-",""))+LEN(SUBSTITUTE(SUBSTITUTE(SUBSTITUTE(C190," ",""),"0",""),"-","")))&gt;(LEN(SUBSTITUTE(SUBSTITUTE(SUBSTITUTE(E190," ",""),"0",""),"-",""))+LEN(SUBSTITUTE(SUBSTITUTE(SUBSTITUTE(F190," ",""),"0",""),"-",""))),1,0))+IF(UPPER(D191)="X",0,IF((LEN(SUBSTITUTE(SUBSTITUTE(SUBSTITUTE(B191," ",""),"0",""),"-",""))+LEN(SUBSTITUTE(SUBSTITUTE(SUBSTITUTE(C191," ",""),"0",""),"-","")))&gt;(LEN(SUBSTITUTE(SUBSTITUTE(SUBSTITUTE(E191," ",""),"0",""),"-",""))+LEN(SUBSTITUTE(SUBSTITUTE(SUBSTITUTE(F191," ",""),"0",""),"-",""))),1,0))</f>
      </c>
      <c r="C186" s="14" t="str">
        <f>LEN(SUBSTITUTE(SUBSTITUTE(SUBSTITUTE(B187," ",""),"0",""),"-",""))+LEN(SUBSTITUTE(SUBSTITUTE(SUBSTITUTE(C187," ",""),"0",""),"-",""))+LEN(SUBSTITUTE(SUBSTITUTE(SUBSTITUTE(B188," ",""),"0",""),"-",""))+LEN(SUBSTITUTE(SUBSTITUTE(SUBSTITUTE(C188," ",""),"0",""),"-",""))+LEN(SUBSTITUTE(SUBSTITUTE(SUBSTITUTE(B189," ",""),"0",""),"-",""))+LEN(SUBSTITUTE(SUBSTITUTE(SUBSTITUTE(C189," ",""),"0",""),"-",""))+LEN(SUBSTITUTE(SUBSTITUTE(SUBSTITUTE(B190," ",""),"0",""),"-",""))+LEN(SUBSTITUTE(SUBSTITUTE(SUBSTITUTE(C190," ",""),"0",""),"-",""))+LEN(SUBSTITUTE(SUBSTITUTE(SUBSTITUTE(B191," ",""),"0",""),"-",""))+LEN(SUBSTITUTE(SUBSTITUTE(SUBSTITUTE(C191," ",""),"0",""),"-",""))</f>
      </c>
      <c r="D186" s="18"/>
      <c r="E186" s="14" t="str">
        <f>LEN(SUBSTITUTE(SUBSTITUTE(SUBSTITUTE(E187," ",""),"0",""),"-",""))+LEN(SUBSTITUTE(SUBSTITUTE(SUBSTITUTE(F187," ",""),"0",""),"-",""))+LEN(SUBSTITUTE(SUBSTITUTE(SUBSTITUTE(E188," ",""),"0",""),"-",""))+LEN(SUBSTITUTE(SUBSTITUTE(SUBSTITUTE(F188," ",""),"0",""),"-",""))+LEN(SUBSTITUTE(SUBSTITUTE(SUBSTITUTE(E189," ",""),"0",""),"-",""))+LEN(SUBSTITUTE(SUBSTITUTE(SUBSTITUTE(F189," ",""),"0",""),"-",""))+LEN(SUBSTITUTE(SUBSTITUTE(SUBSTITUTE(E190," ",""),"0",""),"-",""))+LEN(SUBSTITUTE(SUBSTITUTE(SUBSTITUTE(F190," ",""),"0",""),"-",""))+LEN(SUBSTITUTE(SUBSTITUTE(SUBSTITUTE(E191," ",""),"0",""),"-",""))+LEN(SUBSTITUTE(SUBSTITUTE(SUBSTITUTE(F191," ",""),"0",""),"-",""))</f>
      </c>
      <c r="F186" s="14" t="str">
        <f>IF(UPPER(D187)="X",0,IF((LEN(SUBSTITUTE(SUBSTITUTE(SUBSTITUTE(E187," ",""),"0",""),"-",""))+LEN(SUBSTITUTE(SUBSTITUTE(SUBSTITUTE(F187," ",""),"0",""),"-","")))&gt;(LEN(SUBSTITUTE(SUBSTITUTE(SUBSTITUTE(B187," ",""),"0",""),"-",""))+LEN(SUBSTITUTE(SUBSTITUTE(SUBSTITUTE(C187," ",""),"0",""),"-",""))),1,0))+IF(UPPER(D188)="X",0,IF((LEN(SUBSTITUTE(SUBSTITUTE(SUBSTITUTE(E188," ",""),"0",""),"-",""))+LEN(SUBSTITUTE(SUBSTITUTE(SUBSTITUTE(F188," ",""),"0",""),"-","")))&gt;(LEN(SUBSTITUTE(SUBSTITUTE(SUBSTITUTE(B188," ",""),"0",""),"-",""))+LEN(SUBSTITUTE(SUBSTITUTE(SUBSTITUTE(C188," ",""),"0",""),"-",""))),1,0))+IF(UPPER(D189)="X",0,IF((LEN(SUBSTITUTE(SUBSTITUTE(SUBSTITUTE(E189," ",""),"0",""),"-",""))+LEN(SUBSTITUTE(SUBSTITUTE(SUBSTITUTE(F189," ",""),"0",""),"-","")))&gt;(LEN(SUBSTITUTE(SUBSTITUTE(SUBSTITUTE(B189," ",""),"0",""),"-",""))+LEN(SUBSTITUTE(SUBSTITUTE(SUBSTITUTE(C189," ",""),"0",""),"-",""))),1,0))+IF(UPPER(D190)="X",0,IF((LEN(SUBSTITUTE(SUBSTITUTE(SUBSTITUTE(E190," ",""),"0",""),"-",""))+LEN(SUBSTITUTE(SUBSTITUTE(SUBSTITUTE(F190," ",""),"0",""),"-","")))&gt;(LEN(SUBSTITUTE(SUBSTITUTE(SUBSTITUTE(B190," ",""),"0",""),"-",""))+LEN(SUBSTITUTE(SUBSTITUTE(SUBSTITUTE(C190," ",""),"0",""),"-",""))),1,0))+IF(UPPER(D191)="X",0,IF((LEN(SUBSTITUTE(SUBSTITUTE(SUBSTITUTE(E191," ",""),"0",""),"-",""))+LEN(SUBSTITUTE(SUBSTITUTE(SUBSTITUTE(F191," ",""),"0",""),"-","")))&gt;(LEN(SUBSTITUTE(SUBSTITUTE(SUBSTITUTE(B191," ",""),"0",""),"-",""))+LEN(SUBSTITUTE(SUBSTITUTE(SUBSTITUTE(C191," ",""),"0",""),"-",""))),1,0))</f>
      </c>
      <c r="G186" s="14" t="str">
        <f>data!$E$16&amp;" "&amp;data!$B$16</f>
      </c>
      <c r="I186" s="14" t="str">
        <f>data!$E$62&amp;" "&amp;data!$B$62</f>
      </c>
      <c r="J186" s="14" t="str">
        <f>IF(UPPER(L187)="X",0,IF((LEN(SUBSTITUTE(SUBSTITUTE(SUBSTITUTE(J187," ",""),"0",""),"-",""))+LEN(SUBSTITUTE(SUBSTITUTE(SUBSTITUTE(K187," ",""),"0",""),"-","")))&gt;(LEN(SUBSTITUTE(SUBSTITUTE(SUBSTITUTE(M187," ",""),"0",""),"-",""))+LEN(SUBSTITUTE(SUBSTITUTE(SUBSTITUTE(N187," ",""),"0",""),"-",""))),1,0))+IF(UPPER(L188)="X",0,IF((LEN(SUBSTITUTE(SUBSTITUTE(SUBSTITUTE(J188," ",""),"0",""),"-",""))+LEN(SUBSTITUTE(SUBSTITUTE(SUBSTITUTE(K188," ",""),"0",""),"-","")))&gt;(LEN(SUBSTITUTE(SUBSTITUTE(SUBSTITUTE(M188," ",""),"0",""),"-",""))+LEN(SUBSTITUTE(SUBSTITUTE(SUBSTITUTE(N188," ",""),"0",""),"-",""))),1,0))+IF(UPPER(L189)="X",0,IF((LEN(SUBSTITUTE(SUBSTITUTE(SUBSTITUTE(J189," ",""),"0",""),"-",""))+LEN(SUBSTITUTE(SUBSTITUTE(SUBSTITUTE(K189," ",""),"0",""),"-","")))&gt;(LEN(SUBSTITUTE(SUBSTITUTE(SUBSTITUTE(M189," ",""),"0",""),"-",""))+LEN(SUBSTITUTE(SUBSTITUTE(SUBSTITUTE(N189," ",""),"0",""),"-",""))),1,0))+IF(UPPER(L190)="X",0,IF((LEN(SUBSTITUTE(SUBSTITUTE(SUBSTITUTE(J190," ",""),"0",""),"-",""))+LEN(SUBSTITUTE(SUBSTITUTE(SUBSTITUTE(K190," ",""),"0",""),"-","")))&gt;(LEN(SUBSTITUTE(SUBSTITUTE(SUBSTITUTE(M190," ",""),"0",""),"-",""))+LEN(SUBSTITUTE(SUBSTITUTE(SUBSTITUTE(N190," ",""),"0",""),"-",""))),1,0))+IF(UPPER(L191)="X",0,IF((LEN(SUBSTITUTE(SUBSTITUTE(SUBSTITUTE(J191," ",""),"0",""),"-",""))+LEN(SUBSTITUTE(SUBSTITUTE(SUBSTITUTE(K191," ",""),"0",""),"-","")))&gt;(LEN(SUBSTITUTE(SUBSTITUTE(SUBSTITUTE(M191," ",""),"0",""),"-",""))+LEN(SUBSTITUTE(SUBSTITUTE(SUBSTITUTE(N191," ",""),"0",""),"-",""))),1,0))</f>
      </c>
      <c r="K186" s="14" t="str">
        <f>LEN(SUBSTITUTE(SUBSTITUTE(SUBSTITUTE(J187," ",""),"0",""),"-",""))+LEN(SUBSTITUTE(SUBSTITUTE(SUBSTITUTE(K187," ",""),"0",""),"-",""))+LEN(SUBSTITUTE(SUBSTITUTE(SUBSTITUTE(J188," ",""),"0",""),"-",""))+LEN(SUBSTITUTE(SUBSTITUTE(SUBSTITUTE(K188," ",""),"0",""),"-",""))+LEN(SUBSTITUTE(SUBSTITUTE(SUBSTITUTE(J189," ",""),"0",""),"-",""))+LEN(SUBSTITUTE(SUBSTITUTE(SUBSTITUTE(K189," ",""),"0",""),"-",""))+LEN(SUBSTITUTE(SUBSTITUTE(SUBSTITUTE(J190," ",""),"0",""),"-",""))+LEN(SUBSTITUTE(SUBSTITUTE(SUBSTITUTE(K190," ",""),"0",""),"-",""))+LEN(SUBSTITUTE(SUBSTITUTE(SUBSTITUTE(J191," ",""),"0",""),"-",""))+LEN(SUBSTITUTE(SUBSTITUTE(SUBSTITUTE(K191," ",""),"0",""),"-",""))</f>
      </c>
      <c r="L186" s="18"/>
      <c r="M186" s="14" t="str">
        <f>LEN(SUBSTITUTE(SUBSTITUTE(SUBSTITUTE(M187," ",""),"0",""),"-",""))+LEN(SUBSTITUTE(SUBSTITUTE(SUBSTITUTE(N187," ",""),"0",""),"-",""))+LEN(SUBSTITUTE(SUBSTITUTE(SUBSTITUTE(M188," ",""),"0",""),"-",""))+LEN(SUBSTITUTE(SUBSTITUTE(SUBSTITUTE(N188," ",""),"0",""),"-",""))+LEN(SUBSTITUTE(SUBSTITUTE(SUBSTITUTE(M189," ",""),"0",""),"-",""))+LEN(SUBSTITUTE(SUBSTITUTE(SUBSTITUTE(N189," ",""),"0",""),"-",""))+LEN(SUBSTITUTE(SUBSTITUTE(SUBSTITUTE(M190," ",""),"0",""),"-",""))+LEN(SUBSTITUTE(SUBSTITUTE(SUBSTITUTE(N190," ",""),"0",""),"-",""))+LEN(SUBSTITUTE(SUBSTITUTE(SUBSTITUTE(M191," ",""),"0",""),"-",""))+LEN(SUBSTITUTE(SUBSTITUTE(SUBSTITUTE(N191," ",""),"0",""),"-",""))</f>
      </c>
      <c r="N186" s="14" t="str">
        <f>IF(UPPER(L187)="X",0,IF((LEN(SUBSTITUTE(SUBSTITUTE(SUBSTITUTE(M187," ",""),"0",""),"-",""))+LEN(SUBSTITUTE(SUBSTITUTE(SUBSTITUTE(N187," ",""),"0",""),"-","")))&gt;(LEN(SUBSTITUTE(SUBSTITUTE(SUBSTITUTE(J187," ",""),"0",""),"-",""))+LEN(SUBSTITUTE(SUBSTITUTE(SUBSTITUTE(K187," ",""),"0",""),"-",""))),1,0))+IF(UPPER(L188)="X",0,IF((LEN(SUBSTITUTE(SUBSTITUTE(SUBSTITUTE(M188," ",""),"0",""),"-",""))+LEN(SUBSTITUTE(SUBSTITUTE(SUBSTITUTE(N188," ",""),"0",""),"-","")))&gt;(LEN(SUBSTITUTE(SUBSTITUTE(SUBSTITUTE(J188," ",""),"0",""),"-",""))+LEN(SUBSTITUTE(SUBSTITUTE(SUBSTITUTE(K188," ",""),"0",""),"-",""))),1,0))+IF(UPPER(L189)="X",0,IF((LEN(SUBSTITUTE(SUBSTITUTE(SUBSTITUTE(M189," ",""),"0",""),"-",""))+LEN(SUBSTITUTE(SUBSTITUTE(SUBSTITUTE(N189," ",""),"0",""),"-","")))&gt;(LEN(SUBSTITUTE(SUBSTITUTE(SUBSTITUTE(J189," ",""),"0",""),"-",""))+LEN(SUBSTITUTE(SUBSTITUTE(SUBSTITUTE(K189," ",""),"0",""),"-",""))),1,0))+IF(UPPER(L190)="X",0,IF((LEN(SUBSTITUTE(SUBSTITUTE(SUBSTITUTE(M190," ",""),"0",""),"-",""))+LEN(SUBSTITUTE(SUBSTITUTE(SUBSTITUTE(N190," ",""),"0",""),"-","")))&gt;(LEN(SUBSTITUTE(SUBSTITUTE(SUBSTITUTE(J190," ",""),"0",""),"-",""))+LEN(SUBSTITUTE(SUBSTITUTE(SUBSTITUTE(K190," ",""),"0",""),"-",""))),1,0))+IF(UPPER(L191)="X",0,IF((LEN(SUBSTITUTE(SUBSTITUTE(SUBSTITUTE(M191," ",""),"0",""),"-",""))+LEN(SUBSTITUTE(SUBSTITUTE(SUBSTITUTE(N191," ",""),"0",""),"-","")))&gt;(LEN(SUBSTITUTE(SUBSTITUTE(SUBSTITUTE(J191," ",""),"0",""),"-",""))+LEN(SUBSTITUTE(SUBSTITUTE(SUBSTITUTE(K191," ",""),"0",""),"-",""))),1,0))</f>
      </c>
      <c r="O186" s="14" t="str">
        <f>data!$E$61&amp;" "&amp;data!$B$61</f>
      </c>
    </row>
    <row r="187">
      <c r="A187" s="14">
        <v>1</v>
      </c>
      <c r="B187" s="18"/>
      <c r="C187" s="18"/>
      <c r="D187" s="18"/>
      <c r="E187" s="18"/>
      <c r="F187" s="18"/>
      <c r="G187" s="14">
        <v>1</v>
      </c>
      <c r="I187" s="14">
        <v>1</v>
      </c>
      <c r="J187" s="18"/>
      <c r="K187" s="18"/>
      <c r="L187" s="18"/>
      <c r="M187" s="18"/>
      <c r="N187" s="18"/>
      <c r="O187" s="14">
        <v>1</v>
      </c>
    </row>
    <row r="188">
      <c r="A188" s="14">
        <v>2</v>
      </c>
      <c r="B188" s="18"/>
      <c r="C188" s="18"/>
      <c r="D188" s="18"/>
      <c r="E188" s="18"/>
      <c r="F188" s="18"/>
      <c r="G188" s="14">
        <v>2</v>
      </c>
      <c r="I188" s="14">
        <v>2</v>
      </c>
      <c r="J188" s="18"/>
      <c r="K188" s="18"/>
      <c r="L188" s="18"/>
      <c r="M188" s="18"/>
      <c r="N188" s="18"/>
      <c r="O188" s="14">
        <v>2</v>
      </c>
    </row>
    <row r="189">
      <c r="A189" s="14">
        <v>3</v>
      </c>
      <c r="B189" s="18"/>
      <c r="C189" s="18"/>
      <c r="D189" s="18"/>
      <c r="E189" s="18"/>
      <c r="F189" s="18"/>
      <c r="G189" s="14">
        <v>3</v>
      </c>
      <c r="I189" s="14">
        <v>3</v>
      </c>
      <c r="J189" s="18"/>
      <c r="K189" s="18"/>
      <c r="L189" s="18"/>
      <c r="M189" s="18"/>
      <c r="N189" s="18"/>
      <c r="O189" s="14">
        <v>3</v>
      </c>
    </row>
    <row r="190">
      <c r="A190" s="14">
        <v>4</v>
      </c>
      <c r="B190" s="18"/>
      <c r="C190" s="18"/>
      <c r="D190" s="18"/>
      <c r="E190" s="18"/>
      <c r="F190" s="18"/>
      <c r="G190" s="14">
        <v>4</v>
      </c>
      <c r="I190" s="14">
        <v>4</v>
      </c>
      <c r="J190" s="18"/>
      <c r="K190" s="18"/>
      <c r="L190" s="18"/>
      <c r="M190" s="18"/>
      <c r="N190" s="18"/>
      <c r="O190" s="14">
        <v>4</v>
      </c>
    </row>
    <row r="191">
      <c r="A191" s="14">
        <v>5</v>
      </c>
      <c r="B191" s="18"/>
      <c r="C191" s="18"/>
      <c r="D191" s="18"/>
      <c r="E191" s="18"/>
      <c r="F191" s="18"/>
      <c r="G191" s="14">
        <v>5</v>
      </c>
      <c r="I191" s="14">
        <v>5</v>
      </c>
      <c r="J191" s="18"/>
      <c r="K191" s="18"/>
      <c r="L191" s="18"/>
      <c r="M191" s="18"/>
      <c r="N191" s="18"/>
      <c r="O191" s="14">
        <v>5</v>
      </c>
    </row>
    <row r="193">
      <c r="A193" s="17" t="s">
        <v>330</v>
      </c>
      <c r="B193" s="14"/>
      <c r="C193" s="14"/>
      <c r="D193" s="14" t="s">
        <v>331</v>
      </c>
      <c r="E193" s="14"/>
      <c r="F193" s="14"/>
      <c r="G193" s="16" t="s">
        <v>332</v>
      </c>
      <c r="I193" s="17" t="s">
        <v>330</v>
      </c>
      <c r="J193" s="14"/>
      <c r="K193" s="14"/>
      <c r="L193" s="14" t="s">
        <v>331</v>
      </c>
      <c r="M193" s="14"/>
      <c r="N193" s="14"/>
      <c r="O193" s="16" t="s">
        <v>332</v>
      </c>
    </row>
    <row r="194">
      <c r="A194" s="14" t="str">
        <f>data!$E$18&amp;" "&amp;data!$B$18</f>
      </c>
      <c r="B194" s="14" t="str">
        <f>IF(UPPER(D195)="X",0,IF((LEN(SUBSTITUTE(SUBSTITUTE(SUBSTITUTE(B195," ",""),"0",""),"-",""))+LEN(SUBSTITUTE(SUBSTITUTE(SUBSTITUTE(C195," ",""),"0",""),"-","")))&gt;(LEN(SUBSTITUTE(SUBSTITUTE(SUBSTITUTE(E195," ",""),"0",""),"-",""))+LEN(SUBSTITUTE(SUBSTITUTE(SUBSTITUTE(F195," ",""),"0",""),"-",""))),1,0))+IF(UPPER(D196)="X",0,IF((LEN(SUBSTITUTE(SUBSTITUTE(SUBSTITUTE(B196," ",""),"0",""),"-",""))+LEN(SUBSTITUTE(SUBSTITUTE(SUBSTITUTE(C196," ",""),"0",""),"-","")))&gt;(LEN(SUBSTITUTE(SUBSTITUTE(SUBSTITUTE(E196," ",""),"0",""),"-",""))+LEN(SUBSTITUTE(SUBSTITUTE(SUBSTITUTE(F196," ",""),"0",""),"-",""))),1,0))+IF(UPPER(D197)="X",0,IF((LEN(SUBSTITUTE(SUBSTITUTE(SUBSTITUTE(B197," ",""),"0",""),"-",""))+LEN(SUBSTITUTE(SUBSTITUTE(SUBSTITUTE(C197," ",""),"0",""),"-","")))&gt;(LEN(SUBSTITUTE(SUBSTITUTE(SUBSTITUTE(E197," ",""),"0",""),"-",""))+LEN(SUBSTITUTE(SUBSTITUTE(SUBSTITUTE(F197," ",""),"0",""),"-",""))),1,0))+IF(UPPER(D198)="X",0,IF((LEN(SUBSTITUTE(SUBSTITUTE(SUBSTITUTE(B198," ",""),"0",""),"-",""))+LEN(SUBSTITUTE(SUBSTITUTE(SUBSTITUTE(C198," ",""),"0",""),"-","")))&gt;(LEN(SUBSTITUTE(SUBSTITUTE(SUBSTITUTE(E198," ",""),"0",""),"-",""))+LEN(SUBSTITUTE(SUBSTITUTE(SUBSTITUTE(F198," ",""),"0",""),"-",""))),1,0))+IF(UPPER(D199)="X",0,IF((LEN(SUBSTITUTE(SUBSTITUTE(SUBSTITUTE(B199," ",""),"0",""),"-",""))+LEN(SUBSTITUTE(SUBSTITUTE(SUBSTITUTE(C199," ",""),"0",""),"-","")))&gt;(LEN(SUBSTITUTE(SUBSTITUTE(SUBSTITUTE(E199," ",""),"0",""),"-",""))+LEN(SUBSTITUTE(SUBSTITUTE(SUBSTITUTE(F199," ",""),"0",""),"-",""))),1,0))</f>
      </c>
      <c r="C194" s="14" t="str">
        <f>LEN(SUBSTITUTE(SUBSTITUTE(SUBSTITUTE(B195," ",""),"0",""),"-",""))+LEN(SUBSTITUTE(SUBSTITUTE(SUBSTITUTE(C195," ",""),"0",""),"-",""))+LEN(SUBSTITUTE(SUBSTITUTE(SUBSTITUTE(B196," ",""),"0",""),"-",""))+LEN(SUBSTITUTE(SUBSTITUTE(SUBSTITUTE(C196," ",""),"0",""),"-",""))+LEN(SUBSTITUTE(SUBSTITUTE(SUBSTITUTE(B197," ",""),"0",""),"-",""))+LEN(SUBSTITUTE(SUBSTITUTE(SUBSTITUTE(C197," ",""),"0",""),"-",""))+LEN(SUBSTITUTE(SUBSTITUTE(SUBSTITUTE(B198," ",""),"0",""),"-",""))+LEN(SUBSTITUTE(SUBSTITUTE(SUBSTITUTE(C198," ",""),"0",""),"-",""))+LEN(SUBSTITUTE(SUBSTITUTE(SUBSTITUTE(B199," ",""),"0",""),"-",""))+LEN(SUBSTITUTE(SUBSTITUTE(SUBSTITUTE(C199," ",""),"0",""),"-",""))</f>
      </c>
      <c r="D194" s="18"/>
      <c r="E194" s="14" t="str">
        <f>LEN(SUBSTITUTE(SUBSTITUTE(SUBSTITUTE(E195," ",""),"0",""),"-",""))+LEN(SUBSTITUTE(SUBSTITUTE(SUBSTITUTE(F195," ",""),"0",""),"-",""))+LEN(SUBSTITUTE(SUBSTITUTE(SUBSTITUTE(E196," ",""),"0",""),"-",""))+LEN(SUBSTITUTE(SUBSTITUTE(SUBSTITUTE(F196," ",""),"0",""),"-",""))+LEN(SUBSTITUTE(SUBSTITUTE(SUBSTITUTE(E197," ",""),"0",""),"-",""))+LEN(SUBSTITUTE(SUBSTITUTE(SUBSTITUTE(F197," ",""),"0",""),"-",""))+LEN(SUBSTITUTE(SUBSTITUTE(SUBSTITUTE(E198," ",""),"0",""),"-",""))+LEN(SUBSTITUTE(SUBSTITUTE(SUBSTITUTE(F198," ",""),"0",""),"-",""))+LEN(SUBSTITUTE(SUBSTITUTE(SUBSTITUTE(E199," ",""),"0",""),"-",""))+LEN(SUBSTITUTE(SUBSTITUTE(SUBSTITUTE(F199," ",""),"0",""),"-",""))</f>
      </c>
      <c r="F194" s="14" t="str">
        <f>IF(UPPER(D195)="X",0,IF((LEN(SUBSTITUTE(SUBSTITUTE(SUBSTITUTE(E195," ",""),"0",""),"-",""))+LEN(SUBSTITUTE(SUBSTITUTE(SUBSTITUTE(F195," ",""),"0",""),"-","")))&gt;(LEN(SUBSTITUTE(SUBSTITUTE(SUBSTITUTE(B195," ",""),"0",""),"-",""))+LEN(SUBSTITUTE(SUBSTITUTE(SUBSTITUTE(C195," ",""),"0",""),"-",""))),1,0))+IF(UPPER(D196)="X",0,IF((LEN(SUBSTITUTE(SUBSTITUTE(SUBSTITUTE(E196," ",""),"0",""),"-",""))+LEN(SUBSTITUTE(SUBSTITUTE(SUBSTITUTE(F196," ",""),"0",""),"-","")))&gt;(LEN(SUBSTITUTE(SUBSTITUTE(SUBSTITUTE(B196," ",""),"0",""),"-",""))+LEN(SUBSTITUTE(SUBSTITUTE(SUBSTITUTE(C196," ",""),"0",""),"-",""))),1,0))+IF(UPPER(D197)="X",0,IF((LEN(SUBSTITUTE(SUBSTITUTE(SUBSTITUTE(E197," ",""),"0",""),"-",""))+LEN(SUBSTITUTE(SUBSTITUTE(SUBSTITUTE(F197," ",""),"0",""),"-","")))&gt;(LEN(SUBSTITUTE(SUBSTITUTE(SUBSTITUTE(B197," ",""),"0",""),"-",""))+LEN(SUBSTITUTE(SUBSTITUTE(SUBSTITUTE(C197," ",""),"0",""),"-",""))),1,0))+IF(UPPER(D198)="X",0,IF((LEN(SUBSTITUTE(SUBSTITUTE(SUBSTITUTE(E198," ",""),"0",""),"-",""))+LEN(SUBSTITUTE(SUBSTITUTE(SUBSTITUTE(F198," ",""),"0",""),"-","")))&gt;(LEN(SUBSTITUTE(SUBSTITUTE(SUBSTITUTE(B198," ",""),"0",""),"-",""))+LEN(SUBSTITUTE(SUBSTITUTE(SUBSTITUTE(C198," ",""),"0",""),"-",""))),1,0))+IF(UPPER(D199)="X",0,IF((LEN(SUBSTITUTE(SUBSTITUTE(SUBSTITUTE(E199," ",""),"0",""),"-",""))+LEN(SUBSTITUTE(SUBSTITUTE(SUBSTITUTE(F199," ",""),"0",""),"-","")))&gt;(LEN(SUBSTITUTE(SUBSTITUTE(SUBSTITUTE(B199," ",""),"0",""),"-",""))+LEN(SUBSTITUTE(SUBSTITUTE(SUBSTITUTE(C199," ",""),"0",""),"-",""))),1,0))</f>
      </c>
      <c r="G194" s="14" t="str">
        <f>data!$E$16&amp;" "&amp;data!$B$16</f>
      </c>
      <c r="I194" s="14" t="str">
        <f>data!$E$63&amp;" "&amp;data!$B$63</f>
      </c>
      <c r="J194" s="14" t="str">
        <f>IF(UPPER(L195)="X",0,IF((LEN(SUBSTITUTE(SUBSTITUTE(SUBSTITUTE(J195," ",""),"0",""),"-",""))+LEN(SUBSTITUTE(SUBSTITUTE(SUBSTITUTE(K195," ",""),"0",""),"-","")))&gt;(LEN(SUBSTITUTE(SUBSTITUTE(SUBSTITUTE(M195," ",""),"0",""),"-",""))+LEN(SUBSTITUTE(SUBSTITUTE(SUBSTITUTE(N195," ",""),"0",""),"-",""))),1,0))+IF(UPPER(L196)="X",0,IF((LEN(SUBSTITUTE(SUBSTITUTE(SUBSTITUTE(J196," ",""),"0",""),"-",""))+LEN(SUBSTITUTE(SUBSTITUTE(SUBSTITUTE(K196," ",""),"0",""),"-","")))&gt;(LEN(SUBSTITUTE(SUBSTITUTE(SUBSTITUTE(M196," ",""),"0",""),"-",""))+LEN(SUBSTITUTE(SUBSTITUTE(SUBSTITUTE(N196," ",""),"0",""),"-",""))),1,0))+IF(UPPER(L197)="X",0,IF((LEN(SUBSTITUTE(SUBSTITUTE(SUBSTITUTE(J197," ",""),"0",""),"-",""))+LEN(SUBSTITUTE(SUBSTITUTE(SUBSTITUTE(K197," ",""),"0",""),"-","")))&gt;(LEN(SUBSTITUTE(SUBSTITUTE(SUBSTITUTE(M197," ",""),"0",""),"-",""))+LEN(SUBSTITUTE(SUBSTITUTE(SUBSTITUTE(N197," ",""),"0",""),"-",""))),1,0))+IF(UPPER(L198)="X",0,IF((LEN(SUBSTITUTE(SUBSTITUTE(SUBSTITUTE(J198," ",""),"0",""),"-",""))+LEN(SUBSTITUTE(SUBSTITUTE(SUBSTITUTE(K198," ",""),"0",""),"-","")))&gt;(LEN(SUBSTITUTE(SUBSTITUTE(SUBSTITUTE(M198," ",""),"0",""),"-",""))+LEN(SUBSTITUTE(SUBSTITUTE(SUBSTITUTE(N198," ",""),"0",""),"-",""))),1,0))+IF(UPPER(L199)="X",0,IF((LEN(SUBSTITUTE(SUBSTITUTE(SUBSTITUTE(J199," ",""),"0",""),"-",""))+LEN(SUBSTITUTE(SUBSTITUTE(SUBSTITUTE(K199," ",""),"0",""),"-","")))&gt;(LEN(SUBSTITUTE(SUBSTITUTE(SUBSTITUTE(M199," ",""),"0",""),"-",""))+LEN(SUBSTITUTE(SUBSTITUTE(SUBSTITUTE(N199," ",""),"0",""),"-",""))),1,0))</f>
      </c>
      <c r="K194" s="14" t="str">
        <f>LEN(SUBSTITUTE(SUBSTITUTE(SUBSTITUTE(J195," ",""),"0",""),"-",""))+LEN(SUBSTITUTE(SUBSTITUTE(SUBSTITUTE(K195," ",""),"0",""),"-",""))+LEN(SUBSTITUTE(SUBSTITUTE(SUBSTITUTE(J196," ",""),"0",""),"-",""))+LEN(SUBSTITUTE(SUBSTITUTE(SUBSTITUTE(K196," ",""),"0",""),"-",""))+LEN(SUBSTITUTE(SUBSTITUTE(SUBSTITUTE(J197," ",""),"0",""),"-",""))+LEN(SUBSTITUTE(SUBSTITUTE(SUBSTITUTE(K197," ",""),"0",""),"-",""))+LEN(SUBSTITUTE(SUBSTITUTE(SUBSTITUTE(J198," ",""),"0",""),"-",""))+LEN(SUBSTITUTE(SUBSTITUTE(SUBSTITUTE(K198," ",""),"0",""),"-",""))+LEN(SUBSTITUTE(SUBSTITUTE(SUBSTITUTE(J199," ",""),"0",""),"-",""))+LEN(SUBSTITUTE(SUBSTITUTE(SUBSTITUTE(K199," ",""),"0",""),"-",""))</f>
      </c>
      <c r="L194" s="18"/>
      <c r="M194" s="14" t="str">
        <f>LEN(SUBSTITUTE(SUBSTITUTE(SUBSTITUTE(M195," ",""),"0",""),"-",""))+LEN(SUBSTITUTE(SUBSTITUTE(SUBSTITUTE(N195," ",""),"0",""),"-",""))+LEN(SUBSTITUTE(SUBSTITUTE(SUBSTITUTE(M196," ",""),"0",""),"-",""))+LEN(SUBSTITUTE(SUBSTITUTE(SUBSTITUTE(N196," ",""),"0",""),"-",""))+LEN(SUBSTITUTE(SUBSTITUTE(SUBSTITUTE(M197," ",""),"0",""),"-",""))+LEN(SUBSTITUTE(SUBSTITUTE(SUBSTITUTE(N197," ",""),"0",""),"-",""))+LEN(SUBSTITUTE(SUBSTITUTE(SUBSTITUTE(M198," ",""),"0",""),"-",""))+LEN(SUBSTITUTE(SUBSTITUTE(SUBSTITUTE(N198," ",""),"0",""),"-",""))+LEN(SUBSTITUTE(SUBSTITUTE(SUBSTITUTE(M199," ",""),"0",""),"-",""))+LEN(SUBSTITUTE(SUBSTITUTE(SUBSTITUTE(N199," ",""),"0",""),"-",""))</f>
      </c>
      <c r="N194" s="14" t="str">
        <f>IF(UPPER(L195)="X",0,IF((LEN(SUBSTITUTE(SUBSTITUTE(SUBSTITUTE(M195," ",""),"0",""),"-",""))+LEN(SUBSTITUTE(SUBSTITUTE(SUBSTITUTE(N195," ",""),"0",""),"-","")))&gt;(LEN(SUBSTITUTE(SUBSTITUTE(SUBSTITUTE(J195," ",""),"0",""),"-",""))+LEN(SUBSTITUTE(SUBSTITUTE(SUBSTITUTE(K195," ",""),"0",""),"-",""))),1,0))+IF(UPPER(L196)="X",0,IF((LEN(SUBSTITUTE(SUBSTITUTE(SUBSTITUTE(M196," ",""),"0",""),"-",""))+LEN(SUBSTITUTE(SUBSTITUTE(SUBSTITUTE(N196," ",""),"0",""),"-","")))&gt;(LEN(SUBSTITUTE(SUBSTITUTE(SUBSTITUTE(J196," ",""),"0",""),"-",""))+LEN(SUBSTITUTE(SUBSTITUTE(SUBSTITUTE(K196," ",""),"0",""),"-",""))),1,0))+IF(UPPER(L197)="X",0,IF((LEN(SUBSTITUTE(SUBSTITUTE(SUBSTITUTE(M197," ",""),"0",""),"-",""))+LEN(SUBSTITUTE(SUBSTITUTE(SUBSTITUTE(N197," ",""),"0",""),"-","")))&gt;(LEN(SUBSTITUTE(SUBSTITUTE(SUBSTITUTE(J197," ",""),"0",""),"-",""))+LEN(SUBSTITUTE(SUBSTITUTE(SUBSTITUTE(K197," ",""),"0",""),"-",""))),1,0))+IF(UPPER(L198)="X",0,IF((LEN(SUBSTITUTE(SUBSTITUTE(SUBSTITUTE(M198," ",""),"0",""),"-",""))+LEN(SUBSTITUTE(SUBSTITUTE(SUBSTITUTE(N198," ",""),"0",""),"-","")))&gt;(LEN(SUBSTITUTE(SUBSTITUTE(SUBSTITUTE(J198," ",""),"0",""),"-",""))+LEN(SUBSTITUTE(SUBSTITUTE(SUBSTITUTE(K198," ",""),"0",""),"-",""))),1,0))+IF(UPPER(L199)="X",0,IF((LEN(SUBSTITUTE(SUBSTITUTE(SUBSTITUTE(M199," ",""),"0",""),"-",""))+LEN(SUBSTITUTE(SUBSTITUTE(SUBSTITUTE(N199," ",""),"0",""),"-","")))&gt;(LEN(SUBSTITUTE(SUBSTITUTE(SUBSTITUTE(J199," ",""),"0",""),"-",""))+LEN(SUBSTITUTE(SUBSTITUTE(SUBSTITUTE(K199," ",""),"0",""),"-",""))),1,0))</f>
      </c>
      <c r="O194" s="14" t="str">
        <f>data!$E$61&amp;" "&amp;data!$B$61</f>
      </c>
    </row>
    <row r="195">
      <c r="A195" s="14">
        <v>1</v>
      </c>
      <c r="B195" s="18"/>
      <c r="C195" s="18"/>
      <c r="D195" s="18"/>
      <c r="E195" s="18"/>
      <c r="F195" s="18"/>
      <c r="G195" s="14">
        <v>1</v>
      </c>
      <c r="I195" s="14">
        <v>1</v>
      </c>
      <c r="J195" s="18"/>
      <c r="K195" s="18"/>
      <c r="L195" s="18"/>
      <c r="M195" s="18"/>
      <c r="N195" s="18"/>
      <c r="O195" s="14">
        <v>1</v>
      </c>
    </row>
    <row r="196">
      <c r="A196" s="14">
        <v>2</v>
      </c>
      <c r="B196" s="18"/>
      <c r="C196" s="18"/>
      <c r="D196" s="18"/>
      <c r="E196" s="18"/>
      <c r="F196" s="18"/>
      <c r="G196" s="14">
        <v>2</v>
      </c>
      <c r="I196" s="14">
        <v>2</v>
      </c>
      <c r="J196" s="18"/>
      <c r="K196" s="18"/>
      <c r="L196" s="18"/>
      <c r="M196" s="18"/>
      <c r="N196" s="18"/>
      <c r="O196" s="14">
        <v>2</v>
      </c>
    </row>
    <row r="197">
      <c r="A197" s="14">
        <v>3</v>
      </c>
      <c r="B197" s="18"/>
      <c r="C197" s="18"/>
      <c r="D197" s="18"/>
      <c r="E197" s="18"/>
      <c r="F197" s="18"/>
      <c r="G197" s="14">
        <v>3</v>
      </c>
      <c r="I197" s="14">
        <v>3</v>
      </c>
      <c r="J197" s="18"/>
      <c r="K197" s="18"/>
      <c r="L197" s="18"/>
      <c r="M197" s="18"/>
      <c r="N197" s="18"/>
      <c r="O197" s="14">
        <v>3</v>
      </c>
    </row>
    <row r="198">
      <c r="A198" s="14">
        <v>4</v>
      </c>
      <c r="B198" s="18"/>
      <c r="C198" s="18"/>
      <c r="D198" s="18"/>
      <c r="E198" s="18"/>
      <c r="F198" s="18"/>
      <c r="G198" s="14">
        <v>4</v>
      </c>
      <c r="I198" s="14">
        <v>4</v>
      </c>
      <c r="J198" s="18"/>
      <c r="K198" s="18"/>
      <c r="L198" s="18"/>
      <c r="M198" s="18"/>
      <c r="N198" s="18"/>
      <c r="O198" s="14">
        <v>4</v>
      </c>
    </row>
    <row r="199">
      <c r="A199" s="14">
        <v>5</v>
      </c>
      <c r="B199" s="18"/>
      <c r="C199" s="18"/>
      <c r="D199" s="18"/>
      <c r="E199" s="18"/>
      <c r="F199" s="18"/>
      <c r="G199" s="14">
        <v>5</v>
      </c>
      <c r="I199" s="14">
        <v>5</v>
      </c>
      <c r="J199" s="18"/>
      <c r="K199" s="18"/>
      <c r="L199" s="18"/>
      <c r="M199" s="18"/>
      <c r="N199" s="18"/>
      <c r="O199" s="14">
        <v>5</v>
      </c>
    </row>
    <row r="201">
      <c r="A201" s="17" t="s">
        <v>330</v>
      </c>
      <c r="B201" s="14"/>
      <c r="C201" s="14"/>
      <c r="D201" s="14" t="s">
        <v>331</v>
      </c>
      <c r="E201" s="14"/>
      <c r="F201" s="14"/>
      <c r="G201" s="16" t="s">
        <v>332</v>
      </c>
      <c r="I201" s="17" t="s">
        <v>330</v>
      </c>
      <c r="J201" s="14"/>
      <c r="K201" s="14"/>
      <c r="L201" s="14" t="s">
        <v>331</v>
      </c>
      <c r="M201" s="14"/>
      <c r="N201" s="14"/>
      <c r="O201" s="16" t="s">
        <v>332</v>
      </c>
    </row>
    <row r="202">
      <c r="A202" s="14" t="str">
        <f>data!$E$18&amp;" "&amp;data!$B$18</f>
      </c>
      <c r="B202" s="14" t="str">
        <f>IF(UPPER(D203)="X",0,IF((LEN(SUBSTITUTE(SUBSTITUTE(SUBSTITUTE(B203," ",""),"0",""),"-",""))+LEN(SUBSTITUTE(SUBSTITUTE(SUBSTITUTE(C203," ",""),"0",""),"-","")))&gt;(LEN(SUBSTITUTE(SUBSTITUTE(SUBSTITUTE(E203," ",""),"0",""),"-",""))+LEN(SUBSTITUTE(SUBSTITUTE(SUBSTITUTE(F203," ",""),"0",""),"-",""))),1,0))+IF(UPPER(D204)="X",0,IF((LEN(SUBSTITUTE(SUBSTITUTE(SUBSTITUTE(B204," ",""),"0",""),"-",""))+LEN(SUBSTITUTE(SUBSTITUTE(SUBSTITUTE(C204," ",""),"0",""),"-","")))&gt;(LEN(SUBSTITUTE(SUBSTITUTE(SUBSTITUTE(E204," ",""),"0",""),"-",""))+LEN(SUBSTITUTE(SUBSTITUTE(SUBSTITUTE(F204," ",""),"0",""),"-",""))),1,0))+IF(UPPER(D205)="X",0,IF((LEN(SUBSTITUTE(SUBSTITUTE(SUBSTITUTE(B205," ",""),"0",""),"-",""))+LEN(SUBSTITUTE(SUBSTITUTE(SUBSTITUTE(C205," ",""),"0",""),"-","")))&gt;(LEN(SUBSTITUTE(SUBSTITUTE(SUBSTITUTE(E205," ",""),"0",""),"-",""))+LEN(SUBSTITUTE(SUBSTITUTE(SUBSTITUTE(F205," ",""),"0",""),"-",""))),1,0))+IF(UPPER(D206)="X",0,IF((LEN(SUBSTITUTE(SUBSTITUTE(SUBSTITUTE(B206," ",""),"0",""),"-",""))+LEN(SUBSTITUTE(SUBSTITUTE(SUBSTITUTE(C206," ",""),"0",""),"-","")))&gt;(LEN(SUBSTITUTE(SUBSTITUTE(SUBSTITUTE(E206," ",""),"0",""),"-",""))+LEN(SUBSTITUTE(SUBSTITUTE(SUBSTITUTE(F206," ",""),"0",""),"-",""))),1,0))+IF(UPPER(D207)="X",0,IF((LEN(SUBSTITUTE(SUBSTITUTE(SUBSTITUTE(B207," ",""),"0",""),"-",""))+LEN(SUBSTITUTE(SUBSTITUTE(SUBSTITUTE(C207," ",""),"0",""),"-","")))&gt;(LEN(SUBSTITUTE(SUBSTITUTE(SUBSTITUTE(E207," ",""),"0",""),"-",""))+LEN(SUBSTITUTE(SUBSTITUTE(SUBSTITUTE(F207," ",""),"0",""),"-",""))),1,0))</f>
      </c>
      <c r="C202" s="14" t="str">
        <f>LEN(SUBSTITUTE(SUBSTITUTE(SUBSTITUTE(B203," ",""),"0",""),"-",""))+LEN(SUBSTITUTE(SUBSTITUTE(SUBSTITUTE(C203," ",""),"0",""),"-",""))+LEN(SUBSTITUTE(SUBSTITUTE(SUBSTITUTE(B204," ",""),"0",""),"-",""))+LEN(SUBSTITUTE(SUBSTITUTE(SUBSTITUTE(C204," ",""),"0",""),"-",""))+LEN(SUBSTITUTE(SUBSTITUTE(SUBSTITUTE(B205," ",""),"0",""),"-",""))+LEN(SUBSTITUTE(SUBSTITUTE(SUBSTITUTE(C205," ",""),"0",""),"-",""))+LEN(SUBSTITUTE(SUBSTITUTE(SUBSTITUTE(B206," ",""),"0",""),"-",""))+LEN(SUBSTITUTE(SUBSTITUTE(SUBSTITUTE(C206," ",""),"0",""),"-",""))+LEN(SUBSTITUTE(SUBSTITUTE(SUBSTITUTE(B207," ",""),"0",""),"-",""))+LEN(SUBSTITUTE(SUBSTITUTE(SUBSTITUTE(C207," ",""),"0",""),"-",""))</f>
      </c>
      <c r="D202" s="18"/>
      <c r="E202" s="14" t="str">
        <f>LEN(SUBSTITUTE(SUBSTITUTE(SUBSTITUTE(E203," ",""),"0",""),"-",""))+LEN(SUBSTITUTE(SUBSTITUTE(SUBSTITUTE(F203," ",""),"0",""),"-",""))+LEN(SUBSTITUTE(SUBSTITUTE(SUBSTITUTE(E204," ",""),"0",""),"-",""))+LEN(SUBSTITUTE(SUBSTITUTE(SUBSTITUTE(F204," ",""),"0",""),"-",""))+LEN(SUBSTITUTE(SUBSTITUTE(SUBSTITUTE(E205," ",""),"0",""),"-",""))+LEN(SUBSTITUTE(SUBSTITUTE(SUBSTITUTE(F205," ",""),"0",""),"-",""))+LEN(SUBSTITUTE(SUBSTITUTE(SUBSTITUTE(E206," ",""),"0",""),"-",""))+LEN(SUBSTITUTE(SUBSTITUTE(SUBSTITUTE(F206," ",""),"0",""),"-",""))+LEN(SUBSTITUTE(SUBSTITUTE(SUBSTITUTE(E207," ",""),"0",""),"-",""))+LEN(SUBSTITUTE(SUBSTITUTE(SUBSTITUTE(F207," ",""),"0",""),"-",""))</f>
      </c>
      <c r="F202" s="14" t="str">
        <f>IF(UPPER(D203)="X",0,IF((LEN(SUBSTITUTE(SUBSTITUTE(SUBSTITUTE(E203," ",""),"0",""),"-",""))+LEN(SUBSTITUTE(SUBSTITUTE(SUBSTITUTE(F203," ",""),"0",""),"-","")))&gt;(LEN(SUBSTITUTE(SUBSTITUTE(SUBSTITUTE(B203," ",""),"0",""),"-",""))+LEN(SUBSTITUTE(SUBSTITUTE(SUBSTITUTE(C203," ",""),"0",""),"-",""))),1,0))+IF(UPPER(D204)="X",0,IF((LEN(SUBSTITUTE(SUBSTITUTE(SUBSTITUTE(E204," ",""),"0",""),"-",""))+LEN(SUBSTITUTE(SUBSTITUTE(SUBSTITUTE(F204," ",""),"0",""),"-","")))&gt;(LEN(SUBSTITUTE(SUBSTITUTE(SUBSTITUTE(B204," ",""),"0",""),"-",""))+LEN(SUBSTITUTE(SUBSTITUTE(SUBSTITUTE(C204," ",""),"0",""),"-",""))),1,0))+IF(UPPER(D205)="X",0,IF((LEN(SUBSTITUTE(SUBSTITUTE(SUBSTITUTE(E205," ",""),"0",""),"-",""))+LEN(SUBSTITUTE(SUBSTITUTE(SUBSTITUTE(F205," ",""),"0",""),"-","")))&gt;(LEN(SUBSTITUTE(SUBSTITUTE(SUBSTITUTE(B205," ",""),"0",""),"-",""))+LEN(SUBSTITUTE(SUBSTITUTE(SUBSTITUTE(C205," ",""),"0",""),"-",""))),1,0))+IF(UPPER(D206)="X",0,IF((LEN(SUBSTITUTE(SUBSTITUTE(SUBSTITUTE(E206," ",""),"0",""),"-",""))+LEN(SUBSTITUTE(SUBSTITUTE(SUBSTITUTE(F206," ",""),"0",""),"-","")))&gt;(LEN(SUBSTITUTE(SUBSTITUTE(SUBSTITUTE(B206," ",""),"0",""),"-",""))+LEN(SUBSTITUTE(SUBSTITUTE(SUBSTITUTE(C206," ",""),"0",""),"-",""))),1,0))+IF(UPPER(D207)="X",0,IF((LEN(SUBSTITUTE(SUBSTITUTE(SUBSTITUTE(E207," ",""),"0",""),"-",""))+LEN(SUBSTITUTE(SUBSTITUTE(SUBSTITUTE(F207," ",""),"0",""),"-","")))&gt;(LEN(SUBSTITUTE(SUBSTITUTE(SUBSTITUTE(B207," ",""),"0",""),"-",""))+LEN(SUBSTITUTE(SUBSTITUTE(SUBSTITUTE(C207," ",""),"0",""),"-",""))),1,0))</f>
      </c>
      <c r="G202" s="14" t="str">
        <f>data!$E$17&amp;" "&amp;data!$B$17</f>
      </c>
      <c r="I202" s="14" t="str">
        <f>data!$E$63&amp;" "&amp;data!$B$63</f>
      </c>
      <c r="J202" s="14" t="str">
        <f>IF(UPPER(L203)="X",0,IF((LEN(SUBSTITUTE(SUBSTITUTE(SUBSTITUTE(J203," ",""),"0",""),"-",""))+LEN(SUBSTITUTE(SUBSTITUTE(SUBSTITUTE(K203," ",""),"0",""),"-","")))&gt;(LEN(SUBSTITUTE(SUBSTITUTE(SUBSTITUTE(M203," ",""),"0",""),"-",""))+LEN(SUBSTITUTE(SUBSTITUTE(SUBSTITUTE(N203," ",""),"0",""),"-",""))),1,0))+IF(UPPER(L204)="X",0,IF((LEN(SUBSTITUTE(SUBSTITUTE(SUBSTITUTE(J204," ",""),"0",""),"-",""))+LEN(SUBSTITUTE(SUBSTITUTE(SUBSTITUTE(K204," ",""),"0",""),"-","")))&gt;(LEN(SUBSTITUTE(SUBSTITUTE(SUBSTITUTE(M204," ",""),"0",""),"-",""))+LEN(SUBSTITUTE(SUBSTITUTE(SUBSTITUTE(N204," ",""),"0",""),"-",""))),1,0))+IF(UPPER(L205)="X",0,IF((LEN(SUBSTITUTE(SUBSTITUTE(SUBSTITUTE(J205," ",""),"0",""),"-",""))+LEN(SUBSTITUTE(SUBSTITUTE(SUBSTITUTE(K205," ",""),"0",""),"-","")))&gt;(LEN(SUBSTITUTE(SUBSTITUTE(SUBSTITUTE(M205," ",""),"0",""),"-",""))+LEN(SUBSTITUTE(SUBSTITUTE(SUBSTITUTE(N205," ",""),"0",""),"-",""))),1,0))+IF(UPPER(L206)="X",0,IF((LEN(SUBSTITUTE(SUBSTITUTE(SUBSTITUTE(J206," ",""),"0",""),"-",""))+LEN(SUBSTITUTE(SUBSTITUTE(SUBSTITUTE(K206," ",""),"0",""),"-","")))&gt;(LEN(SUBSTITUTE(SUBSTITUTE(SUBSTITUTE(M206," ",""),"0",""),"-",""))+LEN(SUBSTITUTE(SUBSTITUTE(SUBSTITUTE(N206," ",""),"0",""),"-",""))),1,0))+IF(UPPER(L207)="X",0,IF((LEN(SUBSTITUTE(SUBSTITUTE(SUBSTITUTE(J207," ",""),"0",""),"-",""))+LEN(SUBSTITUTE(SUBSTITUTE(SUBSTITUTE(K207," ",""),"0",""),"-","")))&gt;(LEN(SUBSTITUTE(SUBSTITUTE(SUBSTITUTE(M207," ",""),"0",""),"-",""))+LEN(SUBSTITUTE(SUBSTITUTE(SUBSTITUTE(N207," ",""),"0",""),"-",""))),1,0))</f>
      </c>
      <c r="K202" s="14" t="str">
        <f>LEN(SUBSTITUTE(SUBSTITUTE(SUBSTITUTE(J203," ",""),"0",""),"-",""))+LEN(SUBSTITUTE(SUBSTITUTE(SUBSTITUTE(K203," ",""),"0",""),"-",""))+LEN(SUBSTITUTE(SUBSTITUTE(SUBSTITUTE(J204," ",""),"0",""),"-",""))+LEN(SUBSTITUTE(SUBSTITUTE(SUBSTITUTE(K204," ",""),"0",""),"-",""))+LEN(SUBSTITUTE(SUBSTITUTE(SUBSTITUTE(J205," ",""),"0",""),"-",""))+LEN(SUBSTITUTE(SUBSTITUTE(SUBSTITUTE(K205," ",""),"0",""),"-",""))+LEN(SUBSTITUTE(SUBSTITUTE(SUBSTITUTE(J206," ",""),"0",""),"-",""))+LEN(SUBSTITUTE(SUBSTITUTE(SUBSTITUTE(K206," ",""),"0",""),"-",""))+LEN(SUBSTITUTE(SUBSTITUTE(SUBSTITUTE(J207," ",""),"0",""),"-",""))+LEN(SUBSTITUTE(SUBSTITUTE(SUBSTITUTE(K207," ",""),"0",""),"-",""))</f>
      </c>
      <c r="L202" s="18"/>
      <c r="M202" s="14" t="str">
        <f>LEN(SUBSTITUTE(SUBSTITUTE(SUBSTITUTE(M203," ",""),"0",""),"-",""))+LEN(SUBSTITUTE(SUBSTITUTE(SUBSTITUTE(N203," ",""),"0",""),"-",""))+LEN(SUBSTITUTE(SUBSTITUTE(SUBSTITUTE(M204," ",""),"0",""),"-",""))+LEN(SUBSTITUTE(SUBSTITUTE(SUBSTITUTE(N204," ",""),"0",""),"-",""))+LEN(SUBSTITUTE(SUBSTITUTE(SUBSTITUTE(M205," ",""),"0",""),"-",""))+LEN(SUBSTITUTE(SUBSTITUTE(SUBSTITUTE(N205," ",""),"0",""),"-",""))+LEN(SUBSTITUTE(SUBSTITUTE(SUBSTITUTE(M206," ",""),"0",""),"-",""))+LEN(SUBSTITUTE(SUBSTITUTE(SUBSTITUTE(N206," ",""),"0",""),"-",""))+LEN(SUBSTITUTE(SUBSTITUTE(SUBSTITUTE(M207," ",""),"0",""),"-",""))+LEN(SUBSTITUTE(SUBSTITUTE(SUBSTITUTE(N207," ",""),"0",""),"-",""))</f>
      </c>
      <c r="N202" s="14" t="str">
        <f>IF(UPPER(L203)="X",0,IF((LEN(SUBSTITUTE(SUBSTITUTE(SUBSTITUTE(M203," ",""),"0",""),"-",""))+LEN(SUBSTITUTE(SUBSTITUTE(SUBSTITUTE(N203," ",""),"0",""),"-","")))&gt;(LEN(SUBSTITUTE(SUBSTITUTE(SUBSTITUTE(J203," ",""),"0",""),"-",""))+LEN(SUBSTITUTE(SUBSTITUTE(SUBSTITUTE(K203," ",""),"0",""),"-",""))),1,0))+IF(UPPER(L204)="X",0,IF((LEN(SUBSTITUTE(SUBSTITUTE(SUBSTITUTE(M204," ",""),"0",""),"-",""))+LEN(SUBSTITUTE(SUBSTITUTE(SUBSTITUTE(N204," ",""),"0",""),"-","")))&gt;(LEN(SUBSTITUTE(SUBSTITUTE(SUBSTITUTE(J204," ",""),"0",""),"-",""))+LEN(SUBSTITUTE(SUBSTITUTE(SUBSTITUTE(K204," ",""),"0",""),"-",""))),1,0))+IF(UPPER(L205)="X",0,IF((LEN(SUBSTITUTE(SUBSTITUTE(SUBSTITUTE(M205," ",""),"0",""),"-",""))+LEN(SUBSTITUTE(SUBSTITUTE(SUBSTITUTE(N205," ",""),"0",""),"-","")))&gt;(LEN(SUBSTITUTE(SUBSTITUTE(SUBSTITUTE(J205," ",""),"0",""),"-",""))+LEN(SUBSTITUTE(SUBSTITUTE(SUBSTITUTE(K205," ",""),"0",""),"-",""))),1,0))+IF(UPPER(L206)="X",0,IF((LEN(SUBSTITUTE(SUBSTITUTE(SUBSTITUTE(M206," ",""),"0",""),"-",""))+LEN(SUBSTITUTE(SUBSTITUTE(SUBSTITUTE(N206," ",""),"0",""),"-","")))&gt;(LEN(SUBSTITUTE(SUBSTITUTE(SUBSTITUTE(J206," ",""),"0",""),"-",""))+LEN(SUBSTITUTE(SUBSTITUTE(SUBSTITUTE(K206," ",""),"0",""),"-",""))),1,0))+IF(UPPER(L207)="X",0,IF((LEN(SUBSTITUTE(SUBSTITUTE(SUBSTITUTE(M207," ",""),"0",""),"-",""))+LEN(SUBSTITUTE(SUBSTITUTE(SUBSTITUTE(N207," ",""),"0",""),"-","")))&gt;(LEN(SUBSTITUTE(SUBSTITUTE(SUBSTITUTE(J207," ",""),"0",""),"-",""))+LEN(SUBSTITUTE(SUBSTITUTE(SUBSTITUTE(K207," ",""),"0",""),"-",""))),1,0))</f>
      </c>
      <c r="O202" s="14" t="str">
        <f>data!$E$62&amp;" "&amp;data!$B$62</f>
      </c>
    </row>
    <row r="203">
      <c r="A203" s="14">
        <v>1</v>
      </c>
      <c r="B203" s="18"/>
      <c r="C203" s="18"/>
      <c r="D203" s="18"/>
      <c r="E203" s="18"/>
      <c r="F203" s="18"/>
      <c r="G203" s="14">
        <v>1</v>
      </c>
      <c r="I203" s="14">
        <v>1</v>
      </c>
      <c r="J203" s="18"/>
      <c r="K203" s="18"/>
      <c r="L203" s="18"/>
      <c r="M203" s="18"/>
      <c r="N203" s="18"/>
      <c r="O203" s="14">
        <v>1</v>
      </c>
    </row>
    <row r="204">
      <c r="A204" s="14">
        <v>2</v>
      </c>
      <c r="B204" s="18"/>
      <c r="C204" s="18"/>
      <c r="D204" s="18"/>
      <c r="E204" s="18"/>
      <c r="F204" s="18"/>
      <c r="G204" s="14">
        <v>2</v>
      </c>
      <c r="I204" s="14">
        <v>2</v>
      </c>
      <c r="J204" s="18"/>
      <c r="K204" s="18"/>
      <c r="L204" s="18"/>
      <c r="M204" s="18"/>
      <c r="N204" s="18"/>
      <c r="O204" s="14">
        <v>2</v>
      </c>
    </row>
    <row r="205">
      <c r="A205" s="14">
        <v>3</v>
      </c>
      <c r="B205" s="18"/>
      <c r="C205" s="18"/>
      <c r="D205" s="18"/>
      <c r="E205" s="18"/>
      <c r="F205" s="18"/>
      <c r="G205" s="14">
        <v>3</v>
      </c>
      <c r="I205" s="14">
        <v>3</v>
      </c>
      <c r="J205" s="18"/>
      <c r="K205" s="18"/>
      <c r="L205" s="18"/>
      <c r="M205" s="18"/>
      <c r="N205" s="18"/>
      <c r="O205" s="14">
        <v>3</v>
      </c>
    </row>
    <row r="206">
      <c r="A206" s="14">
        <v>4</v>
      </c>
      <c r="B206" s="18"/>
      <c r="C206" s="18"/>
      <c r="D206" s="18"/>
      <c r="E206" s="18"/>
      <c r="F206" s="18"/>
      <c r="G206" s="14">
        <v>4</v>
      </c>
      <c r="I206" s="14">
        <v>4</v>
      </c>
      <c r="J206" s="18"/>
      <c r="K206" s="18"/>
      <c r="L206" s="18"/>
      <c r="M206" s="18"/>
      <c r="N206" s="18"/>
      <c r="O206" s="14">
        <v>4</v>
      </c>
    </row>
    <row r="207">
      <c r="A207" s="14">
        <v>5</v>
      </c>
      <c r="B207" s="18"/>
      <c r="C207" s="18"/>
      <c r="D207" s="18"/>
      <c r="E207" s="18"/>
      <c r="F207" s="18"/>
      <c r="G207" s="14">
        <v>5</v>
      </c>
      <c r="I207" s="14">
        <v>5</v>
      </c>
      <c r="J207" s="18"/>
      <c r="K207" s="18"/>
      <c r="L207" s="18"/>
      <c r="M207" s="18"/>
      <c r="N207" s="18"/>
      <c r="O207" s="14">
        <v>5</v>
      </c>
    </row>
    <row r="210">
      <c r="A210" s="13" t="s">
        <v>333</v>
      </c>
      <c r="B210" s="13" t="s">
        <v>334</v>
      </c>
      <c r="C210" s="13" t="s">
        <v>335</v>
      </c>
      <c r="D210" s="13" t="s">
        <v>336</v>
      </c>
      <c r="E210" s="13"/>
      <c r="F210" s="13"/>
      <c r="G210" s="13" t="s">
        <v>337</v>
      </c>
      <c r="I210" s="13" t="s">
        <v>333</v>
      </c>
      <c r="J210" s="13" t="s">
        <v>334</v>
      </c>
      <c r="K210" s="13" t="s">
        <v>335</v>
      </c>
      <c r="L210" s="13" t="s">
        <v>336</v>
      </c>
      <c r="M210" s="13"/>
      <c r="N210" s="13"/>
      <c r="O210" s="13" t="s">
        <v>337</v>
      </c>
    </row>
    <row r="211">
      <c r="A211" s="14" t="str">
        <f>data!$E$16&amp;" "&amp;data!$B$16</f>
      </c>
      <c r="B211" s="14" t="str">
        <f>IF(OR(COUNTA(B187:C191,E187:F191)&gt;0,D187="X",D187="x",D188="X",D188="x",D189="X",D189="x",D190="X",D190="x",D191="X",D191="x",OR(D186="X",D186="x")),IF(OR(OR(D186="X",D186="x"),AND(B186=F186,C186=E186)),0,IF(OR(F186&gt;B186,AND(F186=B186,E186&gt;C186)),1,0)),0)+IF(OR(COUNTA(B195:C199,E195:F199)&gt;0,D195="X",D195="x",D196="X",D196="x",D197="X",D197="x",D198="X",D198="x",D199="X",D199="x",OR(D194="X",D194="x")),IF(OR(OR(D194="X",D194="x"),AND(B194=F194,C194=E194)),0,IF(OR(F194&gt;B194,AND(F194=B194,E194&gt;C194)),1,0)),0)</f>
      </c>
      <c r="C211" s="14" t="str">
        <f>IF(OR(COUNTA(B187:C191,E187:F191)&gt;0,D187="X",D187="x",D188="X",D188="x",D189="X",D189="x",D190="X",D190="x",D191="X",D191="x",OR(D186="X",D186="x")),IF(OR(OR(D186="X",D186="x"),AND(B186=F186,C186=E186)),0,IF(OR(F186&lt;B186,AND(F186=B186,E186&lt;C186)),1,0)),0)+IF(OR(COUNTA(B195:C199,E195:F199)&gt;0,D195="X",D195="x",D196="X",D196="x",D197="X",D197="x",D198="X",D198="x",D199="X",D199="x",OR(D194="X",D194="x")),IF(OR(OR(D194="X",D194="x"),AND(B194=F194,C194=E194)),0,IF(OR(F194&lt;B194,AND(F194=B194,E194&lt;C194)),1,0)),0)</f>
      </c>
      <c r="D211" s="14" t="str">
        <f>IF(OR(COUNTA(B187:C191,E187:F191)&gt;0,D187="X",D187="x",D188="X",D188="x",D189="X",D189="x",D190="X",D190="x",D191="X",D191="x",OR(D186="X",D186="x")),IF(OR(OR(D186="X",D186="x"),AND(B186=F186,C186=E186)),1,0),0)+IF(OR(COUNTA(B195:C199,E195:F199)&gt;0,D195="X",D195="x",D196="X",D196="x",D197="X",D197="x",D198="X",D198="x",D199="X",D199="x",OR(D194="X",D194="x")),IF(OR(OR(D194="X",D194="x"),AND(B194=F194,C194=E194)),1,0),0)</f>
      </c>
      <c r="G211" s="18" t="str">
        <f>RANK(U211,$U$211:$U$213)+COUNTIF($U$210:U210,U211)</f>
      </c>
      <c r="I211" s="14" t="str">
        <f>data!$E$61&amp;" "&amp;data!$B$61</f>
      </c>
      <c r="J211" s="14" t="str">
        <f>IF(OR(COUNTA(J187:K191,M187:N191)&gt;0,L187="X",L187="x",L188="X",L188="x",L189="X",L189="x",L190="X",L190="x",L191="X",L191="x",OR(L186="X",L186="x")),IF(OR(OR(L186="X",L186="x"),AND(J186=N186,K186=M186)),0,IF(OR(N186&gt;J186,AND(N186=J186,M186&gt;K186)),1,0)),0)+IF(OR(COUNTA(J195:K199,M195:N199)&gt;0,L195="X",L195="x",L196="X",L196="x",L197="X",L197="x",L198="X",L198="x",L199="X",L199="x",OR(L194="X",L194="x")),IF(OR(OR(L194="X",L194="x"),AND(J194=N194,K194=M194)),0,IF(OR(N194&gt;J194,AND(N194=J194,M194&gt;K194)),1,0)),0)</f>
      </c>
      <c r="K211" s="14" t="str">
        <f>IF(OR(COUNTA(J187:K191,M187:N191)&gt;0,L187="X",L187="x",L188="X",L188="x",L189="X",L189="x",L190="X",L190="x",L191="X",L191="x",OR(L186="X",L186="x")),IF(OR(OR(L186="X",L186="x"),AND(J186=N186,K186=M186)),0,IF(OR(N186&lt;J186,AND(N186=J186,M186&lt;K186)),1,0)),0)+IF(OR(COUNTA(J195:K199,M195:N199)&gt;0,L195="X",L195="x",L196="X",L196="x",L197="X",L197="x",L198="X",L198="x",L199="X",L199="x",OR(L194="X",L194="x")),IF(OR(OR(L194="X",L194="x"),AND(J194=N194,K194=M194)),0,IF(OR(N194&lt;J194,AND(N194=J194,M194&lt;K194)),1,0)),0)</f>
      </c>
      <c r="L211" s="14" t="str">
        <f>IF(OR(COUNTA(J187:K191,M187:N191)&gt;0,L187="X",L187="x",L188="X",L188="x",L189="X",L189="x",L190="X",L190="x",L191="X",L191="x",OR(L186="X",L186="x")),IF(OR(OR(L186="X",L186="x"),AND(J186=N186,K186=M186)),1,0),0)+IF(OR(COUNTA(J195:K199,M195:N199)&gt;0,L195="X",L195="x",L196="X",L196="x",L197="X",L197="x",L198="X",L198="x",L199="X",L199="x",OR(L194="X",L194="x")),IF(OR(OR(L194="X",L194="x"),AND(J194=N194,K194=M194)),1,0),0)</f>
      </c>
      <c r="O211" s="18" t="str">
        <f>RANK(AC211,$AC$211:$AC$213)+COUNTIF($AC$210:AC210,AC211)</f>
      </c>
      <c r="U211" t="str">
        <f>(B211*1000000000)-(C211*10000000)+(D211*100000)+(B216*1000)-(C216*100)+(D216*10)+(E216*1)-(F216*0.01)</f>
      </c>
      <c r="AC211" t="str">
        <f>(J211*1000000000)-(K211*10000000)+(L211*100000)+(J216*1000)-(K216*100)+(L216*10)+(M216*1)-(N216*0.01)</f>
      </c>
    </row>
    <row r="212">
      <c r="A212" s="14" t="str">
        <f>data!$E$17&amp;" "&amp;data!$B$17</f>
      </c>
      <c r="B212" s="14" t="str">
        <f>IF(OR(COUNTA(B187:C191,E187:F191)&gt;0,D187="X",D187="x",D188="X",D188="x",D189="X",D189="x",D190="X",D190="x",D191="X",D191="x",OR(D186="X",D186="x")),IF(OR(OR(D186="X",D186="x"),AND(B186=F186,C186=E186)),0,IF(OR(B186&gt;F186,AND(B186=F186,C186&gt;E186)),1,0)),0)+IF(OR(COUNTA(B203:C207,E203:F207)&gt;0,D203="X",D203="x",D204="X",D204="x",D205="X",D205="x",D206="X",D206="x",D207="X",D207="x",OR(D202="X",D202="x")),IF(OR(OR(D202="X",D202="x"),AND(B202=F202,C202=E202)),0,IF(OR(F202&gt;B202,AND(F202=B202,E202&gt;C202)),1,0)),0)</f>
      </c>
      <c r="C212" s="14" t="str">
        <f>IF(OR(COUNTA(B187:C191,E187:F191)&gt;0,D187="X",D187="x",D188="X",D188="x",D189="X",D189="x",D190="X",D190="x",D191="X",D191="x",OR(D186="X",D186="x")),IF(OR(OR(D186="X",D186="x"),AND(B186=F186,C186=E186)),0,IF(OR(B186&lt;F186,AND(B186=F186,C186&lt;E186)),1,0)),0)+IF(OR(COUNTA(B203:C207,E203:F207)&gt;0,D203="X",D203="x",D204="X",D204="x",D205="X",D205="x",D206="X",D206="x",D207="X",D207="x",OR(D202="X",D202="x")),IF(OR(OR(D202="X",D202="x"),AND(B202=F202,C202=E202)),0,IF(OR(F202&lt;B202,AND(F202=B202,E202&lt;C202)),1,0)),0)</f>
      </c>
      <c r="D212" s="14" t="str">
        <f>IF(OR(COUNTA(B187:C191,E187:F191)&gt;0,D187="X",D187="x",D188="X",D188="x",D189="X",D189="x",D190="X",D190="x",D191="X",D191="x",OR(D186="X",D186="x")),IF(OR(OR(D186="X",D186="x"),AND(B186=F186,C186=E186)),1,0),0)+IF(OR(COUNTA(B203:C207,E203:F207)&gt;0,D203="X",D203="x",D204="X",D204="x",D205="X",D205="x",D206="X",D206="x",D207="X",D207="x",OR(D202="X",D202="x")),IF(OR(OR(D202="X",D202="x"),AND(B202=F202,C202=E202)),1,0),0)</f>
      </c>
      <c r="G212" s="18" t="str">
        <f>RANK(U212,$U$211:$U$213)+COUNTIF($U$210:U211,U212)</f>
      </c>
      <c r="I212" s="14" t="str">
        <f>data!$E$62&amp;" "&amp;data!$B$62</f>
      </c>
      <c r="J212" s="14" t="str">
        <f>IF(OR(COUNTA(J187:K191,M187:N191)&gt;0,L187="X",L187="x",L188="X",L188="x",L189="X",L189="x",L190="X",L190="x",L191="X",L191="x",OR(L186="X",L186="x")),IF(OR(OR(L186="X",L186="x"),AND(J186=N186,K186=M186)),0,IF(OR(J186&gt;N186,AND(J186=N186,K186&gt;M186)),1,0)),0)+IF(OR(COUNTA(J203:K207,M203:N207)&gt;0,L203="X",L203="x",L204="X",L204="x",L205="X",L205="x",L206="X",L206="x",L207="X",L207="x",OR(L202="X",L202="x")),IF(OR(OR(L202="X",L202="x"),AND(J202=N202,K202=M202)),0,IF(OR(N202&gt;J202,AND(N202=J202,M202&gt;K202)),1,0)),0)</f>
      </c>
      <c r="K212" s="14" t="str">
        <f>IF(OR(COUNTA(J187:K191,M187:N191)&gt;0,L187="X",L187="x",L188="X",L188="x",L189="X",L189="x",L190="X",L190="x",L191="X",L191="x",OR(L186="X",L186="x")),IF(OR(OR(L186="X",L186="x"),AND(J186=N186,K186=M186)),0,IF(OR(J186&lt;N186,AND(J186=N186,K186&lt;M186)),1,0)),0)+IF(OR(COUNTA(J203:K207,M203:N207)&gt;0,L203="X",L203="x",L204="X",L204="x",L205="X",L205="x",L206="X",L206="x",L207="X",L207="x",OR(L202="X",L202="x")),IF(OR(OR(L202="X",L202="x"),AND(J202=N202,K202=M202)),0,IF(OR(N202&lt;J202,AND(N202=J202,M202&lt;K202)),1,0)),0)</f>
      </c>
      <c r="L212" s="14" t="str">
        <f>IF(OR(COUNTA(J187:K191,M187:N191)&gt;0,L187="X",L187="x",L188="X",L188="x",L189="X",L189="x",L190="X",L190="x",L191="X",L191="x",OR(L186="X",L186="x")),IF(OR(OR(L186="X",L186="x"),AND(J186=N186,K186=M186)),1,0),0)+IF(OR(COUNTA(J203:K207,M203:N207)&gt;0,L203="X",L203="x",L204="X",L204="x",L205="X",L205="x",L206="X",L206="x",L207="X",L207="x",OR(L202="X",L202="x")),IF(OR(OR(L202="X",L202="x"),AND(J202=N202,K202=M202)),1,0),0)</f>
      </c>
      <c r="O212" s="18" t="str">
        <f>RANK(AC212,$AC$211:$AC$213)+COUNTIF($AC$210:AC211,AC212)</f>
      </c>
      <c r="U212" t="str">
        <f>(B212*1000000000)-(C212*10000000)+(D212*100000)+(B217*1000)-(C217*100)+(D217*10)+(E217*1)-(F217*0.01)</f>
      </c>
      <c r="AC212" t="str">
        <f>(J212*1000000000)-(K212*10000000)+(L212*100000)+(J217*1000)-(K217*100)+(L217*10)+(M217*1)-(N217*0.01)</f>
      </c>
    </row>
    <row r="213">
      <c r="A213" s="14" t="str">
        <f>data!$E$18&amp;" "&amp;data!$B$18</f>
      </c>
      <c r="B213" s="14" t="str">
        <f>IF(OR(COUNTA(B195:C199,E195:F199)&gt;0,D195="X",D195="x",D196="X",D196="x",D197="X",D197="x",D198="X",D198="x",D199="X",D199="x",OR(D194="X",D194="x")),IF(OR(OR(D194="X",D194="x"),AND(B194=F194,C194=E194)),0,IF(OR(B194&gt;F194,AND(B194=F194,C194&gt;E194)),1,0)),0)+IF(OR(COUNTA(B203:C207,E203:F207)&gt;0,D203="X",D203="x",D204="X",D204="x",D205="X",D205="x",D206="X",D206="x",D207="X",D207="x",OR(D202="X",D202="x")),IF(OR(OR(D202="X",D202="x"),AND(B202=F202,C202=E202)),0,IF(OR(B202&gt;F202,AND(B202=F202,C202&gt;E202)),1,0)),0)</f>
      </c>
      <c r="C213" s="14" t="str">
        <f>IF(OR(COUNTA(B195:C199,E195:F199)&gt;0,D195="X",D195="x",D196="X",D196="x",D197="X",D197="x",D198="X",D198="x",D199="X",D199="x",OR(D194="X",D194="x")),IF(OR(OR(D194="X",D194="x"),AND(B194=F194,C194=E194)),0,IF(OR(B194&lt;F194,AND(B194=F194,C194&lt;E194)),1,0)),0)+IF(OR(COUNTA(B203:C207,E203:F207)&gt;0,D203="X",D203="x",D204="X",D204="x",D205="X",D205="x",D206="X",D206="x",D207="X",D207="x",OR(D202="X",D202="x")),IF(OR(OR(D202="X",D202="x"),AND(B202=F202,C202=E202)),0,IF(OR(B202&lt;F202,AND(B202=F202,C202&lt;E202)),1,0)),0)</f>
      </c>
      <c r="D213" s="14" t="str">
        <f>IF(OR(COUNTA(B195:C199,E195:F199)&gt;0,D195="X",D195="x",D196="X",D196="x",D197="X",D197="x",D198="X",D198="x",D199="X",D199="x",OR(D194="X",D194="x")),IF(OR(OR(D194="X",D194="x"),AND(B194=F194,C194=E194)),1,0),0)+IF(OR(COUNTA(B203:C207,E203:F207)&gt;0,D203="X",D203="x",D204="X",D204="x",D205="X",D205="x",D206="X",D206="x",D207="X",D207="x",OR(D202="X",D202="x")),IF(OR(OR(D202="X",D202="x"),AND(B202=F202,C202=E202)),1,0),0)</f>
      </c>
      <c r="G213" s="18" t="str">
        <f>RANK(U213,$U$211:$U$213)+COUNTIF($U$210:U212,U213)</f>
      </c>
      <c r="I213" s="14" t="str">
        <f>data!$E$63&amp;" "&amp;data!$B$63</f>
      </c>
      <c r="J213" s="14" t="str">
        <f>IF(OR(COUNTA(J195:K199,M195:N199)&gt;0,L195="X",L195="x",L196="X",L196="x",L197="X",L197="x",L198="X",L198="x",L199="X",L199="x",OR(L194="X",L194="x")),IF(OR(OR(L194="X",L194="x"),AND(J194=N194,K194=M194)),0,IF(OR(J194&gt;N194,AND(J194=N194,K194&gt;M194)),1,0)),0)+IF(OR(COUNTA(J203:K207,M203:N207)&gt;0,L203="X",L203="x",L204="X",L204="x",L205="X",L205="x",L206="X",L206="x",L207="X",L207="x",OR(L202="X",L202="x")),IF(OR(OR(L202="X",L202="x"),AND(J202=N202,K202=M202)),0,IF(OR(J202&gt;N202,AND(J202=N202,K202&gt;M202)),1,0)),0)</f>
      </c>
      <c r="K213" s="14" t="str">
        <f>IF(OR(COUNTA(J195:K199,M195:N199)&gt;0,L195="X",L195="x",L196="X",L196="x",L197="X",L197="x",L198="X",L198="x",L199="X",L199="x",OR(L194="X",L194="x")),IF(OR(OR(L194="X",L194="x"),AND(J194=N194,K194=M194)),0,IF(OR(J194&lt;N194,AND(J194=N194,K194&lt;M194)),1,0)),0)+IF(OR(COUNTA(J203:K207,M203:N207)&gt;0,L203="X",L203="x",L204="X",L204="x",L205="X",L205="x",L206="X",L206="x",L207="X",L207="x",OR(L202="X",L202="x")),IF(OR(OR(L202="X",L202="x"),AND(J202=N202,K202=M202)),0,IF(OR(J202&lt;N202,AND(J202=N202,K202&lt;M202)),1,0)),0)</f>
      </c>
      <c r="L213" s="14" t="str">
        <f>IF(OR(COUNTA(J195:K199,M195:N199)&gt;0,L195="X",L195="x",L196="X",L196="x",L197="X",L197="x",L198="X",L198="x",L199="X",L199="x",OR(L194="X",L194="x")),IF(OR(OR(L194="X",L194="x"),AND(J194=N194,K194=M194)),1,0),0)+IF(OR(COUNTA(J203:K207,M203:N207)&gt;0,L203="X",L203="x",L204="X",L204="x",L205="X",L205="x",L206="X",L206="x",L207="X",L207="x",OR(L202="X",L202="x")),IF(OR(OR(L202="X",L202="x"),AND(J202=N202,K202=M202)),1,0),0)</f>
      </c>
      <c r="O213" s="18" t="str">
        <f>RANK(AC213,$AC$211:$AC$213)+COUNTIF($AC$210:AC212,AC213)</f>
      </c>
      <c r="U213" t="str">
        <f>(B213*1000000000)-(C213*10000000)+(D213*100000)+(B218*1000)-(C218*100)+(D218*10)+(E218*1)-(F218*0.01)</f>
      </c>
      <c r="AC213" t="str">
        <f>(J213*1000000000)-(K213*10000000)+(L213*100000)+(J218*1000)-(K218*100)+(L218*10)+(M218*1)-(N218*0.01)</f>
      </c>
    </row>
    <row r="215">
      <c r="A215" s="13"/>
      <c r="B215" s="13" t="s">
        <v>338</v>
      </c>
      <c r="C215" s="13" t="s">
        <v>339</v>
      </c>
      <c r="D215" s="13" t="s">
        <v>340</v>
      </c>
      <c r="E215" s="13" t="s">
        <v>341</v>
      </c>
      <c r="F215" s="13" t="s">
        <v>342</v>
      </c>
      <c r="I215" s="13"/>
      <c r="J215" s="13" t="s">
        <v>338</v>
      </c>
      <c r="K215" s="13" t="s">
        <v>339</v>
      </c>
      <c r="L215" s="13" t="s">
        <v>340</v>
      </c>
      <c r="M215" s="13" t="s">
        <v>341</v>
      </c>
      <c r="N215" s="13" t="s">
        <v>342</v>
      </c>
    </row>
    <row r="216">
      <c r="A216" s="14" t="str">
        <f>data!$E$16&amp;" "&amp;data!$B$16</f>
      </c>
      <c r="B216" s="14" t="str">
        <f>IF(OR(COUNTA(B187:C191,E187:F191)&gt;0,OR(D186="X",D186="x"),UPPER(D187)="X",UPPER(D188)="X",UPPER(D189)="X",UPPER(D190)="X",UPPER(D191)="X"),F186,0)+IF(OR(COUNTA(B195:C199,E195:F199)&gt;0,OR(D194="X",D194="x"),UPPER(D195)="X",UPPER(D196)="X",UPPER(D197)="X",UPPER(D198)="X",UPPER(D199)="X"),F194,0)</f>
      </c>
      <c r="C216" s="14" t="str">
        <f>IF(OR(COUNTA(B187:C191,E187:F191)&gt;0,OR(D186="X",D186="x"),UPPER(D187)="X",UPPER(D188)="X",UPPER(D189)="X",UPPER(D190)="X",UPPER(D191)="X"),B186,0)+IF(OR(COUNTA(B195:C199,E195:F199)&gt;0,OR(D194="X",D194="x"),UPPER(D195)="X",UPPER(D196)="X",UPPER(D197)="X",UPPER(D198)="X",UPPER(D199)="X"),B194,0)</f>
      </c>
      <c r="D216" s="14" t="str">
        <f>IF(OR(COUNTA(B187:C191,E187:F191)&gt;0,OR(D186="X",D186="x"),UPPER(D187)="X",UPPER(D188)="X",UPPER(D189)="X",UPPER(D190)="X",UPPER(D191)="X"),(IF(OR(D187="X",D187="x",AND(COUNTA(B187,C187,E187,F187)&gt;0,(LEN(SUBSTITUTE(SUBSTITUTE(SUBSTITUTE(B187," ",""),"0",""),"-",""))+LEN(SUBSTITUTE(SUBSTITUTE(SUBSTITUTE(C187," ",""),"0",""),"-","")))=(LEN(SUBSTITUTE(SUBSTITUTE(SUBSTITUTE(E187," ",""),"0",""),"-",""))+LEN(SUBSTITUTE(SUBSTITUTE(SUBSTITUTE(F187," ",""),"0",""),"-",""))))),1,0)+IF(OR(D188="X",D188="x",AND(COUNTA(B188,C188,E188,F188)&gt;0,(LEN(SUBSTITUTE(SUBSTITUTE(SUBSTITUTE(B188," ",""),"0",""),"-",""))+LEN(SUBSTITUTE(SUBSTITUTE(SUBSTITUTE(C188," ",""),"0",""),"-","")))=(LEN(SUBSTITUTE(SUBSTITUTE(SUBSTITUTE(E188," ",""),"0",""),"-",""))+LEN(SUBSTITUTE(SUBSTITUTE(SUBSTITUTE(F188," ",""),"0",""),"-",""))))),1,0)+IF(OR(D189="X",D189="x",AND(COUNTA(B189,C189,E189,F189)&gt;0,(LEN(SUBSTITUTE(SUBSTITUTE(SUBSTITUTE(B189," ",""),"0",""),"-",""))+LEN(SUBSTITUTE(SUBSTITUTE(SUBSTITUTE(C189," ",""),"0",""),"-","")))=(LEN(SUBSTITUTE(SUBSTITUTE(SUBSTITUTE(E189," ",""),"0",""),"-",""))+LEN(SUBSTITUTE(SUBSTITUTE(SUBSTITUTE(F189," ",""),"0",""),"-",""))))),1,0)+IF(OR(D190="X",D190="x",AND(COUNTA(B190,C190,E190,F190)&gt;0,(LEN(SUBSTITUTE(SUBSTITUTE(SUBSTITUTE(B190," ",""),"0",""),"-",""))+LEN(SUBSTITUTE(SUBSTITUTE(SUBSTITUTE(C190," ",""),"0",""),"-","")))=(LEN(SUBSTITUTE(SUBSTITUTE(SUBSTITUTE(E190," ",""),"0",""),"-",""))+LEN(SUBSTITUTE(SUBSTITUTE(SUBSTITUTE(F190," ",""),"0",""),"-",""))))),1,0)+IF(OR(D191="X",D191="x",AND(COUNTA(B191,C191,E191,F191)&gt;0,(LEN(SUBSTITUTE(SUBSTITUTE(SUBSTITUTE(B191," ",""),"0",""),"-",""))+LEN(SUBSTITUTE(SUBSTITUTE(SUBSTITUTE(C191," ",""),"0",""),"-","")))=(LEN(SUBSTITUTE(SUBSTITUTE(SUBSTITUTE(E191," ",""),"0",""),"-",""))+LEN(SUBSTITUTE(SUBSTITUTE(SUBSTITUTE(F191," ",""),"0",""),"-",""))))),1,0)),0)+IF(OR(COUNTA(B195:C199,E195:F199)&gt;0,OR(D194="X",D194="x"),UPPER(D195)="X",UPPER(D196)="X",UPPER(D197)="X",UPPER(D198)="X",UPPER(D199)="X"),(IF(OR(D195="X",D195="x",AND(COUNTA(B195,C195,E195,F195)&gt;0,(LEN(SUBSTITUTE(SUBSTITUTE(SUBSTITUTE(B195," ",""),"0",""),"-",""))+LEN(SUBSTITUTE(SUBSTITUTE(SUBSTITUTE(C195," ",""),"0",""),"-","")))=(LEN(SUBSTITUTE(SUBSTITUTE(SUBSTITUTE(E195," ",""),"0",""),"-",""))+LEN(SUBSTITUTE(SUBSTITUTE(SUBSTITUTE(F195," ",""),"0",""),"-",""))))),1,0)+IF(OR(D196="X",D196="x",AND(COUNTA(B196,C196,E196,F196)&gt;0,(LEN(SUBSTITUTE(SUBSTITUTE(SUBSTITUTE(B196," ",""),"0",""),"-",""))+LEN(SUBSTITUTE(SUBSTITUTE(SUBSTITUTE(C196," ",""),"0",""),"-","")))=(LEN(SUBSTITUTE(SUBSTITUTE(SUBSTITUTE(E196," ",""),"0",""),"-",""))+LEN(SUBSTITUTE(SUBSTITUTE(SUBSTITUTE(F196," ",""),"0",""),"-",""))))),1,0)+IF(OR(D197="X",D197="x",AND(COUNTA(B197,C197,E197,F197)&gt;0,(LEN(SUBSTITUTE(SUBSTITUTE(SUBSTITUTE(B197," ",""),"0",""),"-",""))+LEN(SUBSTITUTE(SUBSTITUTE(SUBSTITUTE(C197," ",""),"0",""),"-","")))=(LEN(SUBSTITUTE(SUBSTITUTE(SUBSTITUTE(E197," ",""),"0",""),"-",""))+LEN(SUBSTITUTE(SUBSTITUTE(SUBSTITUTE(F197," ",""),"0",""),"-",""))))),1,0)+IF(OR(D198="X",D198="x",AND(COUNTA(B198,C198,E198,F198)&gt;0,(LEN(SUBSTITUTE(SUBSTITUTE(SUBSTITUTE(B198," ",""),"0",""),"-",""))+LEN(SUBSTITUTE(SUBSTITUTE(SUBSTITUTE(C198," ",""),"0",""),"-","")))=(LEN(SUBSTITUTE(SUBSTITUTE(SUBSTITUTE(E198," ",""),"0",""),"-",""))+LEN(SUBSTITUTE(SUBSTITUTE(SUBSTITUTE(F198," ",""),"0",""),"-",""))))),1,0)+IF(OR(D199="X",D199="x",AND(COUNTA(B199,C199,E199,F199)&gt;0,(LEN(SUBSTITUTE(SUBSTITUTE(SUBSTITUTE(B199," ",""),"0",""),"-",""))+LEN(SUBSTITUTE(SUBSTITUTE(SUBSTITUTE(C199," ",""),"0",""),"-","")))=(LEN(SUBSTITUTE(SUBSTITUTE(SUBSTITUTE(E199," ",""),"0",""),"-",""))+LEN(SUBSTITUTE(SUBSTITUTE(SUBSTITUTE(F199," ",""),"0",""),"-",""))))),1,0)),0)</f>
      </c>
      <c r="E216" s="14" t="str">
        <f>E186+E194</f>
      </c>
      <c r="F216" s="14" t="str">
        <f>C186+C194</f>
      </c>
      <c r="I216" s="14" t="str">
        <f>data!$E$61&amp;" "&amp;data!$B$61</f>
      </c>
      <c r="J216" s="14" t="str">
        <f>IF(OR(COUNTA(J187:K191,M187:N191)&gt;0,OR(L186="X",L186="x"),UPPER(L187)="X",UPPER(L188)="X",UPPER(L189)="X",UPPER(L190)="X",UPPER(L191)="X"),N186,0)+IF(OR(COUNTA(J195:K199,M195:N199)&gt;0,OR(L194="X",L194="x"),UPPER(L195)="X",UPPER(L196)="X",UPPER(L197)="X",UPPER(L198)="X",UPPER(L199)="X"),N194,0)</f>
      </c>
      <c r="K216" s="14" t="str">
        <f>IF(OR(COUNTA(J187:K191,M187:N191)&gt;0,OR(L186="X",L186="x"),UPPER(L187)="X",UPPER(L188)="X",UPPER(L189)="X",UPPER(L190)="X",UPPER(L191)="X"),J186,0)+IF(OR(COUNTA(J195:K199,M195:N199)&gt;0,OR(L194="X",L194="x"),UPPER(L195)="X",UPPER(L196)="X",UPPER(L197)="X",UPPER(L198)="X",UPPER(L199)="X"),J194,0)</f>
      </c>
      <c r="L216" s="14" t="str">
        <f>IF(OR(COUNTA(J187:K191,M187:N191)&gt;0,OR(L186="X",L186="x"),UPPER(L187)="X",UPPER(L188)="X",UPPER(L189)="X",UPPER(L190)="X",UPPER(L191)="X"),(IF(OR(L187="X",L187="x",AND(COUNTA(J187,K187,M187,N187)&gt;0,(LEN(SUBSTITUTE(SUBSTITUTE(SUBSTITUTE(J187," ",""),"0",""),"-",""))+LEN(SUBSTITUTE(SUBSTITUTE(SUBSTITUTE(K187," ",""),"0",""),"-","")))=(LEN(SUBSTITUTE(SUBSTITUTE(SUBSTITUTE(M187," ",""),"0",""),"-",""))+LEN(SUBSTITUTE(SUBSTITUTE(SUBSTITUTE(N187," ",""),"0",""),"-",""))))),1,0)+IF(OR(L188="X",L188="x",AND(COUNTA(J188,K188,M188,N188)&gt;0,(LEN(SUBSTITUTE(SUBSTITUTE(SUBSTITUTE(J188," ",""),"0",""),"-",""))+LEN(SUBSTITUTE(SUBSTITUTE(SUBSTITUTE(K188," ",""),"0",""),"-","")))=(LEN(SUBSTITUTE(SUBSTITUTE(SUBSTITUTE(M188," ",""),"0",""),"-",""))+LEN(SUBSTITUTE(SUBSTITUTE(SUBSTITUTE(N188," ",""),"0",""),"-",""))))),1,0)+IF(OR(L189="X",L189="x",AND(COUNTA(J189,K189,M189,N189)&gt;0,(LEN(SUBSTITUTE(SUBSTITUTE(SUBSTITUTE(J189," ",""),"0",""),"-",""))+LEN(SUBSTITUTE(SUBSTITUTE(SUBSTITUTE(K189," ",""),"0",""),"-","")))=(LEN(SUBSTITUTE(SUBSTITUTE(SUBSTITUTE(M189," ",""),"0",""),"-",""))+LEN(SUBSTITUTE(SUBSTITUTE(SUBSTITUTE(N189," ",""),"0",""),"-",""))))),1,0)+IF(OR(L190="X",L190="x",AND(COUNTA(J190,K190,M190,N190)&gt;0,(LEN(SUBSTITUTE(SUBSTITUTE(SUBSTITUTE(J190," ",""),"0",""),"-",""))+LEN(SUBSTITUTE(SUBSTITUTE(SUBSTITUTE(K190," ",""),"0",""),"-","")))=(LEN(SUBSTITUTE(SUBSTITUTE(SUBSTITUTE(M190," ",""),"0",""),"-",""))+LEN(SUBSTITUTE(SUBSTITUTE(SUBSTITUTE(N190," ",""),"0",""),"-",""))))),1,0)+IF(OR(L191="X",L191="x",AND(COUNTA(J191,K191,M191,N191)&gt;0,(LEN(SUBSTITUTE(SUBSTITUTE(SUBSTITUTE(J191," ",""),"0",""),"-",""))+LEN(SUBSTITUTE(SUBSTITUTE(SUBSTITUTE(K191," ",""),"0",""),"-","")))=(LEN(SUBSTITUTE(SUBSTITUTE(SUBSTITUTE(M191," ",""),"0",""),"-",""))+LEN(SUBSTITUTE(SUBSTITUTE(SUBSTITUTE(N191," ",""),"0",""),"-",""))))),1,0)),0)+IF(OR(COUNTA(J195:K199,M195:N199)&gt;0,OR(L194="X",L194="x"),UPPER(L195)="X",UPPER(L196)="X",UPPER(L197)="X",UPPER(L198)="X",UPPER(L199)="X"),(IF(OR(L195="X",L195="x",AND(COUNTA(J195,K195,M195,N195)&gt;0,(LEN(SUBSTITUTE(SUBSTITUTE(SUBSTITUTE(J195," ",""),"0",""),"-",""))+LEN(SUBSTITUTE(SUBSTITUTE(SUBSTITUTE(K195," ",""),"0",""),"-","")))=(LEN(SUBSTITUTE(SUBSTITUTE(SUBSTITUTE(M195," ",""),"0",""),"-",""))+LEN(SUBSTITUTE(SUBSTITUTE(SUBSTITUTE(N195," ",""),"0",""),"-",""))))),1,0)+IF(OR(L196="X",L196="x",AND(COUNTA(J196,K196,M196,N196)&gt;0,(LEN(SUBSTITUTE(SUBSTITUTE(SUBSTITUTE(J196," ",""),"0",""),"-",""))+LEN(SUBSTITUTE(SUBSTITUTE(SUBSTITUTE(K196," ",""),"0",""),"-","")))=(LEN(SUBSTITUTE(SUBSTITUTE(SUBSTITUTE(M196," ",""),"0",""),"-",""))+LEN(SUBSTITUTE(SUBSTITUTE(SUBSTITUTE(N196," ",""),"0",""),"-",""))))),1,0)+IF(OR(L197="X",L197="x",AND(COUNTA(J197,K197,M197,N197)&gt;0,(LEN(SUBSTITUTE(SUBSTITUTE(SUBSTITUTE(J197," ",""),"0",""),"-",""))+LEN(SUBSTITUTE(SUBSTITUTE(SUBSTITUTE(K197," ",""),"0",""),"-","")))=(LEN(SUBSTITUTE(SUBSTITUTE(SUBSTITUTE(M197," ",""),"0",""),"-",""))+LEN(SUBSTITUTE(SUBSTITUTE(SUBSTITUTE(N197," ",""),"0",""),"-",""))))),1,0)+IF(OR(L198="X",L198="x",AND(COUNTA(J198,K198,M198,N198)&gt;0,(LEN(SUBSTITUTE(SUBSTITUTE(SUBSTITUTE(J198," ",""),"0",""),"-",""))+LEN(SUBSTITUTE(SUBSTITUTE(SUBSTITUTE(K198," ",""),"0",""),"-","")))=(LEN(SUBSTITUTE(SUBSTITUTE(SUBSTITUTE(M198," ",""),"0",""),"-",""))+LEN(SUBSTITUTE(SUBSTITUTE(SUBSTITUTE(N198," ",""),"0",""),"-",""))))),1,0)+IF(OR(L199="X",L199="x",AND(COUNTA(J199,K199,M199,N199)&gt;0,(LEN(SUBSTITUTE(SUBSTITUTE(SUBSTITUTE(J199," ",""),"0",""),"-",""))+LEN(SUBSTITUTE(SUBSTITUTE(SUBSTITUTE(K199," ",""),"0",""),"-","")))=(LEN(SUBSTITUTE(SUBSTITUTE(SUBSTITUTE(M199," ",""),"0",""),"-",""))+LEN(SUBSTITUTE(SUBSTITUTE(SUBSTITUTE(N199," ",""),"0",""),"-",""))))),1,0)),0)</f>
      </c>
      <c r="M216" s="14" t="str">
        <f>M186+M194</f>
      </c>
      <c r="N216" s="14" t="str">
        <f>K186+K194</f>
      </c>
    </row>
    <row r="217">
      <c r="A217" s="14" t="str">
        <f>data!$E$17&amp;" "&amp;data!$B$17</f>
      </c>
      <c r="B217" s="14" t="str">
        <f>IF(OR(COUNTA(B187:C191,E187:F191)&gt;0,OR(D186="X",D186="x"),UPPER(D187)="X",UPPER(D188)="X",UPPER(D189)="X",UPPER(D190)="X",UPPER(D191)="X"),B186,0)+IF(OR(COUNTA(B203:C207,E203:F207)&gt;0,OR(D202="X",D202="x"),UPPER(D203)="X",UPPER(D204)="X",UPPER(D205)="X",UPPER(D206)="X",UPPER(D207)="X"),F202,0)</f>
      </c>
      <c r="C217" s="14" t="str">
        <f>IF(OR(COUNTA(B187:C191,E187:F191)&gt;0,OR(D186="X",D186="x"),UPPER(D187)="X",UPPER(D188)="X",UPPER(D189)="X",UPPER(D190)="X",UPPER(D191)="X"),F186,0)+IF(OR(COUNTA(B203:C207,E203:F207)&gt;0,OR(D202="X",D202="x"),UPPER(D203)="X",UPPER(D204)="X",UPPER(D205)="X",UPPER(D206)="X",UPPER(D207)="X"),B202,0)</f>
      </c>
      <c r="D217" s="14" t="str">
        <f>IF(OR(COUNTA(B187:C191,E187:F191)&gt;0,OR(D186="X",D186="x"),UPPER(D187)="X",UPPER(D188)="X",UPPER(D189)="X",UPPER(D190)="X",UPPER(D191)="X"),(IF(OR(D187="X",D187="x",AND(COUNTA(B187,C187,E187,F187)&gt;0,(LEN(SUBSTITUTE(SUBSTITUTE(SUBSTITUTE(B187," ",""),"0",""),"-",""))+LEN(SUBSTITUTE(SUBSTITUTE(SUBSTITUTE(C187," ",""),"0",""),"-","")))=(LEN(SUBSTITUTE(SUBSTITUTE(SUBSTITUTE(E187," ",""),"0",""),"-",""))+LEN(SUBSTITUTE(SUBSTITUTE(SUBSTITUTE(F187," ",""),"0",""),"-",""))))),1,0)+IF(OR(D188="X",D188="x",AND(COUNTA(B188,C188,E188,F188)&gt;0,(LEN(SUBSTITUTE(SUBSTITUTE(SUBSTITUTE(B188," ",""),"0",""),"-",""))+LEN(SUBSTITUTE(SUBSTITUTE(SUBSTITUTE(C188," ",""),"0",""),"-","")))=(LEN(SUBSTITUTE(SUBSTITUTE(SUBSTITUTE(E188," ",""),"0",""),"-",""))+LEN(SUBSTITUTE(SUBSTITUTE(SUBSTITUTE(F188," ",""),"0",""),"-",""))))),1,0)+IF(OR(D189="X",D189="x",AND(COUNTA(B189,C189,E189,F189)&gt;0,(LEN(SUBSTITUTE(SUBSTITUTE(SUBSTITUTE(B189," ",""),"0",""),"-",""))+LEN(SUBSTITUTE(SUBSTITUTE(SUBSTITUTE(C189," ",""),"0",""),"-","")))=(LEN(SUBSTITUTE(SUBSTITUTE(SUBSTITUTE(E189," ",""),"0",""),"-",""))+LEN(SUBSTITUTE(SUBSTITUTE(SUBSTITUTE(F189," ",""),"0",""),"-",""))))),1,0)+IF(OR(D190="X",D190="x",AND(COUNTA(B190,C190,E190,F190)&gt;0,(LEN(SUBSTITUTE(SUBSTITUTE(SUBSTITUTE(B190," ",""),"0",""),"-",""))+LEN(SUBSTITUTE(SUBSTITUTE(SUBSTITUTE(C190," ",""),"0",""),"-","")))=(LEN(SUBSTITUTE(SUBSTITUTE(SUBSTITUTE(E190," ",""),"0",""),"-",""))+LEN(SUBSTITUTE(SUBSTITUTE(SUBSTITUTE(F190," ",""),"0",""),"-",""))))),1,0)+IF(OR(D191="X",D191="x",AND(COUNTA(B191,C191,E191,F191)&gt;0,(LEN(SUBSTITUTE(SUBSTITUTE(SUBSTITUTE(B191," ",""),"0",""),"-",""))+LEN(SUBSTITUTE(SUBSTITUTE(SUBSTITUTE(C191," ",""),"0",""),"-","")))=(LEN(SUBSTITUTE(SUBSTITUTE(SUBSTITUTE(E191," ",""),"0",""),"-",""))+LEN(SUBSTITUTE(SUBSTITUTE(SUBSTITUTE(F191," ",""),"0",""),"-",""))))),1,0)),0)+IF(OR(COUNTA(B203:C207,E203:F207)&gt;0,OR(D202="X",D202="x"),UPPER(D203)="X",UPPER(D204)="X",UPPER(D205)="X",UPPER(D206)="X",UPPER(D207)="X"),(IF(OR(D203="X",D203="x",AND(COUNTA(B203,C203,E203,F203)&gt;0,(LEN(SUBSTITUTE(SUBSTITUTE(SUBSTITUTE(B203," ",""),"0",""),"-",""))+LEN(SUBSTITUTE(SUBSTITUTE(SUBSTITUTE(C203," ",""),"0",""),"-","")))=(LEN(SUBSTITUTE(SUBSTITUTE(SUBSTITUTE(E203," ",""),"0",""),"-",""))+LEN(SUBSTITUTE(SUBSTITUTE(SUBSTITUTE(F203," ",""),"0",""),"-",""))))),1,0)+IF(OR(D204="X",D204="x",AND(COUNTA(B204,C204,E204,F204)&gt;0,(LEN(SUBSTITUTE(SUBSTITUTE(SUBSTITUTE(B204," ",""),"0",""),"-",""))+LEN(SUBSTITUTE(SUBSTITUTE(SUBSTITUTE(C204," ",""),"0",""),"-","")))=(LEN(SUBSTITUTE(SUBSTITUTE(SUBSTITUTE(E204," ",""),"0",""),"-",""))+LEN(SUBSTITUTE(SUBSTITUTE(SUBSTITUTE(F204," ",""),"0",""),"-",""))))),1,0)+IF(OR(D205="X",D205="x",AND(COUNTA(B205,C205,E205,F205)&gt;0,(LEN(SUBSTITUTE(SUBSTITUTE(SUBSTITUTE(B205," ",""),"0",""),"-",""))+LEN(SUBSTITUTE(SUBSTITUTE(SUBSTITUTE(C205," ",""),"0",""),"-","")))=(LEN(SUBSTITUTE(SUBSTITUTE(SUBSTITUTE(E205," ",""),"0",""),"-",""))+LEN(SUBSTITUTE(SUBSTITUTE(SUBSTITUTE(F205," ",""),"0",""),"-",""))))),1,0)+IF(OR(D206="X",D206="x",AND(COUNTA(B206,C206,E206,F206)&gt;0,(LEN(SUBSTITUTE(SUBSTITUTE(SUBSTITUTE(B206," ",""),"0",""),"-",""))+LEN(SUBSTITUTE(SUBSTITUTE(SUBSTITUTE(C206," ",""),"0",""),"-","")))=(LEN(SUBSTITUTE(SUBSTITUTE(SUBSTITUTE(E206," ",""),"0",""),"-",""))+LEN(SUBSTITUTE(SUBSTITUTE(SUBSTITUTE(F206," ",""),"0",""),"-",""))))),1,0)+IF(OR(D207="X",D207="x",AND(COUNTA(B207,C207,E207,F207)&gt;0,(LEN(SUBSTITUTE(SUBSTITUTE(SUBSTITUTE(B207," ",""),"0",""),"-",""))+LEN(SUBSTITUTE(SUBSTITUTE(SUBSTITUTE(C207," ",""),"0",""),"-","")))=(LEN(SUBSTITUTE(SUBSTITUTE(SUBSTITUTE(E207," ",""),"0",""),"-",""))+LEN(SUBSTITUTE(SUBSTITUTE(SUBSTITUTE(F207," ",""),"0",""),"-",""))))),1,0)),0)</f>
      </c>
      <c r="E217" s="14" t="str">
        <f>C186+E202</f>
      </c>
      <c r="F217" s="14" t="str">
        <f>E186+C202</f>
      </c>
      <c r="I217" s="14" t="str">
        <f>data!$E$62&amp;" "&amp;data!$B$62</f>
      </c>
      <c r="J217" s="14" t="str">
        <f>IF(OR(COUNTA(J187:K191,M187:N191)&gt;0,OR(L186="X",L186="x"),UPPER(L187)="X",UPPER(L188)="X",UPPER(L189)="X",UPPER(L190)="X",UPPER(L191)="X"),J186,0)+IF(OR(COUNTA(J203:K207,M203:N207)&gt;0,OR(L202="X",L202="x"),UPPER(L203)="X",UPPER(L204)="X",UPPER(L205)="X",UPPER(L206)="X",UPPER(L207)="X"),N202,0)</f>
      </c>
      <c r="K217" s="14" t="str">
        <f>IF(OR(COUNTA(J187:K191,M187:N191)&gt;0,OR(L186="X",L186="x"),UPPER(L187)="X",UPPER(L188)="X",UPPER(L189)="X",UPPER(L190)="X",UPPER(L191)="X"),N186,0)+IF(OR(COUNTA(J203:K207,M203:N207)&gt;0,OR(L202="X",L202="x"),UPPER(L203)="X",UPPER(L204)="X",UPPER(L205)="X",UPPER(L206)="X",UPPER(L207)="X"),J202,0)</f>
      </c>
      <c r="L217" s="14" t="str">
        <f>IF(OR(COUNTA(J187:K191,M187:N191)&gt;0,OR(L186="X",L186="x"),UPPER(L187)="X",UPPER(L188)="X",UPPER(L189)="X",UPPER(L190)="X",UPPER(L191)="X"),(IF(OR(L187="X",L187="x",AND(COUNTA(J187,K187,M187,N187)&gt;0,(LEN(SUBSTITUTE(SUBSTITUTE(SUBSTITUTE(J187," ",""),"0",""),"-",""))+LEN(SUBSTITUTE(SUBSTITUTE(SUBSTITUTE(K187," ",""),"0",""),"-","")))=(LEN(SUBSTITUTE(SUBSTITUTE(SUBSTITUTE(M187," ",""),"0",""),"-",""))+LEN(SUBSTITUTE(SUBSTITUTE(SUBSTITUTE(N187," ",""),"0",""),"-",""))))),1,0)+IF(OR(L188="X",L188="x",AND(COUNTA(J188,K188,M188,N188)&gt;0,(LEN(SUBSTITUTE(SUBSTITUTE(SUBSTITUTE(J188," ",""),"0",""),"-",""))+LEN(SUBSTITUTE(SUBSTITUTE(SUBSTITUTE(K188," ",""),"0",""),"-","")))=(LEN(SUBSTITUTE(SUBSTITUTE(SUBSTITUTE(M188," ",""),"0",""),"-",""))+LEN(SUBSTITUTE(SUBSTITUTE(SUBSTITUTE(N188," ",""),"0",""),"-",""))))),1,0)+IF(OR(L189="X",L189="x",AND(COUNTA(J189,K189,M189,N189)&gt;0,(LEN(SUBSTITUTE(SUBSTITUTE(SUBSTITUTE(J189," ",""),"0",""),"-",""))+LEN(SUBSTITUTE(SUBSTITUTE(SUBSTITUTE(K189," ",""),"0",""),"-","")))=(LEN(SUBSTITUTE(SUBSTITUTE(SUBSTITUTE(M189," ",""),"0",""),"-",""))+LEN(SUBSTITUTE(SUBSTITUTE(SUBSTITUTE(N189," ",""),"0",""),"-",""))))),1,0)+IF(OR(L190="X",L190="x",AND(COUNTA(J190,K190,M190,N190)&gt;0,(LEN(SUBSTITUTE(SUBSTITUTE(SUBSTITUTE(J190," ",""),"0",""),"-",""))+LEN(SUBSTITUTE(SUBSTITUTE(SUBSTITUTE(K190," ",""),"0",""),"-","")))=(LEN(SUBSTITUTE(SUBSTITUTE(SUBSTITUTE(M190," ",""),"0",""),"-",""))+LEN(SUBSTITUTE(SUBSTITUTE(SUBSTITUTE(N190," ",""),"0",""),"-",""))))),1,0)+IF(OR(L191="X",L191="x",AND(COUNTA(J191,K191,M191,N191)&gt;0,(LEN(SUBSTITUTE(SUBSTITUTE(SUBSTITUTE(J191," ",""),"0",""),"-",""))+LEN(SUBSTITUTE(SUBSTITUTE(SUBSTITUTE(K191," ",""),"0",""),"-","")))=(LEN(SUBSTITUTE(SUBSTITUTE(SUBSTITUTE(M191," ",""),"0",""),"-",""))+LEN(SUBSTITUTE(SUBSTITUTE(SUBSTITUTE(N191," ",""),"0",""),"-",""))))),1,0)),0)+IF(OR(COUNTA(J203:K207,M203:N207)&gt;0,OR(L202="X",L202="x"),UPPER(L203)="X",UPPER(L204)="X",UPPER(L205)="X",UPPER(L206)="X",UPPER(L207)="X"),(IF(OR(L203="X",L203="x",AND(COUNTA(J203,K203,M203,N203)&gt;0,(LEN(SUBSTITUTE(SUBSTITUTE(SUBSTITUTE(J203," ",""),"0",""),"-",""))+LEN(SUBSTITUTE(SUBSTITUTE(SUBSTITUTE(K203," ",""),"0",""),"-","")))=(LEN(SUBSTITUTE(SUBSTITUTE(SUBSTITUTE(M203," ",""),"0",""),"-",""))+LEN(SUBSTITUTE(SUBSTITUTE(SUBSTITUTE(N203," ",""),"0",""),"-",""))))),1,0)+IF(OR(L204="X",L204="x",AND(COUNTA(J204,K204,M204,N204)&gt;0,(LEN(SUBSTITUTE(SUBSTITUTE(SUBSTITUTE(J204," ",""),"0",""),"-",""))+LEN(SUBSTITUTE(SUBSTITUTE(SUBSTITUTE(K204," ",""),"0",""),"-","")))=(LEN(SUBSTITUTE(SUBSTITUTE(SUBSTITUTE(M204," ",""),"0",""),"-",""))+LEN(SUBSTITUTE(SUBSTITUTE(SUBSTITUTE(N204," ",""),"0",""),"-",""))))),1,0)+IF(OR(L205="X",L205="x",AND(COUNTA(J205,K205,M205,N205)&gt;0,(LEN(SUBSTITUTE(SUBSTITUTE(SUBSTITUTE(J205," ",""),"0",""),"-",""))+LEN(SUBSTITUTE(SUBSTITUTE(SUBSTITUTE(K205," ",""),"0",""),"-","")))=(LEN(SUBSTITUTE(SUBSTITUTE(SUBSTITUTE(M205," ",""),"0",""),"-",""))+LEN(SUBSTITUTE(SUBSTITUTE(SUBSTITUTE(N205," ",""),"0",""),"-",""))))),1,0)+IF(OR(L206="X",L206="x",AND(COUNTA(J206,K206,M206,N206)&gt;0,(LEN(SUBSTITUTE(SUBSTITUTE(SUBSTITUTE(J206," ",""),"0",""),"-",""))+LEN(SUBSTITUTE(SUBSTITUTE(SUBSTITUTE(K206," ",""),"0",""),"-","")))=(LEN(SUBSTITUTE(SUBSTITUTE(SUBSTITUTE(M206," ",""),"0",""),"-",""))+LEN(SUBSTITUTE(SUBSTITUTE(SUBSTITUTE(N206," ",""),"0",""),"-",""))))),1,0)+IF(OR(L207="X",L207="x",AND(COUNTA(J207,K207,M207,N207)&gt;0,(LEN(SUBSTITUTE(SUBSTITUTE(SUBSTITUTE(J207," ",""),"0",""),"-",""))+LEN(SUBSTITUTE(SUBSTITUTE(SUBSTITUTE(K207," ",""),"0",""),"-","")))=(LEN(SUBSTITUTE(SUBSTITUTE(SUBSTITUTE(M207," ",""),"0",""),"-",""))+LEN(SUBSTITUTE(SUBSTITUTE(SUBSTITUTE(N207," ",""),"0",""),"-",""))))),1,0)),0)</f>
      </c>
      <c r="M217" s="14" t="str">
        <f>K186+M202</f>
      </c>
      <c r="N217" s="14" t="str">
        <f>M186+K202</f>
      </c>
    </row>
    <row r="218">
      <c r="A218" s="14" t="str">
        <f>data!$E$18&amp;" "&amp;data!$B$18</f>
      </c>
      <c r="B218" s="14" t="str">
        <f>IF(OR(COUNTA(B195:C199,E195:F199)&gt;0,OR(D194="X",D194="x"),UPPER(D195)="X",UPPER(D196)="X",UPPER(D197)="X",UPPER(D198)="X",UPPER(D199)="X"),B194,0)+IF(OR(COUNTA(B203:C207,E203:F207)&gt;0,OR(D202="X",D202="x"),UPPER(D203)="X",UPPER(D204)="X",UPPER(D205)="X",UPPER(D206)="X",UPPER(D207)="X"),B202,0)</f>
      </c>
      <c r="C218" s="14" t="str">
        <f>IF(OR(COUNTA(B195:C199,E195:F199)&gt;0,OR(D194="X",D194="x"),UPPER(D195)="X",UPPER(D196)="X",UPPER(D197)="X",UPPER(D198)="X",UPPER(D199)="X"),F194,0)+IF(OR(COUNTA(B203:C207,E203:F207)&gt;0,OR(D202="X",D202="x"),UPPER(D203)="X",UPPER(D204)="X",UPPER(D205)="X",UPPER(D206)="X",UPPER(D207)="X"),F202,0)</f>
      </c>
      <c r="D218" s="14" t="str">
        <f>IF(OR(COUNTA(B195:C199,E195:F199)&gt;0,OR(D194="X",D194="x"),UPPER(D195)="X",UPPER(D196)="X",UPPER(D197)="X",UPPER(D198)="X",UPPER(D199)="X"),(IF(OR(D195="X",D195="x",AND(COUNTA(B195,C195,E195,F195)&gt;0,(LEN(SUBSTITUTE(SUBSTITUTE(SUBSTITUTE(B195," ",""),"0",""),"-",""))+LEN(SUBSTITUTE(SUBSTITUTE(SUBSTITUTE(C195," ",""),"0",""),"-","")))=(LEN(SUBSTITUTE(SUBSTITUTE(SUBSTITUTE(E195," ",""),"0",""),"-",""))+LEN(SUBSTITUTE(SUBSTITUTE(SUBSTITUTE(F195," ",""),"0",""),"-",""))))),1,0)+IF(OR(D196="X",D196="x",AND(COUNTA(B196,C196,E196,F196)&gt;0,(LEN(SUBSTITUTE(SUBSTITUTE(SUBSTITUTE(B196," ",""),"0",""),"-",""))+LEN(SUBSTITUTE(SUBSTITUTE(SUBSTITUTE(C196," ",""),"0",""),"-","")))=(LEN(SUBSTITUTE(SUBSTITUTE(SUBSTITUTE(E196," ",""),"0",""),"-",""))+LEN(SUBSTITUTE(SUBSTITUTE(SUBSTITUTE(F196," ",""),"0",""),"-",""))))),1,0)+IF(OR(D197="X",D197="x",AND(COUNTA(B197,C197,E197,F197)&gt;0,(LEN(SUBSTITUTE(SUBSTITUTE(SUBSTITUTE(B197," ",""),"0",""),"-",""))+LEN(SUBSTITUTE(SUBSTITUTE(SUBSTITUTE(C197," ",""),"0",""),"-","")))=(LEN(SUBSTITUTE(SUBSTITUTE(SUBSTITUTE(E197," ",""),"0",""),"-",""))+LEN(SUBSTITUTE(SUBSTITUTE(SUBSTITUTE(F197," ",""),"0",""),"-",""))))),1,0)+IF(OR(D198="X",D198="x",AND(COUNTA(B198,C198,E198,F198)&gt;0,(LEN(SUBSTITUTE(SUBSTITUTE(SUBSTITUTE(B198," ",""),"0",""),"-",""))+LEN(SUBSTITUTE(SUBSTITUTE(SUBSTITUTE(C198," ",""),"0",""),"-","")))=(LEN(SUBSTITUTE(SUBSTITUTE(SUBSTITUTE(E198," ",""),"0",""),"-",""))+LEN(SUBSTITUTE(SUBSTITUTE(SUBSTITUTE(F198," ",""),"0",""),"-",""))))),1,0)+IF(OR(D199="X",D199="x",AND(COUNTA(B199,C199,E199,F199)&gt;0,(LEN(SUBSTITUTE(SUBSTITUTE(SUBSTITUTE(B199," ",""),"0",""),"-",""))+LEN(SUBSTITUTE(SUBSTITUTE(SUBSTITUTE(C199," ",""),"0",""),"-","")))=(LEN(SUBSTITUTE(SUBSTITUTE(SUBSTITUTE(E199," ",""),"0",""),"-",""))+LEN(SUBSTITUTE(SUBSTITUTE(SUBSTITUTE(F199," ",""),"0",""),"-",""))))),1,0)),0)+IF(OR(COUNTA(B203:C207,E203:F207)&gt;0,OR(D202="X",D202="x"),UPPER(D203)="X",UPPER(D204)="X",UPPER(D205)="X",UPPER(D206)="X",UPPER(D207)="X"),(IF(OR(D203="X",D203="x",AND(COUNTA(B203,C203,E203,F203)&gt;0,(LEN(SUBSTITUTE(SUBSTITUTE(SUBSTITUTE(B203," ",""),"0",""),"-",""))+LEN(SUBSTITUTE(SUBSTITUTE(SUBSTITUTE(C203," ",""),"0",""),"-","")))=(LEN(SUBSTITUTE(SUBSTITUTE(SUBSTITUTE(E203," ",""),"0",""),"-",""))+LEN(SUBSTITUTE(SUBSTITUTE(SUBSTITUTE(F203," ",""),"0",""),"-",""))))),1,0)+IF(OR(D204="X",D204="x",AND(COUNTA(B204,C204,E204,F204)&gt;0,(LEN(SUBSTITUTE(SUBSTITUTE(SUBSTITUTE(B204," ",""),"0",""),"-",""))+LEN(SUBSTITUTE(SUBSTITUTE(SUBSTITUTE(C204," ",""),"0",""),"-","")))=(LEN(SUBSTITUTE(SUBSTITUTE(SUBSTITUTE(E204," ",""),"0",""),"-",""))+LEN(SUBSTITUTE(SUBSTITUTE(SUBSTITUTE(F204," ",""),"0",""),"-",""))))),1,0)+IF(OR(D205="X",D205="x",AND(COUNTA(B205,C205,E205,F205)&gt;0,(LEN(SUBSTITUTE(SUBSTITUTE(SUBSTITUTE(B205," ",""),"0",""),"-",""))+LEN(SUBSTITUTE(SUBSTITUTE(SUBSTITUTE(C205," ",""),"0",""),"-","")))=(LEN(SUBSTITUTE(SUBSTITUTE(SUBSTITUTE(E205," ",""),"0",""),"-",""))+LEN(SUBSTITUTE(SUBSTITUTE(SUBSTITUTE(F205," ",""),"0",""),"-",""))))),1,0)+IF(OR(D206="X",D206="x",AND(COUNTA(B206,C206,E206,F206)&gt;0,(LEN(SUBSTITUTE(SUBSTITUTE(SUBSTITUTE(B206," ",""),"0",""),"-",""))+LEN(SUBSTITUTE(SUBSTITUTE(SUBSTITUTE(C206," ",""),"0",""),"-","")))=(LEN(SUBSTITUTE(SUBSTITUTE(SUBSTITUTE(E206," ",""),"0",""),"-",""))+LEN(SUBSTITUTE(SUBSTITUTE(SUBSTITUTE(F206," ",""),"0",""),"-",""))))),1,0)+IF(OR(D207="X",D207="x",AND(COUNTA(B207,C207,E207,F207)&gt;0,(LEN(SUBSTITUTE(SUBSTITUTE(SUBSTITUTE(B207," ",""),"0",""),"-",""))+LEN(SUBSTITUTE(SUBSTITUTE(SUBSTITUTE(C207," ",""),"0",""),"-","")))=(LEN(SUBSTITUTE(SUBSTITUTE(SUBSTITUTE(E207," ",""),"0",""),"-",""))+LEN(SUBSTITUTE(SUBSTITUTE(SUBSTITUTE(F207," ",""),"0",""),"-",""))))),1,0)),0)</f>
      </c>
      <c r="E218" s="14" t="str">
        <f>C194+C202</f>
      </c>
      <c r="F218" s="14" t="str">
        <f>E194+E202</f>
      </c>
      <c r="I218" s="14" t="str">
        <f>data!$E$63&amp;" "&amp;data!$B$63</f>
      </c>
      <c r="J218" s="14" t="str">
        <f>IF(OR(COUNTA(J195:K199,M195:N199)&gt;0,OR(L194="X",L194="x"),UPPER(L195)="X",UPPER(L196)="X",UPPER(L197)="X",UPPER(L198)="X",UPPER(L199)="X"),J194,0)+IF(OR(COUNTA(J203:K207,M203:N207)&gt;0,OR(L202="X",L202="x"),UPPER(L203)="X",UPPER(L204)="X",UPPER(L205)="X",UPPER(L206)="X",UPPER(L207)="X"),J202,0)</f>
      </c>
      <c r="K218" s="14" t="str">
        <f>IF(OR(COUNTA(J195:K199,M195:N199)&gt;0,OR(L194="X",L194="x"),UPPER(L195)="X",UPPER(L196)="X",UPPER(L197)="X",UPPER(L198)="X",UPPER(L199)="X"),N194,0)+IF(OR(COUNTA(J203:K207,M203:N207)&gt;0,OR(L202="X",L202="x"),UPPER(L203)="X",UPPER(L204)="X",UPPER(L205)="X",UPPER(L206)="X",UPPER(L207)="X"),N202,0)</f>
      </c>
      <c r="L218" s="14" t="str">
        <f>IF(OR(COUNTA(J195:K199,M195:N199)&gt;0,OR(L194="X",L194="x"),UPPER(L195)="X",UPPER(L196)="X",UPPER(L197)="X",UPPER(L198)="X",UPPER(L199)="X"),(IF(OR(L195="X",L195="x",AND(COUNTA(J195,K195,M195,N195)&gt;0,(LEN(SUBSTITUTE(SUBSTITUTE(SUBSTITUTE(J195," ",""),"0",""),"-",""))+LEN(SUBSTITUTE(SUBSTITUTE(SUBSTITUTE(K195," ",""),"0",""),"-","")))=(LEN(SUBSTITUTE(SUBSTITUTE(SUBSTITUTE(M195," ",""),"0",""),"-",""))+LEN(SUBSTITUTE(SUBSTITUTE(SUBSTITUTE(N195," ",""),"0",""),"-",""))))),1,0)+IF(OR(L196="X",L196="x",AND(COUNTA(J196,K196,M196,N196)&gt;0,(LEN(SUBSTITUTE(SUBSTITUTE(SUBSTITUTE(J196," ",""),"0",""),"-",""))+LEN(SUBSTITUTE(SUBSTITUTE(SUBSTITUTE(K196," ",""),"0",""),"-","")))=(LEN(SUBSTITUTE(SUBSTITUTE(SUBSTITUTE(M196," ",""),"0",""),"-",""))+LEN(SUBSTITUTE(SUBSTITUTE(SUBSTITUTE(N196," ",""),"0",""),"-",""))))),1,0)+IF(OR(L197="X",L197="x",AND(COUNTA(J197,K197,M197,N197)&gt;0,(LEN(SUBSTITUTE(SUBSTITUTE(SUBSTITUTE(J197," ",""),"0",""),"-",""))+LEN(SUBSTITUTE(SUBSTITUTE(SUBSTITUTE(K197," ",""),"0",""),"-","")))=(LEN(SUBSTITUTE(SUBSTITUTE(SUBSTITUTE(M197," ",""),"0",""),"-",""))+LEN(SUBSTITUTE(SUBSTITUTE(SUBSTITUTE(N197," ",""),"0",""),"-",""))))),1,0)+IF(OR(L198="X",L198="x",AND(COUNTA(J198,K198,M198,N198)&gt;0,(LEN(SUBSTITUTE(SUBSTITUTE(SUBSTITUTE(J198," ",""),"0",""),"-",""))+LEN(SUBSTITUTE(SUBSTITUTE(SUBSTITUTE(K198," ",""),"0",""),"-","")))=(LEN(SUBSTITUTE(SUBSTITUTE(SUBSTITUTE(M198," ",""),"0",""),"-",""))+LEN(SUBSTITUTE(SUBSTITUTE(SUBSTITUTE(N198," ",""),"0",""),"-",""))))),1,0)+IF(OR(L199="X",L199="x",AND(COUNTA(J199,K199,M199,N199)&gt;0,(LEN(SUBSTITUTE(SUBSTITUTE(SUBSTITUTE(J199," ",""),"0",""),"-",""))+LEN(SUBSTITUTE(SUBSTITUTE(SUBSTITUTE(K199," ",""),"0",""),"-","")))=(LEN(SUBSTITUTE(SUBSTITUTE(SUBSTITUTE(M199," ",""),"0",""),"-",""))+LEN(SUBSTITUTE(SUBSTITUTE(SUBSTITUTE(N199," ",""),"0",""),"-",""))))),1,0)),0)+IF(OR(COUNTA(J203:K207,M203:N207)&gt;0,OR(L202="X",L202="x"),UPPER(L203)="X",UPPER(L204)="X",UPPER(L205)="X",UPPER(L206)="X",UPPER(L207)="X"),(IF(OR(L203="X",L203="x",AND(COUNTA(J203,K203,M203,N203)&gt;0,(LEN(SUBSTITUTE(SUBSTITUTE(SUBSTITUTE(J203," ",""),"0",""),"-",""))+LEN(SUBSTITUTE(SUBSTITUTE(SUBSTITUTE(K203," ",""),"0",""),"-","")))=(LEN(SUBSTITUTE(SUBSTITUTE(SUBSTITUTE(M203," ",""),"0",""),"-",""))+LEN(SUBSTITUTE(SUBSTITUTE(SUBSTITUTE(N203," ",""),"0",""),"-",""))))),1,0)+IF(OR(L204="X",L204="x",AND(COUNTA(J204,K204,M204,N204)&gt;0,(LEN(SUBSTITUTE(SUBSTITUTE(SUBSTITUTE(J204," ",""),"0",""),"-",""))+LEN(SUBSTITUTE(SUBSTITUTE(SUBSTITUTE(K204," ",""),"0",""),"-","")))=(LEN(SUBSTITUTE(SUBSTITUTE(SUBSTITUTE(M204," ",""),"0",""),"-",""))+LEN(SUBSTITUTE(SUBSTITUTE(SUBSTITUTE(N204," ",""),"0",""),"-",""))))),1,0)+IF(OR(L205="X",L205="x",AND(COUNTA(J205,K205,M205,N205)&gt;0,(LEN(SUBSTITUTE(SUBSTITUTE(SUBSTITUTE(J205," ",""),"0",""),"-",""))+LEN(SUBSTITUTE(SUBSTITUTE(SUBSTITUTE(K205," ",""),"0",""),"-","")))=(LEN(SUBSTITUTE(SUBSTITUTE(SUBSTITUTE(M205," ",""),"0",""),"-",""))+LEN(SUBSTITUTE(SUBSTITUTE(SUBSTITUTE(N205," ",""),"0",""),"-",""))))),1,0)+IF(OR(L206="X",L206="x",AND(COUNTA(J206,K206,M206,N206)&gt;0,(LEN(SUBSTITUTE(SUBSTITUTE(SUBSTITUTE(J206," ",""),"0",""),"-",""))+LEN(SUBSTITUTE(SUBSTITUTE(SUBSTITUTE(K206," ",""),"0",""),"-","")))=(LEN(SUBSTITUTE(SUBSTITUTE(SUBSTITUTE(M206," ",""),"0",""),"-",""))+LEN(SUBSTITUTE(SUBSTITUTE(SUBSTITUTE(N206," ",""),"0",""),"-",""))))),1,0)+IF(OR(L207="X",L207="x",AND(COUNTA(J207,K207,M207,N207)&gt;0,(LEN(SUBSTITUTE(SUBSTITUTE(SUBSTITUTE(J207," ",""),"0",""),"-",""))+LEN(SUBSTITUTE(SUBSTITUTE(SUBSTITUTE(K207," ",""),"0",""),"-","")))=(LEN(SUBSTITUTE(SUBSTITUTE(SUBSTITUTE(M207," ",""),"0",""),"-",""))+LEN(SUBSTITUTE(SUBSTITUTE(SUBSTITUTE(N207," ",""),"0",""),"-",""))))),1,0)),0)</f>
      </c>
      <c r="M218" s="14" t="str">
        <f>K194+K202</f>
      </c>
      <c r="N218" s="14" t="str">
        <f>M194+M202</f>
      </c>
    </row>
    <row r="221">
      <c r="F221" s="13"/>
      <c r="G221" s="13" t="s">
        <v>343</v>
      </c>
      <c r="N221" s="13"/>
      <c r="O221" s="13" t="s">
        <v>343</v>
      </c>
    </row>
    <row r="222">
      <c r="F222" t="s">
        <v>344</v>
      </c>
      <c r="G222" s="19" t="str">
        <f>IFERROR(INDEX($A$211:$A$218, MATCH(1, $G$211:$G$218, 0)), "-")</f>
      </c>
      <c r="N222" t="s">
        <v>344</v>
      </c>
      <c r="O222" s="19" t="str">
        <f>IFERROR(INDEX($I$211:$I$218, MATCH(1, $O$211:$O$218, 0)), "-")</f>
      </c>
    </row>
    <row r="223">
      <c r="F223" t="s">
        <v>345</v>
      </c>
      <c r="G223" s="19" t="str">
        <f>IFERROR(INDEX($A$211:$A$218, MATCH(2, $G$211:$G$218, 0)), "-")</f>
      </c>
      <c r="N223" t="s">
        <v>345</v>
      </c>
      <c r="O223" s="19" t="str">
        <f>IFERROR(INDEX($I$211:$I$218, MATCH(2, $O$211:$O$218, 0)), "-")</f>
      </c>
    </row>
    <row r="224">
      <c r="F224" t="s">
        <v>346</v>
      </c>
      <c r="G224" s="19" t="str">
        <f>IFERROR(INDEX($A$211:$A$218, MATCH(3, $G$211:$G$218, 0)), "-")</f>
      </c>
      <c r="N224" t="s">
        <v>346</v>
      </c>
      <c r="O224" s="19" t="str">
        <f>IFERROR(INDEX($I$211:$I$218, MATCH(3, $O$211:$O$218, 0)), "-")</f>
      </c>
    </row>
    <row r="227">
      <c r="A227" s="13" t="str">
        <f>'data'!$A$21</f>
      </c>
      <c r="B227" s="13"/>
      <c r="C227" s="13"/>
      <c r="D227" s="13"/>
      <c r="E227" s="13"/>
      <c r="F227" s="13"/>
      <c r="G227" s="13"/>
      <c r="I227" s="13" t="str">
        <f>'data'!$A$66</f>
      </c>
      <c r="J227" s="13"/>
      <c r="K227" s="13"/>
      <c r="L227" s="13"/>
      <c r="M227" s="13"/>
      <c r="N227" s="13"/>
      <c r="O227" s="13"/>
    </row>
    <row r="228">
      <c r="A228" s="17" t="s">
        <v>330</v>
      </c>
      <c r="B228" s="14"/>
      <c r="C228" s="14"/>
      <c r="D228" s="14" t="s">
        <v>331</v>
      </c>
      <c r="E228" s="14"/>
      <c r="F228" s="14"/>
      <c r="G228" s="16" t="s">
        <v>332</v>
      </c>
      <c r="I228" s="17" t="s">
        <v>330</v>
      </c>
      <c r="J228" s="14"/>
      <c r="K228" s="14"/>
      <c r="L228" s="14" t="s">
        <v>331</v>
      </c>
      <c r="M228" s="14"/>
      <c r="N228" s="14"/>
      <c r="O228" s="16" t="s">
        <v>332</v>
      </c>
    </row>
    <row r="229">
      <c r="A229" s="14" t="str">
        <f>data!$E$20&amp;" "&amp;data!$B$20</f>
      </c>
      <c r="B229" s="14" t="str">
        <f>IF(UPPER(D230)="X",0,IF((LEN(SUBSTITUTE(SUBSTITUTE(SUBSTITUTE(B230," ",""),"0",""),"-",""))+LEN(SUBSTITUTE(SUBSTITUTE(SUBSTITUTE(C230," ",""),"0",""),"-","")))&gt;(LEN(SUBSTITUTE(SUBSTITUTE(SUBSTITUTE(E230," ",""),"0",""),"-",""))+LEN(SUBSTITUTE(SUBSTITUTE(SUBSTITUTE(F230," ",""),"0",""),"-",""))),1,0))+IF(UPPER(D231)="X",0,IF((LEN(SUBSTITUTE(SUBSTITUTE(SUBSTITUTE(B231," ",""),"0",""),"-",""))+LEN(SUBSTITUTE(SUBSTITUTE(SUBSTITUTE(C231," ",""),"0",""),"-","")))&gt;(LEN(SUBSTITUTE(SUBSTITUTE(SUBSTITUTE(E231," ",""),"0",""),"-",""))+LEN(SUBSTITUTE(SUBSTITUTE(SUBSTITUTE(F231," ",""),"0",""),"-",""))),1,0))+IF(UPPER(D232)="X",0,IF((LEN(SUBSTITUTE(SUBSTITUTE(SUBSTITUTE(B232," ",""),"0",""),"-",""))+LEN(SUBSTITUTE(SUBSTITUTE(SUBSTITUTE(C232," ",""),"0",""),"-","")))&gt;(LEN(SUBSTITUTE(SUBSTITUTE(SUBSTITUTE(E232," ",""),"0",""),"-",""))+LEN(SUBSTITUTE(SUBSTITUTE(SUBSTITUTE(F232," ",""),"0",""),"-",""))),1,0))+IF(UPPER(D233)="X",0,IF((LEN(SUBSTITUTE(SUBSTITUTE(SUBSTITUTE(B233," ",""),"0",""),"-",""))+LEN(SUBSTITUTE(SUBSTITUTE(SUBSTITUTE(C233," ",""),"0",""),"-","")))&gt;(LEN(SUBSTITUTE(SUBSTITUTE(SUBSTITUTE(E233," ",""),"0",""),"-",""))+LEN(SUBSTITUTE(SUBSTITUTE(SUBSTITUTE(F233," ",""),"0",""),"-",""))),1,0))+IF(UPPER(D234)="X",0,IF((LEN(SUBSTITUTE(SUBSTITUTE(SUBSTITUTE(B234," ",""),"0",""),"-",""))+LEN(SUBSTITUTE(SUBSTITUTE(SUBSTITUTE(C234," ",""),"0",""),"-","")))&gt;(LEN(SUBSTITUTE(SUBSTITUTE(SUBSTITUTE(E234," ",""),"0",""),"-",""))+LEN(SUBSTITUTE(SUBSTITUTE(SUBSTITUTE(F234," ",""),"0",""),"-",""))),1,0))</f>
      </c>
      <c r="C229" s="14" t="str">
        <f>LEN(SUBSTITUTE(SUBSTITUTE(SUBSTITUTE(B230," ",""),"0",""),"-",""))+LEN(SUBSTITUTE(SUBSTITUTE(SUBSTITUTE(C230," ",""),"0",""),"-",""))+LEN(SUBSTITUTE(SUBSTITUTE(SUBSTITUTE(B231," ",""),"0",""),"-",""))+LEN(SUBSTITUTE(SUBSTITUTE(SUBSTITUTE(C231," ",""),"0",""),"-",""))+LEN(SUBSTITUTE(SUBSTITUTE(SUBSTITUTE(B232," ",""),"0",""),"-",""))+LEN(SUBSTITUTE(SUBSTITUTE(SUBSTITUTE(C232," ",""),"0",""),"-",""))+LEN(SUBSTITUTE(SUBSTITUTE(SUBSTITUTE(B233," ",""),"0",""),"-",""))+LEN(SUBSTITUTE(SUBSTITUTE(SUBSTITUTE(C233," ",""),"0",""),"-",""))+LEN(SUBSTITUTE(SUBSTITUTE(SUBSTITUTE(B234," ",""),"0",""),"-",""))+LEN(SUBSTITUTE(SUBSTITUTE(SUBSTITUTE(C234," ",""),"0",""),"-",""))</f>
      </c>
      <c r="D229" s="18"/>
      <c r="E229" s="14" t="str">
        <f>LEN(SUBSTITUTE(SUBSTITUTE(SUBSTITUTE(E230," ",""),"0",""),"-",""))+LEN(SUBSTITUTE(SUBSTITUTE(SUBSTITUTE(F230," ",""),"0",""),"-",""))+LEN(SUBSTITUTE(SUBSTITUTE(SUBSTITUTE(E231," ",""),"0",""),"-",""))+LEN(SUBSTITUTE(SUBSTITUTE(SUBSTITUTE(F231," ",""),"0",""),"-",""))+LEN(SUBSTITUTE(SUBSTITUTE(SUBSTITUTE(E232," ",""),"0",""),"-",""))+LEN(SUBSTITUTE(SUBSTITUTE(SUBSTITUTE(F232," ",""),"0",""),"-",""))+LEN(SUBSTITUTE(SUBSTITUTE(SUBSTITUTE(E233," ",""),"0",""),"-",""))+LEN(SUBSTITUTE(SUBSTITUTE(SUBSTITUTE(F233," ",""),"0",""),"-",""))+LEN(SUBSTITUTE(SUBSTITUTE(SUBSTITUTE(E234," ",""),"0",""),"-",""))+LEN(SUBSTITUTE(SUBSTITUTE(SUBSTITUTE(F234," ",""),"0",""),"-",""))</f>
      </c>
      <c r="F229" s="14" t="str">
        <f>IF(UPPER(D230)="X",0,IF((LEN(SUBSTITUTE(SUBSTITUTE(SUBSTITUTE(E230," ",""),"0",""),"-",""))+LEN(SUBSTITUTE(SUBSTITUTE(SUBSTITUTE(F230," ",""),"0",""),"-","")))&gt;(LEN(SUBSTITUTE(SUBSTITUTE(SUBSTITUTE(B230," ",""),"0",""),"-",""))+LEN(SUBSTITUTE(SUBSTITUTE(SUBSTITUTE(C230," ",""),"0",""),"-",""))),1,0))+IF(UPPER(D231)="X",0,IF((LEN(SUBSTITUTE(SUBSTITUTE(SUBSTITUTE(E231," ",""),"0",""),"-",""))+LEN(SUBSTITUTE(SUBSTITUTE(SUBSTITUTE(F231," ",""),"0",""),"-","")))&gt;(LEN(SUBSTITUTE(SUBSTITUTE(SUBSTITUTE(B231," ",""),"0",""),"-",""))+LEN(SUBSTITUTE(SUBSTITUTE(SUBSTITUTE(C231," ",""),"0",""),"-",""))),1,0))+IF(UPPER(D232)="X",0,IF((LEN(SUBSTITUTE(SUBSTITUTE(SUBSTITUTE(E232," ",""),"0",""),"-",""))+LEN(SUBSTITUTE(SUBSTITUTE(SUBSTITUTE(F232," ",""),"0",""),"-","")))&gt;(LEN(SUBSTITUTE(SUBSTITUTE(SUBSTITUTE(B232," ",""),"0",""),"-",""))+LEN(SUBSTITUTE(SUBSTITUTE(SUBSTITUTE(C232," ",""),"0",""),"-",""))),1,0))+IF(UPPER(D233)="X",0,IF((LEN(SUBSTITUTE(SUBSTITUTE(SUBSTITUTE(E233," ",""),"0",""),"-",""))+LEN(SUBSTITUTE(SUBSTITUTE(SUBSTITUTE(F233," ",""),"0",""),"-","")))&gt;(LEN(SUBSTITUTE(SUBSTITUTE(SUBSTITUTE(B233," ",""),"0",""),"-",""))+LEN(SUBSTITUTE(SUBSTITUTE(SUBSTITUTE(C233," ",""),"0",""),"-",""))),1,0))+IF(UPPER(D234)="X",0,IF((LEN(SUBSTITUTE(SUBSTITUTE(SUBSTITUTE(E234," ",""),"0",""),"-",""))+LEN(SUBSTITUTE(SUBSTITUTE(SUBSTITUTE(F234," ",""),"0",""),"-","")))&gt;(LEN(SUBSTITUTE(SUBSTITUTE(SUBSTITUTE(B234," ",""),"0",""),"-",""))+LEN(SUBSTITUTE(SUBSTITUTE(SUBSTITUTE(C234," ",""),"0",""),"-",""))),1,0))</f>
      </c>
      <c r="G229" s="14" t="str">
        <f>data!$E$19&amp;" "&amp;data!$B$19</f>
      </c>
      <c r="I229" s="14" t="str">
        <f>data!$E$65&amp;" "&amp;data!$B$65</f>
      </c>
      <c r="J229" s="14" t="str">
        <f>IF(UPPER(L230)="X",0,IF((LEN(SUBSTITUTE(SUBSTITUTE(SUBSTITUTE(J230," ",""),"0",""),"-",""))+LEN(SUBSTITUTE(SUBSTITUTE(SUBSTITUTE(K230," ",""),"0",""),"-","")))&gt;(LEN(SUBSTITUTE(SUBSTITUTE(SUBSTITUTE(M230," ",""),"0",""),"-",""))+LEN(SUBSTITUTE(SUBSTITUTE(SUBSTITUTE(N230," ",""),"0",""),"-",""))),1,0))+IF(UPPER(L231)="X",0,IF((LEN(SUBSTITUTE(SUBSTITUTE(SUBSTITUTE(J231," ",""),"0",""),"-",""))+LEN(SUBSTITUTE(SUBSTITUTE(SUBSTITUTE(K231," ",""),"0",""),"-","")))&gt;(LEN(SUBSTITUTE(SUBSTITUTE(SUBSTITUTE(M231," ",""),"0",""),"-",""))+LEN(SUBSTITUTE(SUBSTITUTE(SUBSTITUTE(N231," ",""),"0",""),"-",""))),1,0))+IF(UPPER(L232)="X",0,IF((LEN(SUBSTITUTE(SUBSTITUTE(SUBSTITUTE(J232," ",""),"0",""),"-",""))+LEN(SUBSTITUTE(SUBSTITUTE(SUBSTITUTE(K232," ",""),"0",""),"-","")))&gt;(LEN(SUBSTITUTE(SUBSTITUTE(SUBSTITUTE(M232," ",""),"0",""),"-",""))+LEN(SUBSTITUTE(SUBSTITUTE(SUBSTITUTE(N232," ",""),"0",""),"-",""))),1,0))+IF(UPPER(L233)="X",0,IF((LEN(SUBSTITUTE(SUBSTITUTE(SUBSTITUTE(J233," ",""),"0",""),"-",""))+LEN(SUBSTITUTE(SUBSTITUTE(SUBSTITUTE(K233," ",""),"0",""),"-","")))&gt;(LEN(SUBSTITUTE(SUBSTITUTE(SUBSTITUTE(M233," ",""),"0",""),"-",""))+LEN(SUBSTITUTE(SUBSTITUTE(SUBSTITUTE(N233," ",""),"0",""),"-",""))),1,0))+IF(UPPER(L234)="X",0,IF((LEN(SUBSTITUTE(SUBSTITUTE(SUBSTITUTE(J234," ",""),"0",""),"-",""))+LEN(SUBSTITUTE(SUBSTITUTE(SUBSTITUTE(K234," ",""),"0",""),"-","")))&gt;(LEN(SUBSTITUTE(SUBSTITUTE(SUBSTITUTE(M234," ",""),"0",""),"-",""))+LEN(SUBSTITUTE(SUBSTITUTE(SUBSTITUTE(N234," ",""),"0",""),"-",""))),1,0))</f>
      </c>
      <c r="K229" s="14" t="str">
        <f>LEN(SUBSTITUTE(SUBSTITUTE(SUBSTITUTE(J230," ",""),"0",""),"-",""))+LEN(SUBSTITUTE(SUBSTITUTE(SUBSTITUTE(K230," ",""),"0",""),"-",""))+LEN(SUBSTITUTE(SUBSTITUTE(SUBSTITUTE(J231," ",""),"0",""),"-",""))+LEN(SUBSTITUTE(SUBSTITUTE(SUBSTITUTE(K231," ",""),"0",""),"-",""))+LEN(SUBSTITUTE(SUBSTITUTE(SUBSTITUTE(J232," ",""),"0",""),"-",""))+LEN(SUBSTITUTE(SUBSTITUTE(SUBSTITUTE(K232," ",""),"0",""),"-",""))+LEN(SUBSTITUTE(SUBSTITUTE(SUBSTITUTE(J233," ",""),"0",""),"-",""))+LEN(SUBSTITUTE(SUBSTITUTE(SUBSTITUTE(K233," ",""),"0",""),"-",""))+LEN(SUBSTITUTE(SUBSTITUTE(SUBSTITUTE(J234," ",""),"0",""),"-",""))+LEN(SUBSTITUTE(SUBSTITUTE(SUBSTITUTE(K234," ",""),"0",""),"-",""))</f>
      </c>
      <c r="L229" s="18"/>
      <c r="M229" s="14" t="str">
        <f>LEN(SUBSTITUTE(SUBSTITUTE(SUBSTITUTE(M230," ",""),"0",""),"-",""))+LEN(SUBSTITUTE(SUBSTITUTE(SUBSTITUTE(N230," ",""),"0",""),"-",""))+LEN(SUBSTITUTE(SUBSTITUTE(SUBSTITUTE(M231," ",""),"0",""),"-",""))+LEN(SUBSTITUTE(SUBSTITUTE(SUBSTITUTE(N231," ",""),"0",""),"-",""))+LEN(SUBSTITUTE(SUBSTITUTE(SUBSTITUTE(M232," ",""),"0",""),"-",""))+LEN(SUBSTITUTE(SUBSTITUTE(SUBSTITUTE(N232," ",""),"0",""),"-",""))+LEN(SUBSTITUTE(SUBSTITUTE(SUBSTITUTE(M233," ",""),"0",""),"-",""))+LEN(SUBSTITUTE(SUBSTITUTE(SUBSTITUTE(N233," ",""),"0",""),"-",""))+LEN(SUBSTITUTE(SUBSTITUTE(SUBSTITUTE(M234," ",""),"0",""),"-",""))+LEN(SUBSTITUTE(SUBSTITUTE(SUBSTITUTE(N234," ",""),"0",""),"-",""))</f>
      </c>
      <c r="N229" s="14" t="str">
        <f>IF(UPPER(L230)="X",0,IF((LEN(SUBSTITUTE(SUBSTITUTE(SUBSTITUTE(M230," ",""),"0",""),"-",""))+LEN(SUBSTITUTE(SUBSTITUTE(SUBSTITUTE(N230," ",""),"0",""),"-","")))&gt;(LEN(SUBSTITUTE(SUBSTITUTE(SUBSTITUTE(J230," ",""),"0",""),"-",""))+LEN(SUBSTITUTE(SUBSTITUTE(SUBSTITUTE(K230," ",""),"0",""),"-",""))),1,0))+IF(UPPER(L231)="X",0,IF((LEN(SUBSTITUTE(SUBSTITUTE(SUBSTITUTE(M231," ",""),"0",""),"-",""))+LEN(SUBSTITUTE(SUBSTITUTE(SUBSTITUTE(N231," ",""),"0",""),"-","")))&gt;(LEN(SUBSTITUTE(SUBSTITUTE(SUBSTITUTE(J231," ",""),"0",""),"-",""))+LEN(SUBSTITUTE(SUBSTITUTE(SUBSTITUTE(K231," ",""),"0",""),"-",""))),1,0))+IF(UPPER(L232)="X",0,IF((LEN(SUBSTITUTE(SUBSTITUTE(SUBSTITUTE(M232," ",""),"0",""),"-",""))+LEN(SUBSTITUTE(SUBSTITUTE(SUBSTITUTE(N232," ",""),"0",""),"-","")))&gt;(LEN(SUBSTITUTE(SUBSTITUTE(SUBSTITUTE(J232," ",""),"0",""),"-",""))+LEN(SUBSTITUTE(SUBSTITUTE(SUBSTITUTE(K232," ",""),"0",""),"-",""))),1,0))+IF(UPPER(L233)="X",0,IF((LEN(SUBSTITUTE(SUBSTITUTE(SUBSTITUTE(M233," ",""),"0",""),"-",""))+LEN(SUBSTITUTE(SUBSTITUTE(SUBSTITUTE(N233," ",""),"0",""),"-","")))&gt;(LEN(SUBSTITUTE(SUBSTITUTE(SUBSTITUTE(J233," ",""),"0",""),"-",""))+LEN(SUBSTITUTE(SUBSTITUTE(SUBSTITUTE(K233," ",""),"0",""),"-",""))),1,0))+IF(UPPER(L234)="X",0,IF((LEN(SUBSTITUTE(SUBSTITUTE(SUBSTITUTE(M234," ",""),"0",""),"-",""))+LEN(SUBSTITUTE(SUBSTITUTE(SUBSTITUTE(N234," ",""),"0",""),"-","")))&gt;(LEN(SUBSTITUTE(SUBSTITUTE(SUBSTITUTE(J234," ",""),"0",""),"-",""))+LEN(SUBSTITUTE(SUBSTITUTE(SUBSTITUTE(K234," ",""),"0",""),"-",""))),1,0))</f>
      </c>
      <c r="O229" s="14" t="str">
        <f>data!$E$64&amp;" "&amp;data!$B$64</f>
      </c>
    </row>
    <row r="230">
      <c r="A230" s="14">
        <v>1</v>
      </c>
      <c r="B230" s="18"/>
      <c r="C230" s="18"/>
      <c r="D230" s="18"/>
      <c r="E230" s="18"/>
      <c r="F230" s="18"/>
      <c r="G230" s="14">
        <v>1</v>
      </c>
      <c r="I230" s="14">
        <v>1</v>
      </c>
      <c r="J230" s="18"/>
      <c r="K230" s="18"/>
      <c r="L230" s="18"/>
      <c r="M230" s="18"/>
      <c r="N230" s="18"/>
      <c r="O230" s="14">
        <v>1</v>
      </c>
    </row>
    <row r="231">
      <c r="A231" s="14">
        <v>2</v>
      </c>
      <c r="B231" s="18"/>
      <c r="C231" s="18"/>
      <c r="D231" s="18"/>
      <c r="E231" s="18"/>
      <c r="F231" s="18"/>
      <c r="G231" s="14">
        <v>2</v>
      </c>
      <c r="I231" s="14">
        <v>2</v>
      </c>
      <c r="J231" s="18"/>
      <c r="K231" s="18"/>
      <c r="L231" s="18"/>
      <c r="M231" s="18"/>
      <c r="N231" s="18"/>
      <c r="O231" s="14">
        <v>2</v>
      </c>
    </row>
    <row r="232">
      <c r="A232" s="14">
        <v>3</v>
      </c>
      <c r="B232" s="18"/>
      <c r="C232" s="18"/>
      <c r="D232" s="18"/>
      <c r="E232" s="18"/>
      <c r="F232" s="18"/>
      <c r="G232" s="14">
        <v>3</v>
      </c>
      <c r="I232" s="14">
        <v>3</v>
      </c>
      <c r="J232" s="18"/>
      <c r="K232" s="18"/>
      <c r="L232" s="18"/>
      <c r="M232" s="18"/>
      <c r="N232" s="18"/>
      <c r="O232" s="14">
        <v>3</v>
      </c>
    </row>
    <row r="233">
      <c r="A233" s="14">
        <v>4</v>
      </c>
      <c r="B233" s="18"/>
      <c r="C233" s="18"/>
      <c r="D233" s="18"/>
      <c r="E233" s="18"/>
      <c r="F233" s="18"/>
      <c r="G233" s="14">
        <v>4</v>
      </c>
      <c r="I233" s="14">
        <v>4</v>
      </c>
      <c r="J233" s="18"/>
      <c r="K233" s="18"/>
      <c r="L233" s="18"/>
      <c r="M233" s="18"/>
      <c r="N233" s="18"/>
      <c r="O233" s="14">
        <v>4</v>
      </c>
    </row>
    <row r="234">
      <c r="A234" s="14">
        <v>5</v>
      </c>
      <c r="B234" s="18"/>
      <c r="C234" s="18"/>
      <c r="D234" s="18"/>
      <c r="E234" s="18"/>
      <c r="F234" s="18"/>
      <c r="G234" s="14">
        <v>5</v>
      </c>
      <c r="I234" s="14">
        <v>5</v>
      </c>
      <c r="J234" s="18"/>
      <c r="K234" s="18"/>
      <c r="L234" s="18"/>
      <c r="M234" s="18"/>
      <c r="N234" s="18"/>
      <c r="O234" s="14">
        <v>5</v>
      </c>
    </row>
    <row r="236">
      <c r="A236" s="17" t="s">
        <v>330</v>
      </c>
      <c r="B236" s="14"/>
      <c r="C236" s="14"/>
      <c r="D236" s="14" t="s">
        <v>331</v>
      </c>
      <c r="E236" s="14"/>
      <c r="F236" s="14"/>
      <c r="G236" s="16" t="s">
        <v>332</v>
      </c>
      <c r="I236" s="17" t="s">
        <v>330</v>
      </c>
      <c r="J236" s="14"/>
      <c r="K236" s="14"/>
      <c r="L236" s="14" t="s">
        <v>331</v>
      </c>
      <c r="M236" s="14"/>
      <c r="N236" s="14"/>
      <c r="O236" s="16" t="s">
        <v>332</v>
      </c>
    </row>
    <row r="237">
      <c r="A237" s="14" t="str">
        <f>data!$E$21&amp;" "&amp;data!$B$21</f>
      </c>
      <c r="B237" s="14" t="str">
        <f>IF(UPPER(D238)="X",0,IF((LEN(SUBSTITUTE(SUBSTITUTE(SUBSTITUTE(B238," ",""),"0",""),"-",""))+LEN(SUBSTITUTE(SUBSTITUTE(SUBSTITUTE(C238," ",""),"0",""),"-","")))&gt;(LEN(SUBSTITUTE(SUBSTITUTE(SUBSTITUTE(E238," ",""),"0",""),"-",""))+LEN(SUBSTITUTE(SUBSTITUTE(SUBSTITUTE(F238," ",""),"0",""),"-",""))),1,0))+IF(UPPER(D239)="X",0,IF((LEN(SUBSTITUTE(SUBSTITUTE(SUBSTITUTE(B239," ",""),"0",""),"-",""))+LEN(SUBSTITUTE(SUBSTITUTE(SUBSTITUTE(C239," ",""),"0",""),"-","")))&gt;(LEN(SUBSTITUTE(SUBSTITUTE(SUBSTITUTE(E239," ",""),"0",""),"-",""))+LEN(SUBSTITUTE(SUBSTITUTE(SUBSTITUTE(F239," ",""),"0",""),"-",""))),1,0))+IF(UPPER(D240)="X",0,IF((LEN(SUBSTITUTE(SUBSTITUTE(SUBSTITUTE(B240," ",""),"0",""),"-",""))+LEN(SUBSTITUTE(SUBSTITUTE(SUBSTITUTE(C240," ",""),"0",""),"-","")))&gt;(LEN(SUBSTITUTE(SUBSTITUTE(SUBSTITUTE(E240," ",""),"0",""),"-",""))+LEN(SUBSTITUTE(SUBSTITUTE(SUBSTITUTE(F240," ",""),"0",""),"-",""))),1,0))+IF(UPPER(D241)="X",0,IF((LEN(SUBSTITUTE(SUBSTITUTE(SUBSTITUTE(B241," ",""),"0",""),"-",""))+LEN(SUBSTITUTE(SUBSTITUTE(SUBSTITUTE(C241," ",""),"0",""),"-","")))&gt;(LEN(SUBSTITUTE(SUBSTITUTE(SUBSTITUTE(E241," ",""),"0",""),"-",""))+LEN(SUBSTITUTE(SUBSTITUTE(SUBSTITUTE(F241," ",""),"0",""),"-",""))),1,0))+IF(UPPER(D242)="X",0,IF((LEN(SUBSTITUTE(SUBSTITUTE(SUBSTITUTE(B242," ",""),"0",""),"-",""))+LEN(SUBSTITUTE(SUBSTITUTE(SUBSTITUTE(C242," ",""),"0",""),"-","")))&gt;(LEN(SUBSTITUTE(SUBSTITUTE(SUBSTITUTE(E242," ",""),"0",""),"-",""))+LEN(SUBSTITUTE(SUBSTITUTE(SUBSTITUTE(F242," ",""),"0",""),"-",""))),1,0))</f>
      </c>
      <c r="C237" s="14" t="str">
        <f>LEN(SUBSTITUTE(SUBSTITUTE(SUBSTITUTE(B238," ",""),"0",""),"-",""))+LEN(SUBSTITUTE(SUBSTITUTE(SUBSTITUTE(C238," ",""),"0",""),"-",""))+LEN(SUBSTITUTE(SUBSTITUTE(SUBSTITUTE(B239," ",""),"0",""),"-",""))+LEN(SUBSTITUTE(SUBSTITUTE(SUBSTITUTE(C239," ",""),"0",""),"-",""))+LEN(SUBSTITUTE(SUBSTITUTE(SUBSTITUTE(B240," ",""),"0",""),"-",""))+LEN(SUBSTITUTE(SUBSTITUTE(SUBSTITUTE(C240," ",""),"0",""),"-",""))+LEN(SUBSTITUTE(SUBSTITUTE(SUBSTITUTE(B241," ",""),"0",""),"-",""))+LEN(SUBSTITUTE(SUBSTITUTE(SUBSTITUTE(C241," ",""),"0",""),"-",""))+LEN(SUBSTITUTE(SUBSTITUTE(SUBSTITUTE(B242," ",""),"0",""),"-",""))+LEN(SUBSTITUTE(SUBSTITUTE(SUBSTITUTE(C242," ",""),"0",""),"-",""))</f>
      </c>
      <c r="D237" s="18"/>
      <c r="E237" s="14" t="str">
        <f>LEN(SUBSTITUTE(SUBSTITUTE(SUBSTITUTE(E238," ",""),"0",""),"-",""))+LEN(SUBSTITUTE(SUBSTITUTE(SUBSTITUTE(F238," ",""),"0",""),"-",""))+LEN(SUBSTITUTE(SUBSTITUTE(SUBSTITUTE(E239," ",""),"0",""),"-",""))+LEN(SUBSTITUTE(SUBSTITUTE(SUBSTITUTE(F239," ",""),"0",""),"-",""))+LEN(SUBSTITUTE(SUBSTITUTE(SUBSTITUTE(E240," ",""),"0",""),"-",""))+LEN(SUBSTITUTE(SUBSTITUTE(SUBSTITUTE(F240," ",""),"0",""),"-",""))+LEN(SUBSTITUTE(SUBSTITUTE(SUBSTITUTE(E241," ",""),"0",""),"-",""))+LEN(SUBSTITUTE(SUBSTITUTE(SUBSTITUTE(F241," ",""),"0",""),"-",""))+LEN(SUBSTITUTE(SUBSTITUTE(SUBSTITUTE(E242," ",""),"0",""),"-",""))+LEN(SUBSTITUTE(SUBSTITUTE(SUBSTITUTE(F242," ",""),"0",""),"-",""))</f>
      </c>
      <c r="F237" s="14" t="str">
        <f>IF(UPPER(D238)="X",0,IF((LEN(SUBSTITUTE(SUBSTITUTE(SUBSTITUTE(E238," ",""),"0",""),"-",""))+LEN(SUBSTITUTE(SUBSTITUTE(SUBSTITUTE(F238," ",""),"0",""),"-","")))&gt;(LEN(SUBSTITUTE(SUBSTITUTE(SUBSTITUTE(B238," ",""),"0",""),"-",""))+LEN(SUBSTITUTE(SUBSTITUTE(SUBSTITUTE(C238," ",""),"0",""),"-",""))),1,0))+IF(UPPER(D239)="X",0,IF((LEN(SUBSTITUTE(SUBSTITUTE(SUBSTITUTE(E239," ",""),"0",""),"-",""))+LEN(SUBSTITUTE(SUBSTITUTE(SUBSTITUTE(F239," ",""),"0",""),"-","")))&gt;(LEN(SUBSTITUTE(SUBSTITUTE(SUBSTITUTE(B239," ",""),"0",""),"-",""))+LEN(SUBSTITUTE(SUBSTITUTE(SUBSTITUTE(C239," ",""),"0",""),"-",""))),1,0))+IF(UPPER(D240)="X",0,IF((LEN(SUBSTITUTE(SUBSTITUTE(SUBSTITUTE(E240," ",""),"0",""),"-",""))+LEN(SUBSTITUTE(SUBSTITUTE(SUBSTITUTE(F240," ",""),"0",""),"-","")))&gt;(LEN(SUBSTITUTE(SUBSTITUTE(SUBSTITUTE(B240," ",""),"0",""),"-",""))+LEN(SUBSTITUTE(SUBSTITUTE(SUBSTITUTE(C240," ",""),"0",""),"-",""))),1,0))+IF(UPPER(D241)="X",0,IF((LEN(SUBSTITUTE(SUBSTITUTE(SUBSTITUTE(E241," ",""),"0",""),"-",""))+LEN(SUBSTITUTE(SUBSTITUTE(SUBSTITUTE(F241," ",""),"0",""),"-","")))&gt;(LEN(SUBSTITUTE(SUBSTITUTE(SUBSTITUTE(B241," ",""),"0",""),"-",""))+LEN(SUBSTITUTE(SUBSTITUTE(SUBSTITUTE(C241," ",""),"0",""),"-",""))),1,0))+IF(UPPER(D242)="X",0,IF((LEN(SUBSTITUTE(SUBSTITUTE(SUBSTITUTE(E242," ",""),"0",""),"-",""))+LEN(SUBSTITUTE(SUBSTITUTE(SUBSTITUTE(F242," ",""),"0",""),"-","")))&gt;(LEN(SUBSTITUTE(SUBSTITUTE(SUBSTITUTE(B242," ",""),"0",""),"-",""))+LEN(SUBSTITUTE(SUBSTITUTE(SUBSTITUTE(C242," ",""),"0",""),"-",""))),1,0))</f>
      </c>
      <c r="G237" s="14" t="str">
        <f>data!$E$19&amp;" "&amp;data!$B$19</f>
      </c>
      <c r="I237" s="14" t="str">
        <f>data!$E$66&amp;" "&amp;data!$B$66</f>
      </c>
      <c r="J237" s="14" t="str">
        <f>IF(UPPER(L238)="X",0,IF((LEN(SUBSTITUTE(SUBSTITUTE(SUBSTITUTE(J238," ",""),"0",""),"-",""))+LEN(SUBSTITUTE(SUBSTITUTE(SUBSTITUTE(K238," ",""),"0",""),"-","")))&gt;(LEN(SUBSTITUTE(SUBSTITUTE(SUBSTITUTE(M238," ",""),"0",""),"-",""))+LEN(SUBSTITUTE(SUBSTITUTE(SUBSTITUTE(N238," ",""),"0",""),"-",""))),1,0))+IF(UPPER(L239)="X",0,IF((LEN(SUBSTITUTE(SUBSTITUTE(SUBSTITUTE(J239," ",""),"0",""),"-",""))+LEN(SUBSTITUTE(SUBSTITUTE(SUBSTITUTE(K239," ",""),"0",""),"-","")))&gt;(LEN(SUBSTITUTE(SUBSTITUTE(SUBSTITUTE(M239," ",""),"0",""),"-",""))+LEN(SUBSTITUTE(SUBSTITUTE(SUBSTITUTE(N239," ",""),"0",""),"-",""))),1,0))+IF(UPPER(L240)="X",0,IF((LEN(SUBSTITUTE(SUBSTITUTE(SUBSTITUTE(J240," ",""),"0",""),"-",""))+LEN(SUBSTITUTE(SUBSTITUTE(SUBSTITUTE(K240," ",""),"0",""),"-","")))&gt;(LEN(SUBSTITUTE(SUBSTITUTE(SUBSTITUTE(M240," ",""),"0",""),"-",""))+LEN(SUBSTITUTE(SUBSTITUTE(SUBSTITUTE(N240," ",""),"0",""),"-",""))),1,0))+IF(UPPER(L241)="X",0,IF((LEN(SUBSTITUTE(SUBSTITUTE(SUBSTITUTE(J241," ",""),"0",""),"-",""))+LEN(SUBSTITUTE(SUBSTITUTE(SUBSTITUTE(K241," ",""),"0",""),"-","")))&gt;(LEN(SUBSTITUTE(SUBSTITUTE(SUBSTITUTE(M241," ",""),"0",""),"-",""))+LEN(SUBSTITUTE(SUBSTITUTE(SUBSTITUTE(N241," ",""),"0",""),"-",""))),1,0))+IF(UPPER(L242)="X",0,IF((LEN(SUBSTITUTE(SUBSTITUTE(SUBSTITUTE(J242," ",""),"0",""),"-",""))+LEN(SUBSTITUTE(SUBSTITUTE(SUBSTITUTE(K242," ",""),"0",""),"-","")))&gt;(LEN(SUBSTITUTE(SUBSTITUTE(SUBSTITUTE(M242," ",""),"0",""),"-",""))+LEN(SUBSTITUTE(SUBSTITUTE(SUBSTITUTE(N242," ",""),"0",""),"-",""))),1,0))</f>
      </c>
      <c r="K237" s="14" t="str">
        <f>LEN(SUBSTITUTE(SUBSTITUTE(SUBSTITUTE(J238," ",""),"0",""),"-",""))+LEN(SUBSTITUTE(SUBSTITUTE(SUBSTITUTE(K238," ",""),"0",""),"-",""))+LEN(SUBSTITUTE(SUBSTITUTE(SUBSTITUTE(J239," ",""),"0",""),"-",""))+LEN(SUBSTITUTE(SUBSTITUTE(SUBSTITUTE(K239," ",""),"0",""),"-",""))+LEN(SUBSTITUTE(SUBSTITUTE(SUBSTITUTE(J240," ",""),"0",""),"-",""))+LEN(SUBSTITUTE(SUBSTITUTE(SUBSTITUTE(K240," ",""),"0",""),"-",""))+LEN(SUBSTITUTE(SUBSTITUTE(SUBSTITUTE(J241," ",""),"0",""),"-",""))+LEN(SUBSTITUTE(SUBSTITUTE(SUBSTITUTE(K241," ",""),"0",""),"-",""))+LEN(SUBSTITUTE(SUBSTITUTE(SUBSTITUTE(J242," ",""),"0",""),"-",""))+LEN(SUBSTITUTE(SUBSTITUTE(SUBSTITUTE(K242," ",""),"0",""),"-",""))</f>
      </c>
      <c r="L237" s="18"/>
      <c r="M237" s="14" t="str">
        <f>LEN(SUBSTITUTE(SUBSTITUTE(SUBSTITUTE(M238," ",""),"0",""),"-",""))+LEN(SUBSTITUTE(SUBSTITUTE(SUBSTITUTE(N238," ",""),"0",""),"-",""))+LEN(SUBSTITUTE(SUBSTITUTE(SUBSTITUTE(M239," ",""),"0",""),"-",""))+LEN(SUBSTITUTE(SUBSTITUTE(SUBSTITUTE(N239," ",""),"0",""),"-",""))+LEN(SUBSTITUTE(SUBSTITUTE(SUBSTITUTE(M240," ",""),"0",""),"-",""))+LEN(SUBSTITUTE(SUBSTITUTE(SUBSTITUTE(N240," ",""),"0",""),"-",""))+LEN(SUBSTITUTE(SUBSTITUTE(SUBSTITUTE(M241," ",""),"0",""),"-",""))+LEN(SUBSTITUTE(SUBSTITUTE(SUBSTITUTE(N241," ",""),"0",""),"-",""))+LEN(SUBSTITUTE(SUBSTITUTE(SUBSTITUTE(M242," ",""),"0",""),"-",""))+LEN(SUBSTITUTE(SUBSTITUTE(SUBSTITUTE(N242," ",""),"0",""),"-",""))</f>
      </c>
      <c r="N237" s="14" t="str">
        <f>IF(UPPER(L238)="X",0,IF((LEN(SUBSTITUTE(SUBSTITUTE(SUBSTITUTE(M238," ",""),"0",""),"-",""))+LEN(SUBSTITUTE(SUBSTITUTE(SUBSTITUTE(N238," ",""),"0",""),"-","")))&gt;(LEN(SUBSTITUTE(SUBSTITUTE(SUBSTITUTE(J238," ",""),"0",""),"-",""))+LEN(SUBSTITUTE(SUBSTITUTE(SUBSTITUTE(K238," ",""),"0",""),"-",""))),1,0))+IF(UPPER(L239)="X",0,IF((LEN(SUBSTITUTE(SUBSTITUTE(SUBSTITUTE(M239," ",""),"0",""),"-",""))+LEN(SUBSTITUTE(SUBSTITUTE(SUBSTITUTE(N239," ",""),"0",""),"-","")))&gt;(LEN(SUBSTITUTE(SUBSTITUTE(SUBSTITUTE(J239," ",""),"0",""),"-",""))+LEN(SUBSTITUTE(SUBSTITUTE(SUBSTITUTE(K239," ",""),"0",""),"-",""))),1,0))+IF(UPPER(L240)="X",0,IF((LEN(SUBSTITUTE(SUBSTITUTE(SUBSTITUTE(M240," ",""),"0",""),"-",""))+LEN(SUBSTITUTE(SUBSTITUTE(SUBSTITUTE(N240," ",""),"0",""),"-","")))&gt;(LEN(SUBSTITUTE(SUBSTITUTE(SUBSTITUTE(J240," ",""),"0",""),"-",""))+LEN(SUBSTITUTE(SUBSTITUTE(SUBSTITUTE(K240," ",""),"0",""),"-",""))),1,0))+IF(UPPER(L241)="X",0,IF((LEN(SUBSTITUTE(SUBSTITUTE(SUBSTITUTE(M241," ",""),"0",""),"-",""))+LEN(SUBSTITUTE(SUBSTITUTE(SUBSTITUTE(N241," ",""),"0",""),"-","")))&gt;(LEN(SUBSTITUTE(SUBSTITUTE(SUBSTITUTE(J241," ",""),"0",""),"-",""))+LEN(SUBSTITUTE(SUBSTITUTE(SUBSTITUTE(K241," ",""),"0",""),"-",""))),1,0))+IF(UPPER(L242)="X",0,IF((LEN(SUBSTITUTE(SUBSTITUTE(SUBSTITUTE(M242," ",""),"0",""),"-",""))+LEN(SUBSTITUTE(SUBSTITUTE(SUBSTITUTE(N242," ",""),"0",""),"-","")))&gt;(LEN(SUBSTITUTE(SUBSTITUTE(SUBSTITUTE(J242," ",""),"0",""),"-",""))+LEN(SUBSTITUTE(SUBSTITUTE(SUBSTITUTE(K242," ",""),"0",""),"-",""))),1,0))</f>
      </c>
      <c r="O237" s="14" t="str">
        <f>data!$E$64&amp;" "&amp;data!$B$64</f>
      </c>
    </row>
    <row r="238">
      <c r="A238" s="14">
        <v>1</v>
      </c>
      <c r="B238" s="18"/>
      <c r="C238" s="18"/>
      <c r="D238" s="18"/>
      <c r="E238" s="18"/>
      <c r="F238" s="18"/>
      <c r="G238" s="14">
        <v>1</v>
      </c>
      <c r="I238" s="14">
        <v>1</v>
      </c>
      <c r="J238" s="18"/>
      <c r="K238" s="18"/>
      <c r="L238" s="18"/>
      <c r="M238" s="18"/>
      <c r="N238" s="18"/>
      <c r="O238" s="14">
        <v>1</v>
      </c>
    </row>
    <row r="239">
      <c r="A239" s="14">
        <v>2</v>
      </c>
      <c r="B239" s="18"/>
      <c r="C239" s="18"/>
      <c r="D239" s="18"/>
      <c r="E239" s="18"/>
      <c r="F239" s="18"/>
      <c r="G239" s="14">
        <v>2</v>
      </c>
      <c r="I239" s="14">
        <v>2</v>
      </c>
      <c r="J239" s="18"/>
      <c r="K239" s="18"/>
      <c r="L239" s="18"/>
      <c r="M239" s="18"/>
      <c r="N239" s="18"/>
      <c r="O239" s="14">
        <v>2</v>
      </c>
    </row>
    <row r="240">
      <c r="A240" s="14">
        <v>3</v>
      </c>
      <c r="B240" s="18"/>
      <c r="C240" s="18"/>
      <c r="D240" s="18"/>
      <c r="E240" s="18"/>
      <c r="F240" s="18"/>
      <c r="G240" s="14">
        <v>3</v>
      </c>
      <c r="I240" s="14">
        <v>3</v>
      </c>
      <c r="J240" s="18"/>
      <c r="K240" s="18"/>
      <c r="L240" s="18"/>
      <c r="M240" s="18"/>
      <c r="N240" s="18"/>
      <c r="O240" s="14">
        <v>3</v>
      </c>
    </row>
    <row r="241">
      <c r="A241" s="14">
        <v>4</v>
      </c>
      <c r="B241" s="18"/>
      <c r="C241" s="18"/>
      <c r="D241" s="18"/>
      <c r="E241" s="18"/>
      <c r="F241" s="18"/>
      <c r="G241" s="14">
        <v>4</v>
      </c>
      <c r="I241" s="14">
        <v>4</v>
      </c>
      <c r="J241" s="18"/>
      <c r="K241" s="18"/>
      <c r="L241" s="18"/>
      <c r="M241" s="18"/>
      <c r="N241" s="18"/>
      <c r="O241" s="14">
        <v>4</v>
      </c>
    </row>
    <row r="242">
      <c r="A242" s="14">
        <v>5</v>
      </c>
      <c r="B242" s="18"/>
      <c r="C242" s="18"/>
      <c r="D242" s="18"/>
      <c r="E242" s="18"/>
      <c r="F242" s="18"/>
      <c r="G242" s="14">
        <v>5</v>
      </c>
      <c r="I242" s="14">
        <v>5</v>
      </c>
      <c r="J242" s="18"/>
      <c r="K242" s="18"/>
      <c r="L242" s="18"/>
      <c r="M242" s="18"/>
      <c r="N242" s="18"/>
      <c r="O242" s="14">
        <v>5</v>
      </c>
    </row>
    <row r="244">
      <c r="A244" s="17" t="s">
        <v>330</v>
      </c>
      <c r="B244" s="14"/>
      <c r="C244" s="14"/>
      <c r="D244" s="14" t="s">
        <v>331</v>
      </c>
      <c r="E244" s="14"/>
      <c r="F244" s="14"/>
      <c r="G244" s="16" t="s">
        <v>332</v>
      </c>
      <c r="I244" s="17" t="s">
        <v>330</v>
      </c>
      <c r="J244" s="14"/>
      <c r="K244" s="14"/>
      <c r="L244" s="14" t="s">
        <v>331</v>
      </c>
      <c r="M244" s="14"/>
      <c r="N244" s="14"/>
      <c r="O244" s="16" t="s">
        <v>332</v>
      </c>
    </row>
    <row r="245">
      <c r="A245" s="14" t="str">
        <f>data!$E$21&amp;" "&amp;data!$B$21</f>
      </c>
      <c r="B245" s="14" t="str">
        <f>IF(UPPER(D246)="X",0,IF((LEN(SUBSTITUTE(SUBSTITUTE(SUBSTITUTE(B246," ",""),"0",""),"-",""))+LEN(SUBSTITUTE(SUBSTITUTE(SUBSTITUTE(C246," ",""),"0",""),"-","")))&gt;(LEN(SUBSTITUTE(SUBSTITUTE(SUBSTITUTE(E246," ",""),"0",""),"-",""))+LEN(SUBSTITUTE(SUBSTITUTE(SUBSTITUTE(F246," ",""),"0",""),"-",""))),1,0))+IF(UPPER(D247)="X",0,IF((LEN(SUBSTITUTE(SUBSTITUTE(SUBSTITUTE(B247," ",""),"0",""),"-",""))+LEN(SUBSTITUTE(SUBSTITUTE(SUBSTITUTE(C247," ",""),"0",""),"-","")))&gt;(LEN(SUBSTITUTE(SUBSTITUTE(SUBSTITUTE(E247," ",""),"0",""),"-",""))+LEN(SUBSTITUTE(SUBSTITUTE(SUBSTITUTE(F247," ",""),"0",""),"-",""))),1,0))+IF(UPPER(D248)="X",0,IF((LEN(SUBSTITUTE(SUBSTITUTE(SUBSTITUTE(B248," ",""),"0",""),"-",""))+LEN(SUBSTITUTE(SUBSTITUTE(SUBSTITUTE(C248," ",""),"0",""),"-","")))&gt;(LEN(SUBSTITUTE(SUBSTITUTE(SUBSTITUTE(E248," ",""),"0",""),"-",""))+LEN(SUBSTITUTE(SUBSTITUTE(SUBSTITUTE(F248," ",""),"0",""),"-",""))),1,0))+IF(UPPER(D249)="X",0,IF((LEN(SUBSTITUTE(SUBSTITUTE(SUBSTITUTE(B249," ",""),"0",""),"-",""))+LEN(SUBSTITUTE(SUBSTITUTE(SUBSTITUTE(C249," ",""),"0",""),"-","")))&gt;(LEN(SUBSTITUTE(SUBSTITUTE(SUBSTITUTE(E249," ",""),"0",""),"-",""))+LEN(SUBSTITUTE(SUBSTITUTE(SUBSTITUTE(F249," ",""),"0",""),"-",""))),1,0))+IF(UPPER(D250)="X",0,IF((LEN(SUBSTITUTE(SUBSTITUTE(SUBSTITUTE(B250," ",""),"0",""),"-",""))+LEN(SUBSTITUTE(SUBSTITUTE(SUBSTITUTE(C250," ",""),"0",""),"-","")))&gt;(LEN(SUBSTITUTE(SUBSTITUTE(SUBSTITUTE(E250," ",""),"0",""),"-",""))+LEN(SUBSTITUTE(SUBSTITUTE(SUBSTITUTE(F250," ",""),"0",""),"-",""))),1,0))</f>
      </c>
      <c r="C245" s="14" t="str">
        <f>LEN(SUBSTITUTE(SUBSTITUTE(SUBSTITUTE(B246," ",""),"0",""),"-",""))+LEN(SUBSTITUTE(SUBSTITUTE(SUBSTITUTE(C246," ",""),"0",""),"-",""))+LEN(SUBSTITUTE(SUBSTITUTE(SUBSTITUTE(B247," ",""),"0",""),"-",""))+LEN(SUBSTITUTE(SUBSTITUTE(SUBSTITUTE(C247," ",""),"0",""),"-",""))+LEN(SUBSTITUTE(SUBSTITUTE(SUBSTITUTE(B248," ",""),"0",""),"-",""))+LEN(SUBSTITUTE(SUBSTITUTE(SUBSTITUTE(C248," ",""),"0",""),"-",""))+LEN(SUBSTITUTE(SUBSTITUTE(SUBSTITUTE(B249," ",""),"0",""),"-",""))+LEN(SUBSTITUTE(SUBSTITUTE(SUBSTITUTE(C249," ",""),"0",""),"-",""))+LEN(SUBSTITUTE(SUBSTITUTE(SUBSTITUTE(B250," ",""),"0",""),"-",""))+LEN(SUBSTITUTE(SUBSTITUTE(SUBSTITUTE(C250," ",""),"0",""),"-",""))</f>
      </c>
      <c r="D245" s="18"/>
      <c r="E245" s="14" t="str">
        <f>LEN(SUBSTITUTE(SUBSTITUTE(SUBSTITUTE(E246," ",""),"0",""),"-",""))+LEN(SUBSTITUTE(SUBSTITUTE(SUBSTITUTE(F246," ",""),"0",""),"-",""))+LEN(SUBSTITUTE(SUBSTITUTE(SUBSTITUTE(E247," ",""),"0",""),"-",""))+LEN(SUBSTITUTE(SUBSTITUTE(SUBSTITUTE(F247," ",""),"0",""),"-",""))+LEN(SUBSTITUTE(SUBSTITUTE(SUBSTITUTE(E248," ",""),"0",""),"-",""))+LEN(SUBSTITUTE(SUBSTITUTE(SUBSTITUTE(F248," ",""),"0",""),"-",""))+LEN(SUBSTITUTE(SUBSTITUTE(SUBSTITUTE(E249," ",""),"0",""),"-",""))+LEN(SUBSTITUTE(SUBSTITUTE(SUBSTITUTE(F249," ",""),"0",""),"-",""))+LEN(SUBSTITUTE(SUBSTITUTE(SUBSTITUTE(E250," ",""),"0",""),"-",""))+LEN(SUBSTITUTE(SUBSTITUTE(SUBSTITUTE(F250," ",""),"0",""),"-",""))</f>
      </c>
      <c r="F245" s="14" t="str">
        <f>IF(UPPER(D246)="X",0,IF((LEN(SUBSTITUTE(SUBSTITUTE(SUBSTITUTE(E246," ",""),"0",""),"-",""))+LEN(SUBSTITUTE(SUBSTITUTE(SUBSTITUTE(F246," ",""),"0",""),"-","")))&gt;(LEN(SUBSTITUTE(SUBSTITUTE(SUBSTITUTE(B246," ",""),"0",""),"-",""))+LEN(SUBSTITUTE(SUBSTITUTE(SUBSTITUTE(C246," ",""),"0",""),"-",""))),1,0))+IF(UPPER(D247)="X",0,IF((LEN(SUBSTITUTE(SUBSTITUTE(SUBSTITUTE(E247," ",""),"0",""),"-",""))+LEN(SUBSTITUTE(SUBSTITUTE(SUBSTITUTE(F247," ",""),"0",""),"-","")))&gt;(LEN(SUBSTITUTE(SUBSTITUTE(SUBSTITUTE(B247," ",""),"0",""),"-",""))+LEN(SUBSTITUTE(SUBSTITUTE(SUBSTITUTE(C247," ",""),"0",""),"-",""))),1,0))+IF(UPPER(D248)="X",0,IF((LEN(SUBSTITUTE(SUBSTITUTE(SUBSTITUTE(E248," ",""),"0",""),"-",""))+LEN(SUBSTITUTE(SUBSTITUTE(SUBSTITUTE(F248," ",""),"0",""),"-","")))&gt;(LEN(SUBSTITUTE(SUBSTITUTE(SUBSTITUTE(B248," ",""),"0",""),"-",""))+LEN(SUBSTITUTE(SUBSTITUTE(SUBSTITUTE(C248," ",""),"0",""),"-",""))),1,0))+IF(UPPER(D249)="X",0,IF((LEN(SUBSTITUTE(SUBSTITUTE(SUBSTITUTE(E249," ",""),"0",""),"-",""))+LEN(SUBSTITUTE(SUBSTITUTE(SUBSTITUTE(F249," ",""),"0",""),"-","")))&gt;(LEN(SUBSTITUTE(SUBSTITUTE(SUBSTITUTE(B249," ",""),"0",""),"-",""))+LEN(SUBSTITUTE(SUBSTITUTE(SUBSTITUTE(C249," ",""),"0",""),"-",""))),1,0))+IF(UPPER(D250)="X",0,IF((LEN(SUBSTITUTE(SUBSTITUTE(SUBSTITUTE(E250," ",""),"0",""),"-",""))+LEN(SUBSTITUTE(SUBSTITUTE(SUBSTITUTE(F250," ",""),"0",""),"-","")))&gt;(LEN(SUBSTITUTE(SUBSTITUTE(SUBSTITUTE(B250," ",""),"0",""),"-",""))+LEN(SUBSTITUTE(SUBSTITUTE(SUBSTITUTE(C250," ",""),"0",""),"-",""))),1,0))</f>
      </c>
      <c r="G245" s="14" t="str">
        <f>data!$E$20&amp;" "&amp;data!$B$20</f>
      </c>
      <c r="I245" s="14" t="str">
        <f>data!$E$66&amp;" "&amp;data!$B$66</f>
      </c>
      <c r="J245" s="14" t="str">
        <f>IF(UPPER(L246)="X",0,IF((LEN(SUBSTITUTE(SUBSTITUTE(SUBSTITUTE(J246," ",""),"0",""),"-",""))+LEN(SUBSTITUTE(SUBSTITUTE(SUBSTITUTE(K246," ",""),"0",""),"-","")))&gt;(LEN(SUBSTITUTE(SUBSTITUTE(SUBSTITUTE(M246," ",""),"0",""),"-",""))+LEN(SUBSTITUTE(SUBSTITUTE(SUBSTITUTE(N246," ",""),"0",""),"-",""))),1,0))+IF(UPPER(L247)="X",0,IF((LEN(SUBSTITUTE(SUBSTITUTE(SUBSTITUTE(J247," ",""),"0",""),"-",""))+LEN(SUBSTITUTE(SUBSTITUTE(SUBSTITUTE(K247," ",""),"0",""),"-","")))&gt;(LEN(SUBSTITUTE(SUBSTITUTE(SUBSTITUTE(M247," ",""),"0",""),"-",""))+LEN(SUBSTITUTE(SUBSTITUTE(SUBSTITUTE(N247," ",""),"0",""),"-",""))),1,0))+IF(UPPER(L248)="X",0,IF((LEN(SUBSTITUTE(SUBSTITUTE(SUBSTITUTE(J248," ",""),"0",""),"-",""))+LEN(SUBSTITUTE(SUBSTITUTE(SUBSTITUTE(K248," ",""),"0",""),"-","")))&gt;(LEN(SUBSTITUTE(SUBSTITUTE(SUBSTITUTE(M248," ",""),"0",""),"-",""))+LEN(SUBSTITUTE(SUBSTITUTE(SUBSTITUTE(N248," ",""),"0",""),"-",""))),1,0))+IF(UPPER(L249)="X",0,IF((LEN(SUBSTITUTE(SUBSTITUTE(SUBSTITUTE(J249," ",""),"0",""),"-",""))+LEN(SUBSTITUTE(SUBSTITUTE(SUBSTITUTE(K249," ",""),"0",""),"-","")))&gt;(LEN(SUBSTITUTE(SUBSTITUTE(SUBSTITUTE(M249," ",""),"0",""),"-",""))+LEN(SUBSTITUTE(SUBSTITUTE(SUBSTITUTE(N249," ",""),"0",""),"-",""))),1,0))+IF(UPPER(L250)="X",0,IF((LEN(SUBSTITUTE(SUBSTITUTE(SUBSTITUTE(J250," ",""),"0",""),"-",""))+LEN(SUBSTITUTE(SUBSTITUTE(SUBSTITUTE(K250," ",""),"0",""),"-","")))&gt;(LEN(SUBSTITUTE(SUBSTITUTE(SUBSTITUTE(M250," ",""),"0",""),"-",""))+LEN(SUBSTITUTE(SUBSTITUTE(SUBSTITUTE(N250," ",""),"0",""),"-",""))),1,0))</f>
      </c>
      <c r="K245" s="14" t="str">
        <f>LEN(SUBSTITUTE(SUBSTITUTE(SUBSTITUTE(J246," ",""),"0",""),"-",""))+LEN(SUBSTITUTE(SUBSTITUTE(SUBSTITUTE(K246," ",""),"0",""),"-",""))+LEN(SUBSTITUTE(SUBSTITUTE(SUBSTITUTE(J247," ",""),"0",""),"-",""))+LEN(SUBSTITUTE(SUBSTITUTE(SUBSTITUTE(K247," ",""),"0",""),"-",""))+LEN(SUBSTITUTE(SUBSTITUTE(SUBSTITUTE(J248," ",""),"0",""),"-",""))+LEN(SUBSTITUTE(SUBSTITUTE(SUBSTITUTE(K248," ",""),"0",""),"-",""))+LEN(SUBSTITUTE(SUBSTITUTE(SUBSTITUTE(J249," ",""),"0",""),"-",""))+LEN(SUBSTITUTE(SUBSTITUTE(SUBSTITUTE(K249," ",""),"0",""),"-",""))+LEN(SUBSTITUTE(SUBSTITUTE(SUBSTITUTE(J250," ",""),"0",""),"-",""))+LEN(SUBSTITUTE(SUBSTITUTE(SUBSTITUTE(K250," ",""),"0",""),"-",""))</f>
      </c>
      <c r="L245" s="18"/>
      <c r="M245" s="14" t="str">
        <f>LEN(SUBSTITUTE(SUBSTITUTE(SUBSTITUTE(M246," ",""),"0",""),"-",""))+LEN(SUBSTITUTE(SUBSTITUTE(SUBSTITUTE(N246," ",""),"0",""),"-",""))+LEN(SUBSTITUTE(SUBSTITUTE(SUBSTITUTE(M247," ",""),"0",""),"-",""))+LEN(SUBSTITUTE(SUBSTITUTE(SUBSTITUTE(N247," ",""),"0",""),"-",""))+LEN(SUBSTITUTE(SUBSTITUTE(SUBSTITUTE(M248," ",""),"0",""),"-",""))+LEN(SUBSTITUTE(SUBSTITUTE(SUBSTITUTE(N248," ",""),"0",""),"-",""))+LEN(SUBSTITUTE(SUBSTITUTE(SUBSTITUTE(M249," ",""),"0",""),"-",""))+LEN(SUBSTITUTE(SUBSTITUTE(SUBSTITUTE(N249," ",""),"0",""),"-",""))+LEN(SUBSTITUTE(SUBSTITUTE(SUBSTITUTE(M250," ",""),"0",""),"-",""))+LEN(SUBSTITUTE(SUBSTITUTE(SUBSTITUTE(N250," ",""),"0",""),"-",""))</f>
      </c>
      <c r="N245" s="14" t="str">
        <f>IF(UPPER(L246)="X",0,IF((LEN(SUBSTITUTE(SUBSTITUTE(SUBSTITUTE(M246," ",""),"0",""),"-",""))+LEN(SUBSTITUTE(SUBSTITUTE(SUBSTITUTE(N246," ",""),"0",""),"-","")))&gt;(LEN(SUBSTITUTE(SUBSTITUTE(SUBSTITUTE(J246," ",""),"0",""),"-",""))+LEN(SUBSTITUTE(SUBSTITUTE(SUBSTITUTE(K246," ",""),"0",""),"-",""))),1,0))+IF(UPPER(L247)="X",0,IF((LEN(SUBSTITUTE(SUBSTITUTE(SUBSTITUTE(M247," ",""),"0",""),"-",""))+LEN(SUBSTITUTE(SUBSTITUTE(SUBSTITUTE(N247," ",""),"0",""),"-","")))&gt;(LEN(SUBSTITUTE(SUBSTITUTE(SUBSTITUTE(J247," ",""),"0",""),"-",""))+LEN(SUBSTITUTE(SUBSTITUTE(SUBSTITUTE(K247," ",""),"0",""),"-",""))),1,0))+IF(UPPER(L248)="X",0,IF((LEN(SUBSTITUTE(SUBSTITUTE(SUBSTITUTE(M248," ",""),"0",""),"-",""))+LEN(SUBSTITUTE(SUBSTITUTE(SUBSTITUTE(N248," ",""),"0",""),"-","")))&gt;(LEN(SUBSTITUTE(SUBSTITUTE(SUBSTITUTE(J248," ",""),"0",""),"-",""))+LEN(SUBSTITUTE(SUBSTITUTE(SUBSTITUTE(K248," ",""),"0",""),"-",""))),1,0))+IF(UPPER(L249)="X",0,IF((LEN(SUBSTITUTE(SUBSTITUTE(SUBSTITUTE(M249," ",""),"0",""),"-",""))+LEN(SUBSTITUTE(SUBSTITUTE(SUBSTITUTE(N249," ",""),"0",""),"-","")))&gt;(LEN(SUBSTITUTE(SUBSTITUTE(SUBSTITUTE(J249," ",""),"0",""),"-",""))+LEN(SUBSTITUTE(SUBSTITUTE(SUBSTITUTE(K249," ",""),"0",""),"-",""))),1,0))+IF(UPPER(L250)="X",0,IF((LEN(SUBSTITUTE(SUBSTITUTE(SUBSTITUTE(M250," ",""),"0",""),"-",""))+LEN(SUBSTITUTE(SUBSTITUTE(SUBSTITUTE(N250," ",""),"0",""),"-","")))&gt;(LEN(SUBSTITUTE(SUBSTITUTE(SUBSTITUTE(J250," ",""),"0",""),"-",""))+LEN(SUBSTITUTE(SUBSTITUTE(SUBSTITUTE(K250," ",""),"0",""),"-",""))),1,0))</f>
      </c>
      <c r="O245" s="14" t="str">
        <f>data!$E$65&amp;" "&amp;data!$B$65</f>
      </c>
    </row>
    <row r="246">
      <c r="A246" s="14">
        <v>1</v>
      </c>
      <c r="B246" s="18"/>
      <c r="C246" s="18"/>
      <c r="D246" s="18"/>
      <c r="E246" s="18"/>
      <c r="F246" s="18"/>
      <c r="G246" s="14">
        <v>1</v>
      </c>
      <c r="I246" s="14">
        <v>1</v>
      </c>
      <c r="J246" s="18"/>
      <c r="K246" s="18"/>
      <c r="L246" s="18"/>
      <c r="M246" s="18"/>
      <c r="N246" s="18"/>
      <c r="O246" s="14">
        <v>1</v>
      </c>
    </row>
    <row r="247">
      <c r="A247" s="14">
        <v>2</v>
      </c>
      <c r="B247" s="18"/>
      <c r="C247" s="18"/>
      <c r="D247" s="18"/>
      <c r="E247" s="18"/>
      <c r="F247" s="18"/>
      <c r="G247" s="14">
        <v>2</v>
      </c>
      <c r="I247" s="14">
        <v>2</v>
      </c>
      <c r="J247" s="18"/>
      <c r="K247" s="18"/>
      <c r="L247" s="18"/>
      <c r="M247" s="18"/>
      <c r="N247" s="18"/>
      <c r="O247" s="14">
        <v>2</v>
      </c>
    </row>
    <row r="248">
      <c r="A248" s="14">
        <v>3</v>
      </c>
      <c r="B248" s="18"/>
      <c r="C248" s="18"/>
      <c r="D248" s="18"/>
      <c r="E248" s="18"/>
      <c r="F248" s="18"/>
      <c r="G248" s="14">
        <v>3</v>
      </c>
      <c r="I248" s="14">
        <v>3</v>
      </c>
      <c r="J248" s="18"/>
      <c r="K248" s="18"/>
      <c r="L248" s="18"/>
      <c r="M248" s="18"/>
      <c r="N248" s="18"/>
      <c r="O248" s="14">
        <v>3</v>
      </c>
    </row>
    <row r="249">
      <c r="A249" s="14">
        <v>4</v>
      </c>
      <c r="B249" s="18"/>
      <c r="C249" s="18"/>
      <c r="D249" s="18"/>
      <c r="E249" s="18"/>
      <c r="F249" s="18"/>
      <c r="G249" s="14">
        <v>4</v>
      </c>
      <c r="I249" s="14">
        <v>4</v>
      </c>
      <c r="J249" s="18"/>
      <c r="K249" s="18"/>
      <c r="L249" s="18"/>
      <c r="M249" s="18"/>
      <c r="N249" s="18"/>
      <c r="O249" s="14">
        <v>4</v>
      </c>
    </row>
    <row r="250">
      <c r="A250" s="14">
        <v>5</v>
      </c>
      <c r="B250" s="18"/>
      <c r="C250" s="18"/>
      <c r="D250" s="18"/>
      <c r="E250" s="18"/>
      <c r="F250" s="18"/>
      <c r="G250" s="14">
        <v>5</v>
      </c>
      <c r="I250" s="14">
        <v>5</v>
      </c>
      <c r="J250" s="18"/>
      <c r="K250" s="18"/>
      <c r="L250" s="18"/>
      <c r="M250" s="18"/>
      <c r="N250" s="18"/>
      <c r="O250" s="14">
        <v>5</v>
      </c>
    </row>
    <row r="253">
      <c r="A253" s="13" t="s">
        <v>333</v>
      </c>
      <c r="B253" s="13" t="s">
        <v>334</v>
      </c>
      <c r="C253" s="13" t="s">
        <v>335</v>
      </c>
      <c r="D253" s="13" t="s">
        <v>336</v>
      </c>
      <c r="E253" s="13"/>
      <c r="F253" s="13"/>
      <c r="G253" s="13" t="s">
        <v>337</v>
      </c>
      <c r="I253" s="13" t="s">
        <v>333</v>
      </c>
      <c r="J253" s="13" t="s">
        <v>334</v>
      </c>
      <c r="K253" s="13" t="s">
        <v>335</v>
      </c>
      <c r="L253" s="13" t="s">
        <v>336</v>
      </c>
      <c r="M253" s="13"/>
      <c r="N253" s="13"/>
      <c r="O253" s="13" t="s">
        <v>337</v>
      </c>
    </row>
    <row r="254">
      <c r="A254" s="14" t="str">
        <f>data!$E$19&amp;" "&amp;data!$B$19</f>
      </c>
      <c r="B254" s="14" t="str">
        <f>IF(OR(COUNTA(B230:C234,E230:F234)&gt;0,D230="X",D230="x",D231="X",D231="x",D232="X",D232="x",D233="X",D233="x",D234="X",D234="x",OR(D229="X",D229="x")),IF(OR(OR(D229="X",D229="x"),AND(B229=F229,C229=E229)),0,IF(OR(F229&gt;B229,AND(F229=B229,E229&gt;C229)),1,0)),0)+IF(OR(COUNTA(B238:C242,E238:F242)&gt;0,D238="X",D238="x",D239="X",D239="x",D240="X",D240="x",D241="X",D241="x",D242="X",D242="x",OR(D237="X",D237="x")),IF(OR(OR(D237="X",D237="x"),AND(B237=F237,C237=E237)),0,IF(OR(F237&gt;B237,AND(F237=B237,E237&gt;C237)),1,0)),0)</f>
      </c>
      <c r="C254" s="14" t="str">
        <f>IF(OR(COUNTA(B230:C234,E230:F234)&gt;0,D230="X",D230="x",D231="X",D231="x",D232="X",D232="x",D233="X",D233="x",D234="X",D234="x",OR(D229="X",D229="x")),IF(OR(OR(D229="X",D229="x"),AND(B229=F229,C229=E229)),0,IF(OR(F229&lt;B229,AND(F229=B229,E229&lt;C229)),1,0)),0)+IF(OR(COUNTA(B238:C242,E238:F242)&gt;0,D238="X",D238="x",D239="X",D239="x",D240="X",D240="x",D241="X",D241="x",D242="X",D242="x",OR(D237="X",D237="x")),IF(OR(OR(D237="X",D237="x"),AND(B237=F237,C237=E237)),0,IF(OR(F237&lt;B237,AND(F237=B237,E237&lt;C237)),1,0)),0)</f>
      </c>
      <c r="D254" s="14" t="str">
        <f>IF(OR(COUNTA(B230:C234,E230:F234)&gt;0,D230="X",D230="x",D231="X",D231="x",D232="X",D232="x",D233="X",D233="x",D234="X",D234="x",OR(D229="X",D229="x")),IF(OR(OR(D229="X",D229="x"),AND(B229=F229,C229=E229)),1,0),0)+IF(OR(COUNTA(B238:C242,E238:F242)&gt;0,D238="X",D238="x",D239="X",D239="x",D240="X",D240="x",D241="X",D241="x",D242="X",D242="x",OR(D237="X",D237="x")),IF(OR(OR(D237="X",D237="x"),AND(B237=F237,C237=E237)),1,0),0)</f>
      </c>
      <c r="G254" s="18" t="str">
        <f>RANK(U254,$U$254:$U$256)+COUNTIF($U$253:U253,U254)</f>
      </c>
      <c r="I254" s="14" t="str">
        <f>data!$E$64&amp;" "&amp;data!$B$64</f>
      </c>
      <c r="J254" s="14" t="str">
        <f>IF(OR(COUNTA(J230:K234,M230:N234)&gt;0,L230="X",L230="x",L231="X",L231="x",L232="X",L232="x",L233="X",L233="x",L234="X",L234="x",OR(L229="X",L229="x")),IF(OR(OR(L229="X",L229="x"),AND(J229=N229,K229=M229)),0,IF(OR(N229&gt;J229,AND(N229=J229,M229&gt;K229)),1,0)),0)+IF(OR(COUNTA(J238:K242,M238:N242)&gt;0,L238="X",L238="x",L239="X",L239="x",L240="X",L240="x",L241="X",L241="x",L242="X",L242="x",OR(L237="X",L237="x")),IF(OR(OR(L237="X",L237="x"),AND(J237=N237,K237=M237)),0,IF(OR(N237&gt;J237,AND(N237=J237,M237&gt;K237)),1,0)),0)</f>
      </c>
      <c r="K254" s="14" t="str">
        <f>IF(OR(COUNTA(J230:K234,M230:N234)&gt;0,L230="X",L230="x",L231="X",L231="x",L232="X",L232="x",L233="X",L233="x",L234="X",L234="x",OR(L229="X",L229="x")),IF(OR(OR(L229="X",L229="x"),AND(J229=N229,K229=M229)),0,IF(OR(N229&lt;J229,AND(N229=J229,M229&lt;K229)),1,0)),0)+IF(OR(COUNTA(J238:K242,M238:N242)&gt;0,L238="X",L238="x",L239="X",L239="x",L240="X",L240="x",L241="X",L241="x",L242="X",L242="x",OR(L237="X",L237="x")),IF(OR(OR(L237="X",L237="x"),AND(J237=N237,K237=M237)),0,IF(OR(N237&lt;J237,AND(N237=J237,M237&lt;K237)),1,0)),0)</f>
      </c>
      <c r="L254" s="14" t="str">
        <f>IF(OR(COUNTA(J230:K234,M230:N234)&gt;0,L230="X",L230="x",L231="X",L231="x",L232="X",L232="x",L233="X",L233="x",L234="X",L234="x",OR(L229="X",L229="x")),IF(OR(OR(L229="X",L229="x"),AND(J229=N229,K229=M229)),1,0),0)+IF(OR(COUNTA(J238:K242,M238:N242)&gt;0,L238="X",L238="x",L239="X",L239="x",L240="X",L240="x",L241="X",L241="x",L242="X",L242="x",OR(L237="X",L237="x")),IF(OR(OR(L237="X",L237="x"),AND(J237=N237,K237=M237)),1,0),0)</f>
      </c>
      <c r="O254" s="18" t="str">
        <f>RANK(AC254,$AC$254:$AC$256)+COUNTIF($AC$253:AC253,AC254)</f>
      </c>
      <c r="U254" t="str">
        <f>(B254*1000000000)-(C254*10000000)+(D254*100000)+(B259*1000)-(C259*100)+(D259*10)+(E259*1)-(F259*0.01)</f>
      </c>
      <c r="AC254" t="str">
        <f>(J254*1000000000)-(K254*10000000)+(L254*100000)+(J259*1000)-(K259*100)+(L259*10)+(M259*1)-(N259*0.01)</f>
      </c>
    </row>
    <row r="255">
      <c r="A255" s="14" t="str">
        <f>data!$E$20&amp;" "&amp;data!$B$20</f>
      </c>
      <c r="B255" s="14" t="str">
        <f>IF(OR(COUNTA(B230:C234,E230:F234)&gt;0,D230="X",D230="x",D231="X",D231="x",D232="X",D232="x",D233="X",D233="x",D234="X",D234="x",OR(D229="X",D229="x")),IF(OR(OR(D229="X",D229="x"),AND(B229=F229,C229=E229)),0,IF(OR(B229&gt;F229,AND(B229=F229,C229&gt;E229)),1,0)),0)+IF(OR(COUNTA(B246:C250,E246:F250)&gt;0,D246="X",D246="x",D247="X",D247="x",D248="X",D248="x",D249="X",D249="x",D250="X",D250="x",OR(D245="X",D245="x")),IF(OR(OR(D245="X",D245="x"),AND(B245=F245,C245=E245)),0,IF(OR(F245&gt;B245,AND(F245=B245,E245&gt;C245)),1,0)),0)</f>
      </c>
      <c r="C255" s="14" t="str">
        <f>IF(OR(COUNTA(B230:C234,E230:F234)&gt;0,D230="X",D230="x",D231="X",D231="x",D232="X",D232="x",D233="X",D233="x",D234="X",D234="x",OR(D229="X",D229="x")),IF(OR(OR(D229="X",D229="x"),AND(B229=F229,C229=E229)),0,IF(OR(B229&lt;F229,AND(B229=F229,C229&lt;E229)),1,0)),0)+IF(OR(COUNTA(B246:C250,E246:F250)&gt;0,D246="X",D246="x",D247="X",D247="x",D248="X",D248="x",D249="X",D249="x",D250="X",D250="x",OR(D245="X",D245="x")),IF(OR(OR(D245="X",D245="x"),AND(B245=F245,C245=E245)),0,IF(OR(F245&lt;B245,AND(F245=B245,E245&lt;C245)),1,0)),0)</f>
      </c>
      <c r="D255" s="14" t="str">
        <f>IF(OR(COUNTA(B230:C234,E230:F234)&gt;0,D230="X",D230="x",D231="X",D231="x",D232="X",D232="x",D233="X",D233="x",D234="X",D234="x",OR(D229="X",D229="x")),IF(OR(OR(D229="X",D229="x"),AND(B229=F229,C229=E229)),1,0),0)+IF(OR(COUNTA(B246:C250,E246:F250)&gt;0,D246="X",D246="x",D247="X",D247="x",D248="X",D248="x",D249="X",D249="x",D250="X",D250="x",OR(D245="X",D245="x")),IF(OR(OR(D245="X",D245="x"),AND(B245=F245,C245=E245)),1,0),0)</f>
      </c>
      <c r="G255" s="18" t="str">
        <f>RANK(U255,$U$254:$U$256)+COUNTIF($U$253:U254,U255)</f>
      </c>
      <c r="I255" s="14" t="str">
        <f>data!$E$65&amp;" "&amp;data!$B$65</f>
      </c>
      <c r="J255" s="14" t="str">
        <f>IF(OR(COUNTA(J230:K234,M230:N234)&gt;0,L230="X",L230="x",L231="X",L231="x",L232="X",L232="x",L233="X",L233="x",L234="X",L234="x",OR(L229="X",L229="x")),IF(OR(OR(L229="X",L229="x"),AND(J229=N229,K229=M229)),0,IF(OR(J229&gt;N229,AND(J229=N229,K229&gt;M229)),1,0)),0)+IF(OR(COUNTA(J246:K250,M246:N250)&gt;0,L246="X",L246="x",L247="X",L247="x",L248="X",L248="x",L249="X",L249="x",L250="X",L250="x",OR(L245="X",L245="x")),IF(OR(OR(L245="X",L245="x"),AND(J245=N245,K245=M245)),0,IF(OR(N245&gt;J245,AND(N245=J245,M245&gt;K245)),1,0)),0)</f>
      </c>
      <c r="K255" s="14" t="str">
        <f>IF(OR(COUNTA(J230:K234,M230:N234)&gt;0,L230="X",L230="x",L231="X",L231="x",L232="X",L232="x",L233="X",L233="x",L234="X",L234="x",OR(L229="X",L229="x")),IF(OR(OR(L229="X",L229="x"),AND(J229=N229,K229=M229)),0,IF(OR(J229&lt;N229,AND(J229=N229,K229&lt;M229)),1,0)),0)+IF(OR(COUNTA(J246:K250,M246:N250)&gt;0,L246="X",L246="x",L247="X",L247="x",L248="X",L248="x",L249="X",L249="x",L250="X",L250="x",OR(L245="X",L245="x")),IF(OR(OR(L245="X",L245="x"),AND(J245=N245,K245=M245)),0,IF(OR(N245&lt;J245,AND(N245=J245,M245&lt;K245)),1,0)),0)</f>
      </c>
      <c r="L255" s="14" t="str">
        <f>IF(OR(COUNTA(J230:K234,M230:N234)&gt;0,L230="X",L230="x",L231="X",L231="x",L232="X",L232="x",L233="X",L233="x",L234="X",L234="x",OR(L229="X",L229="x")),IF(OR(OR(L229="X",L229="x"),AND(J229=N229,K229=M229)),1,0),0)+IF(OR(COUNTA(J246:K250,M246:N250)&gt;0,L246="X",L246="x",L247="X",L247="x",L248="X",L248="x",L249="X",L249="x",L250="X",L250="x",OR(L245="X",L245="x")),IF(OR(OR(L245="X",L245="x"),AND(J245=N245,K245=M245)),1,0),0)</f>
      </c>
      <c r="O255" s="18" t="str">
        <f>RANK(AC255,$AC$254:$AC$256)+COUNTIF($AC$253:AC254,AC255)</f>
      </c>
      <c r="U255" t="str">
        <f>(B255*1000000000)-(C255*10000000)+(D255*100000)+(B260*1000)-(C260*100)+(D260*10)+(E260*1)-(F260*0.01)</f>
      </c>
      <c r="AC255" t="str">
        <f>(J255*1000000000)-(K255*10000000)+(L255*100000)+(J260*1000)-(K260*100)+(L260*10)+(M260*1)-(N260*0.01)</f>
      </c>
    </row>
    <row r="256">
      <c r="A256" s="14" t="str">
        <f>data!$E$21&amp;" "&amp;data!$B$21</f>
      </c>
      <c r="B256" s="14" t="str">
        <f>IF(OR(COUNTA(B238:C242,E238:F242)&gt;0,D238="X",D238="x",D239="X",D239="x",D240="X",D240="x",D241="X",D241="x",D242="X",D242="x",OR(D237="X",D237="x")),IF(OR(OR(D237="X",D237="x"),AND(B237=F237,C237=E237)),0,IF(OR(B237&gt;F237,AND(B237=F237,C237&gt;E237)),1,0)),0)+IF(OR(COUNTA(B246:C250,E246:F250)&gt;0,D246="X",D246="x",D247="X",D247="x",D248="X",D248="x",D249="X",D249="x",D250="X",D250="x",OR(D245="X",D245="x")),IF(OR(OR(D245="X",D245="x"),AND(B245=F245,C245=E245)),0,IF(OR(B245&gt;F245,AND(B245=F245,C245&gt;E245)),1,0)),0)</f>
      </c>
      <c r="C256" s="14" t="str">
        <f>IF(OR(COUNTA(B238:C242,E238:F242)&gt;0,D238="X",D238="x",D239="X",D239="x",D240="X",D240="x",D241="X",D241="x",D242="X",D242="x",OR(D237="X",D237="x")),IF(OR(OR(D237="X",D237="x"),AND(B237=F237,C237=E237)),0,IF(OR(B237&lt;F237,AND(B237=F237,C237&lt;E237)),1,0)),0)+IF(OR(COUNTA(B246:C250,E246:F250)&gt;0,D246="X",D246="x",D247="X",D247="x",D248="X",D248="x",D249="X",D249="x",D250="X",D250="x",OR(D245="X",D245="x")),IF(OR(OR(D245="X",D245="x"),AND(B245=F245,C245=E245)),0,IF(OR(B245&lt;F245,AND(B245=F245,C245&lt;E245)),1,0)),0)</f>
      </c>
      <c r="D256" s="14" t="str">
        <f>IF(OR(COUNTA(B238:C242,E238:F242)&gt;0,D238="X",D238="x",D239="X",D239="x",D240="X",D240="x",D241="X",D241="x",D242="X",D242="x",OR(D237="X",D237="x")),IF(OR(OR(D237="X",D237="x"),AND(B237=F237,C237=E237)),1,0),0)+IF(OR(COUNTA(B246:C250,E246:F250)&gt;0,D246="X",D246="x",D247="X",D247="x",D248="X",D248="x",D249="X",D249="x",D250="X",D250="x",OR(D245="X",D245="x")),IF(OR(OR(D245="X",D245="x"),AND(B245=F245,C245=E245)),1,0),0)</f>
      </c>
      <c r="G256" s="18" t="str">
        <f>RANK(U256,$U$254:$U$256)+COUNTIF($U$253:U255,U256)</f>
      </c>
      <c r="I256" s="14" t="str">
        <f>data!$E$66&amp;" "&amp;data!$B$66</f>
      </c>
      <c r="J256" s="14" t="str">
        <f>IF(OR(COUNTA(J238:K242,M238:N242)&gt;0,L238="X",L238="x",L239="X",L239="x",L240="X",L240="x",L241="X",L241="x",L242="X",L242="x",OR(L237="X",L237="x")),IF(OR(OR(L237="X",L237="x"),AND(J237=N237,K237=M237)),0,IF(OR(J237&gt;N237,AND(J237=N237,K237&gt;M237)),1,0)),0)+IF(OR(COUNTA(J246:K250,M246:N250)&gt;0,L246="X",L246="x",L247="X",L247="x",L248="X",L248="x",L249="X",L249="x",L250="X",L250="x",OR(L245="X",L245="x")),IF(OR(OR(L245="X",L245="x"),AND(J245=N245,K245=M245)),0,IF(OR(J245&gt;N245,AND(J245=N245,K245&gt;M245)),1,0)),0)</f>
      </c>
      <c r="K256" s="14" t="str">
        <f>IF(OR(COUNTA(J238:K242,M238:N242)&gt;0,L238="X",L238="x",L239="X",L239="x",L240="X",L240="x",L241="X",L241="x",L242="X",L242="x",OR(L237="X",L237="x")),IF(OR(OR(L237="X",L237="x"),AND(J237=N237,K237=M237)),0,IF(OR(J237&lt;N237,AND(J237=N237,K237&lt;M237)),1,0)),0)+IF(OR(COUNTA(J246:K250,M246:N250)&gt;0,L246="X",L246="x",L247="X",L247="x",L248="X",L248="x",L249="X",L249="x",L250="X",L250="x",OR(L245="X",L245="x")),IF(OR(OR(L245="X",L245="x"),AND(J245=N245,K245=M245)),0,IF(OR(J245&lt;N245,AND(J245=N245,K245&lt;M245)),1,0)),0)</f>
      </c>
      <c r="L256" s="14" t="str">
        <f>IF(OR(COUNTA(J238:K242,M238:N242)&gt;0,L238="X",L238="x",L239="X",L239="x",L240="X",L240="x",L241="X",L241="x",L242="X",L242="x",OR(L237="X",L237="x")),IF(OR(OR(L237="X",L237="x"),AND(J237=N237,K237=M237)),1,0),0)+IF(OR(COUNTA(J246:K250,M246:N250)&gt;0,L246="X",L246="x",L247="X",L247="x",L248="X",L248="x",L249="X",L249="x",L250="X",L250="x",OR(L245="X",L245="x")),IF(OR(OR(L245="X",L245="x"),AND(J245=N245,K245=M245)),1,0),0)</f>
      </c>
      <c r="O256" s="18" t="str">
        <f>RANK(AC256,$AC$254:$AC$256)+COUNTIF($AC$253:AC255,AC256)</f>
      </c>
      <c r="U256" t="str">
        <f>(B256*1000000000)-(C256*10000000)+(D256*100000)+(B261*1000)-(C261*100)+(D261*10)+(E261*1)-(F261*0.01)</f>
      </c>
      <c r="AC256" t="str">
        <f>(J256*1000000000)-(K256*10000000)+(L256*100000)+(J261*1000)-(K261*100)+(L261*10)+(M261*1)-(N261*0.01)</f>
      </c>
    </row>
    <row r="258">
      <c r="A258" s="13"/>
      <c r="B258" s="13" t="s">
        <v>338</v>
      </c>
      <c r="C258" s="13" t="s">
        <v>339</v>
      </c>
      <c r="D258" s="13" t="s">
        <v>340</v>
      </c>
      <c r="E258" s="13" t="s">
        <v>341</v>
      </c>
      <c r="F258" s="13" t="s">
        <v>342</v>
      </c>
      <c r="I258" s="13"/>
      <c r="J258" s="13" t="s">
        <v>338</v>
      </c>
      <c r="K258" s="13" t="s">
        <v>339</v>
      </c>
      <c r="L258" s="13" t="s">
        <v>340</v>
      </c>
      <c r="M258" s="13" t="s">
        <v>341</v>
      </c>
      <c r="N258" s="13" t="s">
        <v>342</v>
      </c>
    </row>
    <row r="259">
      <c r="A259" s="14" t="str">
        <f>data!$E$19&amp;" "&amp;data!$B$19</f>
      </c>
      <c r="B259" s="14" t="str">
        <f>IF(OR(COUNTA(B230:C234,E230:F234)&gt;0,OR(D229="X",D229="x"),UPPER(D230)="X",UPPER(D231)="X",UPPER(D232)="X",UPPER(D233)="X",UPPER(D234)="X"),F229,0)+IF(OR(COUNTA(B238:C242,E238:F242)&gt;0,OR(D237="X",D237="x"),UPPER(D238)="X",UPPER(D239)="X",UPPER(D240)="X",UPPER(D241)="X",UPPER(D242)="X"),F237,0)</f>
      </c>
      <c r="C259" s="14" t="str">
        <f>IF(OR(COUNTA(B230:C234,E230:F234)&gt;0,OR(D229="X",D229="x"),UPPER(D230)="X",UPPER(D231)="X",UPPER(D232)="X",UPPER(D233)="X",UPPER(D234)="X"),B229,0)+IF(OR(COUNTA(B238:C242,E238:F242)&gt;0,OR(D237="X",D237="x"),UPPER(D238)="X",UPPER(D239)="X",UPPER(D240)="X",UPPER(D241)="X",UPPER(D242)="X"),B237,0)</f>
      </c>
      <c r="D259" s="14" t="str">
        <f>IF(OR(COUNTA(B230:C234,E230:F234)&gt;0,OR(D229="X",D229="x"),UPPER(D230)="X",UPPER(D231)="X",UPPER(D232)="X",UPPER(D233)="X",UPPER(D234)="X"),(IF(OR(D230="X",D230="x",AND(COUNTA(B230,C230,E230,F230)&gt;0,(LEN(SUBSTITUTE(SUBSTITUTE(SUBSTITUTE(B230," ",""),"0",""),"-",""))+LEN(SUBSTITUTE(SUBSTITUTE(SUBSTITUTE(C230," ",""),"0",""),"-","")))=(LEN(SUBSTITUTE(SUBSTITUTE(SUBSTITUTE(E230," ",""),"0",""),"-",""))+LEN(SUBSTITUTE(SUBSTITUTE(SUBSTITUTE(F230," ",""),"0",""),"-",""))))),1,0)+IF(OR(D231="X",D231="x",AND(COUNTA(B231,C231,E231,F231)&gt;0,(LEN(SUBSTITUTE(SUBSTITUTE(SUBSTITUTE(B231," ",""),"0",""),"-",""))+LEN(SUBSTITUTE(SUBSTITUTE(SUBSTITUTE(C231," ",""),"0",""),"-","")))=(LEN(SUBSTITUTE(SUBSTITUTE(SUBSTITUTE(E231," ",""),"0",""),"-",""))+LEN(SUBSTITUTE(SUBSTITUTE(SUBSTITUTE(F231," ",""),"0",""),"-",""))))),1,0)+IF(OR(D232="X",D232="x",AND(COUNTA(B232,C232,E232,F232)&gt;0,(LEN(SUBSTITUTE(SUBSTITUTE(SUBSTITUTE(B232," ",""),"0",""),"-",""))+LEN(SUBSTITUTE(SUBSTITUTE(SUBSTITUTE(C232," ",""),"0",""),"-","")))=(LEN(SUBSTITUTE(SUBSTITUTE(SUBSTITUTE(E232," ",""),"0",""),"-",""))+LEN(SUBSTITUTE(SUBSTITUTE(SUBSTITUTE(F232," ",""),"0",""),"-",""))))),1,0)+IF(OR(D233="X",D233="x",AND(COUNTA(B233,C233,E233,F233)&gt;0,(LEN(SUBSTITUTE(SUBSTITUTE(SUBSTITUTE(B233," ",""),"0",""),"-",""))+LEN(SUBSTITUTE(SUBSTITUTE(SUBSTITUTE(C233," ",""),"0",""),"-","")))=(LEN(SUBSTITUTE(SUBSTITUTE(SUBSTITUTE(E233," ",""),"0",""),"-",""))+LEN(SUBSTITUTE(SUBSTITUTE(SUBSTITUTE(F233," ",""),"0",""),"-",""))))),1,0)+IF(OR(D234="X",D234="x",AND(COUNTA(B234,C234,E234,F234)&gt;0,(LEN(SUBSTITUTE(SUBSTITUTE(SUBSTITUTE(B234," ",""),"0",""),"-",""))+LEN(SUBSTITUTE(SUBSTITUTE(SUBSTITUTE(C234," ",""),"0",""),"-","")))=(LEN(SUBSTITUTE(SUBSTITUTE(SUBSTITUTE(E234," ",""),"0",""),"-",""))+LEN(SUBSTITUTE(SUBSTITUTE(SUBSTITUTE(F234," ",""),"0",""),"-",""))))),1,0)),0)+IF(OR(COUNTA(B238:C242,E238:F242)&gt;0,OR(D237="X",D237="x"),UPPER(D238)="X",UPPER(D239)="X",UPPER(D240)="X",UPPER(D241)="X",UPPER(D242)="X"),(IF(OR(D238="X",D238="x",AND(COUNTA(B238,C238,E238,F238)&gt;0,(LEN(SUBSTITUTE(SUBSTITUTE(SUBSTITUTE(B238," ",""),"0",""),"-",""))+LEN(SUBSTITUTE(SUBSTITUTE(SUBSTITUTE(C238," ",""),"0",""),"-","")))=(LEN(SUBSTITUTE(SUBSTITUTE(SUBSTITUTE(E238," ",""),"0",""),"-",""))+LEN(SUBSTITUTE(SUBSTITUTE(SUBSTITUTE(F238," ",""),"0",""),"-",""))))),1,0)+IF(OR(D239="X",D239="x",AND(COUNTA(B239,C239,E239,F239)&gt;0,(LEN(SUBSTITUTE(SUBSTITUTE(SUBSTITUTE(B239," ",""),"0",""),"-",""))+LEN(SUBSTITUTE(SUBSTITUTE(SUBSTITUTE(C239," ",""),"0",""),"-","")))=(LEN(SUBSTITUTE(SUBSTITUTE(SUBSTITUTE(E239," ",""),"0",""),"-",""))+LEN(SUBSTITUTE(SUBSTITUTE(SUBSTITUTE(F239," ",""),"0",""),"-",""))))),1,0)+IF(OR(D240="X",D240="x",AND(COUNTA(B240,C240,E240,F240)&gt;0,(LEN(SUBSTITUTE(SUBSTITUTE(SUBSTITUTE(B240," ",""),"0",""),"-",""))+LEN(SUBSTITUTE(SUBSTITUTE(SUBSTITUTE(C240," ",""),"0",""),"-","")))=(LEN(SUBSTITUTE(SUBSTITUTE(SUBSTITUTE(E240," ",""),"0",""),"-",""))+LEN(SUBSTITUTE(SUBSTITUTE(SUBSTITUTE(F240," ",""),"0",""),"-",""))))),1,0)+IF(OR(D241="X",D241="x",AND(COUNTA(B241,C241,E241,F241)&gt;0,(LEN(SUBSTITUTE(SUBSTITUTE(SUBSTITUTE(B241," ",""),"0",""),"-",""))+LEN(SUBSTITUTE(SUBSTITUTE(SUBSTITUTE(C241," ",""),"0",""),"-","")))=(LEN(SUBSTITUTE(SUBSTITUTE(SUBSTITUTE(E241," ",""),"0",""),"-",""))+LEN(SUBSTITUTE(SUBSTITUTE(SUBSTITUTE(F241," ",""),"0",""),"-",""))))),1,0)+IF(OR(D242="X",D242="x",AND(COUNTA(B242,C242,E242,F242)&gt;0,(LEN(SUBSTITUTE(SUBSTITUTE(SUBSTITUTE(B242," ",""),"0",""),"-",""))+LEN(SUBSTITUTE(SUBSTITUTE(SUBSTITUTE(C242," ",""),"0",""),"-","")))=(LEN(SUBSTITUTE(SUBSTITUTE(SUBSTITUTE(E242," ",""),"0",""),"-",""))+LEN(SUBSTITUTE(SUBSTITUTE(SUBSTITUTE(F242," ",""),"0",""),"-",""))))),1,0)),0)</f>
      </c>
      <c r="E259" s="14" t="str">
        <f>E229+E237</f>
      </c>
      <c r="F259" s="14" t="str">
        <f>C229+C237</f>
      </c>
      <c r="I259" s="14" t="str">
        <f>data!$E$64&amp;" "&amp;data!$B$64</f>
      </c>
      <c r="J259" s="14" t="str">
        <f>IF(OR(COUNTA(J230:K234,M230:N234)&gt;0,OR(L229="X",L229="x"),UPPER(L230)="X",UPPER(L231)="X",UPPER(L232)="X",UPPER(L233)="X",UPPER(L234)="X"),N229,0)+IF(OR(COUNTA(J238:K242,M238:N242)&gt;0,OR(L237="X",L237="x"),UPPER(L238)="X",UPPER(L239)="X",UPPER(L240)="X",UPPER(L241)="X",UPPER(L242)="X"),N237,0)</f>
      </c>
      <c r="K259" s="14" t="str">
        <f>IF(OR(COUNTA(J230:K234,M230:N234)&gt;0,OR(L229="X",L229="x"),UPPER(L230)="X",UPPER(L231)="X",UPPER(L232)="X",UPPER(L233)="X",UPPER(L234)="X"),J229,0)+IF(OR(COUNTA(J238:K242,M238:N242)&gt;0,OR(L237="X",L237="x"),UPPER(L238)="X",UPPER(L239)="X",UPPER(L240)="X",UPPER(L241)="X",UPPER(L242)="X"),J237,0)</f>
      </c>
      <c r="L259" s="14" t="str">
        <f>IF(OR(COUNTA(J230:K234,M230:N234)&gt;0,OR(L229="X",L229="x"),UPPER(L230)="X",UPPER(L231)="X",UPPER(L232)="X",UPPER(L233)="X",UPPER(L234)="X"),(IF(OR(L230="X",L230="x",AND(COUNTA(J230,K230,M230,N230)&gt;0,(LEN(SUBSTITUTE(SUBSTITUTE(SUBSTITUTE(J230," ",""),"0",""),"-",""))+LEN(SUBSTITUTE(SUBSTITUTE(SUBSTITUTE(K230," ",""),"0",""),"-","")))=(LEN(SUBSTITUTE(SUBSTITUTE(SUBSTITUTE(M230," ",""),"0",""),"-",""))+LEN(SUBSTITUTE(SUBSTITUTE(SUBSTITUTE(N230," ",""),"0",""),"-",""))))),1,0)+IF(OR(L231="X",L231="x",AND(COUNTA(J231,K231,M231,N231)&gt;0,(LEN(SUBSTITUTE(SUBSTITUTE(SUBSTITUTE(J231," ",""),"0",""),"-",""))+LEN(SUBSTITUTE(SUBSTITUTE(SUBSTITUTE(K231," ",""),"0",""),"-","")))=(LEN(SUBSTITUTE(SUBSTITUTE(SUBSTITUTE(M231," ",""),"0",""),"-",""))+LEN(SUBSTITUTE(SUBSTITUTE(SUBSTITUTE(N231," ",""),"0",""),"-",""))))),1,0)+IF(OR(L232="X",L232="x",AND(COUNTA(J232,K232,M232,N232)&gt;0,(LEN(SUBSTITUTE(SUBSTITUTE(SUBSTITUTE(J232," ",""),"0",""),"-",""))+LEN(SUBSTITUTE(SUBSTITUTE(SUBSTITUTE(K232," ",""),"0",""),"-","")))=(LEN(SUBSTITUTE(SUBSTITUTE(SUBSTITUTE(M232," ",""),"0",""),"-",""))+LEN(SUBSTITUTE(SUBSTITUTE(SUBSTITUTE(N232," ",""),"0",""),"-",""))))),1,0)+IF(OR(L233="X",L233="x",AND(COUNTA(J233,K233,M233,N233)&gt;0,(LEN(SUBSTITUTE(SUBSTITUTE(SUBSTITUTE(J233," ",""),"0",""),"-",""))+LEN(SUBSTITUTE(SUBSTITUTE(SUBSTITUTE(K233," ",""),"0",""),"-","")))=(LEN(SUBSTITUTE(SUBSTITUTE(SUBSTITUTE(M233," ",""),"0",""),"-",""))+LEN(SUBSTITUTE(SUBSTITUTE(SUBSTITUTE(N233," ",""),"0",""),"-",""))))),1,0)+IF(OR(L234="X",L234="x",AND(COUNTA(J234,K234,M234,N234)&gt;0,(LEN(SUBSTITUTE(SUBSTITUTE(SUBSTITUTE(J234," ",""),"0",""),"-",""))+LEN(SUBSTITUTE(SUBSTITUTE(SUBSTITUTE(K234," ",""),"0",""),"-","")))=(LEN(SUBSTITUTE(SUBSTITUTE(SUBSTITUTE(M234," ",""),"0",""),"-",""))+LEN(SUBSTITUTE(SUBSTITUTE(SUBSTITUTE(N234," ",""),"0",""),"-",""))))),1,0)),0)+IF(OR(COUNTA(J238:K242,M238:N242)&gt;0,OR(L237="X",L237="x"),UPPER(L238)="X",UPPER(L239)="X",UPPER(L240)="X",UPPER(L241)="X",UPPER(L242)="X"),(IF(OR(L238="X",L238="x",AND(COUNTA(J238,K238,M238,N238)&gt;0,(LEN(SUBSTITUTE(SUBSTITUTE(SUBSTITUTE(J238," ",""),"0",""),"-",""))+LEN(SUBSTITUTE(SUBSTITUTE(SUBSTITUTE(K238," ",""),"0",""),"-","")))=(LEN(SUBSTITUTE(SUBSTITUTE(SUBSTITUTE(M238," ",""),"0",""),"-",""))+LEN(SUBSTITUTE(SUBSTITUTE(SUBSTITUTE(N238," ",""),"0",""),"-",""))))),1,0)+IF(OR(L239="X",L239="x",AND(COUNTA(J239,K239,M239,N239)&gt;0,(LEN(SUBSTITUTE(SUBSTITUTE(SUBSTITUTE(J239," ",""),"0",""),"-",""))+LEN(SUBSTITUTE(SUBSTITUTE(SUBSTITUTE(K239," ",""),"0",""),"-","")))=(LEN(SUBSTITUTE(SUBSTITUTE(SUBSTITUTE(M239," ",""),"0",""),"-",""))+LEN(SUBSTITUTE(SUBSTITUTE(SUBSTITUTE(N239," ",""),"0",""),"-",""))))),1,0)+IF(OR(L240="X",L240="x",AND(COUNTA(J240,K240,M240,N240)&gt;0,(LEN(SUBSTITUTE(SUBSTITUTE(SUBSTITUTE(J240," ",""),"0",""),"-",""))+LEN(SUBSTITUTE(SUBSTITUTE(SUBSTITUTE(K240," ",""),"0",""),"-","")))=(LEN(SUBSTITUTE(SUBSTITUTE(SUBSTITUTE(M240," ",""),"0",""),"-",""))+LEN(SUBSTITUTE(SUBSTITUTE(SUBSTITUTE(N240," ",""),"0",""),"-",""))))),1,0)+IF(OR(L241="X",L241="x",AND(COUNTA(J241,K241,M241,N241)&gt;0,(LEN(SUBSTITUTE(SUBSTITUTE(SUBSTITUTE(J241," ",""),"0",""),"-",""))+LEN(SUBSTITUTE(SUBSTITUTE(SUBSTITUTE(K241," ",""),"0",""),"-","")))=(LEN(SUBSTITUTE(SUBSTITUTE(SUBSTITUTE(M241," ",""),"0",""),"-",""))+LEN(SUBSTITUTE(SUBSTITUTE(SUBSTITUTE(N241," ",""),"0",""),"-",""))))),1,0)+IF(OR(L242="X",L242="x",AND(COUNTA(J242,K242,M242,N242)&gt;0,(LEN(SUBSTITUTE(SUBSTITUTE(SUBSTITUTE(J242," ",""),"0",""),"-",""))+LEN(SUBSTITUTE(SUBSTITUTE(SUBSTITUTE(K242," ",""),"0",""),"-","")))=(LEN(SUBSTITUTE(SUBSTITUTE(SUBSTITUTE(M242," ",""),"0",""),"-",""))+LEN(SUBSTITUTE(SUBSTITUTE(SUBSTITUTE(N242," ",""),"0",""),"-",""))))),1,0)),0)</f>
      </c>
      <c r="M259" s="14" t="str">
        <f>M229+M237</f>
      </c>
      <c r="N259" s="14" t="str">
        <f>K229+K237</f>
      </c>
    </row>
    <row r="260">
      <c r="A260" s="14" t="str">
        <f>data!$E$20&amp;" "&amp;data!$B$20</f>
      </c>
      <c r="B260" s="14" t="str">
        <f>IF(OR(COUNTA(B230:C234,E230:F234)&gt;0,OR(D229="X",D229="x"),UPPER(D230)="X",UPPER(D231)="X",UPPER(D232)="X",UPPER(D233)="X",UPPER(D234)="X"),B229,0)+IF(OR(COUNTA(B246:C250,E246:F250)&gt;0,OR(D245="X",D245="x"),UPPER(D246)="X",UPPER(D247)="X",UPPER(D248)="X",UPPER(D249)="X",UPPER(D250)="X"),F245,0)</f>
      </c>
      <c r="C260" s="14" t="str">
        <f>IF(OR(COUNTA(B230:C234,E230:F234)&gt;0,OR(D229="X",D229="x"),UPPER(D230)="X",UPPER(D231)="X",UPPER(D232)="X",UPPER(D233)="X",UPPER(D234)="X"),F229,0)+IF(OR(COUNTA(B246:C250,E246:F250)&gt;0,OR(D245="X",D245="x"),UPPER(D246)="X",UPPER(D247)="X",UPPER(D248)="X",UPPER(D249)="X",UPPER(D250)="X"),B245,0)</f>
      </c>
      <c r="D260" s="14" t="str">
        <f>IF(OR(COUNTA(B230:C234,E230:F234)&gt;0,OR(D229="X",D229="x"),UPPER(D230)="X",UPPER(D231)="X",UPPER(D232)="X",UPPER(D233)="X",UPPER(D234)="X"),(IF(OR(D230="X",D230="x",AND(COUNTA(B230,C230,E230,F230)&gt;0,(LEN(SUBSTITUTE(SUBSTITUTE(SUBSTITUTE(B230," ",""),"0",""),"-",""))+LEN(SUBSTITUTE(SUBSTITUTE(SUBSTITUTE(C230," ",""),"0",""),"-","")))=(LEN(SUBSTITUTE(SUBSTITUTE(SUBSTITUTE(E230," ",""),"0",""),"-",""))+LEN(SUBSTITUTE(SUBSTITUTE(SUBSTITUTE(F230," ",""),"0",""),"-",""))))),1,0)+IF(OR(D231="X",D231="x",AND(COUNTA(B231,C231,E231,F231)&gt;0,(LEN(SUBSTITUTE(SUBSTITUTE(SUBSTITUTE(B231," ",""),"0",""),"-",""))+LEN(SUBSTITUTE(SUBSTITUTE(SUBSTITUTE(C231," ",""),"0",""),"-","")))=(LEN(SUBSTITUTE(SUBSTITUTE(SUBSTITUTE(E231," ",""),"0",""),"-",""))+LEN(SUBSTITUTE(SUBSTITUTE(SUBSTITUTE(F231," ",""),"0",""),"-",""))))),1,0)+IF(OR(D232="X",D232="x",AND(COUNTA(B232,C232,E232,F232)&gt;0,(LEN(SUBSTITUTE(SUBSTITUTE(SUBSTITUTE(B232," ",""),"0",""),"-",""))+LEN(SUBSTITUTE(SUBSTITUTE(SUBSTITUTE(C232," ",""),"0",""),"-","")))=(LEN(SUBSTITUTE(SUBSTITUTE(SUBSTITUTE(E232," ",""),"0",""),"-",""))+LEN(SUBSTITUTE(SUBSTITUTE(SUBSTITUTE(F232," ",""),"0",""),"-",""))))),1,0)+IF(OR(D233="X",D233="x",AND(COUNTA(B233,C233,E233,F233)&gt;0,(LEN(SUBSTITUTE(SUBSTITUTE(SUBSTITUTE(B233," ",""),"0",""),"-",""))+LEN(SUBSTITUTE(SUBSTITUTE(SUBSTITUTE(C233," ",""),"0",""),"-","")))=(LEN(SUBSTITUTE(SUBSTITUTE(SUBSTITUTE(E233," ",""),"0",""),"-",""))+LEN(SUBSTITUTE(SUBSTITUTE(SUBSTITUTE(F233," ",""),"0",""),"-",""))))),1,0)+IF(OR(D234="X",D234="x",AND(COUNTA(B234,C234,E234,F234)&gt;0,(LEN(SUBSTITUTE(SUBSTITUTE(SUBSTITUTE(B234," ",""),"0",""),"-",""))+LEN(SUBSTITUTE(SUBSTITUTE(SUBSTITUTE(C234," ",""),"0",""),"-","")))=(LEN(SUBSTITUTE(SUBSTITUTE(SUBSTITUTE(E234," ",""),"0",""),"-",""))+LEN(SUBSTITUTE(SUBSTITUTE(SUBSTITUTE(F234," ",""),"0",""),"-",""))))),1,0)),0)+IF(OR(COUNTA(B246:C250,E246:F250)&gt;0,OR(D245="X",D245="x"),UPPER(D246)="X",UPPER(D247)="X",UPPER(D248)="X",UPPER(D249)="X",UPPER(D250)="X"),(IF(OR(D246="X",D246="x",AND(COUNTA(B246,C246,E246,F246)&gt;0,(LEN(SUBSTITUTE(SUBSTITUTE(SUBSTITUTE(B246," ",""),"0",""),"-",""))+LEN(SUBSTITUTE(SUBSTITUTE(SUBSTITUTE(C246," ",""),"0",""),"-","")))=(LEN(SUBSTITUTE(SUBSTITUTE(SUBSTITUTE(E246," ",""),"0",""),"-",""))+LEN(SUBSTITUTE(SUBSTITUTE(SUBSTITUTE(F246," ",""),"0",""),"-",""))))),1,0)+IF(OR(D247="X",D247="x",AND(COUNTA(B247,C247,E247,F247)&gt;0,(LEN(SUBSTITUTE(SUBSTITUTE(SUBSTITUTE(B247," ",""),"0",""),"-",""))+LEN(SUBSTITUTE(SUBSTITUTE(SUBSTITUTE(C247," ",""),"0",""),"-","")))=(LEN(SUBSTITUTE(SUBSTITUTE(SUBSTITUTE(E247," ",""),"0",""),"-",""))+LEN(SUBSTITUTE(SUBSTITUTE(SUBSTITUTE(F247," ",""),"0",""),"-",""))))),1,0)+IF(OR(D248="X",D248="x",AND(COUNTA(B248,C248,E248,F248)&gt;0,(LEN(SUBSTITUTE(SUBSTITUTE(SUBSTITUTE(B248," ",""),"0",""),"-",""))+LEN(SUBSTITUTE(SUBSTITUTE(SUBSTITUTE(C248," ",""),"0",""),"-","")))=(LEN(SUBSTITUTE(SUBSTITUTE(SUBSTITUTE(E248," ",""),"0",""),"-",""))+LEN(SUBSTITUTE(SUBSTITUTE(SUBSTITUTE(F248," ",""),"0",""),"-",""))))),1,0)+IF(OR(D249="X",D249="x",AND(COUNTA(B249,C249,E249,F249)&gt;0,(LEN(SUBSTITUTE(SUBSTITUTE(SUBSTITUTE(B249," ",""),"0",""),"-",""))+LEN(SUBSTITUTE(SUBSTITUTE(SUBSTITUTE(C249," ",""),"0",""),"-","")))=(LEN(SUBSTITUTE(SUBSTITUTE(SUBSTITUTE(E249," ",""),"0",""),"-",""))+LEN(SUBSTITUTE(SUBSTITUTE(SUBSTITUTE(F249," ",""),"0",""),"-",""))))),1,0)+IF(OR(D250="X",D250="x",AND(COUNTA(B250,C250,E250,F250)&gt;0,(LEN(SUBSTITUTE(SUBSTITUTE(SUBSTITUTE(B250," ",""),"0",""),"-",""))+LEN(SUBSTITUTE(SUBSTITUTE(SUBSTITUTE(C250," ",""),"0",""),"-","")))=(LEN(SUBSTITUTE(SUBSTITUTE(SUBSTITUTE(E250," ",""),"0",""),"-",""))+LEN(SUBSTITUTE(SUBSTITUTE(SUBSTITUTE(F250," ",""),"0",""),"-",""))))),1,0)),0)</f>
      </c>
      <c r="E260" s="14" t="str">
        <f>C229+E245</f>
      </c>
      <c r="F260" s="14" t="str">
        <f>E229+C245</f>
      </c>
      <c r="I260" s="14" t="str">
        <f>data!$E$65&amp;" "&amp;data!$B$65</f>
      </c>
      <c r="J260" s="14" t="str">
        <f>IF(OR(COUNTA(J230:K234,M230:N234)&gt;0,OR(L229="X",L229="x"),UPPER(L230)="X",UPPER(L231)="X",UPPER(L232)="X",UPPER(L233)="X",UPPER(L234)="X"),J229,0)+IF(OR(COUNTA(J246:K250,M246:N250)&gt;0,OR(L245="X",L245="x"),UPPER(L246)="X",UPPER(L247)="X",UPPER(L248)="X",UPPER(L249)="X",UPPER(L250)="X"),N245,0)</f>
      </c>
      <c r="K260" s="14" t="str">
        <f>IF(OR(COUNTA(J230:K234,M230:N234)&gt;0,OR(L229="X",L229="x"),UPPER(L230)="X",UPPER(L231)="X",UPPER(L232)="X",UPPER(L233)="X",UPPER(L234)="X"),N229,0)+IF(OR(COUNTA(J246:K250,M246:N250)&gt;0,OR(L245="X",L245="x"),UPPER(L246)="X",UPPER(L247)="X",UPPER(L248)="X",UPPER(L249)="X",UPPER(L250)="X"),J245,0)</f>
      </c>
      <c r="L260" s="14" t="str">
        <f>IF(OR(COUNTA(J230:K234,M230:N234)&gt;0,OR(L229="X",L229="x"),UPPER(L230)="X",UPPER(L231)="X",UPPER(L232)="X",UPPER(L233)="X",UPPER(L234)="X"),(IF(OR(L230="X",L230="x",AND(COUNTA(J230,K230,M230,N230)&gt;0,(LEN(SUBSTITUTE(SUBSTITUTE(SUBSTITUTE(J230," ",""),"0",""),"-",""))+LEN(SUBSTITUTE(SUBSTITUTE(SUBSTITUTE(K230," ",""),"0",""),"-","")))=(LEN(SUBSTITUTE(SUBSTITUTE(SUBSTITUTE(M230," ",""),"0",""),"-",""))+LEN(SUBSTITUTE(SUBSTITUTE(SUBSTITUTE(N230," ",""),"0",""),"-",""))))),1,0)+IF(OR(L231="X",L231="x",AND(COUNTA(J231,K231,M231,N231)&gt;0,(LEN(SUBSTITUTE(SUBSTITUTE(SUBSTITUTE(J231," ",""),"0",""),"-",""))+LEN(SUBSTITUTE(SUBSTITUTE(SUBSTITUTE(K231," ",""),"0",""),"-","")))=(LEN(SUBSTITUTE(SUBSTITUTE(SUBSTITUTE(M231," ",""),"0",""),"-",""))+LEN(SUBSTITUTE(SUBSTITUTE(SUBSTITUTE(N231," ",""),"0",""),"-",""))))),1,0)+IF(OR(L232="X",L232="x",AND(COUNTA(J232,K232,M232,N232)&gt;0,(LEN(SUBSTITUTE(SUBSTITUTE(SUBSTITUTE(J232," ",""),"0",""),"-",""))+LEN(SUBSTITUTE(SUBSTITUTE(SUBSTITUTE(K232," ",""),"0",""),"-","")))=(LEN(SUBSTITUTE(SUBSTITUTE(SUBSTITUTE(M232," ",""),"0",""),"-",""))+LEN(SUBSTITUTE(SUBSTITUTE(SUBSTITUTE(N232," ",""),"0",""),"-",""))))),1,0)+IF(OR(L233="X",L233="x",AND(COUNTA(J233,K233,M233,N233)&gt;0,(LEN(SUBSTITUTE(SUBSTITUTE(SUBSTITUTE(J233," ",""),"0",""),"-",""))+LEN(SUBSTITUTE(SUBSTITUTE(SUBSTITUTE(K233," ",""),"0",""),"-","")))=(LEN(SUBSTITUTE(SUBSTITUTE(SUBSTITUTE(M233," ",""),"0",""),"-",""))+LEN(SUBSTITUTE(SUBSTITUTE(SUBSTITUTE(N233," ",""),"0",""),"-",""))))),1,0)+IF(OR(L234="X",L234="x",AND(COUNTA(J234,K234,M234,N234)&gt;0,(LEN(SUBSTITUTE(SUBSTITUTE(SUBSTITUTE(J234," ",""),"0",""),"-",""))+LEN(SUBSTITUTE(SUBSTITUTE(SUBSTITUTE(K234," ",""),"0",""),"-","")))=(LEN(SUBSTITUTE(SUBSTITUTE(SUBSTITUTE(M234," ",""),"0",""),"-",""))+LEN(SUBSTITUTE(SUBSTITUTE(SUBSTITUTE(N234," ",""),"0",""),"-",""))))),1,0)),0)+IF(OR(COUNTA(J246:K250,M246:N250)&gt;0,OR(L245="X",L245="x"),UPPER(L246)="X",UPPER(L247)="X",UPPER(L248)="X",UPPER(L249)="X",UPPER(L250)="X"),(IF(OR(L246="X",L246="x",AND(COUNTA(J246,K246,M246,N246)&gt;0,(LEN(SUBSTITUTE(SUBSTITUTE(SUBSTITUTE(J246," ",""),"0",""),"-",""))+LEN(SUBSTITUTE(SUBSTITUTE(SUBSTITUTE(K246," ",""),"0",""),"-","")))=(LEN(SUBSTITUTE(SUBSTITUTE(SUBSTITUTE(M246," ",""),"0",""),"-",""))+LEN(SUBSTITUTE(SUBSTITUTE(SUBSTITUTE(N246," ",""),"0",""),"-",""))))),1,0)+IF(OR(L247="X",L247="x",AND(COUNTA(J247,K247,M247,N247)&gt;0,(LEN(SUBSTITUTE(SUBSTITUTE(SUBSTITUTE(J247," ",""),"0",""),"-",""))+LEN(SUBSTITUTE(SUBSTITUTE(SUBSTITUTE(K247," ",""),"0",""),"-","")))=(LEN(SUBSTITUTE(SUBSTITUTE(SUBSTITUTE(M247," ",""),"0",""),"-",""))+LEN(SUBSTITUTE(SUBSTITUTE(SUBSTITUTE(N247," ",""),"0",""),"-",""))))),1,0)+IF(OR(L248="X",L248="x",AND(COUNTA(J248,K248,M248,N248)&gt;0,(LEN(SUBSTITUTE(SUBSTITUTE(SUBSTITUTE(J248," ",""),"0",""),"-",""))+LEN(SUBSTITUTE(SUBSTITUTE(SUBSTITUTE(K248," ",""),"0",""),"-","")))=(LEN(SUBSTITUTE(SUBSTITUTE(SUBSTITUTE(M248," ",""),"0",""),"-",""))+LEN(SUBSTITUTE(SUBSTITUTE(SUBSTITUTE(N248," ",""),"0",""),"-",""))))),1,0)+IF(OR(L249="X",L249="x",AND(COUNTA(J249,K249,M249,N249)&gt;0,(LEN(SUBSTITUTE(SUBSTITUTE(SUBSTITUTE(J249," ",""),"0",""),"-",""))+LEN(SUBSTITUTE(SUBSTITUTE(SUBSTITUTE(K249," ",""),"0",""),"-","")))=(LEN(SUBSTITUTE(SUBSTITUTE(SUBSTITUTE(M249," ",""),"0",""),"-",""))+LEN(SUBSTITUTE(SUBSTITUTE(SUBSTITUTE(N249," ",""),"0",""),"-",""))))),1,0)+IF(OR(L250="X",L250="x",AND(COUNTA(J250,K250,M250,N250)&gt;0,(LEN(SUBSTITUTE(SUBSTITUTE(SUBSTITUTE(J250," ",""),"0",""),"-",""))+LEN(SUBSTITUTE(SUBSTITUTE(SUBSTITUTE(K250," ",""),"0",""),"-","")))=(LEN(SUBSTITUTE(SUBSTITUTE(SUBSTITUTE(M250," ",""),"0",""),"-",""))+LEN(SUBSTITUTE(SUBSTITUTE(SUBSTITUTE(N250," ",""),"0",""),"-",""))))),1,0)),0)</f>
      </c>
      <c r="M260" s="14" t="str">
        <f>K229+M245</f>
      </c>
      <c r="N260" s="14" t="str">
        <f>M229+K245</f>
      </c>
    </row>
    <row r="261">
      <c r="A261" s="14" t="str">
        <f>data!$E$21&amp;" "&amp;data!$B$21</f>
      </c>
      <c r="B261" s="14" t="str">
        <f>IF(OR(COUNTA(B238:C242,E238:F242)&gt;0,OR(D237="X",D237="x"),UPPER(D238)="X",UPPER(D239)="X",UPPER(D240)="X",UPPER(D241)="X",UPPER(D242)="X"),B237,0)+IF(OR(COUNTA(B246:C250,E246:F250)&gt;0,OR(D245="X",D245="x"),UPPER(D246)="X",UPPER(D247)="X",UPPER(D248)="X",UPPER(D249)="X",UPPER(D250)="X"),B245,0)</f>
      </c>
      <c r="C261" s="14" t="str">
        <f>IF(OR(COUNTA(B238:C242,E238:F242)&gt;0,OR(D237="X",D237="x"),UPPER(D238)="X",UPPER(D239)="X",UPPER(D240)="X",UPPER(D241)="X",UPPER(D242)="X"),F237,0)+IF(OR(COUNTA(B246:C250,E246:F250)&gt;0,OR(D245="X",D245="x"),UPPER(D246)="X",UPPER(D247)="X",UPPER(D248)="X",UPPER(D249)="X",UPPER(D250)="X"),F245,0)</f>
      </c>
      <c r="D261" s="14" t="str">
        <f>IF(OR(COUNTA(B238:C242,E238:F242)&gt;0,OR(D237="X",D237="x"),UPPER(D238)="X",UPPER(D239)="X",UPPER(D240)="X",UPPER(D241)="X",UPPER(D242)="X"),(IF(OR(D238="X",D238="x",AND(COUNTA(B238,C238,E238,F238)&gt;0,(LEN(SUBSTITUTE(SUBSTITUTE(SUBSTITUTE(B238," ",""),"0",""),"-",""))+LEN(SUBSTITUTE(SUBSTITUTE(SUBSTITUTE(C238," ",""),"0",""),"-","")))=(LEN(SUBSTITUTE(SUBSTITUTE(SUBSTITUTE(E238," ",""),"0",""),"-",""))+LEN(SUBSTITUTE(SUBSTITUTE(SUBSTITUTE(F238," ",""),"0",""),"-",""))))),1,0)+IF(OR(D239="X",D239="x",AND(COUNTA(B239,C239,E239,F239)&gt;0,(LEN(SUBSTITUTE(SUBSTITUTE(SUBSTITUTE(B239," ",""),"0",""),"-",""))+LEN(SUBSTITUTE(SUBSTITUTE(SUBSTITUTE(C239," ",""),"0",""),"-","")))=(LEN(SUBSTITUTE(SUBSTITUTE(SUBSTITUTE(E239," ",""),"0",""),"-",""))+LEN(SUBSTITUTE(SUBSTITUTE(SUBSTITUTE(F239," ",""),"0",""),"-",""))))),1,0)+IF(OR(D240="X",D240="x",AND(COUNTA(B240,C240,E240,F240)&gt;0,(LEN(SUBSTITUTE(SUBSTITUTE(SUBSTITUTE(B240," ",""),"0",""),"-",""))+LEN(SUBSTITUTE(SUBSTITUTE(SUBSTITUTE(C240," ",""),"0",""),"-","")))=(LEN(SUBSTITUTE(SUBSTITUTE(SUBSTITUTE(E240," ",""),"0",""),"-",""))+LEN(SUBSTITUTE(SUBSTITUTE(SUBSTITUTE(F240," ",""),"0",""),"-",""))))),1,0)+IF(OR(D241="X",D241="x",AND(COUNTA(B241,C241,E241,F241)&gt;0,(LEN(SUBSTITUTE(SUBSTITUTE(SUBSTITUTE(B241," ",""),"0",""),"-",""))+LEN(SUBSTITUTE(SUBSTITUTE(SUBSTITUTE(C241," ",""),"0",""),"-","")))=(LEN(SUBSTITUTE(SUBSTITUTE(SUBSTITUTE(E241," ",""),"0",""),"-",""))+LEN(SUBSTITUTE(SUBSTITUTE(SUBSTITUTE(F241," ",""),"0",""),"-",""))))),1,0)+IF(OR(D242="X",D242="x",AND(COUNTA(B242,C242,E242,F242)&gt;0,(LEN(SUBSTITUTE(SUBSTITUTE(SUBSTITUTE(B242," ",""),"0",""),"-",""))+LEN(SUBSTITUTE(SUBSTITUTE(SUBSTITUTE(C242," ",""),"0",""),"-","")))=(LEN(SUBSTITUTE(SUBSTITUTE(SUBSTITUTE(E242," ",""),"0",""),"-",""))+LEN(SUBSTITUTE(SUBSTITUTE(SUBSTITUTE(F242," ",""),"0",""),"-",""))))),1,0)),0)+IF(OR(COUNTA(B246:C250,E246:F250)&gt;0,OR(D245="X",D245="x"),UPPER(D246)="X",UPPER(D247)="X",UPPER(D248)="X",UPPER(D249)="X",UPPER(D250)="X"),(IF(OR(D246="X",D246="x",AND(COUNTA(B246,C246,E246,F246)&gt;0,(LEN(SUBSTITUTE(SUBSTITUTE(SUBSTITUTE(B246," ",""),"0",""),"-",""))+LEN(SUBSTITUTE(SUBSTITUTE(SUBSTITUTE(C246," ",""),"0",""),"-","")))=(LEN(SUBSTITUTE(SUBSTITUTE(SUBSTITUTE(E246," ",""),"0",""),"-",""))+LEN(SUBSTITUTE(SUBSTITUTE(SUBSTITUTE(F246," ",""),"0",""),"-",""))))),1,0)+IF(OR(D247="X",D247="x",AND(COUNTA(B247,C247,E247,F247)&gt;0,(LEN(SUBSTITUTE(SUBSTITUTE(SUBSTITUTE(B247," ",""),"0",""),"-",""))+LEN(SUBSTITUTE(SUBSTITUTE(SUBSTITUTE(C247," ",""),"0",""),"-","")))=(LEN(SUBSTITUTE(SUBSTITUTE(SUBSTITUTE(E247," ",""),"0",""),"-",""))+LEN(SUBSTITUTE(SUBSTITUTE(SUBSTITUTE(F247," ",""),"0",""),"-",""))))),1,0)+IF(OR(D248="X",D248="x",AND(COUNTA(B248,C248,E248,F248)&gt;0,(LEN(SUBSTITUTE(SUBSTITUTE(SUBSTITUTE(B248," ",""),"0",""),"-",""))+LEN(SUBSTITUTE(SUBSTITUTE(SUBSTITUTE(C248," ",""),"0",""),"-","")))=(LEN(SUBSTITUTE(SUBSTITUTE(SUBSTITUTE(E248," ",""),"0",""),"-",""))+LEN(SUBSTITUTE(SUBSTITUTE(SUBSTITUTE(F248," ",""),"0",""),"-",""))))),1,0)+IF(OR(D249="X",D249="x",AND(COUNTA(B249,C249,E249,F249)&gt;0,(LEN(SUBSTITUTE(SUBSTITUTE(SUBSTITUTE(B249," ",""),"0",""),"-",""))+LEN(SUBSTITUTE(SUBSTITUTE(SUBSTITUTE(C249," ",""),"0",""),"-","")))=(LEN(SUBSTITUTE(SUBSTITUTE(SUBSTITUTE(E249," ",""),"0",""),"-",""))+LEN(SUBSTITUTE(SUBSTITUTE(SUBSTITUTE(F249," ",""),"0",""),"-",""))))),1,0)+IF(OR(D250="X",D250="x",AND(COUNTA(B250,C250,E250,F250)&gt;0,(LEN(SUBSTITUTE(SUBSTITUTE(SUBSTITUTE(B250," ",""),"0",""),"-",""))+LEN(SUBSTITUTE(SUBSTITUTE(SUBSTITUTE(C250," ",""),"0",""),"-","")))=(LEN(SUBSTITUTE(SUBSTITUTE(SUBSTITUTE(E250," ",""),"0",""),"-",""))+LEN(SUBSTITUTE(SUBSTITUTE(SUBSTITUTE(F250," ",""),"0",""),"-",""))))),1,0)),0)</f>
      </c>
      <c r="E261" s="14" t="str">
        <f>C237+C245</f>
      </c>
      <c r="F261" s="14" t="str">
        <f>E237+E245</f>
      </c>
      <c r="I261" s="14" t="str">
        <f>data!$E$66&amp;" "&amp;data!$B$66</f>
      </c>
      <c r="J261" s="14" t="str">
        <f>IF(OR(COUNTA(J238:K242,M238:N242)&gt;0,OR(L237="X",L237="x"),UPPER(L238)="X",UPPER(L239)="X",UPPER(L240)="X",UPPER(L241)="X",UPPER(L242)="X"),J237,0)+IF(OR(COUNTA(J246:K250,M246:N250)&gt;0,OR(L245="X",L245="x"),UPPER(L246)="X",UPPER(L247)="X",UPPER(L248)="X",UPPER(L249)="X",UPPER(L250)="X"),J245,0)</f>
      </c>
      <c r="K261" s="14" t="str">
        <f>IF(OR(COUNTA(J238:K242,M238:N242)&gt;0,OR(L237="X",L237="x"),UPPER(L238)="X",UPPER(L239)="X",UPPER(L240)="X",UPPER(L241)="X",UPPER(L242)="X"),N237,0)+IF(OR(COUNTA(J246:K250,M246:N250)&gt;0,OR(L245="X",L245="x"),UPPER(L246)="X",UPPER(L247)="X",UPPER(L248)="X",UPPER(L249)="X",UPPER(L250)="X"),N245,0)</f>
      </c>
      <c r="L261" s="14" t="str">
        <f>IF(OR(COUNTA(J238:K242,M238:N242)&gt;0,OR(L237="X",L237="x"),UPPER(L238)="X",UPPER(L239)="X",UPPER(L240)="X",UPPER(L241)="X",UPPER(L242)="X"),(IF(OR(L238="X",L238="x",AND(COUNTA(J238,K238,M238,N238)&gt;0,(LEN(SUBSTITUTE(SUBSTITUTE(SUBSTITUTE(J238," ",""),"0",""),"-",""))+LEN(SUBSTITUTE(SUBSTITUTE(SUBSTITUTE(K238," ",""),"0",""),"-","")))=(LEN(SUBSTITUTE(SUBSTITUTE(SUBSTITUTE(M238," ",""),"0",""),"-",""))+LEN(SUBSTITUTE(SUBSTITUTE(SUBSTITUTE(N238," ",""),"0",""),"-",""))))),1,0)+IF(OR(L239="X",L239="x",AND(COUNTA(J239,K239,M239,N239)&gt;0,(LEN(SUBSTITUTE(SUBSTITUTE(SUBSTITUTE(J239," ",""),"0",""),"-",""))+LEN(SUBSTITUTE(SUBSTITUTE(SUBSTITUTE(K239," ",""),"0",""),"-","")))=(LEN(SUBSTITUTE(SUBSTITUTE(SUBSTITUTE(M239," ",""),"0",""),"-",""))+LEN(SUBSTITUTE(SUBSTITUTE(SUBSTITUTE(N239," ",""),"0",""),"-",""))))),1,0)+IF(OR(L240="X",L240="x",AND(COUNTA(J240,K240,M240,N240)&gt;0,(LEN(SUBSTITUTE(SUBSTITUTE(SUBSTITUTE(J240," ",""),"0",""),"-",""))+LEN(SUBSTITUTE(SUBSTITUTE(SUBSTITUTE(K240," ",""),"0",""),"-","")))=(LEN(SUBSTITUTE(SUBSTITUTE(SUBSTITUTE(M240," ",""),"0",""),"-",""))+LEN(SUBSTITUTE(SUBSTITUTE(SUBSTITUTE(N240," ",""),"0",""),"-",""))))),1,0)+IF(OR(L241="X",L241="x",AND(COUNTA(J241,K241,M241,N241)&gt;0,(LEN(SUBSTITUTE(SUBSTITUTE(SUBSTITUTE(J241," ",""),"0",""),"-",""))+LEN(SUBSTITUTE(SUBSTITUTE(SUBSTITUTE(K241," ",""),"0",""),"-","")))=(LEN(SUBSTITUTE(SUBSTITUTE(SUBSTITUTE(M241," ",""),"0",""),"-",""))+LEN(SUBSTITUTE(SUBSTITUTE(SUBSTITUTE(N241," ",""),"0",""),"-",""))))),1,0)+IF(OR(L242="X",L242="x",AND(COUNTA(J242,K242,M242,N242)&gt;0,(LEN(SUBSTITUTE(SUBSTITUTE(SUBSTITUTE(J242," ",""),"0",""),"-",""))+LEN(SUBSTITUTE(SUBSTITUTE(SUBSTITUTE(K242," ",""),"0",""),"-","")))=(LEN(SUBSTITUTE(SUBSTITUTE(SUBSTITUTE(M242," ",""),"0",""),"-",""))+LEN(SUBSTITUTE(SUBSTITUTE(SUBSTITUTE(N242," ",""),"0",""),"-",""))))),1,0)),0)+IF(OR(COUNTA(J246:K250,M246:N250)&gt;0,OR(L245="X",L245="x"),UPPER(L246)="X",UPPER(L247)="X",UPPER(L248)="X",UPPER(L249)="X",UPPER(L250)="X"),(IF(OR(L246="X",L246="x",AND(COUNTA(J246,K246,M246,N246)&gt;0,(LEN(SUBSTITUTE(SUBSTITUTE(SUBSTITUTE(J246," ",""),"0",""),"-",""))+LEN(SUBSTITUTE(SUBSTITUTE(SUBSTITUTE(K246," ",""),"0",""),"-","")))=(LEN(SUBSTITUTE(SUBSTITUTE(SUBSTITUTE(M246," ",""),"0",""),"-",""))+LEN(SUBSTITUTE(SUBSTITUTE(SUBSTITUTE(N246," ",""),"0",""),"-",""))))),1,0)+IF(OR(L247="X",L247="x",AND(COUNTA(J247,K247,M247,N247)&gt;0,(LEN(SUBSTITUTE(SUBSTITUTE(SUBSTITUTE(J247," ",""),"0",""),"-",""))+LEN(SUBSTITUTE(SUBSTITUTE(SUBSTITUTE(K247," ",""),"0",""),"-","")))=(LEN(SUBSTITUTE(SUBSTITUTE(SUBSTITUTE(M247," ",""),"0",""),"-",""))+LEN(SUBSTITUTE(SUBSTITUTE(SUBSTITUTE(N247," ",""),"0",""),"-",""))))),1,0)+IF(OR(L248="X",L248="x",AND(COUNTA(J248,K248,M248,N248)&gt;0,(LEN(SUBSTITUTE(SUBSTITUTE(SUBSTITUTE(J248," ",""),"0",""),"-",""))+LEN(SUBSTITUTE(SUBSTITUTE(SUBSTITUTE(K248," ",""),"0",""),"-","")))=(LEN(SUBSTITUTE(SUBSTITUTE(SUBSTITUTE(M248," ",""),"0",""),"-",""))+LEN(SUBSTITUTE(SUBSTITUTE(SUBSTITUTE(N248," ",""),"0",""),"-",""))))),1,0)+IF(OR(L249="X",L249="x",AND(COUNTA(J249,K249,M249,N249)&gt;0,(LEN(SUBSTITUTE(SUBSTITUTE(SUBSTITUTE(J249," ",""),"0",""),"-",""))+LEN(SUBSTITUTE(SUBSTITUTE(SUBSTITUTE(K249," ",""),"0",""),"-","")))=(LEN(SUBSTITUTE(SUBSTITUTE(SUBSTITUTE(M249," ",""),"0",""),"-",""))+LEN(SUBSTITUTE(SUBSTITUTE(SUBSTITUTE(N249," ",""),"0",""),"-",""))))),1,0)+IF(OR(L250="X",L250="x",AND(COUNTA(J250,K250,M250,N250)&gt;0,(LEN(SUBSTITUTE(SUBSTITUTE(SUBSTITUTE(J250," ",""),"0",""),"-",""))+LEN(SUBSTITUTE(SUBSTITUTE(SUBSTITUTE(K250," ",""),"0",""),"-","")))=(LEN(SUBSTITUTE(SUBSTITUTE(SUBSTITUTE(M250," ",""),"0",""),"-",""))+LEN(SUBSTITUTE(SUBSTITUTE(SUBSTITUTE(N250," ",""),"0",""),"-",""))))),1,0)),0)</f>
      </c>
      <c r="M261" s="14" t="str">
        <f>K237+K245</f>
      </c>
      <c r="N261" s="14" t="str">
        <f>M237+M245</f>
      </c>
    </row>
    <row r="264">
      <c r="F264" s="13"/>
      <c r="G264" s="13" t="s">
        <v>343</v>
      </c>
      <c r="N264" s="13"/>
      <c r="O264" s="13" t="s">
        <v>343</v>
      </c>
    </row>
    <row r="265">
      <c r="F265" t="s">
        <v>344</v>
      </c>
      <c r="G265" s="19" t="str">
        <f>IFERROR(INDEX($A$254:$A$261, MATCH(1, $G$254:$G$261, 0)), "-")</f>
      </c>
      <c r="N265" t="s">
        <v>344</v>
      </c>
      <c r="O265" s="19" t="str">
        <f>IFERROR(INDEX($I$254:$I$261, MATCH(1, $O$254:$O$261, 0)), "-")</f>
      </c>
    </row>
    <row r="266">
      <c r="F266" t="s">
        <v>345</v>
      </c>
      <c r="G266" s="19" t="str">
        <f>IFERROR(INDEX($A$254:$A$261, MATCH(2, $G$254:$G$261, 0)), "-")</f>
      </c>
      <c r="N266" t="s">
        <v>345</v>
      </c>
      <c r="O266" s="19" t="str">
        <f>IFERROR(INDEX($I$254:$I$261, MATCH(2, $O$254:$O$261, 0)), "-")</f>
      </c>
    </row>
    <row r="267">
      <c r="F267" t="s">
        <v>346</v>
      </c>
      <c r="G267" s="19" t="str">
        <f>IFERROR(INDEX($A$254:$A$261, MATCH(3, $G$254:$G$261, 0)), "-")</f>
      </c>
      <c r="N267" t="s">
        <v>346</v>
      </c>
      <c r="O267" s="19" t="str">
        <f>IFERROR(INDEX($I$254:$I$261, MATCH(3, $O$254:$O$261, 0)), "-")</f>
      </c>
    </row>
    <row r="270">
      <c r="A270" s="13" t="str">
        <f>'data'!$A$24</f>
      </c>
      <c r="B270" s="13"/>
      <c r="C270" s="13"/>
      <c r="D270" s="13"/>
      <c r="E270" s="13"/>
      <c r="F270" s="13"/>
      <c r="G270" s="13"/>
      <c r="I270" s="13" t="str">
        <f>'data'!$A$69</f>
      </c>
      <c r="J270" s="13"/>
      <c r="K270" s="13"/>
      <c r="L270" s="13"/>
      <c r="M270" s="13"/>
      <c r="N270" s="13"/>
      <c r="O270" s="13"/>
    </row>
    <row r="271">
      <c r="A271" s="17" t="s">
        <v>330</v>
      </c>
      <c r="B271" s="14"/>
      <c r="C271" s="14"/>
      <c r="D271" s="14" t="s">
        <v>331</v>
      </c>
      <c r="E271" s="14"/>
      <c r="F271" s="14"/>
      <c r="G271" s="16" t="s">
        <v>332</v>
      </c>
      <c r="I271" s="17" t="s">
        <v>330</v>
      </c>
      <c r="J271" s="14"/>
      <c r="K271" s="14"/>
      <c r="L271" s="14" t="s">
        <v>331</v>
      </c>
      <c r="M271" s="14"/>
      <c r="N271" s="14"/>
      <c r="O271" s="16" t="s">
        <v>332</v>
      </c>
    </row>
    <row r="272">
      <c r="A272" s="14" t="str">
        <f>data!$E$23&amp;" "&amp;data!$B$23</f>
      </c>
      <c r="B272" s="14" t="str">
        <f>IF(UPPER(D273)="X",0,IF((LEN(SUBSTITUTE(SUBSTITUTE(SUBSTITUTE(B273," ",""),"0",""),"-",""))+LEN(SUBSTITUTE(SUBSTITUTE(SUBSTITUTE(C273," ",""),"0",""),"-","")))&gt;(LEN(SUBSTITUTE(SUBSTITUTE(SUBSTITUTE(E273," ",""),"0",""),"-",""))+LEN(SUBSTITUTE(SUBSTITUTE(SUBSTITUTE(F273," ",""),"0",""),"-",""))),1,0))+IF(UPPER(D274)="X",0,IF((LEN(SUBSTITUTE(SUBSTITUTE(SUBSTITUTE(B274," ",""),"0",""),"-",""))+LEN(SUBSTITUTE(SUBSTITUTE(SUBSTITUTE(C274," ",""),"0",""),"-","")))&gt;(LEN(SUBSTITUTE(SUBSTITUTE(SUBSTITUTE(E274," ",""),"0",""),"-",""))+LEN(SUBSTITUTE(SUBSTITUTE(SUBSTITUTE(F274," ",""),"0",""),"-",""))),1,0))+IF(UPPER(D275)="X",0,IF((LEN(SUBSTITUTE(SUBSTITUTE(SUBSTITUTE(B275," ",""),"0",""),"-",""))+LEN(SUBSTITUTE(SUBSTITUTE(SUBSTITUTE(C275," ",""),"0",""),"-","")))&gt;(LEN(SUBSTITUTE(SUBSTITUTE(SUBSTITUTE(E275," ",""),"0",""),"-",""))+LEN(SUBSTITUTE(SUBSTITUTE(SUBSTITUTE(F275," ",""),"0",""),"-",""))),1,0))+IF(UPPER(D276)="X",0,IF((LEN(SUBSTITUTE(SUBSTITUTE(SUBSTITUTE(B276," ",""),"0",""),"-",""))+LEN(SUBSTITUTE(SUBSTITUTE(SUBSTITUTE(C276," ",""),"0",""),"-","")))&gt;(LEN(SUBSTITUTE(SUBSTITUTE(SUBSTITUTE(E276," ",""),"0",""),"-",""))+LEN(SUBSTITUTE(SUBSTITUTE(SUBSTITUTE(F276," ",""),"0",""),"-",""))),1,0))+IF(UPPER(D277)="X",0,IF((LEN(SUBSTITUTE(SUBSTITUTE(SUBSTITUTE(B277," ",""),"0",""),"-",""))+LEN(SUBSTITUTE(SUBSTITUTE(SUBSTITUTE(C277," ",""),"0",""),"-","")))&gt;(LEN(SUBSTITUTE(SUBSTITUTE(SUBSTITUTE(E277," ",""),"0",""),"-",""))+LEN(SUBSTITUTE(SUBSTITUTE(SUBSTITUTE(F277," ",""),"0",""),"-",""))),1,0))</f>
      </c>
      <c r="C272" s="14" t="str">
        <f>LEN(SUBSTITUTE(SUBSTITUTE(SUBSTITUTE(B273," ",""),"0",""),"-",""))+LEN(SUBSTITUTE(SUBSTITUTE(SUBSTITUTE(C273," ",""),"0",""),"-",""))+LEN(SUBSTITUTE(SUBSTITUTE(SUBSTITUTE(B274," ",""),"0",""),"-",""))+LEN(SUBSTITUTE(SUBSTITUTE(SUBSTITUTE(C274," ",""),"0",""),"-",""))+LEN(SUBSTITUTE(SUBSTITUTE(SUBSTITUTE(B275," ",""),"0",""),"-",""))+LEN(SUBSTITUTE(SUBSTITUTE(SUBSTITUTE(C275," ",""),"0",""),"-",""))+LEN(SUBSTITUTE(SUBSTITUTE(SUBSTITUTE(B276," ",""),"0",""),"-",""))+LEN(SUBSTITUTE(SUBSTITUTE(SUBSTITUTE(C276," ",""),"0",""),"-",""))+LEN(SUBSTITUTE(SUBSTITUTE(SUBSTITUTE(B277," ",""),"0",""),"-",""))+LEN(SUBSTITUTE(SUBSTITUTE(SUBSTITUTE(C277," ",""),"0",""),"-",""))</f>
      </c>
      <c r="D272" s="18"/>
      <c r="E272" s="14" t="str">
        <f>LEN(SUBSTITUTE(SUBSTITUTE(SUBSTITUTE(E273," ",""),"0",""),"-",""))+LEN(SUBSTITUTE(SUBSTITUTE(SUBSTITUTE(F273," ",""),"0",""),"-",""))+LEN(SUBSTITUTE(SUBSTITUTE(SUBSTITUTE(E274," ",""),"0",""),"-",""))+LEN(SUBSTITUTE(SUBSTITUTE(SUBSTITUTE(F274," ",""),"0",""),"-",""))+LEN(SUBSTITUTE(SUBSTITUTE(SUBSTITUTE(E275," ",""),"0",""),"-",""))+LEN(SUBSTITUTE(SUBSTITUTE(SUBSTITUTE(F275," ",""),"0",""),"-",""))+LEN(SUBSTITUTE(SUBSTITUTE(SUBSTITUTE(E276," ",""),"0",""),"-",""))+LEN(SUBSTITUTE(SUBSTITUTE(SUBSTITUTE(F276," ",""),"0",""),"-",""))+LEN(SUBSTITUTE(SUBSTITUTE(SUBSTITUTE(E277," ",""),"0",""),"-",""))+LEN(SUBSTITUTE(SUBSTITUTE(SUBSTITUTE(F277," ",""),"0",""),"-",""))</f>
      </c>
      <c r="F272" s="14" t="str">
        <f>IF(UPPER(D273)="X",0,IF((LEN(SUBSTITUTE(SUBSTITUTE(SUBSTITUTE(E273," ",""),"0",""),"-",""))+LEN(SUBSTITUTE(SUBSTITUTE(SUBSTITUTE(F273," ",""),"0",""),"-","")))&gt;(LEN(SUBSTITUTE(SUBSTITUTE(SUBSTITUTE(B273," ",""),"0",""),"-",""))+LEN(SUBSTITUTE(SUBSTITUTE(SUBSTITUTE(C273," ",""),"0",""),"-",""))),1,0))+IF(UPPER(D274)="X",0,IF((LEN(SUBSTITUTE(SUBSTITUTE(SUBSTITUTE(E274," ",""),"0",""),"-",""))+LEN(SUBSTITUTE(SUBSTITUTE(SUBSTITUTE(F274," ",""),"0",""),"-","")))&gt;(LEN(SUBSTITUTE(SUBSTITUTE(SUBSTITUTE(B274," ",""),"0",""),"-",""))+LEN(SUBSTITUTE(SUBSTITUTE(SUBSTITUTE(C274," ",""),"0",""),"-",""))),1,0))+IF(UPPER(D275)="X",0,IF((LEN(SUBSTITUTE(SUBSTITUTE(SUBSTITUTE(E275," ",""),"0",""),"-",""))+LEN(SUBSTITUTE(SUBSTITUTE(SUBSTITUTE(F275," ",""),"0",""),"-","")))&gt;(LEN(SUBSTITUTE(SUBSTITUTE(SUBSTITUTE(B275," ",""),"0",""),"-",""))+LEN(SUBSTITUTE(SUBSTITUTE(SUBSTITUTE(C275," ",""),"0",""),"-",""))),1,0))+IF(UPPER(D276)="X",0,IF((LEN(SUBSTITUTE(SUBSTITUTE(SUBSTITUTE(E276," ",""),"0",""),"-",""))+LEN(SUBSTITUTE(SUBSTITUTE(SUBSTITUTE(F276," ",""),"0",""),"-","")))&gt;(LEN(SUBSTITUTE(SUBSTITUTE(SUBSTITUTE(B276," ",""),"0",""),"-",""))+LEN(SUBSTITUTE(SUBSTITUTE(SUBSTITUTE(C276," ",""),"0",""),"-",""))),1,0))+IF(UPPER(D277)="X",0,IF((LEN(SUBSTITUTE(SUBSTITUTE(SUBSTITUTE(E277," ",""),"0",""),"-",""))+LEN(SUBSTITUTE(SUBSTITUTE(SUBSTITUTE(F277," ",""),"0",""),"-","")))&gt;(LEN(SUBSTITUTE(SUBSTITUTE(SUBSTITUTE(B277," ",""),"0",""),"-",""))+LEN(SUBSTITUTE(SUBSTITUTE(SUBSTITUTE(C277," ",""),"0",""),"-",""))),1,0))</f>
      </c>
      <c r="G272" s="14" t="str">
        <f>data!$E$22&amp;" "&amp;data!$B$22</f>
      </c>
      <c r="I272" s="14" t="str">
        <f>data!$E$68&amp;" "&amp;data!$B$68</f>
      </c>
      <c r="J272" s="14" t="str">
        <f>IF(UPPER(L273)="X",0,IF((LEN(SUBSTITUTE(SUBSTITUTE(SUBSTITUTE(J273," ",""),"0",""),"-",""))+LEN(SUBSTITUTE(SUBSTITUTE(SUBSTITUTE(K273," ",""),"0",""),"-","")))&gt;(LEN(SUBSTITUTE(SUBSTITUTE(SUBSTITUTE(M273," ",""),"0",""),"-",""))+LEN(SUBSTITUTE(SUBSTITUTE(SUBSTITUTE(N273," ",""),"0",""),"-",""))),1,0))+IF(UPPER(L274)="X",0,IF((LEN(SUBSTITUTE(SUBSTITUTE(SUBSTITUTE(J274," ",""),"0",""),"-",""))+LEN(SUBSTITUTE(SUBSTITUTE(SUBSTITUTE(K274," ",""),"0",""),"-","")))&gt;(LEN(SUBSTITUTE(SUBSTITUTE(SUBSTITUTE(M274," ",""),"0",""),"-",""))+LEN(SUBSTITUTE(SUBSTITUTE(SUBSTITUTE(N274," ",""),"0",""),"-",""))),1,0))+IF(UPPER(L275)="X",0,IF((LEN(SUBSTITUTE(SUBSTITUTE(SUBSTITUTE(J275," ",""),"0",""),"-",""))+LEN(SUBSTITUTE(SUBSTITUTE(SUBSTITUTE(K275," ",""),"0",""),"-","")))&gt;(LEN(SUBSTITUTE(SUBSTITUTE(SUBSTITUTE(M275," ",""),"0",""),"-",""))+LEN(SUBSTITUTE(SUBSTITUTE(SUBSTITUTE(N275," ",""),"0",""),"-",""))),1,0))+IF(UPPER(L276)="X",0,IF((LEN(SUBSTITUTE(SUBSTITUTE(SUBSTITUTE(J276," ",""),"0",""),"-",""))+LEN(SUBSTITUTE(SUBSTITUTE(SUBSTITUTE(K276," ",""),"0",""),"-","")))&gt;(LEN(SUBSTITUTE(SUBSTITUTE(SUBSTITUTE(M276," ",""),"0",""),"-",""))+LEN(SUBSTITUTE(SUBSTITUTE(SUBSTITUTE(N276," ",""),"0",""),"-",""))),1,0))+IF(UPPER(L277)="X",0,IF((LEN(SUBSTITUTE(SUBSTITUTE(SUBSTITUTE(J277," ",""),"0",""),"-",""))+LEN(SUBSTITUTE(SUBSTITUTE(SUBSTITUTE(K277," ",""),"0",""),"-","")))&gt;(LEN(SUBSTITUTE(SUBSTITUTE(SUBSTITUTE(M277," ",""),"0",""),"-",""))+LEN(SUBSTITUTE(SUBSTITUTE(SUBSTITUTE(N277," ",""),"0",""),"-",""))),1,0))</f>
      </c>
      <c r="K272" s="14" t="str">
        <f>LEN(SUBSTITUTE(SUBSTITUTE(SUBSTITUTE(J273," ",""),"0",""),"-",""))+LEN(SUBSTITUTE(SUBSTITUTE(SUBSTITUTE(K273," ",""),"0",""),"-",""))+LEN(SUBSTITUTE(SUBSTITUTE(SUBSTITUTE(J274," ",""),"0",""),"-",""))+LEN(SUBSTITUTE(SUBSTITUTE(SUBSTITUTE(K274," ",""),"0",""),"-",""))+LEN(SUBSTITUTE(SUBSTITUTE(SUBSTITUTE(J275," ",""),"0",""),"-",""))+LEN(SUBSTITUTE(SUBSTITUTE(SUBSTITUTE(K275," ",""),"0",""),"-",""))+LEN(SUBSTITUTE(SUBSTITUTE(SUBSTITUTE(J276," ",""),"0",""),"-",""))+LEN(SUBSTITUTE(SUBSTITUTE(SUBSTITUTE(K276," ",""),"0",""),"-",""))+LEN(SUBSTITUTE(SUBSTITUTE(SUBSTITUTE(J277," ",""),"0",""),"-",""))+LEN(SUBSTITUTE(SUBSTITUTE(SUBSTITUTE(K277," ",""),"0",""),"-",""))</f>
      </c>
      <c r="L272" s="18"/>
      <c r="M272" s="14" t="str">
        <f>LEN(SUBSTITUTE(SUBSTITUTE(SUBSTITUTE(M273," ",""),"0",""),"-",""))+LEN(SUBSTITUTE(SUBSTITUTE(SUBSTITUTE(N273," ",""),"0",""),"-",""))+LEN(SUBSTITUTE(SUBSTITUTE(SUBSTITUTE(M274," ",""),"0",""),"-",""))+LEN(SUBSTITUTE(SUBSTITUTE(SUBSTITUTE(N274," ",""),"0",""),"-",""))+LEN(SUBSTITUTE(SUBSTITUTE(SUBSTITUTE(M275," ",""),"0",""),"-",""))+LEN(SUBSTITUTE(SUBSTITUTE(SUBSTITUTE(N275," ",""),"0",""),"-",""))+LEN(SUBSTITUTE(SUBSTITUTE(SUBSTITUTE(M276," ",""),"0",""),"-",""))+LEN(SUBSTITUTE(SUBSTITUTE(SUBSTITUTE(N276," ",""),"0",""),"-",""))+LEN(SUBSTITUTE(SUBSTITUTE(SUBSTITUTE(M277," ",""),"0",""),"-",""))+LEN(SUBSTITUTE(SUBSTITUTE(SUBSTITUTE(N277," ",""),"0",""),"-",""))</f>
      </c>
      <c r="N272" s="14" t="str">
        <f>IF(UPPER(L273)="X",0,IF((LEN(SUBSTITUTE(SUBSTITUTE(SUBSTITUTE(M273," ",""),"0",""),"-",""))+LEN(SUBSTITUTE(SUBSTITUTE(SUBSTITUTE(N273," ",""),"0",""),"-","")))&gt;(LEN(SUBSTITUTE(SUBSTITUTE(SUBSTITUTE(J273," ",""),"0",""),"-",""))+LEN(SUBSTITUTE(SUBSTITUTE(SUBSTITUTE(K273," ",""),"0",""),"-",""))),1,0))+IF(UPPER(L274)="X",0,IF((LEN(SUBSTITUTE(SUBSTITUTE(SUBSTITUTE(M274," ",""),"0",""),"-",""))+LEN(SUBSTITUTE(SUBSTITUTE(SUBSTITUTE(N274," ",""),"0",""),"-","")))&gt;(LEN(SUBSTITUTE(SUBSTITUTE(SUBSTITUTE(J274," ",""),"0",""),"-",""))+LEN(SUBSTITUTE(SUBSTITUTE(SUBSTITUTE(K274," ",""),"0",""),"-",""))),1,0))+IF(UPPER(L275)="X",0,IF((LEN(SUBSTITUTE(SUBSTITUTE(SUBSTITUTE(M275," ",""),"0",""),"-",""))+LEN(SUBSTITUTE(SUBSTITUTE(SUBSTITUTE(N275," ",""),"0",""),"-","")))&gt;(LEN(SUBSTITUTE(SUBSTITUTE(SUBSTITUTE(J275," ",""),"0",""),"-",""))+LEN(SUBSTITUTE(SUBSTITUTE(SUBSTITUTE(K275," ",""),"0",""),"-",""))),1,0))+IF(UPPER(L276)="X",0,IF((LEN(SUBSTITUTE(SUBSTITUTE(SUBSTITUTE(M276," ",""),"0",""),"-",""))+LEN(SUBSTITUTE(SUBSTITUTE(SUBSTITUTE(N276," ",""),"0",""),"-","")))&gt;(LEN(SUBSTITUTE(SUBSTITUTE(SUBSTITUTE(J276," ",""),"0",""),"-",""))+LEN(SUBSTITUTE(SUBSTITUTE(SUBSTITUTE(K276," ",""),"0",""),"-",""))),1,0))+IF(UPPER(L277)="X",0,IF((LEN(SUBSTITUTE(SUBSTITUTE(SUBSTITUTE(M277," ",""),"0",""),"-",""))+LEN(SUBSTITUTE(SUBSTITUTE(SUBSTITUTE(N277," ",""),"0",""),"-","")))&gt;(LEN(SUBSTITUTE(SUBSTITUTE(SUBSTITUTE(J277," ",""),"0",""),"-",""))+LEN(SUBSTITUTE(SUBSTITUTE(SUBSTITUTE(K277," ",""),"0",""),"-",""))),1,0))</f>
      </c>
      <c r="O272" s="14" t="str">
        <f>data!$E$67&amp;" "&amp;data!$B$67</f>
      </c>
    </row>
    <row r="273">
      <c r="A273" s="14">
        <v>1</v>
      </c>
      <c r="B273" s="18"/>
      <c r="C273" s="18"/>
      <c r="D273" s="18"/>
      <c r="E273" s="18"/>
      <c r="F273" s="18"/>
      <c r="G273" s="14">
        <v>1</v>
      </c>
      <c r="I273" s="14">
        <v>1</v>
      </c>
      <c r="J273" s="18"/>
      <c r="K273" s="18"/>
      <c r="L273" s="18"/>
      <c r="M273" s="18"/>
      <c r="N273" s="18"/>
      <c r="O273" s="14">
        <v>1</v>
      </c>
    </row>
    <row r="274">
      <c r="A274" s="14">
        <v>2</v>
      </c>
      <c r="B274" s="18"/>
      <c r="C274" s="18"/>
      <c r="D274" s="18"/>
      <c r="E274" s="18"/>
      <c r="F274" s="18"/>
      <c r="G274" s="14">
        <v>2</v>
      </c>
      <c r="I274" s="14">
        <v>2</v>
      </c>
      <c r="J274" s="18"/>
      <c r="K274" s="18"/>
      <c r="L274" s="18"/>
      <c r="M274" s="18"/>
      <c r="N274" s="18"/>
      <c r="O274" s="14">
        <v>2</v>
      </c>
    </row>
    <row r="275">
      <c r="A275" s="14">
        <v>3</v>
      </c>
      <c r="B275" s="18"/>
      <c r="C275" s="18"/>
      <c r="D275" s="18"/>
      <c r="E275" s="18"/>
      <c r="F275" s="18"/>
      <c r="G275" s="14">
        <v>3</v>
      </c>
      <c r="I275" s="14">
        <v>3</v>
      </c>
      <c r="J275" s="18"/>
      <c r="K275" s="18"/>
      <c r="L275" s="18"/>
      <c r="M275" s="18"/>
      <c r="N275" s="18"/>
      <c r="O275" s="14">
        <v>3</v>
      </c>
    </row>
    <row r="276">
      <c r="A276" s="14">
        <v>4</v>
      </c>
      <c r="B276" s="18"/>
      <c r="C276" s="18"/>
      <c r="D276" s="18"/>
      <c r="E276" s="18"/>
      <c r="F276" s="18"/>
      <c r="G276" s="14">
        <v>4</v>
      </c>
      <c r="I276" s="14">
        <v>4</v>
      </c>
      <c r="J276" s="18"/>
      <c r="K276" s="18"/>
      <c r="L276" s="18"/>
      <c r="M276" s="18"/>
      <c r="N276" s="18"/>
      <c r="O276" s="14">
        <v>4</v>
      </c>
    </row>
    <row r="277">
      <c r="A277" s="14">
        <v>5</v>
      </c>
      <c r="B277" s="18"/>
      <c r="C277" s="18"/>
      <c r="D277" s="18"/>
      <c r="E277" s="18"/>
      <c r="F277" s="18"/>
      <c r="G277" s="14">
        <v>5</v>
      </c>
      <c r="I277" s="14">
        <v>5</v>
      </c>
      <c r="J277" s="18"/>
      <c r="K277" s="18"/>
      <c r="L277" s="18"/>
      <c r="M277" s="18"/>
      <c r="N277" s="18"/>
      <c r="O277" s="14">
        <v>5</v>
      </c>
    </row>
    <row r="279">
      <c r="A279" s="17" t="s">
        <v>330</v>
      </c>
      <c r="B279" s="14"/>
      <c r="C279" s="14"/>
      <c r="D279" s="14" t="s">
        <v>331</v>
      </c>
      <c r="E279" s="14"/>
      <c r="F279" s="14"/>
      <c r="G279" s="16" t="s">
        <v>332</v>
      </c>
      <c r="I279" s="17" t="s">
        <v>330</v>
      </c>
      <c r="J279" s="14"/>
      <c r="K279" s="14"/>
      <c r="L279" s="14" t="s">
        <v>331</v>
      </c>
      <c r="M279" s="14"/>
      <c r="N279" s="14"/>
      <c r="O279" s="16" t="s">
        <v>332</v>
      </c>
    </row>
    <row r="280">
      <c r="A280" s="14" t="str">
        <f>data!$E$24&amp;" "&amp;data!$B$24</f>
      </c>
      <c r="B280" s="14" t="str">
        <f>IF(UPPER(D281)="X",0,IF((LEN(SUBSTITUTE(SUBSTITUTE(SUBSTITUTE(B281," ",""),"0",""),"-",""))+LEN(SUBSTITUTE(SUBSTITUTE(SUBSTITUTE(C281," ",""),"0",""),"-","")))&gt;(LEN(SUBSTITUTE(SUBSTITUTE(SUBSTITUTE(E281," ",""),"0",""),"-",""))+LEN(SUBSTITUTE(SUBSTITUTE(SUBSTITUTE(F281," ",""),"0",""),"-",""))),1,0))+IF(UPPER(D282)="X",0,IF((LEN(SUBSTITUTE(SUBSTITUTE(SUBSTITUTE(B282," ",""),"0",""),"-",""))+LEN(SUBSTITUTE(SUBSTITUTE(SUBSTITUTE(C282," ",""),"0",""),"-","")))&gt;(LEN(SUBSTITUTE(SUBSTITUTE(SUBSTITUTE(E282," ",""),"0",""),"-",""))+LEN(SUBSTITUTE(SUBSTITUTE(SUBSTITUTE(F282," ",""),"0",""),"-",""))),1,0))+IF(UPPER(D283)="X",0,IF((LEN(SUBSTITUTE(SUBSTITUTE(SUBSTITUTE(B283," ",""),"0",""),"-",""))+LEN(SUBSTITUTE(SUBSTITUTE(SUBSTITUTE(C283," ",""),"0",""),"-","")))&gt;(LEN(SUBSTITUTE(SUBSTITUTE(SUBSTITUTE(E283," ",""),"0",""),"-",""))+LEN(SUBSTITUTE(SUBSTITUTE(SUBSTITUTE(F283," ",""),"0",""),"-",""))),1,0))+IF(UPPER(D284)="X",0,IF((LEN(SUBSTITUTE(SUBSTITUTE(SUBSTITUTE(B284," ",""),"0",""),"-",""))+LEN(SUBSTITUTE(SUBSTITUTE(SUBSTITUTE(C284," ",""),"0",""),"-","")))&gt;(LEN(SUBSTITUTE(SUBSTITUTE(SUBSTITUTE(E284," ",""),"0",""),"-",""))+LEN(SUBSTITUTE(SUBSTITUTE(SUBSTITUTE(F284," ",""),"0",""),"-",""))),1,0))+IF(UPPER(D285)="X",0,IF((LEN(SUBSTITUTE(SUBSTITUTE(SUBSTITUTE(B285," ",""),"0",""),"-",""))+LEN(SUBSTITUTE(SUBSTITUTE(SUBSTITUTE(C285," ",""),"0",""),"-","")))&gt;(LEN(SUBSTITUTE(SUBSTITUTE(SUBSTITUTE(E285," ",""),"0",""),"-",""))+LEN(SUBSTITUTE(SUBSTITUTE(SUBSTITUTE(F285," ",""),"0",""),"-",""))),1,0))</f>
      </c>
      <c r="C280" s="14" t="str">
        <f>LEN(SUBSTITUTE(SUBSTITUTE(SUBSTITUTE(B281," ",""),"0",""),"-",""))+LEN(SUBSTITUTE(SUBSTITUTE(SUBSTITUTE(C281," ",""),"0",""),"-",""))+LEN(SUBSTITUTE(SUBSTITUTE(SUBSTITUTE(B282," ",""),"0",""),"-",""))+LEN(SUBSTITUTE(SUBSTITUTE(SUBSTITUTE(C282," ",""),"0",""),"-",""))+LEN(SUBSTITUTE(SUBSTITUTE(SUBSTITUTE(B283," ",""),"0",""),"-",""))+LEN(SUBSTITUTE(SUBSTITUTE(SUBSTITUTE(C283," ",""),"0",""),"-",""))+LEN(SUBSTITUTE(SUBSTITUTE(SUBSTITUTE(B284," ",""),"0",""),"-",""))+LEN(SUBSTITUTE(SUBSTITUTE(SUBSTITUTE(C284," ",""),"0",""),"-",""))+LEN(SUBSTITUTE(SUBSTITUTE(SUBSTITUTE(B285," ",""),"0",""),"-",""))+LEN(SUBSTITUTE(SUBSTITUTE(SUBSTITUTE(C285," ",""),"0",""),"-",""))</f>
      </c>
      <c r="D280" s="18"/>
      <c r="E280" s="14" t="str">
        <f>LEN(SUBSTITUTE(SUBSTITUTE(SUBSTITUTE(E281," ",""),"0",""),"-",""))+LEN(SUBSTITUTE(SUBSTITUTE(SUBSTITUTE(F281," ",""),"0",""),"-",""))+LEN(SUBSTITUTE(SUBSTITUTE(SUBSTITUTE(E282," ",""),"0",""),"-",""))+LEN(SUBSTITUTE(SUBSTITUTE(SUBSTITUTE(F282," ",""),"0",""),"-",""))+LEN(SUBSTITUTE(SUBSTITUTE(SUBSTITUTE(E283," ",""),"0",""),"-",""))+LEN(SUBSTITUTE(SUBSTITUTE(SUBSTITUTE(F283," ",""),"0",""),"-",""))+LEN(SUBSTITUTE(SUBSTITUTE(SUBSTITUTE(E284," ",""),"0",""),"-",""))+LEN(SUBSTITUTE(SUBSTITUTE(SUBSTITUTE(F284," ",""),"0",""),"-",""))+LEN(SUBSTITUTE(SUBSTITUTE(SUBSTITUTE(E285," ",""),"0",""),"-",""))+LEN(SUBSTITUTE(SUBSTITUTE(SUBSTITUTE(F285," ",""),"0",""),"-",""))</f>
      </c>
      <c r="F280" s="14" t="str">
        <f>IF(UPPER(D281)="X",0,IF((LEN(SUBSTITUTE(SUBSTITUTE(SUBSTITUTE(E281," ",""),"0",""),"-",""))+LEN(SUBSTITUTE(SUBSTITUTE(SUBSTITUTE(F281," ",""),"0",""),"-","")))&gt;(LEN(SUBSTITUTE(SUBSTITUTE(SUBSTITUTE(B281," ",""),"0",""),"-",""))+LEN(SUBSTITUTE(SUBSTITUTE(SUBSTITUTE(C281," ",""),"0",""),"-",""))),1,0))+IF(UPPER(D282)="X",0,IF((LEN(SUBSTITUTE(SUBSTITUTE(SUBSTITUTE(E282," ",""),"0",""),"-",""))+LEN(SUBSTITUTE(SUBSTITUTE(SUBSTITUTE(F282," ",""),"0",""),"-","")))&gt;(LEN(SUBSTITUTE(SUBSTITUTE(SUBSTITUTE(B282," ",""),"0",""),"-",""))+LEN(SUBSTITUTE(SUBSTITUTE(SUBSTITUTE(C282," ",""),"0",""),"-",""))),1,0))+IF(UPPER(D283)="X",0,IF((LEN(SUBSTITUTE(SUBSTITUTE(SUBSTITUTE(E283," ",""),"0",""),"-",""))+LEN(SUBSTITUTE(SUBSTITUTE(SUBSTITUTE(F283," ",""),"0",""),"-","")))&gt;(LEN(SUBSTITUTE(SUBSTITUTE(SUBSTITUTE(B283," ",""),"0",""),"-",""))+LEN(SUBSTITUTE(SUBSTITUTE(SUBSTITUTE(C283," ",""),"0",""),"-",""))),1,0))+IF(UPPER(D284)="X",0,IF((LEN(SUBSTITUTE(SUBSTITUTE(SUBSTITUTE(E284," ",""),"0",""),"-",""))+LEN(SUBSTITUTE(SUBSTITUTE(SUBSTITUTE(F284," ",""),"0",""),"-","")))&gt;(LEN(SUBSTITUTE(SUBSTITUTE(SUBSTITUTE(B284," ",""),"0",""),"-",""))+LEN(SUBSTITUTE(SUBSTITUTE(SUBSTITUTE(C284," ",""),"0",""),"-",""))),1,0))+IF(UPPER(D285)="X",0,IF((LEN(SUBSTITUTE(SUBSTITUTE(SUBSTITUTE(E285," ",""),"0",""),"-",""))+LEN(SUBSTITUTE(SUBSTITUTE(SUBSTITUTE(F285," ",""),"0",""),"-","")))&gt;(LEN(SUBSTITUTE(SUBSTITUTE(SUBSTITUTE(B285," ",""),"0",""),"-",""))+LEN(SUBSTITUTE(SUBSTITUTE(SUBSTITUTE(C285," ",""),"0",""),"-",""))),1,0))</f>
      </c>
      <c r="G280" s="14" t="str">
        <f>data!$E$22&amp;" "&amp;data!$B$22</f>
      </c>
      <c r="I280" s="14" t="str">
        <f>data!$E$69&amp;" "&amp;data!$B$69</f>
      </c>
      <c r="J280" s="14" t="str">
        <f>IF(UPPER(L281)="X",0,IF((LEN(SUBSTITUTE(SUBSTITUTE(SUBSTITUTE(J281," ",""),"0",""),"-",""))+LEN(SUBSTITUTE(SUBSTITUTE(SUBSTITUTE(K281," ",""),"0",""),"-","")))&gt;(LEN(SUBSTITUTE(SUBSTITUTE(SUBSTITUTE(M281," ",""),"0",""),"-",""))+LEN(SUBSTITUTE(SUBSTITUTE(SUBSTITUTE(N281," ",""),"0",""),"-",""))),1,0))+IF(UPPER(L282)="X",0,IF((LEN(SUBSTITUTE(SUBSTITUTE(SUBSTITUTE(J282," ",""),"0",""),"-",""))+LEN(SUBSTITUTE(SUBSTITUTE(SUBSTITUTE(K282," ",""),"0",""),"-","")))&gt;(LEN(SUBSTITUTE(SUBSTITUTE(SUBSTITUTE(M282," ",""),"0",""),"-",""))+LEN(SUBSTITUTE(SUBSTITUTE(SUBSTITUTE(N282," ",""),"0",""),"-",""))),1,0))+IF(UPPER(L283)="X",0,IF((LEN(SUBSTITUTE(SUBSTITUTE(SUBSTITUTE(J283," ",""),"0",""),"-",""))+LEN(SUBSTITUTE(SUBSTITUTE(SUBSTITUTE(K283," ",""),"0",""),"-","")))&gt;(LEN(SUBSTITUTE(SUBSTITUTE(SUBSTITUTE(M283," ",""),"0",""),"-",""))+LEN(SUBSTITUTE(SUBSTITUTE(SUBSTITUTE(N283," ",""),"0",""),"-",""))),1,0))+IF(UPPER(L284)="X",0,IF((LEN(SUBSTITUTE(SUBSTITUTE(SUBSTITUTE(J284," ",""),"0",""),"-",""))+LEN(SUBSTITUTE(SUBSTITUTE(SUBSTITUTE(K284," ",""),"0",""),"-","")))&gt;(LEN(SUBSTITUTE(SUBSTITUTE(SUBSTITUTE(M284," ",""),"0",""),"-",""))+LEN(SUBSTITUTE(SUBSTITUTE(SUBSTITUTE(N284," ",""),"0",""),"-",""))),1,0))+IF(UPPER(L285)="X",0,IF((LEN(SUBSTITUTE(SUBSTITUTE(SUBSTITUTE(J285," ",""),"0",""),"-",""))+LEN(SUBSTITUTE(SUBSTITUTE(SUBSTITUTE(K285," ",""),"0",""),"-","")))&gt;(LEN(SUBSTITUTE(SUBSTITUTE(SUBSTITUTE(M285," ",""),"0",""),"-",""))+LEN(SUBSTITUTE(SUBSTITUTE(SUBSTITUTE(N285," ",""),"0",""),"-",""))),1,0))</f>
      </c>
      <c r="K280" s="14" t="str">
        <f>LEN(SUBSTITUTE(SUBSTITUTE(SUBSTITUTE(J281," ",""),"0",""),"-",""))+LEN(SUBSTITUTE(SUBSTITUTE(SUBSTITUTE(K281," ",""),"0",""),"-",""))+LEN(SUBSTITUTE(SUBSTITUTE(SUBSTITUTE(J282," ",""),"0",""),"-",""))+LEN(SUBSTITUTE(SUBSTITUTE(SUBSTITUTE(K282," ",""),"0",""),"-",""))+LEN(SUBSTITUTE(SUBSTITUTE(SUBSTITUTE(J283," ",""),"0",""),"-",""))+LEN(SUBSTITUTE(SUBSTITUTE(SUBSTITUTE(K283," ",""),"0",""),"-",""))+LEN(SUBSTITUTE(SUBSTITUTE(SUBSTITUTE(J284," ",""),"0",""),"-",""))+LEN(SUBSTITUTE(SUBSTITUTE(SUBSTITUTE(K284," ",""),"0",""),"-",""))+LEN(SUBSTITUTE(SUBSTITUTE(SUBSTITUTE(J285," ",""),"0",""),"-",""))+LEN(SUBSTITUTE(SUBSTITUTE(SUBSTITUTE(K285," ",""),"0",""),"-",""))</f>
      </c>
      <c r="L280" s="18"/>
      <c r="M280" s="14" t="str">
        <f>LEN(SUBSTITUTE(SUBSTITUTE(SUBSTITUTE(M281," ",""),"0",""),"-",""))+LEN(SUBSTITUTE(SUBSTITUTE(SUBSTITUTE(N281," ",""),"0",""),"-",""))+LEN(SUBSTITUTE(SUBSTITUTE(SUBSTITUTE(M282," ",""),"0",""),"-",""))+LEN(SUBSTITUTE(SUBSTITUTE(SUBSTITUTE(N282," ",""),"0",""),"-",""))+LEN(SUBSTITUTE(SUBSTITUTE(SUBSTITUTE(M283," ",""),"0",""),"-",""))+LEN(SUBSTITUTE(SUBSTITUTE(SUBSTITUTE(N283," ",""),"0",""),"-",""))+LEN(SUBSTITUTE(SUBSTITUTE(SUBSTITUTE(M284," ",""),"0",""),"-",""))+LEN(SUBSTITUTE(SUBSTITUTE(SUBSTITUTE(N284," ",""),"0",""),"-",""))+LEN(SUBSTITUTE(SUBSTITUTE(SUBSTITUTE(M285," ",""),"0",""),"-",""))+LEN(SUBSTITUTE(SUBSTITUTE(SUBSTITUTE(N285," ",""),"0",""),"-",""))</f>
      </c>
      <c r="N280" s="14" t="str">
        <f>IF(UPPER(L281)="X",0,IF((LEN(SUBSTITUTE(SUBSTITUTE(SUBSTITUTE(M281," ",""),"0",""),"-",""))+LEN(SUBSTITUTE(SUBSTITUTE(SUBSTITUTE(N281," ",""),"0",""),"-","")))&gt;(LEN(SUBSTITUTE(SUBSTITUTE(SUBSTITUTE(J281," ",""),"0",""),"-",""))+LEN(SUBSTITUTE(SUBSTITUTE(SUBSTITUTE(K281," ",""),"0",""),"-",""))),1,0))+IF(UPPER(L282)="X",0,IF((LEN(SUBSTITUTE(SUBSTITUTE(SUBSTITUTE(M282," ",""),"0",""),"-",""))+LEN(SUBSTITUTE(SUBSTITUTE(SUBSTITUTE(N282," ",""),"0",""),"-","")))&gt;(LEN(SUBSTITUTE(SUBSTITUTE(SUBSTITUTE(J282," ",""),"0",""),"-",""))+LEN(SUBSTITUTE(SUBSTITUTE(SUBSTITUTE(K282," ",""),"0",""),"-",""))),1,0))+IF(UPPER(L283)="X",0,IF((LEN(SUBSTITUTE(SUBSTITUTE(SUBSTITUTE(M283," ",""),"0",""),"-",""))+LEN(SUBSTITUTE(SUBSTITUTE(SUBSTITUTE(N283," ",""),"0",""),"-","")))&gt;(LEN(SUBSTITUTE(SUBSTITUTE(SUBSTITUTE(J283," ",""),"0",""),"-",""))+LEN(SUBSTITUTE(SUBSTITUTE(SUBSTITUTE(K283," ",""),"0",""),"-",""))),1,0))+IF(UPPER(L284)="X",0,IF((LEN(SUBSTITUTE(SUBSTITUTE(SUBSTITUTE(M284," ",""),"0",""),"-",""))+LEN(SUBSTITUTE(SUBSTITUTE(SUBSTITUTE(N284," ",""),"0",""),"-","")))&gt;(LEN(SUBSTITUTE(SUBSTITUTE(SUBSTITUTE(J284," ",""),"0",""),"-",""))+LEN(SUBSTITUTE(SUBSTITUTE(SUBSTITUTE(K284," ",""),"0",""),"-",""))),1,0))+IF(UPPER(L285)="X",0,IF((LEN(SUBSTITUTE(SUBSTITUTE(SUBSTITUTE(M285," ",""),"0",""),"-",""))+LEN(SUBSTITUTE(SUBSTITUTE(SUBSTITUTE(N285," ",""),"0",""),"-","")))&gt;(LEN(SUBSTITUTE(SUBSTITUTE(SUBSTITUTE(J285," ",""),"0",""),"-",""))+LEN(SUBSTITUTE(SUBSTITUTE(SUBSTITUTE(K285," ",""),"0",""),"-",""))),1,0))</f>
      </c>
      <c r="O280" s="14" t="str">
        <f>data!$E$67&amp;" "&amp;data!$B$67</f>
      </c>
    </row>
    <row r="281">
      <c r="A281" s="14">
        <v>1</v>
      </c>
      <c r="B281" s="18"/>
      <c r="C281" s="18"/>
      <c r="D281" s="18"/>
      <c r="E281" s="18"/>
      <c r="F281" s="18"/>
      <c r="G281" s="14">
        <v>1</v>
      </c>
      <c r="I281" s="14">
        <v>1</v>
      </c>
      <c r="J281" s="18"/>
      <c r="K281" s="18"/>
      <c r="L281" s="18"/>
      <c r="M281" s="18"/>
      <c r="N281" s="18"/>
      <c r="O281" s="14">
        <v>1</v>
      </c>
    </row>
    <row r="282">
      <c r="A282" s="14">
        <v>2</v>
      </c>
      <c r="B282" s="18"/>
      <c r="C282" s="18"/>
      <c r="D282" s="18"/>
      <c r="E282" s="18"/>
      <c r="F282" s="18"/>
      <c r="G282" s="14">
        <v>2</v>
      </c>
      <c r="I282" s="14">
        <v>2</v>
      </c>
      <c r="J282" s="18"/>
      <c r="K282" s="18"/>
      <c r="L282" s="18"/>
      <c r="M282" s="18"/>
      <c r="N282" s="18"/>
      <c r="O282" s="14">
        <v>2</v>
      </c>
    </row>
    <row r="283">
      <c r="A283" s="14">
        <v>3</v>
      </c>
      <c r="B283" s="18"/>
      <c r="C283" s="18"/>
      <c r="D283" s="18"/>
      <c r="E283" s="18"/>
      <c r="F283" s="18"/>
      <c r="G283" s="14">
        <v>3</v>
      </c>
      <c r="I283" s="14">
        <v>3</v>
      </c>
      <c r="J283" s="18"/>
      <c r="K283" s="18"/>
      <c r="L283" s="18"/>
      <c r="M283" s="18"/>
      <c r="N283" s="18"/>
      <c r="O283" s="14">
        <v>3</v>
      </c>
    </row>
    <row r="284">
      <c r="A284" s="14">
        <v>4</v>
      </c>
      <c r="B284" s="18"/>
      <c r="C284" s="18"/>
      <c r="D284" s="18"/>
      <c r="E284" s="18"/>
      <c r="F284" s="18"/>
      <c r="G284" s="14">
        <v>4</v>
      </c>
      <c r="I284" s="14">
        <v>4</v>
      </c>
      <c r="J284" s="18"/>
      <c r="K284" s="18"/>
      <c r="L284" s="18"/>
      <c r="M284" s="18"/>
      <c r="N284" s="18"/>
      <c r="O284" s="14">
        <v>4</v>
      </c>
    </row>
    <row r="285">
      <c r="A285" s="14">
        <v>5</v>
      </c>
      <c r="B285" s="18"/>
      <c r="C285" s="18"/>
      <c r="D285" s="18"/>
      <c r="E285" s="18"/>
      <c r="F285" s="18"/>
      <c r="G285" s="14">
        <v>5</v>
      </c>
      <c r="I285" s="14">
        <v>5</v>
      </c>
      <c r="J285" s="18"/>
      <c r="K285" s="18"/>
      <c r="L285" s="18"/>
      <c r="M285" s="18"/>
      <c r="N285" s="18"/>
      <c r="O285" s="14">
        <v>5</v>
      </c>
    </row>
    <row r="287">
      <c r="A287" s="17" t="s">
        <v>330</v>
      </c>
      <c r="B287" s="14"/>
      <c r="C287" s="14"/>
      <c r="D287" s="14" t="s">
        <v>331</v>
      </c>
      <c r="E287" s="14"/>
      <c r="F287" s="14"/>
      <c r="G287" s="16" t="s">
        <v>332</v>
      </c>
      <c r="I287" s="17" t="s">
        <v>330</v>
      </c>
      <c r="J287" s="14"/>
      <c r="K287" s="14"/>
      <c r="L287" s="14" t="s">
        <v>331</v>
      </c>
      <c r="M287" s="14"/>
      <c r="N287" s="14"/>
      <c r="O287" s="16" t="s">
        <v>332</v>
      </c>
    </row>
    <row r="288">
      <c r="A288" s="14" t="str">
        <f>data!$E$24&amp;" "&amp;data!$B$24</f>
      </c>
      <c r="B288" s="14" t="str">
        <f>IF(UPPER(D289)="X",0,IF((LEN(SUBSTITUTE(SUBSTITUTE(SUBSTITUTE(B289," ",""),"0",""),"-",""))+LEN(SUBSTITUTE(SUBSTITUTE(SUBSTITUTE(C289," ",""),"0",""),"-","")))&gt;(LEN(SUBSTITUTE(SUBSTITUTE(SUBSTITUTE(E289," ",""),"0",""),"-",""))+LEN(SUBSTITUTE(SUBSTITUTE(SUBSTITUTE(F289," ",""),"0",""),"-",""))),1,0))+IF(UPPER(D290)="X",0,IF((LEN(SUBSTITUTE(SUBSTITUTE(SUBSTITUTE(B290," ",""),"0",""),"-",""))+LEN(SUBSTITUTE(SUBSTITUTE(SUBSTITUTE(C290," ",""),"0",""),"-","")))&gt;(LEN(SUBSTITUTE(SUBSTITUTE(SUBSTITUTE(E290," ",""),"0",""),"-",""))+LEN(SUBSTITUTE(SUBSTITUTE(SUBSTITUTE(F290," ",""),"0",""),"-",""))),1,0))+IF(UPPER(D291)="X",0,IF((LEN(SUBSTITUTE(SUBSTITUTE(SUBSTITUTE(B291," ",""),"0",""),"-",""))+LEN(SUBSTITUTE(SUBSTITUTE(SUBSTITUTE(C291," ",""),"0",""),"-","")))&gt;(LEN(SUBSTITUTE(SUBSTITUTE(SUBSTITUTE(E291," ",""),"0",""),"-",""))+LEN(SUBSTITUTE(SUBSTITUTE(SUBSTITUTE(F291," ",""),"0",""),"-",""))),1,0))+IF(UPPER(D292)="X",0,IF((LEN(SUBSTITUTE(SUBSTITUTE(SUBSTITUTE(B292," ",""),"0",""),"-",""))+LEN(SUBSTITUTE(SUBSTITUTE(SUBSTITUTE(C292," ",""),"0",""),"-","")))&gt;(LEN(SUBSTITUTE(SUBSTITUTE(SUBSTITUTE(E292," ",""),"0",""),"-",""))+LEN(SUBSTITUTE(SUBSTITUTE(SUBSTITUTE(F292," ",""),"0",""),"-",""))),1,0))+IF(UPPER(D293)="X",0,IF((LEN(SUBSTITUTE(SUBSTITUTE(SUBSTITUTE(B293," ",""),"0",""),"-",""))+LEN(SUBSTITUTE(SUBSTITUTE(SUBSTITUTE(C293," ",""),"0",""),"-","")))&gt;(LEN(SUBSTITUTE(SUBSTITUTE(SUBSTITUTE(E293," ",""),"0",""),"-",""))+LEN(SUBSTITUTE(SUBSTITUTE(SUBSTITUTE(F293," ",""),"0",""),"-",""))),1,0))</f>
      </c>
      <c r="C288" s="14" t="str">
        <f>LEN(SUBSTITUTE(SUBSTITUTE(SUBSTITUTE(B289," ",""),"0",""),"-",""))+LEN(SUBSTITUTE(SUBSTITUTE(SUBSTITUTE(C289," ",""),"0",""),"-",""))+LEN(SUBSTITUTE(SUBSTITUTE(SUBSTITUTE(B290," ",""),"0",""),"-",""))+LEN(SUBSTITUTE(SUBSTITUTE(SUBSTITUTE(C290," ",""),"0",""),"-",""))+LEN(SUBSTITUTE(SUBSTITUTE(SUBSTITUTE(B291," ",""),"0",""),"-",""))+LEN(SUBSTITUTE(SUBSTITUTE(SUBSTITUTE(C291," ",""),"0",""),"-",""))+LEN(SUBSTITUTE(SUBSTITUTE(SUBSTITUTE(B292," ",""),"0",""),"-",""))+LEN(SUBSTITUTE(SUBSTITUTE(SUBSTITUTE(C292," ",""),"0",""),"-",""))+LEN(SUBSTITUTE(SUBSTITUTE(SUBSTITUTE(B293," ",""),"0",""),"-",""))+LEN(SUBSTITUTE(SUBSTITUTE(SUBSTITUTE(C293," ",""),"0",""),"-",""))</f>
      </c>
      <c r="D288" s="18"/>
      <c r="E288" s="14" t="str">
        <f>LEN(SUBSTITUTE(SUBSTITUTE(SUBSTITUTE(E289," ",""),"0",""),"-",""))+LEN(SUBSTITUTE(SUBSTITUTE(SUBSTITUTE(F289," ",""),"0",""),"-",""))+LEN(SUBSTITUTE(SUBSTITUTE(SUBSTITUTE(E290," ",""),"0",""),"-",""))+LEN(SUBSTITUTE(SUBSTITUTE(SUBSTITUTE(F290," ",""),"0",""),"-",""))+LEN(SUBSTITUTE(SUBSTITUTE(SUBSTITUTE(E291," ",""),"0",""),"-",""))+LEN(SUBSTITUTE(SUBSTITUTE(SUBSTITUTE(F291," ",""),"0",""),"-",""))+LEN(SUBSTITUTE(SUBSTITUTE(SUBSTITUTE(E292," ",""),"0",""),"-",""))+LEN(SUBSTITUTE(SUBSTITUTE(SUBSTITUTE(F292," ",""),"0",""),"-",""))+LEN(SUBSTITUTE(SUBSTITUTE(SUBSTITUTE(E293," ",""),"0",""),"-",""))+LEN(SUBSTITUTE(SUBSTITUTE(SUBSTITUTE(F293," ",""),"0",""),"-",""))</f>
      </c>
      <c r="F288" s="14" t="str">
        <f>IF(UPPER(D289)="X",0,IF((LEN(SUBSTITUTE(SUBSTITUTE(SUBSTITUTE(E289," ",""),"0",""),"-",""))+LEN(SUBSTITUTE(SUBSTITUTE(SUBSTITUTE(F289," ",""),"0",""),"-","")))&gt;(LEN(SUBSTITUTE(SUBSTITUTE(SUBSTITUTE(B289," ",""),"0",""),"-",""))+LEN(SUBSTITUTE(SUBSTITUTE(SUBSTITUTE(C289," ",""),"0",""),"-",""))),1,0))+IF(UPPER(D290)="X",0,IF((LEN(SUBSTITUTE(SUBSTITUTE(SUBSTITUTE(E290," ",""),"0",""),"-",""))+LEN(SUBSTITUTE(SUBSTITUTE(SUBSTITUTE(F290," ",""),"0",""),"-","")))&gt;(LEN(SUBSTITUTE(SUBSTITUTE(SUBSTITUTE(B290," ",""),"0",""),"-",""))+LEN(SUBSTITUTE(SUBSTITUTE(SUBSTITUTE(C290," ",""),"0",""),"-",""))),1,0))+IF(UPPER(D291)="X",0,IF((LEN(SUBSTITUTE(SUBSTITUTE(SUBSTITUTE(E291," ",""),"0",""),"-",""))+LEN(SUBSTITUTE(SUBSTITUTE(SUBSTITUTE(F291," ",""),"0",""),"-","")))&gt;(LEN(SUBSTITUTE(SUBSTITUTE(SUBSTITUTE(B291," ",""),"0",""),"-",""))+LEN(SUBSTITUTE(SUBSTITUTE(SUBSTITUTE(C291," ",""),"0",""),"-",""))),1,0))+IF(UPPER(D292)="X",0,IF((LEN(SUBSTITUTE(SUBSTITUTE(SUBSTITUTE(E292," ",""),"0",""),"-",""))+LEN(SUBSTITUTE(SUBSTITUTE(SUBSTITUTE(F292," ",""),"0",""),"-","")))&gt;(LEN(SUBSTITUTE(SUBSTITUTE(SUBSTITUTE(B292," ",""),"0",""),"-",""))+LEN(SUBSTITUTE(SUBSTITUTE(SUBSTITUTE(C292," ",""),"0",""),"-",""))),1,0))+IF(UPPER(D293)="X",0,IF((LEN(SUBSTITUTE(SUBSTITUTE(SUBSTITUTE(E293," ",""),"0",""),"-",""))+LEN(SUBSTITUTE(SUBSTITUTE(SUBSTITUTE(F293," ",""),"0",""),"-","")))&gt;(LEN(SUBSTITUTE(SUBSTITUTE(SUBSTITUTE(B293," ",""),"0",""),"-",""))+LEN(SUBSTITUTE(SUBSTITUTE(SUBSTITUTE(C293," ",""),"0",""),"-",""))),1,0))</f>
      </c>
      <c r="G288" s="14" t="str">
        <f>data!$E$23&amp;" "&amp;data!$B$23</f>
      </c>
      <c r="I288" s="14" t="str">
        <f>data!$E$69&amp;" "&amp;data!$B$69</f>
      </c>
      <c r="J288" s="14" t="str">
        <f>IF(UPPER(L289)="X",0,IF((LEN(SUBSTITUTE(SUBSTITUTE(SUBSTITUTE(J289," ",""),"0",""),"-",""))+LEN(SUBSTITUTE(SUBSTITUTE(SUBSTITUTE(K289," ",""),"0",""),"-","")))&gt;(LEN(SUBSTITUTE(SUBSTITUTE(SUBSTITUTE(M289," ",""),"0",""),"-",""))+LEN(SUBSTITUTE(SUBSTITUTE(SUBSTITUTE(N289," ",""),"0",""),"-",""))),1,0))+IF(UPPER(L290)="X",0,IF((LEN(SUBSTITUTE(SUBSTITUTE(SUBSTITUTE(J290," ",""),"0",""),"-",""))+LEN(SUBSTITUTE(SUBSTITUTE(SUBSTITUTE(K290," ",""),"0",""),"-","")))&gt;(LEN(SUBSTITUTE(SUBSTITUTE(SUBSTITUTE(M290," ",""),"0",""),"-",""))+LEN(SUBSTITUTE(SUBSTITUTE(SUBSTITUTE(N290," ",""),"0",""),"-",""))),1,0))+IF(UPPER(L291)="X",0,IF((LEN(SUBSTITUTE(SUBSTITUTE(SUBSTITUTE(J291," ",""),"0",""),"-",""))+LEN(SUBSTITUTE(SUBSTITUTE(SUBSTITUTE(K291," ",""),"0",""),"-","")))&gt;(LEN(SUBSTITUTE(SUBSTITUTE(SUBSTITUTE(M291," ",""),"0",""),"-",""))+LEN(SUBSTITUTE(SUBSTITUTE(SUBSTITUTE(N291," ",""),"0",""),"-",""))),1,0))+IF(UPPER(L292)="X",0,IF((LEN(SUBSTITUTE(SUBSTITUTE(SUBSTITUTE(J292," ",""),"0",""),"-",""))+LEN(SUBSTITUTE(SUBSTITUTE(SUBSTITUTE(K292," ",""),"0",""),"-","")))&gt;(LEN(SUBSTITUTE(SUBSTITUTE(SUBSTITUTE(M292," ",""),"0",""),"-",""))+LEN(SUBSTITUTE(SUBSTITUTE(SUBSTITUTE(N292," ",""),"0",""),"-",""))),1,0))+IF(UPPER(L293)="X",0,IF((LEN(SUBSTITUTE(SUBSTITUTE(SUBSTITUTE(J293," ",""),"0",""),"-",""))+LEN(SUBSTITUTE(SUBSTITUTE(SUBSTITUTE(K293," ",""),"0",""),"-","")))&gt;(LEN(SUBSTITUTE(SUBSTITUTE(SUBSTITUTE(M293," ",""),"0",""),"-",""))+LEN(SUBSTITUTE(SUBSTITUTE(SUBSTITUTE(N293," ",""),"0",""),"-",""))),1,0))</f>
      </c>
      <c r="K288" s="14" t="str">
        <f>LEN(SUBSTITUTE(SUBSTITUTE(SUBSTITUTE(J289," ",""),"0",""),"-",""))+LEN(SUBSTITUTE(SUBSTITUTE(SUBSTITUTE(K289," ",""),"0",""),"-",""))+LEN(SUBSTITUTE(SUBSTITUTE(SUBSTITUTE(J290," ",""),"0",""),"-",""))+LEN(SUBSTITUTE(SUBSTITUTE(SUBSTITUTE(K290," ",""),"0",""),"-",""))+LEN(SUBSTITUTE(SUBSTITUTE(SUBSTITUTE(J291," ",""),"0",""),"-",""))+LEN(SUBSTITUTE(SUBSTITUTE(SUBSTITUTE(K291," ",""),"0",""),"-",""))+LEN(SUBSTITUTE(SUBSTITUTE(SUBSTITUTE(J292," ",""),"0",""),"-",""))+LEN(SUBSTITUTE(SUBSTITUTE(SUBSTITUTE(K292," ",""),"0",""),"-",""))+LEN(SUBSTITUTE(SUBSTITUTE(SUBSTITUTE(J293," ",""),"0",""),"-",""))+LEN(SUBSTITUTE(SUBSTITUTE(SUBSTITUTE(K293," ",""),"0",""),"-",""))</f>
      </c>
      <c r="L288" s="18"/>
      <c r="M288" s="14" t="str">
        <f>LEN(SUBSTITUTE(SUBSTITUTE(SUBSTITUTE(M289," ",""),"0",""),"-",""))+LEN(SUBSTITUTE(SUBSTITUTE(SUBSTITUTE(N289," ",""),"0",""),"-",""))+LEN(SUBSTITUTE(SUBSTITUTE(SUBSTITUTE(M290," ",""),"0",""),"-",""))+LEN(SUBSTITUTE(SUBSTITUTE(SUBSTITUTE(N290," ",""),"0",""),"-",""))+LEN(SUBSTITUTE(SUBSTITUTE(SUBSTITUTE(M291," ",""),"0",""),"-",""))+LEN(SUBSTITUTE(SUBSTITUTE(SUBSTITUTE(N291," ",""),"0",""),"-",""))+LEN(SUBSTITUTE(SUBSTITUTE(SUBSTITUTE(M292," ",""),"0",""),"-",""))+LEN(SUBSTITUTE(SUBSTITUTE(SUBSTITUTE(N292," ",""),"0",""),"-",""))+LEN(SUBSTITUTE(SUBSTITUTE(SUBSTITUTE(M293," ",""),"0",""),"-",""))+LEN(SUBSTITUTE(SUBSTITUTE(SUBSTITUTE(N293," ",""),"0",""),"-",""))</f>
      </c>
      <c r="N288" s="14" t="str">
        <f>IF(UPPER(L289)="X",0,IF((LEN(SUBSTITUTE(SUBSTITUTE(SUBSTITUTE(M289," ",""),"0",""),"-",""))+LEN(SUBSTITUTE(SUBSTITUTE(SUBSTITUTE(N289," ",""),"0",""),"-","")))&gt;(LEN(SUBSTITUTE(SUBSTITUTE(SUBSTITUTE(J289," ",""),"0",""),"-",""))+LEN(SUBSTITUTE(SUBSTITUTE(SUBSTITUTE(K289," ",""),"0",""),"-",""))),1,0))+IF(UPPER(L290)="X",0,IF((LEN(SUBSTITUTE(SUBSTITUTE(SUBSTITUTE(M290," ",""),"0",""),"-",""))+LEN(SUBSTITUTE(SUBSTITUTE(SUBSTITUTE(N290," ",""),"0",""),"-","")))&gt;(LEN(SUBSTITUTE(SUBSTITUTE(SUBSTITUTE(J290," ",""),"0",""),"-",""))+LEN(SUBSTITUTE(SUBSTITUTE(SUBSTITUTE(K290," ",""),"0",""),"-",""))),1,0))+IF(UPPER(L291)="X",0,IF((LEN(SUBSTITUTE(SUBSTITUTE(SUBSTITUTE(M291," ",""),"0",""),"-",""))+LEN(SUBSTITUTE(SUBSTITUTE(SUBSTITUTE(N291," ",""),"0",""),"-","")))&gt;(LEN(SUBSTITUTE(SUBSTITUTE(SUBSTITUTE(J291," ",""),"0",""),"-",""))+LEN(SUBSTITUTE(SUBSTITUTE(SUBSTITUTE(K291," ",""),"0",""),"-",""))),1,0))+IF(UPPER(L292)="X",0,IF((LEN(SUBSTITUTE(SUBSTITUTE(SUBSTITUTE(M292," ",""),"0",""),"-",""))+LEN(SUBSTITUTE(SUBSTITUTE(SUBSTITUTE(N292," ",""),"0",""),"-","")))&gt;(LEN(SUBSTITUTE(SUBSTITUTE(SUBSTITUTE(J292," ",""),"0",""),"-",""))+LEN(SUBSTITUTE(SUBSTITUTE(SUBSTITUTE(K292," ",""),"0",""),"-",""))),1,0))+IF(UPPER(L293)="X",0,IF((LEN(SUBSTITUTE(SUBSTITUTE(SUBSTITUTE(M293," ",""),"0",""),"-",""))+LEN(SUBSTITUTE(SUBSTITUTE(SUBSTITUTE(N293," ",""),"0",""),"-","")))&gt;(LEN(SUBSTITUTE(SUBSTITUTE(SUBSTITUTE(J293," ",""),"0",""),"-",""))+LEN(SUBSTITUTE(SUBSTITUTE(SUBSTITUTE(K293," ",""),"0",""),"-",""))),1,0))</f>
      </c>
      <c r="O288" s="14" t="str">
        <f>data!$E$68&amp;" "&amp;data!$B$68</f>
      </c>
    </row>
    <row r="289">
      <c r="A289" s="14">
        <v>1</v>
      </c>
      <c r="B289" s="18"/>
      <c r="C289" s="18"/>
      <c r="D289" s="18"/>
      <c r="E289" s="18"/>
      <c r="F289" s="18"/>
      <c r="G289" s="14">
        <v>1</v>
      </c>
      <c r="I289" s="14">
        <v>1</v>
      </c>
      <c r="J289" s="18"/>
      <c r="K289" s="18"/>
      <c r="L289" s="18"/>
      <c r="M289" s="18"/>
      <c r="N289" s="18"/>
      <c r="O289" s="14">
        <v>1</v>
      </c>
    </row>
    <row r="290">
      <c r="A290" s="14">
        <v>2</v>
      </c>
      <c r="B290" s="18"/>
      <c r="C290" s="18"/>
      <c r="D290" s="18"/>
      <c r="E290" s="18"/>
      <c r="F290" s="18"/>
      <c r="G290" s="14">
        <v>2</v>
      </c>
      <c r="I290" s="14">
        <v>2</v>
      </c>
      <c r="J290" s="18"/>
      <c r="K290" s="18"/>
      <c r="L290" s="18"/>
      <c r="M290" s="18"/>
      <c r="N290" s="18"/>
      <c r="O290" s="14">
        <v>2</v>
      </c>
    </row>
    <row r="291">
      <c r="A291" s="14">
        <v>3</v>
      </c>
      <c r="B291" s="18"/>
      <c r="C291" s="18"/>
      <c r="D291" s="18"/>
      <c r="E291" s="18"/>
      <c r="F291" s="18"/>
      <c r="G291" s="14">
        <v>3</v>
      </c>
      <c r="I291" s="14">
        <v>3</v>
      </c>
      <c r="J291" s="18"/>
      <c r="K291" s="18"/>
      <c r="L291" s="18"/>
      <c r="M291" s="18"/>
      <c r="N291" s="18"/>
      <c r="O291" s="14">
        <v>3</v>
      </c>
    </row>
    <row r="292">
      <c r="A292" s="14">
        <v>4</v>
      </c>
      <c r="B292" s="18"/>
      <c r="C292" s="18"/>
      <c r="D292" s="18"/>
      <c r="E292" s="18"/>
      <c r="F292" s="18"/>
      <c r="G292" s="14">
        <v>4</v>
      </c>
      <c r="I292" s="14">
        <v>4</v>
      </c>
      <c r="J292" s="18"/>
      <c r="K292" s="18"/>
      <c r="L292" s="18"/>
      <c r="M292" s="18"/>
      <c r="N292" s="18"/>
      <c r="O292" s="14">
        <v>4</v>
      </c>
    </row>
    <row r="293">
      <c r="A293" s="14">
        <v>5</v>
      </c>
      <c r="B293" s="18"/>
      <c r="C293" s="18"/>
      <c r="D293" s="18"/>
      <c r="E293" s="18"/>
      <c r="F293" s="18"/>
      <c r="G293" s="14">
        <v>5</v>
      </c>
      <c r="I293" s="14">
        <v>5</v>
      </c>
      <c r="J293" s="18"/>
      <c r="K293" s="18"/>
      <c r="L293" s="18"/>
      <c r="M293" s="18"/>
      <c r="N293" s="18"/>
      <c r="O293" s="14">
        <v>5</v>
      </c>
    </row>
    <row r="296">
      <c r="A296" s="13" t="s">
        <v>333</v>
      </c>
      <c r="B296" s="13" t="s">
        <v>334</v>
      </c>
      <c r="C296" s="13" t="s">
        <v>335</v>
      </c>
      <c r="D296" s="13" t="s">
        <v>336</v>
      </c>
      <c r="E296" s="13"/>
      <c r="F296" s="13"/>
      <c r="G296" s="13" t="s">
        <v>337</v>
      </c>
      <c r="I296" s="13" t="s">
        <v>333</v>
      </c>
      <c r="J296" s="13" t="s">
        <v>334</v>
      </c>
      <c r="K296" s="13" t="s">
        <v>335</v>
      </c>
      <c r="L296" s="13" t="s">
        <v>336</v>
      </c>
      <c r="M296" s="13"/>
      <c r="N296" s="13"/>
      <c r="O296" s="13" t="s">
        <v>337</v>
      </c>
    </row>
    <row r="297">
      <c r="A297" s="14" t="str">
        <f>data!$E$22&amp;" "&amp;data!$B$22</f>
      </c>
      <c r="B297" s="14" t="str">
        <f>IF(OR(COUNTA(B273:C277,E273:F277)&gt;0,D273="X",D273="x",D274="X",D274="x",D275="X",D275="x",D276="X",D276="x",D277="X",D277="x",OR(D272="X",D272="x")),IF(OR(OR(D272="X",D272="x"),AND(B272=F272,C272=E272)),0,IF(OR(F272&gt;B272,AND(F272=B272,E272&gt;C272)),1,0)),0)+IF(OR(COUNTA(B281:C285,E281:F285)&gt;0,D281="X",D281="x",D282="X",D282="x",D283="X",D283="x",D284="X",D284="x",D285="X",D285="x",OR(D280="X",D280="x")),IF(OR(OR(D280="X",D280="x"),AND(B280=F280,C280=E280)),0,IF(OR(F280&gt;B280,AND(F280=B280,E280&gt;C280)),1,0)),0)</f>
      </c>
      <c r="C297" s="14" t="str">
        <f>IF(OR(COUNTA(B273:C277,E273:F277)&gt;0,D273="X",D273="x",D274="X",D274="x",D275="X",D275="x",D276="X",D276="x",D277="X",D277="x",OR(D272="X",D272="x")),IF(OR(OR(D272="X",D272="x"),AND(B272=F272,C272=E272)),0,IF(OR(F272&lt;B272,AND(F272=B272,E272&lt;C272)),1,0)),0)+IF(OR(COUNTA(B281:C285,E281:F285)&gt;0,D281="X",D281="x",D282="X",D282="x",D283="X",D283="x",D284="X",D284="x",D285="X",D285="x",OR(D280="X",D280="x")),IF(OR(OR(D280="X",D280="x"),AND(B280=F280,C280=E280)),0,IF(OR(F280&lt;B280,AND(F280=B280,E280&lt;C280)),1,0)),0)</f>
      </c>
      <c r="D297" s="14" t="str">
        <f>IF(OR(COUNTA(B273:C277,E273:F277)&gt;0,D273="X",D273="x",D274="X",D274="x",D275="X",D275="x",D276="X",D276="x",D277="X",D277="x",OR(D272="X",D272="x")),IF(OR(OR(D272="X",D272="x"),AND(B272=F272,C272=E272)),1,0),0)+IF(OR(COUNTA(B281:C285,E281:F285)&gt;0,D281="X",D281="x",D282="X",D282="x",D283="X",D283="x",D284="X",D284="x",D285="X",D285="x",OR(D280="X",D280="x")),IF(OR(OR(D280="X",D280="x"),AND(B280=F280,C280=E280)),1,0),0)</f>
      </c>
      <c r="G297" s="18" t="str">
        <f>RANK(U297,$U$297:$U$299)+COUNTIF($U$296:U296,U297)</f>
      </c>
      <c r="I297" s="14" t="str">
        <f>data!$E$67&amp;" "&amp;data!$B$67</f>
      </c>
      <c r="J297" s="14" t="str">
        <f>IF(OR(COUNTA(J273:K277,M273:N277)&gt;0,L273="X",L273="x",L274="X",L274="x",L275="X",L275="x",L276="X",L276="x",L277="X",L277="x",OR(L272="X",L272="x")),IF(OR(OR(L272="X",L272="x"),AND(J272=N272,K272=M272)),0,IF(OR(N272&gt;J272,AND(N272=J272,M272&gt;K272)),1,0)),0)+IF(OR(COUNTA(J281:K285,M281:N285)&gt;0,L281="X",L281="x",L282="X",L282="x",L283="X",L283="x",L284="X",L284="x",L285="X",L285="x",OR(L280="X",L280="x")),IF(OR(OR(L280="X",L280="x"),AND(J280=N280,K280=M280)),0,IF(OR(N280&gt;J280,AND(N280=J280,M280&gt;K280)),1,0)),0)</f>
      </c>
      <c r="K297" s="14" t="str">
        <f>IF(OR(COUNTA(J273:K277,M273:N277)&gt;0,L273="X",L273="x",L274="X",L274="x",L275="X",L275="x",L276="X",L276="x",L277="X",L277="x",OR(L272="X",L272="x")),IF(OR(OR(L272="X",L272="x"),AND(J272=N272,K272=M272)),0,IF(OR(N272&lt;J272,AND(N272=J272,M272&lt;K272)),1,0)),0)+IF(OR(COUNTA(J281:K285,M281:N285)&gt;0,L281="X",L281="x",L282="X",L282="x",L283="X",L283="x",L284="X",L284="x",L285="X",L285="x",OR(L280="X",L280="x")),IF(OR(OR(L280="X",L280="x"),AND(J280=N280,K280=M280)),0,IF(OR(N280&lt;J280,AND(N280=J280,M280&lt;K280)),1,0)),0)</f>
      </c>
      <c r="L297" s="14" t="str">
        <f>IF(OR(COUNTA(J273:K277,M273:N277)&gt;0,L273="X",L273="x",L274="X",L274="x",L275="X",L275="x",L276="X",L276="x",L277="X",L277="x",OR(L272="X",L272="x")),IF(OR(OR(L272="X",L272="x"),AND(J272=N272,K272=M272)),1,0),0)+IF(OR(COUNTA(J281:K285,M281:N285)&gt;0,L281="X",L281="x",L282="X",L282="x",L283="X",L283="x",L284="X",L284="x",L285="X",L285="x",OR(L280="X",L280="x")),IF(OR(OR(L280="X",L280="x"),AND(J280=N280,K280=M280)),1,0),0)</f>
      </c>
      <c r="O297" s="18" t="str">
        <f>RANK(AC297,$AC$297:$AC$299)+COUNTIF($AC$296:AC296,AC297)</f>
      </c>
      <c r="U297" t="str">
        <f>(B297*1000000000)-(C297*10000000)+(D297*100000)+(B302*1000)-(C302*100)+(D302*10)+(E302*1)-(F302*0.01)</f>
      </c>
      <c r="AC297" t="str">
        <f>(J297*1000000000)-(K297*10000000)+(L297*100000)+(J302*1000)-(K302*100)+(L302*10)+(M302*1)-(N302*0.01)</f>
      </c>
    </row>
    <row r="298">
      <c r="A298" s="14" t="str">
        <f>data!$E$23&amp;" "&amp;data!$B$23</f>
      </c>
      <c r="B298" s="14" t="str">
        <f>IF(OR(COUNTA(B273:C277,E273:F277)&gt;0,D273="X",D273="x",D274="X",D274="x",D275="X",D275="x",D276="X",D276="x",D277="X",D277="x",OR(D272="X",D272="x")),IF(OR(OR(D272="X",D272="x"),AND(B272=F272,C272=E272)),0,IF(OR(B272&gt;F272,AND(B272=F272,C272&gt;E272)),1,0)),0)+IF(OR(COUNTA(B289:C293,E289:F293)&gt;0,D289="X",D289="x",D290="X",D290="x",D291="X",D291="x",D292="X",D292="x",D293="X",D293="x",OR(D288="X",D288="x")),IF(OR(OR(D288="X",D288="x"),AND(B288=F288,C288=E288)),0,IF(OR(F288&gt;B288,AND(F288=B288,E288&gt;C288)),1,0)),0)</f>
      </c>
      <c r="C298" s="14" t="str">
        <f>IF(OR(COUNTA(B273:C277,E273:F277)&gt;0,D273="X",D273="x",D274="X",D274="x",D275="X",D275="x",D276="X",D276="x",D277="X",D277="x",OR(D272="X",D272="x")),IF(OR(OR(D272="X",D272="x"),AND(B272=F272,C272=E272)),0,IF(OR(B272&lt;F272,AND(B272=F272,C272&lt;E272)),1,0)),0)+IF(OR(COUNTA(B289:C293,E289:F293)&gt;0,D289="X",D289="x",D290="X",D290="x",D291="X",D291="x",D292="X",D292="x",D293="X",D293="x",OR(D288="X",D288="x")),IF(OR(OR(D288="X",D288="x"),AND(B288=F288,C288=E288)),0,IF(OR(F288&lt;B288,AND(F288=B288,E288&lt;C288)),1,0)),0)</f>
      </c>
      <c r="D298" s="14" t="str">
        <f>IF(OR(COUNTA(B273:C277,E273:F277)&gt;0,D273="X",D273="x",D274="X",D274="x",D275="X",D275="x",D276="X",D276="x",D277="X",D277="x",OR(D272="X",D272="x")),IF(OR(OR(D272="X",D272="x"),AND(B272=F272,C272=E272)),1,0),0)+IF(OR(COUNTA(B289:C293,E289:F293)&gt;0,D289="X",D289="x",D290="X",D290="x",D291="X",D291="x",D292="X",D292="x",D293="X",D293="x",OR(D288="X",D288="x")),IF(OR(OR(D288="X",D288="x"),AND(B288=F288,C288=E288)),1,0),0)</f>
      </c>
      <c r="G298" s="18" t="str">
        <f>RANK(U298,$U$297:$U$299)+COUNTIF($U$296:U297,U298)</f>
      </c>
      <c r="I298" s="14" t="str">
        <f>data!$E$68&amp;" "&amp;data!$B$68</f>
      </c>
      <c r="J298" s="14" t="str">
        <f>IF(OR(COUNTA(J273:K277,M273:N277)&gt;0,L273="X",L273="x",L274="X",L274="x",L275="X",L275="x",L276="X",L276="x",L277="X",L277="x",OR(L272="X",L272="x")),IF(OR(OR(L272="X",L272="x"),AND(J272=N272,K272=M272)),0,IF(OR(J272&gt;N272,AND(J272=N272,K272&gt;M272)),1,0)),0)+IF(OR(COUNTA(J289:K293,M289:N293)&gt;0,L289="X",L289="x",L290="X",L290="x",L291="X",L291="x",L292="X",L292="x",L293="X",L293="x",OR(L288="X",L288="x")),IF(OR(OR(L288="X",L288="x"),AND(J288=N288,K288=M288)),0,IF(OR(N288&gt;J288,AND(N288=J288,M288&gt;K288)),1,0)),0)</f>
      </c>
      <c r="K298" s="14" t="str">
        <f>IF(OR(COUNTA(J273:K277,M273:N277)&gt;0,L273="X",L273="x",L274="X",L274="x",L275="X",L275="x",L276="X",L276="x",L277="X",L277="x",OR(L272="X",L272="x")),IF(OR(OR(L272="X",L272="x"),AND(J272=N272,K272=M272)),0,IF(OR(J272&lt;N272,AND(J272=N272,K272&lt;M272)),1,0)),0)+IF(OR(COUNTA(J289:K293,M289:N293)&gt;0,L289="X",L289="x",L290="X",L290="x",L291="X",L291="x",L292="X",L292="x",L293="X",L293="x",OR(L288="X",L288="x")),IF(OR(OR(L288="X",L288="x"),AND(J288=N288,K288=M288)),0,IF(OR(N288&lt;J288,AND(N288=J288,M288&lt;K288)),1,0)),0)</f>
      </c>
      <c r="L298" s="14" t="str">
        <f>IF(OR(COUNTA(J273:K277,M273:N277)&gt;0,L273="X",L273="x",L274="X",L274="x",L275="X",L275="x",L276="X",L276="x",L277="X",L277="x",OR(L272="X",L272="x")),IF(OR(OR(L272="X",L272="x"),AND(J272=N272,K272=M272)),1,0),0)+IF(OR(COUNTA(J289:K293,M289:N293)&gt;0,L289="X",L289="x",L290="X",L290="x",L291="X",L291="x",L292="X",L292="x",L293="X",L293="x",OR(L288="X",L288="x")),IF(OR(OR(L288="X",L288="x"),AND(J288=N288,K288=M288)),1,0),0)</f>
      </c>
      <c r="O298" s="18" t="str">
        <f>RANK(AC298,$AC$297:$AC$299)+COUNTIF($AC$296:AC297,AC298)</f>
      </c>
      <c r="U298" t="str">
        <f>(B298*1000000000)-(C298*10000000)+(D298*100000)+(B303*1000)-(C303*100)+(D303*10)+(E303*1)-(F303*0.01)</f>
      </c>
      <c r="AC298" t="str">
        <f>(J298*1000000000)-(K298*10000000)+(L298*100000)+(J303*1000)-(K303*100)+(L303*10)+(M303*1)-(N303*0.01)</f>
      </c>
    </row>
    <row r="299">
      <c r="A299" s="14" t="str">
        <f>data!$E$24&amp;" "&amp;data!$B$24</f>
      </c>
      <c r="B299" s="14" t="str">
        <f>IF(OR(COUNTA(B281:C285,E281:F285)&gt;0,D281="X",D281="x",D282="X",D282="x",D283="X",D283="x",D284="X",D284="x",D285="X",D285="x",OR(D280="X",D280="x")),IF(OR(OR(D280="X",D280="x"),AND(B280=F280,C280=E280)),0,IF(OR(B280&gt;F280,AND(B280=F280,C280&gt;E280)),1,0)),0)+IF(OR(COUNTA(B289:C293,E289:F293)&gt;0,D289="X",D289="x",D290="X",D290="x",D291="X",D291="x",D292="X",D292="x",D293="X",D293="x",OR(D288="X",D288="x")),IF(OR(OR(D288="X",D288="x"),AND(B288=F288,C288=E288)),0,IF(OR(B288&gt;F288,AND(B288=F288,C288&gt;E288)),1,0)),0)</f>
      </c>
      <c r="C299" s="14" t="str">
        <f>IF(OR(COUNTA(B281:C285,E281:F285)&gt;0,D281="X",D281="x",D282="X",D282="x",D283="X",D283="x",D284="X",D284="x",D285="X",D285="x",OR(D280="X",D280="x")),IF(OR(OR(D280="X",D280="x"),AND(B280=F280,C280=E280)),0,IF(OR(B280&lt;F280,AND(B280=F280,C280&lt;E280)),1,0)),0)+IF(OR(COUNTA(B289:C293,E289:F293)&gt;0,D289="X",D289="x",D290="X",D290="x",D291="X",D291="x",D292="X",D292="x",D293="X",D293="x",OR(D288="X",D288="x")),IF(OR(OR(D288="X",D288="x"),AND(B288=F288,C288=E288)),0,IF(OR(B288&lt;F288,AND(B288=F288,C288&lt;E288)),1,0)),0)</f>
      </c>
      <c r="D299" s="14" t="str">
        <f>IF(OR(COUNTA(B281:C285,E281:F285)&gt;0,D281="X",D281="x",D282="X",D282="x",D283="X",D283="x",D284="X",D284="x",D285="X",D285="x",OR(D280="X",D280="x")),IF(OR(OR(D280="X",D280="x"),AND(B280=F280,C280=E280)),1,0),0)+IF(OR(COUNTA(B289:C293,E289:F293)&gt;0,D289="X",D289="x",D290="X",D290="x",D291="X",D291="x",D292="X",D292="x",D293="X",D293="x",OR(D288="X",D288="x")),IF(OR(OR(D288="X",D288="x"),AND(B288=F288,C288=E288)),1,0),0)</f>
      </c>
      <c r="G299" s="18" t="str">
        <f>RANK(U299,$U$297:$U$299)+COUNTIF($U$296:U298,U299)</f>
      </c>
      <c r="I299" s="14" t="str">
        <f>data!$E$69&amp;" "&amp;data!$B$69</f>
      </c>
      <c r="J299" s="14" t="str">
        <f>IF(OR(COUNTA(J281:K285,M281:N285)&gt;0,L281="X",L281="x",L282="X",L282="x",L283="X",L283="x",L284="X",L284="x",L285="X",L285="x",OR(L280="X",L280="x")),IF(OR(OR(L280="X",L280="x"),AND(J280=N280,K280=M280)),0,IF(OR(J280&gt;N280,AND(J280=N280,K280&gt;M280)),1,0)),0)+IF(OR(COUNTA(J289:K293,M289:N293)&gt;0,L289="X",L289="x",L290="X",L290="x",L291="X",L291="x",L292="X",L292="x",L293="X",L293="x",OR(L288="X",L288="x")),IF(OR(OR(L288="X",L288="x"),AND(J288=N288,K288=M288)),0,IF(OR(J288&gt;N288,AND(J288=N288,K288&gt;M288)),1,0)),0)</f>
      </c>
      <c r="K299" s="14" t="str">
        <f>IF(OR(COUNTA(J281:K285,M281:N285)&gt;0,L281="X",L281="x",L282="X",L282="x",L283="X",L283="x",L284="X",L284="x",L285="X",L285="x",OR(L280="X",L280="x")),IF(OR(OR(L280="X",L280="x"),AND(J280=N280,K280=M280)),0,IF(OR(J280&lt;N280,AND(J280=N280,K280&lt;M280)),1,0)),0)+IF(OR(COUNTA(J289:K293,M289:N293)&gt;0,L289="X",L289="x",L290="X",L290="x",L291="X",L291="x",L292="X",L292="x",L293="X",L293="x",OR(L288="X",L288="x")),IF(OR(OR(L288="X",L288="x"),AND(J288=N288,K288=M288)),0,IF(OR(J288&lt;N288,AND(J288=N288,K288&lt;M288)),1,0)),0)</f>
      </c>
      <c r="L299" s="14" t="str">
        <f>IF(OR(COUNTA(J281:K285,M281:N285)&gt;0,L281="X",L281="x",L282="X",L282="x",L283="X",L283="x",L284="X",L284="x",L285="X",L285="x",OR(L280="X",L280="x")),IF(OR(OR(L280="X",L280="x"),AND(J280=N280,K280=M280)),1,0),0)+IF(OR(COUNTA(J289:K293,M289:N293)&gt;0,L289="X",L289="x",L290="X",L290="x",L291="X",L291="x",L292="X",L292="x",L293="X",L293="x",OR(L288="X",L288="x")),IF(OR(OR(L288="X",L288="x"),AND(J288=N288,K288=M288)),1,0),0)</f>
      </c>
      <c r="O299" s="18" t="str">
        <f>RANK(AC299,$AC$297:$AC$299)+COUNTIF($AC$296:AC298,AC299)</f>
      </c>
      <c r="U299" t="str">
        <f>(B299*1000000000)-(C299*10000000)+(D299*100000)+(B304*1000)-(C304*100)+(D304*10)+(E304*1)-(F304*0.01)</f>
      </c>
      <c r="AC299" t="str">
        <f>(J299*1000000000)-(K299*10000000)+(L299*100000)+(J304*1000)-(K304*100)+(L304*10)+(M304*1)-(N304*0.01)</f>
      </c>
    </row>
    <row r="301">
      <c r="A301" s="13"/>
      <c r="B301" s="13" t="s">
        <v>338</v>
      </c>
      <c r="C301" s="13" t="s">
        <v>339</v>
      </c>
      <c r="D301" s="13" t="s">
        <v>340</v>
      </c>
      <c r="E301" s="13" t="s">
        <v>341</v>
      </c>
      <c r="F301" s="13" t="s">
        <v>342</v>
      </c>
      <c r="I301" s="13"/>
      <c r="J301" s="13" t="s">
        <v>338</v>
      </c>
      <c r="K301" s="13" t="s">
        <v>339</v>
      </c>
      <c r="L301" s="13" t="s">
        <v>340</v>
      </c>
      <c r="M301" s="13" t="s">
        <v>341</v>
      </c>
      <c r="N301" s="13" t="s">
        <v>342</v>
      </c>
    </row>
    <row r="302">
      <c r="A302" s="14" t="str">
        <f>data!$E$22&amp;" "&amp;data!$B$22</f>
      </c>
      <c r="B302" s="14" t="str">
        <f>IF(OR(COUNTA(B273:C277,E273:F277)&gt;0,OR(D272="X",D272="x"),UPPER(D273)="X",UPPER(D274)="X",UPPER(D275)="X",UPPER(D276)="X",UPPER(D277)="X"),F272,0)+IF(OR(COUNTA(B281:C285,E281:F285)&gt;0,OR(D280="X",D280="x"),UPPER(D281)="X",UPPER(D282)="X",UPPER(D283)="X",UPPER(D284)="X",UPPER(D285)="X"),F280,0)</f>
      </c>
      <c r="C302" s="14" t="str">
        <f>IF(OR(COUNTA(B273:C277,E273:F277)&gt;0,OR(D272="X",D272="x"),UPPER(D273)="X",UPPER(D274)="X",UPPER(D275)="X",UPPER(D276)="X",UPPER(D277)="X"),B272,0)+IF(OR(COUNTA(B281:C285,E281:F285)&gt;0,OR(D280="X",D280="x"),UPPER(D281)="X",UPPER(D282)="X",UPPER(D283)="X",UPPER(D284)="X",UPPER(D285)="X"),B280,0)</f>
      </c>
      <c r="D302" s="14" t="str">
        <f>IF(OR(COUNTA(B273:C277,E273:F277)&gt;0,OR(D272="X",D272="x"),UPPER(D273)="X",UPPER(D274)="X",UPPER(D275)="X",UPPER(D276)="X",UPPER(D277)="X"),(IF(OR(D273="X",D273="x",AND(COUNTA(B273,C273,E273,F273)&gt;0,(LEN(SUBSTITUTE(SUBSTITUTE(SUBSTITUTE(B273," ",""),"0",""),"-",""))+LEN(SUBSTITUTE(SUBSTITUTE(SUBSTITUTE(C273," ",""),"0",""),"-","")))=(LEN(SUBSTITUTE(SUBSTITUTE(SUBSTITUTE(E273," ",""),"0",""),"-",""))+LEN(SUBSTITUTE(SUBSTITUTE(SUBSTITUTE(F273," ",""),"0",""),"-",""))))),1,0)+IF(OR(D274="X",D274="x",AND(COUNTA(B274,C274,E274,F274)&gt;0,(LEN(SUBSTITUTE(SUBSTITUTE(SUBSTITUTE(B274," ",""),"0",""),"-",""))+LEN(SUBSTITUTE(SUBSTITUTE(SUBSTITUTE(C274," ",""),"0",""),"-","")))=(LEN(SUBSTITUTE(SUBSTITUTE(SUBSTITUTE(E274," ",""),"0",""),"-",""))+LEN(SUBSTITUTE(SUBSTITUTE(SUBSTITUTE(F274," ",""),"0",""),"-",""))))),1,0)+IF(OR(D275="X",D275="x",AND(COUNTA(B275,C275,E275,F275)&gt;0,(LEN(SUBSTITUTE(SUBSTITUTE(SUBSTITUTE(B275," ",""),"0",""),"-",""))+LEN(SUBSTITUTE(SUBSTITUTE(SUBSTITUTE(C275," ",""),"0",""),"-","")))=(LEN(SUBSTITUTE(SUBSTITUTE(SUBSTITUTE(E275," ",""),"0",""),"-",""))+LEN(SUBSTITUTE(SUBSTITUTE(SUBSTITUTE(F275," ",""),"0",""),"-",""))))),1,0)+IF(OR(D276="X",D276="x",AND(COUNTA(B276,C276,E276,F276)&gt;0,(LEN(SUBSTITUTE(SUBSTITUTE(SUBSTITUTE(B276," ",""),"0",""),"-",""))+LEN(SUBSTITUTE(SUBSTITUTE(SUBSTITUTE(C276," ",""),"0",""),"-","")))=(LEN(SUBSTITUTE(SUBSTITUTE(SUBSTITUTE(E276," ",""),"0",""),"-",""))+LEN(SUBSTITUTE(SUBSTITUTE(SUBSTITUTE(F276," ",""),"0",""),"-",""))))),1,0)+IF(OR(D277="X",D277="x",AND(COUNTA(B277,C277,E277,F277)&gt;0,(LEN(SUBSTITUTE(SUBSTITUTE(SUBSTITUTE(B277," ",""),"0",""),"-",""))+LEN(SUBSTITUTE(SUBSTITUTE(SUBSTITUTE(C277," ",""),"0",""),"-","")))=(LEN(SUBSTITUTE(SUBSTITUTE(SUBSTITUTE(E277," ",""),"0",""),"-",""))+LEN(SUBSTITUTE(SUBSTITUTE(SUBSTITUTE(F277," ",""),"0",""),"-",""))))),1,0)),0)+IF(OR(COUNTA(B281:C285,E281:F285)&gt;0,OR(D280="X",D280="x"),UPPER(D281)="X",UPPER(D282)="X",UPPER(D283)="X",UPPER(D284)="X",UPPER(D285)="X"),(IF(OR(D281="X",D281="x",AND(COUNTA(B281,C281,E281,F281)&gt;0,(LEN(SUBSTITUTE(SUBSTITUTE(SUBSTITUTE(B281," ",""),"0",""),"-",""))+LEN(SUBSTITUTE(SUBSTITUTE(SUBSTITUTE(C281," ",""),"0",""),"-","")))=(LEN(SUBSTITUTE(SUBSTITUTE(SUBSTITUTE(E281," ",""),"0",""),"-",""))+LEN(SUBSTITUTE(SUBSTITUTE(SUBSTITUTE(F281," ",""),"0",""),"-",""))))),1,0)+IF(OR(D282="X",D282="x",AND(COUNTA(B282,C282,E282,F282)&gt;0,(LEN(SUBSTITUTE(SUBSTITUTE(SUBSTITUTE(B282," ",""),"0",""),"-",""))+LEN(SUBSTITUTE(SUBSTITUTE(SUBSTITUTE(C282," ",""),"0",""),"-","")))=(LEN(SUBSTITUTE(SUBSTITUTE(SUBSTITUTE(E282," ",""),"0",""),"-",""))+LEN(SUBSTITUTE(SUBSTITUTE(SUBSTITUTE(F282," ",""),"0",""),"-",""))))),1,0)+IF(OR(D283="X",D283="x",AND(COUNTA(B283,C283,E283,F283)&gt;0,(LEN(SUBSTITUTE(SUBSTITUTE(SUBSTITUTE(B283," ",""),"0",""),"-",""))+LEN(SUBSTITUTE(SUBSTITUTE(SUBSTITUTE(C283," ",""),"0",""),"-","")))=(LEN(SUBSTITUTE(SUBSTITUTE(SUBSTITUTE(E283," ",""),"0",""),"-",""))+LEN(SUBSTITUTE(SUBSTITUTE(SUBSTITUTE(F283," ",""),"0",""),"-",""))))),1,0)+IF(OR(D284="X",D284="x",AND(COUNTA(B284,C284,E284,F284)&gt;0,(LEN(SUBSTITUTE(SUBSTITUTE(SUBSTITUTE(B284," ",""),"0",""),"-",""))+LEN(SUBSTITUTE(SUBSTITUTE(SUBSTITUTE(C284," ",""),"0",""),"-","")))=(LEN(SUBSTITUTE(SUBSTITUTE(SUBSTITUTE(E284," ",""),"0",""),"-",""))+LEN(SUBSTITUTE(SUBSTITUTE(SUBSTITUTE(F284," ",""),"0",""),"-",""))))),1,0)+IF(OR(D285="X",D285="x",AND(COUNTA(B285,C285,E285,F285)&gt;0,(LEN(SUBSTITUTE(SUBSTITUTE(SUBSTITUTE(B285," ",""),"0",""),"-",""))+LEN(SUBSTITUTE(SUBSTITUTE(SUBSTITUTE(C285," ",""),"0",""),"-","")))=(LEN(SUBSTITUTE(SUBSTITUTE(SUBSTITUTE(E285," ",""),"0",""),"-",""))+LEN(SUBSTITUTE(SUBSTITUTE(SUBSTITUTE(F285," ",""),"0",""),"-",""))))),1,0)),0)</f>
      </c>
      <c r="E302" s="14" t="str">
        <f>E272+E280</f>
      </c>
      <c r="F302" s="14" t="str">
        <f>C272+C280</f>
      </c>
      <c r="I302" s="14" t="str">
        <f>data!$E$67&amp;" "&amp;data!$B$67</f>
      </c>
      <c r="J302" s="14" t="str">
        <f>IF(OR(COUNTA(J273:K277,M273:N277)&gt;0,OR(L272="X",L272="x"),UPPER(L273)="X",UPPER(L274)="X",UPPER(L275)="X",UPPER(L276)="X",UPPER(L277)="X"),N272,0)+IF(OR(COUNTA(J281:K285,M281:N285)&gt;0,OR(L280="X",L280="x"),UPPER(L281)="X",UPPER(L282)="X",UPPER(L283)="X",UPPER(L284)="X",UPPER(L285)="X"),N280,0)</f>
      </c>
      <c r="K302" s="14" t="str">
        <f>IF(OR(COUNTA(J273:K277,M273:N277)&gt;0,OR(L272="X",L272="x"),UPPER(L273)="X",UPPER(L274)="X",UPPER(L275)="X",UPPER(L276)="X",UPPER(L277)="X"),J272,0)+IF(OR(COUNTA(J281:K285,M281:N285)&gt;0,OR(L280="X",L280="x"),UPPER(L281)="X",UPPER(L282)="X",UPPER(L283)="X",UPPER(L284)="X",UPPER(L285)="X"),J280,0)</f>
      </c>
      <c r="L302" s="14" t="str">
        <f>IF(OR(COUNTA(J273:K277,M273:N277)&gt;0,OR(L272="X",L272="x"),UPPER(L273)="X",UPPER(L274)="X",UPPER(L275)="X",UPPER(L276)="X",UPPER(L277)="X"),(IF(OR(L273="X",L273="x",AND(COUNTA(J273,K273,M273,N273)&gt;0,(LEN(SUBSTITUTE(SUBSTITUTE(SUBSTITUTE(J273," ",""),"0",""),"-",""))+LEN(SUBSTITUTE(SUBSTITUTE(SUBSTITUTE(K273," ",""),"0",""),"-","")))=(LEN(SUBSTITUTE(SUBSTITUTE(SUBSTITUTE(M273," ",""),"0",""),"-",""))+LEN(SUBSTITUTE(SUBSTITUTE(SUBSTITUTE(N273," ",""),"0",""),"-",""))))),1,0)+IF(OR(L274="X",L274="x",AND(COUNTA(J274,K274,M274,N274)&gt;0,(LEN(SUBSTITUTE(SUBSTITUTE(SUBSTITUTE(J274," ",""),"0",""),"-",""))+LEN(SUBSTITUTE(SUBSTITUTE(SUBSTITUTE(K274," ",""),"0",""),"-","")))=(LEN(SUBSTITUTE(SUBSTITUTE(SUBSTITUTE(M274," ",""),"0",""),"-",""))+LEN(SUBSTITUTE(SUBSTITUTE(SUBSTITUTE(N274," ",""),"0",""),"-",""))))),1,0)+IF(OR(L275="X",L275="x",AND(COUNTA(J275,K275,M275,N275)&gt;0,(LEN(SUBSTITUTE(SUBSTITUTE(SUBSTITUTE(J275," ",""),"0",""),"-",""))+LEN(SUBSTITUTE(SUBSTITUTE(SUBSTITUTE(K275," ",""),"0",""),"-","")))=(LEN(SUBSTITUTE(SUBSTITUTE(SUBSTITUTE(M275," ",""),"0",""),"-",""))+LEN(SUBSTITUTE(SUBSTITUTE(SUBSTITUTE(N275," ",""),"0",""),"-",""))))),1,0)+IF(OR(L276="X",L276="x",AND(COUNTA(J276,K276,M276,N276)&gt;0,(LEN(SUBSTITUTE(SUBSTITUTE(SUBSTITUTE(J276," ",""),"0",""),"-",""))+LEN(SUBSTITUTE(SUBSTITUTE(SUBSTITUTE(K276," ",""),"0",""),"-","")))=(LEN(SUBSTITUTE(SUBSTITUTE(SUBSTITUTE(M276," ",""),"0",""),"-",""))+LEN(SUBSTITUTE(SUBSTITUTE(SUBSTITUTE(N276," ",""),"0",""),"-",""))))),1,0)+IF(OR(L277="X",L277="x",AND(COUNTA(J277,K277,M277,N277)&gt;0,(LEN(SUBSTITUTE(SUBSTITUTE(SUBSTITUTE(J277," ",""),"0",""),"-",""))+LEN(SUBSTITUTE(SUBSTITUTE(SUBSTITUTE(K277," ",""),"0",""),"-","")))=(LEN(SUBSTITUTE(SUBSTITUTE(SUBSTITUTE(M277," ",""),"0",""),"-",""))+LEN(SUBSTITUTE(SUBSTITUTE(SUBSTITUTE(N277," ",""),"0",""),"-",""))))),1,0)),0)+IF(OR(COUNTA(J281:K285,M281:N285)&gt;0,OR(L280="X",L280="x"),UPPER(L281)="X",UPPER(L282)="X",UPPER(L283)="X",UPPER(L284)="X",UPPER(L285)="X"),(IF(OR(L281="X",L281="x",AND(COUNTA(J281,K281,M281,N281)&gt;0,(LEN(SUBSTITUTE(SUBSTITUTE(SUBSTITUTE(J281," ",""),"0",""),"-",""))+LEN(SUBSTITUTE(SUBSTITUTE(SUBSTITUTE(K281," ",""),"0",""),"-","")))=(LEN(SUBSTITUTE(SUBSTITUTE(SUBSTITUTE(M281," ",""),"0",""),"-",""))+LEN(SUBSTITUTE(SUBSTITUTE(SUBSTITUTE(N281," ",""),"0",""),"-",""))))),1,0)+IF(OR(L282="X",L282="x",AND(COUNTA(J282,K282,M282,N282)&gt;0,(LEN(SUBSTITUTE(SUBSTITUTE(SUBSTITUTE(J282," ",""),"0",""),"-",""))+LEN(SUBSTITUTE(SUBSTITUTE(SUBSTITUTE(K282," ",""),"0",""),"-","")))=(LEN(SUBSTITUTE(SUBSTITUTE(SUBSTITUTE(M282," ",""),"0",""),"-",""))+LEN(SUBSTITUTE(SUBSTITUTE(SUBSTITUTE(N282," ",""),"0",""),"-",""))))),1,0)+IF(OR(L283="X",L283="x",AND(COUNTA(J283,K283,M283,N283)&gt;0,(LEN(SUBSTITUTE(SUBSTITUTE(SUBSTITUTE(J283," ",""),"0",""),"-",""))+LEN(SUBSTITUTE(SUBSTITUTE(SUBSTITUTE(K283," ",""),"0",""),"-","")))=(LEN(SUBSTITUTE(SUBSTITUTE(SUBSTITUTE(M283," ",""),"0",""),"-",""))+LEN(SUBSTITUTE(SUBSTITUTE(SUBSTITUTE(N283," ",""),"0",""),"-",""))))),1,0)+IF(OR(L284="X",L284="x",AND(COUNTA(J284,K284,M284,N284)&gt;0,(LEN(SUBSTITUTE(SUBSTITUTE(SUBSTITUTE(J284," ",""),"0",""),"-",""))+LEN(SUBSTITUTE(SUBSTITUTE(SUBSTITUTE(K284," ",""),"0",""),"-","")))=(LEN(SUBSTITUTE(SUBSTITUTE(SUBSTITUTE(M284," ",""),"0",""),"-",""))+LEN(SUBSTITUTE(SUBSTITUTE(SUBSTITUTE(N284," ",""),"0",""),"-",""))))),1,0)+IF(OR(L285="X",L285="x",AND(COUNTA(J285,K285,M285,N285)&gt;0,(LEN(SUBSTITUTE(SUBSTITUTE(SUBSTITUTE(J285," ",""),"0",""),"-",""))+LEN(SUBSTITUTE(SUBSTITUTE(SUBSTITUTE(K285," ",""),"0",""),"-","")))=(LEN(SUBSTITUTE(SUBSTITUTE(SUBSTITUTE(M285," ",""),"0",""),"-",""))+LEN(SUBSTITUTE(SUBSTITUTE(SUBSTITUTE(N285," ",""),"0",""),"-",""))))),1,0)),0)</f>
      </c>
      <c r="M302" s="14" t="str">
        <f>M272+M280</f>
      </c>
      <c r="N302" s="14" t="str">
        <f>K272+K280</f>
      </c>
    </row>
    <row r="303">
      <c r="A303" s="14" t="str">
        <f>data!$E$23&amp;" "&amp;data!$B$23</f>
      </c>
      <c r="B303" s="14" t="str">
        <f>IF(OR(COUNTA(B273:C277,E273:F277)&gt;0,OR(D272="X",D272="x"),UPPER(D273)="X",UPPER(D274)="X",UPPER(D275)="X",UPPER(D276)="X",UPPER(D277)="X"),B272,0)+IF(OR(COUNTA(B289:C293,E289:F293)&gt;0,OR(D288="X",D288="x"),UPPER(D289)="X",UPPER(D290)="X",UPPER(D291)="X",UPPER(D292)="X",UPPER(D293)="X"),F288,0)</f>
      </c>
      <c r="C303" s="14" t="str">
        <f>IF(OR(COUNTA(B273:C277,E273:F277)&gt;0,OR(D272="X",D272="x"),UPPER(D273)="X",UPPER(D274)="X",UPPER(D275)="X",UPPER(D276)="X",UPPER(D277)="X"),F272,0)+IF(OR(COUNTA(B289:C293,E289:F293)&gt;0,OR(D288="X",D288="x"),UPPER(D289)="X",UPPER(D290)="X",UPPER(D291)="X",UPPER(D292)="X",UPPER(D293)="X"),B288,0)</f>
      </c>
      <c r="D303" s="14" t="str">
        <f>IF(OR(COUNTA(B273:C277,E273:F277)&gt;0,OR(D272="X",D272="x"),UPPER(D273)="X",UPPER(D274)="X",UPPER(D275)="X",UPPER(D276)="X",UPPER(D277)="X"),(IF(OR(D273="X",D273="x",AND(COUNTA(B273,C273,E273,F273)&gt;0,(LEN(SUBSTITUTE(SUBSTITUTE(SUBSTITUTE(B273," ",""),"0",""),"-",""))+LEN(SUBSTITUTE(SUBSTITUTE(SUBSTITUTE(C273," ",""),"0",""),"-","")))=(LEN(SUBSTITUTE(SUBSTITUTE(SUBSTITUTE(E273," ",""),"0",""),"-",""))+LEN(SUBSTITUTE(SUBSTITUTE(SUBSTITUTE(F273," ",""),"0",""),"-",""))))),1,0)+IF(OR(D274="X",D274="x",AND(COUNTA(B274,C274,E274,F274)&gt;0,(LEN(SUBSTITUTE(SUBSTITUTE(SUBSTITUTE(B274," ",""),"0",""),"-",""))+LEN(SUBSTITUTE(SUBSTITUTE(SUBSTITUTE(C274," ",""),"0",""),"-","")))=(LEN(SUBSTITUTE(SUBSTITUTE(SUBSTITUTE(E274," ",""),"0",""),"-",""))+LEN(SUBSTITUTE(SUBSTITUTE(SUBSTITUTE(F274," ",""),"0",""),"-",""))))),1,0)+IF(OR(D275="X",D275="x",AND(COUNTA(B275,C275,E275,F275)&gt;0,(LEN(SUBSTITUTE(SUBSTITUTE(SUBSTITUTE(B275," ",""),"0",""),"-",""))+LEN(SUBSTITUTE(SUBSTITUTE(SUBSTITUTE(C275," ",""),"0",""),"-","")))=(LEN(SUBSTITUTE(SUBSTITUTE(SUBSTITUTE(E275," ",""),"0",""),"-",""))+LEN(SUBSTITUTE(SUBSTITUTE(SUBSTITUTE(F275," ",""),"0",""),"-",""))))),1,0)+IF(OR(D276="X",D276="x",AND(COUNTA(B276,C276,E276,F276)&gt;0,(LEN(SUBSTITUTE(SUBSTITUTE(SUBSTITUTE(B276," ",""),"0",""),"-",""))+LEN(SUBSTITUTE(SUBSTITUTE(SUBSTITUTE(C276," ",""),"0",""),"-","")))=(LEN(SUBSTITUTE(SUBSTITUTE(SUBSTITUTE(E276," ",""),"0",""),"-",""))+LEN(SUBSTITUTE(SUBSTITUTE(SUBSTITUTE(F276," ",""),"0",""),"-",""))))),1,0)+IF(OR(D277="X",D277="x",AND(COUNTA(B277,C277,E277,F277)&gt;0,(LEN(SUBSTITUTE(SUBSTITUTE(SUBSTITUTE(B277," ",""),"0",""),"-",""))+LEN(SUBSTITUTE(SUBSTITUTE(SUBSTITUTE(C277," ",""),"0",""),"-","")))=(LEN(SUBSTITUTE(SUBSTITUTE(SUBSTITUTE(E277," ",""),"0",""),"-",""))+LEN(SUBSTITUTE(SUBSTITUTE(SUBSTITUTE(F277," ",""),"0",""),"-",""))))),1,0)),0)+IF(OR(COUNTA(B289:C293,E289:F293)&gt;0,OR(D288="X",D288="x"),UPPER(D289)="X",UPPER(D290)="X",UPPER(D291)="X",UPPER(D292)="X",UPPER(D293)="X"),(IF(OR(D289="X",D289="x",AND(COUNTA(B289,C289,E289,F289)&gt;0,(LEN(SUBSTITUTE(SUBSTITUTE(SUBSTITUTE(B289," ",""),"0",""),"-",""))+LEN(SUBSTITUTE(SUBSTITUTE(SUBSTITUTE(C289," ",""),"0",""),"-","")))=(LEN(SUBSTITUTE(SUBSTITUTE(SUBSTITUTE(E289," ",""),"0",""),"-",""))+LEN(SUBSTITUTE(SUBSTITUTE(SUBSTITUTE(F289," ",""),"0",""),"-",""))))),1,0)+IF(OR(D290="X",D290="x",AND(COUNTA(B290,C290,E290,F290)&gt;0,(LEN(SUBSTITUTE(SUBSTITUTE(SUBSTITUTE(B290," ",""),"0",""),"-",""))+LEN(SUBSTITUTE(SUBSTITUTE(SUBSTITUTE(C290," ",""),"0",""),"-","")))=(LEN(SUBSTITUTE(SUBSTITUTE(SUBSTITUTE(E290," ",""),"0",""),"-",""))+LEN(SUBSTITUTE(SUBSTITUTE(SUBSTITUTE(F290," ",""),"0",""),"-",""))))),1,0)+IF(OR(D291="X",D291="x",AND(COUNTA(B291,C291,E291,F291)&gt;0,(LEN(SUBSTITUTE(SUBSTITUTE(SUBSTITUTE(B291," ",""),"0",""),"-",""))+LEN(SUBSTITUTE(SUBSTITUTE(SUBSTITUTE(C291," ",""),"0",""),"-","")))=(LEN(SUBSTITUTE(SUBSTITUTE(SUBSTITUTE(E291," ",""),"0",""),"-",""))+LEN(SUBSTITUTE(SUBSTITUTE(SUBSTITUTE(F291," ",""),"0",""),"-",""))))),1,0)+IF(OR(D292="X",D292="x",AND(COUNTA(B292,C292,E292,F292)&gt;0,(LEN(SUBSTITUTE(SUBSTITUTE(SUBSTITUTE(B292," ",""),"0",""),"-",""))+LEN(SUBSTITUTE(SUBSTITUTE(SUBSTITUTE(C292," ",""),"0",""),"-","")))=(LEN(SUBSTITUTE(SUBSTITUTE(SUBSTITUTE(E292," ",""),"0",""),"-",""))+LEN(SUBSTITUTE(SUBSTITUTE(SUBSTITUTE(F292," ",""),"0",""),"-",""))))),1,0)+IF(OR(D293="X",D293="x",AND(COUNTA(B293,C293,E293,F293)&gt;0,(LEN(SUBSTITUTE(SUBSTITUTE(SUBSTITUTE(B293," ",""),"0",""),"-",""))+LEN(SUBSTITUTE(SUBSTITUTE(SUBSTITUTE(C293," ",""),"0",""),"-","")))=(LEN(SUBSTITUTE(SUBSTITUTE(SUBSTITUTE(E293," ",""),"0",""),"-",""))+LEN(SUBSTITUTE(SUBSTITUTE(SUBSTITUTE(F293," ",""),"0",""),"-",""))))),1,0)),0)</f>
      </c>
      <c r="E303" s="14" t="str">
        <f>C272+E288</f>
      </c>
      <c r="F303" s="14" t="str">
        <f>E272+C288</f>
      </c>
      <c r="I303" s="14" t="str">
        <f>data!$E$68&amp;" "&amp;data!$B$68</f>
      </c>
      <c r="J303" s="14" t="str">
        <f>IF(OR(COUNTA(J273:K277,M273:N277)&gt;0,OR(L272="X",L272="x"),UPPER(L273)="X",UPPER(L274)="X",UPPER(L275)="X",UPPER(L276)="X",UPPER(L277)="X"),J272,0)+IF(OR(COUNTA(J289:K293,M289:N293)&gt;0,OR(L288="X",L288="x"),UPPER(L289)="X",UPPER(L290)="X",UPPER(L291)="X",UPPER(L292)="X",UPPER(L293)="X"),N288,0)</f>
      </c>
      <c r="K303" s="14" t="str">
        <f>IF(OR(COUNTA(J273:K277,M273:N277)&gt;0,OR(L272="X",L272="x"),UPPER(L273)="X",UPPER(L274)="X",UPPER(L275)="X",UPPER(L276)="X",UPPER(L277)="X"),N272,0)+IF(OR(COUNTA(J289:K293,M289:N293)&gt;0,OR(L288="X",L288="x"),UPPER(L289)="X",UPPER(L290)="X",UPPER(L291)="X",UPPER(L292)="X",UPPER(L293)="X"),J288,0)</f>
      </c>
      <c r="L303" s="14" t="str">
        <f>IF(OR(COUNTA(J273:K277,M273:N277)&gt;0,OR(L272="X",L272="x"),UPPER(L273)="X",UPPER(L274)="X",UPPER(L275)="X",UPPER(L276)="X",UPPER(L277)="X"),(IF(OR(L273="X",L273="x",AND(COUNTA(J273,K273,M273,N273)&gt;0,(LEN(SUBSTITUTE(SUBSTITUTE(SUBSTITUTE(J273," ",""),"0",""),"-",""))+LEN(SUBSTITUTE(SUBSTITUTE(SUBSTITUTE(K273," ",""),"0",""),"-","")))=(LEN(SUBSTITUTE(SUBSTITUTE(SUBSTITUTE(M273," ",""),"0",""),"-",""))+LEN(SUBSTITUTE(SUBSTITUTE(SUBSTITUTE(N273," ",""),"0",""),"-",""))))),1,0)+IF(OR(L274="X",L274="x",AND(COUNTA(J274,K274,M274,N274)&gt;0,(LEN(SUBSTITUTE(SUBSTITUTE(SUBSTITUTE(J274," ",""),"0",""),"-",""))+LEN(SUBSTITUTE(SUBSTITUTE(SUBSTITUTE(K274," ",""),"0",""),"-","")))=(LEN(SUBSTITUTE(SUBSTITUTE(SUBSTITUTE(M274," ",""),"0",""),"-",""))+LEN(SUBSTITUTE(SUBSTITUTE(SUBSTITUTE(N274," ",""),"0",""),"-",""))))),1,0)+IF(OR(L275="X",L275="x",AND(COUNTA(J275,K275,M275,N275)&gt;0,(LEN(SUBSTITUTE(SUBSTITUTE(SUBSTITUTE(J275," ",""),"0",""),"-",""))+LEN(SUBSTITUTE(SUBSTITUTE(SUBSTITUTE(K275," ",""),"0",""),"-","")))=(LEN(SUBSTITUTE(SUBSTITUTE(SUBSTITUTE(M275," ",""),"0",""),"-",""))+LEN(SUBSTITUTE(SUBSTITUTE(SUBSTITUTE(N275," ",""),"0",""),"-",""))))),1,0)+IF(OR(L276="X",L276="x",AND(COUNTA(J276,K276,M276,N276)&gt;0,(LEN(SUBSTITUTE(SUBSTITUTE(SUBSTITUTE(J276," ",""),"0",""),"-",""))+LEN(SUBSTITUTE(SUBSTITUTE(SUBSTITUTE(K276," ",""),"0",""),"-","")))=(LEN(SUBSTITUTE(SUBSTITUTE(SUBSTITUTE(M276," ",""),"0",""),"-",""))+LEN(SUBSTITUTE(SUBSTITUTE(SUBSTITUTE(N276," ",""),"0",""),"-",""))))),1,0)+IF(OR(L277="X",L277="x",AND(COUNTA(J277,K277,M277,N277)&gt;0,(LEN(SUBSTITUTE(SUBSTITUTE(SUBSTITUTE(J277," ",""),"0",""),"-",""))+LEN(SUBSTITUTE(SUBSTITUTE(SUBSTITUTE(K277," ",""),"0",""),"-","")))=(LEN(SUBSTITUTE(SUBSTITUTE(SUBSTITUTE(M277," ",""),"0",""),"-",""))+LEN(SUBSTITUTE(SUBSTITUTE(SUBSTITUTE(N277," ",""),"0",""),"-",""))))),1,0)),0)+IF(OR(COUNTA(J289:K293,M289:N293)&gt;0,OR(L288="X",L288="x"),UPPER(L289)="X",UPPER(L290)="X",UPPER(L291)="X",UPPER(L292)="X",UPPER(L293)="X"),(IF(OR(L289="X",L289="x",AND(COUNTA(J289,K289,M289,N289)&gt;0,(LEN(SUBSTITUTE(SUBSTITUTE(SUBSTITUTE(J289," ",""),"0",""),"-",""))+LEN(SUBSTITUTE(SUBSTITUTE(SUBSTITUTE(K289," ",""),"0",""),"-","")))=(LEN(SUBSTITUTE(SUBSTITUTE(SUBSTITUTE(M289," ",""),"0",""),"-",""))+LEN(SUBSTITUTE(SUBSTITUTE(SUBSTITUTE(N289," ",""),"0",""),"-",""))))),1,0)+IF(OR(L290="X",L290="x",AND(COUNTA(J290,K290,M290,N290)&gt;0,(LEN(SUBSTITUTE(SUBSTITUTE(SUBSTITUTE(J290," ",""),"0",""),"-",""))+LEN(SUBSTITUTE(SUBSTITUTE(SUBSTITUTE(K290," ",""),"0",""),"-","")))=(LEN(SUBSTITUTE(SUBSTITUTE(SUBSTITUTE(M290," ",""),"0",""),"-",""))+LEN(SUBSTITUTE(SUBSTITUTE(SUBSTITUTE(N290," ",""),"0",""),"-",""))))),1,0)+IF(OR(L291="X",L291="x",AND(COUNTA(J291,K291,M291,N291)&gt;0,(LEN(SUBSTITUTE(SUBSTITUTE(SUBSTITUTE(J291," ",""),"0",""),"-",""))+LEN(SUBSTITUTE(SUBSTITUTE(SUBSTITUTE(K291," ",""),"0",""),"-","")))=(LEN(SUBSTITUTE(SUBSTITUTE(SUBSTITUTE(M291," ",""),"0",""),"-",""))+LEN(SUBSTITUTE(SUBSTITUTE(SUBSTITUTE(N291," ",""),"0",""),"-",""))))),1,0)+IF(OR(L292="X",L292="x",AND(COUNTA(J292,K292,M292,N292)&gt;0,(LEN(SUBSTITUTE(SUBSTITUTE(SUBSTITUTE(J292," ",""),"0",""),"-",""))+LEN(SUBSTITUTE(SUBSTITUTE(SUBSTITUTE(K292," ",""),"0",""),"-","")))=(LEN(SUBSTITUTE(SUBSTITUTE(SUBSTITUTE(M292," ",""),"0",""),"-",""))+LEN(SUBSTITUTE(SUBSTITUTE(SUBSTITUTE(N292," ",""),"0",""),"-",""))))),1,0)+IF(OR(L293="X",L293="x",AND(COUNTA(J293,K293,M293,N293)&gt;0,(LEN(SUBSTITUTE(SUBSTITUTE(SUBSTITUTE(J293," ",""),"0",""),"-",""))+LEN(SUBSTITUTE(SUBSTITUTE(SUBSTITUTE(K293," ",""),"0",""),"-","")))=(LEN(SUBSTITUTE(SUBSTITUTE(SUBSTITUTE(M293," ",""),"0",""),"-",""))+LEN(SUBSTITUTE(SUBSTITUTE(SUBSTITUTE(N293," ",""),"0",""),"-",""))))),1,0)),0)</f>
      </c>
      <c r="M303" s="14" t="str">
        <f>K272+M288</f>
      </c>
      <c r="N303" s="14" t="str">
        <f>M272+K288</f>
      </c>
    </row>
    <row r="304">
      <c r="A304" s="14" t="str">
        <f>data!$E$24&amp;" "&amp;data!$B$24</f>
      </c>
      <c r="B304" s="14" t="str">
        <f>IF(OR(COUNTA(B281:C285,E281:F285)&gt;0,OR(D280="X",D280="x"),UPPER(D281)="X",UPPER(D282)="X",UPPER(D283)="X",UPPER(D284)="X",UPPER(D285)="X"),B280,0)+IF(OR(COUNTA(B289:C293,E289:F293)&gt;0,OR(D288="X",D288="x"),UPPER(D289)="X",UPPER(D290)="X",UPPER(D291)="X",UPPER(D292)="X",UPPER(D293)="X"),B288,0)</f>
      </c>
      <c r="C304" s="14" t="str">
        <f>IF(OR(COUNTA(B281:C285,E281:F285)&gt;0,OR(D280="X",D280="x"),UPPER(D281)="X",UPPER(D282)="X",UPPER(D283)="X",UPPER(D284)="X",UPPER(D285)="X"),F280,0)+IF(OR(COUNTA(B289:C293,E289:F293)&gt;0,OR(D288="X",D288="x"),UPPER(D289)="X",UPPER(D290)="X",UPPER(D291)="X",UPPER(D292)="X",UPPER(D293)="X"),F288,0)</f>
      </c>
      <c r="D304" s="14" t="str">
        <f>IF(OR(COUNTA(B281:C285,E281:F285)&gt;0,OR(D280="X",D280="x"),UPPER(D281)="X",UPPER(D282)="X",UPPER(D283)="X",UPPER(D284)="X",UPPER(D285)="X"),(IF(OR(D281="X",D281="x",AND(COUNTA(B281,C281,E281,F281)&gt;0,(LEN(SUBSTITUTE(SUBSTITUTE(SUBSTITUTE(B281," ",""),"0",""),"-",""))+LEN(SUBSTITUTE(SUBSTITUTE(SUBSTITUTE(C281," ",""),"0",""),"-","")))=(LEN(SUBSTITUTE(SUBSTITUTE(SUBSTITUTE(E281," ",""),"0",""),"-",""))+LEN(SUBSTITUTE(SUBSTITUTE(SUBSTITUTE(F281," ",""),"0",""),"-",""))))),1,0)+IF(OR(D282="X",D282="x",AND(COUNTA(B282,C282,E282,F282)&gt;0,(LEN(SUBSTITUTE(SUBSTITUTE(SUBSTITUTE(B282," ",""),"0",""),"-",""))+LEN(SUBSTITUTE(SUBSTITUTE(SUBSTITUTE(C282," ",""),"0",""),"-","")))=(LEN(SUBSTITUTE(SUBSTITUTE(SUBSTITUTE(E282," ",""),"0",""),"-",""))+LEN(SUBSTITUTE(SUBSTITUTE(SUBSTITUTE(F282," ",""),"0",""),"-",""))))),1,0)+IF(OR(D283="X",D283="x",AND(COUNTA(B283,C283,E283,F283)&gt;0,(LEN(SUBSTITUTE(SUBSTITUTE(SUBSTITUTE(B283," ",""),"0",""),"-",""))+LEN(SUBSTITUTE(SUBSTITUTE(SUBSTITUTE(C283," ",""),"0",""),"-","")))=(LEN(SUBSTITUTE(SUBSTITUTE(SUBSTITUTE(E283," ",""),"0",""),"-",""))+LEN(SUBSTITUTE(SUBSTITUTE(SUBSTITUTE(F283," ",""),"0",""),"-",""))))),1,0)+IF(OR(D284="X",D284="x",AND(COUNTA(B284,C284,E284,F284)&gt;0,(LEN(SUBSTITUTE(SUBSTITUTE(SUBSTITUTE(B284," ",""),"0",""),"-",""))+LEN(SUBSTITUTE(SUBSTITUTE(SUBSTITUTE(C284," ",""),"0",""),"-","")))=(LEN(SUBSTITUTE(SUBSTITUTE(SUBSTITUTE(E284," ",""),"0",""),"-",""))+LEN(SUBSTITUTE(SUBSTITUTE(SUBSTITUTE(F284," ",""),"0",""),"-",""))))),1,0)+IF(OR(D285="X",D285="x",AND(COUNTA(B285,C285,E285,F285)&gt;0,(LEN(SUBSTITUTE(SUBSTITUTE(SUBSTITUTE(B285," ",""),"0",""),"-",""))+LEN(SUBSTITUTE(SUBSTITUTE(SUBSTITUTE(C285," ",""),"0",""),"-","")))=(LEN(SUBSTITUTE(SUBSTITUTE(SUBSTITUTE(E285," ",""),"0",""),"-",""))+LEN(SUBSTITUTE(SUBSTITUTE(SUBSTITUTE(F285," ",""),"0",""),"-",""))))),1,0)),0)+IF(OR(COUNTA(B289:C293,E289:F293)&gt;0,OR(D288="X",D288="x"),UPPER(D289)="X",UPPER(D290)="X",UPPER(D291)="X",UPPER(D292)="X",UPPER(D293)="X"),(IF(OR(D289="X",D289="x",AND(COUNTA(B289,C289,E289,F289)&gt;0,(LEN(SUBSTITUTE(SUBSTITUTE(SUBSTITUTE(B289," ",""),"0",""),"-",""))+LEN(SUBSTITUTE(SUBSTITUTE(SUBSTITUTE(C289," ",""),"0",""),"-","")))=(LEN(SUBSTITUTE(SUBSTITUTE(SUBSTITUTE(E289," ",""),"0",""),"-",""))+LEN(SUBSTITUTE(SUBSTITUTE(SUBSTITUTE(F289," ",""),"0",""),"-",""))))),1,0)+IF(OR(D290="X",D290="x",AND(COUNTA(B290,C290,E290,F290)&gt;0,(LEN(SUBSTITUTE(SUBSTITUTE(SUBSTITUTE(B290," ",""),"0",""),"-",""))+LEN(SUBSTITUTE(SUBSTITUTE(SUBSTITUTE(C290," ",""),"0",""),"-","")))=(LEN(SUBSTITUTE(SUBSTITUTE(SUBSTITUTE(E290," ",""),"0",""),"-",""))+LEN(SUBSTITUTE(SUBSTITUTE(SUBSTITUTE(F290," ",""),"0",""),"-",""))))),1,0)+IF(OR(D291="X",D291="x",AND(COUNTA(B291,C291,E291,F291)&gt;0,(LEN(SUBSTITUTE(SUBSTITUTE(SUBSTITUTE(B291," ",""),"0",""),"-",""))+LEN(SUBSTITUTE(SUBSTITUTE(SUBSTITUTE(C291," ",""),"0",""),"-","")))=(LEN(SUBSTITUTE(SUBSTITUTE(SUBSTITUTE(E291," ",""),"0",""),"-",""))+LEN(SUBSTITUTE(SUBSTITUTE(SUBSTITUTE(F291," ",""),"0",""),"-",""))))),1,0)+IF(OR(D292="X",D292="x",AND(COUNTA(B292,C292,E292,F292)&gt;0,(LEN(SUBSTITUTE(SUBSTITUTE(SUBSTITUTE(B292," ",""),"0",""),"-",""))+LEN(SUBSTITUTE(SUBSTITUTE(SUBSTITUTE(C292," ",""),"0",""),"-","")))=(LEN(SUBSTITUTE(SUBSTITUTE(SUBSTITUTE(E292," ",""),"0",""),"-",""))+LEN(SUBSTITUTE(SUBSTITUTE(SUBSTITUTE(F292," ",""),"0",""),"-",""))))),1,0)+IF(OR(D293="X",D293="x",AND(COUNTA(B293,C293,E293,F293)&gt;0,(LEN(SUBSTITUTE(SUBSTITUTE(SUBSTITUTE(B293," ",""),"0",""),"-",""))+LEN(SUBSTITUTE(SUBSTITUTE(SUBSTITUTE(C293," ",""),"0",""),"-","")))=(LEN(SUBSTITUTE(SUBSTITUTE(SUBSTITUTE(E293," ",""),"0",""),"-",""))+LEN(SUBSTITUTE(SUBSTITUTE(SUBSTITUTE(F293," ",""),"0",""),"-",""))))),1,0)),0)</f>
      </c>
      <c r="E304" s="14" t="str">
        <f>C280+C288</f>
      </c>
      <c r="F304" s="14" t="str">
        <f>E280+E288</f>
      </c>
      <c r="I304" s="14" t="str">
        <f>data!$E$69&amp;" "&amp;data!$B$69</f>
      </c>
      <c r="J304" s="14" t="str">
        <f>IF(OR(COUNTA(J281:K285,M281:N285)&gt;0,OR(L280="X",L280="x"),UPPER(L281)="X",UPPER(L282)="X",UPPER(L283)="X",UPPER(L284)="X",UPPER(L285)="X"),J280,0)+IF(OR(COUNTA(J289:K293,M289:N293)&gt;0,OR(L288="X",L288="x"),UPPER(L289)="X",UPPER(L290)="X",UPPER(L291)="X",UPPER(L292)="X",UPPER(L293)="X"),J288,0)</f>
      </c>
      <c r="K304" s="14" t="str">
        <f>IF(OR(COUNTA(J281:K285,M281:N285)&gt;0,OR(L280="X",L280="x"),UPPER(L281)="X",UPPER(L282)="X",UPPER(L283)="X",UPPER(L284)="X",UPPER(L285)="X"),N280,0)+IF(OR(COUNTA(J289:K293,M289:N293)&gt;0,OR(L288="X",L288="x"),UPPER(L289)="X",UPPER(L290)="X",UPPER(L291)="X",UPPER(L292)="X",UPPER(L293)="X"),N288,0)</f>
      </c>
      <c r="L304" s="14" t="str">
        <f>IF(OR(COUNTA(J281:K285,M281:N285)&gt;0,OR(L280="X",L280="x"),UPPER(L281)="X",UPPER(L282)="X",UPPER(L283)="X",UPPER(L284)="X",UPPER(L285)="X"),(IF(OR(L281="X",L281="x",AND(COUNTA(J281,K281,M281,N281)&gt;0,(LEN(SUBSTITUTE(SUBSTITUTE(SUBSTITUTE(J281," ",""),"0",""),"-",""))+LEN(SUBSTITUTE(SUBSTITUTE(SUBSTITUTE(K281," ",""),"0",""),"-","")))=(LEN(SUBSTITUTE(SUBSTITUTE(SUBSTITUTE(M281," ",""),"0",""),"-",""))+LEN(SUBSTITUTE(SUBSTITUTE(SUBSTITUTE(N281," ",""),"0",""),"-",""))))),1,0)+IF(OR(L282="X",L282="x",AND(COUNTA(J282,K282,M282,N282)&gt;0,(LEN(SUBSTITUTE(SUBSTITUTE(SUBSTITUTE(J282," ",""),"0",""),"-",""))+LEN(SUBSTITUTE(SUBSTITUTE(SUBSTITUTE(K282," ",""),"0",""),"-","")))=(LEN(SUBSTITUTE(SUBSTITUTE(SUBSTITUTE(M282," ",""),"0",""),"-",""))+LEN(SUBSTITUTE(SUBSTITUTE(SUBSTITUTE(N282," ",""),"0",""),"-",""))))),1,0)+IF(OR(L283="X",L283="x",AND(COUNTA(J283,K283,M283,N283)&gt;0,(LEN(SUBSTITUTE(SUBSTITUTE(SUBSTITUTE(J283," ",""),"0",""),"-",""))+LEN(SUBSTITUTE(SUBSTITUTE(SUBSTITUTE(K283," ",""),"0",""),"-","")))=(LEN(SUBSTITUTE(SUBSTITUTE(SUBSTITUTE(M283," ",""),"0",""),"-",""))+LEN(SUBSTITUTE(SUBSTITUTE(SUBSTITUTE(N283," ",""),"0",""),"-",""))))),1,0)+IF(OR(L284="X",L284="x",AND(COUNTA(J284,K284,M284,N284)&gt;0,(LEN(SUBSTITUTE(SUBSTITUTE(SUBSTITUTE(J284," ",""),"0",""),"-",""))+LEN(SUBSTITUTE(SUBSTITUTE(SUBSTITUTE(K284," ",""),"0",""),"-","")))=(LEN(SUBSTITUTE(SUBSTITUTE(SUBSTITUTE(M284," ",""),"0",""),"-",""))+LEN(SUBSTITUTE(SUBSTITUTE(SUBSTITUTE(N284," ",""),"0",""),"-",""))))),1,0)+IF(OR(L285="X",L285="x",AND(COUNTA(J285,K285,M285,N285)&gt;0,(LEN(SUBSTITUTE(SUBSTITUTE(SUBSTITUTE(J285," ",""),"0",""),"-",""))+LEN(SUBSTITUTE(SUBSTITUTE(SUBSTITUTE(K285," ",""),"0",""),"-","")))=(LEN(SUBSTITUTE(SUBSTITUTE(SUBSTITUTE(M285," ",""),"0",""),"-",""))+LEN(SUBSTITUTE(SUBSTITUTE(SUBSTITUTE(N285," ",""),"0",""),"-",""))))),1,0)),0)+IF(OR(COUNTA(J289:K293,M289:N293)&gt;0,OR(L288="X",L288="x"),UPPER(L289)="X",UPPER(L290)="X",UPPER(L291)="X",UPPER(L292)="X",UPPER(L293)="X"),(IF(OR(L289="X",L289="x",AND(COUNTA(J289,K289,M289,N289)&gt;0,(LEN(SUBSTITUTE(SUBSTITUTE(SUBSTITUTE(J289," ",""),"0",""),"-",""))+LEN(SUBSTITUTE(SUBSTITUTE(SUBSTITUTE(K289," ",""),"0",""),"-","")))=(LEN(SUBSTITUTE(SUBSTITUTE(SUBSTITUTE(M289," ",""),"0",""),"-",""))+LEN(SUBSTITUTE(SUBSTITUTE(SUBSTITUTE(N289," ",""),"0",""),"-",""))))),1,0)+IF(OR(L290="X",L290="x",AND(COUNTA(J290,K290,M290,N290)&gt;0,(LEN(SUBSTITUTE(SUBSTITUTE(SUBSTITUTE(J290," ",""),"0",""),"-",""))+LEN(SUBSTITUTE(SUBSTITUTE(SUBSTITUTE(K290," ",""),"0",""),"-","")))=(LEN(SUBSTITUTE(SUBSTITUTE(SUBSTITUTE(M290," ",""),"0",""),"-",""))+LEN(SUBSTITUTE(SUBSTITUTE(SUBSTITUTE(N290," ",""),"0",""),"-",""))))),1,0)+IF(OR(L291="X",L291="x",AND(COUNTA(J291,K291,M291,N291)&gt;0,(LEN(SUBSTITUTE(SUBSTITUTE(SUBSTITUTE(J291," ",""),"0",""),"-",""))+LEN(SUBSTITUTE(SUBSTITUTE(SUBSTITUTE(K291," ",""),"0",""),"-","")))=(LEN(SUBSTITUTE(SUBSTITUTE(SUBSTITUTE(M291," ",""),"0",""),"-",""))+LEN(SUBSTITUTE(SUBSTITUTE(SUBSTITUTE(N291," ",""),"0",""),"-",""))))),1,0)+IF(OR(L292="X",L292="x",AND(COUNTA(J292,K292,M292,N292)&gt;0,(LEN(SUBSTITUTE(SUBSTITUTE(SUBSTITUTE(J292," ",""),"0",""),"-",""))+LEN(SUBSTITUTE(SUBSTITUTE(SUBSTITUTE(K292," ",""),"0",""),"-","")))=(LEN(SUBSTITUTE(SUBSTITUTE(SUBSTITUTE(M292," ",""),"0",""),"-",""))+LEN(SUBSTITUTE(SUBSTITUTE(SUBSTITUTE(N292," ",""),"0",""),"-",""))))),1,0)+IF(OR(L293="X",L293="x",AND(COUNTA(J293,K293,M293,N293)&gt;0,(LEN(SUBSTITUTE(SUBSTITUTE(SUBSTITUTE(J293," ",""),"0",""),"-",""))+LEN(SUBSTITUTE(SUBSTITUTE(SUBSTITUTE(K293," ",""),"0",""),"-","")))=(LEN(SUBSTITUTE(SUBSTITUTE(SUBSTITUTE(M293," ",""),"0",""),"-",""))+LEN(SUBSTITUTE(SUBSTITUTE(SUBSTITUTE(N293," ",""),"0",""),"-",""))))),1,0)),0)</f>
      </c>
      <c r="M304" s="14" t="str">
        <f>K280+K288</f>
      </c>
      <c r="N304" s="14" t="str">
        <f>M280+M288</f>
      </c>
    </row>
    <row r="307">
      <c r="F307" s="13"/>
      <c r="G307" s="13" t="s">
        <v>343</v>
      </c>
      <c r="N307" s="13"/>
      <c r="O307" s="13" t="s">
        <v>343</v>
      </c>
    </row>
    <row r="308">
      <c r="F308" t="s">
        <v>344</v>
      </c>
      <c r="G308" s="19" t="str">
        <f>IFERROR(INDEX($A$297:$A$304, MATCH(1, $G$297:$G$304, 0)), "-")</f>
      </c>
      <c r="N308" t="s">
        <v>344</v>
      </c>
      <c r="O308" s="19" t="str">
        <f>IFERROR(INDEX($I$297:$I$304, MATCH(1, $O$297:$O$304, 0)), "-")</f>
      </c>
    </row>
    <row r="309">
      <c r="F309" t="s">
        <v>345</v>
      </c>
      <c r="G309" s="19" t="str">
        <f>IFERROR(INDEX($A$297:$A$304, MATCH(2, $G$297:$G$304, 0)), "-")</f>
      </c>
      <c r="N309" t="s">
        <v>345</v>
      </c>
      <c r="O309" s="19" t="str">
        <f>IFERROR(INDEX($I$297:$I$304, MATCH(2, $O$297:$O$304, 0)), "-")</f>
      </c>
    </row>
    <row r="310">
      <c r="F310" t="s">
        <v>346</v>
      </c>
      <c r="G310" s="19" t="str">
        <f>IFERROR(INDEX($A$297:$A$304, MATCH(3, $G$297:$G$304, 0)), "-")</f>
      </c>
      <c r="N310" t="s">
        <v>346</v>
      </c>
      <c r="O310" s="19" t="str">
        <f>IFERROR(INDEX($I$297:$I$304, MATCH(3, $O$297:$O$304, 0)), "-")</f>
      </c>
    </row>
    <row r="313">
      <c r="A313" s="13" t="str">
        <f>'data'!$A$27</f>
      </c>
      <c r="B313" s="13"/>
      <c r="C313" s="13"/>
      <c r="D313" s="13"/>
      <c r="E313" s="13"/>
      <c r="F313" s="13"/>
      <c r="G313" s="13"/>
      <c r="I313" s="13" t="str">
        <f>'data'!$A$72</f>
      </c>
      <c r="J313" s="13"/>
      <c r="K313" s="13"/>
      <c r="L313" s="13"/>
      <c r="M313" s="13"/>
      <c r="N313" s="13"/>
      <c r="O313" s="13"/>
    </row>
    <row r="314">
      <c r="A314" s="17" t="s">
        <v>330</v>
      </c>
      <c r="B314" s="14"/>
      <c r="C314" s="14"/>
      <c r="D314" s="14" t="s">
        <v>331</v>
      </c>
      <c r="E314" s="14"/>
      <c r="F314" s="14"/>
      <c r="G314" s="16" t="s">
        <v>332</v>
      </c>
      <c r="I314" s="17" t="s">
        <v>330</v>
      </c>
      <c r="J314" s="14"/>
      <c r="K314" s="14"/>
      <c r="L314" s="14" t="s">
        <v>331</v>
      </c>
      <c r="M314" s="14"/>
      <c r="N314" s="14"/>
      <c r="O314" s="16" t="s">
        <v>332</v>
      </c>
    </row>
    <row r="315">
      <c r="A315" s="14" t="str">
        <f>data!$E$26&amp;" "&amp;data!$B$26</f>
      </c>
      <c r="B315" s="14" t="str">
        <f>IF(UPPER(D316)="X",0,IF((LEN(SUBSTITUTE(SUBSTITUTE(SUBSTITUTE(B316," ",""),"0",""),"-",""))+LEN(SUBSTITUTE(SUBSTITUTE(SUBSTITUTE(C316," ",""),"0",""),"-","")))&gt;(LEN(SUBSTITUTE(SUBSTITUTE(SUBSTITUTE(E316," ",""),"0",""),"-",""))+LEN(SUBSTITUTE(SUBSTITUTE(SUBSTITUTE(F316," ",""),"0",""),"-",""))),1,0))+IF(UPPER(D317)="X",0,IF((LEN(SUBSTITUTE(SUBSTITUTE(SUBSTITUTE(B317," ",""),"0",""),"-",""))+LEN(SUBSTITUTE(SUBSTITUTE(SUBSTITUTE(C317," ",""),"0",""),"-","")))&gt;(LEN(SUBSTITUTE(SUBSTITUTE(SUBSTITUTE(E317," ",""),"0",""),"-",""))+LEN(SUBSTITUTE(SUBSTITUTE(SUBSTITUTE(F317," ",""),"0",""),"-",""))),1,0))+IF(UPPER(D318)="X",0,IF((LEN(SUBSTITUTE(SUBSTITUTE(SUBSTITUTE(B318," ",""),"0",""),"-",""))+LEN(SUBSTITUTE(SUBSTITUTE(SUBSTITUTE(C318," ",""),"0",""),"-","")))&gt;(LEN(SUBSTITUTE(SUBSTITUTE(SUBSTITUTE(E318," ",""),"0",""),"-",""))+LEN(SUBSTITUTE(SUBSTITUTE(SUBSTITUTE(F318," ",""),"0",""),"-",""))),1,0))+IF(UPPER(D319)="X",0,IF((LEN(SUBSTITUTE(SUBSTITUTE(SUBSTITUTE(B319," ",""),"0",""),"-",""))+LEN(SUBSTITUTE(SUBSTITUTE(SUBSTITUTE(C319," ",""),"0",""),"-","")))&gt;(LEN(SUBSTITUTE(SUBSTITUTE(SUBSTITUTE(E319," ",""),"0",""),"-",""))+LEN(SUBSTITUTE(SUBSTITUTE(SUBSTITUTE(F319," ",""),"0",""),"-",""))),1,0))+IF(UPPER(D320)="X",0,IF((LEN(SUBSTITUTE(SUBSTITUTE(SUBSTITUTE(B320," ",""),"0",""),"-",""))+LEN(SUBSTITUTE(SUBSTITUTE(SUBSTITUTE(C320," ",""),"0",""),"-","")))&gt;(LEN(SUBSTITUTE(SUBSTITUTE(SUBSTITUTE(E320," ",""),"0",""),"-",""))+LEN(SUBSTITUTE(SUBSTITUTE(SUBSTITUTE(F320," ",""),"0",""),"-",""))),1,0))</f>
      </c>
      <c r="C315" s="14" t="str">
        <f>LEN(SUBSTITUTE(SUBSTITUTE(SUBSTITUTE(B316," ",""),"0",""),"-",""))+LEN(SUBSTITUTE(SUBSTITUTE(SUBSTITUTE(C316," ",""),"0",""),"-",""))+LEN(SUBSTITUTE(SUBSTITUTE(SUBSTITUTE(B317," ",""),"0",""),"-",""))+LEN(SUBSTITUTE(SUBSTITUTE(SUBSTITUTE(C317," ",""),"0",""),"-",""))+LEN(SUBSTITUTE(SUBSTITUTE(SUBSTITUTE(B318," ",""),"0",""),"-",""))+LEN(SUBSTITUTE(SUBSTITUTE(SUBSTITUTE(C318," ",""),"0",""),"-",""))+LEN(SUBSTITUTE(SUBSTITUTE(SUBSTITUTE(B319," ",""),"0",""),"-",""))+LEN(SUBSTITUTE(SUBSTITUTE(SUBSTITUTE(C319," ",""),"0",""),"-",""))+LEN(SUBSTITUTE(SUBSTITUTE(SUBSTITUTE(B320," ",""),"0",""),"-",""))+LEN(SUBSTITUTE(SUBSTITUTE(SUBSTITUTE(C320," ",""),"0",""),"-",""))</f>
      </c>
      <c r="D315" s="18"/>
      <c r="E315" s="14" t="str">
        <f>LEN(SUBSTITUTE(SUBSTITUTE(SUBSTITUTE(E316," ",""),"0",""),"-",""))+LEN(SUBSTITUTE(SUBSTITUTE(SUBSTITUTE(F316," ",""),"0",""),"-",""))+LEN(SUBSTITUTE(SUBSTITUTE(SUBSTITUTE(E317," ",""),"0",""),"-",""))+LEN(SUBSTITUTE(SUBSTITUTE(SUBSTITUTE(F317," ",""),"0",""),"-",""))+LEN(SUBSTITUTE(SUBSTITUTE(SUBSTITUTE(E318," ",""),"0",""),"-",""))+LEN(SUBSTITUTE(SUBSTITUTE(SUBSTITUTE(F318," ",""),"0",""),"-",""))+LEN(SUBSTITUTE(SUBSTITUTE(SUBSTITUTE(E319," ",""),"0",""),"-",""))+LEN(SUBSTITUTE(SUBSTITUTE(SUBSTITUTE(F319," ",""),"0",""),"-",""))+LEN(SUBSTITUTE(SUBSTITUTE(SUBSTITUTE(E320," ",""),"0",""),"-",""))+LEN(SUBSTITUTE(SUBSTITUTE(SUBSTITUTE(F320," ",""),"0",""),"-",""))</f>
      </c>
      <c r="F315" s="14" t="str">
        <f>IF(UPPER(D316)="X",0,IF((LEN(SUBSTITUTE(SUBSTITUTE(SUBSTITUTE(E316," ",""),"0",""),"-",""))+LEN(SUBSTITUTE(SUBSTITUTE(SUBSTITUTE(F316," ",""),"0",""),"-","")))&gt;(LEN(SUBSTITUTE(SUBSTITUTE(SUBSTITUTE(B316," ",""),"0",""),"-",""))+LEN(SUBSTITUTE(SUBSTITUTE(SUBSTITUTE(C316," ",""),"0",""),"-",""))),1,0))+IF(UPPER(D317)="X",0,IF((LEN(SUBSTITUTE(SUBSTITUTE(SUBSTITUTE(E317," ",""),"0",""),"-",""))+LEN(SUBSTITUTE(SUBSTITUTE(SUBSTITUTE(F317," ",""),"0",""),"-","")))&gt;(LEN(SUBSTITUTE(SUBSTITUTE(SUBSTITUTE(B317," ",""),"0",""),"-",""))+LEN(SUBSTITUTE(SUBSTITUTE(SUBSTITUTE(C317," ",""),"0",""),"-",""))),1,0))+IF(UPPER(D318)="X",0,IF((LEN(SUBSTITUTE(SUBSTITUTE(SUBSTITUTE(E318," ",""),"0",""),"-",""))+LEN(SUBSTITUTE(SUBSTITUTE(SUBSTITUTE(F318," ",""),"0",""),"-","")))&gt;(LEN(SUBSTITUTE(SUBSTITUTE(SUBSTITUTE(B318," ",""),"0",""),"-",""))+LEN(SUBSTITUTE(SUBSTITUTE(SUBSTITUTE(C318," ",""),"0",""),"-",""))),1,0))+IF(UPPER(D319)="X",0,IF((LEN(SUBSTITUTE(SUBSTITUTE(SUBSTITUTE(E319," ",""),"0",""),"-",""))+LEN(SUBSTITUTE(SUBSTITUTE(SUBSTITUTE(F319," ",""),"0",""),"-","")))&gt;(LEN(SUBSTITUTE(SUBSTITUTE(SUBSTITUTE(B319," ",""),"0",""),"-",""))+LEN(SUBSTITUTE(SUBSTITUTE(SUBSTITUTE(C319," ",""),"0",""),"-",""))),1,0))+IF(UPPER(D320)="X",0,IF((LEN(SUBSTITUTE(SUBSTITUTE(SUBSTITUTE(E320," ",""),"0",""),"-",""))+LEN(SUBSTITUTE(SUBSTITUTE(SUBSTITUTE(F320," ",""),"0",""),"-","")))&gt;(LEN(SUBSTITUTE(SUBSTITUTE(SUBSTITUTE(B320," ",""),"0",""),"-",""))+LEN(SUBSTITUTE(SUBSTITUTE(SUBSTITUTE(C320," ",""),"0",""),"-",""))),1,0))</f>
      </c>
      <c r="G315" s="14" t="str">
        <f>data!$E$25&amp;" "&amp;data!$B$25</f>
      </c>
      <c r="I315" s="14" t="str">
        <f>data!$E$71&amp;" "&amp;data!$B$71</f>
      </c>
      <c r="J315" s="14" t="str">
        <f>IF(UPPER(L316)="X",0,IF((LEN(SUBSTITUTE(SUBSTITUTE(SUBSTITUTE(J316," ",""),"0",""),"-",""))+LEN(SUBSTITUTE(SUBSTITUTE(SUBSTITUTE(K316," ",""),"0",""),"-","")))&gt;(LEN(SUBSTITUTE(SUBSTITUTE(SUBSTITUTE(M316," ",""),"0",""),"-",""))+LEN(SUBSTITUTE(SUBSTITUTE(SUBSTITUTE(N316," ",""),"0",""),"-",""))),1,0))+IF(UPPER(L317)="X",0,IF((LEN(SUBSTITUTE(SUBSTITUTE(SUBSTITUTE(J317," ",""),"0",""),"-",""))+LEN(SUBSTITUTE(SUBSTITUTE(SUBSTITUTE(K317," ",""),"0",""),"-","")))&gt;(LEN(SUBSTITUTE(SUBSTITUTE(SUBSTITUTE(M317," ",""),"0",""),"-",""))+LEN(SUBSTITUTE(SUBSTITUTE(SUBSTITUTE(N317," ",""),"0",""),"-",""))),1,0))+IF(UPPER(L318)="X",0,IF((LEN(SUBSTITUTE(SUBSTITUTE(SUBSTITUTE(J318," ",""),"0",""),"-",""))+LEN(SUBSTITUTE(SUBSTITUTE(SUBSTITUTE(K318," ",""),"0",""),"-","")))&gt;(LEN(SUBSTITUTE(SUBSTITUTE(SUBSTITUTE(M318," ",""),"0",""),"-",""))+LEN(SUBSTITUTE(SUBSTITUTE(SUBSTITUTE(N318," ",""),"0",""),"-",""))),1,0))+IF(UPPER(L319)="X",0,IF((LEN(SUBSTITUTE(SUBSTITUTE(SUBSTITUTE(J319," ",""),"0",""),"-",""))+LEN(SUBSTITUTE(SUBSTITUTE(SUBSTITUTE(K319," ",""),"0",""),"-","")))&gt;(LEN(SUBSTITUTE(SUBSTITUTE(SUBSTITUTE(M319," ",""),"0",""),"-",""))+LEN(SUBSTITUTE(SUBSTITUTE(SUBSTITUTE(N319," ",""),"0",""),"-",""))),1,0))+IF(UPPER(L320)="X",0,IF((LEN(SUBSTITUTE(SUBSTITUTE(SUBSTITUTE(J320," ",""),"0",""),"-",""))+LEN(SUBSTITUTE(SUBSTITUTE(SUBSTITUTE(K320," ",""),"0",""),"-","")))&gt;(LEN(SUBSTITUTE(SUBSTITUTE(SUBSTITUTE(M320," ",""),"0",""),"-",""))+LEN(SUBSTITUTE(SUBSTITUTE(SUBSTITUTE(N320," ",""),"0",""),"-",""))),1,0))</f>
      </c>
      <c r="K315" s="14" t="str">
        <f>LEN(SUBSTITUTE(SUBSTITUTE(SUBSTITUTE(J316," ",""),"0",""),"-",""))+LEN(SUBSTITUTE(SUBSTITUTE(SUBSTITUTE(K316," ",""),"0",""),"-",""))+LEN(SUBSTITUTE(SUBSTITUTE(SUBSTITUTE(J317," ",""),"0",""),"-",""))+LEN(SUBSTITUTE(SUBSTITUTE(SUBSTITUTE(K317," ",""),"0",""),"-",""))+LEN(SUBSTITUTE(SUBSTITUTE(SUBSTITUTE(J318," ",""),"0",""),"-",""))+LEN(SUBSTITUTE(SUBSTITUTE(SUBSTITUTE(K318," ",""),"0",""),"-",""))+LEN(SUBSTITUTE(SUBSTITUTE(SUBSTITUTE(J319," ",""),"0",""),"-",""))+LEN(SUBSTITUTE(SUBSTITUTE(SUBSTITUTE(K319," ",""),"0",""),"-",""))+LEN(SUBSTITUTE(SUBSTITUTE(SUBSTITUTE(J320," ",""),"0",""),"-",""))+LEN(SUBSTITUTE(SUBSTITUTE(SUBSTITUTE(K320," ",""),"0",""),"-",""))</f>
      </c>
      <c r="L315" s="18"/>
      <c r="M315" s="14" t="str">
        <f>LEN(SUBSTITUTE(SUBSTITUTE(SUBSTITUTE(M316," ",""),"0",""),"-",""))+LEN(SUBSTITUTE(SUBSTITUTE(SUBSTITUTE(N316," ",""),"0",""),"-",""))+LEN(SUBSTITUTE(SUBSTITUTE(SUBSTITUTE(M317," ",""),"0",""),"-",""))+LEN(SUBSTITUTE(SUBSTITUTE(SUBSTITUTE(N317," ",""),"0",""),"-",""))+LEN(SUBSTITUTE(SUBSTITUTE(SUBSTITUTE(M318," ",""),"0",""),"-",""))+LEN(SUBSTITUTE(SUBSTITUTE(SUBSTITUTE(N318," ",""),"0",""),"-",""))+LEN(SUBSTITUTE(SUBSTITUTE(SUBSTITUTE(M319," ",""),"0",""),"-",""))+LEN(SUBSTITUTE(SUBSTITUTE(SUBSTITUTE(N319," ",""),"0",""),"-",""))+LEN(SUBSTITUTE(SUBSTITUTE(SUBSTITUTE(M320," ",""),"0",""),"-",""))+LEN(SUBSTITUTE(SUBSTITUTE(SUBSTITUTE(N320," ",""),"0",""),"-",""))</f>
      </c>
      <c r="N315" s="14" t="str">
        <f>IF(UPPER(L316)="X",0,IF((LEN(SUBSTITUTE(SUBSTITUTE(SUBSTITUTE(M316," ",""),"0",""),"-",""))+LEN(SUBSTITUTE(SUBSTITUTE(SUBSTITUTE(N316," ",""),"0",""),"-","")))&gt;(LEN(SUBSTITUTE(SUBSTITUTE(SUBSTITUTE(J316," ",""),"0",""),"-",""))+LEN(SUBSTITUTE(SUBSTITUTE(SUBSTITUTE(K316," ",""),"0",""),"-",""))),1,0))+IF(UPPER(L317)="X",0,IF((LEN(SUBSTITUTE(SUBSTITUTE(SUBSTITUTE(M317," ",""),"0",""),"-",""))+LEN(SUBSTITUTE(SUBSTITUTE(SUBSTITUTE(N317," ",""),"0",""),"-","")))&gt;(LEN(SUBSTITUTE(SUBSTITUTE(SUBSTITUTE(J317," ",""),"0",""),"-",""))+LEN(SUBSTITUTE(SUBSTITUTE(SUBSTITUTE(K317," ",""),"0",""),"-",""))),1,0))+IF(UPPER(L318)="X",0,IF((LEN(SUBSTITUTE(SUBSTITUTE(SUBSTITUTE(M318," ",""),"0",""),"-",""))+LEN(SUBSTITUTE(SUBSTITUTE(SUBSTITUTE(N318," ",""),"0",""),"-","")))&gt;(LEN(SUBSTITUTE(SUBSTITUTE(SUBSTITUTE(J318," ",""),"0",""),"-",""))+LEN(SUBSTITUTE(SUBSTITUTE(SUBSTITUTE(K318," ",""),"0",""),"-",""))),1,0))+IF(UPPER(L319)="X",0,IF((LEN(SUBSTITUTE(SUBSTITUTE(SUBSTITUTE(M319," ",""),"0",""),"-",""))+LEN(SUBSTITUTE(SUBSTITUTE(SUBSTITUTE(N319," ",""),"0",""),"-","")))&gt;(LEN(SUBSTITUTE(SUBSTITUTE(SUBSTITUTE(J319," ",""),"0",""),"-",""))+LEN(SUBSTITUTE(SUBSTITUTE(SUBSTITUTE(K319," ",""),"0",""),"-",""))),1,0))+IF(UPPER(L320)="X",0,IF((LEN(SUBSTITUTE(SUBSTITUTE(SUBSTITUTE(M320," ",""),"0",""),"-",""))+LEN(SUBSTITUTE(SUBSTITUTE(SUBSTITUTE(N320," ",""),"0",""),"-","")))&gt;(LEN(SUBSTITUTE(SUBSTITUTE(SUBSTITUTE(J320," ",""),"0",""),"-",""))+LEN(SUBSTITUTE(SUBSTITUTE(SUBSTITUTE(K320," ",""),"0",""),"-",""))),1,0))</f>
      </c>
      <c r="O315" s="14" t="str">
        <f>data!$E$70&amp;" "&amp;data!$B$70</f>
      </c>
    </row>
    <row r="316">
      <c r="A316" s="14">
        <v>1</v>
      </c>
      <c r="B316" s="18"/>
      <c r="C316" s="18"/>
      <c r="D316" s="18"/>
      <c r="E316" s="18"/>
      <c r="F316" s="18"/>
      <c r="G316" s="14">
        <v>1</v>
      </c>
      <c r="I316" s="14">
        <v>1</v>
      </c>
      <c r="J316" s="18"/>
      <c r="K316" s="18"/>
      <c r="L316" s="18"/>
      <c r="M316" s="18"/>
      <c r="N316" s="18"/>
      <c r="O316" s="14">
        <v>1</v>
      </c>
    </row>
    <row r="317">
      <c r="A317" s="14">
        <v>2</v>
      </c>
      <c r="B317" s="18"/>
      <c r="C317" s="18"/>
      <c r="D317" s="18"/>
      <c r="E317" s="18"/>
      <c r="F317" s="18"/>
      <c r="G317" s="14">
        <v>2</v>
      </c>
      <c r="I317" s="14">
        <v>2</v>
      </c>
      <c r="J317" s="18"/>
      <c r="K317" s="18"/>
      <c r="L317" s="18"/>
      <c r="M317" s="18"/>
      <c r="N317" s="18"/>
      <c r="O317" s="14">
        <v>2</v>
      </c>
    </row>
    <row r="318">
      <c r="A318" s="14">
        <v>3</v>
      </c>
      <c r="B318" s="18"/>
      <c r="C318" s="18"/>
      <c r="D318" s="18"/>
      <c r="E318" s="18"/>
      <c r="F318" s="18"/>
      <c r="G318" s="14">
        <v>3</v>
      </c>
      <c r="I318" s="14">
        <v>3</v>
      </c>
      <c r="J318" s="18"/>
      <c r="K318" s="18"/>
      <c r="L318" s="18"/>
      <c r="M318" s="18"/>
      <c r="N318" s="18"/>
      <c r="O318" s="14">
        <v>3</v>
      </c>
    </row>
    <row r="319">
      <c r="A319" s="14">
        <v>4</v>
      </c>
      <c r="B319" s="18"/>
      <c r="C319" s="18"/>
      <c r="D319" s="18"/>
      <c r="E319" s="18"/>
      <c r="F319" s="18"/>
      <c r="G319" s="14">
        <v>4</v>
      </c>
      <c r="I319" s="14">
        <v>4</v>
      </c>
      <c r="J319" s="18"/>
      <c r="K319" s="18"/>
      <c r="L319" s="18"/>
      <c r="M319" s="18"/>
      <c r="N319" s="18"/>
      <c r="O319" s="14">
        <v>4</v>
      </c>
    </row>
    <row r="320">
      <c r="A320" s="14">
        <v>5</v>
      </c>
      <c r="B320" s="18"/>
      <c r="C320" s="18"/>
      <c r="D320" s="18"/>
      <c r="E320" s="18"/>
      <c r="F320" s="18"/>
      <c r="G320" s="14">
        <v>5</v>
      </c>
      <c r="I320" s="14">
        <v>5</v>
      </c>
      <c r="J320" s="18"/>
      <c r="K320" s="18"/>
      <c r="L320" s="18"/>
      <c r="M320" s="18"/>
      <c r="N320" s="18"/>
      <c r="O320" s="14">
        <v>5</v>
      </c>
    </row>
    <row r="322">
      <c r="A322" s="17" t="s">
        <v>330</v>
      </c>
      <c r="B322" s="14"/>
      <c r="C322" s="14"/>
      <c r="D322" s="14" t="s">
        <v>331</v>
      </c>
      <c r="E322" s="14"/>
      <c r="F322" s="14"/>
      <c r="G322" s="16" t="s">
        <v>332</v>
      </c>
      <c r="I322" s="17" t="s">
        <v>330</v>
      </c>
      <c r="J322" s="14"/>
      <c r="K322" s="14"/>
      <c r="L322" s="14" t="s">
        <v>331</v>
      </c>
      <c r="M322" s="14"/>
      <c r="N322" s="14"/>
      <c r="O322" s="16" t="s">
        <v>332</v>
      </c>
    </row>
    <row r="323">
      <c r="A323" s="14" t="str">
        <f>data!$E$27&amp;" "&amp;data!$B$27</f>
      </c>
      <c r="B323" s="14" t="str">
        <f>IF(UPPER(D324)="X",0,IF((LEN(SUBSTITUTE(SUBSTITUTE(SUBSTITUTE(B324," ",""),"0",""),"-",""))+LEN(SUBSTITUTE(SUBSTITUTE(SUBSTITUTE(C324," ",""),"0",""),"-","")))&gt;(LEN(SUBSTITUTE(SUBSTITUTE(SUBSTITUTE(E324," ",""),"0",""),"-",""))+LEN(SUBSTITUTE(SUBSTITUTE(SUBSTITUTE(F324," ",""),"0",""),"-",""))),1,0))+IF(UPPER(D325)="X",0,IF((LEN(SUBSTITUTE(SUBSTITUTE(SUBSTITUTE(B325," ",""),"0",""),"-",""))+LEN(SUBSTITUTE(SUBSTITUTE(SUBSTITUTE(C325," ",""),"0",""),"-","")))&gt;(LEN(SUBSTITUTE(SUBSTITUTE(SUBSTITUTE(E325," ",""),"0",""),"-",""))+LEN(SUBSTITUTE(SUBSTITUTE(SUBSTITUTE(F325," ",""),"0",""),"-",""))),1,0))+IF(UPPER(D326)="X",0,IF((LEN(SUBSTITUTE(SUBSTITUTE(SUBSTITUTE(B326," ",""),"0",""),"-",""))+LEN(SUBSTITUTE(SUBSTITUTE(SUBSTITUTE(C326," ",""),"0",""),"-","")))&gt;(LEN(SUBSTITUTE(SUBSTITUTE(SUBSTITUTE(E326," ",""),"0",""),"-",""))+LEN(SUBSTITUTE(SUBSTITUTE(SUBSTITUTE(F326," ",""),"0",""),"-",""))),1,0))+IF(UPPER(D327)="X",0,IF((LEN(SUBSTITUTE(SUBSTITUTE(SUBSTITUTE(B327," ",""),"0",""),"-",""))+LEN(SUBSTITUTE(SUBSTITUTE(SUBSTITUTE(C327," ",""),"0",""),"-","")))&gt;(LEN(SUBSTITUTE(SUBSTITUTE(SUBSTITUTE(E327," ",""),"0",""),"-",""))+LEN(SUBSTITUTE(SUBSTITUTE(SUBSTITUTE(F327," ",""),"0",""),"-",""))),1,0))+IF(UPPER(D328)="X",0,IF((LEN(SUBSTITUTE(SUBSTITUTE(SUBSTITUTE(B328," ",""),"0",""),"-",""))+LEN(SUBSTITUTE(SUBSTITUTE(SUBSTITUTE(C328," ",""),"0",""),"-","")))&gt;(LEN(SUBSTITUTE(SUBSTITUTE(SUBSTITUTE(E328," ",""),"0",""),"-",""))+LEN(SUBSTITUTE(SUBSTITUTE(SUBSTITUTE(F328," ",""),"0",""),"-",""))),1,0))</f>
      </c>
      <c r="C323" s="14" t="str">
        <f>LEN(SUBSTITUTE(SUBSTITUTE(SUBSTITUTE(B324," ",""),"0",""),"-",""))+LEN(SUBSTITUTE(SUBSTITUTE(SUBSTITUTE(C324," ",""),"0",""),"-",""))+LEN(SUBSTITUTE(SUBSTITUTE(SUBSTITUTE(B325," ",""),"0",""),"-",""))+LEN(SUBSTITUTE(SUBSTITUTE(SUBSTITUTE(C325," ",""),"0",""),"-",""))+LEN(SUBSTITUTE(SUBSTITUTE(SUBSTITUTE(B326," ",""),"0",""),"-",""))+LEN(SUBSTITUTE(SUBSTITUTE(SUBSTITUTE(C326," ",""),"0",""),"-",""))+LEN(SUBSTITUTE(SUBSTITUTE(SUBSTITUTE(B327," ",""),"0",""),"-",""))+LEN(SUBSTITUTE(SUBSTITUTE(SUBSTITUTE(C327," ",""),"0",""),"-",""))+LEN(SUBSTITUTE(SUBSTITUTE(SUBSTITUTE(B328," ",""),"0",""),"-",""))+LEN(SUBSTITUTE(SUBSTITUTE(SUBSTITUTE(C328," ",""),"0",""),"-",""))</f>
      </c>
      <c r="D323" s="18"/>
      <c r="E323" s="14" t="str">
        <f>LEN(SUBSTITUTE(SUBSTITUTE(SUBSTITUTE(E324," ",""),"0",""),"-",""))+LEN(SUBSTITUTE(SUBSTITUTE(SUBSTITUTE(F324," ",""),"0",""),"-",""))+LEN(SUBSTITUTE(SUBSTITUTE(SUBSTITUTE(E325," ",""),"0",""),"-",""))+LEN(SUBSTITUTE(SUBSTITUTE(SUBSTITUTE(F325," ",""),"0",""),"-",""))+LEN(SUBSTITUTE(SUBSTITUTE(SUBSTITUTE(E326," ",""),"0",""),"-",""))+LEN(SUBSTITUTE(SUBSTITUTE(SUBSTITUTE(F326," ",""),"0",""),"-",""))+LEN(SUBSTITUTE(SUBSTITUTE(SUBSTITUTE(E327," ",""),"0",""),"-",""))+LEN(SUBSTITUTE(SUBSTITUTE(SUBSTITUTE(F327," ",""),"0",""),"-",""))+LEN(SUBSTITUTE(SUBSTITUTE(SUBSTITUTE(E328," ",""),"0",""),"-",""))+LEN(SUBSTITUTE(SUBSTITUTE(SUBSTITUTE(F328," ",""),"0",""),"-",""))</f>
      </c>
      <c r="F323" s="14" t="str">
        <f>IF(UPPER(D324)="X",0,IF((LEN(SUBSTITUTE(SUBSTITUTE(SUBSTITUTE(E324," ",""),"0",""),"-",""))+LEN(SUBSTITUTE(SUBSTITUTE(SUBSTITUTE(F324," ",""),"0",""),"-","")))&gt;(LEN(SUBSTITUTE(SUBSTITUTE(SUBSTITUTE(B324," ",""),"0",""),"-",""))+LEN(SUBSTITUTE(SUBSTITUTE(SUBSTITUTE(C324," ",""),"0",""),"-",""))),1,0))+IF(UPPER(D325)="X",0,IF((LEN(SUBSTITUTE(SUBSTITUTE(SUBSTITUTE(E325," ",""),"0",""),"-",""))+LEN(SUBSTITUTE(SUBSTITUTE(SUBSTITUTE(F325," ",""),"0",""),"-","")))&gt;(LEN(SUBSTITUTE(SUBSTITUTE(SUBSTITUTE(B325," ",""),"0",""),"-",""))+LEN(SUBSTITUTE(SUBSTITUTE(SUBSTITUTE(C325," ",""),"0",""),"-",""))),1,0))+IF(UPPER(D326)="X",0,IF((LEN(SUBSTITUTE(SUBSTITUTE(SUBSTITUTE(E326," ",""),"0",""),"-",""))+LEN(SUBSTITUTE(SUBSTITUTE(SUBSTITUTE(F326," ",""),"0",""),"-","")))&gt;(LEN(SUBSTITUTE(SUBSTITUTE(SUBSTITUTE(B326," ",""),"0",""),"-",""))+LEN(SUBSTITUTE(SUBSTITUTE(SUBSTITUTE(C326," ",""),"0",""),"-",""))),1,0))+IF(UPPER(D327)="X",0,IF((LEN(SUBSTITUTE(SUBSTITUTE(SUBSTITUTE(E327," ",""),"0",""),"-",""))+LEN(SUBSTITUTE(SUBSTITUTE(SUBSTITUTE(F327," ",""),"0",""),"-","")))&gt;(LEN(SUBSTITUTE(SUBSTITUTE(SUBSTITUTE(B327," ",""),"0",""),"-",""))+LEN(SUBSTITUTE(SUBSTITUTE(SUBSTITUTE(C327," ",""),"0",""),"-",""))),1,0))+IF(UPPER(D328)="X",0,IF((LEN(SUBSTITUTE(SUBSTITUTE(SUBSTITUTE(E328," ",""),"0",""),"-",""))+LEN(SUBSTITUTE(SUBSTITUTE(SUBSTITUTE(F328," ",""),"0",""),"-","")))&gt;(LEN(SUBSTITUTE(SUBSTITUTE(SUBSTITUTE(B328," ",""),"0",""),"-",""))+LEN(SUBSTITUTE(SUBSTITUTE(SUBSTITUTE(C328," ",""),"0",""),"-",""))),1,0))</f>
      </c>
      <c r="G323" s="14" t="str">
        <f>data!$E$25&amp;" "&amp;data!$B$25</f>
      </c>
      <c r="I323" s="14" t="str">
        <f>data!$E$72&amp;" "&amp;data!$B$72</f>
      </c>
      <c r="J323" s="14" t="str">
        <f>IF(UPPER(L324)="X",0,IF((LEN(SUBSTITUTE(SUBSTITUTE(SUBSTITUTE(J324," ",""),"0",""),"-",""))+LEN(SUBSTITUTE(SUBSTITUTE(SUBSTITUTE(K324," ",""),"0",""),"-","")))&gt;(LEN(SUBSTITUTE(SUBSTITUTE(SUBSTITUTE(M324," ",""),"0",""),"-",""))+LEN(SUBSTITUTE(SUBSTITUTE(SUBSTITUTE(N324," ",""),"0",""),"-",""))),1,0))+IF(UPPER(L325)="X",0,IF((LEN(SUBSTITUTE(SUBSTITUTE(SUBSTITUTE(J325," ",""),"0",""),"-",""))+LEN(SUBSTITUTE(SUBSTITUTE(SUBSTITUTE(K325," ",""),"0",""),"-","")))&gt;(LEN(SUBSTITUTE(SUBSTITUTE(SUBSTITUTE(M325," ",""),"0",""),"-",""))+LEN(SUBSTITUTE(SUBSTITUTE(SUBSTITUTE(N325," ",""),"0",""),"-",""))),1,0))+IF(UPPER(L326)="X",0,IF((LEN(SUBSTITUTE(SUBSTITUTE(SUBSTITUTE(J326," ",""),"0",""),"-",""))+LEN(SUBSTITUTE(SUBSTITUTE(SUBSTITUTE(K326," ",""),"0",""),"-","")))&gt;(LEN(SUBSTITUTE(SUBSTITUTE(SUBSTITUTE(M326," ",""),"0",""),"-",""))+LEN(SUBSTITUTE(SUBSTITUTE(SUBSTITUTE(N326," ",""),"0",""),"-",""))),1,0))+IF(UPPER(L327)="X",0,IF((LEN(SUBSTITUTE(SUBSTITUTE(SUBSTITUTE(J327," ",""),"0",""),"-",""))+LEN(SUBSTITUTE(SUBSTITUTE(SUBSTITUTE(K327," ",""),"0",""),"-","")))&gt;(LEN(SUBSTITUTE(SUBSTITUTE(SUBSTITUTE(M327," ",""),"0",""),"-",""))+LEN(SUBSTITUTE(SUBSTITUTE(SUBSTITUTE(N327," ",""),"0",""),"-",""))),1,0))+IF(UPPER(L328)="X",0,IF((LEN(SUBSTITUTE(SUBSTITUTE(SUBSTITUTE(J328," ",""),"0",""),"-",""))+LEN(SUBSTITUTE(SUBSTITUTE(SUBSTITUTE(K328," ",""),"0",""),"-","")))&gt;(LEN(SUBSTITUTE(SUBSTITUTE(SUBSTITUTE(M328," ",""),"0",""),"-",""))+LEN(SUBSTITUTE(SUBSTITUTE(SUBSTITUTE(N328," ",""),"0",""),"-",""))),1,0))</f>
      </c>
      <c r="K323" s="14" t="str">
        <f>LEN(SUBSTITUTE(SUBSTITUTE(SUBSTITUTE(J324," ",""),"0",""),"-",""))+LEN(SUBSTITUTE(SUBSTITUTE(SUBSTITUTE(K324," ",""),"0",""),"-",""))+LEN(SUBSTITUTE(SUBSTITUTE(SUBSTITUTE(J325," ",""),"0",""),"-",""))+LEN(SUBSTITUTE(SUBSTITUTE(SUBSTITUTE(K325," ",""),"0",""),"-",""))+LEN(SUBSTITUTE(SUBSTITUTE(SUBSTITUTE(J326," ",""),"0",""),"-",""))+LEN(SUBSTITUTE(SUBSTITUTE(SUBSTITUTE(K326," ",""),"0",""),"-",""))+LEN(SUBSTITUTE(SUBSTITUTE(SUBSTITUTE(J327," ",""),"0",""),"-",""))+LEN(SUBSTITUTE(SUBSTITUTE(SUBSTITUTE(K327," ",""),"0",""),"-",""))+LEN(SUBSTITUTE(SUBSTITUTE(SUBSTITUTE(J328," ",""),"0",""),"-",""))+LEN(SUBSTITUTE(SUBSTITUTE(SUBSTITUTE(K328," ",""),"0",""),"-",""))</f>
      </c>
      <c r="L323" s="18"/>
      <c r="M323" s="14" t="str">
        <f>LEN(SUBSTITUTE(SUBSTITUTE(SUBSTITUTE(M324," ",""),"0",""),"-",""))+LEN(SUBSTITUTE(SUBSTITUTE(SUBSTITUTE(N324," ",""),"0",""),"-",""))+LEN(SUBSTITUTE(SUBSTITUTE(SUBSTITUTE(M325," ",""),"0",""),"-",""))+LEN(SUBSTITUTE(SUBSTITUTE(SUBSTITUTE(N325," ",""),"0",""),"-",""))+LEN(SUBSTITUTE(SUBSTITUTE(SUBSTITUTE(M326," ",""),"0",""),"-",""))+LEN(SUBSTITUTE(SUBSTITUTE(SUBSTITUTE(N326," ",""),"0",""),"-",""))+LEN(SUBSTITUTE(SUBSTITUTE(SUBSTITUTE(M327," ",""),"0",""),"-",""))+LEN(SUBSTITUTE(SUBSTITUTE(SUBSTITUTE(N327," ",""),"0",""),"-",""))+LEN(SUBSTITUTE(SUBSTITUTE(SUBSTITUTE(M328," ",""),"0",""),"-",""))+LEN(SUBSTITUTE(SUBSTITUTE(SUBSTITUTE(N328," ",""),"0",""),"-",""))</f>
      </c>
      <c r="N323" s="14" t="str">
        <f>IF(UPPER(L324)="X",0,IF((LEN(SUBSTITUTE(SUBSTITUTE(SUBSTITUTE(M324," ",""),"0",""),"-",""))+LEN(SUBSTITUTE(SUBSTITUTE(SUBSTITUTE(N324," ",""),"0",""),"-","")))&gt;(LEN(SUBSTITUTE(SUBSTITUTE(SUBSTITUTE(J324," ",""),"0",""),"-",""))+LEN(SUBSTITUTE(SUBSTITUTE(SUBSTITUTE(K324," ",""),"0",""),"-",""))),1,0))+IF(UPPER(L325)="X",0,IF((LEN(SUBSTITUTE(SUBSTITUTE(SUBSTITUTE(M325," ",""),"0",""),"-",""))+LEN(SUBSTITUTE(SUBSTITUTE(SUBSTITUTE(N325," ",""),"0",""),"-","")))&gt;(LEN(SUBSTITUTE(SUBSTITUTE(SUBSTITUTE(J325," ",""),"0",""),"-",""))+LEN(SUBSTITUTE(SUBSTITUTE(SUBSTITUTE(K325," ",""),"0",""),"-",""))),1,0))+IF(UPPER(L326)="X",0,IF((LEN(SUBSTITUTE(SUBSTITUTE(SUBSTITUTE(M326," ",""),"0",""),"-",""))+LEN(SUBSTITUTE(SUBSTITUTE(SUBSTITUTE(N326," ",""),"0",""),"-","")))&gt;(LEN(SUBSTITUTE(SUBSTITUTE(SUBSTITUTE(J326," ",""),"0",""),"-",""))+LEN(SUBSTITUTE(SUBSTITUTE(SUBSTITUTE(K326," ",""),"0",""),"-",""))),1,0))+IF(UPPER(L327)="X",0,IF((LEN(SUBSTITUTE(SUBSTITUTE(SUBSTITUTE(M327," ",""),"0",""),"-",""))+LEN(SUBSTITUTE(SUBSTITUTE(SUBSTITUTE(N327," ",""),"0",""),"-","")))&gt;(LEN(SUBSTITUTE(SUBSTITUTE(SUBSTITUTE(J327," ",""),"0",""),"-",""))+LEN(SUBSTITUTE(SUBSTITUTE(SUBSTITUTE(K327," ",""),"0",""),"-",""))),1,0))+IF(UPPER(L328)="X",0,IF((LEN(SUBSTITUTE(SUBSTITUTE(SUBSTITUTE(M328," ",""),"0",""),"-",""))+LEN(SUBSTITUTE(SUBSTITUTE(SUBSTITUTE(N328," ",""),"0",""),"-","")))&gt;(LEN(SUBSTITUTE(SUBSTITUTE(SUBSTITUTE(J328," ",""),"0",""),"-",""))+LEN(SUBSTITUTE(SUBSTITUTE(SUBSTITUTE(K328," ",""),"0",""),"-",""))),1,0))</f>
      </c>
      <c r="O323" s="14" t="str">
        <f>data!$E$70&amp;" "&amp;data!$B$70</f>
      </c>
    </row>
    <row r="324">
      <c r="A324" s="14">
        <v>1</v>
      </c>
      <c r="B324" s="18"/>
      <c r="C324" s="18"/>
      <c r="D324" s="18"/>
      <c r="E324" s="18"/>
      <c r="F324" s="18"/>
      <c r="G324" s="14">
        <v>1</v>
      </c>
      <c r="I324" s="14">
        <v>1</v>
      </c>
      <c r="J324" s="18"/>
      <c r="K324" s="18"/>
      <c r="L324" s="18"/>
      <c r="M324" s="18"/>
      <c r="N324" s="18"/>
      <c r="O324" s="14">
        <v>1</v>
      </c>
    </row>
    <row r="325">
      <c r="A325" s="14">
        <v>2</v>
      </c>
      <c r="B325" s="18"/>
      <c r="C325" s="18"/>
      <c r="D325" s="18"/>
      <c r="E325" s="18"/>
      <c r="F325" s="18"/>
      <c r="G325" s="14">
        <v>2</v>
      </c>
      <c r="I325" s="14">
        <v>2</v>
      </c>
      <c r="J325" s="18"/>
      <c r="K325" s="18"/>
      <c r="L325" s="18"/>
      <c r="M325" s="18"/>
      <c r="N325" s="18"/>
      <c r="O325" s="14">
        <v>2</v>
      </c>
    </row>
    <row r="326">
      <c r="A326" s="14">
        <v>3</v>
      </c>
      <c r="B326" s="18"/>
      <c r="C326" s="18"/>
      <c r="D326" s="18"/>
      <c r="E326" s="18"/>
      <c r="F326" s="18"/>
      <c r="G326" s="14">
        <v>3</v>
      </c>
      <c r="I326" s="14">
        <v>3</v>
      </c>
      <c r="J326" s="18"/>
      <c r="K326" s="18"/>
      <c r="L326" s="18"/>
      <c r="M326" s="18"/>
      <c r="N326" s="18"/>
      <c r="O326" s="14">
        <v>3</v>
      </c>
    </row>
    <row r="327">
      <c r="A327" s="14">
        <v>4</v>
      </c>
      <c r="B327" s="18"/>
      <c r="C327" s="18"/>
      <c r="D327" s="18"/>
      <c r="E327" s="18"/>
      <c r="F327" s="18"/>
      <c r="G327" s="14">
        <v>4</v>
      </c>
      <c r="I327" s="14">
        <v>4</v>
      </c>
      <c r="J327" s="18"/>
      <c r="K327" s="18"/>
      <c r="L327" s="18"/>
      <c r="M327" s="18"/>
      <c r="N327" s="18"/>
      <c r="O327" s="14">
        <v>4</v>
      </c>
    </row>
    <row r="328">
      <c r="A328" s="14">
        <v>5</v>
      </c>
      <c r="B328" s="18"/>
      <c r="C328" s="18"/>
      <c r="D328" s="18"/>
      <c r="E328" s="18"/>
      <c r="F328" s="18"/>
      <c r="G328" s="14">
        <v>5</v>
      </c>
      <c r="I328" s="14">
        <v>5</v>
      </c>
      <c r="J328" s="18"/>
      <c r="K328" s="18"/>
      <c r="L328" s="18"/>
      <c r="M328" s="18"/>
      <c r="N328" s="18"/>
      <c r="O328" s="14">
        <v>5</v>
      </c>
    </row>
    <row r="330">
      <c r="A330" s="17" t="s">
        <v>330</v>
      </c>
      <c r="B330" s="14"/>
      <c r="C330" s="14"/>
      <c r="D330" s="14" t="s">
        <v>331</v>
      </c>
      <c r="E330" s="14"/>
      <c r="F330" s="14"/>
      <c r="G330" s="16" t="s">
        <v>332</v>
      </c>
      <c r="I330" s="17" t="s">
        <v>330</v>
      </c>
      <c r="J330" s="14"/>
      <c r="K330" s="14"/>
      <c r="L330" s="14" t="s">
        <v>331</v>
      </c>
      <c r="M330" s="14"/>
      <c r="N330" s="14"/>
      <c r="O330" s="16" t="s">
        <v>332</v>
      </c>
    </row>
    <row r="331">
      <c r="A331" s="14" t="str">
        <f>data!$E$27&amp;" "&amp;data!$B$27</f>
      </c>
      <c r="B331" s="14" t="str">
        <f>IF(UPPER(D332)="X",0,IF((LEN(SUBSTITUTE(SUBSTITUTE(SUBSTITUTE(B332," ",""),"0",""),"-",""))+LEN(SUBSTITUTE(SUBSTITUTE(SUBSTITUTE(C332," ",""),"0",""),"-","")))&gt;(LEN(SUBSTITUTE(SUBSTITUTE(SUBSTITUTE(E332," ",""),"0",""),"-",""))+LEN(SUBSTITUTE(SUBSTITUTE(SUBSTITUTE(F332," ",""),"0",""),"-",""))),1,0))+IF(UPPER(D333)="X",0,IF((LEN(SUBSTITUTE(SUBSTITUTE(SUBSTITUTE(B333," ",""),"0",""),"-",""))+LEN(SUBSTITUTE(SUBSTITUTE(SUBSTITUTE(C333," ",""),"0",""),"-","")))&gt;(LEN(SUBSTITUTE(SUBSTITUTE(SUBSTITUTE(E333," ",""),"0",""),"-",""))+LEN(SUBSTITUTE(SUBSTITUTE(SUBSTITUTE(F333," ",""),"0",""),"-",""))),1,0))+IF(UPPER(D334)="X",0,IF((LEN(SUBSTITUTE(SUBSTITUTE(SUBSTITUTE(B334," ",""),"0",""),"-",""))+LEN(SUBSTITUTE(SUBSTITUTE(SUBSTITUTE(C334," ",""),"0",""),"-","")))&gt;(LEN(SUBSTITUTE(SUBSTITUTE(SUBSTITUTE(E334," ",""),"0",""),"-",""))+LEN(SUBSTITUTE(SUBSTITUTE(SUBSTITUTE(F334," ",""),"0",""),"-",""))),1,0))+IF(UPPER(D335)="X",0,IF((LEN(SUBSTITUTE(SUBSTITUTE(SUBSTITUTE(B335," ",""),"0",""),"-",""))+LEN(SUBSTITUTE(SUBSTITUTE(SUBSTITUTE(C335," ",""),"0",""),"-","")))&gt;(LEN(SUBSTITUTE(SUBSTITUTE(SUBSTITUTE(E335," ",""),"0",""),"-",""))+LEN(SUBSTITUTE(SUBSTITUTE(SUBSTITUTE(F335," ",""),"0",""),"-",""))),1,0))+IF(UPPER(D336)="X",0,IF((LEN(SUBSTITUTE(SUBSTITUTE(SUBSTITUTE(B336," ",""),"0",""),"-",""))+LEN(SUBSTITUTE(SUBSTITUTE(SUBSTITUTE(C336," ",""),"0",""),"-","")))&gt;(LEN(SUBSTITUTE(SUBSTITUTE(SUBSTITUTE(E336," ",""),"0",""),"-",""))+LEN(SUBSTITUTE(SUBSTITUTE(SUBSTITUTE(F336," ",""),"0",""),"-",""))),1,0))</f>
      </c>
      <c r="C331" s="14" t="str">
        <f>LEN(SUBSTITUTE(SUBSTITUTE(SUBSTITUTE(B332," ",""),"0",""),"-",""))+LEN(SUBSTITUTE(SUBSTITUTE(SUBSTITUTE(C332," ",""),"0",""),"-",""))+LEN(SUBSTITUTE(SUBSTITUTE(SUBSTITUTE(B333," ",""),"0",""),"-",""))+LEN(SUBSTITUTE(SUBSTITUTE(SUBSTITUTE(C333," ",""),"0",""),"-",""))+LEN(SUBSTITUTE(SUBSTITUTE(SUBSTITUTE(B334," ",""),"0",""),"-",""))+LEN(SUBSTITUTE(SUBSTITUTE(SUBSTITUTE(C334," ",""),"0",""),"-",""))+LEN(SUBSTITUTE(SUBSTITUTE(SUBSTITUTE(B335," ",""),"0",""),"-",""))+LEN(SUBSTITUTE(SUBSTITUTE(SUBSTITUTE(C335," ",""),"0",""),"-",""))+LEN(SUBSTITUTE(SUBSTITUTE(SUBSTITUTE(B336," ",""),"0",""),"-",""))+LEN(SUBSTITUTE(SUBSTITUTE(SUBSTITUTE(C336," ",""),"0",""),"-",""))</f>
      </c>
      <c r="D331" s="18"/>
      <c r="E331" s="14" t="str">
        <f>LEN(SUBSTITUTE(SUBSTITUTE(SUBSTITUTE(E332," ",""),"0",""),"-",""))+LEN(SUBSTITUTE(SUBSTITUTE(SUBSTITUTE(F332," ",""),"0",""),"-",""))+LEN(SUBSTITUTE(SUBSTITUTE(SUBSTITUTE(E333," ",""),"0",""),"-",""))+LEN(SUBSTITUTE(SUBSTITUTE(SUBSTITUTE(F333," ",""),"0",""),"-",""))+LEN(SUBSTITUTE(SUBSTITUTE(SUBSTITUTE(E334," ",""),"0",""),"-",""))+LEN(SUBSTITUTE(SUBSTITUTE(SUBSTITUTE(F334," ",""),"0",""),"-",""))+LEN(SUBSTITUTE(SUBSTITUTE(SUBSTITUTE(E335," ",""),"0",""),"-",""))+LEN(SUBSTITUTE(SUBSTITUTE(SUBSTITUTE(F335," ",""),"0",""),"-",""))+LEN(SUBSTITUTE(SUBSTITUTE(SUBSTITUTE(E336," ",""),"0",""),"-",""))+LEN(SUBSTITUTE(SUBSTITUTE(SUBSTITUTE(F336," ",""),"0",""),"-",""))</f>
      </c>
      <c r="F331" s="14" t="str">
        <f>IF(UPPER(D332)="X",0,IF((LEN(SUBSTITUTE(SUBSTITUTE(SUBSTITUTE(E332," ",""),"0",""),"-",""))+LEN(SUBSTITUTE(SUBSTITUTE(SUBSTITUTE(F332," ",""),"0",""),"-","")))&gt;(LEN(SUBSTITUTE(SUBSTITUTE(SUBSTITUTE(B332," ",""),"0",""),"-",""))+LEN(SUBSTITUTE(SUBSTITUTE(SUBSTITUTE(C332," ",""),"0",""),"-",""))),1,0))+IF(UPPER(D333)="X",0,IF((LEN(SUBSTITUTE(SUBSTITUTE(SUBSTITUTE(E333," ",""),"0",""),"-",""))+LEN(SUBSTITUTE(SUBSTITUTE(SUBSTITUTE(F333," ",""),"0",""),"-","")))&gt;(LEN(SUBSTITUTE(SUBSTITUTE(SUBSTITUTE(B333," ",""),"0",""),"-",""))+LEN(SUBSTITUTE(SUBSTITUTE(SUBSTITUTE(C333," ",""),"0",""),"-",""))),1,0))+IF(UPPER(D334)="X",0,IF((LEN(SUBSTITUTE(SUBSTITUTE(SUBSTITUTE(E334," ",""),"0",""),"-",""))+LEN(SUBSTITUTE(SUBSTITUTE(SUBSTITUTE(F334," ",""),"0",""),"-","")))&gt;(LEN(SUBSTITUTE(SUBSTITUTE(SUBSTITUTE(B334," ",""),"0",""),"-",""))+LEN(SUBSTITUTE(SUBSTITUTE(SUBSTITUTE(C334," ",""),"0",""),"-",""))),1,0))+IF(UPPER(D335)="X",0,IF((LEN(SUBSTITUTE(SUBSTITUTE(SUBSTITUTE(E335," ",""),"0",""),"-",""))+LEN(SUBSTITUTE(SUBSTITUTE(SUBSTITUTE(F335," ",""),"0",""),"-","")))&gt;(LEN(SUBSTITUTE(SUBSTITUTE(SUBSTITUTE(B335," ",""),"0",""),"-",""))+LEN(SUBSTITUTE(SUBSTITUTE(SUBSTITUTE(C335," ",""),"0",""),"-",""))),1,0))+IF(UPPER(D336)="X",0,IF((LEN(SUBSTITUTE(SUBSTITUTE(SUBSTITUTE(E336," ",""),"0",""),"-",""))+LEN(SUBSTITUTE(SUBSTITUTE(SUBSTITUTE(F336," ",""),"0",""),"-","")))&gt;(LEN(SUBSTITUTE(SUBSTITUTE(SUBSTITUTE(B336," ",""),"0",""),"-",""))+LEN(SUBSTITUTE(SUBSTITUTE(SUBSTITUTE(C336," ",""),"0",""),"-",""))),1,0))</f>
      </c>
      <c r="G331" s="14" t="str">
        <f>data!$E$26&amp;" "&amp;data!$B$26</f>
      </c>
      <c r="I331" s="14" t="str">
        <f>data!$E$72&amp;" "&amp;data!$B$72</f>
      </c>
      <c r="J331" s="14" t="str">
        <f>IF(UPPER(L332)="X",0,IF((LEN(SUBSTITUTE(SUBSTITUTE(SUBSTITUTE(J332," ",""),"0",""),"-",""))+LEN(SUBSTITUTE(SUBSTITUTE(SUBSTITUTE(K332," ",""),"0",""),"-","")))&gt;(LEN(SUBSTITUTE(SUBSTITUTE(SUBSTITUTE(M332," ",""),"0",""),"-",""))+LEN(SUBSTITUTE(SUBSTITUTE(SUBSTITUTE(N332," ",""),"0",""),"-",""))),1,0))+IF(UPPER(L333)="X",0,IF((LEN(SUBSTITUTE(SUBSTITUTE(SUBSTITUTE(J333," ",""),"0",""),"-",""))+LEN(SUBSTITUTE(SUBSTITUTE(SUBSTITUTE(K333," ",""),"0",""),"-","")))&gt;(LEN(SUBSTITUTE(SUBSTITUTE(SUBSTITUTE(M333," ",""),"0",""),"-",""))+LEN(SUBSTITUTE(SUBSTITUTE(SUBSTITUTE(N333," ",""),"0",""),"-",""))),1,0))+IF(UPPER(L334)="X",0,IF((LEN(SUBSTITUTE(SUBSTITUTE(SUBSTITUTE(J334," ",""),"0",""),"-",""))+LEN(SUBSTITUTE(SUBSTITUTE(SUBSTITUTE(K334," ",""),"0",""),"-","")))&gt;(LEN(SUBSTITUTE(SUBSTITUTE(SUBSTITUTE(M334," ",""),"0",""),"-",""))+LEN(SUBSTITUTE(SUBSTITUTE(SUBSTITUTE(N334," ",""),"0",""),"-",""))),1,0))+IF(UPPER(L335)="X",0,IF((LEN(SUBSTITUTE(SUBSTITUTE(SUBSTITUTE(J335," ",""),"0",""),"-",""))+LEN(SUBSTITUTE(SUBSTITUTE(SUBSTITUTE(K335," ",""),"0",""),"-","")))&gt;(LEN(SUBSTITUTE(SUBSTITUTE(SUBSTITUTE(M335," ",""),"0",""),"-",""))+LEN(SUBSTITUTE(SUBSTITUTE(SUBSTITUTE(N335," ",""),"0",""),"-",""))),1,0))+IF(UPPER(L336)="X",0,IF((LEN(SUBSTITUTE(SUBSTITUTE(SUBSTITUTE(J336," ",""),"0",""),"-",""))+LEN(SUBSTITUTE(SUBSTITUTE(SUBSTITUTE(K336," ",""),"0",""),"-","")))&gt;(LEN(SUBSTITUTE(SUBSTITUTE(SUBSTITUTE(M336," ",""),"0",""),"-",""))+LEN(SUBSTITUTE(SUBSTITUTE(SUBSTITUTE(N336," ",""),"0",""),"-",""))),1,0))</f>
      </c>
      <c r="K331" s="14" t="str">
        <f>LEN(SUBSTITUTE(SUBSTITUTE(SUBSTITUTE(J332," ",""),"0",""),"-",""))+LEN(SUBSTITUTE(SUBSTITUTE(SUBSTITUTE(K332," ",""),"0",""),"-",""))+LEN(SUBSTITUTE(SUBSTITUTE(SUBSTITUTE(J333," ",""),"0",""),"-",""))+LEN(SUBSTITUTE(SUBSTITUTE(SUBSTITUTE(K333," ",""),"0",""),"-",""))+LEN(SUBSTITUTE(SUBSTITUTE(SUBSTITUTE(J334," ",""),"0",""),"-",""))+LEN(SUBSTITUTE(SUBSTITUTE(SUBSTITUTE(K334," ",""),"0",""),"-",""))+LEN(SUBSTITUTE(SUBSTITUTE(SUBSTITUTE(J335," ",""),"0",""),"-",""))+LEN(SUBSTITUTE(SUBSTITUTE(SUBSTITUTE(K335," ",""),"0",""),"-",""))+LEN(SUBSTITUTE(SUBSTITUTE(SUBSTITUTE(J336," ",""),"0",""),"-",""))+LEN(SUBSTITUTE(SUBSTITUTE(SUBSTITUTE(K336," ",""),"0",""),"-",""))</f>
      </c>
      <c r="L331" s="18"/>
      <c r="M331" s="14" t="str">
        <f>LEN(SUBSTITUTE(SUBSTITUTE(SUBSTITUTE(M332," ",""),"0",""),"-",""))+LEN(SUBSTITUTE(SUBSTITUTE(SUBSTITUTE(N332," ",""),"0",""),"-",""))+LEN(SUBSTITUTE(SUBSTITUTE(SUBSTITUTE(M333," ",""),"0",""),"-",""))+LEN(SUBSTITUTE(SUBSTITUTE(SUBSTITUTE(N333," ",""),"0",""),"-",""))+LEN(SUBSTITUTE(SUBSTITUTE(SUBSTITUTE(M334," ",""),"0",""),"-",""))+LEN(SUBSTITUTE(SUBSTITUTE(SUBSTITUTE(N334," ",""),"0",""),"-",""))+LEN(SUBSTITUTE(SUBSTITUTE(SUBSTITUTE(M335," ",""),"0",""),"-",""))+LEN(SUBSTITUTE(SUBSTITUTE(SUBSTITUTE(N335," ",""),"0",""),"-",""))+LEN(SUBSTITUTE(SUBSTITUTE(SUBSTITUTE(M336," ",""),"0",""),"-",""))+LEN(SUBSTITUTE(SUBSTITUTE(SUBSTITUTE(N336," ",""),"0",""),"-",""))</f>
      </c>
      <c r="N331" s="14" t="str">
        <f>IF(UPPER(L332)="X",0,IF((LEN(SUBSTITUTE(SUBSTITUTE(SUBSTITUTE(M332," ",""),"0",""),"-",""))+LEN(SUBSTITUTE(SUBSTITUTE(SUBSTITUTE(N332," ",""),"0",""),"-","")))&gt;(LEN(SUBSTITUTE(SUBSTITUTE(SUBSTITUTE(J332," ",""),"0",""),"-",""))+LEN(SUBSTITUTE(SUBSTITUTE(SUBSTITUTE(K332," ",""),"0",""),"-",""))),1,0))+IF(UPPER(L333)="X",0,IF((LEN(SUBSTITUTE(SUBSTITUTE(SUBSTITUTE(M333," ",""),"0",""),"-",""))+LEN(SUBSTITUTE(SUBSTITUTE(SUBSTITUTE(N333," ",""),"0",""),"-","")))&gt;(LEN(SUBSTITUTE(SUBSTITUTE(SUBSTITUTE(J333," ",""),"0",""),"-",""))+LEN(SUBSTITUTE(SUBSTITUTE(SUBSTITUTE(K333," ",""),"0",""),"-",""))),1,0))+IF(UPPER(L334)="X",0,IF((LEN(SUBSTITUTE(SUBSTITUTE(SUBSTITUTE(M334," ",""),"0",""),"-",""))+LEN(SUBSTITUTE(SUBSTITUTE(SUBSTITUTE(N334," ",""),"0",""),"-","")))&gt;(LEN(SUBSTITUTE(SUBSTITUTE(SUBSTITUTE(J334," ",""),"0",""),"-",""))+LEN(SUBSTITUTE(SUBSTITUTE(SUBSTITUTE(K334," ",""),"0",""),"-",""))),1,0))+IF(UPPER(L335)="X",0,IF((LEN(SUBSTITUTE(SUBSTITUTE(SUBSTITUTE(M335," ",""),"0",""),"-",""))+LEN(SUBSTITUTE(SUBSTITUTE(SUBSTITUTE(N335," ",""),"0",""),"-","")))&gt;(LEN(SUBSTITUTE(SUBSTITUTE(SUBSTITUTE(J335," ",""),"0",""),"-",""))+LEN(SUBSTITUTE(SUBSTITUTE(SUBSTITUTE(K335," ",""),"0",""),"-",""))),1,0))+IF(UPPER(L336)="X",0,IF((LEN(SUBSTITUTE(SUBSTITUTE(SUBSTITUTE(M336," ",""),"0",""),"-",""))+LEN(SUBSTITUTE(SUBSTITUTE(SUBSTITUTE(N336," ",""),"0",""),"-","")))&gt;(LEN(SUBSTITUTE(SUBSTITUTE(SUBSTITUTE(J336," ",""),"0",""),"-",""))+LEN(SUBSTITUTE(SUBSTITUTE(SUBSTITUTE(K336," ",""),"0",""),"-",""))),1,0))</f>
      </c>
      <c r="O331" s="14" t="str">
        <f>data!$E$71&amp;" "&amp;data!$B$71</f>
      </c>
    </row>
    <row r="332">
      <c r="A332" s="14">
        <v>1</v>
      </c>
      <c r="B332" s="18"/>
      <c r="C332" s="18"/>
      <c r="D332" s="18"/>
      <c r="E332" s="18"/>
      <c r="F332" s="18"/>
      <c r="G332" s="14">
        <v>1</v>
      </c>
      <c r="I332" s="14">
        <v>1</v>
      </c>
      <c r="J332" s="18"/>
      <c r="K332" s="18"/>
      <c r="L332" s="18"/>
      <c r="M332" s="18"/>
      <c r="N332" s="18"/>
      <c r="O332" s="14">
        <v>1</v>
      </c>
    </row>
    <row r="333">
      <c r="A333" s="14">
        <v>2</v>
      </c>
      <c r="B333" s="18"/>
      <c r="C333" s="18"/>
      <c r="D333" s="18"/>
      <c r="E333" s="18"/>
      <c r="F333" s="18"/>
      <c r="G333" s="14">
        <v>2</v>
      </c>
      <c r="I333" s="14">
        <v>2</v>
      </c>
      <c r="J333" s="18"/>
      <c r="K333" s="18"/>
      <c r="L333" s="18"/>
      <c r="M333" s="18"/>
      <c r="N333" s="18"/>
      <c r="O333" s="14">
        <v>2</v>
      </c>
    </row>
    <row r="334">
      <c r="A334" s="14">
        <v>3</v>
      </c>
      <c r="B334" s="18"/>
      <c r="C334" s="18"/>
      <c r="D334" s="18"/>
      <c r="E334" s="18"/>
      <c r="F334" s="18"/>
      <c r="G334" s="14">
        <v>3</v>
      </c>
      <c r="I334" s="14">
        <v>3</v>
      </c>
      <c r="J334" s="18"/>
      <c r="K334" s="18"/>
      <c r="L334" s="18"/>
      <c r="M334" s="18"/>
      <c r="N334" s="18"/>
      <c r="O334" s="14">
        <v>3</v>
      </c>
    </row>
    <row r="335">
      <c r="A335" s="14">
        <v>4</v>
      </c>
      <c r="B335" s="18"/>
      <c r="C335" s="18"/>
      <c r="D335" s="18"/>
      <c r="E335" s="18"/>
      <c r="F335" s="18"/>
      <c r="G335" s="14">
        <v>4</v>
      </c>
      <c r="I335" s="14">
        <v>4</v>
      </c>
      <c r="J335" s="18"/>
      <c r="K335" s="18"/>
      <c r="L335" s="18"/>
      <c r="M335" s="18"/>
      <c r="N335" s="18"/>
      <c r="O335" s="14">
        <v>4</v>
      </c>
    </row>
    <row r="336">
      <c r="A336" s="14">
        <v>5</v>
      </c>
      <c r="B336" s="18"/>
      <c r="C336" s="18"/>
      <c r="D336" s="18"/>
      <c r="E336" s="18"/>
      <c r="F336" s="18"/>
      <c r="G336" s="14">
        <v>5</v>
      </c>
      <c r="I336" s="14">
        <v>5</v>
      </c>
      <c r="J336" s="18"/>
      <c r="K336" s="18"/>
      <c r="L336" s="18"/>
      <c r="M336" s="18"/>
      <c r="N336" s="18"/>
      <c r="O336" s="14">
        <v>5</v>
      </c>
    </row>
    <row r="339">
      <c r="A339" s="13" t="s">
        <v>333</v>
      </c>
      <c r="B339" s="13" t="s">
        <v>334</v>
      </c>
      <c r="C339" s="13" t="s">
        <v>335</v>
      </c>
      <c r="D339" s="13" t="s">
        <v>336</v>
      </c>
      <c r="E339" s="13"/>
      <c r="F339" s="13"/>
      <c r="G339" s="13" t="s">
        <v>337</v>
      </c>
      <c r="I339" s="13" t="s">
        <v>333</v>
      </c>
      <c r="J339" s="13" t="s">
        <v>334</v>
      </c>
      <c r="K339" s="13" t="s">
        <v>335</v>
      </c>
      <c r="L339" s="13" t="s">
        <v>336</v>
      </c>
      <c r="M339" s="13"/>
      <c r="N339" s="13"/>
      <c r="O339" s="13" t="s">
        <v>337</v>
      </c>
    </row>
    <row r="340">
      <c r="A340" s="14" t="str">
        <f>data!$E$25&amp;" "&amp;data!$B$25</f>
      </c>
      <c r="B340" s="14" t="str">
        <f>IF(OR(COUNTA(B316:C320,E316:F320)&gt;0,D316="X",D316="x",D317="X",D317="x",D318="X",D318="x",D319="X",D319="x",D320="X",D320="x",OR(D315="X",D315="x")),IF(OR(OR(D315="X",D315="x"),AND(B315=F315,C315=E315)),0,IF(OR(F315&gt;B315,AND(F315=B315,E315&gt;C315)),1,0)),0)+IF(OR(COUNTA(B324:C328,E324:F328)&gt;0,D324="X",D324="x",D325="X",D325="x",D326="X",D326="x",D327="X",D327="x",D328="X",D328="x",OR(D323="X",D323="x")),IF(OR(OR(D323="X",D323="x"),AND(B323=F323,C323=E323)),0,IF(OR(F323&gt;B323,AND(F323=B323,E323&gt;C323)),1,0)),0)</f>
      </c>
      <c r="C340" s="14" t="str">
        <f>IF(OR(COUNTA(B316:C320,E316:F320)&gt;0,D316="X",D316="x",D317="X",D317="x",D318="X",D318="x",D319="X",D319="x",D320="X",D320="x",OR(D315="X",D315="x")),IF(OR(OR(D315="X",D315="x"),AND(B315=F315,C315=E315)),0,IF(OR(F315&lt;B315,AND(F315=B315,E315&lt;C315)),1,0)),0)+IF(OR(COUNTA(B324:C328,E324:F328)&gt;0,D324="X",D324="x",D325="X",D325="x",D326="X",D326="x",D327="X",D327="x",D328="X",D328="x",OR(D323="X",D323="x")),IF(OR(OR(D323="X",D323="x"),AND(B323=F323,C323=E323)),0,IF(OR(F323&lt;B323,AND(F323=B323,E323&lt;C323)),1,0)),0)</f>
      </c>
      <c r="D340" s="14" t="str">
        <f>IF(OR(COUNTA(B316:C320,E316:F320)&gt;0,D316="X",D316="x",D317="X",D317="x",D318="X",D318="x",D319="X",D319="x",D320="X",D320="x",OR(D315="X",D315="x")),IF(OR(OR(D315="X",D315="x"),AND(B315=F315,C315=E315)),1,0),0)+IF(OR(COUNTA(B324:C328,E324:F328)&gt;0,D324="X",D324="x",D325="X",D325="x",D326="X",D326="x",D327="X",D327="x",D328="X",D328="x",OR(D323="X",D323="x")),IF(OR(OR(D323="X",D323="x"),AND(B323=F323,C323=E323)),1,0),0)</f>
      </c>
      <c r="G340" s="18" t="str">
        <f>RANK(U340,$U$340:$U$342)+COUNTIF($U$339:U339,U340)</f>
      </c>
      <c r="I340" s="14" t="str">
        <f>data!$E$70&amp;" "&amp;data!$B$70</f>
      </c>
      <c r="J340" s="14" t="str">
        <f>IF(OR(COUNTA(J316:K320,M316:N320)&gt;0,L316="X",L316="x",L317="X",L317="x",L318="X",L318="x",L319="X",L319="x",L320="X",L320="x",OR(L315="X",L315="x")),IF(OR(OR(L315="X",L315="x"),AND(J315=N315,K315=M315)),0,IF(OR(N315&gt;J315,AND(N315=J315,M315&gt;K315)),1,0)),0)+IF(OR(COUNTA(J324:K328,M324:N328)&gt;0,L324="X",L324="x",L325="X",L325="x",L326="X",L326="x",L327="X",L327="x",L328="X",L328="x",OR(L323="X",L323="x")),IF(OR(OR(L323="X",L323="x"),AND(J323=N323,K323=M323)),0,IF(OR(N323&gt;J323,AND(N323=J323,M323&gt;K323)),1,0)),0)</f>
      </c>
      <c r="K340" s="14" t="str">
        <f>IF(OR(COUNTA(J316:K320,M316:N320)&gt;0,L316="X",L316="x",L317="X",L317="x",L318="X",L318="x",L319="X",L319="x",L320="X",L320="x",OR(L315="X",L315="x")),IF(OR(OR(L315="X",L315="x"),AND(J315=N315,K315=M315)),0,IF(OR(N315&lt;J315,AND(N315=J315,M315&lt;K315)),1,0)),0)+IF(OR(COUNTA(J324:K328,M324:N328)&gt;0,L324="X",L324="x",L325="X",L325="x",L326="X",L326="x",L327="X",L327="x",L328="X",L328="x",OR(L323="X",L323="x")),IF(OR(OR(L323="X",L323="x"),AND(J323=N323,K323=M323)),0,IF(OR(N323&lt;J323,AND(N323=J323,M323&lt;K323)),1,0)),0)</f>
      </c>
      <c r="L340" s="14" t="str">
        <f>IF(OR(COUNTA(J316:K320,M316:N320)&gt;0,L316="X",L316="x",L317="X",L317="x",L318="X",L318="x",L319="X",L319="x",L320="X",L320="x",OR(L315="X",L315="x")),IF(OR(OR(L315="X",L315="x"),AND(J315=N315,K315=M315)),1,0),0)+IF(OR(COUNTA(J324:K328,M324:N328)&gt;0,L324="X",L324="x",L325="X",L325="x",L326="X",L326="x",L327="X",L327="x",L328="X",L328="x",OR(L323="X",L323="x")),IF(OR(OR(L323="X",L323="x"),AND(J323=N323,K323=M323)),1,0),0)</f>
      </c>
      <c r="O340" s="18" t="str">
        <f>RANK(AC340,$AC$340:$AC$342)+COUNTIF($AC$339:AC339,AC340)</f>
      </c>
      <c r="U340" t="str">
        <f>(B340*1000000000)-(C340*10000000)+(D340*100000)+(B345*1000)-(C345*100)+(D345*10)+(E345*1)-(F345*0.01)</f>
      </c>
      <c r="AC340" t="str">
        <f>(J340*1000000000)-(K340*10000000)+(L340*100000)+(J345*1000)-(K345*100)+(L345*10)+(M345*1)-(N345*0.01)</f>
      </c>
    </row>
    <row r="341">
      <c r="A341" s="14" t="str">
        <f>data!$E$26&amp;" "&amp;data!$B$26</f>
      </c>
      <c r="B341" s="14" t="str">
        <f>IF(OR(COUNTA(B316:C320,E316:F320)&gt;0,D316="X",D316="x",D317="X",D317="x",D318="X",D318="x",D319="X",D319="x",D320="X",D320="x",OR(D315="X",D315="x")),IF(OR(OR(D315="X",D315="x"),AND(B315=F315,C315=E315)),0,IF(OR(B315&gt;F315,AND(B315=F315,C315&gt;E315)),1,0)),0)+IF(OR(COUNTA(B332:C336,E332:F336)&gt;0,D332="X",D332="x",D333="X",D333="x",D334="X",D334="x",D335="X",D335="x",D336="X",D336="x",OR(D331="X",D331="x")),IF(OR(OR(D331="X",D331="x"),AND(B331=F331,C331=E331)),0,IF(OR(F331&gt;B331,AND(F331=B331,E331&gt;C331)),1,0)),0)</f>
      </c>
      <c r="C341" s="14" t="str">
        <f>IF(OR(COUNTA(B316:C320,E316:F320)&gt;0,D316="X",D316="x",D317="X",D317="x",D318="X",D318="x",D319="X",D319="x",D320="X",D320="x",OR(D315="X",D315="x")),IF(OR(OR(D315="X",D315="x"),AND(B315=F315,C315=E315)),0,IF(OR(B315&lt;F315,AND(B315=F315,C315&lt;E315)),1,0)),0)+IF(OR(COUNTA(B332:C336,E332:F336)&gt;0,D332="X",D332="x",D333="X",D333="x",D334="X",D334="x",D335="X",D335="x",D336="X",D336="x",OR(D331="X",D331="x")),IF(OR(OR(D331="X",D331="x"),AND(B331=F331,C331=E331)),0,IF(OR(F331&lt;B331,AND(F331=B331,E331&lt;C331)),1,0)),0)</f>
      </c>
      <c r="D341" s="14" t="str">
        <f>IF(OR(COUNTA(B316:C320,E316:F320)&gt;0,D316="X",D316="x",D317="X",D317="x",D318="X",D318="x",D319="X",D319="x",D320="X",D320="x",OR(D315="X",D315="x")),IF(OR(OR(D315="X",D315="x"),AND(B315=F315,C315=E315)),1,0),0)+IF(OR(COUNTA(B332:C336,E332:F336)&gt;0,D332="X",D332="x",D333="X",D333="x",D334="X",D334="x",D335="X",D335="x",D336="X",D336="x",OR(D331="X",D331="x")),IF(OR(OR(D331="X",D331="x"),AND(B331=F331,C331=E331)),1,0),0)</f>
      </c>
      <c r="G341" s="18" t="str">
        <f>RANK(U341,$U$340:$U$342)+COUNTIF($U$339:U340,U341)</f>
      </c>
      <c r="I341" s="14" t="str">
        <f>data!$E$71&amp;" "&amp;data!$B$71</f>
      </c>
      <c r="J341" s="14" t="str">
        <f>IF(OR(COUNTA(J316:K320,M316:N320)&gt;0,L316="X",L316="x",L317="X",L317="x",L318="X",L318="x",L319="X",L319="x",L320="X",L320="x",OR(L315="X",L315="x")),IF(OR(OR(L315="X",L315="x"),AND(J315=N315,K315=M315)),0,IF(OR(J315&gt;N315,AND(J315=N315,K315&gt;M315)),1,0)),0)+IF(OR(COUNTA(J332:K336,M332:N336)&gt;0,L332="X",L332="x",L333="X",L333="x",L334="X",L334="x",L335="X",L335="x",L336="X",L336="x",OR(L331="X",L331="x")),IF(OR(OR(L331="X",L331="x"),AND(J331=N331,K331=M331)),0,IF(OR(N331&gt;J331,AND(N331=J331,M331&gt;K331)),1,0)),0)</f>
      </c>
      <c r="K341" s="14" t="str">
        <f>IF(OR(COUNTA(J316:K320,M316:N320)&gt;0,L316="X",L316="x",L317="X",L317="x",L318="X",L318="x",L319="X",L319="x",L320="X",L320="x",OR(L315="X",L315="x")),IF(OR(OR(L315="X",L315="x"),AND(J315=N315,K315=M315)),0,IF(OR(J315&lt;N315,AND(J315=N315,K315&lt;M315)),1,0)),0)+IF(OR(COUNTA(J332:K336,M332:N336)&gt;0,L332="X",L332="x",L333="X",L333="x",L334="X",L334="x",L335="X",L335="x",L336="X",L336="x",OR(L331="X",L331="x")),IF(OR(OR(L331="X",L331="x"),AND(J331=N331,K331=M331)),0,IF(OR(N331&lt;J331,AND(N331=J331,M331&lt;K331)),1,0)),0)</f>
      </c>
      <c r="L341" s="14" t="str">
        <f>IF(OR(COUNTA(J316:K320,M316:N320)&gt;0,L316="X",L316="x",L317="X",L317="x",L318="X",L318="x",L319="X",L319="x",L320="X",L320="x",OR(L315="X",L315="x")),IF(OR(OR(L315="X",L315="x"),AND(J315=N315,K315=M315)),1,0),0)+IF(OR(COUNTA(J332:K336,M332:N336)&gt;0,L332="X",L332="x",L333="X",L333="x",L334="X",L334="x",L335="X",L335="x",L336="X",L336="x",OR(L331="X",L331="x")),IF(OR(OR(L331="X",L331="x"),AND(J331=N331,K331=M331)),1,0),0)</f>
      </c>
      <c r="O341" s="18" t="str">
        <f>RANK(AC341,$AC$340:$AC$342)+COUNTIF($AC$339:AC340,AC341)</f>
      </c>
      <c r="U341" t="str">
        <f>(B341*1000000000)-(C341*10000000)+(D341*100000)+(B346*1000)-(C346*100)+(D346*10)+(E346*1)-(F346*0.01)</f>
      </c>
      <c r="AC341" t="str">
        <f>(J341*1000000000)-(K341*10000000)+(L341*100000)+(J346*1000)-(K346*100)+(L346*10)+(M346*1)-(N346*0.01)</f>
      </c>
    </row>
    <row r="342">
      <c r="A342" s="14" t="str">
        <f>data!$E$27&amp;" "&amp;data!$B$27</f>
      </c>
      <c r="B342" s="14" t="str">
        <f>IF(OR(COUNTA(B324:C328,E324:F328)&gt;0,D324="X",D324="x",D325="X",D325="x",D326="X",D326="x",D327="X",D327="x",D328="X",D328="x",OR(D323="X",D323="x")),IF(OR(OR(D323="X",D323="x"),AND(B323=F323,C323=E323)),0,IF(OR(B323&gt;F323,AND(B323=F323,C323&gt;E323)),1,0)),0)+IF(OR(COUNTA(B332:C336,E332:F336)&gt;0,D332="X",D332="x",D333="X",D333="x",D334="X",D334="x",D335="X",D335="x",D336="X",D336="x",OR(D331="X",D331="x")),IF(OR(OR(D331="X",D331="x"),AND(B331=F331,C331=E331)),0,IF(OR(B331&gt;F331,AND(B331=F331,C331&gt;E331)),1,0)),0)</f>
      </c>
      <c r="C342" s="14" t="str">
        <f>IF(OR(COUNTA(B324:C328,E324:F328)&gt;0,D324="X",D324="x",D325="X",D325="x",D326="X",D326="x",D327="X",D327="x",D328="X",D328="x",OR(D323="X",D323="x")),IF(OR(OR(D323="X",D323="x"),AND(B323=F323,C323=E323)),0,IF(OR(B323&lt;F323,AND(B323=F323,C323&lt;E323)),1,0)),0)+IF(OR(COUNTA(B332:C336,E332:F336)&gt;0,D332="X",D332="x",D333="X",D333="x",D334="X",D334="x",D335="X",D335="x",D336="X",D336="x",OR(D331="X",D331="x")),IF(OR(OR(D331="X",D331="x"),AND(B331=F331,C331=E331)),0,IF(OR(B331&lt;F331,AND(B331=F331,C331&lt;E331)),1,0)),0)</f>
      </c>
      <c r="D342" s="14" t="str">
        <f>IF(OR(COUNTA(B324:C328,E324:F328)&gt;0,D324="X",D324="x",D325="X",D325="x",D326="X",D326="x",D327="X",D327="x",D328="X",D328="x",OR(D323="X",D323="x")),IF(OR(OR(D323="X",D323="x"),AND(B323=F323,C323=E323)),1,0),0)+IF(OR(COUNTA(B332:C336,E332:F336)&gt;0,D332="X",D332="x",D333="X",D333="x",D334="X",D334="x",D335="X",D335="x",D336="X",D336="x",OR(D331="X",D331="x")),IF(OR(OR(D331="X",D331="x"),AND(B331=F331,C331=E331)),1,0),0)</f>
      </c>
      <c r="G342" s="18" t="str">
        <f>RANK(U342,$U$340:$U$342)+COUNTIF($U$339:U341,U342)</f>
      </c>
      <c r="I342" s="14" t="str">
        <f>data!$E$72&amp;" "&amp;data!$B$72</f>
      </c>
      <c r="J342" s="14" t="str">
        <f>IF(OR(COUNTA(J324:K328,M324:N328)&gt;0,L324="X",L324="x",L325="X",L325="x",L326="X",L326="x",L327="X",L327="x",L328="X",L328="x",OR(L323="X",L323="x")),IF(OR(OR(L323="X",L323="x"),AND(J323=N323,K323=M323)),0,IF(OR(J323&gt;N323,AND(J323=N323,K323&gt;M323)),1,0)),0)+IF(OR(COUNTA(J332:K336,M332:N336)&gt;0,L332="X",L332="x",L333="X",L333="x",L334="X",L334="x",L335="X",L335="x",L336="X",L336="x",OR(L331="X",L331="x")),IF(OR(OR(L331="X",L331="x"),AND(J331=N331,K331=M331)),0,IF(OR(J331&gt;N331,AND(J331=N331,K331&gt;M331)),1,0)),0)</f>
      </c>
      <c r="K342" s="14" t="str">
        <f>IF(OR(COUNTA(J324:K328,M324:N328)&gt;0,L324="X",L324="x",L325="X",L325="x",L326="X",L326="x",L327="X",L327="x",L328="X",L328="x",OR(L323="X",L323="x")),IF(OR(OR(L323="X",L323="x"),AND(J323=N323,K323=M323)),0,IF(OR(J323&lt;N323,AND(J323=N323,K323&lt;M323)),1,0)),0)+IF(OR(COUNTA(J332:K336,M332:N336)&gt;0,L332="X",L332="x",L333="X",L333="x",L334="X",L334="x",L335="X",L335="x",L336="X",L336="x",OR(L331="X",L331="x")),IF(OR(OR(L331="X",L331="x"),AND(J331=N331,K331=M331)),0,IF(OR(J331&lt;N331,AND(J331=N331,K331&lt;M331)),1,0)),0)</f>
      </c>
      <c r="L342" s="14" t="str">
        <f>IF(OR(COUNTA(J324:K328,M324:N328)&gt;0,L324="X",L324="x",L325="X",L325="x",L326="X",L326="x",L327="X",L327="x",L328="X",L328="x",OR(L323="X",L323="x")),IF(OR(OR(L323="X",L323="x"),AND(J323=N323,K323=M323)),1,0),0)+IF(OR(COUNTA(J332:K336,M332:N336)&gt;0,L332="X",L332="x",L333="X",L333="x",L334="X",L334="x",L335="X",L335="x",L336="X",L336="x",OR(L331="X",L331="x")),IF(OR(OR(L331="X",L331="x"),AND(J331=N331,K331=M331)),1,0),0)</f>
      </c>
      <c r="O342" s="18" t="str">
        <f>RANK(AC342,$AC$340:$AC$342)+COUNTIF($AC$339:AC341,AC342)</f>
      </c>
      <c r="U342" t="str">
        <f>(B342*1000000000)-(C342*10000000)+(D342*100000)+(B347*1000)-(C347*100)+(D347*10)+(E347*1)-(F347*0.01)</f>
      </c>
      <c r="AC342" t="str">
        <f>(J342*1000000000)-(K342*10000000)+(L342*100000)+(J347*1000)-(K347*100)+(L347*10)+(M347*1)-(N347*0.01)</f>
      </c>
    </row>
    <row r="344">
      <c r="A344" s="13"/>
      <c r="B344" s="13" t="s">
        <v>338</v>
      </c>
      <c r="C344" s="13" t="s">
        <v>339</v>
      </c>
      <c r="D344" s="13" t="s">
        <v>340</v>
      </c>
      <c r="E344" s="13" t="s">
        <v>341</v>
      </c>
      <c r="F344" s="13" t="s">
        <v>342</v>
      </c>
      <c r="I344" s="13"/>
      <c r="J344" s="13" t="s">
        <v>338</v>
      </c>
      <c r="K344" s="13" t="s">
        <v>339</v>
      </c>
      <c r="L344" s="13" t="s">
        <v>340</v>
      </c>
      <c r="M344" s="13" t="s">
        <v>341</v>
      </c>
      <c r="N344" s="13" t="s">
        <v>342</v>
      </c>
    </row>
    <row r="345">
      <c r="A345" s="14" t="str">
        <f>data!$E$25&amp;" "&amp;data!$B$25</f>
      </c>
      <c r="B345" s="14" t="str">
        <f>IF(OR(COUNTA(B316:C320,E316:F320)&gt;0,OR(D315="X",D315="x"),UPPER(D316)="X",UPPER(D317)="X",UPPER(D318)="X",UPPER(D319)="X",UPPER(D320)="X"),F315,0)+IF(OR(COUNTA(B324:C328,E324:F328)&gt;0,OR(D323="X",D323="x"),UPPER(D324)="X",UPPER(D325)="X",UPPER(D326)="X",UPPER(D327)="X",UPPER(D328)="X"),F323,0)</f>
      </c>
      <c r="C345" s="14" t="str">
        <f>IF(OR(COUNTA(B316:C320,E316:F320)&gt;0,OR(D315="X",D315="x"),UPPER(D316)="X",UPPER(D317)="X",UPPER(D318)="X",UPPER(D319)="X",UPPER(D320)="X"),B315,0)+IF(OR(COUNTA(B324:C328,E324:F328)&gt;0,OR(D323="X",D323="x"),UPPER(D324)="X",UPPER(D325)="X",UPPER(D326)="X",UPPER(D327)="X",UPPER(D328)="X"),B323,0)</f>
      </c>
      <c r="D345" s="14" t="str">
        <f>IF(OR(COUNTA(B316:C320,E316:F320)&gt;0,OR(D315="X",D315="x"),UPPER(D316)="X",UPPER(D317)="X",UPPER(D318)="X",UPPER(D319)="X",UPPER(D320)="X"),(IF(OR(D316="X",D316="x",AND(COUNTA(B316,C316,E316,F316)&gt;0,(LEN(SUBSTITUTE(SUBSTITUTE(SUBSTITUTE(B316," ",""),"0",""),"-",""))+LEN(SUBSTITUTE(SUBSTITUTE(SUBSTITUTE(C316," ",""),"0",""),"-","")))=(LEN(SUBSTITUTE(SUBSTITUTE(SUBSTITUTE(E316," ",""),"0",""),"-",""))+LEN(SUBSTITUTE(SUBSTITUTE(SUBSTITUTE(F316," ",""),"0",""),"-",""))))),1,0)+IF(OR(D317="X",D317="x",AND(COUNTA(B317,C317,E317,F317)&gt;0,(LEN(SUBSTITUTE(SUBSTITUTE(SUBSTITUTE(B317," ",""),"0",""),"-",""))+LEN(SUBSTITUTE(SUBSTITUTE(SUBSTITUTE(C317," ",""),"0",""),"-","")))=(LEN(SUBSTITUTE(SUBSTITUTE(SUBSTITUTE(E317," ",""),"0",""),"-",""))+LEN(SUBSTITUTE(SUBSTITUTE(SUBSTITUTE(F317," ",""),"0",""),"-",""))))),1,0)+IF(OR(D318="X",D318="x",AND(COUNTA(B318,C318,E318,F318)&gt;0,(LEN(SUBSTITUTE(SUBSTITUTE(SUBSTITUTE(B318," ",""),"0",""),"-",""))+LEN(SUBSTITUTE(SUBSTITUTE(SUBSTITUTE(C318," ",""),"0",""),"-","")))=(LEN(SUBSTITUTE(SUBSTITUTE(SUBSTITUTE(E318," ",""),"0",""),"-",""))+LEN(SUBSTITUTE(SUBSTITUTE(SUBSTITUTE(F318," ",""),"0",""),"-",""))))),1,0)+IF(OR(D319="X",D319="x",AND(COUNTA(B319,C319,E319,F319)&gt;0,(LEN(SUBSTITUTE(SUBSTITUTE(SUBSTITUTE(B319," ",""),"0",""),"-",""))+LEN(SUBSTITUTE(SUBSTITUTE(SUBSTITUTE(C319," ",""),"0",""),"-","")))=(LEN(SUBSTITUTE(SUBSTITUTE(SUBSTITUTE(E319," ",""),"0",""),"-",""))+LEN(SUBSTITUTE(SUBSTITUTE(SUBSTITUTE(F319," ",""),"0",""),"-",""))))),1,0)+IF(OR(D320="X",D320="x",AND(COUNTA(B320,C320,E320,F320)&gt;0,(LEN(SUBSTITUTE(SUBSTITUTE(SUBSTITUTE(B320," ",""),"0",""),"-",""))+LEN(SUBSTITUTE(SUBSTITUTE(SUBSTITUTE(C320," ",""),"0",""),"-","")))=(LEN(SUBSTITUTE(SUBSTITUTE(SUBSTITUTE(E320," ",""),"0",""),"-",""))+LEN(SUBSTITUTE(SUBSTITUTE(SUBSTITUTE(F320," ",""),"0",""),"-",""))))),1,0)),0)+IF(OR(COUNTA(B324:C328,E324:F328)&gt;0,OR(D323="X",D323="x"),UPPER(D324)="X",UPPER(D325)="X",UPPER(D326)="X",UPPER(D327)="X",UPPER(D328)="X"),(IF(OR(D324="X",D324="x",AND(COUNTA(B324,C324,E324,F324)&gt;0,(LEN(SUBSTITUTE(SUBSTITUTE(SUBSTITUTE(B324," ",""),"0",""),"-",""))+LEN(SUBSTITUTE(SUBSTITUTE(SUBSTITUTE(C324," ",""),"0",""),"-","")))=(LEN(SUBSTITUTE(SUBSTITUTE(SUBSTITUTE(E324," ",""),"0",""),"-",""))+LEN(SUBSTITUTE(SUBSTITUTE(SUBSTITUTE(F324," ",""),"0",""),"-",""))))),1,0)+IF(OR(D325="X",D325="x",AND(COUNTA(B325,C325,E325,F325)&gt;0,(LEN(SUBSTITUTE(SUBSTITUTE(SUBSTITUTE(B325," ",""),"0",""),"-",""))+LEN(SUBSTITUTE(SUBSTITUTE(SUBSTITUTE(C325," ",""),"0",""),"-","")))=(LEN(SUBSTITUTE(SUBSTITUTE(SUBSTITUTE(E325," ",""),"0",""),"-",""))+LEN(SUBSTITUTE(SUBSTITUTE(SUBSTITUTE(F325," ",""),"0",""),"-",""))))),1,0)+IF(OR(D326="X",D326="x",AND(COUNTA(B326,C326,E326,F326)&gt;0,(LEN(SUBSTITUTE(SUBSTITUTE(SUBSTITUTE(B326," ",""),"0",""),"-",""))+LEN(SUBSTITUTE(SUBSTITUTE(SUBSTITUTE(C326," ",""),"0",""),"-","")))=(LEN(SUBSTITUTE(SUBSTITUTE(SUBSTITUTE(E326," ",""),"0",""),"-",""))+LEN(SUBSTITUTE(SUBSTITUTE(SUBSTITUTE(F326," ",""),"0",""),"-",""))))),1,0)+IF(OR(D327="X",D327="x",AND(COUNTA(B327,C327,E327,F327)&gt;0,(LEN(SUBSTITUTE(SUBSTITUTE(SUBSTITUTE(B327," ",""),"0",""),"-",""))+LEN(SUBSTITUTE(SUBSTITUTE(SUBSTITUTE(C327," ",""),"0",""),"-","")))=(LEN(SUBSTITUTE(SUBSTITUTE(SUBSTITUTE(E327," ",""),"0",""),"-",""))+LEN(SUBSTITUTE(SUBSTITUTE(SUBSTITUTE(F327," ",""),"0",""),"-",""))))),1,0)+IF(OR(D328="X",D328="x",AND(COUNTA(B328,C328,E328,F328)&gt;0,(LEN(SUBSTITUTE(SUBSTITUTE(SUBSTITUTE(B328," ",""),"0",""),"-",""))+LEN(SUBSTITUTE(SUBSTITUTE(SUBSTITUTE(C328," ",""),"0",""),"-","")))=(LEN(SUBSTITUTE(SUBSTITUTE(SUBSTITUTE(E328," ",""),"0",""),"-",""))+LEN(SUBSTITUTE(SUBSTITUTE(SUBSTITUTE(F328," ",""),"0",""),"-",""))))),1,0)),0)</f>
      </c>
      <c r="E345" s="14" t="str">
        <f>E315+E323</f>
      </c>
      <c r="F345" s="14" t="str">
        <f>C315+C323</f>
      </c>
      <c r="I345" s="14" t="str">
        <f>data!$E$70&amp;" "&amp;data!$B$70</f>
      </c>
      <c r="J345" s="14" t="str">
        <f>IF(OR(COUNTA(J316:K320,M316:N320)&gt;0,OR(L315="X",L315="x"),UPPER(L316)="X",UPPER(L317)="X",UPPER(L318)="X",UPPER(L319)="X",UPPER(L320)="X"),N315,0)+IF(OR(COUNTA(J324:K328,M324:N328)&gt;0,OR(L323="X",L323="x"),UPPER(L324)="X",UPPER(L325)="X",UPPER(L326)="X",UPPER(L327)="X",UPPER(L328)="X"),N323,0)</f>
      </c>
      <c r="K345" s="14" t="str">
        <f>IF(OR(COUNTA(J316:K320,M316:N320)&gt;0,OR(L315="X",L315="x"),UPPER(L316)="X",UPPER(L317)="X",UPPER(L318)="X",UPPER(L319)="X",UPPER(L320)="X"),J315,0)+IF(OR(COUNTA(J324:K328,M324:N328)&gt;0,OR(L323="X",L323="x"),UPPER(L324)="X",UPPER(L325)="X",UPPER(L326)="X",UPPER(L327)="X",UPPER(L328)="X"),J323,0)</f>
      </c>
      <c r="L345" s="14" t="str">
        <f>IF(OR(COUNTA(J316:K320,M316:N320)&gt;0,OR(L315="X",L315="x"),UPPER(L316)="X",UPPER(L317)="X",UPPER(L318)="X",UPPER(L319)="X",UPPER(L320)="X"),(IF(OR(L316="X",L316="x",AND(COUNTA(J316,K316,M316,N316)&gt;0,(LEN(SUBSTITUTE(SUBSTITUTE(SUBSTITUTE(J316," ",""),"0",""),"-",""))+LEN(SUBSTITUTE(SUBSTITUTE(SUBSTITUTE(K316," ",""),"0",""),"-","")))=(LEN(SUBSTITUTE(SUBSTITUTE(SUBSTITUTE(M316," ",""),"0",""),"-",""))+LEN(SUBSTITUTE(SUBSTITUTE(SUBSTITUTE(N316," ",""),"0",""),"-",""))))),1,0)+IF(OR(L317="X",L317="x",AND(COUNTA(J317,K317,M317,N317)&gt;0,(LEN(SUBSTITUTE(SUBSTITUTE(SUBSTITUTE(J317," ",""),"0",""),"-",""))+LEN(SUBSTITUTE(SUBSTITUTE(SUBSTITUTE(K317," ",""),"0",""),"-","")))=(LEN(SUBSTITUTE(SUBSTITUTE(SUBSTITUTE(M317," ",""),"0",""),"-",""))+LEN(SUBSTITUTE(SUBSTITUTE(SUBSTITUTE(N317," ",""),"0",""),"-",""))))),1,0)+IF(OR(L318="X",L318="x",AND(COUNTA(J318,K318,M318,N318)&gt;0,(LEN(SUBSTITUTE(SUBSTITUTE(SUBSTITUTE(J318," ",""),"0",""),"-",""))+LEN(SUBSTITUTE(SUBSTITUTE(SUBSTITUTE(K318," ",""),"0",""),"-","")))=(LEN(SUBSTITUTE(SUBSTITUTE(SUBSTITUTE(M318," ",""),"0",""),"-",""))+LEN(SUBSTITUTE(SUBSTITUTE(SUBSTITUTE(N318," ",""),"0",""),"-",""))))),1,0)+IF(OR(L319="X",L319="x",AND(COUNTA(J319,K319,M319,N319)&gt;0,(LEN(SUBSTITUTE(SUBSTITUTE(SUBSTITUTE(J319," ",""),"0",""),"-",""))+LEN(SUBSTITUTE(SUBSTITUTE(SUBSTITUTE(K319," ",""),"0",""),"-","")))=(LEN(SUBSTITUTE(SUBSTITUTE(SUBSTITUTE(M319," ",""),"0",""),"-",""))+LEN(SUBSTITUTE(SUBSTITUTE(SUBSTITUTE(N319," ",""),"0",""),"-",""))))),1,0)+IF(OR(L320="X",L320="x",AND(COUNTA(J320,K320,M320,N320)&gt;0,(LEN(SUBSTITUTE(SUBSTITUTE(SUBSTITUTE(J320," ",""),"0",""),"-",""))+LEN(SUBSTITUTE(SUBSTITUTE(SUBSTITUTE(K320," ",""),"0",""),"-","")))=(LEN(SUBSTITUTE(SUBSTITUTE(SUBSTITUTE(M320," ",""),"0",""),"-",""))+LEN(SUBSTITUTE(SUBSTITUTE(SUBSTITUTE(N320," ",""),"0",""),"-",""))))),1,0)),0)+IF(OR(COUNTA(J324:K328,M324:N328)&gt;0,OR(L323="X",L323="x"),UPPER(L324)="X",UPPER(L325)="X",UPPER(L326)="X",UPPER(L327)="X",UPPER(L328)="X"),(IF(OR(L324="X",L324="x",AND(COUNTA(J324,K324,M324,N324)&gt;0,(LEN(SUBSTITUTE(SUBSTITUTE(SUBSTITUTE(J324," ",""),"0",""),"-",""))+LEN(SUBSTITUTE(SUBSTITUTE(SUBSTITUTE(K324," ",""),"0",""),"-","")))=(LEN(SUBSTITUTE(SUBSTITUTE(SUBSTITUTE(M324," ",""),"0",""),"-",""))+LEN(SUBSTITUTE(SUBSTITUTE(SUBSTITUTE(N324," ",""),"0",""),"-",""))))),1,0)+IF(OR(L325="X",L325="x",AND(COUNTA(J325,K325,M325,N325)&gt;0,(LEN(SUBSTITUTE(SUBSTITUTE(SUBSTITUTE(J325," ",""),"0",""),"-",""))+LEN(SUBSTITUTE(SUBSTITUTE(SUBSTITUTE(K325," ",""),"0",""),"-","")))=(LEN(SUBSTITUTE(SUBSTITUTE(SUBSTITUTE(M325," ",""),"0",""),"-",""))+LEN(SUBSTITUTE(SUBSTITUTE(SUBSTITUTE(N325," ",""),"0",""),"-",""))))),1,0)+IF(OR(L326="X",L326="x",AND(COUNTA(J326,K326,M326,N326)&gt;0,(LEN(SUBSTITUTE(SUBSTITUTE(SUBSTITUTE(J326," ",""),"0",""),"-",""))+LEN(SUBSTITUTE(SUBSTITUTE(SUBSTITUTE(K326," ",""),"0",""),"-","")))=(LEN(SUBSTITUTE(SUBSTITUTE(SUBSTITUTE(M326," ",""),"0",""),"-",""))+LEN(SUBSTITUTE(SUBSTITUTE(SUBSTITUTE(N326," ",""),"0",""),"-",""))))),1,0)+IF(OR(L327="X",L327="x",AND(COUNTA(J327,K327,M327,N327)&gt;0,(LEN(SUBSTITUTE(SUBSTITUTE(SUBSTITUTE(J327," ",""),"0",""),"-",""))+LEN(SUBSTITUTE(SUBSTITUTE(SUBSTITUTE(K327," ",""),"0",""),"-","")))=(LEN(SUBSTITUTE(SUBSTITUTE(SUBSTITUTE(M327," ",""),"0",""),"-",""))+LEN(SUBSTITUTE(SUBSTITUTE(SUBSTITUTE(N327," ",""),"0",""),"-",""))))),1,0)+IF(OR(L328="X",L328="x",AND(COUNTA(J328,K328,M328,N328)&gt;0,(LEN(SUBSTITUTE(SUBSTITUTE(SUBSTITUTE(J328," ",""),"0",""),"-",""))+LEN(SUBSTITUTE(SUBSTITUTE(SUBSTITUTE(K328," ",""),"0",""),"-","")))=(LEN(SUBSTITUTE(SUBSTITUTE(SUBSTITUTE(M328," ",""),"0",""),"-",""))+LEN(SUBSTITUTE(SUBSTITUTE(SUBSTITUTE(N328," ",""),"0",""),"-",""))))),1,0)),0)</f>
      </c>
      <c r="M345" s="14" t="str">
        <f>M315+M323</f>
      </c>
      <c r="N345" s="14" t="str">
        <f>K315+K323</f>
      </c>
    </row>
    <row r="346">
      <c r="A346" s="14" t="str">
        <f>data!$E$26&amp;" "&amp;data!$B$26</f>
      </c>
      <c r="B346" s="14" t="str">
        <f>IF(OR(COUNTA(B316:C320,E316:F320)&gt;0,OR(D315="X",D315="x"),UPPER(D316)="X",UPPER(D317)="X",UPPER(D318)="X",UPPER(D319)="X",UPPER(D320)="X"),B315,0)+IF(OR(COUNTA(B332:C336,E332:F336)&gt;0,OR(D331="X",D331="x"),UPPER(D332)="X",UPPER(D333)="X",UPPER(D334)="X",UPPER(D335)="X",UPPER(D336)="X"),F331,0)</f>
      </c>
      <c r="C346" s="14" t="str">
        <f>IF(OR(COUNTA(B316:C320,E316:F320)&gt;0,OR(D315="X",D315="x"),UPPER(D316)="X",UPPER(D317)="X",UPPER(D318)="X",UPPER(D319)="X",UPPER(D320)="X"),F315,0)+IF(OR(COUNTA(B332:C336,E332:F336)&gt;0,OR(D331="X",D331="x"),UPPER(D332)="X",UPPER(D333)="X",UPPER(D334)="X",UPPER(D335)="X",UPPER(D336)="X"),B331,0)</f>
      </c>
      <c r="D346" s="14" t="str">
        <f>IF(OR(COUNTA(B316:C320,E316:F320)&gt;0,OR(D315="X",D315="x"),UPPER(D316)="X",UPPER(D317)="X",UPPER(D318)="X",UPPER(D319)="X",UPPER(D320)="X"),(IF(OR(D316="X",D316="x",AND(COUNTA(B316,C316,E316,F316)&gt;0,(LEN(SUBSTITUTE(SUBSTITUTE(SUBSTITUTE(B316," ",""),"0",""),"-",""))+LEN(SUBSTITUTE(SUBSTITUTE(SUBSTITUTE(C316," ",""),"0",""),"-","")))=(LEN(SUBSTITUTE(SUBSTITUTE(SUBSTITUTE(E316," ",""),"0",""),"-",""))+LEN(SUBSTITUTE(SUBSTITUTE(SUBSTITUTE(F316," ",""),"0",""),"-",""))))),1,0)+IF(OR(D317="X",D317="x",AND(COUNTA(B317,C317,E317,F317)&gt;0,(LEN(SUBSTITUTE(SUBSTITUTE(SUBSTITUTE(B317," ",""),"0",""),"-",""))+LEN(SUBSTITUTE(SUBSTITUTE(SUBSTITUTE(C317," ",""),"0",""),"-","")))=(LEN(SUBSTITUTE(SUBSTITUTE(SUBSTITUTE(E317," ",""),"0",""),"-",""))+LEN(SUBSTITUTE(SUBSTITUTE(SUBSTITUTE(F317," ",""),"0",""),"-",""))))),1,0)+IF(OR(D318="X",D318="x",AND(COUNTA(B318,C318,E318,F318)&gt;0,(LEN(SUBSTITUTE(SUBSTITUTE(SUBSTITUTE(B318," ",""),"0",""),"-",""))+LEN(SUBSTITUTE(SUBSTITUTE(SUBSTITUTE(C318," ",""),"0",""),"-","")))=(LEN(SUBSTITUTE(SUBSTITUTE(SUBSTITUTE(E318," ",""),"0",""),"-",""))+LEN(SUBSTITUTE(SUBSTITUTE(SUBSTITUTE(F318," ",""),"0",""),"-",""))))),1,0)+IF(OR(D319="X",D319="x",AND(COUNTA(B319,C319,E319,F319)&gt;0,(LEN(SUBSTITUTE(SUBSTITUTE(SUBSTITUTE(B319," ",""),"0",""),"-",""))+LEN(SUBSTITUTE(SUBSTITUTE(SUBSTITUTE(C319," ",""),"0",""),"-","")))=(LEN(SUBSTITUTE(SUBSTITUTE(SUBSTITUTE(E319," ",""),"0",""),"-",""))+LEN(SUBSTITUTE(SUBSTITUTE(SUBSTITUTE(F319," ",""),"0",""),"-",""))))),1,0)+IF(OR(D320="X",D320="x",AND(COUNTA(B320,C320,E320,F320)&gt;0,(LEN(SUBSTITUTE(SUBSTITUTE(SUBSTITUTE(B320," ",""),"0",""),"-",""))+LEN(SUBSTITUTE(SUBSTITUTE(SUBSTITUTE(C320," ",""),"0",""),"-","")))=(LEN(SUBSTITUTE(SUBSTITUTE(SUBSTITUTE(E320," ",""),"0",""),"-",""))+LEN(SUBSTITUTE(SUBSTITUTE(SUBSTITUTE(F320," ",""),"0",""),"-",""))))),1,0)),0)+IF(OR(COUNTA(B332:C336,E332:F336)&gt;0,OR(D331="X",D331="x"),UPPER(D332)="X",UPPER(D333)="X",UPPER(D334)="X",UPPER(D335)="X",UPPER(D336)="X"),(IF(OR(D332="X",D332="x",AND(COUNTA(B332,C332,E332,F332)&gt;0,(LEN(SUBSTITUTE(SUBSTITUTE(SUBSTITUTE(B332," ",""),"0",""),"-",""))+LEN(SUBSTITUTE(SUBSTITUTE(SUBSTITUTE(C332," ",""),"0",""),"-","")))=(LEN(SUBSTITUTE(SUBSTITUTE(SUBSTITUTE(E332," ",""),"0",""),"-",""))+LEN(SUBSTITUTE(SUBSTITUTE(SUBSTITUTE(F332," ",""),"0",""),"-",""))))),1,0)+IF(OR(D333="X",D333="x",AND(COUNTA(B333,C333,E333,F333)&gt;0,(LEN(SUBSTITUTE(SUBSTITUTE(SUBSTITUTE(B333," ",""),"0",""),"-",""))+LEN(SUBSTITUTE(SUBSTITUTE(SUBSTITUTE(C333," ",""),"0",""),"-","")))=(LEN(SUBSTITUTE(SUBSTITUTE(SUBSTITUTE(E333," ",""),"0",""),"-",""))+LEN(SUBSTITUTE(SUBSTITUTE(SUBSTITUTE(F333," ",""),"0",""),"-",""))))),1,0)+IF(OR(D334="X",D334="x",AND(COUNTA(B334,C334,E334,F334)&gt;0,(LEN(SUBSTITUTE(SUBSTITUTE(SUBSTITUTE(B334," ",""),"0",""),"-",""))+LEN(SUBSTITUTE(SUBSTITUTE(SUBSTITUTE(C334," ",""),"0",""),"-","")))=(LEN(SUBSTITUTE(SUBSTITUTE(SUBSTITUTE(E334," ",""),"0",""),"-",""))+LEN(SUBSTITUTE(SUBSTITUTE(SUBSTITUTE(F334," ",""),"0",""),"-",""))))),1,0)+IF(OR(D335="X",D335="x",AND(COUNTA(B335,C335,E335,F335)&gt;0,(LEN(SUBSTITUTE(SUBSTITUTE(SUBSTITUTE(B335," ",""),"0",""),"-",""))+LEN(SUBSTITUTE(SUBSTITUTE(SUBSTITUTE(C335," ",""),"0",""),"-","")))=(LEN(SUBSTITUTE(SUBSTITUTE(SUBSTITUTE(E335," ",""),"0",""),"-",""))+LEN(SUBSTITUTE(SUBSTITUTE(SUBSTITUTE(F335," ",""),"0",""),"-",""))))),1,0)+IF(OR(D336="X",D336="x",AND(COUNTA(B336,C336,E336,F336)&gt;0,(LEN(SUBSTITUTE(SUBSTITUTE(SUBSTITUTE(B336," ",""),"0",""),"-",""))+LEN(SUBSTITUTE(SUBSTITUTE(SUBSTITUTE(C336," ",""),"0",""),"-","")))=(LEN(SUBSTITUTE(SUBSTITUTE(SUBSTITUTE(E336," ",""),"0",""),"-",""))+LEN(SUBSTITUTE(SUBSTITUTE(SUBSTITUTE(F336," ",""),"0",""),"-",""))))),1,0)),0)</f>
      </c>
      <c r="E346" s="14" t="str">
        <f>C315+E331</f>
      </c>
      <c r="F346" s="14" t="str">
        <f>E315+C331</f>
      </c>
      <c r="I346" s="14" t="str">
        <f>data!$E$71&amp;" "&amp;data!$B$71</f>
      </c>
      <c r="J346" s="14" t="str">
        <f>IF(OR(COUNTA(J316:K320,M316:N320)&gt;0,OR(L315="X",L315="x"),UPPER(L316)="X",UPPER(L317)="X",UPPER(L318)="X",UPPER(L319)="X",UPPER(L320)="X"),J315,0)+IF(OR(COUNTA(J332:K336,M332:N336)&gt;0,OR(L331="X",L331="x"),UPPER(L332)="X",UPPER(L333)="X",UPPER(L334)="X",UPPER(L335)="X",UPPER(L336)="X"),N331,0)</f>
      </c>
      <c r="K346" s="14" t="str">
        <f>IF(OR(COUNTA(J316:K320,M316:N320)&gt;0,OR(L315="X",L315="x"),UPPER(L316)="X",UPPER(L317)="X",UPPER(L318)="X",UPPER(L319)="X",UPPER(L320)="X"),N315,0)+IF(OR(COUNTA(J332:K336,M332:N336)&gt;0,OR(L331="X",L331="x"),UPPER(L332)="X",UPPER(L333)="X",UPPER(L334)="X",UPPER(L335)="X",UPPER(L336)="X"),J331,0)</f>
      </c>
      <c r="L346" s="14" t="str">
        <f>IF(OR(COUNTA(J316:K320,M316:N320)&gt;0,OR(L315="X",L315="x"),UPPER(L316)="X",UPPER(L317)="X",UPPER(L318)="X",UPPER(L319)="X",UPPER(L320)="X"),(IF(OR(L316="X",L316="x",AND(COUNTA(J316,K316,M316,N316)&gt;0,(LEN(SUBSTITUTE(SUBSTITUTE(SUBSTITUTE(J316," ",""),"0",""),"-",""))+LEN(SUBSTITUTE(SUBSTITUTE(SUBSTITUTE(K316," ",""),"0",""),"-","")))=(LEN(SUBSTITUTE(SUBSTITUTE(SUBSTITUTE(M316," ",""),"0",""),"-",""))+LEN(SUBSTITUTE(SUBSTITUTE(SUBSTITUTE(N316," ",""),"0",""),"-",""))))),1,0)+IF(OR(L317="X",L317="x",AND(COUNTA(J317,K317,M317,N317)&gt;0,(LEN(SUBSTITUTE(SUBSTITUTE(SUBSTITUTE(J317," ",""),"0",""),"-",""))+LEN(SUBSTITUTE(SUBSTITUTE(SUBSTITUTE(K317," ",""),"0",""),"-","")))=(LEN(SUBSTITUTE(SUBSTITUTE(SUBSTITUTE(M317," ",""),"0",""),"-",""))+LEN(SUBSTITUTE(SUBSTITUTE(SUBSTITUTE(N317," ",""),"0",""),"-",""))))),1,0)+IF(OR(L318="X",L318="x",AND(COUNTA(J318,K318,M318,N318)&gt;0,(LEN(SUBSTITUTE(SUBSTITUTE(SUBSTITUTE(J318," ",""),"0",""),"-",""))+LEN(SUBSTITUTE(SUBSTITUTE(SUBSTITUTE(K318," ",""),"0",""),"-","")))=(LEN(SUBSTITUTE(SUBSTITUTE(SUBSTITUTE(M318," ",""),"0",""),"-",""))+LEN(SUBSTITUTE(SUBSTITUTE(SUBSTITUTE(N318," ",""),"0",""),"-",""))))),1,0)+IF(OR(L319="X",L319="x",AND(COUNTA(J319,K319,M319,N319)&gt;0,(LEN(SUBSTITUTE(SUBSTITUTE(SUBSTITUTE(J319," ",""),"0",""),"-",""))+LEN(SUBSTITUTE(SUBSTITUTE(SUBSTITUTE(K319," ",""),"0",""),"-","")))=(LEN(SUBSTITUTE(SUBSTITUTE(SUBSTITUTE(M319," ",""),"0",""),"-",""))+LEN(SUBSTITUTE(SUBSTITUTE(SUBSTITUTE(N319," ",""),"0",""),"-",""))))),1,0)+IF(OR(L320="X",L320="x",AND(COUNTA(J320,K320,M320,N320)&gt;0,(LEN(SUBSTITUTE(SUBSTITUTE(SUBSTITUTE(J320," ",""),"0",""),"-",""))+LEN(SUBSTITUTE(SUBSTITUTE(SUBSTITUTE(K320," ",""),"0",""),"-","")))=(LEN(SUBSTITUTE(SUBSTITUTE(SUBSTITUTE(M320," ",""),"0",""),"-",""))+LEN(SUBSTITUTE(SUBSTITUTE(SUBSTITUTE(N320," ",""),"0",""),"-",""))))),1,0)),0)+IF(OR(COUNTA(J332:K336,M332:N336)&gt;0,OR(L331="X",L331="x"),UPPER(L332)="X",UPPER(L333)="X",UPPER(L334)="X",UPPER(L335)="X",UPPER(L336)="X"),(IF(OR(L332="X",L332="x",AND(COUNTA(J332,K332,M332,N332)&gt;0,(LEN(SUBSTITUTE(SUBSTITUTE(SUBSTITUTE(J332," ",""),"0",""),"-",""))+LEN(SUBSTITUTE(SUBSTITUTE(SUBSTITUTE(K332," ",""),"0",""),"-","")))=(LEN(SUBSTITUTE(SUBSTITUTE(SUBSTITUTE(M332," ",""),"0",""),"-",""))+LEN(SUBSTITUTE(SUBSTITUTE(SUBSTITUTE(N332," ",""),"0",""),"-",""))))),1,0)+IF(OR(L333="X",L333="x",AND(COUNTA(J333,K333,M333,N333)&gt;0,(LEN(SUBSTITUTE(SUBSTITUTE(SUBSTITUTE(J333," ",""),"0",""),"-",""))+LEN(SUBSTITUTE(SUBSTITUTE(SUBSTITUTE(K333," ",""),"0",""),"-","")))=(LEN(SUBSTITUTE(SUBSTITUTE(SUBSTITUTE(M333," ",""),"0",""),"-",""))+LEN(SUBSTITUTE(SUBSTITUTE(SUBSTITUTE(N333," ",""),"0",""),"-",""))))),1,0)+IF(OR(L334="X",L334="x",AND(COUNTA(J334,K334,M334,N334)&gt;0,(LEN(SUBSTITUTE(SUBSTITUTE(SUBSTITUTE(J334," ",""),"0",""),"-",""))+LEN(SUBSTITUTE(SUBSTITUTE(SUBSTITUTE(K334," ",""),"0",""),"-","")))=(LEN(SUBSTITUTE(SUBSTITUTE(SUBSTITUTE(M334," ",""),"0",""),"-",""))+LEN(SUBSTITUTE(SUBSTITUTE(SUBSTITUTE(N334," ",""),"0",""),"-",""))))),1,0)+IF(OR(L335="X",L335="x",AND(COUNTA(J335,K335,M335,N335)&gt;0,(LEN(SUBSTITUTE(SUBSTITUTE(SUBSTITUTE(J335," ",""),"0",""),"-",""))+LEN(SUBSTITUTE(SUBSTITUTE(SUBSTITUTE(K335," ",""),"0",""),"-","")))=(LEN(SUBSTITUTE(SUBSTITUTE(SUBSTITUTE(M335," ",""),"0",""),"-",""))+LEN(SUBSTITUTE(SUBSTITUTE(SUBSTITUTE(N335," ",""),"0",""),"-",""))))),1,0)+IF(OR(L336="X",L336="x",AND(COUNTA(J336,K336,M336,N336)&gt;0,(LEN(SUBSTITUTE(SUBSTITUTE(SUBSTITUTE(J336," ",""),"0",""),"-",""))+LEN(SUBSTITUTE(SUBSTITUTE(SUBSTITUTE(K336," ",""),"0",""),"-","")))=(LEN(SUBSTITUTE(SUBSTITUTE(SUBSTITUTE(M336," ",""),"0",""),"-",""))+LEN(SUBSTITUTE(SUBSTITUTE(SUBSTITUTE(N336," ",""),"0",""),"-",""))))),1,0)),0)</f>
      </c>
      <c r="M346" s="14" t="str">
        <f>K315+M331</f>
      </c>
      <c r="N346" s="14" t="str">
        <f>M315+K331</f>
      </c>
    </row>
    <row r="347">
      <c r="A347" s="14" t="str">
        <f>data!$E$27&amp;" "&amp;data!$B$27</f>
      </c>
      <c r="B347" s="14" t="str">
        <f>IF(OR(COUNTA(B324:C328,E324:F328)&gt;0,OR(D323="X",D323="x"),UPPER(D324)="X",UPPER(D325)="X",UPPER(D326)="X",UPPER(D327)="X",UPPER(D328)="X"),B323,0)+IF(OR(COUNTA(B332:C336,E332:F336)&gt;0,OR(D331="X",D331="x"),UPPER(D332)="X",UPPER(D333)="X",UPPER(D334)="X",UPPER(D335)="X",UPPER(D336)="X"),B331,0)</f>
      </c>
      <c r="C347" s="14" t="str">
        <f>IF(OR(COUNTA(B324:C328,E324:F328)&gt;0,OR(D323="X",D323="x"),UPPER(D324)="X",UPPER(D325)="X",UPPER(D326)="X",UPPER(D327)="X",UPPER(D328)="X"),F323,0)+IF(OR(COUNTA(B332:C336,E332:F336)&gt;0,OR(D331="X",D331="x"),UPPER(D332)="X",UPPER(D333)="X",UPPER(D334)="X",UPPER(D335)="X",UPPER(D336)="X"),F331,0)</f>
      </c>
      <c r="D347" s="14" t="str">
        <f>IF(OR(COUNTA(B324:C328,E324:F328)&gt;0,OR(D323="X",D323="x"),UPPER(D324)="X",UPPER(D325)="X",UPPER(D326)="X",UPPER(D327)="X",UPPER(D328)="X"),(IF(OR(D324="X",D324="x",AND(COUNTA(B324,C324,E324,F324)&gt;0,(LEN(SUBSTITUTE(SUBSTITUTE(SUBSTITUTE(B324," ",""),"0",""),"-",""))+LEN(SUBSTITUTE(SUBSTITUTE(SUBSTITUTE(C324," ",""),"0",""),"-","")))=(LEN(SUBSTITUTE(SUBSTITUTE(SUBSTITUTE(E324," ",""),"0",""),"-",""))+LEN(SUBSTITUTE(SUBSTITUTE(SUBSTITUTE(F324," ",""),"0",""),"-",""))))),1,0)+IF(OR(D325="X",D325="x",AND(COUNTA(B325,C325,E325,F325)&gt;0,(LEN(SUBSTITUTE(SUBSTITUTE(SUBSTITUTE(B325," ",""),"0",""),"-",""))+LEN(SUBSTITUTE(SUBSTITUTE(SUBSTITUTE(C325," ",""),"0",""),"-","")))=(LEN(SUBSTITUTE(SUBSTITUTE(SUBSTITUTE(E325," ",""),"0",""),"-",""))+LEN(SUBSTITUTE(SUBSTITUTE(SUBSTITUTE(F325," ",""),"0",""),"-",""))))),1,0)+IF(OR(D326="X",D326="x",AND(COUNTA(B326,C326,E326,F326)&gt;0,(LEN(SUBSTITUTE(SUBSTITUTE(SUBSTITUTE(B326," ",""),"0",""),"-",""))+LEN(SUBSTITUTE(SUBSTITUTE(SUBSTITUTE(C326," ",""),"0",""),"-","")))=(LEN(SUBSTITUTE(SUBSTITUTE(SUBSTITUTE(E326," ",""),"0",""),"-",""))+LEN(SUBSTITUTE(SUBSTITUTE(SUBSTITUTE(F326," ",""),"0",""),"-",""))))),1,0)+IF(OR(D327="X",D327="x",AND(COUNTA(B327,C327,E327,F327)&gt;0,(LEN(SUBSTITUTE(SUBSTITUTE(SUBSTITUTE(B327," ",""),"0",""),"-",""))+LEN(SUBSTITUTE(SUBSTITUTE(SUBSTITUTE(C327," ",""),"0",""),"-","")))=(LEN(SUBSTITUTE(SUBSTITUTE(SUBSTITUTE(E327," ",""),"0",""),"-",""))+LEN(SUBSTITUTE(SUBSTITUTE(SUBSTITUTE(F327," ",""),"0",""),"-",""))))),1,0)+IF(OR(D328="X",D328="x",AND(COUNTA(B328,C328,E328,F328)&gt;0,(LEN(SUBSTITUTE(SUBSTITUTE(SUBSTITUTE(B328," ",""),"0",""),"-",""))+LEN(SUBSTITUTE(SUBSTITUTE(SUBSTITUTE(C328," ",""),"0",""),"-","")))=(LEN(SUBSTITUTE(SUBSTITUTE(SUBSTITUTE(E328," ",""),"0",""),"-",""))+LEN(SUBSTITUTE(SUBSTITUTE(SUBSTITUTE(F328," ",""),"0",""),"-",""))))),1,0)),0)+IF(OR(COUNTA(B332:C336,E332:F336)&gt;0,OR(D331="X",D331="x"),UPPER(D332)="X",UPPER(D333)="X",UPPER(D334)="X",UPPER(D335)="X",UPPER(D336)="X"),(IF(OR(D332="X",D332="x",AND(COUNTA(B332,C332,E332,F332)&gt;0,(LEN(SUBSTITUTE(SUBSTITUTE(SUBSTITUTE(B332," ",""),"0",""),"-",""))+LEN(SUBSTITUTE(SUBSTITUTE(SUBSTITUTE(C332," ",""),"0",""),"-","")))=(LEN(SUBSTITUTE(SUBSTITUTE(SUBSTITUTE(E332," ",""),"0",""),"-",""))+LEN(SUBSTITUTE(SUBSTITUTE(SUBSTITUTE(F332," ",""),"0",""),"-",""))))),1,0)+IF(OR(D333="X",D333="x",AND(COUNTA(B333,C333,E333,F333)&gt;0,(LEN(SUBSTITUTE(SUBSTITUTE(SUBSTITUTE(B333," ",""),"0",""),"-",""))+LEN(SUBSTITUTE(SUBSTITUTE(SUBSTITUTE(C333," ",""),"0",""),"-","")))=(LEN(SUBSTITUTE(SUBSTITUTE(SUBSTITUTE(E333," ",""),"0",""),"-",""))+LEN(SUBSTITUTE(SUBSTITUTE(SUBSTITUTE(F333," ",""),"0",""),"-",""))))),1,0)+IF(OR(D334="X",D334="x",AND(COUNTA(B334,C334,E334,F334)&gt;0,(LEN(SUBSTITUTE(SUBSTITUTE(SUBSTITUTE(B334," ",""),"0",""),"-",""))+LEN(SUBSTITUTE(SUBSTITUTE(SUBSTITUTE(C334," ",""),"0",""),"-","")))=(LEN(SUBSTITUTE(SUBSTITUTE(SUBSTITUTE(E334," ",""),"0",""),"-",""))+LEN(SUBSTITUTE(SUBSTITUTE(SUBSTITUTE(F334," ",""),"0",""),"-",""))))),1,0)+IF(OR(D335="X",D335="x",AND(COUNTA(B335,C335,E335,F335)&gt;0,(LEN(SUBSTITUTE(SUBSTITUTE(SUBSTITUTE(B335," ",""),"0",""),"-",""))+LEN(SUBSTITUTE(SUBSTITUTE(SUBSTITUTE(C335," ",""),"0",""),"-","")))=(LEN(SUBSTITUTE(SUBSTITUTE(SUBSTITUTE(E335," ",""),"0",""),"-",""))+LEN(SUBSTITUTE(SUBSTITUTE(SUBSTITUTE(F335," ",""),"0",""),"-",""))))),1,0)+IF(OR(D336="X",D336="x",AND(COUNTA(B336,C336,E336,F336)&gt;0,(LEN(SUBSTITUTE(SUBSTITUTE(SUBSTITUTE(B336," ",""),"0",""),"-",""))+LEN(SUBSTITUTE(SUBSTITUTE(SUBSTITUTE(C336," ",""),"0",""),"-","")))=(LEN(SUBSTITUTE(SUBSTITUTE(SUBSTITUTE(E336," ",""),"0",""),"-",""))+LEN(SUBSTITUTE(SUBSTITUTE(SUBSTITUTE(F336," ",""),"0",""),"-",""))))),1,0)),0)</f>
      </c>
      <c r="E347" s="14" t="str">
        <f>C323+C331</f>
      </c>
      <c r="F347" s="14" t="str">
        <f>E323+E331</f>
      </c>
      <c r="I347" s="14" t="str">
        <f>data!$E$72&amp;" "&amp;data!$B$72</f>
      </c>
      <c r="J347" s="14" t="str">
        <f>IF(OR(COUNTA(J324:K328,M324:N328)&gt;0,OR(L323="X",L323="x"),UPPER(L324)="X",UPPER(L325)="X",UPPER(L326)="X",UPPER(L327)="X",UPPER(L328)="X"),J323,0)+IF(OR(COUNTA(J332:K336,M332:N336)&gt;0,OR(L331="X",L331="x"),UPPER(L332)="X",UPPER(L333)="X",UPPER(L334)="X",UPPER(L335)="X",UPPER(L336)="X"),J331,0)</f>
      </c>
      <c r="K347" s="14" t="str">
        <f>IF(OR(COUNTA(J324:K328,M324:N328)&gt;0,OR(L323="X",L323="x"),UPPER(L324)="X",UPPER(L325)="X",UPPER(L326)="X",UPPER(L327)="X",UPPER(L328)="X"),N323,0)+IF(OR(COUNTA(J332:K336,M332:N336)&gt;0,OR(L331="X",L331="x"),UPPER(L332)="X",UPPER(L333)="X",UPPER(L334)="X",UPPER(L335)="X",UPPER(L336)="X"),N331,0)</f>
      </c>
      <c r="L347" s="14" t="str">
        <f>IF(OR(COUNTA(J324:K328,M324:N328)&gt;0,OR(L323="X",L323="x"),UPPER(L324)="X",UPPER(L325)="X",UPPER(L326)="X",UPPER(L327)="X",UPPER(L328)="X"),(IF(OR(L324="X",L324="x",AND(COUNTA(J324,K324,M324,N324)&gt;0,(LEN(SUBSTITUTE(SUBSTITUTE(SUBSTITUTE(J324," ",""),"0",""),"-",""))+LEN(SUBSTITUTE(SUBSTITUTE(SUBSTITUTE(K324," ",""),"0",""),"-","")))=(LEN(SUBSTITUTE(SUBSTITUTE(SUBSTITUTE(M324," ",""),"0",""),"-",""))+LEN(SUBSTITUTE(SUBSTITUTE(SUBSTITUTE(N324," ",""),"0",""),"-",""))))),1,0)+IF(OR(L325="X",L325="x",AND(COUNTA(J325,K325,M325,N325)&gt;0,(LEN(SUBSTITUTE(SUBSTITUTE(SUBSTITUTE(J325," ",""),"0",""),"-",""))+LEN(SUBSTITUTE(SUBSTITUTE(SUBSTITUTE(K325," ",""),"0",""),"-","")))=(LEN(SUBSTITUTE(SUBSTITUTE(SUBSTITUTE(M325," ",""),"0",""),"-",""))+LEN(SUBSTITUTE(SUBSTITUTE(SUBSTITUTE(N325," ",""),"0",""),"-",""))))),1,0)+IF(OR(L326="X",L326="x",AND(COUNTA(J326,K326,M326,N326)&gt;0,(LEN(SUBSTITUTE(SUBSTITUTE(SUBSTITUTE(J326," ",""),"0",""),"-",""))+LEN(SUBSTITUTE(SUBSTITUTE(SUBSTITUTE(K326," ",""),"0",""),"-","")))=(LEN(SUBSTITUTE(SUBSTITUTE(SUBSTITUTE(M326," ",""),"0",""),"-",""))+LEN(SUBSTITUTE(SUBSTITUTE(SUBSTITUTE(N326," ",""),"0",""),"-",""))))),1,0)+IF(OR(L327="X",L327="x",AND(COUNTA(J327,K327,M327,N327)&gt;0,(LEN(SUBSTITUTE(SUBSTITUTE(SUBSTITUTE(J327," ",""),"0",""),"-",""))+LEN(SUBSTITUTE(SUBSTITUTE(SUBSTITUTE(K327," ",""),"0",""),"-","")))=(LEN(SUBSTITUTE(SUBSTITUTE(SUBSTITUTE(M327," ",""),"0",""),"-",""))+LEN(SUBSTITUTE(SUBSTITUTE(SUBSTITUTE(N327," ",""),"0",""),"-",""))))),1,0)+IF(OR(L328="X",L328="x",AND(COUNTA(J328,K328,M328,N328)&gt;0,(LEN(SUBSTITUTE(SUBSTITUTE(SUBSTITUTE(J328," ",""),"0",""),"-",""))+LEN(SUBSTITUTE(SUBSTITUTE(SUBSTITUTE(K328," ",""),"0",""),"-","")))=(LEN(SUBSTITUTE(SUBSTITUTE(SUBSTITUTE(M328," ",""),"0",""),"-",""))+LEN(SUBSTITUTE(SUBSTITUTE(SUBSTITUTE(N328," ",""),"0",""),"-",""))))),1,0)),0)+IF(OR(COUNTA(J332:K336,M332:N336)&gt;0,OR(L331="X",L331="x"),UPPER(L332)="X",UPPER(L333)="X",UPPER(L334)="X",UPPER(L335)="X",UPPER(L336)="X"),(IF(OR(L332="X",L332="x",AND(COUNTA(J332,K332,M332,N332)&gt;0,(LEN(SUBSTITUTE(SUBSTITUTE(SUBSTITUTE(J332," ",""),"0",""),"-",""))+LEN(SUBSTITUTE(SUBSTITUTE(SUBSTITUTE(K332," ",""),"0",""),"-","")))=(LEN(SUBSTITUTE(SUBSTITUTE(SUBSTITUTE(M332," ",""),"0",""),"-",""))+LEN(SUBSTITUTE(SUBSTITUTE(SUBSTITUTE(N332," ",""),"0",""),"-",""))))),1,0)+IF(OR(L333="X",L333="x",AND(COUNTA(J333,K333,M333,N333)&gt;0,(LEN(SUBSTITUTE(SUBSTITUTE(SUBSTITUTE(J333," ",""),"0",""),"-",""))+LEN(SUBSTITUTE(SUBSTITUTE(SUBSTITUTE(K333," ",""),"0",""),"-","")))=(LEN(SUBSTITUTE(SUBSTITUTE(SUBSTITUTE(M333," ",""),"0",""),"-",""))+LEN(SUBSTITUTE(SUBSTITUTE(SUBSTITUTE(N333," ",""),"0",""),"-",""))))),1,0)+IF(OR(L334="X",L334="x",AND(COUNTA(J334,K334,M334,N334)&gt;0,(LEN(SUBSTITUTE(SUBSTITUTE(SUBSTITUTE(J334," ",""),"0",""),"-",""))+LEN(SUBSTITUTE(SUBSTITUTE(SUBSTITUTE(K334," ",""),"0",""),"-","")))=(LEN(SUBSTITUTE(SUBSTITUTE(SUBSTITUTE(M334," ",""),"0",""),"-",""))+LEN(SUBSTITUTE(SUBSTITUTE(SUBSTITUTE(N334," ",""),"0",""),"-",""))))),1,0)+IF(OR(L335="X",L335="x",AND(COUNTA(J335,K335,M335,N335)&gt;0,(LEN(SUBSTITUTE(SUBSTITUTE(SUBSTITUTE(J335," ",""),"0",""),"-",""))+LEN(SUBSTITUTE(SUBSTITUTE(SUBSTITUTE(K335," ",""),"0",""),"-","")))=(LEN(SUBSTITUTE(SUBSTITUTE(SUBSTITUTE(M335," ",""),"0",""),"-",""))+LEN(SUBSTITUTE(SUBSTITUTE(SUBSTITUTE(N335," ",""),"0",""),"-",""))))),1,0)+IF(OR(L336="X",L336="x",AND(COUNTA(J336,K336,M336,N336)&gt;0,(LEN(SUBSTITUTE(SUBSTITUTE(SUBSTITUTE(J336," ",""),"0",""),"-",""))+LEN(SUBSTITUTE(SUBSTITUTE(SUBSTITUTE(K336," ",""),"0",""),"-","")))=(LEN(SUBSTITUTE(SUBSTITUTE(SUBSTITUTE(M336," ",""),"0",""),"-",""))+LEN(SUBSTITUTE(SUBSTITUTE(SUBSTITUTE(N336," ",""),"0",""),"-",""))))),1,0)),0)</f>
      </c>
      <c r="M347" s="14" t="str">
        <f>K323+K331</f>
      </c>
      <c r="N347" s="14" t="str">
        <f>M323+M331</f>
      </c>
    </row>
    <row r="350">
      <c r="F350" s="13"/>
      <c r="G350" s="13" t="s">
        <v>343</v>
      </c>
      <c r="N350" s="13"/>
      <c r="O350" s="13" t="s">
        <v>343</v>
      </c>
    </row>
    <row r="351">
      <c r="F351" t="s">
        <v>344</v>
      </c>
      <c r="G351" s="19" t="str">
        <f>IFERROR(INDEX($A$340:$A$347, MATCH(1, $G$340:$G$347, 0)), "-")</f>
      </c>
      <c r="N351" t="s">
        <v>344</v>
      </c>
      <c r="O351" s="19" t="str">
        <f>IFERROR(INDEX($I$340:$I$347, MATCH(1, $O$340:$O$347, 0)), "-")</f>
      </c>
    </row>
    <row r="352">
      <c r="F352" t="s">
        <v>345</v>
      </c>
      <c r="G352" s="19" t="str">
        <f>IFERROR(INDEX($A$340:$A$347, MATCH(2, $G$340:$G$347, 0)), "-")</f>
      </c>
      <c r="N352" t="s">
        <v>345</v>
      </c>
      <c r="O352" s="19" t="str">
        <f>IFERROR(INDEX($I$340:$I$347, MATCH(2, $O$340:$O$347, 0)), "-")</f>
      </c>
    </row>
    <row r="353">
      <c r="F353" t="s">
        <v>346</v>
      </c>
      <c r="G353" s="19" t="str">
        <f>IFERROR(INDEX($A$340:$A$347, MATCH(3, $G$340:$G$347, 0)), "-")</f>
      </c>
      <c r="N353" t="s">
        <v>346</v>
      </c>
      <c r="O353" s="19" t="str">
        <f>IFERROR(INDEX($I$340:$I$347, MATCH(3, $O$340:$O$347, 0)), "-")</f>
      </c>
    </row>
    <row r="356">
      <c r="A356" s="13" t="str">
        <f>'data'!$A$30</f>
      </c>
      <c r="B356" s="13"/>
      <c r="C356" s="13"/>
      <c r="D356" s="13"/>
      <c r="E356" s="13"/>
      <c r="F356" s="13"/>
      <c r="G356" s="13"/>
      <c r="I356" s="13" t="str">
        <f>'data'!$A$75</f>
      </c>
      <c r="J356" s="13"/>
      <c r="K356" s="13"/>
      <c r="L356" s="13"/>
      <c r="M356" s="13"/>
      <c r="N356" s="13"/>
      <c r="O356" s="13"/>
    </row>
    <row r="357">
      <c r="A357" s="17" t="s">
        <v>330</v>
      </c>
      <c r="B357" s="14"/>
      <c r="C357" s="14"/>
      <c r="D357" s="14" t="s">
        <v>331</v>
      </c>
      <c r="E357" s="14"/>
      <c r="F357" s="14"/>
      <c r="G357" s="16" t="s">
        <v>332</v>
      </c>
      <c r="I357" s="17" t="s">
        <v>330</v>
      </c>
      <c r="J357" s="14"/>
      <c r="K357" s="14"/>
      <c r="L357" s="14" t="s">
        <v>331</v>
      </c>
      <c r="M357" s="14"/>
      <c r="N357" s="14"/>
      <c r="O357" s="16" t="s">
        <v>332</v>
      </c>
    </row>
    <row r="358">
      <c r="A358" s="14" t="str">
        <f>data!$E$29&amp;" "&amp;data!$B$29</f>
      </c>
      <c r="B358" s="14" t="str">
        <f>IF(UPPER(D359)="X",0,IF((LEN(SUBSTITUTE(SUBSTITUTE(SUBSTITUTE(B359," ",""),"0",""),"-",""))+LEN(SUBSTITUTE(SUBSTITUTE(SUBSTITUTE(C359," ",""),"0",""),"-","")))&gt;(LEN(SUBSTITUTE(SUBSTITUTE(SUBSTITUTE(E359," ",""),"0",""),"-",""))+LEN(SUBSTITUTE(SUBSTITUTE(SUBSTITUTE(F359," ",""),"0",""),"-",""))),1,0))+IF(UPPER(D360)="X",0,IF((LEN(SUBSTITUTE(SUBSTITUTE(SUBSTITUTE(B360," ",""),"0",""),"-",""))+LEN(SUBSTITUTE(SUBSTITUTE(SUBSTITUTE(C360," ",""),"0",""),"-","")))&gt;(LEN(SUBSTITUTE(SUBSTITUTE(SUBSTITUTE(E360," ",""),"0",""),"-",""))+LEN(SUBSTITUTE(SUBSTITUTE(SUBSTITUTE(F360," ",""),"0",""),"-",""))),1,0))+IF(UPPER(D361)="X",0,IF((LEN(SUBSTITUTE(SUBSTITUTE(SUBSTITUTE(B361," ",""),"0",""),"-",""))+LEN(SUBSTITUTE(SUBSTITUTE(SUBSTITUTE(C361," ",""),"0",""),"-","")))&gt;(LEN(SUBSTITUTE(SUBSTITUTE(SUBSTITUTE(E361," ",""),"0",""),"-",""))+LEN(SUBSTITUTE(SUBSTITUTE(SUBSTITUTE(F361," ",""),"0",""),"-",""))),1,0))+IF(UPPER(D362)="X",0,IF((LEN(SUBSTITUTE(SUBSTITUTE(SUBSTITUTE(B362," ",""),"0",""),"-",""))+LEN(SUBSTITUTE(SUBSTITUTE(SUBSTITUTE(C362," ",""),"0",""),"-","")))&gt;(LEN(SUBSTITUTE(SUBSTITUTE(SUBSTITUTE(E362," ",""),"0",""),"-",""))+LEN(SUBSTITUTE(SUBSTITUTE(SUBSTITUTE(F362," ",""),"0",""),"-",""))),1,0))+IF(UPPER(D363)="X",0,IF((LEN(SUBSTITUTE(SUBSTITUTE(SUBSTITUTE(B363," ",""),"0",""),"-",""))+LEN(SUBSTITUTE(SUBSTITUTE(SUBSTITUTE(C363," ",""),"0",""),"-","")))&gt;(LEN(SUBSTITUTE(SUBSTITUTE(SUBSTITUTE(E363," ",""),"0",""),"-",""))+LEN(SUBSTITUTE(SUBSTITUTE(SUBSTITUTE(F363," ",""),"0",""),"-",""))),1,0))</f>
      </c>
      <c r="C358" s="14" t="str">
        <f>LEN(SUBSTITUTE(SUBSTITUTE(SUBSTITUTE(B359," ",""),"0",""),"-",""))+LEN(SUBSTITUTE(SUBSTITUTE(SUBSTITUTE(C359," ",""),"0",""),"-",""))+LEN(SUBSTITUTE(SUBSTITUTE(SUBSTITUTE(B360," ",""),"0",""),"-",""))+LEN(SUBSTITUTE(SUBSTITUTE(SUBSTITUTE(C360," ",""),"0",""),"-",""))+LEN(SUBSTITUTE(SUBSTITUTE(SUBSTITUTE(B361," ",""),"0",""),"-",""))+LEN(SUBSTITUTE(SUBSTITUTE(SUBSTITUTE(C361," ",""),"0",""),"-",""))+LEN(SUBSTITUTE(SUBSTITUTE(SUBSTITUTE(B362," ",""),"0",""),"-",""))+LEN(SUBSTITUTE(SUBSTITUTE(SUBSTITUTE(C362," ",""),"0",""),"-",""))+LEN(SUBSTITUTE(SUBSTITUTE(SUBSTITUTE(B363," ",""),"0",""),"-",""))+LEN(SUBSTITUTE(SUBSTITUTE(SUBSTITUTE(C363," ",""),"0",""),"-",""))</f>
      </c>
      <c r="D358" s="18"/>
      <c r="E358" s="14" t="str">
        <f>LEN(SUBSTITUTE(SUBSTITUTE(SUBSTITUTE(E359," ",""),"0",""),"-",""))+LEN(SUBSTITUTE(SUBSTITUTE(SUBSTITUTE(F359," ",""),"0",""),"-",""))+LEN(SUBSTITUTE(SUBSTITUTE(SUBSTITUTE(E360," ",""),"0",""),"-",""))+LEN(SUBSTITUTE(SUBSTITUTE(SUBSTITUTE(F360," ",""),"0",""),"-",""))+LEN(SUBSTITUTE(SUBSTITUTE(SUBSTITUTE(E361," ",""),"0",""),"-",""))+LEN(SUBSTITUTE(SUBSTITUTE(SUBSTITUTE(F361," ",""),"0",""),"-",""))+LEN(SUBSTITUTE(SUBSTITUTE(SUBSTITUTE(E362," ",""),"0",""),"-",""))+LEN(SUBSTITUTE(SUBSTITUTE(SUBSTITUTE(F362," ",""),"0",""),"-",""))+LEN(SUBSTITUTE(SUBSTITUTE(SUBSTITUTE(E363," ",""),"0",""),"-",""))+LEN(SUBSTITUTE(SUBSTITUTE(SUBSTITUTE(F363," ",""),"0",""),"-",""))</f>
      </c>
      <c r="F358" s="14" t="str">
        <f>IF(UPPER(D359)="X",0,IF((LEN(SUBSTITUTE(SUBSTITUTE(SUBSTITUTE(E359," ",""),"0",""),"-",""))+LEN(SUBSTITUTE(SUBSTITUTE(SUBSTITUTE(F359," ",""),"0",""),"-","")))&gt;(LEN(SUBSTITUTE(SUBSTITUTE(SUBSTITUTE(B359," ",""),"0",""),"-",""))+LEN(SUBSTITUTE(SUBSTITUTE(SUBSTITUTE(C359," ",""),"0",""),"-",""))),1,0))+IF(UPPER(D360)="X",0,IF((LEN(SUBSTITUTE(SUBSTITUTE(SUBSTITUTE(E360," ",""),"0",""),"-",""))+LEN(SUBSTITUTE(SUBSTITUTE(SUBSTITUTE(F360," ",""),"0",""),"-","")))&gt;(LEN(SUBSTITUTE(SUBSTITUTE(SUBSTITUTE(B360," ",""),"0",""),"-",""))+LEN(SUBSTITUTE(SUBSTITUTE(SUBSTITUTE(C360," ",""),"0",""),"-",""))),1,0))+IF(UPPER(D361)="X",0,IF((LEN(SUBSTITUTE(SUBSTITUTE(SUBSTITUTE(E361," ",""),"0",""),"-",""))+LEN(SUBSTITUTE(SUBSTITUTE(SUBSTITUTE(F361," ",""),"0",""),"-","")))&gt;(LEN(SUBSTITUTE(SUBSTITUTE(SUBSTITUTE(B361," ",""),"0",""),"-",""))+LEN(SUBSTITUTE(SUBSTITUTE(SUBSTITUTE(C361," ",""),"0",""),"-",""))),1,0))+IF(UPPER(D362)="X",0,IF((LEN(SUBSTITUTE(SUBSTITUTE(SUBSTITUTE(E362," ",""),"0",""),"-",""))+LEN(SUBSTITUTE(SUBSTITUTE(SUBSTITUTE(F362," ",""),"0",""),"-","")))&gt;(LEN(SUBSTITUTE(SUBSTITUTE(SUBSTITUTE(B362," ",""),"0",""),"-",""))+LEN(SUBSTITUTE(SUBSTITUTE(SUBSTITUTE(C362," ",""),"0",""),"-",""))),1,0))+IF(UPPER(D363)="X",0,IF((LEN(SUBSTITUTE(SUBSTITUTE(SUBSTITUTE(E363," ",""),"0",""),"-",""))+LEN(SUBSTITUTE(SUBSTITUTE(SUBSTITUTE(F363," ",""),"0",""),"-","")))&gt;(LEN(SUBSTITUTE(SUBSTITUTE(SUBSTITUTE(B363," ",""),"0",""),"-",""))+LEN(SUBSTITUTE(SUBSTITUTE(SUBSTITUTE(C363," ",""),"0",""),"-",""))),1,0))</f>
      </c>
      <c r="G358" s="14" t="str">
        <f>data!$E$28&amp;" "&amp;data!$B$28</f>
      </c>
      <c r="I358" s="14" t="str">
        <f>data!$E$74&amp;" "&amp;data!$B$74</f>
      </c>
      <c r="J358" s="14" t="str">
        <f>IF(UPPER(L359)="X",0,IF((LEN(SUBSTITUTE(SUBSTITUTE(SUBSTITUTE(J359," ",""),"0",""),"-",""))+LEN(SUBSTITUTE(SUBSTITUTE(SUBSTITUTE(K359," ",""),"0",""),"-","")))&gt;(LEN(SUBSTITUTE(SUBSTITUTE(SUBSTITUTE(M359," ",""),"0",""),"-",""))+LEN(SUBSTITUTE(SUBSTITUTE(SUBSTITUTE(N359," ",""),"0",""),"-",""))),1,0))+IF(UPPER(L360)="X",0,IF((LEN(SUBSTITUTE(SUBSTITUTE(SUBSTITUTE(J360," ",""),"0",""),"-",""))+LEN(SUBSTITUTE(SUBSTITUTE(SUBSTITUTE(K360," ",""),"0",""),"-","")))&gt;(LEN(SUBSTITUTE(SUBSTITUTE(SUBSTITUTE(M360," ",""),"0",""),"-",""))+LEN(SUBSTITUTE(SUBSTITUTE(SUBSTITUTE(N360," ",""),"0",""),"-",""))),1,0))+IF(UPPER(L361)="X",0,IF((LEN(SUBSTITUTE(SUBSTITUTE(SUBSTITUTE(J361," ",""),"0",""),"-",""))+LEN(SUBSTITUTE(SUBSTITUTE(SUBSTITUTE(K361," ",""),"0",""),"-","")))&gt;(LEN(SUBSTITUTE(SUBSTITUTE(SUBSTITUTE(M361," ",""),"0",""),"-",""))+LEN(SUBSTITUTE(SUBSTITUTE(SUBSTITUTE(N361," ",""),"0",""),"-",""))),1,0))+IF(UPPER(L362)="X",0,IF((LEN(SUBSTITUTE(SUBSTITUTE(SUBSTITUTE(J362," ",""),"0",""),"-",""))+LEN(SUBSTITUTE(SUBSTITUTE(SUBSTITUTE(K362," ",""),"0",""),"-","")))&gt;(LEN(SUBSTITUTE(SUBSTITUTE(SUBSTITUTE(M362," ",""),"0",""),"-",""))+LEN(SUBSTITUTE(SUBSTITUTE(SUBSTITUTE(N362," ",""),"0",""),"-",""))),1,0))+IF(UPPER(L363)="X",0,IF((LEN(SUBSTITUTE(SUBSTITUTE(SUBSTITUTE(J363," ",""),"0",""),"-",""))+LEN(SUBSTITUTE(SUBSTITUTE(SUBSTITUTE(K363," ",""),"0",""),"-","")))&gt;(LEN(SUBSTITUTE(SUBSTITUTE(SUBSTITUTE(M363," ",""),"0",""),"-",""))+LEN(SUBSTITUTE(SUBSTITUTE(SUBSTITUTE(N363," ",""),"0",""),"-",""))),1,0))</f>
      </c>
      <c r="K358" s="14" t="str">
        <f>LEN(SUBSTITUTE(SUBSTITUTE(SUBSTITUTE(J359," ",""),"0",""),"-",""))+LEN(SUBSTITUTE(SUBSTITUTE(SUBSTITUTE(K359," ",""),"0",""),"-",""))+LEN(SUBSTITUTE(SUBSTITUTE(SUBSTITUTE(J360," ",""),"0",""),"-",""))+LEN(SUBSTITUTE(SUBSTITUTE(SUBSTITUTE(K360," ",""),"0",""),"-",""))+LEN(SUBSTITUTE(SUBSTITUTE(SUBSTITUTE(J361," ",""),"0",""),"-",""))+LEN(SUBSTITUTE(SUBSTITUTE(SUBSTITUTE(K361," ",""),"0",""),"-",""))+LEN(SUBSTITUTE(SUBSTITUTE(SUBSTITUTE(J362," ",""),"0",""),"-",""))+LEN(SUBSTITUTE(SUBSTITUTE(SUBSTITUTE(K362," ",""),"0",""),"-",""))+LEN(SUBSTITUTE(SUBSTITUTE(SUBSTITUTE(J363," ",""),"0",""),"-",""))+LEN(SUBSTITUTE(SUBSTITUTE(SUBSTITUTE(K363," ",""),"0",""),"-",""))</f>
      </c>
      <c r="L358" s="18"/>
      <c r="M358" s="14" t="str">
        <f>LEN(SUBSTITUTE(SUBSTITUTE(SUBSTITUTE(M359," ",""),"0",""),"-",""))+LEN(SUBSTITUTE(SUBSTITUTE(SUBSTITUTE(N359," ",""),"0",""),"-",""))+LEN(SUBSTITUTE(SUBSTITUTE(SUBSTITUTE(M360," ",""),"0",""),"-",""))+LEN(SUBSTITUTE(SUBSTITUTE(SUBSTITUTE(N360," ",""),"0",""),"-",""))+LEN(SUBSTITUTE(SUBSTITUTE(SUBSTITUTE(M361," ",""),"0",""),"-",""))+LEN(SUBSTITUTE(SUBSTITUTE(SUBSTITUTE(N361," ",""),"0",""),"-",""))+LEN(SUBSTITUTE(SUBSTITUTE(SUBSTITUTE(M362," ",""),"0",""),"-",""))+LEN(SUBSTITUTE(SUBSTITUTE(SUBSTITUTE(N362," ",""),"0",""),"-",""))+LEN(SUBSTITUTE(SUBSTITUTE(SUBSTITUTE(M363," ",""),"0",""),"-",""))+LEN(SUBSTITUTE(SUBSTITUTE(SUBSTITUTE(N363," ",""),"0",""),"-",""))</f>
      </c>
      <c r="N358" s="14" t="str">
        <f>IF(UPPER(L359)="X",0,IF((LEN(SUBSTITUTE(SUBSTITUTE(SUBSTITUTE(M359," ",""),"0",""),"-",""))+LEN(SUBSTITUTE(SUBSTITUTE(SUBSTITUTE(N359," ",""),"0",""),"-","")))&gt;(LEN(SUBSTITUTE(SUBSTITUTE(SUBSTITUTE(J359," ",""),"0",""),"-",""))+LEN(SUBSTITUTE(SUBSTITUTE(SUBSTITUTE(K359," ",""),"0",""),"-",""))),1,0))+IF(UPPER(L360)="X",0,IF((LEN(SUBSTITUTE(SUBSTITUTE(SUBSTITUTE(M360," ",""),"0",""),"-",""))+LEN(SUBSTITUTE(SUBSTITUTE(SUBSTITUTE(N360," ",""),"0",""),"-","")))&gt;(LEN(SUBSTITUTE(SUBSTITUTE(SUBSTITUTE(J360," ",""),"0",""),"-",""))+LEN(SUBSTITUTE(SUBSTITUTE(SUBSTITUTE(K360," ",""),"0",""),"-",""))),1,0))+IF(UPPER(L361)="X",0,IF((LEN(SUBSTITUTE(SUBSTITUTE(SUBSTITUTE(M361," ",""),"0",""),"-",""))+LEN(SUBSTITUTE(SUBSTITUTE(SUBSTITUTE(N361," ",""),"0",""),"-","")))&gt;(LEN(SUBSTITUTE(SUBSTITUTE(SUBSTITUTE(J361," ",""),"0",""),"-",""))+LEN(SUBSTITUTE(SUBSTITUTE(SUBSTITUTE(K361," ",""),"0",""),"-",""))),1,0))+IF(UPPER(L362)="X",0,IF((LEN(SUBSTITUTE(SUBSTITUTE(SUBSTITUTE(M362," ",""),"0",""),"-",""))+LEN(SUBSTITUTE(SUBSTITUTE(SUBSTITUTE(N362," ",""),"0",""),"-","")))&gt;(LEN(SUBSTITUTE(SUBSTITUTE(SUBSTITUTE(J362," ",""),"0",""),"-",""))+LEN(SUBSTITUTE(SUBSTITUTE(SUBSTITUTE(K362," ",""),"0",""),"-",""))),1,0))+IF(UPPER(L363)="X",0,IF((LEN(SUBSTITUTE(SUBSTITUTE(SUBSTITUTE(M363," ",""),"0",""),"-",""))+LEN(SUBSTITUTE(SUBSTITUTE(SUBSTITUTE(N363," ",""),"0",""),"-","")))&gt;(LEN(SUBSTITUTE(SUBSTITUTE(SUBSTITUTE(J363," ",""),"0",""),"-",""))+LEN(SUBSTITUTE(SUBSTITUTE(SUBSTITUTE(K363," ",""),"0",""),"-",""))),1,0))</f>
      </c>
      <c r="O358" s="14" t="str">
        <f>data!$E$73&amp;" "&amp;data!$B$73</f>
      </c>
    </row>
    <row r="359">
      <c r="A359" s="14">
        <v>1</v>
      </c>
      <c r="B359" s="18"/>
      <c r="C359" s="18"/>
      <c r="D359" s="18"/>
      <c r="E359" s="18"/>
      <c r="F359" s="18"/>
      <c r="G359" s="14">
        <v>1</v>
      </c>
      <c r="I359" s="14">
        <v>1</v>
      </c>
      <c r="J359" s="18"/>
      <c r="K359" s="18"/>
      <c r="L359" s="18"/>
      <c r="M359" s="18"/>
      <c r="N359" s="18"/>
      <c r="O359" s="14">
        <v>1</v>
      </c>
    </row>
    <row r="360">
      <c r="A360" s="14">
        <v>2</v>
      </c>
      <c r="B360" s="18"/>
      <c r="C360" s="18"/>
      <c r="D360" s="18"/>
      <c r="E360" s="18"/>
      <c r="F360" s="18"/>
      <c r="G360" s="14">
        <v>2</v>
      </c>
      <c r="I360" s="14">
        <v>2</v>
      </c>
      <c r="J360" s="18"/>
      <c r="K360" s="18"/>
      <c r="L360" s="18"/>
      <c r="M360" s="18"/>
      <c r="N360" s="18"/>
      <c r="O360" s="14">
        <v>2</v>
      </c>
    </row>
    <row r="361">
      <c r="A361" s="14">
        <v>3</v>
      </c>
      <c r="B361" s="18"/>
      <c r="C361" s="18"/>
      <c r="D361" s="18"/>
      <c r="E361" s="18"/>
      <c r="F361" s="18"/>
      <c r="G361" s="14">
        <v>3</v>
      </c>
      <c r="I361" s="14">
        <v>3</v>
      </c>
      <c r="J361" s="18"/>
      <c r="K361" s="18"/>
      <c r="L361" s="18"/>
      <c r="M361" s="18"/>
      <c r="N361" s="18"/>
      <c r="O361" s="14">
        <v>3</v>
      </c>
    </row>
    <row r="362">
      <c r="A362" s="14">
        <v>4</v>
      </c>
      <c r="B362" s="18"/>
      <c r="C362" s="18"/>
      <c r="D362" s="18"/>
      <c r="E362" s="18"/>
      <c r="F362" s="18"/>
      <c r="G362" s="14">
        <v>4</v>
      </c>
      <c r="I362" s="14">
        <v>4</v>
      </c>
      <c r="J362" s="18"/>
      <c r="K362" s="18"/>
      <c r="L362" s="18"/>
      <c r="M362" s="18"/>
      <c r="N362" s="18"/>
      <c r="O362" s="14">
        <v>4</v>
      </c>
    </row>
    <row r="363">
      <c r="A363" s="14">
        <v>5</v>
      </c>
      <c r="B363" s="18"/>
      <c r="C363" s="18"/>
      <c r="D363" s="18"/>
      <c r="E363" s="18"/>
      <c r="F363" s="18"/>
      <c r="G363" s="14">
        <v>5</v>
      </c>
      <c r="I363" s="14">
        <v>5</v>
      </c>
      <c r="J363" s="18"/>
      <c r="K363" s="18"/>
      <c r="L363" s="18"/>
      <c r="M363" s="18"/>
      <c r="N363" s="18"/>
      <c r="O363" s="14">
        <v>5</v>
      </c>
    </row>
    <row r="365">
      <c r="A365" s="17" t="s">
        <v>330</v>
      </c>
      <c r="B365" s="14"/>
      <c r="C365" s="14"/>
      <c r="D365" s="14" t="s">
        <v>331</v>
      </c>
      <c r="E365" s="14"/>
      <c r="F365" s="14"/>
      <c r="G365" s="16" t="s">
        <v>332</v>
      </c>
      <c r="I365" s="17" t="s">
        <v>330</v>
      </c>
      <c r="J365" s="14"/>
      <c r="K365" s="14"/>
      <c r="L365" s="14" t="s">
        <v>331</v>
      </c>
      <c r="M365" s="14"/>
      <c r="N365" s="14"/>
      <c r="O365" s="16" t="s">
        <v>332</v>
      </c>
    </row>
    <row r="366">
      <c r="A366" s="14" t="str">
        <f>data!$E$30&amp;" "&amp;data!$B$30</f>
      </c>
      <c r="B366" s="14" t="str">
        <f>IF(UPPER(D367)="X",0,IF((LEN(SUBSTITUTE(SUBSTITUTE(SUBSTITUTE(B367," ",""),"0",""),"-",""))+LEN(SUBSTITUTE(SUBSTITUTE(SUBSTITUTE(C367," ",""),"0",""),"-","")))&gt;(LEN(SUBSTITUTE(SUBSTITUTE(SUBSTITUTE(E367," ",""),"0",""),"-",""))+LEN(SUBSTITUTE(SUBSTITUTE(SUBSTITUTE(F367," ",""),"0",""),"-",""))),1,0))+IF(UPPER(D368)="X",0,IF((LEN(SUBSTITUTE(SUBSTITUTE(SUBSTITUTE(B368," ",""),"0",""),"-",""))+LEN(SUBSTITUTE(SUBSTITUTE(SUBSTITUTE(C368," ",""),"0",""),"-","")))&gt;(LEN(SUBSTITUTE(SUBSTITUTE(SUBSTITUTE(E368," ",""),"0",""),"-",""))+LEN(SUBSTITUTE(SUBSTITUTE(SUBSTITUTE(F368," ",""),"0",""),"-",""))),1,0))+IF(UPPER(D369)="X",0,IF((LEN(SUBSTITUTE(SUBSTITUTE(SUBSTITUTE(B369," ",""),"0",""),"-",""))+LEN(SUBSTITUTE(SUBSTITUTE(SUBSTITUTE(C369," ",""),"0",""),"-","")))&gt;(LEN(SUBSTITUTE(SUBSTITUTE(SUBSTITUTE(E369," ",""),"0",""),"-",""))+LEN(SUBSTITUTE(SUBSTITUTE(SUBSTITUTE(F369," ",""),"0",""),"-",""))),1,0))+IF(UPPER(D370)="X",0,IF((LEN(SUBSTITUTE(SUBSTITUTE(SUBSTITUTE(B370," ",""),"0",""),"-",""))+LEN(SUBSTITUTE(SUBSTITUTE(SUBSTITUTE(C370," ",""),"0",""),"-","")))&gt;(LEN(SUBSTITUTE(SUBSTITUTE(SUBSTITUTE(E370," ",""),"0",""),"-",""))+LEN(SUBSTITUTE(SUBSTITUTE(SUBSTITUTE(F370," ",""),"0",""),"-",""))),1,0))+IF(UPPER(D371)="X",0,IF((LEN(SUBSTITUTE(SUBSTITUTE(SUBSTITUTE(B371," ",""),"0",""),"-",""))+LEN(SUBSTITUTE(SUBSTITUTE(SUBSTITUTE(C371," ",""),"0",""),"-","")))&gt;(LEN(SUBSTITUTE(SUBSTITUTE(SUBSTITUTE(E371," ",""),"0",""),"-",""))+LEN(SUBSTITUTE(SUBSTITUTE(SUBSTITUTE(F371," ",""),"0",""),"-",""))),1,0))</f>
      </c>
      <c r="C366" s="14" t="str">
        <f>LEN(SUBSTITUTE(SUBSTITUTE(SUBSTITUTE(B367," ",""),"0",""),"-",""))+LEN(SUBSTITUTE(SUBSTITUTE(SUBSTITUTE(C367," ",""),"0",""),"-",""))+LEN(SUBSTITUTE(SUBSTITUTE(SUBSTITUTE(B368," ",""),"0",""),"-",""))+LEN(SUBSTITUTE(SUBSTITUTE(SUBSTITUTE(C368," ",""),"0",""),"-",""))+LEN(SUBSTITUTE(SUBSTITUTE(SUBSTITUTE(B369," ",""),"0",""),"-",""))+LEN(SUBSTITUTE(SUBSTITUTE(SUBSTITUTE(C369," ",""),"0",""),"-",""))+LEN(SUBSTITUTE(SUBSTITUTE(SUBSTITUTE(B370," ",""),"0",""),"-",""))+LEN(SUBSTITUTE(SUBSTITUTE(SUBSTITUTE(C370," ",""),"0",""),"-",""))+LEN(SUBSTITUTE(SUBSTITUTE(SUBSTITUTE(B371," ",""),"0",""),"-",""))+LEN(SUBSTITUTE(SUBSTITUTE(SUBSTITUTE(C371," ",""),"0",""),"-",""))</f>
      </c>
      <c r="D366" s="18"/>
      <c r="E366" s="14" t="str">
        <f>LEN(SUBSTITUTE(SUBSTITUTE(SUBSTITUTE(E367," ",""),"0",""),"-",""))+LEN(SUBSTITUTE(SUBSTITUTE(SUBSTITUTE(F367," ",""),"0",""),"-",""))+LEN(SUBSTITUTE(SUBSTITUTE(SUBSTITUTE(E368," ",""),"0",""),"-",""))+LEN(SUBSTITUTE(SUBSTITUTE(SUBSTITUTE(F368," ",""),"0",""),"-",""))+LEN(SUBSTITUTE(SUBSTITUTE(SUBSTITUTE(E369," ",""),"0",""),"-",""))+LEN(SUBSTITUTE(SUBSTITUTE(SUBSTITUTE(F369," ",""),"0",""),"-",""))+LEN(SUBSTITUTE(SUBSTITUTE(SUBSTITUTE(E370," ",""),"0",""),"-",""))+LEN(SUBSTITUTE(SUBSTITUTE(SUBSTITUTE(F370," ",""),"0",""),"-",""))+LEN(SUBSTITUTE(SUBSTITUTE(SUBSTITUTE(E371," ",""),"0",""),"-",""))+LEN(SUBSTITUTE(SUBSTITUTE(SUBSTITUTE(F371," ",""),"0",""),"-",""))</f>
      </c>
      <c r="F366" s="14" t="str">
        <f>IF(UPPER(D367)="X",0,IF((LEN(SUBSTITUTE(SUBSTITUTE(SUBSTITUTE(E367," ",""),"0",""),"-",""))+LEN(SUBSTITUTE(SUBSTITUTE(SUBSTITUTE(F367," ",""),"0",""),"-","")))&gt;(LEN(SUBSTITUTE(SUBSTITUTE(SUBSTITUTE(B367," ",""),"0",""),"-",""))+LEN(SUBSTITUTE(SUBSTITUTE(SUBSTITUTE(C367," ",""),"0",""),"-",""))),1,0))+IF(UPPER(D368)="X",0,IF((LEN(SUBSTITUTE(SUBSTITUTE(SUBSTITUTE(E368," ",""),"0",""),"-",""))+LEN(SUBSTITUTE(SUBSTITUTE(SUBSTITUTE(F368," ",""),"0",""),"-","")))&gt;(LEN(SUBSTITUTE(SUBSTITUTE(SUBSTITUTE(B368," ",""),"0",""),"-",""))+LEN(SUBSTITUTE(SUBSTITUTE(SUBSTITUTE(C368," ",""),"0",""),"-",""))),1,0))+IF(UPPER(D369)="X",0,IF((LEN(SUBSTITUTE(SUBSTITUTE(SUBSTITUTE(E369," ",""),"0",""),"-",""))+LEN(SUBSTITUTE(SUBSTITUTE(SUBSTITUTE(F369," ",""),"0",""),"-","")))&gt;(LEN(SUBSTITUTE(SUBSTITUTE(SUBSTITUTE(B369," ",""),"0",""),"-",""))+LEN(SUBSTITUTE(SUBSTITUTE(SUBSTITUTE(C369," ",""),"0",""),"-",""))),1,0))+IF(UPPER(D370)="X",0,IF((LEN(SUBSTITUTE(SUBSTITUTE(SUBSTITUTE(E370," ",""),"0",""),"-",""))+LEN(SUBSTITUTE(SUBSTITUTE(SUBSTITUTE(F370," ",""),"0",""),"-","")))&gt;(LEN(SUBSTITUTE(SUBSTITUTE(SUBSTITUTE(B370," ",""),"0",""),"-",""))+LEN(SUBSTITUTE(SUBSTITUTE(SUBSTITUTE(C370," ",""),"0",""),"-",""))),1,0))+IF(UPPER(D371)="X",0,IF((LEN(SUBSTITUTE(SUBSTITUTE(SUBSTITUTE(E371," ",""),"0",""),"-",""))+LEN(SUBSTITUTE(SUBSTITUTE(SUBSTITUTE(F371," ",""),"0",""),"-","")))&gt;(LEN(SUBSTITUTE(SUBSTITUTE(SUBSTITUTE(B371," ",""),"0",""),"-",""))+LEN(SUBSTITUTE(SUBSTITUTE(SUBSTITUTE(C371," ",""),"0",""),"-",""))),1,0))</f>
      </c>
      <c r="G366" s="14" t="str">
        <f>data!$E$28&amp;" "&amp;data!$B$28</f>
      </c>
      <c r="I366" s="14" t="str">
        <f>data!$E$75&amp;" "&amp;data!$B$75</f>
      </c>
      <c r="J366" s="14" t="str">
        <f>IF(UPPER(L367)="X",0,IF((LEN(SUBSTITUTE(SUBSTITUTE(SUBSTITUTE(J367," ",""),"0",""),"-",""))+LEN(SUBSTITUTE(SUBSTITUTE(SUBSTITUTE(K367," ",""),"0",""),"-","")))&gt;(LEN(SUBSTITUTE(SUBSTITUTE(SUBSTITUTE(M367," ",""),"0",""),"-",""))+LEN(SUBSTITUTE(SUBSTITUTE(SUBSTITUTE(N367," ",""),"0",""),"-",""))),1,0))+IF(UPPER(L368)="X",0,IF((LEN(SUBSTITUTE(SUBSTITUTE(SUBSTITUTE(J368," ",""),"0",""),"-",""))+LEN(SUBSTITUTE(SUBSTITUTE(SUBSTITUTE(K368," ",""),"0",""),"-","")))&gt;(LEN(SUBSTITUTE(SUBSTITUTE(SUBSTITUTE(M368," ",""),"0",""),"-",""))+LEN(SUBSTITUTE(SUBSTITUTE(SUBSTITUTE(N368," ",""),"0",""),"-",""))),1,0))+IF(UPPER(L369)="X",0,IF((LEN(SUBSTITUTE(SUBSTITUTE(SUBSTITUTE(J369," ",""),"0",""),"-",""))+LEN(SUBSTITUTE(SUBSTITUTE(SUBSTITUTE(K369," ",""),"0",""),"-","")))&gt;(LEN(SUBSTITUTE(SUBSTITUTE(SUBSTITUTE(M369," ",""),"0",""),"-",""))+LEN(SUBSTITUTE(SUBSTITUTE(SUBSTITUTE(N369," ",""),"0",""),"-",""))),1,0))+IF(UPPER(L370)="X",0,IF((LEN(SUBSTITUTE(SUBSTITUTE(SUBSTITUTE(J370," ",""),"0",""),"-",""))+LEN(SUBSTITUTE(SUBSTITUTE(SUBSTITUTE(K370," ",""),"0",""),"-","")))&gt;(LEN(SUBSTITUTE(SUBSTITUTE(SUBSTITUTE(M370," ",""),"0",""),"-",""))+LEN(SUBSTITUTE(SUBSTITUTE(SUBSTITUTE(N370," ",""),"0",""),"-",""))),1,0))+IF(UPPER(L371)="X",0,IF((LEN(SUBSTITUTE(SUBSTITUTE(SUBSTITUTE(J371," ",""),"0",""),"-",""))+LEN(SUBSTITUTE(SUBSTITUTE(SUBSTITUTE(K371," ",""),"0",""),"-","")))&gt;(LEN(SUBSTITUTE(SUBSTITUTE(SUBSTITUTE(M371," ",""),"0",""),"-",""))+LEN(SUBSTITUTE(SUBSTITUTE(SUBSTITUTE(N371," ",""),"0",""),"-",""))),1,0))</f>
      </c>
      <c r="K366" s="14" t="str">
        <f>LEN(SUBSTITUTE(SUBSTITUTE(SUBSTITUTE(J367," ",""),"0",""),"-",""))+LEN(SUBSTITUTE(SUBSTITUTE(SUBSTITUTE(K367," ",""),"0",""),"-",""))+LEN(SUBSTITUTE(SUBSTITUTE(SUBSTITUTE(J368," ",""),"0",""),"-",""))+LEN(SUBSTITUTE(SUBSTITUTE(SUBSTITUTE(K368," ",""),"0",""),"-",""))+LEN(SUBSTITUTE(SUBSTITUTE(SUBSTITUTE(J369," ",""),"0",""),"-",""))+LEN(SUBSTITUTE(SUBSTITUTE(SUBSTITUTE(K369," ",""),"0",""),"-",""))+LEN(SUBSTITUTE(SUBSTITUTE(SUBSTITUTE(J370," ",""),"0",""),"-",""))+LEN(SUBSTITUTE(SUBSTITUTE(SUBSTITUTE(K370," ",""),"0",""),"-",""))+LEN(SUBSTITUTE(SUBSTITUTE(SUBSTITUTE(J371," ",""),"0",""),"-",""))+LEN(SUBSTITUTE(SUBSTITUTE(SUBSTITUTE(K371," ",""),"0",""),"-",""))</f>
      </c>
      <c r="L366" s="18"/>
      <c r="M366" s="14" t="str">
        <f>LEN(SUBSTITUTE(SUBSTITUTE(SUBSTITUTE(M367," ",""),"0",""),"-",""))+LEN(SUBSTITUTE(SUBSTITUTE(SUBSTITUTE(N367," ",""),"0",""),"-",""))+LEN(SUBSTITUTE(SUBSTITUTE(SUBSTITUTE(M368," ",""),"0",""),"-",""))+LEN(SUBSTITUTE(SUBSTITUTE(SUBSTITUTE(N368," ",""),"0",""),"-",""))+LEN(SUBSTITUTE(SUBSTITUTE(SUBSTITUTE(M369," ",""),"0",""),"-",""))+LEN(SUBSTITUTE(SUBSTITUTE(SUBSTITUTE(N369," ",""),"0",""),"-",""))+LEN(SUBSTITUTE(SUBSTITUTE(SUBSTITUTE(M370," ",""),"0",""),"-",""))+LEN(SUBSTITUTE(SUBSTITUTE(SUBSTITUTE(N370," ",""),"0",""),"-",""))+LEN(SUBSTITUTE(SUBSTITUTE(SUBSTITUTE(M371," ",""),"0",""),"-",""))+LEN(SUBSTITUTE(SUBSTITUTE(SUBSTITUTE(N371," ",""),"0",""),"-",""))</f>
      </c>
      <c r="N366" s="14" t="str">
        <f>IF(UPPER(L367)="X",0,IF((LEN(SUBSTITUTE(SUBSTITUTE(SUBSTITUTE(M367," ",""),"0",""),"-",""))+LEN(SUBSTITUTE(SUBSTITUTE(SUBSTITUTE(N367," ",""),"0",""),"-","")))&gt;(LEN(SUBSTITUTE(SUBSTITUTE(SUBSTITUTE(J367," ",""),"0",""),"-",""))+LEN(SUBSTITUTE(SUBSTITUTE(SUBSTITUTE(K367," ",""),"0",""),"-",""))),1,0))+IF(UPPER(L368)="X",0,IF((LEN(SUBSTITUTE(SUBSTITUTE(SUBSTITUTE(M368," ",""),"0",""),"-",""))+LEN(SUBSTITUTE(SUBSTITUTE(SUBSTITUTE(N368," ",""),"0",""),"-","")))&gt;(LEN(SUBSTITUTE(SUBSTITUTE(SUBSTITUTE(J368," ",""),"0",""),"-",""))+LEN(SUBSTITUTE(SUBSTITUTE(SUBSTITUTE(K368," ",""),"0",""),"-",""))),1,0))+IF(UPPER(L369)="X",0,IF((LEN(SUBSTITUTE(SUBSTITUTE(SUBSTITUTE(M369," ",""),"0",""),"-",""))+LEN(SUBSTITUTE(SUBSTITUTE(SUBSTITUTE(N369," ",""),"0",""),"-","")))&gt;(LEN(SUBSTITUTE(SUBSTITUTE(SUBSTITUTE(J369," ",""),"0",""),"-",""))+LEN(SUBSTITUTE(SUBSTITUTE(SUBSTITUTE(K369," ",""),"0",""),"-",""))),1,0))+IF(UPPER(L370)="X",0,IF((LEN(SUBSTITUTE(SUBSTITUTE(SUBSTITUTE(M370," ",""),"0",""),"-",""))+LEN(SUBSTITUTE(SUBSTITUTE(SUBSTITUTE(N370," ",""),"0",""),"-","")))&gt;(LEN(SUBSTITUTE(SUBSTITUTE(SUBSTITUTE(J370," ",""),"0",""),"-",""))+LEN(SUBSTITUTE(SUBSTITUTE(SUBSTITUTE(K370," ",""),"0",""),"-",""))),1,0))+IF(UPPER(L371)="X",0,IF((LEN(SUBSTITUTE(SUBSTITUTE(SUBSTITUTE(M371," ",""),"0",""),"-",""))+LEN(SUBSTITUTE(SUBSTITUTE(SUBSTITUTE(N371," ",""),"0",""),"-","")))&gt;(LEN(SUBSTITUTE(SUBSTITUTE(SUBSTITUTE(J371," ",""),"0",""),"-",""))+LEN(SUBSTITUTE(SUBSTITUTE(SUBSTITUTE(K371," ",""),"0",""),"-",""))),1,0))</f>
      </c>
      <c r="O366" s="14" t="str">
        <f>data!$E$73&amp;" "&amp;data!$B$73</f>
      </c>
    </row>
    <row r="367">
      <c r="A367" s="14">
        <v>1</v>
      </c>
      <c r="B367" s="18"/>
      <c r="C367" s="18"/>
      <c r="D367" s="18"/>
      <c r="E367" s="18"/>
      <c r="F367" s="18"/>
      <c r="G367" s="14">
        <v>1</v>
      </c>
      <c r="I367" s="14">
        <v>1</v>
      </c>
      <c r="J367" s="18"/>
      <c r="K367" s="18"/>
      <c r="L367" s="18"/>
      <c r="M367" s="18"/>
      <c r="N367" s="18"/>
      <c r="O367" s="14">
        <v>1</v>
      </c>
    </row>
    <row r="368">
      <c r="A368" s="14">
        <v>2</v>
      </c>
      <c r="B368" s="18"/>
      <c r="C368" s="18"/>
      <c r="D368" s="18"/>
      <c r="E368" s="18"/>
      <c r="F368" s="18"/>
      <c r="G368" s="14">
        <v>2</v>
      </c>
      <c r="I368" s="14">
        <v>2</v>
      </c>
      <c r="J368" s="18"/>
      <c r="K368" s="18"/>
      <c r="L368" s="18"/>
      <c r="M368" s="18"/>
      <c r="N368" s="18"/>
      <c r="O368" s="14">
        <v>2</v>
      </c>
    </row>
    <row r="369">
      <c r="A369" s="14">
        <v>3</v>
      </c>
      <c r="B369" s="18"/>
      <c r="C369" s="18"/>
      <c r="D369" s="18"/>
      <c r="E369" s="18"/>
      <c r="F369" s="18"/>
      <c r="G369" s="14">
        <v>3</v>
      </c>
      <c r="I369" s="14">
        <v>3</v>
      </c>
      <c r="J369" s="18"/>
      <c r="K369" s="18"/>
      <c r="L369" s="18"/>
      <c r="M369" s="18"/>
      <c r="N369" s="18"/>
      <c r="O369" s="14">
        <v>3</v>
      </c>
    </row>
    <row r="370">
      <c r="A370" s="14">
        <v>4</v>
      </c>
      <c r="B370" s="18"/>
      <c r="C370" s="18"/>
      <c r="D370" s="18"/>
      <c r="E370" s="18"/>
      <c r="F370" s="18"/>
      <c r="G370" s="14">
        <v>4</v>
      </c>
      <c r="I370" s="14">
        <v>4</v>
      </c>
      <c r="J370" s="18"/>
      <c r="K370" s="18"/>
      <c r="L370" s="18"/>
      <c r="M370" s="18"/>
      <c r="N370" s="18"/>
      <c r="O370" s="14">
        <v>4</v>
      </c>
    </row>
    <row r="371">
      <c r="A371" s="14">
        <v>5</v>
      </c>
      <c r="B371" s="18"/>
      <c r="C371" s="18"/>
      <c r="D371" s="18"/>
      <c r="E371" s="18"/>
      <c r="F371" s="18"/>
      <c r="G371" s="14">
        <v>5</v>
      </c>
      <c r="I371" s="14">
        <v>5</v>
      </c>
      <c r="J371" s="18"/>
      <c r="K371" s="18"/>
      <c r="L371" s="18"/>
      <c r="M371" s="18"/>
      <c r="N371" s="18"/>
      <c r="O371" s="14">
        <v>5</v>
      </c>
    </row>
    <row r="373">
      <c r="A373" s="17" t="s">
        <v>330</v>
      </c>
      <c r="B373" s="14"/>
      <c r="C373" s="14"/>
      <c r="D373" s="14" t="s">
        <v>331</v>
      </c>
      <c r="E373" s="14"/>
      <c r="F373" s="14"/>
      <c r="G373" s="16" t="s">
        <v>332</v>
      </c>
      <c r="I373" s="17" t="s">
        <v>330</v>
      </c>
      <c r="J373" s="14"/>
      <c r="K373" s="14"/>
      <c r="L373" s="14" t="s">
        <v>331</v>
      </c>
      <c r="M373" s="14"/>
      <c r="N373" s="14"/>
      <c r="O373" s="16" t="s">
        <v>332</v>
      </c>
    </row>
    <row r="374">
      <c r="A374" s="14" t="str">
        <f>data!$E$30&amp;" "&amp;data!$B$30</f>
      </c>
      <c r="B374" s="14" t="str">
        <f>IF(UPPER(D375)="X",0,IF((LEN(SUBSTITUTE(SUBSTITUTE(SUBSTITUTE(B375," ",""),"0",""),"-",""))+LEN(SUBSTITUTE(SUBSTITUTE(SUBSTITUTE(C375," ",""),"0",""),"-","")))&gt;(LEN(SUBSTITUTE(SUBSTITUTE(SUBSTITUTE(E375," ",""),"0",""),"-",""))+LEN(SUBSTITUTE(SUBSTITUTE(SUBSTITUTE(F375," ",""),"0",""),"-",""))),1,0))+IF(UPPER(D376)="X",0,IF((LEN(SUBSTITUTE(SUBSTITUTE(SUBSTITUTE(B376," ",""),"0",""),"-",""))+LEN(SUBSTITUTE(SUBSTITUTE(SUBSTITUTE(C376," ",""),"0",""),"-","")))&gt;(LEN(SUBSTITUTE(SUBSTITUTE(SUBSTITUTE(E376," ",""),"0",""),"-",""))+LEN(SUBSTITUTE(SUBSTITUTE(SUBSTITUTE(F376," ",""),"0",""),"-",""))),1,0))+IF(UPPER(D377)="X",0,IF((LEN(SUBSTITUTE(SUBSTITUTE(SUBSTITUTE(B377," ",""),"0",""),"-",""))+LEN(SUBSTITUTE(SUBSTITUTE(SUBSTITUTE(C377," ",""),"0",""),"-","")))&gt;(LEN(SUBSTITUTE(SUBSTITUTE(SUBSTITUTE(E377," ",""),"0",""),"-",""))+LEN(SUBSTITUTE(SUBSTITUTE(SUBSTITUTE(F377," ",""),"0",""),"-",""))),1,0))+IF(UPPER(D378)="X",0,IF((LEN(SUBSTITUTE(SUBSTITUTE(SUBSTITUTE(B378," ",""),"0",""),"-",""))+LEN(SUBSTITUTE(SUBSTITUTE(SUBSTITUTE(C378," ",""),"0",""),"-","")))&gt;(LEN(SUBSTITUTE(SUBSTITUTE(SUBSTITUTE(E378," ",""),"0",""),"-",""))+LEN(SUBSTITUTE(SUBSTITUTE(SUBSTITUTE(F378," ",""),"0",""),"-",""))),1,0))+IF(UPPER(D379)="X",0,IF((LEN(SUBSTITUTE(SUBSTITUTE(SUBSTITUTE(B379," ",""),"0",""),"-",""))+LEN(SUBSTITUTE(SUBSTITUTE(SUBSTITUTE(C379," ",""),"0",""),"-","")))&gt;(LEN(SUBSTITUTE(SUBSTITUTE(SUBSTITUTE(E379," ",""),"0",""),"-",""))+LEN(SUBSTITUTE(SUBSTITUTE(SUBSTITUTE(F379," ",""),"0",""),"-",""))),1,0))</f>
      </c>
      <c r="C374" s="14" t="str">
        <f>LEN(SUBSTITUTE(SUBSTITUTE(SUBSTITUTE(B375," ",""),"0",""),"-",""))+LEN(SUBSTITUTE(SUBSTITUTE(SUBSTITUTE(C375," ",""),"0",""),"-",""))+LEN(SUBSTITUTE(SUBSTITUTE(SUBSTITUTE(B376," ",""),"0",""),"-",""))+LEN(SUBSTITUTE(SUBSTITUTE(SUBSTITUTE(C376," ",""),"0",""),"-",""))+LEN(SUBSTITUTE(SUBSTITUTE(SUBSTITUTE(B377," ",""),"0",""),"-",""))+LEN(SUBSTITUTE(SUBSTITUTE(SUBSTITUTE(C377," ",""),"0",""),"-",""))+LEN(SUBSTITUTE(SUBSTITUTE(SUBSTITUTE(B378," ",""),"0",""),"-",""))+LEN(SUBSTITUTE(SUBSTITUTE(SUBSTITUTE(C378," ",""),"0",""),"-",""))+LEN(SUBSTITUTE(SUBSTITUTE(SUBSTITUTE(B379," ",""),"0",""),"-",""))+LEN(SUBSTITUTE(SUBSTITUTE(SUBSTITUTE(C379," ",""),"0",""),"-",""))</f>
      </c>
      <c r="D374" s="18"/>
      <c r="E374" s="14" t="str">
        <f>LEN(SUBSTITUTE(SUBSTITUTE(SUBSTITUTE(E375," ",""),"0",""),"-",""))+LEN(SUBSTITUTE(SUBSTITUTE(SUBSTITUTE(F375," ",""),"0",""),"-",""))+LEN(SUBSTITUTE(SUBSTITUTE(SUBSTITUTE(E376," ",""),"0",""),"-",""))+LEN(SUBSTITUTE(SUBSTITUTE(SUBSTITUTE(F376," ",""),"0",""),"-",""))+LEN(SUBSTITUTE(SUBSTITUTE(SUBSTITUTE(E377," ",""),"0",""),"-",""))+LEN(SUBSTITUTE(SUBSTITUTE(SUBSTITUTE(F377," ",""),"0",""),"-",""))+LEN(SUBSTITUTE(SUBSTITUTE(SUBSTITUTE(E378," ",""),"0",""),"-",""))+LEN(SUBSTITUTE(SUBSTITUTE(SUBSTITUTE(F378," ",""),"0",""),"-",""))+LEN(SUBSTITUTE(SUBSTITUTE(SUBSTITUTE(E379," ",""),"0",""),"-",""))+LEN(SUBSTITUTE(SUBSTITUTE(SUBSTITUTE(F379," ",""),"0",""),"-",""))</f>
      </c>
      <c r="F374" s="14" t="str">
        <f>IF(UPPER(D375)="X",0,IF((LEN(SUBSTITUTE(SUBSTITUTE(SUBSTITUTE(E375," ",""),"0",""),"-",""))+LEN(SUBSTITUTE(SUBSTITUTE(SUBSTITUTE(F375," ",""),"0",""),"-","")))&gt;(LEN(SUBSTITUTE(SUBSTITUTE(SUBSTITUTE(B375," ",""),"0",""),"-",""))+LEN(SUBSTITUTE(SUBSTITUTE(SUBSTITUTE(C375," ",""),"0",""),"-",""))),1,0))+IF(UPPER(D376)="X",0,IF((LEN(SUBSTITUTE(SUBSTITUTE(SUBSTITUTE(E376," ",""),"0",""),"-",""))+LEN(SUBSTITUTE(SUBSTITUTE(SUBSTITUTE(F376," ",""),"0",""),"-","")))&gt;(LEN(SUBSTITUTE(SUBSTITUTE(SUBSTITUTE(B376," ",""),"0",""),"-",""))+LEN(SUBSTITUTE(SUBSTITUTE(SUBSTITUTE(C376," ",""),"0",""),"-",""))),1,0))+IF(UPPER(D377)="X",0,IF((LEN(SUBSTITUTE(SUBSTITUTE(SUBSTITUTE(E377," ",""),"0",""),"-",""))+LEN(SUBSTITUTE(SUBSTITUTE(SUBSTITUTE(F377," ",""),"0",""),"-","")))&gt;(LEN(SUBSTITUTE(SUBSTITUTE(SUBSTITUTE(B377," ",""),"0",""),"-",""))+LEN(SUBSTITUTE(SUBSTITUTE(SUBSTITUTE(C377," ",""),"0",""),"-",""))),1,0))+IF(UPPER(D378)="X",0,IF((LEN(SUBSTITUTE(SUBSTITUTE(SUBSTITUTE(E378," ",""),"0",""),"-",""))+LEN(SUBSTITUTE(SUBSTITUTE(SUBSTITUTE(F378," ",""),"0",""),"-","")))&gt;(LEN(SUBSTITUTE(SUBSTITUTE(SUBSTITUTE(B378," ",""),"0",""),"-",""))+LEN(SUBSTITUTE(SUBSTITUTE(SUBSTITUTE(C378," ",""),"0",""),"-",""))),1,0))+IF(UPPER(D379)="X",0,IF((LEN(SUBSTITUTE(SUBSTITUTE(SUBSTITUTE(E379," ",""),"0",""),"-",""))+LEN(SUBSTITUTE(SUBSTITUTE(SUBSTITUTE(F379," ",""),"0",""),"-","")))&gt;(LEN(SUBSTITUTE(SUBSTITUTE(SUBSTITUTE(B379," ",""),"0",""),"-",""))+LEN(SUBSTITUTE(SUBSTITUTE(SUBSTITUTE(C379," ",""),"0",""),"-",""))),1,0))</f>
      </c>
      <c r="G374" s="14" t="str">
        <f>data!$E$29&amp;" "&amp;data!$B$29</f>
      </c>
      <c r="I374" s="14" t="str">
        <f>data!$E$75&amp;" "&amp;data!$B$75</f>
      </c>
      <c r="J374" s="14" t="str">
        <f>IF(UPPER(L375)="X",0,IF((LEN(SUBSTITUTE(SUBSTITUTE(SUBSTITUTE(J375," ",""),"0",""),"-",""))+LEN(SUBSTITUTE(SUBSTITUTE(SUBSTITUTE(K375," ",""),"0",""),"-","")))&gt;(LEN(SUBSTITUTE(SUBSTITUTE(SUBSTITUTE(M375," ",""),"0",""),"-",""))+LEN(SUBSTITUTE(SUBSTITUTE(SUBSTITUTE(N375," ",""),"0",""),"-",""))),1,0))+IF(UPPER(L376)="X",0,IF((LEN(SUBSTITUTE(SUBSTITUTE(SUBSTITUTE(J376," ",""),"0",""),"-",""))+LEN(SUBSTITUTE(SUBSTITUTE(SUBSTITUTE(K376," ",""),"0",""),"-","")))&gt;(LEN(SUBSTITUTE(SUBSTITUTE(SUBSTITUTE(M376," ",""),"0",""),"-",""))+LEN(SUBSTITUTE(SUBSTITUTE(SUBSTITUTE(N376," ",""),"0",""),"-",""))),1,0))+IF(UPPER(L377)="X",0,IF((LEN(SUBSTITUTE(SUBSTITUTE(SUBSTITUTE(J377," ",""),"0",""),"-",""))+LEN(SUBSTITUTE(SUBSTITUTE(SUBSTITUTE(K377," ",""),"0",""),"-","")))&gt;(LEN(SUBSTITUTE(SUBSTITUTE(SUBSTITUTE(M377," ",""),"0",""),"-",""))+LEN(SUBSTITUTE(SUBSTITUTE(SUBSTITUTE(N377," ",""),"0",""),"-",""))),1,0))+IF(UPPER(L378)="X",0,IF((LEN(SUBSTITUTE(SUBSTITUTE(SUBSTITUTE(J378," ",""),"0",""),"-",""))+LEN(SUBSTITUTE(SUBSTITUTE(SUBSTITUTE(K378," ",""),"0",""),"-","")))&gt;(LEN(SUBSTITUTE(SUBSTITUTE(SUBSTITUTE(M378," ",""),"0",""),"-",""))+LEN(SUBSTITUTE(SUBSTITUTE(SUBSTITUTE(N378," ",""),"0",""),"-",""))),1,0))+IF(UPPER(L379)="X",0,IF((LEN(SUBSTITUTE(SUBSTITUTE(SUBSTITUTE(J379," ",""),"0",""),"-",""))+LEN(SUBSTITUTE(SUBSTITUTE(SUBSTITUTE(K379," ",""),"0",""),"-","")))&gt;(LEN(SUBSTITUTE(SUBSTITUTE(SUBSTITUTE(M379," ",""),"0",""),"-",""))+LEN(SUBSTITUTE(SUBSTITUTE(SUBSTITUTE(N379," ",""),"0",""),"-",""))),1,0))</f>
      </c>
      <c r="K374" s="14" t="str">
        <f>LEN(SUBSTITUTE(SUBSTITUTE(SUBSTITUTE(J375," ",""),"0",""),"-",""))+LEN(SUBSTITUTE(SUBSTITUTE(SUBSTITUTE(K375," ",""),"0",""),"-",""))+LEN(SUBSTITUTE(SUBSTITUTE(SUBSTITUTE(J376," ",""),"0",""),"-",""))+LEN(SUBSTITUTE(SUBSTITUTE(SUBSTITUTE(K376," ",""),"0",""),"-",""))+LEN(SUBSTITUTE(SUBSTITUTE(SUBSTITUTE(J377," ",""),"0",""),"-",""))+LEN(SUBSTITUTE(SUBSTITUTE(SUBSTITUTE(K377," ",""),"0",""),"-",""))+LEN(SUBSTITUTE(SUBSTITUTE(SUBSTITUTE(J378," ",""),"0",""),"-",""))+LEN(SUBSTITUTE(SUBSTITUTE(SUBSTITUTE(K378," ",""),"0",""),"-",""))+LEN(SUBSTITUTE(SUBSTITUTE(SUBSTITUTE(J379," ",""),"0",""),"-",""))+LEN(SUBSTITUTE(SUBSTITUTE(SUBSTITUTE(K379," ",""),"0",""),"-",""))</f>
      </c>
      <c r="L374" s="18"/>
      <c r="M374" s="14" t="str">
        <f>LEN(SUBSTITUTE(SUBSTITUTE(SUBSTITUTE(M375," ",""),"0",""),"-",""))+LEN(SUBSTITUTE(SUBSTITUTE(SUBSTITUTE(N375," ",""),"0",""),"-",""))+LEN(SUBSTITUTE(SUBSTITUTE(SUBSTITUTE(M376," ",""),"0",""),"-",""))+LEN(SUBSTITUTE(SUBSTITUTE(SUBSTITUTE(N376," ",""),"0",""),"-",""))+LEN(SUBSTITUTE(SUBSTITUTE(SUBSTITUTE(M377," ",""),"0",""),"-",""))+LEN(SUBSTITUTE(SUBSTITUTE(SUBSTITUTE(N377," ",""),"0",""),"-",""))+LEN(SUBSTITUTE(SUBSTITUTE(SUBSTITUTE(M378," ",""),"0",""),"-",""))+LEN(SUBSTITUTE(SUBSTITUTE(SUBSTITUTE(N378," ",""),"0",""),"-",""))+LEN(SUBSTITUTE(SUBSTITUTE(SUBSTITUTE(M379," ",""),"0",""),"-",""))+LEN(SUBSTITUTE(SUBSTITUTE(SUBSTITUTE(N379," ",""),"0",""),"-",""))</f>
      </c>
      <c r="N374" s="14" t="str">
        <f>IF(UPPER(L375)="X",0,IF((LEN(SUBSTITUTE(SUBSTITUTE(SUBSTITUTE(M375," ",""),"0",""),"-",""))+LEN(SUBSTITUTE(SUBSTITUTE(SUBSTITUTE(N375," ",""),"0",""),"-","")))&gt;(LEN(SUBSTITUTE(SUBSTITUTE(SUBSTITUTE(J375," ",""),"0",""),"-",""))+LEN(SUBSTITUTE(SUBSTITUTE(SUBSTITUTE(K375," ",""),"0",""),"-",""))),1,0))+IF(UPPER(L376)="X",0,IF((LEN(SUBSTITUTE(SUBSTITUTE(SUBSTITUTE(M376," ",""),"0",""),"-",""))+LEN(SUBSTITUTE(SUBSTITUTE(SUBSTITUTE(N376," ",""),"0",""),"-","")))&gt;(LEN(SUBSTITUTE(SUBSTITUTE(SUBSTITUTE(J376," ",""),"0",""),"-",""))+LEN(SUBSTITUTE(SUBSTITUTE(SUBSTITUTE(K376," ",""),"0",""),"-",""))),1,0))+IF(UPPER(L377)="X",0,IF((LEN(SUBSTITUTE(SUBSTITUTE(SUBSTITUTE(M377," ",""),"0",""),"-",""))+LEN(SUBSTITUTE(SUBSTITUTE(SUBSTITUTE(N377," ",""),"0",""),"-","")))&gt;(LEN(SUBSTITUTE(SUBSTITUTE(SUBSTITUTE(J377," ",""),"0",""),"-",""))+LEN(SUBSTITUTE(SUBSTITUTE(SUBSTITUTE(K377," ",""),"0",""),"-",""))),1,0))+IF(UPPER(L378)="X",0,IF((LEN(SUBSTITUTE(SUBSTITUTE(SUBSTITUTE(M378," ",""),"0",""),"-",""))+LEN(SUBSTITUTE(SUBSTITUTE(SUBSTITUTE(N378," ",""),"0",""),"-","")))&gt;(LEN(SUBSTITUTE(SUBSTITUTE(SUBSTITUTE(J378," ",""),"0",""),"-",""))+LEN(SUBSTITUTE(SUBSTITUTE(SUBSTITUTE(K378," ",""),"0",""),"-",""))),1,0))+IF(UPPER(L379)="X",0,IF((LEN(SUBSTITUTE(SUBSTITUTE(SUBSTITUTE(M379," ",""),"0",""),"-",""))+LEN(SUBSTITUTE(SUBSTITUTE(SUBSTITUTE(N379," ",""),"0",""),"-","")))&gt;(LEN(SUBSTITUTE(SUBSTITUTE(SUBSTITUTE(J379," ",""),"0",""),"-",""))+LEN(SUBSTITUTE(SUBSTITUTE(SUBSTITUTE(K379," ",""),"0",""),"-",""))),1,0))</f>
      </c>
      <c r="O374" s="14" t="str">
        <f>data!$E$74&amp;" "&amp;data!$B$74</f>
      </c>
    </row>
    <row r="375">
      <c r="A375" s="14">
        <v>1</v>
      </c>
      <c r="B375" s="18"/>
      <c r="C375" s="18"/>
      <c r="D375" s="18"/>
      <c r="E375" s="18"/>
      <c r="F375" s="18"/>
      <c r="G375" s="14">
        <v>1</v>
      </c>
      <c r="I375" s="14">
        <v>1</v>
      </c>
      <c r="J375" s="18"/>
      <c r="K375" s="18"/>
      <c r="L375" s="18"/>
      <c r="M375" s="18"/>
      <c r="N375" s="18"/>
      <c r="O375" s="14">
        <v>1</v>
      </c>
    </row>
    <row r="376">
      <c r="A376" s="14">
        <v>2</v>
      </c>
      <c r="B376" s="18"/>
      <c r="C376" s="18"/>
      <c r="D376" s="18"/>
      <c r="E376" s="18"/>
      <c r="F376" s="18"/>
      <c r="G376" s="14">
        <v>2</v>
      </c>
      <c r="I376" s="14">
        <v>2</v>
      </c>
      <c r="J376" s="18"/>
      <c r="K376" s="18"/>
      <c r="L376" s="18"/>
      <c r="M376" s="18"/>
      <c r="N376" s="18"/>
      <c r="O376" s="14">
        <v>2</v>
      </c>
    </row>
    <row r="377">
      <c r="A377" s="14">
        <v>3</v>
      </c>
      <c r="B377" s="18"/>
      <c r="C377" s="18"/>
      <c r="D377" s="18"/>
      <c r="E377" s="18"/>
      <c r="F377" s="18"/>
      <c r="G377" s="14">
        <v>3</v>
      </c>
      <c r="I377" s="14">
        <v>3</v>
      </c>
      <c r="J377" s="18"/>
      <c r="K377" s="18"/>
      <c r="L377" s="18"/>
      <c r="M377" s="18"/>
      <c r="N377" s="18"/>
      <c r="O377" s="14">
        <v>3</v>
      </c>
    </row>
    <row r="378">
      <c r="A378" s="14">
        <v>4</v>
      </c>
      <c r="B378" s="18"/>
      <c r="C378" s="18"/>
      <c r="D378" s="18"/>
      <c r="E378" s="18"/>
      <c r="F378" s="18"/>
      <c r="G378" s="14">
        <v>4</v>
      </c>
      <c r="I378" s="14">
        <v>4</v>
      </c>
      <c r="J378" s="18"/>
      <c r="K378" s="18"/>
      <c r="L378" s="18"/>
      <c r="M378" s="18"/>
      <c r="N378" s="18"/>
      <c r="O378" s="14">
        <v>4</v>
      </c>
    </row>
    <row r="379">
      <c r="A379" s="14">
        <v>5</v>
      </c>
      <c r="B379" s="18"/>
      <c r="C379" s="18"/>
      <c r="D379" s="18"/>
      <c r="E379" s="18"/>
      <c r="F379" s="18"/>
      <c r="G379" s="14">
        <v>5</v>
      </c>
      <c r="I379" s="14">
        <v>5</v>
      </c>
      <c r="J379" s="18"/>
      <c r="K379" s="18"/>
      <c r="L379" s="18"/>
      <c r="M379" s="18"/>
      <c r="N379" s="18"/>
      <c r="O379" s="14">
        <v>5</v>
      </c>
    </row>
    <row r="382">
      <c r="A382" s="13" t="s">
        <v>333</v>
      </c>
      <c r="B382" s="13" t="s">
        <v>334</v>
      </c>
      <c r="C382" s="13" t="s">
        <v>335</v>
      </c>
      <c r="D382" s="13" t="s">
        <v>336</v>
      </c>
      <c r="E382" s="13"/>
      <c r="F382" s="13"/>
      <c r="G382" s="13" t="s">
        <v>337</v>
      </c>
      <c r="I382" s="13" t="s">
        <v>333</v>
      </c>
      <c r="J382" s="13" t="s">
        <v>334</v>
      </c>
      <c r="K382" s="13" t="s">
        <v>335</v>
      </c>
      <c r="L382" s="13" t="s">
        <v>336</v>
      </c>
      <c r="M382" s="13"/>
      <c r="N382" s="13"/>
      <c r="O382" s="13" t="s">
        <v>337</v>
      </c>
    </row>
    <row r="383">
      <c r="A383" s="14" t="str">
        <f>data!$E$28&amp;" "&amp;data!$B$28</f>
      </c>
      <c r="B383" s="14" t="str">
        <f>IF(OR(COUNTA(B359:C363,E359:F363)&gt;0,D359="X",D359="x",D360="X",D360="x",D361="X",D361="x",D362="X",D362="x",D363="X",D363="x",OR(D358="X",D358="x")),IF(OR(OR(D358="X",D358="x"),AND(B358=F358,C358=E358)),0,IF(OR(F358&gt;B358,AND(F358=B358,E358&gt;C358)),1,0)),0)+IF(OR(COUNTA(B367:C371,E367:F371)&gt;0,D367="X",D367="x",D368="X",D368="x",D369="X",D369="x",D370="X",D370="x",D371="X",D371="x",OR(D366="X",D366="x")),IF(OR(OR(D366="X",D366="x"),AND(B366=F366,C366=E366)),0,IF(OR(F366&gt;B366,AND(F366=B366,E366&gt;C366)),1,0)),0)</f>
      </c>
      <c r="C383" s="14" t="str">
        <f>IF(OR(COUNTA(B359:C363,E359:F363)&gt;0,D359="X",D359="x",D360="X",D360="x",D361="X",D361="x",D362="X",D362="x",D363="X",D363="x",OR(D358="X",D358="x")),IF(OR(OR(D358="X",D358="x"),AND(B358=F358,C358=E358)),0,IF(OR(F358&lt;B358,AND(F358=B358,E358&lt;C358)),1,0)),0)+IF(OR(COUNTA(B367:C371,E367:F371)&gt;0,D367="X",D367="x",D368="X",D368="x",D369="X",D369="x",D370="X",D370="x",D371="X",D371="x",OR(D366="X",D366="x")),IF(OR(OR(D366="X",D366="x"),AND(B366=F366,C366=E366)),0,IF(OR(F366&lt;B366,AND(F366=B366,E366&lt;C366)),1,0)),0)</f>
      </c>
      <c r="D383" s="14" t="str">
        <f>IF(OR(COUNTA(B359:C363,E359:F363)&gt;0,D359="X",D359="x",D360="X",D360="x",D361="X",D361="x",D362="X",D362="x",D363="X",D363="x",OR(D358="X",D358="x")),IF(OR(OR(D358="X",D358="x"),AND(B358=F358,C358=E358)),1,0),0)+IF(OR(COUNTA(B367:C371,E367:F371)&gt;0,D367="X",D367="x",D368="X",D368="x",D369="X",D369="x",D370="X",D370="x",D371="X",D371="x",OR(D366="X",D366="x")),IF(OR(OR(D366="X",D366="x"),AND(B366=F366,C366=E366)),1,0),0)</f>
      </c>
      <c r="G383" s="18" t="str">
        <f>RANK(U383,$U$383:$U$385)+COUNTIF($U$382:U382,U383)</f>
      </c>
      <c r="I383" s="14" t="str">
        <f>data!$E$73&amp;" "&amp;data!$B$73</f>
      </c>
      <c r="J383" s="14" t="str">
        <f>IF(OR(COUNTA(J359:K363,M359:N363)&gt;0,L359="X",L359="x",L360="X",L360="x",L361="X",L361="x",L362="X",L362="x",L363="X",L363="x",OR(L358="X",L358="x")),IF(OR(OR(L358="X",L358="x"),AND(J358=N358,K358=M358)),0,IF(OR(N358&gt;J358,AND(N358=J358,M358&gt;K358)),1,0)),0)+IF(OR(COUNTA(J367:K371,M367:N371)&gt;0,L367="X",L367="x",L368="X",L368="x",L369="X",L369="x",L370="X",L370="x",L371="X",L371="x",OR(L366="X",L366="x")),IF(OR(OR(L366="X",L366="x"),AND(J366=N366,K366=M366)),0,IF(OR(N366&gt;J366,AND(N366=J366,M366&gt;K366)),1,0)),0)</f>
      </c>
      <c r="K383" s="14" t="str">
        <f>IF(OR(COUNTA(J359:K363,M359:N363)&gt;0,L359="X",L359="x",L360="X",L360="x",L361="X",L361="x",L362="X",L362="x",L363="X",L363="x",OR(L358="X",L358="x")),IF(OR(OR(L358="X",L358="x"),AND(J358=N358,K358=M358)),0,IF(OR(N358&lt;J358,AND(N358=J358,M358&lt;K358)),1,0)),0)+IF(OR(COUNTA(J367:K371,M367:N371)&gt;0,L367="X",L367="x",L368="X",L368="x",L369="X",L369="x",L370="X",L370="x",L371="X",L371="x",OR(L366="X",L366="x")),IF(OR(OR(L366="X",L366="x"),AND(J366=N366,K366=M366)),0,IF(OR(N366&lt;J366,AND(N366=J366,M366&lt;K366)),1,0)),0)</f>
      </c>
      <c r="L383" s="14" t="str">
        <f>IF(OR(COUNTA(J359:K363,M359:N363)&gt;0,L359="X",L359="x",L360="X",L360="x",L361="X",L361="x",L362="X",L362="x",L363="X",L363="x",OR(L358="X",L358="x")),IF(OR(OR(L358="X",L358="x"),AND(J358=N358,K358=M358)),1,0),0)+IF(OR(COUNTA(J367:K371,M367:N371)&gt;0,L367="X",L367="x",L368="X",L368="x",L369="X",L369="x",L370="X",L370="x",L371="X",L371="x",OR(L366="X",L366="x")),IF(OR(OR(L366="X",L366="x"),AND(J366=N366,K366=M366)),1,0),0)</f>
      </c>
      <c r="O383" s="18" t="str">
        <f>RANK(AC383,$AC$383:$AC$385)+COUNTIF($AC$382:AC382,AC383)</f>
      </c>
      <c r="U383" t="str">
        <f>(B383*1000000000)-(C383*10000000)+(D383*100000)+(B388*1000)-(C388*100)+(D388*10)+(E388*1)-(F388*0.01)</f>
      </c>
      <c r="AC383" t="str">
        <f>(J383*1000000000)-(K383*10000000)+(L383*100000)+(J388*1000)-(K388*100)+(L388*10)+(M388*1)-(N388*0.01)</f>
      </c>
    </row>
    <row r="384">
      <c r="A384" s="14" t="str">
        <f>data!$E$29&amp;" "&amp;data!$B$29</f>
      </c>
      <c r="B384" s="14" t="str">
        <f>IF(OR(COUNTA(B359:C363,E359:F363)&gt;0,D359="X",D359="x",D360="X",D360="x",D361="X",D361="x",D362="X",D362="x",D363="X",D363="x",OR(D358="X",D358="x")),IF(OR(OR(D358="X",D358="x"),AND(B358=F358,C358=E358)),0,IF(OR(B358&gt;F358,AND(B358=F358,C358&gt;E358)),1,0)),0)+IF(OR(COUNTA(B375:C379,E375:F379)&gt;0,D375="X",D375="x",D376="X",D376="x",D377="X",D377="x",D378="X",D378="x",D379="X",D379="x",OR(D374="X",D374="x")),IF(OR(OR(D374="X",D374="x"),AND(B374=F374,C374=E374)),0,IF(OR(F374&gt;B374,AND(F374=B374,E374&gt;C374)),1,0)),0)</f>
      </c>
      <c r="C384" s="14" t="str">
        <f>IF(OR(COUNTA(B359:C363,E359:F363)&gt;0,D359="X",D359="x",D360="X",D360="x",D361="X",D361="x",D362="X",D362="x",D363="X",D363="x",OR(D358="X",D358="x")),IF(OR(OR(D358="X",D358="x"),AND(B358=F358,C358=E358)),0,IF(OR(B358&lt;F358,AND(B358=F358,C358&lt;E358)),1,0)),0)+IF(OR(COUNTA(B375:C379,E375:F379)&gt;0,D375="X",D375="x",D376="X",D376="x",D377="X",D377="x",D378="X",D378="x",D379="X",D379="x",OR(D374="X",D374="x")),IF(OR(OR(D374="X",D374="x"),AND(B374=F374,C374=E374)),0,IF(OR(F374&lt;B374,AND(F374=B374,E374&lt;C374)),1,0)),0)</f>
      </c>
      <c r="D384" s="14" t="str">
        <f>IF(OR(COUNTA(B359:C363,E359:F363)&gt;0,D359="X",D359="x",D360="X",D360="x",D361="X",D361="x",D362="X",D362="x",D363="X",D363="x",OR(D358="X",D358="x")),IF(OR(OR(D358="X",D358="x"),AND(B358=F358,C358=E358)),1,0),0)+IF(OR(COUNTA(B375:C379,E375:F379)&gt;0,D375="X",D375="x",D376="X",D376="x",D377="X",D377="x",D378="X",D378="x",D379="X",D379="x",OR(D374="X",D374="x")),IF(OR(OR(D374="X",D374="x"),AND(B374=F374,C374=E374)),1,0),0)</f>
      </c>
      <c r="G384" s="18" t="str">
        <f>RANK(U384,$U$383:$U$385)+COUNTIF($U$382:U383,U384)</f>
      </c>
      <c r="I384" s="14" t="str">
        <f>data!$E$74&amp;" "&amp;data!$B$74</f>
      </c>
      <c r="J384" s="14" t="str">
        <f>IF(OR(COUNTA(J359:K363,M359:N363)&gt;0,L359="X",L359="x",L360="X",L360="x",L361="X",L361="x",L362="X",L362="x",L363="X",L363="x",OR(L358="X",L358="x")),IF(OR(OR(L358="X",L358="x"),AND(J358=N358,K358=M358)),0,IF(OR(J358&gt;N358,AND(J358=N358,K358&gt;M358)),1,0)),0)+IF(OR(COUNTA(J375:K379,M375:N379)&gt;0,L375="X",L375="x",L376="X",L376="x",L377="X",L377="x",L378="X",L378="x",L379="X",L379="x",OR(L374="X",L374="x")),IF(OR(OR(L374="X",L374="x"),AND(J374=N374,K374=M374)),0,IF(OR(N374&gt;J374,AND(N374=J374,M374&gt;K374)),1,0)),0)</f>
      </c>
      <c r="K384" s="14" t="str">
        <f>IF(OR(COUNTA(J359:K363,M359:N363)&gt;0,L359="X",L359="x",L360="X",L360="x",L361="X",L361="x",L362="X",L362="x",L363="X",L363="x",OR(L358="X",L358="x")),IF(OR(OR(L358="X",L358="x"),AND(J358=N358,K358=M358)),0,IF(OR(J358&lt;N358,AND(J358=N358,K358&lt;M358)),1,0)),0)+IF(OR(COUNTA(J375:K379,M375:N379)&gt;0,L375="X",L375="x",L376="X",L376="x",L377="X",L377="x",L378="X",L378="x",L379="X",L379="x",OR(L374="X",L374="x")),IF(OR(OR(L374="X",L374="x"),AND(J374=N374,K374=M374)),0,IF(OR(N374&lt;J374,AND(N374=J374,M374&lt;K374)),1,0)),0)</f>
      </c>
      <c r="L384" s="14" t="str">
        <f>IF(OR(COUNTA(J359:K363,M359:N363)&gt;0,L359="X",L359="x",L360="X",L360="x",L361="X",L361="x",L362="X",L362="x",L363="X",L363="x",OR(L358="X",L358="x")),IF(OR(OR(L358="X",L358="x"),AND(J358=N358,K358=M358)),1,0),0)+IF(OR(COUNTA(J375:K379,M375:N379)&gt;0,L375="X",L375="x",L376="X",L376="x",L377="X",L377="x",L378="X",L378="x",L379="X",L379="x",OR(L374="X",L374="x")),IF(OR(OR(L374="X",L374="x"),AND(J374=N374,K374=M374)),1,0),0)</f>
      </c>
      <c r="O384" s="18" t="str">
        <f>RANK(AC384,$AC$383:$AC$385)+COUNTIF($AC$382:AC383,AC384)</f>
      </c>
      <c r="U384" t="str">
        <f>(B384*1000000000)-(C384*10000000)+(D384*100000)+(B389*1000)-(C389*100)+(D389*10)+(E389*1)-(F389*0.01)</f>
      </c>
      <c r="AC384" t="str">
        <f>(J384*1000000000)-(K384*10000000)+(L384*100000)+(J389*1000)-(K389*100)+(L389*10)+(M389*1)-(N389*0.01)</f>
      </c>
    </row>
    <row r="385">
      <c r="A385" s="14" t="str">
        <f>data!$E$30&amp;" "&amp;data!$B$30</f>
      </c>
      <c r="B385" s="14" t="str">
        <f>IF(OR(COUNTA(B367:C371,E367:F371)&gt;0,D367="X",D367="x",D368="X",D368="x",D369="X",D369="x",D370="X",D370="x",D371="X",D371="x",OR(D366="X",D366="x")),IF(OR(OR(D366="X",D366="x"),AND(B366=F366,C366=E366)),0,IF(OR(B366&gt;F366,AND(B366=F366,C366&gt;E366)),1,0)),0)+IF(OR(COUNTA(B375:C379,E375:F379)&gt;0,D375="X",D375="x",D376="X",D376="x",D377="X",D377="x",D378="X",D378="x",D379="X",D379="x",OR(D374="X",D374="x")),IF(OR(OR(D374="X",D374="x"),AND(B374=F374,C374=E374)),0,IF(OR(B374&gt;F374,AND(B374=F374,C374&gt;E374)),1,0)),0)</f>
      </c>
      <c r="C385" s="14" t="str">
        <f>IF(OR(COUNTA(B367:C371,E367:F371)&gt;0,D367="X",D367="x",D368="X",D368="x",D369="X",D369="x",D370="X",D370="x",D371="X",D371="x",OR(D366="X",D366="x")),IF(OR(OR(D366="X",D366="x"),AND(B366=F366,C366=E366)),0,IF(OR(B366&lt;F366,AND(B366=F366,C366&lt;E366)),1,0)),0)+IF(OR(COUNTA(B375:C379,E375:F379)&gt;0,D375="X",D375="x",D376="X",D376="x",D377="X",D377="x",D378="X",D378="x",D379="X",D379="x",OR(D374="X",D374="x")),IF(OR(OR(D374="X",D374="x"),AND(B374=F374,C374=E374)),0,IF(OR(B374&lt;F374,AND(B374=F374,C374&lt;E374)),1,0)),0)</f>
      </c>
      <c r="D385" s="14" t="str">
        <f>IF(OR(COUNTA(B367:C371,E367:F371)&gt;0,D367="X",D367="x",D368="X",D368="x",D369="X",D369="x",D370="X",D370="x",D371="X",D371="x",OR(D366="X",D366="x")),IF(OR(OR(D366="X",D366="x"),AND(B366=F366,C366=E366)),1,0),0)+IF(OR(COUNTA(B375:C379,E375:F379)&gt;0,D375="X",D375="x",D376="X",D376="x",D377="X",D377="x",D378="X",D378="x",D379="X",D379="x",OR(D374="X",D374="x")),IF(OR(OR(D374="X",D374="x"),AND(B374=F374,C374=E374)),1,0),0)</f>
      </c>
      <c r="G385" s="18" t="str">
        <f>RANK(U385,$U$383:$U$385)+COUNTIF($U$382:U384,U385)</f>
      </c>
      <c r="I385" s="14" t="str">
        <f>data!$E$75&amp;" "&amp;data!$B$75</f>
      </c>
      <c r="J385" s="14" t="str">
        <f>IF(OR(COUNTA(J367:K371,M367:N371)&gt;0,L367="X",L367="x",L368="X",L368="x",L369="X",L369="x",L370="X",L370="x",L371="X",L371="x",OR(L366="X",L366="x")),IF(OR(OR(L366="X",L366="x"),AND(J366=N366,K366=M366)),0,IF(OR(J366&gt;N366,AND(J366=N366,K366&gt;M366)),1,0)),0)+IF(OR(COUNTA(J375:K379,M375:N379)&gt;0,L375="X",L375="x",L376="X",L376="x",L377="X",L377="x",L378="X",L378="x",L379="X",L379="x",OR(L374="X",L374="x")),IF(OR(OR(L374="X",L374="x"),AND(J374=N374,K374=M374)),0,IF(OR(J374&gt;N374,AND(J374=N374,K374&gt;M374)),1,0)),0)</f>
      </c>
      <c r="K385" s="14" t="str">
        <f>IF(OR(COUNTA(J367:K371,M367:N371)&gt;0,L367="X",L367="x",L368="X",L368="x",L369="X",L369="x",L370="X",L370="x",L371="X",L371="x",OR(L366="X",L366="x")),IF(OR(OR(L366="X",L366="x"),AND(J366=N366,K366=M366)),0,IF(OR(J366&lt;N366,AND(J366=N366,K366&lt;M366)),1,0)),0)+IF(OR(COUNTA(J375:K379,M375:N379)&gt;0,L375="X",L375="x",L376="X",L376="x",L377="X",L377="x",L378="X",L378="x",L379="X",L379="x",OR(L374="X",L374="x")),IF(OR(OR(L374="X",L374="x"),AND(J374=N374,K374=M374)),0,IF(OR(J374&lt;N374,AND(J374=N374,K374&lt;M374)),1,0)),0)</f>
      </c>
      <c r="L385" s="14" t="str">
        <f>IF(OR(COUNTA(J367:K371,M367:N371)&gt;0,L367="X",L367="x",L368="X",L368="x",L369="X",L369="x",L370="X",L370="x",L371="X",L371="x",OR(L366="X",L366="x")),IF(OR(OR(L366="X",L366="x"),AND(J366=N366,K366=M366)),1,0),0)+IF(OR(COUNTA(J375:K379,M375:N379)&gt;0,L375="X",L375="x",L376="X",L376="x",L377="X",L377="x",L378="X",L378="x",L379="X",L379="x",OR(L374="X",L374="x")),IF(OR(OR(L374="X",L374="x"),AND(J374=N374,K374=M374)),1,0),0)</f>
      </c>
      <c r="O385" s="18" t="str">
        <f>RANK(AC385,$AC$383:$AC$385)+COUNTIF($AC$382:AC384,AC385)</f>
      </c>
      <c r="U385" t="str">
        <f>(B385*1000000000)-(C385*10000000)+(D385*100000)+(B390*1000)-(C390*100)+(D390*10)+(E390*1)-(F390*0.01)</f>
      </c>
      <c r="AC385" t="str">
        <f>(J385*1000000000)-(K385*10000000)+(L385*100000)+(J390*1000)-(K390*100)+(L390*10)+(M390*1)-(N390*0.01)</f>
      </c>
    </row>
    <row r="387">
      <c r="A387" s="13"/>
      <c r="B387" s="13" t="s">
        <v>338</v>
      </c>
      <c r="C387" s="13" t="s">
        <v>339</v>
      </c>
      <c r="D387" s="13" t="s">
        <v>340</v>
      </c>
      <c r="E387" s="13" t="s">
        <v>341</v>
      </c>
      <c r="F387" s="13" t="s">
        <v>342</v>
      </c>
      <c r="I387" s="13"/>
      <c r="J387" s="13" t="s">
        <v>338</v>
      </c>
      <c r="K387" s="13" t="s">
        <v>339</v>
      </c>
      <c r="L387" s="13" t="s">
        <v>340</v>
      </c>
      <c r="M387" s="13" t="s">
        <v>341</v>
      </c>
      <c r="N387" s="13" t="s">
        <v>342</v>
      </c>
    </row>
    <row r="388">
      <c r="A388" s="14" t="str">
        <f>data!$E$28&amp;" "&amp;data!$B$28</f>
      </c>
      <c r="B388" s="14" t="str">
        <f>IF(OR(COUNTA(B359:C363,E359:F363)&gt;0,OR(D358="X",D358="x"),UPPER(D359)="X",UPPER(D360)="X",UPPER(D361)="X",UPPER(D362)="X",UPPER(D363)="X"),F358,0)+IF(OR(COUNTA(B367:C371,E367:F371)&gt;0,OR(D366="X",D366="x"),UPPER(D367)="X",UPPER(D368)="X",UPPER(D369)="X",UPPER(D370)="X",UPPER(D371)="X"),F366,0)</f>
      </c>
      <c r="C388" s="14" t="str">
        <f>IF(OR(COUNTA(B359:C363,E359:F363)&gt;0,OR(D358="X",D358="x"),UPPER(D359)="X",UPPER(D360)="X",UPPER(D361)="X",UPPER(D362)="X",UPPER(D363)="X"),B358,0)+IF(OR(COUNTA(B367:C371,E367:F371)&gt;0,OR(D366="X",D366="x"),UPPER(D367)="X",UPPER(D368)="X",UPPER(D369)="X",UPPER(D370)="X",UPPER(D371)="X"),B366,0)</f>
      </c>
      <c r="D388" s="14" t="str">
        <f>IF(OR(COUNTA(B359:C363,E359:F363)&gt;0,OR(D358="X",D358="x"),UPPER(D359)="X",UPPER(D360)="X",UPPER(D361)="X",UPPER(D362)="X",UPPER(D363)="X"),(IF(OR(D359="X",D359="x",AND(COUNTA(B359,C359,E359,F359)&gt;0,(LEN(SUBSTITUTE(SUBSTITUTE(SUBSTITUTE(B359," ",""),"0",""),"-",""))+LEN(SUBSTITUTE(SUBSTITUTE(SUBSTITUTE(C359," ",""),"0",""),"-","")))=(LEN(SUBSTITUTE(SUBSTITUTE(SUBSTITUTE(E359," ",""),"0",""),"-",""))+LEN(SUBSTITUTE(SUBSTITUTE(SUBSTITUTE(F359," ",""),"0",""),"-",""))))),1,0)+IF(OR(D360="X",D360="x",AND(COUNTA(B360,C360,E360,F360)&gt;0,(LEN(SUBSTITUTE(SUBSTITUTE(SUBSTITUTE(B360," ",""),"0",""),"-",""))+LEN(SUBSTITUTE(SUBSTITUTE(SUBSTITUTE(C360," ",""),"0",""),"-","")))=(LEN(SUBSTITUTE(SUBSTITUTE(SUBSTITUTE(E360," ",""),"0",""),"-",""))+LEN(SUBSTITUTE(SUBSTITUTE(SUBSTITUTE(F360," ",""),"0",""),"-",""))))),1,0)+IF(OR(D361="X",D361="x",AND(COUNTA(B361,C361,E361,F361)&gt;0,(LEN(SUBSTITUTE(SUBSTITUTE(SUBSTITUTE(B361," ",""),"0",""),"-",""))+LEN(SUBSTITUTE(SUBSTITUTE(SUBSTITUTE(C361," ",""),"0",""),"-","")))=(LEN(SUBSTITUTE(SUBSTITUTE(SUBSTITUTE(E361," ",""),"0",""),"-",""))+LEN(SUBSTITUTE(SUBSTITUTE(SUBSTITUTE(F361," ",""),"0",""),"-",""))))),1,0)+IF(OR(D362="X",D362="x",AND(COUNTA(B362,C362,E362,F362)&gt;0,(LEN(SUBSTITUTE(SUBSTITUTE(SUBSTITUTE(B362," ",""),"0",""),"-",""))+LEN(SUBSTITUTE(SUBSTITUTE(SUBSTITUTE(C362," ",""),"0",""),"-","")))=(LEN(SUBSTITUTE(SUBSTITUTE(SUBSTITUTE(E362," ",""),"0",""),"-",""))+LEN(SUBSTITUTE(SUBSTITUTE(SUBSTITUTE(F362," ",""),"0",""),"-",""))))),1,0)+IF(OR(D363="X",D363="x",AND(COUNTA(B363,C363,E363,F363)&gt;0,(LEN(SUBSTITUTE(SUBSTITUTE(SUBSTITUTE(B363," ",""),"0",""),"-",""))+LEN(SUBSTITUTE(SUBSTITUTE(SUBSTITUTE(C363," ",""),"0",""),"-","")))=(LEN(SUBSTITUTE(SUBSTITUTE(SUBSTITUTE(E363," ",""),"0",""),"-",""))+LEN(SUBSTITUTE(SUBSTITUTE(SUBSTITUTE(F363," ",""),"0",""),"-",""))))),1,0)),0)+IF(OR(COUNTA(B367:C371,E367:F371)&gt;0,OR(D366="X",D366="x"),UPPER(D367)="X",UPPER(D368)="X",UPPER(D369)="X",UPPER(D370)="X",UPPER(D371)="X"),(IF(OR(D367="X",D367="x",AND(COUNTA(B367,C367,E367,F367)&gt;0,(LEN(SUBSTITUTE(SUBSTITUTE(SUBSTITUTE(B367," ",""),"0",""),"-",""))+LEN(SUBSTITUTE(SUBSTITUTE(SUBSTITUTE(C367," ",""),"0",""),"-","")))=(LEN(SUBSTITUTE(SUBSTITUTE(SUBSTITUTE(E367," ",""),"0",""),"-",""))+LEN(SUBSTITUTE(SUBSTITUTE(SUBSTITUTE(F367," ",""),"0",""),"-",""))))),1,0)+IF(OR(D368="X",D368="x",AND(COUNTA(B368,C368,E368,F368)&gt;0,(LEN(SUBSTITUTE(SUBSTITUTE(SUBSTITUTE(B368," ",""),"0",""),"-",""))+LEN(SUBSTITUTE(SUBSTITUTE(SUBSTITUTE(C368," ",""),"0",""),"-","")))=(LEN(SUBSTITUTE(SUBSTITUTE(SUBSTITUTE(E368," ",""),"0",""),"-",""))+LEN(SUBSTITUTE(SUBSTITUTE(SUBSTITUTE(F368," ",""),"0",""),"-",""))))),1,0)+IF(OR(D369="X",D369="x",AND(COUNTA(B369,C369,E369,F369)&gt;0,(LEN(SUBSTITUTE(SUBSTITUTE(SUBSTITUTE(B369," ",""),"0",""),"-",""))+LEN(SUBSTITUTE(SUBSTITUTE(SUBSTITUTE(C369," ",""),"0",""),"-","")))=(LEN(SUBSTITUTE(SUBSTITUTE(SUBSTITUTE(E369," ",""),"0",""),"-",""))+LEN(SUBSTITUTE(SUBSTITUTE(SUBSTITUTE(F369," ",""),"0",""),"-",""))))),1,0)+IF(OR(D370="X",D370="x",AND(COUNTA(B370,C370,E370,F370)&gt;0,(LEN(SUBSTITUTE(SUBSTITUTE(SUBSTITUTE(B370," ",""),"0",""),"-",""))+LEN(SUBSTITUTE(SUBSTITUTE(SUBSTITUTE(C370," ",""),"0",""),"-","")))=(LEN(SUBSTITUTE(SUBSTITUTE(SUBSTITUTE(E370," ",""),"0",""),"-",""))+LEN(SUBSTITUTE(SUBSTITUTE(SUBSTITUTE(F370," ",""),"0",""),"-",""))))),1,0)+IF(OR(D371="X",D371="x",AND(COUNTA(B371,C371,E371,F371)&gt;0,(LEN(SUBSTITUTE(SUBSTITUTE(SUBSTITUTE(B371," ",""),"0",""),"-",""))+LEN(SUBSTITUTE(SUBSTITUTE(SUBSTITUTE(C371," ",""),"0",""),"-","")))=(LEN(SUBSTITUTE(SUBSTITUTE(SUBSTITUTE(E371," ",""),"0",""),"-",""))+LEN(SUBSTITUTE(SUBSTITUTE(SUBSTITUTE(F371," ",""),"0",""),"-",""))))),1,0)),0)</f>
      </c>
      <c r="E388" s="14" t="str">
        <f>E358+E366</f>
      </c>
      <c r="F388" s="14" t="str">
        <f>C358+C366</f>
      </c>
      <c r="I388" s="14" t="str">
        <f>data!$E$73&amp;" "&amp;data!$B$73</f>
      </c>
      <c r="J388" s="14" t="str">
        <f>IF(OR(COUNTA(J359:K363,M359:N363)&gt;0,OR(L358="X",L358="x"),UPPER(L359)="X",UPPER(L360)="X",UPPER(L361)="X",UPPER(L362)="X",UPPER(L363)="X"),N358,0)+IF(OR(COUNTA(J367:K371,M367:N371)&gt;0,OR(L366="X",L366="x"),UPPER(L367)="X",UPPER(L368)="X",UPPER(L369)="X",UPPER(L370)="X",UPPER(L371)="X"),N366,0)</f>
      </c>
      <c r="K388" s="14" t="str">
        <f>IF(OR(COUNTA(J359:K363,M359:N363)&gt;0,OR(L358="X",L358="x"),UPPER(L359)="X",UPPER(L360)="X",UPPER(L361)="X",UPPER(L362)="X",UPPER(L363)="X"),J358,0)+IF(OR(COUNTA(J367:K371,M367:N371)&gt;0,OR(L366="X",L366="x"),UPPER(L367)="X",UPPER(L368)="X",UPPER(L369)="X",UPPER(L370)="X",UPPER(L371)="X"),J366,0)</f>
      </c>
      <c r="L388" s="14" t="str">
        <f>IF(OR(COUNTA(J359:K363,M359:N363)&gt;0,OR(L358="X",L358="x"),UPPER(L359)="X",UPPER(L360)="X",UPPER(L361)="X",UPPER(L362)="X",UPPER(L363)="X"),(IF(OR(L359="X",L359="x",AND(COUNTA(J359,K359,M359,N359)&gt;0,(LEN(SUBSTITUTE(SUBSTITUTE(SUBSTITUTE(J359," ",""),"0",""),"-",""))+LEN(SUBSTITUTE(SUBSTITUTE(SUBSTITUTE(K359," ",""),"0",""),"-","")))=(LEN(SUBSTITUTE(SUBSTITUTE(SUBSTITUTE(M359," ",""),"0",""),"-",""))+LEN(SUBSTITUTE(SUBSTITUTE(SUBSTITUTE(N359," ",""),"0",""),"-",""))))),1,0)+IF(OR(L360="X",L360="x",AND(COUNTA(J360,K360,M360,N360)&gt;0,(LEN(SUBSTITUTE(SUBSTITUTE(SUBSTITUTE(J360," ",""),"0",""),"-",""))+LEN(SUBSTITUTE(SUBSTITUTE(SUBSTITUTE(K360," ",""),"0",""),"-","")))=(LEN(SUBSTITUTE(SUBSTITUTE(SUBSTITUTE(M360," ",""),"0",""),"-",""))+LEN(SUBSTITUTE(SUBSTITUTE(SUBSTITUTE(N360," ",""),"0",""),"-",""))))),1,0)+IF(OR(L361="X",L361="x",AND(COUNTA(J361,K361,M361,N361)&gt;0,(LEN(SUBSTITUTE(SUBSTITUTE(SUBSTITUTE(J361," ",""),"0",""),"-",""))+LEN(SUBSTITUTE(SUBSTITUTE(SUBSTITUTE(K361," ",""),"0",""),"-","")))=(LEN(SUBSTITUTE(SUBSTITUTE(SUBSTITUTE(M361," ",""),"0",""),"-",""))+LEN(SUBSTITUTE(SUBSTITUTE(SUBSTITUTE(N361," ",""),"0",""),"-",""))))),1,0)+IF(OR(L362="X",L362="x",AND(COUNTA(J362,K362,M362,N362)&gt;0,(LEN(SUBSTITUTE(SUBSTITUTE(SUBSTITUTE(J362," ",""),"0",""),"-",""))+LEN(SUBSTITUTE(SUBSTITUTE(SUBSTITUTE(K362," ",""),"0",""),"-","")))=(LEN(SUBSTITUTE(SUBSTITUTE(SUBSTITUTE(M362," ",""),"0",""),"-",""))+LEN(SUBSTITUTE(SUBSTITUTE(SUBSTITUTE(N362," ",""),"0",""),"-",""))))),1,0)+IF(OR(L363="X",L363="x",AND(COUNTA(J363,K363,M363,N363)&gt;0,(LEN(SUBSTITUTE(SUBSTITUTE(SUBSTITUTE(J363," ",""),"0",""),"-",""))+LEN(SUBSTITUTE(SUBSTITUTE(SUBSTITUTE(K363," ",""),"0",""),"-","")))=(LEN(SUBSTITUTE(SUBSTITUTE(SUBSTITUTE(M363," ",""),"0",""),"-",""))+LEN(SUBSTITUTE(SUBSTITUTE(SUBSTITUTE(N363," ",""),"0",""),"-",""))))),1,0)),0)+IF(OR(COUNTA(J367:K371,M367:N371)&gt;0,OR(L366="X",L366="x"),UPPER(L367)="X",UPPER(L368)="X",UPPER(L369)="X",UPPER(L370)="X",UPPER(L371)="X"),(IF(OR(L367="X",L367="x",AND(COUNTA(J367,K367,M367,N367)&gt;0,(LEN(SUBSTITUTE(SUBSTITUTE(SUBSTITUTE(J367," ",""),"0",""),"-",""))+LEN(SUBSTITUTE(SUBSTITUTE(SUBSTITUTE(K367," ",""),"0",""),"-","")))=(LEN(SUBSTITUTE(SUBSTITUTE(SUBSTITUTE(M367," ",""),"0",""),"-",""))+LEN(SUBSTITUTE(SUBSTITUTE(SUBSTITUTE(N367," ",""),"0",""),"-",""))))),1,0)+IF(OR(L368="X",L368="x",AND(COUNTA(J368,K368,M368,N368)&gt;0,(LEN(SUBSTITUTE(SUBSTITUTE(SUBSTITUTE(J368," ",""),"0",""),"-",""))+LEN(SUBSTITUTE(SUBSTITUTE(SUBSTITUTE(K368," ",""),"0",""),"-","")))=(LEN(SUBSTITUTE(SUBSTITUTE(SUBSTITUTE(M368," ",""),"0",""),"-",""))+LEN(SUBSTITUTE(SUBSTITUTE(SUBSTITUTE(N368," ",""),"0",""),"-",""))))),1,0)+IF(OR(L369="X",L369="x",AND(COUNTA(J369,K369,M369,N369)&gt;0,(LEN(SUBSTITUTE(SUBSTITUTE(SUBSTITUTE(J369," ",""),"0",""),"-",""))+LEN(SUBSTITUTE(SUBSTITUTE(SUBSTITUTE(K369," ",""),"0",""),"-","")))=(LEN(SUBSTITUTE(SUBSTITUTE(SUBSTITUTE(M369," ",""),"0",""),"-",""))+LEN(SUBSTITUTE(SUBSTITUTE(SUBSTITUTE(N369," ",""),"0",""),"-",""))))),1,0)+IF(OR(L370="X",L370="x",AND(COUNTA(J370,K370,M370,N370)&gt;0,(LEN(SUBSTITUTE(SUBSTITUTE(SUBSTITUTE(J370," ",""),"0",""),"-",""))+LEN(SUBSTITUTE(SUBSTITUTE(SUBSTITUTE(K370," ",""),"0",""),"-","")))=(LEN(SUBSTITUTE(SUBSTITUTE(SUBSTITUTE(M370," ",""),"0",""),"-",""))+LEN(SUBSTITUTE(SUBSTITUTE(SUBSTITUTE(N370," ",""),"0",""),"-",""))))),1,0)+IF(OR(L371="X",L371="x",AND(COUNTA(J371,K371,M371,N371)&gt;0,(LEN(SUBSTITUTE(SUBSTITUTE(SUBSTITUTE(J371," ",""),"0",""),"-",""))+LEN(SUBSTITUTE(SUBSTITUTE(SUBSTITUTE(K371," ",""),"0",""),"-","")))=(LEN(SUBSTITUTE(SUBSTITUTE(SUBSTITUTE(M371," ",""),"0",""),"-",""))+LEN(SUBSTITUTE(SUBSTITUTE(SUBSTITUTE(N371," ",""),"0",""),"-",""))))),1,0)),0)</f>
      </c>
      <c r="M388" s="14" t="str">
        <f>M358+M366</f>
      </c>
      <c r="N388" s="14" t="str">
        <f>K358+K366</f>
      </c>
    </row>
    <row r="389">
      <c r="A389" s="14" t="str">
        <f>data!$E$29&amp;" "&amp;data!$B$29</f>
      </c>
      <c r="B389" s="14" t="str">
        <f>IF(OR(COUNTA(B359:C363,E359:F363)&gt;0,OR(D358="X",D358="x"),UPPER(D359)="X",UPPER(D360)="X",UPPER(D361)="X",UPPER(D362)="X",UPPER(D363)="X"),B358,0)+IF(OR(COUNTA(B375:C379,E375:F379)&gt;0,OR(D374="X",D374="x"),UPPER(D375)="X",UPPER(D376)="X",UPPER(D377)="X",UPPER(D378)="X",UPPER(D379)="X"),F374,0)</f>
      </c>
      <c r="C389" s="14" t="str">
        <f>IF(OR(COUNTA(B359:C363,E359:F363)&gt;0,OR(D358="X",D358="x"),UPPER(D359)="X",UPPER(D360)="X",UPPER(D361)="X",UPPER(D362)="X",UPPER(D363)="X"),F358,0)+IF(OR(COUNTA(B375:C379,E375:F379)&gt;0,OR(D374="X",D374="x"),UPPER(D375)="X",UPPER(D376)="X",UPPER(D377)="X",UPPER(D378)="X",UPPER(D379)="X"),B374,0)</f>
      </c>
      <c r="D389" s="14" t="str">
        <f>IF(OR(COUNTA(B359:C363,E359:F363)&gt;0,OR(D358="X",D358="x"),UPPER(D359)="X",UPPER(D360)="X",UPPER(D361)="X",UPPER(D362)="X",UPPER(D363)="X"),(IF(OR(D359="X",D359="x",AND(COUNTA(B359,C359,E359,F359)&gt;0,(LEN(SUBSTITUTE(SUBSTITUTE(SUBSTITUTE(B359," ",""),"0",""),"-",""))+LEN(SUBSTITUTE(SUBSTITUTE(SUBSTITUTE(C359," ",""),"0",""),"-","")))=(LEN(SUBSTITUTE(SUBSTITUTE(SUBSTITUTE(E359," ",""),"0",""),"-",""))+LEN(SUBSTITUTE(SUBSTITUTE(SUBSTITUTE(F359," ",""),"0",""),"-",""))))),1,0)+IF(OR(D360="X",D360="x",AND(COUNTA(B360,C360,E360,F360)&gt;0,(LEN(SUBSTITUTE(SUBSTITUTE(SUBSTITUTE(B360," ",""),"0",""),"-",""))+LEN(SUBSTITUTE(SUBSTITUTE(SUBSTITUTE(C360," ",""),"0",""),"-","")))=(LEN(SUBSTITUTE(SUBSTITUTE(SUBSTITUTE(E360," ",""),"0",""),"-",""))+LEN(SUBSTITUTE(SUBSTITUTE(SUBSTITUTE(F360," ",""),"0",""),"-",""))))),1,0)+IF(OR(D361="X",D361="x",AND(COUNTA(B361,C361,E361,F361)&gt;0,(LEN(SUBSTITUTE(SUBSTITUTE(SUBSTITUTE(B361," ",""),"0",""),"-",""))+LEN(SUBSTITUTE(SUBSTITUTE(SUBSTITUTE(C361," ",""),"0",""),"-","")))=(LEN(SUBSTITUTE(SUBSTITUTE(SUBSTITUTE(E361," ",""),"0",""),"-",""))+LEN(SUBSTITUTE(SUBSTITUTE(SUBSTITUTE(F361," ",""),"0",""),"-",""))))),1,0)+IF(OR(D362="X",D362="x",AND(COUNTA(B362,C362,E362,F362)&gt;0,(LEN(SUBSTITUTE(SUBSTITUTE(SUBSTITUTE(B362," ",""),"0",""),"-",""))+LEN(SUBSTITUTE(SUBSTITUTE(SUBSTITUTE(C362," ",""),"0",""),"-","")))=(LEN(SUBSTITUTE(SUBSTITUTE(SUBSTITUTE(E362," ",""),"0",""),"-",""))+LEN(SUBSTITUTE(SUBSTITUTE(SUBSTITUTE(F362," ",""),"0",""),"-",""))))),1,0)+IF(OR(D363="X",D363="x",AND(COUNTA(B363,C363,E363,F363)&gt;0,(LEN(SUBSTITUTE(SUBSTITUTE(SUBSTITUTE(B363," ",""),"0",""),"-",""))+LEN(SUBSTITUTE(SUBSTITUTE(SUBSTITUTE(C363," ",""),"0",""),"-","")))=(LEN(SUBSTITUTE(SUBSTITUTE(SUBSTITUTE(E363," ",""),"0",""),"-",""))+LEN(SUBSTITUTE(SUBSTITUTE(SUBSTITUTE(F363," ",""),"0",""),"-",""))))),1,0)),0)+IF(OR(COUNTA(B375:C379,E375:F379)&gt;0,OR(D374="X",D374="x"),UPPER(D375)="X",UPPER(D376)="X",UPPER(D377)="X",UPPER(D378)="X",UPPER(D379)="X"),(IF(OR(D375="X",D375="x",AND(COUNTA(B375,C375,E375,F375)&gt;0,(LEN(SUBSTITUTE(SUBSTITUTE(SUBSTITUTE(B375," ",""),"0",""),"-",""))+LEN(SUBSTITUTE(SUBSTITUTE(SUBSTITUTE(C375," ",""),"0",""),"-","")))=(LEN(SUBSTITUTE(SUBSTITUTE(SUBSTITUTE(E375," ",""),"0",""),"-",""))+LEN(SUBSTITUTE(SUBSTITUTE(SUBSTITUTE(F375," ",""),"0",""),"-",""))))),1,0)+IF(OR(D376="X",D376="x",AND(COUNTA(B376,C376,E376,F376)&gt;0,(LEN(SUBSTITUTE(SUBSTITUTE(SUBSTITUTE(B376," ",""),"0",""),"-",""))+LEN(SUBSTITUTE(SUBSTITUTE(SUBSTITUTE(C376," ",""),"0",""),"-","")))=(LEN(SUBSTITUTE(SUBSTITUTE(SUBSTITUTE(E376," ",""),"0",""),"-",""))+LEN(SUBSTITUTE(SUBSTITUTE(SUBSTITUTE(F376," ",""),"0",""),"-",""))))),1,0)+IF(OR(D377="X",D377="x",AND(COUNTA(B377,C377,E377,F377)&gt;0,(LEN(SUBSTITUTE(SUBSTITUTE(SUBSTITUTE(B377," ",""),"0",""),"-",""))+LEN(SUBSTITUTE(SUBSTITUTE(SUBSTITUTE(C377," ",""),"0",""),"-","")))=(LEN(SUBSTITUTE(SUBSTITUTE(SUBSTITUTE(E377," ",""),"0",""),"-",""))+LEN(SUBSTITUTE(SUBSTITUTE(SUBSTITUTE(F377," ",""),"0",""),"-",""))))),1,0)+IF(OR(D378="X",D378="x",AND(COUNTA(B378,C378,E378,F378)&gt;0,(LEN(SUBSTITUTE(SUBSTITUTE(SUBSTITUTE(B378," ",""),"0",""),"-",""))+LEN(SUBSTITUTE(SUBSTITUTE(SUBSTITUTE(C378," ",""),"0",""),"-","")))=(LEN(SUBSTITUTE(SUBSTITUTE(SUBSTITUTE(E378," ",""),"0",""),"-",""))+LEN(SUBSTITUTE(SUBSTITUTE(SUBSTITUTE(F378," ",""),"0",""),"-",""))))),1,0)+IF(OR(D379="X",D379="x",AND(COUNTA(B379,C379,E379,F379)&gt;0,(LEN(SUBSTITUTE(SUBSTITUTE(SUBSTITUTE(B379," ",""),"0",""),"-",""))+LEN(SUBSTITUTE(SUBSTITUTE(SUBSTITUTE(C379," ",""),"0",""),"-","")))=(LEN(SUBSTITUTE(SUBSTITUTE(SUBSTITUTE(E379," ",""),"0",""),"-",""))+LEN(SUBSTITUTE(SUBSTITUTE(SUBSTITUTE(F379," ",""),"0",""),"-",""))))),1,0)),0)</f>
      </c>
      <c r="E389" s="14" t="str">
        <f>C358+E374</f>
      </c>
      <c r="F389" s="14" t="str">
        <f>E358+C374</f>
      </c>
      <c r="I389" s="14" t="str">
        <f>data!$E$74&amp;" "&amp;data!$B$74</f>
      </c>
      <c r="J389" s="14" t="str">
        <f>IF(OR(COUNTA(J359:K363,M359:N363)&gt;0,OR(L358="X",L358="x"),UPPER(L359)="X",UPPER(L360)="X",UPPER(L361)="X",UPPER(L362)="X",UPPER(L363)="X"),J358,0)+IF(OR(COUNTA(J375:K379,M375:N379)&gt;0,OR(L374="X",L374="x"),UPPER(L375)="X",UPPER(L376)="X",UPPER(L377)="X",UPPER(L378)="X",UPPER(L379)="X"),N374,0)</f>
      </c>
      <c r="K389" s="14" t="str">
        <f>IF(OR(COUNTA(J359:K363,M359:N363)&gt;0,OR(L358="X",L358="x"),UPPER(L359)="X",UPPER(L360)="X",UPPER(L361)="X",UPPER(L362)="X",UPPER(L363)="X"),N358,0)+IF(OR(COUNTA(J375:K379,M375:N379)&gt;0,OR(L374="X",L374="x"),UPPER(L375)="X",UPPER(L376)="X",UPPER(L377)="X",UPPER(L378)="X",UPPER(L379)="X"),J374,0)</f>
      </c>
      <c r="L389" s="14" t="str">
        <f>IF(OR(COUNTA(J359:K363,M359:N363)&gt;0,OR(L358="X",L358="x"),UPPER(L359)="X",UPPER(L360)="X",UPPER(L361)="X",UPPER(L362)="X",UPPER(L363)="X"),(IF(OR(L359="X",L359="x",AND(COUNTA(J359,K359,M359,N359)&gt;0,(LEN(SUBSTITUTE(SUBSTITUTE(SUBSTITUTE(J359," ",""),"0",""),"-",""))+LEN(SUBSTITUTE(SUBSTITUTE(SUBSTITUTE(K359," ",""),"0",""),"-","")))=(LEN(SUBSTITUTE(SUBSTITUTE(SUBSTITUTE(M359," ",""),"0",""),"-",""))+LEN(SUBSTITUTE(SUBSTITUTE(SUBSTITUTE(N359," ",""),"0",""),"-",""))))),1,0)+IF(OR(L360="X",L360="x",AND(COUNTA(J360,K360,M360,N360)&gt;0,(LEN(SUBSTITUTE(SUBSTITUTE(SUBSTITUTE(J360," ",""),"0",""),"-",""))+LEN(SUBSTITUTE(SUBSTITUTE(SUBSTITUTE(K360," ",""),"0",""),"-","")))=(LEN(SUBSTITUTE(SUBSTITUTE(SUBSTITUTE(M360," ",""),"0",""),"-",""))+LEN(SUBSTITUTE(SUBSTITUTE(SUBSTITUTE(N360," ",""),"0",""),"-",""))))),1,0)+IF(OR(L361="X",L361="x",AND(COUNTA(J361,K361,M361,N361)&gt;0,(LEN(SUBSTITUTE(SUBSTITUTE(SUBSTITUTE(J361," ",""),"0",""),"-",""))+LEN(SUBSTITUTE(SUBSTITUTE(SUBSTITUTE(K361," ",""),"0",""),"-","")))=(LEN(SUBSTITUTE(SUBSTITUTE(SUBSTITUTE(M361," ",""),"0",""),"-",""))+LEN(SUBSTITUTE(SUBSTITUTE(SUBSTITUTE(N361," ",""),"0",""),"-",""))))),1,0)+IF(OR(L362="X",L362="x",AND(COUNTA(J362,K362,M362,N362)&gt;0,(LEN(SUBSTITUTE(SUBSTITUTE(SUBSTITUTE(J362," ",""),"0",""),"-",""))+LEN(SUBSTITUTE(SUBSTITUTE(SUBSTITUTE(K362," ",""),"0",""),"-","")))=(LEN(SUBSTITUTE(SUBSTITUTE(SUBSTITUTE(M362," ",""),"0",""),"-",""))+LEN(SUBSTITUTE(SUBSTITUTE(SUBSTITUTE(N362," ",""),"0",""),"-",""))))),1,0)+IF(OR(L363="X",L363="x",AND(COUNTA(J363,K363,M363,N363)&gt;0,(LEN(SUBSTITUTE(SUBSTITUTE(SUBSTITUTE(J363," ",""),"0",""),"-",""))+LEN(SUBSTITUTE(SUBSTITUTE(SUBSTITUTE(K363," ",""),"0",""),"-","")))=(LEN(SUBSTITUTE(SUBSTITUTE(SUBSTITUTE(M363," ",""),"0",""),"-",""))+LEN(SUBSTITUTE(SUBSTITUTE(SUBSTITUTE(N363," ",""),"0",""),"-",""))))),1,0)),0)+IF(OR(COUNTA(J375:K379,M375:N379)&gt;0,OR(L374="X",L374="x"),UPPER(L375)="X",UPPER(L376)="X",UPPER(L377)="X",UPPER(L378)="X",UPPER(L379)="X"),(IF(OR(L375="X",L375="x",AND(COUNTA(J375,K375,M375,N375)&gt;0,(LEN(SUBSTITUTE(SUBSTITUTE(SUBSTITUTE(J375," ",""),"0",""),"-",""))+LEN(SUBSTITUTE(SUBSTITUTE(SUBSTITUTE(K375," ",""),"0",""),"-","")))=(LEN(SUBSTITUTE(SUBSTITUTE(SUBSTITUTE(M375," ",""),"0",""),"-",""))+LEN(SUBSTITUTE(SUBSTITUTE(SUBSTITUTE(N375," ",""),"0",""),"-",""))))),1,0)+IF(OR(L376="X",L376="x",AND(COUNTA(J376,K376,M376,N376)&gt;0,(LEN(SUBSTITUTE(SUBSTITUTE(SUBSTITUTE(J376," ",""),"0",""),"-",""))+LEN(SUBSTITUTE(SUBSTITUTE(SUBSTITUTE(K376," ",""),"0",""),"-","")))=(LEN(SUBSTITUTE(SUBSTITUTE(SUBSTITUTE(M376," ",""),"0",""),"-",""))+LEN(SUBSTITUTE(SUBSTITUTE(SUBSTITUTE(N376," ",""),"0",""),"-",""))))),1,0)+IF(OR(L377="X",L377="x",AND(COUNTA(J377,K377,M377,N377)&gt;0,(LEN(SUBSTITUTE(SUBSTITUTE(SUBSTITUTE(J377," ",""),"0",""),"-",""))+LEN(SUBSTITUTE(SUBSTITUTE(SUBSTITUTE(K377," ",""),"0",""),"-","")))=(LEN(SUBSTITUTE(SUBSTITUTE(SUBSTITUTE(M377," ",""),"0",""),"-",""))+LEN(SUBSTITUTE(SUBSTITUTE(SUBSTITUTE(N377," ",""),"0",""),"-",""))))),1,0)+IF(OR(L378="X",L378="x",AND(COUNTA(J378,K378,M378,N378)&gt;0,(LEN(SUBSTITUTE(SUBSTITUTE(SUBSTITUTE(J378," ",""),"0",""),"-",""))+LEN(SUBSTITUTE(SUBSTITUTE(SUBSTITUTE(K378," ",""),"0",""),"-","")))=(LEN(SUBSTITUTE(SUBSTITUTE(SUBSTITUTE(M378," ",""),"0",""),"-",""))+LEN(SUBSTITUTE(SUBSTITUTE(SUBSTITUTE(N378," ",""),"0",""),"-",""))))),1,0)+IF(OR(L379="X",L379="x",AND(COUNTA(J379,K379,M379,N379)&gt;0,(LEN(SUBSTITUTE(SUBSTITUTE(SUBSTITUTE(J379," ",""),"0",""),"-",""))+LEN(SUBSTITUTE(SUBSTITUTE(SUBSTITUTE(K379," ",""),"0",""),"-","")))=(LEN(SUBSTITUTE(SUBSTITUTE(SUBSTITUTE(M379," ",""),"0",""),"-",""))+LEN(SUBSTITUTE(SUBSTITUTE(SUBSTITUTE(N379," ",""),"0",""),"-",""))))),1,0)),0)</f>
      </c>
      <c r="M389" s="14" t="str">
        <f>K358+M374</f>
      </c>
      <c r="N389" s="14" t="str">
        <f>M358+K374</f>
      </c>
    </row>
    <row r="390">
      <c r="A390" s="14" t="str">
        <f>data!$E$30&amp;" "&amp;data!$B$30</f>
      </c>
      <c r="B390" s="14" t="str">
        <f>IF(OR(COUNTA(B367:C371,E367:F371)&gt;0,OR(D366="X",D366="x"),UPPER(D367)="X",UPPER(D368)="X",UPPER(D369)="X",UPPER(D370)="X",UPPER(D371)="X"),B366,0)+IF(OR(COUNTA(B375:C379,E375:F379)&gt;0,OR(D374="X",D374="x"),UPPER(D375)="X",UPPER(D376)="X",UPPER(D377)="X",UPPER(D378)="X",UPPER(D379)="X"),B374,0)</f>
      </c>
      <c r="C390" s="14" t="str">
        <f>IF(OR(COUNTA(B367:C371,E367:F371)&gt;0,OR(D366="X",D366="x"),UPPER(D367)="X",UPPER(D368)="X",UPPER(D369)="X",UPPER(D370)="X",UPPER(D371)="X"),F366,0)+IF(OR(COUNTA(B375:C379,E375:F379)&gt;0,OR(D374="X",D374="x"),UPPER(D375)="X",UPPER(D376)="X",UPPER(D377)="X",UPPER(D378)="X",UPPER(D379)="X"),F374,0)</f>
      </c>
      <c r="D390" s="14" t="str">
        <f>IF(OR(COUNTA(B367:C371,E367:F371)&gt;0,OR(D366="X",D366="x"),UPPER(D367)="X",UPPER(D368)="X",UPPER(D369)="X",UPPER(D370)="X",UPPER(D371)="X"),(IF(OR(D367="X",D367="x",AND(COUNTA(B367,C367,E367,F367)&gt;0,(LEN(SUBSTITUTE(SUBSTITUTE(SUBSTITUTE(B367," ",""),"0",""),"-",""))+LEN(SUBSTITUTE(SUBSTITUTE(SUBSTITUTE(C367," ",""),"0",""),"-","")))=(LEN(SUBSTITUTE(SUBSTITUTE(SUBSTITUTE(E367," ",""),"0",""),"-",""))+LEN(SUBSTITUTE(SUBSTITUTE(SUBSTITUTE(F367," ",""),"0",""),"-",""))))),1,0)+IF(OR(D368="X",D368="x",AND(COUNTA(B368,C368,E368,F368)&gt;0,(LEN(SUBSTITUTE(SUBSTITUTE(SUBSTITUTE(B368," ",""),"0",""),"-",""))+LEN(SUBSTITUTE(SUBSTITUTE(SUBSTITUTE(C368," ",""),"0",""),"-","")))=(LEN(SUBSTITUTE(SUBSTITUTE(SUBSTITUTE(E368," ",""),"0",""),"-",""))+LEN(SUBSTITUTE(SUBSTITUTE(SUBSTITUTE(F368," ",""),"0",""),"-",""))))),1,0)+IF(OR(D369="X",D369="x",AND(COUNTA(B369,C369,E369,F369)&gt;0,(LEN(SUBSTITUTE(SUBSTITUTE(SUBSTITUTE(B369," ",""),"0",""),"-",""))+LEN(SUBSTITUTE(SUBSTITUTE(SUBSTITUTE(C369," ",""),"0",""),"-","")))=(LEN(SUBSTITUTE(SUBSTITUTE(SUBSTITUTE(E369," ",""),"0",""),"-",""))+LEN(SUBSTITUTE(SUBSTITUTE(SUBSTITUTE(F369," ",""),"0",""),"-",""))))),1,0)+IF(OR(D370="X",D370="x",AND(COUNTA(B370,C370,E370,F370)&gt;0,(LEN(SUBSTITUTE(SUBSTITUTE(SUBSTITUTE(B370," ",""),"0",""),"-",""))+LEN(SUBSTITUTE(SUBSTITUTE(SUBSTITUTE(C370," ",""),"0",""),"-","")))=(LEN(SUBSTITUTE(SUBSTITUTE(SUBSTITUTE(E370," ",""),"0",""),"-",""))+LEN(SUBSTITUTE(SUBSTITUTE(SUBSTITUTE(F370," ",""),"0",""),"-",""))))),1,0)+IF(OR(D371="X",D371="x",AND(COUNTA(B371,C371,E371,F371)&gt;0,(LEN(SUBSTITUTE(SUBSTITUTE(SUBSTITUTE(B371," ",""),"0",""),"-",""))+LEN(SUBSTITUTE(SUBSTITUTE(SUBSTITUTE(C371," ",""),"0",""),"-","")))=(LEN(SUBSTITUTE(SUBSTITUTE(SUBSTITUTE(E371," ",""),"0",""),"-",""))+LEN(SUBSTITUTE(SUBSTITUTE(SUBSTITUTE(F371," ",""),"0",""),"-",""))))),1,0)),0)+IF(OR(COUNTA(B375:C379,E375:F379)&gt;0,OR(D374="X",D374="x"),UPPER(D375)="X",UPPER(D376)="X",UPPER(D377)="X",UPPER(D378)="X",UPPER(D379)="X"),(IF(OR(D375="X",D375="x",AND(COUNTA(B375,C375,E375,F375)&gt;0,(LEN(SUBSTITUTE(SUBSTITUTE(SUBSTITUTE(B375," ",""),"0",""),"-",""))+LEN(SUBSTITUTE(SUBSTITUTE(SUBSTITUTE(C375," ",""),"0",""),"-","")))=(LEN(SUBSTITUTE(SUBSTITUTE(SUBSTITUTE(E375," ",""),"0",""),"-",""))+LEN(SUBSTITUTE(SUBSTITUTE(SUBSTITUTE(F375," ",""),"0",""),"-",""))))),1,0)+IF(OR(D376="X",D376="x",AND(COUNTA(B376,C376,E376,F376)&gt;0,(LEN(SUBSTITUTE(SUBSTITUTE(SUBSTITUTE(B376," ",""),"0",""),"-",""))+LEN(SUBSTITUTE(SUBSTITUTE(SUBSTITUTE(C376," ",""),"0",""),"-","")))=(LEN(SUBSTITUTE(SUBSTITUTE(SUBSTITUTE(E376," ",""),"0",""),"-",""))+LEN(SUBSTITUTE(SUBSTITUTE(SUBSTITUTE(F376," ",""),"0",""),"-",""))))),1,0)+IF(OR(D377="X",D377="x",AND(COUNTA(B377,C377,E377,F377)&gt;0,(LEN(SUBSTITUTE(SUBSTITUTE(SUBSTITUTE(B377," ",""),"0",""),"-",""))+LEN(SUBSTITUTE(SUBSTITUTE(SUBSTITUTE(C377," ",""),"0",""),"-","")))=(LEN(SUBSTITUTE(SUBSTITUTE(SUBSTITUTE(E377," ",""),"0",""),"-",""))+LEN(SUBSTITUTE(SUBSTITUTE(SUBSTITUTE(F377," ",""),"0",""),"-",""))))),1,0)+IF(OR(D378="X",D378="x",AND(COUNTA(B378,C378,E378,F378)&gt;0,(LEN(SUBSTITUTE(SUBSTITUTE(SUBSTITUTE(B378," ",""),"0",""),"-",""))+LEN(SUBSTITUTE(SUBSTITUTE(SUBSTITUTE(C378," ",""),"0",""),"-","")))=(LEN(SUBSTITUTE(SUBSTITUTE(SUBSTITUTE(E378," ",""),"0",""),"-",""))+LEN(SUBSTITUTE(SUBSTITUTE(SUBSTITUTE(F378," ",""),"0",""),"-",""))))),1,0)+IF(OR(D379="X",D379="x",AND(COUNTA(B379,C379,E379,F379)&gt;0,(LEN(SUBSTITUTE(SUBSTITUTE(SUBSTITUTE(B379," ",""),"0",""),"-",""))+LEN(SUBSTITUTE(SUBSTITUTE(SUBSTITUTE(C379," ",""),"0",""),"-","")))=(LEN(SUBSTITUTE(SUBSTITUTE(SUBSTITUTE(E379," ",""),"0",""),"-",""))+LEN(SUBSTITUTE(SUBSTITUTE(SUBSTITUTE(F379," ",""),"0",""),"-",""))))),1,0)),0)</f>
      </c>
      <c r="E390" s="14" t="str">
        <f>C366+C374</f>
      </c>
      <c r="F390" s="14" t="str">
        <f>E366+E374</f>
      </c>
      <c r="I390" s="14" t="str">
        <f>data!$E$75&amp;" "&amp;data!$B$75</f>
      </c>
      <c r="J390" s="14" t="str">
        <f>IF(OR(COUNTA(J367:K371,M367:N371)&gt;0,OR(L366="X",L366="x"),UPPER(L367)="X",UPPER(L368)="X",UPPER(L369)="X",UPPER(L370)="X",UPPER(L371)="X"),J366,0)+IF(OR(COUNTA(J375:K379,M375:N379)&gt;0,OR(L374="X",L374="x"),UPPER(L375)="X",UPPER(L376)="X",UPPER(L377)="X",UPPER(L378)="X",UPPER(L379)="X"),J374,0)</f>
      </c>
      <c r="K390" s="14" t="str">
        <f>IF(OR(COUNTA(J367:K371,M367:N371)&gt;0,OR(L366="X",L366="x"),UPPER(L367)="X",UPPER(L368)="X",UPPER(L369)="X",UPPER(L370)="X",UPPER(L371)="X"),N366,0)+IF(OR(COUNTA(J375:K379,M375:N379)&gt;0,OR(L374="X",L374="x"),UPPER(L375)="X",UPPER(L376)="X",UPPER(L377)="X",UPPER(L378)="X",UPPER(L379)="X"),N374,0)</f>
      </c>
      <c r="L390" s="14" t="str">
        <f>IF(OR(COUNTA(J367:K371,M367:N371)&gt;0,OR(L366="X",L366="x"),UPPER(L367)="X",UPPER(L368)="X",UPPER(L369)="X",UPPER(L370)="X",UPPER(L371)="X"),(IF(OR(L367="X",L367="x",AND(COUNTA(J367,K367,M367,N367)&gt;0,(LEN(SUBSTITUTE(SUBSTITUTE(SUBSTITUTE(J367," ",""),"0",""),"-",""))+LEN(SUBSTITUTE(SUBSTITUTE(SUBSTITUTE(K367," ",""),"0",""),"-","")))=(LEN(SUBSTITUTE(SUBSTITUTE(SUBSTITUTE(M367," ",""),"0",""),"-",""))+LEN(SUBSTITUTE(SUBSTITUTE(SUBSTITUTE(N367," ",""),"0",""),"-",""))))),1,0)+IF(OR(L368="X",L368="x",AND(COUNTA(J368,K368,M368,N368)&gt;0,(LEN(SUBSTITUTE(SUBSTITUTE(SUBSTITUTE(J368," ",""),"0",""),"-",""))+LEN(SUBSTITUTE(SUBSTITUTE(SUBSTITUTE(K368," ",""),"0",""),"-","")))=(LEN(SUBSTITUTE(SUBSTITUTE(SUBSTITUTE(M368," ",""),"0",""),"-",""))+LEN(SUBSTITUTE(SUBSTITUTE(SUBSTITUTE(N368," ",""),"0",""),"-",""))))),1,0)+IF(OR(L369="X",L369="x",AND(COUNTA(J369,K369,M369,N369)&gt;0,(LEN(SUBSTITUTE(SUBSTITUTE(SUBSTITUTE(J369," ",""),"0",""),"-",""))+LEN(SUBSTITUTE(SUBSTITUTE(SUBSTITUTE(K369," ",""),"0",""),"-","")))=(LEN(SUBSTITUTE(SUBSTITUTE(SUBSTITUTE(M369," ",""),"0",""),"-",""))+LEN(SUBSTITUTE(SUBSTITUTE(SUBSTITUTE(N369," ",""),"0",""),"-",""))))),1,0)+IF(OR(L370="X",L370="x",AND(COUNTA(J370,K370,M370,N370)&gt;0,(LEN(SUBSTITUTE(SUBSTITUTE(SUBSTITUTE(J370," ",""),"0",""),"-",""))+LEN(SUBSTITUTE(SUBSTITUTE(SUBSTITUTE(K370," ",""),"0",""),"-","")))=(LEN(SUBSTITUTE(SUBSTITUTE(SUBSTITUTE(M370," ",""),"0",""),"-",""))+LEN(SUBSTITUTE(SUBSTITUTE(SUBSTITUTE(N370," ",""),"0",""),"-",""))))),1,0)+IF(OR(L371="X",L371="x",AND(COUNTA(J371,K371,M371,N371)&gt;0,(LEN(SUBSTITUTE(SUBSTITUTE(SUBSTITUTE(J371," ",""),"0",""),"-",""))+LEN(SUBSTITUTE(SUBSTITUTE(SUBSTITUTE(K371," ",""),"0",""),"-","")))=(LEN(SUBSTITUTE(SUBSTITUTE(SUBSTITUTE(M371," ",""),"0",""),"-",""))+LEN(SUBSTITUTE(SUBSTITUTE(SUBSTITUTE(N371," ",""),"0",""),"-",""))))),1,0)),0)+IF(OR(COUNTA(J375:K379,M375:N379)&gt;0,OR(L374="X",L374="x"),UPPER(L375)="X",UPPER(L376)="X",UPPER(L377)="X",UPPER(L378)="X",UPPER(L379)="X"),(IF(OR(L375="X",L375="x",AND(COUNTA(J375,K375,M375,N375)&gt;0,(LEN(SUBSTITUTE(SUBSTITUTE(SUBSTITUTE(J375," ",""),"0",""),"-",""))+LEN(SUBSTITUTE(SUBSTITUTE(SUBSTITUTE(K375," ",""),"0",""),"-","")))=(LEN(SUBSTITUTE(SUBSTITUTE(SUBSTITUTE(M375," ",""),"0",""),"-",""))+LEN(SUBSTITUTE(SUBSTITUTE(SUBSTITUTE(N375," ",""),"0",""),"-",""))))),1,0)+IF(OR(L376="X",L376="x",AND(COUNTA(J376,K376,M376,N376)&gt;0,(LEN(SUBSTITUTE(SUBSTITUTE(SUBSTITUTE(J376," ",""),"0",""),"-",""))+LEN(SUBSTITUTE(SUBSTITUTE(SUBSTITUTE(K376," ",""),"0",""),"-","")))=(LEN(SUBSTITUTE(SUBSTITUTE(SUBSTITUTE(M376," ",""),"0",""),"-",""))+LEN(SUBSTITUTE(SUBSTITUTE(SUBSTITUTE(N376," ",""),"0",""),"-",""))))),1,0)+IF(OR(L377="X",L377="x",AND(COUNTA(J377,K377,M377,N377)&gt;0,(LEN(SUBSTITUTE(SUBSTITUTE(SUBSTITUTE(J377," ",""),"0",""),"-",""))+LEN(SUBSTITUTE(SUBSTITUTE(SUBSTITUTE(K377," ",""),"0",""),"-","")))=(LEN(SUBSTITUTE(SUBSTITUTE(SUBSTITUTE(M377," ",""),"0",""),"-",""))+LEN(SUBSTITUTE(SUBSTITUTE(SUBSTITUTE(N377," ",""),"0",""),"-",""))))),1,0)+IF(OR(L378="X",L378="x",AND(COUNTA(J378,K378,M378,N378)&gt;0,(LEN(SUBSTITUTE(SUBSTITUTE(SUBSTITUTE(J378," ",""),"0",""),"-",""))+LEN(SUBSTITUTE(SUBSTITUTE(SUBSTITUTE(K378," ",""),"0",""),"-","")))=(LEN(SUBSTITUTE(SUBSTITUTE(SUBSTITUTE(M378," ",""),"0",""),"-",""))+LEN(SUBSTITUTE(SUBSTITUTE(SUBSTITUTE(N378," ",""),"0",""),"-",""))))),1,0)+IF(OR(L379="X",L379="x",AND(COUNTA(J379,K379,M379,N379)&gt;0,(LEN(SUBSTITUTE(SUBSTITUTE(SUBSTITUTE(J379," ",""),"0",""),"-",""))+LEN(SUBSTITUTE(SUBSTITUTE(SUBSTITUTE(K379," ",""),"0",""),"-","")))=(LEN(SUBSTITUTE(SUBSTITUTE(SUBSTITUTE(M379," ",""),"0",""),"-",""))+LEN(SUBSTITUTE(SUBSTITUTE(SUBSTITUTE(N379," ",""),"0",""),"-",""))))),1,0)),0)</f>
      </c>
      <c r="M390" s="14" t="str">
        <f>K366+K374</f>
      </c>
      <c r="N390" s="14" t="str">
        <f>M366+M374</f>
      </c>
    </row>
    <row r="393">
      <c r="F393" s="13"/>
      <c r="G393" s="13" t="s">
        <v>343</v>
      </c>
      <c r="N393" s="13"/>
      <c r="O393" s="13" t="s">
        <v>343</v>
      </c>
    </row>
    <row r="394">
      <c r="F394" t="s">
        <v>344</v>
      </c>
      <c r="G394" s="19" t="str">
        <f>IFERROR(INDEX($A$383:$A$390, MATCH(1, $G$383:$G$390, 0)), "-")</f>
      </c>
      <c r="N394" t="s">
        <v>344</v>
      </c>
      <c r="O394" s="19" t="str">
        <f>IFERROR(INDEX($I$383:$I$390, MATCH(1, $O$383:$O$390, 0)), "-")</f>
      </c>
    </row>
    <row r="395">
      <c r="F395" t="s">
        <v>345</v>
      </c>
      <c r="G395" s="19" t="str">
        <f>IFERROR(INDEX($A$383:$A$390, MATCH(2, $G$383:$G$390, 0)), "-")</f>
      </c>
      <c r="N395" t="s">
        <v>345</v>
      </c>
      <c r="O395" s="19" t="str">
        <f>IFERROR(INDEX($I$383:$I$390, MATCH(2, $O$383:$O$390, 0)), "-")</f>
      </c>
    </row>
    <row r="396">
      <c r="F396" t="s">
        <v>346</v>
      </c>
      <c r="G396" s="19" t="str">
        <f>IFERROR(INDEX($A$383:$A$390, MATCH(3, $G$383:$G$390, 0)), "-")</f>
      </c>
      <c r="N396" t="s">
        <v>346</v>
      </c>
      <c r="O396" s="19" t="str">
        <f>IFERROR(INDEX($I$383:$I$390, MATCH(3, $O$383:$O$390, 0)), "-")</f>
      </c>
    </row>
    <row r="399">
      <c r="A399" s="13" t="str">
        <f>'data'!$A$33</f>
      </c>
      <c r="B399" s="13"/>
      <c r="C399" s="13"/>
      <c r="D399" s="13"/>
      <c r="E399" s="13"/>
      <c r="F399" s="13"/>
      <c r="G399" s="13"/>
      <c r="I399" s="13" t="str">
        <f>'data'!$A$78</f>
      </c>
      <c r="J399" s="13"/>
      <c r="K399" s="13"/>
      <c r="L399" s="13"/>
      <c r="M399" s="13"/>
      <c r="N399" s="13"/>
      <c r="O399" s="13"/>
    </row>
    <row r="400">
      <c r="A400" s="17" t="s">
        <v>330</v>
      </c>
      <c r="B400" s="14"/>
      <c r="C400" s="14"/>
      <c r="D400" s="14" t="s">
        <v>331</v>
      </c>
      <c r="E400" s="14"/>
      <c r="F400" s="14"/>
      <c r="G400" s="16" t="s">
        <v>332</v>
      </c>
      <c r="I400" s="17" t="s">
        <v>330</v>
      </c>
      <c r="J400" s="14"/>
      <c r="K400" s="14"/>
      <c r="L400" s="14" t="s">
        <v>331</v>
      </c>
      <c r="M400" s="14"/>
      <c r="N400" s="14"/>
      <c r="O400" s="16" t="s">
        <v>332</v>
      </c>
    </row>
    <row r="401">
      <c r="A401" s="14" t="str">
        <f>data!$E$32&amp;" "&amp;data!$B$32</f>
      </c>
      <c r="B401" s="14" t="str">
        <f>IF(UPPER(D402)="X",0,IF((LEN(SUBSTITUTE(SUBSTITUTE(SUBSTITUTE(B402," ",""),"0",""),"-",""))+LEN(SUBSTITUTE(SUBSTITUTE(SUBSTITUTE(C402," ",""),"0",""),"-","")))&gt;(LEN(SUBSTITUTE(SUBSTITUTE(SUBSTITUTE(E402," ",""),"0",""),"-",""))+LEN(SUBSTITUTE(SUBSTITUTE(SUBSTITUTE(F402," ",""),"0",""),"-",""))),1,0))+IF(UPPER(D403)="X",0,IF((LEN(SUBSTITUTE(SUBSTITUTE(SUBSTITUTE(B403," ",""),"0",""),"-",""))+LEN(SUBSTITUTE(SUBSTITUTE(SUBSTITUTE(C403," ",""),"0",""),"-","")))&gt;(LEN(SUBSTITUTE(SUBSTITUTE(SUBSTITUTE(E403," ",""),"0",""),"-",""))+LEN(SUBSTITUTE(SUBSTITUTE(SUBSTITUTE(F403," ",""),"0",""),"-",""))),1,0))+IF(UPPER(D404)="X",0,IF((LEN(SUBSTITUTE(SUBSTITUTE(SUBSTITUTE(B404," ",""),"0",""),"-",""))+LEN(SUBSTITUTE(SUBSTITUTE(SUBSTITUTE(C404," ",""),"0",""),"-","")))&gt;(LEN(SUBSTITUTE(SUBSTITUTE(SUBSTITUTE(E404," ",""),"0",""),"-",""))+LEN(SUBSTITUTE(SUBSTITUTE(SUBSTITUTE(F404," ",""),"0",""),"-",""))),1,0))+IF(UPPER(D405)="X",0,IF((LEN(SUBSTITUTE(SUBSTITUTE(SUBSTITUTE(B405," ",""),"0",""),"-",""))+LEN(SUBSTITUTE(SUBSTITUTE(SUBSTITUTE(C405," ",""),"0",""),"-","")))&gt;(LEN(SUBSTITUTE(SUBSTITUTE(SUBSTITUTE(E405," ",""),"0",""),"-",""))+LEN(SUBSTITUTE(SUBSTITUTE(SUBSTITUTE(F405," ",""),"0",""),"-",""))),1,0))+IF(UPPER(D406)="X",0,IF((LEN(SUBSTITUTE(SUBSTITUTE(SUBSTITUTE(B406," ",""),"0",""),"-",""))+LEN(SUBSTITUTE(SUBSTITUTE(SUBSTITUTE(C406," ",""),"0",""),"-","")))&gt;(LEN(SUBSTITUTE(SUBSTITUTE(SUBSTITUTE(E406," ",""),"0",""),"-",""))+LEN(SUBSTITUTE(SUBSTITUTE(SUBSTITUTE(F406," ",""),"0",""),"-",""))),1,0))</f>
      </c>
      <c r="C401" s="14" t="str">
        <f>LEN(SUBSTITUTE(SUBSTITUTE(SUBSTITUTE(B402," ",""),"0",""),"-",""))+LEN(SUBSTITUTE(SUBSTITUTE(SUBSTITUTE(C402," ",""),"0",""),"-",""))+LEN(SUBSTITUTE(SUBSTITUTE(SUBSTITUTE(B403," ",""),"0",""),"-",""))+LEN(SUBSTITUTE(SUBSTITUTE(SUBSTITUTE(C403," ",""),"0",""),"-",""))+LEN(SUBSTITUTE(SUBSTITUTE(SUBSTITUTE(B404," ",""),"0",""),"-",""))+LEN(SUBSTITUTE(SUBSTITUTE(SUBSTITUTE(C404," ",""),"0",""),"-",""))+LEN(SUBSTITUTE(SUBSTITUTE(SUBSTITUTE(B405," ",""),"0",""),"-",""))+LEN(SUBSTITUTE(SUBSTITUTE(SUBSTITUTE(C405," ",""),"0",""),"-",""))+LEN(SUBSTITUTE(SUBSTITUTE(SUBSTITUTE(B406," ",""),"0",""),"-",""))+LEN(SUBSTITUTE(SUBSTITUTE(SUBSTITUTE(C406," ",""),"0",""),"-",""))</f>
      </c>
      <c r="D401" s="18"/>
      <c r="E401" s="14" t="str">
        <f>LEN(SUBSTITUTE(SUBSTITUTE(SUBSTITUTE(E402," ",""),"0",""),"-",""))+LEN(SUBSTITUTE(SUBSTITUTE(SUBSTITUTE(F402," ",""),"0",""),"-",""))+LEN(SUBSTITUTE(SUBSTITUTE(SUBSTITUTE(E403," ",""),"0",""),"-",""))+LEN(SUBSTITUTE(SUBSTITUTE(SUBSTITUTE(F403," ",""),"0",""),"-",""))+LEN(SUBSTITUTE(SUBSTITUTE(SUBSTITUTE(E404," ",""),"0",""),"-",""))+LEN(SUBSTITUTE(SUBSTITUTE(SUBSTITUTE(F404," ",""),"0",""),"-",""))+LEN(SUBSTITUTE(SUBSTITUTE(SUBSTITUTE(E405," ",""),"0",""),"-",""))+LEN(SUBSTITUTE(SUBSTITUTE(SUBSTITUTE(F405," ",""),"0",""),"-",""))+LEN(SUBSTITUTE(SUBSTITUTE(SUBSTITUTE(E406," ",""),"0",""),"-",""))+LEN(SUBSTITUTE(SUBSTITUTE(SUBSTITUTE(F406," ",""),"0",""),"-",""))</f>
      </c>
      <c r="F401" s="14" t="str">
        <f>IF(UPPER(D402)="X",0,IF((LEN(SUBSTITUTE(SUBSTITUTE(SUBSTITUTE(E402," ",""),"0",""),"-",""))+LEN(SUBSTITUTE(SUBSTITUTE(SUBSTITUTE(F402," ",""),"0",""),"-","")))&gt;(LEN(SUBSTITUTE(SUBSTITUTE(SUBSTITUTE(B402," ",""),"0",""),"-",""))+LEN(SUBSTITUTE(SUBSTITUTE(SUBSTITUTE(C402," ",""),"0",""),"-",""))),1,0))+IF(UPPER(D403)="X",0,IF((LEN(SUBSTITUTE(SUBSTITUTE(SUBSTITUTE(E403," ",""),"0",""),"-",""))+LEN(SUBSTITUTE(SUBSTITUTE(SUBSTITUTE(F403," ",""),"0",""),"-","")))&gt;(LEN(SUBSTITUTE(SUBSTITUTE(SUBSTITUTE(B403," ",""),"0",""),"-",""))+LEN(SUBSTITUTE(SUBSTITUTE(SUBSTITUTE(C403," ",""),"0",""),"-",""))),1,0))+IF(UPPER(D404)="X",0,IF((LEN(SUBSTITUTE(SUBSTITUTE(SUBSTITUTE(E404," ",""),"0",""),"-",""))+LEN(SUBSTITUTE(SUBSTITUTE(SUBSTITUTE(F404," ",""),"0",""),"-","")))&gt;(LEN(SUBSTITUTE(SUBSTITUTE(SUBSTITUTE(B404," ",""),"0",""),"-",""))+LEN(SUBSTITUTE(SUBSTITUTE(SUBSTITUTE(C404," ",""),"0",""),"-",""))),1,0))+IF(UPPER(D405)="X",0,IF((LEN(SUBSTITUTE(SUBSTITUTE(SUBSTITUTE(E405," ",""),"0",""),"-",""))+LEN(SUBSTITUTE(SUBSTITUTE(SUBSTITUTE(F405," ",""),"0",""),"-","")))&gt;(LEN(SUBSTITUTE(SUBSTITUTE(SUBSTITUTE(B405," ",""),"0",""),"-",""))+LEN(SUBSTITUTE(SUBSTITUTE(SUBSTITUTE(C405," ",""),"0",""),"-",""))),1,0))+IF(UPPER(D406)="X",0,IF((LEN(SUBSTITUTE(SUBSTITUTE(SUBSTITUTE(E406," ",""),"0",""),"-",""))+LEN(SUBSTITUTE(SUBSTITUTE(SUBSTITUTE(F406," ",""),"0",""),"-","")))&gt;(LEN(SUBSTITUTE(SUBSTITUTE(SUBSTITUTE(B406," ",""),"0",""),"-",""))+LEN(SUBSTITUTE(SUBSTITUTE(SUBSTITUTE(C406," ",""),"0",""),"-",""))),1,0))</f>
      </c>
      <c r="G401" s="14" t="str">
        <f>data!$E$31&amp;" "&amp;data!$B$31</f>
      </c>
      <c r="I401" s="14" t="str">
        <f>data!$E$77&amp;" "&amp;data!$B$77</f>
      </c>
      <c r="J401" s="14" t="str">
        <f>IF(UPPER(L402)="X",0,IF((LEN(SUBSTITUTE(SUBSTITUTE(SUBSTITUTE(J402," ",""),"0",""),"-",""))+LEN(SUBSTITUTE(SUBSTITUTE(SUBSTITUTE(K402," ",""),"0",""),"-","")))&gt;(LEN(SUBSTITUTE(SUBSTITUTE(SUBSTITUTE(M402," ",""),"0",""),"-",""))+LEN(SUBSTITUTE(SUBSTITUTE(SUBSTITUTE(N402," ",""),"0",""),"-",""))),1,0))+IF(UPPER(L403)="X",0,IF((LEN(SUBSTITUTE(SUBSTITUTE(SUBSTITUTE(J403," ",""),"0",""),"-",""))+LEN(SUBSTITUTE(SUBSTITUTE(SUBSTITUTE(K403," ",""),"0",""),"-","")))&gt;(LEN(SUBSTITUTE(SUBSTITUTE(SUBSTITUTE(M403," ",""),"0",""),"-",""))+LEN(SUBSTITUTE(SUBSTITUTE(SUBSTITUTE(N403," ",""),"0",""),"-",""))),1,0))+IF(UPPER(L404)="X",0,IF((LEN(SUBSTITUTE(SUBSTITUTE(SUBSTITUTE(J404," ",""),"0",""),"-",""))+LEN(SUBSTITUTE(SUBSTITUTE(SUBSTITUTE(K404," ",""),"0",""),"-","")))&gt;(LEN(SUBSTITUTE(SUBSTITUTE(SUBSTITUTE(M404," ",""),"0",""),"-",""))+LEN(SUBSTITUTE(SUBSTITUTE(SUBSTITUTE(N404," ",""),"0",""),"-",""))),1,0))+IF(UPPER(L405)="X",0,IF((LEN(SUBSTITUTE(SUBSTITUTE(SUBSTITUTE(J405," ",""),"0",""),"-",""))+LEN(SUBSTITUTE(SUBSTITUTE(SUBSTITUTE(K405," ",""),"0",""),"-","")))&gt;(LEN(SUBSTITUTE(SUBSTITUTE(SUBSTITUTE(M405," ",""),"0",""),"-",""))+LEN(SUBSTITUTE(SUBSTITUTE(SUBSTITUTE(N405," ",""),"0",""),"-",""))),1,0))+IF(UPPER(L406)="X",0,IF((LEN(SUBSTITUTE(SUBSTITUTE(SUBSTITUTE(J406," ",""),"0",""),"-",""))+LEN(SUBSTITUTE(SUBSTITUTE(SUBSTITUTE(K406," ",""),"0",""),"-","")))&gt;(LEN(SUBSTITUTE(SUBSTITUTE(SUBSTITUTE(M406," ",""),"0",""),"-",""))+LEN(SUBSTITUTE(SUBSTITUTE(SUBSTITUTE(N406," ",""),"0",""),"-",""))),1,0))</f>
      </c>
      <c r="K401" s="14" t="str">
        <f>LEN(SUBSTITUTE(SUBSTITUTE(SUBSTITUTE(J402," ",""),"0",""),"-",""))+LEN(SUBSTITUTE(SUBSTITUTE(SUBSTITUTE(K402," ",""),"0",""),"-",""))+LEN(SUBSTITUTE(SUBSTITUTE(SUBSTITUTE(J403," ",""),"0",""),"-",""))+LEN(SUBSTITUTE(SUBSTITUTE(SUBSTITUTE(K403," ",""),"0",""),"-",""))+LEN(SUBSTITUTE(SUBSTITUTE(SUBSTITUTE(J404," ",""),"0",""),"-",""))+LEN(SUBSTITUTE(SUBSTITUTE(SUBSTITUTE(K404," ",""),"0",""),"-",""))+LEN(SUBSTITUTE(SUBSTITUTE(SUBSTITUTE(J405," ",""),"0",""),"-",""))+LEN(SUBSTITUTE(SUBSTITUTE(SUBSTITUTE(K405," ",""),"0",""),"-",""))+LEN(SUBSTITUTE(SUBSTITUTE(SUBSTITUTE(J406," ",""),"0",""),"-",""))+LEN(SUBSTITUTE(SUBSTITUTE(SUBSTITUTE(K406," ",""),"0",""),"-",""))</f>
      </c>
      <c r="L401" s="18"/>
      <c r="M401" s="14" t="str">
        <f>LEN(SUBSTITUTE(SUBSTITUTE(SUBSTITUTE(M402," ",""),"0",""),"-",""))+LEN(SUBSTITUTE(SUBSTITUTE(SUBSTITUTE(N402," ",""),"0",""),"-",""))+LEN(SUBSTITUTE(SUBSTITUTE(SUBSTITUTE(M403," ",""),"0",""),"-",""))+LEN(SUBSTITUTE(SUBSTITUTE(SUBSTITUTE(N403," ",""),"0",""),"-",""))+LEN(SUBSTITUTE(SUBSTITUTE(SUBSTITUTE(M404," ",""),"0",""),"-",""))+LEN(SUBSTITUTE(SUBSTITUTE(SUBSTITUTE(N404," ",""),"0",""),"-",""))+LEN(SUBSTITUTE(SUBSTITUTE(SUBSTITUTE(M405," ",""),"0",""),"-",""))+LEN(SUBSTITUTE(SUBSTITUTE(SUBSTITUTE(N405," ",""),"0",""),"-",""))+LEN(SUBSTITUTE(SUBSTITUTE(SUBSTITUTE(M406," ",""),"0",""),"-",""))+LEN(SUBSTITUTE(SUBSTITUTE(SUBSTITUTE(N406," ",""),"0",""),"-",""))</f>
      </c>
      <c r="N401" s="14" t="str">
        <f>IF(UPPER(L402)="X",0,IF((LEN(SUBSTITUTE(SUBSTITUTE(SUBSTITUTE(M402," ",""),"0",""),"-",""))+LEN(SUBSTITUTE(SUBSTITUTE(SUBSTITUTE(N402," ",""),"0",""),"-","")))&gt;(LEN(SUBSTITUTE(SUBSTITUTE(SUBSTITUTE(J402," ",""),"0",""),"-",""))+LEN(SUBSTITUTE(SUBSTITUTE(SUBSTITUTE(K402," ",""),"0",""),"-",""))),1,0))+IF(UPPER(L403)="X",0,IF((LEN(SUBSTITUTE(SUBSTITUTE(SUBSTITUTE(M403," ",""),"0",""),"-",""))+LEN(SUBSTITUTE(SUBSTITUTE(SUBSTITUTE(N403," ",""),"0",""),"-","")))&gt;(LEN(SUBSTITUTE(SUBSTITUTE(SUBSTITUTE(J403," ",""),"0",""),"-",""))+LEN(SUBSTITUTE(SUBSTITUTE(SUBSTITUTE(K403," ",""),"0",""),"-",""))),1,0))+IF(UPPER(L404)="X",0,IF((LEN(SUBSTITUTE(SUBSTITUTE(SUBSTITUTE(M404," ",""),"0",""),"-",""))+LEN(SUBSTITUTE(SUBSTITUTE(SUBSTITUTE(N404," ",""),"0",""),"-","")))&gt;(LEN(SUBSTITUTE(SUBSTITUTE(SUBSTITUTE(J404," ",""),"0",""),"-",""))+LEN(SUBSTITUTE(SUBSTITUTE(SUBSTITUTE(K404," ",""),"0",""),"-",""))),1,0))+IF(UPPER(L405)="X",0,IF((LEN(SUBSTITUTE(SUBSTITUTE(SUBSTITUTE(M405," ",""),"0",""),"-",""))+LEN(SUBSTITUTE(SUBSTITUTE(SUBSTITUTE(N405," ",""),"0",""),"-","")))&gt;(LEN(SUBSTITUTE(SUBSTITUTE(SUBSTITUTE(J405," ",""),"0",""),"-",""))+LEN(SUBSTITUTE(SUBSTITUTE(SUBSTITUTE(K405," ",""),"0",""),"-",""))),1,0))+IF(UPPER(L406)="X",0,IF((LEN(SUBSTITUTE(SUBSTITUTE(SUBSTITUTE(M406," ",""),"0",""),"-",""))+LEN(SUBSTITUTE(SUBSTITUTE(SUBSTITUTE(N406," ",""),"0",""),"-","")))&gt;(LEN(SUBSTITUTE(SUBSTITUTE(SUBSTITUTE(J406," ",""),"0",""),"-",""))+LEN(SUBSTITUTE(SUBSTITUTE(SUBSTITUTE(K406," ",""),"0",""),"-",""))),1,0))</f>
      </c>
      <c r="O401" s="14" t="str">
        <f>data!$E$76&amp;" "&amp;data!$B$76</f>
      </c>
    </row>
    <row r="402">
      <c r="A402" s="14">
        <v>1</v>
      </c>
      <c r="B402" s="18"/>
      <c r="C402" s="18"/>
      <c r="D402" s="18"/>
      <c r="E402" s="18"/>
      <c r="F402" s="18"/>
      <c r="G402" s="14">
        <v>1</v>
      </c>
      <c r="I402" s="14">
        <v>1</v>
      </c>
      <c r="J402" s="18"/>
      <c r="K402" s="18"/>
      <c r="L402" s="18"/>
      <c r="M402" s="18"/>
      <c r="N402" s="18"/>
      <c r="O402" s="14">
        <v>1</v>
      </c>
    </row>
    <row r="403">
      <c r="A403" s="14">
        <v>2</v>
      </c>
      <c r="B403" s="18"/>
      <c r="C403" s="18"/>
      <c r="D403" s="18"/>
      <c r="E403" s="18"/>
      <c r="F403" s="18"/>
      <c r="G403" s="14">
        <v>2</v>
      </c>
      <c r="I403" s="14">
        <v>2</v>
      </c>
      <c r="J403" s="18"/>
      <c r="K403" s="18"/>
      <c r="L403" s="18"/>
      <c r="M403" s="18"/>
      <c r="N403" s="18"/>
      <c r="O403" s="14">
        <v>2</v>
      </c>
    </row>
    <row r="404">
      <c r="A404" s="14">
        <v>3</v>
      </c>
      <c r="B404" s="18"/>
      <c r="C404" s="18"/>
      <c r="D404" s="18"/>
      <c r="E404" s="18"/>
      <c r="F404" s="18"/>
      <c r="G404" s="14">
        <v>3</v>
      </c>
      <c r="I404" s="14">
        <v>3</v>
      </c>
      <c r="J404" s="18"/>
      <c r="K404" s="18"/>
      <c r="L404" s="18"/>
      <c r="M404" s="18"/>
      <c r="N404" s="18"/>
      <c r="O404" s="14">
        <v>3</v>
      </c>
    </row>
    <row r="405">
      <c r="A405" s="14">
        <v>4</v>
      </c>
      <c r="B405" s="18"/>
      <c r="C405" s="18"/>
      <c r="D405" s="18"/>
      <c r="E405" s="18"/>
      <c r="F405" s="18"/>
      <c r="G405" s="14">
        <v>4</v>
      </c>
      <c r="I405" s="14">
        <v>4</v>
      </c>
      <c r="J405" s="18"/>
      <c r="K405" s="18"/>
      <c r="L405" s="18"/>
      <c r="M405" s="18"/>
      <c r="N405" s="18"/>
      <c r="O405" s="14">
        <v>4</v>
      </c>
    </row>
    <row r="406">
      <c r="A406" s="14">
        <v>5</v>
      </c>
      <c r="B406" s="18"/>
      <c r="C406" s="18"/>
      <c r="D406" s="18"/>
      <c r="E406" s="18"/>
      <c r="F406" s="18"/>
      <c r="G406" s="14">
        <v>5</v>
      </c>
      <c r="I406" s="14">
        <v>5</v>
      </c>
      <c r="J406" s="18"/>
      <c r="K406" s="18"/>
      <c r="L406" s="18"/>
      <c r="M406" s="18"/>
      <c r="N406" s="18"/>
      <c r="O406" s="14">
        <v>5</v>
      </c>
    </row>
    <row r="408">
      <c r="A408" s="17" t="s">
        <v>330</v>
      </c>
      <c r="B408" s="14"/>
      <c r="C408" s="14"/>
      <c r="D408" s="14" t="s">
        <v>331</v>
      </c>
      <c r="E408" s="14"/>
      <c r="F408" s="14"/>
      <c r="G408" s="16" t="s">
        <v>332</v>
      </c>
      <c r="I408" s="17" t="s">
        <v>330</v>
      </c>
      <c r="J408" s="14"/>
      <c r="K408" s="14"/>
      <c r="L408" s="14" t="s">
        <v>331</v>
      </c>
      <c r="M408" s="14"/>
      <c r="N408" s="14"/>
      <c r="O408" s="16" t="s">
        <v>332</v>
      </c>
    </row>
    <row r="409">
      <c r="A409" s="14" t="str">
        <f>data!$E$33&amp;" "&amp;data!$B$33</f>
      </c>
      <c r="B409" s="14" t="str">
        <f>IF(UPPER(D410)="X",0,IF((LEN(SUBSTITUTE(SUBSTITUTE(SUBSTITUTE(B410," ",""),"0",""),"-",""))+LEN(SUBSTITUTE(SUBSTITUTE(SUBSTITUTE(C410," ",""),"0",""),"-","")))&gt;(LEN(SUBSTITUTE(SUBSTITUTE(SUBSTITUTE(E410," ",""),"0",""),"-",""))+LEN(SUBSTITUTE(SUBSTITUTE(SUBSTITUTE(F410," ",""),"0",""),"-",""))),1,0))+IF(UPPER(D411)="X",0,IF((LEN(SUBSTITUTE(SUBSTITUTE(SUBSTITUTE(B411," ",""),"0",""),"-",""))+LEN(SUBSTITUTE(SUBSTITUTE(SUBSTITUTE(C411," ",""),"0",""),"-","")))&gt;(LEN(SUBSTITUTE(SUBSTITUTE(SUBSTITUTE(E411," ",""),"0",""),"-",""))+LEN(SUBSTITUTE(SUBSTITUTE(SUBSTITUTE(F411," ",""),"0",""),"-",""))),1,0))+IF(UPPER(D412)="X",0,IF((LEN(SUBSTITUTE(SUBSTITUTE(SUBSTITUTE(B412," ",""),"0",""),"-",""))+LEN(SUBSTITUTE(SUBSTITUTE(SUBSTITUTE(C412," ",""),"0",""),"-","")))&gt;(LEN(SUBSTITUTE(SUBSTITUTE(SUBSTITUTE(E412," ",""),"0",""),"-",""))+LEN(SUBSTITUTE(SUBSTITUTE(SUBSTITUTE(F412," ",""),"0",""),"-",""))),1,0))+IF(UPPER(D413)="X",0,IF((LEN(SUBSTITUTE(SUBSTITUTE(SUBSTITUTE(B413," ",""),"0",""),"-",""))+LEN(SUBSTITUTE(SUBSTITUTE(SUBSTITUTE(C413," ",""),"0",""),"-","")))&gt;(LEN(SUBSTITUTE(SUBSTITUTE(SUBSTITUTE(E413," ",""),"0",""),"-",""))+LEN(SUBSTITUTE(SUBSTITUTE(SUBSTITUTE(F413," ",""),"0",""),"-",""))),1,0))+IF(UPPER(D414)="X",0,IF((LEN(SUBSTITUTE(SUBSTITUTE(SUBSTITUTE(B414," ",""),"0",""),"-",""))+LEN(SUBSTITUTE(SUBSTITUTE(SUBSTITUTE(C414," ",""),"0",""),"-","")))&gt;(LEN(SUBSTITUTE(SUBSTITUTE(SUBSTITUTE(E414," ",""),"0",""),"-",""))+LEN(SUBSTITUTE(SUBSTITUTE(SUBSTITUTE(F414," ",""),"0",""),"-",""))),1,0))</f>
      </c>
      <c r="C409" s="14" t="str">
        <f>LEN(SUBSTITUTE(SUBSTITUTE(SUBSTITUTE(B410," ",""),"0",""),"-",""))+LEN(SUBSTITUTE(SUBSTITUTE(SUBSTITUTE(C410," ",""),"0",""),"-",""))+LEN(SUBSTITUTE(SUBSTITUTE(SUBSTITUTE(B411," ",""),"0",""),"-",""))+LEN(SUBSTITUTE(SUBSTITUTE(SUBSTITUTE(C411," ",""),"0",""),"-",""))+LEN(SUBSTITUTE(SUBSTITUTE(SUBSTITUTE(B412," ",""),"0",""),"-",""))+LEN(SUBSTITUTE(SUBSTITUTE(SUBSTITUTE(C412," ",""),"0",""),"-",""))+LEN(SUBSTITUTE(SUBSTITUTE(SUBSTITUTE(B413," ",""),"0",""),"-",""))+LEN(SUBSTITUTE(SUBSTITUTE(SUBSTITUTE(C413," ",""),"0",""),"-",""))+LEN(SUBSTITUTE(SUBSTITUTE(SUBSTITUTE(B414," ",""),"0",""),"-",""))+LEN(SUBSTITUTE(SUBSTITUTE(SUBSTITUTE(C414," ",""),"0",""),"-",""))</f>
      </c>
      <c r="D409" s="18"/>
      <c r="E409" s="14" t="str">
        <f>LEN(SUBSTITUTE(SUBSTITUTE(SUBSTITUTE(E410," ",""),"0",""),"-",""))+LEN(SUBSTITUTE(SUBSTITUTE(SUBSTITUTE(F410," ",""),"0",""),"-",""))+LEN(SUBSTITUTE(SUBSTITUTE(SUBSTITUTE(E411," ",""),"0",""),"-",""))+LEN(SUBSTITUTE(SUBSTITUTE(SUBSTITUTE(F411," ",""),"0",""),"-",""))+LEN(SUBSTITUTE(SUBSTITUTE(SUBSTITUTE(E412," ",""),"0",""),"-",""))+LEN(SUBSTITUTE(SUBSTITUTE(SUBSTITUTE(F412," ",""),"0",""),"-",""))+LEN(SUBSTITUTE(SUBSTITUTE(SUBSTITUTE(E413," ",""),"0",""),"-",""))+LEN(SUBSTITUTE(SUBSTITUTE(SUBSTITUTE(F413," ",""),"0",""),"-",""))+LEN(SUBSTITUTE(SUBSTITUTE(SUBSTITUTE(E414," ",""),"0",""),"-",""))+LEN(SUBSTITUTE(SUBSTITUTE(SUBSTITUTE(F414," ",""),"0",""),"-",""))</f>
      </c>
      <c r="F409" s="14" t="str">
        <f>IF(UPPER(D410)="X",0,IF((LEN(SUBSTITUTE(SUBSTITUTE(SUBSTITUTE(E410," ",""),"0",""),"-",""))+LEN(SUBSTITUTE(SUBSTITUTE(SUBSTITUTE(F410," ",""),"0",""),"-","")))&gt;(LEN(SUBSTITUTE(SUBSTITUTE(SUBSTITUTE(B410," ",""),"0",""),"-",""))+LEN(SUBSTITUTE(SUBSTITUTE(SUBSTITUTE(C410," ",""),"0",""),"-",""))),1,0))+IF(UPPER(D411)="X",0,IF((LEN(SUBSTITUTE(SUBSTITUTE(SUBSTITUTE(E411," ",""),"0",""),"-",""))+LEN(SUBSTITUTE(SUBSTITUTE(SUBSTITUTE(F411," ",""),"0",""),"-","")))&gt;(LEN(SUBSTITUTE(SUBSTITUTE(SUBSTITUTE(B411," ",""),"0",""),"-",""))+LEN(SUBSTITUTE(SUBSTITUTE(SUBSTITUTE(C411," ",""),"0",""),"-",""))),1,0))+IF(UPPER(D412)="X",0,IF((LEN(SUBSTITUTE(SUBSTITUTE(SUBSTITUTE(E412," ",""),"0",""),"-",""))+LEN(SUBSTITUTE(SUBSTITUTE(SUBSTITUTE(F412," ",""),"0",""),"-","")))&gt;(LEN(SUBSTITUTE(SUBSTITUTE(SUBSTITUTE(B412," ",""),"0",""),"-",""))+LEN(SUBSTITUTE(SUBSTITUTE(SUBSTITUTE(C412," ",""),"0",""),"-",""))),1,0))+IF(UPPER(D413)="X",0,IF((LEN(SUBSTITUTE(SUBSTITUTE(SUBSTITUTE(E413," ",""),"0",""),"-",""))+LEN(SUBSTITUTE(SUBSTITUTE(SUBSTITUTE(F413," ",""),"0",""),"-","")))&gt;(LEN(SUBSTITUTE(SUBSTITUTE(SUBSTITUTE(B413," ",""),"0",""),"-",""))+LEN(SUBSTITUTE(SUBSTITUTE(SUBSTITUTE(C413," ",""),"0",""),"-",""))),1,0))+IF(UPPER(D414)="X",0,IF((LEN(SUBSTITUTE(SUBSTITUTE(SUBSTITUTE(E414," ",""),"0",""),"-",""))+LEN(SUBSTITUTE(SUBSTITUTE(SUBSTITUTE(F414," ",""),"0",""),"-","")))&gt;(LEN(SUBSTITUTE(SUBSTITUTE(SUBSTITUTE(B414," ",""),"0",""),"-",""))+LEN(SUBSTITUTE(SUBSTITUTE(SUBSTITUTE(C414," ",""),"0",""),"-",""))),1,0))</f>
      </c>
      <c r="G409" s="14" t="str">
        <f>data!$E$31&amp;" "&amp;data!$B$31</f>
      </c>
      <c r="I409" s="14" t="str">
        <f>data!$E$78&amp;" "&amp;data!$B$78</f>
      </c>
      <c r="J409" s="14" t="str">
        <f>IF(UPPER(L410)="X",0,IF((LEN(SUBSTITUTE(SUBSTITUTE(SUBSTITUTE(J410," ",""),"0",""),"-",""))+LEN(SUBSTITUTE(SUBSTITUTE(SUBSTITUTE(K410," ",""),"0",""),"-","")))&gt;(LEN(SUBSTITUTE(SUBSTITUTE(SUBSTITUTE(M410," ",""),"0",""),"-",""))+LEN(SUBSTITUTE(SUBSTITUTE(SUBSTITUTE(N410," ",""),"0",""),"-",""))),1,0))+IF(UPPER(L411)="X",0,IF((LEN(SUBSTITUTE(SUBSTITUTE(SUBSTITUTE(J411," ",""),"0",""),"-",""))+LEN(SUBSTITUTE(SUBSTITUTE(SUBSTITUTE(K411," ",""),"0",""),"-","")))&gt;(LEN(SUBSTITUTE(SUBSTITUTE(SUBSTITUTE(M411," ",""),"0",""),"-",""))+LEN(SUBSTITUTE(SUBSTITUTE(SUBSTITUTE(N411," ",""),"0",""),"-",""))),1,0))+IF(UPPER(L412)="X",0,IF((LEN(SUBSTITUTE(SUBSTITUTE(SUBSTITUTE(J412," ",""),"0",""),"-",""))+LEN(SUBSTITUTE(SUBSTITUTE(SUBSTITUTE(K412," ",""),"0",""),"-","")))&gt;(LEN(SUBSTITUTE(SUBSTITUTE(SUBSTITUTE(M412," ",""),"0",""),"-",""))+LEN(SUBSTITUTE(SUBSTITUTE(SUBSTITUTE(N412," ",""),"0",""),"-",""))),1,0))+IF(UPPER(L413)="X",0,IF((LEN(SUBSTITUTE(SUBSTITUTE(SUBSTITUTE(J413," ",""),"0",""),"-",""))+LEN(SUBSTITUTE(SUBSTITUTE(SUBSTITUTE(K413," ",""),"0",""),"-","")))&gt;(LEN(SUBSTITUTE(SUBSTITUTE(SUBSTITUTE(M413," ",""),"0",""),"-",""))+LEN(SUBSTITUTE(SUBSTITUTE(SUBSTITUTE(N413," ",""),"0",""),"-",""))),1,0))+IF(UPPER(L414)="X",0,IF((LEN(SUBSTITUTE(SUBSTITUTE(SUBSTITUTE(J414," ",""),"0",""),"-",""))+LEN(SUBSTITUTE(SUBSTITUTE(SUBSTITUTE(K414," ",""),"0",""),"-","")))&gt;(LEN(SUBSTITUTE(SUBSTITUTE(SUBSTITUTE(M414," ",""),"0",""),"-",""))+LEN(SUBSTITUTE(SUBSTITUTE(SUBSTITUTE(N414," ",""),"0",""),"-",""))),1,0))</f>
      </c>
      <c r="K409" s="14" t="str">
        <f>LEN(SUBSTITUTE(SUBSTITUTE(SUBSTITUTE(J410," ",""),"0",""),"-",""))+LEN(SUBSTITUTE(SUBSTITUTE(SUBSTITUTE(K410," ",""),"0",""),"-",""))+LEN(SUBSTITUTE(SUBSTITUTE(SUBSTITUTE(J411," ",""),"0",""),"-",""))+LEN(SUBSTITUTE(SUBSTITUTE(SUBSTITUTE(K411," ",""),"0",""),"-",""))+LEN(SUBSTITUTE(SUBSTITUTE(SUBSTITUTE(J412," ",""),"0",""),"-",""))+LEN(SUBSTITUTE(SUBSTITUTE(SUBSTITUTE(K412," ",""),"0",""),"-",""))+LEN(SUBSTITUTE(SUBSTITUTE(SUBSTITUTE(J413," ",""),"0",""),"-",""))+LEN(SUBSTITUTE(SUBSTITUTE(SUBSTITUTE(K413," ",""),"0",""),"-",""))+LEN(SUBSTITUTE(SUBSTITUTE(SUBSTITUTE(J414," ",""),"0",""),"-",""))+LEN(SUBSTITUTE(SUBSTITUTE(SUBSTITUTE(K414," ",""),"0",""),"-",""))</f>
      </c>
      <c r="L409" s="18"/>
      <c r="M409" s="14" t="str">
        <f>LEN(SUBSTITUTE(SUBSTITUTE(SUBSTITUTE(M410," ",""),"0",""),"-",""))+LEN(SUBSTITUTE(SUBSTITUTE(SUBSTITUTE(N410," ",""),"0",""),"-",""))+LEN(SUBSTITUTE(SUBSTITUTE(SUBSTITUTE(M411," ",""),"0",""),"-",""))+LEN(SUBSTITUTE(SUBSTITUTE(SUBSTITUTE(N411," ",""),"0",""),"-",""))+LEN(SUBSTITUTE(SUBSTITUTE(SUBSTITUTE(M412," ",""),"0",""),"-",""))+LEN(SUBSTITUTE(SUBSTITUTE(SUBSTITUTE(N412," ",""),"0",""),"-",""))+LEN(SUBSTITUTE(SUBSTITUTE(SUBSTITUTE(M413," ",""),"0",""),"-",""))+LEN(SUBSTITUTE(SUBSTITUTE(SUBSTITUTE(N413," ",""),"0",""),"-",""))+LEN(SUBSTITUTE(SUBSTITUTE(SUBSTITUTE(M414," ",""),"0",""),"-",""))+LEN(SUBSTITUTE(SUBSTITUTE(SUBSTITUTE(N414," ",""),"0",""),"-",""))</f>
      </c>
      <c r="N409" s="14" t="str">
        <f>IF(UPPER(L410)="X",0,IF((LEN(SUBSTITUTE(SUBSTITUTE(SUBSTITUTE(M410," ",""),"0",""),"-",""))+LEN(SUBSTITUTE(SUBSTITUTE(SUBSTITUTE(N410," ",""),"0",""),"-","")))&gt;(LEN(SUBSTITUTE(SUBSTITUTE(SUBSTITUTE(J410," ",""),"0",""),"-",""))+LEN(SUBSTITUTE(SUBSTITUTE(SUBSTITUTE(K410," ",""),"0",""),"-",""))),1,0))+IF(UPPER(L411)="X",0,IF((LEN(SUBSTITUTE(SUBSTITUTE(SUBSTITUTE(M411," ",""),"0",""),"-",""))+LEN(SUBSTITUTE(SUBSTITUTE(SUBSTITUTE(N411," ",""),"0",""),"-","")))&gt;(LEN(SUBSTITUTE(SUBSTITUTE(SUBSTITUTE(J411," ",""),"0",""),"-",""))+LEN(SUBSTITUTE(SUBSTITUTE(SUBSTITUTE(K411," ",""),"0",""),"-",""))),1,0))+IF(UPPER(L412)="X",0,IF((LEN(SUBSTITUTE(SUBSTITUTE(SUBSTITUTE(M412," ",""),"0",""),"-",""))+LEN(SUBSTITUTE(SUBSTITUTE(SUBSTITUTE(N412," ",""),"0",""),"-","")))&gt;(LEN(SUBSTITUTE(SUBSTITUTE(SUBSTITUTE(J412," ",""),"0",""),"-",""))+LEN(SUBSTITUTE(SUBSTITUTE(SUBSTITUTE(K412," ",""),"0",""),"-",""))),1,0))+IF(UPPER(L413)="X",0,IF((LEN(SUBSTITUTE(SUBSTITUTE(SUBSTITUTE(M413," ",""),"0",""),"-",""))+LEN(SUBSTITUTE(SUBSTITUTE(SUBSTITUTE(N413," ",""),"0",""),"-","")))&gt;(LEN(SUBSTITUTE(SUBSTITUTE(SUBSTITUTE(J413," ",""),"0",""),"-",""))+LEN(SUBSTITUTE(SUBSTITUTE(SUBSTITUTE(K413," ",""),"0",""),"-",""))),1,0))+IF(UPPER(L414)="X",0,IF((LEN(SUBSTITUTE(SUBSTITUTE(SUBSTITUTE(M414," ",""),"0",""),"-",""))+LEN(SUBSTITUTE(SUBSTITUTE(SUBSTITUTE(N414," ",""),"0",""),"-","")))&gt;(LEN(SUBSTITUTE(SUBSTITUTE(SUBSTITUTE(J414," ",""),"0",""),"-",""))+LEN(SUBSTITUTE(SUBSTITUTE(SUBSTITUTE(K414," ",""),"0",""),"-",""))),1,0))</f>
      </c>
      <c r="O409" s="14" t="str">
        <f>data!$E$76&amp;" "&amp;data!$B$76</f>
      </c>
    </row>
    <row r="410">
      <c r="A410" s="14">
        <v>1</v>
      </c>
      <c r="B410" s="18"/>
      <c r="C410" s="18"/>
      <c r="D410" s="18"/>
      <c r="E410" s="18"/>
      <c r="F410" s="18"/>
      <c r="G410" s="14">
        <v>1</v>
      </c>
      <c r="I410" s="14">
        <v>1</v>
      </c>
      <c r="J410" s="18"/>
      <c r="K410" s="18"/>
      <c r="L410" s="18"/>
      <c r="M410" s="18"/>
      <c r="N410" s="18"/>
      <c r="O410" s="14">
        <v>1</v>
      </c>
    </row>
    <row r="411">
      <c r="A411" s="14">
        <v>2</v>
      </c>
      <c r="B411" s="18"/>
      <c r="C411" s="18"/>
      <c r="D411" s="18"/>
      <c r="E411" s="18"/>
      <c r="F411" s="18"/>
      <c r="G411" s="14">
        <v>2</v>
      </c>
      <c r="I411" s="14">
        <v>2</v>
      </c>
      <c r="J411" s="18"/>
      <c r="K411" s="18"/>
      <c r="L411" s="18"/>
      <c r="M411" s="18"/>
      <c r="N411" s="18"/>
      <c r="O411" s="14">
        <v>2</v>
      </c>
    </row>
    <row r="412">
      <c r="A412" s="14">
        <v>3</v>
      </c>
      <c r="B412" s="18"/>
      <c r="C412" s="18"/>
      <c r="D412" s="18"/>
      <c r="E412" s="18"/>
      <c r="F412" s="18"/>
      <c r="G412" s="14">
        <v>3</v>
      </c>
      <c r="I412" s="14">
        <v>3</v>
      </c>
      <c r="J412" s="18"/>
      <c r="K412" s="18"/>
      <c r="L412" s="18"/>
      <c r="M412" s="18"/>
      <c r="N412" s="18"/>
      <c r="O412" s="14">
        <v>3</v>
      </c>
    </row>
    <row r="413">
      <c r="A413" s="14">
        <v>4</v>
      </c>
      <c r="B413" s="18"/>
      <c r="C413" s="18"/>
      <c r="D413" s="18"/>
      <c r="E413" s="18"/>
      <c r="F413" s="18"/>
      <c r="G413" s="14">
        <v>4</v>
      </c>
      <c r="I413" s="14">
        <v>4</v>
      </c>
      <c r="J413" s="18"/>
      <c r="K413" s="18"/>
      <c r="L413" s="18"/>
      <c r="M413" s="18"/>
      <c r="N413" s="18"/>
      <c r="O413" s="14">
        <v>4</v>
      </c>
    </row>
    <row r="414">
      <c r="A414" s="14">
        <v>5</v>
      </c>
      <c r="B414" s="18"/>
      <c r="C414" s="18"/>
      <c r="D414" s="18"/>
      <c r="E414" s="18"/>
      <c r="F414" s="18"/>
      <c r="G414" s="14">
        <v>5</v>
      </c>
      <c r="I414" s="14">
        <v>5</v>
      </c>
      <c r="J414" s="18"/>
      <c r="K414" s="18"/>
      <c r="L414" s="18"/>
      <c r="M414" s="18"/>
      <c r="N414" s="18"/>
      <c r="O414" s="14">
        <v>5</v>
      </c>
    </row>
    <row r="416">
      <c r="A416" s="17" t="s">
        <v>330</v>
      </c>
      <c r="B416" s="14"/>
      <c r="C416" s="14"/>
      <c r="D416" s="14" t="s">
        <v>331</v>
      </c>
      <c r="E416" s="14"/>
      <c r="F416" s="14"/>
      <c r="G416" s="16" t="s">
        <v>332</v>
      </c>
      <c r="I416" s="17" t="s">
        <v>330</v>
      </c>
      <c r="J416" s="14"/>
      <c r="K416" s="14"/>
      <c r="L416" s="14" t="s">
        <v>331</v>
      </c>
      <c r="M416" s="14"/>
      <c r="N416" s="14"/>
      <c r="O416" s="16" t="s">
        <v>332</v>
      </c>
    </row>
    <row r="417">
      <c r="A417" s="14" t="str">
        <f>data!$E$33&amp;" "&amp;data!$B$33</f>
      </c>
      <c r="B417" s="14" t="str">
        <f>IF(UPPER(D418)="X",0,IF((LEN(SUBSTITUTE(SUBSTITUTE(SUBSTITUTE(B418," ",""),"0",""),"-",""))+LEN(SUBSTITUTE(SUBSTITUTE(SUBSTITUTE(C418," ",""),"0",""),"-","")))&gt;(LEN(SUBSTITUTE(SUBSTITUTE(SUBSTITUTE(E418," ",""),"0",""),"-",""))+LEN(SUBSTITUTE(SUBSTITUTE(SUBSTITUTE(F418," ",""),"0",""),"-",""))),1,0))+IF(UPPER(D419)="X",0,IF((LEN(SUBSTITUTE(SUBSTITUTE(SUBSTITUTE(B419," ",""),"0",""),"-",""))+LEN(SUBSTITUTE(SUBSTITUTE(SUBSTITUTE(C419," ",""),"0",""),"-","")))&gt;(LEN(SUBSTITUTE(SUBSTITUTE(SUBSTITUTE(E419," ",""),"0",""),"-",""))+LEN(SUBSTITUTE(SUBSTITUTE(SUBSTITUTE(F419," ",""),"0",""),"-",""))),1,0))+IF(UPPER(D420)="X",0,IF((LEN(SUBSTITUTE(SUBSTITUTE(SUBSTITUTE(B420," ",""),"0",""),"-",""))+LEN(SUBSTITUTE(SUBSTITUTE(SUBSTITUTE(C420," ",""),"0",""),"-","")))&gt;(LEN(SUBSTITUTE(SUBSTITUTE(SUBSTITUTE(E420," ",""),"0",""),"-",""))+LEN(SUBSTITUTE(SUBSTITUTE(SUBSTITUTE(F420," ",""),"0",""),"-",""))),1,0))+IF(UPPER(D421)="X",0,IF((LEN(SUBSTITUTE(SUBSTITUTE(SUBSTITUTE(B421," ",""),"0",""),"-",""))+LEN(SUBSTITUTE(SUBSTITUTE(SUBSTITUTE(C421," ",""),"0",""),"-","")))&gt;(LEN(SUBSTITUTE(SUBSTITUTE(SUBSTITUTE(E421," ",""),"0",""),"-",""))+LEN(SUBSTITUTE(SUBSTITUTE(SUBSTITUTE(F421," ",""),"0",""),"-",""))),1,0))+IF(UPPER(D422)="X",0,IF((LEN(SUBSTITUTE(SUBSTITUTE(SUBSTITUTE(B422," ",""),"0",""),"-",""))+LEN(SUBSTITUTE(SUBSTITUTE(SUBSTITUTE(C422," ",""),"0",""),"-","")))&gt;(LEN(SUBSTITUTE(SUBSTITUTE(SUBSTITUTE(E422," ",""),"0",""),"-",""))+LEN(SUBSTITUTE(SUBSTITUTE(SUBSTITUTE(F422," ",""),"0",""),"-",""))),1,0))</f>
      </c>
      <c r="C417" s="14" t="str">
        <f>LEN(SUBSTITUTE(SUBSTITUTE(SUBSTITUTE(B418," ",""),"0",""),"-",""))+LEN(SUBSTITUTE(SUBSTITUTE(SUBSTITUTE(C418," ",""),"0",""),"-",""))+LEN(SUBSTITUTE(SUBSTITUTE(SUBSTITUTE(B419," ",""),"0",""),"-",""))+LEN(SUBSTITUTE(SUBSTITUTE(SUBSTITUTE(C419," ",""),"0",""),"-",""))+LEN(SUBSTITUTE(SUBSTITUTE(SUBSTITUTE(B420," ",""),"0",""),"-",""))+LEN(SUBSTITUTE(SUBSTITUTE(SUBSTITUTE(C420," ",""),"0",""),"-",""))+LEN(SUBSTITUTE(SUBSTITUTE(SUBSTITUTE(B421," ",""),"0",""),"-",""))+LEN(SUBSTITUTE(SUBSTITUTE(SUBSTITUTE(C421," ",""),"0",""),"-",""))+LEN(SUBSTITUTE(SUBSTITUTE(SUBSTITUTE(B422," ",""),"0",""),"-",""))+LEN(SUBSTITUTE(SUBSTITUTE(SUBSTITUTE(C422," ",""),"0",""),"-",""))</f>
      </c>
      <c r="D417" s="18"/>
      <c r="E417" s="14" t="str">
        <f>LEN(SUBSTITUTE(SUBSTITUTE(SUBSTITUTE(E418," ",""),"0",""),"-",""))+LEN(SUBSTITUTE(SUBSTITUTE(SUBSTITUTE(F418," ",""),"0",""),"-",""))+LEN(SUBSTITUTE(SUBSTITUTE(SUBSTITUTE(E419," ",""),"0",""),"-",""))+LEN(SUBSTITUTE(SUBSTITUTE(SUBSTITUTE(F419," ",""),"0",""),"-",""))+LEN(SUBSTITUTE(SUBSTITUTE(SUBSTITUTE(E420," ",""),"0",""),"-",""))+LEN(SUBSTITUTE(SUBSTITUTE(SUBSTITUTE(F420," ",""),"0",""),"-",""))+LEN(SUBSTITUTE(SUBSTITUTE(SUBSTITUTE(E421," ",""),"0",""),"-",""))+LEN(SUBSTITUTE(SUBSTITUTE(SUBSTITUTE(F421," ",""),"0",""),"-",""))+LEN(SUBSTITUTE(SUBSTITUTE(SUBSTITUTE(E422," ",""),"0",""),"-",""))+LEN(SUBSTITUTE(SUBSTITUTE(SUBSTITUTE(F422," ",""),"0",""),"-",""))</f>
      </c>
      <c r="F417" s="14" t="str">
        <f>IF(UPPER(D418)="X",0,IF((LEN(SUBSTITUTE(SUBSTITUTE(SUBSTITUTE(E418," ",""),"0",""),"-",""))+LEN(SUBSTITUTE(SUBSTITUTE(SUBSTITUTE(F418," ",""),"0",""),"-","")))&gt;(LEN(SUBSTITUTE(SUBSTITUTE(SUBSTITUTE(B418," ",""),"0",""),"-",""))+LEN(SUBSTITUTE(SUBSTITUTE(SUBSTITUTE(C418," ",""),"0",""),"-",""))),1,0))+IF(UPPER(D419)="X",0,IF((LEN(SUBSTITUTE(SUBSTITUTE(SUBSTITUTE(E419," ",""),"0",""),"-",""))+LEN(SUBSTITUTE(SUBSTITUTE(SUBSTITUTE(F419," ",""),"0",""),"-","")))&gt;(LEN(SUBSTITUTE(SUBSTITUTE(SUBSTITUTE(B419," ",""),"0",""),"-",""))+LEN(SUBSTITUTE(SUBSTITUTE(SUBSTITUTE(C419," ",""),"0",""),"-",""))),1,0))+IF(UPPER(D420)="X",0,IF((LEN(SUBSTITUTE(SUBSTITUTE(SUBSTITUTE(E420," ",""),"0",""),"-",""))+LEN(SUBSTITUTE(SUBSTITUTE(SUBSTITUTE(F420," ",""),"0",""),"-","")))&gt;(LEN(SUBSTITUTE(SUBSTITUTE(SUBSTITUTE(B420," ",""),"0",""),"-",""))+LEN(SUBSTITUTE(SUBSTITUTE(SUBSTITUTE(C420," ",""),"0",""),"-",""))),1,0))+IF(UPPER(D421)="X",0,IF((LEN(SUBSTITUTE(SUBSTITUTE(SUBSTITUTE(E421," ",""),"0",""),"-",""))+LEN(SUBSTITUTE(SUBSTITUTE(SUBSTITUTE(F421," ",""),"0",""),"-","")))&gt;(LEN(SUBSTITUTE(SUBSTITUTE(SUBSTITUTE(B421," ",""),"0",""),"-",""))+LEN(SUBSTITUTE(SUBSTITUTE(SUBSTITUTE(C421," ",""),"0",""),"-",""))),1,0))+IF(UPPER(D422)="X",0,IF((LEN(SUBSTITUTE(SUBSTITUTE(SUBSTITUTE(E422," ",""),"0",""),"-",""))+LEN(SUBSTITUTE(SUBSTITUTE(SUBSTITUTE(F422," ",""),"0",""),"-","")))&gt;(LEN(SUBSTITUTE(SUBSTITUTE(SUBSTITUTE(B422," ",""),"0",""),"-",""))+LEN(SUBSTITUTE(SUBSTITUTE(SUBSTITUTE(C422," ",""),"0",""),"-",""))),1,0))</f>
      </c>
      <c r="G417" s="14" t="str">
        <f>data!$E$32&amp;" "&amp;data!$B$32</f>
      </c>
      <c r="I417" s="14" t="str">
        <f>data!$E$78&amp;" "&amp;data!$B$78</f>
      </c>
      <c r="J417" s="14" t="str">
        <f>IF(UPPER(L418)="X",0,IF((LEN(SUBSTITUTE(SUBSTITUTE(SUBSTITUTE(J418," ",""),"0",""),"-",""))+LEN(SUBSTITUTE(SUBSTITUTE(SUBSTITUTE(K418," ",""),"0",""),"-","")))&gt;(LEN(SUBSTITUTE(SUBSTITUTE(SUBSTITUTE(M418," ",""),"0",""),"-",""))+LEN(SUBSTITUTE(SUBSTITUTE(SUBSTITUTE(N418," ",""),"0",""),"-",""))),1,0))+IF(UPPER(L419)="X",0,IF((LEN(SUBSTITUTE(SUBSTITUTE(SUBSTITUTE(J419," ",""),"0",""),"-",""))+LEN(SUBSTITUTE(SUBSTITUTE(SUBSTITUTE(K419," ",""),"0",""),"-","")))&gt;(LEN(SUBSTITUTE(SUBSTITUTE(SUBSTITUTE(M419," ",""),"0",""),"-",""))+LEN(SUBSTITUTE(SUBSTITUTE(SUBSTITUTE(N419," ",""),"0",""),"-",""))),1,0))+IF(UPPER(L420)="X",0,IF((LEN(SUBSTITUTE(SUBSTITUTE(SUBSTITUTE(J420," ",""),"0",""),"-",""))+LEN(SUBSTITUTE(SUBSTITUTE(SUBSTITUTE(K420," ",""),"0",""),"-","")))&gt;(LEN(SUBSTITUTE(SUBSTITUTE(SUBSTITUTE(M420," ",""),"0",""),"-",""))+LEN(SUBSTITUTE(SUBSTITUTE(SUBSTITUTE(N420," ",""),"0",""),"-",""))),1,0))+IF(UPPER(L421)="X",0,IF((LEN(SUBSTITUTE(SUBSTITUTE(SUBSTITUTE(J421," ",""),"0",""),"-",""))+LEN(SUBSTITUTE(SUBSTITUTE(SUBSTITUTE(K421," ",""),"0",""),"-","")))&gt;(LEN(SUBSTITUTE(SUBSTITUTE(SUBSTITUTE(M421," ",""),"0",""),"-",""))+LEN(SUBSTITUTE(SUBSTITUTE(SUBSTITUTE(N421," ",""),"0",""),"-",""))),1,0))+IF(UPPER(L422)="X",0,IF((LEN(SUBSTITUTE(SUBSTITUTE(SUBSTITUTE(J422," ",""),"0",""),"-",""))+LEN(SUBSTITUTE(SUBSTITUTE(SUBSTITUTE(K422," ",""),"0",""),"-","")))&gt;(LEN(SUBSTITUTE(SUBSTITUTE(SUBSTITUTE(M422," ",""),"0",""),"-",""))+LEN(SUBSTITUTE(SUBSTITUTE(SUBSTITUTE(N422," ",""),"0",""),"-",""))),1,0))</f>
      </c>
      <c r="K417" s="14" t="str">
        <f>LEN(SUBSTITUTE(SUBSTITUTE(SUBSTITUTE(J418," ",""),"0",""),"-",""))+LEN(SUBSTITUTE(SUBSTITUTE(SUBSTITUTE(K418," ",""),"0",""),"-",""))+LEN(SUBSTITUTE(SUBSTITUTE(SUBSTITUTE(J419," ",""),"0",""),"-",""))+LEN(SUBSTITUTE(SUBSTITUTE(SUBSTITUTE(K419," ",""),"0",""),"-",""))+LEN(SUBSTITUTE(SUBSTITUTE(SUBSTITUTE(J420," ",""),"0",""),"-",""))+LEN(SUBSTITUTE(SUBSTITUTE(SUBSTITUTE(K420," ",""),"0",""),"-",""))+LEN(SUBSTITUTE(SUBSTITUTE(SUBSTITUTE(J421," ",""),"0",""),"-",""))+LEN(SUBSTITUTE(SUBSTITUTE(SUBSTITUTE(K421," ",""),"0",""),"-",""))+LEN(SUBSTITUTE(SUBSTITUTE(SUBSTITUTE(J422," ",""),"0",""),"-",""))+LEN(SUBSTITUTE(SUBSTITUTE(SUBSTITUTE(K422," ",""),"0",""),"-",""))</f>
      </c>
      <c r="L417" s="18"/>
      <c r="M417" s="14" t="str">
        <f>LEN(SUBSTITUTE(SUBSTITUTE(SUBSTITUTE(M418," ",""),"0",""),"-",""))+LEN(SUBSTITUTE(SUBSTITUTE(SUBSTITUTE(N418," ",""),"0",""),"-",""))+LEN(SUBSTITUTE(SUBSTITUTE(SUBSTITUTE(M419," ",""),"0",""),"-",""))+LEN(SUBSTITUTE(SUBSTITUTE(SUBSTITUTE(N419," ",""),"0",""),"-",""))+LEN(SUBSTITUTE(SUBSTITUTE(SUBSTITUTE(M420," ",""),"0",""),"-",""))+LEN(SUBSTITUTE(SUBSTITUTE(SUBSTITUTE(N420," ",""),"0",""),"-",""))+LEN(SUBSTITUTE(SUBSTITUTE(SUBSTITUTE(M421," ",""),"0",""),"-",""))+LEN(SUBSTITUTE(SUBSTITUTE(SUBSTITUTE(N421," ",""),"0",""),"-",""))+LEN(SUBSTITUTE(SUBSTITUTE(SUBSTITUTE(M422," ",""),"0",""),"-",""))+LEN(SUBSTITUTE(SUBSTITUTE(SUBSTITUTE(N422," ",""),"0",""),"-",""))</f>
      </c>
      <c r="N417" s="14" t="str">
        <f>IF(UPPER(L418)="X",0,IF((LEN(SUBSTITUTE(SUBSTITUTE(SUBSTITUTE(M418," ",""),"0",""),"-",""))+LEN(SUBSTITUTE(SUBSTITUTE(SUBSTITUTE(N418," ",""),"0",""),"-","")))&gt;(LEN(SUBSTITUTE(SUBSTITUTE(SUBSTITUTE(J418," ",""),"0",""),"-",""))+LEN(SUBSTITUTE(SUBSTITUTE(SUBSTITUTE(K418," ",""),"0",""),"-",""))),1,0))+IF(UPPER(L419)="X",0,IF((LEN(SUBSTITUTE(SUBSTITUTE(SUBSTITUTE(M419," ",""),"0",""),"-",""))+LEN(SUBSTITUTE(SUBSTITUTE(SUBSTITUTE(N419," ",""),"0",""),"-","")))&gt;(LEN(SUBSTITUTE(SUBSTITUTE(SUBSTITUTE(J419," ",""),"0",""),"-",""))+LEN(SUBSTITUTE(SUBSTITUTE(SUBSTITUTE(K419," ",""),"0",""),"-",""))),1,0))+IF(UPPER(L420)="X",0,IF((LEN(SUBSTITUTE(SUBSTITUTE(SUBSTITUTE(M420," ",""),"0",""),"-",""))+LEN(SUBSTITUTE(SUBSTITUTE(SUBSTITUTE(N420," ",""),"0",""),"-","")))&gt;(LEN(SUBSTITUTE(SUBSTITUTE(SUBSTITUTE(J420," ",""),"0",""),"-",""))+LEN(SUBSTITUTE(SUBSTITUTE(SUBSTITUTE(K420," ",""),"0",""),"-",""))),1,0))+IF(UPPER(L421)="X",0,IF((LEN(SUBSTITUTE(SUBSTITUTE(SUBSTITUTE(M421," ",""),"0",""),"-",""))+LEN(SUBSTITUTE(SUBSTITUTE(SUBSTITUTE(N421," ",""),"0",""),"-","")))&gt;(LEN(SUBSTITUTE(SUBSTITUTE(SUBSTITUTE(J421," ",""),"0",""),"-",""))+LEN(SUBSTITUTE(SUBSTITUTE(SUBSTITUTE(K421," ",""),"0",""),"-",""))),1,0))+IF(UPPER(L422)="X",0,IF((LEN(SUBSTITUTE(SUBSTITUTE(SUBSTITUTE(M422," ",""),"0",""),"-",""))+LEN(SUBSTITUTE(SUBSTITUTE(SUBSTITUTE(N422," ",""),"0",""),"-","")))&gt;(LEN(SUBSTITUTE(SUBSTITUTE(SUBSTITUTE(J422," ",""),"0",""),"-",""))+LEN(SUBSTITUTE(SUBSTITUTE(SUBSTITUTE(K422," ",""),"0",""),"-",""))),1,0))</f>
      </c>
      <c r="O417" s="14" t="str">
        <f>data!$E$77&amp;" "&amp;data!$B$77</f>
      </c>
    </row>
    <row r="418">
      <c r="A418" s="14">
        <v>1</v>
      </c>
      <c r="B418" s="18"/>
      <c r="C418" s="18"/>
      <c r="D418" s="18"/>
      <c r="E418" s="18"/>
      <c r="F418" s="18"/>
      <c r="G418" s="14">
        <v>1</v>
      </c>
      <c r="I418" s="14">
        <v>1</v>
      </c>
      <c r="J418" s="18"/>
      <c r="K418" s="18"/>
      <c r="L418" s="18"/>
      <c r="M418" s="18"/>
      <c r="N418" s="18"/>
      <c r="O418" s="14">
        <v>1</v>
      </c>
    </row>
    <row r="419">
      <c r="A419" s="14">
        <v>2</v>
      </c>
      <c r="B419" s="18"/>
      <c r="C419" s="18"/>
      <c r="D419" s="18"/>
      <c r="E419" s="18"/>
      <c r="F419" s="18"/>
      <c r="G419" s="14">
        <v>2</v>
      </c>
      <c r="I419" s="14">
        <v>2</v>
      </c>
      <c r="J419" s="18"/>
      <c r="K419" s="18"/>
      <c r="L419" s="18"/>
      <c r="M419" s="18"/>
      <c r="N419" s="18"/>
      <c r="O419" s="14">
        <v>2</v>
      </c>
    </row>
    <row r="420">
      <c r="A420" s="14">
        <v>3</v>
      </c>
      <c r="B420" s="18"/>
      <c r="C420" s="18"/>
      <c r="D420" s="18"/>
      <c r="E420" s="18"/>
      <c r="F420" s="18"/>
      <c r="G420" s="14">
        <v>3</v>
      </c>
      <c r="I420" s="14">
        <v>3</v>
      </c>
      <c r="J420" s="18"/>
      <c r="K420" s="18"/>
      <c r="L420" s="18"/>
      <c r="M420" s="18"/>
      <c r="N420" s="18"/>
      <c r="O420" s="14">
        <v>3</v>
      </c>
    </row>
    <row r="421">
      <c r="A421" s="14">
        <v>4</v>
      </c>
      <c r="B421" s="18"/>
      <c r="C421" s="18"/>
      <c r="D421" s="18"/>
      <c r="E421" s="18"/>
      <c r="F421" s="18"/>
      <c r="G421" s="14">
        <v>4</v>
      </c>
      <c r="I421" s="14">
        <v>4</v>
      </c>
      <c r="J421" s="18"/>
      <c r="K421" s="18"/>
      <c r="L421" s="18"/>
      <c r="M421" s="18"/>
      <c r="N421" s="18"/>
      <c r="O421" s="14">
        <v>4</v>
      </c>
    </row>
    <row r="422">
      <c r="A422" s="14">
        <v>5</v>
      </c>
      <c r="B422" s="18"/>
      <c r="C422" s="18"/>
      <c r="D422" s="18"/>
      <c r="E422" s="18"/>
      <c r="F422" s="18"/>
      <c r="G422" s="14">
        <v>5</v>
      </c>
      <c r="I422" s="14">
        <v>5</v>
      </c>
      <c r="J422" s="18"/>
      <c r="K422" s="18"/>
      <c r="L422" s="18"/>
      <c r="M422" s="18"/>
      <c r="N422" s="18"/>
      <c r="O422" s="14">
        <v>5</v>
      </c>
    </row>
    <row r="425">
      <c r="A425" s="13" t="s">
        <v>333</v>
      </c>
      <c r="B425" s="13" t="s">
        <v>334</v>
      </c>
      <c r="C425" s="13" t="s">
        <v>335</v>
      </c>
      <c r="D425" s="13" t="s">
        <v>336</v>
      </c>
      <c r="E425" s="13"/>
      <c r="F425" s="13"/>
      <c r="G425" s="13" t="s">
        <v>337</v>
      </c>
      <c r="I425" s="13" t="s">
        <v>333</v>
      </c>
      <c r="J425" s="13" t="s">
        <v>334</v>
      </c>
      <c r="K425" s="13" t="s">
        <v>335</v>
      </c>
      <c r="L425" s="13" t="s">
        <v>336</v>
      </c>
      <c r="M425" s="13"/>
      <c r="N425" s="13"/>
      <c r="O425" s="13" t="s">
        <v>337</v>
      </c>
    </row>
    <row r="426">
      <c r="A426" s="14" t="str">
        <f>data!$E$31&amp;" "&amp;data!$B$31</f>
      </c>
      <c r="B426" s="14" t="str">
        <f>IF(OR(COUNTA(B402:C406,E402:F406)&gt;0,D402="X",D402="x",D403="X",D403="x",D404="X",D404="x",D405="X",D405="x",D406="X",D406="x",OR(D401="X",D401="x")),IF(OR(OR(D401="X",D401="x"),AND(B401=F401,C401=E401)),0,IF(OR(F401&gt;B401,AND(F401=B401,E401&gt;C401)),1,0)),0)+IF(OR(COUNTA(B410:C414,E410:F414)&gt;0,D410="X",D410="x",D411="X",D411="x",D412="X",D412="x",D413="X",D413="x",D414="X",D414="x",OR(D409="X",D409="x")),IF(OR(OR(D409="X",D409="x"),AND(B409=F409,C409=E409)),0,IF(OR(F409&gt;B409,AND(F409=B409,E409&gt;C409)),1,0)),0)</f>
      </c>
      <c r="C426" s="14" t="str">
        <f>IF(OR(COUNTA(B402:C406,E402:F406)&gt;0,D402="X",D402="x",D403="X",D403="x",D404="X",D404="x",D405="X",D405="x",D406="X",D406="x",OR(D401="X",D401="x")),IF(OR(OR(D401="X",D401="x"),AND(B401=F401,C401=E401)),0,IF(OR(F401&lt;B401,AND(F401=B401,E401&lt;C401)),1,0)),0)+IF(OR(COUNTA(B410:C414,E410:F414)&gt;0,D410="X",D410="x",D411="X",D411="x",D412="X",D412="x",D413="X",D413="x",D414="X",D414="x",OR(D409="X",D409="x")),IF(OR(OR(D409="X",D409="x"),AND(B409=F409,C409=E409)),0,IF(OR(F409&lt;B409,AND(F409=B409,E409&lt;C409)),1,0)),0)</f>
      </c>
      <c r="D426" s="14" t="str">
        <f>IF(OR(COUNTA(B402:C406,E402:F406)&gt;0,D402="X",D402="x",D403="X",D403="x",D404="X",D404="x",D405="X",D405="x",D406="X",D406="x",OR(D401="X",D401="x")),IF(OR(OR(D401="X",D401="x"),AND(B401=F401,C401=E401)),1,0),0)+IF(OR(COUNTA(B410:C414,E410:F414)&gt;0,D410="X",D410="x",D411="X",D411="x",D412="X",D412="x",D413="X",D413="x",D414="X",D414="x",OR(D409="X",D409="x")),IF(OR(OR(D409="X",D409="x"),AND(B409=F409,C409=E409)),1,0),0)</f>
      </c>
      <c r="G426" s="18" t="str">
        <f>RANK(U426,$U$426:$U$428)+COUNTIF($U$425:U425,U426)</f>
      </c>
      <c r="I426" s="14" t="str">
        <f>data!$E$76&amp;" "&amp;data!$B$76</f>
      </c>
      <c r="J426" s="14" t="str">
        <f>IF(OR(COUNTA(J402:K406,M402:N406)&gt;0,L402="X",L402="x",L403="X",L403="x",L404="X",L404="x",L405="X",L405="x",L406="X",L406="x",OR(L401="X",L401="x")),IF(OR(OR(L401="X",L401="x"),AND(J401=N401,K401=M401)),0,IF(OR(N401&gt;J401,AND(N401=J401,M401&gt;K401)),1,0)),0)+IF(OR(COUNTA(J410:K414,M410:N414)&gt;0,L410="X",L410="x",L411="X",L411="x",L412="X",L412="x",L413="X",L413="x",L414="X",L414="x",OR(L409="X",L409="x")),IF(OR(OR(L409="X",L409="x"),AND(J409=N409,K409=M409)),0,IF(OR(N409&gt;J409,AND(N409=J409,M409&gt;K409)),1,0)),0)</f>
      </c>
      <c r="K426" s="14" t="str">
        <f>IF(OR(COUNTA(J402:K406,M402:N406)&gt;0,L402="X",L402="x",L403="X",L403="x",L404="X",L404="x",L405="X",L405="x",L406="X",L406="x",OR(L401="X",L401="x")),IF(OR(OR(L401="X",L401="x"),AND(J401=N401,K401=M401)),0,IF(OR(N401&lt;J401,AND(N401=J401,M401&lt;K401)),1,0)),0)+IF(OR(COUNTA(J410:K414,M410:N414)&gt;0,L410="X",L410="x",L411="X",L411="x",L412="X",L412="x",L413="X",L413="x",L414="X",L414="x",OR(L409="X",L409="x")),IF(OR(OR(L409="X",L409="x"),AND(J409=N409,K409=M409)),0,IF(OR(N409&lt;J409,AND(N409=J409,M409&lt;K409)),1,0)),0)</f>
      </c>
      <c r="L426" s="14" t="str">
        <f>IF(OR(COUNTA(J402:K406,M402:N406)&gt;0,L402="X",L402="x",L403="X",L403="x",L404="X",L404="x",L405="X",L405="x",L406="X",L406="x",OR(L401="X",L401="x")),IF(OR(OR(L401="X",L401="x"),AND(J401=N401,K401=M401)),1,0),0)+IF(OR(COUNTA(J410:K414,M410:N414)&gt;0,L410="X",L410="x",L411="X",L411="x",L412="X",L412="x",L413="X",L413="x",L414="X",L414="x",OR(L409="X",L409="x")),IF(OR(OR(L409="X",L409="x"),AND(J409=N409,K409=M409)),1,0),0)</f>
      </c>
      <c r="O426" s="18" t="str">
        <f>RANK(AC426,$AC$426:$AC$428)+COUNTIF($AC$425:AC425,AC426)</f>
      </c>
      <c r="U426" t="str">
        <f>(B426*1000000000)-(C426*10000000)+(D426*100000)+(B431*1000)-(C431*100)+(D431*10)+(E431*1)-(F431*0.01)</f>
      </c>
      <c r="AC426" t="str">
        <f>(J426*1000000000)-(K426*10000000)+(L426*100000)+(J431*1000)-(K431*100)+(L431*10)+(M431*1)-(N431*0.01)</f>
      </c>
    </row>
    <row r="427">
      <c r="A427" s="14" t="str">
        <f>data!$E$32&amp;" "&amp;data!$B$32</f>
      </c>
      <c r="B427" s="14" t="str">
        <f>IF(OR(COUNTA(B402:C406,E402:F406)&gt;0,D402="X",D402="x",D403="X",D403="x",D404="X",D404="x",D405="X",D405="x",D406="X",D406="x",OR(D401="X",D401="x")),IF(OR(OR(D401="X",D401="x"),AND(B401=F401,C401=E401)),0,IF(OR(B401&gt;F401,AND(B401=F401,C401&gt;E401)),1,0)),0)+IF(OR(COUNTA(B418:C422,E418:F422)&gt;0,D418="X",D418="x",D419="X",D419="x",D420="X",D420="x",D421="X",D421="x",D422="X",D422="x",OR(D417="X",D417="x")),IF(OR(OR(D417="X",D417="x"),AND(B417=F417,C417=E417)),0,IF(OR(F417&gt;B417,AND(F417=B417,E417&gt;C417)),1,0)),0)</f>
      </c>
      <c r="C427" s="14" t="str">
        <f>IF(OR(COUNTA(B402:C406,E402:F406)&gt;0,D402="X",D402="x",D403="X",D403="x",D404="X",D404="x",D405="X",D405="x",D406="X",D406="x",OR(D401="X",D401="x")),IF(OR(OR(D401="X",D401="x"),AND(B401=F401,C401=E401)),0,IF(OR(B401&lt;F401,AND(B401=F401,C401&lt;E401)),1,0)),0)+IF(OR(COUNTA(B418:C422,E418:F422)&gt;0,D418="X",D418="x",D419="X",D419="x",D420="X",D420="x",D421="X",D421="x",D422="X",D422="x",OR(D417="X",D417="x")),IF(OR(OR(D417="X",D417="x"),AND(B417=F417,C417=E417)),0,IF(OR(F417&lt;B417,AND(F417=B417,E417&lt;C417)),1,0)),0)</f>
      </c>
      <c r="D427" s="14" t="str">
        <f>IF(OR(COUNTA(B402:C406,E402:F406)&gt;0,D402="X",D402="x",D403="X",D403="x",D404="X",D404="x",D405="X",D405="x",D406="X",D406="x",OR(D401="X",D401="x")),IF(OR(OR(D401="X",D401="x"),AND(B401=F401,C401=E401)),1,0),0)+IF(OR(COUNTA(B418:C422,E418:F422)&gt;0,D418="X",D418="x",D419="X",D419="x",D420="X",D420="x",D421="X",D421="x",D422="X",D422="x",OR(D417="X",D417="x")),IF(OR(OR(D417="X",D417="x"),AND(B417=F417,C417=E417)),1,0),0)</f>
      </c>
      <c r="G427" s="18" t="str">
        <f>RANK(U427,$U$426:$U$428)+COUNTIF($U$425:U426,U427)</f>
      </c>
      <c r="I427" s="14" t="str">
        <f>data!$E$77&amp;" "&amp;data!$B$77</f>
      </c>
      <c r="J427" s="14" t="str">
        <f>IF(OR(COUNTA(J402:K406,M402:N406)&gt;0,L402="X",L402="x",L403="X",L403="x",L404="X",L404="x",L405="X",L405="x",L406="X",L406="x",OR(L401="X",L401="x")),IF(OR(OR(L401="X",L401="x"),AND(J401=N401,K401=M401)),0,IF(OR(J401&gt;N401,AND(J401=N401,K401&gt;M401)),1,0)),0)+IF(OR(COUNTA(J418:K422,M418:N422)&gt;0,L418="X",L418="x",L419="X",L419="x",L420="X",L420="x",L421="X",L421="x",L422="X",L422="x",OR(L417="X",L417="x")),IF(OR(OR(L417="X",L417="x"),AND(J417=N417,K417=M417)),0,IF(OR(N417&gt;J417,AND(N417=J417,M417&gt;K417)),1,0)),0)</f>
      </c>
      <c r="K427" s="14" t="str">
        <f>IF(OR(COUNTA(J402:K406,M402:N406)&gt;0,L402="X",L402="x",L403="X",L403="x",L404="X",L404="x",L405="X",L405="x",L406="X",L406="x",OR(L401="X",L401="x")),IF(OR(OR(L401="X",L401="x"),AND(J401=N401,K401=M401)),0,IF(OR(J401&lt;N401,AND(J401=N401,K401&lt;M401)),1,0)),0)+IF(OR(COUNTA(J418:K422,M418:N422)&gt;0,L418="X",L418="x",L419="X",L419="x",L420="X",L420="x",L421="X",L421="x",L422="X",L422="x",OR(L417="X",L417="x")),IF(OR(OR(L417="X",L417="x"),AND(J417=N417,K417=M417)),0,IF(OR(N417&lt;J417,AND(N417=J417,M417&lt;K417)),1,0)),0)</f>
      </c>
      <c r="L427" s="14" t="str">
        <f>IF(OR(COUNTA(J402:K406,M402:N406)&gt;0,L402="X",L402="x",L403="X",L403="x",L404="X",L404="x",L405="X",L405="x",L406="X",L406="x",OR(L401="X",L401="x")),IF(OR(OR(L401="X",L401="x"),AND(J401=N401,K401=M401)),1,0),0)+IF(OR(COUNTA(J418:K422,M418:N422)&gt;0,L418="X",L418="x",L419="X",L419="x",L420="X",L420="x",L421="X",L421="x",L422="X",L422="x",OR(L417="X",L417="x")),IF(OR(OR(L417="X",L417="x"),AND(J417=N417,K417=M417)),1,0),0)</f>
      </c>
      <c r="O427" s="18" t="str">
        <f>RANK(AC427,$AC$426:$AC$428)+COUNTIF($AC$425:AC426,AC427)</f>
      </c>
      <c r="U427" t="str">
        <f>(B427*1000000000)-(C427*10000000)+(D427*100000)+(B432*1000)-(C432*100)+(D432*10)+(E432*1)-(F432*0.01)</f>
      </c>
      <c r="AC427" t="str">
        <f>(J427*1000000000)-(K427*10000000)+(L427*100000)+(J432*1000)-(K432*100)+(L432*10)+(M432*1)-(N432*0.01)</f>
      </c>
    </row>
    <row r="428">
      <c r="A428" s="14" t="str">
        <f>data!$E$33&amp;" "&amp;data!$B$33</f>
      </c>
      <c r="B428" s="14" t="str">
        <f>IF(OR(COUNTA(B410:C414,E410:F414)&gt;0,D410="X",D410="x",D411="X",D411="x",D412="X",D412="x",D413="X",D413="x",D414="X",D414="x",OR(D409="X",D409="x")),IF(OR(OR(D409="X",D409="x"),AND(B409=F409,C409=E409)),0,IF(OR(B409&gt;F409,AND(B409=F409,C409&gt;E409)),1,0)),0)+IF(OR(COUNTA(B418:C422,E418:F422)&gt;0,D418="X",D418="x",D419="X",D419="x",D420="X",D420="x",D421="X",D421="x",D422="X",D422="x",OR(D417="X",D417="x")),IF(OR(OR(D417="X",D417="x"),AND(B417=F417,C417=E417)),0,IF(OR(B417&gt;F417,AND(B417=F417,C417&gt;E417)),1,0)),0)</f>
      </c>
      <c r="C428" s="14" t="str">
        <f>IF(OR(COUNTA(B410:C414,E410:F414)&gt;0,D410="X",D410="x",D411="X",D411="x",D412="X",D412="x",D413="X",D413="x",D414="X",D414="x",OR(D409="X",D409="x")),IF(OR(OR(D409="X",D409="x"),AND(B409=F409,C409=E409)),0,IF(OR(B409&lt;F409,AND(B409=F409,C409&lt;E409)),1,0)),0)+IF(OR(COUNTA(B418:C422,E418:F422)&gt;0,D418="X",D418="x",D419="X",D419="x",D420="X",D420="x",D421="X",D421="x",D422="X",D422="x",OR(D417="X",D417="x")),IF(OR(OR(D417="X",D417="x"),AND(B417=F417,C417=E417)),0,IF(OR(B417&lt;F417,AND(B417=F417,C417&lt;E417)),1,0)),0)</f>
      </c>
      <c r="D428" s="14" t="str">
        <f>IF(OR(COUNTA(B410:C414,E410:F414)&gt;0,D410="X",D410="x",D411="X",D411="x",D412="X",D412="x",D413="X",D413="x",D414="X",D414="x",OR(D409="X",D409="x")),IF(OR(OR(D409="X",D409="x"),AND(B409=F409,C409=E409)),1,0),0)+IF(OR(COUNTA(B418:C422,E418:F422)&gt;0,D418="X",D418="x",D419="X",D419="x",D420="X",D420="x",D421="X",D421="x",D422="X",D422="x",OR(D417="X",D417="x")),IF(OR(OR(D417="X",D417="x"),AND(B417=F417,C417=E417)),1,0),0)</f>
      </c>
      <c r="G428" s="18" t="str">
        <f>RANK(U428,$U$426:$U$428)+COUNTIF($U$425:U427,U428)</f>
      </c>
      <c r="I428" s="14" t="str">
        <f>data!$E$78&amp;" "&amp;data!$B$78</f>
      </c>
      <c r="J428" s="14" t="str">
        <f>IF(OR(COUNTA(J410:K414,M410:N414)&gt;0,L410="X",L410="x",L411="X",L411="x",L412="X",L412="x",L413="X",L413="x",L414="X",L414="x",OR(L409="X",L409="x")),IF(OR(OR(L409="X",L409="x"),AND(J409=N409,K409=M409)),0,IF(OR(J409&gt;N409,AND(J409=N409,K409&gt;M409)),1,0)),0)+IF(OR(COUNTA(J418:K422,M418:N422)&gt;0,L418="X",L418="x",L419="X",L419="x",L420="X",L420="x",L421="X",L421="x",L422="X",L422="x",OR(L417="X",L417="x")),IF(OR(OR(L417="X",L417="x"),AND(J417=N417,K417=M417)),0,IF(OR(J417&gt;N417,AND(J417=N417,K417&gt;M417)),1,0)),0)</f>
      </c>
      <c r="K428" s="14" t="str">
        <f>IF(OR(COUNTA(J410:K414,M410:N414)&gt;0,L410="X",L410="x",L411="X",L411="x",L412="X",L412="x",L413="X",L413="x",L414="X",L414="x",OR(L409="X",L409="x")),IF(OR(OR(L409="X",L409="x"),AND(J409=N409,K409=M409)),0,IF(OR(J409&lt;N409,AND(J409=N409,K409&lt;M409)),1,0)),0)+IF(OR(COUNTA(J418:K422,M418:N422)&gt;0,L418="X",L418="x",L419="X",L419="x",L420="X",L420="x",L421="X",L421="x",L422="X",L422="x",OR(L417="X",L417="x")),IF(OR(OR(L417="X",L417="x"),AND(J417=N417,K417=M417)),0,IF(OR(J417&lt;N417,AND(J417=N417,K417&lt;M417)),1,0)),0)</f>
      </c>
      <c r="L428" s="14" t="str">
        <f>IF(OR(COUNTA(J410:K414,M410:N414)&gt;0,L410="X",L410="x",L411="X",L411="x",L412="X",L412="x",L413="X",L413="x",L414="X",L414="x",OR(L409="X",L409="x")),IF(OR(OR(L409="X",L409="x"),AND(J409=N409,K409=M409)),1,0),0)+IF(OR(COUNTA(J418:K422,M418:N422)&gt;0,L418="X",L418="x",L419="X",L419="x",L420="X",L420="x",L421="X",L421="x",L422="X",L422="x",OR(L417="X",L417="x")),IF(OR(OR(L417="X",L417="x"),AND(J417=N417,K417=M417)),1,0),0)</f>
      </c>
      <c r="O428" s="18" t="str">
        <f>RANK(AC428,$AC$426:$AC$428)+COUNTIF($AC$425:AC427,AC428)</f>
      </c>
      <c r="U428" t="str">
        <f>(B428*1000000000)-(C428*10000000)+(D428*100000)+(B433*1000)-(C433*100)+(D433*10)+(E433*1)-(F433*0.01)</f>
      </c>
      <c r="AC428" t="str">
        <f>(J428*1000000000)-(K428*10000000)+(L428*100000)+(J433*1000)-(K433*100)+(L433*10)+(M433*1)-(N433*0.01)</f>
      </c>
    </row>
    <row r="430">
      <c r="A430" s="13"/>
      <c r="B430" s="13" t="s">
        <v>338</v>
      </c>
      <c r="C430" s="13" t="s">
        <v>339</v>
      </c>
      <c r="D430" s="13" t="s">
        <v>340</v>
      </c>
      <c r="E430" s="13" t="s">
        <v>341</v>
      </c>
      <c r="F430" s="13" t="s">
        <v>342</v>
      </c>
      <c r="I430" s="13"/>
      <c r="J430" s="13" t="s">
        <v>338</v>
      </c>
      <c r="K430" s="13" t="s">
        <v>339</v>
      </c>
      <c r="L430" s="13" t="s">
        <v>340</v>
      </c>
      <c r="M430" s="13" t="s">
        <v>341</v>
      </c>
      <c r="N430" s="13" t="s">
        <v>342</v>
      </c>
    </row>
    <row r="431">
      <c r="A431" s="14" t="str">
        <f>data!$E$31&amp;" "&amp;data!$B$31</f>
      </c>
      <c r="B431" s="14" t="str">
        <f>IF(OR(COUNTA(B402:C406,E402:F406)&gt;0,OR(D401="X",D401="x"),UPPER(D402)="X",UPPER(D403)="X",UPPER(D404)="X",UPPER(D405)="X",UPPER(D406)="X"),F401,0)+IF(OR(COUNTA(B410:C414,E410:F414)&gt;0,OR(D409="X",D409="x"),UPPER(D410)="X",UPPER(D411)="X",UPPER(D412)="X",UPPER(D413)="X",UPPER(D414)="X"),F409,0)</f>
      </c>
      <c r="C431" s="14" t="str">
        <f>IF(OR(COUNTA(B402:C406,E402:F406)&gt;0,OR(D401="X",D401="x"),UPPER(D402)="X",UPPER(D403)="X",UPPER(D404)="X",UPPER(D405)="X",UPPER(D406)="X"),B401,0)+IF(OR(COUNTA(B410:C414,E410:F414)&gt;0,OR(D409="X",D409="x"),UPPER(D410)="X",UPPER(D411)="X",UPPER(D412)="X",UPPER(D413)="X",UPPER(D414)="X"),B409,0)</f>
      </c>
      <c r="D431" s="14" t="str">
        <f>IF(OR(COUNTA(B402:C406,E402:F406)&gt;0,OR(D401="X",D401="x"),UPPER(D402)="X",UPPER(D403)="X",UPPER(D404)="X",UPPER(D405)="X",UPPER(D406)="X"),(IF(OR(D402="X",D402="x",AND(COUNTA(B402,C402,E402,F402)&gt;0,(LEN(SUBSTITUTE(SUBSTITUTE(SUBSTITUTE(B402," ",""),"0",""),"-",""))+LEN(SUBSTITUTE(SUBSTITUTE(SUBSTITUTE(C402," ",""),"0",""),"-","")))=(LEN(SUBSTITUTE(SUBSTITUTE(SUBSTITUTE(E402," ",""),"0",""),"-",""))+LEN(SUBSTITUTE(SUBSTITUTE(SUBSTITUTE(F402," ",""),"0",""),"-",""))))),1,0)+IF(OR(D403="X",D403="x",AND(COUNTA(B403,C403,E403,F403)&gt;0,(LEN(SUBSTITUTE(SUBSTITUTE(SUBSTITUTE(B403," ",""),"0",""),"-",""))+LEN(SUBSTITUTE(SUBSTITUTE(SUBSTITUTE(C403," ",""),"0",""),"-","")))=(LEN(SUBSTITUTE(SUBSTITUTE(SUBSTITUTE(E403," ",""),"0",""),"-",""))+LEN(SUBSTITUTE(SUBSTITUTE(SUBSTITUTE(F403," ",""),"0",""),"-",""))))),1,0)+IF(OR(D404="X",D404="x",AND(COUNTA(B404,C404,E404,F404)&gt;0,(LEN(SUBSTITUTE(SUBSTITUTE(SUBSTITUTE(B404," ",""),"0",""),"-",""))+LEN(SUBSTITUTE(SUBSTITUTE(SUBSTITUTE(C404," ",""),"0",""),"-","")))=(LEN(SUBSTITUTE(SUBSTITUTE(SUBSTITUTE(E404," ",""),"0",""),"-",""))+LEN(SUBSTITUTE(SUBSTITUTE(SUBSTITUTE(F404," ",""),"0",""),"-",""))))),1,0)+IF(OR(D405="X",D405="x",AND(COUNTA(B405,C405,E405,F405)&gt;0,(LEN(SUBSTITUTE(SUBSTITUTE(SUBSTITUTE(B405," ",""),"0",""),"-",""))+LEN(SUBSTITUTE(SUBSTITUTE(SUBSTITUTE(C405," ",""),"0",""),"-","")))=(LEN(SUBSTITUTE(SUBSTITUTE(SUBSTITUTE(E405," ",""),"0",""),"-",""))+LEN(SUBSTITUTE(SUBSTITUTE(SUBSTITUTE(F405," ",""),"0",""),"-",""))))),1,0)+IF(OR(D406="X",D406="x",AND(COUNTA(B406,C406,E406,F406)&gt;0,(LEN(SUBSTITUTE(SUBSTITUTE(SUBSTITUTE(B406," ",""),"0",""),"-",""))+LEN(SUBSTITUTE(SUBSTITUTE(SUBSTITUTE(C406," ",""),"0",""),"-","")))=(LEN(SUBSTITUTE(SUBSTITUTE(SUBSTITUTE(E406," ",""),"0",""),"-",""))+LEN(SUBSTITUTE(SUBSTITUTE(SUBSTITUTE(F406," ",""),"0",""),"-",""))))),1,0)),0)+IF(OR(COUNTA(B410:C414,E410:F414)&gt;0,OR(D409="X",D409="x"),UPPER(D410)="X",UPPER(D411)="X",UPPER(D412)="X",UPPER(D413)="X",UPPER(D414)="X"),(IF(OR(D410="X",D410="x",AND(COUNTA(B410,C410,E410,F410)&gt;0,(LEN(SUBSTITUTE(SUBSTITUTE(SUBSTITUTE(B410," ",""),"0",""),"-",""))+LEN(SUBSTITUTE(SUBSTITUTE(SUBSTITUTE(C410," ",""),"0",""),"-","")))=(LEN(SUBSTITUTE(SUBSTITUTE(SUBSTITUTE(E410," ",""),"0",""),"-",""))+LEN(SUBSTITUTE(SUBSTITUTE(SUBSTITUTE(F410," ",""),"0",""),"-",""))))),1,0)+IF(OR(D411="X",D411="x",AND(COUNTA(B411,C411,E411,F411)&gt;0,(LEN(SUBSTITUTE(SUBSTITUTE(SUBSTITUTE(B411," ",""),"0",""),"-",""))+LEN(SUBSTITUTE(SUBSTITUTE(SUBSTITUTE(C411," ",""),"0",""),"-","")))=(LEN(SUBSTITUTE(SUBSTITUTE(SUBSTITUTE(E411," ",""),"0",""),"-",""))+LEN(SUBSTITUTE(SUBSTITUTE(SUBSTITUTE(F411," ",""),"0",""),"-",""))))),1,0)+IF(OR(D412="X",D412="x",AND(COUNTA(B412,C412,E412,F412)&gt;0,(LEN(SUBSTITUTE(SUBSTITUTE(SUBSTITUTE(B412," ",""),"0",""),"-",""))+LEN(SUBSTITUTE(SUBSTITUTE(SUBSTITUTE(C412," ",""),"0",""),"-","")))=(LEN(SUBSTITUTE(SUBSTITUTE(SUBSTITUTE(E412," ",""),"0",""),"-",""))+LEN(SUBSTITUTE(SUBSTITUTE(SUBSTITUTE(F412," ",""),"0",""),"-",""))))),1,0)+IF(OR(D413="X",D413="x",AND(COUNTA(B413,C413,E413,F413)&gt;0,(LEN(SUBSTITUTE(SUBSTITUTE(SUBSTITUTE(B413," ",""),"0",""),"-",""))+LEN(SUBSTITUTE(SUBSTITUTE(SUBSTITUTE(C413," ",""),"0",""),"-","")))=(LEN(SUBSTITUTE(SUBSTITUTE(SUBSTITUTE(E413," ",""),"0",""),"-",""))+LEN(SUBSTITUTE(SUBSTITUTE(SUBSTITUTE(F413," ",""),"0",""),"-",""))))),1,0)+IF(OR(D414="X",D414="x",AND(COUNTA(B414,C414,E414,F414)&gt;0,(LEN(SUBSTITUTE(SUBSTITUTE(SUBSTITUTE(B414," ",""),"0",""),"-",""))+LEN(SUBSTITUTE(SUBSTITUTE(SUBSTITUTE(C414," ",""),"0",""),"-","")))=(LEN(SUBSTITUTE(SUBSTITUTE(SUBSTITUTE(E414," ",""),"0",""),"-",""))+LEN(SUBSTITUTE(SUBSTITUTE(SUBSTITUTE(F414," ",""),"0",""),"-",""))))),1,0)),0)</f>
      </c>
      <c r="E431" s="14" t="str">
        <f>E401+E409</f>
      </c>
      <c r="F431" s="14" t="str">
        <f>C401+C409</f>
      </c>
      <c r="I431" s="14" t="str">
        <f>data!$E$76&amp;" "&amp;data!$B$76</f>
      </c>
      <c r="J431" s="14" t="str">
        <f>IF(OR(COUNTA(J402:K406,M402:N406)&gt;0,OR(L401="X",L401="x"),UPPER(L402)="X",UPPER(L403)="X",UPPER(L404)="X",UPPER(L405)="X",UPPER(L406)="X"),N401,0)+IF(OR(COUNTA(J410:K414,M410:N414)&gt;0,OR(L409="X",L409="x"),UPPER(L410)="X",UPPER(L411)="X",UPPER(L412)="X",UPPER(L413)="X",UPPER(L414)="X"),N409,0)</f>
      </c>
      <c r="K431" s="14" t="str">
        <f>IF(OR(COUNTA(J402:K406,M402:N406)&gt;0,OR(L401="X",L401="x"),UPPER(L402)="X",UPPER(L403)="X",UPPER(L404)="X",UPPER(L405)="X",UPPER(L406)="X"),J401,0)+IF(OR(COUNTA(J410:K414,M410:N414)&gt;0,OR(L409="X",L409="x"),UPPER(L410)="X",UPPER(L411)="X",UPPER(L412)="X",UPPER(L413)="X",UPPER(L414)="X"),J409,0)</f>
      </c>
      <c r="L431" s="14" t="str">
        <f>IF(OR(COUNTA(J402:K406,M402:N406)&gt;0,OR(L401="X",L401="x"),UPPER(L402)="X",UPPER(L403)="X",UPPER(L404)="X",UPPER(L405)="X",UPPER(L406)="X"),(IF(OR(L402="X",L402="x",AND(COUNTA(J402,K402,M402,N402)&gt;0,(LEN(SUBSTITUTE(SUBSTITUTE(SUBSTITUTE(J402," ",""),"0",""),"-",""))+LEN(SUBSTITUTE(SUBSTITUTE(SUBSTITUTE(K402," ",""),"0",""),"-","")))=(LEN(SUBSTITUTE(SUBSTITUTE(SUBSTITUTE(M402," ",""),"0",""),"-",""))+LEN(SUBSTITUTE(SUBSTITUTE(SUBSTITUTE(N402," ",""),"0",""),"-",""))))),1,0)+IF(OR(L403="X",L403="x",AND(COUNTA(J403,K403,M403,N403)&gt;0,(LEN(SUBSTITUTE(SUBSTITUTE(SUBSTITUTE(J403," ",""),"0",""),"-",""))+LEN(SUBSTITUTE(SUBSTITUTE(SUBSTITUTE(K403," ",""),"0",""),"-","")))=(LEN(SUBSTITUTE(SUBSTITUTE(SUBSTITUTE(M403," ",""),"0",""),"-",""))+LEN(SUBSTITUTE(SUBSTITUTE(SUBSTITUTE(N403," ",""),"0",""),"-",""))))),1,0)+IF(OR(L404="X",L404="x",AND(COUNTA(J404,K404,M404,N404)&gt;0,(LEN(SUBSTITUTE(SUBSTITUTE(SUBSTITUTE(J404," ",""),"0",""),"-",""))+LEN(SUBSTITUTE(SUBSTITUTE(SUBSTITUTE(K404," ",""),"0",""),"-","")))=(LEN(SUBSTITUTE(SUBSTITUTE(SUBSTITUTE(M404," ",""),"0",""),"-",""))+LEN(SUBSTITUTE(SUBSTITUTE(SUBSTITUTE(N404," ",""),"0",""),"-",""))))),1,0)+IF(OR(L405="X",L405="x",AND(COUNTA(J405,K405,M405,N405)&gt;0,(LEN(SUBSTITUTE(SUBSTITUTE(SUBSTITUTE(J405," ",""),"0",""),"-",""))+LEN(SUBSTITUTE(SUBSTITUTE(SUBSTITUTE(K405," ",""),"0",""),"-","")))=(LEN(SUBSTITUTE(SUBSTITUTE(SUBSTITUTE(M405," ",""),"0",""),"-",""))+LEN(SUBSTITUTE(SUBSTITUTE(SUBSTITUTE(N405," ",""),"0",""),"-",""))))),1,0)+IF(OR(L406="X",L406="x",AND(COUNTA(J406,K406,M406,N406)&gt;0,(LEN(SUBSTITUTE(SUBSTITUTE(SUBSTITUTE(J406," ",""),"0",""),"-",""))+LEN(SUBSTITUTE(SUBSTITUTE(SUBSTITUTE(K406," ",""),"0",""),"-","")))=(LEN(SUBSTITUTE(SUBSTITUTE(SUBSTITUTE(M406," ",""),"0",""),"-",""))+LEN(SUBSTITUTE(SUBSTITUTE(SUBSTITUTE(N406," ",""),"0",""),"-",""))))),1,0)),0)+IF(OR(COUNTA(J410:K414,M410:N414)&gt;0,OR(L409="X",L409="x"),UPPER(L410)="X",UPPER(L411)="X",UPPER(L412)="X",UPPER(L413)="X",UPPER(L414)="X"),(IF(OR(L410="X",L410="x",AND(COUNTA(J410,K410,M410,N410)&gt;0,(LEN(SUBSTITUTE(SUBSTITUTE(SUBSTITUTE(J410," ",""),"0",""),"-",""))+LEN(SUBSTITUTE(SUBSTITUTE(SUBSTITUTE(K410," ",""),"0",""),"-","")))=(LEN(SUBSTITUTE(SUBSTITUTE(SUBSTITUTE(M410," ",""),"0",""),"-",""))+LEN(SUBSTITUTE(SUBSTITUTE(SUBSTITUTE(N410," ",""),"0",""),"-",""))))),1,0)+IF(OR(L411="X",L411="x",AND(COUNTA(J411,K411,M411,N411)&gt;0,(LEN(SUBSTITUTE(SUBSTITUTE(SUBSTITUTE(J411," ",""),"0",""),"-",""))+LEN(SUBSTITUTE(SUBSTITUTE(SUBSTITUTE(K411," ",""),"0",""),"-","")))=(LEN(SUBSTITUTE(SUBSTITUTE(SUBSTITUTE(M411," ",""),"0",""),"-",""))+LEN(SUBSTITUTE(SUBSTITUTE(SUBSTITUTE(N411," ",""),"0",""),"-",""))))),1,0)+IF(OR(L412="X",L412="x",AND(COUNTA(J412,K412,M412,N412)&gt;0,(LEN(SUBSTITUTE(SUBSTITUTE(SUBSTITUTE(J412," ",""),"0",""),"-",""))+LEN(SUBSTITUTE(SUBSTITUTE(SUBSTITUTE(K412," ",""),"0",""),"-","")))=(LEN(SUBSTITUTE(SUBSTITUTE(SUBSTITUTE(M412," ",""),"0",""),"-",""))+LEN(SUBSTITUTE(SUBSTITUTE(SUBSTITUTE(N412," ",""),"0",""),"-",""))))),1,0)+IF(OR(L413="X",L413="x",AND(COUNTA(J413,K413,M413,N413)&gt;0,(LEN(SUBSTITUTE(SUBSTITUTE(SUBSTITUTE(J413," ",""),"0",""),"-",""))+LEN(SUBSTITUTE(SUBSTITUTE(SUBSTITUTE(K413," ",""),"0",""),"-","")))=(LEN(SUBSTITUTE(SUBSTITUTE(SUBSTITUTE(M413," ",""),"0",""),"-",""))+LEN(SUBSTITUTE(SUBSTITUTE(SUBSTITUTE(N413," ",""),"0",""),"-",""))))),1,0)+IF(OR(L414="X",L414="x",AND(COUNTA(J414,K414,M414,N414)&gt;0,(LEN(SUBSTITUTE(SUBSTITUTE(SUBSTITUTE(J414," ",""),"0",""),"-",""))+LEN(SUBSTITUTE(SUBSTITUTE(SUBSTITUTE(K414," ",""),"0",""),"-","")))=(LEN(SUBSTITUTE(SUBSTITUTE(SUBSTITUTE(M414," ",""),"0",""),"-",""))+LEN(SUBSTITUTE(SUBSTITUTE(SUBSTITUTE(N414," ",""),"0",""),"-",""))))),1,0)),0)</f>
      </c>
      <c r="M431" s="14" t="str">
        <f>M401+M409</f>
      </c>
      <c r="N431" s="14" t="str">
        <f>K401+K409</f>
      </c>
    </row>
    <row r="432">
      <c r="A432" s="14" t="str">
        <f>data!$E$32&amp;" "&amp;data!$B$32</f>
      </c>
      <c r="B432" s="14" t="str">
        <f>IF(OR(COUNTA(B402:C406,E402:F406)&gt;0,OR(D401="X",D401="x"),UPPER(D402)="X",UPPER(D403)="X",UPPER(D404)="X",UPPER(D405)="X",UPPER(D406)="X"),B401,0)+IF(OR(COUNTA(B418:C422,E418:F422)&gt;0,OR(D417="X",D417="x"),UPPER(D418)="X",UPPER(D419)="X",UPPER(D420)="X",UPPER(D421)="X",UPPER(D422)="X"),F417,0)</f>
      </c>
      <c r="C432" s="14" t="str">
        <f>IF(OR(COUNTA(B402:C406,E402:F406)&gt;0,OR(D401="X",D401="x"),UPPER(D402)="X",UPPER(D403)="X",UPPER(D404)="X",UPPER(D405)="X",UPPER(D406)="X"),F401,0)+IF(OR(COUNTA(B418:C422,E418:F422)&gt;0,OR(D417="X",D417="x"),UPPER(D418)="X",UPPER(D419)="X",UPPER(D420)="X",UPPER(D421)="X",UPPER(D422)="X"),B417,0)</f>
      </c>
      <c r="D432" s="14" t="str">
        <f>IF(OR(COUNTA(B402:C406,E402:F406)&gt;0,OR(D401="X",D401="x"),UPPER(D402)="X",UPPER(D403)="X",UPPER(D404)="X",UPPER(D405)="X",UPPER(D406)="X"),(IF(OR(D402="X",D402="x",AND(COUNTA(B402,C402,E402,F402)&gt;0,(LEN(SUBSTITUTE(SUBSTITUTE(SUBSTITUTE(B402," ",""),"0",""),"-",""))+LEN(SUBSTITUTE(SUBSTITUTE(SUBSTITUTE(C402," ",""),"0",""),"-","")))=(LEN(SUBSTITUTE(SUBSTITUTE(SUBSTITUTE(E402," ",""),"0",""),"-",""))+LEN(SUBSTITUTE(SUBSTITUTE(SUBSTITUTE(F402," ",""),"0",""),"-",""))))),1,0)+IF(OR(D403="X",D403="x",AND(COUNTA(B403,C403,E403,F403)&gt;0,(LEN(SUBSTITUTE(SUBSTITUTE(SUBSTITUTE(B403," ",""),"0",""),"-",""))+LEN(SUBSTITUTE(SUBSTITUTE(SUBSTITUTE(C403," ",""),"0",""),"-","")))=(LEN(SUBSTITUTE(SUBSTITUTE(SUBSTITUTE(E403," ",""),"0",""),"-",""))+LEN(SUBSTITUTE(SUBSTITUTE(SUBSTITUTE(F403," ",""),"0",""),"-",""))))),1,0)+IF(OR(D404="X",D404="x",AND(COUNTA(B404,C404,E404,F404)&gt;0,(LEN(SUBSTITUTE(SUBSTITUTE(SUBSTITUTE(B404," ",""),"0",""),"-",""))+LEN(SUBSTITUTE(SUBSTITUTE(SUBSTITUTE(C404," ",""),"0",""),"-","")))=(LEN(SUBSTITUTE(SUBSTITUTE(SUBSTITUTE(E404," ",""),"0",""),"-",""))+LEN(SUBSTITUTE(SUBSTITUTE(SUBSTITUTE(F404," ",""),"0",""),"-",""))))),1,0)+IF(OR(D405="X",D405="x",AND(COUNTA(B405,C405,E405,F405)&gt;0,(LEN(SUBSTITUTE(SUBSTITUTE(SUBSTITUTE(B405," ",""),"0",""),"-",""))+LEN(SUBSTITUTE(SUBSTITUTE(SUBSTITUTE(C405," ",""),"0",""),"-","")))=(LEN(SUBSTITUTE(SUBSTITUTE(SUBSTITUTE(E405," ",""),"0",""),"-",""))+LEN(SUBSTITUTE(SUBSTITUTE(SUBSTITUTE(F405," ",""),"0",""),"-",""))))),1,0)+IF(OR(D406="X",D406="x",AND(COUNTA(B406,C406,E406,F406)&gt;0,(LEN(SUBSTITUTE(SUBSTITUTE(SUBSTITUTE(B406," ",""),"0",""),"-",""))+LEN(SUBSTITUTE(SUBSTITUTE(SUBSTITUTE(C406," ",""),"0",""),"-","")))=(LEN(SUBSTITUTE(SUBSTITUTE(SUBSTITUTE(E406," ",""),"0",""),"-",""))+LEN(SUBSTITUTE(SUBSTITUTE(SUBSTITUTE(F406," ",""),"0",""),"-",""))))),1,0)),0)+IF(OR(COUNTA(B418:C422,E418:F422)&gt;0,OR(D417="X",D417="x"),UPPER(D418)="X",UPPER(D419)="X",UPPER(D420)="X",UPPER(D421)="X",UPPER(D422)="X"),(IF(OR(D418="X",D418="x",AND(COUNTA(B418,C418,E418,F418)&gt;0,(LEN(SUBSTITUTE(SUBSTITUTE(SUBSTITUTE(B418," ",""),"0",""),"-",""))+LEN(SUBSTITUTE(SUBSTITUTE(SUBSTITUTE(C418," ",""),"0",""),"-","")))=(LEN(SUBSTITUTE(SUBSTITUTE(SUBSTITUTE(E418," ",""),"0",""),"-",""))+LEN(SUBSTITUTE(SUBSTITUTE(SUBSTITUTE(F418," ",""),"0",""),"-",""))))),1,0)+IF(OR(D419="X",D419="x",AND(COUNTA(B419,C419,E419,F419)&gt;0,(LEN(SUBSTITUTE(SUBSTITUTE(SUBSTITUTE(B419," ",""),"0",""),"-",""))+LEN(SUBSTITUTE(SUBSTITUTE(SUBSTITUTE(C419," ",""),"0",""),"-","")))=(LEN(SUBSTITUTE(SUBSTITUTE(SUBSTITUTE(E419," ",""),"0",""),"-",""))+LEN(SUBSTITUTE(SUBSTITUTE(SUBSTITUTE(F419," ",""),"0",""),"-",""))))),1,0)+IF(OR(D420="X",D420="x",AND(COUNTA(B420,C420,E420,F420)&gt;0,(LEN(SUBSTITUTE(SUBSTITUTE(SUBSTITUTE(B420," ",""),"0",""),"-",""))+LEN(SUBSTITUTE(SUBSTITUTE(SUBSTITUTE(C420," ",""),"0",""),"-","")))=(LEN(SUBSTITUTE(SUBSTITUTE(SUBSTITUTE(E420," ",""),"0",""),"-",""))+LEN(SUBSTITUTE(SUBSTITUTE(SUBSTITUTE(F420," ",""),"0",""),"-",""))))),1,0)+IF(OR(D421="X",D421="x",AND(COUNTA(B421,C421,E421,F421)&gt;0,(LEN(SUBSTITUTE(SUBSTITUTE(SUBSTITUTE(B421," ",""),"0",""),"-",""))+LEN(SUBSTITUTE(SUBSTITUTE(SUBSTITUTE(C421," ",""),"0",""),"-","")))=(LEN(SUBSTITUTE(SUBSTITUTE(SUBSTITUTE(E421," ",""),"0",""),"-",""))+LEN(SUBSTITUTE(SUBSTITUTE(SUBSTITUTE(F421," ",""),"0",""),"-",""))))),1,0)+IF(OR(D422="X",D422="x",AND(COUNTA(B422,C422,E422,F422)&gt;0,(LEN(SUBSTITUTE(SUBSTITUTE(SUBSTITUTE(B422," ",""),"0",""),"-",""))+LEN(SUBSTITUTE(SUBSTITUTE(SUBSTITUTE(C422," ",""),"0",""),"-","")))=(LEN(SUBSTITUTE(SUBSTITUTE(SUBSTITUTE(E422," ",""),"0",""),"-",""))+LEN(SUBSTITUTE(SUBSTITUTE(SUBSTITUTE(F422," ",""),"0",""),"-",""))))),1,0)),0)</f>
      </c>
      <c r="E432" s="14" t="str">
        <f>C401+E417</f>
      </c>
      <c r="F432" s="14" t="str">
        <f>E401+C417</f>
      </c>
      <c r="I432" s="14" t="str">
        <f>data!$E$77&amp;" "&amp;data!$B$77</f>
      </c>
      <c r="J432" s="14" t="str">
        <f>IF(OR(COUNTA(J402:K406,M402:N406)&gt;0,OR(L401="X",L401="x"),UPPER(L402)="X",UPPER(L403)="X",UPPER(L404)="X",UPPER(L405)="X",UPPER(L406)="X"),J401,0)+IF(OR(COUNTA(J418:K422,M418:N422)&gt;0,OR(L417="X",L417="x"),UPPER(L418)="X",UPPER(L419)="X",UPPER(L420)="X",UPPER(L421)="X",UPPER(L422)="X"),N417,0)</f>
      </c>
      <c r="K432" s="14" t="str">
        <f>IF(OR(COUNTA(J402:K406,M402:N406)&gt;0,OR(L401="X",L401="x"),UPPER(L402)="X",UPPER(L403)="X",UPPER(L404)="X",UPPER(L405)="X",UPPER(L406)="X"),N401,0)+IF(OR(COUNTA(J418:K422,M418:N422)&gt;0,OR(L417="X",L417="x"),UPPER(L418)="X",UPPER(L419)="X",UPPER(L420)="X",UPPER(L421)="X",UPPER(L422)="X"),J417,0)</f>
      </c>
      <c r="L432" s="14" t="str">
        <f>IF(OR(COUNTA(J402:K406,M402:N406)&gt;0,OR(L401="X",L401="x"),UPPER(L402)="X",UPPER(L403)="X",UPPER(L404)="X",UPPER(L405)="X",UPPER(L406)="X"),(IF(OR(L402="X",L402="x",AND(COUNTA(J402,K402,M402,N402)&gt;0,(LEN(SUBSTITUTE(SUBSTITUTE(SUBSTITUTE(J402," ",""),"0",""),"-",""))+LEN(SUBSTITUTE(SUBSTITUTE(SUBSTITUTE(K402," ",""),"0",""),"-","")))=(LEN(SUBSTITUTE(SUBSTITUTE(SUBSTITUTE(M402," ",""),"0",""),"-",""))+LEN(SUBSTITUTE(SUBSTITUTE(SUBSTITUTE(N402," ",""),"0",""),"-",""))))),1,0)+IF(OR(L403="X",L403="x",AND(COUNTA(J403,K403,M403,N403)&gt;0,(LEN(SUBSTITUTE(SUBSTITUTE(SUBSTITUTE(J403," ",""),"0",""),"-",""))+LEN(SUBSTITUTE(SUBSTITUTE(SUBSTITUTE(K403," ",""),"0",""),"-","")))=(LEN(SUBSTITUTE(SUBSTITUTE(SUBSTITUTE(M403," ",""),"0",""),"-",""))+LEN(SUBSTITUTE(SUBSTITUTE(SUBSTITUTE(N403," ",""),"0",""),"-",""))))),1,0)+IF(OR(L404="X",L404="x",AND(COUNTA(J404,K404,M404,N404)&gt;0,(LEN(SUBSTITUTE(SUBSTITUTE(SUBSTITUTE(J404," ",""),"0",""),"-",""))+LEN(SUBSTITUTE(SUBSTITUTE(SUBSTITUTE(K404," ",""),"0",""),"-","")))=(LEN(SUBSTITUTE(SUBSTITUTE(SUBSTITUTE(M404," ",""),"0",""),"-",""))+LEN(SUBSTITUTE(SUBSTITUTE(SUBSTITUTE(N404," ",""),"0",""),"-",""))))),1,0)+IF(OR(L405="X",L405="x",AND(COUNTA(J405,K405,M405,N405)&gt;0,(LEN(SUBSTITUTE(SUBSTITUTE(SUBSTITUTE(J405," ",""),"0",""),"-",""))+LEN(SUBSTITUTE(SUBSTITUTE(SUBSTITUTE(K405," ",""),"0",""),"-","")))=(LEN(SUBSTITUTE(SUBSTITUTE(SUBSTITUTE(M405," ",""),"0",""),"-",""))+LEN(SUBSTITUTE(SUBSTITUTE(SUBSTITUTE(N405," ",""),"0",""),"-",""))))),1,0)+IF(OR(L406="X",L406="x",AND(COUNTA(J406,K406,M406,N406)&gt;0,(LEN(SUBSTITUTE(SUBSTITUTE(SUBSTITUTE(J406," ",""),"0",""),"-",""))+LEN(SUBSTITUTE(SUBSTITUTE(SUBSTITUTE(K406," ",""),"0",""),"-","")))=(LEN(SUBSTITUTE(SUBSTITUTE(SUBSTITUTE(M406," ",""),"0",""),"-",""))+LEN(SUBSTITUTE(SUBSTITUTE(SUBSTITUTE(N406," ",""),"0",""),"-",""))))),1,0)),0)+IF(OR(COUNTA(J418:K422,M418:N422)&gt;0,OR(L417="X",L417="x"),UPPER(L418)="X",UPPER(L419)="X",UPPER(L420)="X",UPPER(L421)="X",UPPER(L422)="X"),(IF(OR(L418="X",L418="x",AND(COUNTA(J418,K418,M418,N418)&gt;0,(LEN(SUBSTITUTE(SUBSTITUTE(SUBSTITUTE(J418," ",""),"0",""),"-",""))+LEN(SUBSTITUTE(SUBSTITUTE(SUBSTITUTE(K418," ",""),"0",""),"-","")))=(LEN(SUBSTITUTE(SUBSTITUTE(SUBSTITUTE(M418," ",""),"0",""),"-",""))+LEN(SUBSTITUTE(SUBSTITUTE(SUBSTITUTE(N418," ",""),"0",""),"-",""))))),1,0)+IF(OR(L419="X",L419="x",AND(COUNTA(J419,K419,M419,N419)&gt;0,(LEN(SUBSTITUTE(SUBSTITUTE(SUBSTITUTE(J419," ",""),"0",""),"-",""))+LEN(SUBSTITUTE(SUBSTITUTE(SUBSTITUTE(K419," ",""),"0",""),"-","")))=(LEN(SUBSTITUTE(SUBSTITUTE(SUBSTITUTE(M419," ",""),"0",""),"-",""))+LEN(SUBSTITUTE(SUBSTITUTE(SUBSTITUTE(N419," ",""),"0",""),"-",""))))),1,0)+IF(OR(L420="X",L420="x",AND(COUNTA(J420,K420,M420,N420)&gt;0,(LEN(SUBSTITUTE(SUBSTITUTE(SUBSTITUTE(J420," ",""),"0",""),"-",""))+LEN(SUBSTITUTE(SUBSTITUTE(SUBSTITUTE(K420," ",""),"0",""),"-","")))=(LEN(SUBSTITUTE(SUBSTITUTE(SUBSTITUTE(M420," ",""),"0",""),"-",""))+LEN(SUBSTITUTE(SUBSTITUTE(SUBSTITUTE(N420," ",""),"0",""),"-",""))))),1,0)+IF(OR(L421="X",L421="x",AND(COUNTA(J421,K421,M421,N421)&gt;0,(LEN(SUBSTITUTE(SUBSTITUTE(SUBSTITUTE(J421," ",""),"0",""),"-",""))+LEN(SUBSTITUTE(SUBSTITUTE(SUBSTITUTE(K421," ",""),"0",""),"-","")))=(LEN(SUBSTITUTE(SUBSTITUTE(SUBSTITUTE(M421," ",""),"0",""),"-",""))+LEN(SUBSTITUTE(SUBSTITUTE(SUBSTITUTE(N421," ",""),"0",""),"-",""))))),1,0)+IF(OR(L422="X",L422="x",AND(COUNTA(J422,K422,M422,N422)&gt;0,(LEN(SUBSTITUTE(SUBSTITUTE(SUBSTITUTE(J422," ",""),"0",""),"-",""))+LEN(SUBSTITUTE(SUBSTITUTE(SUBSTITUTE(K422," ",""),"0",""),"-","")))=(LEN(SUBSTITUTE(SUBSTITUTE(SUBSTITUTE(M422," ",""),"0",""),"-",""))+LEN(SUBSTITUTE(SUBSTITUTE(SUBSTITUTE(N422," ",""),"0",""),"-",""))))),1,0)),0)</f>
      </c>
      <c r="M432" s="14" t="str">
        <f>K401+M417</f>
      </c>
      <c r="N432" s="14" t="str">
        <f>M401+K417</f>
      </c>
    </row>
    <row r="433">
      <c r="A433" s="14" t="str">
        <f>data!$E$33&amp;" "&amp;data!$B$33</f>
      </c>
      <c r="B433" s="14" t="str">
        <f>IF(OR(COUNTA(B410:C414,E410:F414)&gt;0,OR(D409="X",D409="x"),UPPER(D410)="X",UPPER(D411)="X",UPPER(D412)="X",UPPER(D413)="X",UPPER(D414)="X"),B409,0)+IF(OR(COUNTA(B418:C422,E418:F422)&gt;0,OR(D417="X",D417="x"),UPPER(D418)="X",UPPER(D419)="X",UPPER(D420)="X",UPPER(D421)="X",UPPER(D422)="X"),B417,0)</f>
      </c>
      <c r="C433" s="14" t="str">
        <f>IF(OR(COUNTA(B410:C414,E410:F414)&gt;0,OR(D409="X",D409="x"),UPPER(D410)="X",UPPER(D411)="X",UPPER(D412)="X",UPPER(D413)="X",UPPER(D414)="X"),F409,0)+IF(OR(COUNTA(B418:C422,E418:F422)&gt;0,OR(D417="X",D417="x"),UPPER(D418)="X",UPPER(D419)="X",UPPER(D420)="X",UPPER(D421)="X",UPPER(D422)="X"),F417,0)</f>
      </c>
      <c r="D433" s="14" t="str">
        <f>IF(OR(COUNTA(B410:C414,E410:F414)&gt;0,OR(D409="X",D409="x"),UPPER(D410)="X",UPPER(D411)="X",UPPER(D412)="X",UPPER(D413)="X",UPPER(D414)="X"),(IF(OR(D410="X",D410="x",AND(COUNTA(B410,C410,E410,F410)&gt;0,(LEN(SUBSTITUTE(SUBSTITUTE(SUBSTITUTE(B410," ",""),"0",""),"-",""))+LEN(SUBSTITUTE(SUBSTITUTE(SUBSTITUTE(C410," ",""),"0",""),"-","")))=(LEN(SUBSTITUTE(SUBSTITUTE(SUBSTITUTE(E410," ",""),"0",""),"-",""))+LEN(SUBSTITUTE(SUBSTITUTE(SUBSTITUTE(F410," ",""),"0",""),"-",""))))),1,0)+IF(OR(D411="X",D411="x",AND(COUNTA(B411,C411,E411,F411)&gt;0,(LEN(SUBSTITUTE(SUBSTITUTE(SUBSTITUTE(B411," ",""),"0",""),"-",""))+LEN(SUBSTITUTE(SUBSTITUTE(SUBSTITUTE(C411," ",""),"0",""),"-","")))=(LEN(SUBSTITUTE(SUBSTITUTE(SUBSTITUTE(E411," ",""),"0",""),"-",""))+LEN(SUBSTITUTE(SUBSTITUTE(SUBSTITUTE(F411," ",""),"0",""),"-",""))))),1,0)+IF(OR(D412="X",D412="x",AND(COUNTA(B412,C412,E412,F412)&gt;0,(LEN(SUBSTITUTE(SUBSTITUTE(SUBSTITUTE(B412," ",""),"0",""),"-",""))+LEN(SUBSTITUTE(SUBSTITUTE(SUBSTITUTE(C412," ",""),"0",""),"-","")))=(LEN(SUBSTITUTE(SUBSTITUTE(SUBSTITUTE(E412," ",""),"0",""),"-",""))+LEN(SUBSTITUTE(SUBSTITUTE(SUBSTITUTE(F412," ",""),"0",""),"-",""))))),1,0)+IF(OR(D413="X",D413="x",AND(COUNTA(B413,C413,E413,F413)&gt;0,(LEN(SUBSTITUTE(SUBSTITUTE(SUBSTITUTE(B413," ",""),"0",""),"-",""))+LEN(SUBSTITUTE(SUBSTITUTE(SUBSTITUTE(C413," ",""),"0",""),"-","")))=(LEN(SUBSTITUTE(SUBSTITUTE(SUBSTITUTE(E413," ",""),"0",""),"-",""))+LEN(SUBSTITUTE(SUBSTITUTE(SUBSTITUTE(F413," ",""),"0",""),"-",""))))),1,0)+IF(OR(D414="X",D414="x",AND(COUNTA(B414,C414,E414,F414)&gt;0,(LEN(SUBSTITUTE(SUBSTITUTE(SUBSTITUTE(B414," ",""),"0",""),"-",""))+LEN(SUBSTITUTE(SUBSTITUTE(SUBSTITUTE(C414," ",""),"0",""),"-","")))=(LEN(SUBSTITUTE(SUBSTITUTE(SUBSTITUTE(E414," ",""),"0",""),"-",""))+LEN(SUBSTITUTE(SUBSTITUTE(SUBSTITUTE(F414," ",""),"0",""),"-",""))))),1,0)),0)+IF(OR(COUNTA(B418:C422,E418:F422)&gt;0,OR(D417="X",D417="x"),UPPER(D418)="X",UPPER(D419)="X",UPPER(D420)="X",UPPER(D421)="X",UPPER(D422)="X"),(IF(OR(D418="X",D418="x",AND(COUNTA(B418,C418,E418,F418)&gt;0,(LEN(SUBSTITUTE(SUBSTITUTE(SUBSTITUTE(B418," ",""),"0",""),"-",""))+LEN(SUBSTITUTE(SUBSTITUTE(SUBSTITUTE(C418," ",""),"0",""),"-","")))=(LEN(SUBSTITUTE(SUBSTITUTE(SUBSTITUTE(E418," ",""),"0",""),"-",""))+LEN(SUBSTITUTE(SUBSTITUTE(SUBSTITUTE(F418," ",""),"0",""),"-",""))))),1,0)+IF(OR(D419="X",D419="x",AND(COUNTA(B419,C419,E419,F419)&gt;0,(LEN(SUBSTITUTE(SUBSTITUTE(SUBSTITUTE(B419," ",""),"0",""),"-",""))+LEN(SUBSTITUTE(SUBSTITUTE(SUBSTITUTE(C419," ",""),"0",""),"-","")))=(LEN(SUBSTITUTE(SUBSTITUTE(SUBSTITUTE(E419," ",""),"0",""),"-",""))+LEN(SUBSTITUTE(SUBSTITUTE(SUBSTITUTE(F419," ",""),"0",""),"-",""))))),1,0)+IF(OR(D420="X",D420="x",AND(COUNTA(B420,C420,E420,F420)&gt;0,(LEN(SUBSTITUTE(SUBSTITUTE(SUBSTITUTE(B420," ",""),"0",""),"-",""))+LEN(SUBSTITUTE(SUBSTITUTE(SUBSTITUTE(C420," ",""),"0",""),"-","")))=(LEN(SUBSTITUTE(SUBSTITUTE(SUBSTITUTE(E420," ",""),"0",""),"-",""))+LEN(SUBSTITUTE(SUBSTITUTE(SUBSTITUTE(F420," ",""),"0",""),"-",""))))),1,0)+IF(OR(D421="X",D421="x",AND(COUNTA(B421,C421,E421,F421)&gt;0,(LEN(SUBSTITUTE(SUBSTITUTE(SUBSTITUTE(B421," ",""),"0",""),"-",""))+LEN(SUBSTITUTE(SUBSTITUTE(SUBSTITUTE(C421," ",""),"0",""),"-","")))=(LEN(SUBSTITUTE(SUBSTITUTE(SUBSTITUTE(E421," ",""),"0",""),"-",""))+LEN(SUBSTITUTE(SUBSTITUTE(SUBSTITUTE(F421," ",""),"0",""),"-",""))))),1,0)+IF(OR(D422="X",D422="x",AND(COUNTA(B422,C422,E422,F422)&gt;0,(LEN(SUBSTITUTE(SUBSTITUTE(SUBSTITUTE(B422," ",""),"0",""),"-",""))+LEN(SUBSTITUTE(SUBSTITUTE(SUBSTITUTE(C422," ",""),"0",""),"-","")))=(LEN(SUBSTITUTE(SUBSTITUTE(SUBSTITUTE(E422," ",""),"0",""),"-",""))+LEN(SUBSTITUTE(SUBSTITUTE(SUBSTITUTE(F422," ",""),"0",""),"-",""))))),1,0)),0)</f>
      </c>
      <c r="E433" s="14" t="str">
        <f>C409+C417</f>
      </c>
      <c r="F433" s="14" t="str">
        <f>E409+E417</f>
      </c>
      <c r="I433" s="14" t="str">
        <f>data!$E$78&amp;" "&amp;data!$B$78</f>
      </c>
      <c r="J433" s="14" t="str">
        <f>IF(OR(COUNTA(J410:K414,M410:N414)&gt;0,OR(L409="X",L409="x"),UPPER(L410)="X",UPPER(L411)="X",UPPER(L412)="X",UPPER(L413)="X",UPPER(L414)="X"),J409,0)+IF(OR(COUNTA(J418:K422,M418:N422)&gt;0,OR(L417="X",L417="x"),UPPER(L418)="X",UPPER(L419)="X",UPPER(L420)="X",UPPER(L421)="X",UPPER(L422)="X"),J417,0)</f>
      </c>
      <c r="K433" s="14" t="str">
        <f>IF(OR(COUNTA(J410:K414,M410:N414)&gt;0,OR(L409="X",L409="x"),UPPER(L410)="X",UPPER(L411)="X",UPPER(L412)="X",UPPER(L413)="X",UPPER(L414)="X"),N409,0)+IF(OR(COUNTA(J418:K422,M418:N422)&gt;0,OR(L417="X",L417="x"),UPPER(L418)="X",UPPER(L419)="X",UPPER(L420)="X",UPPER(L421)="X",UPPER(L422)="X"),N417,0)</f>
      </c>
      <c r="L433" s="14" t="str">
        <f>IF(OR(COUNTA(J410:K414,M410:N414)&gt;0,OR(L409="X",L409="x"),UPPER(L410)="X",UPPER(L411)="X",UPPER(L412)="X",UPPER(L413)="X",UPPER(L414)="X"),(IF(OR(L410="X",L410="x",AND(COUNTA(J410,K410,M410,N410)&gt;0,(LEN(SUBSTITUTE(SUBSTITUTE(SUBSTITUTE(J410," ",""),"0",""),"-",""))+LEN(SUBSTITUTE(SUBSTITUTE(SUBSTITUTE(K410," ",""),"0",""),"-","")))=(LEN(SUBSTITUTE(SUBSTITUTE(SUBSTITUTE(M410," ",""),"0",""),"-",""))+LEN(SUBSTITUTE(SUBSTITUTE(SUBSTITUTE(N410," ",""),"0",""),"-",""))))),1,0)+IF(OR(L411="X",L411="x",AND(COUNTA(J411,K411,M411,N411)&gt;0,(LEN(SUBSTITUTE(SUBSTITUTE(SUBSTITUTE(J411," ",""),"0",""),"-",""))+LEN(SUBSTITUTE(SUBSTITUTE(SUBSTITUTE(K411," ",""),"0",""),"-","")))=(LEN(SUBSTITUTE(SUBSTITUTE(SUBSTITUTE(M411," ",""),"0",""),"-",""))+LEN(SUBSTITUTE(SUBSTITUTE(SUBSTITUTE(N411," ",""),"0",""),"-",""))))),1,0)+IF(OR(L412="X",L412="x",AND(COUNTA(J412,K412,M412,N412)&gt;0,(LEN(SUBSTITUTE(SUBSTITUTE(SUBSTITUTE(J412," ",""),"0",""),"-",""))+LEN(SUBSTITUTE(SUBSTITUTE(SUBSTITUTE(K412," ",""),"0",""),"-","")))=(LEN(SUBSTITUTE(SUBSTITUTE(SUBSTITUTE(M412," ",""),"0",""),"-",""))+LEN(SUBSTITUTE(SUBSTITUTE(SUBSTITUTE(N412," ",""),"0",""),"-",""))))),1,0)+IF(OR(L413="X",L413="x",AND(COUNTA(J413,K413,M413,N413)&gt;0,(LEN(SUBSTITUTE(SUBSTITUTE(SUBSTITUTE(J413," ",""),"0",""),"-",""))+LEN(SUBSTITUTE(SUBSTITUTE(SUBSTITUTE(K413," ",""),"0",""),"-","")))=(LEN(SUBSTITUTE(SUBSTITUTE(SUBSTITUTE(M413," ",""),"0",""),"-",""))+LEN(SUBSTITUTE(SUBSTITUTE(SUBSTITUTE(N413," ",""),"0",""),"-",""))))),1,0)+IF(OR(L414="X",L414="x",AND(COUNTA(J414,K414,M414,N414)&gt;0,(LEN(SUBSTITUTE(SUBSTITUTE(SUBSTITUTE(J414," ",""),"0",""),"-",""))+LEN(SUBSTITUTE(SUBSTITUTE(SUBSTITUTE(K414," ",""),"0",""),"-","")))=(LEN(SUBSTITUTE(SUBSTITUTE(SUBSTITUTE(M414," ",""),"0",""),"-",""))+LEN(SUBSTITUTE(SUBSTITUTE(SUBSTITUTE(N414," ",""),"0",""),"-",""))))),1,0)),0)+IF(OR(COUNTA(J418:K422,M418:N422)&gt;0,OR(L417="X",L417="x"),UPPER(L418)="X",UPPER(L419)="X",UPPER(L420)="X",UPPER(L421)="X",UPPER(L422)="X"),(IF(OR(L418="X",L418="x",AND(COUNTA(J418,K418,M418,N418)&gt;0,(LEN(SUBSTITUTE(SUBSTITUTE(SUBSTITUTE(J418," ",""),"0",""),"-",""))+LEN(SUBSTITUTE(SUBSTITUTE(SUBSTITUTE(K418," ",""),"0",""),"-","")))=(LEN(SUBSTITUTE(SUBSTITUTE(SUBSTITUTE(M418," ",""),"0",""),"-",""))+LEN(SUBSTITUTE(SUBSTITUTE(SUBSTITUTE(N418," ",""),"0",""),"-",""))))),1,0)+IF(OR(L419="X",L419="x",AND(COUNTA(J419,K419,M419,N419)&gt;0,(LEN(SUBSTITUTE(SUBSTITUTE(SUBSTITUTE(J419," ",""),"0",""),"-",""))+LEN(SUBSTITUTE(SUBSTITUTE(SUBSTITUTE(K419," ",""),"0",""),"-","")))=(LEN(SUBSTITUTE(SUBSTITUTE(SUBSTITUTE(M419," ",""),"0",""),"-",""))+LEN(SUBSTITUTE(SUBSTITUTE(SUBSTITUTE(N419," ",""),"0",""),"-",""))))),1,0)+IF(OR(L420="X",L420="x",AND(COUNTA(J420,K420,M420,N420)&gt;0,(LEN(SUBSTITUTE(SUBSTITUTE(SUBSTITUTE(J420," ",""),"0",""),"-",""))+LEN(SUBSTITUTE(SUBSTITUTE(SUBSTITUTE(K420," ",""),"0",""),"-","")))=(LEN(SUBSTITUTE(SUBSTITUTE(SUBSTITUTE(M420," ",""),"0",""),"-",""))+LEN(SUBSTITUTE(SUBSTITUTE(SUBSTITUTE(N420," ",""),"0",""),"-",""))))),1,0)+IF(OR(L421="X",L421="x",AND(COUNTA(J421,K421,M421,N421)&gt;0,(LEN(SUBSTITUTE(SUBSTITUTE(SUBSTITUTE(J421," ",""),"0",""),"-",""))+LEN(SUBSTITUTE(SUBSTITUTE(SUBSTITUTE(K421," ",""),"0",""),"-","")))=(LEN(SUBSTITUTE(SUBSTITUTE(SUBSTITUTE(M421," ",""),"0",""),"-",""))+LEN(SUBSTITUTE(SUBSTITUTE(SUBSTITUTE(N421," ",""),"0",""),"-",""))))),1,0)+IF(OR(L422="X",L422="x",AND(COUNTA(J422,K422,M422,N422)&gt;0,(LEN(SUBSTITUTE(SUBSTITUTE(SUBSTITUTE(J422," ",""),"0",""),"-",""))+LEN(SUBSTITUTE(SUBSTITUTE(SUBSTITUTE(K422," ",""),"0",""),"-","")))=(LEN(SUBSTITUTE(SUBSTITUTE(SUBSTITUTE(M422," ",""),"0",""),"-",""))+LEN(SUBSTITUTE(SUBSTITUTE(SUBSTITUTE(N422," ",""),"0",""),"-",""))))),1,0)),0)</f>
      </c>
      <c r="M433" s="14" t="str">
        <f>K409+K417</f>
      </c>
      <c r="N433" s="14" t="str">
        <f>M409+M417</f>
      </c>
    </row>
    <row r="436">
      <c r="F436" s="13"/>
      <c r="G436" s="13" t="s">
        <v>343</v>
      </c>
      <c r="N436" s="13"/>
      <c r="O436" s="13" t="s">
        <v>343</v>
      </c>
    </row>
    <row r="437">
      <c r="F437" t="s">
        <v>344</v>
      </c>
      <c r="G437" s="19" t="str">
        <f>IFERROR(INDEX($A$426:$A$433, MATCH(1, $G$426:$G$433, 0)), "-")</f>
      </c>
      <c r="N437" t="s">
        <v>344</v>
      </c>
      <c r="O437" s="19" t="str">
        <f>IFERROR(INDEX($I$426:$I$433, MATCH(1, $O$426:$O$433, 0)), "-")</f>
      </c>
    </row>
    <row r="438">
      <c r="F438" t="s">
        <v>345</v>
      </c>
      <c r="G438" s="19" t="str">
        <f>IFERROR(INDEX($A$426:$A$433, MATCH(2, $G$426:$G$433, 0)), "-")</f>
      </c>
      <c r="N438" t="s">
        <v>345</v>
      </c>
      <c r="O438" s="19" t="str">
        <f>IFERROR(INDEX($I$426:$I$433, MATCH(2, $O$426:$O$433, 0)), "-")</f>
      </c>
    </row>
    <row r="439">
      <c r="F439" t="s">
        <v>346</v>
      </c>
      <c r="G439" s="19" t="str">
        <f>IFERROR(INDEX($A$426:$A$433, MATCH(3, $G$426:$G$433, 0)), "-")</f>
      </c>
      <c r="N439" t="s">
        <v>346</v>
      </c>
      <c r="O439" s="19" t="str">
        <f>IFERROR(INDEX($I$426:$I$433, MATCH(3, $O$426:$O$433, 0)), "-")</f>
      </c>
    </row>
    <row r="442">
      <c r="A442" s="13" t="str">
        <f>'data'!$A$36</f>
      </c>
      <c r="B442" s="13"/>
      <c r="C442" s="13"/>
      <c r="D442" s="13"/>
      <c r="E442" s="13"/>
      <c r="F442" s="13"/>
      <c r="G442" s="13"/>
      <c r="I442" s="13" t="str">
        <f>'data'!$A$81</f>
      </c>
      <c r="J442" s="13"/>
      <c r="K442" s="13"/>
      <c r="L442" s="13"/>
      <c r="M442" s="13"/>
      <c r="N442" s="13"/>
      <c r="O442" s="13"/>
    </row>
    <row r="443">
      <c r="A443" s="17" t="s">
        <v>330</v>
      </c>
      <c r="B443" s="14"/>
      <c r="C443" s="14"/>
      <c r="D443" s="14" t="s">
        <v>331</v>
      </c>
      <c r="E443" s="14"/>
      <c r="F443" s="14"/>
      <c r="G443" s="16" t="s">
        <v>332</v>
      </c>
      <c r="I443" s="17" t="s">
        <v>330</v>
      </c>
      <c r="J443" s="14"/>
      <c r="K443" s="14"/>
      <c r="L443" s="14" t="s">
        <v>331</v>
      </c>
      <c r="M443" s="14"/>
      <c r="N443" s="14"/>
      <c r="O443" s="16" t="s">
        <v>332</v>
      </c>
    </row>
    <row r="444">
      <c r="A444" s="14" t="str">
        <f>data!$E$35&amp;" "&amp;data!$B$35</f>
      </c>
      <c r="B444" s="14" t="str">
        <f>IF(UPPER(D445)="X",0,IF((LEN(SUBSTITUTE(SUBSTITUTE(SUBSTITUTE(B445," ",""),"0",""),"-",""))+LEN(SUBSTITUTE(SUBSTITUTE(SUBSTITUTE(C445," ",""),"0",""),"-","")))&gt;(LEN(SUBSTITUTE(SUBSTITUTE(SUBSTITUTE(E445," ",""),"0",""),"-",""))+LEN(SUBSTITUTE(SUBSTITUTE(SUBSTITUTE(F445," ",""),"0",""),"-",""))),1,0))+IF(UPPER(D446)="X",0,IF((LEN(SUBSTITUTE(SUBSTITUTE(SUBSTITUTE(B446," ",""),"0",""),"-",""))+LEN(SUBSTITUTE(SUBSTITUTE(SUBSTITUTE(C446," ",""),"0",""),"-","")))&gt;(LEN(SUBSTITUTE(SUBSTITUTE(SUBSTITUTE(E446," ",""),"0",""),"-",""))+LEN(SUBSTITUTE(SUBSTITUTE(SUBSTITUTE(F446," ",""),"0",""),"-",""))),1,0))+IF(UPPER(D447)="X",0,IF((LEN(SUBSTITUTE(SUBSTITUTE(SUBSTITUTE(B447," ",""),"0",""),"-",""))+LEN(SUBSTITUTE(SUBSTITUTE(SUBSTITUTE(C447," ",""),"0",""),"-","")))&gt;(LEN(SUBSTITUTE(SUBSTITUTE(SUBSTITUTE(E447," ",""),"0",""),"-",""))+LEN(SUBSTITUTE(SUBSTITUTE(SUBSTITUTE(F447," ",""),"0",""),"-",""))),1,0))+IF(UPPER(D448)="X",0,IF((LEN(SUBSTITUTE(SUBSTITUTE(SUBSTITUTE(B448," ",""),"0",""),"-",""))+LEN(SUBSTITUTE(SUBSTITUTE(SUBSTITUTE(C448," ",""),"0",""),"-","")))&gt;(LEN(SUBSTITUTE(SUBSTITUTE(SUBSTITUTE(E448," ",""),"0",""),"-",""))+LEN(SUBSTITUTE(SUBSTITUTE(SUBSTITUTE(F448," ",""),"0",""),"-",""))),1,0))+IF(UPPER(D449)="X",0,IF((LEN(SUBSTITUTE(SUBSTITUTE(SUBSTITUTE(B449," ",""),"0",""),"-",""))+LEN(SUBSTITUTE(SUBSTITUTE(SUBSTITUTE(C449," ",""),"0",""),"-","")))&gt;(LEN(SUBSTITUTE(SUBSTITUTE(SUBSTITUTE(E449," ",""),"0",""),"-",""))+LEN(SUBSTITUTE(SUBSTITUTE(SUBSTITUTE(F449," ",""),"0",""),"-",""))),1,0))</f>
      </c>
      <c r="C444" s="14" t="str">
        <f>LEN(SUBSTITUTE(SUBSTITUTE(SUBSTITUTE(B445," ",""),"0",""),"-",""))+LEN(SUBSTITUTE(SUBSTITUTE(SUBSTITUTE(C445," ",""),"0",""),"-",""))+LEN(SUBSTITUTE(SUBSTITUTE(SUBSTITUTE(B446," ",""),"0",""),"-",""))+LEN(SUBSTITUTE(SUBSTITUTE(SUBSTITUTE(C446," ",""),"0",""),"-",""))+LEN(SUBSTITUTE(SUBSTITUTE(SUBSTITUTE(B447," ",""),"0",""),"-",""))+LEN(SUBSTITUTE(SUBSTITUTE(SUBSTITUTE(C447," ",""),"0",""),"-",""))+LEN(SUBSTITUTE(SUBSTITUTE(SUBSTITUTE(B448," ",""),"0",""),"-",""))+LEN(SUBSTITUTE(SUBSTITUTE(SUBSTITUTE(C448," ",""),"0",""),"-",""))+LEN(SUBSTITUTE(SUBSTITUTE(SUBSTITUTE(B449," ",""),"0",""),"-",""))+LEN(SUBSTITUTE(SUBSTITUTE(SUBSTITUTE(C449," ",""),"0",""),"-",""))</f>
      </c>
      <c r="D444" s="18"/>
      <c r="E444" s="14" t="str">
        <f>LEN(SUBSTITUTE(SUBSTITUTE(SUBSTITUTE(E445," ",""),"0",""),"-",""))+LEN(SUBSTITUTE(SUBSTITUTE(SUBSTITUTE(F445," ",""),"0",""),"-",""))+LEN(SUBSTITUTE(SUBSTITUTE(SUBSTITUTE(E446," ",""),"0",""),"-",""))+LEN(SUBSTITUTE(SUBSTITUTE(SUBSTITUTE(F446," ",""),"0",""),"-",""))+LEN(SUBSTITUTE(SUBSTITUTE(SUBSTITUTE(E447," ",""),"0",""),"-",""))+LEN(SUBSTITUTE(SUBSTITUTE(SUBSTITUTE(F447," ",""),"0",""),"-",""))+LEN(SUBSTITUTE(SUBSTITUTE(SUBSTITUTE(E448," ",""),"0",""),"-",""))+LEN(SUBSTITUTE(SUBSTITUTE(SUBSTITUTE(F448," ",""),"0",""),"-",""))+LEN(SUBSTITUTE(SUBSTITUTE(SUBSTITUTE(E449," ",""),"0",""),"-",""))+LEN(SUBSTITUTE(SUBSTITUTE(SUBSTITUTE(F449," ",""),"0",""),"-",""))</f>
      </c>
      <c r="F444" s="14" t="str">
        <f>IF(UPPER(D445)="X",0,IF((LEN(SUBSTITUTE(SUBSTITUTE(SUBSTITUTE(E445," ",""),"0",""),"-",""))+LEN(SUBSTITUTE(SUBSTITUTE(SUBSTITUTE(F445," ",""),"0",""),"-","")))&gt;(LEN(SUBSTITUTE(SUBSTITUTE(SUBSTITUTE(B445," ",""),"0",""),"-",""))+LEN(SUBSTITUTE(SUBSTITUTE(SUBSTITUTE(C445," ",""),"0",""),"-",""))),1,0))+IF(UPPER(D446)="X",0,IF((LEN(SUBSTITUTE(SUBSTITUTE(SUBSTITUTE(E446," ",""),"0",""),"-",""))+LEN(SUBSTITUTE(SUBSTITUTE(SUBSTITUTE(F446," ",""),"0",""),"-","")))&gt;(LEN(SUBSTITUTE(SUBSTITUTE(SUBSTITUTE(B446," ",""),"0",""),"-",""))+LEN(SUBSTITUTE(SUBSTITUTE(SUBSTITUTE(C446," ",""),"0",""),"-",""))),1,0))+IF(UPPER(D447)="X",0,IF((LEN(SUBSTITUTE(SUBSTITUTE(SUBSTITUTE(E447," ",""),"0",""),"-",""))+LEN(SUBSTITUTE(SUBSTITUTE(SUBSTITUTE(F447," ",""),"0",""),"-","")))&gt;(LEN(SUBSTITUTE(SUBSTITUTE(SUBSTITUTE(B447," ",""),"0",""),"-",""))+LEN(SUBSTITUTE(SUBSTITUTE(SUBSTITUTE(C447," ",""),"0",""),"-",""))),1,0))+IF(UPPER(D448)="X",0,IF((LEN(SUBSTITUTE(SUBSTITUTE(SUBSTITUTE(E448," ",""),"0",""),"-",""))+LEN(SUBSTITUTE(SUBSTITUTE(SUBSTITUTE(F448," ",""),"0",""),"-","")))&gt;(LEN(SUBSTITUTE(SUBSTITUTE(SUBSTITUTE(B448," ",""),"0",""),"-",""))+LEN(SUBSTITUTE(SUBSTITUTE(SUBSTITUTE(C448," ",""),"0",""),"-",""))),1,0))+IF(UPPER(D449)="X",0,IF((LEN(SUBSTITUTE(SUBSTITUTE(SUBSTITUTE(E449," ",""),"0",""),"-",""))+LEN(SUBSTITUTE(SUBSTITUTE(SUBSTITUTE(F449," ",""),"0",""),"-","")))&gt;(LEN(SUBSTITUTE(SUBSTITUTE(SUBSTITUTE(B449," ",""),"0",""),"-",""))+LEN(SUBSTITUTE(SUBSTITUTE(SUBSTITUTE(C449," ",""),"0",""),"-",""))),1,0))</f>
      </c>
      <c r="G444" s="14" t="str">
        <f>data!$E$34&amp;" "&amp;data!$B$34</f>
      </c>
      <c r="I444" s="14" t="str">
        <f>data!$E$80&amp;" "&amp;data!$B$80</f>
      </c>
      <c r="J444" s="14" t="str">
        <f>IF(UPPER(L445)="X",0,IF((LEN(SUBSTITUTE(SUBSTITUTE(SUBSTITUTE(J445," ",""),"0",""),"-",""))+LEN(SUBSTITUTE(SUBSTITUTE(SUBSTITUTE(K445," ",""),"0",""),"-","")))&gt;(LEN(SUBSTITUTE(SUBSTITUTE(SUBSTITUTE(M445," ",""),"0",""),"-",""))+LEN(SUBSTITUTE(SUBSTITUTE(SUBSTITUTE(N445," ",""),"0",""),"-",""))),1,0))+IF(UPPER(L446)="X",0,IF((LEN(SUBSTITUTE(SUBSTITUTE(SUBSTITUTE(J446," ",""),"0",""),"-",""))+LEN(SUBSTITUTE(SUBSTITUTE(SUBSTITUTE(K446," ",""),"0",""),"-","")))&gt;(LEN(SUBSTITUTE(SUBSTITUTE(SUBSTITUTE(M446," ",""),"0",""),"-",""))+LEN(SUBSTITUTE(SUBSTITUTE(SUBSTITUTE(N446," ",""),"0",""),"-",""))),1,0))+IF(UPPER(L447)="X",0,IF((LEN(SUBSTITUTE(SUBSTITUTE(SUBSTITUTE(J447," ",""),"0",""),"-",""))+LEN(SUBSTITUTE(SUBSTITUTE(SUBSTITUTE(K447," ",""),"0",""),"-","")))&gt;(LEN(SUBSTITUTE(SUBSTITUTE(SUBSTITUTE(M447," ",""),"0",""),"-",""))+LEN(SUBSTITUTE(SUBSTITUTE(SUBSTITUTE(N447," ",""),"0",""),"-",""))),1,0))+IF(UPPER(L448)="X",0,IF((LEN(SUBSTITUTE(SUBSTITUTE(SUBSTITUTE(J448," ",""),"0",""),"-",""))+LEN(SUBSTITUTE(SUBSTITUTE(SUBSTITUTE(K448," ",""),"0",""),"-","")))&gt;(LEN(SUBSTITUTE(SUBSTITUTE(SUBSTITUTE(M448," ",""),"0",""),"-",""))+LEN(SUBSTITUTE(SUBSTITUTE(SUBSTITUTE(N448," ",""),"0",""),"-",""))),1,0))+IF(UPPER(L449)="X",0,IF((LEN(SUBSTITUTE(SUBSTITUTE(SUBSTITUTE(J449," ",""),"0",""),"-",""))+LEN(SUBSTITUTE(SUBSTITUTE(SUBSTITUTE(K449," ",""),"0",""),"-","")))&gt;(LEN(SUBSTITUTE(SUBSTITUTE(SUBSTITUTE(M449," ",""),"0",""),"-",""))+LEN(SUBSTITUTE(SUBSTITUTE(SUBSTITUTE(N449," ",""),"0",""),"-",""))),1,0))</f>
      </c>
      <c r="K444" s="14" t="str">
        <f>LEN(SUBSTITUTE(SUBSTITUTE(SUBSTITUTE(J445," ",""),"0",""),"-",""))+LEN(SUBSTITUTE(SUBSTITUTE(SUBSTITUTE(K445," ",""),"0",""),"-",""))+LEN(SUBSTITUTE(SUBSTITUTE(SUBSTITUTE(J446," ",""),"0",""),"-",""))+LEN(SUBSTITUTE(SUBSTITUTE(SUBSTITUTE(K446," ",""),"0",""),"-",""))+LEN(SUBSTITUTE(SUBSTITUTE(SUBSTITUTE(J447," ",""),"0",""),"-",""))+LEN(SUBSTITUTE(SUBSTITUTE(SUBSTITUTE(K447," ",""),"0",""),"-",""))+LEN(SUBSTITUTE(SUBSTITUTE(SUBSTITUTE(J448," ",""),"0",""),"-",""))+LEN(SUBSTITUTE(SUBSTITUTE(SUBSTITUTE(K448," ",""),"0",""),"-",""))+LEN(SUBSTITUTE(SUBSTITUTE(SUBSTITUTE(J449," ",""),"0",""),"-",""))+LEN(SUBSTITUTE(SUBSTITUTE(SUBSTITUTE(K449," ",""),"0",""),"-",""))</f>
      </c>
      <c r="L444" s="18"/>
      <c r="M444" s="14" t="str">
        <f>LEN(SUBSTITUTE(SUBSTITUTE(SUBSTITUTE(M445," ",""),"0",""),"-",""))+LEN(SUBSTITUTE(SUBSTITUTE(SUBSTITUTE(N445," ",""),"0",""),"-",""))+LEN(SUBSTITUTE(SUBSTITUTE(SUBSTITUTE(M446," ",""),"0",""),"-",""))+LEN(SUBSTITUTE(SUBSTITUTE(SUBSTITUTE(N446," ",""),"0",""),"-",""))+LEN(SUBSTITUTE(SUBSTITUTE(SUBSTITUTE(M447," ",""),"0",""),"-",""))+LEN(SUBSTITUTE(SUBSTITUTE(SUBSTITUTE(N447," ",""),"0",""),"-",""))+LEN(SUBSTITUTE(SUBSTITUTE(SUBSTITUTE(M448," ",""),"0",""),"-",""))+LEN(SUBSTITUTE(SUBSTITUTE(SUBSTITUTE(N448," ",""),"0",""),"-",""))+LEN(SUBSTITUTE(SUBSTITUTE(SUBSTITUTE(M449," ",""),"0",""),"-",""))+LEN(SUBSTITUTE(SUBSTITUTE(SUBSTITUTE(N449," ",""),"0",""),"-",""))</f>
      </c>
      <c r="N444" s="14" t="str">
        <f>IF(UPPER(L445)="X",0,IF((LEN(SUBSTITUTE(SUBSTITUTE(SUBSTITUTE(M445," ",""),"0",""),"-",""))+LEN(SUBSTITUTE(SUBSTITUTE(SUBSTITUTE(N445," ",""),"0",""),"-","")))&gt;(LEN(SUBSTITUTE(SUBSTITUTE(SUBSTITUTE(J445," ",""),"0",""),"-",""))+LEN(SUBSTITUTE(SUBSTITUTE(SUBSTITUTE(K445," ",""),"0",""),"-",""))),1,0))+IF(UPPER(L446)="X",0,IF((LEN(SUBSTITUTE(SUBSTITUTE(SUBSTITUTE(M446," ",""),"0",""),"-",""))+LEN(SUBSTITUTE(SUBSTITUTE(SUBSTITUTE(N446," ",""),"0",""),"-","")))&gt;(LEN(SUBSTITUTE(SUBSTITUTE(SUBSTITUTE(J446," ",""),"0",""),"-",""))+LEN(SUBSTITUTE(SUBSTITUTE(SUBSTITUTE(K446," ",""),"0",""),"-",""))),1,0))+IF(UPPER(L447)="X",0,IF((LEN(SUBSTITUTE(SUBSTITUTE(SUBSTITUTE(M447," ",""),"0",""),"-",""))+LEN(SUBSTITUTE(SUBSTITUTE(SUBSTITUTE(N447," ",""),"0",""),"-","")))&gt;(LEN(SUBSTITUTE(SUBSTITUTE(SUBSTITUTE(J447," ",""),"0",""),"-",""))+LEN(SUBSTITUTE(SUBSTITUTE(SUBSTITUTE(K447," ",""),"0",""),"-",""))),1,0))+IF(UPPER(L448)="X",0,IF((LEN(SUBSTITUTE(SUBSTITUTE(SUBSTITUTE(M448," ",""),"0",""),"-",""))+LEN(SUBSTITUTE(SUBSTITUTE(SUBSTITUTE(N448," ",""),"0",""),"-","")))&gt;(LEN(SUBSTITUTE(SUBSTITUTE(SUBSTITUTE(J448," ",""),"0",""),"-",""))+LEN(SUBSTITUTE(SUBSTITUTE(SUBSTITUTE(K448," ",""),"0",""),"-",""))),1,0))+IF(UPPER(L449)="X",0,IF((LEN(SUBSTITUTE(SUBSTITUTE(SUBSTITUTE(M449," ",""),"0",""),"-",""))+LEN(SUBSTITUTE(SUBSTITUTE(SUBSTITUTE(N449," ",""),"0",""),"-","")))&gt;(LEN(SUBSTITUTE(SUBSTITUTE(SUBSTITUTE(J449," ",""),"0",""),"-",""))+LEN(SUBSTITUTE(SUBSTITUTE(SUBSTITUTE(K449," ",""),"0",""),"-",""))),1,0))</f>
      </c>
      <c r="O444" s="14" t="str">
        <f>data!$E$79&amp;" "&amp;data!$B$79</f>
      </c>
    </row>
    <row r="445">
      <c r="A445" s="14">
        <v>1</v>
      </c>
      <c r="B445" s="18"/>
      <c r="C445" s="18"/>
      <c r="D445" s="18"/>
      <c r="E445" s="18"/>
      <c r="F445" s="18"/>
      <c r="G445" s="14">
        <v>1</v>
      </c>
      <c r="I445" s="14">
        <v>1</v>
      </c>
      <c r="J445" s="18"/>
      <c r="K445" s="18"/>
      <c r="L445" s="18"/>
      <c r="M445" s="18"/>
      <c r="N445" s="18"/>
      <c r="O445" s="14">
        <v>1</v>
      </c>
    </row>
    <row r="446">
      <c r="A446" s="14">
        <v>2</v>
      </c>
      <c r="B446" s="18"/>
      <c r="C446" s="18"/>
      <c r="D446" s="18"/>
      <c r="E446" s="18"/>
      <c r="F446" s="18"/>
      <c r="G446" s="14">
        <v>2</v>
      </c>
      <c r="I446" s="14">
        <v>2</v>
      </c>
      <c r="J446" s="18"/>
      <c r="K446" s="18"/>
      <c r="L446" s="18"/>
      <c r="M446" s="18"/>
      <c r="N446" s="18"/>
      <c r="O446" s="14">
        <v>2</v>
      </c>
    </row>
    <row r="447">
      <c r="A447" s="14">
        <v>3</v>
      </c>
      <c r="B447" s="18"/>
      <c r="C447" s="18"/>
      <c r="D447" s="18"/>
      <c r="E447" s="18"/>
      <c r="F447" s="18"/>
      <c r="G447" s="14">
        <v>3</v>
      </c>
      <c r="I447" s="14">
        <v>3</v>
      </c>
      <c r="J447" s="18"/>
      <c r="K447" s="18"/>
      <c r="L447" s="18"/>
      <c r="M447" s="18"/>
      <c r="N447" s="18"/>
      <c r="O447" s="14">
        <v>3</v>
      </c>
    </row>
    <row r="448">
      <c r="A448" s="14">
        <v>4</v>
      </c>
      <c r="B448" s="18"/>
      <c r="C448" s="18"/>
      <c r="D448" s="18"/>
      <c r="E448" s="18"/>
      <c r="F448" s="18"/>
      <c r="G448" s="14">
        <v>4</v>
      </c>
      <c r="I448" s="14">
        <v>4</v>
      </c>
      <c r="J448" s="18"/>
      <c r="K448" s="18"/>
      <c r="L448" s="18"/>
      <c r="M448" s="18"/>
      <c r="N448" s="18"/>
      <c r="O448" s="14">
        <v>4</v>
      </c>
    </row>
    <row r="449">
      <c r="A449" s="14">
        <v>5</v>
      </c>
      <c r="B449" s="18"/>
      <c r="C449" s="18"/>
      <c r="D449" s="18"/>
      <c r="E449" s="18"/>
      <c r="F449" s="18"/>
      <c r="G449" s="14">
        <v>5</v>
      </c>
      <c r="I449" s="14">
        <v>5</v>
      </c>
      <c r="J449" s="18"/>
      <c r="K449" s="18"/>
      <c r="L449" s="18"/>
      <c r="M449" s="18"/>
      <c r="N449" s="18"/>
      <c r="O449" s="14">
        <v>5</v>
      </c>
    </row>
    <row r="451">
      <c r="A451" s="17" t="s">
        <v>330</v>
      </c>
      <c r="B451" s="14"/>
      <c r="C451" s="14"/>
      <c r="D451" s="14" t="s">
        <v>331</v>
      </c>
      <c r="E451" s="14"/>
      <c r="F451" s="14"/>
      <c r="G451" s="16" t="s">
        <v>332</v>
      </c>
      <c r="I451" s="17" t="s">
        <v>330</v>
      </c>
      <c r="J451" s="14"/>
      <c r="K451" s="14"/>
      <c r="L451" s="14" t="s">
        <v>331</v>
      </c>
      <c r="M451" s="14"/>
      <c r="N451" s="14"/>
      <c r="O451" s="16" t="s">
        <v>332</v>
      </c>
    </row>
    <row r="452">
      <c r="A452" s="14" t="str">
        <f>data!$E$36&amp;" "&amp;data!$B$36</f>
      </c>
      <c r="B452" s="14" t="str">
        <f>IF(UPPER(D453)="X",0,IF((LEN(SUBSTITUTE(SUBSTITUTE(SUBSTITUTE(B453," ",""),"0",""),"-",""))+LEN(SUBSTITUTE(SUBSTITUTE(SUBSTITUTE(C453," ",""),"0",""),"-","")))&gt;(LEN(SUBSTITUTE(SUBSTITUTE(SUBSTITUTE(E453," ",""),"0",""),"-",""))+LEN(SUBSTITUTE(SUBSTITUTE(SUBSTITUTE(F453," ",""),"0",""),"-",""))),1,0))+IF(UPPER(D454)="X",0,IF((LEN(SUBSTITUTE(SUBSTITUTE(SUBSTITUTE(B454," ",""),"0",""),"-",""))+LEN(SUBSTITUTE(SUBSTITUTE(SUBSTITUTE(C454," ",""),"0",""),"-","")))&gt;(LEN(SUBSTITUTE(SUBSTITUTE(SUBSTITUTE(E454," ",""),"0",""),"-",""))+LEN(SUBSTITUTE(SUBSTITUTE(SUBSTITUTE(F454," ",""),"0",""),"-",""))),1,0))+IF(UPPER(D455)="X",0,IF((LEN(SUBSTITUTE(SUBSTITUTE(SUBSTITUTE(B455," ",""),"0",""),"-",""))+LEN(SUBSTITUTE(SUBSTITUTE(SUBSTITUTE(C455," ",""),"0",""),"-","")))&gt;(LEN(SUBSTITUTE(SUBSTITUTE(SUBSTITUTE(E455," ",""),"0",""),"-",""))+LEN(SUBSTITUTE(SUBSTITUTE(SUBSTITUTE(F455," ",""),"0",""),"-",""))),1,0))+IF(UPPER(D456)="X",0,IF((LEN(SUBSTITUTE(SUBSTITUTE(SUBSTITUTE(B456," ",""),"0",""),"-",""))+LEN(SUBSTITUTE(SUBSTITUTE(SUBSTITUTE(C456," ",""),"0",""),"-","")))&gt;(LEN(SUBSTITUTE(SUBSTITUTE(SUBSTITUTE(E456," ",""),"0",""),"-",""))+LEN(SUBSTITUTE(SUBSTITUTE(SUBSTITUTE(F456," ",""),"0",""),"-",""))),1,0))+IF(UPPER(D457)="X",0,IF((LEN(SUBSTITUTE(SUBSTITUTE(SUBSTITUTE(B457," ",""),"0",""),"-",""))+LEN(SUBSTITUTE(SUBSTITUTE(SUBSTITUTE(C457," ",""),"0",""),"-","")))&gt;(LEN(SUBSTITUTE(SUBSTITUTE(SUBSTITUTE(E457," ",""),"0",""),"-",""))+LEN(SUBSTITUTE(SUBSTITUTE(SUBSTITUTE(F457," ",""),"0",""),"-",""))),1,0))</f>
      </c>
      <c r="C452" s="14" t="str">
        <f>LEN(SUBSTITUTE(SUBSTITUTE(SUBSTITUTE(B453," ",""),"0",""),"-",""))+LEN(SUBSTITUTE(SUBSTITUTE(SUBSTITUTE(C453," ",""),"0",""),"-",""))+LEN(SUBSTITUTE(SUBSTITUTE(SUBSTITUTE(B454," ",""),"0",""),"-",""))+LEN(SUBSTITUTE(SUBSTITUTE(SUBSTITUTE(C454," ",""),"0",""),"-",""))+LEN(SUBSTITUTE(SUBSTITUTE(SUBSTITUTE(B455," ",""),"0",""),"-",""))+LEN(SUBSTITUTE(SUBSTITUTE(SUBSTITUTE(C455," ",""),"0",""),"-",""))+LEN(SUBSTITUTE(SUBSTITUTE(SUBSTITUTE(B456," ",""),"0",""),"-",""))+LEN(SUBSTITUTE(SUBSTITUTE(SUBSTITUTE(C456," ",""),"0",""),"-",""))+LEN(SUBSTITUTE(SUBSTITUTE(SUBSTITUTE(B457," ",""),"0",""),"-",""))+LEN(SUBSTITUTE(SUBSTITUTE(SUBSTITUTE(C457," ",""),"0",""),"-",""))</f>
      </c>
      <c r="D452" s="18"/>
      <c r="E452" s="14" t="str">
        <f>LEN(SUBSTITUTE(SUBSTITUTE(SUBSTITUTE(E453," ",""),"0",""),"-",""))+LEN(SUBSTITUTE(SUBSTITUTE(SUBSTITUTE(F453," ",""),"0",""),"-",""))+LEN(SUBSTITUTE(SUBSTITUTE(SUBSTITUTE(E454," ",""),"0",""),"-",""))+LEN(SUBSTITUTE(SUBSTITUTE(SUBSTITUTE(F454," ",""),"0",""),"-",""))+LEN(SUBSTITUTE(SUBSTITUTE(SUBSTITUTE(E455," ",""),"0",""),"-",""))+LEN(SUBSTITUTE(SUBSTITUTE(SUBSTITUTE(F455," ",""),"0",""),"-",""))+LEN(SUBSTITUTE(SUBSTITUTE(SUBSTITUTE(E456," ",""),"0",""),"-",""))+LEN(SUBSTITUTE(SUBSTITUTE(SUBSTITUTE(F456," ",""),"0",""),"-",""))+LEN(SUBSTITUTE(SUBSTITUTE(SUBSTITUTE(E457," ",""),"0",""),"-",""))+LEN(SUBSTITUTE(SUBSTITUTE(SUBSTITUTE(F457," ",""),"0",""),"-",""))</f>
      </c>
      <c r="F452" s="14" t="str">
        <f>IF(UPPER(D453)="X",0,IF((LEN(SUBSTITUTE(SUBSTITUTE(SUBSTITUTE(E453," ",""),"0",""),"-",""))+LEN(SUBSTITUTE(SUBSTITUTE(SUBSTITUTE(F453," ",""),"0",""),"-","")))&gt;(LEN(SUBSTITUTE(SUBSTITUTE(SUBSTITUTE(B453," ",""),"0",""),"-",""))+LEN(SUBSTITUTE(SUBSTITUTE(SUBSTITUTE(C453," ",""),"0",""),"-",""))),1,0))+IF(UPPER(D454)="X",0,IF((LEN(SUBSTITUTE(SUBSTITUTE(SUBSTITUTE(E454," ",""),"0",""),"-",""))+LEN(SUBSTITUTE(SUBSTITUTE(SUBSTITUTE(F454," ",""),"0",""),"-","")))&gt;(LEN(SUBSTITUTE(SUBSTITUTE(SUBSTITUTE(B454," ",""),"0",""),"-",""))+LEN(SUBSTITUTE(SUBSTITUTE(SUBSTITUTE(C454," ",""),"0",""),"-",""))),1,0))+IF(UPPER(D455)="X",0,IF((LEN(SUBSTITUTE(SUBSTITUTE(SUBSTITUTE(E455," ",""),"0",""),"-",""))+LEN(SUBSTITUTE(SUBSTITUTE(SUBSTITUTE(F455," ",""),"0",""),"-","")))&gt;(LEN(SUBSTITUTE(SUBSTITUTE(SUBSTITUTE(B455," ",""),"0",""),"-",""))+LEN(SUBSTITUTE(SUBSTITUTE(SUBSTITUTE(C455," ",""),"0",""),"-",""))),1,0))+IF(UPPER(D456)="X",0,IF((LEN(SUBSTITUTE(SUBSTITUTE(SUBSTITUTE(E456," ",""),"0",""),"-",""))+LEN(SUBSTITUTE(SUBSTITUTE(SUBSTITUTE(F456," ",""),"0",""),"-","")))&gt;(LEN(SUBSTITUTE(SUBSTITUTE(SUBSTITUTE(B456," ",""),"0",""),"-",""))+LEN(SUBSTITUTE(SUBSTITUTE(SUBSTITUTE(C456," ",""),"0",""),"-",""))),1,0))+IF(UPPER(D457)="X",0,IF((LEN(SUBSTITUTE(SUBSTITUTE(SUBSTITUTE(E457," ",""),"0",""),"-",""))+LEN(SUBSTITUTE(SUBSTITUTE(SUBSTITUTE(F457," ",""),"0",""),"-","")))&gt;(LEN(SUBSTITUTE(SUBSTITUTE(SUBSTITUTE(B457," ",""),"0",""),"-",""))+LEN(SUBSTITUTE(SUBSTITUTE(SUBSTITUTE(C457," ",""),"0",""),"-",""))),1,0))</f>
      </c>
      <c r="G452" s="14" t="str">
        <f>data!$E$34&amp;" "&amp;data!$B$34</f>
      </c>
      <c r="I452" s="14" t="str">
        <f>data!$E$81&amp;" "&amp;data!$B$81</f>
      </c>
      <c r="J452" s="14" t="str">
        <f>IF(UPPER(L453)="X",0,IF((LEN(SUBSTITUTE(SUBSTITUTE(SUBSTITUTE(J453," ",""),"0",""),"-",""))+LEN(SUBSTITUTE(SUBSTITUTE(SUBSTITUTE(K453," ",""),"0",""),"-","")))&gt;(LEN(SUBSTITUTE(SUBSTITUTE(SUBSTITUTE(M453," ",""),"0",""),"-",""))+LEN(SUBSTITUTE(SUBSTITUTE(SUBSTITUTE(N453," ",""),"0",""),"-",""))),1,0))+IF(UPPER(L454)="X",0,IF((LEN(SUBSTITUTE(SUBSTITUTE(SUBSTITUTE(J454," ",""),"0",""),"-",""))+LEN(SUBSTITUTE(SUBSTITUTE(SUBSTITUTE(K454," ",""),"0",""),"-","")))&gt;(LEN(SUBSTITUTE(SUBSTITUTE(SUBSTITUTE(M454," ",""),"0",""),"-",""))+LEN(SUBSTITUTE(SUBSTITUTE(SUBSTITUTE(N454," ",""),"0",""),"-",""))),1,0))+IF(UPPER(L455)="X",0,IF((LEN(SUBSTITUTE(SUBSTITUTE(SUBSTITUTE(J455," ",""),"0",""),"-",""))+LEN(SUBSTITUTE(SUBSTITUTE(SUBSTITUTE(K455," ",""),"0",""),"-","")))&gt;(LEN(SUBSTITUTE(SUBSTITUTE(SUBSTITUTE(M455," ",""),"0",""),"-",""))+LEN(SUBSTITUTE(SUBSTITUTE(SUBSTITUTE(N455," ",""),"0",""),"-",""))),1,0))+IF(UPPER(L456)="X",0,IF((LEN(SUBSTITUTE(SUBSTITUTE(SUBSTITUTE(J456," ",""),"0",""),"-",""))+LEN(SUBSTITUTE(SUBSTITUTE(SUBSTITUTE(K456," ",""),"0",""),"-","")))&gt;(LEN(SUBSTITUTE(SUBSTITUTE(SUBSTITUTE(M456," ",""),"0",""),"-",""))+LEN(SUBSTITUTE(SUBSTITUTE(SUBSTITUTE(N456," ",""),"0",""),"-",""))),1,0))+IF(UPPER(L457)="X",0,IF((LEN(SUBSTITUTE(SUBSTITUTE(SUBSTITUTE(J457," ",""),"0",""),"-",""))+LEN(SUBSTITUTE(SUBSTITUTE(SUBSTITUTE(K457," ",""),"0",""),"-","")))&gt;(LEN(SUBSTITUTE(SUBSTITUTE(SUBSTITUTE(M457," ",""),"0",""),"-",""))+LEN(SUBSTITUTE(SUBSTITUTE(SUBSTITUTE(N457," ",""),"0",""),"-",""))),1,0))</f>
      </c>
      <c r="K452" s="14" t="str">
        <f>LEN(SUBSTITUTE(SUBSTITUTE(SUBSTITUTE(J453," ",""),"0",""),"-",""))+LEN(SUBSTITUTE(SUBSTITUTE(SUBSTITUTE(K453," ",""),"0",""),"-",""))+LEN(SUBSTITUTE(SUBSTITUTE(SUBSTITUTE(J454," ",""),"0",""),"-",""))+LEN(SUBSTITUTE(SUBSTITUTE(SUBSTITUTE(K454," ",""),"0",""),"-",""))+LEN(SUBSTITUTE(SUBSTITUTE(SUBSTITUTE(J455," ",""),"0",""),"-",""))+LEN(SUBSTITUTE(SUBSTITUTE(SUBSTITUTE(K455," ",""),"0",""),"-",""))+LEN(SUBSTITUTE(SUBSTITUTE(SUBSTITUTE(J456," ",""),"0",""),"-",""))+LEN(SUBSTITUTE(SUBSTITUTE(SUBSTITUTE(K456," ",""),"0",""),"-",""))+LEN(SUBSTITUTE(SUBSTITUTE(SUBSTITUTE(J457," ",""),"0",""),"-",""))+LEN(SUBSTITUTE(SUBSTITUTE(SUBSTITUTE(K457," ",""),"0",""),"-",""))</f>
      </c>
      <c r="L452" s="18"/>
      <c r="M452" s="14" t="str">
        <f>LEN(SUBSTITUTE(SUBSTITUTE(SUBSTITUTE(M453," ",""),"0",""),"-",""))+LEN(SUBSTITUTE(SUBSTITUTE(SUBSTITUTE(N453," ",""),"0",""),"-",""))+LEN(SUBSTITUTE(SUBSTITUTE(SUBSTITUTE(M454," ",""),"0",""),"-",""))+LEN(SUBSTITUTE(SUBSTITUTE(SUBSTITUTE(N454," ",""),"0",""),"-",""))+LEN(SUBSTITUTE(SUBSTITUTE(SUBSTITUTE(M455," ",""),"0",""),"-",""))+LEN(SUBSTITUTE(SUBSTITUTE(SUBSTITUTE(N455," ",""),"0",""),"-",""))+LEN(SUBSTITUTE(SUBSTITUTE(SUBSTITUTE(M456," ",""),"0",""),"-",""))+LEN(SUBSTITUTE(SUBSTITUTE(SUBSTITUTE(N456," ",""),"0",""),"-",""))+LEN(SUBSTITUTE(SUBSTITUTE(SUBSTITUTE(M457," ",""),"0",""),"-",""))+LEN(SUBSTITUTE(SUBSTITUTE(SUBSTITUTE(N457," ",""),"0",""),"-",""))</f>
      </c>
      <c r="N452" s="14" t="str">
        <f>IF(UPPER(L453)="X",0,IF((LEN(SUBSTITUTE(SUBSTITUTE(SUBSTITUTE(M453," ",""),"0",""),"-",""))+LEN(SUBSTITUTE(SUBSTITUTE(SUBSTITUTE(N453," ",""),"0",""),"-","")))&gt;(LEN(SUBSTITUTE(SUBSTITUTE(SUBSTITUTE(J453," ",""),"0",""),"-",""))+LEN(SUBSTITUTE(SUBSTITUTE(SUBSTITUTE(K453," ",""),"0",""),"-",""))),1,0))+IF(UPPER(L454)="X",0,IF((LEN(SUBSTITUTE(SUBSTITUTE(SUBSTITUTE(M454," ",""),"0",""),"-",""))+LEN(SUBSTITUTE(SUBSTITUTE(SUBSTITUTE(N454," ",""),"0",""),"-","")))&gt;(LEN(SUBSTITUTE(SUBSTITUTE(SUBSTITUTE(J454," ",""),"0",""),"-",""))+LEN(SUBSTITUTE(SUBSTITUTE(SUBSTITUTE(K454," ",""),"0",""),"-",""))),1,0))+IF(UPPER(L455)="X",0,IF((LEN(SUBSTITUTE(SUBSTITUTE(SUBSTITUTE(M455," ",""),"0",""),"-",""))+LEN(SUBSTITUTE(SUBSTITUTE(SUBSTITUTE(N455," ",""),"0",""),"-","")))&gt;(LEN(SUBSTITUTE(SUBSTITUTE(SUBSTITUTE(J455," ",""),"0",""),"-",""))+LEN(SUBSTITUTE(SUBSTITUTE(SUBSTITUTE(K455," ",""),"0",""),"-",""))),1,0))+IF(UPPER(L456)="X",0,IF((LEN(SUBSTITUTE(SUBSTITUTE(SUBSTITUTE(M456," ",""),"0",""),"-",""))+LEN(SUBSTITUTE(SUBSTITUTE(SUBSTITUTE(N456," ",""),"0",""),"-","")))&gt;(LEN(SUBSTITUTE(SUBSTITUTE(SUBSTITUTE(J456," ",""),"0",""),"-",""))+LEN(SUBSTITUTE(SUBSTITUTE(SUBSTITUTE(K456," ",""),"0",""),"-",""))),1,0))+IF(UPPER(L457)="X",0,IF((LEN(SUBSTITUTE(SUBSTITUTE(SUBSTITUTE(M457," ",""),"0",""),"-",""))+LEN(SUBSTITUTE(SUBSTITUTE(SUBSTITUTE(N457," ",""),"0",""),"-","")))&gt;(LEN(SUBSTITUTE(SUBSTITUTE(SUBSTITUTE(J457," ",""),"0",""),"-",""))+LEN(SUBSTITUTE(SUBSTITUTE(SUBSTITUTE(K457," ",""),"0",""),"-",""))),1,0))</f>
      </c>
      <c r="O452" s="14" t="str">
        <f>data!$E$79&amp;" "&amp;data!$B$79</f>
      </c>
    </row>
    <row r="453">
      <c r="A453" s="14">
        <v>1</v>
      </c>
      <c r="B453" s="18"/>
      <c r="C453" s="18"/>
      <c r="D453" s="18"/>
      <c r="E453" s="18"/>
      <c r="F453" s="18"/>
      <c r="G453" s="14">
        <v>1</v>
      </c>
      <c r="I453" s="14">
        <v>1</v>
      </c>
      <c r="J453" s="18"/>
      <c r="K453" s="18"/>
      <c r="L453" s="18"/>
      <c r="M453" s="18"/>
      <c r="N453" s="18"/>
      <c r="O453" s="14">
        <v>1</v>
      </c>
    </row>
    <row r="454">
      <c r="A454" s="14">
        <v>2</v>
      </c>
      <c r="B454" s="18"/>
      <c r="C454" s="18"/>
      <c r="D454" s="18"/>
      <c r="E454" s="18"/>
      <c r="F454" s="18"/>
      <c r="G454" s="14">
        <v>2</v>
      </c>
      <c r="I454" s="14">
        <v>2</v>
      </c>
      <c r="J454" s="18"/>
      <c r="K454" s="18"/>
      <c r="L454" s="18"/>
      <c r="M454" s="18"/>
      <c r="N454" s="18"/>
      <c r="O454" s="14">
        <v>2</v>
      </c>
    </row>
    <row r="455">
      <c r="A455" s="14">
        <v>3</v>
      </c>
      <c r="B455" s="18"/>
      <c r="C455" s="18"/>
      <c r="D455" s="18"/>
      <c r="E455" s="18"/>
      <c r="F455" s="18"/>
      <c r="G455" s="14">
        <v>3</v>
      </c>
      <c r="I455" s="14">
        <v>3</v>
      </c>
      <c r="J455" s="18"/>
      <c r="K455" s="18"/>
      <c r="L455" s="18"/>
      <c r="M455" s="18"/>
      <c r="N455" s="18"/>
      <c r="O455" s="14">
        <v>3</v>
      </c>
    </row>
    <row r="456">
      <c r="A456" s="14">
        <v>4</v>
      </c>
      <c r="B456" s="18"/>
      <c r="C456" s="18"/>
      <c r="D456" s="18"/>
      <c r="E456" s="18"/>
      <c r="F456" s="18"/>
      <c r="G456" s="14">
        <v>4</v>
      </c>
      <c r="I456" s="14">
        <v>4</v>
      </c>
      <c r="J456" s="18"/>
      <c r="K456" s="18"/>
      <c r="L456" s="18"/>
      <c r="M456" s="18"/>
      <c r="N456" s="18"/>
      <c r="O456" s="14">
        <v>4</v>
      </c>
    </row>
    <row r="457">
      <c r="A457" s="14">
        <v>5</v>
      </c>
      <c r="B457" s="18"/>
      <c r="C457" s="18"/>
      <c r="D457" s="18"/>
      <c r="E457" s="18"/>
      <c r="F457" s="18"/>
      <c r="G457" s="14">
        <v>5</v>
      </c>
      <c r="I457" s="14">
        <v>5</v>
      </c>
      <c r="J457" s="18"/>
      <c r="K457" s="18"/>
      <c r="L457" s="18"/>
      <c r="M457" s="18"/>
      <c r="N457" s="18"/>
      <c r="O457" s="14">
        <v>5</v>
      </c>
    </row>
    <row r="459">
      <c r="A459" s="17" t="s">
        <v>330</v>
      </c>
      <c r="B459" s="14"/>
      <c r="C459" s="14"/>
      <c r="D459" s="14" t="s">
        <v>331</v>
      </c>
      <c r="E459" s="14"/>
      <c r="F459" s="14"/>
      <c r="G459" s="16" t="s">
        <v>332</v>
      </c>
      <c r="I459" s="17" t="s">
        <v>330</v>
      </c>
      <c r="J459" s="14"/>
      <c r="K459" s="14"/>
      <c r="L459" s="14" t="s">
        <v>331</v>
      </c>
      <c r="M459" s="14"/>
      <c r="N459" s="14"/>
      <c r="O459" s="16" t="s">
        <v>332</v>
      </c>
    </row>
    <row r="460">
      <c r="A460" s="14" t="str">
        <f>data!$E$36&amp;" "&amp;data!$B$36</f>
      </c>
      <c r="B460" s="14" t="str">
        <f>IF(UPPER(D461)="X",0,IF((LEN(SUBSTITUTE(SUBSTITUTE(SUBSTITUTE(B461," ",""),"0",""),"-",""))+LEN(SUBSTITUTE(SUBSTITUTE(SUBSTITUTE(C461," ",""),"0",""),"-","")))&gt;(LEN(SUBSTITUTE(SUBSTITUTE(SUBSTITUTE(E461," ",""),"0",""),"-",""))+LEN(SUBSTITUTE(SUBSTITUTE(SUBSTITUTE(F461," ",""),"0",""),"-",""))),1,0))+IF(UPPER(D462)="X",0,IF((LEN(SUBSTITUTE(SUBSTITUTE(SUBSTITUTE(B462," ",""),"0",""),"-",""))+LEN(SUBSTITUTE(SUBSTITUTE(SUBSTITUTE(C462," ",""),"0",""),"-","")))&gt;(LEN(SUBSTITUTE(SUBSTITUTE(SUBSTITUTE(E462," ",""),"0",""),"-",""))+LEN(SUBSTITUTE(SUBSTITUTE(SUBSTITUTE(F462," ",""),"0",""),"-",""))),1,0))+IF(UPPER(D463)="X",0,IF((LEN(SUBSTITUTE(SUBSTITUTE(SUBSTITUTE(B463," ",""),"0",""),"-",""))+LEN(SUBSTITUTE(SUBSTITUTE(SUBSTITUTE(C463," ",""),"0",""),"-","")))&gt;(LEN(SUBSTITUTE(SUBSTITUTE(SUBSTITUTE(E463," ",""),"0",""),"-",""))+LEN(SUBSTITUTE(SUBSTITUTE(SUBSTITUTE(F463," ",""),"0",""),"-",""))),1,0))+IF(UPPER(D464)="X",0,IF((LEN(SUBSTITUTE(SUBSTITUTE(SUBSTITUTE(B464," ",""),"0",""),"-",""))+LEN(SUBSTITUTE(SUBSTITUTE(SUBSTITUTE(C464," ",""),"0",""),"-","")))&gt;(LEN(SUBSTITUTE(SUBSTITUTE(SUBSTITUTE(E464," ",""),"0",""),"-",""))+LEN(SUBSTITUTE(SUBSTITUTE(SUBSTITUTE(F464," ",""),"0",""),"-",""))),1,0))+IF(UPPER(D465)="X",0,IF((LEN(SUBSTITUTE(SUBSTITUTE(SUBSTITUTE(B465," ",""),"0",""),"-",""))+LEN(SUBSTITUTE(SUBSTITUTE(SUBSTITUTE(C465," ",""),"0",""),"-","")))&gt;(LEN(SUBSTITUTE(SUBSTITUTE(SUBSTITUTE(E465," ",""),"0",""),"-",""))+LEN(SUBSTITUTE(SUBSTITUTE(SUBSTITUTE(F465," ",""),"0",""),"-",""))),1,0))</f>
      </c>
      <c r="C460" s="14" t="str">
        <f>LEN(SUBSTITUTE(SUBSTITUTE(SUBSTITUTE(B461," ",""),"0",""),"-",""))+LEN(SUBSTITUTE(SUBSTITUTE(SUBSTITUTE(C461," ",""),"0",""),"-",""))+LEN(SUBSTITUTE(SUBSTITUTE(SUBSTITUTE(B462," ",""),"0",""),"-",""))+LEN(SUBSTITUTE(SUBSTITUTE(SUBSTITUTE(C462," ",""),"0",""),"-",""))+LEN(SUBSTITUTE(SUBSTITUTE(SUBSTITUTE(B463," ",""),"0",""),"-",""))+LEN(SUBSTITUTE(SUBSTITUTE(SUBSTITUTE(C463," ",""),"0",""),"-",""))+LEN(SUBSTITUTE(SUBSTITUTE(SUBSTITUTE(B464," ",""),"0",""),"-",""))+LEN(SUBSTITUTE(SUBSTITUTE(SUBSTITUTE(C464," ",""),"0",""),"-",""))+LEN(SUBSTITUTE(SUBSTITUTE(SUBSTITUTE(B465," ",""),"0",""),"-",""))+LEN(SUBSTITUTE(SUBSTITUTE(SUBSTITUTE(C465," ",""),"0",""),"-",""))</f>
      </c>
      <c r="D460" s="18"/>
      <c r="E460" s="14" t="str">
        <f>LEN(SUBSTITUTE(SUBSTITUTE(SUBSTITUTE(E461," ",""),"0",""),"-",""))+LEN(SUBSTITUTE(SUBSTITUTE(SUBSTITUTE(F461," ",""),"0",""),"-",""))+LEN(SUBSTITUTE(SUBSTITUTE(SUBSTITUTE(E462," ",""),"0",""),"-",""))+LEN(SUBSTITUTE(SUBSTITUTE(SUBSTITUTE(F462," ",""),"0",""),"-",""))+LEN(SUBSTITUTE(SUBSTITUTE(SUBSTITUTE(E463," ",""),"0",""),"-",""))+LEN(SUBSTITUTE(SUBSTITUTE(SUBSTITUTE(F463," ",""),"0",""),"-",""))+LEN(SUBSTITUTE(SUBSTITUTE(SUBSTITUTE(E464," ",""),"0",""),"-",""))+LEN(SUBSTITUTE(SUBSTITUTE(SUBSTITUTE(F464," ",""),"0",""),"-",""))+LEN(SUBSTITUTE(SUBSTITUTE(SUBSTITUTE(E465," ",""),"0",""),"-",""))+LEN(SUBSTITUTE(SUBSTITUTE(SUBSTITUTE(F465," ",""),"0",""),"-",""))</f>
      </c>
      <c r="F460" s="14" t="str">
        <f>IF(UPPER(D461)="X",0,IF((LEN(SUBSTITUTE(SUBSTITUTE(SUBSTITUTE(E461," ",""),"0",""),"-",""))+LEN(SUBSTITUTE(SUBSTITUTE(SUBSTITUTE(F461," ",""),"0",""),"-","")))&gt;(LEN(SUBSTITUTE(SUBSTITUTE(SUBSTITUTE(B461," ",""),"0",""),"-",""))+LEN(SUBSTITUTE(SUBSTITUTE(SUBSTITUTE(C461," ",""),"0",""),"-",""))),1,0))+IF(UPPER(D462)="X",0,IF((LEN(SUBSTITUTE(SUBSTITUTE(SUBSTITUTE(E462," ",""),"0",""),"-",""))+LEN(SUBSTITUTE(SUBSTITUTE(SUBSTITUTE(F462," ",""),"0",""),"-","")))&gt;(LEN(SUBSTITUTE(SUBSTITUTE(SUBSTITUTE(B462," ",""),"0",""),"-",""))+LEN(SUBSTITUTE(SUBSTITUTE(SUBSTITUTE(C462," ",""),"0",""),"-",""))),1,0))+IF(UPPER(D463)="X",0,IF((LEN(SUBSTITUTE(SUBSTITUTE(SUBSTITUTE(E463," ",""),"0",""),"-",""))+LEN(SUBSTITUTE(SUBSTITUTE(SUBSTITUTE(F463," ",""),"0",""),"-","")))&gt;(LEN(SUBSTITUTE(SUBSTITUTE(SUBSTITUTE(B463," ",""),"0",""),"-",""))+LEN(SUBSTITUTE(SUBSTITUTE(SUBSTITUTE(C463," ",""),"0",""),"-",""))),1,0))+IF(UPPER(D464)="X",0,IF((LEN(SUBSTITUTE(SUBSTITUTE(SUBSTITUTE(E464," ",""),"0",""),"-",""))+LEN(SUBSTITUTE(SUBSTITUTE(SUBSTITUTE(F464," ",""),"0",""),"-","")))&gt;(LEN(SUBSTITUTE(SUBSTITUTE(SUBSTITUTE(B464," ",""),"0",""),"-",""))+LEN(SUBSTITUTE(SUBSTITUTE(SUBSTITUTE(C464," ",""),"0",""),"-",""))),1,0))+IF(UPPER(D465)="X",0,IF((LEN(SUBSTITUTE(SUBSTITUTE(SUBSTITUTE(E465," ",""),"0",""),"-",""))+LEN(SUBSTITUTE(SUBSTITUTE(SUBSTITUTE(F465," ",""),"0",""),"-","")))&gt;(LEN(SUBSTITUTE(SUBSTITUTE(SUBSTITUTE(B465," ",""),"0",""),"-",""))+LEN(SUBSTITUTE(SUBSTITUTE(SUBSTITUTE(C465," ",""),"0",""),"-",""))),1,0))</f>
      </c>
      <c r="G460" s="14" t="str">
        <f>data!$E$35&amp;" "&amp;data!$B$35</f>
      </c>
      <c r="I460" s="14" t="str">
        <f>data!$E$81&amp;" "&amp;data!$B$81</f>
      </c>
      <c r="J460" s="14" t="str">
        <f>IF(UPPER(L461)="X",0,IF((LEN(SUBSTITUTE(SUBSTITUTE(SUBSTITUTE(J461," ",""),"0",""),"-",""))+LEN(SUBSTITUTE(SUBSTITUTE(SUBSTITUTE(K461," ",""),"0",""),"-","")))&gt;(LEN(SUBSTITUTE(SUBSTITUTE(SUBSTITUTE(M461," ",""),"0",""),"-",""))+LEN(SUBSTITUTE(SUBSTITUTE(SUBSTITUTE(N461," ",""),"0",""),"-",""))),1,0))+IF(UPPER(L462)="X",0,IF((LEN(SUBSTITUTE(SUBSTITUTE(SUBSTITUTE(J462," ",""),"0",""),"-",""))+LEN(SUBSTITUTE(SUBSTITUTE(SUBSTITUTE(K462," ",""),"0",""),"-","")))&gt;(LEN(SUBSTITUTE(SUBSTITUTE(SUBSTITUTE(M462," ",""),"0",""),"-",""))+LEN(SUBSTITUTE(SUBSTITUTE(SUBSTITUTE(N462," ",""),"0",""),"-",""))),1,0))+IF(UPPER(L463)="X",0,IF((LEN(SUBSTITUTE(SUBSTITUTE(SUBSTITUTE(J463," ",""),"0",""),"-",""))+LEN(SUBSTITUTE(SUBSTITUTE(SUBSTITUTE(K463," ",""),"0",""),"-","")))&gt;(LEN(SUBSTITUTE(SUBSTITUTE(SUBSTITUTE(M463," ",""),"0",""),"-",""))+LEN(SUBSTITUTE(SUBSTITUTE(SUBSTITUTE(N463," ",""),"0",""),"-",""))),1,0))+IF(UPPER(L464)="X",0,IF((LEN(SUBSTITUTE(SUBSTITUTE(SUBSTITUTE(J464," ",""),"0",""),"-",""))+LEN(SUBSTITUTE(SUBSTITUTE(SUBSTITUTE(K464," ",""),"0",""),"-","")))&gt;(LEN(SUBSTITUTE(SUBSTITUTE(SUBSTITUTE(M464," ",""),"0",""),"-",""))+LEN(SUBSTITUTE(SUBSTITUTE(SUBSTITUTE(N464," ",""),"0",""),"-",""))),1,0))+IF(UPPER(L465)="X",0,IF((LEN(SUBSTITUTE(SUBSTITUTE(SUBSTITUTE(J465," ",""),"0",""),"-",""))+LEN(SUBSTITUTE(SUBSTITUTE(SUBSTITUTE(K465," ",""),"0",""),"-","")))&gt;(LEN(SUBSTITUTE(SUBSTITUTE(SUBSTITUTE(M465," ",""),"0",""),"-",""))+LEN(SUBSTITUTE(SUBSTITUTE(SUBSTITUTE(N465," ",""),"0",""),"-",""))),1,0))</f>
      </c>
      <c r="K460" s="14" t="str">
        <f>LEN(SUBSTITUTE(SUBSTITUTE(SUBSTITUTE(J461," ",""),"0",""),"-",""))+LEN(SUBSTITUTE(SUBSTITUTE(SUBSTITUTE(K461," ",""),"0",""),"-",""))+LEN(SUBSTITUTE(SUBSTITUTE(SUBSTITUTE(J462," ",""),"0",""),"-",""))+LEN(SUBSTITUTE(SUBSTITUTE(SUBSTITUTE(K462," ",""),"0",""),"-",""))+LEN(SUBSTITUTE(SUBSTITUTE(SUBSTITUTE(J463," ",""),"0",""),"-",""))+LEN(SUBSTITUTE(SUBSTITUTE(SUBSTITUTE(K463," ",""),"0",""),"-",""))+LEN(SUBSTITUTE(SUBSTITUTE(SUBSTITUTE(J464," ",""),"0",""),"-",""))+LEN(SUBSTITUTE(SUBSTITUTE(SUBSTITUTE(K464," ",""),"0",""),"-",""))+LEN(SUBSTITUTE(SUBSTITUTE(SUBSTITUTE(J465," ",""),"0",""),"-",""))+LEN(SUBSTITUTE(SUBSTITUTE(SUBSTITUTE(K465," ",""),"0",""),"-",""))</f>
      </c>
      <c r="L460" s="18"/>
      <c r="M460" s="14" t="str">
        <f>LEN(SUBSTITUTE(SUBSTITUTE(SUBSTITUTE(M461," ",""),"0",""),"-",""))+LEN(SUBSTITUTE(SUBSTITUTE(SUBSTITUTE(N461," ",""),"0",""),"-",""))+LEN(SUBSTITUTE(SUBSTITUTE(SUBSTITUTE(M462," ",""),"0",""),"-",""))+LEN(SUBSTITUTE(SUBSTITUTE(SUBSTITUTE(N462," ",""),"0",""),"-",""))+LEN(SUBSTITUTE(SUBSTITUTE(SUBSTITUTE(M463," ",""),"0",""),"-",""))+LEN(SUBSTITUTE(SUBSTITUTE(SUBSTITUTE(N463," ",""),"0",""),"-",""))+LEN(SUBSTITUTE(SUBSTITUTE(SUBSTITUTE(M464," ",""),"0",""),"-",""))+LEN(SUBSTITUTE(SUBSTITUTE(SUBSTITUTE(N464," ",""),"0",""),"-",""))+LEN(SUBSTITUTE(SUBSTITUTE(SUBSTITUTE(M465," ",""),"0",""),"-",""))+LEN(SUBSTITUTE(SUBSTITUTE(SUBSTITUTE(N465," ",""),"0",""),"-",""))</f>
      </c>
      <c r="N460" s="14" t="str">
        <f>IF(UPPER(L461)="X",0,IF((LEN(SUBSTITUTE(SUBSTITUTE(SUBSTITUTE(M461," ",""),"0",""),"-",""))+LEN(SUBSTITUTE(SUBSTITUTE(SUBSTITUTE(N461," ",""),"0",""),"-","")))&gt;(LEN(SUBSTITUTE(SUBSTITUTE(SUBSTITUTE(J461," ",""),"0",""),"-",""))+LEN(SUBSTITUTE(SUBSTITUTE(SUBSTITUTE(K461," ",""),"0",""),"-",""))),1,0))+IF(UPPER(L462)="X",0,IF((LEN(SUBSTITUTE(SUBSTITUTE(SUBSTITUTE(M462," ",""),"0",""),"-",""))+LEN(SUBSTITUTE(SUBSTITUTE(SUBSTITUTE(N462," ",""),"0",""),"-","")))&gt;(LEN(SUBSTITUTE(SUBSTITUTE(SUBSTITUTE(J462," ",""),"0",""),"-",""))+LEN(SUBSTITUTE(SUBSTITUTE(SUBSTITUTE(K462," ",""),"0",""),"-",""))),1,0))+IF(UPPER(L463)="X",0,IF((LEN(SUBSTITUTE(SUBSTITUTE(SUBSTITUTE(M463," ",""),"0",""),"-",""))+LEN(SUBSTITUTE(SUBSTITUTE(SUBSTITUTE(N463," ",""),"0",""),"-","")))&gt;(LEN(SUBSTITUTE(SUBSTITUTE(SUBSTITUTE(J463," ",""),"0",""),"-",""))+LEN(SUBSTITUTE(SUBSTITUTE(SUBSTITUTE(K463," ",""),"0",""),"-",""))),1,0))+IF(UPPER(L464)="X",0,IF((LEN(SUBSTITUTE(SUBSTITUTE(SUBSTITUTE(M464," ",""),"0",""),"-",""))+LEN(SUBSTITUTE(SUBSTITUTE(SUBSTITUTE(N464," ",""),"0",""),"-","")))&gt;(LEN(SUBSTITUTE(SUBSTITUTE(SUBSTITUTE(J464," ",""),"0",""),"-",""))+LEN(SUBSTITUTE(SUBSTITUTE(SUBSTITUTE(K464," ",""),"0",""),"-",""))),1,0))+IF(UPPER(L465)="X",0,IF((LEN(SUBSTITUTE(SUBSTITUTE(SUBSTITUTE(M465," ",""),"0",""),"-",""))+LEN(SUBSTITUTE(SUBSTITUTE(SUBSTITUTE(N465," ",""),"0",""),"-","")))&gt;(LEN(SUBSTITUTE(SUBSTITUTE(SUBSTITUTE(J465," ",""),"0",""),"-",""))+LEN(SUBSTITUTE(SUBSTITUTE(SUBSTITUTE(K465," ",""),"0",""),"-",""))),1,0))</f>
      </c>
      <c r="O460" s="14" t="str">
        <f>data!$E$80&amp;" "&amp;data!$B$80</f>
      </c>
    </row>
    <row r="461">
      <c r="A461" s="14">
        <v>1</v>
      </c>
      <c r="B461" s="18"/>
      <c r="C461" s="18"/>
      <c r="D461" s="18"/>
      <c r="E461" s="18"/>
      <c r="F461" s="18"/>
      <c r="G461" s="14">
        <v>1</v>
      </c>
      <c r="I461" s="14">
        <v>1</v>
      </c>
      <c r="J461" s="18"/>
      <c r="K461" s="18"/>
      <c r="L461" s="18"/>
      <c r="M461" s="18"/>
      <c r="N461" s="18"/>
      <c r="O461" s="14">
        <v>1</v>
      </c>
    </row>
    <row r="462">
      <c r="A462" s="14">
        <v>2</v>
      </c>
      <c r="B462" s="18"/>
      <c r="C462" s="18"/>
      <c r="D462" s="18"/>
      <c r="E462" s="18"/>
      <c r="F462" s="18"/>
      <c r="G462" s="14">
        <v>2</v>
      </c>
      <c r="I462" s="14">
        <v>2</v>
      </c>
      <c r="J462" s="18"/>
      <c r="K462" s="18"/>
      <c r="L462" s="18"/>
      <c r="M462" s="18"/>
      <c r="N462" s="18"/>
      <c r="O462" s="14">
        <v>2</v>
      </c>
    </row>
    <row r="463">
      <c r="A463" s="14">
        <v>3</v>
      </c>
      <c r="B463" s="18"/>
      <c r="C463" s="18"/>
      <c r="D463" s="18"/>
      <c r="E463" s="18"/>
      <c r="F463" s="18"/>
      <c r="G463" s="14">
        <v>3</v>
      </c>
      <c r="I463" s="14">
        <v>3</v>
      </c>
      <c r="J463" s="18"/>
      <c r="K463" s="18"/>
      <c r="L463" s="18"/>
      <c r="M463" s="18"/>
      <c r="N463" s="18"/>
      <c r="O463" s="14">
        <v>3</v>
      </c>
    </row>
    <row r="464">
      <c r="A464" s="14">
        <v>4</v>
      </c>
      <c r="B464" s="18"/>
      <c r="C464" s="18"/>
      <c r="D464" s="18"/>
      <c r="E464" s="18"/>
      <c r="F464" s="18"/>
      <c r="G464" s="14">
        <v>4</v>
      </c>
      <c r="I464" s="14">
        <v>4</v>
      </c>
      <c r="J464" s="18"/>
      <c r="K464" s="18"/>
      <c r="L464" s="18"/>
      <c r="M464" s="18"/>
      <c r="N464" s="18"/>
      <c r="O464" s="14">
        <v>4</v>
      </c>
    </row>
    <row r="465">
      <c r="A465" s="14">
        <v>5</v>
      </c>
      <c r="B465" s="18"/>
      <c r="C465" s="18"/>
      <c r="D465" s="18"/>
      <c r="E465" s="18"/>
      <c r="F465" s="18"/>
      <c r="G465" s="14">
        <v>5</v>
      </c>
      <c r="I465" s="14">
        <v>5</v>
      </c>
      <c r="J465" s="18"/>
      <c r="K465" s="18"/>
      <c r="L465" s="18"/>
      <c r="M465" s="18"/>
      <c r="N465" s="18"/>
      <c r="O465" s="14">
        <v>5</v>
      </c>
    </row>
    <row r="468">
      <c r="A468" s="13" t="s">
        <v>333</v>
      </c>
      <c r="B468" s="13" t="s">
        <v>334</v>
      </c>
      <c r="C468" s="13" t="s">
        <v>335</v>
      </c>
      <c r="D468" s="13" t="s">
        <v>336</v>
      </c>
      <c r="E468" s="13"/>
      <c r="F468" s="13"/>
      <c r="G468" s="13" t="s">
        <v>337</v>
      </c>
      <c r="I468" s="13" t="s">
        <v>333</v>
      </c>
      <c r="J468" s="13" t="s">
        <v>334</v>
      </c>
      <c r="K468" s="13" t="s">
        <v>335</v>
      </c>
      <c r="L468" s="13" t="s">
        <v>336</v>
      </c>
      <c r="M468" s="13"/>
      <c r="N468" s="13"/>
      <c r="O468" s="13" t="s">
        <v>337</v>
      </c>
    </row>
    <row r="469">
      <c r="A469" s="14" t="str">
        <f>data!$E$34&amp;" "&amp;data!$B$34</f>
      </c>
      <c r="B469" s="14" t="str">
        <f>IF(OR(COUNTA(B445:C449,E445:F449)&gt;0,D445="X",D445="x",D446="X",D446="x",D447="X",D447="x",D448="X",D448="x",D449="X",D449="x",OR(D444="X",D444="x")),IF(OR(OR(D444="X",D444="x"),AND(B444=F444,C444=E444)),0,IF(OR(F444&gt;B444,AND(F444=B444,E444&gt;C444)),1,0)),0)+IF(OR(COUNTA(B453:C457,E453:F457)&gt;0,D453="X",D453="x",D454="X",D454="x",D455="X",D455="x",D456="X",D456="x",D457="X",D457="x",OR(D452="X",D452="x")),IF(OR(OR(D452="X",D452="x"),AND(B452=F452,C452=E452)),0,IF(OR(F452&gt;B452,AND(F452=B452,E452&gt;C452)),1,0)),0)</f>
      </c>
      <c r="C469" s="14" t="str">
        <f>IF(OR(COUNTA(B445:C449,E445:F449)&gt;0,D445="X",D445="x",D446="X",D446="x",D447="X",D447="x",D448="X",D448="x",D449="X",D449="x",OR(D444="X",D444="x")),IF(OR(OR(D444="X",D444="x"),AND(B444=F444,C444=E444)),0,IF(OR(F444&lt;B444,AND(F444=B444,E444&lt;C444)),1,0)),0)+IF(OR(COUNTA(B453:C457,E453:F457)&gt;0,D453="X",D453="x",D454="X",D454="x",D455="X",D455="x",D456="X",D456="x",D457="X",D457="x",OR(D452="X",D452="x")),IF(OR(OR(D452="X",D452="x"),AND(B452=F452,C452=E452)),0,IF(OR(F452&lt;B452,AND(F452=B452,E452&lt;C452)),1,0)),0)</f>
      </c>
      <c r="D469" s="14" t="str">
        <f>IF(OR(COUNTA(B445:C449,E445:F449)&gt;0,D445="X",D445="x",D446="X",D446="x",D447="X",D447="x",D448="X",D448="x",D449="X",D449="x",OR(D444="X",D444="x")),IF(OR(OR(D444="X",D444="x"),AND(B444=F444,C444=E444)),1,0),0)+IF(OR(COUNTA(B453:C457,E453:F457)&gt;0,D453="X",D453="x",D454="X",D454="x",D455="X",D455="x",D456="X",D456="x",D457="X",D457="x",OR(D452="X",D452="x")),IF(OR(OR(D452="X",D452="x"),AND(B452=F452,C452=E452)),1,0),0)</f>
      </c>
      <c r="G469" s="18" t="str">
        <f>RANK(U469,$U$469:$U$471)+COUNTIF($U$468:U468,U469)</f>
      </c>
      <c r="I469" s="14" t="str">
        <f>data!$E$79&amp;" "&amp;data!$B$79</f>
      </c>
      <c r="J469" s="14" t="str">
        <f>IF(OR(COUNTA(J445:K449,M445:N449)&gt;0,L445="X",L445="x",L446="X",L446="x",L447="X",L447="x",L448="X",L448="x",L449="X",L449="x",OR(L444="X",L444="x")),IF(OR(OR(L444="X",L444="x"),AND(J444=N444,K444=M444)),0,IF(OR(N444&gt;J444,AND(N444=J444,M444&gt;K444)),1,0)),0)+IF(OR(COUNTA(J453:K457,M453:N457)&gt;0,L453="X",L453="x",L454="X",L454="x",L455="X",L455="x",L456="X",L456="x",L457="X",L457="x",OR(L452="X",L452="x")),IF(OR(OR(L452="X",L452="x"),AND(J452=N452,K452=M452)),0,IF(OR(N452&gt;J452,AND(N452=J452,M452&gt;K452)),1,0)),0)</f>
      </c>
      <c r="K469" s="14" t="str">
        <f>IF(OR(COUNTA(J445:K449,M445:N449)&gt;0,L445="X",L445="x",L446="X",L446="x",L447="X",L447="x",L448="X",L448="x",L449="X",L449="x",OR(L444="X",L444="x")),IF(OR(OR(L444="X",L444="x"),AND(J444=N444,K444=M444)),0,IF(OR(N444&lt;J444,AND(N444=J444,M444&lt;K444)),1,0)),0)+IF(OR(COUNTA(J453:K457,M453:N457)&gt;0,L453="X",L453="x",L454="X",L454="x",L455="X",L455="x",L456="X",L456="x",L457="X",L457="x",OR(L452="X",L452="x")),IF(OR(OR(L452="X",L452="x"),AND(J452=N452,K452=M452)),0,IF(OR(N452&lt;J452,AND(N452=J452,M452&lt;K452)),1,0)),0)</f>
      </c>
      <c r="L469" s="14" t="str">
        <f>IF(OR(COUNTA(J445:K449,M445:N449)&gt;0,L445="X",L445="x",L446="X",L446="x",L447="X",L447="x",L448="X",L448="x",L449="X",L449="x",OR(L444="X",L444="x")),IF(OR(OR(L444="X",L444="x"),AND(J444=N444,K444=M444)),1,0),0)+IF(OR(COUNTA(J453:K457,M453:N457)&gt;0,L453="X",L453="x",L454="X",L454="x",L455="X",L455="x",L456="X",L456="x",L457="X",L457="x",OR(L452="X",L452="x")),IF(OR(OR(L452="X",L452="x"),AND(J452=N452,K452=M452)),1,0),0)</f>
      </c>
      <c r="O469" s="18" t="str">
        <f>RANK(AC469,$AC$469:$AC$471)+COUNTIF($AC$468:AC468,AC469)</f>
      </c>
      <c r="U469" t="str">
        <f>(B469*1000000000)-(C469*10000000)+(D469*100000)+(B474*1000)-(C474*100)+(D474*10)+(E474*1)-(F474*0.01)</f>
      </c>
      <c r="AC469" t="str">
        <f>(J469*1000000000)-(K469*10000000)+(L469*100000)+(J474*1000)-(K474*100)+(L474*10)+(M474*1)-(N474*0.01)</f>
      </c>
    </row>
    <row r="470">
      <c r="A470" s="14" t="str">
        <f>data!$E$35&amp;" "&amp;data!$B$35</f>
      </c>
      <c r="B470" s="14" t="str">
        <f>IF(OR(COUNTA(B445:C449,E445:F449)&gt;0,D445="X",D445="x",D446="X",D446="x",D447="X",D447="x",D448="X",D448="x",D449="X",D449="x",OR(D444="X",D444="x")),IF(OR(OR(D444="X",D444="x"),AND(B444=F444,C444=E444)),0,IF(OR(B444&gt;F444,AND(B444=F444,C444&gt;E444)),1,0)),0)+IF(OR(COUNTA(B461:C465,E461:F465)&gt;0,D461="X",D461="x",D462="X",D462="x",D463="X",D463="x",D464="X",D464="x",D465="X",D465="x",OR(D460="X",D460="x")),IF(OR(OR(D460="X",D460="x"),AND(B460=F460,C460=E460)),0,IF(OR(F460&gt;B460,AND(F460=B460,E460&gt;C460)),1,0)),0)</f>
      </c>
      <c r="C470" s="14" t="str">
        <f>IF(OR(COUNTA(B445:C449,E445:F449)&gt;0,D445="X",D445="x",D446="X",D446="x",D447="X",D447="x",D448="X",D448="x",D449="X",D449="x",OR(D444="X",D444="x")),IF(OR(OR(D444="X",D444="x"),AND(B444=F444,C444=E444)),0,IF(OR(B444&lt;F444,AND(B444=F444,C444&lt;E444)),1,0)),0)+IF(OR(COUNTA(B461:C465,E461:F465)&gt;0,D461="X",D461="x",D462="X",D462="x",D463="X",D463="x",D464="X",D464="x",D465="X",D465="x",OR(D460="X",D460="x")),IF(OR(OR(D460="X",D460="x"),AND(B460=F460,C460=E460)),0,IF(OR(F460&lt;B460,AND(F460=B460,E460&lt;C460)),1,0)),0)</f>
      </c>
      <c r="D470" s="14" t="str">
        <f>IF(OR(COUNTA(B445:C449,E445:F449)&gt;0,D445="X",D445="x",D446="X",D446="x",D447="X",D447="x",D448="X",D448="x",D449="X",D449="x",OR(D444="X",D444="x")),IF(OR(OR(D444="X",D444="x"),AND(B444=F444,C444=E444)),1,0),0)+IF(OR(COUNTA(B461:C465,E461:F465)&gt;0,D461="X",D461="x",D462="X",D462="x",D463="X",D463="x",D464="X",D464="x",D465="X",D465="x",OR(D460="X",D460="x")),IF(OR(OR(D460="X",D460="x"),AND(B460=F460,C460=E460)),1,0),0)</f>
      </c>
      <c r="G470" s="18" t="str">
        <f>RANK(U470,$U$469:$U$471)+COUNTIF($U$468:U469,U470)</f>
      </c>
      <c r="I470" s="14" t="str">
        <f>data!$E$80&amp;" "&amp;data!$B$80</f>
      </c>
      <c r="J470" s="14" t="str">
        <f>IF(OR(COUNTA(J445:K449,M445:N449)&gt;0,L445="X",L445="x",L446="X",L446="x",L447="X",L447="x",L448="X",L448="x",L449="X",L449="x",OR(L444="X",L444="x")),IF(OR(OR(L444="X",L444="x"),AND(J444=N444,K444=M444)),0,IF(OR(J444&gt;N444,AND(J444=N444,K444&gt;M444)),1,0)),0)+IF(OR(COUNTA(J461:K465,M461:N465)&gt;0,L461="X",L461="x",L462="X",L462="x",L463="X",L463="x",L464="X",L464="x",L465="X",L465="x",OR(L460="X",L460="x")),IF(OR(OR(L460="X",L460="x"),AND(J460=N460,K460=M460)),0,IF(OR(N460&gt;J460,AND(N460=J460,M460&gt;K460)),1,0)),0)</f>
      </c>
      <c r="K470" s="14" t="str">
        <f>IF(OR(COUNTA(J445:K449,M445:N449)&gt;0,L445="X",L445="x",L446="X",L446="x",L447="X",L447="x",L448="X",L448="x",L449="X",L449="x",OR(L444="X",L444="x")),IF(OR(OR(L444="X",L444="x"),AND(J444=N444,K444=M444)),0,IF(OR(J444&lt;N444,AND(J444=N444,K444&lt;M444)),1,0)),0)+IF(OR(COUNTA(J461:K465,M461:N465)&gt;0,L461="X",L461="x",L462="X",L462="x",L463="X",L463="x",L464="X",L464="x",L465="X",L465="x",OR(L460="X",L460="x")),IF(OR(OR(L460="X",L460="x"),AND(J460=N460,K460=M460)),0,IF(OR(N460&lt;J460,AND(N460=J460,M460&lt;K460)),1,0)),0)</f>
      </c>
      <c r="L470" s="14" t="str">
        <f>IF(OR(COUNTA(J445:K449,M445:N449)&gt;0,L445="X",L445="x",L446="X",L446="x",L447="X",L447="x",L448="X",L448="x",L449="X",L449="x",OR(L444="X",L444="x")),IF(OR(OR(L444="X",L444="x"),AND(J444=N444,K444=M444)),1,0),0)+IF(OR(COUNTA(J461:K465,M461:N465)&gt;0,L461="X",L461="x",L462="X",L462="x",L463="X",L463="x",L464="X",L464="x",L465="X",L465="x",OR(L460="X",L460="x")),IF(OR(OR(L460="X",L460="x"),AND(J460=N460,K460=M460)),1,0),0)</f>
      </c>
      <c r="O470" s="18" t="str">
        <f>RANK(AC470,$AC$469:$AC$471)+COUNTIF($AC$468:AC469,AC470)</f>
      </c>
      <c r="U470" t="str">
        <f>(B470*1000000000)-(C470*10000000)+(D470*100000)+(B475*1000)-(C475*100)+(D475*10)+(E475*1)-(F475*0.01)</f>
      </c>
      <c r="AC470" t="str">
        <f>(J470*1000000000)-(K470*10000000)+(L470*100000)+(J475*1000)-(K475*100)+(L475*10)+(M475*1)-(N475*0.01)</f>
      </c>
    </row>
    <row r="471">
      <c r="A471" s="14" t="str">
        <f>data!$E$36&amp;" "&amp;data!$B$36</f>
      </c>
      <c r="B471" s="14" t="str">
        <f>IF(OR(COUNTA(B453:C457,E453:F457)&gt;0,D453="X",D453="x",D454="X",D454="x",D455="X",D455="x",D456="X",D456="x",D457="X",D457="x",OR(D452="X",D452="x")),IF(OR(OR(D452="X",D452="x"),AND(B452=F452,C452=E452)),0,IF(OR(B452&gt;F452,AND(B452=F452,C452&gt;E452)),1,0)),0)+IF(OR(COUNTA(B461:C465,E461:F465)&gt;0,D461="X",D461="x",D462="X",D462="x",D463="X",D463="x",D464="X",D464="x",D465="X",D465="x",OR(D460="X",D460="x")),IF(OR(OR(D460="X",D460="x"),AND(B460=F460,C460=E460)),0,IF(OR(B460&gt;F460,AND(B460=F460,C460&gt;E460)),1,0)),0)</f>
      </c>
      <c r="C471" s="14" t="str">
        <f>IF(OR(COUNTA(B453:C457,E453:F457)&gt;0,D453="X",D453="x",D454="X",D454="x",D455="X",D455="x",D456="X",D456="x",D457="X",D457="x",OR(D452="X",D452="x")),IF(OR(OR(D452="X",D452="x"),AND(B452=F452,C452=E452)),0,IF(OR(B452&lt;F452,AND(B452=F452,C452&lt;E452)),1,0)),0)+IF(OR(COUNTA(B461:C465,E461:F465)&gt;0,D461="X",D461="x",D462="X",D462="x",D463="X",D463="x",D464="X",D464="x",D465="X",D465="x",OR(D460="X",D460="x")),IF(OR(OR(D460="X",D460="x"),AND(B460=F460,C460=E460)),0,IF(OR(B460&lt;F460,AND(B460=F460,C460&lt;E460)),1,0)),0)</f>
      </c>
      <c r="D471" s="14" t="str">
        <f>IF(OR(COUNTA(B453:C457,E453:F457)&gt;0,D453="X",D453="x",D454="X",D454="x",D455="X",D455="x",D456="X",D456="x",D457="X",D457="x",OR(D452="X",D452="x")),IF(OR(OR(D452="X",D452="x"),AND(B452=F452,C452=E452)),1,0),0)+IF(OR(COUNTA(B461:C465,E461:F465)&gt;0,D461="X",D461="x",D462="X",D462="x",D463="X",D463="x",D464="X",D464="x",D465="X",D465="x",OR(D460="X",D460="x")),IF(OR(OR(D460="X",D460="x"),AND(B460=F460,C460=E460)),1,0),0)</f>
      </c>
      <c r="G471" s="18" t="str">
        <f>RANK(U471,$U$469:$U$471)+COUNTIF($U$468:U470,U471)</f>
      </c>
      <c r="I471" s="14" t="str">
        <f>data!$E$81&amp;" "&amp;data!$B$81</f>
      </c>
      <c r="J471" s="14" t="str">
        <f>IF(OR(COUNTA(J453:K457,M453:N457)&gt;0,L453="X",L453="x",L454="X",L454="x",L455="X",L455="x",L456="X",L456="x",L457="X",L457="x",OR(L452="X",L452="x")),IF(OR(OR(L452="X",L452="x"),AND(J452=N452,K452=M452)),0,IF(OR(J452&gt;N452,AND(J452=N452,K452&gt;M452)),1,0)),0)+IF(OR(COUNTA(J461:K465,M461:N465)&gt;0,L461="X",L461="x",L462="X",L462="x",L463="X",L463="x",L464="X",L464="x",L465="X",L465="x",OR(L460="X",L460="x")),IF(OR(OR(L460="X",L460="x"),AND(J460=N460,K460=M460)),0,IF(OR(J460&gt;N460,AND(J460=N460,K460&gt;M460)),1,0)),0)</f>
      </c>
      <c r="K471" s="14" t="str">
        <f>IF(OR(COUNTA(J453:K457,M453:N457)&gt;0,L453="X",L453="x",L454="X",L454="x",L455="X",L455="x",L456="X",L456="x",L457="X",L457="x",OR(L452="X",L452="x")),IF(OR(OR(L452="X",L452="x"),AND(J452=N452,K452=M452)),0,IF(OR(J452&lt;N452,AND(J452=N452,K452&lt;M452)),1,0)),0)+IF(OR(COUNTA(J461:K465,M461:N465)&gt;0,L461="X",L461="x",L462="X",L462="x",L463="X",L463="x",L464="X",L464="x",L465="X",L465="x",OR(L460="X",L460="x")),IF(OR(OR(L460="X",L460="x"),AND(J460=N460,K460=M460)),0,IF(OR(J460&lt;N460,AND(J460=N460,K460&lt;M460)),1,0)),0)</f>
      </c>
      <c r="L471" s="14" t="str">
        <f>IF(OR(COUNTA(J453:K457,M453:N457)&gt;0,L453="X",L453="x",L454="X",L454="x",L455="X",L455="x",L456="X",L456="x",L457="X",L457="x",OR(L452="X",L452="x")),IF(OR(OR(L452="X",L452="x"),AND(J452=N452,K452=M452)),1,0),0)+IF(OR(COUNTA(J461:K465,M461:N465)&gt;0,L461="X",L461="x",L462="X",L462="x",L463="X",L463="x",L464="X",L464="x",L465="X",L465="x",OR(L460="X",L460="x")),IF(OR(OR(L460="X",L460="x"),AND(J460=N460,K460=M460)),1,0),0)</f>
      </c>
      <c r="O471" s="18" t="str">
        <f>RANK(AC471,$AC$469:$AC$471)+COUNTIF($AC$468:AC470,AC471)</f>
      </c>
      <c r="U471" t="str">
        <f>(B471*1000000000)-(C471*10000000)+(D471*100000)+(B476*1000)-(C476*100)+(D476*10)+(E476*1)-(F476*0.01)</f>
      </c>
      <c r="AC471" t="str">
        <f>(J471*1000000000)-(K471*10000000)+(L471*100000)+(J476*1000)-(K476*100)+(L476*10)+(M476*1)-(N476*0.01)</f>
      </c>
    </row>
    <row r="473">
      <c r="A473" s="13"/>
      <c r="B473" s="13" t="s">
        <v>338</v>
      </c>
      <c r="C473" s="13" t="s">
        <v>339</v>
      </c>
      <c r="D473" s="13" t="s">
        <v>340</v>
      </c>
      <c r="E473" s="13" t="s">
        <v>341</v>
      </c>
      <c r="F473" s="13" t="s">
        <v>342</v>
      </c>
      <c r="I473" s="13"/>
      <c r="J473" s="13" t="s">
        <v>338</v>
      </c>
      <c r="K473" s="13" t="s">
        <v>339</v>
      </c>
      <c r="L473" s="13" t="s">
        <v>340</v>
      </c>
      <c r="M473" s="13" t="s">
        <v>341</v>
      </c>
      <c r="N473" s="13" t="s">
        <v>342</v>
      </c>
    </row>
    <row r="474">
      <c r="A474" s="14" t="str">
        <f>data!$E$34&amp;" "&amp;data!$B$34</f>
      </c>
      <c r="B474" s="14" t="str">
        <f>IF(OR(COUNTA(B445:C449,E445:F449)&gt;0,OR(D444="X",D444="x"),UPPER(D445)="X",UPPER(D446)="X",UPPER(D447)="X",UPPER(D448)="X",UPPER(D449)="X"),F444,0)+IF(OR(COUNTA(B453:C457,E453:F457)&gt;0,OR(D452="X",D452="x"),UPPER(D453)="X",UPPER(D454)="X",UPPER(D455)="X",UPPER(D456)="X",UPPER(D457)="X"),F452,0)</f>
      </c>
      <c r="C474" s="14" t="str">
        <f>IF(OR(COUNTA(B445:C449,E445:F449)&gt;0,OR(D444="X",D444="x"),UPPER(D445)="X",UPPER(D446)="X",UPPER(D447)="X",UPPER(D448)="X",UPPER(D449)="X"),B444,0)+IF(OR(COUNTA(B453:C457,E453:F457)&gt;0,OR(D452="X",D452="x"),UPPER(D453)="X",UPPER(D454)="X",UPPER(D455)="X",UPPER(D456)="X",UPPER(D457)="X"),B452,0)</f>
      </c>
      <c r="D474" s="14" t="str">
        <f>IF(OR(COUNTA(B445:C449,E445:F449)&gt;0,OR(D444="X",D444="x"),UPPER(D445)="X",UPPER(D446)="X",UPPER(D447)="X",UPPER(D448)="X",UPPER(D449)="X"),(IF(OR(D445="X",D445="x",AND(COUNTA(B445,C445,E445,F445)&gt;0,(LEN(SUBSTITUTE(SUBSTITUTE(SUBSTITUTE(B445," ",""),"0",""),"-",""))+LEN(SUBSTITUTE(SUBSTITUTE(SUBSTITUTE(C445," ",""),"0",""),"-","")))=(LEN(SUBSTITUTE(SUBSTITUTE(SUBSTITUTE(E445," ",""),"0",""),"-",""))+LEN(SUBSTITUTE(SUBSTITUTE(SUBSTITUTE(F445," ",""),"0",""),"-",""))))),1,0)+IF(OR(D446="X",D446="x",AND(COUNTA(B446,C446,E446,F446)&gt;0,(LEN(SUBSTITUTE(SUBSTITUTE(SUBSTITUTE(B446," ",""),"0",""),"-",""))+LEN(SUBSTITUTE(SUBSTITUTE(SUBSTITUTE(C446," ",""),"0",""),"-","")))=(LEN(SUBSTITUTE(SUBSTITUTE(SUBSTITUTE(E446," ",""),"0",""),"-",""))+LEN(SUBSTITUTE(SUBSTITUTE(SUBSTITUTE(F446," ",""),"0",""),"-",""))))),1,0)+IF(OR(D447="X",D447="x",AND(COUNTA(B447,C447,E447,F447)&gt;0,(LEN(SUBSTITUTE(SUBSTITUTE(SUBSTITUTE(B447," ",""),"0",""),"-",""))+LEN(SUBSTITUTE(SUBSTITUTE(SUBSTITUTE(C447," ",""),"0",""),"-","")))=(LEN(SUBSTITUTE(SUBSTITUTE(SUBSTITUTE(E447," ",""),"0",""),"-",""))+LEN(SUBSTITUTE(SUBSTITUTE(SUBSTITUTE(F447," ",""),"0",""),"-",""))))),1,0)+IF(OR(D448="X",D448="x",AND(COUNTA(B448,C448,E448,F448)&gt;0,(LEN(SUBSTITUTE(SUBSTITUTE(SUBSTITUTE(B448," ",""),"0",""),"-",""))+LEN(SUBSTITUTE(SUBSTITUTE(SUBSTITUTE(C448," ",""),"0",""),"-","")))=(LEN(SUBSTITUTE(SUBSTITUTE(SUBSTITUTE(E448," ",""),"0",""),"-",""))+LEN(SUBSTITUTE(SUBSTITUTE(SUBSTITUTE(F448," ",""),"0",""),"-",""))))),1,0)+IF(OR(D449="X",D449="x",AND(COUNTA(B449,C449,E449,F449)&gt;0,(LEN(SUBSTITUTE(SUBSTITUTE(SUBSTITUTE(B449," ",""),"0",""),"-",""))+LEN(SUBSTITUTE(SUBSTITUTE(SUBSTITUTE(C449," ",""),"0",""),"-","")))=(LEN(SUBSTITUTE(SUBSTITUTE(SUBSTITUTE(E449," ",""),"0",""),"-",""))+LEN(SUBSTITUTE(SUBSTITUTE(SUBSTITUTE(F449," ",""),"0",""),"-",""))))),1,0)),0)+IF(OR(COUNTA(B453:C457,E453:F457)&gt;0,OR(D452="X",D452="x"),UPPER(D453)="X",UPPER(D454)="X",UPPER(D455)="X",UPPER(D456)="X",UPPER(D457)="X"),(IF(OR(D453="X",D453="x",AND(COUNTA(B453,C453,E453,F453)&gt;0,(LEN(SUBSTITUTE(SUBSTITUTE(SUBSTITUTE(B453," ",""),"0",""),"-",""))+LEN(SUBSTITUTE(SUBSTITUTE(SUBSTITUTE(C453," ",""),"0",""),"-","")))=(LEN(SUBSTITUTE(SUBSTITUTE(SUBSTITUTE(E453," ",""),"0",""),"-",""))+LEN(SUBSTITUTE(SUBSTITUTE(SUBSTITUTE(F453," ",""),"0",""),"-",""))))),1,0)+IF(OR(D454="X",D454="x",AND(COUNTA(B454,C454,E454,F454)&gt;0,(LEN(SUBSTITUTE(SUBSTITUTE(SUBSTITUTE(B454," ",""),"0",""),"-",""))+LEN(SUBSTITUTE(SUBSTITUTE(SUBSTITUTE(C454," ",""),"0",""),"-","")))=(LEN(SUBSTITUTE(SUBSTITUTE(SUBSTITUTE(E454," ",""),"0",""),"-",""))+LEN(SUBSTITUTE(SUBSTITUTE(SUBSTITUTE(F454," ",""),"0",""),"-",""))))),1,0)+IF(OR(D455="X",D455="x",AND(COUNTA(B455,C455,E455,F455)&gt;0,(LEN(SUBSTITUTE(SUBSTITUTE(SUBSTITUTE(B455," ",""),"0",""),"-",""))+LEN(SUBSTITUTE(SUBSTITUTE(SUBSTITUTE(C455," ",""),"0",""),"-","")))=(LEN(SUBSTITUTE(SUBSTITUTE(SUBSTITUTE(E455," ",""),"0",""),"-",""))+LEN(SUBSTITUTE(SUBSTITUTE(SUBSTITUTE(F455," ",""),"0",""),"-",""))))),1,0)+IF(OR(D456="X",D456="x",AND(COUNTA(B456,C456,E456,F456)&gt;0,(LEN(SUBSTITUTE(SUBSTITUTE(SUBSTITUTE(B456," ",""),"0",""),"-",""))+LEN(SUBSTITUTE(SUBSTITUTE(SUBSTITUTE(C456," ",""),"0",""),"-","")))=(LEN(SUBSTITUTE(SUBSTITUTE(SUBSTITUTE(E456," ",""),"0",""),"-",""))+LEN(SUBSTITUTE(SUBSTITUTE(SUBSTITUTE(F456," ",""),"0",""),"-",""))))),1,0)+IF(OR(D457="X",D457="x",AND(COUNTA(B457,C457,E457,F457)&gt;0,(LEN(SUBSTITUTE(SUBSTITUTE(SUBSTITUTE(B457," ",""),"0",""),"-",""))+LEN(SUBSTITUTE(SUBSTITUTE(SUBSTITUTE(C457," ",""),"0",""),"-","")))=(LEN(SUBSTITUTE(SUBSTITUTE(SUBSTITUTE(E457," ",""),"0",""),"-",""))+LEN(SUBSTITUTE(SUBSTITUTE(SUBSTITUTE(F457," ",""),"0",""),"-",""))))),1,0)),0)</f>
      </c>
      <c r="E474" s="14" t="str">
        <f>E444+E452</f>
      </c>
      <c r="F474" s="14" t="str">
        <f>C444+C452</f>
      </c>
      <c r="I474" s="14" t="str">
        <f>data!$E$79&amp;" "&amp;data!$B$79</f>
      </c>
      <c r="J474" s="14" t="str">
        <f>IF(OR(COUNTA(J445:K449,M445:N449)&gt;0,OR(L444="X",L444="x"),UPPER(L445)="X",UPPER(L446)="X",UPPER(L447)="X",UPPER(L448)="X",UPPER(L449)="X"),N444,0)+IF(OR(COUNTA(J453:K457,M453:N457)&gt;0,OR(L452="X",L452="x"),UPPER(L453)="X",UPPER(L454)="X",UPPER(L455)="X",UPPER(L456)="X",UPPER(L457)="X"),N452,0)</f>
      </c>
      <c r="K474" s="14" t="str">
        <f>IF(OR(COUNTA(J445:K449,M445:N449)&gt;0,OR(L444="X",L444="x"),UPPER(L445)="X",UPPER(L446)="X",UPPER(L447)="X",UPPER(L448)="X",UPPER(L449)="X"),J444,0)+IF(OR(COUNTA(J453:K457,M453:N457)&gt;0,OR(L452="X",L452="x"),UPPER(L453)="X",UPPER(L454)="X",UPPER(L455)="X",UPPER(L456)="X",UPPER(L457)="X"),J452,0)</f>
      </c>
      <c r="L474" s="14" t="str">
        <f>IF(OR(COUNTA(J445:K449,M445:N449)&gt;0,OR(L444="X",L444="x"),UPPER(L445)="X",UPPER(L446)="X",UPPER(L447)="X",UPPER(L448)="X",UPPER(L449)="X"),(IF(OR(L445="X",L445="x",AND(COUNTA(J445,K445,M445,N445)&gt;0,(LEN(SUBSTITUTE(SUBSTITUTE(SUBSTITUTE(J445," ",""),"0",""),"-",""))+LEN(SUBSTITUTE(SUBSTITUTE(SUBSTITUTE(K445," ",""),"0",""),"-","")))=(LEN(SUBSTITUTE(SUBSTITUTE(SUBSTITUTE(M445," ",""),"0",""),"-",""))+LEN(SUBSTITUTE(SUBSTITUTE(SUBSTITUTE(N445," ",""),"0",""),"-",""))))),1,0)+IF(OR(L446="X",L446="x",AND(COUNTA(J446,K446,M446,N446)&gt;0,(LEN(SUBSTITUTE(SUBSTITUTE(SUBSTITUTE(J446," ",""),"0",""),"-",""))+LEN(SUBSTITUTE(SUBSTITUTE(SUBSTITUTE(K446," ",""),"0",""),"-","")))=(LEN(SUBSTITUTE(SUBSTITUTE(SUBSTITUTE(M446," ",""),"0",""),"-",""))+LEN(SUBSTITUTE(SUBSTITUTE(SUBSTITUTE(N446," ",""),"0",""),"-",""))))),1,0)+IF(OR(L447="X",L447="x",AND(COUNTA(J447,K447,M447,N447)&gt;0,(LEN(SUBSTITUTE(SUBSTITUTE(SUBSTITUTE(J447," ",""),"0",""),"-",""))+LEN(SUBSTITUTE(SUBSTITUTE(SUBSTITUTE(K447," ",""),"0",""),"-","")))=(LEN(SUBSTITUTE(SUBSTITUTE(SUBSTITUTE(M447," ",""),"0",""),"-",""))+LEN(SUBSTITUTE(SUBSTITUTE(SUBSTITUTE(N447," ",""),"0",""),"-",""))))),1,0)+IF(OR(L448="X",L448="x",AND(COUNTA(J448,K448,M448,N448)&gt;0,(LEN(SUBSTITUTE(SUBSTITUTE(SUBSTITUTE(J448," ",""),"0",""),"-",""))+LEN(SUBSTITUTE(SUBSTITUTE(SUBSTITUTE(K448," ",""),"0",""),"-","")))=(LEN(SUBSTITUTE(SUBSTITUTE(SUBSTITUTE(M448," ",""),"0",""),"-",""))+LEN(SUBSTITUTE(SUBSTITUTE(SUBSTITUTE(N448," ",""),"0",""),"-",""))))),1,0)+IF(OR(L449="X",L449="x",AND(COUNTA(J449,K449,M449,N449)&gt;0,(LEN(SUBSTITUTE(SUBSTITUTE(SUBSTITUTE(J449," ",""),"0",""),"-",""))+LEN(SUBSTITUTE(SUBSTITUTE(SUBSTITUTE(K449," ",""),"0",""),"-","")))=(LEN(SUBSTITUTE(SUBSTITUTE(SUBSTITUTE(M449," ",""),"0",""),"-",""))+LEN(SUBSTITUTE(SUBSTITUTE(SUBSTITUTE(N449," ",""),"0",""),"-",""))))),1,0)),0)+IF(OR(COUNTA(J453:K457,M453:N457)&gt;0,OR(L452="X",L452="x"),UPPER(L453)="X",UPPER(L454)="X",UPPER(L455)="X",UPPER(L456)="X",UPPER(L457)="X"),(IF(OR(L453="X",L453="x",AND(COUNTA(J453,K453,M453,N453)&gt;0,(LEN(SUBSTITUTE(SUBSTITUTE(SUBSTITUTE(J453," ",""),"0",""),"-",""))+LEN(SUBSTITUTE(SUBSTITUTE(SUBSTITUTE(K453," ",""),"0",""),"-","")))=(LEN(SUBSTITUTE(SUBSTITUTE(SUBSTITUTE(M453," ",""),"0",""),"-",""))+LEN(SUBSTITUTE(SUBSTITUTE(SUBSTITUTE(N453," ",""),"0",""),"-",""))))),1,0)+IF(OR(L454="X",L454="x",AND(COUNTA(J454,K454,M454,N454)&gt;0,(LEN(SUBSTITUTE(SUBSTITUTE(SUBSTITUTE(J454," ",""),"0",""),"-",""))+LEN(SUBSTITUTE(SUBSTITUTE(SUBSTITUTE(K454," ",""),"0",""),"-","")))=(LEN(SUBSTITUTE(SUBSTITUTE(SUBSTITUTE(M454," ",""),"0",""),"-",""))+LEN(SUBSTITUTE(SUBSTITUTE(SUBSTITUTE(N454," ",""),"0",""),"-",""))))),1,0)+IF(OR(L455="X",L455="x",AND(COUNTA(J455,K455,M455,N455)&gt;0,(LEN(SUBSTITUTE(SUBSTITUTE(SUBSTITUTE(J455," ",""),"0",""),"-",""))+LEN(SUBSTITUTE(SUBSTITUTE(SUBSTITUTE(K455," ",""),"0",""),"-","")))=(LEN(SUBSTITUTE(SUBSTITUTE(SUBSTITUTE(M455," ",""),"0",""),"-",""))+LEN(SUBSTITUTE(SUBSTITUTE(SUBSTITUTE(N455," ",""),"0",""),"-",""))))),1,0)+IF(OR(L456="X",L456="x",AND(COUNTA(J456,K456,M456,N456)&gt;0,(LEN(SUBSTITUTE(SUBSTITUTE(SUBSTITUTE(J456," ",""),"0",""),"-",""))+LEN(SUBSTITUTE(SUBSTITUTE(SUBSTITUTE(K456," ",""),"0",""),"-","")))=(LEN(SUBSTITUTE(SUBSTITUTE(SUBSTITUTE(M456," ",""),"0",""),"-",""))+LEN(SUBSTITUTE(SUBSTITUTE(SUBSTITUTE(N456," ",""),"0",""),"-",""))))),1,0)+IF(OR(L457="X",L457="x",AND(COUNTA(J457,K457,M457,N457)&gt;0,(LEN(SUBSTITUTE(SUBSTITUTE(SUBSTITUTE(J457," ",""),"0",""),"-",""))+LEN(SUBSTITUTE(SUBSTITUTE(SUBSTITUTE(K457," ",""),"0",""),"-","")))=(LEN(SUBSTITUTE(SUBSTITUTE(SUBSTITUTE(M457," ",""),"0",""),"-",""))+LEN(SUBSTITUTE(SUBSTITUTE(SUBSTITUTE(N457," ",""),"0",""),"-",""))))),1,0)),0)</f>
      </c>
      <c r="M474" s="14" t="str">
        <f>M444+M452</f>
      </c>
      <c r="N474" s="14" t="str">
        <f>K444+K452</f>
      </c>
    </row>
    <row r="475">
      <c r="A475" s="14" t="str">
        <f>data!$E$35&amp;" "&amp;data!$B$35</f>
      </c>
      <c r="B475" s="14" t="str">
        <f>IF(OR(COUNTA(B445:C449,E445:F449)&gt;0,OR(D444="X",D444="x"),UPPER(D445)="X",UPPER(D446)="X",UPPER(D447)="X",UPPER(D448)="X",UPPER(D449)="X"),B444,0)+IF(OR(COUNTA(B461:C465,E461:F465)&gt;0,OR(D460="X",D460="x"),UPPER(D461)="X",UPPER(D462)="X",UPPER(D463)="X",UPPER(D464)="X",UPPER(D465)="X"),F460,0)</f>
      </c>
      <c r="C475" s="14" t="str">
        <f>IF(OR(COUNTA(B445:C449,E445:F449)&gt;0,OR(D444="X",D444="x"),UPPER(D445)="X",UPPER(D446)="X",UPPER(D447)="X",UPPER(D448)="X",UPPER(D449)="X"),F444,0)+IF(OR(COUNTA(B461:C465,E461:F465)&gt;0,OR(D460="X",D460="x"),UPPER(D461)="X",UPPER(D462)="X",UPPER(D463)="X",UPPER(D464)="X",UPPER(D465)="X"),B460,0)</f>
      </c>
      <c r="D475" s="14" t="str">
        <f>IF(OR(COUNTA(B445:C449,E445:F449)&gt;0,OR(D444="X",D444="x"),UPPER(D445)="X",UPPER(D446)="X",UPPER(D447)="X",UPPER(D448)="X",UPPER(D449)="X"),(IF(OR(D445="X",D445="x",AND(COUNTA(B445,C445,E445,F445)&gt;0,(LEN(SUBSTITUTE(SUBSTITUTE(SUBSTITUTE(B445," ",""),"0",""),"-",""))+LEN(SUBSTITUTE(SUBSTITUTE(SUBSTITUTE(C445," ",""),"0",""),"-","")))=(LEN(SUBSTITUTE(SUBSTITUTE(SUBSTITUTE(E445," ",""),"0",""),"-",""))+LEN(SUBSTITUTE(SUBSTITUTE(SUBSTITUTE(F445," ",""),"0",""),"-",""))))),1,0)+IF(OR(D446="X",D446="x",AND(COUNTA(B446,C446,E446,F446)&gt;0,(LEN(SUBSTITUTE(SUBSTITUTE(SUBSTITUTE(B446," ",""),"0",""),"-",""))+LEN(SUBSTITUTE(SUBSTITUTE(SUBSTITUTE(C446," ",""),"0",""),"-","")))=(LEN(SUBSTITUTE(SUBSTITUTE(SUBSTITUTE(E446," ",""),"0",""),"-",""))+LEN(SUBSTITUTE(SUBSTITUTE(SUBSTITUTE(F446," ",""),"0",""),"-",""))))),1,0)+IF(OR(D447="X",D447="x",AND(COUNTA(B447,C447,E447,F447)&gt;0,(LEN(SUBSTITUTE(SUBSTITUTE(SUBSTITUTE(B447," ",""),"0",""),"-",""))+LEN(SUBSTITUTE(SUBSTITUTE(SUBSTITUTE(C447," ",""),"0",""),"-","")))=(LEN(SUBSTITUTE(SUBSTITUTE(SUBSTITUTE(E447," ",""),"0",""),"-",""))+LEN(SUBSTITUTE(SUBSTITUTE(SUBSTITUTE(F447," ",""),"0",""),"-",""))))),1,0)+IF(OR(D448="X",D448="x",AND(COUNTA(B448,C448,E448,F448)&gt;0,(LEN(SUBSTITUTE(SUBSTITUTE(SUBSTITUTE(B448," ",""),"0",""),"-",""))+LEN(SUBSTITUTE(SUBSTITUTE(SUBSTITUTE(C448," ",""),"0",""),"-","")))=(LEN(SUBSTITUTE(SUBSTITUTE(SUBSTITUTE(E448," ",""),"0",""),"-",""))+LEN(SUBSTITUTE(SUBSTITUTE(SUBSTITUTE(F448," ",""),"0",""),"-",""))))),1,0)+IF(OR(D449="X",D449="x",AND(COUNTA(B449,C449,E449,F449)&gt;0,(LEN(SUBSTITUTE(SUBSTITUTE(SUBSTITUTE(B449," ",""),"0",""),"-",""))+LEN(SUBSTITUTE(SUBSTITUTE(SUBSTITUTE(C449," ",""),"0",""),"-","")))=(LEN(SUBSTITUTE(SUBSTITUTE(SUBSTITUTE(E449," ",""),"0",""),"-",""))+LEN(SUBSTITUTE(SUBSTITUTE(SUBSTITUTE(F449," ",""),"0",""),"-",""))))),1,0)),0)+IF(OR(COUNTA(B461:C465,E461:F465)&gt;0,OR(D460="X",D460="x"),UPPER(D461)="X",UPPER(D462)="X",UPPER(D463)="X",UPPER(D464)="X",UPPER(D465)="X"),(IF(OR(D461="X",D461="x",AND(COUNTA(B461,C461,E461,F461)&gt;0,(LEN(SUBSTITUTE(SUBSTITUTE(SUBSTITUTE(B461," ",""),"0",""),"-",""))+LEN(SUBSTITUTE(SUBSTITUTE(SUBSTITUTE(C461," ",""),"0",""),"-","")))=(LEN(SUBSTITUTE(SUBSTITUTE(SUBSTITUTE(E461," ",""),"0",""),"-",""))+LEN(SUBSTITUTE(SUBSTITUTE(SUBSTITUTE(F461," ",""),"0",""),"-",""))))),1,0)+IF(OR(D462="X",D462="x",AND(COUNTA(B462,C462,E462,F462)&gt;0,(LEN(SUBSTITUTE(SUBSTITUTE(SUBSTITUTE(B462," ",""),"0",""),"-",""))+LEN(SUBSTITUTE(SUBSTITUTE(SUBSTITUTE(C462," ",""),"0",""),"-","")))=(LEN(SUBSTITUTE(SUBSTITUTE(SUBSTITUTE(E462," ",""),"0",""),"-",""))+LEN(SUBSTITUTE(SUBSTITUTE(SUBSTITUTE(F462," ",""),"0",""),"-",""))))),1,0)+IF(OR(D463="X",D463="x",AND(COUNTA(B463,C463,E463,F463)&gt;0,(LEN(SUBSTITUTE(SUBSTITUTE(SUBSTITUTE(B463," ",""),"0",""),"-",""))+LEN(SUBSTITUTE(SUBSTITUTE(SUBSTITUTE(C463," ",""),"0",""),"-","")))=(LEN(SUBSTITUTE(SUBSTITUTE(SUBSTITUTE(E463," ",""),"0",""),"-",""))+LEN(SUBSTITUTE(SUBSTITUTE(SUBSTITUTE(F463," ",""),"0",""),"-",""))))),1,0)+IF(OR(D464="X",D464="x",AND(COUNTA(B464,C464,E464,F464)&gt;0,(LEN(SUBSTITUTE(SUBSTITUTE(SUBSTITUTE(B464," ",""),"0",""),"-",""))+LEN(SUBSTITUTE(SUBSTITUTE(SUBSTITUTE(C464," ",""),"0",""),"-","")))=(LEN(SUBSTITUTE(SUBSTITUTE(SUBSTITUTE(E464," ",""),"0",""),"-",""))+LEN(SUBSTITUTE(SUBSTITUTE(SUBSTITUTE(F464," ",""),"0",""),"-",""))))),1,0)+IF(OR(D465="X",D465="x",AND(COUNTA(B465,C465,E465,F465)&gt;0,(LEN(SUBSTITUTE(SUBSTITUTE(SUBSTITUTE(B465," ",""),"0",""),"-",""))+LEN(SUBSTITUTE(SUBSTITUTE(SUBSTITUTE(C465," ",""),"0",""),"-","")))=(LEN(SUBSTITUTE(SUBSTITUTE(SUBSTITUTE(E465," ",""),"0",""),"-",""))+LEN(SUBSTITUTE(SUBSTITUTE(SUBSTITUTE(F465," ",""),"0",""),"-",""))))),1,0)),0)</f>
      </c>
      <c r="E475" s="14" t="str">
        <f>C444+E460</f>
      </c>
      <c r="F475" s="14" t="str">
        <f>E444+C460</f>
      </c>
      <c r="I475" s="14" t="str">
        <f>data!$E$80&amp;" "&amp;data!$B$80</f>
      </c>
      <c r="J475" s="14" t="str">
        <f>IF(OR(COUNTA(J445:K449,M445:N449)&gt;0,OR(L444="X",L444="x"),UPPER(L445)="X",UPPER(L446)="X",UPPER(L447)="X",UPPER(L448)="X",UPPER(L449)="X"),J444,0)+IF(OR(COUNTA(J461:K465,M461:N465)&gt;0,OR(L460="X",L460="x"),UPPER(L461)="X",UPPER(L462)="X",UPPER(L463)="X",UPPER(L464)="X",UPPER(L465)="X"),N460,0)</f>
      </c>
      <c r="K475" s="14" t="str">
        <f>IF(OR(COUNTA(J445:K449,M445:N449)&gt;0,OR(L444="X",L444="x"),UPPER(L445)="X",UPPER(L446)="X",UPPER(L447)="X",UPPER(L448)="X",UPPER(L449)="X"),N444,0)+IF(OR(COUNTA(J461:K465,M461:N465)&gt;0,OR(L460="X",L460="x"),UPPER(L461)="X",UPPER(L462)="X",UPPER(L463)="X",UPPER(L464)="X",UPPER(L465)="X"),J460,0)</f>
      </c>
      <c r="L475" s="14" t="str">
        <f>IF(OR(COUNTA(J445:K449,M445:N449)&gt;0,OR(L444="X",L444="x"),UPPER(L445)="X",UPPER(L446)="X",UPPER(L447)="X",UPPER(L448)="X",UPPER(L449)="X"),(IF(OR(L445="X",L445="x",AND(COUNTA(J445,K445,M445,N445)&gt;0,(LEN(SUBSTITUTE(SUBSTITUTE(SUBSTITUTE(J445," ",""),"0",""),"-",""))+LEN(SUBSTITUTE(SUBSTITUTE(SUBSTITUTE(K445," ",""),"0",""),"-","")))=(LEN(SUBSTITUTE(SUBSTITUTE(SUBSTITUTE(M445," ",""),"0",""),"-",""))+LEN(SUBSTITUTE(SUBSTITUTE(SUBSTITUTE(N445," ",""),"0",""),"-",""))))),1,0)+IF(OR(L446="X",L446="x",AND(COUNTA(J446,K446,M446,N446)&gt;0,(LEN(SUBSTITUTE(SUBSTITUTE(SUBSTITUTE(J446," ",""),"0",""),"-",""))+LEN(SUBSTITUTE(SUBSTITUTE(SUBSTITUTE(K446," ",""),"0",""),"-","")))=(LEN(SUBSTITUTE(SUBSTITUTE(SUBSTITUTE(M446," ",""),"0",""),"-",""))+LEN(SUBSTITUTE(SUBSTITUTE(SUBSTITUTE(N446," ",""),"0",""),"-",""))))),1,0)+IF(OR(L447="X",L447="x",AND(COUNTA(J447,K447,M447,N447)&gt;0,(LEN(SUBSTITUTE(SUBSTITUTE(SUBSTITUTE(J447," ",""),"0",""),"-",""))+LEN(SUBSTITUTE(SUBSTITUTE(SUBSTITUTE(K447," ",""),"0",""),"-","")))=(LEN(SUBSTITUTE(SUBSTITUTE(SUBSTITUTE(M447," ",""),"0",""),"-",""))+LEN(SUBSTITUTE(SUBSTITUTE(SUBSTITUTE(N447," ",""),"0",""),"-",""))))),1,0)+IF(OR(L448="X",L448="x",AND(COUNTA(J448,K448,M448,N448)&gt;0,(LEN(SUBSTITUTE(SUBSTITUTE(SUBSTITUTE(J448," ",""),"0",""),"-",""))+LEN(SUBSTITUTE(SUBSTITUTE(SUBSTITUTE(K448," ",""),"0",""),"-","")))=(LEN(SUBSTITUTE(SUBSTITUTE(SUBSTITUTE(M448," ",""),"0",""),"-",""))+LEN(SUBSTITUTE(SUBSTITUTE(SUBSTITUTE(N448," ",""),"0",""),"-",""))))),1,0)+IF(OR(L449="X",L449="x",AND(COUNTA(J449,K449,M449,N449)&gt;0,(LEN(SUBSTITUTE(SUBSTITUTE(SUBSTITUTE(J449," ",""),"0",""),"-",""))+LEN(SUBSTITUTE(SUBSTITUTE(SUBSTITUTE(K449," ",""),"0",""),"-","")))=(LEN(SUBSTITUTE(SUBSTITUTE(SUBSTITUTE(M449," ",""),"0",""),"-",""))+LEN(SUBSTITUTE(SUBSTITUTE(SUBSTITUTE(N449," ",""),"0",""),"-",""))))),1,0)),0)+IF(OR(COUNTA(J461:K465,M461:N465)&gt;0,OR(L460="X",L460="x"),UPPER(L461)="X",UPPER(L462)="X",UPPER(L463)="X",UPPER(L464)="X",UPPER(L465)="X"),(IF(OR(L461="X",L461="x",AND(COUNTA(J461,K461,M461,N461)&gt;0,(LEN(SUBSTITUTE(SUBSTITUTE(SUBSTITUTE(J461," ",""),"0",""),"-",""))+LEN(SUBSTITUTE(SUBSTITUTE(SUBSTITUTE(K461," ",""),"0",""),"-","")))=(LEN(SUBSTITUTE(SUBSTITUTE(SUBSTITUTE(M461," ",""),"0",""),"-",""))+LEN(SUBSTITUTE(SUBSTITUTE(SUBSTITUTE(N461," ",""),"0",""),"-",""))))),1,0)+IF(OR(L462="X",L462="x",AND(COUNTA(J462,K462,M462,N462)&gt;0,(LEN(SUBSTITUTE(SUBSTITUTE(SUBSTITUTE(J462," ",""),"0",""),"-",""))+LEN(SUBSTITUTE(SUBSTITUTE(SUBSTITUTE(K462," ",""),"0",""),"-","")))=(LEN(SUBSTITUTE(SUBSTITUTE(SUBSTITUTE(M462," ",""),"0",""),"-",""))+LEN(SUBSTITUTE(SUBSTITUTE(SUBSTITUTE(N462," ",""),"0",""),"-",""))))),1,0)+IF(OR(L463="X",L463="x",AND(COUNTA(J463,K463,M463,N463)&gt;0,(LEN(SUBSTITUTE(SUBSTITUTE(SUBSTITUTE(J463," ",""),"0",""),"-",""))+LEN(SUBSTITUTE(SUBSTITUTE(SUBSTITUTE(K463," ",""),"0",""),"-","")))=(LEN(SUBSTITUTE(SUBSTITUTE(SUBSTITUTE(M463," ",""),"0",""),"-",""))+LEN(SUBSTITUTE(SUBSTITUTE(SUBSTITUTE(N463," ",""),"0",""),"-",""))))),1,0)+IF(OR(L464="X",L464="x",AND(COUNTA(J464,K464,M464,N464)&gt;0,(LEN(SUBSTITUTE(SUBSTITUTE(SUBSTITUTE(J464," ",""),"0",""),"-",""))+LEN(SUBSTITUTE(SUBSTITUTE(SUBSTITUTE(K464," ",""),"0",""),"-","")))=(LEN(SUBSTITUTE(SUBSTITUTE(SUBSTITUTE(M464," ",""),"0",""),"-",""))+LEN(SUBSTITUTE(SUBSTITUTE(SUBSTITUTE(N464," ",""),"0",""),"-",""))))),1,0)+IF(OR(L465="X",L465="x",AND(COUNTA(J465,K465,M465,N465)&gt;0,(LEN(SUBSTITUTE(SUBSTITUTE(SUBSTITUTE(J465," ",""),"0",""),"-",""))+LEN(SUBSTITUTE(SUBSTITUTE(SUBSTITUTE(K465," ",""),"0",""),"-","")))=(LEN(SUBSTITUTE(SUBSTITUTE(SUBSTITUTE(M465," ",""),"0",""),"-",""))+LEN(SUBSTITUTE(SUBSTITUTE(SUBSTITUTE(N465," ",""),"0",""),"-",""))))),1,0)),0)</f>
      </c>
      <c r="M475" s="14" t="str">
        <f>K444+M460</f>
      </c>
      <c r="N475" s="14" t="str">
        <f>M444+K460</f>
      </c>
    </row>
    <row r="476">
      <c r="A476" s="14" t="str">
        <f>data!$E$36&amp;" "&amp;data!$B$36</f>
      </c>
      <c r="B476" s="14" t="str">
        <f>IF(OR(COUNTA(B453:C457,E453:F457)&gt;0,OR(D452="X",D452="x"),UPPER(D453)="X",UPPER(D454)="X",UPPER(D455)="X",UPPER(D456)="X",UPPER(D457)="X"),B452,0)+IF(OR(COUNTA(B461:C465,E461:F465)&gt;0,OR(D460="X",D460="x"),UPPER(D461)="X",UPPER(D462)="X",UPPER(D463)="X",UPPER(D464)="X",UPPER(D465)="X"),B460,0)</f>
      </c>
      <c r="C476" s="14" t="str">
        <f>IF(OR(COUNTA(B453:C457,E453:F457)&gt;0,OR(D452="X",D452="x"),UPPER(D453)="X",UPPER(D454)="X",UPPER(D455)="X",UPPER(D456)="X",UPPER(D457)="X"),F452,0)+IF(OR(COUNTA(B461:C465,E461:F465)&gt;0,OR(D460="X",D460="x"),UPPER(D461)="X",UPPER(D462)="X",UPPER(D463)="X",UPPER(D464)="X",UPPER(D465)="X"),F460,0)</f>
      </c>
      <c r="D476" s="14" t="str">
        <f>IF(OR(COUNTA(B453:C457,E453:F457)&gt;0,OR(D452="X",D452="x"),UPPER(D453)="X",UPPER(D454)="X",UPPER(D455)="X",UPPER(D456)="X",UPPER(D457)="X"),(IF(OR(D453="X",D453="x",AND(COUNTA(B453,C453,E453,F453)&gt;0,(LEN(SUBSTITUTE(SUBSTITUTE(SUBSTITUTE(B453," ",""),"0",""),"-",""))+LEN(SUBSTITUTE(SUBSTITUTE(SUBSTITUTE(C453," ",""),"0",""),"-","")))=(LEN(SUBSTITUTE(SUBSTITUTE(SUBSTITUTE(E453," ",""),"0",""),"-",""))+LEN(SUBSTITUTE(SUBSTITUTE(SUBSTITUTE(F453," ",""),"0",""),"-",""))))),1,0)+IF(OR(D454="X",D454="x",AND(COUNTA(B454,C454,E454,F454)&gt;0,(LEN(SUBSTITUTE(SUBSTITUTE(SUBSTITUTE(B454," ",""),"0",""),"-",""))+LEN(SUBSTITUTE(SUBSTITUTE(SUBSTITUTE(C454," ",""),"0",""),"-","")))=(LEN(SUBSTITUTE(SUBSTITUTE(SUBSTITUTE(E454," ",""),"0",""),"-",""))+LEN(SUBSTITUTE(SUBSTITUTE(SUBSTITUTE(F454," ",""),"0",""),"-",""))))),1,0)+IF(OR(D455="X",D455="x",AND(COUNTA(B455,C455,E455,F455)&gt;0,(LEN(SUBSTITUTE(SUBSTITUTE(SUBSTITUTE(B455," ",""),"0",""),"-",""))+LEN(SUBSTITUTE(SUBSTITUTE(SUBSTITUTE(C455," ",""),"0",""),"-","")))=(LEN(SUBSTITUTE(SUBSTITUTE(SUBSTITUTE(E455," ",""),"0",""),"-",""))+LEN(SUBSTITUTE(SUBSTITUTE(SUBSTITUTE(F455," ",""),"0",""),"-",""))))),1,0)+IF(OR(D456="X",D456="x",AND(COUNTA(B456,C456,E456,F456)&gt;0,(LEN(SUBSTITUTE(SUBSTITUTE(SUBSTITUTE(B456," ",""),"0",""),"-",""))+LEN(SUBSTITUTE(SUBSTITUTE(SUBSTITUTE(C456," ",""),"0",""),"-","")))=(LEN(SUBSTITUTE(SUBSTITUTE(SUBSTITUTE(E456," ",""),"0",""),"-",""))+LEN(SUBSTITUTE(SUBSTITUTE(SUBSTITUTE(F456," ",""),"0",""),"-",""))))),1,0)+IF(OR(D457="X",D457="x",AND(COUNTA(B457,C457,E457,F457)&gt;0,(LEN(SUBSTITUTE(SUBSTITUTE(SUBSTITUTE(B457," ",""),"0",""),"-",""))+LEN(SUBSTITUTE(SUBSTITUTE(SUBSTITUTE(C457," ",""),"0",""),"-","")))=(LEN(SUBSTITUTE(SUBSTITUTE(SUBSTITUTE(E457," ",""),"0",""),"-",""))+LEN(SUBSTITUTE(SUBSTITUTE(SUBSTITUTE(F457," ",""),"0",""),"-",""))))),1,0)),0)+IF(OR(COUNTA(B461:C465,E461:F465)&gt;0,OR(D460="X",D460="x"),UPPER(D461)="X",UPPER(D462)="X",UPPER(D463)="X",UPPER(D464)="X",UPPER(D465)="X"),(IF(OR(D461="X",D461="x",AND(COUNTA(B461,C461,E461,F461)&gt;0,(LEN(SUBSTITUTE(SUBSTITUTE(SUBSTITUTE(B461," ",""),"0",""),"-",""))+LEN(SUBSTITUTE(SUBSTITUTE(SUBSTITUTE(C461," ",""),"0",""),"-","")))=(LEN(SUBSTITUTE(SUBSTITUTE(SUBSTITUTE(E461," ",""),"0",""),"-",""))+LEN(SUBSTITUTE(SUBSTITUTE(SUBSTITUTE(F461," ",""),"0",""),"-",""))))),1,0)+IF(OR(D462="X",D462="x",AND(COUNTA(B462,C462,E462,F462)&gt;0,(LEN(SUBSTITUTE(SUBSTITUTE(SUBSTITUTE(B462," ",""),"0",""),"-",""))+LEN(SUBSTITUTE(SUBSTITUTE(SUBSTITUTE(C462," ",""),"0",""),"-","")))=(LEN(SUBSTITUTE(SUBSTITUTE(SUBSTITUTE(E462," ",""),"0",""),"-",""))+LEN(SUBSTITUTE(SUBSTITUTE(SUBSTITUTE(F462," ",""),"0",""),"-",""))))),1,0)+IF(OR(D463="X",D463="x",AND(COUNTA(B463,C463,E463,F463)&gt;0,(LEN(SUBSTITUTE(SUBSTITUTE(SUBSTITUTE(B463," ",""),"0",""),"-",""))+LEN(SUBSTITUTE(SUBSTITUTE(SUBSTITUTE(C463," ",""),"0",""),"-","")))=(LEN(SUBSTITUTE(SUBSTITUTE(SUBSTITUTE(E463," ",""),"0",""),"-",""))+LEN(SUBSTITUTE(SUBSTITUTE(SUBSTITUTE(F463," ",""),"0",""),"-",""))))),1,0)+IF(OR(D464="X",D464="x",AND(COUNTA(B464,C464,E464,F464)&gt;0,(LEN(SUBSTITUTE(SUBSTITUTE(SUBSTITUTE(B464," ",""),"0",""),"-",""))+LEN(SUBSTITUTE(SUBSTITUTE(SUBSTITUTE(C464," ",""),"0",""),"-","")))=(LEN(SUBSTITUTE(SUBSTITUTE(SUBSTITUTE(E464," ",""),"0",""),"-",""))+LEN(SUBSTITUTE(SUBSTITUTE(SUBSTITUTE(F464," ",""),"0",""),"-",""))))),1,0)+IF(OR(D465="X",D465="x",AND(COUNTA(B465,C465,E465,F465)&gt;0,(LEN(SUBSTITUTE(SUBSTITUTE(SUBSTITUTE(B465," ",""),"0",""),"-",""))+LEN(SUBSTITUTE(SUBSTITUTE(SUBSTITUTE(C465," ",""),"0",""),"-","")))=(LEN(SUBSTITUTE(SUBSTITUTE(SUBSTITUTE(E465," ",""),"0",""),"-",""))+LEN(SUBSTITUTE(SUBSTITUTE(SUBSTITUTE(F465," ",""),"0",""),"-",""))))),1,0)),0)</f>
      </c>
      <c r="E476" s="14" t="str">
        <f>C452+C460</f>
      </c>
      <c r="F476" s="14" t="str">
        <f>E452+E460</f>
      </c>
      <c r="I476" s="14" t="str">
        <f>data!$E$81&amp;" "&amp;data!$B$81</f>
      </c>
      <c r="J476" s="14" t="str">
        <f>IF(OR(COUNTA(J453:K457,M453:N457)&gt;0,OR(L452="X",L452="x"),UPPER(L453)="X",UPPER(L454)="X",UPPER(L455)="X",UPPER(L456)="X",UPPER(L457)="X"),J452,0)+IF(OR(COUNTA(J461:K465,M461:N465)&gt;0,OR(L460="X",L460="x"),UPPER(L461)="X",UPPER(L462)="X",UPPER(L463)="X",UPPER(L464)="X",UPPER(L465)="X"),J460,0)</f>
      </c>
      <c r="K476" s="14" t="str">
        <f>IF(OR(COUNTA(J453:K457,M453:N457)&gt;0,OR(L452="X",L452="x"),UPPER(L453)="X",UPPER(L454)="X",UPPER(L455)="X",UPPER(L456)="X",UPPER(L457)="X"),N452,0)+IF(OR(COUNTA(J461:K465,M461:N465)&gt;0,OR(L460="X",L460="x"),UPPER(L461)="X",UPPER(L462)="X",UPPER(L463)="X",UPPER(L464)="X",UPPER(L465)="X"),N460,0)</f>
      </c>
      <c r="L476" s="14" t="str">
        <f>IF(OR(COUNTA(J453:K457,M453:N457)&gt;0,OR(L452="X",L452="x"),UPPER(L453)="X",UPPER(L454)="X",UPPER(L455)="X",UPPER(L456)="X",UPPER(L457)="X"),(IF(OR(L453="X",L453="x",AND(COUNTA(J453,K453,M453,N453)&gt;0,(LEN(SUBSTITUTE(SUBSTITUTE(SUBSTITUTE(J453," ",""),"0",""),"-",""))+LEN(SUBSTITUTE(SUBSTITUTE(SUBSTITUTE(K453," ",""),"0",""),"-","")))=(LEN(SUBSTITUTE(SUBSTITUTE(SUBSTITUTE(M453," ",""),"0",""),"-",""))+LEN(SUBSTITUTE(SUBSTITUTE(SUBSTITUTE(N453," ",""),"0",""),"-",""))))),1,0)+IF(OR(L454="X",L454="x",AND(COUNTA(J454,K454,M454,N454)&gt;0,(LEN(SUBSTITUTE(SUBSTITUTE(SUBSTITUTE(J454," ",""),"0",""),"-",""))+LEN(SUBSTITUTE(SUBSTITUTE(SUBSTITUTE(K454," ",""),"0",""),"-","")))=(LEN(SUBSTITUTE(SUBSTITUTE(SUBSTITUTE(M454," ",""),"0",""),"-",""))+LEN(SUBSTITUTE(SUBSTITUTE(SUBSTITUTE(N454," ",""),"0",""),"-",""))))),1,0)+IF(OR(L455="X",L455="x",AND(COUNTA(J455,K455,M455,N455)&gt;0,(LEN(SUBSTITUTE(SUBSTITUTE(SUBSTITUTE(J455," ",""),"0",""),"-",""))+LEN(SUBSTITUTE(SUBSTITUTE(SUBSTITUTE(K455," ",""),"0",""),"-","")))=(LEN(SUBSTITUTE(SUBSTITUTE(SUBSTITUTE(M455," ",""),"0",""),"-",""))+LEN(SUBSTITUTE(SUBSTITUTE(SUBSTITUTE(N455," ",""),"0",""),"-",""))))),1,0)+IF(OR(L456="X",L456="x",AND(COUNTA(J456,K456,M456,N456)&gt;0,(LEN(SUBSTITUTE(SUBSTITUTE(SUBSTITUTE(J456," ",""),"0",""),"-",""))+LEN(SUBSTITUTE(SUBSTITUTE(SUBSTITUTE(K456," ",""),"0",""),"-","")))=(LEN(SUBSTITUTE(SUBSTITUTE(SUBSTITUTE(M456," ",""),"0",""),"-",""))+LEN(SUBSTITUTE(SUBSTITUTE(SUBSTITUTE(N456," ",""),"0",""),"-",""))))),1,0)+IF(OR(L457="X",L457="x",AND(COUNTA(J457,K457,M457,N457)&gt;0,(LEN(SUBSTITUTE(SUBSTITUTE(SUBSTITUTE(J457," ",""),"0",""),"-",""))+LEN(SUBSTITUTE(SUBSTITUTE(SUBSTITUTE(K457," ",""),"0",""),"-","")))=(LEN(SUBSTITUTE(SUBSTITUTE(SUBSTITUTE(M457," ",""),"0",""),"-",""))+LEN(SUBSTITUTE(SUBSTITUTE(SUBSTITUTE(N457," ",""),"0",""),"-",""))))),1,0)),0)+IF(OR(COUNTA(J461:K465,M461:N465)&gt;0,OR(L460="X",L460="x"),UPPER(L461)="X",UPPER(L462)="X",UPPER(L463)="X",UPPER(L464)="X",UPPER(L465)="X"),(IF(OR(L461="X",L461="x",AND(COUNTA(J461,K461,M461,N461)&gt;0,(LEN(SUBSTITUTE(SUBSTITUTE(SUBSTITUTE(J461," ",""),"0",""),"-",""))+LEN(SUBSTITUTE(SUBSTITUTE(SUBSTITUTE(K461," ",""),"0",""),"-","")))=(LEN(SUBSTITUTE(SUBSTITUTE(SUBSTITUTE(M461," ",""),"0",""),"-",""))+LEN(SUBSTITUTE(SUBSTITUTE(SUBSTITUTE(N461," ",""),"0",""),"-",""))))),1,0)+IF(OR(L462="X",L462="x",AND(COUNTA(J462,K462,M462,N462)&gt;0,(LEN(SUBSTITUTE(SUBSTITUTE(SUBSTITUTE(J462," ",""),"0",""),"-",""))+LEN(SUBSTITUTE(SUBSTITUTE(SUBSTITUTE(K462," ",""),"0",""),"-","")))=(LEN(SUBSTITUTE(SUBSTITUTE(SUBSTITUTE(M462," ",""),"0",""),"-",""))+LEN(SUBSTITUTE(SUBSTITUTE(SUBSTITUTE(N462," ",""),"0",""),"-",""))))),1,0)+IF(OR(L463="X",L463="x",AND(COUNTA(J463,K463,M463,N463)&gt;0,(LEN(SUBSTITUTE(SUBSTITUTE(SUBSTITUTE(J463," ",""),"0",""),"-",""))+LEN(SUBSTITUTE(SUBSTITUTE(SUBSTITUTE(K463," ",""),"0",""),"-","")))=(LEN(SUBSTITUTE(SUBSTITUTE(SUBSTITUTE(M463," ",""),"0",""),"-",""))+LEN(SUBSTITUTE(SUBSTITUTE(SUBSTITUTE(N463," ",""),"0",""),"-",""))))),1,0)+IF(OR(L464="X",L464="x",AND(COUNTA(J464,K464,M464,N464)&gt;0,(LEN(SUBSTITUTE(SUBSTITUTE(SUBSTITUTE(J464," ",""),"0",""),"-",""))+LEN(SUBSTITUTE(SUBSTITUTE(SUBSTITUTE(K464," ",""),"0",""),"-","")))=(LEN(SUBSTITUTE(SUBSTITUTE(SUBSTITUTE(M464," ",""),"0",""),"-",""))+LEN(SUBSTITUTE(SUBSTITUTE(SUBSTITUTE(N464," ",""),"0",""),"-",""))))),1,0)+IF(OR(L465="X",L465="x",AND(COUNTA(J465,K465,M465,N465)&gt;0,(LEN(SUBSTITUTE(SUBSTITUTE(SUBSTITUTE(J465," ",""),"0",""),"-",""))+LEN(SUBSTITUTE(SUBSTITUTE(SUBSTITUTE(K465," ",""),"0",""),"-","")))=(LEN(SUBSTITUTE(SUBSTITUTE(SUBSTITUTE(M465," ",""),"0",""),"-",""))+LEN(SUBSTITUTE(SUBSTITUTE(SUBSTITUTE(N465," ",""),"0",""),"-",""))))),1,0)),0)</f>
      </c>
      <c r="M476" s="14" t="str">
        <f>K452+K460</f>
      </c>
      <c r="N476" s="14" t="str">
        <f>M452+M460</f>
      </c>
    </row>
    <row r="479">
      <c r="F479" s="13"/>
      <c r="G479" s="13" t="s">
        <v>343</v>
      </c>
      <c r="N479" s="13"/>
      <c r="O479" s="13" t="s">
        <v>343</v>
      </c>
    </row>
    <row r="480">
      <c r="F480" t="s">
        <v>344</v>
      </c>
      <c r="G480" s="19" t="str">
        <f>IFERROR(INDEX($A$469:$A$476, MATCH(1, $G$469:$G$476, 0)), "-")</f>
      </c>
      <c r="N480" t="s">
        <v>344</v>
      </c>
      <c r="O480" s="19" t="str">
        <f>IFERROR(INDEX($I$469:$I$476, MATCH(1, $O$469:$O$476, 0)), "-")</f>
      </c>
    </row>
    <row r="481">
      <c r="F481" t="s">
        <v>345</v>
      </c>
      <c r="G481" s="19" t="str">
        <f>IFERROR(INDEX($A$469:$A$476, MATCH(2, $G$469:$G$476, 0)), "-")</f>
      </c>
      <c r="N481" t="s">
        <v>345</v>
      </c>
      <c r="O481" s="19" t="str">
        <f>IFERROR(INDEX($I$469:$I$476, MATCH(2, $O$469:$O$476, 0)), "-")</f>
      </c>
    </row>
    <row r="482">
      <c r="F482" t="s">
        <v>346</v>
      </c>
      <c r="G482" s="19" t="str">
        <f>IFERROR(INDEX($A$469:$A$476, MATCH(3, $G$469:$G$476, 0)), "-")</f>
      </c>
      <c r="N482" t="s">
        <v>346</v>
      </c>
      <c r="O482" s="19" t="str">
        <f>IFERROR(INDEX($I$469:$I$476, MATCH(3, $O$469:$O$476, 0)), "-")</f>
      </c>
    </row>
    <row r="485">
      <c r="A485" s="13" t="str">
        <f>'data'!$A$39</f>
      </c>
      <c r="B485" s="13"/>
      <c r="C485" s="13"/>
      <c r="D485" s="13"/>
      <c r="E485" s="13"/>
      <c r="F485" s="13"/>
      <c r="G485" s="13"/>
      <c r="I485" s="13" t="str">
        <f>'data'!$A$84</f>
      </c>
      <c r="J485" s="13"/>
      <c r="K485" s="13"/>
      <c r="L485" s="13"/>
      <c r="M485" s="13"/>
      <c r="N485" s="13"/>
      <c r="O485" s="13"/>
    </row>
    <row r="486">
      <c r="A486" s="17" t="s">
        <v>330</v>
      </c>
      <c r="B486" s="14"/>
      <c r="C486" s="14"/>
      <c r="D486" s="14" t="s">
        <v>331</v>
      </c>
      <c r="E486" s="14"/>
      <c r="F486" s="14"/>
      <c r="G486" s="16" t="s">
        <v>332</v>
      </c>
      <c r="I486" s="17" t="s">
        <v>330</v>
      </c>
      <c r="J486" s="14"/>
      <c r="K486" s="14"/>
      <c r="L486" s="14" t="s">
        <v>331</v>
      </c>
      <c r="M486" s="14"/>
      <c r="N486" s="14"/>
      <c r="O486" s="16" t="s">
        <v>332</v>
      </c>
    </row>
    <row r="487">
      <c r="A487" s="14" t="str">
        <f>data!$E$38&amp;" "&amp;data!$B$38</f>
      </c>
      <c r="B487" s="14" t="str">
        <f>IF(UPPER(D488)="X",0,IF((LEN(SUBSTITUTE(SUBSTITUTE(SUBSTITUTE(B488," ",""),"0",""),"-",""))+LEN(SUBSTITUTE(SUBSTITUTE(SUBSTITUTE(C488," ",""),"0",""),"-","")))&gt;(LEN(SUBSTITUTE(SUBSTITUTE(SUBSTITUTE(E488," ",""),"0",""),"-",""))+LEN(SUBSTITUTE(SUBSTITUTE(SUBSTITUTE(F488," ",""),"0",""),"-",""))),1,0))+IF(UPPER(D489)="X",0,IF((LEN(SUBSTITUTE(SUBSTITUTE(SUBSTITUTE(B489," ",""),"0",""),"-",""))+LEN(SUBSTITUTE(SUBSTITUTE(SUBSTITUTE(C489," ",""),"0",""),"-","")))&gt;(LEN(SUBSTITUTE(SUBSTITUTE(SUBSTITUTE(E489," ",""),"0",""),"-",""))+LEN(SUBSTITUTE(SUBSTITUTE(SUBSTITUTE(F489," ",""),"0",""),"-",""))),1,0))+IF(UPPER(D490)="X",0,IF((LEN(SUBSTITUTE(SUBSTITUTE(SUBSTITUTE(B490," ",""),"0",""),"-",""))+LEN(SUBSTITUTE(SUBSTITUTE(SUBSTITUTE(C490," ",""),"0",""),"-","")))&gt;(LEN(SUBSTITUTE(SUBSTITUTE(SUBSTITUTE(E490," ",""),"0",""),"-",""))+LEN(SUBSTITUTE(SUBSTITUTE(SUBSTITUTE(F490," ",""),"0",""),"-",""))),1,0))+IF(UPPER(D491)="X",0,IF((LEN(SUBSTITUTE(SUBSTITUTE(SUBSTITUTE(B491," ",""),"0",""),"-",""))+LEN(SUBSTITUTE(SUBSTITUTE(SUBSTITUTE(C491," ",""),"0",""),"-","")))&gt;(LEN(SUBSTITUTE(SUBSTITUTE(SUBSTITUTE(E491," ",""),"0",""),"-",""))+LEN(SUBSTITUTE(SUBSTITUTE(SUBSTITUTE(F491," ",""),"0",""),"-",""))),1,0))+IF(UPPER(D492)="X",0,IF((LEN(SUBSTITUTE(SUBSTITUTE(SUBSTITUTE(B492," ",""),"0",""),"-",""))+LEN(SUBSTITUTE(SUBSTITUTE(SUBSTITUTE(C492," ",""),"0",""),"-","")))&gt;(LEN(SUBSTITUTE(SUBSTITUTE(SUBSTITUTE(E492," ",""),"0",""),"-",""))+LEN(SUBSTITUTE(SUBSTITUTE(SUBSTITUTE(F492," ",""),"0",""),"-",""))),1,0))</f>
      </c>
      <c r="C487" s="14" t="str">
        <f>LEN(SUBSTITUTE(SUBSTITUTE(SUBSTITUTE(B488," ",""),"0",""),"-",""))+LEN(SUBSTITUTE(SUBSTITUTE(SUBSTITUTE(C488," ",""),"0",""),"-",""))+LEN(SUBSTITUTE(SUBSTITUTE(SUBSTITUTE(B489," ",""),"0",""),"-",""))+LEN(SUBSTITUTE(SUBSTITUTE(SUBSTITUTE(C489," ",""),"0",""),"-",""))+LEN(SUBSTITUTE(SUBSTITUTE(SUBSTITUTE(B490," ",""),"0",""),"-",""))+LEN(SUBSTITUTE(SUBSTITUTE(SUBSTITUTE(C490," ",""),"0",""),"-",""))+LEN(SUBSTITUTE(SUBSTITUTE(SUBSTITUTE(B491," ",""),"0",""),"-",""))+LEN(SUBSTITUTE(SUBSTITUTE(SUBSTITUTE(C491," ",""),"0",""),"-",""))+LEN(SUBSTITUTE(SUBSTITUTE(SUBSTITUTE(B492," ",""),"0",""),"-",""))+LEN(SUBSTITUTE(SUBSTITUTE(SUBSTITUTE(C492," ",""),"0",""),"-",""))</f>
      </c>
      <c r="D487" s="18"/>
      <c r="E487" s="14" t="str">
        <f>LEN(SUBSTITUTE(SUBSTITUTE(SUBSTITUTE(E488," ",""),"0",""),"-",""))+LEN(SUBSTITUTE(SUBSTITUTE(SUBSTITUTE(F488," ",""),"0",""),"-",""))+LEN(SUBSTITUTE(SUBSTITUTE(SUBSTITUTE(E489," ",""),"0",""),"-",""))+LEN(SUBSTITUTE(SUBSTITUTE(SUBSTITUTE(F489," ",""),"0",""),"-",""))+LEN(SUBSTITUTE(SUBSTITUTE(SUBSTITUTE(E490," ",""),"0",""),"-",""))+LEN(SUBSTITUTE(SUBSTITUTE(SUBSTITUTE(F490," ",""),"0",""),"-",""))+LEN(SUBSTITUTE(SUBSTITUTE(SUBSTITUTE(E491," ",""),"0",""),"-",""))+LEN(SUBSTITUTE(SUBSTITUTE(SUBSTITUTE(F491," ",""),"0",""),"-",""))+LEN(SUBSTITUTE(SUBSTITUTE(SUBSTITUTE(E492," ",""),"0",""),"-",""))+LEN(SUBSTITUTE(SUBSTITUTE(SUBSTITUTE(F492," ",""),"0",""),"-",""))</f>
      </c>
      <c r="F487" s="14" t="str">
        <f>IF(UPPER(D488)="X",0,IF((LEN(SUBSTITUTE(SUBSTITUTE(SUBSTITUTE(E488," ",""),"0",""),"-",""))+LEN(SUBSTITUTE(SUBSTITUTE(SUBSTITUTE(F488," ",""),"0",""),"-","")))&gt;(LEN(SUBSTITUTE(SUBSTITUTE(SUBSTITUTE(B488," ",""),"0",""),"-",""))+LEN(SUBSTITUTE(SUBSTITUTE(SUBSTITUTE(C488," ",""),"0",""),"-",""))),1,0))+IF(UPPER(D489)="X",0,IF((LEN(SUBSTITUTE(SUBSTITUTE(SUBSTITUTE(E489," ",""),"0",""),"-",""))+LEN(SUBSTITUTE(SUBSTITUTE(SUBSTITUTE(F489," ",""),"0",""),"-","")))&gt;(LEN(SUBSTITUTE(SUBSTITUTE(SUBSTITUTE(B489," ",""),"0",""),"-",""))+LEN(SUBSTITUTE(SUBSTITUTE(SUBSTITUTE(C489," ",""),"0",""),"-",""))),1,0))+IF(UPPER(D490)="X",0,IF((LEN(SUBSTITUTE(SUBSTITUTE(SUBSTITUTE(E490," ",""),"0",""),"-",""))+LEN(SUBSTITUTE(SUBSTITUTE(SUBSTITUTE(F490," ",""),"0",""),"-","")))&gt;(LEN(SUBSTITUTE(SUBSTITUTE(SUBSTITUTE(B490," ",""),"0",""),"-",""))+LEN(SUBSTITUTE(SUBSTITUTE(SUBSTITUTE(C490," ",""),"0",""),"-",""))),1,0))+IF(UPPER(D491)="X",0,IF((LEN(SUBSTITUTE(SUBSTITUTE(SUBSTITUTE(E491," ",""),"0",""),"-",""))+LEN(SUBSTITUTE(SUBSTITUTE(SUBSTITUTE(F491," ",""),"0",""),"-","")))&gt;(LEN(SUBSTITUTE(SUBSTITUTE(SUBSTITUTE(B491," ",""),"0",""),"-",""))+LEN(SUBSTITUTE(SUBSTITUTE(SUBSTITUTE(C491," ",""),"0",""),"-",""))),1,0))+IF(UPPER(D492)="X",0,IF((LEN(SUBSTITUTE(SUBSTITUTE(SUBSTITUTE(E492," ",""),"0",""),"-",""))+LEN(SUBSTITUTE(SUBSTITUTE(SUBSTITUTE(F492," ",""),"0",""),"-","")))&gt;(LEN(SUBSTITUTE(SUBSTITUTE(SUBSTITUTE(B492," ",""),"0",""),"-",""))+LEN(SUBSTITUTE(SUBSTITUTE(SUBSTITUTE(C492," ",""),"0",""),"-",""))),1,0))</f>
      </c>
      <c r="G487" s="14" t="str">
        <f>data!$E$37&amp;" "&amp;data!$B$37</f>
      </c>
      <c r="I487" s="14" t="str">
        <f>data!$E$83&amp;" "&amp;data!$B$83</f>
      </c>
      <c r="J487" s="14" t="str">
        <f>IF(UPPER(L488)="X",0,IF((LEN(SUBSTITUTE(SUBSTITUTE(SUBSTITUTE(J488," ",""),"0",""),"-",""))+LEN(SUBSTITUTE(SUBSTITUTE(SUBSTITUTE(K488," ",""),"0",""),"-","")))&gt;(LEN(SUBSTITUTE(SUBSTITUTE(SUBSTITUTE(M488," ",""),"0",""),"-",""))+LEN(SUBSTITUTE(SUBSTITUTE(SUBSTITUTE(N488," ",""),"0",""),"-",""))),1,0))+IF(UPPER(L489)="X",0,IF((LEN(SUBSTITUTE(SUBSTITUTE(SUBSTITUTE(J489," ",""),"0",""),"-",""))+LEN(SUBSTITUTE(SUBSTITUTE(SUBSTITUTE(K489," ",""),"0",""),"-","")))&gt;(LEN(SUBSTITUTE(SUBSTITUTE(SUBSTITUTE(M489," ",""),"0",""),"-",""))+LEN(SUBSTITUTE(SUBSTITUTE(SUBSTITUTE(N489," ",""),"0",""),"-",""))),1,0))+IF(UPPER(L490)="X",0,IF((LEN(SUBSTITUTE(SUBSTITUTE(SUBSTITUTE(J490," ",""),"0",""),"-",""))+LEN(SUBSTITUTE(SUBSTITUTE(SUBSTITUTE(K490," ",""),"0",""),"-","")))&gt;(LEN(SUBSTITUTE(SUBSTITUTE(SUBSTITUTE(M490," ",""),"0",""),"-",""))+LEN(SUBSTITUTE(SUBSTITUTE(SUBSTITUTE(N490," ",""),"0",""),"-",""))),1,0))+IF(UPPER(L491)="X",0,IF((LEN(SUBSTITUTE(SUBSTITUTE(SUBSTITUTE(J491," ",""),"0",""),"-",""))+LEN(SUBSTITUTE(SUBSTITUTE(SUBSTITUTE(K491," ",""),"0",""),"-","")))&gt;(LEN(SUBSTITUTE(SUBSTITUTE(SUBSTITUTE(M491," ",""),"0",""),"-",""))+LEN(SUBSTITUTE(SUBSTITUTE(SUBSTITUTE(N491," ",""),"0",""),"-",""))),1,0))+IF(UPPER(L492)="X",0,IF((LEN(SUBSTITUTE(SUBSTITUTE(SUBSTITUTE(J492," ",""),"0",""),"-",""))+LEN(SUBSTITUTE(SUBSTITUTE(SUBSTITUTE(K492," ",""),"0",""),"-","")))&gt;(LEN(SUBSTITUTE(SUBSTITUTE(SUBSTITUTE(M492," ",""),"0",""),"-",""))+LEN(SUBSTITUTE(SUBSTITUTE(SUBSTITUTE(N492," ",""),"0",""),"-",""))),1,0))</f>
      </c>
      <c r="K487" s="14" t="str">
        <f>LEN(SUBSTITUTE(SUBSTITUTE(SUBSTITUTE(J488," ",""),"0",""),"-",""))+LEN(SUBSTITUTE(SUBSTITUTE(SUBSTITUTE(K488," ",""),"0",""),"-",""))+LEN(SUBSTITUTE(SUBSTITUTE(SUBSTITUTE(J489," ",""),"0",""),"-",""))+LEN(SUBSTITUTE(SUBSTITUTE(SUBSTITUTE(K489," ",""),"0",""),"-",""))+LEN(SUBSTITUTE(SUBSTITUTE(SUBSTITUTE(J490," ",""),"0",""),"-",""))+LEN(SUBSTITUTE(SUBSTITUTE(SUBSTITUTE(K490," ",""),"0",""),"-",""))+LEN(SUBSTITUTE(SUBSTITUTE(SUBSTITUTE(J491," ",""),"0",""),"-",""))+LEN(SUBSTITUTE(SUBSTITUTE(SUBSTITUTE(K491," ",""),"0",""),"-",""))+LEN(SUBSTITUTE(SUBSTITUTE(SUBSTITUTE(J492," ",""),"0",""),"-",""))+LEN(SUBSTITUTE(SUBSTITUTE(SUBSTITUTE(K492," ",""),"0",""),"-",""))</f>
      </c>
      <c r="L487" s="18"/>
      <c r="M487" s="14" t="str">
        <f>LEN(SUBSTITUTE(SUBSTITUTE(SUBSTITUTE(M488," ",""),"0",""),"-",""))+LEN(SUBSTITUTE(SUBSTITUTE(SUBSTITUTE(N488," ",""),"0",""),"-",""))+LEN(SUBSTITUTE(SUBSTITUTE(SUBSTITUTE(M489," ",""),"0",""),"-",""))+LEN(SUBSTITUTE(SUBSTITUTE(SUBSTITUTE(N489," ",""),"0",""),"-",""))+LEN(SUBSTITUTE(SUBSTITUTE(SUBSTITUTE(M490," ",""),"0",""),"-",""))+LEN(SUBSTITUTE(SUBSTITUTE(SUBSTITUTE(N490," ",""),"0",""),"-",""))+LEN(SUBSTITUTE(SUBSTITUTE(SUBSTITUTE(M491," ",""),"0",""),"-",""))+LEN(SUBSTITUTE(SUBSTITUTE(SUBSTITUTE(N491," ",""),"0",""),"-",""))+LEN(SUBSTITUTE(SUBSTITUTE(SUBSTITUTE(M492," ",""),"0",""),"-",""))+LEN(SUBSTITUTE(SUBSTITUTE(SUBSTITUTE(N492," ",""),"0",""),"-",""))</f>
      </c>
      <c r="N487" s="14" t="str">
        <f>IF(UPPER(L488)="X",0,IF((LEN(SUBSTITUTE(SUBSTITUTE(SUBSTITUTE(M488," ",""),"0",""),"-",""))+LEN(SUBSTITUTE(SUBSTITUTE(SUBSTITUTE(N488," ",""),"0",""),"-","")))&gt;(LEN(SUBSTITUTE(SUBSTITUTE(SUBSTITUTE(J488," ",""),"0",""),"-",""))+LEN(SUBSTITUTE(SUBSTITUTE(SUBSTITUTE(K488," ",""),"0",""),"-",""))),1,0))+IF(UPPER(L489)="X",0,IF((LEN(SUBSTITUTE(SUBSTITUTE(SUBSTITUTE(M489," ",""),"0",""),"-",""))+LEN(SUBSTITUTE(SUBSTITUTE(SUBSTITUTE(N489," ",""),"0",""),"-","")))&gt;(LEN(SUBSTITUTE(SUBSTITUTE(SUBSTITUTE(J489," ",""),"0",""),"-",""))+LEN(SUBSTITUTE(SUBSTITUTE(SUBSTITUTE(K489," ",""),"0",""),"-",""))),1,0))+IF(UPPER(L490)="X",0,IF((LEN(SUBSTITUTE(SUBSTITUTE(SUBSTITUTE(M490," ",""),"0",""),"-",""))+LEN(SUBSTITUTE(SUBSTITUTE(SUBSTITUTE(N490," ",""),"0",""),"-","")))&gt;(LEN(SUBSTITUTE(SUBSTITUTE(SUBSTITUTE(J490," ",""),"0",""),"-",""))+LEN(SUBSTITUTE(SUBSTITUTE(SUBSTITUTE(K490," ",""),"0",""),"-",""))),1,0))+IF(UPPER(L491)="X",0,IF((LEN(SUBSTITUTE(SUBSTITUTE(SUBSTITUTE(M491," ",""),"0",""),"-",""))+LEN(SUBSTITUTE(SUBSTITUTE(SUBSTITUTE(N491," ",""),"0",""),"-","")))&gt;(LEN(SUBSTITUTE(SUBSTITUTE(SUBSTITUTE(J491," ",""),"0",""),"-",""))+LEN(SUBSTITUTE(SUBSTITUTE(SUBSTITUTE(K491," ",""),"0",""),"-",""))),1,0))+IF(UPPER(L492)="X",0,IF((LEN(SUBSTITUTE(SUBSTITUTE(SUBSTITUTE(M492," ",""),"0",""),"-",""))+LEN(SUBSTITUTE(SUBSTITUTE(SUBSTITUTE(N492," ",""),"0",""),"-","")))&gt;(LEN(SUBSTITUTE(SUBSTITUTE(SUBSTITUTE(J492," ",""),"0",""),"-",""))+LEN(SUBSTITUTE(SUBSTITUTE(SUBSTITUTE(K492," ",""),"0",""),"-",""))),1,0))</f>
      </c>
      <c r="O487" s="14" t="str">
        <f>data!$E$82&amp;" "&amp;data!$B$82</f>
      </c>
    </row>
    <row r="488">
      <c r="A488" s="14">
        <v>1</v>
      </c>
      <c r="B488" s="18"/>
      <c r="C488" s="18"/>
      <c r="D488" s="18"/>
      <c r="E488" s="18"/>
      <c r="F488" s="18"/>
      <c r="G488" s="14">
        <v>1</v>
      </c>
      <c r="I488" s="14">
        <v>1</v>
      </c>
      <c r="J488" s="18"/>
      <c r="K488" s="18"/>
      <c r="L488" s="18"/>
      <c r="M488" s="18"/>
      <c r="N488" s="18"/>
      <c r="O488" s="14">
        <v>1</v>
      </c>
    </row>
    <row r="489">
      <c r="A489" s="14">
        <v>2</v>
      </c>
      <c r="B489" s="18"/>
      <c r="C489" s="18"/>
      <c r="D489" s="18"/>
      <c r="E489" s="18"/>
      <c r="F489" s="18"/>
      <c r="G489" s="14">
        <v>2</v>
      </c>
      <c r="I489" s="14">
        <v>2</v>
      </c>
      <c r="J489" s="18"/>
      <c r="K489" s="18"/>
      <c r="L489" s="18"/>
      <c r="M489" s="18"/>
      <c r="N489" s="18"/>
      <c r="O489" s="14">
        <v>2</v>
      </c>
    </row>
    <row r="490">
      <c r="A490" s="14">
        <v>3</v>
      </c>
      <c r="B490" s="18"/>
      <c r="C490" s="18"/>
      <c r="D490" s="18"/>
      <c r="E490" s="18"/>
      <c r="F490" s="18"/>
      <c r="G490" s="14">
        <v>3</v>
      </c>
      <c r="I490" s="14">
        <v>3</v>
      </c>
      <c r="J490" s="18"/>
      <c r="K490" s="18"/>
      <c r="L490" s="18"/>
      <c r="M490" s="18"/>
      <c r="N490" s="18"/>
      <c r="O490" s="14">
        <v>3</v>
      </c>
    </row>
    <row r="491">
      <c r="A491" s="14">
        <v>4</v>
      </c>
      <c r="B491" s="18"/>
      <c r="C491" s="18"/>
      <c r="D491" s="18"/>
      <c r="E491" s="18"/>
      <c r="F491" s="18"/>
      <c r="G491" s="14">
        <v>4</v>
      </c>
      <c r="I491" s="14">
        <v>4</v>
      </c>
      <c r="J491" s="18"/>
      <c r="K491" s="18"/>
      <c r="L491" s="18"/>
      <c r="M491" s="18"/>
      <c r="N491" s="18"/>
      <c r="O491" s="14">
        <v>4</v>
      </c>
    </row>
    <row r="492">
      <c r="A492" s="14">
        <v>5</v>
      </c>
      <c r="B492" s="18"/>
      <c r="C492" s="18"/>
      <c r="D492" s="18"/>
      <c r="E492" s="18"/>
      <c r="F492" s="18"/>
      <c r="G492" s="14">
        <v>5</v>
      </c>
      <c r="I492" s="14">
        <v>5</v>
      </c>
      <c r="J492" s="18"/>
      <c r="K492" s="18"/>
      <c r="L492" s="18"/>
      <c r="M492" s="18"/>
      <c r="N492" s="18"/>
      <c r="O492" s="14">
        <v>5</v>
      </c>
    </row>
    <row r="494">
      <c r="A494" s="17" t="s">
        <v>330</v>
      </c>
      <c r="B494" s="14"/>
      <c r="C494" s="14"/>
      <c r="D494" s="14" t="s">
        <v>331</v>
      </c>
      <c r="E494" s="14"/>
      <c r="F494" s="14"/>
      <c r="G494" s="16" t="s">
        <v>332</v>
      </c>
      <c r="I494" s="17" t="s">
        <v>330</v>
      </c>
      <c r="J494" s="14"/>
      <c r="K494" s="14"/>
      <c r="L494" s="14" t="s">
        <v>331</v>
      </c>
      <c r="M494" s="14"/>
      <c r="N494" s="14"/>
      <c r="O494" s="16" t="s">
        <v>332</v>
      </c>
    </row>
    <row r="495">
      <c r="A495" s="14" t="str">
        <f>data!$E$39&amp;" "&amp;data!$B$39</f>
      </c>
      <c r="B495" s="14" t="str">
        <f>IF(UPPER(D496)="X",0,IF((LEN(SUBSTITUTE(SUBSTITUTE(SUBSTITUTE(B496," ",""),"0",""),"-",""))+LEN(SUBSTITUTE(SUBSTITUTE(SUBSTITUTE(C496," ",""),"0",""),"-","")))&gt;(LEN(SUBSTITUTE(SUBSTITUTE(SUBSTITUTE(E496," ",""),"0",""),"-",""))+LEN(SUBSTITUTE(SUBSTITUTE(SUBSTITUTE(F496," ",""),"0",""),"-",""))),1,0))+IF(UPPER(D497)="X",0,IF((LEN(SUBSTITUTE(SUBSTITUTE(SUBSTITUTE(B497," ",""),"0",""),"-",""))+LEN(SUBSTITUTE(SUBSTITUTE(SUBSTITUTE(C497," ",""),"0",""),"-","")))&gt;(LEN(SUBSTITUTE(SUBSTITUTE(SUBSTITUTE(E497," ",""),"0",""),"-",""))+LEN(SUBSTITUTE(SUBSTITUTE(SUBSTITUTE(F497," ",""),"0",""),"-",""))),1,0))+IF(UPPER(D498)="X",0,IF((LEN(SUBSTITUTE(SUBSTITUTE(SUBSTITUTE(B498," ",""),"0",""),"-",""))+LEN(SUBSTITUTE(SUBSTITUTE(SUBSTITUTE(C498," ",""),"0",""),"-","")))&gt;(LEN(SUBSTITUTE(SUBSTITUTE(SUBSTITUTE(E498," ",""),"0",""),"-",""))+LEN(SUBSTITUTE(SUBSTITUTE(SUBSTITUTE(F498," ",""),"0",""),"-",""))),1,0))+IF(UPPER(D499)="X",0,IF((LEN(SUBSTITUTE(SUBSTITUTE(SUBSTITUTE(B499," ",""),"0",""),"-",""))+LEN(SUBSTITUTE(SUBSTITUTE(SUBSTITUTE(C499," ",""),"0",""),"-","")))&gt;(LEN(SUBSTITUTE(SUBSTITUTE(SUBSTITUTE(E499," ",""),"0",""),"-",""))+LEN(SUBSTITUTE(SUBSTITUTE(SUBSTITUTE(F499," ",""),"0",""),"-",""))),1,0))+IF(UPPER(D500)="X",0,IF((LEN(SUBSTITUTE(SUBSTITUTE(SUBSTITUTE(B500," ",""),"0",""),"-",""))+LEN(SUBSTITUTE(SUBSTITUTE(SUBSTITUTE(C500," ",""),"0",""),"-","")))&gt;(LEN(SUBSTITUTE(SUBSTITUTE(SUBSTITUTE(E500," ",""),"0",""),"-",""))+LEN(SUBSTITUTE(SUBSTITUTE(SUBSTITUTE(F500," ",""),"0",""),"-",""))),1,0))</f>
      </c>
      <c r="C495" s="14" t="str">
        <f>LEN(SUBSTITUTE(SUBSTITUTE(SUBSTITUTE(B496," ",""),"0",""),"-",""))+LEN(SUBSTITUTE(SUBSTITUTE(SUBSTITUTE(C496," ",""),"0",""),"-",""))+LEN(SUBSTITUTE(SUBSTITUTE(SUBSTITUTE(B497," ",""),"0",""),"-",""))+LEN(SUBSTITUTE(SUBSTITUTE(SUBSTITUTE(C497," ",""),"0",""),"-",""))+LEN(SUBSTITUTE(SUBSTITUTE(SUBSTITUTE(B498," ",""),"0",""),"-",""))+LEN(SUBSTITUTE(SUBSTITUTE(SUBSTITUTE(C498," ",""),"0",""),"-",""))+LEN(SUBSTITUTE(SUBSTITUTE(SUBSTITUTE(B499," ",""),"0",""),"-",""))+LEN(SUBSTITUTE(SUBSTITUTE(SUBSTITUTE(C499," ",""),"0",""),"-",""))+LEN(SUBSTITUTE(SUBSTITUTE(SUBSTITUTE(B500," ",""),"0",""),"-",""))+LEN(SUBSTITUTE(SUBSTITUTE(SUBSTITUTE(C500," ",""),"0",""),"-",""))</f>
      </c>
      <c r="D495" s="18"/>
      <c r="E495" s="14" t="str">
        <f>LEN(SUBSTITUTE(SUBSTITUTE(SUBSTITUTE(E496," ",""),"0",""),"-",""))+LEN(SUBSTITUTE(SUBSTITUTE(SUBSTITUTE(F496," ",""),"0",""),"-",""))+LEN(SUBSTITUTE(SUBSTITUTE(SUBSTITUTE(E497," ",""),"0",""),"-",""))+LEN(SUBSTITUTE(SUBSTITUTE(SUBSTITUTE(F497," ",""),"0",""),"-",""))+LEN(SUBSTITUTE(SUBSTITUTE(SUBSTITUTE(E498," ",""),"0",""),"-",""))+LEN(SUBSTITUTE(SUBSTITUTE(SUBSTITUTE(F498," ",""),"0",""),"-",""))+LEN(SUBSTITUTE(SUBSTITUTE(SUBSTITUTE(E499," ",""),"0",""),"-",""))+LEN(SUBSTITUTE(SUBSTITUTE(SUBSTITUTE(F499," ",""),"0",""),"-",""))+LEN(SUBSTITUTE(SUBSTITUTE(SUBSTITUTE(E500," ",""),"0",""),"-",""))+LEN(SUBSTITUTE(SUBSTITUTE(SUBSTITUTE(F500," ",""),"0",""),"-",""))</f>
      </c>
      <c r="F495" s="14" t="str">
        <f>IF(UPPER(D496)="X",0,IF((LEN(SUBSTITUTE(SUBSTITUTE(SUBSTITUTE(E496," ",""),"0",""),"-",""))+LEN(SUBSTITUTE(SUBSTITUTE(SUBSTITUTE(F496," ",""),"0",""),"-","")))&gt;(LEN(SUBSTITUTE(SUBSTITUTE(SUBSTITUTE(B496," ",""),"0",""),"-",""))+LEN(SUBSTITUTE(SUBSTITUTE(SUBSTITUTE(C496," ",""),"0",""),"-",""))),1,0))+IF(UPPER(D497)="X",0,IF((LEN(SUBSTITUTE(SUBSTITUTE(SUBSTITUTE(E497," ",""),"0",""),"-",""))+LEN(SUBSTITUTE(SUBSTITUTE(SUBSTITUTE(F497," ",""),"0",""),"-","")))&gt;(LEN(SUBSTITUTE(SUBSTITUTE(SUBSTITUTE(B497," ",""),"0",""),"-",""))+LEN(SUBSTITUTE(SUBSTITUTE(SUBSTITUTE(C497," ",""),"0",""),"-",""))),1,0))+IF(UPPER(D498)="X",0,IF((LEN(SUBSTITUTE(SUBSTITUTE(SUBSTITUTE(E498," ",""),"0",""),"-",""))+LEN(SUBSTITUTE(SUBSTITUTE(SUBSTITUTE(F498," ",""),"0",""),"-","")))&gt;(LEN(SUBSTITUTE(SUBSTITUTE(SUBSTITUTE(B498," ",""),"0",""),"-",""))+LEN(SUBSTITUTE(SUBSTITUTE(SUBSTITUTE(C498," ",""),"0",""),"-",""))),1,0))+IF(UPPER(D499)="X",0,IF((LEN(SUBSTITUTE(SUBSTITUTE(SUBSTITUTE(E499," ",""),"0",""),"-",""))+LEN(SUBSTITUTE(SUBSTITUTE(SUBSTITUTE(F499," ",""),"0",""),"-","")))&gt;(LEN(SUBSTITUTE(SUBSTITUTE(SUBSTITUTE(B499," ",""),"0",""),"-",""))+LEN(SUBSTITUTE(SUBSTITUTE(SUBSTITUTE(C499," ",""),"0",""),"-",""))),1,0))+IF(UPPER(D500)="X",0,IF((LEN(SUBSTITUTE(SUBSTITUTE(SUBSTITUTE(E500," ",""),"0",""),"-",""))+LEN(SUBSTITUTE(SUBSTITUTE(SUBSTITUTE(F500," ",""),"0",""),"-","")))&gt;(LEN(SUBSTITUTE(SUBSTITUTE(SUBSTITUTE(B500," ",""),"0",""),"-",""))+LEN(SUBSTITUTE(SUBSTITUTE(SUBSTITUTE(C500," ",""),"0",""),"-",""))),1,0))</f>
      </c>
      <c r="G495" s="14" t="str">
        <f>data!$E$37&amp;" "&amp;data!$B$37</f>
      </c>
      <c r="I495" s="14" t="str">
        <f>data!$E$84&amp;" "&amp;data!$B$84</f>
      </c>
      <c r="J495" s="14" t="str">
        <f>IF(UPPER(L496)="X",0,IF((LEN(SUBSTITUTE(SUBSTITUTE(SUBSTITUTE(J496," ",""),"0",""),"-",""))+LEN(SUBSTITUTE(SUBSTITUTE(SUBSTITUTE(K496," ",""),"0",""),"-","")))&gt;(LEN(SUBSTITUTE(SUBSTITUTE(SUBSTITUTE(M496," ",""),"0",""),"-",""))+LEN(SUBSTITUTE(SUBSTITUTE(SUBSTITUTE(N496," ",""),"0",""),"-",""))),1,0))+IF(UPPER(L497)="X",0,IF((LEN(SUBSTITUTE(SUBSTITUTE(SUBSTITUTE(J497," ",""),"0",""),"-",""))+LEN(SUBSTITUTE(SUBSTITUTE(SUBSTITUTE(K497," ",""),"0",""),"-","")))&gt;(LEN(SUBSTITUTE(SUBSTITUTE(SUBSTITUTE(M497," ",""),"0",""),"-",""))+LEN(SUBSTITUTE(SUBSTITUTE(SUBSTITUTE(N497," ",""),"0",""),"-",""))),1,0))+IF(UPPER(L498)="X",0,IF((LEN(SUBSTITUTE(SUBSTITUTE(SUBSTITUTE(J498," ",""),"0",""),"-",""))+LEN(SUBSTITUTE(SUBSTITUTE(SUBSTITUTE(K498," ",""),"0",""),"-","")))&gt;(LEN(SUBSTITUTE(SUBSTITUTE(SUBSTITUTE(M498," ",""),"0",""),"-",""))+LEN(SUBSTITUTE(SUBSTITUTE(SUBSTITUTE(N498," ",""),"0",""),"-",""))),1,0))+IF(UPPER(L499)="X",0,IF((LEN(SUBSTITUTE(SUBSTITUTE(SUBSTITUTE(J499," ",""),"0",""),"-",""))+LEN(SUBSTITUTE(SUBSTITUTE(SUBSTITUTE(K499," ",""),"0",""),"-","")))&gt;(LEN(SUBSTITUTE(SUBSTITUTE(SUBSTITUTE(M499," ",""),"0",""),"-",""))+LEN(SUBSTITUTE(SUBSTITUTE(SUBSTITUTE(N499," ",""),"0",""),"-",""))),1,0))+IF(UPPER(L500)="X",0,IF((LEN(SUBSTITUTE(SUBSTITUTE(SUBSTITUTE(J500," ",""),"0",""),"-",""))+LEN(SUBSTITUTE(SUBSTITUTE(SUBSTITUTE(K500," ",""),"0",""),"-","")))&gt;(LEN(SUBSTITUTE(SUBSTITUTE(SUBSTITUTE(M500," ",""),"0",""),"-",""))+LEN(SUBSTITUTE(SUBSTITUTE(SUBSTITUTE(N500," ",""),"0",""),"-",""))),1,0))</f>
      </c>
      <c r="K495" s="14" t="str">
        <f>LEN(SUBSTITUTE(SUBSTITUTE(SUBSTITUTE(J496," ",""),"0",""),"-",""))+LEN(SUBSTITUTE(SUBSTITUTE(SUBSTITUTE(K496," ",""),"0",""),"-",""))+LEN(SUBSTITUTE(SUBSTITUTE(SUBSTITUTE(J497," ",""),"0",""),"-",""))+LEN(SUBSTITUTE(SUBSTITUTE(SUBSTITUTE(K497," ",""),"0",""),"-",""))+LEN(SUBSTITUTE(SUBSTITUTE(SUBSTITUTE(J498," ",""),"0",""),"-",""))+LEN(SUBSTITUTE(SUBSTITUTE(SUBSTITUTE(K498," ",""),"0",""),"-",""))+LEN(SUBSTITUTE(SUBSTITUTE(SUBSTITUTE(J499," ",""),"0",""),"-",""))+LEN(SUBSTITUTE(SUBSTITUTE(SUBSTITUTE(K499," ",""),"0",""),"-",""))+LEN(SUBSTITUTE(SUBSTITUTE(SUBSTITUTE(J500," ",""),"0",""),"-",""))+LEN(SUBSTITUTE(SUBSTITUTE(SUBSTITUTE(K500," ",""),"0",""),"-",""))</f>
      </c>
      <c r="L495" s="18"/>
      <c r="M495" s="14" t="str">
        <f>LEN(SUBSTITUTE(SUBSTITUTE(SUBSTITUTE(M496," ",""),"0",""),"-",""))+LEN(SUBSTITUTE(SUBSTITUTE(SUBSTITUTE(N496," ",""),"0",""),"-",""))+LEN(SUBSTITUTE(SUBSTITUTE(SUBSTITUTE(M497," ",""),"0",""),"-",""))+LEN(SUBSTITUTE(SUBSTITUTE(SUBSTITUTE(N497," ",""),"0",""),"-",""))+LEN(SUBSTITUTE(SUBSTITUTE(SUBSTITUTE(M498," ",""),"0",""),"-",""))+LEN(SUBSTITUTE(SUBSTITUTE(SUBSTITUTE(N498," ",""),"0",""),"-",""))+LEN(SUBSTITUTE(SUBSTITUTE(SUBSTITUTE(M499," ",""),"0",""),"-",""))+LEN(SUBSTITUTE(SUBSTITUTE(SUBSTITUTE(N499," ",""),"0",""),"-",""))+LEN(SUBSTITUTE(SUBSTITUTE(SUBSTITUTE(M500," ",""),"0",""),"-",""))+LEN(SUBSTITUTE(SUBSTITUTE(SUBSTITUTE(N500," ",""),"0",""),"-",""))</f>
      </c>
      <c r="N495" s="14" t="str">
        <f>IF(UPPER(L496)="X",0,IF((LEN(SUBSTITUTE(SUBSTITUTE(SUBSTITUTE(M496," ",""),"0",""),"-",""))+LEN(SUBSTITUTE(SUBSTITUTE(SUBSTITUTE(N496," ",""),"0",""),"-","")))&gt;(LEN(SUBSTITUTE(SUBSTITUTE(SUBSTITUTE(J496," ",""),"0",""),"-",""))+LEN(SUBSTITUTE(SUBSTITUTE(SUBSTITUTE(K496," ",""),"0",""),"-",""))),1,0))+IF(UPPER(L497)="X",0,IF((LEN(SUBSTITUTE(SUBSTITUTE(SUBSTITUTE(M497," ",""),"0",""),"-",""))+LEN(SUBSTITUTE(SUBSTITUTE(SUBSTITUTE(N497," ",""),"0",""),"-","")))&gt;(LEN(SUBSTITUTE(SUBSTITUTE(SUBSTITUTE(J497," ",""),"0",""),"-",""))+LEN(SUBSTITUTE(SUBSTITUTE(SUBSTITUTE(K497," ",""),"0",""),"-",""))),1,0))+IF(UPPER(L498)="X",0,IF((LEN(SUBSTITUTE(SUBSTITUTE(SUBSTITUTE(M498," ",""),"0",""),"-",""))+LEN(SUBSTITUTE(SUBSTITUTE(SUBSTITUTE(N498," ",""),"0",""),"-","")))&gt;(LEN(SUBSTITUTE(SUBSTITUTE(SUBSTITUTE(J498," ",""),"0",""),"-",""))+LEN(SUBSTITUTE(SUBSTITUTE(SUBSTITUTE(K498," ",""),"0",""),"-",""))),1,0))+IF(UPPER(L499)="X",0,IF((LEN(SUBSTITUTE(SUBSTITUTE(SUBSTITUTE(M499," ",""),"0",""),"-",""))+LEN(SUBSTITUTE(SUBSTITUTE(SUBSTITUTE(N499," ",""),"0",""),"-","")))&gt;(LEN(SUBSTITUTE(SUBSTITUTE(SUBSTITUTE(J499," ",""),"0",""),"-",""))+LEN(SUBSTITUTE(SUBSTITUTE(SUBSTITUTE(K499," ",""),"0",""),"-",""))),1,0))+IF(UPPER(L500)="X",0,IF((LEN(SUBSTITUTE(SUBSTITUTE(SUBSTITUTE(M500," ",""),"0",""),"-",""))+LEN(SUBSTITUTE(SUBSTITUTE(SUBSTITUTE(N500," ",""),"0",""),"-","")))&gt;(LEN(SUBSTITUTE(SUBSTITUTE(SUBSTITUTE(J500," ",""),"0",""),"-",""))+LEN(SUBSTITUTE(SUBSTITUTE(SUBSTITUTE(K500," ",""),"0",""),"-",""))),1,0))</f>
      </c>
      <c r="O495" s="14" t="str">
        <f>data!$E$82&amp;" "&amp;data!$B$82</f>
      </c>
    </row>
    <row r="496">
      <c r="A496" s="14">
        <v>1</v>
      </c>
      <c r="B496" s="18"/>
      <c r="C496" s="18"/>
      <c r="D496" s="18"/>
      <c r="E496" s="18"/>
      <c r="F496" s="18"/>
      <c r="G496" s="14">
        <v>1</v>
      </c>
      <c r="I496" s="14">
        <v>1</v>
      </c>
      <c r="J496" s="18"/>
      <c r="K496" s="18"/>
      <c r="L496" s="18"/>
      <c r="M496" s="18"/>
      <c r="N496" s="18"/>
      <c r="O496" s="14">
        <v>1</v>
      </c>
    </row>
    <row r="497">
      <c r="A497" s="14">
        <v>2</v>
      </c>
      <c r="B497" s="18"/>
      <c r="C497" s="18"/>
      <c r="D497" s="18"/>
      <c r="E497" s="18"/>
      <c r="F497" s="18"/>
      <c r="G497" s="14">
        <v>2</v>
      </c>
      <c r="I497" s="14">
        <v>2</v>
      </c>
      <c r="J497" s="18"/>
      <c r="K497" s="18"/>
      <c r="L497" s="18"/>
      <c r="M497" s="18"/>
      <c r="N497" s="18"/>
      <c r="O497" s="14">
        <v>2</v>
      </c>
    </row>
    <row r="498">
      <c r="A498" s="14">
        <v>3</v>
      </c>
      <c r="B498" s="18"/>
      <c r="C498" s="18"/>
      <c r="D498" s="18"/>
      <c r="E498" s="18"/>
      <c r="F498" s="18"/>
      <c r="G498" s="14">
        <v>3</v>
      </c>
      <c r="I498" s="14">
        <v>3</v>
      </c>
      <c r="J498" s="18"/>
      <c r="K498" s="18"/>
      <c r="L498" s="18"/>
      <c r="M498" s="18"/>
      <c r="N498" s="18"/>
      <c r="O498" s="14">
        <v>3</v>
      </c>
    </row>
    <row r="499">
      <c r="A499" s="14">
        <v>4</v>
      </c>
      <c r="B499" s="18"/>
      <c r="C499" s="18"/>
      <c r="D499" s="18"/>
      <c r="E499" s="18"/>
      <c r="F499" s="18"/>
      <c r="G499" s="14">
        <v>4</v>
      </c>
      <c r="I499" s="14">
        <v>4</v>
      </c>
      <c r="J499" s="18"/>
      <c r="K499" s="18"/>
      <c r="L499" s="18"/>
      <c r="M499" s="18"/>
      <c r="N499" s="18"/>
      <c r="O499" s="14">
        <v>4</v>
      </c>
    </row>
    <row r="500">
      <c r="A500" s="14">
        <v>5</v>
      </c>
      <c r="B500" s="18"/>
      <c r="C500" s="18"/>
      <c r="D500" s="18"/>
      <c r="E500" s="18"/>
      <c r="F500" s="18"/>
      <c r="G500" s="14">
        <v>5</v>
      </c>
      <c r="I500" s="14">
        <v>5</v>
      </c>
      <c r="J500" s="18"/>
      <c r="K500" s="18"/>
      <c r="L500" s="18"/>
      <c r="M500" s="18"/>
      <c r="N500" s="18"/>
      <c r="O500" s="14">
        <v>5</v>
      </c>
    </row>
    <row r="502">
      <c r="A502" s="17" t="s">
        <v>330</v>
      </c>
      <c r="B502" s="14"/>
      <c r="C502" s="14"/>
      <c r="D502" s="14" t="s">
        <v>331</v>
      </c>
      <c r="E502" s="14"/>
      <c r="F502" s="14"/>
      <c r="G502" s="16" t="s">
        <v>332</v>
      </c>
      <c r="I502" s="17" t="s">
        <v>330</v>
      </c>
      <c r="J502" s="14"/>
      <c r="K502" s="14"/>
      <c r="L502" s="14" t="s">
        <v>331</v>
      </c>
      <c r="M502" s="14"/>
      <c r="N502" s="14"/>
      <c r="O502" s="16" t="s">
        <v>332</v>
      </c>
    </row>
    <row r="503">
      <c r="A503" s="14" t="str">
        <f>data!$E$39&amp;" "&amp;data!$B$39</f>
      </c>
      <c r="B503" s="14" t="str">
        <f>IF(UPPER(D504)="X",0,IF((LEN(SUBSTITUTE(SUBSTITUTE(SUBSTITUTE(B504," ",""),"0",""),"-",""))+LEN(SUBSTITUTE(SUBSTITUTE(SUBSTITUTE(C504," ",""),"0",""),"-","")))&gt;(LEN(SUBSTITUTE(SUBSTITUTE(SUBSTITUTE(E504," ",""),"0",""),"-",""))+LEN(SUBSTITUTE(SUBSTITUTE(SUBSTITUTE(F504," ",""),"0",""),"-",""))),1,0))+IF(UPPER(D505)="X",0,IF((LEN(SUBSTITUTE(SUBSTITUTE(SUBSTITUTE(B505," ",""),"0",""),"-",""))+LEN(SUBSTITUTE(SUBSTITUTE(SUBSTITUTE(C505," ",""),"0",""),"-","")))&gt;(LEN(SUBSTITUTE(SUBSTITUTE(SUBSTITUTE(E505," ",""),"0",""),"-",""))+LEN(SUBSTITUTE(SUBSTITUTE(SUBSTITUTE(F505," ",""),"0",""),"-",""))),1,0))+IF(UPPER(D506)="X",0,IF((LEN(SUBSTITUTE(SUBSTITUTE(SUBSTITUTE(B506," ",""),"0",""),"-",""))+LEN(SUBSTITUTE(SUBSTITUTE(SUBSTITUTE(C506," ",""),"0",""),"-","")))&gt;(LEN(SUBSTITUTE(SUBSTITUTE(SUBSTITUTE(E506," ",""),"0",""),"-",""))+LEN(SUBSTITUTE(SUBSTITUTE(SUBSTITUTE(F506," ",""),"0",""),"-",""))),1,0))+IF(UPPER(D507)="X",0,IF((LEN(SUBSTITUTE(SUBSTITUTE(SUBSTITUTE(B507," ",""),"0",""),"-",""))+LEN(SUBSTITUTE(SUBSTITUTE(SUBSTITUTE(C507," ",""),"0",""),"-","")))&gt;(LEN(SUBSTITUTE(SUBSTITUTE(SUBSTITUTE(E507," ",""),"0",""),"-",""))+LEN(SUBSTITUTE(SUBSTITUTE(SUBSTITUTE(F507," ",""),"0",""),"-",""))),1,0))+IF(UPPER(D508)="X",0,IF((LEN(SUBSTITUTE(SUBSTITUTE(SUBSTITUTE(B508," ",""),"0",""),"-",""))+LEN(SUBSTITUTE(SUBSTITUTE(SUBSTITUTE(C508," ",""),"0",""),"-","")))&gt;(LEN(SUBSTITUTE(SUBSTITUTE(SUBSTITUTE(E508," ",""),"0",""),"-",""))+LEN(SUBSTITUTE(SUBSTITUTE(SUBSTITUTE(F508," ",""),"0",""),"-",""))),1,0))</f>
      </c>
      <c r="C503" s="14" t="str">
        <f>LEN(SUBSTITUTE(SUBSTITUTE(SUBSTITUTE(B504," ",""),"0",""),"-",""))+LEN(SUBSTITUTE(SUBSTITUTE(SUBSTITUTE(C504," ",""),"0",""),"-",""))+LEN(SUBSTITUTE(SUBSTITUTE(SUBSTITUTE(B505," ",""),"0",""),"-",""))+LEN(SUBSTITUTE(SUBSTITUTE(SUBSTITUTE(C505," ",""),"0",""),"-",""))+LEN(SUBSTITUTE(SUBSTITUTE(SUBSTITUTE(B506," ",""),"0",""),"-",""))+LEN(SUBSTITUTE(SUBSTITUTE(SUBSTITUTE(C506," ",""),"0",""),"-",""))+LEN(SUBSTITUTE(SUBSTITUTE(SUBSTITUTE(B507," ",""),"0",""),"-",""))+LEN(SUBSTITUTE(SUBSTITUTE(SUBSTITUTE(C507," ",""),"0",""),"-",""))+LEN(SUBSTITUTE(SUBSTITUTE(SUBSTITUTE(B508," ",""),"0",""),"-",""))+LEN(SUBSTITUTE(SUBSTITUTE(SUBSTITUTE(C508," ",""),"0",""),"-",""))</f>
      </c>
      <c r="D503" s="18"/>
      <c r="E503" s="14" t="str">
        <f>LEN(SUBSTITUTE(SUBSTITUTE(SUBSTITUTE(E504," ",""),"0",""),"-",""))+LEN(SUBSTITUTE(SUBSTITUTE(SUBSTITUTE(F504," ",""),"0",""),"-",""))+LEN(SUBSTITUTE(SUBSTITUTE(SUBSTITUTE(E505," ",""),"0",""),"-",""))+LEN(SUBSTITUTE(SUBSTITUTE(SUBSTITUTE(F505," ",""),"0",""),"-",""))+LEN(SUBSTITUTE(SUBSTITUTE(SUBSTITUTE(E506," ",""),"0",""),"-",""))+LEN(SUBSTITUTE(SUBSTITUTE(SUBSTITUTE(F506," ",""),"0",""),"-",""))+LEN(SUBSTITUTE(SUBSTITUTE(SUBSTITUTE(E507," ",""),"0",""),"-",""))+LEN(SUBSTITUTE(SUBSTITUTE(SUBSTITUTE(F507," ",""),"0",""),"-",""))+LEN(SUBSTITUTE(SUBSTITUTE(SUBSTITUTE(E508," ",""),"0",""),"-",""))+LEN(SUBSTITUTE(SUBSTITUTE(SUBSTITUTE(F508," ",""),"0",""),"-",""))</f>
      </c>
      <c r="F503" s="14" t="str">
        <f>IF(UPPER(D504)="X",0,IF((LEN(SUBSTITUTE(SUBSTITUTE(SUBSTITUTE(E504," ",""),"0",""),"-",""))+LEN(SUBSTITUTE(SUBSTITUTE(SUBSTITUTE(F504," ",""),"0",""),"-","")))&gt;(LEN(SUBSTITUTE(SUBSTITUTE(SUBSTITUTE(B504," ",""),"0",""),"-",""))+LEN(SUBSTITUTE(SUBSTITUTE(SUBSTITUTE(C504," ",""),"0",""),"-",""))),1,0))+IF(UPPER(D505)="X",0,IF((LEN(SUBSTITUTE(SUBSTITUTE(SUBSTITUTE(E505," ",""),"0",""),"-",""))+LEN(SUBSTITUTE(SUBSTITUTE(SUBSTITUTE(F505," ",""),"0",""),"-","")))&gt;(LEN(SUBSTITUTE(SUBSTITUTE(SUBSTITUTE(B505," ",""),"0",""),"-",""))+LEN(SUBSTITUTE(SUBSTITUTE(SUBSTITUTE(C505," ",""),"0",""),"-",""))),1,0))+IF(UPPER(D506)="X",0,IF((LEN(SUBSTITUTE(SUBSTITUTE(SUBSTITUTE(E506," ",""),"0",""),"-",""))+LEN(SUBSTITUTE(SUBSTITUTE(SUBSTITUTE(F506," ",""),"0",""),"-","")))&gt;(LEN(SUBSTITUTE(SUBSTITUTE(SUBSTITUTE(B506," ",""),"0",""),"-",""))+LEN(SUBSTITUTE(SUBSTITUTE(SUBSTITUTE(C506," ",""),"0",""),"-",""))),1,0))+IF(UPPER(D507)="X",0,IF((LEN(SUBSTITUTE(SUBSTITUTE(SUBSTITUTE(E507," ",""),"0",""),"-",""))+LEN(SUBSTITUTE(SUBSTITUTE(SUBSTITUTE(F507," ",""),"0",""),"-","")))&gt;(LEN(SUBSTITUTE(SUBSTITUTE(SUBSTITUTE(B507," ",""),"0",""),"-",""))+LEN(SUBSTITUTE(SUBSTITUTE(SUBSTITUTE(C507," ",""),"0",""),"-",""))),1,0))+IF(UPPER(D508)="X",0,IF((LEN(SUBSTITUTE(SUBSTITUTE(SUBSTITUTE(E508," ",""),"0",""),"-",""))+LEN(SUBSTITUTE(SUBSTITUTE(SUBSTITUTE(F508," ",""),"0",""),"-","")))&gt;(LEN(SUBSTITUTE(SUBSTITUTE(SUBSTITUTE(B508," ",""),"0",""),"-",""))+LEN(SUBSTITUTE(SUBSTITUTE(SUBSTITUTE(C508," ",""),"0",""),"-",""))),1,0))</f>
      </c>
      <c r="G503" s="14" t="str">
        <f>data!$E$38&amp;" "&amp;data!$B$38</f>
      </c>
      <c r="I503" s="14" t="str">
        <f>data!$E$84&amp;" "&amp;data!$B$84</f>
      </c>
      <c r="J503" s="14" t="str">
        <f>IF(UPPER(L504)="X",0,IF((LEN(SUBSTITUTE(SUBSTITUTE(SUBSTITUTE(J504," ",""),"0",""),"-",""))+LEN(SUBSTITUTE(SUBSTITUTE(SUBSTITUTE(K504," ",""),"0",""),"-","")))&gt;(LEN(SUBSTITUTE(SUBSTITUTE(SUBSTITUTE(M504," ",""),"0",""),"-",""))+LEN(SUBSTITUTE(SUBSTITUTE(SUBSTITUTE(N504," ",""),"0",""),"-",""))),1,0))+IF(UPPER(L505)="X",0,IF((LEN(SUBSTITUTE(SUBSTITUTE(SUBSTITUTE(J505," ",""),"0",""),"-",""))+LEN(SUBSTITUTE(SUBSTITUTE(SUBSTITUTE(K505," ",""),"0",""),"-","")))&gt;(LEN(SUBSTITUTE(SUBSTITUTE(SUBSTITUTE(M505," ",""),"0",""),"-",""))+LEN(SUBSTITUTE(SUBSTITUTE(SUBSTITUTE(N505," ",""),"0",""),"-",""))),1,0))+IF(UPPER(L506)="X",0,IF((LEN(SUBSTITUTE(SUBSTITUTE(SUBSTITUTE(J506," ",""),"0",""),"-",""))+LEN(SUBSTITUTE(SUBSTITUTE(SUBSTITUTE(K506," ",""),"0",""),"-","")))&gt;(LEN(SUBSTITUTE(SUBSTITUTE(SUBSTITUTE(M506," ",""),"0",""),"-",""))+LEN(SUBSTITUTE(SUBSTITUTE(SUBSTITUTE(N506," ",""),"0",""),"-",""))),1,0))+IF(UPPER(L507)="X",0,IF((LEN(SUBSTITUTE(SUBSTITUTE(SUBSTITUTE(J507," ",""),"0",""),"-",""))+LEN(SUBSTITUTE(SUBSTITUTE(SUBSTITUTE(K507," ",""),"0",""),"-","")))&gt;(LEN(SUBSTITUTE(SUBSTITUTE(SUBSTITUTE(M507," ",""),"0",""),"-",""))+LEN(SUBSTITUTE(SUBSTITUTE(SUBSTITUTE(N507," ",""),"0",""),"-",""))),1,0))+IF(UPPER(L508)="X",0,IF((LEN(SUBSTITUTE(SUBSTITUTE(SUBSTITUTE(J508," ",""),"0",""),"-",""))+LEN(SUBSTITUTE(SUBSTITUTE(SUBSTITUTE(K508," ",""),"0",""),"-","")))&gt;(LEN(SUBSTITUTE(SUBSTITUTE(SUBSTITUTE(M508," ",""),"0",""),"-",""))+LEN(SUBSTITUTE(SUBSTITUTE(SUBSTITUTE(N508," ",""),"0",""),"-",""))),1,0))</f>
      </c>
      <c r="K503" s="14" t="str">
        <f>LEN(SUBSTITUTE(SUBSTITUTE(SUBSTITUTE(J504," ",""),"0",""),"-",""))+LEN(SUBSTITUTE(SUBSTITUTE(SUBSTITUTE(K504," ",""),"0",""),"-",""))+LEN(SUBSTITUTE(SUBSTITUTE(SUBSTITUTE(J505," ",""),"0",""),"-",""))+LEN(SUBSTITUTE(SUBSTITUTE(SUBSTITUTE(K505," ",""),"0",""),"-",""))+LEN(SUBSTITUTE(SUBSTITUTE(SUBSTITUTE(J506," ",""),"0",""),"-",""))+LEN(SUBSTITUTE(SUBSTITUTE(SUBSTITUTE(K506," ",""),"0",""),"-",""))+LEN(SUBSTITUTE(SUBSTITUTE(SUBSTITUTE(J507," ",""),"0",""),"-",""))+LEN(SUBSTITUTE(SUBSTITUTE(SUBSTITUTE(K507," ",""),"0",""),"-",""))+LEN(SUBSTITUTE(SUBSTITUTE(SUBSTITUTE(J508," ",""),"0",""),"-",""))+LEN(SUBSTITUTE(SUBSTITUTE(SUBSTITUTE(K508," ",""),"0",""),"-",""))</f>
      </c>
      <c r="L503" s="18"/>
      <c r="M503" s="14" t="str">
        <f>LEN(SUBSTITUTE(SUBSTITUTE(SUBSTITUTE(M504," ",""),"0",""),"-",""))+LEN(SUBSTITUTE(SUBSTITUTE(SUBSTITUTE(N504," ",""),"0",""),"-",""))+LEN(SUBSTITUTE(SUBSTITUTE(SUBSTITUTE(M505," ",""),"0",""),"-",""))+LEN(SUBSTITUTE(SUBSTITUTE(SUBSTITUTE(N505," ",""),"0",""),"-",""))+LEN(SUBSTITUTE(SUBSTITUTE(SUBSTITUTE(M506," ",""),"0",""),"-",""))+LEN(SUBSTITUTE(SUBSTITUTE(SUBSTITUTE(N506," ",""),"0",""),"-",""))+LEN(SUBSTITUTE(SUBSTITUTE(SUBSTITUTE(M507," ",""),"0",""),"-",""))+LEN(SUBSTITUTE(SUBSTITUTE(SUBSTITUTE(N507," ",""),"0",""),"-",""))+LEN(SUBSTITUTE(SUBSTITUTE(SUBSTITUTE(M508," ",""),"0",""),"-",""))+LEN(SUBSTITUTE(SUBSTITUTE(SUBSTITUTE(N508," ",""),"0",""),"-",""))</f>
      </c>
      <c r="N503" s="14" t="str">
        <f>IF(UPPER(L504)="X",0,IF((LEN(SUBSTITUTE(SUBSTITUTE(SUBSTITUTE(M504," ",""),"0",""),"-",""))+LEN(SUBSTITUTE(SUBSTITUTE(SUBSTITUTE(N504," ",""),"0",""),"-","")))&gt;(LEN(SUBSTITUTE(SUBSTITUTE(SUBSTITUTE(J504," ",""),"0",""),"-",""))+LEN(SUBSTITUTE(SUBSTITUTE(SUBSTITUTE(K504," ",""),"0",""),"-",""))),1,0))+IF(UPPER(L505)="X",0,IF((LEN(SUBSTITUTE(SUBSTITUTE(SUBSTITUTE(M505," ",""),"0",""),"-",""))+LEN(SUBSTITUTE(SUBSTITUTE(SUBSTITUTE(N505," ",""),"0",""),"-","")))&gt;(LEN(SUBSTITUTE(SUBSTITUTE(SUBSTITUTE(J505," ",""),"0",""),"-",""))+LEN(SUBSTITUTE(SUBSTITUTE(SUBSTITUTE(K505," ",""),"0",""),"-",""))),1,0))+IF(UPPER(L506)="X",0,IF((LEN(SUBSTITUTE(SUBSTITUTE(SUBSTITUTE(M506," ",""),"0",""),"-",""))+LEN(SUBSTITUTE(SUBSTITUTE(SUBSTITUTE(N506," ",""),"0",""),"-","")))&gt;(LEN(SUBSTITUTE(SUBSTITUTE(SUBSTITUTE(J506," ",""),"0",""),"-",""))+LEN(SUBSTITUTE(SUBSTITUTE(SUBSTITUTE(K506," ",""),"0",""),"-",""))),1,0))+IF(UPPER(L507)="X",0,IF((LEN(SUBSTITUTE(SUBSTITUTE(SUBSTITUTE(M507," ",""),"0",""),"-",""))+LEN(SUBSTITUTE(SUBSTITUTE(SUBSTITUTE(N507," ",""),"0",""),"-","")))&gt;(LEN(SUBSTITUTE(SUBSTITUTE(SUBSTITUTE(J507," ",""),"0",""),"-",""))+LEN(SUBSTITUTE(SUBSTITUTE(SUBSTITUTE(K507," ",""),"0",""),"-",""))),1,0))+IF(UPPER(L508)="X",0,IF((LEN(SUBSTITUTE(SUBSTITUTE(SUBSTITUTE(M508," ",""),"0",""),"-",""))+LEN(SUBSTITUTE(SUBSTITUTE(SUBSTITUTE(N508," ",""),"0",""),"-","")))&gt;(LEN(SUBSTITUTE(SUBSTITUTE(SUBSTITUTE(J508," ",""),"0",""),"-",""))+LEN(SUBSTITUTE(SUBSTITUTE(SUBSTITUTE(K508," ",""),"0",""),"-",""))),1,0))</f>
      </c>
      <c r="O503" s="14" t="str">
        <f>data!$E$83&amp;" "&amp;data!$B$83</f>
      </c>
    </row>
    <row r="504">
      <c r="A504" s="14">
        <v>1</v>
      </c>
      <c r="B504" s="18"/>
      <c r="C504" s="18"/>
      <c r="D504" s="18"/>
      <c r="E504" s="18"/>
      <c r="F504" s="18"/>
      <c r="G504" s="14">
        <v>1</v>
      </c>
      <c r="I504" s="14">
        <v>1</v>
      </c>
      <c r="J504" s="18"/>
      <c r="K504" s="18"/>
      <c r="L504" s="18"/>
      <c r="M504" s="18"/>
      <c r="N504" s="18"/>
      <c r="O504" s="14">
        <v>1</v>
      </c>
    </row>
    <row r="505">
      <c r="A505" s="14">
        <v>2</v>
      </c>
      <c r="B505" s="18"/>
      <c r="C505" s="18"/>
      <c r="D505" s="18"/>
      <c r="E505" s="18"/>
      <c r="F505" s="18"/>
      <c r="G505" s="14">
        <v>2</v>
      </c>
      <c r="I505" s="14">
        <v>2</v>
      </c>
      <c r="J505" s="18"/>
      <c r="K505" s="18"/>
      <c r="L505" s="18"/>
      <c r="M505" s="18"/>
      <c r="N505" s="18"/>
      <c r="O505" s="14">
        <v>2</v>
      </c>
    </row>
    <row r="506">
      <c r="A506" s="14">
        <v>3</v>
      </c>
      <c r="B506" s="18"/>
      <c r="C506" s="18"/>
      <c r="D506" s="18"/>
      <c r="E506" s="18"/>
      <c r="F506" s="18"/>
      <c r="G506" s="14">
        <v>3</v>
      </c>
      <c r="I506" s="14">
        <v>3</v>
      </c>
      <c r="J506" s="18"/>
      <c r="K506" s="18"/>
      <c r="L506" s="18"/>
      <c r="M506" s="18"/>
      <c r="N506" s="18"/>
      <c r="O506" s="14">
        <v>3</v>
      </c>
    </row>
    <row r="507">
      <c r="A507" s="14">
        <v>4</v>
      </c>
      <c r="B507" s="18"/>
      <c r="C507" s="18"/>
      <c r="D507" s="18"/>
      <c r="E507" s="18"/>
      <c r="F507" s="18"/>
      <c r="G507" s="14">
        <v>4</v>
      </c>
      <c r="I507" s="14">
        <v>4</v>
      </c>
      <c r="J507" s="18"/>
      <c r="K507" s="18"/>
      <c r="L507" s="18"/>
      <c r="M507" s="18"/>
      <c r="N507" s="18"/>
      <c r="O507" s="14">
        <v>4</v>
      </c>
    </row>
    <row r="508">
      <c r="A508" s="14">
        <v>5</v>
      </c>
      <c r="B508" s="18"/>
      <c r="C508" s="18"/>
      <c r="D508" s="18"/>
      <c r="E508" s="18"/>
      <c r="F508" s="18"/>
      <c r="G508" s="14">
        <v>5</v>
      </c>
      <c r="I508" s="14">
        <v>5</v>
      </c>
      <c r="J508" s="18"/>
      <c r="K508" s="18"/>
      <c r="L508" s="18"/>
      <c r="M508" s="18"/>
      <c r="N508" s="18"/>
      <c r="O508" s="14">
        <v>5</v>
      </c>
    </row>
    <row r="511">
      <c r="A511" s="13" t="s">
        <v>333</v>
      </c>
      <c r="B511" s="13" t="s">
        <v>334</v>
      </c>
      <c r="C511" s="13" t="s">
        <v>335</v>
      </c>
      <c r="D511" s="13" t="s">
        <v>336</v>
      </c>
      <c r="E511" s="13"/>
      <c r="F511" s="13"/>
      <c r="G511" s="13" t="s">
        <v>337</v>
      </c>
      <c r="I511" s="13" t="s">
        <v>333</v>
      </c>
      <c r="J511" s="13" t="s">
        <v>334</v>
      </c>
      <c r="K511" s="13" t="s">
        <v>335</v>
      </c>
      <c r="L511" s="13" t="s">
        <v>336</v>
      </c>
      <c r="M511" s="13"/>
      <c r="N511" s="13"/>
      <c r="O511" s="13" t="s">
        <v>337</v>
      </c>
    </row>
    <row r="512">
      <c r="A512" s="14" t="str">
        <f>data!$E$37&amp;" "&amp;data!$B$37</f>
      </c>
      <c r="B512" s="14" t="str">
        <f>IF(OR(COUNTA(B488:C492,E488:F492)&gt;0,D488="X",D488="x",D489="X",D489="x",D490="X",D490="x",D491="X",D491="x",D492="X",D492="x",OR(D487="X",D487="x")),IF(OR(OR(D487="X",D487="x"),AND(B487=F487,C487=E487)),0,IF(OR(F487&gt;B487,AND(F487=B487,E487&gt;C487)),1,0)),0)+IF(OR(COUNTA(B496:C500,E496:F500)&gt;0,D496="X",D496="x",D497="X",D497="x",D498="X",D498="x",D499="X",D499="x",D500="X",D500="x",OR(D495="X",D495="x")),IF(OR(OR(D495="X",D495="x"),AND(B495=F495,C495=E495)),0,IF(OR(F495&gt;B495,AND(F495=B495,E495&gt;C495)),1,0)),0)</f>
      </c>
      <c r="C512" s="14" t="str">
        <f>IF(OR(COUNTA(B488:C492,E488:F492)&gt;0,D488="X",D488="x",D489="X",D489="x",D490="X",D490="x",D491="X",D491="x",D492="X",D492="x",OR(D487="X",D487="x")),IF(OR(OR(D487="X",D487="x"),AND(B487=F487,C487=E487)),0,IF(OR(F487&lt;B487,AND(F487=B487,E487&lt;C487)),1,0)),0)+IF(OR(COUNTA(B496:C500,E496:F500)&gt;0,D496="X",D496="x",D497="X",D497="x",D498="X",D498="x",D499="X",D499="x",D500="X",D500="x",OR(D495="X",D495="x")),IF(OR(OR(D495="X",D495="x"),AND(B495=F495,C495=E495)),0,IF(OR(F495&lt;B495,AND(F495=B495,E495&lt;C495)),1,0)),0)</f>
      </c>
      <c r="D512" s="14" t="str">
        <f>IF(OR(COUNTA(B488:C492,E488:F492)&gt;0,D488="X",D488="x",D489="X",D489="x",D490="X",D490="x",D491="X",D491="x",D492="X",D492="x",OR(D487="X",D487="x")),IF(OR(OR(D487="X",D487="x"),AND(B487=F487,C487=E487)),1,0),0)+IF(OR(COUNTA(B496:C500,E496:F500)&gt;0,D496="X",D496="x",D497="X",D497="x",D498="X",D498="x",D499="X",D499="x",D500="X",D500="x",OR(D495="X",D495="x")),IF(OR(OR(D495="X",D495="x"),AND(B495=F495,C495=E495)),1,0),0)</f>
      </c>
      <c r="G512" s="18" t="str">
        <f>RANK(U512,$U$512:$U$514)+COUNTIF($U$511:U511,U512)</f>
      </c>
      <c r="I512" s="14" t="str">
        <f>data!$E$82&amp;" "&amp;data!$B$82</f>
      </c>
      <c r="J512" s="14" t="str">
        <f>IF(OR(COUNTA(J488:K492,M488:N492)&gt;0,L488="X",L488="x",L489="X",L489="x",L490="X",L490="x",L491="X",L491="x",L492="X",L492="x",OR(L487="X",L487="x")),IF(OR(OR(L487="X",L487="x"),AND(J487=N487,K487=M487)),0,IF(OR(N487&gt;J487,AND(N487=J487,M487&gt;K487)),1,0)),0)+IF(OR(COUNTA(J496:K500,M496:N500)&gt;0,L496="X",L496="x",L497="X",L497="x",L498="X",L498="x",L499="X",L499="x",L500="X",L500="x",OR(L495="X",L495="x")),IF(OR(OR(L495="X",L495="x"),AND(J495=N495,K495=M495)),0,IF(OR(N495&gt;J495,AND(N495=J495,M495&gt;K495)),1,0)),0)</f>
      </c>
      <c r="K512" s="14" t="str">
        <f>IF(OR(COUNTA(J488:K492,M488:N492)&gt;0,L488="X",L488="x",L489="X",L489="x",L490="X",L490="x",L491="X",L491="x",L492="X",L492="x",OR(L487="X",L487="x")),IF(OR(OR(L487="X",L487="x"),AND(J487=N487,K487=M487)),0,IF(OR(N487&lt;J487,AND(N487=J487,M487&lt;K487)),1,0)),0)+IF(OR(COUNTA(J496:K500,M496:N500)&gt;0,L496="X",L496="x",L497="X",L497="x",L498="X",L498="x",L499="X",L499="x",L500="X",L500="x",OR(L495="X",L495="x")),IF(OR(OR(L495="X",L495="x"),AND(J495=N495,K495=M495)),0,IF(OR(N495&lt;J495,AND(N495=J495,M495&lt;K495)),1,0)),0)</f>
      </c>
      <c r="L512" s="14" t="str">
        <f>IF(OR(COUNTA(J488:K492,M488:N492)&gt;0,L488="X",L488="x",L489="X",L489="x",L490="X",L490="x",L491="X",L491="x",L492="X",L492="x",OR(L487="X",L487="x")),IF(OR(OR(L487="X",L487="x"),AND(J487=N487,K487=M487)),1,0),0)+IF(OR(COUNTA(J496:K500,M496:N500)&gt;0,L496="X",L496="x",L497="X",L497="x",L498="X",L498="x",L499="X",L499="x",L500="X",L500="x",OR(L495="X",L495="x")),IF(OR(OR(L495="X",L495="x"),AND(J495=N495,K495=M495)),1,0),0)</f>
      </c>
      <c r="O512" s="18" t="str">
        <f>RANK(AC512,$AC$512:$AC$514)+COUNTIF($AC$511:AC511,AC512)</f>
      </c>
      <c r="U512" t="str">
        <f>(B512*1000000000)-(C512*10000000)+(D512*100000)+(B517*1000)-(C517*100)+(D517*10)+(E517*1)-(F517*0.01)</f>
      </c>
      <c r="AC512" t="str">
        <f>(J512*1000000000)-(K512*10000000)+(L512*100000)+(J517*1000)-(K517*100)+(L517*10)+(M517*1)-(N517*0.01)</f>
      </c>
    </row>
    <row r="513">
      <c r="A513" s="14" t="str">
        <f>data!$E$38&amp;" "&amp;data!$B$38</f>
      </c>
      <c r="B513" s="14" t="str">
        <f>IF(OR(COUNTA(B488:C492,E488:F492)&gt;0,D488="X",D488="x",D489="X",D489="x",D490="X",D490="x",D491="X",D491="x",D492="X",D492="x",OR(D487="X",D487="x")),IF(OR(OR(D487="X",D487="x"),AND(B487=F487,C487=E487)),0,IF(OR(B487&gt;F487,AND(B487=F487,C487&gt;E487)),1,0)),0)+IF(OR(COUNTA(B504:C508,E504:F508)&gt;0,D504="X",D504="x",D505="X",D505="x",D506="X",D506="x",D507="X",D507="x",D508="X",D508="x",OR(D503="X",D503="x")),IF(OR(OR(D503="X",D503="x"),AND(B503=F503,C503=E503)),0,IF(OR(F503&gt;B503,AND(F503=B503,E503&gt;C503)),1,0)),0)</f>
      </c>
      <c r="C513" s="14" t="str">
        <f>IF(OR(COUNTA(B488:C492,E488:F492)&gt;0,D488="X",D488="x",D489="X",D489="x",D490="X",D490="x",D491="X",D491="x",D492="X",D492="x",OR(D487="X",D487="x")),IF(OR(OR(D487="X",D487="x"),AND(B487=F487,C487=E487)),0,IF(OR(B487&lt;F487,AND(B487=F487,C487&lt;E487)),1,0)),0)+IF(OR(COUNTA(B504:C508,E504:F508)&gt;0,D504="X",D504="x",D505="X",D505="x",D506="X",D506="x",D507="X",D507="x",D508="X",D508="x",OR(D503="X",D503="x")),IF(OR(OR(D503="X",D503="x"),AND(B503=F503,C503=E503)),0,IF(OR(F503&lt;B503,AND(F503=B503,E503&lt;C503)),1,0)),0)</f>
      </c>
      <c r="D513" s="14" t="str">
        <f>IF(OR(COUNTA(B488:C492,E488:F492)&gt;0,D488="X",D488="x",D489="X",D489="x",D490="X",D490="x",D491="X",D491="x",D492="X",D492="x",OR(D487="X",D487="x")),IF(OR(OR(D487="X",D487="x"),AND(B487=F487,C487=E487)),1,0),0)+IF(OR(COUNTA(B504:C508,E504:F508)&gt;0,D504="X",D504="x",D505="X",D505="x",D506="X",D506="x",D507="X",D507="x",D508="X",D508="x",OR(D503="X",D503="x")),IF(OR(OR(D503="X",D503="x"),AND(B503=F503,C503=E503)),1,0),0)</f>
      </c>
      <c r="G513" s="18" t="str">
        <f>RANK(U513,$U$512:$U$514)+COUNTIF($U$511:U512,U513)</f>
      </c>
      <c r="I513" s="14" t="str">
        <f>data!$E$83&amp;" "&amp;data!$B$83</f>
      </c>
      <c r="J513" s="14" t="str">
        <f>IF(OR(COUNTA(J488:K492,M488:N492)&gt;0,L488="X",L488="x",L489="X",L489="x",L490="X",L490="x",L491="X",L491="x",L492="X",L492="x",OR(L487="X",L487="x")),IF(OR(OR(L487="X",L487="x"),AND(J487=N487,K487=M487)),0,IF(OR(J487&gt;N487,AND(J487=N487,K487&gt;M487)),1,0)),0)+IF(OR(COUNTA(J504:K508,M504:N508)&gt;0,L504="X",L504="x",L505="X",L505="x",L506="X",L506="x",L507="X",L507="x",L508="X",L508="x",OR(L503="X",L503="x")),IF(OR(OR(L503="X",L503="x"),AND(J503=N503,K503=M503)),0,IF(OR(N503&gt;J503,AND(N503=J503,M503&gt;K503)),1,0)),0)</f>
      </c>
      <c r="K513" s="14" t="str">
        <f>IF(OR(COUNTA(J488:K492,M488:N492)&gt;0,L488="X",L488="x",L489="X",L489="x",L490="X",L490="x",L491="X",L491="x",L492="X",L492="x",OR(L487="X",L487="x")),IF(OR(OR(L487="X",L487="x"),AND(J487=N487,K487=M487)),0,IF(OR(J487&lt;N487,AND(J487=N487,K487&lt;M487)),1,0)),0)+IF(OR(COUNTA(J504:K508,M504:N508)&gt;0,L504="X",L504="x",L505="X",L505="x",L506="X",L506="x",L507="X",L507="x",L508="X",L508="x",OR(L503="X",L503="x")),IF(OR(OR(L503="X",L503="x"),AND(J503=N503,K503=M503)),0,IF(OR(N503&lt;J503,AND(N503=J503,M503&lt;K503)),1,0)),0)</f>
      </c>
      <c r="L513" s="14" t="str">
        <f>IF(OR(COUNTA(J488:K492,M488:N492)&gt;0,L488="X",L488="x",L489="X",L489="x",L490="X",L490="x",L491="X",L491="x",L492="X",L492="x",OR(L487="X",L487="x")),IF(OR(OR(L487="X",L487="x"),AND(J487=N487,K487=M487)),1,0),0)+IF(OR(COUNTA(J504:K508,M504:N508)&gt;0,L504="X",L504="x",L505="X",L505="x",L506="X",L506="x",L507="X",L507="x",L508="X",L508="x",OR(L503="X",L503="x")),IF(OR(OR(L503="X",L503="x"),AND(J503=N503,K503=M503)),1,0),0)</f>
      </c>
      <c r="O513" s="18" t="str">
        <f>RANK(AC513,$AC$512:$AC$514)+COUNTIF($AC$511:AC512,AC513)</f>
      </c>
      <c r="U513" t="str">
        <f>(B513*1000000000)-(C513*10000000)+(D513*100000)+(B518*1000)-(C518*100)+(D518*10)+(E518*1)-(F518*0.01)</f>
      </c>
      <c r="AC513" t="str">
        <f>(J513*1000000000)-(K513*10000000)+(L513*100000)+(J518*1000)-(K518*100)+(L518*10)+(M518*1)-(N518*0.01)</f>
      </c>
    </row>
    <row r="514">
      <c r="A514" s="14" t="str">
        <f>data!$E$39&amp;" "&amp;data!$B$39</f>
      </c>
      <c r="B514" s="14" t="str">
        <f>IF(OR(COUNTA(B496:C500,E496:F500)&gt;0,D496="X",D496="x",D497="X",D497="x",D498="X",D498="x",D499="X",D499="x",D500="X",D500="x",OR(D495="X",D495="x")),IF(OR(OR(D495="X",D495="x"),AND(B495=F495,C495=E495)),0,IF(OR(B495&gt;F495,AND(B495=F495,C495&gt;E495)),1,0)),0)+IF(OR(COUNTA(B504:C508,E504:F508)&gt;0,D504="X",D504="x",D505="X",D505="x",D506="X",D506="x",D507="X",D507="x",D508="X",D508="x",OR(D503="X",D503="x")),IF(OR(OR(D503="X",D503="x"),AND(B503=F503,C503=E503)),0,IF(OR(B503&gt;F503,AND(B503=F503,C503&gt;E503)),1,0)),0)</f>
      </c>
      <c r="C514" s="14" t="str">
        <f>IF(OR(COUNTA(B496:C500,E496:F500)&gt;0,D496="X",D496="x",D497="X",D497="x",D498="X",D498="x",D499="X",D499="x",D500="X",D500="x",OR(D495="X",D495="x")),IF(OR(OR(D495="X",D495="x"),AND(B495=F495,C495=E495)),0,IF(OR(B495&lt;F495,AND(B495=F495,C495&lt;E495)),1,0)),0)+IF(OR(COUNTA(B504:C508,E504:F508)&gt;0,D504="X",D504="x",D505="X",D505="x",D506="X",D506="x",D507="X",D507="x",D508="X",D508="x",OR(D503="X",D503="x")),IF(OR(OR(D503="X",D503="x"),AND(B503=F503,C503=E503)),0,IF(OR(B503&lt;F503,AND(B503=F503,C503&lt;E503)),1,0)),0)</f>
      </c>
      <c r="D514" s="14" t="str">
        <f>IF(OR(COUNTA(B496:C500,E496:F500)&gt;0,D496="X",D496="x",D497="X",D497="x",D498="X",D498="x",D499="X",D499="x",D500="X",D500="x",OR(D495="X",D495="x")),IF(OR(OR(D495="X",D495="x"),AND(B495=F495,C495=E495)),1,0),0)+IF(OR(COUNTA(B504:C508,E504:F508)&gt;0,D504="X",D504="x",D505="X",D505="x",D506="X",D506="x",D507="X",D507="x",D508="X",D508="x",OR(D503="X",D503="x")),IF(OR(OR(D503="X",D503="x"),AND(B503=F503,C503=E503)),1,0),0)</f>
      </c>
      <c r="G514" s="18" t="str">
        <f>RANK(U514,$U$512:$U$514)+COUNTIF($U$511:U513,U514)</f>
      </c>
      <c r="I514" s="14" t="str">
        <f>data!$E$84&amp;" "&amp;data!$B$84</f>
      </c>
      <c r="J514" s="14" t="str">
        <f>IF(OR(COUNTA(J496:K500,M496:N500)&gt;0,L496="X",L496="x",L497="X",L497="x",L498="X",L498="x",L499="X",L499="x",L500="X",L500="x",OR(L495="X",L495="x")),IF(OR(OR(L495="X",L495="x"),AND(J495=N495,K495=M495)),0,IF(OR(J495&gt;N495,AND(J495=N495,K495&gt;M495)),1,0)),0)+IF(OR(COUNTA(J504:K508,M504:N508)&gt;0,L504="X",L504="x",L505="X",L505="x",L506="X",L506="x",L507="X",L507="x",L508="X",L508="x",OR(L503="X",L503="x")),IF(OR(OR(L503="X",L503="x"),AND(J503=N503,K503=M503)),0,IF(OR(J503&gt;N503,AND(J503=N503,K503&gt;M503)),1,0)),0)</f>
      </c>
      <c r="K514" s="14" t="str">
        <f>IF(OR(COUNTA(J496:K500,M496:N500)&gt;0,L496="X",L496="x",L497="X",L497="x",L498="X",L498="x",L499="X",L499="x",L500="X",L500="x",OR(L495="X",L495="x")),IF(OR(OR(L495="X",L495="x"),AND(J495=N495,K495=M495)),0,IF(OR(J495&lt;N495,AND(J495=N495,K495&lt;M495)),1,0)),0)+IF(OR(COUNTA(J504:K508,M504:N508)&gt;0,L504="X",L504="x",L505="X",L505="x",L506="X",L506="x",L507="X",L507="x",L508="X",L508="x",OR(L503="X",L503="x")),IF(OR(OR(L503="X",L503="x"),AND(J503=N503,K503=M503)),0,IF(OR(J503&lt;N503,AND(J503=N503,K503&lt;M503)),1,0)),0)</f>
      </c>
      <c r="L514" s="14" t="str">
        <f>IF(OR(COUNTA(J496:K500,M496:N500)&gt;0,L496="X",L496="x",L497="X",L497="x",L498="X",L498="x",L499="X",L499="x",L500="X",L500="x",OR(L495="X",L495="x")),IF(OR(OR(L495="X",L495="x"),AND(J495=N495,K495=M495)),1,0),0)+IF(OR(COUNTA(J504:K508,M504:N508)&gt;0,L504="X",L504="x",L505="X",L505="x",L506="X",L506="x",L507="X",L507="x",L508="X",L508="x",OR(L503="X",L503="x")),IF(OR(OR(L503="X",L503="x"),AND(J503=N503,K503=M503)),1,0),0)</f>
      </c>
      <c r="O514" s="18" t="str">
        <f>RANK(AC514,$AC$512:$AC$514)+COUNTIF($AC$511:AC513,AC514)</f>
      </c>
      <c r="U514" t="str">
        <f>(B514*1000000000)-(C514*10000000)+(D514*100000)+(B519*1000)-(C519*100)+(D519*10)+(E519*1)-(F519*0.01)</f>
      </c>
      <c r="AC514" t="str">
        <f>(J514*1000000000)-(K514*10000000)+(L514*100000)+(J519*1000)-(K519*100)+(L519*10)+(M519*1)-(N519*0.01)</f>
      </c>
    </row>
    <row r="516">
      <c r="A516" s="13"/>
      <c r="B516" s="13" t="s">
        <v>338</v>
      </c>
      <c r="C516" s="13" t="s">
        <v>339</v>
      </c>
      <c r="D516" s="13" t="s">
        <v>340</v>
      </c>
      <c r="E516" s="13" t="s">
        <v>341</v>
      </c>
      <c r="F516" s="13" t="s">
        <v>342</v>
      </c>
      <c r="I516" s="13"/>
      <c r="J516" s="13" t="s">
        <v>338</v>
      </c>
      <c r="K516" s="13" t="s">
        <v>339</v>
      </c>
      <c r="L516" s="13" t="s">
        <v>340</v>
      </c>
      <c r="M516" s="13" t="s">
        <v>341</v>
      </c>
      <c r="N516" s="13" t="s">
        <v>342</v>
      </c>
    </row>
    <row r="517">
      <c r="A517" s="14" t="str">
        <f>data!$E$37&amp;" "&amp;data!$B$37</f>
      </c>
      <c r="B517" s="14" t="str">
        <f>IF(OR(COUNTA(B488:C492,E488:F492)&gt;0,OR(D487="X",D487="x"),UPPER(D488)="X",UPPER(D489)="X",UPPER(D490)="X",UPPER(D491)="X",UPPER(D492)="X"),F487,0)+IF(OR(COUNTA(B496:C500,E496:F500)&gt;0,OR(D495="X",D495="x"),UPPER(D496)="X",UPPER(D497)="X",UPPER(D498)="X",UPPER(D499)="X",UPPER(D500)="X"),F495,0)</f>
      </c>
      <c r="C517" s="14" t="str">
        <f>IF(OR(COUNTA(B488:C492,E488:F492)&gt;0,OR(D487="X",D487="x"),UPPER(D488)="X",UPPER(D489)="X",UPPER(D490)="X",UPPER(D491)="X",UPPER(D492)="X"),B487,0)+IF(OR(COUNTA(B496:C500,E496:F500)&gt;0,OR(D495="X",D495="x"),UPPER(D496)="X",UPPER(D497)="X",UPPER(D498)="X",UPPER(D499)="X",UPPER(D500)="X"),B495,0)</f>
      </c>
      <c r="D517" s="14" t="str">
        <f>IF(OR(COUNTA(B488:C492,E488:F492)&gt;0,OR(D487="X",D487="x"),UPPER(D488)="X",UPPER(D489)="X",UPPER(D490)="X",UPPER(D491)="X",UPPER(D492)="X"),(IF(OR(D488="X",D488="x",AND(COUNTA(B488,C488,E488,F488)&gt;0,(LEN(SUBSTITUTE(SUBSTITUTE(SUBSTITUTE(B488," ",""),"0",""),"-",""))+LEN(SUBSTITUTE(SUBSTITUTE(SUBSTITUTE(C488," ",""),"0",""),"-","")))=(LEN(SUBSTITUTE(SUBSTITUTE(SUBSTITUTE(E488," ",""),"0",""),"-",""))+LEN(SUBSTITUTE(SUBSTITUTE(SUBSTITUTE(F488," ",""),"0",""),"-",""))))),1,0)+IF(OR(D489="X",D489="x",AND(COUNTA(B489,C489,E489,F489)&gt;0,(LEN(SUBSTITUTE(SUBSTITUTE(SUBSTITUTE(B489," ",""),"0",""),"-",""))+LEN(SUBSTITUTE(SUBSTITUTE(SUBSTITUTE(C489," ",""),"0",""),"-","")))=(LEN(SUBSTITUTE(SUBSTITUTE(SUBSTITUTE(E489," ",""),"0",""),"-",""))+LEN(SUBSTITUTE(SUBSTITUTE(SUBSTITUTE(F489," ",""),"0",""),"-",""))))),1,0)+IF(OR(D490="X",D490="x",AND(COUNTA(B490,C490,E490,F490)&gt;0,(LEN(SUBSTITUTE(SUBSTITUTE(SUBSTITUTE(B490," ",""),"0",""),"-",""))+LEN(SUBSTITUTE(SUBSTITUTE(SUBSTITUTE(C490," ",""),"0",""),"-","")))=(LEN(SUBSTITUTE(SUBSTITUTE(SUBSTITUTE(E490," ",""),"0",""),"-",""))+LEN(SUBSTITUTE(SUBSTITUTE(SUBSTITUTE(F490," ",""),"0",""),"-",""))))),1,0)+IF(OR(D491="X",D491="x",AND(COUNTA(B491,C491,E491,F491)&gt;0,(LEN(SUBSTITUTE(SUBSTITUTE(SUBSTITUTE(B491," ",""),"0",""),"-",""))+LEN(SUBSTITUTE(SUBSTITUTE(SUBSTITUTE(C491," ",""),"0",""),"-","")))=(LEN(SUBSTITUTE(SUBSTITUTE(SUBSTITUTE(E491," ",""),"0",""),"-",""))+LEN(SUBSTITUTE(SUBSTITUTE(SUBSTITUTE(F491," ",""),"0",""),"-",""))))),1,0)+IF(OR(D492="X",D492="x",AND(COUNTA(B492,C492,E492,F492)&gt;0,(LEN(SUBSTITUTE(SUBSTITUTE(SUBSTITUTE(B492," ",""),"0",""),"-",""))+LEN(SUBSTITUTE(SUBSTITUTE(SUBSTITUTE(C492," ",""),"0",""),"-","")))=(LEN(SUBSTITUTE(SUBSTITUTE(SUBSTITUTE(E492," ",""),"0",""),"-",""))+LEN(SUBSTITUTE(SUBSTITUTE(SUBSTITUTE(F492," ",""),"0",""),"-",""))))),1,0)),0)+IF(OR(COUNTA(B496:C500,E496:F500)&gt;0,OR(D495="X",D495="x"),UPPER(D496)="X",UPPER(D497)="X",UPPER(D498)="X",UPPER(D499)="X",UPPER(D500)="X"),(IF(OR(D496="X",D496="x",AND(COUNTA(B496,C496,E496,F496)&gt;0,(LEN(SUBSTITUTE(SUBSTITUTE(SUBSTITUTE(B496," ",""),"0",""),"-",""))+LEN(SUBSTITUTE(SUBSTITUTE(SUBSTITUTE(C496," ",""),"0",""),"-","")))=(LEN(SUBSTITUTE(SUBSTITUTE(SUBSTITUTE(E496," ",""),"0",""),"-",""))+LEN(SUBSTITUTE(SUBSTITUTE(SUBSTITUTE(F496," ",""),"0",""),"-",""))))),1,0)+IF(OR(D497="X",D497="x",AND(COUNTA(B497,C497,E497,F497)&gt;0,(LEN(SUBSTITUTE(SUBSTITUTE(SUBSTITUTE(B497," ",""),"0",""),"-",""))+LEN(SUBSTITUTE(SUBSTITUTE(SUBSTITUTE(C497," ",""),"0",""),"-","")))=(LEN(SUBSTITUTE(SUBSTITUTE(SUBSTITUTE(E497," ",""),"0",""),"-",""))+LEN(SUBSTITUTE(SUBSTITUTE(SUBSTITUTE(F497," ",""),"0",""),"-",""))))),1,0)+IF(OR(D498="X",D498="x",AND(COUNTA(B498,C498,E498,F498)&gt;0,(LEN(SUBSTITUTE(SUBSTITUTE(SUBSTITUTE(B498," ",""),"0",""),"-",""))+LEN(SUBSTITUTE(SUBSTITUTE(SUBSTITUTE(C498," ",""),"0",""),"-","")))=(LEN(SUBSTITUTE(SUBSTITUTE(SUBSTITUTE(E498," ",""),"0",""),"-",""))+LEN(SUBSTITUTE(SUBSTITUTE(SUBSTITUTE(F498," ",""),"0",""),"-",""))))),1,0)+IF(OR(D499="X",D499="x",AND(COUNTA(B499,C499,E499,F499)&gt;0,(LEN(SUBSTITUTE(SUBSTITUTE(SUBSTITUTE(B499," ",""),"0",""),"-",""))+LEN(SUBSTITUTE(SUBSTITUTE(SUBSTITUTE(C499," ",""),"0",""),"-","")))=(LEN(SUBSTITUTE(SUBSTITUTE(SUBSTITUTE(E499," ",""),"0",""),"-",""))+LEN(SUBSTITUTE(SUBSTITUTE(SUBSTITUTE(F499," ",""),"0",""),"-",""))))),1,0)+IF(OR(D500="X",D500="x",AND(COUNTA(B500,C500,E500,F500)&gt;0,(LEN(SUBSTITUTE(SUBSTITUTE(SUBSTITUTE(B500," ",""),"0",""),"-",""))+LEN(SUBSTITUTE(SUBSTITUTE(SUBSTITUTE(C500," ",""),"0",""),"-","")))=(LEN(SUBSTITUTE(SUBSTITUTE(SUBSTITUTE(E500," ",""),"0",""),"-",""))+LEN(SUBSTITUTE(SUBSTITUTE(SUBSTITUTE(F500," ",""),"0",""),"-",""))))),1,0)),0)</f>
      </c>
      <c r="E517" s="14" t="str">
        <f>E487+E495</f>
      </c>
      <c r="F517" s="14" t="str">
        <f>C487+C495</f>
      </c>
      <c r="I517" s="14" t="str">
        <f>data!$E$82&amp;" "&amp;data!$B$82</f>
      </c>
      <c r="J517" s="14" t="str">
        <f>IF(OR(COUNTA(J488:K492,M488:N492)&gt;0,OR(L487="X",L487="x"),UPPER(L488)="X",UPPER(L489)="X",UPPER(L490)="X",UPPER(L491)="X",UPPER(L492)="X"),N487,0)+IF(OR(COUNTA(J496:K500,M496:N500)&gt;0,OR(L495="X",L495="x"),UPPER(L496)="X",UPPER(L497)="X",UPPER(L498)="X",UPPER(L499)="X",UPPER(L500)="X"),N495,0)</f>
      </c>
      <c r="K517" s="14" t="str">
        <f>IF(OR(COUNTA(J488:K492,M488:N492)&gt;0,OR(L487="X",L487="x"),UPPER(L488)="X",UPPER(L489)="X",UPPER(L490)="X",UPPER(L491)="X",UPPER(L492)="X"),J487,0)+IF(OR(COUNTA(J496:K500,M496:N500)&gt;0,OR(L495="X",L495="x"),UPPER(L496)="X",UPPER(L497)="X",UPPER(L498)="X",UPPER(L499)="X",UPPER(L500)="X"),J495,0)</f>
      </c>
      <c r="L517" s="14" t="str">
        <f>IF(OR(COUNTA(J488:K492,M488:N492)&gt;0,OR(L487="X",L487="x"),UPPER(L488)="X",UPPER(L489)="X",UPPER(L490)="X",UPPER(L491)="X",UPPER(L492)="X"),(IF(OR(L488="X",L488="x",AND(COUNTA(J488,K488,M488,N488)&gt;0,(LEN(SUBSTITUTE(SUBSTITUTE(SUBSTITUTE(J488," ",""),"0",""),"-",""))+LEN(SUBSTITUTE(SUBSTITUTE(SUBSTITUTE(K488," ",""),"0",""),"-","")))=(LEN(SUBSTITUTE(SUBSTITUTE(SUBSTITUTE(M488," ",""),"0",""),"-",""))+LEN(SUBSTITUTE(SUBSTITUTE(SUBSTITUTE(N488," ",""),"0",""),"-",""))))),1,0)+IF(OR(L489="X",L489="x",AND(COUNTA(J489,K489,M489,N489)&gt;0,(LEN(SUBSTITUTE(SUBSTITUTE(SUBSTITUTE(J489," ",""),"0",""),"-",""))+LEN(SUBSTITUTE(SUBSTITUTE(SUBSTITUTE(K489," ",""),"0",""),"-","")))=(LEN(SUBSTITUTE(SUBSTITUTE(SUBSTITUTE(M489," ",""),"0",""),"-",""))+LEN(SUBSTITUTE(SUBSTITUTE(SUBSTITUTE(N489," ",""),"0",""),"-",""))))),1,0)+IF(OR(L490="X",L490="x",AND(COUNTA(J490,K490,M490,N490)&gt;0,(LEN(SUBSTITUTE(SUBSTITUTE(SUBSTITUTE(J490," ",""),"0",""),"-",""))+LEN(SUBSTITUTE(SUBSTITUTE(SUBSTITUTE(K490," ",""),"0",""),"-","")))=(LEN(SUBSTITUTE(SUBSTITUTE(SUBSTITUTE(M490," ",""),"0",""),"-",""))+LEN(SUBSTITUTE(SUBSTITUTE(SUBSTITUTE(N490," ",""),"0",""),"-",""))))),1,0)+IF(OR(L491="X",L491="x",AND(COUNTA(J491,K491,M491,N491)&gt;0,(LEN(SUBSTITUTE(SUBSTITUTE(SUBSTITUTE(J491," ",""),"0",""),"-",""))+LEN(SUBSTITUTE(SUBSTITUTE(SUBSTITUTE(K491," ",""),"0",""),"-","")))=(LEN(SUBSTITUTE(SUBSTITUTE(SUBSTITUTE(M491," ",""),"0",""),"-",""))+LEN(SUBSTITUTE(SUBSTITUTE(SUBSTITUTE(N491," ",""),"0",""),"-",""))))),1,0)+IF(OR(L492="X",L492="x",AND(COUNTA(J492,K492,M492,N492)&gt;0,(LEN(SUBSTITUTE(SUBSTITUTE(SUBSTITUTE(J492," ",""),"0",""),"-",""))+LEN(SUBSTITUTE(SUBSTITUTE(SUBSTITUTE(K492," ",""),"0",""),"-","")))=(LEN(SUBSTITUTE(SUBSTITUTE(SUBSTITUTE(M492," ",""),"0",""),"-",""))+LEN(SUBSTITUTE(SUBSTITUTE(SUBSTITUTE(N492," ",""),"0",""),"-",""))))),1,0)),0)+IF(OR(COUNTA(J496:K500,M496:N500)&gt;0,OR(L495="X",L495="x"),UPPER(L496)="X",UPPER(L497)="X",UPPER(L498)="X",UPPER(L499)="X",UPPER(L500)="X"),(IF(OR(L496="X",L496="x",AND(COUNTA(J496,K496,M496,N496)&gt;0,(LEN(SUBSTITUTE(SUBSTITUTE(SUBSTITUTE(J496," ",""),"0",""),"-",""))+LEN(SUBSTITUTE(SUBSTITUTE(SUBSTITUTE(K496," ",""),"0",""),"-","")))=(LEN(SUBSTITUTE(SUBSTITUTE(SUBSTITUTE(M496," ",""),"0",""),"-",""))+LEN(SUBSTITUTE(SUBSTITUTE(SUBSTITUTE(N496," ",""),"0",""),"-",""))))),1,0)+IF(OR(L497="X",L497="x",AND(COUNTA(J497,K497,M497,N497)&gt;0,(LEN(SUBSTITUTE(SUBSTITUTE(SUBSTITUTE(J497," ",""),"0",""),"-",""))+LEN(SUBSTITUTE(SUBSTITUTE(SUBSTITUTE(K497," ",""),"0",""),"-","")))=(LEN(SUBSTITUTE(SUBSTITUTE(SUBSTITUTE(M497," ",""),"0",""),"-",""))+LEN(SUBSTITUTE(SUBSTITUTE(SUBSTITUTE(N497," ",""),"0",""),"-",""))))),1,0)+IF(OR(L498="X",L498="x",AND(COUNTA(J498,K498,M498,N498)&gt;0,(LEN(SUBSTITUTE(SUBSTITUTE(SUBSTITUTE(J498," ",""),"0",""),"-",""))+LEN(SUBSTITUTE(SUBSTITUTE(SUBSTITUTE(K498," ",""),"0",""),"-","")))=(LEN(SUBSTITUTE(SUBSTITUTE(SUBSTITUTE(M498," ",""),"0",""),"-",""))+LEN(SUBSTITUTE(SUBSTITUTE(SUBSTITUTE(N498," ",""),"0",""),"-",""))))),1,0)+IF(OR(L499="X",L499="x",AND(COUNTA(J499,K499,M499,N499)&gt;0,(LEN(SUBSTITUTE(SUBSTITUTE(SUBSTITUTE(J499," ",""),"0",""),"-",""))+LEN(SUBSTITUTE(SUBSTITUTE(SUBSTITUTE(K499," ",""),"0",""),"-","")))=(LEN(SUBSTITUTE(SUBSTITUTE(SUBSTITUTE(M499," ",""),"0",""),"-",""))+LEN(SUBSTITUTE(SUBSTITUTE(SUBSTITUTE(N499," ",""),"0",""),"-",""))))),1,0)+IF(OR(L500="X",L500="x",AND(COUNTA(J500,K500,M500,N500)&gt;0,(LEN(SUBSTITUTE(SUBSTITUTE(SUBSTITUTE(J500," ",""),"0",""),"-",""))+LEN(SUBSTITUTE(SUBSTITUTE(SUBSTITUTE(K500," ",""),"0",""),"-","")))=(LEN(SUBSTITUTE(SUBSTITUTE(SUBSTITUTE(M500," ",""),"0",""),"-",""))+LEN(SUBSTITUTE(SUBSTITUTE(SUBSTITUTE(N500," ",""),"0",""),"-",""))))),1,0)),0)</f>
      </c>
      <c r="M517" s="14" t="str">
        <f>M487+M495</f>
      </c>
      <c r="N517" s="14" t="str">
        <f>K487+K495</f>
      </c>
    </row>
    <row r="518">
      <c r="A518" s="14" t="str">
        <f>data!$E$38&amp;" "&amp;data!$B$38</f>
      </c>
      <c r="B518" s="14" t="str">
        <f>IF(OR(COUNTA(B488:C492,E488:F492)&gt;0,OR(D487="X",D487="x"),UPPER(D488)="X",UPPER(D489)="X",UPPER(D490)="X",UPPER(D491)="X",UPPER(D492)="X"),B487,0)+IF(OR(COUNTA(B504:C508,E504:F508)&gt;0,OR(D503="X",D503="x"),UPPER(D504)="X",UPPER(D505)="X",UPPER(D506)="X",UPPER(D507)="X",UPPER(D508)="X"),F503,0)</f>
      </c>
      <c r="C518" s="14" t="str">
        <f>IF(OR(COUNTA(B488:C492,E488:F492)&gt;0,OR(D487="X",D487="x"),UPPER(D488)="X",UPPER(D489)="X",UPPER(D490)="X",UPPER(D491)="X",UPPER(D492)="X"),F487,0)+IF(OR(COUNTA(B504:C508,E504:F508)&gt;0,OR(D503="X",D503="x"),UPPER(D504)="X",UPPER(D505)="X",UPPER(D506)="X",UPPER(D507)="X",UPPER(D508)="X"),B503,0)</f>
      </c>
      <c r="D518" s="14" t="str">
        <f>IF(OR(COUNTA(B488:C492,E488:F492)&gt;0,OR(D487="X",D487="x"),UPPER(D488)="X",UPPER(D489)="X",UPPER(D490)="X",UPPER(D491)="X",UPPER(D492)="X"),(IF(OR(D488="X",D488="x",AND(COUNTA(B488,C488,E488,F488)&gt;0,(LEN(SUBSTITUTE(SUBSTITUTE(SUBSTITUTE(B488," ",""),"0",""),"-",""))+LEN(SUBSTITUTE(SUBSTITUTE(SUBSTITUTE(C488," ",""),"0",""),"-","")))=(LEN(SUBSTITUTE(SUBSTITUTE(SUBSTITUTE(E488," ",""),"0",""),"-",""))+LEN(SUBSTITUTE(SUBSTITUTE(SUBSTITUTE(F488," ",""),"0",""),"-",""))))),1,0)+IF(OR(D489="X",D489="x",AND(COUNTA(B489,C489,E489,F489)&gt;0,(LEN(SUBSTITUTE(SUBSTITUTE(SUBSTITUTE(B489," ",""),"0",""),"-",""))+LEN(SUBSTITUTE(SUBSTITUTE(SUBSTITUTE(C489," ",""),"0",""),"-","")))=(LEN(SUBSTITUTE(SUBSTITUTE(SUBSTITUTE(E489," ",""),"0",""),"-",""))+LEN(SUBSTITUTE(SUBSTITUTE(SUBSTITUTE(F489," ",""),"0",""),"-",""))))),1,0)+IF(OR(D490="X",D490="x",AND(COUNTA(B490,C490,E490,F490)&gt;0,(LEN(SUBSTITUTE(SUBSTITUTE(SUBSTITUTE(B490," ",""),"0",""),"-",""))+LEN(SUBSTITUTE(SUBSTITUTE(SUBSTITUTE(C490," ",""),"0",""),"-","")))=(LEN(SUBSTITUTE(SUBSTITUTE(SUBSTITUTE(E490," ",""),"0",""),"-",""))+LEN(SUBSTITUTE(SUBSTITUTE(SUBSTITUTE(F490," ",""),"0",""),"-",""))))),1,0)+IF(OR(D491="X",D491="x",AND(COUNTA(B491,C491,E491,F491)&gt;0,(LEN(SUBSTITUTE(SUBSTITUTE(SUBSTITUTE(B491," ",""),"0",""),"-",""))+LEN(SUBSTITUTE(SUBSTITUTE(SUBSTITUTE(C491," ",""),"0",""),"-","")))=(LEN(SUBSTITUTE(SUBSTITUTE(SUBSTITUTE(E491," ",""),"0",""),"-",""))+LEN(SUBSTITUTE(SUBSTITUTE(SUBSTITUTE(F491," ",""),"0",""),"-",""))))),1,0)+IF(OR(D492="X",D492="x",AND(COUNTA(B492,C492,E492,F492)&gt;0,(LEN(SUBSTITUTE(SUBSTITUTE(SUBSTITUTE(B492," ",""),"0",""),"-",""))+LEN(SUBSTITUTE(SUBSTITUTE(SUBSTITUTE(C492," ",""),"0",""),"-","")))=(LEN(SUBSTITUTE(SUBSTITUTE(SUBSTITUTE(E492," ",""),"0",""),"-",""))+LEN(SUBSTITUTE(SUBSTITUTE(SUBSTITUTE(F492," ",""),"0",""),"-",""))))),1,0)),0)+IF(OR(COUNTA(B504:C508,E504:F508)&gt;0,OR(D503="X",D503="x"),UPPER(D504)="X",UPPER(D505)="X",UPPER(D506)="X",UPPER(D507)="X",UPPER(D508)="X"),(IF(OR(D504="X",D504="x",AND(COUNTA(B504,C504,E504,F504)&gt;0,(LEN(SUBSTITUTE(SUBSTITUTE(SUBSTITUTE(B504," ",""),"0",""),"-",""))+LEN(SUBSTITUTE(SUBSTITUTE(SUBSTITUTE(C504," ",""),"0",""),"-","")))=(LEN(SUBSTITUTE(SUBSTITUTE(SUBSTITUTE(E504," ",""),"0",""),"-",""))+LEN(SUBSTITUTE(SUBSTITUTE(SUBSTITUTE(F504," ",""),"0",""),"-",""))))),1,0)+IF(OR(D505="X",D505="x",AND(COUNTA(B505,C505,E505,F505)&gt;0,(LEN(SUBSTITUTE(SUBSTITUTE(SUBSTITUTE(B505," ",""),"0",""),"-",""))+LEN(SUBSTITUTE(SUBSTITUTE(SUBSTITUTE(C505," ",""),"0",""),"-","")))=(LEN(SUBSTITUTE(SUBSTITUTE(SUBSTITUTE(E505," ",""),"0",""),"-",""))+LEN(SUBSTITUTE(SUBSTITUTE(SUBSTITUTE(F505," ",""),"0",""),"-",""))))),1,0)+IF(OR(D506="X",D506="x",AND(COUNTA(B506,C506,E506,F506)&gt;0,(LEN(SUBSTITUTE(SUBSTITUTE(SUBSTITUTE(B506," ",""),"0",""),"-",""))+LEN(SUBSTITUTE(SUBSTITUTE(SUBSTITUTE(C506," ",""),"0",""),"-","")))=(LEN(SUBSTITUTE(SUBSTITUTE(SUBSTITUTE(E506," ",""),"0",""),"-",""))+LEN(SUBSTITUTE(SUBSTITUTE(SUBSTITUTE(F506," ",""),"0",""),"-",""))))),1,0)+IF(OR(D507="X",D507="x",AND(COUNTA(B507,C507,E507,F507)&gt;0,(LEN(SUBSTITUTE(SUBSTITUTE(SUBSTITUTE(B507," ",""),"0",""),"-",""))+LEN(SUBSTITUTE(SUBSTITUTE(SUBSTITUTE(C507," ",""),"0",""),"-","")))=(LEN(SUBSTITUTE(SUBSTITUTE(SUBSTITUTE(E507," ",""),"0",""),"-",""))+LEN(SUBSTITUTE(SUBSTITUTE(SUBSTITUTE(F507," ",""),"0",""),"-",""))))),1,0)+IF(OR(D508="X",D508="x",AND(COUNTA(B508,C508,E508,F508)&gt;0,(LEN(SUBSTITUTE(SUBSTITUTE(SUBSTITUTE(B508," ",""),"0",""),"-",""))+LEN(SUBSTITUTE(SUBSTITUTE(SUBSTITUTE(C508," ",""),"0",""),"-","")))=(LEN(SUBSTITUTE(SUBSTITUTE(SUBSTITUTE(E508," ",""),"0",""),"-",""))+LEN(SUBSTITUTE(SUBSTITUTE(SUBSTITUTE(F508," ",""),"0",""),"-",""))))),1,0)),0)</f>
      </c>
      <c r="E518" s="14" t="str">
        <f>C487+E503</f>
      </c>
      <c r="F518" s="14" t="str">
        <f>E487+C503</f>
      </c>
      <c r="I518" s="14" t="str">
        <f>data!$E$83&amp;" "&amp;data!$B$83</f>
      </c>
      <c r="J518" s="14" t="str">
        <f>IF(OR(COUNTA(J488:K492,M488:N492)&gt;0,OR(L487="X",L487="x"),UPPER(L488)="X",UPPER(L489)="X",UPPER(L490)="X",UPPER(L491)="X",UPPER(L492)="X"),J487,0)+IF(OR(COUNTA(J504:K508,M504:N508)&gt;0,OR(L503="X",L503="x"),UPPER(L504)="X",UPPER(L505)="X",UPPER(L506)="X",UPPER(L507)="X",UPPER(L508)="X"),N503,0)</f>
      </c>
      <c r="K518" s="14" t="str">
        <f>IF(OR(COUNTA(J488:K492,M488:N492)&gt;0,OR(L487="X",L487="x"),UPPER(L488)="X",UPPER(L489)="X",UPPER(L490)="X",UPPER(L491)="X",UPPER(L492)="X"),N487,0)+IF(OR(COUNTA(J504:K508,M504:N508)&gt;0,OR(L503="X",L503="x"),UPPER(L504)="X",UPPER(L505)="X",UPPER(L506)="X",UPPER(L507)="X",UPPER(L508)="X"),J503,0)</f>
      </c>
      <c r="L518" s="14" t="str">
        <f>IF(OR(COUNTA(J488:K492,M488:N492)&gt;0,OR(L487="X",L487="x"),UPPER(L488)="X",UPPER(L489)="X",UPPER(L490)="X",UPPER(L491)="X",UPPER(L492)="X"),(IF(OR(L488="X",L488="x",AND(COUNTA(J488,K488,M488,N488)&gt;0,(LEN(SUBSTITUTE(SUBSTITUTE(SUBSTITUTE(J488," ",""),"0",""),"-",""))+LEN(SUBSTITUTE(SUBSTITUTE(SUBSTITUTE(K488," ",""),"0",""),"-","")))=(LEN(SUBSTITUTE(SUBSTITUTE(SUBSTITUTE(M488," ",""),"0",""),"-",""))+LEN(SUBSTITUTE(SUBSTITUTE(SUBSTITUTE(N488," ",""),"0",""),"-",""))))),1,0)+IF(OR(L489="X",L489="x",AND(COUNTA(J489,K489,M489,N489)&gt;0,(LEN(SUBSTITUTE(SUBSTITUTE(SUBSTITUTE(J489," ",""),"0",""),"-",""))+LEN(SUBSTITUTE(SUBSTITUTE(SUBSTITUTE(K489," ",""),"0",""),"-","")))=(LEN(SUBSTITUTE(SUBSTITUTE(SUBSTITUTE(M489," ",""),"0",""),"-",""))+LEN(SUBSTITUTE(SUBSTITUTE(SUBSTITUTE(N489," ",""),"0",""),"-",""))))),1,0)+IF(OR(L490="X",L490="x",AND(COUNTA(J490,K490,M490,N490)&gt;0,(LEN(SUBSTITUTE(SUBSTITUTE(SUBSTITUTE(J490," ",""),"0",""),"-",""))+LEN(SUBSTITUTE(SUBSTITUTE(SUBSTITUTE(K490," ",""),"0",""),"-","")))=(LEN(SUBSTITUTE(SUBSTITUTE(SUBSTITUTE(M490," ",""),"0",""),"-",""))+LEN(SUBSTITUTE(SUBSTITUTE(SUBSTITUTE(N490," ",""),"0",""),"-",""))))),1,0)+IF(OR(L491="X",L491="x",AND(COUNTA(J491,K491,M491,N491)&gt;0,(LEN(SUBSTITUTE(SUBSTITUTE(SUBSTITUTE(J491," ",""),"0",""),"-",""))+LEN(SUBSTITUTE(SUBSTITUTE(SUBSTITUTE(K491," ",""),"0",""),"-","")))=(LEN(SUBSTITUTE(SUBSTITUTE(SUBSTITUTE(M491," ",""),"0",""),"-",""))+LEN(SUBSTITUTE(SUBSTITUTE(SUBSTITUTE(N491," ",""),"0",""),"-",""))))),1,0)+IF(OR(L492="X",L492="x",AND(COUNTA(J492,K492,M492,N492)&gt;0,(LEN(SUBSTITUTE(SUBSTITUTE(SUBSTITUTE(J492," ",""),"0",""),"-",""))+LEN(SUBSTITUTE(SUBSTITUTE(SUBSTITUTE(K492," ",""),"0",""),"-","")))=(LEN(SUBSTITUTE(SUBSTITUTE(SUBSTITUTE(M492," ",""),"0",""),"-",""))+LEN(SUBSTITUTE(SUBSTITUTE(SUBSTITUTE(N492," ",""),"0",""),"-",""))))),1,0)),0)+IF(OR(COUNTA(J504:K508,M504:N508)&gt;0,OR(L503="X",L503="x"),UPPER(L504)="X",UPPER(L505)="X",UPPER(L506)="X",UPPER(L507)="X",UPPER(L508)="X"),(IF(OR(L504="X",L504="x",AND(COUNTA(J504,K504,M504,N504)&gt;0,(LEN(SUBSTITUTE(SUBSTITUTE(SUBSTITUTE(J504," ",""),"0",""),"-",""))+LEN(SUBSTITUTE(SUBSTITUTE(SUBSTITUTE(K504," ",""),"0",""),"-","")))=(LEN(SUBSTITUTE(SUBSTITUTE(SUBSTITUTE(M504," ",""),"0",""),"-",""))+LEN(SUBSTITUTE(SUBSTITUTE(SUBSTITUTE(N504," ",""),"0",""),"-",""))))),1,0)+IF(OR(L505="X",L505="x",AND(COUNTA(J505,K505,M505,N505)&gt;0,(LEN(SUBSTITUTE(SUBSTITUTE(SUBSTITUTE(J505," ",""),"0",""),"-",""))+LEN(SUBSTITUTE(SUBSTITUTE(SUBSTITUTE(K505," ",""),"0",""),"-","")))=(LEN(SUBSTITUTE(SUBSTITUTE(SUBSTITUTE(M505," ",""),"0",""),"-",""))+LEN(SUBSTITUTE(SUBSTITUTE(SUBSTITUTE(N505," ",""),"0",""),"-",""))))),1,0)+IF(OR(L506="X",L506="x",AND(COUNTA(J506,K506,M506,N506)&gt;0,(LEN(SUBSTITUTE(SUBSTITUTE(SUBSTITUTE(J506," ",""),"0",""),"-",""))+LEN(SUBSTITUTE(SUBSTITUTE(SUBSTITUTE(K506," ",""),"0",""),"-","")))=(LEN(SUBSTITUTE(SUBSTITUTE(SUBSTITUTE(M506," ",""),"0",""),"-",""))+LEN(SUBSTITUTE(SUBSTITUTE(SUBSTITUTE(N506," ",""),"0",""),"-",""))))),1,0)+IF(OR(L507="X",L507="x",AND(COUNTA(J507,K507,M507,N507)&gt;0,(LEN(SUBSTITUTE(SUBSTITUTE(SUBSTITUTE(J507," ",""),"0",""),"-",""))+LEN(SUBSTITUTE(SUBSTITUTE(SUBSTITUTE(K507," ",""),"0",""),"-","")))=(LEN(SUBSTITUTE(SUBSTITUTE(SUBSTITUTE(M507," ",""),"0",""),"-",""))+LEN(SUBSTITUTE(SUBSTITUTE(SUBSTITUTE(N507," ",""),"0",""),"-",""))))),1,0)+IF(OR(L508="X",L508="x",AND(COUNTA(J508,K508,M508,N508)&gt;0,(LEN(SUBSTITUTE(SUBSTITUTE(SUBSTITUTE(J508," ",""),"0",""),"-",""))+LEN(SUBSTITUTE(SUBSTITUTE(SUBSTITUTE(K508," ",""),"0",""),"-","")))=(LEN(SUBSTITUTE(SUBSTITUTE(SUBSTITUTE(M508," ",""),"0",""),"-",""))+LEN(SUBSTITUTE(SUBSTITUTE(SUBSTITUTE(N508," ",""),"0",""),"-",""))))),1,0)),0)</f>
      </c>
      <c r="M518" s="14" t="str">
        <f>K487+M503</f>
      </c>
      <c r="N518" s="14" t="str">
        <f>M487+K503</f>
      </c>
    </row>
    <row r="519">
      <c r="A519" s="14" t="str">
        <f>data!$E$39&amp;" "&amp;data!$B$39</f>
      </c>
      <c r="B519" s="14" t="str">
        <f>IF(OR(COUNTA(B496:C500,E496:F500)&gt;0,OR(D495="X",D495="x"),UPPER(D496)="X",UPPER(D497)="X",UPPER(D498)="X",UPPER(D499)="X",UPPER(D500)="X"),B495,0)+IF(OR(COUNTA(B504:C508,E504:F508)&gt;0,OR(D503="X",D503="x"),UPPER(D504)="X",UPPER(D505)="X",UPPER(D506)="X",UPPER(D507)="X",UPPER(D508)="X"),B503,0)</f>
      </c>
      <c r="C519" s="14" t="str">
        <f>IF(OR(COUNTA(B496:C500,E496:F500)&gt;0,OR(D495="X",D495="x"),UPPER(D496)="X",UPPER(D497)="X",UPPER(D498)="X",UPPER(D499)="X",UPPER(D500)="X"),F495,0)+IF(OR(COUNTA(B504:C508,E504:F508)&gt;0,OR(D503="X",D503="x"),UPPER(D504)="X",UPPER(D505)="X",UPPER(D506)="X",UPPER(D507)="X",UPPER(D508)="X"),F503,0)</f>
      </c>
      <c r="D519" s="14" t="str">
        <f>IF(OR(COUNTA(B496:C500,E496:F500)&gt;0,OR(D495="X",D495="x"),UPPER(D496)="X",UPPER(D497)="X",UPPER(D498)="X",UPPER(D499)="X",UPPER(D500)="X"),(IF(OR(D496="X",D496="x",AND(COUNTA(B496,C496,E496,F496)&gt;0,(LEN(SUBSTITUTE(SUBSTITUTE(SUBSTITUTE(B496," ",""),"0",""),"-",""))+LEN(SUBSTITUTE(SUBSTITUTE(SUBSTITUTE(C496," ",""),"0",""),"-","")))=(LEN(SUBSTITUTE(SUBSTITUTE(SUBSTITUTE(E496," ",""),"0",""),"-",""))+LEN(SUBSTITUTE(SUBSTITUTE(SUBSTITUTE(F496," ",""),"0",""),"-",""))))),1,0)+IF(OR(D497="X",D497="x",AND(COUNTA(B497,C497,E497,F497)&gt;0,(LEN(SUBSTITUTE(SUBSTITUTE(SUBSTITUTE(B497," ",""),"0",""),"-",""))+LEN(SUBSTITUTE(SUBSTITUTE(SUBSTITUTE(C497," ",""),"0",""),"-","")))=(LEN(SUBSTITUTE(SUBSTITUTE(SUBSTITUTE(E497," ",""),"0",""),"-",""))+LEN(SUBSTITUTE(SUBSTITUTE(SUBSTITUTE(F497," ",""),"0",""),"-",""))))),1,0)+IF(OR(D498="X",D498="x",AND(COUNTA(B498,C498,E498,F498)&gt;0,(LEN(SUBSTITUTE(SUBSTITUTE(SUBSTITUTE(B498," ",""),"0",""),"-",""))+LEN(SUBSTITUTE(SUBSTITUTE(SUBSTITUTE(C498," ",""),"0",""),"-","")))=(LEN(SUBSTITUTE(SUBSTITUTE(SUBSTITUTE(E498," ",""),"0",""),"-",""))+LEN(SUBSTITUTE(SUBSTITUTE(SUBSTITUTE(F498," ",""),"0",""),"-",""))))),1,0)+IF(OR(D499="X",D499="x",AND(COUNTA(B499,C499,E499,F499)&gt;0,(LEN(SUBSTITUTE(SUBSTITUTE(SUBSTITUTE(B499," ",""),"0",""),"-",""))+LEN(SUBSTITUTE(SUBSTITUTE(SUBSTITUTE(C499," ",""),"0",""),"-","")))=(LEN(SUBSTITUTE(SUBSTITUTE(SUBSTITUTE(E499," ",""),"0",""),"-",""))+LEN(SUBSTITUTE(SUBSTITUTE(SUBSTITUTE(F499," ",""),"0",""),"-",""))))),1,0)+IF(OR(D500="X",D500="x",AND(COUNTA(B500,C500,E500,F500)&gt;0,(LEN(SUBSTITUTE(SUBSTITUTE(SUBSTITUTE(B500," ",""),"0",""),"-",""))+LEN(SUBSTITUTE(SUBSTITUTE(SUBSTITUTE(C500," ",""),"0",""),"-","")))=(LEN(SUBSTITUTE(SUBSTITUTE(SUBSTITUTE(E500," ",""),"0",""),"-",""))+LEN(SUBSTITUTE(SUBSTITUTE(SUBSTITUTE(F500," ",""),"0",""),"-",""))))),1,0)),0)+IF(OR(COUNTA(B504:C508,E504:F508)&gt;0,OR(D503="X",D503="x"),UPPER(D504)="X",UPPER(D505)="X",UPPER(D506)="X",UPPER(D507)="X",UPPER(D508)="X"),(IF(OR(D504="X",D504="x",AND(COUNTA(B504,C504,E504,F504)&gt;0,(LEN(SUBSTITUTE(SUBSTITUTE(SUBSTITUTE(B504," ",""),"0",""),"-",""))+LEN(SUBSTITUTE(SUBSTITUTE(SUBSTITUTE(C504," ",""),"0",""),"-","")))=(LEN(SUBSTITUTE(SUBSTITUTE(SUBSTITUTE(E504," ",""),"0",""),"-",""))+LEN(SUBSTITUTE(SUBSTITUTE(SUBSTITUTE(F504," ",""),"0",""),"-",""))))),1,0)+IF(OR(D505="X",D505="x",AND(COUNTA(B505,C505,E505,F505)&gt;0,(LEN(SUBSTITUTE(SUBSTITUTE(SUBSTITUTE(B505," ",""),"0",""),"-",""))+LEN(SUBSTITUTE(SUBSTITUTE(SUBSTITUTE(C505," ",""),"0",""),"-","")))=(LEN(SUBSTITUTE(SUBSTITUTE(SUBSTITUTE(E505," ",""),"0",""),"-",""))+LEN(SUBSTITUTE(SUBSTITUTE(SUBSTITUTE(F505," ",""),"0",""),"-",""))))),1,0)+IF(OR(D506="X",D506="x",AND(COUNTA(B506,C506,E506,F506)&gt;0,(LEN(SUBSTITUTE(SUBSTITUTE(SUBSTITUTE(B506," ",""),"0",""),"-",""))+LEN(SUBSTITUTE(SUBSTITUTE(SUBSTITUTE(C506," ",""),"0",""),"-","")))=(LEN(SUBSTITUTE(SUBSTITUTE(SUBSTITUTE(E506," ",""),"0",""),"-",""))+LEN(SUBSTITUTE(SUBSTITUTE(SUBSTITUTE(F506," ",""),"0",""),"-",""))))),1,0)+IF(OR(D507="X",D507="x",AND(COUNTA(B507,C507,E507,F507)&gt;0,(LEN(SUBSTITUTE(SUBSTITUTE(SUBSTITUTE(B507," ",""),"0",""),"-",""))+LEN(SUBSTITUTE(SUBSTITUTE(SUBSTITUTE(C507," ",""),"0",""),"-","")))=(LEN(SUBSTITUTE(SUBSTITUTE(SUBSTITUTE(E507," ",""),"0",""),"-",""))+LEN(SUBSTITUTE(SUBSTITUTE(SUBSTITUTE(F507," ",""),"0",""),"-",""))))),1,0)+IF(OR(D508="X",D508="x",AND(COUNTA(B508,C508,E508,F508)&gt;0,(LEN(SUBSTITUTE(SUBSTITUTE(SUBSTITUTE(B508," ",""),"0",""),"-",""))+LEN(SUBSTITUTE(SUBSTITUTE(SUBSTITUTE(C508," ",""),"0",""),"-","")))=(LEN(SUBSTITUTE(SUBSTITUTE(SUBSTITUTE(E508," ",""),"0",""),"-",""))+LEN(SUBSTITUTE(SUBSTITUTE(SUBSTITUTE(F508," ",""),"0",""),"-",""))))),1,0)),0)</f>
      </c>
      <c r="E519" s="14" t="str">
        <f>C495+C503</f>
      </c>
      <c r="F519" s="14" t="str">
        <f>E495+E503</f>
      </c>
      <c r="I519" s="14" t="str">
        <f>data!$E$84&amp;" "&amp;data!$B$84</f>
      </c>
      <c r="J519" s="14" t="str">
        <f>IF(OR(COUNTA(J496:K500,M496:N500)&gt;0,OR(L495="X",L495="x"),UPPER(L496)="X",UPPER(L497)="X",UPPER(L498)="X",UPPER(L499)="X",UPPER(L500)="X"),J495,0)+IF(OR(COUNTA(J504:K508,M504:N508)&gt;0,OR(L503="X",L503="x"),UPPER(L504)="X",UPPER(L505)="X",UPPER(L506)="X",UPPER(L507)="X",UPPER(L508)="X"),J503,0)</f>
      </c>
      <c r="K519" s="14" t="str">
        <f>IF(OR(COUNTA(J496:K500,M496:N500)&gt;0,OR(L495="X",L495="x"),UPPER(L496)="X",UPPER(L497)="X",UPPER(L498)="X",UPPER(L499)="X",UPPER(L500)="X"),N495,0)+IF(OR(COUNTA(J504:K508,M504:N508)&gt;0,OR(L503="X",L503="x"),UPPER(L504)="X",UPPER(L505)="X",UPPER(L506)="X",UPPER(L507)="X",UPPER(L508)="X"),N503,0)</f>
      </c>
      <c r="L519" s="14" t="str">
        <f>IF(OR(COUNTA(J496:K500,M496:N500)&gt;0,OR(L495="X",L495="x"),UPPER(L496)="X",UPPER(L497)="X",UPPER(L498)="X",UPPER(L499)="X",UPPER(L500)="X"),(IF(OR(L496="X",L496="x",AND(COUNTA(J496,K496,M496,N496)&gt;0,(LEN(SUBSTITUTE(SUBSTITUTE(SUBSTITUTE(J496," ",""),"0",""),"-",""))+LEN(SUBSTITUTE(SUBSTITUTE(SUBSTITUTE(K496," ",""),"0",""),"-","")))=(LEN(SUBSTITUTE(SUBSTITUTE(SUBSTITUTE(M496," ",""),"0",""),"-",""))+LEN(SUBSTITUTE(SUBSTITUTE(SUBSTITUTE(N496," ",""),"0",""),"-",""))))),1,0)+IF(OR(L497="X",L497="x",AND(COUNTA(J497,K497,M497,N497)&gt;0,(LEN(SUBSTITUTE(SUBSTITUTE(SUBSTITUTE(J497," ",""),"0",""),"-",""))+LEN(SUBSTITUTE(SUBSTITUTE(SUBSTITUTE(K497," ",""),"0",""),"-","")))=(LEN(SUBSTITUTE(SUBSTITUTE(SUBSTITUTE(M497," ",""),"0",""),"-",""))+LEN(SUBSTITUTE(SUBSTITUTE(SUBSTITUTE(N497," ",""),"0",""),"-",""))))),1,0)+IF(OR(L498="X",L498="x",AND(COUNTA(J498,K498,M498,N498)&gt;0,(LEN(SUBSTITUTE(SUBSTITUTE(SUBSTITUTE(J498," ",""),"0",""),"-",""))+LEN(SUBSTITUTE(SUBSTITUTE(SUBSTITUTE(K498," ",""),"0",""),"-","")))=(LEN(SUBSTITUTE(SUBSTITUTE(SUBSTITUTE(M498," ",""),"0",""),"-",""))+LEN(SUBSTITUTE(SUBSTITUTE(SUBSTITUTE(N498," ",""),"0",""),"-",""))))),1,0)+IF(OR(L499="X",L499="x",AND(COUNTA(J499,K499,M499,N499)&gt;0,(LEN(SUBSTITUTE(SUBSTITUTE(SUBSTITUTE(J499," ",""),"0",""),"-",""))+LEN(SUBSTITUTE(SUBSTITUTE(SUBSTITUTE(K499," ",""),"0",""),"-","")))=(LEN(SUBSTITUTE(SUBSTITUTE(SUBSTITUTE(M499," ",""),"0",""),"-",""))+LEN(SUBSTITUTE(SUBSTITUTE(SUBSTITUTE(N499," ",""),"0",""),"-",""))))),1,0)+IF(OR(L500="X",L500="x",AND(COUNTA(J500,K500,M500,N500)&gt;0,(LEN(SUBSTITUTE(SUBSTITUTE(SUBSTITUTE(J500," ",""),"0",""),"-",""))+LEN(SUBSTITUTE(SUBSTITUTE(SUBSTITUTE(K500," ",""),"0",""),"-","")))=(LEN(SUBSTITUTE(SUBSTITUTE(SUBSTITUTE(M500," ",""),"0",""),"-",""))+LEN(SUBSTITUTE(SUBSTITUTE(SUBSTITUTE(N500," ",""),"0",""),"-",""))))),1,0)),0)+IF(OR(COUNTA(J504:K508,M504:N508)&gt;0,OR(L503="X",L503="x"),UPPER(L504)="X",UPPER(L505)="X",UPPER(L506)="X",UPPER(L507)="X",UPPER(L508)="X"),(IF(OR(L504="X",L504="x",AND(COUNTA(J504,K504,M504,N504)&gt;0,(LEN(SUBSTITUTE(SUBSTITUTE(SUBSTITUTE(J504," ",""),"0",""),"-",""))+LEN(SUBSTITUTE(SUBSTITUTE(SUBSTITUTE(K504," ",""),"0",""),"-","")))=(LEN(SUBSTITUTE(SUBSTITUTE(SUBSTITUTE(M504," ",""),"0",""),"-",""))+LEN(SUBSTITUTE(SUBSTITUTE(SUBSTITUTE(N504," ",""),"0",""),"-",""))))),1,0)+IF(OR(L505="X",L505="x",AND(COUNTA(J505,K505,M505,N505)&gt;0,(LEN(SUBSTITUTE(SUBSTITUTE(SUBSTITUTE(J505," ",""),"0",""),"-",""))+LEN(SUBSTITUTE(SUBSTITUTE(SUBSTITUTE(K505," ",""),"0",""),"-","")))=(LEN(SUBSTITUTE(SUBSTITUTE(SUBSTITUTE(M505," ",""),"0",""),"-",""))+LEN(SUBSTITUTE(SUBSTITUTE(SUBSTITUTE(N505," ",""),"0",""),"-",""))))),1,0)+IF(OR(L506="X",L506="x",AND(COUNTA(J506,K506,M506,N506)&gt;0,(LEN(SUBSTITUTE(SUBSTITUTE(SUBSTITUTE(J506," ",""),"0",""),"-",""))+LEN(SUBSTITUTE(SUBSTITUTE(SUBSTITUTE(K506," ",""),"0",""),"-","")))=(LEN(SUBSTITUTE(SUBSTITUTE(SUBSTITUTE(M506," ",""),"0",""),"-",""))+LEN(SUBSTITUTE(SUBSTITUTE(SUBSTITUTE(N506," ",""),"0",""),"-",""))))),1,0)+IF(OR(L507="X",L507="x",AND(COUNTA(J507,K507,M507,N507)&gt;0,(LEN(SUBSTITUTE(SUBSTITUTE(SUBSTITUTE(J507," ",""),"0",""),"-",""))+LEN(SUBSTITUTE(SUBSTITUTE(SUBSTITUTE(K507," ",""),"0",""),"-","")))=(LEN(SUBSTITUTE(SUBSTITUTE(SUBSTITUTE(M507," ",""),"0",""),"-",""))+LEN(SUBSTITUTE(SUBSTITUTE(SUBSTITUTE(N507," ",""),"0",""),"-",""))))),1,0)+IF(OR(L508="X",L508="x",AND(COUNTA(J508,K508,M508,N508)&gt;0,(LEN(SUBSTITUTE(SUBSTITUTE(SUBSTITUTE(J508," ",""),"0",""),"-",""))+LEN(SUBSTITUTE(SUBSTITUTE(SUBSTITUTE(K508," ",""),"0",""),"-","")))=(LEN(SUBSTITUTE(SUBSTITUTE(SUBSTITUTE(M508," ",""),"0",""),"-",""))+LEN(SUBSTITUTE(SUBSTITUTE(SUBSTITUTE(N508," ",""),"0",""),"-",""))))),1,0)),0)</f>
      </c>
      <c r="M519" s="14" t="str">
        <f>K495+K503</f>
      </c>
      <c r="N519" s="14" t="str">
        <f>M495+M503</f>
      </c>
    </row>
    <row r="522">
      <c r="F522" s="13"/>
      <c r="G522" s="13" t="s">
        <v>343</v>
      </c>
      <c r="N522" s="13"/>
      <c r="O522" s="13" t="s">
        <v>343</v>
      </c>
    </row>
    <row r="523">
      <c r="F523" t="s">
        <v>344</v>
      </c>
      <c r="G523" s="19" t="str">
        <f>IFERROR(INDEX($A$512:$A$519, MATCH(1, $G$512:$G$519, 0)), "-")</f>
      </c>
      <c r="N523" t="s">
        <v>344</v>
      </c>
      <c r="O523" s="19" t="str">
        <f>IFERROR(INDEX($I$512:$I$519, MATCH(1, $O$512:$O$519, 0)), "-")</f>
      </c>
    </row>
    <row r="524">
      <c r="F524" t="s">
        <v>345</v>
      </c>
      <c r="G524" s="19" t="str">
        <f>IFERROR(INDEX($A$512:$A$519, MATCH(2, $G$512:$G$519, 0)), "-")</f>
      </c>
      <c r="N524" t="s">
        <v>345</v>
      </c>
      <c r="O524" s="19" t="str">
        <f>IFERROR(INDEX($I$512:$I$519, MATCH(2, $O$512:$O$519, 0)), "-")</f>
      </c>
    </row>
    <row r="525">
      <c r="F525" t="s">
        <v>346</v>
      </c>
      <c r="G525" s="19" t="str">
        <f>IFERROR(INDEX($A$512:$A$519, MATCH(3, $G$512:$G$519, 0)), "-")</f>
      </c>
      <c r="N525" t="s">
        <v>346</v>
      </c>
      <c r="O525" s="19" t="str">
        <f>IFERROR(INDEX($I$512:$I$519, MATCH(3, $O$512:$O$519, 0)), "-")</f>
      </c>
    </row>
    <row r="528">
      <c r="A528" s="13" t="str">
        <f>'data'!$A$42</f>
      </c>
      <c r="B528" s="13"/>
      <c r="C528" s="13"/>
      <c r="D528" s="13"/>
      <c r="E528" s="13"/>
      <c r="F528" s="13"/>
      <c r="G528" s="13"/>
      <c r="I528" s="13" t="str">
        <f>'data'!$A$87</f>
      </c>
      <c r="J528" s="13"/>
      <c r="K528" s="13"/>
      <c r="L528" s="13"/>
      <c r="M528" s="13"/>
      <c r="N528" s="13"/>
      <c r="O528" s="13"/>
    </row>
    <row r="529">
      <c r="A529" s="17" t="s">
        <v>330</v>
      </c>
      <c r="B529" s="14"/>
      <c r="C529" s="14"/>
      <c r="D529" s="14" t="s">
        <v>331</v>
      </c>
      <c r="E529" s="14"/>
      <c r="F529" s="14"/>
      <c r="G529" s="16" t="s">
        <v>332</v>
      </c>
      <c r="I529" s="17" t="s">
        <v>330</v>
      </c>
      <c r="J529" s="14"/>
      <c r="K529" s="14"/>
      <c r="L529" s="14" t="s">
        <v>331</v>
      </c>
      <c r="M529" s="14"/>
      <c r="N529" s="14"/>
      <c r="O529" s="16" t="s">
        <v>332</v>
      </c>
    </row>
    <row r="530">
      <c r="A530" s="14" t="str">
        <f>data!$E$41&amp;" "&amp;data!$B$41</f>
      </c>
      <c r="B530" s="14" t="str">
        <f>IF(UPPER(D531)="X",0,IF((LEN(SUBSTITUTE(SUBSTITUTE(SUBSTITUTE(B531," ",""),"0",""),"-",""))+LEN(SUBSTITUTE(SUBSTITUTE(SUBSTITUTE(C531," ",""),"0",""),"-","")))&gt;(LEN(SUBSTITUTE(SUBSTITUTE(SUBSTITUTE(E531," ",""),"0",""),"-",""))+LEN(SUBSTITUTE(SUBSTITUTE(SUBSTITUTE(F531," ",""),"0",""),"-",""))),1,0))+IF(UPPER(D532)="X",0,IF((LEN(SUBSTITUTE(SUBSTITUTE(SUBSTITUTE(B532," ",""),"0",""),"-",""))+LEN(SUBSTITUTE(SUBSTITUTE(SUBSTITUTE(C532," ",""),"0",""),"-","")))&gt;(LEN(SUBSTITUTE(SUBSTITUTE(SUBSTITUTE(E532," ",""),"0",""),"-",""))+LEN(SUBSTITUTE(SUBSTITUTE(SUBSTITUTE(F532," ",""),"0",""),"-",""))),1,0))+IF(UPPER(D533)="X",0,IF((LEN(SUBSTITUTE(SUBSTITUTE(SUBSTITUTE(B533," ",""),"0",""),"-",""))+LEN(SUBSTITUTE(SUBSTITUTE(SUBSTITUTE(C533," ",""),"0",""),"-","")))&gt;(LEN(SUBSTITUTE(SUBSTITUTE(SUBSTITUTE(E533," ",""),"0",""),"-",""))+LEN(SUBSTITUTE(SUBSTITUTE(SUBSTITUTE(F533," ",""),"0",""),"-",""))),1,0))+IF(UPPER(D534)="X",0,IF((LEN(SUBSTITUTE(SUBSTITUTE(SUBSTITUTE(B534," ",""),"0",""),"-",""))+LEN(SUBSTITUTE(SUBSTITUTE(SUBSTITUTE(C534," ",""),"0",""),"-","")))&gt;(LEN(SUBSTITUTE(SUBSTITUTE(SUBSTITUTE(E534," ",""),"0",""),"-",""))+LEN(SUBSTITUTE(SUBSTITUTE(SUBSTITUTE(F534," ",""),"0",""),"-",""))),1,0))+IF(UPPER(D535)="X",0,IF((LEN(SUBSTITUTE(SUBSTITUTE(SUBSTITUTE(B535," ",""),"0",""),"-",""))+LEN(SUBSTITUTE(SUBSTITUTE(SUBSTITUTE(C535," ",""),"0",""),"-","")))&gt;(LEN(SUBSTITUTE(SUBSTITUTE(SUBSTITUTE(E535," ",""),"0",""),"-",""))+LEN(SUBSTITUTE(SUBSTITUTE(SUBSTITUTE(F535," ",""),"0",""),"-",""))),1,0))</f>
      </c>
      <c r="C530" s="14" t="str">
        <f>LEN(SUBSTITUTE(SUBSTITUTE(SUBSTITUTE(B531," ",""),"0",""),"-",""))+LEN(SUBSTITUTE(SUBSTITUTE(SUBSTITUTE(C531," ",""),"0",""),"-",""))+LEN(SUBSTITUTE(SUBSTITUTE(SUBSTITUTE(B532," ",""),"0",""),"-",""))+LEN(SUBSTITUTE(SUBSTITUTE(SUBSTITUTE(C532," ",""),"0",""),"-",""))+LEN(SUBSTITUTE(SUBSTITUTE(SUBSTITUTE(B533," ",""),"0",""),"-",""))+LEN(SUBSTITUTE(SUBSTITUTE(SUBSTITUTE(C533," ",""),"0",""),"-",""))+LEN(SUBSTITUTE(SUBSTITUTE(SUBSTITUTE(B534," ",""),"0",""),"-",""))+LEN(SUBSTITUTE(SUBSTITUTE(SUBSTITUTE(C534," ",""),"0",""),"-",""))+LEN(SUBSTITUTE(SUBSTITUTE(SUBSTITUTE(B535," ",""),"0",""),"-",""))+LEN(SUBSTITUTE(SUBSTITUTE(SUBSTITUTE(C535," ",""),"0",""),"-",""))</f>
      </c>
      <c r="D530" s="18"/>
      <c r="E530" s="14" t="str">
        <f>LEN(SUBSTITUTE(SUBSTITUTE(SUBSTITUTE(E531," ",""),"0",""),"-",""))+LEN(SUBSTITUTE(SUBSTITUTE(SUBSTITUTE(F531," ",""),"0",""),"-",""))+LEN(SUBSTITUTE(SUBSTITUTE(SUBSTITUTE(E532," ",""),"0",""),"-",""))+LEN(SUBSTITUTE(SUBSTITUTE(SUBSTITUTE(F532," ",""),"0",""),"-",""))+LEN(SUBSTITUTE(SUBSTITUTE(SUBSTITUTE(E533," ",""),"0",""),"-",""))+LEN(SUBSTITUTE(SUBSTITUTE(SUBSTITUTE(F533," ",""),"0",""),"-",""))+LEN(SUBSTITUTE(SUBSTITUTE(SUBSTITUTE(E534," ",""),"0",""),"-",""))+LEN(SUBSTITUTE(SUBSTITUTE(SUBSTITUTE(F534," ",""),"0",""),"-",""))+LEN(SUBSTITUTE(SUBSTITUTE(SUBSTITUTE(E535," ",""),"0",""),"-",""))+LEN(SUBSTITUTE(SUBSTITUTE(SUBSTITUTE(F535," ",""),"0",""),"-",""))</f>
      </c>
      <c r="F530" s="14" t="str">
        <f>IF(UPPER(D531)="X",0,IF((LEN(SUBSTITUTE(SUBSTITUTE(SUBSTITUTE(E531," ",""),"0",""),"-",""))+LEN(SUBSTITUTE(SUBSTITUTE(SUBSTITUTE(F531," ",""),"0",""),"-","")))&gt;(LEN(SUBSTITUTE(SUBSTITUTE(SUBSTITUTE(B531," ",""),"0",""),"-",""))+LEN(SUBSTITUTE(SUBSTITUTE(SUBSTITUTE(C531," ",""),"0",""),"-",""))),1,0))+IF(UPPER(D532)="X",0,IF((LEN(SUBSTITUTE(SUBSTITUTE(SUBSTITUTE(E532," ",""),"0",""),"-",""))+LEN(SUBSTITUTE(SUBSTITUTE(SUBSTITUTE(F532," ",""),"0",""),"-","")))&gt;(LEN(SUBSTITUTE(SUBSTITUTE(SUBSTITUTE(B532," ",""),"0",""),"-",""))+LEN(SUBSTITUTE(SUBSTITUTE(SUBSTITUTE(C532," ",""),"0",""),"-",""))),1,0))+IF(UPPER(D533)="X",0,IF((LEN(SUBSTITUTE(SUBSTITUTE(SUBSTITUTE(E533," ",""),"0",""),"-",""))+LEN(SUBSTITUTE(SUBSTITUTE(SUBSTITUTE(F533," ",""),"0",""),"-","")))&gt;(LEN(SUBSTITUTE(SUBSTITUTE(SUBSTITUTE(B533," ",""),"0",""),"-",""))+LEN(SUBSTITUTE(SUBSTITUTE(SUBSTITUTE(C533," ",""),"0",""),"-",""))),1,0))+IF(UPPER(D534)="X",0,IF((LEN(SUBSTITUTE(SUBSTITUTE(SUBSTITUTE(E534," ",""),"0",""),"-",""))+LEN(SUBSTITUTE(SUBSTITUTE(SUBSTITUTE(F534," ",""),"0",""),"-","")))&gt;(LEN(SUBSTITUTE(SUBSTITUTE(SUBSTITUTE(B534," ",""),"0",""),"-",""))+LEN(SUBSTITUTE(SUBSTITUTE(SUBSTITUTE(C534," ",""),"0",""),"-",""))),1,0))+IF(UPPER(D535)="X",0,IF((LEN(SUBSTITUTE(SUBSTITUTE(SUBSTITUTE(E535," ",""),"0",""),"-",""))+LEN(SUBSTITUTE(SUBSTITUTE(SUBSTITUTE(F535," ",""),"0",""),"-","")))&gt;(LEN(SUBSTITUTE(SUBSTITUTE(SUBSTITUTE(B535," ",""),"0",""),"-",""))+LEN(SUBSTITUTE(SUBSTITUTE(SUBSTITUTE(C535," ",""),"0",""),"-",""))),1,0))</f>
      </c>
      <c r="G530" s="14" t="str">
        <f>data!$E$40&amp;" "&amp;data!$B$40</f>
      </c>
      <c r="I530" s="14" t="str">
        <f>data!$E$86&amp;" "&amp;data!$B$86</f>
      </c>
      <c r="J530" s="14" t="str">
        <f>IF(UPPER(L531)="X",0,IF((LEN(SUBSTITUTE(SUBSTITUTE(SUBSTITUTE(J531," ",""),"0",""),"-",""))+LEN(SUBSTITUTE(SUBSTITUTE(SUBSTITUTE(K531," ",""),"0",""),"-","")))&gt;(LEN(SUBSTITUTE(SUBSTITUTE(SUBSTITUTE(M531," ",""),"0",""),"-",""))+LEN(SUBSTITUTE(SUBSTITUTE(SUBSTITUTE(N531," ",""),"0",""),"-",""))),1,0))+IF(UPPER(L532)="X",0,IF((LEN(SUBSTITUTE(SUBSTITUTE(SUBSTITUTE(J532," ",""),"0",""),"-",""))+LEN(SUBSTITUTE(SUBSTITUTE(SUBSTITUTE(K532," ",""),"0",""),"-","")))&gt;(LEN(SUBSTITUTE(SUBSTITUTE(SUBSTITUTE(M532," ",""),"0",""),"-",""))+LEN(SUBSTITUTE(SUBSTITUTE(SUBSTITUTE(N532," ",""),"0",""),"-",""))),1,0))+IF(UPPER(L533)="X",0,IF((LEN(SUBSTITUTE(SUBSTITUTE(SUBSTITUTE(J533," ",""),"0",""),"-",""))+LEN(SUBSTITUTE(SUBSTITUTE(SUBSTITUTE(K533," ",""),"0",""),"-","")))&gt;(LEN(SUBSTITUTE(SUBSTITUTE(SUBSTITUTE(M533," ",""),"0",""),"-",""))+LEN(SUBSTITUTE(SUBSTITUTE(SUBSTITUTE(N533," ",""),"0",""),"-",""))),1,0))+IF(UPPER(L534)="X",0,IF((LEN(SUBSTITUTE(SUBSTITUTE(SUBSTITUTE(J534," ",""),"0",""),"-",""))+LEN(SUBSTITUTE(SUBSTITUTE(SUBSTITUTE(K534," ",""),"0",""),"-","")))&gt;(LEN(SUBSTITUTE(SUBSTITUTE(SUBSTITUTE(M534," ",""),"0",""),"-",""))+LEN(SUBSTITUTE(SUBSTITUTE(SUBSTITUTE(N534," ",""),"0",""),"-",""))),1,0))+IF(UPPER(L535)="X",0,IF((LEN(SUBSTITUTE(SUBSTITUTE(SUBSTITUTE(J535," ",""),"0",""),"-",""))+LEN(SUBSTITUTE(SUBSTITUTE(SUBSTITUTE(K535," ",""),"0",""),"-","")))&gt;(LEN(SUBSTITUTE(SUBSTITUTE(SUBSTITUTE(M535," ",""),"0",""),"-",""))+LEN(SUBSTITUTE(SUBSTITUTE(SUBSTITUTE(N535," ",""),"0",""),"-",""))),1,0))</f>
      </c>
      <c r="K530" s="14" t="str">
        <f>LEN(SUBSTITUTE(SUBSTITUTE(SUBSTITUTE(J531," ",""),"0",""),"-",""))+LEN(SUBSTITUTE(SUBSTITUTE(SUBSTITUTE(K531," ",""),"0",""),"-",""))+LEN(SUBSTITUTE(SUBSTITUTE(SUBSTITUTE(J532," ",""),"0",""),"-",""))+LEN(SUBSTITUTE(SUBSTITUTE(SUBSTITUTE(K532," ",""),"0",""),"-",""))+LEN(SUBSTITUTE(SUBSTITUTE(SUBSTITUTE(J533," ",""),"0",""),"-",""))+LEN(SUBSTITUTE(SUBSTITUTE(SUBSTITUTE(K533," ",""),"0",""),"-",""))+LEN(SUBSTITUTE(SUBSTITUTE(SUBSTITUTE(J534," ",""),"0",""),"-",""))+LEN(SUBSTITUTE(SUBSTITUTE(SUBSTITUTE(K534," ",""),"0",""),"-",""))+LEN(SUBSTITUTE(SUBSTITUTE(SUBSTITUTE(J535," ",""),"0",""),"-",""))+LEN(SUBSTITUTE(SUBSTITUTE(SUBSTITUTE(K535," ",""),"0",""),"-",""))</f>
      </c>
      <c r="L530" s="18"/>
      <c r="M530" s="14" t="str">
        <f>LEN(SUBSTITUTE(SUBSTITUTE(SUBSTITUTE(M531," ",""),"0",""),"-",""))+LEN(SUBSTITUTE(SUBSTITUTE(SUBSTITUTE(N531," ",""),"0",""),"-",""))+LEN(SUBSTITUTE(SUBSTITUTE(SUBSTITUTE(M532," ",""),"0",""),"-",""))+LEN(SUBSTITUTE(SUBSTITUTE(SUBSTITUTE(N532," ",""),"0",""),"-",""))+LEN(SUBSTITUTE(SUBSTITUTE(SUBSTITUTE(M533," ",""),"0",""),"-",""))+LEN(SUBSTITUTE(SUBSTITUTE(SUBSTITUTE(N533," ",""),"0",""),"-",""))+LEN(SUBSTITUTE(SUBSTITUTE(SUBSTITUTE(M534," ",""),"0",""),"-",""))+LEN(SUBSTITUTE(SUBSTITUTE(SUBSTITUTE(N534," ",""),"0",""),"-",""))+LEN(SUBSTITUTE(SUBSTITUTE(SUBSTITUTE(M535," ",""),"0",""),"-",""))+LEN(SUBSTITUTE(SUBSTITUTE(SUBSTITUTE(N535," ",""),"0",""),"-",""))</f>
      </c>
      <c r="N530" s="14" t="str">
        <f>IF(UPPER(L531)="X",0,IF((LEN(SUBSTITUTE(SUBSTITUTE(SUBSTITUTE(M531," ",""),"0",""),"-",""))+LEN(SUBSTITUTE(SUBSTITUTE(SUBSTITUTE(N531," ",""),"0",""),"-","")))&gt;(LEN(SUBSTITUTE(SUBSTITUTE(SUBSTITUTE(J531," ",""),"0",""),"-",""))+LEN(SUBSTITUTE(SUBSTITUTE(SUBSTITUTE(K531," ",""),"0",""),"-",""))),1,0))+IF(UPPER(L532)="X",0,IF((LEN(SUBSTITUTE(SUBSTITUTE(SUBSTITUTE(M532," ",""),"0",""),"-",""))+LEN(SUBSTITUTE(SUBSTITUTE(SUBSTITUTE(N532," ",""),"0",""),"-","")))&gt;(LEN(SUBSTITUTE(SUBSTITUTE(SUBSTITUTE(J532," ",""),"0",""),"-",""))+LEN(SUBSTITUTE(SUBSTITUTE(SUBSTITUTE(K532," ",""),"0",""),"-",""))),1,0))+IF(UPPER(L533)="X",0,IF((LEN(SUBSTITUTE(SUBSTITUTE(SUBSTITUTE(M533," ",""),"0",""),"-",""))+LEN(SUBSTITUTE(SUBSTITUTE(SUBSTITUTE(N533," ",""),"0",""),"-","")))&gt;(LEN(SUBSTITUTE(SUBSTITUTE(SUBSTITUTE(J533," ",""),"0",""),"-",""))+LEN(SUBSTITUTE(SUBSTITUTE(SUBSTITUTE(K533," ",""),"0",""),"-",""))),1,0))+IF(UPPER(L534)="X",0,IF((LEN(SUBSTITUTE(SUBSTITUTE(SUBSTITUTE(M534," ",""),"0",""),"-",""))+LEN(SUBSTITUTE(SUBSTITUTE(SUBSTITUTE(N534," ",""),"0",""),"-","")))&gt;(LEN(SUBSTITUTE(SUBSTITUTE(SUBSTITUTE(J534," ",""),"0",""),"-",""))+LEN(SUBSTITUTE(SUBSTITUTE(SUBSTITUTE(K534," ",""),"0",""),"-",""))),1,0))+IF(UPPER(L535)="X",0,IF((LEN(SUBSTITUTE(SUBSTITUTE(SUBSTITUTE(M535," ",""),"0",""),"-",""))+LEN(SUBSTITUTE(SUBSTITUTE(SUBSTITUTE(N535," ",""),"0",""),"-","")))&gt;(LEN(SUBSTITUTE(SUBSTITUTE(SUBSTITUTE(J535," ",""),"0",""),"-",""))+LEN(SUBSTITUTE(SUBSTITUTE(SUBSTITUTE(K535," ",""),"0",""),"-",""))),1,0))</f>
      </c>
      <c r="O530" s="14" t="str">
        <f>data!$E$85&amp;" "&amp;data!$B$85</f>
      </c>
    </row>
    <row r="531">
      <c r="A531" s="14">
        <v>1</v>
      </c>
      <c r="B531" s="18"/>
      <c r="C531" s="18"/>
      <c r="D531" s="18"/>
      <c r="E531" s="18"/>
      <c r="F531" s="18"/>
      <c r="G531" s="14">
        <v>1</v>
      </c>
      <c r="I531" s="14">
        <v>1</v>
      </c>
      <c r="J531" s="18"/>
      <c r="K531" s="18"/>
      <c r="L531" s="18"/>
      <c r="M531" s="18"/>
      <c r="N531" s="18"/>
      <c r="O531" s="14">
        <v>1</v>
      </c>
    </row>
    <row r="532">
      <c r="A532" s="14">
        <v>2</v>
      </c>
      <c r="B532" s="18"/>
      <c r="C532" s="18"/>
      <c r="D532" s="18"/>
      <c r="E532" s="18"/>
      <c r="F532" s="18"/>
      <c r="G532" s="14">
        <v>2</v>
      </c>
      <c r="I532" s="14">
        <v>2</v>
      </c>
      <c r="J532" s="18"/>
      <c r="K532" s="18"/>
      <c r="L532" s="18"/>
      <c r="M532" s="18"/>
      <c r="N532" s="18"/>
      <c r="O532" s="14">
        <v>2</v>
      </c>
    </row>
    <row r="533">
      <c r="A533" s="14">
        <v>3</v>
      </c>
      <c r="B533" s="18"/>
      <c r="C533" s="18"/>
      <c r="D533" s="18"/>
      <c r="E533" s="18"/>
      <c r="F533" s="18"/>
      <c r="G533" s="14">
        <v>3</v>
      </c>
      <c r="I533" s="14">
        <v>3</v>
      </c>
      <c r="J533" s="18"/>
      <c r="K533" s="18"/>
      <c r="L533" s="18"/>
      <c r="M533" s="18"/>
      <c r="N533" s="18"/>
      <c r="O533" s="14">
        <v>3</v>
      </c>
    </row>
    <row r="534">
      <c r="A534" s="14">
        <v>4</v>
      </c>
      <c r="B534" s="18"/>
      <c r="C534" s="18"/>
      <c r="D534" s="18"/>
      <c r="E534" s="18"/>
      <c r="F534" s="18"/>
      <c r="G534" s="14">
        <v>4</v>
      </c>
      <c r="I534" s="14">
        <v>4</v>
      </c>
      <c r="J534" s="18"/>
      <c r="K534" s="18"/>
      <c r="L534" s="18"/>
      <c r="M534" s="18"/>
      <c r="N534" s="18"/>
      <c r="O534" s="14">
        <v>4</v>
      </c>
    </row>
    <row r="535">
      <c r="A535" s="14">
        <v>5</v>
      </c>
      <c r="B535" s="18"/>
      <c r="C535" s="18"/>
      <c r="D535" s="18"/>
      <c r="E535" s="18"/>
      <c r="F535" s="18"/>
      <c r="G535" s="14">
        <v>5</v>
      </c>
      <c r="I535" s="14">
        <v>5</v>
      </c>
      <c r="J535" s="18"/>
      <c r="K535" s="18"/>
      <c r="L535" s="18"/>
      <c r="M535" s="18"/>
      <c r="N535" s="18"/>
      <c r="O535" s="14">
        <v>5</v>
      </c>
    </row>
    <row r="537">
      <c r="A537" s="17" t="s">
        <v>330</v>
      </c>
      <c r="B537" s="14"/>
      <c r="C537" s="14"/>
      <c r="D537" s="14" t="s">
        <v>331</v>
      </c>
      <c r="E537" s="14"/>
      <c r="F537" s="14"/>
      <c r="G537" s="16" t="s">
        <v>332</v>
      </c>
      <c r="I537" s="17" t="s">
        <v>330</v>
      </c>
      <c r="J537" s="14"/>
      <c r="K537" s="14"/>
      <c r="L537" s="14" t="s">
        <v>331</v>
      </c>
      <c r="M537" s="14"/>
      <c r="N537" s="14"/>
      <c r="O537" s="16" t="s">
        <v>332</v>
      </c>
    </row>
    <row r="538">
      <c r="A538" s="14" t="str">
        <f>data!$E$42&amp;" "&amp;data!$B$42</f>
      </c>
      <c r="B538" s="14" t="str">
        <f>IF(UPPER(D539)="X",0,IF((LEN(SUBSTITUTE(SUBSTITUTE(SUBSTITUTE(B539," ",""),"0",""),"-",""))+LEN(SUBSTITUTE(SUBSTITUTE(SUBSTITUTE(C539," ",""),"0",""),"-","")))&gt;(LEN(SUBSTITUTE(SUBSTITUTE(SUBSTITUTE(E539," ",""),"0",""),"-",""))+LEN(SUBSTITUTE(SUBSTITUTE(SUBSTITUTE(F539," ",""),"0",""),"-",""))),1,0))+IF(UPPER(D540)="X",0,IF((LEN(SUBSTITUTE(SUBSTITUTE(SUBSTITUTE(B540," ",""),"0",""),"-",""))+LEN(SUBSTITUTE(SUBSTITUTE(SUBSTITUTE(C540," ",""),"0",""),"-","")))&gt;(LEN(SUBSTITUTE(SUBSTITUTE(SUBSTITUTE(E540," ",""),"0",""),"-",""))+LEN(SUBSTITUTE(SUBSTITUTE(SUBSTITUTE(F540," ",""),"0",""),"-",""))),1,0))+IF(UPPER(D541)="X",0,IF((LEN(SUBSTITUTE(SUBSTITUTE(SUBSTITUTE(B541," ",""),"0",""),"-",""))+LEN(SUBSTITUTE(SUBSTITUTE(SUBSTITUTE(C541," ",""),"0",""),"-","")))&gt;(LEN(SUBSTITUTE(SUBSTITUTE(SUBSTITUTE(E541," ",""),"0",""),"-",""))+LEN(SUBSTITUTE(SUBSTITUTE(SUBSTITUTE(F541," ",""),"0",""),"-",""))),1,0))+IF(UPPER(D542)="X",0,IF((LEN(SUBSTITUTE(SUBSTITUTE(SUBSTITUTE(B542," ",""),"0",""),"-",""))+LEN(SUBSTITUTE(SUBSTITUTE(SUBSTITUTE(C542," ",""),"0",""),"-","")))&gt;(LEN(SUBSTITUTE(SUBSTITUTE(SUBSTITUTE(E542," ",""),"0",""),"-",""))+LEN(SUBSTITUTE(SUBSTITUTE(SUBSTITUTE(F542," ",""),"0",""),"-",""))),1,0))+IF(UPPER(D543)="X",0,IF((LEN(SUBSTITUTE(SUBSTITUTE(SUBSTITUTE(B543," ",""),"0",""),"-",""))+LEN(SUBSTITUTE(SUBSTITUTE(SUBSTITUTE(C543," ",""),"0",""),"-","")))&gt;(LEN(SUBSTITUTE(SUBSTITUTE(SUBSTITUTE(E543," ",""),"0",""),"-",""))+LEN(SUBSTITUTE(SUBSTITUTE(SUBSTITUTE(F543," ",""),"0",""),"-",""))),1,0))</f>
      </c>
      <c r="C538" s="14" t="str">
        <f>LEN(SUBSTITUTE(SUBSTITUTE(SUBSTITUTE(B539," ",""),"0",""),"-",""))+LEN(SUBSTITUTE(SUBSTITUTE(SUBSTITUTE(C539," ",""),"0",""),"-",""))+LEN(SUBSTITUTE(SUBSTITUTE(SUBSTITUTE(B540," ",""),"0",""),"-",""))+LEN(SUBSTITUTE(SUBSTITUTE(SUBSTITUTE(C540," ",""),"0",""),"-",""))+LEN(SUBSTITUTE(SUBSTITUTE(SUBSTITUTE(B541," ",""),"0",""),"-",""))+LEN(SUBSTITUTE(SUBSTITUTE(SUBSTITUTE(C541," ",""),"0",""),"-",""))+LEN(SUBSTITUTE(SUBSTITUTE(SUBSTITUTE(B542," ",""),"0",""),"-",""))+LEN(SUBSTITUTE(SUBSTITUTE(SUBSTITUTE(C542," ",""),"0",""),"-",""))+LEN(SUBSTITUTE(SUBSTITUTE(SUBSTITUTE(B543," ",""),"0",""),"-",""))+LEN(SUBSTITUTE(SUBSTITUTE(SUBSTITUTE(C543," ",""),"0",""),"-",""))</f>
      </c>
      <c r="D538" s="18"/>
      <c r="E538" s="14" t="str">
        <f>LEN(SUBSTITUTE(SUBSTITUTE(SUBSTITUTE(E539," ",""),"0",""),"-",""))+LEN(SUBSTITUTE(SUBSTITUTE(SUBSTITUTE(F539," ",""),"0",""),"-",""))+LEN(SUBSTITUTE(SUBSTITUTE(SUBSTITUTE(E540," ",""),"0",""),"-",""))+LEN(SUBSTITUTE(SUBSTITUTE(SUBSTITUTE(F540," ",""),"0",""),"-",""))+LEN(SUBSTITUTE(SUBSTITUTE(SUBSTITUTE(E541," ",""),"0",""),"-",""))+LEN(SUBSTITUTE(SUBSTITUTE(SUBSTITUTE(F541," ",""),"0",""),"-",""))+LEN(SUBSTITUTE(SUBSTITUTE(SUBSTITUTE(E542," ",""),"0",""),"-",""))+LEN(SUBSTITUTE(SUBSTITUTE(SUBSTITUTE(F542," ",""),"0",""),"-",""))+LEN(SUBSTITUTE(SUBSTITUTE(SUBSTITUTE(E543," ",""),"0",""),"-",""))+LEN(SUBSTITUTE(SUBSTITUTE(SUBSTITUTE(F543," ",""),"0",""),"-",""))</f>
      </c>
      <c r="F538" s="14" t="str">
        <f>IF(UPPER(D539)="X",0,IF((LEN(SUBSTITUTE(SUBSTITUTE(SUBSTITUTE(E539," ",""),"0",""),"-",""))+LEN(SUBSTITUTE(SUBSTITUTE(SUBSTITUTE(F539," ",""),"0",""),"-","")))&gt;(LEN(SUBSTITUTE(SUBSTITUTE(SUBSTITUTE(B539," ",""),"0",""),"-",""))+LEN(SUBSTITUTE(SUBSTITUTE(SUBSTITUTE(C539," ",""),"0",""),"-",""))),1,0))+IF(UPPER(D540)="X",0,IF((LEN(SUBSTITUTE(SUBSTITUTE(SUBSTITUTE(E540," ",""),"0",""),"-",""))+LEN(SUBSTITUTE(SUBSTITUTE(SUBSTITUTE(F540," ",""),"0",""),"-","")))&gt;(LEN(SUBSTITUTE(SUBSTITUTE(SUBSTITUTE(B540," ",""),"0",""),"-",""))+LEN(SUBSTITUTE(SUBSTITUTE(SUBSTITUTE(C540," ",""),"0",""),"-",""))),1,0))+IF(UPPER(D541)="X",0,IF((LEN(SUBSTITUTE(SUBSTITUTE(SUBSTITUTE(E541," ",""),"0",""),"-",""))+LEN(SUBSTITUTE(SUBSTITUTE(SUBSTITUTE(F541," ",""),"0",""),"-","")))&gt;(LEN(SUBSTITUTE(SUBSTITUTE(SUBSTITUTE(B541," ",""),"0",""),"-",""))+LEN(SUBSTITUTE(SUBSTITUTE(SUBSTITUTE(C541," ",""),"0",""),"-",""))),1,0))+IF(UPPER(D542)="X",0,IF((LEN(SUBSTITUTE(SUBSTITUTE(SUBSTITUTE(E542," ",""),"0",""),"-",""))+LEN(SUBSTITUTE(SUBSTITUTE(SUBSTITUTE(F542," ",""),"0",""),"-","")))&gt;(LEN(SUBSTITUTE(SUBSTITUTE(SUBSTITUTE(B542," ",""),"0",""),"-",""))+LEN(SUBSTITUTE(SUBSTITUTE(SUBSTITUTE(C542," ",""),"0",""),"-",""))),1,0))+IF(UPPER(D543)="X",0,IF((LEN(SUBSTITUTE(SUBSTITUTE(SUBSTITUTE(E543," ",""),"0",""),"-",""))+LEN(SUBSTITUTE(SUBSTITUTE(SUBSTITUTE(F543," ",""),"0",""),"-","")))&gt;(LEN(SUBSTITUTE(SUBSTITUTE(SUBSTITUTE(B543," ",""),"0",""),"-",""))+LEN(SUBSTITUTE(SUBSTITUTE(SUBSTITUTE(C543," ",""),"0",""),"-",""))),1,0))</f>
      </c>
      <c r="G538" s="14" t="str">
        <f>data!$E$40&amp;" "&amp;data!$B$40</f>
      </c>
      <c r="I538" s="14" t="str">
        <f>data!$E$87&amp;" "&amp;data!$B$87</f>
      </c>
      <c r="J538" s="14" t="str">
        <f>IF(UPPER(L539)="X",0,IF((LEN(SUBSTITUTE(SUBSTITUTE(SUBSTITUTE(J539," ",""),"0",""),"-",""))+LEN(SUBSTITUTE(SUBSTITUTE(SUBSTITUTE(K539," ",""),"0",""),"-","")))&gt;(LEN(SUBSTITUTE(SUBSTITUTE(SUBSTITUTE(M539," ",""),"0",""),"-",""))+LEN(SUBSTITUTE(SUBSTITUTE(SUBSTITUTE(N539," ",""),"0",""),"-",""))),1,0))+IF(UPPER(L540)="X",0,IF((LEN(SUBSTITUTE(SUBSTITUTE(SUBSTITUTE(J540," ",""),"0",""),"-",""))+LEN(SUBSTITUTE(SUBSTITUTE(SUBSTITUTE(K540," ",""),"0",""),"-","")))&gt;(LEN(SUBSTITUTE(SUBSTITUTE(SUBSTITUTE(M540," ",""),"0",""),"-",""))+LEN(SUBSTITUTE(SUBSTITUTE(SUBSTITUTE(N540," ",""),"0",""),"-",""))),1,0))+IF(UPPER(L541)="X",0,IF((LEN(SUBSTITUTE(SUBSTITUTE(SUBSTITUTE(J541," ",""),"0",""),"-",""))+LEN(SUBSTITUTE(SUBSTITUTE(SUBSTITUTE(K541," ",""),"0",""),"-","")))&gt;(LEN(SUBSTITUTE(SUBSTITUTE(SUBSTITUTE(M541," ",""),"0",""),"-",""))+LEN(SUBSTITUTE(SUBSTITUTE(SUBSTITUTE(N541," ",""),"0",""),"-",""))),1,0))+IF(UPPER(L542)="X",0,IF((LEN(SUBSTITUTE(SUBSTITUTE(SUBSTITUTE(J542," ",""),"0",""),"-",""))+LEN(SUBSTITUTE(SUBSTITUTE(SUBSTITUTE(K542," ",""),"0",""),"-","")))&gt;(LEN(SUBSTITUTE(SUBSTITUTE(SUBSTITUTE(M542," ",""),"0",""),"-",""))+LEN(SUBSTITUTE(SUBSTITUTE(SUBSTITUTE(N542," ",""),"0",""),"-",""))),1,0))+IF(UPPER(L543)="X",0,IF((LEN(SUBSTITUTE(SUBSTITUTE(SUBSTITUTE(J543," ",""),"0",""),"-",""))+LEN(SUBSTITUTE(SUBSTITUTE(SUBSTITUTE(K543," ",""),"0",""),"-","")))&gt;(LEN(SUBSTITUTE(SUBSTITUTE(SUBSTITUTE(M543," ",""),"0",""),"-",""))+LEN(SUBSTITUTE(SUBSTITUTE(SUBSTITUTE(N543," ",""),"0",""),"-",""))),1,0))</f>
      </c>
      <c r="K538" s="14" t="str">
        <f>LEN(SUBSTITUTE(SUBSTITUTE(SUBSTITUTE(J539," ",""),"0",""),"-",""))+LEN(SUBSTITUTE(SUBSTITUTE(SUBSTITUTE(K539," ",""),"0",""),"-",""))+LEN(SUBSTITUTE(SUBSTITUTE(SUBSTITUTE(J540," ",""),"0",""),"-",""))+LEN(SUBSTITUTE(SUBSTITUTE(SUBSTITUTE(K540," ",""),"0",""),"-",""))+LEN(SUBSTITUTE(SUBSTITUTE(SUBSTITUTE(J541," ",""),"0",""),"-",""))+LEN(SUBSTITUTE(SUBSTITUTE(SUBSTITUTE(K541," ",""),"0",""),"-",""))+LEN(SUBSTITUTE(SUBSTITUTE(SUBSTITUTE(J542," ",""),"0",""),"-",""))+LEN(SUBSTITUTE(SUBSTITUTE(SUBSTITUTE(K542," ",""),"0",""),"-",""))+LEN(SUBSTITUTE(SUBSTITUTE(SUBSTITUTE(J543," ",""),"0",""),"-",""))+LEN(SUBSTITUTE(SUBSTITUTE(SUBSTITUTE(K543," ",""),"0",""),"-",""))</f>
      </c>
      <c r="L538" s="18"/>
      <c r="M538" s="14" t="str">
        <f>LEN(SUBSTITUTE(SUBSTITUTE(SUBSTITUTE(M539," ",""),"0",""),"-",""))+LEN(SUBSTITUTE(SUBSTITUTE(SUBSTITUTE(N539," ",""),"0",""),"-",""))+LEN(SUBSTITUTE(SUBSTITUTE(SUBSTITUTE(M540," ",""),"0",""),"-",""))+LEN(SUBSTITUTE(SUBSTITUTE(SUBSTITUTE(N540," ",""),"0",""),"-",""))+LEN(SUBSTITUTE(SUBSTITUTE(SUBSTITUTE(M541," ",""),"0",""),"-",""))+LEN(SUBSTITUTE(SUBSTITUTE(SUBSTITUTE(N541," ",""),"0",""),"-",""))+LEN(SUBSTITUTE(SUBSTITUTE(SUBSTITUTE(M542," ",""),"0",""),"-",""))+LEN(SUBSTITUTE(SUBSTITUTE(SUBSTITUTE(N542," ",""),"0",""),"-",""))+LEN(SUBSTITUTE(SUBSTITUTE(SUBSTITUTE(M543," ",""),"0",""),"-",""))+LEN(SUBSTITUTE(SUBSTITUTE(SUBSTITUTE(N543," ",""),"0",""),"-",""))</f>
      </c>
      <c r="N538" s="14" t="str">
        <f>IF(UPPER(L539)="X",0,IF((LEN(SUBSTITUTE(SUBSTITUTE(SUBSTITUTE(M539," ",""),"0",""),"-",""))+LEN(SUBSTITUTE(SUBSTITUTE(SUBSTITUTE(N539," ",""),"0",""),"-","")))&gt;(LEN(SUBSTITUTE(SUBSTITUTE(SUBSTITUTE(J539," ",""),"0",""),"-",""))+LEN(SUBSTITUTE(SUBSTITUTE(SUBSTITUTE(K539," ",""),"0",""),"-",""))),1,0))+IF(UPPER(L540)="X",0,IF((LEN(SUBSTITUTE(SUBSTITUTE(SUBSTITUTE(M540," ",""),"0",""),"-",""))+LEN(SUBSTITUTE(SUBSTITUTE(SUBSTITUTE(N540," ",""),"0",""),"-","")))&gt;(LEN(SUBSTITUTE(SUBSTITUTE(SUBSTITUTE(J540," ",""),"0",""),"-",""))+LEN(SUBSTITUTE(SUBSTITUTE(SUBSTITUTE(K540," ",""),"0",""),"-",""))),1,0))+IF(UPPER(L541)="X",0,IF((LEN(SUBSTITUTE(SUBSTITUTE(SUBSTITUTE(M541," ",""),"0",""),"-",""))+LEN(SUBSTITUTE(SUBSTITUTE(SUBSTITUTE(N541," ",""),"0",""),"-","")))&gt;(LEN(SUBSTITUTE(SUBSTITUTE(SUBSTITUTE(J541," ",""),"0",""),"-",""))+LEN(SUBSTITUTE(SUBSTITUTE(SUBSTITUTE(K541," ",""),"0",""),"-",""))),1,0))+IF(UPPER(L542)="X",0,IF((LEN(SUBSTITUTE(SUBSTITUTE(SUBSTITUTE(M542," ",""),"0",""),"-",""))+LEN(SUBSTITUTE(SUBSTITUTE(SUBSTITUTE(N542," ",""),"0",""),"-","")))&gt;(LEN(SUBSTITUTE(SUBSTITUTE(SUBSTITUTE(J542," ",""),"0",""),"-",""))+LEN(SUBSTITUTE(SUBSTITUTE(SUBSTITUTE(K542," ",""),"0",""),"-",""))),1,0))+IF(UPPER(L543)="X",0,IF((LEN(SUBSTITUTE(SUBSTITUTE(SUBSTITUTE(M543," ",""),"0",""),"-",""))+LEN(SUBSTITUTE(SUBSTITUTE(SUBSTITUTE(N543," ",""),"0",""),"-","")))&gt;(LEN(SUBSTITUTE(SUBSTITUTE(SUBSTITUTE(J543," ",""),"0",""),"-",""))+LEN(SUBSTITUTE(SUBSTITUTE(SUBSTITUTE(K543," ",""),"0",""),"-",""))),1,0))</f>
      </c>
      <c r="O538" s="14" t="str">
        <f>data!$E$85&amp;" "&amp;data!$B$85</f>
      </c>
    </row>
    <row r="539">
      <c r="A539" s="14">
        <v>1</v>
      </c>
      <c r="B539" s="18"/>
      <c r="C539" s="18"/>
      <c r="D539" s="18"/>
      <c r="E539" s="18"/>
      <c r="F539" s="18"/>
      <c r="G539" s="14">
        <v>1</v>
      </c>
      <c r="I539" s="14">
        <v>1</v>
      </c>
      <c r="J539" s="18"/>
      <c r="K539" s="18"/>
      <c r="L539" s="18"/>
      <c r="M539" s="18"/>
      <c r="N539" s="18"/>
      <c r="O539" s="14">
        <v>1</v>
      </c>
    </row>
    <row r="540">
      <c r="A540" s="14">
        <v>2</v>
      </c>
      <c r="B540" s="18"/>
      <c r="C540" s="18"/>
      <c r="D540" s="18"/>
      <c r="E540" s="18"/>
      <c r="F540" s="18"/>
      <c r="G540" s="14">
        <v>2</v>
      </c>
      <c r="I540" s="14">
        <v>2</v>
      </c>
      <c r="J540" s="18"/>
      <c r="K540" s="18"/>
      <c r="L540" s="18"/>
      <c r="M540" s="18"/>
      <c r="N540" s="18"/>
      <c r="O540" s="14">
        <v>2</v>
      </c>
    </row>
    <row r="541">
      <c r="A541" s="14">
        <v>3</v>
      </c>
      <c r="B541" s="18"/>
      <c r="C541" s="18"/>
      <c r="D541" s="18"/>
      <c r="E541" s="18"/>
      <c r="F541" s="18"/>
      <c r="G541" s="14">
        <v>3</v>
      </c>
      <c r="I541" s="14">
        <v>3</v>
      </c>
      <c r="J541" s="18"/>
      <c r="K541" s="18"/>
      <c r="L541" s="18"/>
      <c r="M541" s="18"/>
      <c r="N541" s="18"/>
      <c r="O541" s="14">
        <v>3</v>
      </c>
    </row>
    <row r="542">
      <c r="A542" s="14">
        <v>4</v>
      </c>
      <c r="B542" s="18"/>
      <c r="C542" s="18"/>
      <c r="D542" s="18"/>
      <c r="E542" s="18"/>
      <c r="F542" s="18"/>
      <c r="G542" s="14">
        <v>4</v>
      </c>
      <c r="I542" s="14">
        <v>4</v>
      </c>
      <c r="J542" s="18"/>
      <c r="K542" s="18"/>
      <c r="L542" s="18"/>
      <c r="M542" s="18"/>
      <c r="N542" s="18"/>
      <c r="O542" s="14">
        <v>4</v>
      </c>
    </row>
    <row r="543">
      <c r="A543" s="14">
        <v>5</v>
      </c>
      <c r="B543" s="18"/>
      <c r="C543" s="18"/>
      <c r="D543" s="18"/>
      <c r="E543" s="18"/>
      <c r="F543" s="18"/>
      <c r="G543" s="14">
        <v>5</v>
      </c>
      <c r="I543" s="14">
        <v>5</v>
      </c>
      <c r="J543" s="18"/>
      <c r="K543" s="18"/>
      <c r="L543" s="18"/>
      <c r="M543" s="18"/>
      <c r="N543" s="18"/>
      <c r="O543" s="14">
        <v>5</v>
      </c>
    </row>
    <row r="545">
      <c r="A545" s="17" t="s">
        <v>330</v>
      </c>
      <c r="B545" s="14"/>
      <c r="C545" s="14"/>
      <c r="D545" s="14" t="s">
        <v>331</v>
      </c>
      <c r="E545" s="14"/>
      <c r="F545" s="14"/>
      <c r="G545" s="16" t="s">
        <v>332</v>
      </c>
      <c r="I545" s="17" t="s">
        <v>330</v>
      </c>
      <c r="J545" s="14"/>
      <c r="K545" s="14"/>
      <c r="L545" s="14" t="s">
        <v>331</v>
      </c>
      <c r="M545" s="14"/>
      <c r="N545" s="14"/>
      <c r="O545" s="16" t="s">
        <v>332</v>
      </c>
    </row>
    <row r="546">
      <c r="A546" s="14" t="str">
        <f>data!$E$42&amp;" "&amp;data!$B$42</f>
      </c>
      <c r="B546" s="14" t="str">
        <f>IF(UPPER(D547)="X",0,IF((LEN(SUBSTITUTE(SUBSTITUTE(SUBSTITUTE(B547," ",""),"0",""),"-",""))+LEN(SUBSTITUTE(SUBSTITUTE(SUBSTITUTE(C547," ",""),"0",""),"-","")))&gt;(LEN(SUBSTITUTE(SUBSTITUTE(SUBSTITUTE(E547," ",""),"0",""),"-",""))+LEN(SUBSTITUTE(SUBSTITUTE(SUBSTITUTE(F547," ",""),"0",""),"-",""))),1,0))+IF(UPPER(D548)="X",0,IF((LEN(SUBSTITUTE(SUBSTITUTE(SUBSTITUTE(B548," ",""),"0",""),"-",""))+LEN(SUBSTITUTE(SUBSTITUTE(SUBSTITUTE(C548," ",""),"0",""),"-","")))&gt;(LEN(SUBSTITUTE(SUBSTITUTE(SUBSTITUTE(E548," ",""),"0",""),"-",""))+LEN(SUBSTITUTE(SUBSTITUTE(SUBSTITUTE(F548," ",""),"0",""),"-",""))),1,0))+IF(UPPER(D549)="X",0,IF((LEN(SUBSTITUTE(SUBSTITUTE(SUBSTITUTE(B549," ",""),"0",""),"-",""))+LEN(SUBSTITUTE(SUBSTITUTE(SUBSTITUTE(C549," ",""),"0",""),"-","")))&gt;(LEN(SUBSTITUTE(SUBSTITUTE(SUBSTITUTE(E549," ",""),"0",""),"-",""))+LEN(SUBSTITUTE(SUBSTITUTE(SUBSTITUTE(F549," ",""),"0",""),"-",""))),1,0))+IF(UPPER(D550)="X",0,IF((LEN(SUBSTITUTE(SUBSTITUTE(SUBSTITUTE(B550," ",""),"0",""),"-",""))+LEN(SUBSTITUTE(SUBSTITUTE(SUBSTITUTE(C550," ",""),"0",""),"-","")))&gt;(LEN(SUBSTITUTE(SUBSTITUTE(SUBSTITUTE(E550," ",""),"0",""),"-",""))+LEN(SUBSTITUTE(SUBSTITUTE(SUBSTITUTE(F550," ",""),"0",""),"-",""))),1,0))+IF(UPPER(D551)="X",0,IF((LEN(SUBSTITUTE(SUBSTITUTE(SUBSTITUTE(B551," ",""),"0",""),"-",""))+LEN(SUBSTITUTE(SUBSTITUTE(SUBSTITUTE(C551," ",""),"0",""),"-","")))&gt;(LEN(SUBSTITUTE(SUBSTITUTE(SUBSTITUTE(E551," ",""),"0",""),"-",""))+LEN(SUBSTITUTE(SUBSTITUTE(SUBSTITUTE(F551," ",""),"0",""),"-",""))),1,0))</f>
      </c>
      <c r="C546" s="14" t="str">
        <f>LEN(SUBSTITUTE(SUBSTITUTE(SUBSTITUTE(B547," ",""),"0",""),"-",""))+LEN(SUBSTITUTE(SUBSTITUTE(SUBSTITUTE(C547," ",""),"0",""),"-",""))+LEN(SUBSTITUTE(SUBSTITUTE(SUBSTITUTE(B548," ",""),"0",""),"-",""))+LEN(SUBSTITUTE(SUBSTITUTE(SUBSTITUTE(C548," ",""),"0",""),"-",""))+LEN(SUBSTITUTE(SUBSTITUTE(SUBSTITUTE(B549," ",""),"0",""),"-",""))+LEN(SUBSTITUTE(SUBSTITUTE(SUBSTITUTE(C549," ",""),"0",""),"-",""))+LEN(SUBSTITUTE(SUBSTITUTE(SUBSTITUTE(B550," ",""),"0",""),"-",""))+LEN(SUBSTITUTE(SUBSTITUTE(SUBSTITUTE(C550," ",""),"0",""),"-",""))+LEN(SUBSTITUTE(SUBSTITUTE(SUBSTITUTE(B551," ",""),"0",""),"-",""))+LEN(SUBSTITUTE(SUBSTITUTE(SUBSTITUTE(C551," ",""),"0",""),"-",""))</f>
      </c>
      <c r="D546" s="18"/>
      <c r="E546" s="14" t="str">
        <f>LEN(SUBSTITUTE(SUBSTITUTE(SUBSTITUTE(E547," ",""),"0",""),"-",""))+LEN(SUBSTITUTE(SUBSTITUTE(SUBSTITUTE(F547," ",""),"0",""),"-",""))+LEN(SUBSTITUTE(SUBSTITUTE(SUBSTITUTE(E548," ",""),"0",""),"-",""))+LEN(SUBSTITUTE(SUBSTITUTE(SUBSTITUTE(F548," ",""),"0",""),"-",""))+LEN(SUBSTITUTE(SUBSTITUTE(SUBSTITUTE(E549," ",""),"0",""),"-",""))+LEN(SUBSTITUTE(SUBSTITUTE(SUBSTITUTE(F549," ",""),"0",""),"-",""))+LEN(SUBSTITUTE(SUBSTITUTE(SUBSTITUTE(E550," ",""),"0",""),"-",""))+LEN(SUBSTITUTE(SUBSTITUTE(SUBSTITUTE(F550," ",""),"0",""),"-",""))+LEN(SUBSTITUTE(SUBSTITUTE(SUBSTITUTE(E551," ",""),"0",""),"-",""))+LEN(SUBSTITUTE(SUBSTITUTE(SUBSTITUTE(F551," ",""),"0",""),"-",""))</f>
      </c>
      <c r="F546" s="14" t="str">
        <f>IF(UPPER(D547)="X",0,IF((LEN(SUBSTITUTE(SUBSTITUTE(SUBSTITUTE(E547," ",""),"0",""),"-",""))+LEN(SUBSTITUTE(SUBSTITUTE(SUBSTITUTE(F547," ",""),"0",""),"-","")))&gt;(LEN(SUBSTITUTE(SUBSTITUTE(SUBSTITUTE(B547," ",""),"0",""),"-",""))+LEN(SUBSTITUTE(SUBSTITUTE(SUBSTITUTE(C547," ",""),"0",""),"-",""))),1,0))+IF(UPPER(D548)="X",0,IF((LEN(SUBSTITUTE(SUBSTITUTE(SUBSTITUTE(E548," ",""),"0",""),"-",""))+LEN(SUBSTITUTE(SUBSTITUTE(SUBSTITUTE(F548," ",""),"0",""),"-","")))&gt;(LEN(SUBSTITUTE(SUBSTITUTE(SUBSTITUTE(B548," ",""),"0",""),"-",""))+LEN(SUBSTITUTE(SUBSTITUTE(SUBSTITUTE(C548," ",""),"0",""),"-",""))),1,0))+IF(UPPER(D549)="X",0,IF((LEN(SUBSTITUTE(SUBSTITUTE(SUBSTITUTE(E549," ",""),"0",""),"-",""))+LEN(SUBSTITUTE(SUBSTITUTE(SUBSTITUTE(F549," ",""),"0",""),"-","")))&gt;(LEN(SUBSTITUTE(SUBSTITUTE(SUBSTITUTE(B549," ",""),"0",""),"-",""))+LEN(SUBSTITUTE(SUBSTITUTE(SUBSTITUTE(C549," ",""),"0",""),"-",""))),1,0))+IF(UPPER(D550)="X",0,IF((LEN(SUBSTITUTE(SUBSTITUTE(SUBSTITUTE(E550," ",""),"0",""),"-",""))+LEN(SUBSTITUTE(SUBSTITUTE(SUBSTITUTE(F550," ",""),"0",""),"-","")))&gt;(LEN(SUBSTITUTE(SUBSTITUTE(SUBSTITUTE(B550," ",""),"0",""),"-",""))+LEN(SUBSTITUTE(SUBSTITUTE(SUBSTITUTE(C550," ",""),"0",""),"-",""))),1,0))+IF(UPPER(D551)="X",0,IF((LEN(SUBSTITUTE(SUBSTITUTE(SUBSTITUTE(E551," ",""),"0",""),"-",""))+LEN(SUBSTITUTE(SUBSTITUTE(SUBSTITUTE(F551," ",""),"0",""),"-","")))&gt;(LEN(SUBSTITUTE(SUBSTITUTE(SUBSTITUTE(B551," ",""),"0",""),"-",""))+LEN(SUBSTITUTE(SUBSTITUTE(SUBSTITUTE(C551," ",""),"0",""),"-",""))),1,0))</f>
      </c>
      <c r="G546" s="14" t="str">
        <f>data!$E$41&amp;" "&amp;data!$B$41</f>
      </c>
      <c r="I546" s="14" t="str">
        <f>data!$E$87&amp;" "&amp;data!$B$87</f>
      </c>
      <c r="J546" s="14" t="str">
        <f>IF(UPPER(L547)="X",0,IF((LEN(SUBSTITUTE(SUBSTITUTE(SUBSTITUTE(J547," ",""),"0",""),"-",""))+LEN(SUBSTITUTE(SUBSTITUTE(SUBSTITUTE(K547," ",""),"0",""),"-","")))&gt;(LEN(SUBSTITUTE(SUBSTITUTE(SUBSTITUTE(M547," ",""),"0",""),"-",""))+LEN(SUBSTITUTE(SUBSTITUTE(SUBSTITUTE(N547," ",""),"0",""),"-",""))),1,0))+IF(UPPER(L548)="X",0,IF((LEN(SUBSTITUTE(SUBSTITUTE(SUBSTITUTE(J548," ",""),"0",""),"-",""))+LEN(SUBSTITUTE(SUBSTITUTE(SUBSTITUTE(K548," ",""),"0",""),"-","")))&gt;(LEN(SUBSTITUTE(SUBSTITUTE(SUBSTITUTE(M548," ",""),"0",""),"-",""))+LEN(SUBSTITUTE(SUBSTITUTE(SUBSTITUTE(N548," ",""),"0",""),"-",""))),1,0))+IF(UPPER(L549)="X",0,IF((LEN(SUBSTITUTE(SUBSTITUTE(SUBSTITUTE(J549," ",""),"0",""),"-",""))+LEN(SUBSTITUTE(SUBSTITUTE(SUBSTITUTE(K549," ",""),"0",""),"-","")))&gt;(LEN(SUBSTITUTE(SUBSTITUTE(SUBSTITUTE(M549," ",""),"0",""),"-",""))+LEN(SUBSTITUTE(SUBSTITUTE(SUBSTITUTE(N549," ",""),"0",""),"-",""))),1,0))+IF(UPPER(L550)="X",0,IF((LEN(SUBSTITUTE(SUBSTITUTE(SUBSTITUTE(J550," ",""),"0",""),"-",""))+LEN(SUBSTITUTE(SUBSTITUTE(SUBSTITUTE(K550," ",""),"0",""),"-","")))&gt;(LEN(SUBSTITUTE(SUBSTITUTE(SUBSTITUTE(M550," ",""),"0",""),"-",""))+LEN(SUBSTITUTE(SUBSTITUTE(SUBSTITUTE(N550," ",""),"0",""),"-",""))),1,0))+IF(UPPER(L551)="X",0,IF((LEN(SUBSTITUTE(SUBSTITUTE(SUBSTITUTE(J551," ",""),"0",""),"-",""))+LEN(SUBSTITUTE(SUBSTITUTE(SUBSTITUTE(K551," ",""),"0",""),"-","")))&gt;(LEN(SUBSTITUTE(SUBSTITUTE(SUBSTITUTE(M551," ",""),"0",""),"-",""))+LEN(SUBSTITUTE(SUBSTITUTE(SUBSTITUTE(N551," ",""),"0",""),"-",""))),1,0))</f>
      </c>
      <c r="K546" s="14" t="str">
        <f>LEN(SUBSTITUTE(SUBSTITUTE(SUBSTITUTE(J547," ",""),"0",""),"-",""))+LEN(SUBSTITUTE(SUBSTITUTE(SUBSTITUTE(K547," ",""),"0",""),"-",""))+LEN(SUBSTITUTE(SUBSTITUTE(SUBSTITUTE(J548," ",""),"0",""),"-",""))+LEN(SUBSTITUTE(SUBSTITUTE(SUBSTITUTE(K548," ",""),"0",""),"-",""))+LEN(SUBSTITUTE(SUBSTITUTE(SUBSTITUTE(J549," ",""),"0",""),"-",""))+LEN(SUBSTITUTE(SUBSTITUTE(SUBSTITUTE(K549," ",""),"0",""),"-",""))+LEN(SUBSTITUTE(SUBSTITUTE(SUBSTITUTE(J550," ",""),"0",""),"-",""))+LEN(SUBSTITUTE(SUBSTITUTE(SUBSTITUTE(K550," ",""),"0",""),"-",""))+LEN(SUBSTITUTE(SUBSTITUTE(SUBSTITUTE(J551," ",""),"0",""),"-",""))+LEN(SUBSTITUTE(SUBSTITUTE(SUBSTITUTE(K551," ",""),"0",""),"-",""))</f>
      </c>
      <c r="L546" s="18"/>
      <c r="M546" s="14" t="str">
        <f>LEN(SUBSTITUTE(SUBSTITUTE(SUBSTITUTE(M547," ",""),"0",""),"-",""))+LEN(SUBSTITUTE(SUBSTITUTE(SUBSTITUTE(N547," ",""),"0",""),"-",""))+LEN(SUBSTITUTE(SUBSTITUTE(SUBSTITUTE(M548," ",""),"0",""),"-",""))+LEN(SUBSTITUTE(SUBSTITUTE(SUBSTITUTE(N548," ",""),"0",""),"-",""))+LEN(SUBSTITUTE(SUBSTITUTE(SUBSTITUTE(M549," ",""),"0",""),"-",""))+LEN(SUBSTITUTE(SUBSTITUTE(SUBSTITUTE(N549," ",""),"0",""),"-",""))+LEN(SUBSTITUTE(SUBSTITUTE(SUBSTITUTE(M550," ",""),"0",""),"-",""))+LEN(SUBSTITUTE(SUBSTITUTE(SUBSTITUTE(N550," ",""),"0",""),"-",""))+LEN(SUBSTITUTE(SUBSTITUTE(SUBSTITUTE(M551," ",""),"0",""),"-",""))+LEN(SUBSTITUTE(SUBSTITUTE(SUBSTITUTE(N551," ",""),"0",""),"-",""))</f>
      </c>
      <c r="N546" s="14" t="str">
        <f>IF(UPPER(L547)="X",0,IF((LEN(SUBSTITUTE(SUBSTITUTE(SUBSTITUTE(M547," ",""),"0",""),"-",""))+LEN(SUBSTITUTE(SUBSTITUTE(SUBSTITUTE(N547," ",""),"0",""),"-","")))&gt;(LEN(SUBSTITUTE(SUBSTITUTE(SUBSTITUTE(J547," ",""),"0",""),"-",""))+LEN(SUBSTITUTE(SUBSTITUTE(SUBSTITUTE(K547," ",""),"0",""),"-",""))),1,0))+IF(UPPER(L548)="X",0,IF((LEN(SUBSTITUTE(SUBSTITUTE(SUBSTITUTE(M548," ",""),"0",""),"-",""))+LEN(SUBSTITUTE(SUBSTITUTE(SUBSTITUTE(N548," ",""),"0",""),"-","")))&gt;(LEN(SUBSTITUTE(SUBSTITUTE(SUBSTITUTE(J548," ",""),"0",""),"-",""))+LEN(SUBSTITUTE(SUBSTITUTE(SUBSTITUTE(K548," ",""),"0",""),"-",""))),1,0))+IF(UPPER(L549)="X",0,IF((LEN(SUBSTITUTE(SUBSTITUTE(SUBSTITUTE(M549," ",""),"0",""),"-",""))+LEN(SUBSTITUTE(SUBSTITUTE(SUBSTITUTE(N549," ",""),"0",""),"-","")))&gt;(LEN(SUBSTITUTE(SUBSTITUTE(SUBSTITUTE(J549," ",""),"0",""),"-",""))+LEN(SUBSTITUTE(SUBSTITUTE(SUBSTITUTE(K549," ",""),"0",""),"-",""))),1,0))+IF(UPPER(L550)="X",0,IF((LEN(SUBSTITUTE(SUBSTITUTE(SUBSTITUTE(M550," ",""),"0",""),"-",""))+LEN(SUBSTITUTE(SUBSTITUTE(SUBSTITUTE(N550," ",""),"0",""),"-","")))&gt;(LEN(SUBSTITUTE(SUBSTITUTE(SUBSTITUTE(J550," ",""),"0",""),"-",""))+LEN(SUBSTITUTE(SUBSTITUTE(SUBSTITUTE(K550," ",""),"0",""),"-",""))),1,0))+IF(UPPER(L551)="X",0,IF((LEN(SUBSTITUTE(SUBSTITUTE(SUBSTITUTE(M551," ",""),"0",""),"-",""))+LEN(SUBSTITUTE(SUBSTITUTE(SUBSTITUTE(N551," ",""),"0",""),"-","")))&gt;(LEN(SUBSTITUTE(SUBSTITUTE(SUBSTITUTE(J551," ",""),"0",""),"-",""))+LEN(SUBSTITUTE(SUBSTITUTE(SUBSTITUTE(K551," ",""),"0",""),"-",""))),1,0))</f>
      </c>
      <c r="O546" s="14" t="str">
        <f>data!$E$86&amp;" "&amp;data!$B$86</f>
      </c>
    </row>
    <row r="547">
      <c r="A547" s="14">
        <v>1</v>
      </c>
      <c r="B547" s="18"/>
      <c r="C547" s="18"/>
      <c r="D547" s="18"/>
      <c r="E547" s="18"/>
      <c r="F547" s="18"/>
      <c r="G547" s="14">
        <v>1</v>
      </c>
      <c r="I547" s="14">
        <v>1</v>
      </c>
      <c r="J547" s="18"/>
      <c r="K547" s="18"/>
      <c r="L547" s="18"/>
      <c r="M547" s="18"/>
      <c r="N547" s="18"/>
      <c r="O547" s="14">
        <v>1</v>
      </c>
    </row>
    <row r="548">
      <c r="A548" s="14">
        <v>2</v>
      </c>
      <c r="B548" s="18"/>
      <c r="C548" s="18"/>
      <c r="D548" s="18"/>
      <c r="E548" s="18"/>
      <c r="F548" s="18"/>
      <c r="G548" s="14">
        <v>2</v>
      </c>
      <c r="I548" s="14">
        <v>2</v>
      </c>
      <c r="J548" s="18"/>
      <c r="K548" s="18"/>
      <c r="L548" s="18"/>
      <c r="M548" s="18"/>
      <c r="N548" s="18"/>
      <c r="O548" s="14">
        <v>2</v>
      </c>
    </row>
    <row r="549">
      <c r="A549" s="14">
        <v>3</v>
      </c>
      <c r="B549" s="18"/>
      <c r="C549" s="18"/>
      <c r="D549" s="18"/>
      <c r="E549" s="18"/>
      <c r="F549" s="18"/>
      <c r="G549" s="14">
        <v>3</v>
      </c>
      <c r="I549" s="14">
        <v>3</v>
      </c>
      <c r="J549" s="18"/>
      <c r="K549" s="18"/>
      <c r="L549" s="18"/>
      <c r="M549" s="18"/>
      <c r="N549" s="18"/>
      <c r="O549" s="14">
        <v>3</v>
      </c>
    </row>
    <row r="550">
      <c r="A550" s="14">
        <v>4</v>
      </c>
      <c r="B550" s="18"/>
      <c r="C550" s="18"/>
      <c r="D550" s="18"/>
      <c r="E550" s="18"/>
      <c r="F550" s="18"/>
      <c r="G550" s="14">
        <v>4</v>
      </c>
      <c r="I550" s="14">
        <v>4</v>
      </c>
      <c r="J550" s="18"/>
      <c r="K550" s="18"/>
      <c r="L550" s="18"/>
      <c r="M550" s="18"/>
      <c r="N550" s="18"/>
      <c r="O550" s="14">
        <v>4</v>
      </c>
    </row>
    <row r="551">
      <c r="A551" s="14">
        <v>5</v>
      </c>
      <c r="B551" s="18"/>
      <c r="C551" s="18"/>
      <c r="D551" s="18"/>
      <c r="E551" s="18"/>
      <c r="F551" s="18"/>
      <c r="G551" s="14">
        <v>5</v>
      </c>
      <c r="I551" s="14">
        <v>5</v>
      </c>
      <c r="J551" s="18"/>
      <c r="K551" s="18"/>
      <c r="L551" s="18"/>
      <c r="M551" s="18"/>
      <c r="N551" s="18"/>
      <c r="O551" s="14">
        <v>5</v>
      </c>
    </row>
    <row r="554">
      <c r="A554" s="13" t="s">
        <v>333</v>
      </c>
      <c r="B554" s="13" t="s">
        <v>334</v>
      </c>
      <c r="C554" s="13" t="s">
        <v>335</v>
      </c>
      <c r="D554" s="13" t="s">
        <v>336</v>
      </c>
      <c r="E554" s="13"/>
      <c r="F554" s="13"/>
      <c r="G554" s="13" t="s">
        <v>337</v>
      </c>
      <c r="I554" s="13" t="s">
        <v>333</v>
      </c>
      <c r="J554" s="13" t="s">
        <v>334</v>
      </c>
      <c r="K554" s="13" t="s">
        <v>335</v>
      </c>
      <c r="L554" s="13" t="s">
        <v>336</v>
      </c>
      <c r="M554" s="13"/>
      <c r="N554" s="13"/>
      <c r="O554" s="13" t="s">
        <v>337</v>
      </c>
    </row>
    <row r="555">
      <c r="A555" s="14" t="str">
        <f>data!$E$40&amp;" "&amp;data!$B$40</f>
      </c>
      <c r="B555" s="14" t="str">
        <f>IF(OR(COUNTA(B531:C535,E531:F535)&gt;0,D531="X",D531="x",D532="X",D532="x",D533="X",D533="x",D534="X",D534="x",D535="X",D535="x",OR(D530="X",D530="x")),IF(OR(OR(D530="X",D530="x"),AND(B530=F530,C530=E530)),0,IF(OR(F530&gt;B530,AND(F530=B530,E530&gt;C530)),1,0)),0)+IF(OR(COUNTA(B539:C543,E539:F543)&gt;0,D539="X",D539="x",D540="X",D540="x",D541="X",D541="x",D542="X",D542="x",D543="X",D543="x",OR(D538="X",D538="x")),IF(OR(OR(D538="X",D538="x"),AND(B538=F538,C538=E538)),0,IF(OR(F538&gt;B538,AND(F538=B538,E538&gt;C538)),1,0)),0)</f>
      </c>
      <c r="C555" s="14" t="str">
        <f>IF(OR(COUNTA(B531:C535,E531:F535)&gt;0,D531="X",D531="x",D532="X",D532="x",D533="X",D533="x",D534="X",D534="x",D535="X",D535="x",OR(D530="X",D530="x")),IF(OR(OR(D530="X",D530="x"),AND(B530=F530,C530=E530)),0,IF(OR(F530&lt;B530,AND(F530=B530,E530&lt;C530)),1,0)),0)+IF(OR(COUNTA(B539:C543,E539:F543)&gt;0,D539="X",D539="x",D540="X",D540="x",D541="X",D541="x",D542="X",D542="x",D543="X",D543="x",OR(D538="X",D538="x")),IF(OR(OR(D538="X",D538="x"),AND(B538=F538,C538=E538)),0,IF(OR(F538&lt;B538,AND(F538=B538,E538&lt;C538)),1,0)),0)</f>
      </c>
      <c r="D555" s="14" t="str">
        <f>IF(OR(COUNTA(B531:C535,E531:F535)&gt;0,D531="X",D531="x",D532="X",D532="x",D533="X",D533="x",D534="X",D534="x",D535="X",D535="x",OR(D530="X",D530="x")),IF(OR(OR(D530="X",D530="x"),AND(B530=F530,C530=E530)),1,0),0)+IF(OR(COUNTA(B539:C543,E539:F543)&gt;0,D539="X",D539="x",D540="X",D540="x",D541="X",D541="x",D542="X",D542="x",D543="X",D543="x",OR(D538="X",D538="x")),IF(OR(OR(D538="X",D538="x"),AND(B538=F538,C538=E538)),1,0),0)</f>
      </c>
      <c r="G555" s="18" t="str">
        <f>RANK(U555,$U$555:$U$557)+COUNTIF($U$554:U554,U555)</f>
      </c>
      <c r="I555" s="14" t="str">
        <f>data!$E$85&amp;" "&amp;data!$B$85</f>
      </c>
      <c r="J555" s="14" t="str">
        <f>IF(OR(COUNTA(J531:K535,M531:N535)&gt;0,L531="X",L531="x",L532="X",L532="x",L533="X",L533="x",L534="X",L534="x",L535="X",L535="x",OR(L530="X",L530="x")),IF(OR(OR(L530="X",L530="x"),AND(J530=N530,K530=M530)),0,IF(OR(N530&gt;J530,AND(N530=J530,M530&gt;K530)),1,0)),0)+IF(OR(COUNTA(J539:K543,M539:N543)&gt;0,L539="X",L539="x",L540="X",L540="x",L541="X",L541="x",L542="X",L542="x",L543="X",L543="x",OR(L538="X",L538="x")),IF(OR(OR(L538="X",L538="x"),AND(J538=N538,K538=M538)),0,IF(OR(N538&gt;J538,AND(N538=J538,M538&gt;K538)),1,0)),0)</f>
      </c>
      <c r="K555" s="14" t="str">
        <f>IF(OR(COUNTA(J531:K535,M531:N535)&gt;0,L531="X",L531="x",L532="X",L532="x",L533="X",L533="x",L534="X",L534="x",L535="X",L535="x",OR(L530="X",L530="x")),IF(OR(OR(L530="X",L530="x"),AND(J530=N530,K530=M530)),0,IF(OR(N530&lt;J530,AND(N530=J530,M530&lt;K530)),1,0)),0)+IF(OR(COUNTA(J539:K543,M539:N543)&gt;0,L539="X",L539="x",L540="X",L540="x",L541="X",L541="x",L542="X",L542="x",L543="X",L543="x",OR(L538="X",L538="x")),IF(OR(OR(L538="X",L538="x"),AND(J538=N538,K538=M538)),0,IF(OR(N538&lt;J538,AND(N538=J538,M538&lt;K538)),1,0)),0)</f>
      </c>
      <c r="L555" s="14" t="str">
        <f>IF(OR(COUNTA(J531:K535,M531:N535)&gt;0,L531="X",L531="x",L532="X",L532="x",L533="X",L533="x",L534="X",L534="x",L535="X",L535="x",OR(L530="X",L530="x")),IF(OR(OR(L530="X",L530="x"),AND(J530=N530,K530=M530)),1,0),0)+IF(OR(COUNTA(J539:K543,M539:N543)&gt;0,L539="X",L539="x",L540="X",L540="x",L541="X",L541="x",L542="X",L542="x",L543="X",L543="x",OR(L538="X",L538="x")),IF(OR(OR(L538="X",L538="x"),AND(J538=N538,K538=M538)),1,0),0)</f>
      </c>
      <c r="O555" s="18" t="str">
        <f>RANK(AC555,$AC$555:$AC$557)+COUNTIF($AC$554:AC554,AC555)</f>
      </c>
      <c r="U555" t="str">
        <f>(B555*1000000000)-(C555*10000000)+(D555*100000)+(B560*1000)-(C560*100)+(D560*10)+(E560*1)-(F560*0.01)</f>
      </c>
      <c r="AC555" t="str">
        <f>(J555*1000000000)-(K555*10000000)+(L555*100000)+(J560*1000)-(K560*100)+(L560*10)+(M560*1)-(N560*0.01)</f>
      </c>
    </row>
    <row r="556">
      <c r="A556" s="14" t="str">
        <f>data!$E$41&amp;" "&amp;data!$B$41</f>
      </c>
      <c r="B556" s="14" t="str">
        <f>IF(OR(COUNTA(B531:C535,E531:F535)&gt;0,D531="X",D531="x",D532="X",D532="x",D533="X",D533="x",D534="X",D534="x",D535="X",D535="x",OR(D530="X",D530="x")),IF(OR(OR(D530="X",D530="x"),AND(B530=F530,C530=E530)),0,IF(OR(B530&gt;F530,AND(B530=F530,C530&gt;E530)),1,0)),0)+IF(OR(COUNTA(B547:C551,E547:F551)&gt;0,D547="X",D547="x",D548="X",D548="x",D549="X",D549="x",D550="X",D550="x",D551="X",D551="x",OR(D546="X",D546="x")),IF(OR(OR(D546="X",D546="x"),AND(B546=F546,C546=E546)),0,IF(OR(F546&gt;B546,AND(F546=B546,E546&gt;C546)),1,0)),0)</f>
      </c>
      <c r="C556" s="14" t="str">
        <f>IF(OR(COUNTA(B531:C535,E531:F535)&gt;0,D531="X",D531="x",D532="X",D532="x",D533="X",D533="x",D534="X",D534="x",D535="X",D535="x",OR(D530="X",D530="x")),IF(OR(OR(D530="X",D530="x"),AND(B530=F530,C530=E530)),0,IF(OR(B530&lt;F530,AND(B530=F530,C530&lt;E530)),1,0)),0)+IF(OR(COUNTA(B547:C551,E547:F551)&gt;0,D547="X",D547="x",D548="X",D548="x",D549="X",D549="x",D550="X",D550="x",D551="X",D551="x",OR(D546="X",D546="x")),IF(OR(OR(D546="X",D546="x"),AND(B546=F546,C546=E546)),0,IF(OR(F546&lt;B546,AND(F546=B546,E546&lt;C546)),1,0)),0)</f>
      </c>
      <c r="D556" s="14" t="str">
        <f>IF(OR(COUNTA(B531:C535,E531:F535)&gt;0,D531="X",D531="x",D532="X",D532="x",D533="X",D533="x",D534="X",D534="x",D535="X",D535="x",OR(D530="X",D530="x")),IF(OR(OR(D530="X",D530="x"),AND(B530=F530,C530=E530)),1,0),0)+IF(OR(COUNTA(B547:C551,E547:F551)&gt;0,D547="X",D547="x",D548="X",D548="x",D549="X",D549="x",D550="X",D550="x",D551="X",D551="x",OR(D546="X",D546="x")),IF(OR(OR(D546="X",D546="x"),AND(B546=F546,C546=E546)),1,0),0)</f>
      </c>
      <c r="G556" s="18" t="str">
        <f>RANK(U556,$U$555:$U$557)+COUNTIF($U$554:U555,U556)</f>
      </c>
      <c r="I556" s="14" t="str">
        <f>data!$E$86&amp;" "&amp;data!$B$86</f>
      </c>
      <c r="J556" s="14" t="str">
        <f>IF(OR(COUNTA(J531:K535,M531:N535)&gt;0,L531="X",L531="x",L532="X",L532="x",L533="X",L533="x",L534="X",L534="x",L535="X",L535="x",OR(L530="X",L530="x")),IF(OR(OR(L530="X",L530="x"),AND(J530=N530,K530=M530)),0,IF(OR(J530&gt;N530,AND(J530=N530,K530&gt;M530)),1,0)),0)+IF(OR(COUNTA(J547:K551,M547:N551)&gt;0,L547="X",L547="x",L548="X",L548="x",L549="X",L549="x",L550="X",L550="x",L551="X",L551="x",OR(L546="X",L546="x")),IF(OR(OR(L546="X",L546="x"),AND(J546=N546,K546=M546)),0,IF(OR(N546&gt;J546,AND(N546=J546,M546&gt;K546)),1,0)),0)</f>
      </c>
      <c r="K556" s="14" t="str">
        <f>IF(OR(COUNTA(J531:K535,M531:N535)&gt;0,L531="X",L531="x",L532="X",L532="x",L533="X",L533="x",L534="X",L534="x",L535="X",L535="x",OR(L530="X",L530="x")),IF(OR(OR(L530="X",L530="x"),AND(J530=N530,K530=M530)),0,IF(OR(J530&lt;N530,AND(J530=N530,K530&lt;M530)),1,0)),0)+IF(OR(COUNTA(J547:K551,M547:N551)&gt;0,L547="X",L547="x",L548="X",L548="x",L549="X",L549="x",L550="X",L550="x",L551="X",L551="x",OR(L546="X",L546="x")),IF(OR(OR(L546="X",L546="x"),AND(J546=N546,K546=M546)),0,IF(OR(N546&lt;J546,AND(N546=J546,M546&lt;K546)),1,0)),0)</f>
      </c>
      <c r="L556" s="14" t="str">
        <f>IF(OR(COUNTA(J531:K535,M531:N535)&gt;0,L531="X",L531="x",L532="X",L532="x",L533="X",L533="x",L534="X",L534="x",L535="X",L535="x",OR(L530="X",L530="x")),IF(OR(OR(L530="X",L530="x"),AND(J530=N530,K530=M530)),1,0),0)+IF(OR(COUNTA(J547:K551,M547:N551)&gt;0,L547="X",L547="x",L548="X",L548="x",L549="X",L549="x",L550="X",L550="x",L551="X",L551="x",OR(L546="X",L546="x")),IF(OR(OR(L546="X",L546="x"),AND(J546=N546,K546=M546)),1,0),0)</f>
      </c>
      <c r="O556" s="18" t="str">
        <f>RANK(AC556,$AC$555:$AC$557)+COUNTIF($AC$554:AC555,AC556)</f>
      </c>
      <c r="U556" t="str">
        <f>(B556*1000000000)-(C556*10000000)+(D556*100000)+(B561*1000)-(C561*100)+(D561*10)+(E561*1)-(F561*0.01)</f>
      </c>
      <c r="AC556" t="str">
        <f>(J556*1000000000)-(K556*10000000)+(L556*100000)+(J561*1000)-(K561*100)+(L561*10)+(M561*1)-(N561*0.01)</f>
      </c>
    </row>
    <row r="557">
      <c r="A557" s="14" t="str">
        <f>data!$E$42&amp;" "&amp;data!$B$42</f>
      </c>
      <c r="B557" s="14" t="str">
        <f>IF(OR(COUNTA(B539:C543,E539:F543)&gt;0,D539="X",D539="x",D540="X",D540="x",D541="X",D541="x",D542="X",D542="x",D543="X",D543="x",OR(D538="X",D538="x")),IF(OR(OR(D538="X",D538="x"),AND(B538=F538,C538=E538)),0,IF(OR(B538&gt;F538,AND(B538=F538,C538&gt;E538)),1,0)),0)+IF(OR(COUNTA(B547:C551,E547:F551)&gt;0,D547="X",D547="x",D548="X",D548="x",D549="X",D549="x",D550="X",D550="x",D551="X",D551="x",OR(D546="X",D546="x")),IF(OR(OR(D546="X",D546="x"),AND(B546=F546,C546=E546)),0,IF(OR(B546&gt;F546,AND(B546=F546,C546&gt;E546)),1,0)),0)</f>
      </c>
      <c r="C557" s="14" t="str">
        <f>IF(OR(COUNTA(B539:C543,E539:F543)&gt;0,D539="X",D539="x",D540="X",D540="x",D541="X",D541="x",D542="X",D542="x",D543="X",D543="x",OR(D538="X",D538="x")),IF(OR(OR(D538="X",D538="x"),AND(B538=F538,C538=E538)),0,IF(OR(B538&lt;F538,AND(B538=F538,C538&lt;E538)),1,0)),0)+IF(OR(COUNTA(B547:C551,E547:F551)&gt;0,D547="X",D547="x",D548="X",D548="x",D549="X",D549="x",D550="X",D550="x",D551="X",D551="x",OR(D546="X",D546="x")),IF(OR(OR(D546="X",D546="x"),AND(B546=F546,C546=E546)),0,IF(OR(B546&lt;F546,AND(B546=F546,C546&lt;E546)),1,0)),0)</f>
      </c>
      <c r="D557" s="14" t="str">
        <f>IF(OR(COUNTA(B539:C543,E539:F543)&gt;0,D539="X",D539="x",D540="X",D540="x",D541="X",D541="x",D542="X",D542="x",D543="X",D543="x",OR(D538="X",D538="x")),IF(OR(OR(D538="X",D538="x"),AND(B538=F538,C538=E538)),1,0),0)+IF(OR(COUNTA(B547:C551,E547:F551)&gt;0,D547="X",D547="x",D548="X",D548="x",D549="X",D549="x",D550="X",D550="x",D551="X",D551="x",OR(D546="X",D546="x")),IF(OR(OR(D546="X",D546="x"),AND(B546=F546,C546=E546)),1,0),0)</f>
      </c>
      <c r="G557" s="18" t="str">
        <f>RANK(U557,$U$555:$U$557)+COUNTIF($U$554:U556,U557)</f>
      </c>
      <c r="I557" s="14" t="str">
        <f>data!$E$87&amp;" "&amp;data!$B$87</f>
      </c>
      <c r="J557" s="14" t="str">
        <f>IF(OR(COUNTA(J539:K543,M539:N543)&gt;0,L539="X",L539="x",L540="X",L540="x",L541="X",L541="x",L542="X",L542="x",L543="X",L543="x",OR(L538="X",L538="x")),IF(OR(OR(L538="X",L538="x"),AND(J538=N538,K538=M538)),0,IF(OR(J538&gt;N538,AND(J538=N538,K538&gt;M538)),1,0)),0)+IF(OR(COUNTA(J547:K551,M547:N551)&gt;0,L547="X",L547="x",L548="X",L548="x",L549="X",L549="x",L550="X",L550="x",L551="X",L551="x",OR(L546="X",L546="x")),IF(OR(OR(L546="X",L546="x"),AND(J546=N546,K546=M546)),0,IF(OR(J546&gt;N546,AND(J546=N546,K546&gt;M546)),1,0)),0)</f>
      </c>
      <c r="K557" s="14" t="str">
        <f>IF(OR(COUNTA(J539:K543,M539:N543)&gt;0,L539="X",L539="x",L540="X",L540="x",L541="X",L541="x",L542="X",L542="x",L543="X",L543="x",OR(L538="X",L538="x")),IF(OR(OR(L538="X",L538="x"),AND(J538=N538,K538=M538)),0,IF(OR(J538&lt;N538,AND(J538=N538,K538&lt;M538)),1,0)),0)+IF(OR(COUNTA(J547:K551,M547:N551)&gt;0,L547="X",L547="x",L548="X",L548="x",L549="X",L549="x",L550="X",L550="x",L551="X",L551="x",OR(L546="X",L546="x")),IF(OR(OR(L546="X",L546="x"),AND(J546=N546,K546=M546)),0,IF(OR(J546&lt;N546,AND(J546=N546,K546&lt;M546)),1,0)),0)</f>
      </c>
      <c r="L557" s="14" t="str">
        <f>IF(OR(COUNTA(J539:K543,M539:N543)&gt;0,L539="X",L539="x",L540="X",L540="x",L541="X",L541="x",L542="X",L542="x",L543="X",L543="x",OR(L538="X",L538="x")),IF(OR(OR(L538="X",L538="x"),AND(J538=N538,K538=M538)),1,0),0)+IF(OR(COUNTA(J547:K551,M547:N551)&gt;0,L547="X",L547="x",L548="X",L548="x",L549="X",L549="x",L550="X",L550="x",L551="X",L551="x",OR(L546="X",L546="x")),IF(OR(OR(L546="X",L546="x"),AND(J546=N546,K546=M546)),1,0),0)</f>
      </c>
      <c r="O557" s="18" t="str">
        <f>RANK(AC557,$AC$555:$AC$557)+COUNTIF($AC$554:AC556,AC557)</f>
      </c>
      <c r="U557" t="str">
        <f>(B557*1000000000)-(C557*10000000)+(D557*100000)+(B562*1000)-(C562*100)+(D562*10)+(E562*1)-(F562*0.01)</f>
      </c>
      <c r="AC557" t="str">
        <f>(J557*1000000000)-(K557*10000000)+(L557*100000)+(J562*1000)-(K562*100)+(L562*10)+(M562*1)-(N562*0.01)</f>
      </c>
    </row>
    <row r="559">
      <c r="A559" s="13"/>
      <c r="B559" s="13" t="s">
        <v>338</v>
      </c>
      <c r="C559" s="13" t="s">
        <v>339</v>
      </c>
      <c r="D559" s="13" t="s">
        <v>340</v>
      </c>
      <c r="E559" s="13" t="s">
        <v>341</v>
      </c>
      <c r="F559" s="13" t="s">
        <v>342</v>
      </c>
      <c r="I559" s="13"/>
      <c r="J559" s="13" t="s">
        <v>338</v>
      </c>
      <c r="K559" s="13" t="s">
        <v>339</v>
      </c>
      <c r="L559" s="13" t="s">
        <v>340</v>
      </c>
      <c r="M559" s="13" t="s">
        <v>341</v>
      </c>
      <c r="N559" s="13" t="s">
        <v>342</v>
      </c>
    </row>
    <row r="560">
      <c r="A560" s="14" t="str">
        <f>data!$E$40&amp;" "&amp;data!$B$40</f>
      </c>
      <c r="B560" s="14" t="str">
        <f>IF(OR(COUNTA(B531:C535,E531:F535)&gt;0,OR(D530="X",D530="x"),UPPER(D531)="X",UPPER(D532)="X",UPPER(D533)="X",UPPER(D534)="X",UPPER(D535)="X"),F530,0)+IF(OR(COUNTA(B539:C543,E539:F543)&gt;0,OR(D538="X",D538="x"),UPPER(D539)="X",UPPER(D540)="X",UPPER(D541)="X",UPPER(D542)="X",UPPER(D543)="X"),F538,0)</f>
      </c>
      <c r="C560" s="14" t="str">
        <f>IF(OR(COUNTA(B531:C535,E531:F535)&gt;0,OR(D530="X",D530="x"),UPPER(D531)="X",UPPER(D532)="X",UPPER(D533)="X",UPPER(D534)="X",UPPER(D535)="X"),B530,0)+IF(OR(COUNTA(B539:C543,E539:F543)&gt;0,OR(D538="X",D538="x"),UPPER(D539)="X",UPPER(D540)="X",UPPER(D541)="X",UPPER(D542)="X",UPPER(D543)="X"),B538,0)</f>
      </c>
      <c r="D560" s="14" t="str">
        <f>IF(OR(COUNTA(B531:C535,E531:F535)&gt;0,OR(D530="X",D530="x"),UPPER(D531)="X",UPPER(D532)="X",UPPER(D533)="X",UPPER(D534)="X",UPPER(D535)="X"),(IF(OR(D531="X",D531="x",AND(COUNTA(B531,C531,E531,F531)&gt;0,(LEN(SUBSTITUTE(SUBSTITUTE(SUBSTITUTE(B531," ",""),"0",""),"-",""))+LEN(SUBSTITUTE(SUBSTITUTE(SUBSTITUTE(C531," ",""),"0",""),"-","")))=(LEN(SUBSTITUTE(SUBSTITUTE(SUBSTITUTE(E531," ",""),"0",""),"-",""))+LEN(SUBSTITUTE(SUBSTITUTE(SUBSTITUTE(F531," ",""),"0",""),"-",""))))),1,0)+IF(OR(D532="X",D532="x",AND(COUNTA(B532,C532,E532,F532)&gt;0,(LEN(SUBSTITUTE(SUBSTITUTE(SUBSTITUTE(B532," ",""),"0",""),"-",""))+LEN(SUBSTITUTE(SUBSTITUTE(SUBSTITUTE(C532," ",""),"0",""),"-","")))=(LEN(SUBSTITUTE(SUBSTITUTE(SUBSTITUTE(E532," ",""),"0",""),"-",""))+LEN(SUBSTITUTE(SUBSTITUTE(SUBSTITUTE(F532," ",""),"0",""),"-",""))))),1,0)+IF(OR(D533="X",D533="x",AND(COUNTA(B533,C533,E533,F533)&gt;0,(LEN(SUBSTITUTE(SUBSTITUTE(SUBSTITUTE(B533," ",""),"0",""),"-",""))+LEN(SUBSTITUTE(SUBSTITUTE(SUBSTITUTE(C533," ",""),"0",""),"-","")))=(LEN(SUBSTITUTE(SUBSTITUTE(SUBSTITUTE(E533," ",""),"0",""),"-",""))+LEN(SUBSTITUTE(SUBSTITUTE(SUBSTITUTE(F533," ",""),"0",""),"-",""))))),1,0)+IF(OR(D534="X",D534="x",AND(COUNTA(B534,C534,E534,F534)&gt;0,(LEN(SUBSTITUTE(SUBSTITUTE(SUBSTITUTE(B534," ",""),"0",""),"-",""))+LEN(SUBSTITUTE(SUBSTITUTE(SUBSTITUTE(C534," ",""),"0",""),"-","")))=(LEN(SUBSTITUTE(SUBSTITUTE(SUBSTITUTE(E534," ",""),"0",""),"-",""))+LEN(SUBSTITUTE(SUBSTITUTE(SUBSTITUTE(F534," ",""),"0",""),"-",""))))),1,0)+IF(OR(D535="X",D535="x",AND(COUNTA(B535,C535,E535,F535)&gt;0,(LEN(SUBSTITUTE(SUBSTITUTE(SUBSTITUTE(B535," ",""),"0",""),"-",""))+LEN(SUBSTITUTE(SUBSTITUTE(SUBSTITUTE(C535," ",""),"0",""),"-","")))=(LEN(SUBSTITUTE(SUBSTITUTE(SUBSTITUTE(E535," ",""),"0",""),"-",""))+LEN(SUBSTITUTE(SUBSTITUTE(SUBSTITUTE(F535," ",""),"0",""),"-",""))))),1,0)),0)+IF(OR(COUNTA(B539:C543,E539:F543)&gt;0,OR(D538="X",D538="x"),UPPER(D539)="X",UPPER(D540)="X",UPPER(D541)="X",UPPER(D542)="X",UPPER(D543)="X"),(IF(OR(D539="X",D539="x",AND(COUNTA(B539,C539,E539,F539)&gt;0,(LEN(SUBSTITUTE(SUBSTITUTE(SUBSTITUTE(B539," ",""),"0",""),"-",""))+LEN(SUBSTITUTE(SUBSTITUTE(SUBSTITUTE(C539," ",""),"0",""),"-","")))=(LEN(SUBSTITUTE(SUBSTITUTE(SUBSTITUTE(E539," ",""),"0",""),"-",""))+LEN(SUBSTITUTE(SUBSTITUTE(SUBSTITUTE(F539," ",""),"0",""),"-",""))))),1,0)+IF(OR(D540="X",D540="x",AND(COUNTA(B540,C540,E540,F540)&gt;0,(LEN(SUBSTITUTE(SUBSTITUTE(SUBSTITUTE(B540," ",""),"0",""),"-",""))+LEN(SUBSTITUTE(SUBSTITUTE(SUBSTITUTE(C540," ",""),"0",""),"-","")))=(LEN(SUBSTITUTE(SUBSTITUTE(SUBSTITUTE(E540," ",""),"0",""),"-",""))+LEN(SUBSTITUTE(SUBSTITUTE(SUBSTITUTE(F540," ",""),"0",""),"-",""))))),1,0)+IF(OR(D541="X",D541="x",AND(COUNTA(B541,C541,E541,F541)&gt;0,(LEN(SUBSTITUTE(SUBSTITUTE(SUBSTITUTE(B541," ",""),"0",""),"-",""))+LEN(SUBSTITUTE(SUBSTITUTE(SUBSTITUTE(C541," ",""),"0",""),"-","")))=(LEN(SUBSTITUTE(SUBSTITUTE(SUBSTITUTE(E541," ",""),"0",""),"-",""))+LEN(SUBSTITUTE(SUBSTITUTE(SUBSTITUTE(F541," ",""),"0",""),"-",""))))),1,0)+IF(OR(D542="X",D542="x",AND(COUNTA(B542,C542,E542,F542)&gt;0,(LEN(SUBSTITUTE(SUBSTITUTE(SUBSTITUTE(B542," ",""),"0",""),"-",""))+LEN(SUBSTITUTE(SUBSTITUTE(SUBSTITUTE(C542," ",""),"0",""),"-","")))=(LEN(SUBSTITUTE(SUBSTITUTE(SUBSTITUTE(E542," ",""),"0",""),"-",""))+LEN(SUBSTITUTE(SUBSTITUTE(SUBSTITUTE(F542," ",""),"0",""),"-",""))))),1,0)+IF(OR(D543="X",D543="x",AND(COUNTA(B543,C543,E543,F543)&gt;0,(LEN(SUBSTITUTE(SUBSTITUTE(SUBSTITUTE(B543," ",""),"0",""),"-",""))+LEN(SUBSTITUTE(SUBSTITUTE(SUBSTITUTE(C543," ",""),"0",""),"-","")))=(LEN(SUBSTITUTE(SUBSTITUTE(SUBSTITUTE(E543," ",""),"0",""),"-",""))+LEN(SUBSTITUTE(SUBSTITUTE(SUBSTITUTE(F543," ",""),"0",""),"-",""))))),1,0)),0)</f>
      </c>
      <c r="E560" s="14" t="str">
        <f>E530+E538</f>
      </c>
      <c r="F560" s="14" t="str">
        <f>C530+C538</f>
      </c>
      <c r="I560" s="14" t="str">
        <f>data!$E$85&amp;" "&amp;data!$B$85</f>
      </c>
      <c r="J560" s="14" t="str">
        <f>IF(OR(COUNTA(J531:K535,M531:N535)&gt;0,OR(L530="X",L530="x"),UPPER(L531)="X",UPPER(L532)="X",UPPER(L533)="X",UPPER(L534)="X",UPPER(L535)="X"),N530,0)+IF(OR(COUNTA(J539:K543,M539:N543)&gt;0,OR(L538="X",L538="x"),UPPER(L539)="X",UPPER(L540)="X",UPPER(L541)="X",UPPER(L542)="X",UPPER(L543)="X"),N538,0)</f>
      </c>
      <c r="K560" s="14" t="str">
        <f>IF(OR(COUNTA(J531:K535,M531:N535)&gt;0,OR(L530="X",L530="x"),UPPER(L531)="X",UPPER(L532)="X",UPPER(L533)="X",UPPER(L534)="X",UPPER(L535)="X"),J530,0)+IF(OR(COUNTA(J539:K543,M539:N543)&gt;0,OR(L538="X",L538="x"),UPPER(L539)="X",UPPER(L540)="X",UPPER(L541)="X",UPPER(L542)="X",UPPER(L543)="X"),J538,0)</f>
      </c>
      <c r="L560" s="14" t="str">
        <f>IF(OR(COUNTA(J531:K535,M531:N535)&gt;0,OR(L530="X",L530="x"),UPPER(L531)="X",UPPER(L532)="X",UPPER(L533)="X",UPPER(L534)="X",UPPER(L535)="X"),(IF(OR(L531="X",L531="x",AND(COUNTA(J531,K531,M531,N531)&gt;0,(LEN(SUBSTITUTE(SUBSTITUTE(SUBSTITUTE(J531," ",""),"0",""),"-",""))+LEN(SUBSTITUTE(SUBSTITUTE(SUBSTITUTE(K531," ",""),"0",""),"-","")))=(LEN(SUBSTITUTE(SUBSTITUTE(SUBSTITUTE(M531," ",""),"0",""),"-",""))+LEN(SUBSTITUTE(SUBSTITUTE(SUBSTITUTE(N531," ",""),"0",""),"-",""))))),1,0)+IF(OR(L532="X",L532="x",AND(COUNTA(J532,K532,M532,N532)&gt;0,(LEN(SUBSTITUTE(SUBSTITUTE(SUBSTITUTE(J532," ",""),"0",""),"-",""))+LEN(SUBSTITUTE(SUBSTITUTE(SUBSTITUTE(K532," ",""),"0",""),"-","")))=(LEN(SUBSTITUTE(SUBSTITUTE(SUBSTITUTE(M532," ",""),"0",""),"-",""))+LEN(SUBSTITUTE(SUBSTITUTE(SUBSTITUTE(N532," ",""),"0",""),"-",""))))),1,0)+IF(OR(L533="X",L533="x",AND(COUNTA(J533,K533,M533,N533)&gt;0,(LEN(SUBSTITUTE(SUBSTITUTE(SUBSTITUTE(J533," ",""),"0",""),"-",""))+LEN(SUBSTITUTE(SUBSTITUTE(SUBSTITUTE(K533," ",""),"0",""),"-","")))=(LEN(SUBSTITUTE(SUBSTITUTE(SUBSTITUTE(M533," ",""),"0",""),"-",""))+LEN(SUBSTITUTE(SUBSTITUTE(SUBSTITUTE(N533," ",""),"0",""),"-",""))))),1,0)+IF(OR(L534="X",L534="x",AND(COUNTA(J534,K534,M534,N534)&gt;0,(LEN(SUBSTITUTE(SUBSTITUTE(SUBSTITUTE(J534," ",""),"0",""),"-",""))+LEN(SUBSTITUTE(SUBSTITUTE(SUBSTITUTE(K534," ",""),"0",""),"-","")))=(LEN(SUBSTITUTE(SUBSTITUTE(SUBSTITUTE(M534," ",""),"0",""),"-",""))+LEN(SUBSTITUTE(SUBSTITUTE(SUBSTITUTE(N534," ",""),"0",""),"-",""))))),1,0)+IF(OR(L535="X",L535="x",AND(COUNTA(J535,K535,M535,N535)&gt;0,(LEN(SUBSTITUTE(SUBSTITUTE(SUBSTITUTE(J535," ",""),"0",""),"-",""))+LEN(SUBSTITUTE(SUBSTITUTE(SUBSTITUTE(K535," ",""),"0",""),"-","")))=(LEN(SUBSTITUTE(SUBSTITUTE(SUBSTITUTE(M535," ",""),"0",""),"-",""))+LEN(SUBSTITUTE(SUBSTITUTE(SUBSTITUTE(N535," ",""),"0",""),"-",""))))),1,0)),0)+IF(OR(COUNTA(J539:K543,M539:N543)&gt;0,OR(L538="X",L538="x"),UPPER(L539)="X",UPPER(L540)="X",UPPER(L541)="X",UPPER(L542)="X",UPPER(L543)="X"),(IF(OR(L539="X",L539="x",AND(COUNTA(J539,K539,M539,N539)&gt;0,(LEN(SUBSTITUTE(SUBSTITUTE(SUBSTITUTE(J539," ",""),"0",""),"-",""))+LEN(SUBSTITUTE(SUBSTITUTE(SUBSTITUTE(K539," ",""),"0",""),"-","")))=(LEN(SUBSTITUTE(SUBSTITUTE(SUBSTITUTE(M539," ",""),"0",""),"-",""))+LEN(SUBSTITUTE(SUBSTITUTE(SUBSTITUTE(N539," ",""),"0",""),"-",""))))),1,0)+IF(OR(L540="X",L540="x",AND(COUNTA(J540,K540,M540,N540)&gt;0,(LEN(SUBSTITUTE(SUBSTITUTE(SUBSTITUTE(J540," ",""),"0",""),"-",""))+LEN(SUBSTITUTE(SUBSTITUTE(SUBSTITUTE(K540," ",""),"0",""),"-","")))=(LEN(SUBSTITUTE(SUBSTITUTE(SUBSTITUTE(M540," ",""),"0",""),"-",""))+LEN(SUBSTITUTE(SUBSTITUTE(SUBSTITUTE(N540," ",""),"0",""),"-",""))))),1,0)+IF(OR(L541="X",L541="x",AND(COUNTA(J541,K541,M541,N541)&gt;0,(LEN(SUBSTITUTE(SUBSTITUTE(SUBSTITUTE(J541," ",""),"0",""),"-",""))+LEN(SUBSTITUTE(SUBSTITUTE(SUBSTITUTE(K541," ",""),"0",""),"-","")))=(LEN(SUBSTITUTE(SUBSTITUTE(SUBSTITUTE(M541," ",""),"0",""),"-",""))+LEN(SUBSTITUTE(SUBSTITUTE(SUBSTITUTE(N541," ",""),"0",""),"-",""))))),1,0)+IF(OR(L542="X",L542="x",AND(COUNTA(J542,K542,M542,N542)&gt;0,(LEN(SUBSTITUTE(SUBSTITUTE(SUBSTITUTE(J542," ",""),"0",""),"-",""))+LEN(SUBSTITUTE(SUBSTITUTE(SUBSTITUTE(K542," ",""),"0",""),"-","")))=(LEN(SUBSTITUTE(SUBSTITUTE(SUBSTITUTE(M542," ",""),"0",""),"-",""))+LEN(SUBSTITUTE(SUBSTITUTE(SUBSTITUTE(N542," ",""),"0",""),"-",""))))),1,0)+IF(OR(L543="X",L543="x",AND(COUNTA(J543,K543,M543,N543)&gt;0,(LEN(SUBSTITUTE(SUBSTITUTE(SUBSTITUTE(J543," ",""),"0",""),"-",""))+LEN(SUBSTITUTE(SUBSTITUTE(SUBSTITUTE(K543," ",""),"0",""),"-","")))=(LEN(SUBSTITUTE(SUBSTITUTE(SUBSTITUTE(M543," ",""),"0",""),"-",""))+LEN(SUBSTITUTE(SUBSTITUTE(SUBSTITUTE(N543," ",""),"0",""),"-",""))))),1,0)),0)</f>
      </c>
      <c r="M560" s="14" t="str">
        <f>M530+M538</f>
      </c>
      <c r="N560" s="14" t="str">
        <f>K530+K538</f>
      </c>
    </row>
    <row r="561">
      <c r="A561" s="14" t="str">
        <f>data!$E$41&amp;" "&amp;data!$B$41</f>
      </c>
      <c r="B561" s="14" t="str">
        <f>IF(OR(COUNTA(B531:C535,E531:F535)&gt;0,OR(D530="X",D530="x"),UPPER(D531)="X",UPPER(D532)="X",UPPER(D533)="X",UPPER(D534)="X",UPPER(D535)="X"),B530,0)+IF(OR(COUNTA(B547:C551,E547:F551)&gt;0,OR(D546="X",D546="x"),UPPER(D547)="X",UPPER(D548)="X",UPPER(D549)="X",UPPER(D550)="X",UPPER(D551)="X"),F546,0)</f>
      </c>
      <c r="C561" s="14" t="str">
        <f>IF(OR(COUNTA(B531:C535,E531:F535)&gt;0,OR(D530="X",D530="x"),UPPER(D531)="X",UPPER(D532)="X",UPPER(D533)="X",UPPER(D534)="X",UPPER(D535)="X"),F530,0)+IF(OR(COUNTA(B547:C551,E547:F551)&gt;0,OR(D546="X",D546="x"),UPPER(D547)="X",UPPER(D548)="X",UPPER(D549)="X",UPPER(D550)="X",UPPER(D551)="X"),B546,0)</f>
      </c>
      <c r="D561" s="14" t="str">
        <f>IF(OR(COUNTA(B531:C535,E531:F535)&gt;0,OR(D530="X",D530="x"),UPPER(D531)="X",UPPER(D532)="X",UPPER(D533)="X",UPPER(D534)="X",UPPER(D535)="X"),(IF(OR(D531="X",D531="x",AND(COUNTA(B531,C531,E531,F531)&gt;0,(LEN(SUBSTITUTE(SUBSTITUTE(SUBSTITUTE(B531," ",""),"0",""),"-",""))+LEN(SUBSTITUTE(SUBSTITUTE(SUBSTITUTE(C531," ",""),"0",""),"-","")))=(LEN(SUBSTITUTE(SUBSTITUTE(SUBSTITUTE(E531," ",""),"0",""),"-",""))+LEN(SUBSTITUTE(SUBSTITUTE(SUBSTITUTE(F531," ",""),"0",""),"-",""))))),1,0)+IF(OR(D532="X",D532="x",AND(COUNTA(B532,C532,E532,F532)&gt;0,(LEN(SUBSTITUTE(SUBSTITUTE(SUBSTITUTE(B532," ",""),"0",""),"-",""))+LEN(SUBSTITUTE(SUBSTITUTE(SUBSTITUTE(C532," ",""),"0",""),"-","")))=(LEN(SUBSTITUTE(SUBSTITUTE(SUBSTITUTE(E532," ",""),"0",""),"-",""))+LEN(SUBSTITUTE(SUBSTITUTE(SUBSTITUTE(F532," ",""),"0",""),"-",""))))),1,0)+IF(OR(D533="X",D533="x",AND(COUNTA(B533,C533,E533,F533)&gt;0,(LEN(SUBSTITUTE(SUBSTITUTE(SUBSTITUTE(B533," ",""),"0",""),"-",""))+LEN(SUBSTITUTE(SUBSTITUTE(SUBSTITUTE(C533," ",""),"0",""),"-","")))=(LEN(SUBSTITUTE(SUBSTITUTE(SUBSTITUTE(E533," ",""),"0",""),"-",""))+LEN(SUBSTITUTE(SUBSTITUTE(SUBSTITUTE(F533," ",""),"0",""),"-",""))))),1,0)+IF(OR(D534="X",D534="x",AND(COUNTA(B534,C534,E534,F534)&gt;0,(LEN(SUBSTITUTE(SUBSTITUTE(SUBSTITUTE(B534," ",""),"0",""),"-",""))+LEN(SUBSTITUTE(SUBSTITUTE(SUBSTITUTE(C534," ",""),"0",""),"-","")))=(LEN(SUBSTITUTE(SUBSTITUTE(SUBSTITUTE(E534," ",""),"0",""),"-",""))+LEN(SUBSTITUTE(SUBSTITUTE(SUBSTITUTE(F534," ",""),"0",""),"-",""))))),1,0)+IF(OR(D535="X",D535="x",AND(COUNTA(B535,C535,E535,F535)&gt;0,(LEN(SUBSTITUTE(SUBSTITUTE(SUBSTITUTE(B535," ",""),"0",""),"-",""))+LEN(SUBSTITUTE(SUBSTITUTE(SUBSTITUTE(C535," ",""),"0",""),"-","")))=(LEN(SUBSTITUTE(SUBSTITUTE(SUBSTITUTE(E535," ",""),"0",""),"-",""))+LEN(SUBSTITUTE(SUBSTITUTE(SUBSTITUTE(F535," ",""),"0",""),"-",""))))),1,0)),0)+IF(OR(COUNTA(B547:C551,E547:F551)&gt;0,OR(D546="X",D546="x"),UPPER(D547)="X",UPPER(D548)="X",UPPER(D549)="X",UPPER(D550)="X",UPPER(D551)="X"),(IF(OR(D547="X",D547="x",AND(COUNTA(B547,C547,E547,F547)&gt;0,(LEN(SUBSTITUTE(SUBSTITUTE(SUBSTITUTE(B547," ",""),"0",""),"-",""))+LEN(SUBSTITUTE(SUBSTITUTE(SUBSTITUTE(C547," ",""),"0",""),"-","")))=(LEN(SUBSTITUTE(SUBSTITUTE(SUBSTITUTE(E547," ",""),"0",""),"-",""))+LEN(SUBSTITUTE(SUBSTITUTE(SUBSTITUTE(F547," ",""),"0",""),"-",""))))),1,0)+IF(OR(D548="X",D548="x",AND(COUNTA(B548,C548,E548,F548)&gt;0,(LEN(SUBSTITUTE(SUBSTITUTE(SUBSTITUTE(B548," ",""),"0",""),"-",""))+LEN(SUBSTITUTE(SUBSTITUTE(SUBSTITUTE(C548," ",""),"0",""),"-","")))=(LEN(SUBSTITUTE(SUBSTITUTE(SUBSTITUTE(E548," ",""),"0",""),"-",""))+LEN(SUBSTITUTE(SUBSTITUTE(SUBSTITUTE(F548," ",""),"0",""),"-",""))))),1,0)+IF(OR(D549="X",D549="x",AND(COUNTA(B549,C549,E549,F549)&gt;0,(LEN(SUBSTITUTE(SUBSTITUTE(SUBSTITUTE(B549," ",""),"0",""),"-",""))+LEN(SUBSTITUTE(SUBSTITUTE(SUBSTITUTE(C549," ",""),"0",""),"-","")))=(LEN(SUBSTITUTE(SUBSTITUTE(SUBSTITUTE(E549," ",""),"0",""),"-",""))+LEN(SUBSTITUTE(SUBSTITUTE(SUBSTITUTE(F549," ",""),"0",""),"-",""))))),1,0)+IF(OR(D550="X",D550="x",AND(COUNTA(B550,C550,E550,F550)&gt;0,(LEN(SUBSTITUTE(SUBSTITUTE(SUBSTITUTE(B550," ",""),"0",""),"-",""))+LEN(SUBSTITUTE(SUBSTITUTE(SUBSTITUTE(C550," ",""),"0",""),"-","")))=(LEN(SUBSTITUTE(SUBSTITUTE(SUBSTITUTE(E550," ",""),"0",""),"-",""))+LEN(SUBSTITUTE(SUBSTITUTE(SUBSTITUTE(F550," ",""),"0",""),"-",""))))),1,0)+IF(OR(D551="X",D551="x",AND(COUNTA(B551,C551,E551,F551)&gt;0,(LEN(SUBSTITUTE(SUBSTITUTE(SUBSTITUTE(B551," ",""),"0",""),"-",""))+LEN(SUBSTITUTE(SUBSTITUTE(SUBSTITUTE(C551," ",""),"0",""),"-","")))=(LEN(SUBSTITUTE(SUBSTITUTE(SUBSTITUTE(E551," ",""),"0",""),"-",""))+LEN(SUBSTITUTE(SUBSTITUTE(SUBSTITUTE(F551," ",""),"0",""),"-",""))))),1,0)),0)</f>
      </c>
      <c r="E561" s="14" t="str">
        <f>C530+E546</f>
      </c>
      <c r="F561" s="14" t="str">
        <f>E530+C546</f>
      </c>
      <c r="I561" s="14" t="str">
        <f>data!$E$86&amp;" "&amp;data!$B$86</f>
      </c>
      <c r="J561" s="14" t="str">
        <f>IF(OR(COUNTA(J531:K535,M531:N535)&gt;0,OR(L530="X",L530="x"),UPPER(L531)="X",UPPER(L532)="X",UPPER(L533)="X",UPPER(L534)="X",UPPER(L535)="X"),J530,0)+IF(OR(COUNTA(J547:K551,M547:N551)&gt;0,OR(L546="X",L546="x"),UPPER(L547)="X",UPPER(L548)="X",UPPER(L549)="X",UPPER(L550)="X",UPPER(L551)="X"),N546,0)</f>
      </c>
      <c r="K561" s="14" t="str">
        <f>IF(OR(COUNTA(J531:K535,M531:N535)&gt;0,OR(L530="X",L530="x"),UPPER(L531)="X",UPPER(L532)="X",UPPER(L533)="X",UPPER(L534)="X",UPPER(L535)="X"),N530,0)+IF(OR(COUNTA(J547:K551,M547:N551)&gt;0,OR(L546="X",L546="x"),UPPER(L547)="X",UPPER(L548)="X",UPPER(L549)="X",UPPER(L550)="X",UPPER(L551)="X"),J546,0)</f>
      </c>
      <c r="L561" s="14" t="str">
        <f>IF(OR(COUNTA(J531:K535,M531:N535)&gt;0,OR(L530="X",L530="x"),UPPER(L531)="X",UPPER(L532)="X",UPPER(L533)="X",UPPER(L534)="X",UPPER(L535)="X"),(IF(OR(L531="X",L531="x",AND(COUNTA(J531,K531,M531,N531)&gt;0,(LEN(SUBSTITUTE(SUBSTITUTE(SUBSTITUTE(J531," ",""),"0",""),"-",""))+LEN(SUBSTITUTE(SUBSTITUTE(SUBSTITUTE(K531," ",""),"0",""),"-","")))=(LEN(SUBSTITUTE(SUBSTITUTE(SUBSTITUTE(M531," ",""),"0",""),"-",""))+LEN(SUBSTITUTE(SUBSTITUTE(SUBSTITUTE(N531," ",""),"0",""),"-",""))))),1,0)+IF(OR(L532="X",L532="x",AND(COUNTA(J532,K532,M532,N532)&gt;0,(LEN(SUBSTITUTE(SUBSTITUTE(SUBSTITUTE(J532," ",""),"0",""),"-",""))+LEN(SUBSTITUTE(SUBSTITUTE(SUBSTITUTE(K532," ",""),"0",""),"-","")))=(LEN(SUBSTITUTE(SUBSTITUTE(SUBSTITUTE(M532," ",""),"0",""),"-",""))+LEN(SUBSTITUTE(SUBSTITUTE(SUBSTITUTE(N532," ",""),"0",""),"-",""))))),1,0)+IF(OR(L533="X",L533="x",AND(COUNTA(J533,K533,M533,N533)&gt;0,(LEN(SUBSTITUTE(SUBSTITUTE(SUBSTITUTE(J533," ",""),"0",""),"-",""))+LEN(SUBSTITUTE(SUBSTITUTE(SUBSTITUTE(K533," ",""),"0",""),"-","")))=(LEN(SUBSTITUTE(SUBSTITUTE(SUBSTITUTE(M533," ",""),"0",""),"-",""))+LEN(SUBSTITUTE(SUBSTITUTE(SUBSTITUTE(N533," ",""),"0",""),"-",""))))),1,0)+IF(OR(L534="X",L534="x",AND(COUNTA(J534,K534,M534,N534)&gt;0,(LEN(SUBSTITUTE(SUBSTITUTE(SUBSTITUTE(J534," ",""),"0",""),"-",""))+LEN(SUBSTITUTE(SUBSTITUTE(SUBSTITUTE(K534," ",""),"0",""),"-","")))=(LEN(SUBSTITUTE(SUBSTITUTE(SUBSTITUTE(M534," ",""),"0",""),"-",""))+LEN(SUBSTITUTE(SUBSTITUTE(SUBSTITUTE(N534," ",""),"0",""),"-",""))))),1,0)+IF(OR(L535="X",L535="x",AND(COUNTA(J535,K535,M535,N535)&gt;0,(LEN(SUBSTITUTE(SUBSTITUTE(SUBSTITUTE(J535," ",""),"0",""),"-",""))+LEN(SUBSTITUTE(SUBSTITUTE(SUBSTITUTE(K535," ",""),"0",""),"-","")))=(LEN(SUBSTITUTE(SUBSTITUTE(SUBSTITUTE(M535," ",""),"0",""),"-",""))+LEN(SUBSTITUTE(SUBSTITUTE(SUBSTITUTE(N535," ",""),"0",""),"-",""))))),1,0)),0)+IF(OR(COUNTA(J547:K551,M547:N551)&gt;0,OR(L546="X",L546="x"),UPPER(L547)="X",UPPER(L548)="X",UPPER(L549)="X",UPPER(L550)="X",UPPER(L551)="X"),(IF(OR(L547="X",L547="x",AND(COUNTA(J547,K547,M547,N547)&gt;0,(LEN(SUBSTITUTE(SUBSTITUTE(SUBSTITUTE(J547," ",""),"0",""),"-",""))+LEN(SUBSTITUTE(SUBSTITUTE(SUBSTITUTE(K547," ",""),"0",""),"-","")))=(LEN(SUBSTITUTE(SUBSTITUTE(SUBSTITUTE(M547," ",""),"0",""),"-",""))+LEN(SUBSTITUTE(SUBSTITUTE(SUBSTITUTE(N547," ",""),"0",""),"-",""))))),1,0)+IF(OR(L548="X",L548="x",AND(COUNTA(J548,K548,M548,N548)&gt;0,(LEN(SUBSTITUTE(SUBSTITUTE(SUBSTITUTE(J548," ",""),"0",""),"-",""))+LEN(SUBSTITUTE(SUBSTITUTE(SUBSTITUTE(K548," ",""),"0",""),"-","")))=(LEN(SUBSTITUTE(SUBSTITUTE(SUBSTITUTE(M548," ",""),"0",""),"-",""))+LEN(SUBSTITUTE(SUBSTITUTE(SUBSTITUTE(N548," ",""),"0",""),"-",""))))),1,0)+IF(OR(L549="X",L549="x",AND(COUNTA(J549,K549,M549,N549)&gt;0,(LEN(SUBSTITUTE(SUBSTITUTE(SUBSTITUTE(J549," ",""),"0",""),"-",""))+LEN(SUBSTITUTE(SUBSTITUTE(SUBSTITUTE(K549," ",""),"0",""),"-","")))=(LEN(SUBSTITUTE(SUBSTITUTE(SUBSTITUTE(M549," ",""),"0",""),"-",""))+LEN(SUBSTITUTE(SUBSTITUTE(SUBSTITUTE(N549," ",""),"0",""),"-",""))))),1,0)+IF(OR(L550="X",L550="x",AND(COUNTA(J550,K550,M550,N550)&gt;0,(LEN(SUBSTITUTE(SUBSTITUTE(SUBSTITUTE(J550," ",""),"0",""),"-",""))+LEN(SUBSTITUTE(SUBSTITUTE(SUBSTITUTE(K550," ",""),"0",""),"-","")))=(LEN(SUBSTITUTE(SUBSTITUTE(SUBSTITUTE(M550," ",""),"0",""),"-",""))+LEN(SUBSTITUTE(SUBSTITUTE(SUBSTITUTE(N550," ",""),"0",""),"-",""))))),1,0)+IF(OR(L551="X",L551="x",AND(COUNTA(J551,K551,M551,N551)&gt;0,(LEN(SUBSTITUTE(SUBSTITUTE(SUBSTITUTE(J551," ",""),"0",""),"-",""))+LEN(SUBSTITUTE(SUBSTITUTE(SUBSTITUTE(K551," ",""),"0",""),"-","")))=(LEN(SUBSTITUTE(SUBSTITUTE(SUBSTITUTE(M551," ",""),"0",""),"-",""))+LEN(SUBSTITUTE(SUBSTITUTE(SUBSTITUTE(N551," ",""),"0",""),"-",""))))),1,0)),0)</f>
      </c>
      <c r="M561" s="14" t="str">
        <f>K530+M546</f>
      </c>
      <c r="N561" s="14" t="str">
        <f>M530+K546</f>
      </c>
    </row>
    <row r="562">
      <c r="A562" s="14" t="str">
        <f>data!$E$42&amp;" "&amp;data!$B$42</f>
      </c>
      <c r="B562" s="14" t="str">
        <f>IF(OR(COUNTA(B539:C543,E539:F543)&gt;0,OR(D538="X",D538="x"),UPPER(D539)="X",UPPER(D540)="X",UPPER(D541)="X",UPPER(D542)="X",UPPER(D543)="X"),B538,0)+IF(OR(COUNTA(B547:C551,E547:F551)&gt;0,OR(D546="X",D546="x"),UPPER(D547)="X",UPPER(D548)="X",UPPER(D549)="X",UPPER(D550)="X",UPPER(D551)="X"),B546,0)</f>
      </c>
      <c r="C562" s="14" t="str">
        <f>IF(OR(COUNTA(B539:C543,E539:F543)&gt;0,OR(D538="X",D538="x"),UPPER(D539)="X",UPPER(D540)="X",UPPER(D541)="X",UPPER(D542)="X",UPPER(D543)="X"),F538,0)+IF(OR(COUNTA(B547:C551,E547:F551)&gt;0,OR(D546="X",D546="x"),UPPER(D547)="X",UPPER(D548)="X",UPPER(D549)="X",UPPER(D550)="X",UPPER(D551)="X"),F546,0)</f>
      </c>
      <c r="D562" s="14" t="str">
        <f>IF(OR(COUNTA(B539:C543,E539:F543)&gt;0,OR(D538="X",D538="x"),UPPER(D539)="X",UPPER(D540)="X",UPPER(D541)="X",UPPER(D542)="X",UPPER(D543)="X"),(IF(OR(D539="X",D539="x",AND(COUNTA(B539,C539,E539,F539)&gt;0,(LEN(SUBSTITUTE(SUBSTITUTE(SUBSTITUTE(B539," ",""),"0",""),"-",""))+LEN(SUBSTITUTE(SUBSTITUTE(SUBSTITUTE(C539," ",""),"0",""),"-","")))=(LEN(SUBSTITUTE(SUBSTITUTE(SUBSTITUTE(E539," ",""),"0",""),"-",""))+LEN(SUBSTITUTE(SUBSTITUTE(SUBSTITUTE(F539," ",""),"0",""),"-",""))))),1,0)+IF(OR(D540="X",D540="x",AND(COUNTA(B540,C540,E540,F540)&gt;0,(LEN(SUBSTITUTE(SUBSTITUTE(SUBSTITUTE(B540," ",""),"0",""),"-",""))+LEN(SUBSTITUTE(SUBSTITUTE(SUBSTITUTE(C540," ",""),"0",""),"-","")))=(LEN(SUBSTITUTE(SUBSTITUTE(SUBSTITUTE(E540," ",""),"0",""),"-",""))+LEN(SUBSTITUTE(SUBSTITUTE(SUBSTITUTE(F540," ",""),"0",""),"-",""))))),1,0)+IF(OR(D541="X",D541="x",AND(COUNTA(B541,C541,E541,F541)&gt;0,(LEN(SUBSTITUTE(SUBSTITUTE(SUBSTITUTE(B541," ",""),"0",""),"-",""))+LEN(SUBSTITUTE(SUBSTITUTE(SUBSTITUTE(C541," ",""),"0",""),"-","")))=(LEN(SUBSTITUTE(SUBSTITUTE(SUBSTITUTE(E541," ",""),"0",""),"-",""))+LEN(SUBSTITUTE(SUBSTITUTE(SUBSTITUTE(F541," ",""),"0",""),"-",""))))),1,0)+IF(OR(D542="X",D542="x",AND(COUNTA(B542,C542,E542,F542)&gt;0,(LEN(SUBSTITUTE(SUBSTITUTE(SUBSTITUTE(B542," ",""),"0",""),"-",""))+LEN(SUBSTITUTE(SUBSTITUTE(SUBSTITUTE(C542," ",""),"0",""),"-","")))=(LEN(SUBSTITUTE(SUBSTITUTE(SUBSTITUTE(E542," ",""),"0",""),"-",""))+LEN(SUBSTITUTE(SUBSTITUTE(SUBSTITUTE(F542," ",""),"0",""),"-",""))))),1,0)+IF(OR(D543="X",D543="x",AND(COUNTA(B543,C543,E543,F543)&gt;0,(LEN(SUBSTITUTE(SUBSTITUTE(SUBSTITUTE(B543," ",""),"0",""),"-",""))+LEN(SUBSTITUTE(SUBSTITUTE(SUBSTITUTE(C543," ",""),"0",""),"-","")))=(LEN(SUBSTITUTE(SUBSTITUTE(SUBSTITUTE(E543," ",""),"0",""),"-",""))+LEN(SUBSTITUTE(SUBSTITUTE(SUBSTITUTE(F543," ",""),"0",""),"-",""))))),1,0)),0)+IF(OR(COUNTA(B547:C551,E547:F551)&gt;0,OR(D546="X",D546="x"),UPPER(D547)="X",UPPER(D548)="X",UPPER(D549)="X",UPPER(D550)="X",UPPER(D551)="X"),(IF(OR(D547="X",D547="x",AND(COUNTA(B547,C547,E547,F547)&gt;0,(LEN(SUBSTITUTE(SUBSTITUTE(SUBSTITUTE(B547," ",""),"0",""),"-",""))+LEN(SUBSTITUTE(SUBSTITUTE(SUBSTITUTE(C547," ",""),"0",""),"-","")))=(LEN(SUBSTITUTE(SUBSTITUTE(SUBSTITUTE(E547," ",""),"0",""),"-",""))+LEN(SUBSTITUTE(SUBSTITUTE(SUBSTITUTE(F547," ",""),"0",""),"-",""))))),1,0)+IF(OR(D548="X",D548="x",AND(COUNTA(B548,C548,E548,F548)&gt;0,(LEN(SUBSTITUTE(SUBSTITUTE(SUBSTITUTE(B548," ",""),"0",""),"-",""))+LEN(SUBSTITUTE(SUBSTITUTE(SUBSTITUTE(C548," ",""),"0",""),"-","")))=(LEN(SUBSTITUTE(SUBSTITUTE(SUBSTITUTE(E548," ",""),"0",""),"-",""))+LEN(SUBSTITUTE(SUBSTITUTE(SUBSTITUTE(F548," ",""),"0",""),"-",""))))),1,0)+IF(OR(D549="X",D549="x",AND(COUNTA(B549,C549,E549,F549)&gt;0,(LEN(SUBSTITUTE(SUBSTITUTE(SUBSTITUTE(B549," ",""),"0",""),"-",""))+LEN(SUBSTITUTE(SUBSTITUTE(SUBSTITUTE(C549," ",""),"0",""),"-","")))=(LEN(SUBSTITUTE(SUBSTITUTE(SUBSTITUTE(E549," ",""),"0",""),"-",""))+LEN(SUBSTITUTE(SUBSTITUTE(SUBSTITUTE(F549," ",""),"0",""),"-",""))))),1,0)+IF(OR(D550="X",D550="x",AND(COUNTA(B550,C550,E550,F550)&gt;0,(LEN(SUBSTITUTE(SUBSTITUTE(SUBSTITUTE(B550," ",""),"0",""),"-",""))+LEN(SUBSTITUTE(SUBSTITUTE(SUBSTITUTE(C550," ",""),"0",""),"-","")))=(LEN(SUBSTITUTE(SUBSTITUTE(SUBSTITUTE(E550," ",""),"0",""),"-",""))+LEN(SUBSTITUTE(SUBSTITUTE(SUBSTITUTE(F550," ",""),"0",""),"-",""))))),1,0)+IF(OR(D551="X",D551="x",AND(COUNTA(B551,C551,E551,F551)&gt;0,(LEN(SUBSTITUTE(SUBSTITUTE(SUBSTITUTE(B551," ",""),"0",""),"-",""))+LEN(SUBSTITUTE(SUBSTITUTE(SUBSTITUTE(C551," ",""),"0",""),"-","")))=(LEN(SUBSTITUTE(SUBSTITUTE(SUBSTITUTE(E551," ",""),"0",""),"-",""))+LEN(SUBSTITUTE(SUBSTITUTE(SUBSTITUTE(F551," ",""),"0",""),"-",""))))),1,0)),0)</f>
      </c>
      <c r="E562" s="14" t="str">
        <f>C538+C546</f>
      </c>
      <c r="F562" s="14" t="str">
        <f>E538+E546</f>
      </c>
      <c r="I562" s="14" t="str">
        <f>data!$E$87&amp;" "&amp;data!$B$87</f>
      </c>
      <c r="J562" s="14" t="str">
        <f>IF(OR(COUNTA(J539:K543,M539:N543)&gt;0,OR(L538="X",L538="x"),UPPER(L539)="X",UPPER(L540)="X",UPPER(L541)="X",UPPER(L542)="X",UPPER(L543)="X"),J538,0)+IF(OR(COUNTA(J547:K551,M547:N551)&gt;0,OR(L546="X",L546="x"),UPPER(L547)="X",UPPER(L548)="X",UPPER(L549)="X",UPPER(L550)="X",UPPER(L551)="X"),J546,0)</f>
      </c>
      <c r="K562" s="14" t="str">
        <f>IF(OR(COUNTA(J539:K543,M539:N543)&gt;0,OR(L538="X",L538="x"),UPPER(L539)="X",UPPER(L540)="X",UPPER(L541)="X",UPPER(L542)="X",UPPER(L543)="X"),N538,0)+IF(OR(COUNTA(J547:K551,M547:N551)&gt;0,OR(L546="X",L546="x"),UPPER(L547)="X",UPPER(L548)="X",UPPER(L549)="X",UPPER(L550)="X",UPPER(L551)="X"),N546,0)</f>
      </c>
      <c r="L562" s="14" t="str">
        <f>IF(OR(COUNTA(J539:K543,M539:N543)&gt;0,OR(L538="X",L538="x"),UPPER(L539)="X",UPPER(L540)="X",UPPER(L541)="X",UPPER(L542)="X",UPPER(L543)="X"),(IF(OR(L539="X",L539="x",AND(COUNTA(J539,K539,M539,N539)&gt;0,(LEN(SUBSTITUTE(SUBSTITUTE(SUBSTITUTE(J539," ",""),"0",""),"-",""))+LEN(SUBSTITUTE(SUBSTITUTE(SUBSTITUTE(K539," ",""),"0",""),"-","")))=(LEN(SUBSTITUTE(SUBSTITUTE(SUBSTITUTE(M539," ",""),"0",""),"-",""))+LEN(SUBSTITUTE(SUBSTITUTE(SUBSTITUTE(N539," ",""),"0",""),"-",""))))),1,0)+IF(OR(L540="X",L540="x",AND(COUNTA(J540,K540,M540,N540)&gt;0,(LEN(SUBSTITUTE(SUBSTITUTE(SUBSTITUTE(J540," ",""),"0",""),"-",""))+LEN(SUBSTITUTE(SUBSTITUTE(SUBSTITUTE(K540," ",""),"0",""),"-","")))=(LEN(SUBSTITUTE(SUBSTITUTE(SUBSTITUTE(M540," ",""),"0",""),"-",""))+LEN(SUBSTITUTE(SUBSTITUTE(SUBSTITUTE(N540," ",""),"0",""),"-",""))))),1,0)+IF(OR(L541="X",L541="x",AND(COUNTA(J541,K541,M541,N541)&gt;0,(LEN(SUBSTITUTE(SUBSTITUTE(SUBSTITUTE(J541," ",""),"0",""),"-",""))+LEN(SUBSTITUTE(SUBSTITUTE(SUBSTITUTE(K541," ",""),"0",""),"-","")))=(LEN(SUBSTITUTE(SUBSTITUTE(SUBSTITUTE(M541," ",""),"0",""),"-",""))+LEN(SUBSTITUTE(SUBSTITUTE(SUBSTITUTE(N541," ",""),"0",""),"-",""))))),1,0)+IF(OR(L542="X",L542="x",AND(COUNTA(J542,K542,M542,N542)&gt;0,(LEN(SUBSTITUTE(SUBSTITUTE(SUBSTITUTE(J542," ",""),"0",""),"-",""))+LEN(SUBSTITUTE(SUBSTITUTE(SUBSTITUTE(K542," ",""),"0",""),"-","")))=(LEN(SUBSTITUTE(SUBSTITUTE(SUBSTITUTE(M542," ",""),"0",""),"-",""))+LEN(SUBSTITUTE(SUBSTITUTE(SUBSTITUTE(N542," ",""),"0",""),"-",""))))),1,0)+IF(OR(L543="X",L543="x",AND(COUNTA(J543,K543,M543,N543)&gt;0,(LEN(SUBSTITUTE(SUBSTITUTE(SUBSTITUTE(J543," ",""),"0",""),"-",""))+LEN(SUBSTITUTE(SUBSTITUTE(SUBSTITUTE(K543," ",""),"0",""),"-","")))=(LEN(SUBSTITUTE(SUBSTITUTE(SUBSTITUTE(M543," ",""),"0",""),"-",""))+LEN(SUBSTITUTE(SUBSTITUTE(SUBSTITUTE(N543," ",""),"0",""),"-",""))))),1,0)),0)+IF(OR(COUNTA(J547:K551,M547:N551)&gt;0,OR(L546="X",L546="x"),UPPER(L547)="X",UPPER(L548)="X",UPPER(L549)="X",UPPER(L550)="X",UPPER(L551)="X"),(IF(OR(L547="X",L547="x",AND(COUNTA(J547,K547,M547,N547)&gt;0,(LEN(SUBSTITUTE(SUBSTITUTE(SUBSTITUTE(J547," ",""),"0",""),"-",""))+LEN(SUBSTITUTE(SUBSTITUTE(SUBSTITUTE(K547," ",""),"0",""),"-","")))=(LEN(SUBSTITUTE(SUBSTITUTE(SUBSTITUTE(M547," ",""),"0",""),"-",""))+LEN(SUBSTITUTE(SUBSTITUTE(SUBSTITUTE(N547," ",""),"0",""),"-",""))))),1,0)+IF(OR(L548="X",L548="x",AND(COUNTA(J548,K548,M548,N548)&gt;0,(LEN(SUBSTITUTE(SUBSTITUTE(SUBSTITUTE(J548," ",""),"0",""),"-",""))+LEN(SUBSTITUTE(SUBSTITUTE(SUBSTITUTE(K548," ",""),"0",""),"-","")))=(LEN(SUBSTITUTE(SUBSTITUTE(SUBSTITUTE(M548," ",""),"0",""),"-",""))+LEN(SUBSTITUTE(SUBSTITUTE(SUBSTITUTE(N548," ",""),"0",""),"-",""))))),1,0)+IF(OR(L549="X",L549="x",AND(COUNTA(J549,K549,M549,N549)&gt;0,(LEN(SUBSTITUTE(SUBSTITUTE(SUBSTITUTE(J549," ",""),"0",""),"-",""))+LEN(SUBSTITUTE(SUBSTITUTE(SUBSTITUTE(K549," ",""),"0",""),"-","")))=(LEN(SUBSTITUTE(SUBSTITUTE(SUBSTITUTE(M549," ",""),"0",""),"-",""))+LEN(SUBSTITUTE(SUBSTITUTE(SUBSTITUTE(N549," ",""),"0",""),"-",""))))),1,0)+IF(OR(L550="X",L550="x",AND(COUNTA(J550,K550,M550,N550)&gt;0,(LEN(SUBSTITUTE(SUBSTITUTE(SUBSTITUTE(J550," ",""),"0",""),"-",""))+LEN(SUBSTITUTE(SUBSTITUTE(SUBSTITUTE(K550," ",""),"0",""),"-","")))=(LEN(SUBSTITUTE(SUBSTITUTE(SUBSTITUTE(M550," ",""),"0",""),"-",""))+LEN(SUBSTITUTE(SUBSTITUTE(SUBSTITUTE(N550," ",""),"0",""),"-",""))))),1,0)+IF(OR(L551="X",L551="x",AND(COUNTA(J551,K551,M551,N551)&gt;0,(LEN(SUBSTITUTE(SUBSTITUTE(SUBSTITUTE(J551," ",""),"0",""),"-",""))+LEN(SUBSTITUTE(SUBSTITUTE(SUBSTITUTE(K551," ",""),"0",""),"-","")))=(LEN(SUBSTITUTE(SUBSTITUTE(SUBSTITUTE(M551," ",""),"0",""),"-",""))+LEN(SUBSTITUTE(SUBSTITUTE(SUBSTITUTE(N551," ",""),"0",""),"-",""))))),1,0)),0)</f>
      </c>
      <c r="M562" s="14" t="str">
        <f>K538+K546</f>
      </c>
      <c r="N562" s="14" t="str">
        <f>M538+M546</f>
      </c>
    </row>
    <row r="565">
      <c r="F565" s="13"/>
      <c r="G565" s="13" t="s">
        <v>343</v>
      </c>
      <c r="N565" s="13"/>
      <c r="O565" s="13" t="s">
        <v>343</v>
      </c>
    </row>
    <row r="566">
      <c r="F566" t="s">
        <v>344</v>
      </c>
      <c r="G566" s="19" t="str">
        <f>IFERROR(INDEX($A$555:$A$562, MATCH(1, $G$555:$G$562, 0)), "-")</f>
      </c>
      <c r="N566" t="s">
        <v>344</v>
      </c>
      <c r="O566" s="19" t="str">
        <f>IFERROR(INDEX($I$555:$I$562, MATCH(1, $O$555:$O$562, 0)), "-")</f>
      </c>
    </row>
    <row r="567">
      <c r="F567" t="s">
        <v>345</v>
      </c>
      <c r="G567" s="19" t="str">
        <f>IFERROR(INDEX($A$555:$A$562, MATCH(2, $G$555:$G$562, 0)), "-")</f>
      </c>
      <c r="N567" t="s">
        <v>345</v>
      </c>
      <c r="O567" s="19" t="str">
        <f>IFERROR(INDEX($I$555:$I$562, MATCH(2, $O$555:$O$562, 0)), "-")</f>
      </c>
    </row>
    <row r="568">
      <c r="F568" t="s">
        <v>346</v>
      </c>
      <c r="G568" s="19" t="str">
        <f>IFERROR(INDEX($A$555:$A$562, MATCH(3, $G$555:$G$562, 0)), "-")</f>
      </c>
      <c r="N568" t="s">
        <v>346</v>
      </c>
      <c r="O568" s="19" t="str">
        <f>IFERROR(INDEX($I$555:$I$562, MATCH(3, $O$555:$O$562, 0)), "-")</f>
      </c>
    </row>
    <row r="571">
      <c r="A571" s="13" t="str">
        <f>'data'!$A$45</f>
      </c>
      <c r="B571" s="13"/>
      <c r="C571" s="13"/>
      <c r="D571" s="13"/>
      <c r="E571" s="13"/>
      <c r="F571" s="13"/>
      <c r="G571" s="13"/>
      <c r="I571" s="13" t="str">
        <f>'data'!$A$90</f>
      </c>
      <c r="J571" s="13"/>
      <c r="K571" s="13"/>
      <c r="L571" s="13"/>
      <c r="M571" s="13"/>
      <c r="N571" s="13"/>
      <c r="O571" s="13"/>
    </row>
    <row r="572">
      <c r="A572" s="17" t="s">
        <v>330</v>
      </c>
      <c r="B572" s="14"/>
      <c r="C572" s="14"/>
      <c r="D572" s="14" t="s">
        <v>331</v>
      </c>
      <c r="E572" s="14"/>
      <c r="F572" s="14"/>
      <c r="G572" s="16" t="s">
        <v>332</v>
      </c>
      <c r="I572" s="17" t="s">
        <v>330</v>
      </c>
      <c r="J572" s="14"/>
      <c r="K572" s="14"/>
      <c r="L572" s="14" t="s">
        <v>331</v>
      </c>
      <c r="M572" s="14"/>
      <c r="N572" s="14"/>
      <c r="O572" s="16" t="s">
        <v>332</v>
      </c>
    </row>
    <row r="573">
      <c r="A573" s="14" t="str">
        <f>data!$E$44&amp;" "&amp;data!$B$44</f>
      </c>
      <c r="B573" s="14" t="str">
        <f>IF(UPPER(D574)="X",0,IF((LEN(SUBSTITUTE(SUBSTITUTE(SUBSTITUTE(B574," ",""),"0",""),"-",""))+LEN(SUBSTITUTE(SUBSTITUTE(SUBSTITUTE(C574," ",""),"0",""),"-","")))&gt;(LEN(SUBSTITUTE(SUBSTITUTE(SUBSTITUTE(E574," ",""),"0",""),"-",""))+LEN(SUBSTITUTE(SUBSTITUTE(SUBSTITUTE(F574," ",""),"0",""),"-",""))),1,0))+IF(UPPER(D575)="X",0,IF((LEN(SUBSTITUTE(SUBSTITUTE(SUBSTITUTE(B575," ",""),"0",""),"-",""))+LEN(SUBSTITUTE(SUBSTITUTE(SUBSTITUTE(C575," ",""),"0",""),"-","")))&gt;(LEN(SUBSTITUTE(SUBSTITUTE(SUBSTITUTE(E575," ",""),"0",""),"-",""))+LEN(SUBSTITUTE(SUBSTITUTE(SUBSTITUTE(F575," ",""),"0",""),"-",""))),1,0))+IF(UPPER(D576)="X",0,IF((LEN(SUBSTITUTE(SUBSTITUTE(SUBSTITUTE(B576," ",""),"0",""),"-",""))+LEN(SUBSTITUTE(SUBSTITUTE(SUBSTITUTE(C576," ",""),"0",""),"-","")))&gt;(LEN(SUBSTITUTE(SUBSTITUTE(SUBSTITUTE(E576," ",""),"0",""),"-",""))+LEN(SUBSTITUTE(SUBSTITUTE(SUBSTITUTE(F576," ",""),"0",""),"-",""))),1,0))+IF(UPPER(D577)="X",0,IF((LEN(SUBSTITUTE(SUBSTITUTE(SUBSTITUTE(B577," ",""),"0",""),"-",""))+LEN(SUBSTITUTE(SUBSTITUTE(SUBSTITUTE(C577," ",""),"0",""),"-","")))&gt;(LEN(SUBSTITUTE(SUBSTITUTE(SUBSTITUTE(E577," ",""),"0",""),"-",""))+LEN(SUBSTITUTE(SUBSTITUTE(SUBSTITUTE(F577," ",""),"0",""),"-",""))),1,0))+IF(UPPER(D578)="X",0,IF((LEN(SUBSTITUTE(SUBSTITUTE(SUBSTITUTE(B578," ",""),"0",""),"-",""))+LEN(SUBSTITUTE(SUBSTITUTE(SUBSTITUTE(C578," ",""),"0",""),"-","")))&gt;(LEN(SUBSTITUTE(SUBSTITUTE(SUBSTITUTE(E578," ",""),"0",""),"-",""))+LEN(SUBSTITUTE(SUBSTITUTE(SUBSTITUTE(F578," ",""),"0",""),"-",""))),1,0))</f>
      </c>
      <c r="C573" s="14" t="str">
        <f>LEN(SUBSTITUTE(SUBSTITUTE(SUBSTITUTE(B574," ",""),"0",""),"-",""))+LEN(SUBSTITUTE(SUBSTITUTE(SUBSTITUTE(C574," ",""),"0",""),"-",""))+LEN(SUBSTITUTE(SUBSTITUTE(SUBSTITUTE(B575," ",""),"0",""),"-",""))+LEN(SUBSTITUTE(SUBSTITUTE(SUBSTITUTE(C575," ",""),"0",""),"-",""))+LEN(SUBSTITUTE(SUBSTITUTE(SUBSTITUTE(B576," ",""),"0",""),"-",""))+LEN(SUBSTITUTE(SUBSTITUTE(SUBSTITUTE(C576," ",""),"0",""),"-",""))+LEN(SUBSTITUTE(SUBSTITUTE(SUBSTITUTE(B577," ",""),"0",""),"-",""))+LEN(SUBSTITUTE(SUBSTITUTE(SUBSTITUTE(C577," ",""),"0",""),"-",""))+LEN(SUBSTITUTE(SUBSTITUTE(SUBSTITUTE(B578," ",""),"0",""),"-",""))+LEN(SUBSTITUTE(SUBSTITUTE(SUBSTITUTE(C578," ",""),"0",""),"-",""))</f>
      </c>
      <c r="D573" s="18"/>
      <c r="E573" s="14" t="str">
        <f>LEN(SUBSTITUTE(SUBSTITUTE(SUBSTITUTE(E574," ",""),"0",""),"-",""))+LEN(SUBSTITUTE(SUBSTITUTE(SUBSTITUTE(F574," ",""),"0",""),"-",""))+LEN(SUBSTITUTE(SUBSTITUTE(SUBSTITUTE(E575," ",""),"0",""),"-",""))+LEN(SUBSTITUTE(SUBSTITUTE(SUBSTITUTE(F575," ",""),"0",""),"-",""))+LEN(SUBSTITUTE(SUBSTITUTE(SUBSTITUTE(E576," ",""),"0",""),"-",""))+LEN(SUBSTITUTE(SUBSTITUTE(SUBSTITUTE(F576," ",""),"0",""),"-",""))+LEN(SUBSTITUTE(SUBSTITUTE(SUBSTITUTE(E577," ",""),"0",""),"-",""))+LEN(SUBSTITUTE(SUBSTITUTE(SUBSTITUTE(F577," ",""),"0",""),"-",""))+LEN(SUBSTITUTE(SUBSTITUTE(SUBSTITUTE(E578," ",""),"0",""),"-",""))+LEN(SUBSTITUTE(SUBSTITUTE(SUBSTITUTE(F578," ",""),"0",""),"-",""))</f>
      </c>
      <c r="F573" s="14" t="str">
        <f>IF(UPPER(D574)="X",0,IF((LEN(SUBSTITUTE(SUBSTITUTE(SUBSTITUTE(E574," ",""),"0",""),"-",""))+LEN(SUBSTITUTE(SUBSTITUTE(SUBSTITUTE(F574," ",""),"0",""),"-","")))&gt;(LEN(SUBSTITUTE(SUBSTITUTE(SUBSTITUTE(B574," ",""),"0",""),"-",""))+LEN(SUBSTITUTE(SUBSTITUTE(SUBSTITUTE(C574," ",""),"0",""),"-",""))),1,0))+IF(UPPER(D575)="X",0,IF((LEN(SUBSTITUTE(SUBSTITUTE(SUBSTITUTE(E575," ",""),"0",""),"-",""))+LEN(SUBSTITUTE(SUBSTITUTE(SUBSTITUTE(F575," ",""),"0",""),"-","")))&gt;(LEN(SUBSTITUTE(SUBSTITUTE(SUBSTITUTE(B575," ",""),"0",""),"-",""))+LEN(SUBSTITUTE(SUBSTITUTE(SUBSTITUTE(C575," ",""),"0",""),"-",""))),1,0))+IF(UPPER(D576)="X",0,IF((LEN(SUBSTITUTE(SUBSTITUTE(SUBSTITUTE(E576," ",""),"0",""),"-",""))+LEN(SUBSTITUTE(SUBSTITUTE(SUBSTITUTE(F576," ",""),"0",""),"-","")))&gt;(LEN(SUBSTITUTE(SUBSTITUTE(SUBSTITUTE(B576," ",""),"0",""),"-",""))+LEN(SUBSTITUTE(SUBSTITUTE(SUBSTITUTE(C576," ",""),"0",""),"-",""))),1,0))+IF(UPPER(D577)="X",0,IF((LEN(SUBSTITUTE(SUBSTITUTE(SUBSTITUTE(E577," ",""),"0",""),"-",""))+LEN(SUBSTITUTE(SUBSTITUTE(SUBSTITUTE(F577," ",""),"0",""),"-","")))&gt;(LEN(SUBSTITUTE(SUBSTITUTE(SUBSTITUTE(B577," ",""),"0",""),"-",""))+LEN(SUBSTITUTE(SUBSTITUTE(SUBSTITUTE(C577," ",""),"0",""),"-",""))),1,0))+IF(UPPER(D578)="X",0,IF((LEN(SUBSTITUTE(SUBSTITUTE(SUBSTITUTE(E578," ",""),"0",""),"-",""))+LEN(SUBSTITUTE(SUBSTITUTE(SUBSTITUTE(F578," ",""),"0",""),"-","")))&gt;(LEN(SUBSTITUTE(SUBSTITUTE(SUBSTITUTE(B578," ",""),"0",""),"-",""))+LEN(SUBSTITUTE(SUBSTITUTE(SUBSTITUTE(C578," ",""),"0",""),"-",""))),1,0))</f>
      </c>
      <c r="G573" s="14" t="str">
        <f>data!$E$43&amp;" "&amp;data!$B$43</f>
      </c>
      <c r="I573" s="14" t="str">
        <f>data!$E$89&amp;" "&amp;data!$B$89</f>
      </c>
      <c r="J573" s="14" t="str">
        <f>IF(UPPER(L574)="X",0,IF((LEN(SUBSTITUTE(SUBSTITUTE(SUBSTITUTE(J574," ",""),"0",""),"-",""))+LEN(SUBSTITUTE(SUBSTITUTE(SUBSTITUTE(K574," ",""),"0",""),"-","")))&gt;(LEN(SUBSTITUTE(SUBSTITUTE(SUBSTITUTE(M574," ",""),"0",""),"-",""))+LEN(SUBSTITUTE(SUBSTITUTE(SUBSTITUTE(N574," ",""),"0",""),"-",""))),1,0))+IF(UPPER(L575)="X",0,IF((LEN(SUBSTITUTE(SUBSTITUTE(SUBSTITUTE(J575," ",""),"0",""),"-",""))+LEN(SUBSTITUTE(SUBSTITUTE(SUBSTITUTE(K575," ",""),"0",""),"-","")))&gt;(LEN(SUBSTITUTE(SUBSTITUTE(SUBSTITUTE(M575," ",""),"0",""),"-",""))+LEN(SUBSTITUTE(SUBSTITUTE(SUBSTITUTE(N575," ",""),"0",""),"-",""))),1,0))+IF(UPPER(L576)="X",0,IF((LEN(SUBSTITUTE(SUBSTITUTE(SUBSTITUTE(J576," ",""),"0",""),"-",""))+LEN(SUBSTITUTE(SUBSTITUTE(SUBSTITUTE(K576," ",""),"0",""),"-","")))&gt;(LEN(SUBSTITUTE(SUBSTITUTE(SUBSTITUTE(M576," ",""),"0",""),"-",""))+LEN(SUBSTITUTE(SUBSTITUTE(SUBSTITUTE(N576," ",""),"0",""),"-",""))),1,0))+IF(UPPER(L577)="X",0,IF((LEN(SUBSTITUTE(SUBSTITUTE(SUBSTITUTE(J577," ",""),"0",""),"-",""))+LEN(SUBSTITUTE(SUBSTITUTE(SUBSTITUTE(K577," ",""),"0",""),"-","")))&gt;(LEN(SUBSTITUTE(SUBSTITUTE(SUBSTITUTE(M577," ",""),"0",""),"-",""))+LEN(SUBSTITUTE(SUBSTITUTE(SUBSTITUTE(N577," ",""),"0",""),"-",""))),1,0))+IF(UPPER(L578)="X",0,IF((LEN(SUBSTITUTE(SUBSTITUTE(SUBSTITUTE(J578," ",""),"0",""),"-",""))+LEN(SUBSTITUTE(SUBSTITUTE(SUBSTITUTE(K578," ",""),"0",""),"-","")))&gt;(LEN(SUBSTITUTE(SUBSTITUTE(SUBSTITUTE(M578," ",""),"0",""),"-",""))+LEN(SUBSTITUTE(SUBSTITUTE(SUBSTITUTE(N578," ",""),"0",""),"-",""))),1,0))</f>
      </c>
      <c r="K573" s="14" t="str">
        <f>LEN(SUBSTITUTE(SUBSTITUTE(SUBSTITUTE(J574," ",""),"0",""),"-",""))+LEN(SUBSTITUTE(SUBSTITUTE(SUBSTITUTE(K574," ",""),"0",""),"-",""))+LEN(SUBSTITUTE(SUBSTITUTE(SUBSTITUTE(J575," ",""),"0",""),"-",""))+LEN(SUBSTITUTE(SUBSTITUTE(SUBSTITUTE(K575," ",""),"0",""),"-",""))+LEN(SUBSTITUTE(SUBSTITUTE(SUBSTITUTE(J576," ",""),"0",""),"-",""))+LEN(SUBSTITUTE(SUBSTITUTE(SUBSTITUTE(K576," ",""),"0",""),"-",""))+LEN(SUBSTITUTE(SUBSTITUTE(SUBSTITUTE(J577," ",""),"0",""),"-",""))+LEN(SUBSTITUTE(SUBSTITUTE(SUBSTITUTE(K577," ",""),"0",""),"-",""))+LEN(SUBSTITUTE(SUBSTITUTE(SUBSTITUTE(J578," ",""),"0",""),"-",""))+LEN(SUBSTITUTE(SUBSTITUTE(SUBSTITUTE(K578," ",""),"0",""),"-",""))</f>
      </c>
      <c r="L573" s="18"/>
      <c r="M573" s="14" t="str">
        <f>LEN(SUBSTITUTE(SUBSTITUTE(SUBSTITUTE(M574," ",""),"0",""),"-",""))+LEN(SUBSTITUTE(SUBSTITUTE(SUBSTITUTE(N574," ",""),"0",""),"-",""))+LEN(SUBSTITUTE(SUBSTITUTE(SUBSTITUTE(M575," ",""),"0",""),"-",""))+LEN(SUBSTITUTE(SUBSTITUTE(SUBSTITUTE(N575," ",""),"0",""),"-",""))+LEN(SUBSTITUTE(SUBSTITUTE(SUBSTITUTE(M576," ",""),"0",""),"-",""))+LEN(SUBSTITUTE(SUBSTITUTE(SUBSTITUTE(N576," ",""),"0",""),"-",""))+LEN(SUBSTITUTE(SUBSTITUTE(SUBSTITUTE(M577," ",""),"0",""),"-",""))+LEN(SUBSTITUTE(SUBSTITUTE(SUBSTITUTE(N577," ",""),"0",""),"-",""))+LEN(SUBSTITUTE(SUBSTITUTE(SUBSTITUTE(M578," ",""),"0",""),"-",""))+LEN(SUBSTITUTE(SUBSTITUTE(SUBSTITUTE(N578," ",""),"0",""),"-",""))</f>
      </c>
      <c r="N573" s="14" t="str">
        <f>IF(UPPER(L574)="X",0,IF((LEN(SUBSTITUTE(SUBSTITUTE(SUBSTITUTE(M574," ",""),"0",""),"-",""))+LEN(SUBSTITUTE(SUBSTITUTE(SUBSTITUTE(N574," ",""),"0",""),"-","")))&gt;(LEN(SUBSTITUTE(SUBSTITUTE(SUBSTITUTE(J574," ",""),"0",""),"-",""))+LEN(SUBSTITUTE(SUBSTITUTE(SUBSTITUTE(K574," ",""),"0",""),"-",""))),1,0))+IF(UPPER(L575)="X",0,IF((LEN(SUBSTITUTE(SUBSTITUTE(SUBSTITUTE(M575," ",""),"0",""),"-",""))+LEN(SUBSTITUTE(SUBSTITUTE(SUBSTITUTE(N575," ",""),"0",""),"-","")))&gt;(LEN(SUBSTITUTE(SUBSTITUTE(SUBSTITUTE(J575," ",""),"0",""),"-",""))+LEN(SUBSTITUTE(SUBSTITUTE(SUBSTITUTE(K575," ",""),"0",""),"-",""))),1,0))+IF(UPPER(L576)="X",0,IF((LEN(SUBSTITUTE(SUBSTITUTE(SUBSTITUTE(M576," ",""),"0",""),"-",""))+LEN(SUBSTITUTE(SUBSTITUTE(SUBSTITUTE(N576," ",""),"0",""),"-","")))&gt;(LEN(SUBSTITUTE(SUBSTITUTE(SUBSTITUTE(J576," ",""),"0",""),"-",""))+LEN(SUBSTITUTE(SUBSTITUTE(SUBSTITUTE(K576," ",""),"0",""),"-",""))),1,0))+IF(UPPER(L577)="X",0,IF((LEN(SUBSTITUTE(SUBSTITUTE(SUBSTITUTE(M577," ",""),"0",""),"-",""))+LEN(SUBSTITUTE(SUBSTITUTE(SUBSTITUTE(N577," ",""),"0",""),"-","")))&gt;(LEN(SUBSTITUTE(SUBSTITUTE(SUBSTITUTE(J577," ",""),"0",""),"-",""))+LEN(SUBSTITUTE(SUBSTITUTE(SUBSTITUTE(K577," ",""),"0",""),"-",""))),1,0))+IF(UPPER(L578)="X",0,IF((LEN(SUBSTITUTE(SUBSTITUTE(SUBSTITUTE(M578," ",""),"0",""),"-",""))+LEN(SUBSTITUTE(SUBSTITUTE(SUBSTITUTE(N578," ",""),"0",""),"-","")))&gt;(LEN(SUBSTITUTE(SUBSTITUTE(SUBSTITUTE(J578," ",""),"0",""),"-",""))+LEN(SUBSTITUTE(SUBSTITUTE(SUBSTITUTE(K578," ",""),"0",""),"-",""))),1,0))</f>
      </c>
      <c r="O573" s="14" t="str">
        <f>data!$E$88&amp;" "&amp;data!$B$88</f>
      </c>
    </row>
    <row r="574">
      <c r="A574" s="14">
        <v>1</v>
      </c>
      <c r="B574" s="18"/>
      <c r="C574" s="18"/>
      <c r="D574" s="18"/>
      <c r="E574" s="18"/>
      <c r="F574" s="18"/>
      <c r="G574" s="14">
        <v>1</v>
      </c>
      <c r="I574" s="14">
        <v>1</v>
      </c>
      <c r="J574" s="18"/>
      <c r="K574" s="18"/>
      <c r="L574" s="18"/>
      <c r="M574" s="18"/>
      <c r="N574" s="18"/>
      <c r="O574" s="14">
        <v>1</v>
      </c>
    </row>
    <row r="575">
      <c r="A575" s="14">
        <v>2</v>
      </c>
      <c r="B575" s="18"/>
      <c r="C575" s="18"/>
      <c r="D575" s="18"/>
      <c r="E575" s="18"/>
      <c r="F575" s="18"/>
      <c r="G575" s="14">
        <v>2</v>
      </c>
      <c r="I575" s="14">
        <v>2</v>
      </c>
      <c r="J575" s="18"/>
      <c r="K575" s="18"/>
      <c r="L575" s="18"/>
      <c r="M575" s="18"/>
      <c r="N575" s="18"/>
      <c r="O575" s="14">
        <v>2</v>
      </c>
    </row>
    <row r="576">
      <c r="A576" s="14">
        <v>3</v>
      </c>
      <c r="B576" s="18"/>
      <c r="C576" s="18"/>
      <c r="D576" s="18"/>
      <c r="E576" s="18"/>
      <c r="F576" s="18"/>
      <c r="G576" s="14">
        <v>3</v>
      </c>
      <c r="I576" s="14">
        <v>3</v>
      </c>
      <c r="J576" s="18"/>
      <c r="K576" s="18"/>
      <c r="L576" s="18"/>
      <c r="M576" s="18"/>
      <c r="N576" s="18"/>
      <c r="O576" s="14">
        <v>3</v>
      </c>
    </row>
    <row r="577">
      <c r="A577" s="14">
        <v>4</v>
      </c>
      <c r="B577" s="18"/>
      <c r="C577" s="18"/>
      <c r="D577" s="18"/>
      <c r="E577" s="18"/>
      <c r="F577" s="18"/>
      <c r="G577" s="14">
        <v>4</v>
      </c>
      <c r="I577" s="14">
        <v>4</v>
      </c>
      <c r="J577" s="18"/>
      <c r="K577" s="18"/>
      <c r="L577" s="18"/>
      <c r="M577" s="18"/>
      <c r="N577" s="18"/>
      <c r="O577" s="14">
        <v>4</v>
      </c>
    </row>
    <row r="578">
      <c r="A578" s="14">
        <v>5</v>
      </c>
      <c r="B578" s="18"/>
      <c r="C578" s="18"/>
      <c r="D578" s="18"/>
      <c r="E578" s="18"/>
      <c r="F578" s="18"/>
      <c r="G578" s="14">
        <v>5</v>
      </c>
      <c r="I578" s="14">
        <v>5</v>
      </c>
      <c r="J578" s="18"/>
      <c r="K578" s="18"/>
      <c r="L578" s="18"/>
      <c r="M578" s="18"/>
      <c r="N578" s="18"/>
      <c r="O578" s="14">
        <v>5</v>
      </c>
    </row>
    <row r="580">
      <c r="A580" s="17" t="s">
        <v>330</v>
      </c>
      <c r="B580" s="14"/>
      <c r="C580" s="14"/>
      <c r="D580" s="14" t="s">
        <v>331</v>
      </c>
      <c r="E580" s="14"/>
      <c r="F580" s="14"/>
      <c r="G580" s="16" t="s">
        <v>332</v>
      </c>
      <c r="I580" s="17" t="s">
        <v>330</v>
      </c>
      <c r="J580" s="14"/>
      <c r="K580" s="14"/>
      <c r="L580" s="14" t="s">
        <v>331</v>
      </c>
      <c r="M580" s="14"/>
      <c r="N580" s="14"/>
      <c r="O580" s="16" t="s">
        <v>332</v>
      </c>
    </row>
    <row r="581">
      <c r="A581" s="14" t="str">
        <f>data!$E$45&amp;" "&amp;data!$B$45</f>
      </c>
      <c r="B581" s="14" t="str">
        <f>IF(UPPER(D582)="X",0,IF((LEN(SUBSTITUTE(SUBSTITUTE(SUBSTITUTE(B582," ",""),"0",""),"-",""))+LEN(SUBSTITUTE(SUBSTITUTE(SUBSTITUTE(C582," ",""),"0",""),"-","")))&gt;(LEN(SUBSTITUTE(SUBSTITUTE(SUBSTITUTE(E582," ",""),"0",""),"-",""))+LEN(SUBSTITUTE(SUBSTITUTE(SUBSTITUTE(F582," ",""),"0",""),"-",""))),1,0))+IF(UPPER(D583)="X",0,IF((LEN(SUBSTITUTE(SUBSTITUTE(SUBSTITUTE(B583," ",""),"0",""),"-",""))+LEN(SUBSTITUTE(SUBSTITUTE(SUBSTITUTE(C583," ",""),"0",""),"-","")))&gt;(LEN(SUBSTITUTE(SUBSTITUTE(SUBSTITUTE(E583," ",""),"0",""),"-",""))+LEN(SUBSTITUTE(SUBSTITUTE(SUBSTITUTE(F583," ",""),"0",""),"-",""))),1,0))+IF(UPPER(D584)="X",0,IF((LEN(SUBSTITUTE(SUBSTITUTE(SUBSTITUTE(B584," ",""),"0",""),"-",""))+LEN(SUBSTITUTE(SUBSTITUTE(SUBSTITUTE(C584," ",""),"0",""),"-","")))&gt;(LEN(SUBSTITUTE(SUBSTITUTE(SUBSTITUTE(E584," ",""),"0",""),"-",""))+LEN(SUBSTITUTE(SUBSTITUTE(SUBSTITUTE(F584," ",""),"0",""),"-",""))),1,0))+IF(UPPER(D585)="X",0,IF((LEN(SUBSTITUTE(SUBSTITUTE(SUBSTITUTE(B585," ",""),"0",""),"-",""))+LEN(SUBSTITUTE(SUBSTITUTE(SUBSTITUTE(C585," ",""),"0",""),"-","")))&gt;(LEN(SUBSTITUTE(SUBSTITUTE(SUBSTITUTE(E585," ",""),"0",""),"-",""))+LEN(SUBSTITUTE(SUBSTITUTE(SUBSTITUTE(F585," ",""),"0",""),"-",""))),1,0))+IF(UPPER(D586)="X",0,IF((LEN(SUBSTITUTE(SUBSTITUTE(SUBSTITUTE(B586," ",""),"0",""),"-",""))+LEN(SUBSTITUTE(SUBSTITUTE(SUBSTITUTE(C586," ",""),"0",""),"-","")))&gt;(LEN(SUBSTITUTE(SUBSTITUTE(SUBSTITUTE(E586," ",""),"0",""),"-",""))+LEN(SUBSTITUTE(SUBSTITUTE(SUBSTITUTE(F586," ",""),"0",""),"-",""))),1,0))</f>
      </c>
      <c r="C581" s="14" t="str">
        <f>LEN(SUBSTITUTE(SUBSTITUTE(SUBSTITUTE(B582," ",""),"0",""),"-",""))+LEN(SUBSTITUTE(SUBSTITUTE(SUBSTITUTE(C582," ",""),"0",""),"-",""))+LEN(SUBSTITUTE(SUBSTITUTE(SUBSTITUTE(B583," ",""),"0",""),"-",""))+LEN(SUBSTITUTE(SUBSTITUTE(SUBSTITUTE(C583," ",""),"0",""),"-",""))+LEN(SUBSTITUTE(SUBSTITUTE(SUBSTITUTE(B584," ",""),"0",""),"-",""))+LEN(SUBSTITUTE(SUBSTITUTE(SUBSTITUTE(C584," ",""),"0",""),"-",""))+LEN(SUBSTITUTE(SUBSTITUTE(SUBSTITUTE(B585," ",""),"0",""),"-",""))+LEN(SUBSTITUTE(SUBSTITUTE(SUBSTITUTE(C585," ",""),"0",""),"-",""))+LEN(SUBSTITUTE(SUBSTITUTE(SUBSTITUTE(B586," ",""),"0",""),"-",""))+LEN(SUBSTITUTE(SUBSTITUTE(SUBSTITUTE(C586," ",""),"0",""),"-",""))</f>
      </c>
      <c r="D581" s="18"/>
      <c r="E581" s="14" t="str">
        <f>LEN(SUBSTITUTE(SUBSTITUTE(SUBSTITUTE(E582," ",""),"0",""),"-",""))+LEN(SUBSTITUTE(SUBSTITUTE(SUBSTITUTE(F582," ",""),"0",""),"-",""))+LEN(SUBSTITUTE(SUBSTITUTE(SUBSTITUTE(E583," ",""),"0",""),"-",""))+LEN(SUBSTITUTE(SUBSTITUTE(SUBSTITUTE(F583," ",""),"0",""),"-",""))+LEN(SUBSTITUTE(SUBSTITUTE(SUBSTITUTE(E584," ",""),"0",""),"-",""))+LEN(SUBSTITUTE(SUBSTITUTE(SUBSTITUTE(F584," ",""),"0",""),"-",""))+LEN(SUBSTITUTE(SUBSTITUTE(SUBSTITUTE(E585," ",""),"0",""),"-",""))+LEN(SUBSTITUTE(SUBSTITUTE(SUBSTITUTE(F585," ",""),"0",""),"-",""))+LEN(SUBSTITUTE(SUBSTITUTE(SUBSTITUTE(E586," ",""),"0",""),"-",""))+LEN(SUBSTITUTE(SUBSTITUTE(SUBSTITUTE(F586," ",""),"0",""),"-",""))</f>
      </c>
      <c r="F581" s="14" t="str">
        <f>IF(UPPER(D582)="X",0,IF((LEN(SUBSTITUTE(SUBSTITUTE(SUBSTITUTE(E582," ",""),"0",""),"-",""))+LEN(SUBSTITUTE(SUBSTITUTE(SUBSTITUTE(F582," ",""),"0",""),"-","")))&gt;(LEN(SUBSTITUTE(SUBSTITUTE(SUBSTITUTE(B582," ",""),"0",""),"-",""))+LEN(SUBSTITUTE(SUBSTITUTE(SUBSTITUTE(C582," ",""),"0",""),"-",""))),1,0))+IF(UPPER(D583)="X",0,IF((LEN(SUBSTITUTE(SUBSTITUTE(SUBSTITUTE(E583," ",""),"0",""),"-",""))+LEN(SUBSTITUTE(SUBSTITUTE(SUBSTITUTE(F583," ",""),"0",""),"-","")))&gt;(LEN(SUBSTITUTE(SUBSTITUTE(SUBSTITUTE(B583," ",""),"0",""),"-",""))+LEN(SUBSTITUTE(SUBSTITUTE(SUBSTITUTE(C583," ",""),"0",""),"-",""))),1,0))+IF(UPPER(D584)="X",0,IF((LEN(SUBSTITUTE(SUBSTITUTE(SUBSTITUTE(E584," ",""),"0",""),"-",""))+LEN(SUBSTITUTE(SUBSTITUTE(SUBSTITUTE(F584," ",""),"0",""),"-","")))&gt;(LEN(SUBSTITUTE(SUBSTITUTE(SUBSTITUTE(B584," ",""),"0",""),"-",""))+LEN(SUBSTITUTE(SUBSTITUTE(SUBSTITUTE(C584," ",""),"0",""),"-",""))),1,0))+IF(UPPER(D585)="X",0,IF((LEN(SUBSTITUTE(SUBSTITUTE(SUBSTITUTE(E585," ",""),"0",""),"-",""))+LEN(SUBSTITUTE(SUBSTITUTE(SUBSTITUTE(F585," ",""),"0",""),"-","")))&gt;(LEN(SUBSTITUTE(SUBSTITUTE(SUBSTITUTE(B585," ",""),"0",""),"-",""))+LEN(SUBSTITUTE(SUBSTITUTE(SUBSTITUTE(C585," ",""),"0",""),"-",""))),1,0))+IF(UPPER(D586)="X",0,IF((LEN(SUBSTITUTE(SUBSTITUTE(SUBSTITUTE(E586," ",""),"0",""),"-",""))+LEN(SUBSTITUTE(SUBSTITUTE(SUBSTITUTE(F586," ",""),"0",""),"-","")))&gt;(LEN(SUBSTITUTE(SUBSTITUTE(SUBSTITUTE(B586," ",""),"0",""),"-",""))+LEN(SUBSTITUTE(SUBSTITUTE(SUBSTITUTE(C586," ",""),"0",""),"-",""))),1,0))</f>
      </c>
      <c r="G581" s="14" t="str">
        <f>data!$E$43&amp;" "&amp;data!$B$43</f>
      </c>
      <c r="I581" s="14" t="str">
        <f>data!$E$90&amp;" "&amp;data!$B$90</f>
      </c>
      <c r="J581" s="14" t="str">
        <f>IF(UPPER(L582)="X",0,IF((LEN(SUBSTITUTE(SUBSTITUTE(SUBSTITUTE(J582," ",""),"0",""),"-",""))+LEN(SUBSTITUTE(SUBSTITUTE(SUBSTITUTE(K582," ",""),"0",""),"-","")))&gt;(LEN(SUBSTITUTE(SUBSTITUTE(SUBSTITUTE(M582," ",""),"0",""),"-",""))+LEN(SUBSTITUTE(SUBSTITUTE(SUBSTITUTE(N582," ",""),"0",""),"-",""))),1,0))+IF(UPPER(L583)="X",0,IF((LEN(SUBSTITUTE(SUBSTITUTE(SUBSTITUTE(J583," ",""),"0",""),"-",""))+LEN(SUBSTITUTE(SUBSTITUTE(SUBSTITUTE(K583," ",""),"0",""),"-","")))&gt;(LEN(SUBSTITUTE(SUBSTITUTE(SUBSTITUTE(M583," ",""),"0",""),"-",""))+LEN(SUBSTITUTE(SUBSTITUTE(SUBSTITUTE(N583," ",""),"0",""),"-",""))),1,0))+IF(UPPER(L584)="X",0,IF((LEN(SUBSTITUTE(SUBSTITUTE(SUBSTITUTE(J584," ",""),"0",""),"-",""))+LEN(SUBSTITUTE(SUBSTITUTE(SUBSTITUTE(K584," ",""),"0",""),"-","")))&gt;(LEN(SUBSTITUTE(SUBSTITUTE(SUBSTITUTE(M584," ",""),"0",""),"-",""))+LEN(SUBSTITUTE(SUBSTITUTE(SUBSTITUTE(N584," ",""),"0",""),"-",""))),1,0))+IF(UPPER(L585)="X",0,IF((LEN(SUBSTITUTE(SUBSTITUTE(SUBSTITUTE(J585," ",""),"0",""),"-",""))+LEN(SUBSTITUTE(SUBSTITUTE(SUBSTITUTE(K585," ",""),"0",""),"-","")))&gt;(LEN(SUBSTITUTE(SUBSTITUTE(SUBSTITUTE(M585," ",""),"0",""),"-",""))+LEN(SUBSTITUTE(SUBSTITUTE(SUBSTITUTE(N585," ",""),"0",""),"-",""))),1,0))+IF(UPPER(L586)="X",0,IF((LEN(SUBSTITUTE(SUBSTITUTE(SUBSTITUTE(J586," ",""),"0",""),"-",""))+LEN(SUBSTITUTE(SUBSTITUTE(SUBSTITUTE(K586," ",""),"0",""),"-","")))&gt;(LEN(SUBSTITUTE(SUBSTITUTE(SUBSTITUTE(M586," ",""),"0",""),"-",""))+LEN(SUBSTITUTE(SUBSTITUTE(SUBSTITUTE(N586," ",""),"0",""),"-",""))),1,0))</f>
      </c>
      <c r="K581" s="14" t="str">
        <f>LEN(SUBSTITUTE(SUBSTITUTE(SUBSTITUTE(J582," ",""),"0",""),"-",""))+LEN(SUBSTITUTE(SUBSTITUTE(SUBSTITUTE(K582," ",""),"0",""),"-",""))+LEN(SUBSTITUTE(SUBSTITUTE(SUBSTITUTE(J583," ",""),"0",""),"-",""))+LEN(SUBSTITUTE(SUBSTITUTE(SUBSTITUTE(K583," ",""),"0",""),"-",""))+LEN(SUBSTITUTE(SUBSTITUTE(SUBSTITUTE(J584," ",""),"0",""),"-",""))+LEN(SUBSTITUTE(SUBSTITUTE(SUBSTITUTE(K584," ",""),"0",""),"-",""))+LEN(SUBSTITUTE(SUBSTITUTE(SUBSTITUTE(J585," ",""),"0",""),"-",""))+LEN(SUBSTITUTE(SUBSTITUTE(SUBSTITUTE(K585," ",""),"0",""),"-",""))+LEN(SUBSTITUTE(SUBSTITUTE(SUBSTITUTE(J586," ",""),"0",""),"-",""))+LEN(SUBSTITUTE(SUBSTITUTE(SUBSTITUTE(K586," ",""),"0",""),"-",""))</f>
      </c>
      <c r="L581" s="18"/>
      <c r="M581" s="14" t="str">
        <f>LEN(SUBSTITUTE(SUBSTITUTE(SUBSTITUTE(M582," ",""),"0",""),"-",""))+LEN(SUBSTITUTE(SUBSTITUTE(SUBSTITUTE(N582," ",""),"0",""),"-",""))+LEN(SUBSTITUTE(SUBSTITUTE(SUBSTITUTE(M583," ",""),"0",""),"-",""))+LEN(SUBSTITUTE(SUBSTITUTE(SUBSTITUTE(N583," ",""),"0",""),"-",""))+LEN(SUBSTITUTE(SUBSTITUTE(SUBSTITUTE(M584," ",""),"0",""),"-",""))+LEN(SUBSTITUTE(SUBSTITUTE(SUBSTITUTE(N584," ",""),"0",""),"-",""))+LEN(SUBSTITUTE(SUBSTITUTE(SUBSTITUTE(M585," ",""),"0",""),"-",""))+LEN(SUBSTITUTE(SUBSTITUTE(SUBSTITUTE(N585," ",""),"0",""),"-",""))+LEN(SUBSTITUTE(SUBSTITUTE(SUBSTITUTE(M586," ",""),"0",""),"-",""))+LEN(SUBSTITUTE(SUBSTITUTE(SUBSTITUTE(N586," ",""),"0",""),"-",""))</f>
      </c>
      <c r="N581" s="14" t="str">
        <f>IF(UPPER(L582)="X",0,IF((LEN(SUBSTITUTE(SUBSTITUTE(SUBSTITUTE(M582," ",""),"0",""),"-",""))+LEN(SUBSTITUTE(SUBSTITUTE(SUBSTITUTE(N582," ",""),"0",""),"-","")))&gt;(LEN(SUBSTITUTE(SUBSTITUTE(SUBSTITUTE(J582," ",""),"0",""),"-",""))+LEN(SUBSTITUTE(SUBSTITUTE(SUBSTITUTE(K582," ",""),"0",""),"-",""))),1,0))+IF(UPPER(L583)="X",0,IF((LEN(SUBSTITUTE(SUBSTITUTE(SUBSTITUTE(M583," ",""),"0",""),"-",""))+LEN(SUBSTITUTE(SUBSTITUTE(SUBSTITUTE(N583," ",""),"0",""),"-","")))&gt;(LEN(SUBSTITUTE(SUBSTITUTE(SUBSTITUTE(J583," ",""),"0",""),"-",""))+LEN(SUBSTITUTE(SUBSTITUTE(SUBSTITUTE(K583," ",""),"0",""),"-",""))),1,0))+IF(UPPER(L584)="X",0,IF((LEN(SUBSTITUTE(SUBSTITUTE(SUBSTITUTE(M584," ",""),"0",""),"-",""))+LEN(SUBSTITUTE(SUBSTITUTE(SUBSTITUTE(N584," ",""),"0",""),"-","")))&gt;(LEN(SUBSTITUTE(SUBSTITUTE(SUBSTITUTE(J584," ",""),"0",""),"-",""))+LEN(SUBSTITUTE(SUBSTITUTE(SUBSTITUTE(K584," ",""),"0",""),"-",""))),1,0))+IF(UPPER(L585)="X",0,IF((LEN(SUBSTITUTE(SUBSTITUTE(SUBSTITUTE(M585," ",""),"0",""),"-",""))+LEN(SUBSTITUTE(SUBSTITUTE(SUBSTITUTE(N585," ",""),"0",""),"-","")))&gt;(LEN(SUBSTITUTE(SUBSTITUTE(SUBSTITUTE(J585," ",""),"0",""),"-",""))+LEN(SUBSTITUTE(SUBSTITUTE(SUBSTITUTE(K585," ",""),"0",""),"-",""))),1,0))+IF(UPPER(L586)="X",0,IF((LEN(SUBSTITUTE(SUBSTITUTE(SUBSTITUTE(M586," ",""),"0",""),"-",""))+LEN(SUBSTITUTE(SUBSTITUTE(SUBSTITUTE(N586," ",""),"0",""),"-","")))&gt;(LEN(SUBSTITUTE(SUBSTITUTE(SUBSTITUTE(J586," ",""),"0",""),"-",""))+LEN(SUBSTITUTE(SUBSTITUTE(SUBSTITUTE(K586," ",""),"0",""),"-",""))),1,0))</f>
      </c>
      <c r="O581" s="14" t="str">
        <f>data!$E$88&amp;" "&amp;data!$B$88</f>
      </c>
    </row>
    <row r="582">
      <c r="A582" s="14">
        <v>1</v>
      </c>
      <c r="B582" s="18"/>
      <c r="C582" s="18"/>
      <c r="D582" s="18"/>
      <c r="E582" s="18"/>
      <c r="F582" s="18"/>
      <c r="G582" s="14">
        <v>1</v>
      </c>
      <c r="I582" s="14">
        <v>1</v>
      </c>
      <c r="J582" s="18"/>
      <c r="K582" s="18"/>
      <c r="L582" s="18"/>
      <c r="M582" s="18"/>
      <c r="N582" s="18"/>
      <c r="O582" s="14">
        <v>1</v>
      </c>
    </row>
    <row r="583">
      <c r="A583" s="14">
        <v>2</v>
      </c>
      <c r="B583" s="18"/>
      <c r="C583" s="18"/>
      <c r="D583" s="18"/>
      <c r="E583" s="18"/>
      <c r="F583" s="18"/>
      <c r="G583" s="14">
        <v>2</v>
      </c>
      <c r="I583" s="14">
        <v>2</v>
      </c>
      <c r="J583" s="18"/>
      <c r="K583" s="18"/>
      <c r="L583" s="18"/>
      <c r="M583" s="18"/>
      <c r="N583" s="18"/>
      <c r="O583" s="14">
        <v>2</v>
      </c>
    </row>
    <row r="584">
      <c r="A584" s="14">
        <v>3</v>
      </c>
      <c r="B584" s="18"/>
      <c r="C584" s="18"/>
      <c r="D584" s="18"/>
      <c r="E584" s="18"/>
      <c r="F584" s="18"/>
      <c r="G584" s="14">
        <v>3</v>
      </c>
      <c r="I584" s="14">
        <v>3</v>
      </c>
      <c r="J584" s="18"/>
      <c r="K584" s="18"/>
      <c r="L584" s="18"/>
      <c r="M584" s="18"/>
      <c r="N584" s="18"/>
      <c r="O584" s="14">
        <v>3</v>
      </c>
    </row>
    <row r="585">
      <c r="A585" s="14">
        <v>4</v>
      </c>
      <c r="B585" s="18"/>
      <c r="C585" s="18"/>
      <c r="D585" s="18"/>
      <c r="E585" s="18"/>
      <c r="F585" s="18"/>
      <c r="G585" s="14">
        <v>4</v>
      </c>
      <c r="I585" s="14">
        <v>4</v>
      </c>
      <c r="J585" s="18"/>
      <c r="K585" s="18"/>
      <c r="L585" s="18"/>
      <c r="M585" s="18"/>
      <c r="N585" s="18"/>
      <c r="O585" s="14">
        <v>4</v>
      </c>
    </row>
    <row r="586">
      <c r="A586" s="14">
        <v>5</v>
      </c>
      <c r="B586" s="18"/>
      <c r="C586" s="18"/>
      <c r="D586" s="18"/>
      <c r="E586" s="18"/>
      <c r="F586" s="18"/>
      <c r="G586" s="14">
        <v>5</v>
      </c>
      <c r="I586" s="14">
        <v>5</v>
      </c>
      <c r="J586" s="18"/>
      <c r="K586" s="18"/>
      <c r="L586" s="18"/>
      <c r="M586" s="18"/>
      <c r="N586" s="18"/>
      <c r="O586" s="14">
        <v>5</v>
      </c>
    </row>
    <row r="588">
      <c r="A588" s="17" t="s">
        <v>330</v>
      </c>
      <c r="B588" s="14"/>
      <c r="C588" s="14"/>
      <c r="D588" s="14" t="s">
        <v>331</v>
      </c>
      <c r="E588" s="14"/>
      <c r="F588" s="14"/>
      <c r="G588" s="16" t="s">
        <v>332</v>
      </c>
      <c r="I588" s="17" t="s">
        <v>330</v>
      </c>
      <c r="J588" s="14"/>
      <c r="K588" s="14"/>
      <c r="L588" s="14" t="s">
        <v>331</v>
      </c>
      <c r="M588" s="14"/>
      <c r="N588" s="14"/>
      <c r="O588" s="16" t="s">
        <v>332</v>
      </c>
    </row>
    <row r="589">
      <c r="A589" s="14" t="str">
        <f>data!$E$45&amp;" "&amp;data!$B$45</f>
      </c>
      <c r="B589" s="14" t="str">
        <f>IF(UPPER(D590)="X",0,IF((LEN(SUBSTITUTE(SUBSTITUTE(SUBSTITUTE(B590," ",""),"0",""),"-",""))+LEN(SUBSTITUTE(SUBSTITUTE(SUBSTITUTE(C590," ",""),"0",""),"-","")))&gt;(LEN(SUBSTITUTE(SUBSTITUTE(SUBSTITUTE(E590," ",""),"0",""),"-",""))+LEN(SUBSTITUTE(SUBSTITUTE(SUBSTITUTE(F590," ",""),"0",""),"-",""))),1,0))+IF(UPPER(D591)="X",0,IF((LEN(SUBSTITUTE(SUBSTITUTE(SUBSTITUTE(B591," ",""),"0",""),"-",""))+LEN(SUBSTITUTE(SUBSTITUTE(SUBSTITUTE(C591," ",""),"0",""),"-","")))&gt;(LEN(SUBSTITUTE(SUBSTITUTE(SUBSTITUTE(E591," ",""),"0",""),"-",""))+LEN(SUBSTITUTE(SUBSTITUTE(SUBSTITUTE(F591," ",""),"0",""),"-",""))),1,0))+IF(UPPER(D592)="X",0,IF((LEN(SUBSTITUTE(SUBSTITUTE(SUBSTITUTE(B592," ",""),"0",""),"-",""))+LEN(SUBSTITUTE(SUBSTITUTE(SUBSTITUTE(C592," ",""),"0",""),"-","")))&gt;(LEN(SUBSTITUTE(SUBSTITUTE(SUBSTITUTE(E592," ",""),"0",""),"-",""))+LEN(SUBSTITUTE(SUBSTITUTE(SUBSTITUTE(F592," ",""),"0",""),"-",""))),1,0))+IF(UPPER(D593)="X",0,IF((LEN(SUBSTITUTE(SUBSTITUTE(SUBSTITUTE(B593," ",""),"0",""),"-",""))+LEN(SUBSTITUTE(SUBSTITUTE(SUBSTITUTE(C593," ",""),"0",""),"-","")))&gt;(LEN(SUBSTITUTE(SUBSTITUTE(SUBSTITUTE(E593," ",""),"0",""),"-",""))+LEN(SUBSTITUTE(SUBSTITUTE(SUBSTITUTE(F593," ",""),"0",""),"-",""))),1,0))+IF(UPPER(D594)="X",0,IF((LEN(SUBSTITUTE(SUBSTITUTE(SUBSTITUTE(B594," ",""),"0",""),"-",""))+LEN(SUBSTITUTE(SUBSTITUTE(SUBSTITUTE(C594," ",""),"0",""),"-","")))&gt;(LEN(SUBSTITUTE(SUBSTITUTE(SUBSTITUTE(E594," ",""),"0",""),"-",""))+LEN(SUBSTITUTE(SUBSTITUTE(SUBSTITUTE(F594," ",""),"0",""),"-",""))),1,0))</f>
      </c>
      <c r="C589" s="14" t="str">
        <f>LEN(SUBSTITUTE(SUBSTITUTE(SUBSTITUTE(B590," ",""),"0",""),"-",""))+LEN(SUBSTITUTE(SUBSTITUTE(SUBSTITUTE(C590," ",""),"0",""),"-",""))+LEN(SUBSTITUTE(SUBSTITUTE(SUBSTITUTE(B591," ",""),"0",""),"-",""))+LEN(SUBSTITUTE(SUBSTITUTE(SUBSTITUTE(C591," ",""),"0",""),"-",""))+LEN(SUBSTITUTE(SUBSTITUTE(SUBSTITUTE(B592," ",""),"0",""),"-",""))+LEN(SUBSTITUTE(SUBSTITUTE(SUBSTITUTE(C592," ",""),"0",""),"-",""))+LEN(SUBSTITUTE(SUBSTITUTE(SUBSTITUTE(B593," ",""),"0",""),"-",""))+LEN(SUBSTITUTE(SUBSTITUTE(SUBSTITUTE(C593," ",""),"0",""),"-",""))+LEN(SUBSTITUTE(SUBSTITUTE(SUBSTITUTE(B594," ",""),"0",""),"-",""))+LEN(SUBSTITUTE(SUBSTITUTE(SUBSTITUTE(C594," ",""),"0",""),"-",""))</f>
      </c>
      <c r="D589" s="18"/>
      <c r="E589" s="14" t="str">
        <f>LEN(SUBSTITUTE(SUBSTITUTE(SUBSTITUTE(E590," ",""),"0",""),"-",""))+LEN(SUBSTITUTE(SUBSTITUTE(SUBSTITUTE(F590," ",""),"0",""),"-",""))+LEN(SUBSTITUTE(SUBSTITUTE(SUBSTITUTE(E591," ",""),"0",""),"-",""))+LEN(SUBSTITUTE(SUBSTITUTE(SUBSTITUTE(F591," ",""),"0",""),"-",""))+LEN(SUBSTITUTE(SUBSTITUTE(SUBSTITUTE(E592," ",""),"0",""),"-",""))+LEN(SUBSTITUTE(SUBSTITUTE(SUBSTITUTE(F592," ",""),"0",""),"-",""))+LEN(SUBSTITUTE(SUBSTITUTE(SUBSTITUTE(E593," ",""),"0",""),"-",""))+LEN(SUBSTITUTE(SUBSTITUTE(SUBSTITUTE(F593," ",""),"0",""),"-",""))+LEN(SUBSTITUTE(SUBSTITUTE(SUBSTITUTE(E594," ",""),"0",""),"-",""))+LEN(SUBSTITUTE(SUBSTITUTE(SUBSTITUTE(F594," ",""),"0",""),"-",""))</f>
      </c>
      <c r="F589" s="14" t="str">
        <f>IF(UPPER(D590)="X",0,IF((LEN(SUBSTITUTE(SUBSTITUTE(SUBSTITUTE(E590," ",""),"0",""),"-",""))+LEN(SUBSTITUTE(SUBSTITUTE(SUBSTITUTE(F590," ",""),"0",""),"-","")))&gt;(LEN(SUBSTITUTE(SUBSTITUTE(SUBSTITUTE(B590," ",""),"0",""),"-",""))+LEN(SUBSTITUTE(SUBSTITUTE(SUBSTITUTE(C590," ",""),"0",""),"-",""))),1,0))+IF(UPPER(D591)="X",0,IF((LEN(SUBSTITUTE(SUBSTITUTE(SUBSTITUTE(E591," ",""),"0",""),"-",""))+LEN(SUBSTITUTE(SUBSTITUTE(SUBSTITUTE(F591," ",""),"0",""),"-","")))&gt;(LEN(SUBSTITUTE(SUBSTITUTE(SUBSTITUTE(B591," ",""),"0",""),"-",""))+LEN(SUBSTITUTE(SUBSTITUTE(SUBSTITUTE(C591," ",""),"0",""),"-",""))),1,0))+IF(UPPER(D592)="X",0,IF((LEN(SUBSTITUTE(SUBSTITUTE(SUBSTITUTE(E592," ",""),"0",""),"-",""))+LEN(SUBSTITUTE(SUBSTITUTE(SUBSTITUTE(F592," ",""),"0",""),"-","")))&gt;(LEN(SUBSTITUTE(SUBSTITUTE(SUBSTITUTE(B592," ",""),"0",""),"-",""))+LEN(SUBSTITUTE(SUBSTITUTE(SUBSTITUTE(C592," ",""),"0",""),"-",""))),1,0))+IF(UPPER(D593)="X",0,IF((LEN(SUBSTITUTE(SUBSTITUTE(SUBSTITUTE(E593," ",""),"0",""),"-",""))+LEN(SUBSTITUTE(SUBSTITUTE(SUBSTITUTE(F593," ",""),"0",""),"-","")))&gt;(LEN(SUBSTITUTE(SUBSTITUTE(SUBSTITUTE(B593," ",""),"0",""),"-",""))+LEN(SUBSTITUTE(SUBSTITUTE(SUBSTITUTE(C593," ",""),"0",""),"-",""))),1,0))+IF(UPPER(D594)="X",0,IF((LEN(SUBSTITUTE(SUBSTITUTE(SUBSTITUTE(E594," ",""),"0",""),"-",""))+LEN(SUBSTITUTE(SUBSTITUTE(SUBSTITUTE(F594," ",""),"0",""),"-","")))&gt;(LEN(SUBSTITUTE(SUBSTITUTE(SUBSTITUTE(B594," ",""),"0",""),"-",""))+LEN(SUBSTITUTE(SUBSTITUTE(SUBSTITUTE(C594," ",""),"0",""),"-",""))),1,0))</f>
      </c>
      <c r="G589" s="14" t="str">
        <f>data!$E$44&amp;" "&amp;data!$B$44</f>
      </c>
      <c r="I589" s="14" t="str">
        <f>data!$E$90&amp;" "&amp;data!$B$90</f>
      </c>
      <c r="J589" s="14" t="str">
        <f>IF(UPPER(L590)="X",0,IF((LEN(SUBSTITUTE(SUBSTITUTE(SUBSTITUTE(J590," ",""),"0",""),"-",""))+LEN(SUBSTITUTE(SUBSTITUTE(SUBSTITUTE(K590," ",""),"0",""),"-","")))&gt;(LEN(SUBSTITUTE(SUBSTITUTE(SUBSTITUTE(M590," ",""),"0",""),"-",""))+LEN(SUBSTITUTE(SUBSTITUTE(SUBSTITUTE(N590," ",""),"0",""),"-",""))),1,0))+IF(UPPER(L591)="X",0,IF((LEN(SUBSTITUTE(SUBSTITUTE(SUBSTITUTE(J591," ",""),"0",""),"-",""))+LEN(SUBSTITUTE(SUBSTITUTE(SUBSTITUTE(K591," ",""),"0",""),"-","")))&gt;(LEN(SUBSTITUTE(SUBSTITUTE(SUBSTITUTE(M591," ",""),"0",""),"-",""))+LEN(SUBSTITUTE(SUBSTITUTE(SUBSTITUTE(N591," ",""),"0",""),"-",""))),1,0))+IF(UPPER(L592)="X",0,IF((LEN(SUBSTITUTE(SUBSTITUTE(SUBSTITUTE(J592," ",""),"0",""),"-",""))+LEN(SUBSTITUTE(SUBSTITUTE(SUBSTITUTE(K592," ",""),"0",""),"-","")))&gt;(LEN(SUBSTITUTE(SUBSTITUTE(SUBSTITUTE(M592," ",""),"0",""),"-",""))+LEN(SUBSTITUTE(SUBSTITUTE(SUBSTITUTE(N592," ",""),"0",""),"-",""))),1,0))+IF(UPPER(L593)="X",0,IF((LEN(SUBSTITUTE(SUBSTITUTE(SUBSTITUTE(J593," ",""),"0",""),"-",""))+LEN(SUBSTITUTE(SUBSTITUTE(SUBSTITUTE(K593," ",""),"0",""),"-","")))&gt;(LEN(SUBSTITUTE(SUBSTITUTE(SUBSTITUTE(M593," ",""),"0",""),"-",""))+LEN(SUBSTITUTE(SUBSTITUTE(SUBSTITUTE(N593," ",""),"0",""),"-",""))),1,0))+IF(UPPER(L594)="X",0,IF((LEN(SUBSTITUTE(SUBSTITUTE(SUBSTITUTE(J594," ",""),"0",""),"-",""))+LEN(SUBSTITUTE(SUBSTITUTE(SUBSTITUTE(K594," ",""),"0",""),"-","")))&gt;(LEN(SUBSTITUTE(SUBSTITUTE(SUBSTITUTE(M594," ",""),"0",""),"-",""))+LEN(SUBSTITUTE(SUBSTITUTE(SUBSTITUTE(N594," ",""),"0",""),"-",""))),1,0))</f>
      </c>
      <c r="K589" s="14" t="str">
        <f>LEN(SUBSTITUTE(SUBSTITUTE(SUBSTITUTE(J590," ",""),"0",""),"-",""))+LEN(SUBSTITUTE(SUBSTITUTE(SUBSTITUTE(K590," ",""),"0",""),"-",""))+LEN(SUBSTITUTE(SUBSTITUTE(SUBSTITUTE(J591," ",""),"0",""),"-",""))+LEN(SUBSTITUTE(SUBSTITUTE(SUBSTITUTE(K591," ",""),"0",""),"-",""))+LEN(SUBSTITUTE(SUBSTITUTE(SUBSTITUTE(J592," ",""),"0",""),"-",""))+LEN(SUBSTITUTE(SUBSTITUTE(SUBSTITUTE(K592," ",""),"0",""),"-",""))+LEN(SUBSTITUTE(SUBSTITUTE(SUBSTITUTE(J593," ",""),"0",""),"-",""))+LEN(SUBSTITUTE(SUBSTITUTE(SUBSTITUTE(K593," ",""),"0",""),"-",""))+LEN(SUBSTITUTE(SUBSTITUTE(SUBSTITUTE(J594," ",""),"0",""),"-",""))+LEN(SUBSTITUTE(SUBSTITUTE(SUBSTITUTE(K594," ",""),"0",""),"-",""))</f>
      </c>
      <c r="L589" s="18"/>
      <c r="M589" s="14" t="str">
        <f>LEN(SUBSTITUTE(SUBSTITUTE(SUBSTITUTE(M590," ",""),"0",""),"-",""))+LEN(SUBSTITUTE(SUBSTITUTE(SUBSTITUTE(N590," ",""),"0",""),"-",""))+LEN(SUBSTITUTE(SUBSTITUTE(SUBSTITUTE(M591," ",""),"0",""),"-",""))+LEN(SUBSTITUTE(SUBSTITUTE(SUBSTITUTE(N591," ",""),"0",""),"-",""))+LEN(SUBSTITUTE(SUBSTITUTE(SUBSTITUTE(M592," ",""),"0",""),"-",""))+LEN(SUBSTITUTE(SUBSTITUTE(SUBSTITUTE(N592," ",""),"0",""),"-",""))+LEN(SUBSTITUTE(SUBSTITUTE(SUBSTITUTE(M593," ",""),"0",""),"-",""))+LEN(SUBSTITUTE(SUBSTITUTE(SUBSTITUTE(N593," ",""),"0",""),"-",""))+LEN(SUBSTITUTE(SUBSTITUTE(SUBSTITUTE(M594," ",""),"0",""),"-",""))+LEN(SUBSTITUTE(SUBSTITUTE(SUBSTITUTE(N594," ",""),"0",""),"-",""))</f>
      </c>
      <c r="N589" s="14" t="str">
        <f>IF(UPPER(L590)="X",0,IF((LEN(SUBSTITUTE(SUBSTITUTE(SUBSTITUTE(M590," ",""),"0",""),"-",""))+LEN(SUBSTITUTE(SUBSTITUTE(SUBSTITUTE(N590," ",""),"0",""),"-","")))&gt;(LEN(SUBSTITUTE(SUBSTITUTE(SUBSTITUTE(J590," ",""),"0",""),"-",""))+LEN(SUBSTITUTE(SUBSTITUTE(SUBSTITUTE(K590," ",""),"0",""),"-",""))),1,0))+IF(UPPER(L591)="X",0,IF((LEN(SUBSTITUTE(SUBSTITUTE(SUBSTITUTE(M591," ",""),"0",""),"-",""))+LEN(SUBSTITUTE(SUBSTITUTE(SUBSTITUTE(N591," ",""),"0",""),"-","")))&gt;(LEN(SUBSTITUTE(SUBSTITUTE(SUBSTITUTE(J591," ",""),"0",""),"-",""))+LEN(SUBSTITUTE(SUBSTITUTE(SUBSTITUTE(K591," ",""),"0",""),"-",""))),1,0))+IF(UPPER(L592)="X",0,IF((LEN(SUBSTITUTE(SUBSTITUTE(SUBSTITUTE(M592," ",""),"0",""),"-",""))+LEN(SUBSTITUTE(SUBSTITUTE(SUBSTITUTE(N592," ",""),"0",""),"-","")))&gt;(LEN(SUBSTITUTE(SUBSTITUTE(SUBSTITUTE(J592," ",""),"0",""),"-",""))+LEN(SUBSTITUTE(SUBSTITUTE(SUBSTITUTE(K592," ",""),"0",""),"-",""))),1,0))+IF(UPPER(L593)="X",0,IF((LEN(SUBSTITUTE(SUBSTITUTE(SUBSTITUTE(M593," ",""),"0",""),"-",""))+LEN(SUBSTITUTE(SUBSTITUTE(SUBSTITUTE(N593," ",""),"0",""),"-","")))&gt;(LEN(SUBSTITUTE(SUBSTITUTE(SUBSTITUTE(J593," ",""),"0",""),"-",""))+LEN(SUBSTITUTE(SUBSTITUTE(SUBSTITUTE(K593," ",""),"0",""),"-",""))),1,0))+IF(UPPER(L594)="X",0,IF((LEN(SUBSTITUTE(SUBSTITUTE(SUBSTITUTE(M594," ",""),"0",""),"-",""))+LEN(SUBSTITUTE(SUBSTITUTE(SUBSTITUTE(N594," ",""),"0",""),"-","")))&gt;(LEN(SUBSTITUTE(SUBSTITUTE(SUBSTITUTE(J594," ",""),"0",""),"-",""))+LEN(SUBSTITUTE(SUBSTITUTE(SUBSTITUTE(K594," ",""),"0",""),"-",""))),1,0))</f>
      </c>
      <c r="O589" s="14" t="str">
        <f>data!$E$89&amp;" "&amp;data!$B$89</f>
      </c>
    </row>
    <row r="590">
      <c r="A590" s="14">
        <v>1</v>
      </c>
      <c r="B590" s="18"/>
      <c r="C590" s="18"/>
      <c r="D590" s="18"/>
      <c r="E590" s="18"/>
      <c r="F590" s="18"/>
      <c r="G590" s="14">
        <v>1</v>
      </c>
      <c r="I590" s="14">
        <v>1</v>
      </c>
      <c r="J590" s="18"/>
      <c r="K590" s="18"/>
      <c r="L590" s="18"/>
      <c r="M590" s="18"/>
      <c r="N590" s="18"/>
      <c r="O590" s="14">
        <v>1</v>
      </c>
    </row>
    <row r="591">
      <c r="A591" s="14">
        <v>2</v>
      </c>
      <c r="B591" s="18"/>
      <c r="C591" s="18"/>
      <c r="D591" s="18"/>
      <c r="E591" s="18"/>
      <c r="F591" s="18"/>
      <c r="G591" s="14">
        <v>2</v>
      </c>
      <c r="I591" s="14">
        <v>2</v>
      </c>
      <c r="J591" s="18"/>
      <c r="K591" s="18"/>
      <c r="L591" s="18"/>
      <c r="M591" s="18"/>
      <c r="N591" s="18"/>
      <c r="O591" s="14">
        <v>2</v>
      </c>
    </row>
    <row r="592">
      <c r="A592" s="14">
        <v>3</v>
      </c>
      <c r="B592" s="18"/>
      <c r="C592" s="18"/>
      <c r="D592" s="18"/>
      <c r="E592" s="18"/>
      <c r="F592" s="18"/>
      <c r="G592" s="14">
        <v>3</v>
      </c>
      <c r="I592" s="14">
        <v>3</v>
      </c>
      <c r="J592" s="18"/>
      <c r="K592" s="18"/>
      <c r="L592" s="18"/>
      <c r="M592" s="18"/>
      <c r="N592" s="18"/>
      <c r="O592" s="14">
        <v>3</v>
      </c>
    </row>
    <row r="593">
      <c r="A593" s="14">
        <v>4</v>
      </c>
      <c r="B593" s="18"/>
      <c r="C593" s="18"/>
      <c r="D593" s="18"/>
      <c r="E593" s="18"/>
      <c r="F593" s="18"/>
      <c r="G593" s="14">
        <v>4</v>
      </c>
      <c r="I593" s="14">
        <v>4</v>
      </c>
      <c r="J593" s="18"/>
      <c r="K593" s="18"/>
      <c r="L593" s="18"/>
      <c r="M593" s="18"/>
      <c r="N593" s="18"/>
      <c r="O593" s="14">
        <v>4</v>
      </c>
    </row>
    <row r="594">
      <c r="A594" s="14">
        <v>5</v>
      </c>
      <c r="B594" s="18"/>
      <c r="C594" s="18"/>
      <c r="D594" s="18"/>
      <c r="E594" s="18"/>
      <c r="F594" s="18"/>
      <c r="G594" s="14">
        <v>5</v>
      </c>
      <c r="I594" s="14">
        <v>5</v>
      </c>
      <c r="J594" s="18"/>
      <c r="K594" s="18"/>
      <c r="L594" s="18"/>
      <c r="M594" s="18"/>
      <c r="N594" s="18"/>
      <c r="O594" s="14">
        <v>5</v>
      </c>
    </row>
    <row r="597">
      <c r="A597" s="13" t="s">
        <v>333</v>
      </c>
      <c r="B597" s="13" t="s">
        <v>334</v>
      </c>
      <c r="C597" s="13" t="s">
        <v>335</v>
      </c>
      <c r="D597" s="13" t="s">
        <v>336</v>
      </c>
      <c r="E597" s="13"/>
      <c r="F597" s="13"/>
      <c r="G597" s="13" t="s">
        <v>337</v>
      </c>
      <c r="I597" s="13" t="s">
        <v>333</v>
      </c>
      <c r="J597" s="13" t="s">
        <v>334</v>
      </c>
      <c r="K597" s="13" t="s">
        <v>335</v>
      </c>
      <c r="L597" s="13" t="s">
        <v>336</v>
      </c>
      <c r="M597" s="13"/>
      <c r="N597" s="13"/>
      <c r="O597" s="13" t="s">
        <v>337</v>
      </c>
    </row>
    <row r="598">
      <c r="A598" s="14" t="str">
        <f>data!$E$43&amp;" "&amp;data!$B$43</f>
      </c>
      <c r="B598" s="14" t="str">
        <f>IF(OR(COUNTA(B574:C578,E574:F578)&gt;0,D574="X",D574="x",D575="X",D575="x",D576="X",D576="x",D577="X",D577="x",D578="X",D578="x",OR(D573="X",D573="x")),IF(OR(OR(D573="X",D573="x"),AND(B573=F573,C573=E573)),0,IF(OR(F573&gt;B573,AND(F573=B573,E573&gt;C573)),1,0)),0)+IF(OR(COUNTA(B582:C586,E582:F586)&gt;0,D582="X",D582="x",D583="X",D583="x",D584="X",D584="x",D585="X",D585="x",D586="X",D586="x",OR(D581="X",D581="x")),IF(OR(OR(D581="X",D581="x"),AND(B581=F581,C581=E581)),0,IF(OR(F581&gt;B581,AND(F581=B581,E581&gt;C581)),1,0)),0)</f>
      </c>
      <c r="C598" s="14" t="str">
        <f>IF(OR(COUNTA(B574:C578,E574:F578)&gt;0,D574="X",D574="x",D575="X",D575="x",D576="X",D576="x",D577="X",D577="x",D578="X",D578="x",OR(D573="X",D573="x")),IF(OR(OR(D573="X",D573="x"),AND(B573=F573,C573=E573)),0,IF(OR(F573&lt;B573,AND(F573=B573,E573&lt;C573)),1,0)),0)+IF(OR(COUNTA(B582:C586,E582:F586)&gt;0,D582="X",D582="x",D583="X",D583="x",D584="X",D584="x",D585="X",D585="x",D586="X",D586="x",OR(D581="X",D581="x")),IF(OR(OR(D581="X",D581="x"),AND(B581=F581,C581=E581)),0,IF(OR(F581&lt;B581,AND(F581=B581,E581&lt;C581)),1,0)),0)</f>
      </c>
      <c r="D598" s="14" t="str">
        <f>IF(OR(COUNTA(B574:C578,E574:F578)&gt;0,D574="X",D574="x",D575="X",D575="x",D576="X",D576="x",D577="X",D577="x",D578="X",D578="x",OR(D573="X",D573="x")),IF(OR(OR(D573="X",D573="x"),AND(B573=F573,C573=E573)),1,0),0)+IF(OR(COUNTA(B582:C586,E582:F586)&gt;0,D582="X",D582="x",D583="X",D583="x",D584="X",D584="x",D585="X",D585="x",D586="X",D586="x",OR(D581="X",D581="x")),IF(OR(OR(D581="X",D581="x"),AND(B581=F581,C581=E581)),1,0),0)</f>
      </c>
      <c r="G598" s="18" t="str">
        <f>RANK(U598,$U$598:$U$600)+COUNTIF($U$597:U597,U598)</f>
      </c>
      <c r="I598" s="14" t="str">
        <f>data!$E$88&amp;" "&amp;data!$B$88</f>
      </c>
      <c r="J598" s="14" t="str">
        <f>IF(OR(COUNTA(J574:K578,M574:N578)&gt;0,L574="X",L574="x",L575="X",L575="x",L576="X",L576="x",L577="X",L577="x",L578="X",L578="x",OR(L573="X",L573="x")),IF(OR(OR(L573="X",L573="x"),AND(J573=N573,K573=M573)),0,IF(OR(N573&gt;J573,AND(N573=J573,M573&gt;K573)),1,0)),0)+IF(OR(COUNTA(J582:K586,M582:N586)&gt;0,L582="X",L582="x",L583="X",L583="x",L584="X",L584="x",L585="X",L585="x",L586="X",L586="x",OR(L581="X",L581="x")),IF(OR(OR(L581="X",L581="x"),AND(J581=N581,K581=M581)),0,IF(OR(N581&gt;J581,AND(N581=J581,M581&gt;K581)),1,0)),0)</f>
      </c>
      <c r="K598" s="14" t="str">
        <f>IF(OR(COUNTA(J574:K578,M574:N578)&gt;0,L574="X",L574="x",L575="X",L575="x",L576="X",L576="x",L577="X",L577="x",L578="X",L578="x",OR(L573="X",L573="x")),IF(OR(OR(L573="X",L573="x"),AND(J573=N573,K573=M573)),0,IF(OR(N573&lt;J573,AND(N573=J573,M573&lt;K573)),1,0)),0)+IF(OR(COUNTA(J582:K586,M582:N586)&gt;0,L582="X",L582="x",L583="X",L583="x",L584="X",L584="x",L585="X",L585="x",L586="X",L586="x",OR(L581="X",L581="x")),IF(OR(OR(L581="X",L581="x"),AND(J581=N581,K581=M581)),0,IF(OR(N581&lt;J581,AND(N581=J581,M581&lt;K581)),1,0)),0)</f>
      </c>
      <c r="L598" s="14" t="str">
        <f>IF(OR(COUNTA(J574:K578,M574:N578)&gt;0,L574="X",L574="x",L575="X",L575="x",L576="X",L576="x",L577="X",L577="x",L578="X",L578="x",OR(L573="X",L573="x")),IF(OR(OR(L573="X",L573="x"),AND(J573=N573,K573=M573)),1,0),0)+IF(OR(COUNTA(J582:K586,M582:N586)&gt;0,L582="X",L582="x",L583="X",L583="x",L584="X",L584="x",L585="X",L585="x",L586="X",L586="x",OR(L581="X",L581="x")),IF(OR(OR(L581="X",L581="x"),AND(J581=N581,K581=M581)),1,0),0)</f>
      </c>
      <c r="O598" s="18" t="str">
        <f>RANK(AC598,$AC$598:$AC$600)+COUNTIF($AC$597:AC597,AC598)</f>
      </c>
      <c r="U598" t="str">
        <f>(B598*1000000000)-(C598*10000000)+(D598*100000)+(B603*1000)-(C603*100)+(D603*10)+(E603*1)-(F603*0.01)</f>
      </c>
      <c r="AC598" t="str">
        <f>(J598*1000000000)-(K598*10000000)+(L598*100000)+(J603*1000)-(K603*100)+(L603*10)+(M603*1)-(N603*0.01)</f>
      </c>
    </row>
    <row r="599">
      <c r="A599" s="14" t="str">
        <f>data!$E$44&amp;" "&amp;data!$B$44</f>
      </c>
      <c r="B599" s="14" t="str">
        <f>IF(OR(COUNTA(B574:C578,E574:F578)&gt;0,D574="X",D574="x",D575="X",D575="x",D576="X",D576="x",D577="X",D577="x",D578="X",D578="x",OR(D573="X",D573="x")),IF(OR(OR(D573="X",D573="x"),AND(B573=F573,C573=E573)),0,IF(OR(B573&gt;F573,AND(B573=F573,C573&gt;E573)),1,0)),0)+IF(OR(COUNTA(B590:C594,E590:F594)&gt;0,D590="X",D590="x",D591="X",D591="x",D592="X",D592="x",D593="X",D593="x",D594="X",D594="x",OR(D589="X",D589="x")),IF(OR(OR(D589="X",D589="x"),AND(B589=F589,C589=E589)),0,IF(OR(F589&gt;B589,AND(F589=B589,E589&gt;C589)),1,0)),0)</f>
      </c>
      <c r="C599" s="14" t="str">
        <f>IF(OR(COUNTA(B574:C578,E574:F578)&gt;0,D574="X",D574="x",D575="X",D575="x",D576="X",D576="x",D577="X",D577="x",D578="X",D578="x",OR(D573="X",D573="x")),IF(OR(OR(D573="X",D573="x"),AND(B573=F573,C573=E573)),0,IF(OR(B573&lt;F573,AND(B573=F573,C573&lt;E573)),1,0)),0)+IF(OR(COUNTA(B590:C594,E590:F594)&gt;0,D590="X",D590="x",D591="X",D591="x",D592="X",D592="x",D593="X",D593="x",D594="X",D594="x",OR(D589="X",D589="x")),IF(OR(OR(D589="X",D589="x"),AND(B589=F589,C589=E589)),0,IF(OR(F589&lt;B589,AND(F589=B589,E589&lt;C589)),1,0)),0)</f>
      </c>
      <c r="D599" s="14" t="str">
        <f>IF(OR(COUNTA(B574:C578,E574:F578)&gt;0,D574="X",D574="x",D575="X",D575="x",D576="X",D576="x",D577="X",D577="x",D578="X",D578="x",OR(D573="X",D573="x")),IF(OR(OR(D573="X",D573="x"),AND(B573=F573,C573=E573)),1,0),0)+IF(OR(COUNTA(B590:C594,E590:F594)&gt;0,D590="X",D590="x",D591="X",D591="x",D592="X",D592="x",D593="X",D593="x",D594="X",D594="x",OR(D589="X",D589="x")),IF(OR(OR(D589="X",D589="x"),AND(B589=F589,C589=E589)),1,0),0)</f>
      </c>
      <c r="G599" s="18" t="str">
        <f>RANK(U599,$U$598:$U$600)+COUNTIF($U$597:U598,U599)</f>
      </c>
      <c r="I599" s="14" t="str">
        <f>data!$E$89&amp;" "&amp;data!$B$89</f>
      </c>
      <c r="J599" s="14" t="str">
        <f>IF(OR(COUNTA(J574:K578,M574:N578)&gt;0,L574="X",L574="x",L575="X",L575="x",L576="X",L576="x",L577="X",L577="x",L578="X",L578="x",OR(L573="X",L573="x")),IF(OR(OR(L573="X",L573="x"),AND(J573=N573,K573=M573)),0,IF(OR(J573&gt;N573,AND(J573=N573,K573&gt;M573)),1,0)),0)+IF(OR(COUNTA(J590:K594,M590:N594)&gt;0,L590="X",L590="x",L591="X",L591="x",L592="X",L592="x",L593="X",L593="x",L594="X",L594="x",OR(L589="X",L589="x")),IF(OR(OR(L589="X",L589="x"),AND(J589=N589,K589=M589)),0,IF(OR(N589&gt;J589,AND(N589=J589,M589&gt;K589)),1,0)),0)</f>
      </c>
      <c r="K599" s="14" t="str">
        <f>IF(OR(COUNTA(J574:K578,M574:N578)&gt;0,L574="X",L574="x",L575="X",L575="x",L576="X",L576="x",L577="X",L577="x",L578="X",L578="x",OR(L573="X",L573="x")),IF(OR(OR(L573="X",L573="x"),AND(J573=N573,K573=M573)),0,IF(OR(J573&lt;N573,AND(J573=N573,K573&lt;M573)),1,0)),0)+IF(OR(COUNTA(J590:K594,M590:N594)&gt;0,L590="X",L590="x",L591="X",L591="x",L592="X",L592="x",L593="X",L593="x",L594="X",L594="x",OR(L589="X",L589="x")),IF(OR(OR(L589="X",L589="x"),AND(J589=N589,K589=M589)),0,IF(OR(N589&lt;J589,AND(N589=J589,M589&lt;K589)),1,0)),0)</f>
      </c>
      <c r="L599" s="14" t="str">
        <f>IF(OR(COUNTA(J574:K578,M574:N578)&gt;0,L574="X",L574="x",L575="X",L575="x",L576="X",L576="x",L577="X",L577="x",L578="X",L578="x",OR(L573="X",L573="x")),IF(OR(OR(L573="X",L573="x"),AND(J573=N573,K573=M573)),1,0),0)+IF(OR(COUNTA(J590:K594,M590:N594)&gt;0,L590="X",L590="x",L591="X",L591="x",L592="X",L592="x",L593="X",L593="x",L594="X",L594="x",OR(L589="X",L589="x")),IF(OR(OR(L589="X",L589="x"),AND(J589=N589,K589=M589)),1,0),0)</f>
      </c>
      <c r="O599" s="18" t="str">
        <f>RANK(AC599,$AC$598:$AC$600)+COUNTIF($AC$597:AC598,AC599)</f>
      </c>
      <c r="U599" t="str">
        <f>(B599*1000000000)-(C599*10000000)+(D599*100000)+(B604*1000)-(C604*100)+(D604*10)+(E604*1)-(F604*0.01)</f>
      </c>
      <c r="AC599" t="str">
        <f>(J599*1000000000)-(K599*10000000)+(L599*100000)+(J604*1000)-(K604*100)+(L604*10)+(M604*1)-(N604*0.01)</f>
      </c>
    </row>
    <row r="600">
      <c r="A600" s="14" t="str">
        <f>data!$E$45&amp;" "&amp;data!$B$45</f>
      </c>
      <c r="B600" s="14" t="str">
        <f>IF(OR(COUNTA(B582:C586,E582:F586)&gt;0,D582="X",D582="x",D583="X",D583="x",D584="X",D584="x",D585="X",D585="x",D586="X",D586="x",OR(D581="X",D581="x")),IF(OR(OR(D581="X",D581="x"),AND(B581=F581,C581=E581)),0,IF(OR(B581&gt;F581,AND(B581=F581,C581&gt;E581)),1,0)),0)+IF(OR(COUNTA(B590:C594,E590:F594)&gt;0,D590="X",D590="x",D591="X",D591="x",D592="X",D592="x",D593="X",D593="x",D594="X",D594="x",OR(D589="X",D589="x")),IF(OR(OR(D589="X",D589="x"),AND(B589=F589,C589=E589)),0,IF(OR(B589&gt;F589,AND(B589=F589,C589&gt;E589)),1,0)),0)</f>
      </c>
      <c r="C600" s="14" t="str">
        <f>IF(OR(COUNTA(B582:C586,E582:F586)&gt;0,D582="X",D582="x",D583="X",D583="x",D584="X",D584="x",D585="X",D585="x",D586="X",D586="x",OR(D581="X",D581="x")),IF(OR(OR(D581="X",D581="x"),AND(B581=F581,C581=E581)),0,IF(OR(B581&lt;F581,AND(B581=F581,C581&lt;E581)),1,0)),0)+IF(OR(COUNTA(B590:C594,E590:F594)&gt;0,D590="X",D590="x",D591="X",D591="x",D592="X",D592="x",D593="X",D593="x",D594="X",D594="x",OR(D589="X",D589="x")),IF(OR(OR(D589="X",D589="x"),AND(B589=F589,C589=E589)),0,IF(OR(B589&lt;F589,AND(B589=F589,C589&lt;E589)),1,0)),0)</f>
      </c>
      <c r="D600" s="14" t="str">
        <f>IF(OR(COUNTA(B582:C586,E582:F586)&gt;0,D582="X",D582="x",D583="X",D583="x",D584="X",D584="x",D585="X",D585="x",D586="X",D586="x",OR(D581="X",D581="x")),IF(OR(OR(D581="X",D581="x"),AND(B581=F581,C581=E581)),1,0),0)+IF(OR(COUNTA(B590:C594,E590:F594)&gt;0,D590="X",D590="x",D591="X",D591="x",D592="X",D592="x",D593="X",D593="x",D594="X",D594="x",OR(D589="X",D589="x")),IF(OR(OR(D589="X",D589="x"),AND(B589=F589,C589=E589)),1,0),0)</f>
      </c>
      <c r="G600" s="18" t="str">
        <f>RANK(U600,$U$598:$U$600)+COUNTIF($U$597:U599,U600)</f>
      </c>
      <c r="I600" s="14" t="str">
        <f>data!$E$90&amp;" "&amp;data!$B$90</f>
      </c>
      <c r="J600" s="14" t="str">
        <f>IF(OR(COUNTA(J582:K586,M582:N586)&gt;0,L582="X",L582="x",L583="X",L583="x",L584="X",L584="x",L585="X",L585="x",L586="X",L586="x",OR(L581="X",L581="x")),IF(OR(OR(L581="X",L581="x"),AND(J581=N581,K581=M581)),0,IF(OR(J581&gt;N581,AND(J581=N581,K581&gt;M581)),1,0)),0)+IF(OR(COUNTA(J590:K594,M590:N594)&gt;0,L590="X",L590="x",L591="X",L591="x",L592="X",L592="x",L593="X",L593="x",L594="X",L594="x",OR(L589="X",L589="x")),IF(OR(OR(L589="X",L589="x"),AND(J589=N589,K589=M589)),0,IF(OR(J589&gt;N589,AND(J589=N589,K589&gt;M589)),1,0)),0)</f>
      </c>
      <c r="K600" s="14" t="str">
        <f>IF(OR(COUNTA(J582:K586,M582:N586)&gt;0,L582="X",L582="x",L583="X",L583="x",L584="X",L584="x",L585="X",L585="x",L586="X",L586="x",OR(L581="X",L581="x")),IF(OR(OR(L581="X",L581="x"),AND(J581=N581,K581=M581)),0,IF(OR(J581&lt;N581,AND(J581=N581,K581&lt;M581)),1,0)),0)+IF(OR(COUNTA(J590:K594,M590:N594)&gt;0,L590="X",L590="x",L591="X",L591="x",L592="X",L592="x",L593="X",L593="x",L594="X",L594="x",OR(L589="X",L589="x")),IF(OR(OR(L589="X",L589="x"),AND(J589=N589,K589=M589)),0,IF(OR(J589&lt;N589,AND(J589=N589,K589&lt;M589)),1,0)),0)</f>
      </c>
      <c r="L600" s="14" t="str">
        <f>IF(OR(COUNTA(J582:K586,M582:N586)&gt;0,L582="X",L582="x",L583="X",L583="x",L584="X",L584="x",L585="X",L585="x",L586="X",L586="x",OR(L581="X",L581="x")),IF(OR(OR(L581="X",L581="x"),AND(J581=N581,K581=M581)),1,0),0)+IF(OR(COUNTA(J590:K594,M590:N594)&gt;0,L590="X",L590="x",L591="X",L591="x",L592="X",L592="x",L593="X",L593="x",L594="X",L594="x",OR(L589="X",L589="x")),IF(OR(OR(L589="X",L589="x"),AND(J589=N589,K589=M589)),1,0),0)</f>
      </c>
      <c r="O600" s="18" t="str">
        <f>RANK(AC600,$AC$598:$AC$600)+COUNTIF($AC$597:AC599,AC600)</f>
      </c>
      <c r="U600" t="str">
        <f>(B600*1000000000)-(C600*10000000)+(D600*100000)+(B605*1000)-(C605*100)+(D605*10)+(E605*1)-(F605*0.01)</f>
      </c>
      <c r="AC600" t="str">
        <f>(J600*1000000000)-(K600*10000000)+(L600*100000)+(J605*1000)-(K605*100)+(L605*10)+(M605*1)-(N605*0.01)</f>
      </c>
    </row>
    <row r="602">
      <c r="A602" s="13"/>
      <c r="B602" s="13" t="s">
        <v>338</v>
      </c>
      <c r="C602" s="13" t="s">
        <v>339</v>
      </c>
      <c r="D602" s="13" t="s">
        <v>340</v>
      </c>
      <c r="E602" s="13" t="s">
        <v>341</v>
      </c>
      <c r="F602" s="13" t="s">
        <v>342</v>
      </c>
      <c r="I602" s="13"/>
      <c r="J602" s="13" t="s">
        <v>338</v>
      </c>
      <c r="K602" s="13" t="s">
        <v>339</v>
      </c>
      <c r="L602" s="13" t="s">
        <v>340</v>
      </c>
      <c r="M602" s="13" t="s">
        <v>341</v>
      </c>
      <c r="N602" s="13" t="s">
        <v>342</v>
      </c>
    </row>
    <row r="603">
      <c r="A603" s="14" t="str">
        <f>data!$E$43&amp;" "&amp;data!$B$43</f>
      </c>
      <c r="B603" s="14" t="str">
        <f>IF(OR(COUNTA(B574:C578,E574:F578)&gt;0,OR(D573="X",D573="x"),UPPER(D574)="X",UPPER(D575)="X",UPPER(D576)="X",UPPER(D577)="X",UPPER(D578)="X"),F573,0)+IF(OR(COUNTA(B582:C586,E582:F586)&gt;0,OR(D581="X",D581="x"),UPPER(D582)="X",UPPER(D583)="X",UPPER(D584)="X",UPPER(D585)="X",UPPER(D586)="X"),F581,0)</f>
      </c>
      <c r="C603" s="14" t="str">
        <f>IF(OR(COUNTA(B574:C578,E574:F578)&gt;0,OR(D573="X",D573="x"),UPPER(D574)="X",UPPER(D575)="X",UPPER(D576)="X",UPPER(D577)="X",UPPER(D578)="X"),B573,0)+IF(OR(COUNTA(B582:C586,E582:F586)&gt;0,OR(D581="X",D581="x"),UPPER(D582)="X",UPPER(D583)="X",UPPER(D584)="X",UPPER(D585)="X",UPPER(D586)="X"),B581,0)</f>
      </c>
      <c r="D603" s="14" t="str">
        <f>IF(OR(COUNTA(B574:C578,E574:F578)&gt;0,OR(D573="X",D573="x"),UPPER(D574)="X",UPPER(D575)="X",UPPER(D576)="X",UPPER(D577)="X",UPPER(D578)="X"),(IF(OR(D574="X",D574="x",AND(COUNTA(B574,C574,E574,F574)&gt;0,(LEN(SUBSTITUTE(SUBSTITUTE(SUBSTITUTE(B574," ",""),"0",""),"-",""))+LEN(SUBSTITUTE(SUBSTITUTE(SUBSTITUTE(C574," ",""),"0",""),"-","")))=(LEN(SUBSTITUTE(SUBSTITUTE(SUBSTITUTE(E574," ",""),"0",""),"-",""))+LEN(SUBSTITUTE(SUBSTITUTE(SUBSTITUTE(F574," ",""),"0",""),"-",""))))),1,0)+IF(OR(D575="X",D575="x",AND(COUNTA(B575,C575,E575,F575)&gt;0,(LEN(SUBSTITUTE(SUBSTITUTE(SUBSTITUTE(B575," ",""),"0",""),"-",""))+LEN(SUBSTITUTE(SUBSTITUTE(SUBSTITUTE(C575," ",""),"0",""),"-","")))=(LEN(SUBSTITUTE(SUBSTITUTE(SUBSTITUTE(E575," ",""),"0",""),"-",""))+LEN(SUBSTITUTE(SUBSTITUTE(SUBSTITUTE(F575," ",""),"0",""),"-",""))))),1,0)+IF(OR(D576="X",D576="x",AND(COUNTA(B576,C576,E576,F576)&gt;0,(LEN(SUBSTITUTE(SUBSTITUTE(SUBSTITUTE(B576," ",""),"0",""),"-",""))+LEN(SUBSTITUTE(SUBSTITUTE(SUBSTITUTE(C576," ",""),"0",""),"-","")))=(LEN(SUBSTITUTE(SUBSTITUTE(SUBSTITUTE(E576," ",""),"0",""),"-",""))+LEN(SUBSTITUTE(SUBSTITUTE(SUBSTITUTE(F576," ",""),"0",""),"-",""))))),1,0)+IF(OR(D577="X",D577="x",AND(COUNTA(B577,C577,E577,F577)&gt;0,(LEN(SUBSTITUTE(SUBSTITUTE(SUBSTITUTE(B577," ",""),"0",""),"-",""))+LEN(SUBSTITUTE(SUBSTITUTE(SUBSTITUTE(C577," ",""),"0",""),"-","")))=(LEN(SUBSTITUTE(SUBSTITUTE(SUBSTITUTE(E577," ",""),"0",""),"-",""))+LEN(SUBSTITUTE(SUBSTITUTE(SUBSTITUTE(F577," ",""),"0",""),"-",""))))),1,0)+IF(OR(D578="X",D578="x",AND(COUNTA(B578,C578,E578,F578)&gt;0,(LEN(SUBSTITUTE(SUBSTITUTE(SUBSTITUTE(B578," ",""),"0",""),"-",""))+LEN(SUBSTITUTE(SUBSTITUTE(SUBSTITUTE(C578," ",""),"0",""),"-","")))=(LEN(SUBSTITUTE(SUBSTITUTE(SUBSTITUTE(E578," ",""),"0",""),"-",""))+LEN(SUBSTITUTE(SUBSTITUTE(SUBSTITUTE(F578," ",""),"0",""),"-",""))))),1,0)),0)+IF(OR(COUNTA(B582:C586,E582:F586)&gt;0,OR(D581="X",D581="x"),UPPER(D582)="X",UPPER(D583)="X",UPPER(D584)="X",UPPER(D585)="X",UPPER(D586)="X"),(IF(OR(D582="X",D582="x",AND(COUNTA(B582,C582,E582,F582)&gt;0,(LEN(SUBSTITUTE(SUBSTITUTE(SUBSTITUTE(B582," ",""),"0",""),"-",""))+LEN(SUBSTITUTE(SUBSTITUTE(SUBSTITUTE(C582," ",""),"0",""),"-","")))=(LEN(SUBSTITUTE(SUBSTITUTE(SUBSTITUTE(E582," ",""),"0",""),"-",""))+LEN(SUBSTITUTE(SUBSTITUTE(SUBSTITUTE(F582," ",""),"0",""),"-",""))))),1,0)+IF(OR(D583="X",D583="x",AND(COUNTA(B583,C583,E583,F583)&gt;0,(LEN(SUBSTITUTE(SUBSTITUTE(SUBSTITUTE(B583," ",""),"0",""),"-",""))+LEN(SUBSTITUTE(SUBSTITUTE(SUBSTITUTE(C583," ",""),"0",""),"-","")))=(LEN(SUBSTITUTE(SUBSTITUTE(SUBSTITUTE(E583," ",""),"0",""),"-",""))+LEN(SUBSTITUTE(SUBSTITUTE(SUBSTITUTE(F583," ",""),"0",""),"-",""))))),1,0)+IF(OR(D584="X",D584="x",AND(COUNTA(B584,C584,E584,F584)&gt;0,(LEN(SUBSTITUTE(SUBSTITUTE(SUBSTITUTE(B584," ",""),"0",""),"-",""))+LEN(SUBSTITUTE(SUBSTITUTE(SUBSTITUTE(C584," ",""),"0",""),"-","")))=(LEN(SUBSTITUTE(SUBSTITUTE(SUBSTITUTE(E584," ",""),"0",""),"-",""))+LEN(SUBSTITUTE(SUBSTITUTE(SUBSTITUTE(F584," ",""),"0",""),"-",""))))),1,0)+IF(OR(D585="X",D585="x",AND(COUNTA(B585,C585,E585,F585)&gt;0,(LEN(SUBSTITUTE(SUBSTITUTE(SUBSTITUTE(B585," ",""),"0",""),"-",""))+LEN(SUBSTITUTE(SUBSTITUTE(SUBSTITUTE(C585," ",""),"0",""),"-","")))=(LEN(SUBSTITUTE(SUBSTITUTE(SUBSTITUTE(E585," ",""),"0",""),"-",""))+LEN(SUBSTITUTE(SUBSTITUTE(SUBSTITUTE(F585," ",""),"0",""),"-",""))))),1,0)+IF(OR(D586="X",D586="x",AND(COUNTA(B586,C586,E586,F586)&gt;0,(LEN(SUBSTITUTE(SUBSTITUTE(SUBSTITUTE(B586," ",""),"0",""),"-",""))+LEN(SUBSTITUTE(SUBSTITUTE(SUBSTITUTE(C586," ",""),"0",""),"-","")))=(LEN(SUBSTITUTE(SUBSTITUTE(SUBSTITUTE(E586," ",""),"0",""),"-",""))+LEN(SUBSTITUTE(SUBSTITUTE(SUBSTITUTE(F586," ",""),"0",""),"-",""))))),1,0)),0)</f>
      </c>
      <c r="E603" s="14" t="str">
        <f>E573+E581</f>
      </c>
      <c r="F603" s="14" t="str">
        <f>C573+C581</f>
      </c>
      <c r="I603" s="14" t="str">
        <f>data!$E$88&amp;" "&amp;data!$B$88</f>
      </c>
      <c r="J603" s="14" t="str">
        <f>IF(OR(COUNTA(J574:K578,M574:N578)&gt;0,OR(L573="X",L573="x"),UPPER(L574)="X",UPPER(L575)="X",UPPER(L576)="X",UPPER(L577)="X",UPPER(L578)="X"),N573,0)+IF(OR(COUNTA(J582:K586,M582:N586)&gt;0,OR(L581="X",L581="x"),UPPER(L582)="X",UPPER(L583)="X",UPPER(L584)="X",UPPER(L585)="X",UPPER(L586)="X"),N581,0)</f>
      </c>
      <c r="K603" s="14" t="str">
        <f>IF(OR(COUNTA(J574:K578,M574:N578)&gt;0,OR(L573="X",L573="x"),UPPER(L574)="X",UPPER(L575)="X",UPPER(L576)="X",UPPER(L577)="X",UPPER(L578)="X"),J573,0)+IF(OR(COUNTA(J582:K586,M582:N586)&gt;0,OR(L581="X",L581="x"),UPPER(L582)="X",UPPER(L583)="X",UPPER(L584)="X",UPPER(L585)="X",UPPER(L586)="X"),J581,0)</f>
      </c>
      <c r="L603" s="14" t="str">
        <f>IF(OR(COUNTA(J574:K578,M574:N578)&gt;0,OR(L573="X",L573="x"),UPPER(L574)="X",UPPER(L575)="X",UPPER(L576)="X",UPPER(L577)="X",UPPER(L578)="X"),(IF(OR(L574="X",L574="x",AND(COUNTA(J574,K574,M574,N574)&gt;0,(LEN(SUBSTITUTE(SUBSTITUTE(SUBSTITUTE(J574," ",""),"0",""),"-",""))+LEN(SUBSTITUTE(SUBSTITUTE(SUBSTITUTE(K574," ",""),"0",""),"-","")))=(LEN(SUBSTITUTE(SUBSTITUTE(SUBSTITUTE(M574," ",""),"0",""),"-",""))+LEN(SUBSTITUTE(SUBSTITUTE(SUBSTITUTE(N574," ",""),"0",""),"-",""))))),1,0)+IF(OR(L575="X",L575="x",AND(COUNTA(J575,K575,M575,N575)&gt;0,(LEN(SUBSTITUTE(SUBSTITUTE(SUBSTITUTE(J575," ",""),"0",""),"-",""))+LEN(SUBSTITUTE(SUBSTITUTE(SUBSTITUTE(K575," ",""),"0",""),"-","")))=(LEN(SUBSTITUTE(SUBSTITUTE(SUBSTITUTE(M575," ",""),"0",""),"-",""))+LEN(SUBSTITUTE(SUBSTITUTE(SUBSTITUTE(N575," ",""),"0",""),"-",""))))),1,0)+IF(OR(L576="X",L576="x",AND(COUNTA(J576,K576,M576,N576)&gt;0,(LEN(SUBSTITUTE(SUBSTITUTE(SUBSTITUTE(J576," ",""),"0",""),"-",""))+LEN(SUBSTITUTE(SUBSTITUTE(SUBSTITUTE(K576," ",""),"0",""),"-","")))=(LEN(SUBSTITUTE(SUBSTITUTE(SUBSTITUTE(M576," ",""),"0",""),"-",""))+LEN(SUBSTITUTE(SUBSTITUTE(SUBSTITUTE(N576," ",""),"0",""),"-",""))))),1,0)+IF(OR(L577="X",L577="x",AND(COUNTA(J577,K577,M577,N577)&gt;0,(LEN(SUBSTITUTE(SUBSTITUTE(SUBSTITUTE(J577," ",""),"0",""),"-",""))+LEN(SUBSTITUTE(SUBSTITUTE(SUBSTITUTE(K577," ",""),"0",""),"-","")))=(LEN(SUBSTITUTE(SUBSTITUTE(SUBSTITUTE(M577," ",""),"0",""),"-",""))+LEN(SUBSTITUTE(SUBSTITUTE(SUBSTITUTE(N577," ",""),"0",""),"-",""))))),1,0)+IF(OR(L578="X",L578="x",AND(COUNTA(J578,K578,M578,N578)&gt;0,(LEN(SUBSTITUTE(SUBSTITUTE(SUBSTITUTE(J578," ",""),"0",""),"-",""))+LEN(SUBSTITUTE(SUBSTITUTE(SUBSTITUTE(K578," ",""),"0",""),"-","")))=(LEN(SUBSTITUTE(SUBSTITUTE(SUBSTITUTE(M578," ",""),"0",""),"-",""))+LEN(SUBSTITUTE(SUBSTITUTE(SUBSTITUTE(N578," ",""),"0",""),"-",""))))),1,0)),0)+IF(OR(COUNTA(J582:K586,M582:N586)&gt;0,OR(L581="X",L581="x"),UPPER(L582)="X",UPPER(L583)="X",UPPER(L584)="X",UPPER(L585)="X",UPPER(L586)="X"),(IF(OR(L582="X",L582="x",AND(COUNTA(J582,K582,M582,N582)&gt;0,(LEN(SUBSTITUTE(SUBSTITUTE(SUBSTITUTE(J582," ",""),"0",""),"-",""))+LEN(SUBSTITUTE(SUBSTITUTE(SUBSTITUTE(K582," ",""),"0",""),"-","")))=(LEN(SUBSTITUTE(SUBSTITUTE(SUBSTITUTE(M582," ",""),"0",""),"-",""))+LEN(SUBSTITUTE(SUBSTITUTE(SUBSTITUTE(N582," ",""),"0",""),"-",""))))),1,0)+IF(OR(L583="X",L583="x",AND(COUNTA(J583,K583,M583,N583)&gt;0,(LEN(SUBSTITUTE(SUBSTITUTE(SUBSTITUTE(J583," ",""),"0",""),"-",""))+LEN(SUBSTITUTE(SUBSTITUTE(SUBSTITUTE(K583," ",""),"0",""),"-","")))=(LEN(SUBSTITUTE(SUBSTITUTE(SUBSTITUTE(M583," ",""),"0",""),"-",""))+LEN(SUBSTITUTE(SUBSTITUTE(SUBSTITUTE(N583," ",""),"0",""),"-",""))))),1,0)+IF(OR(L584="X",L584="x",AND(COUNTA(J584,K584,M584,N584)&gt;0,(LEN(SUBSTITUTE(SUBSTITUTE(SUBSTITUTE(J584," ",""),"0",""),"-",""))+LEN(SUBSTITUTE(SUBSTITUTE(SUBSTITUTE(K584," ",""),"0",""),"-","")))=(LEN(SUBSTITUTE(SUBSTITUTE(SUBSTITUTE(M584," ",""),"0",""),"-",""))+LEN(SUBSTITUTE(SUBSTITUTE(SUBSTITUTE(N584," ",""),"0",""),"-",""))))),1,0)+IF(OR(L585="X",L585="x",AND(COUNTA(J585,K585,M585,N585)&gt;0,(LEN(SUBSTITUTE(SUBSTITUTE(SUBSTITUTE(J585," ",""),"0",""),"-",""))+LEN(SUBSTITUTE(SUBSTITUTE(SUBSTITUTE(K585," ",""),"0",""),"-","")))=(LEN(SUBSTITUTE(SUBSTITUTE(SUBSTITUTE(M585," ",""),"0",""),"-",""))+LEN(SUBSTITUTE(SUBSTITUTE(SUBSTITUTE(N585," ",""),"0",""),"-",""))))),1,0)+IF(OR(L586="X",L586="x",AND(COUNTA(J586,K586,M586,N586)&gt;0,(LEN(SUBSTITUTE(SUBSTITUTE(SUBSTITUTE(J586," ",""),"0",""),"-",""))+LEN(SUBSTITUTE(SUBSTITUTE(SUBSTITUTE(K586," ",""),"0",""),"-","")))=(LEN(SUBSTITUTE(SUBSTITUTE(SUBSTITUTE(M586," ",""),"0",""),"-",""))+LEN(SUBSTITUTE(SUBSTITUTE(SUBSTITUTE(N586," ",""),"0",""),"-",""))))),1,0)),0)</f>
      </c>
      <c r="M603" s="14" t="str">
        <f>M573+M581</f>
      </c>
      <c r="N603" s="14" t="str">
        <f>K573+K581</f>
      </c>
    </row>
    <row r="604">
      <c r="A604" s="14" t="str">
        <f>data!$E$44&amp;" "&amp;data!$B$44</f>
      </c>
      <c r="B604" s="14" t="str">
        <f>IF(OR(COUNTA(B574:C578,E574:F578)&gt;0,OR(D573="X",D573="x"),UPPER(D574)="X",UPPER(D575)="X",UPPER(D576)="X",UPPER(D577)="X",UPPER(D578)="X"),B573,0)+IF(OR(COUNTA(B590:C594,E590:F594)&gt;0,OR(D589="X",D589="x"),UPPER(D590)="X",UPPER(D591)="X",UPPER(D592)="X",UPPER(D593)="X",UPPER(D594)="X"),F589,0)</f>
      </c>
      <c r="C604" s="14" t="str">
        <f>IF(OR(COUNTA(B574:C578,E574:F578)&gt;0,OR(D573="X",D573="x"),UPPER(D574)="X",UPPER(D575)="X",UPPER(D576)="X",UPPER(D577)="X",UPPER(D578)="X"),F573,0)+IF(OR(COUNTA(B590:C594,E590:F594)&gt;0,OR(D589="X",D589="x"),UPPER(D590)="X",UPPER(D591)="X",UPPER(D592)="X",UPPER(D593)="X",UPPER(D594)="X"),B589,0)</f>
      </c>
      <c r="D604" s="14" t="str">
        <f>IF(OR(COUNTA(B574:C578,E574:F578)&gt;0,OR(D573="X",D573="x"),UPPER(D574)="X",UPPER(D575)="X",UPPER(D576)="X",UPPER(D577)="X",UPPER(D578)="X"),(IF(OR(D574="X",D574="x",AND(COUNTA(B574,C574,E574,F574)&gt;0,(LEN(SUBSTITUTE(SUBSTITUTE(SUBSTITUTE(B574," ",""),"0",""),"-",""))+LEN(SUBSTITUTE(SUBSTITUTE(SUBSTITUTE(C574," ",""),"0",""),"-","")))=(LEN(SUBSTITUTE(SUBSTITUTE(SUBSTITUTE(E574," ",""),"0",""),"-",""))+LEN(SUBSTITUTE(SUBSTITUTE(SUBSTITUTE(F574," ",""),"0",""),"-",""))))),1,0)+IF(OR(D575="X",D575="x",AND(COUNTA(B575,C575,E575,F575)&gt;0,(LEN(SUBSTITUTE(SUBSTITUTE(SUBSTITUTE(B575," ",""),"0",""),"-",""))+LEN(SUBSTITUTE(SUBSTITUTE(SUBSTITUTE(C575," ",""),"0",""),"-","")))=(LEN(SUBSTITUTE(SUBSTITUTE(SUBSTITUTE(E575," ",""),"0",""),"-",""))+LEN(SUBSTITUTE(SUBSTITUTE(SUBSTITUTE(F575," ",""),"0",""),"-",""))))),1,0)+IF(OR(D576="X",D576="x",AND(COUNTA(B576,C576,E576,F576)&gt;0,(LEN(SUBSTITUTE(SUBSTITUTE(SUBSTITUTE(B576," ",""),"0",""),"-",""))+LEN(SUBSTITUTE(SUBSTITUTE(SUBSTITUTE(C576," ",""),"0",""),"-","")))=(LEN(SUBSTITUTE(SUBSTITUTE(SUBSTITUTE(E576," ",""),"0",""),"-",""))+LEN(SUBSTITUTE(SUBSTITUTE(SUBSTITUTE(F576," ",""),"0",""),"-",""))))),1,0)+IF(OR(D577="X",D577="x",AND(COUNTA(B577,C577,E577,F577)&gt;0,(LEN(SUBSTITUTE(SUBSTITUTE(SUBSTITUTE(B577," ",""),"0",""),"-",""))+LEN(SUBSTITUTE(SUBSTITUTE(SUBSTITUTE(C577," ",""),"0",""),"-","")))=(LEN(SUBSTITUTE(SUBSTITUTE(SUBSTITUTE(E577," ",""),"0",""),"-",""))+LEN(SUBSTITUTE(SUBSTITUTE(SUBSTITUTE(F577," ",""),"0",""),"-",""))))),1,0)+IF(OR(D578="X",D578="x",AND(COUNTA(B578,C578,E578,F578)&gt;0,(LEN(SUBSTITUTE(SUBSTITUTE(SUBSTITUTE(B578," ",""),"0",""),"-",""))+LEN(SUBSTITUTE(SUBSTITUTE(SUBSTITUTE(C578," ",""),"0",""),"-","")))=(LEN(SUBSTITUTE(SUBSTITUTE(SUBSTITUTE(E578," ",""),"0",""),"-",""))+LEN(SUBSTITUTE(SUBSTITUTE(SUBSTITUTE(F578," ",""),"0",""),"-",""))))),1,0)),0)+IF(OR(COUNTA(B590:C594,E590:F594)&gt;0,OR(D589="X",D589="x"),UPPER(D590)="X",UPPER(D591)="X",UPPER(D592)="X",UPPER(D593)="X",UPPER(D594)="X"),(IF(OR(D590="X",D590="x",AND(COUNTA(B590,C590,E590,F590)&gt;0,(LEN(SUBSTITUTE(SUBSTITUTE(SUBSTITUTE(B590," ",""),"0",""),"-",""))+LEN(SUBSTITUTE(SUBSTITUTE(SUBSTITUTE(C590," ",""),"0",""),"-","")))=(LEN(SUBSTITUTE(SUBSTITUTE(SUBSTITUTE(E590," ",""),"0",""),"-",""))+LEN(SUBSTITUTE(SUBSTITUTE(SUBSTITUTE(F590," ",""),"0",""),"-",""))))),1,0)+IF(OR(D591="X",D591="x",AND(COUNTA(B591,C591,E591,F591)&gt;0,(LEN(SUBSTITUTE(SUBSTITUTE(SUBSTITUTE(B591," ",""),"0",""),"-",""))+LEN(SUBSTITUTE(SUBSTITUTE(SUBSTITUTE(C591," ",""),"0",""),"-","")))=(LEN(SUBSTITUTE(SUBSTITUTE(SUBSTITUTE(E591," ",""),"0",""),"-",""))+LEN(SUBSTITUTE(SUBSTITUTE(SUBSTITUTE(F591," ",""),"0",""),"-",""))))),1,0)+IF(OR(D592="X",D592="x",AND(COUNTA(B592,C592,E592,F592)&gt;0,(LEN(SUBSTITUTE(SUBSTITUTE(SUBSTITUTE(B592," ",""),"0",""),"-",""))+LEN(SUBSTITUTE(SUBSTITUTE(SUBSTITUTE(C592," ",""),"0",""),"-","")))=(LEN(SUBSTITUTE(SUBSTITUTE(SUBSTITUTE(E592," ",""),"0",""),"-",""))+LEN(SUBSTITUTE(SUBSTITUTE(SUBSTITUTE(F592," ",""),"0",""),"-",""))))),1,0)+IF(OR(D593="X",D593="x",AND(COUNTA(B593,C593,E593,F593)&gt;0,(LEN(SUBSTITUTE(SUBSTITUTE(SUBSTITUTE(B593," ",""),"0",""),"-",""))+LEN(SUBSTITUTE(SUBSTITUTE(SUBSTITUTE(C593," ",""),"0",""),"-","")))=(LEN(SUBSTITUTE(SUBSTITUTE(SUBSTITUTE(E593," ",""),"0",""),"-",""))+LEN(SUBSTITUTE(SUBSTITUTE(SUBSTITUTE(F593," ",""),"0",""),"-",""))))),1,0)+IF(OR(D594="X",D594="x",AND(COUNTA(B594,C594,E594,F594)&gt;0,(LEN(SUBSTITUTE(SUBSTITUTE(SUBSTITUTE(B594," ",""),"0",""),"-",""))+LEN(SUBSTITUTE(SUBSTITUTE(SUBSTITUTE(C594," ",""),"0",""),"-","")))=(LEN(SUBSTITUTE(SUBSTITUTE(SUBSTITUTE(E594," ",""),"0",""),"-",""))+LEN(SUBSTITUTE(SUBSTITUTE(SUBSTITUTE(F594," ",""),"0",""),"-",""))))),1,0)),0)</f>
      </c>
      <c r="E604" s="14" t="str">
        <f>C573+E589</f>
      </c>
      <c r="F604" s="14" t="str">
        <f>E573+C589</f>
      </c>
      <c r="I604" s="14" t="str">
        <f>data!$E$89&amp;" "&amp;data!$B$89</f>
      </c>
      <c r="J604" s="14" t="str">
        <f>IF(OR(COUNTA(J574:K578,M574:N578)&gt;0,OR(L573="X",L573="x"),UPPER(L574)="X",UPPER(L575)="X",UPPER(L576)="X",UPPER(L577)="X",UPPER(L578)="X"),J573,0)+IF(OR(COUNTA(J590:K594,M590:N594)&gt;0,OR(L589="X",L589="x"),UPPER(L590)="X",UPPER(L591)="X",UPPER(L592)="X",UPPER(L593)="X",UPPER(L594)="X"),N589,0)</f>
      </c>
      <c r="K604" s="14" t="str">
        <f>IF(OR(COUNTA(J574:K578,M574:N578)&gt;0,OR(L573="X",L573="x"),UPPER(L574)="X",UPPER(L575)="X",UPPER(L576)="X",UPPER(L577)="X",UPPER(L578)="X"),N573,0)+IF(OR(COUNTA(J590:K594,M590:N594)&gt;0,OR(L589="X",L589="x"),UPPER(L590)="X",UPPER(L591)="X",UPPER(L592)="X",UPPER(L593)="X",UPPER(L594)="X"),J589,0)</f>
      </c>
      <c r="L604" s="14" t="str">
        <f>IF(OR(COUNTA(J574:K578,M574:N578)&gt;0,OR(L573="X",L573="x"),UPPER(L574)="X",UPPER(L575)="X",UPPER(L576)="X",UPPER(L577)="X",UPPER(L578)="X"),(IF(OR(L574="X",L574="x",AND(COUNTA(J574,K574,M574,N574)&gt;0,(LEN(SUBSTITUTE(SUBSTITUTE(SUBSTITUTE(J574," ",""),"0",""),"-",""))+LEN(SUBSTITUTE(SUBSTITUTE(SUBSTITUTE(K574," ",""),"0",""),"-","")))=(LEN(SUBSTITUTE(SUBSTITUTE(SUBSTITUTE(M574," ",""),"0",""),"-",""))+LEN(SUBSTITUTE(SUBSTITUTE(SUBSTITUTE(N574," ",""),"0",""),"-",""))))),1,0)+IF(OR(L575="X",L575="x",AND(COUNTA(J575,K575,M575,N575)&gt;0,(LEN(SUBSTITUTE(SUBSTITUTE(SUBSTITUTE(J575," ",""),"0",""),"-",""))+LEN(SUBSTITUTE(SUBSTITUTE(SUBSTITUTE(K575," ",""),"0",""),"-","")))=(LEN(SUBSTITUTE(SUBSTITUTE(SUBSTITUTE(M575," ",""),"0",""),"-",""))+LEN(SUBSTITUTE(SUBSTITUTE(SUBSTITUTE(N575," ",""),"0",""),"-",""))))),1,0)+IF(OR(L576="X",L576="x",AND(COUNTA(J576,K576,M576,N576)&gt;0,(LEN(SUBSTITUTE(SUBSTITUTE(SUBSTITUTE(J576," ",""),"0",""),"-",""))+LEN(SUBSTITUTE(SUBSTITUTE(SUBSTITUTE(K576," ",""),"0",""),"-","")))=(LEN(SUBSTITUTE(SUBSTITUTE(SUBSTITUTE(M576," ",""),"0",""),"-",""))+LEN(SUBSTITUTE(SUBSTITUTE(SUBSTITUTE(N576," ",""),"0",""),"-",""))))),1,0)+IF(OR(L577="X",L577="x",AND(COUNTA(J577,K577,M577,N577)&gt;0,(LEN(SUBSTITUTE(SUBSTITUTE(SUBSTITUTE(J577," ",""),"0",""),"-",""))+LEN(SUBSTITUTE(SUBSTITUTE(SUBSTITUTE(K577," ",""),"0",""),"-","")))=(LEN(SUBSTITUTE(SUBSTITUTE(SUBSTITUTE(M577," ",""),"0",""),"-",""))+LEN(SUBSTITUTE(SUBSTITUTE(SUBSTITUTE(N577," ",""),"0",""),"-",""))))),1,0)+IF(OR(L578="X",L578="x",AND(COUNTA(J578,K578,M578,N578)&gt;0,(LEN(SUBSTITUTE(SUBSTITUTE(SUBSTITUTE(J578," ",""),"0",""),"-",""))+LEN(SUBSTITUTE(SUBSTITUTE(SUBSTITUTE(K578," ",""),"0",""),"-","")))=(LEN(SUBSTITUTE(SUBSTITUTE(SUBSTITUTE(M578," ",""),"0",""),"-",""))+LEN(SUBSTITUTE(SUBSTITUTE(SUBSTITUTE(N578," ",""),"0",""),"-",""))))),1,0)),0)+IF(OR(COUNTA(J590:K594,M590:N594)&gt;0,OR(L589="X",L589="x"),UPPER(L590)="X",UPPER(L591)="X",UPPER(L592)="X",UPPER(L593)="X",UPPER(L594)="X"),(IF(OR(L590="X",L590="x",AND(COUNTA(J590,K590,M590,N590)&gt;0,(LEN(SUBSTITUTE(SUBSTITUTE(SUBSTITUTE(J590," ",""),"0",""),"-",""))+LEN(SUBSTITUTE(SUBSTITUTE(SUBSTITUTE(K590," ",""),"0",""),"-","")))=(LEN(SUBSTITUTE(SUBSTITUTE(SUBSTITUTE(M590," ",""),"0",""),"-",""))+LEN(SUBSTITUTE(SUBSTITUTE(SUBSTITUTE(N590," ",""),"0",""),"-",""))))),1,0)+IF(OR(L591="X",L591="x",AND(COUNTA(J591,K591,M591,N591)&gt;0,(LEN(SUBSTITUTE(SUBSTITUTE(SUBSTITUTE(J591," ",""),"0",""),"-",""))+LEN(SUBSTITUTE(SUBSTITUTE(SUBSTITUTE(K591," ",""),"0",""),"-","")))=(LEN(SUBSTITUTE(SUBSTITUTE(SUBSTITUTE(M591," ",""),"0",""),"-",""))+LEN(SUBSTITUTE(SUBSTITUTE(SUBSTITUTE(N591," ",""),"0",""),"-",""))))),1,0)+IF(OR(L592="X",L592="x",AND(COUNTA(J592,K592,M592,N592)&gt;0,(LEN(SUBSTITUTE(SUBSTITUTE(SUBSTITUTE(J592," ",""),"0",""),"-",""))+LEN(SUBSTITUTE(SUBSTITUTE(SUBSTITUTE(K592," ",""),"0",""),"-","")))=(LEN(SUBSTITUTE(SUBSTITUTE(SUBSTITUTE(M592," ",""),"0",""),"-",""))+LEN(SUBSTITUTE(SUBSTITUTE(SUBSTITUTE(N592," ",""),"0",""),"-",""))))),1,0)+IF(OR(L593="X",L593="x",AND(COUNTA(J593,K593,M593,N593)&gt;0,(LEN(SUBSTITUTE(SUBSTITUTE(SUBSTITUTE(J593," ",""),"0",""),"-",""))+LEN(SUBSTITUTE(SUBSTITUTE(SUBSTITUTE(K593," ",""),"0",""),"-","")))=(LEN(SUBSTITUTE(SUBSTITUTE(SUBSTITUTE(M593," ",""),"0",""),"-",""))+LEN(SUBSTITUTE(SUBSTITUTE(SUBSTITUTE(N593," ",""),"0",""),"-",""))))),1,0)+IF(OR(L594="X",L594="x",AND(COUNTA(J594,K594,M594,N594)&gt;0,(LEN(SUBSTITUTE(SUBSTITUTE(SUBSTITUTE(J594," ",""),"0",""),"-",""))+LEN(SUBSTITUTE(SUBSTITUTE(SUBSTITUTE(K594," ",""),"0",""),"-","")))=(LEN(SUBSTITUTE(SUBSTITUTE(SUBSTITUTE(M594," ",""),"0",""),"-",""))+LEN(SUBSTITUTE(SUBSTITUTE(SUBSTITUTE(N594," ",""),"0",""),"-",""))))),1,0)),0)</f>
      </c>
      <c r="M604" s="14" t="str">
        <f>K573+M589</f>
      </c>
      <c r="N604" s="14" t="str">
        <f>M573+K589</f>
      </c>
    </row>
    <row r="605">
      <c r="A605" s="14" t="str">
        <f>data!$E$45&amp;" "&amp;data!$B$45</f>
      </c>
      <c r="B605" s="14" t="str">
        <f>IF(OR(COUNTA(B582:C586,E582:F586)&gt;0,OR(D581="X",D581="x"),UPPER(D582)="X",UPPER(D583)="X",UPPER(D584)="X",UPPER(D585)="X",UPPER(D586)="X"),B581,0)+IF(OR(COUNTA(B590:C594,E590:F594)&gt;0,OR(D589="X",D589="x"),UPPER(D590)="X",UPPER(D591)="X",UPPER(D592)="X",UPPER(D593)="X",UPPER(D594)="X"),B589,0)</f>
      </c>
      <c r="C605" s="14" t="str">
        <f>IF(OR(COUNTA(B582:C586,E582:F586)&gt;0,OR(D581="X",D581="x"),UPPER(D582)="X",UPPER(D583)="X",UPPER(D584)="X",UPPER(D585)="X",UPPER(D586)="X"),F581,0)+IF(OR(COUNTA(B590:C594,E590:F594)&gt;0,OR(D589="X",D589="x"),UPPER(D590)="X",UPPER(D591)="X",UPPER(D592)="X",UPPER(D593)="X",UPPER(D594)="X"),F589,0)</f>
      </c>
      <c r="D605" s="14" t="str">
        <f>IF(OR(COUNTA(B582:C586,E582:F586)&gt;0,OR(D581="X",D581="x"),UPPER(D582)="X",UPPER(D583)="X",UPPER(D584)="X",UPPER(D585)="X",UPPER(D586)="X"),(IF(OR(D582="X",D582="x",AND(COUNTA(B582,C582,E582,F582)&gt;0,(LEN(SUBSTITUTE(SUBSTITUTE(SUBSTITUTE(B582," ",""),"0",""),"-",""))+LEN(SUBSTITUTE(SUBSTITUTE(SUBSTITUTE(C582," ",""),"0",""),"-","")))=(LEN(SUBSTITUTE(SUBSTITUTE(SUBSTITUTE(E582," ",""),"0",""),"-",""))+LEN(SUBSTITUTE(SUBSTITUTE(SUBSTITUTE(F582," ",""),"0",""),"-",""))))),1,0)+IF(OR(D583="X",D583="x",AND(COUNTA(B583,C583,E583,F583)&gt;0,(LEN(SUBSTITUTE(SUBSTITUTE(SUBSTITUTE(B583," ",""),"0",""),"-",""))+LEN(SUBSTITUTE(SUBSTITUTE(SUBSTITUTE(C583," ",""),"0",""),"-","")))=(LEN(SUBSTITUTE(SUBSTITUTE(SUBSTITUTE(E583," ",""),"0",""),"-",""))+LEN(SUBSTITUTE(SUBSTITUTE(SUBSTITUTE(F583," ",""),"0",""),"-",""))))),1,0)+IF(OR(D584="X",D584="x",AND(COUNTA(B584,C584,E584,F584)&gt;0,(LEN(SUBSTITUTE(SUBSTITUTE(SUBSTITUTE(B584," ",""),"0",""),"-",""))+LEN(SUBSTITUTE(SUBSTITUTE(SUBSTITUTE(C584," ",""),"0",""),"-","")))=(LEN(SUBSTITUTE(SUBSTITUTE(SUBSTITUTE(E584," ",""),"0",""),"-",""))+LEN(SUBSTITUTE(SUBSTITUTE(SUBSTITUTE(F584," ",""),"0",""),"-",""))))),1,0)+IF(OR(D585="X",D585="x",AND(COUNTA(B585,C585,E585,F585)&gt;0,(LEN(SUBSTITUTE(SUBSTITUTE(SUBSTITUTE(B585," ",""),"0",""),"-",""))+LEN(SUBSTITUTE(SUBSTITUTE(SUBSTITUTE(C585," ",""),"0",""),"-","")))=(LEN(SUBSTITUTE(SUBSTITUTE(SUBSTITUTE(E585," ",""),"0",""),"-",""))+LEN(SUBSTITUTE(SUBSTITUTE(SUBSTITUTE(F585," ",""),"0",""),"-",""))))),1,0)+IF(OR(D586="X",D586="x",AND(COUNTA(B586,C586,E586,F586)&gt;0,(LEN(SUBSTITUTE(SUBSTITUTE(SUBSTITUTE(B586," ",""),"0",""),"-",""))+LEN(SUBSTITUTE(SUBSTITUTE(SUBSTITUTE(C586," ",""),"0",""),"-","")))=(LEN(SUBSTITUTE(SUBSTITUTE(SUBSTITUTE(E586," ",""),"0",""),"-",""))+LEN(SUBSTITUTE(SUBSTITUTE(SUBSTITUTE(F586," ",""),"0",""),"-",""))))),1,0)),0)+IF(OR(COUNTA(B590:C594,E590:F594)&gt;0,OR(D589="X",D589="x"),UPPER(D590)="X",UPPER(D591)="X",UPPER(D592)="X",UPPER(D593)="X",UPPER(D594)="X"),(IF(OR(D590="X",D590="x",AND(COUNTA(B590,C590,E590,F590)&gt;0,(LEN(SUBSTITUTE(SUBSTITUTE(SUBSTITUTE(B590," ",""),"0",""),"-",""))+LEN(SUBSTITUTE(SUBSTITUTE(SUBSTITUTE(C590," ",""),"0",""),"-","")))=(LEN(SUBSTITUTE(SUBSTITUTE(SUBSTITUTE(E590," ",""),"0",""),"-",""))+LEN(SUBSTITUTE(SUBSTITUTE(SUBSTITUTE(F590," ",""),"0",""),"-",""))))),1,0)+IF(OR(D591="X",D591="x",AND(COUNTA(B591,C591,E591,F591)&gt;0,(LEN(SUBSTITUTE(SUBSTITUTE(SUBSTITUTE(B591," ",""),"0",""),"-",""))+LEN(SUBSTITUTE(SUBSTITUTE(SUBSTITUTE(C591," ",""),"0",""),"-","")))=(LEN(SUBSTITUTE(SUBSTITUTE(SUBSTITUTE(E591," ",""),"0",""),"-",""))+LEN(SUBSTITUTE(SUBSTITUTE(SUBSTITUTE(F591," ",""),"0",""),"-",""))))),1,0)+IF(OR(D592="X",D592="x",AND(COUNTA(B592,C592,E592,F592)&gt;0,(LEN(SUBSTITUTE(SUBSTITUTE(SUBSTITUTE(B592," ",""),"0",""),"-",""))+LEN(SUBSTITUTE(SUBSTITUTE(SUBSTITUTE(C592," ",""),"0",""),"-","")))=(LEN(SUBSTITUTE(SUBSTITUTE(SUBSTITUTE(E592," ",""),"0",""),"-",""))+LEN(SUBSTITUTE(SUBSTITUTE(SUBSTITUTE(F592," ",""),"0",""),"-",""))))),1,0)+IF(OR(D593="X",D593="x",AND(COUNTA(B593,C593,E593,F593)&gt;0,(LEN(SUBSTITUTE(SUBSTITUTE(SUBSTITUTE(B593," ",""),"0",""),"-",""))+LEN(SUBSTITUTE(SUBSTITUTE(SUBSTITUTE(C593," ",""),"0",""),"-","")))=(LEN(SUBSTITUTE(SUBSTITUTE(SUBSTITUTE(E593," ",""),"0",""),"-",""))+LEN(SUBSTITUTE(SUBSTITUTE(SUBSTITUTE(F593," ",""),"0",""),"-",""))))),1,0)+IF(OR(D594="X",D594="x",AND(COUNTA(B594,C594,E594,F594)&gt;0,(LEN(SUBSTITUTE(SUBSTITUTE(SUBSTITUTE(B594," ",""),"0",""),"-",""))+LEN(SUBSTITUTE(SUBSTITUTE(SUBSTITUTE(C594," ",""),"0",""),"-","")))=(LEN(SUBSTITUTE(SUBSTITUTE(SUBSTITUTE(E594," ",""),"0",""),"-",""))+LEN(SUBSTITUTE(SUBSTITUTE(SUBSTITUTE(F594," ",""),"0",""),"-",""))))),1,0)),0)</f>
      </c>
      <c r="E605" s="14" t="str">
        <f>C581+C589</f>
      </c>
      <c r="F605" s="14" t="str">
        <f>E581+E589</f>
      </c>
      <c r="I605" s="14" t="str">
        <f>data!$E$90&amp;" "&amp;data!$B$90</f>
      </c>
      <c r="J605" s="14" t="str">
        <f>IF(OR(COUNTA(J582:K586,M582:N586)&gt;0,OR(L581="X",L581="x"),UPPER(L582)="X",UPPER(L583)="X",UPPER(L584)="X",UPPER(L585)="X",UPPER(L586)="X"),J581,0)+IF(OR(COUNTA(J590:K594,M590:N594)&gt;0,OR(L589="X",L589="x"),UPPER(L590)="X",UPPER(L591)="X",UPPER(L592)="X",UPPER(L593)="X",UPPER(L594)="X"),J589,0)</f>
      </c>
      <c r="K605" s="14" t="str">
        <f>IF(OR(COUNTA(J582:K586,M582:N586)&gt;0,OR(L581="X",L581="x"),UPPER(L582)="X",UPPER(L583)="X",UPPER(L584)="X",UPPER(L585)="X",UPPER(L586)="X"),N581,0)+IF(OR(COUNTA(J590:K594,M590:N594)&gt;0,OR(L589="X",L589="x"),UPPER(L590)="X",UPPER(L591)="X",UPPER(L592)="X",UPPER(L593)="X",UPPER(L594)="X"),N589,0)</f>
      </c>
      <c r="L605" s="14" t="str">
        <f>IF(OR(COUNTA(J582:K586,M582:N586)&gt;0,OR(L581="X",L581="x"),UPPER(L582)="X",UPPER(L583)="X",UPPER(L584)="X",UPPER(L585)="X",UPPER(L586)="X"),(IF(OR(L582="X",L582="x",AND(COUNTA(J582,K582,M582,N582)&gt;0,(LEN(SUBSTITUTE(SUBSTITUTE(SUBSTITUTE(J582," ",""),"0",""),"-",""))+LEN(SUBSTITUTE(SUBSTITUTE(SUBSTITUTE(K582," ",""),"0",""),"-","")))=(LEN(SUBSTITUTE(SUBSTITUTE(SUBSTITUTE(M582," ",""),"0",""),"-",""))+LEN(SUBSTITUTE(SUBSTITUTE(SUBSTITUTE(N582," ",""),"0",""),"-",""))))),1,0)+IF(OR(L583="X",L583="x",AND(COUNTA(J583,K583,M583,N583)&gt;0,(LEN(SUBSTITUTE(SUBSTITUTE(SUBSTITUTE(J583," ",""),"0",""),"-",""))+LEN(SUBSTITUTE(SUBSTITUTE(SUBSTITUTE(K583," ",""),"0",""),"-","")))=(LEN(SUBSTITUTE(SUBSTITUTE(SUBSTITUTE(M583," ",""),"0",""),"-",""))+LEN(SUBSTITUTE(SUBSTITUTE(SUBSTITUTE(N583," ",""),"0",""),"-",""))))),1,0)+IF(OR(L584="X",L584="x",AND(COUNTA(J584,K584,M584,N584)&gt;0,(LEN(SUBSTITUTE(SUBSTITUTE(SUBSTITUTE(J584," ",""),"0",""),"-",""))+LEN(SUBSTITUTE(SUBSTITUTE(SUBSTITUTE(K584," ",""),"0",""),"-","")))=(LEN(SUBSTITUTE(SUBSTITUTE(SUBSTITUTE(M584," ",""),"0",""),"-",""))+LEN(SUBSTITUTE(SUBSTITUTE(SUBSTITUTE(N584," ",""),"0",""),"-",""))))),1,0)+IF(OR(L585="X",L585="x",AND(COUNTA(J585,K585,M585,N585)&gt;0,(LEN(SUBSTITUTE(SUBSTITUTE(SUBSTITUTE(J585," ",""),"0",""),"-",""))+LEN(SUBSTITUTE(SUBSTITUTE(SUBSTITUTE(K585," ",""),"0",""),"-","")))=(LEN(SUBSTITUTE(SUBSTITUTE(SUBSTITUTE(M585," ",""),"0",""),"-",""))+LEN(SUBSTITUTE(SUBSTITUTE(SUBSTITUTE(N585," ",""),"0",""),"-",""))))),1,0)+IF(OR(L586="X",L586="x",AND(COUNTA(J586,K586,M586,N586)&gt;0,(LEN(SUBSTITUTE(SUBSTITUTE(SUBSTITUTE(J586," ",""),"0",""),"-",""))+LEN(SUBSTITUTE(SUBSTITUTE(SUBSTITUTE(K586," ",""),"0",""),"-","")))=(LEN(SUBSTITUTE(SUBSTITUTE(SUBSTITUTE(M586," ",""),"0",""),"-",""))+LEN(SUBSTITUTE(SUBSTITUTE(SUBSTITUTE(N586," ",""),"0",""),"-",""))))),1,0)),0)+IF(OR(COUNTA(J590:K594,M590:N594)&gt;0,OR(L589="X",L589="x"),UPPER(L590)="X",UPPER(L591)="X",UPPER(L592)="X",UPPER(L593)="X",UPPER(L594)="X"),(IF(OR(L590="X",L590="x",AND(COUNTA(J590,K590,M590,N590)&gt;0,(LEN(SUBSTITUTE(SUBSTITUTE(SUBSTITUTE(J590," ",""),"0",""),"-",""))+LEN(SUBSTITUTE(SUBSTITUTE(SUBSTITUTE(K590," ",""),"0",""),"-","")))=(LEN(SUBSTITUTE(SUBSTITUTE(SUBSTITUTE(M590," ",""),"0",""),"-",""))+LEN(SUBSTITUTE(SUBSTITUTE(SUBSTITUTE(N590," ",""),"0",""),"-",""))))),1,0)+IF(OR(L591="X",L591="x",AND(COUNTA(J591,K591,M591,N591)&gt;0,(LEN(SUBSTITUTE(SUBSTITUTE(SUBSTITUTE(J591," ",""),"0",""),"-",""))+LEN(SUBSTITUTE(SUBSTITUTE(SUBSTITUTE(K591," ",""),"0",""),"-","")))=(LEN(SUBSTITUTE(SUBSTITUTE(SUBSTITUTE(M591," ",""),"0",""),"-",""))+LEN(SUBSTITUTE(SUBSTITUTE(SUBSTITUTE(N591," ",""),"0",""),"-",""))))),1,0)+IF(OR(L592="X",L592="x",AND(COUNTA(J592,K592,M592,N592)&gt;0,(LEN(SUBSTITUTE(SUBSTITUTE(SUBSTITUTE(J592," ",""),"0",""),"-",""))+LEN(SUBSTITUTE(SUBSTITUTE(SUBSTITUTE(K592," ",""),"0",""),"-","")))=(LEN(SUBSTITUTE(SUBSTITUTE(SUBSTITUTE(M592," ",""),"0",""),"-",""))+LEN(SUBSTITUTE(SUBSTITUTE(SUBSTITUTE(N592," ",""),"0",""),"-",""))))),1,0)+IF(OR(L593="X",L593="x",AND(COUNTA(J593,K593,M593,N593)&gt;0,(LEN(SUBSTITUTE(SUBSTITUTE(SUBSTITUTE(J593," ",""),"0",""),"-",""))+LEN(SUBSTITUTE(SUBSTITUTE(SUBSTITUTE(K593," ",""),"0",""),"-","")))=(LEN(SUBSTITUTE(SUBSTITUTE(SUBSTITUTE(M593," ",""),"0",""),"-",""))+LEN(SUBSTITUTE(SUBSTITUTE(SUBSTITUTE(N593," ",""),"0",""),"-",""))))),1,0)+IF(OR(L594="X",L594="x",AND(COUNTA(J594,K594,M594,N594)&gt;0,(LEN(SUBSTITUTE(SUBSTITUTE(SUBSTITUTE(J594," ",""),"0",""),"-",""))+LEN(SUBSTITUTE(SUBSTITUTE(SUBSTITUTE(K594," ",""),"0",""),"-","")))=(LEN(SUBSTITUTE(SUBSTITUTE(SUBSTITUTE(M594," ",""),"0",""),"-",""))+LEN(SUBSTITUTE(SUBSTITUTE(SUBSTITUTE(N594," ",""),"0",""),"-",""))))),1,0)),0)</f>
      </c>
      <c r="M605" s="14" t="str">
        <f>K581+K589</f>
      </c>
      <c r="N605" s="14" t="str">
        <f>M581+M589</f>
      </c>
    </row>
    <row r="608">
      <c r="F608" s="13"/>
      <c r="G608" s="13" t="s">
        <v>343</v>
      </c>
      <c r="N608" s="13"/>
      <c r="O608" s="13" t="s">
        <v>343</v>
      </c>
    </row>
    <row r="609">
      <c r="F609" t="s">
        <v>344</v>
      </c>
      <c r="G609" s="19" t="str">
        <f>IFERROR(INDEX($A$598:$A$605, MATCH(1, $G$598:$G$605, 0)), "-")</f>
      </c>
      <c r="N609" t="s">
        <v>344</v>
      </c>
      <c r="O609" s="19" t="str">
        <f>IFERROR(INDEX($I$598:$I$605, MATCH(1, $O$598:$O$605, 0)), "-")</f>
      </c>
    </row>
    <row r="610">
      <c r="F610" t="s">
        <v>345</v>
      </c>
      <c r="G610" s="19" t="str">
        <f>IFERROR(INDEX($A$598:$A$605, MATCH(2, $G$598:$G$605, 0)), "-")</f>
      </c>
      <c r="N610" t="s">
        <v>345</v>
      </c>
      <c r="O610" s="19" t="str">
        <f>IFERROR(INDEX($I$598:$I$605, MATCH(2, $O$598:$O$605, 0)), "-")</f>
      </c>
    </row>
    <row r="611">
      <c r="F611" t="s">
        <v>346</v>
      </c>
      <c r="G611" s="19" t="str">
        <f>IFERROR(INDEX($A$598:$A$605, MATCH(3, $G$598:$G$605, 0)), "-")</f>
      </c>
      <c r="N611" t="s">
        <v>346</v>
      </c>
      <c r="O611" s="19" t="str">
        <f>IFERROR(INDEX($I$598:$I$605, MATCH(3, $O$598:$O$605, 0)), "-")</f>
      </c>
    </row>
    <row r="614">
      <c r="A614" s="13" t="str">
        <f>'data'!$A$48</f>
      </c>
      <c r="B614" s="13"/>
      <c r="C614" s="13"/>
      <c r="D614" s="13"/>
      <c r="E614" s="13"/>
      <c r="F614" s="13"/>
      <c r="G614" s="13"/>
      <c r="I614" s="13" t="str">
        <f>'data'!$A$93</f>
      </c>
      <c r="J614" s="13"/>
      <c r="K614" s="13"/>
      <c r="L614" s="13"/>
      <c r="M614" s="13"/>
      <c r="N614" s="13"/>
      <c r="O614" s="13"/>
    </row>
    <row r="615">
      <c r="A615" s="17" t="s">
        <v>330</v>
      </c>
      <c r="B615" s="14"/>
      <c r="C615" s="14"/>
      <c r="D615" s="14" t="s">
        <v>331</v>
      </c>
      <c r="E615" s="14"/>
      <c r="F615" s="14"/>
      <c r="G615" s="16" t="s">
        <v>332</v>
      </c>
      <c r="I615" s="17" t="s">
        <v>330</v>
      </c>
      <c r="J615" s="14"/>
      <c r="K615" s="14"/>
      <c r="L615" s="14" t="s">
        <v>331</v>
      </c>
      <c r="M615" s="14"/>
      <c r="N615" s="14"/>
      <c r="O615" s="16" t="s">
        <v>332</v>
      </c>
    </row>
    <row r="616">
      <c r="A616" s="14" t="str">
        <f>data!$E$47&amp;" "&amp;data!$B$47</f>
      </c>
      <c r="B616" s="14" t="str">
        <f>IF(UPPER(D617)="X",0,IF((LEN(SUBSTITUTE(SUBSTITUTE(SUBSTITUTE(B617," ",""),"0",""),"-",""))+LEN(SUBSTITUTE(SUBSTITUTE(SUBSTITUTE(C617," ",""),"0",""),"-","")))&gt;(LEN(SUBSTITUTE(SUBSTITUTE(SUBSTITUTE(E617," ",""),"0",""),"-",""))+LEN(SUBSTITUTE(SUBSTITUTE(SUBSTITUTE(F617," ",""),"0",""),"-",""))),1,0))+IF(UPPER(D618)="X",0,IF((LEN(SUBSTITUTE(SUBSTITUTE(SUBSTITUTE(B618," ",""),"0",""),"-",""))+LEN(SUBSTITUTE(SUBSTITUTE(SUBSTITUTE(C618," ",""),"0",""),"-","")))&gt;(LEN(SUBSTITUTE(SUBSTITUTE(SUBSTITUTE(E618," ",""),"0",""),"-",""))+LEN(SUBSTITUTE(SUBSTITUTE(SUBSTITUTE(F618," ",""),"0",""),"-",""))),1,0))+IF(UPPER(D619)="X",0,IF((LEN(SUBSTITUTE(SUBSTITUTE(SUBSTITUTE(B619," ",""),"0",""),"-",""))+LEN(SUBSTITUTE(SUBSTITUTE(SUBSTITUTE(C619," ",""),"0",""),"-","")))&gt;(LEN(SUBSTITUTE(SUBSTITUTE(SUBSTITUTE(E619," ",""),"0",""),"-",""))+LEN(SUBSTITUTE(SUBSTITUTE(SUBSTITUTE(F619," ",""),"0",""),"-",""))),1,0))+IF(UPPER(D620)="X",0,IF((LEN(SUBSTITUTE(SUBSTITUTE(SUBSTITUTE(B620," ",""),"0",""),"-",""))+LEN(SUBSTITUTE(SUBSTITUTE(SUBSTITUTE(C620," ",""),"0",""),"-","")))&gt;(LEN(SUBSTITUTE(SUBSTITUTE(SUBSTITUTE(E620," ",""),"0",""),"-",""))+LEN(SUBSTITUTE(SUBSTITUTE(SUBSTITUTE(F620," ",""),"0",""),"-",""))),1,0))+IF(UPPER(D621)="X",0,IF((LEN(SUBSTITUTE(SUBSTITUTE(SUBSTITUTE(B621," ",""),"0",""),"-",""))+LEN(SUBSTITUTE(SUBSTITUTE(SUBSTITUTE(C621," ",""),"0",""),"-","")))&gt;(LEN(SUBSTITUTE(SUBSTITUTE(SUBSTITUTE(E621," ",""),"0",""),"-",""))+LEN(SUBSTITUTE(SUBSTITUTE(SUBSTITUTE(F621," ",""),"0",""),"-",""))),1,0))</f>
      </c>
      <c r="C616" s="14" t="str">
        <f>LEN(SUBSTITUTE(SUBSTITUTE(SUBSTITUTE(B617," ",""),"0",""),"-",""))+LEN(SUBSTITUTE(SUBSTITUTE(SUBSTITUTE(C617," ",""),"0",""),"-",""))+LEN(SUBSTITUTE(SUBSTITUTE(SUBSTITUTE(B618," ",""),"0",""),"-",""))+LEN(SUBSTITUTE(SUBSTITUTE(SUBSTITUTE(C618," ",""),"0",""),"-",""))+LEN(SUBSTITUTE(SUBSTITUTE(SUBSTITUTE(B619," ",""),"0",""),"-",""))+LEN(SUBSTITUTE(SUBSTITUTE(SUBSTITUTE(C619," ",""),"0",""),"-",""))+LEN(SUBSTITUTE(SUBSTITUTE(SUBSTITUTE(B620," ",""),"0",""),"-",""))+LEN(SUBSTITUTE(SUBSTITUTE(SUBSTITUTE(C620," ",""),"0",""),"-",""))+LEN(SUBSTITUTE(SUBSTITUTE(SUBSTITUTE(B621," ",""),"0",""),"-",""))+LEN(SUBSTITUTE(SUBSTITUTE(SUBSTITUTE(C621," ",""),"0",""),"-",""))</f>
      </c>
      <c r="D616" s="18"/>
      <c r="E616" s="14" t="str">
        <f>LEN(SUBSTITUTE(SUBSTITUTE(SUBSTITUTE(E617," ",""),"0",""),"-",""))+LEN(SUBSTITUTE(SUBSTITUTE(SUBSTITUTE(F617," ",""),"0",""),"-",""))+LEN(SUBSTITUTE(SUBSTITUTE(SUBSTITUTE(E618," ",""),"0",""),"-",""))+LEN(SUBSTITUTE(SUBSTITUTE(SUBSTITUTE(F618," ",""),"0",""),"-",""))+LEN(SUBSTITUTE(SUBSTITUTE(SUBSTITUTE(E619," ",""),"0",""),"-",""))+LEN(SUBSTITUTE(SUBSTITUTE(SUBSTITUTE(F619," ",""),"0",""),"-",""))+LEN(SUBSTITUTE(SUBSTITUTE(SUBSTITUTE(E620," ",""),"0",""),"-",""))+LEN(SUBSTITUTE(SUBSTITUTE(SUBSTITUTE(F620," ",""),"0",""),"-",""))+LEN(SUBSTITUTE(SUBSTITUTE(SUBSTITUTE(E621," ",""),"0",""),"-",""))+LEN(SUBSTITUTE(SUBSTITUTE(SUBSTITUTE(F621," ",""),"0",""),"-",""))</f>
      </c>
      <c r="F616" s="14" t="str">
        <f>IF(UPPER(D617)="X",0,IF((LEN(SUBSTITUTE(SUBSTITUTE(SUBSTITUTE(E617," ",""),"0",""),"-",""))+LEN(SUBSTITUTE(SUBSTITUTE(SUBSTITUTE(F617," ",""),"0",""),"-","")))&gt;(LEN(SUBSTITUTE(SUBSTITUTE(SUBSTITUTE(B617," ",""),"0",""),"-",""))+LEN(SUBSTITUTE(SUBSTITUTE(SUBSTITUTE(C617," ",""),"0",""),"-",""))),1,0))+IF(UPPER(D618)="X",0,IF((LEN(SUBSTITUTE(SUBSTITUTE(SUBSTITUTE(E618," ",""),"0",""),"-",""))+LEN(SUBSTITUTE(SUBSTITUTE(SUBSTITUTE(F618," ",""),"0",""),"-","")))&gt;(LEN(SUBSTITUTE(SUBSTITUTE(SUBSTITUTE(B618," ",""),"0",""),"-",""))+LEN(SUBSTITUTE(SUBSTITUTE(SUBSTITUTE(C618," ",""),"0",""),"-",""))),1,0))+IF(UPPER(D619)="X",0,IF((LEN(SUBSTITUTE(SUBSTITUTE(SUBSTITUTE(E619," ",""),"0",""),"-",""))+LEN(SUBSTITUTE(SUBSTITUTE(SUBSTITUTE(F619," ",""),"0",""),"-","")))&gt;(LEN(SUBSTITUTE(SUBSTITUTE(SUBSTITUTE(B619," ",""),"0",""),"-",""))+LEN(SUBSTITUTE(SUBSTITUTE(SUBSTITUTE(C619," ",""),"0",""),"-",""))),1,0))+IF(UPPER(D620)="X",0,IF((LEN(SUBSTITUTE(SUBSTITUTE(SUBSTITUTE(E620," ",""),"0",""),"-",""))+LEN(SUBSTITUTE(SUBSTITUTE(SUBSTITUTE(F620," ",""),"0",""),"-","")))&gt;(LEN(SUBSTITUTE(SUBSTITUTE(SUBSTITUTE(B620," ",""),"0",""),"-",""))+LEN(SUBSTITUTE(SUBSTITUTE(SUBSTITUTE(C620," ",""),"0",""),"-",""))),1,0))+IF(UPPER(D621)="X",0,IF((LEN(SUBSTITUTE(SUBSTITUTE(SUBSTITUTE(E621," ",""),"0",""),"-",""))+LEN(SUBSTITUTE(SUBSTITUTE(SUBSTITUTE(F621," ",""),"0",""),"-","")))&gt;(LEN(SUBSTITUTE(SUBSTITUTE(SUBSTITUTE(B621," ",""),"0",""),"-",""))+LEN(SUBSTITUTE(SUBSTITUTE(SUBSTITUTE(C621," ",""),"0",""),"-",""))),1,0))</f>
      </c>
      <c r="G616" s="14" t="str">
        <f>data!$E$46&amp;" "&amp;data!$B$46</f>
      </c>
      <c r="I616" s="14" t="str">
        <f>data!$E$92&amp;" "&amp;data!$B$92</f>
      </c>
      <c r="J616" s="14" t="str">
        <f>IF(UPPER(L617)="X",0,IF((LEN(SUBSTITUTE(SUBSTITUTE(SUBSTITUTE(J617," ",""),"0",""),"-",""))+LEN(SUBSTITUTE(SUBSTITUTE(SUBSTITUTE(K617," ",""),"0",""),"-","")))&gt;(LEN(SUBSTITUTE(SUBSTITUTE(SUBSTITUTE(M617," ",""),"0",""),"-",""))+LEN(SUBSTITUTE(SUBSTITUTE(SUBSTITUTE(N617," ",""),"0",""),"-",""))),1,0))+IF(UPPER(L618)="X",0,IF((LEN(SUBSTITUTE(SUBSTITUTE(SUBSTITUTE(J618," ",""),"0",""),"-",""))+LEN(SUBSTITUTE(SUBSTITUTE(SUBSTITUTE(K618," ",""),"0",""),"-","")))&gt;(LEN(SUBSTITUTE(SUBSTITUTE(SUBSTITUTE(M618," ",""),"0",""),"-",""))+LEN(SUBSTITUTE(SUBSTITUTE(SUBSTITUTE(N618," ",""),"0",""),"-",""))),1,0))+IF(UPPER(L619)="X",0,IF((LEN(SUBSTITUTE(SUBSTITUTE(SUBSTITUTE(J619," ",""),"0",""),"-",""))+LEN(SUBSTITUTE(SUBSTITUTE(SUBSTITUTE(K619," ",""),"0",""),"-","")))&gt;(LEN(SUBSTITUTE(SUBSTITUTE(SUBSTITUTE(M619," ",""),"0",""),"-",""))+LEN(SUBSTITUTE(SUBSTITUTE(SUBSTITUTE(N619," ",""),"0",""),"-",""))),1,0))+IF(UPPER(L620)="X",0,IF((LEN(SUBSTITUTE(SUBSTITUTE(SUBSTITUTE(J620," ",""),"0",""),"-",""))+LEN(SUBSTITUTE(SUBSTITUTE(SUBSTITUTE(K620," ",""),"0",""),"-","")))&gt;(LEN(SUBSTITUTE(SUBSTITUTE(SUBSTITUTE(M620," ",""),"0",""),"-",""))+LEN(SUBSTITUTE(SUBSTITUTE(SUBSTITUTE(N620," ",""),"0",""),"-",""))),1,0))+IF(UPPER(L621)="X",0,IF((LEN(SUBSTITUTE(SUBSTITUTE(SUBSTITUTE(J621," ",""),"0",""),"-",""))+LEN(SUBSTITUTE(SUBSTITUTE(SUBSTITUTE(K621," ",""),"0",""),"-","")))&gt;(LEN(SUBSTITUTE(SUBSTITUTE(SUBSTITUTE(M621," ",""),"0",""),"-",""))+LEN(SUBSTITUTE(SUBSTITUTE(SUBSTITUTE(N621," ",""),"0",""),"-",""))),1,0))</f>
      </c>
      <c r="K616" s="14" t="str">
        <f>LEN(SUBSTITUTE(SUBSTITUTE(SUBSTITUTE(J617," ",""),"0",""),"-",""))+LEN(SUBSTITUTE(SUBSTITUTE(SUBSTITUTE(K617," ",""),"0",""),"-",""))+LEN(SUBSTITUTE(SUBSTITUTE(SUBSTITUTE(J618," ",""),"0",""),"-",""))+LEN(SUBSTITUTE(SUBSTITUTE(SUBSTITUTE(K618," ",""),"0",""),"-",""))+LEN(SUBSTITUTE(SUBSTITUTE(SUBSTITUTE(J619," ",""),"0",""),"-",""))+LEN(SUBSTITUTE(SUBSTITUTE(SUBSTITUTE(K619," ",""),"0",""),"-",""))+LEN(SUBSTITUTE(SUBSTITUTE(SUBSTITUTE(J620," ",""),"0",""),"-",""))+LEN(SUBSTITUTE(SUBSTITUTE(SUBSTITUTE(K620," ",""),"0",""),"-",""))+LEN(SUBSTITUTE(SUBSTITUTE(SUBSTITUTE(J621," ",""),"0",""),"-",""))+LEN(SUBSTITUTE(SUBSTITUTE(SUBSTITUTE(K621," ",""),"0",""),"-",""))</f>
      </c>
      <c r="L616" s="18"/>
      <c r="M616" s="14" t="str">
        <f>LEN(SUBSTITUTE(SUBSTITUTE(SUBSTITUTE(M617," ",""),"0",""),"-",""))+LEN(SUBSTITUTE(SUBSTITUTE(SUBSTITUTE(N617," ",""),"0",""),"-",""))+LEN(SUBSTITUTE(SUBSTITUTE(SUBSTITUTE(M618," ",""),"0",""),"-",""))+LEN(SUBSTITUTE(SUBSTITUTE(SUBSTITUTE(N618," ",""),"0",""),"-",""))+LEN(SUBSTITUTE(SUBSTITUTE(SUBSTITUTE(M619," ",""),"0",""),"-",""))+LEN(SUBSTITUTE(SUBSTITUTE(SUBSTITUTE(N619," ",""),"0",""),"-",""))+LEN(SUBSTITUTE(SUBSTITUTE(SUBSTITUTE(M620," ",""),"0",""),"-",""))+LEN(SUBSTITUTE(SUBSTITUTE(SUBSTITUTE(N620," ",""),"0",""),"-",""))+LEN(SUBSTITUTE(SUBSTITUTE(SUBSTITUTE(M621," ",""),"0",""),"-",""))+LEN(SUBSTITUTE(SUBSTITUTE(SUBSTITUTE(N621," ",""),"0",""),"-",""))</f>
      </c>
      <c r="N616" s="14" t="str">
        <f>IF(UPPER(L617)="X",0,IF((LEN(SUBSTITUTE(SUBSTITUTE(SUBSTITUTE(M617," ",""),"0",""),"-",""))+LEN(SUBSTITUTE(SUBSTITUTE(SUBSTITUTE(N617," ",""),"0",""),"-","")))&gt;(LEN(SUBSTITUTE(SUBSTITUTE(SUBSTITUTE(J617," ",""),"0",""),"-",""))+LEN(SUBSTITUTE(SUBSTITUTE(SUBSTITUTE(K617," ",""),"0",""),"-",""))),1,0))+IF(UPPER(L618)="X",0,IF((LEN(SUBSTITUTE(SUBSTITUTE(SUBSTITUTE(M618," ",""),"0",""),"-",""))+LEN(SUBSTITUTE(SUBSTITUTE(SUBSTITUTE(N618," ",""),"0",""),"-","")))&gt;(LEN(SUBSTITUTE(SUBSTITUTE(SUBSTITUTE(J618," ",""),"0",""),"-",""))+LEN(SUBSTITUTE(SUBSTITUTE(SUBSTITUTE(K618," ",""),"0",""),"-",""))),1,0))+IF(UPPER(L619)="X",0,IF((LEN(SUBSTITUTE(SUBSTITUTE(SUBSTITUTE(M619," ",""),"0",""),"-",""))+LEN(SUBSTITUTE(SUBSTITUTE(SUBSTITUTE(N619," ",""),"0",""),"-","")))&gt;(LEN(SUBSTITUTE(SUBSTITUTE(SUBSTITUTE(J619," ",""),"0",""),"-",""))+LEN(SUBSTITUTE(SUBSTITUTE(SUBSTITUTE(K619," ",""),"0",""),"-",""))),1,0))+IF(UPPER(L620)="X",0,IF((LEN(SUBSTITUTE(SUBSTITUTE(SUBSTITUTE(M620," ",""),"0",""),"-",""))+LEN(SUBSTITUTE(SUBSTITUTE(SUBSTITUTE(N620," ",""),"0",""),"-","")))&gt;(LEN(SUBSTITUTE(SUBSTITUTE(SUBSTITUTE(J620," ",""),"0",""),"-",""))+LEN(SUBSTITUTE(SUBSTITUTE(SUBSTITUTE(K620," ",""),"0",""),"-",""))),1,0))+IF(UPPER(L621)="X",0,IF((LEN(SUBSTITUTE(SUBSTITUTE(SUBSTITUTE(M621," ",""),"0",""),"-",""))+LEN(SUBSTITUTE(SUBSTITUTE(SUBSTITUTE(N621," ",""),"0",""),"-","")))&gt;(LEN(SUBSTITUTE(SUBSTITUTE(SUBSTITUTE(J621," ",""),"0",""),"-",""))+LEN(SUBSTITUTE(SUBSTITUTE(SUBSTITUTE(K621," ",""),"0",""),"-",""))),1,0))</f>
      </c>
      <c r="O616" s="14" t="str">
        <f>data!$E$91&amp;" "&amp;data!$B$91</f>
      </c>
    </row>
    <row r="617">
      <c r="A617" s="14">
        <v>1</v>
      </c>
      <c r="B617" s="18"/>
      <c r="C617" s="18"/>
      <c r="D617" s="18"/>
      <c r="E617" s="18"/>
      <c r="F617" s="18"/>
      <c r="G617" s="14">
        <v>1</v>
      </c>
      <c r="I617" s="14">
        <v>1</v>
      </c>
      <c r="J617" s="18"/>
      <c r="K617" s="18"/>
      <c r="L617" s="18"/>
      <c r="M617" s="18"/>
      <c r="N617" s="18"/>
      <c r="O617" s="14">
        <v>1</v>
      </c>
    </row>
    <row r="618">
      <c r="A618" s="14">
        <v>2</v>
      </c>
      <c r="B618" s="18"/>
      <c r="C618" s="18"/>
      <c r="D618" s="18"/>
      <c r="E618" s="18"/>
      <c r="F618" s="18"/>
      <c r="G618" s="14">
        <v>2</v>
      </c>
      <c r="I618" s="14">
        <v>2</v>
      </c>
      <c r="J618" s="18"/>
      <c r="K618" s="18"/>
      <c r="L618" s="18"/>
      <c r="M618" s="18"/>
      <c r="N618" s="18"/>
      <c r="O618" s="14">
        <v>2</v>
      </c>
    </row>
    <row r="619">
      <c r="A619" s="14">
        <v>3</v>
      </c>
      <c r="B619" s="18"/>
      <c r="C619" s="18"/>
      <c r="D619" s="18"/>
      <c r="E619" s="18"/>
      <c r="F619" s="18"/>
      <c r="G619" s="14">
        <v>3</v>
      </c>
      <c r="I619" s="14">
        <v>3</v>
      </c>
      <c r="J619" s="18"/>
      <c r="K619" s="18"/>
      <c r="L619" s="18"/>
      <c r="M619" s="18"/>
      <c r="N619" s="18"/>
      <c r="O619" s="14">
        <v>3</v>
      </c>
    </row>
    <row r="620">
      <c r="A620" s="14">
        <v>4</v>
      </c>
      <c r="B620" s="18"/>
      <c r="C620" s="18"/>
      <c r="D620" s="18"/>
      <c r="E620" s="18"/>
      <c r="F620" s="18"/>
      <c r="G620" s="14">
        <v>4</v>
      </c>
      <c r="I620" s="14">
        <v>4</v>
      </c>
      <c r="J620" s="18"/>
      <c r="K620" s="18"/>
      <c r="L620" s="18"/>
      <c r="M620" s="18"/>
      <c r="N620" s="18"/>
      <c r="O620" s="14">
        <v>4</v>
      </c>
    </row>
    <row r="621">
      <c r="A621" s="14">
        <v>5</v>
      </c>
      <c r="B621" s="18"/>
      <c r="C621" s="18"/>
      <c r="D621" s="18"/>
      <c r="E621" s="18"/>
      <c r="F621" s="18"/>
      <c r="G621" s="14">
        <v>5</v>
      </c>
      <c r="I621" s="14">
        <v>5</v>
      </c>
      <c r="J621" s="18"/>
      <c r="K621" s="18"/>
      <c r="L621" s="18"/>
      <c r="M621" s="18"/>
      <c r="N621" s="18"/>
      <c r="O621" s="14">
        <v>5</v>
      </c>
    </row>
    <row r="623">
      <c r="A623" s="17" t="s">
        <v>330</v>
      </c>
      <c r="B623" s="14"/>
      <c r="C623" s="14"/>
      <c r="D623" s="14" t="s">
        <v>331</v>
      </c>
      <c r="E623" s="14"/>
      <c r="F623" s="14"/>
      <c r="G623" s="16" t="s">
        <v>332</v>
      </c>
      <c r="I623" s="17" t="s">
        <v>330</v>
      </c>
      <c r="J623" s="14"/>
      <c r="K623" s="14"/>
      <c r="L623" s="14" t="s">
        <v>331</v>
      </c>
      <c r="M623" s="14"/>
      <c r="N623" s="14"/>
      <c r="O623" s="16" t="s">
        <v>332</v>
      </c>
    </row>
    <row r="624">
      <c r="A624" s="14" t="str">
        <f>data!$E$48&amp;" "&amp;data!$B$48</f>
      </c>
      <c r="B624" s="14" t="str">
        <f>IF(UPPER(D625)="X",0,IF((LEN(SUBSTITUTE(SUBSTITUTE(SUBSTITUTE(B625," ",""),"0",""),"-",""))+LEN(SUBSTITUTE(SUBSTITUTE(SUBSTITUTE(C625," ",""),"0",""),"-","")))&gt;(LEN(SUBSTITUTE(SUBSTITUTE(SUBSTITUTE(E625," ",""),"0",""),"-",""))+LEN(SUBSTITUTE(SUBSTITUTE(SUBSTITUTE(F625," ",""),"0",""),"-",""))),1,0))+IF(UPPER(D626)="X",0,IF((LEN(SUBSTITUTE(SUBSTITUTE(SUBSTITUTE(B626," ",""),"0",""),"-",""))+LEN(SUBSTITUTE(SUBSTITUTE(SUBSTITUTE(C626," ",""),"0",""),"-","")))&gt;(LEN(SUBSTITUTE(SUBSTITUTE(SUBSTITUTE(E626," ",""),"0",""),"-",""))+LEN(SUBSTITUTE(SUBSTITUTE(SUBSTITUTE(F626," ",""),"0",""),"-",""))),1,0))+IF(UPPER(D627)="X",0,IF((LEN(SUBSTITUTE(SUBSTITUTE(SUBSTITUTE(B627," ",""),"0",""),"-",""))+LEN(SUBSTITUTE(SUBSTITUTE(SUBSTITUTE(C627," ",""),"0",""),"-","")))&gt;(LEN(SUBSTITUTE(SUBSTITUTE(SUBSTITUTE(E627," ",""),"0",""),"-",""))+LEN(SUBSTITUTE(SUBSTITUTE(SUBSTITUTE(F627," ",""),"0",""),"-",""))),1,0))+IF(UPPER(D628)="X",0,IF((LEN(SUBSTITUTE(SUBSTITUTE(SUBSTITUTE(B628," ",""),"0",""),"-",""))+LEN(SUBSTITUTE(SUBSTITUTE(SUBSTITUTE(C628," ",""),"0",""),"-","")))&gt;(LEN(SUBSTITUTE(SUBSTITUTE(SUBSTITUTE(E628," ",""),"0",""),"-",""))+LEN(SUBSTITUTE(SUBSTITUTE(SUBSTITUTE(F628," ",""),"0",""),"-",""))),1,0))+IF(UPPER(D629)="X",0,IF((LEN(SUBSTITUTE(SUBSTITUTE(SUBSTITUTE(B629," ",""),"0",""),"-",""))+LEN(SUBSTITUTE(SUBSTITUTE(SUBSTITUTE(C629," ",""),"0",""),"-","")))&gt;(LEN(SUBSTITUTE(SUBSTITUTE(SUBSTITUTE(E629," ",""),"0",""),"-",""))+LEN(SUBSTITUTE(SUBSTITUTE(SUBSTITUTE(F629," ",""),"0",""),"-",""))),1,0))</f>
      </c>
      <c r="C624" s="14" t="str">
        <f>LEN(SUBSTITUTE(SUBSTITUTE(SUBSTITUTE(B625," ",""),"0",""),"-",""))+LEN(SUBSTITUTE(SUBSTITUTE(SUBSTITUTE(C625," ",""),"0",""),"-",""))+LEN(SUBSTITUTE(SUBSTITUTE(SUBSTITUTE(B626," ",""),"0",""),"-",""))+LEN(SUBSTITUTE(SUBSTITUTE(SUBSTITUTE(C626," ",""),"0",""),"-",""))+LEN(SUBSTITUTE(SUBSTITUTE(SUBSTITUTE(B627," ",""),"0",""),"-",""))+LEN(SUBSTITUTE(SUBSTITUTE(SUBSTITUTE(C627," ",""),"0",""),"-",""))+LEN(SUBSTITUTE(SUBSTITUTE(SUBSTITUTE(B628," ",""),"0",""),"-",""))+LEN(SUBSTITUTE(SUBSTITUTE(SUBSTITUTE(C628," ",""),"0",""),"-",""))+LEN(SUBSTITUTE(SUBSTITUTE(SUBSTITUTE(B629," ",""),"0",""),"-",""))+LEN(SUBSTITUTE(SUBSTITUTE(SUBSTITUTE(C629," ",""),"0",""),"-",""))</f>
      </c>
      <c r="D624" s="18"/>
      <c r="E624" s="14" t="str">
        <f>LEN(SUBSTITUTE(SUBSTITUTE(SUBSTITUTE(E625," ",""),"0",""),"-",""))+LEN(SUBSTITUTE(SUBSTITUTE(SUBSTITUTE(F625," ",""),"0",""),"-",""))+LEN(SUBSTITUTE(SUBSTITUTE(SUBSTITUTE(E626," ",""),"0",""),"-",""))+LEN(SUBSTITUTE(SUBSTITUTE(SUBSTITUTE(F626," ",""),"0",""),"-",""))+LEN(SUBSTITUTE(SUBSTITUTE(SUBSTITUTE(E627," ",""),"0",""),"-",""))+LEN(SUBSTITUTE(SUBSTITUTE(SUBSTITUTE(F627," ",""),"0",""),"-",""))+LEN(SUBSTITUTE(SUBSTITUTE(SUBSTITUTE(E628," ",""),"0",""),"-",""))+LEN(SUBSTITUTE(SUBSTITUTE(SUBSTITUTE(F628," ",""),"0",""),"-",""))+LEN(SUBSTITUTE(SUBSTITUTE(SUBSTITUTE(E629," ",""),"0",""),"-",""))+LEN(SUBSTITUTE(SUBSTITUTE(SUBSTITUTE(F629," ",""),"0",""),"-",""))</f>
      </c>
      <c r="F624" s="14" t="str">
        <f>IF(UPPER(D625)="X",0,IF((LEN(SUBSTITUTE(SUBSTITUTE(SUBSTITUTE(E625," ",""),"0",""),"-",""))+LEN(SUBSTITUTE(SUBSTITUTE(SUBSTITUTE(F625," ",""),"0",""),"-","")))&gt;(LEN(SUBSTITUTE(SUBSTITUTE(SUBSTITUTE(B625," ",""),"0",""),"-",""))+LEN(SUBSTITUTE(SUBSTITUTE(SUBSTITUTE(C625," ",""),"0",""),"-",""))),1,0))+IF(UPPER(D626)="X",0,IF((LEN(SUBSTITUTE(SUBSTITUTE(SUBSTITUTE(E626," ",""),"0",""),"-",""))+LEN(SUBSTITUTE(SUBSTITUTE(SUBSTITUTE(F626," ",""),"0",""),"-","")))&gt;(LEN(SUBSTITUTE(SUBSTITUTE(SUBSTITUTE(B626," ",""),"0",""),"-",""))+LEN(SUBSTITUTE(SUBSTITUTE(SUBSTITUTE(C626," ",""),"0",""),"-",""))),1,0))+IF(UPPER(D627)="X",0,IF((LEN(SUBSTITUTE(SUBSTITUTE(SUBSTITUTE(E627," ",""),"0",""),"-",""))+LEN(SUBSTITUTE(SUBSTITUTE(SUBSTITUTE(F627," ",""),"0",""),"-","")))&gt;(LEN(SUBSTITUTE(SUBSTITUTE(SUBSTITUTE(B627," ",""),"0",""),"-",""))+LEN(SUBSTITUTE(SUBSTITUTE(SUBSTITUTE(C627," ",""),"0",""),"-",""))),1,0))+IF(UPPER(D628)="X",0,IF((LEN(SUBSTITUTE(SUBSTITUTE(SUBSTITUTE(E628," ",""),"0",""),"-",""))+LEN(SUBSTITUTE(SUBSTITUTE(SUBSTITUTE(F628," ",""),"0",""),"-","")))&gt;(LEN(SUBSTITUTE(SUBSTITUTE(SUBSTITUTE(B628," ",""),"0",""),"-",""))+LEN(SUBSTITUTE(SUBSTITUTE(SUBSTITUTE(C628," ",""),"0",""),"-",""))),1,0))+IF(UPPER(D629)="X",0,IF((LEN(SUBSTITUTE(SUBSTITUTE(SUBSTITUTE(E629," ",""),"0",""),"-",""))+LEN(SUBSTITUTE(SUBSTITUTE(SUBSTITUTE(F629," ",""),"0",""),"-","")))&gt;(LEN(SUBSTITUTE(SUBSTITUTE(SUBSTITUTE(B629," ",""),"0",""),"-",""))+LEN(SUBSTITUTE(SUBSTITUTE(SUBSTITUTE(C629," ",""),"0",""),"-",""))),1,0))</f>
      </c>
      <c r="G624" s="14" t="str">
        <f>data!$E$46&amp;" "&amp;data!$B$46</f>
      </c>
      <c r="I624" s="14" t="str">
        <f>data!$E$93&amp;" "&amp;data!$B$93</f>
      </c>
      <c r="J624" s="14" t="str">
        <f>IF(UPPER(L625)="X",0,IF((LEN(SUBSTITUTE(SUBSTITUTE(SUBSTITUTE(J625," ",""),"0",""),"-",""))+LEN(SUBSTITUTE(SUBSTITUTE(SUBSTITUTE(K625," ",""),"0",""),"-","")))&gt;(LEN(SUBSTITUTE(SUBSTITUTE(SUBSTITUTE(M625," ",""),"0",""),"-",""))+LEN(SUBSTITUTE(SUBSTITUTE(SUBSTITUTE(N625," ",""),"0",""),"-",""))),1,0))+IF(UPPER(L626)="X",0,IF((LEN(SUBSTITUTE(SUBSTITUTE(SUBSTITUTE(J626," ",""),"0",""),"-",""))+LEN(SUBSTITUTE(SUBSTITUTE(SUBSTITUTE(K626," ",""),"0",""),"-","")))&gt;(LEN(SUBSTITUTE(SUBSTITUTE(SUBSTITUTE(M626," ",""),"0",""),"-",""))+LEN(SUBSTITUTE(SUBSTITUTE(SUBSTITUTE(N626," ",""),"0",""),"-",""))),1,0))+IF(UPPER(L627)="X",0,IF((LEN(SUBSTITUTE(SUBSTITUTE(SUBSTITUTE(J627," ",""),"0",""),"-",""))+LEN(SUBSTITUTE(SUBSTITUTE(SUBSTITUTE(K627," ",""),"0",""),"-","")))&gt;(LEN(SUBSTITUTE(SUBSTITUTE(SUBSTITUTE(M627," ",""),"0",""),"-",""))+LEN(SUBSTITUTE(SUBSTITUTE(SUBSTITUTE(N627," ",""),"0",""),"-",""))),1,0))+IF(UPPER(L628)="X",0,IF((LEN(SUBSTITUTE(SUBSTITUTE(SUBSTITUTE(J628," ",""),"0",""),"-",""))+LEN(SUBSTITUTE(SUBSTITUTE(SUBSTITUTE(K628," ",""),"0",""),"-","")))&gt;(LEN(SUBSTITUTE(SUBSTITUTE(SUBSTITUTE(M628," ",""),"0",""),"-",""))+LEN(SUBSTITUTE(SUBSTITUTE(SUBSTITUTE(N628," ",""),"0",""),"-",""))),1,0))+IF(UPPER(L629)="X",0,IF((LEN(SUBSTITUTE(SUBSTITUTE(SUBSTITUTE(J629," ",""),"0",""),"-",""))+LEN(SUBSTITUTE(SUBSTITUTE(SUBSTITUTE(K629," ",""),"0",""),"-","")))&gt;(LEN(SUBSTITUTE(SUBSTITUTE(SUBSTITUTE(M629," ",""),"0",""),"-",""))+LEN(SUBSTITUTE(SUBSTITUTE(SUBSTITUTE(N629," ",""),"0",""),"-",""))),1,0))</f>
      </c>
      <c r="K624" s="14" t="str">
        <f>LEN(SUBSTITUTE(SUBSTITUTE(SUBSTITUTE(J625," ",""),"0",""),"-",""))+LEN(SUBSTITUTE(SUBSTITUTE(SUBSTITUTE(K625," ",""),"0",""),"-",""))+LEN(SUBSTITUTE(SUBSTITUTE(SUBSTITUTE(J626," ",""),"0",""),"-",""))+LEN(SUBSTITUTE(SUBSTITUTE(SUBSTITUTE(K626," ",""),"0",""),"-",""))+LEN(SUBSTITUTE(SUBSTITUTE(SUBSTITUTE(J627," ",""),"0",""),"-",""))+LEN(SUBSTITUTE(SUBSTITUTE(SUBSTITUTE(K627," ",""),"0",""),"-",""))+LEN(SUBSTITUTE(SUBSTITUTE(SUBSTITUTE(J628," ",""),"0",""),"-",""))+LEN(SUBSTITUTE(SUBSTITUTE(SUBSTITUTE(K628," ",""),"0",""),"-",""))+LEN(SUBSTITUTE(SUBSTITUTE(SUBSTITUTE(J629," ",""),"0",""),"-",""))+LEN(SUBSTITUTE(SUBSTITUTE(SUBSTITUTE(K629," ",""),"0",""),"-",""))</f>
      </c>
      <c r="L624" s="18"/>
      <c r="M624" s="14" t="str">
        <f>LEN(SUBSTITUTE(SUBSTITUTE(SUBSTITUTE(M625," ",""),"0",""),"-",""))+LEN(SUBSTITUTE(SUBSTITUTE(SUBSTITUTE(N625," ",""),"0",""),"-",""))+LEN(SUBSTITUTE(SUBSTITUTE(SUBSTITUTE(M626," ",""),"0",""),"-",""))+LEN(SUBSTITUTE(SUBSTITUTE(SUBSTITUTE(N626," ",""),"0",""),"-",""))+LEN(SUBSTITUTE(SUBSTITUTE(SUBSTITUTE(M627," ",""),"0",""),"-",""))+LEN(SUBSTITUTE(SUBSTITUTE(SUBSTITUTE(N627," ",""),"0",""),"-",""))+LEN(SUBSTITUTE(SUBSTITUTE(SUBSTITUTE(M628," ",""),"0",""),"-",""))+LEN(SUBSTITUTE(SUBSTITUTE(SUBSTITUTE(N628," ",""),"0",""),"-",""))+LEN(SUBSTITUTE(SUBSTITUTE(SUBSTITUTE(M629," ",""),"0",""),"-",""))+LEN(SUBSTITUTE(SUBSTITUTE(SUBSTITUTE(N629," ",""),"0",""),"-",""))</f>
      </c>
      <c r="N624" s="14" t="str">
        <f>IF(UPPER(L625)="X",0,IF((LEN(SUBSTITUTE(SUBSTITUTE(SUBSTITUTE(M625," ",""),"0",""),"-",""))+LEN(SUBSTITUTE(SUBSTITUTE(SUBSTITUTE(N625," ",""),"0",""),"-","")))&gt;(LEN(SUBSTITUTE(SUBSTITUTE(SUBSTITUTE(J625," ",""),"0",""),"-",""))+LEN(SUBSTITUTE(SUBSTITUTE(SUBSTITUTE(K625," ",""),"0",""),"-",""))),1,0))+IF(UPPER(L626)="X",0,IF((LEN(SUBSTITUTE(SUBSTITUTE(SUBSTITUTE(M626," ",""),"0",""),"-",""))+LEN(SUBSTITUTE(SUBSTITUTE(SUBSTITUTE(N626," ",""),"0",""),"-","")))&gt;(LEN(SUBSTITUTE(SUBSTITUTE(SUBSTITUTE(J626," ",""),"0",""),"-",""))+LEN(SUBSTITUTE(SUBSTITUTE(SUBSTITUTE(K626," ",""),"0",""),"-",""))),1,0))+IF(UPPER(L627)="X",0,IF((LEN(SUBSTITUTE(SUBSTITUTE(SUBSTITUTE(M627," ",""),"0",""),"-",""))+LEN(SUBSTITUTE(SUBSTITUTE(SUBSTITUTE(N627," ",""),"0",""),"-","")))&gt;(LEN(SUBSTITUTE(SUBSTITUTE(SUBSTITUTE(J627," ",""),"0",""),"-",""))+LEN(SUBSTITUTE(SUBSTITUTE(SUBSTITUTE(K627," ",""),"0",""),"-",""))),1,0))+IF(UPPER(L628)="X",0,IF((LEN(SUBSTITUTE(SUBSTITUTE(SUBSTITUTE(M628," ",""),"0",""),"-",""))+LEN(SUBSTITUTE(SUBSTITUTE(SUBSTITUTE(N628," ",""),"0",""),"-","")))&gt;(LEN(SUBSTITUTE(SUBSTITUTE(SUBSTITUTE(J628," ",""),"0",""),"-",""))+LEN(SUBSTITUTE(SUBSTITUTE(SUBSTITUTE(K628," ",""),"0",""),"-",""))),1,0))+IF(UPPER(L629)="X",0,IF((LEN(SUBSTITUTE(SUBSTITUTE(SUBSTITUTE(M629," ",""),"0",""),"-",""))+LEN(SUBSTITUTE(SUBSTITUTE(SUBSTITUTE(N629," ",""),"0",""),"-","")))&gt;(LEN(SUBSTITUTE(SUBSTITUTE(SUBSTITUTE(J629," ",""),"0",""),"-",""))+LEN(SUBSTITUTE(SUBSTITUTE(SUBSTITUTE(K629," ",""),"0",""),"-",""))),1,0))</f>
      </c>
      <c r="O624" s="14" t="str">
        <f>data!$E$91&amp;" "&amp;data!$B$91</f>
      </c>
    </row>
    <row r="625">
      <c r="A625" s="14">
        <v>1</v>
      </c>
      <c r="B625" s="18"/>
      <c r="C625" s="18"/>
      <c r="D625" s="18"/>
      <c r="E625" s="18"/>
      <c r="F625" s="18"/>
      <c r="G625" s="14">
        <v>1</v>
      </c>
      <c r="I625" s="14">
        <v>1</v>
      </c>
      <c r="J625" s="18"/>
      <c r="K625" s="18"/>
      <c r="L625" s="18"/>
      <c r="M625" s="18"/>
      <c r="N625" s="18"/>
      <c r="O625" s="14">
        <v>1</v>
      </c>
    </row>
    <row r="626">
      <c r="A626" s="14">
        <v>2</v>
      </c>
      <c r="B626" s="18"/>
      <c r="C626" s="18"/>
      <c r="D626" s="18"/>
      <c r="E626" s="18"/>
      <c r="F626" s="18"/>
      <c r="G626" s="14">
        <v>2</v>
      </c>
      <c r="I626" s="14">
        <v>2</v>
      </c>
      <c r="J626" s="18"/>
      <c r="K626" s="18"/>
      <c r="L626" s="18"/>
      <c r="M626" s="18"/>
      <c r="N626" s="18"/>
      <c r="O626" s="14">
        <v>2</v>
      </c>
    </row>
    <row r="627">
      <c r="A627" s="14">
        <v>3</v>
      </c>
      <c r="B627" s="18"/>
      <c r="C627" s="18"/>
      <c r="D627" s="18"/>
      <c r="E627" s="18"/>
      <c r="F627" s="18"/>
      <c r="G627" s="14">
        <v>3</v>
      </c>
      <c r="I627" s="14">
        <v>3</v>
      </c>
      <c r="J627" s="18"/>
      <c r="K627" s="18"/>
      <c r="L627" s="18"/>
      <c r="M627" s="18"/>
      <c r="N627" s="18"/>
      <c r="O627" s="14">
        <v>3</v>
      </c>
    </row>
    <row r="628">
      <c r="A628" s="14">
        <v>4</v>
      </c>
      <c r="B628" s="18"/>
      <c r="C628" s="18"/>
      <c r="D628" s="18"/>
      <c r="E628" s="18"/>
      <c r="F628" s="18"/>
      <c r="G628" s="14">
        <v>4</v>
      </c>
      <c r="I628" s="14">
        <v>4</v>
      </c>
      <c r="J628" s="18"/>
      <c r="K628" s="18"/>
      <c r="L628" s="18"/>
      <c r="M628" s="18"/>
      <c r="N628" s="18"/>
      <c r="O628" s="14">
        <v>4</v>
      </c>
    </row>
    <row r="629">
      <c r="A629" s="14">
        <v>5</v>
      </c>
      <c r="B629" s="18"/>
      <c r="C629" s="18"/>
      <c r="D629" s="18"/>
      <c r="E629" s="18"/>
      <c r="F629" s="18"/>
      <c r="G629" s="14">
        <v>5</v>
      </c>
      <c r="I629" s="14">
        <v>5</v>
      </c>
      <c r="J629" s="18"/>
      <c r="K629" s="18"/>
      <c r="L629" s="18"/>
      <c r="M629" s="18"/>
      <c r="N629" s="18"/>
      <c r="O629" s="14">
        <v>5</v>
      </c>
    </row>
    <row r="631">
      <c r="A631" s="17" t="s">
        <v>330</v>
      </c>
      <c r="B631" s="14"/>
      <c r="C631" s="14"/>
      <c r="D631" s="14" t="s">
        <v>331</v>
      </c>
      <c r="E631" s="14"/>
      <c r="F631" s="14"/>
      <c r="G631" s="16" t="s">
        <v>332</v>
      </c>
      <c r="I631" s="17" t="s">
        <v>330</v>
      </c>
      <c r="J631" s="14"/>
      <c r="K631" s="14"/>
      <c r="L631" s="14" t="s">
        <v>331</v>
      </c>
      <c r="M631" s="14"/>
      <c r="N631" s="14"/>
      <c r="O631" s="16" t="s">
        <v>332</v>
      </c>
    </row>
    <row r="632">
      <c r="A632" s="14" t="str">
        <f>data!$E$48&amp;" "&amp;data!$B$48</f>
      </c>
      <c r="B632" s="14" t="str">
        <f>IF(UPPER(D633)="X",0,IF((LEN(SUBSTITUTE(SUBSTITUTE(SUBSTITUTE(B633," ",""),"0",""),"-",""))+LEN(SUBSTITUTE(SUBSTITUTE(SUBSTITUTE(C633," ",""),"0",""),"-","")))&gt;(LEN(SUBSTITUTE(SUBSTITUTE(SUBSTITUTE(E633," ",""),"0",""),"-",""))+LEN(SUBSTITUTE(SUBSTITUTE(SUBSTITUTE(F633," ",""),"0",""),"-",""))),1,0))+IF(UPPER(D634)="X",0,IF((LEN(SUBSTITUTE(SUBSTITUTE(SUBSTITUTE(B634," ",""),"0",""),"-",""))+LEN(SUBSTITUTE(SUBSTITUTE(SUBSTITUTE(C634," ",""),"0",""),"-","")))&gt;(LEN(SUBSTITUTE(SUBSTITUTE(SUBSTITUTE(E634," ",""),"0",""),"-",""))+LEN(SUBSTITUTE(SUBSTITUTE(SUBSTITUTE(F634," ",""),"0",""),"-",""))),1,0))+IF(UPPER(D635)="X",0,IF((LEN(SUBSTITUTE(SUBSTITUTE(SUBSTITUTE(B635," ",""),"0",""),"-",""))+LEN(SUBSTITUTE(SUBSTITUTE(SUBSTITUTE(C635," ",""),"0",""),"-","")))&gt;(LEN(SUBSTITUTE(SUBSTITUTE(SUBSTITUTE(E635," ",""),"0",""),"-",""))+LEN(SUBSTITUTE(SUBSTITUTE(SUBSTITUTE(F635," ",""),"0",""),"-",""))),1,0))+IF(UPPER(D636)="X",0,IF((LEN(SUBSTITUTE(SUBSTITUTE(SUBSTITUTE(B636," ",""),"0",""),"-",""))+LEN(SUBSTITUTE(SUBSTITUTE(SUBSTITUTE(C636," ",""),"0",""),"-","")))&gt;(LEN(SUBSTITUTE(SUBSTITUTE(SUBSTITUTE(E636," ",""),"0",""),"-",""))+LEN(SUBSTITUTE(SUBSTITUTE(SUBSTITUTE(F636," ",""),"0",""),"-",""))),1,0))+IF(UPPER(D637)="X",0,IF((LEN(SUBSTITUTE(SUBSTITUTE(SUBSTITUTE(B637," ",""),"0",""),"-",""))+LEN(SUBSTITUTE(SUBSTITUTE(SUBSTITUTE(C637," ",""),"0",""),"-","")))&gt;(LEN(SUBSTITUTE(SUBSTITUTE(SUBSTITUTE(E637," ",""),"0",""),"-",""))+LEN(SUBSTITUTE(SUBSTITUTE(SUBSTITUTE(F637," ",""),"0",""),"-",""))),1,0))</f>
      </c>
      <c r="C632" s="14" t="str">
        <f>LEN(SUBSTITUTE(SUBSTITUTE(SUBSTITUTE(B633," ",""),"0",""),"-",""))+LEN(SUBSTITUTE(SUBSTITUTE(SUBSTITUTE(C633," ",""),"0",""),"-",""))+LEN(SUBSTITUTE(SUBSTITUTE(SUBSTITUTE(B634," ",""),"0",""),"-",""))+LEN(SUBSTITUTE(SUBSTITUTE(SUBSTITUTE(C634," ",""),"0",""),"-",""))+LEN(SUBSTITUTE(SUBSTITUTE(SUBSTITUTE(B635," ",""),"0",""),"-",""))+LEN(SUBSTITUTE(SUBSTITUTE(SUBSTITUTE(C635," ",""),"0",""),"-",""))+LEN(SUBSTITUTE(SUBSTITUTE(SUBSTITUTE(B636," ",""),"0",""),"-",""))+LEN(SUBSTITUTE(SUBSTITUTE(SUBSTITUTE(C636," ",""),"0",""),"-",""))+LEN(SUBSTITUTE(SUBSTITUTE(SUBSTITUTE(B637," ",""),"0",""),"-",""))+LEN(SUBSTITUTE(SUBSTITUTE(SUBSTITUTE(C637," ",""),"0",""),"-",""))</f>
      </c>
      <c r="D632" s="18"/>
      <c r="E632" s="14" t="str">
        <f>LEN(SUBSTITUTE(SUBSTITUTE(SUBSTITUTE(E633," ",""),"0",""),"-",""))+LEN(SUBSTITUTE(SUBSTITUTE(SUBSTITUTE(F633," ",""),"0",""),"-",""))+LEN(SUBSTITUTE(SUBSTITUTE(SUBSTITUTE(E634," ",""),"0",""),"-",""))+LEN(SUBSTITUTE(SUBSTITUTE(SUBSTITUTE(F634," ",""),"0",""),"-",""))+LEN(SUBSTITUTE(SUBSTITUTE(SUBSTITUTE(E635," ",""),"0",""),"-",""))+LEN(SUBSTITUTE(SUBSTITUTE(SUBSTITUTE(F635," ",""),"0",""),"-",""))+LEN(SUBSTITUTE(SUBSTITUTE(SUBSTITUTE(E636," ",""),"0",""),"-",""))+LEN(SUBSTITUTE(SUBSTITUTE(SUBSTITUTE(F636," ",""),"0",""),"-",""))+LEN(SUBSTITUTE(SUBSTITUTE(SUBSTITUTE(E637," ",""),"0",""),"-",""))+LEN(SUBSTITUTE(SUBSTITUTE(SUBSTITUTE(F637," ",""),"0",""),"-",""))</f>
      </c>
      <c r="F632" s="14" t="str">
        <f>IF(UPPER(D633)="X",0,IF((LEN(SUBSTITUTE(SUBSTITUTE(SUBSTITUTE(E633," ",""),"0",""),"-",""))+LEN(SUBSTITUTE(SUBSTITUTE(SUBSTITUTE(F633," ",""),"0",""),"-","")))&gt;(LEN(SUBSTITUTE(SUBSTITUTE(SUBSTITUTE(B633," ",""),"0",""),"-",""))+LEN(SUBSTITUTE(SUBSTITUTE(SUBSTITUTE(C633," ",""),"0",""),"-",""))),1,0))+IF(UPPER(D634)="X",0,IF((LEN(SUBSTITUTE(SUBSTITUTE(SUBSTITUTE(E634," ",""),"0",""),"-",""))+LEN(SUBSTITUTE(SUBSTITUTE(SUBSTITUTE(F634," ",""),"0",""),"-","")))&gt;(LEN(SUBSTITUTE(SUBSTITUTE(SUBSTITUTE(B634," ",""),"0",""),"-",""))+LEN(SUBSTITUTE(SUBSTITUTE(SUBSTITUTE(C634," ",""),"0",""),"-",""))),1,0))+IF(UPPER(D635)="X",0,IF((LEN(SUBSTITUTE(SUBSTITUTE(SUBSTITUTE(E635," ",""),"0",""),"-",""))+LEN(SUBSTITUTE(SUBSTITUTE(SUBSTITUTE(F635," ",""),"0",""),"-","")))&gt;(LEN(SUBSTITUTE(SUBSTITUTE(SUBSTITUTE(B635," ",""),"0",""),"-",""))+LEN(SUBSTITUTE(SUBSTITUTE(SUBSTITUTE(C635," ",""),"0",""),"-",""))),1,0))+IF(UPPER(D636)="X",0,IF((LEN(SUBSTITUTE(SUBSTITUTE(SUBSTITUTE(E636," ",""),"0",""),"-",""))+LEN(SUBSTITUTE(SUBSTITUTE(SUBSTITUTE(F636," ",""),"0",""),"-","")))&gt;(LEN(SUBSTITUTE(SUBSTITUTE(SUBSTITUTE(B636," ",""),"0",""),"-",""))+LEN(SUBSTITUTE(SUBSTITUTE(SUBSTITUTE(C636," ",""),"0",""),"-",""))),1,0))+IF(UPPER(D637)="X",0,IF((LEN(SUBSTITUTE(SUBSTITUTE(SUBSTITUTE(E637," ",""),"0",""),"-",""))+LEN(SUBSTITUTE(SUBSTITUTE(SUBSTITUTE(F637," ",""),"0",""),"-","")))&gt;(LEN(SUBSTITUTE(SUBSTITUTE(SUBSTITUTE(B637," ",""),"0",""),"-",""))+LEN(SUBSTITUTE(SUBSTITUTE(SUBSTITUTE(C637," ",""),"0",""),"-",""))),1,0))</f>
      </c>
      <c r="G632" s="14" t="str">
        <f>data!$E$47&amp;" "&amp;data!$B$47</f>
      </c>
      <c r="I632" s="14" t="str">
        <f>data!$E$93&amp;" "&amp;data!$B$93</f>
      </c>
      <c r="J632" s="14" t="str">
        <f>IF(UPPER(L633)="X",0,IF((LEN(SUBSTITUTE(SUBSTITUTE(SUBSTITUTE(J633," ",""),"0",""),"-",""))+LEN(SUBSTITUTE(SUBSTITUTE(SUBSTITUTE(K633," ",""),"0",""),"-","")))&gt;(LEN(SUBSTITUTE(SUBSTITUTE(SUBSTITUTE(M633," ",""),"0",""),"-",""))+LEN(SUBSTITUTE(SUBSTITUTE(SUBSTITUTE(N633," ",""),"0",""),"-",""))),1,0))+IF(UPPER(L634)="X",0,IF((LEN(SUBSTITUTE(SUBSTITUTE(SUBSTITUTE(J634," ",""),"0",""),"-",""))+LEN(SUBSTITUTE(SUBSTITUTE(SUBSTITUTE(K634," ",""),"0",""),"-","")))&gt;(LEN(SUBSTITUTE(SUBSTITUTE(SUBSTITUTE(M634," ",""),"0",""),"-",""))+LEN(SUBSTITUTE(SUBSTITUTE(SUBSTITUTE(N634," ",""),"0",""),"-",""))),1,0))+IF(UPPER(L635)="X",0,IF((LEN(SUBSTITUTE(SUBSTITUTE(SUBSTITUTE(J635," ",""),"0",""),"-",""))+LEN(SUBSTITUTE(SUBSTITUTE(SUBSTITUTE(K635," ",""),"0",""),"-","")))&gt;(LEN(SUBSTITUTE(SUBSTITUTE(SUBSTITUTE(M635," ",""),"0",""),"-",""))+LEN(SUBSTITUTE(SUBSTITUTE(SUBSTITUTE(N635," ",""),"0",""),"-",""))),1,0))+IF(UPPER(L636)="X",0,IF((LEN(SUBSTITUTE(SUBSTITUTE(SUBSTITUTE(J636," ",""),"0",""),"-",""))+LEN(SUBSTITUTE(SUBSTITUTE(SUBSTITUTE(K636," ",""),"0",""),"-","")))&gt;(LEN(SUBSTITUTE(SUBSTITUTE(SUBSTITUTE(M636," ",""),"0",""),"-",""))+LEN(SUBSTITUTE(SUBSTITUTE(SUBSTITUTE(N636," ",""),"0",""),"-",""))),1,0))+IF(UPPER(L637)="X",0,IF((LEN(SUBSTITUTE(SUBSTITUTE(SUBSTITUTE(J637," ",""),"0",""),"-",""))+LEN(SUBSTITUTE(SUBSTITUTE(SUBSTITUTE(K637," ",""),"0",""),"-","")))&gt;(LEN(SUBSTITUTE(SUBSTITUTE(SUBSTITUTE(M637," ",""),"0",""),"-",""))+LEN(SUBSTITUTE(SUBSTITUTE(SUBSTITUTE(N637," ",""),"0",""),"-",""))),1,0))</f>
      </c>
      <c r="K632" s="14" t="str">
        <f>LEN(SUBSTITUTE(SUBSTITUTE(SUBSTITUTE(J633," ",""),"0",""),"-",""))+LEN(SUBSTITUTE(SUBSTITUTE(SUBSTITUTE(K633," ",""),"0",""),"-",""))+LEN(SUBSTITUTE(SUBSTITUTE(SUBSTITUTE(J634," ",""),"0",""),"-",""))+LEN(SUBSTITUTE(SUBSTITUTE(SUBSTITUTE(K634," ",""),"0",""),"-",""))+LEN(SUBSTITUTE(SUBSTITUTE(SUBSTITUTE(J635," ",""),"0",""),"-",""))+LEN(SUBSTITUTE(SUBSTITUTE(SUBSTITUTE(K635," ",""),"0",""),"-",""))+LEN(SUBSTITUTE(SUBSTITUTE(SUBSTITUTE(J636," ",""),"0",""),"-",""))+LEN(SUBSTITUTE(SUBSTITUTE(SUBSTITUTE(K636," ",""),"0",""),"-",""))+LEN(SUBSTITUTE(SUBSTITUTE(SUBSTITUTE(J637," ",""),"0",""),"-",""))+LEN(SUBSTITUTE(SUBSTITUTE(SUBSTITUTE(K637," ",""),"0",""),"-",""))</f>
      </c>
      <c r="L632" s="18"/>
      <c r="M632" s="14" t="str">
        <f>LEN(SUBSTITUTE(SUBSTITUTE(SUBSTITUTE(M633," ",""),"0",""),"-",""))+LEN(SUBSTITUTE(SUBSTITUTE(SUBSTITUTE(N633," ",""),"0",""),"-",""))+LEN(SUBSTITUTE(SUBSTITUTE(SUBSTITUTE(M634," ",""),"0",""),"-",""))+LEN(SUBSTITUTE(SUBSTITUTE(SUBSTITUTE(N634," ",""),"0",""),"-",""))+LEN(SUBSTITUTE(SUBSTITUTE(SUBSTITUTE(M635," ",""),"0",""),"-",""))+LEN(SUBSTITUTE(SUBSTITUTE(SUBSTITUTE(N635," ",""),"0",""),"-",""))+LEN(SUBSTITUTE(SUBSTITUTE(SUBSTITUTE(M636," ",""),"0",""),"-",""))+LEN(SUBSTITUTE(SUBSTITUTE(SUBSTITUTE(N636," ",""),"0",""),"-",""))+LEN(SUBSTITUTE(SUBSTITUTE(SUBSTITUTE(M637," ",""),"0",""),"-",""))+LEN(SUBSTITUTE(SUBSTITUTE(SUBSTITUTE(N637," ",""),"0",""),"-",""))</f>
      </c>
      <c r="N632" s="14" t="str">
        <f>IF(UPPER(L633)="X",0,IF((LEN(SUBSTITUTE(SUBSTITUTE(SUBSTITUTE(M633," ",""),"0",""),"-",""))+LEN(SUBSTITUTE(SUBSTITUTE(SUBSTITUTE(N633," ",""),"0",""),"-","")))&gt;(LEN(SUBSTITUTE(SUBSTITUTE(SUBSTITUTE(J633," ",""),"0",""),"-",""))+LEN(SUBSTITUTE(SUBSTITUTE(SUBSTITUTE(K633," ",""),"0",""),"-",""))),1,0))+IF(UPPER(L634)="X",0,IF((LEN(SUBSTITUTE(SUBSTITUTE(SUBSTITUTE(M634," ",""),"0",""),"-",""))+LEN(SUBSTITUTE(SUBSTITUTE(SUBSTITUTE(N634," ",""),"0",""),"-","")))&gt;(LEN(SUBSTITUTE(SUBSTITUTE(SUBSTITUTE(J634," ",""),"0",""),"-",""))+LEN(SUBSTITUTE(SUBSTITUTE(SUBSTITUTE(K634," ",""),"0",""),"-",""))),1,0))+IF(UPPER(L635)="X",0,IF((LEN(SUBSTITUTE(SUBSTITUTE(SUBSTITUTE(M635," ",""),"0",""),"-",""))+LEN(SUBSTITUTE(SUBSTITUTE(SUBSTITUTE(N635," ",""),"0",""),"-","")))&gt;(LEN(SUBSTITUTE(SUBSTITUTE(SUBSTITUTE(J635," ",""),"0",""),"-",""))+LEN(SUBSTITUTE(SUBSTITUTE(SUBSTITUTE(K635," ",""),"0",""),"-",""))),1,0))+IF(UPPER(L636)="X",0,IF((LEN(SUBSTITUTE(SUBSTITUTE(SUBSTITUTE(M636," ",""),"0",""),"-",""))+LEN(SUBSTITUTE(SUBSTITUTE(SUBSTITUTE(N636," ",""),"0",""),"-","")))&gt;(LEN(SUBSTITUTE(SUBSTITUTE(SUBSTITUTE(J636," ",""),"0",""),"-",""))+LEN(SUBSTITUTE(SUBSTITUTE(SUBSTITUTE(K636," ",""),"0",""),"-",""))),1,0))+IF(UPPER(L637)="X",0,IF((LEN(SUBSTITUTE(SUBSTITUTE(SUBSTITUTE(M637," ",""),"0",""),"-",""))+LEN(SUBSTITUTE(SUBSTITUTE(SUBSTITUTE(N637," ",""),"0",""),"-","")))&gt;(LEN(SUBSTITUTE(SUBSTITUTE(SUBSTITUTE(J637," ",""),"0",""),"-",""))+LEN(SUBSTITUTE(SUBSTITUTE(SUBSTITUTE(K637," ",""),"0",""),"-",""))),1,0))</f>
      </c>
      <c r="O632" s="14" t="str">
        <f>data!$E$92&amp;" "&amp;data!$B$92</f>
      </c>
    </row>
    <row r="633">
      <c r="A633" s="14">
        <v>1</v>
      </c>
      <c r="B633" s="18"/>
      <c r="C633" s="18"/>
      <c r="D633" s="18"/>
      <c r="E633" s="18"/>
      <c r="F633" s="18"/>
      <c r="G633" s="14">
        <v>1</v>
      </c>
      <c r="I633" s="14">
        <v>1</v>
      </c>
      <c r="J633" s="18"/>
      <c r="K633" s="18"/>
      <c r="L633" s="18"/>
      <c r="M633" s="18"/>
      <c r="N633" s="18"/>
      <c r="O633" s="14">
        <v>1</v>
      </c>
    </row>
    <row r="634">
      <c r="A634" s="14">
        <v>2</v>
      </c>
      <c r="B634" s="18"/>
      <c r="C634" s="18"/>
      <c r="D634" s="18"/>
      <c r="E634" s="18"/>
      <c r="F634" s="18"/>
      <c r="G634" s="14">
        <v>2</v>
      </c>
      <c r="I634" s="14">
        <v>2</v>
      </c>
      <c r="J634" s="18"/>
      <c r="K634" s="18"/>
      <c r="L634" s="18"/>
      <c r="M634" s="18"/>
      <c r="N634" s="18"/>
      <c r="O634" s="14">
        <v>2</v>
      </c>
    </row>
    <row r="635">
      <c r="A635" s="14">
        <v>3</v>
      </c>
      <c r="B635" s="18"/>
      <c r="C635" s="18"/>
      <c r="D635" s="18"/>
      <c r="E635" s="18"/>
      <c r="F635" s="18"/>
      <c r="G635" s="14">
        <v>3</v>
      </c>
      <c r="I635" s="14">
        <v>3</v>
      </c>
      <c r="J635" s="18"/>
      <c r="K635" s="18"/>
      <c r="L635" s="18"/>
      <c r="M635" s="18"/>
      <c r="N635" s="18"/>
      <c r="O635" s="14">
        <v>3</v>
      </c>
    </row>
    <row r="636">
      <c r="A636" s="14">
        <v>4</v>
      </c>
      <c r="B636" s="18"/>
      <c r="C636" s="18"/>
      <c r="D636" s="18"/>
      <c r="E636" s="18"/>
      <c r="F636" s="18"/>
      <c r="G636" s="14">
        <v>4</v>
      </c>
      <c r="I636" s="14">
        <v>4</v>
      </c>
      <c r="J636" s="18"/>
      <c r="K636" s="18"/>
      <c r="L636" s="18"/>
      <c r="M636" s="18"/>
      <c r="N636" s="18"/>
      <c r="O636" s="14">
        <v>4</v>
      </c>
    </row>
    <row r="637">
      <c r="A637" s="14">
        <v>5</v>
      </c>
      <c r="B637" s="18"/>
      <c r="C637" s="18"/>
      <c r="D637" s="18"/>
      <c r="E637" s="18"/>
      <c r="F637" s="18"/>
      <c r="G637" s="14">
        <v>5</v>
      </c>
      <c r="I637" s="14">
        <v>5</v>
      </c>
      <c r="J637" s="18"/>
      <c r="K637" s="18"/>
      <c r="L637" s="18"/>
      <c r="M637" s="18"/>
      <c r="N637" s="18"/>
      <c r="O637" s="14">
        <v>5</v>
      </c>
    </row>
    <row r="640">
      <c r="A640" s="13" t="s">
        <v>333</v>
      </c>
      <c r="B640" s="13" t="s">
        <v>334</v>
      </c>
      <c r="C640" s="13" t="s">
        <v>335</v>
      </c>
      <c r="D640" s="13" t="s">
        <v>336</v>
      </c>
      <c r="E640" s="13"/>
      <c r="F640" s="13"/>
      <c r="G640" s="13" t="s">
        <v>337</v>
      </c>
      <c r="I640" s="13" t="s">
        <v>333</v>
      </c>
      <c r="J640" s="13" t="s">
        <v>334</v>
      </c>
      <c r="K640" s="13" t="s">
        <v>335</v>
      </c>
      <c r="L640" s="13" t="s">
        <v>336</v>
      </c>
      <c r="M640" s="13"/>
      <c r="N640" s="13"/>
      <c r="O640" s="13" t="s">
        <v>337</v>
      </c>
    </row>
    <row r="641">
      <c r="A641" s="14" t="str">
        <f>data!$E$46&amp;" "&amp;data!$B$46</f>
      </c>
      <c r="B641" s="14" t="str">
        <f>IF(OR(COUNTA(B617:C621,E617:F621)&gt;0,D617="X",D617="x",D618="X",D618="x",D619="X",D619="x",D620="X",D620="x",D621="X",D621="x",OR(D616="X",D616="x")),IF(OR(OR(D616="X",D616="x"),AND(B616=F616,C616=E616)),0,IF(OR(F616&gt;B616,AND(F616=B616,E616&gt;C616)),1,0)),0)+IF(OR(COUNTA(B625:C629,E625:F629)&gt;0,D625="X",D625="x",D626="X",D626="x",D627="X",D627="x",D628="X",D628="x",D629="X",D629="x",OR(D624="X",D624="x")),IF(OR(OR(D624="X",D624="x"),AND(B624=F624,C624=E624)),0,IF(OR(F624&gt;B624,AND(F624=B624,E624&gt;C624)),1,0)),0)</f>
      </c>
      <c r="C641" s="14" t="str">
        <f>IF(OR(COUNTA(B617:C621,E617:F621)&gt;0,D617="X",D617="x",D618="X",D618="x",D619="X",D619="x",D620="X",D620="x",D621="X",D621="x",OR(D616="X",D616="x")),IF(OR(OR(D616="X",D616="x"),AND(B616=F616,C616=E616)),0,IF(OR(F616&lt;B616,AND(F616=B616,E616&lt;C616)),1,0)),0)+IF(OR(COUNTA(B625:C629,E625:F629)&gt;0,D625="X",D625="x",D626="X",D626="x",D627="X",D627="x",D628="X",D628="x",D629="X",D629="x",OR(D624="X",D624="x")),IF(OR(OR(D624="X",D624="x"),AND(B624=F624,C624=E624)),0,IF(OR(F624&lt;B624,AND(F624=B624,E624&lt;C624)),1,0)),0)</f>
      </c>
      <c r="D641" s="14" t="str">
        <f>IF(OR(COUNTA(B617:C621,E617:F621)&gt;0,D617="X",D617="x",D618="X",D618="x",D619="X",D619="x",D620="X",D620="x",D621="X",D621="x",OR(D616="X",D616="x")),IF(OR(OR(D616="X",D616="x"),AND(B616=F616,C616=E616)),1,0),0)+IF(OR(COUNTA(B625:C629,E625:F629)&gt;0,D625="X",D625="x",D626="X",D626="x",D627="X",D627="x",D628="X",D628="x",D629="X",D629="x",OR(D624="X",D624="x")),IF(OR(OR(D624="X",D624="x"),AND(B624=F624,C624=E624)),1,0),0)</f>
      </c>
      <c r="G641" s="18" t="str">
        <f>RANK(U641,$U$641:$U$643)+COUNTIF($U$640:U640,U641)</f>
      </c>
      <c r="I641" s="14" t="str">
        <f>data!$E$91&amp;" "&amp;data!$B$91</f>
      </c>
      <c r="J641" s="14" t="str">
        <f>IF(OR(COUNTA(J617:K621,M617:N621)&gt;0,L617="X",L617="x",L618="X",L618="x",L619="X",L619="x",L620="X",L620="x",L621="X",L621="x",OR(L616="X",L616="x")),IF(OR(OR(L616="X",L616="x"),AND(J616=N616,K616=M616)),0,IF(OR(N616&gt;J616,AND(N616=J616,M616&gt;K616)),1,0)),0)+IF(OR(COUNTA(J625:K629,M625:N629)&gt;0,L625="X",L625="x",L626="X",L626="x",L627="X",L627="x",L628="X",L628="x",L629="X",L629="x",OR(L624="X",L624="x")),IF(OR(OR(L624="X",L624="x"),AND(J624=N624,K624=M624)),0,IF(OR(N624&gt;J624,AND(N624=J624,M624&gt;K624)),1,0)),0)</f>
      </c>
      <c r="K641" s="14" t="str">
        <f>IF(OR(COUNTA(J617:K621,M617:N621)&gt;0,L617="X",L617="x",L618="X",L618="x",L619="X",L619="x",L620="X",L620="x",L621="X",L621="x",OR(L616="X",L616="x")),IF(OR(OR(L616="X",L616="x"),AND(J616=N616,K616=M616)),0,IF(OR(N616&lt;J616,AND(N616=J616,M616&lt;K616)),1,0)),0)+IF(OR(COUNTA(J625:K629,M625:N629)&gt;0,L625="X",L625="x",L626="X",L626="x",L627="X",L627="x",L628="X",L628="x",L629="X",L629="x",OR(L624="X",L624="x")),IF(OR(OR(L624="X",L624="x"),AND(J624=N624,K624=M624)),0,IF(OR(N624&lt;J624,AND(N624=J624,M624&lt;K624)),1,0)),0)</f>
      </c>
      <c r="L641" s="14" t="str">
        <f>IF(OR(COUNTA(J617:K621,M617:N621)&gt;0,L617="X",L617="x",L618="X",L618="x",L619="X",L619="x",L620="X",L620="x",L621="X",L621="x",OR(L616="X",L616="x")),IF(OR(OR(L616="X",L616="x"),AND(J616=N616,K616=M616)),1,0),0)+IF(OR(COUNTA(J625:K629,M625:N629)&gt;0,L625="X",L625="x",L626="X",L626="x",L627="X",L627="x",L628="X",L628="x",L629="X",L629="x",OR(L624="X",L624="x")),IF(OR(OR(L624="X",L624="x"),AND(J624=N624,K624=M624)),1,0),0)</f>
      </c>
      <c r="O641" s="18" t="str">
        <f>RANK(AC641,$AC$641:$AC$643)+COUNTIF($AC$640:AC640,AC641)</f>
      </c>
      <c r="U641" t="str">
        <f>(B641*1000000000)-(C641*10000000)+(D641*100000)+(B646*1000)-(C646*100)+(D646*10)+(E646*1)-(F646*0.01)</f>
      </c>
      <c r="AC641" t="str">
        <f>(J641*1000000000)-(K641*10000000)+(L641*100000)+(J646*1000)-(K646*100)+(L646*10)+(M646*1)-(N646*0.01)</f>
      </c>
    </row>
    <row r="642">
      <c r="A642" s="14" t="str">
        <f>data!$E$47&amp;" "&amp;data!$B$47</f>
      </c>
      <c r="B642" s="14" t="str">
        <f>IF(OR(COUNTA(B617:C621,E617:F621)&gt;0,D617="X",D617="x",D618="X",D618="x",D619="X",D619="x",D620="X",D620="x",D621="X",D621="x",OR(D616="X",D616="x")),IF(OR(OR(D616="X",D616="x"),AND(B616=F616,C616=E616)),0,IF(OR(B616&gt;F616,AND(B616=F616,C616&gt;E616)),1,0)),0)+IF(OR(COUNTA(B633:C637,E633:F637)&gt;0,D633="X",D633="x",D634="X",D634="x",D635="X",D635="x",D636="X",D636="x",D637="X",D637="x",OR(D632="X",D632="x")),IF(OR(OR(D632="X",D632="x"),AND(B632=F632,C632=E632)),0,IF(OR(F632&gt;B632,AND(F632=B632,E632&gt;C632)),1,0)),0)</f>
      </c>
      <c r="C642" s="14" t="str">
        <f>IF(OR(COUNTA(B617:C621,E617:F621)&gt;0,D617="X",D617="x",D618="X",D618="x",D619="X",D619="x",D620="X",D620="x",D621="X",D621="x",OR(D616="X",D616="x")),IF(OR(OR(D616="X",D616="x"),AND(B616=F616,C616=E616)),0,IF(OR(B616&lt;F616,AND(B616=F616,C616&lt;E616)),1,0)),0)+IF(OR(COUNTA(B633:C637,E633:F637)&gt;0,D633="X",D633="x",D634="X",D634="x",D635="X",D635="x",D636="X",D636="x",D637="X",D637="x",OR(D632="X",D632="x")),IF(OR(OR(D632="X",D632="x"),AND(B632=F632,C632=E632)),0,IF(OR(F632&lt;B632,AND(F632=B632,E632&lt;C632)),1,0)),0)</f>
      </c>
      <c r="D642" s="14" t="str">
        <f>IF(OR(COUNTA(B617:C621,E617:F621)&gt;0,D617="X",D617="x",D618="X",D618="x",D619="X",D619="x",D620="X",D620="x",D621="X",D621="x",OR(D616="X",D616="x")),IF(OR(OR(D616="X",D616="x"),AND(B616=F616,C616=E616)),1,0),0)+IF(OR(COUNTA(B633:C637,E633:F637)&gt;0,D633="X",D633="x",D634="X",D634="x",D635="X",D635="x",D636="X",D636="x",D637="X",D637="x",OR(D632="X",D632="x")),IF(OR(OR(D632="X",D632="x"),AND(B632=F632,C632=E632)),1,0),0)</f>
      </c>
      <c r="G642" s="18" t="str">
        <f>RANK(U642,$U$641:$U$643)+COUNTIF($U$640:U641,U642)</f>
      </c>
      <c r="I642" s="14" t="str">
        <f>data!$E$92&amp;" "&amp;data!$B$92</f>
      </c>
      <c r="J642" s="14" t="str">
        <f>IF(OR(COUNTA(J617:K621,M617:N621)&gt;0,L617="X",L617="x",L618="X",L618="x",L619="X",L619="x",L620="X",L620="x",L621="X",L621="x",OR(L616="X",L616="x")),IF(OR(OR(L616="X",L616="x"),AND(J616=N616,K616=M616)),0,IF(OR(J616&gt;N616,AND(J616=N616,K616&gt;M616)),1,0)),0)+IF(OR(COUNTA(J633:K637,M633:N637)&gt;0,L633="X",L633="x",L634="X",L634="x",L635="X",L635="x",L636="X",L636="x",L637="X",L637="x",OR(L632="X",L632="x")),IF(OR(OR(L632="X",L632="x"),AND(J632=N632,K632=M632)),0,IF(OR(N632&gt;J632,AND(N632=J632,M632&gt;K632)),1,0)),0)</f>
      </c>
      <c r="K642" s="14" t="str">
        <f>IF(OR(COUNTA(J617:K621,M617:N621)&gt;0,L617="X",L617="x",L618="X",L618="x",L619="X",L619="x",L620="X",L620="x",L621="X",L621="x",OR(L616="X",L616="x")),IF(OR(OR(L616="X",L616="x"),AND(J616=N616,K616=M616)),0,IF(OR(J616&lt;N616,AND(J616=N616,K616&lt;M616)),1,0)),0)+IF(OR(COUNTA(J633:K637,M633:N637)&gt;0,L633="X",L633="x",L634="X",L634="x",L635="X",L635="x",L636="X",L636="x",L637="X",L637="x",OR(L632="X",L632="x")),IF(OR(OR(L632="X",L632="x"),AND(J632=N632,K632=M632)),0,IF(OR(N632&lt;J632,AND(N632=J632,M632&lt;K632)),1,0)),0)</f>
      </c>
      <c r="L642" s="14" t="str">
        <f>IF(OR(COUNTA(J617:K621,M617:N621)&gt;0,L617="X",L617="x",L618="X",L618="x",L619="X",L619="x",L620="X",L620="x",L621="X",L621="x",OR(L616="X",L616="x")),IF(OR(OR(L616="X",L616="x"),AND(J616=N616,K616=M616)),1,0),0)+IF(OR(COUNTA(J633:K637,M633:N637)&gt;0,L633="X",L633="x",L634="X",L634="x",L635="X",L635="x",L636="X",L636="x",L637="X",L637="x",OR(L632="X",L632="x")),IF(OR(OR(L632="X",L632="x"),AND(J632=N632,K632=M632)),1,0),0)</f>
      </c>
      <c r="O642" s="18" t="str">
        <f>RANK(AC642,$AC$641:$AC$643)+COUNTIF($AC$640:AC641,AC642)</f>
      </c>
      <c r="U642" t="str">
        <f>(B642*1000000000)-(C642*10000000)+(D642*100000)+(B647*1000)-(C647*100)+(D647*10)+(E647*1)-(F647*0.01)</f>
      </c>
      <c r="AC642" t="str">
        <f>(J642*1000000000)-(K642*10000000)+(L642*100000)+(J647*1000)-(K647*100)+(L647*10)+(M647*1)-(N647*0.01)</f>
      </c>
    </row>
    <row r="643">
      <c r="A643" s="14" t="str">
        <f>data!$E$48&amp;" "&amp;data!$B$48</f>
      </c>
      <c r="B643" s="14" t="str">
        <f>IF(OR(COUNTA(B625:C629,E625:F629)&gt;0,D625="X",D625="x",D626="X",D626="x",D627="X",D627="x",D628="X",D628="x",D629="X",D629="x",OR(D624="X",D624="x")),IF(OR(OR(D624="X",D624="x"),AND(B624=F624,C624=E624)),0,IF(OR(B624&gt;F624,AND(B624=F624,C624&gt;E624)),1,0)),0)+IF(OR(COUNTA(B633:C637,E633:F637)&gt;0,D633="X",D633="x",D634="X",D634="x",D635="X",D635="x",D636="X",D636="x",D637="X",D637="x",OR(D632="X",D632="x")),IF(OR(OR(D632="X",D632="x"),AND(B632=F632,C632=E632)),0,IF(OR(B632&gt;F632,AND(B632=F632,C632&gt;E632)),1,0)),0)</f>
      </c>
      <c r="C643" s="14" t="str">
        <f>IF(OR(COUNTA(B625:C629,E625:F629)&gt;0,D625="X",D625="x",D626="X",D626="x",D627="X",D627="x",D628="X",D628="x",D629="X",D629="x",OR(D624="X",D624="x")),IF(OR(OR(D624="X",D624="x"),AND(B624=F624,C624=E624)),0,IF(OR(B624&lt;F624,AND(B624=F624,C624&lt;E624)),1,0)),0)+IF(OR(COUNTA(B633:C637,E633:F637)&gt;0,D633="X",D633="x",D634="X",D634="x",D635="X",D635="x",D636="X",D636="x",D637="X",D637="x",OR(D632="X",D632="x")),IF(OR(OR(D632="X",D632="x"),AND(B632=F632,C632=E632)),0,IF(OR(B632&lt;F632,AND(B632=F632,C632&lt;E632)),1,0)),0)</f>
      </c>
      <c r="D643" s="14" t="str">
        <f>IF(OR(COUNTA(B625:C629,E625:F629)&gt;0,D625="X",D625="x",D626="X",D626="x",D627="X",D627="x",D628="X",D628="x",D629="X",D629="x",OR(D624="X",D624="x")),IF(OR(OR(D624="X",D624="x"),AND(B624=F624,C624=E624)),1,0),0)+IF(OR(COUNTA(B633:C637,E633:F637)&gt;0,D633="X",D633="x",D634="X",D634="x",D635="X",D635="x",D636="X",D636="x",D637="X",D637="x",OR(D632="X",D632="x")),IF(OR(OR(D632="X",D632="x"),AND(B632=F632,C632=E632)),1,0),0)</f>
      </c>
      <c r="G643" s="18" t="str">
        <f>RANK(U643,$U$641:$U$643)+COUNTIF($U$640:U642,U643)</f>
      </c>
      <c r="I643" s="14" t="str">
        <f>data!$E$93&amp;" "&amp;data!$B$93</f>
      </c>
      <c r="J643" s="14" t="str">
        <f>IF(OR(COUNTA(J625:K629,M625:N629)&gt;0,L625="X",L625="x",L626="X",L626="x",L627="X",L627="x",L628="X",L628="x",L629="X",L629="x",OR(L624="X",L624="x")),IF(OR(OR(L624="X",L624="x"),AND(J624=N624,K624=M624)),0,IF(OR(J624&gt;N624,AND(J624=N624,K624&gt;M624)),1,0)),0)+IF(OR(COUNTA(J633:K637,M633:N637)&gt;0,L633="X",L633="x",L634="X",L634="x",L635="X",L635="x",L636="X",L636="x",L637="X",L637="x",OR(L632="X",L632="x")),IF(OR(OR(L632="X",L632="x"),AND(J632=N632,K632=M632)),0,IF(OR(J632&gt;N632,AND(J632=N632,K632&gt;M632)),1,0)),0)</f>
      </c>
      <c r="K643" s="14" t="str">
        <f>IF(OR(COUNTA(J625:K629,M625:N629)&gt;0,L625="X",L625="x",L626="X",L626="x",L627="X",L627="x",L628="X",L628="x",L629="X",L629="x",OR(L624="X",L624="x")),IF(OR(OR(L624="X",L624="x"),AND(J624=N624,K624=M624)),0,IF(OR(J624&lt;N624,AND(J624=N624,K624&lt;M624)),1,0)),0)+IF(OR(COUNTA(J633:K637,M633:N637)&gt;0,L633="X",L633="x",L634="X",L634="x",L635="X",L635="x",L636="X",L636="x",L637="X",L637="x",OR(L632="X",L632="x")),IF(OR(OR(L632="X",L632="x"),AND(J632=N632,K632=M632)),0,IF(OR(J632&lt;N632,AND(J632=N632,K632&lt;M632)),1,0)),0)</f>
      </c>
      <c r="L643" s="14" t="str">
        <f>IF(OR(COUNTA(J625:K629,M625:N629)&gt;0,L625="X",L625="x",L626="X",L626="x",L627="X",L627="x",L628="X",L628="x",L629="X",L629="x",OR(L624="X",L624="x")),IF(OR(OR(L624="X",L624="x"),AND(J624=N624,K624=M624)),1,0),0)+IF(OR(COUNTA(J633:K637,M633:N637)&gt;0,L633="X",L633="x",L634="X",L634="x",L635="X",L635="x",L636="X",L636="x",L637="X",L637="x",OR(L632="X",L632="x")),IF(OR(OR(L632="X",L632="x"),AND(J632=N632,K632=M632)),1,0),0)</f>
      </c>
      <c r="O643" s="18" t="str">
        <f>RANK(AC643,$AC$641:$AC$643)+COUNTIF($AC$640:AC642,AC643)</f>
      </c>
      <c r="U643" t="str">
        <f>(B643*1000000000)-(C643*10000000)+(D643*100000)+(B648*1000)-(C648*100)+(D648*10)+(E648*1)-(F648*0.01)</f>
      </c>
      <c r="AC643" t="str">
        <f>(J643*1000000000)-(K643*10000000)+(L643*100000)+(J648*1000)-(K648*100)+(L648*10)+(M648*1)-(N648*0.01)</f>
      </c>
    </row>
    <row r="645">
      <c r="A645" s="13"/>
      <c r="B645" s="13" t="s">
        <v>338</v>
      </c>
      <c r="C645" s="13" t="s">
        <v>339</v>
      </c>
      <c r="D645" s="13" t="s">
        <v>340</v>
      </c>
      <c r="E645" s="13" t="s">
        <v>341</v>
      </c>
      <c r="F645" s="13" t="s">
        <v>342</v>
      </c>
      <c r="I645" s="13"/>
      <c r="J645" s="13" t="s">
        <v>338</v>
      </c>
      <c r="K645" s="13" t="s">
        <v>339</v>
      </c>
      <c r="L645" s="13" t="s">
        <v>340</v>
      </c>
      <c r="M645" s="13" t="s">
        <v>341</v>
      </c>
      <c r="N645" s="13" t="s">
        <v>342</v>
      </c>
    </row>
    <row r="646">
      <c r="A646" s="14" t="str">
        <f>data!$E$46&amp;" "&amp;data!$B$46</f>
      </c>
      <c r="B646" s="14" t="str">
        <f>IF(OR(COUNTA(B617:C621,E617:F621)&gt;0,OR(D616="X",D616="x"),UPPER(D617)="X",UPPER(D618)="X",UPPER(D619)="X",UPPER(D620)="X",UPPER(D621)="X"),F616,0)+IF(OR(COUNTA(B625:C629,E625:F629)&gt;0,OR(D624="X",D624="x"),UPPER(D625)="X",UPPER(D626)="X",UPPER(D627)="X",UPPER(D628)="X",UPPER(D629)="X"),F624,0)</f>
      </c>
      <c r="C646" s="14" t="str">
        <f>IF(OR(COUNTA(B617:C621,E617:F621)&gt;0,OR(D616="X",D616="x"),UPPER(D617)="X",UPPER(D618)="X",UPPER(D619)="X",UPPER(D620)="X",UPPER(D621)="X"),B616,0)+IF(OR(COUNTA(B625:C629,E625:F629)&gt;0,OR(D624="X",D624="x"),UPPER(D625)="X",UPPER(D626)="X",UPPER(D627)="X",UPPER(D628)="X",UPPER(D629)="X"),B624,0)</f>
      </c>
      <c r="D646" s="14" t="str">
        <f>IF(OR(COUNTA(B617:C621,E617:F621)&gt;0,OR(D616="X",D616="x"),UPPER(D617)="X",UPPER(D618)="X",UPPER(D619)="X",UPPER(D620)="X",UPPER(D621)="X"),(IF(OR(D617="X",D617="x",AND(COUNTA(B617,C617,E617,F617)&gt;0,(LEN(SUBSTITUTE(SUBSTITUTE(SUBSTITUTE(B617," ",""),"0",""),"-",""))+LEN(SUBSTITUTE(SUBSTITUTE(SUBSTITUTE(C617," ",""),"0",""),"-","")))=(LEN(SUBSTITUTE(SUBSTITUTE(SUBSTITUTE(E617," ",""),"0",""),"-",""))+LEN(SUBSTITUTE(SUBSTITUTE(SUBSTITUTE(F617," ",""),"0",""),"-",""))))),1,0)+IF(OR(D618="X",D618="x",AND(COUNTA(B618,C618,E618,F618)&gt;0,(LEN(SUBSTITUTE(SUBSTITUTE(SUBSTITUTE(B618," ",""),"0",""),"-",""))+LEN(SUBSTITUTE(SUBSTITUTE(SUBSTITUTE(C618," ",""),"0",""),"-","")))=(LEN(SUBSTITUTE(SUBSTITUTE(SUBSTITUTE(E618," ",""),"0",""),"-",""))+LEN(SUBSTITUTE(SUBSTITUTE(SUBSTITUTE(F618," ",""),"0",""),"-",""))))),1,0)+IF(OR(D619="X",D619="x",AND(COUNTA(B619,C619,E619,F619)&gt;0,(LEN(SUBSTITUTE(SUBSTITUTE(SUBSTITUTE(B619," ",""),"0",""),"-",""))+LEN(SUBSTITUTE(SUBSTITUTE(SUBSTITUTE(C619," ",""),"0",""),"-","")))=(LEN(SUBSTITUTE(SUBSTITUTE(SUBSTITUTE(E619," ",""),"0",""),"-",""))+LEN(SUBSTITUTE(SUBSTITUTE(SUBSTITUTE(F619," ",""),"0",""),"-",""))))),1,0)+IF(OR(D620="X",D620="x",AND(COUNTA(B620,C620,E620,F620)&gt;0,(LEN(SUBSTITUTE(SUBSTITUTE(SUBSTITUTE(B620," ",""),"0",""),"-",""))+LEN(SUBSTITUTE(SUBSTITUTE(SUBSTITUTE(C620," ",""),"0",""),"-","")))=(LEN(SUBSTITUTE(SUBSTITUTE(SUBSTITUTE(E620," ",""),"0",""),"-",""))+LEN(SUBSTITUTE(SUBSTITUTE(SUBSTITUTE(F620," ",""),"0",""),"-",""))))),1,0)+IF(OR(D621="X",D621="x",AND(COUNTA(B621,C621,E621,F621)&gt;0,(LEN(SUBSTITUTE(SUBSTITUTE(SUBSTITUTE(B621," ",""),"0",""),"-",""))+LEN(SUBSTITUTE(SUBSTITUTE(SUBSTITUTE(C621," ",""),"0",""),"-","")))=(LEN(SUBSTITUTE(SUBSTITUTE(SUBSTITUTE(E621," ",""),"0",""),"-",""))+LEN(SUBSTITUTE(SUBSTITUTE(SUBSTITUTE(F621," ",""),"0",""),"-",""))))),1,0)),0)+IF(OR(COUNTA(B625:C629,E625:F629)&gt;0,OR(D624="X",D624="x"),UPPER(D625)="X",UPPER(D626)="X",UPPER(D627)="X",UPPER(D628)="X",UPPER(D629)="X"),(IF(OR(D625="X",D625="x",AND(COUNTA(B625,C625,E625,F625)&gt;0,(LEN(SUBSTITUTE(SUBSTITUTE(SUBSTITUTE(B625," ",""),"0",""),"-",""))+LEN(SUBSTITUTE(SUBSTITUTE(SUBSTITUTE(C625," ",""),"0",""),"-","")))=(LEN(SUBSTITUTE(SUBSTITUTE(SUBSTITUTE(E625," ",""),"0",""),"-",""))+LEN(SUBSTITUTE(SUBSTITUTE(SUBSTITUTE(F625," ",""),"0",""),"-",""))))),1,0)+IF(OR(D626="X",D626="x",AND(COUNTA(B626,C626,E626,F626)&gt;0,(LEN(SUBSTITUTE(SUBSTITUTE(SUBSTITUTE(B626," ",""),"0",""),"-",""))+LEN(SUBSTITUTE(SUBSTITUTE(SUBSTITUTE(C626," ",""),"0",""),"-","")))=(LEN(SUBSTITUTE(SUBSTITUTE(SUBSTITUTE(E626," ",""),"0",""),"-",""))+LEN(SUBSTITUTE(SUBSTITUTE(SUBSTITUTE(F626," ",""),"0",""),"-",""))))),1,0)+IF(OR(D627="X",D627="x",AND(COUNTA(B627,C627,E627,F627)&gt;0,(LEN(SUBSTITUTE(SUBSTITUTE(SUBSTITUTE(B627," ",""),"0",""),"-",""))+LEN(SUBSTITUTE(SUBSTITUTE(SUBSTITUTE(C627," ",""),"0",""),"-","")))=(LEN(SUBSTITUTE(SUBSTITUTE(SUBSTITUTE(E627," ",""),"0",""),"-",""))+LEN(SUBSTITUTE(SUBSTITUTE(SUBSTITUTE(F627," ",""),"0",""),"-",""))))),1,0)+IF(OR(D628="X",D628="x",AND(COUNTA(B628,C628,E628,F628)&gt;0,(LEN(SUBSTITUTE(SUBSTITUTE(SUBSTITUTE(B628," ",""),"0",""),"-",""))+LEN(SUBSTITUTE(SUBSTITUTE(SUBSTITUTE(C628," ",""),"0",""),"-","")))=(LEN(SUBSTITUTE(SUBSTITUTE(SUBSTITUTE(E628," ",""),"0",""),"-",""))+LEN(SUBSTITUTE(SUBSTITUTE(SUBSTITUTE(F628," ",""),"0",""),"-",""))))),1,0)+IF(OR(D629="X",D629="x",AND(COUNTA(B629,C629,E629,F629)&gt;0,(LEN(SUBSTITUTE(SUBSTITUTE(SUBSTITUTE(B629," ",""),"0",""),"-",""))+LEN(SUBSTITUTE(SUBSTITUTE(SUBSTITUTE(C629," ",""),"0",""),"-","")))=(LEN(SUBSTITUTE(SUBSTITUTE(SUBSTITUTE(E629," ",""),"0",""),"-",""))+LEN(SUBSTITUTE(SUBSTITUTE(SUBSTITUTE(F629," ",""),"0",""),"-",""))))),1,0)),0)</f>
      </c>
      <c r="E646" s="14" t="str">
        <f>E616+E624</f>
      </c>
      <c r="F646" s="14" t="str">
        <f>C616+C624</f>
      </c>
      <c r="I646" s="14" t="str">
        <f>data!$E$91&amp;" "&amp;data!$B$91</f>
      </c>
      <c r="J646" s="14" t="str">
        <f>IF(OR(COUNTA(J617:K621,M617:N621)&gt;0,OR(L616="X",L616="x"),UPPER(L617)="X",UPPER(L618)="X",UPPER(L619)="X",UPPER(L620)="X",UPPER(L621)="X"),N616,0)+IF(OR(COUNTA(J625:K629,M625:N629)&gt;0,OR(L624="X",L624="x"),UPPER(L625)="X",UPPER(L626)="X",UPPER(L627)="X",UPPER(L628)="X",UPPER(L629)="X"),N624,0)</f>
      </c>
      <c r="K646" s="14" t="str">
        <f>IF(OR(COUNTA(J617:K621,M617:N621)&gt;0,OR(L616="X",L616="x"),UPPER(L617)="X",UPPER(L618)="X",UPPER(L619)="X",UPPER(L620)="X",UPPER(L621)="X"),J616,0)+IF(OR(COUNTA(J625:K629,M625:N629)&gt;0,OR(L624="X",L624="x"),UPPER(L625)="X",UPPER(L626)="X",UPPER(L627)="X",UPPER(L628)="X",UPPER(L629)="X"),J624,0)</f>
      </c>
      <c r="L646" s="14" t="str">
        <f>IF(OR(COUNTA(J617:K621,M617:N621)&gt;0,OR(L616="X",L616="x"),UPPER(L617)="X",UPPER(L618)="X",UPPER(L619)="X",UPPER(L620)="X",UPPER(L621)="X"),(IF(OR(L617="X",L617="x",AND(COUNTA(J617,K617,M617,N617)&gt;0,(LEN(SUBSTITUTE(SUBSTITUTE(SUBSTITUTE(J617," ",""),"0",""),"-",""))+LEN(SUBSTITUTE(SUBSTITUTE(SUBSTITUTE(K617," ",""),"0",""),"-","")))=(LEN(SUBSTITUTE(SUBSTITUTE(SUBSTITUTE(M617," ",""),"0",""),"-",""))+LEN(SUBSTITUTE(SUBSTITUTE(SUBSTITUTE(N617," ",""),"0",""),"-",""))))),1,0)+IF(OR(L618="X",L618="x",AND(COUNTA(J618,K618,M618,N618)&gt;0,(LEN(SUBSTITUTE(SUBSTITUTE(SUBSTITUTE(J618," ",""),"0",""),"-",""))+LEN(SUBSTITUTE(SUBSTITUTE(SUBSTITUTE(K618," ",""),"0",""),"-","")))=(LEN(SUBSTITUTE(SUBSTITUTE(SUBSTITUTE(M618," ",""),"0",""),"-",""))+LEN(SUBSTITUTE(SUBSTITUTE(SUBSTITUTE(N618," ",""),"0",""),"-",""))))),1,0)+IF(OR(L619="X",L619="x",AND(COUNTA(J619,K619,M619,N619)&gt;0,(LEN(SUBSTITUTE(SUBSTITUTE(SUBSTITUTE(J619," ",""),"0",""),"-",""))+LEN(SUBSTITUTE(SUBSTITUTE(SUBSTITUTE(K619," ",""),"0",""),"-","")))=(LEN(SUBSTITUTE(SUBSTITUTE(SUBSTITUTE(M619," ",""),"0",""),"-",""))+LEN(SUBSTITUTE(SUBSTITUTE(SUBSTITUTE(N619," ",""),"0",""),"-",""))))),1,0)+IF(OR(L620="X",L620="x",AND(COUNTA(J620,K620,M620,N620)&gt;0,(LEN(SUBSTITUTE(SUBSTITUTE(SUBSTITUTE(J620," ",""),"0",""),"-",""))+LEN(SUBSTITUTE(SUBSTITUTE(SUBSTITUTE(K620," ",""),"0",""),"-","")))=(LEN(SUBSTITUTE(SUBSTITUTE(SUBSTITUTE(M620," ",""),"0",""),"-",""))+LEN(SUBSTITUTE(SUBSTITUTE(SUBSTITUTE(N620," ",""),"0",""),"-",""))))),1,0)+IF(OR(L621="X",L621="x",AND(COUNTA(J621,K621,M621,N621)&gt;0,(LEN(SUBSTITUTE(SUBSTITUTE(SUBSTITUTE(J621," ",""),"0",""),"-",""))+LEN(SUBSTITUTE(SUBSTITUTE(SUBSTITUTE(K621," ",""),"0",""),"-","")))=(LEN(SUBSTITUTE(SUBSTITUTE(SUBSTITUTE(M621," ",""),"0",""),"-",""))+LEN(SUBSTITUTE(SUBSTITUTE(SUBSTITUTE(N621," ",""),"0",""),"-",""))))),1,0)),0)+IF(OR(COUNTA(J625:K629,M625:N629)&gt;0,OR(L624="X",L624="x"),UPPER(L625)="X",UPPER(L626)="X",UPPER(L627)="X",UPPER(L628)="X",UPPER(L629)="X"),(IF(OR(L625="X",L625="x",AND(COUNTA(J625,K625,M625,N625)&gt;0,(LEN(SUBSTITUTE(SUBSTITUTE(SUBSTITUTE(J625," ",""),"0",""),"-",""))+LEN(SUBSTITUTE(SUBSTITUTE(SUBSTITUTE(K625," ",""),"0",""),"-","")))=(LEN(SUBSTITUTE(SUBSTITUTE(SUBSTITUTE(M625," ",""),"0",""),"-",""))+LEN(SUBSTITUTE(SUBSTITUTE(SUBSTITUTE(N625," ",""),"0",""),"-",""))))),1,0)+IF(OR(L626="X",L626="x",AND(COUNTA(J626,K626,M626,N626)&gt;0,(LEN(SUBSTITUTE(SUBSTITUTE(SUBSTITUTE(J626," ",""),"0",""),"-",""))+LEN(SUBSTITUTE(SUBSTITUTE(SUBSTITUTE(K626," ",""),"0",""),"-","")))=(LEN(SUBSTITUTE(SUBSTITUTE(SUBSTITUTE(M626," ",""),"0",""),"-",""))+LEN(SUBSTITUTE(SUBSTITUTE(SUBSTITUTE(N626," ",""),"0",""),"-",""))))),1,0)+IF(OR(L627="X",L627="x",AND(COUNTA(J627,K627,M627,N627)&gt;0,(LEN(SUBSTITUTE(SUBSTITUTE(SUBSTITUTE(J627," ",""),"0",""),"-",""))+LEN(SUBSTITUTE(SUBSTITUTE(SUBSTITUTE(K627," ",""),"0",""),"-","")))=(LEN(SUBSTITUTE(SUBSTITUTE(SUBSTITUTE(M627," ",""),"0",""),"-",""))+LEN(SUBSTITUTE(SUBSTITUTE(SUBSTITUTE(N627," ",""),"0",""),"-",""))))),1,0)+IF(OR(L628="X",L628="x",AND(COUNTA(J628,K628,M628,N628)&gt;0,(LEN(SUBSTITUTE(SUBSTITUTE(SUBSTITUTE(J628," ",""),"0",""),"-",""))+LEN(SUBSTITUTE(SUBSTITUTE(SUBSTITUTE(K628," ",""),"0",""),"-","")))=(LEN(SUBSTITUTE(SUBSTITUTE(SUBSTITUTE(M628," ",""),"0",""),"-",""))+LEN(SUBSTITUTE(SUBSTITUTE(SUBSTITUTE(N628," ",""),"0",""),"-",""))))),1,0)+IF(OR(L629="X",L629="x",AND(COUNTA(J629,K629,M629,N629)&gt;0,(LEN(SUBSTITUTE(SUBSTITUTE(SUBSTITUTE(J629," ",""),"0",""),"-",""))+LEN(SUBSTITUTE(SUBSTITUTE(SUBSTITUTE(K629," ",""),"0",""),"-","")))=(LEN(SUBSTITUTE(SUBSTITUTE(SUBSTITUTE(M629," ",""),"0",""),"-",""))+LEN(SUBSTITUTE(SUBSTITUTE(SUBSTITUTE(N629," ",""),"0",""),"-",""))))),1,0)),0)</f>
      </c>
      <c r="M646" s="14" t="str">
        <f>M616+M624</f>
      </c>
      <c r="N646" s="14" t="str">
        <f>K616+K624</f>
      </c>
    </row>
    <row r="647">
      <c r="A647" s="14" t="str">
        <f>data!$E$47&amp;" "&amp;data!$B$47</f>
      </c>
      <c r="B647" s="14" t="str">
        <f>IF(OR(COUNTA(B617:C621,E617:F621)&gt;0,OR(D616="X",D616="x"),UPPER(D617)="X",UPPER(D618)="X",UPPER(D619)="X",UPPER(D620)="X",UPPER(D621)="X"),B616,0)+IF(OR(COUNTA(B633:C637,E633:F637)&gt;0,OR(D632="X",D632="x"),UPPER(D633)="X",UPPER(D634)="X",UPPER(D635)="X",UPPER(D636)="X",UPPER(D637)="X"),F632,0)</f>
      </c>
      <c r="C647" s="14" t="str">
        <f>IF(OR(COUNTA(B617:C621,E617:F621)&gt;0,OR(D616="X",D616="x"),UPPER(D617)="X",UPPER(D618)="X",UPPER(D619)="X",UPPER(D620)="X",UPPER(D621)="X"),F616,0)+IF(OR(COUNTA(B633:C637,E633:F637)&gt;0,OR(D632="X",D632="x"),UPPER(D633)="X",UPPER(D634)="X",UPPER(D635)="X",UPPER(D636)="X",UPPER(D637)="X"),B632,0)</f>
      </c>
      <c r="D647" s="14" t="str">
        <f>IF(OR(COUNTA(B617:C621,E617:F621)&gt;0,OR(D616="X",D616="x"),UPPER(D617)="X",UPPER(D618)="X",UPPER(D619)="X",UPPER(D620)="X",UPPER(D621)="X"),(IF(OR(D617="X",D617="x",AND(COUNTA(B617,C617,E617,F617)&gt;0,(LEN(SUBSTITUTE(SUBSTITUTE(SUBSTITUTE(B617," ",""),"0",""),"-",""))+LEN(SUBSTITUTE(SUBSTITUTE(SUBSTITUTE(C617," ",""),"0",""),"-","")))=(LEN(SUBSTITUTE(SUBSTITUTE(SUBSTITUTE(E617," ",""),"0",""),"-",""))+LEN(SUBSTITUTE(SUBSTITUTE(SUBSTITUTE(F617," ",""),"0",""),"-",""))))),1,0)+IF(OR(D618="X",D618="x",AND(COUNTA(B618,C618,E618,F618)&gt;0,(LEN(SUBSTITUTE(SUBSTITUTE(SUBSTITUTE(B618," ",""),"0",""),"-",""))+LEN(SUBSTITUTE(SUBSTITUTE(SUBSTITUTE(C618," ",""),"0",""),"-","")))=(LEN(SUBSTITUTE(SUBSTITUTE(SUBSTITUTE(E618," ",""),"0",""),"-",""))+LEN(SUBSTITUTE(SUBSTITUTE(SUBSTITUTE(F618," ",""),"0",""),"-",""))))),1,0)+IF(OR(D619="X",D619="x",AND(COUNTA(B619,C619,E619,F619)&gt;0,(LEN(SUBSTITUTE(SUBSTITUTE(SUBSTITUTE(B619," ",""),"0",""),"-",""))+LEN(SUBSTITUTE(SUBSTITUTE(SUBSTITUTE(C619," ",""),"0",""),"-","")))=(LEN(SUBSTITUTE(SUBSTITUTE(SUBSTITUTE(E619," ",""),"0",""),"-",""))+LEN(SUBSTITUTE(SUBSTITUTE(SUBSTITUTE(F619," ",""),"0",""),"-",""))))),1,0)+IF(OR(D620="X",D620="x",AND(COUNTA(B620,C620,E620,F620)&gt;0,(LEN(SUBSTITUTE(SUBSTITUTE(SUBSTITUTE(B620," ",""),"0",""),"-",""))+LEN(SUBSTITUTE(SUBSTITUTE(SUBSTITUTE(C620," ",""),"0",""),"-","")))=(LEN(SUBSTITUTE(SUBSTITUTE(SUBSTITUTE(E620," ",""),"0",""),"-",""))+LEN(SUBSTITUTE(SUBSTITUTE(SUBSTITUTE(F620," ",""),"0",""),"-",""))))),1,0)+IF(OR(D621="X",D621="x",AND(COUNTA(B621,C621,E621,F621)&gt;0,(LEN(SUBSTITUTE(SUBSTITUTE(SUBSTITUTE(B621," ",""),"0",""),"-",""))+LEN(SUBSTITUTE(SUBSTITUTE(SUBSTITUTE(C621," ",""),"0",""),"-","")))=(LEN(SUBSTITUTE(SUBSTITUTE(SUBSTITUTE(E621," ",""),"0",""),"-",""))+LEN(SUBSTITUTE(SUBSTITUTE(SUBSTITUTE(F621," ",""),"0",""),"-",""))))),1,0)),0)+IF(OR(COUNTA(B633:C637,E633:F637)&gt;0,OR(D632="X",D632="x"),UPPER(D633)="X",UPPER(D634)="X",UPPER(D635)="X",UPPER(D636)="X",UPPER(D637)="X"),(IF(OR(D633="X",D633="x",AND(COUNTA(B633,C633,E633,F633)&gt;0,(LEN(SUBSTITUTE(SUBSTITUTE(SUBSTITUTE(B633," ",""),"0",""),"-",""))+LEN(SUBSTITUTE(SUBSTITUTE(SUBSTITUTE(C633," ",""),"0",""),"-","")))=(LEN(SUBSTITUTE(SUBSTITUTE(SUBSTITUTE(E633," ",""),"0",""),"-",""))+LEN(SUBSTITUTE(SUBSTITUTE(SUBSTITUTE(F633," ",""),"0",""),"-",""))))),1,0)+IF(OR(D634="X",D634="x",AND(COUNTA(B634,C634,E634,F634)&gt;0,(LEN(SUBSTITUTE(SUBSTITUTE(SUBSTITUTE(B634," ",""),"0",""),"-",""))+LEN(SUBSTITUTE(SUBSTITUTE(SUBSTITUTE(C634," ",""),"0",""),"-","")))=(LEN(SUBSTITUTE(SUBSTITUTE(SUBSTITUTE(E634," ",""),"0",""),"-",""))+LEN(SUBSTITUTE(SUBSTITUTE(SUBSTITUTE(F634," ",""),"0",""),"-",""))))),1,0)+IF(OR(D635="X",D635="x",AND(COUNTA(B635,C635,E635,F635)&gt;0,(LEN(SUBSTITUTE(SUBSTITUTE(SUBSTITUTE(B635," ",""),"0",""),"-",""))+LEN(SUBSTITUTE(SUBSTITUTE(SUBSTITUTE(C635," ",""),"0",""),"-","")))=(LEN(SUBSTITUTE(SUBSTITUTE(SUBSTITUTE(E635," ",""),"0",""),"-",""))+LEN(SUBSTITUTE(SUBSTITUTE(SUBSTITUTE(F635," ",""),"0",""),"-",""))))),1,0)+IF(OR(D636="X",D636="x",AND(COUNTA(B636,C636,E636,F636)&gt;0,(LEN(SUBSTITUTE(SUBSTITUTE(SUBSTITUTE(B636," ",""),"0",""),"-",""))+LEN(SUBSTITUTE(SUBSTITUTE(SUBSTITUTE(C636," ",""),"0",""),"-","")))=(LEN(SUBSTITUTE(SUBSTITUTE(SUBSTITUTE(E636," ",""),"0",""),"-",""))+LEN(SUBSTITUTE(SUBSTITUTE(SUBSTITUTE(F636," ",""),"0",""),"-",""))))),1,0)+IF(OR(D637="X",D637="x",AND(COUNTA(B637,C637,E637,F637)&gt;0,(LEN(SUBSTITUTE(SUBSTITUTE(SUBSTITUTE(B637," ",""),"0",""),"-",""))+LEN(SUBSTITUTE(SUBSTITUTE(SUBSTITUTE(C637," ",""),"0",""),"-","")))=(LEN(SUBSTITUTE(SUBSTITUTE(SUBSTITUTE(E637," ",""),"0",""),"-",""))+LEN(SUBSTITUTE(SUBSTITUTE(SUBSTITUTE(F637," ",""),"0",""),"-",""))))),1,0)),0)</f>
      </c>
      <c r="E647" s="14" t="str">
        <f>C616+E632</f>
      </c>
      <c r="F647" s="14" t="str">
        <f>E616+C632</f>
      </c>
      <c r="I647" s="14" t="str">
        <f>data!$E$92&amp;" "&amp;data!$B$92</f>
      </c>
      <c r="J647" s="14" t="str">
        <f>IF(OR(COUNTA(J617:K621,M617:N621)&gt;0,OR(L616="X",L616="x"),UPPER(L617)="X",UPPER(L618)="X",UPPER(L619)="X",UPPER(L620)="X",UPPER(L621)="X"),J616,0)+IF(OR(COUNTA(J633:K637,M633:N637)&gt;0,OR(L632="X",L632="x"),UPPER(L633)="X",UPPER(L634)="X",UPPER(L635)="X",UPPER(L636)="X",UPPER(L637)="X"),N632,0)</f>
      </c>
      <c r="K647" s="14" t="str">
        <f>IF(OR(COUNTA(J617:K621,M617:N621)&gt;0,OR(L616="X",L616="x"),UPPER(L617)="X",UPPER(L618)="X",UPPER(L619)="X",UPPER(L620)="X",UPPER(L621)="X"),N616,0)+IF(OR(COUNTA(J633:K637,M633:N637)&gt;0,OR(L632="X",L632="x"),UPPER(L633)="X",UPPER(L634)="X",UPPER(L635)="X",UPPER(L636)="X",UPPER(L637)="X"),J632,0)</f>
      </c>
      <c r="L647" s="14" t="str">
        <f>IF(OR(COUNTA(J617:K621,M617:N621)&gt;0,OR(L616="X",L616="x"),UPPER(L617)="X",UPPER(L618)="X",UPPER(L619)="X",UPPER(L620)="X",UPPER(L621)="X"),(IF(OR(L617="X",L617="x",AND(COUNTA(J617,K617,M617,N617)&gt;0,(LEN(SUBSTITUTE(SUBSTITUTE(SUBSTITUTE(J617," ",""),"0",""),"-",""))+LEN(SUBSTITUTE(SUBSTITUTE(SUBSTITUTE(K617," ",""),"0",""),"-","")))=(LEN(SUBSTITUTE(SUBSTITUTE(SUBSTITUTE(M617," ",""),"0",""),"-",""))+LEN(SUBSTITUTE(SUBSTITUTE(SUBSTITUTE(N617," ",""),"0",""),"-",""))))),1,0)+IF(OR(L618="X",L618="x",AND(COUNTA(J618,K618,M618,N618)&gt;0,(LEN(SUBSTITUTE(SUBSTITUTE(SUBSTITUTE(J618," ",""),"0",""),"-",""))+LEN(SUBSTITUTE(SUBSTITUTE(SUBSTITUTE(K618," ",""),"0",""),"-","")))=(LEN(SUBSTITUTE(SUBSTITUTE(SUBSTITUTE(M618," ",""),"0",""),"-",""))+LEN(SUBSTITUTE(SUBSTITUTE(SUBSTITUTE(N618," ",""),"0",""),"-",""))))),1,0)+IF(OR(L619="X",L619="x",AND(COUNTA(J619,K619,M619,N619)&gt;0,(LEN(SUBSTITUTE(SUBSTITUTE(SUBSTITUTE(J619," ",""),"0",""),"-",""))+LEN(SUBSTITUTE(SUBSTITUTE(SUBSTITUTE(K619," ",""),"0",""),"-","")))=(LEN(SUBSTITUTE(SUBSTITUTE(SUBSTITUTE(M619," ",""),"0",""),"-",""))+LEN(SUBSTITUTE(SUBSTITUTE(SUBSTITUTE(N619," ",""),"0",""),"-",""))))),1,0)+IF(OR(L620="X",L620="x",AND(COUNTA(J620,K620,M620,N620)&gt;0,(LEN(SUBSTITUTE(SUBSTITUTE(SUBSTITUTE(J620," ",""),"0",""),"-",""))+LEN(SUBSTITUTE(SUBSTITUTE(SUBSTITUTE(K620," ",""),"0",""),"-","")))=(LEN(SUBSTITUTE(SUBSTITUTE(SUBSTITUTE(M620," ",""),"0",""),"-",""))+LEN(SUBSTITUTE(SUBSTITUTE(SUBSTITUTE(N620," ",""),"0",""),"-",""))))),1,0)+IF(OR(L621="X",L621="x",AND(COUNTA(J621,K621,M621,N621)&gt;0,(LEN(SUBSTITUTE(SUBSTITUTE(SUBSTITUTE(J621," ",""),"0",""),"-",""))+LEN(SUBSTITUTE(SUBSTITUTE(SUBSTITUTE(K621," ",""),"0",""),"-","")))=(LEN(SUBSTITUTE(SUBSTITUTE(SUBSTITUTE(M621," ",""),"0",""),"-",""))+LEN(SUBSTITUTE(SUBSTITUTE(SUBSTITUTE(N621," ",""),"0",""),"-",""))))),1,0)),0)+IF(OR(COUNTA(J633:K637,M633:N637)&gt;0,OR(L632="X",L632="x"),UPPER(L633)="X",UPPER(L634)="X",UPPER(L635)="X",UPPER(L636)="X",UPPER(L637)="X"),(IF(OR(L633="X",L633="x",AND(COUNTA(J633,K633,M633,N633)&gt;0,(LEN(SUBSTITUTE(SUBSTITUTE(SUBSTITUTE(J633," ",""),"0",""),"-",""))+LEN(SUBSTITUTE(SUBSTITUTE(SUBSTITUTE(K633," ",""),"0",""),"-","")))=(LEN(SUBSTITUTE(SUBSTITUTE(SUBSTITUTE(M633," ",""),"0",""),"-",""))+LEN(SUBSTITUTE(SUBSTITUTE(SUBSTITUTE(N633," ",""),"0",""),"-",""))))),1,0)+IF(OR(L634="X",L634="x",AND(COUNTA(J634,K634,M634,N634)&gt;0,(LEN(SUBSTITUTE(SUBSTITUTE(SUBSTITUTE(J634," ",""),"0",""),"-",""))+LEN(SUBSTITUTE(SUBSTITUTE(SUBSTITUTE(K634," ",""),"0",""),"-","")))=(LEN(SUBSTITUTE(SUBSTITUTE(SUBSTITUTE(M634," ",""),"0",""),"-",""))+LEN(SUBSTITUTE(SUBSTITUTE(SUBSTITUTE(N634," ",""),"0",""),"-",""))))),1,0)+IF(OR(L635="X",L635="x",AND(COUNTA(J635,K635,M635,N635)&gt;0,(LEN(SUBSTITUTE(SUBSTITUTE(SUBSTITUTE(J635," ",""),"0",""),"-",""))+LEN(SUBSTITUTE(SUBSTITUTE(SUBSTITUTE(K635," ",""),"0",""),"-","")))=(LEN(SUBSTITUTE(SUBSTITUTE(SUBSTITUTE(M635," ",""),"0",""),"-",""))+LEN(SUBSTITUTE(SUBSTITUTE(SUBSTITUTE(N635," ",""),"0",""),"-",""))))),1,0)+IF(OR(L636="X",L636="x",AND(COUNTA(J636,K636,M636,N636)&gt;0,(LEN(SUBSTITUTE(SUBSTITUTE(SUBSTITUTE(J636," ",""),"0",""),"-",""))+LEN(SUBSTITUTE(SUBSTITUTE(SUBSTITUTE(K636," ",""),"0",""),"-","")))=(LEN(SUBSTITUTE(SUBSTITUTE(SUBSTITUTE(M636," ",""),"0",""),"-",""))+LEN(SUBSTITUTE(SUBSTITUTE(SUBSTITUTE(N636," ",""),"0",""),"-",""))))),1,0)+IF(OR(L637="X",L637="x",AND(COUNTA(J637,K637,M637,N637)&gt;0,(LEN(SUBSTITUTE(SUBSTITUTE(SUBSTITUTE(J637," ",""),"0",""),"-",""))+LEN(SUBSTITUTE(SUBSTITUTE(SUBSTITUTE(K637," ",""),"0",""),"-","")))=(LEN(SUBSTITUTE(SUBSTITUTE(SUBSTITUTE(M637," ",""),"0",""),"-",""))+LEN(SUBSTITUTE(SUBSTITUTE(SUBSTITUTE(N637," ",""),"0",""),"-",""))))),1,0)),0)</f>
      </c>
      <c r="M647" s="14" t="str">
        <f>K616+M632</f>
      </c>
      <c r="N647" s="14" t="str">
        <f>M616+K632</f>
      </c>
    </row>
    <row r="648">
      <c r="A648" s="14" t="str">
        <f>data!$E$48&amp;" "&amp;data!$B$48</f>
      </c>
      <c r="B648" s="14" t="str">
        <f>IF(OR(COUNTA(B625:C629,E625:F629)&gt;0,OR(D624="X",D624="x"),UPPER(D625)="X",UPPER(D626)="X",UPPER(D627)="X",UPPER(D628)="X",UPPER(D629)="X"),B624,0)+IF(OR(COUNTA(B633:C637,E633:F637)&gt;0,OR(D632="X",D632="x"),UPPER(D633)="X",UPPER(D634)="X",UPPER(D635)="X",UPPER(D636)="X",UPPER(D637)="X"),B632,0)</f>
      </c>
      <c r="C648" s="14" t="str">
        <f>IF(OR(COUNTA(B625:C629,E625:F629)&gt;0,OR(D624="X",D624="x"),UPPER(D625)="X",UPPER(D626)="X",UPPER(D627)="X",UPPER(D628)="X",UPPER(D629)="X"),F624,0)+IF(OR(COUNTA(B633:C637,E633:F637)&gt;0,OR(D632="X",D632="x"),UPPER(D633)="X",UPPER(D634)="X",UPPER(D635)="X",UPPER(D636)="X",UPPER(D637)="X"),F632,0)</f>
      </c>
      <c r="D648" s="14" t="str">
        <f>IF(OR(COUNTA(B625:C629,E625:F629)&gt;0,OR(D624="X",D624="x"),UPPER(D625)="X",UPPER(D626)="X",UPPER(D627)="X",UPPER(D628)="X",UPPER(D629)="X"),(IF(OR(D625="X",D625="x",AND(COUNTA(B625,C625,E625,F625)&gt;0,(LEN(SUBSTITUTE(SUBSTITUTE(SUBSTITUTE(B625," ",""),"0",""),"-",""))+LEN(SUBSTITUTE(SUBSTITUTE(SUBSTITUTE(C625," ",""),"0",""),"-","")))=(LEN(SUBSTITUTE(SUBSTITUTE(SUBSTITUTE(E625," ",""),"0",""),"-",""))+LEN(SUBSTITUTE(SUBSTITUTE(SUBSTITUTE(F625," ",""),"0",""),"-",""))))),1,0)+IF(OR(D626="X",D626="x",AND(COUNTA(B626,C626,E626,F626)&gt;0,(LEN(SUBSTITUTE(SUBSTITUTE(SUBSTITUTE(B626," ",""),"0",""),"-",""))+LEN(SUBSTITUTE(SUBSTITUTE(SUBSTITUTE(C626," ",""),"0",""),"-","")))=(LEN(SUBSTITUTE(SUBSTITUTE(SUBSTITUTE(E626," ",""),"0",""),"-",""))+LEN(SUBSTITUTE(SUBSTITUTE(SUBSTITUTE(F626," ",""),"0",""),"-",""))))),1,0)+IF(OR(D627="X",D627="x",AND(COUNTA(B627,C627,E627,F627)&gt;0,(LEN(SUBSTITUTE(SUBSTITUTE(SUBSTITUTE(B627," ",""),"0",""),"-",""))+LEN(SUBSTITUTE(SUBSTITUTE(SUBSTITUTE(C627," ",""),"0",""),"-","")))=(LEN(SUBSTITUTE(SUBSTITUTE(SUBSTITUTE(E627," ",""),"0",""),"-",""))+LEN(SUBSTITUTE(SUBSTITUTE(SUBSTITUTE(F627," ",""),"0",""),"-",""))))),1,0)+IF(OR(D628="X",D628="x",AND(COUNTA(B628,C628,E628,F628)&gt;0,(LEN(SUBSTITUTE(SUBSTITUTE(SUBSTITUTE(B628," ",""),"0",""),"-",""))+LEN(SUBSTITUTE(SUBSTITUTE(SUBSTITUTE(C628," ",""),"0",""),"-","")))=(LEN(SUBSTITUTE(SUBSTITUTE(SUBSTITUTE(E628," ",""),"0",""),"-",""))+LEN(SUBSTITUTE(SUBSTITUTE(SUBSTITUTE(F628," ",""),"0",""),"-",""))))),1,0)+IF(OR(D629="X",D629="x",AND(COUNTA(B629,C629,E629,F629)&gt;0,(LEN(SUBSTITUTE(SUBSTITUTE(SUBSTITUTE(B629," ",""),"0",""),"-",""))+LEN(SUBSTITUTE(SUBSTITUTE(SUBSTITUTE(C629," ",""),"0",""),"-","")))=(LEN(SUBSTITUTE(SUBSTITUTE(SUBSTITUTE(E629," ",""),"0",""),"-",""))+LEN(SUBSTITUTE(SUBSTITUTE(SUBSTITUTE(F629," ",""),"0",""),"-",""))))),1,0)),0)+IF(OR(COUNTA(B633:C637,E633:F637)&gt;0,OR(D632="X",D632="x"),UPPER(D633)="X",UPPER(D634)="X",UPPER(D635)="X",UPPER(D636)="X",UPPER(D637)="X"),(IF(OR(D633="X",D633="x",AND(COUNTA(B633,C633,E633,F633)&gt;0,(LEN(SUBSTITUTE(SUBSTITUTE(SUBSTITUTE(B633," ",""),"0",""),"-",""))+LEN(SUBSTITUTE(SUBSTITUTE(SUBSTITUTE(C633," ",""),"0",""),"-","")))=(LEN(SUBSTITUTE(SUBSTITUTE(SUBSTITUTE(E633," ",""),"0",""),"-",""))+LEN(SUBSTITUTE(SUBSTITUTE(SUBSTITUTE(F633," ",""),"0",""),"-",""))))),1,0)+IF(OR(D634="X",D634="x",AND(COUNTA(B634,C634,E634,F634)&gt;0,(LEN(SUBSTITUTE(SUBSTITUTE(SUBSTITUTE(B634," ",""),"0",""),"-",""))+LEN(SUBSTITUTE(SUBSTITUTE(SUBSTITUTE(C634," ",""),"0",""),"-","")))=(LEN(SUBSTITUTE(SUBSTITUTE(SUBSTITUTE(E634," ",""),"0",""),"-",""))+LEN(SUBSTITUTE(SUBSTITUTE(SUBSTITUTE(F634," ",""),"0",""),"-",""))))),1,0)+IF(OR(D635="X",D635="x",AND(COUNTA(B635,C635,E635,F635)&gt;0,(LEN(SUBSTITUTE(SUBSTITUTE(SUBSTITUTE(B635," ",""),"0",""),"-",""))+LEN(SUBSTITUTE(SUBSTITUTE(SUBSTITUTE(C635," ",""),"0",""),"-","")))=(LEN(SUBSTITUTE(SUBSTITUTE(SUBSTITUTE(E635," ",""),"0",""),"-",""))+LEN(SUBSTITUTE(SUBSTITUTE(SUBSTITUTE(F635," ",""),"0",""),"-",""))))),1,0)+IF(OR(D636="X",D636="x",AND(COUNTA(B636,C636,E636,F636)&gt;0,(LEN(SUBSTITUTE(SUBSTITUTE(SUBSTITUTE(B636," ",""),"0",""),"-",""))+LEN(SUBSTITUTE(SUBSTITUTE(SUBSTITUTE(C636," ",""),"0",""),"-","")))=(LEN(SUBSTITUTE(SUBSTITUTE(SUBSTITUTE(E636," ",""),"0",""),"-",""))+LEN(SUBSTITUTE(SUBSTITUTE(SUBSTITUTE(F636," ",""),"0",""),"-",""))))),1,0)+IF(OR(D637="X",D637="x",AND(COUNTA(B637,C637,E637,F637)&gt;0,(LEN(SUBSTITUTE(SUBSTITUTE(SUBSTITUTE(B637," ",""),"0",""),"-",""))+LEN(SUBSTITUTE(SUBSTITUTE(SUBSTITUTE(C637," ",""),"0",""),"-","")))=(LEN(SUBSTITUTE(SUBSTITUTE(SUBSTITUTE(E637," ",""),"0",""),"-",""))+LEN(SUBSTITUTE(SUBSTITUTE(SUBSTITUTE(F637," ",""),"0",""),"-",""))))),1,0)),0)</f>
      </c>
      <c r="E648" s="14" t="str">
        <f>C624+C632</f>
      </c>
      <c r="F648" s="14" t="str">
        <f>E624+E632</f>
      </c>
      <c r="I648" s="14" t="str">
        <f>data!$E$93&amp;" "&amp;data!$B$93</f>
      </c>
      <c r="J648" s="14" t="str">
        <f>IF(OR(COUNTA(J625:K629,M625:N629)&gt;0,OR(L624="X",L624="x"),UPPER(L625)="X",UPPER(L626)="X",UPPER(L627)="X",UPPER(L628)="X",UPPER(L629)="X"),J624,0)+IF(OR(COUNTA(J633:K637,M633:N637)&gt;0,OR(L632="X",L632="x"),UPPER(L633)="X",UPPER(L634)="X",UPPER(L635)="X",UPPER(L636)="X",UPPER(L637)="X"),J632,0)</f>
      </c>
      <c r="K648" s="14" t="str">
        <f>IF(OR(COUNTA(J625:K629,M625:N629)&gt;0,OR(L624="X",L624="x"),UPPER(L625)="X",UPPER(L626)="X",UPPER(L627)="X",UPPER(L628)="X",UPPER(L629)="X"),N624,0)+IF(OR(COUNTA(J633:K637,M633:N637)&gt;0,OR(L632="X",L632="x"),UPPER(L633)="X",UPPER(L634)="X",UPPER(L635)="X",UPPER(L636)="X",UPPER(L637)="X"),N632,0)</f>
      </c>
      <c r="L648" s="14" t="str">
        <f>IF(OR(COUNTA(J625:K629,M625:N629)&gt;0,OR(L624="X",L624="x"),UPPER(L625)="X",UPPER(L626)="X",UPPER(L627)="X",UPPER(L628)="X",UPPER(L629)="X"),(IF(OR(L625="X",L625="x",AND(COUNTA(J625,K625,M625,N625)&gt;0,(LEN(SUBSTITUTE(SUBSTITUTE(SUBSTITUTE(J625," ",""),"0",""),"-",""))+LEN(SUBSTITUTE(SUBSTITUTE(SUBSTITUTE(K625," ",""),"0",""),"-","")))=(LEN(SUBSTITUTE(SUBSTITUTE(SUBSTITUTE(M625," ",""),"0",""),"-",""))+LEN(SUBSTITUTE(SUBSTITUTE(SUBSTITUTE(N625," ",""),"0",""),"-",""))))),1,0)+IF(OR(L626="X",L626="x",AND(COUNTA(J626,K626,M626,N626)&gt;0,(LEN(SUBSTITUTE(SUBSTITUTE(SUBSTITUTE(J626," ",""),"0",""),"-",""))+LEN(SUBSTITUTE(SUBSTITUTE(SUBSTITUTE(K626," ",""),"0",""),"-","")))=(LEN(SUBSTITUTE(SUBSTITUTE(SUBSTITUTE(M626," ",""),"0",""),"-",""))+LEN(SUBSTITUTE(SUBSTITUTE(SUBSTITUTE(N626," ",""),"0",""),"-",""))))),1,0)+IF(OR(L627="X",L627="x",AND(COUNTA(J627,K627,M627,N627)&gt;0,(LEN(SUBSTITUTE(SUBSTITUTE(SUBSTITUTE(J627," ",""),"0",""),"-",""))+LEN(SUBSTITUTE(SUBSTITUTE(SUBSTITUTE(K627," ",""),"0",""),"-","")))=(LEN(SUBSTITUTE(SUBSTITUTE(SUBSTITUTE(M627," ",""),"0",""),"-",""))+LEN(SUBSTITUTE(SUBSTITUTE(SUBSTITUTE(N627," ",""),"0",""),"-",""))))),1,0)+IF(OR(L628="X",L628="x",AND(COUNTA(J628,K628,M628,N628)&gt;0,(LEN(SUBSTITUTE(SUBSTITUTE(SUBSTITUTE(J628," ",""),"0",""),"-",""))+LEN(SUBSTITUTE(SUBSTITUTE(SUBSTITUTE(K628," ",""),"0",""),"-","")))=(LEN(SUBSTITUTE(SUBSTITUTE(SUBSTITUTE(M628," ",""),"0",""),"-",""))+LEN(SUBSTITUTE(SUBSTITUTE(SUBSTITUTE(N628," ",""),"0",""),"-",""))))),1,0)+IF(OR(L629="X",L629="x",AND(COUNTA(J629,K629,M629,N629)&gt;0,(LEN(SUBSTITUTE(SUBSTITUTE(SUBSTITUTE(J629," ",""),"0",""),"-",""))+LEN(SUBSTITUTE(SUBSTITUTE(SUBSTITUTE(K629," ",""),"0",""),"-","")))=(LEN(SUBSTITUTE(SUBSTITUTE(SUBSTITUTE(M629," ",""),"0",""),"-",""))+LEN(SUBSTITUTE(SUBSTITUTE(SUBSTITUTE(N629," ",""),"0",""),"-",""))))),1,0)),0)+IF(OR(COUNTA(J633:K637,M633:N637)&gt;0,OR(L632="X",L632="x"),UPPER(L633)="X",UPPER(L634)="X",UPPER(L635)="X",UPPER(L636)="X",UPPER(L637)="X"),(IF(OR(L633="X",L633="x",AND(COUNTA(J633,K633,M633,N633)&gt;0,(LEN(SUBSTITUTE(SUBSTITUTE(SUBSTITUTE(J633," ",""),"0",""),"-",""))+LEN(SUBSTITUTE(SUBSTITUTE(SUBSTITUTE(K633," ",""),"0",""),"-","")))=(LEN(SUBSTITUTE(SUBSTITUTE(SUBSTITUTE(M633," ",""),"0",""),"-",""))+LEN(SUBSTITUTE(SUBSTITUTE(SUBSTITUTE(N633," ",""),"0",""),"-",""))))),1,0)+IF(OR(L634="X",L634="x",AND(COUNTA(J634,K634,M634,N634)&gt;0,(LEN(SUBSTITUTE(SUBSTITUTE(SUBSTITUTE(J634," ",""),"0",""),"-",""))+LEN(SUBSTITUTE(SUBSTITUTE(SUBSTITUTE(K634," ",""),"0",""),"-","")))=(LEN(SUBSTITUTE(SUBSTITUTE(SUBSTITUTE(M634," ",""),"0",""),"-",""))+LEN(SUBSTITUTE(SUBSTITUTE(SUBSTITUTE(N634," ",""),"0",""),"-",""))))),1,0)+IF(OR(L635="X",L635="x",AND(COUNTA(J635,K635,M635,N635)&gt;0,(LEN(SUBSTITUTE(SUBSTITUTE(SUBSTITUTE(J635," ",""),"0",""),"-",""))+LEN(SUBSTITUTE(SUBSTITUTE(SUBSTITUTE(K635," ",""),"0",""),"-","")))=(LEN(SUBSTITUTE(SUBSTITUTE(SUBSTITUTE(M635," ",""),"0",""),"-",""))+LEN(SUBSTITUTE(SUBSTITUTE(SUBSTITUTE(N635," ",""),"0",""),"-",""))))),1,0)+IF(OR(L636="X",L636="x",AND(COUNTA(J636,K636,M636,N636)&gt;0,(LEN(SUBSTITUTE(SUBSTITUTE(SUBSTITUTE(J636," ",""),"0",""),"-",""))+LEN(SUBSTITUTE(SUBSTITUTE(SUBSTITUTE(K636," ",""),"0",""),"-","")))=(LEN(SUBSTITUTE(SUBSTITUTE(SUBSTITUTE(M636," ",""),"0",""),"-",""))+LEN(SUBSTITUTE(SUBSTITUTE(SUBSTITUTE(N636," ",""),"0",""),"-",""))))),1,0)+IF(OR(L637="X",L637="x",AND(COUNTA(J637,K637,M637,N637)&gt;0,(LEN(SUBSTITUTE(SUBSTITUTE(SUBSTITUTE(J637," ",""),"0",""),"-",""))+LEN(SUBSTITUTE(SUBSTITUTE(SUBSTITUTE(K637," ",""),"0",""),"-","")))=(LEN(SUBSTITUTE(SUBSTITUTE(SUBSTITUTE(M637," ",""),"0",""),"-",""))+LEN(SUBSTITUTE(SUBSTITUTE(SUBSTITUTE(N637," ",""),"0",""),"-",""))))),1,0)),0)</f>
      </c>
      <c r="M648" s="14" t="str">
        <f>K624+K632</f>
      </c>
      <c r="N648" s="14" t="str">
        <f>M624+M632</f>
      </c>
    </row>
    <row r="651">
      <c r="F651" s="13"/>
      <c r="G651" s="13" t="s">
        <v>343</v>
      </c>
      <c r="N651" s="13"/>
      <c r="O651" s="13" t="s">
        <v>343</v>
      </c>
    </row>
    <row r="652">
      <c r="F652" t="s">
        <v>344</v>
      </c>
      <c r="G652" s="19" t="str">
        <f>IFERROR(INDEX($A$641:$A$648, MATCH(1, $G$641:$G$648, 0)), "-")</f>
      </c>
      <c r="N652" t="s">
        <v>344</v>
      </c>
      <c r="O652" s="19" t="str">
        <f>IFERROR(INDEX($I$641:$I$648, MATCH(1, $O$641:$O$648, 0)), "-")</f>
      </c>
    </row>
    <row r="653">
      <c r="F653" t="s">
        <v>345</v>
      </c>
      <c r="G653" s="19" t="str">
        <f>IFERROR(INDEX($A$641:$A$648, MATCH(2, $G$641:$G$648, 0)), "-")</f>
      </c>
      <c r="N653" t="s">
        <v>345</v>
      </c>
      <c r="O653" s="19" t="str">
        <f>IFERROR(INDEX($I$641:$I$648, MATCH(2, $O$641:$O$648, 0)), "-")</f>
      </c>
    </row>
    <row r="654">
      <c r="F654" t="s">
        <v>346</v>
      </c>
      <c r="G654" s="19" t="str">
        <f>IFERROR(INDEX($A$641:$A$648, MATCH(3, $G$641:$G$648, 0)), "-")</f>
      </c>
      <c r="N654" t="s">
        <v>346</v>
      </c>
      <c r="O654" s="19" t="str">
        <f>IFERROR(INDEX($I$641:$I$648, MATCH(3, $O$641:$O$648,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2">
    <mergeCell ref="A1:G1"/>
    <mergeCell ref="I1:O1"/>
    <mergeCell ref="A2:G2"/>
    <mergeCell ref="I2:O2"/>
    <mergeCell ref="A55:G55"/>
    <mergeCell ref="I55:O55"/>
    <mergeCell ref="A98:G98"/>
    <mergeCell ref="I98:O98"/>
    <mergeCell ref="A141:G141"/>
    <mergeCell ref="I141:O141"/>
    <mergeCell ref="A184:G184"/>
    <mergeCell ref="I184:O184"/>
    <mergeCell ref="A227:G227"/>
    <mergeCell ref="I227:O227"/>
    <mergeCell ref="A270:G270"/>
    <mergeCell ref="I270:O270"/>
    <mergeCell ref="A313:G313"/>
    <mergeCell ref="I313:O313"/>
    <mergeCell ref="A356:G356"/>
    <mergeCell ref="I356:O356"/>
    <mergeCell ref="A399:G399"/>
    <mergeCell ref="I399:O399"/>
    <mergeCell ref="A442:G442"/>
    <mergeCell ref="I442:O442"/>
    <mergeCell ref="A485:G485"/>
    <mergeCell ref="I485:O485"/>
    <mergeCell ref="A528:G528"/>
    <mergeCell ref="I528:O528"/>
    <mergeCell ref="A571:G571"/>
    <mergeCell ref="I571:O571"/>
    <mergeCell ref="A614:G614"/>
    <mergeCell ref="I614:O614"/>
  </mergeCells>
  <printOptions horizontalCentered="true" verticalCentered="true"/>
  <pageSetup fitToHeight="0" fitToWidth="2" orientation="portrait" pageOrder="downThenOver" paperSize="9"/>
  <rowBreaks count="15" manualBreakCount="15">
    <brk id="34" max="16383" man="true"/>
    <brk id="54" max="16383" man="true"/>
    <brk id="97" max="16383" man="true"/>
    <brk id="140" max="16383" man="true"/>
    <brk id="183" max="16383" man="true"/>
    <brk id="226" max="16383" man="true"/>
    <brk id="269" max="16383" man="true"/>
    <brk id="312" max="16383" man="true"/>
    <brk id="355" max="16383" man="true"/>
    <brk id="398" max="16383" man="true"/>
    <brk id="441" max="16383" man="true"/>
    <brk id="484" max="16383" man="true"/>
    <brk id="527" max="16383" man="true"/>
    <brk id="570" max="16383" man="true"/>
    <brk id="613"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328</v>
      </c>
      <c r="B1" s="13"/>
      <c r="C1" s="13"/>
      <c r="D1" s="13"/>
      <c r="E1" s="13"/>
      <c r="F1" s="13"/>
      <c r="G1" s="13"/>
      <c r="I1" s="13" t="s">
        <v>329</v>
      </c>
      <c r="J1" s="13"/>
      <c r="K1" s="13"/>
      <c r="L1" s="13"/>
      <c r="M1" s="13"/>
      <c r="N1" s="13"/>
      <c r="O1" s="13"/>
    </row>
    <row r="2">
      <c r="A2" s="13" t="s">
        <v>348</v>
      </c>
      <c r="B2" s="13"/>
      <c r="C2" s="13"/>
      <c r="D2" s="13"/>
      <c r="E2" s="13"/>
      <c r="F2" s="13"/>
      <c r="G2" s="13"/>
      <c r="I2" s="13" t="s">
        <v>350</v>
      </c>
      <c r="J2" s="13"/>
      <c r="K2" s="13"/>
      <c r="L2" s="13"/>
      <c r="M2" s="13"/>
      <c r="N2" s="13"/>
      <c r="O2" s="13"/>
    </row>
    <row r="3">
      <c r="A3" s="17" t="s">
        <v>330</v>
      </c>
      <c r="D3" s="14" t="s">
        <v>331</v>
      </c>
      <c r="G3" s="16" t="s">
        <v>332</v>
      </c>
      <c r="I3" s="17" t="s">
        <v>330</v>
      </c>
      <c r="L3" s="14" t="s">
        <v>331</v>
      </c>
      <c r="O3" s="16" t="s">
        <v>332</v>
      </c>
    </row>
    <row r="4">
      <c r="A4" s="14" t="str">
        <f>CONCATENATE("Pool P-2nd ",'Pool Matches'!O49)</f>
      </c>
      <c r="B4" s="14"/>
      <c r="C4" s="14"/>
      <c r="D4" s="18"/>
      <c r="E4" s="14"/>
      <c r="F4" s="14"/>
      <c r="G4" s="14" t="str">
        <f>CONCATENATE("Pool A-1st ",'Pool Matches'!G50)</f>
      </c>
      <c r="I4" s="14" t="str">
        <f>CONCATENATE("Pool A-2nd ",'Pool Matches'!G51)</f>
      </c>
      <c r="J4" s="14"/>
      <c r="K4" s="14"/>
      <c r="L4" s="18"/>
      <c r="M4" s="14"/>
      <c r="N4" s="14"/>
      <c r="O4" s="14" t="str">
        <f>CONCATENATE("Pool P-1st ",'Pool Matches'!O48)</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4" t="str">
        <f>CONCATENATE("Pool P-2nd ",'Pool Matches'!O49)</f>
      </c>
      <c r="B11" s="14" t="s">
        <v>338</v>
      </c>
      <c r="C11" s="14" t="s">
        <v>341</v>
      </c>
      <c r="D11" s="14"/>
      <c r="E11" s="14" t="s">
        <v>341</v>
      </c>
      <c r="F11" s="14" t="s">
        <v>338</v>
      </c>
      <c r="G11" s="14" t="str">
        <f>CONCATENATE("Pool A-1st ",'Pool Matches'!G50)</f>
      </c>
      <c r="I11" s="14" t="str">
        <f>CONCATENATE("Pool A-2nd ",'Pool Matches'!G51)</f>
      </c>
      <c r="J11" s="14" t="s">
        <v>338</v>
      </c>
      <c r="K11" s="14" t="s">
        <v>341</v>
      </c>
      <c r="L11" s="14"/>
      <c r="M11" s="14" t="s">
        <v>341</v>
      </c>
      <c r="N11" s="14" t="s">
        <v>338</v>
      </c>
      <c r="O11" s="14" t="str">
        <f>CONCATENATE("Pool P-1st ",'Pool Matches'!O48)</f>
      </c>
    </row>
    <row r="12">
      <c r="A12" s="14" t="s">
        <v>349</v>
      </c>
      <c r="B12"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12"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12" s="14"/>
      <c r="E12"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12"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12" s="14" t="s">
        <v>349</v>
      </c>
      <c r="I12" s="14" t="s">
        <v>349</v>
      </c>
      <c r="J12"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12"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12" s="14"/>
      <c r="M12"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12"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12" s="14" t="s">
        <v>349</v>
      </c>
    </row>
    <row r="15">
      <c r="F15" t="s">
        <v>344</v>
      </c>
      <c r="G15" s="19"/>
      <c r="N15" t="s">
        <v>344</v>
      </c>
      <c r="O15" s="19"/>
    </row>
    <row r="16">
      <c r="F16" t="s">
        <v>345</v>
      </c>
      <c r="G16" s="19"/>
      <c r="N16" t="s">
        <v>345</v>
      </c>
      <c r="O16" s="19"/>
    </row>
    <row r="18">
      <c r="A18" s="13" t="s">
        <v>351</v>
      </c>
      <c r="B18" s="13"/>
      <c r="C18" s="13"/>
      <c r="D18" s="13"/>
      <c r="E18" s="13"/>
      <c r="F18" s="13"/>
      <c r="G18" s="13"/>
      <c r="I18" s="13" t="s">
        <v>352</v>
      </c>
      <c r="J18" s="13"/>
      <c r="K18" s="13"/>
      <c r="L18" s="13"/>
      <c r="M18" s="13"/>
      <c r="N18" s="13"/>
      <c r="O18" s="13"/>
    </row>
    <row r="19">
      <c r="A19" s="17" t="s">
        <v>330</v>
      </c>
      <c r="D19" s="14" t="s">
        <v>331</v>
      </c>
      <c r="G19" s="16" t="s">
        <v>332</v>
      </c>
      <c r="I19" s="17" t="s">
        <v>330</v>
      </c>
      <c r="L19" s="14" t="s">
        <v>331</v>
      </c>
      <c r="O19" s="16" t="s">
        <v>332</v>
      </c>
    </row>
    <row r="20">
      <c r="A20" s="14" t="str">
        <f>CONCATENATE("Pool Q-2nd ",'Pool Matches'!O94)</f>
      </c>
      <c r="B20" s="14"/>
      <c r="C20" s="14"/>
      <c r="D20" s="18"/>
      <c r="E20" s="14"/>
      <c r="F20" s="14"/>
      <c r="G20" s="14" t="str">
        <f>CONCATENATE("Pool B-1st ",'Pool Matches'!G93)</f>
      </c>
      <c r="I20" s="14" t="str">
        <f>CONCATENATE("Pool B-2nd ",'Pool Matches'!G94)</f>
      </c>
      <c r="J20" s="14"/>
      <c r="K20" s="14"/>
      <c r="L20" s="18"/>
      <c r="M20" s="14"/>
      <c r="N20" s="14"/>
      <c r="O20" s="14" t="str">
        <f>CONCATENATE("Pool Q-1st ",'Pool Matches'!O93)</f>
      </c>
    </row>
    <row r="21">
      <c r="A21" s="14">
        <v>1</v>
      </c>
      <c r="B21" s="18"/>
      <c r="C21" s="18"/>
      <c r="D21" s="18"/>
      <c r="E21" s="18"/>
      <c r="F21" s="18"/>
      <c r="G21" s="14">
        <v>1</v>
      </c>
      <c r="I21" s="14">
        <v>1</v>
      </c>
      <c r="J21" s="18"/>
      <c r="K21" s="18"/>
      <c r="L21" s="18"/>
      <c r="M21" s="18"/>
      <c r="N21" s="18"/>
      <c r="O21" s="14">
        <v>1</v>
      </c>
    </row>
    <row r="22">
      <c r="A22" s="14">
        <v>2</v>
      </c>
      <c r="B22" s="18"/>
      <c r="C22" s="18"/>
      <c r="D22" s="18"/>
      <c r="E22" s="18"/>
      <c r="F22" s="18"/>
      <c r="G22" s="14">
        <v>2</v>
      </c>
      <c r="I22" s="14">
        <v>2</v>
      </c>
      <c r="J22" s="18"/>
      <c r="K22" s="18"/>
      <c r="L22" s="18"/>
      <c r="M22" s="18"/>
      <c r="N22" s="18"/>
      <c r="O22" s="14">
        <v>2</v>
      </c>
    </row>
    <row r="23">
      <c r="A23" s="14">
        <v>3</v>
      </c>
      <c r="B23" s="18"/>
      <c r="C23" s="18"/>
      <c r="D23" s="18"/>
      <c r="E23" s="18"/>
      <c r="F23" s="18"/>
      <c r="G23" s="14">
        <v>3</v>
      </c>
      <c r="I23" s="14">
        <v>3</v>
      </c>
      <c r="J23" s="18"/>
      <c r="K23" s="18"/>
      <c r="L23" s="18"/>
      <c r="M23" s="18"/>
      <c r="N23" s="18"/>
      <c r="O23" s="14">
        <v>3</v>
      </c>
    </row>
    <row r="24">
      <c r="A24" s="14">
        <v>4</v>
      </c>
      <c r="B24" s="18"/>
      <c r="C24" s="18"/>
      <c r="D24" s="18"/>
      <c r="E24" s="18"/>
      <c r="F24" s="18"/>
      <c r="G24" s="14">
        <v>4</v>
      </c>
      <c r="I24" s="14">
        <v>4</v>
      </c>
      <c r="J24" s="18"/>
      <c r="K24" s="18"/>
      <c r="L24" s="18"/>
      <c r="M24" s="18"/>
      <c r="N24" s="18"/>
      <c r="O24" s="14">
        <v>4</v>
      </c>
    </row>
    <row r="25">
      <c r="A25" s="14">
        <v>5</v>
      </c>
      <c r="B25" s="18"/>
      <c r="C25" s="18"/>
      <c r="D25" s="18"/>
      <c r="E25" s="18"/>
      <c r="F25" s="18"/>
      <c r="G25" s="14">
        <v>5</v>
      </c>
      <c r="I25" s="14">
        <v>5</v>
      </c>
      <c r="J25" s="18"/>
      <c r="K25" s="18"/>
      <c r="L25" s="18"/>
      <c r="M25" s="18"/>
      <c r="N25" s="18"/>
      <c r="O25" s="14">
        <v>5</v>
      </c>
    </row>
    <row r="27">
      <c r="A27" s="14" t="str">
        <f>CONCATENATE("Pool Q-2nd ",'Pool Matches'!O94)</f>
      </c>
      <c r="B27" s="14" t="s">
        <v>338</v>
      </c>
      <c r="C27" s="14" t="s">
        <v>341</v>
      </c>
      <c r="D27" s="14"/>
      <c r="E27" s="14" t="s">
        <v>341</v>
      </c>
      <c r="F27" s="14" t="s">
        <v>338</v>
      </c>
      <c r="G27" s="14" t="str">
        <f>CONCATENATE("Pool B-1st ",'Pool Matches'!G93)</f>
      </c>
      <c r="I27" s="14" t="str">
        <f>CONCATENATE("Pool B-2nd ",'Pool Matches'!G94)</f>
      </c>
      <c r="J27" s="14" t="s">
        <v>338</v>
      </c>
      <c r="K27" s="14" t="s">
        <v>341</v>
      </c>
      <c r="L27" s="14"/>
      <c r="M27" s="14" t="s">
        <v>341</v>
      </c>
      <c r="N27" s="14" t="s">
        <v>338</v>
      </c>
      <c r="O27" s="14" t="str">
        <f>CONCATENATE("Pool Q-1st ",'Pool Matches'!O93)</f>
      </c>
    </row>
    <row r="28">
      <c r="A28" s="14" t="s">
        <v>349</v>
      </c>
      <c r="B28" s="14"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8" s="14"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8" s="14"/>
      <c r="E28" s="14"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8" s="14"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8" s="14" t="s">
        <v>349</v>
      </c>
      <c r="I28" s="14" t="s">
        <v>349</v>
      </c>
      <c r="J28" s="14" t="str">
        <f>IF(UPPER(L21)="X",0,IF((LEN(SUBSTITUTE(SUBSTITUTE(SUBSTITUTE(J21," ",""),"0",""),"-",""))+LEN(SUBSTITUTE(SUBSTITUTE(SUBSTITUTE(K21," ",""),"0",""),"-","")))&gt;(LEN(SUBSTITUTE(SUBSTITUTE(SUBSTITUTE(M21," ",""),"0",""),"-",""))+LEN(SUBSTITUTE(SUBSTITUTE(SUBSTITUTE(N21," ",""),"0",""),"-",""))),1,0))+IF(UPPER(L22)="X",0,IF((LEN(SUBSTITUTE(SUBSTITUTE(SUBSTITUTE(J22," ",""),"0",""),"-",""))+LEN(SUBSTITUTE(SUBSTITUTE(SUBSTITUTE(K22," ",""),"0",""),"-","")))&gt;(LEN(SUBSTITUTE(SUBSTITUTE(SUBSTITUTE(M22," ",""),"0",""),"-",""))+LEN(SUBSTITUTE(SUBSTITUTE(SUBSTITUTE(N22," ",""),"0",""),"-",""))),1,0))+IF(UPPER(L23)="X",0,IF((LEN(SUBSTITUTE(SUBSTITUTE(SUBSTITUTE(J23," ",""),"0",""),"-",""))+LEN(SUBSTITUTE(SUBSTITUTE(SUBSTITUTE(K23," ",""),"0",""),"-","")))&gt;(LEN(SUBSTITUTE(SUBSTITUTE(SUBSTITUTE(M23," ",""),"0",""),"-",""))+LEN(SUBSTITUTE(SUBSTITUTE(SUBSTITUTE(N23," ",""),"0",""),"-",""))),1,0))+IF(UPPER(L24)="X",0,IF((LEN(SUBSTITUTE(SUBSTITUTE(SUBSTITUTE(J24," ",""),"0",""),"-",""))+LEN(SUBSTITUTE(SUBSTITUTE(SUBSTITUTE(K24," ",""),"0",""),"-","")))&gt;(LEN(SUBSTITUTE(SUBSTITUTE(SUBSTITUTE(M24," ",""),"0",""),"-",""))+LEN(SUBSTITUTE(SUBSTITUTE(SUBSTITUTE(N24," ",""),"0",""),"-",""))),1,0))+IF(UPPER(L25)="X",0,IF((LEN(SUBSTITUTE(SUBSTITUTE(SUBSTITUTE(J25," ",""),"0",""),"-",""))+LEN(SUBSTITUTE(SUBSTITUTE(SUBSTITUTE(K25," ",""),"0",""),"-","")))&gt;(LEN(SUBSTITUTE(SUBSTITUTE(SUBSTITUTE(M25," ",""),"0",""),"-",""))+LEN(SUBSTITUTE(SUBSTITUTE(SUBSTITUTE(N25," ",""),"0",""),"-",""))),1,0))</f>
      </c>
      <c r="K28" s="14" t="str">
        <f>LEN(SUBSTITUTE(SUBSTITUTE(SUBSTITUTE(J21," ",""),"0",""),"-",""))+LEN(SUBSTITUTE(SUBSTITUTE(SUBSTITUTE(K21," ",""),"0",""),"-",""))+LEN(SUBSTITUTE(SUBSTITUTE(SUBSTITUTE(J22," ",""),"0",""),"-",""))+LEN(SUBSTITUTE(SUBSTITUTE(SUBSTITUTE(K22," ",""),"0",""),"-",""))+LEN(SUBSTITUTE(SUBSTITUTE(SUBSTITUTE(J23," ",""),"0",""),"-",""))+LEN(SUBSTITUTE(SUBSTITUTE(SUBSTITUTE(K23," ",""),"0",""),"-",""))+LEN(SUBSTITUTE(SUBSTITUTE(SUBSTITUTE(J24," ",""),"0",""),"-",""))+LEN(SUBSTITUTE(SUBSTITUTE(SUBSTITUTE(K24," ",""),"0",""),"-",""))+LEN(SUBSTITUTE(SUBSTITUTE(SUBSTITUTE(J25," ",""),"0",""),"-",""))+LEN(SUBSTITUTE(SUBSTITUTE(SUBSTITUTE(K25," ",""),"0",""),"-",""))</f>
      </c>
      <c r="L28" s="14"/>
      <c r="M28" s="14" t="str">
        <f>LEN(SUBSTITUTE(SUBSTITUTE(SUBSTITUTE(M21," ",""),"0",""),"-",""))+LEN(SUBSTITUTE(SUBSTITUTE(SUBSTITUTE(N21," ",""),"0",""),"-",""))+LEN(SUBSTITUTE(SUBSTITUTE(SUBSTITUTE(M22," ",""),"0",""),"-",""))+LEN(SUBSTITUTE(SUBSTITUTE(SUBSTITUTE(N22," ",""),"0",""),"-",""))+LEN(SUBSTITUTE(SUBSTITUTE(SUBSTITUTE(M23," ",""),"0",""),"-",""))+LEN(SUBSTITUTE(SUBSTITUTE(SUBSTITUTE(N23," ",""),"0",""),"-",""))+LEN(SUBSTITUTE(SUBSTITUTE(SUBSTITUTE(M24," ",""),"0",""),"-",""))+LEN(SUBSTITUTE(SUBSTITUTE(SUBSTITUTE(N24," ",""),"0",""),"-",""))+LEN(SUBSTITUTE(SUBSTITUTE(SUBSTITUTE(M25," ",""),"0",""),"-",""))+LEN(SUBSTITUTE(SUBSTITUTE(SUBSTITUTE(N25," ",""),"0",""),"-",""))</f>
      </c>
      <c r="N28" s="14" t="str">
        <f>IF(UPPER(L21)="X",0,IF((LEN(SUBSTITUTE(SUBSTITUTE(SUBSTITUTE(M21," ",""),"0",""),"-",""))+LEN(SUBSTITUTE(SUBSTITUTE(SUBSTITUTE(N21," ",""),"0",""),"-","")))&gt;(LEN(SUBSTITUTE(SUBSTITUTE(SUBSTITUTE(J21," ",""),"0",""),"-",""))+LEN(SUBSTITUTE(SUBSTITUTE(SUBSTITUTE(K21," ",""),"0",""),"-",""))),1,0))+IF(UPPER(L22)="X",0,IF((LEN(SUBSTITUTE(SUBSTITUTE(SUBSTITUTE(M22," ",""),"0",""),"-",""))+LEN(SUBSTITUTE(SUBSTITUTE(SUBSTITUTE(N22," ",""),"0",""),"-","")))&gt;(LEN(SUBSTITUTE(SUBSTITUTE(SUBSTITUTE(J22," ",""),"0",""),"-",""))+LEN(SUBSTITUTE(SUBSTITUTE(SUBSTITUTE(K22," ",""),"0",""),"-",""))),1,0))+IF(UPPER(L23)="X",0,IF((LEN(SUBSTITUTE(SUBSTITUTE(SUBSTITUTE(M23," ",""),"0",""),"-",""))+LEN(SUBSTITUTE(SUBSTITUTE(SUBSTITUTE(N23," ",""),"0",""),"-","")))&gt;(LEN(SUBSTITUTE(SUBSTITUTE(SUBSTITUTE(J23," ",""),"0",""),"-",""))+LEN(SUBSTITUTE(SUBSTITUTE(SUBSTITUTE(K23," ",""),"0",""),"-",""))),1,0))+IF(UPPER(L24)="X",0,IF((LEN(SUBSTITUTE(SUBSTITUTE(SUBSTITUTE(M24," ",""),"0",""),"-",""))+LEN(SUBSTITUTE(SUBSTITUTE(SUBSTITUTE(N24," ",""),"0",""),"-","")))&gt;(LEN(SUBSTITUTE(SUBSTITUTE(SUBSTITUTE(J24," ",""),"0",""),"-",""))+LEN(SUBSTITUTE(SUBSTITUTE(SUBSTITUTE(K24," ",""),"0",""),"-",""))),1,0))+IF(UPPER(L25)="X",0,IF((LEN(SUBSTITUTE(SUBSTITUTE(SUBSTITUTE(M25," ",""),"0",""),"-",""))+LEN(SUBSTITUTE(SUBSTITUTE(SUBSTITUTE(N25," ",""),"0",""),"-","")))&gt;(LEN(SUBSTITUTE(SUBSTITUTE(SUBSTITUTE(J25," ",""),"0",""),"-",""))+LEN(SUBSTITUTE(SUBSTITUTE(SUBSTITUTE(K25," ",""),"0",""),"-",""))),1,0))</f>
      </c>
      <c r="O28" s="14" t="s">
        <v>349</v>
      </c>
    </row>
    <row r="31">
      <c r="F31" t="s">
        <v>344</v>
      </c>
      <c r="G31" s="19"/>
      <c r="N31" t="s">
        <v>344</v>
      </c>
      <c r="O31" s="19"/>
    </row>
    <row r="32">
      <c r="F32" t="s">
        <v>345</v>
      </c>
      <c r="G32" s="19"/>
      <c r="N32" t="s">
        <v>345</v>
      </c>
      <c r="O32" s="19"/>
    </row>
    <row r="34">
      <c r="A34" s="13" t="s">
        <v>353</v>
      </c>
      <c r="B34" s="13"/>
      <c r="C34" s="13"/>
      <c r="D34" s="13"/>
      <c r="E34" s="13"/>
      <c r="F34" s="13"/>
      <c r="G34" s="13"/>
      <c r="I34" s="13" t="s">
        <v>354</v>
      </c>
      <c r="J34" s="13"/>
      <c r="K34" s="13"/>
      <c r="L34" s="13"/>
      <c r="M34" s="13"/>
      <c r="N34" s="13"/>
      <c r="O34" s="13"/>
    </row>
    <row r="35">
      <c r="A35" s="17" t="s">
        <v>330</v>
      </c>
      <c r="D35" s="14" t="s">
        <v>331</v>
      </c>
      <c r="G35" s="16" t="s">
        <v>332</v>
      </c>
      <c r="I35" s="17" t="s">
        <v>330</v>
      </c>
      <c r="L35" s="14" t="s">
        <v>331</v>
      </c>
      <c r="O35" s="16" t="s">
        <v>332</v>
      </c>
    </row>
    <row r="36">
      <c r="A36" s="14" t="str">
        <f>CONCATENATE("Pool R-2nd ",'Pool Matches'!O137)</f>
      </c>
      <c r="B36" s="14"/>
      <c r="C36" s="14"/>
      <c r="D36" s="18"/>
      <c r="E36" s="14"/>
      <c r="F36" s="14"/>
      <c r="G36" s="14" t="str">
        <f>CONCATENATE("Pool C-1st ",'Pool Matches'!G136)</f>
      </c>
      <c r="I36" s="14" t="str">
        <f>CONCATENATE("Pool C-2nd ",'Pool Matches'!G137)</f>
      </c>
      <c r="J36" s="14"/>
      <c r="K36" s="14"/>
      <c r="L36" s="18"/>
      <c r="M36" s="14"/>
      <c r="N36" s="14"/>
      <c r="O36" s="14" t="str">
        <f>CONCATENATE("Pool R-1st ",'Pool Matches'!O136)</f>
      </c>
    </row>
    <row r="37">
      <c r="A37" s="14">
        <v>1</v>
      </c>
      <c r="B37" s="18"/>
      <c r="C37" s="18"/>
      <c r="D37" s="18"/>
      <c r="E37" s="18"/>
      <c r="F37" s="18"/>
      <c r="G37" s="14">
        <v>1</v>
      </c>
      <c r="I37" s="14">
        <v>1</v>
      </c>
      <c r="J37" s="18"/>
      <c r="K37" s="18"/>
      <c r="L37" s="18"/>
      <c r="M37" s="18"/>
      <c r="N37" s="18"/>
      <c r="O37" s="14">
        <v>1</v>
      </c>
    </row>
    <row r="38">
      <c r="A38" s="14">
        <v>2</v>
      </c>
      <c r="B38" s="18"/>
      <c r="C38" s="18"/>
      <c r="D38" s="18"/>
      <c r="E38" s="18"/>
      <c r="F38" s="18"/>
      <c r="G38" s="14">
        <v>2</v>
      </c>
      <c r="I38" s="14">
        <v>2</v>
      </c>
      <c r="J38" s="18"/>
      <c r="K38" s="18"/>
      <c r="L38" s="18"/>
      <c r="M38" s="18"/>
      <c r="N38" s="18"/>
      <c r="O38" s="14">
        <v>2</v>
      </c>
    </row>
    <row r="39">
      <c r="A39" s="14">
        <v>3</v>
      </c>
      <c r="B39" s="18"/>
      <c r="C39" s="18"/>
      <c r="D39" s="18"/>
      <c r="E39" s="18"/>
      <c r="F39" s="18"/>
      <c r="G39" s="14">
        <v>3</v>
      </c>
      <c r="I39" s="14">
        <v>3</v>
      </c>
      <c r="J39" s="18"/>
      <c r="K39" s="18"/>
      <c r="L39" s="18"/>
      <c r="M39" s="18"/>
      <c r="N39" s="18"/>
      <c r="O39" s="14">
        <v>3</v>
      </c>
    </row>
    <row r="40">
      <c r="A40" s="14">
        <v>4</v>
      </c>
      <c r="B40" s="18"/>
      <c r="C40" s="18"/>
      <c r="D40" s="18"/>
      <c r="E40" s="18"/>
      <c r="F40" s="18"/>
      <c r="G40" s="14">
        <v>4</v>
      </c>
      <c r="I40" s="14">
        <v>4</v>
      </c>
      <c r="J40" s="18"/>
      <c r="K40" s="18"/>
      <c r="L40" s="18"/>
      <c r="M40" s="18"/>
      <c r="N40" s="18"/>
      <c r="O40" s="14">
        <v>4</v>
      </c>
    </row>
    <row r="41">
      <c r="A41" s="14">
        <v>5</v>
      </c>
      <c r="B41" s="18"/>
      <c r="C41" s="18"/>
      <c r="D41" s="18"/>
      <c r="E41" s="18"/>
      <c r="F41" s="18"/>
      <c r="G41" s="14">
        <v>5</v>
      </c>
      <c r="I41" s="14">
        <v>5</v>
      </c>
      <c r="J41" s="18"/>
      <c r="K41" s="18"/>
      <c r="L41" s="18"/>
      <c r="M41" s="18"/>
      <c r="N41" s="18"/>
      <c r="O41" s="14">
        <v>5</v>
      </c>
    </row>
    <row r="43">
      <c r="A43" s="14" t="str">
        <f>CONCATENATE("Pool R-2nd ",'Pool Matches'!O137)</f>
      </c>
      <c r="B43" s="14" t="s">
        <v>338</v>
      </c>
      <c r="C43" s="14" t="s">
        <v>341</v>
      </c>
      <c r="D43" s="14"/>
      <c r="E43" s="14" t="s">
        <v>341</v>
      </c>
      <c r="F43" s="14" t="s">
        <v>338</v>
      </c>
      <c r="G43" s="14" t="str">
        <f>CONCATENATE("Pool C-1st ",'Pool Matches'!G136)</f>
      </c>
      <c r="I43" s="14" t="str">
        <f>CONCATENATE("Pool C-2nd ",'Pool Matches'!G137)</f>
      </c>
      <c r="J43" s="14" t="s">
        <v>338</v>
      </c>
      <c r="K43" s="14" t="s">
        <v>341</v>
      </c>
      <c r="L43" s="14"/>
      <c r="M43" s="14" t="s">
        <v>341</v>
      </c>
      <c r="N43" s="14" t="s">
        <v>338</v>
      </c>
      <c r="O43" s="14" t="str">
        <f>CONCATENATE("Pool R-1st ",'Pool Matches'!O136)</f>
      </c>
    </row>
    <row r="44">
      <c r="A44" s="14" t="s">
        <v>349</v>
      </c>
      <c r="B44" s="14" t="str">
        <f>IF(UPPER(D37)="X",0,IF((LEN(SUBSTITUTE(SUBSTITUTE(SUBSTITUTE(B37," ",""),"0",""),"-",""))+LEN(SUBSTITUTE(SUBSTITUTE(SUBSTITUTE(C37," ",""),"0",""),"-","")))&gt;(LEN(SUBSTITUTE(SUBSTITUTE(SUBSTITUTE(E37," ",""),"0",""),"-",""))+LEN(SUBSTITUTE(SUBSTITUTE(SUBSTITUTE(F37," ",""),"0",""),"-",""))),1,0))+IF(UPPER(D38)="X",0,IF((LEN(SUBSTITUTE(SUBSTITUTE(SUBSTITUTE(B38," ",""),"0",""),"-",""))+LEN(SUBSTITUTE(SUBSTITUTE(SUBSTITUTE(C38," ",""),"0",""),"-","")))&gt;(LEN(SUBSTITUTE(SUBSTITUTE(SUBSTITUTE(E38," ",""),"0",""),"-",""))+LEN(SUBSTITUTE(SUBSTITUTE(SUBSTITUTE(F38," ",""),"0",""),"-",""))),1,0))+IF(UPPER(D39)="X",0,IF((LEN(SUBSTITUTE(SUBSTITUTE(SUBSTITUTE(B39," ",""),"0",""),"-",""))+LEN(SUBSTITUTE(SUBSTITUTE(SUBSTITUTE(C39," ",""),"0",""),"-","")))&gt;(LEN(SUBSTITUTE(SUBSTITUTE(SUBSTITUTE(E39," ",""),"0",""),"-",""))+LEN(SUBSTITUTE(SUBSTITUTE(SUBSTITUTE(F39," ",""),"0",""),"-",""))),1,0))+IF(UPPER(D40)="X",0,IF((LEN(SUBSTITUTE(SUBSTITUTE(SUBSTITUTE(B40," ",""),"0",""),"-",""))+LEN(SUBSTITUTE(SUBSTITUTE(SUBSTITUTE(C40," ",""),"0",""),"-","")))&gt;(LEN(SUBSTITUTE(SUBSTITUTE(SUBSTITUTE(E40," ",""),"0",""),"-",""))+LEN(SUBSTITUTE(SUBSTITUTE(SUBSTITUTE(F40," ",""),"0",""),"-",""))),1,0))+IF(UPPER(D41)="X",0,IF((LEN(SUBSTITUTE(SUBSTITUTE(SUBSTITUTE(B41," ",""),"0",""),"-",""))+LEN(SUBSTITUTE(SUBSTITUTE(SUBSTITUTE(C41," ",""),"0",""),"-","")))&gt;(LEN(SUBSTITUTE(SUBSTITUTE(SUBSTITUTE(E41," ",""),"0",""),"-",""))+LEN(SUBSTITUTE(SUBSTITUTE(SUBSTITUTE(F41," ",""),"0",""),"-",""))),1,0))</f>
      </c>
      <c r="C44" s="14" t="str">
        <f>LEN(SUBSTITUTE(SUBSTITUTE(SUBSTITUTE(B37," ",""),"0",""),"-",""))+LEN(SUBSTITUTE(SUBSTITUTE(SUBSTITUTE(C37," ",""),"0",""),"-",""))+LEN(SUBSTITUTE(SUBSTITUTE(SUBSTITUTE(B38," ",""),"0",""),"-",""))+LEN(SUBSTITUTE(SUBSTITUTE(SUBSTITUTE(C38," ",""),"0",""),"-",""))+LEN(SUBSTITUTE(SUBSTITUTE(SUBSTITUTE(B39," ",""),"0",""),"-",""))+LEN(SUBSTITUTE(SUBSTITUTE(SUBSTITUTE(C39," ",""),"0",""),"-",""))+LEN(SUBSTITUTE(SUBSTITUTE(SUBSTITUTE(B40," ",""),"0",""),"-",""))+LEN(SUBSTITUTE(SUBSTITUTE(SUBSTITUTE(C40," ",""),"0",""),"-",""))+LEN(SUBSTITUTE(SUBSTITUTE(SUBSTITUTE(B41," ",""),"0",""),"-",""))+LEN(SUBSTITUTE(SUBSTITUTE(SUBSTITUTE(C41," ",""),"0",""),"-",""))</f>
      </c>
      <c r="D44" s="14"/>
      <c r="E44" s="14" t="str">
        <f>LEN(SUBSTITUTE(SUBSTITUTE(SUBSTITUTE(E37," ",""),"0",""),"-",""))+LEN(SUBSTITUTE(SUBSTITUTE(SUBSTITUTE(F37," ",""),"0",""),"-",""))+LEN(SUBSTITUTE(SUBSTITUTE(SUBSTITUTE(E38," ",""),"0",""),"-",""))+LEN(SUBSTITUTE(SUBSTITUTE(SUBSTITUTE(F38," ",""),"0",""),"-",""))+LEN(SUBSTITUTE(SUBSTITUTE(SUBSTITUTE(E39," ",""),"0",""),"-",""))+LEN(SUBSTITUTE(SUBSTITUTE(SUBSTITUTE(F39," ",""),"0",""),"-",""))+LEN(SUBSTITUTE(SUBSTITUTE(SUBSTITUTE(E40," ",""),"0",""),"-",""))+LEN(SUBSTITUTE(SUBSTITUTE(SUBSTITUTE(F40," ",""),"0",""),"-",""))+LEN(SUBSTITUTE(SUBSTITUTE(SUBSTITUTE(E41," ",""),"0",""),"-",""))+LEN(SUBSTITUTE(SUBSTITUTE(SUBSTITUTE(F41," ",""),"0",""),"-",""))</f>
      </c>
      <c r="F44" s="14" t="str">
        <f>IF(UPPER(D37)="X",0,IF((LEN(SUBSTITUTE(SUBSTITUTE(SUBSTITUTE(E37," ",""),"0",""),"-",""))+LEN(SUBSTITUTE(SUBSTITUTE(SUBSTITUTE(F37," ",""),"0",""),"-","")))&gt;(LEN(SUBSTITUTE(SUBSTITUTE(SUBSTITUTE(B37," ",""),"0",""),"-",""))+LEN(SUBSTITUTE(SUBSTITUTE(SUBSTITUTE(C37," ",""),"0",""),"-",""))),1,0))+IF(UPPER(D38)="X",0,IF((LEN(SUBSTITUTE(SUBSTITUTE(SUBSTITUTE(E38," ",""),"0",""),"-",""))+LEN(SUBSTITUTE(SUBSTITUTE(SUBSTITUTE(F38," ",""),"0",""),"-","")))&gt;(LEN(SUBSTITUTE(SUBSTITUTE(SUBSTITUTE(B38," ",""),"0",""),"-",""))+LEN(SUBSTITUTE(SUBSTITUTE(SUBSTITUTE(C38," ",""),"0",""),"-",""))),1,0))+IF(UPPER(D39)="X",0,IF((LEN(SUBSTITUTE(SUBSTITUTE(SUBSTITUTE(E39," ",""),"0",""),"-",""))+LEN(SUBSTITUTE(SUBSTITUTE(SUBSTITUTE(F39," ",""),"0",""),"-","")))&gt;(LEN(SUBSTITUTE(SUBSTITUTE(SUBSTITUTE(B39," ",""),"0",""),"-",""))+LEN(SUBSTITUTE(SUBSTITUTE(SUBSTITUTE(C39," ",""),"0",""),"-",""))),1,0))+IF(UPPER(D40)="X",0,IF((LEN(SUBSTITUTE(SUBSTITUTE(SUBSTITUTE(E40," ",""),"0",""),"-",""))+LEN(SUBSTITUTE(SUBSTITUTE(SUBSTITUTE(F40," ",""),"0",""),"-","")))&gt;(LEN(SUBSTITUTE(SUBSTITUTE(SUBSTITUTE(B40," ",""),"0",""),"-",""))+LEN(SUBSTITUTE(SUBSTITUTE(SUBSTITUTE(C40," ",""),"0",""),"-",""))),1,0))+IF(UPPER(D41)="X",0,IF((LEN(SUBSTITUTE(SUBSTITUTE(SUBSTITUTE(E41," ",""),"0",""),"-",""))+LEN(SUBSTITUTE(SUBSTITUTE(SUBSTITUTE(F41," ",""),"0",""),"-","")))&gt;(LEN(SUBSTITUTE(SUBSTITUTE(SUBSTITUTE(B41," ",""),"0",""),"-",""))+LEN(SUBSTITUTE(SUBSTITUTE(SUBSTITUTE(C41," ",""),"0",""),"-",""))),1,0))</f>
      </c>
      <c r="G44" s="14" t="s">
        <v>349</v>
      </c>
      <c r="I44" s="14" t="s">
        <v>349</v>
      </c>
      <c r="J44" s="14" t="str">
        <f>IF(UPPER(L37)="X",0,IF((LEN(SUBSTITUTE(SUBSTITUTE(SUBSTITUTE(J37," ",""),"0",""),"-",""))+LEN(SUBSTITUTE(SUBSTITUTE(SUBSTITUTE(K37," ",""),"0",""),"-","")))&gt;(LEN(SUBSTITUTE(SUBSTITUTE(SUBSTITUTE(M37," ",""),"0",""),"-",""))+LEN(SUBSTITUTE(SUBSTITUTE(SUBSTITUTE(N37," ",""),"0",""),"-",""))),1,0))+IF(UPPER(L38)="X",0,IF((LEN(SUBSTITUTE(SUBSTITUTE(SUBSTITUTE(J38," ",""),"0",""),"-",""))+LEN(SUBSTITUTE(SUBSTITUTE(SUBSTITUTE(K38," ",""),"0",""),"-","")))&gt;(LEN(SUBSTITUTE(SUBSTITUTE(SUBSTITUTE(M38," ",""),"0",""),"-",""))+LEN(SUBSTITUTE(SUBSTITUTE(SUBSTITUTE(N38," ",""),"0",""),"-",""))),1,0))+IF(UPPER(L39)="X",0,IF((LEN(SUBSTITUTE(SUBSTITUTE(SUBSTITUTE(J39," ",""),"0",""),"-",""))+LEN(SUBSTITUTE(SUBSTITUTE(SUBSTITUTE(K39," ",""),"0",""),"-","")))&gt;(LEN(SUBSTITUTE(SUBSTITUTE(SUBSTITUTE(M39," ",""),"0",""),"-",""))+LEN(SUBSTITUTE(SUBSTITUTE(SUBSTITUTE(N39," ",""),"0",""),"-",""))),1,0))+IF(UPPER(L40)="X",0,IF((LEN(SUBSTITUTE(SUBSTITUTE(SUBSTITUTE(J40," ",""),"0",""),"-",""))+LEN(SUBSTITUTE(SUBSTITUTE(SUBSTITUTE(K40," ",""),"0",""),"-","")))&gt;(LEN(SUBSTITUTE(SUBSTITUTE(SUBSTITUTE(M40," ",""),"0",""),"-",""))+LEN(SUBSTITUTE(SUBSTITUTE(SUBSTITUTE(N40," ",""),"0",""),"-",""))),1,0))+IF(UPPER(L41)="X",0,IF((LEN(SUBSTITUTE(SUBSTITUTE(SUBSTITUTE(J41," ",""),"0",""),"-",""))+LEN(SUBSTITUTE(SUBSTITUTE(SUBSTITUTE(K41," ",""),"0",""),"-","")))&gt;(LEN(SUBSTITUTE(SUBSTITUTE(SUBSTITUTE(M41," ",""),"0",""),"-",""))+LEN(SUBSTITUTE(SUBSTITUTE(SUBSTITUTE(N41," ",""),"0",""),"-",""))),1,0))</f>
      </c>
      <c r="K44" s="14" t="str">
        <f>LEN(SUBSTITUTE(SUBSTITUTE(SUBSTITUTE(J37," ",""),"0",""),"-",""))+LEN(SUBSTITUTE(SUBSTITUTE(SUBSTITUTE(K37," ",""),"0",""),"-",""))+LEN(SUBSTITUTE(SUBSTITUTE(SUBSTITUTE(J38," ",""),"0",""),"-",""))+LEN(SUBSTITUTE(SUBSTITUTE(SUBSTITUTE(K38," ",""),"0",""),"-",""))+LEN(SUBSTITUTE(SUBSTITUTE(SUBSTITUTE(J39," ",""),"0",""),"-",""))+LEN(SUBSTITUTE(SUBSTITUTE(SUBSTITUTE(K39," ",""),"0",""),"-",""))+LEN(SUBSTITUTE(SUBSTITUTE(SUBSTITUTE(J40," ",""),"0",""),"-",""))+LEN(SUBSTITUTE(SUBSTITUTE(SUBSTITUTE(K40," ",""),"0",""),"-",""))+LEN(SUBSTITUTE(SUBSTITUTE(SUBSTITUTE(J41," ",""),"0",""),"-",""))+LEN(SUBSTITUTE(SUBSTITUTE(SUBSTITUTE(K41," ",""),"0",""),"-",""))</f>
      </c>
      <c r="L44" s="14"/>
      <c r="M44" s="14" t="str">
        <f>LEN(SUBSTITUTE(SUBSTITUTE(SUBSTITUTE(M37," ",""),"0",""),"-",""))+LEN(SUBSTITUTE(SUBSTITUTE(SUBSTITUTE(N37," ",""),"0",""),"-",""))+LEN(SUBSTITUTE(SUBSTITUTE(SUBSTITUTE(M38," ",""),"0",""),"-",""))+LEN(SUBSTITUTE(SUBSTITUTE(SUBSTITUTE(N38," ",""),"0",""),"-",""))+LEN(SUBSTITUTE(SUBSTITUTE(SUBSTITUTE(M39," ",""),"0",""),"-",""))+LEN(SUBSTITUTE(SUBSTITUTE(SUBSTITUTE(N39," ",""),"0",""),"-",""))+LEN(SUBSTITUTE(SUBSTITUTE(SUBSTITUTE(M40," ",""),"0",""),"-",""))+LEN(SUBSTITUTE(SUBSTITUTE(SUBSTITUTE(N40," ",""),"0",""),"-",""))+LEN(SUBSTITUTE(SUBSTITUTE(SUBSTITUTE(M41," ",""),"0",""),"-",""))+LEN(SUBSTITUTE(SUBSTITUTE(SUBSTITUTE(N41," ",""),"0",""),"-",""))</f>
      </c>
      <c r="N44" s="14" t="str">
        <f>IF(UPPER(L37)="X",0,IF((LEN(SUBSTITUTE(SUBSTITUTE(SUBSTITUTE(M37," ",""),"0",""),"-",""))+LEN(SUBSTITUTE(SUBSTITUTE(SUBSTITUTE(N37," ",""),"0",""),"-","")))&gt;(LEN(SUBSTITUTE(SUBSTITUTE(SUBSTITUTE(J37," ",""),"0",""),"-",""))+LEN(SUBSTITUTE(SUBSTITUTE(SUBSTITUTE(K37," ",""),"0",""),"-",""))),1,0))+IF(UPPER(L38)="X",0,IF((LEN(SUBSTITUTE(SUBSTITUTE(SUBSTITUTE(M38," ",""),"0",""),"-",""))+LEN(SUBSTITUTE(SUBSTITUTE(SUBSTITUTE(N38," ",""),"0",""),"-","")))&gt;(LEN(SUBSTITUTE(SUBSTITUTE(SUBSTITUTE(J38," ",""),"0",""),"-",""))+LEN(SUBSTITUTE(SUBSTITUTE(SUBSTITUTE(K38," ",""),"0",""),"-",""))),1,0))+IF(UPPER(L39)="X",0,IF((LEN(SUBSTITUTE(SUBSTITUTE(SUBSTITUTE(M39," ",""),"0",""),"-",""))+LEN(SUBSTITUTE(SUBSTITUTE(SUBSTITUTE(N39," ",""),"0",""),"-","")))&gt;(LEN(SUBSTITUTE(SUBSTITUTE(SUBSTITUTE(J39," ",""),"0",""),"-",""))+LEN(SUBSTITUTE(SUBSTITUTE(SUBSTITUTE(K39," ",""),"0",""),"-",""))),1,0))+IF(UPPER(L40)="X",0,IF((LEN(SUBSTITUTE(SUBSTITUTE(SUBSTITUTE(M40," ",""),"0",""),"-",""))+LEN(SUBSTITUTE(SUBSTITUTE(SUBSTITUTE(N40," ",""),"0",""),"-","")))&gt;(LEN(SUBSTITUTE(SUBSTITUTE(SUBSTITUTE(J40," ",""),"0",""),"-",""))+LEN(SUBSTITUTE(SUBSTITUTE(SUBSTITUTE(K40," ",""),"0",""),"-",""))),1,0))+IF(UPPER(L41)="X",0,IF((LEN(SUBSTITUTE(SUBSTITUTE(SUBSTITUTE(M41," ",""),"0",""),"-",""))+LEN(SUBSTITUTE(SUBSTITUTE(SUBSTITUTE(N41," ",""),"0",""),"-","")))&gt;(LEN(SUBSTITUTE(SUBSTITUTE(SUBSTITUTE(J41," ",""),"0",""),"-",""))+LEN(SUBSTITUTE(SUBSTITUTE(SUBSTITUTE(K41," ",""),"0",""),"-",""))),1,0))</f>
      </c>
      <c r="O44" s="14" t="s">
        <v>349</v>
      </c>
    </row>
    <row r="47">
      <c r="F47" t="s">
        <v>344</v>
      </c>
      <c r="G47" s="19"/>
      <c r="N47" t="s">
        <v>344</v>
      </c>
      <c r="O47" s="19"/>
    </row>
    <row r="48">
      <c r="F48" t="s">
        <v>345</v>
      </c>
      <c r="G48" s="19"/>
      <c r="N48" t="s">
        <v>345</v>
      </c>
      <c r="O48" s="19"/>
    </row>
    <row r="50">
      <c r="A50" s="13" t="s">
        <v>355</v>
      </c>
      <c r="B50" s="13"/>
      <c r="C50" s="13"/>
      <c r="D50" s="13"/>
      <c r="E50" s="13"/>
      <c r="F50" s="13"/>
      <c r="G50" s="13"/>
      <c r="I50" s="13" t="s">
        <v>356</v>
      </c>
      <c r="J50" s="13"/>
      <c r="K50" s="13"/>
      <c r="L50" s="13"/>
      <c r="M50" s="13"/>
      <c r="N50" s="13"/>
      <c r="O50" s="13"/>
    </row>
    <row r="51">
      <c r="A51" s="17" t="s">
        <v>330</v>
      </c>
      <c r="D51" s="14" t="s">
        <v>331</v>
      </c>
      <c r="G51" s="16" t="s">
        <v>332</v>
      </c>
      <c r="I51" s="17" t="s">
        <v>330</v>
      </c>
      <c r="L51" s="14" t="s">
        <v>331</v>
      </c>
      <c r="O51" s="16" t="s">
        <v>332</v>
      </c>
    </row>
    <row r="52">
      <c r="A52" s="14" t="str">
        <f>CONCATENATE("Pool S-2nd ",'Pool Matches'!O180)</f>
      </c>
      <c r="B52" s="14"/>
      <c r="C52" s="14"/>
      <c r="D52" s="18"/>
      <c r="E52" s="14"/>
      <c r="F52" s="14"/>
      <c r="G52" s="14" t="str">
        <f>CONCATENATE("Pool D-1st ",'Pool Matches'!G179)</f>
      </c>
      <c r="I52" s="14" t="str">
        <f>CONCATENATE("Pool D-2nd ",'Pool Matches'!G180)</f>
      </c>
      <c r="J52" s="14"/>
      <c r="K52" s="14"/>
      <c r="L52" s="18"/>
      <c r="M52" s="14"/>
      <c r="N52" s="14"/>
      <c r="O52" s="14" t="str">
        <f>CONCATENATE("Pool S-1st ",'Pool Matches'!O179)</f>
      </c>
    </row>
    <row r="53">
      <c r="A53" s="14">
        <v>1</v>
      </c>
      <c r="B53" s="18"/>
      <c r="C53" s="18"/>
      <c r="D53" s="18"/>
      <c r="E53" s="18"/>
      <c r="F53" s="18"/>
      <c r="G53" s="14">
        <v>1</v>
      </c>
      <c r="I53" s="14">
        <v>1</v>
      </c>
      <c r="J53" s="18"/>
      <c r="K53" s="18"/>
      <c r="L53" s="18"/>
      <c r="M53" s="18"/>
      <c r="N53" s="18"/>
      <c r="O53" s="14">
        <v>1</v>
      </c>
    </row>
    <row r="54">
      <c r="A54" s="14">
        <v>2</v>
      </c>
      <c r="B54" s="18"/>
      <c r="C54" s="18"/>
      <c r="D54" s="18"/>
      <c r="E54" s="18"/>
      <c r="F54" s="18"/>
      <c r="G54" s="14">
        <v>2</v>
      </c>
      <c r="I54" s="14">
        <v>2</v>
      </c>
      <c r="J54" s="18"/>
      <c r="K54" s="18"/>
      <c r="L54" s="18"/>
      <c r="M54" s="18"/>
      <c r="N54" s="18"/>
      <c r="O54" s="14">
        <v>2</v>
      </c>
    </row>
    <row r="55">
      <c r="A55" s="14">
        <v>3</v>
      </c>
      <c r="B55" s="18"/>
      <c r="C55" s="18"/>
      <c r="D55" s="18"/>
      <c r="E55" s="18"/>
      <c r="F55" s="18"/>
      <c r="G55" s="14">
        <v>3</v>
      </c>
      <c r="I55" s="14">
        <v>3</v>
      </c>
      <c r="J55" s="18"/>
      <c r="K55" s="18"/>
      <c r="L55" s="18"/>
      <c r="M55" s="18"/>
      <c r="N55" s="18"/>
      <c r="O55" s="14">
        <v>3</v>
      </c>
    </row>
    <row r="56">
      <c r="A56" s="14">
        <v>4</v>
      </c>
      <c r="B56" s="18"/>
      <c r="C56" s="18"/>
      <c r="D56" s="18"/>
      <c r="E56" s="18"/>
      <c r="F56" s="18"/>
      <c r="G56" s="14">
        <v>4</v>
      </c>
      <c r="I56" s="14">
        <v>4</v>
      </c>
      <c r="J56" s="18"/>
      <c r="K56" s="18"/>
      <c r="L56" s="18"/>
      <c r="M56" s="18"/>
      <c r="N56" s="18"/>
      <c r="O56" s="14">
        <v>4</v>
      </c>
    </row>
    <row r="57">
      <c r="A57" s="14">
        <v>5</v>
      </c>
      <c r="B57" s="18"/>
      <c r="C57" s="18"/>
      <c r="D57" s="18"/>
      <c r="E57" s="18"/>
      <c r="F57" s="18"/>
      <c r="G57" s="14">
        <v>5</v>
      </c>
      <c r="I57" s="14">
        <v>5</v>
      </c>
      <c r="J57" s="18"/>
      <c r="K57" s="18"/>
      <c r="L57" s="18"/>
      <c r="M57" s="18"/>
      <c r="N57" s="18"/>
      <c r="O57" s="14">
        <v>5</v>
      </c>
    </row>
    <row r="59">
      <c r="A59" s="14" t="str">
        <f>CONCATENATE("Pool S-2nd ",'Pool Matches'!O180)</f>
      </c>
      <c r="B59" s="14" t="s">
        <v>338</v>
      </c>
      <c r="C59" s="14" t="s">
        <v>341</v>
      </c>
      <c r="D59" s="14"/>
      <c r="E59" s="14" t="s">
        <v>341</v>
      </c>
      <c r="F59" s="14" t="s">
        <v>338</v>
      </c>
      <c r="G59" s="14" t="str">
        <f>CONCATENATE("Pool D-1st ",'Pool Matches'!G179)</f>
      </c>
      <c r="I59" s="14" t="str">
        <f>CONCATENATE("Pool D-2nd ",'Pool Matches'!G180)</f>
      </c>
      <c r="J59" s="14" t="s">
        <v>338</v>
      </c>
      <c r="K59" s="14" t="s">
        <v>341</v>
      </c>
      <c r="L59" s="14"/>
      <c r="M59" s="14" t="s">
        <v>341</v>
      </c>
      <c r="N59" s="14" t="s">
        <v>338</v>
      </c>
      <c r="O59" s="14" t="str">
        <f>CONCATENATE("Pool S-1st ",'Pool Matches'!O179)</f>
      </c>
    </row>
    <row r="60">
      <c r="A60" s="14" t="s">
        <v>349</v>
      </c>
      <c r="B60" s="14" t="str">
        <f>IF(UPPER(D53)="X",0,IF((LEN(SUBSTITUTE(SUBSTITUTE(SUBSTITUTE(B53," ",""),"0",""),"-",""))+LEN(SUBSTITUTE(SUBSTITUTE(SUBSTITUTE(C53," ",""),"0",""),"-","")))&gt;(LEN(SUBSTITUTE(SUBSTITUTE(SUBSTITUTE(E53," ",""),"0",""),"-",""))+LEN(SUBSTITUTE(SUBSTITUTE(SUBSTITUTE(F53," ",""),"0",""),"-",""))),1,0))+IF(UPPER(D54)="X",0,IF((LEN(SUBSTITUTE(SUBSTITUTE(SUBSTITUTE(B54," ",""),"0",""),"-",""))+LEN(SUBSTITUTE(SUBSTITUTE(SUBSTITUTE(C54," ",""),"0",""),"-","")))&gt;(LEN(SUBSTITUTE(SUBSTITUTE(SUBSTITUTE(E54," ",""),"0",""),"-",""))+LEN(SUBSTITUTE(SUBSTITUTE(SUBSTITUTE(F54," ",""),"0",""),"-",""))),1,0))+IF(UPPER(D55)="X",0,IF((LEN(SUBSTITUTE(SUBSTITUTE(SUBSTITUTE(B55," ",""),"0",""),"-",""))+LEN(SUBSTITUTE(SUBSTITUTE(SUBSTITUTE(C55," ",""),"0",""),"-","")))&gt;(LEN(SUBSTITUTE(SUBSTITUTE(SUBSTITUTE(E55," ",""),"0",""),"-",""))+LEN(SUBSTITUTE(SUBSTITUTE(SUBSTITUTE(F55," ",""),"0",""),"-",""))),1,0))+IF(UPPER(D56)="X",0,IF((LEN(SUBSTITUTE(SUBSTITUTE(SUBSTITUTE(B56," ",""),"0",""),"-",""))+LEN(SUBSTITUTE(SUBSTITUTE(SUBSTITUTE(C56," ",""),"0",""),"-","")))&gt;(LEN(SUBSTITUTE(SUBSTITUTE(SUBSTITUTE(E56," ",""),"0",""),"-",""))+LEN(SUBSTITUTE(SUBSTITUTE(SUBSTITUTE(F56," ",""),"0",""),"-",""))),1,0))+IF(UPPER(D57)="X",0,IF((LEN(SUBSTITUTE(SUBSTITUTE(SUBSTITUTE(B57," ",""),"0",""),"-",""))+LEN(SUBSTITUTE(SUBSTITUTE(SUBSTITUTE(C57," ",""),"0",""),"-","")))&gt;(LEN(SUBSTITUTE(SUBSTITUTE(SUBSTITUTE(E57," ",""),"0",""),"-",""))+LEN(SUBSTITUTE(SUBSTITUTE(SUBSTITUTE(F57," ",""),"0",""),"-",""))),1,0))</f>
      </c>
      <c r="C60" s="14" t="str">
        <f>LEN(SUBSTITUTE(SUBSTITUTE(SUBSTITUTE(B53," ",""),"0",""),"-",""))+LEN(SUBSTITUTE(SUBSTITUTE(SUBSTITUTE(C53," ",""),"0",""),"-",""))+LEN(SUBSTITUTE(SUBSTITUTE(SUBSTITUTE(B54," ",""),"0",""),"-",""))+LEN(SUBSTITUTE(SUBSTITUTE(SUBSTITUTE(C54," ",""),"0",""),"-",""))+LEN(SUBSTITUTE(SUBSTITUTE(SUBSTITUTE(B55," ",""),"0",""),"-",""))+LEN(SUBSTITUTE(SUBSTITUTE(SUBSTITUTE(C55," ",""),"0",""),"-",""))+LEN(SUBSTITUTE(SUBSTITUTE(SUBSTITUTE(B56," ",""),"0",""),"-",""))+LEN(SUBSTITUTE(SUBSTITUTE(SUBSTITUTE(C56," ",""),"0",""),"-",""))+LEN(SUBSTITUTE(SUBSTITUTE(SUBSTITUTE(B57," ",""),"0",""),"-",""))+LEN(SUBSTITUTE(SUBSTITUTE(SUBSTITUTE(C57," ",""),"0",""),"-",""))</f>
      </c>
      <c r="D60" s="14"/>
      <c r="E60" s="14" t="str">
        <f>LEN(SUBSTITUTE(SUBSTITUTE(SUBSTITUTE(E53," ",""),"0",""),"-",""))+LEN(SUBSTITUTE(SUBSTITUTE(SUBSTITUTE(F53," ",""),"0",""),"-",""))+LEN(SUBSTITUTE(SUBSTITUTE(SUBSTITUTE(E54," ",""),"0",""),"-",""))+LEN(SUBSTITUTE(SUBSTITUTE(SUBSTITUTE(F54," ",""),"0",""),"-",""))+LEN(SUBSTITUTE(SUBSTITUTE(SUBSTITUTE(E55," ",""),"0",""),"-",""))+LEN(SUBSTITUTE(SUBSTITUTE(SUBSTITUTE(F55," ",""),"0",""),"-",""))+LEN(SUBSTITUTE(SUBSTITUTE(SUBSTITUTE(E56," ",""),"0",""),"-",""))+LEN(SUBSTITUTE(SUBSTITUTE(SUBSTITUTE(F56," ",""),"0",""),"-",""))+LEN(SUBSTITUTE(SUBSTITUTE(SUBSTITUTE(E57," ",""),"0",""),"-",""))+LEN(SUBSTITUTE(SUBSTITUTE(SUBSTITUTE(F57," ",""),"0",""),"-",""))</f>
      </c>
      <c r="F60" s="14" t="str">
        <f>IF(UPPER(D53)="X",0,IF((LEN(SUBSTITUTE(SUBSTITUTE(SUBSTITUTE(E53," ",""),"0",""),"-",""))+LEN(SUBSTITUTE(SUBSTITUTE(SUBSTITUTE(F53," ",""),"0",""),"-","")))&gt;(LEN(SUBSTITUTE(SUBSTITUTE(SUBSTITUTE(B53," ",""),"0",""),"-",""))+LEN(SUBSTITUTE(SUBSTITUTE(SUBSTITUTE(C53," ",""),"0",""),"-",""))),1,0))+IF(UPPER(D54)="X",0,IF((LEN(SUBSTITUTE(SUBSTITUTE(SUBSTITUTE(E54," ",""),"0",""),"-",""))+LEN(SUBSTITUTE(SUBSTITUTE(SUBSTITUTE(F54," ",""),"0",""),"-","")))&gt;(LEN(SUBSTITUTE(SUBSTITUTE(SUBSTITUTE(B54," ",""),"0",""),"-",""))+LEN(SUBSTITUTE(SUBSTITUTE(SUBSTITUTE(C54," ",""),"0",""),"-",""))),1,0))+IF(UPPER(D55)="X",0,IF((LEN(SUBSTITUTE(SUBSTITUTE(SUBSTITUTE(E55," ",""),"0",""),"-",""))+LEN(SUBSTITUTE(SUBSTITUTE(SUBSTITUTE(F55," ",""),"0",""),"-","")))&gt;(LEN(SUBSTITUTE(SUBSTITUTE(SUBSTITUTE(B55," ",""),"0",""),"-",""))+LEN(SUBSTITUTE(SUBSTITUTE(SUBSTITUTE(C55," ",""),"0",""),"-",""))),1,0))+IF(UPPER(D56)="X",0,IF((LEN(SUBSTITUTE(SUBSTITUTE(SUBSTITUTE(E56," ",""),"0",""),"-",""))+LEN(SUBSTITUTE(SUBSTITUTE(SUBSTITUTE(F56," ",""),"0",""),"-","")))&gt;(LEN(SUBSTITUTE(SUBSTITUTE(SUBSTITUTE(B56," ",""),"0",""),"-",""))+LEN(SUBSTITUTE(SUBSTITUTE(SUBSTITUTE(C56," ",""),"0",""),"-",""))),1,0))+IF(UPPER(D57)="X",0,IF((LEN(SUBSTITUTE(SUBSTITUTE(SUBSTITUTE(E57," ",""),"0",""),"-",""))+LEN(SUBSTITUTE(SUBSTITUTE(SUBSTITUTE(F57," ",""),"0",""),"-","")))&gt;(LEN(SUBSTITUTE(SUBSTITUTE(SUBSTITUTE(B57," ",""),"0",""),"-",""))+LEN(SUBSTITUTE(SUBSTITUTE(SUBSTITUTE(C57," ",""),"0",""),"-",""))),1,0))</f>
      </c>
      <c r="G60" s="14" t="s">
        <v>349</v>
      </c>
      <c r="I60" s="14" t="s">
        <v>349</v>
      </c>
      <c r="J60" s="14" t="str">
        <f>IF(UPPER(L53)="X",0,IF((LEN(SUBSTITUTE(SUBSTITUTE(SUBSTITUTE(J53," ",""),"0",""),"-",""))+LEN(SUBSTITUTE(SUBSTITUTE(SUBSTITUTE(K53," ",""),"0",""),"-","")))&gt;(LEN(SUBSTITUTE(SUBSTITUTE(SUBSTITUTE(M53," ",""),"0",""),"-",""))+LEN(SUBSTITUTE(SUBSTITUTE(SUBSTITUTE(N53," ",""),"0",""),"-",""))),1,0))+IF(UPPER(L54)="X",0,IF((LEN(SUBSTITUTE(SUBSTITUTE(SUBSTITUTE(J54," ",""),"0",""),"-",""))+LEN(SUBSTITUTE(SUBSTITUTE(SUBSTITUTE(K54," ",""),"0",""),"-","")))&gt;(LEN(SUBSTITUTE(SUBSTITUTE(SUBSTITUTE(M54," ",""),"0",""),"-",""))+LEN(SUBSTITUTE(SUBSTITUTE(SUBSTITUTE(N54," ",""),"0",""),"-",""))),1,0))+IF(UPPER(L55)="X",0,IF((LEN(SUBSTITUTE(SUBSTITUTE(SUBSTITUTE(J55," ",""),"0",""),"-",""))+LEN(SUBSTITUTE(SUBSTITUTE(SUBSTITUTE(K55," ",""),"0",""),"-","")))&gt;(LEN(SUBSTITUTE(SUBSTITUTE(SUBSTITUTE(M55," ",""),"0",""),"-",""))+LEN(SUBSTITUTE(SUBSTITUTE(SUBSTITUTE(N55," ",""),"0",""),"-",""))),1,0))+IF(UPPER(L56)="X",0,IF((LEN(SUBSTITUTE(SUBSTITUTE(SUBSTITUTE(J56," ",""),"0",""),"-",""))+LEN(SUBSTITUTE(SUBSTITUTE(SUBSTITUTE(K56," ",""),"0",""),"-","")))&gt;(LEN(SUBSTITUTE(SUBSTITUTE(SUBSTITUTE(M56," ",""),"0",""),"-",""))+LEN(SUBSTITUTE(SUBSTITUTE(SUBSTITUTE(N56," ",""),"0",""),"-",""))),1,0))+IF(UPPER(L57)="X",0,IF((LEN(SUBSTITUTE(SUBSTITUTE(SUBSTITUTE(J57," ",""),"0",""),"-",""))+LEN(SUBSTITUTE(SUBSTITUTE(SUBSTITUTE(K57," ",""),"0",""),"-","")))&gt;(LEN(SUBSTITUTE(SUBSTITUTE(SUBSTITUTE(M57," ",""),"0",""),"-",""))+LEN(SUBSTITUTE(SUBSTITUTE(SUBSTITUTE(N57," ",""),"0",""),"-",""))),1,0))</f>
      </c>
      <c r="K60" s="14" t="str">
        <f>LEN(SUBSTITUTE(SUBSTITUTE(SUBSTITUTE(J53," ",""),"0",""),"-",""))+LEN(SUBSTITUTE(SUBSTITUTE(SUBSTITUTE(K53," ",""),"0",""),"-",""))+LEN(SUBSTITUTE(SUBSTITUTE(SUBSTITUTE(J54," ",""),"0",""),"-",""))+LEN(SUBSTITUTE(SUBSTITUTE(SUBSTITUTE(K54," ",""),"0",""),"-",""))+LEN(SUBSTITUTE(SUBSTITUTE(SUBSTITUTE(J55," ",""),"0",""),"-",""))+LEN(SUBSTITUTE(SUBSTITUTE(SUBSTITUTE(K55," ",""),"0",""),"-",""))+LEN(SUBSTITUTE(SUBSTITUTE(SUBSTITUTE(J56," ",""),"0",""),"-",""))+LEN(SUBSTITUTE(SUBSTITUTE(SUBSTITUTE(K56," ",""),"0",""),"-",""))+LEN(SUBSTITUTE(SUBSTITUTE(SUBSTITUTE(J57," ",""),"0",""),"-",""))+LEN(SUBSTITUTE(SUBSTITUTE(SUBSTITUTE(K57," ",""),"0",""),"-",""))</f>
      </c>
      <c r="L60" s="14"/>
      <c r="M60" s="14" t="str">
        <f>LEN(SUBSTITUTE(SUBSTITUTE(SUBSTITUTE(M53," ",""),"0",""),"-",""))+LEN(SUBSTITUTE(SUBSTITUTE(SUBSTITUTE(N53," ",""),"0",""),"-",""))+LEN(SUBSTITUTE(SUBSTITUTE(SUBSTITUTE(M54," ",""),"0",""),"-",""))+LEN(SUBSTITUTE(SUBSTITUTE(SUBSTITUTE(N54," ",""),"0",""),"-",""))+LEN(SUBSTITUTE(SUBSTITUTE(SUBSTITUTE(M55," ",""),"0",""),"-",""))+LEN(SUBSTITUTE(SUBSTITUTE(SUBSTITUTE(N55," ",""),"0",""),"-",""))+LEN(SUBSTITUTE(SUBSTITUTE(SUBSTITUTE(M56," ",""),"0",""),"-",""))+LEN(SUBSTITUTE(SUBSTITUTE(SUBSTITUTE(N56," ",""),"0",""),"-",""))+LEN(SUBSTITUTE(SUBSTITUTE(SUBSTITUTE(M57," ",""),"0",""),"-",""))+LEN(SUBSTITUTE(SUBSTITUTE(SUBSTITUTE(N57," ",""),"0",""),"-",""))</f>
      </c>
      <c r="N60" s="14" t="str">
        <f>IF(UPPER(L53)="X",0,IF((LEN(SUBSTITUTE(SUBSTITUTE(SUBSTITUTE(M53," ",""),"0",""),"-",""))+LEN(SUBSTITUTE(SUBSTITUTE(SUBSTITUTE(N53," ",""),"0",""),"-","")))&gt;(LEN(SUBSTITUTE(SUBSTITUTE(SUBSTITUTE(J53," ",""),"0",""),"-",""))+LEN(SUBSTITUTE(SUBSTITUTE(SUBSTITUTE(K53," ",""),"0",""),"-",""))),1,0))+IF(UPPER(L54)="X",0,IF((LEN(SUBSTITUTE(SUBSTITUTE(SUBSTITUTE(M54," ",""),"0",""),"-",""))+LEN(SUBSTITUTE(SUBSTITUTE(SUBSTITUTE(N54," ",""),"0",""),"-","")))&gt;(LEN(SUBSTITUTE(SUBSTITUTE(SUBSTITUTE(J54," ",""),"0",""),"-",""))+LEN(SUBSTITUTE(SUBSTITUTE(SUBSTITUTE(K54," ",""),"0",""),"-",""))),1,0))+IF(UPPER(L55)="X",0,IF((LEN(SUBSTITUTE(SUBSTITUTE(SUBSTITUTE(M55," ",""),"0",""),"-",""))+LEN(SUBSTITUTE(SUBSTITUTE(SUBSTITUTE(N55," ",""),"0",""),"-","")))&gt;(LEN(SUBSTITUTE(SUBSTITUTE(SUBSTITUTE(J55," ",""),"0",""),"-",""))+LEN(SUBSTITUTE(SUBSTITUTE(SUBSTITUTE(K55," ",""),"0",""),"-",""))),1,0))+IF(UPPER(L56)="X",0,IF((LEN(SUBSTITUTE(SUBSTITUTE(SUBSTITUTE(M56," ",""),"0",""),"-",""))+LEN(SUBSTITUTE(SUBSTITUTE(SUBSTITUTE(N56," ",""),"0",""),"-","")))&gt;(LEN(SUBSTITUTE(SUBSTITUTE(SUBSTITUTE(J56," ",""),"0",""),"-",""))+LEN(SUBSTITUTE(SUBSTITUTE(SUBSTITUTE(K56," ",""),"0",""),"-",""))),1,0))+IF(UPPER(L57)="X",0,IF((LEN(SUBSTITUTE(SUBSTITUTE(SUBSTITUTE(M57," ",""),"0",""),"-",""))+LEN(SUBSTITUTE(SUBSTITUTE(SUBSTITUTE(N57," ",""),"0",""),"-","")))&gt;(LEN(SUBSTITUTE(SUBSTITUTE(SUBSTITUTE(J57," ",""),"0",""),"-",""))+LEN(SUBSTITUTE(SUBSTITUTE(SUBSTITUTE(K57," ",""),"0",""),"-",""))),1,0))</f>
      </c>
      <c r="O60" s="14" t="s">
        <v>349</v>
      </c>
    </row>
    <row r="63">
      <c r="F63" t="s">
        <v>344</v>
      </c>
      <c r="G63" s="19"/>
      <c r="N63" t="s">
        <v>344</v>
      </c>
      <c r="O63" s="19"/>
    </row>
    <row r="64">
      <c r="F64" t="s">
        <v>345</v>
      </c>
      <c r="G64" s="19"/>
      <c r="N64" t="s">
        <v>345</v>
      </c>
      <c r="O64" s="19"/>
    </row>
    <row r="66">
      <c r="A66" s="13" t="s">
        <v>357</v>
      </c>
      <c r="B66" s="13"/>
      <c r="C66" s="13"/>
      <c r="D66" s="13"/>
      <c r="E66" s="13"/>
      <c r="F66" s="13"/>
      <c r="G66" s="13"/>
      <c r="I66" s="13" t="s">
        <v>358</v>
      </c>
      <c r="J66" s="13"/>
      <c r="K66" s="13"/>
      <c r="L66" s="13"/>
      <c r="M66" s="13"/>
      <c r="N66" s="13"/>
      <c r="O66" s="13"/>
    </row>
    <row r="67">
      <c r="A67" s="17" t="s">
        <v>330</v>
      </c>
      <c r="D67" s="14" t="s">
        <v>331</v>
      </c>
      <c r="G67" s="16" t="s">
        <v>332</v>
      </c>
      <c r="I67" s="17" t="s">
        <v>330</v>
      </c>
      <c r="L67" s="14" t="s">
        <v>331</v>
      </c>
      <c r="O67" s="16" t="s">
        <v>332</v>
      </c>
    </row>
    <row r="68">
      <c r="A68" s="14" t="str">
        <f>CONCATENATE("Pool T-2nd ",'Pool Matches'!O223)</f>
      </c>
      <c r="B68" s="14"/>
      <c r="C68" s="14"/>
      <c r="D68" s="18"/>
      <c r="E68" s="14"/>
      <c r="F68" s="14"/>
      <c r="G68" s="14" t="str">
        <f>CONCATENATE("Pool E-1st ",'Pool Matches'!G222)</f>
      </c>
      <c r="I68" s="14" t="str">
        <f>CONCATENATE("Pool E-2nd ",'Pool Matches'!G223)</f>
      </c>
      <c r="J68" s="14"/>
      <c r="K68" s="14"/>
      <c r="L68" s="18"/>
      <c r="M68" s="14"/>
      <c r="N68" s="14"/>
      <c r="O68" s="14" t="str">
        <f>CONCATENATE("Pool T-1st ",'Pool Matches'!O222)</f>
      </c>
    </row>
    <row r="69">
      <c r="A69" s="14">
        <v>1</v>
      </c>
      <c r="B69" s="18"/>
      <c r="C69" s="18"/>
      <c r="D69" s="18"/>
      <c r="E69" s="18"/>
      <c r="F69" s="18"/>
      <c r="G69" s="14">
        <v>1</v>
      </c>
      <c r="I69" s="14">
        <v>1</v>
      </c>
      <c r="J69" s="18"/>
      <c r="K69" s="18"/>
      <c r="L69" s="18"/>
      <c r="M69" s="18"/>
      <c r="N69" s="18"/>
      <c r="O69" s="14">
        <v>1</v>
      </c>
    </row>
    <row r="70">
      <c r="A70" s="14">
        <v>2</v>
      </c>
      <c r="B70" s="18"/>
      <c r="C70" s="18"/>
      <c r="D70" s="18"/>
      <c r="E70" s="18"/>
      <c r="F70" s="18"/>
      <c r="G70" s="14">
        <v>2</v>
      </c>
      <c r="I70" s="14">
        <v>2</v>
      </c>
      <c r="J70" s="18"/>
      <c r="K70" s="18"/>
      <c r="L70" s="18"/>
      <c r="M70" s="18"/>
      <c r="N70" s="18"/>
      <c r="O70" s="14">
        <v>2</v>
      </c>
    </row>
    <row r="71">
      <c r="A71" s="14">
        <v>3</v>
      </c>
      <c r="B71" s="18"/>
      <c r="C71" s="18"/>
      <c r="D71" s="18"/>
      <c r="E71" s="18"/>
      <c r="F71" s="18"/>
      <c r="G71" s="14">
        <v>3</v>
      </c>
      <c r="I71" s="14">
        <v>3</v>
      </c>
      <c r="J71" s="18"/>
      <c r="K71" s="18"/>
      <c r="L71" s="18"/>
      <c r="M71" s="18"/>
      <c r="N71" s="18"/>
      <c r="O71" s="14">
        <v>3</v>
      </c>
    </row>
    <row r="72">
      <c r="A72" s="14">
        <v>4</v>
      </c>
      <c r="B72" s="18"/>
      <c r="C72" s="18"/>
      <c r="D72" s="18"/>
      <c r="E72" s="18"/>
      <c r="F72" s="18"/>
      <c r="G72" s="14">
        <v>4</v>
      </c>
      <c r="I72" s="14">
        <v>4</v>
      </c>
      <c r="J72" s="18"/>
      <c r="K72" s="18"/>
      <c r="L72" s="18"/>
      <c r="M72" s="18"/>
      <c r="N72" s="18"/>
      <c r="O72" s="14">
        <v>4</v>
      </c>
    </row>
    <row r="73">
      <c r="A73" s="14">
        <v>5</v>
      </c>
      <c r="B73" s="18"/>
      <c r="C73" s="18"/>
      <c r="D73" s="18"/>
      <c r="E73" s="18"/>
      <c r="F73" s="18"/>
      <c r="G73" s="14">
        <v>5</v>
      </c>
      <c r="I73" s="14">
        <v>5</v>
      </c>
      <c r="J73" s="18"/>
      <c r="K73" s="18"/>
      <c r="L73" s="18"/>
      <c r="M73" s="18"/>
      <c r="N73" s="18"/>
      <c r="O73" s="14">
        <v>5</v>
      </c>
    </row>
    <row r="75">
      <c r="A75" s="14" t="str">
        <f>CONCATENATE("Pool T-2nd ",'Pool Matches'!O223)</f>
      </c>
      <c r="B75" s="14" t="s">
        <v>338</v>
      </c>
      <c r="C75" s="14" t="s">
        <v>341</v>
      </c>
      <c r="D75" s="14"/>
      <c r="E75" s="14" t="s">
        <v>341</v>
      </c>
      <c r="F75" s="14" t="s">
        <v>338</v>
      </c>
      <c r="G75" s="14" t="str">
        <f>CONCATENATE("Pool E-1st ",'Pool Matches'!G222)</f>
      </c>
      <c r="I75" s="14" t="str">
        <f>CONCATENATE("Pool E-2nd ",'Pool Matches'!G223)</f>
      </c>
      <c r="J75" s="14" t="s">
        <v>338</v>
      </c>
      <c r="K75" s="14" t="s">
        <v>341</v>
      </c>
      <c r="L75" s="14"/>
      <c r="M75" s="14" t="s">
        <v>341</v>
      </c>
      <c r="N75" s="14" t="s">
        <v>338</v>
      </c>
      <c r="O75" s="14" t="str">
        <f>CONCATENATE("Pool T-1st ",'Pool Matches'!O222)</f>
      </c>
    </row>
    <row r="76">
      <c r="A76" s="14" t="s">
        <v>349</v>
      </c>
      <c r="B76" s="14" t="str">
        <f>IF(UPPER(D69)="X",0,IF((LEN(SUBSTITUTE(SUBSTITUTE(SUBSTITUTE(B69," ",""),"0",""),"-",""))+LEN(SUBSTITUTE(SUBSTITUTE(SUBSTITUTE(C69," ",""),"0",""),"-","")))&gt;(LEN(SUBSTITUTE(SUBSTITUTE(SUBSTITUTE(E69," ",""),"0",""),"-",""))+LEN(SUBSTITUTE(SUBSTITUTE(SUBSTITUTE(F69," ",""),"0",""),"-",""))),1,0))+IF(UPPER(D70)="X",0,IF((LEN(SUBSTITUTE(SUBSTITUTE(SUBSTITUTE(B70," ",""),"0",""),"-",""))+LEN(SUBSTITUTE(SUBSTITUTE(SUBSTITUTE(C70," ",""),"0",""),"-","")))&gt;(LEN(SUBSTITUTE(SUBSTITUTE(SUBSTITUTE(E70," ",""),"0",""),"-",""))+LEN(SUBSTITUTE(SUBSTITUTE(SUBSTITUTE(F70," ",""),"0",""),"-",""))),1,0))+IF(UPPER(D71)="X",0,IF((LEN(SUBSTITUTE(SUBSTITUTE(SUBSTITUTE(B71," ",""),"0",""),"-",""))+LEN(SUBSTITUTE(SUBSTITUTE(SUBSTITUTE(C71," ",""),"0",""),"-","")))&gt;(LEN(SUBSTITUTE(SUBSTITUTE(SUBSTITUTE(E71," ",""),"0",""),"-",""))+LEN(SUBSTITUTE(SUBSTITUTE(SUBSTITUTE(F71," ",""),"0",""),"-",""))),1,0))+IF(UPPER(D72)="X",0,IF((LEN(SUBSTITUTE(SUBSTITUTE(SUBSTITUTE(B72," ",""),"0",""),"-",""))+LEN(SUBSTITUTE(SUBSTITUTE(SUBSTITUTE(C72," ",""),"0",""),"-","")))&gt;(LEN(SUBSTITUTE(SUBSTITUTE(SUBSTITUTE(E72," ",""),"0",""),"-",""))+LEN(SUBSTITUTE(SUBSTITUTE(SUBSTITUTE(F72," ",""),"0",""),"-",""))),1,0))+IF(UPPER(D73)="X",0,IF((LEN(SUBSTITUTE(SUBSTITUTE(SUBSTITUTE(B73," ",""),"0",""),"-",""))+LEN(SUBSTITUTE(SUBSTITUTE(SUBSTITUTE(C73," ",""),"0",""),"-","")))&gt;(LEN(SUBSTITUTE(SUBSTITUTE(SUBSTITUTE(E73," ",""),"0",""),"-",""))+LEN(SUBSTITUTE(SUBSTITUTE(SUBSTITUTE(F73," ",""),"0",""),"-",""))),1,0))</f>
      </c>
      <c r="C76" s="14" t="str">
        <f>LEN(SUBSTITUTE(SUBSTITUTE(SUBSTITUTE(B69," ",""),"0",""),"-",""))+LEN(SUBSTITUTE(SUBSTITUTE(SUBSTITUTE(C69," ",""),"0",""),"-",""))+LEN(SUBSTITUTE(SUBSTITUTE(SUBSTITUTE(B70," ",""),"0",""),"-",""))+LEN(SUBSTITUTE(SUBSTITUTE(SUBSTITUTE(C70," ",""),"0",""),"-",""))+LEN(SUBSTITUTE(SUBSTITUTE(SUBSTITUTE(B71," ",""),"0",""),"-",""))+LEN(SUBSTITUTE(SUBSTITUTE(SUBSTITUTE(C71," ",""),"0",""),"-",""))+LEN(SUBSTITUTE(SUBSTITUTE(SUBSTITUTE(B72," ",""),"0",""),"-",""))+LEN(SUBSTITUTE(SUBSTITUTE(SUBSTITUTE(C72," ",""),"0",""),"-",""))+LEN(SUBSTITUTE(SUBSTITUTE(SUBSTITUTE(B73," ",""),"0",""),"-",""))+LEN(SUBSTITUTE(SUBSTITUTE(SUBSTITUTE(C73," ",""),"0",""),"-",""))</f>
      </c>
      <c r="D76" s="14"/>
      <c r="E76" s="14" t="str">
        <f>LEN(SUBSTITUTE(SUBSTITUTE(SUBSTITUTE(E69," ",""),"0",""),"-",""))+LEN(SUBSTITUTE(SUBSTITUTE(SUBSTITUTE(F69," ",""),"0",""),"-",""))+LEN(SUBSTITUTE(SUBSTITUTE(SUBSTITUTE(E70," ",""),"0",""),"-",""))+LEN(SUBSTITUTE(SUBSTITUTE(SUBSTITUTE(F70," ",""),"0",""),"-",""))+LEN(SUBSTITUTE(SUBSTITUTE(SUBSTITUTE(E71," ",""),"0",""),"-",""))+LEN(SUBSTITUTE(SUBSTITUTE(SUBSTITUTE(F71," ",""),"0",""),"-",""))+LEN(SUBSTITUTE(SUBSTITUTE(SUBSTITUTE(E72," ",""),"0",""),"-",""))+LEN(SUBSTITUTE(SUBSTITUTE(SUBSTITUTE(F72," ",""),"0",""),"-",""))+LEN(SUBSTITUTE(SUBSTITUTE(SUBSTITUTE(E73," ",""),"0",""),"-",""))+LEN(SUBSTITUTE(SUBSTITUTE(SUBSTITUTE(F73," ",""),"0",""),"-",""))</f>
      </c>
      <c r="F76" s="14" t="str">
        <f>IF(UPPER(D69)="X",0,IF((LEN(SUBSTITUTE(SUBSTITUTE(SUBSTITUTE(E69," ",""),"0",""),"-",""))+LEN(SUBSTITUTE(SUBSTITUTE(SUBSTITUTE(F69," ",""),"0",""),"-","")))&gt;(LEN(SUBSTITUTE(SUBSTITUTE(SUBSTITUTE(B69," ",""),"0",""),"-",""))+LEN(SUBSTITUTE(SUBSTITUTE(SUBSTITUTE(C69," ",""),"0",""),"-",""))),1,0))+IF(UPPER(D70)="X",0,IF((LEN(SUBSTITUTE(SUBSTITUTE(SUBSTITUTE(E70," ",""),"0",""),"-",""))+LEN(SUBSTITUTE(SUBSTITUTE(SUBSTITUTE(F70," ",""),"0",""),"-","")))&gt;(LEN(SUBSTITUTE(SUBSTITUTE(SUBSTITUTE(B70," ",""),"0",""),"-",""))+LEN(SUBSTITUTE(SUBSTITUTE(SUBSTITUTE(C70," ",""),"0",""),"-",""))),1,0))+IF(UPPER(D71)="X",0,IF((LEN(SUBSTITUTE(SUBSTITUTE(SUBSTITUTE(E71," ",""),"0",""),"-",""))+LEN(SUBSTITUTE(SUBSTITUTE(SUBSTITUTE(F71," ",""),"0",""),"-","")))&gt;(LEN(SUBSTITUTE(SUBSTITUTE(SUBSTITUTE(B71," ",""),"0",""),"-",""))+LEN(SUBSTITUTE(SUBSTITUTE(SUBSTITUTE(C71," ",""),"0",""),"-",""))),1,0))+IF(UPPER(D72)="X",0,IF((LEN(SUBSTITUTE(SUBSTITUTE(SUBSTITUTE(E72," ",""),"0",""),"-",""))+LEN(SUBSTITUTE(SUBSTITUTE(SUBSTITUTE(F72," ",""),"0",""),"-","")))&gt;(LEN(SUBSTITUTE(SUBSTITUTE(SUBSTITUTE(B72," ",""),"0",""),"-",""))+LEN(SUBSTITUTE(SUBSTITUTE(SUBSTITUTE(C72," ",""),"0",""),"-",""))),1,0))+IF(UPPER(D73)="X",0,IF((LEN(SUBSTITUTE(SUBSTITUTE(SUBSTITUTE(E73," ",""),"0",""),"-",""))+LEN(SUBSTITUTE(SUBSTITUTE(SUBSTITUTE(F73," ",""),"0",""),"-","")))&gt;(LEN(SUBSTITUTE(SUBSTITUTE(SUBSTITUTE(B73," ",""),"0",""),"-",""))+LEN(SUBSTITUTE(SUBSTITUTE(SUBSTITUTE(C73," ",""),"0",""),"-",""))),1,0))</f>
      </c>
      <c r="G76" s="14" t="s">
        <v>349</v>
      </c>
      <c r="I76" s="14" t="s">
        <v>349</v>
      </c>
      <c r="J76" s="14" t="str">
        <f>IF(UPPER(L69)="X",0,IF((LEN(SUBSTITUTE(SUBSTITUTE(SUBSTITUTE(J69," ",""),"0",""),"-",""))+LEN(SUBSTITUTE(SUBSTITUTE(SUBSTITUTE(K69," ",""),"0",""),"-","")))&gt;(LEN(SUBSTITUTE(SUBSTITUTE(SUBSTITUTE(M69," ",""),"0",""),"-",""))+LEN(SUBSTITUTE(SUBSTITUTE(SUBSTITUTE(N69," ",""),"0",""),"-",""))),1,0))+IF(UPPER(L70)="X",0,IF((LEN(SUBSTITUTE(SUBSTITUTE(SUBSTITUTE(J70," ",""),"0",""),"-",""))+LEN(SUBSTITUTE(SUBSTITUTE(SUBSTITUTE(K70," ",""),"0",""),"-","")))&gt;(LEN(SUBSTITUTE(SUBSTITUTE(SUBSTITUTE(M70," ",""),"0",""),"-",""))+LEN(SUBSTITUTE(SUBSTITUTE(SUBSTITUTE(N70," ",""),"0",""),"-",""))),1,0))+IF(UPPER(L71)="X",0,IF((LEN(SUBSTITUTE(SUBSTITUTE(SUBSTITUTE(J71," ",""),"0",""),"-",""))+LEN(SUBSTITUTE(SUBSTITUTE(SUBSTITUTE(K71," ",""),"0",""),"-","")))&gt;(LEN(SUBSTITUTE(SUBSTITUTE(SUBSTITUTE(M71," ",""),"0",""),"-",""))+LEN(SUBSTITUTE(SUBSTITUTE(SUBSTITUTE(N71," ",""),"0",""),"-",""))),1,0))+IF(UPPER(L72)="X",0,IF((LEN(SUBSTITUTE(SUBSTITUTE(SUBSTITUTE(J72," ",""),"0",""),"-",""))+LEN(SUBSTITUTE(SUBSTITUTE(SUBSTITUTE(K72," ",""),"0",""),"-","")))&gt;(LEN(SUBSTITUTE(SUBSTITUTE(SUBSTITUTE(M72," ",""),"0",""),"-",""))+LEN(SUBSTITUTE(SUBSTITUTE(SUBSTITUTE(N72," ",""),"0",""),"-",""))),1,0))+IF(UPPER(L73)="X",0,IF((LEN(SUBSTITUTE(SUBSTITUTE(SUBSTITUTE(J73," ",""),"0",""),"-",""))+LEN(SUBSTITUTE(SUBSTITUTE(SUBSTITUTE(K73," ",""),"0",""),"-","")))&gt;(LEN(SUBSTITUTE(SUBSTITUTE(SUBSTITUTE(M73," ",""),"0",""),"-",""))+LEN(SUBSTITUTE(SUBSTITUTE(SUBSTITUTE(N73," ",""),"0",""),"-",""))),1,0))</f>
      </c>
      <c r="K76" s="14" t="str">
        <f>LEN(SUBSTITUTE(SUBSTITUTE(SUBSTITUTE(J69," ",""),"0",""),"-",""))+LEN(SUBSTITUTE(SUBSTITUTE(SUBSTITUTE(K69," ",""),"0",""),"-",""))+LEN(SUBSTITUTE(SUBSTITUTE(SUBSTITUTE(J70," ",""),"0",""),"-",""))+LEN(SUBSTITUTE(SUBSTITUTE(SUBSTITUTE(K70," ",""),"0",""),"-",""))+LEN(SUBSTITUTE(SUBSTITUTE(SUBSTITUTE(J71," ",""),"0",""),"-",""))+LEN(SUBSTITUTE(SUBSTITUTE(SUBSTITUTE(K71," ",""),"0",""),"-",""))+LEN(SUBSTITUTE(SUBSTITUTE(SUBSTITUTE(J72," ",""),"0",""),"-",""))+LEN(SUBSTITUTE(SUBSTITUTE(SUBSTITUTE(K72," ",""),"0",""),"-",""))+LEN(SUBSTITUTE(SUBSTITUTE(SUBSTITUTE(J73," ",""),"0",""),"-",""))+LEN(SUBSTITUTE(SUBSTITUTE(SUBSTITUTE(K73," ",""),"0",""),"-",""))</f>
      </c>
      <c r="L76" s="14"/>
      <c r="M76" s="14" t="str">
        <f>LEN(SUBSTITUTE(SUBSTITUTE(SUBSTITUTE(M69," ",""),"0",""),"-",""))+LEN(SUBSTITUTE(SUBSTITUTE(SUBSTITUTE(N69," ",""),"0",""),"-",""))+LEN(SUBSTITUTE(SUBSTITUTE(SUBSTITUTE(M70," ",""),"0",""),"-",""))+LEN(SUBSTITUTE(SUBSTITUTE(SUBSTITUTE(N70," ",""),"0",""),"-",""))+LEN(SUBSTITUTE(SUBSTITUTE(SUBSTITUTE(M71," ",""),"0",""),"-",""))+LEN(SUBSTITUTE(SUBSTITUTE(SUBSTITUTE(N71," ",""),"0",""),"-",""))+LEN(SUBSTITUTE(SUBSTITUTE(SUBSTITUTE(M72," ",""),"0",""),"-",""))+LEN(SUBSTITUTE(SUBSTITUTE(SUBSTITUTE(N72," ",""),"0",""),"-",""))+LEN(SUBSTITUTE(SUBSTITUTE(SUBSTITUTE(M73," ",""),"0",""),"-",""))+LEN(SUBSTITUTE(SUBSTITUTE(SUBSTITUTE(N73," ",""),"0",""),"-",""))</f>
      </c>
      <c r="N76" s="14" t="str">
        <f>IF(UPPER(L69)="X",0,IF((LEN(SUBSTITUTE(SUBSTITUTE(SUBSTITUTE(M69," ",""),"0",""),"-",""))+LEN(SUBSTITUTE(SUBSTITUTE(SUBSTITUTE(N69," ",""),"0",""),"-","")))&gt;(LEN(SUBSTITUTE(SUBSTITUTE(SUBSTITUTE(J69," ",""),"0",""),"-",""))+LEN(SUBSTITUTE(SUBSTITUTE(SUBSTITUTE(K69," ",""),"0",""),"-",""))),1,0))+IF(UPPER(L70)="X",0,IF((LEN(SUBSTITUTE(SUBSTITUTE(SUBSTITUTE(M70," ",""),"0",""),"-",""))+LEN(SUBSTITUTE(SUBSTITUTE(SUBSTITUTE(N70," ",""),"0",""),"-","")))&gt;(LEN(SUBSTITUTE(SUBSTITUTE(SUBSTITUTE(J70," ",""),"0",""),"-",""))+LEN(SUBSTITUTE(SUBSTITUTE(SUBSTITUTE(K70," ",""),"0",""),"-",""))),1,0))+IF(UPPER(L71)="X",0,IF((LEN(SUBSTITUTE(SUBSTITUTE(SUBSTITUTE(M71," ",""),"0",""),"-",""))+LEN(SUBSTITUTE(SUBSTITUTE(SUBSTITUTE(N71," ",""),"0",""),"-","")))&gt;(LEN(SUBSTITUTE(SUBSTITUTE(SUBSTITUTE(J71," ",""),"0",""),"-",""))+LEN(SUBSTITUTE(SUBSTITUTE(SUBSTITUTE(K71," ",""),"0",""),"-",""))),1,0))+IF(UPPER(L72)="X",0,IF((LEN(SUBSTITUTE(SUBSTITUTE(SUBSTITUTE(M72," ",""),"0",""),"-",""))+LEN(SUBSTITUTE(SUBSTITUTE(SUBSTITUTE(N72," ",""),"0",""),"-","")))&gt;(LEN(SUBSTITUTE(SUBSTITUTE(SUBSTITUTE(J72," ",""),"0",""),"-",""))+LEN(SUBSTITUTE(SUBSTITUTE(SUBSTITUTE(K72," ",""),"0",""),"-",""))),1,0))+IF(UPPER(L73)="X",0,IF((LEN(SUBSTITUTE(SUBSTITUTE(SUBSTITUTE(M73," ",""),"0",""),"-",""))+LEN(SUBSTITUTE(SUBSTITUTE(SUBSTITUTE(N73," ",""),"0",""),"-","")))&gt;(LEN(SUBSTITUTE(SUBSTITUTE(SUBSTITUTE(J73," ",""),"0",""),"-",""))+LEN(SUBSTITUTE(SUBSTITUTE(SUBSTITUTE(K73," ",""),"0",""),"-",""))),1,0))</f>
      </c>
      <c r="O76" s="14" t="s">
        <v>349</v>
      </c>
    </row>
    <row r="79">
      <c r="F79" t="s">
        <v>344</v>
      </c>
      <c r="G79" s="19"/>
      <c r="N79" t="s">
        <v>344</v>
      </c>
      <c r="O79" s="19"/>
    </row>
    <row r="80">
      <c r="F80" t="s">
        <v>345</v>
      </c>
      <c r="G80" s="19"/>
      <c r="N80" t="s">
        <v>345</v>
      </c>
      <c r="O80" s="19"/>
    </row>
    <row r="82">
      <c r="A82" s="13" t="s">
        <v>359</v>
      </c>
      <c r="B82" s="13"/>
      <c r="C82" s="13"/>
      <c r="D82" s="13"/>
      <c r="E82" s="13"/>
      <c r="F82" s="13"/>
      <c r="G82" s="13"/>
      <c r="I82" s="13" t="s">
        <v>360</v>
      </c>
      <c r="J82" s="13"/>
      <c r="K82" s="13"/>
      <c r="L82" s="13"/>
      <c r="M82" s="13"/>
      <c r="N82" s="13"/>
      <c r="O82" s="13"/>
    </row>
    <row r="83">
      <c r="A83" s="17" t="s">
        <v>330</v>
      </c>
      <c r="D83" s="14" t="s">
        <v>331</v>
      </c>
      <c r="G83" s="16" t="s">
        <v>332</v>
      </c>
      <c r="I83" s="17" t="s">
        <v>330</v>
      </c>
      <c r="L83" s="14" t="s">
        <v>331</v>
      </c>
      <c r="O83" s="16" t="s">
        <v>332</v>
      </c>
    </row>
    <row r="84">
      <c r="A84" s="14" t="str">
        <f>CONCATENATE("Pool U-2nd ",'Pool Matches'!O266)</f>
      </c>
      <c r="B84" s="14"/>
      <c r="C84" s="14"/>
      <c r="D84" s="18"/>
      <c r="E84" s="14"/>
      <c r="F84" s="14"/>
      <c r="G84" s="14" t="str">
        <f>CONCATENATE("Pool F-1st ",'Pool Matches'!G265)</f>
      </c>
      <c r="I84" s="14" t="str">
        <f>CONCATENATE("Pool F-2nd ",'Pool Matches'!G266)</f>
      </c>
      <c r="J84" s="14"/>
      <c r="K84" s="14"/>
      <c r="L84" s="18"/>
      <c r="M84" s="14"/>
      <c r="N84" s="14"/>
      <c r="O84" s="14" t="str">
        <f>CONCATENATE("Pool U-1st ",'Pool Matches'!O265)</f>
      </c>
    </row>
    <row r="85">
      <c r="A85" s="14">
        <v>1</v>
      </c>
      <c r="B85" s="18"/>
      <c r="C85" s="18"/>
      <c r="D85" s="18"/>
      <c r="E85" s="18"/>
      <c r="F85" s="18"/>
      <c r="G85" s="14">
        <v>1</v>
      </c>
      <c r="I85" s="14">
        <v>1</v>
      </c>
      <c r="J85" s="18"/>
      <c r="K85" s="18"/>
      <c r="L85" s="18"/>
      <c r="M85" s="18"/>
      <c r="N85" s="18"/>
      <c r="O85" s="14">
        <v>1</v>
      </c>
    </row>
    <row r="86">
      <c r="A86" s="14">
        <v>2</v>
      </c>
      <c r="B86" s="18"/>
      <c r="C86" s="18"/>
      <c r="D86" s="18"/>
      <c r="E86" s="18"/>
      <c r="F86" s="18"/>
      <c r="G86" s="14">
        <v>2</v>
      </c>
      <c r="I86" s="14">
        <v>2</v>
      </c>
      <c r="J86" s="18"/>
      <c r="K86" s="18"/>
      <c r="L86" s="18"/>
      <c r="M86" s="18"/>
      <c r="N86" s="18"/>
      <c r="O86" s="14">
        <v>2</v>
      </c>
    </row>
    <row r="87">
      <c r="A87" s="14">
        <v>3</v>
      </c>
      <c r="B87" s="18"/>
      <c r="C87" s="18"/>
      <c r="D87" s="18"/>
      <c r="E87" s="18"/>
      <c r="F87" s="18"/>
      <c r="G87" s="14">
        <v>3</v>
      </c>
      <c r="I87" s="14">
        <v>3</v>
      </c>
      <c r="J87" s="18"/>
      <c r="K87" s="18"/>
      <c r="L87" s="18"/>
      <c r="M87" s="18"/>
      <c r="N87" s="18"/>
      <c r="O87" s="14">
        <v>3</v>
      </c>
    </row>
    <row r="88">
      <c r="A88" s="14">
        <v>4</v>
      </c>
      <c r="B88" s="18"/>
      <c r="C88" s="18"/>
      <c r="D88" s="18"/>
      <c r="E88" s="18"/>
      <c r="F88" s="18"/>
      <c r="G88" s="14">
        <v>4</v>
      </c>
      <c r="I88" s="14">
        <v>4</v>
      </c>
      <c r="J88" s="18"/>
      <c r="K88" s="18"/>
      <c r="L88" s="18"/>
      <c r="M88" s="18"/>
      <c r="N88" s="18"/>
      <c r="O88" s="14">
        <v>4</v>
      </c>
    </row>
    <row r="89">
      <c r="A89" s="14">
        <v>5</v>
      </c>
      <c r="B89" s="18"/>
      <c r="C89" s="18"/>
      <c r="D89" s="18"/>
      <c r="E89" s="18"/>
      <c r="F89" s="18"/>
      <c r="G89" s="14">
        <v>5</v>
      </c>
      <c r="I89" s="14">
        <v>5</v>
      </c>
      <c r="J89" s="18"/>
      <c r="K89" s="18"/>
      <c r="L89" s="18"/>
      <c r="M89" s="18"/>
      <c r="N89" s="18"/>
      <c r="O89" s="14">
        <v>5</v>
      </c>
    </row>
    <row r="91">
      <c r="A91" s="14" t="str">
        <f>CONCATENATE("Pool U-2nd ",'Pool Matches'!O266)</f>
      </c>
      <c r="B91" s="14" t="s">
        <v>338</v>
      </c>
      <c r="C91" s="14" t="s">
        <v>341</v>
      </c>
      <c r="D91" s="14"/>
      <c r="E91" s="14" t="s">
        <v>341</v>
      </c>
      <c r="F91" s="14" t="s">
        <v>338</v>
      </c>
      <c r="G91" s="14" t="str">
        <f>CONCATENATE("Pool F-1st ",'Pool Matches'!G265)</f>
      </c>
      <c r="I91" s="14" t="str">
        <f>CONCATENATE("Pool F-2nd ",'Pool Matches'!G266)</f>
      </c>
      <c r="J91" s="14" t="s">
        <v>338</v>
      </c>
      <c r="K91" s="14" t="s">
        <v>341</v>
      </c>
      <c r="L91" s="14"/>
      <c r="M91" s="14" t="s">
        <v>341</v>
      </c>
      <c r="N91" s="14" t="s">
        <v>338</v>
      </c>
      <c r="O91" s="14" t="str">
        <f>CONCATENATE("Pool U-1st ",'Pool Matches'!O265)</f>
      </c>
    </row>
    <row r="92">
      <c r="A92" s="14" t="s">
        <v>349</v>
      </c>
      <c r="B92" s="14" t="str">
        <f>IF(UPPER(D85)="X",0,IF((LEN(SUBSTITUTE(SUBSTITUTE(SUBSTITUTE(B85," ",""),"0",""),"-",""))+LEN(SUBSTITUTE(SUBSTITUTE(SUBSTITUTE(C85," ",""),"0",""),"-","")))&gt;(LEN(SUBSTITUTE(SUBSTITUTE(SUBSTITUTE(E85," ",""),"0",""),"-",""))+LEN(SUBSTITUTE(SUBSTITUTE(SUBSTITUTE(F85," ",""),"0",""),"-",""))),1,0))+IF(UPPER(D86)="X",0,IF((LEN(SUBSTITUTE(SUBSTITUTE(SUBSTITUTE(B86," ",""),"0",""),"-",""))+LEN(SUBSTITUTE(SUBSTITUTE(SUBSTITUTE(C86," ",""),"0",""),"-","")))&gt;(LEN(SUBSTITUTE(SUBSTITUTE(SUBSTITUTE(E86," ",""),"0",""),"-",""))+LEN(SUBSTITUTE(SUBSTITUTE(SUBSTITUTE(F86," ",""),"0",""),"-",""))),1,0))+IF(UPPER(D87)="X",0,IF((LEN(SUBSTITUTE(SUBSTITUTE(SUBSTITUTE(B87," ",""),"0",""),"-",""))+LEN(SUBSTITUTE(SUBSTITUTE(SUBSTITUTE(C87," ",""),"0",""),"-","")))&gt;(LEN(SUBSTITUTE(SUBSTITUTE(SUBSTITUTE(E87," ",""),"0",""),"-",""))+LEN(SUBSTITUTE(SUBSTITUTE(SUBSTITUTE(F87," ",""),"0",""),"-",""))),1,0))+IF(UPPER(D88)="X",0,IF((LEN(SUBSTITUTE(SUBSTITUTE(SUBSTITUTE(B88," ",""),"0",""),"-",""))+LEN(SUBSTITUTE(SUBSTITUTE(SUBSTITUTE(C88," ",""),"0",""),"-","")))&gt;(LEN(SUBSTITUTE(SUBSTITUTE(SUBSTITUTE(E88," ",""),"0",""),"-",""))+LEN(SUBSTITUTE(SUBSTITUTE(SUBSTITUTE(F88," ",""),"0",""),"-",""))),1,0))+IF(UPPER(D89)="X",0,IF((LEN(SUBSTITUTE(SUBSTITUTE(SUBSTITUTE(B89," ",""),"0",""),"-",""))+LEN(SUBSTITUTE(SUBSTITUTE(SUBSTITUTE(C89," ",""),"0",""),"-","")))&gt;(LEN(SUBSTITUTE(SUBSTITUTE(SUBSTITUTE(E89," ",""),"0",""),"-",""))+LEN(SUBSTITUTE(SUBSTITUTE(SUBSTITUTE(F89," ",""),"0",""),"-",""))),1,0))</f>
      </c>
      <c r="C92" s="14" t="str">
        <f>LEN(SUBSTITUTE(SUBSTITUTE(SUBSTITUTE(B85," ",""),"0",""),"-",""))+LEN(SUBSTITUTE(SUBSTITUTE(SUBSTITUTE(C85," ",""),"0",""),"-",""))+LEN(SUBSTITUTE(SUBSTITUTE(SUBSTITUTE(B86," ",""),"0",""),"-",""))+LEN(SUBSTITUTE(SUBSTITUTE(SUBSTITUTE(C86," ",""),"0",""),"-",""))+LEN(SUBSTITUTE(SUBSTITUTE(SUBSTITUTE(B87," ",""),"0",""),"-",""))+LEN(SUBSTITUTE(SUBSTITUTE(SUBSTITUTE(C87," ",""),"0",""),"-",""))+LEN(SUBSTITUTE(SUBSTITUTE(SUBSTITUTE(B88," ",""),"0",""),"-",""))+LEN(SUBSTITUTE(SUBSTITUTE(SUBSTITUTE(C88," ",""),"0",""),"-",""))+LEN(SUBSTITUTE(SUBSTITUTE(SUBSTITUTE(B89," ",""),"0",""),"-",""))+LEN(SUBSTITUTE(SUBSTITUTE(SUBSTITUTE(C89," ",""),"0",""),"-",""))</f>
      </c>
      <c r="D92" s="14"/>
      <c r="E92" s="14" t="str">
        <f>LEN(SUBSTITUTE(SUBSTITUTE(SUBSTITUTE(E85," ",""),"0",""),"-",""))+LEN(SUBSTITUTE(SUBSTITUTE(SUBSTITUTE(F85," ",""),"0",""),"-",""))+LEN(SUBSTITUTE(SUBSTITUTE(SUBSTITUTE(E86," ",""),"0",""),"-",""))+LEN(SUBSTITUTE(SUBSTITUTE(SUBSTITUTE(F86," ",""),"0",""),"-",""))+LEN(SUBSTITUTE(SUBSTITUTE(SUBSTITUTE(E87," ",""),"0",""),"-",""))+LEN(SUBSTITUTE(SUBSTITUTE(SUBSTITUTE(F87," ",""),"0",""),"-",""))+LEN(SUBSTITUTE(SUBSTITUTE(SUBSTITUTE(E88," ",""),"0",""),"-",""))+LEN(SUBSTITUTE(SUBSTITUTE(SUBSTITUTE(F88," ",""),"0",""),"-",""))+LEN(SUBSTITUTE(SUBSTITUTE(SUBSTITUTE(E89," ",""),"0",""),"-",""))+LEN(SUBSTITUTE(SUBSTITUTE(SUBSTITUTE(F89," ",""),"0",""),"-",""))</f>
      </c>
      <c r="F92" s="14" t="str">
        <f>IF(UPPER(D85)="X",0,IF((LEN(SUBSTITUTE(SUBSTITUTE(SUBSTITUTE(E85," ",""),"0",""),"-",""))+LEN(SUBSTITUTE(SUBSTITUTE(SUBSTITUTE(F85," ",""),"0",""),"-","")))&gt;(LEN(SUBSTITUTE(SUBSTITUTE(SUBSTITUTE(B85," ",""),"0",""),"-",""))+LEN(SUBSTITUTE(SUBSTITUTE(SUBSTITUTE(C85," ",""),"0",""),"-",""))),1,0))+IF(UPPER(D86)="X",0,IF((LEN(SUBSTITUTE(SUBSTITUTE(SUBSTITUTE(E86," ",""),"0",""),"-",""))+LEN(SUBSTITUTE(SUBSTITUTE(SUBSTITUTE(F86," ",""),"0",""),"-","")))&gt;(LEN(SUBSTITUTE(SUBSTITUTE(SUBSTITUTE(B86," ",""),"0",""),"-",""))+LEN(SUBSTITUTE(SUBSTITUTE(SUBSTITUTE(C86," ",""),"0",""),"-",""))),1,0))+IF(UPPER(D87)="X",0,IF((LEN(SUBSTITUTE(SUBSTITUTE(SUBSTITUTE(E87," ",""),"0",""),"-",""))+LEN(SUBSTITUTE(SUBSTITUTE(SUBSTITUTE(F87," ",""),"0",""),"-","")))&gt;(LEN(SUBSTITUTE(SUBSTITUTE(SUBSTITUTE(B87," ",""),"0",""),"-",""))+LEN(SUBSTITUTE(SUBSTITUTE(SUBSTITUTE(C87," ",""),"0",""),"-",""))),1,0))+IF(UPPER(D88)="X",0,IF((LEN(SUBSTITUTE(SUBSTITUTE(SUBSTITUTE(E88," ",""),"0",""),"-",""))+LEN(SUBSTITUTE(SUBSTITUTE(SUBSTITUTE(F88," ",""),"0",""),"-","")))&gt;(LEN(SUBSTITUTE(SUBSTITUTE(SUBSTITUTE(B88," ",""),"0",""),"-",""))+LEN(SUBSTITUTE(SUBSTITUTE(SUBSTITUTE(C88," ",""),"0",""),"-",""))),1,0))+IF(UPPER(D89)="X",0,IF((LEN(SUBSTITUTE(SUBSTITUTE(SUBSTITUTE(E89," ",""),"0",""),"-",""))+LEN(SUBSTITUTE(SUBSTITUTE(SUBSTITUTE(F89," ",""),"0",""),"-","")))&gt;(LEN(SUBSTITUTE(SUBSTITUTE(SUBSTITUTE(B89," ",""),"0",""),"-",""))+LEN(SUBSTITUTE(SUBSTITUTE(SUBSTITUTE(C89," ",""),"0",""),"-",""))),1,0))</f>
      </c>
      <c r="G92" s="14" t="s">
        <v>349</v>
      </c>
      <c r="I92" s="14" t="s">
        <v>349</v>
      </c>
      <c r="J92" s="14" t="str">
        <f>IF(UPPER(L85)="X",0,IF((LEN(SUBSTITUTE(SUBSTITUTE(SUBSTITUTE(J85," ",""),"0",""),"-",""))+LEN(SUBSTITUTE(SUBSTITUTE(SUBSTITUTE(K85," ",""),"0",""),"-","")))&gt;(LEN(SUBSTITUTE(SUBSTITUTE(SUBSTITUTE(M85," ",""),"0",""),"-",""))+LEN(SUBSTITUTE(SUBSTITUTE(SUBSTITUTE(N85," ",""),"0",""),"-",""))),1,0))+IF(UPPER(L86)="X",0,IF((LEN(SUBSTITUTE(SUBSTITUTE(SUBSTITUTE(J86," ",""),"0",""),"-",""))+LEN(SUBSTITUTE(SUBSTITUTE(SUBSTITUTE(K86," ",""),"0",""),"-","")))&gt;(LEN(SUBSTITUTE(SUBSTITUTE(SUBSTITUTE(M86," ",""),"0",""),"-",""))+LEN(SUBSTITUTE(SUBSTITUTE(SUBSTITUTE(N86," ",""),"0",""),"-",""))),1,0))+IF(UPPER(L87)="X",0,IF((LEN(SUBSTITUTE(SUBSTITUTE(SUBSTITUTE(J87," ",""),"0",""),"-",""))+LEN(SUBSTITUTE(SUBSTITUTE(SUBSTITUTE(K87," ",""),"0",""),"-","")))&gt;(LEN(SUBSTITUTE(SUBSTITUTE(SUBSTITUTE(M87," ",""),"0",""),"-",""))+LEN(SUBSTITUTE(SUBSTITUTE(SUBSTITUTE(N87," ",""),"0",""),"-",""))),1,0))+IF(UPPER(L88)="X",0,IF((LEN(SUBSTITUTE(SUBSTITUTE(SUBSTITUTE(J88," ",""),"0",""),"-",""))+LEN(SUBSTITUTE(SUBSTITUTE(SUBSTITUTE(K88," ",""),"0",""),"-","")))&gt;(LEN(SUBSTITUTE(SUBSTITUTE(SUBSTITUTE(M88," ",""),"0",""),"-",""))+LEN(SUBSTITUTE(SUBSTITUTE(SUBSTITUTE(N88," ",""),"0",""),"-",""))),1,0))+IF(UPPER(L89)="X",0,IF((LEN(SUBSTITUTE(SUBSTITUTE(SUBSTITUTE(J89," ",""),"0",""),"-",""))+LEN(SUBSTITUTE(SUBSTITUTE(SUBSTITUTE(K89," ",""),"0",""),"-","")))&gt;(LEN(SUBSTITUTE(SUBSTITUTE(SUBSTITUTE(M89," ",""),"0",""),"-",""))+LEN(SUBSTITUTE(SUBSTITUTE(SUBSTITUTE(N89," ",""),"0",""),"-",""))),1,0))</f>
      </c>
      <c r="K92" s="14" t="str">
        <f>LEN(SUBSTITUTE(SUBSTITUTE(SUBSTITUTE(J85," ",""),"0",""),"-",""))+LEN(SUBSTITUTE(SUBSTITUTE(SUBSTITUTE(K85," ",""),"0",""),"-",""))+LEN(SUBSTITUTE(SUBSTITUTE(SUBSTITUTE(J86," ",""),"0",""),"-",""))+LEN(SUBSTITUTE(SUBSTITUTE(SUBSTITUTE(K86," ",""),"0",""),"-",""))+LEN(SUBSTITUTE(SUBSTITUTE(SUBSTITUTE(J87," ",""),"0",""),"-",""))+LEN(SUBSTITUTE(SUBSTITUTE(SUBSTITUTE(K87," ",""),"0",""),"-",""))+LEN(SUBSTITUTE(SUBSTITUTE(SUBSTITUTE(J88," ",""),"0",""),"-",""))+LEN(SUBSTITUTE(SUBSTITUTE(SUBSTITUTE(K88," ",""),"0",""),"-",""))+LEN(SUBSTITUTE(SUBSTITUTE(SUBSTITUTE(J89," ",""),"0",""),"-",""))+LEN(SUBSTITUTE(SUBSTITUTE(SUBSTITUTE(K89," ",""),"0",""),"-",""))</f>
      </c>
      <c r="L92" s="14"/>
      <c r="M92" s="14" t="str">
        <f>LEN(SUBSTITUTE(SUBSTITUTE(SUBSTITUTE(M85," ",""),"0",""),"-",""))+LEN(SUBSTITUTE(SUBSTITUTE(SUBSTITUTE(N85," ",""),"0",""),"-",""))+LEN(SUBSTITUTE(SUBSTITUTE(SUBSTITUTE(M86," ",""),"0",""),"-",""))+LEN(SUBSTITUTE(SUBSTITUTE(SUBSTITUTE(N86," ",""),"0",""),"-",""))+LEN(SUBSTITUTE(SUBSTITUTE(SUBSTITUTE(M87," ",""),"0",""),"-",""))+LEN(SUBSTITUTE(SUBSTITUTE(SUBSTITUTE(N87," ",""),"0",""),"-",""))+LEN(SUBSTITUTE(SUBSTITUTE(SUBSTITUTE(M88," ",""),"0",""),"-",""))+LEN(SUBSTITUTE(SUBSTITUTE(SUBSTITUTE(N88," ",""),"0",""),"-",""))+LEN(SUBSTITUTE(SUBSTITUTE(SUBSTITUTE(M89," ",""),"0",""),"-",""))+LEN(SUBSTITUTE(SUBSTITUTE(SUBSTITUTE(N89," ",""),"0",""),"-",""))</f>
      </c>
      <c r="N92" s="14" t="str">
        <f>IF(UPPER(L85)="X",0,IF((LEN(SUBSTITUTE(SUBSTITUTE(SUBSTITUTE(M85," ",""),"0",""),"-",""))+LEN(SUBSTITUTE(SUBSTITUTE(SUBSTITUTE(N85," ",""),"0",""),"-","")))&gt;(LEN(SUBSTITUTE(SUBSTITUTE(SUBSTITUTE(J85," ",""),"0",""),"-",""))+LEN(SUBSTITUTE(SUBSTITUTE(SUBSTITUTE(K85," ",""),"0",""),"-",""))),1,0))+IF(UPPER(L86)="X",0,IF((LEN(SUBSTITUTE(SUBSTITUTE(SUBSTITUTE(M86," ",""),"0",""),"-",""))+LEN(SUBSTITUTE(SUBSTITUTE(SUBSTITUTE(N86," ",""),"0",""),"-","")))&gt;(LEN(SUBSTITUTE(SUBSTITUTE(SUBSTITUTE(J86," ",""),"0",""),"-",""))+LEN(SUBSTITUTE(SUBSTITUTE(SUBSTITUTE(K86," ",""),"0",""),"-",""))),1,0))+IF(UPPER(L87)="X",0,IF((LEN(SUBSTITUTE(SUBSTITUTE(SUBSTITUTE(M87," ",""),"0",""),"-",""))+LEN(SUBSTITUTE(SUBSTITUTE(SUBSTITUTE(N87," ",""),"0",""),"-","")))&gt;(LEN(SUBSTITUTE(SUBSTITUTE(SUBSTITUTE(J87," ",""),"0",""),"-",""))+LEN(SUBSTITUTE(SUBSTITUTE(SUBSTITUTE(K87," ",""),"0",""),"-",""))),1,0))+IF(UPPER(L88)="X",0,IF((LEN(SUBSTITUTE(SUBSTITUTE(SUBSTITUTE(M88," ",""),"0",""),"-",""))+LEN(SUBSTITUTE(SUBSTITUTE(SUBSTITUTE(N88," ",""),"0",""),"-","")))&gt;(LEN(SUBSTITUTE(SUBSTITUTE(SUBSTITUTE(J88," ",""),"0",""),"-",""))+LEN(SUBSTITUTE(SUBSTITUTE(SUBSTITUTE(K88," ",""),"0",""),"-",""))),1,0))+IF(UPPER(L89)="X",0,IF((LEN(SUBSTITUTE(SUBSTITUTE(SUBSTITUTE(M89," ",""),"0",""),"-",""))+LEN(SUBSTITUTE(SUBSTITUTE(SUBSTITUTE(N89," ",""),"0",""),"-","")))&gt;(LEN(SUBSTITUTE(SUBSTITUTE(SUBSTITUTE(J89," ",""),"0",""),"-",""))+LEN(SUBSTITUTE(SUBSTITUTE(SUBSTITUTE(K89," ",""),"0",""),"-",""))),1,0))</f>
      </c>
      <c r="O92" s="14" t="s">
        <v>349</v>
      </c>
    </row>
    <row r="95">
      <c r="F95" t="s">
        <v>344</v>
      </c>
      <c r="G95" s="19"/>
      <c r="N95" t="s">
        <v>344</v>
      </c>
      <c r="O95" s="19"/>
    </row>
    <row r="96">
      <c r="F96" t="s">
        <v>345</v>
      </c>
      <c r="G96" s="19"/>
      <c r="N96" t="s">
        <v>345</v>
      </c>
      <c r="O96" s="19"/>
    </row>
    <row r="98">
      <c r="A98" s="13" t="s">
        <v>361</v>
      </c>
      <c r="B98" s="13"/>
      <c r="C98" s="13"/>
      <c r="D98" s="13"/>
      <c r="E98" s="13"/>
      <c r="F98" s="13"/>
      <c r="G98" s="13"/>
      <c r="I98" s="13" t="s">
        <v>362</v>
      </c>
      <c r="J98" s="13"/>
      <c r="K98" s="13"/>
      <c r="L98" s="13"/>
      <c r="M98" s="13"/>
      <c r="N98" s="13"/>
      <c r="O98" s="13"/>
    </row>
    <row r="99">
      <c r="A99" s="17" t="s">
        <v>330</v>
      </c>
      <c r="D99" s="14" t="s">
        <v>331</v>
      </c>
      <c r="G99" s="16" t="s">
        <v>332</v>
      </c>
      <c r="I99" s="17" t="s">
        <v>330</v>
      </c>
      <c r="L99" s="14" t="s">
        <v>331</v>
      </c>
      <c r="O99" s="16" t="s">
        <v>332</v>
      </c>
    </row>
    <row r="100">
      <c r="A100" s="14" t="str">
        <f>CONCATENATE("Pool V-2nd ",'Pool Matches'!O309)</f>
      </c>
      <c r="B100" s="14"/>
      <c r="C100" s="14"/>
      <c r="D100" s="18"/>
      <c r="E100" s="14"/>
      <c r="F100" s="14"/>
      <c r="G100" s="14" t="str">
        <f>CONCATENATE("Pool G-1st ",'Pool Matches'!G308)</f>
      </c>
      <c r="I100" s="14" t="str">
        <f>CONCATENATE("Pool G-2nd ",'Pool Matches'!G309)</f>
      </c>
      <c r="J100" s="14"/>
      <c r="K100" s="14"/>
      <c r="L100" s="18"/>
      <c r="M100" s="14"/>
      <c r="N100" s="14"/>
      <c r="O100" s="14" t="str">
        <f>CONCATENATE("Pool V-1st ",'Pool Matches'!O308)</f>
      </c>
    </row>
    <row r="101">
      <c r="A101" s="14">
        <v>1</v>
      </c>
      <c r="B101" s="18"/>
      <c r="C101" s="18"/>
      <c r="D101" s="18"/>
      <c r="E101" s="18"/>
      <c r="F101" s="18"/>
      <c r="G101" s="14">
        <v>1</v>
      </c>
      <c r="I101" s="14">
        <v>1</v>
      </c>
      <c r="J101" s="18"/>
      <c r="K101" s="18"/>
      <c r="L101" s="18"/>
      <c r="M101" s="18"/>
      <c r="N101" s="18"/>
      <c r="O101" s="14">
        <v>1</v>
      </c>
    </row>
    <row r="102">
      <c r="A102" s="14">
        <v>2</v>
      </c>
      <c r="B102" s="18"/>
      <c r="C102" s="18"/>
      <c r="D102" s="18"/>
      <c r="E102" s="18"/>
      <c r="F102" s="18"/>
      <c r="G102" s="14">
        <v>2</v>
      </c>
      <c r="I102" s="14">
        <v>2</v>
      </c>
      <c r="J102" s="18"/>
      <c r="K102" s="18"/>
      <c r="L102" s="18"/>
      <c r="M102" s="18"/>
      <c r="N102" s="18"/>
      <c r="O102" s="14">
        <v>2</v>
      </c>
    </row>
    <row r="103">
      <c r="A103" s="14">
        <v>3</v>
      </c>
      <c r="B103" s="18"/>
      <c r="C103" s="18"/>
      <c r="D103" s="18"/>
      <c r="E103" s="18"/>
      <c r="F103" s="18"/>
      <c r="G103" s="14">
        <v>3</v>
      </c>
      <c r="I103" s="14">
        <v>3</v>
      </c>
      <c r="J103" s="18"/>
      <c r="K103" s="18"/>
      <c r="L103" s="18"/>
      <c r="M103" s="18"/>
      <c r="N103" s="18"/>
      <c r="O103" s="14">
        <v>3</v>
      </c>
    </row>
    <row r="104">
      <c r="A104" s="14">
        <v>4</v>
      </c>
      <c r="B104" s="18"/>
      <c r="C104" s="18"/>
      <c r="D104" s="18"/>
      <c r="E104" s="18"/>
      <c r="F104" s="18"/>
      <c r="G104" s="14">
        <v>4</v>
      </c>
      <c r="I104" s="14">
        <v>4</v>
      </c>
      <c r="J104" s="18"/>
      <c r="K104" s="18"/>
      <c r="L104" s="18"/>
      <c r="M104" s="18"/>
      <c r="N104" s="18"/>
      <c r="O104" s="14">
        <v>4</v>
      </c>
    </row>
    <row r="105">
      <c r="A105" s="14">
        <v>5</v>
      </c>
      <c r="B105" s="18"/>
      <c r="C105" s="18"/>
      <c r="D105" s="18"/>
      <c r="E105" s="18"/>
      <c r="F105" s="18"/>
      <c r="G105" s="14">
        <v>5</v>
      </c>
      <c r="I105" s="14">
        <v>5</v>
      </c>
      <c r="J105" s="18"/>
      <c r="K105" s="18"/>
      <c r="L105" s="18"/>
      <c r="M105" s="18"/>
      <c r="N105" s="18"/>
      <c r="O105" s="14">
        <v>5</v>
      </c>
    </row>
    <row r="107">
      <c r="A107" s="14" t="str">
        <f>CONCATENATE("Pool V-2nd ",'Pool Matches'!O309)</f>
      </c>
      <c r="B107" s="14" t="s">
        <v>338</v>
      </c>
      <c r="C107" s="14" t="s">
        <v>341</v>
      </c>
      <c r="D107" s="14"/>
      <c r="E107" s="14" t="s">
        <v>341</v>
      </c>
      <c r="F107" s="14" t="s">
        <v>338</v>
      </c>
      <c r="G107" s="14" t="str">
        <f>CONCATENATE("Pool G-1st ",'Pool Matches'!G308)</f>
      </c>
      <c r="I107" s="14" t="str">
        <f>CONCATENATE("Pool G-2nd ",'Pool Matches'!G309)</f>
      </c>
      <c r="J107" s="14" t="s">
        <v>338</v>
      </c>
      <c r="K107" s="14" t="s">
        <v>341</v>
      </c>
      <c r="L107" s="14"/>
      <c r="M107" s="14" t="s">
        <v>341</v>
      </c>
      <c r="N107" s="14" t="s">
        <v>338</v>
      </c>
      <c r="O107" s="14" t="str">
        <f>CONCATENATE("Pool V-1st ",'Pool Matches'!O308)</f>
      </c>
    </row>
    <row r="108">
      <c r="A108" s="14" t="s">
        <v>349</v>
      </c>
      <c r="B108" s="14" t="str">
        <f>IF(UPPER(D101)="X",0,IF((LEN(SUBSTITUTE(SUBSTITUTE(SUBSTITUTE(B101," ",""),"0",""),"-",""))+LEN(SUBSTITUTE(SUBSTITUTE(SUBSTITUTE(C101," ",""),"0",""),"-","")))&gt;(LEN(SUBSTITUTE(SUBSTITUTE(SUBSTITUTE(E101," ",""),"0",""),"-",""))+LEN(SUBSTITUTE(SUBSTITUTE(SUBSTITUTE(F101," ",""),"0",""),"-",""))),1,0))+IF(UPPER(D102)="X",0,IF((LEN(SUBSTITUTE(SUBSTITUTE(SUBSTITUTE(B102," ",""),"0",""),"-",""))+LEN(SUBSTITUTE(SUBSTITUTE(SUBSTITUTE(C102," ",""),"0",""),"-","")))&gt;(LEN(SUBSTITUTE(SUBSTITUTE(SUBSTITUTE(E102," ",""),"0",""),"-",""))+LEN(SUBSTITUTE(SUBSTITUTE(SUBSTITUTE(F102," ",""),"0",""),"-",""))),1,0))+IF(UPPER(D103)="X",0,IF((LEN(SUBSTITUTE(SUBSTITUTE(SUBSTITUTE(B103," ",""),"0",""),"-",""))+LEN(SUBSTITUTE(SUBSTITUTE(SUBSTITUTE(C103," ",""),"0",""),"-","")))&gt;(LEN(SUBSTITUTE(SUBSTITUTE(SUBSTITUTE(E103," ",""),"0",""),"-",""))+LEN(SUBSTITUTE(SUBSTITUTE(SUBSTITUTE(F103," ",""),"0",""),"-",""))),1,0))+IF(UPPER(D104)="X",0,IF((LEN(SUBSTITUTE(SUBSTITUTE(SUBSTITUTE(B104," ",""),"0",""),"-",""))+LEN(SUBSTITUTE(SUBSTITUTE(SUBSTITUTE(C104," ",""),"0",""),"-","")))&gt;(LEN(SUBSTITUTE(SUBSTITUTE(SUBSTITUTE(E104," ",""),"0",""),"-",""))+LEN(SUBSTITUTE(SUBSTITUTE(SUBSTITUTE(F104," ",""),"0",""),"-",""))),1,0))+IF(UPPER(D105)="X",0,IF((LEN(SUBSTITUTE(SUBSTITUTE(SUBSTITUTE(B105," ",""),"0",""),"-",""))+LEN(SUBSTITUTE(SUBSTITUTE(SUBSTITUTE(C105," ",""),"0",""),"-","")))&gt;(LEN(SUBSTITUTE(SUBSTITUTE(SUBSTITUTE(E105," ",""),"0",""),"-",""))+LEN(SUBSTITUTE(SUBSTITUTE(SUBSTITUTE(F105," ",""),"0",""),"-",""))),1,0))</f>
      </c>
      <c r="C108" s="14" t="str">
        <f>LEN(SUBSTITUTE(SUBSTITUTE(SUBSTITUTE(B101," ",""),"0",""),"-",""))+LEN(SUBSTITUTE(SUBSTITUTE(SUBSTITUTE(C101," ",""),"0",""),"-",""))+LEN(SUBSTITUTE(SUBSTITUTE(SUBSTITUTE(B102," ",""),"0",""),"-",""))+LEN(SUBSTITUTE(SUBSTITUTE(SUBSTITUTE(C102," ",""),"0",""),"-",""))+LEN(SUBSTITUTE(SUBSTITUTE(SUBSTITUTE(B103," ",""),"0",""),"-",""))+LEN(SUBSTITUTE(SUBSTITUTE(SUBSTITUTE(C103," ",""),"0",""),"-",""))+LEN(SUBSTITUTE(SUBSTITUTE(SUBSTITUTE(B104," ",""),"0",""),"-",""))+LEN(SUBSTITUTE(SUBSTITUTE(SUBSTITUTE(C104," ",""),"0",""),"-",""))+LEN(SUBSTITUTE(SUBSTITUTE(SUBSTITUTE(B105," ",""),"0",""),"-",""))+LEN(SUBSTITUTE(SUBSTITUTE(SUBSTITUTE(C105," ",""),"0",""),"-",""))</f>
      </c>
      <c r="D108" s="14"/>
      <c r="E108" s="14" t="str">
        <f>LEN(SUBSTITUTE(SUBSTITUTE(SUBSTITUTE(E101," ",""),"0",""),"-",""))+LEN(SUBSTITUTE(SUBSTITUTE(SUBSTITUTE(F101," ",""),"0",""),"-",""))+LEN(SUBSTITUTE(SUBSTITUTE(SUBSTITUTE(E102," ",""),"0",""),"-",""))+LEN(SUBSTITUTE(SUBSTITUTE(SUBSTITUTE(F102," ",""),"0",""),"-",""))+LEN(SUBSTITUTE(SUBSTITUTE(SUBSTITUTE(E103," ",""),"0",""),"-",""))+LEN(SUBSTITUTE(SUBSTITUTE(SUBSTITUTE(F103," ",""),"0",""),"-",""))+LEN(SUBSTITUTE(SUBSTITUTE(SUBSTITUTE(E104," ",""),"0",""),"-",""))+LEN(SUBSTITUTE(SUBSTITUTE(SUBSTITUTE(F104," ",""),"0",""),"-",""))+LEN(SUBSTITUTE(SUBSTITUTE(SUBSTITUTE(E105," ",""),"0",""),"-",""))+LEN(SUBSTITUTE(SUBSTITUTE(SUBSTITUTE(F105," ",""),"0",""),"-",""))</f>
      </c>
      <c r="F108" s="14" t="str">
        <f>IF(UPPER(D101)="X",0,IF((LEN(SUBSTITUTE(SUBSTITUTE(SUBSTITUTE(E101," ",""),"0",""),"-",""))+LEN(SUBSTITUTE(SUBSTITUTE(SUBSTITUTE(F101," ",""),"0",""),"-","")))&gt;(LEN(SUBSTITUTE(SUBSTITUTE(SUBSTITUTE(B101," ",""),"0",""),"-",""))+LEN(SUBSTITUTE(SUBSTITUTE(SUBSTITUTE(C101," ",""),"0",""),"-",""))),1,0))+IF(UPPER(D102)="X",0,IF((LEN(SUBSTITUTE(SUBSTITUTE(SUBSTITUTE(E102," ",""),"0",""),"-",""))+LEN(SUBSTITUTE(SUBSTITUTE(SUBSTITUTE(F102," ",""),"0",""),"-","")))&gt;(LEN(SUBSTITUTE(SUBSTITUTE(SUBSTITUTE(B102," ",""),"0",""),"-",""))+LEN(SUBSTITUTE(SUBSTITUTE(SUBSTITUTE(C102," ",""),"0",""),"-",""))),1,0))+IF(UPPER(D103)="X",0,IF((LEN(SUBSTITUTE(SUBSTITUTE(SUBSTITUTE(E103," ",""),"0",""),"-",""))+LEN(SUBSTITUTE(SUBSTITUTE(SUBSTITUTE(F103," ",""),"0",""),"-","")))&gt;(LEN(SUBSTITUTE(SUBSTITUTE(SUBSTITUTE(B103," ",""),"0",""),"-",""))+LEN(SUBSTITUTE(SUBSTITUTE(SUBSTITUTE(C103," ",""),"0",""),"-",""))),1,0))+IF(UPPER(D104)="X",0,IF((LEN(SUBSTITUTE(SUBSTITUTE(SUBSTITUTE(E104," ",""),"0",""),"-",""))+LEN(SUBSTITUTE(SUBSTITUTE(SUBSTITUTE(F104," ",""),"0",""),"-","")))&gt;(LEN(SUBSTITUTE(SUBSTITUTE(SUBSTITUTE(B104," ",""),"0",""),"-",""))+LEN(SUBSTITUTE(SUBSTITUTE(SUBSTITUTE(C104," ",""),"0",""),"-",""))),1,0))+IF(UPPER(D105)="X",0,IF((LEN(SUBSTITUTE(SUBSTITUTE(SUBSTITUTE(E105," ",""),"0",""),"-",""))+LEN(SUBSTITUTE(SUBSTITUTE(SUBSTITUTE(F105," ",""),"0",""),"-","")))&gt;(LEN(SUBSTITUTE(SUBSTITUTE(SUBSTITUTE(B105," ",""),"0",""),"-",""))+LEN(SUBSTITUTE(SUBSTITUTE(SUBSTITUTE(C105," ",""),"0",""),"-",""))),1,0))</f>
      </c>
      <c r="G108" s="14" t="s">
        <v>349</v>
      </c>
      <c r="I108" s="14" t="s">
        <v>349</v>
      </c>
      <c r="J108" s="14" t="str">
        <f>IF(UPPER(L101)="X",0,IF((LEN(SUBSTITUTE(SUBSTITUTE(SUBSTITUTE(J101," ",""),"0",""),"-",""))+LEN(SUBSTITUTE(SUBSTITUTE(SUBSTITUTE(K101," ",""),"0",""),"-","")))&gt;(LEN(SUBSTITUTE(SUBSTITUTE(SUBSTITUTE(M101," ",""),"0",""),"-",""))+LEN(SUBSTITUTE(SUBSTITUTE(SUBSTITUTE(N101," ",""),"0",""),"-",""))),1,0))+IF(UPPER(L102)="X",0,IF((LEN(SUBSTITUTE(SUBSTITUTE(SUBSTITUTE(J102," ",""),"0",""),"-",""))+LEN(SUBSTITUTE(SUBSTITUTE(SUBSTITUTE(K102," ",""),"0",""),"-","")))&gt;(LEN(SUBSTITUTE(SUBSTITUTE(SUBSTITUTE(M102," ",""),"0",""),"-",""))+LEN(SUBSTITUTE(SUBSTITUTE(SUBSTITUTE(N102," ",""),"0",""),"-",""))),1,0))+IF(UPPER(L103)="X",0,IF((LEN(SUBSTITUTE(SUBSTITUTE(SUBSTITUTE(J103," ",""),"0",""),"-",""))+LEN(SUBSTITUTE(SUBSTITUTE(SUBSTITUTE(K103," ",""),"0",""),"-","")))&gt;(LEN(SUBSTITUTE(SUBSTITUTE(SUBSTITUTE(M103," ",""),"0",""),"-",""))+LEN(SUBSTITUTE(SUBSTITUTE(SUBSTITUTE(N103," ",""),"0",""),"-",""))),1,0))+IF(UPPER(L104)="X",0,IF((LEN(SUBSTITUTE(SUBSTITUTE(SUBSTITUTE(J104," ",""),"0",""),"-",""))+LEN(SUBSTITUTE(SUBSTITUTE(SUBSTITUTE(K104," ",""),"0",""),"-","")))&gt;(LEN(SUBSTITUTE(SUBSTITUTE(SUBSTITUTE(M104," ",""),"0",""),"-",""))+LEN(SUBSTITUTE(SUBSTITUTE(SUBSTITUTE(N104," ",""),"0",""),"-",""))),1,0))+IF(UPPER(L105)="X",0,IF((LEN(SUBSTITUTE(SUBSTITUTE(SUBSTITUTE(J105," ",""),"0",""),"-",""))+LEN(SUBSTITUTE(SUBSTITUTE(SUBSTITUTE(K105," ",""),"0",""),"-","")))&gt;(LEN(SUBSTITUTE(SUBSTITUTE(SUBSTITUTE(M105," ",""),"0",""),"-",""))+LEN(SUBSTITUTE(SUBSTITUTE(SUBSTITUTE(N105," ",""),"0",""),"-",""))),1,0))</f>
      </c>
      <c r="K108" s="14" t="str">
        <f>LEN(SUBSTITUTE(SUBSTITUTE(SUBSTITUTE(J101," ",""),"0",""),"-",""))+LEN(SUBSTITUTE(SUBSTITUTE(SUBSTITUTE(K101," ",""),"0",""),"-",""))+LEN(SUBSTITUTE(SUBSTITUTE(SUBSTITUTE(J102," ",""),"0",""),"-",""))+LEN(SUBSTITUTE(SUBSTITUTE(SUBSTITUTE(K102," ",""),"0",""),"-",""))+LEN(SUBSTITUTE(SUBSTITUTE(SUBSTITUTE(J103," ",""),"0",""),"-",""))+LEN(SUBSTITUTE(SUBSTITUTE(SUBSTITUTE(K103," ",""),"0",""),"-",""))+LEN(SUBSTITUTE(SUBSTITUTE(SUBSTITUTE(J104," ",""),"0",""),"-",""))+LEN(SUBSTITUTE(SUBSTITUTE(SUBSTITUTE(K104," ",""),"0",""),"-",""))+LEN(SUBSTITUTE(SUBSTITUTE(SUBSTITUTE(J105," ",""),"0",""),"-",""))+LEN(SUBSTITUTE(SUBSTITUTE(SUBSTITUTE(K105," ",""),"0",""),"-",""))</f>
      </c>
      <c r="L108" s="14"/>
      <c r="M108" s="14" t="str">
        <f>LEN(SUBSTITUTE(SUBSTITUTE(SUBSTITUTE(M101," ",""),"0",""),"-",""))+LEN(SUBSTITUTE(SUBSTITUTE(SUBSTITUTE(N101," ",""),"0",""),"-",""))+LEN(SUBSTITUTE(SUBSTITUTE(SUBSTITUTE(M102," ",""),"0",""),"-",""))+LEN(SUBSTITUTE(SUBSTITUTE(SUBSTITUTE(N102," ",""),"0",""),"-",""))+LEN(SUBSTITUTE(SUBSTITUTE(SUBSTITUTE(M103," ",""),"0",""),"-",""))+LEN(SUBSTITUTE(SUBSTITUTE(SUBSTITUTE(N103," ",""),"0",""),"-",""))+LEN(SUBSTITUTE(SUBSTITUTE(SUBSTITUTE(M104," ",""),"0",""),"-",""))+LEN(SUBSTITUTE(SUBSTITUTE(SUBSTITUTE(N104," ",""),"0",""),"-",""))+LEN(SUBSTITUTE(SUBSTITUTE(SUBSTITUTE(M105," ",""),"0",""),"-",""))+LEN(SUBSTITUTE(SUBSTITUTE(SUBSTITUTE(N105," ",""),"0",""),"-",""))</f>
      </c>
      <c r="N108" s="14" t="str">
        <f>IF(UPPER(L101)="X",0,IF((LEN(SUBSTITUTE(SUBSTITUTE(SUBSTITUTE(M101," ",""),"0",""),"-",""))+LEN(SUBSTITUTE(SUBSTITUTE(SUBSTITUTE(N101," ",""),"0",""),"-","")))&gt;(LEN(SUBSTITUTE(SUBSTITUTE(SUBSTITUTE(J101," ",""),"0",""),"-",""))+LEN(SUBSTITUTE(SUBSTITUTE(SUBSTITUTE(K101," ",""),"0",""),"-",""))),1,0))+IF(UPPER(L102)="X",0,IF((LEN(SUBSTITUTE(SUBSTITUTE(SUBSTITUTE(M102," ",""),"0",""),"-",""))+LEN(SUBSTITUTE(SUBSTITUTE(SUBSTITUTE(N102," ",""),"0",""),"-","")))&gt;(LEN(SUBSTITUTE(SUBSTITUTE(SUBSTITUTE(J102," ",""),"0",""),"-",""))+LEN(SUBSTITUTE(SUBSTITUTE(SUBSTITUTE(K102," ",""),"0",""),"-",""))),1,0))+IF(UPPER(L103)="X",0,IF((LEN(SUBSTITUTE(SUBSTITUTE(SUBSTITUTE(M103," ",""),"0",""),"-",""))+LEN(SUBSTITUTE(SUBSTITUTE(SUBSTITUTE(N103," ",""),"0",""),"-","")))&gt;(LEN(SUBSTITUTE(SUBSTITUTE(SUBSTITUTE(J103," ",""),"0",""),"-",""))+LEN(SUBSTITUTE(SUBSTITUTE(SUBSTITUTE(K103," ",""),"0",""),"-",""))),1,0))+IF(UPPER(L104)="X",0,IF((LEN(SUBSTITUTE(SUBSTITUTE(SUBSTITUTE(M104," ",""),"0",""),"-",""))+LEN(SUBSTITUTE(SUBSTITUTE(SUBSTITUTE(N104," ",""),"0",""),"-","")))&gt;(LEN(SUBSTITUTE(SUBSTITUTE(SUBSTITUTE(J104," ",""),"0",""),"-",""))+LEN(SUBSTITUTE(SUBSTITUTE(SUBSTITUTE(K104," ",""),"0",""),"-",""))),1,0))+IF(UPPER(L105)="X",0,IF((LEN(SUBSTITUTE(SUBSTITUTE(SUBSTITUTE(M105," ",""),"0",""),"-",""))+LEN(SUBSTITUTE(SUBSTITUTE(SUBSTITUTE(N105," ",""),"0",""),"-","")))&gt;(LEN(SUBSTITUTE(SUBSTITUTE(SUBSTITUTE(J105," ",""),"0",""),"-",""))+LEN(SUBSTITUTE(SUBSTITUTE(SUBSTITUTE(K105," ",""),"0",""),"-",""))),1,0))</f>
      </c>
      <c r="O108" s="14" t="s">
        <v>349</v>
      </c>
    </row>
    <row r="111">
      <c r="F111" t="s">
        <v>344</v>
      </c>
      <c r="G111" s="19"/>
      <c r="N111" t="s">
        <v>344</v>
      </c>
      <c r="O111" s="19"/>
    </row>
    <row r="112">
      <c r="F112" t="s">
        <v>345</v>
      </c>
      <c r="G112" s="19"/>
      <c r="N112" t="s">
        <v>345</v>
      </c>
      <c r="O112" s="19"/>
    </row>
    <row r="114">
      <c r="A114" s="13" t="s">
        <v>363</v>
      </c>
      <c r="B114" s="13"/>
      <c r="C114" s="13"/>
      <c r="D114" s="13"/>
      <c r="E114" s="13"/>
      <c r="F114" s="13"/>
      <c r="G114" s="13"/>
      <c r="I114" s="13" t="s">
        <v>364</v>
      </c>
      <c r="J114" s="13"/>
      <c r="K114" s="13"/>
      <c r="L114" s="13"/>
      <c r="M114" s="13"/>
      <c r="N114" s="13"/>
      <c r="O114" s="13"/>
    </row>
    <row r="115">
      <c r="A115" s="17" t="s">
        <v>330</v>
      </c>
      <c r="D115" s="14" t="s">
        <v>331</v>
      </c>
      <c r="G115" s="16" t="s">
        <v>332</v>
      </c>
      <c r="I115" s="17" t="s">
        <v>330</v>
      </c>
      <c r="L115" s="14" t="s">
        <v>331</v>
      </c>
      <c r="O115" s="16" t="s">
        <v>332</v>
      </c>
    </row>
    <row r="116">
      <c r="A116" s="14" t="str">
        <f>CONCATENATE("Pool W-2nd ",'Pool Matches'!O352)</f>
      </c>
      <c r="B116" s="14"/>
      <c r="C116" s="14"/>
      <c r="D116" s="18"/>
      <c r="E116" s="14"/>
      <c r="F116" s="14"/>
      <c r="G116" s="14" t="str">
        <f>CONCATENATE("Pool H-1st ",'Pool Matches'!G351)</f>
      </c>
      <c r="I116" s="14" t="str">
        <f>CONCATENATE("Pool H-2nd ",'Pool Matches'!G352)</f>
      </c>
      <c r="J116" s="14"/>
      <c r="K116" s="14"/>
      <c r="L116" s="18"/>
      <c r="M116" s="14"/>
      <c r="N116" s="14"/>
      <c r="O116" s="14" t="str">
        <f>CONCATENATE("Pool W-1st ",'Pool Matches'!O351)</f>
      </c>
    </row>
    <row r="117">
      <c r="A117" s="14">
        <v>1</v>
      </c>
      <c r="B117" s="18"/>
      <c r="C117" s="18"/>
      <c r="D117" s="18"/>
      <c r="E117" s="18"/>
      <c r="F117" s="18"/>
      <c r="G117" s="14">
        <v>1</v>
      </c>
      <c r="I117" s="14">
        <v>1</v>
      </c>
      <c r="J117" s="18"/>
      <c r="K117" s="18"/>
      <c r="L117" s="18"/>
      <c r="M117" s="18"/>
      <c r="N117" s="18"/>
      <c r="O117" s="14">
        <v>1</v>
      </c>
    </row>
    <row r="118">
      <c r="A118" s="14">
        <v>2</v>
      </c>
      <c r="B118" s="18"/>
      <c r="C118" s="18"/>
      <c r="D118" s="18"/>
      <c r="E118" s="18"/>
      <c r="F118" s="18"/>
      <c r="G118" s="14">
        <v>2</v>
      </c>
      <c r="I118" s="14">
        <v>2</v>
      </c>
      <c r="J118" s="18"/>
      <c r="K118" s="18"/>
      <c r="L118" s="18"/>
      <c r="M118" s="18"/>
      <c r="N118" s="18"/>
      <c r="O118" s="14">
        <v>2</v>
      </c>
    </row>
    <row r="119">
      <c r="A119" s="14">
        <v>3</v>
      </c>
      <c r="B119" s="18"/>
      <c r="C119" s="18"/>
      <c r="D119" s="18"/>
      <c r="E119" s="18"/>
      <c r="F119" s="18"/>
      <c r="G119" s="14">
        <v>3</v>
      </c>
      <c r="I119" s="14">
        <v>3</v>
      </c>
      <c r="J119" s="18"/>
      <c r="K119" s="18"/>
      <c r="L119" s="18"/>
      <c r="M119" s="18"/>
      <c r="N119" s="18"/>
      <c r="O119" s="14">
        <v>3</v>
      </c>
    </row>
    <row r="120">
      <c r="A120" s="14">
        <v>4</v>
      </c>
      <c r="B120" s="18"/>
      <c r="C120" s="18"/>
      <c r="D120" s="18"/>
      <c r="E120" s="18"/>
      <c r="F120" s="18"/>
      <c r="G120" s="14">
        <v>4</v>
      </c>
      <c r="I120" s="14">
        <v>4</v>
      </c>
      <c r="J120" s="18"/>
      <c r="K120" s="18"/>
      <c r="L120" s="18"/>
      <c r="M120" s="18"/>
      <c r="N120" s="18"/>
      <c r="O120" s="14">
        <v>4</v>
      </c>
    </row>
    <row r="121">
      <c r="A121" s="14">
        <v>5</v>
      </c>
      <c r="B121" s="18"/>
      <c r="C121" s="18"/>
      <c r="D121" s="18"/>
      <c r="E121" s="18"/>
      <c r="F121" s="18"/>
      <c r="G121" s="14">
        <v>5</v>
      </c>
      <c r="I121" s="14">
        <v>5</v>
      </c>
      <c r="J121" s="18"/>
      <c r="K121" s="18"/>
      <c r="L121" s="18"/>
      <c r="M121" s="18"/>
      <c r="N121" s="18"/>
      <c r="O121" s="14">
        <v>5</v>
      </c>
    </row>
    <row r="123">
      <c r="A123" s="14" t="str">
        <f>CONCATENATE("Pool W-2nd ",'Pool Matches'!O352)</f>
      </c>
      <c r="B123" s="14" t="s">
        <v>338</v>
      </c>
      <c r="C123" s="14" t="s">
        <v>341</v>
      </c>
      <c r="D123" s="14"/>
      <c r="E123" s="14" t="s">
        <v>341</v>
      </c>
      <c r="F123" s="14" t="s">
        <v>338</v>
      </c>
      <c r="G123" s="14" t="str">
        <f>CONCATENATE("Pool H-1st ",'Pool Matches'!G351)</f>
      </c>
      <c r="I123" s="14" t="str">
        <f>CONCATENATE("Pool H-2nd ",'Pool Matches'!G352)</f>
      </c>
      <c r="J123" s="14" t="s">
        <v>338</v>
      </c>
      <c r="K123" s="14" t="s">
        <v>341</v>
      </c>
      <c r="L123" s="14"/>
      <c r="M123" s="14" t="s">
        <v>341</v>
      </c>
      <c r="N123" s="14" t="s">
        <v>338</v>
      </c>
      <c r="O123" s="14" t="str">
        <f>CONCATENATE("Pool W-1st ",'Pool Matches'!O351)</f>
      </c>
    </row>
    <row r="124">
      <c r="A124" s="14" t="s">
        <v>349</v>
      </c>
      <c r="B124" s="14" t="str">
        <f>IF(UPPER(D117)="X",0,IF((LEN(SUBSTITUTE(SUBSTITUTE(SUBSTITUTE(B117," ",""),"0",""),"-",""))+LEN(SUBSTITUTE(SUBSTITUTE(SUBSTITUTE(C117," ",""),"0",""),"-","")))&gt;(LEN(SUBSTITUTE(SUBSTITUTE(SUBSTITUTE(E117," ",""),"0",""),"-",""))+LEN(SUBSTITUTE(SUBSTITUTE(SUBSTITUTE(F117," ",""),"0",""),"-",""))),1,0))+IF(UPPER(D118)="X",0,IF((LEN(SUBSTITUTE(SUBSTITUTE(SUBSTITUTE(B118," ",""),"0",""),"-",""))+LEN(SUBSTITUTE(SUBSTITUTE(SUBSTITUTE(C118," ",""),"0",""),"-","")))&gt;(LEN(SUBSTITUTE(SUBSTITUTE(SUBSTITUTE(E118," ",""),"0",""),"-",""))+LEN(SUBSTITUTE(SUBSTITUTE(SUBSTITUTE(F118," ",""),"0",""),"-",""))),1,0))+IF(UPPER(D119)="X",0,IF((LEN(SUBSTITUTE(SUBSTITUTE(SUBSTITUTE(B119," ",""),"0",""),"-",""))+LEN(SUBSTITUTE(SUBSTITUTE(SUBSTITUTE(C119," ",""),"0",""),"-","")))&gt;(LEN(SUBSTITUTE(SUBSTITUTE(SUBSTITUTE(E119," ",""),"0",""),"-",""))+LEN(SUBSTITUTE(SUBSTITUTE(SUBSTITUTE(F119," ",""),"0",""),"-",""))),1,0))+IF(UPPER(D120)="X",0,IF((LEN(SUBSTITUTE(SUBSTITUTE(SUBSTITUTE(B120," ",""),"0",""),"-",""))+LEN(SUBSTITUTE(SUBSTITUTE(SUBSTITUTE(C120," ",""),"0",""),"-","")))&gt;(LEN(SUBSTITUTE(SUBSTITUTE(SUBSTITUTE(E120," ",""),"0",""),"-",""))+LEN(SUBSTITUTE(SUBSTITUTE(SUBSTITUTE(F120," ",""),"0",""),"-",""))),1,0))+IF(UPPER(D121)="X",0,IF((LEN(SUBSTITUTE(SUBSTITUTE(SUBSTITUTE(B121," ",""),"0",""),"-",""))+LEN(SUBSTITUTE(SUBSTITUTE(SUBSTITUTE(C121," ",""),"0",""),"-","")))&gt;(LEN(SUBSTITUTE(SUBSTITUTE(SUBSTITUTE(E121," ",""),"0",""),"-",""))+LEN(SUBSTITUTE(SUBSTITUTE(SUBSTITUTE(F121," ",""),"0",""),"-",""))),1,0))</f>
      </c>
      <c r="C124" s="14" t="str">
        <f>LEN(SUBSTITUTE(SUBSTITUTE(SUBSTITUTE(B117," ",""),"0",""),"-",""))+LEN(SUBSTITUTE(SUBSTITUTE(SUBSTITUTE(C117," ",""),"0",""),"-",""))+LEN(SUBSTITUTE(SUBSTITUTE(SUBSTITUTE(B118," ",""),"0",""),"-",""))+LEN(SUBSTITUTE(SUBSTITUTE(SUBSTITUTE(C118," ",""),"0",""),"-",""))+LEN(SUBSTITUTE(SUBSTITUTE(SUBSTITUTE(B119," ",""),"0",""),"-",""))+LEN(SUBSTITUTE(SUBSTITUTE(SUBSTITUTE(C119," ",""),"0",""),"-",""))+LEN(SUBSTITUTE(SUBSTITUTE(SUBSTITUTE(B120," ",""),"0",""),"-",""))+LEN(SUBSTITUTE(SUBSTITUTE(SUBSTITUTE(C120," ",""),"0",""),"-",""))+LEN(SUBSTITUTE(SUBSTITUTE(SUBSTITUTE(B121," ",""),"0",""),"-",""))+LEN(SUBSTITUTE(SUBSTITUTE(SUBSTITUTE(C121," ",""),"0",""),"-",""))</f>
      </c>
      <c r="D124" s="14"/>
      <c r="E124" s="14" t="str">
        <f>LEN(SUBSTITUTE(SUBSTITUTE(SUBSTITUTE(E117," ",""),"0",""),"-",""))+LEN(SUBSTITUTE(SUBSTITUTE(SUBSTITUTE(F117," ",""),"0",""),"-",""))+LEN(SUBSTITUTE(SUBSTITUTE(SUBSTITUTE(E118," ",""),"0",""),"-",""))+LEN(SUBSTITUTE(SUBSTITUTE(SUBSTITUTE(F118," ",""),"0",""),"-",""))+LEN(SUBSTITUTE(SUBSTITUTE(SUBSTITUTE(E119," ",""),"0",""),"-",""))+LEN(SUBSTITUTE(SUBSTITUTE(SUBSTITUTE(F119," ",""),"0",""),"-",""))+LEN(SUBSTITUTE(SUBSTITUTE(SUBSTITUTE(E120," ",""),"0",""),"-",""))+LEN(SUBSTITUTE(SUBSTITUTE(SUBSTITUTE(F120," ",""),"0",""),"-",""))+LEN(SUBSTITUTE(SUBSTITUTE(SUBSTITUTE(E121," ",""),"0",""),"-",""))+LEN(SUBSTITUTE(SUBSTITUTE(SUBSTITUTE(F121," ",""),"0",""),"-",""))</f>
      </c>
      <c r="F124" s="14" t="str">
        <f>IF(UPPER(D117)="X",0,IF((LEN(SUBSTITUTE(SUBSTITUTE(SUBSTITUTE(E117," ",""),"0",""),"-",""))+LEN(SUBSTITUTE(SUBSTITUTE(SUBSTITUTE(F117," ",""),"0",""),"-","")))&gt;(LEN(SUBSTITUTE(SUBSTITUTE(SUBSTITUTE(B117," ",""),"0",""),"-",""))+LEN(SUBSTITUTE(SUBSTITUTE(SUBSTITUTE(C117," ",""),"0",""),"-",""))),1,0))+IF(UPPER(D118)="X",0,IF((LEN(SUBSTITUTE(SUBSTITUTE(SUBSTITUTE(E118," ",""),"0",""),"-",""))+LEN(SUBSTITUTE(SUBSTITUTE(SUBSTITUTE(F118," ",""),"0",""),"-","")))&gt;(LEN(SUBSTITUTE(SUBSTITUTE(SUBSTITUTE(B118," ",""),"0",""),"-",""))+LEN(SUBSTITUTE(SUBSTITUTE(SUBSTITUTE(C118," ",""),"0",""),"-",""))),1,0))+IF(UPPER(D119)="X",0,IF((LEN(SUBSTITUTE(SUBSTITUTE(SUBSTITUTE(E119," ",""),"0",""),"-",""))+LEN(SUBSTITUTE(SUBSTITUTE(SUBSTITUTE(F119," ",""),"0",""),"-","")))&gt;(LEN(SUBSTITUTE(SUBSTITUTE(SUBSTITUTE(B119," ",""),"0",""),"-",""))+LEN(SUBSTITUTE(SUBSTITUTE(SUBSTITUTE(C119," ",""),"0",""),"-",""))),1,0))+IF(UPPER(D120)="X",0,IF((LEN(SUBSTITUTE(SUBSTITUTE(SUBSTITUTE(E120," ",""),"0",""),"-",""))+LEN(SUBSTITUTE(SUBSTITUTE(SUBSTITUTE(F120," ",""),"0",""),"-","")))&gt;(LEN(SUBSTITUTE(SUBSTITUTE(SUBSTITUTE(B120," ",""),"0",""),"-",""))+LEN(SUBSTITUTE(SUBSTITUTE(SUBSTITUTE(C120," ",""),"0",""),"-",""))),1,0))+IF(UPPER(D121)="X",0,IF((LEN(SUBSTITUTE(SUBSTITUTE(SUBSTITUTE(E121," ",""),"0",""),"-",""))+LEN(SUBSTITUTE(SUBSTITUTE(SUBSTITUTE(F121," ",""),"0",""),"-","")))&gt;(LEN(SUBSTITUTE(SUBSTITUTE(SUBSTITUTE(B121," ",""),"0",""),"-",""))+LEN(SUBSTITUTE(SUBSTITUTE(SUBSTITUTE(C121," ",""),"0",""),"-",""))),1,0))</f>
      </c>
      <c r="G124" s="14" t="s">
        <v>349</v>
      </c>
      <c r="I124" s="14" t="s">
        <v>349</v>
      </c>
      <c r="J124" s="14" t="str">
        <f>IF(UPPER(L117)="X",0,IF((LEN(SUBSTITUTE(SUBSTITUTE(SUBSTITUTE(J117," ",""),"0",""),"-",""))+LEN(SUBSTITUTE(SUBSTITUTE(SUBSTITUTE(K117," ",""),"0",""),"-","")))&gt;(LEN(SUBSTITUTE(SUBSTITUTE(SUBSTITUTE(M117," ",""),"0",""),"-",""))+LEN(SUBSTITUTE(SUBSTITUTE(SUBSTITUTE(N117," ",""),"0",""),"-",""))),1,0))+IF(UPPER(L118)="X",0,IF((LEN(SUBSTITUTE(SUBSTITUTE(SUBSTITUTE(J118," ",""),"0",""),"-",""))+LEN(SUBSTITUTE(SUBSTITUTE(SUBSTITUTE(K118," ",""),"0",""),"-","")))&gt;(LEN(SUBSTITUTE(SUBSTITUTE(SUBSTITUTE(M118," ",""),"0",""),"-",""))+LEN(SUBSTITUTE(SUBSTITUTE(SUBSTITUTE(N118," ",""),"0",""),"-",""))),1,0))+IF(UPPER(L119)="X",0,IF((LEN(SUBSTITUTE(SUBSTITUTE(SUBSTITUTE(J119," ",""),"0",""),"-",""))+LEN(SUBSTITUTE(SUBSTITUTE(SUBSTITUTE(K119," ",""),"0",""),"-","")))&gt;(LEN(SUBSTITUTE(SUBSTITUTE(SUBSTITUTE(M119," ",""),"0",""),"-",""))+LEN(SUBSTITUTE(SUBSTITUTE(SUBSTITUTE(N119," ",""),"0",""),"-",""))),1,0))+IF(UPPER(L120)="X",0,IF((LEN(SUBSTITUTE(SUBSTITUTE(SUBSTITUTE(J120," ",""),"0",""),"-",""))+LEN(SUBSTITUTE(SUBSTITUTE(SUBSTITUTE(K120," ",""),"0",""),"-","")))&gt;(LEN(SUBSTITUTE(SUBSTITUTE(SUBSTITUTE(M120," ",""),"0",""),"-",""))+LEN(SUBSTITUTE(SUBSTITUTE(SUBSTITUTE(N120," ",""),"0",""),"-",""))),1,0))+IF(UPPER(L121)="X",0,IF((LEN(SUBSTITUTE(SUBSTITUTE(SUBSTITUTE(J121," ",""),"0",""),"-",""))+LEN(SUBSTITUTE(SUBSTITUTE(SUBSTITUTE(K121," ",""),"0",""),"-","")))&gt;(LEN(SUBSTITUTE(SUBSTITUTE(SUBSTITUTE(M121," ",""),"0",""),"-",""))+LEN(SUBSTITUTE(SUBSTITUTE(SUBSTITUTE(N121," ",""),"0",""),"-",""))),1,0))</f>
      </c>
      <c r="K124" s="14" t="str">
        <f>LEN(SUBSTITUTE(SUBSTITUTE(SUBSTITUTE(J117," ",""),"0",""),"-",""))+LEN(SUBSTITUTE(SUBSTITUTE(SUBSTITUTE(K117," ",""),"0",""),"-",""))+LEN(SUBSTITUTE(SUBSTITUTE(SUBSTITUTE(J118," ",""),"0",""),"-",""))+LEN(SUBSTITUTE(SUBSTITUTE(SUBSTITUTE(K118," ",""),"0",""),"-",""))+LEN(SUBSTITUTE(SUBSTITUTE(SUBSTITUTE(J119," ",""),"0",""),"-",""))+LEN(SUBSTITUTE(SUBSTITUTE(SUBSTITUTE(K119," ",""),"0",""),"-",""))+LEN(SUBSTITUTE(SUBSTITUTE(SUBSTITUTE(J120," ",""),"0",""),"-",""))+LEN(SUBSTITUTE(SUBSTITUTE(SUBSTITUTE(K120," ",""),"0",""),"-",""))+LEN(SUBSTITUTE(SUBSTITUTE(SUBSTITUTE(J121," ",""),"0",""),"-",""))+LEN(SUBSTITUTE(SUBSTITUTE(SUBSTITUTE(K121," ",""),"0",""),"-",""))</f>
      </c>
      <c r="L124" s="14"/>
      <c r="M124" s="14" t="str">
        <f>LEN(SUBSTITUTE(SUBSTITUTE(SUBSTITUTE(M117," ",""),"0",""),"-",""))+LEN(SUBSTITUTE(SUBSTITUTE(SUBSTITUTE(N117," ",""),"0",""),"-",""))+LEN(SUBSTITUTE(SUBSTITUTE(SUBSTITUTE(M118," ",""),"0",""),"-",""))+LEN(SUBSTITUTE(SUBSTITUTE(SUBSTITUTE(N118," ",""),"0",""),"-",""))+LEN(SUBSTITUTE(SUBSTITUTE(SUBSTITUTE(M119," ",""),"0",""),"-",""))+LEN(SUBSTITUTE(SUBSTITUTE(SUBSTITUTE(N119," ",""),"0",""),"-",""))+LEN(SUBSTITUTE(SUBSTITUTE(SUBSTITUTE(M120," ",""),"0",""),"-",""))+LEN(SUBSTITUTE(SUBSTITUTE(SUBSTITUTE(N120," ",""),"0",""),"-",""))+LEN(SUBSTITUTE(SUBSTITUTE(SUBSTITUTE(M121," ",""),"0",""),"-",""))+LEN(SUBSTITUTE(SUBSTITUTE(SUBSTITUTE(N121," ",""),"0",""),"-",""))</f>
      </c>
      <c r="N124" s="14" t="str">
        <f>IF(UPPER(L117)="X",0,IF((LEN(SUBSTITUTE(SUBSTITUTE(SUBSTITUTE(M117," ",""),"0",""),"-",""))+LEN(SUBSTITUTE(SUBSTITUTE(SUBSTITUTE(N117," ",""),"0",""),"-","")))&gt;(LEN(SUBSTITUTE(SUBSTITUTE(SUBSTITUTE(J117," ",""),"0",""),"-",""))+LEN(SUBSTITUTE(SUBSTITUTE(SUBSTITUTE(K117," ",""),"0",""),"-",""))),1,0))+IF(UPPER(L118)="X",0,IF((LEN(SUBSTITUTE(SUBSTITUTE(SUBSTITUTE(M118," ",""),"0",""),"-",""))+LEN(SUBSTITUTE(SUBSTITUTE(SUBSTITUTE(N118," ",""),"0",""),"-","")))&gt;(LEN(SUBSTITUTE(SUBSTITUTE(SUBSTITUTE(J118," ",""),"0",""),"-",""))+LEN(SUBSTITUTE(SUBSTITUTE(SUBSTITUTE(K118," ",""),"0",""),"-",""))),1,0))+IF(UPPER(L119)="X",0,IF((LEN(SUBSTITUTE(SUBSTITUTE(SUBSTITUTE(M119," ",""),"0",""),"-",""))+LEN(SUBSTITUTE(SUBSTITUTE(SUBSTITUTE(N119," ",""),"0",""),"-","")))&gt;(LEN(SUBSTITUTE(SUBSTITUTE(SUBSTITUTE(J119," ",""),"0",""),"-",""))+LEN(SUBSTITUTE(SUBSTITUTE(SUBSTITUTE(K119," ",""),"0",""),"-",""))),1,0))+IF(UPPER(L120)="X",0,IF((LEN(SUBSTITUTE(SUBSTITUTE(SUBSTITUTE(M120," ",""),"0",""),"-",""))+LEN(SUBSTITUTE(SUBSTITUTE(SUBSTITUTE(N120," ",""),"0",""),"-","")))&gt;(LEN(SUBSTITUTE(SUBSTITUTE(SUBSTITUTE(J120," ",""),"0",""),"-",""))+LEN(SUBSTITUTE(SUBSTITUTE(SUBSTITUTE(K120," ",""),"0",""),"-",""))),1,0))+IF(UPPER(L121)="X",0,IF((LEN(SUBSTITUTE(SUBSTITUTE(SUBSTITUTE(M121," ",""),"0",""),"-",""))+LEN(SUBSTITUTE(SUBSTITUTE(SUBSTITUTE(N121," ",""),"0",""),"-","")))&gt;(LEN(SUBSTITUTE(SUBSTITUTE(SUBSTITUTE(J121," ",""),"0",""),"-",""))+LEN(SUBSTITUTE(SUBSTITUTE(SUBSTITUTE(K121," ",""),"0",""),"-",""))),1,0))</f>
      </c>
      <c r="O124" s="14" t="s">
        <v>349</v>
      </c>
    </row>
    <row r="127">
      <c r="F127" t="s">
        <v>344</v>
      </c>
      <c r="G127" s="19"/>
      <c r="N127" t="s">
        <v>344</v>
      </c>
      <c r="O127" s="19"/>
    </row>
    <row r="128">
      <c r="F128" t="s">
        <v>345</v>
      </c>
      <c r="G128" s="19"/>
      <c r="N128" t="s">
        <v>345</v>
      </c>
      <c r="O128" s="19"/>
    </row>
    <row r="130">
      <c r="A130" s="13" t="s">
        <v>365</v>
      </c>
      <c r="B130" s="13"/>
      <c r="C130" s="13"/>
      <c r="D130" s="13"/>
      <c r="E130" s="13"/>
      <c r="F130" s="13"/>
      <c r="G130" s="13"/>
      <c r="I130" s="13" t="s">
        <v>366</v>
      </c>
      <c r="J130" s="13"/>
      <c r="K130" s="13"/>
      <c r="L130" s="13"/>
      <c r="M130" s="13"/>
      <c r="N130" s="13"/>
      <c r="O130" s="13"/>
    </row>
    <row r="131">
      <c r="A131" s="17" t="s">
        <v>330</v>
      </c>
      <c r="D131" s="14" t="s">
        <v>331</v>
      </c>
      <c r="G131" s="16" t="s">
        <v>332</v>
      </c>
      <c r="I131" s="17" t="s">
        <v>330</v>
      </c>
      <c r="L131" s="14" t="s">
        <v>331</v>
      </c>
      <c r="O131" s="16" t="s">
        <v>332</v>
      </c>
    </row>
    <row r="132">
      <c r="A132" s="14" t="str">
        <f>CONCATENATE("Pool X-2nd ",'Pool Matches'!O395)</f>
      </c>
      <c r="B132" s="14"/>
      <c r="C132" s="14"/>
      <c r="D132" s="18"/>
      <c r="E132" s="14"/>
      <c r="F132" s="14"/>
      <c r="G132" s="14" t="str">
        <f>CONCATENATE("Pool I-1st ",'Pool Matches'!G394)</f>
      </c>
      <c r="I132" s="14" t="str">
        <f>CONCATENATE("Pool I-2nd ",'Pool Matches'!G395)</f>
      </c>
      <c r="J132" s="14"/>
      <c r="K132" s="14"/>
      <c r="L132" s="18"/>
      <c r="M132" s="14"/>
      <c r="N132" s="14"/>
      <c r="O132" s="14" t="str">
        <f>CONCATENATE("Pool X-1st ",'Pool Matches'!O394)</f>
      </c>
    </row>
    <row r="133">
      <c r="A133" s="14">
        <v>1</v>
      </c>
      <c r="B133" s="18"/>
      <c r="C133" s="18"/>
      <c r="D133" s="18"/>
      <c r="E133" s="18"/>
      <c r="F133" s="18"/>
      <c r="G133" s="14">
        <v>1</v>
      </c>
      <c r="I133" s="14">
        <v>1</v>
      </c>
      <c r="J133" s="18"/>
      <c r="K133" s="18"/>
      <c r="L133" s="18"/>
      <c r="M133" s="18"/>
      <c r="N133" s="18"/>
      <c r="O133" s="14">
        <v>1</v>
      </c>
    </row>
    <row r="134">
      <c r="A134" s="14">
        <v>2</v>
      </c>
      <c r="B134" s="18"/>
      <c r="C134" s="18"/>
      <c r="D134" s="18"/>
      <c r="E134" s="18"/>
      <c r="F134" s="18"/>
      <c r="G134" s="14">
        <v>2</v>
      </c>
      <c r="I134" s="14">
        <v>2</v>
      </c>
      <c r="J134" s="18"/>
      <c r="K134" s="18"/>
      <c r="L134" s="18"/>
      <c r="M134" s="18"/>
      <c r="N134" s="18"/>
      <c r="O134" s="14">
        <v>2</v>
      </c>
    </row>
    <row r="135">
      <c r="A135" s="14">
        <v>3</v>
      </c>
      <c r="B135" s="18"/>
      <c r="C135" s="18"/>
      <c r="D135" s="18"/>
      <c r="E135" s="18"/>
      <c r="F135" s="18"/>
      <c r="G135" s="14">
        <v>3</v>
      </c>
      <c r="I135" s="14">
        <v>3</v>
      </c>
      <c r="J135" s="18"/>
      <c r="K135" s="18"/>
      <c r="L135" s="18"/>
      <c r="M135" s="18"/>
      <c r="N135" s="18"/>
      <c r="O135" s="14">
        <v>3</v>
      </c>
    </row>
    <row r="136">
      <c r="A136" s="14">
        <v>4</v>
      </c>
      <c r="B136" s="18"/>
      <c r="C136" s="18"/>
      <c r="D136" s="18"/>
      <c r="E136" s="18"/>
      <c r="F136" s="18"/>
      <c r="G136" s="14">
        <v>4</v>
      </c>
      <c r="I136" s="14">
        <v>4</v>
      </c>
      <c r="J136" s="18"/>
      <c r="K136" s="18"/>
      <c r="L136" s="18"/>
      <c r="M136" s="18"/>
      <c r="N136" s="18"/>
      <c r="O136" s="14">
        <v>4</v>
      </c>
    </row>
    <row r="137">
      <c r="A137" s="14">
        <v>5</v>
      </c>
      <c r="B137" s="18"/>
      <c r="C137" s="18"/>
      <c r="D137" s="18"/>
      <c r="E137" s="18"/>
      <c r="F137" s="18"/>
      <c r="G137" s="14">
        <v>5</v>
      </c>
      <c r="I137" s="14">
        <v>5</v>
      </c>
      <c r="J137" s="18"/>
      <c r="K137" s="18"/>
      <c r="L137" s="18"/>
      <c r="M137" s="18"/>
      <c r="N137" s="18"/>
      <c r="O137" s="14">
        <v>5</v>
      </c>
    </row>
    <row r="139">
      <c r="A139" s="14" t="str">
        <f>CONCATENATE("Pool X-2nd ",'Pool Matches'!O395)</f>
      </c>
      <c r="B139" s="14" t="s">
        <v>338</v>
      </c>
      <c r="C139" s="14" t="s">
        <v>341</v>
      </c>
      <c r="D139" s="14"/>
      <c r="E139" s="14" t="s">
        <v>341</v>
      </c>
      <c r="F139" s="14" t="s">
        <v>338</v>
      </c>
      <c r="G139" s="14" t="str">
        <f>CONCATENATE("Pool I-1st ",'Pool Matches'!G394)</f>
      </c>
      <c r="I139" s="14" t="str">
        <f>CONCATENATE("Pool I-2nd ",'Pool Matches'!G395)</f>
      </c>
      <c r="J139" s="14" t="s">
        <v>338</v>
      </c>
      <c r="K139" s="14" t="s">
        <v>341</v>
      </c>
      <c r="L139" s="14"/>
      <c r="M139" s="14" t="s">
        <v>341</v>
      </c>
      <c r="N139" s="14" t="s">
        <v>338</v>
      </c>
      <c r="O139" s="14" t="str">
        <f>CONCATENATE("Pool X-1st ",'Pool Matches'!O394)</f>
      </c>
    </row>
    <row r="140">
      <c r="A140" s="14" t="s">
        <v>349</v>
      </c>
      <c r="B140" s="14" t="str">
        <f>IF(UPPER(D133)="X",0,IF((LEN(SUBSTITUTE(SUBSTITUTE(SUBSTITUTE(B133," ",""),"0",""),"-",""))+LEN(SUBSTITUTE(SUBSTITUTE(SUBSTITUTE(C133," ",""),"0",""),"-","")))&gt;(LEN(SUBSTITUTE(SUBSTITUTE(SUBSTITUTE(E133," ",""),"0",""),"-",""))+LEN(SUBSTITUTE(SUBSTITUTE(SUBSTITUTE(F133," ",""),"0",""),"-",""))),1,0))+IF(UPPER(D134)="X",0,IF((LEN(SUBSTITUTE(SUBSTITUTE(SUBSTITUTE(B134," ",""),"0",""),"-",""))+LEN(SUBSTITUTE(SUBSTITUTE(SUBSTITUTE(C134," ",""),"0",""),"-","")))&gt;(LEN(SUBSTITUTE(SUBSTITUTE(SUBSTITUTE(E134," ",""),"0",""),"-",""))+LEN(SUBSTITUTE(SUBSTITUTE(SUBSTITUTE(F134," ",""),"0",""),"-",""))),1,0))+IF(UPPER(D135)="X",0,IF((LEN(SUBSTITUTE(SUBSTITUTE(SUBSTITUTE(B135," ",""),"0",""),"-",""))+LEN(SUBSTITUTE(SUBSTITUTE(SUBSTITUTE(C135," ",""),"0",""),"-","")))&gt;(LEN(SUBSTITUTE(SUBSTITUTE(SUBSTITUTE(E135," ",""),"0",""),"-",""))+LEN(SUBSTITUTE(SUBSTITUTE(SUBSTITUTE(F135," ",""),"0",""),"-",""))),1,0))+IF(UPPER(D136)="X",0,IF((LEN(SUBSTITUTE(SUBSTITUTE(SUBSTITUTE(B136," ",""),"0",""),"-",""))+LEN(SUBSTITUTE(SUBSTITUTE(SUBSTITUTE(C136," ",""),"0",""),"-","")))&gt;(LEN(SUBSTITUTE(SUBSTITUTE(SUBSTITUTE(E136," ",""),"0",""),"-",""))+LEN(SUBSTITUTE(SUBSTITUTE(SUBSTITUTE(F136," ",""),"0",""),"-",""))),1,0))+IF(UPPER(D137)="X",0,IF((LEN(SUBSTITUTE(SUBSTITUTE(SUBSTITUTE(B137," ",""),"0",""),"-",""))+LEN(SUBSTITUTE(SUBSTITUTE(SUBSTITUTE(C137," ",""),"0",""),"-","")))&gt;(LEN(SUBSTITUTE(SUBSTITUTE(SUBSTITUTE(E137," ",""),"0",""),"-",""))+LEN(SUBSTITUTE(SUBSTITUTE(SUBSTITUTE(F137," ",""),"0",""),"-",""))),1,0))</f>
      </c>
      <c r="C140" s="14" t="str">
        <f>LEN(SUBSTITUTE(SUBSTITUTE(SUBSTITUTE(B133," ",""),"0",""),"-",""))+LEN(SUBSTITUTE(SUBSTITUTE(SUBSTITUTE(C133," ",""),"0",""),"-",""))+LEN(SUBSTITUTE(SUBSTITUTE(SUBSTITUTE(B134," ",""),"0",""),"-",""))+LEN(SUBSTITUTE(SUBSTITUTE(SUBSTITUTE(C134," ",""),"0",""),"-",""))+LEN(SUBSTITUTE(SUBSTITUTE(SUBSTITUTE(B135," ",""),"0",""),"-",""))+LEN(SUBSTITUTE(SUBSTITUTE(SUBSTITUTE(C135," ",""),"0",""),"-",""))+LEN(SUBSTITUTE(SUBSTITUTE(SUBSTITUTE(B136," ",""),"0",""),"-",""))+LEN(SUBSTITUTE(SUBSTITUTE(SUBSTITUTE(C136," ",""),"0",""),"-",""))+LEN(SUBSTITUTE(SUBSTITUTE(SUBSTITUTE(B137," ",""),"0",""),"-",""))+LEN(SUBSTITUTE(SUBSTITUTE(SUBSTITUTE(C137," ",""),"0",""),"-",""))</f>
      </c>
      <c r="D140" s="14"/>
      <c r="E140" s="14" t="str">
        <f>LEN(SUBSTITUTE(SUBSTITUTE(SUBSTITUTE(E133," ",""),"0",""),"-",""))+LEN(SUBSTITUTE(SUBSTITUTE(SUBSTITUTE(F133," ",""),"0",""),"-",""))+LEN(SUBSTITUTE(SUBSTITUTE(SUBSTITUTE(E134," ",""),"0",""),"-",""))+LEN(SUBSTITUTE(SUBSTITUTE(SUBSTITUTE(F134," ",""),"0",""),"-",""))+LEN(SUBSTITUTE(SUBSTITUTE(SUBSTITUTE(E135," ",""),"0",""),"-",""))+LEN(SUBSTITUTE(SUBSTITUTE(SUBSTITUTE(F135," ",""),"0",""),"-",""))+LEN(SUBSTITUTE(SUBSTITUTE(SUBSTITUTE(E136," ",""),"0",""),"-",""))+LEN(SUBSTITUTE(SUBSTITUTE(SUBSTITUTE(F136," ",""),"0",""),"-",""))+LEN(SUBSTITUTE(SUBSTITUTE(SUBSTITUTE(E137," ",""),"0",""),"-",""))+LEN(SUBSTITUTE(SUBSTITUTE(SUBSTITUTE(F137," ",""),"0",""),"-",""))</f>
      </c>
      <c r="F140" s="14" t="str">
        <f>IF(UPPER(D133)="X",0,IF((LEN(SUBSTITUTE(SUBSTITUTE(SUBSTITUTE(E133," ",""),"0",""),"-",""))+LEN(SUBSTITUTE(SUBSTITUTE(SUBSTITUTE(F133," ",""),"0",""),"-","")))&gt;(LEN(SUBSTITUTE(SUBSTITUTE(SUBSTITUTE(B133," ",""),"0",""),"-",""))+LEN(SUBSTITUTE(SUBSTITUTE(SUBSTITUTE(C133," ",""),"0",""),"-",""))),1,0))+IF(UPPER(D134)="X",0,IF((LEN(SUBSTITUTE(SUBSTITUTE(SUBSTITUTE(E134," ",""),"0",""),"-",""))+LEN(SUBSTITUTE(SUBSTITUTE(SUBSTITUTE(F134," ",""),"0",""),"-","")))&gt;(LEN(SUBSTITUTE(SUBSTITUTE(SUBSTITUTE(B134," ",""),"0",""),"-",""))+LEN(SUBSTITUTE(SUBSTITUTE(SUBSTITUTE(C134," ",""),"0",""),"-",""))),1,0))+IF(UPPER(D135)="X",0,IF((LEN(SUBSTITUTE(SUBSTITUTE(SUBSTITUTE(E135," ",""),"0",""),"-",""))+LEN(SUBSTITUTE(SUBSTITUTE(SUBSTITUTE(F135," ",""),"0",""),"-","")))&gt;(LEN(SUBSTITUTE(SUBSTITUTE(SUBSTITUTE(B135," ",""),"0",""),"-",""))+LEN(SUBSTITUTE(SUBSTITUTE(SUBSTITUTE(C135," ",""),"0",""),"-",""))),1,0))+IF(UPPER(D136)="X",0,IF((LEN(SUBSTITUTE(SUBSTITUTE(SUBSTITUTE(E136," ",""),"0",""),"-",""))+LEN(SUBSTITUTE(SUBSTITUTE(SUBSTITUTE(F136," ",""),"0",""),"-","")))&gt;(LEN(SUBSTITUTE(SUBSTITUTE(SUBSTITUTE(B136," ",""),"0",""),"-",""))+LEN(SUBSTITUTE(SUBSTITUTE(SUBSTITUTE(C136," ",""),"0",""),"-",""))),1,0))+IF(UPPER(D137)="X",0,IF((LEN(SUBSTITUTE(SUBSTITUTE(SUBSTITUTE(E137," ",""),"0",""),"-",""))+LEN(SUBSTITUTE(SUBSTITUTE(SUBSTITUTE(F137," ",""),"0",""),"-","")))&gt;(LEN(SUBSTITUTE(SUBSTITUTE(SUBSTITUTE(B137," ",""),"0",""),"-",""))+LEN(SUBSTITUTE(SUBSTITUTE(SUBSTITUTE(C137," ",""),"0",""),"-",""))),1,0))</f>
      </c>
      <c r="G140" s="14" t="s">
        <v>349</v>
      </c>
      <c r="I140" s="14" t="s">
        <v>349</v>
      </c>
      <c r="J140" s="14" t="str">
        <f>IF(UPPER(L133)="X",0,IF((LEN(SUBSTITUTE(SUBSTITUTE(SUBSTITUTE(J133," ",""),"0",""),"-",""))+LEN(SUBSTITUTE(SUBSTITUTE(SUBSTITUTE(K133," ",""),"0",""),"-","")))&gt;(LEN(SUBSTITUTE(SUBSTITUTE(SUBSTITUTE(M133," ",""),"0",""),"-",""))+LEN(SUBSTITUTE(SUBSTITUTE(SUBSTITUTE(N133," ",""),"0",""),"-",""))),1,0))+IF(UPPER(L134)="X",0,IF((LEN(SUBSTITUTE(SUBSTITUTE(SUBSTITUTE(J134," ",""),"0",""),"-",""))+LEN(SUBSTITUTE(SUBSTITUTE(SUBSTITUTE(K134," ",""),"0",""),"-","")))&gt;(LEN(SUBSTITUTE(SUBSTITUTE(SUBSTITUTE(M134," ",""),"0",""),"-",""))+LEN(SUBSTITUTE(SUBSTITUTE(SUBSTITUTE(N134," ",""),"0",""),"-",""))),1,0))+IF(UPPER(L135)="X",0,IF((LEN(SUBSTITUTE(SUBSTITUTE(SUBSTITUTE(J135," ",""),"0",""),"-",""))+LEN(SUBSTITUTE(SUBSTITUTE(SUBSTITUTE(K135," ",""),"0",""),"-","")))&gt;(LEN(SUBSTITUTE(SUBSTITUTE(SUBSTITUTE(M135," ",""),"0",""),"-",""))+LEN(SUBSTITUTE(SUBSTITUTE(SUBSTITUTE(N135," ",""),"0",""),"-",""))),1,0))+IF(UPPER(L136)="X",0,IF((LEN(SUBSTITUTE(SUBSTITUTE(SUBSTITUTE(J136," ",""),"0",""),"-",""))+LEN(SUBSTITUTE(SUBSTITUTE(SUBSTITUTE(K136," ",""),"0",""),"-","")))&gt;(LEN(SUBSTITUTE(SUBSTITUTE(SUBSTITUTE(M136," ",""),"0",""),"-",""))+LEN(SUBSTITUTE(SUBSTITUTE(SUBSTITUTE(N136," ",""),"0",""),"-",""))),1,0))+IF(UPPER(L137)="X",0,IF((LEN(SUBSTITUTE(SUBSTITUTE(SUBSTITUTE(J137," ",""),"0",""),"-",""))+LEN(SUBSTITUTE(SUBSTITUTE(SUBSTITUTE(K137," ",""),"0",""),"-","")))&gt;(LEN(SUBSTITUTE(SUBSTITUTE(SUBSTITUTE(M137," ",""),"0",""),"-",""))+LEN(SUBSTITUTE(SUBSTITUTE(SUBSTITUTE(N137," ",""),"0",""),"-",""))),1,0))</f>
      </c>
      <c r="K140" s="14" t="str">
        <f>LEN(SUBSTITUTE(SUBSTITUTE(SUBSTITUTE(J133," ",""),"0",""),"-",""))+LEN(SUBSTITUTE(SUBSTITUTE(SUBSTITUTE(K133," ",""),"0",""),"-",""))+LEN(SUBSTITUTE(SUBSTITUTE(SUBSTITUTE(J134," ",""),"0",""),"-",""))+LEN(SUBSTITUTE(SUBSTITUTE(SUBSTITUTE(K134," ",""),"0",""),"-",""))+LEN(SUBSTITUTE(SUBSTITUTE(SUBSTITUTE(J135," ",""),"0",""),"-",""))+LEN(SUBSTITUTE(SUBSTITUTE(SUBSTITUTE(K135," ",""),"0",""),"-",""))+LEN(SUBSTITUTE(SUBSTITUTE(SUBSTITUTE(J136," ",""),"0",""),"-",""))+LEN(SUBSTITUTE(SUBSTITUTE(SUBSTITUTE(K136," ",""),"0",""),"-",""))+LEN(SUBSTITUTE(SUBSTITUTE(SUBSTITUTE(J137," ",""),"0",""),"-",""))+LEN(SUBSTITUTE(SUBSTITUTE(SUBSTITUTE(K137," ",""),"0",""),"-",""))</f>
      </c>
      <c r="L140" s="14"/>
      <c r="M140" s="14" t="str">
        <f>LEN(SUBSTITUTE(SUBSTITUTE(SUBSTITUTE(M133," ",""),"0",""),"-",""))+LEN(SUBSTITUTE(SUBSTITUTE(SUBSTITUTE(N133," ",""),"0",""),"-",""))+LEN(SUBSTITUTE(SUBSTITUTE(SUBSTITUTE(M134," ",""),"0",""),"-",""))+LEN(SUBSTITUTE(SUBSTITUTE(SUBSTITUTE(N134," ",""),"0",""),"-",""))+LEN(SUBSTITUTE(SUBSTITUTE(SUBSTITUTE(M135," ",""),"0",""),"-",""))+LEN(SUBSTITUTE(SUBSTITUTE(SUBSTITUTE(N135," ",""),"0",""),"-",""))+LEN(SUBSTITUTE(SUBSTITUTE(SUBSTITUTE(M136," ",""),"0",""),"-",""))+LEN(SUBSTITUTE(SUBSTITUTE(SUBSTITUTE(N136," ",""),"0",""),"-",""))+LEN(SUBSTITUTE(SUBSTITUTE(SUBSTITUTE(M137," ",""),"0",""),"-",""))+LEN(SUBSTITUTE(SUBSTITUTE(SUBSTITUTE(N137," ",""),"0",""),"-",""))</f>
      </c>
      <c r="N140" s="14" t="str">
        <f>IF(UPPER(L133)="X",0,IF((LEN(SUBSTITUTE(SUBSTITUTE(SUBSTITUTE(M133," ",""),"0",""),"-",""))+LEN(SUBSTITUTE(SUBSTITUTE(SUBSTITUTE(N133," ",""),"0",""),"-","")))&gt;(LEN(SUBSTITUTE(SUBSTITUTE(SUBSTITUTE(J133," ",""),"0",""),"-",""))+LEN(SUBSTITUTE(SUBSTITUTE(SUBSTITUTE(K133," ",""),"0",""),"-",""))),1,0))+IF(UPPER(L134)="X",0,IF((LEN(SUBSTITUTE(SUBSTITUTE(SUBSTITUTE(M134," ",""),"0",""),"-",""))+LEN(SUBSTITUTE(SUBSTITUTE(SUBSTITUTE(N134," ",""),"0",""),"-","")))&gt;(LEN(SUBSTITUTE(SUBSTITUTE(SUBSTITUTE(J134," ",""),"0",""),"-",""))+LEN(SUBSTITUTE(SUBSTITUTE(SUBSTITUTE(K134," ",""),"0",""),"-",""))),1,0))+IF(UPPER(L135)="X",0,IF((LEN(SUBSTITUTE(SUBSTITUTE(SUBSTITUTE(M135," ",""),"0",""),"-",""))+LEN(SUBSTITUTE(SUBSTITUTE(SUBSTITUTE(N135," ",""),"0",""),"-","")))&gt;(LEN(SUBSTITUTE(SUBSTITUTE(SUBSTITUTE(J135," ",""),"0",""),"-",""))+LEN(SUBSTITUTE(SUBSTITUTE(SUBSTITUTE(K135," ",""),"0",""),"-",""))),1,0))+IF(UPPER(L136)="X",0,IF((LEN(SUBSTITUTE(SUBSTITUTE(SUBSTITUTE(M136," ",""),"0",""),"-",""))+LEN(SUBSTITUTE(SUBSTITUTE(SUBSTITUTE(N136," ",""),"0",""),"-","")))&gt;(LEN(SUBSTITUTE(SUBSTITUTE(SUBSTITUTE(J136," ",""),"0",""),"-",""))+LEN(SUBSTITUTE(SUBSTITUTE(SUBSTITUTE(K136," ",""),"0",""),"-",""))),1,0))+IF(UPPER(L137)="X",0,IF((LEN(SUBSTITUTE(SUBSTITUTE(SUBSTITUTE(M137," ",""),"0",""),"-",""))+LEN(SUBSTITUTE(SUBSTITUTE(SUBSTITUTE(N137," ",""),"0",""),"-","")))&gt;(LEN(SUBSTITUTE(SUBSTITUTE(SUBSTITUTE(J137," ",""),"0",""),"-",""))+LEN(SUBSTITUTE(SUBSTITUTE(SUBSTITUTE(K137," ",""),"0",""),"-",""))),1,0))</f>
      </c>
      <c r="O140" s="14" t="s">
        <v>349</v>
      </c>
    </row>
    <row r="143">
      <c r="F143" t="s">
        <v>344</v>
      </c>
      <c r="G143" s="19"/>
      <c r="N143" t="s">
        <v>344</v>
      </c>
      <c r="O143" s="19"/>
    </row>
    <row r="144">
      <c r="F144" t="s">
        <v>345</v>
      </c>
      <c r="G144" s="19"/>
      <c r="N144" t="s">
        <v>345</v>
      </c>
      <c r="O144" s="19"/>
    </row>
    <row r="146">
      <c r="A146" s="13" t="s">
        <v>367</v>
      </c>
      <c r="B146" s="13"/>
      <c r="C146" s="13"/>
      <c r="D146" s="13"/>
      <c r="E146" s="13"/>
      <c r="F146" s="13"/>
      <c r="G146" s="13"/>
      <c r="I146" s="13" t="s">
        <v>368</v>
      </c>
      <c r="J146" s="13"/>
      <c r="K146" s="13"/>
      <c r="L146" s="13"/>
      <c r="M146" s="13"/>
      <c r="N146" s="13"/>
      <c r="O146" s="13"/>
    </row>
    <row r="147">
      <c r="A147" s="17" t="s">
        <v>330</v>
      </c>
      <c r="D147" s="14" t="s">
        <v>331</v>
      </c>
      <c r="G147" s="16" t="s">
        <v>332</v>
      </c>
      <c r="I147" s="17" t="s">
        <v>330</v>
      </c>
      <c r="L147" s="14" t="s">
        <v>331</v>
      </c>
      <c r="O147" s="16" t="s">
        <v>332</v>
      </c>
    </row>
    <row r="148">
      <c r="A148" s="14" t="str">
        <f>CONCATENATE("Pool Y-2nd ",'Pool Matches'!O438)</f>
      </c>
      <c r="B148" s="14"/>
      <c r="C148" s="14"/>
      <c r="D148" s="18"/>
      <c r="E148" s="14"/>
      <c r="F148" s="14"/>
      <c r="G148" s="14" t="str">
        <f>CONCATENATE("Pool J-1st ",'Pool Matches'!G437)</f>
      </c>
      <c r="I148" s="14" t="str">
        <f>CONCATENATE("Pool J-2nd ",'Pool Matches'!G438)</f>
      </c>
      <c r="J148" s="14"/>
      <c r="K148" s="14"/>
      <c r="L148" s="18"/>
      <c r="M148" s="14"/>
      <c r="N148" s="14"/>
      <c r="O148" s="14" t="str">
        <f>CONCATENATE("Pool Y-1st ",'Pool Matches'!O437)</f>
      </c>
    </row>
    <row r="149">
      <c r="A149" s="14">
        <v>1</v>
      </c>
      <c r="B149" s="18"/>
      <c r="C149" s="18"/>
      <c r="D149" s="18"/>
      <c r="E149" s="18"/>
      <c r="F149" s="18"/>
      <c r="G149" s="14">
        <v>1</v>
      </c>
      <c r="I149" s="14">
        <v>1</v>
      </c>
      <c r="J149" s="18"/>
      <c r="K149" s="18"/>
      <c r="L149" s="18"/>
      <c r="M149" s="18"/>
      <c r="N149" s="18"/>
      <c r="O149" s="14">
        <v>1</v>
      </c>
    </row>
    <row r="150">
      <c r="A150" s="14">
        <v>2</v>
      </c>
      <c r="B150" s="18"/>
      <c r="C150" s="18"/>
      <c r="D150" s="18"/>
      <c r="E150" s="18"/>
      <c r="F150" s="18"/>
      <c r="G150" s="14">
        <v>2</v>
      </c>
      <c r="I150" s="14">
        <v>2</v>
      </c>
      <c r="J150" s="18"/>
      <c r="K150" s="18"/>
      <c r="L150" s="18"/>
      <c r="M150" s="18"/>
      <c r="N150" s="18"/>
      <c r="O150" s="14">
        <v>2</v>
      </c>
    </row>
    <row r="151">
      <c r="A151" s="14">
        <v>3</v>
      </c>
      <c r="B151" s="18"/>
      <c r="C151" s="18"/>
      <c r="D151" s="18"/>
      <c r="E151" s="18"/>
      <c r="F151" s="18"/>
      <c r="G151" s="14">
        <v>3</v>
      </c>
      <c r="I151" s="14">
        <v>3</v>
      </c>
      <c r="J151" s="18"/>
      <c r="K151" s="18"/>
      <c r="L151" s="18"/>
      <c r="M151" s="18"/>
      <c r="N151" s="18"/>
      <c r="O151" s="14">
        <v>3</v>
      </c>
    </row>
    <row r="152">
      <c r="A152" s="14">
        <v>4</v>
      </c>
      <c r="B152" s="18"/>
      <c r="C152" s="18"/>
      <c r="D152" s="18"/>
      <c r="E152" s="18"/>
      <c r="F152" s="18"/>
      <c r="G152" s="14">
        <v>4</v>
      </c>
      <c r="I152" s="14">
        <v>4</v>
      </c>
      <c r="J152" s="18"/>
      <c r="K152" s="18"/>
      <c r="L152" s="18"/>
      <c r="M152" s="18"/>
      <c r="N152" s="18"/>
      <c r="O152" s="14">
        <v>4</v>
      </c>
    </row>
    <row r="153">
      <c r="A153" s="14">
        <v>5</v>
      </c>
      <c r="B153" s="18"/>
      <c r="C153" s="18"/>
      <c r="D153" s="18"/>
      <c r="E153" s="18"/>
      <c r="F153" s="18"/>
      <c r="G153" s="14">
        <v>5</v>
      </c>
      <c r="I153" s="14">
        <v>5</v>
      </c>
      <c r="J153" s="18"/>
      <c r="K153" s="18"/>
      <c r="L153" s="18"/>
      <c r="M153" s="18"/>
      <c r="N153" s="18"/>
      <c r="O153" s="14">
        <v>5</v>
      </c>
    </row>
    <row r="155">
      <c r="A155" s="14" t="str">
        <f>CONCATENATE("Pool Y-2nd ",'Pool Matches'!O438)</f>
      </c>
      <c r="B155" s="14" t="s">
        <v>338</v>
      </c>
      <c r="C155" s="14" t="s">
        <v>341</v>
      </c>
      <c r="D155" s="14"/>
      <c r="E155" s="14" t="s">
        <v>341</v>
      </c>
      <c r="F155" s="14" t="s">
        <v>338</v>
      </c>
      <c r="G155" s="14" t="str">
        <f>CONCATENATE("Pool J-1st ",'Pool Matches'!G437)</f>
      </c>
      <c r="I155" s="14" t="str">
        <f>CONCATENATE("Pool J-2nd ",'Pool Matches'!G438)</f>
      </c>
      <c r="J155" s="14" t="s">
        <v>338</v>
      </c>
      <c r="K155" s="14" t="s">
        <v>341</v>
      </c>
      <c r="L155" s="14"/>
      <c r="M155" s="14" t="s">
        <v>341</v>
      </c>
      <c r="N155" s="14" t="s">
        <v>338</v>
      </c>
      <c r="O155" s="14" t="str">
        <f>CONCATENATE("Pool Y-1st ",'Pool Matches'!O437)</f>
      </c>
    </row>
    <row r="156">
      <c r="A156" s="14" t="s">
        <v>349</v>
      </c>
      <c r="B156" s="14" t="str">
        <f>IF(UPPER(D149)="X",0,IF((LEN(SUBSTITUTE(SUBSTITUTE(SUBSTITUTE(B149," ",""),"0",""),"-",""))+LEN(SUBSTITUTE(SUBSTITUTE(SUBSTITUTE(C149," ",""),"0",""),"-","")))&gt;(LEN(SUBSTITUTE(SUBSTITUTE(SUBSTITUTE(E149," ",""),"0",""),"-",""))+LEN(SUBSTITUTE(SUBSTITUTE(SUBSTITUTE(F149," ",""),"0",""),"-",""))),1,0))+IF(UPPER(D150)="X",0,IF((LEN(SUBSTITUTE(SUBSTITUTE(SUBSTITUTE(B150," ",""),"0",""),"-",""))+LEN(SUBSTITUTE(SUBSTITUTE(SUBSTITUTE(C150," ",""),"0",""),"-","")))&gt;(LEN(SUBSTITUTE(SUBSTITUTE(SUBSTITUTE(E150," ",""),"0",""),"-",""))+LEN(SUBSTITUTE(SUBSTITUTE(SUBSTITUTE(F150," ",""),"0",""),"-",""))),1,0))+IF(UPPER(D151)="X",0,IF((LEN(SUBSTITUTE(SUBSTITUTE(SUBSTITUTE(B151," ",""),"0",""),"-",""))+LEN(SUBSTITUTE(SUBSTITUTE(SUBSTITUTE(C151," ",""),"0",""),"-","")))&gt;(LEN(SUBSTITUTE(SUBSTITUTE(SUBSTITUTE(E151," ",""),"0",""),"-",""))+LEN(SUBSTITUTE(SUBSTITUTE(SUBSTITUTE(F151," ",""),"0",""),"-",""))),1,0))+IF(UPPER(D152)="X",0,IF((LEN(SUBSTITUTE(SUBSTITUTE(SUBSTITUTE(B152," ",""),"0",""),"-",""))+LEN(SUBSTITUTE(SUBSTITUTE(SUBSTITUTE(C152," ",""),"0",""),"-","")))&gt;(LEN(SUBSTITUTE(SUBSTITUTE(SUBSTITUTE(E152," ",""),"0",""),"-",""))+LEN(SUBSTITUTE(SUBSTITUTE(SUBSTITUTE(F152," ",""),"0",""),"-",""))),1,0))+IF(UPPER(D153)="X",0,IF((LEN(SUBSTITUTE(SUBSTITUTE(SUBSTITUTE(B153," ",""),"0",""),"-",""))+LEN(SUBSTITUTE(SUBSTITUTE(SUBSTITUTE(C153," ",""),"0",""),"-","")))&gt;(LEN(SUBSTITUTE(SUBSTITUTE(SUBSTITUTE(E153," ",""),"0",""),"-",""))+LEN(SUBSTITUTE(SUBSTITUTE(SUBSTITUTE(F153," ",""),"0",""),"-",""))),1,0))</f>
      </c>
      <c r="C156" s="14" t="str">
        <f>LEN(SUBSTITUTE(SUBSTITUTE(SUBSTITUTE(B149," ",""),"0",""),"-",""))+LEN(SUBSTITUTE(SUBSTITUTE(SUBSTITUTE(C149," ",""),"0",""),"-",""))+LEN(SUBSTITUTE(SUBSTITUTE(SUBSTITUTE(B150," ",""),"0",""),"-",""))+LEN(SUBSTITUTE(SUBSTITUTE(SUBSTITUTE(C150," ",""),"0",""),"-",""))+LEN(SUBSTITUTE(SUBSTITUTE(SUBSTITUTE(B151," ",""),"0",""),"-",""))+LEN(SUBSTITUTE(SUBSTITUTE(SUBSTITUTE(C151," ",""),"0",""),"-",""))+LEN(SUBSTITUTE(SUBSTITUTE(SUBSTITUTE(B152," ",""),"0",""),"-",""))+LEN(SUBSTITUTE(SUBSTITUTE(SUBSTITUTE(C152," ",""),"0",""),"-",""))+LEN(SUBSTITUTE(SUBSTITUTE(SUBSTITUTE(B153," ",""),"0",""),"-",""))+LEN(SUBSTITUTE(SUBSTITUTE(SUBSTITUTE(C153," ",""),"0",""),"-",""))</f>
      </c>
      <c r="D156" s="14"/>
      <c r="E156" s="14" t="str">
        <f>LEN(SUBSTITUTE(SUBSTITUTE(SUBSTITUTE(E149," ",""),"0",""),"-",""))+LEN(SUBSTITUTE(SUBSTITUTE(SUBSTITUTE(F149," ",""),"0",""),"-",""))+LEN(SUBSTITUTE(SUBSTITUTE(SUBSTITUTE(E150," ",""),"0",""),"-",""))+LEN(SUBSTITUTE(SUBSTITUTE(SUBSTITUTE(F150," ",""),"0",""),"-",""))+LEN(SUBSTITUTE(SUBSTITUTE(SUBSTITUTE(E151," ",""),"0",""),"-",""))+LEN(SUBSTITUTE(SUBSTITUTE(SUBSTITUTE(F151," ",""),"0",""),"-",""))+LEN(SUBSTITUTE(SUBSTITUTE(SUBSTITUTE(E152," ",""),"0",""),"-",""))+LEN(SUBSTITUTE(SUBSTITUTE(SUBSTITUTE(F152," ",""),"0",""),"-",""))+LEN(SUBSTITUTE(SUBSTITUTE(SUBSTITUTE(E153," ",""),"0",""),"-",""))+LEN(SUBSTITUTE(SUBSTITUTE(SUBSTITUTE(F153," ",""),"0",""),"-",""))</f>
      </c>
      <c r="F156" s="14" t="str">
        <f>IF(UPPER(D149)="X",0,IF((LEN(SUBSTITUTE(SUBSTITUTE(SUBSTITUTE(E149," ",""),"0",""),"-",""))+LEN(SUBSTITUTE(SUBSTITUTE(SUBSTITUTE(F149," ",""),"0",""),"-","")))&gt;(LEN(SUBSTITUTE(SUBSTITUTE(SUBSTITUTE(B149," ",""),"0",""),"-",""))+LEN(SUBSTITUTE(SUBSTITUTE(SUBSTITUTE(C149," ",""),"0",""),"-",""))),1,0))+IF(UPPER(D150)="X",0,IF((LEN(SUBSTITUTE(SUBSTITUTE(SUBSTITUTE(E150," ",""),"0",""),"-",""))+LEN(SUBSTITUTE(SUBSTITUTE(SUBSTITUTE(F150," ",""),"0",""),"-","")))&gt;(LEN(SUBSTITUTE(SUBSTITUTE(SUBSTITUTE(B150," ",""),"0",""),"-",""))+LEN(SUBSTITUTE(SUBSTITUTE(SUBSTITUTE(C150," ",""),"0",""),"-",""))),1,0))+IF(UPPER(D151)="X",0,IF((LEN(SUBSTITUTE(SUBSTITUTE(SUBSTITUTE(E151," ",""),"0",""),"-",""))+LEN(SUBSTITUTE(SUBSTITUTE(SUBSTITUTE(F151," ",""),"0",""),"-","")))&gt;(LEN(SUBSTITUTE(SUBSTITUTE(SUBSTITUTE(B151," ",""),"0",""),"-",""))+LEN(SUBSTITUTE(SUBSTITUTE(SUBSTITUTE(C151," ",""),"0",""),"-",""))),1,0))+IF(UPPER(D152)="X",0,IF((LEN(SUBSTITUTE(SUBSTITUTE(SUBSTITUTE(E152," ",""),"0",""),"-",""))+LEN(SUBSTITUTE(SUBSTITUTE(SUBSTITUTE(F152," ",""),"0",""),"-","")))&gt;(LEN(SUBSTITUTE(SUBSTITUTE(SUBSTITUTE(B152," ",""),"0",""),"-",""))+LEN(SUBSTITUTE(SUBSTITUTE(SUBSTITUTE(C152," ",""),"0",""),"-",""))),1,0))+IF(UPPER(D153)="X",0,IF((LEN(SUBSTITUTE(SUBSTITUTE(SUBSTITUTE(E153," ",""),"0",""),"-",""))+LEN(SUBSTITUTE(SUBSTITUTE(SUBSTITUTE(F153," ",""),"0",""),"-","")))&gt;(LEN(SUBSTITUTE(SUBSTITUTE(SUBSTITUTE(B153," ",""),"0",""),"-",""))+LEN(SUBSTITUTE(SUBSTITUTE(SUBSTITUTE(C153," ",""),"0",""),"-",""))),1,0))</f>
      </c>
      <c r="G156" s="14" t="s">
        <v>349</v>
      </c>
      <c r="I156" s="14" t="s">
        <v>349</v>
      </c>
      <c r="J156" s="14" t="str">
        <f>IF(UPPER(L149)="X",0,IF((LEN(SUBSTITUTE(SUBSTITUTE(SUBSTITUTE(J149," ",""),"0",""),"-",""))+LEN(SUBSTITUTE(SUBSTITUTE(SUBSTITUTE(K149," ",""),"0",""),"-","")))&gt;(LEN(SUBSTITUTE(SUBSTITUTE(SUBSTITUTE(M149," ",""),"0",""),"-",""))+LEN(SUBSTITUTE(SUBSTITUTE(SUBSTITUTE(N149," ",""),"0",""),"-",""))),1,0))+IF(UPPER(L150)="X",0,IF((LEN(SUBSTITUTE(SUBSTITUTE(SUBSTITUTE(J150," ",""),"0",""),"-",""))+LEN(SUBSTITUTE(SUBSTITUTE(SUBSTITUTE(K150," ",""),"0",""),"-","")))&gt;(LEN(SUBSTITUTE(SUBSTITUTE(SUBSTITUTE(M150," ",""),"0",""),"-",""))+LEN(SUBSTITUTE(SUBSTITUTE(SUBSTITUTE(N150," ",""),"0",""),"-",""))),1,0))+IF(UPPER(L151)="X",0,IF((LEN(SUBSTITUTE(SUBSTITUTE(SUBSTITUTE(J151," ",""),"0",""),"-",""))+LEN(SUBSTITUTE(SUBSTITUTE(SUBSTITUTE(K151," ",""),"0",""),"-","")))&gt;(LEN(SUBSTITUTE(SUBSTITUTE(SUBSTITUTE(M151," ",""),"0",""),"-",""))+LEN(SUBSTITUTE(SUBSTITUTE(SUBSTITUTE(N151," ",""),"0",""),"-",""))),1,0))+IF(UPPER(L152)="X",0,IF((LEN(SUBSTITUTE(SUBSTITUTE(SUBSTITUTE(J152," ",""),"0",""),"-",""))+LEN(SUBSTITUTE(SUBSTITUTE(SUBSTITUTE(K152," ",""),"0",""),"-","")))&gt;(LEN(SUBSTITUTE(SUBSTITUTE(SUBSTITUTE(M152," ",""),"0",""),"-",""))+LEN(SUBSTITUTE(SUBSTITUTE(SUBSTITUTE(N152," ",""),"0",""),"-",""))),1,0))+IF(UPPER(L153)="X",0,IF((LEN(SUBSTITUTE(SUBSTITUTE(SUBSTITUTE(J153," ",""),"0",""),"-",""))+LEN(SUBSTITUTE(SUBSTITUTE(SUBSTITUTE(K153," ",""),"0",""),"-","")))&gt;(LEN(SUBSTITUTE(SUBSTITUTE(SUBSTITUTE(M153," ",""),"0",""),"-",""))+LEN(SUBSTITUTE(SUBSTITUTE(SUBSTITUTE(N153," ",""),"0",""),"-",""))),1,0))</f>
      </c>
      <c r="K156" s="14" t="str">
        <f>LEN(SUBSTITUTE(SUBSTITUTE(SUBSTITUTE(J149," ",""),"0",""),"-",""))+LEN(SUBSTITUTE(SUBSTITUTE(SUBSTITUTE(K149," ",""),"0",""),"-",""))+LEN(SUBSTITUTE(SUBSTITUTE(SUBSTITUTE(J150," ",""),"0",""),"-",""))+LEN(SUBSTITUTE(SUBSTITUTE(SUBSTITUTE(K150," ",""),"0",""),"-",""))+LEN(SUBSTITUTE(SUBSTITUTE(SUBSTITUTE(J151," ",""),"0",""),"-",""))+LEN(SUBSTITUTE(SUBSTITUTE(SUBSTITUTE(K151," ",""),"0",""),"-",""))+LEN(SUBSTITUTE(SUBSTITUTE(SUBSTITUTE(J152," ",""),"0",""),"-",""))+LEN(SUBSTITUTE(SUBSTITUTE(SUBSTITUTE(K152," ",""),"0",""),"-",""))+LEN(SUBSTITUTE(SUBSTITUTE(SUBSTITUTE(J153," ",""),"0",""),"-",""))+LEN(SUBSTITUTE(SUBSTITUTE(SUBSTITUTE(K153," ",""),"0",""),"-",""))</f>
      </c>
      <c r="L156" s="14"/>
      <c r="M156" s="14" t="str">
        <f>LEN(SUBSTITUTE(SUBSTITUTE(SUBSTITUTE(M149," ",""),"0",""),"-",""))+LEN(SUBSTITUTE(SUBSTITUTE(SUBSTITUTE(N149," ",""),"0",""),"-",""))+LEN(SUBSTITUTE(SUBSTITUTE(SUBSTITUTE(M150," ",""),"0",""),"-",""))+LEN(SUBSTITUTE(SUBSTITUTE(SUBSTITUTE(N150," ",""),"0",""),"-",""))+LEN(SUBSTITUTE(SUBSTITUTE(SUBSTITUTE(M151," ",""),"0",""),"-",""))+LEN(SUBSTITUTE(SUBSTITUTE(SUBSTITUTE(N151," ",""),"0",""),"-",""))+LEN(SUBSTITUTE(SUBSTITUTE(SUBSTITUTE(M152," ",""),"0",""),"-",""))+LEN(SUBSTITUTE(SUBSTITUTE(SUBSTITUTE(N152," ",""),"0",""),"-",""))+LEN(SUBSTITUTE(SUBSTITUTE(SUBSTITUTE(M153," ",""),"0",""),"-",""))+LEN(SUBSTITUTE(SUBSTITUTE(SUBSTITUTE(N153," ",""),"0",""),"-",""))</f>
      </c>
      <c r="N156" s="14" t="str">
        <f>IF(UPPER(L149)="X",0,IF((LEN(SUBSTITUTE(SUBSTITUTE(SUBSTITUTE(M149," ",""),"0",""),"-",""))+LEN(SUBSTITUTE(SUBSTITUTE(SUBSTITUTE(N149," ",""),"0",""),"-","")))&gt;(LEN(SUBSTITUTE(SUBSTITUTE(SUBSTITUTE(J149," ",""),"0",""),"-",""))+LEN(SUBSTITUTE(SUBSTITUTE(SUBSTITUTE(K149," ",""),"0",""),"-",""))),1,0))+IF(UPPER(L150)="X",0,IF((LEN(SUBSTITUTE(SUBSTITUTE(SUBSTITUTE(M150," ",""),"0",""),"-",""))+LEN(SUBSTITUTE(SUBSTITUTE(SUBSTITUTE(N150," ",""),"0",""),"-","")))&gt;(LEN(SUBSTITUTE(SUBSTITUTE(SUBSTITUTE(J150," ",""),"0",""),"-",""))+LEN(SUBSTITUTE(SUBSTITUTE(SUBSTITUTE(K150," ",""),"0",""),"-",""))),1,0))+IF(UPPER(L151)="X",0,IF((LEN(SUBSTITUTE(SUBSTITUTE(SUBSTITUTE(M151," ",""),"0",""),"-",""))+LEN(SUBSTITUTE(SUBSTITUTE(SUBSTITUTE(N151," ",""),"0",""),"-","")))&gt;(LEN(SUBSTITUTE(SUBSTITUTE(SUBSTITUTE(J151," ",""),"0",""),"-",""))+LEN(SUBSTITUTE(SUBSTITUTE(SUBSTITUTE(K151," ",""),"0",""),"-",""))),1,0))+IF(UPPER(L152)="X",0,IF((LEN(SUBSTITUTE(SUBSTITUTE(SUBSTITUTE(M152," ",""),"0",""),"-",""))+LEN(SUBSTITUTE(SUBSTITUTE(SUBSTITUTE(N152," ",""),"0",""),"-","")))&gt;(LEN(SUBSTITUTE(SUBSTITUTE(SUBSTITUTE(J152," ",""),"0",""),"-",""))+LEN(SUBSTITUTE(SUBSTITUTE(SUBSTITUTE(K152," ",""),"0",""),"-",""))),1,0))+IF(UPPER(L153)="X",0,IF((LEN(SUBSTITUTE(SUBSTITUTE(SUBSTITUTE(M153," ",""),"0",""),"-",""))+LEN(SUBSTITUTE(SUBSTITUTE(SUBSTITUTE(N153," ",""),"0",""),"-","")))&gt;(LEN(SUBSTITUTE(SUBSTITUTE(SUBSTITUTE(J153," ",""),"0",""),"-",""))+LEN(SUBSTITUTE(SUBSTITUTE(SUBSTITUTE(K153," ",""),"0",""),"-",""))),1,0))</f>
      </c>
      <c r="O156" s="14" t="s">
        <v>349</v>
      </c>
    </row>
    <row r="159">
      <c r="F159" t="s">
        <v>344</v>
      </c>
      <c r="G159" s="19"/>
      <c r="N159" t="s">
        <v>344</v>
      </c>
      <c r="O159" s="19"/>
    </row>
    <row r="160">
      <c r="F160" t="s">
        <v>345</v>
      </c>
      <c r="G160" s="19"/>
      <c r="N160" t="s">
        <v>345</v>
      </c>
      <c r="O160" s="19"/>
    </row>
    <row r="162">
      <c r="A162" s="13" t="s">
        <v>369</v>
      </c>
      <c r="B162" s="13"/>
      <c r="C162" s="13"/>
      <c r="D162" s="13"/>
      <c r="E162" s="13"/>
      <c r="F162" s="13"/>
      <c r="G162" s="13"/>
      <c r="I162" s="13" t="s">
        <v>370</v>
      </c>
      <c r="J162" s="13"/>
      <c r="K162" s="13"/>
      <c r="L162" s="13"/>
      <c r="M162" s="13"/>
      <c r="N162" s="13"/>
      <c r="O162" s="13"/>
    </row>
    <row r="163">
      <c r="A163" s="17" t="s">
        <v>330</v>
      </c>
      <c r="D163" s="14" t="s">
        <v>331</v>
      </c>
      <c r="G163" s="16" t="s">
        <v>332</v>
      </c>
      <c r="I163" s="17" t="s">
        <v>330</v>
      </c>
      <c r="L163" s="14" t="s">
        <v>331</v>
      </c>
      <c r="O163" s="16" t="s">
        <v>332</v>
      </c>
    </row>
    <row r="164">
      <c r="A164" s="14" t="str">
        <f>CONCATENATE("Pool Z-2nd ",'Pool Matches'!O481)</f>
      </c>
      <c r="B164" s="14"/>
      <c r="C164" s="14"/>
      <c r="D164" s="18"/>
      <c r="E164" s="14"/>
      <c r="F164" s="14"/>
      <c r="G164" s="14" t="str">
        <f>CONCATENATE("Pool K-1st ",'Pool Matches'!G480)</f>
      </c>
      <c r="I164" s="14" t="str">
        <f>CONCATENATE("Pool K-2nd ",'Pool Matches'!G481)</f>
      </c>
      <c r="J164" s="14"/>
      <c r="K164" s="14"/>
      <c r="L164" s="18"/>
      <c r="M164" s="14"/>
      <c r="N164" s="14"/>
      <c r="O164" s="14" t="str">
        <f>CONCATENATE("Pool Z-1st ",'Pool Matches'!O480)</f>
      </c>
    </row>
    <row r="165">
      <c r="A165" s="14">
        <v>1</v>
      </c>
      <c r="B165" s="18"/>
      <c r="C165" s="18"/>
      <c r="D165" s="18"/>
      <c r="E165" s="18"/>
      <c r="F165" s="18"/>
      <c r="G165" s="14">
        <v>1</v>
      </c>
      <c r="I165" s="14">
        <v>1</v>
      </c>
      <c r="J165" s="18"/>
      <c r="K165" s="18"/>
      <c r="L165" s="18"/>
      <c r="M165" s="18"/>
      <c r="N165" s="18"/>
      <c r="O165" s="14">
        <v>1</v>
      </c>
    </row>
    <row r="166">
      <c r="A166" s="14">
        <v>2</v>
      </c>
      <c r="B166" s="18"/>
      <c r="C166" s="18"/>
      <c r="D166" s="18"/>
      <c r="E166" s="18"/>
      <c r="F166" s="18"/>
      <c r="G166" s="14">
        <v>2</v>
      </c>
      <c r="I166" s="14">
        <v>2</v>
      </c>
      <c r="J166" s="18"/>
      <c r="K166" s="18"/>
      <c r="L166" s="18"/>
      <c r="M166" s="18"/>
      <c r="N166" s="18"/>
      <c r="O166" s="14">
        <v>2</v>
      </c>
    </row>
    <row r="167">
      <c r="A167" s="14">
        <v>3</v>
      </c>
      <c r="B167" s="18"/>
      <c r="C167" s="18"/>
      <c r="D167" s="18"/>
      <c r="E167" s="18"/>
      <c r="F167" s="18"/>
      <c r="G167" s="14">
        <v>3</v>
      </c>
      <c r="I167" s="14">
        <v>3</v>
      </c>
      <c r="J167" s="18"/>
      <c r="K167" s="18"/>
      <c r="L167" s="18"/>
      <c r="M167" s="18"/>
      <c r="N167" s="18"/>
      <c r="O167" s="14">
        <v>3</v>
      </c>
    </row>
    <row r="168">
      <c r="A168" s="14">
        <v>4</v>
      </c>
      <c r="B168" s="18"/>
      <c r="C168" s="18"/>
      <c r="D168" s="18"/>
      <c r="E168" s="18"/>
      <c r="F168" s="18"/>
      <c r="G168" s="14">
        <v>4</v>
      </c>
      <c r="I168" s="14">
        <v>4</v>
      </c>
      <c r="J168" s="18"/>
      <c r="K168" s="18"/>
      <c r="L168" s="18"/>
      <c r="M168" s="18"/>
      <c r="N168" s="18"/>
      <c r="O168" s="14">
        <v>4</v>
      </c>
    </row>
    <row r="169">
      <c r="A169" s="14">
        <v>5</v>
      </c>
      <c r="B169" s="18"/>
      <c r="C169" s="18"/>
      <c r="D169" s="18"/>
      <c r="E169" s="18"/>
      <c r="F169" s="18"/>
      <c r="G169" s="14">
        <v>5</v>
      </c>
      <c r="I169" s="14">
        <v>5</v>
      </c>
      <c r="J169" s="18"/>
      <c r="K169" s="18"/>
      <c r="L169" s="18"/>
      <c r="M169" s="18"/>
      <c r="N169" s="18"/>
      <c r="O169" s="14">
        <v>5</v>
      </c>
    </row>
    <row r="171">
      <c r="A171" s="14" t="str">
        <f>CONCATENATE("Pool Z-2nd ",'Pool Matches'!O481)</f>
      </c>
      <c r="B171" s="14" t="s">
        <v>338</v>
      </c>
      <c r="C171" s="14" t="s">
        <v>341</v>
      </c>
      <c r="D171" s="14"/>
      <c r="E171" s="14" t="s">
        <v>341</v>
      </c>
      <c r="F171" s="14" t="s">
        <v>338</v>
      </c>
      <c r="G171" s="14" t="str">
        <f>CONCATENATE("Pool K-1st ",'Pool Matches'!G480)</f>
      </c>
      <c r="I171" s="14" t="str">
        <f>CONCATENATE("Pool K-2nd ",'Pool Matches'!G481)</f>
      </c>
      <c r="J171" s="14" t="s">
        <v>338</v>
      </c>
      <c r="K171" s="14" t="s">
        <v>341</v>
      </c>
      <c r="L171" s="14"/>
      <c r="M171" s="14" t="s">
        <v>341</v>
      </c>
      <c r="N171" s="14" t="s">
        <v>338</v>
      </c>
      <c r="O171" s="14" t="str">
        <f>CONCATENATE("Pool Z-1st ",'Pool Matches'!O480)</f>
      </c>
    </row>
    <row r="172">
      <c r="A172" s="14" t="s">
        <v>349</v>
      </c>
      <c r="B172" s="14" t="str">
        <f>IF(UPPER(D165)="X",0,IF((LEN(SUBSTITUTE(SUBSTITUTE(SUBSTITUTE(B165," ",""),"0",""),"-",""))+LEN(SUBSTITUTE(SUBSTITUTE(SUBSTITUTE(C165," ",""),"0",""),"-","")))&gt;(LEN(SUBSTITUTE(SUBSTITUTE(SUBSTITUTE(E165," ",""),"0",""),"-",""))+LEN(SUBSTITUTE(SUBSTITUTE(SUBSTITUTE(F165," ",""),"0",""),"-",""))),1,0))+IF(UPPER(D166)="X",0,IF((LEN(SUBSTITUTE(SUBSTITUTE(SUBSTITUTE(B166," ",""),"0",""),"-",""))+LEN(SUBSTITUTE(SUBSTITUTE(SUBSTITUTE(C166," ",""),"0",""),"-","")))&gt;(LEN(SUBSTITUTE(SUBSTITUTE(SUBSTITUTE(E166," ",""),"0",""),"-",""))+LEN(SUBSTITUTE(SUBSTITUTE(SUBSTITUTE(F166," ",""),"0",""),"-",""))),1,0))+IF(UPPER(D167)="X",0,IF((LEN(SUBSTITUTE(SUBSTITUTE(SUBSTITUTE(B167," ",""),"0",""),"-",""))+LEN(SUBSTITUTE(SUBSTITUTE(SUBSTITUTE(C167," ",""),"0",""),"-","")))&gt;(LEN(SUBSTITUTE(SUBSTITUTE(SUBSTITUTE(E167," ",""),"0",""),"-",""))+LEN(SUBSTITUTE(SUBSTITUTE(SUBSTITUTE(F167," ",""),"0",""),"-",""))),1,0))+IF(UPPER(D168)="X",0,IF((LEN(SUBSTITUTE(SUBSTITUTE(SUBSTITUTE(B168," ",""),"0",""),"-",""))+LEN(SUBSTITUTE(SUBSTITUTE(SUBSTITUTE(C168," ",""),"0",""),"-","")))&gt;(LEN(SUBSTITUTE(SUBSTITUTE(SUBSTITUTE(E168," ",""),"0",""),"-",""))+LEN(SUBSTITUTE(SUBSTITUTE(SUBSTITUTE(F168," ",""),"0",""),"-",""))),1,0))+IF(UPPER(D169)="X",0,IF((LEN(SUBSTITUTE(SUBSTITUTE(SUBSTITUTE(B169," ",""),"0",""),"-",""))+LEN(SUBSTITUTE(SUBSTITUTE(SUBSTITUTE(C169," ",""),"0",""),"-","")))&gt;(LEN(SUBSTITUTE(SUBSTITUTE(SUBSTITUTE(E169," ",""),"0",""),"-",""))+LEN(SUBSTITUTE(SUBSTITUTE(SUBSTITUTE(F169," ",""),"0",""),"-",""))),1,0))</f>
      </c>
      <c r="C172" s="14" t="str">
        <f>LEN(SUBSTITUTE(SUBSTITUTE(SUBSTITUTE(B165," ",""),"0",""),"-",""))+LEN(SUBSTITUTE(SUBSTITUTE(SUBSTITUTE(C165," ",""),"0",""),"-",""))+LEN(SUBSTITUTE(SUBSTITUTE(SUBSTITUTE(B166," ",""),"0",""),"-",""))+LEN(SUBSTITUTE(SUBSTITUTE(SUBSTITUTE(C166," ",""),"0",""),"-",""))+LEN(SUBSTITUTE(SUBSTITUTE(SUBSTITUTE(B167," ",""),"0",""),"-",""))+LEN(SUBSTITUTE(SUBSTITUTE(SUBSTITUTE(C167," ",""),"0",""),"-",""))+LEN(SUBSTITUTE(SUBSTITUTE(SUBSTITUTE(B168," ",""),"0",""),"-",""))+LEN(SUBSTITUTE(SUBSTITUTE(SUBSTITUTE(C168," ",""),"0",""),"-",""))+LEN(SUBSTITUTE(SUBSTITUTE(SUBSTITUTE(B169," ",""),"0",""),"-",""))+LEN(SUBSTITUTE(SUBSTITUTE(SUBSTITUTE(C169," ",""),"0",""),"-",""))</f>
      </c>
      <c r="D172" s="14"/>
      <c r="E172" s="14" t="str">
        <f>LEN(SUBSTITUTE(SUBSTITUTE(SUBSTITUTE(E165," ",""),"0",""),"-",""))+LEN(SUBSTITUTE(SUBSTITUTE(SUBSTITUTE(F165," ",""),"0",""),"-",""))+LEN(SUBSTITUTE(SUBSTITUTE(SUBSTITUTE(E166," ",""),"0",""),"-",""))+LEN(SUBSTITUTE(SUBSTITUTE(SUBSTITUTE(F166," ",""),"0",""),"-",""))+LEN(SUBSTITUTE(SUBSTITUTE(SUBSTITUTE(E167," ",""),"0",""),"-",""))+LEN(SUBSTITUTE(SUBSTITUTE(SUBSTITUTE(F167," ",""),"0",""),"-",""))+LEN(SUBSTITUTE(SUBSTITUTE(SUBSTITUTE(E168," ",""),"0",""),"-",""))+LEN(SUBSTITUTE(SUBSTITUTE(SUBSTITUTE(F168," ",""),"0",""),"-",""))+LEN(SUBSTITUTE(SUBSTITUTE(SUBSTITUTE(E169," ",""),"0",""),"-",""))+LEN(SUBSTITUTE(SUBSTITUTE(SUBSTITUTE(F169," ",""),"0",""),"-",""))</f>
      </c>
      <c r="F172" s="14" t="str">
        <f>IF(UPPER(D165)="X",0,IF((LEN(SUBSTITUTE(SUBSTITUTE(SUBSTITUTE(E165," ",""),"0",""),"-",""))+LEN(SUBSTITUTE(SUBSTITUTE(SUBSTITUTE(F165," ",""),"0",""),"-","")))&gt;(LEN(SUBSTITUTE(SUBSTITUTE(SUBSTITUTE(B165," ",""),"0",""),"-",""))+LEN(SUBSTITUTE(SUBSTITUTE(SUBSTITUTE(C165," ",""),"0",""),"-",""))),1,0))+IF(UPPER(D166)="X",0,IF((LEN(SUBSTITUTE(SUBSTITUTE(SUBSTITUTE(E166," ",""),"0",""),"-",""))+LEN(SUBSTITUTE(SUBSTITUTE(SUBSTITUTE(F166," ",""),"0",""),"-","")))&gt;(LEN(SUBSTITUTE(SUBSTITUTE(SUBSTITUTE(B166," ",""),"0",""),"-",""))+LEN(SUBSTITUTE(SUBSTITUTE(SUBSTITUTE(C166," ",""),"0",""),"-",""))),1,0))+IF(UPPER(D167)="X",0,IF((LEN(SUBSTITUTE(SUBSTITUTE(SUBSTITUTE(E167," ",""),"0",""),"-",""))+LEN(SUBSTITUTE(SUBSTITUTE(SUBSTITUTE(F167," ",""),"0",""),"-","")))&gt;(LEN(SUBSTITUTE(SUBSTITUTE(SUBSTITUTE(B167," ",""),"0",""),"-",""))+LEN(SUBSTITUTE(SUBSTITUTE(SUBSTITUTE(C167," ",""),"0",""),"-",""))),1,0))+IF(UPPER(D168)="X",0,IF((LEN(SUBSTITUTE(SUBSTITUTE(SUBSTITUTE(E168," ",""),"0",""),"-",""))+LEN(SUBSTITUTE(SUBSTITUTE(SUBSTITUTE(F168," ",""),"0",""),"-","")))&gt;(LEN(SUBSTITUTE(SUBSTITUTE(SUBSTITUTE(B168," ",""),"0",""),"-",""))+LEN(SUBSTITUTE(SUBSTITUTE(SUBSTITUTE(C168," ",""),"0",""),"-",""))),1,0))+IF(UPPER(D169)="X",0,IF((LEN(SUBSTITUTE(SUBSTITUTE(SUBSTITUTE(E169," ",""),"0",""),"-",""))+LEN(SUBSTITUTE(SUBSTITUTE(SUBSTITUTE(F169," ",""),"0",""),"-","")))&gt;(LEN(SUBSTITUTE(SUBSTITUTE(SUBSTITUTE(B169," ",""),"0",""),"-",""))+LEN(SUBSTITUTE(SUBSTITUTE(SUBSTITUTE(C169," ",""),"0",""),"-",""))),1,0))</f>
      </c>
      <c r="G172" s="14" t="s">
        <v>349</v>
      </c>
      <c r="I172" s="14" t="s">
        <v>349</v>
      </c>
      <c r="J172" s="14" t="str">
        <f>IF(UPPER(L165)="X",0,IF((LEN(SUBSTITUTE(SUBSTITUTE(SUBSTITUTE(J165," ",""),"0",""),"-",""))+LEN(SUBSTITUTE(SUBSTITUTE(SUBSTITUTE(K165," ",""),"0",""),"-","")))&gt;(LEN(SUBSTITUTE(SUBSTITUTE(SUBSTITUTE(M165," ",""),"0",""),"-",""))+LEN(SUBSTITUTE(SUBSTITUTE(SUBSTITUTE(N165," ",""),"0",""),"-",""))),1,0))+IF(UPPER(L166)="X",0,IF((LEN(SUBSTITUTE(SUBSTITUTE(SUBSTITUTE(J166," ",""),"0",""),"-",""))+LEN(SUBSTITUTE(SUBSTITUTE(SUBSTITUTE(K166," ",""),"0",""),"-","")))&gt;(LEN(SUBSTITUTE(SUBSTITUTE(SUBSTITUTE(M166," ",""),"0",""),"-",""))+LEN(SUBSTITUTE(SUBSTITUTE(SUBSTITUTE(N166," ",""),"0",""),"-",""))),1,0))+IF(UPPER(L167)="X",0,IF((LEN(SUBSTITUTE(SUBSTITUTE(SUBSTITUTE(J167," ",""),"0",""),"-",""))+LEN(SUBSTITUTE(SUBSTITUTE(SUBSTITUTE(K167," ",""),"0",""),"-","")))&gt;(LEN(SUBSTITUTE(SUBSTITUTE(SUBSTITUTE(M167," ",""),"0",""),"-",""))+LEN(SUBSTITUTE(SUBSTITUTE(SUBSTITUTE(N167," ",""),"0",""),"-",""))),1,0))+IF(UPPER(L168)="X",0,IF((LEN(SUBSTITUTE(SUBSTITUTE(SUBSTITUTE(J168," ",""),"0",""),"-",""))+LEN(SUBSTITUTE(SUBSTITUTE(SUBSTITUTE(K168," ",""),"0",""),"-","")))&gt;(LEN(SUBSTITUTE(SUBSTITUTE(SUBSTITUTE(M168," ",""),"0",""),"-",""))+LEN(SUBSTITUTE(SUBSTITUTE(SUBSTITUTE(N168," ",""),"0",""),"-",""))),1,0))+IF(UPPER(L169)="X",0,IF((LEN(SUBSTITUTE(SUBSTITUTE(SUBSTITUTE(J169," ",""),"0",""),"-",""))+LEN(SUBSTITUTE(SUBSTITUTE(SUBSTITUTE(K169," ",""),"0",""),"-","")))&gt;(LEN(SUBSTITUTE(SUBSTITUTE(SUBSTITUTE(M169," ",""),"0",""),"-",""))+LEN(SUBSTITUTE(SUBSTITUTE(SUBSTITUTE(N169," ",""),"0",""),"-",""))),1,0))</f>
      </c>
      <c r="K172" s="14" t="str">
        <f>LEN(SUBSTITUTE(SUBSTITUTE(SUBSTITUTE(J165," ",""),"0",""),"-",""))+LEN(SUBSTITUTE(SUBSTITUTE(SUBSTITUTE(K165," ",""),"0",""),"-",""))+LEN(SUBSTITUTE(SUBSTITUTE(SUBSTITUTE(J166," ",""),"0",""),"-",""))+LEN(SUBSTITUTE(SUBSTITUTE(SUBSTITUTE(K166," ",""),"0",""),"-",""))+LEN(SUBSTITUTE(SUBSTITUTE(SUBSTITUTE(J167," ",""),"0",""),"-",""))+LEN(SUBSTITUTE(SUBSTITUTE(SUBSTITUTE(K167," ",""),"0",""),"-",""))+LEN(SUBSTITUTE(SUBSTITUTE(SUBSTITUTE(J168," ",""),"0",""),"-",""))+LEN(SUBSTITUTE(SUBSTITUTE(SUBSTITUTE(K168," ",""),"0",""),"-",""))+LEN(SUBSTITUTE(SUBSTITUTE(SUBSTITUTE(J169," ",""),"0",""),"-",""))+LEN(SUBSTITUTE(SUBSTITUTE(SUBSTITUTE(K169," ",""),"0",""),"-",""))</f>
      </c>
      <c r="L172" s="14"/>
      <c r="M172" s="14" t="str">
        <f>LEN(SUBSTITUTE(SUBSTITUTE(SUBSTITUTE(M165," ",""),"0",""),"-",""))+LEN(SUBSTITUTE(SUBSTITUTE(SUBSTITUTE(N165," ",""),"0",""),"-",""))+LEN(SUBSTITUTE(SUBSTITUTE(SUBSTITUTE(M166," ",""),"0",""),"-",""))+LEN(SUBSTITUTE(SUBSTITUTE(SUBSTITUTE(N166," ",""),"0",""),"-",""))+LEN(SUBSTITUTE(SUBSTITUTE(SUBSTITUTE(M167," ",""),"0",""),"-",""))+LEN(SUBSTITUTE(SUBSTITUTE(SUBSTITUTE(N167," ",""),"0",""),"-",""))+LEN(SUBSTITUTE(SUBSTITUTE(SUBSTITUTE(M168," ",""),"0",""),"-",""))+LEN(SUBSTITUTE(SUBSTITUTE(SUBSTITUTE(N168," ",""),"0",""),"-",""))+LEN(SUBSTITUTE(SUBSTITUTE(SUBSTITUTE(M169," ",""),"0",""),"-",""))+LEN(SUBSTITUTE(SUBSTITUTE(SUBSTITUTE(N169," ",""),"0",""),"-",""))</f>
      </c>
      <c r="N172" s="14" t="str">
        <f>IF(UPPER(L165)="X",0,IF((LEN(SUBSTITUTE(SUBSTITUTE(SUBSTITUTE(M165," ",""),"0",""),"-",""))+LEN(SUBSTITUTE(SUBSTITUTE(SUBSTITUTE(N165," ",""),"0",""),"-","")))&gt;(LEN(SUBSTITUTE(SUBSTITUTE(SUBSTITUTE(J165," ",""),"0",""),"-",""))+LEN(SUBSTITUTE(SUBSTITUTE(SUBSTITUTE(K165," ",""),"0",""),"-",""))),1,0))+IF(UPPER(L166)="X",0,IF((LEN(SUBSTITUTE(SUBSTITUTE(SUBSTITUTE(M166," ",""),"0",""),"-",""))+LEN(SUBSTITUTE(SUBSTITUTE(SUBSTITUTE(N166," ",""),"0",""),"-","")))&gt;(LEN(SUBSTITUTE(SUBSTITUTE(SUBSTITUTE(J166," ",""),"0",""),"-",""))+LEN(SUBSTITUTE(SUBSTITUTE(SUBSTITUTE(K166," ",""),"0",""),"-",""))),1,0))+IF(UPPER(L167)="X",0,IF((LEN(SUBSTITUTE(SUBSTITUTE(SUBSTITUTE(M167," ",""),"0",""),"-",""))+LEN(SUBSTITUTE(SUBSTITUTE(SUBSTITUTE(N167," ",""),"0",""),"-","")))&gt;(LEN(SUBSTITUTE(SUBSTITUTE(SUBSTITUTE(J167," ",""),"0",""),"-",""))+LEN(SUBSTITUTE(SUBSTITUTE(SUBSTITUTE(K167," ",""),"0",""),"-",""))),1,0))+IF(UPPER(L168)="X",0,IF((LEN(SUBSTITUTE(SUBSTITUTE(SUBSTITUTE(M168," ",""),"0",""),"-",""))+LEN(SUBSTITUTE(SUBSTITUTE(SUBSTITUTE(N168," ",""),"0",""),"-","")))&gt;(LEN(SUBSTITUTE(SUBSTITUTE(SUBSTITUTE(J168," ",""),"0",""),"-",""))+LEN(SUBSTITUTE(SUBSTITUTE(SUBSTITUTE(K168," ",""),"0",""),"-",""))),1,0))+IF(UPPER(L169)="X",0,IF((LEN(SUBSTITUTE(SUBSTITUTE(SUBSTITUTE(M169," ",""),"0",""),"-",""))+LEN(SUBSTITUTE(SUBSTITUTE(SUBSTITUTE(N169," ",""),"0",""),"-","")))&gt;(LEN(SUBSTITUTE(SUBSTITUTE(SUBSTITUTE(J169," ",""),"0",""),"-",""))+LEN(SUBSTITUTE(SUBSTITUTE(SUBSTITUTE(K169," ",""),"0",""),"-",""))),1,0))</f>
      </c>
      <c r="O172" s="14" t="s">
        <v>349</v>
      </c>
    </row>
    <row r="175">
      <c r="F175" t="s">
        <v>344</v>
      </c>
      <c r="G175" s="19"/>
      <c r="N175" t="s">
        <v>344</v>
      </c>
      <c r="O175" s="19"/>
    </row>
    <row r="176">
      <c r="F176" t="s">
        <v>345</v>
      </c>
      <c r="G176" s="19"/>
      <c r="N176" t="s">
        <v>345</v>
      </c>
      <c r="O176" s="19"/>
    </row>
    <row r="178">
      <c r="A178" s="13" t="s">
        <v>371</v>
      </c>
      <c r="B178" s="13"/>
      <c r="C178" s="13"/>
      <c r="D178" s="13"/>
      <c r="E178" s="13"/>
      <c r="F178" s="13"/>
      <c r="G178" s="13"/>
      <c r="I178" s="13" t="s">
        <v>372</v>
      </c>
      <c r="J178" s="13"/>
      <c r="K178" s="13"/>
      <c r="L178" s="13"/>
      <c r="M178" s="13"/>
      <c r="N178" s="13"/>
      <c r="O178" s="13"/>
    </row>
    <row r="179">
      <c r="A179" s="17" t="s">
        <v>330</v>
      </c>
      <c r="D179" s="14" t="s">
        <v>331</v>
      </c>
      <c r="G179" s="16" t="s">
        <v>332</v>
      </c>
      <c r="I179" s="17" t="s">
        <v>330</v>
      </c>
      <c r="L179" s="14" t="s">
        <v>331</v>
      </c>
      <c r="O179" s="16" t="s">
        <v>332</v>
      </c>
    </row>
    <row r="180">
      <c r="A180" s="14" t="str">
        <f>CONCATENATE("Pool AA-2nd ",'Pool Matches'!O524)</f>
      </c>
      <c r="B180" s="14"/>
      <c r="C180" s="14"/>
      <c r="D180" s="18"/>
      <c r="E180" s="14"/>
      <c r="F180" s="14"/>
      <c r="G180" s="14" t="str">
        <f>CONCATENATE("Pool L-1st ",'Pool Matches'!G523)</f>
      </c>
      <c r="I180" s="14" t="str">
        <f>CONCATENATE("Pool L-2nd ",'Pool Matches'!G524)</f>
      </c>
      <c r="J180" s="14"/>
      <c r="K180" s="14"/>
      <c r="L180" s="18"/>
      <c r="M180" s="14"/>
      <c r="N180" s="14"/>
      <c r="O180" s="14" t="str">
        <f>CONCATENATE("Pool AA-1st ",'Pool Matches'!O523)</f>
      </c>
    </row>
    <row r="181">
      <c r="A181" s="14">
        <v>1</v>
      </c>
      <c r="B181" s="18"/>
      <c r="C181" s="18"/>
      <c r="D181" s="18"/>
      <c r="E181" s="18"/>
      <c r="F181" s="18"/>
      <c r="G181" s="14">
        <v>1</v>
      </c>
      <c r="I181" s="14">
        <v>1</v>
      </c>
      <c r="J181" s="18"/>
      <c r="K181" s="18"/>
      <c r="L181" s="18"/>
      <c r="M181" s="18"/>
      <c r="N181" s="18"/>
      <c r="O181" s="14">
        <v>1</v>
      </c>
    </row>
    <row r="182">
      <c r="A182" s="14">
        <v>2</v>
      </c>
      <c r="B182" s="18"/>
      <c r="C182" s="18"/>
      <c r="D182" s="18"/>
      <c r="E182" s="18"/>
      <c r="F182" s="18"/>
      <c r="G182" s="14">
        <v>2</v>
      </c>
      <c r="I182" s="14">
        <v>2</v>
      </c>
      <c r="J182" s="18"/>
      <c r="K182" s="18"/>
      <c r="L182" s="18"/>
      <c r="M182" s="18"/>
      <c r="N182" s="18"/>
      <c r="O182" s="14">
        <v>2</v>
      </c>
    </row>
    <row r="183">
      <c r="A183" s="14">
        <v>3</v>
      </c>
      <c r="B183" s="18"/>
      <c r="C183" s="18"/>
      <c r="D183" s="18"/>
      <c r="E183" s="18"/>
      <c r="F183" s="18"/>
      <c r="G183" s="14">
        <v>3</v>
      </c>
      <c r="I183" s="14">
        <v>3</v>
      </c>
      <c r="J183" s="18"/>
      <c r="K183" s="18"/>
      <c r="L183" s="18"/>
      <c r="M183" s="18"/>
      <c r="N183" s="18"/>
      <c r="O183" s="14">
        <v>3</v>
      </c>
    </row>
    <row r="184">
      <c r="A184" s="14">
        <v>4</v>
      </c>
      <c r="B184" s="18"/>
      <c r="C184" s="18"/>
      <c r="D184" s="18"/>
      <c r="E184" s="18"/>
      <c r="F184" s="18"/>
      <c r="G184" s="14">
        <v>4</v>
      </c>
      <c r="I184" s="14">
        <v>4</v>
      </c>
      <c r="J184" s="18"/>
      <c r="K184" s="18"/>
      <c r="L184" s="18"/>
      <c r="M184" s="18"/>
      <c r="N184" s="18"/>
      <c r="O184" s="14">
        <v>4</v>
      </c>
    </row>
    <row r="185">
      <c r="A185" s="14">
        <v>5</v>
      </c>
      <c r="B185" s="18"/>
      <c r="C185" s="18"/>
      <c r="D185" s="18"/>
      <c r="E185" s="18"/>
      <c r="F185" s="18"/>
      <c r="G185" s="14">
        <v>5</v>
      </c>
      <c r="I185" s="14">
        <v>5</v>
      </c>
      <c r="J185" s="18"/>
      <c r="K185" s="18"/>
      <c r="L185" s="18"/>
      <c r="M185" s="18"/>
      <c r="N185" s="18"/>
      <c r="O185" s="14">
        <v>5</v>
      </c>
    </row>
    <row r="187">
      <c r="A187" s="14" t="str">
        <f>CONCATENATE("Pool AA-2nd ",'Pool Matches'!O524)</f>
      </c>
      <c r="B187" s="14" t="s">
        <v>338</v>
      </c>
      <c r="C187" s="14" t="s">
        <v>341</v>
      </c>
      <c r="D187" s="14"/>
      <c r="E187" s="14" t="s">
        <v>341</v>
      </c>
      <c r="F187" s="14" t="s">
        <v>338</v>
      </c>
      <c r="G187" s="14" t="str">
        <f>CONCATENATE("Pool L-1st ",'Pool Matches'!G523)</f>
      </c>
      <c r="I187" s="14" t="str">
        <f>CONCATENATE("Pool L-2nd ",'Pool Matches'!G524)</f>
      </c>
      <c r="J187" s="14" t="s">
        <v>338</v>
      </c>
      <c r="K187" s="14" t="s">
        <v>341</v>
      </c>
      <c r="L187" s="14"/>
      <c r="M187" s="14" t="s">
        <v>341</v>
      </c>
      <c r="N187" s="14" t="s">
        <v>338</v>
      </c>
      <c r="O187" s="14" t="str">
        <f>CONCATENATE("Pool AA-1st ",'Pool Matches'!O523)</f>
      </c>
    </row>
    <row r="188">
      <c r="A188" s="14" t="s">
        <v>349</v>
      </c>
      <c r="B188" s="14" t="str">
        <f>IF(UPPER(D181)="X",0,IF((LEN(SUBSTITUTE(SUBSTITUTE(SUBSTITUTE(B181," ",""),"0",""),"-",""))+LEN(SUBSTITUTE(SUBSTITUTE(SUBSTITUTE(C181," ",""),"0",""),"-","")))&gt;(LEN(SUBSTITUTE(SUBSTITUTE(SUBSTITUTE(E181," ",""),"0",""),"-",""))+LEN(SUBSTITUTE(SUBSTITUTE(SUBSTITUTE(F181," ",""),"0",""),"-",""))),1,0))+IF(UPPER(D182)="X",0,IF((LEN(SUBSTITUTE(SUBSTITUTE(SUBSTITUTE(B182," ",""),"0",""),"-",""))+LEN(SUBSTITUTE(SUBSTITUTE(SUBSTITUTE(C182," ",""),"0",""),"-","")))&gt;(LEN(SUBSTITUTE(SUBSTITUTE(SUBSTITUTE(E182," ",""),"0",""),"-",""))+LEN(SUBSTITUTE(SUBSTITUTE(SUBSTITUTE(F182," ",""),"0",""),"-",""))),1,0))+IF(UPPER(D183)="X",0,IF((LEN(SUBSTITUTE(SUBSTITUTE(SUBSTITUTE(B183," ",""),"0",""),"-",""))+LEN(SUBSTITUTE(SUBSTITUTE(SUBSTITUTE(C183," ",""),"0",""),"-","")))&gt;(LEN(SUBSTITUTE(SUBSTITUTE(SUBSTITUTE(E183," ",""),"0",""),"-",""))+LEN(SUBSTITUTE(SUBSTITUTE(SUBSTITUTE(F183," ",""),"0",""),"-",""))),1,0))+IF(UPPER(D184)="X",0,IF((LEN(SUBSTITUTE(SUBSTITUTE(SUBSTITUTE(B184," ",""),"0",""),"-",""))+LEN(SUBSTITUTE(SUBSTITUTE(SUBSTITUTE(C184," ",""),"0",""),"-","")))&gt;(LEN(SUBSTITUTE(SUBSTITUTE(SUBSTITUTE(E184," ",""),"0",""),"-",""))+LEN(SUBSTITUTE(SUBSTITUTE(SUBSTITUTE(F184," ",""),"0",""),"-",""))),1,0))+IF(UPPER(D185)="X",0,IF((LEN(SUBSTITUTE(SUBSTITUTE(SUBSTITUTE(B185," ",""),"0",""),"-",""))+LEN(SUBSTITUTE(SUBSTITUTE(SUBSTITUTE(C185," ",""),"0",""),"-","")))&gt;(LEN(SUBSTITUTE(SUBSTITUTE(SUBSTITUTE(E185," ",""),"0",""),"-",""))+LEN(SUBSTITUTE(SUBSTITUTE(SUBSTITUTE(F185," ",""),"0",""),"-",""))),1,0))</f>
      </c>
      <c r="C188" s="14" t="str">
        <f>LEN(SUBSTITUTE(SUBSTITUTE(SUBSTITUTE(B181," ",""),"0",""),"-",""))+LEN(SUBSTITUTE(SUBSTITUTE(SUBSTITUTE(C181," ",""),"0",""),"-",""))+LEN(SUBSTITUTE(SUBSTITUTE(SUBSTITUTE(B182," ",""),"0",""),"-",""))+LEN(SUBSTITUTE(SUBSTITUTE(SUBSTITUTE(C182," ",""),"0",""),"-",""))+LEN(SUBSTITUTE(SUBSTITUTE(SUBSTITUTE(B183," ",""),"0",""),"-",""))+LEN(SUBSTITUTE(SUBSTITUTE(SUBSTITUTE(C183," ",""),"0",""),"-",""))+LEN(SUBSTITUTE(SUBSTITUTE(SUBSTITUTE(B184," ",""),"0",""),"-",""))+LEN(SUBSTITUTE(SUBSTITUTE(SUBSTITUTE(C184," ",""),"0",""),"-",""))+LEN(SUBSTITUTE(SUBSTITUTE(SUBSTITUTE(B185," ",""),"0",""),"-",""))+LEN(SUBSTITUTE(SUBSTITUTE(SUBSTITUTE(C185," ",""),"0",""),"-",""))</f>
      </c>
      <c r="D188" s="14"/>
      <c r="E188" s="14" t="str">
        <f>LEN(SUBSTITUTE(SUBSTITUTE(SUBSTITUTE(E181," ",""),"0",""),"-",""))+LEN(SUBSTITUTE(SUBSTITUTE(SUBSTITUTE(F181," ",""),"0",""),"-",""))+LEN(SUBSTITUTE(SUBSTITUTE(SUBSTITUTE(E182," ",""),"0",""),"-",""))+LEN(SUBSTITUTE(SUBSTITUTE(SUBSTITUTE(F182," ",""),"0",""),"-",""))+LEN(SUBSTITUTE(SUBSTITUTE(SUBSTITUTE(E183," ",""),"0",""),"-",""))+LEN(SUBSTITUTE(SUBSTITUTE(SUBSTITUTE(F183," ",""),"0",""),"-",""))+LEN(SUBSTITUTE(SUBSTITUTE(SUBSTITUTE(E184," ",""),"0",""),"-",""))+LEN(SUBSTITUTE(SUBSTITUTE(SUBSTITUTE(F184," ",""),"0",""),"-",""))+LEN(SUBSTITUTE(SUBSTITUTE(SUBSTITUTE(E185," ",""),"0",""),"-",""))+LEN(SUBSTITUTE(SUBSTITUTE(SUBSTITUTE(F185," ",""),"0",""),"-",""))</f>
      </c>
      <c r="F188" s="14" t="str">
        <f>IF(UPPER(D181)="X",0,IF((LEN(SUBSTITUTE(SUBSTITUTE(SUBSTITUTE(E181," ",""),"0",""),"-",""))+LEN(SUBSTITUTE(SUBSTITUTE(SUBSTITUTE(F181," ",""),"0",""),"-","")))&gt;(LEN(SUBSTITUTE(SUBSTITUTE(SUBSTITUTE(B181," ",""),"0",""),"-",""))+LEN(SUBSTITUTE(SUBSTITUTE(SUBSTITUTE(C181," ",""),"0",""),"-",""))),1,0))+IF(UPPER(D182)="X",0,IF((LEN(SUBSTITUTE(SUBSTITUTE(SUBSTITUTE(E182," ",""),"0",""),"-",""))+LEN(SUBSTITUTE(SUBSTITUTE(SUBSTITUTE(F182," ",""),"0",""),"-","")))&gt;(LEN(SUBSTITUTE(SUBSTITUTE(SUBSTITUTE(B182," ",""),"0",""),"-",""))+LEN(SUBSTITUTE(SUBSTITUTE(SUBSTITUTE(C182," ",""),"0",""),"-",""))),1,0))+IF(UPPER(D183)="X",0,IF((LEN(SUBSTITUTE(SUBSTITUTE(SUBSTITUTE(E183," ",""),"0",""),"-",""))+LEN(SUBSTITUTE(SUBSTITUTE(SUBSTITUTE(F183," ",""),"0",""),"-","")))&gt;(LEN(SUBSTITUTE(SUBSTITUTE(SUBSTITUTE(B183," ",""),"0",""),"-",""))+LEN(SUBSTITUTE(SUBSTITUTE(SUBSTITUTE(C183," ",""),"0",""),"-",""))),1,0))+IF(UPPER(D184)="X",0,IF((LEN(SUBSTITUTE(SUBSTITUTE(SUBSTITUTE(E184," ",""),"0",""),"-",""))+LEN(SUBSTITUTE(SUBSTITUTE(SUBSTITUTE(F184," ",""),"0",""),"-","")))&gt;(LEN(SUBSTITUTE(SUBSTITUTE(SUBSTITUTE(B184," ",""),"0",""),"-",""))+LEN(SUBSTITUTE(SUBSTITUTE(SUBSTITUTE(C184," ",""),"0",""),"-",""))),1,0))+IF(UPPER(D185)="X",0,IF((LEN(SUBSTITUTE(SUBSTITUTE(SUBSTITUTE(E185," ",""),"0",""),"-",""))+LEN(SUBSTITUTE(SUBSTITUTE(SUBSTITUTE(F185," ",""),"0",""),"-","")))&gt;(LEN(SUBSTITUTE(SUBSTITUTE(SUBSTITUTE(B185," ",""),"0",""),"-",""))+LEN(SUBSTITUTE(SUBSTITUTE(SUBSTITUTE(C185," ",""),"0",""),"-",""))),1,0))</f>
      </c>
      <c r="G188" s="14" t="s">
        <v>349</v>
      </c>
      <c r="I188" s="14" t="s">
        <v>349</v>
      </c>
      <c r="J188" s="14" t="str">
        <f>IF(UPPER(L181)="X",0,IF((LEN(SUBSTITUTE(SUBSTITUTE(SUBSTITUTE(J181," ",""),"0",""),"-",""))+LEN(SUBSTITUTE(SUBSTITUTE(SUBSTITUTE(K181," ",""),"0",""),"-","")))&gt;(LEN(SUBSTITUTE(SUBSTITUTE(SUBSTITUTE(M181," ",""),"0",""),"-",""))+LEN(SUBSTITUTE(SUBSTITUTE(SUBSTITUTE(N181," ",""),"0",""),"-",""))),1,0))+IF(UPPER(L182)="X",0,IF((LEN(SUBSTITUTE(SUBSTITUTE(SUBSTITUTE(J182," ",""),"0",""),"-",""))+LEN(SUBSTITUTE(SUBSTITUTE(SUBSTITUTE(K182," ",""),"0",""),"-","")))&gt;(LEN(SUBSTITUTE(SUBSTITUTE(SUBSTITUTE(M182," ",""),"0",""),"-",""))+LEN(SUBSTITUTE(SUBSTITUTE(SUBSTITUTE(N182," ",""),"0",""),"-",""))),1,0))+IF(UPPER(L183)="X",0,IF((LEN(SUBSTITUTE(SUBSTITUTE(SUBSTITUTE(J183," ",""),"0",""),"-",""))+LEN(SUBSTITUTE(SUBSTITUTE(SUBSTITUTE(K183," ",""),"0",""),"-","")))&gt;(LEN(SUBSTITUTE(SUBSTITUTE(SUBSTITUTE(M183," ",""),"0",""),"-",""))+LEN(SUBSTITUTE(SUBSTITUTE(SUBSTITUTE(N183," ",""),"0",""),"-",""))),1,0))+IF(UPPER(L184)="X",0,IF((LEN(SUBSTITUTE(SUBSTITUTE(SUBSTITUTE(J184," ",""),"0",""),"-",""))+LEN(SUBSTITUTE(SUBSTITUTE(SUBSTITUTE(K184," ",""),"0",""),"-","")))&gt;(LEN(SUBSTITUTE(SUBSTITUTE(SUBSTITUTE(M184," ",""),"0",""),"-",""))+LEN(SUBSTITUTE(SUBSTITUTE(SUBSTITUTE(N184," ",""),"0",""),"-",""))),1,0))+IF(UPPER(L185)="X",0,IF((LEN(SUBSTITUTE(SUBSTITUTE(SUBSTITUTE(J185," ",""),"0",""),"-",""))+LEN(SUBSTITUTE(SUBSTITUTE(SUBSTITUTE(K185," ",""),"0",""),"-","")))&gt;(LEN(SUBSTITUTE(SUBSTITUTE(SUBSTITUTE(M185," ",""),"0",""),"-",""))+LEN(SUBSTITUTE(SUBSTITUTE(SUBSTITUTE(N185," ",""),"0",""),"-",""))),1,0))</f>
      </c>
      <c r="K188" s="14" t="str">
        <f>LEN(SUBSTITUTE(SUBSTITUTE(SUBSTITUTE(J181," ",""),"0",""),"-",""))+LEN(SUBSTITUTE(SUBSTITUTE(SUBSTITUTE(K181," ",""),"0",""),"-",""))+LEN(SUBSTITUTE(SUBSTITUTE(SUBSTITUTE(J182," ",""),"0",""),"-",""))+LEN(SUBSTITUTE(SUBSTITUTE(SUBSTITUTE(K182," ",""),"0",""),"-",""))+LEN(SUBSTITUTE(SUBSTITUTE(SUBSTITUTE(J183," ",""),"0",""),"-",""))+LEN(SUBSTITUTE(SUBSTITUTE(SUBSTITUTE(K183," ",""),"0",""),"-",""))+LEN(SUBSTITUTE(SUBSTITUTE(SUBSTITUTE(J184," ",""),"0",""),"-",""))+LEN(SUBSTITUTE(SUBSTITUTE(SUBSTITUTE(K184," ",""),"0",""),"-",""))+LEN(SUBSTITUTE(SUBSTITUTE(SUBSTITUTE(J185," ",""),"0",""),"-",""))+LEN(SUBSTITUTE(SUBSTITUTE(SUBSTITUTE(K185," ",""),"0",""),"-",""))</f>
      </c>
      <c r="L188" s="14"/>
      <c r="M188" s="14" t="str">
        <f>LEN(SUBSTITUTE(SUBSTITUTE(SUBSTITUTE(M181," ",""),"0",""),"-",""))+LEN(SUBSTITUTE(SUBSTITUTE(SUBSTITUTE(N181," ",""),"0",""),"-",""))+LEN(SUBSTITUTE(SUBSTITUTE(SUBSTITUTE(M182," ",""),"0",""),"-",""))+LEN(SUBSTITUTE(SUBSTITUTE(SUBSTITUTE(N182," ",""),"0",""),"-",""))+LEN(SUBSTITUTE(SUBSTITUTE(SUBSTITUTE(M183," ",""),"0",""),"-",""))+LEN(SUBSTITUTE(SUBSTITUTE(SUBSTITUTE(N183," ",""),"0",""),"-",""))+LEN(SUBSTITUTE(SUBSTITUTE(SUBSTITUTE(M184," ",""),"0",""),"-",""))+LEN(SUBSTITUTE(SUBSTITUTE(SUBSTITUTE(N184," ",""),"0",""),"-",""))+LEN(SUBSTITUTE(SUBSTITUTE(SUBSTITUTE(M185," ",""),"0",""),"-",""))+LEN(SUBSTITUTE(SUBSTITUTE(SUBSTITUTE(N185," ",""),"0",""),"-",""))</f>
      </c>
      <c r="N188" s="14" t="str">
        <f>IF(UPPER(L181)="X",0,IF((LEN(SUBSTITUTE(SUBSTITUTE(SUBSTITUTE(M181," ",""),"0",""),"-",""))+LEN(SUBSTITUTE(SUBSTITUTE(SUBSTITUTE(N181," ",""),"0",""),"-","")))&gt;(LEN(SUBSTITUTE(SUBSTITUTE(SUBSTITUTE(J181," ",""),"0",""),"-",""))+LEN(SUBSTITUTE(SUBSTITUTE(SUBSTITUTE(K181," ",""),"0",""),"-",""))),1,0))+IF(UPPER(L182)="X",0,IF((LEN(SUBSTITUTE(SUBSTITUTE(SUBSTITUTE(M182," ",""),"0",""),"-",""))+LEN(SUBSTITUTE(SUBSTITUTE(SUBSTITUTE(N182," ",""),"0",""),"-","")))&gt;(LEN(SUBSTITUTE(SUBSTITUTE(SUBSTITUTE(J182," ",""),"0",""),"-",""))+LEN(SUBSTITUTE(SUBSTITUTE(SUBSTITUTE(K182," ",""),"0",""),"-",""))),1,0))+IF(UPPER(L183)="X",0,IF((LEN(SUBSTITUTE(SUBSTITUTE(SUBSTITUTE(M183," ",""),"0",""),"-",""))+LEN(SUBSTITUTE(SUBSTITUTE(SUBSTITUTE(N183," ",""),"0",""),"-","")))&gt;(LEN(SUBSTITUTE(SUBSTITUTE(SUBSTITUTE(J183," ",""),"0",""),"-",""))+LEN(SUBSTITUTE(SUBSTITUTE(SUBSTITUTE(K183," ",""),"0",""),"-",""))),1,0))+IF(UPPER(L184)="X",0,IF((LEN(SUBSTITUTE(SUBSTITUTE(SUBSTITUTE(M184," ",""),"0",""),"-",""))+LEN(SUBSTITUTE(SUBSTITUTE(SUBSTITUTE(N184," ",""),"0",""),"-","")))&gt;(LEN(SUBSTITUTE(SUBSTITUTE(SUBSTITUTE(J184," ",""),"0",""),"-",""))+LEN(SUBSTITUTE(SUBSTITUTE(SUBSTITUTE(K184," ",""),"0",""),"-",""))),1,0))+IF(UPPER(L185)="X",0,IF((LEN(SUBSTITUTE(SUBSTITUTE(SUBSTITUTE(M185," ",""),"0",""),"-",""))+LEN(SUBSTITUTE(SUBSTITUTE(SUBSTITUTE(N185," ",""),"0",""),"-","")))&gt;(LEN(SUBSTITUTE(SUBSTITUTE(SUBSTITUTE(J185," ",""),"0",""),"-",""))+LEN(SUBSTITUTE(SUBSTITUTE(SUBSTITUTE(K185," ",""),"0",""),"-",""))),1,0))</f>
      </c>
      <c r="O188" s="14" t="s">
        <v>349</v>
      </c>
    </row>
    <row r="191">
      <c r="F191" t="s">
        <v>344</v>
      </c>
      <c r="G191" s="19"/>
      <c r="N191" t="s">
        <v>344</v>
      </c>
      <c r="O191" s="19"/>
    </row>
    <row r="192">
      <c r="F192" t="s">
        <v>345</v>
      </c>
      <c r="G192" s="19"/>
      <c r="N192" t="s">
        <v>345</v>
      </c>
      <c r="O192" s="19"/>
    </row>
    <row r="194">
      <c r="A194" s="13" t="s">
        <v>373</v>
      </c>
      <c r="B194" s="13"/>
      <c r="C194" s="13"/>
      <c r="D194" s="13"/>
      <c r="E194" s="13"/>
      <c r="F194" s="13"/>
      <c r="G194" s="13"/>
      <c r="I194" s="13" t="s">
        <v>374</v>
      </c>
      <c r="J194" s="13"/>
      <c r="K194" s="13"/>
      <c r="L194" s="13"/>
      <c r="M194" s="13"/>
      <c r="N194" s="13"/>
      <c r="O194" s="13"/>
    </row>
    <row r="195">
      <c r="A195" s="17" t="s">
        <v>330</v>
      </c>
      <c r="D195" s="14" t="s">
        <v>331</v>
      </c>
      <c r="G195" s="16" t="s">
        <v>332</v>
      </c>
      <c r="I195" s="17" t="s">
        <v>330</v>
      </c>
      <c r="L195" s="14" t="s">
        <v>331</v>
      </c>
      <c r="O195" s="16" t="s">
        <v>332</v>
      </c>
    </row>
    <row r="196">
      <c r="A196" s="14" t="str">
        <f>CONCATENATE("Pool AB-2nd ",'Pool Matches'!O567)</f>
      </c>
      <c r="B196" s="14"/>
      <c r="C196" s="14"/>
      <c r="D196" s="18"/>
      <c r="E196" s="14"/>
      <c r="F196" s="14"/>
      <c r="G196" s="14" t="str">
        <f>CONCATENATE("Pool M-1st ",'Pool Matches'!G566)</f>
      </c>
      <c r="I196" s="14" t="str">
        <f>CONCATENATE("Pool M-2nd ",'Pool Matches'!G567)</f>
      </c>
      <c r="J196" s="14"/>
      <c r="K196" s="14"/>
      <c r="L196" s="18"/>
      <c r="M196" s="14"/>
      <c r="N196" s="14"/>
      <c r="O196" s="14" t="str">
        <f>CONCATENATE("Pool AB-1st ",'Pool Matches'!O566)</f>
      </c>
    </row>
    <row r="197">
      <c r="A197" s="14">
        <v>1</v>
      </c>
      <c r="B197" s="18"/>
      <c r="C197" s="18"/>
      <c r="D197" s="18"/>
      <c r="E197" s="18"/>
      <c r="F197" s="18"/>
      <c r="G197" s="14">
        <v>1</v>
      </c>
      <c r="I197" s="14">
        <v>1</v>
      </c>
      <c r="J197" s="18"/>
      <c r="K197" s="18"/>
      <c r="L197" s="18"/>
      <c r="M197" s="18"/>
      <c r="N197" s="18"/>
      <c r="O197" s="14">
        <v>1</v>
      </c>
    </row>
    <row r="198">
      <c r="A198" s="14">
        <v>2</v>
      </c>
      <c r="B198" s="18"/>
      <c r="C198" s="18"/>
      <c r="D198" s="18"/>
      <c r="E198" s="18"/>
      <c r="F198" s="18"/>
      <c r="G198" s="14">
        <v>2</v>
      </c>
      <c r="I198" s="14">
        <v>2</v>
      </c>
      <c r="J198" s="18"/>
      <c r="K198" s="18"/>
      <c r="L198" s="18"/>
      <c r="M198" s="18"/>
      <c r="N198" s="18"/>
      <c r="O198" s="14">
        <v>2</v>
      </c>
    </row>
    <row r="199">
      <c r="A199" s="14">
        <v>3</v>
      </c>
      <c r="B199" s="18"/>
      <c r="C199" s="18"/>
      <c r="D199" s="18"/>
      <c r="E199" s="18"/>
      <c r="F199" s="18"/>
      <c r="G199" s="14">
        <v>3</v>
      </c>
      <c r="I199" s="14">
        <v>3</v>
      </c>
      <c r="J199" s="18"/>
      <c r="K199" s="18"/>
      <c r="L199" s="18"/>
      <c r="M199" s="18"/>
      <c r="N199" s="18"/>
      <c r="O199" s="14">
        <v>3</v>
      </c>
    </row>
    <row r="200">
      <c r="A200" s="14">
        <v>4</v>
      </c>
      <c r="B200" s="18"/>
      <c r="C200" s="18"/>
      <c r="D200" s="18"/>
      <c r="E200" s="18"/>
      <c r="F200" s="18"/>
      <c r="G200" s="14">
        <v>4</v>
      </c>
      <c r="I200" s="14">
        <v>4</v>
      </c>
      <c r="J200" s="18"/>
      <c r="K200" s="18"/>
      <c r="L200" s="18"/>
      <c r="M200" s="18"/>
      <c r="N200" s="18"/>
      <c r="O200" s="14">
        <v>4</v>
      </c>
    </row>
    <row r="201">
      <c r="A201" s="14">
        <v>5</v>
      </c>
      <c r="B201" s="18"/>
      <c r="C201" s="18"/>
      <c r="D201" s="18"/>
      <c r="E201" s="18"/>
      <c r="F201" s="18"/>
      <c r="G201" s="14">
        <v>5</v>
      </c>
      <c r="I201" s="14">
        <v>5</v>
      </c>
      <c r="J201" s="18"/>
      <c r="K201" s="18"/>
      <c r="L201" s="18"/>
      <c r="M201" s="18"/>
      <c r="N201" s="18"/>
      <c r="O201" s="14">
        <v>5</v>
      </c>
    </row>
    <row r="203">
      <c r="A203" s="14" t="str">
        <f>CONCATENATE("Pool AB-2nd ",'Pool Matches'!O567)</f>
      </c>
      <c r="B203" s="14" t="s">
        <v>338</v>
      </c>
      <c r="C203" s="14" t="s">
        <v>341</v>
      </c>
      <c r="D203" s="14"/>
      <c r="E203" s="14" t="s">
        <v>341</v>
      </c>
      <c r="F203" s="14" t="s">
        <v>338</v>
      </c>
      <c r="G203" s="14" t="str">
        <f>CONCATENATE("Pool M-1st ",'Pool Matches'!G566)</f>
      </c>
      <c r="I203" s="14" t="str">
        <f>CONCATENATE("Pool M-2nd ",'Pool Matches'!G567)</f>
      </c>
      <c r="J203" s="14" t="s">
        <v>338</v>
      </c>
      <c r="K203" s="14" t="s">
        <v>341</v>
      </c>
      <c r="L203" s="14"/>
      <c r="M203" s="14" t="s">
        <v>341</v>
      </c>
      <c r="N203" s="14" t="s">
        <v>338</v>
      </c>
      <c r="O203" s="14" t="str">
        <f>CONCATENATE("Pool AB-1st ",'Pool Matches'!O566)</f>
      </c>
    </row>
    <row r="204">
      <c r="A204" s="14" t="s">
        <v>349</v>
      </c>
      <c r="B204" s="14" t="str">
        <f>IF(UPPER(D197)="X",0,IF((LEN(SUBSTITUTE(SUBSTITUTE(SUBSTITUTE(B197," ",""),"0",""),"-",""))+LEN(SUBSTITUTE(SUBSTITUTE(SUBSTITUTE(C197," ",""),"0",""),"-","")))&gt;(LEN(SUBSTITUTE(SUBSTITUTE(SUBSTITUTE(E197," ",""),"0",""),"-",""))+LEN(SUBSTITUTE(SUBSTITUTE(SUBSTITUTE(F197," ",""),"0",""),"-",""))),1,0))+IF(UPPER(D198)="X",0,IF((LEN(SUBSTITUTE(SUBSTITUTE(SUBSTITUTE(B198," ",""),"0",""),"-",""))+LEN(SUBSTITUTE(SUBSTITUTE(SUBSTITUTE(C198," ",""),"0",""),"-","")))&gt;(LEN(SUBSTITUTE(SUBSTITUTE(SUBSTITUTE(E198," ",""),"0",""),"-",""))+LEN(SUBSTITUTE(SUBSTITUTE(SUBSTITUTE(F198," ",""),"0",""),"-",""))),1,0))+IF(UPPER(D199)="X",0,IF((LEN(SUBSTITUTE(SUBSTITUTE(SUBSTITUTE(B199," ",""),"0",""),"-",""))+LEN(SUBSTITUTE(SUBSTITUTE(SUBSTITUTE(C199," ",""),"0",""),"-","")))&gt;(LEN(SUBSTITUTE(SUBSTITUTE(SUBSTITUTE(E199," ",""),"0",""),"-",""))+LEN(SUBSTITUTE(SUBSTITUTE(SUBSTITUTE(F199," ",""),"0",""),"-",""))),1,0))+IF(UPPER(D200)="X",0,IF((LEN(SUBSTITUTE(SUBSTITUTE(SUBSTITUTE(B200," ",""),"0",""),"-",""))+LEN(SUBSTITUTE(SUBSTITUTE(SUBSTITUTE(C200," ",""),"0",""),"-","")))&gt;(LEN(SUBSTITUTE(SUBSTITUTE(SUBSTITUTE(E200," ",""),"0",""),"-",""))+LEN(SUBSTITUTE(SUBSTITUTE(SUBSTITUTE(F200," ",""),"0",""),"-",""))),1,0))+IF(UPPER(D201)="X",0,IF((LEN(SUBSTITUTE(SUBSTITUTE(SUBSTITUTE(B201," ",""),"0",""),"-",""))+LEN(SUBSTITUTE(SUBSTITUTE(SUBSTITUTE(C201," ",""),"0",""),"-","")))&gt;(LEN(SUBSTITUTE(SUBSTITUTE(SUBSTITUTE(E201," ",""),"0",""),"-",""))+LEN(SUBSTITUTE(SUBSTITUTE(SUBSTITUTE(F201," ",""),"0",""),"-",""))),1,0))</f>
      </c>
      <c r="C204" s="14" t="str">
        <f>LEN(SUBSTITUTE(SUBSTITUTE(SUBSTITUTE(B197," ",""),"0",""),"-",""))+LEN(SUBSTITUTE(SUBSTITUTE(SUBSTITUTE(C197," ",""),"0",""),"-",""))+LEN(SUBSTITUTE(SUBSTITUTE(SUBSTITUTE(B198," ",""),"0",""),"-",""))+LEN(SUBSTITUTE(SUBSTITUTE(SUBSTITUTE(C198," ",""),"0",""),"-",""))+LEN(SUBSTITUTE(SUBSTITUTE(SUBSTITUTE(B199," ",""),"0",""),"-",""))+LEN(SUBSTITUTE(SUBSTITUTE(SUBSTITUTE(C199," ",""),"0",""),"-",""))+LEN(SUBSTITUTE(SUBSTITUTE(SUBSTITUTE(B200," ",""),"0",""),"-",""))+LEN(SUBSTITUTE(SUBSTITUTE(SUBSTITUTE(C200," ",""),"0",""),"-",""))+LEN(SUBSTITUTE(SUBSTITUTE(SUBSTITUTE(B201," ",""),"0",""),"-",""))+LEN(SUBSTITUTE(SUBSTITUTE(SUBSTITUTE(C201," ",""),"0",""),"-",""))</f>
      </c>
      <c r="D204" s="14"/>
      <c r="E204" s="14" t="str">
        <f>LEN(SUBSTITUTE(SUBSTITUTE(SUBSTITUTE(E197," ",""),"0",""),"-",""))+LEN(SUBSTITUTE(SUBSTITUTE(SUBSTITUTE(F197," ",""),"0",""),"-",""))+LEN(SUBSTITUTE(SUBSTITUTE(SUBSTITUTE(E198," ",""),"0",""),"-",""))+LEN(SUBSTITUTE(SUBSTITUTE(SUBSTITUTE(F198," ",""),"0",""),"-",""))+LEN(SUBSTITUTE(SUBSTITUTE(SUBSTITUTE(E199," ",""),"0",""),"-",""))+LEN(SUBSTITUTE(SUBSTITUTE(SUBSTITUTE(F199," ",""),"0",""),"-",""))+LEN(SUBSTITUTE(SUBSTITUTE(SUBSTITUTE(E200," ",""),"0",""),"-",""))+LEN(SUBSTITUTE(SUBSTITUTE(SUBSTITUTE(F200," ",""),"0",""),"-",""))+LEN(SUBSTITUTE(SUBSTITUTE(SUBSTITUTE(E201," ",""),"0",""),"-",""))+LEN(SUBSTITUTE(SUBSTITUTE(SUBSTITUTE(F201," ",""),"0",""),"-",""))</f>
      </c>
      <c r="F204" s="14" t="str">
        <f>IF(UPPER(D197)="X",0,IF((LEN(SUBSTITUTE(SUBSTITUTE(SUBSTITUTE(E197," ",""),"0",""),"-",""))+LEN(SUBSTITUTE(SUBSTITUTE(SUBSTITUTE(F197," ",""),"0",""),"-","")))&gt;(LEN(SUBSTITUTE(SUBSTITUTE(SUBSTITUTE(B197," ",""),"0",""),"-",""))+LEN(SUBSTITUTE(SUBSTITUTE(SUBSTITUTE(C197," ",""),"0",""),"-",""))),1,0))+IF(UPPER(D198)="X",0,IF((LEN(SUBSTITUTE(SUBSTITUTE(SUBSTITUTE(E198," ",""),"0",""),"-",""))+LEN(SUBSTITUTE(SUBSTITUTE(SUBSTITUTE(F198," ",""),"0",""),"-","")))&gt;(LEN(SUBSTITUTE(SUBSTITUTE(SUBSTITUTE(B198," ",""),"0",""),"-",""))+LEN(SUBSTITUTE(SUBSTITUTE(SUBSTITUTE(C198," ",""),"0",""),"-",""))),1,0))+IF(UPPER(D199)="X",0,IF((LEN(SUBSTITUTE(SUBSTITUTE(SUBSTITUTE(E199," ",""),"0",""),"-",""))+LEN(SUBSTITUTE(SUBSTITUTE(SUBSTITUTE(F199," ",""),"0",""),"-","")))&gt;(LEN(SUBSTITUTE(SUBSTITUTE(SUBSTITUTE(B199," ",""),"0",""),"-",""))+LEN(SUBSTITUTE(SUBSTITUTE(SUBSTITUTE(C199," ",""),"0",""),"-",""))),1,0))+IF(UPPER(D200)="X",0,IF((LEN(SUBSTITUTE(SUBSTITUTE(SUBSTITUTE(E200," ",""),"0",""),"-",""))+LEN(SUBSTITUTE(SUBSTITUTE(SUBSTITUTE(F200," ",""),"0",""),"-","")))&gt;(LEN(SUBSTITUTE(SUBSTITUTE(SUBSTITUTE(B200," ",""),"0",""),"-",""))+LEN(SUBSTITUTE(SUBSTITUTE(SUBSTITUTE(C200," ",""),"0",""),"-",""))),1,0))+IF(UPPER(D201)="X",0,IF((LEN(SUBSTITUTE(SUBSTITUTE(SUBSTITUTE(E201," ",""),"0",""),"-",""))+LEN(SUBSTITUTE(SUBSTITUTE(SUBSTITUTE(F201," ",""),"0",""),"-","")))&gt;(LEN(SUBSTITUTE(SUBSTITUTE(SUBSTITUTE(B201," ",""),"0",""),"-",""))+LEN(SUBSTITUTE(SUBSTITUTE(SUBSTITUTE(C201," ",""),"0",""),"-",""))),1,0))</f>
      </c>
      <c r="G204" s="14" t="s">
        <v>349</v>
      </c>
      <c r="I204" s="14" t="s">
        <v>349</v>
      </c>
      <c r="J204" s="14" t="str">
        <f>IF(UPPER(L197)="X",0,IF((LEN(SUBSTITUTE(SUBSTITUTE(SUBSTITUTE(J197," ",""),"0",""),"-",""))+LEN(SUBSTITUTE(SUBSTITUTE(SUBSTITUTE(K197," ",""),"0",""),"-","")))&gt;(LEN(SUBSTITUTE(SUBSTITUTE(SUBSTITUTE(M197," ",""),"0",""),"-",""))+LEN(SUBSTITUTE(SUBSTITUTE(SUBSTITUTE(N197," ",""),"0",""),"-",""))),1,0))+IF(UPPER(L198)="X",0,IF((LEN(SUBSTITUTE(SUBSTITUTE(SUBSTITUTE(J198," ",""),"0",""),"-",""))+LEN(SUBSTITUTE(SUBSTITUTE(SUBSTITUTE(K198," ",""),"0",""),"-","")))&gt;(LEN(SUBSTITUTE(SUBSTITUTE(SUBSTITUTE(M198," ",""),"0",""),"-",""))+LEN(SUBSTITUTE(SUBSTITUTE(SUBSTITUTE(N198," ",""),"0",""),"-",""))),1,0))+IF(UPPER(L199)="X",0,IF((LEN(SUBSTITUTE(SUBSTITUTE(SUBSTITUTE(J199," ",""),"0",""),"-",""))+LEN(SUBSTITUTE(SUBSTITUTE(SUBSTITUTE(K199," ",""),"0",""),"-","")))&gt;(LEN(SUBSTITUTE(SUBSTITUTE(SUBSTITUTE(M199," ",""),"0",""),"-",""))+LEN(SUBSTITUTE(SUBSTITUTE(SUBSTITUTE(N199," ",""),"0",""),"-",""))),1,0))+IF(UPPER(L200)="X",0,IF((LEN(SUBSTITUTE(SUBSTITUTE(SUBSTITUTE(J200," ",""),"0",""),"-",""))+LEN(SUBSTITUTE(SUBSTITUTE(SUBSTITUTE(K200," ",""),"0",""),"-","")))&gt;(LEN(SUBSTITUTE(SUBSTITUTE(SUBSTITUTE(M200," ",""),"0",""),"-",""))+LEN(SUBSTITUTE(SUBSTITUTE(SUBSTITUTE(N200," ",""),"0",""),"-",""))),1,0))+IF(UPPER(L201)="X",0,IF((LEN(SUBSTITUTE(SUBSTITUTE(SUBSTITUTE(J201," ",""),"0",""),"-",""))+LEN(SUBSTITUTE(SUBSTITUTE(SUBSTITUTE(K201," ",""),"0",""),"-","")))&gt;(LEN(SUBSTITUTE(SUBSTITUTE(SUBSTITUTE(M201," ",""),"0",""),"-",""))+LEN(SUBSTITUTE(SUBSTITUTE(SUBSTITUTE(N201," ",""),"0",""),"-",""))),1,0))</f>
      </c>
      <c r="K204" s="14" t="str">
        <f>LEN(SUBSTITUTE(SUBSTITUTE(SUBSTITUTE(J197," ",""),"0",""),"-",""))+LEN(SUBSTITUTE(SUBSTITUTE(SUBSTITUTE(K197," ",""),"0",""),"-",""))+LEN(SUBSTITUTE(SUBSTITUTE(SUBSTITUTE(J198," ",""),"0",""),"-",""))+LEN(SUBSTITUTE(SUBSTITUTE(SUBSTITUTE(K198," ",""),"0",""),"-",""))+LEN(SUBSTITUTE(SUBSTITUTE(SUBSTITUTE(J199," ",""),"0",""),"-",""))+LEN(SUBSTITUTE(SUBSTITUTE(SUBSTITUTE(K199," ",""),"0",""),"-",""))+LEN(SUBSTITUTE(SUBSTITUTE(SUBSTITUTE(J200," ",""),"0",""),"-",""))+LEN(SUBSTITUTE(SUBSTITUTE(SUBSTITUTE(K200," ",""),"0",""),"-",""))+LEN(SUBSTITUTE(SUBSTITUTE(SUBSTITUTE(J201," ",""),"0",""),"-",""))+LEN(SUBSTITUTE(SUBSTITUTE(SUBSTITUTE(K201," ",""),"0",""),"-",""))</f>
      </c>
      <c r="L204" s="14"/>
      <c r="M204" s="14" t="str">
        <f>LEN(SUBSTITUTE(SUBSTITUTE(SUBSTITUTE(M197," ",""),"0",""),"-",""))+LEN(SUBSTITUTE(SUBSTITUTE(SUBSTITUTE(N197," ",""),"0",""),"-",""))+LEN(SUBSTITUTE(SUBSTITUTE(SUBSTITUTE(M198," ",""),"0",""),"-",""))+LEN(SUBSTITUTE(SUBSTITUTE(SUBSTITUTE(N198," ",""),"0",""),"-",""))+LEN(SUBSTITUTE(SUBSTITUTE(SUBSTITUTE(M199," ",""),"0",""),"-",""))+LEN(SUBSTITUTE(SUBSTITUTE(SUBSTITUTE(N199," ",""),"0",""),"-",""))+LEN(SUBSTITUTE(SUBSTITUTE(SUBSTITUTE(M200," ",""),"0",""),"-",""))+LEN(SUBSTITUTE(SUBSTITUTE(SUBSTITUTE(N200," ",""),"0",""),"-",""))+LEN(SUBSTITUTE(SUBSTITUTE(SUBSTITUTE(M201," ",""),"0",""),"-",""))+LEN(SUBSTITUTE(SUBSTITUTE(SUBSTITUTE(N201," ",""),"0",""),"-",""))</f>
      </c>
      <c r="N204" s="14" t="str">
        <f>IF(UPPER(L197)="X",0,IF((LEN(SUBSTITUTE(SUBSTITUTE(SUBSTITUTE(M197," ",""),"0",""),"-",""))+LEN(SUBSTITUTE(SUBSTITUTE(SUBSTITUTE(N197," ",""),"0",""),"-","")))&gt;(LEN(SUBSTITUTE(SUBSTITUTE(SUBSTITUTE(J197," ",""),"0",""),"-",""))+LEN(SUBSTITUTE(SUBSTITUTE(SUBSTITUTE(K197," ",""),"0",""),"-",""))),1,0))+IF(UPPER(L198)="X",0,IF((LEN(SUBSTITUTE(SUBSTITUTE(SUBSTITUTE(M198," ",""),"0",""),"-",""))+LEN(SUBSTITUTE(SUBSTITUTE(SUBSTITUTE(N198," ",""),"0",""),"-","")))&gt;(LEN(SUBSTITUTE(SUBSTITUTE(SUBSTITUTE(J198," ",""),"0",""),"-",""))+LEN(SUBSTITUTE(SUBSTITUTE(SUBSTITUTE(K198," ",""),"0",""),"-",""))),1,0))+IF(UPPER(L199)="X",0,IF((LEN(SUBSTITUTE(SUBSTITUTE(SUBSTITUTE(M199," ",""),"0",""),"-",""))+LEN(SUBSTITUTE(SUBSTITUTE(SUBSTITUTE(N199," ",""),"0",""),"-","")))&gt;(LEN(SUBSTITUTE(SUBSTITUTE(SUBSTITUTE(J199," ",""),"0",""),"-",""))+LEN(SUBSTITUTE(SUBSTITUTE(SUBSTITUTE(K199," ",""),"0",""),"-",""))),1,0))+IF(UPPER(L200)="X",0,IF((LEN(SUBSTITUTE(SUBSTITUTE(SUBSTITUTE(M200," ",""),"0",""),"-",""))+LEN(SUBSTITUTE(SUBSTITUTE(SUBSTITUTE(N200," ",""),"0",""),"-","")))&gt;(LEN(SUBSTITUTE(SUBSTITUTE(SUBSTITUTE(J200," ",""),"0",""),"-",""))+LEN(SUBSTITUTE(SUBSTITUTE(SUBSTITUTE(K200," ",""),"0",""),"-",""))),1,0))+IF(UPPER(L201)="X",0,IF((LEN(SUBSTITUTE(SUBSTITUTE(SUBSTITUTE(M201," ",""),"0",""),"-",""))+LEN(SUBSTITUTE(SUBSTITUTE(SUBSTITUTE(N201," ",""),"0",""),"-","")))&gt;(LEN(SUBSTITUTE(SUBSTITUTE(SUBSTITUTE(J201," ",""),"0",""),"-",""))+LEN(SUBSTITUTE(SUBSTITUTE(SUBSTITUTE(K201," ",""),"0",""),"-",""))),1,0))</f>
      </c>
      <c r="O204" s="14" t="s">
        <v>349</v>
      </c>
    </row>
    <row r="207">
      <c r="F207" t="s">
        <v>344</v>
      </c>
      <c r="G207" s="19"/>
      <c r="N207" t="s">
        <v>344</v>
      </c>
      <c r="O207" s="19"/>
    </row>
    <row r="208">
      <c r="F208" t="s">
        <v>345</v>
      </c>
      <c r="G208" s="19"/>
      <c r="N208" t="s">
        <v>345</v>
      </c>
      <c r="O208" s="19"/>
    </row>
    <row r="210">
      <c r="A210" s="13" t="s">
        <v>375</v>
      </c>
      <c r="B210" s="13"/>
      <c r="C210" s="13"/>
      <c r="D210" s="13"/>
      <c r="E210" s="13"/>
      <c r="F210" s="13"/>
      <c r="G210" s="13"/>
      <c r="I210" s="13" t="s">
        <v>376</v>
      </c>
      <c r="J210" s="13"/>
      <c r="K210" s="13"/>
      <c r="L210" s="13"/>
      <c r="M210" s="13"/>
      <c r="N210" s="13"/>
      <c r="O210" s="13"/>
    </row>
    <row r="211">
      <c r="A211" s="17" t="s">
        <v>330</v>
      </c>
      <c r="D211" s="14" t="s">
        <v>331</v>
      </c>
      <c r="G211" s="16" t="s">
        <v>332</v>
      </c>
      <c r="I211" s="17" t="s">
        <v>330</v>
      </c>
      <c r="L211" s="14" t="s">
        <v>331</v>
      </c>
      <c r="O211" s="16" t="s">
        <v>332</v>
      </c>
    </row>
    <row r="212">
      <c r="A212" s="14" t="str">
        <f>CONCATENATE("Pool AC-2nd ",'Pool Matches'!O610)</f>
      </c>
      <c r="B212" s="14"/>
      <c r="C212" s="14"/>
      <c r="D212" s="18"/>
      <c r="E212" s="14"/>
      <c r="F212" s="14"/>
      <c r="G212" s="14" t="str">
        <f>CONCATENATE("Pool N-1st ",'Pool Matches'!G609)</f>
      </c>
      <c r="I212" s="14" t="str">
        <f>CONCATENATE("Pool N-2nd ",'Pool Matches'!G610)</f>
      </c>
      <c r="J212" s="14"/>
      <c r="K212" s="14"/>
      <c r="L212" s="18"/>
      <c r="M212" s="14"/>
      <c r="N212" s="14"/>
      <c r="O212" s="14" t="str">
        <f>CONCATENATE("Pool AC-1st ",'Pool Matches'!O609)</f>
      </c>
    </row>
    <row r="213">
      <c r="A213" s="14">
        <v>1</v>
      </c>
      <c r="B213" s="18"/>
      <c r="C213" s="18"/>
      <c r="D213" s="18"/>
      <c r="E213" s="18"/>
      <c r="F213" s="18"/>
      <c r="G213" s="14">
        <v>1</v>
      </c>
      <c r="I213" s="14">
        <v>1</v>
      </c>
      <c r="J213" s="18"/>
      <c r="K213" s="18"/>
      <c r="L213" s="18"/>
      <c r="M213" s="18"/>
      <c r="N213" s="18"/>
      <c r="O213" s="14">
        <v>1</v>
      </c>
    </row>
    <row r="214">
      <c r="A214" s="14">
        <v>2</v>
      </c>
      <c r="B214" s="18"/>
      <c r="C214" s="18"/>
      <c r="D214" s="18"/>
      <c r="E214" s="18"/>
      <c r="F214" s="18"/>
      <c r="G214" s="14">
        <v>2</v>
      </c>
      <c r="I214" s="14">
        <v>2</v>
      </c>
      <c r="J214" s="18"/>
      <c r="K214" s="18"/>
      <c r="L214" s="18"/>
      <c r="M214" s="18"/>
      <c r="N214" s="18"/>
      <c r="O214" s="14">
        <v>2</v>
      </c>
    </row>
    <row r="215">
      <c r="A215" s="14">
        <v>3</v>
      </c>
      <c r="B215" s="18"/>
      <c r="C215" s="18"/>
      <c r="D215" s="18"/>
      <c r="E215" s="18"/>
      <c r="F215" s="18"/>
      <c r="G215" s="14">
        <v>3</v>
      </c>
      <c r="I215" s="14">
        <v>3</v>
      </c>
      <c r="J215" s="18"/>
      <c r="K215" s="18"/>
      <c r="L215" s="18"/>
      <c r="M215" s="18"/>
      <c r="N215" s="18"/>
      <c r="O215" s="14">
        <v>3</v>
      </c>
    </row>
    <row r="216">
      <c r="A216" s="14">
        <v>4</v>
      </c>
      <c r="B216" s="18"/>
      <c r="C216" s="18"/>
      <c r="D216" s="18"/>
      <c r="E216" s="18"/>
      <c r="F216" s="18"/>
      <c r="G216" s="14">
        <v>4</v>
      </c>
      <c r="I216" s="14">
        <v>4</v>
      </c>
      <c r="J216" s="18"/>
      <c r="K216" s="18"/>
      <c r="L216" s="18"/>
      <c r="M216" s="18"/>
      <c r="N216" s="18"/>
      <c r="O216" s="14">
        <v>4</v>
      </c>
    </row>
    <row r="217">
      <c r="A217" s="14">
        <v>5</v>
      </c>
      <c r="B217" s="18"/>
      <c r="C217" s="18"/>
      <c r="D217" s="18"/>
      <c r="E217" s="18"/>
      <c r="F217" s="18"/>
      <c r="G217" s="14">
        <v>5</v>
      </c>
      <c r="I217" s="14">
        <v>5</v>
      </c>
      <c r="J217" s="18"/>
      <c r="K217" s="18"/>
      <c r="L217" s="18"/>
      <c r="M217" s="18"/>
      <c r="N217" s="18"/>
      <c r="O217" s="14">
        <v>5</v>
      </c>
    </row>
    <row r="219">
      <c r="A219" s="14" t="str">
        <f>CONCATENATE("Pool AC-2nd ",'Pool Matches'!O610)</f>
      </c>
      <c r="B219" s="14" t="s">
        <v>338</v>
      </c>
      <c r="C219" s="14" t="s">
        <v>341</v>
      </c>
      <c r="D219" s="14"/>
      <c r="E219" s="14" t="s">
        <v>341</v>
      </c>
      <c r="F219" s="14" t="s">
        <v>338</v>
      </c>
      <c r="G219" s="14" t="str">
        <f>CONCATENATE("Pool N-1st ",'Pool Matches'!G609)</f>
      </c>
      <c r="I219" s="14" t="str">
        <f>CONCATENATE("Pool N-2nd ",'Pool Matches'!G610)</f>
      </c>
      <c r="J219" s="14" t="s">
        <v>338</v>
      </c>
      <c r="K219" s="14" t="s">
        <v>341</v>
      </c>
      <c r="L219" s="14"/>
      <c r="M219" s="14" t="s">
        <v>341</v>
      </c>
      <c r="N219" s="14" t="s">
        <v>338</v>
      </c>
      <c r="O219" s="14" t="str">
        <f>CONCATENATE("Pool AC-1st ",'Pool Matches'!O609)</f>
      </c>
    </row>
    <row r="220">
      <c r="A220" s="14" t="s">
        <v>349</v>
      </c>
      <c r="B220" s="14" t="str">
        <f>IF(UPPER(D213)="X",0,IF((LEN(SUBSTITUTE(SUBSTITUTE(SUBSTITUTE(B213," ",""),"0",""),"-",""))+LEN(SUBSTITUTE(SUBSTITUTE(SUBSTITUTE(C213," ",""),"0",""),"-","")))&gt;(LEN(SUBSTITUTE(SUBSTITUTE(SUBSTITUTE(E213," ",""),"0",""),"-",""))+LEN(SUBSTITUTE(SUBSTITUTE(SUBSTITUTE(F213," ",""),"0",""),"-",""))),1,0))+IF(UPPER(D214)="X",0,IF((LEN(SUBSTITUTE(SUBSTITUTE(SUBSTITUTE(B214," ",""),"0",""),"-",""))+LEN(SUBSTITUTE(SUBSTITUTE(SUBSTITUTE(C214," ",""),"0",""),"-","")))&gt;(LEN(SUBSTITUTE(SUBSTITUTE(SUBSTITUTE(E214," ",""),"0",""),"-",""))+LEN(SUBSTITUTE(SUBSTITUTE(SUBSTITUTE(F214," ",""),"0",""),"-",""))),1,0))+IF(UPPER(D215)="X",0,IF((LEN(SUBSTITUTE(SUBSTITUTE(SUBSTITUTE(B215," ",""),"0",""),"-",""))+LEN(SUBSTITUTE(SUBSTITUTE(SUBSTITUTE(C215," ",""),"0",""),"-","")))&gt;(LEN(SUBSTITUTE(SUBSTITUTE(SUBSTITUTE(E215," ",""),"0",""),"-",""))+LEN(SUBSTITUTE(SUBSTITUTE(SUBSTITUTE(F215," ",""),"0",""),"-",""))),1,0))+IF(UPPER(D216)="X",0,IF((LEN(SUBSTITUTE(SUBSTITUTE(SUBSTITUTE(B216," ",""),"0",""),"-",""))+LEN(SUBSTITUTE(SUBSTITUTE(SUBSTITUTE(C216," ",""),"0",""),"-","")))&gt;(LEN(SUBSTITUTE(SUBSTITUTE(SUBSTITUTE(E216," ",""),"0",""),"-",""))+LEN(SUBSTITUTE(SUBSTITUTE(SUBSTITUTE(F216," ",""),"0",""),"-",""))),1,0))+IF(UPPER(D217)="X",0,IF((LEN(SUBSTITUTE(SUBSTITUTE(SUBSTITUTE(B217," ",""),"0",""),"-",""))+LEN(SUBSTITUTE(SUBSTITUTE(SUBSTITUTE(C217," ",""),"0",""),"-","")))&gt;(LEN(SUBSTITUTE(SUBSTITUTE(SUBSTITUTE(E217," ",""),"0",""),"-",""))+LEN(SUBSTITUTE(SUBSTITUTE(SUBSTITUTE(F217," ",""),"0",""),"-",""))),1,0))</f>
      </c>
      <c r="C220" s="14" t="str">
        <f>LEN(SUBSTITUTE(SUBSTITUTE(SUBSTITUTE(B213," ",""),"0",""),"-",""))+LEN(SUBSTITUTE(SUBSTITUTE(SUBSTITUTE(C213," ",""),"0",""),"-",""))+LEN(SUBSTITUTE(SUBSTITUTE(SUBSTITUTE(B214," ",""),"0",""),"-",""))+LEN(SUBSTITUTE(SUBSTITUTE(SUBSTITUTE(C214," ",""),"0",""),"-",""))+LEN(SUBSTITUTE(SUBSTITUTE(SUBSTITUTE(B215," ",""),"0",""),"-",""))+LEN(SUBSTITUTE(SUBSTITUTE(SUBSTITUTE(C215," ",""),"0",""),"-",""))+LEN(SUBSTITUTE(SUBSTITUTE(SUBSTITUTE(B216," ",""),"0",""),"-",""))+LEN(SUBSTITUTE(SUBSTITUTE(SUBSTITUTE(C216," ",""),"0",""),"-",""))+LEN(SUBSTITUTE(SUBSTITUTE(SUBSTITUTE(B217," ",""),"0",""),"-",""))+LEN(SUBSTITUTE(SUBSTITUTE(SUBSTITUTE(C217," ",""),"0",""),"-",""))</f>
      </c>
      <c r="D220" s="14"/>
      <c r="E220" s="14" t="str">
        <f>LEN(SUBSTITUTE(SUBSTITUTE(SUBSTITUTE(E213," ",""),"0",""),"-",""))+LEN(SUBSTITUTE(SUBSTITUTE(SUBSTITUTE(F213," ",""),"0",""),"-",""))+LEN(SUBSTITUTE(SUBSTITUTE(SUBSTITUTE(E214," ",""),"0",""),"-",""))+LEN(SUBSTITUTE(SUBSTITUTE(SUBSTITUTE(F214," ",""),"0",""),"-",""))+LEN(SUBSTITUTE(SUBSTITUTE(SUBSTITUTE(E215," ",""),"0",""),"-",""))+LEN(SUBSTITUTE(SUBSTITUTE(SUBSTITUTE(F215," ",""),"0",""),"-",""))+LEN(SUBSTITUTE(SUBSTITUTE(SUBSTITUTE(E216," ",""),"0",""),"-",""))+LEN(SUBSTITUTE(SUBSTITUTE(SUBSTITUTE(F216," ",""),"0",""),"-",""))+LEN(SUBSTITUTE(SUBSTITUTE(SUBSTITUTE(E217," ",""),"0",""),"-",""))+LEN(SUBSTITUTE(SUBSTITUTE(SUBSTITUTE(F217," ",""),"0",""),"-",""))</f>
      </c>
      <c r="F220" s="14" t="str">
        <f>IF(UPPER(D213)="X",0,IF((LEN(SUBSTITUTE(SUBSTITUTE(SUBSTITUTE(E213," ",""),"0",""),"-",""))+LEN(SUBSTITUTE(SUBSTITUTE(SUBSTITUTE(F213," ",""),"0",""),"-","")))&gt;(LEN(SUBSTITUTE(SUBSTITUTE(SUBSTITUTE(B213," ",""),"0",""),"-",""))+LEN(SUBSTITUTE(SUBSTITUTE(SUBSTITUTE(C213," ",""),"0",""),"-",""))),1,0))+IF(UPPER(D214)="X",0,IF((LEN(SUBSTITUTE(SUBSTITUTE(SUBSTITUTE(E214," ",""),"0",""),"-",""))+LEN(SUBSTITUTE(SUBSTITUTE(SUBSTITUTE(F214," ",""),"0",""),"-","")))&gt;(LEN(SUBSTITUTE(SUBSTITUTE(SUBSTITUTE(B214," ",""),"0",""),"-",""))+LEN(SUBSTITUTE(SUBSTITUTE(SUBSTITUTE(C214," ",""),"0",""),"-",""))),1,0))+IF(UPPER(D215)="X",0,IF((LEN(SUBSTITUTE(SUBSTITUTE(SUBSTITUTE(E215," ",""),"0",""),"-",""))+LEN(SUBSTITUTE(SUBSTITUTE(SUBSTITUTE(F215," ",""),"0",""),"-","")))&gt;(LEN(SUBSTITUTE(SUBSTITUTE(SUBSTITUTE(B215," ",""),"0",""),"-",""))+LEN(SUBSTITUTE(SUBSTITUTE(SUBSTITUTE(C215," ",""),"0",""),"-",""))),1,0))+IF(UPPER(D216)="X",0,IF((LEN(SUBSTITUTE(SUBSTITUTE(SUBSTITUTE(E216," ",""),"0",""),"-",""))+LEN(SUBSTITUTE(SUBSTITUTE(SUBSTITUTE(F216," ",""),"0",""),"-","")))&gt;(LEN(SUBSTITUTE(SUBSTITUTE(SUBSTITUTE(B216," ",""),"0",""),"-",""))+LEN(SUBSTITUTE(SUBSTITUTE(SUBSTITUTE(C216," ",""),"0",""),"-",""))),1,0))+IF(UPPER(D217)="X",0,IF((LEN(SUBSTITUTE(SUBSTITUTE(SUBSTITUTE(E217," ",""),"0",""),"-",""))+LEN(SUBSTITUTE(SUBSTITUTE(SUBSTITUTE(F217," ",""),"0",""),"-","")))&gt;(LEN(SUBSTITUTE(SUBSTITUTE(SUBSTITUTE(B217," ",""),"0",""),"-",""))+LEN(SUBSTITUTE(SUBSTITUTE(SUBSTITUTE(C217," ",""),"0",""),"-",""))),1,0))</f>
      </c>
      <c r="G220" s="14" t="s">
        <v>349</v>
      </c>
      <c r="I220" s="14" t="s">
        <v>349</v>
      </c>
      <c r="J220" s="14" t="str">
        <f>IF(UPPER(L213)="X",0,IF((LEN(SUBSTITUTE(SUBSTITUTE(SUBSTITUTE(J213," ",""),"0",""),"-",""))+LEN(SUBSTITUTE(SUBSTITUTE(SUBSTITUTE(K213," ",""),"0",""),"-","")))&gt;(LEN(SUBSTITUTE(SUBSTITUTE(SUBSTITUTE(M213," ",""),"0",""),"-",""))+LEN(SUBSTITUTE(SUBSTITUTE(SUBSTITUTE(N213," ",""),"0",""),"-",""))),1,0))+IF(UPPER(L214)="X",0,IF((LEN(SUBSTITUTE(SUBSTITUTE(SUBSTITUTE(J214," ",""),"0",""),"-",""))+LEN(SUBSTITUTE(SUBSTITUTE(SUBSTITUTE(K214," ",""),"0",""),"-","")))&gt;(LEN(SUBSTITUTE(SUBSTITUTE(SUBSTITUTE(M214," ",""),"0",""),"-",""))+LEN(SUBSTITUTE(SUBSTITUTE(SUBSTITUTE(N214," ",""),"0",""),"-",""))),1,0))+IF(UPPER(L215)="X",0,IF((LEN(SUBSTITUTE(SUBSTITUTE(SUBSTITUTE(J215," ",""),"0",""),"-",""))+LEN(SUBSTITUTE(SUBSTITUTE(SUBSTITUTE(K215," ",""),"0",""),"-","")))&gt;(LEN(SUBSTITUTE(SUBSTITUTE(SUBSTITUTE(M215," ",""),"0",""),"-",""))+LEN(SUBSTITUTE(SUBSTITUTE(SUBSTITUTE(N215," ",""),"0",""),"-",""))),1,0))+IF(UPPER(L216)="X",0,IF((LEN(SUBSTITUTE(SUBSTITUTE(SUBSTITUTE(J216," ",""),"0",""),"-",""))+LEN(SUBSTITUTE(SUBSTITUTE(SUBSTITUTE(K216," ",""),"0",""),"-","")))&gt;(LEN(SUBSTITUTE(SUBSTITUTE(SUBSTITUTE(M216," ",""),"0",""),"-",""))+LEN(SUBSTITUTE(SUBSTITUTE(SUBSTITUTE(N216," ",""),"0",""),"-",""))),1,0))+IF(UPPER(L217)="X",0,IF((LEN(SUBSTITUTE(SUBSTITUTE(SUBSTITUTE(J217," ",""),"0",""),"-",""))+LEN(SUBSTITUTE(SUBSTITUTE(SUBSTITUTE(K217," ",""),"0",""),"-","")))&gt;(LEN(SUBSTITUTE(SUBSTITUTE(SUBSTITUTE(M217," ",""),"0",""),"-",""))+LEN(SUBSTITUTE(SUBSTITUTE(SUBSTITUTE(N217," ",""),"0",""),"-",""))),1,0))</f>
      </c>
      <c r="K220" s="14" t="str">
        <f>LEN(SUBSTITUTE(SUBSTITUTE(SUBSTITUTE(J213," ",""),"0",""),"-",""))+LEN(SUBSTITUTE(SUBSTITUTE(SUBSTITUTE(K213," ",""),"0",""),"-",""))+LEN(SUBSTITUTE(SUBSTITUTE(SUBSTITUTE(J214," ",""),"0",""),"-",""))+LEN(SUBSTITUTE(SUBSTITUTE(SUBSTITUTE(K214," ",""),"0",""),"-",""))+LEN(SUBSTITUTE(SUBSTITUTE(SUBSTITUTE(J215," ",""),"0",""),"-",""))+LEN(SUBSTITUTE(SUBSTITUTE(SUBSTITUTE(K215," ",""),"0",""),"-",""))+LEN(SUBSTITUTE(SUBSTITUTE(SUBSTITUTE(J216," ",""),"0",""),"-",""))+LEN(SUBSTITUTE(SUBSTITUTE(SUBSTITUTE(K216," ",""),"0",""),"-",""))+LEN(SUBSTITUTE(SUBSTITUTE(SUBSTITUTE(J217," ",""),"0",""),"-",""))+LEN(SUBSTITUTE(SUBSTITUTE(SUBSTITUTE(K217," ",""),"0",""),"-",""))</f>
      </c>
      <c r="L220" s="14"/>
      <c r="M220" s="14" t="str">
        <f>LEN(SUBSTITUTE(SUBSTITUTE(SUBSTITUTE(M213," ",""),"0",""),"-",""))+LEN(SUBSTITUTE(SUBSTITUTE(SUBSTITUTE(N213," ",""),"0",""),"-",""))+LEN(SUBSTITUTE(SUBSTITUTE(SUBSTITUTE(M214," ",""),"0",""),"-",""))+LEN(SUBSTITUTE(SUBSTITUTE(SUBSTITUTE(N214," ",""),"0",""),"-",""))+LEN(SUBSTITUTE(SUBSTITUTE(SUBSTITUTE(M215," ",""),"0",""),"-",""))+LEN(SUBSTITUTE(SUBSTITUTE(SUBSTITUTE(N215," ",""),"0",""),"-",""))+LEN(SUBSTITUTE(SUBSTITUTE(SUBSTITUTE(M216," ",""),"0",""),"-",""))+LEN(SUBSTITUTE(SUBSTITUTE(SUBSTITUTE(N216," ",""),"0",""),"-",""))+LEN(SUBSTITUTE(SUBSTITUTE(SUBSTITUTE(M217," ",""),"0",""),"-",""))+LEN(SUBSTITUTE(SUBSTITUTE(SUBSTITUTE(N217," ",""),"0",""),"-",""))</f>
      </c>
      <c r="N220" s="14" t="str">
        <f>IF(UPPER(L213)="X",0,IF((LEN(SUBSTITUTE(SUBSTITUTE(SUBSTITUTE(M213," ",""),"0",""),"-",""))+LEN(SUBSTITUTE(SUBSTITUTE(SUBSTITUTE(N213," ",""),"0",""),"-","")))&gt;(LEN(SUBSTITUTE(SUBSTITUTE(SUBSTITUTE(J213," ",""),"0",""),"-",""))+LEN(SUBSTITUTE(SUBSTITUTE(SUBSTITUTE(K213," ",""),"0",""),"-",""))),1,0))+IF(UPPER(L214)="X",0,IF((LEN(SUBSTITUTE(SUBSTITUTE(SUBSTITUTE(M214," ",""),"0",""),"-",""))+LEN(SUBSTITUTE(SUBSTITUTE(SUBSTITUTE(N214," ",""),"0",""),"-","")))&gt;(LEN(SUBSTITUTE(SUBSTITUTE(SUBSTITUTE(J214," ",""),"0",""),"-",""))+LEN(SUBSTITUTE(SUBSTITUTE(SUBSTITUTE(K214," ",""),"0",""),"-",""))),1,0))+IF(UPPER(L215)="X",0,IF((LEN(SUBSTITUTE(SUBSTITUTE(SUBSTITUTE(M215," ",""),"0",""),"-",""))+LEN(SUBSTITUTE(SUBSTITUTE(SUBSTITUTE(N215," ",""),"0",""),"-","")))&gt;(LEN(SUBSTITUTE(SUBSTITUTE(SUBSTITUTE(J215," ",""),"0",""),"-",""))+LEN(SUBSTITUTE(SUBSTITUTE(SUBSTITUTE(K215," ",""),"0",""),"-",""))),1,0))+IF(UPPER(L216)="X",0,IF((LEN(SUBSTITUTE(SUBSTITUTE(SUBSTITUTE(M216," ",""),"0",""),"-",""))+LEN(SUBSTITUTE(SUBSTITUTE(SUBSTITUTE(N216," ",""),"0",""),"-","")))&gt;(LEN(SUBSTITUTE(SUBSTITUTE(SUBSTITUTE(J216," ",""),"0",""),"-",""))+LEN(SUBSTITUTE(SUBSTITUTE(SUBSTITUTE(K216," ",""),"0",""),"-",""))),1,0))+IF(UPPER(L217)="X",0,IF((LEN(SUBSTITUTE(SUBSTITUTE(SUBSTITUTE(M217," ",""),"0",""),"-",""))+LEN(SUBSTITUTE(SUBSTITUTE(SUBSTITUTE(N217," ",""),"0",""),"-","")))&gt;(LEN(SUBSTITUTE(SUBSTITUTE(SUBSTITUTE(J217," ",""),"0",""),"-",""))+LEN(SUBSTITUTE(SUBSTITUTE(SUBSTITUTE(K217," ",""),"0",""),"-",""))),1,0))</f>
      </c>
      <c r="O220" s="14" t="s">
        <v>349</v>
      </c>
    </row>
    <row r="223">
      <c r="F223" t="s">
        <v>344</v>
      </c>
      <c r="G223" s="19"/>
      <c r="N223" t="s">
        <v>344</v>
      </c>
      <c r="O223" s="19"/>
    </row>
    <row r="224">
      <c r="F224" t="s">
        <v>345</v>
      </c>
      <c r="G224" s="19"/>
      <c r="N224" t="s">
        <v>345</v>
      </c>
      <c r="O224" s="19"/>
    </row>
    <row r="231">
      <c r="A231" s="13" t="s">
        <v>377</v>
      </c>
      <c r="B231" s="13"/>
      <c r="C231" s="13"/>
      <c r="D231" s="13"/>
      <c r="E231" s="13"/>
      <c r="F231" s="13"/>
      <c r="G231" s="13"/>
      <c r="I231" s="13" t="s">
        <v>378</v>
      </c>
      <c r="J231" s="13"/>
      <c r="K231" s="13"/>
      <c r="L231" s="13"/>
      <c r="M231" s="13"/>
      <c r="N231" s="13"/>
      <c r="O231" s="13"/>
    </row>
    <row r="232">
      <c r="A232" s="17" t="s">
        <v>330</v>
      </c>
      <c r="D232" s="14" t="s">
        <v>331</v>
      </c>
      <c r="G232" s="16" t="s">
        <v>332</v>
      </c>
      <c r="I232" s="17" t="s">
        <v>330</v>
      </c>
      <c r="L232" s="14" t="s">
        <v>331</v>
      </c>
      <c r="O232" s="16" t="s">
        <v>332</v>
      </c>
    </row>
    <row r="233">
      <c r="A233" s="14" t="str">
        <f>CONCATENATE("M 2 ",G31)</f>
      </c>
      <c r="B233" s="14"/>
      <c r="C233" s="14"/>
      <c r="D233" s="18"/>
      <c r="E233" s="14"/>
      <c r="F233" s="14"/>
      <c r="G233" s="14" t="str">
        <f>CONCATENATE("M 1 ",G15)</f>
      </c>
      <c r="I233" s="14" t="str">
        <f>CONCATENATE("M 16 ",O31)</f>
      </c>
      <c r="J233" s="14"/>
      <c r="K233" s="14"/>
      <c r="L233" s="18"/>
      <c r="M233" s="14"/>
      <c r="N233" s="14"/>
      <c r="O233" s="14" t="str">
        <f>CONCATENATE("M 15 ",O15)</f>
      </c>
    </row>
    <row r="234">
      <c r="A234" s="14">
        <v>1</v>
      </c>
      <c r="B234" s="18"/>
      <c r="C234" s="18"/>
      <c r="D234" s="18"/>
      <c r="E234" s="18"/>
      <c r="F234" s="18"/>
      <c r="G234" s="14">
        <v>1</v>
      </c>
      <c r="I234" s="14">
        <v>1</v>
      </c>
      <c r="J234" s="18"/>
      <c r="K234" s="18"/>
      <c r="L234" s="18"/>
      <c r="M234" s="18"/>
      <c r="N234" s="18"/>
      <c r="O234" s="14">
        <v>1</v>
      </c>
    </row>
    <row r="235">
      <c r="A235" s="14">
        <v>2</v>
      </c>
      <c r="B235" s="18"/>
      <c r="C235" s="18"/>
      <c r="D235" s="18"/>
      <c r="E235" s="18"/>
      <c r="F235" s="18"/>
      <c r="G235" s="14">
        <v>2</v>
      </c>
      <c r="I235" s="14">
        <v>2</v>
      </c>
      <c r="J235" s="18"/>
      <c r="K235" s="18"/>
      <c r="L235" s="18"/>
      <c r="M235" s="18"/>
      <c r="N235" s="18"/>
      <c r="O235" s="14">
        <v>2</v>
      </c>
    </row>
    <row r="236">
      <c r="A236" s="14">
        <v>3</v>
      </c>
      <c r="B236" s="18"/>
      <c r="C236" s="18"/>
      <c r="D236" s="18"/>
      <c r="E236" s="18"/>
      <c r="F236" s="18"/>
      <c r="G236" s="14">
        <v>3</v>
      </c>
      <c r="I236" s="14">
        <v>3</v>
      </c>
      <c r="J236" s="18"/>
      <c r="K236" s="18"/>
      <c r="L236" s="18"/>
      <c r="M236" s="18"/>
      <c r="N236" s="18"/>
      <c r="O236" s="14">
        <v>3</v>
      </c>
    </row>
    <row r="237">
      <c r="A237" s="14">
        <v>4</v>
      </c>
      <c r="B237" s="18"/>
      <c r="C237" s="18"/>
      <c r="D237" s="18"/>
      <c r="E237" s="18"/>
      <c r="F237" s="18"/>
      <c r="G237" s="14">
        <v>4</v>
      </c>
      <c r="I237" s="14">
        <v>4</v>
      </c>
      <c r="J237" s="18"/>
      <c r="K237" s="18"/>
      <c r="L237" s="18"/>
      <c r="M237" s="18"/>
      <c r="N237" s="18"/>
      <c r="O237" s="14">
        <v>4</v>
      </c>
    </row>
    <row r="238">
      <c r="A238" s="14">
        <v>5</v>
      </c>
      <c r="B238" s="18"/>
      <c r="C238" s="18"/>
      <c r="D238" s="18"/>
      <c r="E238" s="18"/>
      <c r="F238" s="18"/>
      <c r="G238" s="14">
        <v>5</v>
      </c>
      <c r="I238" s="14">
        <v>5</v>
      </c>
      <c r="J238" s="18"/>
      <c r="K238" s="18"/>
      <c r="L238" s="18"/>
      <c r="M238" s="18"/>
      <c r="N238" s="18"/>
      <c r="O238" s="14">
        <v>5</v>
      </c>
    </row>
    <row r="240">
      <c r="A240" s="14" t="str">
        <f>CONCATENATE("M 2 ",G31)</f>
      </c>
      <c r="B240" s="14" t="s">
        <v>338</v>
      </c>
      <c r="C240" s="14" t="s">
        <v>341</v>
      </c>
      <c r="D240" s="14"/>
      <c r="E240" s="14" t="s">
        <v>341</v>
      </c>
      <c r="F240" s="14" t="s">
        <v>338</v>
      </c>
      <c r="G240" s="14" t="str">
        <f>CONCATENATE("M 1 ",G15)</f>
      </c>
      <c r="I240" s="14" t="str">
        <f>CONCATENATE("M 16 ",O31)</f>
      </c>
      <c r="J240" s="14" t="s">
        <v>338</v>
      </c>
      <c r="K240" s="14" t="s">
        <v>341</v>
      </c>
      <c r="L240" s="14"/>
      <c r="M240" s="14" t="s">
        <v>341</v>
      </c>
      <c r="N240" s="14" t="s">
        <v>338</v>
      </c>
      <c r="O240" s="14" t="str">
        <f>CONCATENATE("M 15 ",O15)</f>
      </c>
    </row>
    <row r="241">
      <c r="A241" s="14" t="s">
        <v>349</v>
      </c>
      <c r="B241" s="14" t="str">
        <f>IF(UPPER(D234)="X",0,IF((LEN(SUBSTITUTE(SUBSTITUTE(SUBSTITUTE(B234," ",""),"0",""),"-",""))+LEN(SUBSTITUTE(SUBSTITUTE(SUBSTITUTE(C234," ",""),"0",""),"-","")))&gt;(LEN(SUBSTITUTE(SUBSTITUTE(SUBSTITUTE(E234," ",""),"0",""),"-",""))+LEN(SUBSTITUTE(SUBSTITUTE(SUBSTITUTE(F234," ",""),"0",""),"-",""))),1,0))+IF(UPPER(D235)="X",0,IF((LEN(SUBSTITUTE(SUBSTITUTE(SUBSTITUTE(B235," ",""),"0",""),"-",""))+LEN(SUBSTITUTE(SUBSTITUTE(SUBSTITUTE(C235," ",""),"0",""),"-","")))&gt;(LEN(SUBSTITUTE(SUBSTITUTE(SUBSTITUTE(E235," ",""),"0",""),"-",""))+LEN(SUBSTITUTE(SUBSTITUTE(SUBSTITUTE(F235," ",""),"0",""),"-",""))),1,0))+IF(UPPER(D236)="X",0,IF((LEN(SUBSTITUTE(SUBSTITUTE(SUBSTITUTE(B236," ",""),"0",""),"-",""))+LEN(SUBSTITUTE(SUBSTITUTE(SUBSTITUTE(C236," ",""),"0",""),"-","")))&gt;(LEN(SUBSTITUTE(SUBSTITUTE(SUBSTITUTE(E236," ",""),"0",""),"-",""))+LEN(SUBSTITUTE(SUBSTITUTE(SUBSTITUTE(F236," ",""),"0",""),"-",""))),1,0))+IF(UPPER(D237)="X",0,IF((LEN(SUBSTITUTE(SUBSTITUTE(SUBSTITUTE(B237," ",""),"0",""),"-",""))+LEN(SUBSTITUTE(SUBSTITUTE(SUBSTITUTE(C237," ",""),"0",""),"-","")))&gt;(LEN(SUBSTITUTE(SUBSTITUTE(SUBSTITUTE(E237," ",""),"0",""),"-",""))+LEN(SUBSTITUTE(SUBSTITUTE(SUBSTITUTE(F237," ",""),"0",""),"-",""))),1,0))+IF(UPPER(D238)="X",0,IF((LEN(SUBSTITUTE(SUBSTITUTE(SUBSTITUTE(B238," ",""),"0",""),"-",""))+LEN(SUBSTITUTE(SUBSTITUTE(SUBSTITUTE(C238," ",""),"0",""),"-","")))&gt;(LEN(SUBSTITUTE(SUBSTITUTE(SUBSTITUTE(E238," ",""),"0",""),"-",""))+LEN(SUBSTITUTE(SUBSTITUTE(SUBSTITUTE(F238," ",""),"0",""),"-",""))),1,0))</f>
      </c>
      <c r="C241" s="14" t="str">
        <f>LEN(SUBSTITUTE(SUBSTITUTE(SUBSTITUTE(B234," ",""),"0",""),"-",""))+LEN(SUBSTITUTE(SUBSTITUTE(SUBSTITUTE(C234," ",""),"0",""),"-",""))+LEN(SUBSTITUTE(SUBSTITUTE(SUBSTITUTE(B235," ",""),"0",""),"-",""))+LEN(SUBSTITUTE(SUBSTITUTE(SUBSTITUTE(C235," ",""),"0",""),"-",""))+LEN(SUBSTITUTE(SUBSTITUTE(SUBSTITUTE(B236," ",""),"0",""),"-",""))+LEN(SUBSTITUTE(SUBSTITUTE(SUBSTITUTE(C236," ",""),"0",""),"-",""))+LEN(SUBSTITUTE(SUBSTITUTE(SUBSTITUTE(B237," ",""),"0",""),"-",""))+LEN(SUBSTITUTE(SUBSTITUTE(SUBSTITUTE(C237," ",""),"0",""),"-",""))+LEN(SUBSTITUTE(SUBSTITUTE(SUBSTITUTE(B238," ",""),"0",""),"-",""))+LEN(SUBSTITUTE(SUBSTITUTE(SUBSTITUTE(C238," ",""),"0",""),"-",""))</f>
      </c>
      <c r="D241" s="14"/>
      <c r="E241" s="14" t="str">
        <f>LEN(SUBSTITUTE(SUBSTITUTE(SUBSTITUTE(E234," ",""),"0",""),"-",""))+LEN(SUBSTITUTE(SUBSTITUTE(SUBSTITUTE(F234," ",""),"0",""),"-",""))+LEN(SUBSTITUTE(SUBSTITUTE(SUBSTITUTE(E235," ",""),"0",""),"-",""))+LEN(SUBSTITUTE(SUBSTITUTE(SUBSTITUTE(F235," ",""),"0",""),"-",""))+LEN(SUBSTITUTE(SUBSTITUTE(SUBSTITUTE(E236," ",""),"0",""),"-",""))+LEN(SUBSTITUTE(SUBSTITUTE(SUBSTITUTE(F236," ",""),"0",""),"-",""))+LEN(SUBSTITUTE(SUBSTITUTE(SUBSTITUTE(E237," ",""),"0",""),"-",""))+LEN(SUBSTITUTE(SUBSTITUTE(SUBSTITUTE(F237," ",""),"0",""),"-",""))+LEN(SUBSTITUTE(SUBSTITUTE(SUBSTITUTE(E238," ",""),"0",""),"-",""))+LEN(SUBSTITUTE(SUBSTITUTE(SUBSTITUTE(F238," ",""),"0",""),"-",""))</f>
      </c>
      <c r="F241" s="14" t="str">
        <f>IF(UPPER(D234)="X",0,IF((LEN(SUBSTITUTE(SUBSTITUTE(SUBSTITUTE(E234," ",""),"0",""),"-",""))+LEN(SUBSTITUTE(SUBSTITUTE(SUBSTITUTE(F234," ",""),"0",""),"-","")))&gt;(LEN(SUBSTITUTE(SUBSTITUTE(SUBSTITUTE(B234," ",""),"0",""),"-",""))+LEN(SUBSTITUTE(SUBSTITUTE(SUBSTITUTE(C234," ",""),"0",""),"-",""))),1,0))+IF(UPPER(D235)="X",0,IF((LEN(SUBSTITUTE(SUBSTITUTE(SUBSTITUTE(E235," ",""),"0",""),"-",""))+LEN(SUBSTITUTE(SUBSTITUTE(SUBSTITUTE(F235," ",""),"0",""),"-","")))&gt;(LEN(SUBSTITUTE(SUBSTITUTE(SUBSTITUTE(B235," ",""),"0",""),"-",""))+LEN(SUBSTITUTE(SUBSTITUTE(SUBSTITUTE(C235," ",""),"0",""),"-",""))),1,0))+IF(UPPER(D236)="X",0,IF((LEN(SUBSTITUTE(SUBSTITUTE(SUBSTITUTE(E236," ",""),"0",""),"-",""))+LEN(SUBSTITUTE(SUBSTITUTE(SUBSTITUTE(F236," ",""),"0",""),"-","")))&gt;(LEN(SUBSTITUTE(SUBSTITUTE(SUBSTITUTE(B236," ",""),"0",""),"-",""))+LEN(SUBSTITUTE(SUBSTITUTE(SUBSTITUTE(C236," ",""),"0",""),"-",""))),1,0))+IF(UPPER(D237)="X",0,IF((LEN(SUBSTITUTE(SUBSTITUTE(SUBSTITUTE(E237," ",""),"0",""),"-",""))+LEN(SUBSTITUTE(SUBSTITUTE(SUBSTITUTE(F237," ",""),"0",""),"-","")))&gt;(LEN(SUBSTITUTE(SUBSTITUTE(SUBSTITUTE(B237," ",""),"0",""),"-",""))+LEN(SUBSTITUTE(SUBSTITUTE(SUBSTITUTE(C237," ",""),"0",""),"-",""))),1,0))+IF(UPPER(D238)="X",0,IF((LEN(SUBSTITUTE(SUBSTITUTE(SUBSTITUTE(E238," ",""),"0",""),"-",""))+LEN(SUBSTITUTE(SUBSTITUTE(SUBSTITUTE(F238," ",""),"0",""),"-","")))&gt;(LEN(SUBSTITUTE(SUBSTITUTE(SUBSTITUTE(B238," ",""),"0",""),"-",""))+LEN(SUBSTITUTE(SUBSTITUTE(SUBSTITUTE(C238," ",""),"0",""),"-",""))),1,0))</f>
      </c>
      <c r="G241" s="14" t="s">
        <v>349</v>
      </c>
      <c r="I241" s="14" t="s">
        <v>349</v>
      </c>
      <c r="J241" s="14" t="str">
        <f>IF(UPPER(L234)="X",0,IF((LEN(SUBSTITUTE(SUBSTITUTE(SUBSTITUTE(J234," ",""),"0",""),"-",""))+LEN(SUBSTITUTE(SUBSTITUTE(SUBSTITUTE(K234," ",""),"0",""),"-","")))&gt;(LEN(SUBSTITUTE(SUBSTITUTE(SUBSTITUTE(M234," ",""),"0",""),"-",""))+LEN(SUBSTITUTE(SUBSTITUTE(SUBSTITUTE(N234," ",""),"0",""),"-",""))),1,0))+IF(UPPER(L235)="X",0,IF((LEN(SUBSTITUTE(SUBSTITUTE(SUBSTITUTE(J235," ",""),"0",""),"-",""))+LEN(SUBSTITUTE(SUBSTITUTE(SUBSTITUTE(K235," ",""),"0",""),"-","")))&gt;(LEN(SUBSTITUTE(SUBSTITUTE(SUBSTITUTE(M235," ",""),"0",""),"-",""))+LEN(SUBSTITUTE(SUBSTITUTE(SUBSTITUTE(N235," ",""),"0",""),"-",""))),1,0))+IF(UPPER(L236)="X",0,IF((LEN(SUBSTITUTE(SUBSTITUTE(SUBSTITUTE(J236," ",""),"0",""),"-",""))+LEN(SUBSTITUTE(SUBSTITUTE(SUBSTITUTE(K236," ",""),"0",""),"-","")))&gt;(LEN(SUBSTITUTE(SUBSTITUTE(SUBSTITUTE(M236," ",""),"0",""),"-",""))+LEN(SUBSTITUTE(SUBSTITUTE(SUBSTITUTE(N236," ",""),"0",""),"-",""))),1,0))+IF(UPPER(L237)="X",0,IF((LEN(SUBSTITUTE(SUBSTITUTE(SUBSTITUTE(J237," ",""),"0",""),"-",""))+LEN(SUBSTITUTE(SUBSTITUTE(SUBSTITUTE(K237," ",""),"0",""),"-","")))&gt;(LEN(SUBSTITUTE(SUBSTITUTE(SUBSTITUTE(M237," ",""),"0",""),"-",""))+LEN(SUBSTITUTE(SUBSTITUTE(SUBSTITUTE(N237," ",""),"0",""),"-",""))),1,0))+IF(UPPER(L238)="X",0,IF((LEN(SUBSTITUTE(SUBSTITUTE(SUBSTITUTE(J238," ",""),"0",""),"-",""))+LEN(SUBSTITUTE(SUBSTITUTE(SUBSTITUTE(K238," ",""),"0",""),"-","")))&gt;(LEN(SUBSTITUTE(SUBSTITUTE(SUBSTITUTE(M238," ",""),"0",""),"-",""))+LEN(SUBSTITUTE(SUBSTITUTE(SUBSTITUTE(N238," ",""),"0",""),"-",""))),1,0))</f>
      </c>
      <c r="K241" s="14" t="str">
        <f>LEN(SUBSTITUTE(SUBSTITUTE(SUBSTITUTE(J234," ",""),"0",""),"-",""))+LEN(SUBSTITUTE(SUBSTITUTE(SUBSTITUTE(K234," ",""),"0",""),"-",""))+LEN(SUBSTITUTE(SUBSTITUTE(SUBSTITUTE(J235," ",""),"0",""),"-",""))+LEN(SUBSTITUTE(SUBSTITUTE(SUBSTITUTE(K235," ",""),"0",""),"-",""))+LEN(SUBSTITUTE(SUBSTITUTE(SUBSTITUTE(J236," ",""),"0",""),"-",""))+LEN(SUBSTITUTE(SUBSTITUTE(SUBSTITUTE(K236," ",""),"0",""),"-",""))+LEN(SUBSTITUTE(SUBSTITUTE(SUBSTITUTE(J237," ",""),"0",""),"-",""))+LEN(SUBSTITUTE(SUBSTITUTE(SUBSTITUTE(K237," ",""),"0",""),"-",""))+LEN(SUBSTITUTE(SUBSTITUTE(SUBSTITUTE(J238," ",""),"0",""),"-",""))+LEN(SUBSTITUTE(SUBSTITUTE(SUBSTITUTE(K238," ",""),"0",""),"-",""))</f>
      </c>
      <c r="L241" s="14"/>
      <c r="M241" s="14" t="str">
        <f>LEN(SUBSTITUTE(SUBSTITUTE(SUBSTITUTE(M234," ",""),"0",""),"-",""))+LEN(SUBSTITUTE(SUBSTITUTE(SUBSTITUTE(N234," ",""),"0",""),"-",""))+LEN(SUBSTITUTE(SUBSTITUTE(SUBSTITUTE(M235," ",""),"0",""),"-",""))+LEN(SUBSTITUTE(SUBSTITUTE(SUBSTITUTE(N235," ",""),"0",""),"-",""))+LEN(SUBSTITUTE(SUBSTITUTE(SUBSTITUTE(M236," ",""),"0",""),"-",""))+LEN(SUBSTITUTE(SUBSTITUTE(SUBSTITUTE(N236," ",""),"0",""),"-",""))+LEN(SUBSTITUTE(SUBSTITUTE(SUBSTITUTE(M237," ",""),"0",""),"-",""))+LEN(SUBSTITUTE(SUBSTITUTE(SUBSTITUTE(N237," ",""),"0",""),"-",""))+LEN(SUBSTITUTE(SUBSTITUTE(SUBSTITUTE(M238," ",""),"0",""),"-",""))+LEN(SUBSTITUTE(SUBSTITUTE(SUBSTITUTE(N238," ",""),"0",""),"-",""))</f>
      </c>
      <c r="N241" s="14" t="str">
        <f>IF(UPPER(L234)="X",0,IF((LEN(SUBSTITUTE(SUBSTITUTE(SUBSTITUTE(M234," ",""),"0",""),"-",""))+LEN(SUBSTITUTE(SUBSTITUTE(SUBSTITUTE(N234," ",""),"0",""),"-","")))&gt;(LEN(SUBSTITUTE(SUBSTITUTE(SUBSTITUTE(J234," ",""),"0",""),"-",""))+LEN(SUBSTITUTE(SUBSTITUTE(SUBSTITUTE(K234," ",""),"0",""),"-",""))),1,0))+IF(UPPER(L235)="X",0,IF((LEN(SUBSTITUTE(SUBSTITUTE(SUBSTITUTE(M235," ",""),"0",""),"-",""))+LEN(SUBSTITUTE(SUBSTITUTE(SUBSTITUTE(N235," ",""),"0",""),"-","")))&gt;(LEN(SUBSTITUTE(SUBSTITUTE(SUBSTITUTE(J235," ",""),"0",""),"-",""))+LEN(SUBSTITUTE(SUBSTITUTE(SUBSTITUTE(K235," ",""),"0",""),"-",""))),1,0))+IF(UPPER(L236)="X",0,IF((LEN(SUBSTITUTE(SUBSTITUTE(SUBSTITUTE(M236," ",""),"0",""),"-",""))+LEN(SUBSTITUTE(SUBSTITUTE(SUBSTITUTE(N236," ",""),"0",""),"-","")))&gt;(LEN(SUBSTITUTE(SUBSTITUTE(SUBSTITUTE(J236," ",""),"0",""),"-",""))+LEN(SUBSTITUTE(SUBSTITUTE(SUBSTITUTE(K236," ",""),"0",""),"-",""))),1,0))+IF(UPPER(L237)="X",0,IF((LEN(SUBSTITUTE(SUBSTITUTE(SUBSTITUTE(M237," ",""),"0",""),"-",""))+LEN(SUBSTITUTE(SUBSTITUTE(SUBSTITUTE(N237," ",""),"0",""),"-","")))&gt;(LEN(SUBSTITUTE(SUBSTITUTE(SUBSTITUTE(J237," ",""),"0",""),"-",""))+LEN(SUBSTITUTE(SUBSTITUTE(SUBSTITUTE(K237," ",""),"0",""),"-",""))),1,0))+IF(UPPER(L238)="X",0,IF((LEN(SUBSTITUTE(SUBSTITUTE(SUBSTITUTE(M238," ",""),"0",""),"-",""))+LEN(SUBSTITUTE(SUBSTITUTE(SUBSTITUTE(N238," ",""),"0",""),"-","")))&gt;(LEN(SUBSTITUTE(SUBSTITUTE(SUBSTITUTE(J238," ",""),"0",""),"-",""))+LEN(SUBSTITUTE(SUBSTITUTE(SUBSTITUTE(K238," ",""),"0",""),"-",""))),1,0))</f>
      </c>
      <c r="O241" s="14" t="s">
        <v>349</v>
      </c>
    </row>
    <row r="244">
      <c r="F244" t="s">
        <v>344</v>
      </c>
      <c r="G244" s="19"/>
      <c r="N244" t="s">
        <v>344</v>
      </c>
      <c r="O244" s="19"/>
    </row>
    <row r="245">
      <c r="F245" t="s">
        <v>345</v>
      </c>
      <c r="G245" s="19"/>
      <c r="N245" t="s">
        <v>345</v>
      </c>
      <c r="O245" s="19"/>
    </row>
    <row r="247">
      <c r="A247" s="13" t="s">
        <v>379</v>
      </c>
      <c r="B247" s="13"/>
      <c r="C247" s="13"/>
      <c r="D247" s="13"/>
      <c r="E247" s="13"/>
      <c r="F247" s="13"/>
      <c r="G247" s="13"/>
      <c r="I247" s="13" t="s">
        <v>380</v>
      </c>
      <c r="J247" s="13"/>
      <c r="K247" s="13"/>
      <c r="L247" s="13"/>
      <c r="M247" s="13"/>
      <c r="N247" s="13"/>
      <c r="O247" s="13"/>
    </row>
    <row r="248">
      <c r="A248" s="17" t="s">
        <v>330</v>
      </c>
      <c r="D248" s="14" t="s">
        <v>331</v>
      </c>
      <c r="G248" s="16" t="s">
        <v>332</v>
      </c>
      <c r="I248" s="17" t="s">
        <v>330</v>
      </c>
      <c r="L248" s="14" t="s">
        <v>331</v>
      </c>
      <c r="O248" s="16" t="s">
        <v>332</v>
      </c>
    </row>
    <row r="249">
      <c r="A249" s="14" t="str">
        <f>CONCATENATE("M 4 ",G63)</f>
      </c>
      <c r="B249" s="14"/>
      <c r="C249" s="14"/>
      <c r="D249" s="18"/>
      <c r="E249" s="14"/>
      <c r="F249" s="14"/>
      <c r="G249" s="14" t="str">
        <f>CONCATENATE("M 3 ",G47)</f>
      </c>
      <c r="I249" s="14" t="str">
        <f>CONCATENATE("M 18 ",O63)</f>
      </c>
      <c r="J249" s="14"/>
      <c r="K249" s="14"/>
      <c r="L249" s="18"/>
      <c r="M249" s="14"/>
      <c r="N249" s="14"/>
      <c r="O249" s="14" t="str">
        <f>CONCATENATE("M 17 ",O47)</f>
      </c>
    </row>
    <row r="250">
      <c r="A250" s="14">
        <v>1</v>
      </c>
      <c r="B250" s="18"/>
      <c r="C250" s="18"/>
      <c r="D250" s="18"/>
      <c r="E250" s="18"/>
      <c r="F250" s="18"/>
      <c r="G250" s="14">
        <v>1</v>
      </c>
      <c r="I250" s="14">
        <v>1</v>
      </c>
      <c r="J250" s="18"/>
      <c r="K250" s="18"/>
      <c r="L250" s="18"/>
      <c r="M250" s="18"/>
      <c r="N250" s="18"/>
      <c r="O250" s="14">
        <v>1</v>
      </c>
    </row>
    <row r="251">
      <c r="A251" s="14">
        <v>2</v>
      </c>
      <c r="B251" s="18"/>
      <c r="C251" s="18"/>
      <c r="D251" s="18"/>
      <c r="E251" s="18"/>
      <c r="F251" s="18"/>
      <c r="G251" s="14">
        <v>2</v>
      </c>
      <c r="I251" s="14">
        <v>2</v>
      </c>
      <c r="J251" s="18"/>
      <c r="K251" s="18"/>
      <c r="L251" s="18"/>
      <c r="M251" s="18"/>
      <c r="N251" s="18"/>
      <c r="O251" s="14">
        <v>2</v>
      </c>
    </row>
    <row r="252">
      <c r="A252" s="14">
        <v>3</v>
      </c>
      <c r="B252" s="18"/>
      <c r="C252" s="18"/>
      <c r="D252" s="18"/>
      <c r="E252" s="18"/>
      <c r="F252" s="18"/>
      <c r="G252" s="14">
        <v>3</v>
      </c>
      <c r="I252" s="14">
        <v>3</v>
      </c>
      <c r="J252" s="18"/>
      <c r="K252" s="18"/>
      <c r="L252" s="18"/>
      <c r="M252" s="18"/>
      <c r="N252" s="18"/>
      <c r="O252" s="14">
        <v>3</v>
      </c>
    </row>
    <row r="253">
      <c r="A253" s="14">
        <v>4</v>
      </c>
      <c r="B253" s="18"/>
      <c r="C253" s="18"/>
      <c r="D253" s="18"/>
      <c r="E253" s="18"/>
      <c r="F253" s="18"/>
      <c r="G253" s="14">
        <v>4</v>
      </c>
      <c r="I253" s="14">
        <v>4</v>
      </c>
      <c r="J253" s="18"/>
      <c r="K253" s="18"/>
      <c r="L253" s="18"/>
      <c r="M253" s="18"/>
      <c r="N253" s="18"/>
      <c r="O253" s="14">
        <v>4</v>
      </c>
    </row>
    <row r="254">
      <c r="A254" s="14">
        <v>5</v>
      </c>
      <c r="B254" s="18"/>
      <c r="C254" s="18"/>
      <c r="D254" s="18"/>
      <c r="E254" s="18"/>
      <c r="F254" s="18"/>
      <c r="G254" s="14">
        <v>5</v>
      </c>
      <c r="I254" s="14">
        <v>5</v>
      </c>
      <c r="J254" s="18"/>
      <c r="K254" s="18"/>
      <c r="L254" s="18"/>
      <c r="M254" s="18"/>
      <c r="N254" s="18"/>
      <c r="O254" s="14">
        <v>5</v>
      </c>
    </row>
    <row r="256">
      <c r="A256" s="14" t="str">
        <f>CONCATENATE("M 4 ",G63)</f>
      </c>
      <c r="B256" s="14" t="s">
        <v>338</v>
      </c>
      <c r="C256" s="14" t="s">
        <v>341</v>
      </c>
      <c r="D256" s="14"/>
      <c r="E256" s="14" t="s">
        <v>341</v>
      </c>
      <c r="F256" s="14" t="s">
        <v>338</v>
      </c>
      <c r="G256" s="14" t="str">
        <f>CONCATENATE("M 3 ",G47)</f>
      </c>
      <c r="I256" s="14" t="str">
        <f>CONCATENATE("M 18 ",O63)</f>
      </c>
      <c r="J256" s="14" t="s">
        <v>338</v>
      </c>
      <c r="K256" s="14" t="s">
        <v>341</v>
      </c>
      <c r="L256" s="14"/>
      <c r="M256" s="14" t="s">
        <v>341</v>
      </c>
      <c r="N256" s="14" t="s">
        <v>338</v>
      </c>
      <c r="O256" s="14" t="str">
        <f>CONCATENATE("M 17 ",O47)</f>
      </c>
    </row>
    <row r="257">
      <c r="A257" s="14" t="s">
        <v>349</v>
      </c>
      <c r="B257" s="14" t="str">
        <f>IF(UPPER(D250)="X",0,IF((LEN(SUBSTITUTE(SUBSTITUTE(SUBSTITUTE(B250," ",""),"0",""),"-",""))+LEN(SUBSTITUTE(SUBSTITUTE(SUBSTITUTE(C250," ",""),"0",""),"-","")))&gt;(LEN(SUBSTITUTE(SUBSTITUTE(SUBSTITUTE(E250," ",""),"0",""),"-",""))+LEN(SUBSTITUTE(SUBSTITUTE(SUBSTITUTE(F250," ",""),"0",""),"-",""))),1,0))+IF(UPPER(D251)="X",0,IF((LEN(SUBSTITUTE(SUBSTITUTE(SUBSTITUTE(B251," ",""),"0",""),"-",""))+LEN(SUBSTITUTE(SUBSTITUTE(SUBSTITUTE(C251," ",""),"0",""),"-","")))&gt;(LEN(SUBSTITUTE(SUBSTITUTE(SUBSTITUTE(E251," ",""),"0",""),"-",""))+LEN(SUBSTITUTE(SUBSTITUTE(SUBSTITUTE(F251," ",""),"0",""),"-",""))),1,0))+IF(UPPER(D252)="X",0,IF((LEN(SUBSTITUTE(SUBSTITUTE(SUBSTITUTE(B252," ",""),"0",""),"-",""))+LEN(SUBSTITUTE(SUBSTITUTE(SUBSTITUTE(C252," ",""),"0",""),"-","")))&gt;(LEN(SUBSTITUTE(SUBSTITUTE(SUBSTITUTE(E252," ",""),"0",""),"-",""))+LEN(SUBSTITUTE(SUBSTITUTE(SUBSTITUTE(F252," ",""),"0",""),"-",""))),1,0))+IF(UPPER(D253)="X",0,IF((LEN(SUBSTITUTE(SUBSTITUTE(SUBSTITUTE(B253," ",""),"0",""),"-",""))+LEN(SUBSTITUTE(SUBSTITUTE(SUBSTITUTE(C253," ",""),"0",""),"-","")))&gt;(LEN(SUBSTITUTE(SUBSTITUTE(SUBSTITUTE(E253," ",""),"0",""),"-",""))+LEN(SUBSTITUTE(SUBSTITUTE(SUBSTITUTE(F253," ",""),"0",""),"-",""))),1,0))+IF(UPPER(D254)="X",0,IF((LEN(SUBSTITUTE(SUBSTITUTE(SUBSTITUTE(B254," ",""),"0",""),"-",""))+LEN(SUBSTITUTE(SUBSTITUTE(SUBSTITUTE(C254," ",""),"0",""),"-","")))&gt;(LEN(SUBSTITUTE(SUBSTITUTE(SUBSTITUTE(E254," ",""),"0",""),"-",""))+LEN(SUBSTITUTE(SUBSTITUTE(SUBSTITUTE(F254," ",""),"0",""),"-",""))),1,0))</f>
      </c>
      <c r="C257" s="14" t="str">
        <f>LEN(SUBSTITUTE(SUBSTITUTE(SUBSTITUTE(B250," ",""),"0",""),"-",""))+LEN(SUBSTITUTE(SUBSTITUTE(SUBSTITUTE(C250," ",""),"0",""),"-",""))+LEN(SUBSTITUTE(SUBSTITUTE(SUBSTITUTE(B251," ",""),"0",""),"-",""))+LEN(SUBSTITUTE(SUBSTITUTE(SUBSTITUTE(C251," ",""),"0",""),"-",""))+LEN(SUBSTITUTE(SUBSTITUTE(SUBSTITUTE(B252," ",""),"0",""),"-",""))+LEN(SUBSTITUTE(SUBSTITUTE(SUBSTITUTE(C252," ",""),"0",""),"-",""))+LEN(SUBSTITUTE(SUBSTITUTE(SUBSTITUTE(B253," ",""),"0",""),"-",""))+LEN(SUBSTITUTE(SUBSTITUTE(SUBSTITUTE(C253," ",""),"0",""),"-",""))+LEN(SUBSTITUTE(SUBSTITUTE(SUBSTITUTE(B254," ",""),"0",""),"-",""))+LEN(SUBSTITUTE(SUBSTITUTE(SUBSTITUTE(C254," ",""),"0",""),"-",""))</f>
      </c>
      <c r="D257" s="14"/>
      <c r="E257" s="14" t="str">
        <f>LEN(SUBSTITUTE(SUBSTITUTE(SUBSTITUTE(E250," ",""),"0",""),"-",""))+LEN(SUBSTITUTE(SUBSTITUTE(SUBSTITUTE(F250," ",""),"0",""),"-",""))+LEN(SUBSTITUTE(SUBSTITUTE(SUBSTITUTE(E251," ",""),"0",""),"-",""))+LEN(SUBSTITUTE(SUBSTITUTE(SUBSTITUTE(F251," ",""),"0",""),"-",""))+LEN(SUBSTITUTE(SUBSTITUTE(SUBSTITUTE(E252," ",""),"0",""),"-",""))+LEN(SUBSTITUTE(SUBSTITUTE(SUBSTITUTE(F252," ",""),"0",""),"-",""))+LEN(SUBSTITUTE(SUBSTITUTE(SUBSTITUTE(E253," ",""),"0",""),"-",""))+LEN(SUBSTITUTE(SUBSTITUTE(SUBSTITUTE(F253," ",""),"0",""),"-",""))+LEN(SUBSTITUTE(SUBSTITUTE(SUBSTITUTE(E254," ",""),"0",""),"-",""))+LEN(SUBSTITUTE(SUBSTITUTE(SUBSTITUTE(F254," ",""),"0",""),"-",""))</f>
      </c>
      <c r="F257" s="14" t="str">
        <f>IF(UPPER(D250)="X",0,IF((LEN(SUBSTITUTE(SUBSTITUTE(SUBSTITUTE(E250," ",""),"0",""),"-",""))+LEN(SUBSTITUTE(SUBSTITUTE(SUBSTITUTE(F250," ",""),"0",""),"-","")))&gt;(LEN(SUBSTITUTE(SUBSTITUTE(SUBSTITUTE(B250," ",""),"0",""),"-",""))+LEN(SUBSTITUTE(SUBSTITUTE(SUBSTITUTE(C250," ",""),"0",""),"-",""))),1,0))+IF(UPPER(D251)="X",0,IF((LEN(SUBSTITUTE(SUBSTITUTE(SUBSTITUTE(E251," ",""),"0",""),"-",""))+LEN(SUBSTITUTE(SUBSTITUTE(SUBSTITUTE(F251," ",""),"0",""),"-","")))&gt;(LEN(SUBSTITUTE(SUBSTITUTE(SUBSTITUTE(B251," ",""),"0",""),"-",""))+LEN(SUBSTITUTE(SUBSTITUTE(SUBSTITUTE(C251," ",""),"0",""),"-",""))),1,0))+IF(UPPER(D252)="X",0,IF((LEN(SUBSTITUTE(SUBSTITUTE(SUBSTITUTE(E252," ",""),"0",""),"-",""))+LEN(SUBSTITUTE(SUBSTITUTE(SUBSTITUTE(F252," ",""),"0",""),"-","")))&gt;(LEN(SUBSTITUTE(SUBSTITUTE(SUBSTITUTE(B252," ",""),"0",""),"-",""))+LEN(SUBSTITUTE(SUBSTITUTE(SUBSTITUTE(C252," ",""),"0",""),"-",""))),1,0))+IF(UPPER(D253)="X",0,IF((LEN(SUBSTITUTE(SUBSTITUTE(SUBSTITUTE(E253," ",""),"0",""),"-",""))+LEN(SUBSTITUTE(SUBSTITUTE(SUBSTITUTE(F253," ",""),"0",""),"-","")))&gt;(LEN(SUBSTITUTE(SUBSTITUTE(SUBSTITUTE(B253," ",""),"0",""),"-",""))+LEN(SUBSTITUTE(SUBSTITUTE(SUBSTITUTE(C253," ",""),"0",""),"-",""))),1,0))+IF(UPPER(D254)="X",0,IF((LEN(SUBSTITUTE(SUBSTITUTE(SUBSTITUTE(E254," ",""),"0",""),"-",""))+LEN(SUBSTITUTE(SUBSTITUTE(SUBSTITUTE(F254," ",""),"0",""),"-","")))&gt;(LEN(SUBSTITUTE(SUBSTITUTE(SUBSTITUTE(B254," ",""),"0",""),"-",""))+LEN(SUBSTITUTE(SUBSTITUTE(SUBSTITUTE(C254," ",""),"0",""),"-",""))),1,0))</f>
      </c>
      <c r="G257" s="14" t="s">
        <v>349</v>
      </c>
      <c r="I257" s="14" t="s">
        <v>349</v>
      </c>
      <c r="J257" s="14" t="str">
        <f>IF(UPPER(L250)="X",0,IF((LEN(SUBSTITUTE(SUBSTITUTE(SUBSTITUTE(J250," ",""),"0",""),"-",""))+LEN(SUBSTITUTE(SUBSTITUTE(SUBSTITUTE(K250," ",""),"0",""),"-","")))&gt;(LEN(SUBSTITUTE(SUBSTITUTE(SUBSTITUTE(M250," ",""),"0",""),"-",""))+LEN(SUBSTITUTE(SUBSTITUTE(SUBSTITUTE(N250," ",""),"0",""),"-",""))),1,0))+IF(UPPER(L251)="X",0,IF((LEN(SUBSTITUTE(SUBSTITUTE(SUBSTITUTE(J251," ",""),"0",""),"-",""))+LEN(SUBSTITUTE(SUBSTITUTE(SUBSTITUTE(K251," ",""),"0",""),"-","")))&gt;(LEN(SUBSTITUTE(SUBSTITUTE(SUBSTITUTE(M251," ",""),"0",""),"-",""))+LEN(SUBSTITUTE(SUBSTITUTE(SUBSTITUTE(N251," ",""),"0",""),"-",""))),1,0))+IF(UPPER(L252)="X",0,IF((LEN(SUBSTITUTE(SUBSTITUTE(SUBSTITUTE(J252," ",""),"0",""),"-",""))+LEN(SUBSTITUTE(SUBSTITUTE(SUBSTITUTE(K252," ",""),"0",""),"-","")))&gt;(LEN(SUBSTITUTE(SUBSTITUTE(SUBSTITUTE(M252," ",""),"0",""),"-",""))+LEN(SUBSTITUTE(SUBSTITUTE(SUBSTITUTE(N252," ",""),"0",""),"-",""))),1,0))+IF(UPPER(L253)="X",0,IF((LEN(SUBSTITUTE(SUBSTITUTE(SUBSTITUTE(J253," ",""),"0",""),"-",""))+LEN(SUBSTITUTE(SUBSTITUTE(SUBSTITUTE(K253," ",""),"0",""),"-","")))&gt;(LEN(SUBSTITUTE(SUBSTITUTE(SUBSTITUTE(M253," ",""),"0",""),"-",""))+LEN(SUBSTITUTE(SUBSTITUTE(SUBSTITUTE(N253," ",""),"0",""),"-",""))),1,0))+IF(UPPER(L254)="X",0,IF((LEN(SUBSTITUTE(SUBSTITUTE(SUBSTITUTE(J254," ",""),"0",""),"-",""))+LEN(SUBSTITUTE(SUBSTITUTE(SUBSTITUTE(K254," ",""),"0",""),"-","")))&gt;(LEN(SUBSTITUTE(SUBSTITUTE(SUBSTITUTE(M254," ",""),"0",""),"-",""))+LEN(SUBSTITUTE(SUBSTITUTE(SUBSTITUTE(N254," ",""),"0",""),"-",""))),1,0))</f>
      </c>
      <c r="K257" s="14" t="str">
        <f>LEN(SUBSTITUTE(SUBSTITUTE(SUBSTITUTE(J250," ",""),"0",""),"-",""))+LEN(SUBSTITUTE(SUBSTITUTE(SUBSTITUTE(K250," ",""),"0",""),"-",""))+LEN(SUBSTITUTE(SUBSTITUTE(SUBSTITUTE(J251," ",""),"0",""),"-",""))+LEN(SUBSTITUTE(SUBSTITUTE(SUBSTITUTE(K251," ",""),"0",""),"-",""))+LEN(SUBSTITUTE(SUBSTITUTE(SUBSTITUTE(J252," ",""),"0",""),"-",""))+LEN(SUBSTITUTE(SUBSTITUTE(SUBSTITUTE(K252," ",""),"0",""),"-",""))+LEN(SUBSTITUTE(SUBSTITUTE(SUBSTITUTE(J253," ",""),"0",""),"-",""))+LEN(SUBSTITUTE(SUBSTITUTE(SUBSTITUTE(K253," ",""),"0",""),"-",""))+LEN(SUBSTITUTE(SUBSTITUTE(SUBSTITUTE(J254," ",""),"0",""),"-",""))+LEN(SUBSTITUTE(SUBSTITUTE(SUBSTITUTE(K254," ",""),"0",""),"-",""))</f>
      </c>
      <c r="L257" s="14"/>
      <c r="M257" s="14" t="str">
        <f>LEN(SUBSTITUTE(SUBSTITUTE(SUBSTITUTE(M250," ",""),"0",""),"-",""))+LEN(SUBSTITUTE(SUBSTITUTE(SUBSTITUTE(N250," ",""),"0",""),"-",""))+LEN(SUBSTITUTE(SUBSTITUTE(SUBSTITUTE(M251," ",""),"0",""),"-",""))+LEN(SUBSTITUTE(SUBSTITUTE(SUBSTITUTE(N251," ",""),"0",""),"-",""))+LEN(SUBSTITUTE(SUBSTITUTE(SUBSTITUTE(M252," ",""),"0",""),"-",""))+LEN(SUBSTITUTE(SUBSTITUTE(SUBSTITUTE(N252," ",""),"0",""),"-",""))+LEN(SUBSTITUTE(SUBSTITUTE(SUBSTITUTE(M253," ",""),"0",""),"-",""))+LEN(SUBSTITUTE(SUBSTITUTE(SUBSTITUTE(N253," ",""),"0",""),"-",""))+LEN(SUBSTITUTE(SUBSTITUTE(SUBSTITUTE(M254," ",""),"0",""),"-",""))+LEN(SUBSTITUTE(SUBSTITUTE(SUBSTITUTE(N254," ",""),"0",""),"-",""))</f>
      </c>
      <c r="N257" s="14" t="str">
        <f>IF(UPPER(L250)="X",0,IF((LEN(SUBSTITUTE(SUBSTITUTE(SUBSTITUTE(M250," ",""),"0",""),"-",""))+LEN(SUBSTITUTE(SUBSTITUTE(SUBSTITUTE(N250," ",""),"0",""),"-","")))&gt;(LEN(SUBSTITUTE(SUBSTITUTE(SUBSTITUTE(J250," ",""),"0",""),"-",""))+LEN(SUBSTITUTE(SUBSTITUTE(SUBSTITUTE(K250," ",""),"0",""),"-",""))),1,0))+IF(UPPER(L251)="X",0,IF((LEN(SUBSTITUTE(SUBSTITUTE(SUBSTITUTE(M251," ",""),"0",""),"-",""))+LEN(SUBSTITUTE(SUBSTITUTE(SUBSTITUTE(N251," ",""),"0",""),"-","")))&gt;(LEN(SUBSTITUTE(SUBSTITUTE(SUBSTITUTE(J251," ",""),"0",""),"-",""))+LEN(SUBSTITUTE(SUBSTITUTE(SUBSTITUTE(K251," ",""),"0",""),"-",""))),1,0))+IF(UPPER(L252)="X",0,IF((LEN(SUBSTITUTE(SUBSTITUTE(SUBSTITUTE(M252," ",""),"0",""),"-",""))+LEN(SUBSTITUTE(SUBSTITUTE(SUBSTITUTE(N252," ",""),"0",""),"-","")))&gt;(LEN(SUBSTITUTE(SUBSTITUTE(SUBSTITUTE(J252," ",""),"0",""),"-",""))+LEN(SUBSTITUTE(SUBSTITUTE(SUBSTITUTE(K252," ",""),"0",""),"-",""))),1,0))+IF(UPPER(L253)="X",0,IF((LEN(SUBSTITUTE(SUBSTITUTE(SUBSTITUTE(M253," ",""),"0",""),"-",""))+LEN(SUBSTITUTE(SUBSTITUTE(SUBSTITUTE(N253," ",""),"0",""),"-","")))&gt;(LEN(SUBSTITUTE(SUBSTITUTE(SUBSTITUTE(J253," ",""),"0",""),"-",""))+LEN(SUBSTITUTE(SUBSTITUTE(SUBSTITUTE(K253," ",""),"0",""),"-",""))),1,0))+IF(UPPER(L254)="X",0,IF((LEN(SUBSTITUTE(SUBSTITUTE(SUBSTITUTE(M254," ",""),"0",""),"-",""))+LEN(SUBSTITUTE(SUBSTITUTE(SUBSTITUTE(N254," ",""),"0",""),"-","")))&gt;(LEN(SUBSTITUTE(SUBSTITUTE(SUBSTITUTE(J254," ",""),"0",""),"-",""))+LEN(SUBSTITUTE(SUBSTITUTE(SUBSTITUTE(K254," ",""),"0",""),"-",""))),1,0))</f>
      </c>
      <c r="O257" s="14" t="s">
        <v>349</v>
      </c>
    </row>
    <row r="260">
      <c r="F260" t="s">
        <v>344</v>
      </c>
      <c r="G260" s="19"/>
      <c r="N260" t="s">
        <v>344</v>
      </c>
      <c r="O260" s="19"/>
    </row>
    <row r="261">
      <c r="F261" t="s">
        <v>345</v>
      </c>
      <c r="G261" s="19"/>
      <c r="N261" t="s">
        <v>345</v>
      </c>
      <c r="O261" s="19"/>
    </row>
    <row r="263">
      <c r="A263" s="13" t="s">
        <v>381</v>
      </c>
      <c r="B263" s="13"/>
      <c r="C263" s="13"/>
      <c r="D263" s="13"/>
      <c r="E263" s="13"/>
      <c r="F263" s="13"/>
      <c r="G263" s="13"/>
      <c r="I263" s="13" t="s">
        <v>382</v>
      </c>
      <c r="J263" s="13"/>
      <c r="K263" s="13"/>
      <c r="L263" s="13"/>
      <c r="M263" s="13"/>
      <c r="N263" s="13"/>
      <c r="O263" s="13"/>
    </row>
    <row r="264">
      <c r="A264" s="17" t="s">
        <v>330</v>
      </c>
      <c r="D264" s="14" t="s">
        <v>331</v>
      </c>
      <c r="G264" s="16" t="s">
        <v>332</v>
      </c>
      <c r="I264" s="17" t="s">
        <v>330</v>
      </c>
      <c r="L264" s="14" t="s">
        <v>331</v>
      </c>
      <c r="O264" s="16" t="s">
        <v>332</v>
      </c>
    </row>
    <row r="265">
      <c r="A265" s="14" t="str">
        <f>CONCATENATE("M 6 ",G95)</f>
      </c>
      <c r="B265" s="14"/>
      <c r="C265" s="14"/>
      <c r="D265" s="18"/>
      <c r="E265" s="14"/>
      <c r="F265" s="14"/>
      <c r="G265" s="14" t="str">
        <f>CONCATENATE("M 5 ",G79)</f>
      </c>
      <c r="I265" s="14" t="str">
        <f>CONCATENATE("M 20 ",O95)</f>
      </c>
      <c r="J265" s="14"/>
      <c r="K265" s="14"/>
      <c r="L265" s="18"/>
      <c r="M265" s="14"/>
      <c r="N265" s="14"/>
      <c r="O265" s="14" t="str">
        <f>CONCATENATE("M 19 ",O79)</f>
      </c>
    </row>
    <row r="266">
      <c r="A266" s="14">
        <v>1</v>
      </c>
      <c r="B266" s="18"/>
      <c r="C266" s="18"/>
      <c r="D266" s="18"/>
      <c r="E266" s="18"/>
      <c r="F266" s="18"/>
      <c r="G266" s="14">
        <v>1</v>
      </c>
      <c r="I266" s="14">
        <v>1</v>
      </c>
      <c r="J266" s="18"/>
      <c r="K266" s="18"/>
      <c r="L266" s="18"/>
      <c r="M266" s="18"/>
      <c r="N266" s="18"/>
      <c r="O266" s="14">
        <v>1</v>
      </c>
    </row>
    <row r="267">
      <c r="A267" s="14">
        <v>2</v>
      </c>
      <c r="B267" s="18"/>
      <c r="C267" s="18"/>
      <c r="D267" s="18"/>
      <c r="E267" s="18"/>
      <c r="F267" s="18"/>
      <c r="G267" s="14">
        <v>2</v>
      </c>
      <c r="I267" s="14">
        <v>2</v>
      </c>
      <c r="J267" s="18"/>
      <c r="K267" s="18"/>
      <c r="L267" s="18"/>
      <c r="M267" s="18"/>
      <c r="N267" s="18"/>
      <c r="O267" s="14">
        <v>2</v>
      </c>
    </row>
    <row r="268">
      <c r="A268" s="14">
        <v>3</v>
      </c>
      <c r="B268" s="18"/>
      <c r="C268" s="18"/>
      <c r="D268" s="18"/>
      <c r="E268" s="18"/>
      <c r="F268" s="18"/>
      <c r="G268" s="14">
        <v>3</v>
      </c>
      <c r="I268" s="14">
        <v>3</v>
      </c>
      <c r="J268" s="18"/>
      <c r="K268" s="18"/>
      <c r="L268" s="18"/>
      <c r="M268" s="18"/>
      <c r="N268" s="18"/>
      <c r="O268" s="14">
        <v>3</v>
      </c>
    </row>
    <row r="269">
      <c r="A269" s="14">
        <v>4</v>
      </c>
      <c r="B269" s="18"/>
      <c r="C269" s="18"/>
      <c r="D269" s="18"/>
      <c r="E269" s="18"/>
      <c r="F269" s="18"/>
      <c r="G269" s="14">
        <v>4</v>
      </c>
      <c r="I269" s="14">
        <v>4</v>
      </c>
      <c r="J269" s="18"/>
      <c r="K269" s="18"/>
      <c r="L269" s="18"/>
      <c r="M269" s="18"/>
      <c r="N269" s="18"/>
      <c r="O269" s="14">
        <v>4</v>
      </c>
    </row>
    <row r="270">
      <c r="A270" s="14">
        <v>5</v>
      </c>
      <c r="B270" s="18"/>
      <c r="C270" s="18"/>
      <c r="D270" s="18"/>
      <c r="E270" s="18"/>
      <c r="F270" s="18"/>
      <c r="G270" s="14">
        <v>5</v>
      </c>
      <c r="I270" s="14">
        <v>5</v>
      </c>
      <c r="J270" s="18"/>
      <c r="K270" s="18"/>
      <c r="L270" s="18"/>
      <c r="M270" s="18"/>
      <c r="N270" s="18"/>
      <c r="O270" s="14">
        <v>5</v>
      </c>
    </row>
    <row r="272">
      <c r="A272" s="14" t="str">
        <f>CONCATENATE("M 6 ",G95)</f>
      </c>
      <c r="B272" s="14" t="s">
        <v>338</v>
      </c>
      <c r="C272" s="14" t="s">
        <v>341</v>
      </c>
      <c r="D272" s="14"/>
      <c r="E272" s="14" t="s">
        <v>341</v>
      </c>
      <c r="F272" s="14" t="s">
        <v>338</v>
      </c>
      <c r="G272" s="14" t="str">
        <f>CONCATENATE("M 5 ",G79)</f>
      </c>
      <c r="I272" s="14" t="str">
        <f>CONCATENATE("M 20 ",O95)</f>
      </c>
      <c r="J272" s="14" t="s">
        <v>338</v>
      </c>
      <c r="K272" s="14" t="s">
        <v>341</v>
      </c>
      <c r="L272" s="14"/>
      <c r="M272" s="14" t="s">
        <v>341</v>
      </c>
      <c r="N272" s="14" t="s">
        <v>338</v>
      </c>
      <c r="O272" s="14" t="str">
        <f>CONCATENATE("M 19 ",O79)</f>
      </c>
    </row>
    <row r="273">
      <c r="A273" s="14" t="s">
        <v>349</v>
      </c>
      <c r="B273" s="14" t="str">
        <f>IF(UPPER(D266)="X",0,IF((LEN(SUBSTITUTE(SUBSTITUTE(SUBSTITUTE(B266," ",""),"0",""),"-",""))+LEN(SUBSTITUTE(SUBSTITUTE(SUBSTITUTE(C266," ",""),"0",""),"-","")))&gt;(LEN(SUBSTITUTE(SUBSTITUTE(SUBSTITUTE(E266," ",""),"0",""),"-",""))+LEN(SUBSTITUTE(SUBSTITUTE(SUBSTITUTE(F266," ",""),"0",""),"-",""))),1,0))+IF(UPPER(D267)="X",0,IF((LEN(SUBSTITUTE(SUBSTITUTE(SUBSTITUTE(B267," ",""),"0",""),"-",""))+LEN(SUBSTITUTE(SUBSTITUTE(SUBSTITUTE(C267," ",""),"0",""),"-","")))&gt;(LEN(SUBSTITUTE(SUBSTITUTE(SUBSTITUTE(E267," ",""),"0",""),"-",""))+LEN(SUBSTITUTE(SUBSTITUTE(SUBSTITUTE(F267," ",""),"0",""),"-",""))),1,0))+IF(UPPER(D268)="X",0,IF((LEN(SUBSTITUTE(SUBSTITUTE(SUBSTITUTE(B268," ",""),"0",""),"-",""))+LEN(SUBSTITUTE(SUBSTITUTE(SUBSTITUTE(C268," ",""),"0",""),"-","")))&gt;(LEN(SUBSTITUTE(SUBSTITUTE(SUBSTITUTE(E268," ",""),"0",""),"-",""))+LEN(SUBSTITUTE(SUBSTITUTE(SUBSTITUTE(F268," ",""),"0",""),"-",""))),1,0))+IF(UPPER(D269)="X",0,IF((LEN(SUBSTITUTE(SUBSTITUTE(SUBSTITUTE(B269," ",""),"0",""),"-",""))+LEN(SUBSTITUTE(SUBSTITUTE(SUBSTITUTE(C269," ",""),"0",""),"-","")))&gt;(LEN(SUBSTITUTE(SUBSTITUTE(SUBSTITUTE(E269," ",""),"0",""),"-",""))+LEN(SUBSTITUTE(SUBSTITUTE(SUBSTITUTE(F269," ",""),"0",""),"-",""))),1,0))+IF(UPPER(D270)="X",0,IF((LEN(SUBSTITUTE(SUBSTITUTE(SUBSTITUTE(B270," ",""),"0",""),"-",""))+LEN(SUBSTITUTE(SUBSTITUTE(SUBSTITUTE(C270," ",""),"0",""),"-","")))&gt;(LEN(SUBSTITUTE(SUBSTITUTE(SUBSTITUTE(E270," ",""),"0",""),"-",""))+LEN(SUBSTITUTE(SUBSTITUTE(SUBSTITUTE(F270," ",""),"0",""),"-",""))),1,0))</f>
      </c>
      <c r="C273" s="14" t="str">
        <f>LEN(SUBSTITUTE(SUBSTITUTE(SUBSTITUTE(B266," ",""),"0",""),"-",""))+LEN(SUBSTITUTE(SUBSTITUTE(SUBSTITUTE(C266," ",""),"0",""),"-",""))+LEN(SUBSTITUTE(SUBSTITUTE(SUBSTITUTE(B267," ",""),"0",""),"-",""))+LEN(SUBSTITUTE(SUBSTITUTE(SUBSTITUTE(C267," ",""),"0",""),"-",""))+LEN(SUBSTITUTE(SUBSTITUTE(SUBSTITUTE(B268," ",""),"0",""),"-",""))+LEN(SUBSTITUTE(SUBSTITUTE(SUBSTITUTE(C268," ",""),"0",""),"-",""))+LEN(SUBSTITUTE(SUBSTITUTE(SUBSTITUTE(B269," ",""),"0",""),"-",""))+LEN(SUBSTITUTE(SUBSTITUTE(SUBSTITUTE(C269," ",""),"0",""),"-",""))+LEN(SUBSTITUTE(SUBSTITUTE(SUBSTITUTE(B270," ",""),"0",""),"-",""))+LEN(SUBSTITUTE(SUBSTITUTE(SUBSTITUTE(C270," ",""),"0",""),"-",""))</f>
      </c>
      <c r="D273" s="14"/>
      <c r="E273" s="14" t="str">
        <f>LEN(SUBSTITUTE(SUBSTITUTE(SUBSTITUTE(E266," ",""),"0",""),"-",""))+LEN(SUBSTITUTE(SUBSTITUTE(SUBSTITUTE(F266," ",""),"0",""),"-",""))+LEN(SUBSTITUTE(SUBSTITUTE(SUBSTITUTE(E267," ",""),"0",""),"-",""))+LEN(SUBSTITUTE(SUBSTITUTE(SUBSTITUTE(F267," ",""),"0",""),"-",""))+LEN(SUBSTITUTE(SUBSTITUTE(SUBSTITUTE(E268," ",""),"0",""),"-",""))+LEN(SUBSTITUTE(SUBSTITUTE(SUBSTITUTE(F268," ",""),"0",""),"-",""))+LEN(SUBSTITUTE(SUBSTITUTE(SUBSTITUTE(E269," ",""),"0",""),"-",""))+LEN(SUBSTITUTE(SUBSTITUTE(SUBSTITUTE(F269," ",""),"0",""),"-",""))+LEN(SUBSTITUTE(SUBSTITUTE(SUBSTITUTE(E270," ",""),"0",""),"-",""))+LEN(SUBSTITUTE(SUBSTITUTE(SUBSTITUTE(F270," ",""),"0",""),"-",""))</f>
      </c>
      <c r="F273" s="14" t="str">
        <f>IF(UPPER(D266)="X",0,IF((LEN(SUBSTITUTE(SUBSTITUTE(SUBSTITUTE(E266," ",""),"0",""),"-",""))+LEN(SUBSTITUTE(SUBSTITUTE(SUBSTITUTE(F266," ",""),"0",""),"-","")))&gt;(LEN(SUBSTITUTE(SUBSTITUTE(SUBSTITUTE(B266," ",""),"0",""),"-",""))+LEN(SUBSTITUTE(SUBSTITUTE(SUBSTITUTE(C266," ",""),"0",""),"-",""))),1,0))+IF(UPPER(D267)="X",0,IF((LEN(SUBSTITUTE(SUBSTITUTE(SUBSTITUTE(E267," ",""),"0",""),"-",""))+LEN(SUBSTITUTE(SUBSTITUTE(SUBSTITUTE(F267," ",""),"0",""),"-","")))&gt;(LEN(SUBSTITUTE(SUBSTITUTE(SUBSTITUTE(B267," ",""),"0",""),"-",""))+LEN(SUBSTITUTE(SUBSTITUTE(SUBSTITUTE(C267," ",""),"0",""),"-",""))),1,0))+IF(UPPER(D268)="X",0,IF((LEN(SUBSTITUTE(SUBSTITUTE(SUBSTITUTE(E268," ",""),"0",""),"-",""))+LEN(SUBSTITUTE(SUBSTITUTE(SUBSTITUTE(F268," ",""),"0",""),"-","")))&gt;(LEN(SUBSTITUTE(SUBSTITUTE(SUBSTITUTE(B268," ",""),"0",""),"-",""))+LEN(SUBSTITUTE(SUBSTITUTE(SUBSTITUTE(C268," ",""),"0",""),"-",""))),1,0))+IF(UPPER(D269)="X",0,IF((LEN(SUBSTITUTE(SUBSTITUTE(SUBSTITUTE(E269," ",""),"0",""),"-",""))+LEN(SUBSTITUTE(SUBSTITUTE(SUBSTITUTE(F269," ",""),"0",""),"-","")))&gt;(LEN(SUBSTITUTE(SUBSTITUTE(SUBSTITUTE(B269," ",""),"0",""),"-",""))+LEN(SUBSTITUTE(SUBSTITUTE(SUBSTITUTE(C269," ",""),"0",""),"-",""))),1,0))+IF(UPPER(D270)="X",0,IF((LEN(SUBSTITUTE(SUBSTITUTE(SUBSTITUTE(E270," ",""),"0",""),"-",""))+LEN(SUBSTITUTE(SUBSTITUTE(SUBSTITUTE(F270," ",""),"0",""),"-","")))&gt;(LEN(SUBSTITUTE(SUBSTITUTE(SUBSTITUTE(B270," ",""),"0",""),"-",""))+LEN(SUBSTITUTE(SUBSTITUTE(SUBSTITUTE(C270," ",""),"0",""),"-",""))),1,0))</f>
      </c>
      <c r="G273" s="14" t="s">
        <v>349</v>
      </c>
      <c r="I273" s="14" t="s">
        <v>349</v>
      </c>
      <c r="J273" s="14" t="str">
        <f>IF(UPPER(L266)="X",0,IF((LEN(SUBSTITUTE(SUBSTITUTE(SUBSTITUTE(J266," ",""),"0",""),"-",""))+LEN(SUBSTITUTE(SUBSTITUTE(SUBSTITUTE(K266," ",""),"0",""),"-","")))&gt;(LEN(SUBSTITUTE(SUBSTITUTE(SUBSTITUTE(M266," ",""),"0",""),"-",""))+LEN(SUBSTITUTE(SUBSTITUTE(SUBSTITUTE(N266," ",""),"0",""),"-",""))),1,0))+IF(UPPER(L267)="X",0,IF((LEN(SUBSTITUTE(SUBSTITUTE(SUBSTITUTE(J267," ",""),"0",""),"-",""))+LEN(SUBSTITUTE(SUBSTITUTE(SUBSTITUTE(K267," ",""),"0",""),"-","")))&gt;(LEN(SUBSTITUTE(SUBSTITUTE(SUBSTITUTE(M267," ",""),"0",""),"-",""))+LEN(SUBSTITUTE(SUBSTITUTE(SUBSTITUTE(N267," ",""),"0",""),"-",""))),1,0))+IF(UPPER(L268)="X",0,IF((LEN(SUBSTITUTE(SUBSTITUTE(SUBSTITUTE(J268," ",""),"0",""),"-",""))+LEN(SUBSTITUTE(SUBSTITUTE(SUBSTITUTE(K268," ",""),"0",""),"-","")))&gt;(LEN(SUBSTITUTE(SUBSTITUTE(SUBSTITUTE(M268," ",""),"0",""),"-",""))+LEN(SUBSTITUTE(SUBSTITUTE(SUBSTITUTE(N268," ",""),"0",""),"-",""))),1,0))+IF(UPPER(L269)="X",0,IF((LEN(SUBSTITUTE(SUBSTITUTE(SUBSTITUTE(J269," ",""),"0",""),"-",""))+LEN(SUBSTITUTE(SUBSTITUTE(SUBSTITUTE(K269," ",""),"0",""),"-","")))&gt;(LEN(SUBSTITUTE(SUBSTITUTE(SUBSTITUTE(M269," ",""),"0",""),"-",""))+LEN(SUBSTITUTE(SUBSTITUTE(SUBSTITUTE(N269," ",""),"0",""),"-",""))),1,0))+IF(UPPER(L270)="X",0,IF((LEN(SUBSTITUTE(SUBSTITUTE(SUBSTITUTE(J270," ",""),"0",""),"-",""))+LEN(SUBSTITUTE(SUBSTITUTE(SUBSTITUTE(K270," ",""),"0",""),"-","")))&gt;(LEN(SUBSTITUTE(SUBSTITUTE(SUBSTITUTE(M270," ",""),"0",""),"-",""))+LEN(SUBSTITUTE(SUBSTITUTE(SUBSTITUTE(N270," ",""),"0",""),"-",""))),1,0))</f>
      </c>
      <c r="K273" s="14" t="str">
        <f>LEN(SUBSTITUTE(SUBSTITUTE(SUBSTITUTE(J266," ",""),"0",""),"-",""))+LEN(SUBSTITUTE(SUBSTITUTE(SUBSTITUTE(K266," ",""),"0",""),"-",""))+LEN(SUBSTITUTE(SUBSTITUTE(SUBSTITUTE(J267," ",""),"0",""),"-",""))+LEN(SUBSTITUTE(SUBSTITUTE(SUBSTITUTE(K267," ",""),"0",""),"-",""))+LEN(SUBSTITUTE(SUBSTITUTE(SUBSTITUTE(J268," ",""),"0",""),"-",""))+LEN(SUBSTITUTE(SUBSTITUTE(SUBSTITUTE(K268," ",""),"0",""),"-",""))+LEN(SUBSTITUTE(SUBSTITUTE(SUBSTITUTE(J269," ",""),"0",""),"-",""))+LEN(SUBSTITUTE(SUBSTITUTE(SUBSTITUTE(K269," ",""),"0",""),"-",""))+LEN(SUBSTITUTE(SUBSTITUTE(SUBSTITUTE(J270," ",""),"0",""),"-",""))+LEN(SUBSTITUTE(SUBSTITUTE(SUBSTITUTE(K270," ",""),"0",""),"-",""))</f>
      </c>
      <c r="L273" s="14"/>
      <c r="M273" s="14" t="str">
        <f>LEN(SUBSTITUTE(SUBSTITUTE(SUBSTITUTE(M266," ",""),"0",""),"-",""))+LEN(SUBSTITUTE(SUBSTITUTE(SUBSTITUTE(N266," ",""),"0",""),"-",""))+LEN(SUBSTITUTE(SUBSTITUTE(SUBSTITUTE(M267," ",""),"0",""),"-",""))+LEN(SUBSTITUTE(SUBSTITUTE(SUBSTITUTE(N267," ",""),"0",""),"-",""))+LEN(SUBSTITUTE(SUBSTITUTE(SUBSTITUTE(M268," ",""),"0",""),"-",""))+LEN(SUBSTITUTE(SUBSTITUTE(SUBSTITUTE(N268," ",""),"0",""),"-",""))+LEN(SUBSTITUTE(SUBSTITUTE(SUBSTITUTE(M269," ",""),"0",""),"-",""))+LEN(SUBSTITUTE(SUBSTITUTE(SUBSTITUTE(N269," ",""),"0",""),"-",""))+LEN(SUBSTITUTE(SUBSTITUTE(SUBSTITUTE(M270," ",""),"0",""),"-",""))+LEN(SUBSTITUTE(SUBSTITUTE(SUBSTITUTE(N270," ",""),"0",""),"-",""))</f>
      </c>
      <c r="N273" s="14" t="str">
        <f>IF(UPPER(L266)="X",0,IF((LEN(SUBSTITUTE(SUBSTITUTE(SUBSTITUTE(M266," ",""),"0",""),"-",""))+LEN(SUBSTITUTE(SUBSTITUTE(SUBSTITUTE(N266," ",""),"0",""),"-","")))&gt;(LEN(SUBSTITUTE(SUBSTITUTE(SUBSTITUTE(J266," ",""),"0",""),"-",""))+LEN(SUBSTITUTE(SUBSTITUTE(SUBSTITUTE(K266," ",""),"0",""),"-",""))),1,0))+IF(UPPER(L267)="X",0,IF((LEN(SUBSTITUTE(SUBSTITUTE(SUBSTITUTE(M267," ",""),"0",""),"-",""))+LEN(SUBSTITUTE(SUBSTITUTE(SUBSTITUTE(N267," ",""),"0",""),"-","")))&gt;(LEN(SUBSTITUTE(SUBSTITUTE(SUBSTITUTE(J267," ",""),"0",""),"-",""))+LEN(SUBSTITUTE(SUBSTITUTE(SUBSTITUTE(K267," ",""),"0",""),"-",""))),1,0))+IF(UPPER(L268)="X",0,IF((LEN(SUBSTITUTE(SUBSTITUTE(SUBSTITUTE(M268," ",""),"0",""),"-",""))+LEN(SUBSTITUTE(SUBSTITUTE(SUBSTITUTE(N268," ",""),"0",""),"-","")))&gt;(LEN(SUBSTITUTE(SUBSTITUTE(SUBSTITUTE(J268," ",""),"0",""),"-",""))+LEN(SUBSTITUTE(SUBSTITUTE(SUBSTITUTE(K268," ",""),"0",""),"-",""))),1,0))+IF(UPPER(L269)="X",0,IF((LEN(SUBSTITUTE(SUBSTITUTE(SUBSTITUTE(M269," ",""),"0",""),"-",""))+LEN(SUBSTITUTE(SUBSTITUTE(SUBSTITUTE(N269," ",""),"0",""),"-","")))&gt;(LEN(SUBSTITUTE(SUBSTITUTE(SUBSTITUTE(J269," ",""),"0",""),"-",""))+LEN(SUBSTITUTE(SUBSTITUTE(SUBSTITUTE(K269," ",""),"0",""),"-",""))),1,0))+IF(UPPER(L270)="X",0,IF((LEN(SUBSTITUTE(SUBSTITUTE(SUBSTITUTE(M270," ",""),"0",""),"-",""))+LEN(SUBSTITUTE(SUBSTITUTE(SUBSTITUTE(N270," ",""),"0",""),"-","")))&gt;(LEN(SUBSTITUTE(SUBSTITUTE(SUBSTITUTE(J270," ",""),"0",""),"-",""))+LEN(SUBSTITUTE(SUBSTITUTE(SUBSTITUTE(K270," ",""),"0",""),"-",""))),1,0))</f>
      </c>
      <c r="O273" s="14" t="s">
        <v>349</v>
      </c>
    </row>
    <row r="276">
      <c r="F276" t="s">
        <v>344</v>
      </c>
      <c r="G276" s="19"/>
      <c r="N276" t="s">
        <v>344</v>
      </c>
      <c r="O276" s="19"/>
    </row>
    <row r="277">
      <c r="F277" t="s">
        <v>345</v>
      </c>
      <c r="G277" s="19"/>
      <c r="N277" t="s">
        <v>345</v>
      </c>
      <c r="O277" s="19"/>
    </row>
    <row r="279">
      <c r="A279" s="13" t="s">
        <v>383</v>
      </c>
      <c r="B279" s="13"/>
      <c r="C279" s="13"/>
      <c r="D279" s="13"/>
      <c r="E279" s="13"/>
      <c r="F279" s="13"/>
      <c r="G279" s="13"/>
      <c r="I279" s="13" t="s">
        <v>384</v>
      </c>
      <c r="J279" s="13"/>
      <c r="K279" s="13"/>
      <c r="L279" s="13"/>
      <c r="M279" s="13"/>
      <c r="N279" s="13"/>
      <c r="O279" s="13"/>
    </row>
    <row r="280">
      <c r="A280" s="17" t="s">
        <v>330</v>
      </c>
      <c r="D280" s="14" t="s">
        <v>331</v>
      </c>
      <c r="G280" s="16" t="s">
        <v>332</v>
      </c>
      <c r="I280" s="17" t="s">
        <v>330</v>
      </c>
      <c r="L280" s="14" t="s">
        <v>331</v>
      </c>
      <c r="O280" s="16" t="s">
        <v>332</v>
      </c>
    </row>
    <row r="281">
      <c r="A281" s="14" t="str">
        <f>CONCATENATE("M 8 ",G127)</f>
      </c>
      <c r="B281" s="14"/>
      <c r="C281" s="14"/>
      <c r="D281" s="18"/>
      <c r="E281" s="14"/>
      <c r="F281" s="14"/>
      <c r="G281" s="14" t="str">
        <f>CONCATENATE("M 7 ",G111)</f>
      </c>
      <c r="I281" s="14" t="str">
        <f>CONCATENATE("M 22 ",O127)</f>
      </c>
      <c r="J281" s="14"/>
      <c r="K281" s="14"/>
      <c r="L281" s="18"/>
      <c r="M281" s="14"/>
      <c r="N281" s="14"/>
      <c r="O281" s="14" t="str">
        <f>CONCATENATE("M 21 ",O111)</f>
      </c>
    </row>
    <row r="282">
      <c r="A282" s="14">
        <v>1</v>
      </c>
      <c r="B282" s="18"/>
      <c r="C282" s="18"/>
      <c r="D282" s="18"/>
      <c r="E282" s="18"/>
      <c r="F282" s="18"/>
      <c r="G282" s="14">
        <v>1</v>
      </c>
      <c r="I282" s="14">
        <v>1</v>
      </c>
      <c r="J282" s="18"/>
      <c r="K282" s="18"/>
      <c r="L282" s="18"/>
      <c r="M282" s="18"/>
      <c r="N282" s="18"/>
      <c r="O282" s="14">
        <v>1</v>
      </c>
    </row>
    <row r="283">
      <c r="A283" s="14">
        <v>2</v>
      </c>
      <c r="B283" s="18"/>
      <c r="C283" s="18"/>
      <c r="D283" s="18"/>
      <c r="E283" s="18"/>
      <c r="F283" s="18"/>
      <c r="G283" s="14">
        <v>2</v>
      </c>
      <c r="I283" s="14">
        <v>2</v>
      </c>
      <c r="J283" s="18"/>
      <c r="K283" s="18"/>
      <c r="L283" s="18"/>
      <c r="M283" s="18"/>
      <c r="N283" s="18"/>
      <c r="O283" s="14">
        <v>2</v>
      </c>
    </row>
    <row r="284">
      <c r="A284" s="14">
        <v>3</v>
      </c>
      <c r="B284" s="18"/>
      <c r="C284" s="18"/>
      <c r="D284" s="18"/>
      <c r="E284" s="18"/>
      <c r="F284" s="18"/>
      <c r="G284" s="14">
        <v>3</v>
      </c>
      <c r="I284" s="14">
        <v>3</v>
      </c>
      <c r="J284" s="18"/>
      <c r="K284" s="18"/>
      <c r="L284" s="18"/>
      <c r="M284" s="18"/>
      <c r="N284" s="18"/>
      <c r="O284" s="14">
        <v>3</v>
      </c>
    </row>
    <row r="285">
      <c r="A285" s="14">
        <v>4</v>
      </c>
      <c r="B285" s="18"/>
      <c r="C285" s="18"/>
      <c r="D285" s="18"/>
      <c r="E285" s="18"/>
      <c r="F285" s="18"/>
      <c r="G285" s="14">
        <v>4</v>
      </c>
      <c r="I285" s="14">
        <v>4</v>
      </c>
      <c r="J285" s="18"/>
      <c r="K285" s="18"/>
      <c r="L285" s="18"/>
      <c r="M285" s="18"/>
      <c r="N285" s="18"/>
      <c r="O285" s="14">
        <v>4</v>
      </c>
    </row>
    <row r="286">
      <c r="A286" s="14">
        <v>5</v>
      </c>
      <c r="B286" s="18"/>
      <c r="C286" s="18"/>
      <c r="D286" s="18"/>
      <c r="E286" s="18"/>
      <c r="F286" s="18"/>
      <c r="G286" s="14">
        <v>5</v>
      </c>
      <c r="I286" s="14">
        <v>5</v>
      </c>
      <c r="J286" s="18"/>
      <c r="K286" s="18"/>
      <c r="L286" s="18"/>
      <c r="M286" s="18"/>
      <c r="N286" s="18"/>
      <c r="O286" s="14">
        <v>5</v>
      </c>
    </row>
    <row r="288">
      <c r="A288" s="14" t="str">
        <f>CONCATENATE("M 8 ",G127)</f>
      </c>
      <c r="B288" s="14" t="s">
        <v>338</v>
      </c>
      <c r="C288" s="14" t="s">
        <v>341</v>
      </c>
      <c r="D288" s="14"/>
      <c r="E288" s="14" t="s">
        <v>341</v>
      </c>
      <c r="F288" s="14" t="s">
        <v>338</v>
      </c>
      <c r="G288" s="14" t="str">
        <f>CONCATENATE("M 7 ",G111)</f>
      </c>
      <c r="I288" s="14" t="str">
        <f>CONCATENATE("M 22 ",O127)</f>
      </c>
      <c r="J288" s="14" t="s">
        <v>338</v>
      </c>
      <c r="K288" s="14" t="s">
        <v>341</v>
      </c>
      <c r="L288" s="14"/>
      <c r="M288" s="14" t="s">
        <v>341</v>
      </c>
      <c r="N288" s="14" t="s">
        <v>338</v>
      </c>
      <c r="O288" s="14" t="str">
        <f>CONCATENATE("M 21 ",O111)</f>
      </c>
    </row>
    <row r="289">
      <c r="A289" s="14" t="s">
        <v>349</v>
      </c>
      <c r="B289" s="14" t="str">
        <f>IF(UPPER(D282)="X",0,IF((LEN(SUBSTITUTE(SUBSTITUTE(SUBSTITUTE(B282," ",""),"0",""),"-",""))+LEN(SUBSTITUTE(SUBSTITUTE(SUBSTITUTE(C282," ",""),"0",""),"-","")))&gt;(LEN(SUBSTITUTE(SUBSTITUTE(SUBSTITUTE(E282," ",""),"0",""),"-",""))+LEN(SUBSTITUTE(SUBSTITUTE(SUBSTITUTE(F282," ",""),"0",""),"-",""))),1,0))+IF(UPPER(D283)="X",0,IF((LEN(SUBSTITUTE(SUBSTITUTE(SUBSTITUTE(B283," ",""),"0",""),"-",""))+LEN(SUBSTITUTE(SUBSTITUTE(SUBSTITUTE(C283," ",""),"0",""),"-","")))&gt;(LEN(SUBSTITUTE(SUBSTITUTE(SUBSTITUTE(E283," ",""),"0",""),"-",""))+LEN(SUBSTITUTE(SUBSTITUTE(SUBSTITUTE(F283," ",""),"0",""),"-",""))),1,0))+IF(UPPER(D284)="X",0,IF((LEN(SUBSTITUTE(SUBSTITUTE(SUBSTITUTE(B284," ",""),"0",""),"-",""))+LEN(SUBSTITUTE(SUBSTITUTE(SUBSTITUTE(C284," ",""),"0",""),"-","")))&gt;(LEN(SUBSTITUTE(SUBSTITUTE(SUBSTITUTE(E284," ",""),"0",""),"-",""))+LEN(SUBSTITUTE(SUBSTITUTE(SUBSTITUTE(F284," ",""),"0",""),"-",""))),1,0))+IF(UPPER(D285)="X",0,IF((LEN(SUBSTITUTE(SUBSTITUTE(SUBSTITUTE(B285," ",""),"0",""),"-",""))+LEN(SUBSTITUTE(SUBSTITUTE(SUBSTITUTE(C285," ",""),"0",""),"-","")))&gt;(LEN(SUBSTITUTE(SUBSTITUTE(SUBSTITUTE(E285," ",""),"0",""),"-",""))+LEN(SUBSTITUTE(SUBSTITUTE(SUBSTITUTE(F285," ",""),"0",""),"-",""))),1,0))+IF(UPPER(D286)="X",0,IF((LEN(SUBSTITUTE(SUBSTITUTE(SUBSTITUTE(B286," ",""),"0",""),"-",""))+LEN(SUBSTITUTE(SUBSTITUTE(SUBSTITUTE(C286," ",""),"0",""),"-","")))&gt;(LEN(SUBSTITUTE(SUBSTITUTE(SUBSTITUTE(E286," ",""),"0",""),"-",""))+LEN(SUBSTITUTE(SUBSTITUTE(SUBSTITUTE(F286," ",""),"0",""),"-",""))),1,0))</f>
      </c>
      <c r="C289" s="14" t="str">
        <f>LEN(SUBSTITUTE(SUBSTITUTE(SUBSTITUTE(B282," ",""),"0",""),"-",""))+LEN(SUBSTITUTE(SUBSTITUTE(SUBSTITUTE(C282," ",""),"0",""),"-",""))+LEN(SUBSTITUTE(SUBSTITUTE(SUBSTITUTE(B283," ",""),"0",""),"-",""))+LEN(SUBSTITUTE(SUBSTITUTE(SUBSTITUTE(C283," ",""),"0",""),"-",""))+LEN(SUBSTITUTE(SUBSTITUTE(SUBSTITUTE(B284," ",""),"0",""),"-",""))+LEN(SUBSTITUTE(SUBSTITUTE(SUBSTITUTE(C284," ",""),"0",""),"-",""))+LEN(SUBSTITUTE(SUBSTITUTE(SUBSTITUTE(B285," ",""),"0",""),"-",""))+LEN(SUBSTITUTE(SUBSTITUTE(SUBSTITUTE(C285," ",""),"0",""),"-",""))+LEN(SUBSTITUTE(SUBSTITUTE(SUBSTITUTE(B286," ",""),"0",""),"-",""))+LEN(SUBSTITUTE(SUBSTITUTE(SUBSTITUTE(C286," ",""),"0",""),"-",""))</f>
      </c>
      <c r="D289" s="14"/>
      <c r="E289" s="14" t="str">
        <f>LEN(SUBSTITUTE(SUBSTITUTE(SUBSTITUTE(E282," ",""),"0",""),"-",""))+LEN(SUBSTITUTE(SUBSTITUTE(SUBSTITUTE(F282," ",""),"0",""),"-",""))+LEN(SUBSTITUTE(SUBSTITUTE(SUBSTITUTE(E283," ",""),"0",""),"-",""))+LEN(SUBSTITUTE(SUBSTITUTE(SUBSTITUTE(F283," ",""),"0",""),"-",""))+LEN(SUBSTITUTE(SUBSTITUTE(SUBSTITUTE(E284," ",""),"0",""),"-",""))+LEN(SUBSTITUTE(SUBSTITUTE(SUBSTITUTE(F284," ",""),"0",""),"-",""))+LEN(SUBSTITUTE(SUBSTITUTE(SUBSTITUTE(E285," ",""),"0",""),"-",""))+LEN(SUBSTITUTE(SUBSTITUTE(SUBSTITUTE(F285," ",""),"0",""),"-",""))+LEN(SUBSTITUTE(SUBSTITUTE(SUBSTITUTE(E286," ",""),"0",""),"-",""))+LEN(SUBSTITUTE(SUBSTITUTE(SUBSTITUTE(F286," ",""),"0",""),"-",""))</f>
      </c>
      <c r="F289" s="14" t="str">
        <f>IF(UPPER(D282)="X",0,IF((LEN(SUBSTITUTE(SUBSTITUTE(SUBSTITUTE(E282," ",""),"0",""),"-",""))+LEN(SUBSTITUTE(SUBSTITUTE(SUBSTITUTE(F282," ",""),"0",""),"-","")))&gt;(LEN(SUBSTITUTE(SUBSTITUTE(SUBSTITUTE(B282," ",""),"0",""),"-",""))+LEN(SUBSTITUTE(SUBSTITUTE(SUBSTITUTE(C282," ",""),"0",""),"-",""))),1,0))+IF(UPPER(D283)="X",0,IF((LEN(SUBSTITUTE(SUBSTITUTE(SUBSTITUTE(E283," ",""),"0",""),"-",""))+LEN(SUBSTITUTE(SUBSTITUTE(SUBSTITUTE(F283," ",""),"0",""),"-","")))&gt;(LEN(SUBSTITUTE(SUBSTITUTE(SUBSTITUTE(B283," ",""),"0",""),"-",""))+LEN(SUBSTITUTE(SUBSTITUTE(SUBSTITUTE(C283," ",""),"0",""),"-",""))),1,0))+IF(UPPER(D284)="X",0,IF((LEN(SUBSTITUTE(SUBSTITUTE(SUBSTITUTE(E284," ",""),"0",""),"-",""))+LEN(SUBSTITUTE(SUBSTITUTE(SUBSTITUTE(F284," ",""),"0",""),"-","")))&gt;(LEN(SUBSTITUTE(SUBSTITUTE(SUBSTITUTE(B284," ",""),"0",""),"-",""))+LEN(SUBSTITUTE(SUBSTITUTE(SUBSTITUTE(C284," ",""),"0",""),"-",""))),1,0))+IF(UPPER(D285)="X",0,IF((LEN(SUBSTITUTE(SUBSTITUTE(SUBSTITUTE(E285," ",""),"0",""),"-",""))+LEN(SUBSTITUTE(SUBSTITUTE(SUBSTITUTE(F285," ",""),"0",""),"-","")))&gt;(LEN(SUBSTITUTE(SUBSTITUTE(SUBSTITUTE(B285," ",""),"0",""),"-",""))+LEN(SUBSTITUTE(SUBSTITUTE(SUBSTITUTE(C285," ",""),"0",""),"-",""))),1,0))+IF(UPPER(D286)="X",0,IF((LEN(SUBSTITUTE(SUBSTITUTE(SUBSTITUTE(E286," ",""),"0",""),"-",""))+LEN(SUBSTITUTE(SUBSTITUTE(SUBSTITUTE(F286," ",""),"0",""),"-","")))&gt;(LEN(SUBSTITUTE(SUBSTITUTE(SUBSTITUTE(B286," ",""),"0",""),"-",""))+LEN(SUBSTITUTE(SUBSTITUTE(SUBSTITUTE(C286," ",""),"0",""),"-",""))),1,0))</f>
      </c>
      <c r="G289" s="14" t="s">
        <v>349</v>
      </c>
      <c r="I289" s="14" t="s">
        <v>349</v>
      </c>
      <c r="J289" s="14" t="str">
        <f>IF(UPPER(L282)="X",0,IF((LEN(SUBSTITUTE(SUBSTITUTE(SUBSTITUTE(J282," ",""),"0",""),"-",""))+LEN(SUBSTITUTE(SUBSTITUTE(SUBSTITUTE(K282," ",""),"0",""),"-","")))&gt;(LEN(SUBSTITUTE(SUBSTITUTE(SUBSTITUTE(M282," ",""),"0",""),"-",""))+LEN(SUBSTITUTE(SUBSTITUTE(SUBSTITUTE(N282," ",""),"0",""),"-",""))),1,0))+IF(UPPER(L283)="X",0,IF((LEN(SUBSTITUTE(SUBSTITUTE(SUBSTITUTE(J283," ",""),"0",""),"-",""))+LEN(SUBSTITUTE(SUBSTITUTE(SUBSTITUTE(K283," ",""),"0",""),"-","")))&gt;(LEN(SUBSTITUTE(SUBSTITUTE(SUBSTITUTE(M283," ",""),"0",""),"-",""))+LEN(SUBSTITUTE(SUBSTITUTE(SUBSTITUTE(N283," ",""),"0",""),"-",""))),1,0))+IF(UPPER(L284)="X",0,IF((LEN(SUBSTITUTE(SUBSTITUTE(SUBSTITUTE(J284," ",""),"0",""),"-",""))+LEN(SUBSTITUTE(SUBSTITUTE(SUBSTITUTE(K284," ",""),"0",""),"-","")))&gt;(LEN(SUBSTITUTE(SUBSTITUTE(SUBSTITUTE(M284," ",""),"0",""),"-",""))+LEN(SUBSTITUTE(SUBSTITUTE(SUBSTITUTE(N284," ",""),"0",""),"-",""))),1,0))+IF(UPPER(L285)="X",0,IF((LEN(SUBSTITUTE(SUBSTITUTE(SUBSTITUTE(J285," ",""),"0",""),"-",""))+LEN(SUBSTITUTE(SUBSTITUTE(SUBSTITUTE(K285," ",""),"0",""),"-","")))&gt;(LEN(SUBSTITUTE(SUBSTITUTE(SUBSTITUTE(M285," ",""),"0",""),"-",""))+LEN(SUBSTITUTE(SUBSTITUTE(SUBSTITUTE(N285," ",""),"0",""),"-",""))),1,0))+IF(UPPER(L286)="X",0,IF((LEN(SUBSTITUTE(SUBSTITUTE(SUBSTITUTE(J286," ",""),"0",""),"-",""))+LEN(SUBSTITUTE(SUBSTITUTE(SUBSTITUTE(K286," ",""),"0",""),"-","")))&gt;(LEN(SUBSTITUTE(SUBSTITUTE(SUBSTITUTE(M286," ",""),"0",""),"-",""))+LEN(SUBSTITUTE(SUBSTITUTE(SUBSTITUTE(N286," ",""),"0",""),"-",""))),1,0))</f>
      </c>
      <c r="K289" s="14" t="str">
        <f>LEN(SUBSTITUTE(SUBSTITUTE(SUBSTITUTE(J282," ",""),"0",""),"-",""))+LEN(SUBSTITUTE(SUBSTITUTE(SUBSTITUTE(K282," ",""),"0",""),"-",""))+LEN(SUBSTITUTE(SUBSTITUTE(SUBSTITUTE(J283," ",""),"0",""),"-",""))+LEN(SUBSTITUTE(SUBSTITUTE(SUBSTITUTE(K283," ",""),"0",""),"-",""))+LEN(SUBSTITUTE(SUBSTITUTE(SUBSTITUTE(J284," ",""),"0",""),"-",""))+LEN(SUBSTITUTE(SUBSTITUTE(SUBSTITUTE(K284," ",""),"0",""),"-",""))+LEN(SUBSTITUTE(SUBSTITUTE(SUBSTITUTE(J285," ",""),"0",""),"-",""))+LEN(SUBSTITUTE(SUBSTITUTE(SUBSTITUTE(K285," ",""),"0",""),"-",""))+LEN(SUBSTITUTE(SUBSTITUTE(SUBSTITUTE(J286," ",""),"0",""),"-",""))+LEN(SUBSTITUTE(SUBSTITUTE(SUBSTITUTE(K286," ",""),"0",""),"-",""))</f>
      </c>
      <c r="L289" s="14"/>
      <c r="M289" s="14" t="str">
        <f>LEN(SUBSTITUTE(SUBSTITUTE(SUBSTITUTE(M282," ",""),"0",""),"-",""))+LEN(SUBSTITUTE(SUBSTITUTE(SUBSTITUTE(N282," ",""),"0",""),"-",""))+LEN(SUBSTITUTE(SUBSTITUTE(SUBSTITUTE(M283," ",""),"0",""),"-",""))+LEN(SUBSTITUTE(SUBSTITUTE(SUBSTITUTE(N283," ",""),"0",""),"-",""))+LEN(SUBSTITUTE(SUBSTITUTE(SUBSTITUTE(M284," ",""),"0",""),"-",""))+LEN(SUBSTITUTE(SUBSTITUTE(SUBSTITUTE(N284," ",""),"0",""),"-",""))+LEN(SUBSTITUTE(SUBSTITUTE(SUBSTITUTE(M285," ",""),"0",""),"-",""))+LEN(SUBSTITUTE(SUBSTITUTE(SUBSTITUTE(N285," ",""),"0",""),"-",""))+LEN(SUBSTITUTE(SUBSTITUTE(SUBSTITUTE(M286," ",""),"0",""),"-",""))+LEN(SUBSTITUTE(SUBSTITUTE(SUBSTITUTE(N286," ",""),"0",""),"-",""))</f>
      </c>
      <c r="N289" s="14" t="str">
        <f>IF(UPPER(L282)="X",0,IF((LEN(SUBSTITUTE(SUBSTITUTE(SUBSTITUTE(M282," ",""),"0",""),"-",""))+LEN(SUBSTITUTE(SUBSTITUTE(SUBSTITUTE(N282," ",""),"0",""),"-","")))&gt;(LEN(SUBSTITUTE(SUBSTITUTE(SUBSTITUTE(J282," ",""),"0",""),"-",""))+LEN(SUBSTITUTE(SUBSTITUTE(SUBSTITUTE(K282," ",""),"0",""),"-",""))),1,0))+IF(UPPER(L283)="X",0,IF((LEN(SUBSTITUTE(SUBSTITUTE(SUBSTITUTE(M283," ",""),"0",""),"-",""))+LEN(SUBSTITUTE(SUBSTITUTE(SUBSTITUTE(N283," ",""),"0",""),"-","")))&gt;(LEN(SUBSTITUTE(SUBSTITUTE(SUBSTITUTE(J283," ",""),"0",""),"-",""))+LEN(SUBSTITUTE(SUBSTITUTE(SUBSTITUTE(K283," ",""),"0",""),"-",""))),1,0))+IF(UPPER(L284)="X",0,IF((LEN(SUBSTITUTE(SUBSTITUTE(SUBSTITUTE(M284," ",""),"0",""),"-",""))+LEN(SUBSTITUTE(SUBSTITUTE(SUBSTITUTE(N284," ",""),"0",""),"-","")))&gt;(LEN(SUBSTITUTE(SUBSTITUTE(SUBSTITUTE(J284," ",""),"0",""),"-",""))+LEN(SUBSTITUTE(SUBSTITUTE(SUBSTITUTE(K284," ",""),"0",""),"-",""))),1,0))+IF(UPPER(L285)="X",0,IF((LEN(SUBSTITUTE(SUBSTITUTE(SUBSTITUTE(M285," ",""),"0",""),"-",""))+LEN(SUBSTITUTE(SUBSTITUTE(SUBSTITUTE(N285," ",""),"0",""),"-","")))&gt;(LEN(SUBSTITUTE(SUBSTITUTE(SUBSTITUTE(J285," ",""),"0",""),"-",""))+LEN(SUBSTITUTE(SUBSTITUTE(SUBSTITUTE(K285," ",""),"0",""),"-",""))),1,0))+IF(UPPER(L286)="X",0,IF((LEN(SUBSTITUTE(SUBSTITUTE(SUBSTITUTE(M286," ",""),"0",""),"-",""))+LEN(SUBSTITUTE(SUBSTITUTE(SUBSTITUTE(N286," ",""),"0",""),"-","")))&gt;(LEN(SUBSTITUTE(SUBSTITUTE(SUBSTITUTE(J286," ",""),"0",""),"-",""))+LEN(SUBSTITUTE(SUBSTITUTE(SUBSTITUTE(K286," ",""),"0",""),"-",""))),1,0))</f>
      </c>
      <c r="O289" s="14" t="s">
        <v>349</v>
      </c>
    </row>
    <row r="292">
      <c r="F292" t="s">
        <v>344</v>
      </c>
      <c r="G292" s="19"/>
      <c r="N292" t="s">
        <v>344</v>
      </c>
      <c r="O292" s="19"/>
    </row>
    <row r="293">
      <c r="F293" t="s">
        <v>345</v>
      </c>
      <c r="G293" s="19"/>
      <c r="N293" t="s">
        <v>345</v>
      </c>
      <c r="O293" s="19"/>
    </row>
    <row r="295">
      <c r="A295" s="13" t="s">
        <v>385</v>
      </c>
      <c r="B295" s="13"/>
      <c r="C295" s="13"/>
      <c r="D295" s="13"/>
      <c r="E295" s="13"/>
      <c r="F295" s="13"/>
      <c r="G295" s="13"/>
      <c r="I295" s="13" t="s">
        <v>386</v>
      </c>
      <c r="J295" s="13"/>
      <c r="K295" s="13"/>
      <c r="L295" s="13"/>
      <c r="M295" s="13"/>
      <c r="N295" s="13"/>
      <c r="O295" s="13"/>
    </row>
    <row r="296">
      <c r="A296" s="17" t="s">
        <v>330</v>
      </c>
      <c r="D296" s="14" t="s">
        <v>331</v>
      </c>
      <c r="G296" s="16" t="s">
        <v>332</v>
      </c>
      <c r="I296" s="17" t="s">
        <v>330</v>
      </c>
      <c r="L296" s="14" t="s">
        <v>331</v>
      </c>
      <c r="O296" s="16" t="s">
        <v>332</v>
      </c>
    </row>
    <row r="297">
      <c r="A297" s="14" t="str">
        <f>CONCATENATE("M 10 ",G159)</f>
      </c>
      <c r="B297" s="14"/>
      <c r="C297" s="14"/>
      <c r="D297" s="18"/>
      <c r="E297" s="14"/>
      <c r="F297" s="14"/>
      <c r="G297" s="14" t="str">
        <f>CONCATENATE("M 9 ",G143)</f>
      </c>
      <c r="I297" s="14" t="str">
        <f>CONCATENATE("M 24 ",O159)</f>
      </c>
      <c r="J297" s="14"/>
      <c r="K297" s="14"/>
      <c r="L297" s="18"/>
      <c r="M297" s="14"/>
      <c r="N297" s="14"/>
      <c r="O297" s="14" t="str">
        <f>CONCATENATE("M 23 ",O143)</f>
      </c>
    </row>
    <row r="298">
      <c r="A298" s="14">
        <v>1</v>
      </c>
      <c r="B298" s="18"/>
      <c r="C298" s="18"/>
      <c r="D298" s="18"/>
      <c r="E298" s="18"/>
      <c r="F298" s="18"/>
      <c r="G298" s="14">
        <v>1</v>
      </c>
      <c r="I298" s="14">
        <v>1</v>
      </c>
      <c r="J298" s="18"/>
      <c r="K298" s="18"/>
      <c r="L298" s="18"/>
      <c r="M298" s="18"/>
      <c r="N298" s="18"/>
      <c r="O298" s="14">
        <v>1</v>
      </c>
    </row>
    <row r="299">
      <c r="A299" s="14">
        <v>2</v>
      </c>
      <c r="B299" s="18"/>
      <c r="C299" s="18"/>
      <c r="D299" s="18"/>
      <c r="E299" s="18"/>
      <c r="F299" s="18"/>
      <c r="G299" s="14">
        <v>2</v>
      </c>
      <c r="I299" s="14">
        <v>2</v>
      </c>
      <c r="J299" s="18"/>
      <c r="K299" s="18"/>
      <c r="L299" s="18"/>
      <c r="M299" s="18"/>
      <c r="N299" s="18"/>
      <c r="O299" s="14">
        <v>2</v>
      </c>
    </row>
    <row r="300">
      <c r="A300" s="14">
        <v>3</v>
      </c>
      <c r="B300" s="18"/>
      <c r="C300" s="18"/>
      <c r="D300" s="18"/>
      <c r="E300" s="18"/>
      <c r="F300" s="18"/>
      <c r="G300" s="14">
        <v>3</v>
      </c>
      <c r="I300" s="14">
        <v>3</v>
      </c>
      <c r="J300" s="18"/>
      <c r="K300" s="18"/>
      <c r="L300" s="18"/>
      <c r="M300" s="18"/>
      <c r="N300" s="18"/>
      <c r="O300" s="14">
        <v>3</v>
      </c>
    </row>
    <row r="301">
      <c r="A301" s="14">
        <v>4</v>
      </c>
      <c r="B301" s="18"/>
      <c r="C301" s="18"/>
      <c r="D301" s="18"/>
      <c r="E301" s="18"/>
      <c r="F301" s="18"/>
      <c r="G301" s="14">
        <v>4</v>
      </c>
      <c r="I301" s="14">
        <v>4</v>
      </c>
      <c r="J301" s="18"/>
      <c r="K301" s="18"/>
      <c r="L301" s="18"/>
      <c r="M301" s="18"/>
      <c r="N301" s="18"/>
      <c r="O301" s="14">
        <v>4</v>
      </c>
    </row>
    <row r="302">
      <c r="A302" s="14">
        <v>5</v>
      </c>
      <c r="B302" s="18"/>
      <c r="C302" s="18"/>
      <c r="D302" s="18"/>
      <c r="E302" s="18"/>
      <c r="F302" s="18"/>
      <c r="G302" s="14">
        <v>5</v>
      </c>
      <c r="I302" s="14">
        <v>5</v>
      </c>
      <c r="J302" s="18"/>
      <c r="K302" s="18"/>
      <c r="L302" s="18"/>
      <c r="M302" s="18"/>
      <c r="N302" s="18"/>
      <c r="O302" s="14">
        <v>5</v>
      </c>
    </row>
    <row r="304">
      <c r="A304" s="14" t="str">
        <f>CONCATENATE("M 10 ",G159)</f>
      </c>
      <c r="B304" s="14" t="s">
        <v>338</v>
      </c>
      <c r="C304" s="14" t="s">
        <v>341</v>
      </c>
      <c r="D304" s="14"/>
      <c r="E304" s="14" t="s">
        <v>341</v>
      </c>
      <c r="F304" s="14" t="s">
        <v>338</v>
      </c>
      <c r="G304" s="14" t="str">
        <f>CONCATENATE("M 9 ",G143)</f>
      </c>
      <c r="I304" s="14" t="str">
        <f>CONCATENATE("M 24 ",O159)</f>
      </c>
      <c r="J304" s="14" t="s">
        <v>338</v>
      </c>
      <c r="K304" s="14" t="s">
        <v>341</v>
      </c>
      <c r="L304" s="14"/>
      <c r="M304" s="14" t="s">
        <v>341</v>
      </c>
      <c r="N304" s="14" t="s">
        <v>338</v>
      </c>
      <c r="O304" s="14" t="str">
        <f>CONCATENATE("M 23 ",O143)</f>
      </c>
    </row>
    <row r="305">
      <c r="A305" s="14" t="s">
        <v>349</v>
      </c>
      <c r="B305" s="14" t="str">
        <f>IF(UPPER(D298)="X",0,IF((LEN(SUBSTITUTE(SUBSTITUTE(SUBSTITUTE(B298," ",""),"0",""),"-",""))+LEN(SUBSTITUTE(SUBSTITUTE(SUBSTITUTE(C298," ",""),"0",""),"-","")))&gt;(LEN(SUBSTITUTE(SUBSTITUTE(SUBSTITUTE(E298," ",""),"0",""),"-",""))+LEN(SUBSTITUTE(SUBSTITUTE(SUBSTITUTE(F298," ",""),"0",""),"-",""))),1,0))+IF(UPPER(D299)="X",0,IF((LEN(SUBSTITUTE(SUBSTITUTE(SUBSTITUTE(B299," ",""),"0",""),"-",""))+LEN(SUBSTITUTE(SUBSTITUTE(SUBSTITUTE(C299," ",""),"0",""),"-","")))&gt;(LEN(SUBSTITUTE(SUBSTITUTE(SUBSTITUTE(E299," ",""),"0",""),"-",""))+LEN(SUBSTITUTE(SUBSTITUTE(SUBSTITUTE(F299," ",""),"0",""),"-",""))),1,0))+IF(UPPER(D300)="X",0,IF((LEN(SUBSTITUTE(SUBSTITUTE(SUBSTITUTE(B300," ",""),"0",""),"-",""))+LEN(SUBSTITUTE(SUBSTITUTE(SUBSTITUTE(C300," ",""),"0",""),"-","")))&gt;(LEN(SUBSTITUTE(SUBSTITUTE(SUBSTITUTE(E300," ",""),"0",""),"-",""))+LEN(SUBSTITUTE(SUBSTITUTE(SUBSTITUTE(F300," ",""),"0",""),"-",""))),1,0))+IF(UPPER(D301)="X",0,IF((LEN(SUBSTITUTE(SUBSTITUTE(SUBSTITUTE(B301," ",""),"0",""),"-",""))+LEN(SUBSTITUTE(SUBSTITUTE(SUBSTITUTE(C301," ",""),"0",""),"-","")))&gt;(LEN(SUBSTITUTE(SUBSTITUTE(SUBSTITUTE(E301," ",""),"0",""),"-",""))+LEN(SUBSTITUTE(SUBSTITUTE(SUBSTITUTE(F301," ",""),"0",""),"-",""))),1,0))+IF(UPPER(D302)="X",0,IF((LEN(SUBSTITUTE(SUBSTITUTE(SUBSTITUTE(B302," ",""),"0",""),"-",""))+LEN(SUBSTITUTE(SUBSTITUTE(SUBSTITUTE(C302," ",""),"0",""),"-","")))&gt;(LEN(SUBSTITUTE(SUBSTITUTE(SUBSTITUTE(E302," ",""),"0",""),"-",""))+LEN(SUBSTITUTE(SUBSTITUTE(SUBSTITUTE(F302," ",""),"0",""),"-",""))),1,0))</f>
      </c>
      <c r="C305" s="14" t="str">
        <f>LEN(SUBSTITUTE(SUBSTITUTE(SUBSTITUTE(B298," ",""),"0",""),"-",""))+LEN(SUBSTITUTE(SUBSTITUTE(SUBSTITUTE(C298," ",""),"0",""),"-",""))+LEN(SUBSTITUTE(SUBSTITUTE(SUBSTITUTE(B299," ",""),"0",""),"-",""))+LEN(SUBSTITUTE(SUBSTITUTE(SUBSTITUTE(C299," ",""),"0",""),"-",""))+LEN(SUBSTITUTE(SUBSTITUTE(SUBSTITUTE(B300," ",""),"0",""),"-",""))+LEN(SUBSTITUTE(SUBSTITUTE(SUBSTITUTE(C300," ",""),"0",""),"-",""))+LEN(SUBSTITUTE(SUBSTITUTE(SUBSTITUTE(B301," ",""),"0",""),"-",""))+LEN(SUBSTITUTE(SUBSTITUTE(SUBSTITUTE(C301," ",""),"0",""),"-",""))+LEN(SUBSTITUTE(SUBSTITUTE(SUBSTITUTE(B302," ",""),"0",""),"-",""))+LEN(SUBSTITUTE(SUBSTITUTE(SUBSTITUTE(C302," ",""),"0",""),"-",""))</f>
      </c>
      <c r="D305" s="14"/>
      <c r="E305" s="14" t="str">
        <f>LEN(SUBSTITUTE(SUBSTITUTE(SUBSTITUTE(E298," ",""),"0",""),"-",""))+LEN(SUBSTITUTE(SUBSTITUTE(SUBSTITUTE(F298," ",""),"0",""),"-",""))+LEN(SUBSTITUTE(SUBSTITUTE(SUBSTITUTE(E299," ",""),"0",""),"-",""))+LEN(SUBSTITUTE(SUBSTITUTE(SUBSTITUTE(F299," ",""),"0",""),"-",""))+LEN(SUBSTITUTE(SUBSTITUTE(SUBSTITUTE(E300," ",""),"0",""),"-",""))+LEN(SUBSTITUTE(SUBSTITUTE(SUBSTITUTE(F300," ",""),"0",""),"-",""))+LEN(SUBSTITUTE(SUBSTITUTE(SUBSTITUTE(E301," ",""),"0",""),"-",""))+LEN(SUBSTITUTE(SUBSTITUTE(SUBSTITUTE(F301," ",""),"0",""),"-",""))+LEN(SUBSTITUTE(SUBSTITUTE(SUBSTITUTE(E302," ",""),"0",""),"-",""))+LEN(SUBSTITUTE(SUBSTITUTE(SUBSTITUTE(F302," ",""),"0",""),"-",""))</f>
      </c>
      <c r="F305" s="14" t="str">
        <f>IF(UPPER(D298)="X",0,IF((LEN(SUBSTITUTE(SUBSTITUTE(SUBSTITUTE(E298," ",""),"0",""),"-",""))+LEN(SUBSTITUTE(SUBSTITUTE(SUBSTITUTE(F298," ",""),"0",""),"-","")))&gt;(LEN(SUBSTITUTE(SUBSTITUTE(SUBSTITUTE(B298," ",""),"0",""),"-",""))+LEN(SUBSTITUTE(SUBSTITUTE(SUBSTITUTE(C298," ",""),"0",""),"-",""))),1,0))+IF(UPPER(D299)="X",0,IF((LEN(SUBSTITUTE(SUBSTITUTE(SUBSTITUTE(E299," ",""),"0",""),"-",""))+LEN(SUBSTITUTE(SUBSTITUTE(SUBSTITUTE(F299," ",""),"0",""),"-","")))&gt;(LEN(SUBSTITUTE(SUBSTITUTE(SUBSTITUTE(B299," ",""),"0",""),"-",""))+LEN(SUBSTITUTE(SUBSTITUTE(SUBSTITUTE(C299," ",""),"0",""),"-",""))),1,0))+IF(UPPER(D300)="X",0,IF((LEN(SUBSTITUTE(SUBSTITUTE(SUBSTITUTE(E300," ",""),"0",""),"-",""))+LEN(SUBSTITUTE(SUBSTITUTE(SUBSTITUTE(F300," ",""),"0",""),"-","")))&gt;(LEN(SUBSTITUTE(SUBSTITUTE(SUBSTITUTE(B300," ",""),"0",""),"-",""))+LEN(SUBSTITUTE(SUBSTITUTE(SUBSTITUTE(C300," ",""),"0",""),"-",""))),1,0))+IF(UPPER(D301)="X",0,IF((LEN(SUBSTITUTE(SUBSTITUTE(SUBSTITUTE(E301," ",""),"0",""),"-",""))+LEN(SUBSTITUTE(SUBSTITUTE(SUBSTITUTE(F301," ",""),"0",""),"-","")))&gt;(LEN(SUBSTITUTE(SUBSTITUTE(SUBSTITUTE(B301," ",""),"0",""),"-",""))+LEN(SUBSTITUTE(SUBSTITUTE(SUBSTITUTE(C301," ",""),"0",""),"-",""))),1,0))+IF(UPPER(D302)="X",0,IF((LEN(SUBSTITUTE(SUBSTITUTE(SUBSTITUTE(E302," ",""),"0",""),"-",""))+LEN(SUBSTITUTE(SUBSTITUTE(SUBSTITUTE(F302," ",""),"0",""),"-","")))&gt;(LEN(SUBSTITUTE(SUBSTITUTE(SUBSTITUTE(B302," ",""),"0",""),"-",""))+LEN(SUBSTITUTE(SUBSTITUTE(SUBSTITUTE(C302," ",""),"0",""),"-",""))),1,0))</f>
      </c>
      <c r="G305" s="14" t="s">
        <v>349</v>
      </c>
      <c r="I305" s="14" t="s">
        <v>349</v>
      </c>
      <c r="J305" s="14" t="str">
        <f>IF(UPPER(L298)="X",0,IF((LEN(SUBSTITUTE(SUBSTITUTE(SUBSTITUTE(J298," ",""),"0",""),"-",""))+LEN(SUBSTITUTE(SUBSTITUTE(SUBSTITUTE(K298," ",""),"0",""),"-","")))&gt;(LEN(SUBSTITUTE(SUBSTITUTE(SUBSTITUTE(M298," ",""),"0",""),"-",""))+LEN(SUBSTITUTE(SUBSTITUTE(SUBSTITUTE(N298," ",""),"0",""),"-",""))),1,0))+IF(UPPER(L299)="X",0,IF((LEN(SUBSTITUTE(SUBSTITUTE(SUBSTITUTE(J299," ",""),"0",""),"-",""))+LEN(SUBSTITUTE(SUBSTITUTE(SUBSTITUTE(K299," ",""),"0",""),"-","")))&gt;(LEN(SUBSTITUTE(SUBSTITUTE(SUBSTITUTE(M299," ",""),"0",""),"-",""))+LEN(SUBSTITUTE(SUBSTITUTE(SUBSTITUTE(N299," ",""),"0",""),"-",""))),1,0))+IF(UPPER(L300)="X",0,IF((LEN(SUBSTITUTE(SUBSTITUTE(SUBSTITUTE(J300," ",""),"0",""),"-",""))+LEN(SUBSTITUTE(SUBSTITUTE(SUBSTITUTE(K300," ",""),"0",""),"-","")))&gt;(LEN(SUBSTITUTE(SUBSTITUTE(SUBSTITUTE(M300," ",""),"0",""),"-",""))+LEN(SUBSTITUTE(SUBSTITUTE(SUBSTITUTE(N300," ",""),"0",""),"-",""))),1,0))+IF(UPPER(L301)="X",0,IF((LEN(SUBSTITUTE(SUBSTITUTE(SUBSTITUTE(J301," ",""),"0",""),"-",""))+LEN(SUBSTITUTE(SUBSTITUTE(SUBSTITUTE(K301," ",""),"0",""),"-","")))&gt;(LEN(SUBSTITUTE(SUBSTITUTE(SUBSTITUTE(M301," ",""),"0",""),"-",""))+LEN(SUBSTITUTE(SUBSTITUTE(SUBSTITUTE(N301," ",""),"0",""),"-",""))),1,0))+IF(UPPER(L302)="X",0,IF((LEN(SUBSTITUTE(SUBSTITUTE(SUBSTITUTE(J302," ",""),"0",""),"-",""))+LEN(SUBSTITUTE(SUBSTITUTE(SUBSTITUTE(K302," ",""),"0",""),"-","")))&gt;(LEN(SUBSTITUTE(SUBSTITUTE(SUBSTITUTE(M302," ",""),"0",""),"-",""))+LEN(SUBSTITUTE(SUBSTITUTE(SUBSTITUTE(N302," ",""),"0",""),"-",""))),1,0))</f>
      </c>
      <c r="K305" s="14" t="str">
        <f>LEN(SUBSTITUTE(SUBSTITUTE(SUBSTITUTE(J298," ",""),"0",""),"-",""))+LEN(SUBSTITUTE(SUBSTITUTE(SUBSTITUTE(K298," ",""),"0",""),"-",""))+LEN(SUBSTITUTE(SUBSTITUTE(SUBSTITUTE(J299," ",""),"0",""),"-",""))+LEN(SUBSTITUTE(SUBSTITUTE(SUBSTITUTE(K299," ",""),"0",""),"-",""))+LEN(SUBSTITUTE(SUBSTITUTE(SUBSTITUTE(J300," ",""),"0",""),"-",""))+LEN(SUBSTITUTE(SUBSTITUTE(SUBSTITUTE(K300," ",""),"0",""),"-",""))+LEN(SUBSTITUTE(SUBSTITUTE(SUBSTITUTE(J301," ",""),"0",""),"-",""))+LEN(SUBSTITUTE(SUBSTITUTE(SUBSTITUTE(K301," ",""),"0",""),"-",""))+LEN(SUBSTITUTE(SUBSTITUTE(SUBSTITUTE(J302," ",""),"0",""),"-",""))+LEN(SUBSTITUTE(SUBSTITUTE(SUBSTITUTE(K302," ",""),"0",""),"-",""))</f>
      </c>
      <c r="L305" s="14"/>
      <c r="M305" s="14" t="str">
        <f>LEN(SUBSTITUTE(SUBSTITUTE(SUBSTITUTE(M298," ",""),"0",""),"-",""))+LEN(SUBSTITUTE(SUBSTITUTE(SUBSTITUTE(N298," ",""),"0",""),"-",""))+LEN(SUBSTITUTE(SUBSTITUTE(SUBSTITUTE(M299," ",""),"0",""),"-",""))+LEN(SUBSTITUTE(SUBSTITUTE(SUBSTITUTE(N299," ",""),"0",""),"-",""))+LEN(SUBSTITUTE(SUBSTITUTE(SUBSTITUTE(M300," ",""),"0",""),"-",""))+LEN(SUBSTITUTE(SUBSTITUTE(SUBSTITUTE(N300," ",""),"0",""),"-",""))+LEN(SUBSTITUTE(SUBSTITUTE(SUBSTITUTE(M301," ",""),"0",""),"-",""))+LEN(SUBSTITUTE(SUBSTITUTE(SUBSTITUTE(N301," ",""),"0",""),"-",""))+LEN(SUBSTITUTE(SUBSTITUTE(SUBSTITUTE(M302," ",""),"0",""),"-",""))+LEN(SUBSTITUTE(SUBSTITUTE(SUBSTITUTE(N302," ",""),"0",""),"-",""))</f>
      </c>
      <c r="N305" s="14" t="str">
        <f>IF(UPPER(L298)="X",0,IF((LEN(SUBSTITUTE(SUBSTITUTE(SUBSTITUTE(M298," ",""),"0",""),"-",""))+LEN(SUBSTITUTE(SUBSTITUTE(SUBSTITUTE(N298," ",""),"0",""),"-","")))&gt;(LEN(SUBSTITUTE(SUBSTITUTE(SUBSTITUTE(J298," ",""),"0",""),"-",""))+LEN(SUBSTITUTE(SUBSTITUTE(SUBSTITUTE(K298," ",""),"0",""),"-",""))),1,0))+IF(UPPER(L299)="X",0,IF((LEN(SUBSTITUTE(SUBSTITUTE(SUBSTITUTE(M299," ",""),"0",""),"-",""))+LEN(SUBSTITUTE(SUBSTITUTE(SUBSTITUTE(N299," ",""),"0",""),"-","")))&gt;(LEN(SUBSTITUTE(SUBSTITUTE(SUBSTITUTE(J299," ",""),"0",""),"-",""))+LEN(SUBSTITUTE(SUBSTITUTE(SUBSTITUTE(K299," ",""),"0",""),"-",""))),1,0))+IF(UPPER(L300)="X",0,IF((LEN(SUBSTITUTE(SUBSTITUTE(SUBSTITUTE(M300," ",""),"0",""),"-",""))+LEN(SUBSTITUTE(SUBSTITUTE(SUBSTITUTE(N300," ",""),"0",""),"-","")))&gt;(LEN(SUBSTITUTE(SUBSTITUTE(SUBSTITUTE(J300," ",""),"0",""),"-",""))+LEN(SUBSTITUTE(SUBSTITUTE(SUBSTITUTE(K300," ",""),"0",""),"-",""))),1,0))+IF(UPPER(L301)="X",0,IF((LEN(SUBSTITUTE(SUBSTITUTE(SUBSTITUTE(M301," ",""),"0",""),"-",""))+LEN(SUBSTITUTE(SUBSTITUTE(SUBSTITUTE(N301," ",""),"0",""),"-","")))&gt;(LEN(SUBSTITUTE(SUBSTITUTE(SUBSTITUTE(J301," ",""),"0",""),"-",""))+LEN(SUBSTITUTE(SUBSTITUTE(SUBSTITUTE(K301," ",""),"0",""),"-",""))),1,0))+IF(UPPER(L302)="X",0,IF((LEN(SUBSTITUTE(SUBSTITUTE(SUBSTITUTE(M302," ",""),"0",""),"-",""))+LEN(SUBSTITUTE(SUBSTITUTE(SUBSTITUTE(N302," ",""),"0",""),"-","")))&gt;(LEN(SUBSTITUTE(SUBSTITUTE(SUBSTITUTE(J302," ",""),"0",""),"-",""))+LEN(SUBSTITUTE(SUBSTITUTE(SUBSTITUTE(K302," ",""),"0",""),"-",""))),1,0))</f>
      </c>
      <c r="O305" s="14" t="s">
        <v>349</v>
      </c>
    </row>
    <row r="308">
      <c r="F308" t="s">
        <v>344</v>
      </c>
      <c r="G308" s="19"/>
      <c r="N308" t="s">
        <v>344</v>
      </c>
      <c r="O308" s="19"/>
    </row>
    <row r="309">
      <c r="F309" t="s">
        <v>345</v>
      </c>
      <c r="G309" s="19"/>
      <c r="N309" t="s">
        <v>345</v>
      </c>
      <c r="O309" s="19"/>
    </row>
    <row r="311">
      <c r="A311" s="13" t="s">
        <v>387</v>
      </c>
      <c r="B311" s="13"/>
      <c r="C311" s="13"/>
      <c r="D311" s="13"/>
      <c r="E311" s="13"/>
      <c r="F311" s="13"/>
      <c r="G311" s="13"/>
      <c r="I311" s="13" t="s">
        <v>388</v>
      </c>
      <c r="J311" s="13"/>
      <c r="K311" s="13"/>
      <c r="L311" s="13"/>
      <c r="M311" s="13"/>
      <c r="N311" s="13"/>
      <c r="O311" s="13"/>
    </row>
    <row r="312">
      <c r="A312" s="17" t="s">
        <v>330</v>
      </c>
      <c r="D312" s="14" t="s">
        <v>331</v>
      </c>
      <c r="G312" s="16" t="s">
        <v>332</v>
      </c>
      <c r="I312" s="17" t="s">
        <v>330</v>
      </c>
      <c r="L312" s="14" t="s">
        <v>331</v>
      </c>
      <c r="O312" s="16" t="s">
        <v>332</v>
      </c>
    </row>
    <row r="313">
      <c r="A313" s="14" t="str">
        <f>CONCATENATE("M 12 ",G191)</f>
      </c>
      <c r="B313" s="14"/>
      <c r="C313" s="14"/>
      <c r="D313" s="18"/>
      <c r="E313" s="14"/>
      <c r="F313" s="14"/>
      <c r="G313" s="14" t="str">
        <f>CONCATENATE("M 11 ",G175)</f>
      </c>
      <c r="I313" s="14" t="str">
        <f>CONCATENATE("M 26 ",O191)</f>
      </c>
      <c r="J313" s="14"/>
      <c r="K313" s="14"/>
      <c r="L313" s="18"/>
      <c r="M313" s="14"/>
      <c r="N313" s="14"/>
      <c r="O313" s="14" t="str">
        <f>CONCATENATE("M 25 ",O175)</f>
      </c>
    </row>
    <row r="314">
      <c r="A314" s="14">
        <v>1</v>
      </c>
      <c r="B314" s="18"/>
      <c r="C314" s="18"/>
      <c r="D314" s="18"/>
      <c r="E314" s="18"/>
      <c r="F314" s="18"/>
      <c r="G314" s="14">
        <v>1</v>
      </c>
      <c r="I314" s="14">
        <v>1</v>
      </c>
      <c r="J314" s="18"/>
      <c r="K314" s="18"/>
      <c r="L314" s="18"/>
      <c r="M314" s="18"/>
      <c r="N314" s="18"/>
      <c r="O314" s="14">
        <v>1</v>
      </c>
    </row>
    <row r="315">
      <c r="A315" s="14">
        <v>2</v>
      </c>
      <c r="B315" s="18"/>
      <c r="C315" s="18"/>
      <c r="D315" s="18"/>
      <c r="E315" s="18"/>
      <c r="F315" s="18"/>
      <c r="G315" s="14">
        <v>2</v>
      </c>
      <c r="I315" s="14">
        <v>2</v>
      </c>
      <c r="J315" s="18"/>
      <c r="K315" s="18"/>
      <c r="L315" s="18"/>
      <c r="M315" s="18"/>
      <c r="N315" s="18"/>
      <c r="O315" s="14">
        <v>2</v>
      </c>
    </row>
    <row r="316">
      <c r="A316" s="14">
        <v>3</v>
      </c>
      <c r="B316" s="18"/>
      <c r="C316" s="18"/>
      <c r="D316" s="18"/>
      <c r="E316" s="18"/>
      <c r="F316" s="18"/>
      <c r="G316" s="14">
        <v>3</v>
      </c>
      <c r="I316" s="14">
        <v>3</v>
      </c>
      <c r="J316" s="18"/>
      <c r="K316" s="18"/>
      <c r="L316" s="18"/>
      <c r="M316" s="18"/>
      <c r="N316" s="18"/>
      <c r="O316" s="14">
        <v>3</v>
      </c>
    </row>
    <row r="317">
      <c r="A317" s="14">
        <v>4</v>
      </c>
      <c r="B317" s="18"/>
      <c r="C317" s="18"/>
      <c r="D317" s="18"/>
      <c r="E317" s="18"/>
      <c r="F317" s="18"/>
      <c r="G317" s="14">
        <v>4</v>
      </c>
      <c r="I317" s="14">
        <v>4</v>
      </c>
      <c r="J317" s="18"/>
      <c r="K317" s="18"/>
      <c r="L317" s="18"/>
      <c r="M317" s="18"/>
      <c r="N317" s="18"/>
      <c r="O317" s="14">
        <v>4</v>
      </c>
    </row>
    <row r="318">
      <c r="A318" s="14">
        <v>5</v>
      </c>
      <c r="B318" s="18"/>
      <c r="C318" s="18"/>
      <c r="D318" s="18"/>
      <c r="E318" s="18"/>
      <c r="F318" s="18"/>
      <c r="G318" s="14">
        <v>5</v>
      </c>
      <c r="I318" s="14">
        <v>5</v>
      </c>
      <c r="J318" s="18"/>
      <c r="K318" s="18"/>
      <c r="L318" s="18"/>
      <c r="M318" s="18"/>
      <c r="N318" s="18"/>
      <c r="O318" s="14">
        <v>5</v>
      </c>
    </row>
    <row r="320">
      <c r="A320" s="14" t="str">
        <f>CONCATENATE("M 12 ",G191)</f>
      </c>
      <c r="B320" s="14" t="s">
        <v>338</v>
      </c>
      <c r="C320" s="14" t="s">
        <v>341</v>
      </c>
      <c r="D320" s="14"/>
      <c r="E320" s="14" t="s">
        <v>341</v>
      </c>
      <c r="F320" s="14" t="s">
        <v>338</v>
      </c>
      <c r="G320" s="14" t="str">
        <f>CONCATENATE("M 11 ",G175)</f>
      </c>
      <c r="I320" s="14" t="str">
        <f>CONCATENATE("M 26 ",O191)</f>
      </c>
      <c r="J320" s="14" t="s">
        <v>338</v>
      </c>
      <c r="K320" s="14" t="s">
        <v>341</v>
      </c>
      <c r="L320" s="14"/>
      <c r="M320" s="14" t="s">
        <v>341</v>
      </c>
      <c r="N320" s="14" t="s">
        <v>338</v>
      </c>
      <c r="O320" s="14" t="str">
        <f>CONCATENATE("M 25 ",O175)</f>
      </c>
    </row>
    <row r="321">
      <c r="A321" s="14" t="s">
        <v>349</v>
      </c>
      <c r="B321" s="14" t="str">
        <f>IF(UPPER(D314)="X",0,IF((LEN(SUBSTITUTE(SUBSTITUTE(SUBSTITUTE(B314," ",""),"0",""),"-",""))+LEN(SUBSTITUTE(SUBSTITUTE(SUBSTITUTE(C314," ",""),"0",""),"-","")))&gt;(LEN(SUBSTITUTE(SUBSTITUTE(SUBSTITUTE(E314," ",""),"0",""),"-",""))+LEN(SUBSTITUTE(SUBSTITUTE(SUBSTITUTE(F314," ",""),"0",""),"-",""))),1,0))+IF(UPPER(D315)="X",0,IF((LEN(SUBSTITUTE(SUBSTITUTE(SUBSTITUTE(B315," ",""),"0",""),"-",""))+LEN(SUBSTITUTE(SUBSTITUTE(SUBSTITUTE(C315," ",""),"0",""),"-","")))&gt;(LEN(SUBSTITUTE(SUBSTITUTE(SUBSTITUTE(E315," ",""),"0",""),"-",""))+LEN(SUBSTITUTE(SUBSTITUTE(SUBSTITUTE(F315," ",""),"0",""),"-",""))),1,0))+IF(UPPER(D316)="X",0,IF((LEN(SUBSTITUTE(SUBSTITUTE(SUBSTITUTE(B316," ",""),"0",""),"-",""))+LEN(SUBSTITUTE(SUBSTITUTE(SUBSTITUTE(C316," ",""),"0",""),"-","")))&gt;(LEN(SUBSTITUTE(SUBSTITUTE(SUBSTITUTE(E316," ",""),"0",""),"-",""))+LEN(SUBSTITUTE(SUBSTITUTE(SUBSTITUTE(F316," ",""),"0",""),"-",""))),1,0))+IF(UPPER(D317)="X",0,IF((LEN(SUBSTITUTE(SUBSTITUTE(SUBSTITUTE(B317," ",""),"0",""),"-",""))+LEN(SUBSTITUTE(SUBSTITUTE(SUBSTITUTE(C317," ",""),"0",""),"-","")))&gt;(LEN(SUBSTITUTE(SUBSTITUTE(SUBSTITUTE(E317," ",""),"0",""),"-",""))+LEN(SUBSTITUTE(SUBSTITUTE(SUBSTITUTE(F317," ",""),"0",""),"-",""))),1,0))+IF(UPPER(D318)="X",0,IF((LEN(SUBSTITUTE(SUBSTITUTE(SUBSTITUTE(B318," ",""),"0",""),"-",""))+LEN(SUBSTITUTE(SUBSTITUTE(SUBSTITUTE(C318," ",""),"0",""),"-","")))&gt;(LEN(SUBSTITUTE(SUBSTITUTE(SUBSTITUTE(E318," ",""),"0",""),"-",""))+LEN(SUBSTITUTE(SUBSTITUTE(SUBSTITUTE(F318," ",""),"0",""),"-",""))),1,0))</f>
      </c>
      <c r="C321" s="14" t="str">
        <f>LEN(SUBSTITUTE(SUBSTITUTE(SUBSTITUTE(B314," ",""),"0",""),"-",""))+LEN(SUBSTITUTE(SUBSTITUTE(SUBSTITUTE(C314," ",""),"0",""),"-",""))+LEN(SUBSTITUTE(SUBSTITUTE(SUBSTITUTE(B315," ",""),"0",""),"-",""))+LEN(SUBSTITUTE(SUBSTITUTE(SUBSTITUTE(C315," ",""),"0",""),"-",""))+LEN(SUBSTITUTE(SUBSTITUTE(SUBSTITUTE(B316," ",""),"0",""),"-",""))+LEN(SUBSTITUTE(SUBSTITUTE(SUBSTITUTE(C316," ",""),"0",""),"-",""))+LEN(SUBSTITUTE(SUBSTITUTE(SUBSTITUTE(B317," ",""),"0",""),"-",""))+LEN(SUBSTITUTE(SUBSTITUTE(SUBSTITUTE(C317," ",""),"0",""),"-",""))+LEN(SUBSTITUTE(SUBSTITUTE(SUBSTITUTE(B318," ",""),"0",""),"-",""))+LEN(SUBSTITUTE(SUBSTITUTE(SUBSTITUTE(C318," ",""),"0",""),"-",""))</f>
      </c>
      <c r="D321" s="14"/>
      <c r="E321" s="14" t="str">
        <f>LEN(SUBSTITUTE(SUBSTITUTE(SUBSTITUTE(E314," ",""),"0",""),"-",""))+LEN(SUBSTITUTE(SUBSTITUTE(SUBSTITUTE(F314," ",""),"0",""),"-",""))+LEN(SUBSTITUTE(SUBSTITUTE(SUBSTITUTE(E315," ",""),"0",""),"-",""))+LEN(SUBSTITUTE(SUBSTITUTE(SUBSTITUTE(F315," ",""),"0",""),"-",""))+LEN(SUBSTITUTE(SUBSTITUTE(SUBSTITUTE(E316," ",""),"0",""),"-",""))+LEN(SUBSTITUTE(SUBSTITUTE(SUBSTITUTE(F316," ",""),"0",""),"-",""))+LEN(SUBSTITUTE(SUBSTITUTE(SUBSTITUTE(E317," ",""),"0",""),"-",""))+LEN(SUBSTITUTE(SUBSTITUTE(SUBSTITUTE(F317," ",""),"0",""),"-",""))+LEN(SUBSTITUTE(SUBSTITUTE(SUBSTITUTE(E318," ",""),"0",""),"-",""))+LEN(SUBSTITUTE(SUBSTITUTE(SUBSTITUTE(F318," ",""),"0",""),"-",""))</f>
      </c>
      <c r="F321" s="14" t="str">
        <f>IF(UPPER(D314)="X",0,IF((LEN(SUBSTITUTE(SUBSTITUTE(SUBSTITUTE(E314," ",""),"0",""),"-",""))+LEN(SUBSTITUTE(SUBSTITUTE(SUBSTITUTE(F314," ",""),"0",""),"-","")))&gt;(LEN(SUBSTITUTE(SUBSTITUTE(SUBSTITUTE(B314," ",""),"0",""),"-",""))+LEN(SUBSTITUTE(SUBSTITUTE(SUBSTITUTE(C314," ",""),"0",""),"-",""))),1,0))+IF(UPPER(D315)="X",0,IF((LEN(SUBSTITUTE(SUBSTITUTE(SUBSTITUTE(E315," ",""),"0",""),"-",""))+LEN(SUBSTITUTE(SUBSTITUTE(SUBSTITUTE(F315," ",""),"0",""),"-","")))&gt;(LEN(SUBSTITUTE(SUBSTITUTE(SUBSTITUTE(B315," ",""),"0",""),"-",""))+LEN(SUBSTITUTE(SUBSTITUTE(SUBSTITUTE(C315," ",""),"0",""),"-",""))),1,0))+IF(UPPER(D316)="X",0,IF((LEN(SUBSTITUTE(SUBSTITUTE(SUBSTITUTE(E316," ",""),"0",""),"-",""))+LEN(SUBSTITUTE(SUBSTITUTE(SUBSTITUTE(F316," ",""),"0",""),"-","")))&gt;(LEN(SUBSTITUTE(SUBSTITUTE(SUBSTITUTE(B316," ",""),"0",""),"-",""))+LEN(SUBSTITUTE(SUBSTITUTE(SUBSTITUTE(C316," ",""),"0",""),"-",""))),1,0))+IF(UPPER(D317)="X",0,IF((LEN(SUBSTITUTE(SUBSTITUTE(SUBSTITUTE(E317," ",""),"0",""),"-",""))+LEN(SUBSTITUTE(SUBSTITUTE(SUBSTITUTE(F317," ",""),"0",""),"-","")))&gt;(LEN(SUBSTITUTE(SUBSTITUTE(SUBSTITUTE(B317," ",""),"0",""),"-",""))+LEN(SUBSTITUTE(SUBSTITUTE(SUBSTITUTE(C317," ",""),"0",""),"-",""))),1,0))+IF(UPPER(D318)="X",0,IF((LEN(SUBSTITUTE(SUBSTITUTE(SUBSTITUTE(E318," ",""),"0",""),"-",""))+LEN(SUBSTITUTE(SUBSTITUTE(SUBSTITUTE(F318," ",""),"0",""),"-","")))&gt;(LEN(SUBSTITUTE(SUBSTITUTE(SUBSTITUTE(B318," ",""),"0",""),"-",""))+LEN(SUBSTITUTE(SUBSTITUTE(SUBSTITUTE(C318," ",""),"0",""),"-",""))),1,0))</f>
      </c>
      <c r="G321" s="14" t="s">
        <v>349</v>
      </c>
      <c r="I321" s="14" t="s">
        <v>349</v>
      </c>
      <c r="J321" s="14" t="str">
        <f>IF(UPPER(L314)="X",0,IF((LEN(SUBSTITUTE(SUBSTITUTE(SUBSTITUTE(J314," ",""),"0",""),"-",""))+LEN(SUBSTITUTE(SUBSTITUTE(SUBSTITUTE(K314," ",""),"0",""),"-","")))&gt;(LEN(SUBSTITUTE(SUBSTITUTE(SUBSTITUTE(M314," ",""),"0",""),"-",""))+LEN(SUBSTITUTE(SUBSTITUTE(SUBSTITUTE(N314," ",""),"0",""),"-",""))),1,0))+IF(UPPER(L315)="X",0,IF((LEN(SUBSTITUTE(SUBSTITUTE(SUBSTITUTE(J315," ",""),"0",""),"-",""))+LEN(SUBSTITUTE(SUBSTITUTE(SUBSTITUTE(K315," ",""),"0",""),"-","")))&gt;(LEN(SUBSTITUTE(SUBSTITUTE(SUBSTITUTE(M315," ",""),"0",""),"-",""))+LEN(SUBSTITUTE(SUBSTITUTE(SUBSTITUTE(N315," ",""),"0",""),"-",""))),1,0))+IF(UPPER(L316)="X",0,IF((LEN(SUBSTITUTE(SUBSTITUTE(SUBSTITUTE(J316," ",""),"0",""),"-",""))+LEN(SUBSTITUTE(SUBSTITUTE(SUBSTITUTE(K316," ",""),"0",""),"-","")))&gt;(LEN(SUBSTITUTE(SUBSTITUTE(SUBSTITUTE(M316," ",""),"0",""),"-",""))+LEN(SUBSTITUTE(SUBSTITUTE(SUBSTITUTE(N316," ",""),"0",""),"-",""))),1,0))+IF(UPPER(L317)="X",0,IF((LEN(SUBSTITUTE(SUBSTITUTE(SUBSTITUTE(J317," ",""),"0",""),"-",""))+LEN(SUBSTITUTE(SUBSTITUTE(SUBSTITUTE(K317," ",""),"0",""),"-","")))&gt;(LEN(SUBSTITUTE(SUBSTITUTE(SUBSTITUTE(M317," ",""),"0",""),"-",""))+LEN(SUBSTITUTE(SUBSTITUTE(SUBSTITUTE(N317," ",""),"0",""),"-",""))),1,0))+IF(UPPER(L318)="X",0,IF((LEN(SUBSTITUTE(SUBSTITUTE(SUBSTITUTE(J318," ",""),"0",""),"-",""))+LEN(SUBSTITUTE(SUBSTITUTE(SUBSTITUTE(K318," ",""),"0",""),"-","")))&gt;(LEN(SUBSTITUTE(SUBSTITUTE(SUBSTITUTE(M318," ",""),"0",""),"-",""))+LEN(SUBSTITUTE(SUBSTITUTE(SUBSTITUTE(N318," ",""),"0",""),"-",""))),1,0))</f>
      </c>
      <c r="K321" s="14" t="str">
        <f>LEN(SUBSTITUTE(SUBSTITUTE(SUBSTITUTE(J314," ",""),"0",""),"-",""))+LEN(SUBSTITUTE(SUBSTITUTE(SUBSTITUTE(K314," ",""),"0",""),"-",""))+LEN(SUBSTITUTE(SUBSTITUTE(SUBSTITUTE(J315," ",""),"0",""),"-",""))+LEN(SUBSTITUTE(SUBSTITUTE(SUBSTITUTE(K315," ",""),"0",""),"-",""))+LEN(SUBSTITUTE(SUBSTITUTE(SUBSTITUTE(J316," ",""),"0",""),"-",""))+LEN(SUBSTITUTE(SUBSTITUTE(SUBSTITUTE(K316," ",""),"0",""),"-",""))+LEN(SUBSTITUTE(SUBSTITUTE(SUBSTITUTE(J317," ",""),"0",""),"-",""))+LEN(SUBSTITUTE(SUBSTITUTE(SUBSTITUTE(K317," ",""),"0",""),"-",""))+LEN(SUBSTITUTE(SUBSTITUTE(SUBSTITUTE(J318," ",""),"0",""),"-",""))+LEN(SUBSTITUTE(SUBSTITUTE(SUBSTITUTE(K318," ",""),"0",""),"-",""))</f>
      </c>
      <c r="L321" s="14"/>
      <c r="M321" s="14" t="str">
        <f>LEN(SUBSTITUTE(SUBSTITUTE(SUBSTITUTE(M314," ",""),"0",""),"-",""))+LEN(SUBSTITUTE(SUBSTITUTE(SUBSTITUTE(N314," ",""),"0",""),"-",""))+LEN(SUBSTITUTE(SUBSTITUTE(SUBSTITUTE(M315," ",""),"0",""),"-",""))+LEN(SUBSTITUTE(SUBSTITUTE(SUBSTITUTE(N315," ",""),"0",""),"-",""))+LEN(SUBSTITUTE(SUBSTITUTE(SUBSTITUTE(M316," ",""),"0",""),"-",""))+LEN(SUBSTITUTE(SUBSTITUTE(SUBSTITUTE(N316," ",""),"0",""),"-",""))+LEN(SUBSTITUTE(SUBSTITUTE(SUBSTITUTE(M317," ",""),"0",""),"-",""))+LEN(SUBSTITUTE(SUBSTITUTE(SUBSTITUTE(N317," ",""),"0",""),"-",""))+LEN(SUBSTITUTE(SUBSTITUTE(SUBSTITUTE(M318," ",""),"0",""),"-",""))+LEN(SUBSTITUTE(SUBSTITUTE(SUBSTITUTE(N318," ",""),"0",""),"-",""))</f>
      </c>
      <c r="N321" s="14" t="str">
        <f>IF(UPPER(L314)="X",0,IF((LEN(SUBSTITUTE(SUBSTITUTE(SUBSTITUTE(M314," ",""),"0",""),"-",""))+LEN(SUBSTITUTE(SUBSTITUTE(SUBSTITUTE(N314," ",""),"0",""),"-","")))&gt;(LEN(SUBSTITUTE(SUBSTITUTE(SUBSTITUTE(J314," ",""),"0",""),"-",""))+LEN(SUBSTITUTE(SUBSTITUTE(SUBSTITUTE(K314," ",""),"0",""),"-",""))),1,0))+IF(UPPER(L315)="X",0,IF((LEN(SUBSTITUTE(SUBSTITUTE(SUBSTITUTE(M315," ",""),"0",""),"-",""))+LEN(SUBSTITUTE(SUBSTITUTE(SUBSTITUTE(N315," ",""),"0",""),"-","")))&gt;(LEN(SUBSTITUTE(SUBSTITUTE(SUBSTITUTE(J315," ",""),"0",""),"-",""))+LEN(SUBSTITUTE(SUBSTITUTE(SUBSTITUTE(K315," ",""),"0",""),"-",""))),1,0))+IF(UPPER(L316)="X",0,IF((LEN(SUBSTITUTE(SUBSTITUTE(SUBSTITUTE(M316," ",""),"0",""),"-",""))+LEN(SUBSTITUTE(SUBSTITUTE(SUBSTITUTE(N316," ",""),"0",""),"-","")))&gt;(LEN(SUBSTITUTE(SUBSTITUTE(SUBSTITUTE(J316," ",""),"0",""),"-",""))+LEN(SUBSTITUTE(SUBSTITUTE(SUBSTITUTE(K316," ",""),"0",""),"-",""))),1,0))+IF(UPPER(L317)="X",0,IF((LEN(SUBSTITUTE(SUBSTITUTE(SUBSTITUTE(M317," ",""),"0",""),"-",""))+LEN(SUBSTITUTE(SUBSTITUTE(SUBSTITUTE(N317," ",""),"0",""),"-","")))&gt;(LEN(SUBSTITUTE(SUBSTITUTE(SUBSTITUTE(J317," ",""),"0",""),"-",""))+LEN(SUBSTITUTE(SUBSTITUTE(SUBSTITUTE(K317," ",""),"0",""),"-",""))),1,0))+IF(UPPER(L318)="X",0,IF((LEN(SUBSTITUTE(SUBSTITUTE(SUBSTITUTE(M318," ",""),"0",""),"-",""))+LEN(SUBSTITUTE(SUBSTITUTE(SUBSTITUTE(N318," ",""),"0",""),"-","")))&gt;(LEN(SUBSTITUTE(SUBSTITUTE(SUBSTITUTE(J318," ",""),"0",""),"-",""))+LEN(SUBSTITUTE(SUBSTITUTE(SUBSTITUTE(K318," ",""),"0",""),"-",""))),1,0))</f>
      </c>
      <c r="O321" s="14" t="s">
        <v>349</v>
      </c>
    </row>
    <row r="324">
      <c r="F324" t="s">
        <v>344</v>
      </c>
      <c r="G324" s="19"/>
      <c r="N324" t="s">
        <v>344</v>
      </c>
      <c r="O324" s="19"/>
    </row>
    <row r="325">
      <c r="F325" t="s">
        <v>345</v>
      </c>
      <c r="G325" s="19"/>
      <c r="N325" t="s">
        <v>345</v>
      </c>
      <c r="O325" s="19"/>
    </row>
    <row r="327">
      <c r="A327" s="13" t="s">
        <v>389</v>
      </c>
      <c r="B327" s="13"/>
      <c r="C327" s="13"/>
      <c r="D327" s="13"/>
      <c r="E327" s="13"/>
      <c r="F327" s="13"/>
      <c r="G327" s="13"/>
      <c r="I327" s="13" t="s">
        <v>390</v>
      </c>
      <c r="J327" s="13"/>
      <c r="K327" s="13"/>
      <c r="L327" s="13"/>
      <c r="M327" s="13"/>
      <c r="N327" s="13"/>
      <c r="O327" s="13"/>
    </row>
    <row r="328">
      <c r="A328" s="17" t="s">
        <v>330</v>
      </c>
      <c r="D328" s="14" t="s">
        <v>331</v>
      </c>
      <c r="G328" s="16" t="s">
        <v>332</v>
      </c>
      <c r="I328" s="17" t="s">
        <v>330</v>
      </c>
      <c r="L328" s="14" t="s">
        <v>331</v>
      </c>
      <c r="O328" s="16" t="s">
        <v>332</v>
      </c>
    </row>
    <row r="329">
      <c r="A329" s="14" t="str">
        <f>CONCATENATE("M 14 ",G223)</f>
      </c>
      <c r="B329" s="14"/>
      <c r="C329" s="14"/>
      <c r="D329" s="18"/>
      <c r="E329" s="14"/>
      <c r="F329" s="14"/>
      <c r="G329" s="14" t="str">
        <f>CONCATENATE("M 13 ",G207)</f>
      </c>
      <c r="I329" s="14" t="str">
        <f>CONCATENATE("M 28 ",O223)</f>
      </c>
      <c r="J329" s="14"/>
      <c r="K329" s="14"/>
      <c r="L329" s="18"/>
      <c r="M329" s="14"/>
      <c r="N329" s="14"/>
      <c r="O329" s="14" t="str">
        <f>CONCATENATE("M 27 ",O207)</f>
      </c>
    </row>
    <row r="330">
      <c r="A330" s="14">
        <v>1</v>
      </c>
      <c r="B330" s="18"/>
      <c r="C330" s="18"/>
      <c r="D330" s="18"/>
      <c r="E330" s="18"/>
      <c r="F330" s="18"/>
      <c r="G330" s="14">
        <v>1</v>
      </c>
      <c r="I330" s="14">
        <v>1</v>
      </c>
      <c r="J330" s="18"/>
      <c r="K330" s="18"/>
      <c r="L330" s="18"/>
      <c r="M330" s="18"/>
      <c r="N330" s="18"/>
      <c r="O330" s="14">
        <v>1</v>
      </c>
    </row>
    <row r="331">
      <c r="A331" s="14">
        <v>2</v>
      </c>
      <c r="B331" s="18"/>
      <c r="C331" s="18"/>
      <c r="D331" s="18"/>
      <c r="E331" s="18"/>
      <c r="F331" s="18"/>
      <c r="G331" s="14">
        <v>2</v>
      </c>
      <c r="I331" s="14">
        <v>2</v>
      </c>
      <c r="J331" s="18"/>
      <c r="K331" s="18"/>
      <c r="L331" s="18"/>
      <c r="M331" s="18"/>
      <c r="N331" s="18"/>
      <c r="O331" s="14">
        <v>2</v>
      </c>
    </row>
    <row r="332">
      <c r="A332" s="14">
        <v>3</v>
      </c>
      <c r="B332" s="18"/>
      <c r="C332" s="18"/>
      <c r="D332" s="18"/>
      <c r="E332" s="18"/>
      <c r="F332" s="18"/>
      <c r="G332" s="14">
        <v>3</v>
      </c>
      <c r="I332" s="14">
        <v>3</v>
      </c>
      <c r="J332" s="18"/>
      <c r="K332" s="18"/>
      <c r="L332" s="18"/>
      <c r="M332" s="18"/>
      <c r="N332" s="18"/>
      <c r="O332" s="14">
        <v>3</v>
      </c>
    </row>
    <row r="333">
      <c r="A333" s="14">
        <v>4</v>
      </c>
      <c r="B333" s="18"/>
      <c r="C333" s="18"/>
      <c r="D333" s="18"/>
      <c r="E333" s="18"/>
      <c r="F333" s="18"/>
      <c r="G333" s="14">
        <v>4</v>
      </c>
      <c r="I333" s="14">
        <v>4</v>
      </c>
      <c r="J333" s="18"/>
      <c r="K333" s="18"/>
      <c r="L333" s="18"/>
      <c r="M333" s="18"/>
      <c r="N333" s="18"/>
      <c r="O333" s="14">
        <v>4</v>
      </c>
    </row>
    <row r="334">
      <c r="A334" s="14">
        <v>5</v>
      </c>
      <c r="B334" s="18"/>
      <c r="C334" s="18"/>
      <c r="D334" s="18"/>
      <c r="E334" s="18"/>
      <c r="F334" s="18"/>
      <c r="G334" s="14">
        <v>5</v>
      </c>
      <c r="I334" s="14">
        <v>5</v>
      </c>
      <c r="J334" s="18"/>
      <c r="K334" s="18"/>
      <c r="L334" s="18"/>
      <c r="M334" s="18"/>
      <c r="N334" s="18"/>
      <c r="O334" s="14">
        <v>5</v>
      </c>
    </row>
    <row r="336">
      <c r="A336" s="14" t="str">
        <f>CONCATENATE("M 14 ",G223)</f>
      </c>
      <c r="B336" s="14" t="s">
        <v>338</v>
      </c>
      <c r="C336" s="14" t="s">
        <v>341</v>
      </c>
      <c r="D336" s="14"/>
      <c r="E336" s="14" t="s">
        <v>341</v>
      </c>
      <c r="F336" s="14" t="s">
        <v>338</v>
      </c>
      <c r="G336" s="14" t="str">
        <f>CONCATENATE("M 13 ",G207)</f>
      </c>
      <c r="I336" s="14" t="str">
        <f>CONCATENATE("M 28 ",O223)</f>
      </c>
      <c r="J336" s="14" t="s">
        <v>338</v>
      </c>
      <c r="K336" s="14" t="s">
        <v>341</v>
      </c>
      <c r="L336" s="14"/>
      <c r="M336" s="14" t="s">
        <v>341</v>
      </c>
      <c r="N336" s="14" t="s">
        <v>338</v>
      </c>
      <c r="O336" s="14" t="str">
        <f>CONCATENATE("M 27 ",O207)</f>
      </c>
    </row>
    <row r="337">
      <c r="A337" s="14" t="s">
        <v>349</v>
      </c>
      <c r="B337" s="14" t="str">
        <f>IF(UPPER(D330)="X",0,IF((LEN(SUBSTITUTE(SUBSTITUTE(SUBSTITUTE(B330," ",""),"0",""),"-",""))+LEN(SUBSTITUTE(SUBSTITUTE(SUBSTITUTE(C330," ",""),"0",""),"-","")))&gt;(LEN(SUBSTITUTE(SUBSTITUTE(SUBSTITUTE(E330," ",""),"0",""),"-",""))+LEN(SUBSTITUTE(SUBSTITUTE(SUBSTITUTE(F330," ",""),"0",""),"-",""))),1,0))+IF(UPPER(D331)="X",0,IF((LEN(SUBSTITUTE(SUBSTITUTE(SUBSTITUTE(B331," ",""),"0",""),"-",""))+LEN(SUBSTITUTE(SUBSTITUTE(SUBSTITUTE(C331," ",""),"0",""),"-","")))&gt;(LEN(SUBSTITUTE(SUBSTITUTE(SUBSTITUTE(E331," ",""),"0",""),"-",""))+LEN(SUBSTITUTE(SUBSTITUTE(SUBSTITUTE(F331," ",""),"0",""),"-",""))),1,0))+IF(UPPER(D332)="X",0,IF((LEN(SUBSTITUTE(SUBSTITUTE(SUBSTITUTE(B332," ",""),"0",""),"-",""))+LEN(SUBSTITUTE(SUBSTITUTE(SUBSTITUTE(C332," ",""),"0",""),"-","")))&gt;(LEN(SUBSTITUTE(SUBSTITUTE(SUBSTITUTE(E332," ",""),"0",""),"-",""))+LEN(SUBSTITUTE(SUBSTITUTE(SUBSTITUTE(F332," ",""),"0",""),"-",""))),1,0))+IF(UPPER(D333)="X",0,IF((LEN(SUBSTITUTE(SUBSTITUTE(SUBSTITUTE(B333," ",""),"0",""),"-",""))+LEN(SUBSTITUTE(SUBSTITUTE(SUBSTITUTE(C333," ",""),"0",""),"-","")))&gt;(LEN(SUBSTITUTE(SUBSTITUTE(SUBSTITUTE(E333," ",""),"0",""),"-",""))+LEN(SUBSTITUTE(SUBSTITUTE(SUBSTITUTE(F333," ",""),"0",""),"-",""))),1,0))+IF(UPPER(D334)="X",0,IF((LEN(SUBSTITUTE(SUBSTITUTE(SUBSTITUTE(B334," ",""),"0",""),"-",""))+LEN(SUBSTITUTE(SUBSTITUTE(SUBSTITUTE(C334," ",""),"0",""),"-","")))&gt;(LEN(SUBSTITUTE(SUBSTITUTE(SUBSTITUTE(E334," ",""),"0",""),"-",""))+LEN(SUBSTITUTE(SUBSTITUTE(SUBSTITUTE(F334," ",""),"0",""),"-",""))),1,0))</f>
      </c>
      <c r="C337" s="14" t="str">
        <f>LEN(SUBSTITUTE(SUBSTITUTE(SUBSTITUTE(B330," ",""),"0",""),"-",""))+LEN(SUBSTITUTE(SUBSTITUTE(SUBSTITUTE(C330," ",""),"0",""),"-",""))+LEN(SUBSTITUTE(SUBSTITUTE(SUBSTITUTE(B331," ",""),"0",""),"-",""))+LEN(SUBSTITUTE(SUBSTITUTE(SUBSTITUTE(C331," ",""),"0",""),"-",""))+LEN(SUBSTITUTE(SUBSTITUTE(SUBSTITUTE(B332," ",""),"0",""),"-",""))+LEN(SUBSTITUTE(SUBSTITUTE(SUBSTITUTE(C332," ",""),"0",""),"-",""))+LEN(SUBSTITUTE(SUBSTITUTE(SUBSTITUTE(B333," ",""),"0",""),"-",""))+LEN(SUBSTITUTE(SUBSTITUTE(SUBSTITUTE(C333," ",""),"0",""),"-",""))+LEN(SUBSTITUTE(SUBSTITUTE(SUBSTITUTE(B334," ",""),"0",""),"-",""))+LEN(SUBSTITUTE(SUBSTITUTE(SUBSTITUTE(C334," ",""),"0",""),"-",""))</f>
      </c>
      <c r="D337" s="14"/>
      <c r="E337" s="14" t="str">
        <f>LEN(SUBSTITUTE(SUBSTITUTE(SUBSTITUTE(E330," ",""),"0",""),"-",""))+LEN(SUBSTITUTE(SUBSTITUTE(SUBSTITUTE(F330," ",""),"0",""),"-",""))+LEN(SUBSTITUTE(SUBSTITUTE(SUBSTITUTE(E331," ",""),"0",""),"-",""))+LEN(SUBSTITUTE(SUBSTITUTE(SUBSTITUTE(F331," ",""),"0",""),"-",""))+LEN(SUBSTITUTE(SUBSTITUTE(SUBSTITUTE(E332," ",""),"0",""),"-",""))+LEN(SUBSTITUTE(SUBSTITUTE(SUBSTITUTE(F332," ",""),"0",""),"-",""))+LEN(SUBSTITUTE(SUBSTITUTE(SUBSTITUTE(E333," ",""),"0",""),"-",""))+LEN(SUBSTITUTE(SUBSTITUTE(SUBSTITUTE(F333," ",""),"0",""),"-",""))+LEN(SUBSTITUTE(SUBSTITUTE(SUBSTITUTE(E334," ",""),"0",""),"-",""))+LEN(SUBSTITUTE(SUBSTITUTE(SUBSTITUTE(F334," ",""),"0",""),"-",""))</f>
      </c>
      <c r="F337" s="14" t="str">
        <f>IF(UPPER(D330)="X",0,IF((LEN(SUBSTITUTE(SUBSTITUTE(SUBSTITUTE(E330," ",""),"0",""),"-",""))+LEN(SUBSTITUTE(SUBSTITUTE(SUBSTITUTE(F330," ",""),"0",""),"-","")))&gt;(LEN(SUBSTITUTE(SUBSTITUTE(SUBSTITUTE(B330," ",""),"0",""),"-",""))+LEN(SUBSTITUTE(SUBSTITUTE(SUBSTITUTE(C330," ",""),"0",""),"-",""))),1,0))+IF(UPPER(D331)="X",0,IF((LEN(SUBSTITUTE(SUBSTITUTE(SUBSTITUTE(E331," ",""),"0",""),"-",""))+LEN(SUBSTITUTE(SUBSTITUTE(SUBSTITUTE(F331," ",""),"0",""),"-","")))&gt;(LEN(SUBSTITUTE(SUBSTITUTE(SUBSTITUTE(B331," ",""),"0",""),"-",""))+LEN(SUBSTITUTE(SUBSTITUTE(SUBSTITUTE(C331," ",""),"0",""),"-",""))),1,0))+IF(UPPER(D332)="X",0,IF((LEN(SUBSTITUTE(SUBSTITUTE(SUBSTITUTE(E332," ",""),"0",""),"-",""))+LEN(SUBSTITUTE(SUBSTITUTE(SUBSTITUTE(F332," ",""),"0",""),"-","")))&gt;(LEN(SUBSTITUTE(SUBSTITUTE(SUBSTITUTE(B332," ",""),"0",""),"-",""))+LEN(SUBSTITUTE(SUBSTITUTE(SUBSTITUTE(C332," ",""),"0",""),"-",""))),1,0))+IF(UPPER(D333)="X",0,IF((LEN(SUBSTITUTE(SUBSTITUTE(SUBSTITUTE(E333," ",""),"0",""),"-",""))+LEN(SUBSTITUTE(SUBSTITUTE(SUBSTITUTE(F333," ",""),"0",""),"-","")))&gt;(LEN(SUBSTITUTE(SUBSTITUTE(SUBSTITUTE(B333," ",""),"0",""),"-",""))+LEN(SUBSTITUTE(SUBSTITUTE(SUBSTITUTE(C333," ",""),"0",""),"-",""))),1,0))+IF(UPPER(D334)="X",0,IF((LEN(SUBSTITUTE(SUBSTITUTE(SUBSTITUTE(E334," ",""),"0",""),"-",""))+LEN(SUBSTITUTE(SUBSTITUTE(SUBSTITUTE(F334," ",""),"0",""),"-","")))&gt;(LEN(SUBSTITUTE(SUBSTITUTE(SUBSTITUTE(B334," ",""),"0",""),"-",""))+LEN(SUBSTITUTE(SUBSTITUTE(SUBSTITUTE(C334," ",""),"0",""),"-",""))),1,0))</f>
      </c>
      <c r="G337" s="14" t="s">
        <v>349</v>
      </c>
      <c r="I337" s="14" t="s">
        <v>349</v>
      </c>
      <c r="J337" s="14" t="str">
        <f>IF(UPPER(L330)="X",0,IF((LEN(SUBSTITUTE(SUBSTITUTE(SUBSTITUTE(J330," ",""),"0",""),"-",""))+LEN(SUBSTITUTE(SUBSTITUTE(SUBSTITUTE(K330," ",""),"0",""),"-","")))&gt;(LEN(SUBSTITUTE(SUBSTITUTE(SUBSTITUTE(M330," ",""),"0",""),"-",""))+LEN(SUBSTITUTE(SUBSTITUTE(SUBSTITUTE(N330," ",""),"0",""),"-",""))),1,0))+IF(UPPER(L331)="X",0,IF((LEN(SUBSTITUTE(SUBSTITUTE(SUBSTITUTE(J331," ",""),"0",""),"-",""))+LEN(SUBSTITUTE(SUBSTITUTE(SUBSTITUTE(K331," ",""),"0",""),"-","")))&gt;(LEN(SUBSTITUTE(SUBSTITUTE(SUBSTITUTE(M331," ",""),"0",""),"-",""))+LEN(SUBSTITUTE(SUBSTITUTE(SUBSTITUTE(N331," ",""),"0",""),"-",""))),1,0))+IF(UPPER(L332)="X",0,IF((LEN(SUBSTITUTE(SUBSTITUTE(SUBSTITUTE(J332," ",""),"0",""),"-",""))+LEN(SUBSTITUTE(SUBSTITUTE(SUBSTITUTE(K332," ",""),"0",""),"-","")))&gt;(LEN(SUBSTITUTE(SUBSTITUTE(SUBSTITUTE(M332," ",""),"0",""),"-",""))+LEN(SUBSTITUTE(SUBSTITUTE(SUBSTITUTE(N332," ",""),"0",""),"-",""))),1,0))+IF(UPPER(L333)="X",0,IF((LEN(SUBSTITUTE(SUBSTITUTE(SUBSTITUTE(J333," ",""),"0",""),"-",""))+LEN(SUBSTITUTE(SUBSTITUTE(SUBSTITUTE(K333," ",""),"0",""),"-","")))&gt;(LEN(SUBSTITUTE(SUBSTITUTE(SUBSTITUTE(M333," ",""),"0",""),"-",""))+LEN(SUBSTITUTE(SUBSTITUTE(SUBSTITUTE(N333," ",""),"0",""),"-",""))),1,0))+IF(UPPER(L334)="X",0,IF((LEN(SUBSTITUTE(SUBSTITUTE(SUBSTITUTE(J334," ",""),"0",""),"-",""))+LEN(SUBSTITUTE(SUBSTITUTE(SUBSTITUTE(K334," ",""),"0",""),"-","")))&gt;(LEN(SUBSTITUTE(SUBSTITUTE(SUBSTITUTE(M334," ",""),"0",""),"-",""))+LEN(SUBSTITUTE(SUBSTITUTE(SUBSTITUTE(N334," ",""),"0",""),"-",""))),1,0))</f>
      </c>
      <c r="K337" s="14" t="str">
        <f>LEN(SUBSTITUTE(SUBSTITUTE(SUBSTITUTE(J330," ",""),"0",""),"-",""))+LEN(SUBSTITUTE(SUBSTITUTE(SUBSTITUTE(K330," ",""),"0",""),"-",""))+LEN(SUBSTITUTE(SUBSTITUTE(SUBSTITUTE(J331," ",""),"0",""),"-",""))+LEN(SUBSTITUTE(SUBSTITUTE(SUBSTITUTE(K331," ",""),"0",""),"-",""))+LEN(SUBSTITUTE(SUBSTITUTE(SUBSTITUTE(J332," ",""),"0",""),"-",""))+LEN(SUBSTITUTE(SUBSTITUTE(SUBSTITUTE(K332," ",""),"0",""),"-",""))+LEN(SUBSTITUTE(SUBSTITUTE(SUBSTITUTE(J333," ",""),"0",""),"-",""))+LEN(SUBSTITUTE(SUBSTITUTE(SUBSTITUTE(K333," ",""),"0",""),"-",""))+LEN(SUBSTITUTE(SUBSTITUTE(SUBSTITUTE(J334," ",""),"0",""),"-",""))+LEN(SUBSTITUTE(SUBSTITUTE(SUBSTITUTE(K334," ",""),"0",""),"-",""))</f>
      </c>
      <c r="L337" s="14"/>
      <c r="M337" s="14" t="str">
        <f>LEN(SUBSTITUTE(SUBSTITUTE(SUBSTITUTE(M330," ",""),"0",""),"-",""))+LEN(SUBSTITUTE(SUBSTITUTE(SUBSTITUTE(N330," ",""),"0",""),"-",""))+LEN(SUBSTITUTE(SUBSTITUTE(SUBSTITUTE(M331," ",""),"0",""),"-",""))+LEN(SUBSTITUTE(SUBSTITUTE(SUBSTITUTE(N331," ",""),"0",""),"-",""))+LEN(SUBSTITUTE(SUBSTITUTE(SUBSTITUTE(M332," ",""),"0",""),"-",""))+LEN(SUBSTITUTE(SUBSTITUTE(SUBSTITUTE(N332," ",""),"0",""),"-",""))+LEN(SUBSTITUTE(SUBSTITUTE(SUBSTITUTE(M333," ",""),"0",""),"-",""))+LEN(SUBSTITUTE(SUBSTITUTE(SUBSTITUTE(N333," ",""),"0",""),"-",""))+LEN(SUBSTITUTE(SUBSTITUTE(SUBSTITUTE(M334," ",""),"0",""),"-",""))+LEN(SUBSTITUTE(SUBSTITUTE(SUBSTITUTE(N334," ",""),"0",""),"-",""))</f>
      </c>
      <c r="N337" s="14" t="str">
        <f>IF(UPPER(L330)="X",0,IF((LEN(SUBSTITUTE(SUBSTITUTE(SUBSTITUTE(M330," ",""),"0",""),"-",""))+LEN(SUBSTITUTE(SUBSTITUTE(SUBSTITUTE(N330," ",""),"0",""),"-","")))&gt;(LEN(SUBSTITUTE(SUBSTITUTE(SUBSTITUTE(J330," ",""),"0",""),"-",""))+LEN(SUBSTITUTE(SUBSTITUTE(SUBSTITUTE(K330," ",""),"0",""),"-",""))),1,0))+IF(UPPER(L331)="X",0,IF((LEN(SUBSTITUTE(SUBSTITUTE(SUBSTITUTE(M331," ",""),"0",""),"-",""))+LEN(SUBSTITUTE(SUBSTITUTE(SUBSTITUTE(N331," ",""),"0",""),"-","")))&gt;(LEN(SUBSTITUTE(SUBSTITUTE(SUBSTITUTE(J331," ",""),"0",""),"-",""))+LEN(SUBSTITUTE(SUBSTITUTE(SUBSTITUTE(K331," ",""),"0",""),"-",""))),1,0))+IF(UPPER(L332)="X",0,IF((LEN(SUBSTITUTE(SUBSTITUTE(SUBSTITUTE(M332," ",""),"0",""),"-",""))+LEN(SUBSTITUTE(SUBSTITUTE(SUBSTITUTE(N332," ",""),"0",""),"-","")))&gt;(LEN(SUBSTITUTE(SUBSTITUTE(SUBSTITUTE(J332," ",""),"0",""),"-",""))+LEN(SUBSTITUTE(SUBSTITUTE(SUBSTITUTE(K332," ",""),"0",""),"-",""))),1,0))+IF(UPPER(L333)="X",0,IF((LEN(SUBSTITUTE(SUBSTITUTE(SUBSTITUTE(M333," ",""),"0",""),"-",""))+LEN(SUBSTITUTE(SUBSTITUTE(SUBSTITUTE(N333," ",""),"0",""),"-","")))&gt;(LEN(SUBSTITUTE(SUBSTITUTE(SUBSTITUTE(J333," ",""),"0",""),"-",""))+LEN(SUBSTITUTE(SUBSTITUTE(SUBSTITUTE(K333," ",""),"0",""),"-",""))),1,0))+IF(UPPER(L334)="X",0,IF((LEN(SUBSTITUTE(SUBSTITUTE(SUBSTITUTE(M334," ",""),"0",""),"-",""))+LEN(SUBSTITUTE(SUBSTITUTE(SUBSTITUTE(N334," ",""),"0",""),"-","")))&gt;(LEN(SUBSTITUTE(SUBSTITUTE(SUBSTITUTE(J334," ",""),"0",""),"-",""))+LEN(SUBSTITUTE(SUBSTITUTE(SUBSTITUTE(K334," ",""),"0",""),"-",""))),1,0))</f>
      </c>
      <c r="O337" s="14" t="s">
        <v>349</v>
      </c>
    </row>
    <row r="340">
      <c r="F340" t="s">
        <v>344</v>
      </c>
      <c r="G340" s="19"/>
      <c r="N340" t="s">
        <v>344</v>
      </c>
      <c r="O340" s="19"/>
    </row>
    <row r="341">
      <c r="F341" t="s">
        <v>345</v>
      </c>
      <c r="G341" s="19"/>
      <c r="N341" t="s">
        <v>345</v>
      </c>
      <c r="O341" s="19"/>
    </row>
    <row r="343">
      <c r="A343" s="13" t="s">
        <v>391</v>
      </c>
      <c r="B343" s="13"/>
      <c r="C343" s="13"/>
      <c r="D343" s="13"/>
      <c r="E343" s="13"/>
      <c r="F343" s="13"/>
      <c r="G343" s="13"/>
      <c r="I343" s="13" t="s">
        <v>392</v>
      </c>
      <c r="J343" s="13"/>
      <c r="K343" s="13"/>
      <c r="L343" s="13"/>
      <c r="M343" s="13"/>
      <c r="N343" s="13"/>
      <c r="O343" s="13"/>
    </row>
    <row r="344">
      <c r="A344" s="17" t="s">
        <v>330</v>
      </c>
      <c r="D344" s="14" t="s">
        <v>331</v>
      </c>
      <c r="G344" s="16" t="s">
        <v>332</v>
      </c>
      <c r="I344" s="17" t="s">
        <v>330</v>
      </c>
      <c r="L344" s="14" t="s">
        <v>331</v>
      </c>
      <c r="O344" s="16" t="s">
        <v>332</v>
      </c>
    </row>
    <row r="345">
      <c r="A345" s="14" t="str">
        <f>CONCATENATE("Pool AD-2nd ",'Pool Matches'!O653)</f>
      </c>
      <c r="B345" s="14"/>
      <c r="C345" s="14"/>
      <c r="D345" s="18"/>
      <c r="E345" s="14"/>
      <c r="F345" s="14"/>
      <c r="G345" s="14" t="str">
        <f>CONCATENATE("Pool O-1st ",'Pool Matches'!G652)</f>
      </c>
      <c r="I345" s="14" t="str">
        <f>CONCATENATE("Pool O-2nd ",'Pool Matches'!G653)</f>
      </c>
      <c r="J345" s="14"/>
      <c r="K345" s="14"/>
      <c r="L345" s="18"/>
      <c r="M345" s="14"/>
      <c r="N345" s="14"/>
      <c r="O345" s="14" t="str">
        <f>CONCATENATE("Pool AD-1st ",'Pool Matches'!O652)</f>
      </c>
    </row>
    <row r="346">
      <c r="A346" s="14">
        <v>1</v>
      </c>
      <c r="B346" s="18"/>
      <c r="C346" s="18"/>
      <c r="D346" s="18"/>
      <c r="E346" s="18"/>
      <c r="F346" s="18"/>
      <c r="G346" s="14">
        <v>1</v>
      </c>
      <c r="I346" s="14">
        <v>1</v>
      </c>
      <c r="J346" s="18"/>
      <c r="K346" s="18"/>
      <c r="L346" s="18"/>
      <c r="M346" s="18"/>
      <c r="N346" s="18"/>
      <c r="O346" s="14">
        <v>1</v>
      </c>
    </row>
    <row r="347">
      <c r="A347" s="14">
        <v>2</v>
      </c>
      <c r="B347" s="18"/>
      <c r="C347" s="18"/>
      <c r="D347" s="18"/>
      <c r="E347" s="18"/>
      <c r="F347" s="18"/>
      <c r="G347" s="14">
        <v>2</v>
      </c>
      <c r="I347" s="14">
        <v>2</v>
      </c>
      <c r="J347" s="18"/>
      <c r="K347" s="18"/>
      <c r="L347" s="18"/>
      <c r="M347" s="18"/>
      <c r="N347" s="18"/>
      <c r="O347" s="14">
        <v>2</v>
      </c>
    </row>
    <row r="348">
      <c r="A348" s="14">
        <v>3</v>
      </c>
      <c r="B348" s="18"/>
      <c r="C348" s="18"/>
      <c r="D348" s="18"/>
      <c r="E348" s="18"/>
      <c r="F348" s="18"/>
      <c r="G348" s="14">
        <v>3</v>
      </c>
      <c r="I348" s="14">
        <v>3</v>
      </c>
      <c r="J348" s="18"/>
      <c r="K348" s="18"/>
      <c r="L348" s="18"/>
      <c r="M348" s="18"/>
      <c r="N348" s="18"/>
      <c r="O348" s="14">
        <v>3</v>
      </c>
    </row>
    <row r="349">
      <c r="A349" s="14">
        <v>4</v>
      </c>
      <c r="B349" s="18"/>
      <c r="C349" s="18"/>
      <c r="D349" s="18"/>
      <c r="E349" s="18"/>
      <c r="F349" s="18"/>
      <c r="G349" s="14">
        <v>4</v>
      </c>
      <c r="I349" s="14">
        <v>4</v>
      </c>
      <c r="J349" s="18"/>
      <c r="K349" s="18"/>
      <c r="L349" s="18"/>
      <c r="M349" s="18"/>
      <c r="N349" s="18"/>
      <c r="O349" s="14">
        <v>4</v>
      </c>
    </row>
    <row r="350">
      <c r="A350" s="14">
        <v>5</v>
      </c>
      <c r="B350" s="18"/>
      <c r="C350" s="18"/>
      <c r="D350" s="18"/>
      <c r="E350" s="18"/>
      <c r="F350" s="18"/>
      <c r="G350" s="14">
        <v>5</v>
      </c>
      <c r="I350" s="14">
        <v>5</v>
      </c>
      <c r="J350" s="18"/>
      <c r="K350" s="18"/>
      <c r="L350" s="18"/>
      <c r="M350" s="18"/>
      <c r="N350" s="18"/>
      <c r="O350" s="14">
        <v>5</v>
      </c>
    </row>
    <row r="352">
      <c r="A352" s="14" t="str">
        <f>CONCATENATE("Pool AD-2nd ",'Pool Matches'!O653)</f>
      </c>
      <c r="B352" s="14" t="s">
        <v>338</v>
      </c>
      <c r="C352" s="14" t="s">
        <v>341</v>
      </c>
      <c r="D352" s="14"/>
      <c r="E352" s="14" t="s">
        <v>341</v>
      </c>
      <c r="F352" s="14" t="s">
        <v>338</v>
      </c>
      <c r="G352" s="14" t="str">
        <f>CONCATENATE("Pool O-1st ",'Pool Matches'!G652)</f>
      </c>
      <c r="I352" s="14" t="str">
        <f>CONCATENATE("Pool O-2nd ",'Pool Matches'!G653)</f>
      </c>
      <c r="J352" s="14" t="s">
        <v>338</v>
      </c>
      <c r="K352" s="14" t="s">
        <v>341</v>
      </c>
      <c r="L352" s="14"/>
      <c r="M352" s="14" t="s">
        <v>341</v>
      </c>
      <c r="N352" s="14" t="s">
        <v>338</v>
      </c>
      <c r="O352" s="14" t="str">
        <f>CONCATENATE("Pool AD-1st ",'Pool Matches'!O652)</f>
      </c>
    </row>
    <row r="353">
      <c r="A353" s="14" t="s">
        <v>349</v>
      </c>
      <c r="B353" s="14" t="str">
        <f>IF(UPPER(D346)="X",0,IF((LEN(SUBSTITUTE(SUBSTITUTE(SUBSTITUTE(B346," ",""),"0",""),"-",""))+LEN(SUBSTITUTE(SUBSTITUTE(SUBSTITUTE(C346," ",""),"0",""),"-","")))&gt;(LEN(SUBSTITUTE(SUBSTITUTE(SUBSTITUTE(E346," ",""),"0",""),"-",""))+LEN(SUBSTITUTE(SUBSTITUTE(SUBSTITUTE(F346," ",""),"0",""),"-",""))),1,0))+IF(UPPER(D347)="X",0,IF((LEN(SUBSTITUTE(SUBSTITUTE(SUBSTITUTE(B347," ",""),"0",""),"-",""))+LEN(SUBSTITUTE(SUBSTITUTE(SUBSTITUTE(C347," ",""),"0",""),"-","")))&gt;(LEN(SUBSTITUTE(SUBSTITUTE(SUBSTITUTE(E347," ",""),"0",""),"-",""))+LEN(SUBSTITUTE(SUBSTITUTE(SUBSTITUTE(F347," ",""),"0",""),"-",""))),1,0))+IF(UPPER(D348)="X",0,IF((LEN(SUBSTITUTE(SUBSTITUTE(SUBSTITUTE(B348," ",""),"0",""),"-",""))+LEN(SUBSTITUTE(SUBSTITUTE(SUBSTITUTE(C348," ",""),"0",""),"-","")))&gt;(LEN(SUBSTITUTE(SUBSTITUTE(SUBSTITUTE(E348," ",""),"0",""),"-",""))+LEN(SUBSTITUTE(SUBSTITUTE(SUBSTITUTE(F348," ",""),"0",""),"-",""))),1,0))+IF(UPPER(D349)="X",0,IF((LEN(SUBSTITUTE(SUBSTITUTE(SUBSTITUTE(B349," ",""),"0",""),"-",""))+LEN(SUBSTITUTE(SUBSTITUTE(SUBSTITUTE(C349," ",""),"0",""),"-","")))&gt;(LEN(SUBSTITUTE(SUBSTITUTE(SUBSTITUTE(E349," ",""),"0",""),"-",""))+LEN(SUBSTITUTE(SUBSTITUTE(SUBSTITUTE(F349," ",""),"0",""),"-",""))),1,0))+IF(UPPER(D350)="X",0,IF((LEN(SUBSTITUTE(SUBSTITUTE(SUBSTITUTE(B350," ",""),"0",""),"-",""))+LEN(SUBSTITUTE(SUBSTITUTE(SUBSTITUTE(C350," ",""),"0",""),"-","")))&gt;(LEN(SUBSTITUTE(SUBSTITUTE(SUBSTITUTE(E350," ",""),"0",""),"-",""))+LEN(SUBSTITUTE(SUBSTITUTE(SUBSTITUTE(F350," ",""),"0",""),"-",""))),1,0))</f>
      </c>
      <c r="C353" s="14" t="str">
        <f>LEN(SUBSTITUTE(SUBSTITUTE(SUBSTITUTE(B346," ",""),"0",""),"-",""))+LEN(SUBSTITUTE(SUBSTITUTE(SUBSTITUTE(C346," ",""),"0",""),"-",""))+LEN(SUBSTITUTE(SUBSTITUTE(SUBSTITUTE(B347," ",""),"0",""),"-",""))+LEN(SUBSTITUTE(SUBSTITUTE(SUBSTITUTE(C347," ",""),"0",""),"-",""))+LEN(SUBSTITUTE(SUBSTITUTE(SUBSTITUTE(B348," ",""),"0",""),"-",""))+LEN(SUBSTITUTE(SUBSTITUTE(SUBSTITUTE(C348," ",""),"0",""),"-",""))+LEN(SUBSTITUTE(SUBSTITUTE(SUBSTITUTE(B349," ",""),"0",""),"-",""))+LEN(SUBSTITUTE(SUBSTITUTE(SUBSTITUTE(C349," ",""),"0",""),"-",""))+LEN(SUBSTITUTE(SUBSTITUTE(SUBSTITUTE(B350," ",""),"0",""),"-",""))+LEN(SUBSTITUTE(SUBSTITUTE(SUBSTITUTE(C350," ",""),"0",""),"-",""))</f>
      </c>
      <c r="D353" s="14"/>
      <c r="E353" s="14" t="str">
        <f>LEN(SUBSTITUTE(SUBSTITUTE(SUBSTITUTE(E346," ",""),"0",""),"-",""))+LEN(SUBSTITUTE(SUBSTITUTE(SUBSTITUTE(F346," ",""),"0",""),"-",""))+LEN(SUBSTITUTE(SUBSTITUTE(SUBSTITUTE(E347," ",""),"0",""),"-",""))+LEN(SUBSTITUTE(SUBSTITUTE(SUBSTITUTE(F347," ",""),"0",""),"-",""))+LEN(SUBSTITUTE(SUBSTITUTE(SUBSTITUTE(E348," ",""),"0",""),"-",""))+LEN(SUBSTITUTE(SUBSTITUTE(SUBSTITUTE(F348," ",""),"0",""),"-",""))+LEN(SUBSTITUTE(SUBSTITUTE(SUBSTITUTE(E349," ",""),"0",""),"-",""))+LEN(SUBSTITUTE(SUBSTITUTE(SUBSTITUTE(F349," ",""),"0",""),"-",""))+LEN(SUBSTITUTE(SUBSTITUTE(SUBSTITUTE(E350," ",""),"0",""),"-",""))+LEN(SUBSTITUTE(SUBSTITUTE(SUBSTITUTE(F350," ",""),"0",""),"-",""))</f>
      </c>
      <c r="F353" s="14" t="str">
        <f>IF(UPPER(D346)="X",0,IF((LEN(SUBSTITUTE(SUBSTITUTE(SUBSTITUTE(E346," ",""),"0",""),"-",""))+LEN(SUBSTITUTE(SUBSTITUTE(SUBSTITUTE(F346," ",""),"0",""),"-","")))&gt;(LEN(SUBSTITUTE(SUBSTITUTE(SUBSTITUTE(B346," ",""),"0",""),"-",""))+LEN(SUBSTITUTE(SUBSTITUTE(SUBSTITUTE(C346," ",""),"0",""),"-",""))),1,0))+IF(UPPER(D347)="X",0,IF((LEN(SUBSTITUTE(SUBSTITUTE(SUBSTITUTE(E347," ",""),"0",""),"-",""))+LEN(SUBSTITUTE(SUBSTITUTE(SUBSTITUTE(F347," ",""),"0",""),"-","")))&gt;(LEN(SUBSTITUTE(SUBSTITUTE(SUBSTITUTE(B347," ",""),"0",""),"-",""))+LEN(SUBSTITUTE(SUBSTITUTE(SUBSTITUTE(C347," ",""),"0",""),"-",""))),1,0))+IF(UPPER(D348)="X",0,IF((LEN(SUBSTITUTE(SUBSTITUTE(SUBSTITUTE(E348," ",""),"0",""),"-",""))+LEN(SUBSTITUTE(SUBSTITUTE(SUBSTITUTE(F348," ",""),"0",""),"-","")))&gt;(LEN(SUBSTITUTE(SUBSTITUTE(SUBSTITUTE(B348," ",""),"0",""),"-",""))+LEN(SUBSTITUTE(SUBSTITUTE(SUBSTITUTE(C348," ",""),"0",""),"-",""))),1,0))+IF(UPPER(D349)="X",0,IF((LEN(SUBSTITUTE(SUBSTITUTE(SUBSTITUTE(E349," ",""),"0",""),"-",""))+LEN(SUBSTITUTE(SUBSTITUTE(SUBSTITUTE(F349," ",""),"0",""),"-","")))&gt;(LEN(SUBSTITUTE(SUBSTITUTE(SUBSTITUTE(B349," ",""),"0",""),"-",""))+LEN(SUBSTITUTE(SUBSTITUTE(SUBSTITUTE(C349," ",""),"0",""),"-",""))),1,0))+IF(UPPER(D350)="X",0,IF((LEN(SUBSTITUTE(SUBSTITUTE(SUBSTITUTE(E350," ",""),"0",""),"-",""))+LEN(SUBSTITUTE(SUBSTITUTE(SUBSTITUTE(F350," ",""),"0",""),"-","")))&gt;(LEN(SUBSTITUTE(SUBSTITUTE(SUBSTITUTE(B350," ",""),"0",""),"-",""))+LEN(SUBSTITUTE(SUBSTITUTE(SUBSTITUTE(C350," ",""),"0",""),"-",""))),1,0))</f>
      </c>
      <c r="G353" s="14" t="s">
        <v>349</v>
      </c>
      <c r="I353" s="14" t="s">
        <v>349</v>
      </c>
      <c r="J353" s="14" t="str">
        <f>IF(UPPER(L346)="X",0,IF((LEN(SUBSTITUTE(SUBSTITUTE(SUBSTITUTE(J346," ",""),"0",""),"-",""))+LEN(SUBSTITUTE(SUBSTITUTE(SUBSTITUTE(K346," ",""),"0",""),"-","")))&gt;(LEN(SUBSTITUTE(SUBSTITUTE(SUBSTITUTE(M346," ",""),"0",""),"-",""))+LEN(SUBSTITUTE(SUBSTITUTE(SUBSTITUTE(N346," ",""),"0",""),"-",""))),1,0))+IF(UPPER(L347)="X",0,IF((LEN(SUBSTITUTE(SUBSTITUTE(SUBSTITUTE(J347," ",""),"0",""),"-",""))+LEN(SUBSTITUTE(SUBSTITUTE(SUBSTITUTE(K347," ",""),"0",""),"-","")))&gt;(LEN(SUBSTITUTE(SUBSTITUTE(SUBSTITUTE(M347," ",""),"0",""),"-",""))+LEN(SUBSTITUTE(SUBSTITUTE(SUBSTITUTE(N347," ",""),"0",""),"-",""))),1,0))+IF(UPPER(L348)="X",0,IF((LEN(SUBSTITUTE(SUBSTITUTE(SUBSTITUTE(J348," ",""),"0",""),"-",""))+LEN(SUBSTITUTE(SUBSTITUTE(SUBSTITUTE(K348," ",""),"0",""),"-","")))&gt;(LEN(SUBSTITUTE(SUBSTITUTE(SUBSTITUTE(M348," ",""),"0",""),"-",""))+LEN(SUBSTITUTE(SUBSTITUTE(SUBSTITUTE(N348," ",""),"0",""),"-",""))),1,0))+IF(UPPER(L349)="X",0,IF((LEN(SUBSTITUTE(SUBSTITUTE(SUBSTITUTE(J349," ",""),"0",""),"-",""))+LEN(SUBSTITUTE(SUBSTITUTE(SUBSTITUTE(K349," ",""),"0",""),"-","")))&gt;(LEN(SUBSTITUTE(SUBSTITUTE(SUBSTITUTE(M349," ",""),"0",""),"-",""))+LEN(SUBSTITUTE(SUBSTITUTE(SUBSTITUTE(N349," ",""),"0",""),"-",""))),1,0))+IF(UPPER(L350)="X",0,IF((LEN(SUBSTITUTE(SUBSTITUTE(SUBSTITUTE(J350," ",""),"0",""),"-",""))+LEN(SUBSTITUTE(SUBSTITUTE(SUBSTITUTE(K350," ",""),"0",""),"-","")))&gt;(LEN(SUBSTITUTE(SUBSTITUTE(SUBSTITUTE(M350," ",""),"0",""),"-",""))+LEN(SUBSTITUTE(SUBSTITUTE(SUBSTITUTE(N350," ",""),"0",""),"-",""))),1,0))</f>
      </c>
      <c r="K353" s="14" t="str">
        <f>LEN(SUBSTITUTE(SUBSTITUTE(SUBSTITUTE(J346," ",""),"0",""),"-",""))+LEN(SUBSTITUTE(SUBSTITUTE(SUBSTITUTE(K346," ",""),"0",""),"-",""))+LEN(SUBSTITUTE(SUBSTITUTE(SUBSTITUTE(J347," ",""),"0",""),"-",""))+LEN(SUBSTITUTE(SUBSTITUTE(SUBSTITUTE(K347," ",""),"0",""),"-",""))+LEN(SUBSTITUTE(SUBSTITUTE(SUBSTITUTE(J348," ",""),"0",""),"-",""))+LEN(SUBSTITUTE(SUBSTITUTE(SUBSTITUTE(K348," ",""),"0",""),"-",""))+LEN(SUBSTITUTE(SUBSTITUTE(SUBSTITUTE(J349," ",""),"0",""),"-",""))+LEN(SUBSTITUTE(SUBSTITUTE(SUBSTITUTE(K349," ",""),"0",""),"-",""))+LEN(SUBSTITUTE(SUBSTITUTE(SUBSTITUTE(J350," ",""),"0",""),"-",""))+LEN(SUBSTITUTE(SUBSTITUTE(SUBSTITUTE(K350," ",""),"0",""),"-",""))</f>
      </c>
      <c r="L353" s="14"/>
      <c r="M353" s="14" t="str">
        <f>LEN(SUBSTITUTE(SUBSTITUTE(SUBSTITUTE(M346," ",""),"0",""),"-",""))+LEN(SUBSTITUTE(SUBSTITUTE(SUBSTITUTE(N346," ",""),"0",""),"-",""))+LEN(SUBSTITUTE(SUBSTITUTE(SUBSTITUTE(M347," ",""),"0",""),"-",""))+LEN(SUBSTITUTE(SUBSTITUTE(SUBSTITUTE(N347," ",""),"0",""),"-",""))+LEN(SUBSTITUTE(SUBSTITUTE(SUBSTITUTE(M348," ",""),"0",""),"-",""))+LEN(SUBSTITUTE(SUBSTITUTE(SUBSTITUTE(N348," ",""),"0",""),"-",""))+LEN(SUBSTITUTE(SUBSTITUTE(SUBSTITUTE(M349," ",""),"0",""),"-",""))+LEN(SUBSTITUTE(SUBSTITUTE(SUBSTITUTE(N349," ",""),"0",""),"-",""))+LEN(SUBSTITUTE(SUBSTITUTE(SUBSTITUTE(M350," ",""),"0",""),"-",""))+LEN(SUBSTITUTE(SUBSTITUTE(SUBSTITUTE(N350," ",""),"0",""),"-",""))</f>
      </c>
      <c r="N353" s="14" t="str">
        <f>IF(UPPER(L346)="X",0,IF((LEN(SUBSTITUTE(SUBSTITUTE(SUBSTITUTE(M346," ",""),"0",""),"-",""))+LEN(SUBSTITUTE(SUBSTITUTE(SUBSTITUTE(N346," ",""),"0",""),"-","")))&gt;(LEN(SUBSTITUTE(SUBSTITUTE(SUBSTITUTE(J346," ",""),"0",""),"-",""))+LEN(SUBSTITUTE(SUBSTITUTE(SUBSTITUTE(K346," ",""),"0",""),"-",""))),1,0))+IF(UPPER(L347)="X",0,IF((LEN(SUBSTITUTE(SUBSTITUTE(SUBSTITUTE(M347," ",""),"0",""),"-",""))+LEN(SUBSTITUTE(SUBSTITUTE(SUBSTITUTE(N347," ",""),"0",""),"-","")))&gt;(LEN(SUBSTITUTE(SUBSTITUTE(SUBSTITUTE(J347," ",""),"0",""),"-",""))+LEN(SUBSTITUTE(SUBSTITUTE(SUBSTITUTE(K347," ",""),"0",""),"-",""))),1,0))+IF(UPPER(L348)="X",0,IF((LEN(SUBSTITUTE(SUBSTITUTE(SUBSTITUTE(M348," ",""),"0",""),"-",""))+LEN(SUBSTITUTE(SUBSTITUTE(SUBSTITUTE(N348," ",""),"0",""),"-","")))&gt;(LEN(SUBSTITUTE(SUBSTITUTE(SUBSTITUTE(J348," ",""),"0",""),"-",""))+LEN(SUBSTITUTE(SUBSTITUTE(SUBSTITUTE(K348," ",""),"0",""),"-",""))),1,0))+IF(UPPER(L349)="X",0,IF((LEN(SUBSTITUTE(SUBSTITUTE(SUBSTITUTE(M349," ",""),"0",""),"-",""))+LEN(SUBSTITUTE(SUBSTITUTE(SUBSTITUTE(N349," ",""),"0",""),"-","")))&gt;(LEN(SUBSTITUTE(SUBSTITUTE(SUBSTITUTE(J349," ",""),"0",""),"-",""))+LEN(SUBSTITUTE(SUBSTITUTE(SUBSTITUTE(K349," ",""),"0",""),"-",""))),1,0))+IF(UPPER(L350)="X",0,IF((LEN(SUBSTITUTE(SUBSTITUTE(SUBSTITUTE(M350," ",""),"0",""),"-",""))+LEN(SUBSTITUTE(SUBSTITUTE(SUBSTITUTE(N350," ",""),"0",""),"-","")))&gt;(LEN(SUBSTITUTE(SUBSTITUTE(SUBSTITUTE(J350," ",""),"0",""),"-",""))+LEN(SUBSTITUTE(SUBSTITUTE(SUBSTITUTE(K350," ",""),"0",""),"-",""))),1,0))</f>
      </c>
      <c r="O353" s="14" t="s">
        <v>349</v>
      </c>
    </row>
    <row r="356">
      <c r="F356" t="s">
        <v>344</v>
      </c>
      <c r="G356" s="19"/>
      <c r="N356" t="s">
        <v>344</v>
      </c>
      <c r="O356" s="19"/>
    </row>
    <row r="357">
      <c r="F357" t="s">
        <v>345</v>
      </c>
      <c r="G357" s="19"/>
      <c r="N357" t="s">
        <v>345</v>
      </c>
      <c r="O357" s="19"/>
    </row>
    <row r="364">
      <c r="A364" s="13" t="s">
        <v>393</v>
      </c>
      <c r="B364" s="13"/>
      <c r="C364" s="13"/>
      <c r="D364" s="13"/>
      <c r="E364" s="13"/>
      <c r="F364" s="13"/>
      <c r="G364" s="13"/>
      <c r="I364" s="13" t="s">
        <v>394</v>
      </c>
      <c r="J364" s="13"/>
      <c r="K364" s="13"/>
      <c r="L364" s="13"/>
      <c r="M364" s="13"/>
      <c r="N364" s="13"/>
      <c r="O364" s="13"/>
    </row>
    <row r="365">
      <c r="A365" s="17" t="s">
        <v>330</v>
      </c>
      <c r="D365" s="14" t="s">
        <v>331</v>
      </c>
      <c r="G365" s="16" t="s">
        <v>332</v>
      </c>
      <c r="I365" s="17" t="s">
        <v>330</v>
      </c>
      <c r="L365" s="14" t="s">
        <v>331</v>
      </c>
      <c r="O365" s="16" t="s">
        <v>332</v>
      </c>
    </row>
    <row r="366">
      <c r="A366" s="14" t="str">
        <f>CONCATENATE("M 30 ",G260)</f>
      </c>
      <c r="B366" s="14"/>
      <c r="C366" s="14"/>
      <c r="D366" s="18"/>
      <c r="E366" s="14"/>
      <c r="F366" s="14"/>
      <c r="G366" s="14" t="str">
        <f>CONCATENATE("M 29 ",G244)</f>
      </c>
      <c r="I366" s="14" t="str">
        <f>CONCATENATE("M 38 ",O260)</f>
      </c>
      <c r="J366" s="14"/>
      <c r="K366" s="14"/>
      <c r="L366" s="18"/>
      <c r="M366" s="14"/>
      <c r="N366" s="14"/>
      <c r="O366" s="14" t="str">
        <f>CONCATENATE("M 37 ",O244)</f>
      </c>
    </row>
    <row r="367">
      <c r="A367" s="14">
        <v>1</v>
      </c>
      <c r="B367" s="18"/>
      <c r="C367" s="18"/>
      <c r="D367" s="18"/>
      <c r="E367" s="18"/>
      <c r="F367" s="18"/>
      <c r="G367" s="14">
        <v>1</v>
      </c>
      <c r="I367" s="14">
        <v>1</v>
      </c>
      <c r="J367" s="18"/>
      <c r="K367" s="18"/>
      <c r="L367" s="18"/>
      <c r="M367" s="18"/>
      <c r="N367" s="18"/>
      <c r="O367" s="14">
        <v>1</v>
      </c>
    </row>
    <row r="368">
      <c r="A368" s="14">
        <v>2</v>
      </c>
      <c r="B368" s="18"/>
      <c r="C368" s="18"/>
      <c r="D368" s="18"/>
      <c r="E368" s="18"/>
      <c r="F368" s="18"/>
      <c r="G368" s="14">
        <v>2</v>
      </c>
      <c r="I368" s="14">
        <v>2</v>
      </c>
      <c r="J368" s="18"/>
      <c r="K368" s="18"/>
      <c r="L368" s="18"/>
      <c r="M368" s="18"/>
      <c r="N368" s="18"/>
      <c r="O368" s="14">
        <v>2</v>
      </c>
    </row>
    <row r="369">
      <c r="A369" s="14">
        <v>3</v>
      </c>
      <c r="B369" s="18"/>
      <c r="C369" s="18"/>
      <c r="D369" s="18"/>
      <c r="E369" s="18"/>
      <c r="F369" s="18"/>
      <c r="G369" s="14">
        <v>3</v>
      </c>
      <c r="I369" s="14">
        <v>3</v>
      </c>
      <c r="J369" s="18"/>
      <c r="K369" s="18"/>
      <c r="L369" s="18"/>
      <c r="M369" s="18"/>
      <c r="N369" s="18"/>
      <c r="O369" s="14">
        <v>3</v>
      </c>
    </row>
    <row r="370">
      <c r="A370" s="14">
        <v>4</v>
      </c>
      <c r="B370" s="18"/>
      <c r="C370" s="18"/>
      <c r="D370" s="18"/>
      <c r="E370" s="18"/>
      <c r="F370" s="18"/>
      <c r="G370" s="14">
        <v>4</v>
      </c>
      <c r="I370" s="14">
        <v>4</v>
      </c>
      <c r="J370" s="18"/>
      <c r="K370" s="18"/>
      <c r="L370" s="18"/>
      <c r="M370" s="18"/>
      <c r="N370" s="18"/>
      <c r="O370" s="14">
        <v>4</v>
      </c>
    </row>
    <row r="371">
      <c r="A371" s="14">
        <v>5</v>
      </c>
      <c r="B371" s="18"/>
      <c r="C371" s="18"/>
      <c r="D371" s="18"/>
      <c r="E371" s="18"/>
      <c r="F371" s="18"/>
      <c r="G371" s="14">
        <v>5</v>
      </c>
      <c r="I371" s="14">
        <v>5</v>
      </c>
      <c r="J371" s="18"/>
      <c r="K371" s="18"/>
      <c r="L371" s="18"/>
      <c r="M371" s="18"/>
      <c r="N371" s="18"/>
      <c r="O371" s="14">
        <v>5</v>
      </c>
    </row>
    <row r="373">
      <c r="A373" s="14" t="str">
        <f>CONCATENATE("M 30 ",G260)</f>
      </c>
      <c r="B373" s="14" t="s">
        <v>338</v>
      </c>
      <c r="C373" s="14" t="s">
        <v>341</v>
      </c>
      <c r="D373" s="14"/>
      <c r="E373" s="14" t="s">
        <v>341</v>
      </c>
      <c r="F373" s="14" t="s">
        <v>338</v>
      </c>
      <c r="G373" s="14" t="str">
        <f>CONCATENATE("M 29 ",G244)</f>
      </c>
      <c r="I373" s="14" t="str">
        <f>CONCATENATE("M 38 ",O260)</f>
      </c>
      <c r="J373" s="14" t="s">
        <v>338</v>
      </c>
      <c r="K373" s="14" t="s">
        <v>341</v>
      </c>
      <c r="L373" s="14"/>
      <c r="M373" s="14" t="s">
        <v>341</v>
      </c>
      <c r="N373" s="14" t="s">
        <v>338</v>
      </c>
      <c r="O373" s="14" t="str">
        <f>CONCATENATE("M 37 ",O244)</f>
      </c>
    </row>
    <row r="374">
      <c r="A374" s="14" t="s">
        <v>349</v>
      </c>
      <c r="B374" s="14" t="str">
        <f>IF(UPPER(D367)="X",0,IF((LEN(SUBSTITUTE(SUBSTITUTE(SUBSTITUTE(B367," ",""),"0",""),"-",""))+LEN(SUBSTITUTE(SUBSTITUTE(SUBSTITUTE(C367," ",""),"0",""),"-","")))&gt;(LEN(SUBSTITUTE(SUBSTITUTE(SUBSTITUTE(E367," ",""),"0",""),"-",""))+LEN(SUBSTITUTE(SUBSTITUTE(SUBSTITUTE(F367," ",""),"0",""),"-",""))),1,0))+IF(UPPER(D368)="X",0,IF((LEN(SUBSTITUTE(SUBSTITUTE(SUBSTITUTE(B368," ",""),"0",""),"-",""))+LEN(SUBSTITUTE(SUBSTITUTE(SUBSTITUTE(C368," ",""),"0",""),"-","")))&gt;(LEN(SUBSTITUTE(SUBSTITUTE(SUBSTITUTE(E368," ",""),"0",""),"-",""))+LEN(SUBSTITUTE(SUBSTITUTE(SUBSTITUTE(F368," ",""),"0",""),"-",""))),1,0))+IF(UPPER(D369)="X",0,IF((LEN(SUBSTITUTE(SUBSTITUTE(SUBSTITUTE(B369," ",""),"0",""),"-",""))+LEN(SUBSTITUTE(SUBSTITUTE(SUBSTITUTE(C369," ",""),"0",""),"-","")))&gt;(LEN(SUBSTITUTE(SUBSTITUTE(SUBSTITUTE(E369," ",""),"0",""),"-",""))+LEN(SUBSTITUTE(SUBSTITUTE(SUBSTITUTE(F369," ",""),"0",""),"-",""))),1,0))+IF(UPPER(D370)="X",0,IF((LEN(SUBSTITUTE(SUBSTITUTE(SUBSTITUTE(B370," ",""),"0",""),"-",""))+LEN(SUBSTITUTE(SUBSTITUTE(SUBSTITUTE(C370," ",""),"0",""),"-","")))&gt;(LEN(SUBSTITUTE(SUBSTITUTE(SUBSTITUTE(E370," ",""),"0",""),"-",""))+LEN(SUBSTITUTE(SUBSTITUTE(SUBSTITUTE(F370," ",""),"0",""),"-",""))),1,0))+IF(UPPER(D371)="X",0,IF((LEN(SUBSTITUTE(SUBSTITUTE(SUBSTITUTE(B371," ",""),"0",""),"-",""))+LEN(SUBSTITUTE(SUBSTITUTE(SUBSTITUTE(C371," ",""),"0",""),"-","")))&gt;(LEN(SUBSTITUTE(SUBSTITUTE(SUBSTITUTE(E371," ",""),"0",""),"-",""))+LEN(SUBSTITUTE(SUBSTITUTE(SUBSTITUTE(F371," ",""),"0",""),"-",""))),1,0))</f>
      </c>
      <c r="C374" s="14" t="str">
        <f>LEN(SUBSTITUTE(SUBSTITUTE(SUBSTITUTE(B367," ",""),"0",""),"-",""))+LEN(SUBSTITUTE(SUBSTITUTE(SUBSTITUTE(C367," ",""),"0",""),"-",""))+LEN(SUBSTITUTE(SUBSTITUTE(SUBSTITUTE(B368," ",""),"0",""),"-",""))+LEN(SUBSTITUTE(SUBSTITUTE(SUBSTITUTE(C368," ",""),"0",""),"-",""))+LEN(SUBSTITUTE(SUBSTITUTE(SUBSTITUTE(B369," ",""),"0",""),"-",""))+LEN(SUBSTITUTE(SUBSTITUTE(SUBSTITUTE(C369," ",""),"0",""),"-",""))+LEN(SUBSTITUTE(SUBSTITUTE(SUBSTITUTE(B370," ",""),"0",""),"-",""))+LEN(SUBSTITUTE(SUBSTITUTE(SUBSTITUTE(C370," ",""),"0",""),"-",""))+LEN(SUBSTITUTE(SUBSTITUTE(SUBSTITUTE(B371," ",""),"0",""),"-",""))+LEN(SUBSTITUTE(SUBSTITUTE(SUBSTITUTE(C371," ",""),"0",""),"-",""))</f>
      </c>
      <c r="D374" s="14"/>
      <c r="E374" s="14" t="str">
        <f>LEN(SUBSTITUTE(SUBSTITUTE(SUBSTITUTE(E367," ",""),"0",""),"-",""))+LEN(SUBSTITUTE(SUBSTITUTE(SUBSTITUTE(F367," ",""),"0",""),"-",""))+LEN(SUBSTITUTE(SUBSTITUTE(SUBSTITUTE(E368," ",""),"0",""),"-",""))+LEN(SUBSTITUTE(SUBSTITUTE(SUBSTITUTE(F368," ",""),"0",""),"-",""))+LEN(SUBSTITUTE(SUBSTITUTE(SUBSTITUTE(E369," ",""),"0",""),"-",""))+LEN(SUBSTITUTE(SUBSTITUTE(SUBSTITUTE(F369," ",""),"0",""),"-",""))+LEN(SUBSTITUTE(SUBSTITUTE(SUBSTITUTE(E370," ",""),"0",""),"-",""))+LEN(SUBSTITUTE(SUBSTITUTE(SUBSTITUTE(F370," ",""),"0",""),"-",""))+LEN(SUBSTITUTE(SUBSTITUTE(SUBSTITUTE(E371," ",""),"0",""),"-",""))+LEN(SUBSTITUTE(SUBSTITUTE(SUBSTITUTE(F371," ",""),"0",""),"-",""))</f>
      </c>
      <c r="F374" s="14" t="str">
        <f>IF(UPPER(D367)="X",0,IF((LEN(SUBSTITUTE(SUBSTITUTE(SUBSTITUTE(E367," ",""),"0",""),"-",""))+LEN(SUBSTITUTE(SUBSTITUTE(SUBSTITUTE(F367," ",""),"0",""),"-","")))&gt;(LEN(SUBSTITUTE(SUBSTITUTE(SUBSTITUTE(B367," ",""),"0",""),"-",""))+LEN(SUBSTITUTE(SUBSTITUTE(SUBSTITUTE(C367," ",""),"0",""),"-",""))),1,0))+IF(UPPER(D368)="X",0,IF((LEN(SUBSTITUTE(SUBSTITUTE(SUBSTITUTE(E368," ",""),"0",""),"-",""))+LEN(SUBSTITUTE(SUBSTITUTE(SUBSTITUTE(F368," ",""),"0",""),"-","")))&gt;(LEN(SUBSTITUTE(SUBSTITUTE(SUBSTITUTE(B368," ",""),"0",""),"-",""))+LEN(SUBSTITUTE(SUBSTITUTE(SUBSTITUTE(C368," ",""),"0",""),"-",""))),1,0))+IF(UPPER(D369)="X",0,IF((LEN(SUBSTITUTE(SUBSTITUTE(SUBSTITUTE(E369," ",""),"0",""),"-",""))+LEN(SUBSTITUTE(SUBSTITUTE(SUBSTITUTE(F369," ",""),"0",""),"-","")))&gt;(LEN(SUBSTITUTE(SUBSTITUTE(SUBSTITUTE(B369," ",""),"0",""),"-",""))+LEN(SUBSTITUTE(SUBSTITUTE(SUBSTITUTE(C369," ",""),"0",""),"-",""))),1,0))+IF(UPPER(D370)="X",0,IF((LEN(SUBSTITUTE(SUBSTITUTE(SUBSTITUTE(E370," ",""),"0",""),"-",""))+LEN(SUBSTITUTE(SUBSTITUTE(SUBSTITUTE(F370," ",""),"0",""),"-","")))&gt;(LEN(SUBSTITUTE(SUBSTITUTE(SUBSTITUTE(B370," ",""),"0",""),"-",""))+LEN(SUBSTITUTE(SUBSTITUTE(SUBSTITUTE(C370," ",""),"0",""),"-",""))),1,0))+IF(UPPER(D371)="X",0,IF((LEN(SUBSTITUTE(SUBSTITUTE(SUBSTITUTE(E371," ",""),"0",""),"-",""))+LEN(SUBSTITUTE(SUBSTITUTE(SUBSTITUTE(F371," ",""),"0",""),"-","")))&gt;(LEN(SUBSTITUTE(SUBSTITUTE(SUBSTITUTE(B371," ",""),"0",""),"-",""))+LEN(SUBSTITUTE(SUBSTITUTE(SUBSTITUTE(C371," ",""),"0",""),"-",""))),1,0))</f>
      </c>
      <c r="G374" s="14" t="s">
        <v>349</v>
      </c>
      <c r="I374" s="14" t="s">
        <v>349</v>
      </c>
      <c r="J374" s="14" t="str">
        <f>IF(UPPER(L367)="X",0,IF((LEN(SUBSTITUTE(SUBSTITUTE(SUBSTITUTE(J367," ",""),"0",""),"-",""))+LEN(SUBSTITUTE(SUBSTITUTE(SUBSTITUTE(K367," ",""),"0",""),"-","")))&gt;(LEN(SUBSTITUTE(SUBSTITUTE(SUBSTITUTE(M367," ",""),"0",""),"-",""))+LEN(SUBSTITUTE(SUBSTITUTE(SUBSTITUTE(N367," ",""),"0",""),"-",""))),1,0))+IF(UPPER(L368)="X",0,IF((LEN(SUBSTITUTE(SUBSTITUTE(SUBSTITUTE(J368," ",""),"0",""),"-",""))+LEN(SUBSTITUTE(SUBSTITUTE(SUBSTITUTE(K368," ",""),"0",""),"-","")))&gt;(LEN(SUBSTITUTE(SUBSTITUTE(SUBSTITUTE(M368," ",""),"0",""),"-",""))+LEN(SUBSTITUTE(SUBSTITUTE(SUBSTITUTE(N368," ",""),"0",""),"-",""))),1,0))+IF(UPPER(L369)="X",0,IF((LEN(SUBSTITUTE(SUBSTITUTE(SUBSTITUTE(J369," ",""),"0",""),"-",""))+LEN(SUBSTITUTE(SUBSTITUTE(SUBSTITUTE(K369," ",""),"0",""),"-","")))&gt;(LEN(SUBSTITUTE(SUBSTITUTE(SUBSTITUTE(M369," ",""),"0",""),"-",""))+LEN(SUBSTITUTE(SUBSTITUTE(SUBSTITUTE(N369," ",""),"0",""),"-",""))),1,0))+IF(UPPER(L370)="X",0,IF((LEN(SUBSTITUTE(SUBSTITUTE(SUBSTITUTE(J370," ",""),"0",""),"-",""))+LEN(SUBSTITUTE(SUBSTITUTE(SUBSTITUTE(K370," ",""),"0",""),"-","")))&gt;(LEN(SUBSTITUTE(SUBSTITUTE(SUBSTITUTE(M370," ",""),"0",""),"-",""))+LEN(SUBSTITUTE(SUBSTITUTE(SUBSTITUTE(N370," ",""),"0",""),"-",""))),1,0))+IF(UPPER(L371)="X",0,IF((LEN(SUBSTITUTE(SUBSTITUTE(SUBSTITUTE(J371," ",""),"0",""),"-",""))+LEN(SUBSTITUTE(SUBSTITUTE(SUBSTITUTE(K371," ",""),"0",""),"-","")))&gt;(LEN(SUBSTITUTE(SUBSTITUTE(SUBSTITUTE(M371," ",""),"0",""),"-",""))+LEN(SUBSTITUTE(SUBSTITUTE(SUBSTITUTE(N371," ",""),"0",""),"-",""))),1,0))</f>
      </c>
      <c r="K374" s="14" t="str">
        <f>LEN(SUBSTITUTE(SUBSTITUTE(SUBSTITUTE(J367," ",""),"0",""),"-",""))+LEN(SUBSTITUTE(SUBSTITUTE(SUBSTITUTE(K367," ",""),"0",""),"-",""))+LEN(SUBSTITUTE(SUBSTITUTE(SUBSTITUTE(J368," ",""),"0",""),"-",""))+LEN(SUBSTITUTE(SUBSTITUTE(SUBSTITUTE(K368," ",""),"0",""),"-",""))+LEN(SUBSTITUTE(SUBSTITUTE(SUBSTITUTE(J369," ",""),"0",""),"-",""))+LEN(SUBSTITUTE(SUBSTITUTE(SUBSTITUTE(K369," ",""),"0",""),"-",""))+LEN(SUBSTITUTE(SUBSTITUTE(SUBSTITUTE(J370," ",""),"0",""),"-",""))+LEN(SUBSTITUTE(SUBSTITUTE(SUBSTITUTE(K370," ",""),"0",""),"-",""))+LEN(SUBSTITUTE(SUBSTITUTE(SUBSTITUTE(J371," ",""),"0",""),"-",""))+LEN(SUBSTITUTE(SUBSTITUTE(SUBSTITUTE(K371," ",""),"0",""),"-",""))</f>
      </c>
      <c r="L374" s="14"/>
      <c r="M374" s="14" t="str">
        <f>LEN(SUBSTITUTE(SUBSTITUTE(SUBSTITUTE(M367," ",""),"0",""),"-",""))+LEN(SUBSTITUTE(SUBSTITUTE(SUBSTITUTE(N367," ",""),"0",""),"-",""))+LEN(SUBSTITUTE(SUBSTITUTE(SUBSTITUTE(M368," ",""),"0",""),"-",""))+LEN(SUBSTITUTE(SUBSTITUTE(SUBSTITUTE(N368," ",""),"0",""),"-",""))+LEN(SUBSTITUTE(SUBSTITUTE(SUBSTITUTE(M369," ",""),"0",""),"-",""))+LEN(SUBSTITUTE(SUBSTITUTE(SUBSTITUTE(N369," ",""),"0",""),"-",""))+LEN(SUBSTITUTE(SUBSTITUTE(SUBSTITUTE(M370," ",""),"0",""),"-",""))+LEN(SUBSTITUTE(SUBSTITUTE(SUBSTITUTE(N370," ",""),"0",""),"-",""))+LEN(SUBSTITUTE(SUBSTITUTE(SUBSTITUTE(M371," ",""),"0",""),"-",""))+LEN(SUBSTITUTE(SUBSTITUTE(SUBSTITUTE(N371," ",""),"0",""),"-",""))</f>
      </c>
      <c r="N374" s="14" t="str">
        <f>IF(UPPER(L367)="X",0,IF((LEN(SUBSTITUTE(SUBSTITUTE(SUBSTITUTE(M367," ",""),"0",""),"-",""))+LEN(SUBSTITUTE(SUBSTITUTE(SUBSTITUTE(N367," ",""),"0",""),"-","")))&gt;(LEN(SUBSTITUTE(SUBSTITUTE(SUBSTITUTE(J367," ",""),"0",""),"-",""))+LEN(SUBSTITUTE(SUBSTITUTE(SUBSTITUTE(K367," ",""),"0",""),"-",""))),1,0))+IF(UPPER(L368)="X",0,IF((LEN(SUBSTITUTE(SUBSTITUTE(SUBSTITUTE(M368," ",""),"0",""),"-",""))+LEN(SUBSTITUTE(SUBSTITUTE(SUBSTITUTE(N368," ",""),"0",""),"-","")))&gt;(LEN(SUBSTITUTE(SUBSTITUTE(SUBSTITUTE(J368," ",""),"0",""),"-",""))+LEN(SUBSTITUTE(SUBSTITUTE(SUBSTITUTE(K368," ",""),"0",""),"-",""))),1,0))+IF(UPPER(L369)="X",0,IF((LEN(SUBSTITUTE(SUBSTITUTE(SUBSTITUTE(M369," ",""),"0",""),"-",""))+LEN(SUBSTITUTE(SUBSTITUTE(SUBSTITUTE(N369," ",""),"0",""),"-","")))&gt;(LEN(SUBSTITUTE(SUBSTITUTE(SUBSTITUTE(J369," ",""),"0",""),"-",""))+LEN(SUBSTITUTE(SUBSTITUTE(SUBSTITUTE(K369," ",""),"0",""),"-",""))),1,0))+IF(UPPER(L370)="X",0,IF((LEN(SUBSTITUTE(SUBSTITUTE(SUBSTITUTE(M370," ",""),"0",""),"-",""))+LEN(SUBSTITUTE(SUBSTITUTE(SUBSTITUTE(N370," ",""),"0",""),"-","")))&gt;(LEN(SUBSTITUTE(SUBSTITUTE(SUBSTITUTE(J370," ",""),"0",""),"-",""))+LEN(SUBSTITUTE(SUBSTITUTE(SUBSTITUTE(K370," ",""),"0",""),"-",""))),1,0))+IF(UPPER(L371)="X",0,IF((LEN(SUBSTITUTE(SUBSTITUTE(SUBSTITUTE(M371," ",""),"0",""),"-",""))+LEN(SUBSTITUTE(SUBSTITUTE(SUBSTITUTE(N371," ",""),"0",""),"-","")))&gt;(LEN(SUBSTITUTE(SUBSTITUTE(SUBSTITUTE(J371," ",""),"0",""),"-",""))+LEN(SUBSTITUTE(SUBSTITUTE(SUBSTITUTE(K371," ",""),"0",""),"-",""))),1,0))</f>
      </c>
      <c r="O374" s="14" t="s">
        <v>349</v>
      </c>
    </row>
    <row r="377">
      <c r="F377" t="s">
        <v>344</v>
      </c>
      <c r="G377" s="19"/>
      <c r="N377" t="s">
        <v>344</v>
      </c>
      <c r="O377" s="19"/>
    </row>
    <row r="378">
      <c r="F378" t="s">
        <v>345</v>
      </c>
      <c r="G378" s="19"/>
      <c r="N378" t="s">
        <v>345</v>
      </c>
      <c r="O378" s="19"/>
    </row>
    <row r="380">
      <c r="A380" s="13" t="s">
        <v>395</v>
      </c>
      <c r="B380" s="13"/>
      <c r="C380" s="13"/>
      <c r="D380" s="13"/>
      <c r="E380" s="13"/>
      <c r="F380" s="13"/>
      <c r="G380" s="13"/>
      <c r="I380" s="13" t="s">
        <v>396</v>
      </c>
      <c r="J380" s="13"/>
      <c r="K380" s="13"/>
      <c r="L380" s="13"/>
      <c r="M380" s="13"/>
      <c r="N380" s="13"/>
      <c r="O380" s="13"/>
    </row>
    <row r="381">
      <c r="A381" s="17" t="s">
        <v>330</v>
      </c>
      <c r="D381" s="14" t="s">
        <v>331</v>
      </c>
      <c r="G381" s="16" t="s">
        <v>332</v>
      </c>
      <c r="I381" s="17" t="s">
        <v>330</v>
      </c>
      <c r="L381" s="14" t="s">
        <v>331</v>
      </c>
      <c r="O381" s="16" t="s">
        <v>332</v>
      </c>
    </row>
    <row r="382">
      <c r="A382" s="14" t="str">
        <f>CONCATENATE("M 32 ",G292)</f>
      </c>
      <c r="B382" s="14"/>
      <c r="C382" s="14"/>
      <c r="D382" s="18"/>
      <c r="E382" s="14"/>
      <c r="F382" s="14"/>
      <c r="G382" s="14" t="str">
        <f>CONCATENATE("M 31 ",G276)</f>
      </c>
      <c r="I382" s="14" t="str">
        <f>CONCATENATE("M 40 ",O292)</f>
      </c>
      <c r="J382" s="14"/>
      <c r="K382" s="14"/>
      <c r="L382" s="18"/>
      <c r="M382" s="14"/>
      <c r="N382" s="14"/>
      <c r="O382" s="14" t="str">
        <f>CONCATENATE("M 39 ",O276)</f>
      </c>
    </row>
    <row r="383">
      <c r="A383" s="14">
        <v>1</v>
      </c>
      <c r="B383" s="18"/>
      <c r="C383" s="18"/>
      <c r="D383" s="18"/>
      <c r="E383" s="18"/>
      <c r="F383" s="18"/>
      <c r="G383" s="14">
        <v>1</v>
      </c>
      <c r="I383" s="14">
        <v>1</v>
      </c>
      <c r="J383" s="18"/>
      <c r="K383" s="18"/>
      <c r="L383" s="18"/>
      <c r="M383" s="18"/>
      <c r="N383" s="18"/>
      <c r="O383" s="14">
        <v>1</v>
      </c>
    </row>
    <row r="384">
      <c r="A384" s="14">
        <v>2</v>
      </c>
      <c r="B384" s="18"/>
      <c r="C384" s="18"/>
      <c r="D384" s="18"/>
      <c r="E384" s="18"/>
      <c r="F384" s="18"/>
      <c r="G384" s="14">
        <v>2</v>
      </c>
      <c r="I384" s="14">
        <v>2</v>
      </c>
      <c r="J384" s="18"/>
      <c r="K384" s="18"/>
      <c r="L384" s="18"/>
      <c r="M384" s="18"/>
      <c r="N384" s="18"/>
      <c r="O384" s="14">
        <v>2</v>
      </c>
    </row>
    <row r="385">
      <c r="A385" s="14">
        <v>3</v>
      </c>
      <c r="B385" s="18"/>
      <c r="C385" s="18"/>
      <c r="D385" s="18"/>
      <c r="E385" s="18"/>
      <c r="F385" s="18"/>
      <c r="G385" s="14">
        <v>3</v>
      </c>
      <c r="I385" s="14">
        <v>3</v>
      </c>
      <c r="J385" s="18"/>
      <c r="K385" s="18"/>
      <c r="L385" s="18"/>
      <c r="M385" s="18"/>
      <c r="N385" s="18"/>
      <c r="O385" s="14">
        <v>3</v>
      </c>
    </row>
    <row r="386">
      <c r="A386" s="14">
        <v>4</v>
      </c>
      <c r="B386" s="18"/>
      <c r="C386" s="18"/>
      <c r="D386" s="18"/>
      <c r="E386" s="18"/>
      <c r="F386" s="18"/>
      <c r="G386" s="14">
        <v>4</v>
      </c>
      <c r="I386" s="14">
        <v>4</v>
      </c>
      <c r="J386" s="18"/>
      <c r="K386" s="18"/>
      <c r="L386" s="18"/>
      <c r="M386" s="18"/>
      <c r="N386" s="18"/>
      <c r="O386" s="14">
        <v>4</v>
      </c>
    </row>
    <row r="387">
      <c r="A387" s="14">
        <v>5</v>
      </c>
      <c r="B387" s="18"/>
      <c r="C387" s="18"/>
      <c r="D387" s="18"/>
      <c r="E387" s="18"/>
      <c r="F387" s="18"/>
      <c r="G387" s="14">
        <v>5</v>
      </c>
      <c r="I387" s="14">
        <v>5</v>
      </c>
      <c r="J387" s="18"/>
      <c r="K387" s="18"/>
      <c r="L387" s="18"/>
      <c r="M387" s="18"/>
      <c r="N387" s="18"/>
      <c r="O387" s="14">
        <v>5</v>
      </c>
    </row>
    <row r="389">
      <c r="A389" s="14" t="str">
        <f>CONCATENATE("M 32 ",G292)</f>
      </c>
      <c r="B389" s="14" t="s">
        <v>338</v>
      </c>
      <c r="C389" s="14" t="s">
        <v>341</v>
      </c>
      <c r="D389" s="14"/>
      <c r="E389" s="14" t="s">
        <v>341</v>
      </c>
      <c r="F389" s="14" t="s">
        <v>338</v>
      </c>
      <c r="G389" s="14" t="str">
        <f>CONCATENATE("M 31 ",G276)</f>
      </c>
      <c r="I389" s="14" t="str">
        <f>CONCATENATE("M 40 ",O292)</f>
      </c>
      <c r="J389" s="14" t="s">
        <v>338</v>
      </c>
      <c r="K389" s="14" t="s">
        <v>341</v>
      </c>
      <c r="L389" s="14"/>
      <c r="M389" s="14" t="s">
        <v>341</v>
      </c>
      <c r="N389" s="14" t="s">
        <v>338</v>
      </c>
      <c r="O389" s="14" t="str">
        <f>CONCATENATE("M 39 ",O276)</f>
      </c>
    </row>
    <row r="390">
      <c r="A390" s="14" t="s">
        <v>349</v>
      </c>
      <c r="B390" s="14" t="str">
        <f>IF(UPPER(D383)="X",0,IF((LEN(SUBSTITUTE(SUBSTITUTE(SUBSTITUTE(B383," ",""),"0",""),"-",""))+LEN(SUBSTITUTE(SUBSTITUTE(SUBSTITUTE(C383," ",""),"0",""),"-","")))&gt;(LEN(SUBSTITUTE(SUBSTITUTE(SUBSTITUTE(E383," ",""),"0",""),"-",""))+LEN(SUBSTITUTE(SUBSTITUTE(SUBSTITUTE(F383," ",""),"0",""),"-",""))),1,0))+IF(UPPER(D384)="X",0,IF((LEN(SUBSTITUTE(SUBSTITUTE(SUBSTITUTE(B384," ",""),"0",""),"-",""))+LEN(SUBSTITUTE(SUBSTITUTE(SUBSTITUTE(C384," ",""),"0",""),"-","")))&gt;(LEN(SUBSTITUTE(SUBSTITUTE(SUBSTITUTE(E384," ",""),"0",""),"-",""))+LEN(SUBSTITUTE(SUBSTITUTE(SUBSTITUTE(F384," ",""),"0",""),"-",""))),1,0))+IF(UPPER(D385)="X",0,IF((LEN(SUBSTITUTE(SUBSTITUTE(SUBSTITUTE(B385," ",""),"0",""),"-",""))+LEN(SUBSTITUTE(SUBSTITUTE(SUBSTITUTE(C385," ",""),"0",""),"-","")))&gt;(LEN(SUBSTITUTE(SUBSTITUTE(SUBSTITUTE(E385," ",""),"0",""),"-",""))+LEN(SUBSTITUTE(SUBSTITUTE(SUBSTITUTE(F385," ",""),"0",""),"-",""))),1,0))+IF(UPPER(D386)="X",0,IF((LEN(SUBSTITUTE(SUBSTITUTE(SUBSTITUTE(B386," ",""),"0",""),"-",""))+LEN(SUBSTITUTE(SUBSTITUTE(SUBSTITUTE(C386," ",""),"0",""),"-","")))&gt;(LEN(SUBSTITUTE(SUBSTITUTE(SUBSTITUTE(E386," ",""),"0",""),"-",""))+LEN(SUBSTITUTE(SUBSTITUTE(SUBSTITUTE(F386," ",""),"0",""),"-",""))),1,0))+IF(UPPER(D387)="X",0,IF((LEN(SUBSTITUTE(SUBSTITUTE(SUBSTITUTE(B387," ",""),"0",""),"-",""))+LEN(SUBSTITUTE(SUBSTITUTE(SUBSTITUTE(C387," ",""),"0",""),"-","")))&gt;(LEN(SUBSTITUTE(SUBSTITUTE(SUBSTITUTE(E387," ",""),"0",""),"-",""))+LEN(SUBSTITUTE(SUBSTITUTE(SUBSTITUTE(F387," ",""),"0",""),"-",""))),1,0))</f>
      </c>
      <c r="C390" s="14" t="str">
        <f>LEN(SUBSTITUTE(SUBSTITUTE(SUBSTITUTE(B383," ",""),"0",""),"-",""))+LEN(SUBSTITUTE(SUBSTITUTE(SUBSTITUTE(C383," ",""),"0",""),"-",""))+LEN(SUBSTITUTE(SUBSTITUTE(SUBSTITUTE(B384," ",""),"0",""),"-",""))+LEN(SUBSTITUTE(SUBSTITUTE(SUBSTITUTE(C384," ",""),"0",""),"-",""))+LEN(SUBSTITUTE(SUBSTITUTE(SUBSTITUTE(B385," ",""),"0",""),"-",""))+LEN(SUBSTITUTE(SUBSTITUTE(SUBSTITUTE(C385," ",""),"0",""),"-",""))+LEN(SUBSTITUTE(SUBSTITUTE(SUBSTITUTE(B386," ",""),"0",""),"-",""))+LEN(SUBSTITUTE(SUBSTITUTE(SUBSTITUTE(C386," ",""),"0",""),"-",""))+LEN(SUBSTITUTE(SUBSTITUTE(SUBSTITUTE(B387," ",""),"0",""),"-",""))+LEN(SUBSTITUTE(SUBSTITUTE(SUBSTITUTE(C387," ",""),"0",""),"-",""))</f>
      </c>
      <c r="D390" s="14"/>
      <c r="E390" s="14" t="str">
        <f>LEN(SUBSTITUTE(SUBSTITUTE(SUBSTITUTE(E383," ",""),"0",""),"-",""))+LEN(SUBSTITUTE(SUBSTITUTE(SUBSTITUTE(F383," ",""),"0",""),"-",""))+LEN(SUBSTITUTE(SUBSTITUTE(SUBSTITUTE(E384," ",""),"0",""),"-",""))+LEN(SUBSTITUTE(SUBSTITUTE(SUBSTITUTE(F384," ",""),"0",""),"-",""))+LEN(SUBSTITUTE(SUBSTITUTE(SUBSTITUTE(E385," ",""),"0",""),"-",""))+LEN(SUBSTITUTE(SUBSTITUTE(SUBSTITUTE(F385," ",""),"0",""),"-",""))+LEN(SUBSTITUTE(SUBSTITUTE(SUBSTITUTE(E386," ",""),"0",""),"-",""))+LEN(SUBSTITUTE(SUBSTITUTE(SUBSTITUTE(F386," ",""),"0",""),"-",""))+LEN(SUBSTITUTE(SUBSTITUTE(SUBSTITUTE(E387," ",""),"0",""),"-",""))+LEN(SUBSTITUTE(SUBSTITUTE(SUBSTITUTE(F387," ",""),"0",""),"-",""))</f>
      </c>
      <c r="F390" s="14" t="str">
        <f>IF(UPPER(D383)="X",0,IF((LEN(SUBSTITUTE(SUBSTITUTE(SUBSTITUTE(E383," ",""),"0",""),"-",""))+LEN(SUBSTITUTE(SUBSTITUTE(SUBSTITUTE(F383," ",""),"0",""),"-","")))&gt;(LEN(SUBSTITUTE(SUBSTITUTE(SUBSTITUTE(B383," ",""),"0",""),"-",""))+LEN(SUBSTITUTE(SUBSTITUTE(SUBSTITUTE(C383," ",""),"0",""),"-",""))),1,0))+IF(UPPER(D384)="X",0,IF((LEN(SUBSTITUTE(SUBSTITUTE(SUBSTITUTE(E384," ",""),"0",""),"-",""))+LEN(SUBSTITUTE(SUBSTITUTE(SUBSTITUTE(F384," ",""),"0",""),"-","")))&gt;(LEN(SUBSTITUTE(SUBSTITUTE(SUBSTITUTE(B384," ",""),"0",""),"-",""))+LEN(SUBSTITUTE(SUBSTITUTE(SUBSTITUTE(C384," ",""),"0",""),"-",""))),1,0))+IF(UPPER(D385)="X",0,IF((LEN(SUBSTITUTE(SUBSTITUTE(SUBSTITUTE(E385," ",""),"0",""),"-",""))+LEN(SUBSTITUTE(SUBSTITUTE(SUBSTITUTE(F385," ",""),"0",""),"-","")))&gt;(LEN(SUBSTITUTE(SUBSTITUTE(SUBSTITUTE(B385," ",""),"0",""),"-",""))+LEN(SUBSTITUTE(SUBSTITUTE(SUBSTITUTE(C385," ",""),"0",""),"-",""))),1,0))+IF(UPPER(D386)="X",0,IF((LEN(SUBSTITUTE(SUBSTITUTE(SUBSTITUTE(E386," ",""),"0",""),"-",""))+LEN(SUBSTITUTE(SUBSTITUTE(SUBSTITUTE(F386," ",""),"0",""),"-","")))&gt;(LEN(SUBSTITUTE(SUBSTITUTE(SUBSTITUTE(B386," ",""),"0",""),"-",""))+LEN(SUBSTITUTE(SUBSTITUTE(SUBSTITUTE(C386," ",""),"0",""),"-",""))),1,0))+IF(UPPER(D387)="X",0,IF((LEN(SUBSTITUTE(SUBSTITUTE(SUBSTITUTE(E387," ",""),"0",""),"-",""))+LEN(SUBSTITUTE(SUBSTITUTE(SUBSTITUTE(F387," ",""),"0",""),"-","")))&gt;(LEN(SUBSTITUTE(SUBSTITUTE(SUBSTITUTE(B387," ",""),"0",""),"-",""))+LEN(SUBSTITUTE(SUBSTITUTE(SUBSTITUTE(C387," ",""),"0",""),"-",""))),1,0))</f>
      </c>
      <c r="G390" s="14" t="s">
        <v>349</v>
      </c>
      <c r="I390" s="14" t="s">
        <v>349</v>
      </c>
      <c r="J390" s="14" t="str">
        <f>IF(UPPER(L383)="X",0,IF((LEN(SUBSTITUTE(SUBSTITUTE(SUBSTITUTE(J383," ",""),"0",""),"-",""))+LEN(SUBSTITUTE(SUBSTITUTE(SUBSTITUTE(K383," ",""),"0",""),"-","")))&gt;(LEN(SUBSTITUTE(SUBSTITUTE(SUBSTITUTE(M383," ",""),"0",""),"-",""))+LEN(SUBSTITUTE(SUBSTITUTE(SUBSTITUTE(N383," ",""),"0",""),"-",""))),1,0))+IF(UPPER(L384)="X",0,IF((LEN(SUBSTITUTE(SUBSTITUTE(SUBSTITUTE(J384," ",""),"0",""),"-",""))+LEN(SUBSTITUTE(SUBSTITUTE(SUBSTITUTE(K384," ",""),"0",""),"-","")))&gt;(LEN(SUBSTITUTE(SUBSTITUTE(SUBSTITUTE(M384," ",""),"0",""),"-",""))+LEN(SUBSTITUTE(SUBSTITUTE(SUBSTITUTE(N384," ",""),"0",""),"-",""))),1,0))+IF(UPPER(L385)="X",0,IF((LEN(SUBSTITUTE(SUBSTITUTE(SUBSTITUTE(J385," ",""),"0",""),"-",""))+LEN(SUBSTITUTE(SUBSTITUTE(SUBSTITUTE(K385," ",""),"0",""),"-","")))&gt;(LEN(SUBSTITUTE(SUBSTITUTE(SUBSTITUTE(M385," ",""),"0",""),"-",""))+LEN(SUBSTITUTE(SUBSTITUTE(SUBSTITUTE(N385," ",""),"0",""),"-",""))),1,0))+IF(UPPER(L386)="X",0,IF((LEN(SUBSTITUTE(SUBSTITUTE(SUBSTITUTE(J386," ",""),"0",""),"-",""))+LEN(SUBSTITUTE(SUBSTITUTE(SUBSTITUTE(K386," ",""),"0",""),"-","")))&gt;(LEN(SUBSTITUTE(SUBSTITUTE(SUBSTITUTE(M386," ",""),"0",""),"-",""))+LEN(SUBSTITUTE(SUBSTITUTE(SUBSTITUTE(N386," ",""),"0",""),"-",""))),1,0))+IF(UPPER(L387)="X",0,IF((LEN(SUBSTITUTE(SUBSTITUTE(SUBSTITUTE(J387," ",""),"0",""),"-",""))+LEN(SUBSTITUTE(SUBSTITUTE(SUBSTITUTE(K387," ",""),"0",""),"-","")))&gt;(LEN(SUBSTITUTE(SUBSTITUTE(SUBSTITUTE(M387," ",""),"0",""),"-",""))+LEN(SUBSTITUTE(SUBSTITUTE(SUBSTITUTE(N387," ",""),"0",""),"-",""))),1,0))</f>
      </c>
      <c r="K390" s="14" t="str">
        <f>LEN(SUBSTITUTE(SUBSTITUTE(SUBSTITUTE(J383," ",""),"0",""),"-",""))+LEN(SUBSTITUTE(SUBSTITUTE(SUBSTITUTE(K383," ",""),"0",""),"-",""))+LEN(SUBSTITUTE(SUBSTITUTE(SUBSTITUTE(J384," ",""),"0",""),"-",""))+LEN(SUBSTITUTE(SUBSTITUTE(SUBSTITUTE(K384," ",""),"0",""),"-",""))+LEN(SUBSTITUTE(SUBSTITUTE(SUBSTITUTE(J385," ",""),"0",""),"-",""))+LEN(SUBSTITUTE(SUBSTITUTE(SUBSTITUTE(K385," ",""),"0",""),"-",""))+LEN(SUBSTITUTE(SUBSTITUTE(SUBSTITUTE(J386," ",""),"0",""),"-",""))+LEN(SUBSTITUTE(SUBSTITUTE(SUBSTITUTE(K386," ",""),"0",""),"-",""))+LEN(SUBSTITUTE(SUBSTITUTE(SUBSTITUTE(J387," ",""),"0",""),"-",""))+LEN(SUBSTITUTE(SUBSTITUTE(SUBSTITUTE(K387," ",""),"0",""),"-",""))</f>
      </c>
      <c r="L390" s="14"/>
      <c r="M390" s="14" t="str">
        <f>LEN(SUBSTITUTE(SUBSTITUTE(SUBSTITUTE(M383," ",""),"0",""),"-",""))+LEN(SUBSTITUTE(SUBSTITUTE(SUBSTITUTE(N383," ",""),"0",""),"-",""))+LEN(SUBSTITUTE(SUBSTITUTE(SUBSTITUTE(M384," ",""),"0",""),"-",""))+LEN(SUBSTITUTE(SUBSTITUTE(SUBSTITUTE(N384," ",""),"0",""),"-",""))+LEN(SUBSTITUTE(SUBSTITUTE(SUBSTITUTE(M385," ",""),"0",""),"-",""))+LEN(SUBSTITUTE(SUBSTITUTE(SUBSTITUTE(N385," ",""),"0",""),"-",""))+LEN(SUBSTITUTE(SUBSTITUTE(SUBSTITUTE(M386," ",""),"0",""),"-",""))+LEN(SUBSTITUTE(SUBSTITUTE(SUBSTITUTE(N386," ",""),"0",""),"-",""))+LEN(SUBSTITUTE(SUBSTITUTE(SUBSTITUTE(M387," ",""),"0",""),"-",""))+LEN(SUBSTITUTE(SUBSTITUTE(SUBSTITUTE(N387," ",""),"0",""),"-",""))</f>
      </c>
      <c r="N390" s="14" t="str">
        <f>IF(UPPER(L383)="X",0,IF((LEN(SUBSTITUTE(SUBSTITUTE(SUBSTITUTE(M383," ",""),"0",""),"-",""))+LEN(SUBSTITUTE(SUBSTITUTE(SUBSTITUTE(N383," ",""),"0",""),"-","")))&gt;(LEN(SUBSTITUTE(SUBSTITUTE(SUBSTITUTE(J383," ",""),"0",""),"-",""))+LEN(SUBSTITUTE(SUBSTITUTE(SUBSTITUTE(K383," ",""),"0",""),"-",""))),1,0))+IF(UPPER(L384)="X",0,IF((LEN(SUBSTITUTE(SUBSTITUTE(SUBSTITUTE(M384," ",""),"0",""),"-",""))+LEN(SUBSTITUTE(SUBSTITUTE(SUBSTITUTE(N384," ",""),"0",""),"-","")))&gt;(LEN(SUBSTITUTE(SUBSTITUTE(SUBSTITUTE(J384," ",""),"0",""),"-",""))+LEN(SUBSTITUTE(SUBSTITUTE(SUBSTITUTE(K384," ",""),"0",""),"-",""))),1,0))+IF(UPPER(L385)="X",0,IF((LEN(SUBSTITUTE(SUBSTITUTE(SUBSTITUTE(M385," ",""),"0",""),"-",""))+LEN(SUBSTITUTE(SUBSTITUTE(SUBSTITUTE(N385," ",""),"0",""),"-","")))&gt;(LEN(SUBSTITUTE(SUBSTITUTE(SUBSTITUTE(J385," ",""),"0",""),"-",""))+LEN(SUBSTITUTE(SUBSTITUTE(SUBSTITUTE(K385," ",""),"0",""),"-",""))),1,0))+IF(UPPER(L386)="X",0,IF((LEN(SUBSTITUTE(SUBSTITUTE(SUBSTITUTE(M386," ",""),"0",""),"-",""))+LEN(SUBSTITUTE(SUBSTITUTE(SUBSTITUTE(N386," ",""),"0",""),"-","")))&gt;(LEN(SUBSTITUTE(SUBSTITUTE(SUBSTITUTE(J386," ",""),"0",""),"-",""))+LEN(SUBSTITUTE(SUBSTITUTE(SUBSTITUTE(K386," ",""),"0",""),"-",""))),1,0))+IF(UPPER(L387)="X",0,IF((LEN(SUBSTITUTE(SUBSTITUTE(SUBSTITUTE(M387," ",""),"0",""),"-",""))+LEN(SUBSTITUTE(SUBSTITUTE(SUBSTITUTE(N387," ",""),"0",""),"-","")))&gt;(LEN(SUBSTITUTE(SUBSTITUTE(SUBSTITUTE(J387," ",""),"0",""),"-",""))+LEN(SUBSTITUTE(SUBSTITUTE(SUBSTITUTE(K387," ",""),"0",""),"-",""))),1,0))</f>
      </c>
      <c r="O390" s="14" t="s">
        <v>349</v>
      </c>
    </row>
    <row r="393">
      <c r="F393" t="s">
        <v>344</v>
      </c>
      <c r="G393" s="19"/>
      <c r="N393" t="s">
        <v>344</v>
      </c>
      <c r="O393" s="19"/>
    </row>
    <row r="394">
      <c r="F394" t="s">
        <v>345</v>
      </c>
      <c r="G394" s="19"/>
      <c r="N394" t="s">
        <v>345</v>
      </c>
      <c r="O394" s="19"/>
    </row>
    <row r="396">
      <c r="A396" s="13" t="s">
        <v>397</v>
      </c>
      <c r="B396" s="13"/>
      <c r="C396" s="13"/>
      <c r="D396" s="13"/>
      <c r="E396" s="13"/>
      <c r="F396" s="13"/>
      <c r="G396" s="13"/>
      <c r="I396" s="13" t="s">
        <v>398</v>
      </c>
      <c r="J396" s="13"/>
      <c r="K396" s="13"/>
      <c r="L396" s="13"/>
      <c r="M396" s="13"/>
      <c r="N396" s="13"/>
      <c r="O396" s="13"/>
    </row>
    <row r="397">
      <c r="A397" s="17" t="s">
        <v>330</v>
      </c>
      <c r="D397" s="14" t="s">
        <v>331</v>
      </c>
      <c r="G397" s="16" t="s">
        <v>332</v>
      </c>
      <c r="I397" s="17" t="s">
        <v>330</v>
      </c>
      <c r="L397" s="14" t="s">
        <v>331</v>
      </c>
      <c r="O397" s="16" t="s">
        <v>332</v>
      </c>
    </row>
    <row r="398">
      <c r="A398" s="14" t="str">
        <f>CONCATENATE("M 34 ",G324)</f>
      </c>
      <c r="B398" s="14"/>
      <c r="C398" s="14"/>
      <c r="D398" s="18"/>
      <c r="E398" s="14"/>
      <c r="F398" s="14"/>
      <c r="G398" s="14" t="str">
        <f>CONCATENATE("M 33 ",G308)</f>
      </c>
      <c r="I398" s="14" t="str">
        <f>CONCATENATE("M 42 ",O324)</f>
      </c>
      <c r="J398" s="14"/>
      <c r="K398" s="14"/>
      <c r="L398" s="18"/>
      <c r="M398" s="14"/>
      <c r="N398" s="14"/>
      <c r="O398" s="14" t="str">
        <f>CONCATENATE("M 41 ",O308)</f>
      </c>
    </row>
    <row r="399">
      <c r="A399" s="14">
        <v>1</v>
      </c>
      <c r="B399" s="18"/>
      <c r="C399" s="18"/>
      <c r="D399" s="18"/>
      <c r="E399" s="18"/>
      <c r="F399" s="18"/>
      <c r="G399" s="14">
        <v>1</v>
      </c>
      <c r="I399" s="14">
        <v>1</v>
      </c>
      <c r="J399" s="18"/>
      <c r="K399" s="18"/>
      <c r="L399" s="18"/>
      <c r="M399" s="18"/>
      <c r="N399" s="18"/>
      <c r="O399" s="14">
        <v>1</v>
      </c>
    </row>
    <row r="400">
      <c r="A400" s="14">
        <v>2</v>
      </c>
      <c r="B400" s="18"/>
      <c r="C400" s="18"/>
      <c r="D400" s="18"/>
      <c r="E400" s="18"/>
      <c r="F400" s="18"/>
      <c r="G400" s="14">
        <v>2</v>
      </c>
      <c r="I400" s="14">
        <v>2</v>
      </c>
      <c r="J400" s="18"/>
      <c r="K400" s="18"/>
      <c r="L400" s="18"/>
      <c r="M400" s="18"/>
      <c r="N400" s="18"/>
      <c r="O400" s="14">
        <v>2</v>
      </c>
    </row>
    <row r="401">
      <c r="A401" s="14">
        <v>3</v>
      </c>
      <c r="B401" s="18"/>
      <c r="C401" s="18"/>
      <c r="D401" s="18"/>
      <c r="E401" s="18"/>
      <c r="F401" s="18"/>
      <c r="G401" s="14">
        <v>3</v>
      </c>
      <c r="I401" s="14">
        <v>3</v>
      </c>
      <c r="J401" s="18"/>
      <c r="K401" s="18"/>
      <c r="L401" s="18"/>
      <c r="M401" s="18"/>
      <c r="N401" s="18"/>
      <c r="O401" s="14">
        <v>3</v>
      </c>
    </row>
    <row r="402">
      <c r="A402" s="14">
        <v>4</v>
      </c>
      <c r="B402" s="18"/>
      <c r="C402" s="18"/>
      <c r="D402" s="18"/>
      <c r="E402" s="18"/>
      <c r="F402" s="18"/>
      <c r="G402" s="14">
        <v>4</v>
      </c>
      <c r="I402" s="14">
        <v>4</v>
      </c>
      <c r="J402" s="18"/>
      <c r="K402" s="18"/>
      <c r="L402" s="18"/>
      <c r="M402" s="18"/>
      <c r="N402" s="18"/>
      <c r="O402" s="14">
        <v>4</v>
      </c>
    </row>
    <row r="403">
      <c r="A403" s="14">
        <v>5</v>
      </c>
      <c r="B403" s="18"/>
      <c r="C403" s="18"/>
      <c r="D403" s="18"/>
      <c r="E403" s="18"/>
      <c r="F403" s="18"/>
      <c r="G403" s="14">
        <v>5</v>
      </c>
      <c r="I403" s="14">
        <v>5</v>
      </c>
      <c r="J403" s="18"/>
      <c r="K403" s="18"/>
      <c r="L403" s="18"/>
      <c r="M403" s="18"/>
      <c r="N403" s="18"/>
      <c r="O403" s="14">
        <v>5</v>
      </c>
    </row>
    <row r="405">
      <c r="A405" s="14" t="str">
        <f>CONCATENATE("M 34 ",G324)</f>
      </c>
      <c r="B405" s="14" t="s">
        <v>338</v>
      </c>
      <c r="C405" s="14" t="s">
        <v>341</v>
      </c>
      <c r="D405" s="14"/>
      <c r="E405" s="14" t="s">
        <v>341</v>
      </c>
      <c r="F405" s="14" t="s">
        <v>338</v>
      </c>
      <c r="G405" s="14" t="str">
        <f>CONCATENATE("M 33 ",G308)</f>
      </c>
      <c r="I405" s="14" t="str">
        <f>CONCATENATE("M 42 ",O324)</f>
      </c>
      <c r="J405" s="14" t="s">
        <v>338</v>
      </c>
      <c r="K405" s="14" t="s">
        <v>341</v>
      </c>
      <c r="L405" s="14"/>
      <c r="M405" s="14" t="s">
        <v>341</v>
      </c>
      <c r="N405" s="14" t="s">
        <v>338</v>
      </c>
      <c r="O405" s="14" t="str">
        <f>CONCATENATE("M 41 ",O308)</f>
      </c>
    </row>
    <row r="406">
      <c r="A406" s="14" t="s">
        <v>349</v>
      </c>
      <c r="B406" s="14" t="str">
        <f>IF(UPPER(D399)="X",0,IF((LEN(SUBSTITUTE(SUBSTITUTE(SUBSTITUTE(B399," ",""),"0",""),"-",""))+LEN(SUBSTITUTE(SUBSTITUTE(SUBSTITUTE(C399," ",""),"0",""),"-","")))&gt;(LEN(SUBSTITUTE(SUBSTITUTE(SUBSTITUTE(E399," ",""),"0",""),"-",""))+LEN(SUBSTITUTE(SUBSTITUTE(SUBSTITUTE(F399," ",""),"0",""),"-",""))),1,0))+IF(UPPER(D400)="X",0,IF((LEN(SUBSTITUTE(SUBSTITUTE(SUBSTITUTE(B400," ",""),"0",""),"-",""))+LEN(SUBSTITUTE(SUBSTITUTE(SUBSTITUTE(C400," ",""),"0",""),"-","")))&gt;(LEN(SUBSTITUTE(SUBSTITUTE(SUBSTITUTE(E400," ",""),"0",""),"-",""))+LEN(SUBSTITUTE(SUBSTITUTE(SUBSTITUTE(F400," ",""),"0",""),"-",""))),1,0))+IF(UPPER(D401)="X",0,IF((LEN(SUBSTITUTE(SUBSTITUTE(SUBSTITUTE(B401," ",""),"0",""),"-",""))+LEN(SUBSTITUTE(SUBSTITUTE(SUBSTITUTE(C401," ",""),"0",""),"-","")))&gt;(LEN(SUBSTITUTE(SUBSTITUTE(SUBSTITUTE(E401," ",""),"0",""),"-",""))+LEN(SUBSTITUTE(SUBSTITUTE(SUBSTITUTE(F401," ",""),"0",""),"-",""))),1,0))+IF(UPPER(D402)="X",0,IF((LEN(SUBSTITUTE(SUBSTITUTE(SUBSTITUTE(B402," ",""),"0",""),"-",""))+LEN(SUBSTITUTE(SUBSTITUTE(SUBSTITUTE(C402," ",""),"0",""),"-","")))&gt;(LEN(SUBSTITUTE(SUBSTITUTE(SUBSTITUTE(E402," ",""),"0",""),"-",""))+LEN(SUBSTITUTE(SUBSTITUTE(SUBSTITUTE(F402," ",""),"0",""),"-",""))),1,0))+IF(UPPER(D403)="X",0,IF((LEN(SUBSTITUTE(SUBSTITUTE(SUBSTITUTE(B403," ",""),"0",""),"-",""))+LEN(SUBSTITUTE(SUBSTITUTE(SUBSTITUTE(C403," ",""),"0",""),"-","")))&gt;(LEN(SUBSTITUTE(SUBSTITUTE(SUBSTITUTE(E403," ",""),"0",""),"-",""))+LEN(SUBSTITUTE(SUBSTITUTE(SUBSTITUTE(F403," ",""),"0",""),"-",""))),1,0))</f>
      </c>
      <c r="C406" s="14" t="str">
        <f>LEN(SUBSTITUTE(SUBSTITUTE(SUBSTITUTE(B399," ",""),"0",""),"-",""))+LEN(SUBSTITUTE(SUBSTITUTE(SUBSTITUTE(C399," ",""),"0",""),"-",""))+LEN(SUBSTITUTE(SUBSTITUTE(SUBSTITUTE(B400," ",""),"0",""),"-",""))+LEN(SUBSTITUTE(SUBSTITUTE(SUBSTITUTE(C400," ",""),"0",""),"-",""))+LEN(SUBSTITUTE(SUBSTITUTE(SUBSTITUTE(B401," ",""),"0",""),"-",""))+LEN(SUBSTITUTE(SUBSTITUTE(SUBSTITUTE(C401," ",""),"0",""),"-",""))+LEN(SUBSTITUTE(SUBSTITUTE(SUBSTITUTE(B402," ",""),"0",""),"-",""))+LEN(SUBSTITUTE(SUBSTITUTE(SUBSTITUTE(C402," ",""),"0",""),"-",""))+LEN(SUBSTITUTE(SUBSTITUTE(SUBSTITUTE(B403," ",""),"0",""),"-",""))+LEN(SUBSTITUTE(SUBSTITUTE(SUBSTITUTE(C403," ",""),"0",""),"-",""))</f>
      </c>
      <c r="D406" s="14"/>
      <c r="E406" s="14" t="str">
        <f>LEN(SUBSTITUTE(SUBSTITUTE(SUBSTITUTE(E399," ",""),"0",""),"-",""))+LEN(SUBSTITUTE(SUBSTITUTE(SUBSTITUTE(F399," ",""),"0",""),"-",""))+LEN(SUBSTITUTE(SUBSTITUTE(SUBSTITUTE(E400," ",""),"0",""),"-",""))+LEN(SUBSTITUTE(SUBSTITUTE(SUBSTITUTE(F400," ",""),"0",""),"-",""))+LEN(SUBSTITUTE(SUBSTITUTE(SUBSTITUTE(E401," ",""),"0",""),"-",""))+LEN(SUBSTITUTE(SUBSTITUTE(SUBSTITUTE(F401," ",""),"0",""),"-",""))+LEN(SUBSTITUTE(SUBSTITUTE(SUBSTITUTE(E402," ",""),"0",""),"-",""))+LEN(SUBSTITUTE(SUBSTITUTE(SUBSTITUTE(F402," ",""),"0",""),"-",""))+LEN(SUBSTITUTE(SUBSTITUTE(SUBSTITUTE(E403," ",""),"0",""),"-",""))+LEN(SUBSTITUTE(SUBSTITUTE(SUBSTITUTE(F403," ",""),"0",""),"-",""))</f>
      </c>
      <c r="F406" s="14" t="str">
        <f>IF(UPPER(D399)="X",0,IF((LEN(SUBSTITUTE(SUBSTITUTE(SUBSTITUTE(E399," ",""),"0",""),"-",""))+LEN(SUBSTITUTE(SUBSTITUTE(SUBSTITUTE(F399," ",""),"0",""),"-","")))&gt;(LEN(SUBSTITUTE(SUBSTITUTE(SUBSTITUTE(B399," ",""),"0",""),"-",""))+LEN(SUBSTITUTE(SUBSTITUTE(SUBSTITUTE(C399," ",""),"0",""),"-",""))),1,0))+IF(UPPER(D400)="X",0,IF((LEN(SUBSTITUTE(SUBSTITUTE(SUBSTITUTE(E400," ",""),"0",""),"-",""))+LEN(SUBSTITUTE(SUBSTITUTE(SUBSTITUTE(F400," ",""),"0",""),"-","")))&gt;(LEN(SUBSTITUTE(SUBSTITUTE(SUBSTITUTE(B400," ",""),"0",""),"-",""))+LEN(SUBSTITUTE(SUBSTITUTE(SUBSTITUTE(C400," ",""),"0",""),"-",""))),1,0))+IF(UPPER(D401)="X",0,IF((LEN(SUBSTITUTE(SUBSTITUTE(SUBSTITUTE(E401," ",""),"0",""),"-",""))+LEN(SUBSTITUTE(SUBSTITUTE(SUBSTITUTE(F401," ",""),"0",""),"-","")))&gt;(LEN(SUBSTITUTE(SUBSTITUTE(SUBSTITUTE(B401," ",""),"0",""),"-",""))+LEN(SUBSTITUTE(SUBSTITUTE(SUBSTITUTE(C401," ",""),"0",""),"-",""))),1,0))+IF(UPPER(D402)="X",0,IF((LEN(SUBSTITUTE(SUBSTITUTE(SUBSTITUTE(E402," ",""),"0",""),"-",""))+LEN(SUBSTITUTE(SUBSTITUTE(SUBSTITUTE(F402," ",""),"0",""),"-","")))&gt;(LEN(SUBSTITUTE(SUBSTITUTE(SUBSTITUTE(B402," ",""),"0",""),"-",""))+LEN(SUBSTITUTE(SUBSTITUTE(SUBSTITUTE(C402," ",""),"0",""),"-",""))),1,0))+IF(UPPER(D403)="X",0,IF((LEN(SUBSTITUTE(SUBSTITUTE(SUBSTITUTE(E403," ",""),"0",""),"-",""))+LEN(SUBSTITUTE(SUBSTITUTE(SUBSTITUTE(F403," ",""),"0",""),"-","")))&gt;(LEN(SUBSTITUTE(SUBSTITUTE(SUBSTITUTE(B403," ",""),"0",""),"-",""))+LEN(SUBSTITUTE(SUBSTITUTE(SUBSTITUTE(C403," ",""),"0",""),"-",""))),1,0))</f>
      </c>
      <c r="G406" s="14" t="s">
        <v>349</v>
      </c>
      <c r="I406" s="14" t="s">
        <v>349</v>
      </c>
      <c r="J406" s="14" t="str">
        <f>IF(UPPER(L399)="X",0,IF((LEN(SUBSTITUTE(SUBSTITUTE(SUBSTITUTE(J399," ",""),"0",""),"-",""))+LEN(SUBSTITUTE(SUBSTITUTE(SUBSTITUTE(K399," ",""),"0",""),"-","")))&gt;(LEN(SUBSTITUTE(SUBSTITUTE(SUBSTITUTE(M399," ",""),"0",""),"-",""))+LEN(SUBSTITUTE(SUBSTITUTE(SUBSTITUTE(N399," ",""),"0",""),"-",""))),1,0))+IF(UPPER(L400)="X",0,IF((LEN(SUBSTITUTE(SUBSTITUTE(SUBSTITUTE(J400," ",""),"0",""),"-",""))+LEN(SUBSTITUTE(SUBSTITUTE(SUBSTITUTE(K400," ",""),"0",""),"-","")))&gt;(LEN(SUBSTITUTE(SUBSTITUTE(SUBSTITUTE(M400," ",""),"0",""),"-",""))+LEN(SUBSTITUTE(SUBSTITUTE(SUBSTITUTE(N400," ",""),"0",""),"-",""))),1,0))+IF(UPPER(L401)="X",0,IF((LEN(SUBSTITUTE(SUBSTITUTE(SUBSTITUTE(J401," ",""),"0",""),"-",""))+LEN(SUBSTITUTE(SUBSTITUTE(SUBSTITUTE(K401," ",""),"0",""),"-","")))&gt;(LEN(SUBSTITUTE(SUBSTITUTE(SUBSTITUTE(M401," ",""),"0",""),"-",""))+LEN(SUBSTITUTE(SUBSTITUTE(SUBSTITUTE(N401," ",""),"0",""),"-",""))),1,0))+IF(UPPER(L402)="X",0,IF((LEN(SUBSTITUTE(SUBSTITUTE(SUBSTITUTE(J402," ",""),"0",""),"-",""))+LEN(SUBSTITUTE(SUBSTITUTE(SUBSTITUTE(K402," ",""),"0",""),"-","")))&gt;(LEN(SUBSTITUTE(SUBSTITUTE(SUBSTITUTE(M402," ",""),"0",""),"-",""))+LEN(SUBSTITUTE(SUBSTITUTE(SUBSTITUTE(N402," ",""),"0",""),"-",""))),1,0))+IF(UPPER(L403)="X",0,IF((LEN(SUBSTITUTE(SUBSTITUTE(SUBSTITUTE(J403," ",""),"0",""),"-",""))+LEN(SUBSTITUTE(SUBSTITUTE(SUBSTITUTE(K403," ",""),"0",""),"-","")))&gt;(LEN(SUBSTITUTE(SUBSTITUTE(SUBSTITUTE(M403," ",""),"0",""),"-",""))+LEN(SUBSTITUTE(SUBSTITUTE(SUBSTITUTE(N403," ",""),"0",""),"-",""))),1,0))</f>
      </c>
      <c r="K406" s="14" t="str">
        <f>LEN(SUBSTITUTE(SUBSTITUTE(SUBSTITUTE(J399," ",""),"0",""),"-",""))+LEN(SUBSTITUTE(SUBSTITUTE(SUBSTITUTE(K399," ",""),"0",""),"-",""))+LEN(SUBSTITUTE(SUBSTITUTE(SUBSTITUTE(J400," ",""),"0",""),"-",""))+LEN(SUBSTITUTE(SUBSTITUTE(SUBSTITUTE(K400," ",""),"0",""),"-",""))+LEN(SUBSTITUTE(SUBSTITUTE(SUBSTITUTE(J401," ",""),"0",""),"-",""))+LEN(SUBSTITUTE(SUBSTITUTE(SUBSTITUTE(K401," ",""),"0",""),"-",""))+LEN(SUBSTITUTE(SUBSTITUTE(SUBSTITUTE(J402," ",""),"0",""),"-",""))+LEN(SUBSTITUTE(SUBSTITUTE(SUBSTITUTE(K402," ",""),"0",""),"-",""))+LEN(SUBSTITUTE(SUBSTITUTE(SUBSTITUTE(J403," ",""),"0",""),"-",""))+LEN(SUBSTITUTE(SUBSTITUTE(SUBSTITUTE(K403," ",""),"0",""),"-",""))</f>
      </c>
      <c r="L406" s="14"/>
      <c r="M406" s="14" t="str">
        <f>LEN(SUBSTITUTE(SUBSTITUTE(SUBSTITUTE(M399," ",""),"0",""),"-",""))+LEN(SUBSTITUTE(SUBSTITUTE(SUBSTITUTE(N399," ",""),"0",""),"-",""))+LEN(SUBSTITUTE(SUBSTITUTE(SUBSTITUTE(M400," ",""),"0",""),"-",""))+LEN(SUBSTITUTE(SUBSTITUTE(SUBSTITUTE(N400," ",""),"0",""),"-",""))+LEN(SUBSTITUTE(SUBSTITUTE(SUBSTITUTE(M401," ",""),"0",""),"-",""))+LEN(SUBSTITUTE(SUBSTITUTE(SUBSTITUTE(N401," ",""),"0",""),"-",""))+LEN(SUBSTITUTE(SUBSTITUTE(SUBSTITUTE(M402," ",""),"0",""),"-",""))+LEN(SUBSTITUTE(SUBSTITUTE(SUBSTITUTE(N402," ",""),"0",""),"-",""))+LEN(SUBSTITUTE(SUBSTITUTE(SUBSTITUTE(M403," ",""),"0",""),"-",""))+LEN(SUBSTITUTE(SUBSTITUTE(SUBSTITUTE(N403," ",""),"0",""),"-",""))</f>
      </c>
      <c r="N406" s="14" t="str">
        <f>IF(UPPER(L399)="X",0,IF((LEN(SUBSTITUTE(SUBSTITUTE(SUBSTITUTE(M399," ",""),"0",""),"-",""))+LEN(SUBSTITUTE(SUBSTITUTE(SUBSTITUTE(N399," ",""),"0",""),"-","")))&gt;(LEN(SUBSTITUTE(SUBSTITUTE(SUBSTITUTE(J399," ",""),"0",""),"-",""))+LEN(SUBSTITUTE(SUBSTITUTE(SUBSTITUTE(K399," ",""),"0",""),"-",""))),1,0))+IF(UPPER(L400)="X",0,IF((LEN(SUBSTITUTE(SUBSTITUTE(SUBSTITUTE(M400," ",""),"0",""),"-",""))+LEN(SUBSTITUTE(SUBSTITUTE(SUBSTITUTE(N400," ",""),"0",""),"-","")))&gt;(LEN(SUBSTITUTE(SUBSTITUTE(SUBSTITUTE(J400," ",""),"0",""),"-",""))+LEN(SUBSTITUTE(SUBSTITUTE(SUBSTITUTE(K400," ",""),"0",""),"-",""))),1,0))+IF(UPPER(L401)="X",0,IF((LEN(SUBSTITUTE(SUBSTITUTE(SUBSTITUTE(M401," ",""),"0",""),"-",""))+LEN(SUBSTITUTE(SUBSTITUTE(SUBSTITUTE(N401," ",""),"0",""),"-","")))&gt;(LEN(SUBSTITUTE(SUBSTITUTE(SUBSTITUTE(J401," ",""),"0",""),"-",""))+LEN(SUBSTITUTE(SUBSTITUTE(SUBSTITUTE(K401," ",""),"0",""),"-",""))),1,0))+IF(UPPER(L402)="X",0,IF((LEN(SUBSTITUTE(SUBSTITUTE(SUBSTITUTE(M402," ",""),"0",""),"-",""))+LEN(SUBSTITUTE(SUBSTITUTE(SUBSTITUTE(N402," ",""),"0",""),"-","")))&gt;(LEN(SUBSTITUTE(SUBSTITUTE(SUBSTITUTE(J402," ",""),"0",""),"-",""))+LEN(SUBSTITUTE(SUBSTITUTE(SUBSTITUTE(K402," ",""),"0",""),"-",""))),1,0))+IF(UPPER(L403)="X",0,IF((LEN(SUBSTITUTE(SUBSTITUTE(SUBSTITUTE(M403," ",""),"0",""),"-",""))+LEN(SUBSTITUTE(SUBSTITUTE(SUBSTITUTE(N403," ",""),"0",""),"-","")))&gt;(LEN(SUBSTITUTE(SUBSTITUTE(SUBSTITUTE(J403," ",""),"0",""),"-",""))+LEN(SUBSTITUTE(SUBSTITUTE(SUBSTITUTE(K403," ",""),"0",""),"-",""))),1,0))</f>
      </c>
      <c r="O406" s="14" t="s">
        <v>349</v>
      </c>
    </row>
    <row r="409">
      <c r="F409" t="s">
        <v>344</v>
      </c>
      <c r="G409" s="19"/>
      <c r="N409" t="s">
        <v>344</v>
      </c>
      <c r="O409" s="19"/>
    </row>
    <row r="410">
      <c r="F410" t="s">
        <v>345</v>
      </c>
      <c r="G410" s="19"/>
      <c r="N410" t="s">
        <v>345</v>
      </c>
      <c r="O410" s="19"/>
    </row>
    <row r="412">
      <c r="A412" s="13" t="s">
        <v>399</v>
      </c>
      <c r="B412" s="13"/>
      <c r="C412" s="13"/>
      <c r="D412" s="13"/>
      <c r="E412" s="13"/>
      <c r="F412" s="13"/>
      <c r="G412" s="13"/>
      <c r="I412" s="13" t="s">
        <v>400</v>
      </c>
      <c r="J412" s="13"/>
      <c r="K412" s="13"/>
      <c r="L412" s="13"/>
      <c r="M412" s="13"/>
      <c r="N412" s="13"/>
      <c r="O412" s="13"/>
    </row>
    <row r="413">
      <c r="A413" s="17" t="s">
        <v>330</v>
      </c>
      <c r="D413" s="14" t="s">
        <v>331</v>
      </c>
      <c r="G413" s="16" t="s">
        <v>332</v>
      </c>
      <c r="I413" s="17" t="s">
        <v>330</v>
      </c>
      <c r="L413" s="14" t="s">
        <v>331</v>
      </c>
      <c r="O413" s="16" t="s">
        <v>332</v>
      </c>
    </row>
    <row r="414">
      <c r="A414" s="14" t="str">
        <f>CONCATENATE("M 36 ",G356)</f>
      </c>
      <c r="B414" s="14"/>
      <c r="C414" s="14"/>
      <c r="D414" s="18"/>
      <c r="E414" s="14"/>
      <c r="F414" s="14"/>
      <c r="G414" s="14" t="str">
        <f>CONCATENATE("M 35 ",G340)</f>
      </c>
      <c r="I414" s="14" t="str">
        <f>CONCATENATE("M 44 ",O356)</f>
      </c>
      <c r="J414" s="14"/>
      <c r="K414" s="14"/>
      <c r="L414" s="18"/>
      <c r="M414" s="14"/>
      <c r="N414" s="14"/>
      <c r="O414" s="14" t="str">
        <f>CONCATENATE("M 43 ",O340)</f>
      </c>
    </row>
    <row r="415">
      <c r="A415" s="14">
        <v>1</v>
      </c>
      <c r="B415" s="18"/>
      <c r="C415" s="18"/>
      <c r="D415" s="18"/>
      <c r="E415" s="18"/>
      <c r="F415" s="18"/>
      <c r="G415" s="14">
        <v>1</v>
      </c>
      <c r="I415" s="14">
        <v>1</v>
      </c>
      <c r="J415" s="18"/>
      <c r="K415" s="18"/>
      <c r="L415" s="18"/>
      <c r="M415" s="18"/>
      <c r="N415" s="18"/>
      <c r="O415" s="14">
        <v>1</v>
      </c>
    </row>
    <row r="416">
      <c r="A416" s="14">
        <v>2</v>
      </c>
      <c r="B416" s="18"/>
      <c r="C416" s="18"/>
      <c r="D416" s="18"/>
      <c r="E416" s="18"/>
      <c r="F416" s="18"/>
      <c r="G416" s="14">
        <v>2</v>
      </c>
      <c r="I416" s="14">
        <v>2</v>
      </c>
      <c r="J416" s="18"/>
      <c r="K416" s="18"/>
      <c r="L416" s="18"/>
      <c r="M416" s="18"/>
      <c r="N416" s="18"/>
      <c r="O416" s="14">
        <v>2</v>
      </c>
    </row>
    <row r="417">
      <c r="A417" s="14">
        <v>3</v>
      </c>
      <c r="B417" s="18"/>
      <c r="C417" s="18"/>
      <c r="D417" s="18"/>
      <c r="E417" s="18"/>
      <c r="F417" s="18"/>
      <c r="G417" s="14">
        <v>3</v>
      </c>
      <c r="I417" s="14">
        <v>3</v>
      </c>
      <c r="J417" s="18"/>
      <c r="K417" s="18"/>
      <c r="L417" s="18"/>
      <c r="M417" s="18"/>
      <c r="N417" s="18"/>
      <c r="O417" s="14">
        <v>3</v>
      </c>
    </row>
    <row r="418">
      <c r="A418" s="14">
        <v>4</v>
      </c>
      <c r="B418" s="18"/>
      <c r="C418" s="18"/>
      <c r="D418" s="18"/>
      <c r="E418" s="18"/>
      <c r="F418" s="18"/>
      <c r="G418" s="14">
        <v>4</v>
      </c>
      <c r="I418" s="14">
        <v>4</v>
      </c>
      <c r="J418" s="18"/>
      <c r="K418" s="18"/>
      <c r="L418" s="18"/>
      <c r="M418" s="18"/>
      <c r="N418" s="18"/>
      <c r="O418" s="14">
        <v>4</v>
      </c>
    </row>
    <row r="419">
      <c r="A419" s="14">
        <v>5</v>
      </c>
      <c r="B419" s="18"/>
      <c r="C419" s="18"/>
      <c r="D419" s="18"/>
      <c r="E419" s="18"/>
      <c r="F419" s="18"/>
      <c r="G419" s="14">
        <v>5</v>
      </c>
      <c r="I419" s="14">
        <v>5</v>
      </c>
      <c r="J419" s="18"/>
      <c r="K419" s="18"/>
      <c r="L419" s="18"/>
      <c r="M419" s="18"/>
      <c r="N419" s="18"/>
      <c r="O419" s="14">
        <v>5</v>
      </c>
    </row>
    <row r="421">
      <c r="A421" s="14" t="str">
        <f>CONCATENATE("M 36 ",G356)</f>
      </c>
      <c r="B421" s="14" t="s">
        <v>338</v>
      </c>
      <c r="C421" s="14" t="s">
        <v>341</v>
      </c>
      <c r="D421" s="14"/>
      <c r="E421" s="14" t="s">
        <v>341</v>
      </c>
      <c r="F421" s="14" t="s">
        <v>338</v>
      </c>
      <c r="G421" s="14" t="str">
        <f>CONCATENATE("M 35 ",G340)</f>
      </c>
      <c r="I421" s="14" t="str">
        <f>CONCATENATE("M 44 ",O356)</f>
      </c>
      <c r="J421" s="14" t="s">
        <v>338</v>
      </c>
      <c r="K421" s="14" t="s">
        <v>341</v>
      </c>
      <c r="L421" s="14"/>
      <c r="M421" s="14" t="s">
        <v>341</v>
      </c>
      <c r="N421" s="14" t="s">
        <v>338</v>
      </c>
      <c r="O421" s="14" t="str">
        <f>CONCATENATE("M 43 ",O340)</f>
      </c>
    </row>
    <row r="422">
      <c r="A422" s="14" t="s">
        <v>349</v>
      </c>
      <c r="B422" s="14" t="str">
        <f>IF(UPPER(D415)="X",0,IF((LEN(SUBSTITUTE(SUBSTITUTE(SUBSTITUTE(B415," ",""),"0",""),"-",""))+LEN(SUBSTITUTE(SUBSTITUTE(SUBSTITUTE(C415," ",""),"0",""),"-","")))&gt;(LEN(SUBSTITUTE(SUBSTITUTE(SUBSTITUTE(E415," ",""),"0",""),"-",""))+LEN(SUBSTITUTE(SUBSTITUTE(SUBSTITUTE(F415," ",""),"0",""),"-",""))),1,0))+IF(UPPER(D416)="X",0,IF((LEN(SUBSTITUTE(SUBSTITUTE(SUBSTITUTE(B416," ",""),"0",""),"-",""))+LEN(SUBSTITUTE(SUBSTITUTE(SUBSTITUTE(C416," ",""),"0",""),"-","")))&gt;(LEN(SUBSTITUTE(SUBSTITUTE(SUBSTITUTE(E416," ",""),"0",""),"-",""))+LEN(SUBSTITUTE(SUBSTITUTE(SUBSTITUTE(F416," ",""),"0",""),"-",""))),1,0))+IF(UPPER(D417)="X",0,IF((LEN(SUBSTITUTE(SUBSTITUTE(SUBSTITUTE(B417," ",""),"0",""),"-",""))+LEN(SUBSTITUTE(SUBSTITUTE(SUBSTITUTE(C417," ",""),"0",""),"-","")))&gt;(LEN(SUBSTITUTE(SUBSTITUTE(SUBSTITUTE(E417," ",""),"0",""),"-",""))+LEN(SUBSTITUTE(SUBSTITUTE(SUBSTITUTE(F417," ",""),"0",""),"-",""))),1,0))+IF(UPPER(D418)="X",0,IF((LEN(SUBSTITUTE(SUBSTITUTE(SUBSTITUTE(B418," ",""),"0",""),"-",""))+LEN(SUBSTITUTE(SUBSTITUTE(SUBSTITUTE(C418," ",""),"0",""),"-","")))&gt;(LEN(SUBSTITUTE(SUBSTITUTE(SUBSTITUTE(E418," ",""),"0",""),"-",""))+LEN(SUBSTITUTE(SUBSTITUTE(SUBSTITUTE(F418," ",""),"0",""),"-",""))),1,0))+IF(UPPER(D419)="X",0,IF((LEN(SUBSTITUTE(SUBSTITUTE(SUBSTITUTE(B419," ",""),"0",""),"-",""))+LEN(SUBSTITUTE(SUBSTITUTE(SUBSTITUTE(C419," ",""),"0",""),"-","")))&gt;(LEN(SUBSTITUTE(SUBSTITUTE(SUBSTITUTE(E419," ",""),"0",""),"-",""))+LEN(SUBSTITUTE(SUBSTITUTE(SUBSTITUTE(F419," ",""),"0",""),"-",""))),1,0))</f>
      </c>
      <c r="C422" s="14" t="str">
        <f>LEN(SUBSTITUTE(SUBSTITUTE(SUBSTITUTE(B415," ",""),"0",""),"-",""))+LEN(SUBSTITUTE(SUBSTITUTE(SUBSTITUTE(C415," ",""),"0",""),"-",""))+LEN(SUBSTITUTE(SUBSTITUTE(SUBSTITUTE(B416," ",""),"0",""),"-",""))+LEN(SUBSTITUTE(SUBSTITUTE(SUBSTITUTE(C416," ",""),"0",""),"-",""))+LEN(SUBSTITUTE(SUBSTITUTE(SUBSTITUTE(B417," ",""),"0",""),"-",""))+LEN(SUBSTITUTE(SUBSTITUTE(SUBSTITUTE(C417," ",""),"0",""),"-",""))+LEN(SUBSTITUTE(SUBSTITUTE(SUBSTITUTE(B418," ",""),"0",""),"-",""))+LEN(SUBSTITUTE(SUBSTITUTE(SUBSTITUTE(C418," ",""),"0",""),"-",""))+LEN(SUBSTITUTE(SUBSTITUTE(SUBSTITUTE(B419," ",""),"0",""),"-",""))+LEN(SUBSTITUTE(SUBSTITUTE(SUBSTITUTE(C419," ",""),"0",""),"-",""))</f>
      </c>
      <c r="D422" s="14"/>
      <c r="E422" s="14" t="str">
        <f>LEN(SUBSTITUTE(SUBSTITUTE(SUBSTITUTE(E415," ",""),"0",""),"-",""))+LEN(SUBSTITUTE(SUBSTITUTE(SUBSTITUTE(F415," ",""),"0",""),"-",""))+LEN(SUBSTITUTE(SUBSTITUTE(SUBSTITUTE(E416," ",""),"0",""),"-",""))+LEN(SUBSTITUTE(SUBSTITUTE(SUBSTITUTE(F416," ",""),"0",""),"-",""))+LEN(SUBSTITUTE(SUBSTITUTE(SUBSTITUTE(E417," ",""),"0",""),"-",""))+LEN(SUBSTITUTE(SUBSTITUTE(SUBSTITUTE(F417," ",""),"0",""),"-",""))+LEN(SUBSTITUTE(SUBSTITUTE(SUBSTITUTE(E418," ",""),"0",""),"-",""))+LEN(SUBSTITUTE(SUBSTITUTE(SUBSTITUTE(F418," ",""),"0",""),"-",""))+LEN(SUBSTITUTE(SUBSTITUTE(SUBSTITUTE(E419," ",""),"0",""),"-",""))+LEN(SUBSTITUTE(SUBSTITUTE(SUBSTITUTE(F419," ",""),"0",""),"-",""))</f>
      </c>
      <c r="F422" s="14" t="str">
        <f>IF(UPPER(D415)="X",0,IF((LEN(SUBSTITUTE(SUBSTITUTE(SUBSTITUTE(E415," ",""),"0",""),"-",""))+LEN(SUBSTITUTE(SUBSTITUTE(SUBSTITUTE(F415," ",""),"0",""),"-","")))&gt;(LEN(SUBSTITUTE(SUBSTITUTE(SUBSTITUTE(B415," ",""),"0",""),"-",""))+LEN(SUBSTITUTE(SUBSTITUTE(SUBSTITUTE(C415," ",""),"0",""),"-",""))),1,0))+IF(UPPER(D416)="X",0,IF((LEN(SUBSTITUTE(SUBSTITUTE(SUBSTITUTE(E416," ",""),"0",""),"-",""))+LEN(SUBSTITUTE(SUBSTITUTE(SUBSTITUTE(F416," ",""),"0",""),"-","")))&gt;(LEN(SUBSTITUTE(SUBSTITUTE(SUBSTITUTE(B416," ",""),"0",""),"-",""))+LEN(SUBSTITUTE(SUBSTITUTE(SUBSTITUTE(C416," ",""),"0",""),"-",""))),1,0))+IF(UPPER(D417)="X",0,IF((LEN(SUBSTITUTE(SUBSTITUTE(SUBSTITUTE(E417," ",""),"0",""),"-",""))+LEN(SUBSTITUTE(SUBSTITUTE(SUBSTITUTE(F417," ",""),"0",""),"-","")))&gt;(LEN(SUBSTITUTE(SUBSTITUTE(SUBSTITUTE(B417," ",""),"0",""),"-",""))+LEN(SUBSTITUTE(SUBSTITUTE(SUBSTITUTE(C417," ",""),"0",""),"-",""))),1,0))+IF(UPPER(D418)="X",0,IF((LEN(SUBSTITUTE(SUBSTITUTE(SUBSTITUTE(E418," ",""),"0",""),"-",""))+LEN(SUBSTITUTE(SUBSTITUTE(SUBSTITUTE(F418," ",""),"0",""),"-","")))&gt;(LEN(SUBSTITUTE(SUBSTITUTE(SUBSTITUTE(B418," ",""),"0",""),"-",""))+LEN(SUBSTITUTE(SUBSTITUTE(SUBSTITUTE(C418," ",""),"0",""),"-",""))),1,0))+IF(UPPER(D419)="X",0,IF((LEN(SUBSTITUTE(SUBSTITUTE(SUBSTITUTE(E419," ",""),"0",""),"-",""))+LEN(SUBSTITUTE(SUBSTITUTE(SUBSTITUTE(F419," ",""),"0",""),"-","")))&gt;(LEN(SUBSTITUTE(SUBSTITUTE(SUBSTITUTE(B419," ",""),"0",""),"-",""))+LEN(SUBSTITUTE(SUBSTITUTE(SUBSTITUTE(C419," ",""),"0",""),"-",""))),1,0))</f>
      </c>
      <c r="G422" s="14" t="s">
        <v>349</v>
      </c>
      <c r="I422" s="14" t="s">
        <v>349</v>
      </c>
      <c r="J422" s="14" t="str">
        <f>IF(UPPER(L415)="X",0,IF((LEN(SUBSTITUTE(SUBSTITUTE(SUBSTITUTE(J415," ",""),"0",""),"-",""))+LEN(SUBSTITUTE(SUBSTITUTE(SUBSTITUTE(K415," ",""),"0",""),"-","")))&gt;(LEN(SUBSTITUTE(SUBSTITUTE(SUBSTITUTE(M415," ",""),"0",""),"-",""))+LEN(SUBSTITUTE(SUBSTITUTE(SUBSTITUTE(N415," ",""),"0",""),"-",""))),1,0))+IF(UPPER(L416)="X",0,IF((LEN(SUBSTITUTE(SUBSTITUTE(SUBSTITUTE(J416," ",""),"0",""),"-",""))+LEN(SUBSTITUTE(SUBSTITUTE(SUBSTITUTE(K416," ",""),"0",""),"-","")))&gt;(LEN(SUBSTITUTE(SUBSTITUTE(SUBSTITUTE(M416," ",""),"0",""),"-",""))+LEN(SUBSTITUTE(SUBSTITUTE(SUBSTITUTE(N416," ",""),"0",""),"-",""))),1,0))+IF(UPPER(L417)="X",0,IF((LEN(SUBSTITUTE(SUBSTITUTE(SUBSTITUTE(J417," ",""),"0",""),"-",""))+LEN(SUBSTITUTE(SUBSTITUTE(SUBSTITUTE(K417," ",""),"0",""),"-","")))&gt;(LEN(SUBSTITUTE(SUBSTITUTE(SUBSTITUTE(M417," ",""),"0",""),"-",""))+LEN(SUBSTITUTE(SUBSTITUTE(SUBSTITUTE(N417," ",""),"0",""),"-",""))),1,0))+IF(UPPER(L418)="X",0,IF((LEN(SUBSTITUTE(SUBSTITUTE(SUBSTITUTE(J418," ",""),"0",""),"-",""))+LEN(SUBSTITUTE(SUBSTITUTE(SUBSTITUTE(K418," ",""),"0",""),"-","")))&gt;(LEN(SUBSTITUTE(SUBSTITUTE(SUBSTITUTE(M418," ",""),"0",""),"-",""))+LEN(SUBSTITUTE(SUBSTITUTE(SUBSTITUTE(N418," ",""),"0",""),"-",""))),1,0))+IF(UPPER(L419)="X",0,IF((LEN(SUBSTITUTE(SUBSTITUTE(SUBSTITUTE(J419," ",""),"0",""),"-",""))+LEN(SUBSTITUTE(SUBSTITUTE(SUBSTITUTE(K419," ",""),"0",""),"-","")))&gt;(LEN(SUBSTITUTE(SUBSTITUTE(SUBSTITUTE(M419," ",""),"0",""),"-",""))+LEN(SUBSTITUTE(SUBSTITUTE(SUBSTITUTE(N419," ",""),"0",""),"-",""))),1,0))</f>
      </c>
      <c r="K422" s="14" t="str">
        <f>LEN(SUBSTITUTE(SUBSTITUTE(SUBSTITUTE(J415," ",""),"0",""),"-",""))+LEN(SUBSTITUTE(SUBSTITUTE(SUBSTITUTE(K415," ",""),"0",""),"-",""))+LEN(SUBSTITUTE(SUBSTITUTE(SUBSTITUTE(J416," ",""),"0",""),"-",""))+LEN(SUBSTITUTE(SUBSTITUTE(SUBSTITUTE(K416," ",""),"0",""),"-",""))+LEN(SUBSTITUTE(SUBSTITUTE(SUBSTITUTE(J417," ",""),"0",""),"-",""))+LEN(SUBSTITUTE(SUBSTITUTE(SUBSTITUTE(K417," ",""),"0",""),"-",""))+LEN(SUBSTITUTE(SUBSTITUTE(SUBSTITUTE(J418," ",""),"0",""),"-",""))+LEN(SUBSTITUTE(SUBSTITUTE(SUBSTITUTE(K418," ",""),"0",""),"-",""))+LEN(SUBSTITUTE(SUBSTITUTE(SUBSTITUTE(J419," ",""),"0",""),"-",""))+LEN(SUBSTITUTE(SUBSTITUTE(SUBSTITUTE(K419," ",""),"0",""),"-",""))</f>
      </c>
      <c r="L422" s="14"/>
      <c r="M422" s="14" t="str">
        <f>LEN(SUBSTITUTE(SUBSTITUTE(SUBSTITUTE(M415," ",""),"0",""),"-",""))+LEN(SUBSTITUTE(SUBSTITUTE(SUBSTITUTE(N415," ",""),"0",""),"-",""))+LEN(SUBSTITUTE(SUBSTITUTE(SUBSTITUTE(M416," ",""),"0",""),"-",""))+LEN(SUBSTITUTE(SUBSTITUTE(SUBSTITUTE(N416," ",""),"0",""),"-",""))+LEN(SUBSTITUTE(SUBSTITUTE(SUBSTITUTE(M417," ",""),"0",""),"-",""))+LEN(SUBSTITUTE(SUBSTITUTE(SUBSTITUTE(N417," ",""),"0",""),"-",""))+LEN(SUBSTITUTE(SUBSTITUTE(SUBSTITUTE(M418," ",""),"0",""),"-",""))+LEN(SUBSTITUTE(SUBSTITUTE(SUBSTITUTE(N418," ",""),"0",""),"-",""))+LEN(SUBSTITUTE(SUBSTITUTE(SUBSTITUTE(M419," ",""),"0",""),"-",""))+LEN(SUBSTITUTE(SUBSTITUTE(SUBSTITUTE(N419," ",""),"0",""),"-",""))</f>
      </c>
      <c r="N422" s="14" t="str">
        <f>IF(UPPER(L415)="X",0,IF((LEN(SUBSTITUTE(SUBSTITUTE(SUBSTITUTE(M415," ",""),"0",""),"-",""))+LEN(SUBSTITUTE(SUBSTITUTE(SUBSTITUTE(N415," ",""),"0",""),"-","")))&gt;(LEN(SUBSTITUTE(SUBSTITUTE(SUBSTITUTE(J415," ",""),"0",""),"-",""))+LEN(SUBSTITUTE(SUBSTITUTE(SUBSTITUTE(K415," ",""),"0",""),"-",""))),1,0))+IF(UPPER(L416)="X",0,IF((LEN(SUBSTITUTE(SUBSTITUTE(SUBSTITUTE(M416," ",""),"0",""),"-",""))+LEN(SUBSTITUTE(SUBSTITUTE(SUBSTITUTE(N416," ",""),"0",""),"-","")))&gt;(LEN(SUBSTITUTE(SUBSTITUTE(SUBSTITUTE(J416," ",""),"0",""),"-",""))+LEN(SUBSTITUTE(SUBSTITUTE(SUBSTITUTE(K416," ",""),"0",""),"-",""))),1,0))+IF(UPPER(L417)="X",0,IF((LEN(SUBSTITUTE(SUBSTITUTE(SUBSTITUTE(M417," ",""),"0",""),"-",""))+LEN(SUBSTITUTE(SUBSTITUTE(SUBSTITUTE(N417," ",""),"0",""),"-","")))&gt;(LEN(SUBSTITUTE(SUBSTITUTE(SUBSTITUTE(J417," ",""),"0",""),"-",""))+LEN(SUBSTITUTE(SUBSTITUTE(SUBSTITUTE(K417," ",""),"0",""),"-",""))),1,0))+IF(UPPER(L418)="X",0,IF((LEN(SUBSTITUTE(SUBSTITUTE(SUBSTITUTE(M418," ",""),"0",""),"-",""))+LEN(SUBSTITUTE(SUBSTITUTE(SUBSTITUTE(N418," ",""),"0",""),"-","")))&gt;(LEN(SUBSTITUTE(SUBSTITUTE(SUBSTITUTE(J418," ",""),"0",""),"-",""))+LEN(SUBSTITUTE(SUBSTITUTE(SUBSTITUTE(K418," ",""),"0",""),"-",""))),1,0))+IF(UPPER(L419)="X",0,IF((LEN(SUBSTITUTE(SUBSTITUTE(SUBSTITUTE(M419," ",""),"0",""),"-",""))+LEN(SUBSTITUTE(SUBSTITUTE(SUBSTITUTE(N419," ",""),"0",""),"-","")))&gt;(LEN(SUBSTITUTE(SUBSTITUTE(SUBSTITUTE(J419," ",""),"0",""),"-",""))+LEN(SUBSTITUTE(SUBSTITUTE(SUBSTITUTE(K419," ",""),"0",""),"-",""))),1,0))</f>
      </c>
      <c r="O422" s="14" t="s">
        <v>349</v>
      </c>
    </row>
    <row r="425">
      <c r="F425" t="s">
        <v>344</v>
      </c>
      <c r="G425" s="19"/>
      <c r="N425" t="s">
        <v>344</v>
      </c>
      <c r="O425" s="19"/>
    </row>
    <row r="426">
      <c r="F426" t="s">
        <v>345</v>
      </c>
      <c r="G426" s="19"/>
      <c r="N426" t="s">
        <v>345</v>
      </c>
      <c r="O426" s="19"/>
    </row>
    <row r="433">
      <c r="A433" s="13" t="s">
        <v>401</v>
      </c>
      <c r="B433" s="13"/>
      <c r="C433" s="13"/>
      <c r="D433" s="13"/>
      <c r="E433" s="13"/>
      <c r="F433" s="13"/>
      <c r="G433" s="13"/>
      <c r="I433" s="13" t="s">
        <v>402</v>
      </c>
      <c r="J433" s="13"/>
      <c r="K433" s="13"/>
      <c r="L433" s="13"/>
      <c r="M433" s="13"/>
      <c r="N433" s="13"/>
      <c r="O433" s="13"/>
    </row>
    <row r="434">
      <c r="A434" s="17" t="s">
        <v>330</v>
      </c>
      <c r="D434" s="14" t="s">
        <v>331</v>
      </c>
      <c r="G434" s="16" t="s">
        <v>332</v>
      </c>
      <c r="I434" s="17" t="s">
        <v>330</v>
      </c>
      <c r="L434" s="14" t="s">
        <v>331</v>
      </c>
      <c r="O434" s="16" t="s">
        <v>332</v>
      </c>
    </row>
    <row r="435">
      <c r="A435" s="14" t="str">
        <f>CONCATENATE("M 46 ",G393)</f>
      </c>
      <c r="B435" s="14"/>
      <c r="C435" s="14"/>
      <c r="D435" s="18"/>
      <c r="E435" s="14"/>
      <c r="F435" s="14"/>
      <c r="G435" s="14" t="str">
        <f>CONCATENATE("M 45 ",G377)</f>
      </c>
      <c r="I435" s="14" t="str">
        <f>CONCATENATE("M 50 ",O393)</f>
      </c>
      <c r="J435" s="14"/>
      <c r="K435" s="14"/>
      <c r="L435" s="18"/>
      <c r="M435" s="14"/>
      <c r="N435" s="14"/>
      <c r="O435" s="14" t="str">
        <f>CONCATENATE("M 49 ",O377)</f>
      </c>
    </row>
    <row r="436">
      <c r="A436" s="14">
        <v>1</v>
      </c>
      <c r="B436" s="18"/>
      <c r="C436" s="18"/>
      <c r="D436" s="18"/>
      <c r="E436" s="18"/>
      <c r="F436" s="18"/>
      <c r="G436" s="14">
        <v>1</v>
      </c>
      <c r="I436" s="14">
        <v>1</v>
      </c>
      <c r="J436" s="18"/>
      <c r="K436" s="18"/>
      <c r="L436" s="18"/>
      <c r="M436" s="18"/>
      <c r="N436" s="18"/>
      <c r="O436" s="14">
        <v>1</v>
      </c>
    </row>
    <row r="437">
      <c r="A437" s="14">
        <v>2</v>
      </c>
      <c r="B437" s="18"/>
      <c r="C437" s="18"/>
      <c r="D437" s="18"/>
      <c r="E437" s="18"/>
      <c r="F437" s="18"/>
      <c r="G437" s="14">
        <v>2</v>
      </c>
      <c r="I437" s="14">
        <v>2</v>
      </c>
      <c r="J437" s="18"/>
      <c r="K437" s="18"/>
      <c r="L437" s="18"/>
      <c r="M437" s="18"/>
      <c r="N437" s="18"/>
      <c r="O437" s="14">
        <v>2</v>
      </c>
    </row>
    <row r="438">
      <c r="A438" s="14">
        <v>3</v>
      </c>
      <c r="B438" s="18"/>
      <c r="C438" s="18"/>
      <c r="D438" s="18"/>
      <c r="E438" s="18"/>
      <c r="F438" s="18"/>
      <c r="G438" s="14">
        <v>3</v>
      </c>
      <c r="I438" s="14">
        <v>3</v>
      </c>
      <c r="J438" s="18"/>
      <c r="K438" s="18"/>
      <c r="L438" s="18"/>
      <c r="M438" s="18"/>
      <c r="N438" s="18"/>
      <c r="O438" s="14">
        <v>3</v>
      </c>
    </row>
    <row r="439">
      <c r="A439" s="14">
        <v>4</v>
      </c>
      <c r="B439" s="18"/>
      <c r="C439" s="18"/>
      <c r="D439" s="18"/>
      <c r="E439" s="18"/>
      <c r="F439" s="18"/>
      <c r="G439" s="14">
        <v>4</v>
      </c>
      <c r="I439" s="14">
        <v>4</v>
      </c>
      <c r="J439" s="18"/>
      <c r="K439" s="18"/>
      <c r="L439" s="18"/>
      <c r="M439" s="18"/>
      <c r="N439" s="18"/>
      <c r="O439" s="14">
        <v>4</v>
      </c>
    </row>
    <row r="440">
      <c r="A440" s="14">
        <v>5</v>
      </c>
      <c r="B440" s="18"/>
      <c r="C440" s="18"/>
      <c r="D440" s="18"/>
      <c r="E440" s="18"/>
      <c r="F440" s="18"/>
      <c r="G440" s="14">
        <v>5</v>
      </c>
      <c r="I440" s="14">
        <v>5</v>
      </c>
      <c r="J440" s="18"/>
      <c r="K440" s="18"/>
      <c r="L440" s="18"/>
      <c r="M440" s="18"/>
      <c r="N440" s="18"/>
      <c r="O440" s="14">
        <v>5</v>
      </c>
    </row>
    <row r="442">
      <c r="A442" s="14" t="str">
        <f>CONCATENATE("M 46 ",G393)</f>
      </c>
      <c r="B442" s="14" t="s">
        <v>338</v>
      </c>
      <c r="C442" s="14" t="s">
        <v>341</v>
      </c>
      <c r="D442" s="14"/>
      <c r="E442" s="14" t="s">
        <v>341</v>
      </c>
      <c r="F442" s="14" t="s">
        <v>338</v>
      </c>
      <c r="G442" s="14" t="str">
        <f>CONCATENATE("M 45 ",G377)</f>
      </c>
      <c r="I442" s="14" t="str">
        <f>CONCATENATE("M 50 ",O393)</f>
      </c>
      <c r="J442" s="14" t="s">
        <v>338</v>
      </c>
      <c r="K442" s="14" t="s">
        <v>341</v>
      </c>
      <c r="L442" s="14"/>
      <c r="M442" s="14" t="s">
        <v>341</v>
      </c>
      <c r="N442" s="14" t="s">
        <v>338</v>
      </c>
      <c r="O442" s="14" t="str">
        <f>CONCATENATE("M 49 ",O377)</f>
      </c>
    </row>
    <row r="443">
      <c r="A443" s="14" t="s">
        <v>349</v>
      </c>
      <c r="B443" s="14" t="str">
        <f>IF(UPPER(D436)="X",0,IF((LEN(SUBSTITUTE(SUBSTITUTE(SUBSTITUTE(B436," ",""),"0",""),"-",""))+LEN(SUBSTITUTE(SUBSTITUTE(SUBSTITUTE(C436," ",""),"0",""),"-","")))&gt;(LEN(SUBSTITUTE(SUBSTITUTE(SUBSTITUTE(E436," ",""),"0",""),"-",""))+LEN(SUBSTITUTE(SUBSTITUTE(SUBSTITUTE(F436," ",""),"0",""),"-",""))),1,0))+IF(UPPER(D437)="X",0,IF((LEN(SUBSTITUTE(SUBSTITUTE(SUBSTITUTE(B437," ",""),"0",""),"-",""))+LEN(SUBSTITUTE(SUBSTITUTE(SUBSTITUTE(C437," ",""),"0",""),"-","")))&gt;(LEN(SUBSTITUTE(SUBSTITUTE(SUBSTITUTE(E437," ",""),"0",""),"-",""))+LEN(SUBSTITUTE(SUBSTITUTE(SUBSTITUTE(F437," ",""),"0",""),"-",""))),1,0))+IF(UPPER(D438)="X",0,IF((LEN(SUBSTITUTE(SUBSTITUTE(SUBSTITUTE(B438," ",""),"0",""),"-",""))+LEN(SUBSTITUTE(SUBSTITUTE(SUBSTITUTE(C438," ",""),"0",""),"-","")))&gt;(LEN(SUBSTITUTE(SUBSTITUTE(SUBSTITUTE(E438," ",""),"0",""),"-",""))+LEN(SUBSTITUTE(SUBSTITUTE(SUBSTITUTE(F438," ",""),"0",""),"-",""))),1,0))+IF(UPPER(D439)="X",0,IF((LEN(SUBSTITUTE(SUBSTITUTE(SUBSTITUTE(B439," ",""),"0",""),"-",""))+LEN(SUBSTITUTE(SUBSTITUTE(SUBSTITUTE(C439," ",""),"0",""),"-","")))&gt;(LEN(SUBSTITUTE(SUBSTITUTE(SUBSTITUTE(E439," ",""),"0",""),"-",""))+LEN(SUBSTITUTE(SUBSTITUTE(SUBSTITUTE(F439," ",""),"0",""),"-",""))),1,0))+IF(UPPER(D440)="X",0,IF((LEN(SUBSTITUTE(SUBSTITUTE(SUBSTITUTE(B440," ",""),"0",""),"-",""))+LEN(SUBSTITUTE(SUBSTITUTE(SUBSTITUTE(C440," ",""),"0",""),"-","")))&gt;(LEN(SUBSTITUTE(SUBSTITUTE(SUBSTITUTE(E440," ",""),"0",""),"-",""))+LEN(SUBSTITUTE(SUBSTITUTE(SUBSTITUTE(F440," ",""),"0",""),"-",""))),1,0))</f>
      </c>
      <c r="C443" s="14" t="str">
        <f>LEN(SUBSTITUTE(SUBSTITUTE(SUBSTITUTE(B436," ",""),"0",""),"-",""))+LEN(SUBSTITUTE(SUBSTITUTE(SUBSTITUTE(C436," ",""),"0",""),"-",""))+LEN(SUBSTITUTE(SUBSTITUTE(SUBSTITUTE(B437," ",""),"0",""),"-",""))+LEN(SUBSTITUTE(SUBSTITUTE(SUBSTITUTE(C437," ",""),"0",""),"-",""))+LEN(SUBSTITUTE(SUBSTITUTE(SUBSTITUTE(B438," ",""),"0",""),"-",""))+LEN(SUBSTITUTE(SUBSTITUTE(SUBSTITUTE(C438," ",""),"0",""),"-",""))+LEN(SUBSTITUTE(SUBSTITUTE(SUBSTITUTE(B439," ",""),"0",""),"-",""))+LEN(SUBSTITUTE(SUBSTITUTE(SUBSTITUTE(C439," ",""),"0",""),"-",""))+LEN(SUBSTITUTE(SUBSTITUTE(SUBSTITUTE(B440," ",""),"0",""),"-",""))+LEN(SUBSTITUTE(SUBSTITUTE(SUBSTITUTE(C440," ",""),"0",""),"-",""))</f>
      </c>
      <c r="D443" s="14"/>
      <c r="E443" s="14" t="str">
        <f>LEN(SUBSTITUTE(SUBSTITUTE(SUBSTITUTE(E436," ",""),"0",""),"-",""))+LEN(SUBSTITUTE(SUBSTITUTE(SUBSTITUTE(F436," ",""),"0",""),"-",""))+LEN(SUBSTITUTE(SUBSTITUTE(SUBSTITUTE(E437," ",""),"0",""),"-",""))+LEN(SUBSTITUTE(SUBSTITUTE(SUBSTITUTE(F437," ",""),"0",""),"-",""))+LEN(SUBSTITUTE(SUBSTITUTE(SUBSTITUTE(E438," ",""),"0",""),"-",""))+LEN(SUBSTITUTE(SUBSTITUTE(SUBSTITUTE(F438," ",""),"0",""),"-",""))+LEN(SUBSTITUTE(SUBSTITUTE(SUBSTITUTE(E439," ",""),"0",""),"-",""))+LEN(SUBSTITUTE(SUBSTITUTE(SUBSTITUTE(F439," ",""),"0",""),"-",""))+LEN(SUBSTITUTE(SUBSTITUTE(SUBSTITUTE(E440," ",""),"0",""),"-",""))+LEN(SUBSTITUTE(SUBSTITUTE(SUBSTITUTE(F440," ",""),"0",""),"-",""))</f>
      </c>
      <c r="F443" s="14" t="str">
        <f>IF(UPPER(D436)="X",0,IF((LEN(SUBSTITUTE(SUBSTITUTE(SUBSTITUTE(E436," ",""),"0",""),"-",""))+LEN(SUBSTITUTE(SUBSTITUTE(SUBSTITUTE(F436," ",""),"0",""),"-","")))&gt;(LEN(SUBSTITUTE(SUBSTITUTE(SUBSTITUTE(B436," ",""),"0",""),"-",""))+LEN(SUBSTITUTE(SUBSTITUTE(SUBSTITUTE(C436," ",""),"0",""),"-",""))),1,0))+IF(UPPER(D437)="X",0,IF((LEN(SUBSTITUTE(SUBSTITUTE(SUBSTITUTE(E437," ",""),"0",""),"-",""))+LEN(SUBSTITUTE(SUBSTITUTE(SUBSTITUTE(F437," ",""),"0",""),"-","")))&gt;(LEN(SUBSTITUTE(SUBSTITUTE(SUBSTITUTE(B437," ",""),"0",""),"-",""))+LEN(SUBSTITUTE(SUBSTITUTE(SUBSTITUTE(C437," ",""),"0",""),"-",""))),1,0))+IF(UPPER(D438)="X",0,IF((LEN(SUBSTITUTE(SUBSTITUTE(SUBSTITUTE(E438," ",""),"0",""),"-",""))+LEN(SUBSTITUTE(SUBSTITUTE(SUBSTITUTE(F438," ",""),"0",""),"-","")))&gt;(LEN(SUBSTITUTE(SUBSTITUTE(SUBSTITUTE(B438," ",""),"0",""),"-",""))+LEN(SUBSTITUTE(SUBSTITUTE(SUBSTITUTE(C438," ",""),"0",""),"-",""))),1,0))+IF(UPPER(D439)="X",0,IF((LEN(SUBSTITUTE(SUBSTITUTE(SUBSTITUTE(E439," ",""),"0",""),"-",""))+LEN(SUBSTITUTE(SUBSTITUTE(SUBSTITUTE(F439," ",""),"0",""),"-","")))&gt;(LEN(SUBSTITUTE(SUBSTITUTE(SUBSTITUTE(B439," ",""),"0",""),"-",""))+LEN(SUBSTITUTE(SUBSTITUTE(SUBSTITUTE(C439," ",""),"0",""),"-",""))),1,0))+IF(UPPER(D440)="X",0,IF((LEN(SUBSTITUTE(SUBSTITUTE(SUBSTITUTE(E440," ",""),"0",""),"-",""))+LEN(SUBSTITUTE(SUBSTITUTE(SUBSTITUTE(F440," ",""),"0",""),"-","")))&gt;(LEN(SUBSTITUTE(SUBSTITUTE(SUBSTITUTE(B440," ",""),"0",""),"-",""))+LEN(SUBSTITUTE(SUBSTITUTE(SUBSTITUTE(C440," ",""),"0",""),"-",""))),1,0))</f>
      </c>
      <c r="G443" s="14" t="s">
        <v>349</v>
      </c>
      <c r="I443" s="14" t="s">
        <v>349</v>
      </c>
      <c r="J443" s="14" t="str">
        <f>IF(UPPER(L436)="X",0,IF((LEN(SUBSTITUTE(SUBSTITUTE(SUBSTITUTE(J436," ",""),"0",""),"-",""))+LEN(SUBSTITUTE(SUBSTITUTE(SUBSTITUTE(K436," ",""),"0",""),"-","")))&gt;(LEN(SUBSTITUTE(SUBSTITUTE(SUBSTITUTE(M436," ",""),"0",""),"-",""))+LEN(SUBSTITUTE(SUBSTITUTE(SUBSTITUTE(N436," ",""),"0",""),"-",""))),1,0))+IF(UPPER(L437)="X",0,IF((LEN(SUBSTITUTE(SUBSTITUTE(SUBSTITUTE(J437," ",""),"0",""),"-",""))+LEN(SUBSTITUTE(SUBSTITUTE(SUBSTITUTE(K437," ",""),"0",""),"-","")))&gt;(LEN(SUBSTITUTE(SUBSTITUTE(SUBSTITUTE(M437," ",""),"0",""),"-",""))+LEN(SUBSTITUTE(SUBSTITUTE(SUBSTITUTE(N437," ",""),"0",""),"-",""))),1,0))+IF(UPPER(L438)="X",0,IF((LEN(SUBSTITUTE(SUBSTITUTE(SUBSTITUTE(J438," ",""),"0",""),"-",""))+LEN(SUBSTITUTE(SUBSTITUTE(SUBSTITUTE(K438," ",""),"0",""),"-","")))&gt;(LEN(SUBSTITUTE(SUBSTITUTE(SUBSTITUTE(M438," ",""),"0",""),"-",""))+LEN(SUBSTITUTE(SUBSTITUTE(SUBSTITUTE(N438," ",""),"0",""),"-",""))),1,0))+IF(UPPER(L439)="X",0,IF((LEN(SUBSTITUTE(SUBSTITUTE(SUBSTITUTE(J439," ",""),"0",""),"-",""))+LEN(SUBSTITUTE(SUBSTITUTE(SUBSTITUTE(K439," ",""),"0",""),"-","")))&gt;(LEN(SUBSTITUTE(SUBSTITUTE(SUBSTITUTE(M439," ",""),"0",""),"-",""))+LEN(SUBSTITUTE(SUBSTITUTE(SUBSTITUTE(N439," ",""),"0",""),"-",""))),1,0))+IF(UPPER(L440)="X",0,IF((LEN(SUBSTITUTE(SUBSTITUTE(SUBSTITUTE(J440," ",""),"0",""),"-",""))+LEN(SUBSTITUTE(SUBSTITUTE(SUBSTITUTE(K440," ",""),"0",""),"-","")))&gt;(LEN(SUBSTITUTE(SUBSTITUTE(SUBSTITUTE(M440," ",""),"0",""),"-",""))+LEN(SUBSTITUTE(SUBSTITUTE(SUBSTITUTE(N440," ",""),"0",""),"-",""))),1,0))</f>
      </c>
      <c r="K443" s="14" t="str">
        <f>LEN(SUBSTITUTE(SUBSTITUTE(SUBSTITUTE(J436," ",""),"0",""),"-",""))+LEN(SUBSTITUTE(SUBSTITUTE(SUBSTITUTE(K436," ",""),"0",""),"-",""))+LEN(SUBSTITUTE(SUBSTITUTE(SUBSTITUTE(J437," ",""),"0",""),"-",""))+LEN(SUBSTITUTE(SUBSTITUTE(SUBSTITUTE(K437," ",""),"0",""),"-",""))+LEN(SUBSTITUTE(SUBSTITUTE(SUBSTITUTE(J438," ",""),"0",""),"-",""))+LEN(SUBSTITUTE(SUBSTITUTE(SUBSTITUTE(K438," ",""),"0",""),"-",""))+LEN(SUBSTITUTE(SUBSTITUTE(SUBSTITUTE(J439," ",""),"0",""),"-",""))+LEN(SUBSTITUTE(SUBSTITUTE(SUBSTITUTE(K439," ",""),"0",""),"-",""))+LEN(SUBSTITUTE(SUBSTITUTE(SUBSTITUTE(J440," ",""),"0",""),"-",""))+LEN(SUBSTITUTE(SUBSTITUTE(SUBSTITUTE(K440," ",""),"0",""),"-",""))</f>
      </c>
      <c r="L443" s="14"/>
      <c r="M443" s="14" t="str">
        <f>LEN(SUBSTITUTE(SUBSTITUTE(SUBSTITUTE(M436," ",""),"0",""),"-",""))+LEN(SUBSTITUTE(SUBSTITUTE(SUBSTITUTE(N436," ",""),"0",""),"-",""))+LEN(SUBSTITUTE(SUBSTITUTE(SUBSTITUTE(M437," ",""),"0",""),"-",""))+LEN(SUBSTITUTE(SUBSTITUTE(SUBSTITUTE(N437," ",""),"0",""),"-",""))+LEN(SUBSTITUTE(SUBSTITUTE(SUBSTITUTE(M438," ",""),"0",""),"-",""))+LEN(SUBSTITUTE(SUBSTITUTE(SUBSTITUTE(N438," ",""),"0",""),"-",""))+LEN(SUBSTITUTE(SUBSTITUTE(SUBSTITUTE(M439," ",""),"0",""),"-",""))+LEN(SUBSTITUTE(SUBSTITUTE(SUBSTITUTE(N439," ",""),"0",""),"-",""))+LEN(SUBSTITUTE(SUBSTITUTE(SUBSTITUTE(M440," ",""),"0",""),"-",""))+LEN(SUBSTITUTE(SUBSTITUTE(SUBSTITUTE(N440," ",""),"0",""),"-",""))</f>
      </c>
      <c r="N443" s="14" t="str">
        <f>IF(UPPER(L436)="X",0,IF((LEN(SUBSTITUTE(SUBSTITUTE(SUBSTITUTE(M436," ",""),"0",""),"-",""))+LEN(SUBSTITUTE(SUBSTITUTE(SUBSTITUTE(N436," ",""),"0",""),"-","")))&gt;(LEN(SUBSTITUTE(SUBSTITUTE(SUBSTITUTE(J436," ",""),"0",""),"-",""))+LEN(SUBSTITUTE(SUBSTITUTE(SUBSTITUTE(K436," ",""),"0",""),"-",""))),1,0))+IF(UPPER(L437)="X",0,IF((LEN(SUBSTITUTE(SUBSTITUTE(SUBSTITUTE(M437," ",""),"0",""),"-",""))+LEN(SUBSTITUTE(SUBSTITUTE(SUBSTITUTE(N437," ",""),"0",""),"-","")))&gt;(LEN(SUBSTITUTE(SUBSTITUTE(SUBSTITUTE(J437," ",""),"0",""),"-",""))+LEN(SUBSTITUTE(SUBSTITUTE(SUBSTITUTE(K437," ",""),"0",""),"-",""))),1,0))+IF(UPPER(L438)="X",0,IF((LEN(SUBSTITUTE(SUBSTITUTE(SUBSTITUTE(M438," ",""),"0",""),"-",""))+LEN(SUBSTITUTE(SUBSTITUTE(SUBSTITUTE(N438," ",""),"0",""),"-","")))&gt;(LEN(SUBSTITUTE(SUBSTITUTE(SUBSTITUTE(J438," ",""),"0",""),"-",""))+LEN(SUBSTITUTE(SUBSTITUTE(SUBSTITUTE(K438," ",""),"0",""),"-",""))),1,0))+IF(UPPER(L439)="X",0,IF((LEN(SUBSTITUTE(SUBSTITUTE(SUBSTITUTE(M439," ",""),"0",""),"-",""))+LEN(SUBSTITUTE(SUBSTITUTE(SUBSTITUTE(N439," ",""),"0",""),"-","")))&gt;(LEN(SUBSTITUTE(SUBSTITUTE(SUBSTITUTE(J439," ",""),"0",""),"-",""))+LEN(SUBSTITUTE(SUBSTITUTE(SUBSTITUTE(K439," ",""),"0",""),"-",""))),1,0))+IF(UPPER(L440)="X",0,IF((LEN(SUBSTITUTE(SUBSTITUTE(SUBSTITUTE(M440," ",""),"0",""),"-",""))+LEN(SUBSTITUTE(SUBSTITUTE(SUBSTITUTE(N440," ",""),"0",""),"-","")))&gt;(LEN(SUBSTITUTE(SUBSTITUTE(SUBSTITUTE(J440," ",""),"0",""),"-",""))+LEN(SUBSTITUTE(SUBSTITUTE(SUBSTITUTE(K440," ",""),"0",""),"-",""))),1,0))</f>
      </c>
      <c r="O443" s="14" t="s">
        <v>349</v>
      </c>
    </row>
    <row r="446">
      <c r="F446" t="s">
        <v>344</v>
      </c>
      <c r="G446" s="19"/>
      <c r="N446" t="s">
        <v>344</v>
      </c>
      <c r="O446" s="19"/>
    </row>
    <row r="447">
      <c r="F447" t="s">
        <v>345</v>
      </c>
      <c r="G447" s="19"/>
      <c r="N447" t="s">
        <v>345</v>
      </c>
      <c r="O447" s="19"/>
    </row>
    <row r="449">
      <c r="A449" s="13" t="s">
        <v>403</v>
      </c>
      <c r="B449" s="13"/>
      <c r="C449" s="13"/>
      <c r="D449" s="13"/>
      <c r="E449" s="13"/>
      <c r="F449" s="13"/>
      <c r="G449" s="13"/>
      <c r="I449" s="13" t="s">
        <v>404</v>
      </c>
      <c r="J449" s="13"/>
      <c r="K449" s="13"/>
      <c r="L449" s="13"/>
      <c r="M449" s="13"/>
      <c r="N449" s="13"/>
      <c r="O449" s="13"/>
    </row>
    <row r="450">
      <c r="A450" s="17" t="s">
        <v>330</v>
      </c>
      <c r="D450" s="14" t="s">
        <v>331</v>
      </c>
      <c r="G450" s="16" t="s">
        <v>332</v>
      </c>
      <c r="I450" s="17" t="s">
        <v>330</v>
      </c>
      <c r="L450" s="14" t="s">
        <v>331</v>
      </c>
      <c r="O450" s="16" t="s">
        <v>332</v>
      </c>
    </row>
    <row r="451">
      <c r="A451" s="14" t="str">
        <f>CONCATENATE("M 48 ",G425)</f>
      </c>
      <c r="B451" s="14"/>
      <c r="C451" s="14"/>
      <c r="D451" s="18"/>
      <c r="E451" s="14"/>
      <c r="F451" s="14"/>
      <c r="G451" s="14" t="str">
        <f>CONCATENATE("M 47 ",G409)</f>
      </c>
      <c r="I451" s="14" t="str">
        <f>CONCATENATE("M 52 ",O425)</f>
      </c>
      <c r="J451" s="14"/>
      <c r="K451" s="14"/>
      <c r="L451" s="18"/>
      <c r="M451" s="14"/>
      <c r="N451" s="14"/>
      <c r="O451" s="14" t="str">
        <f>CONCATENATE("M 51 ",O409)</f>
      </c>
    </row>
    <row r="452">
      <c r="A452" s="14">
        <v>1</v>
      </c>
      <c r="B452" s="18"/>
      <c r="C452" s="18"/>
      <c r="D452" s="18"/>
      <c r="E452" s="18"/>
      <c r="F452" s="18"/>
      <c r="G452" s="14">
        <v>1</v>
      </c>
      <c r="I452" s="14">
        <v>1</v>
      </c>
      <c r="J452" s="18"/>
      <c r="K452" s="18"/>
      <c r="L452" s="18"/>
      <c r="M452" s="18"/>
      <c r="N452" s="18"/>
      <c r="O452" s="14">
        <v>1</v>
      </c>
    </row>
    <row r="453">
      <c r="A453" s="14">
        <v>2</v>
      </c>
      <c r="B453" s="18"/>
      <c r="C453" s="18"/>
      <c r="D453" s="18"/>
      <c r="E453" s="18"/>
      <c r="F453" s="18"/>
      <c r="G453" s="14">
        <v>2</v>
      </c>
      <c r="I453" s="14">
        <v>2</v>
      </c>
      <c r="J453" s="18"/>
      <c r="K453" s="18"/>
      <c r="L453" s="18"/>
      <c r="M453" s="18"/>
      <c r="N453" s="18"/>
      <c r="O453" s="14">
        <v>2</v>
      </c>
    </row>
    <row r="454">
      <c r="A454" s="14">
        <v>3</v>
      </c>
      <c r="B454" s="18"/>
      <c r="C454" s="18"/>
      <c r="D454" s="18"/>
      <c r="E454" s="18"/>
      <c r="F454" s="18"/>
      <c r="G454" s="14">
        <v>3</v>
      </c>
      <c r="I454" s="14">
        <v>3</v>
      </c>
      <c r="J454" s="18"/>
      <c r="K454" s="18"/>
      <c r="L454" s="18"/>
      <c r="M454" s="18"/>
      <c r="N454" s="18"/>
      <c r="O454" s="14">
        <v>3</v>
      </c>
    </row>
    <row r="455">
      <c r="A455" s="14">
        <v>4</v>
      </c>
      <c r="B455" s="18"/>
      <c r="C455" s="18"/>
      <c r="D455" s="18"/>
      <c r="E455" s="18"/>
      <c r="F455" s="18"/>
      <c r="G455" s="14">
        <v>4</v>
      </c>
      <c r="I455" s="14">
        <v>4</v>
      </c>
      <c r="J455" s="18"/>
      <c r="K455" s="18"/>
      <c r="L455" s="18"/>
      <c r="M455" s="18"/>
      <c r="N455" s="18"/>
      <c r="O455" s="14">
        <v>4</v>
      </c>
    </row>
    <row r="456">
      <c r="A456" s="14">
        <v>5</v>
      </c>
      <c r="B456" s="18"/>
      <c r="C456" s="18"/>
      <c r="D456" s="18"/>
      <c r="E456" s="18"/>
      <c r="F456" s="18"/>
      <c r="G456" s="14">
        <v>5</v>
      </c>
      <c r="I456" s="14">
        <v>5</v>
      </c>
      <c r="J456" s="18"/>
      <c r="K456" s="18"/>
      <c r="L456" s="18"/>
      <c r="M456" s="18"/>
      <c r="N456" s="18"/>
      <c r="O456" s="14">
        <v>5</v>
      </c>
    </row>
    <row r="458">
      <c r="A458" s="14" t="str">
        <f>CONCATENATE("M 48 ",G425)</f>
      </c>
      <c r="B458" s="14" t="s">
        <v>338</v>
      </c>
      <c r="C458" s="14" t="s">
        <v>341</v>
      </c>
      <c r="D458" s="14"/>
      <c r="E458" s="14" t="s">
        <v>341</v>
      </c>
      <c r="F458" s="14" t="s">
        <v>338</v>
      </c>
      <c r="G458" s="14" t="str">
        <f>CONCATENATE("M 47 ",G409)</f>
      </c>
      <c r="I458" s="14" t="str">
        <f>CONCATENATE("M 52 ",O425)</f>
      </c>
      <c r="J458" s="14" t="s">
        <v>338</v>
      </c>
      <c r="K458" s="14" t="s">
        <v>341</v>
      </c>
      <c r="L458" s="14"/>
      <c r="M458" s="14" t="s">
        <v>341</v>
      </c>
      <c r="N458" s="14" t="s">
        <v>338</v>
      </c>
      <c r="O458" s="14" t="str">
        <f>CONCATENATE("M 51 ",O409)</f>
      </c>
    </row>
    <row r="459">
      <c r="A459" s="14" t="s">
        <v>349</v>
      </c>
      <c r="B459" s="14" t="str">
        <f>IF(UPPER(D452)="X",0,IF((LEN(SUBSTITUTE(SUBSTITUTE(SUBSTITUTE(B452," ",""),"0",""),"-",""))+LEN(SUBSTITUTE(SUBSTITUTE(SUBSTITUTE(C452," ",""),"0",""),"-","")))&gt;(LEN(SUBSTITUTE(SUBSTITUTE(SUBSTITUTE(E452," ",""),"0",""),"-",""))+LEN(SUBSTITUTE(SUBSTITUTE(SUBSTITUTE(F452," ",""),"0",""),"-",""))),1,0))+IF(UPPER(D453)="X",0,IF((LEN(SUBSTITUTE(SUBSTITUTE(SUBSTITUTE(B453," ",""),"0",""),"-",""))+LEN(SUBSTITUTE(SUBSTITUTE(SUBSTITUTE(C453," ",""),"0",""),"-","")))&gt;(LEN(SUBSTITUTE(SUBSTITUTE(SUBSTITUTE(E453," ",""),"0",""),"-",""))+LEN(SUBSTITUTE(SUBSTITUTE(SUBSTITUTE(F453," ",""),"0",""),"-",""))),1,0))+IF(UPPER(D454)="X",0,IF((LEN(SUBSTITUTE(SUBSTITUTE(SUBSTITUTE(B454," ",""),"0",""),"-",""))+LEN(SUBSTITUTE(SUBSTITUTE(SUBSTITUTE(C454," ",""),"0",""),"-","")))&gt;(LEN(SUBSTITUTE(SUBSTITUTE(SUBSTITUTE(E454," ",""),"0",""),"-",""))+LEN(SUBSTITUTE(SUBSTITUTE(SUBSTITUTE(F454," ",""),"0",""),"-",""))),1,0))+IF(UPPER(D455)="X",0,IF((LEN(SUBSTITUTE(SUBSTITUTE(SUBSTITUTE(B455," ",""),"0",""),"-",""))+LEN(SUBSTITUTE(SUBSTITUTE(SUBSTITUTE(C455," ",""),"0",""),"-","")))&gt;(LEN(SUBSTITUTE(SUBSTITUTE(SUBSTITUTE(E455," ",""),"0",""),"-",""))+LEN(SUBSTITUTE(SUBSTITUTE(SUBSTITUTE(F455," ",""),"0",""),"-",""))),1,0))+IF(UPPER(D456)="X",0,IF((LEN(SUBSTITUTE(SUBSTITUTE(SUBSTITUTE(B456," ",""),"0",""),"-",""))+LEN(SUBSTITUTE(SUBSTITUTE(SUBSTITUTE(C456," ",""),"0",""),"-","")))&gt;(LEN(SUBSTITUTE(SUBSTITUTE(SUBSTITUTE(E456," ",""),"0",""),"-",""))+LEN(SUBSTITUTE(SUBSTITUTE(SUBSTITUTE(F456," ",""),"0",""),"-",""))),1,0))</f>
      </c>
      <c r="C459" s="14" t="str">
        <f>LEN(SUBSTITUTE(SUBSTITUTE(SUBSTITUTE(B452," ",""),"0",""),"-",""))+LEN(SUBSTITUTE(SUBSTITUTE(SUBSTITUTE(C452," ",""),"0",""),"-",""))+LEN(SUBSTITUTE(SUBSTITUTE(SUBSTITUTE(B453," ",""),"0",""),"-",""))+LEN(SUBSTITUTE(SUBSTITUTE(SUBSTITUTE(C453," ",""),"0",""),"-",""))+LEN(SUBSTITUTE(SUBSTITUTE(SUBSTITUTE(B454," ",""),"0",""),"-",""))+LEN(SUBSTITUTE(SUBSTITUTE(SUBSTITUTE(C454," ",""),"0",""),"-",""))+LEN(SUBSTITUTE(SUBSTITUTE(SUBSTITUTE(B455," ",""),"0",""),"-",""))+LEN(SUBSTITUTE(SUBSTITUTE(SUBSTITUTE(C455," ",""),"0",""),"-",""))+LEN(SUBSTITUTE(SUBSTITUTE(SUBSTITUTE(B456," ",""),"0",""),"-",""))+LEN(SUBSTITUTE(SUBSTITUTE(SUBSTITUTE(C456," ",""),"0",""),"-",""))</f>
      </c>
      <c r="D459" s="14"/>
      <c r="E459" s="14" t="str">
        <f>LEN(SUBSTITUTE(SUBSTITUTE(SUBSTITUTE(E452," ",""),"0",""),"-",""))+LEN(SUBSTITUTE(SUBSTITUTE(SUBSTITUTE(F452," ",""),"0",""),"-",""))+LEN(SUBSTITUTE(SUBSTITUTE(SUBSTITUTE(E453," ",""),"0",""),"-",""))+LEN(SUBSTITUTE(SUBSTITUTE(SUBSTITUTE(F453," ",""),"0",""),"-",""))+LEN(SUBSTITUTE(SUBSTITUTE(SUBSTITUTE(E454," ",""),"0",""),"-",""))+LEN(SUBSTITUTE(SUBSTITUTE(SUBSTITUTE(F454," ",""),"0",""),"-",""))+LEN(SUBSTITUTE(SUBSTITUTE(SUBSTITUTE(E455," ",""),"0",""),"-",""))+LEN(SUBSTITUTE(SUBSTITUTE(SUBSTITUTE(F455," ",""),"0",""),"-",""))+LEN(SUBSTITUTE(SUBSTITUTE(SUBSTITUTE(E456," ",""),"0",""),"-",""))+LEN(SUBSTITUTE(SUBSTITUTE(SUBSTITUTE(F456," ",""),"0",""),"-",""))</f>
      </c>
      <c r="F459" s="14" t="str">
        <f>IF(UPPER(D452)="X",0,IF((LEN(SUBSTITUTE(SUBSTITUTE(SUBSTITUTE(E452," ",""),"0",""),"-",""))+LEN(SUBSTITUTE(SUBSTITUTE(SUBSTITUTE(F452," ",""),"0",""),"-","")))&gt;(LEN(SUBSTITUTE(SUBSTITUTE(SUBSTITUTE(B452," ",""),"0",""),"-",""))+LEN(SUBSTITUTE(SUBSTITUTE(SUBSTITUTE(C452," ",""),"0",""),"-",""))),1,0))+IF(UPPER(D453)="X",0,IF((LEN(SUBSTITUTE(SUBSTITUTE(SUBSTITUTE(E453," ",""),"0",""),"-",""))+LEN(SUBSTITUTE(SUBSTITUTE(SUBSTITUTE(F453," ",""),"0",""),"-","")))&gt;(LEN(SUBSTITUTE(SUBSTITUTE(SUBSTITUTE(B453," ",""),"0",""),"-",""))+LEN(SUBSTITUTE(SUBSTITUTE(SUBSTITUTE(C453," ",""),"0",""),"-",""))),1,0))+IF(UPPER(D454)="X",0,IF((LEN(SUBSTITUTE(SUBSTITUTE(SUBSTITUTE(E454," ",""),"0",""),"-",""))+LEN(SUBSTITUTE(SUBSTITUTE(SUBSTITUTE(F454," ",""),"0",""),"-","")))&gt;(LEN(SUBSTITUTE(SUBSTITUTE(SUBSTITUTE(B454," ",""),"0",""),"-",""))+LEN(SUBSTITUTE(SUBSTITUTE(SUBSTITUTE(C454," ",""),"0",""),"-",""))),1,0))+IF(UPPER(D455)="X",0,IF((LEN(SUBSTITUTE(SUBSTITUTE(SUBSTITUTE(E455," ",""),"0",""),"-",""))+LEN(SUBSTITUTE(SUBSTITUTE(SUBSTITUTE(F455," ",""),"0",""),"-","")))&gt;(LEN(SUBSTITUTE(SUBSTITUTE(SUBSTITUTE(B455," ",""),"0",""),"-",""))+LEN(SUBSTITUTE(SUBSTITUTE(SUBSTITUTE(C455," ",""),"0",""),"-",""))),1,0))+IF(UPPER(D456)="X",0,IF((LEN(SUBSTITUTE(SUBSTITUTE(SUBSTITUTE(E456," ",""),"0",""),"-",""))+LEN(SUBSTITUTE(SUBSTITUTE(SUBSTITUTE(F456," ",""),"0",""),"-","")))&gt;(LEN(SUBSTITUTE(SUBSTITUTE(SUBSTITUTE(B456," ",""),"0",""),"-",""))+LEN(SUBSTITUTE(SUBSTITUTE(SUBSTITUTE(C456," ",""),"0",""),"-",""))),1,0))</f>
      </c>
      <c r="G459" s="14" t="s">
        <v>349</v>
      </c>
      <c r="I459" s="14" t="s">
        <v>349</v>
      </c>
      <c r="J459" s="14" t="str">
        <f>IF(UPPER(L452)="X",0,IF((LEN(SUBSTITUTE(SUBSTITUTE(SUBSTITUTE(J452," ",""),"0",""),"-",""))+LEN(SUBSTITUTE(SUBSTITUTE(SUBSTITUTE(K452," ",""),"0",""),"-","")))&gt;(LEN(SUBSTITUTE(SUBSTITUTE(SUBSTITUTE(M452," ",""),"0",""),"-",""))+LEN(SUBSTITUTE(SUBSTITUTE(SUBSTITUTE(N452," ",""),"0",""),"-",""))),1,0))+IF(UPPER(L453)="X",0,IF((LEN(SUBSTITUTE(SUBSTITUTE(SUBSTITUTE(J453," ",""),"0",""),"-",""))+LEN(SUBSTITUTE(SUBSTITUTE(SUBSTITUTE(K453," ",""),"0",""),"-","")))&gt;(LEN(SUBSTITUTE(SUBSTITUTE(SUBSTITUTE(M453," ",""),"0",""),"-",""))+LEN(SUBSTITUTE(SUBSTITUTE(SUBSTITUTE(N453," ",""),"0",""),"-",""))),1,0))+IF(UPPER(L454)="X",0,IF((LEN(SUBSTITUTE(SUBSTITUTE(SUBSTITUTE(J454," ",""),"0",""),"-",""))+LEN(SUBSTITUTE(SUBSTITUTE(SUBSTITUTE(K454," ",""),"0",""),"-","")))&gt;(LEN(SUBSTITUTE(SUBSTITUTE(SUBSTITUTE(M454," ",""),"0",""),"-",""))+LEN(SUBSTITUTE(SUBSTITUTE(SUBSTITUTE(N454," ",""),"0",""),"-",""))),1,0))+IF(UPPER(L455)="X",0,IF((LEN(SUBSTITUTE(SUBSTITUTE(SUBSTITUTE(J455," ",""),"0",""),"-",""))+LEN(SUBSTITUTE(SUBSTITUTE(SUBSTITUTE(K455," ",""),"0",""),"-","")))&gt;(LEN(SUBSTITUTE(SUBSTITUTE(SUBSTITUTE(M455," ",""),"0",""),"-",""))+LEN(SUBSTITUTE(SUBSTITUTE(SUBSTITUTE(N455," ",""),"0",""),"-",""))),1,0))+IF(UPPER(L456)="X",0,IF((LEN(SUBSTITUTE(SUBSTITUTE(SUBSTITUTE(J456," ",""),"0",""),"-",""))+LEN(SUBSTITUTE(SUBSTITUTE(SUBSTITUTE(K456," ",""),"0",""),"-","")))&gt;(LEN(SUBSTITUTE(SUBSTITUTE(SUBSTITUTE(M456," ",""),"0",""),"-",""))+LEN(SUBSTITUTE(SUBSTITUTE(SUBSTITUTE(N456," ",""),"0",""),"-",""))),1,0))</f>
      </c>
      <c r="K459" s="14" t="str">
        <f>LEN(SUBSTITUTE(SUBSTITUTE(SUBSTITUTE(J452," ",""),"0",""),"-",""))+LEN(SUBSTITUTE(SUBSTITUTE(SUBSTITUTE(K452," ",""),"0",""),"-",""))+LEN(SUBSTITUTE(SUBSTITUTE(SUBSTITUTE(J453," ",""),"0",""),"-",""))+LEN(SUBSTITUTE(SUBSTITUTE(SUBSTITUTE(K453," ",""),"0",""),"-",""))+LEN(SUBSTITUTE(SUBSTITUTE(SUBSTITUTE(J454," ",""),"0",""),"-",""))+LEN(SUBSTITUTE(SUBSTITUTE(SUBSTITUTE(K454," ",""),"0",""),"-",""))+LEN(SUBSTITUTE(SUBSTITUTE(SUBSTITUTE(J455," ",""),"0",""),"-",""))+LEN(SUBSTITUTE(SUBSTITUTE(SUBSTITUTE(K455," ",""),"0",""),"-",""))+LEN(SUBSTITUTE(SUBSTITUTE(SUBSTITUTE(J456," ",""),"0",""),"-",""))+LEN(SUBSTITUTE(SUBSTITUTE(SUBSTITUTE(K456," ",""),"0",""),"-",""))</f>
      </c>
      <c r="L459" s="14"/>
      <c r="M459" s="14" t="str">
        <f>LEN(SUBSTITUTE(SUBSTITUTE(SUBSTITUTE(M452," ",""),"0",""),"-",""))+LEN(SUBSTITUTE(SUBSTITUTE(SUBSTITUTE(N452," ",""),"0",""),"-",""))+LEN(SUBSTITUTE(SUBSTITUTE(SUBSTITUTE(M453," ",""),"0",""),"-",""))+LEN(SUBSTITUTE(SUBSTITUTE(SUBSTITUTE(N453," ",""),"0",""),"-",""))+LEN(SUBSTITUTE(SUBSTITUTE(SUBSTITUTE(M454," ",""),"0",""),"-",""))+LEN(SUBSTITUTE(SUBSTITUTE(SUBSTITUTE(N454," ",""),"0",""),"-",""))+LEN(SUBSTITUTE(SUBSTITUTE(SUBSTITUTE(M455," ",""),"0",""),"-",""))+LEN(SUBSTITUTE(SUBSTITUTE(SUBSTITUTE(N455," ",""),"0",""),"-",""))+LEN(SUBSTITUTE(SUBSTITUTE(SUBSTITUTE(M456," ",""),"0",""),"-",""))+LEN(SUBSTITUTE(SUBSTITUTE(SUBSTITUTE(N456," ",""),"0",""),"-",""))</f>
      </c>
      <c r="N459" s="14" t="str">
        <f>IF(UPPER(L452)="X",0,IF((LEN(SUBSTITUTE(SUBSTITUTE(SUBSTITUTE(M452," ",""),"0",""),"-",""))+LEN(SUBSTITUTE(SUBSTITUTE(SUBSTITUTE(N452," ",""),"0",""),"-","")))&gt;(LEN(SUBSTITUTE(SUBSTITUTE(SUBSTITUTE(J452," ",""),"0",""),"-",""))+LEN(SUBSTITUTE(SUBSTITUTE(SUBSTITUTE(K452," ",""),"0",""),"-",""))),1,0))+IF(UPPER(L453)="X",0,IF((LEN(SUBSTITUTE(SUBSTITUTE(SUBSTITUTE(M453," ",""),"0",""),"-",""))+LEN(SUBSTITUTE(SUBSTITUTE(SUBSTITUTE(N453," ",""),"0",""),"-","")))&gt;(LEN(SUBSTITUTE(SUBSTITUTE(SUBSTITUTE(J453," ",""),"0",""),"-",""))+LEN(SUBSTITUTE(SUBSTITUTE(SUBSTITUTE(K453," ",""),"0",""),"-",""))),1,0))+IF(UPPER(L454)="X",0,IF((LEN(SUBSTITUTE(SUBSTITUTE(SUBSTITUTE(M454," ",""),"0",""),"-",""))+LEN(SUBSTITUTE(SUBSTITUTE(SUBSTITUTE(N454," ",""),"0",""),"-","")))&gt;(LEN(SUBSTITUTE(SUBSTITUTE(SUBSTITUTE(J454," ",""),"0",""),"-",""))+LEN(SUBSTITUTE(SUBSTITUTE(SUBSTITUTE(K454," ",""),"0",""),"-",""))),1,0))+IF(UPPER(L455)="X",0,IF((LEN(SUBSTITUTE(SUBSTITUTE(SUBSTITUTE(M455," ",""),"0",""),"-",""))+LEN(SUBSTITUTE(SUBSTITUTE(SUBSTITUTE(N455," ",""),"0",""),"-","")))&gt;(LEN(SUBSTITUTE(SUBSTITUTE(SUBSTITUTE(J455," ",""),"0",""),"-",""))+LEN(SUBSTITUTE(SUBSTITUTE(SUBSTITUTE(K455," ",""),"0",""),"-",""))),1,0))+IF(UPPER(L456)="X",0,IF((LEN(SUBSTITUTE(SUBSTITUTE(SUBSTITUTE(M456," ",""),"0",""),"-",""))+LEN(SUBSTITUTE(SUBSTITUTE(SUBSTITUTE(N456," ",""),"0",""),"-","")))&gt;(LEN(SUBSTITUTE(SUBSTITUTE(SUBSTITUTE(J456," ",""),"0",""),"-",""))+LEN(SUBSTITUTE(SUBSTITUTE(SUBSTITUTE(K456," ",""),"0",""),"-",""))),1,0))</f>
      </c>
      <c r="O459" s="14" t="s">
        <v>349</v>
      </c>
    </row>
    <row r="462">
      <c r="F462" t="s">
        <v>344</v>
      </c>
      <c r="G462" s="19"/>
      <c r="N462" t="s">
        <v>344</v>
      </c>
      <c r="O462" s="19"/>
    </row>
    <row r="463">
      <c r="F463" t="s">
        <v>345</v>
      </c>
      <c r="G463" s="19"/>
      <c r="N463" t="s">
        <v>345</v>
      </c>
      <c r="O463" s="19"/>
    </row>
    <row r="470">
      <c r="A470" s="13" t="s">
        <v>405</v>
      </c>
      <c r="B470" s="13"/>
      <c r="C470" s="13"/>
      <c r="D470" s="13"/>
      <c r="E470" s="13"/>
      <c r="F470" s="13"/>
      <c r="G470" s="13"/>
      <c r="I470" s="13" t="s">
        <v>406</v>
      </c>
      <c r="J470" s="13"/>
      <c r="K470" s="13"/>
      <c r="L470" s="13"/>
      <c r="M470" s="13"/>
      <c r="N470" s="13"/>
      <c r="O470" s="13"/>
    </row>
    <row r="471">
      <c r="A471" s="17" t="s">
        <v>330</v>
      </c>
      <c r="D471" s="14" t="s">
        <v>331</v>
      </c>
      <c r="G471" s="16" t="s">
        <v>332</v>
      </c>
      <c r="I471" s="17" t="s">
        <v>330</v>
      </c>
      <c r="L471" s="14" t="s">
        <v>331</v>
      </c>
      <c r="O471" s="16" t="s">
        <v>332</v>
      </c>
    </row>
    <row r="472">
      <c r="A472" s="14" t="str">
        <f>CONCATENATE("M 54 ",G462)</f>
      </c>
      <c r="B472" s="14"/>
      <c r="C472" s="14"/>
      <c r="D472" s="18"/>
      <c r="E472" s="14"/>
      <c r="F472" s="14"/>
      <c r="G472" s="14" t="str">
        <f>CONCATENATE("M 53 ",G446)</f>
      </c>
      <c r="I472" s="14" t="str">
        <f>CONCATENATE("M 56 ",O462)</f>
      </c>
      <c r="J472" s="14"/>
      <c r="K472" s="14"/>
      <c r="L472" s="18"/>
      <c r="M472" s="14"/>
      <c r="N472" s="14"/>
      <c r="O472" s="14" t="str">
        <f>CONCATENATE("M 55 ",O446)</f>
      </c>
    </row>
    <row r="473">
      <c r="A473" s="14">
        <v>1</v>
      </c>
      <c r="B473" s="18"/>
      <c r="C473" s="18"/>
      <c r="D473" s="18"/>
      <c r="E473" s="18"/>
      <c r="F473" s="18"/>
      <c r="G473" s="14">
        <v>1</v>
      </c>
      <c r="I473" s="14">
        <v>1</v>
      </c>
      <c r="J473" s="18"/>
      <c r="K473" s="18"/>
      <c r="L473" s="18"/>
      <c r="M473" s="18"/>
      <c r="N473" s="18"/>
      <c r="O473" s="14">
        <v>1</v>
      </c>
    </row>
    <row r="474">
      <c r="A474" s="14">
        <v>2</v>
      </c>
      <c r="B474" s="18"/>
      <c r="C474" s="18"/>
      <c r="D474" s="18"/>
      <c r="E474" s="18"/>
      <c r="F474" s="18"/>
      <c r="G474" s="14">
        <v>2</v>
      </c>
      <c r="I474" s="14">
        <v>2</v>
      </c>
      <c r="J474" s="18"/>
      <c r="K474" s="18"/>
      <c r="L474" s="18"/>
      <c r="M474" s="18"/>
      <c r="N474" s="18"/>
      <c r="O474" s="14">
        <v>2</v>
      </c>
    </row>
    <row r="475">
      <c r="A475" s="14">
        <v>3</v>
      </c>
      <c r="B475" s="18"/>
      <c r="C475" s="18"/>
      <c r="D475" s="18"/>
      <c r="E475" s="18"/>
      <c r="F475" s="18"/>
      <c r="G475" s="14">
        <v>3</v>
      </c>
      <c r="I475" s="14">
        <v>3</v>
      </c>
      <c r="J475" s="18"/>
      <c r="K475" s="18"/>
      <c r="L475" s="18"/>
      <c r="M475" s="18"/>
      <c r="N475" s="18"/>
      <c r="O475" s="14">
        <v>3</v>
      </c>
    </row>
    <row r="476">
      <c r="A476" s="14">
        <v>4</v>
      </c>
      <c r="B476" s="18"/>
      <c r="C476" s="18"/>
      <c r="D476" s="18"/>
      <c r="E476" s="18"/>
      <c r="F476" s="18"/>
      <c r="G476" s="14">
        <v>4</v>
      </c>
      <c r="I476" s="14">
        <v>4</v>
      </c>
      <c r="J476" s="18"/>
      <c r="K476" s="18"/>
      <c r="L476" s="18"/>
      <c r="M476" s="18"/>
      <c r="N476" s="18"/>
      <c r="O476" s="14">
        <v>4</v>
      </c>
    </row>
    <row r="477">
      <c r="A477" s="14">
        <v>5</v>
      </c>
      <c r="B477" s="18"/>
      <c r="C477" s="18"/>
      <c r="D477" s="18"/>
      <c r="E477" s="18"/>
      <c r="F477" s="18"/>
      <c r="G477" s="14">
        <v>5</v>
      </c>
      <c r="I477" s="14">
        <v>5</v>
      </c>
      <c r="J477" s="18"/>
      <c r="K477" s="18"/>
      <c r="L477" s="18"/>
      <c r="M477" s="18"/>
      <c r="N477" s="18"/>
      <c r="O477" s="14">
        <v>5</v>
      </c>
    </row>
    <row r="479">
      <c r="A479" s="14" t="str">
        <f>CONCATENATE("M 54 ",G462)</f>
      </c>
      <c r="B479" s="14" t="s">
        <v>338</v>
      </c>
      <c r="C479" s="14" t="s">
        <v>341</v>
      </c>
      <c r="D479" s="14"/>
      <c r="E479" s="14" t="s">
        <v>341</v>
      </c>
      <c r="F479" s="14" t="s">
        <v>338</v>
      </c>
      <c r="G479" s="14" t="str">
        <f>CONCATENATE("M 53 ",G446)</f>
      </c>
      <c r="I479" s="14" t="str">
        <f>CONCATENATE("M 56 ",O462)</f>
      </c>
      <c r="J479" s="14" t="s">
        <v>338</v>
      </c>
      <c r="K479" s="14" t="s">
        <v>341</v>
      </c>
      <c r="L479" s="14"/>
      <c r="M479" s="14" t="s">
        <v>341</v>
      </c>
      <c r="N479" s="14" t="s">
        <v>338</v>
      </c>
      <c r="O479" s="14" t="str">
        <f>CONCATENATE("M 55 ",O446)</f>
      </c>
    </row>
    <row r="480">
      <c r="A480" s="14" t="s">
        <v>349</v>
      </c>
      <c r="B480" s="14" t="str">
        <f>IF(UPPER(D473)="X",0,IF((LEN(SUBSTITUTE(SUBSTITUTE(SUBSTITUTE(B473," ",""),"0",""),"-",""))+LEN(SUBSTITUTE(SUBSTITUTE(SUBSTITUTE(C473," ",""),"0",""),"-","")))&gt;(LEN(SUBSTITUTE(SUBSTITUTE(SUBSTITUTE(E473," ",""),"0",""),"-",""))+LEN(SUBSTITUTE(SUBSTITUTE(SUBSTITUTE(F473," ",""),"0",""),"-",""))),1,0))+IF(UPPER(D474)="X",0,IF((LEN(SUBSTITUTE(SUBSTITUTE(SUBSTITUTE(B474," ",""),"0",""),"-",""))+LEN(SUBSTITUTE(SUBSTITUTE(SUBSTITUTE(C474," ",""),"0",""),"-","")))&gt;(LEN(SUBSTITUTE(SUBSTITUTE(SUBSTITUTE(E474," ",""),"0",""),"-",""))+LEN(SUBSTITUTE(SUBSTITUTE(SUBSTITUTE(F474," ",""),"0",""),"-",""))),1,0))+IF(UPPER(D475)="X",0,IF((LEN(SUBSTITUTE(SUBSTITUTE(SUBSTITUTE(B475," ",""),"0",""),"-",""))+LEN(SUBSTITUTE(SUBSTITUTE(SUBSTITUTE(C475," ",""),"0",""),"-","")))&gt;(LEN(SUBSTITUTE(SUBSTITUTE(SUBSTITUTE(E475," ",""),"0",""),"-",""))+LEN(SUBSTITUTE(SUBSTITUTE(SUBSTITUTE(F475," ",""),"0",""),"-",""))),1,0))+IF(UPPER(D476)="X",0,IF((LEN(SUBSTITUTE(SUBSTITUTE(SUBSTITUTE(B476," ",""),"0",""),"-",""))+LEN(SUBSTITUTE(SUBSTITUTE(SUBSTITUTE(C476," ",""),"0",""),"-","")))&gt;(LEN(SUBSTITUTE(SUBSTITUTE(SUBSTITUTE(E476," ",""),"0",""),"-",""))+LEN(SUBSTITUTE(SUBSTITUTE(SUBSTITUTE(F476," ",""),"0",""),"-",""))),1,0))+IF(UPPER(D477)="X",0,IF((LEN(SUBSTITUTE(SUBSTITUTE(SUBSTITUTE(B477," ",""),"0",""),"-",""))+LEN(SUBSTITUTE(SUBSTITUTE(SUBSTITUTE(C477," ",""),"0",""),"-","")))&gt;(LEN(SUBSTITUTE(SUBSTITUTE(SUBSTITUTE(E477," ",""),"0",""),"-",""))+LEN(SUBSTITUTE(SUBSTITUTE(SUBSTITUTE(F477," ",""),"0",""),"-",""))),1,0))</f>
      </c>
      <c r="C480" s="14" t="str">
        <f>LEN(SUBSTITUTE(SUBSTITUTE(SUBSTITUTE(B473," ",""),"0",""),"-",""))+LEN(SUBSTITUTE(SUBSTITUTE(SUBSTITUTE(C473," ",""),"0",""),"-",""))+LEN(SUBSTITUTE(SUBSTITUTE(SUBSTITUTE(B474," ",""),"0",""),"-",""))+LEN(SUBSTITUTE(SUBSTITUTE(SUBSTITUTE(C474," ",""),"0",""),"-",""))+LEN(SUBSTITUTE(SUBSTITUTE(SUBSTITUTE(B475," ",""),"0",""),"-",""))+LEN(SUBSTITUTE(SUBSTITUTE(SUBSTITUTE(C475," ",""),"0",""),"-",""))+LEN(SUBSTITUTE(SUBSTITUTE(SUBSTITUTE(B476," ",""),"0",""),"-",""))+LEN(SUBSTITUTE(SUBSTITUTE(SUBSTITUTE(C476," ",""),"0",""),"-",""))+LEN(SUBSTITUTE(SUBSTITUTE(SUBSTITUTE(B477," ",""),"0",""),"-",""))+LEN(SUBSTITUTE(SUBSTITUTE(SUBSTITUTE(C477," ",""),"0",""),"-",""))</f>
      </c>
      <c r="D480" s="14"/>
      <c r="E480" s="14" t="str">
        <f>LEN(SUBSTITUTE(SUBSTITUTE(SUBSTITUTE(E473," ",""),"0",""),"-",""))+LEN(SUBSTITUTE(SUBSTITUTE(SUBSTITUTE(F473," ",""),"0",""),"-",""))+LEN(SUBSTITUTE(SUBSTITUTE(SUBSTITUTE(E474," ",""),"0",""),"-",""))+LEN(SUBSTITUTE(SUBSTITUTE(SUBSTITUTE(F474," ",""),"0",""),"-",""))+LEN(SUBSTITUTE(SUBSTITUTE(SUBSTITUTE(E475," ",""),"0",""),"-",""))+LEN(SUBSTITUTE(SUBSTITUTE(SUBSTITUTE(F475," ",""),"0",""),"-",""))+LEN(SUBSTITUTE(SUBSTITUTE(SUBSTITUTE(E476," ",""),"0",""),"-",""))+LEN(SUBSTITUTE(SUBSTITUTE(SUBSTITUTE(F476," ",""),"0",""),"-",""))+LEN(SUBSTITUTE(SUBSTITUTE(SUBSTITUTE(E477," ",""),"0",""),"-",""))+LEN(SUBSTITUTE(SUBSTITUTE(SUBSTITUTE(F477," ",""),"0",""),"-",""))</f>
      </c>
      <c r="F480" s="14" t="str">
        <f>IF(UPPER(D473)="X",0,IF((LEN(SUBSTITUTE(SUBSTITUTE(SUBSTITUTE(E473," ",""),"0",""),"-",""))+LEN(SUBSTITUTE(SUBSTITUTE(SUBSTITUTE(F473," ",""),"0",""),"-","")))&gt;(LEN(SUBSTITUTE(SUBSTITUTE(SUBSTITUTE(B473," ",""),"0",""),"-",""))+LEN(SUBSTITUTE(SUBSTITUTE(SUBSTITUTE(C473," ",""),"0",""),"-",""))),1,0))+IF(UPPER(D474)="X",0,IF((LEN(SUBSTITUTE(SUBSTITUTE(SUBSTITUTE(E474," ",""),"0",""),"-",""))+LEN(SUBSTITUTE(SUBSTITUTE(SUBSTITUTE(F474," ",""),"0",""),"-","")))&gt;(LEN(SUBSTITUTE(SUBSTITUTE(SUBSTITUTE(B474," ",""),"0",""),"-",""))+LEN(SUBSTITUTE(SUBSTITUTE(SUBSTITUTE(C474," ",""),"0",""),"-",""))),1,0))+IF(UPPER(D475)="X",0,IF((LEN(SUBSTITUTE(SUBSTITUTE(SUBSTITUTE(E475," ",""),"0",""),"-",""))+LEN(SUBSTITUTE(SUBSTITUTE(SUBSTITUTE(F475," ",""),"0",""),"-","")))&gt;(LEN(SUBSTITUTE(SUBSTITUTE(SUBSTITUTE(B475," ",""),"0",""),"-",""))+LEN(SUBSTITUTE(SUBSTITUTE(SUBSTITUTE(C475," ",""),"0",""),"-",""))),1,0))+IF(UPPER(D476)="X",0,IF((LEN(SUBSTITUTE(SUBSTITUTE(SUBSTITUTE(E476," ",""),"0",""),"-",""))+LEN(SUBSTITUTE(SUBSTITUTE(SUBSTITUTE(F476," ",""),"0",""),"-","")))&gt;(LEN(SUBSTITUTE(SUBSTITUTE(SUBSTITUTE(B476," ",""),"0",""),"-",""))+LEN(SUBSTITUTE(SUBSTITUTE(SUBSTITUTE(C476," ",""),"0",""),"-",""))),1,0))+IF(UPPER(D477)="X",0,IF((LEN(SUBSTITUTE(SUBSTITUTE(SUBSTITUTE(E477," ",""),"0",""),"-",""))+LEN(SUBSTITUTE(SUBSTITUTE(SUBSTITUTE(F477," ",""),"0",""),"-","")))&gt;(LEN(SUBSTITUTE(SUBSTITUTE(SUBSTITUTE(B477," ",""),"0",""),"-",""))+LEN(SUBSTITUTE(SUBSTITUTE(SUBSTITUTE(C477," ",""),"0",""),"-",""))),1,0))</f>
      </c>
      <c r="G480" s="14" t="s">
        <v>349</v>
      </c>
      <c r="I480" s="14" t="s">
        <v>349</v>
      </c>
      <c r="J480" s="14" t="str">
        <f>IF(UPPER(L473)="X",0,IF((LEN(SUBSTITUTE(SUBSTITUTE(SUBSTITUTE(J473," ",""),"0",""),"-",""))+LEN(SUBSTITUTE(SUBSTITUTE(SUBSTITUTE(K473," ",""),"0",""),"-","")))&gt;(LEN(SUBSTITUTE(SUBSTITUTE(SUBSTITUTE(M473," ",""),"0",""),"-",""))+LEN(SUBSTITUTE(SUBSTITUTE(SUBSTITUTE(N473," ",""),"0",""),"-",""))),1,0))+IF(UPPER(L474)="X",0,IF((LEN(SUBSTITUTE(SUBSTITUTE(SUBSTITUTE(J474," ",""),"0",""),"-",""))+LEN(SUBSTITUTE(SUBSTITUTE(SUBSTITUTE(K474," ",""),"0",""),"-","")))&gt;(LEN(SUBSTITUTE(SUBSTITUTE(SUBSTITUTE(M474," ",""),"0",""),"-",""))+LEN(SUBSTITUTE(SUBSTITUTE(SUBSTITUTE(N474," ",""),"0",""),"-",""))),1,0))+IF(UPPER(L475)="X",0,IF((LEN(SUBSTITUTE(SUBSTITUTE(SUBSTITUTE(J475," ",""),"0",""),"-",""))+LEN(SUBSTITUTE(SUBSTITUTE(SUBSTITUTE(K475," ",""),"0",""),"-","")))&gt;(LEN(SUBSTITUTE(SUBSTITUTE(SUBSTITUTE(M475," ",""),"0",""),"-",""))+LEN(SUBSTITUTE(SUBSTITUTE(SUBSTITUTE(N475," ",""),"0",""),"-",""))),1,0))+IF(UPPER(L476)="X",0,IF((LEN(SUBSTITUTE(SUBSTITUTE(SUBSTITUTE(J476," ",""),"0",""),"-",""))+LEN(SUBSTITUTE(SUBSTITUTE(SUBSTITUTE(K476," ",""),"0",""),"-","")))&gt;(LEN(SUBSTITUTE(SUBSTITUTE(SUBSTITUTE(M476," ",""),"0",""),"-",""))+LEN(SUBSTITUTE(SUBSTITUTE(SUBSTITUTE(N476," ",""),"0",""),"-",""))),1,0))+IF(UPPER(L477)="X",0,IF((LEN(SUBSTITUTE(SUBSTITUTE(SUBSTITUTE(J477," ",""),"0",""),"-",""))+LEN(SUBSTITUTE(SUBSTITUTE(SUBSTITUTE(K477," ",""),"0",""),"-","")))&gt;(LEN(SUBSTITUTE(SUBSTITUTE(SUBSTITUTE(M477," ",""),"0",""),"-",""))+LEN(SUBSTITUTE(SUBSTITUTE(SUBSTITUTE(N477," ",""),"0",""),"-",""))),1,0))</f>
      </c>
      <c r="K480" s="14" t="str">
        <f>LEN(SUBSTITUTE(SUBSTITUTE(SUBSTITUTE(J473," ",""),"0",""),"-",""))+LEN(SUBSTITUTE(SUBSTITUTE(SUBSTITUTE(K473," ",""),"0",""),"-",""))+LEN(SUBSTITUTE(SUBSTITUTE(SUBSTITUTE(J474," ",""),"0",""),"-",""))+LEN(SUBSTITUTE(SUBSTITUTE(SUBSTITUTE(K474," ",""),"0",""),"-",""))+LEN(SUBSTITUTE(SUBSTITUTE(SUBSTITUTE(J475," ",""),"0",""),"-",""))+LEN(SUBSTITUTE(SUBSTITUTE(SUBSTITUTE(K475," ",""),"0",""),"-",""))+LEN(SUBSTITUTE(SUBSTITUTE(SUBSTITUTE(J476," ",""),"0",""),"-",""))+LEN(SUBSTITUTE(SUBSTITUTE(SUBSTITUTE(K476," ",""),"0",""),"-",""))+LEN(SUBSTITUTE(SUBSTITUTE(SUBSTITUTE(J477," ",""),"0",""),"-",""))+LEN(SUBSTITUTE(SUBSTITUTE(SUBSTITUTE(K477," ",""),"0",""),"-",""))</f>
      </c>
      <c r="L480" s="14"/>
      <c r="M480" s="14" t="str">
        <f>LEN(SUBSTITUTE(SUBSTITUTE(SUBSTITUTE(M473," ",""),"0",""),"-",""))+LEN(SUBSTITUTE(SUBSTITUTE(SUBSTITUTE(N473," ",""),"0",""),"-",""))+LEN(SUBSTITUTE(SUBSTITUTE(SUBSTITUTE(M474," ",""),"0",""),"-",""))+LEN(SUBSTITUTE(SUBSTITUTE(SUBSTITUTE(N474," ",""),"0",""),"-",""))+LEN(SUBSTITUTE(SUBSTITUTE(SUBSTITUTE(M475," ",""),"0",""),"-",""))+LEN(SUBSTITUTE(SUBSTITUTE(SUBSTITUTE(N475," ",""),"0",""),"-",""))+LEN(SUBSTITUTE(SUBSTITUTE(SUBSTITUTE(M476," ",""),"0",""),"-",""))+LEN(SUBSTITUTE(SUBSTITUTE(SUBSTITUTE(N476," ",""),"0",""),"-",""))+LEN(SUBSTITUTE(SUBSTITUTE(SUBSTITUTE(M477," ",""),"0",""),"-",""))+LEN(SUBSTITUTE(SUBSTITUTE(SUBSTITUTE(N477," ",""),"0",""),"-",""))</f>
      </c>
      <c r="N480" s="14" t="str">
        <f>IF(UPPER(L473)="X",0,IF((LEN(SUBSTITUTE(SUBSTITUTE(SUBSTITUTE(M473," ",""),"0",""),"-",""))+LEN(SUBSTITUTE(SUBSTITUTE(SUBSTITUTE(N473," ",""),"0",""),"-","")))&gt;(LEN(SUBSTITUTE(SUBSTITUTE(SUBSTITUTE(J473," ",""),"0",""),"-",""))+LEN(SUBSTITUTE(SUBSTITUTE(SUBSTITUTE(K473," ",""),"0",""),"-",""))),1,0))+IF(UPPER(L474)="X",0,IF((LEN(SUBSTITUTE(SUBSTITUTE(SUBSTITUTE(M474," ",""),"0",""),"-",""))+LEN(SUBSTITUTE(SUBSTITUTE(SUBSTITUTE(N474," ",""),"0",""),"-","")))&gt;(LEN(SUBSTITUTE(SUBSTITUTE(SUBSTITUTE(J474," ",""),"0",""),"-",""))+LEN(SUBSTITUTE(SUBSTITUTE(SUBSTITUTE(K474," ",""),"0",""),"-",""))),1,0))+IF(UPPER(L475)="X",0,IF((LEN(SUBSTITUTE(SUBSTITUTE(SUBSTITUTE(M475," ",""),"0",""),"-",""))+LEN(SUBSTITUTE(SUBSTITUTE(SUBSTITUTE(N475," ",""),"0",""),"-","")))&gt;(LEN(SUBSTITUTE(SUBSTITUTE(SUBSTITUTE(J475," ",""),"0",""),"-",""))+LEN(SUBSTITUTE(SUBSTITUTE(SUBSTITUTE(K475," ",""),"0",""),"-",""))),1,0))+IF(UPPER(L476)="X",0,IF((LEN(SUBSTITUTE(SUBSTITUTE(SUBSTITUTE(M476," ",""),"0",""),"-",""))+LEN(SUBSTITUTE(SUBSTITUTE(SUBSTITUTE(N476," ",""),"0",""),"-","")))&gt;(LEN(SUBSTITUTE(SUBSTITUTE(SUBSTITUTE(J476," ",""),"0",""),"-",""))+LEN(SUBSTITUTE(SUBSTITUTE(SUBSTITUTE(K476," ",""),"0",""),"-",""))),1,0))+IF(UPPER(L477)="X",0,IF((LEN(SUBSTITUTE(SUBSTITUTE(SUBSTITUTE(M477," ",""),"0",""),"-",""))+LEN(SUBSTITUTE(SUBSTITUTE(SUBSTITUTE(N477," ",""),"0",""),"-","")))&gt;(LEN(SUBSTITUTE(SUBSTITUTE(SUBSTITUTE(J477," ",""),"0",""),"-",""))+LEN(SUBSTITUTE(SUBSTITUTE(SUBSTITUTE(K477," ",""),"0",""),"-",""))),1,0))</f>
      </c>
      <c r="O480" s="14" t="s">
        <v>349</v>
      </c>
    </row>
    <row r="483">
      <c r="F483" t="s">
        <v>344</v>
      </c>
      <c r="G483" s="19"/>
      <c r="N483" t="s">
        <v>344</v>
      </c>
      <c r="O483" s="19"/>
    </row>
    <row r="484">
      <c r="F484" t="s">
        <v>345</v>
      </c>
      <c r="G484" s="19"/>
      <c r="N484" t="s">
        <v>345</v>
      </c>
      <c r="O484" s="19"/>
    </row>
    <row r="491">
      <c r="A491" s="13" t="s">
        <v>407</v>
      </c>
      <c r="B491" s="13"/>
      <c r="C491" s="13"/>
      <c r="D491" s="13"/>
      <c r="E491" s="13"/>
      <c r="F491" s="13"/>
      <c r="G491" s="13"/>
    </row>
    <row r="492">
      <c r="A492" s="17" t="s">
        <v>330</v>
      </c>
      <c r="D492" s="14" t="s">
        <v>331</v>
      </c>
      <c r="G492" s="16" t="s">
        <v>332</v>
      </c>
    </row>
    <row r="493">
      <c r="A493" s="14" t="str">
        <f>CONCATENATE("M 58 ",O483)</f>
      </c>
      <c r="B493" s="14"/>
      <c r="C493" s="14"/>
      <c r="D493" s="18"/>
      <c r="E493" s="14"/>
      <c r="F493" s="14"/>
      <c r="G493" s="14" t="str">
        <f>CONCATENATE("M 57 ",G483)</f>
      </c>
    </row>
    <row r="494">
      <c r="A494" s="14">
        <v>1</v>
      </c>
      <c r="B494" s="18"/>
      <c r="C494" s="18"/>
      <c r="D494" s="18"/>
      <c r="E494" s="18"/>
      <c r="F494" s="18"/>
      <c r="G494" s="14">
        <v>1</v>
      </c>
    </row>
    <row r="495">
      <c r="A495" s="14">
        <v>2</v>
      </c>
      <c r="B495" s="18"/>
      <c r="C495" s="18"/>
      <c r="D495" s="18"/>
      <c r="E495" s="18"/>
      <c r="F495" s="18"/>
      <c r="G495" s="14">
        <v>2</v>
      </c>
    </row>
    <row r="496">
      <c r="A496" s="14">
        <v>3</v>
      </c>
      <c r="B496" s="18"/>
      <c r="C496" s="18"/>
      <c r="D496" s="18"/>
      <c r="E496" s="18"/>
      <c r="F496" s="18"/>
      <c r="G496" s="14">
        <v>3</v>
      </c>
    </row>
    <row r="497">
      <c r="A497" s="14">
        <v>4</v>
      </c>
      <c r="B497" s="18"/>
      <c r="C497" s="18"/>
      <c r="D497" s="18"/>
      <c r="E497" s="18"/>
      <c r="F497" s="18"/>
      <c r="G497" s="14">
        <v>4</v>
      </c>
    </row>
    <row r="498">
      <c r="A498" s="14">
        <v>5</v>
      </c>
      <c r="B498" s="18"/>
      <c r="C498" s="18"/>
      <c r="D498" s="18"/>
      <c r="E498" s="18"/>
      <c r="F498" s="18"/>
      <c r="G498" s="14">
        <v>5</v>
      </c>
    </row>
    <row r="500">
      <c r="A500" s="14" t="str">
        <f>CONCATENATE("M 58 ",O483)</f>
      </c>
      <c r="B500" s="14" t="s">
        <v>338</v>
      </c>
      <c r="C500" s="14" t="s">
        <v>341</v>
      </c>
      <c r="D500" s="14"/>
      <c r="E500" s="14" t="s">
        <v>341</v>
      </c>
      <c r="F500" s="14" t="s">
        <v>338</v>
      </c>
      <c r="G500" s="14" t="str">
        <f>CONCATENATE("M 57 ",G483)</f>
      </c>
    </row>
    <row r="501">
      <c r="A501" s="14" t="s">
        <v>349</v>
      </c>
      <c r="B501" s="14" t="str">
        <f>IF(UPPER(D494)="X",0,IF((LEN(SUBSTITUTE(SUBSTITUTE(SUBSTITUTE(B494," ",""),"0",""),"-",""))+LEN(SUBSTITUTE(SUBSTITUTE(SUBSTITUTE(C494," ",""),"0",""),"-","")))&gt;(LEN(SUBSTITUTE(SUBSTITUTE(SUBSTITUTE(E494," ",""),"0",""),"-",""))+LEN(SUBSTITUTE(SUBSTITUTE(SUBSTITUTE(F494," ",""),"0",""),"-",""))),1,0))+IF(UPPER(D495)="X",0,IF((LEN(SUBSTITUTE(SUBSTITUTE(SUBSTITUTE(B495," ",""),"0",""),"-",""))+LEN(SUBSTITUTE(SUBSTITUTE(SUBSTITUTE(C495," ",""),"0",""),"-","")))&gt;(LEN(SUBSTITUTE(SUBSTITUTE(SUBSTITUTE(E495," ",""),"0",""),"-",""))+LEN(SUBSTITUTE(SUBSTITUTE(SUBSTITUTE(F495," ",""),"0",""),"-",""))),1,0))+IF(UPPER(D496)="X",0,IF((LEN(SUBSTITUTE(SUBSTITUTE(SUBSTITUTE(B496," ",""),"0",""),"-",""))+LEN(SUBSTITUTE(SUBSTITUTE(SUBSTITUTE(C496," ",""),"0",""),"-","")))&gt;(LEN(SUBSTITUTE(SUBSTITUTE(SUBSTITUTE(E496," ",""),"0",""),"-",""))+LEN(SUBSTITUTE(SUBSTITUTE(SUBSTITUTE(F496," ",""),"0",""),"-",""))),1,0))+IF(UPPER(D497)="X",0,IF((LEN(SUBSTITUTE(SUBSTITUTE(SUBSTITUTE(B497," ",""),"0",""),"-",""))+LEN(SUBSTITUTE(SUBSTITUTE(SUBSTITUTE(C497," ",""),"0",""),"-","")))&gt;(LEN(SUBSTITUTE(SUBSTITUTE(SUBSTITUTE(E497," ",""),"0",""),"-",""))+LEN(SUBSTITUTE(SUBSTITUTE(SUBSTITUTE(F497," ",""),"0",""),"-",""))),1,0))+IF(UPPER(D498)="X",0,IF((LEN(SUBSTITUTE(SUBSTITUTE(SUBSTITUTE(B498," ",""),"0",""),"-",""))+LEN(SUBSTITUTE(SUBSTITUTE(SUBSTITUTE(C498," ",""),"0",""),"-","")))&gt;(LEN(SUBSTITUTE(SUBSTITUTE(SUBSTITUTE(E498," ",""),"0",""),"-",""))+LEN(SUBSTITUTE(SUBSTITUTE(SUBSTITUTE(F498," ",""),"0",""),"-",""))),1,0))</f>
      </c>
      <c r="C501" s="14" t="str">
        <f>LEN(SUBSTITUTE(SUBSTITUTE(SUBSTITUTE(B494," ",""),"0",""),"-",""))+LEN(SUBSTITUTE(SUBSTITUTE(SUBSTITUTE(C494," ",""),"0",""),"-",""))+LEN(SUBSTITUTE(SUBSTITUTE(SUBSTITUTE(B495," ",""),"0",""),"-",""))+LEN(SUBSTITUTE(SUBSTITUTE(SUBSTITUTE(C495," ",""),"0",""),"-",""))+LEN(SUBSTITUTE(SUBSTITUTE(SUBSTITUTE(B496," ",""),"0",""),"-",""))+LEN(SUBSTITUTE(SUBSTITUTE(SUBSTITUTE(C496," ",""),"0",""),"-",""))+LEN(SUBSTITUTE(SUBSTITUTE(SUBSTITUTE(B497," ",""),"0",""),"-",""))+LEN(SUBSTITUTE(SUBSTITUTE(SUBSTITUTE(C497," ",""),"0",""),"-",""))+LEN(SUBSTITUTE(SUBSTITUTE(SUBSTITUTE(B498," ",""),"0",""),"-",""))+LEN(SUBSTITUTE(SUBSTITUTE(SUBSTITUTE(C498," ",""),"0",""),"-",""))</f>
      </c>
      <c r="D501" s="14"/>
      <c r="E501" s="14" t="str">
        <f>LEN(SUBSTITUTE(SUBSTITUTE(SUBSTITUTE(E494," ",""),"0",""),"-",""))+LEN(SUBSTITUTE(SUBSTITUTE(SUBSTITUTE(F494," ",""),"0",""),"-",""))+LEN(SUBSTITUTE(SUBSTITUTE(SUBSTITUTE(E495," ",""),"0",""),"-",""))+LEN(SUBSTITUTE(SUBSTITUTE(SUBSTITUTE(F495," ",""),"0",""),"-",""))+LEN(SUBSTITUTE(SUBSTITUTE(SUBSTITUTE(E496," ",""),"0",""),"-",""))+LEN(SUBSTITUTE(SUBSTITUTE(SUBSTITUTE(F496," ",""),"0",""),"-",""))+LEN(SUBSTITUTE(SUBSTITUTE(SUBSTITUTE(E497," ",""),"0",""),"-",""))+LEN(SUBSTITUTE(SUBSTITUTE(SUBSTITUTE(F497," ",""),"0",""),"-",""))+LEN(SUBSTITUTE(SUBSTITUTE(SUBSTITUTE(E498," ",""),"0",""),"-",""))+LEN(SUBSTITUTE(SUBSTITUTE(SUBSTITUTE(F498," ",""),"0",""),"-",""))</f>
      </c>
      <c r="F501" s="14" t="str">
        <f>IF(UPPER(D494)="X",0,IF((LEN(SUBSTITUTE(SUBSTITUTE(SUBSTITUTE(E494," ",""),"0",""),"-",""))+LEN(SUBSTITUTE(SUBSTITUTE(SUBSTITUTE(F494," ",""),"0",""),"-","")))&gt;(LEN(SUBSTITUTE(SUBSTITUTE(SUBSTITUTE(B494," ",""),"0",""),"-",""))+LEN(SUBSTITUTE(SUBSTITUTE(SUBSTITUTE(C494," ",""),"0",""),"-",""))),1,0))+IF(UPPER(D495)="X",0,IF((LEN(SUBSTITUTE(SUBSTITUTE(SUBSTITUTE(E495," ",""),"0",""),"-",""))+LEN(SUBSTITUTE(SUBSTITUTE(SUBSTITUTE(F495," ",""),"0",""),"-","")))&gt;(LEN(SUBSTITUTE(SUBSTITUTE(SUBSTITUTE(B495," ",""),"0",""),"-",""))+LEN(SUBSTITUTE(SUBSTITUTE(SUBSTITUTE(C495," ",""),"0",""),"-",""))),1,0))+IF(UPPER(D496)="X",0,IF((LEN(SUBSTITUTE(SUBSTITUTE(SUBSTITUTE(E496," ",""),"0",""),"-",""))+LEN(SUBSTITUTE(SUBSTITUTE(SUBSTITUTE(F496," ",""),"0",""),"-","")))&gt;(LEN(SUBSTITUTE(SUBSTITUTE(SUBSTITUTE(B496," ",""),"0",""),"-",""))+LEN(SUBSTITUTE(SUBSTITUTE(SUBSTITUTE(C496," ",""),"0",""),"-",""))),1,0))+IF(UPPER(D497)="X",0,IF((LEN(SUBSTITUTE(SUBSTITUTE(SUBSTITUTE(E497," ",""),"0",""),"-",""))+LEN(SUBSTITUTE(SUBSTITUTE(SUBSTITUTE(F497," ",""),"0",""),"-","")))&gt;(LEN(SUBSTITUTE(SUBSTITUTE(SUBSTITUTE(B497," ",""),"0",""),"-",""))+LEN(SUBSTITUTE(SUBSTITUTE(SUBSTITUTE(C497," ",""),"0",""),"-",""))),1,0))+IF(UPPER(D498)="X",0,IF((LEN(SUBSTITUTE(SUBSTITUTE(SUBSTITUTE(E498," ",""),"0",""),"-",""))+LEN(SUBSTITUTE(SUBSTITUTE(SUBSTITUTE(F498," ",""),"0",""),"-","")))&gt;(LEN(SUBSTITUTE(SUBSTITUTE(SUBSTITUTE(B498," ",""),"0",""),"-",""))+LEN(SUBSTITUTE(SUBSTITUTE(SUBSTITUTE(C498," ",""),"0",""),"-",""))),1,0))</f>
      </c>
      <c r="G501" s="14" t="s">
        <v>349</v>
      </c>
    </row>
    <row r="504">
      <c r="F504" t="s">
        <v>344</v>
      </c>
      <c r="G504" s="19"/>
    </row>
    <row r="505">
      <c r="F505" t="s">
        <v>345</v>
      </c>
      <c r="G505"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61">
    <mergeCell ref="A1:G1"/>
    <mergeCell ref="I1:O1"/>
    <mergeCell ref="A2:G2"/>
    <mergeCell ref="I2:O2"/>
    <mergeCell ref="A18:G18"/>
    <mergeCell ref="I18:O18"/>
    <mergeCell ref="A34:G34"/>
    <mergeCell ref="I34:O34"/>
    <mergeCell ref="A50:G50"/>
    <mergeCell ref="I50:O50"/>
    <mergeCell ref="A66:G66"/>
    <mergeCell ref="I66:O66"/>
    <mergeCell ref="A82:G82"/>
    <mergeCell ref="I82:O82"/>
    <mergeCell ref="A98:G98"/>
    <mergeCell ref="I98:O98"/>
    <mergeCell ref="A114:G114"/>
    <mergeCell ref="I114:O114"/>
    <mergeCell ref="A130:G130"/>
    <mergeCell ref="I130:O130"/>
    <mergeCell ref="A146:G146"/>
    <mergeCell ref="I146:O146"/>
    <mergeCell ref="A162:G162"/>
    <mergeCell ref="I162:O162"/>
    <mergeCell ref="A178:G178"/>
    <mergeCell ref="I178:O178"/>
    <mergeCell ref="A194:G194"/>
    <mergeCell ref="I194:O194"/>
    <mergeCell ref="A210:G210"/>
    <mergeCell ref="I210:O210"/>
    <mergeCell ref="A231:G231"/>
    <mergeCell ref="I231:O231"/>
    <mergeCell ref="A247:G247"/>
    <mergeCell ref="I247:O247"/>
    <mergeCell ref="A263:G263"/>
    <mergeCell ref="I263:O263"/>
    <mergeCell ref="A279:G279"/>
    <mergeCell ref="I279:O279"/>
    <mergeCell ref="A295:G295"/>
    <mergeCell ref="I295:O295"/>
    <mergeCell ref="A311:G311"/>
    <mergeCell ref="I311:O311"/>
    <mergeCell ref="A327:G327"/>
    <mergeCell ref="I327:O327"/>
    <mergeCell ref="A343:G343"/>
    <mergeCell ref="I343:O343"/>
    <mergeCell ref="A364:G364"/>
    <mergeCell ref="I364:O364"/>
    <mergeCell ref="A380:G380"/>
    <mergeCell ref="I380:O380"/>
    <mergeCell ref="A396:G396"/>
    <mergeCell ref="I396:O396"/>
    <mergeCell ref="A412:G412"/>
    <mergeCell ref="I412:O412"/>
    <mergeCell ref="A433:G433"/>
    <mergeCell ref="I433:O433"/>
    <mergeCell ref="A449:G449"/>
    <mergeCell ref="I449:O449"/>
    <mergeCell ref="A470:G470"/>
    <mergeCell ref="I470:O470"/>
    <mergeCell ref="A491:G491"/>
  </mergeCells>
  <printOptions horizontalCentered="true" verticalCentered="true"/>
  <pageSetup fitToHeight="0" fitToWidth="2" orientation="portrait" pageOrder="downThenOver" paperSize="9"/>
  <rowBreaks count="14" manualBreakCount="14">
    <brk id="33" max="16383" man="true"/>
    <brk id="65" max="16383" man="true"/>
    <brk id="97" max="16383" man="true"/>
    <brk id="129" max="16383" man="true"/>
    <brk id="161" max="16383" man="true"/>
    <brk id="193" max="16383" man="true"/>
    <brk id="230" max="16383" man="true"/>
    <brk id="262" max="16383" man="true"/>
    <brk id="294" max="16383" man="true"/>
    <brk id="326" max="16383" man="true"/>
    <brk id="363" max="16383" man="true"/>
    <brk id="395" max="16383" man="true"/>
    <brk id="432" max="16383" man="true"/>
    <brk id="469"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'data'!$A$6</f>
      </c>
    </row>
    <row r="5">
      <c r="A5" s="25" t="str">
        <f>data!$E$3&amp;" "&amp;data!$B$3</f>
      </c>
      <c r="C5" s="23" t="str">
        <f>CONCATENATE("Pool A-1st ",'Pool Matches'!G50)</f>
      </c>
    </row>
    <row r="6">
      <c r="A6" s="26" t="str">
        <f>data!$E$4&amp;" "&amp;data!$B$4</f>
      </c>
      <c r="D6" s="22"/>
      <c r="E6" s="21">
        <v>1</v>
      </c>
    </row>
    <row r="7">
      <c r="A7" s="26" t="str">
        <f>data!$E$5&amp;" "&amp;data!$B$5</f>
      </c>
      <c r="C7" s="23" t="str">
        <f>CONCATENATE("Pool P-2nd ",'Pool Matches'!O49)</f>
      </c>
      <c r="D7" s="15"/>
      <c r="E7" s="20"/>
      <c r="F7" s="22"/>
      <c r="G7" s="20"/>
    </row>
    <row r="8">
      <c r="A8" s="27" t="str">
        <f>data!$E$6&amp;" "&amp;data!$B$6</f>
      </c>
      <c r="G8" s="21">
        <v>29</v>
      </c>
    </row>
    <row r="9">
      <c r="A9" s="22"/>
      <c r="C9" s="23" t="str">
        <f>CONCATENATE("Pool B-1st ",'Pool Matches'!G93)</f>
      </c>
      <c r="G9" s="20"/>
      <c r="H9" s="22"/>
      <c r="I9" s="20"/>
    </row>
    <row r="10">
      <c r="A10" s="24" t="str">
        <f>'data'!$A$9</f>
      </c>
      <c r="D10" s="22"/>
      <c r="E10" s="21">
        <v>2</v>
      </c>
      <c r="F10" s="15"/>
      <c r="G10" s="20"/>
      <c r="I10" s="20"/>
    </row>
    <row r="11">
      <c r="A11" s="25" t="str">
        <f>data!$E$7&amp;" "&amp;data!$B$7</f>
      </c>
      <c r="C11" s="23" t="str">
        <f>CONCATENATE("Pool Q-2nd ",'Pool Matches'!O94)</f>
      </c>
      <c r="D11" s="15"/>
      <c r="E11" s="20"/>
      <c r="I11" s="20"/>
    </row>
    <row r="12">
      <c r="A12" s="26" t="str">
        <f>data!$E$8&amp;" "&amp;data!$B$8</f>
      </c>
      <c r="I12" s="21">
        <v>45</v>
      </c>
    </row>
    <row r="13">
      <c r="A13" s="27" t="str">
        <f>data!$E$9&amp;" "&amp;data!$B$9</f>
      </c>
      <c r="C13" s="23" t="str">
        <f>CONCATENATE("Pool C-1st ",'Pool Matches'!G136)</f>
      </c>
      <c r="I13" s="20"/>
      <c r="J13" s="22"/>
      <c r="K13" s="20"/>
    </row>
    <row r="14">
      <c r="A14" s="22"/>
      <c r="D14" s="22"/>
      <c r="E14" s="21">
        <v>3</v>
      </c>
      <c r="I14" s="20"/>
      <c r="K14" s="20"/>
    </row>
    <row r="15">
      <c r="A15" s="24" t="str">
        <f>'data'!$A$12</f>
      </c>
      <c r="C15" s="23" t="str">
        <f>CONCATENATE("Pool R-2nd ",'Pool Matches'!O137)</f>
      </c>
      <c r="D15" s="15"/>
      <c r="E15" s="20"/>
      <c r="F15" s="22"/>
      <c r="G15" s="20"/>
      <c r="I15" s="20"/>
      <c r="K15" s="20"/>
    </row>
    <row r="16">
      <c r="A16" s="25" t="str">
        <f>data!$E$10&amp;" "&amp;data!$B$10</f>
      </c>
      <c r="G16" s="21">
        <v>30</v>
      </c>
      <c r="H16" s="15"/>
      <c r="I16" s="20"/>
      <c r="K16" s="20"/>
    </row>
    <row r="17">
      <c r="A17" s="26" t="str">
        <f>data!$E$11&amp;" "&amp;data!$B$11</f>
      </c>
      <c r="C17" s="23" t="str">
        <f>CONCATENATE("Pool D-1st ",'Pool Matches'!G179)</f>
      </c>
      <c r="G17" s="20"/>
      <c r="K17" s="20"/>
    </row>
    <row r="18">
      <c r="A18" s="27" t="str">
        <f>data!$E$12&amp;" "&amp;data!$B$12</f>
      </c>
      <c r="D18" s="22"/>
      <c r="E18" s="21">
        <v>4</v>
      </c>
      <c r="F18" s="15"/>
      <c r="G18" s="20"/>
      <c r="K18" s="20"/>
    </row>
    <row r="19">
      <c r="A19" s="22"/>
      <c r="C19" s="23" t="str">
        <f>CONCATENATE("Pool S-2nd ",'Pool Matches'!O180)</f>
      </c>
      <c r="D19" s="15"/>
      <c r="E19" s="20"/>
      <c r="K19" s="20"/>
    </row>
    <row r="20">
      <c r="A20" s="24" t="str">
        <f>'data'!$A$15</f>
      </c>
      <c r="K20" s="21">
        <v>53</v>
      </c>
    </row>
    <row r="21">
      <c r="A21" s="25" t="str">
        <f>data!$E$13&amp;" "&amp;data!$B$13</f>
      </c>
      <c r="C21" s="23" t="str">
        <f>CONCATENATE("Pool E-1st ",'Pool Matches'!G222)</f>
      </c>
      <c r="K21" s="20"/>
    </row>
    <row r="22">
      <c r="A22" s="26" t="str">
        <f>data!$E$14&amp;" "&amp;data!$B$14</f>
      </c>
      <c r="D22" s="22"/>
      <c r="E22" s="21">
        <v>5</v>
      </c>
      <c r="K22" s="20"/>
    </row>
    <row r="23">
      <c r="A23" s="27" t="str">
        <f>data!$E$15&amp;" "&amp;data!$B$15</f>
      </c>
      <c r="C23" s="23" t="str">
        <f>CONCATENATE("Pool T-2nd ",'Pool Matches'!O223)</f>
      </c>
      <c r="D23" s="15"/>
      <c r="E23" s="20"/>
      <c r="F23" s="22"/>
      <c r="G23" s="20"/>
      <c r="K23" s="20"/>
    </row>
    <row r="24">
      <c r="A24" s="22"/>
      <c r="G24" s="21">
        <v>31</v>
      </c>
      <c r="K24" s="20"/>
    </row>
    <row r="25">
      <c r="A25" s="24" t="str">
        <f>'data'!$A$18</f>
      </c>
      <c r="C25" s="23" t="str">
        <f>CONCATENATE("Pool F-1st ",'Pool Matches'!G265)</f>
      </c>
      <c r="G25" s="20"/>
      <c r="H25" s="22"/>
      <c r="I25" s="20"/>
      <c r="K25" s="20"/>
    </row>
    <row r="26">
      <c r="A26" s="25" t="str">
        <f>data!$E$16&amp;" "&amp;data!$B$16</f>
      </c>
      <c r="D26" s="22"/>
      <c r="E26" s="21">
        <v>6</v>
      </c>
      <c r="F26" s="15"/>
      <c r="G26" s="20"/>
      <c r="I26" s="20"/>
      <c r="K26" s="20"/>
    </row>
    <row r="27">
      <c r="A27" s="26" t="str">
        <f>data!$E$17&amp;" "&amp;data!$B$17</f>
      </c>
      <c r="C27" s="23" t="str">
        <f>CONCATENATE("Pool U-2nd ",'Pool Matches'!O266)</f>
      </c>
      <c r="D27" s="15"/>
      <c r="E27" s="20"/>
      <c r="I27" s="20"/>
      <c r="K27" s="20"/>
    </row>
    <row r="28">
      <c r="A28" s="27" t="str">
        <f>data!$E$18&amp;" "&amp;data!$B$18</f>
      </c>
      <c r="I28" s="21">
        <v>46</v>
      </c>
      <c r="J28" s="15"/>
      <c r="K28" s="20"/>
    </row>
    <row r="29">
      <c r="A29" s="22"/>
      <c r="C29" s="23" t="str">
        <f>CONCATENATE("Pool G-1st ",'Pool Matches'!G308)</f>
      </c>
      <c r="I29" s="20"/>
    </row>
    <row r="30">
      <c r="A30" s="24" t="str">
        <f>'data'!$A$21</f>
      </c>
      <c r="D30" s="22"/>
      <c r="E30" s="21">
        <v>7</v>
      </c>
      <c r="I30" s="20"/>
    </row>
    <row r="31">
      <c r="A31" s="25" t="str">
        <f>data!$E$19&amp;" "&amp;data!$B$19</f>
      </c>
      <c r="C31" s="23" t="str">
        <f>CONCATENATE("Pool V-2nd ",'Pool Matches'!O309)</f>
      </c>
      <c r="D31" s="15"/>
      <c r="E31" s="20"/>
      <c r="F31" s="22"/>
      <c r="G31" s="20"/>
      <c r="I31" s="20"/>
    </row>
    <row r="32">
      <c r="A32" s="26" t="str">
        <f>data!$E$20&amp;" "&amp;data!$B$20</f>
      </c>
      <c r="G32" s="21">
        <v>32</v>
      </c>
      <c r="H32" s="15"/>
      <c r="I32" s="20"/>
    </row>
    <row r="33">
      <c r="A33" s="27" t="str">
        <f>data!$E$21&amp;" "&amp;data!$B$21</f>
      </c>
      <c r="C33" s="23" t="str">
        <f>CONCATENATE("Pool H-1st ",'Pool Matches'!G351)</f>
      </c>
      <c r="G33" s="20"/>
    </row>
    <row r="34">
      <c r="A34" s="22"/>
      <c r="D34" s="22"/>
      <c r="E34" s="21">
        <v>8</v>
      </c>
      <c r="F34" s="15"/>
      <c r="G34" s="20"/>
    </row>
    <row r="35">
      <c r="A35" s="24" t="str">
        <f>'data'!$A$24</f>
      </c>
      <c r="C35" s="23" t="str">
        <f>CONCATENATE("Pool W-2nd ",'Pool Matches'!O352)</f>
      </c>
      <c r="D35" s="15"/>
      <c r="E35" s="20"/>
    </row>
    <row r="36">
      <c r="A36" s="25" t="str">
        <f>data!$E$22&amp;" "&amp;data!$B$22</f>
      </c>
    </row>
    <row r="37">
      <c r="A37" s="26" t="str">
        <f>data!$E$23&amp;" "&amp;data!$B$23</f>
      </c>
    </row>
    <row r="38">
      <c r="A38" s="27" t="str">
        <f>data!$E$24&amp;" "&amp;data!$B$24</f>
      </c>
    </row>
    <row r="39">
      <c r="A39" s="22"/>
    </row>
    <row r="40">
      <c r="A40" s="24" t="str">
        <f>'data'!$A$27</f>
      </c>
    </row>
    <row r="41">
      <c r="A41" s="25" t="str">
        <f>data!$E$25&amp;" "&amp;data!$B$25</f>
      </c>
    </row>
    <row r="42">
      <c r="A42" s="26" t="str">
        <f>data!$E$26&amp;" "&amp;data!$B$26</f>
      </c>
    </row>
    <row r="43">
      <c r="A43" s="27" t="str">
        <f>data!$E$27&amp;" "&amp;data!$B$27</f>
      </c>
    </row>
    <row r="44">
      <c r="A44"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'data'!$A$30</f>
      </c>
    </row>
    <row r="5">
      <c r="A5" s="25" t="str">
        <f>data!$E$28&amp;" "&amp;data!$B$28</f>
      </c>
      <c r="C5" s="23" t="str">
        <f>CONCATENATE("Pool I-1st ",'Pool Matches'!G394)</f>
      </c>
    </row>
    <row r="6">
      <c r="A6" s="26" t="str">
        <f>data!$E$29&amp;" "&amp;data!$B$29</f>
      </c>
      <c r="D6" s="22"/>
      <c r="E6" s="21">
        <v>9</v>
      </c>
    </row>
    <row r="7">
      <c r="A7" s="27" t="str">
        <f>data!$E$30&amp;" "&amp;data!$B$30</f>
      </c>
      <c r="C7" s="23" t="str">
        <f>CONCATENATE("Pool X-2nd ",'Pool Matches'!O395)</f>
      </c>
      <c r="D7" s="15"/>
      <c r="E7" s="20"/>
      <c r="F7" s="22"/>
      <c r="G7" s="20"/>
    </row>
    <row r="8">
      <c r="A8" s="22"/>
      <c r="G8" s="21">
        <v>33</v>
      </c>
    </row>
    <row r="9">
      <c r="A9" s="24" t="str">
        <f>'data'!$A$33</f>
      </c>
      <c r="C9" s="23" t="str">
        <f>CONCATENATE("Pool J-1st ",'Pool Matches'!G437)</f>
      </c>
      <c r="G9" s="20"/>
      <c r="H9" s="22"/>
      <c r="I9" s="20"/>
    </row>
    <row r="10">
      <c r="A10" s="25" t="str">
        <f>data!$E$31&amp;" "&amp;data!$B$31</f>
      </c>
      <c r="D10" s="22"/>
      <c r="E10" s="21">
        <v>10</v>
      </c>
      <c r="F10" s="15"/>
      <c r="G10" s="20"/>
      <c r="I10" s="20"/>
    </row>
    <row r="11">
      <c r="A11" s="26" t="str">
        <f>data!$E$32&amp;" "&amp;data!$B$32</f>
      </c>
      <c r="C11" s="23" t="str">
        <f>CONCATENATE("Pool Y-2nd ",'Pool Matches'!O438)</f>
      </c>
      <c r="D11" s="15"/>
      <c r="E11" s="20"/>
      <c r="I11" s="20"/>
    </row>
    <row r="12">
      <c r="A12" s="27" t="str">
        <f>data!$E$33&amp;" "&amp;data!$B$33</f>
      </c>
      <c r="I12" s="21">
        <v>47</v>
      </c>
    </row>
    <row r="13">
      <c r="A13" s="22"/>
      <c r="C13" s="23" t="str">
        <f>CONCATENATE("Pool K-1st ",'Pool Matches'!G480)</f>
      </c>
      <c r="I13" s="20"/>
      <c r="J13" s="22"/>
      <c r="K13" s="20"/>
    </row>
    <row r="14">
      <c r="A14" s="24" t="str">
        <f>'data'!$A$36</f>
      </c>
      <c r="D14" s="22"/>
      <c r="E14" s="21">
        <v>11</v>
      </c>
      <c r="I14" s="20"/>
      <c r="K14" s="20"/>
    </row>
    <row r="15">
      <c r="A15" s="25" t="str">
        <f>data!$E$34&amp;" "&amp;data!$B$34</f>
      </c>
      <c r="C15" s="23" t="str">
        <f>CONCATENATE("Pool Z-2nd ",'Pool Matches'!O481)</f>
      </c>
      <c r="D15" s="15"/>
      <c r="E15" s="20"/>
      <c r="F15" s="22"/>
      <c r="G15" s="20"/>
      <c r="I15" s="20"/>
      <c r="K15" s="20"/>
    </row>
    <row r="16">
      <c r="A16" s="26" t="str">
        <f>data!$E$35&amp;" "&amp;data!$B$35</f>
      </c>
      <c r="G16" s="21">
        <v>34</v>
      </c>
      <c r="H16" s="15"/>
      <c r="I16" s="20"/>
      <c r="K16" s="20"/>
    </row>
    <row r="17">
      <c r="A17" s="27" t="str">
        <f>data!$E$36&amp;" "&amp;data!$B$36</f>
      </c>
      <c r="C17" s="23" t="str">
        <f>CONCATENATE("Pool L-1st ",'Pool Matches'!G523)</f>
      </c>
      <c r="G17" s="20"/>
      <c r="K17" s="20"/>
    </row>
    <row r="18">
      <c r="A18" s="22"/>
      <c r="D18" s="22"/>
      <c r="E18" s="21">
        <v>12</v>
      </c>
      <c r="F18" s="15"/>
      <c r="G18" s="20"/>
      <c r="K18" s="20"/>
    </row>
    <row r="19">
      <c r="A19" s="24" t="str">
        <f>'data'!$A$39</f>
      </c>
      <c r="C19" s="23" t="str">
        <f>CONCATENATE("Pool AA-2nd ",'Pool Matches'!O524)</f>
      </c>
      <c r="D19" s="15"/>
      <c r="E19" s="20"/>
      <c r="K19" s="20"/>
    </row>
    <row r="20">
      <c r="A20" s="25" t="str">
        <f>data!$E$37&amp;" "&amp;data!$B$37</f>
      </c>
      <c r="K20" s="21">
        <v>54</v>
      </c>
    </row>
    <row r="21">
      <c r="A21" s="26" t="str">
        <f>data!$E$38&amp;" "&amp;data!$B$38</f>
      </c>
      <c r="C21" s="23" t="str">
        <f>CONCATENATE("Pool M-1st ",'Pool Matches'!G566)</f>
      </c>
      <c r="K21" s="20"/>
    </row>
    <row r="22">
      <c r="A22" s="27" t="str">
        <f>data!$E$39&amp;" "&amp;data!$B$39</f>
      </c>
      <c r="D22" s="22"/>
      <c r="E22" s="21">
        <v>13</v>
      </c>
      <c r="K22" s="20"/>
    </row>
    <row r="23">
      <c r="A23" s="22"/>
      <c r="C23" s="23" t="str">
        <f>CONCATENATE("Pool AB-2nd ",'Pool Matches'!O567)</f>
      </c>
      <c r="D23" s="15"/>
      <c r="E23" s="20"/>
      <c r="F23" s="22"/>
      <c r="G23" s="20"/>
      <c r="K23" s="20"/>
    </row>
    <row r="24">
      <c r="A24" s="24" t="str">
        <f>'data'!$A$42</f>
      </c>
      <c r="G24" s="21">
        <v>35</v>
      </c>
      <c r="K24" s="20"/>
    </row>
    <row r="25">
      <c r="A25" s="25" t="str">
        <f>data!$E$40&amp;" "&amp;data!$B$40</f>
      </c>
      <c r="C25" s="23" t="str">
        <f>CONCATENATE("Pool N-1st ",'Pool Matches'!G609)</f>
      </c>
      <c r="G25" s="20"/>
      <c r="H25" s="22"/>
      <c r="I25" s="20"/>
      <c r="K25" s="20"/>
    </row>
    <row r="26">
      <c r="A26" s="26" t="str">
        <f>data!$E$41&amp;" "&amp;data!$B$41</f>
      </c>
      <c r="D26" s="22"/>
      <c r="E26" s="21">
        <v>14</v>
      </c>
      <c r="F26" s="15"/>
      <c r="G26" s="20"/>
      <c r="I26" s="20"/>
      <c r="K26" s="20"/>
    </row>
    <row r="27">
      <c r="A27" s="27" t="str">
        <f>data!$E$42&amp;" "&amp;data!$B$42</f>
      </c>
      <c r="C27" s="23" t="str">
        <f>CONCATENATE("Pool AC-2nd ",'Pool Matches'!O610)</f>
      </c>
      <c r="D27" s="15"/>
      <c r="E27" s="20"/>
      <c r="I27" s="20"/>
      <c r="K27" s="20"/>
    </row>
    <row r="28">
      <c r="A28" s="22"/>
      <c r="I28" s="21">
        <v>48</v>
      </c>
      <c r="J28" s="15"/>
      <c r="K28" s="20"/>
    </row>
    <row r="29">
      <c r="A29" s="24" t="str">
        <f>'data'!$A$45</f>
      </c>
      <c r="I29" s="20"/>
    </row>
    <row r="30">
      <c r="A30" s="25" t="str">
        <f>data!$E$43&amp;" "&amp;data!$B$43</f>
      </c>
      <c r="C30" s="23"/>
      <c r="D30" s="23"/>
      <c r="E30" s="23" t="str">
        <f>CONCATENATE("Pool O-1st ",'Pool Matches'!G652)</f>
      </c>
      <c r="I30" s="20"/>
    </row>
    <row r="31">
      <c r="A31" s="26" t="str">
        <f>data!$E$44&amp;" "&amp;data!$B$44</f>
      </c>
      <c r="F31" s="22"/>
      <c r="G31" s="20"/>
      <c r="I31" s="20"/>
    </row>
    <row r="32">
      <c r="A32" s="27" t="str">
        <f>data!$E$45&amp;" "&amp;data!$B$45</f>
      </c>
      <c r="G32" s="21">
        <v>36</v>
      </c>
      <c r="H32" s="15"/>
      <c r="I32" s="20"/>
    </row>
    <row r="33">
      <c r="A33" s="22"/>
      <c r="G33" s="20"/>
    </row>
    <row r="34">
      <c r="A34" s="24" t="str">
        <f>'data'!$A$48</f>
      </c>
      <c r="C34" s="23"/>
      <c r="D34" s="23"/>
      <c r="E34" s="23" t="str">
        <f>CONCATENATE("Pool AD-2nd ",'Pool Matches'!O653)</f>
      </c>
      <c r="F34" s="15"/>
      <c r="G34" s="20"/>
    </row>
    <row r="35">
      <c r="A35" s="25" t="str">
        <f>data!$E$46&amp;" "&amp;data!$B$46</f>
      </c>
    </row>
    <row r="36">
      <c r="A36" s="26" t="str">
        <f>data!$E$47&amp;" "&amp;data!$B$47</f>
      </c>
    </row>
    <row r="37">
      <c r="A37" s="27" t="str">
        <f>data!$E$48&amp;" "&amp;data!$B$48</f>
      </c>
    </row>
    <row r="38">
      <c r="A38"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'data'!$A$51</f>
      </c>
    </row>
    <row r="5">
      <c r="A5" s="25" t="str">
        <f>data!$E$49&amp;" "&amp;data!$B$49</f>
      </c>
      <c r="C5" s="23" t="str">
        <f>CONCATENATE("Pool P-1st ",'Pool Matches'!O48)</f>
      </c>
    </row>
    <row r="6">
      <c r="A6" s="26" t="str">
        <f>data!$E$50&amp;" "&amp;data!$B$50</f>
      </c>
      <c r="D6" s="22"/>
      <c r="E6" s="21">
        <v>15</v>
      </c>
    </row>
    <row r="7">
      <c r="A7" s="27" t="str">
        <f>data!$E$51&amp;" "&amp;data!$B$51</f>
      </c>
      <c r="C7" s="23" t="str">
        <f>CONCATENATE("Pool A-2nd ",'Pool Matches'!G51)</f>
      </c>
      <c r="D7" s="15"/>
      <c r="E7" s="20"/>
      <c r="F7" s="22"/>
      <c r="G7" s="20"/>
    </row>
    <row r="8">
      <c r="A8" s="22"/>
      <c r="G8" s="21">
        <v>37</v>
      </c>
    </row>
    <row r="9">
      <c r="A9" s="24" t="str">
        <f>'data'!$A$54</f>
      </c>
      <c r="C9" s="23" t="str">
        <f>CONCATENATE("Pool Q-1st ",'Pool Matches'!O93)</f>
      </c>
      <c r="G9" s="20"/>
      <c r="H9" s="22"/>
      <c r="I9" s="20"/>
    </row>
    <row r="10">
      <c r="A10" s="25" t="str">
        <f>data!$E$52&amp;" "&amp;data!$B$52</f>
      </c>
      <c r="D10" s="22"/>
      <c r="E10" s="21">
        <v>16</v>
      </c>
      <c r="F10" s="15"/>
      <c r="G10" s="20"/>
      <c r="I10" s="20"/>
    </row>
    <row r="11">
      <c r="A11" s="26" t="str">
        <f>data!$E$53&amp;" "&amp;data!$B$53</f>
      </c>
      <c r="C11" s="23" t="str">
        <f>CONCATENATE("Pool B-2nd ",'Pool Matches'!G94)</f>
      </c>
      <c r="D11" s="15"/>
      <c r="E11" s="20"/>
      <c r="I11" s="20"/>
    </row>
    <row r="12">
      <c r="A12" s="27" t="str">
        <f>data!$E$54&amp;" "&amp;data!$B$54</f>
      </c>
      <c r="I12" s="21">
        <v>49</v>
      </c>
    </row>
    <row r="13">
      <c r="A13" s="22"/>
      <c r="C13" s="23" t="str">
        <f>CONCATENATE("Pool R-1st ",'Pool Matches'!O136)</f>
      </c>
      <c r="I13" s="20"/>
      <c r="J13" s="22"/>
      <c r="K13" s="20"/>
    </row>
    <row r="14">
      <c r="A14" s="24" t="str">
        <f>'data'!$A$57</f>
      </c>
      <c r="D14" s="22"/>
      <c r="E14" s="21">
        <v>17</v>
      </c>
      <c r="I14" s="20"/>
      <c r="K14" s="20"/>
    </row>
    <row r="15">
      <c r="A15" s="25" t="str">
        <f>data!$E$55&amp;" "&amp;data!$B$55</f>
      </c>
      <c r="C15" s="23" t="str">
        <f>CONCATENATE("Pool C-2nd ",'Pool Matches'!G137)</f>
      </c>
      <c r="D15" s="15"/>
      <c r="E15" s="20"/>
      <c r="F15" s="22"/>
      <c r="G15" s="20"/>
      <c r="I15" s="20"/>
      <c r="K15" s="20"/>
    </row>
    <row r="16">
      <c r="A16" s="26" t="str">
        <f>data!$E$56&amp;" "&amp;data!$B$56</f>
      </c>
      <c r="G16" s="21">
        <v>38</v>
      </c>
      <c r="H16" s="15"/>
      <c r="I16" s="20"/>
      <c r="K16" s="20"/>
    </row>
    <row r="17">
      <c r="A17" s="27" t="str">
        <f>data!$E$57&amp;" "&amp;data!$B$57</f>
      </c>
      <c r="C17" s="23" t="str">
        <f>CONCATENATE("Pool S-1st ",'Pool Matches'!O179)</f>
      </c>
      <c r="G17" s="20"/>
      <c r="K17" s="20"/>
    </row>
    <row r="18">
      <c r="A18" s="22"/>
      <c r="D18" s="22"/>
      <c r="E18" s="21">
        <v>18</v>
      </c>
      <c r="F18" s="15"/>
      <c r="G18" s="20"/>
      <c r="K18" s="20"/>
    </row>
    <row r="19">
      <c r="A19" s="24" t="str">
        <f>'data'!$A$60</f>
      </c>
      <c r="C19" s="23" t="str">
        <f>CONCATENATE("Pool D-2nd ",'Pool Matches'!G180)</f>
      </c>
      <c r="D19" s="15"/>
      <c r="E19" s="20"/>
      <c r="K19" s="20"/>
    </row>
    <row r="20">
      <c r="A20" s="25" t="str">
        <f>data!$E$58&amp;" "&amp;data!$B$58</f>
      </c>
      <c r="K20" s="21">
        <v>55</v>
      </c>
    </row>
    <row r="21">
      <c r="A21" s="26" t="str">
        <f>data!$E$59&amp;" "&amp;data!$B$59</f>
      </c>
      <c r="C21" s="23" t="str">
        <f>CONCATENATE("Pool T-1st ",'Pool Matches'!O222)</f>
      </c>
      <c r="K21" s="20"/>
    </row>
    <row r="22">
      <c r="A22" s="27" t="str">
        <f>data!$E$60&amp;" "&amp;data!$B$60</f>
      </c>
      <c r="D22" s="22"/>
      <c r="E22" s="21">
        <v>19</v>
      </c>
      <c r="K22" s="20"/>
    </row>
    <row r="23">
      <c r="A23" s="22"/>
      <c r="C23" s="23" t="str">
        <f>CONCATENATE("Pool E-2nd ",'Pool Matches'!G223)</f>
      </c>
      <c r="D23" s="15"/>
      <c r="E23" s="20"/>
      <c r="F23" s="22"/>
      <c r="G23" s="20"/>
      <c r="K23" s="20"/>
    </row>
    <row r="24">
      <c r="A24" s="24" t="str">
        <f>'data'!$A$63</f>
      </c>
      <c r="G24" s="21">
        <v>39</v>
      </c>
      <c r="K24" s="20"/>
    </row>
    <row r="25">
      <c r="A25" s="25" t="str">
        <f>data!$E$61&amp;" "&amp;data!$B$61</f>
      </c>
      <c r="C25" s="23" t="str">
        <f>CONCATENATE("Pool U-1st ",'Pool Matches'!O265)</f>
      </c>
      <c r="G25" s="20"/>
      <c r="H25" s="22"/>
      <c r="I25" s="20"/>
      <c r="K25" s="20"/>
    </row>
    <row r="26">
      <c r="A26" s="26" t="str">
        <f>data!$E$62&amp;" "&amp;data!$B$62</f>
      </c>
      <c r="D26" s="22"/>
      <c r="E26" s="21">
        <v>20</v>
      </c>
      <c r="F26" s="15"/>
      <c r="G26" s="20"/>
      <c r="I26" s="20"/>
      <c r="K26" s="20"/>
    </row>
    <row r="27">
      <c r="A27" s="27" t="str">
        <f>data!$E$63&amp;" "&amp;data!$B$63</f>
      </c>
      <c r="C27" s="23" t="str">
        <f>CONCATENATE("Pool F-2nd ",'Pool Matches'!G266)</f>
      </c>
      <c r="D27" s="15"/>
      <c r="E27" s="20"/>
      <c r="I27" s="20"/>
      <c r="K27" s="20"/>
    </row>
    <row r="28">
      <c r="A28" s="22"/>
      <c r="I28" s="21">
        <v>50</v>
      </c>
      <c r="J28" s="15"/>
      <c r="K28" s="20"/>
    </row>
    <row r="29">
      <c r="A29" s="24" t="str">
        <f>'data'!$A$66</f>
      </c>
      <c r="C29" s="23" t="str">
        <f>CONCATENATE("Pool V-1st ",'Pool Matches'!O308)</f>
      </c>
      <c r="I29" s="20"/>
    </row>
    <row r="30">
      <c r="A30" s="25" t="str">
        <f>data!$E$64&amp;" "&amp;data!$B$64</f>
      </c>
      <c r="D30" s="22"/>
      <c r="E30" s="21">
        <v>21</v>
      </c>
      <c r="I30" s="20"/>
    </row>
    <row r="31">
      <c r="A31" s="26" t="str">
        <f>data!$E$65&amp;" "&amp;data!$B$65</f>
      </c>
      <c r="C31" s="23" t="str">
        <f>CONCATENATE("Pool G-2nd ",'Pool Matches'!G309)</f>
      </c>
      <c r="D31" s="15"/>
      <c r="E31" s="20"/>
      <c r="F31" s="22"/>
      <c r="G31" s="20"/>
      <c r="I31" s="20"/>
    </row>
    <row r="32">
      <c r="A32" s="27" t="str">
        <f>data!$E$66&amp;" "&amp;data!$B$66</f>
      </c>
      <c r="G32" s="21">
        <v>40</v>
      </c>
      <c r="H32" s="15"/>
      <c r="I32" s="20"/>
    </row>
    <row r="33">
      <c r="A33" s="22"/>
      <c r="C33" s="23" t="str">
        <f>CONCATENATE("Pool W-1st ",'Pool Matches'!O351)</f>
      </c>
      <c r="G33" s="20"/>
    </row>
    <row r="34">
      <c r="A34" s="24" t="str">
        <f>'data'!$A$69</f>
      </c>
      <c r="D34" s="22"/>
      <c r="E34" s="21">
        <v>22</v>
      </c>
      <c r="F34" s="15"/>
      <c r="G34" s="20"/>
    </row>
    <row r="35">
      <c r="A35" s="25" t="str">
        <f>data!$E$67&amp;" "&amp;data!$B$67</f>
      </c>
      <c r="C35" s="23" t="str">
        <f>CONCATENATE("Pool H-2nd ",'Pool Matches'!G352)</f>
      </c>
      <c r="D35" s="15"/>
      <c r="E35" s="20"/>
    </row>
    <row r="36">
      <c r="A36" s="26" t="str">
        <f>data!$E$68&amp;" "&amp;data!$B$68</f>
      </c>
    </row>
    <row r="37">
      <c r="A37" s="27" t="str">
        <f>data!$E$69&amp;" "&amp;data!$B$69</f>
      </c>
    </row>
    <row r="38">
      <c r="A38" s="22"/>
    </row>
    <row r="39">
      <c r="A39" s="24" t="str">
        <f>'data'!$A$72</f>
      </c>
    </row>
    <row r="40">
      <c r="A40" s="25" t="str">
        <f>data!$E$70&amp;" "&amp;data!$B$70</f>
      </c>
    </row>
    <row r="41">
      <c r="A41" s="26" t="str">
        <f>data!$E$71&amp;" "&amp;data!$B$71</f>
      </c>
    </row>
    <row r="42">
      <c r="A42" s="27" t="str">
        <f>data!$E$72&amp;" "&amp;data!$B$72</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'data'!$A$75</f>
      </c>
    </row>
    <row r="5">
      <c r="A5" s="25" t="str">
        <f>data!$E$73&amp;" "&amp;data!$B$73</f>
      </c>
      <c r="C5" s="23" t="str">
        <f>CONCATENATE("Pool X-1st ",'Pool Matches'!O394)</f>
      </c>
    </row>
    <row r="6">
      <c r="A6" s="26" t="str">
        <f>data!$E$74&amp;" "&amp;data!$B$74</f>
      </c>
      <c r="D6" s="22"/>
      <c r="E6" s="21">
        <v>23</v>
      </c>
    </row>
    <row r="7">
      <c r="A7" s="27" t="str">
        <f>data!$E$75&amp;" "&amp;data!$B$75</f>
      </c>
      <c r="C7" s="23" t="str">
        <f>CONCATENATE("Pool I-2nd ",'Pool Matches'!G395)</f>
      </c>
      <c r="D7" s="15"/>
      <c r="E7" s="20"/>
      <c r="F7" s="22"/>
      <c r="G7" s="20"/>
    </row>
    <row r="8">
      <c r="A8" s="22"/>
      <c r="G8" s="21">
        <v>41</v>
      </c>
    </row>
    <row r="9">
      <c r="A9" s="24" t="str">
        <f>'data'!$A$78</f>
      </c>
      <c r="C9" s="23" t="str">
        <f>CONCATENATE("Pool Y-1st ",'Pool Matches'!O437)</f>
      </c>
      <c r="G9" s="20"/>
      <c r="H9" s="22"/>
      <c r="I9" s="20"/>
    </row>
    <row r="10">
      <c r="A10" s="25" t="str">
        <f>data!$E$76&amp;" "&amp;data!$B$76</f>
      </c>
      <c r="D10" s="22"/>
      <c r="E10" s="21">
        <v>24</v>
      </c>
      <c r="F10" s="15"/>
      <c r="G10" s="20"/>
      <c r="I10" s="20"/>
    </row>
    <row r="11">
      <c r="A11" s="26" t="str">
        <f>data!$E$77&amp;" "&amp;data!$B$77</f>
      </c>
      <c r="C11" s="23" t="str">
        <f>CONCATENATE("Pool J-2nd ",'Pool Matches'!G438)</f>
      </c>
      <c r="D11" s="15"/>
      <c r="E11" s="20"/>
      <c r="I11" s="20"/>
    </row>
    <row r="12">
      <c r="A12" s="27" t="str">
        <f>data!$E$78&amp;" "&amp;data!$B$78</f>
      </c>
      <c r="I12" s="21">
        <v>51</v>
      </c>
    </row>
    <row r="13">
      <c r="A13" s="22"/>
      <c r="C13" s="23" t="str">
        <f>CONCATENATE("Pool Z-1st ",'Pool Matches'!O480)</f>
      </c>
      <c r="I13" s="20"/>
      <c r="J13" s="22"/>
      <c r="K13" s="20"/>
    </row>
    <row r="14">
      <c r="A14" s="24" t="str">
        <f>'data'!$A$81</f>
      </c>
      <c r="D14" s="22"/>
      <c r="E14" s="21">
        <v>25</v>
      </c>
      <c r="I14" s="20"/>
      <c r="K14" s="20"/>
    </row>
    <row r="15">
      <c r="A15" s="25" t="str">
        <f>data!$E$79&amp;" "&amp;data!$B$79</f>
      </c>
      <c r="C15" s="23" t="str">
        <f>CONCATENATE("Pool K-2nd ",'Pool Matches'!G481)</f>
      </c>
      <c r="D15" s="15"/>
      <c r="E15" s="20"/>
      <c r="F15" s="22"/>
      <c r="G15" s="20"/>
      <c r="I15" s="20"/>
      <c r="K15" s="20"/>
    </row>
    <row r="16">
      <c r="A16" s="26" t="str">
        <f>data!$E$80&amp;" "&amp;data!$B$80</f>
      </c>
      <c r="G16" s="21">
        <v>42</v>
      </c>
      <c r="H16" s="15"/>
      <c r="I16" s="20"/>
      <c r="K16" s="20"/>
    </row>
    <row r="17">
      <c r="A17" s="27" t="str">
        <f>data!$E$81&amp;" "&amp;data!$B$81</f>
      </c>
      <c r="C17" s="23" t="str">
        <f>CONCATENATE("Pool AA-1st ",'Pool Matches'!O523)</f>
      </c>
      <c r="G17" s="20"/>
      <c r="K17" s="20"/>
    </row>
    <row r="18">
      <c r="A18" s="22"/>
      <c r="D18" s="22"/>
      <c r="E18" s="21">
        <v>26</v>
      </c>
      <c r="F18" s="15"/>
      <c r="G18" s="20"/>
      <c r="K18" s="20"/>
    </row>
    <row r="19">
      <c r="A19" s="24" t="str">
        <f>'data'!$A$84</f>
      </c>
      <c r="C19" s="23" t="str">
        <f>CONCATENATE("Pool L-2nd ",'Pool Matches'!G524)</f>
      </c>
      <c r="D19" s="15"/>
      <c r="E19" s="20"/>
      <c r="K19" s="20"/>
    </row>
    <row r="20">
      <c r="A20" s="25" t="str">
        <f>data!$E$82&amp;" "&amp;data!$B$82</f>
      </c>
      <c r="K20" s="21">
        <v>56</v>
      </c>
    </row>
    <row r="21">
      <c r="A21" s="26" t="str">
        <f>data!$E$83&amp;" "&amp;data!$B$83</f>
      </c>
      <c r="C21" s="23" t="str">
        <f>CONCATENATE("Pool AB-1st ",'Pool Matches'!O566)</f>
      </c>
      <c r="K21" s="20"/>
    </row>
    <row r="22">
      <c r="A22" s="27" t="str">
        <f>data!$E$84&amp;" "&amp;data!$B$84</f>
      </c>
      <c r="D22" s="22"/>
      <c r="E22" s="21">
        <v>27</v>
      </c>
      <c r="K22" s="20"/>
    </row>
    <row r="23">
      <c r="A23" s="22"/>
      <c r="C23" s="23" t="str">
        <f>CONCATENATE("Pool M-2nd ",'Pool Matches'!G567)</f>
      </c>
      <c r="D23" s="15"/>
      <c r="E23" s="20"/>
      <c r="F23" s="22"/>
      <c r="G23" s="20"/>
      <c r="K23" s="20"/>
    </row>
    <row r="24">
      <c r="A24" s="24" t="str">
        <f>'data'!$A$87</f>
      </c>
      <c r="G24" s="21">
        <v>43</v>
      </c>
      <c r="K24" s="20"/>
    </row>
    <row r="25">
      <c r="A25" s="25" t="str">
        <f>data!$E$85&amp;" "&amp;data!$B$85</f>
      </c>
      <c r="C25" s="23" t="str">
        <f>CONCATENATE("Pool AC-1st ",'Pool Matches'!O609)</f>
      </c>
      <c r="G25" s="20"/>
      <c r="H25" s="22"/>
      <c r="I25" s="20"/>
      <c r="K25" s="20"/>
    </row>
    <row r="26">
      <c r="A26" s="26" t="str">
        <f>data!$E$86&amp;" "&amp;data!$B$86</f>
      </c>
      <c r="D26" s="22"/>
      <c r="E26" s="21">
        <v>28</v>
      </c>
      <c r="F26" s="15"/>
      <c r="G26" s="20"/>
      <c r="I26" s="20"/>
      <c r="K26" s="20"/>
    </row>
    <row r="27">
      <c r="A27" s="27" t="str">
        <f>data!$E$87&amp;" "&amp;data!$B$87</f>
      </c>
      <c r="C27" s="23" t="str">
        <f>CONCATENATE("Pool N-2nd ",'Pool Matches'!G610)</f>
      </c>
      <c r="D27" s="15"/>
      <c r="E27" s="20"/>
      <c r="I27" s="20"/>
      <c r="K27" s="20"/>
    </row>
    <row r="28">
      <c r="A28" s="22"/>
      <c r="I28" s="21">
        <v>52</v>
      </c>
      <c r="J28" s="15"/>
      <c r="K28" s="20"/>
    </row>
    <row r="29">
      <c r="A29" s="24" t="str">
        <f>'data'!$A$90</f>
      </c>
      <c r="I29" s="20"/>
    </row>
    <row r="30">
      <c r="A30" s="25" t="str">
        <f>data!$E$88&amp;" "&amp;data!$B$88</f>
      </c>
      <c r="C30" s="23"/>
      <c r="D30" s="23"/>
      <c r="E30" s="23" t="str">
        <f>CONCATENATE("Pool AD-1st ",'Pool Matches'!O652)</f>
      </c>
      <c r="I30" s="20"/>
    </row>
    <row r="31">
      <c r="A31" s="26" t="str">
        <f>data!$E$89&amp;" "&amp;data!$B$89</f>
      </c>
      <c r="F31" s="22"/>
      <c r="G31" s="20"/>
      <c r="I31" s="20"/>
    </row>
    <row r="32">
      <c r="A32" s="27" t="str">
        <f>data!$E$90&amp;" "&amp;data!$B$90</f>
      </c>
      <c r="G32" s="21">
        <v>44</v>
      </c>
      <c r="H32" s="15"/>
      <c r="I32" s="20"/>
    </row>
    <row r="33">
      <c r="A33" s="22"/>
      <c r="G33" s="20"/>
    </row>
    <row r="34">
      <c r="A34" s="24" t="str">
        <f>'data'!$A$93</f>
      </c>
      <c r="C34" s="23"/>
      <c r="D34" s="23"/>
      <c r="E34" s="23" t="str">
        <f>CONCATENATE("Pool O-2nd ",'Pool Matches'!G653)</f>
      </c>
      <c r="F34" s="15"/>
      <c r="G34" s="20"/>
    </row>
    <row r="35">
      <c r="A35" s="25" t="str">
        <f>data!$E$91&amp;" "&amp;data!$B$91</f>
      </c>
    </row>
    <row r="36">
      <c r="A36" s="26" t="str">
        <f>data!$E$92&amp;" "&amp;data!$B$92</f>
      </c>
    </row>
    <row r="37">
      <c r="A37" s="27" t="str">
        <f>data!$E$93&amp;" "&amp;data!$B$93</f>
      </c>
    </row>
    <row r="38">
      <c r="A38"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row r="13" ht="270" customHeight="true">
      <c r="A13" s="28" t="str">
        <f>'data'!$E$15</f>
      </c>
      <c r="B13" s="29" t="str">
        <f>'data'!D15</f>
      </c>
    </row>
    <row r="14" ht="270" customHeight="true">
      <c r="A14" s="28" t="str">
        <f>'data'!$E$16</f>
      </c>
      <c r="B14" s="29" t="str">
        <f>'data'!D16</f>
      </c>
    </row>
    <row r="15" ht="270" customHeight="true">
      <c r="A15" s="28" t="str">
        <f>'data'!$E$17</f>
      </c>
      <c r="B15" s="29" t="str">
        <f>'data'!D17</f>
      </c>
    </row>
    <row r="16" ht="270" customHeight="true">
      <c r="A16" s="28" t="str">
        <f>'data'!$E$18</f>
      </c>
      <c r="B16" s="29" t="str">
        <f>'data'!D18</f>
      </c>
    </row>
    <row r="17" ht="270" customHeight="true">
      <c r="A17" s="28" t="str">
        <f>'data'!$E$19</f>
      </c>
      <c r="B17" s="29" t="str">
        <f>'data'!D19</f>
      </c>
    </row>
    <row r="18" ht="270" customHeight="true">
      <c r="A18" s="28" t="str">
        <f>'data'!$E$20</f>
      </c>
      <c r="B18" s="29" t="str">
        <f>'data'!D20</f>
      </c>
    </row>
    <row r="19" ht="270" customHeight="true">
      <c r="A19" s="28" t="str">
        <f>'data'!$E$21</f>
      </c>
      <c r="B19" s="29" t="str">
        <f>'data'!D21</f>
      </c>
    </row>
    <row r="20" ht="270" customHeight="true">
      <c r="A20" s="28" t="str">
        <f>'data'!$E$22</f>
      </c>
      <c r="B20" s="29" t="str">
        <f>'data'!D22</f>
      </c>
    </row>
    <row r="21" ht="270" customHeight="true">
      <c r="A21" s="28" t="str">
        <f>'data'!$E$23</f>
      </c>
      <c r="B21" s="29" t="str">
        <f>'data'!D23</f>
      </c>
    </row>
    <row r="22" ht="270" customHeight="true">
      <c r="A22" s="28" t="str">
        <f>'data'!$E$24</f>
      </c>
      <c r="B22" s="29" t="str">
        <f>'data'!D24</f>
      </c>
    </row>
    <row r="23" ht="270" customHeight="true">
      <c r="A23" s="28" t="str">
        <f>'data'!$E$25</f>
      </c>
      <c r="B23" s="29" t="str">
        <f>'data'!D25</f>
      </c>
    </row>
    <row r="24" ht="270" customHeight="true">
      <c r="A24" s="28" t="str">
        <f>'data'!$E$26</f>
      </c>
      <c r="B24" s="29" t="str">
        <f>'data'!D26</f>
      </c>
    </row>
    <row r="25" ht="270" customHeight="true">
      <c r="A25" s="28" t="str">
        <f>'data'!$E$27</f>
      </c>
      <c r="B25" s="29" t="str">
        <f>'data'!D27</f>
      </c>
    </row>
    <row r="26" ht="270" customHeight="true">
      <c r="A26" s="28" t="str">
        <f>'data'!$E$28</f>
      </c>
      <c r="B26" s="29" t="str">
        <f>'data'!D28</f>
      </c>
    </row>
    <row r="27" ht="270" customHeight="true">
      <c r="A27" s="28" t="str">
        <f>'data'!$E$29</f>
      </c>
      <c r="B27" s="29" t="str">
        <f>'data'!D29</f>
      </c>
    </row>
    <row r="28" ht="270" customHeight="true">
      <c r="A28" s="28" t="str">
        <f>'data'!$E$30</f>
      </c>
      <c r="B28" s="29" t="str">
        <f>'data'!D30</f>
      </c>
    </row>
    <row r="29" ht="270" customHeight="true">
      <c r="A29" s="28" t="str">
        <f>'data'!$E$31</f>
      </c>
      <c r="B29" s="29" t="str">
        <f>'data'!D31</f>
      </c>
    </row>
    <row r="30" ht="270" customHeight="true">
      <c r="A30" s="28" t="str">
        <f>'data'!$E$32</f>
      </c>
      <c r="B30" s="29" t="str">
        <f>'data'!D32</f>
      </c>
    </row>
    <row r="31" ht="270" customHeight="true">
      <c r="A31" s="28" t="str">
        <f>'data'!$E$33</f>
      </c>
      <c r="B31" s="29" t="str">
        <f>'data'!D33</f>
      </c>
    </row>
    <row r="32" ht="270" customHeight="true">
      <c r="A32" s="28" t="str">
        <f>'data'!$E$34</f>
      </c>
      <c r="B32" s="29" t="str">
        <f>'data'!D34</f>
      </c>
    </row>
    <row r="33" ht="270" customHeight="true">
      <c r="A33" s="28" t="str">
        <f>'data'!$E$35</f>
      </c>
      <c r="B33" s="29" t="str">
        <f>'data'!D35</f>
      </c>
    </row>
    <row r="34" ht="270" customHeight="true">
      <c r="A34" s="28" t="str">
        <f>'data'!$E$36</f>
      </c>
      <c r="B34" s="29" t="str">
        <f>'data'!D36</f>
      </c>
    </row>
    <row r="35" ht="270" customHeight="true">
      <c r="A35" s="28" t="str">
        <f>'data'!$E$37</f>
      </c>
      <c r="B35" s="29" t="str">
        <f>'data'!D37</f>
      </c>
    </row>
    <row r="36" ht="270" customHeight="true">
      <c r="A36" s="28" t="str">
        <f>'data'!$E$38</f>
      </c>
      <c r="B36" s="29" t="str">
        <f>'data'!D38</f>
      </c>
    </row>
    <row r="37" ht="270" customHeight="true">
      <c r="A37" s="28" t="str">
        <f>'data'!$E$39</f>
      </c>
      <c r="B37" s="29" t="str">
        <f>'data'!D39</f>
      </c>
    </row>
    <row r="38" ht="270" customHeight="true">
      <c r="A38" s="28" t="str">
        <f>'data'!$E$40</f>
      </c>
      <c r="B38" s="29" t="str">
        <f>'data'!D40</f>
      </c>
    </row>
    <row r="39" ht="270" customHeight="true">
      <c r="A39" s="28" t="str">
        <f>'data'!$E$41</f>
      </c>
      <c r="B39" s="29" t="str">
        <f>'data'!D41</f>
      </c>
    </row>
    <row r="40" ht="270" customHeight="true">
      <c r="A40" s="28" t="str">
        <f>'data'!$E$42</f>
      </c>
      <c r="B40" s="29" t="str">
        <f>'data'!D42</f>
      </c>
    </row>
    <row r="41" ht="270" customHeight="true">
      <c r="A41" s="28" t="str">
        <f>'data'!$E$43</f>
      </c>
      <c r="B41" s="29" t="str">
        <f>'data'!D43</f>
      </c>
    </row>
    <row r="42" ht="270" customHeight="true">
      <c r="A42" s="28" t="str">
        <f>'data'!$E$44</f>
      </c>
      <c r="B42" s="29" t="str">
        <f>'data'!D44</f>
      </c>
    </row>
    <row r="43" ht="270" customHeight="true">
      <c r="A43" s="28" t="str">
        <f>'data'!$E$45</f>
      </c>
      <c r="B43" s="29" t="str">
        <f>'data'!D45</f>
      </c>
    </row>
    <row r="44" ht="270" customHeight="true">
      <c r="A44" s="28" t="str">
        <f>'data'!$E$46</f>
      </c>
      <c r="B44" s="29" t="str">
        <f>'data'!D46</f>
      </c>
    </row>
    <row r="45" ht="270" customHeight="true">
      <c r="A45" s="28" t="str">
        <f>'data'!$E$47</f>
      </c>
      <c r="B45" s="29" t="str">
        <f>'data'!D47</f>
      </c>
    </row>
    <row r="46" ht="270" customHeight="true">
      <c r="A46" s="28" t="str">
        <f>'data'!$E$48</f>
      </c>
      <c r="B46" s="29"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3.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'data'!$E$49</f>
      </c>
      <c r="B1" s="29" t="str">
        <f>'data'!D49</f>
      </c>
    </row>
    <row r="2" ht="270" customHeight="true">
      <c r="A2" s="28" t="str">
        <f>'data'!$E$50</f>
      </c>
      <c r="B2" s="29" t="str">
        <f>'data'!D50</f>
      </c>
    </row>
    <row r="3" ht="270" customHeight="true">
      <c r="A3" s="28" t="str">
        <f>'data'!$E$51</f>
      </c>
      <c r="B3" s="29" t="str">
        <f>'data'!D51</f>
      </c>
    </row>
    <row r="4" ht="270" customHeight="true">
      <c r="A4" s="28" t="str">
        <f>'data'!$E$52</f>
      </c>
      <c r="B4" s="29" t="str">
        <f>'data'!D52</f>
      </c>
    </row>
    <row r="5" ht="270" customHeight="true">
      <c r="A5" s="28" t="str">
        <f>'data'!$E$53</f>
      </c>
      <c r="B5" s="29" t="str">
        <f>'data'!D53</f>
      </c>
    </row>
    <row r="6" ht="270" customHeight="true">
      <c r="A6" s="28" t="str">
        <f>'data'!$E$54</f>
      </c>
      <c r="B6" s="29" t="str">
        <f>'data'!D54</f>
      </c>
    </row>
    <row r="7" ht="270" customHeight="true">
      <c r="A7" s="28" t="str">
        <f>'data'!$E$55</f>
      </c>
      <c r="B7" s="29" t="str">
        <f>'data'!D55</f>
      </c>
    </row>
    <row r="8" ht="270" customHeight="true">
      <c r="A8" s="28" t="str">
        <f>'data'!$E$56</f>
      </c>
      <c r="B8" s="29" t="str">
        <f>'data'!D56</f>
      </c>
    </row>
    <row r="9" ht="270" customHeight="true">
      <c r="A9" s="28" t="str">
        <f>'data'!$E$57</f>
      </c>
      <c r="B9" s="29" t="str">
        <f>'data'!D57</f>
      </c>
    </row>
    <row r="10" ht="270" customHeight="true">
      <c r="A10" s="28" t="str">
        <f>'data'!$E$58</f>
      </c>
      <c r="B10" s="29" t="str">
        <f>'data'!D58</f>
      </c>
    </row>
    <row r="11" ht="270" customHeight="true">
      <c r="A11" s="28" t="str">
        <f>'data'!$E$59</f>
      </c>
      <c r="B11" s="29" t="str">
        <f>'data'!D59</f>
      </c>
    </row>
    <row r="12" ht="270" customHeight="true">
      <c r="A12" s="28" t="str">
        <f>'data'!$E$60</f>
      </c>
      <c r="B12" s="29" t="str">
        <f>'data'!D60</f>
      </c>
    </row>
    <row r="13" ht="270" customHeight="true">
      <c r="A13" s="28" t="str">
        <f>'data'!$E$61</f>
      </c>
      <c r="B13" s="29" t="str">
        <f>'data'!D61</f>
      </c>
    </row>
    <row r="14" ht="270" customHeight="true">
      <c r="A14" s="28" t="str">
        <f>'data'!$E$62</f>
      </c>
      <c r="B14" s="29" t="str">
        <f>'data'!D62</f>
      </c>
    </row>
    <row r="15" ht="270" customHeight="true">
      <c r="A15" s="28" t="str">
        <f>'data'!$E$63</f>
      </c>
      <c r="B15" s="29" t="str">
        <f>'data'!D63</f>
      </c>
    </row>
    <row r="16" ht="270" customHeight="true">
      <c r="A16" s="28" t="str">
        <f>'data'!$E$64</f>
      </c>
      <c r="B16" s="29" t="str">
        <f>'data'!D64</f>
      </c>
    </row>
    <row r="17" ht="270" customHeight="true">
      <c r="A17" s="28" t="str">
        <f>'data'!$E$65</f>
      </c>
      <c r="B17" s="29" t="str">
        <f>'data'!D65</f>
      </c>
    </row>
    <row r="18" ht="270" customHeight="true">
      <c r="A18" s="28" t="str">
        <f>'data'!$E$66</f>
      </c>
      <c r="B18" s="29" t="str">
        <f>'data'!D66</f>
      </c>
    </row>
    <row r="19" ht="270" customHeight="true">
      <c r="A19" s="28" t="str">
        <f>'data'!$E$67</f>
      </c>
      <c r="B19" s="29" t="str">
        <f>'data'!D67</f>
      </c>
    </row>
    <row r="20" ht="270" customHeight="true">
      <c r="A20" s="28" t="str">
        <f>'data'!$E$68</f>
      </c>
      <c r="B20" s="29" t="str">
        <f>'data'!D68</f>
      </c>
    </row>
    <row r="21" ht="270" customHeight="true">
      <c r="A21" s="28" t="str">
        <f>'data'!$E$69</f>
      </c>
      <c r="B21" s="29" t="str">
        <f>'data'!D69</f>
      </c>
    </row>
    <row r="22" ht="270" customHeight="true">
      <c r="A22" s="28" t="str">
        <f>'data'!$E$70</f>
      </c>
      <c r="B22" s="29" t="str">
        <f>'data'!D70</f>
      </c>
    </row>
    <row r="23" ht="270" customHeight="true">
      <c r="A23" s="28" t="str">
        <f>'data'!$E$71</f>
      </c>
      <c r="B23" s="29" t="str">
        <f>'data'!D71</f>
      </c>
    </row>
    <row r="24" ht="270" customHeight="true">
      <c r="A24" s="28" t="str">
        <f>'data'!$E$72</f>
      </c>
      <c r="B24" s="29" t="str">
        <f>'data'!D72</f>
      </c>
    </row>
    <row r="25" ht="270" customHeight="true">
      <c r="A25" s="28" t="str">
        <f>'data'!$E$73</f>
      </c>
      <c r="B25" s="29" t="str">
        <f>'data'!D73</f>
      </c>
    </row>
    <row r="26" ht="270" customHeight="true">
      <c r="A26" s="28" t="str">
        <f>'data'!$E$74</f>
      </c>
      <c r="B26" s="29" t="str">
        <f>'data'!D74</f>
      </c>
    </row>
    <row r="27" ht="270" customHeight="true">
      <c r="A27" s="28" t="str">
        <f>'data'!$E$75</f>
      </c>
      <c r="B27" s="29" t="str">
        <f>'data'!D75</f>
      </c>
    </row>
    <row r="28" ht="270" customHeight="true">
      <c r="A28" s="28" t="str">
        <f>'data'!$E$76</f>
      </c>
      <c r="B28" s="29" t="str">
        <f>'data'!D76</f>
      </c>
    </row>
    <row r="29" ht="270" customHeight="true">
      <c r="A29" s="28" t="str">
        <f>'data'!$E$77</f>
      </c>
      <c r="B29" s="29" t="str">
        <f>'data'!D77</f>
      </c>
    </row>
    <row r="30" ht="270" customHeight="true">
      <c r="A30" s="28" t="str">
        <f>'data'!$E$78</f>
      </c>
      <c r="B30" s="29" t="str">
        <f>'data'!D78</f>
      </c>
    </row>
    <row r="31" ht="270" customHeight="true">
      <c r="A31" s="28" t="str">
        <f>'data'!$E$79</f>
      </c>
      <c r="B31" s="29" t="str">
        <f>'data'!D79</f>
      </c>
    </row>
    <row r="32" ht="270" customHeight="true">
      <c r="A32" s="28" t="str">
        <f>'data'!$E$80</f>
      </c>
      <c r="B32" s="29" t="str">
        <f>'data'!D80</f>
      </c>
    </row>
    <row r="33" ht="270" customHeight="true">
      <c r="A33" s="28" t="str">
        <f>'data'!$E$81</f>
      </c>
      <c r="B33" s="29" t="str">
        <f>'data'!D81</f>
      </c>
    </row>
    <row r="34" ht="270" customHeight="true">
      <c r="A34" s="28" t="str">
        <f>'data'!$E$82</f>
      </c>
      <c r="B34" s="29" t="str">
        <f>'data'!D82</f>
      </c>
    </row>
    <row r="35" ht="270" customHeight="true">
      <c r="A35" s="28" t="str">
        <f>'data'!$E$83</f>
      </c>
      <c r="B35" s="29" t="str">
        <f>'data'!D83</f>
      </c>
    </row>
    <row r="36" ht="270" customHeight="true">
      <c r="A36" s="28" t="str">
        <f>'data'!$E$84</f>
      </c>
      <c r="B36" s="29" t="str">
        <f>'data'!D84</f>
      </c>
    </row>
    <row r="37" ht="270" customHeight="true">
      <c r="A37" s="28" t="str">
        <f>'data'!$E$85</f>
      </c>
      <c r="B37" s="29" t="str">
        <f>'data'!D85</f>
      </c>
    </row>
    <row r="38" ht="270" customHeight="true">
      <c r="A38" s="28" t="str">
        <f>'data'!$E$86</f>
      </c>
      <c r="B38" s="29" t="str">
        <f>'data'!D86</f>
      </c>
    </row>
    <row r="39" ht="270" customHeight="true">
      <c r="A39" s="28" t="str">
        <f>'data'!$E$87</f>
      </c>
      <c r="B39" s="29" t="str">
        <f>'data'!D87</f>
      </c>
    </row>
    <row r="40" ht="270" customHeight="true">
      <c r="A40" s="28" t="str">
        <f>'data'!$E$88</f>
      </c>
      <c r="B40" s="29" t="str">
        <f>'data'!D88</f>
      </c>
    </row>
    <row r="41" ht="270" customHeight="true">
      <c r="A41" s="28" t="str">
        <f>'data'!$E$89</f>
      </c>
      <c r="B41" s="29" t="str">
        <f>'data'!D89</f>
      </c>
    </row>
    <row r="42" ht="270" customHeight="true">
      <c r="A42" s="28" t="str">
        <f>'data'!$E$90</f>
      </c>
      <c r="B42" s="29" t="str">
        <f>'data'!D90</f>
      </c>
    </row>
    <row r="43" ht="270" customHeight="true">
      <c r="A43" s="28" t="str">
        <f>'data'!$E$91</f>
      </c>
      <c r="B43" s="29" t="str">
        <f>'data'!D91</f>
      </c>
    </row>
    <row r="44" ht="270" customHeight="true">
      <c r="A44" s="28" t="str">
        <f>'data'!$E$92</f>
      </c>
      <c r="B44" s="29" t="str">
        <f>'data'!D92</f>
      </c>
    </row>
    <row r="45" ht="270" customHeight="true">
      <c r="A45" s="28" t="str">
        <f>'data'!$E$93</f>
      </c>
      <c r="B45" s="29"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4.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33</v>
      </c>
    </row>
    <row r="8" ht="409" customHeight="true">
      <c r="A8" s="30" t="s">
        <v>33</v>
      </c>
    </row>
    <row r="9" ht="409" customHeight="true">
      <c r="A9" s="30" t="s">
        <v>38</v>
      </c>
    </row>
    <row r="10" ht="409" customHeight="true">
      <c r="A10" s="30" t="s">
        <v>38</v>
      </c>
    </row>
    <row r="11" ht="409" customHeight="true">
      <c r="A11" s="30" t="s">
        <v>42</v>
      </c>
    </row>
    <row r="12" ht="409" customHeight="true">
      <c r="A12" s="30" t="s">
        <v>42</v>
      </c>
    </row>
    <row r="13" ht="409" customHeight="true">
      <c r="A13" s="30" t="s">
        <v>46</v>
      </c>
    </row>
    <row r="14" ht="409" customHeight="true">
      <c r="A14" s="30" t="s">
        <v>46</v>
      </c>
    </row>
    <row r="15" ht="409" customHeight="true">
      <c r="A15" s="30" t="s">
        <v>51</v>
      </c>
    </row>
    <row r="16" ht="409" customHeight="true">
      <c r="A16" s="30" t="s">
        <v>51</v>
      </c>
    </row>
    <row r="17" ht="409" customHeight="true">
      <c r="A17" s="30" t="s">
        <v>55</v>
      </c>
    </row>
    <row r="18" ht="409" customHeight="true">
      <c r="A18" s="30" t="s">
        <v>55</v>
      </c>
    </row>
    <row r="19" ht="409" customHeight="true">
      <c r="A19" s="30" t="s">
        <v>59</v>
      </c>
    </row>
    <row r="20" ht="409" customHeight="true">
      <c r="A20" s="30" t="s">
        <v>59</v>
      </c>
    </row>
    <row r="21" ht="409" customHeight="true">
      <c r="A21" s="30" t="s">
        <v>64</v>
      </c>
    </row>
    <row r="22" ht="409" customHeight="true">
      <c r="A22" s="30" t="s">
        <v>64</v>
      </c>
    </row>
    <row r="23" ht="409" customHeight="true">
      <c r="A23" s="30" t="s">
        <v>68</v>
      </c>
    </row>
    <row r="24" ht="409" customHeight="true">
      <c r="A24" s="30" t="s">
        <v>68</v>
      </c>
    </row>
    <row r="25" ht="409" customHeight="true">
      <c r="A25" s="30" t="s">
        <v>72</v>
      </c>
    </row>
    <row r="26" ht="409" customHeight="true">
      <c r="A26" s="30" t="s">
        <v>72</v>
      </c>
    </row>
    <row r="27" ht="409" customHeight="true">
      <c r="A27" s="30" t="s">
        <v>76</v>
      </c>
    </row>
    <row r="28" ht="409" customHeight="true">
      <c r="A28" s="30" t="s">
        <v>76</v>
      </c>
    </row>
    <row r="29" ht="409" customHeight="true">
      <c r="A29" s="30" t="s">
        <v>79</v>
      </c>
    </row>
    <row r="30" ht="409" customHeight="true">
      <c r="A30" s="30" t="s">
        <v>79</v>
      </c>
    </row>
    <row r="31" ht="409" customHeight="true">
      <c r="A31" s="30" t="s">
        <v>83</v>
      </c>
    </row>
    <row r="32" ht="409" customHeight="true">
      <c r="A32" s="30" t="s">
        <v>83</v>
      </c>
    </row>
    <row r="33" ht="409" customHeight="true">
      <c r="A33" s="30" t="s">
        <v>88</v>
      </c>
    </row>
    <row r="34" ht="409" customHeight="true">
      <c r="A34" s="30" t="s">
        <v>88</v>
      </c>
    </row>
    <row r="35" ht="409" customHeight="true">
      <c r="A35" s="30" t="s">
        <v>92</v>
      </c>
    </row>
    <row r="36" ht="409" customHeight="true">
      <c r="A36" s="30" t="s">
        <v>92</v>
      </c>
    </row>
    <row r="37" ht="409" customHeight="true">
      <c r="A37" s="30" t="s">
        <v>95</v>
      </c>
    </row>
    <row r="38" ht="409" customHeight="true">
      <c r="A38" s="30" t="s">
        <v>95</v>
      </c>
    </row>
    <row r="39" ht="409" customHeight="true">
      <c r="A39" s="30" t="s">
        <v>99</v>
      </c>
    </row>
    <row r="40" ht="409" customHeight="true">
      <c r="A40" s="30" t="s">
        <v>99</v>
      </c>
    </row>
    <row r="41" ht="409" customHeight="true">
      <c r="A41" s="30" t="s">
        <v>102</v>
      </c>
    </row>
    <row r="42" ht="409" customHeight="true">
      <c r="A42" s="30" t="s">
        <v>102</v>
      </c>
    </row>
    <row r="43" ht="409" customHeight="true">
      <c r="A43" s="30" t="s">
        <v>106</v>
      </c>
    </row>
    <row r="44" ht="409" customHeight="true">
      <c r="A44" s="30" t="s">
        <v>106</v>
      </c>
    </row>
    <row r="45" ht="409" customHeight="true">
      <c r="A45" s="30" t="s">
        <v>109</v>
      </c>
    </row>
    <row r="46" ht="409" customHeight="true">
      <c r="A46" s="30" t="s">
        <v>109</v>
      </c>
    </row>
    <row r="47" ht="409" customHeight="true">
      <c r="A47" s="30" t="s">
        <v>112</v>
      </c>
    </row>
    <row r="48" ht="409" customHeight="true">
      <c r="A48" s="30" t="s">
        <v>112</v>
      </c>
    </row>
    <row r="49" ht="409" customHeight="true">
      <c r="A49" s="30" t="s">
        <v>116</v>
      </c>
    </row>
    <row r="50" ht="409" customHeight="true">
      <c r="A50" s="30" t="s">
        <v>116</v>
      </c>
    </row>
    <row r="51" ht="409" customHeight="true">
      <c r="A51" s="30" t="s">
        <v>120</v>
      </c>
    </row>
    <row r="52" ht="409" customHeight="true">
      <c r="A52" s="30" t="s">
        <v>120</v>
      </c>
    </row>
    <row r="53" ht="409" customHeight="true">
      <c r="A53" s="30" t="s">
        <v>123</v>
      </c>
    </row>
    <row r="54" ht="409" customHeight="true">
      <c r="A54" s="30" t="s">
        <v>123</v>
      </c>
    </row>
    <row r="55" ht="409" customHeight="true">
      <c r="A55" s="30" t="s">
        <v>126</v>
      </c>
    </row>
    <row r="56" ht="409" customHeight="true">
      <c r="A56" s="30" t="s">
        <v>126</v>
      </c>
    </row>
    <row r="57" ht="409" customHeight="true">
      <c r="A57" s="30" t="s">
        <v>130</v>
      </c>
    </row>
    <row r="58" ht="409" customHeight="true">
      <c r="A58" s="30" t="s">
        <v>130</v>
      </c>
    </row>
    <row r="59" ht="409" customHeight="true">
      <c r="A59" s="30" t="s">
        <v>133</v>
      </c>
    </row>
    <row r="60" ht="409" customHeight="true">
      <c r="A60" s="30" t="s">
        <v>133</v>
      </c>
    </row>
    <row r="61" ht="409" customHeight="true">
      <c r="A61" s="30" t="s">
        <v>137</v>
      </c>
    </row>
    <row r="62" ht="409" customHeight="true">
      <c r="A62" s="30" t="s">
        <v>137</v>
      </c>
    </row>
    <row r="63" ht="409" customHeight="true">
      <c r="A63" s="30" t="s">
        <v>141</v>
      </c>
    </row>
    <row r="64" ht="409" customHeight="true">
      <c r="A64" s="30" t="s">
        <v>141</v>
      </c>
    </row>
    <row r="65" ht="409" customHeight="true">
      <c r="A65" s="30" t="s">
        <v>144</v>
      </c>
    </row>
    <row r="66" ht="409" customHeight="true">
      <c r="A66" s="30" t="s">
        <v>144</v>
      </c>
    </row>
    <row r="67" ht="409" customHeight="true">
      <c r="A67" s="30" t="s">
        <v>147</v>
      </c>
    </row>
    <row r="68" ht="409" customHeight="true">
      <c r="A68" s="30" t="s">
        <v>147</v>
      </c>
    </row>
    <row r="69" ht="409" customHeight="true">
      <c r="A69" s="30" t="s">
        <v>151</v>
      </c>
    </row>
    <row r="70" ht="409" customHeight="true">
      <c r="A70" s="30" t="s">
        <v>151</v>
      </c>
    </row>
    <row r="71" ht="409" customHeight="true">
      <c r="A71" s="30" t="s">
        <v>153</v>
      </c>
    </row>
    <row r="72" ht="409" customHeight="true">
      <c r="A72" s="30" t="s">
        <v>153</v>
      </c>
    </row>
    <row r="73" ht="409" customHeight="true">
      <c r="A73" s="30" t="s">
        <v>157</v>
      </c>
    </row>
    <row r="74" ht="409" customHeight="true">
      <c r="A74" s="30" t="s">
        <v>157</v>
      </c>
    </row>
    <row r="75" ht="409" customHeight="true">
      <c r="A75" s="30" t="s">
        <v>161</v>
      </c>
    </row>
    <row r="76" ht="409" customHeight="true">
      <c r="A76" s="30" t="s">
        <v>161</v>
      </c>
    </row>
    <row r="77" ht="409" customHeight="true">
      <c r="A77" s="30" t="s">
        <v>164</v>
      </c>
    </row>
    <row r="78" ht="409" customHeight="true">
      <c r="A78" s="30" t="s">
        <v>164</v>
      </c>
    </row>
    <row r="79" ht="409" customHeight="true">
      <c r="A79" s="30" t="s">
        <v>168</v>
      </c>
    </row>
    <row r="80" ht="409" customHeight="true">
      <c r="A80" s="30" t="s">
        <v>168</v>
      </c>
    </row>
    <row r="81" ht="409" customHeight="true">
      <c r="A81" s="30" t="s">
        <v>172</v>
      </c>
    </row>
    <row r="82" ht="409" customHeight="true">
      <c r="A82" s="30" t="s">
        <v>172</v>
      </c>
    </row>
    <row r="83" ht="409" customHeight="true">
      <c r="A83" s="30" t="s">
        <v>175</v>
      </c>
    </row>
    <row r="84" ht="409" customHeight="true">
      <c r="A84" s="30" t="s">
        <v>175</v>
      </c>
    </row>
    <row r="85" ht="409" customHeight="true">
      <c r="A85" s="30" t="s">
        <v>178</v>
      </c>
    </row>
    <row r="86" ht="409" customHeight="true">
      <c r="A86" s="30" t="s">
        <v>178</v>
      </c>
    </row>
    <row r="87" ht="409" customHeight="true">
      <c r="A87" s="30" t="s">
        <v>182</v>
      </c>
    </row>
    <row r="88" ht="409" customHeight="true">
      <c r="A88" s="30" t="s">
        <v>182</v>
      </c>
    </row>
    <row r="89" ht="409" customHeight="true">
      <c r="A89" s="30" t="s">
        <v>186</v>
      </c>
    </row>
    <row r="90" ht="409" customHeight="true">
      <c r="A90" s="30" t="s">
        <v>186</v>
      </c>
    </row>
    <row r="91" ht="409" customHeight="true">
      <c r="A91" s="30" t="s">
        <v>189</v>
      </c>
    </row>
    <row r="92" ht="409" customHeight="true">
      <c r="A92" s="30" t="s">
        <v>189</v>
      </c>
    </row>
    <row r="93" ht="409" customHeight="true">
      <c r="A93" s="30" t="s">
        <v>193</v>
      </c>
    </row>
    <row r="94" ht="409" customHeight="true">
      <c r="A94" s="30" t="s">
        <v>193</v>
      </c>
    </row>
    <row r="95" ht="409" customHeight="true">
      <c r="A95" s="30" t="s">
        <v>195</v>
      </c>
    </row>
    <row r="96" ht="409" customHeight="true">
      <c r="A96" s="30" t="s">
        <v>195</v>
      </c>
    </row>
    <row r="97" ht="409" customHeight="true">
      <c r="A97" s="30" t="s">
        <v>198</v>
      </c>
    </row>
    <row r="98" ht="409" customHeight="true">
      <c r="A98" s="30" t="s">
        <v>198</v>
      </c>
    </row>
    <row r="99" ht="409" customHeight="true">
      <c r="A99" s="30" t="s">
        <v>202</v>
      </c>
    </row>
    <row r="100" ht="409" customHeight="true">
      <c r="A100" s="30" t="s">
        <v>202</v>
      </c>
    </row>
    <row r="101" ht="409" customHeight="true">
      <c r="A101" s="30" t="s">
        <v>205</v>
      </c>
    </row>
    <row r="102" ht="409" customHeight="true">
      <c r="A102" s="30" t="s">
        <v>205</v>
      </c>
    </row>
    <row r="103" ht="409" customHeight="true">
      <c r="A103" s="30" t="s">
        <v>208</v>
      </c>
    </row>
    <row r="104" ht="409" customHeight="true">
      <c r="A104" s="30" t="s">
        <v>208</v>
      </c>
    </row>
    <row r="105" ht="409" customHeight="true">
      <c r="A105" s="30" t="s">
        <v>212</v>
      </c>
    </row>
    <row r="106" ht="409" customHeight="true">
      <c r="A106" s="30" t="s">
        <v>212</v>
      </c>
    </row>
    <row r="107" ht="409" customHeight="true">
      <c r="A107" s="30" t="s">
        <v>215</v>
      </c>
    </row>
    <row r="108" ht="409" customHeight="true">
      <c r="A108" s="30" t="s">
        <v>215</v>
      </c>
    </row>
    <row r="109" ht="409" customHeight="true">
      <c r="A109" s="30" t="s">
        <v>218</v>
      </c>
    </row>
    <row r="110" ht="409" customHeight="true">
      <c r="A110" s="30" t="s">
        <v>218</v>
      </c>
    </row>
    <row r="111" ht="409" customHeight="true">
      <c r="A111" s="30" t="s">
        <v>222</v>
      </c>
    </row>
    <row r="112" ht="409" customHeight="true">
      <c r="A112" s="30" t="s">
        <v>222</v>
      </c>
    </row>
    <row r="113" ht="409" customHeight="true">
      <c r="A113" s="30" t="s">
        <v>224</v>
      </c>
    </row>
    <row r="114" ht="409" customHeight="true">
      <c r="A114" s="30" t="s">
        <v>224</v>
      </c>
    </row>
    <row r="115" ht="409" customHeight="true">
      <c r="A115" s="30" t="s">
        <v>227</v>
      </c>
    </row>
    <row r="116" ht="409" customHeight="true">
      <c r="A116" s="30" t="s">
        <v>227</v>
      </c>
    </row>
    <row r="117" ht="409" customHeight="true">
      <c r="A117" s="30" t="s">
        <v>230</v>
      </c>
    </row>
    <row r="118" ht="409" customHeight="true">
      <c r="A118" s="30" t="s">
        <v>230</v>
      </c>
    </row>
    <row r="119" ht="409" customHeight="true">
      <c r="A119" s="30" t="s">
        <v>232</v>
      </c>
    </row>
    <row r="120" ht="409" customHeight="true">
      <c r="A120" s="30" t="s">
        <v>232</v>
      </c>
    </row>
    <row r="121" ht="409" customHeight="true">
      <c r="A121" s="30" t="s">
        <v>235</v>
      </c>
    </row>
    <row r="122" ht="409" customHeight="true">
      <c r="A122" s="30" t="s">
        <v>235</v>
      </c>
    </row>
    <row r="123" ht="409" customHeight="true">
      <c r="A123" s="30" t="s">
        <v>239</v>
      </c>
    </row>
    <row r="124" ht="409" customHeight="true">
      <c r="A124" s="30" t="s">
        <v>239</v>
      </c>
    </row>
    <row r="125" ht="409" customHeight="true">
      <c r="A125" s="30" t="s">
        <v>241</v>
      </c>
    </row>
    <row r="126" ht="409" customHeight="true">
      <c r="A126" s="30" t="s">
        <v>241</v>
      </c>
    </row>
    <row r="127" ht="409" customHeight="true">
      <c r="A127" s="30" t="s">
        <v>244</v>
      </c>
    </row>
    <row r="128" ht="409" customHeight="true">
      <c r="A128" s="30" t="s">
        <v>244</v>
      </c>
    </row>
    <row r="129" ht="409" customHeight="true">
      <c r="A129" s="30" t="s">
        <v>247</v>
      </c>
    </row>
    <row r="130" ht="409" customHeight="true">
      <c r="A130" s="30" t="s">
        <v>247</v>
      </c>
    </row>
    <row r="131" ht="409" customHeight="true">
      <c r="A131" s="30" t="s">
        <v>249</v>
      </c>
    </row>
    <row r="132" ht="409" customHeight="true">
      <c r="A132" s="30" t="s">
        <v>249</v>
      </c>
    </row>
    <row r="133" ht="409" customHeight="true">
      <c r="A133" s="30" t="s">
        <v>252</v>
      </c>
    </row>
    <row r="134" ht="409" customHeight="true">
      <c r="A134" s="30" t="s">
        <v>252</v>
      </c>
    </row>
    <row r="135" ht="409" customHeight="true">
      <c r="A135" s="30" t="s">
        <v>256</v>
      </c>
    </row>
    <row r="136" ht="409" customHeight="true">
      <c r="A136" s="30" t="s">
        <v>256</v>
      </c>
    </row>
    <row r="137" ht="409" customHeight="true">
      <c r="A137" s="30" t="s">
        <v>258</v>
      </c>
    </row>
    <row r="138" ht="409" customHeight="true">
      <c r="A138" s="30" t="s">
        <v>258</v>
      </c>
    </row>
    <row r="139" ht="409" customHeight="true">
      <c r="A139" s="30" t="s">
        <v>261</v>
      </c>
    </row>
    <row r="140" ht="409" customHeight="true">
      <c r="A140" s="30" t="s">
        <v>261</v>
      </c>
    </row>
    <row r="141" ht="409" customHeight="true">
      <c r="A141" s="30" t="s">
        <v>264</v>
      </c>
    </row>
    <row r="142" ht="409" customHeight="true">
      <c r="A142" s="30" t="s">
        <v>264</v>
      </c>
    </row>
    <row r="143" ht="409" customHeight="true">
      <c r="A143" s="30" t="s">
        <v>267</v>
      </c>
    </row>
    <row r="144" ht="409" customHeight="true">
      <c r="A144" s="30" t="s">
        <v>267</v>
      </c>
    </row>
    <row r="145" ht="409" customHeight="true">
      <c r="A145" s="30" t="s">
        <v>270</v>
      </c>
    </row>
    <row r="146" ht="409" customHeight="true">
      <c r="A146" s="30" t="s">
        <v>270</v>
      </c>
    </row>
    <row r="147" ht="409" customHeight="true">
      <c r="A147" s="30" t="s">
        <v>274</v>
      </c>
    </row>
    <row r="148" ht="409" customHeight="true">
      <c r="A148" s="30" t="s">
        <v>274</v>
      </c>
    </row>
    <row r="149" ht="409" customHeight="true">
      <c r="A149" s="30" t="s">
        <v>277</v>
      </c>
    </row>
    <row r="150" ht="409" customHeight="true">
      <c r="A150" s="30" t="s">
        <v>277</v>
      </c>
    </row>
    <row r="151" ht="409" customHeight="true">
      <c r="A151" s="30" t="s">
        <v>280</v>
      </c>
    </row>
    <row r="152" ht="409" customHeight="true">
      <c r="A152" s="30" t="s">
        <v>280</v>
      </c>
    </row>
    <row r="153" ht="409" customHeight="true">
      <c r="A153" s="30" t="s">
        <v>284</v>
      </c>
    </row>
    <row r="154" ht="409" customHeight="true">
      <c r="A154" s="30" t="s">
        <v>284</v>
      </c>
    </row>
    <row r="155" ht="409" customHeight="true">
      <c r="A155" s="30" t="s">
        <v>287</v>
      </c>
    </row>
    <row r="156" ht="409" customHeight="true">
      <c r="A156" s="30" t="s">
        <v>287</v>
      </c>
    </row>
    <row r="157" ht="409" customHeight="true">
      <c r="A157" s="30" t="s">
        <v>290</v>
      </c>
    </row>
    <row r="158" ht="409" customHeight="true">
      <c r="A158" s="30" t="s">
        <v>290</v>
      </c>
    </row>
    <row r="159" ht="409" customHeight="true">
      <c r="A159" s="30" t="s">
        <v>294</v>
      </c>
    </row>
    <row r="160" ht="409" customHeight="true">
      <c r="A160" s="30" t="s">
        <v>294</v>
      </c>
    </row>
    <row r="161" ht="409" customHeight="true">
      <c r="A161" s="30" t="s">
        <v>297</v>
      </c>
    </row>
    <row r="162" ht="409" customHeight="true">
      <c r="A162" s="30" t="s">
        <v>297</v>
      </c>
    </row>
    <row r="163" ht="409" customHeight="true">
      <c r="A163" s="30" t="s">
        <v>300</v>
      </c>
    </row>
    <row r="164" ht="409" customHeight="true">
      <c r="A164" s="30" t="s">
        <v>300</v>
      </c>
    </row>
    <row r="165" ht="409" customHeight="true">
      <c r="A165" s="30" t="s">
        <v>303</v>
      </c>
    </row>
    <row r="166" ht="409" customHeight="true">
      <c r="A166" s="30" t="s">
        <v>303</v>
      </c>
    </row>
    <row r="167" ht="409" customHeight="true">
      <c r="A167" s="30" t="s">
        <v>306</v>
      </c>
    </row>
    <row r="168" ht="409" customHeight="true">
      <c r="A168" s="30" t="s">
        <v>306</v>
      </c>
    </row>
    <row r="169" ht="409" customHeight="true">
      <c r="A169" s="30" t="s">
        <v>309</v>
      </c>
    </row>
    <row r="170" ht="409" customHeight="true">
      <c r="A170" s="30" t="s">
        <v>309</v>
      </c>
    </row>
    <row r="171" ht="409" customHeight="true">
      <c r="A171" s="30" t="s">
        <v>313</v>
      </c>
    </row>
    <row r="172" ht="409" customHeight="true">
      <c r="A172" s="30" t="s">
        <v>313</v>
      </c>
    </row>
    <row r="173" ht="409" customHeight="true">
      <c r="A173" s="30" t="s">
        <v>316</v>
      </c>
    </row>
    <row r="174" ht="409" customHeight="true">
      <c r="A174" s="30" t="s">
        <v>316</v>
      </c>
    </row>
    <row r="175" ht="409" customHeight="true">
      <c r="A175" s="30" t="s">
        <v>318</v>
      </c>
    </row>
    <row r="176" ht="409" customHeight="true">
      <c r="A176" s="30" t="s">
        <v>318</v>
      </c>
    </row>
    <row r="177" ht="409" customHeight="true">
      <c r="A177" s="30" t="s">
        <v>322</v>
      </c>
    </row>
    <row r="178" ht="409" customHeight="true">
      <c r="A178" s="30" t="s">
        <v>322</v>
      </c>
    </row>
    <row r="179" ht="409" customHeight="true">
      <c r="A179" s="30" t="s">
        <v>325</v>
      </c>
    </row>
    <row r="180" ht="409" customHeight="true">
      <c r="A180" s="30" t="s">
        <v>325</v>
      </c>
    </row>
    <row r="181" ht="409" customHeight="true">
      <c r="A181" s="30" t="s">
        <v>327</v>
      </c>
    </row>
    <row r="182" ht="409" customHeight="true">
      <c r="A182" s="30" t="s">
        <v>327</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91" manualBreakCount="91">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brk id="50" max="16383" man="true"/>
    <brk id="52" max="16383" man="true"/>
    <brk id="54" max="16383" man="true"/>
    <brk id="56" max="16383" man="true"/>
    <brk id="58" max="16383" man="true"/>
    <brk id="60" max="16383" man="true"/>
    <brk id="62" max="16383" man="true"/>
    <brk id="64" max="16383" man="true"/>
    <brk id="66" max="16383" man="true"/>
    <brk id="68" max="16383" man="true"/>
    <brk id="70" max="16383" man="true"/>
    <brk id="72" max="16383" man="true"/>
    <brk id="74" max="16383" man="true"/>
    <brk id="76" max="16383" man="true"/>
    <brk id="78" max="16383" man="true"/>
    <brk id="80" max="16383" man="true"/>
    <brk id="82" max="16383" man="true"/>
    <brk id="84" max="16383" man="true"/>
    <brk id="86" max="16383" man="true"/>
    <brk id="88" max="16383" man="true"/>
    <brk id="90" max="16383" man="true"/>
    <brk id="92" max="16383" man="true"/>
    <brk id="94" max="16383" man="true"/>
    <brk id="96" max="16383" man="true"/>
    <brk id="98" max="16383" man="true"/>
    <brk id="100" max="16383" man="true"/>
    <brk id="102" max="16383" man="true"/>
    <brk id="104" max="16383" man="true"/>
    <brk id="106" max="16383" man="true"/>
    <brk id="108" max="16383" man="true"/>
    <brk id="110" max="16383" man="true"/>
    <brk id="112" max="16383" man="true"/>
    <brk id="114" max="16383" man="true"/>
    <brk id="116" max="16383" man="true"/>
    <brk id="118" max="16383" man="true"/>
    <brk id="120" max="16383" man="true"/>
    <brk id="122" max="16383" man="true"/>
    <brk id="124" max="16383" man="true"/>
    <brk id="126" max="16383" man="true"/>
    <brk id="128" max="16383" man="true"/>
    <brk id="130" max="16383" man="true"/>
    <brk id="132" max="16383" man="true"/>
    <brk id="134" max="16383" man="true"/>
    <brk id="136" max="16383" man="true"/>
    <brk id="138" max="16383" man="true"/>
    <brk id="140" max="16383" man="true"/>
    <brk id="142" max="16383" man="true"/>
    <brk id="144" max="16383" man="true"/>
    <brk id="146" max="16383" man="true"/>
    <brk id="148" max="16383" man="true"/>
    <brk id="150" max="16383" man="true"/>
    <brk id="152" max="16383" man="true"/>
    <brk id="154" max="16383" man="true"/>
    <brk id="156" max="16383" man="true"/>
    <brk id="158" max="16383" man="true"/>
    <brk id="160" max="16383" man="true"/>
    <brk id="162" max="16383" man="true"/>
    <brk id="164" max="16383" man="true"/>
    <brk id="166" max="16383" man="true"/>
    <brk id="168" max="16383" man="true"/>
    <brk id="170" max="16383" man="true"/>
    <brk id="172" max="16383" man="true"/>
    <brk id="174" max="16383" man="true"/>
    <brk id="176" max="16383" man="true"/>
    <brk id="178" max="16383" man="true"/>
    <brk id="180" max="16383" man="true"/>
    <brk id="18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