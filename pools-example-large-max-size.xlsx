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1"/>
  </bookViews>
  <sheets>
    <sheet name="data" sheetId="1" r:id="rId1"/>
    <sheet name="Time Estimator" sheetId="2" r:id="rId4"/>
    <sheet name="Pool Draw" sheetId="3" r:id="rId5"/>
    <sheet name="Pool Matches" sheetId="4" r:id="rId6"/>
    <sheet name="Elimination Matches" sheetId="5" r:id="rId7"/>
    <sheet name="Tree 1" sheetId="8" r:id="rId11"/>
    <sheet name="Tree 2" sheetId="9" r:id="rId12"/>
    <sheet name="Tree 3" sheetId="10" r:id="rId13"/>
    <sheet name="Tree 4" sheetId="11" r:id="rId14"/>
    <sheet name="Names to Print A" sheetId="12" r:id="rId15"/>
    <sheet name="Names to Print B" sheetId="13" r:id="rId16"/>
    <sheet name="Tags" sheetId="14" r:id="rId17"/>
  </sheets>
  <definedNames>
    <definedName localSheetId="2" name="_xlnm.Print_Area">'Pool Draw'!$B$2:$F$71</definedName>
    <definedName localSheetId="3" name="_xlnm.Print_Area">'Pool Matches'!$A$1:$P$269</definedName>
    <definedName localSheetId="5" name="_xlnm.Print_Area">'Tree 1'!$A$1:$K$43</definedName>
    <definedName localSheetId="6" name="_xlnm.Print_Area">'Tree 2'!$A$1:$K$42</definedName>
    <definedName localSheetId="7" name="_xlnm.Print_Area">'Tree 3'!$A$1:$K$43</definedName>
    <definedName localSheetId="8" name="_xlnm.Print_Area">'Tree 4'!$A$1:$K$37</definedName>
    <definedName localSheetId="9" name="_xlnm.Print_Area">'Names to Print A'!$A$1:$B$47</definedName>
    <definedName localSheetId="10" name="_xlnm.Print_Area">'Names to Print B'!$A$1:$B$44</definedName>
    <definedName localSheetId="11" name="_xlnm.Print_Area">'Tags'!$A$1:$A$182</definedName>
    <definedName localSheetId="4" name="_xlnm.Print_Area">'Elimination Matches'!$A$1:$P$279</definedName>
  </definedNames>
  <calcPr calcId="122211"/>
</workbook>
</file>

<file path=xl/sharedStrings.xml><?xml version="1.0" encoding="utf-8"?>
<sst xmlns="http://schemas.openxmlformats.org/spreadsheetml/2006/main" count="413" uniqueCount="413">
  <si>
    <t>Number of pools</t>
  </si>
  <si>
    <t>Team size</t>
  </si>
  <si>
    <t>Matches per pool</t>
  </si>
  <si>
    <t>Time per match</t>
  </si>
  <si>
    <t>Total time for matches</t>
  </si>
  <si>
    <t>Padding time for rotation</t>
  </si>
  <si>
    <t>Time for breaks</t>
  </si>
  <si>
    <t>Total Time</t>
  </si>
  <si>
    <t>Number of Elimination Matches</t>
  </si>
  <si>
    <t>Title prefix:</t>
  </si>
  <si>
    <t/>
  </si>
  <si>
    <t>Pool</t>
  </si>
  <si>
    <t>Player Name</t>
  </si>
  <si>
    <t>Player Dojo</t>
  </si>
  <si>
    <t>Display Name</t>
  </si>
  <si>
    <t>Player Number</t>
  </si>
  <si>
    <t>Metadata</t>
  </si>
  <si>
    <t>Pool A</t>
  </si>
  <si>
    <t>Oliver Walker</t>
  </si>
  <si>
    <t>Team Epsilon</t>
  </si>
  <si>
    <t>WALKER</t>
  </si>
  <si>
    <t>K1</t>
  </si>
  <si>
    <t>Fyodor Dostoevsky</t>
  </si>
  <si>
    <t>Team Zeta</t>
  </si>
  <si>
    <t>DOSTOEVSKY</t>
  </si>
  <si>
    <t>K2</t>
  </si>
  <si>
    <t>Samwise Gamgee</t>
  </si>
  <si>
    <t>Team Tau</t>
  </si>
  <si>
    <t>GAMGEE</t>
  </si>
  <si>
    <t>K3</t>
  </si>
  <si>
    <t>Pool B</t>
  </si>
  <si>
    <t>Michael Lewis</t>
  </si>
  <si>
    <t>Team Gamma</t>
  </si>
  <si>
    <t>LEWIS</t>
  </si>
  <si>
    <t>K4</t>
  </si>
  <si>
    <t>Bram Stoker</t>
  </si>
  <si>
    <t>Team Beta</t>
  </si>
  <si>
    <t>STOKER</t>
  </si>
  <si>
    <t>K5</t>
  </si>
  <si>
    <t>Kaden Martin</t>
  </si>
  <si>
    <t>Team Alpha</t>
  </si>
  <si>
    <t>MARTIN</t>
  </si>
  <si>
    <t>K6</t>
  </si>
  <si>
    <t>Pool C</t>
  </si>
  <si>
    <t>Isaac White</t>
  </si>
  <si>
    <t>Team Iota</t>
  </si>
  <si>
    <t>WHITE</t>
  </si>
  <si>
    <t>K7</t>
  </si>
  <si>
    <t>Nolan Clark</t>
  </si>
  <si>
    <t>Team Delta</t>
  </si>
  <si>
    <t>CLARK</t>
  </si>
  <si>
    <t>K8</t>
  </si>
  <si>
    <t>Petyr Baelish</t>
  </si>
  <si>
    <t>Team Pi</t>
  </si>
  <si>
    <t>BAELISH</t>
  </si>
  <si>
    <t>K9</t>
  </si>
  <si>
    <t>Pool D</t>
  </si>
  <si>
    <t>Gabriel Thomas</t>
  </si>
  <si>
    <t>Team Eta</t>
  </si>
  <si>
    <t>THOMAS</t>
  </si>
  <si>
    <t>K10</t>
  </si>
  <si>
    <t>Kevin Clark</t>
  </si>
  <si>
    <t>K11</t>
  </si>
  <si>
    <t>Tyrion Lannister</t>
  </si>
  <si>
    <t>Team Upsilon</t>
  </si>
  <si>
    <t>LANNISTER</t>
  </si>
  <si>
    <t>K12</t>
  </si>
  <si>
    <t>Pool E</t>
  </si>
  <si>
    <t>Victor Lopez</t>
  </si>
  <si>
    <t>LOPEZ</t>
  </si>
  <si>
    <t>K13</t>
  </si>
  <si>
    <t>Jane Austen</t>
  </si>
  <si>
    <t>Team Kappa</t>
  </si>
  <si>
    <t>AUSTEN</t>
  </si>
  <si>
    <t>K14</t>
  </si>
  <si>
    <t>Charles Dickens</t>
  </si>
  <si>
    <t>DICKENS</t>
  </si>
  <si>
    <t>K15</t>
  </si>
  <si>
    <t>Pool F</t>
  </si>
  <si>
    <t>Quirinus Quirrell</t>
  </si>
  <si>
    <t>Team Rho</t>
  </si>
  <si>
    <t>QUIRRELL</t>
  </si>
  <si>
    <t>K16</t>
  </si>
  <si>
    <t>Mary Shelley</t>
  </si>
  <si>
    <t>Team Nu</t>
  </si>
  <si>
    <t>SHELLEY</t>
  </si>
  <si>
    <t>K17</t>
  </si>
  <si>
    <t>Yann Martel</t>
  </si>
  <si>
    <t>MARTEL</t>
  </si>
  <si>
    <t>K18</t>
  </si>
  <si>
    <t>Pool G</t>
  </si>
  <si>
    <t>Xavier Scott</t>
  </si>
  <si>
    <t>SCOTT</t>
  </si>
  <si>
    <t>K19</t>
  </si>
  <si>
    <t>Emily Bronte</t>
  </si>
  <si>
    <t>BRONTE</t>
  </si>
  <si>
    <t>K20</t>
  </si>
  <si>
    <t>Othello</t>
  </si>
  <si>
    <t>Team Omicron</t>
  </si>
  <si>
    <t>OTHELLO</t>
  </si>
  <si>
    <t>K21</t>
  </si>
  <si>
    <t>Pool H</t>
  </si>
  <si>
    <t>Ryan Hall</t>
  </si>
  <si>
    <t>Team Theta</t>
  </si>
  <si>
    <t>HALL</t>
  </si>
  <si>
    <t>K22</t>
  </si>
  <si>
    <t>Katniss Everdeen</t>
  </si>
  <si>
    <t>Team Lambda</t>
  </si>
  <si>
    <t>EVERDEEN</t>
  </si>
  <si>
    <t>K23</t>
  </si>
  <si>
    <t>Ygritte</t>
  </si>
  <si>
    <t>YGRITTE</t>
  </si>
  <si>
    <t>K24</t>
  </si>
  <si>
    <t>Pool I</t>
  </si>
  <si>
    <t>Quentin Allen</t>
  </si>
  <si>
    <t>ALLEN</t>
  </si>
  <si>
    <t>K25</t>
  </si>
  <si>
    <t>Parker Lewis</t>
  </si>
  <si>
    <t>K26</t>
  </si>
  <si>
    <t>Steven Hernandez</t>
  </si>
  <si>
    <t>HERNANDEZ</t>
  </si>
  <si>
    <t>K27</t>
  </si>
  <si>
    <t>Pool J</t>
  </si>
  <si>
    <t>William Hill</t>
  </si>
  <si>
    <t>HILL</t>
  </si>
  <si>
    <t>K28</t>
  </si>
  <si>
    <t>Virginia Woolf</t>
  </si>
  <si>
    <t>Team Chi</t>
  </si>
  <si>
    <t>WOOLF</t>
  </si>
  <si>
    <t>K29</t>
  </si>
  <si>
    <t>Ron Weasley</t>
  </si>
  <si>
    <t>Team Sigma</t>
  </si>
  <si>
    <t>WEASLEY</t>
  </si>
  <si>
    <t>K30</t>
  </si>
  <si>
    <t>Pool K</t>
  </si>
  <si>
    <t>Herman Melville</t>
  </si>
  <si>
    <t>MELVILLE</t>
  </si>
  <si>
    <t>K31</t>
  </si>
  <si>
    <t>Tristan Young</t>
  </si>
  <si>
    <t>YOUNG</t>
  </si>
  <si>
    <t>K32</t>
  </si>
  <si>
    <t>Legolas Greenleaf</t>
  </si>
  <si>
    <t>Team Mu</t>
  </si>
  <si>
    <t>GREENLEAF</t>
  </si>
  <si>
    <t>K33</t>
  </si>
  <si>
    <t>Pool L</t>
  </si>
  <si>
    <t>Owen Rodriguez</t>
  </si>
  <si>
    <t>RODRIGUEZ</t>
  </si>
  <si>
    <t>K34</t>
  </si>
  <si>
    <t>Ulysses Hernandez</t>
  </si>
  <si>
    <t>K35</t>
  </si>
  <si>
    <t>Willy Wonka</t>
  </si>
  <si>
    <t>Team Psi</t>
  </si>
  <si>
    <t>WONKA</t>
  </si>
  <si>
    <t>K36</t>
  </si>
  <si>
    <t>Pool M</t>
  </si>
  <si>
    <t>Dylan Moore</t>
  </si>
  <si>
    <t>MOORE</t>
  </si>
  <si>
    <t>K37</t>
  </si>
  <si>
    <t>Yosef Green</t>
  </si>
  <si>
    <t>GREEN</t>
  </si>
  <si>
    <t>K38</t>
  </si>
  <si>
    <t>Neville Longbottom</t>
  </si>
  <si>
    <t>Team Xi</t>
  </si>
  <si>
    <t>LONGBOTTOM</t>
  </si>
  <si>
    <t>K39</t>
  </si>
  <si>
    <t>Pool N</t>
  </si>
  <si>
    <t>Mason Martinez</t>
  </si>
  <si>
    <t>MARTINEZ</t>
  </si>
  <si>
    <t>K40</t>
  </si>
  <si>
    <t>George Orwell</t>
  </si>
  <si>
    <t>ORWELL</t>
  </si>
  <si>
    <t>K41</t>
  </si>
  <si>
    <t>Uriel Wright</t>
  </si>
  <si>
    <t>WRIGHT</t>
  </si>
  <si>
    <t>K42</t>
  </si>
  <si>
    <t>Pool O</t>
  </si>
  <si>
    <t>Liam Thompson</t>
  </si>
  <si>
    <t>THOMPSON</t>
  </si>
  <si>
    <t>K43</t>
  </si>
  <si>
    <t>Daniel Defoe</t>
  </si>
  <si>
    <t>DEFOE</t>
  </si>
  <si>
    <t>K44</t>
  </si>
  <si>
    <t>Xaro Xhoan Daxos</t>
  </si>
  <si>
    <t>Team Omega</t>
  </si>
  <si>
    <t>DAXOS</t>
  </si>
  <si>
    <t>K45</t>
  </si>
  <si>
    <t>Pool P</t>
  </si>
  <si>
    <t>Isaac Asimov</t>
  </si>
  <si>
    <t>ASIMOV</t>
  </si>
  <si>
    <t>K46</t>
  </si>
  <si>
    <t>Ursula K Le Guin</t>
  </si>
  <si>
    <t>Team Phi</t>
  </si>
  <si>
    <t>LE GUIN</t>
  </si>
  <si>
    <t>K47</t>
  </si>
  <si>
    <t>Pool Q</t>
  </si>
  <si>
    <t>Xavier Herbert</t>
  </si>
  <si>
    <t>HERBERT</t>
  </si>
  <si>
    <t>K48</t>
  </si>
  <si>
    <t>Lewis Carroll</t>
  </si>
  <si>
    <t>CARROLL</t>
  </si>
  <si>
    <t>K49</t>
  </si>
  <si>
    <t>William Shakespeare</t>
  </si>
  <si>
    <t>SHAKESPEARE</t>
  </si>
  <si>
    <t>K50</t>
  </si>
  <si>
    <t>Pool R</t>
  </si>
  <si>
    <t>Nathan Lee</t>
  </si>
  <si>
    <t>LEE</t>
  </si>
  <si>
    <t>K51</t>
  </si>
  <si>
    <t>Ray Bradbury</t>
  </si>
  <si>
    <t>BRADBURY</t>
  </si>
  <si>
    <t>K52</t>
  </si>
  <si>
    <t>Aaron Thompson</t>
  </si>
  <si>
    <t>K53</t>
  </si>
  <si>
    <t>Pool S</t>
  </si>
  <si>
    <t>Finn Anderson</t>
  </si>
  <si>
    <t>ANDERSON</t>
  </si>
  <si>
    <t>K54</t>
  </si>
  <si>
    <t>Luke Rodriguez</t>
  </si>
  <si>
    <t>K55</t>
  </si>
  <si>
    <t>Elijah Taylor</t>
  </si>
  <si>
    <t>TAYLOR</t>
  </si>
  <si>
    <t>K56</t>
  </si>
  <si>
    <t>Pool T</t>
  </si>
  <si>
    <t>Daenerys Targaryen</t>
  </si>
  <si>
    <t>TARGARYEN</t>
  </si>
  <si>
    <t>K57</t>
  </si>
  <si>
    <t>William Wright</t>
  </si>
  <si>
    <t>K58</t>
  </si>
  <si>
    <t>Ulysses</t>
  </si>
  <si>
    <t>ULYSSES</t>
  </si>
  <si>
    <t>K59</t>
  </si>
  <si>
    <t>Pool U</t>
  </si>
  <si>
    <t>Paul Hall</t>
  </si>
  <si>
    <t>K60</t>
  </si>
  <si>
    <t>Quinn Walker</t>
  </si>
  <si>
    <t>K61</t>
  </si>
  <si>
    <t>Voldemort</t>
  </si>
  <si>
    <t>VOLDEMORT</t>
  </si>
  <si>
    <t>K62</t>
  </si>
  <si>
    <t>Pool V</t>
  </si>
  <si>
    <t>Thomas King</t>
  </si>
  <si>
    <t>KING</t>
  </si>
  <si>
    <t>K63</t>
  </si>
  <si>
    <t>Xavier Lopez</t>
  </si>
  <si>
    <t>K64</t>
  </si>
  <si>
    <t>Hermione Granger</t>
  </si>
  <si>
    <t>GRANGER</t>
  </si>
  <si>
    <t>K65</t>
  </si>
  <si>
    <t>Pool W</t>
  </si>
  <si>
    <t>Robert Young</t>
  </si>
  <si>
    <t>K66</t>
  </si>
  <si>
    <t>Vincent King</t>
  </si>
  <si>
    <t>K67</t>
  </si>
  <si>
    <t>Albus Dumbledore</t>
  </si>
  <si>
    <t>DUMBLEDORE</t>
  </si>
  <si>
    <t>K68</t>
  </si>
  <si>
    <t>Pool X</t>
  </si>
  <si>
    <t>Jackson Harris</t>
  </si>
  <si>
    <t>HARRIS</t>
  </si>
  <si>
    <t>K69</t>
  </si>
  <si>
    <t>Nathaniel Hawthorne</t>
  </si>
  <si>
    <t>HAWTHORNE</t>
  </si>
  <si>
    <t>K70</t>
  </si>
  <si>
    <t>Inigo Montoya</t>
  </si>
  <si>
    <t>MONTOYA</t>
  </si>
  <si>
    <t>K71</t>
  </si>
  <si>
    <t>Pool Y</t>
  </si>
  <si>
    <t>Sebastian Allen</t>
  </si>
  <si>
    <t>K72</t>
  </si>
  <si>
    <t>Jon Snow</t>
  </si>
  <si>
    <t>SNOW</t>
  </si>
  <si>
    <t>K73</t>
  </si>
  <si>
    <t>Hudson Jackson</t>
  </si>
  <si>
    <t>JACKSON</t>
  </si>
  <si>
    <t>K74</t>
  </si>
  <si>
    <t>Pool Z</t>
  </si>
  <si>
    <t>Caleb Wilson</t>
  </si>
  <si>
    <t>WILSON</t>
  </si>
  <si>
    <t>K75</t>
  </si>
  <si>
    <t>Oscar Wilde</t>
  </si>
  <si>
    <t>WILDE</t>
  </si>
  <si>
    <t>K76</t>
  </si>
  <si>
    <t>Gandalf The Grey</t>
  </si>
  <si>
    <t>GANDALF</t>
  </si>
  <si>
    <t>K77</t>
  </si>
  <si>
    <t>Pool AA</t>
  </si>
  <si>
    <t>Benjamin Evans</t>
  </si>
  <si>
    <t>EVANS</t>
  </si>
  <si>
    <t>K78</t>
  </si>
  <si>
    <t>Philip K Dick</t>
  </si>
  <si>
    <t>DICK</t>
  </si>
  <si>
    <t>K79</t>
  </si>
  <si>
    <t>Frodo Baggins</t>
  </si>
  <si>
    <t>BAGGINS</t>
  </si>
  <si>
    <t>K80</t>
  </si>
  <si>
    <t>Pool AB</t>
  </si>
  <si>
    <t>Moby Dick</t>
  </si>
  <si>
    <t>K81</t>
  </si>
  <si>
    <t>Quentin Blake</t>
  </si>
  <si>
    <t>BLAKE</t>
  </si>
  <si>
    <t>K82</t>
  </si>
  <si>
    <t>Eddard Stark</t>
  </si>
  <si>
    <t>STARK</t>
  </si>
  <si>
    <t>K83</t>
  </si>
  <si>
    <t>Pool AC</t>
  </si>
  <si>
    <t>Arthur Conan</t>
  </si>
  <si>
    <t>CONAN</t>
  </si>
  <si>
    <t>K84</t>
  </si>
  <si>
    <t>Yosef Hill</t>
  </si>
  <si>
    <t>K85</t>
  </si>
  <si>
    <t>Bilbo Baggins</t>
  </si>
  <si>
    <t>K86</t>
  </si>
  <si>
    <t>Pool AD</t>
  </si>
  <si>
    <t>Kurt Vonnegut</t>
  </si>
  <si>
    <t>VONNEGUT</t>
  </si>
  <si>
    <t>K87</t>
  </si>
  <si>
    <t>Sylvia Plath</t>
  </si>
  <si>
    <t>PLATH</t>
  </si>
  <si>
    <t>K88</t>
  </si>
  <si>
    <t>Cersei Lannister</t>
  </si>
  <si>
    <t>K89</t>
  </si>
  <si>
    <t>Pool AE</t>
  </si>
  <si>
    <t>Zachary Adams</t>
  </si>
  <si>
    <t>ADAMS</t>
  </si>
  <si>
    <t>K90</t>
  </si>
  <si>
    <t>Thomas Hardy</t>
  </si>
  <si>
    <t>HARDY</t>
  </si>
  <si>
    <t>K91</t>
  </si>
  <si>
    <t>Shiaijo A</t>
  </si>
  <si>
    <t>Shiaijo B</t>
  </si>
  <si>
    <t>White</t>
  </si>
  <si>
    <t>vs</t>
  </si>
  <si>
    <t>Red</t>
  </si>
  <si>
    <t>Results</t>
  </si>
  <si>
    <t>W</t>
  </si>
  <si>
    <t>L</t>
  </si>
  <si>
    <t>T</t>
  </si>
  <si>
    <t>PW</t>
  </si>
  <si>
    <t>PL</t>
  </si>
  <si>
    <t>Rank</t>
  </si>
  <si>
    <t>Ranking</t>
  </si>
  <si>
    <t>1.</t>
  </si>
  <si>
    <t>2.</t>
  </si>
  <si>
    <t>3.</t>
  </si>
  <si>
    <t>Round 1 - Match 1</t>
  </si>
  <si>
    <t>Round 1 - Match 16</t>
  </si>
  <si>
    <t>Round 1 - Match 2</t>
  </si>
  <si>
    <t>Round 1 - Match 17</t>
  </si>
  <si>
    <t>Round 1 - Match 3</t>
  </si>
  <si>
    <t>Round 1 - Match 18</t>
  </si>
  <si>
    <t>Round 1 - Match 4</t>
  </si>
  <si>
    <t>Round 1 - Match 19</t>
  </si>
  <si>
    <t>Round 1 - Match 5</t>
  </si>
  <si>
    <t>Round 1 - Match 20</t>
  </si>
  <si>
    <t>Round 1 - Match 6</t>
  </si>
  <si>
    <t>Round 1 - Match 21</t>
  </si>
  <si>
    <t>Round 1 - Match 7</t>
  </si>
  <si>
    <t>Round 1 - Match 22</t>
  </si>
  <si>
    <t>Round 1 - Match 8</t>
  </si>
  <si>
    <t>Round 1 - Match 23</t>
  </si>
  <si>
    <t>Round 1 - Match 9</t>
  </si>
  <si>
    <t>Round 1 - Match 24</t>
  </si>
  <si>
    <t>Round 1 - Match 10</t>
  </si>
  <si>
    <t>Round 1 - Match 25</t>
  </si>
  <si>
    <t>Round 1 - Match 11</t>
  </si>
  <si>
    <t>Round 1 - Match 26</t>
  </si>
  <si>
    <t>Round 1 - Match 12</t>
  </si>
  <si>
    <t>Round 1 - Match 27</t>
  </si>
  <si>
    <t>Round 1 - Match 13</t>
  </si>
  <si>
    <t>Round 1 - Match 28</t>
  </si>
  <si>
    <t>Round 1 - Match 14</t>
  </si>
  <si>
    <t>Round 1 - Match 29</t>
  </si>
  <si>
    <t>Round 1 - Match 15</t>
  </si>
  <si>
    <t>Round 1 - Match 30</t>
  </si>
  <si>
    <t>Round 2 - Match 31</t>
  </si>
  <si>
    <t>Round 2 - Match 39</t>
  </si>
  <si>
    <t>Round 2 - Match 32</t>
  </si>
  <si>
    <t>Round 2 - Match 40</t>
  </si>
  <si>
    <t>Round 2 - Match 33</t>
  </si>
  <si>
    <t>Round 2 - Match 41</t>
  </si>
  <si>
    <t>Round 2 - Match 34</t>
  </si>
  <si>
    <t>Round 2 - Match 42</t>
  </si>
  <si>
    <t>Round 2 - Match 35</t>
  </si>
  <si>
    <t>Round 2 - Match 43</t>
  </si>
  <si>
    <t>Round 2 - Match 36</t>
  </si>
  <si>
    <t>Round 2 - Match 44</t>
  </si>
  <si>
    <t>Round 2 - Match 37</t>
  </si>
  <si>
    <t>Round 2 - Match 45</t>
  </si>
  <si>
    <t>Round 2 - Match 38</t>
  </si>
  <si>
    <t>Round 2 - Match 46</t>
  </si>
  <si>
    <t>Round 3 - Match 47</t>
  </si>
  <si>
    <t>Round 3 - Match 51</t>
  </si>
  <si>
    <t>Round 3 - Match 48</t>
  </si>
  <si>
    <t>Round 3 - Match 52</t>
  </si>
  <si>
    <t>Round 3 - Match 49</t>
  </si>
  <si>
    <t>Round 3 - Match 53</t>
  </si>
  <si>
    <t>Round 3 - Match 50</t>
  </si>
  <si>
    <t>Round 3 - Match 54</t>
  </si>
  <si>
    <t>Round 4 - Match 55</t>
  </si>
  <si>
    <t>Round 4 - Match 57</t>
  </si>
  <si>
    <t>Round 4 - Match 56</t>
  </si>
  <si>
    <t>Round 4 - Match 58</t>
  </si>
  <si>
    <t>Round 5 - Match 59</t>
  </si>
  <si>
    <t>Round 5 - Match 60</t>
  </si>
  <si>
    <t>Round 6 - Match 61</t>
  </si>
  <si>
    <t>Tournament Summary</t>
  </si>
  <si>
    <t>Total Pool Time</t>
  </si>
  <si>
    <t>Total Elimination Time</t>
  </si>
  <si>
    <t>Grand Total (Sequential)</t>
  </si>
  <si>
    <t>Grand Total (Parallel across Courts)</t>
  </si>
  <si>
    <t>Start Time:</t>
  </si>
  <si>
    <t>Estimated Finish Time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</si>
</sst>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F400]h:mm:ss\ AM/PM"/>
    <numFmt numFmtId="165" formatCode="[h]:mm:ss"/>
  </numFmts>
  <fonts count="13">
    <font>
      <sz val="11"/>
      <color theme="1"/>
      <name val="Calibri"/>
      <family val="2"/>
    </font>
    <font>
      <b val="1"/>
      <sz val="12"/>
      <color rgb="FF000000"/>
      <name val="Calibri"/>
      <family val="2"/>
    </font>
    <font>
      <sz val="12"/>
      <color rgb="FF000000"/>
      <name val="Calibri"/>
      <family val="2"/>
    </font>
    <font>
      <b val="1"/>
      <u val="single"/>
      <sz val="16"/>
      <color/>
      <name val="Calibri"/>
      <family val="2"/>
    </font>
    <font>
      <b val="1"/>
      <u val="single"/>
      <sz val="12"/>
      <color/>
      <name val="Calibri"/>
      <family val="2"/>
    </font>
    <font>
      <sz val="12"/>
      <color/>
      <name val="Calibri"/>
      <family val="2"/>
    </font>
    <font>
      <b val="1"/>
      <sz val="28"/>
      <color rgb="FF000000"/>
      <name val="Calibri"/>
      <family val="2"/>
    </font>
    <font>
      <b val="1"/>
      <sz val="72"/>
      <color rgb="FF000000"/>
      <name val="Calibri"/>
      <family val="2"/>
    </font>
    <font>
      <b val="1"/>
      <i val="1"/>
      <sz val="12"/>
      <color/>
      <name val="Calibri"/>
      <family val="2"/>
    </font>
    <font>
      <b val="1"/>
      <sz val="12"/>
      <color rgb="FFFFFFFF"/>
      <name val="Calibri"/>
      <family val="2"/>
    </font>
    <font>
      <b val="1"/>
      <sz val="100"/>
      <color rgb="FF000000"/>
      <name val="Calibri"/>
      <family val="2"/>
    </font>
    <font>
      <sz val="110"/>
      <color rgb="FF000000"/>
      <name val="Calibri"/>
      <family val="2"/>
    </font>
    <font>
      <b val="1"/>
      <sz val="250"/>
      <color/>
      <name val="Calibri"/>
      <family val="2"/>
    </font>
  </fonts>
  <fills count="6">
    <fill>
      <patternFill patternType="none"/>
    </fill>
    <fill>
      <patternFill patternType="gray125"/>
    </fill>
    <fill>
      <patternFill patternType="solid">
        <fgColor rgb="FFC0C0C0"/>
      </patternFill>
    </fill>
    <fill>
      <patternFill patternType="solid">
        <fgColor rgb="FFEFEFEF"/>
      </patternFill>
    </fill>
    <fill>
      <patternFill patternType="solid">
        <fgColor rgb="FFFF0000"/>
      </patternFill>
    </fill>
    <fill>
      <patternFill patternType="solid">
        <fgColor rgb="FFFFFFFF"/>
      </patternFill>
    </fill>
  </fills>
  <borders count="10">
    <border>
      <left/>
      <right/>
      <top/>
      <bottom/>
      <diagonal/>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bottom style="medium">
        <color rgb="FF000000"/>
      </bottom>
    </border>
    <border>
      <left style="medium">
        <color rgb="FF000000"/>
      </left>
    </border>
    <border>
      <left style="medium">
        <color rgb="FF000000"/>
      </left>
      <bottom style="medium">
        <color rgb="FF000000"/>
      </bottom>
    </border>
    <border>
      <top style="medium">
        <color rgb="FF000000"/>
      </top>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s>
  <cellStyleXfs count="1">
    <xf numFmtId="0" fontId="0" fillId="0" borderId="0"/>
  </cellStyleXfs>
  <cellXfs count="34">
    <xf numFmtId="0" fontId="0" fillId="0" borderId="0" xfId="0"/>
    <xf numFmtId="0" fontId="1" fillId="0" borderId="0" xfId="0" applyFont="true" applyAlignment="true">
      <alignment horizontal="center" vertical="center" wrapText="true"/>
    </xf>
    <xf numFmtId="0" fontId="2" fillId="0" borderId="0" xfId="0" applyFont="true" applyAlignment="true">
      <alignment vertical="center" wrapText="true"/>
    </xf>
    <xf numFmtId="164" fontId="2" fillId="0" borderId="0" xfId="0" applyNumberFormat="true" applyFont="true" applyAlignment="true">
      <alignment vertical="center" wrapText="true"/>
    </xf>
    <xf numFmtId="0" fontId="2" fillId="0" borderId="0" xfId="0" applyFont="true" applyAlignment="true">
      <alignment horizontal="center" vertical="center" wrapText="true"/>
    </xf>
    <xf numFmtId="0" fontId="3" fillId="0" borderId="0" xfId="0" applyFont="true" applyAlignment="true">
      <alignment horizontal="center"/>
    </xf>
    <xf numFmtId="0" fontId="3" fillId="0" borderId="0" xfId="0" applyFont="true" applyAlignment="false">
      <alignment/>
    </xf>
    <xf numFmtId="0" fontId="4" fillId="0" borderId="0" xfId="0" applyFont="true" applyAlignment="true">
      <alignment horizontal="center"/>
    </xf>
    <xf numFmtId="0" fontId="5" fillId="0" borderId="0" xfId="0" applyFont="true" applyAlignment="false">
      <alignment/>
    </xf>
    <xf numFmtId="0" fontId="6" fillId="0" borderId="0" xfId="0" applyFont="true" applyAlignment="true">
      <alignment horizontal="center" vertical="center"/>
    </xf>
    <xf numFmtId="0" fontId="7" fillId="0" borderId="0" xfId="0" applyFont="true" applyAlignment="true">
      <alignment horizontal="center" vertical="center"/>
    </xf>
    <xf numFmtId="0" fontId="8" fillId="2" borderId="1" xfId="0" applyFont="true" applyFill="true" applyBorder="true" applyAlignment="true">
      <alignment horizontal="right"/>
    </xf>
    <xf numFmtId="0" fontId="5" fillId="0" borderId="1" xfId="0" applyFont="true" applyBorder="true" applyAlignment="false">
      <alignment/>
    </xf>
    <xf numFmtId="0" fontId="1" fillId="0" borderId="1" xfId="0" applyFont="true" applyBorder="true" applyAlignment="true">
      <alignment horizontal="center" vertical="center"/>
    </xf>
    <xf numFmtId="0" fontId="2" fillId="3" borderId="2" xfId="0" applyFont="true" applyFill="true" applyBorder="true" applyAlignment="true">
      <alignment horizontal="center"/>
    </xf>
    <xf numFmtId="0" fontId="0" fillId="0" borderId="3" xfId="0" applyBorder="true" applyAlignment="false">
      <alignment/>
    </xf>
    <xf numFmtId="0" fontId="9" fillId="4" borderId="2" xfId="0" applyFont="true" applyFill="true" applyBorder="true" applyAlignment="true">
      <alignment horizontal="center"/>
    </xf>
    <xf numFmtId="0" fontId="1" fillId="5" borderId="2" xfId="0" applyFont="true" applyFill="true" applyBorder="true" applyAlignment="true">
      <alignment horizontal="center"/>
    </xf>
    <xf numFmtId="0" fontId="2" fillId="0" borderId="2" xfId="0" applyFont="true" applyBorder="true" applyAlignment="true" applyProtection="true">
      <alignment horizontal="center"/>
      <protection hidden="false" locked="false"/>
    </xf>
    <xf numFmtId="0" fontId="0" fillId="0" borderId="3" xfId="0" applyBorder="true" applyAlignment="false" applyProtection="true">
      <alignment/>
      <protection hidden="false" locked="false"/>
    </xf>
    <xf numFmtId="0" fontId="0" fillId="0" borderId="4" xfId="0" applyBorder="true" applyAlignment="false">
      <alignment/>
    </xf>
    <xf numFmtId="0" fontId="2" fillId="0" borderId="5" xfId="0" applyFont="true" applyBorder="true" applyAlignment="true">
      <alignment horizontal="left"/>
    </xf>
    <xf numFmtId="0" fontId="0" fillId="0" borderId="6" xfId="0" applyBorder="true" applyAlignment="false">
      <alignment/>
    </xf>
    <xf numFmtId="0" fontId="1" fillId="0" borderId="3" xfId="0" applyFont="true" applyBorder="true" applyAlignment="true">
      <alignment horizontal="right" vertical="center"/>
    </xf>
    <xf numFmtId="0" fontId="1" fillId="3" borderId="0" xfId="0" applyFont="true" applyFill="true" applyAlignment="false">
      <alignment/>
    </xf>
    <xf numFmtId="0" fontId="2" fillId="0" borderId="7" xfId="0" applyFont="true" applyBorder="true" applyAlignment="false">
      <alignment/>
    </xf>
    <xf numFmtId="0" fontId="2" fillId="0" borderId="8" xfId="0" applyFont="true" applyBorder="true" applyAlignment="false">
      <alignment/>
    </xf>
    <xf numFmtId="0" fontId="2" fillId="0" borderId="9" xfId="0" applyFont="true" applyBorder="true" applyAlignment="false">
      <alignment/>
    </xf>
    <xf numFmtId="0" fontId="10" fillId="0" borderId="1" xfId="0" applyFont="true" applyBorder="true" applyAlignment="true">
      <alignment horizontal="center" shrinkToFit="true" vertical="center"/>
    </xf>
    <xf numFmtId="0" fontId="11" fillId="0" borderId="1" xfId="0" applyFont="true" applyBorder="true" applyAlignment="true">
      <alignment horizontal="center" shrinkToFit="true" vertical="center"/>
    </xf>
    <xf numFmtId="0" fontId="12" fillId="0" borderId="0" xfId="0" applyFont="true" applyAlignment="true">
      <alignment horizontal="center" shrinkToFit="true" vertical="top"/>
    </xf>
    <xf numFmtId="165" fontId="2" fillId="0" borderId="2" xfId="0" applyNumberFormat="true" applyFont="true" applyBorder="true" applyAlignment="true">
      <alignment horizontal="center"/>
    </xf>
    <xf numFmtId="0" fontId="2" fillId="0" borderId="2" xfId="0" applyFont="true" applyBorder="true" applyAlignment="true">
      <alignment horizontal="center"/>
    </xf>
    <xf numFmtId="20" fontId="2" fillId="0" borderId="2" xfId="0" applyNumberFormat="true" applyFont="true" applyBorder="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worksheets/sheet5.xml" Type="http://schemas.openxmlformats.org/officeDocument/2006/relationships/worksheet"></Relationship><Relationship Id="rId10" Target="/xl/sharedStrings.xml" Type="http://schemas.openxmlformats.org/officeDocument/2006/relationships/sharedStrings"></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workbookViewId="0"/>
  </sheetViews>
  <sheetFormatPr defaultRowHeight="15"/>
  <cols>
    <col customWidth="true" max="1" min="1" width="9"/>
    <col customWidth="true" max="3" min="2" width="20"/>
    <col customWidth="true" max="26" min="4" width="12"/>
  </cols>
  <sheetData>
    <row r="1">
      <c r="A1" t="s">
        <v>9</v>
      </c>
      <c r="B1" t="s">
        <v>10</v>
      </c>
    </row>
    <row r="2">
      <c r="A2" t="s">
        <v>11</v>
      </c>
      <c r="B2" t="s">
        <v>12</v>
      </c>
      <c r="C2" t="s">
        <v>13</v>
      </c>
      <c r="D2" t="s">
        <v>14</v>
      </c>
      <c r="E2" t="s">
        <v>15</v>
      </c>
      <c r="F2" t="s">
        <v>16</v>
      </c>
    </row>
    <row r="3">
      <c r="A3" t="s">
        <v>17</v>
      </c>
      <c r="B3" t="s">
        <v>18</v>
      </c>
      <c r="C3" t="s">
        <v>19</v>
      </c>
      <c r="D3" t="s">
        <v>20</v>
      </c>
      <c r="E3" t="s">
        <v>21</v>
      </c>
    </row>
    <row r="4">
      <c r="A4" t="s">
        <v>17</v>
      </c>
      <c r="B4" t="s">
        <v>22</v>
      </c>
      <c r="C4" t="s">
        <v>23</v>
      </c>
      <c r="D4" t="s">
        <v>24</v>
      </c>
      <c r="E4" t="s">
        <v>25</v>
      </c>
    </row>
    <row r="5">
      <c r="A5" t="s">
        <v>17</v>
      </c>
      <c r="B5" t="s">
        <v>26</v>
      </c>
      <c r="C5" t="s">
        <v>27</v>
      </c>
      <c r="D5" t="s">
        <v>28</v>
      </c>
      <c r="E5" t="s">
        <v>29</v>
      </c>
    </row>
    <row r="6">
      <c r="A6" t="s">
        <v>30</v>
      </c>
      <c r="B6" t="s">
        <v>31</v>
      </c>
      <c r="C6" t="s">
        <v>32</v>
      </c>
      <c r="D6" t="s">
        <v>33</v>
      </c>
      <c r="E6" t="s">
        <v>34</v>
      </c>
    </row>
    <row r="7">
      <c r="A7" t="s">
        <v>30</v>
      </c>
      <c r="B7" t="s">
        <v>35</v>
      </c>
      <c r="C7" t="s">
        <v>36</v>
      </c>
      <c r="D7" t="s">
        <v>37</v>
      </c>
      <c r="E7" t="s">
        <v>38</v>
      </c>
    </row>
    <row r="8">
      <c r="A8" t="s">
        <v>30</v>
      </c>
      <c r="B8" t="s">
        <v>39</v>
      </c>
      <c r="C8" t="s">
        <v>40</v>
      </c>
      <c r="D8" t="s">
        <v>41</v>
      </c>
      <c r="E8" t="s">
        <v>42</v>
      </c>
    </row>
    <row r="9">
      <c r="A9" t="s">
        <v>43</v>
      </c>
      <c r="B9" t="s">
        <v>44</v>
      </c>
      <c r="C9" t="s">
        <v>45</v>
      </c>
      <c r="D9" t="s">
        <v>46</v>
      </c>
      <c r="E9" t="s">
        <v>47</v>
      </c>
    </row>
    <row r="10">
      <c r="A10" t="s">
        <v>43</v>
      </c>
      <c r="B10" t="s">
        <v>48</v>
      </c>
      <c r="C10" t="s">
        <v>49</v>
      </c>
      <c r="D10" t="s">
        <v>50</v>
      </c>
      <c r="E10" t="s">
        <v>51</v>
      </c>
    </row>
    <row r="11">
      <c r="A11" t="s">
        <v>43</v>
      </c>
      <c r="B11" t="s">
        <v>52</v>
      </c>
      <c r="C11" t="s">
        <v>53</v>
      </c>
      <c r="D11" t="s">
        <v>54</v>
      </c>
      <c r="E11" t="s">
        <v>55</v>
      </c>
    </row>
    <row r="12">
      <c r="A12" t="s">
        <v>56</v>
      </c>
      <c r="B12" t="s">
        <v>57</v>
      </c>
      <c r="C12" t="s">
        <v>58</v>
      </c>
      <c r="D12" t="s">
        <v>59</v>
      </c>
      <c r="E12" t="s">
        <v>60</v>
      </c>
    </row>
    <row r="13">
      <c r="A13" t="s">
        <v>56</v>
      </c>
      <c r="B13" t="s">
        <v>61</v>
      </c>
      <c r="C13" t="s">
        <v>40</v>
      </c>
      <c r="D13" t="s">
        <v>50</v>
      </c>
      <c r="E13" t="s">
        <v>62</v>
      </c>
    </row>
    <row r="14">
      <c r="A14" t="s">
        <v>56</v>
      </c>
      <c r="B14" t="s">
        <v>63</v>
      </c>
      <c r="C14" t="s">
        <v>64</v>
      </c>
      <c r="D14" t="s">
        <v>65</v>
      </c>
      <c r="E14" t="s">
        <v>66</v>
      </c>
    </row>
    <row r="15">
      <c r="A15" t="s">
        <v>67</v>
      </c>
      <c r="B15" t="s">
        <v>68</v>
      </c>
      <c r="C15" t="s">
        <v>36</v>
      </c>
      <c r="D15" t="s">
        <v>69</v>
      </c>
      <c r="E15" t="s">
        <v>70</v>
      </c>
    </row>
    <row r="16">
      <c r="A16" t="s">
        <v>67</v>
      </c>
      <c r="B16" t="s">
        <v>71</v>
      </c>
      <c r="C16" t="s">
        <v>72</v>
      </c>
      <c r="D16" t="s">
        <v>73</v>
      </c>
      <c r="E16" t="s">
        <v>74</v>
      </c>
    </row>
    <row r="17">
      <c r="A17" t="s">
        <v>67</v>
      </c>
      <c r="B17" t="s">
        <v>75</v>
      </c>
      <c r="C17" t="s">
        <v>32</v>
      </c>
      <c r="D17" t="s">
        <v>76</v>
      </c>
      <c r="E17" t="s">
        <v>77</v>
      </c>
    </row>
    <row r="18">
      <c r="A18" t="s">
        <v>78</v>
      </c>
      <c r="B18" t="s">
        <v>79</v>
      </c>
      <c r="C18" t="s">
        <v>80</v>
      </c>
      <c r="D18" t="s">
        <v>81</v>
      </c>
      <c r="E18" t="s">
        <v>82</v>
      </c>
    </row>
    <row r="19">
      <c r="A19" t="s">
        <v>78</v>
      </c>
      <c r="B19" t="s">
        <v>83</v>
      </c>
      <c r="C19" t="s">
        <v>84</v>
      </c>
      <c r="D19" t="s">
        <v>85</v>
      </c>
      <c r="E19" t="s">
        <v>86</v>
      </c>
    </row>
    <row r="20">
      <c r="A20" t="s">
        <v>78</v>
      </c>
      <c r="B20" t="s">
        <v>87</v>
      </c>
      <c r="C20" t="s">
        <v>40</v>
      </c>
      <c r="D20" t="s">
        <v>88</v>
      </c>
      <c r="E20" t="s">
        <v>89</v>
      </c>
    </row>
    <row r="21">
      <c r="A21" t="s">
        <v>90</v>
      </c>
      <c r="B21" t="s">
        <v>91</v>
      </c>
      <c r="C21" t="s">
        <v>49</v>
      </c>
      <c r="D21" t="s">
        <v>92</v>
      </c>
      <c r="E21" t="s">
        <v>93</v>
      </c>
    </row>
    <row r="22">
      <c r="A22" t="s">
        <v>90</v>
      </c>
      <c r="B22" t="s">
        <v>94</v>
      </c>
      <c r="C22" t="s">
        <v>19</v>
      </c>
      <c r="D22" t="s">
        <v>95</v>
      </c>
      <c r="E22" t="s">
        <v>96</v>
      </c>
    </row>
    <row r="23">
      <c r="A23" t="s">
        <v>90</v>
      </c>
      <c r="B23" t="s">
        <v>97</v>
      </c>
      <c r="C23" t="s">
        <v>98</v>
      </c>
      <c r="D23" t="s">
        <v>99</v>
      </c>
      <c r="E23" t="s">
        <v>100</v>
      </c>
    </row>
    <row r="24">
      <c r="A24" t="s">
        <v>101</v>
      </c>
      <c r="B24" t="s">
        <v>102</v>
      </c>
      <c r="C24" t="s">
        <v>103</v>
      </c>
      <c r="D24" t="s">
        <v>104</v>
      </c>
      <c r="E24" t="s">
        <v>105</v>
      </c>
    </row>
    <row r="25">
      <c r="A25" t="s">
        <v>101</v>
      </c>
      <c r="B25" t="s">
        <v>106</v>
      </c>
      <c r="C25" t="s">
        <v>107</v>
      </c>
      <c r="D25" t="s">
        <v>108</v>
      </c>
      <c r="E25" t="s">
        <v>109</v>
      </c>
    </row>
    <row r="26">
      <c r="A26" t="s">
        <v>101</v>
      </c>
      <c r="B26" t="s">
        <v>110</v>
      </c>
      <c r="C26" t="s">
        <v>40</v>
      </c>
      <c r="D26" t="s">
        <v>111</v>
      </c>
      <c r="E26" t="s">
        <v>112</v>
      </c>
    </row>
    <row r="27">
      <c r="A27" t="s">
        <v>113</v>
      </c>
      <c r="B27" t="s">
        <v>114</v>
      </c>
      <c r="C27" t="s">
        <v>36</v>
      </c>
      <c r="D27" t="s">
        <v>115</v>
      </c>
      <c r="E27" t="s">
        <v>116</v>
      </c>
    </row>
    <row r="28">
      <c r="A28" t="s">
        <v>113</v>
      </c>
      <c r="B28" t="s">
        <v>117</v>
      </c>
      <c r="C28" t="s">
        <v>23</v>
      </c>
      <c r="D28" t="s">
        <v>33</v>
      </c>
      <c r="E28" t="s">
        <v>118</v>
      </c>
    </row>
    <row r="29">
      <c r="A29" t="s">
        <v>113</v>
      </c>
      <c r="B29" t="s">
        <v>119</v>
      </c>
      <c r="C29" t="s">
        <v>49</v>
      </c>
      <c r="D29" t="s">
        <v>120</v>
      </c>
      <c r="E29" t="s">
        <v>121</v>
      </c>
    </row>
    <row r="30">
      <c r="A30" t="s">
        <v>122</v>
      </c>
      <c r="B30" t="s">
        <v>123</v>
      </c>
      <c r="C30" t="s">
        <v>32</v>
      </c>
      <c r="D30" t="s">
        <v>124</v>
      </c>
      <c r="E30" t="s">
        <v>125</v>
      </c>
    </row>
    <row r="31">
      <c r="A31" t="s">
        <v>122</v>
      </c>
      <c r="B31" t="s">
        <v>126</v>
      </c>
      <c r="C31" t="s">
        <v>127</v>
      </c>
      <c r="D31" t="s">
        <v>128</v>
      </c>
      <c r="E31" t="s">
        <v>129</v>
      </c>
    </row>
    <row r="32">
      <c r="A32" t="s">
        <v>122</v>
      </c>
      <c r="B32" t="s">
        <v>130</v>
      </c>
      <c r="C32" t="s">
        <v>131</v>
      </c>
      <c r="D32" t="s">
        <v>132</v>
      </c>
      <c r="E32" t="s">
        <v>133</v>
      </c>
    </row>
    <row r="33">
      <c r="A33" t="s">
        <v>134</v>
      </c>
      <c r="B33" t="s">
        <v>135</v>
      </c>
      <c r="C33" t="s">
        <v>103</v>
      </c>
      <c r="D33" t="s">
        <v>136</v>
      </c>
      <c r="E33" t="s">
        <v>137</v>
      </c>
    </row>
    <row r="34">
      <c r="A34" t="s">
        <v>134</v>
      </c>
      <c r="B34" t="s">
        <v>138</v>
      </c>
      <c r="C34" t="s">
        <v>72</v>
      </c>
      <c r="D34" t="s">
        <v>139</v>
      </c>
      <c r="E34" t="s">
        <v>140</v>
      </c>
    </row>
    <row r="35">
      <c r="A35" t="s">
        <v>134</v>
      </c>
      <c r="B35" t="s">
        <v>141</v>
      </c>
      <c r="C35" t="s">
        <v>142</v>
      </c>
      <c r="D35" t="s">
        <v>143</v>
      </c>
      <c r="E35" t="s">
        <v>144</v>
      </c>
    </row>
    <row r="36">
      <c r="A36" t="s">
        <v>145</v>
      </c>
      <c r="B36" t="s">
        <v>146</v>
      </c>
      <c r="C36" t="s">
        <v>19</v>
      </c>
      <c r="D36" t="s">
        <v>147</v>
      </c>
      <c r="E36" t="s">
        <v>148</v>
      </c>
    </row>
    <row r="37">
      <c r="A37" t="s">
        <v>145</v>
      </c>
      <c r="B37" t="s">
        <v>149</v>
      </c>
      <c r="C37" t="s">
        <v>40</v>
      </c>
      <c r="D37" t="s">
        <v>120</v>
      </c>
      <c r="E37" t="s">
        <v>150</v>
      </c>
    </row>
    <row r="38">
      <c r="A38" t="s">
        <v>145</v>
      </c>
      <c r="B38" t="s">
        <v>151</v>
      </c>
      <c r="C38" t="s">
        <v>152</v>
      </c>
      <c r="D38" t="s">
        <v>153</v>
      </c>
      <c r="E38" t="s">
        <v>154</v>
      </c>
    </row>
    <row r="39">
      <c r="A39" t="s">
        <v>155</v>
      </c>
      <c r="B39" t="s">
        <v>156</v>
      </c>
      <c r="C39" t="s">
        <v>49</v>
      </c>
      <c r="D39" t="s">
        <v>157</v>
      </c>
      <c r="E39" t="s">
        <v>158</v>
      </c>
    </row>
    <row r="40">
      <c r="A40" t="s">
        <v>155</v>
      </c>
      <c r="B40" t="s">
        <v>159</v>
      </c>
      <c r="C40" t="s">
        <v>19</v>
      </c>
      <c r="D40" t="s">
        <v>160</v>
      </c>
      <c r="E40" t="s">
        <v>161</v>
      </c>
    </row>
    <row r="41">
      <c r="A41" t="s">
        <v>155</v>
      </c>
      <c r="B41" t="s">
        <v>162</v>
      </c>
      <c r="C41" t="s">
        <v>163</v>
      </c>
      <c r="D41" t="s">
        <v>164</v>
      </c>
      <c r="E41" t="s">
        <v>165</v>
      </c>
    </row>
    <row r="42">
      <c r="A42" t="s">
        <v>166</v>
      </c>
      <c r="B42" t="s">
        <v>167</v>
      </c>
      <c r="C42" t="s">
        <v>32</v>
      </c>
      <c r="D42" t="s">
        <v>168</v>
      </c>
      <c r="E42" t="s">
        <v>169</v>
      </c>
    </row>
    <row r="43">
      <c r="A43" t="s">
        <v>166</v>
      </c>
      <c r="B43" t="s">
        <v>170</v>
      </c>
      <c r="C43" t="s">
        <v>58</v>
      </c>
      <c r="D43" t="s">
        <v>171</v>
      </c>
      <c r="E43" t="s">
        <v>172</v>
      </c>
    </row>
    <row r="44">
      <c r="A44" t="s">
        <v>166</v>
      </c>
      <c r="B44" t="s">
        <v>173</v>
      </c>
      <c r="C44" t="s">
        <v>40</v>
      </c>
      <c r="D44" t="s">
        <v>174</v>
      </c>
      <c r="E44" t="s">
        <v>175</v>
      </c>
    </row>
    <row r="45">
      <c r="A45" t="s">
        <v>176</v>
      </c>
      <c r="B45" t="s">
        <v>177</v>
      </c>
      <c r="C45" t="s">
        <v>36</v>
      </c>
      <c r="D45" t="s">
        <v>178</v>
      </c>
      <c r="E45" t="s">
        <v>179</v>
      </c>
    </row>
    <row r="46">
      <c r="A46" t="s">
        <v>176</v>
      </c>
      <c r="B46" t="s">
        <v>180</v>
      </c>
      <c r="C46" t="s">
        <v>49</v>
      </c>
      <c r="D46" t="s">
        <v>181</v>
      </c>
      <c r="E46" t="s">
        <v>182</v>
      </c>
    </row>
    <row r="47">
      <c r="A47" t="s">
        <v>176</v>
      </c>
      <c r="B47" t="s">
        <v>183</v>
      </c>
      <c r="C47" t="s">
        <v>184</v>
      </c>
      <c r="D47" t="s">
        <v>185</v>
      </c>
      <c r="E47" t="s">
        <v>186</v>
      </c>
    </row>
    <row r="48">
      <c r="A48" t="s">
        <v>187</v>
      </c>
      <c r="B48" t="s">
        <v>188</v>
      </c>
      <c r="C48" t="s">
        <v>45</v>
      </c>
      <c r="D48" t="s">
        <v>189</v>
      </c>
      <c r="E48" t="s">
        <v>190</v>
      </c>
    </row>
    <row r="49">
      <c r="A49" t="s">
        <v>187</v>
      </c>
      <c r="B49" t="s">
        <v>191</v>
      </c>
      <c r="C49" t="s">
        <v>192</v>
      </c>
      <c r="D49" t="s">
        <v>193</v>
      </c>
      <c r="E49" t="s">
        <v>194</v>
      </c>
    </row>
    <row r="50">
      <c r="A50" t="s">
        <v>195</v>
      </c>
      <c r="B50" t="s">
        <v>196</v>
      </c>
      <c r="C50" t="s">
        <v>184</v>
      </c>
      <c r="D50" t="s">
        <v>197</v>
      </c>
      <c r="E50" t="s">
        <v>198</v>
      </c>
    </row>
    <row r="51">
      <c r="A51" t="s">
        <v>195</v>
      </c>
      <c r="B51" t="s">
        <v>199</v>
      </c>
      <c r="C51" t="s">
        <v>142</v>
      </c>
      <c r="D51" t="s">
        <v>200</v>
      </c>
      <c r="E51" t="s">
        <v>201</v>
      </c>
    </row>
    <row r="52">
      <c r="A52" t="s">
        <v>195</v>
      </c>
      <c r="B52" t="s">
        <v>202</v>
      </c>
      <c r="C52" t="s">
        <v>152</v>
      </c>
      <c r="D52" t="s">
        <v>203</v>
      </c>
      <c r="E52" t="s">
        <v>204</v>
      </c>
    </row>
    <row r="53">
      <c r="A53" t="s">
        <v>205</v>
      </c>
      <c r="B53" t="s">
        <v>206</v>
      </c>
      <c r="C53" t="s">
        <v>49</v>
      </c>
      <c r="D53" t="s">
        <v>207</v>
      </c>
      <c r="E53" t="s">
        <v>208</v>
      </c>
    </row>
    <row r="54">
      <c r="A54" t="s">
        <v>205</v>
      </c>
      <c r="B54" t="s">
        <v>209</v>
      </c>
      <c r="C54" t="s">
        <v>131</v>
      </c>
      <c r="D54" t="s">
        <v>210</v>
      </c>
      <c r="E54" t="s">
        <v>211</v>
      </c>
    </row>
    <row r="55">
      <c r="A55" t="s">
        <v>205</v>
      </c>
      <c r="B55" t="s">
        <v>212</v>
      </c>
      <c r="C55" t="s">
        <v>40</v>
      </c>
      <c r="D55" t="s">
        <v>178</v>
      </c>
      <c r="E55" t="s">
        <v>213</v>
      </c>
    </row>
    <row r="56">
      <c r="A56" t="s">
        <v>214</v>
      </c>
      <c r="B56" t="s">
        <v>215</v>
      </c>
      <c r="C56" t="s">
        <v>23</v>
      </c>
      <c r="D56" t="s">
        <v>216</v>
      </c>
      <c r="E56" t="s">
        <v>217</v>
      </c>
    </row>
    <row r="57">
      <c r="A57" t="s">
        <v>214</v>
      </c>
      <c r="B57" t="s">
        <v>218</v>
      </c>
      <c r="C57" t="s">
        <v>36</v>
      </c>
      <c r="D57" t="s">
        <v>147</v>
      </c>
      <c r="E57" t="s">
        <v>219</v>
      </c>
    </row>
    <row r="58">
      <c r="A58" t="s">
        <v>214</v>
      </c>
      <c r="B58" t="s">
        <v>220</v>
      </c>
      <c r="C58" t="s">
        <v>19</v>
      </c>
      <c r="D58" t="s">
        <v>221</v>
      </c>
      <c r="E58" t="s">
        <v>222</v>
      </c>
    </row>
    <row r="59">
      <c r="A59" t="s">
        <v>223</v>
      </c>
      <c r="B59" t="s">
        <v>224</v>
      </c>
      <c r="C59" t="s">
        <v>49</v>
      </c>
      <c r="D59" t="s">
        <v>225</v>
      </c>
      <c r="E59" t="s">
        <v>226</v>
      </c>
    </row>
    <row r="60">
      <c r="A60" t="s">
        <v>223</v>
      </c>
      <c r="B60" t="s">
        <v>227</v>
      </c>
      <c r="C60" t="s">
        <v>32</v>
      </c>
      <c r="D60" t="s">
        <v>174</v>
      </c>
      <c r="E60" t="s">
        <v>228</v>
      </c>
    </row>
    <row r="61">
      <c r="A61" t="s">
        <v>223</v>
      </c>
      <c r="B61" t="s">
        <v>229</v>
      </c>
      <c r="C61" t="s">
        <v>192</v>
      </c>
      <c r="D61" t="s">
        <v>230</v>
      </c>
      <c r="E61" t="s">
        <v>231</v>
      </c>
    </row>
    <row r="62">
      <c r="A62" t="s">
        <v>232</v>
      </c>
      <c r="B62" t="s">
        <v>233</v>
      </c>
      <c r="C62" t="s">
        <v>40</v>
      </c>
      <c r="D62" t="s">
        <v>104</v>
      </c>
      <c r="E62" t="s">
        <v>234</v>
      </c>
    </row>
    <row r="63">
      <c r="A63" t="s">
        <v>232</v>
      </c>
      <c r="B63" t="s">
        <v>235</v>
      </c>
      <c r="C63" t="s">
        <v>58</v>
      </c>
      <c r="D63" t="s">
        <v>20</v>
      </c>
      <c r="E63" t="s">
        <v>236</v>
      </c>
    </row>
    <row r="64">
      <c r="A64" t="s">
        <v>232</v>
      </c>
      <c r="B64" t="s">
        <v>237</v>
      </c>
      <c r="C64" t="s">
        <v>127</v>
      </c>
      <c r="D64" t="s">
        <v>238</v>
      </c>
      <c r="E64" t="s">
        <v>239</v>
      </c>
    </row>
    <row r="65">
      <c r="A65" t="s">
        <v>240</v>
      </c>
      <c r="B65" t="s">
        <v>241</v>
      </c>
      <c r="C65" t="s">
        <v>19</v>
      </c>
      <c r="D65" t="s">
        <v>242</v>
      </c>
      <c r="E65" t="s">
        <v>243</v>
      </c>
    </row>
    <row r="66">
      <c r="A66" t="s">
        <v>240</v>
      </c>
      <c r="B66" t="s">
        <v>244</v>
      </c>
      <c r="C66" t="s">
        <v>49</v>
      </c>
      <c r="D66" t="s">
        <v>69</v>
      </c>
      <c r="E66" t="s">
        <v>245</v>
      </c>
    </row>
    <row r="67">
      <c r="A67" t="s">
        <v>240</v>
      </c>
      <c r="B67" t="s">
        <v>246</v>
      </c>
      <c r="C67" t="s">
        <v>103</v>
      </c>
      <c r="D67" t="s">
        <v>247</v>
      </c>
      <c r="E67" t="s">
        <v>248</v>
      </c>
    </row>
    <row r="68">
      <c r="A68" t="s">
        <v>249</v>
      </c>
      <c r="B68" t="s">
        <v>250</v>
      </c>
      <c r="C68" t="s">
        <v>32</v>
      </c>
      <c r="D68" t="s">
        <v>139</v>
      </c>
      <c r="E68" t="s">
        <v>251</v>
      </c>
    </row>
    <row r="69">
      <c r="A69" t="s">
        <v>249</v>
      </c>
      <c r="B69" t="s">
        <v>252</v>
      </c>
      <c r="C69" t="s">
        <v>36</v>
      </c>
      <c r="D69" t="s">
        <v>242</v>
      </c>
      <c r="E69" t="s">
        <v>253</v>
      </c>
    </row>
    <row r="70">
      <c r="A70" t="s">
        <v>249</v>
      </c>
      <c r="B70" t="s">
        <v>254</v>
      </c>
      <c r="C70" t="s">
        <v>40</v>
      </c>
      <c r="D70" t="s">
        <v>255</v>
      </c>
      <c r="E70" t="s">
        <v>256</v>
      </c>
    </row>
    <row r="71">
      <c r="A71" t="s">
        <v>257</v>
      </c>
      <c r="B71" t="s">
        <v>258</v>
      </c>
      <c r="C71" t="s">
        <v>72</v>
      </c>
      <c r="D71" t="s">
        <v>259</v>
      </c>
      <c r="E71" t="s">
        <v>260</v>
      </c>
    </row>
    <row r="72">
      <c r="A72" t="s">
        <v>257</v>
      </c>
      <c r="B72" t="s">
        <v>261</v>
      </c>
      <c r="C72" t="s">
        <v>163</v>
      </c>
      <c r="D72" t="s">
        <v>262</v>
      </c>
      <c r="E72" t="s">
        <v>263</v>
      </c>
    </row>
    <row r="73">
      <c r="A73" t="s">
        <v>257</v>
      </c>
      <c r="B73" t="s">
        <v>264</v>
      </c>
      <c r="C73" t="s">
        <v>45</v>
      </c>
      <c r="D73" t="s">
        <v>265</v>
      </c>
      <c r="E73" t="s">
        <v>266</v>
      </c>
    </row>
    <row r="74">
      <c r="A74" t="s">
        <v>267</v>
      </c>
      <c r="B74" t="s">
        <v>268</v>
      </c>
      <c r="C74" t="s">
        <v>45</v>
      </c>
      <c r="D74" t="s">
        <v>115</v>
      </c>
      <c r="E74" t="s">
        <v>269</v>
      </c>
    </row>
    <row r="75">
      <c r="A75" t="s">
        <v>267</v>
      </c>
      <c r="B75" t="s">
        <v>270</v>
      </c>
      <c r="C75" t="s">
        <v>72</v>
      </c>
      <c r="D75" t="s">
        <v>271</v>
      </c>
      <c r="E75" t="s">
        <v>272</v>
      </c>
    </row>
    <row r="76">
      <c r="A76" t="s">
        <v>267</v>
      </c>
      <c r="B76" t="s">
        <v>273</v>
      </c>
      <c r="C76" t="s">
        <v>103</v>
      </c>
      <c r="D76" t="s">
        <v>274</v>
      </c>
      <c r="E76" t="s">
        <v>275</v>
      </c>
    </row>
    <row r="77">
      <c r="A77" t="s">
        <v>276</v>
      </c>
      <c r="B77" t="s">
        <v>277</v>
      </c>
      <c r="C77" t="s">
        <v>32</v>
      </c>
      <c r="D77" t="s">
        <v>278</v>
      </c>
      <c r="E77" t="s">
        <v>279</v>
      </c>
    </row>
    <row r="78">
      <c r="A78" t="s">
        <v>276</v>
      </c>
      <c r="B78" t="s">
        <v>280</v>
      </c>
      <c r="C78" t="s">
        <v>98</v>
      </c>
      <c r="D78" t="s">
        <v>281</v>
      </c>
      <c r="E78" t="s">
        <v>282</v>
      </c>
    </row>
    <row r="79">
      <c r="A79" t="s">
        <v>276</v>
      </c>
      <c r="B79" t="s">
        <v>283</v>
      </c>
      <c r="C79" t="s">
        <v>58</v>
      </c>
      <c r="D79" t="s">
        <v>284</v>
      </c>
      <c r="E79" t="s">
        <v>285</v>
      </c>
    </row>
    <row r="80">
      <c r="A80" t="s">
        <v>286</v>
      </c>
      <c r="B80" t="s">
        <v>287</v>
      </c>
      <c r="C80" t="s">
        <v>36</v>
      </c>
      <c r="D80" t="s">
        <v>288</v>
      </c>
      <c r="E80" t="s">
        <v>289</v>
      </c>
    </row>
    <row r="81">
      <c r="A81" t="s">
        <v>286</v>
      </c>
      <c r="B81" t="s">
        <v>290</v>
      </c>
      <c r="C81" t="s">
        <v>53</v>
      </c>
      <c r="D81" t="s">
        <v>291</v>
      </c>
      <c r="E81" t="s">
        <v>292</v>
      </c>
    </row>
    <row r="82">
      <c r="A82" t="s">
        <v>286</v>
      </c>
      <c r="B82" t="s">
        <v>293</v>
      </c>
      <c r="C82" t="s">
        <v>23</v>
      </c>
      <c r="D82" t="s">
        <v>294</v>
      </c>
      <c r="E82" t="s">
        <v>295</v>
      </c>
    </row>
    <row r="83">
      <c r="A83" t="s">
        <v>296</v>
      </c>
      <c r="B83" t="s">
        <v>297</v>
      </c>
      <c r="C83" t="s">
        <v>84</v>
      </c>
      <c r="D83" t="s">
        <v>291</v>
      </c>
      <c r="E83" t="s">
        <v>298</v>
      </c>
    </row>
    <row r="84">
      <c r="A84" t="s">
        <v>296</v>
      </c>
      <c r="B84" t="s">
        <v>299</v>
      </c>
      <c r="C84" t="s">
        <v>80</v>
      </c>
      <c r="D84" t="s">
        <v>300</v>
      </c>
      <c r="E84" t="s">
        <v>301</v>
      </c>
    </row>
    <row r="85">
      <c r="A85" t="s">
        <v>296</v>
      </c>
      <c r="B85" t="s">
        <v>302</v>
      </c>
      <c r="C85" t="s">
        <v>19</v>
      </c>
      <c r="D85" t="s">
        <v>303</v>
      </c>
      <c r="E85" t="s">
        <v>304</v>
      </c>
    </row>
    <row r="86">
      <c r="A86" t="s">
        <v>305</v>
      </c>
      <c r="B86" t="s">
        <v>306</v>
      </c>
      <c r="C86" t="s">
        <v>40</v>
      </c>
      <c r="D86" t="s">
        <v>307</v>
      </c>
      <c r="E86" t="s">
        <v>308</v>
      </c>
    </row>
    <row r="87">
      <c r="A87" t="s">
        <v>305</v>
      </c>
      <c r="B87" t="s">
        <v>309</v>
      </c>
      <c r="C87" t="s">
        <v>19</v>
      </c>
      <c r="D87" t="s">
        <v>124</v>
      </c>
      <c r="E87" t="s">
        <v>310</v>
      </c>
    </row>
    <row r="88">
      <c r="A88" t="s">
        <v>305</v>
      </c>
      <c r="B88" t="s">
        <v>311</v>
      </c>
      <c r="C88" t="s">
        <v>36</v>
      </c>
      <c r="D88" t="s">
        <v>294</v>
      </c>
      <c r="E88" t="s">
        <v>312</v>
      </c>
    </row>
    <row r="89">
      <c r="A89" t="s">
        <v>313</v>
      </c>
      <c r="B89" t="s">
        <v>314</v>
      </c>
      <c r="C89" t="s">
        <v>107</v>
      </c>
      <c r="D89" t="s">
        <v>315</v>
      </c>
      <c r="E89" t="s">
        <v>316</v>
      </c>
    </row>
    <row r="90">
      <c r="A90" t="s">
        <v>313</v>
      </c>
      <c r="B90" t="s">
        <v>317</v>
      </c>
      <c r="C90" t="s">
        <v>27</v>
      </c>
      <c r="D90" t="s">
        <v>318</v>
      </c>
      <c r="E90" t="s">
        <v>319</v>
      </c>
    </row>
    <row r="91">
      <c r="A91" t="s">
        <v>313</v>
      </c>
      <c r="B91" t="s">
        <v>320</v>
      </c>
      <c r="C91" t="s">
        <v>32</v>
      </c>
      <c r="D91" t="s">
        <v>65</v>
      </c>
      <c r="E91" t="s">
        <v>321</v>
      </c>
    </row>
    <row r="92">
      <c r="A92" t="s">
        <v>322</v>
      </c>
      <c r="B92" t="s">
        <v>323</v>
      </c>
      <c r="C92" t="s">
        <v>40</v>
      </c>
      <c r="D92" t="s">
        <v>324</v>
      </c>
      <c r="E92" t="s">
        <v>325</v>
      </c>
    </row>
    <row r="93">
      <c r="A93" t="s">
        <v>322</v>
      </c>
      <c r="B93" t="s">
        <v>326</v>
      </c>
      <c r="C93" t="s">
        <v>64</v>
      </c>
      <c r="D93" t="s">
        <v>327</v>
      </c>
      <c r="E93" t="s">
        <v>328</v>
      </c>
    </row>
  </sheetData>
  <printOptions horizontalCentered="true" verticalCentered="true"/>
  <pageSetup fitToHeight="0" fitToWidth="1" orientation="portrait" paperSize="9"/>
</worksheet>
</file>

<file path=xl/worksheets/sheet2.xml><?xml version="1.0" encoding="utf-8"?>
<worksheet xmlns="http://schemas.openxmlformats.org/spreadsheetml/2006/main">
  <dimension ref="A1"/>
  <sheetViews>
    <sheetView workbookViewId="0"/>
  </sheetViews>
  <cols>
    <col customWidth="true" max="1" min="1" width="21.83"/>
    <col customWidth="true" max="3" min="2" width="10"/>
    <col customWidth="true" max="4" min="4" width="14.66"/>
    <col customWidth="true" max="5" min="5" width="17"/>
    <col customWidth="true" max="7" min="6" width="13.16"/>
    <col customWidth="true" max="8" min="8" width="10"/>
  </cols>
  <sheetData>
    <row r="1" ht="51" customHeight="true">
      <c r="A1" s="1" t="s">
        <v>0</v>
      </c>
      <c r="B1" s="1" t="s">
        <v>1</v>
      </c>
      <c r="C1" s="1" t="s">
        <v>2</v>
      </c>
      <c r="D1" s="1" t="s">
        <v>3</v>
      </c>
      <c r="E1" s="1" t="s">
        <v>4</v>
      </c>
      <c r="F1" s="1" t="s">
        <v>5</v>
      </c>
      <c r="G1" s="1" t="s">
        <v>6</v>
      </c>
      <c r="H1" s="1" t="s">
        <v>7</v>
      </c>
    </row>
    <row r="2" ht="16" customHeight="true">
      <c r="A2" s="2">
        <v>31</v>
      </c>
      <c r="B2" s="2">
        <v>1</v>
      </c>
      <c r="C2" s="2">
        <v>89</v>
      </c>
      <c r="D2" s="3">
        <v>0.00208333333333333</v>
      </c>
      <c r="E2" s="3" t="str">
        <f>(A2*B2*C2*D2)</f>
      </c>
      <c r="F2" s="3">
        <v>0.000347222222222222</v>
      </c>
      <c r="G2" s="3">
        <v>0.0208333333333333</v>
      </c>
      <c r="H2" s="31" t="str">
        <f>C2*I2+J2</f>
      </c>
    </row>
    <row r="3" ht="16" customHeight="true">
      <c r="A3" s="2">
        <v>0</v>
      </c>
      <c r="B3" s="2">
        <v>0</v>
      </c>
      <c r="C3" s="2">
        <v>0</v>
      </c>
      <c r="D3" s="3">
        <v>0.00208333333333333</v>
      </c>
      <c r="E3" s="3" t="str">
        <f>(A3*B3*C3*D3)</f>
      </c>
      <c r="F3" s="3">
        <v>0.000347222222222222</v>
      </c>
      <c r="G3" s="3">
        <v>0.0208333333333333</v>
      </c>
      <c r="H3" s="3" t="str">
        <f>E3+(A3*C3*F3)+G3</f>
      </c>
    </row>
    <row r="4" ht="16" customHeight="true">
      <c r="A4" s="4"/>
      <c r="B4" s="4"/>
      <c r="C4" s="4"/>
      <c r="D4" s="4"/>
      <c r="E4" s="4"/>
      <c r="F4" s="4"/>
      <c r="G4" s="4"/>
      <c r="H4" s="4"/>
    </row>
    <row r="5" ht="16" customHeight="true">
      <c r="A5" s="4"/>
      <c r="B5" s="4"/>
      <c r="C5" s="4"/>
      <c r="D5" s="4"/>
      <c r="E5" s="4"/>
      <c r="F5" s="4"/>
      <c r="G5" s="4"/>
      <c r="H5" s="4"/>
    </row>
    <row r="6" ht="16" customHeight="true">
      <c r="A6" s="4"/>
      <c r="B6" s="4"/>
      <c r="C6" s="4"/>
      <c r="D6" s="4"/>
      <c r="E6" s="4"/>
      <c r="F6" s="4"/>
      <c r="G6" s="4"/>
      <c r="H6" s="4"/>
    </row>
    <row r="7" ht="51" customHeight="true">
      <c r="A7" s="1" t="s">
        <v>8</v>
      </c>
      <c r="B7" s="1" t="s">
        <v>1</v>
      </c>
      <c r="C7" s="1"/>
      <c r="D7" s="1" t="s">
        <v>3</v>
      </c>
      <c r="E7" s="1" t="s">
        <v>4</v>
      </c>
      <c r="F7" s="1" t="s">
        <v>5</v>
      </c>
      <c r="G7" s="1" t="s">
        <v>6</v>
      </c>
      <c r="H7" s="1" t="s">
        <v>7</v>
      </c>
    </row>
    <row r="8" ht="16" customHeight="true">
      <c r="A8" s="2">
        <v>61</v>
      </c>
      <c r="B8" s="2">
        <v>1</v>
      </c>
      <c r="C8" s="2"/>
      <c r="D8" s="3">
        <v>0.00277777777777777</v>
      </c>
      <c r="E8" s="3" t="str">
        <f>(A8*B8*D8)</f>
      </c>
      <c r="F8" s="3">
        <v>0.000347222222222222</v>
      </c>
      <c r="G8" s="3">
        <v>0.0208333333333333</v>
      </c>
      <c r="H8" s="31" t="str">
        <f>E8+(A8*F8)+G8</f>
      </c>
    </row>
    <row r="9" ht="16" customHeight="true">
      <c r="A9" s="4"/>
      <c r="B9" s="4"/>
      <c r="C9" s="4"/>
      <c r="D9" s="4"/>
      <c r="E9" s="4"/>
      <c r="F9" s="4"/>
      <c r="G9" s="4"/>
      <c r="H9" s="4"/>
    </row>
    <row r="10" ht="16" customHeight="true">
      <c r="A10" s="4"/>
      <c r="B10" s="4"/>
      <c r="C10" s="4"/>
      <c r="D10" s="4"/>
      <c r="E10" s="4"/>
      <c r="F10" s="4"/>
      <c r="G10" s="4"/>
      <c r="H10" s="4"/>
    </row>
    <row r="11" ht="16" customHeight="true">
      <c r="A11" s="4"/>
      <c r="B11" s="4"/>
      <c r="C11" s="4"/>
      <c r="D11" s="4"/>
      <c r="E11" s="4"/>
      <c r="F11" s="4"/>
      <c r="G11" s="4"/>
      <c r="H11" s="4"/>
    </row>
    <row r="13">
      <c r="E13" s="13" t="s">
        <v>406</v>
      </c>
      <c r="F13" s="13"/>
      <c r="G13" s="13"/>
      <c r="H13" s="13"/>
    </row>
    <row r="14">
      <c r="A14">
        <v>2</v>
      </c>
      <c r="E14" s="32" t="s">
        <v>407</v>
      </c>
      <c r="F14" s="32"/>
      <c r="G14" s="32"/>
      <c r="H14" s="31" t="str">
        <f>H2</f>
      </c>
    </row>
    <row r="15">
      <c r="E15" s="32" t="s">
        <v>408</v>
      </c>
      <c r="F15" s="32"/>
      <c r="G15" s="32"/>
      <c r="H15" s="31" t="str">
        <f>H8</f>
      </c>
    </row>
    <row r="16">
      <c r="E16" s="32" t="s">
        <v>409</v>
      </c>
      <c r="F16" s="32"/>
      <c r="G16" s="32"/>
      <c r="H16" s="31" t="str">
        <f>H14+H15</f>
      </c>
    </row>
    <row r="17">
      <c r="E17" s="32" t="s">
        <v>410</v>
      </c>
      <c r="F17" s="32"/>
      <c r="G17" s="32"/>
      <c r="H17" s="31" t="str">
        <f>H16/A14</f>
      </c>
    </row>
    <row r="18">
      <c r="E18" s="13" t="s">
        <v>411</v>
      </c>
      <c r="F18" s="13"/>
      <c r="G18" s="13"/>
      <c r="H18" s="33">
        <v>0.375</v>
      </c>
    </row>
    <row r="19">
      <c r="E19" s="13" t="s">
        <v>412</v>
      </c>
      <c r="F19" s="13"/>
      <c r="G19" s="13"/>
      <c r="H19" s="33" t="str">
        <f>H18+H17</f>
      </c>
    </row>
  </sheetData>
  <mergeCells count="1">
    <mergeCell ref="E13:H13"/>
  </mergeCells>
</worksheet>
</file>

<file path=xl/worksheets/sheet3.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8.83"/>
    <col customWidth="true" max="2" min="2" width="30"/>
    <col customWidth="true" max="3" min="3" width="8.83"/>
    <col customWidth="true" max="4" min="4" width="30"/>
    <col customWidth="true" max="5" min="5" width="8.83"/>
    <col customWidth="true" max="6" min="6" width="30"/>
    <col customWidth="true" max="7" min="7" width="8.83"/>
  </cols>
  <sheetData>
    <row r="1" ht="17" customHeight="true"/>
    <row r="2" ht="20" customHeight="true">
      <c r="A2" s="6"/>
      <c r="B2" s="5" t="str">
        <f>IF(data!$B$1="","Tournament Pools",data!$B$1&amp;" - Tournament Pools")</f>
      </c>
      <c r="G2" s="6"/>
    </row>
    <row r="3" ht="17" customHeight="true">
      <c r="A3" s="7"/>
      <c r="B3" s="7"/>
      <c r="C3" s="7"/>
      <c r="D3" s="7"/>
      <c r="E3" s="7"/>
      <c r="F3" s="7"/>
      <c r="G3" s="7"/>
      <c r="H3" s="7"/>
    </row>
    <row r="4" ht="17" customHeight="true">
      <c r="A4" s="8"/>
      <c r="B4" s="8"/>
      <c r="C4" s="8"/>
      <c r="D4" s="8"/>
      <c r="E4" s="8"/>
      <c r="F4" s="8"/>
      <c r="G4" s="8"/>
      <c r="H4" s="8"/>
    </row>
    <row r="5" ht="17" customHeight="true">
      <c r="B5" s="11" t="str">
        <f>'data'!$A$5</f>
      </c>
      <c r="D5" s="11" t="str">
        <f>'data'!$A$38</f>
      </c>
      <c r="F5" s="11" t="str">
        <f>'data'!$A$67</f>
      </c>
    </row>
    <row r="6" ht="17" customHeight="true">
      <c r="B6" s="12" t="str">
        <f>data!$E$3&amp;" "&amp;data!$B$3</f>
      </c>
      <c r="D6" s="12" t="str">
        <f>data!$E$36&amp;" "&amp;data!$B$36</f>
      </c>
      <c r="F6" s="12" t="str">
        <f>data!$E$65&amp;" "&amp;data!$B$65</f>
      </c>
    </row>
    <row r="7" ht="17" customHeight="true">
      <c r="B7" s="12" t="str">
        <f>data!$E$4&amp;" "&amp;data!$B$4</f>
      </c>
      <c r="D7" s="12" t="str">
        <f>data!$E$37&amp;" "&amp;data!$B$37</f>
      </c>
      <c r="F7" s="12" t="str">
        <f>data!$E$66&amp;" "&amp;data!$B$66</f>
      </c>
    </row>
    <row r="8">
      <c r="B8" s="12" t="str">
        <f>data!$E$5&amp;" "&amp;data!$B$5</f>
      </c>
      <c r="D8" s="12" t="str">
        <f>data!$E$38&amp;" "&amp;data!$B$38</f>
      </c>
      <c r="F8" s="12" t="str">
        <f>data!$E$67&amp;" "&amp;data!$B$67</f>
      </c>
    </row>
    <row r="11">
      <c r="B11" s="11" t="str">
        <f>'data'!$A$8</f>
      </c>
      <c r="D11" s="11" t="str">
        <f>'data'!$A$41</f>
      </c>
      <c r="F11" s="11" t="str">
        <f>'data'!$A$70</f>
      </c>
    </row>
    <row r="12">
      <c r="B12" s="12" t="str">
        <f>data!$E$6&amp;" "&amp;data!$B$6</f>
      </c>
      <c r="D12" s="12" t="str">
        <f>data!$E$39&amp;" "&amp;data!$B$39</f>
      </c>
      <c r="F12" s="12" t="str">
        <f>data!$E$68&amp;" "&amp;data!$B$68</f>
      </c>
    </row>
    <row r="13">
      <c r="B13" s="12" t="str">
        <f>data!$E$7&amp;" "&amp;data!$B$7</f>
      </c>
      <c r="D13" s="12" t="str">
        <f>data!$E$40&amp;" "&amp;data!$B$40</f>
      </c>
      <c r="F13" s="12" t="str">
        <f>data!$E$69&amp;" "&amp;data!$B$69</f>
      </c>
    </row>
    <row r="14">
      <c r="B14" s="12" t="str">
        <f>data!$E$8&amp;" "&amp;data!$B$8</f>
      </c>
      <c r="D14" s="12" t="str">
        <f>data!$E$41&amp;" "&amp;data!$B$41</f>
      </c>
      <c r="F14" s="12" t="str">
        <f>data!$E$70&amp;" "&amp;data!$B$70</f>
      </c>
    </row>
    <row r="17">
      <c r="B17" s="11" t="str">
        <f>'data'!$A$11</f>
      </c>
      <c r="D17" s="11" t="str">
        <f>'data'!$A$44</f>
      </c>
      <c r="F17" s="11" t="str">
        <f>'data'!$A$73</f>
      </c>
    </row>
    <row r="18">
      <c r="B18" s="12" t="str">
        <f>data!$E$9&amp;" "&amp;data!$B$9</f>
      </c>
      <c r="D18" s="12" t="str">
        <f>data!$E$42&amp;" "&amp;data!$B$42</f>
      </c>
      <c r="F18" s="12" t="str">
        <f>data!$E$71&amp;" "&amp;data!$B$71</f>
      </c>
    </row>
    <row r="19">
      <c r="B19" s="12" t="str">
        <f>data!$E$10&amp;" "&amp;data!$B$10</f>
      </c>
      <c r="D19" s="12" t="str">
        <f>data!$E$43&amp;" "&amp;data!$B$43</f>
      </c>
      <c r="F19" s="12" t="str">
        <f>data!$E$72&amp;" "&amp;data!$B$72</f>
      </c>
    </row>
    <row r="20">
      <c r="B20" s="12" t="str">
        <f>data!$E$11&amp;" "&amp;data!$B$11</f>
      </c>
      <c r="D20" s="12" t="str">
        <f>data!$E$44&amp;" "&amp;data!$B$44</f>
      </c>
      <c r="F20" s="12" t="str">
        <f>data!$E$73&amp;" "&amp;data!$B$73</f>
      </c>
    </row>
    <row r="23">
      <c r="B23" s="11" t="str">
        <f>'data'!$A$14</f>
      </c>
      <c r="D23" s="11" t="str">
        <f>'data'!$A$47</f>
      </c>
      <c r="F23" s="11" t="str">
        <f>'data'!$A$76</f>
      </c>
    </row>
    <row r="24">
      <c r="B24" s="12" t="str">
        <f>data!$E$12&amp;" "&amp;data!$B$12</f>
      </c>
      <c r="D24" s="12" t="str">
        <f>data!$E$45&amp;" "&amp;data!$B$45</f>
      </c>
      <c r="F24" s="12" t="str">
        <f>data!$E$74&amp;" "&amp;data!$B$74</f>
      </c>
    </row>
    <row r="25">
      <c r="B25" s="12" t="str">
        <f>data!$E$13&amp;" "&amp;data!$B$13</f>
      </c>
      <c r="D25" s="12" t="str">
        <f>data!$E$46&amp;" "&amp;data!$B$46</f>
      </c>
      <c r="F25" s="12" t="str">
        <f>data!$E$75&amp;" "&amp;data!$B$75</f>
      </c>
    </row>
    <row r="26">
      <c r="B26" s="12" t="str">
        <f>data!$E$14&amp;" "&amp;data!$B$14</f>
      </c>
      <c r="D26" s="12" t="str">
        <f>data!$E$47&amp;" "&amp;data!$B$47</f>
      </c>
      <c r="F26" s="12" t="str">
        <f>data!$E$76&amp;" "&amp;data!$B$76</f>
      </c>
    </row>
    <row r="29">
      <c r="B29" s="11" t="str">
        <f>'data'!$A$17</f>
      </c>
      <c r="D29" s="11" t="str">
        <f>'data'!$A$49</f>
      </c>
      <c r="F29" s="11" t="str">
        <f>'data'!$A$79</f>
      </c>
    </row>
    <row r="30">
      <c r="B30" s="12" t="str">
        <f>data!$E$15&amp;" "&amp;data!$B$15</f>
      </c>
      <c r="D30" s="12" t="str">
        <f>data!$E$48&amp;" "&amp;data!$B$48</f>
      </c>
      <c r="F30" s="12" t="str">
        <f>data!$E$77&amp;" "&amp;data!$B$77</f>
      </c>
    </row>
    <row r="31">
      <c r="B31" s="12" t="str">
        <f>data!$E$16&amp;" "&amp;data!$B$16</f>
      </c>
      <c r="D31" s="12" t="str">
        <f>data!$E$49&amp;" "&amp;data!$B$49</f>
      </c>
      <c r="F31" s="12" t="str">
        <f>data!$E$78&amp;" "&amp;data!$B$78</f>
      </c>
    </row>
    <row r="32">
      <c r="B32" s="12" t="str">
        <f>data!$E$17&amp;" "&amp;data!$B$17</f>
      </c>
      <c r="F32" s="12" t="str">
        <f>data!$E$79&amp;" "&amp;data!$B$79</f>
      </c>
    </row>
    <row r="34">
      <c r="D34" s="11" t="str">
        <f>'data'!$A$52</f>
      </c>
    </row>
    <row r="35">
      <c r="B35" s="11" t="str">
        <f>'data'!$A$20</f>
      </c>
      <c r="D35" s="12" t="str">
        <f>data!$E$50&amp;" "&amp;data!$B$50</f>
      </c>
      <c r="F35" s="11" t="str">
        <f>'data'!$A$82</f>
      </c>
    </row>
    <row r="36">
      <c r="B36" s="12" t="str">
        <f>data!$E$18&amp;" "&amp;data!$B$18</f>
      </c>
      <c r="D36" s="12" t="str">
        <f>data!$E$51&amp;" "&amp;data!$B$51</f>
      </c>
      <c r="F36" s="12" t="str">
        <f>data!$E$80&amp;" "&amp;data!$B$80</f>
      </c>
    </row>
    <row r="37">
      <c r="B37" s="12" t="str">
        <f>data!$E$19&amp;" "&amp;data!$B$19</f>
      </c>
      <c r="D37" s="12" t="str">
        <f>data!$E$52&amp;" "&amp;data!$B$52</f>
      </c>
      <c r="F37" s="12" t="str">
        <f>data!$E$81&amp;" "&amp;data!$B$81</f>
      </c>
    </row>
    <row r="38">
      <c r="B38" s="12" t="str">
        <f>data!$E$20&amp;" "&amp;data!$B$20</f>
      </c>
      <c r="F38" s="12" t="str">
        <f>data!$E$82&amp;" "&amp;data!$B$82</f>
      </c>
    </row>
    <row r="40">
      <c r="D40" s="11" t="str">
        <f>'data'!$A$55</f>
      </c>
    </row>
    <row r="41">
      <c r="B41" s="11" t="str">
        <f>'data'!$A$23</f>
      </c>
      <c r="D41" s="12" t="str">
        <f>data!$E$53&amp;" "&amp;data!$B$53</f>
      </c>
      <c r="F41" s="11" t="str">
        <f>'data'!$A$85</f>
      </c>
    </row>
    <row r="42">
      <c r="B42" s="12" t="str">
        <f>data!$E$21&amp;" "&amp;data!$B$21</f>
      </c>
      <c r="D42" s="12" t="str">
        <f>data!$E$54&amp;" "&amp;data!$B$54</f>
      </c>
      <c r="F42" s="12" t="str">
        <f>data!$E$83&amp;" "&amp;data!$B$83</f>
      </c>
    </row>
    <row r="43">
      <c r="B43" s="12" t="str">
        <f>data!$E$22&amp;" "&amp;data!$B$22</f>
      </c>
      <c r="D43" s="12" t="str">
        <f>data!$E$55&amp;" "&amp;data!$B$55</f>
      </c>
      <c r="F43" s="12" t="str">
        <f>data!$E$84&amp;" "&amp;data!$B$84</f>
      </c>
    </row>
    <row r="44">
      <c r="B44" s="12" t="str">
        <f>data!$E$23&amp;" "&amp;data!$B$23</f>
      </c>
      <c r="F44" s="12" t="str">
        <f>data!$E$85&amp;" "&amp;data!$B$85</f>
      </c>
    </row>
    <row r="46">
      <c r="D46" s="11" t="str">
        <f>'data'!$A$58</f>
      </c>
    </row>
    <row r="47">
      <c r="B47" s="11" t="str">
        <f>'data'!$A$26</f>
      </c>
      <c r="D47" s="12" t="str">
        <f>data!$E$56&amp;" "&amp;data!$B$56</f>
      </c>
      <c r="F47" s="11" t="str">
        <f>'data'!$A$88</f>
      </c>
    </row>
    <row r="48">
      <c r="B48" s="12" t="str">
        <f>data!$E$24&amp;" "&amp;data!$B$24</f>
      </c>
      <c r="D48" s="12" t="str">
        <f>data!$E$57&amp;" "&amp;data!$B$57</f>
      </c>
      <c r="F48" s="12" t="str">
        <f>data!$E$86&amp;" "&amp;data!$B$86</f>
      </c>
    </row>
    <row r="49">
      <c r="B49" s="12" t="str">
        <f>data!$E$25&amp;" "&amp;data!$B$25</f>
      </c>
      <c r="D49" s="12" t="str">
        <f>data!$E$58&amp;" "&amp;data!$B$58</f>
      </c>
      <c r="F49" s="12" t="str">
        <f>data!$E$87&amp;" "&amp;data!$B$87</f>
      </c>
    </row>
    <row r="50">
      <c r="B50" s="12" t="str">
        <f>data!$E$26&amp;" "&amp;data!$B$26</f>
      </c>
      <c r="F50" s="12" t="str">
        <f>data!$E$88&amp;" "&amp;data!$B$88</f>
      </c>
    </row>
    <row r="52">
      <c r="D52" s="11" t="str">
        <f>'data'!$A$61</f>
      </c>
    </row>
    <row r="53">
      <c r="B53" s="11" t="str">
        <f>'data'!$A$29</f>
      </c>
      <c r="D53" s="12" t="str">
        <f>data!$E$59&amp;" "&amp;data!$B$59</f>
      </c>
      <c r="F53" s="11" t="str">
        <f>'data'!$A$91</f>
      </c>
    </row>
    <row r="54">
      <c r="B54" s="12" t="str">
        <f>data!$E$27&amp;" "&amp;data!$B$27</f>
      </c>
      <c r="D54" s="12" t="str">
        <f>data!$E$60&amp;" "&amp;data!$B$60</f>
      </c>
      <c r="F54" s="12" t="str">
        <f>data!$E$89&amp;" "&amp;data!$B$89</f>
      </c>
    </row>
    <row r="55">
      <c r="B55" s="12" t="str">
        <f>data!$E$28&amp;" "&amp;data!$B$28</f>
      </c>
      <c r="D55" s="12" t="str">
        <f>data!$E$61&amp;" "&amp;data!$B$61</f>
      </c>
      <c r="F55" s="12" t="str">
        <f>data!$E$90&amp;" "&amp;data!$B$90</f>
      </c>
    </row>
    <row r="56">
      <c r="B56" s="12" t="str">
        <f>data!$E$29&amp;" "&amp;data!$B$29</f>
      </c>
      <c r="F56" s="12" t="str">
        <f>data!$E$91&amp;" "&amp;data!$B$91</f>
      </c>
    </row>
    <row r="58">
      <c r="D58" s="11" t="str">
        <f>'data'!$A$64</f>
      </c>
    </row>
    <row r="59">
      <c r="B59" s="11" t="str">
        <f>'data'!$A$32</f>
      </c>
      <c r="D59" s="12" t="str">
        <f>data!$E$62&amp;" "&amp;data!$B$62</f>
      </c>
      <c r="F59" s="11" t="str">
        <f>'data'!$A$93</f>
      </c>
    </row>
    <row r="60">
      <c r="B60" s="12" t="str">
        <f>data!$E$30&amp;" "&amp;data!$B$30</f>
      </c>
      <c r="D60" s="12" t="str">
        <f>data!$E$63&amp;" "&amp;data!$B$63</f>
      </c>
      <c r="F60" s="12" t="str">
        <f>data!$E$92&amp;" "&amp;data!$B$92</f>
      </c>
    </row>
    <row r="61">
      <c r="B61" s="12" t="str">
        <f>data!$E$31&amp;" "&amp;data!$B$31</f>
      </c>
      <c r="D61" s="12" t="str">
        <f>data!$E$64&amp;" "&amp;data!$B$64</f>
      </c>
      <c r="F61" s="12" t="str">
        <f>data!$E$93&amp;" "&amp;data!$B$93</f>
      </c>
    </row>
    <row r="62">
      <c r="B62" s="12" t="str">
        <f>data!$E$32&amp;" "&amp;data!$B$32</f>
      </c>
    </row>
    <row r="65">
      <c r="B65" s="11" t="str">
        <f>'data'!$A$35</f>
      </c>
    </row>
    <row r="66">
      <c r="B66" s="12" t="str">
        <f>data!$E$33&amp;" "&amp;data!$B$33</f>
      </c>
    </row>
    <row r="67">
      <c r="B67" s="12" t="str">
        <f>data!$E$34&amp;" "&amp;data!$B$34</f>
      </c>
    </row>
    <row r="68">
      <c r="B68" s="12" t="str">
        <f>data!$E$35&amp;" "&amp;data!$B$35</f>
      </c>
    </row>
  </sheetData>
  <mergeCells count="1">
    <mergeCell ref="B2:F2"/>
  </mergeCells>
  <printOptions horizontalCentered="true" verticalCentered="true"/>
  <pageSetup fitToHeight="0" fitToWidth="1" orientation="portrait" paperSize="9"/>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0"/>
    <col customWidth="true" max="14" min="10" width="5"/>
    <col customWidth="true" max="15" min="15" width="30"/>
    <col customWidth="true" max="16" min="16" width="5"/>
    <col customWidth="true" max="20" min="17" width="10.83"/>
    <col customWidth="true" hidden="true" max="21" min="21" width="9.140625"/>
    <col customWidth="true" hidden="true" max="29" min="29" width="9.140625"/>
  </cols>
  <sheetData>
    <row r="1">
      <c r="A1" s="13" t="s">
        <v>329</v>
      </c>
      <c r="B1" s="13"/>
      <c r="C1" s="13"/>
      <c r="D1" s="13"/>
      <c r="E1" s="13"/>
      <c r="F1" s="13"/>
      <c r="G1" s="13"/>
      <c r="I1" s="13" t="s">
        <v>330</v>
      </c>
      <c r="J1" s="13"/>
      <c r="K1" s="13"/>
      <c r="L1" s="13"/>
      <c r="M1" s="13"/>
      <c r="N1" s="13"/>
      <c r="O1" s="13"/>
    </row>
    <row r="2">
      <c r="A2" s="13" t="str">
        <f>'data'!$A$5</f>
      </c>
      <c r="B2" s="13"/>
      <c r="C2" s="13"/>
      <c r="D2" s="13"/>
      <c r="E2" s="13"/>
      <c r="F2" s="13"/>
      <c r="G2" s="13"/>
      <c r="I2" s="13" t="str">
        <f>'data'!$A$52</f>
      </c>
      <c r="J2" s="13"/>
      <c r="K2" s="13"/>
      <c r="L2" s="13"/>
      <c r="M2" s="13"/>
      <c r="N2" s="13"/>
      <c r="O2" s="13"/>
    </row>
    <row r="3">
      <c r="A3" s="17" t="s">
        <v>331</v>
      </c>
      <c r="D3" s="14" t="s">
        <v>332</v>
      </c>
      <c r="G3" s="16" t="s">
        <v>333</v>
      </c>
      <c r="I3" s="17" t="s">
        <v>331</v>
      </c>
      <c r="L3" s="14" t="s">
        <v>332</v>
      </c>
      <c r="O3" s="16" t="s">
        <v>333</v>
      </c>
    </row>
    <row r="4">
      <c r="A4" s="14" t="str">
        <f>data!$E$4&amp;" "&amp;data!$B$4</f>
      </c>
      <c r="B4" s="18"/>
      <c r="C4" s="18"/>
      <c r="D4" s="18"/>
      <c r="E4" s="18"/>
      <c r="F4" s="18"/>
      <c r="G4" s="14" t="str">
        <f>data!$E$3&amp;" "&amp;data!$B$3</f>
      </c>
      <c r="I4" s="14" t="str">
        <f>data!$E$51&amp;" "&amp;data!$B$51</f>
      </c>
      <c r="J4" s="18"/>
      <c r="K4" s="18"/>
      <c r="L4" s="18"/>
      <c r="M4" s="18"/>
      <c r="N4" s="18"/>
      <c r="O4" s="14" t="str">
        <f>data!$E$50&amp;" "&amp;data!$B$50</f>
      </c>
    </row>
    <row r="5">
      <c r="A5" s="14" t="str">
        <f>data!$E$5&amp;" "&amp;data!$B$5</f>
      </c>
      <c r="B5" s="18"/>
      <c r="C5" s="18"/>
      <c r="D5" s="18"/>
      <c r="E5" s="18"/>
      <c r="F5" s="18"/>
      <c r="G5" s="14" t="str">
        <f>data!$E$3&amp;" "&amp;data!$B$3</f>
      </c>
      <c r="I5" s="14" t="str">
        <f>data!$E$52&amp;" "&amp;data!$B$52</f>
      </c>
      <c r="J5" s="18"/>
      <c r="K5" s="18"/>
      <c r="L5" s="18"/>
      <c r="M5" s="18"/>
      <c r="N5" s="18"/>
      <c r="O5" s="14" t="str">
        <f>data!$E$50&amp;" "&amp;data!$B$50</f>
      </c>
    </row>
    <row r="6">
      <c r="A6" s="14" t="str">
        <f>data!$E$5&amp;" "&amp;data!$B$5</f>
      </c>
      <c r="B6" s="18"/>
      <c r="C6" s="18"/>
      <c r="D6" s="18"/>
      <c r="E6" s="18"/>
      <c r="F6" s="18"/>
      <c r="G6" s="14" t="str">
        <f>data!$E$4&amp;" "&amp;data!$B$4</f>
      </c>
      <c r="I6" s="14" t="str">
        <f>data!$E$52&amp;" "&amp;data!$B$52</f>
      </c>
      <c r="J6" s="18"/>
      <c r="K6" s="18"/>
      <c r="L6" s="18"/>
      <c r="M6" s="18"/>
      <c r="N6" s="18"/>
      <c r="O6" s="14" t="str">
        <f>data!$E$51&amp;" "&amp;data!$B$51</f>
      </c>
    </row>
    <row r="8">
      <c r="A8" s="13" t="s">
        <v>334</v>
      </c>
      <c r="B8" s="13" t="s">
        <v>335</v>
      </c>
      <c r="C8" s="13" t="s">
        <v>336</v>
      </c>
      <c r="D8" s="13" t="s">
        <v>337</v>
      </c>
      <c r="E8" s="13" t="s">
        <v>338</v>
      </c>
      <c r="F8" s="13" t="s">
        <v>339</v>
      </c>
      <c r="G8" s="13" t="s">
        <v>340</v>
      </c>
      <c r="I8" s="13" t="s">
        <v>334</v>
      </c>
      <c r="J8" s="13" t="s">
        <v>335</v>
      </c>
      <c r="K8" s="13" t="s">
        <v>336</v>
      </c>
      <c r="L8" s="13" t="s">
        <v>337</v>
      </c>
      <c r="M8" s="13" t="s">
        <v>338</v>
      </c>
      <c r="N8" s="13" t="s">
        <v>339</v>
      </c>
      <c r="O8" s="13" t="s">
        <v>340</v>
      </c>
    </row>
    <row r="9">
      <c r="A9" s="14" t="str">
        <f>data!$E$3&amp;" "&amp;data!$B$3</f>
      </c>
      <c r="B9" s="14" t="str">
        <f>IF(OR(COUNTA(B4,C4,E4,F4)&gt;0,OR(D4="X",D4="x")),IF(OR(D4="X",D4="x",AND(OR(COUNTA(B4,C4,E4,F4)&gt;0,OR(D4="X",D4="x")),(LEN(SUBSTITUTE(SUBSTITUTE(SUBSTITUTE(B4," ",""),"0",""),"-",""))+LEN(SUBSTITUTE(SUBSTITUTE(SUBSTITUTE(C4," ",""),"0",""),"-","")))=(LEN(SUBSTITUTE(SUBSTITUTE(SUBSTITUTE(E4," ",""),"0",""),"-",""))+LEN(SUBSTITUTE(SUBSTITUTE(SUBSTITUTE(F4," ",""),"0",""),"-",""))))),0,(LEN(SUBSTITUTE(SUBSTITUTE(SUBSTITUTE(E4," ",""),"0",""),"-",""))+LEN(SUBSTITUTE(SUBSTITUTE(SUBSTITUTE(F4," ",""),"0",""),"-",""))&gt;LEN(SUBSTITUTE(SUBSTITUTE(SUBSTITUTE(B4," ",""),"0",""),"-",""))+LEN(SUBSTITUTE(SUBSTITUTE(SUBSTITUTE(C4," ",""),"0",""),"-","")))*1),0)+IF(OR(COUNTA(B5,C5,E5,F5)&gt;0,OR(D5="X",D5="x")),IF(OR(D5="X",D5="x",AND(OR(COUNTA(B5,C5,E5,F5)&gt;0,OR(D5="X",D5="x")),(LEN(SUBSTITUTE(SUBSTITUTE(SUBSTITUTE(B5," ",""),"0",""),"-",""))+LEN(SUBSTITUTE(SUBSTITUTE(SUBSTITUTE(C5," ",""),"0",""),"-","")))=(LEN(SUBSTITUTE(SUBSTITUTE(SUBSTITUTE(E5," ",""),"0",""),"-",""))+LEN(SUBSTITUTE(SUBSTITUTE(SUBSTITUTE(F5," ",""),"0",""),"-",""))))),0,(LEN(SUBSTITUTE(SUBSTITUTE(SUBSTITUTE(E5," ",""),"0",""),"-",""))+LEN(SUBSTITUTE(SUBSTITUTE(SUBSTITUTE(F5," ",""),"0",""),"-",""))&gt;LEN(SUBSTITUTE(SUBSTITUTE(SUBSTITUTE(B5," ",""),"0",""),"-",""))+LEN(SUBSTITUTE(SUBSTITUTE(SUBSTITUTE(C5," ",""),"0",""),"-","")))*1),0)</f>
      </c>
      <c r="C9" s="14" t="str">
        <f>IF(OR(COUNTA(B4,C4,E4,F4)&gt;0,OR(D4="X",D4="x")),IF(OR(D4="X",D4="x",AND(OR(COUNTA(B4,C4,E4,F4)&gt;0,OR(D4="X",D4="x")),(LEN(SUBSTITUTE(SUBSTITUTE(SUBSTITUTE(B4," ",""),"0",""),"-",""))+LEN(SUBSTITUTE(SUBSTITUTE(SUBSTITUTE(C4," ",""),"0",""),"-","")))=(LEN(SUBSTITUTE(SUBSTITUTE(SUBSTITUTE(E4," ",""),"0",""),"-",""))+LEN(SUBSTITUTE(SUBSTITUTE(SUBSTITUTE(F4," ",""),"0",""),"-",""))))),0,(LEN(SUBSTITUTE(SUBSTITUTE(SUBSTITUTE(E4," ",""),"0",""),"-",""))+LEN(SUBSTITUTE(SUBSTITUTE(SUBSTITUTE(F4," ",""),"0",""),"-",""))&lt;LEN(SUBSTITUTE(SUBSTITUTE(SUBSTITUTE(B4," ",""),"0",""),"-",""))+LEN(SUBSTITUTE(SUBSTITUTE(SUBSTITUTE(C4," ",""),"0",""),"-","")))*1),0)+IF(OR(COUNTA(B5,C5,E5,F5)&gt;0,OR(D5="X",D5="x")),IF(OR(D5="X",D5="x",AND(OR(COUNTA(B5,C5,E5,F5)&gt;0,OR(D5="X",D5="x")),(LEN(SUBSTITUTE(SUBSTITUTE(SUBSTITUTE(B5," ",""),"0",""),"-",""))+LEN(SUBSTITUTE(SUBSTITUTE(SUBSTITUTE(C5," ",""),"0",""),"-","")))=(LEN(SUBSTITUTE(SUBSTITUTE(SUBSTITUTE(E5," ",""),"0",""),"-",""))+LEN(SUBSTITUTE(SUBSTITUTE(SUBSTITUTE(F5," ",""),"0",""),"-",""))))),0,(LEN(SUBSTITUTE(SUBSTITUTE(SUBSTITUTE(E5," ",""),"0",""),"-",""))+LEN(SUBSTITUTE(SUBSTITUTE(SUBSTITUTE(F5," ",""),"0",""),"-",""))&lt;LEN(SUBSTITUTE(SUBSTITUTE(SUBSTITUTE(B5," ",""),"0",""),"-",""))+LEN(SUBSTITUTE(SUBSTITUTE(SUBSTITUTE(C5," ",""),"0",""),"-","")))*1),0)</f>
      </c>
      <c r="D9" s="14" t="str">
        <f>IF(OR(COUNTA(B4,C4,E4,F4)&gt;0,OR(D4="X",D4="x")),IF(OR(D4="X",D4="x",AND(OR(COUNTA(B4,C4,E4,F4)&gt;0,OR(D4="X",D4="x")),(LEN(SUBSTITUTE(SUBSTITUTE(SUBSTITUTE(B4," ",""),"0",""),"-",""))+LEN(SUBSTITUTE(SUBSTITUTE(SUBSTITUTE(C4," ",""),"0",""),"-","")))=(LEN(SUBSTITUTE(SUBSTITUTE(SUBSTITUTE(E4," ",""),"0",""),"-",""))+LEN(SUBSTITUTE(SUBSTITUTE(SUBSTITUTE(F4," ",""),"0",""),"-",""))))),1,0),0)+IF(OR(COUNTA(B5,C5,E5,F5)&gt;0,OR(D5="X",D5="x")),IF(OR(D5="X",D5="x",AND(OR(COUNTA(B5,C5,E5,F5)&gt;0,OR(D5="X",D5="x")),(LEN(SUBSTITUTE(SUBSTITUTE(SUBSTITUTE(B5," ",""),"0",""),"-",""))+LEN(SUBSTITUTE(SUBSTITUTE(SUBSTITUTE(C5," ",""),"0",""),"-","")))=(LEN(SUBSTITUTE(SUBSTITUTE(SUBSTITUTE(E5," ",""),"0",""),"-",""))+LEN(SUBSTITUTE(SUBSTITUTE(SUBSTITUTE(F5," ",""),"0",""),"-",""))))),1,0),0)</f>
      </c>
      <c r="E9" s="14" t="str">
        <f>LEN(SUBSTITUTE(SUBSTITUTE(SUBSTITUTE(E4," ",""),"0",""),"-",""))+LEN(SUBSTITUTE(SUBSTITUTE(SUBSTITUTE(F4," ",""),"0",""),"-",""))+LEN(SUBSTITUTE(SUBSTITUTE(SUBSTITUTE(E5," ",""),"0",""),"-",""))+LEN(SUBSTITUTE(SUBSTITUTE(SUBSTITUTE(F5," ",""),"0",""),"-",""))</f>
      </c>
      <c r="F9" s="14" t="str">
        <f>LEN(SUBSTITUTE(SUBSTITUTE(SUBSTITUTE(B4," ",""),"0",""),"-",""))+LEN(SUBSTITUTE(SUBSTITUTE(SUBSTITUTE(C4," ",""),"0",""),"-",""))+LEN(SUBSTITUTE(SUBSTITUTE(SUBSTITUTE(B5," ",""),"0",""),"-",""))+LEN(SUBSTITUTE(SUBSTITUTE(SUBSTITUTE(C5," ",""),"0",""),"-",""))</f>
      </c>
      <c r="G9" s="18" t="str">
        <f>RANK(U9,$U$9:$U$11)+COUNTIF($U$8:U8,U9)</f>
      </c>
      <c r="I9" s="14" t="str">
        <f>data!$E$50&amp;" "&amp;data!$B$50</f>
      </c>
      <c r="J9" s="14" t="str">
        <f>IF(OR(COUNTA(J4,K4,M4,N4)&gt;0,OR(L4="X",L4="x")),IF(OR(L4="X",L4="x",AND(OR(COUNTA(J4,K4,M4,N4)&gt;0,OR(L4="X",L4="x")),(LEN(SUBSTITUTE(SUBSTITUTE(SUBSTITUTE(J4," ",""),"0",""),"-",""))+LEN(SUBSTITUTE(SUBSTITUTE(SUBSTITUTE(K4," ",""),"0",""),"-","")))=(LEN(SUBSTITUTE(SUBSTITUTE(SUBSTITUTE(M4," ",""),"0",""),"-",""))+LEN(SUBSTITUTE(SUBSTITUTE(SUBSTITUTE(N4," ",""),"0",""),"-",""))))),0,(LEN(SUBSTITUTE(SUBSTITUTE(SUBSTITUTE(M4," ",""),"0",""),"-",""))+LEN(SUBSTITUTE(SUBSTITUTE(SUBSTITUTE(N4," ",""),"0",""),"-",""))&gt;LEN(SUBSTITUTE(SUBSTITUTE(SUBSTITUTE(J4," ",""),"0",""),"-",""))+LEN(SUBSTITUTE(SUBSTITUTE(SUBSTITUTE(K4," ",""),"0",""),"-","")))*1),0)+IF(OR(COUNTA(J5,K5,M5,N5)&gt;0,OR(L5="X",L5="x")),IF(OR(L5="X",L5="x",AND(OR(COUNTA(J5,K5,M5,N5)&gt;0,OR(L5="X",L5="x")),(LEN(SUBSTITUTE(SUBSTITUTE(SUBSTITUTE(J5," ",""),"0",""),"-",""))+LEN(SUBSTITUTE(SUBSTITUTE(SUBSTITUTE(K5," ",""),"0",""),"-","")))=(LEN(SUBSTITUTE(SUBSTITUTE(SUBSTITUTE(M5," ",""),"0",""),"-",""))+LEN(SUBSTITUTE(SUBSTITUTE(SUBSTITUTE(N5," ",""),"0",""),"-",""))))),0,(LEN(SUBSTITUTE(SUBSTITUTE(SUBSTITUTE(M5," ",""),"0",""),"-",""))+LEN(SUBSTITUTE(SUBSTITUTE(SUBSTITUTE(N5," ",""),"0",""),"-",""))&gt;LEN(SUBSTITUTE(SUBSTITUTE(SUBSTITUTE(J5," ",""),"0",""),"-",""))+LEN(SUBSTITUTE(SUBSTITUTE(SUBSTITUTE(K5," ",""),"0",""),"-","")))*1),0)</f>
      </c>
      <c r="K9" s="14" t="str">
        <f>IF(OR(COUNTA(J4,K4,M4,N4)&gt;0,OR(L4="X",L4="x")),IF(OR(L4="X",L4="x",AND(OR(COUNTA(J4,K4,M4,N4)&gt;0,OR(L4="X",L4="x")),(LEN(SUBSTITUTE(SUBSTITUTE(SUBSTITUTE(J4," ",""),"0",""),"-",""))+LEN(SUBSTITUTE(SUBSTITUTE(SUBSTITUTE(K4," ",""),"0",""),"-","")))=(LEN(SUBSTITUTE(SUBSTITUTE(SUBSTITUTE(M4," ",""),"0",""),"-",""))+LEN(SUBSTITUTE(SUBSTITUTE(SUBSTITUTE(N4," ",""),"0",""),"-",""))))),0,(LEN(SUBSTITUTE(SUBSTITUTE(SUBSTITUTE(M4," ",""),"0",""),"-",""))+LEN(SUBSTITUTE(SUBSTITUTE(SUBSTITUTE(N4," ",""),"0",""),"-",""))&lt;LEN(SUBSTITUTE(SUBSTITUTE(SUBSTITUTE(J4," ",""),"0",""),"-",""))+LEN(SUBSTITUTE(SUBSTITUTE(SUBSTITUTE(K4," ",""),"0",""),"-","")))*1),0)+IF(OR(COUNTA(J5,K5,M5,N5)&gt;0,OR(L5="X",L5="x")),IF(OR(L5="X",L5="x",AND(OR(COUNTA(J5,K5,M5,N5)&gt;0,OR(L5="X",L5="x")),(LEN(SUBSTITUTE(SUBSTITUTE(SUBSTITUTE(J5," ",""),"0",""),"-",""))+LEN(SUBSTITUTE(SUBSTITUTE(SUBSTITUTE(K5," ",""),"0",""),"-","")))=(LEN(SUBSTITUTE(SUBSTITUTE(SUBSTITUTE(M5," ",""),"0",""),"-",""))+LEN(SUBSTITUTE(SUBSTITUTE(SUBSTITUTE(N5," ",""),"0",""),"-",""))))),0,(LEN(SUBSTITUTE(SUBSTITUTE(SUBSTITUTE(M5," ",""),"0",""),"-",""))+LEN(SUBSTITUTE(SUBSTITUTE(SUBSTITUTE(N5," ",""),"0",""),"-",""))&lt;LEN(SUBSTITUTE(SUBSTITUTE(SUBSTITUTE(J5," ",""),"0",""),"-",""))+LEN(SUBSTITUTE(SUBSTITUTE(SUBSTITUTE(K5," ",""),"0",""),"-","")))*1),0)</f>
      </c>
      <c r="L9" s="14" t="str">
        <f>IF(OR(COUNTA(J4,K4,M4,N4)&gt;0,OR(L4="X",L4="x")),IF(OR(L4="X",L4="x",AND(OR(COUNTA(J4,K4,M4,N4)&gt;0,OR(L4="X",L4="x")),(LEN(SUBSTITUTE(SUBSTITUTE(SUBSTITUTE(J4," ",""),"0",""),"-",""))+LEN(SUBSTITUTE(SUBSTITUTE(SUBSTITUTE(K4," ",""),"0",""),"-","")))=(LEN(SUBSTITUTE(SUBSTITUTE(SUBSTITUTE(M4," ",""),"0",""),"-",""))+LEN(SUBSTITUTE(SUBSTITUTE(SUBSTITUTE(N4," ",""),"0",""),"-",""))))),1,0),0)+IF(OR(COUNTA(J5,K5,M5,N5)&gt;0,OR(L5="X",L5="x")),IF(OR(L5="X",L5="x",AND(OR(COUNTA(J5,K5,M5,N5)&gt;0,OR(L5="X",L5="x")),(LEN(SUBSTITUTE(SUBSTITUTE(SUBSTITUTE(J5," ",""),"0",""),"-",""))+LEN(SUBSTITUTE(SUBSTITUTE(SUBSTITUTE(K5," ",""),"0",""),"-","")))=(LEN(SUBSTITUTE(SUBSTITUTE(SUBSTITUTE(M5," ",""),"0",""),"-",""))+LEN(SUBSTITUTE(SUBSTITUTE(SUBSTITUTE(N5," ",""),"0",""),"-",""))))),1,0),0)</f>
      </c>
      <c r="M9" s="14" t="str">
        <f>LEN(SUBSTITUTE(SUBSTITUTE(SUBSTITUTE(M4," ",""),"0",""),"-",""))+LEN(SUBSTITUTE(SUBSTITUTE(SUBSTITUTE(N4," ",""),"0",""),"-",""))+LEN(SUBSTITUTE(SUBSTITUTE(SUBSTITUTE(M5," ",""),"0",""),"-",""))+LEN(SUBSTITUTE(SUBSTITUTE(SUBSTITUTE(N5," ",""),"0",""),"-",""))</f>
      </c>
      <c r="N9" s="14" t="str">
        <f>LEN(SUBSTITUTE(SUBSTITUTE(SUBSTITUTE(J4," ",""),"0",""),"-",""))+LEN(SUBSTITUTE(SUBSTITUTE(SUBSTITUTE(K4," ",""),"0",""),"-",""))+LEN(SUBSTITUTE(SUBSTITUTE(SUBSTITUTE(J5," ",""),"0",""),"-",""))+LEN(SUBSTITUTE(SUBSTITUTE(SUBSTITUTE(K5," ",""),"0",""),"-",""))</f>
      </c>
      <c r="O9" s="18" t="str">
        <f>RANK(AC9,$AC$9:$AC$11)+COUNTIF($AC$8:AC8,AC9)</f>
      </c>
      <c r="U9" t="str">
        <f>(B9*1000000)-(C9*10000)+(D9*100)+(E9*1)-(F9*0.01)</f>
      </c>
      <c r="AC9" t="str">
        <f>(J9*1000000)-(K9*10000)+(L9*100)+(M9*1)-(N9*0.01)</f>
      </c>
    </row>
    <row r="10">
      <c r="A10" s="14" t="str">
        <f>data!$E$4&amp;" "&amp;data!$B$4</f>
      </c>
      <c r="B10" s="14" t="str">
        <f>IF(OR(COUNTA(B4,C4,E4,F4)&gt;0,OR(D4="X",D4="x")),IF(OR(D4="X",D4="x",AND(OR(COUNTA(B4,C4,E4,F4)&gt;0,OR(D4="X",D4="x")),(LEN(SUBSTITUTE(SUBSTITUTE(SUBSTITUTE(B4," ",""),"0",""),"-",""))+LEN(SUBSTITUTE(SUBSTITUTE(SUBSTITUTE(C4," ",""),"0",""),"-","")))=(LEN(SUBSTITUTE(SUBSTITUTE(SUBSTITUTE(E4," ",""),"0",""),"-",""))+LEN(SUBSTITUTE(SUBSTITUTE(SUBSTITUTE(F4," ",""),"0",""),"-",""))))),0,(LEN(SUBSTITUTE(SUBSTITUTE(SUBSTITUTE(B4," ",""),"0",""),"-",""))+LEN(SUBSTITUTE(SUBSTITUTE(SUBSTITUTE(C4," ",""),"0",""),"-",""))&gt;LEN(SUBSTITUTE(SUBSTITUTE(SUBSTITUTE(E4," ",""),"0",""),"-",""))+LEN(SUBSTITUTE(SUBSTITUTE(SUBSTITUTE(F4," ",""),"0",""),"-","")))*1),0)+IF(OR(COUNTA(B6,C6,E6,F6)&gt;0,OR(D6="X",D6="x")),IF(OR(D6="X",D6="x",AND(OR(COUNTA(B6,C6,E6,F6)&gt;0,OR(D6="X",D6="x")),(LEN(SUBSTITUTE(SUBSTITUTE(SUBSTITUTE(B6," ",""),"0",""),"-",""))+LEN(SUBSTITUTE(SUBSTITUTE(SUBSTITUTE(C6," ",""),"0",""),"-","")))=(LEN(SUBSTITUTE(SUBSTITUTE(SUBSTITUTE(E6," ",""),"0",""),"-",""))+LEN(SUBSTITUTE(SUBSTITUTE(SUBSTITUTE(F6," ",""),"0",""),"-",""))))),0,(LEN(SUBSTITUTE(SUBSTITUTE(SUBSTITUTE(E6," ",""),"0",""),"-",""))+LEN(SUBSTITUTE(SUBSTITUTE(SUBSTITUTE(F6," ",""),"0",""),"-",""))&gt;LEN(SUBSTITUTE(SUBSTITUTE(SUBSTITUTE(B6," ",""),"0",""),"-",""))+LEN(SUBSTITUTE(SUBSTITUTE(SUBSTITUTE(C6," ",""),"0",""),"-","")))*1),0)</f>
      </c>
      <c r="C10" s="14" t="str">
        <f>IF(OR(COUNTA(B4,C4,E4,F4)&gt;0,OR(D4="X",D4="x")),IF(OR(D4="X",D4="x",AND(OR(COUNTA(B4,C4,E4,F4)&gt;0,OR(D4="X",D4="x")),(LEN(SUBSTITUTE(SUBSTITUTE(SUBSTITUTE(B4," ",""),"0",""),"-",""))+LEN(SUBSTITUTE(SUBSTITUTE(SUBSTITUTE(C4," ",""),"0",""),"-","")))=(LEN(SUBSTITUTE(SUBSTITUTE(SUBSTITUTE(E4," ",""),"0",""),"-",""))+LEN(SUBSTITUTE(SUBSTITUTE(SUBSTITUTE(F4," ",""),"0",""),"-",""))))),0,(LEN(SUBSTITUTE(SUBSTITUTE(SUBSTITUTE(B4," ",""),"0",""),"-",""))+LEN(SUBSTITUTE(SUBSTITUTE(SUBSTITUTE(C4," ",""),"0",""),"-",""))&lt;LEN(SUBSTITUTE(SUBSTITUTE(SUBSTITUTE(E4," ",""),"0",""),"-",""))+LEN(SUBSTITUTE(SUBSTITUTE(SUBSTITUTE(F4," ",""),"0",""),"-","")))*1),0)+IF(OR(COUNTA(B6,C6,E6,F6)&gt;0,OR(D6="X",D6="x")),IF(OR(D6="X",D6="x",AND(OR(COUNTA(B6,C6,E6,F6)&gt;0,OR(D6="X",D6="x")),(LEN(SUBSTITUTE(SUBSTITUTE(SUBSTITUTE(B6," ",""),"0",""),"-",""))+LEN(SUBSTITUTE(SUBSTITUTE(SUBSTITUTE(C6," ",""),"0",""),"-","")))=(LEN(SUBSTITUTE(SUBSTITUTE(SUBSTITUTE(E6," ",""),"0",""),"-",""))+LEN(SUBSTITUTE(SUBSTITUTE(SUBSTITUTE(F6," ",""),"0",""),"-",""))))),0,(LEN(SUBSTITUTE(SUBSTITUTE(SUBSTITUTE(E6," ",""),"0",""),"-",""))+LEN(SUBSTITUTE(SUBSTITUTE(SUBSTITUTE(F6," ",""),"0",""),"-",""))&lt;LEN(SUBSTITUTE(SUBSTITUTE(SUBSTITUTE(B6," ",""),"0",""),"-",""))+LEN(SUBSTITUTE(SUBSTITUTE(SUBSTITUTE(C6," ",""),"0",""),"-","")))*1),0)</f>
      </c>
      <c r="D10" s="14" t="str">
        <f>IF(OR(COUNTA(B4,C4,E4,F4)&gt;0,OR(D4="X",D4="x")),IF(OR(D4="X",D4="x",AND(OR(COUNTA(B4,C4,E4,F4)&gt;0,OR(D4="X",D4="x")),(LEN(SUBSTITUTE(SUBSTITUTE(SUBSTITUTE(B4," ",""),"0",""),"-",""))+LEN(SUBSTITUTE(SUBSTITUTE(SUBSTITUTE(C4," ",""),"0",""),"-","")))=(LEN(SUBSTITUTE(SUBSTITUTE(SUBSTITUTE(E4," ",""),"0",""),"-",""))+LEN(SUBSTITUTE(SUBSTITUTE(SUBSTITUTE(F4," ",""),"0",""),"-",""))))),1,0),0)+IF(OR(COUNTA(B6,C6,E6,F6)&gt;0,OR(D6="X",D6="x")),IF(OR(D6="X",D6="x",AND(OR(COUNTA(B6,C6,E6,F6)&gt;0,OR(D6="X",D6="x")),(LEN(SUBSTITUTE(SUBSTITUTE(SUBSTITUTE(B6," ",""),"0",""),"-",""))+LEN(SUBSTITUTE(SUBSTITUTE(SUBSTITUTE(C6," ",""),"0",""),"-","")))=(LEN(SUBSTITUTE(SUBSTITUTE(SUBSTITUTE(E6," ",""),"0",""),"-",""))+LEN(SUBSTITUTE(SUBSTITUTE(SUBSTITUTE(F6," ",""),"0",""),"-",""))))),1,0),0)</f>
      </c>
      <c r="E10" s="14" t="str">
        <f>LEN(SUBSTITUTE(SUBSTITUTE(SUBSTITUTE(B4," ",""),"0",""),"-",""))+LEN(SUBSTITUTE(SUBSTITUTE(SUBSTITUTE(C4," ",""),"0",""),"-",""))+LEN(SUBSTITUTE(SUBSTITUTE(SUBSTITUTE(E6," ",""),"0",""),"-",""))+LEN(SUBSTITUTE(SUBSTITUTE(SUBSTITUTE(F6," ",""),"0",""),"-",""))</f>
      </c>
      <c r="F10" s="14" t="str">
        <f>LEN(SUBSTITUTE(SUBSTITUTE(SUBSTITUTE(E4," ",""),"0",""),"-",""))+LEN(SUBSTITUTE(SUBSTITUTE(SUBSTITUTE(F4," ",""),"0",""),"-",""))+LEN(SUBSTITUTE(SUBSTITUTE(SUBSTITUTE(B6," ",""),"0",""),"-",""))+LEN(SUBSTITUTE(SUBSTITUTE(SUBSTITUTE(C6," ",""),"0",""),"-",""))</f>
      </c>
      <c r="G10" s="18" t="str">
        <f>RANK(U10,$U$9:$U$11)+COUNTIF($U$8:U9,U10)</f>
      </c>
      <c r="I10" s="14" t="str">
        <f>data!$E$51&amp;" "&amp;data!$B$51</f>
      </c>
      <c r="J10" s="14" t="str">
        <f>IF(OR(COUNTA(J4,K4,M4,N4)&gt;0,OR(L4="X",L4="x")),IF(OR(L4="X",L4="x",AND(OR(COUNTA(J4,K4,M4,N4)&gt;0,OR(L4="X",L4="x")),(LEN(SUBSTITUTE(SUBSTITUTE(SUBSTITUTE(J4," ",""),"0",""),"-",""))+LEN(SUBSTITUTE(SUBSTITUTE(SUBSTITUTE(K4," ",""),"0",""),"-","")))=(LEN(SUBSTITUTE(SUBSTITUTE(SUBSTITUTE(M4," ",""),"0",""),"-",""))+LEN(SUBSTITUTE(SUBSTITUTE(SUBSTITUTE(N4," ",""),"0",""),"-",""))))),0,(LEN(SUBSTITUTE(SUBSTITUTE(SUBSTITUTE(J4," ",""),"0",""),"-",""))+LEN(SUBSTITUTE(SUBSTITUTE(SUBSTITUTE(K4," ",""),"0",""),"-",""))&gt;LEN(SUBSTITUTE(SUBSTITUTE(SUBSTITUTE(M4," ",""),"0",""),"-",""))+LEN(SUBSTITUTE(SUBSTITUTE(SUBSTITUTE(N4," ",""),"0",""),"-","")))*1),0)+IF(OR(COUNTA(J6,K6,M6,N6)&gt;0,OR(L6="X",L6="x")),IF(OR(L6="X",L6="x",AND(OR(COUNTA(J6,K6,M6,N6)&gt;0,OR(L6="X",L6="x")),(LEN(SUBSTITUTE(SUBSTITUTE(SUBSTITUTE(J6," ",""),"0",""),"-",""))+LEN(SUBSTITUTE(SUBSTITUTE(SUBSTITUTE(K6," ",""),"0",""),"-","")))=(LEN(SUBSTITUTE(SUBSTITUTE(SUBSTITUTE(M6," ",""),"0",""),"-",""))+LEN(SUBSTITUTE(SUBSTITUTE(SUBSTITUTE(N6," ",""),"0",""),"-",""))))),0,(LEN(SUBSTITUTE(SUBSTITUTE(SUBSTITUTE(M6," ",""),"0",""),"-",""))+LEN(SUBSTITUTE(SUBSTITUTE(SUBSTITUTE(N6," ",""),"0",""),"-",""))&gt;LEN(SUBSTITUTE(SUBSTITUTE(SUBSTITUTE(J6," ",""),"0",""),"-",""))+LEN(SUBSTITUTE(SUBSTITUTE(SUBSTITUTE(K6," ",""),"0",""),"-","")))*1),0)</f>
      </c>
      <c r="K10" s="14" t="str">
        <f>IF(OR(COUNTA(J4,K4,M4,N4)&gt;0,OR(L4="X",L4="x")),IF(OR(L4="X",L4="x",AND(OR(COUNTA(J4,K4,M4,N4)&gt;0,OR(L4="X",L4="x")),(LEN(SUBSTITUTE(SUBSTITUTE(SUBSTITUTE(J4," ",""),"0",""),"-",""))+LEN(SUBSTITUTE(SUBSTITUTE(SUBSTITUTE(K4," ",""),"0",""),"-","")))=(LEN(SUBSTITUTE(SUBSTITUTE(SUBSTITUTE(M4," ",""),"0",""),"-",""))+LEN(SUBSTITUTE(SUBSTITUTE(SUBSTITUTE(N4," ",""),"0",""),"-",""))))),0,(LEN(SUBSTITUTE(SUBSTITUTE(SUBSTITUTE(J4," ",""),"0",""),"-",""))+LEN(SUBSTITUTE(SUBSTITUTE(SUBSTITUTE(K4," ",""),"0",""),"-",""))&lt;LEN(SUBSTITUTE(SUBSTITUTE(SUBSTITUTE(M4," ",""),"0",""),"-",""))+LEN(SUBSTITUTE(SUBSTITUTE(SUBSTITUTE(N4," ",""),"0",""),"-","")))*1),0)+IF(OR(COUNTA(J6,K6,M6,N6)&gt;0,OR(L6="X",L6="x")),IF(OR(L6="X",L6="x",AND(OR(COUNTA(J6,K6,M6,N6)&gt;0,OR(L6="X",L6="x")),(LEN(SUBSTITUTE(SUBSTITUTE(SUBSTITUTE(J6," ",""),"0",""),"-",""))+LEN(SUBSTITUTE(SUBSTITUTE(SUBSTITUTE(K6," ",""),"0",""),"-","")))=(LEN(SUBSTITUTE(SUBSTITUTE(SUBSTITUTE(M6," ",""),"0",""),"-",""))+LEN(SUBSTITUTE(SUBSTITUTE(SUBSTITUTE(N6," ",""),"0",""),"-",""))))),0,(LEN(SUBSTITUTE(SUBSTITUTE(SUBSTITUTE(M6," ",""),"0",""),"-",""))+LEN(SUBSTITUTE(SUBSTITUTE(SUBSTITUTE(N6," ",""),"0",""),"-",""))&lt;LEN(SUBSTITUTE(SUBSTITUTE(SUBSTITUTE(J6," ",""),"0",""),"-",""))+LEN(SUBSTITUTE(SUBSTITUTE(SUBSTITUTE(K6," ",""),"0",""),"-","")))*1),0)</f>
      </c>
      <c r="L10" s="14" t="str">
        <f>IF(OR(COUNTA(J4,K4,M4,N4)&gt;0,OR(L4="X",L4="x")),IF(OR(L4="X",L4="x",AND(OR(COUNTA(J4,K4,M4,N4)&gt;0,OR(L4="X",L4="x")),(LEN(SUBSTITUTE(SUBSTITUTE(SUBSTITUTE(J4," ",""),"0",""),"-",""))+LEN(SUBSTITUTE(SUBSTITUTE(SUBSTITUTE(K4," ",""),"0",""),"-","")))=(LEN(SUBSTITUTE(SUBSTITUTE(SUBSTITUTE(M4," ",""),"0",""),"-",""))+LEN(SUBSTITUTE(SUBSTITUTE(SUBSTITUTE(N4," ",""),"0",""),"-",""))))),1,0),0)+IF(OR(COUNTA(J6,K6,M6,N6)&gt;0,OR(L6="X",L6="x")),IF(OR(L6="X",L6="x",AND(OR(COUNTA(J6,K6,M6,N6)&gt;0,OR(L6="X",L6="x")),(LEN(SUBSTITUTE(SUBSTITUTE(SUBSTITUTE(J6," ",""),"0",""),"-",""))+LEN(SUBSTITUTE(SUBSTITUTE(SUBSTITUTE(K6," ",""),"0",""),"-","")))=(LEN(SUBSTITUTE(SUBSTITUTE(SUBSTITUTE(M6," ",""),"0",""),"-",""))+LEN(SUBSTITUTE(SUBSTITUTE(SUBSTITUTE(N6," ",""),"0",""),"-",""))))),1,0),0)</f>
      </c>
      <c r="M10" s="14" t="str">
        <f>LEN(SUBSTITUTE(SUBSTITUTE(SUBSTITUTE(J4," ",""),"0",""),"-",""))+LEN(SUBSTITUTE(SUBSTITUTE(SUBSTITUTE(K4," ",""),"0",""),"-",""))+LEN(SUBSTITUTE(SUBSTITUTE(SUBSTITUTE(M6," ",""),"0",""),"-",""))+LEN(SUBSTITUTE(SUBSTITUTE(SUBSTITUTE(N6," ",""),"0",""),"-",""))</f>
      </c>
      <c r="N10" s="14" t="str">
        <f>LEN(SUBSTITUTE(SUBSTITUTE(SUBSTITUTE(M4," ",""),"0",""),"-",""))+LEN(SUBSTITUTE(SUBSTITUTE(SUBSTITUTE(N4," ",""),"0",""),"-",""))+LEN(SUBSTITUTE(SUBSTITUTE(SUBSTITUTE(J6," ",""),"0",""),"-",""))+LEN(SUBSTITUTE(SUBSTITUTE(SUBSTITUTE(K6," ",""),"0",""),"-",""))</f>
      </c>
      <c r="O10" s="18" t="str">
        <f>RANK(AC10,$AC$9:$AC$11)+COUNTIF($AC$8:AC9,AC10)</f>
      </c>
      <c r="U10" t="str">
        <f>(B10*1000000)-(C10*10000)+(D10*100)+(E10*1)-(F10*0.01)</f>
      </c>
      <c r="AC10" t="str">
        <f>(J10*1000000)-(K10*10000)+(L10*100)+(M10*1)-(N10*0.01)</f>
      </c>
    </row>
    <row r="11">
      <c r="A11" s="14" t="str">
        <f>data!$E$5&amp;" "&amp;data!$B$5</f>
      </c>
      <c r="B11" s="14" t="str">
        <f>IF(OR(COUNTA(B5,C5,E5,F5)&gt;0,OR(D5="X",D5="x")),IF(OR(D5="X",D5="x",AND(OR(COUNTA(B5,C5,E5,F5)&gt;0,OR(D5="X",D5="x")),(LEN(SUBSTITUTE(SUBSTITUTE(SUBSTITUTE(B5," ",""),"0",""),"-",""))+LEN(SUBSTITUTE(SUBSTITUTE(SUBSTITUTE(C5," ",""),"0",""),"-","")))=(LEN(SUBSTITUTE(SUBSTITUTE(SUBSTITUTE(E5," ",""),"0",""),"-",""))+LEN(SUBSTITUTE(SUBSTITUTE(SUBSTITUTE(F5," ",""),"0",""),"-",""))))),0,(LEN(SUBSTITUTE(SUBSTITUTE(SUBSTITUTE(B5," ",""),"0",""),"-",""))+LEN(SUBSTITUTE(SUBSTITUTE(SUBSTITUTE(C5," ",""),"0",""),"-",""))&gt;LEN(SUBSTITUTE(SUBSTITUTE(SUBSTITUTE(E5," ",""),"0",""),"-",""))+LEN(SUBSTITUTE(SUBSTITUTE(SUBSTITUTE(F5," ",""),"0",""),"-","")))*1),0)+IF(OR(COUNTA(B6,C6,E6,F6)&gt;0,OR(D6="X",D6="x")),IF(OR(D6="X",D6="x",AND(OR(COUNTA(B6,C6,E6,F6)&gt;0,OR(D6="X",D6="x")),(LEN(SUBSTITUTE(SUBSTITUTE(SUBSTITUTE(B6," ",""),"0",""),"-",""))+LEN(SUBSTITUTE(SUBSTITUTE(SUBSTITUTE(C6," ",""),"0",""),"-","")))=(LEN(SUBSTITUTE(SUBSTITUTE(SUBSTITUTE(E6," ",""),"0",""),"-",""))+LEN(SUBSTITUTE(SUBSTITUTE(SUBSTITUTE(F6," ",""),"0",""),"-",""))))),0,(LEN(SUBSTITUTE(SUBSTITUTE(SUBSTITUTE(B6," ",""),"0",""),"-",""))+LEN(SUBSTITUTE(SUBSTITUTE(SUBSTITUTE(C6," ",""),"0",""),"-",""))&gt;LEN(SUBSTITUTE(SUBSTITUTE(SUBSTITUTE(E6," ",""),"0",""),"-",""))+LEN(SUBSTITUTE(SUBSTITUTE(SUBSTITUTE(F6," ",""),"0",""),"-","")))*1),0)</f>
      </c>
      <c r="C11" s="14" t="str">
        <f>IF(OR(COUNTA(B5,C5,E5,F5)&gt;0,OR(D5="X",D5="x")),IF(OR(D5="X",D5="x",AND(OR(COUNTA(B5,C5,E5,F5)&gt;0,OR(D5="X",D5="x")),(LEN(SUBSTITUTE(SUBSTITUTE(SUBSTITUTE(B5," ",""),"0",""),"-",""))+LEN(SUBSTITUTE(SUBSTITUTE(SUBSTITUTE(C5," ",""),"0",""),"-","")))=(LEN(SUBSTITUTE(SUBSTITUTE(SUBSTITUTE(E5," ",""),"0",""),"-",""))+LEN(SUBSTITUTE(SUBSTITUTE(SUBSTITUTE(F5," ",""),"0",""),"-",""))))),0,(LEN(SUBSTITUTE(SUBSTITUTE(SUBSTITUTE(B5," ",""),"0",""),"-",""))+LEN(SUBSTITUTE(SUBSTITUTE(SUBSTITUTE(C5," ",""),"0",""),"-",""))&lt;LEN(SUBSTITUTE(SUBSTITUTE(SUBSTITUTE(E5," ",""),"0",""),"-",""))+LEN(SUBSTITUTE(SUBSTITUTE(SUBSTITUTE(F5," ",""),"0",""),"-","")))*1),0)+IF(OR(COUNTA(B6,C6,E6,F6)&gt;0,OR(D6="X",D6="x")),IF(OR(D6="X",D6="x",AND(OR(COUNTA(B6,C6,E6,F6)&gt;0,OR(D6="X",D6="x")),(LEN(SUBSTITUTE(SUBSTITUTE(SUBSTITUTE(B6," ",""),"0",""),"-",""))+LEN(SUBSTITUTE(SUBSTITUTE(SUBSTITUTE(C6," ",""),"0",""),"-","")))=(LEN(SUBSTITUTE(SUBSTITUTE(SUBSTITUTE(E6," ",""),"0",""),"-",""))+LEN(SUBSTITUTE(SUBSTITUTE(SUBSTITUTE(F6," ",""),"0",""),"-",""))))),0,(LEN(SUBSTITUTE(SUBSTITUTE(SUBSTITUTE(B6," ",""),"0",""),"-",""))+LEN(SUBSTITUTE(SUBSTITUTE(SUBSTITUTE(C6," ",""),"0",""),"-",""))&lt;LEN(SUBSTITUTE(SUBSTITUTE(SUBSTITUTE(E6," ",""),"0",""),"-",""))+LEN(SUBSTITUTE(SUBSTITUTE(SUBSTITUTE(F6," ",""),"0",""),"-","")))*1),0)</f>
      </c>
      <c r="D11" s="14" t="str">
        <f>IF(OR(COUNTA(B5,C5,E5,F5)&gt;0,OR(D5="X",D5="x")),IF(OR(D5="X",D5="x",AND(OR(COUNTA(B5,C5,E5,F5)&gt;0,OR(D5="X",D5="x")),(LEN(SUBSTITUTE(SUBSTITUTE(SUBSTITUTE(B5," ",""),"0",""),"-",""))+LEN(SUBSTITUTE(SUBSTITUTE(SUBSTITUTE(C5," ",""),"0",""),"-","")))=(LEN(SUBSTITUTE(SUBSTITUTE(SUBSTITUTE(E5," ",""),"0",""),"-",""))+LEN(SUBSTITUTE(SUBSTITUTE(SUBSTITUTE(F5," ",""),"0",""),"-",""))))),1,0),0)+IF(OR(COUNTA(B6,C6,E6,F6)&gt;0,OR(D6="X",D6="x")),IF(OR(D6="X",D6="x",AND(OR(COUNTA(B6,C6,E6,F6)&gt;0,OR(D6="X",D6="x")),(LEN(SUBSTITUTE(SUBSTITUTE(SUBSTITUTE(B6," ",""),"0",""),"-",""))+LEN(SUBSTITUTE(SUBSTITUTE(SUBSTITUTE(C6," ",""),"0",""),"-","")))=(LEN(SUBSTITUTE(SUBSTITUTE(SUBSTITUTE(E6," ",""),"0",""),"-",""))+LEN(SUBSTITUTE(SUBSTITUTE(SUBSTITUTE(F6," ",""),"0",""),"-",""))))),1,0),0)</f>
      </c>
      <c r="E11" s="14" t="str">
        <f>LEN(SUBSTITUTE(SUBSTITUTE(SUBSTITUTE(B5," ",""),"0",""),"-",""))+LEN(SUBSTITUTE(SUBSTITUTE(SUBSTITUTE(C5," ",""),"0",""),"-",""))+LEN(SUBSTITUTE(SUBSTITUTE(SUBSTITUTE(B6," ",""),"0",""),"-",""))+LEN(SUBSTITUTE(SUBSTITUTE(SUBSTITUTE(C6," ",""),"0",""),"-",""))</f>
      </c>
      <c r="F11" s="14" t="str">
        <f>LEN(SUBSTITUTE(SUBSTITUTE(SUBSTITUTE(E5," ",""),"0",""),"-",""))+LEN(SUBSTITUTE(SUBSTITUTE(SUBSTITUTE(F5," ",""),"0",""),"-",""))+LEN(SUBSTITUTE(SUBSTITUTE(SUBSTITUTE(E6," ",""),"0",""),"-",""))+LEN(SUBSTITUTE(SUBSTITUTE(SUBSTITUTE(F6," ",""),"0",""),"-",""))</f>
      </c>
      <c r="G11" s="18" t="str">
        <f>RANK(U11,$U$9:$U$11)+COUNTIF($U$8:U10,U11)</f>
      </c>
      <c r="I11" s="14" t="str">
        <f>data!$E$52&amp;" "&amp;data!$B$52</f>
      </c>
      <c r="J11" s="14" t="str">
        <f>IF(OR(COUNTA(J5,K5,M5,N5)&gt;0,OR(L5="X",L5="x")),IF(OR(L5="X",L5="x",AND(OR(COUNTA(J5,K5,M5,N5)&gt;0,OR(L5="X",L5="x")),(LEN(SUBSTITUTE(SUBSTITUTE(SUBSTITUTE(J5," ",""),"0",""),"-",""))+LEN(SUBSTITUTE(SUBSTITUTE(SUBSTITUTE(K5," ",""),"0",""),"-","")))=(LEN(SUBSTITUTE(SUBSTITUTE(SUBSTITUTE(M5," ",""),"0",""),"-",""))+LEN(SUBSTITUTE(SUBSTITUTE(SUBSTITUTE(N5," ",""),"0",""),"-",""))))),0,(LEN(SUBSTITUTE(SUBSTITUTE(SUBSTITUTE(J5," ",""),"0",""),"-",""))+LEN(SUBSTITUTE(SUBSTITUTE(SUBSTITUTE(K5," ",""),"0",""),"-",""))&gt;LEN(SUBSTITUTE(SUBSTITUTE(SUBSTITUTE(M5," ",""),"0",""),"-",""))+LEN(SUBSTITUTE(SUBSTITUTE(SUBSTITUTE(N5," ",""),"0",""),"-","")))*1),0)+IF(OR(COUNTA(J6,K6,M6,N6)&gt;0,OR(L6="X",L6="x")),IF(OR(L6="X",L6="x",AND(OR(COUNTA(J6,K6,M6,N6)&gt;0,OR(L6="X",L6="x")),(LEN(SUBSTITUTE(SUBSTITUTE(SUBSTITUTE(J6," ",""),"0",""),"-",""))+LEN(SUBSTITUTE(SUBSTITUTE(SUBSTITUTE(K6," ",""),"0",""),"-","")))=(LEN(SUBSTITUTE(SUBSTITUTE(SUBSTITUTE(M6," ",""),"0",""),"-",""))+LEN(SUBSTITUTE(SUBSTITUTE(SUBSTITUTE(N6," ",""),"0",""),"-",""))))),0,(LEN(SUBSTITUTE(SUBSTITUTE(SUBSTITUTE(J6," ",""),"0",""),"-",""))+LEN(SUBSTITUTE(SUBSTITUTE(SUBSTITUTE(K6," ",""),"0",""),"-",""))&gt;LEN(SUBSTITUTE(SUBSTITUTE(SUBSTITUTE(M6," ",""),"0",""),"-",""))+LEN(SUBSTITUTE(SUBSTITUTE(SUBSTITUTE(N6," ",""),"0",""),"-","")))*1),0)</f>
      </c>
      <c r="K11" s="14" t="str">
        <f>IF(OR(COUNTA(J5,K5,M5,N5)&gt;0,OR(L5="X",L5="x")),IF(OR(L5="X",L5="x",AND(OR(COUNTA(J5,K5,M5,N5)&gt;0,OR(L5="X",L5="x")),(LEN(SUBSTITUTE(SUBSTITUTE(SUBSTITUTE(J5," ",""),"0",""),"-",""))+LEN(SUBSTITUTE(SUBSTITUTE(SUBSTITUTE(K5," ",""),"0",""),"-","")))=(LEN(SUBSTITUTE(SUBSTITUTE(SUBSTITUTE(M5," ",""),"0",""),"-",""))+LEN(SUBSTITUTE(SUBSTITUTE(SUBSTITUTE(N5," ",""),"0",""),"-",""))))),0,(LEN(SUBSTITUTE(SUBSTITUTE(SUBSTITUTE(J5," ",""),"0",""),"-",""))+LEN(SUBSTITUTE(SUBSTITUTE(SUBSTITUTE(K5," ",""),"0",""),"-",""))&lt;LEN(SUBSTITUTE(SUBSTITUTE(SUBSTITUTE(M5," ",""),"0",""),"-",""))+LEN(SUBSTITUTE(SUBSTITUTE(SUBSTITUTE(N5," ",""),"0",""),"-","")))*1),0)+IF(OR(COUNTA(J6,K6,M6,N6)&gt;0,OR(L6="X",L6="x")),IF(OR(L6="X",L6="x",AND(OR(COUNTA(J6,K6,M6,N6)&gt;0,OR(L6="X",L6="x")),(LEN(SUBSTITUTE(SUBSTITUTE(SUBSTITUTE(J6," ",""),"0",""),"-",""))+LEN(SUBSTITUTE(SUBSTITUTE(SUBSTITUTE(K6," ",""),"0",""),"-","")))=(LEN(SUBSTITUTE(SUBSTITUTE(SUBSTITUTE(M6," ",""),"0",""),"-",""))+LEN(SUBSTITUTE(SUBSTITUTE(SUBSTITUTE(N6," ",""),"0",""),"-",""))))),0,(LEN(SUBSTITUTE(SUBSTITUTE(SUBSTITUTE(J6," ",""),"0",""),"-",""))+LEN(SUBSTITUTE(SUBSTITUTE(SUBSTITUTE(K6," ",""),"0",""),"-",""))&lt;LEN(SUBSTITUTE(SUBSTITUTE(SUBSTITUTE(M6," ",""),"0",""),"-",""))+LEN(SUBSTITUTE(SUBSTITUTE(SUBSTITUTE(N6," ",""),"0",""),"-","")))*1),0)</f>
      </c>
      <c r="L11" s="14" t="str">
        <f>IF(OR(COUNTA(J5,K5,M5,N5)&gt;0,OR(L5="X",L5="x")),IF(OR(L5="X",L5="x",AND(OR(COUNTA(J5,K5,M5,N5)&gt;0,OR(L5="X",L5="x")),(LEN(SUBSTITUTE(SUBSTITUTE(SUBSTITUTE(J5," ",""),"0",""),"-",""))+LEN(SUBSTITUTE(SUBSTITUTE(SUBSTITUTE(K5," ",""),"0",""),"-","")))=(LEN(SUBSTITUTE(SUBSTITUTE(SUBSTITUTE(M5," ",""),"0",""),"-",""))+LEN(SUBSTITUTE(SUBSTITUTE(SUBSTITUTE(N5," ",""),"0",""),"-",""))))),1,0),0)+IF(OR(COUNTA(J6,K6,M6,N6)&gt;0,OR(L6="X",L6="x")),IF(OR(L6="X",L6="x",AND(OR(COUNTA(J6,K6,M6,N6)&gt;0,OR(L6="X",L6="x")),(LEN(SUBSTITUTE(SUBSTITUTE(SUBSTITUTE(J6," ",""),"0",""),"-",""))+LEN(SUBSTITUTE(SUBSTITUTE(SUBSTITUTE(K6," ",""),"0",""),"-","")))=(LEN(SUBSTITUTE(SUBSTITUTE(SUBSTITUTE(M6," ",""),"0",""),"-",""))+LEN(SUBSTITUTE(SUBSTITUTE(SUBSTITUTE(N6," ",""),"0",""),"-",""))))),1,0),0)</f>
      </c>
      <c r="M11" s="14" t="str">
        <f>LEN(SUBSTITUTE(SUBSTITUTE(SUBSTITUTE(J5," ",""),"0",""),"-",""))+LEN(SUBSTITUTE(SUBSTITUTE(SUBSTITUTE(K5," ",""),"0",""),"-",""))+LEN(SUBSTITUTE(SUBSTITUTE(SUBSTITUTE(J6," ",""),"0",""),"-",""))+LEN(SUBSTITUTE(SUBSTITUTE(SUBSTITUTE(K6," ",""),"0",""),"-",""))</f>
      </c>
      <c r="N11" s="14" t="str">
        <f>LEN(SUBSTITUTE(SUBSTITUTE(SUBSTITUTE(M5," ",""),"0",""),"-",""))+LEN(SUBSTITUTE(SUBSTITUTE(SUBSTITUTE(N5," ",""),"0",""),"-",""))+LEN(SUBSTITUTE(SUBSTITUTE(SUBSTITUTE(M6," ",""),"0",""),"-",""))+LEN(SUBSTITUTE(SUBSTITUTE(SUBSTITUTE(N6," ",""),"0",""),"-",""))</f>
      </c>
      <c r="O11" s="18" t="str">
        <f>RANK(AC11,$AC$9:$AC$11)+COUNTIF($AC$8:AC10,AC11)</f>
      </c>
      <c r="U11" t="str">
        <f>(B11*1000000)-(C11*10000)+(D11*100)+(E11*1)-(F11*0.01)</f>
      </c>
      <c r="AC11" t="str">
        <f>(J11*1000000)-(K11*10000)+(L11*100)+(M11*1)-(N11*0.01)</f>
      </c>
    </row>
    <row r="14">
      <c r="F14" s="13"/>
      <c r="G14" s="13" t="s">
        <v>341</v>
      </c>
      <c r="N14" s="13"/>
      <c r="O14" s="13" t="s">
        <v>341</v>
      </c>
    </row>
    <row r="15">
      <c r="F15" t="s">
        <v>342</v>
      </c>
      <c r="G15" s="19" t="str">
        <f>IFERROR(INDEX($A$9:$A$11, MATCH(1, $G$9:$G$11, 0)), "-")</f>
      </c>
      <c r="N15" t="s">
        <v>342</v>
      </c>
      <c r="O15" s="19" t="str">
        <f>IFERROR(INDEX($I$9:$I$11, MATCH(1, $O$9:$O$11, 0)), "-")</f>
      </c>
    </row>
    <row r="16">
      <c r="F16" t="s">
        <v>343</v>
      </c>
      <c r="G16" s="19" t="str">
        <f>IFERROR(INDEX($A$9:$A$11, MATCH(2, $G$9:$G$11, 0)), "-")</f>
      </c>
      <c r="N16" t="s">
        <v>343</v>
      </c>
      <c r="O16" s="19" t="str">
        <f>IFERROR(INDEX($I$9:$I$11, MATCH(2, $O$9:$O$11, 0)), "-")</f>
      </c>
    </row>
    <row r="17">
      <c r="F17" t="s">
        <v>344</v>
      </c>
      <c r="G17" s="19" t="str">
        <f>IFERROR(INDEX($A$9:$A$11, MATCH(3, $G$9:$G$11, 0)), "-")</f>
      </c>
      <c r="N17" t="s">
        <v>344</v>
      </c>
      <c r="O17" s="19" t="str">
        <f>IFERROR(INDEX($I$9:$I$11, MATCH(3, $O$9:$O$11, 0)), "-")</f>
      </c>
    </row>
    <row r="19">
      <c r="A19" s="13" t="str">
        <f>'data'!$A$8</f>
      </c>
      <c r="B19" s="13"/>
      <c r="C19" s="13"/>
      <c r="D19" s="13"/>
      <c r="E19" s="13"/>
      <c r="F19" s="13"/>
      <c r="G19" s="13"/>
      <c r="I19" s="13" t="str">
        <f>'data'!$A$55</f>
      </c>
      <c r="J19" s="13"/>
      <c r="K19" s="13"/>
      <c r="L19" s="13"/>
      <c r="M19" s="13"/>
      <c r="N19" s="13"/>
      <c r="O19" s="13"/>
    </row>
    <row r="20">
      <c r="A20" s="17" t="s">
        <v>331</v>
      </c>
      <c r="D20" s="14" t="s">
        <v>332</v>
      </c>
      <c r="G20" s="16" t="s">
        <v>333</v>
      </c>
      <c r="I20" s="17" t="s">
        <v>331</v>
      </c>
      <c r="L20" s="14" t="s">
        <v>332</v>
      </c>
      <c r="O20" s="16" t="s">
        <v>333</v>
      </c>
    </row>
    <row r="21">
      <c r="A21" s="14" t="str">
        <f>data!$E$7&amp;" "&amp;data!$B$7</f>
      </c>
      <c r="B21" s="18"/>
      <c r="C21" s="18"/>
      <c r="D21" s="18"/>
      <c r="E21" s="18"/>
      <c r="F21" s="18"/>
      <c r="G21" s="14" t="str">
        <f>data!$E$6&amp;" "&amp;data!$B$6</f>
      </c>
      <c r="I21" s="14" t="str">
        <f>data!$E$54&amp;" "&amp;data!$B$54</f>
      </c>
      <c r="J21" s="18"/>
      <c r="K21" s="18"/>
      <c r="L21" s="18"/>
      <c r="M21" s="18"/>
      <c r="N21" s="18"/>
      <c r="O21" s="14" t="str">
        <f>data!$E$53&amp;" "&amp;data!$B$53</f>
      </c>
    </row>
    <row r="22">
      <c r="A22" s="14" t="str">
        <f>data!$E$8&amp;" "&amp;data!$B$8</f>
      </c>
      <c r="B22" s="18"/>
      <c r="C22" s="18"/>
      <c r="D22" s="18"/>
      <c r="E22" s="18"/>
      <c r="F22" s="18"/>
      <c r="G22" s="14" t="str">
        <f>data!$E$6&amp;" "&amp;data!$B$6</f>
      </c>
      <c r="I22" s="14" t="str">
        <f>data!$E$55&amp;" "&amp;data!$B$55</f>
      </c>
      <c r="J22" s="18"/>
      <c r="K22" s="18"/>
      <c r="L22" s="18"/>
      <c r="M22" s="18"/>
      <c r="N22" s="18"/>
      <c r="O22" s="14" t="str">
        <f>data!$E$53&amp;" "&amp;data!$B$53</f>
      </c>
    </row>
    <row r="23">
      <c r="A23" s="14" t="str">
        <f>data!$E$8&amp;" "&amp;data!$B$8</f>
      </c>
      <c r="B23" s="18"/>
      <c r="C23" s="18"/>
      <c r="D23" s="18"/>
      <c r="E23" s="18"/>
      <c r="F23" s="18"/>
      <c r="G23" s="14" t="str">
        <f>data!$E$7&amp;" "&amp;data!$B$7</f>
      </c>
      <c r="I23" s="14" t="str">
        <f>data!$E$55&amp;" "&amp;data!$B$55</f>
      </c>
      <c r="J23" s="18"/>
      <c r="K23" s="18"/>
      <c r="L23" s="18"/>
      <c r="M23" s="18"/>
      <c r="N23" s="18"/>
      <c r="O23" s="14" t="str">
        <f>data!$E$54&amp;" "&amp;data!$B$54</f>
      </c>
    </row>
    <row r="25">
      <c r="A25" s="13" t="s">
        <v>334</v>
      </c>
      <c r="B25" s="13" t="s">
        <v>335</v>
      </c>
      <c r="C25" s="13" t="s">
        <v>336</v>
      </c>
      <c r="D25" s="13" t="s">
        <v>337</v>
      </c>
      <c r="E25" s="13" t="s">
        <v>338</v>
      </c>
      <c r="F25" s="13" t="s">
        <v>339</v>
      </c>
      <c r="G25" s="13" t="s">
        <v>340</v>
      </c>
      <c r="I25" s="13" t="s">
        <v>334</v>
      </c>
      <c r="J25" s="13" t="s">
        <v>335</v>
      </c>
      <c r="K25" s="13" t="s">
        <v>336</v>
      </c>
      <c r="L25" s="13" t="s">
        <v>337</v>
      </c>
      <c r="M25" s="13" t="s">
        <v>338</v>
      </c>
      <c r="N25" s="13" t="s">
        <v>339</v>
      </c>
      <c r="O25" s="13" t="s">
        <v>340</v>
      </c>
    </row>
    <row r="26">
      <c r="A26" s="14" t="str">
        <f>data!$E$6&amp;" "&amp;data!$B$6</f>
      </c>
      <c r="B26" s="14" t="str">
        <f>IF(OR(COUNTA(B21,C21,E21,F21)&gt;0,OR(D21="X",D21="x")),IF(OR(D21="X",D21="x",AND(OR(COUNTA(B21,C21,E21,F21)&gt;0,OR(D21="X",D21="x")),(LEN(SUBSTITUTE(SUBSTITUTE(SUBSTITUTE(B21," ",""),"0",""),"-",""))+LEN(SUBSTITUTE(SUBSTITUTE(SUBSTITUTE(C21," ",""),"0",""),"-","")))=(LEN(SUBSTITUTE(SUBSTITUTE(SUBSTITUTE(E21," ",""),"0",""),"-",""))+LEN(SUBSTITUTE(SUBSTITUTE(SUBSTITUTE(F21," ",""),"0",""),"-",""))))),0,(LEN(SUBSTITUTE(SUBSTITUTE(SUBSTITUTE(E21," ",""),"0",""),"-",""))+LEN(SUBSTITUTE(SUBSTITUTE(SUBSTITUTE(F21," ",""),"0",""),"-",""))&gt;LEN(SUBSTITUTE(SUBSTITUTE(SUBSTITUTE(B21," ",""),"0",""),"-",""))+LEN(SUBSTITUTE(SUBSTITUTE(SUBSTITUTE(C21," ",""),"0",""),"-","")))*1),0)+IF(OR(COUNTA(B22,C22,E22,F22)&gt;0,OR(D22="X",D22="x")),IF(OR(D22="X",D22="x",AND(OR(COUNTA(B22,C22,E22,F22)&gt;0,OR(D22="X",D22="x")),(LEN(SUBSTITUTE(SUBSTITUTE(SUBSTITUTE(B22," ",""),"0",""),"-",""))+LEN(SUBSTITUTE(SUBSTITUTE(SUBSTITUTE(C22," ",""),"0",""),"-","")))=(LEN(SUBSTITUTE(SUBSTITUTE(SUBSTITUTE(E22," ",""),"0",""),"-",""))+LEN(SUBSTITUTE(SUBSTITUTE(SUBSTITUTE(F22," ",""),"0",""),"-",""))))),0,(LEN(SUBSTITUTE(SUBSTITUTE(SUBSTITUTE(E22," ",""),"0",""),"-",""))+LEN(SUBSTITUTE(SUBSTITUTE(SUBSTITUTE(F22," ",""),"0",""),"-",""))&gt;LEN(SUBSTITUTE(SUBSTITUTE(SUBSTITUTE(B22," ",""),"0",""),"-",""))+LEN(SUBSTITUTE(SUBSTITUTE(SUBSTITUTE(C22," ",""),"0",""),"-","")))*1),0)</f>
      </c>
      <c r="C26" s="14" t="str">
        <f>IF(OR(COUNTA(B21,C21,E21,F21)&gt;0,OR(D21="X",D21="x")),IF(OR(D21="X",D21="x",AND(OR(COUNTA(B21,C21,E21,F21)&gt;0,OR(D21="X",D21="x")),(LEN(SUBSTITUTE(SUBSTITUTE(SUBSTITUTE(B21," ",""),"0",""),"-",""))+LEN(SUBSTITUTE(SUBSTITUTE(SUBSTITUTE(C21," ",""),"0",""),"-","")))=(LEN(SUBSTITUTE(SUBSTITUTE(SUBSTITUTE(E21," ",""),"0",""),"-",""))+LEN(SUBSTITUTE(SUBSTITUTE(SUBSTITUTE(F21," ",""),"0",""),"-",""))))),0,(LEN(SUBSTITUTE(SUBSTITUTE(SUBSTITUTE(E21," ",""),"0",""),"-",""))+LEN(SUBSTITUTE(SUBSTITUTE(SUBSTITUTE(F21," ",""),"0",""),"-",""))&lt;LEN(SUBSTITUTE(SUBSTITUTE(SUBSTITUTE(B21," ",""),"0",""),"-",""))+LEN(SUBSTITUTE(SUBSTITUTE(SUBSTITUTE(C21," ",""),"0",""),"-","")))*1),0)+IF(OR(COUNTA(B22,C22,E22,F22)&gt;0,OR(D22="X",D22="x")),IF(OR(D22="X",D22="x",AND(OR(COUNTA(B22,C22,E22,F22)&gt;0,OR(D22="X",D22="x")),(LEN(SUBSTITUTE(SUBSTITUTE(SUBSTITUTE(B22," ",""),"0",""),"-",""))+LEN(SUBSTITUTE(SUBSTITUTE(SUBSTITUTE(C22," ",""),"0",""),"-","")))=(LEN(SUBSTITUTE(SUBSTITUTE(SUBSTITUTE(E22," ",""),"0",""),"-",""))+LEN(SUBSTITUTE(SUBSTITUTE(SUBSTITUTE(F22," ",""),"0",""),"-",""))))),0,(LEN(SUBSTITUTE(SUBSTITUTE(SUBSTITUTE(E22," ",""),"0",""),"-",""))+LEN(SUBSTITUTE(SUBSTITUTE(SUBSTITUTE(F22," ",""),"0",""),"-",""))&lt;LEN(SUBSTITUTE(SUBSTITUTE(SUBSTITUTE(B22," ",""),"0",""),"-",""))+LEN(SUBSTITUTE(SUBSTITUTE(SUBSTITUTE(C22," ",""),"0",""),"-","")))*1),0)</f>
      </c>
      <c r="D26" s="14" t="str">
        <f>IF(OR(COUNTA(B21,C21,E21,F21)&gt;0,OR(D21="X",D21="x")),IF(OR(D21="X",D21="x",AND(OR(COUNTA(B21,C21,E21,F21)&gt;0,OR(D21="X",D21="x")),(LEN(SUBSTITUTE(SUBSTITUTE(SUBSTITUTE(B21," ",""),"0",""),"-",""))+LEN(SUBSTITUTE(SUBSTITUTE(SUBSTITUTE(C21," ",""),"0",""),"-","")))=(LEN(SUBSTITUTE(SUBSTITUTE(SUBSTITUTE(E21," ",""),"0",""),"-",""))+LEN(SUBSTITUTE(SUBSTITUTE(SUBSTITUTE(F21," ",""),"0",""),"-",""))))),1,0),0)+IF(OR(COUNTA(B22,C22,E22,F22)&gt;0,OR(D22="X",D22="x")),IF(OR(D22="X",D22="x",AND(OR(COUNTA(B22,C22,E22,F22)&gt;0,OR(D22="X",D22="x")),(LEN(SUBSTITUTE(SUBSTITUTE(SUBSTITUTE(B22," ",""),"0",""),"-",""))+LEN(SUBSTITUTE(SUBSTITUTE(SUBSTITUTE(C22," ",""),"0",""),"-","")))=(LEN(SUBSTITUTE(SUBSTITUTE(SUBSTITUTE(E22," ",""),"0",""),"-",""))+LEN(SUBSTITUTE(SUBSTITUTE(SUBSTITUTE(F22," ",""),"0",""),"-",""))))),1,0),0)</f>
      </c>
      <c r="E26" s="14" t="str">
        <f>LEN(SUBSTITUTE(SUBSTITUTE(SUBSTITUTE(E21," ",""),"0",""),"-",""))+LEN(SUBSTITUTE(SUBSTITUTE(SUBSTITUTE(F21," ",""),"0",""),"-",""))+LEN(SUBSTITUTE(SUBSTITUTE(SUBSTITUTE(E22," ",""),"0",""),"-",""))+LEN(SUBSTITUTE(SUBSTITUTE(SUBSTITUTE(F22," ",""),"0",""),"-",""))</f>
      </c>
      <c r="F26" s="14" t="str">
        <f>LEN(SUBSTITUTE(SUBSTITUTE(SUBSTITUTE(B21," ",""),"0",""),"-",""))+LEN(SUBSTITUTE(SUBSTITUTE(SUBSTITUTE(C21," ",""),"0",""),"-",""))+LEN(SUBSTITUTE(SUBSTITUTE(SUBSTITUTE(B22," ",""),"0",""),"-",""))+LEN(SUBSTITUTE(SUBSTITUTE(SUBSTITUTE(C22," ",""),"0",""),"-",""))</f>
      </c>
      <c r="G26" s="18" t="str">
        <f>RANK(U26,$U$26:$U$28)+COUNTIF($U$25:U25,U26)</f>
      </c>
      <c r="I26" s="14" t="str">
        <f>data!$E$53&amp;" "&amp;data!$B$53</f>
      </c>
      <c r="J26" s="14" t="str">
        <f>IF(OR(COUNTA(J21,K21,M21,N21)&gt;0,OR(L21="X",L21="x")),IF(OR(L21="X",L21="x",AND(OR(COUNTA(J21,K21,M21,N21)&gt;0,OR(L21="X",L21="x")),(LEN(SUBSTITUTE(SUBSTITUTE(SUBSTITUTE(J21," ",""),"0",""),"-",""))+LEN(SUBSTITUTE(SUBSTITUTE(SUBSTITUTE(K21," ",""),"0",""),"-","")))=(LEN(SUBSTITUTE(SUBSTITUTE(SUBSTITUTE(M21," ",""),"0",""),"-",""))+LEN(SUBSTITUTE(SUBSTITUTE(SUBSTITUTE(N21," ",""),"0",""),"-",""))))),0,(LEN(SUBSTITUTE(SUBSTITUTE(SUBSTITUTE(M21," ",""),"0",""),"-",""))+LEN(SUBSTITUTE(SUBSTITUTE(SUBSTITUTE(N21," ",""),"0",""),"-",""))&gt;LEN(SUBSTITUTE(SUBSTITUTE(SUBSTITUTE(J21," ",""),"0",""),"-",""))+LEN(SUBSTITUTE(SUBSTITUTE(SUBSTITUTE(K21," ",""),"0",""),"-","")))*1),0)+IF(OR(COUNTA(J22,K22,M22,N22)&gt;0,OR(L22="X",L22="x")),IF(OR(L22="X",L22="x",AND(OR(COUNTA(J22,K22,M22,N22)&gt;0,OR(L22="X",L22="x")),(LEN(SUBSTITUTE(SUBSTITUTE(SUBSTITUTE(J22," ",""),"0",""),"-",""))+LEN(SUBSTITUTE(SUBSTITUTE(SUBSTITUTE(K22," ",""),"0",""),"-","")))=(LEN(SUBSTITUTE(SUBSTITUTE(SUBSTITUTE(M22," ",""),"0",""),"-",""))+LEN(SUBSTITUTE(SUBSTITUTE(SUBSTITUTE(N22," ",""),"0",""),"-",""))))),0,(LEN(SUBSTITUTE(SUBSTITUTE(SUBSTITUTE(M22," ",""),"0",""),"-",""))+LEN(SUBSTITUTE(SUBSTITUTE(SUBSTITUTE(N22," ",""),"0",""),"-",""))&gt;LEN(SUBSTITUTE(SUBSTITUTE(SUBSTITUTE(J22," ",""),"0",""),"-",""))+LEN(SUBSTITUTE(SUBSTITUTE(SUBSTITUTE(K22," ",""),"0",""),"-","")))*1),0)</f>
      </c>
      <c r="K26" s="14" t="str">
        <f>IF(OR(COUNTA(J21,K21,M21,N21)&gt;0,OR(L21="X",L21="x")),IF(OR(L21="X",L21="x",AND(OR(COUNTA(J21,K21,M21,N21)&gt;0,OR(L21="X",L21="x")),(LEN(SUBSTITUTE(SUBSTITUTE(SUBSTITUTE(J21," ",""),"0",""),"-",""))+LEN(SUBSTITUTE(SUBSTITUTE(SUBSTITUTE(K21," ",""),"0",""),"-","")))=(LEN(SUBSTITUTE(SUBSTITUTE(SUBSTITUTE(M21," ",""),"0",""),"-",""))+LEN(SUBSTITUTE(SUBSTITUTE(SUBSTITUTE(N21," ",""),"0",""),"-",""))))),0,(LEN(SUBSTITUTE(SUBSTITUTE(SUBSTITUTE(M21," ",""),"0",""),"-",""))+LEN(SUBSTITUTE(SUBSTITUTE(SUBSTITUTE(N21," ",""),"0",""),"-",""))&lt;LEN(SUBSTITUTE(SUBSTITUTE(SUBSTITUTE(J21," ",""),"0",""),"-",""))+LEN(SUBSTITUTE(SUBSTITUTE(SUBSTITUTE(K21," ",""),"0",""),"-","")))*1),0)+IF(OR(COUNTA(J22,K22,M22,N22)&gt;0,OR(L22="X",L22="x")),IF(OR(L22="X",L22="x",AND(OR(COUNTA(J22,K22,M22,N22)&gt;0,OR(L22="X",L22="x")),(LEN(SUBSTITUTE(SUBSTITUTE(SUBSTITUTE(J22," ",""),"0",""),"-",""))+LEN(SUBSTITUTE(SUBSTITUTE(SUBSTITUTE(K22," ",""),"0",""),"-","")))=(LEN(SUBSTITUTE(SUBSTITUTE(SUBSTITUTE(M22," ",""),"0",""),"-",""))+LEN(SUBSTITUTE(SUBSTITUTE(SUBSTITUTE(N22," ",""),"0",""),"-",""))))),0,(LEN(SUBSTITUTE(SUBSTITUTE(SUBSTITUTE(M22," ",""),"0",""),"-",""))+LEN(SUBSTITUTE(SUBSTITUTE(SUBSTITUTE(N22," ",""),"0",""),"-",""))&lt;LEN(SUBSTITUTE(SUBSTITUTE(SUBSTITUTE(J22," ",""),"0",""),"-",""))+LEN(SUBSTITUTE(SUBSTITUTE(SUBSTITUTE(K22," ",""),"0",""),"-","")))*1),0)</f>
      </c>
      <c r="L26" s="14" t="str">
        <f>IF(OR(COUNTA(J21,K21,M21,N21)&gt;0,OR(L21="X",L21="x")),IF(OR(L21="X",L21="x",AND(OR(COUNTA(J21,K21,M21,N21)&gt;0,OR(L21="X",L21="x")),(LEN(SUBSTITUTE(SUBSTITUTE(SUBSTITUTE(J21," ",""),"0",""),"-",""))+LEN(SUBSTITUTE(SUBSTITUTE(SUBSTITUTE(K21," ",""),"0",""),"-","")))=(LEN(SUBSTITUTE(SUBSTITUTE(SUBSTITUTE(M21," ",""),"0",""),"-",""))+LEN(SUBSTITUTE(SUBSTITUTE(SUBSTITUTE(N21," ",""),"0",""),"-",""))))),1,0),0)+IF(OR(COUNTA(J22,K22,M22,N22)&gt;0,OR(L22="X",L22="x")),IF(OR(L22="X",L22="x",AND(OR(COUNTA(J22,K22,M22,N22)&gt;0,OR(L22="X",L22="x")),(LEN(SUBSTITUTE(SUBSTITUTE(SUBSTITUTE(J22," ",""),"0",""),"-",""))+LEN(SUBSTITUTE(SUBSTITUTE(SUBSTITUTE(K22," ",""),"0",""),"-","")))=(LEN(SUBSTITUTE(SUBSTITUTE(SUBSTITUTE(M22," ",""),"0",""),"-",""))+LEN(SUBSTITUTE(SUBSTITUTE(SUBSTITUTE(N22," ",""),"0",""),"-",""))))),1,0),0)</f>
      </c>
      <c r="M26" s="14" t="str">
        <f>LEN(SUBSTITUTE(SUBSTITUTE(SUBSTITUTE(M21," ",""),"0",""),"-",""))+LEN(SUBSTITUTE(SUBSTITUTE(SUBSTITUTE(N21," ",""),"0",""),"-",""))+LEN(SUBSTITUTE(SUBSTITUTE(SUBSTITUTE(M22," ",""),"0",""),"-",""))+LEN(SUBSTITUTE(SUBSTITUTE(SUBSTITUTE(N22," ",""),"0",""),"-",""))</f>
      </c>
      <c r="N26" s="14" t="str">
        <f>LEN(SUBSTITUTE(SUBSTITUTE(SUBSTITUTE(J21," ",""),"0",""),"-",""))+LEN(SUBSTITUTE(SUBSTITUTE(SUBSTITUTE(K21," ",""),"0",""),"-",""))+LEN(SUBSTITUTE(SUBSTITUTE(SUBSTITUTE(J22," ",""),"0",""),"-",""))+LEN(SUBSTITUTE(SUBSTITUTE(SUBSTITUTE(K22," ",""),"0",""),"-",""))</f>
      </c>
      <c r="O26" s="18" t="str">
        <f>RANK(AC26,$AC$26:$AC$28)+COUNTIF($AC$25:AC25,AC26)</f>
      </c>
      <c r="U26" t="str">
        <f>(B26*1000000)-(C26*10000)+(D26*100)+(E26*1)-(F26*0.01)</f>
      </c>
      <c r="AC26" t="str">
        <f>(J26*1000000)-(K26*10000)+(L26*100)+(M26*1)-(N26*0.01)</f>
      </c>
    </row>
    <row r="27">
      <c r="A27" s="14" t="str">
        <f>data!$E$7&amp;" "&amp;data!$B$7</f>
      </c>
      <c r="B27" s="14" t="str">
        <f>IF(OR(COUNTA(B21,C21,E21,F21)&gt;0,OR(D21="X",D21="x")),IF(OR(D21="X",D21="x",AND(OR(COUNTA(B21,C21,E21,F21)&gt;0,OR(D21="X",D21="x")),(LEN(SUBSTITUTE(SUBSTITUTE(SUBSTITUTE(B21," ",""),"0",""),"-",""))+LEN(SUBSTITUTE(SUBSTITUTE(SUBSTITUTE(C21," ",""),"0",""),"-","")))=(LEN(SUBSTITUTE(SUBSTITUTE(SUBSTITUTE(E21," ",""),"0",""),"-",""))+LEN(SUBSTITUTE(SUBSTITUTE(SUBSTITUTE(F21," ",""),"0",""),"-",""))))),0,(LEN(SUBSTITUTE(SUBSTITUTE(SUBSTITUTE(B21," ",""),"0",""),"-",""))+LEN(SUBSTITUTE(SUBSTITUTE(SUBSTITUTE(C21," ",""),"0",""),"-",""))&gt;LEN(SUBSTITUTE(SUBSTITUTE(SUBSTITUTE(E21," ",""),"0",""),"-",""))+LEN(SUBSTITUTE(SUBSTITUTE(SUBSTITUTE(F21," ",""),"0",""),"-","")))*1),0)+IF(OR(COUNTA(B23,C23,E23,F23)&gt;0,OR(D23="X",D23="x")),IF(OR(D23="X",D23="x",AND(OR(COUNTA(B23,C23,E23,F23)&gt;0,OR(D23="X",D23="x")),(LEN(SUBSTITUTE(SUBSTITUTE(SUBSTITUTE(B23," ",""),"0",""),"-",""))+LEN(SUBSTITUTE(SUBSTITUTE(SUBSTITUTE(C23," ",""),"0",""),"-","")))=(LEN(SUBSTITUTE(SUBSTITUTE(SUBSTITUTE(E23," ",""),"0",""),"-",""))+LEN(SUBSTITUTE(SUBSTITUTE(SUBSTITUTE(F23," ",""),"0",""),"-",""))))),0,(LEN(SUBSTITUTE(SUBSTITUTE(SUBSTITUTE(E23," ",""),"0",""),"-",""))+LEN(SUBSTITUTE(SUBSTITUTE(SUBSTITUTE(F23," ",""),"0",""),"-",""))&gt;LEN(SUBSTITUTE(SUBSTITUTE(SUBSTITUTE(B23," ",""),"0",""),"-",""))+LEN(SUBSTITUTE(SUBSTITUTE(SUBSTITUTE(C23," ",""),"0",""),"-","")))*1),0)</f>
      </c>
      <c r="C27" s="14" t="str">
        <f>IF(OR(COUNTA(B21,C21,E21,F21)&gt;0,OR(D21="X",D21="x")),IF(OR(D21="X",D21="x",AND(OR(COUNTA(B21,C21,E21,F21)&gt;0,OR(D21="X",D21="x")),(LEN(SUBSTITUTE(SUBSTITUTE(SUBSTITUTE(B21," ",""),"0",""),"-",""))+LEN(SUBSTITUTE(SUBSTITUTE(SUBSTITUTE(C21," ",""),"0",""),"-","")))=(LEN(SUBSTITUTE(SUBSTITUTE(SUBSTITUTE(E21," ",""),"0",""),"-",""))+LEN(SUBSTITUTE(SUBSTITUTE(SUBSTITUTE(F21," ",""),"0",""),"-",""))))),0,(LEN(SUBSTITUTE(SUBSTITUTE(SUBSTITUTE(B21," ",""),"0",""),"-",""))+LEN(SUBSTITUTE(SUBSTITUTE(SUBSTITUTE(C21," ",""),"0",""),"-",""))&lt;LEN(SUBSTITUTE(SUBSTITUTE(SUBSTITUTE(E21," ",""),"0",""),"-",""))+LEN(SUBSTITUTE(SUBSTITUTE(SUBSTITUTE(F21," ",""),"0",""),"-","")))*1),0)+IF(OR(COUNTA(B23,C23,E23,F23)&gt;0,OR(D23="X",D23="x")),IF(OR(D23="X",D23="x",AND(OR(COUNTA(B23,C23,E23,F23)&gt;0,OR(D23="X",D23="x")),(LEN(SUBSTITUTE(SUBSTITUTE(SUBSTITUTE(B23," ",""),"0",""),"-",""))+LEN(SUBSTITUTE(SUBSTITUTE(SUBSTITUTE(C23," ",""),"0",""),"-","")))=(LEN(SUBSTITUTE(SUBSTITUTE(SUBSTITUTE(E23," ",""),"0",""),"-",""))+LEN(SUBSTITUTE(SUBSTITUTE(SUBSTITUTE(F23," ",""),"0",""),"-",""))))),0,(LEN(SUBSTITUTE(SUBSTITUTE(SUBSTITUTE(E23," ",""),"0",""),"-",""))+LEN(SUBSTITUTE(SUBSTITUTE(SUBSTITUTE(F23," ",""),"0",""),"-",""))&lt;LEN(SUBSTITUTE(SUBSTITUTE(SUBSTITUTE(B23," ",""),"0",""),"-",""))+LEN(SUBSTITUTE(SUBSTITUTE(SUBSTITUTE(C23," ",""),"0",""),"-","")))*1),0)</f>
      </c>
      <c r="D27" s="14" t="str">
        <f>IF(OR(COUNTA(B21,C21,E21,F21)&gt;0,OR(D21="X",D21="x")),IF(OR(D21="X",D21="x",AND(OR(COUNTA(B21,C21,E21,F21)&gt;0,OR(D21="X",D21="x")),(LEN(SUBSTITUTE(SUBSTITUTE(SUBSTITUTE(B21," ",""),"0",""),"-",""))+LEN(SUBSTITUTE(SUBSTITUTE(SUBSTITUTE(C21," ",""),"0",""),"-","")))=(LEN(SUBSTITUTE(SUBSTITUTE(SUBSTITUTE(E21," ",""),"0",""),"-",""))+LEN(SUBSTITUTE(SUBSTITUTE(SUBSTITUTE(F21," ",""),"0",""),"-",""))))),1,0),0)+IF(OR(COUNTA(B23,C23,E23,F23)&gt;0,OR(D23="X",D23="x")),IF(OR(D23="X",D23="x",AND(OR(COUNTA(B23,C23,E23,F23)&gt;0,OR(D23="X",D23="x")),(LEN(SUBSTITUTE(SUBSTITUTE(SUBSTITUTE(B23," ",""),"0",""),"-",""))+LEN(SUBSTITUTE(SUBSTITUTE(SUBSTITUTE(C23," ",""),"0",""),"-","")))=(LEN(SUBSTITUTE(SUBSTITUTE(SUBSTITUTE(E23," ",""),"0",""),"-",""))+LEN(SUBSTITUTE(SUBSTITUTE(SUBSTITUTE(F23," ",""),"0",""),"-",""))))),1,0),0)</f>
      </c>
      <c r="E27" s="14" t="str">
        <f>LEN(SUBSTITUTE(SUBSTITUTE(SUBSTITUTE(B21," ",""),"0",""),"-",""))+LEN(SUBSTITUTE(SUBSTITUTE(SUBSTITUTE(C21," ",""),"0",""),"-",""))+LEN(SUBSTITUTE(SUBSTITUTE(SUBSTITUTE(E23," ",""),"0",""),"-",""))+LEN(SUBSTITUTE(SUBSTITUTE(SUBSTITUTE(F23," ",""),"0",""),"-",""))</f>
      </c>
      <c r="F27" s="14" t="str">
        <f>LEN(SUBSTITUTE(SUBSTITUTE(SUBSTITUTE(E21," ",""),"0",""),"-",""))+LEN(SUBSTITUTE(SUBSTITUTE(SUBSTITUTE(F21," ",""),"0",""),"-",""))+LEN(SUBSTITUTE(SUBSTITUTE(SUBSTITUTE(B23," ",""),"0",""),"-",""))+LEN(SUBSTITUTE(SUBSTITUTE(SUBSTITUTE(C23," ",""),"0",""),"-",""))</f>
      </c>
      <c r="G27" s="18" t="str">
        <f>RANK(U27,$U$26:$U$28)+COUNTIF($U$25:U26,U27)</f>
      </c>
      <c r="I27" s="14" t="str">
        <f>data!$E$54&amp;" "&amp;data!$B$54</f>
      </c>
      <c r="J27" s="14" t="str">
        <f>IF(OR(COUNTA(J21,K21,M21,N21)&gt;0,OR(L21="X",L21="x")),IF(OR(L21="X",L21="x",AND(OR(COUNTA(J21,K21,M21,N21)&gt;0,OR(L21="X",L21="x")),(LEN(SUBSTITUTE(SUBSTITUTE(SUBSTITUTE(J21," ",""),"0",""),"-",""))+LEN(SUBSTITUTE(SUBSTITUTE(SUBSTITUTE(K21," ",""),"0",""),"-","")))=(LEN(SUBSTITUTE(SUBSTITUTE(SUBSTITUTE(M21," ",""),"0",""),"-",""))+LEN(SUBSTITUTE(SUBSTITUTE(SUBSTITUTE(N21," ",""),"0",""),"-",""))))),0,(LEN(SUBSTITUTE(SUBSTITUTE(SUBSTITUTE(J21," ",""),"0",""),"-",""))+LEN(SUBSTITUTE(SUBSTITUTE(SUBSTITUTE(K21," ",""),"0",""),"-",""))&gt;LEN(SUBSTITUTE(SUBSTITUTE(SUBSTITUTE(M21," ",""),"0",""),"-",""))+LEN(SUBSTITUTE(SUBSTITUTE(SUBSTITUTE(N21," ",""),"0",""),"-","")))*1),0)+IF(OR(COUNTA(J23,K23,M23,N23)&gt;0,OR(L23="X",L23="x")),IF(OR(L23="X",L23="x",AND(OR(COUNTA(J23,K23,M23,N23)&gt;0,OR(L23="X",L23="x")),(LEN(SUBSTITUTE(SUBSTITUTE(SUBSTITUTE(J23," ",""),"0",""),"-",""))+LEN(SUBSTITUTE(SUBSTITUTE(SUBSTITUTE(K23," ",""),"0",""),"-","")))=(LEN(SUBSTITUTE(SUBSTITUTE(SUBSTITUTE(M23," ",""),"0",""),"-",""))+LEN(SUBSTITUTE(SUBSTITUTE(SUBSTITUTE(N23," ",""),"0",""),"-",""))))),0,(LEN(SUBSTITUTE(SUBSTITUTE(SUBSTITUTE(M23," ",""),"0",""),"-",""))+LEN(SUBSTITUTE(SUBSTITUTE(SUBSTITUTE(N23," ",""),"0",""),"-",""))&gt;LEN(SUBSTITUTE(SUBSTITUTE(SUBSTITUTE(J23," ",""),"0",""),"-",""))+LEN(SUBSTITUTE(SUBSTITUTE(SUBSTITUTE(K23," ",""),"0",""),"-","")))*1),0)</f>
      </c>
      <c r="K27" s="14" t="str">
        <f>IF(OR(COUNTA(J21,K21,M21,N21)&gt;0,OR(L21="X",L21="x")),IF(OR(L21="X",L21="x",AND(OR(COUNTA(J21,K21,M21,N21)&gt;0,OR(L21="X",L21="x")),(LEN(SUBSTITUTE(SUBSTITUTE(SUBSTITUTE(J21," ",""),"0",""),"-",""))+LEN(SUBSTITUTE(SUBSTITUTE(SUBSTITUTE(K21," ",""),"0",""),"-","")))=(LEN(SUBSTITUTE(SUBSTITUTE(SUBSTITUTE(M21," ",""),"0",""),"-",""))+LEN(SUBSTITUTE(SUBSTITUTE(SUBSTITUTE(N21," ",""),"0",""),"-",""))))),0,(LEN(SUBSTITUTE(SUBSTITUTE(SUBSTITUTE(J21," ",""),"0",""),"-",""))+LEN(SUBSTITUTE(SUBSTITUTE(SUBSTITUTE(K21," ",""),"0",""),"-",""))&lt;LEN(SUBSTITUTE(SUBSTITUTE(SUBSTITUTE(M21," ",""),"0",""),"-",""))+LEN(SUBSTITUTE(SUBSTITUTE(SUBSTITUTE(N21," ",""),"0",""),"-","")))*1),0)+IF(OR(COUNTA(J23,K23,M23,N23)&gt;0,OR(L23="X",L23="x")),IF(OR(L23="X",L23="x",AND(OR(COUNTA(J23,K23,M23,N23)&gt;0,OR(L23="X",L23="x")),(LEN(SUBSTITUTE(SUBSTITUTE(SUBSTITUTE(J23," ",""),"0",""),"-",""))+LEN(SUBSTITUTE(SUBSTITUTE(SUBSTITUTE(K23," ",""),"0",""),"-","")))=(LEN(SUBSTITUTE(SUBSTITUTE(SUBSTITUTE(M23," ",""),"0",""),"-",""))+LEN(SUBSTITUTE(SUBSTITUTE(SUBSTITUTE(N23," ",""),"0",""),"-",""))))),0,(LEN(SUBSTITUTE(SUBSTITUTE(SUBSTITUTE(M23," ",""),"0",""),"-",""))+LEN(SUBSTITUTE(SUBSTITUTE(SUBSTITUTE(N23," ",""),"0",""),"-",""))&lt;LEN(SUBSTITUTE(SUBSTITUTE(SUBSTITUTE(J23," ",""),"0",""),"-",""))+LEN(SUBSTITUTE(SUBSTITUTE(SUBSTITUTE(K23," ",""),"0",""),"-","")))*1),0)</f>
      </c>
      <c r="L27" s="14" t="str">
        <f>IF(OR(COUNTA(J21,K21,M21,N21)&gt;0,OR(L21="X",L21="x")),IF(OR(L21="X",L21="x",AND(OR(COUNTA(J21,K21,M21,N21)&gt;0,OR(L21="X",L21="x")),(LEN(SUBSTITUTE(SUBSTITUTE(SUBSTITUTE(J21," ",""),"0",""),"-",""))+LEN(SUBSTITUTE(SUBSTITUTE(SUBSTITUTE(K21," ",""),"0",""),"-","")))=(LEN(SUBSTITUTE(SUBSTITUTE(SUBSTITUTE(M21," ",""),"0",""),"-",""))+LEN(SUBSTITUTE(SUBSTITUTE(SUBSTITUTE(N21," ",""),"0",""),"-",""))))),1,0),0)+IF(OR(COUNTA(J23,K23,M23,N23)&gt;0,OR(L23="X",L23="x")),IF(OR(L23="X",L23="x",AND(OR(COUNTA(J23,K23,M23,N23)&gt;0,OR(L23="X",L23="x")),(LEN(SUBSTITUTE(SUBSTITUTE(SUBSTITUTE(J23," ",""),"0",""),"-",""))+LEN(SUBSTITUTE(SUBSTITUTE(SUBSTITUTE(K23," ",""),"0",""),"-","")))=(LEN(SUBSTITUTE(SUBSTITUTE(SUBSTITUTE(M23," ",""),"0",""),"-",""))+LEN(SUBSTITUTE(SUBSTITUTE(SUBSTITUTE(N23," ",""),"0",""),"-",""))))),1,0),0)</f>
      </c>
      <c r="M27" s="14" t="str">
        <f>LEN(SUBSTITUTE(SUBSTITUTE(SUBSTITUTE(J21," ",""),"0",""),"-",""))+LEN(SUBSTITUTE(SUBSTITUTE(SUBSTITUTE(K21," ",""),"0",""),"-",""))+LEN(SUBSTITUTE(SUBSTITUTE(SUBSTITUTE(M23," ",""),"0",""),"-",""))+LEN(SUBSTITUTE(SUBSTITUTE(SUBSTITUTE(N23," ",""),"0",""),"-",""))</f>
      </c>
      <c r="N27" s="14" t="str">
        <f>LEN(SUBSTITUTE(SUBSTITUTE(SUBSTITUTE(M21," ",""),"0",""),"-",""))+LEN(SUBSTITUTE(SUBSTITUTE(SUBSTITUTE(N21," ",""),"0",""),"-",""))+LEN(SUBSTITUTE(SUBSTITUTE(SUBSTITUTE(J23," ",""),"0",""),"-",""))+LEN(SUBSTITUTE(SUBSTITUTE(SUBSTITUTE(K23," ",""),"0",""),"-",""))</f>
      </c>
      <c r="O27" s="18" t="str">
        <f>RANK(AC27,$AC$26:$AC$28)+COUNTIF($AC$25:AC26,AC27)</f>
      </c>
      <c r="U27" t="str">
        <f>(B27*1000000)-(C27*10000)+(D27*100)+(E27*1)-(F27*0.01)</f>
      </c>
      <c r="AC27" t="str">
        <f>(J27*1000000)-(K27*10000)+(L27*100)+(M27*1)-(N27*0.01)</f>
      </c>
    </row>
    <row r="28">
      <c r="A28" s="14" t="str">
        <f>data!$E$8&amp;" "&amp;data!$B$8</f>
      </c>
      <c r="B28" s="14" t="str">
        <f>IF(OR(COUNTA(B22,C22,E22,F22)&gt;0,OR(D22="X",D22="x")),IF(OR(D22="X",D22="x",AND(OR(COUNTA(B22,C22,E22,F22)&gt;0,OR(D22="X",D22="x")),(LEN(SUBSTITUTE(SUBSTITUTE(SUBSTITUTE(B22," ",""),"0",""),"-",""))+LEN(SUBSTITUTE(SUBSTITUTE(SUBSTITUTE(C22," ",""),"0",""),"-","")))=(LEN(SUBSTITUTE(SUBSTITUTE(SUBSTITUTE(E22," ",""),"0",""),"-",""))+LEN(SUBSTITUTE(SUBSTITUTE(SUBSTITUTE(F22," ",""),"0",""),"-",""))))),0,(LEN(SUBSTITUTE(SUBSTITUTE(SUBSTITUTE(B22," ",""),"0",""),"-",""))+LEN(SUBSTITUTE(SUBSTITUTE(SUBSTITUTE(C22," ",""),"0",""),"-",""))&gt;LEN(SUBSTITUTE(SUBSTITUTE(SUBSTITUTE(E22," ",""),"0",""),"-",""))+LEN(SUBSTITUTE(SUBSTITUTE(SUBSTITUTE(F22," ",""),"0",""),"-","")))*1),0)+IF(OR(COUNTA(B23,C23,E23,F23)&gt;0,OR(D23="X",D23="x")),IF(OR(D23="X",D23="x",AND(OR(COUNTA(B23,C23,E23,F23)&gt;0,OR(D23="X",D23="x")),(LEN(SUBSTITUTE(SUBSTITUTE(SUBSTITUTE(B23," ",""),"0",""),"-",""))+LEN(SUBSTITUTE(SUBSTITUTE(SUBSTITUTE(C23," ",""),"0",""),"-","")))=(LEN(SUBSTITUTE(SUBSTITUTE(SUBSTITUTE(E23," ",""),"0",""),"-",""))+LEN(SUBSTITUTE(SUBSTITUTE(SUBSTITUTE(F23," ",""),"0",""),"-",""))))),0,(LEN(SUBSTITUTE(SUBSTITUTE(SUBSTITUTE(B23," ",""),"0",""),"-",""))+LEN(SUBSTITUTE(SUBSTITUTE(SUBSTITUTE(C23," ",""),"0",""),"-",""))&gt;LEN(SUBSTITUTE(SUBSTITUTE(SUBSTITUTE(E23," ",""),"0",""),"-",""))+LEN(SUBSTITUTE(SUBSTITUTE(SUBSTITUTE(F23," ",""),"0",""),"-","")))*1),0)</f>
      </c>
      <c r="C28" s="14" t="str">
        <f>IF(OR(COUNTA(B22,C22,E22,F22)&gt;0,OR(D22="X",D22="x")),IF(OR(D22="X",D22="x",AND(OR(COUNTA(B22,C22,E22,F22)&gt;0,OR(D22="X",D22="x")),(LEN(SUBSTITUTE(SUBSTITUTE(SUBSTITUTE(B22," ",""),"0",""),"-",""))+LEN(SUBSTITUTE(SUBSTITUTE(SUBSTITUTE(C22," ",""),"0",""),"-","")))=(LEN(SUBSTITUTE(SUBSTITUTE(SUBSTITUTE(E22," ",""),"0",""),"-",""))+LEN(SUBSTITUTE(SUBSTITUTE(SUBSTITUTE(F22," ",""),"0",""),"-",""))))),0,(LEN(SUBSTITUTE(SUBSTITUTE(SUBSTITUTE(B22," ",""),"0",""),"-",""))+LEN(SUBSTITUTE(SUBSTITUTE(SUBSTITUTE(C22," ",""),"0",""),"-",""))&lt;LEN(SUBSTITUTE(SUBSTITUTE(SUBSTITUTE(E22," ",""),"0",""),"-",""))+LEN(SUBSTITUTE(SUBSTITUTE(SUBSTITUTE(F22," ",""),"0",""),"-","")))*1),0)+IF(OR(COUNTA(B23,C23,E23,F23)&gt;0,OR(D23="X",D23="x")),IF(OR(D23="X",D23="x",AND(OR(COUNTA(B23,C23,E23,F23)&gt;0,OR(D23="X",D23="x")),(LEN(SUBSTITUTE(SUBSTITUTE(SUBSTITUTE(B23," ",""),"0",""),"-",""))+LEN(SUBSTITUTE(SUBSTITUTE(SUBSTITUTE(C23," ",""),"0",""),"-","")))=(LEN(SUBSTITUTE(SUBSTITUTE(SUBSTITUTE(E23," ",""),"0",""),"-",""))+LEN(SUBSTITUTE(SUBSTITUTE(SUBSTITUTE(F23," ",""),"0",""),"-",""))))),0,(LEN(SUBSTITUTE(SUBSTITUTE(SUBSTITUTE(B23," ",""),"0",""),"-",""))+LEN(SUBSTITUTE(SUBSTITUTE(SUBSTITUTE(C23," ",""),"0",""),"-",""))&lt;LEN(SUBSTITUTE(SUBSTITUTE(SUBSTITUTE(E23," ",""),"0",""),"-",""))+LEN(SUBSTITUTE(SUBSTITUTE(SUBSTITUTE(F23," ",""),"0",""),"-","")))*1),0)</f>
      </c>
      <c r="D28" s="14" t="str">
        <f>IF(OR(COUNTA(B22,C22,E22,F22)&gt;0,OR(D22="X",D22="x")),IF(OR(D22="X",D22="x",AND(OR(COUNTA(B22,C22,E22,F22)&gt;0,OR(D22="X",D22="x")),(LEN(SUBSTITUTE(SUBSTITUTE(SUBSTITUTE(B22," ",""),"0",""),"-",""))+LEN(SUBSTITUTE(SUBSTITUTE(SUBSTITUTE(C22," ",""),"0",""),"-","")))=(LEN(SUBSTITUTE(SUBSTITUTE(SUBSTITUTE(E22," ",""),"0",""),"-",""))+LEN(SUBSTITUTE(SUBSTITUTE(SUBSTITUTE(F22," ",""),"0",""),"-",""))))),1,0),0)+IF(OR(COUNTA(B23,C23,E23,F23)&gt;0,OR(D23="X",D23="x")),IF(OR(D23="X",D23="x",AND(OR(COUNTA(B23,C23,E23,F23)&gt;0,OR(D23="X",D23="x")),(LEN(SUBSTITUTE(SUBSTITUTE(SUBSTITUTE(B23," ",""),"0",""),"-",""))+LEN(SUBSTITUTE(SUBSTITUTE(SUBSTITUTE(C23," ",""),"0",""),"-","")))=(LEN(SUBSTITUTE(SUBSTITUTE(SUBSTITUTE(E23," ",""),"0",""),"-",""))+LEN(SUBSTITUTE(SUBSTITUTE(SUBSTITUTE(F23," ",""),"0",""),"-",""))))),1,0),0)</f>
      </c>
      <c r="E28" s="14" t="str">
        <f>LEN(SUBSTITUTE(SUBSTITUTE(SUBSTITUTE(B22," ",""),"0",""),"-",""))+LEN(SUBSTITUTE(SUBSTITUTE(SUBSTITUTE(C22," ",""),"0",""),"-",""))+LEN(SUBSTITUTE(SUBSTITUTE(SUBSTITUTE(B23," ",""),"0",""),"-",""))+LEN(SUBSTITUTE(SUBSTITUTE(SUBSTITUTE(C23," ",""),"0",""),"-",""))</f>
      </c>
      <c r="F28" s="14" t="str">
        <f>LEN(SUBSTITUTE(SUBSTITUTE(SUBSTITUTE(E22," ",""),"0",""),"-",""))+LEN(SUBSTITUTE(SUBSTITUTE(SUBSTITUTE(F22," ",""),"0",""),"-",""))+LEN(SUBSTITUTE(SUBSTITUTE(SUBSTITUTE(E23," ",""),"0",""),"-",""))+LEN(SUBSTITUTE(SUBSTITUTE(SUBSTITUTE(F23," ",""),"0",""),"-",""))</f>
      </c>
      <c r="G28" s="18" t="str">
        <f>RANK(U28,$U$26:$U$28)+COUNTIF($U$25:U27,U28)</f>
      </c>
      <c r="I28" s="14" t="str">
        <f>data!$E$55&amp;" "&amp;data!$B$55</f>
      </c>
      <c r="J28" s="14" t="str">
        <f>IF(OR(COUNTA(J22,K22,M22,N22)&gt;0,OR(L22="X",L22="x")),IF(OR(L22="X",L22="x",AND(OR(COUNTA(J22,K22,M22,N22)&gt;0,OR(L22="X",L22="x")),(LEN(SUBSTITUTE(SUBSTITUTE(SUBSTITUTE(J22," ",""),"0",""),"-",""))+LEN(SUBSTITUTE(SUBSTITUTE(SUBSTITUTE(K22," ",""),"0",""),"-","")))=(LEN(SUBSTITUTE(SUBSTITUTE(SUBSTITUTE(M22," ",""),"0",""),"-",""))+LEN(SUBSTITUTE(SUBSTITUTE(SUBSTITUTE(N22," ",""),"0",""),"-",""))))),0,(LEN(SUBSTITUTE(SUBSTITUTE(SUBSTITUTE(J22," ",""),"0",""),"-",""))+LEN(SUBSTITUTE(SUBSTITUTE(SUBSTITUTE(K22," ",""),"0",""),"-",""))&gt;LEN(SUBSTITUTE(SUBSTITUTE(SUBSTITUTE(M22," ",""),"0",""),"-",""))+LEN(SUBSTITUTE(SUBSTITUTE(SUBSTITUTE(N22," ",""),"0",""),"-","")))*1),0)+IF(OR(COUNTA(J23,K23,M23,N23)&gt;0,OR(L23="X",L23="x")),IF(OR(L23="X",L23="x",AND(OR(COUNTA(J23,K23,M23,N23)&gt;0,OR(L23="X",L23="x")),(LEN(SUBSTITUTE(SUBSTITUTE(SUBSTITUTE(J23," ",""),"0",""),"-",""))+LEN(SUBSTITUTE(SUBSTITUTE(SUBSTITUTE(K23," ",""),"0",""),"-","")))=(LEN(SUBSTITUTE(SUBSTITUTE(SUBSTITUTE(M23," ",""),"0",""),"-",""))+LEN(SUBSTITUTE(SUBSTITUTE(SUBSTITUTE(N23," ",""),"0",""),"-",""))))),0,(LEN(SUBSTITUTE(SUBSTITUTE(SUBSTITUTE(J23," ",""),"0",""),"-",""))+LEN(SUBSTITUTE(SUBSTITUTE(SUBSTITUTE(K23," ",""),"0",""),"-",""))&gt;LEN(SUBSTITUTE(SUBSTITUTE(SUBSTITUTE(M23," ",""),"0",""),"-",""))+LEN(SUBSTITUTE(SUBSTITUTE(SUBSTITUTE(N23," ",""),"0",""),"-","")))*1),0)</f>
      </c>
      <c r="K28" s="14" t="str">
        <f>IF(OR(COUNTA(J22,K22,M22,N22)&gt;0,OR(L22="X",L22="x")),IF(OR(L22="X",L22="x",AND(OR(COUNTA(J22,K22,M22,N22)&gt;0,OR(L22="X",L22="x")),(LEN(SUBSTITUTE(SUBSTITUTE(SUBSTITUTE(J22," ",""),"0",""),"-",""))+LEN(SUBSTITUTE(SUBSTITUTE(SUBSTITUTE(K22," ",""),"0",""),"-","")))=(LEN(SUBSTITUTE(SUBSTITUTE(SUBSTITUTE(M22," ",""),"0",""),"-",""))+LEN(SUBSTITUTE(SUBSTITUTE(SUBSTITUTE(N22," ",""),"0",""),"-",""))))),0,(LEN(SUBSTITUTE(SUBSTITUTE(SUBSTITUTE(J22," ",""),"0",""),"-",""))+LEN(SUBSTITUTE(SUBSTITUTE(SUBSTITUTE(K22," ",""),"0",""),"-",""))&lt;LEN(SUBSTITUTE(SUBSTITUTE(SUBSTITUTE(M22," ",""),"0",""),"-",""))+LEN(SUBSTITUTE(SUBSTITUTE(SUBSTITUTE(N22," ",""),"0",""),"-","")))*1),0)+IF(OR(COUNTA(J23,K23,M23,N23)&gt;0,OR(L23="X",L23="x")),IF(OR(L23="X",L23="x",AND(OR(COUNTA(J23,K23,M23,N23)&gt;0,OR(L23="X",L23="x")),(LEN(SUBSTITUTE(SUBSTITUTE(SUBSTITUTE(J23," ",""),"0",""),"-",""))+LEN(SUBSTITUTE(SUBSTITUTE(SUBSTITUTE(K23," ",""),"0",""),"-","")))=(LEN(SUBSTITUTE(SUBSTITUTE(SUBSTITUTE(M23," ",""),"0",""),"-",""))+LEN(SUBSTITUTE(SUBSTITUTE(SUBSTITUTE(N23," ",""),"0",""),"-",""))))),0,(LEN(SUBSTITUTE(SUBSTITUTE(SUBSTITUTE(J23," ",""),"0",""),"-",""))+LEN(SUBSTITUTE(SUBSTITUTE(SUBSTITUTE(K23," ",""),"0",""),"-",""))&lt;LEN(SUBSTITUTE(SUBSTITUTE(SUBSTITUTE(M23," ",""),"0",""),"-",""))+LEN(SUBSTITUTE(SUBSTITUTE(SUBSTITUTE(N23," ",""),"0",""),"-","")))*1),0)</f>
      </c>
      <c r="L28" s="14" t="str">
        <f>IF(OR(COUNTA(J22,K22,M22,N22)&gt;0,OR(L22="X",L22="x")),IF(OR(L22="X",L22="x",AND(OR(COUNTA(J22,K22,M22,N22)&gt;0,OR(L22="X",L22="x")),(LEN(SUBSTITUTE(SUBSTITUTE(SUBSTITUTE(J22," ",""),"0",""),"-",""))+LEN(SUBSTITUTE(SUBSTITUTE(SUBSTITUTE(K22," ",""),"0",""),"-","")))=(LEN(SUBSTITUTE(SUBSTITUTE(SUBSTITUTE(M22," ",""),"0",""),"-",""))+LEN(SUBSTITUTE(SUBSTITUTE(SUBSTITUTE(N22," ",""),"0",""),"-",""))))),1,0),0)+IF(OR(COUNTA(J23,K23,M23,N23)&gt;0,OR(L23="X",L23="x")),IF(OR(L23="X",L23="x",AND(OR(COUNTA(J23,K23,M23,N23)&gt;0,OR(L23="X",L23="x")),(LEN(SUBSTITUTE(SUBSTITUTE(SUBSTITUTE(J23," ",""),"0",""),"-",""))+LEN(SUBSTITUTE(SUBSTITUTE(SUBSTITUTE(K23," ",""),"0",""),"-","")))=(LEN(SUBSTITUTE(SUBSTITUTE(SUBSTITUTE(M23," ",""),"0",""),"-",""))+LEN(SUBSTITUTE(SUBSTITUTE(SUBSTITUTE(N23," ",""),"0",""),"-",""))))),1,0),0)</f>
      </c>
      <c r="M28" s="14" t="str">
        <f>LEN(SUBSTITUTE(SUBSTITUTE(SUBSTITUTE(J22," ",""),"0",""),"-",""))+LEN(SUBSTITUTE(SUBSTITUTE(SUBSTITUTE(K22," ",""),"0",""),"-",""))+LEN(SUBSTITUTE(SUBSTITUTE(SUBSTITUTE(J23," ",""),"0",""),"-",""))+LEN(SUBSTITUTE(SUBSTITUTE(SUBSTITUTE(K23," ",""),"0",""),"-",""))</f>
      </c>
      <c r="N28" s="14" t="str">
        <f>LEN(SUBSTITUTE(SUBSTITUTE(SUBSTITUTE(M22," ",""),"0",""),"-",""))+LEN(SUBSTITUTE(SUBSTITUTE(SUBSTITUTE(N22," ",""),"0",""),"-",""))+LEN(SUBSTITUTE(SUBSTITUTE(SUBSTITUTE(M23," ",""),"0",""),"-",""))+LEN(SUBSTITUTE(SUBSTITUTE(SUBSTITUTE(N23," ",""),"0",""),"-",""))</f>
      </c>
      <c r="O28" s="18" t="str">
        <f>RANK(AC28,$AC$26:$AC$28)+COUNTIF($AC$25:AC27,AC28)</f>
      </c>
      <c r="U28" t="str">
        <f>(B28*1000000)-(C28*10000)+(D28*100)+(E28*1)-(F28*0.01)</f>
      </c>
      <c r="AC28" t="str">
        <f>(J28*1000000)-(K28*10000)+(L28*100)+(M28*1)-(N28*0.01)</f>
      </c>
    </row>
    <row r="31">
      <c r="F31" s="13"/>
      <c r="G31" s="13" t="s">
        <v>341</v>
      </c>
      <c r="N31" s="13"/>
      <c r="O31" s="13" t="s">
        <v>341</v>
      </c>
    </row>
    <row r="32">
      <c r="F32" t="s">
        <v>342</v>
      </c>
      <c r="G32" s="19" t="str">
        <f>IFERROR(INDEX($A$26:$A$28, MATCH(1, $G$26:$G$28, 0)), "-")</f>
      </c>
      <c r="N32" t="s">
        <v>342</v>
      </c>
      <c r="O32" s="19" t="str">
        <f>IFERROR(INDEX($I$26:$I$28, MATCH(1, $O$26:$O$28, 0)), "-")</f>
      </c>
    </row>
    <row r="33">
      <c r="F33" t="s">
        <v>343</v>
      </c>
      <c r="G33" s="19" t="str">
        <f>IFERROR(INDEX($A$26:$A$28, MATCH(2, $G$26:$G$28, 0)), "-")</f>
      </c>
      <c r="N33" t="s">
        <v>343</v>
      </c>
      <c r="O33" s="19" t="str">
        <f>IFERROR(INDEX($I$26:$I$28, MATCH(2, $O$26:$O$28, 0)), "-")</f>
      </c>
    </row>
    <row r="34">
      <c r="F34" t="s">
        <v>344</v>
      </c>
      <c r="G34" s="19" t="str">
        <f>IFERROR(INDEX($A$26:$A$28, MATCH(3, $G$26:$G$28, 0)), "-")</f>
      </c>
      <c r="N34" t="s">
        <v>344</v>
      </c>
      <c r="O34" s="19" t="str">
        <f>IFERROR(INDEX($I$26:$I$28, MATCH(3, $O$26:$O$28, 0)), "-")</f>
      </c>
    </row>
    <row r="36">
      <c r="A36" s="13" t="str">
        <f>'data'!$A$11</f>
      </c>
      <c r="B36" s="13"/>
      <c r="C36" s="13"/>
      <c r="D36" s="13"/>
      <c r="E36" s="13"/>
      <c r="F36" s="13"/>
      <c r="G36" s="13"/>
      <c r="I36" s="13" t="str">
        <f>'data'!$A$58</f>
      </c>
      <c r="J36" s="13"/>
      <c r="K36" s="13"/>
      <c r="L36" s="13"/>
      <c r="M36" s="13"/>
      <c r="N36" s="13"/>
      <c r="O36" s="13"/>
    </row>
    <row r="37">
      <c r="A37" s="17" t="s">
        <v>331</v>
      </c>
      <c r="D37" s="14" t="s">
        <v>332</v>
      </c>
      <c r="G37" s="16" t="s">
        <v>333</v>
      </c>
      <c r="I37" s="17" t="s">
        <v>331</v>
      </c>
      <c r="L37" s="14" t="s">
        <v>332</v>
      </c>
      <c r="O37" s="16" t="s">
        <v>333</v>
      </c>
    </row>
    <row r="38">
      <c r="A38" s="14" t="str">
        <f>data!$E$10&amp;" "&amp;data!$B$10</f>
      </c>
      <c r="B38" s="18"/>
      <c r="C38" s="18"/>
      <c r="D38" s="18"/>
      <c r="E38" s="18"/>
      <c r="F38" s="18"/>
      <c r="G38" s="14" t="str">
        <f>data!$E$9&amp;" "&amp;data!$B$9</f>
      </c>
      <c r="I38" s="14" t="str">
        <f>data!$E$57&amp;" "&amp;data!$B$57</f>
      </c>
      <c r="J38" s="18"/>
      <c r="K38" s="18"/>
      <c r="L38" s="18"/>
      <c r="M38" s="18"/>
      <c r="N38" s="18"/>
      <c r="O38" s="14" t="str">
        <f>data!$E$56&amp;" "&amp;data!$B$56</f>
      </c>
    </row>
    <row r="39">
      <c r="A39" s="14" t="str">
        <f>data!$E$11&amp;" "&amp;data!$B$11</f>
      </c>
      <c r="B39" s="18"/>
      <c r="C39" s="18"/>
      <c r="D39" s="18"/>
      <c r="E39" s="18"/>
      <c r="F39" s="18"/>
      <c r="G39" s="14" t="str">
        <f>data!$E$9&amp;" "&amp;data!$B$9</f>
      </c>
      <c r="I39" s="14" t="str">
        <f>data!$E$58&amp;" "&amp;data!$B$58</f>
      </c>
      <c r="J39" s="18"/>
      <c r="K39" s="18"/>
      <c r="L39" s="18"/>
      <c r="M39" s="18"/>
      <c r="N39" s="18"/>
      <c r="O39" s="14" t="str">
        <f>data!$E$56&amp;" "&amp;data!$B$56</f>
      </c>
    </row>
    <row r="40">
      <c r="A40" s="14" t="str">
        <f>data!$E$11&amp;" "&amp;data!$B$11</f>
      </c>
      <c r="B40" s="18"/>
      <c r="C40" s="18"/>
      <c r="D40" s="18"/>
      <c r="E40" s="18"/>
      <c r="F40" s="18"/>
      <c r="G40" s="14" t="str">
        <f>data!$E$10&amp;" "&amp;data!$B$10</f>
      </c>
      <c r="I40" s="14" t="str">
        <f>data!$E$58&amp;" "&amp;data!$B$58</f>
      </c>
      <c r="J40" s="18"/>
      <c r="K40" s="18"/>
      <c r="L40" s="18"/>
      <c r="M40" s="18"/>
      <c r="N40" s="18"/>
      <c r="O40" s="14" t="str">
        <f>data!$E$57&amp;" "&amp;data!$B$57</f>
      </c>
    </row>
    <row r="42">
      <c r="A42" s="13" t="s">
        <v>334</v>
      </c>
      <c r="B42" s="13" t="s">
        <v>335</v>
      </c>
      <c r="C42" s="13" t="s">
        <v>336</v>
      </c>
      <c r="D42" s="13" t="s">
        <v>337</v>
      </c>
      <c r="E42" s="13" t="s">
        <v>338</v>
      </c>
      <c r="F42" s="13" t="s">
        <v>339</v>
      </c>
      <c r="G42" s="13" t="s">
        <v>340</v>
      </c>
      <c r="I42" s="13" t="s">
        <v>334</v>
      </c>
      <c r="J42" s="13" t="s">
        <v>335</v>
      </c>
      <c r="K42" s="13" t="s">
        <v>336</v>
      </c>
      <c r="L42" s="13" t="s">
        <v>337</v>
      </c>
      <c r="M42" s="13" t="s">
        <v>338</v>
      </c>
      <c r="N42" s="13" t="s">
        <v>339</v>
      </c>
      <c r="O42" s="13" t="s">
        <v>340</v>
      </c>
    </row>
    <row r="43">
      <c r="A43" s="14" t="str">
        <f>data!$E$9&amp;" "&amp;data!$B$9</f>
      </c>
      <c r="B43" s="14" t="str">
        <f>IF(OR(COUNTA(B38,C38,E38,F38)&gt;0,OR(D38="X",D38="x")),IF(OR(D38="X",D38="x",AND(OR(COUNTA(B38,C38,E38,F38)&gt;0,OR(D38="X",D38="x")),(LEN(SUBSTITUTE(SUBSTITUTE(SUBSTITUTE(B38," ",""),"0",""),"-",""))+LEN(SUBSTITUTE(SUBSTITUTE(SUBSTITUTE(C38," ",""),"0",""),"-","")))=(LEN(SUBSTITUTE(SUBSTITUTE(SUBSTITUTE(E38," ",""),"0",""),"-",""))+LEN(SUBSTITUTE(SUBSTITUTE(SUBSTITUTE(F38," ",""),"0",""),"-",""))))),0,(LEN(SUBSTITUTE(SUBSTITUTE(SUBSTITUTE(E38," ",""),"0",""),"-",""))+LEN(SUBSTITUTE(SUBSTITUTE(SUBSTITUTE(F38," ",""),"0",""),"-",""))&gt;LEN(SUBSTITUTE(SUBSTITUTE(SUBSTITUTE(B38," ",""),"0",""),"-",""))+LEN(SUBSTITUTE(SUBSTITUTE(SUBSTITUTE(C38," ",""),"0",""),"-","")))*1),0)+IF(OR(COUNTA(B39,C39,E39,F39)&gt;0,OR(D39="X",D39="x")),IF(OR(D39="X",D39="x",AND(OR(COUNTA(B39,C39,E39,F39)&gt;0,OR(D39="X",D39="x")),(LEN(SUBSTITUTE(SUBSTITUTE(SUBSTITUTE(B39," ",""),"0",""),"-",""))+LEN(SUBSTITUTE(SUBSTITUTE(SUBSTITUTE(C39," ",""),"0",""),"-","")))=(LEN(SUBSTITUTE(SUBSTITUTE(SUBSTITUTE(E39," ",""),"0",""),"-",""))+LEN(SUBSTITUTE(SUBSTITUTE(SUBSTITUTE(F39," ",""),"0",""),"-",""))))),0,(LEN(SUBSTITUTE(SUBSTITUTE(SUBSTITUTE(E39," ",""),"0",""),"-",""))+LEN(SUBSTITUTE(SUBSTITUTE(SUBSTITUTE(F39," ",""),"0",""),"-",""))&gt;LEN(SUBSTITUTE(SUBSTITUTE(SUBSTITUTE(B39," ",""),"0",""),"-",""))+LEN(SUBSTITUTE(SUBSTITUTE(SUBSTITUTE(C39," ",""),"0",""),"-","")))*1),0)</f>
      </c>
      <c r="C43" s="14" t="str">
        <f>IF(OR(COUNTA(B38,C38,E38,F38)&gt;0,OR(D38="X",D38="x")),IF(OR(D38="X",D38="x",AND(OR(COUNTA(B38,C38,E38,F38)&gt;0,OR(D38="X",D38="x")),(LEN(SUBSTITUTE(SUBSTITUTE(SUBSTITUTE(B38," ",""),"0",""),"-",""))+LEN(SUBSTITUTE(SUBSTITUTE(SUBSTITUTE(C38," ",""),"0",""),"-","")))=(LEN(SUBSTITUTE(SUBSTITUTE(SUBSTITUTE(E38," ",""),"0",""),"-",""))+LEN(SUBSTITUTE(SUBSTITUTE(SUBSTITUTE(F38," ",""),"0",""),"-",""))))),0,(LEN(SUBSTITUTE(SUBSTITUTE(SUBSTITUTE(E38," ",""),"0",""),"-",""))+LEN(SUBSTITUTE(SUBSTITUTE(SUBSTITUTE(F38," ",""),"0",""),"-",""))&lt;LEN(SUBSTITUTE(SUBSTITUTE(SUBSTITUTE(B38," ",""),"0",""),"-",""))+LEN(SUBSTITUTE(SUBSTITUTE(SUBSTITUTE(C38," ",""),"0",""),"-","")))*1),0)+IF(OR(COUNTA(B39,C39,E39,F39)&gt;0,OR(D39="X",D39="x")),IF(OR(D39="X",D39="x",AND(OR(COUNTA(B39,C39,E39,F39)&gt;0,OR(D39="X",D39="x")),(LEN(SUBSTITUTE(SUBSTITUTE(SUBSTITUTE(B39," ",""),"0",""),"-",""))+LEN(SUBSTITUTE(SUBSTITUTE(SUBSTITUTE(C39," ",""),"0",""),"-","")))=(LEN(SUBSTITUTE(SUBSTITUTE(SUBSTITUTE(E39," ",""),"0",""),"-",""))+LEN(SUBSTITUTE(SUBSTITUTE(SUBSTITUTE(F39," ",""),"0",""),"-",""))))),0,(LEN(SUBSTITUTE(SUBSTITUTE(SUBSTITUTE(E39," ",""),"0",""),"-",""))+LEN(SUBSTITUTE(SUBSTITUTE(SUBSTITUTE(F39," ",""),"0",""),"-",""))&lt;LEN(SUBSTITUTE(SUBSTITUTE(SUBSTITUTE(B39," ",""),"0",""),"-",""))+LEN(SUBSTITUTE(SUBSTITUTE(SUBSTITUTE(C39," ",""),"0",""),"-","")))*1),0)</f>
      </c>
      <c r="D43" s="14" t="str">
        <f>IF(OR(COUNTA(B38,C38,E38,F38)&gt;0,OR(D38="X",D38="x")),IF(OR(D38="X",D38="x",AND(OR(COUNTA(B38,C38,E38,F38)&gt;0,OR(D38="X",D38="x")),(LEN(SUBSTITUTE(SUBSTITUTE(SUBSTITUTE(B38," ",""),"0",""),"-",""))+LEN(SUBSTITUTE(SUBSTITUTE(SUBSTITUTE(C38," ",""),"0",""),"-","")))=(LEN(SUBSTITUTE(SUBSTITUTE(SUBSTITUTE(E38," ",""),"0",""),"-",""))+LEN(SUBSTITUTE(SUBSTITUTE(SUBSTITUTE(F38," ",""),"0",""),"-",""))))),1,0),0)+IF(OR(COUNTA(B39,C39,E39,F39)&gt;0,OR(D39="X",D39="x")),IF(OR(D39="X",D39="x",AND(OR(COUNTA(B39,C39,E39,F39)&gt;0,OR(D39="X",D39="x")),(LEN(SUBSTITUTE(SUBSTITUTE(SUBSTITUTE(B39," ",""),"0",""),"-",""))+LEN(SUBSTITUTE(SUBSTITUTE(SUBSTITUTE(C39," ",""),"0",""),"-","")))=(LEN(SUBSTITUTE(SUBSTITUTE(SUBSTITUTE(E39," ",""),"0",""),"-",""))+LEN(SUBSTITUTE(SUBSTITUTE(SUBSTITUTE(F39," ",""),"0",""),"-",""))))),1,0),0)</f>
      </c>
      <c r="E43" s="14" t="str">
        <f>LEN(SUBSTITUTE(SUBSTITUTE(SUBSTITUTE(E38," ",""),"0",""),"-",""))+LEN(SUBSTITUTE(SUBSTITUTE(SUBSTITUTE(F38," ",""),"0",""),"-",""))+LEN(SUBSTITUTE(SUBSTITUTE(SUBSTITUTE(E39," ",""),"0",""),"-",""))+LEN(SUBSTITUTE(SUBSTITUTE(SUBSTITUTE(F39," ",""),"0",""),"-",""))</f>
      </c>
      <c r="F43" s="14" t="str">
        <f>LEN(SUBSTITUTE(SUBSTITUTE(SUBSTITUTE(B38," ",""),"0",""),"-",""))+LEN(SUBSTITUTE(SUBSTITUTE(SUBSTITUTE(C38," ",""),"0",""),"-",""))+LEN(SUBSTITUTE(SUBSTITUTE(SUBSTITUTE(B39," ",""),"0",""),"-",""))+LEN(SUBSTITUTE(SUBSTITUTE(SUBSTITUTE(C39," ",""),"0",""),"-",""))</f>
      </c>
      <c r="G43" s="18" t="str">
        <f>RANK(U43,$U$43:$U$45)+COUNTIF($U$42:U42,U43)</f>
      </c>
      <c r="I43" s="14" t="str">
        <f>data!$E$56&amp;" "&amp;data!$B$56</f>
      </c>
      <c r="J43" s="14" t="str">
        <f>IF(OR(COUNTA(J38,K38,M38,N38)&gt;0,OR(L38="X",L38="x")),IF(OR(L38="X",L38="x",AND(OR(COUNTA(J38,K38,M38,N38)&gt;0,OR(L38="X",L38="x")),(LEN(SUBSTITUTE(SUBSTITUTE(SUBSTITUTE(J38," ",""),"0",""),"-",""))+LEN(SUBSTITUTE(SUBSTITUTE(SUBSTITUTE(K38," ",""),"0",""),"-","")))=(LEN(SUBSTITUTE(SUBSTITUTE(SUBSTITUTE(M38," ",""),"0",""),"-",""))+LEN(SUBSTITUTE(SUBSTITUTE(SUBSTITUTE(N38," ",""),"0",""),"-",""))))),0,(LEN(SUBSTITUTE(SUBSTITUTE(SUBSTITUTE(M38," ",""),"0",""),"-",""))+LEN(SUBSTITUTE(SUBSTITUTE(SUBSTITUTE(N38," ",""),"0",""),"-",""))&gt;LEN(SUBSTITUTE(SUBSTITUTE(SUBSTITUTE(J38," ",""),"0",""),"-",""))+LEN(SUBSTITUTE(SUBSTITUTE(SUBSTITUTE(K38," ",""),"0",""),"-","")))*1),0)+IF(OR(COUNTA(J39,K39,M39,N39)&gt;0,OR(L39="X",L39="x")),IF(OR(L39="X",L39="x",AND(OR(COUNTA(J39,K39,M39,N39)&gt;0,OR(L39="X",L39="x")),(LEN(SUBSTITUTE(SUBSTITUTE(SUBSTITUTE(J39," ",""),"0",""),"-",""))+LEN(SUBSTITUTE(SUBSTITUTE(SUBSTITUTE(K39," ",""),"0",""),"-","")))=(LEN(SUBSTITUTE(SUBSTITUTE(SUBSTITUTE(M39," ",""),"0",""),"-",""))+LEN(SUBSTITUTE(SUBSTITUTE(SUBSTITUTE(N39," ",""),"0",""),"-",""))))),0,(LEN(SUBSTITUTE(SUBSTITUTE(SUBSTITUTE(M39," ",""),"0",""),"-",""))+LEN(SUBSTITUTE(SUBSTITUTE(SUBSTITUTE(N39," ",""),"0",""),"-",""))&gt;LEN(SUBSTITUTE(SUBSTITUTE(SUBSTITUTE(J39," ",""),"0",""),"-",""))+LEN(SUBSTITUTE(SUBSTITUTE(SUBSTITUTE(K39," ",""),"0",""),"-","")))*1),0)</f>
      </c>
      <c r="K43" s="14" t="str">
        <f>IF(OR(COUNTA(J38,K38,M38,N38)&gt;0,OR(L38="X",L38="x")),IF(OR(L38="X",L38="x",AND(OR(COUNTA(J38,K38,M38,N38)&gt;0,OR(L38="X",L38="x")),(LEN(SUBSTITUTE(SUBSTITUTE(SUBSTITUTE(J38," ",""),"0",""),"-",""))+LEN(SUBSTITUTE(SUBSTITUTE(SUBSTITUTE(K38," ",""),"0",""),"-","")))=(LEN(SUBSTITUTE(SUBSTITUTE(SUBSTITUTE(M38," ",""),"0",""),"-",""))+LEN(SUBSTITUTE(SUBSTITUTE(SUBSTITUTE(N38," ",""),"0",""),"-",""))))),0,(LEN(SUBSTITUTE(SUBSTITUTE(SUBSTITUTE(M38," ",""),"0",""),"-",""))+LEN(SUBSTITUTE(SUBSTITUTE(SUBSTITUTE(N38," ",""),"0",""),"-",""))&lt;LEN(SUBSTITUTE(SUBSTITUTE(SUBSTITUTE(J38," ",""),"0",""),"-",""))+LEN(SUBSTITUTE(SUBSTITUTE(SUBSTITUTE(K38," ",""),"0",""),"-","")))*1),0)+IF(OR(COUNTA(J39,K39,M39,N39)&gt;0,OR(L39="X",L39="x")),IF(OR(L39="X",L39="x",AND(OR(COUNTA(J39,K39,M39,N39)&gt;0,OR(L39="X",L39="x")),(LEN(SUBSTITUTE(SUBSTITUTE(SUBSTITUTE(J39," ",""),"0",""),"-",""))+LEN(SUBSTITUTE(SUBSTITUTE(SUBSTITUTE(K39," ",""),"0",""),"-","")))=(LEN(SUBSTITUTE(SUBSTITUTE(SUBSTITUTE(M39," ",""),"0",""),"-",""))+LEN(SUBSTITUTE(SUBSTITUTE(SUBSTITUTE(N39," ",""),"0",""),"-",""))))),0,(LEN(SUBSTITUTE(SUBSTITUTE(SUBSTITUTE(M39," ",""),"0",""),"-",""))+LEN(SUBSTITUTE(SUBSTITUTE(SUBSTITUTE(N39," ",""),"0",""),"-",""))&lt;LEN(SUBSTITUTE(SUBSTITUTE(SUBSTITUTE(J39," ",""),"0",""),"-",""))+LEN(SUBSTITUTE(SUBSTITUTE(SUBSTITUTE(K39," ",""),"0",""),"-","")))*1),0)</f>
      </c>
      <c r="L43" s="14" t="str">
        <f>IF(OR(COUNTA(J38,K38,M38,N38)&gt;0,OR(L38="X",L38="x")),IF(OR(L38="X",L38="x",AND(OR(COUNTA(J38,K38,M38,N38)&gt;0,OR(L38="X",L38="x")),(LEN(SUBSTITUTE(SUBSTITUTE(SUBSTITUTE(J38," ",""),"0",""),"-",""))+LEN(SUBSTITUTE(SUBSTITUTE(SUBSTITUTE(K38," ",""),"0",""),"-","")))=(LEN(SUBSTITUTE(SUBSTITUTE(SUBSTITUTE(M38," ",""),"0",""),"-",""))+LEN(SUBSTITUTE(SUBSTITUTE(SUBSTITUTE(N38," ",""),"0",""),"-",""))))),1,0),0)+IF(OR(COUNTA(J39,K39,M39,N39)&gt;0,OR(L39="X",L39="x")),IF(OR(L39="X",L39="x",AND(OR(COUNTA(J39,K39,M39,N39)&gt;0,OR(L39="X",L39="x")),(LEN(SUBSTITUTE(SUBSTITUTE(SUBSTITUTE(J39," ",""),"0",""),"-",""))+LEN(SUBSTITUTE(SUBSTITUTE(SUBSTITUTE(K39," ",""),"0",""),"-","")))=(LEN(SUBSTITUTE(SUBSTITUTE(SUBSTITUTE(M39," ",""),"0",""),"-",""))+LEN(SUBSTITUTE(SUBSTITUTE(SUBSTITUTE(N39," ",""),"0",""),"-",""))))),1,0),0)</f>
      </c>
      <c r="M43" s="14" t="str">
        <f>LEN(SUBSTITUTE(SUBSTITUTE(SUBSTITUTE(M38," ",""),"0",""),"-",""))+LEN(SUBSTITUTE(SUBSTITUTE(SUBSTITUTE(N38," ",""),"0",""),"-",""))+LEN(SUBSTITUTE(SUBSTITUTE(SUBSTITUTE(M39," ",""),"0",""),"-",""))+LEN(SUBSTITUTE(SUBSTITUTE(SUBSTITUTE(N39," ",""),"0",""),"-",""))</f>
      </c>
      <c r="N43" s="14" t="str">
        <f>LEN(SUBSTITUTE(SUBSTITUTE(SUBSTITUTE(J38," ",""),"0",""),"-",""))+LEN(SUBSTITUTE(SUBSTITUTE(SUBSTITUTE(K38," ",""),"0",""),"-",""))+LEN(SUBSTITUTE(SUBSTITUTE(SUBSTITUTE(J39," ",""),"0",""),"-",""))+LEN(SUBSTITUTE(SUBSTITUTE(SUBSTITUTE(K39," ",""),"0",""),"-",""))</f>
      </c>
      <c r="O43" s="18" t="str">
        <f>RANK(AC43,$AC$43:$AC$45)+COUNTIF($AC$42:AC42,AC43)</f>
      </c>
      <c r="U43" t="str">
        <f>(B43*1000000)-(C43*10000)+(D43*100)+(E43*1)-(F43*0.01)</f>
      </c>
      <c r="AC43" t="str">
        <f>(J43*1000000)-(K43*10000)+(L43*100)+(M43*1)-(N43*0.01)</f>
      </c>
    </row>
    <row r="44">
      <c r="A44" s="14" t="str">
        <f>data!$E$10&amp;" "&amp;data!$B$10</f>
      </c>
      <c r="B44" s="14" t="str">
        <f>IF(OR(COUNTA(B38,C38,E38,F38)&gt;0,OR(D38="X",D38="x")),IF(OR(D38="X",D38="x",AND(OR(COUNTA(B38,C38,E38,F38)&gt;0,OR(D38="X",D38="x")),(LEN(SUBSTITUTE(SUBSTITUTE(SUBSTITUTE(B38," ",""),"0",""),"-",""))+LEN(SUBSTITUTE(SUBSTITUTE(SUBSTITUTE(C38," ",""),"0",""),"-","")))=(LEN(SUBSTITUTE(SUBSTITUTE(SUBSTITUTE(E38," ",""),"0",""),"-",""))+LEN(SUBSTITUTE(SUBSTITUTE(SUBSTITUTE(F38," ",""),"0",""),"-",""))))),0,(LEN(SUBSTITUTE(SUBSTITUTE(SUBSTITUTE(B38," ",""),"0",""),"-",""))+LEN(SUBSTITUTE(SUBSTITUTE(SUBSTITUTE(C38," ",""),"0",""),"-",""))&gt;LEN(SUBSTITUTE(SUBSTITUTE(SUBSTITUTE(E38," ",""),"0",""),"-",""))+LEN(SUBSTITUTE(SUBSTITUTE(SUBSTITUTE(F38," ",""),"0",""),"-","")))*1),0)+IF(OR(COUNTA(B40,C40,E40,F40)&gt;0,OR(D40="X",D40="x")),IF(OR(D40="X",D40="x",AND(OR(COUNTA(B40,C40,E40,F40)&gt;0,OR(D40="X",D40="x")),(LEN(SUBSTITUTE(SUBSTITUTE(SUBSTITUTE(B40," ",""),"0",""),"-",""))+LEN(SUBSTITUTE(SUBSTITUTE(SUBSTITUTE(C40," ",""),"0",""),"-","")))=(LEN(SUBSTITUTE(SUBSTITUTE(SUBSTITUTE(E40," ",""),"0",""),"-",""))+LEN(SUBSTITUTE(SUBSTITUTE(SUBSTITUTE(F40," ",""),"0",""),"-",""))))),0,(LEN(SUBSTITUTE(SUBSTITUTE(SUBSTITUTE(E40," ",""),"0",""),"-",""))+LEN(SUBSTITUTE(SUBSTITUTE(SUBSTITUTE(F40," ",""),"0",""),"-",""))&gt;LEN(SUBSTITUTE(SUBSTITUTE(SUBSTITUTE(B40," ",""),"0",""),"-",""))+LEN(SUBSTITUTE(SUBSTITUTE(SUBSTITUTE(C40," ",""),"0",""),"-","")))*1),0)</f>
      </c>
      <c r="C44" s="14" t="str">
        <f>IF(OR(COUNTA(B38,C38,E38,F38)&gt;0,OR(D38="X",D38="x")),IF(OR(D38="X",D38="x",AND(OR(COUNTA(B38,C38,E38,F38)&gt;0,OR(D38="X",D38="x")),(LEN(SUBSTITUTE(SUBSTITUTE(SUBSTITUTE(B38," ",""),"0",""),"-",""))+LEN(SUBSTITUTE(SUBSTITUTE(SUBSTITUTE(C38," ",""),"0",""),"-","")))=(LEN(SUBSTITUTE(SUBSTITUTE(SUBSTITUTE(E38," ",""),"0",""),"-",""))+LEN(SUBSTITUTE(SUBSTITUTE(SUBSTITUTE(F38," ",""),"0",""),"-",""))))),0,(LEN(SUBSTITUTE(SUBSTITUTE(SUBSTITUTE(B38," ",""),"0",""),"-",""))+LEN(SUBSTITUTE(SUBSTITUTE(SUBSTITUTE(C38," ",""),"0",""),"-",""))&lt;LEN(SUBSTITUTE(SUBSTITUTE(SUBSTITUTE(E38," ",""),"0",""),"-",""))+LEN(SUBSTITUTE(SUBSTITUTE(SUBSTITUTE(F38," ",""),"0",""),"-","")))*1),0)+IF(OR(COUNTA(B40,C40,E40,F40)&gt;0,OR(D40="X",D40="x")),IF(OR(D40="X",D40="x",AND(OR(COUNTA(B40,C40,E40,F40)&gt;0,OR(D40="X",D40="x")),(LEN(SUBSTITUTE(SUBSTITUTE(SUBSTITUTE(B40," ",""),"0",""),"-",""))+LEN(SUBSTITUTE(SUBSTITUTE(SUBSTITUTE(C40," ",""),"0",""),"-","")))=(LEN(SUBSTITUTE(SUBSTITUTE(SUBSTITUTE(E40," ",""),"0",""),"-",""))+LEN(SUBSTITUTE(SUBSTITUTE(SUBSTITUTE(F40," ",""),"0",""),"-",""))))),0,(LEN(SUBSTITUTE(SUBSTITUTE(SUBSTITUTE(E40," ",""),"0",""),"-",""))+LEN(SUBSTITUTE(SUBSTITUTE(SUBSTITUTE(F40," ",""),"0",""),"-",""))&lt;LEN(SUBSTITUTE(SUBSTITUTE(SUBSTITUTE(B40," ",""),"0",""),"-",""))+LEN(SUBSTITUTE(SUBSTITUTE(SUBSTITUTE(C40," ",""),"0",""),"-","")))*1),0)</f>
      </c>
      <c r="D44" s="14" t="str">
        <f>IF(OR(COUNTA(B38,C38,E38,F38)&gt;0,OR(D38="X",D38="x")),IF(OR(D38="X",D38="x",AND(OR(COUNTA(B38,C38,E38,F38)&gt;0,OR(D38="X",D38="x")),(LEN(SUBSTITUTE(SUBSTITUTE(SUBSTITUTE(B38," ",""),"0",""),"-",""))+LEN(SUBSTITUTE(SUBSTITUTE(SUBSTITUTE(C38," ",""),"0",""),"-","")))=(LEN(SUBSTITUTE(SUBSTITUTE(SUBSTITUTE(E38," ",""),"0",""),"-",""))+LEN(SUBSTITUTE(SUBSTITUTE(SUBSTITUTE(F38," ",""),"0",""),"-",""))))),1,0),0)+IF(OR(COUNTA(B40,C40,E40,F40)&gt;0,OR(D40="X",D40="x")),IF(OR(D40="X",D40="x",AND(OR(COUNTA(B40,C40,E40,F40)&gt;0,OR(D40="X",D40="x")),(LEN(SUBSTITUTE(SUBSTITUTE(SUBSTITUTE(B40," ",""),"0",""),"-",""))+LEN(SUBSTITUTE(SUBSTITUTE(SUBSTITUTE(C40," ",""),"0",""),"-","")))=(LEN(SUBSTITUTE(SUBSTITUTE(SUBSTITUTE(E40," ",""),"0",""),"-",""))+LEN(SUBSTITUTE(SUBSTITUTE(SUBSTITUTE(F40," ",""),"0",""),"-",""))))),1,0),0)</f>
      </c>
      <c r="E44" s="14" t="str">
        <f>LEN(SUBSTITUTE(SUBSTITUTE(SUBSTITUTE(B38," ",""),"0",""),"-",""))+LEN(SUBSTITUTE(SUBSTITUTE(SUBSTITUTE(C38," ",""),"0",""),"-",""))+LEN(SUBSTITUTE(SUBSTITUTE(SUBSTITUTE(E40," ",""),"0",""),"-",""))+LEN(SUBSTITUTE(SUBSTITUTE(SUBSTITUTE(F40," ",""),"0",""),"-",""))</f>
      </c>
      <c r="F44" s="14" t="str">
        <f>LEN(SUBSTITUTE(SUBSTITUTE(SUBSTITUTE(E38," ",""),"0",""),"-",""))+LEN(SUBSTITUTE(SUBSTITUTE(SUBSTITUTE(F38," ",""),"0",""),"-",""))+LEN(SUBSTITUTE(SUBSTITUTE(SUBSTITUTE(B40," ",""),"0",""),"-",""))+LEN(SUBSTITUTE(SUBSTITUTE(SUBSTITUTE(C40," ",""),"0",""),"-",""))</f>
      </c>
      <c r="G44" s="18" t="str">
        <f>RANK(U44,$U$43:$U$45)+COUNTIF($U$42:U43,U44)</f>
      </c>
      <c r="I44" s="14" t="str">
        <f>data!$E$57&amp;" "&amp;data!$B$57</f>
      </c>
      <c r="J44" s="14" t="str">
        <f>IF(OR(COUNTA(J38,K38,M38,N38)&gt;0,OR(L38="X",L38="x")),IF(OR(L38="X",L38="x",AND(OR(COUNTA(J38,K38,M38,N38)&gt;0,OR(L38="X",L38="x")),(LEN(SUBSTITUTE(SUBSTITUTE(SUBSTITUTE(J38," ",""),"0",""),"-",""))+LEN(SUBSTITUTE(SUBSTITUTE(SUBSTITUTE(K38," ",""),"0",""),"-","")))=(LEN(SUBSTITUTE(SUBSTITUTE(SUBSTITUTE(M38," ",""),"0",""),"-",""))+LEN(SUBSTITUTE(SUBSTITUTE(SUBSTITUTE(N38," ",""),"0",""),"-",""))))),0,(LEN(SUBSTITUTE(SUBSTITUTE(SUBSTITUTE(J38," ",""),"0",""),"-",""))+LEN(SUBSTITUTE(SUBSTITUTE(SUBSTITUTE(K38," ",""),"0",""),"-",""))&gt;LEN(SUBSTITUTE(SUBSTITUTE(SUBSTITUTE(M38," ",""),"0",""),"-",""))+LEN(SUBSTITUTE(SUBSTITUTE(SUBSTITUTE(N38," ",""),"0",""),"-","")))*1),0)+IF(OR(COUNTA(J40,K40,M40,N40)&gt;0,OR(L40="X",L40="x")),IF(OR(L40="X",L40="x",AND(OR(COUNTA(J40,K40,M40,N40)&gt;0,OR(L40="X",L40="x")),(LEN(SUBSTITUTE(SUBSTITUTE(SUBSTITUTE(J40," ",""),"0",""),"-",""))+LEN(SUBSTITUTE(SUBSTITUTE(SUBSTITUTE(K40," ",""),"0",""),"-","")))=(LEN(SUBSTITUTE(SUBSTITUTE(SUBSTITUTE(M40," ",""),"0",""),"-",""))+LEN(SUBSTITUTE(SUBSTITUTE(SUBSTITUTE(N40," ",""),"0",""),"-",""))))),0,(LEN(SUBSTITUTE(SUBSTITUTE(SUBSTITUTE(M40," ",""),"0",""),"-",""))+LEN(SUBSTITUTE(SUBSTITUTE(SUBSTITUTE(N40," ",""),"0",""),"-",""))&gt;LEN(SUBSTITUTE(SUBSTITUTE(SUBSTITUTE(J40," ",""),"0",""),"-",""))+LEN(SUBSTITUTE(SUBSTITUTE(SUBSTITUTE(K40," ",""),"0",""),"-","")))*1),0)</f>
      </c>
      <c r="K44" s="14" t="str">
        <f>IF(OR(COUNTA(J38,K38,M38,N38)&gt;0,OR(L38="X",L38="x")),IF(OR(L38="X",L38="x",AND(OR(COUNTA(J38,K38,M38,N38)&gt;0,OR(L38="X",L38="x")),(LEN(SUBSTITUTE(SUBSTITUTE(SUBSTITUTE(J38," ",""),"0",""),"-",""))+LEN(SUBSTITUTE(SUBSTITUTE(SUBSTITUTE(K38," ",""),"0",""),"-","")))=(LEN(SUBSTITUTE(SUBSTITUTE(SUBSTITUTE(M38," ",""),"0",""),"-",""))+LEN(SUBSTITUTE(SUBSTITUTE(SUBSTITUTE(N38," ",""),"0",""),"-",""))))),0,(LEN(SUBSTITUTE(SUBSTITUTE(SUBSTITUTE(J38," ",""),"0",""),"-",""))+LEN(SUBSTITUTE(SUBSTITUTE(SUBSTITUTE(K38," ",""),"0",""),"-",""))&lt;LEN(SUBSTITUTE(SUBSTITUTE(SUBSTITUTE(M38," ",""),"0",""),"-",""))+LEN(SUBSTITUTE(SUBSTITUTE(SUBSTITUTE(N38," ",""),"0",""),"-","")))*1),0)+IF(OR(COUNTA(J40,K40,M40,N40)&gt;0,OR(L40="X",L40="x")),IF(OR(L40="X",L40="x",AND(OR(COUNTA(J40,K40,M40,N40)&gt;0,OR(L40="X",L40="x")),(LEN(SUBSTITUTE(SUBSTITUTE(SUBSTITUTE(J40," ",""),"0",""),"-",""))+LEN(SUBSTITUTE(SUBSTITUTE(SUBSTITUTE(K40," ",""),"0",""),"-","")))=(LEN(SUBSTITUTE(SUBSTITUTE(SUBSTITUTE(M40," ",""),"0",""),"-",""))+LEN(SUBSTITUTE(SUBSTITUTE(SUBSTITUTE(N40," ",""),"0",""),"-",""))))),0,(LEN(SUBSTITUTE(SUBSTITUTE(SUBSTITUTE(M40," ",""),"0",""),"-",""))+LEN(SUBSTITUTE(SUBSTITUTE(SUBSTITUTE(N40," ",""),"0",""),"-",""))&lt;LEN(SUBSTITUTE(SUBSTITUTE(SUBSTITUTE(J40," ",""),"0",""),"-",""))+LEN(SUBSTITUTE(SUBSTITUTE(SUBSTITUTE(K40," ",""),"0",""),"-","")))*1),0)</f>
      </c>
      <c r="L44" s="14" t="str">
        <f>IF(OR(COUNTA(J38,K38,M38,N38)&gt;0,OR(L38="X",L38="x")),IF(OR(L38="X",L38="x",AND(OR(COUNTA(J38,K38,M38,N38)&gt;0,OR(L38="X",L38="x")),(LEN(SUBSTITUTE(SUBSTITUTE(SUBSTITUTE(J38," ",""),"0",""),"-",""))+LEN(SUBSTITUTE(SUBSTITUTE(SUBSTITUTE(K38," ",""),"0",""),"-","")))=(LEN(SUBSTITUTE(SUBSTITUTE(SUBSTITUTE(M38," ",""),"0",""),"-",""))+LEN(SUBSTITUTE(SUBSTITUTE(SUBSTITUTE(N38," ",""),"0",""),"-",""))))),1,0),0)+IF(OR(COUNTA(J40,K40,M40,N40)&gt;0,OR(L40="X",L40="x")),IF(OR(L40="X",L40="x",AND(OR(COUNTA(J40,K40,M40,N40)&gt;0,OR(L40="X",L40="x")),(LEN(SUBSTITUTE(SUBSTITUTE(SUBSTITUTE(J40," ",""),"0",""),"-",""))+LEN(SUBSTITUTE(SUBSTITUTE(SUBSTITUTE(K40," ",""),"0",""),"-","")))=(LEN(SUBSTITUTE(SUBSTITUTE(SUBSTITUTE(M40," ",""),"0",""),"-",""))+LEN(SUBSTITUTE(SUBSTITUTE(SUBSTITUTE(N40," ",""),"0",""),"-",""))))),1,0),0)</f>
      </c>
      <c r="M44" s="14" t="str">
        <f>LEN(SUBSTITUTE(SUBSTITUTE(SUBSTITUTE(J38," ",""),"0",""),"-",""))+LEN(SUBSTITUTE(SUBSTITUTE(SUBSTITUTE(K38," ",""),"0",""),"-",""))+LEN(SUBSTITUTE(SUBSTITUTE(SUBSTITUTE(M40," ",""),"0",""),"-",""))+LEN(SUBSTITUTE(SUBSTITUTE(SUBSTITUTE(N40," ",""),"0",""),"-",""))</f>
      </c>
      <c r="N44" s="14" t="str">
        <f>LEN(SUBSTITUTE(SUBSTITUTE(SUBSTITUTE(M38," ",""),"0",""),"-",""))+LEN(SUBSTITUTE(SUBSTITUTE(SUBSTITUTE(N38," ",""),"0",""),"-",""))+LEN(SUBSTITUTE(SUBSTITUTE(SUBSTITUTE(J40," ",""),"0",""),"-",""))+LEN(SUBSTITUTE(SUBSTITUTE(SUBSTITUTE(K40," ",""),"0",""),"-",""))</f>
      </c>
      <c r="O44" s="18" t="str">
        <f>RANK(AC44,$AC$43:$AC$45)+COUNTIF($AC$42:AC43,AC44)</f>
      </c>
      <c r="U44" t="str">
        <f>(B44*1000000)-(C44*10000)+(D44*100)+(E44*1)-(F44*0.01)</f>
      </c>
      <c r="AC44" t="str">
        <f>(J44*1000000)-(K44*10000)+(L44*100)+(M44*1)-(N44*0.01)</f>
      </c>
    </row>
    <row r="45">
      <c r="A45" s="14" t="str">
        <f>data!$E$11&amp;" "&amp;data!$B$11</f>
      </c>
      <c r="B45" s="14" t="str">
        <f>IF(OR(COUNTA(B39,C39,E39,F39)&gt;0,OR(D39="X",D39="x")),IF(OR(D39="X",D39="x",AND(OR(COUNTA(B39,C39,E39,F39)&gt;0,OR(D39="X",D39="x")),(LEN(SUBSTITUTE(SUBSTITUTE(SUBSTITUTE(B39," ",""),"0",""),"-",""))+LEN(SUBSTITUTE(SUBSTITUTE(SUBSTITUTE(C39," ",""),"0",""),"-","")))=(LEN(SUBSTITUTE(SUBSTITUTE(SUBSTITUTE(E39," ",""),"0",""),"-",""))+LEN(SUBSTITUTE(SUBSTITUTE(SUBSTITUTE(F39," ",""),"0",""),"-",""))))),0,(LEN(SUBSTITUTE(SUBSTITUTE(SUBSTITUTE(B39," ",""),"0",""),"-",""))+LEN(SUBSTITUTE(SUBSTITUTE(SUBSTITUTE(C39," ",""),"0",""),"-",""))&gt;LEN(SUBSTITUTE(SUBSTITUTE(SUBSTITUTE(E39," ",""),"0",""),"-",""))+LEN(SUBSTITUTE(SUBSTITUTE(SUBSTITUTE(F39," ",""),"0",""),"-","")))*1),0)+IF(OR(COUNTA(B40,C40,E40,F40)&gt;0,OR(D40="X",D40="x")),IF(OR(D40="X",D40="x",AND(OR(COUNTA(B40,C40,E40,F40)&gt;0,OR(D40="X",D40="x")),(LEN(SUBSTITUTE(SUBSTITUTE(SUBSTITUTE(B40," ",""),"0",""),"-",""))+LEN(SUBSTITUTE(SUBSTITUTE(SUBSTITUTE(C40," ",""),"0",""),"-","")))=(LEN(SUBSTITUTE(SUBSTITUTE(SUBSTITUTE(E40," ",""),"0",""),"-",""))+LEN(SUBSTITUTE(SUBSTITUTE(SUBSTITUTE(F40," ",""),"0",""),"-",""))))),0,(LEN(SUBSTITUTE(SUBSTITUTE(SUBSTITUTE(B40," ",""),"0",""),"-",""))+LEN(SUBSTITUTE(SUBSTITUTE(SUBSTITUTE(C40," ",""),"0",""),"-",""))&gt;LEN(SUBSTITUTE(SUBSTITUTE(SUBSTITUTE(E40," ",""),"0",""),"-",""))+LEN(SUBSTITUTE(SUBSTITUTE(SUBSTITUTE(F40," ",""),"0",""),"-","")))*1),0)</f>
      </c>
      <c r="C45" s="14" t="str">
        <f>IF(OR(COUNTA(B39,C39,E39,F39)&gt;0,OR(D39="X",D39="x")),IF(OR(D39="X",D39="x",AND(OR(COUNTA(B39,C39,E39,F39)&gt;0,OR(D39="X",D39="x")),(LEN(SUBSTITUTE(SUBSTITUTE(SUBSTITUTE(B39," ",""),"0",""),"-",""))+LEN(SUBSTITUTE(SUBSTITUTE(SUBSTITUTE(C39," ",""),"0",""),"-","")))=(LEN(SUBSTITUTE(SUBSTITUTE(SUBSTITUTE(E39," ",""),"0",""),"-",""))+LEN(SUBSTITUTE(SUBSTITUTE(SUBSTITUTE(F39," ",""),"0",""),"-",""))))),0,(LEN(SUBSTITUTE(SUBSTITUTE(SUBSTITUTE(B39," ",""),"0",""),"-",""))+LEN(SUBSTITUTE(SUBSTITUTE(SUBSTITUTE(C39," ",""),"0",""),"-",""))&lt;LEN(SUBSTITUTE(SUBSTITUTE(SUBSTITUTE(E39," ",""),"0",""),"-",""))+LEN(SUBSTITUTE(SUBSTITUTE(SUBSTITUTE(F39," ",""),"0",""),"-","")))*1),0)+IF(OR(COUNTA(B40,C40,E40,F40)&gt;0,OR(D40="X",D40="x")),IF(OR(D40="X",D40="x",AND(OR(COUNTA(B40,C40,E40,F40)&gt;0,OR(D40="X",D40="x")),(LEN(SUBSTITUTE(SUBSTITUTE(SUBSTITUTE(B40," ",""),"0",""),"-",""))+LEN(SUBSTITUTE(SUBSTITUTE(SUBSTITUTE(C40," ",""),"0",""),"-","")))=(LEN(SUBSTITUTE(SUBSTITUTE(SUBSTITUTE(E40," ",""),"0",""),"-",""))+LEN(SUBSTITUTE(SUBSTITUTE(SUBSTITUTE(F40," ",""),"0",""),"-",""))))),0,(LEN(SUBSTITUTE(SUBSTITUTE(SUBSTITUTE(B40," ",""),"0",""),"-",""))+LEN(SUBSTITUTE(SUBSTITUTE(SUBSTITUTE(C40," ",""),"0",""),"-",""))&lt;LEN(SUBSTITUTE(SUBSTITUTE(SUBSTITUTE(E40," ",""),"0",""),"-",""))+LEN(SUBSTITUTE(SUBSTITUTE(SUBSTITUTE(F40," ",""),"0",""),"-","")))*1),0)</f>
      </c>
      <c r="D45" s="14" t="str">
        <f>IF(OR(COUNTA(B39,C39,E39,F39)&gt;0,OR(D39="X",D39="x")),IF(OR(D39="X",D39="x",AND(OR(COUNTA(B39,C39,E39,F39)&gt;0,OR(D39="X",D39="x")),(LEN(SUBSTITUTE(SUBSTITUTE(SUBSTITUTE(B39," ",""),"0",""),"-",""))+LEN(SUBSTITUTE(SUBSTITUTE(SUBSTITUTE(C39," ",""),"0",""),"-","")))=(LEN(SUBSTITUTE(SUBSTITUTE(SUBSTITUTE(E39," ",""),"0",""),"-",""))+LEN(SUBSTITUTE(SUBSTITUTE(SUBSTITUTE(F39," ",""),"0",""),"-",""))))),1,0),0)+IF(OR(COUNTA(B40,C40,E40,F40)&gt;0,OR(D40="X",D40="x")),IF(OR(D40="X",D40="x",AND(OR(COUNTA(B40,C40,E40,F40)&gt;0,OR(D40="X",D40="x")),(LEN(SUBSTITUTE(SUBSTITUTE(SUBSTITUTE(B40," ",""),"0",""),"-",""))+LEN(SUBSTITUTE(SUBSTITUTE(SUBSTITUTE(C40," ",""),"0",""),"-","")))=(LEN(SUBSTITUTE(SUBSTITUTE(SUBSTITUTE(E40," ",""),"0",""),"-",""))+LEN(SUBSTITUTE(SUBSTITUTE(SUBSTITUTE(F40," ",""),"0",""),"-",""))))),1,0),0)</f>
      </c>
      <c r="E45" s="14" t="str">
        <f>LEN(SUBSTITUTE(SUBSTITUTE(SUBSTITUTE(B39," ",""),"0",""),"-",""))+LEN(SUBSTITUTE(SUBSTITUTE(SUBSTITUTE(C39," ",""),"0",""),"-",""))+LEN(SUBSTITUTE(SUBSTITUTE(SUBSTITUTE(B40," ",""),"0",""),"-",""))+LEN(SUBSTITUTE(SUBSTITUTE(SUBSTITUTE(C40," ",""),"0",""),"-",""))</f>
      </c>
      <c r="F45" s="14" t="str">
        <f>LEN(SUBSTITUTE(SUBSTITUTE(SUBSTITUTE(E39," ",""),"0",""),"-",""))+LEN(SUBSTITUTE(SUBSTITUTE(SUBSTITUTE(F39," ",""),"0",""),"-",""))+LEN(SUBSTITUTE(SUBSTITUTE(SUBSTITUTE(E40," ",""),"0",""),"-",""))+LEN(SUBSTITUTE(SUBSTITUTE(SUBSTITUTE(F40," ",""),"0",""),"-",""))</f>
      </c>
      <c r="G45" s="18" t="str">
        <f>RANK(U45,$U$43:$U$45)+COUNTIF($U$42:U44,U45)</f>
      </c>
      <c r="I45" s="14" t="str">
        <f>data!$E$58&amp;" "&amp;data!$B$58</f>
      </c>
      <c r="J45" s="14" t="str">
        <f>IF(OR(COUNTA(J39,K39,M39,N39)&gt;0,OR(L39="X",L39="x")),IF(OR(L39="X",L39="x",AND(OR(COUNTA(J39,K39,M39,N39)&gt;0,OR(L39="X",L39="x")),(LEN(SUBSTITUTE(SUBSTITUTE(SUBSTITUTE(J39," ",""),"0",""),"-",""))+LEN(SUBSTITUTE(SUBSTITUTE(SUBSTITUTE(K39," ",""),"0",""),"-","")))=(LEN(SUBSTITUTE(SUBSTITUTE(SUBSTITUTE(M39," ",""),"0",""),"-",""))+LEN(SUBSTITUTE(SUBSTITUTE(SUBSTITUTE(N39," ",""),"0",""),"-",""))))),0,(LEN(SUBSTITUTE(SUBSTITUTE(SUBSTITUTE(J39," ",""),"0",""),"-",""))+LEN(SUBSTITUTE(SUBSTITUTE(SUBSTITUTE(K39," ",""),"0",""),"-",""))&gt;LEN(SUBSTITUTE(SUBSTITUTE(SUBSTITUTE(M39," ",""),"0",""),"-",""))+LEN(SUBSTITUTE(SUBSTITUTE(SUBSTITUTE(N39," ",""),"0",""),"-","")))*1),0)+IF(OR(COUNTA(J40,K40,M40,N40)&gt;0,OR(L40="X",L40="x")),IF(OR(L40="X",L40="x",AND(OR(COUNTA(J40,K40,M40,N40)&gt;0,OR(L40="X",L40="x")),(LEN(SUBSTITUTE(SUBSTITUTE(SUBSTITUTE(J40," ",""),"0",""),"-",""))+LEN(SUBSTITUTE(SUBSTITUTE(SUBSTITUTE(K40," ",""),"0",""),"-","")))=(LEN(SUBSTITUTE(SUBSTITUTE(SUBSTITUTE(M40," ",""),"0",""),"-",""))+LEN(SUBSTITUTE(SUBSTITUTE(SUBSTITUTE(N40," ",""),"0",""),"-",""))))),0,(LEN(SUBSTITUTE(SUBSTITUTE(SUBSTITUTE(J40," ",""),"0",""),"-",""))+LEN(SUBSTITUTE(SUBSTITUTE(SUBSTITUTE(K40," ",""),"0",""),"-",""))&gt;LEN(SUBSTITUTE(SUBSTITUTE(SUBSTITUTE(M40," ",""),"0",""),"-",""))+LEN(SUBSTITUTE(SUBSTITUTE(SUBSTITUTE(N40," ",""),"0",""),"-","")))*1),0)</f>
      </c>
      <c r="K45" s="14" t="str">
        <f>IF(OR(COUNTA(J39,K39,M39,N39)&gt;0,OR(L39="X",L39="x")),IF(OR(L39="X",L39="x",AND(OR(COUNTA(J39,K39,M39,N39)&gt;0,OR(L39="X",L39="x")),(LEN(SUBSTITUTE(SUBSTITUTE(SUBSTITUTE(J39," ",""),"0",""),"-",""))+LEN(SUBSTITUTE(SUBSTITUTE(SUBSTITUTE(K39," ",""),"0",""),"-","")))=(LEN(SUBSTITUTE(SUBSTITUTE(SUBSTITUTE(M39," ",""),"0",""),"-",""))+LEN(SUBSTITUTE(SUBSTITUTE(SUBSTITUTE(N39," ",""),"0",""),"-",""))))),0,(LEN(SUBSTITUTE(SUBSTITUTE(SUBSTITUTE(J39," ",""),"0",""),"-",""))+LEN(SUBSTITUTE(SUBSTITUTE(SUBSTITUTE(K39," ",""),"0",""),"-",""))&lt;LEN(SUBSTITUTE(SUBSTITUTE(SUBSTITUTE(M39," ",""),"0",""),"-",""))+LEN(SUBSTITUTE(SUBSTITUTE(SUBSTITUTE(N39," ",""),"0",""),"-","")))*1),0)+IF(OR(COUNTA(J40,K40,M40,N40)&gt;0,OR(L40="X",L40="x")),IF(OR(L40="X",L40="x",AND(OR(COUNTA(J40,K40,M40,N40)&gt;0,OR(L40="X",L40="x")),(LEN(SUBSTITUTE(SUBSTITUTE(SUBSTITUTE(J40," ",""),"0",""),"-",""))+LEN(SUBSTITUTE(SUBSTITUTE(SUBSTITUTE(K40," ",""),"0",""),"-","")))=(LEN(SUBSTITUTE(SUBSTITUTE(SUBSTITUTE(M40," ",""),"0",""),"-",""))+LEN(SUBSTITUTE(SUBSTITUTE(SUBSTITUTE(N40," ",""),"0",""),"-",""))))),0,(LEN(SUBSTITUTE(SUBSTITUTE(SUBSTITUTE(J40," ",""),"0",""),"-",""))+LEN(SUBSTITUTE(SUBSTITUTE(SUBSTITUTE(K40," ",""),"0",""),"-",""))&lt;LEN(SUBSTITUTE(SUBSTITUTE(SUBSTITUTE(M40," ",""),"0",""),"-",""))+LEN(SUBSTITUTE(SUBSTITUTE(SUBSTITUTE(N40," ",""),"0",""),"-","")))*1),0)</f>
      </c>
      <c r="L45" s="14" t="str">
        <f>IF(OR(COUNTA(J39,K39,M39,N39)&gt;0,OR(L39="X",L39="x")),IF(OR(L39="X",L39="x",AND(OR(COUNTA(J39,K39,M39,N39)&gt;0,OR(L39="X",L39="x")),(LEN(SUBSTITUTE(SUBSTITUTE(SUBSTITUTE(J39," ",""),"0",""),"-",""))+LEN(SUBSTITUTE(SUBSTITUTE(SUBSTITUTE(K39," ",""),"0",""),"-","")))=(LEN(SUBSTITUTE(SUBSTITUTE(SUBSTITUTE(M39," ",""),"0",""),"-",""))+LEN(SUBSTITUTE(SUBSTITUTE(SUBSTITUTE(N39," ",""),"0",""),"-",""))))),1,0),0)+IF(OR(COUNTA(J40,K40,M40,N40)&gt;0,OR(L40="X",L40="x")),IF(OR(L40="X",L40="x",AND(OR(COUNTA(J40,K40,M40,N40)&gt;0,OR(L40="X",L40="x")),(LEN(SUBSTITUTE(SUBSTITUTE(SUBSTITUTE(J40," ",""),"0",""),"-",""))+LEN(SUBSTITUTE(SUBSTITUTE(SUBSTITUTE(K40," ",""),"0",""),"-","")))=(LEN(SUBSTITUTE(SUBSTITUTE(SUBSTITUTE(M40," ",""),"0",""),"-",""))+LEN(SUBSTITUTE(SUBSTITUTE(SUBSTITUTE(N40," ",""),"0",""),"-",""))))),1,0),0)</f>
      </c>
      <c r="M45" s="14" t="str">
        <f>LEN(SUBSTITUTE(SUBSTITUTE(SUBSTITUTE(J39," ",""),"0",""),"-",""))+LEN(SUBSTITUTE(SUBSTITUTE(SUBSTITUTE(K39," ",""),"0",""),"-",""))+LEN(SUBSTITUTE(SUBSTITUTE(SUBSTITUTE(J40," ",""),"0",""),"-",""))+LEN(SUBSTITUTE(SUBSTITUTE(SUBSTITUTE(K40," ",""),"0",""),"-",""))</f>
      </c>
      <c r="N45" s="14" t="str">
        <f>LEN(SUBSTITUTE(SUBSTITUTE(SUBSTITUTE(M39," ",""),"0",""),"-",""))+LEN(SUBSTITUTE(SUBSTITUTE(SUBSTITUTE(N39," ",""),"0",""),"-",""))+LEN(SUBSTITUTE(SUBSTITUTE(SUBSTITUTE(M40," ",""),"0",""),"-",""))+LEN(SUBSTITUTE(SUBSTITUTE(SUBSTITUTE(N40," ",""),"0",""),"-",""))</f>
      </c>
      <c r="O45" s="18" t="str">
        <f>RANK(AC45,$AC$43:$AC$45)+COUNTIF($AC$42:AC44,AC45)</f>
      </c>
      <c r="U45" t="str">
        <f>(B45*1000000)-(C45*10000)+(D45*100)+(E45*1)-(F45*0.01)</f>
      </c>
      <c r="AC45" t="str">
        <f>(J45*1000000)-(K45*10000)+(L45*100)+(M45*1)-(N45*0.01)</f>
      </c>
    </row>
    <row r="48">
      <c r="F48" s="13"/>
      <c r="G48" s="13" t="s">
        <v>341</v>
      </c>
      <c r="N48" s="13"/>
      <c r="O48" s="13" t="s">
        <v>341</v>
      </c>
    </row>
    <row r="49">
      <c r="F49" t="s">
        <v>342</v>
      </c>
      <c r="G49" s="19" t="str">
        <f>IFERROR(INDEX($A$43:$A$45, MATCH(1, $G$43:$G$45, 0)), "-")</f>
      </c>
      <c r="N49" t="s">
        <v>342</v>
      </c>
      <c r="O49" s="19" t="str">
        <f>IFERROR(INDEX($I$43:$I$45, MATCH(1, $O$43:$O$45, 0)), "-")</f>
      </c>
    </row>
    <row r="50">
      <c r="F50" t="s">
        <v>343</v>
      </c>
      <c r="G50" s="19" t="str">
        <f>IFERROR(INDEX($A$43:$A$45, MATCH(2, $G$43:$G$45, 0)), "-")</f>
      </c>
      <c r="N50" t="s">
        <v>343</v>
      </c>
      <c r="O50" s="19" t="str">
        <f>IFERROR(INDEX($I$43:$I$45, MATCH(2, $O$43:$O$45, 0)), "-")</f>
      </c>
    </row>
    <row r="51">
      <c r="F51" t="s">
        <v>344</v>
      </c>
      <c r="G51" s="19" t="str">
        <f>IFERROR(INDEX($A$43:$A$45, MATCH(3, $G$43:$G$45, 0)), "-")</f>
      </c>
      <c r="N51" t="s">
        <v>344</v>
      </c>
      <c r="O51" s="19" t="str">
        <f>IFERROR(INDEX($I$43:$I$45, MATCH(3, $O$43:$O$45, 0)), "-")</f>
      </c>
    </row>
    <row r="53">
      <c r="A53" s="13" t="str">
        <f>'data'!$A$14</f>
      </c>
      <c r="B53" s="13"/>
      <c r="C53" s="13"/>
      <c r="D53" s="13"/>
      <c r="E53" s="13"/>
      <c r="F53" s="13"/>
      <c r="G53" s="13"/>
      <c r="I53" s="13" t="str">
        <f>'data'!$A$61</f>
      </c>
      <c r="J53" s="13"/>
      <c r="K53" s="13"/>
      <c r="L53" s="13"/>
      <c r="M53" s="13"/>
      <c r="N53" s="13"/>
      <c r="O53" s="13"/>
    </row>
    <row r="54">
      <c r="A54" s="17" t="s">
        <v>331</v>
      </c>
      <c r="D54" s="14" t="s">
        <v>332</v>
      </c>
      <c r="G54" s="16" t="s">
        <v>333</v>
      </c>
      <c r="I54" s="17" t="s">
        <v>331</v>
      </c>
      <c r="L54" s="14" t="s">
        <v>332</v>
      </c>
      <c r="O54" s="16" t="s">
        <v>333</v>
      </c>
    </row>
    <row r="55">
      <c r="A55" s="14" t="str">
        <f>data!$E$13&amp;" "&amp;data!$B$13</f>
      </c>
      <c r="B55" s="18"/>
      <c r="C55" s="18"/>
      <c r="D55" s="18"/>
      <c r="E55" s="18"/>
      <c r="F55" s="18"/>
      <c r="G55" s="14" t="str">
        <f>data!$E$12&amp;" "&amp;data!$B$12</f>
      </c>
      <c r="I55" s="14" t="str">
        <f>data!$E$60&amp;" "&amp;data!$B$60</f>
      </c>
      <c r="J55" s="18"/>
      <c r="K55" s="18"/>
      <c r="L55" s="18"/>
      <c r="M55" s="18"/>
      <c r="N55" s="18"/>
      <c r="O55" s="14" t="str">
        <f>data!$E$59&amp;" "&amp;data!$B$59</f>
      </c>
    </row>
    <row r="56">
      <c r="A56" s="14" t="str">
        <f>data!$E$14&amp;" "&amp;data!$B$14</f>
      </c>
      <c r="B56" s="18"/>
      <c r="C56" s="18"/>
      <c r="D56" s="18"/>
      <c r="E56" s="18"/>
      <c r="F56" s="18"/>
      <c r="G56" s="14" t="str">
        <f>data!$E$12&amp;" "&amp;data!$B$12</f>
      </c>
      <c r="I56" s="14" t="str">
        <f>data!$E$61&amp;" "&amp;data!$B$61</f>
      </c>
      <c r="J56" s="18"/>
      <c r="K56" s="18"/>
      <c r="L56" s="18"/>
      <c r="M56" s="18"/>
      <c r="N56" s="18"/>
      <c r="O56" s="14" t="str">
        <f>data!$E$59&amp;" "&amp;data!$B$59</f>
      </c>
    </row>
    <row r="57">
      <c r="A57" s="14" t="str">
        <f>data!$E$14&amp;" "&amp;data!$B$14</f>
      </c>
      <c r="B57" s="18"/>
      <c r="C57" s="18"/>
      <c r="D57" s="18"/>
      <c r="E57" s="18"/>
      <c r="F57" s="18"/>
      <c r="G57" s="14" t="str">
        <f>data!$E$13&amp;" "&amp;data!$B$13</f>
      </c>
      <c r="I57" s="14" t="str">
        <f>data!$E$61&amp;" "&amp;data!$B$61</f>
      </c>
      <c r="J57" s="18"/>
      <c r="K57" s="18"/>
      <c r="L57" s="18"/>
      <c r="M57" s="18"/>
      <c r="N57" s="18"/>
      <c r="O57" s="14" t="str">
        <f>data!$E$60&amp;" "&amp;data!$B$60</f>
      </c>
    </row>
    <row r="59">
      <c r="A59" s="13" t="s">
        <v>334</v>
      </c>
      <c r="B59" s="13" t="s">
        <v>335</v>
      </c>
      <c r="C59" s="13" t="s">
        <v>336</v>
      </c>
      <c r="D59" s="13" t="s">
        <v>337</v>
      </c>
      <c r="E59" s="13" t="s">
        <v>338</v>
      </c>
      <c r="F59" s="13" t="s">
        <v>339</v>
      </c>
      <c r="G59" s="13" t="s">
        <v>340</v>
      </c>
      <c r="I59" s="13" t="s">
        <v>334</v>
      </c>
      <c r="J59" s="13" t="s">
        <v>335</v>
      </c>
      <c r="K59" s="13" t="s">
        <v>336</v>
      </c>
      <c r="L59" s="13" t="s">
        <v>337</v>
      </c>
      <c r="M59" s="13" t="s">
        <v>338</v>
      </c>
      <c r="N59" s="13" t="s">
        <v>339</v>
      </c>
      <c r="O59" s="13" t="s">
        <v>340</v>
      </c>
    </row>
    <row r="60">
      <c r="A60" s="14" t="str">
        <f>data!$E$12&amp;" "&amp;data!$B$12</f>
      </c>
      <c r="B60" s="14" t="str">
        <f>IF(OR(COUNTA(B55,C55,E55,F55)&gt;0,OR(D55="X",D55="x")),IF(OR(D55="X",D55="x",AND(OR(COUNTA(B55,C55,E55,F55)&gt;0,OR(D55="X",D55="x")),(LEN(SUBSTITUTE(SUBSTITUTE(SUBSTITUTE(B55," ",""),"0",""),"-",""))+LEN(SUBSTITUTE(SUBSTITUTE(SUBSTITUTE(C55," ",""),"0",""),"-","")))=(LEN(SUBSTITUTE(SUBSTITUTE(SUBSTITUTE(E55," ",""),"0",""),"-",""))+LEN(SUBSTITUTE(SUBSTITUTE(SUBSTITUTE(F55," ",""),"0",""),"-",""))))),0,(LEN(SUBSTITUTE(SUBSTITUTE(SUBSTITUTE(E55," ",""),"0",""),"-",""))+LEN(SUBSTITUTE(SUBSTITUTE(SUBSTITUTE(F55," ",""),"0",""),"-",""))&gt;LEN(SUBSTITUTE(SUBSTITUTE(SUBSTITUTE(B55," ",""),"0",""),"-",""))+LEN(SUBSTITUTE(SUBSTITUTE(SUBSTITUTE(C55," ",""),"0",""),"-","")))*1),0)+IF(OR(COUNTA(B56,C56,E56,F56)&gt;0,OR(D56="X",D56="x")),IF(OR(D56="X",D56="x",AND(OR(COUNTA(B56,C56,E56,F56)&gt;0,OR(D56="X",D56="x")),(LEN(SUBSTITUTE(SUBSTITUTE(SUBSTITUTE(B56," ",""),"0",""),"-",""))+LEN(SUBSTITUTE(SUBSTITUTE(SUBSTITUTE(C56," ",""),"0",""),"-","")))=(LEN(SUBSTITUTE(SUBSTITUTE(SUBSTITUTE(E56," ",""),"0",""),"-",""))+LEN(SUBSTITUTE(SUBSTITUTE(SUBSTITUTE(F56," ",""),"0",""),"-",""))))),0,(LEN(SUBSTITUTE(SUBSTITUTE(SUBSTITUTE(E56," ",""),"0",""),"-",""))+LEN(SUBSTITUTE(SUBSTITUTE(SUBSTITUTE(F56," ",""),"0",""),"-",""))&gt;LEN(SUBSTITUTE(SUBSTITUTE(SUBSTITUTE(B56," ",""),"0",""),"-",""))+LEN(SUBSTITUTE(SUBSTITUTE(SUBSTITUTE(C56," ",""),"0",""),"-","")))*1),0)</f>
      </c>
      <c r="C60" s="14" t="str">
        <f>IF(OR(COUNTA(B55,C55,E55,F55)&gt;0,OR(D55="X",D55="x")),IF(OR(D55="X",D55="x",AND(OR(COUNTA(B55,C55,E55,F55)&gt;0,OR(D55="X",D55="x")),(LEN(SUBSTITUTE(SUBSTITUTE(SUBSTITUTE(B55," ",""),"0",""),"-",""))+LEN(SUBSTITUTE(SUBSTITUTE(SUBSTITUTE(C55," ",""),"0",""),"-","")))=(LEN(SUBSTITUTE(SUBSTITUTE(SUBSTITUTE(E55," ",""),"0",""),"-",""))+LEN(SUBSTITUTE(SUBSTITUTE(SUBSTITUTE(F55," ",""),"0",""),"-",""))))),0,(LEN(SUBSTITUTE(SUBSTITUTE(SUBSTITUTE(E55," ",""),"0",""),"-",""))+LEN(SUBSTITUTE(SUBSTITUTE(SUBSTITUTE(F55," ",""),"0",""),"-",""))&lt;LEN(SUBSTITUTE(SUBSTITUTE(SUBSTITUTE(B55," ",""),"0",""),"-",""))+LEN(SUBSTITUTE(SUBSTITUTE(SUBSTITUTE(C55," ",""),"0",""),"-","")))*1),0)+IF(OR(COUNTA(B56,C56,E56,F56)&gt;0,OR(D56="X",D56="x")),IF(OR(D56="X",D56="x",AND(OR(COUNTA(B56,C56,E56,F56)&gt;0,OR(D56="X",D56="x")),(LEN(SUBSTITUTE(SUBSTITUTE(SUBSTITUTE(B56," ",""),"0",""),"-",""))+LEN(SUBSTITUTE(SUBSTITUTE(SUBSTITUTE(C56," ",""),"0",""),"-","")))=(LEN(SUBSTITUTE(SUBSTITUTE(SUBSTITUTE(E56," ",""),"0",""),"-",""))+LEN(SUBSTITUTE(SUBSTITUTE(SUBSTITUTE(F56," ",""),"0",""),"-",""))))),0,(LEN(SUBSTITUTE(SUBSTITUTE(SUBSTITUTE(E56," ",""),"0",""),"-",""))+LEN(SUBSTITUTE(SUBSTITUTE(SUBSTITUTE(F56," ",""),"0",""),"-",""))&lt;LEN(SUBSTITUTE(SUBSTITUTE(SUBSTITUTE(B56," ",""),"0",""),"-",""))+LEN(SUBSTITUTE(SUBSTITUTE(SUBSTITUTE(C56," ",""),"0",""),"-","")))*1),0)</f>
      </c>
      <c r="D60" s="14" t="str">
        <f>IF(OR(COUNTA(B55,C55,E55,F55)&gt;0,OR(D55="X",D55="x")),IF(OR(D55="X",D55="x",AND(OR(COUNTA(B55,C55,E55,F55)&gt;0,OR(D55="X",D55="x")),(LEN(SUBSTITUTE(SUBSTITUTE(SUBSTITUTE(B55," ",""),"0",""),"-",""))+LEN(SUBSTITUTE(SUBSTITUTE(SUBSTITUTE(C55," ",""),"0",""),"-","")))=(LEN(SUBSTITUTE(SUBSTITUTE(SUBSTITUTE(E55," ",""),"0",""),"-",""))+LEN(SUBSTITUTE(SUBSTITUTE(SUBSTITUTE(F55," ",""),"0",""),"-",""))))),1,0),0)+IF(OR(COUNTA(B56,C56,E56,F56)&gt;0,OR(D56="X",D56="x")),IF(OR(D56="X",D56="x",AND(OR(COUNTA(B56,C56,E56,F56)&gt;0,OR(D56="X",D56="x")),(LEN(SUBSTITUTE(SUBSTITUTE(SUBSTITUTE(B56," ",""),"0",""),"-",""))+LEN(SUBSTITUTE(SUBSTITUTE(SUBSTITUTE(C56," ",""),"0",""),"-","")))=(LEN(SUBSTITUTE(SUBSTITUTE(SUBSTITUTE(E56," ",""),"0",""),"-",""))+LEN(SUBSTITUTE(SUBSTITUTE(SUBSTITUTE(F56," ",""),"0",""),"-",""))))),1,0),0)</f>
      </c>
      <c r="E60" s="14" t="str">
        <f>LEN(SUBSTITUTE(SUBSTITUTE(SUBSTITUTE(E55," ",""),"0",""),"-",""))+LEN(SUBSTITUTE(SUBSTITUTE(SUBSTITUTE(F55," ",""),"0",""),"-",""))+LEN(SUBSTITUTE(SUBSTITUTE(SUBSTITUTE(E56," ",""),"0",""),"-",""))+LEN(SUBSTITUTE(SUBSTITUTE(SUBSTITUTE(F56," ",""),"0",""),"-",""))</f>
      </c>
      <c r="F60" s="14" t="str">
        <f>LEN(SUBSTITUTE(SUBSTITUTE(SUBSTITUTE(B55," ",""),"0",""),"-",""))+LEN(SUBSTITUTE(SUBSTITUTE(SUBSTITUTE(C55," ",""),"0",""),"-",""))+LEN(SUBSTITUTE(SUBSTITUTE(SUBSTITUTE(B56," ",""),"0",""),"-",""))+LEN(SUBSTITUTE(SUBSTITUTE(SUBSTITUTE(C56," ",""),"0",""),"-",""))</f>
      </c>
      <c r="G60" s="18" t="str">
        <f>RANK(U60,$U$60:$U$62)+COUNTIF($U$59:U59,U60)</f>
      </c>
      <c r="I60" s="14" t="str">
        <f>data!$E$59&amp;" "&amp;data!$B$59</f>
      </c>
      <c r="J60" s="14" t="str">
        <f>IF(OR(COUNTA(J55,K55,M55,N55)&gt;0,OR(L55="X",L55="x")),IF(OR(L55="X",L55="x",AND(OR(COUNTA(J55,K55,M55,N55)&gt;0,OR(L55="X",L55="x")),(LEN(SUBSTITUTE(SUBSTITUTE(SUBSTITUTE(J55," ",""),"0",""),"-",""))+LEN(SUBSTITUTE(SUBSTITUTE(SUBSTITUTE(K55," ",""),"0",""),"-","")))=(LEN(SUBSTITUTE(SUBSTITUTE(SUBSTITUTE(M55," ",""),"0",""),"-",""))+LEN(SUBSTITUTE(SUBSTITUTE(SUBSTITUTE(N55," ",""),"0",""),"-",""))))),0,(LEN(SUBSTITUTE(SUBSTITUTE(SUBSTITUTE(M55," ",""),"0",""),"-",""))+LEN(SUBSTITUTE(SUBSTITUTE(SUBSTITUTE(N55," ",""),"0",""),"-",""))&gt;LEN(SUBSTITUTE(SUBSTITUTE(SUBSTITUTE(J55," ",""),"0",""),"-",""))+LEN(SUBSTITUTE(SUBSTITUTE(SUBSTITUTE(K55," ",""),"0",""),"-","")))*1),0)+IF(OR(COUNTA(J56,K56,M56,N56)&gt;0,OR(L56="X",L56="x")),IF(OR(L56="X",L56="x",AND(OR(COUNTA(J56,K56,M56,N56)&gt;0,OR(L56="X",L56="x")),(LEN(SUBSTITUTE(SUBSTITUTE(SUBSTITUTE(J56," ",""),"0",""),"-",""))+LEN(SUBSTITUTE(SUBSTITUTE(SUBSTITUTE(K56," ",""),"0",""),"-","")))=(LEN(SUBSTITUTE(SUBSTITUTE(SUBSTITUTE(M56," ",""),"0",""),"-",""))+LEN(SUBSTITUTE(SUBSTITUTE(SUBSTITUTE(N56," ",""),"0",""),"-",""))))),0,(LEN(SUBSTITUTE(SUBSTITUTE(SUBSTITUTE(M56," ",""),"0",""),"-",""))+LEN(SUBSTITUTE(SUBSTITUTE(SUBSTITUTE(N56," ",""),"0",""),"-",""))&gt;LEN(SUBSTITUTE(SUBSTITUTE(SUBSTITUTE(J56," ",""),"0",""),"-",""))+LEN(SUBSTITUTE(SUBSTITUTE(SUBSTITUTE(K56," ",""),"0",""),"-","")))*1),0)</f>
      </c>
      <c r="K60" s="14" t="str">
        <f>IF(OR(COUNTA(J55,K55,M55,N55)&gt;0,OR(L55="X",L55="x")),IF(OR(L55="X",L55="x",AND(OR(COUNTA(J55,K55,M55,N55)&gt;0,OR(L55="X",L55="x")),(LEN(SUBSTITUTE(SUBSTITUTE(SUBSTITUTE(J55," ",""),"0",""),"-",""))+LEN(SUBSTITUTE(SUBSTITUTE(SUBSTITUTE(K55," ",""),"0",""),"-","")))=(LEN(SUBSTITUTE(SUBSTITUTE(SUBSTITUTE(M55," ",""),"0",""),"-",""))+LEN(SUBSTITUTE(SUBSTITUTE(SUBSTITUTE(N55," ",""),"0",""),"-",""))))),0,(LEN(SUBSTITUTE(SUBSTITUTE(SUBSTITUTE(M55," ",""),"0",""),"-",""))+LEN(SUBSTITUTE(SUBSTITUTE(SUBSTITUTE(N55," ",""),"0",""),"-",""))&lt;LEN(SUBSTITUTE(SUBSTITUTE(SUBSTITUTE(J55," ",""),"0",""),"-",""))+LEN(SUBSTITUTE(SUBSTITUTE(SUBSTITUTE(K55," ",""),"0",""),"-","")))*1),0)+IF(OR(COUNTA(J56,K56,M56,N56)&gt;0,OR(L56="X",L56="x")),IF(OR(L56="X",L56="x",AND(OR(COUNTA(J56,K56,M56,N56)&gt;0,OR(L56="X",L56="x")),(LEN(SUBSTITUTE(SUBSTITUTE(SUBSTITUTE(J56," ",""),"0",""),"-",""))+LEN(SUBSTITUTE(SUBSTITUTE(SUBSTITUTE(K56," ",""),"0",""),"-","")))=(LEN(SUBSTITUTE(SUBSTITUTE(SUBSTITUTE(M56," ",""),"0",""),"-",""))+LEN(SUBSTITUTE(SUBSTITUTE(SUBSTITUTE(N56," ",""),"0",""),"-",""))))),0,(LEN(SUBSTITUTE(SUBSTITUTE(SUBSTITUTE(M56," ",""),"0",""),"-",""))+LEN(SUBSTITUTE(SUBSTITUTE(SUBSTITUTE(N56," ",""),"0",""),"-",""))&lt;LEN(SUBSTITUTE(SUBSTITUTE(SUBSTITUTE(J56," ",""),"0",""),"-",""))+LEN(SUBSTITUTE(SUBSTITUTE(SUBSTITUTE(K56," ",""),"0",""),"-","")))*1),0)</f>
      </c>
      <c r="L60" s="14" t="str">
        <f>IF(OR(COUNTA(J55,K55,M55,N55)&gt;0,OR(L55="X",L55="x")),IF(OR(L55="X",L55="x",AND(OR(COUNTA(J55,K55,M55,N55)&gt;0,OR(L55="X",L55="x")),(LEN(SUBSTITUTE(SUBSTITUTE(SUBSTITUTE(J55," ",""),"0",""),"-",""))+LEN(SUBSTITUTE(SUBSTITUTE(SUBSTITUTE(K55," ",""),"0",""),"-","")))=(LEN(SUBSTITUTE(SUBSTITUTE(SUBSTITUTE(M55," ",""),"0",""),"-",""))+LEN(SUBSTITUTE(SUBSTITUTE(SUBSTITUTE(N55," ",""),"0",""),"-",""))))),1,0),0)+IF(OR(COUNTA(J56,K56,M56,N56)&gt;0,OR(L56="X",L56="x")),IF(OR(L56="X",L56="x",AND(OR(COUNTA(J56,K56,M56,N56)&gt;0,OR(L56="X",L56="x")),(LEN(SUBSTITUTE(SUBSTITUTE(SUBSTITUTE(J56," ",""),"0",""),"-",""))+LEN(SUBSTITUTE(SUBSTITUTE(SUBSTITUTE(K56," ",""),"0",""),"-","")))=(LEN(SUBSTITUTE(SUBSTITUTE(SUBSTITUTE(M56," ",""),"0",""),"-",""))+LEN(SUBSTITUTE(SUBSTITUTE(SUBSTITUTE(N56," ",""),"0",""),"-",""))))),1,0),0)</f>
      </c>
      <c r="M60" s="14" t="str">
        <f>LEN(SUBSTITUTE(SUBSTITUTE(SUBSTITUTE(M55," ",""),"0",""),"-",""))+LEN(SUBSTITUTE(SUBSTITUTE(SUBSTITUTE(N55," ",""),"0",""),"-",""))+LEN(SUBSTITUTE(SUBSTITUTE(SUBSTITUTE(M56," ",""),"0",""),"-",""))+LEN(SUBSTITUTE(SUBSTITUTE(SUBSTITUTE(N56," ",""),"0",""),"-",""))</f>
      </c>
      <c r="N60" s="14" t="str">
        <f>LEN(SUBSTITUTE(SUBSTITUTE(SUBSTITUTE(J55," ",""),"0",""),"-",""))+LEN(SUBSTITUTE(SUBSTITUTE(SUBSTITUTE(K55," ",""),"0",""),"-",""))+LEN(SUBSTITUTE(SUBSTITUTE(SUBSTITUTE(J56," ",""),"0",""),"-",""))+LEN(SUBSTITUTE(SUBSTITUTE(SUBSTITUTE(K56," ",""),"0",""),"-",""))</f>
      </c>
      <c r="O60" s="18" t="str">
        <f>RANK(AC60,$AC$60:$AC$62)+COUNTIF($AC$59:AC59,AC60)</f>
      </c>
      <c r="U60" t="str">
        <f>(B60*1000000)-(C60*10000)+(D60*100)+(E60*1)-(F60*0.01)</f>
      </c>
      <c r="AC60" t="str">
        <f>(J60*1000000)-(K60*10000)+(L60*100)+(M60*1)-(N60*0.01)</f>
      </c>
    </row>
    <row r="61">
      <c r="A61" s="14" t="str">
        <f>data!$E$13&amp;" "&amp;data!$B$13</f>
      </c>
      <c r="B61" s="14" t="str">
        <f>IF(OR(COUNTA(B55,C55,E55,F55)&gt;0,OR(D55="X",D55="x")),IF(OR(D55="X",D55="x",AND(OR(COUNTA(B55,C55,E55,F55)&gt;0,OR(D55="X",D55="x")),(LEN(SUBSTITUTE(SUBSTITUTE(SUBSTITUTE(B55," ",""),"0",""),"-",""))+LEN(SUBSTITUTE(SUBSTITUTE(SUBSTITUTE(C55," ",""),"0",""),"-","")))=(LEN(SUBSTITUTE(SUBSTITUTE(SUBSTITUTE(E55," ",""),"0",""),"-",""))+LEN(SUBSTITUTE(SUBSTITUTE(SUBSTITUTE(F55," ",""),"0",""),"-",""))))),0,(LEN(SUBSTITUTE(SUBSTITUTE(SUBSTITUTE(B55," ",""),"0",""),"-",""))+LEN(SUBSTITUTE(SUBSTITUTE(SUBSTITUTE(C55," ",""),"0",""),"-",""))&gt;LEN(SUBSTITUTE(SUBSTITUTE(SUBSTITUTE(E55," ",""),"0",""),"-",""))+LEN(SUBSTITUTE(SUBSTITUTE(SUBSTITUTE(F55," ",""),"0",""),"-","")))*1),0)+IF(OR(COUNTA(B57,C57,E57,F57)&gt;0,OR(D57="X",D57="x")),IF(OR(D57="X",D57="x",AND(OR(COUNTA(B57,C57,E57,F57)&gt;0,OR(D57="X",D57="x")),(LEN(SUBSTITUTE(SUBSTITUTE(SUBSTITUTE(B57," ",""),"0",""),"-",""))+LEN(SUBSTITUTE(SUBSTITUTE(SUBSTITUTE(C57," ",""),"0",""),"-","")))=(LEN(SUBSTITUTE(SUBSTITUTE(SUBSTITUTE(E57," ",""),"0",""),"-",""))+LEN(SUBSTITUTE(SUBSTITUTE(SUBSTITUTE(F57," ",""),"0",""),"-",""))))),0,(LEN(SUBSTITUTE(SUBSTITUTE(SUBSTITUTE(E57," ",""),"0",""),"-",""))+LEN(SUBSTITUTE(SUBSTITUTE(SUBSTITUTE(F57," ",""),"0",""),"-",""))&gt;LEN(SUBSTITUTE(SUBSTITUTE(SUBSTITUTE(B57," ",""),"0",""),"-",""))+LEN(SUBSTITUTE(SUBSTITUTE(SUBSTITUTE(C57," ",""),"0",""),"-","")))*1),0)</f>
      </c>
      <c r="C61" s="14" t="str">
        <f>IF(OR(COUNTA(B55,C55,E55,F55)&gt;0,OR(D55="X",D55="x")),IF(OR(D55="X",D55="x",AND(OR(COUNTA(B55,C55,E55,F55)&gt;0,OR(D55="X",D55="x")),(LEN(SUBSTITUTE(SUBSTITUTE(SUBSTITUTE(B55," ",""),"0",""),"-",""))+LEN(SUBSTITUTE(SUBSTITUTE(SUBSTITUTE(C55," ",""),"0",""),"-","")))=(LEN(SUBSTITUTE(SUBSTITUTE(SUBSTITUTE(E55," ",""),"0",""),"-",""))+LEN(SUBSTITUTE(SUBSTITUTE(SUBSTITUTE(F55," ",""),"0",""),"-",""))))),0,(LEN(SUBSTITUTE(SUBSTITUTE(SUBSTITUTE(B55," ",""),"0",""),"-",""))+LEN(SUBSTITUTE(SUBSTITUTE(SUBSTITUTE(C55," ",""),"0",""),"-",""))&lt;LEN(SUBSTITUTE(SUBSTITUTE(SUBSTITUTE(E55," ",""),"0",""),"-",""))+LEN(SUBSTITUTE(SUBSTITUTE(SUBSTITUTE(F55," ",""),"0",""),"-","")))*1),0)+IF(OR(COUNTA(B57,C57,E57,F57)&gt;0,OR(D57="X",D57="x")),IF(OR(D57="X",D57="x",AND(OR(COUNTA(B57,C57,E57,F57)&gt;0,OR(D57="X",D57="x")),(LEN(SUBSTITUTE(SUBSTITUTE(SUBSTITUTE(B57," ",""),"0",""),"-",""))+LEN(SUBSTITUTE(SUBSTITUTE(SUBSTITUTE(C57," ",""),"0",""),"-","")))=(LEN(SUBSTITUTE(SUBSTITUTE(SUBSTITUTE(E57," ",""),"0",""),"-",""))+LEN(SUBSTITUTE(SUBSTITUTE(SUBSTITUTE(F57," ",""),"0",""),"-",""))))),0,(LEN(SUBSTITUTE(SUBSTITUTE(SUBSTITUTE(E57," ",""),"0",""),"-",""))+LEN(SUBSTITUTE(SUBSTITUTE(SUBSTITUTE(F57," ",""),"0",""),"-",""))&lt;LEN(SUBSTITUTE(SUBSTITUTE(SUBSTITUTE(B57," ",""),"0",""),"-",""))+LEN(SUBSTITUTE(SUBSTITUTE(SUBSTITUTE(C57," ",""),"0",""),"-","")))*1),0)</f>
      </c>
      <c r="D61" s="14" t="str">
        <f>IF(OR(COUNTA(B55,C55,E55,F55)&gt;0,OR(D55="X",D55="x")),IF(OR(D55="X",D55="x",AND(OR(COUNTA(B55,C55,E55,F55)&gt;0,OR(D55="X",D55="x")),(LEN(SUBSTITUTE(SUBSTITUTE(SUBSTITUTE(B55," ",""),"0",""),"-",""))+LEN(SUBSTITUTE(SUBSTITUTE(SUBSTITUTE(C55," ",""),"0",""),"-","")))=(LEN(SUBSTITUTE(SUBSTITUTE(SUBSTITUTE(E55," ",""),"0",""),"-",""))+LEN(SUBSTITUTE(SUBSTITUTE(SUBSTITUTE(F55," ",""),"0",""),"-",""))))),1,0),0)+IF(OR(COUNTA(B57,C57,E57,F57)&gt;0,OR(D57="X",D57="x")),IF(OR(D57="X",D57="x",AND(OR(COUNTA(B57,C57,E57,F57)&gt;0,OR(D57="X",D57="x")),(LEN(SUBSTITUTE(SUBSTITUTE(SUBSTITUTE(B57," ",""),"0",""),"-",""))+LEN(SUBSTITUTE(SUBSTITUTE(SUBSTITUTE(C57," ",""),"0",""),"-","")))=(LEN(SUBSTITUTE(SUBSTITUTE(SUBSTITUTE(E57," ",""),"0",""),"-",""))+LEN(SUBSTITUTE(SUBSTITUTE(SUBSTITUTE(F57," ",""),"0",""),"-",""))))),1,0),0)</f>
      </c>
      <c r="E61" s="14" t="str">
        <f>LEN(SUBSTITUTE(SUBSTITUTE(SUBSTITUTE(B55," ",""),"0",""),"-",""))+LEN(SUBSTITUTE(SUBSTITUTE(SUBSTITUTE(C55," ",""),"0",""),"-",""))+LEN(SUBSTITUTE(SUBSTITUTE(SUBSTITUTE(E57," ",""),"0",""),"-",""))+LEN(SUBSTITUTE(SUBSTITUTE(SUBSTITUTE(F57," ",""),"0",""),"-",""))</f>
      </c>
      <c r="F61" s="14" t="str">
        <f>LEN(SUBSTITUTE(SUBSTITUTE(SUBSTITUTE(E55," ",""),"0",""),"-",""))+LEN(SUBSTITUTE(SUBSTITUTE(SUBSTITUTE(F55," ",""),"0",""),"-",""))+LEN(SUBSTITUTE(SUBSTITUTE(SUBSTITUTE(B57," ",""),"0",""),"-",""))+LEN(SUBSTITUTE(SUBSTITUTE(SUBSTITUTE(C57," ",""),"0",""),"-",""))</f>
      </c>
      <c r="G61" s="18" t="str">
        <f>RANK(U61,$U$60:$U$62)+COUNTIF($U$59:U60,U61)</f>
      </c>
      <c r="I61" s="14" t="str">
        <f>data!$E$60&amp;" "&amp;data!$B$60</f>
      </c>
      <c r="J61" s="14" t="str">
        <f>IF(OR(COUNTA(J55,K55,M55,N55)&gt;0,OR(L55="X",L55="x")),IF(OR(L55="X",L55="x",AND(OR(COUNTA(J55,K55,M55,N55)&gt;0,OR(L55="X",L55="x")),(LEN(SUBSTITUTE(SUBSTITUTE(SUBSTITUTE(J55," ",""),"0",""),"-",""))+LEN(SUBSTITUTE(SUBSTITUTE(SUBSTITUTE(K55," ",""),"0",""),"-","")))=(LEN(SUBSTITUTE(SUBSTITUTE(SUBSTITUTE(M55," ",""),"0",""),"-",""))+LEN(SUBSTITUTE(SUBSTITUTE(SUBSTITUTE(N55," ",""),"0",""),"-",""))))),0,(LEN(SUBSTITUTE(SUBSTITUTE(SUBSTITUTE(J55," ",""),"0",""),"-",""))+LEN(SUBSTITUTE(SUBSTITUTE(SUBSTITUTE(K55," ",""),"0",""),"-",""))&gt;LEN(SUBSTITUTE(SUBSTITUTE(SUBSTITUTE(M55," ",""),"0",""),"-",""))+LEN(SUBSTITUTE(SUBSTITUTE(SUBSTITUTE(N55," ",""),"0",""),"-","")))*1),0)+IF(OR(COUNTA(J57,K57,M57,N57)&gt;0,OR(L57="X",L57="x")),IF(OR(L57="X",L57="x",AND(OR(COUNTA(J57,K57,M57,N57)&gt;0,OR(L57="X",L57="x")),(LEN(SUBSTITUTE(SUBSTITUTE(SUBSTITUTE(J57," ",""),"0",""),"-",""))+LEN(SUBSTITUTE(SUBSTITUTE(SUBSTITUTE(K57," ",""),"0",""),"-","")))=(LEN(SUBSTITUTE(SUBSTITUTE(SUBSTITUTE(M57," ",""),"0",""),"-",""))+LEN(SUBSTITUTE(SUBSTITUTE(SUBSTITUTE(N57," ",""),"0",""),"-",""))))),0,(LEN(SUBSTITUTE(SUBSTITUTE(SUBSTITUTE(M57," ",""),"0",""),"-",""))+LEN(SUBSTITUTE(SUBSTITUTE(SUBSTITUTE(N57," ",""),"0",""),"-",""))&gt;LEN(SUBSTITUTE(SUBSTITUTE(SUBSTITUTE(J57," ",""),"0",""),"-",""))+LEN(SUBSTITUTE(SUBSTITUTE(SUBSTITUTE(K57," ",""),"0",""),"-","")))*1),0)</f>
      </c>
      <c r="K61" s="14" t="str">
        <f>IF(OR(COUNTA(J55,K55,M55,N55)&gt;0,OR(L55="X",L55="x")),IF(OR(L55="X",L55="x",AND(OR(COUNTA(J55,K55,M55,N55)&gt;0,OR(L55="X",L55="x")),(LEN(SUBSTITUTE(SUBSTITUTE(SUBSTITUTE(J55," ",""),"0",""),"-",""))+LEN(SUBSTITUTE(SUBSTITUTE(SUBSTITUTE(K55," ",""),"0",""),"-","")))=(LEN(SUBSTITUTE(SUBSTITUTE(SUBSTITUTE(M55," ",""),"0",""),"-",""))+LEN(SUBSTITUTE(SUBSTITUTE(SUBSTITUTE(N55," ",""),"0",""),"-",""))))),0,(LEN(SUBSTITUTE(SUBSTITUTE(SUBSTITUTE(J55," ",""),"0",""),"-",""))+LEN(SUBSTITUTE(SUBSTITUTE(SUBSTITUTE(K55," ",""),"0",""),"-",""))&lt;LEN(SUBSTITUTE(SUBSTITUTE(SUBSTITUTE(M55," ",""),"0",""),"-",""))+LEN(SUBSTITUTE(SUBSTITUTE(SUBSTITUTE(N55," ",""),"0",""),"-","")))*1),0)+IF(OR(COUNTA(J57,K57,M57,N57)&gt;0,OR(L57="X",L57="x")),IF(OR(L57="X",L57="x",AND(OR(COUNTA(J57,K57,M57,N57)&gt;0,OR(L57="X",L57="x")),(LEN(SUBSTITUTE(SUBSTITUTE(SUBSTITUTE(J57," ",""),"0",""),"-",""))+LEN(SUBSTITUTE(SUBSTITUTE(SUBSTITUTE(K57," ",""),"0",""),"-","")))=(LEN(SUBSTITUTE(SUBSTITUTE(SUBSTITUTE(M57," ",""),"0",""),"-",""))+LEN(SUBSTITUTE(SUBSTITUTE(SUBSTITUTE(N57," ",""),"0",""),"-",""))))),0,(LEN(SUBSTITUTE(SUBSTITUTE(SUBSTITUTE(M57," ",""),"0",""),"-",""))+LEN(SUBSTITUTE(SUBSTITUTE(SUBSTITUTE(N57," ",""),"0",""),"-",""))&lt;LEN(SUBSTITUTE(SUBSTITUTE(SUBSTITUTE(J57," ",""),"0",""),"-",""))+LEN(SUBSTITUTE(SUBSTITUTE(SUBSTITUTE(K57," ",""),"0",""),"-","")))*1),0)</f>
      </c>
      <c r="L61" s="14" t="str">
        <f>IF(OR(COUNTA(J55,K55,M55,N55)&gt;0,OR(L55="X",L55="x")),IF(OR(L55="X",L55="x",AND(OR(COUNTA(J55,K55,M55,N55)&gt;0,OR(L55="X",L55="x")),(LEN(SUBSTITUTE(SUBSTITUTE(SUBSTITUTE(J55," ",""),"0",""),"-",""))+LEN(SUBSTITUTE(SUBSTITUTE(SUBSTITUTE(K55," ",""),"0",""),"-","")))=(LEN(SUBSTITUTE(SUBSTITUTE(SUBSTITUTE(M55," ",""),"0",""),"-",""))+LEN(SUBSTITUTE(SUBSTITUTE(SUBSTITUTE(N55," ",""),"0",""),"-",""))))),1,0),0)+IF(OR(COUNTA(J57,K57,M57,N57)&gt;0,OR(L57="X",L57="x")),IF(OR(L57="X",L57="x",AND(OR(COUNTA(J57,K57,M57,N57)&gt;0,OR(L57="X",L57="x")),(LEN(SUBSTITUTE(SUBSTITUTE(SUBSTITUTE(J57," ",""),"0",""),"-",""))+LEN(SUBSTITUTE(SUBSTITUTE(SUBSTITUTE(K57," ",""),"0",""),"-","")))=(LEN(SUBSTITUTE(SUBSTITUTE(SUBSTITUTE(M57," ",""),"0",""),"-",""))+LEN(SUBSTITUTE(SUBSTITUTE(SUBSTITUTE(N57," ",""),"0",""),"-",""))))),1,0),0)</f>
      </c>
      <c r="M61" s="14" t="str">
        <f>LEN(SUBSTITUTE(SUBSTITUTE(SUBSTITUTE(J55," ",""),"0",""),"-",""))+LEN(SUBSTITUTE(SUBSTITUTE(SUBSTITUTE(K55," ",""),"0",""),"-",""))+LEN(SUBSTITUTE(SUBSTITUTE(SUBSTITUTE(M57," ",""),"0",""),"-",""))+LEN(SUBSTITUTE(SUBSTITUTE(SUBSTITUTE(N57," ",""),"0",""),"-",""))</f>
      </c>
      <c r="N61" s="14" t="str">
        <f>LEN(SUBSTITUTE(SUBSTITUTE(SUBSTITUTE(M55," ",""),"0",""),"-",""))+LEN(SUBSTITUTE(SUBSTITUTE(SUBSTITUTE(N55," ",""),"0",""),"-",""))+LEN(SUBSTITUTE(SUBSTITUTE(SUBSTITUTE(J57," ",""),"0",""),"-",""))+LEN(SUBSTITUTE(SUBSTITUTE(SUBSTITUTE(K57," ",""),"0",""),"-",""))</f>
      </c>
      <c r="O61" s="18" t="str">
        <f>RANK(AC61,$AC$60:$AC$62)+COUNTIF($AC$59:AC60,AC61)</f>
      </c>
      <c r="U61" t="str">
        <f>(B61*1000000)-(C61*10000)+(D61*100)+(E61*1)-(F61*0.01)</f>
      </c>
      <c r="AC61" t="str">
        <f>(J61*1000000)-(K61*10000)+(L61*100)+(M61*1)-(N61*0.01)</f>
      </c>
    </row>
    <row r="62">
      <c r="A62" s="14" t="str">
        <f>data!$E$14&amp;" "&amp;data!$B$14</f>
      </c>
      <c r="B62" s="14" t="str">
        <f>IF(OR(COUNTA(B56,C56,E56,F56)&gt;0,OR(D56="X",D56="x")),IF(OR(D56="X",D56="x",AND(OR(COUNTA(B56,C56,E56,F56)&gt;0,OR(D56="X",D56="x")),(LEN(SUBSTITUTE(SUBSTITUTE(SUBSTITUTE(B56," ",""),"0",""),"-",""))+LEN(SUBSTITUTE(SUBSTITUTE(SUBSTITUTE(C56," ",""),"0",""),"-","")))=(LEN(SUBSTITUTE(SUBSTITUTE(SUBSTITUTE(E56," ",""),"0",""),"-",""))+LEN(SUBSTITUTE(SUBSTITUTE(SUBSTITUTE(F56," ",""),"0",""),"-",""))))),0,(LEN(SUBSTITUTE(SUBSTITUTE(SUBSTITUTE(B56," ",""),"0",""),"-",""))+LEN(SUBSTITUTE(SUBSTITUTE(SUBSTITUTE(C56," ",""),"0",""),"-",""))&gt;LEN(SUBSTITUTE(SUBSTITUTE(SUBSTITUTE(E56," ",""),"0",""),"-",""))+LEN(SUBSTITUTE(SUBSTITUTE(SUBSTITUTE(F56," ",""),"0",""),"-","")))*1),0)+IF(OR(COUNTA(B57,C57,E57,F57)&gt;0,OR(D57="X",D57="x")),IF(OR(D57="X",D57="x",AND(OR(COUNTA(B57,C57,E57,F57)&gt;0,OR(D57="X",D57="x")),(LEN(SUBSTITUTE(SUBSTITUTE(SUBSTITUTE(B57," ",""),"0",""),"-",""))+LEN(SUBSTITUTE(SUBSTITUTE(SUBSTITUTE(C57," ",""),"0",""),"-","")))=(LEN(SUBSTITUTE(SUBSTITUTE(SUBSTITUTE(E57," ",""),"0",""),"-",""))+LEN(SUBSTITUTE(SUBSTITUTE(SUBSTITUTE(F57," ",""),"0",""),"-",""))))),0,(LEN(SUBSTITUTE(SUBSTITUTE(SUBSTITUTE(B57," ",""),"0",""),"-",""))+LEN(SUBSTITUTE(SUBSTITUTE(SUBSTITUTE(C57," ",""),"0",""),"-",""))&gt;LEN(SUBSTITUTE(SUBSTITUTE(SUBSTITUTE(E57," ",""),"0",""),"-",""))+LEN(SUBSTITUTE(SUBSTITUTE(SUBSTITUTE(F57," ",""),"0",""),"-","")))*1),0)</f>
      </c>
      <c r="C62" s="14" t="str">
        <f>IF(OR(COUNTA(B56,C56,E56,F56)&gt;0,OR(D56="X",D56="x")),IF(OR(D56="X",D56="x",AND(OR(COUNTA(B56,C56,E56,F56)&gt;0,OR(D56="X",D56="x")),(LEN(SUBSTITUTE(SUBSTITUTE(SUBSTITUTE(B56," ",""),"0",""),"-",""))+LEN(SUBSTITUTE(SUBSTITUTE(SUBSTITUTE(C56," ",""),"0",""),"-","")))=(LEN(SUBSTITUTE(SUBSTITUTE(SUBSTITUTE(E56," ",""),"0",""),"-",""))+LEN(SUBSTITUTE(SUBSTITUTE(SUBSTITUTE(F56," ",""),"0",""),"-",""))))),0,(LEN(SUBSTITUTE(SUBSTITUTE(SUBSTITUTE(B56," ",""),"0",""),"-",""))+LEN(SUBSTITUTE(SUBSTITUTE(SUBSTITUTE(C56," ",""),"0",""),"-",""))&lt;LEN(SUBSTITUTE(SUBSTITUTE(SUBSTITUTE(E56," ",""),"0",""),"-",""))+LEN(SUBSTITUTE(SUBSTITUTE(SUBSTITUTE(F56," ",""),"0",""),"-","")))*1),0)+IF(OR(COUNTA(B57,C57,E57,F57)&gt;0,OR(D57="X",D57="x")),IF(OR(D57="X",D57="x",AND(OR(COUNTA(B57,C57,E57,F57)&gt;0,OR(D57="X",D57="x")),(LEN(SUBSTITUTE(SUBSTITUTE(SUBSTITUTE(B57," ",""),"0",""),"-",""))+LEN(SUBSTITUTE(SUBSTITUTE(SUBSTITUTE(C57," ",""),"0",""),"-","")))=(LEN(SUBSTITUTE(SUBSTITUTE(SUBSTITUTE(E57," ",""),"0",""),"-",""))+LEN(SUBSTITUTE(SUBSTITUTE(SUBSTITUTE(F57," ",""),"0",""),"-",""))))),0,(LEN(SUBSTITUTE(SUBSTITUTE(SUBSTITUTE(B57," ",""),"0",""),"-",""))+LEN(SUBSTITUTE(SUBSTITUTE(SUBSTITUTE(C57," ",""),"0",""),"-",""))&lt;LEN(SUBSTITUTE(SUBSTITUTE(SUBSTITUTE(E57," ",""),"0",""),"-",""))+LEN(SUBSTITUTE(SUBSTITUTE(SUBSTITUTE(F57," ",""),"0",""),"-","")))*1),0)</f>
      </c>
      <c r="D62" s="14" t="str">
        <f>IF(OR(COUNTA(B56,C56,E56,F56)&gt;0,OR(D56="X",D56="x")),IF(OR(D56="X",D56="x",AND(OR(COUNTA(B56,C56,E56,F56)&gt;0,OR(D56="X",D56="x")),(LEN(SUBSTITUTE(SUBSTITUTE(SUBSTITUTE(B56," ",""),"0",""),"-",""))+LEN(SUBSTITUTE(SUBSTITUTE(SUBSTITUTE(C56," ",""),"0",""),"-","")))=(LEN(SUBSTITUTE(SUBSTITUTE(SUBSTITUTE(E56," ",""),"0",""),"-",""))+LEN(SUBSTITUTE(SUBSTITUTE(SUBSTITUTE(F56," ",""),"0",""),"-",""))))),1,0),0)+IF(OR(COUNTA(B57,C57,E57,F57)&gt;0,OR(D57="X",D57="x")),IF(OR(D57="X",D57="x",AND(OR(COUNTA(B57,C57,E57,F57)&gt;0,OR(D57="X",D57="x")),(LEN(SUBSTITUTE(SUBSTITUTE(SUBSTITUTE(B57," ",""),"0",""),"-",""))+LEN(SUBSTITUTE(SUBSTITUTE(SUBSTITUTE(C57," ",""),"0",""),"-","")))=(LEN(SUBSTITUTE(SUBSTITUTE(SUBSTITUTE(E57," ",""),"0",""),"-",""))+LEN(SUBSTITUTE(SUBSTITUTE(SUBSTITUTE(F57," ",""),"0",""),"-",""))))),1,0),0)</f>
      </c>
      <c r="E62" s="14" t="str">
        <f>LEN(SUBSTITUTE(SUBSTITUTE(SUBSTITUTE(B56," ",""),"0",""),"-",""))+LEN(SUBSTITUTE(SUBSTITUTE(SUBSTITUTE(C56," ",""),"0",""),"-",""))+LEN(SUBSTITUTE(SUBSTITUTE(SUBSTITUTE(B57," ",""),"0",""),"-",""))+LEN(SUBSTITUTE(SUBSTITUTE(SUBSTITUTE(C57," ",""),"0",""),"-",""))</f>
      </c>
      <c r="F62" s="14" t="str">
        <f>LEN(SUBSTITUTE(SUBSTITUTE(SUBSTITUTE(E56," ",""),"0",""),"-",""))+LEN(SUBSTITUTE(SUBSTITUTE(SUBSTITUTE(F56," ",""),"0",""),"-",""))+LEN(SUBSTITUTE(SUBSTITUTE(SUBSTITUTE(E57," ",""),"0",""),"-",""))+LEN(SUBSTITUTE(SUBSTITUTE(SUBSTITUTE(F57," ",""),"0",""),"-",""))</f>
      </c>
      <c r="G62" s="18" t="str">
        <f>RANK(U62,$U$60:$U$62)+COUNTIF($U$59:U61,U62)</f>
      </c>
      <c r="I62" s="14" t="str">
        <f>data!$E$61&amp;" "&amp;data!$B$61</f>
      </c>
      <c r="J62" s="14" t="str">
        <f>IF(OR(COUNTA(J56,K56,M56,N56)&gt;0,OR(L56="X",L56="x")),IF(OR(L56="X",L56="x",AND(OR(COUNTA(J56,K56,M56,N56)&gt;0,OR(L56="X",L56="x")),(LEN(SUBSTITUTE(SUBSTITUTE(SUBSTITUTE(J56," ",""),"0",""),"-",""))+LEN(SUBSTITUTE(SUBSTITUTE(SUBSTITUTE(K56," ",""),"0",""),"-","")))=(LEN(SUBSTITUTE(SUBSTITUTE(SUBSTITUTE(M56," ",""),"0",""),"-",""))+LEN(SUBSTITUTE(SUBSTITUTE(SUBSTITUTE(N56," ",""),"0",""),"-",""))))),0,(LEN(SUBSTITUTE(SUBSTITUTE(SUBSTITUTE(J56," ",""),"0",""),"-",""))+LEN(SUBSTITUTE(SUBSTITUTE(SUBSTITUTE(K56," ",""),"0",""),"-",""))&gt;LEN(SUBSTITUTE(SUBSTITUTE(SUBSTITUTE(M56," ",""),"0",""),"-",""))+LEN(SUBSTITUTE(SUBSTITUTE(SUBSTITUTE(N56," ",""),"0",""),"-","")))*1),0)+IF(OR(COUNTA(J57,K57,M57,N57)&gt;0,OR(L57="X",L57="x")),IF(OR(L57="X",L57="x",AND(OR(COUNTA(J57,K57,M57,N57)&gt;0,OR(L57="X",L57="x")),(LEN(SUBSTITUTE(SUBSTITUTE(SUBSTITUTE(J57," ",""),"0",""),"-",""))+LEN(SUBSTITUTE(SUBSTITUTE(SUBSTITUTE(K57," ",""),"0",""),"-","")))=(LEN(SUBSTITUTE(SUBSTITUTE(SUBSTITUTE(M57," ",""),"0",""),"-",""))+LEN(SUBSTITUTE(SUBSTITUTE(SUBSTITUTE(N57," ",""),"0",""),"-",""))))),0,(LEN(SUBSTITUTE(SUBSTITUTE(SUBSTITUTE(J57," ",""),"0",""),"-",""))+LEN(SUBSTITUTE(SUBSTITUTE(SUBSTITUTE(K57," ",""),"0",""),"-",""))&gt;LEN(SUBSTITUTE(SUBSTITUTE(SUBSTITUTE(M57," ",""),"0",""),"-",""))+LEN(SUBSTITUTE(SUBSTITUTE(SUBSTITUTE(N57," ",""),"0",""),"-","")))*1),0)</f>
      </c>
      <c r="K62" s="14" t="str">
        <f>IF(OR(COUNTA(J56,K56,M56,N56)&gt;0,OR(L56="X",L56="x")),IF(OR(L56="X",L56="x",AND(OR(COUNTA(J56,K56,M56,N56)&gt;0,OR(L56="X",L56="x")),(LEN(SUBSTITUTE(SUBSTITUTE(SUBSTITUTE(J56," ",""),"0",""),"-",""))+LEN(SUBSTITUTE(SUBSTITUTE(SUBSTITUTE(K56," ",""),"0",""),"-","")))=(LEN(SUBSTITUTE(SUBSTITUTE(SUBSTITUTE(M56," ",""),"0",""),"-",""))+LEN(SUBSTITUTE(SUBSTITUTE(SUBSTITUTE(N56," ",""),"0",""),"-",""))))),0,(LEN(SUBSTITUTE(SUBSTITUTE(SUBSTITUTE(J56," ",""),"0",""),"-",""))+LEN(SUBSTITUTE(SUBSTITUTE(SUBSTITUTE(K56," ",""),"0",""),"-",""))&lt;LEN(SUBSTITUTE(SUBSTITUTE(SUBSTITUTE(M56," ",""),"0",""),"-",""))+LEN(SUBSTITUTE(SUBSTITUTE(SUBSTITUTE(N56," ",""),"0",""),"-","")))*1),0)+IF(OR(COUNTA(J57,K57,M57,N57)&gt;0,OR(L57="X",L57="x")),IF(OR(L57="X",L57="x",AND(OR(COUNTA(J57,K57,M57,N57)&gt;0,OR(L57="X",L57="x")),(LEN(SUBSTITUTE(SUBSTITUTE(SUBSTITUTE(J57," ",""),"0",""),"-",""))+LEN(SUBSTITUTE(SUBSTITUTE(SUBSTITUTE(K57," ",""),"0",""),"-","")))=(LEN(SUBSTITUTE(SUBSTITUTE(SUBSTITUTE(M57," ",""),"0",""),"-",""))+LEN(SUBSTITUTE(SUBSTITUTE(SUBSTITUTE(N57," ",""),"0",""),"-",""))))),0,(LEN(SUBSTITUTE(SUBSTITUTE(SUBSTITUTE(J57," ",""),"0",""),"-",""))+LEN(SUBSTITUTE(SUBSTITUTE(SUBSTITUTE(K57," ",""),"0",""),"-",""))&lt;LEN(SUBSTITUTE(SUBSTITUTE(SUBSTITUTE(M57," ",""),"0",""),"-",""))+LEN(SUBSTITUTE(SUBSTITUTE(SUBSTITUTE(N57," ",""),"0",""),"-","")))*1),0)</f>
      </c>
      <c r="L62" s="14" t="str">
        <f>IF(OR(COUNTA(J56,K56,M56,N56)&gt;0,OR(L56="X",L56="x")),IF(OR(L56="X",L56="x",AND(OR(COUNTA(J56,K56,M56,N56)&gt;0,OR(L56="X",L56="x")),(LEN(SUBSTITUTE(SUBSTITUTE(SUBSTITUTE(J56," ",""),"0",""),"-",""))+LEN(SUBSTITUTE(SUBSTITUTE(SUBSTITUTE(K56," ",""),"0",""),"-","")))=(LEN(SUBSTITUTE(SUBSTITUTE(SUBSTITUTE(M56," ",""),"0",""),"-",""))+LEN(SUBSTITUTE(SUBSTITUTE(SUBSTITUTE(N56," ",""),"0",""),"-",""))))),1,0),0)+IF(OR(COUNTA(J57,K57,M57,N57)&gt;0,OR(L57="X",L57="x")),IF(OR(L57="X",L57="x",AND(OR(COUNTA(J57,K57,M57,N57)&gt;0,OR(L57="X",L57="x")),(LEN(SUBSTITUTE(SUBSTITUTE(SUBSTITUTE(J57," ",""),"0",""),"-",""))+LEN(SUBSTITUTE(SUBSTITUTE(SUBSTITUTE(K57," ",""),"0",""),"-","")))=(LEN(SUBSTITUTE(SUBSTITUTE(SUBSTITUTE(M57," ",""),"0",""),"-",""))+LEN(SUBSTITUTE(SUBSTITUTE(SUBSTITUTE(N57," ",""),"0",""),"-",""))))),1,0),0)</f>
      </c>
      <c r="M62" s="14" t="str">
        <f>LEN(SUBSTITUTE(SUBSTITUTE(SUBSTITUTE(J56," ",""),"0",""),"-",""))+LEN(SUBSTITUTE(SUBSTITUTE(SUBSTITUTE(K56," ",""),"0",""),"-",""))+LEN(SUBSTITUTE(SUBSTITUTE(SUBSTITUTE(J57," ",""),"0",""),"-",""))+LEN(SUBSTITUTE(SUBSTITUTE(SUBSTITUTE(K57," ",""),"0",""),"-",""))</f>
      </c>
      <c r="N62" s="14" t="str">
        <f>LEN(SUBSTITUTE(SUBSTITUTE(SUBSTITUTE(M56," ",""),"0",""),"-",""))+LEN(SUBSTITUTE(SUBSTITUTE(SUBSTITUTE(N56," ",""),"0",""),"-",""))+LEN(SUBSTITUTE(SUBSTITUTE(SUBSTITUTE(M57," ",""),"0",""),"-",""))+LEN(SUBSTITUTE(SUBSTITUTE(SUBSTITUTE(N57," ",""),"0",""),"-",""))</f>
      </c>
      <c r="O62" s="18" t="str">
        <f>RANK(AC62,$AC$60:$AC$62)+COUNTIF($AC$59:AC61,AC62)</f>
      </c>
      <c r="U62" t="str">
        <f>(B62*1000000)-(C62*10000)+(D62*100)+(E62*1)-(F62*0.01)</f>
      </c>
      <c r="AC62" t="str">
        <f>(J62*1000000)-(K62*10000)+(L62*100)+(M62*1)-(N62*0.01)</f>
      </c>
    </row>
    <row r="65">
      <c r="F65" s="13"/>
      <c r="G65" s="13" t="s">
        <v>341</v>
      </c>
      <c r="N65" s="13"/>
      <c r="O65" s="13" t="s">
        <v>341</v>
      </c>
    </row>
    <row r="66">
      <c r="F66" t="s">
        <v>342</v>
      </c>
      <c r="G66" s="19" t="str">
        <f>IFERROR(INDEX($A$60:$A$62, MATCH(1, $G$60:$G$62, 0)), "-")</f>
      </c>
      <c r="N66" t="s">
        <v>342</v>
      </c>
      <c r="O66" s="19" t="str">
        <f>IFERROR(INDEX($I$60:$I$62, MATCH(1, $O$60:$O$62, 0)), "-")</f>
      </c>
    </row>
    <row r="67">
      <c r="F67" t="s">
        <v>343</v>
      </c>
      <c r="G67" s="19" t="str">
        <f>IFERROR(INDEX($A$60:$A$62, MATCH(2, $G$60:$G$62, 0)), "-")</f>
      </c>
      <c r="N67" t="s">
        <v>343</v>
      </c>
      <c r="O67" s="19" t="str">
        <f>IFERROR(INDEX($I$60:$I$62, MATCH(2, $O$60:$O$62, 0)), "-")</f>
      </c>
    </row>
    <row r="68">
      <c r="F68" t="s">
        <v>344</v>
      </c>
      <c r="G68" s="19" t="str">
        <f>IFERROR(INDEX($A$60:$A$62, MATCH(3, $G$60:$G$62, 0)), "-")</f>
      </c>
      <c r="N68" t="s">
        <v>344</v>
      </c>
      <c r="O68" s="19" t="str">
        <f>IFERROR(INDEX($I$60:$I$62, MATCH(3, $O$60:$O$62, 0)), "-")</f>
      </c>
    </row>
    <row r="70">
      <c r="A70" s="13" t="str">
        <f>'data'!$A$17</f>
      </c>
      <c r="B70" s="13"/>
      <c r="C70" s="13"/>
      <c r="D70" s="13"/>
      <c r="E70" s="13"/>
      <c r="F70" s="13"/>
      <c r="G70" s="13"/>
      <c r="I70" s="13" t="str">
        <f>'data'!$A$64</f>
      </c>
      <c r="J70" s="13"/>
      <c r="K70" s="13"/>
      <c r="L70" s="13"/>
      <c r="M70" s="13"/>
      <c r="N70" s="13"/>
      <c r="O70" s="13"/>
    </row>
    <row r="71">
      <c r="A71" s="17" t="s">
        <v>331</v>
      </c>
      <c r="D71" s="14" t="s">
        <v>332</v>
      </c>
      <c r="G71" s="16" t="s">
        <v>333</v>
      </c>
      <c r="I71" s="17" t="s">
        <v>331</v>
      </c>
      <c r="L71" s="14" t="s">
        <v>332</v>
      </c>
      <c r="O71" s="16" t="s">
        <v>333</v>
      </c>
    </row>
    <row r="72">
      <c r="A72" s="14" t="str">
        <f>data!$E$16&amp;" "&amp;data!$B$16</f>
      </c>
      <c r="B72" s="18"/>
      <c r="C72" s="18"/>
      <c r="D72" s="18"/>
      <c r="E72" s="18"/>
      <c r="F72" s="18"/>
      <c r="G72" s="14" t="str">
        <f>data!$E$15&amp;" "&amp;data!$B$15</f>
      </c>
      <c r="I72" s="14" t="str">
        <f>data!$E$63&amp;" "&amp;data!$B$63</f>
      </c>
      <c r="J72" s="18"/>
      <c r="K72" s="18"/>
      <c r="L72" s="18"/>
      <c r="M72" s="18"/>
      <c r="N72" s="18"/>
      <c r="O72" s="14" t="str">
        <f>data!$E$62&amp;" "&amp;data!$B$62</f>
      </c>
    </row>
    <row r="73">
      <c r="A73" s="14" t="str">
        <f>data!$E$17&amp;" "&amp;data!$B$17</f>
      </c>
      <c r="B73" s="18"/>
      <c r="C73" s="18"/>
      <c r="D73" s="18"/>
      <c r="E73" s="18"/>
      <c r="F73" s="18"/>
      <c r="G73" s="14" t="str">
        <f>data!$E$15&amp;" "&amp;data!$B$15</f>
      </c>
      <c r="I73" s="14" t="str">
        <f>data!$E$64&amp;" "&amp;data!$B$64</f>
      </c>
      <c r="J73" s="18"/>
      <c r="K73" s="18"/>
      <c r="L73" s="18"/>
      <c r="M73" s="18"/>
      <c r="N73" s="18"/>
      <c r="O73" s="14" t="str">
        <f>data!$E$62&amp;" "&amp;data!$B$62</f>
      </c>
    </row>
    <row r="74">
      <c r="A74" s="14" t="str">
        <f>data!$E$17&amp;" "&amp;data!$B$17</f>
      </c>
      <c r="B74" s="18"/>
      <c r="C74" s="18"/>
      <c r="D74" s="18"/>
      <c r="E74" s="18"/>
      <c r="F74" s="18"/>
      <c r="G74" s="14" t="str">
        <f>data!$E$16&amp;" "&amp;data!$B$16</f>
      </c>
      <c r="I74" s="14" t="str">
        <f>data!$E$64&amp;" "&amp;data!$B$64</f>
      </c>
      <c r="J74" s="18"/>
      <c r="K74" s="18"/>
      <c r="L74" s="18"/>
      <c r="M74" s="18"/>
      <c r="N74" s="18"/>
      <c r="O74" s="14" t="str">
        <f>data!$E$63&amp;" "&amp;data!$B$63</f>
      </c>
    </row>
    <row r="76">
      <c r="A76" s="13" t="s">
        <v>334</v>
      </c>
      <c r="B76" s="13" t="s">
        <v>335</v>
      </c>
      <c r="C76" s="13" t="s">
        <v>336</v>
      </c>
      <c r="D76" s="13" t="s">
        <v>337</v>
      </c>
      <c r="E76" s="13" t="s">
        <v>338</v>
      </c>
      <c r="F76" s="13" t="s">
        <v>339</v>
      </c>
      <c r="G76" s="13" t="s">
        <v>340</v>
      </c>
      <c r="I76" s="13" t="s">
        <v>334</v>
      </c>
      <c r="J76" s="13" t="s">
        <v>335</v>
      </c>
      <c r="K76" s="13" t="s">
        <v>336</v>
      </c>
      <c r="L76" s="13" t="s">
        <v>337</v>
      </c>
      <c r="M76" s="13" t="s">
        <v>338</v>
      </c>
      <c r="N76" s="13" t="s">
        <v>339</v>
      </c>
      <c r="O76" s="13" t="s">
        <v>340</v>
      </c>
    </row>
    <row r="77">
      <c r="A77" s="14" t="str">
        <f>data!$E$15&amp;" "&amp;data!$B$15</f>
      </c>
      <c r="B77" s="14" t="str">
        <f>IF(OR(COUNTA(B72,C72,E72,F72)&gt;0,OR(D72="X",D72="x")),IF(OR(D72="X",D72="x",AND(OR(COUNTA(B72,C72,E72,F72)&gt;0,OR(D72="X",D72="x")),(LEN(SUBSTITUTE(SUBSTITUTE(SUBSTITUTE(B72," ",""),"0",""),"-",""))+LEN(SUBSTITUTE(SUBSTITUTE(SUBSTITUTE(C72," ",""),"0",""),"-","")))=(LEN(SUBSTITUTE(SUBSTITUTE(SUBSTITUTE(E72," ",""),"0",""),"-",""))+LEN(SUBSTITUTE(SUBSTITUTE(SUBSTITUTE(F72," ",""),"0",""),"-",""))))),0,(LEN(SUBSTITUTE(SUBSTITUTE(SUBSTITUTE(E72," ",""),"0",""),"-",""))+LEN(SUBSTITUTE(SUBSTITUTE(SUBSTITUTE(F72," ",""),"0",""),"-",""))&gt;LEN(SUBSTITUTE(SUBSTITUTE(SUBSTITUTE(B72," ",""),"0",""),"-",""))+LEN(SUBSTITUTE(SUBSTITUTE(SUBSTITUTE(C72," ",""),"0",""),"-","")))*1),0)+IF(OR(COUNTA(B73,C73,E73,F73)&gt;0,OR(D73="X",D73="x")),IF(OR(D73="X",D73="x",AND(OR(COUNTA(B73,C73,E73,F73)&gt;0,OR(D73="X",D73="x")),(LEN(SUBSTITUTE(SUBSTITUTE(SUBSTITUTE(B73," ",""),"0",""),"-",""))+LEN(SUBSTITUTE(SUBSTITUTE(SUBSTITUTE(C73," ",""),"0",""),"-","")))=(LEN(SUBSTITUTE(SUBSTITUTE(SUBSTITUTE(E73," ",""),"0",""),"-",""))+LEN(SUBSTITUTE(SUBSTITUTE(SUBSTITUTE(F73," ",""),"0",""),"-",""))))),0,(LEN(SUBSTITUTE(SUBSTITUTE(SUBSTITUTE(E73," ",""),"0",""),"-",""))+LEN(SUBSTITUTE(SUBSTITUTE(SUBSTITUTE(F73," ",""),"0",""),"-",""))&gt;LEN(SUBSTITUTE(SUBSTITUTE(SUBSTITUTE(B73," ",""),"0",""),"-",""))+LEN(SUBSTITUTE(SUBSTITUTE(SUBSTITUTE(C73," ",""),"0",""),"-","")))*1),0)</f>
      </c>
      <c r="C77" s="14" t="str">
        <f>IF(OR(COUNTA(B72,C72,E72,F72)&gt;0,OR(D72="X",D72="x")),IF(OR(D72="X",D72="x",AND(OR(COUNTA(B72,C72,E72,F72)&gt;0,OR(D72="X",D72="x")),(LEN(SUBSTITUTE(SUBSTITUTE(SUBSTITUTE(B72," ",""),"0",""),"-",""))+LEN(SUBSTITUTE(SUBSTITUTE(SUBSTITUTE(C72," ",""),"0",""),"-","")))=(LEN(SUBSTITUTE(SUBSTITUTE(SUBSTITUTE(E72," ",""),"0",""),"-",""))+LEN(SUBSTITUTE(SUBSTITUTE(SUBSTITUTE(F72," ",""),"0",""),"-",""))))),0,(LEN(SUBSTITUTE(SUBSTITUTE(SUBSTITUTE(E72," ",""),"0",""),"-",""))+LEN(SUBSTITUTE(SUBSTITUTE(SUBSTITUTE(F72," ",""),"0",""),"-",""))&lt;LEN(SUBSTITUTE(SUBSTITUTE(SUBSTITUTE(B72," ",""),"0",""),"-",""))+LEN(SUBSTITUTE(SUBSTITUTE(SUBSTITUTE(C72," ",""),"0",""),"-","")))*1),0)+IF(OR(COUNTA(B73,C73,E73,F73)&gt;0,OR(D73="X",D73="x")),IF(OR(D73="X",D73="x",AND(OR(COUNTA(B73,C73,E73,F73)&gt;0,OR(D73="X",D73="x")),(LEN(SUBSTITUTE(SUBSTITUTE(SUBSTITUTE(B73," ",""),"0",""),"-",""))+LEN(SUBSTITUTE(SUBSTITUTE(SUBSTITUTE(C73," ",""),"0",""),"-","")))=(LEN(SUBSTITUTE(SUBSTITUTE(SUBSTITUTE(E73," ",""),"0",""),"-",""))+LEN(SUBSTITUTE(SUBSTITUTE(SUBSTITUTE(F73," ",""),"0",""),"-",""))))),0,(LEN(SUBSTITUTE(SUBSTITUTE(SUBSTITUTE(E73," ",""),"0",""),"-",""))+LEN(SUBSTITUTE(SUBSTITUTE(SUBSTITUTE(F73," ",""),"0",""),"-",""))&lt;LEN(SUBSTITUTE(SUBSTITUTE(SUBSTITUTE(B73," ",""),"0",""),"-",""))+LEN(SUBSTITUTE(SUBSTITUTE(SUBSTITUTE(C73," ",""),"0",""),"-","")))*1),0)</f>
      </c>
      <c r="D77" s="14" t="str">
        <f>IF(OR(COUNTA(B72,C72,E72,F72)&gt;0,OR(D72="X",D72="x")),IF(OR(D72="X",D72="x",AND(OR(COUNTA(B72,C72,E72,F72)&gt;0,OR(D72="X",D72="x")),(LEN(SUBSTITUTE(SUBSTITUTE(SUBSTITUTE(B72," ",""),"0",""),"-",""))+LEN(SUBSTITUTE(SUBSTITUTE(SUBSTITUTE(C72," ",""),"0",""),"-","")))=(LEN(SUBSTITUTE(SUBSTITUTE(SUBSTITUTE(E72," ",""),"0",""),"-",""))+LEN(SUBSTITUTE(SUBSTITUTE(SUBSTITUTE(F72," ",""),"0",""),"-",""))))),1,0),0)+IF(OR(COUNTA(B73,C73,E73,F73)&gt;0,OR(D73="X",D73="x")),IF(OR(D73="X",D73="x",AND(OR(COUNTA(B73,C73,E73,F73)&gt;0,OR(D73="X",D73="x")),(LEN(SUBSTITUTE(SUBSTITUTE(SUBSTITUTE(B73," ",""),"0",""),"-",""))+LEN(SUBSTITUTE(SUBSTITUTE(SUBSTITUTE(C73," ",""),"0",""),"-","")))=(LEN(SUBSTITUTE(SUBSTITUTE(SUBSTITUTE(E73," ",""),"0",""),"-",""))+LEN(SUBSTITUTE(SUBSTITUTE(SUBSTITUTE(F73," ",""),"0",""),"-",""))))),1,0),0)</f>
      </c>
      <c r="E77" s="14" t="str">
        <f>LEN(SUBSTITUTE(SUBSTITUTE(SUBSTITUTE(E72," ",""),"0",""),"-",""))+LEN(SUBSTITUTE(SUBSTITUTE(SUBSTITUTE(F72," ",""),"0",""),"-",""))+LEN(SUBSTITUTE(SUBSTITUTE(SUBSTITUTE(E73," ",""),"0",""),"-",""))+LEN(SUBSTITUTE(SUBSTITUTE(SUBSTITUTE(F73," ",""),"0",""),"-",""))</f>
      </c>
      <c r="F77" s="14" t="str">
        <f>LEN(SUBSTITUTE(SUBSTITUTE(SUBSTITUTE(B72," ",""),"0",""),"-",""))+LEN(SUBSTITUTE(SUBSTITUTE(SUBSTITUTE(C72," ",""),"0",""),"-",""))+LEN(SUBSTITUTE(SUBSTITUTE(SUBSTITUTE(B73," ",""),"0",""),"-",""))+LEN(SUBSTITUTE(SUBSTITUTE(SUBSTITUTE(C73," ",""),"0",""),"-",""))</f>
      </c>
      <c r="G77" s="18" t="str">
        <f>RANK(U77,$U$77:$U$79)+COUNTIF($U$76:U76,U77)</f>
      </c>
      <c r="I77" s="14" t="str">
        <f>data!$E$62&amp;" "&amp;data!$B$62</f>
      </c>
      <c r="J77" s="14" t="str">
        <f>IF(OR(COUNTA(J72,K72,M72,N72)&gt;0,OR(L72="X",L72="x")),IF(OR(L72="X",L72="x",AND(OR(COUNTA(J72,K72,M72,N72)&gt;0,OR(L72="X",L72="x")),(LEN(SUBSTITUTE(SUBSTITUTE(SUBSTITUTE(J72," ",""),"0",""),"-",""))+LEN(SUBSTITUTE(SUBSTITUTE(SUBSTITUTE(K72," ",""),"0",""),"-","")))=(LEN(SUBSTITUTE(SUBSTITUTE(SUBSTITUTE(M72," ",""),"0",""),"-",""))+LEN(SUBSTITUTE(SUBSTITUTE(SUBSTITUTE(N72," ",""),"0",""),"-",""))))),0,(LEN(SUBSTITUTE(SUBSTITUTE(SUBSTITUTE(M72," ",""),"0",""),"-",""))+LEN(SUBSTITUTE(SUBSTITUTE(SUBSTITUTE(N72," ",""),"0",""),"-",""))&gt;LEN(SUBSTITUTE(SUBSTITUTE(SUBSTITUTE(J72," ",""),"0",""),"-",""))+LEN(SUBSTITUTE(SUBSTITUTE(SUBSTITUTE(K72," ",""),"0",""),"-","")))*1),0)+IF(OR(COUNTA(J73,K73,M73,N73)&gt;0,OR(L73="X",L73="x")),IF(OR(L73="X",L73="x",AND(OR(COUNTA(J73,K73,M73,N73)&gt;0,OR(L73="X",L73="x")),(LEN(SUBSTITUTE(SUBSTITUTE(SUBSTITUTE(J73," ",""),"0",""),"-",""))+LEN(SUBSTITUTE(SUBSTITUTE(SUBSTITUTE(K73," ",""),"0",""),"-","")))=(LEN(SUBSTITUTE(SUBSTITUTE(SUBSTITUTE(M73," ",""),"0",""),"-",""))+LEN(SUBSTITUTE(SUBSTITUTE(SUBSTITUTE(N73," ",""),"0",""),"-",""))))),0,(LEN(SUBSTITUTE(SUBSTITUTE(SUBSTITUTE(M73," ",""),"0",""),"-",""))+LEN(SUBSTITUTE(SUBSTITUTE(SUBSTITUTE(N73," ",""),"0",""),"-",""))&gt;LEN(SUBSTITUTE(SUBSTITUTE(SUBSTITUTE(J73," ",""),"0",""),"-",""))+LEN(SUBSTITUTE(SUBSTITUTE(SUBSTITUTE(K73," ",""),"0",""),"-","")))*1),0)</f>
      </c>
      <c r="K77" s="14" t="str">
        <f>IF(OR(COUNTA(J72,K72,M72,N72)&gt;0,OR(L72="X",L72="x")),IF(OR(L72="X",L72="x",AND(OR(COUNTA(J72,K72,M72,N72)&gt;0,OR(L72="X",L72="x")),(LEN(SUBSTITUTE(SUBSTITUTE(SUBSTITUTE(J72," ",""),"0",""),"-",""))+LEN(SUBSTITUTE(SUBSTITUTE(SUBSTITUTE(K72," ",""),"0",""),"-","")))=(LEN(SUBSTITUTE(SUBSTITUTE(SUBSTITUTE(M72," ",""),"0",""),"-",""))+LEN(SUBSTITUTE(SUBSTITUTE(SUBSTITUTE(N72," ",""),"0",""),"-",""))))),0,(LEN(SUBSTITUTE(SUBSTITUTE(SUBSTITUTE(M72," ",""),"0",""),"-",""))+LEN(SUBSTITUTE(SUBSTITUTE(SUBSTITUTE(N72," ",""),"0",""),"-",""))&lt;LEN(SUBSTITUTE(SUBSTITUTE(SUBSTITUTE(J72," ",""),"0",""),"-",""))+LEN(SUBSTITUTE(SUBSTITUTE(SUBSTITUTE(K72," ",""),"0",""),"-","")))*1),0)+IF(OR(COUNTA(J73,K73,M73,N73)&gt;0,OR(L73="X",L73="x")),IF(OR(L73="X",L73="x",AND(OR(COUNTA(J73,K73,M73,N73)&gt;0,OR(L73="X",L73="x")),(LEN(SUBSTITUTE(SUBSTITUTE(SUBSTITUTE(J73," ",""),"0",""),"-",""))+LEN(SUBSTITUTE(SUBSTITUTE(SUBSTITUTE(K73," ",""),"0",""),"-","")))=(LEN(SUBSTITUTE(SUBSTITUTE(SUBSTITUTE(M73," ",""),"0",""),"-",""))+LEN(SUBSTITUTE(SUBSTITUTE(SUBSTITUTE(N73," ",""),"0",""),"-",""))))),0,(LEN(SUBSTITUTE(SUBSTITUTE(SUBSTITUTE(M73," ",""),"0",""),"-",""))+LEN(SUBSTITUTE(SUBSTITUTE(SUBSTITUTE(N73," ",""),"0",""),"-",""))&lt;LEN(SUBSTITUTE(SUBSTITUTE(SUBSTITUTE(J73," ",""),"0",""),"-",""))+LEN(SUBSTITUTE(SUBSTITUTE(SUBSTITUTE(K73," ",""),"0",""),"-","")))*1),0)</f>
      </c>
      <c r="L77" s="14" t="str">
        <f>IF(OR(COUNTA(J72,K72,M72,N72)&gt;0,OR(L72="X",L72="x")),IF(OR(L72="X",L72="x",AND(OR(COUNTA(J72,K72,M72,N72)&gt;0,OR(L72="X",L72="x")),(LEN(SUBSTITUTE(SUBSTITUTE(SUBSTITUTE(J72," ",""),"0",""),"-",""))+LEN(SUBSTITUTE(SUBSTITUTE(SUBSTITUTE(K72," ",""),"0",""),"-","")))=(LEN(SUBSTITUTE(SUBSTITUTE(SUBSTITUTE(M72," ",""),"0",""),"-",""))+LEN(SUBSTITUTE(SUBSTITUTE(SUBSTITUTE(N72," ",""),"0",""),"-",""))))),1,0),0)+IF(OR(COUNTA(J73,K73,M73,N73)&gt;0,OR(L73="X",L73="x")),IF(OR(L73="X",L73="x",AND(OR(COUNTA(J73,K73,M73,N73)&gt;0,OR(L73="X",L73="x")),(LEN(SUBSTITUTE(SUBSTITUTE(SUBSTITUTE(J73," ",""),"0",""),"-",""))+LEN(SUBSTITUTE(SUBSTITUTE(SUBSTITUTE(K73," ",""),"0",""),"-","")))=(LEN(SUBSTITUTE(SUBSTITUTE(SUBSTITUTE(M73," ",""),"0",""),"-",""))+LEN(SUBSTITUTE(SUBSTITUTE(SUBSTITUTE(N73," ",""),"0",""),"-",""))))),1,0),0)</f>
      </c>
      <c r="M77" s="14" t="str">
        <f>LEN(SUBSTITUTE(SUBSTITUTE(SUBSTITUTE(M72," ",""),"0",""),"-",""))+LEN(SUBSTITUTE(SUBSTITUTE(SUBSTITUTE(N72," ",""),"0",""),"-",""))+LEN(SUBSTITUTE(SUBSTITUTE(SUBSTITUTE(M73," ",""),"0",""),"-",""))+LEN(SUBSTITUTE(SUBSTITUTE(SUBSTITUTE(N73," ",""),"0",""),"-",""))</f>
      </c>
      <c r="N77" s="14" t="str">
        <f>LEN(SUBSTITUTE(SUBSTITUTE(SUBSTITUTE(J72," ",""),"0",""),"-",""))+LEN(SUBSTITUTE(SUBSTITUTE(SUBSTITUTE(K72," ",""),"0",""),"-",""))+LEN(SUBSTITUTE(SUBSTITUTE(SUBSTITUTE(J73," ",""),"0",""),"-",""))+LEN(SUBSTITUTE(SUBSTITUTE(SUBSTITUTE(K73," ",""),"0",""),"-",""))</f>
      </c>
      <c r="O77" s="18" t="str">
        <f>RANK(AC77,$AC$77:$AC$79)+COUNTIF($AC$76:AC76,AC77)</f>
      </c>
      <c r="U77" t="str">
        <f>(B77*1000000)-(C77*10000)+(D77*100)+(E77*1)-(F77*0.01)</f>
      </c>
      <c r="AC77" t="str">
        <f>(J77*1000000)-(K77*10000)+(L77*100)+(M77*1)-(N77*0.01)</f>
      </c>
    </row>
    <row r="78">
      <c r="A78" s="14" t="str">
        <f>data!$E$16&amp;" "&amp;data!$B$16</f>
      </c>
      <c r="B78" s="14" t="str">
        <f>IF(OR(COUNTA(B72,C72,E72,F72)&gt;0,OR(D72="X",D72="x")),IF(OR(D72="X",D72="x",AND(OR(COUNTA(B72,C72,E72,F72)&gt;0,OR(D72="X",D72="x")),(LEN(SUBSTITUTE(SUBSTITUTE(SUBSTITUTE(B72," ",""),"0",""),"-",""))+LEN(SUBSTITUTE(SUBSTITUTE(SUBSTITUTE(C72," ",""),"0",""),"-","")))=(LEN(SUBSTITUTE(SUBSTITUTE(SUBSTITUTE(E72," ",""),"0",""),"-",""))+LEN(SUBSTITUTE(SUBSTITUTE(SUBSTITUTE(F72," ",""),"0",""),"-",""))))),0,(LEN(SUBSTITUTE(SUBSTITUTE(SUBSTITUTE(B72," ",""),"0",""),"-",""))+LEN(SUBSTITUTE(SUBSTITUTE(SUBSTITUTE(C72," ",""),"0",""),"-",""))&gt;LEN(SUBSTITUTE(SUBSTITUTE(SUBSTITUTE(E72," ",""),"0",""),"-",""))+LEN(SUBSTITUTE(SUBSTITUTE(SUBSTITUTE(F72," ",""),"0",""),"-","")))*1),0)+IF(OR(COUNTA(B74,C74,E74,F74)&gt;0,OR(D74="X",D74="x")),IF(OR(D74="X",D74="x",AND(OR(COUNTA(B74,C74,E74,F74)&gt;0,OR(D74="X",D74="x")),(LEN(SUBSTITUTE(SUBSTITUTE(SUBSTITUTE(B74," ",""),"0",""),"-",""))+LEN(SUBSTITUTE(SUBSTITUTE(SUBSTITUTE(C74," ",""),"0",""),"-","")))=(LEN(SUBSTITUTE(SUBSTITUTE(SUBSTITUTE(E74," ",""),"0",""),"-",""))+LEN(SUBSTITUTE(SUBSTITUTE(SUBSTITUTE(F74," ",""),"0",""),"-",""))))),0,(LEN(SUBSTITUTE(SUBSTITUTE(SUBSTITUTE(E74," ",""),"0",""),"-",""))+LEN(SUBSTITUTE(SUBSTITUTE(SUBSTITUTE(F74," ",""),"0",""),"-",""))&gt;LEN(SUBSTITUTE(SUBSTITUTE(SUBSTITUTE(B74," ",""),"0",""),"-",""))+LEN(SUBSTITUTE(SUBSTITUTE(SUBSTITUTE(C74," ",""),"0",""),"-","")))*1),0)</f>
      </c>
      <c r="C78" s="14" t="str">
        <f>IF(OR(COUNTA(B72,C72,E72,F72)&gt;0,OR(D72="X",D72="x")),IF(OR(D72="X",D72="x",AND(OR(COUNTA(B72,C72,E72,F72)&gt;0,OR(D72="X",D72="x")),(LEN(SUBSTITUTE(SUBSTITUTE(SUBSTITUTE(B72," ",""),"0",""),"-",""))+LEN(SUBSTITUTE(SUBSTITUTE(SUBSTITUTE(C72," ",""),"0",""),"-","")))=(LEN(SUBSTITUTE(SUBSTITUTE(SUBSTITUTE(E72," ",""),"0",""),"-",""))+LEN(SUBSTITUTE(SUBSTITUTE(SUBSTITUTE(F72," ",""),"0",""),"-",""))))),0,(LEN(SUBSTITUTE(SUBSTITUTE(SUBSTITUTE(B72," ",""),"0",""),"-",""))+LEN(SUBSTITUTE(SUBSTITUTE(SUBSTITUTE(C72," ",""),"0",""),"-",""))&lt;LEN(SUBSTITUTE(SUBSTITUTE(SUBSTITUTE(E72," ",""),"0",""),"-",""))+LEN(SUBSTITUTE(SUBSTITUTE(SUBSTITUTE(F72," ",""),"0",""),"-","")))*1),0)+IF(OR(COUNTA(B74,C74,E74,F74)&gt;0,OR(D74="X",D74="x")),IF(OR(D74="X",D74="x",AND(OR(COUNTA(B74,C74,E74,F74)&gt;0,OR(D74="X",D74="x")),(LEN(SUBSTITUTE(SUBSTITUTE(SUBSTITUTE(B74," ",""),"0",""),"-",""))+LEN(SUBSTITUTE(SUBSTITUTE(SUBSTITUTE(C74," ",""),"0",""),"-","")))=(LEN(SUBSTITUTE(SUBSTITUTE(SUBSTITUTE(E74," ",""),"0",""),"-",""))+LEN(SUBSTITUTE(SUBSTITUTE(SUBSTITUTE(F74," ",""),"0",""),"-",""))))),0,(LEN(SUBSTITUTE(SUBSTITUTE(SUBSTITUTE(E74," ",""),"0",""),"-",""))+LEN(SUBSTITUTE(SUBSTITUTE(SUBSTITUTE(F74," ",""),"0",""),"-",""))&lt;LEN(SUBSTITUTE(SUBSTITUTE(SUBSTITUTE(B74," ",""),"0",""),"-",""))+LEN(SUBSTITUTE(SUBSTITUTE(SUBSTITUTE(C74," ",""),"0",""),"-","")))*1),0)</f>
      </c>
      <c r="D78" s="14" t="str">
        <f>IF(OR(COUNTA(B72,C72,E72,F72)&gt;0,OR(D72="X",D72="x")),IF(OR(D72="X",D72="x",AND(OR(COUNTA(B72,C72,E72,F72)&gt;0,OR(D72="X",D72="x")),(LEN(SUBSTITUTE(SUBSTITUTE(SUBSTITUTE(B72," ",""),"0",""),"-",""))+LEN(SUBSTITUTE(SUBSTITUTE(SUBSTITUTE(C72," ",""),"0",""),"-","")))=(LEN(SUBSTITUTE(SUBSTITUTE(SUBSTITUTE(E72," ",""),"0",""),"-",""))+LEN(SUBSTITUTE(SUBSTITUTE(SUBSTITUTE(F72," ",""),"0",""),"-",""))))),1,0),0)+IF(OR(COUNTA(B74,C74,E74,F74)&gt;0,OR(D74="X",D74="x")),IF(OR(D74="X",D74="x",AND(OR(COUNTA(B74,C74,E74,F74)&gt;0,OR(D74="X",D74="x")),(LEN(SUBSTITUTE(SUBSTITUTE(SUBSTITUTE(B74," ",""),"0",""),"-",""))+LEN(SUBSTITUTE(SUBSTITUTE(SUBSTITUTE(C74," ",""),"0",""),"-","")))=(LEN(SUBSTITUTE(SUBSTITUTE(SUBSTITUTE(E74," ",""),"0",""),"-",""))+LEN(SUBSTITUTE(SUBSTITUTE(SUBSTITUTE(F74," ",""),"0",""),"-",""))))),1,0),0)</f>
      </c>
      <c r="E78" s="14" t="str">
        <f>LEN(SUBSTITUTE(SUBSTITUTE(SUBSTITUTE(B72," ",""),"0",""),"-",""))+LEN(SUBSTITUTE(SUBSTITUTE(SUBSTITUTE(C72," ",""),"0",""),"-",""))+LEN(SUBSTITUTE(SUBSTITUTE(SUBSTITUTE(E74," ",""),"0",""),"-",""))+LEN(SUBSTITUTE(SUBSTITUTE(SUBSTITUTE(F74," ",""),"0",""),"-",""))</f>
      </c>
      <c r="F78" s="14" t="str">
        <f>LEN(SUBSTITUTE(SUBSTITUTE(SUBSTITUTE(E72," ",""),"0",""),"-",""))+LEN(SUBSTITUTE(SUBSTITUTE(SUBSTITUTE(F72," ",""),"0",""),"-",""))+LEN(SUBSTITUTE(SUBSTITUTE(SUBSTITUTE(B74," ",""),"0",""),"-",""))+LEN(SUBSTITUTE(SUBSTITUTE(SUBSTITUTE(C74," ",""),"0",""),"-",""))</f>
      </c>
      <c r="G78" s="18" t="str">
        <f>RANK(U78,$U$77:$U$79)+COUNTIF($U$76:U77,U78)</f>
      </c>
      <c r="I78" s="14" t="str">
        <f>data!$E$63&amp;" "&amp;data!$B$63</f>
      </c>
      <c r="J78" s="14" t="str">
        <f>IF(OR(COUNTA(J72,K72,M72,N72)&gt;0,OR(L72="X",L72="x")),IF(OR(L72="X",L72="x",AND(OR(COUNTA(J72,K72,M72,N72)&gt;0,OR(L72="X",L72="x")),(LEN(SUBSTITUTE(SUBSTITUTE(SUBSTITUTE(J72," ",""),"0",""),"-",""))+LEN(SUBSTITUTE(SUBSTITUTE(SUBSTITUTE(K72," ",""),"0",""),"-","")))=(LEN(SUBSTITUTE(SUBSTITUTE(SUBSTITUTE(M72," ",""),"0",""),"-",""))+LEN(SUBSTITUTE(SUBSTITUTE(SUBSTITUTE(N72," ",""),"0",""),"-",""))))),0,(LEN(SUBSTITUTE(SUBSTITUTE(SUBSTITUTE(J72," ",""),"0",""),"-",""))+LEN(SUBSTITUTE(SUBSTITUTE(SUBSTITUTE(K72," ",""),"0",""),"-",""))&gt;LEN(SUBSTITUTE(SUBSTITUTE(SUBSTITUTE(M72," ",""),"0",""),"-",""))+LEN(SUBSTITUTE(SUBSTITUTE(SUBSTITUTE(N72," ",""),"0",""),"-","")))*1),0)+IF(OR(COUNTA(J74,K74,M74,N74)&gt;0,OR(L74="X",L74="x")),IF(OR(L74="X",L74="x",AND(OR(COUNTA(J74,K74,M74,N74)&gt;0,OR(L74="X",L74="x")),(LEN(SUBSTITUTE(SUBSTITUTE(SUBSTITUTE(J74," ",""),"0",""),"-",""))+LEN(SUBSTITUTE(SUBSTITUTE(SUBSTITUTE(K74," ",""),"0",""),"-","")))=(LEN(SUBSTITUTE(SUBSTITUTE(SUBSTITUTE(M74," ",""),"0",""),"-",""))+LEN(SUBSTITUTE(SUBSTITUTE(SUBSTITUTE(N74," ",""),"0",""),"-",""))))),0,(LEN(SUBSTITUTE(SUBSTITUTE(SUBSTITUTE(M74," ",""),"0",""),"-",""))+LEN(SUBSTITUTE(SUBSTITUTE(SUBSTITUTE(N74," ",""),"0",""),"-",""))&gt;LEN(SUBSTITUTE(SUBSTITUTE(SUBSTITUTE(J74," ",""),"0",""),"-",""))+LEN(SUBSTITUTE(SUBSTITUTE(SUBSTITUTE(K74," ",""),"0",""),"-","")))*1),0)</f>
      </c>
      <c r="K78" s="14" t="str">
        <f>IF(OR(COUNTA(J72,K72,M72,N72)&gt;0,OR(L72="X",L72="x")),IF(OR(L72="X",L72="x",AND(OR(COUNTA(J72,K72,M72,N72)&gt;0,OR(L72="X",L72="x")),(LEN(SUBSTITUTE(SUBSTITUTE(SUBSTITUTE(J72," ",""),"0",""),"-",""))+LEN(SUBSTITUTE(SUBSTITUTE(SUBSTITUTE(K72," ",""),"0",""),"-","")))=(LEN(SUBSTITUTE(SUBSTITUTE(SUBSTITUTE(M72," ",""),"0",""),"-",""))+LEN(SUBSTITUTE(SUBSTITUTE(SUBSTITUTE(N72," ",""),"0",""),"-",""))))),0,(LEN(SUBSTITUTE(SUBSTITUTE(SUBSTITUTE(J72," ",""),"0",""),"-",""))+LEN(SUBSTITUTE(SUBSTITUTE(SUBSTITUTE(K72," ",""),"0",""),"-",""))&lt;LEN(SUBSTITUTE(SUBSTITUTE(SUBSTITUTE(M72," ",""),"0",""),"-",""))+LEN(SUBSTITUTE(SUBSTITUTE(SUBSTITUTE(N72," ",""),"0",""),"-","")))*1),0)+IF(OR(COUNTA(J74,K74,M74,N74)&gt;0,OR(L74="X",L74="x")),IF(OR(L74="X",L74="x",AND(OR(COUNTA(J74,K74,M74,N74)&gt;0,OR(L74="X",L74="x")),(LEN(SUBSTITUTE(SUBSTITUTE(SUBSTITUTE(J74," ",""),"0",""),"-",""))+LEN(SUBSTITUTE(SUBSTITUTE(SUBSTITUTE(K74," ",""),"0",""),"-","")))=(LEN(SUBSTITUTE(SUBSTITUTE(SUBSTITUTE(M74," ",""),"0",""),"-",""))+LEN(SUBSTITUTE(SUBSTITUTE(SUBSTITUTE(N74," ",""),"0",""),"-",""))))),0,(LEN(SUBSTITUTE(SUBSTITUTE(SUBSTITUTE(M74," ",""),"0",""),"-",""))+LEN(SUBSTITUTE(SUBSTITUTE(SUBSTITUTE(N74," ",""),"0",""),"-",""))&lt;LEN(SUBSTITUTE(SUBSTITUTE(SUBSTITUTE(J74," ",""),"0",""),"-",""))+LEN(SUBSTITUTE(SUBSTITUTE(SUBSTITUTE(K74," ",""),"0",""),"-","")))*1),0)</f>
      </c>
      <c r="L78" s="14" t="str">
        <f>IF(OR(COUNTA(J72,K72,M72,N72)&gt;0,OR(L72="X",L72="x")),IF(OR(L72="X",L72="x",AND(OR(COUNTA(J72,K72,M72,N72)&gt;0,OR(L72="X",L72="x")),(LEN(SUBSTITUTE(SUBSTITUTE(SUBSTITUTE(J72," ",""),"0",""),"-",""))+LEN(SUBSTITUTE(SUBSTITUTE(SUBSTITUTE(K72," ",""),"0",""),"-","")))=(LEN(SUBSTITUTE(SUBSTITUTE(SUBSTITUTE(M72," ",""),"0",""),"-",""))+LEN(SUBSTITUTE(SUBSTITUTE(SUBSTITUTE(N72," ",""),"0",""),"-",""))))),1,0),0)+IF(OR(COUNTA(J74,K74,M74,N74)&gt;0,OR(L74="X",L74="x")),IF(OR(L74="X",L74="x",AND(OR(COUNTA(J74,K74,M74,N74)&gt;0,OR(L74="X",L74="x")),(LEN(SUBSTITUTE(SUBSTITUTE(SUBSTITUTE(J74," ",""),"0",""),"-",""))+LEN(SUBSTITUTE(SUBSTITUTE(SUBSTITUTE(K74," ",""),"0",""),"-","")))=(LEN(SUBSTITUTE(SUBSTITUTE(SUBSTITUTE(M74," ",""),"0",""),"-",""))+LEN(SUBSTITUTE(SUBSTITUTE(SUBSTITUTE(N74," ",""),"0",""),"-",""))))),1,0),0)</f>
      </c>
      <c r="M78" s="14" t="str">
        <f>LEN(SUBSTITUTE(SUBSTITUTE(SUBSTITUTE(J72," ",""),"0",""),"-",""))+LEN(SUBSTITUTE(SUBSTITUTE(SUBSTITUTE(K72," ",""),"0",""),"-",""))+LEN(SUBSTITUTE(SUBSTITUTE(SUBSTITUTE(M74," ",""),"0",""),"-",""))+LEN(SUBSTITUTE(SUBSTITUTE(SUBSTITUTE(N74," ",""),"0",""),"-",""))</f>
      </c>
      <c r="N78" s="14" t="str">
        <f>LEN(SUBSTITUTE(SUBSTITUTE(SUBSTITUTE(M72," ",""),"0",""),"-",""))+LEN(SUBSTITUTE(SUBSTITUTE(SUBSTITUTE(N72," ",""),"0",""),"-",""))+LEN(SUBSTITUTE(SUBSTITUTE(SUBSTITUTE(J74," ",""),"0",""),"-",""))+LEN(SUBSTITUTE(SUBSTITUTE(SUBSTITUTE(K74," ",""),"0",""),"-",""))</f>
      </c>
      <c r="O78" s="18" t="str">
        <f>RANK(AC78,$AC$77:$AC$79)+COUNTIF($AC$76:AC77,AC78)</f>
      </c>
      <c r="U78" t="str">
        <f>(B78*1000000)-(C78*10000)+(D78*100)+(E78*1)-(F78*0.01)</f>
      </c>
      <c r="AC78" t="str">
        <f>(J78*1000000)-(K78*10000)+(L78*100)+(M78*1)-(N78*0.01)</f>
      </c>
    </row>
    <row r="79">
      <c r="A79" s="14" t="str">
        <f>data!$E$17&amp;" "&amp;data!$B$17</f>
      </c>
      <c r="B79" s="14" t="str">
        <f>IF(OR(COUNTA(B73,C73,E73,F73)&gt;0,OR(D73="X",D73="x")),IF(OR(D73="X",D73="x",AND(OR(COUNTA(B73,C73,E73,F73)&gt;0,OR(D73="X",D73="x")),(LEN(SUBSTITUTE(SUBSTITUTE(SUBSTITUTE(B73," ",""),"0",""),"-",""))+LEN(SUBSTITUTE(SUBSTITUTE(SUBSTITUTE(C73," ",""),"0",""),"-","")))=(LEN(SUBSTITUTE(SUBSTITUTE(SUBSTITUTE(E73," ",""),"0",""),"-",""))+LEN(SUBSTITUTE(SUBSTITUTE(SUBSTITUTE(F73," ",""),"0",""),"-",""))))),0,(LEN(SUBSTITUTE(SUBSTITUTE(SUBSTITUTE(B73," ",""),"0",""),"-",""))+LEN(SUBSTITUTE(SUBSTITUTE(SUBSTITUTE(C73," ",""),"0",""),"-",""))&gt;LEN(SUBSTITUTE(SUBSTITUTE(SUBSTITUTE(E73," ",""),"0",""),"-",""))+LEN(SUBSTITUTE(SUBSTITUTE(SUBSTITUTE(F73," ",""),"0",""),"-","")))*1),0)+IF(OR(COUNTA(B74,C74,E74,F74)&gt;0,OR(D74="X",D74="x")),IF(OR(D74="X",D74="x",AND(OR(COUNTA(B74,C74,E74,F74)&gt;0,OR(D74="X",D74="x")),(LEN(SUBSTITUTE(SUBSTITUTE(SUBSTITUTE(B74," ",""),"0",""),"-",""))+LEN(SUBSTITUTE(SUBSTITUTE(SUBSTITUTE(C74," ",""),"0",""),"-","")))=(LEN(SUBSTITUTE(SUBSTITUTE(SUBSTITUTE(E74," ",""),"0",""),"-",""))+LEN(SUBSTITUTE(SUBSTITUTE(SUBSTITUTE(F74," ",""),"0",""),"-",""))))),0,(LEN(SUBSTITUTE(SUBSTITUTE(SUBSTITUTE(B74," ",""),"0",""),"-",""))+LEN(SUBSTITUTE(SUBSTITUTE(SUBSTITUTE(C74," ",""),"0",""),"-",""))&gt;LEN(SUBSTITUTE(SUBSTITUTE(SUBSTITUTE(E74," ",""),"0",""),"-",""))+LEN(SUBSTITUTE(SUBSTITUTE(SUBSTITUTE(F74," ",""),"0",""),"-","")))*1),0)</f>
      </c>
      <c r="C79" s="14" t="str">
        <f>IF(OR(COUNTA(B73,C73,E73,F73)&gt;0,OR(D73="X",D73="x")),IF(OR(D73="X",D73="x",AND(OR(COUNTA(B73,C73,E73,F73)&gt;0,OR(D73="X",D73="x")),(LEN(SUBSTITUTE(SUBSTITUTE(SUBSTITUTE(B73," ",""),"0",""),"-",""))+LEN(SUBSTITUTE(SUBSTITUTE(SUBSTITUTE(C73," ",""),"0",""),"-","")))=(LEN(SUBSTITUTE(SUBSTITUTE(SUBSTITUTE(E73," ",""),"0",""),"-",""))+LEN(SUBSTITUTE(SUBSTITUTE(SUBSTITUTE(F73," ",""),"0",""),"-",""))))),0,(LEN(SUBSTITUTE(SUBSTITUTE(SUBSTITUTE(B73," ",""),"0",""),"-",""))+LEN(SUBSTITUTE(SUBSTITUTE(SUBSTITUTE(C73," ",""),"0",""),"-",""))&lt;LEN(SUBSTITUTE(SUBSTITUTE(SUBSTITUTE(E73," ",""),"0",""),"-",""))+LEN(SUBSTITUTE(SUBSTITUTE(SUBSTITUTE(F73," ",""),"0",""),"-","")))*1),0)+IF(OR(COUNTA(B74,C74,E74,F74)&gt;0,OR(D74="X",D74="x")),IF(OR(D74="X",D74="x",AND(OR(COUNTA(B74,C74,E74,F74)&gt;0,OR(D74="X",D74="x")),(LEN(SUBSTITUTE(SUBSTITUTE(SUBSTITUTE(B74," ",""),"0",""),"-",""))+LEN(SUBSTITUTE(SUBSTITUTE(SUBSTITUTE(C74," ",""),"0",""),"-","")))=(LEN(SUBSTITUTE(SUBSTITUTE(SUBSTITUTE(E74," ",""),"0",""),"-",""))+LEN(SUBSTITUTE(SUBSTITUTE(SUBSTITUTE(F74," ",""),"0",""),"-",""))))),0,(LEN(SUBSTITUTE(SUBSTITUTE(SUBSTITUTE(B74," ",""),"0",""),"-",""))+LEN(SUBSTITUTE(SUBSTITUTE(SUBSTITUTE(C74," ",""),"0",""),"-",""))&lt;LEN(SUBSTITUTE(SUBSTITUTE(SUBSTITUTE(E74," ",""),"0",""),"-",""))+LEN(SUBSTITUTE(SUBSTITUTE(SUBSTITUTE(F74," ",""),"0",""),"-","")))*1),0)</f>
      </c>
      <c r="D79" s="14" t="str">
        <f>IF(OR(COUNTA(B73,C73,E73,F73)&gt;0,OR(D73="X",D73="x")),IF(OR(D73="X",D73="x",AND(OR(COUNTA(B73,C73,E73,F73)&gt;0,OR(D73="X",D73="x")),(LEN(SUBSTITUTE(SUBSTITUTE(SUBSTITUTE(B73," ",""),"0",""),"-",""))+LEN(SUBSTITUTE(SUBSTITUTE(SUBSTITUTE(C73," ",""),"0",""),"-","")))=(LEN(SUBSTITUTE(SUBSTITUTE(SUBSTITUTE(E73," ",""),"0",""),"-",""))+LEN(SUBSTITUTE(SUBSTITUTE(SUBSTITUTE(F73," ",""),"0",""),"-",""))))),1,0),0)+IF(OR(COUNTA(B74,C74,E74,F74)&gt;0,OR(D74="X",D74="x")),IF(OR(D74="X",D74="x",AND(OR(COUNTA(B74,C74,E74,F74)&gt;0,OR(D74="X",D74="x")),(LEN(SUBSTITUTE(SUBSTITUTE(SUBSTITUTE(B74," ",""),"0",""),"-",""))+LEN(SUBSTITUTE(SUBSTITUTE(SUBSTITUTE(C74," ",""),"0",""),"-","")))=(LEN(SUBSTITUTE(SUBSTITUTE(SUBSTITUTE(E74," ",""),"0",""),"-",""))+LEN(SUBSTITUTE(SUBSTITUTE(SUBSTITUTE(F74," ",""),"0",""),"-",""))))),1,0),0)</f>
      </c>
      <c r="E79" s="14" t="str">
        <f>LEN(SUBSTITUTE(SUBSTITUTE(SUBSTITUTE(B73," ",""),"0",""),"-",""))+LEN(SUBSTITUTE(SUBSTITUTE(SUBSTITUTE(C73," ",""),"0",""),"-",""))+LEN(SUBSTITUTE(SUBSTITUTE(SUBSTITUTE(B74," ",""),"0",""),"-",""))+LEN(SUBSTITUTE(SUBSTITUTE(SUBSTITUTE(C74," ",""),"0",""),"-",""))</f>
      </c>
      <c r="F79" s="14" t="str">
        <f>LEN(SUBSTITUTE(SUBSTITUTE(SUBSTITUTE(E73," ",""),"0",""),"-",""))+LEN(SUBSTITUTE(SUBSTITUTE(SUBSTITUTE(F73," ",""),"0",""),"-",""))+LEN(SUBSTITUTE(SUBSTITUTE(SUBSTITUTE(E74," ",""),"0",""),"-",""))+LEN(SUBSTITUTE(SUBSTITUTE(SUBSTITUTE(F74," ",""),"0",""),"-",""))</f>
      </c>
      <c r="G79" s="18" t="str">
        <f>RANK(U79,$U$77:$U$79)+COUNTIF($U$76:U78,U79)</f>
      </c>
      <c r="I79" s="14" t="str">
        <f>data!$E$64&amp;" "&amp;data!$B$64</f>
      </c>
      <c r="J79" s="14" t="str">
        <f>IF(OR(COUNTA(J73,K73,M73,N73)&gt;0,OR(L73="X",L73="x")),IF(OR(L73="X",L73="x",AND(OR(COUNTA(J73,K73,M73,N73)&gt;0,OR(L73="X",L73="x")),(LEN(SUBSTITUTE(SUBSTITUTE(SUBSTITUTE(J73," ",""),"0",""),"-",""))+LEN(SUBSTITUTE(SUBSTITUTE(SUBSTITUTE(K73," ",""),"0",""),"-","")))=(LEN(SUBSTITUTE(SUBSTITUTE(SUBSTITUTE(M73," ",""),"0",""),"-",""))+LEN(SUBSTITUTE(SUBSTITUTE(SUBSTITUTE(N73," ",""),"0",""),"-",""))))),0,(LEN(SUBSTITUTE(SUBSTITUTE(SUBSTITUTE(J73," ",""),"0",""),"-",""))+LEN(SUBSTITUTE(SUBSTITUTE(SUBSTITUTE(K73," ",""),"0",""),"-",""))&gt;LEN(SUBSTITUTE(SUBSTITUTE(SUBSTITUTE(M73," ",""),"0",""),"-",""))+LEN(SUBSTITUTE(SUBSTITUTE(SUBSTITUTE(N73," ",""),"0",""),"-","")))*1),0)+IF(OR(COUNTA(J74,K74,M74,N74)&gt;0,OR(L74="X",L74="x")),IF(OR(L74="X",L74="x",AND(OR(COUNTA(J74,K74,M74,N74)&gt;0,OR(L74="X",L74="x")),(LEN(SUBSTITUTE(SUBSTITUTE(SUBSTITUTE(J74," ",""),"0",""),"-",""))+LEN(SUBSTITUTE(SUBSTITUTE(SUBSTITUTE(K74," ",""),"0",""),"-","")))=(LEN(SUBSTITUTE(SUBSTITUTE(SUBSTITUTE(M74," ",""),"0",""),"-",""))+LEN(SUBSTITUTE(SUBSTITUTE(SUBSTITUTE(N74," ",""),"0",""),"-",""))))),0,(LEN(SUBSTITUTE(SUBSTITUTE(SUBSTITUTE(J74," ",""),"0",""),"-",""))+LEN(SUBSTITUTE(SUBSTITUTE(SUBSTITUTE(K74," ",""),"0",""),"-",""))&gt;LEN(SUBSTITUTE(SUBSTITUTE(SUBSTITUTE(M74," ",""),"0",""),"-",""))+LEN(SUBSTITUTE(SUBSTITUTE(SUBSTITUTE(N74," ",""),"0",""),"-","")))*1),0)</f>
      </c>
      <c r="K79" s="14" t="str">
        <f>IF(OR(COUNTA(J73,K73,M73,N73)&gt;0,OR(L73="X",L73="x")),IF(OR(L73="X",L73="x",AND(OR(COUNTA(J73,K73,M73,N73)&gt;0,OR(L73="X",L73="x")),(LEN(SUBSTITUTE(SUBSTITUTE(SUBSTITUTE(J73," ",""),"0",""),"-",""))+LEN(SUBSTITUTE(SUBSTITUTE(SUBSTITUTE(K73," ",""),"0",""),"-","")))=(LEN(SUBSTITUTE(SUBSTITUTE(SUBSTITUTE(M73," ",""),"0",""),"-",""))+LEN(SUBSTITUTE(SUBSTITUTE(SUBSTITUTE(N73," ",""),"0",""),"-",""))))),0,(LEN(SUBSTITUTE(SUBSTITUTE(SUBSTITUTE(J73," ",""),"0",""),"-",""))+LEN(SUBSTITUTE(SUBSTITUTE(SUBSTITUTE(K73," ",""),"0",""),"-",""))&lt;LEN(SUBSTITUTE(SUBSTITUTE(SUBSTITUTE(M73," ",""),"0",""),"-",""))+LEN(SUBSTITUTE(SUBSTITUTE(SUBSTITUTE(N73," ",""),"0",""),"-","")))*1),0)+IF(OR(COUNTA(J74,K74,M74,N74)&gt;0,OR(L74="X",L74="x")),IF(OR(L74="X",L74="x",AND(OR(COUNTA(J74,K74,M74,N74)&gt;0,OR(L74="X",L74="x")),(LEN(SUBSTITUTE(SUBSTITUTE(SUBSTITUTE(J74," ",""),"0",""),"-",""))+LEN(SUBSTITUTE(SUBSTITUTE(SUBSTITUTE(K74," ",""),"0",""),"-","")))=(LEN(SUBSTITUTE(SUBSTITUTE(SUBSTITUTE(M74," ",""),"0",""),"-",""))+LEN(SUBSTITUTE(SUBSTITUTE(SUBSTITUTE(N74," ",""),"0",""),"-",""))))),0,(LEN(SUBSTITUTE(SUBSTITUTE(SUBSTITUTE(J74," ",""),"0",""),"-",""))+LEN(SUBSTITUTE(SUBSTITUTE(SUBSTITUTE(K74," ",""),"0",""),"-",""))&lt;LEN(SUBSTITUTE(SUBSTITUTE(SUBSTITUTE(M74," ",""),"0",""),"-",""))+LEN(SUBSTITUTE(SUBSTITUTE(SUBSTITUTE(N74," ",""),"0",""),"-","")))*1),0)</f>
      </c>
      <c r="L79" s="14" t="str">
        <f>IF(OR(COUNTA(J73,K73,M73,N73)&gt;0,OR(L73="X",L73="x")),IF(OR(L73="X",L73="x",AND(OR(COUNTA(J73,K73,M73,N73)&gt;0,OR(L73="X",L73="x")),(LEN(SUBSTITUTE(SUBSTITUTE(SUBSTITUTE(J73," ",""),"0",""),"-",""))+LEN(SUBSTITUTE(SUBSTITUTE(SUBSTITUTE(K73," ",""),"0",""),"-","")))=(LEN(SUBSTITUTE(SUBSTITUTE(SUBSTITUTE(M73," ",""),"0",""),"-",""))+LEN(SUBSTITUTE(SUBSTITUTE(SUBSTITUTE(N73," ",""),"0",""),"-",""))))),1,0),0)+IF(OR(COUNTA(J74,K74,M74,N74)&gt;0,OR(L74="X",L74="x")),IF(OR(L74="X",L74="x",AND(OR(COUNTA(J74,K74,M74,N74)&gt;0,OR(L74="X",L74="x")),(LEN(SUBSTITUTE(SUBSTITUTE(SUBSTITUTE(J74," ",""),"0",""),"-",""))+LEN(SUBSTITUTE(SUBSTITUTE(SUBSTITUTE(K74," ",""),"0",""),"-","")))=(LEN(SUBSTITUTE(SUBSTITUTE(SUBSTITUTE(M74," ",""),"0",""),"-",""))+LEN(SUBSTITUTE(SUBSTITUTE(SUBSTITUTE(N74," ",""),"0",""),"-",""))))),1,0),0)</f>
      </c>
      <c r="M79" s="14" t="str">
        <f>LEN(SUBSTITUTE(SUBSTITUTE(SUBSTITUTE(J73," ",""),"0",""),"-",""))+LEN(SUBSTITUTE(SUBSTITUTE(SUBSTITUTE(K73," ",""),"0",""),"-",""))+LEN(SUBSTITUTE(SUBSTITUTE(SUBSTITUTE(J74," ",""),"0",""),"-",""))+LEN(SUBSTITUTE(SUBSTITUTE(SUBSTITUTE(K74," ",""),"0",""),"-",""))</f>
      </c>
      <c r="N79" s="14" t="str">
        <f>LEN(SUBSTITUTE(SUBSTITUTE(SUBSTITUTE(M73," ",""),"0",""),"-",""))+LEN(SUBSTITUTE(SUBSTITUTE(SUBSTITUTE(N73," ",""),"0",""),"-",""))+LEN(SUBSTITUTE(SUBSTITUTE(SUBSTITUTE(M74," ",""),"0",""),"-",""))+LEN(SUBSTITUTE(SUBSTITUTE(SUBSTITUTE(N74," ",""),"0",""),"-",""))</f>
      </c>
      <c r="O79" s="18" t="str">
        <f>RANK(AC79,$AC$77:$AC$79)+COUNTIF($AC$76:AC78,AC79)</f>
      </c>
      <c r="U79" t="str">
        <f>(B79*1000000)-(C79*10000)+(D79*100)+(E79*1)-(F79*0.01)</f>
      </c>
      <c r="AC79" t="str">
        <f>(J79*1000000)-(K79*10000)+(L79*100)+(M79*1)-(N79*0.01)</f>
      </c>
    </row>
    <row r="82">
      <c r="F82" s="13"/>
      <c r="G82" s="13" t="s">
        <v>341</v>
      </c>
      <c r="N82" s="13"/>
      <c r="O82" s="13" t="s">
        <v>341</v>
      </c>
    </row>
    <row r="83">
      <c r="F83" t="s">
        <v>342</v>
      </c>
      <c r="G83" s="19" t="str">
        <f>IFERROR(INDEX($A$77:$A$79, MATCH(1, $G$77:$G$79, 0)), "-")</f>
      </c>
      <c r="N83" t="s">
        <v>342</v>
      </c>
      <c r="O83" s="19" t="str">
        <f>IFERROR(INDEX($I$77:$I$79, MATCH(1, $O$77:$O$79, 0)), "-")</f>
      </c>
    </row>
    <row r="84">
      <c r="F84" t="s">
        <v>343</v>
      </c>
      <c r="G84" s="19" t="str">
        <f>IFERROR(INDEX($A$77:$A$79, MATCH(2, $G$77:$G$79, 0)), "-")</f>
      </c>
      <c r="N84" t="s">
        <v>343</v>
      </c>
      <c r="O84" s="19" t="str">
        <f>IFERROR(INDEX($I$77:$I$79, MATCH(2, $O$77:$O$79, 0)), "-")</f>
      </c>
    </row>
    <row r="85">
      <c r="F85" t="s">
        <v>344</v>
      </c>
      <c r="G85" s="19" t="str">
        <f>IFERROR(INDEX($A$77:$A$79, MATCH(3, $G$77:$G$79, 0)), "-")</f>
      </c>
      <c r="N85" t="s">
        <v>344</v>
      </c>
      <c r="O85" s="19" t="str">
        <f>IFERROR(INDEX($I$77:$I$79, MATCH(3, $O$77:$O$79, 0)), "-")</f>
      </c>
    </row>
    <row r="87">
      <c r="A87" s="13" t="str">
        <f>'data'!$A$20</f>
      </c>
      <c r="B87" s="13"/>
      <c r="C87" s="13"/>
      <c r="D87" s="13"/>
      <c r="E87" s="13"/>
      <c r="F87" s="13"/>
      <c r="G87" s="13"/>
      <c r="I87" s="13" t="str">
        <f>'data'!$A$67</f>
      </c>
      <c r="J87" s="13"/>
      <c r="K87" s="13"/>
      <c r="L87" s="13"/>
      <c r="M87" s="13"/>
      <c r="N87" s="13"/>
      <c r="O87" s="13"/>
    </row>
    <row r="88">
      <c r="A88" s="17" t="s">
        <v>331</v>
      </c>
      <c r="D88" s="14" t="s">
        <v>332</v>
      </c>
      <c r="G88" s="16" t="s">
        <v>333</v>
      </c>
      <c r="I88" s="17" t="s">
        <v>331</v>
      </c>
      <c r="L88" s="14" t="s">
        <v>332</v>
      </c>
      <c r="O88" s="16" t="s">
        <v>333</v>
      </c>
    </row>
    <row r="89">
      <c r="A89" s="14" t="str">
        <f>data!$E$19&amp;" "&amp;data!$B$19</f>
      </c>
      <c r="B89" s="18"/>
      <c r="C89" s="18"/>
      <c r="D89" s="18"/>
      <c r="E89" s="18"/>
      <c r="F89" s="18"/>
      <c r="G89" s="14" t="str">
        <f>data!$E$18&amp;" "&amp;data!$B$18</f>
      </c>
      <c r="I89" s="14" t="str">
        <f>data!$E$66&amp;" "&amp;data!$B$66</f>
      </c>
      <c r="J89" s="18"/>
      <c r="K89" s="18"/>
      <c r="L89" s="18"/>
      <c r="M89" s="18"/>
      <c r="N89" s="18"/>
      <c r="O89" s="14" t="str">
        <f>data!$E$65&amp;" "&amp;data!$B$65</f>
      </c>
    </row>
    <row r="90">
      <c r="A90" s="14" t="str">
        <f>data!$E$20&amp;" "&amp;data!$B$20</f>
      </c>
      <c r="B90" s="18"/>
      <c r="C90" s="18"/>
      <c r="D90" s="18"/>
      <c r="E90" s="18"/>
      <c r="F90" s="18"/>
      <c r="G90" s="14" t="str">
        <f>data!$E$18&amp;" "&amp;data!$B$18</f>
      </c>
      <c r="I90" s="14" t="str">
        <f>data!$E$67&amp;" "&amp;data!$B$67</f>
      </c>
      <c r="J90" s="18"/>
      <c r="K90" s="18"/>
      <c r="L90" s="18"/>
      <c r="M90" s="18"/>
      <c r="N90" s="18"/>
      <c r="O90" s="14" t="str">
        <f>data!$E$65&amp;" "&amp;data!$B$65</f>
      </c>
    </row>
    <row r="91">
      <c r="A91" s="14" t="str">
        <f>data!$E$20&amp;" "&amp;data!$B$20</f>
      </c>
      <c r="B91" s="18"/>
      <c r="C91" s="18"/>
      <c r="D91" s="18"/>
      <c r="E91" s="18"/>
      <c r="F91" s="18"/>
      <c r="G91" s="14" t="str">
        <f>data!$E$19&amp;" "&amp;data!$B$19</f>
      </c>
      <c r="I91" s="14" t="str">
        <f>data!$E$67&amp;" "&amp;data!$B$67</f>
      </c>
      <c r="J91" s="18"/>
      <c r="K91" s="18"/>
      <c r="L91" s="18"/>
      <c r="M91" s="18"/>
      <c r="N91" s="18"/>
      <c r="O91" s="14" t="str">
        <f>data!$E$66&amp;" "&amp;data!$B$66</f>
      </c>
    </row>
    <row r="93">
      <c r="A93" s="13" t="s">
        <v>334</v>
      </c>
      <c r="B93" s="13" t="s">
        <v>335</v>
      </c>
      <c r="C93" s="13" t="s">
        <v>336</v>
      </c>
      <c r="D93" s="13" t="s">
        <v>337</v>
      </c>
      <c r="E93" s="13" t="s">
        <v>338</v>
      </c>
      <c r="F93" s="13" t="s">
        <v>339</v>
      </c>
      <c r="G93" s="13" t="s">
        <v>340</v>
      </c>
      <c r="I93" s="13" t="s">
        <v>334</v>
      </c>
      <c r="J93" s="13" t="s">
        <v>335</v>
      </c>
      <c r="K93" s="13" t="s">
        <v>336</v>
      </c>
      <c r="L93" s="13" t="s">
        <v>337</v>
      </c>
      <c r="M93" s="13" t="s">
        <v>338</v>
      </c>
      <c r="N93" s="13" t="s">
        <v>339</v>
      </c>
      <c r="O93" s="13" t="s">
        <v>340</v>
      </c>
    </row>
    <row r="94">
      <c r="A94" s="14" t="str">
        <f>data!$E$18&amp;" "&amp;data!$B$18</f>
      </c>
      <c r="B94" s="14" t="str">
        <f>IF(OR(COUNTA(B89,C89,E89,F89)&gt;0,OR(D89="X",D89="x")),IF(OR(D89="X",D89="x",AND(OR(COUNTA(B89,C89,E89,F89)&gt;0,OR(D89="X",D89="x")),(LEN(SUBSTITUTE(SUBSTITUTE(SUBSTITUTE(B89," ",""),"0",""),"-",""))+LEN(SUBSTITUTE(SUBSTITUTE(SUBSTITUTE(C89," ",""),"0",""),"-","")))=(LEN(SUBSTITUTE(SUBSTITUTE(SUBSTITUTE(E89," ",""),"0",""),"-",""))+LEN(SUBSTITUTE(SUBSTITUTE(SUBSTITUTE(F89," ",""),"0",""),"-",""))))),0,(LEN(SUBSTITUTE(SUBSTITUTE(SUBSTITUTE(E89," ",""),"0",""),"-",""))+LEN(SUBSTITUTE(SUBSTITUTE(SUBSTITUTE(F89," ",""),"0",""),"-",""))&gt;LEN(SUBSTITUTE(SUBSTITUTE(SUBSTITUTE(B89," ",""),"0",""),"-",""))+LEN(SUBSTITUTE(SUBSTITUTE(SUBSTITUTE(C89," ",""),"0",""),"-","")))*1),0)+IF(OR(COUNTA(B90,C90,E90,F90)&gt;0,OR(D90="X",D90="x")),IF(OR(D90="X",D90="x",AND(OR(COUNTA(B90,C90,E90,F90)&gt;0,OR(D90="X",D90="x")),(LEN(SUBSTITUTE(SUBSTITUTE(SUBSTITUTE(B90," ",""),"0",""),"-",""))+LEN(SUBSTITUTE(SUBSTITUTE(SUBSTITUTE(C90," ",""),"0",""),"-","")))=(LEN(SUBSTITUTE(SUBSTITUTE(SUBSTITUTE(E90," ",""),"0",""),"-",""))+LEN(SUBSTITUTE(SUBSTITUTE(SUBSTITUTE(F90," ",""),"0",""),"-",""))))),0,(LEN(SUBSTITUTE(SUBSTITUTE(SUBSTITUTE(E90," ",""),"0",""),"-",""))+LEN(SUBSTITUTE(SUBSTITUTE(SUBSTITUTE(F90," ",""),"0",""),"-",""))&gt;LEN(SUBSTITUTE(SUBSTITUTE(SUBSTITUTE(B90," ",""),"0",""),"-",""))+LEN(SUBSTITUTE(SUBSTITUTE(SUBSTITUTE(C90," ",""),"0",""),"-","")))*1),0)</f>
      </c>
      <c r="C94" s="14" t="str">
        <f>IF(OR(COUNTA(B89,C89,E89,F89)&gt;0,OR(D89="X",D89="x")),IF(OR(D89="X",D89="x",AND(OR(COUNTA(B89,C89,E89,F89)&gt;0,OR(D89="X",D89="x")),(LEN(SUBSTITUTE(SUBSTITUTE(SUBSTITUTE(B89," ",""),"0",""),"-",""))+LEN(SUBSTITUTE(SUBSTITUTE(SUBSTITUTE(C89," ",""),"0",""),"-","")))=(LEN(SUBSTITUTE(SUBSTITUTE(SUBSTITUTE(E89," ",""),"0",""),"-",""))+LEN(SUBSTITUTE(SUBSTITUTE(SUBSTITUTE(F89," ",""),"0",""),"-",""))))),0,(LEN(SUBSTITUTE(SUBSTITUTE(SUBSTITUTE(E89," ",""),"0",""),"-",""))+LEN(SUBSTITUTE(SUBSTITUTE(SUBSTITUTE(F89," ",""),"0",""),"-",""))&lt;LEN(SUBSTITUTE(SUBSTITUTE(SUBSTITUTE(B89," ",""),"0",""),"-",""))+LEN(SUBSTITUTE(SUBSTITUTE(SUBSTITUTE(C89," ",""),"0",""),"-","")))*1),0)+IF(OR(COUNTA(B90,C90,E90,F90)&gt;0,OR(D90="X",D90="x")),IF(OR(D90="X",D90="x",AND(OR(COUNTA(B90,C90,E90,F90)&gt;0,OR(D90="X",D90="x")),(LEN(SUBSTITUTE(SUBSTITUTE(SUBSTITUTE(B90," ",""),"0",""),"-",""))+LEN(SUBSTITUTE(SUBSTITUTE(SUBSTITUTE(C90," ",""),"0",""),"-","")))=(LEN(SUBSTITUTE(SUBSTITUTE(SUBSTITUTE(E90," ",""),"0",""),"-",""))+LEN(SUBSTITUTE(SUBSTITUTE(SUBSTITUTE(F90," ",""),"0",""),"-",""))))),0,(LEN(SUBSTITUTE(SUBSTITUTE(SUBSTITUTE(E90," ",""),"0",""),"-",""))+LEN(SUBSTITUTE(SUBSTITUTE(SUBSTITUTE(F90," ",""),"0",""),"-",""))&lt;LEN(SUBSTITUTE(SUBSTITUTE(SUBSTITUTE(B90," ",""),"0",""),"-",""))+LEN(SUBSTITUTE(SUBSTITUTE(SUBSTITUTE(C90," ",""),"0",""),"-","")))*1),0)</f>
      </c>
      <c r="D94" s="14" t="str">
        <f>IF(OR(COUNTA(B89,C89,E89,F89)&gt;0,OR(D89="X",D89="x")),IF(OR(D89="X",D89="x",AND(OR(COUNTA(B89,C89,E89,F89)&gt;0,OR(D89="X",D89="x")),(LEN(SUBSTITUTE(SUBSTITUTE(SUBSTITUTE(B89," ",""),"0",""),"-",""))+LEN(SUBSTITUTE(SUBSTITUTE(SUBSTITUTE(C89," ",""),"0",""),"-","")))=(LEN(SUBSTITUTE(SUBSTITUTE(SUBSTITUTE(E89," ",""),"0",""),"-",""))+LEN(SUBSTITUTE(SUBSTITUTE(SUBSTITUTE(F89," ",""),"0",""),"-",""))))),1,0),0)+IF(OR(COUNTA(B90,C90,E90,F90)&gt;0,OR(D90="X",D90="x")),IF(OR(D90="X",D90="x",AND(OR(COUNTA(B90,C90,E90,F90)&gt;0,OR(D90="X",D90="x")),(LEN(SUBSTITUTE(SUBSTITUTE(SUBSTITUTE(B90," ",""),"0",""),"-",""))+LEN(SUBSTITUTE(SUBSTITUTE(SUBSTITUTE(C90," ",""),"0",""),"-","")))=(LEN(SUBSTITUTE(SUBSTITUTE(SUBSTITUTE(E90," ",""),"0",""),"-",""))+LEN(SUBSTITUTE(SUBSTITUTE(SUBSTITUTE(F90," ",""),"0",""),"-",""))))),1,0),0)</f>
      </c>
      <c r="E94" s="14" t="str">
        <f>LEN(SUBSTITUTE(SUBSTITUTE(SUBSTITUTE(E89," ",""),"0",""),"-",""))+LEN(SUBSTITUTE(SUBSTITUTE(SUBSTITUTE(F89," ",""),"0",""),"-",""))+LEN(SUBSTITUTE(SUBSTITUTE(SUBSTITUTE(E90," ",""),"0",""),"-",""))+LEN(SUBSTITUTE(SUBSTITUTE(SUBSTITUTE(F90," ",""),"0",""),"-",""))</f>
      </c>
      <c r="F94" s="14" t="str">
        <f>LEN(SUBSTITUTE(SUBSTITUTE(SUBSTITUTE(B89," ",""),"0",""),"-",""))+LEN(SUBSTITUTE(SUBSTITUTE(SUBSTITUTE(C89," ",""),"0",""),"-",""))+LEN(SUBSTITUTE(SUBSTITUTE(SUBSTITUTE(B90," ",""),"0",""),"-",""))+LEN(SUBSTITUTE(SUBSTITUTE(SUBSTITUTE(C90," ",""),"0",""),"-",""))</f>
      </c>
      <c r="G94" s="18" t="str">
        <f>RANK(U94,$U$94:$U$96)+COUNTIF($U$93:U93,U94)</f>
      </c>
      <c r="I94" s="14" t="str">
        <f>data!$E$65&amp;" "&amp;data!$B$65</f>
      </c>
      <c r="J94" s="14" t="str">
        <f>IF(OR(COUNTA(J89,K89,M89,N89)&gt;0,OR(L89="X",L89="x")),IF(OR(L89="X",L89="x",AND(OR(COUNTA(J89,K89,M89,N89)&gt;0,OR(L89="X",L89="x")),(LEN(SUBSTITUTE(SUBSTITUTE(SUBSTITUTE(J89," ",""),"0",""),"-",""))+LEN(SUBSTITUTE(SUBSTITUTE(SUBSTITUTE(K89," ",""),"0",""),"-","")))=(LEN(SUBSTITUTE(SUBSTITUTE(SUBSTITUTE(M89," ",""),"0",""),"-",""))+LEN(SUBSTITUTE(SUBSTITUTE(SUBSTITUTE(N89," ",""),"0",""),"-",""))))),0,(LEN(SUBSTITUTE(SUBSTITUTE(SUBSTITUTE(M89," ",""),"0",""),"-",""))+LEN(SUBSTITUTE(SUBSTITUTE(SUBSTITUTE(N89," ",""),"0",""),"-",""))&gt;LEN(SUBSTITUTE(SUBSTITUTE(SUBSTITUTE(J89," ",""),"0",""),"-",""))+LEN(SUBSTITUTE(SUBSTITUTE(SUBSTITUTE(K89," ",""),"0",""),"-","")))*1),0)+IF(OR(COUNTA(J90,K90,M90,N90)&gt;0,OR(L90="X",L90="x")),IF(OR(L90="X",L90="x",AND(OR(COUNTA(J90,K90,M90,N90)&gt;0,OR(L90="X",L90="x")),(LEN(SUBSTITUTE(SUBSTITUTE(SUBSTITUTE(J90," ",""),"0",""),"-",""))+LEN(SUBSTITUTE(SUBSTITUTE(SUBSTITUTE(K90," ",""),"0",""),"-","")))=(LEN(SUBSTITUTE(SUBSTITUTE(SUBSTITUTE(M90," ",""),"0",""),"-",""))+LEN(SUBSTITUTE(SUBSTITUTE(SUBSTITUTE(N90," ",""),"0",""),"-",""))))),0,(LEN(SUBSTITUTE(SUBSTITUTE(SUBSTITUTE(M90," ",""),"0",""),"-",""))+LEN(SUBSTITUTE(SUBSTITUTE(SUBSTITUTE(N90," ",""),"0",""),"-",""))&gt;LEN(SUBSTITUTE(SUBSTITUTE(SUBSTITUTE(J90," ",""),"0",""),"-",""))+LEN(SUBSTITUTE(SUBSTITUTE(SUBSTITUTE(K90," ",""),"0",""),"-","")))*1),0)</f>
      </c>
      <c r="K94" s="14" t="str">
        <f>IF(OR(COUNTA(J89,K89,M89,N89)&gt;0,OR(L89="X",L89="x")),IF(OR(L89="X",L89="x",AND(OR(COUNTA(J89,K89,M89,N89)&gt;0,OR(L89="X",L89="x")),(LEN(SUBSTITUTE(SUBSTITUTE(SUBSTITUTE(J89," ",""),"0",""),"-",""))+LEN(SUBSTITUTE(SUBSTITUTE(SUBSTITUTE(K89," ",""),"0",""),"-","")))=(LEN(SUBSTITUTE(SUBSTITUTE(SUBSTITUTE(M89," ",""),"0",""),"-",""))+LEN(SUBSTITUTE(SUBSTITUTE(SUBSTITUTE(N89," ",""),"0",""),"-",""))))),0,(LEN(SUBSTITUTE(SUBSTITUTE(SUBSTITUTE(M89," ",""),"0",""),"-",""))+LEN(SUBSTITUTE(SUBSTITUTE(SUBSTITUTE(N89," ",""),"0",""),"-",""))&lt;LEN(SUBSTITUTE(SUBSTITUTE(SUBSTITUTE(J89," ",""),"0",""),"-",""))+LEN(SUBSTITUTE(SUBSTITUTE(SUBSTITUTE(K89," ",""),"0",""),"-","")))*1),0)+IF(OR(COUNTA(J90,K90,M90,N90)&gt;0,OR(L90="X",L90="x")),IF(OR(L90="X",L90="x",AND(OR(COUNTA(J90,K90,M90,N90)&gt;0,OR(L90="X",L90="x")),(LEN(SUBSTITUTE(SUBSTITUTE(SUBSTITUTE(J90," ",""),"0",""),"-",""))+LEN(SUBSTITUTE(SUBSTITUTE(SUBSTITUTE(K90," ",""),"0",""),"-","")))=(LEN(SUBSTITUTE(SUBSTITUTE(SUBSTITUTE(M90," ",""),"0",""),"-",""))+LEN(SUBSTITUTE(SUBSTITUTE(SUBSTITUTE(N90," ",""),"0",""),"-",""))))),0,(LEN(SUBSTITUTE(SUBSTITUTE(SUBSTITUTE(M90," ",""),"0",""),"-",""))+LEN(SUBSTITUTE(SUBSTITUTE(SUBSTITUTE(N90," ",""),"0",""),"-",""))&lt;LEN(SUBSTITUTE(SUBSTITUTE(SUBSTITUTE(J90," ",""),"0",""),"-",""))+LEN(SUBSTITUTE(SUBSTITUTE(SUBSTITUTE(K90," ",""),"0",""),"-","")))*1),0)</f>
      </c>
      <c r="L94" s="14" t="str">
        <f>IF(OR(COUNTA(J89,K89,M89,N89)&gt;0,OR(L89="X",L89="x")),IF(OR(L89="X",L89="x",AND(OR(COUNTA(J89,K89,M89,N89)&gt;0,OR(L89="X",L89="x")),(LEN(SUBSTITUTE(SUBSTITUTE(SUBSTITUTE(J89," ",""),"0",""),"-",""))+LEN(SUBSTITUTE(SUBSTITUTE(SUBSTITUTE(K89," ",""),"0",""),"-","")))=(LEN(SUBSTITUTE(SUBSTITUTE(SUBSTITUTE(M89," ",""),"0",""),"-",""))+LEN(SUBSTITUTE(SUBSTITUTE(SUBSTITUTE(N89," ",""),"0",""),"-",""))))),1,0),0)+IF(OR(COUNTA(J90,K90,M90,N90)&gt;0,OR(L90="X",L90="x")),IF(OR(L90="X",L90="x",AND(OR(COUNTA(J90,K90,M90,N90)&gt;0,OR(L90="X",L90="x")),(LEN(SUBSTITUTE(SUBSTITUTE(SUBSTITUTE(J90," ",""),"0",""),"-",""))+LEN(SUBSTITUTE(SUBSTITUTE(SUBSTITUTE(K90," ",""),"0",""),"-","")))=(LEN(SUBSTITUTE(SUBSTITUTE(SUBSTITUTE(M90," ",""),"0",""),"-",""))+LEN(SUBSTITUTE(SUBSTITUTE(SUBSTITUTE(N90," ",""),"0",""),"-",""))))),1,0),0)</f>
      </c>
      <c r="M94" s="14" t="str">
        <f>LEN(SUBSTITUTE(SUBSTITUTE(SUBSTITUTE(M89," ",""),"0",""),"-",""))+LEN(SUBSTITUTE(SUBSTITUTE(SUBSTITUTE(N89," ",""),"0",""),"-",""))+LEN(SUBSTITUTE(SUBSTITUTE(SUBSTITUTE(M90," ",""),"0",""),"-",""))+LEN(SUBSTITUTE(SUBSTITUTE(SUBSTITUTE(N90," ",""),"0",""),"-",""))</f>
      </c>
      <c r="N94" s="14" t="str">
        <f>LEN(SUBSTITUTE(SUBSTITUTE(SUBSTITUTE(J89," ",""),"0",""),"-",""))+LEN(SUBSTITUTE(SUBSTITUTE(SUBSTITUTE(K89," ",""),"0",""),"-",""))+LEN(SUBSTITUTE(SUBSTITUTE(SUBSTITUTE(J90," ",""),"0",""),"-",""))+LEN(SUBSTITUTE(SUBSTITUTE(SUBSTITUTE(K90," ",""),"0",""),"-",""))</f>
      </c>
      <c r="O94" s="18" t="str">
        <f>RANK(AC94,$AC$94:$AC$96)+COUNTIF($AC$93:AC93,AC94)</f>
      </c>
      <c r="U94" t="str">
        <f>(B94*1000000)-(C94*10000)+(D94*100)+(E94*1)-(F94*0.01)</f>
      </c>
      <c r="AC94" t="str">
        <f>(J94*1000000)-(K94*10000)+(L94*100)+(M94*1)-(N94*0.01)</f>
      </c>
    </row>
    <row r="95">
      <c r="A95" s="14" t="str">
        <f>data!$E$19&amp;" "&amp;data!$B$19</f>
      </c>
      <c r="B95" s="14" t="str">
        <f>IF(OR(COUNTA(B89,C89,E89,F89)&gt;0,OR(D89="X",D89="x")),IF(OR(D89="X",D89="x",AND(OR(COUNTA(B89,C89,E89,F89)&gt;0,OR(D89="X",D89="x")),(LEN(SUBSTITUTE(SUBSTITUTE(SUBSTITUTE(B89," ",""),"0",""),"-",""))+LEN(SUBSTITUTE(SUBSTITUTE(SUBSTITUTE(C89," ",""),"0",""),"-","")))=(LEN(SUBSTITUTE(SUBSTITUTE(SUBSTITUTE(E89," ",""),"0",""),"-",""))+LEN(SUBSTITUTE(SUBSTITUTE(SUBSTITUTE(F89," ",""),"0",""),"-",""))))),0,(LEN(SUBSTITUTE(SUBSTITUTE(SUBSTITUTE(B89," ",""),"0",""),"-",""))+LEN(SUBSTITUTE(SUBSTITUTE(SUBSTITUTE(C89," ",""),"0",""),"-",""))&gt;LEN(SUBSTITUTE(SUBSTITUTE(SUBSTITUTE(E89," ",""),"0",""),"-",""))+LEN(SUBSTITUTE(SUBSTITUTE(SUBSTITUTE(F89," ",""),"0",""),"-","")))*1),0)+IF(OR(COUNTA(B91,C91,E91,F91)&gt;0,OR(D91="X",D91="x")),IF(OR(D91="X",D91="x",AND(OR(COUNTA(B91,C91,E91,F91)&gt;0,OR(D91="X",D91="x")),(LEN(SUBSTITUTE(SUBSTITUTE(SUBSTITUTE(B91," ",""),"0",""),"-",""))+LEN(SUBSTITUTE(SUBSTITUTE(SUBSTITUTE(C91," ",""),"0",""),"-","")))=(LEN(SUBSTITUTE(SUBSTITUTE(SUBSTITUTE(E91," ",""),"0",""),"-",""))+LEN(SUBSTITUTE(SUBSTITUTE(SUBSTITUTE(F91," ",""),"0",""),"-",""))))),0,(LEN(SUBSTITUTE(SUBSTITUTE(SUBSTITUTE(E91," ",""),"0",""),"-",""))+LEN(SUBSTITUTE(SUBSTITUTE(SUBSTITUTE(F91," ",""),"0",""),"-",""))&gt;LEN(SUBSTITUTE(SUBSTITUTE(SUBSTITUTE(B91," ",""),"0",""),"-",""))+LEN(SUBSTITUTE(SUBSTITUTE(SUBSTITUTE(C91," ",""),"0",""),"-","")))*1),0)</f>
      </c>
      <c r="C95" s="14" t="str">
        <f>IF(OR(COUNTA(B89,C89,E89,F89)&gt;0,OR(D89="X",D89="x")),IF(OR(D89="X",D89="x",AND(OR(COUNTA(B89,C89,E89,F89)&gt;0,OR(D89="X",D89="x")),(LEN(SUBSTITUTE(SUBSTITUTE(SUBSTITUTE(B89," ",""),"0",""),"-",""))+LEN(SUBSTITUTE(SUBSTITUTE(SUBSTITUTE(C89," ",""),"0",""),"-","")))=(LEN(SUBSTITUTE(SUBSTITUTE(SUBSTITUTE(E89," ",""),"0",""),"-",""))+LEN(SUBSTITUTE(SUBSTITUTE(SUBSTITUTE(F89," ",""),"0",""),"-",""))))),0,(LEN(SUBSTITUTE(SUBSTITUTE(SUBSTITUTE(B89," ",""),"0",""),"-",""))+LEN(SUBSTITUTE(SUBSTITUTE(SUBSTITUTE(C89," ",""),"0",""),"-",""))&lt;LEN(SUBSTITUTE(SUBSTITUTE(SUBSTITUTE(E89," ",""),"0",""),"-",""))+LEN(SUBSTITUTE(SUBSTITUTE(SUBSTITUTE(F89," ",""),"0",""),"-","")))*1),0)+IF(OR(COUNTA(B91,C91,E91,F91)&gt;0,OR(D91="X",D91="x")),IF(OR(D91="X",D91="x",AND(OR(COUNTA(B91,C91,E91,F91)&gt;0,OR(D91="X",D91="x")),(LEN(SUBSTITUTE(SUBSTITUTE(SUBSTITUTE(B91," ",""),"0",""),"-",""))+LEN(SUBSTITUTE(SUBSTITUTE(SUBSTITUTE(C91," ",""),"0",""),"-","")))=(LEN(SUBSTITUTE(SUBSTITUTE(SUBSTITUTE(E91," ",""),"0",""),"-",""))+LEN(SUBSTITUTE(SUBSTITUTE(SUBSTITUTE(F91," ",""),"0",""),"-",""))))),0,(LEN(SUBSTITUTE(SUBSTITUTE(SUBSTITUTE(E91," ",""),"0",""),"-",""))+LEN(SUBSTITUTE(SUBSTITUTE(SUBSTITUTE(F91," ",""),"0",""),"-",""))&lt;LEN(SUBSTITUTE(SUBSTITUTE(SUBSTITUTE(B91," ",""),"0",""),"-",""))+LEN(SUBSTITUTE(SUBSTITUTE(SUBSTITUTE(C91," ",""),"0",""),"-","")))*1),0)</f>
      </c>
      <c r="D95" s="14" t="str">
        <f>IF(OR(COUNTA(B89,C89,E89,F89)&gt;0,OR(D89="X",D89="x")),IF(OR(D89="X",D89="x",AND(OR(COUNTA(B89,C89,E89,F89)&gt;0,OR(D89="X",D89="x")),(LEN(SUBSTITUTE(SUBSTITUTE(SUBSTITUTE(B89," ",""),"0",""),"-",""))+LEN(SUBSTITUTE(SUBSTITUTE(SUBSTITUTE(C89," ",""),"0",""),"-","")))=(LEN(SUBSTITUTE(SUBSTITUTE(SUBSTITUTE(E89," ",""),"0",""),"-",""))+LEN(SUBSTITUTE(SUBSTITUTE(SUBSTITUTE(F89," ",""),"0",""),"-",""))))),1,0),0)+IF(OR(COUNTA(B91,C91,E91,F91)&gt;0,OR(D91="X",D91="x")),IF(OR(D91="X",D91="x",AND(OR(COUNTA(B91,C91,E91,F91)&gt;0,OR(D91="X",D91="x")),(LEN(SUBSTITUTE(SUBSTITUTE(SUBSTITUTE(B91," ",""),"0",""),"-",""))+LEN(SUBSTITUTE(SUBSTITUTE(SUBSTITUTE(C91," ",""),"0",""),"-","")))=(LEN(SUBSTITUTE(SUBSTITUTE(SUBSTITUTE(E91," ",""),"0",""),"-",""))+LEN(SUBSTITUTE(SUBSTITUTE(SUBSTITUTE(F91," ",""),"0",""),"-",""))))),1,0),0)</f>
      </c>
      <c r="E95" s="14" t="str">
        <f>LEN(SUBSTITUTE(SUBSTITUTE(SUBSTITUTE(B89," ",""),"0",""),"-",""))+LEN(SUBSTITUTE(SUBSTITUTE(SUBSTITUTE(C89," ",""),"0",""),"-",""))+LEN(SUBSTITUTE(SUBSTITUTE(SUBSTITUTE(E91," ",""),"0",""),"-",""))+LEN(SUBSTITUTE(SUBSTITUTE(SUBSTITUTE(F91," ",""),"0",""),"-",""))</f>
      </c>
      <c r="F95" s="14" t="str">
        <f>LEN(SUBSTITUTE(SUBSTITUTE(SUBSTITUTE(E89," ",""),"0",""),"-",""))+LEN(SUBSTITUTE(SUBSTITUTE(SUBSTITUTE(F89," ",""),"0",""),"-",""))+LEN(SUBSTITUTE(SUBSTITUTE(SUBSTITUTE(B91," ",""),"0",""),"-",""))+LEN(SUBSTITUTE(SUBSTITUTE(SUBSTITUTE(C91," ",""),"0",""),"-",""))</f>
      </c>
      <c r="G95" s="18" t="str">
        <f>RANK(U95,$U$94:$U$96)+COUNTIF($U$93:U94,U95)</f>
      </c>
      <c r="I95" s="14" t="str">
        <f>data!$E$66&amp;" "&amp;data!$B$66</f>
      </c>
      <c r="J95" s="14" t="str">
        <f>IF(OR(COUNTA(J89,K89,M89,N89)&gt;0,OR(L89="X",L89="x")),IF(OR(L89="X",L89="x",AND(OR(COUNTA(J89,K89,M89,N89)&gt;0,OR(L89="X",L89="x")),(LEN(SUBSTITUTE(SUBSTITUTE(SUBSTITUTE(J89," ",""),"0",""),"-",""))+LEN(SUBSTITUTE(SUBSTITUTE(SUBSTITUTE(K89," ",""),"0",""),"-","")))=(LEN(SUBSTITUTE(SUBSTITUTE(SUBSTITUTE(M89," ",""),"0",""),"-",""))+LEN(SUBSTITUTE(SUBSTITUTE(SUBSTITUTE(N89," ",""),"0",""),"-",""))))),0,(LEN(SUBSTITUTE(SUBSTITUTE(SUBSTITUTE(J89," ",""),"0",""),"-",""))+LEN(SUBSTITUTE(SUBSTITUTE(SUBSTITUTE(K89," ",""),"0",""),"-",""))&gt;LEN(SUBSTITUTE(SUBSTITUTE(SUBSTITUTE(M89," ",""),"0",""),"-",""))+LEN(SUBSTITUTE(SUBSTITUTE(SUBSTITUTE(N89," ",""),"0",""),"-","")))*1),0)+IF(OR(COUNTA(J91,K91,M91,N91)&gt;0,OR(L91="X",L91="x")),IF(OR(L91="X",L91="x",AND(OR(COUNTA(J91,K91,M91,N91)&gt;0,OR(L91="X",L91="x")),(LEN(SUBSTITUTE(SUBSTITUTE(SUBSTITUTE(J91," ",""),"0",""),"-",""))+LEN(SUBSTITUTE(SUBSTITUTE(SUBSTITUTE(K91," ",""),"0",""),"-","")))=(LEN(SUBSTITUTE(SUBSTITUTE(SUBSTITUTE(M91," ",""),"0",""),"-",""))+LEN(SUBSTITUTE(SUBSTITUTE(SUBSTITUTE(N91," ",""),"0",""),"-",""))))),0,(LEN(SUBSTITUTE(SUBSTITUTE(SUBSTITUTE(M91," ",""),"0",""),"-",""))+LEN(SUBSTITUTE(SUBSTITUTE(SUBSTITUTE(N91," ",""),"0",""),"-",""))&gt;LEN(SUBSTITUTE(SUBSTITUTE(SUBSTITUTE(J91," ",""),"0",""),"-",""))+LEN(SUBSTITUTE(SUBSTITUTE(SUBSTITUTE(K91," ",""),"0",""),"-","")))*1),0)</f>
      </c>
      <c r="K95" s="14" t="str">
        <f>IF(OR(COUNTA(J89,K89,M89,N89)&gt;0,OR(L89="X",L89="x")),IF(OR(L89="X",L89="x",AND(OR(COUNTA(J89,K89,M89,N89)&gt;0,OR(L89="X",L89="x")),(LEN(SUBSTITUTE(SUBSTITUTE(SUBSTITUTE(J89," ",""),"0",""),"-",""))+LEN(SUBSTITUTE(SUBSTITUTE(SUBSTITUTE(K89," ",""),"0",""),"-","")))=(LEN(SUBSTITUTE(SUBSTITUTE(SUBSTITUTE(M89," ",""),"0",""),"-",""))+LEN(SUBSTITUTE(SUBSTITUTE(SUBSTITUTE(N89," ",""),"0",""),"-",""))))),0,(LEN(SUBSTITUTE(SUBSTITUTE(SUBSTITUTE(J89," ",""),"0",""),"-",""))+LEN(SUBSTITUTE(SUBSTITUTE(SUBSTITUTE(K89," ",""),"0",""),"-",""))&lt;LEN(SUBSTITUTE(SUBSTITUTE(SUBSTITUTE(M89," ",""),"0",""),"-",""))+LEN(SUBSTITUTE(SUBSTITUTE(SUBSTITUTE(N89," ",""),"0",""),"-","")))*1),0)+IF(OR(COUNTA(J91,K91,M91,N91)&gt;0,OR(L91="X",L91="x")),IF(OR(L91="X",L91="x",AND(OR(COUNTA(J91,K91,M91,N91)&gt;0,OR(L91="X",L91="x")),(LEN(SUBSTITUTE(SUBSTITUTE(SUBSTITUTE(J91," ",""),"0",""),"-",""))+LEN(SUBSTITUTE(SUBSTITUTE(SUBSTITUTE(K91," ",""),"0",""),"-","")))=(LEN(SUBSTITUTE(SUBSTITUTE(SUBSTITUTE(M91," ",""),"0",""),"-",""))+LEN(SUBSTITUTE(SUBSTITUTE(SUBSTITUTE(N91," ",""),"0",""),"-",""))))),0,(LEN(SUBSTITUTE(SUBSTITUTE(SUBSTITUTE(M91," ",""),"0",""),"-",""))+LEN(SUBSTITUTE(SUBSTITUTE(SUBSTITUTE(N91," ",""),"0",""),"-",""))&lt;LEN(SUBSTITUTE(SUBSTITUTE(SUBSTITUTE(J91," ",""),"0",""),"-",""))+LEN(SUBSTITUTE(SUBSTITUTE(SUBSTITUTE(K91," ",""),"0",""),"-","")))*1),0)</f>
      </c>
      <c r="L95" s="14" t="str">
        <f>IF(OR(COUNTA(J89,K89,M89,N89)&gt;0,OR(L89="X",L89="x")),IF(OR(L89="X",L89="x",AND(OR(COUNTA(J89,K89,M89,N89)&gt;0,OR(L89="X",L89="x")),(LEN(SUBSTITUTE(SUBSTITUTE(SUBSTITUTE(J89," ",""),"0",""),"-",""))+LEN(SUBSTITUTE(SUBSTITUTE(SUBSTITUTE(K89," ",""),"0",""),"-","")))=(LEN(SUBSTITUTE(SUBSTITUTE(SUBSTITUTE(M89," ",""),"0",""),"-",""))+LEN(SUBSTITUTE(SUBSTITUTE(SUBSTITUTE(N89," ",""),"0",""),"-",""))))),1,0),0)+IF(OR(COUNTA(J91,K91,M91,N91)&gt;0,OR(L91="X",L91="x")),IF(OR(L91="X",L91="x",AND(OR(COUNTA(J91,K91,M91,N91)&gt;0,OR(L91="X",L91="x")),(LEN(SUBSTITUTE(SUBSTITUTE(SUBSTITUTE(J91," ",""),"0",""),"-",""))+LEN(SUBSTITUTE(SUBSTITUTE(SUBSTITUTE(K91," ",""),"0",""),"-","")))=(LEN(SUBSTITUTE(SUBSTITUTE(SUBSTITUTE(M91," ",""),"0",""),"-",""))+LEN(SUBSTITUTE(SUBSTITUTE(SUBSTITUTE(N91," ",""),"0",""),"-",""))))),1,0),0)</f>
      </c>
      <c r="M95" s="14" t="str">
        <f>LEN(SUBSTITUTE(SUBSTITUTE(SUBSTITUTE(J89," ",""),"0",""),"-",""))+LEN(SUBSTITUTE(SUBSTITUTE(SUBSTITUTE(K89," ",""),"0",""),"-",""))+LEN(SUBSTITUTE(SUBSTITUTE(SUBSTITUTE(M91," ",""),"0",""),"-",""))+LEN(SUBSTITUTE(SUBSTITUTE(SUBSTITUTE(N91," ",""),"0",""),"-",""))</f>
      </c>
      <c r="N95" s="14" t="str">
        <f>LEN(SUBSTITUTE(SUBSTITUTE(SUBSTITUTE(M89," ",""),"0",""),"-",""))+LEN(SUBSTITUTE(SUBSTITUTE(SUBSTITUTE(N89," ",""),"0",""),"-",""))+LEN(SUBSTITUTE(SUBSTITUTE(SUBSTITUTE(J91," ",""),"0",""),"-",""))+LEN(SUBSTITUTE(SUBSTITUTE(SUBSTITUTE(K91," ",""),"0",""),"-",""))</f>
      </c>
      <c r="O95" s="18" t="str">
        <f>RANK(AC95,$AC$94:$AC$96)+COUNTIF($AC$93:AC94,AC95)</f>
      </c>
      <c r="U95" t="str">
        <f>(B95*1000000)-(C95*10000)+(D95*100)+(E95*1)-(F95*0.01)</f>
      </c>
      <c r="AC95" t="str">
        <f>(J95*1000000)-(K95*10000)+(L95*100)+(M95*1)-(N95*0.01)</f>
      </c>
    </row>
    <row r="96">
      <c r="A96" s="14" t="str">
        <f>data!$E$20&amp;" "&amp;data!$B$20</f>
      </c>
      <c r="B96" s="14" t="str">
        <f>IF(OR(COUNTA(B90,C90,E90,F90)&gt;0,OR(D90="X",D90="x")),IF(OR(D90="X",D90="x",AND(OR(COUNTA(B90,C90,E90,F90)&gt;0,OR(D90="X",D90="x")),(LEN(SUBSTITUTE(SUBSTITUTE(SUBSTITUTE(B90," ",""),"0",""),"-",""))+LEN(SUBSTITUTE(SUBSTITUTE(SUBSTITUTE(C90," ",""),"0",""),"-","")))=(LEN(SUBSTITUTE(SUBSTITUTE(SUBSTITUTE(E90," ",""),"0",""),"-",""))+LEN(SUBSTITUTE(SUBSTITUTE(SUBSTITUTE(F90," ",""),"0",""),"-",""))))),0,(LEN(SUBSTITUTE(SUBSTITUTE(SUBSTITUTE(B90," ",""),"0",""),"-",""))+LEN(SUBSTITUTE(SUBSTITUTE(SUBSTITUTE(C90," ",""),"0",""),"-",""))&gt;LEN(SUBSTITUTE(SUBSTITUTE(SUBSTITUTE(E90," ",""),"0",""),"-",""))+LEN(SUBSTITUTE(SUBSTITUTE(SUBSTITUTE(F90," ",""),"0",""),"-","")))*1),0)+IF(OR(COUNTA(B91,C91,E91,F91)&gt;0,OR(D91="X",D91="x")),IF(OR(D91="X",D91="x",AND(OR(COUNTA(B91,C91,E91,F91)&gt;0,OR(D91="X",D91="x")),(LEN(SUBSTITUTE(SUBSTITUTE(SUBSTITUTE(B91," ",""),"0",""),"-",""))+LEN(SUBSTITUTE(SUBSTITUTE(SUBSTITUTE(C91," ",""),"0",""),"-","")))=(LEN(SUBSTITUTE(SUBSTITUTE(SUBSTITUTE(E91," ",""),"0",""),"-",""))+LEN(SUBSTITUTE(SUBSTITUTE(SUBSTITUTE(F91," ",""),"0",""),"-",""))))),0,(LEN(SUBSTITUTE(SUBSTITUTE(SUBSTITUTE(B91," ",""),"0",""),"-",""))+LEN(SUBSTITUTE(SUBSTITUTE(SUBSTITUTE(C91," ",""),"0",""),"-",""))&gt;LEN(SUBSTITUTE(SUBSTITUTE(SUBSTITUTE(E91," ",""),"0",""),"-",""))+LEN(SUBSTITUTE(SUBSTITUTE(SUBSTITUTE(F91," ",""),"0",""),"-","")))*1),0)</f>
      </c>
      <c r="C96" s="14" t="str">
        <f>IF(OR(COUNTA(B90,C90,E90,F90)&gt;0,OR(D90="X",D90="x")),IF(OR(D90="X",D90="x",AND(OR(COUNTA(B90,C90,E90,F90)&gt;0,OR(D90="X",D90="x")),(LEN(SUBSTITUTE(SUBSTITUTE(SUBSTITUTE(B90," ",""),"0",""),"-",""))+LEN(SUBSTITUTE(SUBSTITUTE(SUBSTITUTE(C90," ",""),"0",""),"-","")))=(LEN(SUBSTITUTE(SUBSTITUTE(SUBSTITUTE(E90," ",""),"0",""),"-",""))+LEN(SUBSTITUTE(SUBSTITUTE(SUBSTITUTE(F90," ",""),"0",""),"-",""))))),0,(LEN(SUBSTITUTE(SUBSTITUTE(SUBSTITUTE(B90," ",""),"0",""),"-",""))+LEN(SUBSTITUTE(SUBSTITUTE(SUBSTITUTE(C90," ",""),"0",""),"-",""))&lt;LEN(SUBSTITUTE(SUBSTITUTE(SUBSTITUTE(E90," ",""),"0",""),"-",""))+LEN(SUBSTITUTE(SUBSTITUTE(SUBSTITUTE(F90," ",""),"0",""),"-","")))*1),0)+IF(OR(COUNTA(B91,C91,E91,F91)&gt;0,OR(D91="X",D91="x")),IF(OR(D91="X",D91="x",AND(OR(COUNTA(B91,C91,E91,F91)&gt;0,OR(D91="X",D91="x")),(LEN(SUBSTITUTE(SUBSTITUTE(SUBSTITUTE(B91," ",""),"0",""),"-",""))+LEN(SUBSTITUTE(SUBSTITUTE(SUBSTITUTE(C91," ",""),"0",""),"-","")))=(LEN(SUBSTITUTE(SUBSTITUTE(SUBSTITUTE(E91," ",""),"0",""),"-",""))+LEN(SUBSTITUTE(SUBSTITUTE(SUBSTITUTE(F91," ",""),"0",""),"-",""))))),0,(LEN(SUBSTITUTE(SUBSTITUTE(SUBSTITUTE(B91," ",""),"0",""),"-",""))+LEN(SUBSTITUTE(SUBSTITUTE(SUBSTITUTE(C91," ",""),"0",""),"-",""))&lt;LEN(SUBSTITUTE(SUBSTITUTE(SUBSTITUTE(E91," ",""),"0",""),"-",""))+LEN(SUBSTITUTE(SUBSTITUTE(SUBSTITUTE(F91," ",""),"0",""),"-","")))*1),0)</f>
      </c>
      <c r="D96" s="14" t="str">
        <f>IF(OR(COUNTA(B90,C90,E90,F90)&gt;0,OR(D90="X",D90="x")),IF(OR(D90="X",D90="x",AND(OR(COUNTA(B90,C90,E90,F90)&gt;0,OR(D90="X",D90="x")),(LEN(SUBSTITUTE(SUBSTITUTE(SUBSTITUTE(B90," ",""),"0",""),"-",""))+LEN(SUBSTITUTE(SUBSTITUTE(SUBSTITUTE(C90," ",""),"0",""),"-","")))=(LEN(SUBSTITUTE(SUBSTITUTE(SUBSTITUTE(E90," ",""),"0",""),"-",""))+LEN(SUBSTITUTE(SUBSTITUTE(SUBSTITUTE(F90," ",""),"0",""),"-",""))))),1,0),0)+IF(OR(COUNTA(B91,C91,E91,F91)&gt;0,OR(D91="X",D91="x")),IF(OR(D91="X",D91="x",AND(OR(COUNTA(B91,C91,E91,F91)&gt;0,OR(D91="X",D91="x")),(LEN(SUBSTITUTE(SUBSTITUTE(SUBSTITUTE(B91," ",""),"0",""),"-",""))+LEN(SUBSTITUTE(SUBSTITUTE(SUBSTITUTE(C91," ",""),"0",""),"-","")))=(LEN(SUBSTITUTE(SUBSTITUTE(SUBSTITUTE(E91," ",""),"0",""),"-",""))+LEN(SUBSTITUTE(SUBSTITUTE(SUBSTITUTE(F91," ",""),"0",""),"-",""))))),1,0),0)</f>
      </c>
      <c r="E96" s="14" t="str">
        <f>LEN(SUBSTITUTE(SUBSTITUTE(SUBSTITUTE(B90," ",""),"0",""),"-",""))+LEN(SUBSTITUTE(SUBSTITUTE(SUBSTITUTE(C90," ",""),"0",""),"-",""))+LEN(SUBSTITUTE(SUBSTITUTE(SUBSTITUTE(B91," ",""),"0",""),"-",""))+LEN(SUBSTITUTE(SUBSTITUTE(SUBSTITUTE(C91," ",""),"0",""),"-",""))</f>
      </c>
      <c r="F96" s="14" t="str">
        <f>LEN(SUBSTITUTE(SUBSTITUTE(SUBSTITUTE(E90," ",""),"0",""),"-",""))+LEN(SUBSTITUTE(SUBSTITUTE(SUBSTITUTE(F90," ",""),"0",""),"-",""))+LEN(SUBSTITUTE(SUBSTITUTE(SUBSTITUTE(E91," ",""),"0",""),"-",""))+LEN(SUBSTITUTE(SUBSTITUTE(SUBSTITUTE(F91," ",""),"0",""),"-",""))</f>
      </c>
      <c r="G96" s="18" t="str">
        <f>RANK(U96,$U$94:$U$96)+COUNTIF($U$93:U95,U96)</f>
      </c>
      <c r="I96" s="14" t="str">
        <f>data!$E$67&amp;" "&amp;data!$B$67</f>
      </c>
      <c r="J96" s="14" t="str">
        <f>IF(OR(COUNTA(J90,K90,M90,N90)&gt;0,OR(L90="X",L90="x")),IF(OR(L90="X",L90="x",AND(OR(COUNTA(J90,K90,M90,N90)&gt;0,OR(L90="X",L90="x")),(LEN(SUBSTITUTE(SUBSTITUTE(SUBSTITUTE(J90," ",""),"0",""),"-",""))+LEN(SUBSTITUTE(SUBSTITUTE(SUBSTITUTE(K90," ",""),"0",""),"-","")))=(LEN(SUBSTITUTE(SUBSTITUTE(SUBSTITUTE(M90," ",""),"0",""),"-",""))+LEN(SUBSTITUTE(SUBSTITUTE(SUBSTITUTE(N90," ",""),"0",""),"-",""))))),0,(LEN(SUBSTITUTE(SUBSTITUTE(SUBSTITUTE(J90," ",""),"0",""),"-",""))+LEN(SUBSTITUTE(SUBSTITUTE(SUBSTITUTE(K90," ",""),"0",""),"-",""))&gt;LEN(SUBSTITUTE(SUBSTITUTE(SUBSTITUTE(M90," ",""),"0",""),"-",""))+LEN(SUBSTITUTE(SUBSTITUTE(SUBSTITUTE(N90," ",""),"0",""),"-","")))*1),0)+IF(OR(COUNTA(J91,K91,M91,N91)&gt;0,OR(L91="X",L91="x")),IF(OR(L91="X",L91="x",AND(OR(COUNTA(J91,K91,M91,N91)&gt;0,OR(L91="X",L91="x")),(LEN(SUBSTITUTE(SUBSTITUTE(SUBSTITUTE(J91," ",""),"0",""),"-",""))+LEN(SUBSTITUTE(SUBSTITUTE(SUBSTITUTE(K91," ",""),"0",""),"-","")))=(LEN(SUBSTITUTE(SUBSTITUTE(SUBSTITUTE(M91," ",""),"0",""),"-",""))+LEN(SUBSTITUTE(SUBSTITUTE(SUBSTITUTE(N91," ",""),"0",""),"-",""))))),0,(LEN(SUBSTITUTE(SUBSTITUTE(SUBSTITUTE(J91," ",""),"0",""),"-",""))+LEN(SUBSTITUTE(SUBSTITUTE(SUBSTITUTE(K91," ",""),"0",""),"-",""))&gt;LEN(SUBSTITUTE(SUBSTITUTE(SUBSTITUTE(M91," ",""),"0",""),"-",""))+LEN(SUBSTITUTE(SUBSTITUTE(SUBSTITUTE(N91," ",""),"0",""),"-","")))*1),0)</f>
      </c>
      <c r="K96" s="14" t="str">
        <f>IF(OR(COUNTA(J90,K90,M90,N90)&gt;0,OR(L90="X",L90="x")),IF(OR(L90="X",L90="x",AND(OR(COUNTA(J90,K90,M90,N90)&gt;0,OR(L90="X",L90="x")),(LEN(SUBSTITUTE(SUBSTITUTE(SUBSTITUTE(J90," ",""),"0",""),"-",""))+LEN(SUBSTITUTE(SUBSTITUTE(SUBSTITUTE(K90," ",""),"0",""),"-","")))=(LEN(SUBSTITUTE(SUBSTITUTE(SUBSTITUTE(M90," ",""),"0",""),"-",""))+LEN(SUBSTITUTE(SUBSTITUTE(SUBSTITUTE(N90," ",""),"0",""),"-",""))))),0,(LEN(SUBSTITUTE(SUBSTITUTE(SUBSTITUTE(J90," ",""),"0",""),"-",""))+LEN(SUBSTITUTE(SUBSTITUTE(SUBSTITUTE(K90," ",""),"0",""),"-",""))&lt;LEN(SUBSTITUTE(SUBSTITUTE(SUBSTITUTE(M90," ",""),"0",""),"-",""))+LEN(SUBSTITUTE(SUBSTITUTE(SUBSTITUTE(N90," ",""),"0",""),"-","")))*1),0)+IF(OR(COUNTA(J91,K91,M91,N91)&gt;0,OR(L91="X",L91="x")),IF(OR(L91="X",L91="x",AND(OR(COUNTA(J91,K91,M91,N91)&gt;0,OR(L91="X",L91="x")),(LEN(SUBSTITUTE(SUBSTITUTE(SUBSTITUTE(J91," ",""),"0",""),"-",""))+LEN(SUBSTITUTE(SUBSTITUTE(SUBSTITUTE(K91," ",""),"0",""),"-","")))=(LEN(SUBSTITUTE(SUBSTITUTE(SUBSTITUTE(M91," ",""),"0",""),"-",""))+LEN(SUBSTITUTE(SUBSTITUTE(SUBSTITUTE(N91," ",""),"0",""),"-",""))))),0,(LEN(SUBSTITUTE(SUBSTITUTE(SUBSTITUTE(J91," ",""),"0",""),"-",""))+LEN(SUBSTITUTE(SUBSTITUTE(SUBSTITUTE(K91," ",""),"0",""),"-",""))&lt;LEN(SUBSTITUTE(SUBSTITUTE(SUBSTITUTE(M91," ",""),"0",""),"-",""))+LEN(SUBSTITUTE(SUBSTITUTE(SUBSTITUTE(N91," ",""),"0",""),"-","")))*1),0)</f>
      </c>
      <c r="L96" s="14" t="str">
        <f>IF(OR(COUNTA(J90,K90,M90,N90)&gt;0,OR(L90="X",L90="x")),IF(OR(L90="X",L90="x",AND(OR(COUNTA(J90,K90,M90,N90)&gt;0,OR(L90="X",L90="x")),(LEN(SUBSTITUTE(SUBSTITUTE(SUBSTITUTE(J90," ",""),"0",""),"-",""))+LEN(SUBSTITUTE(SUBSTITUTE(SUBSTITUTE(K90," ",""),"0",""),"-","")))=(LEN(SUBSTITUTE(SUBSTITUTE(SUBSTITUTE(M90," ",""),"0",""),"-",""))+LEN(SUBSTITUTE(SUBSTITUTE(SUBSTITUTE(N90," ",""),"0",""),"-",""))))),1,0),0)+IF(OR(COUNTA(J91,K91,M91,N91)&gt;0,OR(L91="X",L91="x")),IF(OR(L91="X",L91="x",AND(OR(COUNTA(J91,K91,M91,N91)&gt;0,OR(L91="X",L91="x")),(LEN(SUBSTITUTE(SUBSTITUTE(SUBSTITUTE(J91," ",""),"0",""),"-",""))+LEN(SUBSTITUTE(SUBSTITUTE(SUBSTITUTE(K91," ",""),"0",""),"-","")))=(LEN(SUBSTITUTE(SUBSTITUTE(SUBSTITUTE(M91," ",""),"0",""),"-",""))+LEN(SUBSTITUTE(SUBSTITUTE(SUBSTITUTE(N91," ",""),"0",""),"-",""))))),1,0),0)</f>
      </c>
      <c r="M96" s="14" t="str">
        <f>LEN(SUBSTITUTE(SUBSTITUTE(SUBSTITUTE(J90," ",""),"0",""),"-",""))+LEN(SUBSTITUTE(SUBSTITUTE(SUBSTITUTE(K90," ",""),"0",""),"-",""))+LEN(SUBSTITUTE(SUBSTITUTE(SUBSTITUTE(J91," ",""),"0",""),"-",""))+LEN(SUBSTITUTE(SUBSTITUTE(SUBSTITUTE(K91," ",""),"0",""),"-",""))</f>
      </c>
      <c r="N96" s="14" t="str">
        <f>LEN(SUBSTITUTE(SUBSTITUTE(SUBSTITUTE(M90," ",""),"0",""),"-",""))+LEN(SUBSTITUTE(SUBSTITUTE(SUBSTITUTE(N90," ",""),"0",""),"-",""))+LEN(SUBSTITUTE(SUBSTITUTE(SUBSTITUTE(M91," ",""),"0",""),"-",""))+LEN(SUBSTITUTE(SUBSTITUTE(SUBSTITUTE(N91," ",""),"0",""),"-",""))</f>
      </c>
      <c r="O96" s="18" t="str">
        <f>RANK(AC96,$AC$94:$AC$96)+COUNTIF($AC$93:AC95,AC96)</f>
      </c>
      <c r="U96" t="str">
        <f>(B96*1000000)-(C96*10000)+(D96*100)+(E96*1)-(F96*0.01)</f>
      </c>
      <c r="AC96" t="str">
        <f>(J96*1000000)-(K96*10000)+(L96*100)+(M96*1)-(N96*0.01)</f>
      </c>
    </row>
    <row r="99">
      <c r="F99" s="13"/>
      <c r="G99" s="13" t="s">
        <v>341</v>
      </c>
      <c r="N99" s="13"/>
      <c r="O99" s="13" t="s">
        <v>341</v>
      </c>
    </row>
    <row r="100">
      <c r="F100" t="s">
        <v>342</v>
      </c>
      <c r="G100" s="19" t="str">
        <f>IFERROR(INDEX($A$94:$A$96, MATCH(1, $G$94:$G$96, 0)), "-")</f>
      </c>
      <c r="N100" t="s">
        <v>342</v>
      </c>
      <c r="O100" s="19" t="str">
        <f>IFERROR(INDEX($I$94:$I$96, MATCH(1, $O$94:$O$96, 0)), "-")</f>
      </c>
    </row>
    <row r="101">
      <c r="F101" t="s">
        <v>343</v>
      </c>
      <c r="G101" s="19" t="str">
        <f>IFERROR(INDEX($A$94:$A$96, MATCH(2, $G$94:$G$96, 0)), "-")</f>
      </c>
      <c r="N101" t="s">
        <v>343</v>
      </c>
      <c r="O101" s="19" t="str">
        <f>IFERROR(INDEX($I$94:$I$96, MATCH(2, $O$94:$O$96, 0)), "-")</f>
      </c>
    </row>
    <row r="102">
      <c r="F102" t="s">
        <v>344</v>
      </c>
      <c r="G102" s="19" t="str">
        <f>IFERROR(INDEX($A$94:$A$96, MATCH(3, $G$94:$G$96, 0)), "-")</f>
      </c>
      <c r="N102" t="s">
        <v>344</v>
      </c>
      <c r="O102" s="19" t="str">
        <f>IFERROR(INDEX($I$94:$I$96, MATCH(3, $O$94:$O$96, 0)), "-")</f>
      </c>
    </row>
    <row r="104">
      <c r="A104" s="13" t="str">
        <f>'data'!$A$23</f>
      </c>
      <c r="B104" s="13"/>
      <c r="C104" s="13"/>
      <c r="D104" s="13"/>
      <c r="E104" s="13"/>
      <c r="F104" s="13"/>
      <c r="G104" s="13"/>
      <c r="I104" s="13" t="str">
        <f>'data'!$A$70</f>
      </c>
      <c r="J104" s="13"/>
      <c r="K104" s="13"/>
      <c r="L104" s="13"/>
      <c r="M104" s="13"/>
      <c r="N104" s="13"/>
      <c r="O104" s="13"/>
    </row>
    <row r="105">
      <c r="A105" s="17" t="s">
        <v>331</v>
      </c>
      <c r="D105" s="14" t="s">
        <v>332</v>
      </c>
      <c r="G105" s="16" t="s">
        <v>333</v>
      </c>
      <c r="I105" s="17" t="s">
        <v>331</v>
      </c>
      <c r="L105" s="14" t="s">
        <v>332</v>
      </c>
      <c r="O105" s="16" t="s">
        <v>333</v>
      </c>
    </row>
    <row r="106">
      <c r="A106" s="14" t="str">
        <f>data!$E$22&amp;" "&amp;data!$B$22</f>
      </c>
      <c r="B106" s="18"/>
      <c r="C106" s="18"/>
      <c r="D106" s="18"/>
      <c r="E106" s="18"/>
      <c r="F106" s="18"/>
      <c r="G106" s="14" t="str">
        <f>data!$E$21&amp;" "&amp;data!$B$21</f>
      </c>
      <c r="I106" s="14" t="str">
        <f>data!$E$69&amp;" "&amp;data!$B$69</f>
      </c>
      <c r="J106" s="18"/>
      <c r="K106" s="18"/>
      <c r="L106" s="18"/>
      <c r="M106" s="18"/>
      <c r="N106" s="18"/>
      <c r="O106" s="14" t="str">
        <f>data!$E$68&amp;" "&amp;data!$B$68</f>
      </c>
    </row>
    <row r="107">
      <c r="A107" s="14" t="str">
        <f>data!$E$23&amp;" "&amp;data!$B$23</f>
      </c>
      <c r="B107" s="18"/>
      <c r="C107" s="18"/>
      <c r="D107" s="18"/>
      <c r="E107" s="18"/>
      <c r="F107" s="18"/>
      <c r="G107" s="14" t="str">
        <f>data!$E$21&amp;" "&amp;data!$B$21</f>
      </c>
      <c r="I107" s="14" t="str">
        <f>data!$E$70&amp;" "&amp;data!$B$70</f>
      </c>
      <c r="J107" s="18"/>
      <c r="K107" s="18"/>
      <c r="L107" s="18"/>
      <c r="M107" s="18"/>
      <c r="N107" s="18"/>
      <c r="O107" s="14" t="str">
        <f>data!$E$68&amp;" "&amp;data!$B$68</f>
      </c>
    </row>
    <row r="108">
      <c r="A108" s="14" t="str">
        <f>data!$E$23&amp;" "&amp;data!$B$23</f>
      </c>
      <c r="B108" s="18"/>
      <c r="C108" s="18"/>
      <c r="D108" s="18"/>
      <c r="E108" s="18"/>
      <c r="F108" s="18"/>
      <c r="G108" s="14" t="str">
        <f>data!$E$22&amp;" "&amp;data!$B$22</f>
      </c>
      <c r="I108" s="14" t="str">
        <f>data!$E$70&amp;" "&amp;data!$B$70</f>
      </c>
      <c r="J108" s="18"/>
      <c r="K108" s="18"/>
      <c r="L108" s="18"/>
      <c r="M108" s="18"/>
      <c r="N108" s="18"/>
      <c r="O108" s="14" t="str">
        <f>data!$E$69&amp;" "&amp;data!$B$69</f>
      </c>
    </row>
    <row r="110">
      <c r="A110" s="13" t="s">
        <v>334</v>
      </c>
      <c r="B110" s="13" t="s">
        <v>335</v>
      </c>
      <c r="C110" s="13" t="s">
        <v>336</v>
      </c>
      <c r="D110" s="13" t="s">
        <v>337</v>
      </c>
      <c r="E110" s="13" t="s">
        <v>338</v>
      </c>
      <c r="F110" s="13" t="s">
        <v>339</v>
      </c>
      <c r="G110" s="13" t="s">
        <v>340</v>
      </c>
      <c r="I110" s="13" t="s">
        <v>334</v>
      </c>
      <c r="J110" s="13" t="s">
        <v>335</v>
      </c>
      <c r="K110" s="13" t="s">
        <v>336</v>
      </c>
      <c r="L110" s="13" t="s">
        <v>337</v>
      </c>
      <c r="M110" s="13" t="s">
        <v>338</v>
      </c>
      <c r="N110" s="13" t="s">
        <v>339</v>
      </c>
      <c r="O110" s="13" t="s">
        <v>340</v>
      </c>
    </row>
    <row r="111">
      <c r="A111" s="14" t="str">
        <f>data!$E$21&amp;" "&amp;data!$B$21</f>
      </c>
      <c r="B111" s="14" t="str">
        <f>IF(OR(COUNTA(B106,C106,E106,F106)&gt;0,OR(D106="X",D106="x")),IF(OR(D106="X",D106="x",AND(OR(COUNTA(B106,C106,E106,F106)&gt;0,OR(D106="X",D106="x")),(LEN(SUBSTITUTE(SUBSTITUTE(SUBSTITUTE(B106," ",""),"0",""),"-",""))+LEN(SUBSTITUTE(SUBSTITUTE(SUBSTITUTE(C106," ",""),"0",""),"-","")))=(LEN(SUBSTITUTE(SUBSTITUTE(SUBSTITUTE(E106," ",""),"0",""),"-",""))+LEN(SUBSTITUTE(SUBSTITUTE(SUBSTITUTE(F106," ",""),"0",""),"-",""))))),0,(LEN(SUBSTITUTE(SUBSTITUTE(SUBSTITUTE(E106," ",""),"0",""),"-",""))+LEN(SUBSTITUTE(SUBSTITUTE(SUBSTITUTE(F106," ",""),"0",""),"-",""))&gt;LEN(SUBSTITUTE(SUBSTITUTE(SUBSTITUTE(B106," ",""),"0",""),"-",""))+LEN(SUBSTITUTE(SUBSTITUTE(SUBSTITUTE(C106," ",""),"0",""),"-","")))*1),0)+IF(OR(COUNTA(B107,C107,E107,F107)&gt;0,OR(D107="X",D107="x")),IF(OR(D107="X",D107="x",AND(OR(COUNTA(B107,C107,E107,F107)&gt;0,OR(D107="X",D107="x")),(LEN(SUBSTITUTE(SUBSTITUTE(SUBSTITUTE(B107," ",""),"0",""),"-",""))+LEN(SUBSTITUTE(SUBSTITUTE(SUBSTITUTE(C107," ",""),"0",""),"-","")))=(LEN(SUBSTITUTE(SUBSTITUTE(SUBSTITUTE(E107," ",""),"0",""),"-",""))+LEN(SUBSTITUTE(SUBSTITUTE(SUBSTITUTE(F107," ",""),"0",""),"-",""))))),0,(LEN(SUBSTITUTE(SUBSTITUTE(SUBSTITUTE(E107," ",""),"0",""),"-",""))+LEN(SUBSTITUTE(SUBSTITUTE(SUBSTITUTE(F107," ",""),"0",""),"-",""))&gt;LEN(SUBSTITUTE(SUBSTITUTE(SUBSTITUTE(B107," ",""),"0",""),"-",""))+LEN(SUBSTITUTE(SUBSTITUTE(SUBSTITUTE(C107," ",""),"0",""),"-","")))*1),0)</f>
      </c>
      <c r="C111" s="14" t="str">
        <f>IF(OR(COUNTA(B106,C106,E106,F106)&gt;0,OR(D106="X",D106="x")),IF(OR(D106="X",D106="x",AND(OR(COUNTA(B106,C106,E106,F106)&gt;0,OR(D106="X",D106="x")),(LEN(SUBSTITUTE(SUBSTITUTE(SUBSTITUTE(B106," ",""),"0",""),"-",""))+LEN(SUBSTITUTE(SUBSTITUTE(SUBSTITUTE(C106," ",""),"0",""),"-","")))=(LEN(SUBSTITUTE(SUBSTITUTE(SUBSTITUTE(E106," ",""),"0",""),"-",""))+LEN(SUBSTITUTE(SUBSTITUTE(SUBSTITUTE(F106," ",""),"0",""),"-",""))))),0,(LEN(SUBSTITUTE(SUBSTITUTE(SUBSTITUTE(E106," ",""),"0",""),"-",""))+LEN(SUBSTITUTE(SUBSTITUTE(SUBSTITUTE(F106," ",""),"0",""),"-",""))&lt;LEN(SUBSTITUTE(SUBSTITUTE(SUBSTITUTE(B106," ",""),"0",""),"-",""))+LEN(SUBSTITUTE(SUBSTITUTE(SUBSTITUTE(C106," ",""),"0",""),"-","")))*1),0)+IF(OR(COUNTA(B107,C107,E107,F107)&gt;0,OR(D107="X",D107="x")),IF(OR(D107="X",D107="x",AND(OR(COUNTA(B107,C107,E107,F107)&gt;0,OR(D107="X",D107="x")),(LEN(SUBSTITUTE(SUBSTITUTE(SUBSTITUTE(B107," ",""),"0",""),"-",""))+LEN(SUBSTITUTE(SUBSTITUTE(SUBSTITUTE(C107," ",""),"0",""),"-","")))=(LEN(SUBSTITUTE(SUBSTITUTE(SUBSTITUTE(E107," ",""),"0",""),"-",""))+LEN(SUBSTITUTE(SUBSTITUTE(SUBSTITUTE(F107," ",""),"0",""),"-",""))))),0,(LEN(SUBSTITUTE(SUBSTITUTE(SUBSTITUTE(E107," ",""),"0",""),"-",""))+LEN(SUBSTITUTE(SUBSTITUTE(SUBSTITUTE(F107," ",""),"0",""),"-",""))&lt;LEN(SUBSTITUTE(SUBSTITUTE(SUBSTITUTE(B107," ",""),"0",""),"-",""))+LEN(SUBSTITUTE(SUBSTITUTE(SUBSTITUTE(C107," ",""),"0",""),"-","")))*1),0)</f>
      </c>
      <c r="D111" s="14" t="str">
        <f>IF(OR(COUNTA(B106,C106,E106,F106)&gt;0,OR(D106="X",D106="x")),IF(OR(D106="X",D106="x",AND(OR(COUNTA(B106,C106,E106,F106)&gt;0,OR(D106="X",D106="x")),(LEN(SUBSTITUTE(SUBSTITUTE(SUBSTITUTE(B106," ",""),"0",""),"-",""))+LEN(SUBSTITUTE(SUBSTITUTE(SUBSTITUTE(C106," ",""),"0",""),"-","")))=(LEN(SUBSTITUTE(SUBSTITUTE(SUBSTITUTE(E106," ",""),"0",""),"-",""))+LEN(SUBSTITUTE(SUBSTITUTE(SUBSTITUTE(F106," ",""),"0",""),"-",""))))),1,0),0)+IF(OR(COUNTA(B107,C107,E107,F107)&gt;0,OR(D107="X",D107="x")),IF(OR(D107="X",D107="x",AND(OR(COUNTA(B107,C107,E107,F107)&gt;0,OR(D107="X",D107="x")),(LEN(SUBSTITUTE(SUBSTITUTE(SUBSTITUTE(B107," ",""),"0",""),"-",""))+LEN(SUBSTITUTE(SUBSTITUTE(SUBSTITUTE(C107," ",""),"0",""),"-","")))=(LEN(SUBSTITUTE(SUBSTITUTE(SUBSTITUTE(E107," ",""),"0",""),"-",""))+LEN(SUBSTITUTE(SUBSTITUTE(SUBSTITUTE(F107," ",""),"0",""),"-",""))))),1,0),0)</f>
      </c>
      <c r="E111" s="14" t="str">
        <f>LEN(SUBSTITUTE(SUBSTITUTE(SUBSTITUTE(E106," ",""),"0",""),"-",""))+LEN(SUBSTITUTE(SUBSTITUTE(SUBSTITUTE(F106," ",""),"0",""),"-",""))+LEN(SUBSTITUTE(SUBSTITUTE(SUBSTITUTE(E107," ",""),"0",""),"-",""))+LEN(SUBSTITUTE(SUBSTITUTE(SUBSTITUTE(F107," ",""),"0",""),"-",""))</f>
      </c>
      <c r="F111" s="14" t="str">
        <f>LEN(SUBSTITUTE(SUBSTITUTE(SUBSTITUTE(B106," ",""),"0",""),"-",""))+LEN(SUBSTITUTE(SUBSTITUTE(SUBSTITUTE(C106," ",""),"0",""),"-",""))+LEN(SUBSTITUTE(SUBSTITUTE(SUBSTITUTE(B107," ",""),"0",""),"-",""))+LEN(SUBSTITUTE(SUBSTITUTE(SUBSTITUTE(C107," ",""),"0",""),"-",""))</f>
      </c>
      <c r="G111" s="18" t="str">
        <f>RANK(U111,$U$111:$U$113)+COUNTIF($U$110:U110,U111)</f>
      </c>
      <c r="I111" s="14" t="str">
        <f>data!$E$68&amp;" "&amp;data!$B$68</f>
      </c>
      <c r="J111" s="14" t="str">
        <f>IF(OR(COUNTA(J106,K106,M106,N106)&gt;0,OR(L106="X",L106="x")),IF(OR(L106="X",L106="x",AND(OR(COUNTA(J106,K106,M106,N106)&gt;0,OR(L106="X",L106="x")),(LEN(SUBSTITUTE(SUBSTITUTE(SUBSTITUTE(J106," ",""),"0",""),"-",""))+LEN(SUBSTITUTE(SUBSTITUTE(SUBSTITUTE(K106," ",""),"0",""),"-","")))=(LEN(SUBSTITUTE(SUBSTITUTE(SUBSTITUTE(M106," ",""),"0",""),"-",""))+LEN(SUBSTITUTE(SUBSTITUTE(SUBSTITUTE(N106," ",""),"0",""),"-",""))))),0,(LEN(SUBSTITUTE(SUBSTITUTE(SUBSTITUTE(M106," ",""),"0",""),"-",""))+LEN(SUBSTITUTE(SUBSTITUTE(SUBSTITUTE(N106," ",""),"0",""),"-",""))&gt;LEN(SUBSTITUTE(SUBSTITUTE(SUBSTITUTE(J106," ",""),"0",""),"-",""))+LEN(SUBSTITUTE(SUBSTITUTE(SUBSTITUTE(K106," ",""),"0",""),"-","")))*1),0)+IF(OR(COUNTA(J107,K107,M107,N107)&gt;0,OR(L107="X",L107="x")),IF(OR(L107="X",L107="x",AND(OR(COUNTA(J107,K107,M107,N107)&gt;0,OR(L107="X",L107="x")),(LEN(SUBSTITUTE(SUBSTITUTE(SUBSTITUTE(J107," ",""),"0",""),"-",""))+LEN(SUBSTITUTE(SUBSTITUTE(SUBSTITUTE(K107," ",""),"0",""),"-","")))=(LEN(SUBSTITUTE(SUBSTITUTE(SUBSTITUTE(M107," ",""),"0",""),"-",""))+LEN(SUBSTITUTE(SUBSTITUTE(SUBSTITUTE(N107," ",""),"0",""),"-",""))))),0,(LEN(SUBSTITUTE(SUBSTITUTE(SUBSTITUTE(M107," ",""),"0",""),"-",""))+LEN(SUBSTITUTE(SUBSTITUTE(SUBSTITUTE(N107," ",""),"0",""),"-",""))&gt;LEN(SUBSTITUTE(SUBSTITUTE(SUBSTITUTE(J107," ",""),"0",""),"-",""))+LEN(SUBSTITUTE(SUBSTITUTE(SUBSTITUTE(K107," ",""),"0",""),"-","")))*1),0)</f>
      </c>
      <c r="K111" s="14" t="str">
        <f>IF(OR(COUNTA(J106,K106,M106,N106)&gt;0,OR(L106="X",L106="x")),IF(OR(L106="X",L106="x",AND(OR(COUNTA(J106,K106,M106,N106)&gt;0,OR(L106="X",L106="x")),(LEN(SUBSTITUTE(SUBSTITUTE(SUBSTITUTE(J106," ",""),"0",""),"-",""))+LEN(SUBSTITUTE(SUBSTITUTE(SUBSTITUTE(K106," ",""),"0",""),"-","")))=(LEN(SUBSTITUTE(SUBSTITUTE(SUBSTITUTE(M106," ",""),"0",""),"-",""))+LEN(SUBSTITUTE(SUBSTITUTE(SUBSTITUTE(N106," ",""),"0",""),"-",""))))),0,(LEN(SUBSTITUTE(SUBSTITUTE(SUBSTITUTE(M106," ",""),"0",""),"-",""))+LEN(SUBSTITUTE(SUBSTITUTE(SUBSTITUTE(N106," ",""),"0",""),"-",""))&lt;LEN(SUBSTITUTE(SUBSTITUTE(SUBSTITUTE(J106," ",""),"0",""),"-",""))+LEN(SUBSTITUTE(SUBSTITUTE(SUBSTITUTE(K106," ",""),"0",""),"-","")))*1),0)+IF(OR(COUNTA(J107,K107,M107,N107)&gt;0,OR(L107="X",L107="x")),IF(OR(L107="X",L107="x",AND(OR(COUNTA(J107,K107,M107,N107)&gt;0,OR(L107="X",L107="x")),(LEN(SUBSTITUTE(SUBSTITUTE(SUBSTITUTE(J107," ",""),"0",""),"-",""))+LEN(SUBSTITUTE(SUBSTITUTE(SUBSTITUTE(K107," ",""),"0",""),"-","")))=(LEN(SUBSTITUTE(SUBSTITUTE(SUBSTITUTE(M107," ",""),"0",""),"-",""))+LEN(SUBSTITUTE(SUBSTITUTE(SUBSTITUTE(N107," ",""),"0",""),"-",""))))),0,(LEN(SUBSTITUTE(SUBSTITUTE(SUBSTITUTE(M107," ",""),"0",""),"-",""))+LEN(SUBSTITUTE(SUBSTITUTE(SUBSTITUTE(N107," ",""),"0",""),"-",""))&lt;LEN(SUBSTITUTE(SUBSTITUTE(SUBSTITUTE(J107," ",""),"0",""),"-",""))+LEN(SUBSTITUTE(SUBSTITUTE(SUBSTITUTE(K107," ",""),"0",""),"-","")))*1),0)</f>
      </c>
      <c r="L111" s="14" t="str">
        <f>IF(OR(COUNTA(J106,K106,M106,N106)&gt;0,OR(L106="X",L106="x")),IF(OR(L106="X",L106="x",AND(OR(COUNTA(J106,K106,M106,N106)&gt;0,OR(L106="X",L106="x")),(LEN(SUBSTITUTE(SUBSTITUTE(SUBSTITUTE(J106," ",""),"0",""),"-",""))+LEN(SUBSTITUTE(SUBSTITUTE(SUBSTITUTE(K106," ",""),"0",""),"-","")))=(LEN(SUBSTITUTE(SUBSTITUTE(SUBSTITUTE(M106," ",""),"0",""),"-",""))+LEN(SUBSTITUTE(SUBSTITUTE(SUBSTITUTE(N106," ",""),"0",""),"-",""))))),1,0),0)+IF(OR(COUNTA(J107,K107,M107,N107)&gt;0,OR(L107="X",L107="x")),IF(OR(L107="X",L107="x",AND(OR(COUNTA(J107,K107,M107,N107)&gt;0,OR(L107="X",L107="x")),(LEN(SUBSTITUTE(SUBSTITUTE(SUBSTITUTE(J107," ",""),"0",""),"-",""))+LEN(SUBSTITUTE(SUBSTITUTE(SUBSTITUTE(K107," ",""),"0",""),"-","")))=(LEN(SUBSTITUTE(SUBSTITUTE(SUBSTITUTE(M107," ",""),"0",""),"-",""))+LEN(SUBSTITUTE(SUBSTITUTE(SUBSTITUTE(N107," ",""),"0",""),"-",""))))),1,0),0)</f>
      </c>
      <c r="M111" s="14" t="str">
        <f>LEN(SUBSTITUTE(SUBSTITUTE(SUBSTITUTE(M106," ",""),"0",""),"-",""))+LEN(SUBSTITUTE(SUBSTITUTE(SUBSTITUTE(N106," ",""),"0",""),"-",""))+LEN(SUBSTITUTE(SUBSTITUTE(SUBSTITUTE(M107," ",""),"0",""),"-",""))+LEN(SUBSTITUTE(SUBSTITUTE(SUBSTITUTE(N107," ",""),"0",""),"-",""))</f>
      </c>
      <c r="N111" s="14" t="str">
        <f>LEN(SUBSTITUTE(SUBSTITUTE(SUBSTITUTE(J106," ",""),"0",""),"-",""))+LEN(SUBSTITUTE(SUBSTITUTE(SUBSTITUTE(K106," ",""),"0",""),"-",""))+LEN(SUBSTITUTE(SUBSTITUTE(SUBSTITUTE(J107," ",""),"0",""),"-",""))+LEN(SUBSTITUTE(SUBSTITUTE(SUBSTITUTE(K107," ",""),"0",""),"-",""))</f>
      </c>
      <c r="O111" s="18" t="str">
        <f>RANK(AC111,$AC$111:$AC$113)+COUNTIF($AC$110:AC110,AC111)</f>
      </c>
      <c r="U111" t="str">
        <f>(B111*1000000)-(C111*10000)+(D111*100)+(E111*1)-(F111*0.01)</f>
      </c>
      <c r="AC111" t="str">
        <f>(J111*1000000)-(K111*10000)+(L111*100)+(M111*1)-(N111*0.01)</f>
      </c>
    </row>
    <row r="112">
      <c r="A112" s="14" t="str">
        <f>data!$E$22&amp;" "&amp;data!$B$22</f>
      </c>
      <c r="B112" s="14" t="str">
        <f>IF(OR(COUNTA(B106,C106,E106,F106)&gt;0,OR(D106="X",D106="x")),IF(OR(D106="X",D106="x",AND(OR(COUNTA(B106,C106,E106,F106)&gt;0,OR(D106="X",D106="x")),(LEN(SUBSTITUTE(SUBSTITUTE(SUBSTITUTE(B106," ",""),"0",""),"-",""))+LEN(SUBSTITUTE(SUBSTITUTE(SUBSTITUTE(C106," ",""),"0",""),"-","")))=(LEN(SUBSTITUTE(SUBSTITUTE(SUBSTITUTE(E106," ",""),"0",""),"-",""))+LEN(SUBSTITUTE(SUBSTITUTE(SUBSTITUTE(F106," ",""),"0",""),"-",""))))),0,(LEN(SUBSTITUTE(SUBSTITUTE(SUBSTITUTE(B106," ",""),"0",""),"-",""))+LEN(SUBSTITUTE(SUBSTITUTE(SUBSTITUTE(C106," ",""),"0",""),"-",""))&gt;LEN(SUBSTITUTE(SUBSTITUTE(SUBSTITUTE(E106," ",""),"0",""),"-",""))+LEN(SUBSTITUTE(SUBSTITUTE(SUBSTITUTE(F106," ",""),"0",""),"-","")))*1),0)+IF(OR(COUNTA(B108,C108,E108,F108)&gt;0,OR(D108="X",D108="x")),IF(OR(D108="X",D108="x",AND(OR(COUNTA(B108,C108,E108,F108)&gt;0,OR(D108="X",D108="x")),(LEN(SUBSTITUTE(SUBSTITUTE(SUBSTITUTE(B108," ",""),"0",""),"-",""))+LEN(SUBSTITUTE(SUBSTITUTE(SUBSTITUTE(C108," ",""),"0",""),"-","")))=(LEN(SUBSTITUTE(SUBSTITUTE(SUBSTITUTE(E108," ",""),"0",""),"-",""))+LEN(SUBSTITUTE(SUBSTITUTE(SUBSTITUTE(F108," ",""),"0",""),"-",""))))),0,(LEN(SUBSTITUTE(SUBSTITUTE(SUBSTITUTE(E108," ",""),"0",""),"-",""))+LEN(SUBSTITUTE(SUBSTITUTE(SUBSTITUTE(F108," ",""),"0",""),"-",""))&gt;LEN(SUBSTITUTE(SUBSTITUTE(SUBSTITUTE(B108," ",""),"0",""),"-",""))+LEN(SUBSTITUTE(SUBSTITUTE(SUBSTITUTE(C108," ",""),"0",""),"-","")))*1),0)</f>
      </c>
      <c r="C112" s="14" t="str">
        <f>IF(OR(COUNTA(B106,C106,E106,F106)&gt;0,OR(D106="X",D106="x")),IF(OR(D106="X",D106="x",AND(OR(COUNTA(B106,C106,E106,F106)&gt;0,OR(D106="X",D106="x")),(LEN(SUBSTITUTE(SUBSTITUTE(SUBSTITUTE(B106," ",""),"0",""),"-",""))+LEN(SUBSTITUTE(SUBSTITUTE(SUBSTITUTE(C106," ",""),"0",""),"-","")))=(LEN(SUBSTITUTE(SUBSTITUTE(SUBSTITUTE(E106," ",""),"0",""),"-",""))+LEN(SUBSTITUTE(SUBSTITUTE(SUBSTITUTE(F106," ",""),"0",""),"-",""))))),0,(LEN(SUBSTITUTE(SUBSTITUTE(SUBSTITUTE(B106," ",""),"0",""),"-",""))+LEN(SUBSTITUTE(SUBSTITUTE(SUBSTITUTE(C106," ",""),"0",""),"-",""))&lt;LEN(SUBSTITUTE(SUBSTITUTE(SUBSTITUTE(E106," ",""),"0",""),"-",""))+LEN(SUBSTITUTE(SUBSTITUTE(SUBSTITUTE(F106," ",""),"0",""),"-","")))*1),0)+IF(OR(COUNTA(B108,C108,E108,F108)&gt;0,OR(D108="X",D108="x")),IF(OR(D108="X",D108="x",AND(OR(COUNTA(B108,C108,E108,F108)&gt;0,OR(D108="X",D108="x")),(LEN(SUBSTITUTE(SUBSTITUTE(SUBSTITUTE(B108," ",""),"0",""),"-",""))+LEN(SUBSTITUTE(SUBSTITUTE(SUBSTITUTE(C108," ",""),"0",""),"-","")))=(LEN(SUBSTITUTE(SUBSTITUTE(SUBSTITUTE(E108," ",""),"0",""),"-",""))+LEN(SUBSTITUTE(SUBSTITUTE(SUBSTITUTE(F108," ",""),"0",""),"-",""))))),0,(LEN(SUBSTITUTE(SUBSTITUTE(SUBSTITUTE(E108," ",""),"0",""),"-",""))+LEN(SUBSTITUTE(SUBSTITUTE(SUBSTITUTE(F108," ",""),"0",""),"-",""))&lt;LEN(SUBSTITUTE(SUBSTITUTE(SUBSTITUTE(B108," ",""),"0",""),"-",""))+LEN(SUBSTITUTE(SUBSTITUTE(SUBSTITUTE(C108," ",""),"0",""),"-","")))*1),0)</f>
      </c>
      <c r="D112" s="14" t="str">
        <f>IF(OR(COUNTA(B106,C106,E106,F106)&gt;0,OR(D106="X",D106="x")),IF(OR(D106="X",D106="x",AND(OR(COUNTA(B106,C106,E106,F106)&gt;0,OR(D106="X",D106="x")),(LEN(SUBSTITUTE(SUBSTITUTE(SUBSTITUTE(B106," ",""),"0",""),"-",""))+LEN(SUBSTITUTE(SUBSTITUTE(SUBSTITUTE(C106," ",""),"0",""),"-","")))=(LEN(SUBSTITUTE(SUBSTITUTE(SUBSTITUTE(E106," ",""),"0",""),"-",""))+LEN(SUBSTITUTE(SUBSTITUTE(SUBSTITUTE(F106," ",""),"0",""),"-",""))))),1,0),0)+IF(OR(COUNTA(B108,C108,E108,F108)&gt;0,OR(D108="X",D108="x")),IF(OR(D108="X",D108="x",AND(OR(COUNTA(B108,C108,E108,F108)&gt;0,OR(D108="X",D108="x")),(LEN(SUBSTITUTE(SUBSTITUTE(SUBSTITUTE(B108," ",""),"0",""),"-",""))+LEN(SUBSTITUTE(SUBSTITUTE(SUBSTITUTE(C108," ",""),"0",""),"-","")))=(LEN(SUBSTITUTE(SUBSTITUTE(SUBSTITUTE(E108," ",""),"0",""),"-",""))+LEN(SUBSTITUTE(SUBSTITUTE(SUBSTITUTE(F108," ",""),"0",""),"-",""))))),1,0),0)</f>
      </c>
      <c r="E112" s="14" t="str">
        <f>LEN(SUBSTITUTE(SUBSTITUTE(SUBSTITUTE(B106," ",""),"0",""),"-",""))+LEN(SUBSTITUTE(SUBSTITUTE(SUBSTITUTE(C106," ",""),"0",""),"-",""))+LEN(SUBSTITUTE(SUBSTITUTE(SUBSTITUTE(E108," ",""),"0",""),"-",""))+LEN(SUBSTITUTE(SUBSTITUTE(SUBSTITUTE(F108," ",""),"0",""),"-",""))</f>
      </c>
      <c r="F112" s="14" t="str">
        <f>LEN(SUBSTITUTE(SUBSTITUTE(SUBSTITUTE(E106," ",""),"0",""),"-",""))+LEN(SUBSTITUTE(SUBSTITUTE(SUBSTITUTE(F106," ",""),"0",""),"-",""))+LEN(SUBSTITUTE(SUBSTITUTE(SUBSTITUTE(B108," ",""),"0",""),"-",""))+LEN(SUBSTITUTE(SUBSTITUTE(SUBSTITUTE(C108," ",""),"0",""),"-",""))</f>
      </c>
      <c r="G112" s="18" t="str">
        <f>RANK(U112,$U$111:$U$113)+COUNTIF($U$110:U111,U112)</f>
      </c>
      <c r="I112" s="14" t="str">
        <f>data!$E$69&amp;" "&amp;data!$B$69</f>
      </c>
      <c r="J112" s="14" t="str">
        <f>IF(OR(COUNTA(J106,K106,M106,N106)&gt;0,OR(L106="X",L106="x")),IF(OR(L106="X",L106="x",AND(OR(COUNTA(J106,K106,M106,N106)&gt;0,OR(L106="X",L106="x")),(LEN(SUBSTITUTE(SUBSTITUTE(SUBSTITUTE(J106," ",""),"0",""),"-",""))+LEN(SUBSTITUTE(SUBSTITUTE(SUBSTITUTE(K106," ",""),"0",""),"-","")))=(LEN(SUBSTITUTE(SUBSTITUTE(SUBSTITUTE(M106," ",""),"0",""),"-",""))+LEN(SUBSTITUTE(SUBSTITUTE(SUBSTITUTE(N106," ",""),"0",""),"-",""))))),0,(LEN(SUBSTITUTE(SUBSTITUTE(SUBSTITUTE(J106," ",""),"0",""),"-",""))+LEN(SUBSTITUTE(SUBSTITUTE(SUBSTITUTE(K106," ",""),"0",""),"-",""))&gt;LEN(SUBSTITUTE(SUBSTITUTE(SUBSTITUTE(M106," ",""),"0",""),"-",""))+LEN(SUBSTITUTE(SUBSTITUTE(SUBSTITUTE(N106," ",""),"0",""),"-","")))*1),0)+IF(OR(COUNTA(J108,K108,M108,N108)&gt;0,OR(L108="X",L108="x")),IF(OR(L108="X",L108="x",AND(OR(COUNTA(J108,K108,M108,N108)&gt;0,OR(L108="X",L108="x")),(LEN(SUBSTITUTE(SUBSTITUTE(SUBSTITUTE(J108," ",""),"0",""),"-",""))+LEN(SUBSTITUTE(SUBSTITUTE(SUBSTITUTE(K108," ",""),"0",""),"-","")))=(LEN(SUBSTITUTE(SUBSTITUTE(SUBSTITUTE(M108," ",""),"0",""),"-",""))+LEN(SUBSTITUTE(SUBSTITUTE(SUBSTITUTE(N108," ",""),"0",""),"-",""))))),0,(LEN(SUBSTITUTE(SUBSTITUTE(SUBSTITUTE(M108," ",""),"0",""),"-",""))+LEN(SUBSTITUTE(SUBSTITUTE(SUBSTITUTE(N108," ",""),"0",""),"-",""))&gt;LEN(SUBSTITUTE(SUBSTITUTE(SUBSTITUTE(J108," ",""),"0",""),"-",""))+LEN(SUBSTITUTE(SUBSTITUTE(SUBSTITUTE(K108," ",""),"0",""),"-","")))*1),0)</f>
      </c>
      <c r="K112" s="14" t="str">
        <f>IF(OR(COUNTA(J106,K106,M106,N106)&gt;0,OR(L106="X",L106="x")),IF(OR(L106="X",L106="x",AND(OR(COUNTA(J106,K106,M106,N106)&gt;0,OR(L106="X",L106="x")),(LEN(SUBSTITUTE(SUBSTITUTE(SUBSTITUTE(J106," ",""),"0",""),"-",""))+LEN(SUBSTITUTE(SUBSTITUTE(SUBSTITUTE(K106," ",""),"0",""),"-","")))=(LEN(SUBSTITUTE(SUBSTITUTE(SUBSTITUTE(M106," ",""),"0",""),"-",""))+LEN(SUBSTITUTE(SUBSTITUTE(SUBSTITUTE(N106," ",""),"0",""),"-",""))))),0,(LEN(SUBSTITUTE(SUBSTITUTE(SUBSTITUTE(J106," ",""),"0",""),"-",""))+LEN(SUBSTITUTE(SUBSTITUTE(SUBSTITUTE(K106," ",""),"0",""),"-",""))&lt;LEN(SUBSTITUTE(SUBSTITUTE(SUBSTITUTE(M106," ",""),"0",""),"-",""))+LEN(SUBSTITUTE(SUBSTITUTE(SUBSTITUTE(N106," ",""),"0",""),"-","")))*1),0)+IF(OR(COUNTA(J108,K108,M108,N108)&gt;0,OR(L108="X",L108="x")),IF(OR(L108="X",L108="x",AND(OR(COUNTA(J108,K108,M108,N108)&gt;0,OR(L108="X",L108="x")),(LEN(SUBSTITUTE(SUBSTITUTE(SUBSTITUTE(J108," ",""),"0",""),"-",""))+LEN(SUBSTITUTE(SUBSTITUTE(SUBSTITUTE(K108," ",""),"0",""),"-","")))=(LEN(SUBSTITUTE(SUBSTITUTE(SUBSTITUTE(M108," ",""),"0",""),"-",""))+LEN(SUBSTITUTE(SUBSTITUTE(SUBSTITUTE(N108," ",""),"0",""),"-",""))))),0,(LEN(SUBSTITUTE(SUBSTITUTE(SUBSTITUTE(M108," ",""),"0",""),"-",""))+LEN(SUBSTITUTE(SUBSTITUTE(SUBSTITUTE(N108," ",""),"0",""),"-",""))&lt;LEN(SUBSTITUTE(SUBSTITUTE(SUBSTITUTE(J108," ",""),"0",""),"-",""))+LEN(SUBSTITUTE(SUBSTITUTE(SUBSTITUTE(K108," ",""),"0",""),"-","")))*1),0)</f>
      </c>
      <c r="L112" s="14" t="str">
        <f>IF(OR(COUNTA(J106,K106,M106,N106)&gt;0,OR(L106="X",L106="x")),IF(OR(L106="X",L106="x",AND(OR(COUNTA(J106,K106,M106,N106)&gt;0,OR(L106="X",L106="x")),(LEN(SUBSTITUTE(SUBSTITUTE(SUBSTITUTE(J106," ",""),"0",""),"-",""))+LEN(SUBSTITUTE(SUBSTITUTE(SUBSTITUTE(K106," ",""),"0",""),"-","")))=(LEN(SUBSTITUTE(SUBSTITUTE(SUBSTITUTE(M106," ",""),"0",""),"-",""))+LEN(SUBSTITUTE(SUBSTITUTE(SUBSTITUTE(N106," ",""),"0",""),"-",""))))),1,0),0)+IF(OR(COUNTA(J108,K108,M108,N108)&gt;0,OR(L108="X",L108="x")),IF(OR(L108="X",L108="x",AND(OR(COUNTA(J108,K108,M108,N108)&gt;0,OR(L108="X",L108="x")),(LEN(SUBSTITUTE(SUBSTITUTE(SUBSTITUTE(J108," ",""),"0",""),"-",""))+LEN(SUBSTITUTE(SUBSTITUTE(SUBSTITUTE(K108," ",""),"0",""),"-","")))=(LEN(SUBSTITUTE(SUBSTITUTE(SUBSTITUTE(M108," ",""),"0",""),"-",""))+LEN(SUBSTITUTE(SUBSTITUTE(SUBSTITUTE(N108," ",""),"0",""),"-",""))))),1,0),0)</f>
      </c>
      <c r="M112" s="14" t="str">
        <f>LEN(SUBSTITUTE(SUBSTITUTE(SUBSTITUTE(J106," ",""),"0",""),"-",""))+LEN(SUBSTITUTE(SUBSTITUTE(SUBSTITUTE(K106," ",""),"0",""),"-",""))+LEN(SUBSTITUTE(SUBSTITUTE(SUBSTITUTE(M108," ",""),"0",""),"-",""))+LEN(SUBSTITUTE(SUBSTITUTE(SUBSTITUTE(N108," ",""),"0",""),"-",""))</f>
      </c>
      <c r="N112" s="14" t="str">
        <f>LEN(SUBSTITUTE(SUBSTITUTE(SUBSTITUTE(M106," ",""),"0",""),"-",""))+LEN(SUBSTITUTE(SUBSTITUTE(SUBSTITUTE(N106," ",""),"0",""),"-",""))+LEN(SUBSTITUTE(SUBSTITUTE(SUBSTITUTE(J108," ",""),"0",""),"-",""))+LEN(SUBSTITUTE(SUBSTITUTE(SUBSTITUTE(K108," ",""),"0",""),"-",""))</f>
      </c>
      <c r="O112" s="18" t="str">
        <f>RANK(AC112,$AC$111:$AC$113)+COUNTIF($AC$110:AC111,AC112)</f>
      </c>
      <c r="U112" t="str">
        <f>(B112*1000000)-(C112*10000)+(D112*100)+(E112*1)-(F112*0.01)</f>
      </c>
      <c r="AC112" t="str">
        <f>(J112*1000000)-(K112*10000)+(L112*100)+(M112*1)-(N112*0.01)</f>
      </c>
    </row>
    <row r="113">
      <c r="A113" s="14" t="str">
        <f>data!$E$23&amp;" "&amp;data!$B$23</f>
      </c>
      <c r="B113" s="14" t="str">
        <f>IF(OR(COUNTA(B107,C107,E107,F107)&gt;0,OR(D107="X",D107="x")),IF(OR(D107="X",D107="x",AND(OR(COUNTA(B107,C107,E107,F107)&gt;0,OR(D107="X",D107="x")),(LEN(SUBSTITUTE(SUBSTITUTE(SUBSTITUTE(B107," ",""),"0",""),"-",""))+LEN(SUBSTITUTE(SUBSTITUTE(SUBSTITUTE(C107," ",""),"0",""),"-","")))=(LEN(SUBSTITUTE(SUBSTITUTE(SUBSTITUTE(E107," ",""),"0",""),"-",""))+LEN(SUBSTITUTE(SUBSTITUTE(SUBSTITUTE(F107," ",""),"0",""),"-",""))))),0,(LEN(SUBSTITUTE(SUBSTITUTE(SUBSTITUTE(B107," ",""),"0",""),"-",""))+LEN(SUBSTITUTE(SUBSTITUTE(SUBSTITUTE(C107," ",""),"0",""),"-",""))&gt;LEN(SUBSTITUTE(SUBSTITUTE(SUBSTITUTE(E107," ",""),"0",""),"-",""))+LEN(SUBSTITUTE(SUBSTITUTE(SUBSTITUTE(F107," ",""),"0",""),"-","")))*1),0)+IF(OR(COUNTA(B108,C108,E108,F108)&gt;0,OR(D108="X",D108="x")),IF(OR(D108="X",D108="x",AND(OR(COUNTA(B108,C108,E108,F108)&gt;0,OR(D108="X",D108="x")),(LEN(SUBSTITUTE(SUBSTITUTE(SUBSTITUTE(B108," ",""),"0",""),"-",""))+LEN(SUBSTITUTE(SUBSTITUTE(SUBSTITUTE(C108," ",""),"0",""),"-","")))=(LEN(SUBSTITUTE(SUBSTITUTE(SUBSTITUTE(E108," ",""),"0",""),"-",""))+LEN(SUBSTITUTE(SUBSTITUTE(SUBSTITUTE(F108," ",""),"0",""),"-",""))))),0,(LEN(SUBSTITUTE(SUBSTITUTE(SUBSTITUTE(B108," ",""),"0",""),"-",""))+LEN(SUBSTITUTE(SUBSTITUTE(SUBSTITUTE(C108," ",""),"0",""),"-",""))&gt;LEN(SUBSTITUTE(SUBSTITUTE(SUBSTITUTE(E108," ",""),"0",""),"-",""))+LEN(SUBSTITUTE(SUBSTITUTE(SUBSTITUTE(F108," ",""),"0",""),"-","")))*1),0)</f>
      </c>
      <c r="C113" s="14" t="str">
        <f>IF(OR(COUNTA(B107,C107,E107,F107)&gt;0,OR(D107="X",D107="x")),IF(OR(D107="X",D107="x",AND(OR(COUNTA(B107,C107,E107,F107)&gt;0,OR(D107="X",D107="x")),(LEN(SUBSTITUTE(SUBSTITUTE(SUBSTITUTE(B107," ",""),"0",""),"-",""))+LEN(SUBSTITUTE(SUBSTITUTE(SUBSTITUTE(C107," ",""),"0",""),"-","")))=(LEN(SUBSTITUTE(SUBSTITUTE(SUBSTITUTE(E107," ",""),"0",""),"-",""))+LEN(SUBSTITUTE(SUBSTITUTE(SUBSTITUTE(F107," ",""),"0",""),"-",""))))),0,(LEN(SUBSTITUTE(SUBSTITUTE(SUBSTITUTE(B107," ",""),"0",""),"-",""))+LEN(SUBSTITUTE(SUBSTITUTE(SUBSTITUTE(C107," ",""),"0",""),"-",""))&lt;LEN(SUBSTITUTE(SUBSTITUTE(SUBSTITUTE(E107," ",""),"0",""),"-",""))+LEN(SUBSTITUTE(SUBSTITUTE(SUBSTITUTE(F107," ",""),"0",""),"-","")))*1),0)+IF(OR(COUNTA(B108,C108,E108,F108)&gt;0,OR(D108="X",D108="x")),IF(OR(D108="X",D108="x",AND(OR(COUNTA(B108,C108,E108,F108)&gt;0,OR(D108="X",D108="x")),(LEN(SUBSTITUTE(SUBSTITUTE(SUBSTITUTE(B108," ",""),"0",""),"-",""))+LEN(SUBSTITUTE(SUBSTITUTE(SUBSTITUTE(C108," ",""),"0",""),"-","")))=(LEN(SUBSTITUTE(SUBSTITUTE(SUBSTITUTE(E108," ",""),"0",""),"-",""))+LEN(SUBSTITUTE(SUBSTITUTE(SUBSTITUTE(F108," ",""),"0",""),"-",""))))),0,(LEN(SUBSTITUTE(SUBSTITUTE(SUBSTITUTE(B108," ",""),"0",""),"-",""))+LEN(SUBSTITUTE(SUBSTITUTE(SUBSTITUTE(C108," ",""),"0",""),"-",""))&lt;LEN(SUBSTITUTE(SUBSTITUTE(SUBSTITUTE(E108," ",""),"0",""),"-",""))+LEN(SUBSTITUTE(SUBSTITUTE(SUBSTITUTE(F108," ",""),"0",""),"-","")))*1),0)</f>
      </c>
      <c r="D113" s="14" t="str">
        <f>IF(OR(COUNTA(B107,C107,E107,F107)&gt;0,OR(D107="X",D107="x")),IF(OR(D107="X",D107="x",AND(OR(COUNTA(B107,C107,E107,F107)&gt;0,OR(D107="X",D107="x")),(LEN(SUBSTITUTE(SUBSTITUTE(SUBSTITUTE(B107," ",""),"0",""),"-",""))+LEN(SUBSTITUTE(SUBSTITUTE(SUBSTITUTE(C107," ",""),"0",""),"-","")))=(LEN(SUBSTITUTE(SUBSTITUTE(SUBSTITUTE(E107," ",""),"0",""),"-",""))+LEN(SUBSTITUTE(SUBSTITUTE(SUBSTITUTE(F107," ",""),"0",""),"-",""))))),1,0),0)+IF(OR(COUNTA(B108,C108,E108,F108)&gt;0,OR(D108="X",D108="x")),IF(OR(D108="X",D108="x",AND(OR(COUNTA(B108,C108,E108,F108)&gt;0,OR(D108="X",D108="x")),(LEN(SUBSTITUTE(SUBSTITUTE(SUBSTITUTE(B108," ",""),"0",""),"-",""))+LEN(SUBSTITUTE(SUBSTITUTE(SUBSTITUTE(C108," ",""),"0",""),"-","")))=(LEN(SUBSTITUTE(SUBSTITUTE(SUBSTITUTE(E108," ",""),"0",""),"-",""))+LEN(SUBSTITUTE(SUBSTITUTE(SUBSTITUTE(F108," ",""),"0",""),"-",""))))),1,0),0)</f>
      </c>
      <c r="E113" s="14" t="str">
        <f>LEN(SUBSTITUTE(SUBSTITUTE(SUBSTITUTE(B107," ",""),"0",""),"-",""))+LEN(SUBSTITUTE(SUBSTITUTE(SUBSTITUTE(C107," ",""),"0",""),"-",""))+LEN(SUBSTITUTE(SUBSTITUTE(SUBSTITUTE(B108," ",""),"0",""),"-",""))+LEN(SUBSTITUTE(SUBSTITUTE(SUBSTITUTE(C108," ",""),"0",""),"-",""))</f>
      </c>
      <c r="F113" s="14" t="str">
        <f>LEN(SUBSTITUTE(SUBSTITUTE(SUBSTITUTE(E107," ",""),"0",""),"-",""))+LEN(SUBSTITUTE(SUBSTITUTE(SUBSTITUTE(F107," ",""),"0",""),"-",""))+LEN(SUBSTITUTE(SUBSTITUTE(SUBSTITUTE(E108," ",""),"0",""),"-",""))+LEN(SUBSTITUTE(SUBSTITUTE(SUBSTITUTE(F108," ",""),"0",""),"-",""))</f>
      </c>
      <c r="G113" s="18" t="str">
        <f>RANK(U113,$U$111:$U$113)+COUNTIF($U$110:U112,U113)</f>
      </c>
      <c r="I113" s="14" t="str">
        <f>data!$E$70&amp;" "&amp;data!$B$70</f>
      </c>
      <c r="J113" s="14" t="str">
        <f>IF(OR(COUNTA(J107,K107,M107,N107)&gt;0,OR(L107="X",L107="x")),IF(OR(L107="X",L107="x",AND(OR(COUNTA(J107,K107,M107,N107)&gt;0,OR(L107="X",L107="x")),(LEN(SUBSTITUTE(SUBSTITUTE(SUBSTITUTE(J107," ",""),"0",""),"-",""))+LEN(SUBSTITUTE(SUBSTITUTE(SUBSTITUTE(K107," ",""),"0",""),"-","")))=(LEN(SUBSTITUTE(SUBSTITUTE(SUBSTITUTE(M107," ",""),"0",""),"-",""))+LEN(SUBSTITUTE(SUBSTITUTE(SUBSTITUTE(N107," ",""),"0",""),"-",""))))),0,(LEN(SUBSTITUTE(SUBSTITUTE(SUBSTITUTE(J107," ",""),"0",""),"-",""))+LEN(SUBSTITUTE(SUBSTITUTE(SUBSTITUTE(K107," ",""),"0",""),"-",""))&gt;LEN(SUBSTITUTE(SUBSTITUTE(SUBSTITUTE(M107," ",""),"0",""),"-",""))+LEN(SUBSTITUTE(SUBSTITUTE(SUBSTITUTE(N107," ",""),"0",""),"-","")))*1),0)+IF(OR(COUNTA(J108,K108,M108,N108)&gt;0,OR(L108="X",L108="x")),IF(OR(L108="X",L108="x",AND(OR(COUNTA(J108,K108,M108,N108)&gt;0,OR(L108="X",L108="x")),(LEN(SUBSTITUTE(SUBSTITUTE(SUBSTITUTE(J108," ",""),"0",""),"-",""))+LEN(SUBSTITUTE(SUBSTITUTE(SUBSTITUTE(K108," ",""),"0",""),"-","")))=(LEN(SUBSTITUTE(SUBSTITUTE(SUBSTITUTE(M108," ",""),"0",""),"-",""))+LEN(SUBSTITUTE(SUBSTITUTE(SUBSTITUTE(N108," ",""),"0",""),"-",""))))),0,(LEN(SUBSTITUTE(SUBSTITUTE(SUBSTITUTE(J108," ",""),"0",""),"-",""))+LEN(SUBSTITUTE(SUBSTITUTE(SUBSTITUTE(K108," ",""),"0",""),"-",""))&gt;LEN(SUBSTITUTE(SUBSTITUTE(SUBSTITUTE(M108," ",""),"0",""),"-",""))+LEN(SUBSTITUTE(SUBSTITUTE(SUBSTITUTE(N108," ",""),"0",""),"-","")))*1),0)</f>
      </c>
      <c r="K113" s="14" t="str">
        <f>IF(OR(COUNTA(J107,K107,M107,N107)&gt;0,OR(L107="X",L107="x")),IF(OR(L107="X",L107="x",AND(OR(COUNTA(J107,K107,M107,N107)&gt;0,OR(L107="X",L107="x")),(LEN(SUBSTITUTE(SUBSTITUTE(SUBSTITUTE(J107," ",""),"0",""),"-",""))+LEN(SUBSTITUTE(SUBSTITUTE(SUBSTITUTE(K107," ",""),"0",""),"-","")))=(LEN(SUBSTITUTE(SUBSTITUTE(SUBSTITUTE(M107," ",""),"0",""),"-",""))+LEN(SUBSTITUTE(SUBSTITUTE(SUBSTITUTE(N107," ",""),"0",""),"-",""))))),0,(LEN(SUBSTITUTE(SUBSTITUTE(SUBSTITUTE(J107," ",""),"0",""),"-",""))+LEN(SUBSTITUTE(SUBSTITUTE(SUBSTITUTE(K107," ",""),"0",""),"-",""))&lt;LEN(SUBSTITUTE(SUBSTITUTE(SUBSTITUTE(M107," ",""),"0",""),"-",""))+LEN(SUBSTITUTE(SUBSTITUTE(SUBSTITUTE(N107," ",""),"0",""),"-","")))*1),0)+IF(OR(COUNTA(J108,K108,M108,N108)&gt;0,OR(L108="X",L108="x")),IF(OR(L108="X",L108="x",AND(OR(COUNTA(J108,K108,M108,N108)&gt;0,OR(L108="X",L108="x")),(LEN(SUBSTITUTE(SUBSTITUTE(SUBSTITUTE(J108," ",""),"0",""),"-",""))+LEN(SUBSTITUTE(SUBSTITUTE(SUBSTITUTE(K108," ",""),"0",""),"-","")))=(LEN(SUBSTITUTE(SUBSTITUTE(SUBSTITUTE(M108," ",""),"0",""),"-",""))+LEN(SUBSTITUTE(SUBSTITUTE(SUBSTITUTE(N108," ",""),"0",""),"-",""))))),0,(LEN(SUBSTITUTE(SUBSTITUTE(SUBSTITUTE(J108," ",""),"0",""),"-",""))+LEN(SUBSTITUTE(SUBSTITUTE(SUBSTITUTE(K108," ",""),"0",""),"-",""))&lt;LEN(SUBSTITUTE(SUBSTITUTE(SUBSTITUTE(M108," ",""),"0",""),"-",""))+LEN(SUBSTITUTE(SUBSTITUTE(SUBSTITUTE(N108," ",""),"0",""),"-","")))*1),0)</f>
      </c>
      <c r="L113" s="14" t="str">
        <f>IF(OR(COUNTA(J107,K107,M107,N107)&gt;0,OR(L107="X",L107="x")),IF(OR(L107="X",L107="x",AND(OR(COUNTA(J107,K107,M107,N107)&gt;0,OR(L107="X",L107="x")),(LEN(SUBSTITUTE(SUBSTITUTE(SUBSTITUTE(J107," ",""),"0",""),"-",""))+LEN(SUBSTITUTE(SUBSTITUTE(SUBSTITUTE(K107," ",""),"0",""),"-","")))=(LEN(SUBSTITUTE(SUBSTITUTE(SUBSTITUTE(M107," ",""),"0",""),"-",""))+LEN(SUBSTITUTE(SUBSTITUTE(SUBSTITUTE(N107," ",""),"0",""),"-",""))))),1,0),0)+IF(OR(COUNTA(J108,K108,M108,N108)&gt;0,OR(L108="X",L108="x")),IF(OR(L108="X",L108="x",AND(OR(COUNTA(J108,K108,M108,N108)&gt;0,OR(L108="X",L108="x")),(LEN(SUBSTITUTE(SUBSTITUTE(SUBSTITUTE(J108," ",""),"0",""),"-",""))+LEN(SUBSTITUTE(SUBSTITUTE(SUBSTITUTE(K108," ",""),"0",""),"-","")))=(LEN(SUBSTITUTE(SUBSTITUTE(SUBSTITUTE(M108," ",""),"0",""),"-",""))+LEN(SUBSTITUTE(SUBSTITUTE(SUBSTITUTE(N108," ",""),"0",""),"-",""))))),1,0),0)</f>
      </c>
      <c r="M113" s="14" t="str">
        <f>LEN(SUBSTITUTE(SUBSTITUTE(SUBSTITUTE(J107," ",""),"0",""),"-",""))+LEN(SUBSTITUTE(SUBSTITUTE(SUBSTITUTE(K107," ",""),"0",""),"-",""))+LEN(SUBSTITUTE(SUBSTITUTE(SUBSTITUTE(J108," ",""),"0",""),"-",""))+LEN(SUBSTITUTE(SUBSTITUTE(SUBSTITUTE(K108," ",""),"0",""),"-",""))</f>
      </c>
      <c r="N113" s="14" t="str">
        <f>LEN(SUBSTITUTE(SUBSTITUTE(SUBSTITUTE(M107," ",""),"0",""),"-",""))+LEN(SUBSTITUTE(SUBSTITUTE(SUBSTITUTE(N107," ",""),"0",""),"-",""))+LEN(SUBSTITUTE(SUBSTITUTE(SUBSTITUTE(M108," ",""),"0",""),"-",""))+LEN(SUBSTITUTE(SUBSTITUTE(SUBSTITUTE(N108," ",""),"0",""),"-",""))</f>
      </c>
      <c r="O113" s="18" t="str">
        <f>RANK(AC113,$AC$111:$AC$113)+COUNTIF($AC$110:AC112,AC113)</f>
      </c>
      <c r="U113" t="str">
        <f>(B113*1000000)-(C113*10000)+(D113*100)+(E113*1)-(F113*0.01)</f>
      </c>
      <c r="AC113" t="str">
        <f>(J113*1000000)-(K113*10000)+(L113*100)+(M113*1)-(N113*0.01)</f>
      </c>
    </row>
    <row r="116">
      <c r="F116" s="13"/>
      <c r="G116" s="13" t="s">
        <v>341</v>
      </c>
      <c r="N116" s="13"/>
      <c r="O116" s="13" t="s">
        <v>341</v>
      </c>
    </row>
    <row r="117">
      <c r="F117" t="s">
        <v>342</v>
      </c>
      <c r="G117" s="19" t="str">
        <f>IFERROR(INDEX($A$111:$A$113, MATCH(1, $G$111:$G$113, 0)), "-")</f>
      </c>
      <c r="N117" t="s">
        <v>342</v>
      </c>
      <c r="O117" s="19" t="str">
        <f>IFERROR(INDEX($I$111:$I$113, MATCH(1, $O$111:$O$113, 0)), "-")</f>
      </c>
    </row>
    <row r="118">
      <c r="F118" t="s">
        <v>343</v>
      </c>
      <c r="G118" s="19" t="str">
        <f>IFERROR(INDEX($A$111:$A$113, MATCH(2, $G$111:$G$113, 0)), "-")</f>
      </c>
      <c r="N118" t="s">
        <v>343</v>
      </c>
      <c r="O118" s="19" t="str">
        <f>IFERROR(INDEX($I$111:$I$113, MATCH(2, $O$111:$O$113, 0)), "-")</f>
      </c>
    </row>
    <row r="119">
      <c r="F119" t="s">
        <v>344</v>
      </c>
      <c r="G119" s="19" t="str">
        <f>IFERROR(INDEX($A$111:$A$113, MATCH(3, $G$111:$G$113, 0)), "-")</f>
      </c>
      <c r="N119" t="s">
        <v>344</v>
      </c>
      <c r="O119" s="19" t="str">
        <f>IFERROR(INDEX($I$111:$I$113, MATCH(3, $O$111:$O$113, 0)), "-")</f>
      </c>
    </row>
    <row r="121">
      <c r="A121" s="13" t="str">
        <f>'data'!$A$26</f>
      </c>
      <c r="B121" s="13"/>
      <c r="C121" s="13"/>
      <c r="D121" s="13"/>
      <c r="E121" s="13"/>
      <c r="F121" s="13"/>
      <c r="G121" s="13"/>
      <c r="I121" s="13" t="str">
        <f>'data'!$A$73</f>
      </c>
      <c r="J121" s="13"/>
      <c r="K121" s="13"/>
      <c r="L121" s="13"/>
      <c r="M121" s="13"/>
      <c r="N121" s="13"/>
      <c r="O121" s="13"/>
    </row>
    <row r="122">
      <c r="A122" s="17" t="s">
        <v>331</v>
      </c>
      <c r="D122" s="14" t="s">
        <v>332</v>
      </c>
      <c r="G122" s="16" t="s">
        <v>333</v>
      </c>
      <c r="I122" s="17" t="s">
        <v>331</v>
      </c>
      <c r="L122" s="14" t="s">
        <v>332</v>
      </c>
      <c r="O122" s="16" t="s">
        <v>333</v>
      </c>
    </row>
    <row r="123">
      <c r="A123" s="14" t="str">
        <f>data!$E$25&amp;" "&amp;data!$B$25</f>
      </c>
      <c r="B123" s="18"/>
      <c r="C123" s="18"/>
      <c r="D123" s="18"/>
      <c r="E123" s="18"/>
      <c r="F123" s="18"/>
      <c r="G123" s="14" t="str">
        <f>data!$E$24&amp;" "&amp;data!$B$24</f>
      </c>
      <c r="I123" s="14" t="str">
        <f>data!$E$72&amp;" "&amp;data!$B$72</f>
      </c>
      <c r="J123" s="18"/>
      <c r="K123" s="18"/>
      <c r="L123" s="18"/>
      <c r="M123" s="18"/>
      <c r="N123" s="18"/>
      <c r="O123" s="14" t="str">
        <f>data!$E$71&amp;" "&amp;data!$B$71</f>
      </c>
    </row>
    <row r="124">
      <c r="A124" s="14" t="str">
        <f>data!$E$26&amp;" "&amp;data!$B$26</f>
      </c>
      <c r="B124" s="18"/>
      <c r="C124" s="18"/>
      <c r="D124" s="18"/>
      <c r="E124" s="18"/>
      <c r="F124" s="18"/>
      <c r="G124" s="14" t="str">
        <f>data!$E$24&amp;" "&amp;data!$B$24</f>
      </c>
      <c r="I124" s="14" t="str">
        <f>data!$E$73&amp;" "&amp;data!$B$73</f>
      </c>
      <c r="J124" s="18"/>
      <c r="K124" s="18"/>
      <c r="L124" s="18"/>
      <c r="M124" s="18"/>
      <c r="N124" s="18"/>
      <c r="O124" s="14" t="str">
        <f>data!$E$71&amp;" "&amp;data!$B$71</f>
      </c>
    </row>
    <row r="125">
      <c r="A125" s="14" t="str">
        <f>data!$E$26&amp;" "&amp;data!$B$26</f>
      </c>
      <c r="B125" s="18"/>
      <c r="C125" s="18"/>
      <c r="D125" s="18"/>
      <c r="E125" s="18"/>
      <c r="F125" s="18"/>
      <c r="G125" s="14" t="str">
        <f>data!$E$25&amp;" "&amp;data!$B$25</f>
      </c>
      <c r="I125" s="14" t="str">
        <f>data!$E$73&amp;" "&amp;data!$B$73</f>
      </c>
      <c r="J125" s="18"/>
      <c r="K125" s="18"/>
      <c r="L125" s="18"/>
      <c r="M125" s="18"/>
      <c r="N125" s="18"/>
      <c r="O125" s="14" t="str">
        <f>data!$E$72&amp;" "&amp;data!$B$72</f>
      </c>
    </row>
    <row r="127">
      <c r="A127" s="13" t="s">
        <v>334</v>
      </c>
      <c r="B127" s="13" t="s">
        <v>335</v>
      </c>
      <c r="C127" s="13" t="s">
        <v>336</v>
      </c>
      <c r="D127" s="13" t="s">
        <v>337</v>
      </c>
      <c r="E127" s="13" t="s">
        <v>338</v>
      </c>
      <c r="F127" s="13" t="s">
        <v>339</v>
      </c>
      <c r="G127" s="13" t="s">
        <v>340</v>
      </c>
      <c r="I127" s="13" t="s">
        <v>334</v>
      </c>
      <c r="J127" s="13" t="s">
        <v>335</v>
      </c>
      <c r="K127" s="13" t="s">
        <v>336</v>
      </c>
      <c r="L127" s="13" t="s">
        <v>337</v>
      </c>
      <c r="M127" s="13" t="s">
        <v>338</v>
      </c>
      <c r="N127" s="13" t="s">
        <v>339</v>
      </c>
      <c r="O127" s="13" t="s">
        <v>340</v>
      </c>
    </row>
    <row r="128">
      <c r="A128" s="14" t="str">
        <f>data!$E$24&amp;" "&amp;data!$B$24</f>
      </c>
      <c r="B128" s="14" t="str">
        <f>IF(OR(COUNTA(B123,C123,E123,F123)&gt;0,OR(D123="X",D123="x")),IF(OR(D123="X",D123="x",AND(OR(COUNTA(B123,C123,E123,F123)&gt;0,OR(D123="X",D123="x")),(LEN(SUBSTITUTE(SUBSTITUTE(SUBSTITUTE(B123," ",""),"0",""),"-",""))+LEN(SUBSTITUTE(SUBSTITUTE(SUBSTITUTE(C123," ",""),"0",""),"-","")))=(LEN(SUBSTITUTE(SUBSTITUTE(SUBSTITUTE(E123," ",""),"0",""),"-",""))+LEN(SUBSTITUTE(SUBSTITUTE(SUBSTITUTE(F123," ",""),"0",""),"-",""))))),0,(LEN(SUBSTITUTE(SUBSTITUTE(SUBSTITUTE(E123," ",""),"0",""),"-",""))+LEN(SUBSTITUTE(SUBSTITUTE(SUBSTITUTE(F123," ",""),"0",""),"-",""))&gt;LEN(SUBSTITUTE(SUBSTITUTE(SUBSTITUTE(B123," ",""),"0",""),"-",""))+LEN(SUBSTITUTE(SUBSTITUTE(SUBSTITUTE(C123," ",""),"0",""),"-","")))*1),0)+IF(OR(COUNTA(B124,C124,E124,F124)&gt;0,OR(D124="X",D124="x")),IF(OR(D124="X",D124="x",AND(OR(COUNTA(B124,C124,E124,F124)&gt;0,OR(D124="X",D124="x")),(LEN(SUBSTITUTE(SUBSTITUTE(SUBSTITUTE(B124," ",""),"0",""),"-",""))+LEN(SUBSTITUTE(SUBSTITUTE(SUBSTITUTE(C124," ",""),"0",""),"-","")))=(LEN(SUBSTITUTE(SUBSTITUTE(SUBSTITUTE(E124," ",""),"0",""),"-",""))+LEN(SUBSTITUTE(SUBSTITUTE(SUBSTITUTE(F124," ",""),"0",""),"-",""))))),0,(LEN(SUBSTITUTE(SUBSTITUTE(SUBSTITUTE(E124," ",""),"0",""),"-",""))+LEN(SUBSTITUTE(SUBSTITUTE(SUBSTITUTE(F124," ",""),"0",""),"-",""))&gt;LEN(SUBSTITUTE(SUBSTITUTE(SUBSTITUTE(B124," ",""),"0",""),"-",""))+LEN(SUBSTITUTE(SUBSTITUTE(SUBSTITUTE(C124," ",""),"0",""),"-","")))*1),0)</f>
      </c>
      <c r="C128" s="14" t="str">
        <f>IF(OR(COUNTA(B123,C123,E123,F123)&gt;0,OR(D123="X",D123="x")),IF(OR(D123="X",D123="x",AND(OR(COUNTA(B123,C123,E123,F123)&gt;0,OR(D123="X",D123="x")),(LEN(SUBSTITUTE(SUBSTITUTE(SUBSTITUTE(B123," ",""),"0",""),"-",""))+LEN(SUBSTITUTE(SUBSTITUTE(SUBSTITUTE(C123," ",""),"0",""),"-","")))=(LEN(SUBSTITUTE(SUBSTITUTE(SUBSTITUTE(E123," ",""),"0",""),"-",""))+LEN(SUBSTITUTE(SUBSTITUTE(SUBSTITUTE(F123," ",""),"0",""),"-",""))))),0,(LEN(SUBSTITUTE(SUBSTITUTE(SUBSTITUTE(E123," ",""),"0",""),"-",""))+LEN(SUBSTITUTE(SUBSTITUTE(SUBSTITUTE(F123," ",""),"0",""),"-",""))&lt;LEN(SUBSTITUTE(SUBSTITUTE(SUBSTITUTE(B123," ",""),"0",""),"-",""))+LEN(SUBSTITUTE(SUBSTITUTE(SUBSTITUTE(C123," ",""),"0",""),"-","")))*1),0)+IF(OR(COUNTA(B124,C124,E124,F124)&gt;0,OR(D124="X",D124="x")),IF(OR(D124="X",D124="x",AND(OR(COUNTA(B124,C124,E124,F124)&gt;0,OR(D124="X",D124="x")),(LEN(SUBSTITUTE(SUBSTITUTE(SUBSTITUTE(B124," ",""),"0",""),"-",""))+LEN(SUBSTITUTE(SUBSTITUTE(SUBSTITUTE(C124," ",""),"0",""),"-","")))=(LEN(SUBSTITUTE(SUBSTITUTE(SUBSTITUTE(E124," ",""),"0",""),"-",""))+LEN(SUBSTITUTE(SUBSTITUTE(SUBSTITUTE(F124," ",""),"0",""),"-",""))))),0,(LEN(SUBSTITUTE(SUBSTITUTE(SUBSTITUTE(E124," ",""),"0",""),"-",""))+LEN(SUBSTITUTE(SUBSTITUTE(SUBSTITUTE(F124," ",""),"0",""),"-",""))&lt;LEN(SUBSTITUTE(SUBSTITUTE(SUBSTITUTE(B124," ",""),"0",""),"-",""))+LEN(SUBSTITUTE(SUBSTITUTE(SUBSTITUTE(C124," ",""),"0",""),"-","")))*1),0)</f>
      </c>
      <c r="D128" s="14" t="str">
        <f>IF(OR(COUNTA(B123,C123,E123,F123)&gt;0,OR(D123="X",D123="x")),IF(OR(D123="X",D123="x",AND(OR(COUNTA(B123,C123,E123,F123)&gt;0,OR(D123="X",D123="x")),(LEN(SUBSTITUTE(SUBSTITUTE(SUBSTITUTE(B123," ",""),"0",""),"-",""))+LEN(SUBSTITUTE(SUBSTITUTE(SUBSTITUTE(C123," ",""),"0",""),"-","")))=(LEN(SUBSTITUTE(SUBSTITUTE(SUBSTITUTE(E123," ",""),"0",""),"-",""))+LEN(SUBSTITUTE(SUBSTITUTE(SUBSTITUTE(F123," ",""),"0",""),"-",""))))),1,0),0)+IF(OR(COUNTA(B124,C124,E124,F124)&gt;0,OR(D124="X",D124="x")),IF(OR(D124="X",D124="x",AND(OR(COUNTA(B124,C124,E124,F124)&gt;0,OR(D124="X",D124="x")),(LEN(SUBSTITUTE(SUBSTITUTE(SUBSTITUTE(B124," ",""),"0",""),"-",""))+LEN(SUBSTITUTE(SUBSTITUTE(SUBSTITUTE(C124," ",""),"0",""),"-","")))=(LEN(SUBSTITUTE(SUBSTITUTE(SUBSTITUTE(E124," ",""),"0",""),"-",""))+LEN(SUBSTITUTE(SUBSTITUTE(SUBSTITUTE(F124," ",""),"0",""),"-",""))))),1,0),0)</f>
      </c>
      <c r="E128" s="14" t="str">
        <f>LEN(SUBSTITUTE(SUBSTITUTE(SUBSTITUTE(E123," ",""),"0",""),"-",""))+LEN(SUBSTITUTE(SUBSTITUTE(SUBSTITUTE(F123," ",""),"0",""),"-",""))+LEN(SUBSTITUTE(SUBSTITUTE(SUBSTITUTE(E124," ",""),"0",""),"-",""))+LEN(SUBSTITUTE(SUBSTITUTE(SUBSTITUTE(F124," ",""),"0",""),"-",""))</f>
      </c>
      <c r="F128" s="14" t="str">
        <f>LEN(SUBSTITUTE(SUBSTITUTE(SUBSTITUTE(B123," ",""),"0",""),"-",""))+LEN(SUBSTITUTE(SUBSTITUTE(SUBSTITUTE(C123," ",""),"0",""),"-",""))+LEN(SUBSTITUTE(SUBSTITUTE(SUBSTITUTE(B124," ",""),"0",""),"-",""))+LEN(SUBSTITUTE(SUBSTITUTE(SUBSTITUTE(C124," ",""),"0",""),"-",""))</f>
      </c>
      <c r="G128" s="18" t="str">
        <f>RANK(U128,$U$128:$U$130)+COUNTIF($U$127:U127,U128)</f>
      </c>
      <c r="I128" s="14" t="str">
        <f>data!$E$71&amp;" "&amp;data!$B$71</f>
      </c>
      <c r="J128" s="14" t="str">
        <f>IF(OR(COUNTA(J123,K123,M123,N123)&gt;0,OR(L123="X",L123="x")),IF(OR(L123="X",L123="x",AND(OR(COUNTA(J123,K123,M123,N123)&gt;0,OR(L123="X",L123="x")),(LEN(SUBSTITUTE(SUBSTITUTE(SUBSTITUTE(J123," ",""),"0",""),"-",""))+LEN(SUBSTITUTE(SUBSTITUTE(SUBSTITUTE(K123," ",""),"0",""),"-","")))=(LEN(SUBSTITUTE(SUBSTITUTE(SUBSTITUTE(M123," ",""),"0",""),"-",""))+LEN(SUBSTITUTE(SUBSTITUTE(SUBSTITUTE(N123," ",""),"0",""),"-",""))))),0,(LEN(SUBSTITUTE(SUBSTITUTE(SUBSTITUTE(M123," ",""),"0",""),"-",""))+LEN(SUBSTITUTE(SUBSTITUTE(SUBSTITUTE(N123," ",""),"0",""),"-",""))&gt;LEN(SUBSTITUTE(SUBSTITUTE(SUBSTITUTE(J123," ",""),"0",""),"-",""))+LEN(SUBSTITUTE(SUBSTITUTE(SUBSTITUTE(K123," ",""),"0",""),"-","")))*1),0)+IF(OR(COUNTA(J124,K124,M124,N124)&gt;0,OR(L124="X",L124="x")),IF(OR(L124="X",L124="x",AND(OR(COUNTA(J124,K124,M124,N124)&gt;0,OR(L124="X",L124="x")),(LEN(SUBSTITUTE(SUBSTITUTE(SUBSTITUTE(J124," ",""),"0",""),"-",""))+LEN(SUBSTITUTE(SUBSTITUTE(SUBSTITUTE(K124," ",""),"0",""),"-","")))=(LEN(SUBSTITUTE(SUBSTITUTE(SUBSTITUTE(M124," ",""),"0",""),"-",""))+LEN(SUBSTITUTE(SUBSTITUTE(SUBSTITUTE(N124," ",""),"0",""),"-",""))))),0,(LEN(SUBSTITUTE(SUBSTITUTE(SUBSTITUTE(M124," ",""),"0",""),"-",""))+LEN(SUBSTITUTE(SUBSTITUTE(SUBSTITUTE(N124," ",""),"0",""),"-",""))&gt;LEN(SUBSTITUTE(SUBSTITUTE(SUBSTITUTE(J124," ",""),"0",""),"-",""))+LEN(SUBSTITUTE(SUBSTITUTE(SUBSTITUTE(K124," ",""),"0",""),"-","")))*1),0)</f>
      </c>
      <c r="K128" s="14" t="str">
        <f>IF(OR(COUNTA(J123,K123,M123,N123)&gt;0,OR(L123="X",L123="x")),IF(OR(L123="X",L123="x",AND(OR(COUNTA(J123,K123,M123,N123)&gt;0,OR(L123="X",L123="x")),(LEN(SUBSTITUTE(SUBSTITUTE(SUBSTITUTE(J123," ",""),"0",""),"-",""))+LEN(SUBSTITUTE(SUBSTITUTE(SUBSTITUTE(K123," ",""),"0",""),"-","")))=(LEN(SUBSTITUTE(SUBSTITUTE(SUBSTITUTE(M123," ",""),"0",""),"-",""))+LEN(SUBSTITUTE(SUBSTITUTE(SUBSTITUTE(N123," ",""),"0",""),"-",""))))),0,(LEN(SUBSTITUTE(SUBSTITUTE(SUBSTITUTE(M123," ",""),"0",""),"-",""))+LEN(SUBSTITUTE(SUBSTITUTE(SUBSTITUTE(N123," ",""),"0",""),"-",""))&lt;LEN(SUBSTITUTE(SUBSTITUTE(SUBSTITUTE(J123," ",""),"0",""),"-",""))+LEN(SUBSTITUTE(SUBSTITUTE(SUBSTITUTE(K123," ",""),"0",""),"-","")))*1),0)+IF(OR(COUNTA(J124,K124,M124,N124)&gt;0,OR(L124="X",L124="x")),IF(OR(L124="X",L124="x",AND(OR(COUNTA(J124,K124,M124,N124)&gt;0,OR(L124="X",L124="x")),(LEN(SUBSTITUTE(SUBSTITUTE(SUBSTITUTE(J124," ",""),"0",""),"-",""))+LEN(SUBSTITUTE(SUBSTITUTE(SUBSTITUTE(K124," ",""),"0",""),"-","")))=(LEN(SUBSTITUTE(SUBSTITUTE(SUBSTITUTE(M124," ",""),"0",""),"-",""))+LEN(SUBSTITUTE(SUBSTITUTE(SUBSTITUTE(N124," ",""),"0",""),"-",""))))),0,(LEN(SUBSTITUTE(SUBSTITUTE(SUBSTITUTE(M124," ",""),"0",""),"-",""))+LEN(SUBSTITUTE(SUBSTITUTE(SUBSTITUTE(N124," ",""),"0",""),"-",""))&lt;LEN(SUBSTITUTE(SUBSTITUTE(SUBSTITUTE(J124," ",""),"0",""),"-",""))+LEN(SUBSTITUTE(SUBSTITUTE(SUBSTITUTE(K124," ",""),"0",""),"-","")))*1),0)</f>
      </c>
      <c r="L128" s="14" t="str">
        <f>IF(OR(COUNTA(J123,K123,M123,N123)&gt;0,OR(L123="X",L123="x")),IF(OR(L123="X",L123="x",AND(OR(COUNTA(J123,K123,M123,N123)&gt;0,OR(L123="X",L123="x")),(LEN(SUBSTITUTE(SUBSTITUTE(SUBSTITUTE(J123," ",""),"0",""),"-",""))+LEN(SUBSTITUTE(SUBSTITUTE(SUBSTITUTE(K123," ",""),"0",""),"-","")))=(LEN(SUBSTITUTE(SUBSTITUTE(SUBSTITUTE(M123," ",""),"0",""),"-",""))+LEN(SUBSTITUTE(SUBSTITUTE(SUBSTITUTE(N123," ",""),"0",""),"-",""))))),1,0),0)+IF(OR(COUNTA(J124,K124,M124,N124)&gt;0,OR(L124="X",L124="x")),IF(OR(L124="X",L124="x",AND(OR(COUNTA(J124,K124,M124,N124)&gt;0,OR(L124="X",L124="x")),(LEN(SUBSTITUTE(SUBSTITUTE(SUBSTITUTE(J124," ",""),"0",""),"-",""))+LEN(SUBSTITUTE(SUBSTITUTE(SUBSTITUTE(K124," ",""),"0",""),"-","")))=(LEN(SUBSTITUTE(SUBSTITUTE(SUBSTITUTE(M124," ",""),"0",""),"-",""))+LEN(SUBSTITUTE(SUBSTITUTE(SUBSTITUTE(N124," ",""),"0",""),"-",""))))),1,0),0)</f>
      </c>
      <c r="M128" s="14" t="str">
        <f>LEN(SUBSTITUTE(SUBSTITUTE(SUBSTITUTE(M123," ",""),"0",""),"-",""))+LEN(SUBSTITUTE(SUBSTITUTE(SUBSTITUTE(N123," ",""),"0",""),"-",""))+LEN(SUBSTITUTE(SUBSTITUTE(SUBSTITUTE(M124," ",""),"0",""),"-",""))+LEN(SUBSTITUTE(SUBSTITUTE(SUBSTITUTE(N124," ",""),"0",""),"-",""))</f>
      </c>
      <c r="N128" s="14" t="str">
        <f>LEN(SUBSTITUTE(SUBSTITUTE(SUBSTITUTE(J123," ",""),"0",""),"-",""))+LEN(SUBSTITUTE(SUBSTITUTE(SUBSTITUTE(K123," ",""),"0",""),"-",""))+LEN(SUBSTITUTE(SUBSTITUTE(SUBSTITUTE(J124," ",""),"0",""),"-",""))+LEN(SUBSTITUTE(SUBSTITUTE(SUBSTITUTE(K124," ",""),"0",""),"-",""))</f>
      </c>
      <c r="O128" s="18" t="str">
        <f>RANK(AC128,$AC$128:$AC$130)+COUNTIF($AC$127:AC127,AC128)</f>
      </c>
      <c r="U128" t="str">
        <f>(B128*1000000)-(C128*10000)+(D128*100)+(E128*1)-(F128*0.01)</f>
      </c>
      <c r="AC128" t="str">
        <f>(J128*1000000)-(K128*10000)+(L128*100)+(M128*1)-(N128*0.01)</f>
      </c>
    </row>
    <row r="129">
      <c r="A129" s="14" t="str">
        <f>data!$E$25&amp;" "&amp;data!$B$25</f>
      </c>
      <c r="B129" s="14" t="str">
        <f>IF(OR(COUNTA(B123,C123,E123,F123)&gt;0,OR(D123="X",D123="x")),IF(OR(D123="X",D123="x",AND(OR(COUNTA(B123,C123,E123,F123)&gt;0,OR(D123="X",D123="x")),(LEN(SUBSTITUTE(SUBSTITUTE(SUBSTITUTE(B123," ",""),"0",""),"-",""))+LEN(SUBSTITUTE(SUBSTITUTE(SUBSTITUTE(C123," ",""),"0",""),"-","")))=(LEN(SUBSTITUTE(SUBSTITUTE(SUBSTITUTE(E123," ",""),"0",""),"-",""))+LEN(SUBSTITUTE(SUBSTITUTE(SUBSTITUTE(F123," ",""),"0",""),"-",""))))),0,(LEN(SUBSTITUTE(SUBSTITUTE(SUBSTITUTE(B123," ",""),"0",""),"-",""))+LEN(SUBSTITUTE(SUBSTITUTE(SUBSTITUTE(C123," ",""),"0",""),"-",""))&gt;LEN(SUBSTITUTE(SUBSTITUTE(SUBSTITUTE(E123," ",""),"0",""),"-",""))+LEN(SUBSTITUTE(SUBSTITUTE(SUBSTITUTE(F123," ",""),"0",""),"-","")))*1),0)+IF(OR(COUNTA(B125,C125,E125,F125)&gt;0,OR(D125="X",D125="x")),IF(OR(D125="X",D125="x",AND(OR(COUNTA(B125,C125,E125,F125)&gt;0,OR(D125="X",D125="x")),(LEN(SUBSTITUTE(SUBSTITUTE(SUBSTITUTE(B125," ",""),"0",""),"-",""))+LEN(SUBSTITUTE(SUBSTITUTE(SUBSTITUTE(C125," ",""),"0",""),"-","")))=(LEN(SUBSTITUTE(SUBSTITUTE(SUBSTITUTE(E125," ",""),"0",""),"-",""))+LEN(SUBSTITUTE(SUBSTITUTE(SUBSTITUTE(F125," ",""),"0",""),"-",""))))),0,(LEN(SUBSTITUTE(SUBSTITUTE(SUBSTITUTE(E125," ",""),"0",""),"-",""))+LEN(SUBSTITUTE(SUBSTITUTE(SUBSTITUTE(F125," ",""),"0",""),"-",""))&gt;LEN(SUBSTITUTE(SUBSTITUTE(SUBSTITUTE(B125," ",""),"0",""),"-",""))+LEN(SUBSTITUTE(SUBSTITUTE(SUBSTITUTE(C125," ",""),"0",""),"-","")))*1),0)</f>
      </c>
      <c r="C129" s="14" t="str">
        <f>IF(OR(COUNTA(B123,C123,E123,F123)&gt;0,OR(D123="X",D123="x")),IF(OR(D123="X",D123="x",AND(OR(COUNTA(B123,C123,E123,F123)&gt;0,OR(D123="X",D123="x")),(LEN(SUBSTITUTE(SUBSTITUTE(SUBSTITUTE(B123," ",""),"0",""),"-",""))+LEN(SUBSTITUTE(SUBSTITUTE(SUBSTITUTE(C123," ",""),"0",""),"-","")))=(LEN(SUBSTITUTE(SUBSTITUTE(SUBSTITUTE(E123," ",""),"0",""),"-",""))+LEN(SUBSTITUTE(SUBSTITUTE(SUBSTITUTE(F123," ",""),"0",""),"-",""))))),0,(LEN(SUBSTITUTE(SUBSTITUTE(SUBSTITUTE(B123," ",""),"0",""),"-",""))+LEN(SUBSTITUTE(SUBSTITUTE(SUBSTITUTE(C123," ",""),"0",""),"-",""))&lt;LEN(SUBSTITUTE(SUBSTITUTE(SUBSTITUTE(E123," ",""),"0",""),"-",""))+LEN(SUBSTITUTE(SUBSTITUTE(SUBSTITUTE(F123," ",""),"0",""),"-","")))*1),0)+IF(OR(COUNTA(B125,C125,E125,F125)&gt;0,OR(D125="X",D125="x")),IF(OR(D125="X",D125="x",AND(OR(COUNTA(B125,C125,E125,F125)&gt;0,OR(D125="X",D125="x")),(LEN(SUBSTITUTE(SUBSTITUTE(SUBSTITUTE(B125," ",""),"0",""),"-",""))+LEN(SUBSTITUTE(SUBSTITUTE(SUBSTITUTE(C125," ",""),"0",""),"-","")))=(LEN(SUBSTITUTE(SUBSTITUTE(SUBSTITUTE(E125," ",""),"0",""),"-",""))+LEN(SUBSTITUTE(SUBSTITUTE(SUBSTITUTE(F125," ",""),"0",""),"-",""))))),0,(LEN(SUBSTITUTE(SUBSTITUTE(SUBSTITUTE(E125," ",""),"0",""),"-",""))+LEN(SUBSTITUTE(SUBSTITUTE(SUBSTITUTE(F125," ",""),"0",""),"-",""))&lt;LEN(SUBSTITUTE(SUBSTITUTE(SUBSTITUTE(B125," ",""),"0",""),"-",""))+LEN(SUBSTITUTE(SUBSTITUTE(SUBSTITUTE(C125," ",""),"0",""),"-","")))*1),0)</f>
      </c>
      <c r="D129" s="14" t="str">
        <f>IF(OR(COUNTA(B123,C123,E123,F123)&gt;0,OR(D123="X",D123="x")),IF(OR(D123="X",D123="x",AND(OR(COUNTA(B123,C123,E123,F123)&gt;0,OR(D123="X",D123="x")),(LEN(SUBSTITUTE(SUBSTITUTE(SUBSTITUTE(B123," ",""),"0",""),"-",""))+LEN(SUBSTITUTE(SUBSTITUTE(SUBSTITUTE(C123," ",""),"0",""),"-","")))=(LEN(SUBSTITUTE(SUBSTITUTE(SUBSTITUTE(E123," ",""),"0",""),"-",""))+LEN(SUBSTITUTE(SUBSTITUTE(SUBSTITUTE(F123," ",""),"0",""),"-",""))))),1,0),0)+IF(OR(COUNTA(B125,C125,E125,F125)&gt;0,OR(D125="X",D125="x")),IF(OR(D125="X",D125="x",AND(OR(COUNTA(B125,C125,E125,F125)&gt;0,OR(D125="X",D125="x")),(LEN(SUBSTITUTE(SUBSTITUTE(SUBSTITUTE(B125," ",""),"0",""),"-",""))+LEN(SUBSTITUTE(SUBSTITUTE(SUBSTITUTE(C125," ",""),"0",""),"-","")))=(LEN(SUBSTITUTE(SUBSTITUTE(SUBSTITUTE(E125," ",""),"0",""),"-",""))+LEN(SUBSTITUTE(SUBSTITUTE(SUBSTITUTE(F125," ",""),"0",""),"-",""))))),1,0),0)</f>
      </c>
      <c r="E129" s="14" t="str">
        <f>LEN(SUBSTITUTE(SUBSTITUTE(SUBSTITUTE(B123," ",""),"0",""),"-",""))+LEN(SUBSTITUTE(SUBSTITUTE(SUBSTITUTE(C123," ",""),"0",""),"-",""))+LEN(SUBSTITUTE(SUBSTITUTE(SUBSTITUTE(E125," ",""),"0",""),"-",""))+LEN(SUBSTITUTE(SUBSTITUTE(SUBSTITUTE(F125," ",""),"0",""),"-",""))</f>
      </c>
      <c r="F129" s="14" t="str">
        <f>LEN(SUBSTITUTE(SUBSTITUTE(SUBSTITUTE(E123," ",""),"0",""),"-",""))+LEN(SUBSTITUTE(SUBSTITUTE(SUBSTITUTE(F123," ",""),"0",""),"-",""))+LEN(SUBSTITUTE(SUBSTITUTE(SUBSTITUTE(B125," ",""),"0",""),"-",""))+LEN(SUBSTITUTE(SUBSTITUTE(SUBSTITUTE(C125," ",""),"0",""),"-",""))</f>
      </c>
      <c r="G129" s="18" t="str">
        <f>RANK(U129,$U$128:$U$130)+COUNTIF($U$127:U128,U129)</f>
      </c>
      <c r="I129" s="14" t="str">
        <f>data!$E$72&amp;" "&amp;data!$B$72</f>
      </c>
      <c r="J129" s="14" t="str">
        <f>IF(OR(COUNTA(J123,K123,M123,N123)&gt;0,OR(L123="X",L123="x")),IF(OR(L123="X",L123="x",AND(OR(COUNTA(J123,K123,M123,N123)&gt;0,OR(L123="X",L123="x")),(LEN(SUBSTITUTE(SUBSTITUTE(SUBSTITUTE(J123," ",""),"0",""),"-",""))+LEN(SUBSTITUTE(SUBSTITUTE(SUBSTITUTE(K123," ",""),"0",""),"-","")))=(LEN(SUBSTITUTE(SUBSTITUTE(SUBSTITUTE(M123," ",""),"0",""),"-",""))+LEN(SUBSTITUTE(SUBSTITUTE(SUBSTITUTE(N123," ",""),"0",""),"-",""))))),0,(LEN(SUBSTITUTE(SUBSTITUTE(SUBSTITUTE(J123," ",""),"0",""),"-",""))+LEN(SUBSTITUTE(SUBSTITUTE(SUBSTITUTE(K123," ",""),"0",""),"-",""))&gt;LEN(SUBSTITUTE(SUBSTITUTE(SUBSTITUTE(M123," ",""),"0",""),"-",""))+LEN(SUBSTITUTE(SUBSTITUTE(SUBSTITUTE(N123," ",""),"0",""),"-","")))*1),0)+IF(OR(COUNTA(J125,K125,M125,N125)&gt;0,OR(L125="X",L125="x")),IF(OR(L125="X",L125="x",AND(OR(COUNTA(J125,K125,M125,N125)&gt;0,OR(L125="X",L125="x")),(LEN(SUBSTITUTE(SUBSTITUTE(SUBSTITUTE(J125," ",""),"0",""),"-",""))+LEN(SUBSTITUTE(SUBSTITUTE(SUBSTITUTE(K125," ",""),"0",""),"-","")))=(LEN(SUBSTITUTE(SUBSTITUTE(SUBSTITUTE(M125," ",""),"0",""),"-",""))+LEN(SUBSTITUTE(SUBSTITUTE(SUBSTITUTE(N125," ",""),"0",""),"-",""))))),0,(LEN(SUBSTITUTE(SUBSTITUTE(SUBSTITUTE(M125," ",""),"0",""),"-",""))+LEN(SUBSTITUTE(SUBSTITUTE(SUBSTITUTE(N125," ",""),"0",""),"-",""))&gt;LEN(SUBSTITUTE(SUBSTITUTE(SUBSTITUTE(J125," ",""),"0",""),"-",""))+LEN(SUBSTITUTE(SUBSTITUTE(SUBSTITUTE(K125," ",""),"0",""),"-","")))*1),0)</f>
      </c>
      <c r="K129" s="14" t="str">
        <f>IF(OR(COUNTA(J123,K123,M123,N123)&gt;0,OR(L123="X",L123="x")),IF(OR(L123="X",L123="x",AND(OR(COUNTA(J123,K123,M123,N123)&gt;0,OR(L123="X",L123="x")),(LEN(SUBSTITUTE(SUBSTITUTE(SUBSTITUTE(J123," ",""),"0",""),"-",""))+LEN(SUBSTITUTE(SUBSTITUTE(SUBSTITUTE(K123," ",""),"0",""),"-","")))=(LEN(SUBSTITUTE(SUBSTITUTE(SUBSTITUTE(M123," ",""),"0",""),"-",""))+LEN(SUBSTITUTE(SUBSTITUTE(SUBSTITUTE(N123," ",""),"0",""),"-",""))))),0,(LEN(SUBSTITUTE(SUBSTITUTE(SUBSTITUTE(J123," ",""),"0",""),"-",""))+LEN(SUBSTITUTE(SUBSTITUTE(SUBSTITUTE(K123," ",""),"0",""),"-",""))&lt;LEN(SUBSTITUTE(SUBSTITUTE(SUBSTITUTE(M123," ",""),"0",""),"-",""))+LEN(SUBSTITUTE(SUBSTITUTE(SUBSTITUTE(N123," ",""),"0",""),"-","")))*1),0)+IF(OR(COUNTA(J125,K125,M125,N125)&gt;0,OR(L125="X",L125="x")),IF(OR(L125="X",L125="x",AND(OR(COUNTA(J125,K125,M125,N125)&gt;0,OR(L125="X",L125="x")),(LEN(SUBSTITUTE(SUBSTITUTE(SUBSTITUTE(J125," ",""),"0",""),"-",""))+LEN(SUBSTITUTE(SUBSTITUTE(SUBSTITUTE(K125," ",""),"0",""),"-","")))=(LEN(SUBSTITUTE(SUBSTITUTE(SUBSTITUTE(M125," ",""),"0",""),"-",""))+LEN(SUBSTITUTE(SUBSTITUTE(SUBSTITUTE(N125," ",""),"0",""),"-",""))))),0,(LEN(SUBSTITUTE(SUBSTITUTE(SUBSTITUTE(M125," ",""),"0",""),"-",""))+LEN(SUBSTITUTE(SUBSTITUTE(SUBSTITUTE(N125," ",""),"0",""),"-",""))&lt;LEN(SUBSTITUTE(SUBSTITUTE(SUBSTITUTE(J125," ",""),"0",""),"-",""))+LEN(SUBSTITUTE(SUBSTITUTE(SUBSTITUTE(K125," ",""),"0",""),"-","")))*1),0)</f>
      </c>
      <c r="L129" s="14" t="str">
        <f>IF(OR(COUNTA(J123,K123,M123,N123)&gt;0,OR(L123="X",L123="x")),IF(OR(L123="X",L123="x",AND(OR(COUNTA(J123,K123,M123,N123)&gt;0,OR(L123="X",L123="x")),(LEN(SUBSTITUTE(SUBSTITUTE(SUBSTITUTE(J123," ",""),"0",""),"-",""))+LEN(SUBSTITUTE(SUBSTITUTE(SUBSTITUTE(K123," ",""),"0",""),"-","")))=(LEN(SUBSTITUTE(SUBSTITUTE(SUBSTITUTE(M123," ",""),"0",""),"-",""))+LEN(SUBSTITUTE(SUBSTITUTE(SUBSTITUTE(N123," ",""),"0",""),"-",""))))),1,0),0)+IF(OR(COUNTA(J125,K125,M125,N125)&gt;0,OR(L125="X",L125="x")),IF(OR(L125="X",L125="x",AND(OR(COUNTA(J125,K125,M125,N125)&gt;0,OR(L125="X",L125="x")),(LEN(SUBSTITUTE(SUBSTITUTE(SUBSTITUTE(J125," ",""),"0",""),"-",""))+LEN(SUBSTITUTE(SUBSTITUTE(SUBSTITUTE(K125," ",""),"0",""),"-","")))=(LEN(SUBSTITUTE(SUBSTITUTE(SUBSTITUTE(M125," ",""),"0",""),"-",""))+LEN(SUBSTITUTE(SUBSTITUTE(SUBSTITUTE(N125," ",""),"0",""),"-",""))))),1,0),0)</f>
      </c>
      <c r="M129" s="14" t="str">
        <f>LEN(SUBSTITUTE(SUBSTITUTE(SUBSTITUTE(J123," ",""),"0",""),"-",""))+LEN(SUBSTITUTE(SUBSTITUTE(SUBSTITUTE(K123," ",""),"0",""),"-",""))+LEN(SUBSTITUTE(SUBSTITUTE(SUBSTITUTE(M125," ",""),"0",""),"-",""))+LEN(SUBSTITUTE(SUBSTITUTE(SUBSTITUTE(N125," ",""),"0",""),"-",""))</f>
      </c>
      <c r="N129" s="14" t="str">
        <f>LEN(SUBSTITUTE(SUBSTITUTE(SUBSTITUTE(M123," ",""),"0",""),"-",""))+LEN(SUBSTITUTE(SUBSTITUTE(SUBSTITUTE(N123," ",""),"0",""),"-",""))+LEN(SUBSTITUTE(SUBSTITUTE(SUBSTITUTE(J125," ",""),"0",""),"-",""))+LEN(SUBSTITUTE(SUBSTITUTE(SUBSTITUTE(K125," ",""),"0",""),"-",""))</f>
      </c>
      <c r="O129" s="18" t="str">
        <f>RANK(AC129,$AC$128:$AC$130)+COUNTIF($AC$127:AC128,AC129)</f>
      </c>
      <c r="U129" t="str">
        <f>(B129*1000000)-(C129*10000)+(D129*100)+(E129*1)-(F129*0.01)</f>
      </c>
      <c r="AC129" t="str">
        <f>(J129*1000000)-(K129*10000)+(L129*100)+(M129*1)-(N129*0.01)</f>
      </c>
    </row>
    <row r="130">
      <c r="A130" s="14" t="str">
        <f>data!$E$26&amp;" "&amp;data!$B$26</f>
      </c>
      <c r="B130" s="14" t="str">
        <f>IF(OR(COUNTA(B124,C124,E124,F124)&gt;0,OR(D124="X",D124="x")),IF(OR(D124="X",D124="x",AND(OR(COUNTA(B124,C124,E124,F124)&gt;0,OR(D124="X",D124="x")),(LEN(SUBSTITUTE(SUBSTITUTE(SUBSTITUTE(B124," ",""),"0",""),"-",""))+LEN(SUBSTITUTE(SUBSTITUTE(SUBSTITUTE(C124," ",""),"0",""),"-","")))=(LEN(SUBSTITUTE(SUBSTITUTE(SUBSTITUTE(E124," ",""),"0",""),"-",""))+LEN(SUBSTITUTE(SUBSTITUTE(SUBSTITUTE(F124," ",""),"0",""),"-",""))))),0,(LEN(SUBSTITUTE(SUBSTITUTE(SUBSTITUTE(B124," ",""),"0",""),"-",""))+LEN(SUBSTITUTE(SUBSTITUTE(SUBSTITUTE(C124," ",""),"0",""),"-",""))&gt;LEN(SUBSTITUTE(SUBSTITUTE(SUBSTITUTE(E124," ",""),"0",""),"-",""))+LEN(SUBSTITUTE(SUBSTITUTE(SUBSTITUTE(F124," ",""),"0",""),"-","")))*1),0)+IF(OR(COUNTA(B125,C125,E125,F125)&gt;0,OR(D125="X",D125="x")),IF(OR(D125="X",D125="x",AND(OR(COUNTA(B125,C125,E125,F125)&gt;0,OR(D125="X",D125="x")),(LEN(SUBSTITUTE(SUBSTITUTE(SUBSTITUTE(B125," ",""),"0",""),"-",""))+LEN(SUBSTITUTE(SUBSTITUTE(SUBSTITUTE(C125," ",""),"0",""),"-","")))=(LEN(SUBSTITUTE(SUBSTITUTE(SUBSTITUTE(E125," ",""),"0",""),"-",""))+LEN(SUBSTITUTE(SUBSTITUTE(SUBSTITUTE(F125," ",""),"0",""),"-",""))))),0,(LEN(SUBSTITUTE(SUBSTITUTE(SUBSTITUTE(B125," ",""),"0",""),"-",""))+LEN(SUBSTITUTE(SUBSTITUTE(SUBSTITUTE(C125," ",""),"0",""),"-",""))&gt;LEN(SUBSTITUTE(SUBSTITUTE(SUBSTITUTE(E125," ",""),"0",""),"-",""))+LEN(SUBSTITUTE(SUBSTITUTE(SUBSTITUTE(F125," ",""),"0",""),"-","")))*1),0)</f>
      </c>
      <c r="C130" s="14" t="str">
        <f>IF(OR(COUNTA(B124,C124,E124,F124)&gt;0,OR(D124="X",D124="x")),IF(OR(D124="X",D124="x",AND(OR(COUNTA(B124,C124,E124,F124)&gt;0,OR(D124="X",D124="x")),(LEN(SUBSTITUTE(SUBSTITUTE(SUBSTITUTE(B124," ",""),"0",""),"-",""))+LEN(SUBSTITUTE(SUBSTITUTE(SUBSTITUTE(C124," ",""),"0",""),"-","")))=(LEN(SUBSTITUTE(SUBSTITUTE(SUBSTITUTE(E124," ",""),"0",""),"-",""))+LEN(SUBSTITUTE(SUBSTITUTE(SUBSTITUTE(F124," ",""),"0",""),"-",""))))),0,(LEN(SUBSTITUTE(SUBSTITUTE(SUBSTITUTE(B124," ",""),"0",""),"-",""))+LEN(SUBSTITUTE(SUBSTITUTE(SUBSTITUTE(C124," ",""),"0",""),"-",""))&lt;LEN(SUBSTITUTE(SUBSTITUTE(SUBSTITUTE(E124," ",""),"0",""),"-",""))+LEN(SUBSTITUTE(SUBSTITUTE(SUBSTITUTE(F124," ",""),"0",""),"-","")))*1),0)+IF(OR(COUNTA(B125,C125,E125,F125)&gt;0,OR(D125="X",D125="x")),IF(OR(D125="X",D125="x",AND(OR(COUNTA(B125,C125,E125,F125)&gt;0,OR(D125="X",D125="x")),(LEN(SUBSTITUTE(SUBSTITUTE(SUBSTITUTE(B125," ",""),"0",""),"-",""))+LEN(SUBSTITUTE(SUBSTITUTE(SUBSTITUTE(C125," ",""),"0",""),"-","")))=(LEN(SUBSTITUTE(SUBSTITUTE(SUBSTITUTE(E125," ",""),"0",""),"-",""))+LEN(SUBSTITUTE(SUBSTITUTE(SUBSTITUTE(F125," ",""),"0",""),"-",""))))),0,(LEN(SUBSTITUTE(SUBSTITUTE(SUBSTITUTE(B125," ",""),"0",""),"-",""))+LEN(SUBSTITUTE(SUBSTITUTE(SUBSTITUTE(C125," ",""),"0",""),"-",""))&lt;LEN(SUBSTITUTE(SUBSTITUTE(SUBSTITUTE(E125," ",""),"0",""),"-",""))+LEN(SUBSTITUTE(SUBSTITUTE(SUBSTITUTE(F125," ",""),"0",""),"-","")))*1),0)</f>
      </c>
      <c r="D130" s="14" t="str">
        <f>IF(OR(COUNTA(B124,C124,E124,F124)&gt;0,OR(D124="X",D124="x")),IF(OR(D124="X",D124="x",AND(OR(COUNTA(B124,C124,E124,F124)&gt;0,OR(D124="X",D124="x")),(LEN(SUBSTITUTE(SUBSTITUTE(SUBSTITUTE(B124," ",""),"0",""),"-",""))+LEN(SUBSTITUTE(SUBSTITUTE(SUBSTITUTE(C124," ",""),"0",""),"-","")))=(LEN(SUBSTITUTE(SUBSTITUTE(SUBSTITUTE(E124," ",""),"0",""),"-",""))+LEN(SUBSTITUTE(SUBSTITUTE(SUBSTITUTE(F124," ",""),"0",""),"-",""))))),1,0),0)+IF(OR(COUNTA(B125,C125,E125,F125)&gt;0,OR(D125="X",D125="x")),IF(OR(D125="X",D125="x",AND(OR(COUNTA(B125,C125,E125,F125)&gt;0,OR(D125="X",D125="x")),(LEN(SUBSTITUTE(SUBSTITUTE(SUBSTITUTE(B125," ",""),"0",""),"-",""))+LEN(SUBSTITUTE(SUBSTITUTE(SUBSTITUTE(C125," ",""),"0",""),"-","")))=(LEN(SUBSTITUTE(SUBSTITUTE(SUBSTITUTE(E125," ",""),"0",""),"-",""))+LEN(SUBSTITUTE(SUBSTITUTE(SUBSTITUTE(F125," ",""),"0",""),"-",""))))),1,0),0)</f>
      </c>
      <c r="E130" s="14" t="str">
        <f>LEN(SUBSTITUTE(SUBSTITUTE(SUBSTITUTE(B124," ",""),"0",""),"-",""))+LEN(SUBSTITUTE(SUBSTITUTE(SUBSTITUTE(C124," ",""),"0",""),"-",""))+LEN(SUBSTITUTE(SUBSTITUTE(SUBSTITUTE(B125," ",""),"0",""),"-",""))+LEN(SUBSTITUTE(SUBSTITUTE(SUBSTITUTE(C125," ",""),"0",""),"-",""))</f>
      </c>
      <c r="F130" s="14" t="str">
        <f>LEN(SUBSTITUTE(SUBSTITUTE(SUBSTITUTE(E124," ",""),"0",""),"-",""))+LEN(SUBSTITUTE(SUBSTITUTE(SUBSTITUTE(F124," ",""),"0",""),"-",""))+LEN(SUBSTITUTE(SUBSTITUTE(SUBSTITUTE(E125," ",""),"0",""),"-",""))+LEN(SUBSTITUTE(SUBSTITUTE(SUBSTITUTE(F125," ",""),"0",""),"-",""))</f>
      </c>
      <c r="G130" s="18" t="str">
        <f>RANK(U130,$U$128:$U$130)+COUNTIF($U$127:U129,U130)</f>
      </c>
      <c r="I130" s="14" t="str">
        <f>data!$E$73&amp;" "&amp;data!$B$73</f>
      </c>
      <c r="J130" s="14" t="str">
        <f>IF(OR(COUNTA(J124,K124,M124,N124)&gt;0,OR(L124="X",L124="x")),IF(OR(L124="X",L124="x",AND(OR(COUNTA(J124,K124,M124,N124)&gt;0,OR(L124="X",L124="x")),(LEN(SUBSTITUTE(SUBSTITUTE(SUBSTITUTE(J124," ",""),"0",""),"-",""))+LEN(SUBSTITUTE(SUBSTITUTE(SUBSTITUTE(K124," ",""),"0",""),"-","")))=(LEN(SUBSTITUTE(SUBSTITUTE(SUBSTITUTE(M124," ",""),"0",""),"-",""))+LEN(SUBSTITUTE(SUBSTITUTE(SUBSTITUTE(N124," ",""),"0",""),"-",""))))),0,(LEN(SUBSTITUTE(SUBSTITUTE(SUBSTITUTE(J124," ",""),"0",""),"-",""))+LEN(SUBSTITUTE(SUBSTITUTE(SUBSTITUTE(K124," ",""),"0",""),"-",""))&gt;LEN(SUBSTITUTE(SUBSTITUTE(SUBSTITUTE(M124," ",""),"0",""),"-",""))+LEN(SUBSTITUTE(SUBSTITUTE(SUBSTITUTE(N124," ",""),"0",""),"-","")))*1),0)+IF(OR(COUNTA(J125,K125,M125,N125)&gt;0,OR(L125="X",L125="x")),IF(OR(L125="X",L125="x",AND(OR(COUNTA(J125,K125,M125,N125)&gt;0,OR(L125="X",L125="x")),(LEN(SUBSTITUTE(SUBSTITUTE(SUBSTITUTE(J125," ",""),"0",""),"-",""))+LEN(SUBSTITUTE(SUBSTITUTE(SUBSTITUTE(K125," ",""),"0",""),"-","")))=(LEN(SUBSTITUTE(SUBSTITUTE(SUBSTITUTE(M125," ",""),"0",""),"-",""))+LEN(SUBSTITUTE(SUBSTITUTE(SUBSTITUTE(N125," ",""),"0",""),"-",""))))),0,(LEN(SUBSTITUTE(SUBSTITUTE(SUBSTITUTE(J125," ",""),"0",""),"-",""))+LEN(SUBSTITUTE(SUBSTITUTE(SUBSTITUTE(K125," ",""),"0",""),"-",""))&gt;LEN(SUBSTITUTE(SUBSTITUTE(SUBSTITUTE(M125," ",""),"0",""),"-",""))+LEN(SUBSTITUTE(SUBSTITUTE(SUBSTITUTE(N125," ",""),"0",""),"-","")))*1),0)</f>
      </c>
      <c r="K130" s="14" t="str">
        <f>IF(OR(COUNTA(J124,K124,M124,N124)&gt;0,OR(L124="X",L124="x")),IF(OR(L124="X",L124="x",AND(OR(COUNTA(J124,K124,M124,N124)&gt;0,OR(L124="X",L124="x")),(LEN(SUBSTITUTE(SUBSTITUTE(SUBSTITUTE(J124," ",""),"0",""),"-",""))+LEN(SUBSTITUTE(SUBSTITUTE(SUBSTITUTE(K124," ",""),"0",""),"-","")))=(LEN(SUBSTITUTE(SUBSTITUTE(SUBSTITUTE(M124," ",""),"0",""),"-",""))+LEN(SUBSTITUTE(SUBSTITUTE(SUBSTITUTE(N124," ",""),"0",""),"-",""))))),0,(LEN(SUBSTITUTE(SUBSTITUTE(SUBSTITUTE(J124," ",""),"0",""),"-",""))+LEN(SUBSTITUTE(SUBSTITUTE(SUBSTITUTE(K124," ",""),"0",""),"-",""))&lt;LEN(SUBSTITUTE(SUBSTITUTE(SUBSTITUTE(M124," ",""),"0",""),"-",""))+LEN(SUBSTITUTE(SUBSTITUTE(SUBSTITUTE(N124," ",""),"0",""),"-","")))*1),0)+IF(OR(COUNTA(J125,K125,M125,N125)&gt;0,OR(L125="X",L125="x")),IF(OR(L125="X",L125="x",AND(OR(COUNTA(J125,K125,M125,N125)&gt;0,OR(L125="X",L125="x")),(LEN(SUBSTITUTE(SUBSTITUTE(SUBSTITUTE(J125," ",""),"0",""),"-",""))+LEN(SUBSTITUTE(SUBSTITUTE(SUBSTITUTE(K125," ",""),"0",""),"-","")))=(LEN(SUBSTITUTE(SUBSTITUTE(SUBSTITUTE(M125," ",""),"0",""),"-",""))+LEN(SUBSTITUTE(SUBSTITUTE(SUBSTITUTE(N125," ",""),"0",""),"-",""))))),0,(LEN(SUBSTITUTE(SUBSTITUTE(SUBSTITUTE(J125," ",""),"0",""),"-",""))+LEN(SUBSTITUTE(SUBSTITUTE(SUBSTITUTE(K125," ",""),"0",""),"-",""))&lt;LEN(SUBSTITUTE(SUBSTITUTE(SUBSTITUTE(M125," ",""),"0",""),"-",""))+LEN(SUBSTITUTE(SUBSTITUTE(SUBSTITUTE(N125," ",""),"0",""),"-","")))*1),0)</f>
      </c>
      <c r="L130" s="14" t="str">
        <f>IF(OR(COUNTA(J124,K124,M124,N124)&gt;0,OR(L124="X",L124="x")),IF(OR(L124="X",L124="x",AND(OR(COUNTA(J124,K124,M124,N124)&gt;0,OR(L124="X",L124="x")),(LEN(SUBSTITUTE(SUBSTITUTE(SUBSTITUTE(J124," ",""),"0",""),"-",""))+LEN(SUBSTITUTE(SUBSTITUTE(SUBSTITUTE(K124," ",""),"0",""),"-","")))=(LEN(SUBSTITUTE(SUBSTITUTE(SUBSTITUTE(M124," ",""),"0",""),"-",""))+LEN(SUBSTITUTE(SUBSTITUTE(SUBSTITUTE(N124," ",""),"0",""),"-",""))))),1,0),0)+IF(OR(COUNTA(J125,K125,M125,N125)&gt;0,OR(L125="X",L125="x")),IF(OR(L125="X",L125="x",AND(OR(COUNTA(J125,K125,M125,N125)&gt;0,OR(L125="X",L125="x")),(LEN(SUBSTITUTE(SUBSTITUTE(SUBSTITUTE(J125," ",""),"0",""),"-",""))+LEN(SUBSTITUTE(SUBSTITUTE(SUBSTITUTE(K125," ",""),"0",""),"-","")))=(LEN(SUBSTITUTE(SUBSTITUTE(SUBSTITUTE(M125," ",""),"0",""),"-",""))+LEN(SUBSTITUTE(SUBSTITUTE(SUBSTITUTE(N125," ",""),"0",""),"-",""))))),1,0),0)</f>
      </c>
      <c r="M130" s="14" t="str">
        <f>LEN(SUBSTITUTE(SUBSTITUTE(SUBSTITUTE(J124," ",""),"0",""),"-",""))+LEN(SUBSTITUTE(SUBSTITUTE(SUBSTITUTE(K124," ",""),"0",""),"-",""))+LEN(SUBSTITUTE(SUBSTITUTE(SUBSTITUTE(J125," ",""),"0",""),"-",""))+LEN(SUBSTITUTE(SUBSTITUTE(SUBSTITUTE(K125," ",""),"0",""),"-",""))</f>
      </c>
      <c r="N130" s="14" t="str">
        <f>LEN(SUBSTITUTE(SUBSTITUTE(SUBSTITUTE(M124," ",""),"0",""),"-",""))+LEN(SUBSTITUTE(SUBSTITUTE(SUBSTITUTE(N124," ",""),"0",""),"-",""))+LEN(SUBSTITUTE(SUBSTITUTE(SUBSTITUTE(M125," ",""),"0",""),"-",""))+LEN(SUBSTITUTE(SUBSTITUTE(SUBSTITUTE(N125," ",""),"0",""),"-",""))</f>
      </c>
      <c r="O130" s="18" t="str">
        <f>RANK(AC130,$AC$128:$AC$130)+COUNTIF($AC$127:AC129,AC130)</f>
      </c>
      <c r="U130" t="str">
        <f>(B130*1000000)-(C130*10000)+(D130*100)+(E130*1)-(F130*0.01)</f>
      </c>
      <c r="AC130" t="str">
        <f>(J130*1000000)-(K130*10000)+(L130*100)+(M130*1)-(N130*0.01)</f>
      </c>
    </row>
    <row r="133">
      <c r="F133" s="13"/>
      <c r="G133" s="13" t="s">
        <v>341</v>
      </c>
      <c r="N133" s="13"/>
      <c r="O133" s="13" t="s">
        <v>341</v>
      </c>
    </row>
    <row r="134">
      <c r="F134" t="s">
        <v>342</v>
      </c>
      <c r="G134" s="19" t="str">
        <f>IFERROR(INDEX($A$128:$A$130, MATCH(1, $G$128:$G$130, 0)), "-")</f>
      </c>
      <c r="N134" t="s">
        <v>342</v>
      </c>
      <c r="O134" s="19" t="str">
        <f>IFERROR(INDEX($I$128:$I$130, MATCH(1, $O$128:$O$130, 0)), "-")</f>
      </c>
    </row>
    <row r="135">
      <c r="F135" t="s">
        <v>343</v>
      </c>
      <c r="G135" s="19" t="str">
        <f>IFERROR(INDEX($A$128:$A$130, MATCH(2, $G$128:$G$130, 0)), "-")</f>
      </c>
      <c r="N135" t="s">
        <v>343</v>
      </c>
      <c r="O135" s="19" t="str">
        <f>IFERROR(INDEX($I$128:$I$130, MATCH(2, $O$128:$O$130, 0)), "-")</f>
      </c>
    </row>
    <row r="136">
      <c r="F136" t="s">
        <v>344</v>
      </c>
      <c r="G136" s="19" t="str">
        <f>IFERROR(INDEX($A$128:$A$130, MATCH(3, $G$128:$G$130, 0)), "-")</f>
      </c>
      <c r="N136" t="s">
        <v>344</v>
      </c>
      <c r="O136" s="19" t="str">
        <f>IFERROR(INDEX($I$128:$I$130, MATCH(3, $O$128:$O$130, 0)), "-")</f>
      </c>
    </row>
    <row r="138">
      <c r="A138" s="13" t="str">
        <f>'data'!$A$29</f>
      </c>
      <c r="B138" s="13"/>
      <c r="C138" s="13"/>
      <c r="D138" s="13"/>
      <c r="E138" s="13"/>
      <c r="F138" s="13"/>
      <c r="G138" s="13"/>
      <c r="I138" s="13" t="str">
        <f>'data'!$A$76</f>
      </c>
      <c r="J138" s="13"/>
      <c r="K138" s="13"/>
      <c r="L138" s="13"/>
      <c r="M138" s="13"/>
      <c r="N138" s="13"/>
      <c r="O138" s="13"/>
    </row>
    <row r="139">
      <c r="A139" s="17" t="s">
        <v>331</v>
      </c>
      <c r="D139" s="14" t="s">
        <v>332</v>
      </c>
      <c r="G139" s="16" t="s">
        <v>333</v>
      </c>
      <c r="I139" s="17" t="s">
        <v>331</v>
      </c>
      <c r="L139" s="14" t="s">
        <v>332</v>
      </c>
      <c r="O139" s="16" t="s">
        <v>333</v>
      </c>
    </row>
    <row r="140">
      <c r="A140" s="14" t="str">
        <f>data!$E$28&amp;" "&amp;data!$B$28</f>
      </c>
      <c r="B140" s="18"/>
      <c r="C140" s="18"/>
      <c r="D140" s="18"/>
      <c r="E140" s="18"/>
      <c r="F140" s="18"/>
      <c r="G140" s="14" t="str">
        <f>data!$E$27&amp;" "&amp;data!$B$27</f>
      </c>
      <c r="I140" s="14" t="str">
        <f>data!$E$75&amp;" "&amp;data!$B$75</f>
      </c>
      <c r="J140" s="18"/>
      <c r="K140" s="18"/>
      <c r="L140" s="18"/>
      <c r="M140" s="18"/>
      <c r="N140" s="18"/>
      <c r="O140" s="14" t="str">
        <f>data!$E$74&amp;" "&amp;data!$B$74</f>
      </c>
    </row>
    <row r="141">
      <c r="A141" s="14" t="str">
        <f>data!$E$29&amp;" "&amp;data!$B$29</f>
      </c>
      <c r="B141" s="18"/>
      <c r="C141" s="18"/>
      <c r="D141" s="18"/>
      <c r="E141" s="18"/>
      <c r="F141" s="18"/>
      <c r="G141" s="14" t="str">
        <f>data!$E$27&amp;" "&amp;data!$B$27</f>
      </c>
      <c r="I141" s="14" t="str">
        <f>data!$E$76&amp;" "&amp;data!$B$76</f>
      </c>
      <c r="J141" s="18"/>
      <c r="K141" s="18"/>
      <c r="L141" s="18"/>
      <c r="M141" s="18"/>
      <c r="N141" s="18"/>
      <c r="O141" s="14" t="str">
        <f>data!$E$74&amp;" "&amp;data!$B$74</f>
      </c>
    </row>
    <row r="142">
      <c r="A142" s="14" t="str">
        <f>data!$E$29&amp;" "&amp;data!$B$29</f>
      </c>
      <c r="B142" s="18"/>
      <c r="C142" s="18"/>
      <c r="D142" s="18"/>
      <c r="E142" s="18"/>
      <c r="F142" s="18"/>
      <c r="G142" s="14" t="str">
        <f>data!$E$28&amp;" "&amp;data!$B$28</f>
      </c>
      <c r="I142" s="14" t="str">
        <f>data!$E$76&amp;" "&amp;data!$B$76</f>
      </c>
      <c r="J142" s="18"/>
      <c r="K142" s="18"/>
      <c r="L142" s="18"/>
      <c r="M142" s="18"/>
      <c r="N142" s="18"/>
      <c r="O142" s="14" t="str">
        <f>data!$E$75&amp;" "&amp;data!$B$75</f>
      </c>
    </row>
    <row r="144">
      <c r="A144" s="13" t="s">
        <v>334</v>
      </c>
      <c r="B144" s="13" t="s">
        <v>335</v>
      </c>
      <c r="C144" s="13" t="s">
        <v>336</v>
      </c>
      <c r="D144" s="13" t="s">
        <v>337</v>
      </c>
      <c r="E144" s="13" t="s">
        <v>338</v>
      </c>
      <c r="F144" s="13" t="s">
        <v>339</v>
      </c>
      <c r="G144" s="13" t="s">
        <v>340</v>
      </c>
      <c r="I144" s="13" t="s">
        <v>334</v>
      </c>
      <c r="J144" s="13" t="s">
        <v>335</v>
      </c>
      <c r="K144" s="13" t="s">
        <v>336</v>
      </c>
      <c r="L144" s="13" t="s">
        <v>337</v>
      </c>
      <c r="M144" s="13" t="s">
        <v>338</v>
      </c>
      <c r="N144" s="13" t="s">
        <v>339</v>
      </c>
      <c r="O144" s="13" t="s">
        <v>340</v>
      </c>
    </row>
    <row r="145">
      <c r="A145" s="14" t="str">
        <f>data!$E$27&amp;" "&amp;data!$B$27</f>
      </c>
      <c r="B145" s="14" t="str">
        <f>IF(OR(COUNTA(B140,C140,E140,F140)&gt;0,OR(D140="X",D140="x")),IF(OR(D140="X",D140="x",AND(OR(COUNTA(B140,C140,E140,F140)&gt;0,OR(D140="X",D140="x")),(LEN(SUBSTITUTE(SUBSTITUTE(SUBSTITUTE(B140," ",""),"0",""),"-",""))+LEN(SUBSTITUTE(SUBSTITUTE(SUBSTITUTE(C140," ",""),"0",""),"-","")))=(LEN(SUBSTITUTE(SUBSTITUTE(SUBSTITUTE(E140," ",""),"0",""),"-",""))+LEN(SUBSTITUTE(SUBSTITUTE(SUBSTITUTE(F140," ",""),"0",""),"-",""))))),0,(LEN(SUBSTITUTE(SUBSTITUTE(SUBSTITUTE(E140," ",""),"0",""),"-",""))+LEN(SUBSTITUTE(SUBSTITUTE(SUBSTITUTE(F140," ",""),"0",""),"-",""))&gt;LEN(SUBSTITUTE(SUBSTITUTE(SUBSTITUTE(B140," ",""),"0",""),"-",""))+LEN(SUBSTITUTE(SUBSTITUTE(SUBSTITUTE(C140," ",""),"0",""),"-","")))*1),0)+IF(OR(COUNTA(B141,C141,E141,F141)&gt;0,OR(D141="X",D141="x")),IF(OR(D141="X",D141="x",AND(OR(COUNTA(B141,C141,E141,F141)&gt;0,OR(D141="X",D141="x")),(LEN(SUBSTITUTE(SUBSTITUTE(SUBSTITUTE(B141," ",""),"0",""),"-",""))+LEN(SUBSTITUTE(SUBSTITUTE(SUBSTITUTE(C141," ",""),"0",""),"-","")))=(LEN(SUBSTITUTE(SUBSTITUTE(SUBSTITUTE(E141," ",""),"0",""),"-",""))+LEN(SUBSTITUTE(SUBSTITUTE(SUBSTITUTE(F141," ",""),"0",""),"-",""))))),0,(LEN(SUBSTITUTE(SUBSTITUTE(SUBSTITUTE(E141," ",""),"0",""),"-",""))+LEN(SUBSTITUTE(SUBSTITUTE(SUBSTITUTE(F141," ",""),"0",""),"-",""))&gt;LEN(SUBSTITUTE(SUBSTITUTE(SUBSTITUTE(B141," ",""),"0",""),"-",""))+LEN(SUBSTITUTE(SUBSTITUTE(SUBSTITUTE(C141," ",""),"0",""),"-","")))*1),0)</f>
      </c>
      <c r="C145" s="14" t="str">
        <f>IF(OR(COUNTA(B140,C140,E140,F140)&gt;0,OR(D140="X",D140="x")),IF(OR(D140="X",D140="x",AND(OR(COUNTA(B140,C140,E140,F140)&gt;0,OR(D140="X",D140="x")),(LEN(SUBSTITUTE(SUBSTITUTE(SUBSTITUTE(B140," ",""),"0",""),"-",""))+LEN(SUBSTITUTE(SUBSTITUTE(SUBSTITUTE(C140," ",""),"0",""),"-","")))=(LEN(SUBSTITUTE(SUBSTITUTE(SUBSTITUTE(E140," ",""),"0",""),"-",""))+LEN(SUBSTITUTE(SUBSTITUTE(SUBSTITUTE(F140," ",""),"0",""),"-",""))))),0,(LEN(SUBSTITUTE(SUBSTITUTE(SUBSTITUTE(E140," ",""),"0",""),"-",""))+LEN(SUBSTITUTE(SUBSTITUTE(SUBSTITUTE(F140," ",""),"0",""),"-",""))&lt;LEN(SUBSTITUTE(SUBSTITUTE(SUBSTITUTE(B140," ",""),"0",""),"-",""))+LEN(SUBSTITUTE(SUBSTITUTE(SUBSTITUTE(C140," ",""),"0",""),"-","")))*1),0)+IF(OR(COUNTA(B141,C141,E141,F141)&gt;0,OR(D141="X",D141="x")),IF(OR(D141="X",D141="x",AND(OR(COUNTA(B141,C141,E141,F141)&gt;0,OR(D141="X",D141="x")),(LEN(SUBSTITUTE(SUBSTITUTE(SUBSTITUTE(B141," ",""),"0",""),"-",""))+LEN(SUBSTITUTE(SUBSTITUTE(SUBSTITUTE(C141," ",""),"0",""),"-","")))=(LEN(SUBSTITUTE(SUBSTITUTE(SUBSTITUTE(E141," ",""),"0",""),"-",""))+LEN(SUBSTITUTE(SUBSTITUTE(SUBSTITUTE(F141," ",""),"0",""),"-",""))))),0,(LEN(SUBSTITUTE(SUBSTITUTE(SUBSTITUTE(E141," ",""),"0",""),"-",""))+LEN(SUBSTITUTE(SUBSTITUTE(SUBSTITUTE(F141," ",""),"0",""),"-",""))&lt;LEN(SUBSTITUTE(SUBSTITUTE(SUBSTITUTE(B141," ",""),"0",""),"-",""))+LEN(SUBSTITUTE(SUBSTITUTE(SUBSTITUTE(C141," ",""),"0",""),"-","")))*1),0)</f>
      </c>
      <c r="D145" s="14" t="str">
        <f>IF(OR(COUNTA(B140,C140,E140,F140)&gt;0,OR(D140="X",D140="x")),IF(OR(D140="X",D140="x",AND(OR(COUNTA(B140,C140,E140,F140)&gt;0,OR(D140="X",D140="x")),(LEN(SUBSTITUTE(SUBSTITUTE(SUBSTITUTE(B140," ",""),"0",""),"-",""))+LEN(SUBSTITUTE(SUBSTITUTE(SUBSTITUTE(C140," ",""),"0",""),"-","")))=(LEN(SUBSTITUTE(SUBSTITUTE(SUBSTITUTE(E140," ",""),"0",""),"-",""))+LEN(SUBSTITUTE(SUBSTITUTE(SUBSTITUTE(F140," ",""),"0",""),"-",""))))),1,0),0)+IF(OR(COUNTA(B141,C141,E141,F141)&gt;0,OR(D141="X",D141="x")),IF(OR(D141="X",D141="x",AND(OR(COUNTA(B141,C141,E141,F141)&gt;0,OR(D141="X",D141="x")),(LEN(SUBSTITUTE(SUBSTITUTE(SUBSTITUTE(B141," ",""),"0",""),"-",""))+LEN(SUBSTITUTE(SUBSTITUTE(SUBSTITUTE(C141," ",""),"0",""),"-","")))=(LEN(SUBSTITUTE(SUBSTITUTE(SUBSTITUTE(E141," ",""),"0",""),"-",""))+LEN(SUBSTITUTE(SUBSTITUTE(SUBSTITUTE(F141," ",""),"0",""),"-",""))))),1,0),0)</f>
      </c>
      <c r="E145" s="14" t="str">
        <f>LEN(SUBSTITUTE(SUBSTITUTE(SUBSTITUTE(E140," ",""),"0",""),"-",""))+LEN(SUBSTITUTE(SUBSTITUTE(SUBSTITUTE(F140," ",""),"0",""),"-",""))+LEN(SUBSTITUTE(SUBSTITUTE(SUBSTITUTE(E141," ",""),"0",""),"-",""))+LEN(SUBSTITUTE(SUBSTITUTE(SUBSTITUTE(F141," ",""),"0",""),"-",""))</f>
      </c>
      <c r="F145" s="14" t="str">
        <f>LEN(SUBSTITUTE(SUBSTITUTE(SUBSTITUTE(B140," ",""),"0",""),"-",""))+LEN(SUBSTITUTE(SUBSTITUTE(SUBSTITUTE(C140," ",""),"0",""),"-",""))+LEN(SUBSTITUTE(SUBSTITUTE(SUBSTITUTE(B141," ",""),"0",""),"-",""))+LEN(SUBSTITUTE(SUBSTITUTE(SUBSTITUTE(C141," ",""),"0",""),"-",""))</f>
      </c>
      <c r="G145" s="18" t="str">
        <f>RANK(U145,$U$145:$U$147)+COUNTIF($U$144:U144,U145)</f>
      </c>
      <c r="I145" s="14" t="str">
        <f>data!$E$74&amp;" "&amp;data!$B$74</f>
      </c>
      <c r="J145" s="14" t="str">
        <f>IF(OR(COUNTA(J140,K140,M140,N140)&gt;0,OR(L140="X",L140="x")),IF(OR(L140="X",L140="x",AND(OR(COUNTA(J140,K140,M140,N140)&gt;0,OR(L140="X",L140="x")),(LEN(SUBSTITUTE(SUBSTITUTE(SUBSTITUTE(J140," ",""),"0",""),"-",""))+LEN(SUBSTITUTE(SUBSTITUTE(SUBSTITUTE(K140," ",""),"0",""),"-","")))=(LEN(SUBSTITUTE(SUBSTITUTE(SUBSTITUTE(M140," ",""),"0",""),"-",""))+LEN(SUBSTITUTE(SUBSTITUTE(SUBSTITUTE(N140," ",""),"0",""),"-",""))))),0,(LEN(SUBSTITUTE(SUBSTITUTE(SUBSTITUTE(M140," ",""),"0",""),"-",""))+LEN(SUBSTITUTE(SUBSTITUTE(SUBSTITUTE(N140," ",""),"0",""),"-",""))&gt;LEN(SUBSTITUTE(SUBSTITUTE(SUBSTITUTE(J140," ",""),"0",""),"-",""))+LEN(SUBSTITUTE(SUBSTITUTE(SUBSTITUTE(K140," ",""),"0",""),"-","")))*1),0)+IF(OR(COUNTA(J141,K141,M141,N141)&gt;0,OR(L141="X",L141="x")),IF(OR(L141="X",L141="x",AND(OR(COUNTA(J141,K141,M141,N141)&gt;0,OR(L141="X",L141="x")),(LEN(SUBSTITUTE(SUBSTITUTE(SUBSTITUTE(J141," ",""),"0",""),"-",""))+LEN(SUBSTITUTE(SUBSTITUTE(SUBSTITUTE(K141," ",""),"0",""),"-","")))=(LEN(SUBSTITUTE(SUBSTITUTE(SUBSTITUTE(M141," ",""),"0",""),"-",""))+LEN(SUBSTITUTE(SUBSTITUTE(SUBSTITUTE(N141," ",""),"0",""),"-",""))))),0,(LEN(SUBSTITUTE(SUBSTITUTE(SUBSTITUTE(M141," ",""),"0",""),"-",""))+LEN(SUBSTITUTE(SUBSTITUTE(SUBSTITUTE(N141," ",""),"0",""),"-",""))&gt;LEN(SUBSTITUTE(SUBSTITUTE(SUBSTITUTE(J141," ",""),"0",""),"-",""))+LEN(SUBSTITUTE(SUBSTITUTE(SUBSTITUTE(K141," ",""),"0",""),"-","")))*1),0)</f>
      </c>
      <c r="K145" s="14" t="str">
        <f>IF(OR(COUNTA(J140,K140,M140,N140)&gt;0,OR(L140="X",L140="x")),IF(OR(L140="X",L140="x",AND(OR(COUNTA(J140,K140,M140,N140)&gt;0,OR(L140="X",L140="x")),(LEN(SUBSTITUTE(SUBSTITUTE(SUBSTITUTE(J140," ",""),"0",""),"-",""))+LEN(SUBSTITUTE(SUBSTITUTE(SUBSTITUTE(K140," ",""),"0",""),"-","")))=(LEN(SUBSTITUTE(SUBSTITUTE(SUBSTITUTE(M140," ",""),"0",""),"-",""))+LEN(SUBSTITUTE(SUBSTITUTE(SUBSTITUTE(N140," ",""),"0",""),"-",""))))),0,(LEN(SUBSTITUTE(SUBSTITUTE(SUBSTITUTE(M140," ",""),"0",""),"-",""))+LEN(SUBSTITUTE(SUBSTITUTE(SUBSTITUTE(N140," ",""),"0",""),"-",""))&lt;LEN(SUBSTITUTE(SUBSTITUTE(SUBSTITUTE(J140," ",""),"0",""),"-",""))+LEN(SUBSTITUTE(SUBSTITUTE(SUBSTITUTE(K140," ",""),"0",""),"-","")))*1),0)+IF(OR(COUNTA(J141,K141,M141,N141)&gt;0,OR(L141="X",L141="x")),IF(OR(L141="X",L141="x",AND(OR(COUNTA(J141,K141,M141,N141)&gt;0,OR(L141="X",L141="x")),(LEN(SUBSTITUTE(SUBSTITUTE(SUBSTITUTE(J141," ",""),"0",""),"-",""))+LEN(SUBSTITUTE(SUBSTITUTE(SUBSTITUTE(K141," ",""),"0",""),"-","")))=(LEN(SUBSTITUTE(SUBSTITUTE(SUBSTITUTE(M141," ",""),"0",""),"-",""))+LEN(SUBSTITUTE(SUBSTITUTE(SUBSTITUTE(N141," ",""),"0",""),"-",""))))),0,(LEN(SUBSTITUTE(SUBSTITUTE(SUBSTITUTE(M141," ",""),"0",""),"-",""))+LEN(SUBSTITUTE(SUBSTITUTE(SUBSTITUTE(N141," ",""),"0",""),"-",""))&lt;LEN(SUBSTITUTE(SUBSTITUTE(SUBSTITUTE(J141," ",""),"0",""),"-",""))+LEN(SUBSTITUTE(SUBSTITUTE(SUBSTITUTE(K141," ",""),"0",""),"-","")))*1),0)</f>
      </c>
      <c r="L145" s="14" t="str">
        <f>IF(OR(COUNTA(J140,K140,M140,N140)&gt;0,OR(L140="X",L140="x")),IF(OR(L140="X",L140="x",AND(OR(COUNTA(J140,K140,M140,N140)&gt;0,OR(L140="X",L140="x")),(LEN(SUBSTITUTE(SUBSTITUTE(SUBSTITUTE(J140," ",""),"0",""),"-",""))+LEN(SUBSTITUTE(SUBSTITUTE(SUBSTITUTE(K140," ",""),"0",""),"-","")))=(LEN(SUBSTITUTE(SUBSTITUTE(SUBSTITUTE(M140," ",""),"0",""),"-",""))+LEN(SUBSTITUTE(SUBSTITUTE(SUBSTITUTE(N140," ",""),"0",""),"-",""))))),1,0),0)+IF(OR(COUNTA(J141,K141,M141,N141)&gt;0,OR(L141="X",L141="x")),IF(OR(L141="X",L141="x",AND(OR(COUNTA(J141,K141,M141,N141)&gt;0,OR(L141="X",L141="x")),(LEN(SUBSTITUTE(SUBSTITUTE(SUBSTITUTE(J141," ",""),"0",""),"-",""))+LEN(SUBSTITUTE(SUBSTITUTE(SUBSTITUTE(K141," ",""),"0",""),"-","")))=(LEN(SUBSTITUTE(SUBSTITUTE(SUBSTITUTE(M141," ",""),"0",""),"-",""))+LEN(SUBSTITUTE(SUBSTITUTE(SUBSTITUTE(N141," ",""),"0",""),"-",""))))),1,0),0)</f>
      </c>
      <c r="M145" s="14" t="str">
        <f>LEN(SUBSTITUTE(SUBSTITUTE(SUBSTITUTE(M140," ",""),"0",""),"-",""))+LEN(SUBSTITUTE(SUBSTITUTE(SUBSTITUTE(N140," ",""),"0",""),"-",""))+LEN(SUBSTITUTE(SUBSTITUTE(SUBSTITUTE(M141," ",""),"0",""),"-",""))+LEN(SUBSTITUTE(SUBSTITUTE(SUBSTITUTE(N141," ",""),"0",""),"-",""))</f>
      </c>
      <c r="N145" s="14" t="str">
        <f>LEN(SUBSTITUTE(SUBSTITUTE(SUBSTITUTE(J140," ",""),"0",""),"-",""))+LEN(SUBSTITUTE(SUBSTITUTE(SUBSTITUTE(K140," ",""),"0",""),"-",""))+LEN(SUBSTITUTE(SUBSTITUTE(SUBSTITUTE(J141," ",""),"0",""),"-",""))+LEN(SUBSTITUTE(SUBSTITUTE(SUBSTITUTE(K141," ",""),"0",""),"-",""))</f>
      </c>
      <c r="O145" s="18" t="str">
        <f>RANK(AC145,$AC$145:$AC$147)+COUNTIF($AC$144:AC144,AC145)</f>
      </c>
      <c r="U145" t="str">
        <f>(B145*1000000)-(C145*10000)+(D145*100)+(E145*1)-(F145*0.01)</f>
      </c>
      <c r="AC145" t="str">
        <f>(J145*1000000)-(K145*10000)+(L145*100)+(M145*1)-(N145*0.01)</f>
      </c>
    </row>
    <row r="146">
      <c r="A146" s="14" t="str">
        <f>data!$E$28&amp;" "&amp;data!$B$28</f>
      </c>
      <c r="B146" s="14" t="str">
        <f>IF(OR(COUNTA(B140,C140,E140,F140)&gt;0,OR(D140="X",D140="x")),IF(OR(D140="X",D140="x",AND(OR(COUNTA(B140,C140,E140,F140)&gt;0,OR(D140="X",D140="x")),(LEN(SUBSTITUTE(SUBSTITUTE(SUBSTITUTE(B140," ",""),"0",""),"-",""))+LEN(SUBSTITUTE(SUBSTITUTE(SUBSTITUTE(C140," ",""),"0",""),"-","")))=(LEN(SUBSTITUTE(SUBSTITUTE(SUBSTITUTE(E140," ",""),"0",""),"-",""))+LEN(SUBSTITUTE(SUBSTITUTE(SUBSTITUTE(F140," ",""),"0",""),"-",""))))),0,(LEN(SUBSTITUTE(SUBSTITUTE(SUBSTITUTE(B140," ",""),"0",""),"-",""))+LEN(SUBSTITUTE(SUBSTITUTE(SUBSTITUTE(C140," ",""),"0",""),"-",""))&gt;LEN(SUBSTITUTE(SUBSTITUTE(SUBSTITUTE(E140," ",""),"0",""),"-",""))+LEN(SUBSTITUTE(SUBSTITUTE(SUBSTITUTE(F140," ",""),"0",""),"-","")))*1),0)+IF(OR(COUNTA(B142,C142,E142,F142)&gt;0,OR(D142="X",D142="x")),IF(OR(D142="X",D142="x",AND(OR(COUNTA(B142,C142,E142,F142)&gt;0,OR(D142="X",D142="x")),(LEN(SUBSTITUTE(SUBSTITUTE(SUBSTITUTE(B142," ",""),"0",""),"-",""))+LEN(SUBSTITUTE(SUBSTITUTE(SUBSTITUTE(C142," ",""),"0",""),"-","")))=(LEN(SUBSTITUTE(SUBSTITUTE(SUBSTITUTE(E142," ",""),"0",""),"-",""))+LEN(SUBSTITUTE(SUBSTITUTE(SUBSTITUTE(F142," ",""),"0",""),"-",""))))),0,(LEN(SUBSTITUTE(SUBSTITUTE(SUBSTITUTE(E142," ",""),"0",""),"-",""))+LEN(SUBSTITUTE(SUBSTITUTE(SUBSTITUTE(F142," ",""),"0",""),"-",""))&gt;LEN(SUBSTITUTE(SUBSTITUTE(SUBSTITUTE(B142," ",""),"0",""),"-",""))+LEN(SUBSTITUTE(SUBSTITUTE(SUBSTITUTE(C142," ",""),"0",""),"-","")))*1),0)</f>
      </c>
      <c r="C146" s="14" t="str">
        <f>IF(OR(COUNTA(B140,C140,E140,F140)&gt;0,OR(D140="X",D140="x")),IF(OR(D140="X",D140="x",AND(OR(COUNTA(B140,C140,E140,F140)&gt;0,OR(D140="X",D140="x")),(LEN(SUBSTITUTE(SUBSTITUTE(SUBSTITUTE(B140," ",""),"0",""),"-",""))+LEN(SUBSTITUTE(SUBSTITUTE(SUBSTITUTE(C140," ",""),"0",""),"-","")))=(LEN(SUBSTITUTE(SUBSTITUTE(SUBSTITUTE(E140," ",""),"0",""),"-",""))+LEN(SUBSTITUTE(SUBSTITUTE(SUBSTITUTE(F140," ",""),"0",""),"-",""))))),0,(LEN(SUBSTITUTE(SUBSTITUTE(SUBSTITUTE(B140," ",""),"0",""),"-",""))+LEN(SUBSTITUTE(SUBSTITUTE(SUBSTITUTE(C140," ",""),"0",""),"-",""))&lt;LEN(SUBSTITUTE(SUBSTITUTE(SUBSTITUTE(E140," ",""),"0",""),"-",""))+LEN(SUBSTITUTE(SUBSTITUTE(SUBSTITUTE(F140," ",""),"0",""),"-","")))*1),0)+IF(OR(COUNTA(B142,C142,E142,F142)&gt;0,OR(D142="X",D142="x")),IF(OR(D142="X",D142="x",AND(OR(COUNTA(B142,C142,E142,F142)&gt;0,OR(D142="X",D142="x")),(LEN(SUBSTITUTE(SUBSTITUTE(SUBSTITUTE(B142," ",""),"0",""),"-",""))+LEN(SUBSTITUTE(SUBSTITUTE(SUBSTITUTE(C142," ",""),"0",""),"-","")))=(LEN(SUBSTITUTE(SUBSTITUTE(SUBSTITUTE(E142," ",""),"0",""),"-",""))+LEN(SUBSTITUTE(SUBSTITUTE(SUBSTITUTE(F142," ",""),"0",""),"-",""))))),0,(LEN(SUBSTITUTE(SUBSTITUTE(SUBSTITUTE(E142," ",""),"0",""),"-",""))+LEN(SUBSTITUTE(SUBSTITUTE(SUBSTITUTE(F142," ",""),"0",""),"-",""))&lt;LEN(SUBSTITUTE(SUBSTITUTE(SUBSTITUTE(B142," ",""),"0",""),"-",""))+LEN(SUBSTITUTE(SUBSTITUTE(SUBSTITUTE(C142," ",""),"0",""),"-","")))*1),0)</f>
      </c>
      <c r="D146" s="14" t="str">
        <f>IF(OR(COUNTA(B140,C140,E140,F140)&gt;0,OR(D140="X",D140="x")),IF(OR(D140="X",D140="x",AND(OR(COUNTA(B140,C140,E140,F140)&gt;0,OR(D140="X",D140="x")),(LEN(SUBSTITUTE(SUBSTITUTE(SUBSTITUTE(B140," ",""),"0",""),"-",""))+LEN(SUBSTITUTE(SUBSTITUTE(SUBSTITUTE(C140," ",""),"0",""),"-","")))=(LEN(SUBSTITUTE(SUBSTITUTE(SUBSTITUTE(E140," ",""),"0",""),"-",""))+LEN(SUBSTITUTE(SUBSTITUTE(SUBSTITUTE(F140," ",""),"0",""),"-",""))))),1,0),0)+IF(OR(COUNTA(B142,C142,E142,F142)&gt;0,OR(D142="X",D142="x")),IF(OR(D142="X",D142="x",AND(OR(COUNTA(B142,C142,E142,F142)&gt;0,OR(D142="X",D142="x")),(LEN(SUBSTITUTE(SUBSTITUTE(SUBSTITUTE(B142," ",""),"0",""),"-",""))+LEN(SUBSTITUTE(SUBSTITUTE(SUBSTITUTE(C142," ",""),"0",""),"-","")))=(LEN(SUBSTITUTE(SUBSTITUTE(SUBSTITUTE(E142," ",""),"0",""),"-",""))+LEN(SUBSTITUTE(SUBSTITUTE(SUBSTITUTE(F142," ",""),"0",""),"-",""))))),1,0),0)</f>
      </c>
      <c r="E146" s="14" t="str">
        <f>LEN(SUBSTITUTE(SUBSTITUTE(SUBSTITUTE(B140," ",""),"0",""),"-",""))+LEN(SUBSTITUTE(SUBSTITUTE(SUBSTITUTE(C140," ",""),"0",""),"-",""))+LEN(SUBSTITUTE(SUBSTITUTE(SUBSTITUTE(E142," ",""),"0",""),"-",""))+LEN(SUBSTITUTE(SUBSTITUTE(SUBSTITUTE(F142," ",""),"0",""),"-",""))</f>
      </c>
      <c r="F146" s="14" t="str">
        <f>LEN(SUBSTITUTE(SUBSTITUTE(SUBSTITUTE(E140," ",""),"0",""),"-",""))+LEN(SUBSTITUTE(SUBSTITUTE(SUBSTITUTE(F140," ",""),"0",""),"-",""))+LEN(SUBSTITUTE(SUBSTITUTE(SUBSTITUTE(B142," ",""),"0",""),"-",""))+LEN(SUBSTITUTE(SUBSTITUTE(SUBSTITUTE(C142," ",""),"0",""),"-",""))</f>
      </c>
      <c r="G146" s="18" t="str">
        <f>RANK(U146,$U$145:$U$147)+COUNTIF($U$144:U145,U146)</f>
      </c>
      <c r="I146" s="14" t="str">
        <f>data!$E$75&amp;" "&amp;data!$B$75</f>
      </c>
      <c r="J146" s="14" t="str">
        <f>IF(OR(COUNTA(J140,K140,M140,N140)&gt;0,OR(L140="X",L140="x")),IF(OR(L140="X",L140="x",AND(OR(COUNTA(J140,K140,M140,N140)&gt;0,OR(L140="X",L140="x")),(LEN(SUBSTITUTE(SUBSTITUTE(SUBSTITUTE(J140," ",""),"0",""),"-",""))+LEN(SUBSTITUTE(SUBSTITUTE(SUBSTITUTE(K140," ",""),"0",""),"-","")))=(LEN(SUBSTITUTE(SUBSTITUTE(SUBSTITUTE(M140," ",""),"0",""),"-",""))+LEN(SUBSTITUTE(SUBSTITUTE(SUBSTITUTE(N140," ",""),"0",""),"-",""))))),0,(LEN(SUBSTITUTE(SUBSTITUTE(SUBSTITUTE(J140," ",""),"0",""),"-",""))+LEN(SUBSTITUTE(SUBSTITUTE(SUBSTITUTE(K140," ",""),"0",""),"-",""))&gt;LEN(SUBSTITUTE(SUBSTITUTE(SUBSTITUTE(M140," ",""),"0",""),"-",""))+LEN(SUBSTITUTE(SUBSTITUTE(SUBSTITUTE(N140," ",""),"0",""),"-","")))*1),0)+IF(OR(COUNTA(J142,K142,M142,N142)&gt;0,OR(L142="X",L142="x")),IF(OR(L142="X",L142="x",AND(OR(COUNTA(J142,K142,M142,N142)&gt;0,OR(L142="X",L142="x")),(LEN(SUBSTITUTE(SUBSTITUTE(SUBSTITUTE(J142," ",""),"0",""),"-",""))+LEN(SUBSTITUTE(SUBSTITUTE(SUBSTITUTE(K142," ",""),"0",""),"-","")))=(LEN(SUBSTITUTE(SUBSTITUTE(SUBSTITUTE(M142," ",""),"0",""),"-",""))+LEN(SUBSTITUTE(SUBSTITUTE(SUBSTITUTE(N142," ",""),"0",""),"-",""))))),0,(LEN(SUBSTITUTE(SUBSTITUTE(SUBSTITUTE(M142," ",""),"0",""),"-",""))+LEN(SUBSTITUTE(SUBSTITUTE(SUBSTITUTE(N142," ",""),"0",""),"-",""))&gt;LEN(SUBSTITUTE(SUBSTITUTE(SUBSTITUTE(J142," ",""),"0",""),"-",""))+LEN(SUBSTITUTE(SUBSTITUTE(SUBSTITUTE(K142," ",""),"0",""),"-","")))*1),0)</f>
      </c>
      <c r="K146" s="14" t="str">
        <f>IF(OR(COUNTA(J140,K140,M140,N140)&gt;0,OR(L140="X",L140="x")),IF(OR(L140="X",L140="x",AND(OR(COUNTA(J140,K140,M140,N140)&gt;0,OR(L140="X",L140="x")),(LEN(SUBSTITUTE(SUBSTITUTE(SUBSTITUTE(J140," ",""),"0",""),"-",""))+LEN(SUBSTITUTE(SUBSTITUTE(SUBSTITUTE(K140," ",""),"0",""),"-","")))=(LEN(SUBSTITUTE(SUBSTITUTE(SUBSTITUTE(M140," ",""),"0",""),"-",""))+LEN(SUBSTITUTE(SUBSTITUTE(SUBSTITUTE(N140," ",""),"0",""),"-",""))))),0,(LEN(SUBSTITUTE(SUBSTITUTE(SUBSTITUTE(J140," ",""),"0",""),"-",""))+LEN(SUBSTITUTE(SUBSTITUTE(SUBSTITUTE(K140," ",""),"0",""),"-",""))&lt;LEN(SUBSTITUTE(SUBSTITUTE(SUBSTITUTE(M140," ",""),"0",""),"-",""))+LEN(SUBSTITUTE(SUBSTITUTE(SUBSTITUTE(N140," ",""),"0",""),"-","")))*1),0)+IF(OR(COUNTA(J142,K142,M142,N142)&gt;0,OR(L142="X",L142="x")),IF(OR(L142="X",L142="x",AND(OR(COUNTA(J142,K142,M142,N142)&gt;0,OR(L142="X",L142="x")),(LEN(SUBSTITUTE(SUBSTITUTE(SUBSTITUTE(J142," ",""),"0",""),"-",""))+LEN(SUBSTITUTE(SUBSTITUTE(SUBSTITUTE(K142," ",""),"0",""),"-","")))=(LEN(SUBSTITUTE(SUBSTITUTE(SUBSTITUTE(M142," ",""),"0",""),"-",""))+LEN(SUBSTITUTE(SUBSTITUTE(SUBSTITUTE(N142," ",""),"0",""),"-",""))))),0,(LEN(SUBSTITUTE(SUBSTITUTE(SUBSTITUTE(M142," ",""),"0",""),"-",""))+LEN(SUBSTITUTE(SUBSTITUTE(SUBSTITUTE(N142," ",""),"0",""),"-",""))&lt;LEN(SUBSTITUTE(SUBSTITUTE(SUBSTITUTE(J142," ",""),"0",""),"-",""))+LEN(SUBSTITUTE(SUBSTITUTE(SUBSTITUTE(K142," ",""),"0",""),"-","")))*1),0)</f>
      </c>
      <c r="L146" s="14" t="str">
        <f>IF(OR(COUNTA(J140,K140,M140,N140)&gt;0,OR(L140="X",L140="x")),IF(OR(L140="X",L140="x",AND(OR(COUNTA(J140,K140,M140,N140)&gt;0,OR(L140="X",L140="x")),(LEN(SUBSTITUTE(SUBSTITUTE(SUBSTITUTE(J140," ",""),"0",""),"-",""))+LEN(SUBSTITUTE(SUBSTITUTE(SUBSTITUTE(K140," ",""),"0",""),"-","")))=(LEN(SUBSTITUTE(SUBSTITUTE(SUBSTITUTE(M140," ",""),"0",""),"-",""))+LEN(SUBSTITUTE(SUBSTITUTE(SUBSTITUTE(N140," ",""),"0",""),"-",""))))),1,0),0)+IF(OR(COUNTA(J142,K142,M142,N142)&gt;0,OR(L142="X",L142="x")),IF(OR(L142="X",L142="x",AND(OR(COUNTA(J142,K142,M142,N142)&gt;0,OR(L142="X",L142="x")),(LEN(SUBSTITUTE(SUBSTITUTE(SUBSTITUTE(J142," ",""),"0",""),"-",""))+LEN(SUBSTITUTE(SUBSTITUTE(SUBSTITUTE(K142," ",""),"0",""),"-","")))=(LEN(SUBSTITUTE(SUBSTITUTE(SUBSTITUTE(M142," ",""),"0",""),"-",""))+LEN(SUBSTITUTE(SUBSTITUTE(SUBSTITUTE(N142," ",""),"0",""),"-",""))))),1,0),0)</f>
      </c>
      <c r="M146" s="14" t="str">
        <f>LEN(SUBSTITUTE(SUBSTITUTE(SUBSTITUTE(J140," ",""),"0",""),"-",""))+LEN(SUBSTITUTE(SUBSTITUTE(SUBSTITUTE(K140," ",""),"0",""),"-",""))+LEN(SUBSTITUTE(SUBSTITUTE(SUBSTITUTE(M142," ",""),"0",""),"-",""))+LEN(SUBSTITUTE(SUBSTITUTE(SUBSTITUTE(N142," ",""),"0",""),"-",""))</f>
      </c>
      <c r="N146" s="14" t="str">
        <f>LEN(SUBSTITUTE(SUBSTITUTE(SUBSTITUTE(M140," ",""),"0",""),"-",""))+LEN(SUBSTITUTE(SUBSTITUTE(SUBSTITUTE(N140," ",""),"0",""),"-",""))+LEN(SUBSTITUTE(SUBSTITUTE(SUBSTITUTE(J142," ",""),"0",""),"-",""))+LEN(SUBSTITUTE(SUBSTITUTE(SUBSTITUTE(K142," ",""),"0",""),"-",""))</f>
      </c>
      <c r="O146" s="18" t="str">
        <f>RANK(AC146,$AC$145:$AC$147)+COUNTIF($AC$144:AC145,AC146)</f>
      </c>
      <c r="U146" t="str">
        <f>(B146*1000000)-(C146*10000)+(D146*100)+(E146*1)-(F146*0.01)</f>
      </c>
      <c r="AC146" t="str">
        <f>(J146*1000000)-(K146*10000)+(L146*100)+(M146*1)-(N146*0.01)</f>
      </c>
    </row>
    <row r="147">
      <c r="A147" s="14" t="str">
        <f>data!$E$29&amp;" "&amp;data!$B$29</f>
      </c>
      <c r="B147" s="14" t="str">
        <f>IF(OR(COUNTA(B141,C141,E141,F141)&gt;0,OR(D141="X",D141="x")),IF(OR(D141="X",D141="x",AND(OR(COUNTA(B141,C141,E141,F141)&gt;0,OR(D141="X",D141="x")),(LEN(SUBSTITUTE(SUBSTITUTE(SUBSTITUTE(B141," ",""),"0",""),"-",""))+LEN(SUBSTITUTE(SUBSTITUTE(SUBSTITUTE(C141," ",""),"0",""),"-","")))=(LEN(SUBSTITUTE(SUBSTITUTE(SUBSTITUTE(E141," ",""),"0",""),"-",""))+LEN(SUBSTITUTE(SUBSTITUTE(SUBSTITUTE(F141," ",""),"0",""),"-",""))))),0,(LEN(SUBSTITUTE(SUBSTITUTE(SUBSTITUTE(B141," ",""),"0",""),"-",""))+LEN(SUBSTITUTE(SUBSTITUTE(SUBSTITUTE(C141," ",""),"0",""),"-",""))&gt;LEN(SUBSTITUTE(SUBSTITUTE(SUBSTITUTE(E141," ",""),"0",""),"-",""))+LEN(SUBSTITUTE(SUBSTITUTE(SUBSTITUTE(F141," ",""),"0",""),"-","")))*1),0)+IF(OR(COUNTA(B142,C142,E142,F142)&gt;0,OR(D142="X",D142="x")),IF(OR(D142="X",D142="x",AND(OR(COUNTA(B142,C142,E142,F142)&gt;0,OR(D142="X",D142="x")),(LEN(SUBSTITUTE(SUBSTITUTE(SUBSTITUTE(B142," ",""),"0",""),"-",""))+LEN(SUBSTITUTE(SUBSTITUTE(SUBSTITUTE(C142," ",""),"0",""),"-","")))=(LEN(SUBSTITUTE(SUBSTITUTE(SUBSTITUTE(E142," ",""),"0",""),"-",""))+LEN(SUBSTITUTE(SUBSTITUTE(SUBSTITUTE(F142," ",""),"0",""),"-",""))))),0,(LEN(SUBSTITUTE(SUBSTITUTE(SUBSTITUTE(B142," ",""),"0",""),"-",""))+LEN(SUBSTITUTE(SUBSTITUTE(SUBSTITUTE(C142," ",""),"0",""),"-",""))&gt;LEN(SUBSTITUTE(SUBSTITUTE(SUBSTITUTE(E142," ",""),"0",""),"-",""))+LEN(SUBSTITUTE(SUBSTITUTE(SUBSTITUTE(F142," ",""),"0",""),"-","")))*1),0)</f>
      </c>
      <c r="C147" s="14" t="str">
        <f>IF(OR(COUNTA(B141,C141,E141,F141)&gt;0,OR(D141="X",D141="x")),IF(OR(D141="X",D141="x",AND(OR(COUNTA(B141,C141,E141,F141)&gt;0,OR(D141="X",D141="x")),(LEN(SUBSTITUTE(SUBSTITUTE(SUBSTITUTE(B141," ",""),"0",""),"-",""))+LEN(SUBSTITUTE(SUBSTITUTE(SUBSTITUTE(C141," ",""),"0",""),"-","")))=(LEN(SUBSTITUTE(SUBSTITUTE(SUBSTITUTE(E141," ",""),"0",""),"-",""))+LEN(SUBSTITUTE(SUBSTITUTE(SUBSTITUTE(F141," ",""),"0",""),"-",""))))),0,(LEN(SUBSTITUTE(SUBSTITUTE(SUBSTITUTE(B141," ",""),"0",""),"-",""))+LEN(SUBSTITUTE(SUBSTITUTE(SUBSTITUTE(C141," ",""),"0",""),"-",""))&lt;LEN(SUBSTITUTE(SUBSTITUTE(SUBSTITUTE(E141," ",""),"0",""),"-",""))+LEN(SUBSTITUTE(SUBSTITUTE(SUBSTITUTE(F141," ",""),"0",""),"-","")))*1),0)+IF(OR(COUNTA(B142,C142,E142,F142)&gt;0,OR(D142="X",D142="x")),IF(OR(D142="X",D142="x",AND(OR(COUNTA(B142,C142,E142,F142)&gt;0,OR(D142="X",D142="x")),(LEN(SUBSTITUTE(SUBSTITUTE(SUBSTITUTE(B142," ",""),"0",""),"-",""))+LEN(SUBSTITUTE(SUBSTITUTE(SUBSTITUTE(C142," ",""),"0",""),"-","")))=(LEN(SUBSTITUTE(SUBSTITUTE(SUBSTITUTE(E142," ",""),"0",""),"-",""))+LEN(SUBSTITUTE(SUBSTITUTE(SUBSTITUTE(F142," ",""),"0",""),"-",""))))),0,(LEN(SUBSTITUTE(SUBSTITUTE(SUBSTITUTE(B142," ",""),"0",""),"-",""))+LEN(SUBSTITUTE(SUBSTITUTE(SUBSTITUTE(C142," ",""),"0",""),"-",""))&lt;LEN(SUBSTITUTE(SUBSTITUTE(SUBSTITUTE(E142," ",""),"0",""),"-",""))+LEN(SUBSTITUTE(SUBSTITUTE(SUBSTITUTE(F142," ",""),"0",""),"-","")))*1),0)</f>
      </c>
      <c r="D147" s="14" t="str">
        <f>IF(OR(COUNTA(B141,C141,E141,F141)&gt;0,OR(D141="X",D141="x")),IF(OR(D141="X",D141="x",AND(OR(COUNTA(B141,C141,E141,F141)&gt;0,OR(D141="X",D141="x")),(LEN(SUBSTITUTE(SUBSTITUTE(SUBSTITUTE(B141," ",""),"0",""),"-",""))+LEN(SUBSTITUTE(SUBSTITUTE(SUBSTITUTE(C141," ",""),"0",""),"-","")))=(LEN(SUBSTITUTE(SUBSTITUTE(SUBSTITUTE(E141," ",""),"0",""),"-",""))+LEN(SUBSTITUTE(SUBSTITUTE(SUBSTITUTE(F141," ",""),"0",""),"-",""))))),1,0),0)+IF(OR(COUNTA(B142,C142,E142,F142)&gt;0,OR(D142="X",D142="x")),IF(OR(D142="X",D142="x",AND(OR(COUNTA(B142,C142,E142,F142)&gt;0,OR(D142="X",D142="x")),(LEN(SUBSTITUTE(SUBSTITUTE(SUBSTITUTE(B142," ",""),"0",""),"-",""))+LEN(SUBSTITUTE(SUBSTITUTE(SUBSTITUTE(C142," ",""),"0",""),"-","")))=(LEN(SUBSTITUTE(SUBSTITUTE(SUBSTITUTE(E142," ",""),"0",""),"-",""))+LEN(SUBSTITUTE(SUBSTITUTE(SUBSTITUTE(F142," ",""),"0",""),"-",""))))),1,0),0)</f>
      </c>
      <c r="E147" s="14" t="str">
        <f>LEN(SUBSTITUTE(SUBSTITUTE(SUBSTITUTE(B141," ",""),"0",""),"-",""))+LEN(SUBSTITUTE(SUBSTITUTE(SUBSTITUTE(C141," ",""),"0",""),"-",""))+LEN(SUBSTITUTE(SUBSTITUTE(SUBSTITUTE(B142," ",""),"0",""),"-",""))+LEN(SUBSTITUTE(SUBSTITUTE(SUBSTITUTE(C142," ",""),"0",""),"-",""))</f>
      </c>
      <c r="F147" s="14" t="str">
        <f>LEN(SUBSTITUTE(SUBSTITUTE(SUBSTITUTE(E141," ",""),"0",""),"-",""))+LEN(SUBSTITUTE(SUBSTITUTE(SUBSTITUTE(F141," ",""),"0",""),"-",""))+LEN(SUBSTITUTE(SUBSTITUTE(SUBSTITUTE(E142," ",""),"0",""),"-",""))+LEN(SUBSTITUTE(SUBSTITUTE(SUBSTITUTE(F142," ",""),"0",""),"-",""))</f>
      </c>
      <c r="G147" s="18" t="str">
        <f>RANK(U147,$U$145:$U$147)+COUNTIF($U$144:U146,U147)</f>
      </c>
      <c r="I147" s="14" t="str">
        <f>data!$E$76&amp;" "&amp;data!$B$76</f>
      </c>
      <c r="J147" s="14" t="str">
        <f>IF(OR(COUNTA(J141,K141,M141,N141)&gt;0,OR(L141="X",L141="x")),IF(OR(L141="X",L141="x",AND(OR(COUNTA(J141,K141,M141,N141)&gt;0,OR(L141="X",L141="x")),(LEN(SUBSTITUTE(SUBSTITUTE(SUBSTITUTE(J141," ",""),"0",""),"-",""))+LEN(SUBSTITUTE(SUBSTITUTE(SUBSTITUTE(K141," ",""),"0",""),"-","")))=(LEN(SUBSTITUTE(SUBSTITUTE(SUBSTITUTE(M141," ",""),"0",""),"-",""))+LEN(SUBSTITUTE(SUBSTITUTE(SUBSTITUTE(N141," ",""),"0",""),"-",""))))),0,(LEN(SUBSTITUTE(SUBSTITUTE(SUBSTITUTE(J141," ",""),"0",""),"-",""))+LEN(SUBSTITUTE(SUBSTITUTE(SUBSTITUTE(K141," ",""),"0",""),"-",""))&gt;LEN(SUBSTITUTE(SUBSTITUTE(SUBSTITUTE(M141," ",""),"0",""),"-",""))+LEN(SUBSTITUTE(SUBSTITUTE(SUBSTITUTE(N141," ",""),"0",""),"-","")))*1),0)+IF(OR(COUNTA(J142,K142,M142,N142)&gt;0,OR(L142="X",L142="x")),IF(OR(L142="X",L142="x",AND(OR(COUNTA(J142,K142,M142,N142)&gt;0,OR(L142="X",L142="x")),(LEN(SUBSTITUTE(SUBSTITUTE(SUBSTITUTE(J142," ",""),"0",""),"-",""))+LEN(SUBSTITUTE(SUBSTITUTE(SUBSTITUTE(K142," ",""),"0",""),"-","")))=(LEN(SUBSTITUTE(SUBSTITUTE(SUBSTITUTE(M142," ",""),"0",""),"-",""))+LEN(SUBSTITUTE(SUBSTITUTE(SUBSTITUTE(N142," ",""),"0",""),"-",""))))),0,(LEN(SUBSTITUTE(SUBSTITUTE(SUBSTITUTE(J142," ",""),"0",""),"-",""))+LEN(SUBSTITUTE(SUBSTITUTE(SUBSTITUTE(K142," ",""),"0",""),"-",""))&gt;LEN(SUBSTITUTE(SUBSTITUTE(SUBSTITUTE(M142," ",""),"0",""),"-",""))+LEN(SUBSTITUTE(SUBSTITUTE(SUBSTITUTE(N142," ",""),"0",""),"-","")))*1),0)</f>
      </c>
      <c r="K147" s="14" t="str">
        <f>IF(OR(COUNTA(J141,K141,M141,N141)&gt;0,OR(L141="X",L141="x")),IF(OR(L141="X",L141="x",AND(OR(COUNTA(J141,K141,M141,N141)&gt;0,OR(L141="X",L141="x")),(LEN(SUBSTITUTE(SUBSTITUTE(SUBSTITUTE(J141," ",""),"0",""),"-",""))+LEN(SUBSTITUTE(SUBSTITUTE(SUBSTITUTE(K141," ",""),"0",""),"-","")))=(LEN(SUBSTITUTE(SUBSTITUTE(SUBSTITUTE(M141," ",""),"0",""),"-",""))+LEN(SUBSTITUTE(SUBSTITUTE(SUBSTITUTE(N141," ",""),"0",""),"-",""))))),0,(LEN(SUBSTITUTE(SUBSTITUTE(SUBSTITUTE(J141," ",""),"0",""),"-",""))+LEN(SUBSTITUTE(SUBSTITUTE(SUBSTITUTE(K141," ",""),"0",""),"-",""))&lt;LEN(SUBSTITUTE(SUBSTITUTE(SUBSTITUTE(M141," ",""),"0",""),"-",""))+LEN(SUBSTITUTE(SUBSTITUTE(SUBSTITUTE(N141," ",""),"0",""),"-","")))*1),0)+IF(OR(COUNTA(J142,K142,M142,N142)&gt;0,OR(L142="X",L142="x")),IF(OR(L142="X",L142="x",AND(OR(COUNTA(J142,K142,M142,N142)&gt;0,OR(L142="X",L142="x")),(LEN(SUBSTITUTE(SUBSTITUTE(SUBSTITUTE(J142," ",""),"0",""),"-",""))+LEN(SUBSTITUTE(SUBSTITUTE(SUBSTITUTE(K142," ",""),"0",""),"-","")))=(LEN(SUBSTITUTE(SUBSTITUTE(SUBSTITUTE(M142," ",""),"0",""),"-",""))+LEN(SUBSTITUTE(SUBSTITUTE(SUBSTITUTE(N142," ",""),"0",""),"-",""))))),0,(LEN(SUBSTITUTE(SUBSTITUTE(SUBSTITUTE(J142," ",""),"0",""),"-",""))+LEN(SUBSTITUTE(SUBSTITUTE(SUBSTITUTE(K142," ",""),"0",""),"-",""))&lt;LEN(SUBSTITUTE(SUBSTITUTE(SUBSTITUTE(M142," ",""),"0",""),"-",""))+LEN(SUBSTITUTE(SUBSTITUTE(SUBSTITUTE(N142," ",""),"0",""),"-","")))*1),0)</f>
      </c>
      <c r="L147" s="14" t="str">
        <f>IF(OR(COUNTA(J141,K141,M141,N141)&gt;0,OR(L141="X",L141="x")),IF(OR(L141="X",L141="x",AND(OR(COUNTA(J141,K141,M141,N141)&gt;0,OR(L141="X",L141="x")),(LEN(SUBSTITUTE(SUBSTITUTE(SUBSTITUTE(J141," ",""),"0",""),"-",""))+LEN(SUBSTITUTE(SUBSTITUTE(SUBSTITUTE(K141," ",""),"0",""),"-","")))=(LEN(SUBSTITUTE(SUBSTITUTE(SUBSTITUTE(M141," ",""),"0",""),"-",""))+LEN(SUBSTITUTE(SUBSTITUTE(SUBSTITUTE(N141," ",""),"0",""),"-",""))))),1,0),0)+IF(OR(COUNTA(J142,K142,M142,N142)&gt;0,OR(L142="X",L142="x")),IF(OR(L142="X",L142="x",AND(OR(COUNTA(J142,K142,M142,N142)&gt;0,OR(L142="X",L142="x")),(LEN(SUBSTITUTE(SUBSTITUTE(SUBSTITUTE(J142," ",""),"0",""),"-",""))+LEN(SUBSTITUTE(SUBSTITUTE(SUBSTITUTE(K142," ",""),"0",""),"-","")))=(LEN(SUBSTITUTE(SUBSTITUTE(SUBSTITUTE(M142," ",""),"0",""),"-",""))+LEN(SUBSTITUTE(SUBSTITUTE(SUBSTITUTE(N142," ",""),"0",""),"-",""))))),1,0),0)</f>
      </c>
      <c r="M147" s="14" t="str">
        <f>LEN(SUBSTITUTE(SUBSTITUTE(SUBSTITUTE(J141," ",""),"0",""),"-",""))+LEN(SUBSTITUTE(SUBSTITUTE(SUBSTITUTE(K141," ",""),"0",""),"-",""))+LEN(SUBSTITUTE(SUBSTITUTE(SUBSTITUTE(J142," ",""),"0",""),"-",""))+LEN(SUBSTITUTE(SUBSTITUTE(SUBSTITUTE(K142," ",""),"0",""),"-",""))</f>
      </c>
      <c r="N147" s="14" t="str">
        <f>LEN(SUBSTITUTE(SUBSTITUTE(SUBSTITUTE(M141," ",""),"0",""),"-",""))+LEN(SUBSTITUTE(SUBSTITUTE(SUBSTITUTE(N141," ",""),"0",""),"-",""))+LEN(SUBSTITUTE(SUBSTITUTE(SUBSTITUTE(M142," ",""),"0",""),"-",""))+LEN(SUBSTITUTE(SUBSTITUTE(SUBSTITUTE(N142," ",""),"0",""),"-",""))</f>
      </c>
      <c r="O147" s="18" t="str">
        <f>RANK(AC147,$AC$145:$AC$147)+COUNTIF($AC$144:AC146,AC147)</f>
      </c>
      <c r="U147" t="str">
        <f>(B147*1000000)-(C147*10000)+(D147*100)+(E147*1)-(F147*0.01)</f>
      </c>
      <c r="AC147" t="str">
        <f>(J147*1000000)-(K147*10000)+(L147*100)+(M147*1)-(N147*0.01)</f>
      </c>
    </row>
    <row r="150">
      <c r="F150" s="13"/>
      <c r="G150" s="13" t="s">
        <v>341</v>
      </c>
      <c r="N150" s="13"/>
      <c r="O150" s="13" t="s">
        <v>341</v>
      </c>
    </row>
    <row r="151">
      <c r="F151" t="s">
        <v>342</v>
      </c>
      <c r="G151" s="19" t="str">
        <f>IFERROR(INDEX($A$145:$A$147, MATCH(1, $G$145:$G$147, 0)), "-")</f>
      </c>
      <c r="N151" t="s">
        <v>342</v>
      </c>
      <c r="O151" s="19" t="str">
        <f>IFERROR(INDEX($I$145:$I$147, MATCH(1, $O$145:$O$147, 0)), "-")</f>
      </c>
    </row>
    <row r="152">
      <c r="F152" t="s">
        <v>343</v>
      </c>
      <c r="G152" s="19" t="str">
        <f>IFERROR(INDEX($A$145:$A$147, MATCH(2, $G$145:$G$147, 0)), "-")</f>
      </c>
      <c r="N152" t="s">
        <v>343</v>
      </c>
      <c r="O152" s="19" t="str">
        <f>IFERROR(INDEX($I$145:$I$147, MATCH(2, $O$145:$O$147, 0)), "-")</f>
      </c>
    </row>
    <row r="153">
      <c r="F153" t="s">
        <v>344</v>
      </c>
      <c r="G153" s="19" t="str">
        <f>IFERROR(INDEX($A$145:$A$147, MATCH(3, $G$145:$G$147, 0)), "-")</f>
      </c>
      <c r="N153" t="s">
        <v>344</v>
      </c>
      <c r="O153" s="19" t="str">
        <f>IFERROR(INDEX($I$145:$I$147, MATCH(3, $O$145:$O$147, 0)), "-")</f>
      </c>
    </row>
    <row r="155">
      <c r="A155" s="13" t="str">
        <f>'data'!$A$32</f>
      </c>
      <c r="B155" s="13"/>
      <c r="C155" s="13"/>
      <c r="D155" s="13"/>
      <c r="E155" s="13"/>
      <c r="F155" s="13"/>
      <c r="G155" s="13"/>
      <c r="I155" s="13" t="str">
        <f>'data'!$A$79</f>
      </c>
      <c r="J155" s="13"/>
      <c r="K155" s="13"/>
      <c r="L155" s="13"/>
      <c r="M155" s="13"/>
      <c r="N155" s="13"/>
      <c r="O155" s="13"/>
    </row>
    <row r="156">
      <c r="A156" s="17" t="s">
        <v>331</v>
      </c>
      <c r="D156" s="14" t="s">
        <v>332</v>
      </c>
      <c r="G156" s="16" t="s">
        <v>333</v>
      </c>
      <c r="I156" s="17" t="s">
        <v>331</v>
      </c>
      <c r="L156" s="14" t="s">
        <v>332</v>
      </c>
      <c r="O156" s="16" t="s">
        <v>333</v>
      </c>
    </row>
    <row r="157">
      <c r="A157" s="14" t="str">
        <f>data!$E$31&amp;" "&amp;data!$B$31</f>
      </c>
      <c r="B157" s="18"/>
      <c r="C157" s="18"/>
      <c r="D157" s="18"/>
      <c r="E157" s="18"/>
      <c r="F157" s="18"/>
      <c r="G157" s="14" t="str">
        <f>data!$E$30&amp;" "&amp;data!$B$30</f>
      </c>
      <c r="I157" s="14" t="str">
        <f>data!$E$78&amp;" "&amp;data!$B$78</f>
      </c>
      <c r="J157" s="18"/>
      <c r="K157" s="18"/>
      <c r="L157" s="18"/>
      <c r="M157" s="18"/>
      <c r="N157" s="18"/>
      <c r="O157" s="14" t="str">
        <f>data!$E$77&amp;" "&amp;data!$B$77</f>
      </c>
    </row>
    <row r="158">
      <c r="A158" s="14" t="str">
        <f>data!$E$32&amp;" "&amp;data!$B$32</f>
      </c>
      <c r="B158" s="18"/>
      <c r="C158" s="18"/>
      <c r="D158" s="18"/>
      <c r="E158" s="18"/>
      <c r="F158" s="18"/>
      <c r="G158" s="14" t="str">
        <f>data!$E$30&amp;" "&amp;data!$B$30</f>
      </c>
      <c r="I158" s="14" t="str">
        <f>data!$E$79&amp;" "&amp;data!$B$79</f>
      </c>
      <c r="J158" s="18"/>
      <c r="K158" s="18"/>
      <c r="L158" s="18"/>
      <c r="M158" s="18"/>
      <c r="N158" s="18"/>
      <c r="O158" s="14" t="str">
        <f>data!$E$77&amp;" "&amp;data!$B$77</f>
      </c>
    </row>
    <row r="159">
      <c r="A159" s="14" t="str">
        <f>data!$E$32&amp;" "&amp;data!$B$32</f>
      </c>
      <c r="B159" s="18"/>
      <c r="C159" s="18"/>
      <c r="D159" s="18"/>
      <c r="E159" s="18"/>
      <c r="F159" s="18"/>
      <c r="G159" s="14" t="str">
        <f>data!$E$31&amp;" "&amp;data!$B$31</f>
      </c>
      <c r="I159" s="14" t="str">
        <f>data!$E$79&amp;" "&amp;data!$B$79</f>
      </c>
      <c r="J159" s="18"/>
      <c r="K159" s="18"/>
      <c r="L159" s="18"/>
      <c r="M159" s="18"/>
      <c r="N159" s="18"/>
      <c r="O159" s="14" t="str">
        <f>data!$E$78&amp;" "&amp;data!$B$78</f>
      </c>
    </row>
    <row r="161">
      <c r="A161" s="13" t="s">
        <v>334</v>
      </c>
      <c r="B161" s="13" t="s">
        <v>335</v>
      </c>
      <c r="C161" s="13" t="s">
        <v>336</v>
      </c>
      <c r="D161" s="13" t="s">
        <v>337</v>
      </c>
      <c r="E161" s="13" t="s">
        <v>338</v>
      </c>
      <c r="F161" s="13" t="s">
        <v>339</v>
      </c>
      <c r="G161" s="13" t="s">
        <v>340</v>
      </c>
      <c r="I161" s="13" t="s">
        <v>334</v>
      </c>
      <c r="J161" s="13" t="s">
        <v>335</v>
      </c>
      <c r="K161" s="13" t="s">
        <v>336</v>
      </c>
      <c r="L161" s="13" t="s">
        <v>337</v>
      </c>
      <c r="M161" s="13" t="s">
        <v>338</v>
      </c>
      <c r="N161" s="13" t="s">
        <v>339</v>
      </c>
      <c r="O161" s="13" t="s">
        <v>340</v>
      </c>
    </row>
    <row r="162">
      <c r="A162" s="14" t="str">
        <f>data!$E$30&amp;" "&amp;data!$B$30</f>
      </c>
      <c r="B162" s="14" t="str">
        <f>IF(OR(COUNTA(B157,C157,E157,F157)&gt;0,OR(D157="X",D157="x")),IF(OR(D157="X",D157="x",AND(OR(COUNTA(B157,C157,E157,F157)&gt;0,OR(D157="X",D157="x")),(LEN(SUBSTITUTE(SUBSTITUTE(SUBSTITUTE(B157," ",""),"0",""),"-",""))+LEN(SUBSTITUTE(SUBSTITUTE(SUBSTITUTE(C157," ",""),"0",""),"-","")))=(LEN(SUBSTITUTE(SUBSTITUTE(SUBSTITUTE(E157," ",""),"0",""),"-",""))+LEN(SUBSTITUTE(SUBSTITUTE(SUBSTITUTE(F157," ",""),"0",""),"-",""))))),0,(LEN(SUBSTITUTE(SUBSTITUTE(SUBSTITUTE(E157," ",""),"0",""),"-",""))+LEN(SUBSTITUTE(SUBSTITUTE(SUBSTITUTE(F157," ",""),"0",""),"-",""))&gt;LEN(SUBSTITUTE(SUBSTITUTE(SUBSTITUTE(B157," ",""),"0",""),"-",""))+LEN(SUBSTITUTE(SUBSTITUTE(SUBSTITUTE(C157," ",""),"0",""),"-","")))*1),0)+IF(OR(COUNTA(B158,C158,E158,F158)&gt;0,OR(D158="X",D158="x")),IF(OR(D158="X",D158="x",AND(OR(COUNTA(B158,C158,E158,F158)&gt;0,OR(D158="X",D158="x")),(LEN(SUBSTITUTE(SUBSTITUTE(SUBSTITUTE(B158," ",""),"0",""),"-",""))+LEN(SUBSTITUTE(SUBSTITUTE(SUBSTITUTE(C158," ",""),"0",""),"-","")))=(LEN(SUBSTITUTE(SUBSTITUTE(SUBSTITUTE(E158," ",""),"0",""),"-",""))+LEN(SUBSTITUTE(SUBSTITUTE(SUBSTITUTE(F158," ",""),"0",""),"-",""))))),0,(LEN(SUBSTITUTE(SUBSTITUTE(SUBSTITUTE(E158," ",""),"0",""),"-",""))+LEN(SUBSTITUTE(SUBSTITUTE(SUBSTITUTE(F158," ",""),"0",""),"-",""))&gt;LEN(SUBSTITUTE(SUBSTITUTE(SUBSTITUTE(B158," ",""),"0",""),"-",""))+LEN(SUBSTITUTE(SUBSTITUTE(SUBSTITUTE(C158," ",""),"0",""),"-","")))*1),0)</f>
      </c>
      <c r="C162" s="14" t="str">
        <f>IF(OR(COUNTA(B157,C157,E157,F157)&gt;0,OR(D157="X",D157="x")),IF(OR(D157="X",D157="x",AND(OR(COUNTA(B157,C157,E157,F157)&gt;0,OR(D157="X",D157="x")),(LEN(SUBSTITUTE(SUBSTITUTE(SUBSTITUTE(B157," ",""),"0",""),"-",""))+LEN(SUBSTITUTE(SUBSTITUTE(SUBSTITUTE(C157," ",""),"0",""),"-","")))=(LEN(SUBSTITUTE(SUBSTITUTE(SUBSTITUTE(E157," ",""),"0",""),"-",""))+LEN(SUBSTITUTE(SUBSTITUTE(SUBSTITUTE(F157," ",""),"0",""),"-",""))))),0,(LEN(SUBSTITUTE(SUBSTITUTE(SUBSTITUTE(E157," ",""),"0",""),"-",""))+LEN(SUBSTITUTE(SUBSTITUTE(SUBSTITUTE(F157," ",""),"0",""),"-",""))&lt;LEN(SUBSTITUTE(SUBSTITUTE(SUBSTITUTE(B157," ",""),"0",""),"-",""))+LEN(SUBSTITUTE(SUBSTITUTE(SUBSTITUTE(C157," ",""),"0",""),"-","")))*1),0)+IF(OR(COUNTA(B158,C158,E158,F158)&gt;0,OR(D158="X",D158="x")),IF(OR(D158="X",D158="x",AND(OR(COUNTA(B158,C158,E158,F158)&gt;0,OR(D158="X",D158="x")),(LEN(SUBSTITUTE(SUBSTITUTE(SUBSTITUTE(B158," ",""),"0",""),"-",""))+LEN(SUBSTITUTE(SUBSTITUTE(SUBSTITUTE(C158," ",""),"0",""),"-","")))=(LEN(SUBSTITUTE(SUBSTITUTE(SUBSTITUTE(E158," ",""),"0",""),"-",""))+LEN(SUBSTITUTE(SUBSTITUTE(SUBSTITUTE(F158," ",""),"0",""),"-",""))))),0,(LEN(SUBSTITUTE(SUBSTITUTE(SUBSTITUTE(E158," ",""),"0",""),"-",""))+LEN(SUBSTITUTE(SUBSTITUTE(SUBSTITUTE(F158," ",""),"0",""),"-",""))&lt;LEN(SUBSTITUTE(SUBSTITUTE(SUBSTITUTE(B158," ",""),"0",""),"-",""))+LEN(SUBSTITUTE(SUBSTITUTE(SUBSTITUTE(C158," ",""),"0",""),"-","")))*1),0)</f>
      </c>
      <c r="D162" s="14" t="str">
        <f>IF(OR(COUNTA(B157,C157,E157,F157)&gt;0,OR(D157="X",D157="x")),IF(OR(D157="X",D157="x",AND(OR(COUNTA(B157,C157,E157,F157)&gt;0,OR(D157="X",D157="x")),(LEN(SUBSTITUTE(SUBSTITUTE(SUBSTITUTE(B157," ",""),"0",""),"-",""))+LEN(SUBSTITUTE(SUBSTITUTE(SUBSTITUTE(C157," ",""),"0",""),"-","")))=(LEN(SUBSTITUTE(SUBSTITUTE(SUBSTITUTE(E157," ",""),"0",""),"-",""))+LEN(SUBSTITUTE(SUBSTITUTE(SUBSTITUTE(F157," ",""),"0",""),"-",""))))),1,0),0)+IF(OR(COUNTA(B158,C158,E158,F158)&gt;0,OR(D158="X",D158="x")),IF(OR(D158="X",D158="x",AND(OR(COUNTA(B158,C158,E158,F158)&gt;0,OR(D158="X",D158="x")),(LEN(SUBSTITUTE(SUBSTITUTE(SUBSTITUTE(B158," ",""),"0",""),"-",""))+LEN(SUBSTITUTE(SUBSTITUTE(SUBSTITUTE(C158," ",""),"0",""),"-","")))=(LEN(SUBSTITUTE(SUBSTITUTE(SUBSTITUTE(E158," ",""),"0",""),"-",""))+LEN(SUBSTITUTE(SUBSTITUTE(SUBSTITUTE(F158," ",""),"0",""),"-",""))))),1,0),0)</f>
      </c>
      <c r="E162" s="14" t="str">
        <f>LEN(SUBSTITUTE(SUBSTITUTE(SUBSTITUTE(E157," ",""),"0",""),"-",""))+LEN(SUBSTITUTE(SUBSTITUTE(SUBSTITUTE(F157," ",""),"0",""),"-",""))+LEN(SUBSTITUTE(SUBSTITUTE(SUBSTITUTE(E158," ",""),"0",""),"-",""))+LEN(SUBSTITUTE(SUBSTITUTE(SUBSTITUTE(F158," ",""),"0",""),"-",""))</f>
      </c>
      <c r="F162" s="14" t="str">
        <f>LEN(SUBSTITUTE(SUBSTITUTE(SUBSTITUTE(B157," ",""),"0",""),"-",""))+LEN(SUBSTITUTE(SUBSTITUTE(SUBSTITUTE(C157," ",""),"0",""),"-",""))+LEN(SUBSTITUTE(SUBSTITUTE(SUBSTITUTE(B158," ",""),"0",""),"-",""))+LEN(SUBSTITUTE(SUBSTITUTE(SUBSTITUTE(C158," ",""),"0",""),"-",""))</f>
      </c>
      <c r="G162" s="18" t="str">
        <f>RANK(U162,$U$162:$U$164)+COUNTIF($U$161:U161,U162)</f>
      </c>
      <c r="I162" s="14" t="str">
        <f>data!$E$77&amp;" "&amp;data!$B$77</f>
      </c>
      <c r="J162" s="14" t="str">
        <f>IF(OR(COUNTA(J157,K157,M157,N157)&gt;0,OR(L157="X",L157="x")),IF(OR(L157="X",L157="x",AND(OR(COUNTA(J157,K157,M157,N157)&gt;0,OR(L157="X",L157="x")),(LEN(SUBSTITUTE(SUBSTITUTE(SUBSTITUTE(J157," ",""),"0",""),"-",""))+LEN(SUBSTITUTE(SUBSTITUTE(SUBSTITUTE(K157," ",""),"0",""),"-","")))=(LEN(SUBSTITUTE(SUBSTITUTE(SUBSTITUTE(M157," ",""),"0",""),"-",""))+LEN(SUBSTITUTE(SUBSTITUTE(SUBSTITUTE(N157," ",""),"0",""),"-",""))))),0,(LEN(SUBSTITUTE(SUBSTITUTE(SUBSTITUTE(M157," ",""),"0",""),"-",""))+LEN(SUBSTITUTE(SUBSTITUTE(SUBSTITUTE(N157," ",""),"0",""),"-",""))&gt;LEN(SUBSTITUTE(SUBSTITUTE(SUBSTITUTE(J157," ",""),"0",""),"-",""))+LEN(SUBSTITUTE(SUBSTITUTE(SUBSTITUTE(K157," ",""),"0",""),"-","")))*1),0)+IF(OR(COUNTA(J158,K158,M158,N158)&gt;0,OR(L158="X",L158="x")),IF(OR(L158="X",L158="x",AND(OR(COUNTA(J158,K158,M158,N158)&gt;0,OR(L158="X",L158="x")),(LEN(SUBSTITUTE(SUBSTITUTE(SUBSTITUTE(J158," ",""),"0",""),"-",""))+LEN(SUBSTITUTE(SUBSTITUTE(SUBSTITUTE(K158," ",""),"0",""),"-","")))=(LEN(SUBSTITUTE(SUBSTITUTE(SUBSTITUTE(M158," ",""),"0",""),"-",""))+LEN(SUBSTITUTE(SUBSTITUTE(SUBSTITUTE(N158," ",""),"0",""),"-",""))))),0,(LEN(SUBSTITUTE(SUBSTITUTE(SUBSTITUTE(M158," ",""),"0",""),"-",""))+LEN(SUBSTITUTE(SUBSTITUTE(SUBSTITUTE(N158," ",""),"0",""),"-",""))&gt;LEN(SUBSTITUTE(SUBSTITUTE(SUBSTITUTE(J158," ",""),"0",""),"-",""))+LEN(SUBSTITUTE(SUBSTITUTE(SUBSTITUTE(K158," ",""),"0",""),"-","")))*1),0)</f>
      </c>
      <c r="K162" s="14" t="str">
        <f>IF(OR(COUNTA(J157,K157,M157,N157)&gt;0,OR(L157="X",L157="x")),IF(OR(L157="X",L157="x",AND(OR(COUNTA(J157,K157,M157,N157)&gt;0,OR(L157="X",L157="x")),(LEN(SUBSTITUTE(SUBSTITUTE(SUBSTITUTE(J157," ",""),"0",""),"-",""))+LEN(SUBSTITUTE(SUBSTITUTE(SUBSTITUTE(K157," ",""),"0",""),"-","")))=(LEN(SUBSTITUTE(SUBSTITUTE(SUBSTITUTE(M157," ",""),"0",""),"-",""))+LEN(SUBSTITUTE(SUBSTITUTE(SUBSTITUTE(N157," ",""),"0",""),"-",""))))),0,(LEN(SUBSTITUTE(SUBSTITUTE(SUBSTITUTE(M157," ",""),"0",""),"-",""))+LEN(SUBSTITUTE(SUBSTITUTE(SUBSTITUTE(N157," ",""),"0",""),"-",""))&lt;LEN(SUBSTITUTE(SUBSTITUTE(SUBSTITUTE(J157," ",""),"0",""),"-",""))+LEN(SUBSTITUTE(SUBSTITUTE(SUBSTITUTE(K157," ",""),"0",""),"-","")))*1),0)+IF(OR(COUNTA(J158,K158,M158,N158)&gt;0,OR(L158="X",L158="x")),IF(OR(L158="X",L158="x",AND(OR(COUNTA(J158,K158,M158,N158)&gt;0,OR(L158="X",L158="x")),(LEN(SUBSTITUTE(SUBSTITUTE(SUBSTITUTE(J158," ",""),"0",""),"-",""))+LEN(SUBSTITUTE(SUBSTITUTE(SUBSTITUTE(K158," ",""),"0",""),"-","")))=(LEN(SUBSTITUTE(SUBSTITUTE(SUBSTITUTE(M158," ",""),"0",""),"-",""))+LEN(SUBSTITUTE(SUBSTITUTE(SUBSTITUTE(N158," ",""),"0",""),"-",""))))),0,(LEN(SUBSTITUTE(SUBSTITUTE(SUBSTITUTE(M158," ",""),"0",""),"-",""))+LEN(SUBSTITUTE(SUBSTITUTE(SUBSTITUTE(N158," ",""),"0",""),"-",""))&lt;LEN(SUBSTITUTE(SUBSTITUTE(SUBSTITUTE(J158," ",""),"0",""),"-",""))+LEN(SUBSTITUTE(SUBSTITUTE(SUBSTITUTE(K158," ",""),"0",""),"-","")))*1),0)</f>
      </c>
      <c r="L162" s="14" t="str">
        <f>IF(OR(COUNTA(J157,K157,M157,N157)&gt;0,OR(L157="X",L157="x")),IF(OR(L157="X",L157="x",AND(OR(COUNTA(J157,K157,M157,N157)&gt;0,OR(L157="X",L157="x")),(LEN(SUBSTITUTE(SUBSTITUTE(SUBSTITUTE(J157," ",""),"0",""),"-",""))+LEN(SUBSTITUTE(SUBSTITUTE(SUBSTITUTE(K157," ",""),"0",""),"-","")))=(LEN(SUBSTITUTE(SUBSTITUTE(SUBSTITUTE(M157," ",""),"0",""),"-",""))+LEN(SUBSTITUTE(SUBSTITUTE(SUBSTITUTE(N157," ",""),"0",""),"-",""))))),1,0),0)+IF(OR(COUNTA(J158,K158,M158,N158)&gt;0,OR(L158="X",L158="x")),IF(OR(L158="X",L158="x",AND(OR(COUNTA(J158,K158,M158,N158)&gt;0,OR(L158="X",L158="x")),(LEN(SUBSTITUTE(SUBSTITUTE(SUBSTITUTE(J158," ",""),"0",""),"-",""))+LEN(SUBSTITUTE(SUBSTITUTE(SUBSTITUTE(K158," ",""),"0",""),"-","")))=(LEN(SUBSTITUTE(SUBSTITUTE(SUBSTITUTE(M158," ",""),"0",""),"-",""))+LEN(SUBSTITUTE(SUBSTITUTE(SUBSTITUTE(N158," ",""),"0",""),"-",""))))),1,0),0)</f>
      </c>
      <c r="M162" s="14" t="str">
        <f>LEN(SUBSTITUTE(SUBSTITUTE(SUBSTITUTE(M157," ",""),"0",""),"-",""))+LEN(SUBSTITUTE(SUBSTITUTE(SUBSTITUTE(N157," ",""),"0",""),"-",""))+LEN(SUBSTITUTE(SUBSTITUTE(SUBSTITUTE(M158," ",""),"0",""),"-",""))+LEN(SUBSTITUTE(SUBSTITUTE(SUBSTITUTE(N158," ",""),"0",""),"-",""))</f>
      </c>
      <c r="N162" s="14" t="str">
        <f>LEN(SUBSTITUTE(SUBSTITUTE(SUBSTITUTE(J157," ",""),"0",""),"-",""))+LEN(SUBSTITUTE(SUBSTITUTE(SUBSTITUTE(K157," ",""),"0",""),"-",""))+LEN(SUBSTITUTE(SUBSTITUTE(SUBSTITUTE(J158," ",""),"0",""),"-",""))+LEN(SUBSTITUTE(SUBSTITUTE(SUBSTITUTE(K158," ",""),"0",""),"-",""))</f>
      </c>
      <c r="O162" s="18" t="str">
        <f>RANK(AC162,$AC$162:$AC$164)+COUNTIF($AC$161:AC161,AC162)</f>
      </c>
      <c r="U162" t="str">
        <f>(B162*1000000)-(C162*10000)+(D162*100)+(E162*1)-(F162*0.01)</f>
      </c>
      <c r="AC162" t="str">
        <f>(J162*1000000)-(K162*10000)+(L162*100)+(M162*1)-(N162*0.01)</f>
      </c>
    </row>
    <row r="163">
      <c r="A163" s="14" t="str">
        <f>data!$E$31&amp;" "&amp;data!$B$31</f>
      </c>
      <c r="B163" s="14" t="str">
        <f>IF(OR(COUNTA(B157,C157,E157,F157)&gt;0,OR(D157="X",D157="x")),IF(OR(D157="X",D157="x",AND(OR(COUNTA(B157,C157,E157,F157)&gt;0,OR(D157="X",D157="x")),(LEN(SUBSTITUTE(SUBSTITUTE(SUBSTITUTE(B157," ",""),"0",""),"-",""))+LEN(SUBSTITUTE(SUBSTITUTE(SUBSTITUTE(C157," ",""),"0",""),"-","")))=(LEN(SUBSTITUTE(SUBSTITUTE(SUBSTITUTE(E157," ",""),"0",""),"-",""))+LEN(SUBSTITUTE(SUBSTITUTE(SUBSTITUTE(F157," ",""),"0",""),"-",""))))),0,(LEN(SUBSTITUTE(SUBSTITUTE(SUBSTITUTE(B157," ",""),"0",""),"-",""))+LEN(SUBSTITUTE(SUBSTITUTE(SUBSTITUTE(C157," ",""),"0",""),"-",""))&gt;LEN(SUBSTITUTE(SUBSTITUTE(SUBSTITUTE(E157," ",""),"0",""),"-",""))+LEN(SUBSTITUTE(SUBSTITUTE(SUBSTITUTE(F157," ",""),"0",""),"-","")))*1),0)+IF(OR(COUNTA(B159,C159,E159,F159)&gt;0,OR(D159="X",D159="x")),IF(OR(D159="X",D159="x",AND(OR(COUNTA(B159,C159,E159,F159)&gt;0,OR(D159="X",D159="x")),(LEN(SUBSTITUTE(SUBSTITUTE(SUBSTITUTE(B159," ",""),"0",""),"-",""))+LEN(SUBSTITUTE(SUBSTITUTE(SUBSTITUTE(C159," ",""),"0",""),"-","")))=(LEN(SUBSTITUTE(SUBSTITUTE(SUBSTITUTE(E159," ",""),"0",""),"-",""))+LEN(SUBSTITUTE(SUBSTITUTE(SUBSTITUTE(F159," ",""),"0",""),"-",""))))),0,(LEN(SUBSTITUTE(SUBSTITUTE(SUBSTITUTE(E159," ",""),"0",""),"-",""))+LEN(SUBSTITUTE(SUBSTITUTE(SUBSTITUTE(F159," ",""),"0",""),"-",""))&gt;LEN(SUBSTITUTE(SUBSTITUTE(SUBSTITUTE(B159," ",""),"0",""),"-",""))+LEN(SUBSTITUTE(SUBSTITUTE(SUBSTITUTE(C159," ",""),"0",""),"-","")))*1),0)</f>
      </c>
      <c r="C163" s="14" t="str">
        <f>IF(OR(COUNTA(B157,C157,E157,F157)&gt;0,OR(D157="X",D157="x")),IF(OR(D157="X",D157="x",AND(OR(COUNTA(B157,C157,E157,F157)&gt;0,OR(D157="X",D157="x")),(LEN(SUBSTITUTE(SUBSTITUTE(SUBSTITUTE(B157," ",""),"0",""),"-",""))+LEN(SUBSTITUTE(SUBSTITUTE(SUBSTITUTE(C157," ",""),"0",""),"-","")))=(LEN(SUBSTITUTE(SUBSTITUTE(SUBSTITUTE(E157," ",""),"0",""),"-",""))+LEN(SUBSTITUTE(SUBSTITUTE(SUBSTITUTE(F157," ",""),"0",""),"-",""))))),0,(LEN(SUBSTITUTE(SUBSTITUTE(SUBSTITUTE(B157," ",""),"0",""),"-",""))+LEN(SUBSTITUTE(SUBSTITUTE(SUBSTITUTE(C157," ",""),"0",""),"-",""))&lt;LEN(SUBSTITUTE(SUBSTITUTE(SUBSTITUTE(E157," ",""),"0",""),"-",""))+LEN(SUBSTITUTE(SUBSTITUTE(SUBSTITUTE(F157," ",""),"0",""),"-","")))*1),0)+IF(OR(COUNTA(B159,C159,E159,F159)&gt;0,OR(D159="X",D159="x")),IF(OR(D159="X",D159="x",AND(OR(COUNTA(B159,C159,E159,F159)&gt;0,OR(D159="X",D159="x")),(LEN(SUBSTITUTE(SUBSTITUTE(SUBSTITUTE(B159," ",""),"0",""),"-",""))+LEN(SUBSTITUTE(SUBSTITUTE(SUBSTITUTE(C159," ",""),"0",""),"-","")))=(LEN(SUBSTITUTE(SUBSTITUTE(SUBSTITUTE(E159," ",""),"0",""),"-",""))+LEN(SUBSTITUTE(SUBSTITUTE(SUBSTITUTE(F159," ",""),"0",""),"-",""))))),0,(LEN(SUBSTITUTE(SUBSTITUTE(SUBSTITUTE(E159," ",""),"0",""),"-",""))+LEN(SUBSTITUTE(SUBSTITUTE(SUBSTITUTE(F159," ",""),"0",""),"-",""))&lt;LEN(SUBSTITUTE(SUBSTITUTE(SUBSTITUTE(B159," ",""),"0",""),"-",""))+LEN(SUBSTITUTE(SUBSTITUTE(SUBSTITUTE(C159," ",""),"0",""),"-","")))*1),0)</f>
      </c>
      <c r="D163" s="14" t="str">
        <f>IF(OR(COUNTA(B157,C157,E157,F157)&gt;0,OR(D157="X",D157="x")),IF(OR(D157="X",D157="x",AND(OR(COUNTA(B157,C157,E157,F157)&gt;0,OR(D157="X",D157="x")),(LEN(SUBSTITUTE(SUBSTITUTE(SUBSTITUTE(B157," ",""),"0",""),"-",""))+LEN(SUBSTITUTE(SUBSTITUTE(SUBSTITUTE(C157," ",""),"0",""),"-","")))=(LEN(SUBSTITUTE(SUBSTITUTE(SUBSTITUTE(E157," ",""),"0",""),"-",""))+LEN(SUBSTITUTE(SUBSTITUTE(SUBSTITUTE(F157," ",""),"0",""),"-",""))))),1,0),0)+IF(OR(COUNTA(B159,C159,E159,F159)&gt;0,OR(D159="X",D159="x")),IF(OR(D159="X",D159="x",AND(OR(COUNTA(B159,C159,E159,F159)&gt;0,OR(D159="X",D159="x")),(LEN(SUBSTITUTE(SUBSTITUTE(SUBSTITUTE(B159," ",""),"0",""),"-",""))+LEN(SUBSTITUTE(SUBSTITUTE(SUBSTITUTE(C159," ",""),"0",""),"-","")))=(LEN(SUBSTITUTE(SUBSTITUTE(SUBSTITUTE(E159," ",""),"0",""),"-",""))+LEN(SUBSTITUTE(SUBSTITUTE(SUBSTITUTE(F159," ",""),"0",""),"-",""))))),1,0),0)</f>
      </c>
      <c r="E163" s="14" t="str">
        <f>LEN(SUBSTITUTE(SUBSTITUTE(SUBSTITUTE(B157," ",""),"0",""),"-",""))+LEN(SUBSTITUTE(SUBSTITUTE(SUBSTITUTE(C157," ",""),"0",""),"-",""))+LEN(SUBSTITUTE(SUBSTITUTE(SUBSTITUTE(E159," ",""),"0",""),"-",""))+LEN(SUBSTITUTE(SUBSTITUTE(SUBSTITUTE(F159," ",""),"0",""),"-",""))</f>
      </c>
      <c r="F163" s="14" t="str">
        <f>LEN(SUBSTITUTE(SUBSTITUTE(SUBSTITUTE(E157," ",""),"0",""),"-",""))+LEN(SUBSTITUTE(SUBSTITUTE(SUBSTITUTE(F157," ",""),"0",""),"-",""))+LEN(SUBSTITUTE(SUBSTITUTE(SUBSTITUTE(B159," ",""),"0",""),"-",""))+LEN(SUBSTITUTE(SUBSTITUTE(SUBSTITUTE(C159," ",""),"0",""),"-",""))</f>
      </c>
      <c r="G163" s="18" t="str">
        <f>RANK(U163,$U$162:$U$164)+COUNTIF($U$161:U162,U163)</f>
      </c>
      <c r="I163" s="14" t="str">
        <f>data!$E$78&amp;" "&amp;data!$B$78</f>
      </c>
      <c r="J163" s="14" t="str">
        <f>IF(OR(COUNTA(J157,K157,M157,N157)&gt;0,OR(L157="X",L157="x")),IF(OR(L157="X",L157="x",AND(OR(COUNTA(J157,K157,M157,N157)&gt;0,OR(L157="X",L157="x")),(LEN(SUBSTITUTE(SUBSTITUTE(SUBSTITUTE(J157," ",""),"0",""),"-",""))+LEN(SUBSTITUTE(SUBSTITUTE(SUBSTITUTE(K157," ",""),"0",""),"-","")))=(LEN(SUBSTITUTE(SUBSTITUTE(SUBSTITUTE(M157," ",""),"0",""),"-",""))+LEN(SUBSTITUTE(SUBSTITUTE(SUBSTITUTE(N157," ",""),"0",""),"-",""))))),0,(LEN(SUBSTITUTE(SUBSTITUTE(SUBSTITUTE(J157," ",""),"0",""),"-",""))+LEN(SUBSTITUTE(SUBSTITUTE(SUBSTITUTE(K157," ",""),"0",""),"-",""))&gt;LEN(SUBSTITUTE(SUBSTITUTE(SUBSTITUTE(M157," ",""),"0",""),"-",""))+LEN(SUBSTITUTE(SUBSTITUTE(SUBSTITUTE(N157," ",""),"0",""),"-","")))*1),0)+IF(OR(COUNTA(J159,K159,M159,N159)&gt;0,OR(L159="X",L159="x")),IF(OR(L159="X",L159="x",AND(OR(COUNTA(J159,K159,M159,N159)&gt;0,OR(L159="X",L159="x")),(LEN(SUBSTITUTE(SUBSTITUTE(SUBSTITUTE(J159," ",""),"0",""),"-",""))+LEN(SUBSTITUTE(SUBSTITUTE(SUBSTITUTE(K159," ",""),"0",""),"-","")))=(LEN(SUBSTITUTE(SUBSTITUTE(SUBSTITUTE(M159," ",""),"0",""),"-",""))+LEN(SUBSTITUTE(SUBSTITUTE(SUBSTITUTE(N159," ",""),"0",""),"-",""))))),0,(LEN(SUBSTITUTE(SUBSTITUTE(SUBSTITUTE(M159," ",""),"0",""),"-",""))+LEN(SUBSTITUTE(SUBSTITUTE(SUBSTITUTE(N159," ",""),"0",""),"-",""))&gt;LEN(SUBSTITUTE(SUBSTITUTE(SUBSTITUTE(J159," ",""),"0",""),"-",""))+LEN(SUBSTITUTE(SUBSTITUTE(SUBSTITUTE(K159," ",""),"0",""),"-","")))*1),0)</f>
      </c>
      <c r="K163" s="14" t="str">
        <f>IF(OR(COUNTA(J157,K157,M157,N157)&gt;0,OR(L157="X",L157="x")),IF(OR(L157="X",L157="x",AND(OR(COUNTA(J157,K157,M157,N157)&gt;0,OR(L157="X",L157="x")),(LEN(SUBSTITUTE(SUBSTITUTE(SUBSTITUTE(J157," ",""),"0",""),"-",""))+LEN(SUBSTITUTE(SUBSTITUTE(SUBSTITUTE(K157," ",""),"0",""),"-","")))=(LEN(SUBSTITUTE(SUBSTITUTE(SUBSTITUTE(M157," ",""),"0",""),"-",""))+LEN(SUBSTITUTE(SUBSTITUTE(SUBSTITUTE(N157," ",""),"0",""),"-",""))))),0,(LEN(SUBSTITUTE(SUBSTITUTE(SUBSTITUTE(J157," ",""),"0",""),"-",""))+LEN(SUBSTITUTE(SUBSTITUTE(SUBSTITUTE(K157," ",""),"0",""),"-",""))&lt;LEN(SUBSTITUTE(SUBSTITUTE(SUBSTITUTE(M157," ",""),"0",""),"-",""))+LEN(SUBSTITUTE(SUBSTITUTE(SUBSTITUTE(N157," ",""),"0",""),"-","")))*1),0)+IF(OR(COUNTA(J159,K159,M159,N159)&gt;0,OR(L159="X",L159="x")),IF(OR(L159="X",L159="x",AND(OR(COUNTA(J159,K159,M159,N159)&gt;0,OR(L159="X",L159="x")),(LEN(SUBSTITUTE(SUBSTITUTE(SUBSTITUTE(J159," ",""),"0",""),"-",""))+LEN(SUBSTITUTE(SUBSTITUTE(SUBSTITUTE(K159," ",""),"0",""),"-","")))=(LEN(SUBSTITUTE(SUBSTITUTE(SUBSTITUTE(M159," ",""),"0",""),"-",""))+LEN(SUBSTITUTE(SUBSTITUTE(SUBSTITUTE(N159," ",""),"0",""),"-",""))))),0,(LEN(SUBSTITUTE(SUBSTITUTE(SUBSTITUTE(M159," ",""),"0",""),"-",""))+LEN(SUBSTITUTE(SUBSTITUTE(SUBSTITUTE(N159," ",""),"0",""),"-",""))&lt;LEN(SUBSTITUTE(SUBSTITUTE(SUBSTITUTE(J159," ",""),"0",""),"-",""))+LEN(SUBSTITUTE(SUBSTITUTE(SUBSTITUTE(K159," ",""),"0",""),"-","")))*1),0)</f>
      </c>
      <c r="L163" s="14" t="str">
        <f>IF(OR(COUNTA(J157,K157,M157,N157)&gt;0,OR(L157="X",L157="x")),IF(OR(L157="X",L157="x",AND(OR(COUNTA(J157,K157,M157,N157)&gt;0,OR(L157="X",L157="x")),(LEN(SUBSTITUTE(SUBSTITUTE(SUBSTITUTE(J157," ",""),"0",""),"-",""))+LEN(SUBSTITUTE(SUBSTITUTE(SUBSTITUTE(K157," ",""),"0",""),"-","")))=(LEN(SUBSTITUTE(SUBSTITUTE(SUBSTITUTE(M157," ",""),"0",""),"-",""))+LEN(SUBSTITUTE(SUBSTITUTE(SUBSTITUTE(N157," ",""),"0",""),"-",""))))),1,0),0)+IF(OR(COUNTA(J159,K159,M159,N159)&gt;0,OR(L159="X",L159="x")),IF(OR(L159="X",L159="x",AND(OR(COUNTA(J159,K159,M159,N159)&gt;0,OR(L159="X",L159="x")),(LEN(SUBSTITUTE(SUBSTITUTE(SUBSTITUTE(J159," ",""),"0",""),"-",""))+LEN(SUBSTITUTE(SUBSTITUTE(SUBSTITUTE(K159," ",""),"0",""),"-","")))=(LEN(SUBSTITUTE(SUBSTITUTE(SUBSTITUTE(M159," ",""),"0",""),"-",""))+LEN(SUBSTITUTE(SUBSTITUTE(SUBSTITUTE(N159," ",""),"0",""),"-",""))))),1,0),0)</f>
      </c>
      <c r="M163" s="14" t="str">
        <f>LEN(SUBSTITUTE(SUBSTITUTE(SUBSTITUTE(J157," ",""),"0",""),"-",""))+LEN(SUBSTITUTE(SUBSTITUTE(SUBSTITUTE(K157," ",""),"0",""),"-",""))+LEN(SUBSTITUTE(SUBSTITUTE(SUBSTITUTE(M159," ",""),"0",""),"-",""))+LEN(SUBSTITUTE(SUBSTITUTE(SUBSTITUTE(N159," ",""),"0",""),"-",""))</f>
      </c>
      <c r="N163" s="14" t="str">
        <f>LEN(SUBSTITUTE(SUBSTITUTE(SUBSTITUTE(M157," ",""),"0",""),"-",""))+LEN(SUBSTITUTE(SUBSTITUTE(SUBSTITUTE(N157," ",""),"0",""),"-",""))+LEN(SUBSTITUTE(SUBSTITUTE(SUBSTITUTE(J159," ",""),"0",""),"-",""))+LEN(SUBSTITUTE(SUBSTITUTE(SUBSTITUTE(K159," ",""),"0",""),"-",""))</f>
      </c>
      <c r="O163" s="18" t="str">
        <f>RANK(AC163,$AC$162:$AC$164)+COUNTIF($AC$161:AC162,AC163)</f>
      </c>
      <c r="U163" t="str">
        <f>(B163*1000000)-(C163*10000)+(D163*100)+(E163*1)-(F163*0.01)</f>
      </c>
      <c r="AC163" t="str">
        <f>(J163*1000000)-(K163*10000)+(L163*100)+(M163*1)-(N163*0.01)</f>
      </c>
    </row>
    <row r="164">
      <c r="A164" s="14" t="str">
        <f>data!$E$32&amp;" "&amp;data!$B$32</f>
      </c>
      <c r="B164" s="14" t="str">
        <f>IF(OR(COUNTA(B158,C158,E158,F158)&gt;0,OR(D158="X",D158="x")),IF(OR(D158="X",D158="x",AND(OR(COUNTA(B158,C158,E158,F158)&gt;0,OR(D158="X",D158="x")),(LEN(SUBSTITUTE(SUBSTITUTE(SUBSTITUTE(B158," ",""),"0",""),"-",""))+LEN(SUBSTITUTE(SUBSTITUTE(SUBSTITUTE(C158," ",""),"0",""),"-","")))=(LEN(SUBSTITUTE(SUBSTITUTE(SUBSTITUTE(E158," ",""),"0",""),"-",""))+LEN(SUBSTITUTE(SUBSTITUTE(SUBSTITUTE(F158," ",""),"0",""),"-",""))))),0,(LEN(SUBSTITUTE(SUBSTITUTE(SUBSTITUTE(B158," ",""),"0",""),"-",""))+LEN(SUBSTITUTE(SUBSTITUTE(SUBSTITUTE(C158," ",""),"0",""),"-",""))&gt;LEN(SUBSTITUTE(SUBSTITUTE(SUBSTITUTE(E158," ",""),"0",""),"-",""))+LEN(SUBSTITUTE(SUBSTITUTE(SUBSTITUTE(F158," ",""),"0",""),"-","")))*1),0)+IF(OR(COUNTA(B159,C159,E159,F159)&gt;0,OR(D159="X",D159="x")),IF(OR(D159="X",D159="x",AND(OR(COUNTA(B159,C159,E159,F159)&gt;0,OR(D159="X",D159="x")),(LEN(SUBSTITUTE(SUBSTITUTE(SUBSTITUTE(B159," ",""),"0",""),"-",""))+LEN(SUBSTITUTE(SUBSTITUTE(SUBSTITUTE(C159," ",""),"0",""),"-","")))=(LEN(SUBSTITUTE(SUBSTITUTE(SUBSTITUTE(E159," ",""),"0",""),"-",""))+LEN(SUBSTITUTE(SUBSTITUTE(SUBSTITUTE(F159," ",""),"0",""),"-",""))))),0,(LEN(SUBSTITUTE(SUBSTITUTE(SUBSTITUTE(B159," ",""),"0",""),"-",""))+LEN(SUBSTITUTE(SUBSTITUTE(SUBSTITUTE(C159," ",""),"0",""),"-",""))&gt;LEN(SUBSTITUTE(SUBSTITUTE(SUBSTITUTE(E159," ",""),"0",""),"-",""))+LEN(SUBSTITUTE(SUBSTITUTE(SUBSTITUTE(F159," ",""),"0",""),"-","")))*1),0)</f>
      </c>
      <c r="C164" s="14" t="str">
        <f>IF(OR(COUNTA(B158,C158,E158,F158)&gt;0,OR(D158="X",D158="x")),IF(OR(D158="X",D158="x",AND(OR(COUNTA(B158,C158,E158,F158)&gt;0,OR(D158="X",D158="x")),(LEN(SUBSTITUTE(SUBSTITUTE(SUBSTITUTE(B158," ",""),"0",""),"-",""))+LEN(SUBSTITUTE(SUBSTITUTE(SUBSTITUTE(C158," ",""),"0",""),"-","")))=(LEN(SUBSTITUTE(SUBSTITUTE(SUBSTITUTE(E158," ",""),"0",""),"-",""))+LEN(SUBSTITUTE(SUBSTITUTE(SUBSTITUTE(F158," ",""),"0",""),"-",""))))),0,(LEN(SUBSTITUTE(SUBSTITUTE(SUBSTITUTE(B158," ",""),"0",""),"-",""))+LEN(SUBSTITUTE(SUBSTITUTE(SUBSTITUTE(C158," ",""),"0",""),"-",""))&lt;LEN(SUBSTITUTE(SUBSTITUTE(SUBSTITUTE(E158," ",""),"0",""),"-",""))+LEN(SUBSTITUTE(SUBSTITUTE(SUBSTITUTE(F158," ",""),"0",""),"-","")))*1),0)+IF(OR(COUNTA(B159,C159,E159,F159)&gt;0,OR(D159="X",D159="x")),IF(OR(D159="X",D159="x",AND(OR(COUNTA(B159,C159,E159,F159)&gt;0,OR(D159="X",D159="x")),(LEN(SUBSTITUTE(SUBSTITUTE(SUBSTITUTE(B159," ",""),"0",""),"-",""))+LEN(SUBSTITUTE(SUBSTITUTE(SUBSTITUTE(C159," ",""),"0",""),"-","")))=(LEN(SUBSTITUTE(SUBSTITUTE(SUBSTITUTE(E159," ",""),"0",""),"-",""))+LEN(SUBSTITUTE(SUBSTITUTE(SUBSTITUTE(F159," ",""),"0",""),"-",""))))),0,(LEN(SUBSTITUTE(SUBSTITUTE(SUBSTITUTE(B159," ",""),"0",""),"-",""))+LEN(SUBSTITUTE(SUBSTITUTE(SUBSTITUTE(C159," ",""),"0",""),"-",""))&lt;LEN(SUBSTITUTE(SUBSTITUTE(SUBSTITUTE(E159," ",""),"0",""),"-",""))+LEN(SUBSTITUTE(SUBSTITUTE(SUBSTITUTE(F159," ",""),"0",""),"-","")))*1),0)</f>
      </c>
      <c r="D164" s="14" t="str">
        <f>IF(OR(COUNTA(B158,C158,E158,F158)&gt;0,OR(D158="X",D158="x")),IF(OR(D158="X",D158="x",AND(OR(COUNTA(B158,C158,E158,F158)&gt;0,OR(D158="X",D158="x")),(LEN(SUBSTITUTE(SUBSTITUTE(SUBSTITUTE(B158," ",""),"0",""),"-",""))+LEN(SUBSTITUTE(SUBSTITUTE(SUBSTITUTE(C158," ",""),"0",""),"-","")))=(LEN(SUBSTITUTE(SUBSTITUTE(SUBSTITUTE(E158," ",""),"0",""),"-",""))+LEN(SUBSTITUTE(SUBSTITUTE(SUBSTITUTE(F158," ",""),"0",""),"-",""))))),1,0),0)+IF(OR(COUNTA(B159,C159,E159,F159)&gt;0,OR(D159="X",D159="x")),IF(OR(D159="X",D159="x",AND(OR(COUNTA(B159,C159,E159,F159)&gt;0,OR(D159="X",D159="x")),(LEN(SUBSTITUTE(SUBSTITUTE(SUBSTITUTE(B159," ",""),"0",""),"-",""))+LEN(SUBSTITUTE(SUBSTITUTE(SUBSTITUTE(C159," ",""),"0",""),"-","")))=(LEN(SUBSTITUTE(SUBSTITUTE(SUBSTITUTE(E159," ",""),"0",""),"-",""))+LEN(SUBSTITUTE(SUBSTITUTE(SUBSTITUTE(F159," ",""),"0",""),"-",""))))),1,0),0)</f>
      </c>
      <c r="E164" s="14" t="str">
        <f>LEN(SUBSTITUTE(SUBSTITUTE(SUBSTITUTE(B158," ",""),"0",""),"-",""))+LEN(SUBSTITUTE(SUBSTITUTE(SUBSTITUTE(C158," ",""),"0",""),"-",""))+LEN(SUBSTITUTE(SUBSTITUTE(SUBSTITUTE(B159," ",""),"0",""),"-",""))+LEN(SUBSTITUTE(SUBSTITUTE(SUBSTITUTE(C159," ",""),"0",""),"-",""))</f>
      </c>
      <c r="F164" s="14" t="str">
        <f>LEN(SUBSTITUTE(SUBSTITUTE(SUBSTITUTE(E158," ",""),"0",""),"-",""))+LEN(SUBSTITUTE(SUBSTITUTE(SUBSTITUTE(F158," ",""),"0",""),"-",""))+LEN(SUBSTITUTE(SUBSTITUTE(SUBSTITUTE(E159," ",""),"0",""),"-",""))+LEN(SUBSTITUTE(SUBSTITUTE(SUBSTITUTE(F159," ",""),"0",""),"-",""))</f>
      </c>
      <c r="G164" s="18" t="str">
        <f>RANK(U164,$U$162:$U$164)+COUNTIF($U$161:U163,U164)</f>
      </c>
      <c r="I164" s="14" t="str">
        <f>data!$E$79&amp;" "&amp;data!$B$79</f>
      </c>
      <c r="J164" s="14" t="str">
        <f>IF(OR(COUNTA(J158,K158,M158,N158)&gt;0,OR(L158="X",L158="x")),IF(OR(L158="X",L158="x",AND(OR(COUNTA(J158,K158,M158,N158)&gt;0,OR(L158="X",L158="x")),(LEN(SUBSTITUTE(SUBSTITUTE(SUBSTITUTE(J158," ",""),"0",""),"-",""))+LEN(SUBSTITUTE(SUBSTITUTE(SUBSTITUTE(K158," ",""),"0",""),"-","")))=(LEN(SUBSTITUTE(SUBSTITUTE(SUBSTITUTE(M158," ",""),"0",""),"-",""))+LEN(SUBSTITUTE(SUBSTITUTE(SUBSTITUTE(N158," ",""),"0",""),"-",""))))),0,(LEN(SUBSTITUTE(SUBSTITUTE(SUBSTITUTE(J158," ",""),"0",""),"-",""))+LEN(SUBSTITUTE(SUBSTITUTE(SUBSTITUTE(K158," ",""),"0",""),"-",""))&gt;LEN(SUBSTITUTE(SUBSTITUTE(SUBSTITUTE(M158," ",""),"0",""),"-",""))+LEN(SUBSTITUTE(SUBSTITUTE(SUBSTITUTE(N158," ",""),"0",""),"-","")))*1),0)+IF(OR(COUNTA(J159,K159,M159,N159)&gt;0,OR(L159="X",L159="x")),IF(OR(L159="X",L159="x",AND(OR(COUNTA(J159,K159,M159,N159)&gt;0,OR(L159="X",L159="x")),(LEN(SUBSTITUTE(SUBSTITUTE(SUBSTITUTE(J159," ",""),"0",""),"-",""))+LEN(SUBSTITUTE(SUBSTITUTE(SUBSTITUTE(K159," ",""),"0",""),"-","")))=(LEN(SUBSTITUTE(SUBSTITUTE(SUBSTITUTE(M159," ",""),"0",""),"-",""))+LEN(SUBSTITUTE(SUBSTITUTE(SUBSTITUTE(N159," ",""),"0",""),"-",""))))),0,(LEN(SUBSTITUTE(SUBSTITUTE(SUBSTITUTE(J159," ",""),"0",""),"-",""))+LEN(SUBSTITUTE(SUBSTITUTE(SUBSTITUTE(K159," ",""),"0",""),"-",""))&gt;LEN(SUBSTITUTE(SUBSTITUTE(SUBSTITUTE(M159," ",""),"0",""),"-",""))+LEN(SUBSTITUTE(SUBSTITUTE(SUBSTITUTE(N159," ",""),"0",""),"-","")))*1),0)</f>
      </c>
      <c r="K164" s="14" t="str">
        <f>IF(OR(COUNTA(J158,K158,M158,N158)&gt;0,OR(L158="X",L158="x")),IF(OR(L158="X",L158="x",AND(OR(COUNTA(J158,K158,M158,N158)&gt;0,OR(L158="X",L158="x")),(LEN(SUBSTITUTE(SUBSTITUTE(SUBSTITUTE(J158," ",""),"0",""),"-",""))+LEN(SUBSTITUTE(SUBSTITUTE(SUBSTITUTE(K158," ",""),"0",""),"-","")))=(LEN(SUBSTITUTE(SUBSTITUTE(SUBSTITUTE(M158," ",""),"0",""),"-",""))+LEN(SUBSTITUTE(SUBSTITUTE(SUBSTITUTE(N158," ",""),"0",""),"-",""))))),0,(LEN(SUBSTITUTE(SUBSTITUTE(SUBSTITUTE(J158," ",""),"0",""),"-",""))+LEN(SUBSTITUTE(SUBSTITUTE(SUBSTITUTE(K158," ",""),"0",""),"-",""))&lt;LEN(SUBSTITUTE(SUBSTITUTE(SUBSTITUTE(M158," ",""),"0",""),"-",""))+LEN(SUBSTITUTE(SUBSTITUTE(SUBSTITUTE(N158," ",""),"0",""),"-","")))*1),0)+IF(OR(COUNTA(J159,K159,M159,N159)&gt;0,OR(L159="X",L159="x")),IF(OR(L159="X",L159="x",AND(OR(COUNTA(J159,K159,M159,N159)&gt;0,OR(L159="X",L159="x")),(LEN(SUBSTITUTE(SUBSTITUTE(SUBSTITUTE(J159," ",""),"0",""),"-",""))+LEN(SUBSTITUTE(SUBSTITUTE(SUBSTITUTE(K159," ",""),"0",""),"-","")))=(LEN(SUBSTITUTE(SUBSTITUTE(SUBSTITUTE(M159," ",""),"0",""),"-",""))+LEN(SUBSTITUTE(SUBSTITUTE(SUBSTITUTE(N159," ",""),"0",""),"-",""))))),0,(LEN(SUBSTITUTE(SUBSTITUTE(SUBSTITUTE(J159," ",""),"0",""),"-",""))+LEN(SUBSTITUTE(SUBSTITUTE(SUBSTITUTE(K159," ",""),"0",""),"-",""))&lt;LEN(SUBSTITUTE(SUBSTITUTE(SUBSTITUTE(M159," ",""),"0",""),"-",""))+LEN(SUBSTITUTE(SUBSTITUTE(SUBSTITUTE(N159," ",""),"0",""),"-","")))*1),0)</f>
      </c>
      <c r="L164" s="14" t="str">
        <f>IF(OR(COUNTA(J158,K158,M158,N158)&gt;0,OR(L158="X",L158="x")),IF(OR(L158="X",L158="x",AND(OR(COUNTA(J158,K158,M158,N158)&gt;0,OR(L158="X",L158="x")),(LEN(SUBSTITUTE(SUBSTITUTE(SUBSTITUTE(J158," ",""),"0",""),"-",""))+LEN(SUBSTITUTE(SUBSTITUTE(SUBSTITUTE(K158," ",""),"0",""),"-","")))=(LEN(SUBSTITUTE(SUBSTITUTE(SUBSTITUTE(M158," ",""),"0",""),"-",""))+LEN(SUBSTITUTE(SUBSTITUTE(SUBSTITUTE(N158," ",""),"0",""),"-",""))))),1,0),0)+IF(OR(COUNTA(J159,K159,M159,N159)&gt;0,OR(L159="X",L159="x")),IF(OR(L159="X",L159="x",AND(OR(COUNTA(J159,K159,M159,N159)&gt;0,OR(L159="X",L159="x")),(LEN(SUBSTITUTE(SUBSTITUTE(SUBSTITUTE(J159," ",""),"0",""),"-",""))+LEN(SUBSTITUTE(SUBSTITUTE(SUBSTITUTE(K159," ",""),"0",""),"-","")))=(LEN(SUBSTITUTE(SUBSTITUTE(SUBSTITUTE(M159," ",""),"0",""),"-",""))+LEN(SUBSTITUTE(SUBSTITUTE(SUBSTITUTE(N159," ",""),"0",""),"-",""))))),1,0),0)</f>
      </c>
      <c r="M164" s="14" t="str">
        <f>LEN(SUBSTITUTE(SUBSTITUTE(SUBSTITUTE(J158," ",""),"0",""),"-",""))+LEN(SUBSTITUTE(SUBSTITUTE(SUBSTITUTE(K158," ",""),"0",""),"-",""))+LEN(SUBSTITUTE(SUBSTITUTE(SUBSTITUTE(J159," ",""),"0",""),"-",""))+LEN(SUBSTITUTE(SUBSTITUTE(SUBSTITUTE(K159," ",""),"0",""),"-",""))</f>
      </c>
      <c r="N164" s="14" t="str">
        <f>LEN(SUBSTITUTE(SUBSTITUTE(SUBSTITUTE(M158," ",""),"0",""),"-",""))+LEN(SUBSTITUTE(SUBSTITUTE(SUBSTITUTE(N158," ",""),"0",""),"-",""))+LEN(SUBSTITUTE(SUBSTITUTE(SUBSTITUTE(M159," ",""),"0",""),"-",""))+LEN(SUBSTITUTE(SUBSTITUTE(SUBSTITUTE(N159," ",""),"0",""),"-",""))</f>
      </c>
      <c r="O164" s="18" t="str">
        <f>RANK(AC164,$AC$162:$AC$164)+COUNTIF($AC$161:AC163,AC164)</f>
      </c>
      <c r="U164" t="str">
        <f>(B164*1000000)-(C164*10000)+(D164*100)+(E164*1)-(F164*0.01)</f>
      </c>
      <c r="AC164" t="str">
        <f>(J164*1000000)-(K164*10000)+(L164*100)+(M164*1)-(N164*0.01)</f>
      </c>
    </row>
    <row r="167">
      <c r="F167" s="13"/>
      <c r="G167" s="13" t="s">
        <v>341</v>
      </c>
      <c r="N167" s="13"/>
      <c r="O167" s="13" t="s">
        <v>341</v>
      </c>
    </row>
    <row r="168">
      <c r="F168" t="s">
        <v>342</v>
      </c>
      <c r="G168" s="19" t="str">
        <f>IFERROR(INDEX($A$162:$A$164, MATCH(1, $G$162:$G$164, 0)), "-")</f>
      </c>
      <c r="N168" t="s">
        <v>342</v>
      </c>
      <c r="O168" s="19" t="str">
        <f>IFERROR(INDEX($I$162:$I$164, MATCH(1, $O$162:$O$164, 0)), "-")</f>
      </c>
    </row>
    <row r="169">
      <c r="F169" t="s">
        <v>343</v>
      </c>
      <c r="G169" s="19" t="str">
        <f>IFERROR(INDEX($A$162:$A$164, MATCH(2, $G$162:$G$164, 0)), "-")</f>
      </c>
      <c r="N169" t="s">
        <v>343</v>
      </c>
      <c r="O169" s="19" t="str">
        <f>IFERROR(INDEX($I$162:$I$164, MATCH(2, $O$162:$O$164, 0)), "-")</f>
      </c>
    </row>
    <row r="170">
      <c r="F170" t="s">
        <v>344</v>
      </c>
      <c r="G170" s="19" t="str">
        <f>IFERROR(INDEX($A$162:$A$164, MATCH(3, $G$162:$G$164, 0)), "-")</f>
      </c>
      <c r="N170" t="s">
        <v>344</v>
      </c>
      <c r="O170" s="19" t="str">
        <f>IFERROR(INDEX($I$162:$I$164, MATCH(3, $O$162:$O$164, 0)), "-")</f>
      </c>
    </row>
    <row r="172">
      <c r="A172" s="13" t="str">
        <f>'data'!$A$35</f>
      </c>
      <c r="B172" s="13"/>
      <c r="C172" s="13"/>
      <c r="D172" s="13"/>
      <c r="E172" s="13"/>
      <c r="F172" s="13"/>
      <c r="G172" s="13"/>
      <c r="I172" s="13" t="str">
        <f>'data'!$A$82</f>
      </c>
      <c r="J172" s="13"/>
      <c r="K172" s="13"/>
      <c r="L172" s="13"/>
      <c r="M172" s="13"/>
      <c r="N172" s="13"/>
      <c r="O172" s="13"/>
    </row>
    <row r="173">
      <c r="A173" s="17" t="s">
        <v>331</v>
      </c>
      <c r="D173" s="14" t="s">
        <v>332</v>
      </c>
      <c r="G173" s="16" t="s">
        <v>333</v>
      </c>
      <c r="I173" s="17" t="s">
        <v>331</v>
      </c>
      <c r="L173" s="14" t="s">
        <v>332</v>
      </c>
      <c r="O173" s="16" t="s">
        <v>333</v>
      </c>
    </row>
    <row r="174">
      <c r="A174" s="14" t="str">
        <f>data!$E$34&amp;" "&amp;data!$B$34</f>
      </c>
      <c r="B174" s="18"/>
      <c r="C174" s="18"/>
      <c r="D174" s="18"/>
      <c r="E174" s="18"/>
      <c r="F174" s="18"/>
      <c r="G174" s="14" t="str">
        <f>data!$E$33&amp;" "&amp;data!$B$33</f>
      </c>
      <c r="I174" s="14" t="str">
        <f>data!$E$81&amp;" "&amp;data!$B$81</f>
      </c>
      <c r="J174" s="18"/>
      <c r="K174" s="18"/>
      <c r="L174" s="18"/>
      <c r="M174" s="18"/>
      <c r="N174" s="18"/>
      <c r="O174" s="14" t="str">
        <f>data!$E$80&amp;" "&amp;data!$B$80</f>
      </c>
    </row>
    <row r="175">
      <c r="A175" s="14" t="str">
        <f>data!$E$35&amp;" "&amp;data!$B$35</f>
      </c>
      <c r="B175" s="18"/>
      <c r="C175" s="18"/>
      <c r="D175" s="18"/>
      <c r="E175" s="18"/>
      <c r="F175" s="18"/>
      <c r="G175" s="14" t="str">
        <f>data!$E$33&amp;" "&amp;data!$B$33</f>
      </c>
      <c r="I175" s="14" t="str">
        <f>data!$E$82&amp;" "&amp;data!$B$82</f>
      </c>
      <c r="J175" s="18"/>
      <c r="K175" s="18"/>
      <c r="L175" s="18"/>
      <c r="M175" s="18"/>
      <c r="N175" s="18"/>
      <c r="O175" s="14" t="str">
        <f>data!$E$80&amp;" "&amp;data!$B$80</f>
      </c>
    </row>
    <row r="176">
      <c r="A176" s="14" t="str">
        <f>data!$E$35&amp;" "&amp;data!$B$35</f>
      </c>
      <c r="B176" s="18"/>
      <c r="C176" s="18"/>
      <c r="D176" s="18"/>
      <c r="E176" s="18"/>
      <c r="F176" s="18"/>
      <c r="G176" s="14" t="str">
        <f>data!$E$34&amp;" "&amp;data!$B$34</f>
      </c>
      <c r="I176" s="14" t="str">
        <f>data!$E$82&amp;" "&amp;data!$B$82</f>
      </c>
      <c r="J176" s="18"/>
      <c r="K176" s="18"/>
      <c r="L176" s="18"/>
      <c r="M176" s="18"/>
      <c r="N176" s="18"/>
      <c r="O176" s="14" t="str">
        <f>data!$E$81&amp;" "&amp;data!$B$81</f>
      </c>
    </row>
    <row r="178">
      <c r="A178" s="13" t="s">
        <v>334</v>
      </c>
      <c r="B178" s="13" t="s">
        <v>335</v>
      </c>
      <c r="C178" s="13" t="s">
        <v>336</v>
      </c>
      <c r="D178" s="13" t="s">
        <v>337</v>
      </c>
      <c r="E178" s="13" t="s">
        <v>338</v>
      </c>
      <c r="F178" s="13" t="s">
        <v>339</v>
      </c>
      <c r="G178" s="13" t="s">
        <v>340</v>
      </c>
      <c r="I178" s="13" t="s">
        <v>334</v>
      </c>
      <c r="J178" s="13" t="s">
        <v>335</v>
      </c>
      <c r="K178" s="13" t="s">
        <v>336</v>
      </c>
      <c r="L178" s="13" t="s">
        <v>337</v>
      </c>
      <c r="M178" s="13" t="s">
        <v>338</v>
      </c>
      <c r="N178" s="13" t="s">
        <v>339</v>
      </c>
      <c r="O178" s="13" t="s">
        <v>340</v>
      </c>
    </row>
    <row r="179">
      <c r="A179" s="14" t="str">
        <f>data!$E$33&amp;" "&amp;data!$B$33</f>
      </c>
      <c r="B179" s="14" t="str">
        <f>IF(OR(COUNTA(B174,C174,E174,F174)&gt;0,OR(D174="X",D174="x")),IF(OR(D174="X",D174="x",AND(OR(COUNTA(B174,C174,E174,F174)&gt;0,OR(D174="X",D174="x")),(LEN(SUBSTITUTE(SUBSTITUTE(SUBSTITUTE(B174," ",""),"0",""),"-",""))+LEN(SUBSTITUTE(SUBSTITUTE(SUBSTITUTE(C174," ",""),"0",""),"-","")))=(LEN(SUBSTITUTE(SUBSTITUTE(SUBSTITUTE(E174," ",""),"0",""),"-",""))+LEN(SUBSTITUTE(SUBSTITUTE(SUBSTITUTE(F174," ",""),"0",""),"-",""))))),0,(LEN(SUBSTITUTE(SUBSTITUTE(SUBSTITUTE(E174," ",""),"0",""),"-",""))+LEN(SUBSTITUTE(SUBSTITUTE(SUBSTITUTE(F174," ",""),"0",""),"-",""))&gt;LEN(SUBSTITUTE(SUBSTITUTE(SUBSTITUTE(B174," ",""),"0",""),"-",""))+LEN(SUBSTITUTE(SUBSTITUTE(SUBSTITUTE(C174," ",""),"0",""),"-","")))*1),0)+IF(OR(COUNTA(B175,C175,E175,F175)&gt;0,OR(D175="X",D175="x")),IF(OR(D175="X",D175="x",AND(OR(COUNTA(B175,C175,E175,F175)&gt;0,OR(D175="X",D175="x")),(LEN(SUBSTITUTE(SUBSTITUTE(SUBSTITUTE(B175," ",""),"0",""),"-",""))+LEN(SUBSTITUTE(SUBSTITUTE(SUBSTITUTE(C175," ",""),"0",""),"-","")))=(LEN(SUBSTITUTE(SUBSTITUTE(SUBSTITUTE(E175," ",""),"0",""),"-",""))+LEN(SUBSTITUTE(SUBSTITUTE(SUBSTITUTE(F175," ",""),"0",""),"-",""))))),0,(LEN(SUBSTITUTE(SUBSTITUTE(SUBSTITUTE(E175," ",""),"0",""),"-",""))+LEN(SUBSTITUTE(SUBSTITUTE(SUBSTITUTE(F175," ",""),"0",""),"-",""))&gt;LEN(SUBSTITUTE(SUBSTITUTE(SUBSTITUTE(B175," ",""),"0",""),"-",""))+LEN(SUBSTITUTE(SUBSTITUTE(SUBSTITUTE(C175," ",""),"0",""),"-","")))*1),0)</f>
      </c>
      <c r="C179" s="14" t="str">
        <f>IF(OR(COUNTA(B174,C174,E174,F174)&gt;0,OR(D174="X",D174="x")),IF(OR(D174="X",D174="x",AND(OR(COUNTA(B174,C174,E174,F174)&gt;0,OR(D174="X",D174="x")),(LEN(SUBSTITUTE(SUBSTITUTE(SUBSTITUTE(B174," ",""),"0",""),"-",""))+LEN(SUBSTITUTE(SUBSTITUTE(SUBSTITUTE(C174," ",""),"0",""),"-","")))=(LEN(SUBSTITUTE(SUBSTITUTE(SUBSTITUTE(E174," ",""),"0",""),"-",""))+LEN(SUBSTITUTE(SUBSTITUTE(SUBSTITUTE(F174," ",""),"0",""),"-",""))))),0,(LEN(SUBSTITUTE(SUBSTITUTE(SUBSTITUTE(E174," ",""),"0",""),"-",""))+LEN(SUBSTITUTE(SUBSTITUTE(SUBSTITUTE(F174," ",""),"0",""),"-",""))&lt;LEN(SUBSTITUTE(SUBSTITUTE(SUBSTITUTE(B174," ",""),"0",""),"-",""))+LEN(SUBSTITUTE(SUBSTITUTE(SUBSTITUTE(C174," ",""),"0",""),"-","")))*1),0)+IF(OR(COUNTA(B175,C175,E175,F175)&gt;0,OR(D175="X",D175="x")),IF(OR(D175="X",D175="x",AND(OR(COUNTA(B175,C175,E175,F175)&gt;0,OR(D175="X",D175="x")),(LEN(SUBSTITUTE(SUBSTITUTE(SUBSTITUTE(B175," ",""),"0",""),"-",""))+LEN(SUBSTITUTE(SUBSTITUTE(SUBSTITUTE(C175," ",""),"0",""),"-","")))=(LEN(SUBSTITUTE(SUBSTITUTE(SUBSTITUTE(E175," ",""),"0",""),"-",""))+LEN(SUBSTITUTE(SUBSTITUTE(SUBSTITUTE(F175," ",""),"0",""),"-",""))))),0,(LEN(SUBSTITUTE(SUBSTITUTE(SUBSTITUTE(E175," ",""),"0",""),"-",""))+LEN(SUBSTITUTE(SUBSTITUTE(SUBSTITUTE(F175," ",""),"0",""),"-",""))&lt;LEN(SUBSTITUTE(SUBSTITUTE(SUBSTITUTE(B175," ",""),"0",""),"-",""))+LEN(SUBSTITUTE(SUBSTITUTE(SUBSTITUTE(C175," ",""),"0",""),"-","")))*1),0)</f>
      </c>
      <c r="D179" s="14" t="str">
        <f>IF(OR(COUNTA(B174,C174,E174,F174)&gt;0,OR(D174="X",D174="x")),IF(OR(D174="X",D174="x",AND(OR(COUNTA(B174,C174,E174,F174)&gt;0,OR(D174="X",D174="x")),(LEN(SUBSTITUTE(SUBSTITUTE(SUBSTITUTE(B174," ",""),"0",""),"-",""))+LEN(SUBSTITUTE(SUBSTITUTE(SUBSTITUTE(C174," ",""),"0",""),"-","")))=(LEN(SUBSTITUTE(SUBSTITUTE(SUBSTITUTE(E174," ",""),"0",""),"-",""))+LEN(SUBSTITUTE(SUBSTITUTE(SUBSTITUTE(F174," ",""),"0",""),"-",""))))),1,0),0)+IF(OR(COUNTA(B175,C175,E175,F175)&gt;0,OR(D175="X",D175="x")),IF(OR(D175="X",D175="x",AND(OR(COUNTA(B175,C175,E175,F175)&gt;0,OR(D175="X",D175="x")),(LEN(SUBSTITUTE(SUBSTITUTE(SUBSTITUTE(B175," ",""),"0",""),"-",""))+LEN(SUBSTITUTE(SUBSTITUTE(SUBSTITUTE(C175," ",""),"0",""),"-","")))=(LEN(SUBSTITUTE(SUBSTITUTE(SUBSTITUTE(E175," ",""),"0",""),"-",""))+LEN(SUBSTITUTE(SUBSTITUTE(SUBSTITUTE(F175," ",""),"0",""),"-",""))))),1,0),0)</f>
      </c>
      <c r="E179" s="14" t="str">
        <f>LEN(SUBSTITUTE(SUBSTITUTE(SUBSTITUTE(E174," ",""),"0",""),"-",""))+LEN(SUBSTITUTE(SUBSTITUTE(SUBSTITUTE(F174," ",""),"0",""),"-",""))+LEN(SUBSTITUTE(SUBSTITUTE(SUBSTITUTE(E175," ",""),"0",""),"-",""))+LEN(SUBSTITUTE(SUBSTITUTE(SUBSTITUTE(F175," ",""),"0",""),"-",""))</f>
      </c>
      <c r="F179" s="14" t="str">
        <f>LEN(SUBSTITUTE(SUBSTITUTE(SUBSTITUTE(B174," ",""),"0",""),"-",""))+LEN(SUBSTITUTE(SUBSTITUTE(SUBSTITUTE(C174," ",""),"0",""),"-",""))+LEN(SUBSTITUTE(SUBSTITUTE(SUBSTITUTE(B175," ",""),"0",""),"-",""))+LEN(SUBSTITUTE(SUBSTITUTE(SUBSTITUTE(C175," ",""),"0",""),"-",""))</f>
      </c>
      <c r="G179" s="18" t="str">
        <f>RANK(U179,$U$179:$U$181)+COUNTIF($U$178:U178,U179)</f>
      </c>
      <c r="I179" s="14" t="str">
        <f>data!$E$80&amp;" "&amp;data!$B$80</f>
      </c>
      <c r="J179" s="14" t="str">
        <f>IF(OR(COUNTA(J174,K174,M174,N174)&gt;0,OR(L174="X",L174="x")),IF(OR(L174="X",L174="x",AND(OR(COUNTA(J174,K174,M174,N174)&gt;0,OR(L174="X",L174="x")),(LEN(SUBSTITUTE(SUBSTITUTE(SUBSTITUTE(J174," ",""),"0",""),"-",""))+LEN(SUBSTITUTE(SUBSTITUTE(SUBSTITUTE(K174," ",""),"0",""),"-","")))=(LEN(SUBSTITUTE(SUBSTITUTE(SUBSTITUTE(M174," ",""),"0",""),"-",""))+LEN(SUBSTITUTE(SUBSTITUTE(SUBSTITUTE(N174," ",""),"0",""),"-",""))))),0,(LEN(SUBSTITUTE(SUBSTITUTE(SUBSTITUTE(M174," ",""),"0",""),"-",""))+LEN(SUBSTITUTE(SUBSTITUTE(SUBSTITUTE(N174," ",""),"0",""),"-",""))&gt;LEN(SUBSTITUTE(SUBSTITUTE(SUBSTITUTE(J174," ",""),"0",""),"-",""))+LEN(SUBSTITUTE(SUBSTITUTE(SUBSTITUTE(K174," ",""),"0",""),"-","")))*1),0)+IF(OR(COUNTA(J175,K175,M175,N175)&gt;0,OR(L175="X",L175="x")),IF(OR(L175="X",L175="x",AND(OR(COUNTA(J175,K175,M175,N175)&gt;0,OR(L175="X",L175="x")),(LEN(SUBSTITUTE(SUBSTITUTE(SUBSTITUTE(J175," ",""),"0",""),"-",""))+LEN(SUBSTITUTE(SUBSTITUTE(SUBSTITUTE(K175," ",""),"0",""),"-","")))=(LEN(SUBSTITUTE(SUBSTITUTE(SUBSTITUTE(M175," ",""),"0",""),"-",""))+LEN(SUBSTITUTE(SUBSTITUTE(SUBSTITUTE(N175," ",""),"0",""),"-",""))))),0,(LEN(SUBSTITUTE(SUBSTITUTE(SUBSTITUTE(M175," ",""),"0",""),"-",""))+LEN(SUBSTITUTE(SUBSTITUTE(SUBSTITUTE(N175," ",""),"0",""),"-",""))&gt;LEN(SUBSTITUTE(SUBSTITUTE(SUBSTITUTE(J175," ",""),"0",""),"-",""))+LEN(SUBSTITUTE(SUBSTITUTE(SUBSTITUTE(K175," ",""),"0",""),"-","")))*1),0)</f>
      </c>
      <c r="K179" s="14" t="str">
        <f>IF(OR(COUNTA(J174,K174,M174,N174)&gt;0,OR(L174="X",L174="x")),IF(OR(L174="X",L174="x",AND(OR(COUNTA(J174,K174,M174,N174)&gt;0,OR(L174="X",L174="x")),(LEN(SUBSTITUTE(SUBSTITUTE(SUBSTITUTE(J174," ",""),"0",""),"-",""))+LEN(SUBSTITUTE(SUBSTITUTE(SUBSTITUTE(K174," ",""),"0",""),"-","")))=(LEN(SUBSTITUTE(SUBSTITUTE(SUBSTITUTE(M174," ",""),"0",""),"-",""))+LEN(SUBSTITUTE(SUBSTITUTE(SUBSTITUTE(N174," ",""),"0",""),"-",""))))),0,(LEN(SUBSTITUTE(SUBSTITUTE(SUBSTITUTE(M174," ",""),"0",""),"-",""))+LEN(SUBSTITUTE(SUBSTITUTE(SUBSTITUTE(N174," ",""),"0",""),"-",""))&lt;LEN(SUBSTITUTE(SUBSTITUTE(SUBSTITUTE(J174," ",""),"0",""),"-",""))+LEN(SUBSTITUTE(SUBSTITUTE(SUBSTITUTE(K174," ",""),"0",""),"-","")))*1),0)+IF(OR(COUNTA(J175,K175,M175,N175)&gt;0,OR(L175="X",L175="x")),IF(OR(L175="X",L175="x",AND(OR(COUNTA(J175,K175,M175,N175)&gt;0,OR(L175="X",L175="x")),(LEN(SUBSTITUTE(SUBSTITUTE(SUBSTITUTE(J175," ",""),"0",""),"-",""))+LEN(SUBSTITUTE(SUBSTITUTE(SUBSTITUTE(K175," ",""),"0",""),"-","")))=(LEN(SUBSTITUTE(SUBSTITUTE(SUBSTITUTE(M175," ",""),"0",""),"-",""))+LEN(SUBSTITUTE(SUBSTITUTE(SUBSTITUTE(N175," ",""),"0",""),"-",""))))),0,(LEN(SUBSTITUTE(SUBSTITUTE(SUBSTITUTE(M175," ",""),"0",""),"-",""))+LEN(SUBSTITUTE(SUBSTITUTE(SUBSTITUTE(N175," ",""),"0",""),"-",""))&lt;LEN(SUBSTITUTE(SUBSTITUTE(SUBSTITUTE(J175," ",""),"0",""),"-",""))+LEN(SUBSTITUTE(SUBSTITUTE(SUBSTITUTE(K175," ",""),"0",""),"-","")))*1),0)</f>
      </c>
      <c r="L179" s="14" t="str">
        <f>IF(OR(COUNTA(J174,K174,M174,N174)&gt;0,OR(L174="X",L174="x")),IF(OR(L174="X",L174="x",AND(OR(COUNTA(J174,K174,M174,N174)&gt;0,OR(L174="X",L174="x")),(LEN(SUBSTITUTE(SUBSTITUTE(SUBSTITUTE(J174," ",""),"0",""),"-",""))+LEN(SUBSTITUTE(SUBSTITUTE(SUBSTITUTE(K174," ",""),"0",""),"-","")))=(LEN(SUBSTITUTE(SUBSTITUTE(SUBSTITUTE(M174," ",""),"0",""),"-",""))+LEN(SUBSTITUTE(SUBSTITUTE(SUBSTITUTE(N174," ",""),"0",""),"-",""))))),1,0),0)+IF(OR(COUNTA(J175,K175,M175,N175)&gt;0,OR(L175="X",L175="x")),IF(OR(L175="X",L175="x",AND(OR(COUNTA(J175,K175,M175,N175)&gt;0,OR(L175="X",L175="x")),(LEN(SUBSTITUTE(SUBSTITUTE(SUBSTITUTE(J175," ",""),"0",""),"-",""))+LEN(SUBSTITUTE(SUBSTITUTE(SUBSTITUTE(K175," ",""),"0",""),"-","")))=(LEN(SUBSTITUTE(SUBSTITUTE(SUBSTITUTE(M175," ",""),"0",""),"-",""))+LEN(SUBSTITUTE(SUBSTITUTE(SUBSTITUTE(N175," ",""),"0",""),"-",""))))),1,0),0)</f>
      </c>
      <c r="M179" s="14" t="str">
        <f>LEN(SUBSTITUTE(SUBSTITUTE(SUBSTITUTE(M174," ",""),"0",""),"-",""))+LEN(SUBSTITUTE(SUBSTITUTE(SUBSTITUTE(N174," ",""),"0",""),"-",""))+LEN(SUBSTITUTE(SUBSTITUTE(SUBSTITUTE(M175," ",""),"0",""),"-",""))+LEN(SUBSTITUTE(SUBSTITUTE(SUBSTITUTE(N175," ",""),"0",""),"-",""))</f>
      </c>
      <c r="N179" s="14" t="str">
        <f>LEN(SUBSTITUTE(SUBSTITUTE(SUBSTITUTE(J174," ",""),"0",""),"-",""))+LEN(SUBSTITUTE(SUBSTITUTE(SUBSTITUTE(K174," ",""),"0",""),"-",""))+LEN(SUBSTITUTE(SUBSTITUTE(SUBSTITUTE(J175," ",""),"0",""),"-",""))+LEN(SUBSTITUTE(SUBSTITUTE(SUBSTITUTE(K175," ",""),"0",""),"-",""))</f>
      </c>
      <c r="O179" s="18" t="str">
        <f>RANK(AC179,$AC$179:$AC$181)+COUNTIF($AC$178:AC178,AC179)</f>
      </c>
      <c r="U179" t="str">
        <f>(B179*1000000)-(C179*10000)+(D179*100)+(E179*1)-(F179*0.01)</f>
      </c>
      <c r="AC179" t="str">
        <f>(J179*1000000)-(K179*10000)+(L179*100)+(M179*1)-(N179*0.01)</f>
      </c>
    </row>
    <row r="180">
      <c r="A180" s="14" t="str">
        <f>data!$E$34&amp;" "&amp;data!$B$34</f>
      </c>
      <c r="B180" s="14" t="str">
        <f>IF(OR(COUNTA(B174,C174,E174,F174)&gt;0,OR(D174="X",D174="x")),IF(OR(D174="X",D174="x",AND(OR(COUNTA(B174,C174,E174,F174)&gt;0,OR(D174="X",D174="x")),(LEN(SUBSTITUTE(SUBSTITUTE(SUBSTITUTE(B174," ",""),"0",""),"-",""))+LEN(SUBSTITUTE(SUBSTITUTE(SUBSTITUTE(C174," ",""),"0",""),"-","")))=(LEN(SUBSTITUTE(SUBSTITUTE(SUBSTITUTE(E174," ",""),"0",""),"-",""))+LEN(SUBSTITUTE(SUBSTITUTE(SUBSTITUTE(F174," ",""),"0",""),"-",""))))),0,(LEN(SUBSTITUTE(SUBSTITUTE(SUBSTITUTE(B174," ",""),"0",""),"-",""))+LEN(SUBSTITUTE(SUBSTITUTE(SUBSTITUTE(C174," ",""),"0",""),"-",""))&gt;LEN(SUBSTITUTE(SUBSTITUTE(SUBSTITUTE(E174," ",""),"0",""),"-",""))+LEN(SUBSTITUTE(SUBSTITUTE(SUBSTITUTE(F174," ",""),"0",""),"-","")))*1),0)+IF(OR(COUNTA(B176,C176,E176,F176)&gt;0,OR(D176="X",D176="x")),IF(OR(D176="X",D176="x",AND(OR(COUNTA(B176,C176,E176,F176)&gt;0,OR(D176="X",D176="x")),(LEN(SUBSTITUTE(SUBSTITUTE(SUBSTITUTE(B176," ",""),"0",""),"-",""))+LEN(SUBSTITUTE(SUBSTITUTE(SUBSTITUTE(C176," ",""),"0",""),"-","")))=(LEN(SUBSTITUTE(SUBSTITUTE(SUBSTITUTE(E176," ",""),"0",""),"-",""))+LEN(SUBSTITUTE(SUBSTITUTE(SUBSTITUTE(F176," ",""),"0",""),"-",""))))),0,(LEN(SUBSTITUTE(SUBSTITUTE(SUBSTITUTE(E176," ",""),"0",""),"-",""))+LEN(SUBSTITUTE(SUBSTITUTE(SUBSTITUTE(F176," ",""),"0",""),"-",""))&gt;LEN(SUBSTITUTE(SUBSTITUTE(SUBSTITUTE(B176," ",""),"0",""),"-",""))+LEN(SUBSTITUTE(SUBSTITUTE(SUBSTITUTE(C176," ",""),"0",""),"-","")))*1),0)</f>
      </c>
      <c r="C180" s="14" t="str">
        <f>IF(OR(COUNTA(B174,C174,E174,F174)&gt;0,OR(D174="X",D174="x")),IF(OR(D174="X",D174="x",AND(OR(COUNTA(B174,C174,E174,F174)&gt;0,OR(D174="X",D174="x")),(LEN(SUBSTITUTE(SUBSTITUTE(SUBSTITUTE(B174," ",""),"0",""),"-",""))+LEN(SUBSTITUTE(SUBSTITUTE(SUBSTITUTE(C174," ",""),"0",""),"-","")))=(LEN(SUBSTITUTE(SUBSTITUTE(SUBSTITUTE(E174," ",""),"0",""),"-",""))+LEN(SUBSTITUTE(SUBSTITUTE(SUBSTITUTE(F174," ",""),"0",""),"-",""))))),0,(LEN(SUBSTITUTE(SUBSTITUTE(SUBSTITUTE(B174," ",""),"0",""),"-",""))+LEN(SUBSTITUTE(SUBSTITUTE(SUBSTITUTE(C174," ",""),"0",""),"-",""))&lt;LEN(SUBSTITUTE(SUBSTITUTE(SUBSTITUTE(E174," ",""),"0",""),"-",""))+LEN(SUBSTITUTE(SUBSTITUTE(SUBSTITUTE(F174," ",""),"0",""),"-","")))*1),0)+IF(OR(COUNTA(B176,C176,E176,F176)&gt;0,OR(D176="X",D176="x")),IF(OR(D176="X",D176="x",AND(OR(COUNTA(B176,C176,E176,F176)&gt;0,OR(D176="X",D176="x")),(LEN(SUBSTITUTE(SUBSTITUTE(SUBSTITUTE(B176," ",""),"0",""),"-",""))+LEN(SUBSTITUTE(SUBSTITUTE(SUBSTITUTE(C176," ",""),"0",""),"-","")))=(LEN(SUBSTITUTE(SUBSTITUTE(SUBSTITUTE(E176," ",""),"0",""),"-",""))+LEN(SUBSTITUTE(SUBSTITUTE(SUBSTITUTE(F176," ",""),"0",""),"-",""))))),0,(LEN(SUBSTITUTE(SUBSTITUTE(SUBSTITUTE(E176," ",""),"0",""),"-",""))+LEN(SUBSTITUTE(SUBSTITUTE(SUBSTITUTE(F176," ",""),"0",""),"-",""))&lt;LEN(SUBSTITUTE(SUBSTITUTE(SUBSTITUTE(B176," ",""),"0",""),"-",""))+LEN(SUBSTITUTE(SUBSTITUTE(SUBSTITUTE(C176," ",""),"0",""),"-","")))*1),0)</f>
      </c>
      <c r="D180" s="14" t="str">
        <f>IF(OR(COUNTA(B174,C174,E174,F174)&gt;0,OR(D174="X",D174="x")),IF(OR(D174="X",D174="x",AND(OR(COUNTA(B174,C174,E174,F174)&gt;0,OR(D174="X",D174="x")),(LEN(SUBSTITUTE(SUBSTITUTE(SUBSTITUTE(B174," ",""),"0",""),"-",""))+LEN(SUBSTITUTE(SUBSTITUTE(SUBSTITUTE(C174," ",""),"0",""),"-","")))=(LEN(SUBSTITUTE(SUBSTITUTE(SUBSTITUTE(E174," ",""),"0",""),"-",""))+LEN(SUBSTITUTE(SUBSTITUTE(SUBSTITUTE(F174," ",""),"0",""),"-",""))))),1,0),0)+IF(OR(COUNTA(B176,C176,E176,F176)&gt;0,OR(D176="X",D176="x")),IF(OR(D176="X",D176="x",AND(OR(COUNTA(B176,C176,E176,F176)&gt;0,OR(D176="X",D176="x")),(LEN(SUBSTITUTE(SUBSTITUTE(SUBSTITUTE(B176," ",""),"0",""),"-",""))+LEN(SUBSTITUTE(SUBSTITUTE(SUBSTITUTE(C176," ",""),"0",""),"-","")))=(LEN(SUBSTITUTE(SUBSTITUTE(SUBSTITUTE(E176," ",""),"0",""),"-",""))+LEN(SUBSTITUTE(SUBSTITUTE(SUBSTITUTE(F176," ",""),"0",""),"-",""))))),1,0),0)</f>
      </c>
      <c r="E180" s="14" t="str">
        <f>LEN(SUBSTITUTE(SUBSTITUTE(SUBSTITUTE(B174," ",""),"0",""),"-",""))+LEN(SUBSTITUTE(SUBSTITUTE(SUBSTITUTE(C174," ",""),"0",""),"-",""))+LEN(SUBSTITUTE(SUBSTITUTE(SUBSTITUTE(E176," ",""),"0",""),"-",""))+LEN(SUBSTITUTE(SUBSTITUTE(SUBSTITUTE(F176," ",""),"0",""),"-",""))</f>
      </c>
      <c r="F180" s="14" t="str">
        <f>LEN(SUBSTITUTE(SUBSTITUTE(SUBSTITUTE(E174," ",""),"0",""),"-",""))+LEN(SUBSTITUTE(SUBSTITUTE(SUBSTITUTE(F174," ",""),"0",""),"-",""))+LEN(SUBSTITUTE(SUBSTITUTE(SUBSTITUTE(B176," ",""),"0",""),"-",""))+LEN(SUBSTITUTE(SUBSTITUTE(SUBSTITUTE(C176," ",""),"0",""),"-",""))</f>
      </c>
      <c r="G180" s="18" t="str">
        <f>RANK(U180,$U$179:$U$181)+COUNTIF($U$178:U179,U180)</f>
      </c>
      <c r="I180" s="14" t="str">
        <f>data!$E$81&amp;" "&amp;data!$B$81</f>
      </c>
      <c r="J180" s="14" t="str">
        <f>IF(OR(COUNTA(J174,K174,M174,N174)&gt;0,OR(L174="X",L174="x")),IF(OR(L174="X",L174="x",AND(OR(COUNTA(J174,K174,M174,N174)&gt;0,OR(L174="X",L174="x")),(LEN(SUBSTITUTE(SUBSTITUTE(SUBSTITUTE(J174," ",""),"0",""),"-",""))+LEN(SUBSTITUTE(SUBSTITUTE(SUBSTITUTE(K174," ",""),"0",""),"-","")))=(LEN(SUBSTITUTE(SUBSTITUTE(SUBSTITUTE(M174," ",""),"0",""),"-",""))+LEN(SUBSTITUTE(SUBSTITUTE(SUBSTITUTE(N174," ",""),"0",""),"-",""))))),0,(LEN(SUBSTITUTE(SUBSTITUTE(SUBSTITUTE(J174," ",""),"0",""),"-",""))+LEN(SUBSTITUTE(SUBSTITUTE(SUBSTITUTE(K174," ",""),"0",""),"-",""))&gt;LEN(SUBSTITUTE(SUBSTITUTE(SUBSTITUTE(M174," ",""),"0",""),"-",""))+LEN(SUBSTITUTE(SUBSTITUTE(SUBSTITUTE(N174," ",""),"0",""),"-","")))*1),0)+IF(OR(COUNTA(J176,K176,M176,N176)&gt;0,OR(L176="X",L176="x")),IF(OR(L176="X",L176="x",AND(OR(COUNTA(J176,K176,M176,N176)&gt;0,OR(L176="X",L176="x")),(LEN(SUBSTITUTE(SUBSTITUTE(SUBSTITUTE(J176," ",""),"0",""),"-",""))+LEN(SUBSTITUTE(SUBSTITUTE(SUBSTITUTE(K176," ",""),"0",""),"-","")))=(LEN(SUBSTITUTE(SUBSTITUTE(SUBSTITUTE(M176," ",""),"0",""),"-",""))+LEN(SUBSTITUTE(SUBSTITUTE(SUBSTITUTE(N176," ",""),"0",""),"-",""))))),0,(LEN(SUBSTITUTE(SUBSTITUTE(SUBSTITUTE(M176," ",""),"0",""),"-",""))+LEN(SUBSTITUTE(SUBSTITUTE(SUBSTITUTE(N176," ",""),"0",""),"-",""))&gt;LEN(SUBSTITUTE(SUBSTITUTE(SUBSTITUTE(J176," ",""),"0",""),"-",""))+LEN(SUBSTITUTE(SUBSTITUTE(SUBSTITUTE(K176," ",""),"0",""),"-","")))*1),0)</f>
      </c>
      <c r="K180" s="14" t="str">
        <f>IF(OR(COUNTA(J174,K174,M174,N174)&gt;0,OR(L174="X",L174="x")),IF(OR(L174="X",L174="x",AND(OR(COUNTA(J174,K174,M174,N174)&gt;0,OR(L174="X",L174="x")),(LEN(SUBSTITUTE(SUBSTITUTE(SUBSTITUTE(J174," ",""),"0",""),"-",""))+LEN(SUBSTITUTE(SUBSTITUTE(SUBSTITUTE(K174," ",""),"0",""),"-","")))=(LEN(SUBSTITUTE(SUBSTITUTE(SUBSTITUTE(M174," ",""),"0",""),"-",""))+LEN(SUBSTITUTE(SUBSTITUTE(SUBSTITUTE(N174," ",""),"0",""),"-",""))))),0,(LEN(SUBSTITUTE(SUBSTITUTE(SUBSTITUTE(J174," ",""),"0",""),"-",""))+LEN(SUBSTITUTE(SUBSTITUTE(SUBSTITUTE(K174," ",""),"0",""),"-",""))&lt;LEN(SUBSTITUTE(SUBSTITUTE(SUBSTITUTE(M174," ",""),"0",""),"-",""))+LEN(SUBSTITUTE(SUBSTITUTE(SUBSTITUTE(N174," ",""),"0",""),"-","")))*1),0)+IF(OR(COUNTA(J176,K176,M176,N176)&gt;0,OR(L176="X",L176="x")),IF(OR(L176="X",L176="x",AND(OR(COUNTA(J176,K176,M176,N176)&gt;0,OR(L176="X",L176="x")),(LEN(SUBSTITUTE(SUBSTITUTE(SUBSTITUTE(J176," ",""),"0",""),"-",""))+LEN(SUBSTITUTE(SUBSTITUTE(SUBSTITUTE(K176," ",""),"0",""),"-","")))=(LEN(SUBSTITUTE(SUBSTITUTE(SUBSTITUTE(M176," ",""),"0",""),"-",""))+LEN(SUBSTITUTE(SUBSTITUTE(SUBSTITUTE(N176," ",""),"0",""),"-",""))))),0,(LEN(SUBSTITUTE(SUBSTITUTE(SUBSTITUTE(M176," ",""),"0",""),"-",""))+LEN(SUBSTITUTE(SUBSTITUTE(SUBSTITUTE(N176," ",""),"0",""),"-",""))&lt;LEN(SUBSTITUTE(SUBSTITUTE(SUBSTITUTE(J176," ",""),"0",""),"-",""))+LEN(SUBSTITUTE(SUBSTITUTE(SUBSTITUTE(K176," ",""),"0",""),"-","")))*1),0)</f>
      </c>
      <c r="L180" s="14" t="str">
        <f>IF(OR(COUNTA(J174,K174,M174,N174)&gt;0,OR(L174="X",L174="x")),IF(OR(L174="X",L174="x",AND(OR(COUNTA(J174,K174,M174,N174)&gt;0,OR(L174="X",L174="x")),(LEN(SUBSTITUTE(SUBSTITUTE(SUBSTITUTE(J174," ",""),"0",""),"-",""))+LEN(SUBSTITUTE(SUBSTITUTE(SUBSTITUTE(K174," ",""),"0",""),"-","")))=(LEN(SUBSTITUTE(SUBSTITUTE(SUBSTITUTE(M174," ",""),"0",""),"-",""))+LEN(SUBSTITUTE(SUBSTITUTE(SUBSTITUTE(N174," ",""),"0",""),"-",""))))),1,0),0)+IF(OR(COUNTA(J176,K176,M176,N176)&gt;0,OR(L176="X",L176="x")),IF(OR(L176="X",L176="x",AND(OR(COUNTA(J176,K176,M176,N176)&gt;0,OR(L176="X",L176="x")),(LEN(SUBSTITUTE(SUBSTITUTE(SUBSTITUTE(J176," ",""),"0",""),"-",""))+LEN(SUBSTITUTE(SUBSTITUTE(SUBSTITUTE(K176," ",""),"0",""),"-","")))=(LEN(SUBSTITUTE(SUBSTITUTE(SUBSTITUTE(M176," ",""),"0",""),"-",""))+LEN(SUBSTITUTE(SUBSTITUTE(SUBSTITUTE(N176," ",""),"0",""),"-",""))))),1,0),0)</f>
      </c>
      <c r="M180" s="14" t="str">
        <f>LEN(SUBSTITUTE(SUBSTITUTE(SUBSTITUTE(J174," ",""),"0",""),"-",""))+LEN(SUBSTITUTE(SUBSTITUTE(SUBSTITUTE(K174," ",""),"0",""),"-",""))+LEN(SUBSTITUTE(SUBSTITUTE(SUBSTITUTE(M176," ",""),"0",""),"-",""))+LEN(SUBSTITUTE(SUBSTITUTE(SUBSTITUTE(N176," ",""),"0",""),"-",""))</f>
      </c>
      <c r="N180" s="14" t="str">
        <f>LEN(SUBSTITUTE(SUBSTITUTE(SUBSTITUTE(M174," ",""),"0",""),"-",""))+LEN(SUBSTITUTE(SUBSTITUTE(SUBSTITUTE(N174," ",""),"0",""),"-",""))+LEN(SUBSTITUTE(SUBSTITUTE(SUBSTITUTE(J176," ",""),"0",""),"-",""))+LEN(SUBSTITUTE(SUBSTITUTE(SUBSTITUTE(K176," ",""),"0",""),"-",""))</f>
      </c>
      <c r="O180" s="18" t="str">
        <f>RANK(AC180,$AC$179:$AC$181)+COUNTIF($AC$178:AC179,AC180)</f>
      </c>
      <c r="U180" t="str">
        <f>(B180*1000000)-(C180*10000)+(D180*100)+(E180*1)-(F180*0.01)</f>
      </c>
      <c r="AC180" t="str">
        <f>(J180*1000000)-(K180*10000)+(L180*100)+(M180*1)-(N180*0.01)</f>
      </c>
    </row>
    <row r="181">
      <c r="A181" s="14" t="str">
        <f>data!$E$35&amp;" "&amp;data!$B$35</f>
      </c>
      <c r="B181" s="14" t="str">
        <f>IF(OR(COUNTA(B175,C175,E175,F175)&gt;0,OR(D175="X",D175="x")),IF(OR(D175="X",D175="x",AND(OR(COUNTA(B175,C175,E175,F175)&gt;0,OR(D175="X",D175="x")),(LEN(SUBSTITUTE(SUBSTITUTE(SUBSTITUTE(B175," ",""),"0",""),"-",""))+LEN(SUBSTITUTE(SUBSTITUTE(SUBSTITUTE(C175," ",""),"0",""),"-","")))=(LEN(SUBSTITUTE(SUBSTITUTE(SUBSTITUTE(E175," ",""),"0",""),"-",""))+LEN(SUBSTITUTE(SUBSTITUTE(SUBSTITUTE(F175," ",""),"0",""),"-",""))))),0,(LEN(SUBSTITUTE(SUBSTITUTE(SUBSTITUTE(B175," ",""),"0",""),"-",""))+LEN(SUBSTITUTE(SUBSTITUTE(SUBSTITUTE(C175," ",""),"0",""),"-",""))&gt;LEN(SUBSTITUTE(SUBSTITUTE(SUBSTITUTE(E175," ",""),"0",""),"-",""))+LEN(SUBSTITUTE(SUBSTITUTE(SUBSTITUTE(F175," ",""),"0",""),"-","")))*1),0)+IF(OR(COUNTA(B176,C176,E176,F176)&gt;0,OR(D176="X",D176="x")),IF(OR(D176="X",D176="x",AND(OR(COUNTA(B176,C176,E176,F176)&gt;0,OR(D176="X",D176="x")),(LEN(SUBSTITUTE(SUBSTITUTE(SUBSTITUTE(B176," ",""),"0",""),"-",""))+LEN(SUBSTITUTE(SUBSTITUTE(SUBSTITUTE(C176," ",""),"0",""),"-","")))=(LEN(SUBSTITUTE(SUBSTITUTE(SUBSTITUTE(E176," ",""),"0",""),"-",""))+LEN(SUBSTITUTE(SUBSTITUTE(SUBSTITUTE(F176," ",""),"0",""),"-",""))))),0,(LEN(SUBSTITUTE(SUBSTITUTE(SUBSTITUTE(B176," ",""),"0",""),"-",""))+LEN(SUBSTITUTE(SUBSTITUTE(SUBSTITUTE(C176," ",""),"0",""),"-",""))&gt;LEN(SUBSTITUTE(SUBSTITUTE(SUBSTITUTE(E176," ",""),"0",""),"-",""))+LEN(SUBSTITUTE(SUBSTITUTE(SUBSTITUTE(F176," ",""),"0",""),"-","")))*1),0)</f>
      </c>
      <c r="C181" s="14" t="str">
        <f>IF(OR(COUNTA(B175,C175,E175,F175)&gt;0,OR(D175="X",D175="x")),IF(OR(D175="X",D175="x",AND(OR(COUNTA(B175,C175,E175,F175)&gt;0,OR(D175="X",D175="x")),(LEN(SUBSTITUTE(SUBSTITUTE(SUBSTITUTE(B175," ",""),"0",""),"-",""))+LEN(SUBSTITUTE(SUBSTITUTE(SUBSTITUTE(C175," ",""),"0",""),"-","")))=(LEN(SUBSTITUTE(SUBSTITUTE(SUBSTITUTE(E175," ",""),"0",""),"-",""))+LEN(SUBSTITUTE(SUBSTITUTE(SUBSTITUTE(F175," ",""),"0",""),"-",""))))),0,(LEN(SUBSTITUTE(SUBSTITUTE(SUBSTITUTE(B175," ",""),"0",""),"-",""))+LEN(SUBSTITUTE(SUBSTITUTE(SUBSTITUTE(C175," ",""),"0",""),"-",""))&lt;LEN(SUBSTITUTE(SUBSTITUTE(SUBSTITUTE(E175," ",""),"0",""),"-",""))+LEN(SUBSTITUTE(SUBSTITUTE(SUBSTITUTE(F175," ",""),"0",""),"-","")))*1),0)+IF(OR(COUNTA(B176,C176,E176,F176)&gt;0,OR(D176="X",D176="x")),IF(OR(D176="X",D176="x",AND(OR(COUNTA(B176,C176,E176,F176)&gt;0,OR(D176="X",D176="x")),(LEN(SUBSTITUTE(SUBSTITUTE(SUBSTITUTE(B176," ",""),"0",""),"-",""))+LEN(SUBSTITUTE(SUBSTITUTE(SUBSTITUTE(C176," ",""),"0",""),"-","")))=(LEN(SUBSTITUTE(SUBSTITUTE(SUBSTITUTE(E176," ",""),"0",""),"-",""))+LEN(SUBSTITUTE(SUBSTITUTE(SUBSTITUTE(F176," ",""),"0",""),"-",""))))),0,(LEN(SUBSTITUTE(SUBSTITUTE(SUBSTITUTE(B176," ",""),"0",""),"-",""))+LEN(SUBSTITUTE(SUBSTITUTE(SUBSTITUTE(C176," ",""),"0",""),"-",""))&lt;LEN(SUBSTITUTE(SUBSTITUTE(SUBSTITUTE(E176," ",""),"0",""),"-",""))+LEN(SUBSTITUTE(SUBSTITUTE(SUBSTITUTE(F176," ",""),"0",""),"-","")))*1),0)</f>
      </c>
      <c r="D181" s="14" t="str">
        <f>IF(OR(COUNTA(B175,C175,E175,F175)&gt;0,OR(D175="X",D175="x")),IF(OR(D175="X",D175="x",AND(OR(COUNTA(B175,C175,E175,F175)&gt;0,OR(D175="X",D175="x")),(LEN(SUBSTITUTE(SUBSTITUTE(SUBSTITUTE(B175," ",""),"0",""),"-",""))+LEN(SUBSTITUTE(SUBSTITUTE(SUBSTITUTE(C175," ",""),"0",""),"-","")))=(LEN(SUBSTITUTE(SUBSTITUTE(SUBSTITUTE(E175," ",""),"0",""),"-",""))+LEN(SUBSTITUTE(SUBSTITUTE(SUBSTITUTE(F175," ",""),"0",""),"-",""))))),1,0),0)+IF(OR(COUNTA(B176,C176,E176,F176)&gt;0,OR(D176="X",D176="x")),IF(OR(D176="X",D176="x",AND(OR(COUNTA(B176,C176,E176,F176)&gt;0,OR(D176="X",D176="x")),(LEN(SUBSTITUTE(SUBSTITUTE(SUBSTITUTE(B176," ",""),"0",""),"-",""))+LEN(SUBSTITUTE(SUBSTITUTE(SUBSTITUTE(C176," ",""),"0",""),"-","")))=(LEN(SUBSTITUTE(SUBSTITUTE(SUBSTITUTE(E176," ",""),"0",""),"-",""))+LEN(SUBSTITUTE(SUBSTITUTE(SUBSTITUTE(F176," ",""),"0",""),"-",""))))),1,0),0)</f>
      </c>
      <c r="E181" s="14" t="str">
        <f>LEN(SUBSTITUTE(SUBSTITUTE(SUBSTITUTE(B175," ",""),"0",""),"-",""))+LEN(SUBSTITUTE(SUBSTITUTE(SUBSTITUTE(C175," ",""),"0",""),"-",""))+LEN(SUBSTITUTE(SUBSTITUTE(SUBSTITUTE(B176," ",""),"0",""),"-",""))+LEN(SUBSTITUTE(SUBSTITUTE(SUBSTITUTE(C176," ",""),"0",""),"-",""))</f>
      </c>
      <c r="F181" s="14" t="str">
        <f>LEN(SUBSTITUTE(SUBSTITUTE(SUBSTITUTE(E175," ",""),"0",""),"-",""))+LEN(SUBSTITUTE(SUBSTITUTE(SUBSTITUTE(F175," ",""),"0",""),"-",""))+LEN(SUBSTITUTE(SUBSTITUTE(SUBSTITUTE(E176," ",""),"0",""),"-",""))+LEN(SUBSTITUTE(SUBSTITUTE(SUBSTITUTE(F176," ",""),"0",""),"-",""))</f>
      </c>
      <c r="G181" s="18" t="str">
        <f>RANK(U181,$U$179:$U$181)+COUNTIF($U$178:U180,U181)</f>
      </c>
      <c r="I181" s="14" t="str">
        <f>data!$E$82&amp;" "&amp;data!$B$82</f>
      </c>
      <c r="J181" s="14" t="str">
        <f>IF(OR(COUNTA(J175,K175,M175,N175)&gt;0,OR(L175="X",L175="x")),IF(OR(L175="X",L175="x",AND(OR(COUNTA(J175,K175,M175,N175)&gt;0,OR(L175="X",L175="x")),(LEN(SUBSTITUTE(SUBSTITUTE(SUBSTITUTE(J175," ",""),"0",""),"-",""))+LEN(SUBSTITUTE(SUBSTITUTE(SUBSTITUTE(K175," ",""),"0",""),"-","")))=(LEN(SUBSTITUTE(SUBSTITUTE(SUBSTITUTE(M175," ",""),"0",""),"-",""))+LEN(SUBSTITUTE(SUBSTITUTE(SUBSTITUTE(N175," ",""),"0",""),"-",""))))),0,(LEN(SUBSTITUTE(SUBSTITUTE(SUBSTITUTE(J175," ",""),"0",""),"-",""))+LEN(SUBSTITUTE(SUBSTITUTE(SUBSTITUTE(K175," ",""),"0",""),"-",""))&gt;LEN(SUBSTITUTE(SUBSTITUTE(SUBSTITUTE(M175," ",""),"0",""),"-",""))+LEN(SUBSTITUTE(SUBSTITUTE(SUBSTITUTE(N175," ",""),"0",""),"-","")))*1),0)+IF(OR(COUNTA(J176,K176,M176,N176)&gt;0,OR(L176="X",L176="x")),IF(OR(L176="X",L176="x",AND(OR(COUNTA(J176,K176,M176,N176)&gt;0,OR(L176="X",L176="x")),(LEN(SUBSTITUTE(SUBSTITUTE(SUBSTITUTE(J176," ",""),"0",""),"-",""))+LEN(SUBSTITUTE(SUBSTITUTE(SUBSTITUTE(K176," ",""),"0",""),"-","")))=(LEN(SUBSTITUTE(SUBSTITUTE(SUBSTITUTE(M176," ",""),"0",""),"-",""))+LEN(SUBSTITUTE(SUBSTITUTE(SUBSTITUTE(N176," ",""),"0",""),"-",""))))),0,(LEN(SUBSTITUTE(SUBSTITUTE(SUBSTITUTE(J176," ",""),"0",""),"-",""))+LEN(SUBSTITUTE(SUBSTITUTE(SUBSTITUTE(K176," ",""),"0",""),"-",""))&gt;LEN(SUBSTITUTE(SUBSTITUTE(SUBSTITUTE(M176," ",""),"0",""),"-",""))+LEN(SUBSTITUTE(SUBSTITUTE(SUBSTITUTE(N176," ",""),"0",""),"-","")))*1),0)</f>
      </c>
      <c r="K181" s="14" t="str">
        <f>IF(OR(COUNTA(J175,K175,M175,N175)&gt;0,OR(L175="X",L175="x")),IF(OR(L175="X",L175="x",AND(OR(COUNTA(J175,K175,M175,N175)&gt;0,OR(L175="X",L175="x")),(LEN(SUBSTITUTE(SUBSTITUTE(SUBSTITUTE(J175," ",""),"0",""),"-",""))+LEN(SUBSTITUTE(SUBSTITUTE(SUBSTITUTE(K175," ",""),"0",""),"-","")))=(LEN(SUBSTITUTE(SUBSTITUTE(SUBSTITUTE(M175," ",""),"0",""),"-",""))+LEN(SUBSTITUTE(SUBSTITUTE(SUBSTITUTE(N175," ",""),"0",""),"-",""))))),0,(LEN(SUBSTITUTE(SUBSTITUTE(SUBSTITUTE(J175," ",""),"0",""),"-",""))+LEN(SUBSTITUTE(SUBSTITUTE(SUBSTITUTE(K175," ",""),"0",""),"-",""))&lt;LEN(SUBSTITUTE(SUBSTITUTE(SUBSTITUTE(M175," ",""),"0",""),"-",""))+LEN(SUBSTITUTE(SUBSTITUTE(SUBSTITUTE(N175," ",""),"0",""),"-","")))*1),0)+IF(OR(COUNTA(J176,K176,M176,N176)&gt;0,OR(L176="X",L176="x")),IF(OR(L176="X",L176="x",AND(OR(COUNTA(J176,K176,M176,N176)&gt;0,OR(L176="X",L176="x")),(LEN(SUBSTITUTE(SUBSTITUTE(SUBSTITUTE(J176," ",""),"0",""),"-",""))+LEN(SUBSTITUTE(SUBSTITUTE(SUBSTITUTE(K176," ",""),"0",""),"-","")))=(LEN(SUBSTITUTE(SUBSTITUTE(SUBSTITUTE(M176," ",""),"0",""),"-",""))+LEN(SUBSTITUTE(SUBSTITUTE(SUBSTITUTE(N176," ",""),"0",""),"-",""))))),0,(LEN(SUBSTITUTE(SUBSTITUTE(SUBSTITUTE(J176," ",""),"0",""),"-",""))+LEN(SUBSTITUTE(SUBSTITUTE(SUBSTITUTE(K176," ",""),"0",""),"-",""))&lt;LEN(SUBSTITUTE(SUBSTITUTE(SUBSTITUTE(M176," ",""),"0",""),"-",""))+LEN(SUBSTITUTE(SUBSTITUTE(SUBSTITUTE(N176," ",""),"0",""),"-","")))*1),0)</f>
      </c>
      <c r="L181" s="14" t="str">
        <f>IF(OR(COUNTA(J175,K175,M175,N175)&gt;0,OR(L175="X",L175="x")),IF(OR(L175="X",L175="x",AND(OR(COUNTA(J175,K175,M175,N175)&gt;0,OR(L175="X",L175="x")),(LEN(SUBSTITUTE(SUBSTITUTE(SUBSTITUTE(J175," ",""),"0",""),"-",""))+LEN(SUBSTITUTE(SUBSTITUTE(SUBSTITUTE(K175," ",""),"0",""),"-","")))=(LEN(SUBSTITUTE(SUBSTITUTE(SUBSTITUTE(M175," ",""),"0",""),"-",""))+LEN(SUBSTITUTE(SUBSTITUTE(SUBSTITUTE(N175," ",""),"0",""),"-",""))))),1,0),0)+IF(OR(COUNTA(J176,K176,M176,N176)&gt;0,OR(L176="X",L176="x")),IF(OR(L176="X",L176="x",AND(OR(COUNTA(J176,K176,M176,N176)&gt;0,OR(L176="X",L176="x")),(LEN(SUBSTITUTE(SUBSTITUTE(SUBSTITUTE(J176," ",""),"0",""),"-",""))+LEN(SUBSTITUTE(SUBSTITUTE(SUBSTITUTE(K176," ",""),"0",""),"-","")))=(LEN(SUBSTITUTE(SUBSTITUTE(SUBSTITUTE(M176," ",""),"0",""),"-",""))+LEN(SUBSTITUTE(SUBSTITUTE(SUBSTITUTE(N176," ",""),"0",""),"-",""))))),1,0),0)</f>
      </c>
      <c r="M181" s="14" t="str">
        <f>LEN(SUBSTITUTE(SUBSTITUTE(SUBSTITUTE(J175," ",""),"0",""),"-",""))+LEN(SUBSTITUTE(SUBSTITUTE(SUBSTITUTE(K175," ",""),"0",""),"-",""))+LEN(SUBSTITUTE(SUBSTITUTE(SUBSTITUTE(J176," ",""),"0",""),"-",""))+LEN(SUBSTITUTE(SUBSTITUTE(SUBSTITUTE(K176," ",""),"0",""),"-",""))</f>
      </c>
      <c r="N181" s="14" t="str">
        <f>LEN(SUBSTITUTE(SUBSTITUTE(SUBSTITUTE(M175," ",""),"0",""),"-",""))+LEN(SUBSTITUTE(SUBSTITUTE(SUBSTITUTE(N175," ",""),"0",""),"-",""))+LEN(SUBSTITUTE(SUBSTITUTE(SUBSTITUTE(M176," ",""),"0",""),"-",""))+LEN(SUBSTITUTE(SUBSTITUTE(SUBSTITUTE(N176," ",""),"0",""),"-",""))</f>
      </c>
      <c r="O181" s="18" t="str">
        <f>RANK(AC181,$AC$179:$AC$181)+COUNTIF($AC$178:AC180,AC181)</f>
      </c>
      <c r="U181" t="str">
        <f>(B181*1000000)-(C181*10000)+(D181*100)+(E181*1)-(F181*0.01)</f>
      </c>
      <c r="AC181" t="str">
        <f>(J181*1000000)-(K181*10000)+(L181*100)+(M181*1)-(N181*0.01)</f>
      </c>
    </row>
    <row r="184">
      <c r="F184" s="13"/>
      <c r="G184" s="13" t="s">
        <v>341</v>
      </c>
      <c r="N184" s="13"/>
      <c r="O184" s="13" t="s">
        <v>341</v>
      </c>
    </row>
    <row r="185">
      <c r="F185" t="s">
        <v>342</v>
      </c>
      <c r="G185" s="19" t="str">
        <f>IFERROR(INDEX($A$179:$A$181, MATCH(1, $G$179:$G$181, 0)), "-")</f>
      </c>
      <c r="N185" t="s">
        <v>342</v>
      </c>
      <c r="O185" s="19" t="str">
        <f>IFERROR(INDEX($I$179:$I$181, MATCH(1, $O$179:$O$181, 0)), "-")</f>
      </c>
    </row>
    <row r="186">
      <c r="F186" t="s">
        <v>343</v>
      </c>
      <c r="G186" s="19" t="str">
        <f>IFERROR(INDEX($A$179:$A$181, MATCH(2, $G$179:$G$181, 0)), "-")</f>
      </c>
      <c r="N186" t="s">
        <v>343</v>
      </c>
      <c r="O186" s="19" t="str">
        <f>IFERROR(INDEX($I$179:$I$181, MATCH(2, $O$179:$O$181, 0)), "-")</f>
      </c>
    </row>
    <row r="187">
      <c r="F187" t="s">
        <v>344</v>
      </c>
      <c r="G187" s="19" t="str">
        <f>IFERROR(INDEX($A$179:$A$181, MATCH(3, $G$179:$G$181, 0)), "-")</f>
      </c>
      <c r="N187" t="s">
        <v>344</v>
      </c>
      <c r="O187" s="19" t="str">
        <f>IFERROR(INDEX($I$179:$I$181, MATCH(3, $O$179:$O$181, 0)), "-")</f>
      </c>
    </row>
    <row r="189">
      <c r="A189" s="13" t="str">
        <f>'data'!$A$38</f>
      </c>
      <c r="B189" s="13"/>
      <c r="C189" s="13"/>
      <c r="D189" s="13"/>
      <c r="E189" s="13"/>
      <c r="F189" s="13"/>
      <c r="G189" s="13"/>
      <c r="I189" s="13" t="str">
        <f>'data'!$A$85</f>
      </c>
      <c r="J189" s="13"/>
      <c r="K189" s="13"/>
      <c r="L189" s="13"/>
      <c r="M189" s="13"/>
      <c r="N189" s="13"/>
      <c r="O189" s="13"/>
    </row>
    <row r="190">
      <c r="A190" s="17" t="s">
        <v>331</v>
      </c>
      <c r="D190" s="14" t="s">
        <v>332</v>
      </c>
      <c r="G190" s="16" t="s">
        <v>333</v>
      </c>
      <c r="I190" s="17" t="s">
        <v>331</v>
      </c>
      <c r="L190" s="14" t="s">
        <v>332</v>
      </c>
      <c r="O190" s="16" t="s">
        <v>333</v>
      </c>
    </row>
    <row r="191">
      <c r="A191" s="14" t="str">
        <f>data!$E$37&amp;" "&amp;data!$B$37</f>
      </c>
      <c r="B191" s="18"/>
      <c r="C191" s="18"/>
      <c r="D191" s="18"/>
      <c r="E191" s="18"/>
      <c r="F191" s="18"/>
      <c r="G191" s="14" t="str">
        <f>data!$E$36&amp;" "&amp;data!$B$36</f>
      </c>
      <c r="I191" s="14" t="str">
        <f>data!$E$84&amp;" "&amp;data!$B$84</f>
      </c>
      <c r="J191" s="18"/>
      <c r="K191" s="18"/>
      <c r="L191" s="18"/>
      <c r="M191" s="18"/>
      <c r="N191" s="18"/>
      <c r="O191" s="14" t="str">
        <f>data!$E$83&amp;" "&amp;data!$B$83</f>
      </c>
    </row>
    <row r="192">
      <c r="A192" s="14" t="str">
        <f>data!$E$38&amp;" "&amp;data!$B$38</f>
      </c>
      <c r="B192" s="18"/>
      <c r="C192" s="18"/>
      <c r="D192" s="18"/>
      <c r="E192" s="18"/>
      <c r="F192" s="18"/>
      <c r="G192" s="14" t="str">
        <f>data!$E$36&amp;" "&amp;data!$B$36</f>
      </c>
      <c r="I192" s="14" t="str">
        <f>data!$E$85&amp;" "&amp;data!$B$85</f>
      </c>
      <c r="J192" s="18"/>
      <c r="K192" s="18"/>
      <c r="L192" s="18"/>
      <c r="M192" s="18"/>
      <c r="N192" s="18"/>
      <c r="O192" s="14" t="str">
        <f>data!$E$83&amp;" "&amp;data!$B$83</f>
      </c>
    </row>
    <row r="193">
      <c r="A193" s="14" t="str">
        <f>data!$E$38&amp;" "&amp;data!$B$38</f>
      </c>
      <c r="B193" s="18"/>
      <c r="C193" s="18"/>
      <c r="D193" s="18"/>
      <c r="E193" s="18"/>
      <c r="F193" s="18"/>
      <c r="G193" s="14" t="str">
        <f>data!$E$37&amp;" "&amp;data!$B$37</f>
      </c>
      <c r="I193" s="14" t="str">
        <f>data!$E$85&amp;" "&amp;data!$B$85</f>
      </c>
      <c r="J193" s="18"/>
      <c r="K193" s="18"/>
      <c r="L193" s="18"/>
      <c r="M193" s="18"/>
      <c r="N193" s="18"/>
      <c r="O193" s="14" t="str">
        <f>data!$E$84&amp;" "&amp;data!$B$84</f>
      </c>
    </row>
    <row r="195">
      <c r="A195" s="13" t="s">
        <v>334</v>
      </c>
      <c r="B195" s="13" t="s">
        <v>335</v>
      </c>
      <c r="C195" s="13" t="s">
        <v>336</v>
      </c>
      <c r="D195" s="13" t="s">
        <v>337</v>
      </c>
      <c r="E195" s="13" t="s">
        <v>338</v>
      </c>
      <c r="F195" s="13" t="s">
        <v>339</v>
      </c>
      <c r="G195" s="13" t="s">
        <v>340</v>
      </c>
      <c r="I195" s="13" t="s">
        <v>334</v>
      </c>
      <c r="J195" s="13" t="s">
        <v>335</v>
      </c>
      <c r="K195" s="13" t="s">
        <v>336</v>
      </c>
      <c r="L195" s="13" t="s">
        <v>337</v>
      </c>
      <c r="M195" s="13" t="s">
        <v>338</v>
      </c>
      <c r="N195" s="13" t="s">
        <v>339</v>
      </c>
      <c r="O195" s="13" t="s">
        <v>340</v>
      </c>
    </row>
    <row r="196">
      <c r="A196" s="14" t="str">
        <f>data!$E$36&amp;" "&amp;data!$B$36</f>
      </c>
      <c r="B196" s="14" t="str">
        <f>IF(OR(COUNTA(B191,C191,E191,F191)&gt;0,OR(D191="X",D191="x")),IF(OR(D191="X",D191="x",AND(OR(COUNTA(B191,C191,E191,F191)&gt;0,OR(D191="X",D191="x")),(LEN(SUBSTITUTE(SUBSTITUTE(SUBSTITUTE(B191," ",""),"0",""),"-",""))+LEN(SUBSTITUTE(SUBSTITUTE(SUBSTITUTE(C191," ",""),"0",""),"-","")))=(LEN(SUBSTITUTE(SUBSTITUTE(SUBSTITUTE(E191," ",""),"0",""),"-",""))+LEN(SUBSTITUTE(SUBSTITUTE(SUBSTITUTE(F191," ",""),"0",""),"-",""))))),0,(LEN(SUBSTITUTE(SUBSTITUTE(SUBSTITUTE(E191," ",""),"0",""),"-",""))+LEN(SUBSTITUTE(SUBSTITUTE(SUBSTITUTE(F191," ",""),"0",""),"-",""))&gt;LEN(SUBSTITUTE(SUBSTITUTE(SUBSTITUTE(B191," ",""),"0",""),"-",""))+LEN(SUBSTITUTE(SUBSTITUTE(SUBSTITUTE(C191," ",""),"0",""),"-","")))*1),0)+IF(OR(COUNTA(B192,C192,E192,F192)&gt;0,OR(D192="X",D192="x")),IF(OR(D192="X",D192="x",AND(OR(COUNTA(B192,C192,E192,F192)&gt;0,OR(D192="X",D192="x")),(LEN(SUBSTITUTE(SUBSTITUTE(SUBSTITUTE(B192," ",""),"0",""),"-",""))+LEN(SUBSTITUTE(SUBSTITUTE(SUBSTITUTE(C192," ",""),"0",""),"-","")))=(LEN(SUBSTITUTE(SUBSTITUTE(SUBSTITUTE(E192," ",""),"0",""),"-",""))+LEN(SUBSTITUTE(SUBSTITUTE(SUBSTITUTE(F192," ",""),"0",""),"-",""))))),0,(LEN(SUBSTITUTE(SUBSTITUTE(SUBSTITUTE(E192," ",""),"0",""),"-",""))+LEN(SUBSTITUTE(SUBSTITUTE(SUBSTITUTE(F192," ",""),"0",""),"-",""))&gt;LEN(SUBSTITUTE(SUBSTITUTE(SUBSTITUTE(B192," ",""),"0",""),"-",""))+LEN(SUBSTITUTE(SUBSTITUTE(SUBSTITUTE(C192," ",""),"0",""),"-","")))*1),0)</f>
      </c>
      <c r="C196" s="14" t="str">
        <f>IF(OR(COUNTA(B191,C191,E191,F191)&gt;0,OR(D191="X",D191="x")),IF(OR(D191="X",D191="x",AND(OR(COUNTA(B191,C191,E191,F191)&gt;0,OR(D191="X",D191="x")),(LEN(SUBSTITUTE(SUBSTITUTE(SUBSTITUTE(B191," ",""),"0",""),"-",""))+LEN(SUBSTITUTE(SUBSTITUTE(SUBSTITUTE(C191," ",""),"0",""),"-","")))=(LEN(SUBSTITUTE(SUBSTITUTE(SUBSTITUTE(E191," ",""),"0",""),"-",""))+LEN(SUBSTITUTE(SUBSTITUTE(SUBSTITUTE(F191," ",""),"0",""),"-",""))))),0,(LEN(SUBSTITUTE(SUBSTITUTE(SUBSTITUTE(E191," ",""),"0",""),"-",""))+LEN(SUBSTITUTE(SUBSTITUTE(SUBSTITUTE(F191," ",""),"0",""),"-",""))&lt;LEN(SUBSTITUTE(SUBSTITUTE(SUBSTITUTE(B191," ",""),"0",""),"-",""))+LEN(SUBSTITUTE(SUBSTITUTE(SUBSTITUTE(C191," ",""),"0",""),"-","")))*1),0)+IF(OR(COUNTA(B192,C192,E192,F192)&gt;0,OR(D192="X",D192="x")),IF(OR(D192="X",D192="x",AND(OR(COUNTA(B192,C192,E192,F192)&gt;0,OR(D192="X",D192="x")),(LEN(SUBSTITUTE(SUBSTITUTE(SUBSTITUTE(B192," ",""),"0",""),"-",""))+LEN(SUBSTITUTE(SUBSTITUTE(SUBSTITUTE(C192," ",""),"0",""),"-","")))=(LEN(SUBSTITUTE(SUBSTITUTE(SUBSTITUTE(E192," ",""),"0",""),"-",""))+LEN(SUBSTITUTE(SUBSTITUTE(SUBSTITUTE(F192," ",""),"0",""),"-",""))))),0,(LEN(SUBSTITUTE(SUBSTITUTE(SUBSTITUTE(E192," ",""),"0",""),"-",""))+LEN(SUBSTITUTE(SUBSTITUTE(SUBSTITUTE(F192," ",""),"0",""),"-",""))&lt;LEN(SUBSTITUTE(SUBSTITUTE(SUBSTITUTE(B192," ",""),"0",""),"-",""))+LEN(SUBSTITUTE(SUBSTITUTE(SUBSTITUTE(C192," ",""),"0",""),"-","")))*1),0)</f>
      </c>
      <c r="D196" s="14" t="str">
        <f>IF(OR(COUNTA(B191,C191,E191,F191)&gt;0,OR(D191="X",D191="x")),IF(OR(D191="X",D191="x",AND(OR(COUNTA(B191,C191,E191,F191)&gt;0,OR(D191="X",D191="x")),(LEN(SUBSTITUTE(SUBSTITUTE(SUBSTITUTE(B191," ",""),"0",""),"-",""))+LEN(SUBSTITUTE(SUBSTITUTE(SUBSTITUTE(C191," ",""),"0",""),"-","")))=(LEN(SUBSTITUTE(SUBSTITUTE(SUBSTITUTE(E191," ",""),"0",""),"-",""))+LEN(SUBSTITUTE(SUBSTITUTE(SUBSTITUTE(F191," ",""),"0",""),"-",""))))),1,0),0)+IF(OR(COUNTA(B192,C192,E192,F192)&gt;0,OR(D192="X",D192="x")),IF(OR(D192="X",D192="x",AND(OR(COUNTA(B192,C192,E192,F192)&gt;0,OR(D192="X",D192="x")),(LEN(SUBSTITUTE(SUBSTITUTE(SUBSTITUTE(B192," ",""),"0",""),"-",""))+LEN(SUBSTITUTE(SUBSTITUTE(SUBSTITUTE(C192," ",""),"0",""),"-","")))=(LEN(SUBSTITUTE(SUBSTITUTE(SUBSTITUTE(E192," ",""),"0",""),"-",""))+LEN(SUBSTITUTE(SUBSTITUTE(SUBSTITUTE(F192," ",""),"0",""),"-",""))))),1,0),0)</f>
      </c>
      <c r="E196" s="14" t="str">
        <f>LEN(SUBSTITUTE(SUBSTITUTE(SUBSTITUTE(E191," ",""),"0",""),"-",""))+LEN(SUBSTITUTE(SUBSTITUTE(SUBSTITUTE(F191," ",""),"0",""),"-",""))+LEN(SUBSTITUTE(SUBSTITUTE(SUBSTITUTE(E192," ",""),"0",""),"-",""))+LEN(SUBSTITUTE(SUBSTITUTE(SUBSTITUTE(F192," ",""),"0",""),"-",""))</f>
      </c>
      <c r="F196" s="14" t="str">
        <f>LEN(SUBSTITUTE(SUBSTITUTE(SUBSTITUTE(B191," ",""),"0",""),"-",""))+LEN(SUBSTITUTE(SUBSTITUTE(SUBSTITUTE(C191," ",""),"0",""),"-",""))+LEN(SUBSTITUTE(SUBSTITUTE(SUBSTITUTE(B192," ",""),"0",""),"-",""))+LEN(SUBSTITUTE(SUBSTITUTE(SUBSTITUTE(C192," ",""),"0",""),"-",""))</f>
      </c>
      <c r="G196" s="18" t="str">
        <f>RANK(U196,$U$196:$U$198)+COUNTIF($U$195:U195,U196)</f>
      </c>
      <c r="I196" s="14" t="str">
        <f>data!$E$83&amp;" "&amp;data!$B$83</f>
      </c>
      <c r="J196" s="14" t="str">
        <f>IF(OR(COUNTA(J191,K191,M191,N191)&gt;0,OR(L191="X",L191="x")),IF(OR(L191="X",L191="x",AND(OR(COUNTA(J191,K191,M191,N191)&gt;0,OR(L191="X",L191="x")),(LEN(SUBSTITUTE(SUBSTITUTE(SUBSTITUTE(J191," ",""),"0",""),"-",""))+LEN(SUBSTITUTE(SUBSTITUTE(SUBSTITUTE(K191," ",""),"0",""),"-","")))=(LEN(SUBSTITUTE(SUBSTITUTE(SUBSTITUTE(M191," ",""),"0",""),"-",""))+LEN(SUBSTITUTE(SUBSTITUTE(SUBSTITUTE(N191," ",""),"0",""),"-",""))))),0,(LEN(SUBSTITUTE(SUBSTITUTE(SUBSTITUTE(M191," ",""),"0",""),"-",""))+LEN(SUBSTITUTE(SUBSTITUTE(SUBSTITUTE(N191," ",""),"0",""),"-",""))&gt;LEN(SUBSTITUTE(SUBSTITUTE(SUBSTITUTE(J191," ",""),"0",""),"-",""))+LEN(SUBSTITUTE(SUBSTITUTE(SUBSTITUTE(K191," ",""),"0",""),"-","")))*1),0)+IF(OR(COUNTA(J192,K192,M192,N192)&gt;0,OR(L192="X",L192="x")),IF(OR(L192="X",L192="x",AND(OR(COUNTA(J192,K192,M192,N192)&gt;0,OR(L192="X",L192="x")),(LEN(SUBSTITUTE(SUBSTITUTE(SUBSTITUTE(J192," ",""),"0",""),"-",""))+LEN(SUBSTITUTE(SUBSTITUTE(SUBSTITUTE(K192," ",""),"0",""),"-","")))=(LEN(SUBSTITUTE(SUBSTITUTE(SUBSTITUTE(M192," ",""),"0",""),"-",""))+LEN(SUBSTITUTE(SUBSTITUTE(SUBSTITUTE(N192," ",""),"0",""),"-",""))))),0,(LEN(SUBSTITUTE(SUBSTITUTE(SUBSTITUTE(M192," ",""),"0",""),"-",""))+LEN(SUBSTITUTE(SUBSTITUTE(SUBSTITUTE(N192," ",""),"0",""),"-",""))&gt;LEN(SUBSTITUTE(SUBSTITUTE(SUBSTITUTE(J192," ",""),"0",""),"-",""))+LEN(SUBSTITUTE(SUBSTITUTE(SUBSTITUTE(K192," ",""),"0",""),"-","")))*1),0)</f>
      </c>
      <c r="K196" s="14" t="str">
        <f>IF(OR(COUNTA(J191,K191,M191,N191)&gt;0,OR(L191="X",L191="x")),IF(OR(L191="X",L191="x",AND(OR(COUNTA(J191,K191,M191,N191)&gt;0,OR(L191="X",L191="x")),(LEN(SUBSTITUTE(SUBSTITUTE(SUBSTITUTE(J191," ",""),"0",""),"-",""))+LEN(SUBSTITUTE(SUBSTITUTE(SUBSTITUTE(K191," ",""),"0",""),"-","")))=(LEN(SUBSTITUTE(SUBSTITUTE(SUBSTITUTE(M191," ",""),"0",""),"-",""))+LEN(SUBSTITUTE(SUBSTITUTE(SUBSTITUTE(N191," ",""),"0",""),"-",""))))),0,(LEN(SUBSTITUTE(SUBSTITUTE(SUBSTITUTE(M191," ",""),"0",""),"-",""))+LEN(SUBSTITUTE(SUBSTITUTE(SUBSTITUTE(N191," ",""),"0",""),"-",""))&lt;LEN(SUBSTITUTE(SUBSTITUTE(SUBSTITUTE(J191," ",""),"0",""),"-",""))+LEN(SUBSTITUTE(SUBSTITUTE(SUBSTITUTE(K191," ",""),"0",""),"-","")))*1),0)+IF(OR(COUNTA(J192,K192,M192,N192)&gt;0,OR(L192="X",L192="x")),IF(OR(L192="X",L192="x",AND(OR(COUNTA(J192,K192,M192,N192)&gt;0,OR(L192="X",L192="x")),(LEN(SUBSTITUTE(SUBSTITUTE(SUBSTITUTE(J192," ",""),"0",""),"-",""))+LEN(SUBSTITUTE(SUBSTITUTE(SUBSTITUTE(K192," ",""),"0",""),"-","")))=(LEN(SUBSTITUTE(SUBSTITUTE(SUBSTITUTE(M192," ",""),"0",""),"-",""))+LEN(SUBSTITUTE(SUBSTITUTE(SUBSTITUTE(N192," ",""),"0",""),"-",""))))),0,(LEN(SUBSTITUTE(SUBSTITUTE(SUBSTITUTE(M192," ",""),"0",""),"-",""))+LEN(SUBSTITUTE(SUBSTITUTE(SUBSTITUTE(N192," ",""),"0",""),"-",""))&lt;LEN(SUBSTITUTE(SUBSTITUTE(SUBSTITUTE(J192," ",""),"0",""),"-",""))+LEN(SUBSTITUTE(SUBSTITUTE(SUBSTITUTE(K192," ",""),"0",""),"-","")))*1),0)</f>
      </c>
      <c r="L196" s="14" t="str">
        <f>IF(OR(COUNTA(J191,K191,M191,N191)&gt;0,OR(L191="X",L191="x")),IF(OR(L191="X",L191="x",AND(OR(COUNTA(J191,K191,M191,N191)&gt;0,OR(L191="X",L191="x")),(LEN(SUBSTITUTE(SUBSTITUTE(SUBSTITUTE(J191," ",""),"0",""),"-",""))+LEN(SUBSTITUTE(SUBSTITUTE(SUBSTITUTE(K191," ",""),"0",""),"-","")))=(LEN(SUBSTITUTE(SUBSTITUTE(SUBSTITUTE(M191," ",""),"0",""),"-",""))+LEN(SUBSTITUTE(SUBSTITUTE(SUBSTITUTE(N191," ",""),"0",""),"-",""))))),1,0),0)+IF(OR(COUNTA(J192,K192,M192,N192)&gt;0,OR(L192="X",L192="x")),IF(OR(L192="X",L192="x",AND(OR(COUNTA(J192,K192,M192,N192)&gt;0,OR(L192="X",L192="x")),(LEN(SUBSTITUTE(SUBSTITUTE(SUBSTITUTE(J192," ",""),"0",""),"-",""))+LEN(SUBSTITUTE(SUBSTITUTE(SUBSTITUTE(K192," ",""),"0",""),"-","")))=(LEN(SUBSTITUTE(SUBSTITUTE(SUBSTITUTE(M192," ",""),"0",""),"-",""))+LEN(SUBSTITUTE(SUBSTITUTE(SUBSTITUTE(N192," ",""),"0",""),"-",""))))),1,0),0)</f>
      </c>
      <c r="M196" s="14" t="str">
        <f>LEN(SUBSTITUTE(SUBSTITUTE(SUBSTITUTE(M191," ",""),"0",""),"-",""))+LEN(SUBSTITUTE(SUBSTITUTE(SUBSTITUTE(N191," ",""),"0",""),"-",""))+LEN(SUBSTITUTE(SUBSTITUTE(SUBSTITUTE(M192," ",""),"0",""),"-",""))+LEN(SUBSTITUTE(SUBSTITUTE(SUBSTITUTE(N192," ",""),"0",""),"-",""))</f>
      </c>
      <c r="N196" s="14" t="str">
        <f>LEN(SUBSTITUTE(SUBSTITUTE(SUBSTITUTE(J191," ",""),"0",""),"-",""))+LEN(SUBSTITUTE(SUBSTITUTE(SUBSTITUTE(K191," ",""),"0",""),"-",""))+LEN(SUBSTITUTE(SUBSTITUTE(SUBSTITUTE(J192," ",""),"0",""),"-",""))+LEN(SUBSTITUTE(SUBSTITUTE(SUBSTITUTE(K192," ",""),"0",""),"-",""))</f>
      </c>
      <c r="O196" s="18" t="str">
        <f>RANK(AC196,$AC$196:$AC$198)+COUNTIF($AC$195:AC195,AC196)</f>
      </c>
      <c r="U196" t="str">
        <f>(B196*1000000)-(C196*10000)+(D196*100)+(E196*1)-(F196*0.01)</f>
      </c>
      <c r="AC196" t="str">
        <f>(J196*1000000)-(K196*10000)+(L196*100)+(M196*1)-(N196*0.01)</f>
      </c>
    </row>
    <row r="197">
      <c r="A197" s="14" t="str">
        <f>data!$E$37&amp;" "&amp;data!$B$37</f>
      </c>
      <c r="B197" s="14" t="str">
        <f>IF(OR(COUNTA(B191,C191,E191,F191)&gt;0,OR(D191="X",D191="x")),IF(OR(D191="X",D191="x",AND(OR(COUNTA(B191,C191,E191,F191)&gt;0,OR(D191="X",D191="x")),(LEN(SUBSTITUTE(SUBSTITUTE(SUBSTITUTE(B191," ",""),"0",""),"-",""))+LEN(SUBSTITUTE(SUBSTITUTE(SUBSTITUTE(C191," ",""),"0",""),"-","")))=(LEN(SUBSTITUTE(SUBSTITUTE(SUBSTITUTE(E191," ",""),"0",""),"-",""))+LEN(SUBSTITUTE(SUBSTITUTE(SUBSTITUTE(F191," ",""),"0",""),"-",""))))),0,(LEN(SUBSTITUTE(SUBSTITUTE(SUBSTITUTE(B191," ",""),"0",""),"-",""))+LEN(SUBSTITUTE(SUBSTITUTE(SUBSTITUTE(C191," ",""),"0",""),"-",""))&gt;LEN(SUBSTITUTE(SUBSTITUTE(SUBSTITUTE(E191," ",""),"0",""),"-",""))+LEN(SUBSTITUTE(SUBSTITUTE(SUBSTITUTE(F191," ",""),"0",""),"-","")))*1),0)+IF(OR(COUNTA(B193,C193,E193,F193)&gt;0,OR(D193="X",D193="x")),IF(OR(D193="X",D193="x",AND(OR(COUNTA(B193,C193,E193,F193)&gt;0,OR(D193="X",D193="x")),(LEN(SUBSTITUTE(SUBSTITUTE(SUBSTITUTE(B193," ",""),"0",""),"-",""))+LEN(SUBSTITUTE(SUBSTITUTE(SUBSTITUTE(C193," ",""),"0",""),"-","")))=(LEN(SUBSTITUTE(SUBSTITUTE(SUBSTITUTE(E193," ",""),"0",""),"-",""))+LEN(SUBSTITUTE(SUBSTITUTE(SUBSTITUTE(F193," ",""),"0",""),"-",""))))),0,(LEN(SUBSTITUTE(SUBSTITUTE(SUBSTITUTE(E193," ",""),"0",""),"-",""))+LEN(SUBSTITUTE(SUBSTITUTE(SUBSTITUTE(F193," ",""),"0",""),"-",""))&gt;LEN(SUBSTITUTE(SUBSTITUTE(SUBSTITUTE(B193," ",""),"0",""),"-",""))+LEN(SUBSTITUTE(SUBSTITUTE(SUBSTITUTE(C193," ",""),"0",""),"-","")))*1),0)</f>
      </c>
      <c r="C197" s="14" t="str">
        <f>IF(OR(COUNTA(B191,C191,E191,F191)&gt;0,OR(D191="X",D191="x")),IF(OR(D191="X",D191="x",AND(OR(COUNTA(B191,C191,E191,F191)&gt;0,OR(D191="X",D191="x")),(LEN(SUBSTITUTE(SUBSTITUTE(SUBSTITUTE(B191," ",""),"0",""),"-",""))+LEN(SUBSTITUTE(SUBSTITUTE(SUBSTITUTE(C191," ",""),"0",""),"-","")))=(LEN(SUBSTITUTE(SUBSTITUTE(SUBSTITUTE(E191," ",""),"0",""),"-",""))+LEN(SUBSTITUTE(SUBSTITUTE(SUBSTITUTE(F191," ",""),"0",""),"-",""))))),0,(LEN(SUBSTITUTE(SUBSTITUTE(SUBSTITUTE(B191," ",""),"0",""),"-",""))+LEN(SUBSTITUTE(SUBSTITUTE(SUBSTITUTE(C191," ",""),"0",""),"-",""))&lt;LEN(SUBSTITUTE(SUBSTITUTE(SUBSTITUTE(E191," ",""),"0",""),"-",""))+LEN(SUBSTITUTE(SUBSTITUTE(SUBSTITUTE(F191," ",""),"0",""),"-","")))*1),0)+IF(OR(COUNTA(B193,C193,E193,F193)&gt;0,OR(D193="X",D193="x")),IF(OR(D193="X",D193="x",AND(OR(COUNTA(B193,C193,E193,F193)&gt;0,OR(D193="X",D193="x")),(LEN(SUBSTITUTE(SUBSTITUTE(SUBSTITUTE(B193," ",""),"0",""),"-",""))+LEN(SUBSTITUTE(SUBSTITUTE(SUBSTITUTE(C193," ",""),"0",""),"-","")))=(LEN(SUBSTITUTE(SUBSTITUTE(SUBSTITUTE(E193," ",""),"0",""),"-",""))+LEN(SUBSTITUTE(SUBSTITUTE(SUBSTITUTE(F193," ",""),"0",""),"-",""))))),0,(LEN(SUBSTITUTE(SUBSTITUTE(SUBSTITUTE(E193," ",""),"0",""),"-",""))+LEN(SUBSTITUTE(SUBSTITUTE(SUBSTITUTE(F193," ",""),"0",""),"-",""))&lt;LEN(SUBSTITUTE(SUBSTITUTE(SUBSTITUTE(B193," ",""),"0",""),"-",""))+LEN(SUBSTITUTE(SUBSTITUTE(SUBSTITUTE(C193," ",""),"0",""),"-","")))*1),0)</f>
      </c>
      <c r="D197" s="14" t="str">
        <f>IF(OR(COUNTA(B191,C191,E191,F191)&gt;0,OR(D191="X",D191="x")),IF(OR(D191="X",D191="x",AND(OR(COUNTA(B191,C191,E191,F191)&gt;0,OR(D191="X",D191="x")),(LEN(SUBSTITUTE(SUBSTITUTE(SUBSTITUTE(B191," ",""),"0",""),"-",""))+LEN(SUBSTITUTE(SUBSTITUTE(SUBSTITUTE(C191," ",""),"0",""),"-","")))=(LEN(SUBSTITUTE(SUBSTITUTE(SUBSTITUTE(E191," ",""),"0",""),"-",""))+LEN(SUBSTITUTE(SUBSTITUTE(SUBSTITUTE(F191," ",""),"0",""),"-",""))))),1,0),0)+IF(OR(COUNTA(B193,C193,E193,F193)&gt;0,OR(D193="X",D193="x")),IF(OR(D193="X",D193="x",AND(OR(COUNTA(B193,C193,E193,F193)&gt;0,OR(D193="X",D193="x")),(LEN(SUBSTITUTE(SUBSTITUTE(SUBSTITUTE(B193," ",""),"0",""),"-",""))+LEN(SUBSTITUTE(SUBSTITUTE(SUBSTITUTE(C193," ",""),"0",""),"-","")))=(LEN(SUBSTITUTE(SUBSTITUTE(SUBSTITUTE(E193," ",""),"0",""),"-",""))+LEN(SUBSTITUTE(SUBSTITUTE(SUBSTITUTE(F193," ",""),"0",""),"-",""))))),1,0),0)</f>
      </c>
      <c r="E197" s="14" t="str">
        <f>LEN(SUBSTITUTE(SUBSTITUTE(SUBSTITUTE(B191," ",""),"0",""),"-",""))+LEN(SUBSTITUTE(SUBSTITUTE(SUBSTITUTE(C191," ",""),"0",""),"-",""))+LEN(SUBSTITUTE(SUBSTITUTE(SUBSTITUTE(E193," ",""),"0",""),"-",""))+LEN(SUBSTITUTE(SUBSTITUTE(SUBSTITUTE(F193," ",""),"0",""),"-",""))</f>
      </c>
      <c r="F197" s="14" t="str">
        <f>LEN(SUBSTITUTE(SUBSTITUTE(SUBSTITUTE(E191," ",""),"0",""),"-",""))+LEN(SUBSTITUTE(SUBSTITUTE(SUBSTITUTE(F191," ",""),"0",""),"-",""))+LEN(SUBSTITUTE(SUBSTITUTE(SUBSTITUTE(B193," ",""),"0",""),"-",""))+LEN(SUBSTITUTE(SUBSTITUTE(SUBSTITUTE(C193," ",""),"0",""),"-",""))</f>
      </c>
      <c r="G197" s="18" t="str">
        <f>RANK(U197,$U$196:$U$198)+COUNTIF($U$195:U196,U197)</f>
      </c>
      <c r="I197" s="14" t="str">
        <f>data!$E$84&amp;" "&amp;data!$B$84</f>
      </c>
      <c r="J197" s="14" t="str">
        <f>IF(OR(COUNTA(J191,K191,M191,N191)&gt;0,OR(L191="X",L191="x")),IF(OR(L191="X",L191="x",AND(OR(COUNTA(J191,K191,M191,N191)&gt;0,OR(L191="X",L191="x")),(LEN(SUBSTITUTE(SUBSTITUTE(SUBSTITUTE(J191," ",""),"0",""),"-",""))+LEN(SUBSTITUTE(SUBSTITUTE(SUBSTITUTE(K191," ",""),"0",""),"-","")))=(LEN(SUBSTITUTE(SUBSTITUTE(SUBSTITUTE(M191," ",""),"0",""),"-",""))+LEN(SUBSTITUTE(SUBSTITUTE(SUBSTITUTE(N191," ",""),"0",""),"-",""))))),0,(LEN(SUBSTITUTE(SUBSTITUTE(SUBSTITUTE(J191," ",""),"0",""),"-",""))+LEN(SUBSTITUTE(SUBSTITUTE(SUBSTITUTE(K191," ",""),"0",""),"-",""))&gt;LEN(SUBSTITUTE(SUBSTITUTE(SUBSTITUTE(M191," ",""),"0",""),"-",""))+LEN(SUBSTITUTE(SUBSTITUTE(SUBSTITUTE(N191," ",""),"0",""),"-","")))*1),0)+IF(OR(COUNTA(J193,K193,M193,N193)&gt;0,OR(L193="X",L193="x")),IF(OR(L193="X",L193="x",AND(OR(COUNTA(J193,K193,M193,N193)&gt;0,OR(L193="X",L193="x")),(LEN(SUBSTITUTE(SUBSTITUTE(SUBSTITUTE(J193," ",""),"0",""),"-",""))+LEN(SUBSTITUTE(SUBSTITUTE(SUBSTITUTE(K193," ",""),"0",""),"-","")))=(LEN(SUBSTITUTE(SUBSTITUTE(SUBSTITUTE(M193," ",""),"0",""),"-",""))+LEN(SUBSTITUTE(SUBSTITUTE(SUBSTITUTE(N193," ",""),"0",""),"-",""))))),0,(LEN(SUBSTITUTE(SUBSTITUTE(SUBSTITUTE(M193," ",""),"0",""),"-",""))+LEN(SUBSTITUTE(SUBSTITUTE(SUBSTITUTE(N193," ",""),"0",""),"-",""))&gt;LEN(SUBSTITUTE(SUBSTITUTE(SUBSTITUTE(J193," ",""),"0",""),"-",""))+LEN(SUBSTITUTE(SUBSTITUTE(SUBSTITUTE(K193," ",""),"0",""),"-","")))*1),0)</f>
      </c>
      <c r="K197" s="14" t="str">
        <f>IF(OR(COUNTA(J191,K191,M191,N191)&gt;0,OR(L191="X",L191="x")),IF(OR(L191="X",L191="x",AND(OR(COUNTA(J191,K191,M191,N191)&gt;0,OR(L191="X",L191="x")),(LEN(SUBSTITUTE(SUBSTITUTE(SUBSTITUTE(J191," ",""),"0",""),"-",""))+LEN(SUBSTITUTE(SUBSTITUTE(SUBSTITUTE(K191," ",""),"0",""),"-","")))=(LEN(SUBSTITUTE(SUBSTITUTE(SUBSTITUTE(M191," ",""),"0",""),"-",""))+LEN(SUBSTITUTE(SUBSTITUTE(SUBSTITUTE(N191," ",""),"0",""),"-",""))))),0,(LEN(SUBSTITUTE(SUBSTITUTE(SUBSTITUTE(J191," ",""),"0",""),"-",""))+LEN(SUBSTITUTE(SUBSTITUTE(SUBSTITUTE(K191," ",""),"0",""),"-",""))&lt;LEN(SUBSTITUTE(SUBSTITUTE(SUBSTITUTE(M191," ",""),"0",""),"-",""))+LEN(SUBSTITUTE(SUBSTITUTE(SUBSTITUTE(N191," ",""),"0",""),"-","")))*1),0)+IF(OR(COUNTA(J193,K193,M193,N193)&gt;0,OR(L193="X",L193="x")),IF(OR(L193="X",L193="x",AND(OR(COUNTA(J193,K193,M193,N193)&gt;0,OR(L193="X",L193="x")),(LEN(SUBSTITUTE(SUBSTITUTE(SUBSTITUTE(J193," ",""),"0",""),"-",""))+LEN(SUBSTITUTE(SUBSTITUTE(SUBSTITUTE(K193," ",""),"0",""),"-","")))=(LEN(SUBSTITUTE(SUBSTITUTE(SUBSTITUTE(M193," ",""),"0",""),"-",""))+LEN(SUBSTITUTE(SUBSTITUTE(SUBSTITUTE(N193," ",""),"0",""),"-",""))))),0,(LEN(SUBSTITUTE(SUBSTITUTE(SUBSTITUTE(M193," ",""),"0",""),"-",""))+LEN(SUBSTITUTE(SUBSTITUTE(SUBSTITUTE(N193," ",""),"0",""),"-",""))&lt;LEN(SUBSTITUTE(SUBSTITUTE(SUBSTITUTE(J193," ",""),"0",""),"-",""))+LEN(SUBSTITUTE(SUBSTITUTE(SUBSTITUTE(K193," ",""),"0",""),"-","")))*1),0)</f>
      </c>
      <c r="L197" s="14" t="str">
        <f>IF(OR(COUNTA(J191,K191,M191,N191)&gt;0,OR(L191="X",L191="x")),IF(OR(L191="X",L191="x",AND(OR(COUNTA(J191,K191,M191,N191)&gt;0,OR(L191="X",L191="x")),(LEN(SUBSTITUTE(SUBSTITUTE(SUBSTITUTE(J191," ",""),"0",""),"-",""))+LEN(SUBSTITUTE(SUBSTITUTE(SUBSTITUTE(K191," ",""),"0",""),"-","")))=(LEN(SUBSTITUTE(SUBSTITUTE(SUBSTITUTE(M191," ",""),"0",""),"-",""))+LEN(SUBSTITUTE(SUBSTITUTE(SUBSTITUTE(N191," ",""),"0",""),"-",""))))),1,0),0)+IF(OR(COUNTA(J193,K193,M193,N193)&gt;0,OR(L193="X",L193="x")),IF(OR(L193="X",L193="x",AND(OR(COUNTA(J193,K193,M193,N193)&gt;0,OR(L193="X",L193="x")),(LEN(SUBSTITUTE(SUBSTITUTE(SUBSTITUTE(J193," ",""),"0",""),"-",""))+LEN(SUBSTITUTE(SUBSTITUTE(SUBSTITUTE(K193," ",""),"0",""),"-","")))=(LEN(SUBSTITUTE(SUBSTITUTE(SUBSTITUTE(M193," ",""),"0",""),"-",""))+LEN(SUBSTITUTE(SUBSTITUTE(SUBSTITUTE(N193," ",""),"0",""),"-",""))))),1,0),0)</f>
      </c>
      <c r="M197" s="14" t="str">
        <f>LEN(SUBSTITUTE(SUBSTITUTE(SUBSTITUTE(J191," ",""),"0",""),"-",""))+LEN(SUBSTITUTE(SUBSTITUTE(SUBSTITUTE(K191," ",""),"0",""),"-",""))+LEN(SUBSTITUTE(SUBSTITUTE(SUBSTITUTE(M193," ",""),"0",""),"-",""))+LEN(SUBSTITUTE(SUBSTITUTE(SUBSTITUTE(N193," ",""),"0",""),"-",""))</f>
      </c>
      <c r="N197" s="14" t="str">
        <f>LEN(SUBSTITUTE(SUBSTITUTE(SUBSTITUTE(M191," ",""),"0",""),"-",""))+LEN(SUBSTITUTE(SUBSTITUTE(SUBSTITUTE(N191," ",""),"0",""),"-",""))+LEN(SUBSTITUTE(SUBSTITUTE(SUBSTITUTE(J193," ",""),"0",""),"-",""))+LEN(SUBSTITUTE(SUBSTITUTE(SUBSTITUTE(K193," ",""),"0",""),"-",""))</f>
      </c>
      <c r="O197" s="18" t="str">
        <f>RANK(AC197,$AC$196:$AC$198)+COUNTIF($AC$195:AC196,AC197)</f>
      </c>
      <c r="U197" t="str">
        <f>(B197*1000000)-(C197*10000)+(D197*100)+(E197*1)-(F197*0.01)</f>
      </c>
      <c r="AC197" t="str">
        <f>(J197*1000000)-(K197*10000)+(L197*100)+(M197*1)-(N197*0.01)</f>
      </c>
    </row>
    <row r="198">
      <c r="A198" s="14" t="str">
        <f>data!$E$38&amp;" "&amp;data!$B$38</f>
      </c>
      <c r="B198" s="14" t="str">
        <f>IF(OR(COUNTA(B192,C192,E192,F192)&gt;0,OR(D192="X",D192="x")),IF(OR(D192="X",D192="x",AND(OR(COUNTA(B192,C192,E192,F192)&gt;0,OR(D192="X",D192="x")),(LEN(SUBSTITUTE(SUBSTITUTE(SUBSTITUTE(B192," ",""),"0",""),"-",""))+LEN(SUBSTITUTE(SUBSTITUTE(SUBSTITUTE(C192," ",""),"0",""),"-","")))=(LEN(SUBSTITUTE(SUBSTITUTE(SUBSTITUTE(E192," ",""),"0",""),"-",""))+LEN(SUBSTITUTE(SUBSTITUTE(SUBSTITUTE(F192," ",""),"0",""),"-",""))))),0,(LEN(SUBSTITUTE(SUBSTITUTE(SUBSTITUTE(B192," ",""),"0",""),"-",""))+LEN(SUBSTITUTE(SUBSTITUTE(SUBSTITUTE(C192," ",""),"0",""),"-",""))&gt;LEN(SUBSTITUTE(SUBSTITUTE(SUBSTITUTE(E192," ",""),"0",""),"-",""))+LEN(SUBSTITUTE(SUBSTITUTE(SUBSTITUTE(F192," ",""),"0",""),"-","")))*1),0)+IF(OR(COUNTA(B193,C193,E193,F193)&gt;0,OR(D193="X",D193="x")),IF(OR(D193="X",D193="x",AND(OR(COUNTA(B193,C193,E193,F193)&gt;0,OR(D193="X",D193="x")),(LEN(SUBSTITUTE(SUBSTITUTE(SUBSTITUTE(B193," ",""),"0",""),"-",""))+LEN(SUBSTITUTE(SUBSTITUTE(SUBSTITUTE(C193," ",""),"0",""),"-","")))=(LEN(SUBSTITUTE(SUBSTITUTE(SUBSTITUTE(E193," ",""),"0",""),"-",""))+LEN(SUBSTITUTE(SUBSTITUTE(SUBSTITUTE(F193," ",""),"0",""),"-",""))))),0,(LEN(SUBSTITUTE(SUBSTITUTE(SUBSTITUTE(B193," ",""),"0",""),"-",""))+LEN(SUBSTITUTE(SUBSTITUTE(SUBSTITUTE(C193," ",""),"0",""),"-",""))&gt;LEN(SUBSTITUTE(SUBSTITUTE(SUBSTITUTE(E193," ",""),"0",""),"-",""))+LEN(SUBSTITUTE(SUBSTITUTE(SUBSTITUTE(F193," ",""),"0",""),"-","")))*1),0)</f>
      </c>
      <c r="C198" s="14" t="str">
        <f>IF(OR(COUNTA(B192,C192,E192,F192)&gt;0,OR(D192="X",D192="x")),IF(OR(D192="X",D192="x",AND(OR(COUNTA(B192,C192,E192,F192)&gt;0,OR(D192="X",D192="x")),(LEN(SUBSTITUTE(SUBSTITUTE(SUBSTITUTE(B192," ",""),"0",""),"-",""))+LEN(SUBSTITUTE(SUBSTITUTE(SUBSTITUTE(C192," ",""),"0",""),"-","")))=(LEN(SUBSTITUTE(SUBSTITUTE(SUBSTITUTE(E192," ",""),"0",""),"-",""))+LEN(SUBSTITUTE(SUBSTITUTE(SUBSTITUTE(F192," ",""),"0",""),"-",""))))),0,(LEN(SUBSTITUTE(SUBSTITUTE(SUBSTITUTE(B192," ",""),"0",""),"-",""))+LEN(SUBSTITUTE(SUBSTITUTE(SUBSTITUTE(C192," ",""),"0",""),"-",""))&lt;LEN(SUBSTITUTE(SUBSTITUTE(SUBSTITUTE(E192," ",""),"0",""),"-",""))+LEN(SUBSTITUTE(SUBSTITUTE(SUBSTITUTE(F192," ",""),"0",""),"-","")))*1),0)+IF(OR(COUNTA(B193,C193,E193,F193)&gt;0,OR(D193="X",D193="x")),IF(OR(D193="X",D193="x",AND(OR(COUNTA(B193,C193,E193,F193)&gt;0,OR(D193="X",D193="x")),(LEN(SUBSTITUTE(SUBSTITUTE(SUBSTITUTE(B193," ",""),"0",""),"-",""))+LEN(SUBSTITUTE(SUBSTITUTE(SUBSTITUTE(C193," ",""),"0",""),"-","")))=(LEN(SUBSTITUTE(SUBSTITUTE(SUBSTITUTE(E193," ",""),"0",""),"-",""))+LEN(SUBSTITUTE(SUBSTITUTE(SUBSTITUTE(F193," ",""),"0",""),"-",""))))),0,(LEN(SUBSTITUTE(SUBSTITUTE(SUBSTITUTE(B193," ",""),"0",""),"-",""))+LEN(SUBSTITUTE(SUBSTITUTE(SUBSTITUTE(C193," ",""),"0",""),"-",""))&lt;LEN(SUBSTITUTE(SUBSTITUTE(SUBSTITUTE(E193," ",""),"0",""),"-",""))+LEN(SUBSTITUTE(SUBSTITUTE(SUBSTITUTE(F193," ",""),"0",""),"-","")))*1),0)</f>
      </c>
      <c r="D198" s="14" t="str">
        <f>IF(OR(COUNTA(B192,C192,E192,F192)&gt;0,OR(D192="X",D192="x")),IF(OR(D192="X",D192="x",AND(OR(COUNTA(B192,C192,E192,F192)&gt;0,OR(D192="X",D192="x")),(LEN(SUBSTITUTE(SUBSTITUTE(SUBSTITUTE(B192," ",""),"0",""),"-",""))+LEN(SUBSTITUTE(SUBSTITUTE(SUBSTITUTE(C192," ",""),"0",""),"-","")))=(LEN(SUBSTITUTE(SUBSTITUTE(SUBSTITUTE(E192," ",""),"0",""),"-",""))+LEN(SUBSTITUTE(SUBSTITUTE(SUBSTITUTE(F192," ",""),"0",""),"-",""))))),1,0),0)+IF(OR(COUNTA(B193,C193,E193,F193)&gt;0,OR(D193="X",D193="x")),IF(OR(D193="X",D193="x",AND(OR(COUNTA(B193,C193,E193,F193)&gt;0,OR(D193="X",D193="x")),(LEN(SUBSTITUTE(SUBSTITUTE(SUBSTITUTE(B193," ",""),"0",""),"-",""))+LEN(SUBSTITUTE(SUBSTITUTE(SUBSTITUTE(C193," ",""),"0",""),"-","")))=(LEN(SUBSTITUTE(SUBSTITUTE(SUBSTITUTE(E193," ",""),"0",""),"-",""))+LEN(SUBSTITUTE(SUBSTITUTE(SUBSTITUTE(F193," ",""),"0",""),"-",""))))),1,0),0)</f>
      </c>
      <c r="E198" s="14" t="str">
        <f>LEN(SUBSTITUTE(SUBSTITUTE(SUBSTITUTE(B192," ",""),"0",""),"-",""))+LEN(SUBSTITUTE(SUBSTITUTE(SUBSTITUTE(C192," ",""),"0",""),"-",""))+LEN(SUBSTITUTE(SUBSTITUTE(SUBSTITUTE(B193," ",""),"0",""),"-",""))+LEN(SUBSTITUTE(SUBSTITUTE(SUBSTITUTE(C193," ",""),"0",""),"-",""))</f>
      </c>
      <c r="F198" s="14" t="str">
        <f>LEN(SUBSTITUTE(SUBSTITUTE(SUBSTITUTE(E192," ",""),"0",""),"-",""))+LEN(SUBSTITUTE(SUBSTITUTE(SUBSTITUTE(F192," ",""),"0",""),"-",""))+LEN(SUBSTITUTE(SUBSTITUTE(SUBSTITUTE(E193," ",""),"0",""),"-",""))+LEN(SUBSTITUTE(SUBSTITUTE(SUBSTITUTE(F193," ",""),"0",""),"-",""))</f>
      </c>
      <c r="G198" s="18" t="str">
        <f>RANK(U198,$U$196:$U$198)+COUNTIF($U$195:U197,U198)</f>
      </c>
      <c r="I198" s="14" t="str">
        <f>data!$E$85&amp;" "&amp;data!$B$85</f>
      </c>
      <c r="J198" s="14" t="str">
        <f>IF(OR(COUNTA(J192,K192,M192,N192)&gt;0,OR(L192="X",L192="x")),IF(OR(L192="X",L192="x",AND(OR(COUNTA(J192,K192,M192,N192)&gt;0,OR(L192="X",L192="x")),(LEN(SUBSTITUTE(SUBSTITUTE(SUBSTITUTE(J192," ",""),"0",""),"-",""))+LEN(SUBSTITUTE(SUBSTITUTE(SUBSTITUTE(K192," ",""),"0",""),"-","")))=(LEN(SUBSTITUTE(SUBSTITUTE(SUBSTITUTE(M192," ",""),"0",""),"-",""))+LEN(SUBSTITUTE(SUBSTITUTE(SUBSTITUTE(N192," ",""),"0",""),"-",""))))),0,(LEN(SUBSTITUTE(SUBSTITUTE(SUBSTITUTE(J192," ",""),"0",""),"-",""))+LEN(SUBSTITUTE(SUBSTITUTE(SUBSTITUTE(K192," ",""),"0",""),"-",""))&gt;LEN(SUBSTITUTE(SUBSTITUTE(SUBSTITUTE(M192," ",""),"0",""),"-",""))+LEN(SUBSTITUTE(SUBSTITUTE(SUBSTITUTE(N192," ",""),"0",""),"-","")))*1),0)+IF(OR(COUNTA(J193,K193,M193,N193)&gt;0,OR(L193="X",L193="x")),IF(OR(L193="X",L193="x",AND(OR(COUNTA(J193,K193,M193,N193)&gt;0,OR(L193="X",L193="x")),(LEN(SUBSTITUTE(SUBSTITUTE(SUBSTITUTE(J193," ",""),"0",""),"-",""))+LEN(SUBSTITUTE(SUBSTITUTE(SUBSTITUTE(K193," ",""),"0",""),"-","")))=(LEN(SUBSTITUTE(SUBSTITUTE(SUBSTITUTE(M193," ",""),"0",""),"-",""))+LEN(SUBSTITUTE(SUBSTITUTE(SUBSTITUTE(N193," ",""),"0",""),"-",""))))),0,(LEN(SUBSTITUTE(SUBSTITUTE(SUBSTITUTE(J193," ",""),"0",""),"-",""))+LEN(SUBSTITUTE(SUBSTITUTE(SUBSTITUTE(K193," ",""),"0",""),"-",""))&gt;LEN(SUBSTITUTE(SUBSTITUTE(SUBSTITUTE(M193," ",""),"0",""),"-",""))+LEN(SUBSTITUTE(SUBSTITUTE(SUBSTITUTE(N193," ",""),"0",""),"-","")))*1),0)</f>
      </c>
      <c r="K198" s="14" t="str">
        <f>IF(OR(COUNTA(J192,K192,M192,N192)&gt;0,OR(L192="X",L192="x")),IF(OR(L192="X",L192="x",AND(OR(COUNTA(J192,K192,M192,N192)&gt;0,OR(L192="X",L192="x")),(LEN(SUBSTITUTE(SUBSTITUTE(SUBSTITUTE(J192," ",""),"0",""),"-",""))+LEN(SUBSTITUTE(SUBSTITUTE(SUBSTITUTE(K192," ",""),"0",""),"-","")))=(LEN(SUBSTITUTE(SUBSTITUTE(SUBSTITUTE(M192," ",""),"0",""),"-",""))+LEN(SUBSTITUTE(SUBSTITUTE(SUBSTITUTE(N192," ",""),"0",""),"-",""))))),0,(LEN(SUBSTITUTE(SUBSTITUTE(SUBSTITUTE(J192," ",""),"0",""),"-",""))+LEN(SUBSTITUTE(SUBSTITUTE(SUBSTITUTE(K192," ",""),"0",""),"-",""))&lt;LEN(SUBSTITUTE(SUBSTITUTE(SUBSTITUTE(M192," ",""),"0",""),"-",""))+LEN(SUBSTITUTE(SUBSTITUTE(SUBSTITUTE(N192," ",""),"0",""),"-","")))*1),0)+IF(OR(COUNTA(J193,K193,M193,N193)&gt;0,OR(L193="X",L193="x")),IF(OR(L193="X",L193="x",AND(OR(COUNTA(J193,K193,M193,N193)&gt;0,OR(L193="X",L193="x")),(LEN(SUBSTITUTE(SUBSTITUTE(SUBSTITUTE(J193," ",""),"0",""),"-",""))+LEN(SUBSTITUTE(SUBSTITUTE(SUBSTITUTE(K193," ",""),"0",""),"-","")))=(LEN(SUBSTITUTE(SUBSTITUTE(SUBSTITUTE(M193," ",""),"0",""),"-",""))+LEN(SUBSTITUTE(SUBSTITUTE(SUBSTITUTE(N193," ",""),"0",""),"-",""))))),0,(LEN(SUBSTITUTE(SUBSTITUTE(SUBSTITUTE(J193," ",""),"0",""),"-",""))+LEN(SUBSTITUTE(SUBSTITUTE(SUBSTITUTE(K193," ",""),"0",""),"-",""))&lt;LEN(SUBSTITUTE(SUBSTITUTE(SUBSTITUTE(M193," ",""),"0",""),"-",""))+LEN(SUBSTITUTE(SUBSTITUTE(SUBSTITUTE(N193," ",""),"0",""),"-","")))*1),0)</f>
      </c>
      <c r="L198" s="14" t="str">
        <f>IF(OR(COUNTA(J192,K192,M192,N192)&gt;0,OR(L192="X",L192="x")),IF(OR(L192="X",L192="x",AND(OR(COUNTA(J192,K192,M192,N192)&gt;0,OR(L192="X",L192="x")),(LEN(SUBSTITUTE(SUBSTITUTE(SUBSTITUTE(J192," ",""),"0",""),"-",""))+LEN(SUBSTITUTE(SUBSTITUTE(SUBSTITUTE(K192," ",""),"0",""),"-","")))=(LEN(SUBSTITUTE(SUBSTITUTE(SUBSTITUTE(M192," ",""),"0",""),"-",""))+LEN(SUBSTITUTE(SUBSTITUTE(SUBSTITUTE(N192," ",""),"0",""),"-",""))))),1,0),0)+IF(OR(COUNTA(J193,K193,M193,N193)&gt;0,OR(L193="X",L193="x")),IF(OR(L193="X",L193="x",AND(OR(COUNTA(J193,K193,M193,N193)&gt;0,OR(L193="X",L193="x")),(LEN(SUBSTITUTE(SUBSTITUTE(SUBSTITUTE(J193," ",""),"0",""),"-",""))+LEN(SUBSTITUTE(SUBSTITUTE(SUBSTITUTE(K193," ",""),"0",""),"-","")))=(LEN(SUBSTITUTE(SUBSTITUTE(SUBSTITUTE(M193," ",""),"0",""),"-",""))+LEN(SUBSTITUTE(SUBSTITUTE(SUBSTITUTE(N193," ",""),"0",""),"-",""))))),1,0),0)</f>
      </c>
      <c r="M198" s="14" t="str">
        <f>LEN(SUBSTITUTE(SUBSTITUTE(SUBSTITUTE(J192," ",""),"0",""),"-",""))+LEN(SUBSTITUTE(SUBSTITUTE(SUBSTITUTE(K192," ",""),"0",""),"-",""))+LEN(SUBSTITUTE(SUBSTITUTE(SUBSTITUTE(J193," ",""),"0",""),"-",""))+LEN(SUBSTITUTE(SUBSTITUTE(SUBSTITUTE(K193," ",""),"0",""),"-",""))</f>
      </c>
      <c r="N198" s="14" t="str">
        <f>LEN(SUBSTITUTE(SUBSTITUTE(SUBSTITUTE(M192," ",""),"0",""),"-",""))+LEN(SUBSTITUTE(SUBSTITUTE(SUBSTITUTE(N192," ",""),"0",""),"-",""))+LEN(SUBSTITUTE(SUBSTITUTE(SUBSTITUTE(M193," ",""),"0",""),"-",""))+LEN(SUBSTITUTE(SUBSTITUTE(SUBSTITUTE(N193," ",""),"0",""),"-",""))</f>
      </c>
      <c r="O198" s="18" t="str">
        <f>RANK(AC198,$AC$196:$AC$198)+COUNTIF($AC$195:AC197,AC198)</f>
      </c>
      <c r="U198" t="str">
        <f>(B198*1000000)-(C198*10000)+(D198*100)+(E198*1)-(F198*0.01)</f>
      </c>
      <c r="AC198" t="str">
        <f>(J198*1000000)-(K198*10000)+(L198*100)+(M198*1)-(N198*0.01)</f>
      </c>
    </row>
    <row r="201">
      <c r="F201" s="13"/>
      <c r="G201" s="13" t="s">
        <v>341</v>
      </c>
      <c r="N201" s="13"/>
      <c r="O201" s="13" t="s">
        <v>341</v>
      </c>
    </row>
    <row r="202">
      <c r="F202" t="s">
        <v>342</v>
      </c>
      <c r="G202" s="19" t="str">
        <f>IFERROR(INDEX($A$196:$A$198, MATCH(1, $G$196:$G$198, 0)), "-")</f>
      </c>
      <c r="N202" t="s">
        <v>342</v>
      </c>
      <c r="O202" s="19" t="str">
        <f>IFERROR(INDEX($I$196:$I$198, MATCH(1, $O$196:$O$198, 0)), "-")</f>
      </c>
    </row>
    <row r="203">
      <c r="F203" t="s">
        <v>343</v>
      </c>
      <c r="G203" s="19" t="str">
        <f>IFERROR(INDEX($A$196:$A$198, MATCH(2, $G$196:$G$198, 0)), "-")</f>
      </c>
      <c r="N203" t="s">
        <v>343</v>
      </c>
      <c r="O203" s="19" t="str">
        <f>IFERROR(INDEX($I$196:$I$198, MATCH(2, $O$196:$O$198, 0)), "-")</f>
      </c>
    </row>
    <row r="204">
      <c r="F204" t="s">
        <v>344</v>
      </c>
      <c r="G204" s="19" t="str">
        <f>IFERROR(INDEX($A$196:$A$198, MATCH(3, $G$196:$G$198, 0)), "-")</f>
      </c>
      <c r="N204" t="s">
        <v>344</v>
      </c>
      <c r="O204" s="19" t="str">
        <f>IFERROR(INDEX($I$196:$I$198, MATCH(3, $O$196:$O$198, 0)), "-")</f>
      </c>
    </row>
    <row r="206">
      <c r="A206" s="13" t="str">
        <f>'data'!$A$41</f>
      </c>
      <c r="B206" s="13"/>
      <c r="C206" s="13"/>
      <c r="D206" s="13"/>
      <c r="E206" s="13"/>
      <c r="F206" s="13"/>
      <c r="G206" s="13"/>
      <c r="I206" s="13" t="str">
        <f>'data'!$A$88</f>
      </c>
      <c r="J206" s="13"/>
      <c r="K206" s="13"/>
      <c r="L206" s="13"/>
      <c r="M206" s="13"/>
      <c r="N206" s="13"/>
      <c r="O206" s="13"/>
    </row>
    <row r="207">
      <c r="A207" s="17" t="s">
        <v>331</v>
      </c>
      <c r="D207" s="14" t="s">
        <v>332</v>
      </c>
      <c r="G207" s="16" t="s">
        <v>333</v>
      </c>
      <c r="I207" s="17" t="s">
        <v>331</v>
      </c>
      <c r="L207" s="14" t="s">
        <v>332</v>
      </c>
      <c r="O207" s="16" t="s">
        <v>333</v>
      </c>
    </row>
    <row r="208">
      <c r="A208" s="14" t="str">
        <f>data!$E$40&amp;" "&amp;data!$B$40</f>
      </c>
      <c r="B208" s="18"/>
      <c r="C208" s="18"/>
      <c r="D208" s="18"/>
      <c r="E208" s="18"/>
      <c r="F208" s="18"/>
      <c r="G208" s="14" t="str">
        <f>data!$E$39&amp;" "&amp;data!$B$39</f>
      </c>
      <c r="I208" s="14" t="str">
        <f>data!$E$87&amp;" "&amp;data!$B$87</f>
      </c>
      <c r="J208" s="18"/>
      <c r="K208" s="18"/>
      <c r="L208" s="18"/>
      <c r="M208" s="18"/>
      <c r="N208" s="18"/>
      <c r="O208" s="14" t="str">
        <f>data!$E$86&amp;" "&amp;data!$B$86</f>
      </c>
    </row>
    <row r="209">
      <c r="A209" s="14" t="str">
        <f>data!$E$41&amp;" "&amp;data!$B$41</f>
      </c>
      <c r="B209" s="18"/>
      <c r="C209" s="18"/>
      <c r="D209" s="18"/>
      <c r="E209" s="18"/>
      <c r="F209" s="18"/>
      <c r="G209" s="14" t="str">
        <f>data!$E$39&amp;" "&amp;data!$B$39</f>
      </c>
      <c r="I209" s="14" t="str">
        <f>data!$E$88&amp;" "&amp;data!$B$88</f>
      </c>
      <c r="J209" s="18"/>
      <c r="K209" s="18"/>
      <c r="L209" s="18"/>
      <c r="M209" s="18"/>
      <c r="N209" s="18"/>
      <c r="O209" s="14" t="str">
        <f>data!$E$86&amp;" "&amp;data!$B$86</f>
      </c>
    </row>
    <row r="210">
      <c r="A210" s="14" t="str">
        <f>data!$E$41&amp;" "&amp;data!$B$41</f>
      </c>
      <c r="B210" s="18"/>
      <c r="C210" s="18"/>
      <c r="D210" s="18"/>
      <c r="E210" s="18"/>
      <c r="F210" s="18"/>
      <c r="G210" s="14" t="str">
        <f>data!$E$40&amp;" "&amp;data!$B$40</f>
      </c>
      <c r="I210" s="14" t="str">
        <f>data!$E$88&amp;" "&amp;data!$B$88</f>
      </c>
      <c r="J210" s="18"/>
      <c r="K210" s="18"/>
      <c r="L210" s="18"/>
      <c r="M210" s="18"/>
      <c r="N210" s="18"/>
      <c r="O210" s="14" t="str">
        <f>data!$E$87&amp;" "&amp;data!$B$87</f>
      </c>
    </row>
    <row r="212">
      <c r="A212" s="13" t="s">
        <v>334</v>
      </c>
      <c r="B212" s="13" t="s">
        <v>335</v>
      </c>
      <c r="C212" s="13" t="s">
        <v>336</v>
      </c>
      <c r="D212" s="13" t="s">
        <v>337</v>
      </c>
      <c r="E212" s="13" t="s">
        <v>338</v>
      </c>
      <c r="F212" s="13" t="s">
        <v>339</v>
      </c>
      <c r="G212" s="13" t="s">
        <v>340</v>
      </c>
      <c r="I212" s="13" t="s">
        <v>334</v>
      </c>
      <c r="J212" s="13" t="s">
        <v>335</v>
      </c>
      <c r="K212" s="13" t="s">
        <v>336</v>
      </c>
      <c r="L212" s="13" t="s">
        <v>337</v>
      </c>
      <c r="M212" s="13" t="s">
        <v>338</v>
      </c>
      <c r="N212" s="13" t="s">
        <v>339</v>
      </c>
      <c r="O212" s="13" t="s">
        <v>340</v>
      </c>
    </row>
    <row r="213">
      <c r="A213" s="14" t="str">
        <f>data!$E$39&amp;" "&amp;data!$B$39</f>
      </c>
      <c r="B213" s="14" t="str">
        <f>IF(OR(COUNTA(B208,C208,E208,F208)&gt;0,OR(D208="X",D208="x")),IF(OR(D208="X",D208="x",AND(OR(COUNTA(B208,C208,E208,F208)&gt;0,OR(D208="X",D208="x")),(LEN(SUBSTITUTE(SUBSTITUTE(SUBSTITUTE(B208," ",""),"0",""),"-",""))+LEN(SUBSTITUTE(SUBSTITUTE(SUBSTITUTE(C208," ",""),"0",""),"-","")))=(LEN(SUBSTITUTE(SUBSTITUTE(SUBSTITUTE(E208," ",""),"0",""),"-",""))+LEN(SUBSTITUTE(SUBSTITUTE(SUBSTITUTE(F208," ",""),"0",""),"-",""))))),0,(LEN(SUBSTITUTE(SUBSTITUTE(SUBSTITUTE(E208," ",""),"0",""),"-",""))+LEN(SUBSTITUTE(SUBSTITUTE(SUBSTITUTE(F208," ",""),"0",""),"-",""))&gt;LEN(SUBSTITUTE(SUBSTITUTE(SUBSTITUTE(B208," ",""),"0",""),"-",""))+LEN(SUBSTITUTE(SUBSTITUTE(SUBSTITUTE(C208," ",""),"0",""),"-","")))*1),0)+IF(OR(COUNTA(B209,C209,E209,F209)&gt;0,OR(D209="X",D209="x")),IF(OR(D209="X",D209="x",AND(OR(COUNTA(B209,C209,E209,F209)&gt;0,OR(D209="X",D209="x")),(LEN(SUBSTITUTE(SUBSTITUTE(SUBSTITUTE(B209," ",""),"0",""),"-",""))+LEN(SUBSTITUTE(SUBSTITUTE(SUBSTITUTE(C209," ",""),"0",""),"-","")))=(LEN(SUBSTITUTE(SUBSTITUTE(SUBSTITUTE(E209," ",""),"0",""),"-",""))+LEN(SUBSTITUTE(SUBSTITUTE(SUBSTITUTE(F209," ",""),"0",""),"-",""))))),0,(LEN(SUBSTITUTE(SUBSTITUTE(SUBSTITUTE(E209," ",""),"0",""),"-",""))+LEN(SUBSTITUTE(SUBSTITUTE(SUBSTITUTE(F209," ",""),"0",""),"-",""))&gt;LEN(SUBSTITUTE(SUBSTITUTE(SUBSTITUTE(B209," ",""),"0",""),"-",""))+LEN(SUBSTITUTE(SUBSTITUTE(SUBSTITUTE(C209," ",""),"0",""),"-","")))*1),0)</f>
      </c>
      <c r="C213" s="14" t="str">
        <f>IF(OR(COUNTA(B208,C208,E208,F208)&gt;0,OR(D208="X",D208="x")),IF(OR(D208="X",D208="x",AND(OR(COUNTA(B208,C208,E208,F208)&gt;0,OR(D208="X",D208="x")),(LEN(SUBSTITUTE(SUBSTITUTE(SUBSTITUTE(B208," ",""),"0",""),"-",""))+LEN(SUBSTITUTE(SUBSTITUTE(SUBSTITUTE(C208," ",""),"0",""),"-","")))=(LEN(SUBSTITUTE(SUBSTITUTE(SUBSTITUTE(E208," ",""),"0",""),"-",""))+LEN(SUBSTITUTE(SUBSTITUTE(SUBSTITUTE(F208," ",""),"0",""),"-",""))))),0,(LEN(SUBSTITUTE(SUBSTITUTE(SUBSTITUTE(E208," ",""),"0",""),"-",""))+LEN(SUBSTITUTE(SUBSTITUTE(SUBSTITUTE(F208," ",""),"0",""),"-",""))&lt;LEN(SUBSTITUTE(SUBSTITUTE(SUBSTITUTE(B208," ",""),"0",""),"-",""))+LEN(SUBSTITUTE(SUBSTITUTE(SUBSTITUTE(C208," ",""),"0",""),"-","")))*1),0)+IF(OR(COUNTA(B209,C209,E209,F209)&gt;0,OR(D209="X",D209="x")),IF(OR(D209="X",D209="x",AND(OR(COUNTA(B209,C209,E209,F209)&gt;0,OR(D209="X",D209="x")),(LEN(SUBSTITUTE(SUBSTITUTE(SUBSTITUTE(B209," ",""),"0",""),"-",""))+LEN(SUBSTITUTE(SUBSTITUTE(SUBSTITUTE(C209," ",""),"0",""),"-","")))=(LEN(SUBSTITUTE(SUBSTITUTE(SUBSTITUTE(E209," ",""),"0",""),"-",""))+LEN(SUBSTITUTE(SUBSTITUTE(SUBSTITUTE(F209," ",""),"0",""),"-",""))))),0,(LEN(SUBSTITUTE(SUBSTITUTE(SUBSTITUTE(E209," ",""),"0",""),"-",""))+LEN(SUBSTITUTE(SUBSTITUTE(SUBSTITUTE(F209," ",""),"0",""),"-",""))&lt;LEN(SUBSTITUTE(SUBSTITUTE(SUBSTITUTE(B209," ",""),"0",""),"-",""))+LEN(SUBSTITUTE(SUBSTITUTE(SUBSTITUTE(C209," ",""),"0",""),"-","")))*1),0)</f>
      </c>
      <c r="D213" s="14" t="str">
        <f>IF(OR(COUNTA(B208,C208,E208,F208)&gt;0,OR(D208="X",D208="x")),IF(OR(D208="X",D208="x",AND(OR(COUNTA(B208,C208,E208,F208)&gt;0,OR(D208="X",D208="x")),(LEN(SUBSTITUTE(SUBSTITUTE(SUBSTITUTE(B208," ",""),"0",""),"-",""))+LEN(SUBSTITUTE(SUBSTITUTE(SUBSTITUTE(C208," ",""),"0",""),"-","")))=(LEN(SUBSTITUTE(SUBSTITUTE(SUBSTITUTE(E208," ",""),"0",""),"-",""))+LEN(SUBSTITUTE(SUBSTITUTE(SUBSTITUTE(F208," ",""),"0",""),"-",""))))),1,0),0)+IF(OR(COUNTA(B209,C209,E209,F209)&gt;0,OR(D209="X",D209="x")),IF(OR(D209="X",D209="x",AND(OR(COUNTA(B209,C209,E209,F209)&gt;0,OR(D209="X",D209="x")),(LEN(SUBSTITUTE(SUBSTITUTE(SUBSTITUTE(B209," ",""),"0",""),"-",""))+LEN(SUBSTITUTE(SUBSTITUTE(SUBSTITUTE(C209," ",""),"0",""),"-","")))=(LEN(SUBSTITUTE(SUBSTITUTE(SUBSTITUTE(E209," ",""),"0",""),"-",""))+LEN(SUBSTITUTE(SUBSTITUTE(SUBSTITUTE(F209," ",""),"0",""),"-",""))))),1,0),0)</f>
      </c>
      <c r="E213" s="14" t="str">
        <f>LEN(SUBSTITUTE(SUBSTITUTE(SUBSTITUTE(E208," ",""),"0",""),"-",""))+LEN(SUBSTITUTE(SUBSTITUTE(SUBSTITUTE(F208," ",""),"0",""),"-",""))+LEN(SUBSTITUTE(SUBSTITUTE(SUBSTITUTE(E209," ",""),"0",""),"-",""))+LEN(SUBSTITUTE(SUBSTITUTE(SUBSTITUTE(F209," ",""),"0",""),"-",""))</f>
      </c>
      <c r="F213" s="14" t="str">
        <f>LEN(SUBSTITUTE(SUBSTITUTE(SUBSTITUTE(B208," ",""),"0",""),"-",""))+LEN(SUBSTITUTE(SUBSTITUTE(SUBSTITUTE(C208," ",""),"0",""),"-",""))+LEN(SUBSTITUTE(SUBSTITUTE(SUBSTITUTE(B209," ",""),"0",""),"-",""))+LEN(SUBSTITUTE(SUBSTITUTE(SUBSTITUTE(C209," ",""),"0",""),"-",""))</f>
      </c>
      <c r="G213" s="18" t="str">
        <f>RANK(U213,$U$213:$U$215)+COUNTIF($U$212:U212,U213)</f>
      </c>
      <c r="I213" s="14" t="str">
        <f>data!$E$86&amp;" "&amp;data!$B$86</f>
      </c>
      <c r="J213" s="14" t="str">
        <f>IF(OR(COUNTA(J208,K208,M208,N208)&gt;0,OR(L208="X",L208="x")),IF(OR(L208="X",L208="x",AND(OR(COUNTA(J208,K208,M208,N208)&gt;0,OR(L208="X",L208="x")),(LEN(SUBSTITUTE(SUBSTITUTE(SUBSTITUTE(J208," ",""),"0",""),"-",""))+LEN(SUBSTITUTE(SUBSTITUTE(SUBSTITUTE(K208," ",""),"0",""),"-","")))=(LEN(SUBSTITUTE(SUBSTITUTE(SUBSTITUTE(M208," ",""),"0",""),"-",""))+LEN(SUBSTITUTE(SUBSTITUTE(SUBSTITUTE(N208," ",""),"0",""),"-",""))))),0,(LEN(SUBSTITUTE(SUBSTITUTE(SUBSTITUTE(M208," ",""),"0",""),"-",""))+LEN(SUBSTITUTE(SUBSTITUTE(SUBSTITUTE(N208," ",""),"0",""),"-",""))&gt;LEN(SUBSTITUTE(SUBSTITUTE(SUBSTITUTE(J208," ",""),"0",""),"-",""))+LEN(SUBSTITUTE(SUBSTITUTE(SUBSTITUTE(K208," ",""),"0",""),"-","")))*1),0)+IF(OR(COUNTA(J209,K209,M209,N209)&gt;0,OR(L209="X",L209="x")),IF(OR(L209="X",L209="x",AND(OR(COUNTA(J209,K209,M209,N209)&gt;0,OR(L209="X",L209="x")),(LEN(SUBSTITUTE(SUBSTITUTE(SUBSTITUTE(J209," ",""),"0",""),"-",""))+LEN(SUBSTITUTE(SUBSTITUTE(SUBSTITUTE(K209," ",""),"0",""),"-","")))=(LEN(SUBSTITUTE(SUBSTITUTE(SUBSTITUTE(M209," ",""),"0",""),"-",""))+LEN(SUBSTITUTE(SUBSTITUTE(SUBSTITUTE(N209," ",""),"0",""),"-",""))))),0,(LEN(SUBSTITUTE(SUBSTITUTE(SUBSTITUTE(M209," ",""),"0",""),"-",""))+LEN(SUBSTITUTE(SUBSTITUTE(SUBSTITUTE(N209," ",""),"0",""),"-",""))&gt;LEN(SUBSTITUTE(SUBSTITUTE(SUBSTITUTE(J209," ",""),"0",""),"-",""))+LEN(SUBSTITUTE(SUBSTITUTE(SUBSTITUTE(K209," ",""),"0",""),"-","")))*1),0)</f>
      </c>
      <c r="K213" s="14" t="str">
        <f>IF(OR(COUNTA(J208,K208,M208,N208)&gt;0,OR(L208="X",L208="x")),IF(OR(L208="X",L208="x",AND(OR(COUNTA(J208,K208,M208,N208)&gt;0,OR(L208="X",L208="x")),(LEN(SUBSTITUTE(SUBSTITUTE(SUBSTITUTE(J208," ",""),"0",""),"-",""))+LEN(SUBSTITUTE(SUBSTITUTE(SUBSTITUTE(K208," ",""),"0",""),"-","")))=(LEN(SUBSTITUTE(SUBSTITUTE(SUBSTITUTE(M208," ",""),"0",""),"-",""))+LEN(SUBSTITUTE(SUBSTITUTE(SUBSTITUTE(N208," ",""),"0",""),"-",""))))),0,(LEN(SUBSTITUTE(SUBSTITUTE(SUBSTITUTE(M208," ",""),"0",""),"-",""))+LEN(SUBSTITUTE(SUBSTITUTE(SUBSTITUTE(N208," ",""),"0",""),"-",""))&lt;LEN(SUBSTITUTE(SUBSTITUTE(SUBSTITUTE(J208," ",""),"0",""),"-",""))+LEN(SUBSTITUTE(SUBSTITUTE(SUBSTITUTE(K208," ",""),"0",""),"-","")))*1),0)+IF(OR(COUNTA(J209,K209,M209,N209)&gt;0,OR(L209="X",L209="x")),IF(OR(L209="X",L209="x",AND(OR(COUNTA(J209,K209,M209,N209)&gt;0,OR(L209="X",L209="x")),(LEN(SUBSTITUTE(SUBSTITUTE(SUBSTITUTE(J209," ",""),"0",""),"-",""))+LEN(SUBSTITUTE(SUBSTITUTE(SUBSTITUTE(K209," ",""),"0",""),"-","")))=(LEN(SUBSTITUTE(SUBSTITUTE(SUBSTITUTE(M209," ",""),"0",""),"-",""))+LEN(SUBSTITUTE(SUBSTITUTE(SUBSTITUTE(N209," ",""),"0",""),"-",""))))),0,(LEN(SUBSTITUTE(SUBSTITUTE(SUBSTITUTE(M209," ",""),"0",""),"-",""))+LEN(SUBSTITUTE(SUBSTITUTE(SUBSTITUTE(N209," ",""),"0",""),"-",""))&lt;LEN(SUBSTITUTE(SUBSTITUTE(SUBSTITUTE(J209," ",""),"0",""),"-",""))+LEN(SUBSTITUTE(SUBSTITUTE(SUBSTITUTE(K209," ",""),"0",""),"-","")))*1),0)</f>
      </c>
      <c r="L213" s="14" t="str">
        <f>IF(OR(COUNTA(J208,K208,M208,N208)&gt;0,OR(L208="X",L208="x")),IF(OR(L208="X",L208="x",AND(OR(COUNTA(J208,K208,M208,N208)&gt;0,OR(L208="X",L208="x")),(LEN(SUBSTITUTE(SUBSTITUTE(SUBSTITUTE(J208," ",""),"0",""),"-",""))+LEN(SUBSTITUTE(SUBSTITUTE(SUBSTITUTE(K208," ",""),"0",""),"-","")))=(LEN(SUBSTITUTE(SUBSTITUTE(SUBSTITUTE(M208," ",""),"0",""),"-",""))+LEN(SUBSTITUTE(SUBSTITUTE(SUBSTITUTE(N208," ",""),"0",""),"-",""))))),1,0),0)+IF(OR(COUNTA(J209,K209,M209,N209)&gt;0,OR(L209="X",L209="x")),IF(OR(L209="X",L209="x",AND(OR(COUNTA(J209,K209,M209,N209)&gt;0,OR(L209="X",L209="x")),(LEN(SUBSTITUTE(SUBSTITUTE(SUBSTITUTE(J209," ",""),"0",""),"-",""))+LEN(SUBSTITUTE(SUBSTITUTE(SUBSTITUTE(K209," ",""),"0",""),"-","")))=(LEN(SUBSTITUTE(SUBSTITUTE(SUBSTITUTE(M209," ",""),"0",""),"-",""))+LEN(SUBSTITUTE(SUBSTITUTE(SUBSTITUTE(N209," ",""),"0",""),"-",""))))),1,0),0)</f>
      </c>
      <c r="M213" s="14" t="str">
        <f>LEN(SUBSTITUTE(SUBSTITUTE(SUBSTITUTE(M208," ",""),"0",""),"-",""))+LEN(SUBSTITUTE(SUBSTITUTE(SUBSTITUTE(N208," ",""),"0",""),"-",""))+LEN(SUBSTITUTE(SUBSTITUTE(SUBSTITUTE(M209," ",""),"0",""),"-",""))+LEN(SUBSTITUTE(SUBSTITUTE(SUBSTITUTE(N209," ",""),"0",""),"-",""))</f>
      </c>
      <c r="N213" s="14" t="str">
        <f>LEN(SUBSTITUTE(SUBSTITUTE(SUBSTITUTE(J208," ",""),"0",""),"-",""))+LEN(SUBSTITUTE(SUBSTITUTE(SUBSTITUTE(K208," ",""),"0",""),"-",""))+LEN(SUBSTITUTE(SUBSTITUTE(SUBSTITUTE(J209," ",""),"0",""),"-",""))+LEN(SUBSTITUTE(SUBSTITUTE(SUBSTITUTE(K209," ",""),"0",""),"-",""))</f>
      </c>
      <c r="O213" s="18" t="str">
        <f>RANK(AC213,$AC$213:$AC$215)+COUNTIF($AC$212:AC212,AC213)</f>
      </c>
      <c r="U213" t="str">
        <f>(B213*1000000)-(C213*10000)+(D213*100)+(E213*1)-(F213*0.01)</f>
      </c>
      <c r="AC213" t="str">
        <f>(J213*1000000)-(K213*10000)+(L213*100)+(M213*1)-(N213*0.01)</f>
      </c>
    </row>
    <row r="214">
      <c r="A214" s="14" t="str">
        <f>data!$E$40&amp;" "&amp;data!$B$40</f>
      </c>
      <c r="B214" s="14" t="str">
        <f>IF(OR(COUNTA(B208,C208,E208,F208)&gt;0,OR(D208="X",D208="x")),IF(OR(D208="X",D208="x",AND(OR(COUNTA(B208,C208,E208,F208)&gt;0,OR(D208="X",D208="x")),(LEN(SUBSTITUTE(SUBSTITUTE(SUBSTITUTE(B208," ",""),"0",""),"-",""))+LEN(SUBSTITUTE(SUBSTITUTE(SUBSTITUTE(C208," ",""),"0",""),"-","")))=(LEN(SUBSTITUTE(SUBSTITUTE(SUBSTITUTE(E208," ",""),"0",""),"-",""))+LEN(SUBSTITUTE(SUBSTITUTE(SUBSTITUTE(F208," ",""),"0",""),"-",""))))),0,(LEN(SUBSTITUTE(SUBSTITUTE(SUBSTITUTE(B208," ",""),"0",""),"-",""))+LEN(SUBSTITUTE(SUBSTITUTE(SUBSTITUTE(C208," ",""),"0",""),"-",""))&gt;LEN(SUBSTITUTE(SUBSTITUTE(SUBSTITUTE(E208," ",""),"0",""),"-",""))+LEN(SUBSTITUTE(SUBSTITUTE(SUBSTITUTE(F208," ",""),"0",""),"-","")))*1),0)+IF(OR(COUNTA(B210,C210,E210,F210)&gt;0,OR(D210="X",D210="x")),IF(OR(D210="X",D210="x",AND(OR(COUNTA(B210,C210,E210,F210)&gt;0,OR(D210="X",D210="x")),(LEN(SUBSTITUTE(SUBSTITUTE(SUBSTITUTE(B210," ",""),"0",""),"-",""))+LEN(SUBSTITUTE(SUBSTITUTE(SUBSTITUTE(C210," ",""),"0",""),"-","")))=(LEN(SUBSTITUTE(SUBSTITUTE(SUBSTITUTE(E210," ",""),"0",""),"-",""))+LEN(SUBSTITUTE(SUBSTITUTE(SUBSTITUTE(F210," ",""),"0",""),"-",""))))),0,(LEN(SUBSTITUTE(SUBSTITUTE(SUBSTITUTE(E210," ",""),"0",""),"-",""))+LEN(SUBSTITUTE(SUBSTITUTE(SUBSTITUTE(F210," ",""),"0",""),"-",""))&gt;LEN(SUBSTITUTE(SUBSTITUTE(SUBSTITUTE(B210," ",""),"0",""),"-",""))+LEN(SUBSTITUTE(SUBSTITUTE(SUBSTITUTE(C210," ",""),"0",""),"-","")))*1),0)</f>
      </c>
      <c r="C214" s="14" t="str">
        <f>IF(OR(COUNTA(B208,C208,E208,F208)&gt;0,OR(D208="X",D208="x")),IF(OR(D208="X",D208="x",AND(OR(COUNTA(B208,C208,E208,F208)&gt;0,OR(D208="X",D208="x")),(LEN(SUBSTITUTE(SUBSTITUTE(SUBSTITUTE(B208," ",""),"0",""),"-",""))+LEN(SUBSTITUTE(SUBSTITUTE(SUBSTITUTE(C208," ",""),"0",""),"-","")))=(LEN(SUBSTITUTE(SUBSTITUTE(SUBSTITUTE(E208," ",""),"0",""),"-",""))+LEN(SUBSTITUTE(SUBSTITUTE(SUBSTITUTE(F208," ",""),"0",""),"-",""))))),0,(LEN(SUBSTITUTE(SUBSTITUTE(SUBSTITUTE(B208," ",""),"0",""),"-",""))+LEN(SUBSTITUTE(SUBSTITUTE(SUBSTITUTE(C208," ",""),"0",""),"-",""))&lt;LEN(SUBSTITUTE(SUBSTITUTE(SUBSTITUTE(E208," ",""),"0",""),"-",""))+LEN(SUBSTITUTE(SUBSTITUTE(SUBSTITUTE(F208," ",""),"0",""),"-","")))*1),0)+IF(OR(COUNTA(B210,C210,E210,F210)&gt;0,OR(D210="X",D210="x")),IF(OR(D210="X",D210="x",AND(OR(COUNTA(B210,C210,E210,F210)&gt;0,OR(D210="X",D210="x")),(LEN(SUBSTITUTE(SUBSTITUTE(SUBSTITUTE(B210," ",""),"0",""),"-",""))+LEN(SUBSTITUTE(SUBSTITUTE(SUBSTITUTE(C210," ",""),"0",""),"-","")))=(LEN(SUBSTITUTE(SUBSTITUTE(SUBSTITUTE(E210," ",""),"0",""),"-",""))+LEN(SUBSTITUTE(SUBSTITUTE(SUBSTITUTE(F210," ",""),"0",""),"-",""))))),0,(LEN(SUBSTITUTE(SUBSTITUTE(SUBSTITUTE(E210," ",""),"0",""),"-",""))+LEN(SUBSTITUTE(SUBSTITUTE(SUBSTITUTE(F210," ",""),"0",""),"-",""))&lt;LEN(SUBSTITUTE(SUBSTITUTE(SUBSTITUTE(B210," ",""),"0",""),"-",""))+LEN(SUBSTITUTE(SUBSTITUTE(SUBSTITUTE(C210," ",""),"0",""),"-","")))*1),0)</f>
      </c>
      <c r="D214" s="14" t="str">
        <f>IF(OR(COUNTA(B208,C208,E208,F208)&gt;0,OR(D208="X",D208="x")),IF(OR(D208="X",D208="x",AND(OR(COUNTA(B208,C208,E208,F208)&gt;0,OR(D208="X",D208="x")),(LEN(SUBSTITUTE(SUBSTITUTE(SUBSTITUTE(B208," ",""),"0",""),"-",""))+LEN(SUBSTITUTE(SUBSTITUTE(SUBSTITUTE(C208," ",""),"0",""),"-","")))=(LEN(SUBSTITUTE(SUBSTITUTE(SUBSTITUTE(E208," ",""),"0",""),"-",""))+LEN(SUBSTITUTE(SUBSTITUTE(SUBSTITUTE(F208," ",""),"0",""),"-",""))))),1,0),0)+IF(OR(COUNTA(B210,C210,E210,F210)&gt;0,OR(D210="X",D210="x")),IF(OR(D210="X",D210="x",AND(OR(COUNTA(B210,C210,E210,F210)&gt;0,OR(D210="X",D210="x")),(LEN(SUBSTITUTE(SUBSTITUTE(SUBSTITUTE(B210," ",""),"0",""),"-",""))+LEN(SUBSTITUTE(SUBSTITUTE(SUBSTITUTE(C210," ",""),"0",""),"-","")))=(LEN(SUBSTITUTE(SUBSTITUTE(SUBSTITUTE(E210," ",""),"0",""),"-",""))+LEN(SUBSTITUTE(SUBSTITUTE(SUBSTITUTE(F210," ",""),"0",""),"-",""))))),1,0),0)</f>
      </c>
      <c r="E214" s="14" t="str">
        <f>LEN(SUBSTITUTE(SUBSTITUTE(SUBSTITUTE(B208," ",""),"0",""),"-",""))+LEN(SUBSTITUTE(SUBSTITUTE(SUBSTITUTE(C208," ",""),"0",""),"-",""))+LEN(SUBSTITUTE(SUBSTITUTE(SUBSTITUTE(E210," ",""),"0",""),"-",""))+LEN(SUBSTITUTE(SUBSTITUTE(SUBSTITUTE(F210," ",""),"0",""),"-",""))</f>
      </c>
      <c r="F214" s="14" t="str">
        <f>LEN(SUBSTITUTE(SUBSTITUTE(SUBSTITUTE(E208," ",""),"0",""),"-",""))+LEN(SUBSTITUTE(SUBSTITUTE(SUBSTITUTE(F208," ",""),"0",""),"-",""))+LEN(SUBSTITUTE(SUBSTITUTE(SUBSTITUTE(B210," ",""),"0",""),"-",""))+LEN(SUBSTITUTE(SUBSTITUTE(SUBSTITUTE(C210," ",""),"0",""),"-",""))</f>
      </c>
      <c r="G214" s="18" t="str">
        <f>RANK(U214,$U$213:$U$215)+COUNTIF($U$212:U213,U214)</f>
      </c>
      <c r="I214" s="14" t="str">
        <f>data!$E$87&amp;" "&amp;data!$B$87</f>
      </c>
      <c r="J214" s="14" t="str">
        <f>IF(OR(COUNTA(J208,K208,M208,N208)&gt;0,OR(L208="X",L208="x")),IF(OR(L208="X",L208="x",AND(OR(COUNTA(J208,K208,M208,N208)&gt;0,OR(L208="X",L208="x")),(LEN(SUBSTITUTE(SUBSTITUTE(SUBSTITUTE(J208," ",""),"0",""),"-",""))+LEN(SUBSTITUTE(SUBSTITUTE(SUBSTITUTE(K208," ",""),"0",""),"-","")))=(LEN(SUBSTITUTE(SUBSTITUTE(SUBSTITUTE(M208," ",""),"0",""),"-",""))+LEN(SUBSTITUTE(SUBSTITUTE(SUBSTITUTE(N208," ",""),"0",""),"-",""))))),0,(LEN(SUBSTITUTE(SUBSTITUTE(SUBSTITUTE(J208," ",""),"0",""),"-",""))+LEN(SUBSTITUTE(SUBSTITUTE(SUBSTITUTE(K208," ",""),"0",""),"-",""))&gt;LEN(SUBSTITUTE(SUBSTITUTE(SUBSTITUTE(M208," ",""),"0",""),"-",""))+LEN(SUBSTITUTE(SUBSTITUTE(SUBSTITUTE(N208," ",""),"0",""),"-","")))*1),0)+IF(OR(COUNTA(J210,K210,M210,N210)&gt;0,OR(L210="X",L210="x")),IF(OR(L210="X",L210="x",AND(OR(COUNTA(J210,K210,M210,N210)&gt;0,OR(L210="X",L210="x")),(LEN(SUBSTITUTE(SUBSTITUTE(SUBSTITUTE(J210," ",""),"0",""),"-",""))+LEN(SUBSTITUTE(SUBSTITUTE(SUBSTITUTE(K210," ",""),"0",""),"-","")))=(LEN(SUBSTITUTE(SUBSTITUTE(SUBSTITUTE(M210," ",""),"0",""),"-",""))+LEN(SUBSTITUTE(SUBSTITUTE(SUBSTITUTE(N210," ",""),"0",""),"-",""))))),0,(LEN(SUBSTITUTE(SUBSTITUTE(SUBSTITUTE(M210," ",""),"0",""),"-",""))+LEN(SUBSTITUTE(SUBSTITUTE(SUBSTITUTE(N210," ",""),"0",""),"-",""))&gt;LEN(SUBSTITUTE(SUBSTITUTE(SUBSTITUTE(J210," ",""),"0",""),"-",""))+LEN(SUBSTITUTE(SUBSTITUTE(SUBSTITUTE(K210," ",""),"0",""),"-","")))*1),0)</f>
      </c>
      <c r="K214" s="14" t="str">
        <f>IF(OR(COUNTA(J208,K208,M208,N208)&gt;0,OR(L208="X",L208="x")),IF(OR(L208="X",L208="x",AND(OR(COUNTA(J208,K208,M208,N208)&gt;0,OR(L208="X",L208="x")),(LEN(SUBSTITUTE(SUBSTITUTE(SUBSTITUTE(J208," ",""),"0",""),"-",""))+LEN(SUBSTITUTE(SUBSTITUTE(SUBSTITUTE(K208," ",""),"0",""),"-","")))=(LEN(SUBSTITUTE(SUBSTITUTE(SUBSTITUTE(M208," ",""),"0",""),"-",""))+LEN(SUBSTITUTE(SUBSTITUTE(SUBSTITUTE(N208," ",""),"0",""),"-",""))))),0,(LEN(SUBSTITUTE(SUBSTITUTE(SUBSTITUTE(J208," ",""),"0",""),"-",""))+LEN(SUBSTITUTE(SUBSTITUTE(SUBSTITUTE(K208," ",""),"0",""),"-",""))&lt;LEN(SUBSTITUTE(SUBSTITUTE(SUBSTITUTE(M208," ",""),"0",""),"-",""))+LEN(SUBSTITUTE(SUBSTITUTE(SUBSTITUTE(N208," ",""),"0",""),"-","")))*1),0)+IF(OR(COUNTA(J210,K210,M210,N210)&gt;0,OR(L210="X",L210="x")),IF(OR(L210="X",L210="x",AND(OR(COUNTA(J210,K210,M210,N210)&gt;0,OR(L210="X",L210="x")),(LEN(SUBSTITUTE(SUBSTITUTE(SUBSTITUTE(J210," ",""),"0",""),"-",""))+LEN(SUBSTITUTE(SUBSTITUTE(SUBSTITUTE(K210," ",""),"0",""),"-","")))=(LEN(SUBSTITUTE(SUBSTITUTE(SUBSTITUTE(M210," ",""),"0",""),"-",""))+LEN(SUBSTITUTE(SUBSTITUTE(SUBSTITUTE(N210," ",""),"0",""),"-",""))))),0,(LEN(SUBSTITUTE(SUBSTITUTE(SUBSTITUTE(M210," ",""),"0",""),"-",""))+LEN(SUBSTITUTE(SUBSTITUTE(SUBSTITUTE(N210," ",""),"0",""),"-",""))&lt;LEN(SUBSTITUTE(SUBSTITUTE(SUBSTITUTE(J210," ",""),"0",""),"-",""))+LEN(SUBSTITUTE(SUBSTITUTE(SUBSTITUTE(K210," ",""),"0",""),"-","")))*1),0)</f>
      </c>
      <c r="L214" s="14" t="str">
        <f>IF(OR(COUNTA(J208,K208,M208,N208)&gt;0,OR(L208="X",L208="x")),IF(OR(L208="X",L208="x",AND(OR(COUNTA(J208,K208,M208,N208)&gt;0,OR(L208="X",L208="x")),(LEN(SUBSTITUTE(SUBSTITUTE(SUBSTITUTE(J208," ",""),"0",""),"-",""))+LEN(SUBSTITUTE(SUBSTITUTE(SUBSTITUTE(K208," ",""),"0",""),"-","")))=(LEN(SUBSTITUTE(SUBSTITUTE(SUBSTITUTE(M208," ",""),"0",""),"-",""))+LEN(SUBSTITUTE(SUBSTITUTE(SUBSTITUTE(N208," ",""),"0",""),"-",""))))),1,0),0)+IF(OR(COUNTA(J210,K210,M210,N210)&gt;0,OR(L210="X",L210="x")),IF(OR(L210="X",L210="x",AND(OR(COUNTA(J210,K210,M210,N210)&gt;0,OR(L210="X",L210="x")),(LEN(SUBSTITUTE(SUBSTITUTE(SUBSTITUTE(J210," ",""),"0",""),"-",""))+LEN(SUBSTITUTE(SUBSTITUTE(SUBSTITUTE(K210," ",""),"0",""),"-","")))=(LEN(SUBSTITUTE(SUBSTITUTE(SUBSTITUTE(M210," ",""),"0",""),"-",""))+LEN(SUBSTITUTE(SUBSTITUTE(SUBSTITUTE(N210," ",""),"0",""),"-",""))))),1,0),0)</f>
      </c>
      <c r="M214" s="14" t="str">
        <f>LEN(SUBSTITUTE(SUBSTITUTE(SUBSTITUTE(J208," ",""),"0",""),"-",""))+LEN(SUBSTITUTE(SUBSTITUTE(SUBSTITUTE(K208," ",""),"0",""),"-",""))+LEN(SUBSTITUTE(SUBSTITUTE(SUBSTITUTE(M210," ",""),"0",""),"-",""))+LEN(SUBSTITUTE(SUBSTITUTE(SUBSTITUTE(N210," ",""),"0",""),"-",""))</f>
      </c>
      <c r="N214" s="14" t="str">
        <f>LEN(SUBSTITUTE(SUBSTITUTE(SUBSTITUTE(M208," ",""),"0",""),"-",""))+LEN(SUBSTITUTE(SUBSTITUTE(SUBSTITUTE(N208," ",""),"0",""),"-",""))+LEN(SUBSTITUTE(SUBSTITUTE(SUBSTITUTE(J210," ",""),"0",""),"-",""))+LEN(SUBSTITUTE(SUBSTITUTE(SUBSTITUTE(K210," ",""),"0",""),"-",""))</f>
      </c>
      <c r="O214" s="18" t="str">
        <f>RANK(AC214,$AC$213:$AC$215)+COUNTIF($AC$212:AC213,AC214)</f>
      </c>
      <c r="U214" t="str">
        <f>(B214*1000000)-(C214*10000)+(D214*100)+(E214*1)-(F214*0.01)</f>
      </c>
      <c r="AC214" t="str">
        <f>(J214*1000000)-(K214*10000)+(L214*100)+(M214*1)-(N214*0.01)</f>
      </c>
    </row>
    <row r="215">
      <c r="A215" s="14" t="str">
        <f>data!$E$41&amp;" "&amp;data!$B$41</f>
      </c>
      <c r="B215" s="14" t="str">
        <f>IF(OR(COUNTA(B209,C209,E209,F209)&gt;0,OR(D209="X",D209="x")),IF(OR(D209="X",D209="x",AND(OR(COUNTA(B209,C209,E209,F209)&gt;0,OR(D209="X",D209="x")),(LEN(SUBSTITUTE(SUBSTITUTE(SUBSTITUTE(B209," ",""),"0",""),"-",""))+LEN(SUBSTITUTE(SUBSTITUTE(SUBSTITUTE(C209," ",""),"0",""),"-","")))=(LEN(SUBSTITUTE(SUBSTITUTE(SUBSTITUTE(E209," ",""),"0",""),"-",""))+LEN(SUBSTITUTE(SUBSTITUTE(SUBSTITUTE(F209," ",""),"0",""),"-",""))))),0,(LEN(SUBSTITUTE(SUBSTITUTE(SUBSTITUTE(B209," ",""),"0",""),"-",""))+LEN(SUBSTITUTE(SUBSTITUTE(SUBSTITUTE(C209," ",""),"0",""),"-",""))&gt;LEN(SUBSTITUTE(SUBSTITUTE(SUBSTITUTE(E209," ",""),"0",""),"-",""))+LEN(SUBSTITUTE(SUBSTITUTE(SUBSTITUTE(F209," ",""),"0",""),"-","")))*1),0)+IF(OR(COUNTA(B210,C210,E210,F210)&gt;0,OR(D210="X",D210="x")),IF(OR(D210="X",D210="x",AND(OR(COUNTA(B210,C210,E210,F210)&gt;0,OR(D210="X",D210="x")),(LEN(SUBSTITUTE(SUBSTITUTE(SUBSTITUTE(B210," ",""),"0",""),"-",""))+LEN(SUBSTITUTE(SUBSTITUTE(SUBSTITUTE(C210," ",""),"0",""),"-","")))=(LEN(SUBSTITUTE(SUBSTITUTE(SUBSTITUTE(E210," ",""),"0",""),"-",""))+LEN(SUBSTITUTE(SUBSTITUTE(SUBSTITUTE(F210," ",""),"0",""),"-",""))))),0,(LEN(SUBSTITUTE(SUBSTITUTE(SUBSTITUTE(B210," ",""),"0",""),"-",""))+LEN(SUBSTITUTE(SUBSTITUTE(SUBSTITUTE(C210," ",""),"0",""),"-",""))&gt;LEN(SUBSTITUTE(SUBSTITUTE(SUBSTITUTE(E210," ",""),"0",""),"-",""))+LEN(SUBSTITUTE(SUBSTITUTE(SUBSTITUTE(F210," ",""),"0",""),"-","")))*1),0)</f>
      </c>
      <c r="C215" s="14" t="str">
        <f>IF(OR(COUNTA(B209,C209,E209,F209)&gt;0,OR(D209="X",D209="x")),IF(OR(D209="X",D209="x",AND(OR(COUNTA(B209,C209,E209,F209)&gt;0,OR(D209="X",D209="x")),(LEN(SUBSTITUTE(SUBSTITUTE(SUBSTITUTE(B209," ",""),"0",""),"-",""))+LEN(SUBSTITUTE(SUBSTITUTE(SUBSTITUTE(C209," ",""),"0",""),"-","")))=(LEN(SUBSTITUTE(SUBSTITUTE(SUBSTITUTE(E209," ",""),"0",""),"-",""))+LEN(SUBSTITUTE(SUBSTITUTE(SUBSTITUTE(F209," ",""),"0",""),"-",""))))),0,(LEN(SUBSTITUTE(SUBSTITUTE(SUBSTITUTE(B209," ",""),"0",""),"-",""))+LEN(SUBSTITUTE(SUBSTITUTE(SUBSTITUTE(C209," ",""),"0",""),"-",""))&lt;LEN(SUBSTITUTE(SUBSTITUTE(SUBSTITUTE(E209," ",""),"0",""),"-",""))+LEN(SUBSTITUTE(SUBSTITUTE(SUBSTITUTE(F209," ",""),"0",""),"-","")))*1),0)+IF(OR(COUNTA(B210,C210,E210,F210)&gt;0,OR(D210="X",D210="x")),IF(OR(D210="X",D210="x",AND(OR(COUNTA(B210,C210,E210,F210)&gt;0,OR(D210="X",D210="x")),(LEN(SUBSTITUTE(SUBSTITUTE(SUBSTITUTE(B210," ",""),"0",""),"-",""))+LEN(SUBSTITUTE(SUBSTITUTE(SUBSTITUTE(C210," ",""),"0",""),"-","")))=(LEN(SUBSTITUTE(SUBSTITUTE(SUBSTITUTE(E210," ",""),"0",""),"-",""))+LEN(SUBSTITUTE(SUBSTITUTE(SUBSTITUTE(F210," ",""),"0",""),"-",""))))),0,(LEN(SUBSTITUTE(SUBSTITUTE(SUBSTITUTE(B210," ",""),"0",""),"-",""))+LEN(SUBSTITUTE(SUBSTITUTE(SUBSTITUTE(C210," ",""),"0",""),"-",""))&lt;LEN(SUBSTITUTE(SUBSTITUTE(SUBSTITUTE(E210," ",""),"0",""),"-",""))+LEN(SUBSTITUTE(SUBSTITUTE(SUBSTITUTE(F210," ",""),"0",""),"-","")))*1),0)</f>
      </c>
      <c r="D215" s="14" t="str">
        <f>IF(OR(COUNTA(B209,C209,E209,F209)&gt;0,OR(D209="X",D209="x")),IF(OR(D209="X",D209="x",AND(OR(COUNTA(B209,C209,E209,F209)&gt;0,OR(D209="X",D209="x")),(LEN(SUBSTITUTE(SUBSTITUTE(SUBSTITUTE(B209," ",""),"0",""),"-",""))+LEN(SUBSTITUTE(SUBSTITUTE(SUBSTITUTE(C209," ",""),"0",""),"-","")))=(LEN(SUBSTITUTE(SUBSTITUTE(SUBSTITUTE(E209," ",""),"0",""),"-",""))+LEN(SUBSTITUTE(SUBSTITUTE(SUBSTITUTE(F209," ",""),"0",""),"-",""))))),1,0),0)+IF(OR(COUNTA(B210,C210,E210,F210)&gt;0,OR(D210="X",D210="x")),IF(OR(D210="X",D210="x",AND(OR(COUNTA(B210,C210,E210,F210)&gt;0,OR(D210="X",D210="x")),(LEN(SUBSTITUTE(SUBSTITUTE(SUBSTITUTE(B210," ",""),"0",""),"-",""))+LEN(SUBSTITUTE(SUBSTITUTE(SUBSTITUTE(C210," ",""),"0",""),"-","")))=(LEN(SUBSTITUTE(SUBSTITUTE(SUBSTITUTE(E210," ",""),"0",""),"-",""))+LEN(SUBSTITUTE(SUBSTITUTE(SUBSTITUTE(F210," ",""),"0",""),"-",""))))),1,0),0)</f>
      </c>
      <c r="E215" s="14" t="str">
        <f>LEN(SUBSTITUTE(SUBSTITUTE(SUBSTITUTE(B209," ",""),"0",""),"-",""))+LEN(SUBSTITUTE(SUBSTITUTE(SUBSTITUTE(C209," ",""),"0",""),"-",""))+LEN(SUBSTITUTE(SUBSTITUTE(SUBSTITUTE(B210," ",""),"0",""),"-",""))+LEN(SUBSTITUTE(SUBSTITUTE(SUBSTITUTE(C210," ",""),"0",""),"-",""))</f>
      </c>
      <c r="F215" s="14" t="str">
        <f>LEN(SUBSTITUTE(SUBSTITUTE(SUBSTITUTE(E209," ",""),"0",""),"-",""))+LEN(SUBSTITUTE(SUBSTITUTE(SUBSTITUTE(F209," ",""),"0",""),"-",""))+LEN(SUBSTITUTE(SUBSTITUTE(SUBSTITUTE(E210," ",""),"0",""),"-",""))+LEN(SUBSTITUTE(SUBSTITUTE(SUBSTITUTE(F210," ",""),"0",""),"-",""))</f>
      </c>
      <c r="G215" s="18" t="str">
        <f>RANK(U215,$U$213:$U$215)+COUNTIF($U$212:U214,U215)</f>
      </c>
      <c r="I215" s="14" t="str">
        <f>data!$E$88&amp;" "&amp;data!$B$88</f>
      </c>
      <c r="J215" s="14" t="str">
        <f>IF(OR(COUNTA(J209,K209,M209,N209)&gt;0,OR(L209="X",L209="x")),IF(OR(L209="X",L209="x",AND(OR(COUNTA(J209,K209,M209,N209)&gt;0,OR(L209="X",L209="x")),(LEN(SUBSTITUTE(SUBSTITUTE(SUBSTITUTE(J209," ",""),"0",""),"-",""))+LEN(SUBSTITUTE(SUBSTITUTE(SUBSTITUTE(K209," ",""),"0",""),"-","")))=(LEN(SUBSTITUTE(SUBSTITUTE(SUBSTITUTE(M209," ",""),"0",""),"-",""))+LEN(SUBSTITUTE(SUBSTITUTE(SUBSTITUTE(N209," ",""),"0",""),"-",""))))),0,(LEN(SUBSTITUTE(SUBSTITUTE(SUBSTITUTE(J209," ",""),"0",""),"-",""))+LEN(SUBSTITUTE(SUBSTITUTE(SUBSTITUTE(K209," ",""),"0",""),"-",""))&gt;LEN(SUBSTITUTE(SUBSTITUTE(SUBSTITUTE(M209," ",""),"0",""),"-",""))+LEN(SUBSTITUTE(SUBSTITUTE(SUBSTITUTE(N209," ",""),"0",""),"-","")))*1),0)+IF(OR(COUNTA(J210,K210,M210,N210)&gt;0,OR(L210="X",L210="x")),IF(OR(L210="X",L210="x",AND(OR(COUNTA(J210,K210,M210,N210)&gt;0,OR(L210="X",L210="x")),(LEN(SUBSTITUTE(SUBSTITUTE(SUBSTITUTE(J210," ",""),"0",""),"-",""))+LEN(SUBSTITUTE(SUBSTITUTE(SUBSTITUTE(K210," ",""),"0",""),"-","")))=(LEN(SUBSTITUTE(SUBSTITUTE(SUBSTITUTE(M210," ",""),"0",""),"-",""))+LEN(SUBSTITUTE(SUBSTITUTE(SUBSTITUTE(N210," ",""),"0",""),"-",""))))),0,(LEN(SUBSTITUTE(SUBSTITUTE(SUBSTITUTE(J210," ",""),"0",""),"-",""))+LEN(SUBSTITUTE(SUBSTITUTE(SUBSTITUTE(K210," ",""),"0",""),"-",""))&gt;LEN(SUBSTITUTE(SUBSTITUTE(SUBSTITUTE(M210," ",""),"0",""),"-",""))+LEN(SUBSTITUTE(SUBSTITUTE(SUBSTITUTE(N210," ",""),"0",""),"-","")))*1),0)</f>
      </c>
      <c r="K215" s="14" t="str">
        <f>IF(OR(COUNTA(J209,K209,M209,N209)&gt;0,OR(L209="X",L209="x")),IF(OR(L209="X",L209="x",AND(OR(COUNTA(J209,K209,M209,N209)&gt;0,OR(L209="X",L209="x")),(LEN(SUBSTITUTE(SUBSTITUTE(SUBSTITUTE(J209," ",""),"0",""),"-",""))+LEN(SUBSTITUTE(SUBSTITUTE(SUBSTITUTE(K209," ",""),"0",""),"-","")))=(LEN(SUBSTITUTE(SUBSTITUTE(SUBSTITUTE(M209," ",""),"0",""),"-",""))+LEN(SUBSTITUTE(SUBSTITUTE(SUBSTITUTE(N209," ",""),"0",""),"-",""))))),0,(LEN(SUBSTITUTE(SUBSTITUTE(SUBSTITUTE(J209," ",""),"0",""),"-",""))+LEN(SUBSTITUTE(SUBSTITUTE(SUBSTITUTE(K209," ",""),"0",""),"-",""))&lt;LEN(SUBSTITUTE(SUBSTITUTE(SUBSTITUTE(M209," ",""),"0",""),"-",""))+LEN(SUBSTITUTE(SUBSTITUTE(SUBSTITUTE(N209," ",""),"0",""),"-","")))*1),0)+IF(OR(COUNTA(J210,K210,M210,N210)&gt;0,OR(L210="X",L210="x")),IF(OR(L210="X",L210="x",AND(OR(COUNTA(J210,K210,M210,N210)&gt;0,OR(L210="X",L210="x")),(LEN(SUBSTITUTE(SUBSTITUTE(SUBSTITUTE(J210," ",""),"0",""),"-",""))+LEN(SUBSTITUTE(SUBSTITUTE(SUBSTITUTE(K210," ",""),"0",""),"-","")))=(LEN(SUBSTITUTE(SUBSTITUTE(SUBSTITUTE(M210," ",""),"0",""),"-",""))+LEN(SUBSTITUTE(SUBSTITUTE(SUBSTITUTE(N210," ",""),"0",""),"-",""))))),0,(LEN(SUBSTITUTE(SUBSTITUTE(SUBSTITUTE(J210," ",""),"0",""),"-",""))+LEN(SUBSTITUTE(SUBSTITUTE(SUBSTITUTE(K210," ",""),"0",""),"-",""))&lt;LEN(SUBSTITUTE(SUBSTITUTE(SUBSTITUTE(M210," ",""),"0",""),"-",""))+LEN(SUBSTITUTE(SUBSTITUTE(SUBSTITUTE(N210," ",""),"0",""),"-","")))*1),0)</f>
      </c>
      <c r="L215" s="14" t="str">
        <f>IF(OR(COUNTA(J209,K209,M209,N209)&gt;0,OR(L209="X",L209="x")),IF(OR(L209="X",L209="x",AND(OR(COUNTA(J209,K209,M209,N209)&gt;0,OR(L209="X",L209="x")),(LEN(SUBSTITUTE(SUBSTITUTE(SUBSTITUTE(J209," ",""),"0",""),"-",""))+LEN(SUBSTITUTE(SUBSTITUTE(SUBSTITUTE(K209," ",""),"0",""),"-","")))=(LEN(SUBSTITUTE(SUBSTITUTE(SUBSTITUTE(M209," ",""),"0",""),"-",""))+LEN(SUBSTITUTE(SUBSTITUTE(SUBSTITUTE(N209," ",""),"0",""),"-",""))))),1,0),0)+IF(OR(COUNTA(J210,K210,M210,N210)&gt;0,OR(L210="X",L210="x")),IF(OR(L210="X",L210="x",AND(OR(COUNTA(J210,K210,M210,N210)&gt;0,OR(L210="X",L210="x")),(LEN(SUBSTITUTE(SUBSTITUTE(SUBSTITUTE(J210," ",""),"0",""),"-",""))+LEN(SUBSTITUTE(SUBSTITUTE(SUBSTITUTE(K210," ",""),"0",""),"-","")))=(LEN(SUBSTITUTE(SUBSTITUTE(SUBSTITUTE(M210," ",""),"0",""),"-",""))+LEN(SUBSTITUTE(SUBSTITUTE(SUBSTITUTE(N210," ",""),"0",""),"-",""))))),1,0),0)</f>
      </c>
      <c r="M215" s="14" t="str">
        <f>LEN(SUBSTITUTE(SUBSTITUTE(SUBSTITUTE(J209," ",""),"0",""),"-",""))+LEN(SUBSTITUTE(SUBSTITUTE(SUBSTITUTE(K209," ",""),"0",""),"-",""))+LEN(SUBSTITUTE(SUBSTITUTE(SUBSTITUTE(J210," ",""),"0",""),"-",""))+LEN(SUBSTITUTE(SUBSTITUTE(SUBSTITUTE(K210," ",""),"0",""),"-",""))</f>
      </c>
      <c r="N215" s="14" t="str">
        <f>LEN(SUBSTITUTE(SUBSTITUTE(SUBSTITUTE(M209," ",""),"0",""),"-",""))+LEN(SUBSTITUTE(SUBSTITUTE(SUBSTITUTE(N209," ",""),"0",""),"-",""))+LEN(SUBSTITUTE(SUBSTITUTE(SUBSTITUTE(M210," ",""),"0",""),"-",""))+LEN(SUBSTITUTE(SUBSTITUTE(SUBSTITUTE(N210," ",""),"0",""),"-",""))</f>
      </c>
      <c r="O215" s="18" t="str">
        <f>RANK(AC215,$AC$213:$AC$215)+COUNTIF($AC$212:AC214,AC215)</f>
      </c>
      <c r="U215" t="str">
        <f>(B215*1000000)-(C215*10000)+(D215*100)+(E215*1)-(F215*0.01)</f>
      </c>
      <c r="AC215" t="str">
        <f>(J215*1000000)-(K215*10000)+(L215*100)+(M215*1)-(N215*0.01)</f>
      </c>
    </row>
    <row r="218">
      <c r="F218" s="13"/>
      <c r="G218" s="13" t="s">
        <v>341</v>
      </c>
      <c r="N218" s="13"/>
      <c r="O218" s="13" t="s">
        <v>341</v>
      </c>
    </row>
    <row r="219">
      <c r="F219" t="s">
        <v>342</v>
      </c>
      <c r="G219" s="19" t="str">
        <f>IFERROR(INDEX($A$213:$A$215, MATCH(1, $G$213:$G$215, 0)), "-")</f>
      </c>
      <c r="N219" t="s">
        <v>342</v>
      </c>
      <c r="O219" s="19" t="str">
        <f>IFERROR(INDEX($I$213:$I$215, MATCH(1, $O$213:$O$215, 0)), "-")</f>
      </c>
    </row>
    <row r="220">
      <c r="F220" t="s">
        <v>343</v>
      </c>
      <c r="G220" s="19" t="str">
        <f>IFERROR(INDEX($A$213:$A$215, MATCH(2, $G$213:$G$215, 0)), "-")</f>
      </c>
      <c r="N220" t="s">
        <v>343</v>
      </c>
      <c r="O220" s="19" t="str">
        <f>IFERROR(INDEX($I$213:$I$215, MATCH(2, $O$213:$O$215, 0)), "-")</f>
      </c>
    </row>
    <row r="221">
      <c r="F221" t="s">
        <v>344</v>
      </c>
      <c r="G221" s="19" t="str">
        <f>IFERROR(INDEX($A$213:$A$215, MATCH(3, $G$213:$G$215, 0)), "-")</f>
      </c>
      <c r="N221" t="s">
        <v>344</v>
      </c>
      <c r="O221" s="19" t="str">
        <f>IFERROR(INDEX($I$213:$I$215, MATCH(3, $O$213:$O$215, 0)), "-")</f>
      </c>
    </row>
    <row r="223">
      <c r="A223" s="13" t="str">
        <f>'data'!$A$44</f>
      </c>
      <c r="B223" s="13"/>
      <c r="C223" s="13"/>
      <c r="D223" s="13"/>
      <c r="E223" s="13"/>
      <c r="F223" s="13"/>
      <c r="G223" s="13"/>
      <c r="I223" s="13" t="str">
        <f>'data'!$A$91</f>
      </c>
      <c r="J223" s="13"/>
      <c r="K223" s="13"/>
      <c r="L223" s="13"/>
      <c r="M223" s="13"/>
      <c r="N223" s="13"/>
      <c r="O223" s="13"/>
    </row>
    <row r="224">
      <c r="A224" s="17" t="s">
        <v>331</v>
      </c>
      <c r="D224" s="14" t="s">
        <v>332</v>
      </c>
      <c r="G224" s="16" t="s">
        <v>333</v>
      </c>
      <c r="I224" s="17" t="s">
        <v>331</v>
      </c>
      <c r="L224" s="14" t="s">
        <v>332</v>
      </c>
      <c r="O224" s="16" t="s">
        <v>333</v>
      </c>
    </row>
    <row r="225">
      <c r="A225" s="14" t="str">
        <f>data!$E$43&amp;" "&amp;data!$B$43</f>
      </c>
      <c r="B225" s="18"/>
      <c r="C225" s="18"/>
      <c r="D225" s="18"/>
      <c r="E225" s="18"/>
      <c r="F225" s="18"/>
      <c r="G225" s="14" t="str">
        <f>data!$E$42&amp;" "&amp;data!$B$42</f>
      </c>
      <c r="I225" s="14" t="str">
        <f>data!$E$90&amp;" "&amp;data!$B$90</f>
      </c>
      <c r="J225" s="18"/>
      <c r="K225" s="18"/>
      <c r="L225" s="18"/>
      <c r="M225" s="18"/>
      <c r="N225" s="18"/>
      <c r="O225" s="14" t="str">
        <f>data!$E$89&amp;" "&amp;data!$B$89</f>
      </c>
    </row>
    <row r="226">
      <c r="A226" s="14" t="str">
        <f>data!$E$44&amp;" "&amp;data!$B$44</f>
      </c>
      <c r="B226" s="18"/>
      <c r="C226" s="18"/>
      <c r="D226" s="18"/>
      <c r="E226" s="18"/>
      <c r="F226" s="18"/>
      <c r="G226" s="14" t="str">
        <f>data!$E$42&amp;" "&amp;data!$B$42</f>
      </c>
      <c r="I226" s="14" t="str">
        <f>data!$E$91&amp;" "&amp;data!$B$91</f>
      </c>
      <c r="J226" s="18"/>
      <c r="K226" s="18"/>
      <c r="L226" s="18"/>
      <c r="M226" s="18"/>
      <c r="N226" s="18"/>
      <c r="O226" s="14" t="str">
        <f>data!$E$89&amp;" "&amp;data!$B$89</f>
      </c>
    </row>
    <row r="227">
      <c r="A227" s="14" t="str">
        <f>data!$E$44&amp;" "&amp;data!$B$44</f>
      </c>
      <c r="B227" s="18"/>
      <c r="C227" s="18"/>
      <c r="D227" s="18"/>
      <c r="E227" s="18"/>
      <c r="F227" s="18"/>
      <c r="G227" s="14" t="str">
        <f>data!$E$43&amp;" "&amp;data!$B$43</f>
      </c>
      <c r="I227" s="14" t="str">
        <f>data!$E$91&amp;" "&amp;data!$B$91</f>
      </c>
      <c r="J227" s="18"/>
      <c r="K227" s="18"/>
      <c r="L227" s="18"/>
      <c r="M227" s="18"/>
      <c r="N227" s="18"/>
      <c r="O227" s="14" t="str">
        <f>data!$E$90&amp;" "&amp;data!$B$90</f>
      </c>
    </row>
    <row r="229">
      <c r="A229" s="13" t="s">
        <v>334</v>
      </c>
      <c r="B229" s="13" t="s">
        <v>335</v>
      </c>
      <c r="C229" s="13" t="s">
        <v>336</v>
      </c>
      <c r="D229" s="13" t="s">
        <v>337</v>
      </c>
      <c r="E229" s="13" t="s">
        <v>338</v>
      </c>
      <c r="F229" s="13" t="s">
        <v>339</v>
      </c>
      <c r="G229" s="13" t="s">
        <v>340</v>
      </c>
      <c r="I229" s="13" t="s">
        <v>334</v>
      </c>
      <c r="J229" s="13" t="s">
        <v>335</v>
      </c>
      <c r="K229" s="13" t="s">
        <v>336</v>
      </c>
      <c r="L229" s="13" t="s">
        <v>337</v>
      </c>
      <c r="M229" s="13" t="s">
        <v>338</v>
      </c>
      <c r="N229" s="13" t="s">
        <v>339</v>
      </c>
      <c r="O229" s="13" t="s">
        <v>340</v>
      </c>
    </row>
    <row r="230">
      <c r="A230" s="14" t="str">
        <f>data!$E$42&amp;" "&amp;data!$B$42</f>
      </c>
      <c r="B230" s="14" t="str">
        <f>IF(OR(COUNTA(B225,C225,E225,F225)&gt;0,OR(D225="X",D225="x")),IF(OR(D225="X",D225="x",AND(OR(COUNTA(B225,C225,E225,F225)&gt;0,OR(D225="X",D225="x")),(LEN(SUBSTITUTE(SUBSTITUTE(SUBSTITUTE(B225," ",""),"0",""),"-",""))+LEN(SUBSTITUTE(SUBSTITUTE(SUBSTITUTE(C225," ",""),"0",""),"-","")))=(LEN(SUBSTITUTE(SUBSTITUTE(SUBSTITUTE(E225," ",""),"0",""),"-",""))+LEN(SUBSTITUTE(SUBSTITUTE(SUBSTITUTE(F225," ",""),"0",""),"-",""))))),0,(LEN(SUBSTITUTE(SUBSTITUTE(SUBSTITUTE(E225," ",""),"0",""),"-",""))+LEN(SUBSTITUTE(SUBSTITUTE(SUBSTITUTE(F225," ",""),"0",""),"-",""))&gt;LEN(SUBSTITUTE(SUBSTITUTE(SUBSTITUTE(B225," ",""),"0",""),"-",""))+LEN(SUBSTITUTE(SUBSTITUTE(SUBSTITUTE(C225," ",""),"0",""),"-","")))*1),0)+IF(OR(COUNTA(B226,C226,E226,F226)&gt;0,OR(D226="X",D226="x")),IF(OR(D226="X",D226="x",AND(OR(COUNTA(B226,C226,E226,F226)&gt;0,OR(D226="X",D226="x")),(LEN(SUBSTITUTE(SUBSTITUTE(SUBSTITUTE(B226," ",""),"0",""),"-",""))+LEN(SUBSTITUTE(SUBSTITUTE(SUBSTITUTE(C226," ",""),"0",""),"-","")))=(LEN(SUBSTITUTE(SUBSTITUTE(SUBSTITUTE(E226," ",""),"0",""),"-",""))+LEN(SUBSTITUTE(SUBSTITUTE(SUBSTITUTE(F226," ",""),"0",""),"-",""))))),0,(LEN(SUBSTITUTE(SUBSTITUTE(SUBSTITUTE(E226," ",""),"0",""),"-",""))+LEN(SUBSTITUTE(SUBSTITUTE(SUBSTITUTE(F226," ",""),"0",""),"-",""))&gt;LEN(SUBSTITUTE(SUBSTITUTE(SUBSTITUTE(B226," ",""),"0",""),"-",""))+LEN(SUBSTITUTE(SUBSTITUTE(SUBSTITUTE(C226," ",""),"0",""),"-","")))*1),0)</f>
      </c>
      <c r="C230" s="14" t="str">
        <f>IF(OR(COUNTA(B225,C225,E225,F225)&gt;0,OR(D225="X",D225="x")),IF(OR(D225="X",D225="x",AND(OR(COUNTA(B225,C225,E225,F225)&gt;0,OR(D225="X",D225="x")),(LEN(SUBSTITUTE(SUBSTITUTE(SUBSTITUTE(B225," ",""),"0",""),"-",""))+LEN(SUBSTITUTE(SUBSTITUTE(SUBSTITUTE(C225," ",""),"0",""),"-","")))=(LEN(SUBSTITUTE(SUBSTITUTE(SUBSTITUTE(E225," ",""),"0",""),"-",""))+LEN(SUBSTITUTE(SUBSTITUTE(SUBSTITUTE(F225," ",""),"0",""),"-",""))))),0,(LEN(SUBSTITUTE(SUBSTITUTE(SUBSTITUTE(E225," ",""),"0",""),"-",""))+LEN(SUBSTITUTE(SUBSTITUTE(SUBSTITUTE(F225," ",""),"0",""),"-",""))&lt;LEN(SUBSTITUTE(SUBSTITUTE(SUBSTITUTE(B225," ",""),"0",""),"-",""))+LEN(SUBSTITUTE(SUBSTITUTE(SUBSTITUTE(C225," ",""),"0",""),"-","")))*1),0)+IF(OR(COUNTA(B226,C226,E226,F226)&gt;0,OR(D226="X",D226="x")),IF(OR(D226="X",D226="x",AND(OR(COUNTA(B226,C226,E226,F226)&gt;0,OR(D226="X",D226="x")),(LEN(SUBSTITUTE(SUBSTITUTE(SUBSTITUTE(B226," ",""),"0",""),"-",""))+LEN(SUBSTITUTE(SUBSTITUTE(SUBSTITUTE(C226," ",""),"0",""),"-","")))=(LEN(SUBSTITUTE(SUBSTITUTE(SUBSTITUTE(E226," ",""),"0",""),"-",""))+LEN(SUBSTITUTE(SUBSTITUTE(SUBSTITUTE(F226," ",""),"0",""),"-",""))))),0,(LEN(SUBSTITUTE(SUBSTITUTE(SUBSTITUTE(E226," ",""),"0",""),"-",""))+LEN(SUBSTITUTE(SUBSTITUTE(SUBSTITUTE(F226," ",""),"0",""),"-",""))&lt;LEN(SUBSTITUTE(SUBSTITUTE(SUBSTITUTE(B226," ",""),"0",""),"-",""))+LEN(SUBSTITUTE(SUBSTITUTE(SUBSTITUTE(C226," ",""),"0",""),"-","")))*1),0)</f>
      </c>
      <c r="D230" s="14" t="str">
        <f>IF(OR(COUNTA(B225,C225,E225,F225)&gt;0,OR(D225="X",D225="x")),IF(OR(D225="X",D225="x",AND(OR(COUNTA(B225,C225,E225,F225)&gt;0,OR(D225="X",D225="x")),(LEN(SUBSTITUTE(SUBSTITUTE(SUBSTITUTE(B225," ",""),"0",""),"-",""))+LEN(SUBSTITUTE(SUBSTITUTE(SUBSTITUTE(C225," ",""),"0",""),"-","")))=(LEN(SUBSTITUTE(SUBSTITUTE(SUBSTITUTE(E225," ",""),"0",""),"-",""))+LEN(SUBSTITUTE(SUBSTITUTE(SUBSTITUTE(F225," ",""),"0",""),"-",""))))),1,0),0)+IF(OR(COUNTA(B226,C226,E226,F226)&gt;0,OR(D226="X",D226="x")),IF(OR(D226="X",D226="x",AND(OR(COUNTA(B226,C226,E226,F226)&gt;0,OR(D226="X",D226="x")),(LEN(SUBSTITUTE(SUBSTITUTE(SUBSTITUTE(B226," ",""),"0",""),"-",""))+LEN(SUBSTITUTE(SUBSTITUTE(SUBSTITUTE(C226," ",""),"0",""),"-","")))=(LEN(SUBSTITUTE(SUBSTITUTE(SUBSTITUTE(E226," ",""),"0",""),"-",""))+LEN(SUBSTITUTE(SUBSTITUTE(SUBSTITUTE(F226," ",""),"0",""),"-",""))))),1,0),0)</f>
      </c>
      <c r="E230" s="14" t="str">
        <f>LEN(SUBSTITUTE(SUBSTITUTE(SUBSTITUTE(E225," ",""),"0",""),"-",""))+LEN(SUBSTITUTE(SUBSTITUTE(SUBSTITUTE(F225," ",""),"0",""),"-",""))+LEN(SUBSTITUTE(SUBSTITUTE(SUBSTITUTE(E226," ",""),"0",""),"-",""))+LEN(SUBSTITUTE(SUBSTITUTE(SUBSTITUTE(F226," ",""),"0",""),"-",""))</f>
      </c>
      <c r="F230" s="14" t="str">
        <f>LEN(SUBSTITUTE(SUBSTITUTE(SUBSTITUTE(B225," ",""),"0",""),"-",""))+LEN(SUBSTITUTE(SUBSTITUTE(SUBSTITUTE(C225," ",""),"0",""),"-",""))+LEN(SUBSTITUTE(SUBSTITUTE(SUBSTITUTE(B226," ",""),"0",""),"-",""))+LEN(SUBSTITUTE(SUBSTITUTE(SUBSTITUTE(C226," ",""),"0",""),"-",""))</f>
      </c>
      <c r="G230" s="18" t="str">
        <f>RANK(U230,$U$230:$U$232)+COUNTIF($U$229:U229,U230)</f>
      </c>
      <c r="I230" s="14" t="str">
        <f>data!$E$89&amp;" "&amp;data!$B$89</f>
      </c>
      <c r="J230" s="14" t="str">
        <f>IF(OR(COUNTA(J225,K225,M225,N225)&gt;0,OR(L225="X",L225="x")),IF(OR(L225="X",L225="x",AND(OR(COUNTA(J225,K225,M225,N225)&gt;0,OR(L225="X",L225="x")),(LEN(SUBSTITUTE(SUBSTITUTE(SUBSTITUTE(J225," ",""),"0",""),"-",""))+LEN(SUBSTITUTE(SUBSTITUTE(SUBSTITUTE(K225," ",""),"0",""),"-","")))=(LEN(SUBSTITUTE(SUBSTITUTE(SUBSTITUTE(M225," ",""),"0",""),"-",""))+LEN(SUBSTITUTE(SUBSTITUTE(SUBSTITUTE(N225," ",""),"0",""),"-",""))))),0,(LEN(SUBSTITUTE(SUBSTITUTE(SUBSTITUTE(M225," ",""),"0",""),"-",""))+LEN(SUBSTITUTE(SUBSTITUTE(SUBSTITUTE(N225," ",""),"0",""),"-",""))&gt;LEN(SUBSTITUTE(SUBSTITUTE(SUBSTITUTE(J225," ",""),"0",""),"-",""))+LEN(SUBSTITUTE(SUBSTITUTE(SUBSTITUTE(K225," ",""),"0",""),"-","")))*1),0)+IF(OR(COUNTA(J226,K226,M226,N226)&gt;0,OR(L226="X",L226="x")),IF(OR(L226="X",L226="x",AND(OR(COUNTA(J226,K226,M226,N226)&gt;0,OR(L226="X",L226="x")),(LEN(SUBSTITUTE(SUBSTITUTE(SUBSTITUTE(J226," ",""),"0",""),"-",""))+LEN(SUBSTITUTE(SUBSTITUTE(SUBSTITUTE(K226," ",""),"0",""),"-","")))=(LEN(SUBSTITUTE(SUBSTITUTE(SUBSTITUTE(M226," ",""),"0",""),"-",""))+LEN(SUBSTITUTE(SUBSTITUTE(SUBSTITUTE(N226," ",""),"0",""),"-",""))))),0,(LEN(SUBSTITUTE(SUBSTITUTE(SUBSTITUTE(M226," ",""),"0",""),"-",""))+LEN(SUBSTITUTE(SUBSTITUTE(SUBSTITUTE(N226," ",""),"0",""),"-",""))&gt;LEN(SUBSTITUTE(SUBSTITUTE(SUBSTITUTE(J226," ",""),"0",""),"-",""))+LEN(SUBSTITUTE(SUBSTITUTE(SUBSTITUTE(K226," ",""),"0",""),"-","")))*1),0)</f>
      </c>
      <c r="K230" s="14" t="str">
        <f>IF(OR(COUNTA(J225,K225,M225,N225)&gt;0,OR(L225="X",L225="x")),IF(OR(L225="X",L225="x",AND(OR(COUNTA(J225,K225,M225,N225)&gt;0,OR(L225="X",L225="x")),(LEN(SUBSTITUTE(SUBSTITUTE(SUBSTITUTE(J225," ",""),"0",""),"-",""))+LEN(SUBSTITUTE(SUBSTITUTE(SUBSTITUTE(K225," ",""),"0",""),"-","")))=(LEN(SUBSTITUTE(SUBSTITUTE(SUBSTITUTE(M225," ",""),"0",""),"-",""))+LEN(SUBSTITUTE(SUBSTITUTE(SUBSTITUTE(N225," ",""),"0",""),"-",""))))),0,(LEN(SUBSTITUTE(SUBSTITUTE(SUBSTITUTE(M225," ",""),"0",""),"-",""))+LEN(SUBSTITUTE(SUBSTITUTE(SUBSTITUTE(N225," ",""),"0",""),"-",""))&lt;LEN(SUBSTITUTE(SUBSTITUTE(SUBSTITUTE(J225," ",""),"0",""),"-",""))+LEN(SUBSTITUTE(SUBSTITUTE(SUBSTITUTE(K225," ",""),"0",""),"-","")))*1),0)+IF(OR(COUNTA(J226,K226,M226,N226)&gt;0,OR(L226="X",L226="x")),IF(OR(L226="X",L226="x",AND(OR(COUNTA(J226,K226,M226,N226)&gt;0,OR(L226="X",L226="x")),(LEN(SUBSTITUTE(SUBSTITUTE(SUBSTITUTE(J226," ",""),"0",""),"-",""))+LEN(SUBSTITUTE(SUBSTITUTE(SUBSTITUTE(K226," ",""),"0",""),"-","")))=(LEN(SUBSTITUTE(SUBSTITUTE(SUBSTITUTE(M226," ",""),"0",""),"-",""))+LEN(SUBSTITUTE(SUBSTITUTE(SUBSTITUTE(N226," ",""),"0",""),"-",""))))),0,(LEN(SUBSTITUTE(SUBSTITUTE(SUBSTITUTE(M226," ",""),"0",""),"-",""))+LEN(SUBSTITUTE(SUBSTITUTE(SUBSTITUTE(N226," ",""),"0",""),"-",""))&lt;LEN(SUBSTITUTE(SUBSTITUTE(SUBSTITUTE(J226," ",""),"0",""),"-",""))+LEN(SUBSTITUTE(SUBSTITUTE(SUBSTITUTE(K226," ",""),"0",""),"-","")))*1),0)</f>
      </c>
      <c r="L230" s="14" t="str">
        <f>IF(OR(COUNTA(J225,K225,M225,N225)&gt;0,OR(L225="X",L225="x")),IF(OR(L225="X",L225="x",AND(OR(COUNTA(J225,K225,M225,N225)&gt;0,OR(L225="X",L225="x")),(LEN(SUBSTITUTE(SUBSTITUTE(SUBSTITUTE(J225," ",""),"0",""),"-",""))+LEN(SUBSTITUTE(SUBSTITUTE(SUBSTITUTE(K225," ",""),"0",""),"-","")))=(LEN(SUBSTITUTE(SUBSTITUTE(SUBSTITUTE(M225," ",""),"0",""),"-",""))+LEN(SUBSTITUTE(SUBSTITUTE(SUBSTITUTE(N225," ",""),"0",""),"-",""))))),1,0),0)+IF(OR(COUNTA(J226,K226,M226,N226)&gt;0,OR(L226="X",L226="x")),IF(OR(L226="X",L226="x",AND(OR(COUNTA(J226,K226,M226,N226)&gt;0,OR(L226="X",L226="x")),(LEN(SUBSTITUTE(SUBSTITUTE(SUBSTITUTE(J226," ",""),"0",""),"-",""))+LEN(SUBSTITUTE(SUBSTITUTE(SUBSTITUTE(K226," ",""),"0",""),"-","")))=(LEN(SUBSTITUTE(SUBSTITUTE(SUBSTITUTE(M226," ",""),"0",""),"-",""))+LEN(SUBSTITUTE(SUBSTITUTE(SUBSTITUTE(N226," ",""),"0",""),"-",""))))),1,0),0)</f>
      </c>
      <c r="M230" s="14" t="str">
        <f>LEN(SUBSTITUTE(SUBSTITUTE(SUBSTITUTE(M225," ",""),"0",""),"-",""))+LEN(SUBSTITUTE(SUBSTITUTE(SUBSTITUTE(N225," ",""),"0",""),"-",""))+LEN(SUBSTITUTE(SUBSTITUTE(SUBSTITUTE(M226," ",""),"0",""),"-",""))+LEN(SUBSTITUTE(SUBSTITUTE(SUBSTITUTE(N226," ",""),"0",""),"-",""))</f>
      </c>
      <c r="N230" s="14" t="str">
        <f>LEN(SUBSTITUTE(SUBSTITUTE(SUBSTITUTE(J225," ",""),"0",""),"-",""))+LEN(SUBSTITUTE(SUBSTITUTE(SUBSTITUTE(K225," ",""),"0",""),"-",""))+LEN(SUBSTITUTE(SUBSTITUTE(SUBSTITUTE(J226," ",""),"0",""),"-",""))+LEN(SUBSTITUTE(SUBSTITUTE(SUBSTITUTE(K226," ",""),"0",""),"-",""))</f>
      </c>
      <c r="O230" s="18" t="str">
        <f>RANK(AC230,$AC$230:$AC$232)+COUNTIF($AC$229:AC229,AC230)</f>
      </c>
      <c r="U230" t="str">
        <f>(B230*1000000)-(C230*10000)+(D230*100)+(E230*1)-(F230*0.01)</f>
      </c>
      <c r="AC230" t="str">
        <f>(J230*1000000)-(K230*10000)+(L230*100)+(M230*1)-(N230*0.01)</f>
      </c>
    </row>
    <row r="231">
      <c r="A231" s="14" t="str">
        <f>data!$E$43&amp;" "&amp;data!$B$43</f>
      </c>
      <c r="B231" s="14" t="str">
        <f>IF(OR(COUNTA(B225,C225,E225,F225)&gt;0,OR(D225="X",D225="x")),IF(OR(D225="X",D225="x",AND(OR(COUNTA(B225,C225,E225,F225)&gt;0,OR(D225="X",D225="x")),(LEN(SUBSTITUTE(SUBSTITUTE(SUBSTITUTE(B225," ",""),"0",""),"-",""))+LEN(SUBSTITUTE(SUBSTITUTE(SUBSTITUTE(C225," ",""),"0",""),"-","")))=(LEN(SUBSTITUTE(SUBSTITUTE(SUBSTITUTE(E225," ",""),"0",""),"-",""))+LEN(SUBSTITUTE(SUBSTITUTE(SUBSTITUTE(F225," ",""),"0",""),"-",""))))),0,(LEN(SUBSTITUTE(SUBSTITUTE(SUBSTITUTE(B225," ",""),"0",""),"-",""))+LEN(SUBSTITUTE(SUBSTITUTE(SUBSTITUTE(C225," ",""),"0",""),"-",""))&gt;LEN(SUBSTITUTE(SUBSTITUTE(SUBSTITUTE(E225," ",""),"0",""),"-",""))+LEN(SUBSTITUTE(SUBSTITUTE(SUBSTITUTE(F225," ",""),"0",""),"-","")))*1),0)+IF(OR(COUNTA(B227,C227,E227,F227)&gt;0,OR(D227="X",D227="x")),IF(OR(D227="X",D227="x",AND(OR(COUNTA(B227,C227,E227,F227)&gt;0,OR(D227="X",D227="x")),(LEN(SUBSTITUTE(SUBSTITUTE(SUBSTITUTE(B227," ",""),"0",""),"-",""))+LEN(SUBSTITUTE(SUBSTITUTE(SUBSTITUTE(C227," ",""),"0",""),"-","")))=(LEN(SUBSTITUTE(SUBSTITUTE(SUBSTITUTE(E227," ",""),"0",""),"-",""))+LEN(SUBSTITUTE(SUBSTITUTE(SUBSTITUTE(F227," ",""),"0",""),"-",""))))),0,(LEN(SUBSTITUTE(SUBSTITUTE(SUBSTITUTE(E227," ",""),"0",""),"-",""))+LEN(SUBSTITUTE(SUBSTITUTE(SUBSTITUTE(F227," ",""),"0",""),"-",""))&gt;LEN(SUBSTITUTE(SUBSTITUTE(SUBSTITUTE(B227," ",""),"0",""),"-",""))+LEN(SUBSTITUTE(SUBSTITUTE(SUBSTITUTE(C227," ",""),"0",""),"-","")))*1),0)</f>
      </c>
      <c r="C231" s="14" t="str">
        <f>IF(OR(COUNTA(B225,C225,E225,F225)&gt;0,OR(D225="X",D225="x")),IF(OR(D225="X",D225="x",AND(OR(COUNTA(B225,C225,E225,F225)&gt;0,OR(D225="X",D225="x")),(LEN(SUBSTITUTE(SUBSTITUTE(SUBSTITUTE(B225," ",""),"0",""),"-",""))+LEN(SUBSTITUTE(SUBSTITUTE(SUBSTITUTE(C225," ",""),"0",""),"-","")))=(LEN(SUBSTITUTE(SUBSTITUTE(SUBSTITUTE(E225," ",""),"0",""),"-",""))+LEN(SUBSTITUTE(SUBSTITUTE(SUBSTITUTE(F225," ",""),"0",""),"-",""))))),0,(LEN(SUBSTITUTE(SUBSTITUTE(SUBSTITUTE(B225," ",""),"0",""),"-",""))+LEN(SUBSTITUTE(SUBSTITUTE(SUBSTITUTE(C225," ",""),"0",""),"-",""))&lt;LEN(SUBSTITUTE(SUBSTITUTE(SUBSTITUTE(E225," ",""),"0",""),"-",""))+LEN(SUBSTITUTE(SUBSTITUTE(SUBSTITUTE(F225," ",""),"0",""),"-","")))*1),0)+IF(OR(COUNTA(B227,C227,E227,F227)&gt;0,OR(D227="X",D227="x")),IF(OR(D227="X",D227="x",AND(OR(COUNTA(B227,C227,E227,F227)&gt;0,OR(D227="X",D227="x")),(LEN(SUBSTITUTE(SUBSTITUTE(SUBSTITUTE(B227," ",""),"0",""),"-",""))+LEN(SUBSTITUTE(SUBSTITUTE(SUBSTITUTE(C227," ",""),"0",""),"-","")))=(LEN(SUBSTITUTE(SUBSTITUTE(SUBSTITUTE(E227," ",""),"0",""),"-",""))+LEN(SUBSTITUTE(SUBSTITUTE(SUBSTITUTE(F227," ",""),"0",""),"-",""))))),0,(LEN(SUBSTITUTE(SUBSTITUTE(SUBSTITUTE(E227," ",""),"0",""),"-",""))+LEN(SUBSTITUTE(SUBSTITUTE(SUBSTITUTE(F227," ",""),"0",""),"-",""))&lt;LEN(SUBSTITUTE(SUBSTITUTE(SUBSTITUTE(B227," ",""),"0",""),"-",""))+LEN(SUBSTITUTE(SUBSTITUTE(SUBSTITUTE(C227," ",""),"0",""),"-","")))*1),0)</f>
      </c>
      <c r="D231" s="14" t="str">
        <f>IF(OR(COUNTA(B225,C225,E225,F225)&gt;0,OR(D225="X",D225="x")),IF(OR(D225="X",D225="x",AND(OR(COUNTA(B225,C225,E225,F225)&gt;0,OR(D225="X",D225="x")),(LEN(SUBSTITUTE(SUBSTITUTE(SUBSTITUTE(B225," ",""),"0",""),"-",""))+LEN(SUBSTITUTE(SUBSTITUTE(SUBSTITUTE(C225," ",""),"0",""),"-","")))=(LEN(SUBSTITUTE(SUBSTITUTE(SUBSTITUTE(E225," ",""),"0",""),"-",""))+LEN(SUBSTITUTE(SUBSTITUTE(SUBSTITUTE(F225," ",""),"0",""),"-",""))))),1,0),0)+IF(OR(COUNTA(B227,C227,E227,F227)&gt;0,OR(D227="X",D227="x")),IF(OR(D227="X",D227="x",AND(OR(COUNTA(B227,C227,E227,F227)&gt;0,OR(D227="X",D227="x")),(LEN(SUBSTITUTE(SUBSTITUTE(SUBSTITUTE(B227," ",""),"0",""),"-",""))+LEN(SUBSTITUTE(SUBSTITUTE(SUBSTITUTE(C227," ",""),"0",""),"-","")))=(LEN(SUBSTITUTE(SUBSTITUTE(SUBSTITUTE(E227," ",""),"0",""),"-",""))+LEN(SUBSTITUTE(SUBSTITUTE(SUBSTITUTE(F227," ",""),"0",""),"-",""))))),1,0),0)</f>
      </c>
      <c r="E231" s="14" t="str">
        <f>LEN(SUBSTITUTE(SUBSTITUTE(SUBSTITUTE(B225," ",""),"0",""),"-",""))+LEN(SUBSTITUTE(SUBSTITUTE(SUBSTITUTE(C225," ",""),"0",""),"-",""))+LEN(SUBSTITUTE(SUBSTITUTE(SUBSTITUTE(E227," ",""),"0",""),"-",""))+LEN(SUBSTITUTE(SUBSTITUTE(SUBSTITUTE(F227," ",""),"0",""),"-",""))</f>
      </c>
      <c r="F231" s="14" t="str">
        <f>LEN(SUBSTITUTE(SUBSTITUTE(SUBSTITUTE(E225," ",""),"0",""),"-",""))+LEN(SUBSTITUTE(SUBSTITUTE(SUBSTITUTE(F225," ",""),"0",""),"-",""))+LEN(SUBSTITUTE(SUBSTITUTE(SUBSTITUTE(B227," ",""),"0",""),"-",""))+LEN(SUBSTITUTE(SUBSTITUTE(SUBSTITUTE(C227," ",""),"0",""),"-",""))</f>
      </c>
      <c r="G231" s="18" t="str">
        <f>RANK(U231,$U$230:$U$232)+COUNTIF($U$229:U230,U231)</f>
      </c>
      <c r="I231" s="14" t="str">
        <f>data!$E$90&amp;" "&amp;data!$B$90</f>
      </c>
      <c r="J231" s="14" t="str">
        <f>IF(OR(COUNTA(J225,K225,M225,N225)&gt;0,OR(L225="X",L225="x")),IF(OR(L225="X",L225="x",AND(OR(COUNTA(J225,K225,M225,N225)&gt;0,OR(L225="X",L225="x")),(LEN(SUBSTITUTE(SUBSTITUTE(SUBSTITUTE(J225," ",""),"0",""),"-",""))+LEN(SUBSTITUTE(SUBSTITUTE(SUBSTITUTE(K225," ",""),"0",""),"-","")))=(LEN(SUBSTITUTE(SUBSTITUTE(SUBSTITUTE(M225," ",""),"0",""),"-",""))+LEN(SUBSTITUTE(SUBSTITUTE(SUBSTITUTE(N225," ",""),"0",""),"-",""))))),0,(LEN(SUBSTITUTE(SUBSTITUTE(SUBSTITUTE(J225," ",""),"0",""),"-",""))+LEN(SUBSTITUTE(SUBSTITUTE(SUBSTITUTE(K225," ",""),"0",""),"-",""))&gt;LEN(SUBSTITUTE(SUBSTITUTE(SUBSTITUTE(M225," ",""),"0",""),"-",""))+LEN(SUBSTITUTE(SUBSTITUTE(SUBSTITUTE(N225," ",""),"0",""),"-","")))*1),0)+IF(OR(COUNTA(J227,K227,M227,N227)&gt;0,OR(L227="X",L227="x")),IF(OR(L227="X",L227="x",AND(OR(COUNTA(J227,K227,M227,N227)&gt;0,OR(L227="X",L227="x")),(LEN(SUBSTITUTE(SUBSTITUTE(SUBSTITUTE(J227," ",""),"0",""),"-",""))+LEN(SUBSTITUTE(SUBSTITUTE(SUBSTITUTE(K227," ",""),"0",""),"-","")))=(LEN(SUBSTITUTE(SUBSTITUTE(SUBSTITUTE(M227," ",""),"0",""),"-",""))+LEN(SUBSTITUTE(SUBSTITUTE(SUBSTITUTE(N227," ",""),"0",""),"-",""))))),0,(LEN(SUBSTITUTE(SUBSTITUTE(SUBSTITUTE(M227," ",""),"0",""),"-",""))+LEN(SUBSTITUTE(SUBSTITUTE(SUBSTITUTE(N227," ",""),"0",""),"-",""))&gt;LEN(SUBSTITUTE(SUBSTITUTE(SUBSTITUTE(J227," ",""),"0",""),"-",""))+LEN(SUBSTITUTE(SUBSTITUTE(SUBSTITUTE(K227," ",""),"0",""),"-","")))*1),0)</f>
      </c>
      <c r="K231" s="14" t="str">
        <f>IF(OR(COUNTA(J225,K225,M225,N225)&gt;0,OR(L225="X",L225="x")),IF(OR(L225="X",L225="x",AND(OR(COUNTA(J225,K225,M225,N225)&gt;0,OR(L225="X",L225="x")),(LEN(SUBSTITUTE(SUBSTITUTE(SUBSTITUTE(J225," ",""),"0",""),"-",""))+LEN(SUBSTITUTE(SUBSTITUTE(SUBSTITUTE(K225," ",""),"0",""),"-","")))=(LEN(SUBSTITUTE(SUBSTITUTE(SUBSTITUTE(M225," ",""),"0",""),"-",""))+LEN(SUBSTITUTE(SUBSTITUTE(SUBSTITUTE(N225," ",""),"0",""),"-",""))))),0,(LEN(SUBSTITUTE(SUBSTITUTE(SUBSTITUTE(J225," ",""),"0",""),"-",""))+LEN(SUBSTITUTE(SUBSTITUTE(SUBSTITUTE(K225," ",""),"0",""),"-",""))&lt;LEN(SUBSTITUTE(SUBSTITUTE(SUBSTITUTE(M225," ",""),"0",""),"-",""))+LEN(SUBSTITUTE(SUBSTITUTE(SUBSTITUTE(N225," ",""),"0",""),"-","")))*1),0)+IF(OR(COUNTA(J227,K227,M227,N227)&gt;0,OR(L227="X",L227="x")),IF(OR(L227="X",L227="x",AND(OR(COUNTA(J227,K227,M227,N227)&gt;0,OR(L227="X",L227="x")),(LEN(SUBSTITUTE(SUBSTITUTE(SUBSTITUTE(J227," ",""),"0",""),"-",""))+LEN(SUBSTITUTE(SUBSTITUTE(SUBSTITUTE(K227," ",""),"0",""),"-","")))=(LEN(SUBSTITUTE(SUBSTITUTE(SUBSTITUTE(M227," ",""),"0",""),"-",""))+LEN(SUBSTITUTE(SUBSTITUTE(SUBSTITUTE(N227," ",""),"0",""),"-",""))))),0,(LEN(SUBSTITUTE(SUBSTITUTE(SUBSTITUTE(M227," ",""),"0",""),"-",""))+LEN(SUBSTITUTE(SUBSTITUTE(SUBSTITUTE(N227," ",""),"0",""),"-",""))&lt;LEN(SUBSTITUTE(SUBSTITUTE(SUBSTITUTE(J227," ",""),"0",""),"-",""))+LEN(SUBSTITUTE(SUBSTITUTE(SUBSTITUTE(K227," ",""),"0",""),"-","")))*1),0)</f>
      </c>
      <c r="L231" s="14" t="str">
        <f>IF(OR(COUNTA(J225,K225,M225,N225)&gt;0,OR(L225="X",L225="x")),IF(OR(L225="X",L225="x",AND(OR(COUNTA(J225,K225,M225,N225)&gt;0,OR(L225="X",L225="x")),(LEN(SUBSTITUTE(SUBSTITUTE(SUBSTITUTE(J225," ",""),"0",""),"-",""))+LEN(SUBSTITUTE(SUBSTITUTE(SUBSTITUTE(K225," ",""),"0",""),"-","")))=(LEN(SUBSTITUTE(SUBSTITUTE(SUBSTITUTE(M225," ",""),"0",""),"-",""))+LEN(SUBSTITUTE(SUBSTITUTE(SUBSTITUTE(N225," ",""),"0",""),"-",""))))),1,0),0)+IF(OR(COUNTA(J227,K227,M227,N227)&gt;0,OR(L227="X",L227="x")),IF(OR(L227="X",L227="x",AND(OR(COUNTA(J227,K227,M227,N227)&gt;0,OR(L227="X",L227="x")),(LEN(SUBSTITUTE(SUBSTITUTE(SUBSTITUTE(J227," ",""),"0",""),"-",""))+LEN(SUBSTITUTE(SUBSTITUTE(SUBSTITUTE(K227," ",""),"0",""),"-","")))=(LEN(SUBSTITUTE(SUBSTITUTE(SUBSTITUTE(M227," ",""),"0",""),"-",""))+LEN(SUBSTITUTE(SUBSTITUTE(SUBSTITUTE(N227," ",""),"0",""),"-",""))))),1,0),0)</f>
      </c>
      <c r="M231" s="14" t="str">
        <f>LEN(SUBSTITUTE(SUBSTITUTE(SUBSTITUTE(J225," ",""),"0",""),"-",""))+LEN(SUBSTITUTE(SUBSTITUTE(SUBSTITUTE(K225," ",""),"0",""),"-",""))+LEN(SUBSTITUTE(SUBSTITUTE(SUBSTITUTE(M227," ",""),"0",""),"-",""))+LEN(SUBSTITUTE(SUBSTITUTE(SUBSTITUTE(N227," ",""),"0",""),"-",""))</f>
      </c>
      <c r="N231" s="14" t="str">
        <f>LEN(SUBSTITUTE(SUBSTITUTE(SUBSTITUTE(M225," ",""),"0",""),"-",""))+LEN(SUBSTITUTE(SUBSTITUTE(SUBSTITUTE(N225," ",""),"0",""),"-",""))+LEN(SUBSTITUTE(SUBSTITUTE(SUBSTITUTE(J227," ",""),"0",""),"-",""))+LEN(SUBSTITUTE(SUBSTITUTE(SUBSTITUTE(K227," ",""),"0",""),"-",""))</f>
      </c>
      <c r="O231" s="18" t="str">
        <f>RANK(AC231,$AC$230:$AC$232)+COUNTIF($AC$229:AC230,AC231)</f>
      </c>
      <c r="U231" t="str">
        <f>(B231*1000000)-(C231*10000)+(D231*100)+(E231*1)-(F231*0.01)</f>
      </c>
      <c r="AC231" t="str">
        <f>(J231*1000000)-(K231*10000)+(L231*100)+(M231*1)-(N231*0.01)</f>
      </c>
    </row>
    <row r="232">
      <c r="A232" s="14" t="str">
        <f>data!$E$44&amp;" "&amp;data!$B$44</f>
      </c>
      <c r="B232" s="14" t="str">
        <f>IF(OR(COUNTA(B226,C226,E226,F226)&gt;0,OR(D226="X",D226="x")),IF(OR(D226="X",D226="x",AND(OR(COUNTA(B226,C226,E226,F226)&gt;0,OR(D226="X",D226="x")),(LEN(SUBSTITUTE(SUBSTITUTE(SUBSTITUTE(B226," ",""),"0",""),"-",""))+LEN(SUBSTITUTE(SUBSTITUTE(SUBSTITUTE(C226," ",""),"0",""),"-","")))=(LEN(SUBSTITUTE(SUBSTITUTE(SUBSTITUTE(E226," ",""),"0",""),"-",""))+LEN(SUBSTITUTE(SUBSTITUTE(SUBSTITUTE(F226," ",""),"0",""),"-",""))))),0,(LEN(SUBSTITUTE(SUBSTITUTE(SUBSTITUTE(B226," ",""),"0",""),"-",""))+LEN(SUBSTITUTE(SUBSTITUTE(SUBSTITUTE(C226," ",""),"0",""),"-",""))&gt;LEN(SUBSTITUTE(SUBSTITUTE(SUBSTITUTE(E226," ",""),"0",""),"-",""))+LEN(SUBSTITUTE(SUBSTITUTE(SUBSTITUTE(F226," ",""),"0",""),"-","")))*1),0)+IF(OR(COUNTA(B227,C227,E227,F227)&gt;0,OR(D227="X",D227="x")),IF(OR(D227="X",D227="x",AND(OR(COUNTA(B227,C227,E227,F227)&gt;0,OR(D227="X",D227="x")),(LEN(SUBSTITUTE(SUBSTITUTE(SUBSTITUTE(B227," ",""),"0",""),"-",""))+LEN(SUBSTITUTE(SUBSTITUTE(SUBSTITUTE(C227," ",""),"0",""),"-","")))=(LEN(SUBSTITUTE(SUBSTITUTE(SUBSTITUTE(E227," ",""),"0",""),"-",""))+LEN(SUBSTITUTE(SUBSTITUTE(SUBSTITUTE(F227," ",""),"0",""),"-",""))))),0,(LEN(SUBSTITUTE(SUBSTITUTE(SUBSTITUTE(B227," ",""),"0",""),"-",""))+LEN(SUBSTITUTE(SUBSTITUTE(SUBSTITUTE(C227," ",""),"0",""),"-",""))&gt;LEN(SUBSTITUTE(SUBSTITUTE(SUBSTITUTE(E227," ",""),"0",""),"-",""))+LEN(SUBSTITUTE(SUBSTITUTE(SUBSTITUTE(F227," ",""),"0",""),"-","")))*1),0)</f>
      </c>
      <c r="C232" s="14" t="str">
        <f>IF(OR(COUNTA(B226,C226,E226,F226)&gt;0,OR(D226="X",D226="x")),IF(OR(D226="X",D226="x",AND(OR(COUNTA(B226,C226,E226,F226)&gt;0,OR(D226="X",D226="x")),(LEN(SUBSTITUTE(SUBSTITUTE(SUBSTITUTE(B226," ",""),"0",""),"-",""))+LEN(SUBSTITUTE(SUBSTITUTE(SUBSTITUTE(C226," ",""),"0",""),"-","")))=(LEN(SUBSTITUTE(SUBSTITUTE(SUBSTITUTE(E226," ",""),"0",""),"-",""))+LEN(SUBSTITUTE(SUBSTITUTE(SUBSTITUTE(F226," ",""),"0",""),"-",""))))),0,(LEN(SUBSTITUTE(SUBSTITUTE(SUBSTITUTE(B226," ",""),"0",""),"-",""))+LEN(SUBSTITUTE(SUBSTITUTE(SUBSTITUTE(C226," ",""),"0",""),"-",""))&lt;LEN(SUBSTITUTE(SUBSTITUTE(SUBSTITUTE(E226," ",""),"0",""),"-",""))+LEN(SUBSTITUTE(SUBSTITUTE(SUBSTITUTE(F226," ",""),"0",""),"-","")))*1),0)+IF(OR(COUNTA(B227,C227,E227,F227)&gt;0,OR(D227="X",D227="x")),IF(OR(D227="X",D227="x",AND(OR(COUNTA(B227,C227,E227,F227)&gt;0,OR(D227="X",D227="x")),(LEN(SUBSTITUTE(SUBSTITUTE(SUBSTITUTE(B227," ",""),"0",""),"-",""))+LEN(SUBSTITUTE(SUBSTITUTE(SUBSTITUTE(C227," ",""),"0",""),"-","")))=(LEN(SUBSTITUTE(SUBSTITUTE(SUBSTITUTE(E227," ",""),"0",""),"-",""))+LEN(SUBSTITUTE(SUBSTITUTE(SUBSTITUTE(F227," ",""),"0",""),"-",""))))),0,(LEN(SUBSTITUTE(SUBSTITUTE(SUBSTITUTE(B227," ",""),"0",""),"-",""))+LEN(SUBSTITUTE(SUBSTITUTE(SUBSTITUTE(C227," ",""),"0",""),"-",""))&lt;LEN(SUBSTITUTE(SUBSTITUTE(SUBSTITUTE(E227," ",""),"0",""),"-",""))+LEN(SUBSTITUTE(SUBSTITUTE(SUBSTITUTE(F227," ",""),"0",""),"-","")))*1),0)</f>
      </c>
      <c r="D232" s="14" t="str">
        <f>IF(OR(COUNTA(B226,C226,E226,F226)&gt;0,OR(D226="X",D226="x")),IF(OR(D226="X",D226="x",AND(OR(COUNTA(B226,C226,E226,F226)&gt;0,OR(D226="X",D226="x")),(LEN(SUBSTITUTE(SUBSTITUTE(SUBSTITUTE(B226," ",""),"0",""),"-",""))+LEN(SUBSTITUTE(SUBSTITUTE(SUBSTITUTE(C226," ",""),"0",""),"-","")))=(LEN(SUBSTITUTE(SUBSTITUTE(SUBSTITUTE(E226," ",""),"0",""),"-",""))+LEN(SUBSTITUTE(SUBSTITUTE(SUBSTITUTE(F226," ",""),"0",""),"-",""))))),1,0),0)+IF(OR(COUNTA(B227,C227,E227,F227)&gt;0,OR(D227="X",D227="x")),IF(OR(D227="X",D227="x",AND(OR(COUNTA(B227,C227,E227,F227)&gt;0,OR(D227="X",D227="x")),(LEN(SUBSTITUTE(SUBSTITUTE(SUBSTITUTE(B227," ",""),"0",""),"-",""))+LEN(SUBSTITUTE(SUBSTITUTE(SUBSTITUTE(C227," ",""),"0",""),"-","")))=(LEN(SUBSTITUTE(SUBSTITUTE(SUBSTITUTE(E227," ",""),"0",""),"-",""))+LEN(SUBSTITUTE(SUBSTITUTE(SUBSTITUTE(F227," ",""),"0",""),"-",""))))),1,0),0)</f>
      </c>
      <c r="E232" s="14" t="str">
        <f>LEN(SUBSTITUTE(SUBSTITUTE(SUBSTITUTE(B226," ",""),"0",""),"-",""))+LEN(SUBSTITUTE(SUBSTITUTE(SUBSTITUTE(C226," ",""),"0",""),"-",""))+LEN(SUBSTITUTE(SUBSTITUTE(SUBSTITUTE(B227," ",""),"0",""),"-",""))+LEN(SUBSTITUTE(SUBSTITUTE(SUBSTITUTE(C227," ",""),"0",""),"-",""))</f>
      </c>
      <c r="F232" s="14" t="str">
        <f>LEN(SUBSTITUTE(SUBSTITUTE(SUBSTITUTE(E226," ",""),"0",""),"-",""))+LEN(SUBSTITUTE(SUBSTITUTE(SUBSTITUTE(F226," ",""),"0",""),"-",""))+LEN(SUBSTITUTE(SUBSTITUTE(SUBSTITUTE(E227," ",""),"0",""),"-",""))+LEN(SUBSTITUTE(SUBSTITUTE(SUBSTITUTE(F227," ",""),"0",""),"-",""))</f>
      </c>
      <c r="G232" s="18" t="str">
        <f>RANK(U232,$U$230:$U$232)+COUNTIF($U$229:U231,U232)</f>
      </c>
      <c r="I232" s="14" t="str">
        <f>data!$E$91&amp;" "&amp;data!$B$91</f>
      </c>
      <c r="J232" s="14" t="str">
        <f>IF(OR(COUNTA(J226,K226,M226,N226)&gt;0,OR(L226="X",L226="x")),IF(OR(L226="X",L226="x",AND(OR(COUNTA(J226,K226,M226,N226)&gt;0,OR(L226="X",L226="x")),(LEN(SUBSTITUTE(SUBSTITUTE(SUBSTITUTE(J226," ",""),"0",""),"-",""))+LEN(SUBSTITUTE(SUBSTITUTE(SUBSTITUTE(K226," ",""),"0",""),"-","")))=(LEN(SUBSTITUTE(SUBSTITUTE(SUBSTITUTE(M226," ",""),"0",""),"-",""))+LEN(SUBSTITUTE(SUBSTITUTE(SUBSTITUTE(N226," ",""),"0",""),"-",""))))),0,(LEN(SUBSTITUTE(SUBSTITUTE(SUBSTITUTE(J226," ",""),"0",""),"-",""))+LEN(SUBSTITUTE(SUBSTITUTE(SUBSTITUTE(K226," ",""),"0",""),"-",""))&gt;LEN(SUBSTITUTE(SUBSTITUTE(SUBSTITUTE(M226," ",""),"0",""),"-",""))+LEN(SUBSTITUTE(SUBSTITUTE(SUBSTITUTE(N226," ",""),"0",""),"-","")))*1),0)+IF(OR(COUNTA(J227,K227,M227,N227)&gt;0,OR(L227="X",L227="x")),IF(OR(L227="X",L227="x",AND(OR(COUNTA(J227,K227,M227,N227)&gt;0,OR(L227="X",L227="x")),(LEN(SUBSTITUTE(SUBSTITUTE(SUBSTITUTE(J227," ",""),"0",""),"-",""))+LEN(SUBSTITUTE(SUBSTITUTE(SUBSTITUTE(K227," ",""),"0",""),"-","")))=(LEN(SUBSTITUTE(SUBSTITUTE(SUBSTITUTE(M227," ",""),"0",""),"-",""))+LEN(SUBSTITUTE(SUBSTITUTE(SUBSTITUTE(N227," ",""),"0",""),"-",""))))),0,(LEN(SUBSTITUTE(SUBSTITUTE(SUBSTITUTE(J227," ",""),"0",""),"-",""))+LEN(SUBSTITUTE(SUBSTITUTE(SUBSTITUTE(K227," ",""),"0",""),"-",""))&gt;LEN(SUBSTITUTE(SUBSTITUTE(SUBSTITUTE(M227," ",""),"0",""),"-",""))+LEN(SUBSTITUTE(SUBSTITUTE(SUBSTITUTE(N227," ",""),"0",""),"-","")))*1),0)</f>
      </c>
      <c r="K232" s="14" t="str">
        <f>IF(OR(COUNTA(J226,K226,M226,N226)&gt;0,OR(L226="X",L226="x")),IF(OR(L226="X",L226="x",AND(OR(COUNTA(J226,K226,M226,N226)&gt;0,OR(L226="X",L226="x")),(LEN(SUBSTITUTE(SUBSTITUTE(SUBSTITUTE(J226," ",""),"0",""),"-",""))+LEN(SUBSTITUTE(SUBSTITUTE(SUBSTITUTE(K226," ",""),"0",""),"-","")))=(LEN(SUBSTITUTE(SUBSTITUTE(SUBSTITUTE(M226," ",""),"0",""),"-",""))+LEN(SUBSTITUTE(SUBSTITUTE(SUBSTITUTE(N226," ",""),"0",""),"-",""))))),0,(LEN(SUBSTITUTE(SUBSTITUTE(SUBSTITUTE(J226," ",""),"0",""),"-",""))+LEN(SUBSTITUTE(SUBSTITUTE(SUBSTITUTE(K226," ",""),"0",""),"-",""))&lt;LEN(SUBSTITUTE(SUBSTITUTE(SUBSTITUTE(M226," ",""),"0",""),"-",""))+LEN(SUBSTITUTE(SUBSTITUTE(SUBSTITUTE(N226," ",""),"0",""),"-","")))*1),0)+IF(OR(COUNTA(J227,K227,M227,N227)&gt;0,OR(L227="X",L227="x")),IF(OR(L227="X",L227="x",AND(OR(COUNTA(J227,K227,M227,N227)&gt;0,OR(L227="X",L227="x")),(LEN(SUBSTITUTE(SUBSTITUTE(SUBSTITUTE(J227," ",""),"0",""),"-",""))+LEN(SUBSTITUTE(SUBSTITUTE(SUBSTITUTE(K227," ",""),"0",""),"-","")))=(LEN(SUBSTITUTE(SUBSTITUTE(SUBSTITUTE(M227," ",""),"0",""),"-",""))+LEN(SUBSTITUTE(SUBSTITUTE(SUBSTITUTE(N227," ",""),"0",""),"-",""))))),0,(LEN(SUBSTITUTE(SUBSTITUTE(SUBSTITUTE(J227," ",""),"0",""),"-",""))+LEN(SUBSTITUTE(SUBSTITUTE(SUBSTITUTE(K227," ",""),"0",""),"-",""))&lt;LEN(SUBSTITUTE(SUBSTITUTE(SUBSTITUTE(M227," ",""),"0",""),"-",""))+LEN(SUBSTITUTE(SUBSTITUTE(SUBSTITUTE(N227," ",""),"0",""),"-","")))*1),0)</f>
      </c>
      <c r="L232" s="14" t="str">
        <f>IF(OR(COUNTA(J226,K226,M226,N226)&gt;0,OR(L226="X",L226="x")),IF(OR(L226="X",L226="x",AND(OR(COUNTA(J226,K226,M226,N226)&gt;0,OR(L226="X",L226="x")),(LEN(SUBSTITUTE(SUBSTITUTE(SUBSTITUTE(J226," ",""),"0",""),"-",""))+LEN(SUBSTITUTE(SUBSTITUTE(SUBSTITUTE(K226," ",""),"0",""),"-","")))=(LEN(SUBSTITUTE(SUBSTITUTE(SUBSTITUTE(M226," ",""),"0",""),"-",""))+LEN(SUBSTITUTE(SUBSTITUTE(SUBSTITUTE(N226," ",""),"0",""),"-",""))))),1,0),0)+IF(OR(COUNTA(J227,K227,M227,N227)&gt;0,OR(L227="X",L227="x")),IF(OR(L227="X",L227="x",AND(OR(COUNTA(J227,K227,M227,N227)&gt;0,OR(L227="X",L227="x")),(LEN(SUBSTITUTE(SUBSTITUTE(SUBSTITUTE(J227," ",""),"0",""),"-",""))+LEN(SUBSTITUTE(SUBSTITUTE(SUBSTITUTE(K227," ",""),"0",""),"-","")))=(LEN(SUBSTITUTE(SUBSTITUTE(SUBSTITUTE(M227," ",""),"0",""),"-",""))+LEN(SUBSTITUTE(SUBSTITUTE(SUBSTITUTE(N227," ",""),"0",""),"-",""))))),1,0),0)</f>
      </c>
      <c r="M232" s="14" t="str">
        <f>LEN(SUBSTITUTE(SUBSTITUTE(SUBSTITUTE(J226," ",""),"0",""),"-",""))+LEN(SUBSTITUTE(SUBSTITUTE(SUBSTITUTE(K226," ",""),"0",""),"-",""))+LEN(SUBSTITUTE(SUBSTITUTE(SUBSTITUTE(J227," ",""),"0",""),"-",""))+LEN(SUBSTITUTE(SUBSTITUTE(SUBSTITUTE(K227," ",""),"0",""),"-",""))</f>
      </c>
      <c r="N232" s="14" t="str">
        <f>LEN(SUBSTITUTE(SUBSTITUTE(SUBSTITUTE(M226," ",""),"0",""),"-",""))+LEN(SUBSTITUTE(SUBSTITUTE(SUBSTITUTE(N226," ",""),"0",""),"-",""))+LEN(SUBSTITUTE(SUBSTITUTE(SUBSTITUTE(M227," ",""),"0",""),"-",""))+LEN(SUBSTITUTE(SUBSTITUTE(SUBSTITUTE(N227," ",""),"0",""),"-",""))</f>
      </c>
      <c r="O232" s="18" t="str">
        <f>RANK(AC232,$AC$230:$AC$232)+COUNTIF($AC$229:AC231,AC232)</f>
      </c>
      <c r="U232" t="str">
        <f>(B232*1000000)-(C232*10000)+(D232*100)+(E232*1)-(F232*0.01)</f>
      </c>
      <c r="AC232" t="str">
        <f>(J232*1000000)-(K232*10000)+(L232*100)+(M232*1)-(N232*0.01)</f>
      </c>
    </row>
    <row r="235">
      <c r="F235" s="13"/>
      <c r="G235" s="13" t="s">
        <v>341</v>
      </c>
      <c r="N235" s="13"/>
      <c r="O235" s="13" t="s">
        <v>341</v>
      </c>
    </row>
    <row r="236">
      <c r="F236" t="s">
        <v>342</v>
      </c>
      <c r="G236" s="19" t="str">
        <f>IFERROR(INDEX($A$230:$A$232, MATCH(1, $G$230:$G$232, 0)), "-")</f>
      </c>
      <c r="N236" t="s">
        <v>342</v>
      </c>
      <c r="O236" s="19" t="str">
        <f>IFERROR(INDEX($I$230:$I$232, MATCH(1, $O$230:$O$232, 0)), "-")</f>
      </c>
    </row>
    <row r="237">
      <c r="F237" t="s">
        <v>343</v>
      </c>
      <c r="G237" s="19" t="str">
        <f>IFERROR(INDEX($A$230:$A$232, MATCH(2, $G$230:$G$232, 0)), "-")</f>
      </c>
      <c r="N237" t="s">
        <v>343</v>
      </c>
      <c r="O237" s="19" t="str">
        <f>IFERROR(INDEX($I$230:$I$232, MATCH(2, $O$230:$O$232, 0)), "-")</f>
      </c>
    </row>
    <row r="238">
      <c r="F238" t="s">
        <v>344</v>
      </c>
      <c r="G238" s="19" t="str">
        <f>IFERROR(INDEX($A$230:$A$232, MATCH(3, $G$230:$G$232, 0)), "-")</f>
      </c>
      <c r="N238" t="s">
        <v>344</v>
      </c>
      <c r="O238" s="19" t="str">
        <f>IFERROR(INDEX($I$230:$I$232, MATCH(3, $O$230:$O$232, 0)), "-")</f>
      </c>
    </row>
    <row r="240">
      <c r="A240" s="13" t="str">
        <f>'data'!$A$47</f>
      </c>
      <c r="B240" s="13"/>
      <c r="C240" s="13"/>
      <c r="D240" s="13"/>
      <c r="E240" s="13"/>
      <c r="F240" s="13"/>
      <c r="G240" s="13"/>
      <c r="I240" s="13" t="str">
        <f>'data'!$A$93</f>
      </c>
      <c r="J240" s="13"/>
      <c r="K240" s="13"/>
      <c r="L240" s="13"/>
      <c r="M240" s="13"/>
      <c r="N240" s="13"/>
      <c r="O240" s="13"/>
    </row>
    <row r="241">
      <c r="A241" s="17" t="s">
        <v>331</v>
      </c>
      <c r="D241" s="14" t="s">
        <v>332</v>
      </c>
      <c r="G241" s="16" t="s">
        <v>333</v>
      </c>
      <c r="I241" s="17" t="s">
        <v>331</v>
      </c>
      <c r="L241" s="14" t="s">
        <v>332</v>
      </c>
      <c r="O241" s="16" t="s">
        <v>333</v>
      </c>
    </row>
    <row r="242">
      <c r="A242" s="14" t="str">
        <f>data!$E$46&amp;" "&amp;data!$B$46</f>
      </c>
      <c r="B242" s="18"/>
      <c r="C242" s="18"/>
      <c r="D242" s="18"/>
      <c r="E242" s="18"/>
      <c r="F242" s="18"/>
      <c r="G242" s="14" t="str">
        <f>data!$E$45&amp;" "&amp;data!$B$45</f>
      </c>
      <c r="I242" s="14" t="str">
        <f>data!$E$93&amp;" "&amp;data!$B$93</f>
      </c>
      <c r="J242" s="18"/>
      <c r="K242" s="18"/>
      <c r="L242" s="18"/>
      <c r="M242" s="18"/>
      <c r="N242" s="18"/>
      <c r="O242" s="14" t="str">
        <f>data!$E$92&amp;" "&amp;data!$B$92</f>
      </c>
    </row>
    <row r="243">
      <c r="A243" s="14" t="str">
        <f>data!$E$47&amp;" "&amp;data!$B$47</f>
      </c>
      <c r="B243" s="18"/>
      <c r="C243" s="18"/>
      <c r="D243" s="18"/>
      <c r="E243" s="18"/>
      <c r="F243" s="18"/>
      <c r="G243" s="14" t="str">
        <f>data!$E$45&amp;" "&amp;data!$B$45</f>
      </c>
    </row>
    <row r="244">
      <c r="A244" s="14" t="str">
        <f>data!$E$47&amp;" "&amp;data!$B$47</f>
      </c>
      <c r="B244" s="18"/>
      <c r="C244" s="18"/>
      <c r="D244" s="18"/>
      <c r="E244" s="18"/>
      <c r="F244" s="18"/>
      <c r="G244" s="14" t="str">
        <f>data!$E$46&amp;" "&amp;data!$B$46</f>
      </c>
    </row>
    <row r="246">
      <c r="A246" s="13" t="s">
        <v>334</v>
      </c>
      <c r="B246" s="13" t="s">
        <v>335</v>
      </c>
      <c r="C246" s="13" t="s">
        <v>336</v>
      </c>
      <c r="D246" s="13" t="s">
        <v>337</v>
      </c>
      <c r="E246" s="13" t="s">
        <v>338</v>
      </c>
      <c r="F246" s="13" t="s">
        <v>339</v>
      </c>
      <c r="G246" s="13" t="s">
        <v>340</v>
      </c>
      <c r="I246" s="13" t="s">
        <v>334</v>
      </c>
      <c r="J246" s="13" t="s">
        <v>335</v>
      </c>
      <c r="K246" s="13" t="s">
        <v>336</v>
      </c>
      <c r="L246" s="13" t="s">
        <v>337</v>
      </c>
      <c r="M246" s="13" t="s">
        <v>338</v>
      </c>
      <c r="N246" s="13" t="s">
        <v>339</v>
      </c>
      <c r="O246" s="13" t="s">
        <v>340</v>
      </c>
    </row>
    <row r="247">
      <c r="A247" s="14" t="str">
        <f>data!$E$45&amp;" "&amp;data!$B$45</f>
      </c>
      <c r="B247" s="14" t="str">
        <f>IF(OR(COUNTA(B242,C242,E242,F242)&gt;0,OR(D242="X",D242="x")),IF(OR(D242="X",D242="x",AND(OR(COUNTA(B242,C242,E242,F242)&gt;0,OR(D242="X",D242="x")),(LEN(SUBSTITUTE(SUBSTITUTE(SUBSTITUTE(B242," ",""),"0",""),"-",""))+LEN(SUBSTITUTE(SUBSTITUTE(SUBSTITUTE(C242," ",""),"0",""),"-","")))=(LEN(SUBSTITUTE(SUBSTITUTE(SUBSTITUTE(E242," ",""),"0",""),"-",""))+LEN(SUBSTITUTE(SUBSTITUTE(SUBSTITUTE(F242," ",""),"0",""),"-",""))))),0,(LEN(SUBSTITUTE(SUBSTITUTE(SUBSTITUTE(E242," ",""),"0",""),"-",""))+LEN(SUBSTITUTE(SUBSTITUTE(SUBSTITUTE(F242," ",""),"0",""),"-",""))&gt;LEN(SUBSTITUTE(SUBSTITUTE(SUBSTITUTE(B242," ",""),"0",""),"-",""))+LEN(SUBSTITUTE(SUBSTITUTE(SUBSTITUTE(C242," ",""),"0",""),"-","")))*1),0)+IF(OR(COUNTA(B243,C243,E243,F243)&gt;0,OR(D243="X",D243="x")),IF(OR(D243="X",D243="x",AND(OR(COUNTA(B243,C243,E243,F243)&gt;0,OR(D243="X",D243="x")),(LEN(SUBSTITUTE(SUBSTITUTE(SUBSTITUTE(B243," ",""),"0",""),"-",""))+LEN(SUBSTITUTE(SUBSTITUTE(SUBSTITUTE(C243," ",""),"0",""),"-","")))=(LEN(SUBSTITUTE(SUBSTITUTE(SUBSTITUTE(E243," ",""),"0",""),"-",""))+LEN(SUBSTITUTE(SUBSTITUTE(SUBSTITUTE(F243," ",""),"0",""),"-",""))))),0,(LEN(SUBSTITUTE(SUBSTITUTE(SUBSTITUTE(E243," ",""),"0",""),"-",""))+LEN(SUBSTITUTE(SUBSTITUTE(SUBSTITUTE(F243," ",""),"0",""),"-",""))&gt;LEN(SUBSTITUTE(SUBSTITUTE(SUBSTITUTE(B243," ",""),"0",""),"-",""))+LEN(SUBSTITUTE(SUBSTITUTE(SUBSTITUTE(C243," ",""),"0",""),"-","")))*1),0)</f>
      </c>
      <c r="C247" s="14" t="str">
        <f>IF(OR(COUNTA(B242,C242,E242,F242)&gt;0,OR(D242="X",D242="x")),IF(OR(D242="X",D242="x",AND(OR(COUNTA(B242,C242,E242,F242)&gt;0,OR(D242="X",D242="x")),(LEN(SUBSTITUTE(SUBSTITUTE(SUBSTITUTE(B242," ",""),"0",""),"-",""))+LEN(SUBSTITUTE(SUBSTITUTE(SUBSTITUTE(C242," ",""),"0",""),"-","")))=(LEN(SUBSTITUTE(SUBSTITUTE(SUBSTITUTE(E242," ",""),"0",""),"-",""))+LEN(SUBSTITUTE(SUBSTITUTE(SUBSTITUTE(F242," ",""),"0",""),"-",""))))),0,(LEN(SUBSTITUTE(SUBSTITUTE(SUBSTITUTE(E242," ",""),"0",""),"-",""))+LEN(SUBSTITUTE(SUBSTITUTE(SUBSTITUTE(F242," ",""),"0",""),"-",""))&lt;LEN(SUBSTITUTE(SUBSTITUTE(SUBSTITUTE(B242," ",""),"0",""),"-",""))+LEN(SUBSTITUTE(SUBSTITUTE(SUBSTITUTE(C242," ",""),"0",""),"-","")))*1),0)+IF(OR(COUNTA(B243,C243,E243,F243)&gt;0,OR(D243="X",D243="x")),IF(OR(D243="X",D243="x",AND(OR(COUNTA(B243,C243,E243,F243)&gt;0,OR(D243="X",D243="x")),(LEN(SUBSTITUTE(SUBSTITUTE(SUBSTITUTE(B243," ",""),"0",""),"-",""))+LEN(SUBSTITUTE(SUBSTITUTE(SUBSTITUTE(C243," ",""),"0",""),"-","")))=(LEN(SUBSTITUTE(SUBSTITUTE(SUBSTITUTE(E243," ",""),"0",""),"-",""))+LEN(SUBSTITUTE(SUBSTITUTE(SUBSTITUTE(F243," ",""),"0",""),"-",""))))),0,(LEN(SUBSTITUTE(SUBSTITUTE(SUBSTITUTE(E243," ",""),"0",""),"-",""))+LEN(SUBSTITUTE(SUBSTITUTE(SUBSTITUTE(F243," ",""),"0",""),"-",""))&lt;LEN(SUBSTITUTE(SUBSTITUTE(SUBSTITUTE(B243," ",""),"0",""),"-",""))+LEN(SUBSTITUTE(SUBSTITUTE(SUBSTITUTE(C243," ",""),"0",""),"-","")))*1),0)</f>
      </c>
      <c r="D247" s="14" t="str">
        <f>IF(OR(COUNTA(B242,C242,E242,F242)&gt;0,OR(D242="X",D242="x")),IF(OR(D242="X",D242="x",AND(OR(COUNTA(B242,C242,E242,F242)&gt;0,OR(D242="X",D242="x")),(LEN(SUBSTITUTE(SUBSTITUTE(SUBSTITUTE(B242," ",""),"0",""),"-",""))+LEN(SUBSTITUTE(SUBSTITUTE(SUBSTITUTE(C242," ",""),"0",""),"-","")))=(LEN(SUBSTITUTE(SUBSTITUTE(SUBSTITUTE(E242," ",""),"0",""),"-",""))+LEN(SUBSTITUTE(SUBSTITUTE(SUBSTITUTE(F242," ",""),"0",""),"-",""))))),1,0),0)+IF(OR(COUNTA(B243,C243,E243,F243)&gt;0,OR(D243="X",D243="x")),IF(OR(D243="X",D243="x",AND(OR(COUNTA(B243,C243,E243,F243)&gt;0,OR(D243="X",D243="x")),(LEN(SUBSTITUTE(SUBSTITUTE(SUBSTITUTE(B243," ",""),"0",""),"-",""))+LEN(SUBSTITUTE(SUBSTITUTE(SUBSTITUTE(C243," ",""),"0",""),"-","")))=(LEN(SUBSTITUTE(SUBSTITUTE(SUBSTITUTE(E243," ",""),"0",""),"-",""))+LEN(SUBSTITUTE(SUBSTITUTE(SUBSTITUTE(F243," ",""),"0",""),"-",""))))),1,0),0)</f>
      </c>
      <c r="E247" s="14" t="str">
        <f>LEN(SUBSTITUTE(SUBSTITUTE(SUBSTITUTE(E242," ",""),"0",""),"-",""))+LEN(SUBSTITUTE(SUBSTITUTE(SUBSTITUTE(F242," ",""),"0",""),"-",""))+LEN(SUBSTITUTE(SUBSTITUTE(SUBSTITUTE(E243," ",""),"0",""),"-",""))+LEN(SUBSTITUTE(SUBSTITUTE(SUBSTITUTE(F243," ",""),"0",""),"-",""))</f>
      </c>
      <c r="F247" s="14" t="str">
        <f>LEN(SUBSTITUTE(SUBSTITUTE(SUBSTITUTE(B242," ",""),"0",""),"-",""))+LEN(SUBSTITUTE(SUBSTITUTE(SUBSTITUTE(C242," ",""),"0",""),"-",""))+LEN(SUBSTITUTE(SUBSTITUTE(SUBSTITUTE(B243," ",""),"0",""),"-",""))+LEN(SUBSTITUTE(SUBSTITUTE(SUBSTITUTE(C243," ",""),"0",""),"-",""))</f>
      </c>
      <c r="G247" s="18" t="str">
        <f>RANK(U247,$U$247:$U$249)+COUNTIF($U$246:U246,U247)</f>
      </c>
      <c r="I247" s="14" t="str">
        <f>data!$E$92&amp;" "&amp;data!$B$92</f>
      </c>
      <c r="J247" s="14" t="str">
        <f>IF(OR(COUNTA(J242,K242,M242,N242)&gt;0,OR(L242="X",L242="x")),IF(OR(L242="X",L242="x",AND(OR(COUNTA(J242,K242,M242,N242)&gt;0,OR(L242="X",L242="x")),(LEN(SUBSTITUTE(SUBSTITUTE(SUBSTITUTE(J242," ",""),"0",""),"-",""))+LEN(SUBSTITUTE(SUBSTITUTE(SUBSTITUTE(K242," ",""),"0",""),"-","")))=(LEN(SUBSTITUTE(SUBSTITUTE(SUBSTITUTE(M242," ",""),"0",""),"-",""))+LEN(SUBSTITUTE(SUBSTITUTE(SUBSTITUTE(N242," ",""),"0",""),"-",""))))),0,(LEN(SUBSTITUTE(SUBSTITUTE(SUBSTITUTE(M242," ",""),"0",""),"-",""))+LEN(SUBSTITUTE(SUBSTITUTE(SUBSTITUTE(N242," ",""),"0",""),"-",""))&gt;LEN(SUBSTITUTE(SUBSTITUTE(SUBSTITUTE(J242," ",""),"0",""),"-",""))+LEN(SUBSTITUTE(SUBSTITUTE(SUBSTITUTE(K242," ",""),"0",""),"-","")))*1),0)</f>
      </c>
      <c r="K247" s="14" t="str">
        <f>IF(OR(COUNTA(J242,K242,M242,N242)&gt;0,OR(L242="X",L242="x")),IF(OR(L242="X",L242="x",AND(OR(COUNTA(J242,K242,M242,N242)&gt;0,OR(L242="X",L242="x")),(LEN(SUBSTITUTE(SUBSTITUTE(SUBSTITUTE(J242," ",""),"0",""),"-",""))+LEN(SUBSTITUTE(SUBSTITUTE(SUBSTITUTE(K242," ",""),"0",""),"-","")))=(LEN(SUBSTITUTE(SUBSTITUTE(SUBSTITUTE(M242," ",""),"0",""),"-",""))+LEN(SUBSTITUTE(SUBSTITUTE(SUBSTITUTE(N242," ",""),"0",""),"-",""))))),0,(LEN(SUBSTITUTE(SUBSTITUTE(SUBSTITUTE(M242," ",""),"0",""),"-",""))+LEN(SUBSTITUTE(SUBSTITUTE(SUBSTITUTE(N242," ",""),"0",""),"-",""))&lt;LEN(SUBSTITUTE(SUBSTITUTE(SUBSTITUTE(J242," ",""),"0",""),"-",""))+LEN(SUBSTITUTE(SUBSTITUTE(SUBSTITUTE(K242," ",""),"0",""),"-","")))*1),0)</f>
      </c>
      <c r="L247" s="14" t="str">
        <f>IF(OR(COUNTA(J242,K242,M242,N242)&gt;0,OR(L242="X",L242="x")),IF(OR(L242="X",L242="x",AND(OR(COUNTA(J242,K242,M242,N242)&gt;0,OR(L242="X",L242="x")),(LEN(SUBSTITUTE(SUBSTITUTE(SUBSTITUTE(J242," ",""),"0",""),"-",""))+LEN(SUBSTITUTE(SUBSTITUTE(SUBSTITUTE(K242," ",""),"0",""),"-","")))=(LEN(SUBSTITUTE(SUBSTITUTE(SUBSTITUTE(M242," ",""),"0",""),"-",""))+LEN(SUBSTITUTE(SUBSTITUTE(SUBSTITUTE(N242," ",""),"0",""),"-",""))))),1,0),0)</f>
      </c>
      <c r="M247" s="14" t="str">
        <f>LEN(SUBSTITUTE(SUBSTITUTE(SUBSTITUTE(M242," ",""),"0",""),"-",""))+LEN(SUBSTITUTE(SUBSTITUTE(SUBSTITUTE(N242," ",""),"0",""),"-",""))</f>
      </c>
      <c r="N247" s="14" t="str">
        <f>LEN(SUBSTITUTE(SUBSTITUTE(SUBSTITUTE(J242," ",""),"0",""),"-",""))+LEN(SUBSTITUTE(SUBSTITUTE(SUBSTITUTE(K242," ",""),"0",""),"-",""))</f>
      </c>
      <c r="O247" s="18" t="str">
        <f>RANK(AC247,$AC$247:$AC$248)+COUNTIF($AC$246:AC246,AC247)</f>
      </c>
      <c r="U247" t="str">
        <f>(B247*1000000)-(C247*10000)+(D247*100)+(E247*1)-(F247*0.01)</f>
      </c>
      <c r="AC247" t="str">
        <f>(J247*1000000)-(K247*10000)+(L247*100)+(M247*1)-(N247*0.01)</f>
      </c>
    </row>
    <row r="248">
      <c r="A248" s="14" t="str">
        <f>data!$E$46&amp;" "&amp;data!$B$46</f>
      </c>
      <c r="B248" s="14" t="str">
        <f>IF(OR(COUNTA(B242,C242,E242,F242)&gt;0,OR(D242="X",D242="x")),IF(OR(D242="X",D242="x",AND(OR(COUNTA(B242,C242,E242,F242)&gt;0,OR(D242="X",D242="x")),(LEN(SUBSTITUTE(SUBSTITUTE(SUBSTITUTE(B242," ",""),"0",""),"-",""))+LEN(SUBSTITUTE(SUBSTITUTE(SUBSTITUTE(C242," ",""),"0",""),"-","")))=(LEN(SUBSTITUTE(SUBSTITUTE(SUBSTITUTE(E242," ",""),"0",""),"-",""))+LEN(SUBSTITUTE(SUBSTITUTE(SUBSTITUTE(F242," ",""),"0",""),"-",""))))),0,(LEN(SUBSTITUTE(SUBSTITUTE(SUBSTITUTE(B242," ",""),"0",""),"-",""))+LEN(SUBSTITUTE(SUBSTITUTE(SUBSTITUTE(C242," ",""),"0",""),"-",""))&gt;LEN(SUBSTITUTE(SUBSTITUTE(SUBSTITUTE(E242," ",""),"0",""),"-",""))+LEN(SUBSTITUTE(SUBSTITUTE(SUBSTITUTE(F242," ",""),"0",""),"-","")))*1),0)+IF(OR(COUNTA(B244,C244,E244,F244)&gt;0,OR(D244="X",D244="x")),IF(OR(D244="X",D244="x",AND(OR(COUNTA(B244,C244,E244,F244)&gt;0,OR(D244="X",D244="x")),(LEN(SUBSTITUTE(SUBSTITUTE(SUBSTITUTE(B244," ",""),"0",""),"-",""))+LEN(SUBSTITUTE(SUBSTITUTE(SUBSTITUTE(C244," ",""),"0",""),"-","")))=(LEN(SUBSTITUTE(SUBSTITUTE(SUBSTITUTE(E244," ",""),"0",""),"-",""))+LEN(SUBSTITUTE(SUBSTITUTE(SUBSTITUTE(F244," ",""),"0",""),"-",""))))),0,(LEN(SUBSTITUTE(SUBSTITUTE(SUBSTITUTE(E244," ",""),"0",""),"-",""))+LEN(SUBSTITUTE(SUBSTITUTE(SUBSTITUTE(F244," ",""),"0",""),"-",""))&gt;LEN(SUBSTITUTE(SUBSTITUTE(SUBSTITUTE(B244," ",""),"0",""),"-",""))+LEN(SUBSTITUTE(SUBSTITUTE(SUBSTITUTE(C244," ",""),"0",""),"-","")))*1),0)</f>
      </c>
      <c r="C248" s="14" t="str">
        <f>IF(OR(COUNTA(B242,C242,E242,F242)&gt;0,OR(D242="X",D242="x")),IF(OR(D242="X",D242="x",AND(OR(COUNTA(B242,C242,E242,F242)&gt;0,OR(D242="X",D242="x")),(LEN(SUBSTITUTE(SUBSTITUTE(SUBSTITUTE(B242," ",""),"0",""),"-",""))+LEN(SUBSTITUTE(SUBSTITUTE(SUBSTITUTE(C242," ",""),"0",""),"-","")))=(LEN(SUBSTITUTE(SUBSTITUTE(SUBSTITUTE(E242," ",""),"0",""),"-",""))+LEN(SUBSTITUTE(SUBSTITUTE(SUBSTITUTE(F242," ",""),"0",""),"-",""))))),0,(LEN(SUBSTITUTE(SUBSTITUTE(SUBSTITUTE(B242," ",""),"0",""),"-",""))+LEN(SUBSTITUTE(SUBSTITUTE(SUBSTITUTE(C242," ",""),"0",""),"-",""))&lt;LEN(SUBSTITUTE(SUBSTITUTE(SUBSTITUTE(E242," ",""),"0",""),"-",""))+LEN(SUBSTITUTE(SUBSTITUTE(SUBSTITUTE(F242," ",""),"0",""),"-","")))*1),0)+IF(OR(COUNTA(B244,C244,E244,F244)&gt;0,OR(D244="X",D244="x")),IF(OR(D244="X",D244="x",AND(OR(COUNTA(B244,C244,E244,F244)&gt;0,OR(D244="X",D244="x")),(LEN(SUBSTITUTE(SUBSTITUTE(SUBSTITUTE(B244," ",""),"0",""),"-",""))+LEN(SUBSTITUTE(SUBSTITUTE(SUBSTITUTE(C244," ",""),"0",""),"-","")))=(LEN(SUBSTITUTE(SUBSTITUTE(SUBSTITUTE(E244," ",""),"0",""),"-",""))+LEN(SUBSTITUTE(SUBSTITUTE(SUBSTITUTE(F244," ",""),"0",""),"-",""))))),0,(LEN(SUBSTITUTE(SUBSTITUTE(SUBSTITUTE(E244," ",""),"0",""),"-",""))+LEN(SUBSTITUTE(SUBSTITUTE(SUBSTITUTE(F244," ",""),"0",""),"-",""))&lt;LEN(SUBSTITUTE(SUBSTITUTE(SUBSTITUTE(B244," ",""),"0",""),"-",""))+LEN(SUBSTITUTE(SUBSTITUTE(SUBSTITUTE(C244," ",""),"0",""),"-","")))*1),0)</f>
      </c>
      <c r="D248" s="14" t="str">
        <f>IF(OR(COUNTA(B242,C242,E242,F242)&gt;0,OR(D242="X",D242="x")),IF(OR(D242="X",D242="x",AND(OR(COUNTA(B242,C242,E242,F242)&gt;0,OR(D242="X",D242="x")),(LEN(SUBSTITUTE(SUBSTITUTE(SUBSTITUTE(B242," ",""),"0",""),"-",""))+LEN(SUBSTITUTE(SUBSTITUTE(SUBSTITUTE(C242," ",""),"0",""),"-","")))=(LEN(SUBSTITUTE(SUBSTITUTE(SUBSTITUTE(E242," ",""),"0",""),"-",""))+LEN(SUBSTITUTE(SUBSTITUTE(SUBSTITUTE(F242," ",""),"0",""),"-",""))))),1,0),0)+IF(OR(COUNTA(B244,C244,E244,F244)&gt;0,OR(D244="X",D244="x")),IF(OR(D244="X",D244="x",AND(OR(COUNTA(B244,C244,E244,F244)&gt;0,OR(D244="X",D244="x")),(LEN(SUBSTITUTE(SUBSTITUTE(SUBSTITUTE(B244," ",""),"0",""),"-",""))+LEN(SUBSTITUTE(SUBSTITUTE(SUBSTITUTE(C244," ",""),"0",""),"-","")))=(LEN(SUBSTITUTE(SUBSTITUTE(SUBSTITUTE(E244," ",""),"0",""),"-",""))+LEN(SUBSTITUTE(SUBSTITUTE(SUBSTITUTE(F244," ",""),"0",""),"-",""))))),1,0),0)</f>
      </c>
      <c r="E248" s="14" t="str">
        <f>LEN(SUBSTITUTE(SUBSTITUTE(SUBSTITUTE(B242," ",""),"0",""),"-",""))+LEN(SUBSTITUTE(SUBSTITUTE(SUBSTITUTE(C242," ",""),"0",""),"-",""))+LEN(SUBSTITUTE(SUBSTITUTE(SUBSTITUTE(E244," ",""),"0",""),"-",""))+LEN(SUBSTITUTE(SUBSTITUTE(SUBSTITUTE(F244," ",""),"0",""),"-",""))</f>
      </c>
      <c r="F248" s="14" t="str">
        <f>LEN(SUBSTITUTE(SUBSTITUTE(SUBSTITUTE(E242," ",""),"0",""),"-",""))+LEN(SUBSTITUTE(SUBSTITUTE(SUBSTITUTE(F242," ",""),"0",""),"-",""))+LEN(SUBSTITUTE(SUBSTITUTE(SUBSTITUTE(B244," ",""),"0",""),"-",""))+LEN(SUBSTITUTE(SUBSTITUTE(SUBSTITUTE(C244," ",""),"0",""),"-",""))</f>
      </c>
      <c r="G248" s="18" t="str">
        <f>RANK(U248,$U$247:$U$249)+COUNTIF($U$246:U247,U248)</f>
      </c>
      <c r="I248" s="14" t="str">
        <f>data!$E$93&amp;" "&amp;data!$B$93</f>
      </c>
      <c r="J248" s="14" t="str">
        <f>IF(OR(COUNTA(J242,K242,M242,N242)&gt;0,OR(L242="X",L242="x")),IF(OR(L242="X",L242="x",AND(OR(COUNTA(J242,K242,M242,N242)&gt;0,OR(L242="X",L242="x")),(LEN(SUBSTITUTE(SUBSTITUTE(SUBSTITUTE(J242," ",""),"0",""),"-",""))+LEN(SUBSTITUTE(SUBSTITUTE(SUBSTITUTE(K242," ",""),"0",""),"-","")))=(LEN(SUBSTITUTE(SUBSTITUTE(SUBSTITUTE(M242," ",""),"0",""),"-",""))+LEN(SUBSTITUTE(SUBSTITUTE(SUBSTITUTE(N242," ",""),"0",""),"-",""))))),0,(LEN(SUBSTITUTE(SUBSTITUTE(SUBSTITUTE(J242," ",""),"0",""),"-",""))+LEN(SUBSTITUTE(SUBSTITUTE(SUBSTITUTE(K242," ",""),"0",""),"-",""))&gt;LEN(SUBSTITUTE(SUBSTITUTE(SUBSTITUTE(M242," ",""),"0",""),"-",""))+LEN(SUBSTITUTE(SUBSTITUTE(SUBSTITUTE(N242," ",""),"0",""),"-","")))*1),0)</f>
      </c>
      <c r="K248" s="14" t="str">
        <f>IF(OR(COUNTA(J242,K242,M242,N242)&gt;0,OR(L242="X",L242="x")),IF(OR(L242="X",L242="x",AND(OR(COUNTA(J242,K242,M242,N242)&gt;0,OR(L242="X",L242="x")),(LEN(SUBSTITUTE(SUBSTITUTE(SUBSTITUTE(J242," ",""),"0",""),"-",""))+LEN(SUBSTITUTE(SUBSTITUTE(SUBSTITUTE(K242," ",""),"0",""),"-","")))=(LEN(SUBSTITUTE(SUBSTITUTE(SUBSTITUTE(M242," ",""),"0",""),"-",""))+LEN(SUBSTITUTE(SUBSTITUTE(SUBSTITUTE(N242," ",""),"0",""),"-",""))))),0,(LEN(SUBSTITUTE(SUBSTITUTE(SUBSTITUTE(J242," ",""),"0",""),"-",""))+LEN(SUBSTITUTE(SUBSTITUTE(SUBSTITUTE(K242," ",""),"0",""),"-",""))&lt;LEN(SUBSTITUTE(SUBSTITUTE(SUBSTITUTE(M242," ",""),"0",""),"-",""))+LEN(SUBSTITUTE(SUBSTITUTE(SUBSTITUTE(N242," ",""),"0",""),"-","")))*1),0)</f>
      </c>
      <c r="L248" s="14" t="str">
        <f>IF(OR(COUNTA(J242,K242,M242,N242)&gt;0,OR(L242="X",L242="x")),IF(OR(L242="X",L242="x",AND(OR(COUNTA(J242,K242,M242,N242)&gt;0,OR(L242="X",L242="x")),(LEN(SUBSTITUTE(SUBSTITUTE(SUBSTITUTE(J242," ",""),"0",""),"-",""))+LEN(SUBSTITUTE(SUBSTITUTE(SUBSTITUTE(K242," ",""),"0",""),"-","")))=(LEN(SUBSTITUTE(SUBSTITUTE(SUBSTITUTE(M242," ",""),"0",""),"-",""))+LEN(SUBSTITUTE(SUBSTITUTE(SUBSTITUTE(N242," ",""),"0",""),"-",""))))),1,0),0)</f>
      </c>
      <c r="M248" s="14" t="str">
        <f>LEN(SUBSTITUTE(SUBSTITUTE(SUBSTITUTE(J242," ",""),"0",""),"-",""))+LEN(SUBSTITUTE(SUBSTITUTE(SUBSTITUTE(K242," ",""),"0",""),"-",""))</f>
      </c>
      <c r="N248" s="14" t="str">
        <f>LEN(SUBSTITUTE(SUBSTITUTE(SUBSTITUTE(M242," ",""),"0",""),"-",""))+LEN(SUBSTITUTE(SUBSTITUTE(SUBSTITUTE(N242," ",""),"0",""),"-",""))</f>
      </c>
      <c r="O248" s="18" t="str">
        <f>RANK(AC248,$AC$247:$AC$248)+COUNTIF($AC$246:AC247,AC248)</f>
      </c>
      <c r="U248" t="str">
        <f>(B248*1000000)-(C248*10000)+(D248*100)+(E248*1)-(F248*0.01)</f>
      </c>
      <c r="AC248" t="str">
        <f>(J248*1000000)-(K248*10000)+(L248*100)+(M248*1)-(N248*0.01)</f>
      </c>
    </row>
    <row r="249">
      <c r="A249" s="14" t="str">
        <f>data!$E$47&amp;" "&amp;data!$B$47</f>
      </c>
      <c r="B249" s="14" t="str">
        <f>IF(OR(COUNTA(B243,C243,E243,F243)&gt;0,OR(D243="X",D243="x")),IF(OR(D243="X",D243="x",AND(OR(COUNTA(B243,C243,E243,F243)&gt;0,OR(D243="X",D243="x")),(LEN(SUBSTITUTE(SUBSTITUTE(SUBSTITUTE(B243," ",""),"0",""),"-",""))+LEN(SUBSTITUTE(SUBSTITUTE(SUBSTITUTE(C243," ",""),"0",""),"-","")))=(LEN(SUBSTITUTE(SUBSTITUTE(SUBSTITUTE(E243," ",""),"0",""),"-",""))+LEN(SUBSTITUTE(SUBSTITUTE(SUBSTITUTE(F243," ",""),"0",""),"-",""))))),0,(LEN(SUBSTITUTE(SUBSTITUTE(SUBSTITUTE(B243," ",""),"0",""),"-",""))+LEN(SUBSTITUTE(SUBSTITUTE(SUBSTITUTE(C243," ",""),"0",""),"-",""))&gt;LEN(SUBSTITUTE(SUBSTITUTE(SUBSTITUTE(E243," ",""),"0",""),"-",""))+LEN(SUBSTITUTE(SUBSTITUTE(SUBSTITUTE(F243," ",""),"0",""),"-","")))*1),0)+IF(OR(COUNTA(B244,C244,E244,F244)&gt;0,OR(D244="X",D244="x")),IF(OR(D244="X",D244="x",AND(OR(COUNTA(B244,C244,E244,F244)&gt;0,OR(D244="X",D244="x")),(LEN(SUBSTITUTE(SUBSTITUTE(SUBSTITUTE(B244," ",""),"0",""),"-",""))+LEN(SUBSTITUTE(SUBSTITUTE(SUBSTITUTE(C244," ",""),"0",""),"-","")))=(LEN(SUBSTITUTE(SUBSTITUTE(SUBSTITUTE(E244," ",""),"0",""),"-",""))+LEN(SUBSTITUTE(SUBSTITUTE(SUBSTITUTE(F244," ",""),"0",""),"-",""))))),0,(LEN(SUBSTITUTE(SUBSTITUTE(SUBSTITUTE(B244," ",""),"0",""),"-",""))+LEN(SUBSTITUTE(SUBSTITUTE(SUBSTITUTE(C244," ",""),"0",""),"-",""))&gt;LEN(SUBSTITUTE(SUBSTITUTE(SUBSTITUTE(E244," ",""),"0",""),"-",""))+LEN(SUBSTITUTE(SUBSTITUTE(SUBSTITUTE(F244," ",""),"0",""),"-","")))*1),0)</f>
      </c>
      <c r="C249" s="14" t="str">
        <f>IF(OR(COUNTA(B243,C243,E243,F243)&gt;0,OR(D243="X",D243="x")),IF(OR(D243="X",D243="x",AND(OR(COUNTA(B243,C243,E243,F243)&gt;0,OR(D243="X",D243="x")),(LEN(SUBSTITUTE(SUBSTITUTE(SUBSTITUTE(B243," ",""),"0",""),"-",""))+LEN(SUBSTITUTE(SUBSTITUTE(SUBSTITUTE(C243," ",""),"0",""),"-","")))=(LEN(SUBSTITUTE(SUBSTITUTE(SUBSTITUTE(E243," ",""),"0",""),"-",""))+LEN(SUBSTITUTE(SUBSTITUTE(SUBSTITUTE(F243," ",""),"0",""),"-",""))))),0,(LEN(SUBSTITUTE(SUBSTITUTE(SUBSTITUTE(B243," ",""),"0",""),"-",""))+LEN(SUBSTITUTE(SUBSTITUTE(SUBSTITUTE(C243," ",""),"0",""),"-",""))&lt;LEN(SUBSTITUTE(SUBSTITUTE(SUBSTITUTE(E243," ",""),"0",""),"-",""))+LEN(SUBSTITUTE(SUBSTITUTE(SUBSTITUTE(F243," ",""),"0",""),"-","")))*1),0)+IF(OR(COUNTA(B244,C244,E244,F244)&gt;0,OR(D244="X",D244="x")),IF(OR(D244="X",D244="x",AND(OR(COUNTA(B244,C244,E244,F244)&gt;0,OR(D244="X",D244="x")),(LEN(SUBSTITUTE(SUBSTITUTE(SUBSTITUTE(B244," ",""),"0",""),"-",""))+LEN(SUBSTITUTE(SUBSTITUTE(SUBSTITUTE(C244," ",""),"0",""),"-","")))=(LEN(SUBSTITUTE(SUBSTITUTE(SUBSTITUTE(E244," ",""),"0",""),"-",""))+LEN(SUBSTITUTE(SUBSTITUTE(SUBSTITUTE(F244," ",""),"0",""),"-",""))))),0,(LEN(SUBSTITUTE(SUBSTITUTE(SUBSTITUTE(B244," ",""),"0",""),"-",""))+LEN(SUBSTITUTE(SUBSTITUTE(SUBSTITUTE(C244," ",""),"0",""),"-",""))&lt;LEN(SUBSTITUTE(SUBSTITUTE(SUBSTITUTE(E244," ",""),"0",""),"-",""))+LEN(SUBSTITUTE(SUBSTITUTE(SUBSTITUTE(F244," ",""),"0",""),"-","")))*1),0)</f>
      </c>
      <c r="D249" s="14" t="str">
        <f>IF(OR(COUNTA(B243,C243,E243,F243)&gt;0,OR(D243="X",D243="x")),IF(OR(D243="X",D243="x",AND(OR(COUNTA(B243,C243,E243,F243)&gt;0,OR(D243="X",D243="x")),(LEN(SUBSTITUTE(SUBSTITUTE(SUBSTITUTE(B243," ",""),"0",""),"-",""))+LEN(SUBSTITUTE(SUBSTITUTE(SUBSTITUTE(C243," ",""),"0",""),"-","")))=(LEN(SUBSTITUTE(SUBSTITUTE(SUBSTITUTE(E243," ",""),"0",""),"-",""))+LEN(SUBSTITUTE(SUBSTITUTE(SUBSTITUTE(F243," ",""),"0",""),"-",""))))),1,0),0)+IF(OR(COUNTA(B244,C244,E244,F244)&gt;0,OR(D244="X",D244="x")),IF(OR(D244="X",D244="x",AND(OR(COUNTA(B244,C244,E244,F244)&gt;0,OR(D244="X",D244="x")),(LEN(SUBSTITUTE(SUBSTITUTE(SUBSTITUTE(B244," ",""),"0",""),"-",""))+LEN(SUBSTITUTE(SUBSTITUTE(SUBSTITUTE(C244," ",""),"0",""),"-","")))=(LEN(SUBSTITUTE(SUBSTITUTE(SUBSTITUTE(E244," ",""),"0",""),"-",""))+LEN(SUBSTITUTE(SUBSTITUTE(SUBSTITUTE(F244," ",""),"0",""),"-",""))))),1,0),0)</f>
      </c>
      <c r="E249" s="14" t="str">
        <f>LEN(SUBSTITUTE(SUBSTITUTE(SUBSTITUTE(B243," ",""),"0",""),"-",""))+LEN(SUBSTITUTE(SUBSTITUTE(SUBSTITUTE(C243," ",""),"0",""),"-",""))+LEN(SUBSTITUTE(SUBSTITUTE(SUBSTITUTE(B244," ",""),"0",""),"-",""))+LEN(SUBSTITUTE(SUBSTITUTE(SUBSTITUTE(C244," ",""),"0",""),"-",""))</f>
      </c>
      <c r="F249" s="14" t="str">
        <f>LEN(SUBSTITUTE(SUBSTITUTE(SUBSTITUTE(E243," ",""),"0",""),"-",""))+LEN(SUBSTITUTE(SUBSTITUTE(SUBSTITUTE(F243," ",""),"0",""),"-",""))+LEN(SUBSTITUTE(SUBSTITUTE(SUBSTITUTE(E244," ",""),"0",""),"-",""))+LEN(SUBSTITUTE(SUBSTITUTE(SUBSTITUTE(F244," ",""),"0",""),"-",""))</f>
      </c>
      <c r="G249" s="18" t="str">
        <f>RANK(U249,$U$247:$U$249)+COUNTIF($U$246:U248,U249)</f>
      </c>
      <c r="U249" t="str">
        <f>(B249*1000000)-(C249*10000)+(D249*100)+(E249*1)-(F249*0.01)</f>
      </c>
    </row>
    <row r="251">
      <c r="N251" s="13"/>
      <c r="O251" s="13" t="s">
        <v>341</v>
      </c>
    </row>
    <row r="252">
      <c r="F252" s="13"/>
      <c r="G252" s="13" t="s">
        <v>341</v>
      </c>
      <c r="N252" t="s">
        <v>342</v>
      </c>
      <c r="O252" s="19" t="str">
        <f>IFERROR(INDEX($I$247:$I$248, MATCH(1, $O$247:$O$248, 0)), "-")</f>
      </c>
    </row>
    <row r="253">
      <c r="F253" t="s">
        <v>342</v>
      </c>
      <c r="G253" s="19" t="str">
        <f>IFERROR(INDEX($A$247:$A$249, MATCH(1, $G$247:$G$249, 0)), "-")</f>
      </c>
      <c r="N253" t="s">
        <v>343</v>
      </c>
      <c r="O253" s="19" t="str">
        <f>IFERROR(INDEX($I$247:$I$248, MATCH(2, $O$247:$O$248, 0)), "-")</f>
      </c>
    </row>
    <row r="254">
      <c r="F254" t="s">
        <v>343</v>
      </c>
      <c r="G254" s="19" t="str">
        <f>IFERROR(INDEX($A$247:$A$249, MATCH(2, $G$247:$G$249, 0)), "-")</f>
      </c>
    </row>
    <row r="255">
      <c r="F255" t="s">
        <v>344</v>
      </c>
      <c r="G255" s="19" t="str">
        <f>IFERROR(INDEX($A$247:$A$249, MATCH(3, $G$247:$G$249, 0)), "-")</f>
      </c>
    </row>
    <row r="257">
      <c r="A257" s="13" t="str">
        <f>'data'!$A$49</f>
      </c>
      <c r="B257" s="13"/>
      <c r="C257" s="13"/>
      <c r="D257" s="13"/>
      <c r="E257" s="13"/>
      <c r="F257" s="13"/>
      <c r="G257" s="13"/>
    </row>
    <row r="258">
      <c r="A258" s="17" t="s">
        <v>331</v>
      </c>
      <c r="D258" s="14" t="s">
        <v>332</v>
      </c>
      <c r="G258" s="16" t="s">
        <v>333</v>
      </c>
    </row>
    <row r="259">
      <c r="A259" s="14" t="str">
        <f>data!$E$49&amp;" "&amp;data!$B$49</f>
      </c>
      <c r="B259" s="18"/>
      <c r="C259" s="18"/>
      <c r="D259" s="18"/>
      <c r="E259" s="18"/>
      <c r="F259" s="18"/>
      <c r="G259" s="14" t="str">
        <f>data!$E$48&amp;" "&amp;data!$B$48</f>
      </c>
    </row>
    <row r="261">
      <c r="A261" s="13" t="s">
        <v>334</v>
      </c>
      <c r="B261" s="13" t="s">
        <v>335</v>
      </c>
      <c r="C261" s="13" t="s">
        <v>336</v>
      </c>
      <c r="D261" s="13" t="s">
        <v>337</v>
      </c>
      <c r="E261" s="13" t="s">
        <v>338</v>
      </c>
      <c r="F261" s="13" t="s">
        <v>339</v>
      </c>
      <c r="G261" s="13" t="s">
        <v>340</v>
      </c>
    </row>
    <row r="262">
      <c r="A262" s="14" t="str">
        <f>data!$E$48&amp;" "&amp;data!$B$48</f>
      </c>
      <c r="B262" s="14" t="str">
        <f>IF(OR(COUNTA(B259,C259,E259,F259)&gt;0,OR(D259="X",D259="x")),IF(OR(D259="X",D259="x",AND(OR(COUNTA(B259,C259,E259,F259)&gt;0,OR(D259="X",D259="x")),(LEN(SUBSTITUTE(SUBSTITUTE(SUBSTITUTE(B259," ",""),"0",""),"-",""))+LEN(SUBSTITUTE(SUBSTITUTE(SUBSTITUTE(C259," ",""),"0",""),"-","")))=(LEN(SUBSTITUTE(SUBSTITUTE(SUBSTITUTE(E259," ",""),"0",""),"-",""))+LEN(SUBSTITUTE(SUBSTITUTE(SUBSTITUTE(F259," ",""),"0",""),"-",""))))),0,(LEN(SUBSTITUTE(SUBSTITUTE(SUBSTITUTE(E259," ",""),"0",""),"-",""))+LEN(SUBSTITUTE(SUBSTITUTE(SUBSTITUTE(F259," ",""),"0",""),"-",""))&gt;LEN(SUBSTITUTE(SUBSTITUTE(SUBSTITUTE(B259," ",""),"0",""),"-",""))+LEN(SUBSTITUTE(SUBSTITUTE(SUBSTITUTE(C259," ",""),"0",""),"-","")))*1),0)</f>
      </c>
      <c r="C262" s="14" t="str">
        <f>IF(OR(COUNTA(B259,C259,E259,F259)&gt;0,OR(D259="X",D259="x")),IF(OR(D259="X",D259="x",AND(OR(COUNTA(B259,C259,E259,F259)&gt;0,OR(D259="X",D259="x")),(LEN(SUBSTITUTE(SUBSTITUTE(SUBSTITUTE(B259," ",""),"0",""),"-",""))+LEN(SUBSTITUTE(SUBSTITUTE(SUBSTITUTE(C259," ",""),"0",""),"-","")))=(LEN(SUBSTITUTE(SUBSTITUTE(SUBSTITUTE(E259," ",""),"0",""),"-",""))+LEN(SUBSTITUTE(SUBSTITUTE(SUBSTITUTE(F259," ",""),"0",""),"-",""))))),0,(LEN(SUBSTITUTE(SUBSTITUTE(SUBSTITUTE(E259," ",""),"0",""),"-",""))+LEN(SUBSTITUTE(SUBSTITUTE(SUBSTITUTE(F259," ",""),"0",""),"-",""))&lt;LEN(SUBSTITUTE(SUBSTITUTE(SUBSTITUTE(B259," ",""),"0",""),"-",""))+LEN(SUBSTITUTE(SUBSTITUTE(SUBSTITUTE(C259," ",""),"0",""),"-","")))*1),0)</f>
      </c>
      <c r="D262" s="14" t="str">
        <f>IF(OR(COUNTA(B259,C259,E259,F259)&gt;0,OR(D259="X",D259="x")),IF(OR(D259="X",D259="x",AND(OR(COUNTA(B259,C259,E259,F259)&gt;0,OR(D259="X",D259="x")),(LEN(SUBSTITUTE(SUBSTITUTE(SUBSTITUTE(B259," ",""),"0",""),"-",""))+LEN(SUBSTITUTE(SUBSTITUTE(SUBSTITUTE(C259," ",""),"0",""),"-","")))=(LEN(SUBSTITUTE(SUBSTITUTE(SUBSTITUTE(E259," ",""),"0",""),"-",""))+LEN(SUBSTITUTE(SUBSTITUTE(SUBSTITUTE(F259," ",""),"0",""),"-",""))))),1,0),0)</f>
      </c>
      <c r="E262" s="14" t="str">
        <f>LEN(SUBSTITUTE(SUBSTITUTE(SUBSTITUTE(E259," ",""),"0",""),"-",""))+LEN(SUBSTITUTE(SUBSTITUTE(SUBSTITUTE(F259," ",""),"0",""),"-",""))</f>
      </c>
      <c r="F262" s="14" t="str">
        <f>LEN(SUBSTITUTE(SUBSTITUTE(SUBSTITUTE(B259," ",""),"0",""),"-",""))+LEN(SUBSTITUTE(SUBSTITUTE(SUBSTITUTE(C259," ",""),"0",""),"-",""))</f>
      </c>
      <c r="G262" s="18" t="str">
        <f>RANK(U262,$U$262:$U$263)+COUNTIF($U$261:U261,U262)</f>
      </c>
      <c r="U262" t="str">
        <f>(B262*1000000)-(C262*10000)+(D262*100)+(E262*1)-(F262*0.01)</f>
      </c>
    </row>
    <row r="263">
      <c r="A263" s="14" t="str">
        <f>data!$E$49&amp;" "&amp;data!$B$49</f>
      </c>
      <c r="B263" s="14" t="str">
        <f>IF(OR(COUNTA(B259,C259,E259,F259)&gt;0,OR(D259="X",D259="x")),IF(OR(D259="X",D259="x",AND(OR(COUNTA(B259,C259,E259,F259)&gt;0,OR(D259="X",D259="x")),(LEN(SUBSTITUTE(SUBSTITUTE(SUBSTITUTE(B259," ",""),"0",""),"-",""))+LEN(SUBSTITUTE(SUBSTITUTE(SUBSTITUTE(C259," ",""),"0",""),"-","")))=(LEN(SUBSTITUTE(SUBSTITUTE(SUBSTITUTE(E259," ",""),"0",""),"-",""))+LEN(SUBSTITUTE(SUBSTITUTE(SUBSTITUTE(F259," ",""),"0",""),"-",""))))),0,(LEN(SUBSTITUTE(SUBSTITUTE(SUBSTITUTE(B259," ",""),"0",""),"-",""))+LEN(SUBSTITUTE(SUBSTITUTE(SUBSTITUTE(C259," ",""),"0",""),"-",""))&gt;LEN(SUBSTITUTE(SUBSTITUTE(SUBSTITUTE(E259," ",""),"0",""),"-",""))+LEN(SUBSTITUTE(SUBSTITUTE(SUBSTITUTE(F259," ",""),"0",""),"-","")))*1),0)</f>
      </c>
      <c r="C263" s="14" t="str">
        <f>IF(OR(COUNTA(B259,C259,E259,F259)&gt;0,OR(D259="X",D259="x")),IF(OR(D259="X",D259="x",AND(OR(COUNTA(B259,C259,E259,F259)&gt;0,OR(D259="X",D259="x")),(LEN(SUBSTITUTE(SUBSTITUTE(SUBSTITUTE(B259," ",""),"0",""),"-",""))+LEN(SUBSTITUTE(SUBSTITUTE(SUBSTITUTE(C259," ",""),"0",""),"-","")))=(LEN(SUBSTITUTE(SUBSTITUTE(SUBSTITUTE(E259," ",""),"0",""),"-",""))+LEN(SUBSTITUTE(SUBSTITUTE(SUBSTITUTE(F259," ",""),"0",""),"-",""))))),0,(LEN(SUBSTITUTE(SUBSTITUTE(SUBSTITUTE(B259," ",""),"0",""),"-",""))+LEN(SUBSTITUTE(SUBSTITUTE(SUBSTITUTE(C259," ",""),"0",""),"-",""))&lt;LEN(SUBSTITUTE(SUBSTITUTE(SUBSTITUTE(E259," ",""),"0",""),"-",""))+LEN(SUBSTITUTE(SUBSTITUTE(SUBSTITUTE(F259," ",""),"0",""),"-","")))*1),0)</f>
      </c>
      <c r="D263" s="14" t="str">
        <f>IF(OR(COUNTA(B259,C259,E259,F259)&gt;0,OR(D259="X",D259="x")),IF(OR(D259="X",D259="x",AND(OR(COUNTA(B259,C259,E259,F259)&gt;0,OR(D259="X",D259="x")),(LEN(SUBSTITUTE(SUBSTITUTE(SUBSTITUTE(B259," ",""),"0",""),"-",""))+LEN(SUBSTITUTE(SUBSTITUTE(SUBSTITUTE(C259," ",""),"0",""),"-","")))=(LEN(SUBSTITUTE(SUBSTITUTE(SUBSTITUTE(E259," ",""),"0",""),"-",""))+LEN(SUBSTITUTE(SUBSTITUTE(SUBSTITUTE(F259," ",""),"0",""),"-",""))))),1,0),0)</f>
      </c>
      <c r="E263" s="14" t="str">
        <f>LEN(SUBSTITUTE(SUBSTITUTE(SUBSTITUTE(B259," ",""),"0",""),"-",""))+LEN(SUBSTITUTE(SUBSTITUTE(SUBSTITUTE(C259," ",""),"0",""),"-",""))</f>
      </c>
      <c r="F263" s="14" t="str">
        <f>LEN(SUBSTITUTE(SUBSTITUTE(SUBSTITUTE(E259," ",""),"0",""),"-",""))+LEN(SUBSTITUTE(SUBSTITUTE(SUBSTITUTE(F259," ",""),"0",""),"-",""))</f>
      </c>
      <c r="G263" s="18" t="str">
        <f>RANK(U263,$U$262:$U$263)+COUNTIF($U$261:U262,U263)</f>
      </c>
      <c r="U263" t="str">
        <f>(B263*1000000)-(C263*10000)+(D263*100)+(E263*1)-(F263*0.01)</f>
      </c>
    </row>
    <row r="266">
      <c r="F266" s="13"/>
      <c r="G266" s="13" t="s">
        <v>341</v>
      </c>
    </row>
    <row r="267">
      <c r="F267" t="s">
        <v>342</v>
      </c>
      <c r="G267" s="19" t="str">
        <f>IFERROR(INDEX($A$262:$A$263, MATCH(1, $G$262:$G$263, 0)), "-")</f>
      </c>
    </row>
    <row r="268">
      <c r="F268" t="s">
        <v>343</v>
      </c>
      <c r="G268" s="19" t="str">
        <f>IFERROR(INDEX($A$262:$A$263, MATCH(2, $G$262:$G$263, 0)), "-")</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33">
    <mergeCell ref="A1:G1"/>
    <mergeCell ref="I1:O1"/>
    <mergeCell ref="A2:G2"/>
    <mergeCell ref="I2:O2"/>
    <mergeCell ref="A19:G19"/>
    <mergeCell ref="I19:O19"/>
    <mergeCell ref="A36:G36"/>
    <mergeCell ref="I36:O36"/>
    <mergeCell ref="A53:G53"/>
    <mergeCell ref="I53:O53"/>
    <mergeCell ref="A70:G70"/>
    <mergeCell ref="I70:O70"/>
    <mergeCell ref="A87:G87"/>
    <mergeCell ref="I87:O87"/>
    <mergeCell ref="A104:G104"/>
    <mergeCell ref="I104:O104"/>
    <mergeCell ref="A121:G121"/>
    <mergeCell ref="I121:O121"/>
    <mergeCell ref="A138:G138"/>
    <mergeCell ref="I138:O138"/>
    <mergeCell ref="A155:G155"/>
    <mergeCell ref="I155:O155"/>
    <mergeCell ref="A172:G172"/>
    <mergeCell ref="I172:O172"/>
    <mergeCell ref="A189:G189"/>
    <mergeCell ref="I189:O189"/>
    <mergeCell ref="A206:G206"/>
    <mergeCell ref="I206:O206"/>
    <mergeCell ref="A223:G223"/>
    <mergeCell ref="I223:O223"/>
    <mergeCell ref="A240:G240"/>
    <mergeCell ref="I240:O240"/>
    <mergeCell ref="A257:G257"/>
  </mergeCells>
  <printOptions horizontalCentered="true" verticalCentered="true"/>
  <pageSetup fitToHeight="0" fitToWidth="2" orientation="portrait" pageOrder="downThenOver" paperSize="9"/>
  <rowBreaks count="7" manualBreakCount="7">
    <brk id="35" max="16383" man="true"/>
    <brk id="69" max="16383" man="true"/>
    <brk id="103" max="16383" man="true"/>
    <brk id="137" max="16383" man="true"/>
    <brk id="171" max="16383" man="true"/>
    <brk id="205" max="16383" man="true"/>
    <brk id="239" max="16383" man="true"/>
  </rowBreaks>
  <colBreaks count="1" manualBreakCount="1">
    <brk id="8" max="1048575" man="true"/>
  </colBreaks>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0"/>
    <col customWidth="true" max="14" min="10" width="5"/>
    <col customWidth="true" max="15" min="15" width="30"/>
    <col customWidth="true" max="16" min="16" width="5"/>
    <col customWidth="true" max="20" min="17" width="10.83"/>
  </cols>
  <sheetData>
    <row r="1">
      <c r="A1" s="13" t="s">
        <v>329</v>
      </c>
      <c r="B1" s="13"/>
      <c r="C1" s="13"/>
      <c r="D1" s="13"/>
      <c r="E1" s="13"/>
      <c r="F1" s="13"/>
      <c r="G1" s="13"/>
      <c r="I1" s="13" t="s">
        <v>330</v>
      </c>
      <c r="J1" s="13"/>
      <c r="K1" s="13"/>
      <c r="L1" s="13"/>
      <c r="M1" s="13"/>
      <c r="N1" s="13"/>
      <c r="O1" s="13"/>
    </row>
    <row r="2">
      <c r="A2" s="13" t="s">
        <v>345</v>
      </c>
      <c r="B2" s="13"/>
      <c r="C2" s="13"/>
      <c r="D2" s="13"/>
      <c r="E2" s="13"/>
      <c r="F2" s="13"/>
      <c r="G2" s="13"/>
      <c r="I2" s="13" t="s">
        <v>346</v>
      </c>
      <c r="J2" s="13"/>
      <c r="K2" s="13"/>
      <c r="L2" s="13"/>
      <c r="M2" s="13"/>
      <c r="N2" s="13"/>
      <c r="O2" s="13"/>
    </row>
    <row r="3">
      <c r="A3" s="17" t="s">
        <v>331</v>
      </c>
      <c r="D3" s="14" t="s">
        <v>332</v>
      </c>
      <c r="G3" s="16" t="s">
        <v>333</v>
      </c>
      <c r="I3" s="17" t="s">
        <v>331</v>
      </c>
      <c r="L3" s="14" t="s">
        <v>332</v>
      </c>
      <c r="O3" s="16" t="s">
        <v>333</v>
      </c>
    </row>
    <row r="4">
      <c r="A4" s="14" t="str">
        <f>CONCATENATE("Pool Q-2nd ",'Pool Matches'!O16)</f>
      </c>
      <c r="B4" s="18"/>
      <c r="C4" s="18"/>
      <c r="D4" s="18"/>
      <c r="E4" s="18"/>
      <c r="F4" s="18"/>
      <c r="G4" s="14" t="str">
        <f>CONCATENATE("Pool A-1st ",'Pool Matches'!G15)</f>
      </c>
      <c r="I4" s="14" t="str">
        <f>CONCATENATE("Pool A-2nd ",'Pool Matches'!G16)</f>
      </c>
      <c r="J4" s="18"/>
      <c r="K4" s="18"/>
      <c r="L4" s="18"/>
      <c r="M4" s="18"/>
      <c r="N4" s="18"/>
      <c r="O4" s="14" t="str">
        <f>CONCATENATE("Pool Q-1st ",'Pool Matches'!O15)</f>
      </c>
    </row>
    <row r="6">
      <c r="F6" t="s">
        <v>342</v>
      </c>
      <c r="G6" s="19"/>
      <c r="N6" t="s">
        <v>342</v>
      </c>
      <c r="O6" s="19"/>
    </row>
    <row r="7">
      <c r="F7" t="s">
        <v>343</v>
      </c>
      <c r="G7" s="19"/>
      <c r="N7" t="s">
        <v>343</v>
      </c>
      <c r="O7" s="19"/>
    </row>
    <row r="10">
      <c r="A10" s="13" t="s">
        <v>347</v>
      </c>
      <c r="B10" s="13"/>
      <c r="C10" s="13"/>
      <c r="D10" s="13"/>
      <c r="E10" s="13"/>
      <c r="F10" s="13"/>
      <c r="G10" s="13"/>
      <c r="I10" s="13" t="s">
        <v>348</v>
      </c>
      <c r="J10" s="13"/>
      <c r="K10" s="13"/>
      <c r="L10" s="13"/>
      <c r="M10" s="13"/>
      <c r="N10" s="13"/>
      <c r="O10" s="13"/>
    </row>
    <row r="11">
      <c r="A11" s="17" t="s">
        <v>331</v>
      </c>
      <c r="D11" s="14" t="s">
        <v>332</v>
      </c>
      <c r="G11" s="16" t="s">
        <v>333</v>
      </c>
      <c r="I11" s="17" t="s">
        <v>331</v>
      </c>
      <c r="L11" s="14" t="s">
        <v>332</v>
      </c>
      <c r="O11" s="16" t="s">
        <v>333</v>
      </c>
    </row>
    <row r="12">
      <c r="A12" s="14" t="str">
        <f>CONCATENATE("Pool R-2nd ",'Pool Matches'!O33)</f>
      </c>
      <c r="B12" s="18"/>
      <c r="C12" s="18"/>
      <c r="D12" s="18"/>
      <c r="E12" s="18"/>
      <c r="F12" s="18"/>
      <c r="G12" s="14" t="str">
        <f>CONCATENATE("Pool B-1st ",'Pool Matches'!G32)</f>
      </c>
      <c r="I12" s="14" t="str">
        <f>CONCATENATE("Pool B-2nd ",'Pool Matches'!G33)</f>
      </c>
      <c r="J12" s="18"/>
      <c r="K12" s="18"/>
      <c r="L12" s="18"/>
      <c r="M12" s="18"/>
      <c r="N12" s="18"/>
      <c r="O12" s="14" t="str">
        <f>CONCATENATE("Pool R-1st ",'Pool Matches'!O32)</f>
      </c>
    </row>
    <row r="14">
      <c r="F14" t="s">
        <v>342</v>
      </c>
      <c r="G14" s="19"/>
      <c r="N14" t="s">
        <v>342</v>
      </c>
      <c r="O14" s="19"/>
    </row>
    <row r="15">
      <c r="F15" t="s">
        <v>343</v>
      </c>
      <c r="G15" s="19"/>
      <c r="N15" t="s">
        <v>343</v>
      </c>
      <c r="O15" s="19"/>
    </row>
    <row r="18">
      <c r="A18" s="13" t="s">
        <v>349</v>
      </c>
      <c r="B18" s="13"/>
      <c r="C18" s="13"/>
      <c r="D18" s="13"/>
      <c r="E18" s="13"/>
      <c r="F18" s="13"/>
      <c r="G18" s="13"/>
      <c r="I18" s="13" t="s">
        <v>350</v>
      </c>
      <c r="J18" s="13"/>
      <c r="K18" s="13"/>
      <c r="L18" s="13"/>
      <c r="M18" s="13"/>
      <c r="N18" s="13"/>
      <c r="O18" s="13"/>
    </row>
    <row r="19">
      <c r="A19" s="17" t="s">
        <v>331</v>
      </c>
      <c r="D19" s="14" t="s">
        <v>332</v>
      </c>
      <c r="G19" s="16" t="s">
        <v>333</v>
      </c>
      <c r="I19" s="17" t="s">
        <v>331</v>
      </c>
      <c r="L19" s="14" t="s">
        <v>332</v>
      </c>
      <c r="O19" s="16" t="s">
        <v>333</v>
      </c>
    </row>
    <row r="20">
      <c r="A20" s="14" t="str">
        <f>CONCATENATE("Pool S-2nd ",'Pool Matches'!O50)</f>
      </c>
      <c r="B20" s="18"/>
      <c r="C20" s="18"/>
      <c r="D20" s="18"/>
      <c r="E20" s="18"/>
      <c r="F20" s="18"/>
      <c r="G20" s="14" t="str">
        <f>CONCATENATE("Pool C-1st ",'Pool Matches'!G49)</f>
      </c>
      <c r="I20" s="14" t="str">
        <f>CONCATENATE("Pool C-2nd ",'Pool Matches'!G50)</f>
      </c>
      <c r="J20" s="18"/>
      <c r="K20" s="18"/>
      <c r="L20" s="18"/>
      <c r="M20" s="18"/>
      <c r="N20" s="18"/>
      <c r="O20" s="14" t="str">
        <f>CONCATENATE("Pool S-1st ",'Pool Matches'!O49)</f>
      </c>
    </row>
    <row r="22">
      <c r="F22" t="s">
        <v>342</v>
      </c>
      <c r="G22" s="19"/>
      <c r="N22" t="s">
        <v>342</v>
      </c>
      <c r="O22" s="19"/>
    </row>
    <row r="23">
      <c r="F23" t="s">
        <v>343</v>
      </c>
      <c r="G23" s="19"/>
      <c r="N23" t="s">
        <v>343</v>
      </c>
      <c r="O23" s="19"/>
    </row>
    <row r="26">
      <c r="A26" s="13" t="s">
        <v>351</v>
      </c>
      <c r="B26" s="13"/>
      <c r="C26" s="13"/>
      <c r="D26" s="13"/>
      <c r="E26" s="13"/>
      <c r="F26" s="13"/>
      <c r="G26" s="13"/>
      <c r="I26" s="13" t="s">
        <v>352</v>
      </c>
      <c r="J26" s="13"/>
      <c r="K26" s="13"/>
      <c r="L26" s="13"/>
      <c r="M26" s="13"/>
      <c r="N26" s="13"/>
      <c r="O26" s="13"/>
    </row>
    <row r="27">
      <c r="A27" s="17" t="s">
        <v>331</v>
      </c>
      <c r="D27" s="14" t="s">
        <v>332</v>
      </c>
      <c r="G27" s="16" t="s">
        <v>333</v>
      </c>
      <c r="I27" s="17" t="s">
        <v>331</v>
      </c>
      <c r="L27" s="14" t="s">
        <v>332</v>
      </c>
      <c r="O27" s="16" t="s">
        <v>333</v>
      </c>
    </row>
    <row r="28">
      <c r="A28" s="14" t="str">
        <f>CONCATENATE("Pool T-2nd ",'Pool Matches'!O67)</f>
      </c>
      <c r="B28" s="18"/>
      <c r="C28" s="18"/>
      <c r="D28" s="18"/>
      <c r="E28" s="18"/>
      <c r="F28" s="18"/>
      <c r="G28" s="14" t="str">
        <f>CONCATENATE("Pool D-1st ",'Pool Matches'!G66)</f>
      </c>
      <c r="I28" s="14" t="str">
        <f>CONCATENATE("Pool D-2nd ",'Pool Matches'!G67)</f>
      </c>
      <c r="J28" s="18"/>
      <c r="K28" s="18"/>
      <c r="L28" s="18"/>
      <c r="M28" s="18"/>
      <c r="N28" s="18"/>
      <c r="O28" s="14" t="str">
        <f>CONCATENATE("Pool T-1st ",'Pool Matches'!O66)</f>
      </c>
    </row>
    <row r="30">
      <c r="F30" t="s">
        <v>342</v>
      </c>
      <c r="G30" s="19"/>
      <c r="N30" t="s">
        <v>342</v>
      </c>
      <c r="O30" s="19"/>
    </row>
    <row r="31">
      <c r="F31" t="s">
        <v>343</v>
      </c>
      <c r="G31" s="19"/>
      <c r="N31" t="s">
        <v>343</v>
      </c>
      <c r="O31" s="19"/>
    </row>
    <row r="34">
      <c r="A34" s="13" t="s">
        <v>353</v>
      </c>
      <c r="B34" s="13"/>
      <c r="C34" s="13"/>
      <c r="D34" s="13"/>
      <c r="E34" s="13"/>
      <c r="F34" s="13"/>
      <c r="G34" s="13"/>
      <c r="I34" s="13" t="s">
        <v>354</v>
      </c>
      <c r="J34" s="13"/>
      <c r="K34" s="13"/>
      <c r="L34" s="13"/>
      <c r="M34" s="13"/>
      <c r="N34" s="13"/>
      <c r="O34" s="13"/>
    </row>
    <row r="35">
      <c r="A35" s="17" t="s">
        <v>331</v>
      </c>
      <c r="D35" s="14" t="s">
        <v>332</v>
      </c>
      <c r="G35" s="16" t="s">
        <v>333</v>
      </c>
      <c r="I35" s="17" t="s">
        <v>331</v>
      </c>
      <c r="L35" s="14" t="s">
        <v>332</v>
      </c>
      <c r="O35" s="16" t="s">
        <v>333</v>
      </c>
    </row>
    <row r="36">
      <c r="A36" s="14" t="str">
        <f>CONCATENATE("Pool U-2nd ",'Pool Matches'!O84)</f>
      </c>
      <c r="B36" s="18"/>
      <c r="C36" s="18"/>
      <c r="D36" s="18"/>
      <c r="E36" s="18"/>
      <c r="F36" s="18"/>
      <c r="G36" s="14" t="str">
        <f>CONCATENATE("Pool E-1st ",'Pool Matches'!G83)</f>
      </c>
      <c r="I36" s="14" t="str">
        <f>CONCATENATE("Pool E-2nd ",'Pool Matches'!G84)</f>
      </c>
      <c r="J36" s="18"/>
      <c r="K36" s="18"/>
      <c r="L36" s="18"/>
      <c r="M36" s="18"/>
      <c r="N36" s="18"/>
      <c r="O36" s="14" t="str">
        <f>CONCATENATE("Pool U-1st ",'Pool Matches'!O83)</f>
      </c>
    </row>
    <row r="38">
      <c r="F38" t="s">
        <v>342</v>
      </c>
      <c r="G38" s="19"/>
      <c r="N38" t="s">
        <v>342</v>
      </c>
      <c r="O38" s="19"/>
    </row>
    <row r="39">
      <c r="F39" t="s">
        <v>343</v>
      </c>
      <c r="G39" s="19"/>
      <c r="N39" t="s">
        <v>343</v>
      </c>
      <c r="O39" s="19"/>
    </row>
    <row r="42">
      <c r="A42" s="13" t="s">
        <v>355</v>
      </c>
      <c r="B42" s="13"/>
      <c r="C42" s="13"/>
      <c r="D42" s="13"/>
      <c r="E42" s="13"/>
      <c r="F42" s="13"/>
      <c r="G42" s="13"/>
      <c r="I42" s="13" t="s">
        <v>356</v>
      </c>
      <c r="J42" s="13"/>
      <c r="K42" s="13"/>
      <c r="L42" s="13"/>
      <c r="M42" s="13"/>
      <c r="N42" s="13"/>
      <c r="O42" s="13"/>
    </row>
    <row r="43">
      <c r="A43" s="17" t="s">
        <v>331</v>
      </c>
      <c r="D43" s="14" t="s">
        <v>332</v>
      </c>
      <c r="G43" s="16" t="s">
        <v>333</v>
      </c>
      <c r="I43" s="17" t="s">
        <v>331</v>
      </c>
      <c r="L43" s="14" t="s">
        <v>332</v>
      </c>
      <c r="O43" s="16" t="s">
        <v>333</v>
      </c>
    </row>
    <row r="44">
      <c r="A44" s="14" t="str">
        <f>CONCATENATE("Pool V-2nd ",'Pool Matches'!O101)</f>
      </c>
      <c r="B44" s="18"/>
      <c r="C44" s="18"/>
      <c r="D44" s="18"/>
      <c r="E44" s="18"/>
      <c r="F44" s="18"/>
      <c r="G44" s="14" t="str">
        <f>CONCATENATE("Pool F-1st ",'Pool Matches'!G100)</f>
      </c>
      <c r="I44" s="14" t="str">
        <f>CONCATENATE("Pool F-2nd ",'Pool Matches'!G101)</f>
      </c>
      <c r="J44" s="18"/>
      <c r="K44" s="18"/>
      <c r="L44" s="18"/>
      <c r="M44" s="18"/>
      <c r="N44" s="18"/>
      <c r="O44" s="14" t="str">
        <f>CONCATENATE("Pool V-1st ",'Pool Matches'!O100)</f>
      </c>
    </row>
    <row r="46">
      <c r="F46" t="s">
        <v>342</v>
      </c>
      <c r="G46" s="19"/>
      <c r="N46" t="s">
        <v>342</v>
      </c>
      <c r="O46" s="19"/>
    </row>
    <row r="47">
      <c r="F47" t="s">
        <v>343</v>
      </c>
      <c r="G47" s="19"/>
      <c r="N47" t="s">
        <v>343</v>
      </c>
      <c r="O47" s="19"/>
    </row>
    <row r="50">
      <c r="A50" s="13" t="s">
        <v>357</v>
      </c>
      <c r="B50" s="13"/>
      <c r="C50" s="13"/>
      <c r="D50" s="13"/>
      <c r="E50" s="13"/>
      <c r="F50" s="13"/>
      <c r="G50" s="13"/>
      <c r="I50" s="13" t="s">
        <v>358</v>
      </c>
      <c r="J50" s="13"/>
      <c r="K50" s="13"/>
      <c r="L50" s="13"/>
      <c r="M50" s="13"/>
      <c r="N50" s="13"/>
      <c r="O50" s="13"/>
    </row>
    <row r="51">
      <c r="A51" s="17" t="s">
        <v>331</v>
      </c>
      <c r="D51" s="14" t="s">
        <v>332</v>
      </c>
      <c r="G51" s="16" t="s">
        <v>333</v>
      </c>
      <c r="I51" s="17" t="s">
        <v>331</v>
      </c>
      <c r="L51" s="14" t="s">
        <v>332</v>
      </c>
      <c r="O51" s="16" t="s">
        <v>333</v>
      </c>
    </row>
    <row r="52">
      <c r="A52" s="14" t="str">
        <f>CONCATENATE("Pool W-2nd ",'Pool Matches'!O118)</f>
      </c>
      <c r="B52" s="18"/>
      <c r="C52" s="18"/>
      <c r="D52" s="18"/>
      <c r="E52" s="18"/>
      <c r="F52" s="18"/>
      <c r="G52" s="14" t="str">
        <f>CONCATENATE("Pool G-1st ",'Pool Matches'!G117)</f>
      </c>
      <c r="I52" s="14" t="str">
        <f>CONCATENATE("Pool G-2nd ",'Pool Matches'!G118)</f>
      </c>
      <c r="J52" s="18"/>
      <c r="K52" s="18"/>
      <c r="L52" s="18"/>
      <c r="M52" s="18"/>
      <c r="N52" s="18"/>
      <c r="O52" s="14" t="str">
        <f>CONCATENATE("Pool W-1st ",'Pool Matches'!O117)</f>
      </c>
    </row>
    <row r="54">
      <c r="F54" t="s">
        <v>342</v>
      </c>
      <c r="G54" s="19"/>
      <c r="N54" t="s">
        <v>342</v>
      </c>
      <c r="O54" s="19"/>
    </row>
    <row r="55">
      <c r="F55" t="s">
        <v>343</v>
      </c>
      <c r="G55" s="19"/>
      <c r="N55" t="s">
        <v>343</v>
      </c>
      <c r="O55" s="19"/>
    </row>
    <row r="58">
      <c r="A58" s="13" t="s">
        <v>359</v>
      </c>
      <c r="B58" s="13"/>
      <c r="C58" s="13"/>
      <c r="D58" s="13"/>
      <c r="E58" s="13"/>
      <c r="F58" s="13"/>
      <c r="G58" s="13"/>
      <c r="I58" s="13" t="s">
        <v>360</v>
      </c>
      <c r="J58" s="13"/>
      <c r="K58" s="13"/>
      <c r="L58" s="13"/>
      <c r="M58" s="13"/>
      <c r="N58" s="13"/>
      <c r="O58" s="13"/>
    </row>
    <row r="59">
      <c r="A59" s="17" t="s">
        <v>331</v>
      </c>
      <c r="D59" s="14" t="s">
        <v>332</v>
      </c>
      <c r="G59" s="16" t="s">
        <v>333</v>
      </c>
      <c r="I59" s="17" t="s">
        <v>331</v>
      </c>
      <c r="L59" s="14" t="s">
        <v>332</v>
      </c>
      <c r="O59" s="16" t="s">
        <v>333</v>
      </c>
    </row>
    <row r="60">
      <c r="A60" s="14" t="str">
        <f>CONCATENATE("Pool X-2nd ",'Pool Matches'!O135)</f>
      </c>
      <c r="B60" s="18"/>
      <c r="C60" s="18"/>
      <c r="D60" s="18"/>
      <c r="E60" s="18"/>
      <c r="F60" s="18"/>
      <c r="G60" s="14" t="str">
        <f>CONCATENATE("Pool H-1st ",'Pool Matches'!G134)</f>
      </c>
      <c r="I60" s="14" t="str">
        <f>CONCATENATE("Pool H-2nd ",'Pool Matches'!G135)</f>
      </c>
      <c r="J60" s="18"/>
      <c r="K60" s="18"/>
      <c r="L60" s="18"/>
      <c r="M60" s="18"/>
      <c r="N60" s="18"/>
      <c r="O60" s="14" t="str">
        <f>CONCATENATE("Pool X-1st ",'Pool Matches'!O134)</f>
      </c>
    </row>
    <row r="62">
      <c r="F62" t="s">
        <v>342</v>
      </c>
      <c r="G62" s="19"/>
      <c r="N62" t="s">
        <v>342</v>
      </c>
      <c r="O62" s="19"/>
    </row>
    <row r="63">
      <c r="F63" t="s">
        <v>343</v>
      </c>
      <c r="G63" s="19"/>
      <c r="N63" t="s">
        <v>343</v>
      </c>
      <c r="O63" s="19"/>
    </row>
    <row r="66">
      <c r="A66" s="13" t="s">
        <v>361</v>
      </c>
      <c r="B66" s="13"/>
      <c r="C66" s="13"/>
      <c r="D66" s="13"/>
      <c r="E66" s="13"/>
      <c r="F66" s="13"/>
      <c r="G66" s="13"/>
      <c r="I66" s="13" t="s">
        <v>362</v>
      </c>
      <c r="J66" s="13"/>
      <c r="K66" s="13"/>
      <c r="L66" s="13"/>
      <c r="M66" s="13"/>
      <c r="N66" s="13"/>
      <c r="O66" s="13"/>
    </row>
    <row r="67">
      <c r="A67" s="17" t="s">
        <v>331</v>
      </c>
      <c r="D67" s="14" t="s">
        <v>332</v>
      </c>
      <c r="G67" s="16" t="s">
        <v>333</v>
      </c>
      <c r="I67" s="17" t="s">
        <v>331</v>
      </c>
      <c r="L67" s="14" t="s">
        <v>332</v>
      </c>
      <c r="O67" s="16" t="s">
        <v>333</v>
      </c>
    </row>
    <row r="68">
      <c r="A68" s="14" t="str">
        <f>CONCATENATE("Pool Y-2nd ",'Pool Matches'!O152)</f>
      </c>
      <c r="B68" s="18"/>
      <c r="C68" s="18"/>
      <c r="D68" s="18"/>
      <c r="E68" s="18"/>
      <c r="F68" s="18"/>
      <c r="G68" s="14" t="str">
        <f>CONCATENATE("Pool J-1st ",'Pool Matches'!G168)</f>
      </c>
      <c r="I68" s="14" t="str">
        <f>CONCATENATE("Pool I-2nd ",'Pool Matches'!G152)</f>
      </c>
      <c r="J68" s="18"/>
      <c r="K68" s="18"/>
      <c r="L68" s="18"/>
      <c r="M68" s="18"/>
      <c r="N68" s="18"/>
      <c r="O68" s="14" t="str">
        <f>CONCATENATE("Pool Z-1st ",'Pool Matches'!O168)</f>
      </c>
    </row>
    <row r="70">
      <c r="F70" t="s">
        <v>342</v>
      </c>
      <c r="G70" s="19"/>
      <c r="N70" t="s">
        <v>342</v>
      </c>
      <c r="O70" s="19"/>
    </row>
    <row r="71">
      <c r="F71" t="s">
        <v>343</v>
      </c>
      <c r="G71" s="19"/>
      <c r="N71" t="s">
        <v>343</v>
      </c>
      <c r="O71" s="19"/>
    </row>
    <row r="74">
      <c r="A74" s="13" t="s">
        <v>363</v>
      </c>
      <c r="B74" s="13"/>
      <c r="C74" s="13"/>
      <c r="D74" s="13"/>
      <c r="E74" s="13"/>
      <c r="F74" s="13"/>
      <c r="G74" s="13"/>
      <c r="I74" s="13" t="s">
        <v>364</v>
      </c>
      <c r="J74" s="13"/>
      <c r="K74" s="13"/>
      <c r="L74" s="13"/>
      <c r="M74" s="13"/>
      <c r="N74" s="13"/>
      <c r="O74" s="13"/>
    </row>
    <row r="75">
      <c r="A75" s="17" t="s">
        <v>331</v>
      </c>
      <c r="D75" s="14" t="s">
        <v>332</v>
      </c>
      <c r="G75" s="16" t="s">
        <v>333</v>
      </c>
      <c r="I75" s="17" t="s">
        <v>331</v>
      </c>
      <c r="L75" s="14" t="s">
        <v>332</v>
      </c>
      <c r="O75" s="16" t="s">
        <v>333</v>
      </c>
    </row>
    <row r="76">
      <c r="A76" s="14" t="str">
        <f>CONCATENATE("Pool Z-2nd ",'Pool Matches'!O169)</f>
      </c>
      <c r="B76" s="18"/>
      <c r="C76" s="18"/>
      <c r="D76" s="18"/>
      <c r="E76" s="18"/>
      <c r="F76" s="18"/>
      <c r="G76" s="14" t="str">
        <f>CONCATENATE("Pool K-1st ",'Pool Matches'!G185)</f>
      </c>
      <c r="I76" s="14" t="str">
        <f>CONCATENATE("Pool J-2nd ",'Pool Matches'!G169)</f>
      </c>
      <c r="J76" s="18"/>
      <c r="K76" s="18"/>
      <c r="L76" s="18"/>
      <c r="M76" s="18"/>
      <c r="N76" s="18"/>
      <c r="O76" s="14" t="str">
        <f>CONCATENATE("Pool AA-1st ",'Pool Matches'!O185)</f>
      </c>
    </row>
    <row r="78">
      <c r="F78" t="s">
        <v>342</v>
      </c>
      <c r="G78" s="19"/>
      <c r="N78" t="s">
        <v>342</v>
      </c>
      <c r="O78" s="19"/>
    </row>
    <row r="79">
      <c r="F79" t="s">
        <v>343</v>
      </c>
      <c r="G79" s="19"/>
      <c r="N79" t="s">
        <v>343</v>
      </c>
      <c r="O79" s="19"/>
    </row>
    <row r="82">
      <c r="A82" s="13" t="s">
        <v>365</v>
      </c>
      <c r="B82" s="13"/>
      <c r="C82" s="13"/>
      <c r="D82" s="13"/>
      <c r="E82" s="13"/>
      <c r="F82" s="13"/>
      <c r="G82" s="13"/>
      <c r="I82" s="13" t="s">
        <v>366</v>
      </c>
      <c r="J82" s="13"/>
      <c r="K82" s="13"/>
      <c r="L82" s="13"/>
      <c r="M82" s="13"/>
      <c r="N82" s="13"/>
      <c r="O82" s="13"/>
    </row>
    <row r="83">
      <c r="A83" s="17" t="s">
        <v>331</v>
      </c>
      <c r="D83" s="14" t="s">
        <v>332</v>
      </c>
      <c r="G83" s="16" t="s">
        <v>333</v>
      </c>
      <c r="I83" s="17" t="s">
        <v>331</v>
      </c>
      <c r="L83" s="14" t="s">
        <v>332</v>
      </c>
      <c r="O83" s="16" t="s">
        <v>333</v>
      </c>
    </row>
    <row r="84">
      <c r="A84" s="14" t="str">
        <f>CONCATENATE("Pool AA-2nd ",'Pool Matches'!O186)</f>
      </c>
      <c r="B84" s="18"/>
      <c r="C84" s="18"/>
      <c r="D84" s="18"/>
      <c r="E84" s="18"/>
      <c r="F84" s="18"/>
      <c r="G84" s="14" t="str">
        <f>CONCATENATE("Pool L-1st ",'Pool Matches'!G202)</f>
      </c>
      <c r="I84" s="14" t="str">
        <f>CONCATENATE("Pool K-2nd ",'Pool Matches'!G186)</f>
      </c>
      <c r="J84" s="18"/>
      <c r="K84" s="18"/>
      <c r="L84" s="18"/>
      <c r="M84" s="18"/>
      <c r="N84" s="18"/>
      <c r="O84" s="14" t="str">
        <f>CONCATENATE("Pool AB-1st ",'Pool Matches'!O202)</f>
      </c>
    </row>
    <row r="86">
      <c r="F86" t="s">
        <v>342</v>
      </c>
      <c r="G86" s="19"/>
      <c r="N86" t="s">
        <v>342</v>
      </c>
      <c r="O86" s="19"/>
    </row>
    <row r="87">
      <c r="F87" t="s">
        <v>343</v>
      </c>
      <c r="G87" s="19"/>
      <c r="N87" t="s">
        <v>343</v>
      </c>
      <c r="O87" s="19"/>
    </row>
    <row r="90">
      <c r="A90" s="13" t="s">
        <v>367</v>
      </c>
      <c r="B90" s="13"/>
      <c r="C90" s="13"/>
      <c r="D90" s="13"/>
      <c r="E90" s="13"/>
      <c r="F90" s="13"/>
      <c r="G90" s="13"/>
      <c r="I90" s="13" t="s">
        <v>368</v>
      </c>
      <c r="J90" s="13"/>
      <c r="K90" s="13"/>
      <c r="L90" s="13"/>
      <c r="M90" s="13"/>
      <c r="N90" s="13"/>
      <c r="O90" s="13"/>
    </row>
    <row r="91">
      <c r="A91" s="17" t="s">
        <v>331</v>
      </c>
      <c r="D91" s="14" t="s">
        <v>332</v>
      </c>
      <c r="G91" s="16" t="s">
        <v>333</v>
      </c>
      <c r="I91" s="17" t="s">
        <v>331</v>
      </c>
      <c r="L91" s="14" t="s">
        <v>332</v>
      </c>
      <c r="O91" s="16" t="s">
        <v>333</v>
      </c>
    </row>
    <row r="92">
      <c r="A92" s="14" t="str">
        <f>CONCATENATE("Pool AB-2nd ",'Pool Matches'!O203)</f>
      </c>
      <c r="B92" s="18"/>
      <c r="C92" s="18"/>
      <c r="D92" s="18"/>
      <c r="E92" s="18"/>
      <c r="F92" s="18"/>
      <c r="G92" s="14" t="str">
        <f>CONCATENATE("Pool M-1st ",'Pool Matches'!G219)</f>
      </c>
      <c r="I92" s="14" t="str">
        <f>CONCATENATE("Pool L-2nd ",'Pool Matches'!G203)</f>
      </c>
      <c r="J92" s="18"/>
      <c r="K92" s="18"/>
      <c r="L92" s="18"/>
      <c r="M92" s="18"/>
      <c r="N92" s="18"/>
      <c r="O92" s="14" t="str">
        <f>CONCATENATE("Pool AC-1st ",'Pool Matches'!O219)</f>
      </c>
    </row>
    <row r="94">
      <c r="F94" t="s">
        <v>342</v>
      </c>
      <c r="G94" s="19"/>
      <c r="N94" t="s">
        <v>342</v>
      </c>
      <c r="O94" s="19"/>
    </row>
    <row r="95">
      <c r="F95" t="s">
        <v>343</v>
      </c>
      <c r="G95" s="19"/>
      <c r="N95" t="s">
        <v>343</v>
      </c>
      <c r="O95" s="19"/>
    </row>
    <row r="98">
      <c r="A98" s="13" t="s">
        <v>369</v>
      </c>
      <c r="B98" s="13"/>
      <c r="C98" s="13"/>
      <c r="D98" s="13"/>
      <c r="E98" s="13"/>
      <c r="F98" s="13"/>
      <c r="G98" s="13"/>
      <c r="I98" s="13" t="s">
        <v>370</v>
      </c>
      <c r="J98" s="13"/>
      <c r="K98" s="13"/>
      <c r="L98" s="13"/>
      <c r="M98" s="13"/>
      <c r="N98" s="13"/>
      <c r="O98" s="13"/>
    </row>
    <row r="99">
      <c r="A99" s="17" t="s">
        <v>331</v>
      </c>
      <c r="D99" s="14" t="s">
        <v>332</v>
      </c>
      <c r="G99" s="16" t="s">
        <v>333</v>
      </c>
      <c r="I99" s="17" t="s">
        <v>331</v>
      </c>
      <c r="L99" s="14" t="s">
        <v>332</v>
      </c>
      <c r="O99" s="16" t="s">
        <v>333</v>
      </c>
    </row>
    <row r="100">
      <c r="A100" s="14" t="str">
        <f>CONCATENATE("Pool AC-2nd ",'Pool Matches'!O220)</f>
      </c>
      <c r="B100" s="18"/>
      <c r="C100" s="18"/>
      <c r="D100" s="18"/>
      <c r="E100" s="18"/>
      <c r="F100" s="18"/>
      <c r="G100" s="14" t="str">
        <f>CONCATENATE("Pool N-1st ",'Pool Matches'!G236)</f>
      </c>
      <c r="I100" s="14" t="str">
        <f>CONCATENATE("Pool M-2nd ",'Pool Matches'!G220)</f>
      </c>
      <c r="J100" s="18"/>
      <c r="K100" s="18"/>
      <c r="L100" s="18"/>
      <c r="M100" s="18"/>
      <c r="N100" s="18"/>
      <c r="O100" s="14" t="str">
        <f>CONCATENATE("Pool AD-1st ",'Pool Matches'!O236)</f>
      </c>
    </row>
    <row r="102">
      <c r="F102" t="s">
        <v>342</v>
      </c>
      <c r="G102" s="19"/>
      <c r="N102" t="s">
        <v>342</v>
      </c>
      <c r="O102" s="19"/>
    </row>
    <row r="103">
      <c r="F103" t="s">
        <v>343</v>
      </c>
      <c r="G103" s="19"/>
      <c r="N103" t="s">
        <v>343</v>
      </c>
      <c r="O103" s="19"/>
    </row>
    <row r="106">
      <c r="A106" s="13" t="s">
        <v>371</v>
      </c>
      <c r="B106" s="13"/>
      <c r="C106" s="13"/>
      <c r="D106" s="13"/>
      <c r="E106" s="13"/>
      <c r="F106" s="13"/>
      <c r="G106" s="13"/>
      <c r="I106" s="13" t="s">
        <v>372</v>
      </c>
      <c r="J106" s="13"/>
      <c r="K106" s="13"/>
      <c r="L106" s="13"/>
      <c r="M106" s="13"/>
      <c r="N106" s="13"/>
      <c r="O106" s="13"/>
    </row>
    <row r="107">
      <c r="A107" s="17" t="s">
        <v>331</v>
      </c>
      <c r="D107" s="14" t="s">
        <v>332</v>
      </c>
      <c r="G107" s="16" t="s">
        <v>333</v>
      </c>
      <c r="I107" s="17" t="s">
        <v>331</v>
      </c>
      <c r="L107" s="14" t="s">
        <v>332</v>
      </c>
      <c r="O107" s="16" t="s">
        <v>333</v>
      </c>
    </row>
    <row r="108">
      <c r="A108" s="14" t="str">
        <f>CONCATENATE("Pool AD-2nd ",'Pool Matches'!O237)</f>
      </c>
      <c r="B108" s="18"/>
      <c r="C108" s="18"/>
      <c r="D108" s="18"/>
      <c r="E108" s="18"/>
      <c r="F108" s="18"/>
      <c r="G108" s="14" t="str">
        <f>CONCATENATE("Pool O-1st ",'Pool Matches'!G253)</f>
      </c>
      <c r="I108" s="14" t="str">
        <f>CONCATENATE("Pool N-2nd ",'Pool Matches'!G237)</f>
      </c>
      <c r="J108" s="18"/>
      <c r="K108" s="18"/>
      <c r="L108" s="18"/>
      <c r="M108" s="18"/>
      <c r="N108" s="18"/>
      <c r="O108" s="14" t="str">
        <f>CONCATENATE("Pool AE-1st ",'Pool Matches'!O252)</f>
      </c>
    </row>
    <row r="110">
      <c r="F110" t="s">
        <v>342</v>
      </c>
      <c r="G110" s="19"/>
      <c r="N110" t="s">
        <v>342</v>
      </c>
      <c r="O110" s="19"/>
    </row>
    <row r="111">
      <c r="F111" t="s">
        <v>343</v>
      </c>
      <c r="G111" s="19"/>
      <c r="N111" t="s">
        <v>343</v>
      </c>
      <c r="O111" s="19"/>
    </row>
    <row r="114">
      <c r="A114" s="13" t="s">
        <v>373</v>
      </c>
      <c r="B114" s="13"/>
      <c r="C114" s="13"/>
      <c r="D114" s="13"/>
      <c r="E114" s="13"/>
      <c r="F114" s="13"/>
      <c r="G114" s="13"/>
      <c r="I114" s="13" t="s">
        <v>374</v>
      </c>
      <c r="J114" s="13"/>
      <c r="K114" s="13"/>
      <c r="L114" s="13"/>
      <c r="M114" s="13"/>
      <c r="N114" s="13"/>
      <c r="O114" s="13"/>
    </row>
    <row r="115">
      <c r="A115" s="17" t="s">
        <v>331</v>
      </c>
      <c r="D115" s="14" t="s">
        <v>332</v>
      </c>
      <c r="G115" s="16" t="s">
        <v>333</v>
      </c>
      <c r="I115" s="17" t="s">
        <v>331</v>
      </c>
      <c r="L115" s="14" t="s">
        <v>332</v>
      </c>
      <c r="O115" s="16" t="s">
        <v>333</v>
      </c>
    </row>
    <row r="116">
      <c r="A116" s="14" t="str">
        <f>CONCATENATE("Pool AE-2nd ",'Pool Matches'!O253)</f>
      </c>
      <c r="B116" s="18"/>
      <c r="C116" s="18"/>
      <c r="D116" s="18"/>
      <c r="E116" s="18"/>
      <c r="F116" s="18"/>
      <c r="G116" s="14" t="str">
        <f>CONCATENATE("Pool P-1st ",'Pool Matches'!G267)</f>
      </c>
      <c r="I116" s="14" t="str">
        <f>CONCATENATE("Pool P-2nd ",'Pool Matches'!G268)</f>
      </c>
      <c r="J116" s="18"/>
      <c r="K116" s="18"/>
      <c r="L116" s="18"/>
      <c r="M116" s="18"/>
      <c r="N116" s="18"/>
      <c r="O116" s="14" t="str">
        <f>CONCATENATE("Pool O-2nd ",'Pool Matches'!G254)</f>
      </c>
    </row>
    <row r="118">
      <c r="F118" t="s">
        <v>342</v>
      </c>
      <c r="G118" s="19"/>
      <c r="N118" t="s">
        <v>342</v>
      </c>
      <c r="O118" s="19"/>
    </row>
    <row r="119">
      <c r="F119" t="s">
        <v>343</v>
      </c>
      <c r="G119" s="19"/>
      <c r="N119" t="s">
        <v>343</v>
      </c>
      <c r="O119" s="19"/>
    </row>
    <row r="127">
      <c r="A127" s="13" t="s">
        <v>375</v>
      </c>
      <c r="B127" s="13"/>
      <c r="C127" s="13"/>
      <c r="D127" s="13"/>
      <c r="E127" s="13"/>
      <c r="F127" s="13"/>
      <c r="G127" s="13"/>
      <c r="I127" s="13" t="s">
        <v>376</v>
      </c>
      <c r="J127" s="13"/>
      <c r="K127" s="13"/>
      <c r="L127" s="13"/>
      <c r="M127" s="13"/>
      <c r="N127" s="13"/>
      <c r="O127" s="13"/>
    </row>
    <row r="128">
      <c r="A128" s="17" t="s">
        <v>331</v>
      </c>
      <c r="D128" s="14" t="s">
        <v>332</v>
      </c>
      <c r="G128" s="16" t="s">
        <v>333</v>
      </c>
      <c r="I128" s="17" t="s">
        <v>331</v>
      </c>
      <c r="L128" s="14" t="s">
        <v>332</v>
      </c>
      <c r="O128" s="16" t="s">
        <v>333</v>
      </c>
    </row>
    <row r="129">
      <c r="A129" s="14" t="str">
        <f>CONCATENATE("M 2 ",G14)</f>
      </c>
      <c r="B129" s="18"/>
      <c r="C129" s="18"/>
      <c r="D129" s="18"/>
      <c r="E129" s="18"/>
      <c r="F129" s="18"/>
      <c r="G129" s="14" t="str">
        <f>CONCATENATE("M 1 ",G6)</f>
      </c>
      <c r="I129" s="14" t="str">
        <f>CONCATENATE("M 17 ",O14)</f>
      </c>
      <c r="J129" s="18"/>
      <c r="K129" s="18"/>
      <c r="L129" s="18"/>
      <c r="M129" s="18"/>
      <c r="N129" s="18"/>
      <c r="O129" s="14" t="str">
        <f>CONCATENATE("M 16 ",O6)</f>
      </c>
    </row>
    <row r="131">
      <c r="F131" t="s">
        <v>342</v>
      </c>
      <c r="G131" s="19"/>
      <c r="N131" t="s">
        <v>342</v>
      </c>
      <c r="O131" s="19"/>
    </row>
    <row r="132">
      <c r="F132" t="s">
        <v>343</v>
      </c>
      <c r="G132" s="19"/>
      <c r="N132" t="s">
        <v>343</v>
      </c>
      <c r="O132" s="19"/>
    </row>
    <row r="135">
      <c r="A135" s="13" t="s">
        <v>377</v>
      </c>
      <c r="B135" s="13"/>
      <c r="C135" s="13"/>
      <c r="D135" s="13"/>
      <c r="E135" s="13"/>
      <c r="F135" s="13"/>
      <c r="G135" s="13"/>
      <c r="I135" s="13" t="s">
        <v>378</v>
      </c>
      <c r="J135" s="13"/>
      <c r="K135" s="13"/>
      <c r="L135" s="13"/>
      <c r="M135" s="13"/>
      <c r="N135" s="13"/>
      <c r="O135" s="13"/>
    </row>
    <row r="136">
      <c r="A136" s="17" t="s">
        <v>331</v>
      </c>
      <c r="D136" s="14" t="s">
        <v>332</v>
      </c>
      <c r="G136" s="16" t="s">
        <v>333</v>
      </c>
      <c r="I136" s="17" t="s">
        <v>331</v>
      </c>
      <c r="L136" s="14" t="s">
        <v>332</v>
      </c>
      <c r="O136" s="16" t="s">
        <v>333</v>
      </c>
    </row>
    <row r="137">
      <c r="A137" s="14" t="str">
        <f>CONCATENATE("M 4 ",G30)</f>
      </c>
      <c r="B137" s="18"/>
      <c r="C137" s="18"/>
      <c r="D137" s="18"/>
      <c r="E137" s="18"/>
      <c r="F137" s="18"/>
      <c r="G137" s="14" t="str">
        <f>CONCATENATE("M 3 ",G22)</f>
      </c>
      <c r="I137" s="14" t="str">
        <f>CONCATENATE("M 19 ",O30)</f>
      </c>
      <c r="J137" s="18"/>
      <c r="K137" s="18"/>
      <c r="L137" s="18"/>
      <c r="M137" s="18"/>
      <c r="N137" s="18"/>
      <c r="O137" s="14" t="str">
        <f>CONCATENATE("M 18 ",O22)</f>
      </c>
    </row>
    <row r="139">
      <c r="F139" t="s">
        <v>342</v>
      </c>
      <c r="G139" s="19"/>
      <c r="N139" t="s">
        <v>342</v>
      </c>
      <c r="O139" s="19"/>
    </row>
    <row r="140">
      <c r="F140" t="s">
        <v>343</v>
      </c>
      <c r="G140" s="19"/>
      <c r="N140" t="s">
        <v>343</v>
      </c>
      <c r="O140" s="19"/>
    </row>
    <row r="143">
      <c r="A143" s="13" t="s">
        <v>379</v>
      </c>
      <c r="B143" s="13"/>
      <c r="C143" s="13"/>
      <c r="D143" s="13"/>
      <c r="E143" s="13"/>
      <c r="F143" s="13"/>
      <c r="G143" s="13"/>
      <c r="I143" s="13" t="s">
        <v>380</v>
      </c>
      <c r="J143" s="13"/>
      <c r="K143" s="13"/>
      <c r="L143" s="13"/>
      <c r="M143" s="13"/>
      <c r="N143" s="13"/>
      <c r="O143" s="13"/>
    </row>
    <row r="144">
      <c r="A144" s="17" t="s">
        <v>331</v>
      </c>
      <c r="D144" s="14" t="s">
        <v>332</v>
      </c>
      <c r="G144" s="16" t="s">
        <v>333</v>
      </c>
      <c r="I144" s="17" t="s">
        <v>331</v>
      </c>
      <c r="L144" s="14" t="s">
        <v>332</v>
      </c>
      <c r="O144" s="16" t="s">
        <v>333</v>
      </c>
    </row>
    <row r="145">
      <c r="A145" s="14" t="str">
        <f>CONCATENATE("M 6 ",G46)</f>
      </c>
      <c r="B145" s="18"/>
      <c r="C145" s="18"/>
      <c r="D145" s="18"/>
      <c r="E145" s="18"/>
      <c r="F145" s="18"/>
      <c r="G145" s="14" t="str">
        <f>CONCATENATE("M 5 ",G38)</f>
      </c>
      <c r="I145" s="14" t="str">
        <f>CONCATENATE("M 21 ",O46)</f>
      </c>
      <c r="J145" s="18"/>
      <c r="K145" s="18"/>
      <c r="L145" s="18"/>
      <c r="M145" s="18"/>
      <c r="N145" s="18"/>
      <c r="O145" s="14" t="str">
        <f>CONCATENATE("M 20 ",O38)</f>
      </c>
    </row>
    <row r="147">
      <c r="F147" t="s">
        <v>342</v>
      </c>
      <c r="G147" s="19"/>
      <c r="N147" t="s">
        <v>342</v>
      </c>
      <c r="O147" s="19"/>
    </row>
    <row r="148">
      <c r="F148" t="s">
        <v>343</v>
      </c>
      <c r="G148" s="19"/>
      <c r="N148" t="s">
        <v>343</v>
      </c>
      <c r="O148" s="19"/>
    </row>
    <row r="151">
      <c r="A151" s="13" t="s">
        <v>381</v>
      </c>
      <c r="B151" s="13"/>
      <c r="C151" s="13"/>
      <c r="D151" s="13"/>
      <c r="E151" s="13"/>
      <c r="F151" s="13"/>
      <c r="G151" s="13"/>
      <c r="I151" s="13" t="s">
        <v>382</v>
      </c>
      <c r="J151" s="13"/>
      <c r="K151" s="13"/>
      <c r="L151" s="13"/>
      <c r="M151" s="13"/>
      <c r="N151" s="13"/>
      <c r="O151" s="13"/>
    </row>
    <row r="152">
      <c r="A152" s="17" t="s">
        <v>331</v>
      </c>
      <c r="D152" s="14" t="s">
        <v>332</v>
      </c>
      <c r="G152" s="16" t="s">
        <v>333</v>
      </c>
      <c r="I152" s="17" t="s">
        <v>331</v>
      </c>
      <c r="L152" s="14" t="s">
        <v>332</v>
      </c>
      <c r="O152" s="16" t="s">
        <v>333</v>
      </c>
    </row>
    <row r="153">
      <c r="A153" s="14" t="str">
        <f>CONCATENATE("M 8 ",G62)</f>
      </c>
      <c r="B153" s="18"/>
      <c r="C153" s="18"/>
      <c r="D153" s="18"/>
      <c r="E153" s="18"/>
      <c r="F153" s="18"/>
      <c r="G153" s="14" t="str">
        <f>CONCATENATE("M 7 ",G54)</f>
      </c>
      <c r="I153" s="14" t="str">
        <f>CONCATENATE("M 23 ",O62)</f>
      </c>
      <c r="J153" s="18"/>
      <c r="K153" s="18"/>
      <c r="L153" s="18"/>
      <c r="M153" s="18"/>
      <c r="N153" s="18"/>
      <c r="O153" s="14" t="str">
        <f>CONCATENATE("M 22 ",O54)</f>
      </c>
    </row>
    <row r="155">
      <c r="F155" t="s">
        <v>342</v>
      </c>
      <c r="G155" s="19"/>
      <c r="N155" t="s">
        <v>342</v>
      </c>
      <c r="O155" s="19"/>
    </row>
    <row r="156">
      <c r="F156" t="s">
        <v>343</v>
      </c>
      <c r="G156" s="19"/>
      <c r="N156" t="s">
        <v>343</v>
      </c>
      <c r="O156" s="19"/>
    </row>
    <row r="159">
      <c r="A159" s="13" t="s">
        <v>383</v>
      </c>
      <c r="B159" s="13"/>
      <c r="C159" s="13"/>
      <c r="D159" s="13"/>
      <c r="E159" s="13"/>
      <c r="F159" s="13"/>
      <c r="G159" s="13"/>
      <c r="I159" s="13" t="s">
        <v>384</v>
      </c>
      <c r="J159" s="13"/>
      <c r="K159" s="13"/>
      <c r="L159" s="13"/>
      <c r="M159" s="13"/>
      <c r="N159" s="13"/>
      <c r="O159" s="13"/>
    </row>
    <row r="160">
      <c r="A160" s="17" t="s">
        <v>331</v>
      </c>
      <c r="D160" s="14" t="s">
        <v>332</v>
      </c>
      <c r="G160" s="16" t="s">
        <v>333</v>
      </c>
      <c r="I160" s="17" t="s">
        <v>331</v>
      </c>
      <c r="L160" s="14" t="s">
        <v>332</v>
      </c>
      <c r="O160" s="16" t="s">
        <v>333</v>
      </c>
    </row>
    <row r="161">
      <c r="A161" s="14" t="str">
        <f>CONCATENATE("M 9 ",G70)</f>
      </c>
      <c r="B161" s="18"/>
      <c r="C161" s="18"/>
      <c r="D161" s="18"/>
      <c r="E161" s="18"/>
      <c r="F161" s="18"/>
      <c r="G161" s="14" t="str">
        <f>CONCATENATE("Pool I-1st ",'Pool Matches'!G151)</f>
      </c>
      <c r="I161" s="14" t="str">
        <f>CONCATENATE("M 24 ",O70)</f>
      </c>
      <c r="J161" s="18"/>
      <c r="K161" s="18"/>
      <c r="L161" s="18"/>
      <c r="M161" s="18"/>
      <c r="N161" s="18"/>
      <c r="O161" s="14" t="str">
        <f>CONCATENATE("Pool Y-1st ",'Pool Matches'!O151)</f>
      </c>
    </row>
    <row r="163">
      <c r="F163" t="s">
        <v>342</v>
      </c>
      <c r="G163" s="19"/>
      <c r="N163" t="s">
        <v>342</v>
      </c>
      <c r="O163" s="19"/>
    </row>
    <row r="164">
      <c r="F164" t="s">
        <v>343</v>
      </c>
      <c r="G164" s="19"/>
      <c r="N164" t="s">
        <v>343</v>
      </c>
      <c r="O164" s="19"/>
    </row>
    <row r="167">
      <c r="A167" s="13" t="s">
        <v>385</v>
      </c>
      <c r="B167" s="13"/>
      <c r="C167" s="13"/>
      <c r="D167" s="13"/>
      <c r="E167" s="13"/>
      <c r="F167" s="13"/>
      <c r="G167" s="13"/>
      <c r="I167" s="13" t="s">
        <v>386</v>
      </c>
      <c r="J167" s="13"/>
      <c r="K167" s="13"/>
      <c r="L167" s="13"/>
      <c r="M167" s="13"/>
      <c r="N167" s="13"/>
      <c r="O167" s="13"/>
    </row>
    <row r="168">
      <c r="A168" s="17" t="s">
        <v>331</v>
      </c>
      <c r="D168" s="14" t="s">
        <v>332</v>
      </c>
      <c r="G168" s="16" t="s">
        <v>333</v>
      </c>
      <c r="I168" s="17" t="s">
        <v>331</v>
      </c>
      <c r="L168" s="14" t="s">
        <v>332</v>
      </c>
      <c r="O168" s="16" t="s">
        <v>333</v>
      </c>
    </row>
    <row r="169">
      <c r="A169" s="14" t="str">
        <f>CONCATENATE("M 11 ",G86)</f>
      </c>
      <c r="B169" s="18"/>
      <c r="C169" s="18"/>
      <c r="D169" s="18"/>
      <c r="E169" s="18"/>
      <c r="F169" s="18"/>
      <c r="G169" s="14" t="str">
        <f>CONCATENATE("M 10 ",G78)</f>
      </c>
      <c r="I169" s="14" t="str">
        <f>CONCATENATE("M 26 ",O86)</f>
      </c>
      <c r="J169" s="18"/>
      <c r="K169" s="18"/>
      <c r="L169" s="18"/>
      <c r="M169" s="18"/>
      <c r="N169" s="18"/>
      <c r="O169" s="14" t="str">
        <f>CONCATENATE("M 25 ",O78)</f>
      </c>
    </row>
    <row r="171">
      <c r="F171" t="s">
        <v>342</v>
      </c>
      <c r="G171" s="19"/>
      <c r="N171" t="s">
        <v>342</v>
      </c>
      <c r="O171" s="19"/>
    </row>
    <row r="172">
      <c r="F172" t="s">
        <v>343</v>
      </c>
      <c r="G172" s="19"/>
      <c r="N172" t="s">
        <v>343</v>
      </c>
      <c r="O172" s="19"/>
    </row>
    <row r="175">
      <c r="A175" s="13" t="s">
        <v>387</v>
      </c>
      <c r="B175" s="13"/>
      <c r="C175" s="13"/>
      <c r="D175" s="13"/>
      <c r="E175" s="13"/>
      <c r="F175" s="13"/>
      <c r="G175" s="13"/>
      <c r="I175" s="13" t="s">
        <v>388</v>
      </c>
      <c r="J175" s="13"/>
      <c r="K175" s="13"/>
      <c r="L175" s="13"/>
      <c r="M175" s="13"/>
      <c r="N175" s="13"/>
      <c r="O175" s="13"/>
    </row>
    <row r="176">
      <c r="A176" s="17" t="s">
        <v>331</v>
      </c>
      <c r="D176" s="14" t="s">
        <v>332</v>
      </c>
      <c r="G176" s="16" t="s">
        <v>333</v>
      </c>
      <c r="I176" s="17" t="s">
        <v>331</v>
      </c>
      <c r="L176" s="14" t="s">
        <v>332</v>
      </c>
      <c r="O176" s="16" t="s">
        <v>333</v>
      </c>
    </row>
    <row r="177">
      <c r="A177" s="14" t="str">
        <f>CONCATENATE("M 13 ",G102)</f>
      </c>
      <c r="B177" s="18"/>
      <c r="C177" s="18"/>
      <c r="D177" s="18"/>
      <c r="E177" s="18"/>
      <c r="F177" s="18"/>
      <c r="G177" s="14" t="str">
        <f>CONCATENATE("M 12 ",G94)</f>
      </c>
      <c r="I177" s="14" t="str">
        <f>CONCATENATE("M 28 ",O102)</f>
      </c>
      <c r="J177" s="18"/>
      <c r="K177" s="18"/>
      <c r="L177" s="18"/>
      <c r="M177" s="18"/>
      <c r="N177" s="18"/>
      <c r="O177" s="14" t="str">
        <f>CONCATENATE("M 27 ",O94)</f>
      </c>
    </row>
    <row r="179">
      <c r="F179" t="s">
        <v>342</v>
      </c>
      <c r="G179" s="19"/>
      <c r="N179" t="s">
        <v>342</v>
      </c>
      <c r="O179" s="19"/>
    </row>
    <row r="180">
      <c r="F180" t="s">
        <v>343</v>
      </c>
      <c r="G180" s="19"/>
      <c r="N180" t="s">
        <v>343</v>
      </c>
      <c r="O180" s="19"/>
    </row>
    <row r="183">
      <c r="A183" s="13" t="s">
        <v>389</v>
      </c>
      <c r="B183" s="13"/>
      <c r="C183" s="13"/>
      <c r="D183" s="13"/>
      <c r="E183" s="13"/>
      <c r="F183" s="13"/>
      <c r="G183" s="13"/>
      <c r="I183" s="13" t="s">
        <v>390</v>
      </c>
      <c r="J183" s="13"/>
      <c r="K183" s="13"/>
      <c r="L183" s="13"/>
      <c r="M183" s="13"/>
      <c r="N183" s="13"/>
      <c r="O183" s="13"/>
    </row>
    <row r="184">
      <c r="A184" s="17" t="s">
        <v>331</v>
      </c>
      <c r="D184" s="14" t="s">
        <v>332</v>
      </c>
      <c r="G184" s="16" t="s">
        <v>333</v>
      </c>
      <c r="I184" s="17" t="s">
        <v>331</v>
      </c>
      <c r="L184" s="14" t="s">
        <v>332</v>
      </c>
      <c r="O184" s="16" t="s">
        <v>333</v>
      </c>
    </row>
    <row r="185">
      <c r="A185" s="14" t="str">
        <f>CONCATENATE("M 15 ",G118)</f>
      </c>
      <c r="B185" s="18"/>
      <c r="C185" s="18"/>
      <c r="D185" s="18"/>
      <c r="E185" s="18"/>
      <c r="F185" s="18"/>
      <c r="G185" s="14" t="str">
        <f>CONCATENATE("M 14 ",G110)</f>
      </c>
      <c r="I185" s="14" t="str">
        <f>CONCATENATE("M 30 ",O118)</f>
      </c>
      <c r="J185" s="18"/>
      <c r="K185" s="18"/>
      <c r="L185" s="18"/>
      <c r="M185" s="18"/>
      <c r="N185" s="18"/>
      <c r="O185" s="14" t="str">
        <f>CONCATENATE("M 29 ",O110)</f>
      </c>
    </row>
    <row r="187">
      <c r="F187" t="s">
        <v>342</v>
      </c>
      <c r="G187" s="19"/>
      <c r="N187" t="s">
        <v>342</v>
      </c>
      <c r="O187" s="19"/>
    </row>
    <row r="188">
      <c r="F188" t="s">
        <v>343</v>
      </c>
      <c r="G188" s="19"/>
      <c r="N188" t="s">
        <v>343</v>
      </c>
      <c r="O188" s="19"/>
    </row>
    <row r="196">
      <c r="A196" s="13" t="s">
        <v>391</v>
      </c>
      <c r="B196" s="13"/>
      <c r="C196" s="13"/>
      <c r="D196" s="13"/>
      <c r="E196" s="13"/>
      <c r="F196" s="13"/>
      <c r="G196" s="13"/>
      <c r="I196" s="13" t="s">
        <v>392</v>
      </c>
      <c r="J196" s="13"/>
      <c r="K196" s="13"/>
      <c r="L196" s="13"/>
      <c r="M196" s="13"/>
      <c r="N196" s="13"/>
      <c r="O196" s="13"/>
    </row>
    <row r="197">
      <c r="A197" s="17" t="s">
        <v>331</v>
      </c>
      <c r="D197" s="14" t="s">
        <v>332</v>
      </c>
      <c r="G197" s="16" t="s">
        <v>333</v>
      </c>
      <c r="I197" s="17" t="s">
        <v>331</v>
      </c>
      <c r="L197" s="14" t="s">
        <v>332</v>
      </c>
      <c r="O197" s="16" t="s">
        <v>333</v>
      </c>
    </row>
    <row r="198">
      <c r="A198" s="14" t="str">
        <f>CONCATENATE("M 32 ",G139)</f>
      </c>
      <c r="B198" s="18"/>
      <c r="C198" s="18"/>
      <c r="D198" s="18"/>
      <c r="E198" s="18"/>
      <c r="F198" s="18"/>
      <c r="G198" s="14" t="str">
        <f>CONCATENATE("M 31 ",G131)</f>
      </c>
      <c r="I198" s="14" t="str">
        <f>CONCATENATE("M 40 ",O139)</f>
      </c>
      <c r="J198" s="18"/>
      <c r="K198" s="18"/>
      <c r="L198" s="18"/>
      <c r="M198" s="18"/>
      <c r="N198" s="18"/>
      <c r="O198" s="14" t="str">
        <f>CONCATENATE("M 39 ",O131)</f>
      </c>
    </row>
    <row r="200">
      <c r="F200" t="s">
        <v>342</v>
      </c>
      <c r="G200" s="19"/>
      <c r="N200" t="s">
        <v>342</v>
      </c>
      <c r="O200" s="19"/>
    </row>
    <row r="201">
      <c r="F201" t="s">
        <v>343</v>
      </c>
      <c r="G201" s="19"/>
      <c r="N201" t="s">
        <v>343</v>
      </c>
      <c r="O201" s="19"/>
    </row>
    <row r="204">
      <c r="A204" s="13" t="s">
        <v>393</v>
      </c>
      <c r="B204" s="13"/>
      <c r="C204" s="13"/>
      <c r="D204" s="13"/>
      <c r="E204" s="13"/>
      <c r="F204" s="13"/>
      <c r="G204" s="13"/>
      <c r="I204" s="13" t="s">
        <v>394</v>
      </c>
      <c r="J204" s="13"/>
      <c r="K204" s="13"/>
      <c r="L204" s="13"/>
      <c r="M204" s="13"/>
      <c r="N204" s="13"/>
      <c r="O204" s="13"/>
    </row>
    <row r="205">
      <c r="A205" s="17" t="s">
        <v>331</v>
      </c>
      <c r="D205" s="14" t="s">
        <v>332</v>
      </c>
      <c r="G205" s="16" t="s">
        <v>333</v>
      </c>
      <c r="I205" s="17" t="s">
        <v>331</v>
      </c>
      <c r="L205" s="14" t="s">
        <v>332</v>
      </c>
      <c r="O205" s="16" t="s">
        <v>333</v>
      </c>
    </row>
    <row r="206">
      <c r="A206" s="14" t="str">
        <f>CONCATENATE("M 34 ",G155)</f>
      </c>
      <c r="B206" s="18"/>
      <c r="C206" s="18"/>
      <c r="D206" s="18"/>
      <c r="E206" s="18"/>
      <c r="F206" s="18"/>
      <c r="G206" s="14" t="str">
        <f>CONCATENATE("M 33 ",G147)</f>
      </c>
      <c r="I206" s="14" t="str">
        <f>CONCATENATE("M 42 ",O155)</f>
      </c>
      <c r="J206" s="18"/>
      <c r="K206" s="18"/>
      <c r="L206" s="18"/>
      <c r="M206" s="18"/>
      <c r="N206" s="18"/>
      <c r="O206" s="14" t="str">
        <f>CONCATENATE("M 41 ",O147)</f>
      </c>
    </row>
    <row r="208">
      <c r="F208" t="s">
        <v>342</v>
      </c>
      <c r="G208" s="19"/>
      <c r="N208" t="s">
        <v>342</v>
      </c>
      <c r="O208" s="19"/>
    </row>
    <row r="209">
      <c r="F209" t="s">
        <v>343</v>
      </c>
      <c r="G209" s="19"/>
      <c r="N209" t="s">
        <v>343</v>
      </c>
      <c r="O209" s="19"/>
    </row>
    <row r="212">
      <c r="A212" s="13" t="s">
        <v>395</v>
      </c>
      <c r="B212" s="13"/>
      <c r="C212" s="13"/>
      <c r="D212" s="13"/>
      <c r="E212" s="13"/>
      <c r="F212" s="13"/>
      <c r="G212" s="13"/>
      <c r="I212" s="13" t="s">
        <v>396</v>
      </c>
      <c r="J212" s="13"/>
      <c r="K212" s="13"/>
      <c r="L212" s="13"/>
      <c r="M212" s="13"/>
      <c r="N212" s="13"/>
      <c r="O212" s="13"/>
    </row>
    <row r="213">
      <c r="A213" s="17" t="s">
        <v>331</v>
      </c>
      <c r="D213" s="14" t="s">
        <v>332</v>
      </c>
      <c r="G213" s="16" t="s">
        <v>333</v>
      </c>
      <c r="I213" s="17" t="s">
        <v>331</v>
      </c>
      <c r="L213" s="14" t="s">
        <v>332</v>
      </c>
      <c r="O213" s="16" t="s">
        <v>333</v>
      </c>
    </row>
    <row r="214">
      <c r="A214" s="14" t="str">
        <f>CONCATENATE("M 36 ",G171)</f>
      </c>
      <c r="B214" s="18"/>
      <c r="C214" s="18"/>
      <c r="D214" s="18"/>
      <c r="E214" s="18"/>
      <c r="F214" s="18"/>
      <c r="G214" s="14" t="str">
        <f>CONCATENATE("M 35 ",G163)</f>
      </c>
      <c r="I214" s="14" t="str">
        <f>CONCATENATE("M 44 ",O171)</f>
      </c>
      <c r="J214" s="18"/>
      <c r="K214" s="18"/>
      <c r="L214" s="18"/>
      <c r="M214" s="18"/>
      <c r="N214" s="18"/>
      <c r="O214" s="14" t="str">
        <f>CONCATENATE("M 43 ",O163)</f>
      </c>
    </row>
    <row r="216">
      <c r="F216" t="s">
        <v>342</v>
      </c>
      <c r="G216" s="19"/>
      <c r="N216" t="s">
        <v>342</v>
      </c>
      <c r="O216" s="19"/>
    </row>
    <row r="217">
      <c r="F217" t="s">
        <v>343</v>
      </c>
      <c r="G217" s="19"/>
      <c r="N217" t="s">
        <v>343</v>
      </c>
      <c r="O217" s="19"/>
    </row>
    <row r="220">
      <c r="A220" s="13" t="s">
        <v>397</v>
      </c>
      <c r="B220" s="13"/>
      <c r="C220" s="13"/>
      <c r="D220" s="13"/>
      <c r="E220" s="13"/>
      <c r="F220" s="13"/>
      <c r="G220" s="13"/>
      <c r="I220" s="13" t="s">
        <v>398</v>
      </c>
      <c r="J220" s="13"/>
      <c r="K220" s="13"/>
      <c r="L220" s="13"/>
      <c r="M220" s="13"/>
      <c r="N220" s="13"/>
      <c r="O220" s="13"/>
    </row>
    <row r="221">
      <c r="A221" s="17" t="s">
        <v>331</v>
      </c>
      <c r="D221" s="14" t="s">
        <v>332</v>
      </c>
      <c r="G221" s="16" t="s">
        <v>333</v>
      </c>
      <c r="I221" s="17" t="s">
        <v>331</v>
      </c>
      <c r="L221" s="14" t="s">
        <v>332</v>
      </c>
      <c r="O221" s="16" t="s">
        <v>333</v>
      </c>
    </row>
    <row r="222">
      <c r="A222" s="14" t="str">
        <f>CONCATENATE("M 38 ",G187)</f>
      </c>
      <c r="B222" s="18"/>
      <c r="C222" s="18"/>
      <c r="D222" s="18"/>
      <c r="E222" s="18"/>
      <c r="F222" s="18"/>
      <c r="G222" s="14" t="str">
        <f>CONCATENATE("M 37 ",G179)</f>
      </c>
      <c r="I222" s="14" t="str">
        <f>CONCATENATE("M 46 ",O187)</f>
      </c>
      <c r="J222" s="18"/>
      <c r="K222" s="18"/>
      <c r="L222" s="18"/>
      <c r="M222" s="18"/>
      <c r="N222" s="18"/>
      <c r="O222" s="14" t="str">
        <f>CONCATENATE("M 45 ",O179)</f>
      </c>
    </row>
    <row r="224">
      <c r="F224" t="s">
        <v>342</v>
      </c>
      <c r="G224" s="19"/>
      <c r="N224" t="s">
        <v>342</v>
      </c>
      <c r="O224" s="19"/>
    </row>
    <row r="225">
      <c r="F225" t="s">
        <v>343</v>
      </c>
      <c r="G225" s="19"/>
      <c r="N225" t="s">
        <v>343</v>
      </c>
      <c r="O225" s="19"/>
    </row>
    <row r="233">
      <c r="A233" s="13" t="s">
        <v>399</v>
      </c>
      <c r="B233" s="13"/>
      <c r="C233" s="13"/>
      <c r="D233" s="13"/>
      <c r="E233" s="13"/>
      <c r="F233" s="13"/>
      <c r="G233" s="13"/>
      <c r="I233" s="13" t="s">
        <v>400</v>
      </c>
      <c r="J233" s="13"/>
      <c r="K233" s="13"/>
      <c r="L233" s="13"/>
      <c r="M233" s="13"/>
      <c r="N233" s="13"/>
      <c r="O233" s="13"/>
    </row>
    <row r="234">
      <c r="A234" s="17" t="s">
        <v>331</v>
      </c>
      <c r="D234" s="14" t="s">
        <v>332</v>
      </c>
      <c r="G234" s="16" t="s">
        <v>333</v>
      </c>
      <c r="I234" s="17" t="s">
        <v>331</v>
      </c>
      <c r="L234" s="14" t="s">
        <v>332</v>
      </c>
      <c r="O234" s="16" t="s">
        <v>333</v>
      </c>
    </row>
    <row r="235">
      <c r="A235" s="14" t="str">
        <f>CONCATENATE("M 48 ",G208)</f>
      </c>
      <c r="B235" s="18"/>
      <c r="C235" s="18"/>
      <c r="D235" s="18"/>
      <c r="E235" s="18"/>
      <c r="F235" s="18"/>
      <c r="G235" s="14" t="str">
        <f>CONCATENATE("M 47 ",G200)</f>
      </c>
      <c r="I235" s="14" t="str">
        <f>CONCATENATE("M 52 ",O208)</f>
      </c>
      <c r="J235" s="18"/>
      <c r="K235" s="18"/>
      <c r="L235" s="18"/>
      <c r="M235" s="18"/>
      <c r="N235" s="18"/>
      <c r="O235" s="14" t="str">
        <f>CONCATENATE("M 51 ",O200)</f>
      </c>
    </row>
    <row r="237">
      <c r="F237" t="s">
        <v>342</v>
      </c>
      <c r="G237" s="19"/>
      <c r="N237" t="s">
        <v>342</v>
      </c>
      <c r="O237" s="19"/>
    </row>
    <row r="238">
      <c r="F238" t="s">
        <v>343</v>
      </c>
      <c r="G238" s="19"/>
      <c r="N238" t="s">
        <v>343</v>
      </c>
      <c r="O238" s="19"/>
    </row>
    <row r="241">
      <c r="A241" s="13" t="s">
        <v>401</v>
      </c>
      <c r="B241" s="13"/>
      <c r="C241" s="13"/>
      <c r="D241" s="13"/>
      <c r="E241" s="13"/>
      <c r="F241" s="13"/>
      <c r="G241" s="13"/>
      <c r="I241" s="13" t="s">
        <v>402</v>
      </c>
      <c r="J241" s="13"/>
      <c r="K241" s="13"/>
      <c r="L241" s="13"/>
      <c r="M241" s="13"/>
      <c r="N241" s="13"/>
      <c r="O241" s="13"/>
    </row>
    <row r="242">
      <c r="A242" s="17" t="s">
        <v>331</v>
      </c>
      <c r="D242" s="14" t="s">
        <v>332</v>
      </c>
      <c r="G242" s="16" t="s">
        <v>333</v>
      </c>
      <c r="I242" s="17" t="s">
        <v>331</v>
      </c>
      <c r="L242" s="14" t="s">
        <v>332</v>
      </c>
      <c r="O242" s="16" t="s">
        <v>333</v>
      </c>
    </row>
    <row r="243">
      <c r="A243" s="14" t="str">
        <f>CONCATENATE("M 50 ",G224)</f>
      </c>
      <c r="B243" s="18"/>
      <c r="C243" s="18"/>
      <c r="D243" s="18"/>
      <c r="E243" s="18"/>
      <c r="F243" s="18"/>
      <c r="G243" s="14" t="str">
        <f>CONCATENATE("M 49 ",G216)</f>
      </c>
      <c r="I243" s="14" t="str">
        <f>CONCATENATE("M 54 ",O224)</f>
      </c>
      <c r="J243" s="18"/>
      <c r="K243" s="18"/>
      <c r="L243" s="18"/>
      <c r="M243" s="18"/>
      <c r="N243" s="18"/>
      <c r="O243" s="14" t="str">
        <f>CONCATENATE("M 53 ",O216)</f>
      </c>
    </row>
    <row r="245">
      <c r="F245" t="s">
        <v>342</v>
      </c>
      <c r="G245" s="19"/>
      <c r="N245" t="s">
        <v>342</v>
      </c>
      <c r="O245" s="19"/>
    </row>
    <row r="246">
      <c r="F246" t="s">
        <v>343</v>
      </c>
      <c r="G246" s="19"/>
      <c r="N246" t="s">
        <v>343</v>
      </c>
      <c r="O246" s="19"/>
    </row>
    <row r="254">
      <c r="A254" s="13" t="s">
        <v>403</v>
      </c>
      <c r="B254" s="13"/>
      <c r="C254" s="13"/>
      <c r="D254" s="13"/>
      <c r="E254" s="13"/>
      <c r="F254" s="13"/>
      <c r="G254" s="13"/>
      <c r="I254" s="13" t="s">
        <v>404</v>
      </c>
      <c r="J254" s="13"/>
      <c r="K254" s="13"/>
      <c r="L254" s="13"/>
      <c r="M254" s="13"/>
      <c r="N254" s="13"/>
      <c r="O254" s="13"/>
    </row>
    <row r="255">
      <c r="A255" s="17" t="s">
        <v>331</v>
      </c>
      <c r="D255" s="14" t="s">
        <v>332</v>
      </c>
      <c r="G255" s="16" t="s">
        <v>333</v>
      </c>
      <c r="I255" s="17" t="s">
        <v>331</v>
      </c>
      <c r="L255" s="14" t="s">
        <v>332</v>
      </c>
      <c r="O255" s="16" t="s">
        <v>333</v>
      </c>
    </row>
    <row r="256">
      <c r="A256" s="14" t="str">
        <f>CONCATENATE("M 56 ",G245)</f>
      </c>
      <c r="B256" s="18"/>
      <c r="C256" s="18"/>
      <c r="D256" s="18"/>
      <c r="E256" s="18"/>
      <c r="F256" s="18"/>
      <c r="G256" s="14" t="str">
        <f>CONCATENATE("M 55 ",G237)</f>
      </c>
      <c r="I256" s="14" t="str">
        <f>CONCATENATE("M 58 ",O245)</f>
      </c>
      <c r="J256" s="18"/>
      <c r="K256" s="18"/>
      <c r="L256" s="18"/>
      <c r="M256" s="18"/>
      <c r="N256" s="18"/>
      <c r="O256" s="14" t="str">
        <f>CONCATENATE("M 57 ",O237)</f>
      </c>
    </row>
    <row r="258">
      <c r="F258" t="s">
        <v>342</v>
      </c>
      <c r="G258" s="19"/>
      <c r="N258" t="s">
        <v>342</v>
      </c>
      <c r="O258" s="19"/>
    </row>
    <row r="259">
      <c r="F259" t="s">
        <v>343</v>
      </c>
      <c r="G259" s="19"/>
      <c r="N259" t="s">
        <v>343</v>
      </c>
      <c r="O259" s="19"/>
    </row>
    <row r="267">
      <c r="A267" s="13" t="s">
        <v>405</v>
      </c>
      <c r="B267" s="13"/>
      <c r="C267" s="13"/>
      <c r="D267" s="13"/>
      <c r="E267" s="13"/>
      <c r="F267" s="13"/>
      <c r="G267" s="13"/>
    </row>
    <row r="268">
      <c r="A268" s="17" t="s">
        <v>331</v>
      </c>
      <c r="D268" s="14" t="s">
        <v>332</v>
      </c>
      <c r="G268" s="16" t="s">
        <v>333</v>
      </c>
    </row>
    <row r="269">
      <c r="A269" s="14" t="str">
        <f>CONCATENATE("M 60 ",O258)</f>
      </c>
      <c r="B269" s="18"/>
      <c r="C269" s="18"/>
      <c r="D269" s="18"/>
      <c r="E269" s="18"/>
      <c r="F269" s="18"/>
      <c r="G269" s="14" t="str">
        <f>CONCATENATE("M 59 ",G258)</f>
      </c>
    </row>
    <row r="271">
      <c r="F271" t="s">
        <v>342</v>
      </c>
      <c r="G271" s="19"/>
    </row>
    <row r="272">
      <c r="F272" t="s">
        <v>343</v>
      </c>
      <c r="G272" s="19"/>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63">
    <mergeCell ref="A1:G1"/>
    <mergeCell ref="I1:O1"/>
    <mergeCell ref="A2:G2"/>
    <mergeCell ref="I2:O2"/>
    <mergeCell ref="A10:G10"/>
    <mergeCell ref="I10:O10"/>
    <mergeCell ref="A18:G18"/>
    <mergeCell ref="I18:O18"/>
    <mergeCell ref="A26:G26"/>
    <mergeCell ref="I26:O26"/>
    <mergeCell ref="A34:G34"/>
    <mergeCell ref="I34:O34"/>
    <mergeCell ref="A42:G42"/>
    <mergeCell ref="I42:O42"/>
    <mergeCell ref="A50:G50"/>
    <mergeCell ref="I50:O50"/>
    <mergeCell ref="A58:G58"/>
    <mergeCell ref="I58:O58"/>
    <mergeCell ref="A66:G66"/>
    <mergeCell ref="I66:O66"/>
    <mergeCell ref="A74:G74"/>
    <mergeCell ref="I74:O74"/>
    <mergeCell ref="A82:G82"/>
    <mergeCell ref="I82:O82"/>
    <mergeCell ref="A90:G90"/>
    <mergeCell ref="I90:O90"/>
    <mergeCell ref="A98:G98"/>
    <mergeCell ref="I98:O98"/>
    <mergeCell ref="A106:G106"/>
    <mergeCell ref="I106:O106"/>
    <mergeCell ref="A114:G114"/>
    <mergeCell ref="I114:O114"/>
    <mergeCell ref="A127:G127"/>
    <mergeCell ref="I127:O127"/>
    <mergeCell ref="A135:G135"/>
    <mergeCell ref="I135:O135"/>
    <mergeCell ref="A143:G143"/>
    <mergeCell ref="I143:O143"/>
    <mergeCell ref="A151:G151"/>
    <mergeCell ref="I151:O151"/>
    <mergeCell ref="A159:G159"/>
    <mergeCell ref="I159:O159"/>
    <mergeCell ref="A167:G167"/>
    <mergeCell ref="I167:O167"/>
    <mergeCell ref="A175:G175"/>
    <mergeCell ref="I175:O175"/>
    <mergeCell ref="A183:G183"/>
    <mergeCell ref="I183:O183"/>
    <mergeCell ref="A196:G196"/>
    <mergeCell ref="I196:O196"/>
    <mergeCell ref="A204:G204"/>
    <mergeCell ref="I204:O204"/>
    <mergeCell ref="A212:G212"/>
    <mergeCell ref="I212:O212"/>
    <mergeCell ref="A220:G220"/>
    <mergeCell ref="I220:O220"/>
    <mergeCell ref="A233:G233"/>
    <mergeCell ref="I233:O233"/>
    <mergeCell ref="A241:G241"/>
    <mergeCell ref="I241:O241"/>
    <mergeCell ref="A254:G254"/>
    <mergeCell ref="I254:O254"/>
    <mergeCell ref="A267:G267"/>
  </mergeCells>
  <printOptions horizontalCentered="true" verticalCentered="true"/>
  <pageSetup fitToHeight="0" fitToWidth="2" orientation="portrait" pageOrder="downThenOver" paperSize="9"/>
  <rowBreaks count="6" manualBreakCount="6">
    <brk id="41" max="16383" man="true"/>
    <brk id="81" max="16383" man="true"/>
    <brk id="126" max="16383" man="true"/>
    <brk id="166" max="16383" man="true"/>
    <brk id="203" max="16383" man="true"/>
    <brk id="240" max="16383" man="true"/>
  </rowBreaks>
  <colBreaks count="1" manualBreakCount="1">
    <brk id="8" max="1048575" man="true"/>
  </colBreaks>
</worksheet>
</file>

<file path=xl/worksheets/sheet8.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3" t="str">
        <f>IF(data!$B$1="","Shiaijo A",data!$B$1&amp;" - Shiaijo A")</f>
      </c>
      <c r="B1" s="13"/>
      <c r="C1" s="13"/>
      <c r="D1" s="13"/>
      <c r="E1" s="13"/>
      <c r="F1" s="13"/>
      <c r="G1" s="13"/>
      <c r="H1" s="13"/>
      <c r="I1" s="13"/>
      <c r="J1" s="13"/>
      <c r="K1" s="13"/>
    </row>
    <row r="4">
      <c r="A4" s="24" t="str">
        <f>'data'!$A$5</f>
      </c>
    </row>
    <row r="5">
      <c r="A5" s="25" t="str">
        <f>data!$E$3&amp;" "&amp;data!$B$3</f>
      </c>
      <c r="C5" s="23" t="str">
        <f>CONCATENATE("Pool A-1st ",'Pool Matches'!G15)</f>
      </c>
    </row>
    <row r="6">
      <c r="A6" s="26" t="str">
        <f>data!$E$4&amp;" "&amp;data!$B$4</f>
      </c>
      <c r="D6" s="22"/>
      <c r="E6" s="21">
        <v>1</v>
      </c>
    </row>
    <row r="7">
      <c r="A7" s="27" t="str">
        <f>data!$E$5&amp;" "&amp;data!$B$5</f>
      </c>
      <c r="C7" s="23" t="str">
        <f>CONCATENATE("Pool Q-2nd ",'Pool Matches'!O16)</f>
      </c>
      <c r="D7" s="15"/>
      <c r="E7" s="20"/>
      <c r="F7" s="22"/>
      <c r="G7" s="20"/>
    </row>
    <row r="8">
      <c r="A8" s="22"/>
      <c r="G8" s="21">
        <v>31</v>
      </c>
    </row>
    <row r="9">
      <c r="A9" s="24" t="str">
        <f>'data'!$A$8</f>
      </c>
      <c r="C9" s="23" t="str">
        <f>CONCATENATE("Pool B-1st ",'Pool Matches'!G32)</f>
      </c>
      <c r="G9" s="20"/>
      <c r="H9" s="22"/>
      <c r="I9" s="20"/>
    </row>
    <row r="10">
      <c r="A10" s="25" t="str">
        <f>data!$E$6&amp;" "&amp;data!$B$6</f>
      </c>
      <c r="D10" s="22"/>
      <c r="E10" s="21">
        <v>2</v>
      </c>
      <c r="F10" s="15"/>
      <c r="G10" s="20"/>
      <c r="I10" s="20"/>
    </row>
    <row r="11">
      <c r="A11" s="26" t="str">
        <f>data!$E$7&amp;" "&amp;data!$B$7</f>
      </c>
      <c r="C11" s="23" t="str">
        <f>CONCATENATE("Pool R-2nd ",'Pool Matches'!O33)</f>
      </c>
      <c r="D11" s="15"/>
      <c r="E11" s="20"/>
      <c r="I11" s="20"/>
    </row>
    <row r="12">
      <c r="A12" s="27" t="str">
        <f>data!$E$8&amp;" "&amp;data!$B$8</f>
      </c>
      <c r="I12" s="21">
        <v>47</v>
      </c>
    </row>
    <row r="13">
      <c r="A13" s="22"/>
      <c r="C13" s="23" t="str">
        <f>CONCATENATE("Pool C-1st ",'Pool Matches'!G49)</f>
      </c>
      <c r="I13" s="20"/>
      <c r="J13" s="22"/>
      <c r="K13" s="20"/>
    </row>
    <row r="14">
      <c r="A14" s="24" t="str">
        <f>'data'!$A$11</f>
      </c>
      <c r="D14" s="22"/>
      <c r="E14" s="21">
        <v>3</v>
      </c>
      <c r="I14" s="20"/>
      <c r="K14" s="20"/>
    </row>
    <row r="15">
      <c r="A15" s="25" t="str">
        <f>data!$E$9&amp;" "&amp;data!$B$9</f>
      </c>
      <c r="C15" s="23" t="str">
        <f>CONCATENATE("Pool S-2nd ",'Pool Matches'!O50)</f>
      </c>
      <c r="D15" s="15"/>
      <c r="E15" s="20"/>
      <c r="F15" s="22"/>
      <c r="G15" s="20"/>
      <c r="I15" s="20"/>
      <c r="K15" s="20"/>
    </row>
    <row r="16">
      <c r="A16" s="26" t="str">
        <f>data!$E$10&amp;" "&amp;data!$B$10</f>
      </c>
      <c r="G16" s="21">
        <v>32</v>
      </c>
      <c r="H16" s="15"/>
      <c r="I16" s="20"/>
      <c r="K16" s="20"/>
    </row>
    <row r="17">
      <c r="A17" s="27" t="str">
        <f>data!$E$11&amp;" "&amp;data!$B$11</f>
      </c>
      <c r="C17" s="23" t="str">
        <f>CONCATENATE("Pool D-1st ",'Pool Matches'!G66)</f>
      </c>
      <c r="G17" s="20"/>
      <c r="K17" s="20"/>
    </row>
    <row r="18">
      <c r="A18" s="22"/>
      <c r="D18" s="22"/>
      <c r="E18" s="21">
        <v>4</v>
      </c>
      <c r="F18" s="15"/>
      <c r="G18" s="20"/>
      <c r="K18" s="20"/>
    </row>
    <row r="19">
      <c r="A19" s="24" t="str">
        <f>'data'!$A$14</f>
      </c>
      <c r="C19" s="23" t="str">
        <f>CONCATENATE("Pool T-2nd ",'Pool Matches'!O67)</f>
      </c>
      <c r="D19" s="15"/>
      <c r="E19" s="20"/>
      <c r="K19" s="20"/>
    </row>
    <row r="20">
      <c r="A20" s="25" t="str">
        <f>data!$E$12&amp;" "&amp;data!$B$12</f>
      </c>
      <c r="K20" s="21">
        <v>55</v>
      </c>
    </row>
    <row r="21">
      <c r="A21" s="26" t="str">
        <f>data!$E$13&amp;" "&amp;data!$B$13</f>
      </c>
      <c r="C21" s="23" t="str">
        <f>CONCATENATE("Pool E-1st ",'Pool Matches'!G83)</f>
      </c>
      <c r="K21" s="20"/>
    </row>
    <row r="22">
      <c r="A22" s="27" t="str">
        <f>data!$E$14&amp;" "&amp;data!$B$14</f>
      </c>
      <c r="D22" s="22"/>
      <c r="E22" s="21">
        <v>5</v>
      </c>
      <c r="K22" s="20"/>
    </row>
    <row r="23">
      <c r="A23" s="22"/>
      <c r="C23" s="23" t="str">
        <f>CONCATENATE("Pool U-2nd ",'Pool Matches'!O84)</f>
      </c>
      <c r="D23" s="15"/>
      <c r="E23" s="20"/>
      <c r="F23" s="22"/>
      <c r="G23" s="20"/>
      <c r="K23" s="20"/>
    </row>
    <row r="24">
      <c r="A24" s="24" t="str">
        <f>'data'!$A$17</f>
      </c>
      <c r="G24" s="21">
        <v>33</v>
      </c>
      <c r="K24" s="20"/>
    </row>
    <row r="25">
      <c r="A25" s="25" t="str">
        <f>data!$E$15&amp;" "&amp;data!$B$15</f>
      </c>
      <c r="C25" s="23" t="str">
        <f>CONCATENATE("Pool F-1st ",'Pool Matches'!G100)</f>
      </c>
      <c r="G25" s="20"/>
      <c r="H25" s="22"/>
      <c r="I25" s="20"/>
      <c r="K25" s="20"/>
    </row>
    <row r="26">
      <c r="A26" s="26" t="str">
        <f>data!$E$16&amp;" "&amp;data!$B$16</f>
      </c>
      <c r="D26" s="22"/>
      <c r="E26" s="21">
        <v>6</v>
      </c>
      <c r="F26" s="15"/>
      <c r="G26" s="20"/>
      <c r="I26" s="20"/>
      <c r="K26" s="20"/>
    </row>
    <row r="27">
      <c r="A27" s="27" t="str">
        <f>data!$E$17&amp;" "&amp;data!$B$17</f>
      </c>
      <c r="C27" s="23" t="str">
        <f>CONCATENATE("Pool V-2nd ",'Pool Matches'!O101)</f>
      </c>
      <c r="D27" s="15"/>
      <c r="E27" s="20"/>
      <c r="I27" s="20"/>
      <c r="K27" s="20"/>
    </row>
    <row r="28">
      <c r="A28" s="22"/>
      <c r="I28" s="21">
        <v>48</v>
      </c>
      <c r="J28" s="15"/>
      <c r="K28" s="20"/>
    </row>
    <row r="29">
      <c r="A29" s="24" t="str">
        <f>'data'!$A$20</f>
      </c>
      <c r="C29" s="23" t="str">
        <f>CONCATENATE("Pool G-1st ",'Pool Matches'!G117)</f>
      </c>
      <c r="I29" s="20"/>
    </row>
    <row r="30">
      <c r="A30" s="25" t="str">
        <f>data!$E$18&amp;" "&amp;data!$B$18</f>
      </c>
      <c r="D30" s="22"/>
      <c r="E30" s="21">
        <v>7</v>
      </c>
      <c r="I30" s="20"/>
    </row>
    <row r="31">
      <c r="A31" s="26" t="str">
        <f>data!$E$19&amp;" "&amp;data!$B$19</f>
      </c>
      <c r="C31" s="23" t="str">
        <f>CONCATENATE("Pool W-2nd ",'Pool Matches'!O118)</f>
      </c>
      <c r="D31" s="15"/>
      <c r="E31" s="20"/>
      <c r="F31" s="22"/>
      <c r="G31" s="20"/>
      <c r="I31" s="20"/>
    </row>
    <row r="32">
      <c r="A32" s="27" t="str">
        <f>data!$E$20&amp;" "&amp;data!$B$20</f>
      </c>
      <c r="G32" s="21">
        <v>34</v>
      </c>
      <c r="H32" s="15"/>
      <c r="I32" s="20"/>
    </row>
    <row r="33">
      <c r="A33" s="22"/>
      <c r="C33" s="23" t="str">
        <f>CONCATENATE("Pool H-1st ",'Pool Matches'!G134)</f>
      </c>
      <c r="G33" s="20"/>
    </row>
    <row r="34">
      <c r="A34" s="24" t="str">
        <f>'data'!$A$23</f>
      </c>
      <c r="D34" s="22"/>
      <c r="E34" s="21">
        <v>8</v>
      </c>
      <c r="F34" s="15"/>
      <c r="G34" s="20"/>
    </row>
    <row r="35">
      <c r="A35" s="25" t="str">
        <f>data!$E$21&amp;" "&amp;data!$B$21</f>
      </c>
      <c r="C35" s="23" t="str">
        <f>CONCATENATE("Pool X-2nd ",'Pool Matches'!O135)</f>
      </c>
      <c r="D35" s="15"/>
      <c r="E35" s="20"/>
    </row>
    <row r="36">
      <c r="A36" s="26" t="str">
        <f>data!$E$22&amp;" "&amp;data!$B$22</f>
      </c>
    </row>
    <row r="37">
      <c r="A37" s="27" t="str">
        <f>data!$E$23&amp;" "&amp;data!$B$23</f>
      </c>
    </row>
    <row r="38">
      <c r="A38" s="22"/>
    </row>
    <row r="39">
      <c r="A39" s="24" t="str">
        <f>'data'!$A$26</f>
      </c>
    </row>
    <row r="40">
      <c r="A40" s="25" t="str">
        <f>data!$E$24&amp;" "&amp;data!$B$24</f>
      </c>
    </row>
    <row r="41">
      <c r="A41" s="26" t="str">
        <f>data!$E$25&amp;" "&amp;data!$B$25</f>
      </c>
    </row>
    <row r="42">
      <c r="A42" s="27" t="str">
        <f>data!$E$26&amp;" "&amp;data!$B$26</f>
      </c>
    </row>
    <row r="43">
      <c r="A43" s="2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9.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3" t="str">
        <f>IF(data!$B$1="","Shiaijo A",data!$B$1&amp;" - Shiaijo A")</f>
      </c>
      <c r="B1" s="13"/>
      <c r="C1" s="13"/>
      <c r="D1" s="13"/>
      <c r="E1" s="13"/>
      <c r="F1" s="13"/>
      <c r="G1" s="13"/>
      <c r="H1" s="13"/>
      <c r="I1" s="13"/>
      <c r="J1" s="13"/>
      <c r="K1" s="13"/>
    </row>
    <row r="4">
      <c r="A4" s="24" t="str">
        <f>'data'!$A$29</f>
      </c>
    </row>
    <row r="5">
      <c r="A5" s="25" t="str">
        <f>data!$E$27&amp;" "&amp;data!$B$27</f>
      </c>
    </row>
    <row r="6">
      <c r="A6" s="26" t="str">
        <f>data!$E$28&amp;" "&amp;data!$B$28</f>
      </c>
      <c r="C6" s="23"/>
      <c r="D6" s="23"/>
      <c r="E6" s="23" t="str">
        <f>CONCATENATE("Pool I-1st ",'Pool Matches'!G151)</f>
      </c>
    </row>
    <row r="7">
      <c r="A7" s="27" t="str">
        <f>data!$E$29&amp;" "&amp;data!$B$29</f>
      </c>
      <c r="F7" s="22"/>
      <c r="G7" s="20"/>
    </row>
    <row r="8">
      <c r="A8" s="22"/>
      <c r="G8" s="21">
        <v>35</v>
      </c>
    </row>
    <row r="9">
      <c r="A9" s="24" t="str">
        <f>'data'!$A$32</f>
      </c>
      <c r="C9" s="23" t="str">
        <f>CONCATENATE("Pool J-1st ",'Pool Matches'!G168)</f>
      </c>
      <c r="G9" s="20"/>
      <c r="H9" s="22"/>
      <c r="I9" s="20"/>
    </row>
    <row r="10">
      <c r="A10" s="25" t="str">
        <f>data!$E$30&amp;" "&amp;data!$B$30</f>
      </c>
      <c r="D10" s="22"/>
      <c r="E10" s="21">
        <v>9</v>
      </c>
      <c r="F10" s="15"/>
      <c r="G10" s="20"/>
      <c r="I10" s="20"/>
    </row>
    <row r="11">
      <c r="A11" s="26" t="str">
        <f>data!$E$31&amp;" "&amp;data!$B$31</f>
      </c>
      <c r="C11" s="23" t="str">
        <f>CONCATENATE("Pool Y-2nd ",'Pool Matches'!O152)</f>
      </c>
      <c r="D11" s="15"/>
      <c r="E11" s="20"/>
      <c r="I11" s="20"/>
    </row>
    <row r="12">
      <c r="A12" s="27" t="str">
        <f>data!$E$32&amp;" "&amp;data!$B$32</f>
      </c>
      <c r="I12" s="21">
        <v>49</v>
      </c>
    </row>
    <row r="13">
      <c r="A13" s="22"/>
      <c r="C13" s="23" t="str">
        <f>CONCATENATE("Pool K-1st ",'Pool Matches'!G185)</f>
      </c>
      <c r="I13" s="20"/>
      <c r="J13" s="22"/>
      <c r="K13" s="20"/>
    </row>
    <row r="14">
      <c r="A14" s="24" t="str">
        <f>'data'!$A$35</f>
      </c>
      <c r="D14" s="22"/>
      <c r="E14" s="21">
        <v>10</v>
      </c>
      <c r="I14" s="20"/>
      <c r="K14" s="20"/>
    </row>
    <row r="15">
      <c r="A15" s="25" t="str">
        <f>data!$E$33&amp;" "&amp;data!$B$33</f>
      </c>
      <c r="C15" s="23" t="str">
        <f>CONCATENATE("Pool Z-2nd ",'Pool Matches'!O169)</f>
      </c>
      <c r="D15" s="15"/>
      <c r="E15" s="20"/>
      <c r="F15" s="22"/>
      <c r="G15" s="20"/>
      <c r="I15" s="20"/>
      <c r="K15" s="20"/>
    </row>
    <row r="16">
      <c r="A16" s="26" t="str">
        <f>data!$E$34&amp;" "&amp;data!$B$34</f>
      </c>
      <c r="G16" s="21">
        <v>36</v>
      </c>
      <c r="H16" s="15"/>
      <c r="I16" s="20"/>
      <c r="K16" s="20"/>
    </row>
    <row r="17">
      <c r="A17" s="27" t="str">
        <f>data!$E$35&amp;" "&amp;data!$B$35</f>
      </c>
      <c r="C17" s="23" t="str">
        <f>CONCATENATE("Pool L-1st ",'Pool Matches'!G202)</f>
      </c>
      <c r="G17" s="20"/>
      <c r="K17" s="20"/>
    </row>
    <row r="18">
      <c r="A18" s="22"/>
      <c r="D18" s="22"/>
      <c r="E18" s="21">
        <v>11</v>
      </c>
      <c r="F18" s="15"/>
      <c r="G18" s="20"/>
      <c r="K18" s="20"/>
    </row>
    <row r="19">
      <c r="A19" s="24" t="str">
        <f>'data'!$A$38</f>
      </c>
      <c r="C19" s="23" t="str">
        <f>CONCATENATE("Pool AA-2nd ",'Pool Matches'!O186)</f>
      </c>
      <c r="D19" s="15"/>
      <c r="E19" s="20"/>
      <c r="K19" s="20"/>
    </row>
    <row r="20">
      <c r="A20" s="25" t="str">
        <f>data!$E$36&amp;" "&amp;data!$B$36</f>
      </c>
      <c r="K20" s="21">
        <v>56</v>
      </c>
    </row>
    <row r="21">
      <c r="A21" s="26" t="str">
        <f>data!$E$37&amp;" "&amp;data!$B$37</f>
      </c>
      <c r="C21" s="23" t="str">
        <f>CONCATENATE("Pool M-1st ",'Pool Matches'!G219)</f>
      </c>
      <c r="K21" s="20"/>
    </row>
    <row r="22">
      <c r="A22" s="27" t="str">
        <f>data!$E$38&amp;" "&amp;data!$B$38</f>
      </c>
      <c r="D22" s="22"/>
      <c r="E22" s="21">
        <v>12</v>
      </c>
      <c r="K22" s="20"/>
    </row>
    <row r="23">
      <c r="A23" s="22"/>
      <c r="C23" s="23" t="str">
        <f>CONCATENATE("Pool AB-2nd ",'Pool Matches'!O203)</f>
      </c>
      <c r="D23" s="15"/>
      <c r="E23" s="20"/>
      <c r="F23" s="22"/>
      <c r="G23" s="20"/>
      <c r="K23" s="20"/>
    </row>
    <row r="24">
      <c r="A24" s="24" t="str">
        <f>'data'!$A$41</f>
      </c>
      <c r="G24" s="21">
        <v>37</v>
      </c>
      <c r="K24" s="20"/>
    </row>
    <row r="25">
      <c r="A25" s="25" t="str">
        <f>data!$E$39&amp;" "&amp;data!$B$39</f>
      </c>
      <c r="C25" s="23" t="str">
        <f>CONCATENATE("Pool N-1st ",'Pool Matches'!G236)</f>
      </c>
      <c r="G25" s="20"/>
      <c r="H25" s="22"/>
      <c r="I25" s="20"/>
      <c r="K25" s="20"/>
    </row>
    <row r="26">
      <c r="A26" s="26" t="str">
        <f>data!$E$40&amp;" "&amp;data!$B$40</f>
      </c>
      <c r="D26" s="22"/>
      <c r="E26" s="21">
        <v>13</v>
      </c>
      <c r="F26" s="15"/>
      <c r="G26" s="20"/>
      <c r="I26" s="20"/>
      <c r="K26" s="20"/>
    </row>
    <row r="27">
      <c r="A27" s="27" t="str">
        <f>data!$E$41&amp;" "&amp;data!$B$41</f>
      </c>
      <c r="C27" s="23" t="str">
        <f>CONCATENATE("Pool AC-2nd ",'Pool Matches'!O220)</f>
      </c>
      <c r="D27" s="15"/>
      <c r="E27" s="20"/>
      <c r="I27" s="20"/>
      <c r="K27" s="20"/>
    </row>
    <row r="28">
      <c r="A28" s="22"/>
      <c r="I28" s="21">
        <v>50</v>
      </c>
      <c r="J28" s="15"/>
      <c r="K28" s="20"/>
    </row>
    <row r="29">
      <c r="A29" s="24" t="str">
        <f>'data'!$A$44</f>
      </c>
      <c r="C29" s="23" t="str">
        <f>CONCATENATE("Pool O-1st ",'Pool Matches'!G253)</f>
      </c>
      <c r="I29" s="20"/>
    </row>
    <row r="30">
      <c r="A30" s="25" t="str">
        <f>data!$E$42&amp;" "&amp;data!$B$42</f>
      </c>
      <c r="D30" s="22"/>
      <c r="E30" s="21">
        <v>14</v>
      </c>
      <c r="I30" s="20"/>
    </row>
    <row r="31">
      <c r="A31" s="26" t="str">
        <f>data!$E$43&amp;" "&amp;data!$B$43</f>
      </c>
      <c r="C31" s="23" t="str">
        <f>CONCATENATE("Pool AD-2nd ",'Pool Matches'!O237)</f>
      </c>
      <c r="D31" s="15"/>
      <c r="E31" s="20"/>
      <c r="F31" s="22"/>
      <c r="G31" s="20"/>
      <c r="I31" s="20"/>
    </row>
    <row r="32">
      <c r="A32" s="27" t="str">
        <f>data!$E$44&amp;" "&amp;data!$B$44</f>
      </c>
      <c r="G32" s="21">
        <v>38</v>
      </c>
      <c r="H32" s="15"/>
      <c r="I32" s="20"/>
    </row>
    <row r="33">
      <c r="A33" s="22"/>
      <c r="C33" s="23" t="str">
        <f>CONCATENATE("Pool P-1st ",'Pool Matches'!G267)</f>
      </c>
      <c r="G33" s="20"/>
    </row>
    <row r="34">
      <c r="A34" s="24" t="str">
        <f>'data'!$A$47</f>
      </c>
      <c r="D34" s="22"/>
      <c r="E34" s="21">
        <v>15</v>
      </c>
      <c r="F34" s="15"/>
      <c r="G34" s="20"/>
    </row>
    <row r="35">
      <c r="A35" s="25" t="str">
        <f>data!$E$45&amp;" "&amp;data!$B$45</f>
      </c>
      <c r="C35" s="23" t="str">
        <f>CONCATENATE("Pool AE-2nd ",'Pool Matches'!O253)</f>
      </c>
      <c r="D35" s="15"/>
      <c r="E35" s="20"/>
    </row>
    <row r="36">
      <c r="A36" s="26" t="str">
        <f>data!$E$46&amp;" "&amp;data!$B$46</f>
      </c>
    </row>
    <row r="37">
      <c r="A37" s="27" t="str">
        <f>data!$E$47&amp;" "&amp;data!$B$47</f>
      </c>
    </row>
    <row r="38">
      <c r="A38" s="22"/>
    </row>
    <row r="39">
      <c r="A39" s="24" t="str">
        <f>'data'!$A$49</f>
      </c>
    </row>
    <row r="40">
      <c r="A40" s="25" t="str">
        <f>data!$E$48&amp;" "&amp;data!$B$48</f>
      </c>
    </row>
    <row r="41">
      <c r="A41" s="27" t="str">
        <f>data!$E$49&amp;" "&amp;data!$B$49</f>
      </c>
    </row>
    <row r="42">
      <c r="A42" s="2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0.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3" t="str">
        <f>IF(data!$B$1="","Shiaijo B",data!$B$1&amp;" - Shiaijo B")</f>
      </c>
      <c r="B1" s="13"/>
      <c r="C1" s="13"/>
      <c r="D1" s="13"/>
      <c r="E1" s="13"/>
      <c r="F1" s="13"/>
      <c r="G1" s="13"/>
      <c r="H1" s="13"/>
      <c r="I1" s="13"/>
      <c r="J1" s="13"/>
      <c r="K1" s="13"/>
    </row>
    <row r="4">
      <c r="A4" s="24" t="str">
        <f>'data'!$A$52</f>
      </c>
    </row>
    <row r="5">
      <c r="A5" s="25" t="str">
        <f>data!$E$50&amp;" "&amp;data!$B$50</f>
      </c>
      <c r="C5" s="23" t="str">
        <f>CONCATENATE("Pool Q-1st ",'Pool Matches'!O15)</f>
      </c>
    </row>
    <row r="6">
      <c r="A6" s="26" t="str">
        <f>data!$E$51&amp;" "&amp;data!$B$51</f>
      </c>
      <c r="D6" s="22"/>
      <c r="E6" s="21">
        <v>16</v>
      </c>
    </row>
    <row r="7">
      <c r="A7" s="27" t="str">
        <f>data!$E$52&amp;" "&amp;data!$B$52</f>
      </c>
      <c r="C7" s="23" t="str">
        <f>CONCATENATE("Pool A-2nd ",'Pool Matches'!G16)</f>
      </c>
      <c r="D7" s="15"/>
      <c r="E7" s="20"/>
      <c r="F7" s="22"/>
      <c r="G7" s="20"/>
    </row>
    <row r="8">
      <c r="A8" s="22"/>
      <c r="G8" s="21">
        <v>39</v>
      </c>
    </row>
    <row r="9">
      <c r="A9" s="24" t="str">
        <f>'data'!$A$55</f>
      </c>
      <c r="C9" s="23" t="str">
        <f>CONCATENATE("Pool R-1st ",'Pool Matches'!O32)</f>
      </c>
      <c r="G9" s="20"/>
      <c r="H9" s="22"/>
      <c r="I9" s="20"/>
    </row>
    <row r="10">
      <c r="A10" s="25" t="str">
        <f>data!$E$53&amp;" "&amp;data!$B$53</f>
      </c>
      <c r="D10" s="22"/>
      <c r="E10" s="21">
        <v>17</v>
      </c>
      <c r="F10" s="15"/>
      <c r="G10" s="20"/>
      <c r="I10" s="20"/>
    </row>
    <row r="11">
      <c r="A11" s="26" t="str">
        <f>data!$E$54&amp;" "&amp;data!$B$54</f>
      </c>
      <c r="C11" s="23" t="str">
        <f>CONCATENATE("Pool B-2nd ",'Pool Matches'!G33)</f>
      </c>
      <c r="D11" s="15"/>
      <c r="E11" s="20"/>
      <c r="I11" s="20"/>
    </row>
    <row r="12">
      <c r="A12" s="27" t="str">
        <f>data!$E$55&amp;" "&amp;data!$B$55</f>
      </c>
      <c r="I12" s="21">
        <v>51</v>
      </c>
    </row>
    <row r="13">
      <c r="A13" s="22"/>
      <c r="C13" s="23" t="str">
        <f>CONCATENATE("Pool S-1st ",'Pool Matches'!O49)</f>
      </c>
      <c r="I13" s="20"/>
      <c r="J13" s="22"/>
      <c r="K13" s="20"/>
    </row>
    <row r="14">
      <c r="A14" s="24" t="str">
        <f>'data'!$A$58</f>
      </c>
      <c r="D14" s="22"/>
      <c r="E14" s="21">
        <v>18</v>
      </c>
      <c r="I14" s="20"/>
      <c r="K14" s="20"/>
    </row>
    <row r="15">
      <c r="A15" s="25" t="str">
        <f>data!$E$56&amp;" "&amp;data!$B$56</f>
      </c>
      <c r="C15" s="23" t="str">
        <f>CONCATENATE("Pool C-2nd ",'Pool Matches'!G50)</f>
      </c>
      <c r="D15" s="15"/>
      <c r="E15" s="20"/>
      <c r="F15" s="22"/>
      <c r="G15" s="20"/>
      <c r="I15" s="20"/>
      <c r="K15" s="20"/>
    </row>
    <row r="16">
      <c r="A16" s="26" t="str">
        <f>data!$E$57&amp;" "&amp;data!$B$57</f>
      </c>
      <c r="G16" s="21">
        <v>40</v>
      </c>
      <c r="H16" s="15"/>
      <c r="I16" s="20"/>
      <c r="K16" s="20"/>
    </row>
    <row r="17">
      <c r="A17" s="27" t="str">
        <f>data!$E$58&amp;" "&amp;data!$B$58</f>
      </c>
      <c r="C17" s="23" t="str">
        <f>CONCATENATE("Pool T-1st ",'Pool Matches'!O66)</f>
      </c>
      <c r="G17" s="20"/>
      <c r="K17" s="20"/>
    </row>
    <row r="18">
      <c r="A18" s="22"/>
      <c r="D18" s="22"/>
      <c r="E18" s="21">
        <v>19</v>
      </c>
      <c r="F18" s="15"/>
      <c r="G18" s="20"/>
      <c r="K18" s="20"/>
    </row>
    <row r="19">
      <c r="A19" s="24" t="str">
        <f>'data'!$A$61</f>
      </c>
      <c r="C19" s="23" t="str">
        <f>CONCATENATE("Pool D-2nd ",'Pool Matches'!G67)</f>
      </c>
      <c r="D19" s="15"/>
      <c r="E19" s="20"/>
      <c r="K19" s="20"/>
    </row>
    <row r="20">
      <c r="A20" s="25" t="str">
        <f>data!$E$59&amp;" "&amp;data!$B$59</f>
      </c>
      <c r="K20" s="21">
        <v>57</v>
      </c>
    </row>
    <row r="21">
      <c r="A21" s="26" t="str">
        <f>data!$E$60&amp;" "&amp;data!$B$60</f>
      </c>
      <c r="C21" s="23" t="str">
        <f>CONCATENATE("Pool U-1st ",'Pool Matches'!O83)</f>
      </c>
      <c r="K21" s="20"/>
    </row>
    <row r="22">
      <c r="A22" s="27" t="str">
        <f>data!$E$61&amp;" "&amp;data!$B$61</f>
      </c>
      <c r="D22" s="22"/>
      <c r="E22" s="21">
        <v>20</v>
      </c>
      <c r="K22" s="20"/>
    </row>
    <row r="23">
      <c r="A23" s="22"/>
      <c r="C23" s="23" t="str">
        <f>CONCATENATE("Pool E-2nd ",'Pool Matches'!G84)</f>
      </c>
      <c r="D23" s="15"/>
      <c r="E23" s="20"/>
      <c r="F23" s="22"/>
      <c r="G23" s="20"/>
      <c r="K23" s="20"/>
    </row>
    <row r="24">
      <c r="A24" s="24" t="str">
        <f>'data'!$A$64</f>
      </c>
      <c r="G24" s="21">
        <v>41</v>
      </c>
      <c r="K24" s="20"/>
    </row>
    <row r="25">
      <c r="A25" s="25" t="str">
        <f>data!$E$62&amp;" "&amp;data!$B$62</f>
      </c>
      <c r="C25" s="23" t="str">
        <f>CONCATENATE("Pool V-1st ",'Pool Matches'!O100)</f>
      </c>
      <c r="G25" s="20"/>
      <c r="H25" s="22"/>
      <c r="I25" s="20"/>
      <c r="K25" s="20"/>
    </row>
    <row r="26">
      <c r="A26" s="26" t="str">
        <f>data!$E$63&amp;" "&amp;data!$B$63</f>
      </c>
      <c r="D26" s="22"/>
      <c r="E26" s="21">
        <v>21</v>
      </c>
      <c r="F26" s="15"/>
      <c r="G26" s="20"/>
      <c r="I26" s="20"/>
      <c r="K26" s="20"/>
    </row>
    <row r="27">
      <c r="A27" s="27" t="str">
        <f>data!$E$64&amp;" "&amp;data!$B$64</f>
      </c>
      <c r="C27" s="23" t="str">
        <f>CONCATENATE("Pool F-2nd ",'Pool Matches'!G101)</f>
      </c>
      <c r="D27" s="15"/>
      <c r="E27" s="20"/>
      <c r="I27" s="20"/>
      <c r="K27" s="20"/>
    </row>
    <row r="28">
      <c r="A28" s="22"/>
      <c r="I28" s="21">
        <v>52</v>
      </c>
      <c r="J28" s="15"/>
      <c r="K28" s="20"/>
    </row>
    <row r="29">
      <c r="A29" s="24" t="str">
        <f>'data'!$A$67</f>
      </c>
      <c r="C29" s="23" t="str">
        <f>CONCATENATE("Pool W-1st ",'Pool Matches'!O117)</f>
      </c>
      <c r="I29" s="20"/>
    </row>
    <row r="30">
      <c r="A30" s="25" t="str">
        <f>data!$E$65&amp;" "&amp;data!$B$65</f>
      </c>
      <c r="D30" s="22"/>
      <c r="E30" s="21">
        <v>22</v>
      </c>
      <c r="I30" s="20"/>
    </row>
    <row r="31">
      <c r="A31" s="26" t="str">
        <f>data!$E$66&amp;" "&amp;data!$B$66</f>
      </c>
      <c r="C31" s="23" t="str">
        <f>CONCATENATE("Pool G-2nd ",'Pool Matches'!G118)</f>
      </c>
      <c r="D31" s="15"/>
      <c r="E31" s="20"/>
      <c r="F31" s="22"/>
      <c r="G31" s="20"/>
      <c r="I31" s="20"/>
    </row>
    <row r="32">
      <c r="A32" s="27" t="str">
        <f>data!$E$67&amp;" "&amp;data!$B$67</f>
      </c>
      <c r="G32" s="21">
        <v>42</v>
      </c>
      <c r="H32" s="15"/>
      <c r="I32" s="20"/>
    </row>
    <row r="33">
      <c r="A33" s="22"/>
      <c r="C33" s="23" t="str">
        <f>CONCATENATE("Pool X-1st ",'Pool Matches'!O134)</f>
      </c>
      <c r="G33" s="20"/>
    </row>
    <row r="34">
      <c r="A34" s="24" t="str">
        <f>'data'!$A$70</f>
      </c>
      <c r="D34" s="22"/>
      <c r="E34" s="21">
        <v>23</v>
      </c>
      <c r="F34" s="15"/>
      <c r="G34" s="20"/>
    </row>
    <row r="35">
      <c r="A35" s="25" t="str">
        <f>data!$E$68&amp;" "&amp;data!$B$68</f>
      </c>
      <c r="C35" s="23" t="str">
        <f>CONCATENATE("Pool H-2nd ",'Pool Matches'!G135)</f>
      </c>
      <c r="D35" s="15"/>
      <c r="E35" s="20"/>
    </row>
    <row r="36">
      <c r="A36" s="26" t="str">
        <f>data!$E$69&amp;" "&amp;data!$B$69</f>
      </c>
    </row>
    <row r="37">
      <c r="A37" s="27" t="str">
        <f>data!$E$70&amp;" "&amp;data!$B$70</f>
      </c>
    </row>
    <row r="38">
      <c r="A38" s="22"/>
    </row>
    <row r="39">
      <c r="A39" s="24" t="str">
        <f>'data'!$A$73</f>
      </c>
    </row>
    <row r="40">
      <c r="A40" s="25" t="str">
        <f>data!$E$71&amp;" "&amp;data!$B$71</f>
      </c>
    </row>
    <row r="41">
      <c r="A41" s="26" t="str">
        <f>data!$E$72&amp;" "&amp;data!$B$72</f>
      </c>
    </row>
    <row r="42">
      <c r="A42" s="27" t="str">
        <f>data!$E$73&amp;" "&amp;data!$B$73</f>
      </c>
    </row>
    <row r="43">
      <c r="A43" s="2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1.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3" t="str">
        <f>IF(data!$B$1="","Shiaijo B",data!$B$1&amp;" - Shiaijo B")</f>
      </c>
      <c r="B1" s="13"/>
      <c r="C1" s="13"/>
      <c r="D1" s="13"/>
      <c r="E1" s="13"/>
      <c r="F1" s="13"/>
      <c r="G1" s="13"/>
      <c r="H1" s="13"/>
      <c r="I1" s="13"/>
      <c r="J1" s="13"/>
      <c r="K1" s="13"/>
    </row>
    <row r="4">
      <c r="A4" s="24" t="str">
        <f>'data'!$A$76</f>
      </c>
    </row>
    <row r="5">
      <c r="A5" s="25" t="str">
        <f>data!$E$74&amp;" "&amp;data!$B$74</f>
      </c>
    </row>
    <row r="6">
      <c r="A6" s="26" t="str">
        <f>data!$E$75&amp;" "&amp;data!$B$75</f>
      </c>
      <c r="C6" s="23"/>
      <c r="D6" s="23"/>
      <c r="E6" s="23" t="str">
        <f>CONCATENATE("Pool Y-1st ",'Pool Matches'!O151)</f>
      </c>
    </row>
    <row r="7">
      <c r="A7" s="27" t="str">
        <f>data!$E$76&amp;" "&amp;data!$B$76</f>
      </c>
      <c r="F7" s="22"/>
      <c r="G7" s="20"/>
    </row>
    <row r="8">
      <c r="A8" s="22"/>
      <c r="G8" s="21">
        <v>43</v>
      </c>
    </row>
    <row r="9">
      <c r="A9" s="24" t="str">
        <f>'data'!$A$79</f>
      </c>
      <c r="C9" s="23" t="str">
        <f>CONCATENATE("Pool Z-1st ",'Pool Matches'!O168)</f>
      </c>
      <c r="G9" s="20"/>
      <c r="H9" s="22"/>
      <c r="I9" s="20"/>
    </row>
    <row r="10">
      <c r="A10" s="25" t="str">
        <f>data!$E$77&amp;" "&amp;data!$B$77</f>
      </c>
      <c r="D10" s="22"/>
      <c r="E10" s="21">
        <v>24</v>
      </c>
      <c r="F10" s="15"/>
      <c r="G10" s="20"/>
      <c r="I10" s="20"/>
    </row>
    <row r="11">
      <c r="A11" s="26" t="str">
        <f>data!$E$78&amp;" "&amp;data!$B$78</f>
      </c>
      <c r="C11" s="23" t="str">
        <f>CONCATENATE("Pool I-2nd ",'Pool Matches'!G152)</f>
      </c>
      <c r="D11" s="15"/>
      <c r="E11" s="20"/>
      <c r="I11" s="20"/>
    </row>
    <row r="12">
      <c r="A12" s="27" t="str">
        <f>data!$E$79&amp;" "&amp;data!$B$79</f>
      </c>
      <c r="I12" s="21">
        <v>53</v>
      </c>
    </row>
    <row r="13">
      <c r="A13" s="22"/>
      <c r="C13" s="23" t="str">
        <f>CONCATENATE("Pool AA-1st ",'Pool Matches'!O185)</f>
      </c>
      <c r="I13" s="20"/>
      <c r="J13" s="22"/>
      <c r="K13" s="20"/>
    </row>
    <row r="14">
      <c r="A14" s="24" t="str">
        <f>'data'!$A$82</f>
      </c>
      <c r="D14" s="22"/>
      <c r="E14" s="21">
        <v>25</v>
      </c>
      <c r="I14" s="20"/>
      <c r="K14" s="20"/>
    </row>
    <row r="15">
      <c r="A15" s="25" t="str">
        <f>data!$E$80&amp;" "&amp;data!$B$80</f>
      </c>
      <c r="C15" s="23" t="str">
        <f>CONCATENATE("Pool J-2nd ",'Pool Matches'!G169)</f>
      </c>
      <c r="D15" s="15"/>
      <c r="E15" s="20"/>
      <c r="F15" s="22"/>
      <c r="G15" s="20"/>
      <c r="I15" s="20"/>
      <c r="K15" s="20"/>
    </row>
    <row r="16">
      <c r="A16" s="26" t="str">
        <f>data!$E$81&amp;" "&amp;data!$B$81</f>
      </c>
      <c r="G16" s="21">
        <v>44</v>
      </c>
      <c r="H16" s="15"/>
      <c r="I16" s="20"/>
      <c r="K16" s="20"/>
    </row>
    <row r="17">
      <c r="A17" s="27" t="str">
        <f>data!$E$82&amp;" "&amp;data!$B$82</f>
      </c>
      <c r="C17" s="23" t="str">
        <f>CONCATENATE("Pool AB-1st ",'Pool Matches'!O202)</f>
      </c>
      <c r="G17" s="20"/>
      <c r="K17" s="20"/>
    </row>
    <row r="18">
      <c r="A18" s="22"/>
      <c r="D18" s="22"/>
      <c r="E18" s="21">
        <v>26</v>
      </c>
      <c r="F18" s="15"/>
      <c r="G18" s="20"/>
      <c r="K18" s="20"/>
    </row>
    <row r="19">
      <c r="A19" s="24" t="str">
        <f>'data'!$A$85</f>
      </c>
      <c r="C19" s="23" t="str">
        <f>CONCATENATE("Pool K-2nd ",'Pool Matches'!G186)</f>
      </c>
      <c r="D19" s="15"/>
      <c r="E19" s="20"/>
      <c r="K19" s="20"/>
    </row>
    <row r="20">
      <c r="A20" s="25" t="str">
        <f>data!$E$83&amp;" "&amp;data!$B$83</f>
      </c>
      <c r="K20" s="21">
        <v>58</v>
      </c>
    </row>
    <row r="21">
      <c r="A21" s="26" t="str">
        <f>data!$E$84&amp;" "&amp;data!$B$84</f>
      </c>
      <c r="C21" s="23" t="str">
        <f>CONCATENATE("Pool AC-1st ",'Pool Matches'!O219)</f>
      </c>
      <c r="K21" s="20"/>
    </row>
    <row r="22">
      <c r="A22" s="27" t="str">
        <f>data!$E$85&amp;" "&amp;data!$B$85</f>
      </c>
      <c r="D22" s="22"/>
      <c r="E22" s="21">
        <v>27</v>
      </c>
      <c r="K22" s="20"/>
    </row>
    <row r="23">
      <c r="A23" s="22"/>
      <c r="C23" s="23" t="str">
        <f>CONCATENATE("Pool L-2nd ",'Pool Matches'!G203)</f>
      </c>
      <c r="D23" s="15"/>
      <c r="E23" s="20"/>
      <c r="F23" s="22"/>
      <c r="G23" s="20"/>
      <c r="K23" s="20"/>
    </row>
    <row r="24">
      <c r="A24" s="24" t="str">
        <f>'data'!$A$88</f>
      </c>
      <c r="G24" s="21">
        <v>45</v>
      </c>
      <c r="K24" s="20"/>
    </row>
    <row r="25">
      <c r="A25" s="25" t="str">
        <f>data!$E$86&amp;" "&amp;data!$B$86</f>
      </c>
      <c r="C25" s="23" t="str">
        <f>CONCATENATE("Pool AD-1st ",'Pool Matches'!O236)</f>
      </c>
      <c r="G25" s="20"/>
      <c r="H25" s="22"/>
      <c r="I25" s="20"/>
      <c r="K25" s="20"/>
    </row>
    <row r="26">
      <c r="A26" s="26" t="str">
        <f>data!$E$87&amp;" "&amp;data!$B$87</f>
      </c>
      <c r="D26" s="22"/>
      <c r="E26" s="21">
        <v>28</v>
      </c>
      <c r="F26" s="15"/>
      <c r="G26" s="20"/>
      <c r="I26" s="20"/>
      <c r="K26" s="20"/>
    </row>
    <row r="27">
      <c r="A27" s="27" t="str">
        <f>data!$E$88&amp;" "&amp;data!$B$88</f>
      </c>
      <c r="C27" s="23" t="str">
        <f>CONCATENATE("Pool M-2nd ",'Pool Matches'!G220)</f>
      </c>
      <c r="D27" s="15"/>
      <c r="E27" s="20"/>
      <c r="I27" s="20"/>
      <c r="K27" s="20"/>
    </row>
    <row r="28">
      <c r="A28" s="22"/>
      <c r="I28" s="21">
        <v>54</v>
      </c>
      <c r="J28" s="15"/>
      <c r="K28" s="20"/>
    </row>
    <row r="29">
      <c r="A29" s="24" t="str">
        <f>'data'!$A$91</f>
      </c>
      <c r="C29" s="23" t="str">
        <f>CONCATENATE("Pool AE-1st ",'Pool Matches'!O252)</f>
      </c>
      <c r="I29" s="20"/>
    </row>
    <row r="30">
      <c r="A30" s="25" t="str">
        <f>data!$E$89&amp;" "&amp;data!$B$89</f>
      </c>
      <c r="D30" s="22"/>
      <c r="E30" s="21">
        <v>29</v>
      </c>
      <c r="I30" s="20"/>
    </row>
    <row r="31">
      <c r="A31" s="26" t="str">
        <f>data!$E$90&amp;" "&amp;data!$B$90</f>
      </c>
      <c r="C31" s="23" t="str">
        <f>CONCATENATE("Pool N-2nd ",'Pool Matches'!G237)</f>
      </c>
      <c r="D31" s="15"/>
      <c r="E31" s="20"/>
      <c r="F31" s="22"/>
      <c r="G31" s="20"/>
      <c r="I31" s="20"/>
    </row>
    <row r="32">
      <c r="A32" s="27" t="str">
        <f>data!$E$91&amp;" "&amp;data!$B$91</f>
      </c>
      <c r="G32" s="21">
        <v>46</v>
      </c>
      <c r="H32" s="15"/>
      <c r="I32" s="20"/>
    </row>
    <row r="33">
      <c r="A33" s="22"/>
      <c r="C33" s="23" t="str">
        <f>CONCATENATE("Pool O-2nd ",'Pool Matches'!G254)</f>
      </c>
      <c r="G33" s="20"/>
    </row>
    <row r="34">
      <c r="A34" s="24" t="str">
        <f>'data'!$A$93</f>
      </c>
      <c r="D34" s="22"/>
      <c r="E34" s="21">
        <v>30</v>
      </c>
      <c r="F34" s="15"/>
      <c r="G34" s="20"/>
    </row>
    <row r="35">
      <c r="A35" s="25" t="str">
        <f>data!$E$92&amp;" "&amp;data!$B$92</f>
      </c>
      <c r="C35" s="23" t="str">
        <f>CONCATENATE("Pool P-2nd ",'Pool Matches'!G268)</f>
      </c>
      <c r="D35" s="15"/>
      <c r="E35" s="20"/>
    </row>
    <row r="36">
      <c r="A36" s="27" t="str">
        <f>data!$E$93&amp;" "&amp;data!$B$93</f>
      </c>
    </row>
    <row r="37">
      <c r="A37" s="2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2.xml><?xml version="1.0" encoding="utf-8"?>
<worksheet xmlns="http://schemas.openxmlformats.org/spreadsheetml/2006/main">
  <dimension ref="A1"/>
  <sheetViews>
    <sheetView workbookViewId="0"/>
  </sheetViews>
  <cols>
    <col customWidth="true" max="1" min="1" width="40"/>
    <col customWidth="true" max="2" min="2" width="140"/>
  </cols>
  <sheetData>
    <row r="1" ht="270" customHeight="true">
      <c r="A1" s="28" t="str">
        <f>'data'!$E$3</f>
      </c>
      <c r="B1" s="29" t="str">
        <f>'data'!D3</f>
      </c>
    </row>
    <row r="2" ht="270" customHeight="true">
      <c r="A2" s="28" t="str">
        <f>'data'!$E$4</f>
      </c>
      <c r="B2" s="29" t="str">
        <f>'data'!D4</f>
      </c>
    </row>
    <row r="3" ht="270" customHeight="true">
      <c r="A3" s="28" t="str">
        <f>'data'!$E$5</f>
      </c>
      <c r="B3" s="29" t="str">
        <f>'data'!D5</f>
      </c>
    </row>
    <row r="4" ht="270" customHeight="true">
      <c r="A4" s="28" t="str">
        <f>'data'!$E$6</f>
      </c>
      <c r="B4" s="29" t="str">
        <f>'data'!D6</f>
      </c>
    </row>
    <row r="5" ht="270" customHeight="true">
      <c r="A5" s="28" t="str">
        <f>'data'!$E$7</f>
      </c>
      <c r="B5" s="29" t="str">
        <f>'data'!D7</f>
      </c>
    </row>
    <row r="6" ht="270" customHeight="true">
      <c r="A6" s="28" t="str">
        <f>'data'!$E$8</f>
      </c>
      <c r="B6" s="29" t="str">
        <f>'data'!D8</f>
      </c>
    </row>
    <row r="7" ht="270" customHeight="true">
      <c r="A7" s="28" t="str">
        <f>'data'!$E$9</f>
      </c>
      <c r="B7" s="29" t="str">
        <f>'data'!D9</f>
      </c>
    </row>
    <row r="8" ht="270" customHeight="true">
      <c r="A8" s="28" t="str">
        <f>'data'!$E$10</f>
      </c>
      <c r="B8" s="29" t="str">
        <f>'data'!D10</f>
      </c>
    </row>
    <row r="9" ht="270" customHeight="true">
      <c r="A9" s="28" t="str">
        <f>'data'!$E$11</f>
      </c>
      <c r="B9" s="29" t="str">
        <f>'data'!D11</f>
      </c>
    </row>
    <row r="10" ht="270" customHeight="true">
      <c r="A10" s="28" t="str">
        <f>'data'!$E$12</f>
      </c>
      <c r="B10" s="29" t="str">
        <f>'data'!D12</f>
      </c>
    </row>
    <row r="11" ht="270" customHeight="true">
      <c r="A11" s="28" t="str">
        <f>'data'!$E$13</f>
      </c>
      <c r="B11" s="29" t="str">
        <f>'data'!D13</f>
      </c>
    </row>
    <row r="12" ht="270" customHeight="true">
      <c r="A12" s="28" t="str">
        <f>'data'!$E$14</f>
      </c>
      <c r="B12" s="29" t="str">
        <f>'data'!D14</f>
      </c>
    </row>
    <row r="13" ht="270" customHeight="true">
      <c r="A13" s="28" t="str">
        <f>'data'!$E$15</f>
      </c>
      <c r="B13" s="29" t="str">
        <f>'data'!D15</f>
      </c>
    </row>
    <row r="14" ht="270" customHeight="true">
      <c r="A14" s="28" t="str">
        <f>'data'!$E$16</f>
      </c>
      <c r="B14" s="29" t="str">
        <f>'data'!D16</f>
      </c>
    </row>
    <row r="15" ht="270" customHeight="true">
      <c r="A15" s="28" t="str">
        <f>'data'!$E$17</f>
      </c>
      <c r="B15" s="29" t="str">
        <f>'data'!D17</f>
      </c>
    </row>
    <row r="16" ht="270" customHeight="true">
      <c r="A16" s="28" t="str">
        <f>'data'!$E$18</f>
      </c>
      <c r="B16" s="29" t="str">
        <f>'data'!D18</f>
      </c>
    </row>
    <row r="17" ht="270" customHeight="true">
      <c r="A17" s="28" t="str">
        <f>'data'!$E$19</f>
      </c>
      <c r="B17" s="29" t="str">
        <f>'data'!D19</f>
      </c>
    </row>
    <row r="18" ht="270" customHeight="true">
      <c r="A18" s="28" t="str">
        <f>'data'!$E$20</f>
      </c>
      <c r="B18" s="29" t="str">
        <f>'data'!D20</f>
      </c>
    </row>
    <row r="19" ht="270" customHeight="true">
      <c r="A19" s="28" t="str">
        <f>'data'!$E$21</f>
      </c>
      <c r="B19" s="29" t="str">
        <f>'data'!D21</f>
      </c>
    </row>
    <row r="20" ht="270" customHeight="true">
      <c r="A20" s="28" t="str">
        <f>'data'!$E$22</f>
      </c>
      <c r="B20" s="29" t="str">
        <f>'data'!D22</f>
      </c>
    </row>
    <row r="21" ht="270" customHeight="true">
      <c r="A21" s="28" t="str">
        <f>'data'!$E$23</f>
      </c>
      <c r="B21" s="29" t="str">
        <f>'data'!D23</f>
      </c>
    </row>
    <row r="22" ht="270" customHeight="true">
      <c r="A22" s="28" t="str">
        <f>'data'!$E$24</f>
      </c>
      <c r="B22" s="29" t="str">
        <f>'data'!D24</f>
      </c>
    </row>
    <row r="23" ht="270" customHeight="true">
      <c r="A23" s="28" t="str">
        <f>'data'!$E$25</f>
      </c>
      <c r="B23" s="29" t="str">
        <f>'data'!D25</f>
      </c>
    </row>
    <row r="24" ht="270" customHeight="true">
      <c r="A24" s="28" t="str">
        <f>'data'!$E$26</f>
      </c>
      <c r="B24" s="29" t="str">
        <f>'data'!D26</f>
      </c>
    </row>
    <row r="25" ht="270" customHeight="true">
      <c r="A25" s="28" t="str">
        <f>'data'!$E$27</f>
      </c>
      <c r="B25" s="29" t="str">
        <f>'data'!D27</f>
      </c>
    </row>
    <row r="26" ht="270" customHeight="true">
      <c r="A26" s="28" t="str">
        <f>'data'!$E$28</f>
      </c>
      <c r="B26" s="29" t="str">
        <f>'data'!D28</f>
      </c>
    </row>
    <row r="27" ht="270" customHeight="true">
      <c r="A27" s="28" t="str">
        <f>'data'!$E$29</f>
      </c>
      <c r="B27" s="29" t="str">
        <f>'data'!D29</f>
      </c>
    </row>
    <row r="28" ht="270" customHeight="true">
      <c r="A28" s="28" t="str">
        <f>'data'!$E$30</f>
      </c>
      <c r="B28" s="29" t="str">
        <f>'data'!D30</f>
      </c>
    </row>
    <row r="29" ht="270" customHeight="true">
      <c r="A29" s="28" t="str">
        <f>'data'!$E$31</f>
      </c>
      <c r="B29" s="29" t="str">
        <f>'data'!D31</f>
      </c>
    </row>
    <row r="30" ht="270" customHeight="true">
      <c r="A30" s="28" t="str">
        <f>'data'!$E$32</f>
      </c>
      <c r="B30" s="29" t="str">
        <f>'data'!D32</f>
      </c>
    </row>
    <row r="31" ht="270" customHeight="true">
      <c r="A31" s="28" t="str">
        <f>'data'!$E$33</f>
      </c>
      <c r="B31" s="29" t="str">
        <f>'data'!D33</f>
      </c>
    </row>
    <row r="32" ht="270" customHeight="true">
      <c r="A32" s="28" t="str">
        <f>'data'!$E$34</f>
      </c>
      <c r="B32" s="29" t="str">
        <f>'data'!D34</f>
      </c>
    </row>
    <row r="33" ht="270" customHeight="true">
      <c r="A33" s="28" t="str">
        <f>'data'!$E$35</f>
      </c>
      <c r="B33" s="29" t="str">
        <f>'data'!D35</f>
      </c>
    </row>
    <row r="34" ht="270" customHeight="true">
      <c r="A34" s="28" t="str">
        <f>'data'!$E$36</f>
      </c>
      <c r="B34" s="29" t="str">
        <f>'data'!D36</f>
      </c>
    </row>
    <row r="35" ht="270" customHeight="true">
      <c r="A35" s="28" t="str">
        <f>'data'!$E$37</f>
      </c>
      <c r="B35" s="29" t="str">
        <f>'data'!D37</f>
      </c>
    </row>
    <row r="36" ht="270" customHeight="true">
      <c r="A36" s="28" t="str">
        <f>'data'!$E$38</f>
      </c>
      <c r="B36" s="29" t="str">
        <f>'data'!D38</f>
      </c>
    </row>
    <row r="37" ht="270" customHeight="true">
      <c r="A37" s="28" t="str">
        <f>'data'!$E$39</f>
      </c>
      <c r="B37" s="29" t="str">
        <f>'data'!D39</f>
      </c>
    </row>
    <row r="38" ht="270" customHeight="true">
      <c r="A38" s="28" t="str">
        <f>'data'!$E$40</f>
      </c>
      <c r="B38" s="29" t="str">
        <f>'data'!D40</f>
      </c>
    </row>
    <row r="39" ht="270" customHeight="true">
      <c r="A39" s="28" t="str">
        <f>'data'!$E$41</f>
      </c>
      <c r="B39" s="29" t="str">
        <f>'data'!D41</f>
      </c>
    </row>
    <row r="40" ht="270" customHeight="true">
      <c r="A40" s="28" t="str">
        <f>'data'!$E$42</f>
      </c>
      <c r="B40" s="29" t="str">
        <f>'data'!D42</f>
      </c>
    </row>
    <row r="41" ht="270" customHeight="true">
      <c r="A41" s="28" t="str">
        <f>'data'!$E$43</f>
      </c>
      <c r="B41" s="29" t="str">
        <f>'data'!D43</f>
      </c>
    </row>
    <row r="42" ht="270" customHeight="true">
      <c r="A42" s="28" t="str">
        <f>'data'!$E$44</f>
      </c>
      <c r="B42" s="29" t="str">
        <f>'data'!D44</f>
      </c>
    </row>
    <row r="43" ht="270" customHeight="true">
      <c r="A43" s="28" t="str">
        <f>'data'!$E$45</f>
      </c>
      <c r="B43" s="29" t="str">
        <f>'data'!D45</f>
      </c>
    </row>
    <row r="44" ht="270" customHeight="true">
      <c r="A44" s="28" t="str">
        <f>'data'!$E$46</f>
      </c>
      <c r="B44" s="29" t="str">
        <f>'data'!D46</f>
      </c>
    </row>
    <row r="45" ht="270" customHeight="true">
      <c r="A45" s="28" t="str">
        <f>'data'!$E$47</f>
      </c>
      <c r="B45" s="29" t="str">
        <f>'data'!D47</f>
      </c>
    </row>
    <row r="46" ht="270" customHeight="true">
      <c r="A46" s="28" t="str">
        <f>'data'!$E$48</f>
      </c>
      <c r="B46" s="29" t="str">
        <f>'data'!D48</f>
      </c>
    </row>
    <row r="47" ht="270" customHeight="true">
      <c r="A47" s="28" t="str">
        <f>'data'!$E$49</f>
      </c>
      <c r="B47" s="29" t="str">
        <f>'data'!D49</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15" manualBreakCount="15">
    <brk id="3" max="16383" man="true"/>
    <brk id="6" max="16383" man="true"/>
    <brk id="9" max="16383" man="true"/>
    <brk id="12" max="16383" man="true"/>
    <brk id="15" max="16383" man="true"/>
    <brk id="18" max="16383" man="true"/>
    <brk id="21" max="16383" man="true"/>
    <brk id="24" max="16383" man="true"/>
    <brk id="27" max="16383" man="true"/>
    <brk id="30" max="16383" man="true"/>
    <brk id="33" max="16383" man="true"/>
    <brk id="36" max="16383" man="true"/>
    <brk id="39" max="16383" man="true"/>
    <brk id="42" max="16383" man="true"/>
    <brk id="45" max="16383" man="true"/>
  </rowBreaks>
  <colBreaks/>
</worksheet>
</file>

<file path=xl/worksheets/sheet13.xml><?xml version="1.0" encoding="utf-8"?>
<worksheet xmlns="http://schemas.openxmlformats.org/spreadsheetml/2006/main">
  <dimension ref="A1"/>
  <sheetViews>
    <sheetView workbookViewId="0"/>
  </sheetViews>
  <cols>
    <col customWidth="true" max="1" min="1" width="40"/>
    <col customWidth="true" max="2" min="2" width="140"/>
  </cols>
  <sheetData>
    <row r="1" ht="270" customHeight="true">
      <c r="A1" s="28" t="str">
        <f>'data'!$E$50</f>
      </c>
      <c r="B1" s="29" t="str">
        <f>'data'!D50</f>
      </c>
    </row>
    <row r="2" ht="270" customHeight="true">
      <c r="A2" s="28" t="str">
        <f>'data'!$E$51</f>
      </c>
      <c r="B2" s="29" t="str">
        <f>'data'!D51</f>
      </c>
    </row>
    <row r="3" ht="270" customHeight="true">
      <c r="A3" s="28" t="str">
        <f>'data'!$E$52</f>
      </c>
      <c r="B3" s="29" t="str">
        <f>'data'!D52</f>
      </c>
    </row>
    <row r="4" ht="270" customHeight="true">
      <c r="A4" s="28" t="str">
        <f>'data'!$E$53</f>
      </c>
      <c r="B4" s="29" t="str">
        <f>'data'!D53</f>
      </c>
    </row>
    <row r="5" ht="270" customHeight="true">
      <c r="A5" s="28" t="str">
        <f>'data'!$E$54</f>
      </c>
      <c r="B5" s="29" t="str">
        <f>'data'!D54</f>
      </c>
    </row>
    <row r="6" ht="270" customHeight="true">
      <c r="A6" s="28" t="str">
        <f>'data'!$E$55</f>
      </c>
      <c r="B6" s="29" t="str">
        <f>'data'!D55</f>
      </c>
    </row>
    <row r="7" ht="270" customHeight="true">
      <c r="A7" s="28" t="str">
        <f>'data'!$E$56</f>
      </c>
      <c r="B7" s="29" t="str">
        <f>'data'!D56</f>
      </c>
    </row>
    <row r="8" ht="270" customHeight="true">
      <c r="A8" s="28" t="str">
        <f>'data'!$E$57</f>
      </c>
      <c r="B8" s="29" t="str">
        <f>'data'!D57</f>
      </c>
    </row>
    <row r="9" ht="270" customHeight="true">
      <c r="A9" s="28" t="str">
        <f>'data'!$E$58</f>
      </c>
      <c r="B9" s="29" t="str">
        <f>'data'!D58</f>
      </c>
    </row>
    <row r="10" ht="270" customHeight="true">
      <c r="A10" s="28" t="str">
        <f>'data'!$E$59</f>
      </c>
      <c r="B10" s="29" t="str">
        <f>'data'!D59</f>
      </c>
    </row>
    <row r="11" ht="270" customHeight="true">
      <c r="A11" s="28" t="str">
        <f>'data'!$E$60</f>
      </c>
      <c r="B11" s="29" t="str">
        <f>'data'!D60</f>
      </c>
    </row>
    <row r="12" ht="270" customHeight="true">
      <c r="A12" s="28" t="str">
        <f>'data'!$E$61</f>
      </c>
      <c r="B12" s="29" t="str">
        <f>'data'!D61</f>
      </c>
    </row>
    <row r="13" ht="270" customHeight="true">
      <c r="A13" s="28" t="str">
        <f>'data'!$E$62</f>
      </c>
      <c r="B13" s="29" t="str">
        <f>'data'!D62</f>
      </c>
    </row>
    <row r="14" ht="270" customHeight="true">
      <c r="A14" s="28" t="str">
        <f>'data'!$E$63</f>
      </c>
      <c r="B14" s="29" t="str">
        <f>'data'!D63</f>
      </c>
    </row>
    <row r="15" ht="270" customHeight="true">
      <c r="A15" s="28" t="str">
        <f>'data'!$E$64</f>
      </c>
      <c r="B15" s="29" t="str">
        <f>'data'!D64</f>
      </c>
    </row>
    <row r="16" ht="270" customHeight="true">
      <c r="A16" s="28" t="str">
        <f>'data'!$E$65</f>
      </c>
      <c r="B16" s="29" t="str">
        <f>'data'!D65</f>
      </c>
    </row>
    <row r="17" ht="270" customHeight="true">
      <c r="A17" s="28" t="str">
        <f>'data'!$E$66</f>
      </c>
      <c r="B17" s="29" t="str">
        <f>'data'!D66</f>
      </c>
    </row>
    <row r="18" ht="270" customHeight="true">
      <c r="A18" s="28" t="str">
        <f>'data'!$E$67</f>
      </c>
      <c r="B18" s="29" t="str">
        <f>'data'!D67</f>
      </c>
    </row>
    <row r="19" ht="270" customHeight="true">
      <c r="A19" s="28" t="str">
        <f>'data'!$E$68</f>
      </c>
      <c r="B19" s="29" t="str">
        <f>'data'!D68</f>
      </c>
    </row>
    <row r="20" ht="270" customHeight="true">
      <c r="A20" s="28" t="str">
        <f>'data'!$E$69</f>
      </c>
      <c r="B20" s="29" t="str">
        <f>'data'!D69</f>
      </c>
    </row>
    <row r="21" ht="270" customHeight="true">
      <c r="A21" s="28" t="str">
        <f>'data'!$E$70</f>
      </c>
      <c r="B21" s="29" t="str">
        <f>'data'!D70</f>
      </c>
    </row>
    <row r="22" ht="270" customHeight="true">
      <c r="A22" s="28" t="str">
        <f>'data'!$E$71</f>
      </c>
      <c r="B22" s="29" t="str">
        <f>'data'!D71</f>
      </c>
    </row>
    <row r="23" ht="270" customHeight="true">
      <c r="A23" s="28" t="str">
        <f>'data'!$E$72</f>
      </c>
      <c r="B23" s="29" t="str">
        <f>'data'!D72</f>
      </c>
    </row>
    <row r="24" ht="270" customHeight="true">
      <c r="A24" s="28" t="str">
        <f>'data'!$E$73</f>
      </c>
      <c r="B24" s="29" t="str">
        <f>'data'!D73</f>
      </c>
    </row>
    <row r="25" ht="270" customHeight="true">
      <c r="A25" s="28" t="str">
        <f>'data'!$E$74</f>
      </c>
      <c r="B25" s="29" t="str">
        <f>'data'!D74</f>
      </c>
    </row>
    <row r="26" ht="270" customHeight="true">
      <c r="A26" s="28" t="str">
        <f>'data'!$E$75</f>
      </c>
      <c r="B26" s="29" t="str">
        <f>'data'!D75</f>
      </c>
    </row>
    <row r="27" ht="270" customHeight="true">
      <c r="A27" s="28" t="str">
        <f>'data'!$E$76</f>
      </c>
      <c r="B27" s="29" t="str">
        <f>'data'!D76</f>
      </c>
    </row>
    <row r="28" ht="270" customHeight="true">
      <c r="A28" s="28" t="str">
        <f>'data'!$E$77</f>
      </c>
      <c r="B28" s="29" t="str">
        <f>'data'!D77</f>
      </c>
    </row>
    <row r="29" ht="270" customHeight="true">
      <c r="A29" s="28" t="str">
        <f>'data'!$E$78</f>
      </c>
      <c r="B29" s="29" t="str">
        <f>'data'!D78</f>
      </c>
    </row>
    <row r="30" ht="270" customHeight="true">
      <c r="A30" s="28" t="str">
        <f>'data'!$E$79</f>
      </c>
      <c r="B30" s="29" t="str">
        <f>'data'!D79</f>
      </c>
    </row>
    <row r="31" ht="270" customHeight="true">
      <c r="A31" s="28" t="str">
        <f>'data'!$E$80</f>
      </c>
      <c r="B31" s="29" t="str">
        <f>'data'!D80</f>
      </c>
    </row>
    <row r="32" ht="270" customHeight="true">
      <c r="A32" s="28" t="str">
        <f>'data'!$E$81</f>
      </c>
      <c r="B32" s="29" t="str">
        <f>'data'!D81</f>
      </c>
    </row>
    <row r="33" ht="270" customHeight="true">
      <c r="A33" s="28" t="str">
        <f>'data'!$E$82</f>
      </c>
      <c r="B33" s="29" t="str">
        <f>'data'!D82</f>
      </c>
    </row>
    <row r="34" ht="270" customHeight="true">
      <c r="A34" s="28" t="str">
        <f>'data'!$E$83</f>
      </c>
      <c r="B34" s="29" t="str">
        <f>'data'!D83</f>
      </c>
    </row>
    <row r="35" ht="270" customHeight="true">
      <c r="A35" s="28" t="str">
        <f>'data'!$E$84</f>
      </c>
      <c r="B35" s="29" t="str">
        <f>'data'!D84</f>
      </c>
    </row>
    <row r="36" ht="270" customHeight="true">
      <c r="A36" s="28" t="str">
        <f>'data'!$E$85</f>
      </c>
      <c r="B36" s="29" t="str">
        <f>'data'!D85</f>
      </c>
    </row>
    <row r="37" ht="270" customHeight="true">
      <c r="A37" s="28" t="str">
        <f>'data'!$E$86</f>
      </c>
      <c r="B37" s="29" t="str">
        <f>'data'!D86</f>
      </c>
    </row>
    <row r="38" ht="270" customHeight="true">
      <c r="A38" s="28" t="str">
        <f>'data'!$E$87</f>
      </c>
      <c r="B38" s="29" t="str">
        <f>'data'!D87</f>
      </c>
    </row>
    <row r="39" ht="270" customHeight="true">
      <c r="A39" s="28" t="str">
        <f>'data'!$E$88</f>
      </c>
      <c r="B39" s="29" t="str">
        <f>'data'!D88</f>
      </c>
    </row>
    <row r="40" ht="270" customHeight="true">
      <c r="A40" s="28" t="str">
        <f>'data'!$E$89</f>
      </c>
      <c r="B40" s="29" t="str">
        <f>'data'!D89</f>
      </c>
    </row>
    <row r="41" ht="270" customHeight="true">
      <c r="A41" s="28" t="str">
        <f>'data'!$E$90</f>
      </c>
      <c r="B41" s="29" t="str">
        <f>'data'!D90</f>
      </c>
    </row>
    <row r="42" ht="270" customHeight="true">
      <c r="A42" s="28" t="str">
        <f>'data'!$E$91</f>
      </c>
      <c r="B42" s="29" t="str">
        <f>'data'!D91</f>
      </c>
    </row>
    <row r="43" ht="270" customHeight="true">
      <c r="A43" s="28" t="str">
        <f>'data'!$E$92</f>
      </c>
      <c r="B43" s="29" t="str">
        <f>'data'!D92</f>
      </c>
    </row>
    <row r="44" ht="270" customHeight="true">
      <c r="A44" s="28" t="str">
        <f>'data'!$E$93</f>
      </c>
      <c r="B44" s="29" t="str">
        <f>'data'!D93</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14" manualBreakCount="14">
    <brk id="3" max="16383" man="true"/>
    <brk id="6" max="16383" man="true"/>
    <brk id="9" max="16383" man="true"/>
    <brk id="12" max="16383" man="true"/>
    <brk id="15" max="16383" man="true"/>
    <brk id="18" max="16383" man="true"/>
    <brk id="21" max="16383" man="true"/>
    <brk id="24" max="16383" man="true"/>
    <brk id="27" max="16383" man="true"/>
    <brk id="30" max="16383" man="true"/>
    <brk id="33" max="16383" man="true"/>
    <brk id="36" max="16383" man="true"/>
    <brk id="39" max="16383" man="true"/>
    <brk id="42" max="16383" man="true"/>
  </rowBreaks>
  <colBreaks/>
</worksheet>
</file>

<file path=xl/worksheets/sheet14.xml><?xml version="1.0" encoding="utf-8"?>
<worksheet xmlns="http://schemas.openxmlformats.org/spreadsheetml/2006/main">
  <dimension ref="A1"/>
  <sheetViews>
    <sheetView tabSelected="true" workbookViewId="0"/>
  </sheetViews>
  <cols>
    <col customWidth="true" max="1" min="1" width="88"/>
  </cols>
  <sheetData>
    <row r="1" ht="409" customHeight="true">
      <c r="A1" s="30" t="s">
        <v>21</v>
      </c>
    </row>
    <row r="2" ht="409" customHeight="true">
      <c r="A2" s="30" t="s">
        <v>21</v>
      </c>
    </row>
    <row r="3" ht="409" customHeight="true">
      <c r="A3" s="30" t="s">
        <v>25</v>
      </c>
    </row>
    <row r="4" ht="409" customHeight="true">
      <c r="A4" s="30" t="s">
        <v>25</v>
      </c>
    </row>
    <row r="5" ht="409" customHeight="true">
      <c r="A5" s="30" t="s">
        <v>29</v>
      </c>
    </row>
    <row r="6" ht="409" customHeight="true">
      <c r="A6" s="30" t="s">
        <v>29</v>
      </c>
    </row>
    <row r="7" ht="409" customHeight="true">
      <c r="A7" s="30" t="s">
        <v>34</v>
      </c>
    </row>
    <row r="8" ht="409" customHeight="true">
      <c r="A8" s="30" t="s">
        <v>34</v>
      </c>
    </row>
    <row r="9" ht="409" customHeight="true">
      <c r="A9" s="30" t="s">
        <v>38</v>
      </c>
    </row>
    <row r="10" ht="409" customHeight="true">
      <c r="A10" s="30" t="s">
        <v>38</v>
      </c>
    </row>
    <row r="11" ht="409" customHeight="true">
      <c r="A11" s="30" t="s">
        <v>42</v>
      </c>
    </row>
    <row r="12" ht="409" customHeight="true">
      <c r="A12" s="30" t="s">
        <v>42</v>
      </c>
    </row>
    <row r="13" ht="409" customHeight="true">
      <c r="A13" s="30" t="s">
        <v>47</v>
      </c>
    </row>
    <row r="14" ht="409" customHeight="true">
      <c r="A14" s="30" t="s">
        <v>47</v>
      </c>
    </row>
    <row r="15" ht="409" customHeight="true">
      <c r="A15" s="30" t="s">
        <v>51</v>
      </c>
    </row>
    <row r="16" ht="409" customHeight="true">
      <c r="A16" s="30" t="s">
        <v>51</v>
      </c>
    </row>
    <row r="17" ht="409" customHeight="true">
      <c r="A17" s="30" t="s">
        <v>55</v>
      </c>
    </row>
    <row r="18" ht="409" customHeight="true">
      <c r="A18" s="30" t="s">
        <v>55</v>
      </c>
    </row>
    <row r="19" ht="409" customHeight="true">
      <c r="A19" s="30" t="s">
        <v>60</v>
      </c>
    </row>
    <row r="20" ht="409" customHeight="true">
      <c r="A20" s="30" t="s">
        <v>60</v>
      </c>
    </row>
    <row r="21" ht="409" customHeight="true">
      <c r="A21" s="30" t="s">
        <v>62</v>
      </c>
    </row>
    <row r="22" ht="409" customHeight="true">
      <c r="A22" s="30" t="s">
        <v>62</v>
      </c>
    </row>
    <row r="23" ht="409" customHeight="true">
      <c r="A23" s="30" t="s">
        <v>66</v>
      </c>
    </row>
    <row r="24" ht="409" customHeight="true">
      <c r="A24" s="30" t="s">
        <v>66</v>
      </c>
    </row>
    <row r="25" ht="409" customHeight="true">
      <c r="A25" s="30" t="s">
        <v>70</v>
      </c>
    </row>
    <row r="26" ht="409" customHeight="true">
      <c r="A26" s="30" t="s">
        <v>70</v>
      </c>
    </row>
    <row r="27" ht="409" customHeight="true">
      <c r="A27" s="30" t="s">
        <v>74</v>
      </c>
    </row>
    <row r="28" ht="409" customHeight="true">
      <c r="A28" s="30" t="s">
        <v>74</v>
      </c>
    </row>
    <row r="29" ht="409" customHeight="true">
      <c r="A29" s="30" t="s">
        <v>77</v>
      </c>
    </row>
    <row r="30" ht="409" customHeight="true">
      <c r="A30" s="30" t="s">
        <v>77</v>
      </c>
    </row>
    <row r="31" ht="409" customHeight="true">
      <c r="A31" s="30" t="s">
        <v>82</v>
      </c>
    </row>
    <row r="32" ht="409" customHeight="true">
      <c r="A32" s="30" t="s">
        <v>82</v>
      </c>
    </row>
    <row r="33" ht="409" customHeight="true">
      <c r="A33" s="30" t="s">
        <v>86</v>
      </c>
    </row>
    <row r="34" ht="409" customHeight="true">
      <c r="A34" s="30" t="s">
        <v>86</v>
      </c>
    </row>
    <row r="35" ht="409" customHeight="true">
      <c r="A35" s="30" t="s">
        <v>89</v>
      </c>
    </row>
    <row r="36" ht="409" customHeight="true">
      <c r="A36" s="30" t="s">
        <v>89</v>
      </c>
    </row>
    <row r="37" ht="409" customHeight="true">
      <c r="A37" s="30" t="s">
        <v>93</v>
      </c>
    </row>
    <row r="38" ht="409" customHeight="true">
      <c r="A38" s="30" t="s">
        <v>93</v>
      </c>
    </row>
    <row r="39" ht="409" customHeight="true">
      <c r="A39" s="30" t="s">
        <v>96</v>
      </c>
    </row>
    <row r="40" ht="409" customHeight="true">
      <c r="A40" s="30" t="s">
        <v>96</v>
      </c>
    </row>
    <row r="41" ht="409" customHeight="true">
      <c r="A41" s="30" t="s">
        <v>100</v>
      </c>
    </row>
    <row r="42" ht="409" customHeight="true">
      <c r="A42" s="30" t="s">
        <v>100</v>
      </c>
    </row>
    <row r="43" ht="409" customHeight="true">
      <c r="A43" s="30" t="s">
        <v>105</v>
      </c>
    </row>
    <row r="44" ht="409" customHeight="true">
      <c r="A44" s="30" t="s">
        <v>105</v>
      </c>
    </row>
    <row r="45" ht="409" customHeight="true">
      <c r="A45" s="30" t="s">
        <v>109</v>
      </c>
    </row>
    <row r="46" ht="409" customHeight="true">
      <c r="A46" s="30" t="s">
        <v>109</v>
      </c>
    </row>
    <row r="47" ht="409" customHeight="true">
      <c r="A47" s="30" t="s">
        <v>112</v>
      </c>
    </row>
    <row r="48" ht="409" customHeight="true">
      <c r="A48" s="30" t="s">
        <v>112</v>
      </c>
    </row>
    <row r="49" ht="409" customHeight="true">
      <c r="A49" s="30" t="s">
        <v>116</v>
      </c>
    </row>
    <row r="50" ht="409" customHeight="true">
      <c r="A50" s="30" t="s">
        <v>116</v>
      </c>
    </row>
    <row r="51" ht="409" customHeight="true">
      <c r="A51" s="30" t="s">
        <v>118</v>
      </c>
    </row>
    <row r="52" ht="409" customHeight="true">
      <c r="A52" s="30" t="s">
        <v>118</v>
      </c>
    </row>
    <row r="53" ht="409" customHeight="true">
      <c r="A53" s="30" t="s">
        <v>121</v>
      </c>
    </row>
    <row r="54" ht="409" customHeight="true">
      <c r="A54" s="30" t="s">
        <v>121</v>
      </c>
    </row>
    <row r="55" ht="409" customHeight="true">
      <c r="A55" s="30" t="s">
        <v>125</v>
      </c>
    </row>
    <row r="56" ht="409" customHeight="true">
      <c r="A56" s="30" t="s">
        <v>125</v>
      </c>
    </row>
    <row r="57" ht="409" customHeight="true">
      <c r="A57" s="30" t="s">
        <v>129</v>
      </c>
    </row>
    <row r="58" ht="409" customHeight="true">
      <c r="A58" s="30" t="s">
        <v>129</v>
      </c>
    </row>
    <row r="59" ht="409" customHeight="true">
      <c r="A59" s="30" t="s">
        <v>133</v>
      </c>
    </row>
    <row r="60" ht="409" customHeight="true">
      <c r="A60" s="30" t="s">
        <v>133</v>
      </c>
    </row>
    <row r="61" ht="409" customHeight="true">
      <c r="A61" s="30" t="s">
        <v>137</v>
      </c>
    </row>
    <row r="62" ht="409" customHeight="true">
      <c r="A62" s="30" t="s">
        <v>137</v>
      </c>
    </row>
    <row r="63" ht="409" customHeight="true">
      <c r="A63" s="30" t="s">
        <v>140</v>
      </c>
    </row>
    <row r="64" ht="409" customHeight="true">
      <c r="A64" s="30" t="s">
        <v>140</v>
      </c>
    </row>
    <row r="65" ht="409" customHeight="true">
      <c r="A65" s="30" t="s">
        <v>144</v>
      </c>
    </row>
    <row r="66" ht="409" customHeight="true">
      <c r="A66" s="30" t="s">
        <v>144</v>
      </c>
    </row>
    <row r="67" ht="409" customHeight="true">
      <c r="A67" s="30" t="s">
        <v>148</v>
      </c>
    </row>
    <row r="68" ht="409" customHeight="true">
      <c r="A68" s="30" t="s">
        <v>148</v>
      </c>
    </row>
    <row r="69" ht="409" customHeight="true">
      <c r="A69" s="30" t="s">
        <v>150</v>
      </c>
    </row>
    <row r="70" ht="409" customHeight="true">
      <c r="A70" s="30" t="s">
        <v>150</v>
      </c>
    </row>
    <row r="71" ht="409" customHeight="true">
      <c r="A71" s="30" t="s">
        <v>154</v>
      </c>
    </row>
    <row r="72" ht="409" customHeight="true">
      <c r="A72" s="30" t="s">
        <v>154</v>
      </c>
    </row>
    <row r="73" ht="409" customHeight="true">
      <c r="A73" s="30" t="s">
        <v>158</v>
      </c>
    </row>
    <row r="74" ht="409" customHeight="true">
      <c r="A74" s="30" t="s">
        <v>158</v>
      </c>
    </row>
    <row r="75" ht="409" customHeight="true">
      <c r="A75" s="30" t="s">
        <v>161</v>
      </c>
    </row>
    <row r="76" ht="409" customHeight="true">
      <c r="A76" s="30" t="s">
        <v>161</v>
      </c>
    </row>
    <row r="77" ht="409" customHeight="true">
      <c r="A77" s="30" t="s">
        <v>165</v>
      </c>
    </row>
    <row r="78" ht="409" customHeight="true">
      <c r="A78" s="30" t="s">
        <v>165</v>
      </c>
    </row>
    <row r="79" ht="409" customHeight="true">
      <c r="A79" s="30" t="s">
        <v>169</v>
      </c>
    </row>
    <row r="80" ht="409" customHeight="true">
      <c r="A80" s="30" t="s">
        <v>169</v>
      </c>
    </row>
    <row r="81" ht="409" customHeight="true">
      <c r="A81" s="30" t="s">
        <v>172</v>
      </c>
    </row>
    <row r="82" ht="409" customHeight="true">
      <c r="A82" s="30" t="s">
        <v>172</v>
      </c>
    </row>
    <row r="83" ht="409" customHeight="true">
      <c r="A83" s="30" t="s">
        <v>175</v>
      </c>
    </row>
    <row r="84" ht="409" customHeight="true">
      <c r="A84" s="30" t="s">
        <v>175</v>
      </c>
    </row>
    <row r="85" ht="409" customHeight="true">
      <c r="A85" s="30" t="s">
        <v>179</v>
      </c>
    </row>
    <row r="86" ht="409" customHeight="true">
      <c r="A86" s="30" t="s">
        <v>179</v>
      </c>
    </row>
    <row r="87" ht="409" customHeight="true">
      <c r="A87" s="30" t="s">
        <v>182</v>
      </c>
    </row>
    <row r="88" ht="409" customHeight="true">
      <c r="A88" s="30" t="s">
        <v>182</v>
      </c>
    </row>
    <row r="89" ht="409" customHeight="true">
      <c r="A89" s="30" t="s">
        <v>186</v>
      </c>
    </row>
    <row r="90" ht="409" customHeight="true">
      <c r="A90" s="30" t="s">
        <v>186</v>
      </c>
    </row>
    <row r="91" ht="409" customHeight="true">
      <c r="A91" s="30" t="s">
        <v>190</v>
      </c>
    </row>
    <row r="92" ht="409" customHeight="true">
      <c r="A92" s="30" t="s">
        <v>190</v>
      </c>
    </row>
    <row r="93" ht="409" customHeight="true">
      <c r="A93" s="30" t="s">
        <v>194</v>
      </c>
    </row>
    <row r="94" ht="409" customHeight="true">
      <c r="A94" s="30" t="s">
        <v>194</v>
      </c>
    </row>
    <row r="95" ht="409" customHeight="true">
      <c r="A95" s="30" t="s">
        <v>198</v>
      </c>
    </row>
    <row r="96" ht="409" customHeight="true">
      <c r="A96" s="30" t="s">
        <v>198</v>
      </c>
    </row>
    <row r="97" ht="409" customHeight="true">
      <c r="A97" s="30" t="s">
        <v>201</v>
      </c>
    </row>
    <row r="98" ht="409" customHeight="true">
      <c r="A98" s="30" t="s">
        <v>201</v>
      </c>
    </row>
    <row r="99" ht="409" customHeight="true">
      <c r="A99" s="30" t="s">
        <v>204</v>
      </c>
    </row>
    <row r="100" ht="409" customHeight="true">
      <c r="A100" s="30" t="s">
        <v>204</v>
      </c>
    </row>
    <row r="101" ht="409" customHeight="true">
      <c r="A101" s="30" t="s">
        <v>208</v>
      </c>
    </row>
    <row r="102" ht="409" customHeight="true">
      <c r="A102" s="30" t="s">
        <v>208</v>
      </c>
    </row>
    <row r="103" ht="409" customHeight="true">
      <c r="A103" s="30" t="s">
        <v>211</v>
      </c>
    </row>
    <row r="104" ht="409" customHeight="true">
      <c r="A104" s="30" t="s">
        <v>211</v>
      </c>
    </row>
    <row r="105" ht="409" customHeight="true">
      <c r="A105" s="30" t="s">
        <v>213</v>
      </c>
    </row>
    <row r="106" ht="409" customHeight="true">
      <c r="A106" s="30" t="s">
        <v>213</v>
      </c>
    </row>
    <row r="107" ht="409" customHeight="true">
      <c r="A107" s="30" t="s">
        <v>217</v>
      </c>
    </row>
    <row r="108" ht="409" customHeight="true">
      <c r="A108" s="30" t="s">
        <v>217</v>
      </c>
    </row>
    <row r="109" ht="409" customHeight="true">
      <c r="A109" s="30" t="s">
        <v>219</v>
      </c>
    </row>
    <row r="110" ht="409" customHeight="true">
      <c r="A110" s="30" t="s">
        <v>219</v>
      </c>
    </row>
    <row r="111" ht="409" customHeight="true">
      <c r="A111" s="30" t="s">
        <v>222</v>
      </c>
    </row>
    <row r="112" ht="409" customHeight="true">
      <c r="A112" s="30" t="s">
        <v>222</v>
      </c>
    </row>
    <row r="113" ht="409" customHeight="true">
      <c r="A113" s="30" t="s">
        <v>226</v>
      </c>
    </row>
    <row r="114" ht="409" customHeight="true">
      <c r="A114" s="30" t="s">
        <v>226</v>
      </c>
    </row>
    <row r="115" ht="409" customHeight="true">
      <c r="A115" s="30" t="s">
        <v>228</v>
      </c>
    </row>
    <row r="116" ht="409" customHeight="true">
      <c r="A116" s="30" t="s">
        <v>228</v>
      </c>
    </row>
    <row r="117" ht="409" customHeight="true">
      <c r="A117" s="30" t="s">
        <v>231</v>
      </c>
    </row>
    <row r="118" ht="409" customHeight="true">
      <c r="A118" s="30" t="s">
        <v>231</v>
      </c>
    </row>
    <row r="119" ht="409" customHeight="true">
      <c r="A119" s="30" t="s">
        <v>234</v>
      </c>
    </row>
    <row r="120" ht="409" customHeight="true">
      <c r="A120" s="30" t="s">
        <v>234</v>
      </c>
    </row>
    <row r="121" ht="409" customHeight="true">
      <c r="A121" s="30" t="s">
        <v>236</v>
      </c>
    </row>
    <row r="122" ht="409" customHeight="true">
      <c r="A122" s="30" t="s">
        <v>236</v>
      </c>
    </row>
    <row r="123" ht="409" customHeight="true">
      <c r="A123" s="30" t="s">
        <v>239</v>
      </c>
    </row>
    <row r="124" ht="409" customHeight="true">
      <c r="A124" s="30" t="s">
        <v>239</v>
      </c>
    </row>
    <row r="125" ht="409" customHeight="true">
      <c r="A125" s="30" t="s">
        <v>243</v>
      </c>
    </row>
    <row r="126" ht="409" customHeight="true">
      <c r="A126" s="30" t="s">
        <v>243</v>
      </c>
    </row>
    <row r="127" ht="409" customHeight="true">
      <c r="A127" s="30" t="s">
        <v>245</v>
      </c>
    </row>
    <row r="128" ht="409" customHeight="true">
      <c r="A128" s="30" t="s">
        <v>245</v>
      </c>
    </row>
    <row r="129" ht="409" customHeight="true">
      <c r="A129" s="30" t="s">
        <v>248</v>
      </c>
    </row>
    <row r="130" ht="409" customHeight="true">
      <c r="A130" s="30" t="s">
        <v>248</v>
      </c>
    </row>
    <row r="131" ht="409" customHeight="true">
      <c r="A131" s="30" t="s">
        <v>251</v>
      </c>
    </row>
    <row r="132" ht="409" customHeight="true">
      <c r="A132" s="30" t="s">
        <v>251</v>
      </c>
    </row>
    <row r="133" ht="409" customHeight="true">
      <c r="A133" s="30" t="s">
        <v>253</v>
      </c>
    </row>
    <row r="134" ht="409" customHeight="true">
      <c r="A134" s="30" t="s">
        <v>253</v>
      </c>
    </row>
    <row r="135" ht="409" customHeight="true">
      <c r="A135" s="30" t="s">
        <v>256</v>
      </c>
    </row>
    <row r="136" ht="409" customHeight="true">
      <c r="A136" s="30" t="s">
        <v>256</v>
      </c>
    </row>
    <row r="137" ht="409" customHeight="true">
      <c r="A137" s="30" t="s">
        <v>260</v>
      </c>
    </row>
    <row r="138" ht="409" customHeight="true">
      <c r="A138" s="30" t="s">
        <v>260</v>
      </c>
    </row>
    <row r="139" ht="409" customHeight="true">
      <c r="A139" s="30" t="s">
        <v>263</v>
      </c>
    </row>
    <row r="140" ht="409" customHeight="true">
      <c r="A140" s="30" t="s">
        <v>263</v>
      </c>
    </row>
    <row r="141" ht="409" customHeight="true">
      <c r="A141" s="30" t="s">
        <v>266</v>
      </c>
    </row>
    <row r="142" ht="409" customHeight="true">
      <c r="A142" s="30" t="s">
        <v>266</v>
      </c>
    </row>
    <row r="143" ht="409" customHeight="true">
      <c r="A143" s="30" t="s">
        <v>269</v>
      </c>
    </row>
    <row r="144" ht="409" customHeight="true">
      <c r="A144" s="30" t="s">
        <v>269</v>
      </c>
    </row>
    <row r="145" ht="409" customHeight="true">
      <c r="A145" s="30" t="s">
        <v>272</v>
      </c>
    </row>
    <row r="146" ht="409" customHeight="true">
      <c r="A146" s="30" t="s">
        <v>272</v>
      </c>
    </row>
    <row r="147" ht="409" customHeight="true">
      <c r="A147" s="30" t="s">
        <v>275</v>
      </c>
    </row>
    <row r="148" ht="409" customHeight="true">
      <c r="A148" s="30" t="s">
        <v>275</v>
      </c>
    </row>
    <row r="149" ht="409" customHeight="true">
      <c r="A149" s="30" t="s">
        <v>279</v>
      </c>
    </row>
    <row r="150" ht="409" customHeight="true">
      <c r="A150" s="30" t="s">
        <v>279</v>
      </c>
    </row>
    <row r="151" ht="409" customHeight="true">
      <c r="A151" s="30" t="s">
        <v>282</v>
      </c>
    </row>
    <row r="152" ht="409" customHeight="true">
      <c r="A152" s="30" t="s">
        <v>282</v>
      </c>
    </row>
    <row r="153" ht="409" customHeight="true">
      <c r="A153" s="30" t="s">
        <v>285</v>
      </c>
    </row>
    <row r="154" ht="409" customHeight="true">
      <c r="A154" s="30" t="s">
        <v>285</v>
      </c>
    </row>
    <row r="155" ht="409" customHeight="true">
      <c r="A155" s="30" t="s">
        <v>289</v>
      </c>
    </row>
    <row r="156" ht="409" customHeight="true">
      <c r="A156" s="30" t="s">
        <v>289</v>
      </c>
    </row>
    <row r="157" ht="409" customHeight="true">
      <c r="A157" s="30" t="s">
        <v>292</v>
      </c>
    </row>
    <row r="158" ht="409" customHeight="true">
      <c r="A158" s="30" t="s">
        <v>292</v>
      </c>
    </row>
    <row r="159" ht="409" customHeight="true">
      <c r="A159" s="30" t="s">
        <v>295</v>
      </c>
    </row>
    <row r="160" ht="409" customHeight="true">
      <c r="A160" s="30" t="s">
        <v>295</v>
      </c>
    </row>
    <row r="161" ht="409" customHeight="true">
      <c r="A161" s="30" t="s">
        <v>298</v>
      </c>
    </row>
    <row r="162" ht="409" customHeight="true">
      <c r="A162" s="30" t="s">
        <v>298</v>
      </c>
    </row>
    <row r="163" ht="409" customHeight="true">
      <c r="A163" s="30" t="s">
        <v>301</v>
      </c>
    </row>
    <row r="164" ht="409" customHeight="true">
      <c r="A164" s="30" t="s">
        <v>301</v>
      </c>
    </row>
    <row r="165" ht="409" customHeight="true">
      <c r="A165" s="30" t="s">
        <v>304</v>
      </c>
    </row>
    <row r="166" ht="409" customHeight="true">
      <c r="A166" s="30" t="s">
        <v>304</v>
      </c>
    </row>
    <row r="167" ht="409" customHeight="true">
      <c r="A167" s="30" t="s">
        <v>308</v>
      </c>
    </row>
    <row r="168" ht="409" customHeight="true">
      <c r="A168" s="30" t="s">
        <v>308</v>
      </c>
    </row>
    <row r="169" ht="409" customHeight="true">
      <c r="A169" s="30" t="s">
        <v>310</v>
      </c>
    </row>
    <row r="170" ht="409" customHeight="true">
      <c r="A170" s="30" t="s">
        <v>310</v>
      </c>
    </row>
    <row r="171" ht="409" customHeight="true">
      <c r="A171" s="30" t="s">
        <v>312</v>
      </c>
    </row>
    <row r="172" ht="409" customHeight="true">
      <c r="A172" s="30" t="s">
        <v>312</v>
      </c>
    </row>
    <row r="173" ht="409" customHeight="true">
      <c r="A173" s="30" t="s">
        <v>316</v>
      </c>
    </row>
    <row r="174" ht="409" customHeight="true">
      <c r="A174" s="30" t="s">
        <v>316</v>
      </c>
    </row>
    <row r="175" ht="409" customHeight="true">
      <c r="A175" s="30" t="s">
        <v>319</v>
      </c>
    </row>
    <row r="176" ht="409" customHeight="true">
      <c r="A176" s="30" t="s">
        <v>319</v>
      </c>
    </row>
    <row r="177" ht="409" customHeight="true">
      <c r="A177" s="30" t="s">
        <v>321</v>
      </c>
    </row>
    <row r="178" ht="409" customHeight="true">
      <c r="A178" s="30" t="s">
        <v>321</v>
      </c>
    </row>
    <row r="179" ht="409" customHeight="true">
      <c r="A179" s="30" t="s">
        <v>325</v>
      </c>
    </row>
    <row r="180" ht="409" customHeight="true">
      <c r="A180" s="30" t="s">
        <v>325</v>
      </c>
    </row>
    <row r="181" ht="409" customHeight="true">
      <c r="A181" s="30" t="s">
        <v>328</v>
      </c>
    </row>
    <row r="182" ht="409" customHeight="true">
      <c r="A182" s="30" t="s">
        <v>328</v>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portrait" paperSize="9"/>
  <rowBreaks count="91" manualBreakCount="91">
    <brk id="2" max="16383" man="true"/>
    <brk id="4" max="16383" man="true"/>
    <brk id="6" max="16383" man="true"/>
    <brk id="8" max="16383" man="true"/>
    <brk id="10" max="16383" man="true"/>
    <brk id="12" max="16383" man="true"/>
    <brk id="14" max="16383" man="true"/>
    <brk id="16" max="16383" man="true"/>
    <brk id="18" max="16383" man="true"/>
    <brk id="20" max="16383" man="true"/>
    <brk id="22" max="16383" man="true"/>
    <brk id="24" max="16383" man="true"/>
    <brk id="26" max="16383" man="true"/>
    <brk id="28" max="16383" man="true"/>
    <brk id="30" max="16383" man="true"/>
    <brk id="32" max="16383" man="true"/>
    <brk id="34" max="16383" man="true"/>
    <brk id="36" max="16383" man="true"/>
    <brk id="38" max="16383" man="true"/>
    <brk id="40" max="16383" man="true"/>
    <brk id="42" max="16383" man="true"/>
    <brk id="44" max="16383" man="true"/>
    <brk id="46" max="16383" man="true"/>
    <brk id="48" max="16383" man="true"/>
    <brk id="50" max="16383" man="true"/>
    <brk id="52" max="16383" man="true"/>
    <brk id="54" max="16383" man="true"/>
    <brk id="56" max="16383" man="true"/>
    <brk id="58" max="16383" man="true"/>
    <brk id="60" max="16383" man="true"/>
    <brk id="62" max="16383" man="true"/>
    <brk id="64" max="16383" man="true"/>
    <brk id="66" max="16383" man="true"/>
    <brk id="68" max="16383" man="true"/>
    <brk id="70" max="16383" man="true"/>
    <brk id="72" max="16383" man="true"/>
    <brk id="74" max="16383" man="true"/>
    <brk id="76" max="16383" man="true"/>
    <brk id="78" max="16383" man="true"/>
    <brk id="80" max="16383" man="true"/>
    <brk id="82" max="16383" man="true"/>
    <brk id="84" max="16383" man="true"/>
    <brk id="86" max="16383" man="true"/>
    <brk id="88" max="16383" man="true"/>
    <brk id="90" max="16383" man="true"/>
    <brk id="92" max="16383" man="true"/>
    <brk id="94" max="16383" man="true"/>
    <brk id="96" max="16383" man="true"/>
    <brk id="98" max="16383" man="true"/>
    <brk id="100" max="16383" man="true"/>
    <brk id="102" max="16383" man="true"/>
    <brk id="104" max="16383" man="true"/>
    <brk id="106" max="16383" man="true"/>
    <brk id="108" max="16383" man="true"/>
    <brk id="110" max="16383" man="true"/>
    <brk id="112" max="16383" man="true"/>
    <brk id="114" max="16383" man="true"/>
    <brk id="116" max="16383" man="true"/>
    <brk id="118" max="16383" man="true"/>
    <brk id="120" max="16383" man="true"/>
    <brk id="122" max="16383" man="true"/>
    <brk id="124" max="16383" man="true"/>
    <brk id="126" max="16383" man="true"/>
    <brk id="128" max="16383" man="true"/>
    <brk id="130" max="16383" man="true"/>
    <brk id="132" max="16383" man="true"/>
    <brk id="134" max="16383" man="true"/>
    <brk id="136" max="16383" man="true"/>
    <brk id="138" max="16383" man="true"/>
    <brk id="140" max="16383" man="true"/>
    <brk id="142" max="16383" man="true"/>
    <brk id="144" max="16383" man="true"/>
    <brk id="146" max="16383" man="true"/>
    <brk id="148" max="16383" man="true"/>
    <brk id="150" max="16383" man="true"/>
    <brk id="152" max="16383" man="true"/>
    <brk id="154" max="16383" man="true"/>
    <brk id="156" max="16383" man="true"/>
    <brk id="158" max="16383" man="true"/>
    <brk id="160" max="16383" man="true"/>
    <brk id="162" max="16383" man="true"/>
    <brk id="164" max="16383" man="true"/>
    <brk id="166" max="16383" man="true"/>
    <brk id="168" max="16383" man="true"/>
    <brk id="170" max="16383" man="true"/>
    <brk id="172" max="16383" man="true"/>
    <brk id="174" max="16383" man="true"/>
    <brk id="176" max="16383" man="true"/>
    <brk id="178" max="16383" man="true"/>
    <brk id="180" max="16383" man="true"/>
    <brk id="182" max="16383" man="true"/>
  </rowBreaks>
  <colBrea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