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Tree 2" sheetId="9" r:id="rId12"/>
    <sheet name="Names to Print A" sheetId="10" r:id="rId13"/>
    <sheet name="Names to Print B" sheetId="11" r:id="rId14"/>
  </sheets>
  <definedNames>
    <definedName localSheetId="3" name="_xlnm.Print_Area">'Tree 1'!$A$1:$K$35</definedName>
    <definedName localSheetId="4" name="_xlnm.Print_Area">'Tree 2'!$A$1:$K$35</definedName>
    <definedName localSheetId="5" name="_xlnm.Print_Area">'Names to Print A'!$A$1:$B$12</definedName>
    <definedName localSheetId="6" name="_xlnm.Print_Area">'Names to Print B'!$A$1:$B$12</definedName>
    <definedName localSheetId="2" name="_xlnm.Print_Area">'Elimination Matches'!$A$1:$P$122</definedName>
  </definedNames>
  <calcPr calcId="122211"/>
</workbook>
</file>

<file path=xl/sharedStrings.xml><?xml version="1.0" encoding="utf-8"?>
<sst xmlns="http://schemas.openxmlformats.org/spreadsheetml/2006/main" count="146" uniqueCount="146">
  <si>
    <t>Number of pools</t>
  </si>
  <si>
    <t>Team size</t>
  </si>
  <si>
    <t>Matches per pool</t>
  </si>
  <si>
    <t>Time per match</t>
  </si>
  <si>
    <t>Total time for matches</t>
  </si>
  <si>
    <t>Padding time for rotation</t>
  </si>
  <si>
    <t>Time for breaks</t>
  </si>
  <si>
    <t>Total Time</t>
  </si>
  <si>
    <t>Number of Elimination Matches</t>
  </si>
  <si>
    <t>Title prefix:</t>
  </si>
  <si>
    <t/>
  </si>
  <si>
    <t>Entry order</t>
  </si>
  <si>
    <t>Player Name</t>
  </si>
  <si>
    <t>Player Dojo</t>
  </si>
  <si>
    <t>Display Name</t>
  </si>
  <si>
    <t>Player Number</t>
  </si>
  <si>
    <t>Metadata</t>
  </si>
  <si>
    <t>Cersei Lannister</t>
  </si>
  <si>
    <t>Team Gamma</t>
  </si>
  <si>
    <t>LANNISTER</t>
  </si>
  <si>
    <t>K1</t>
  </si>
  <si>
    <t>Gandalf The Grey</t>
  </si>
  <si>
    <t>Team Eta</t>
  </si>
  <si>
    <t>GANDALF</t>
  </si>
  <si>
    <t>K2</t>
  </si>
  <si>
    <t>Hermione Granger</t>
  </si>
  <si>
    <t>Team Theta</t>
  </si>
  <si>
    <t>GRANGER</t>
  </si>
  <si>
    <t>K3</t>
  </si>
  <si>
    <t>Inigo Montoya</t>
  </si>
  <si>
    <t>Team Iota</t>
  </si>
  <si>
    <t>MONTOYA</t>
  </si>
  <si>
    <t>K4</t>
  </si>
  <si>
    <t>Jon Snow</t>
  </si>
  <si>
    <t>Team Kappa</t>
  </si>
  <si>
    <t>SNOW</t>
  </si>
  <si>
    <t>K5</t>
  </si>
  <si>
    <t>Katniss Everdeen</t>
  </si>
  <si>
    <t>Team Lambda</t>
  </si>
  <si>
    <t>EVERDEEN</t>
  </si>
  <si>
    <t>K6</t>
  </si>
  <si>
    <t>Petyr Baelish</t>
  </si>
  <si>
    <t>Team Pi</t>
  </si>
  <si>
    <t>BAELISH</t>
  </si>
  <si>
    <t>K7</t>
  </si>
  <si>
    <t>Legolas Greenleaf</t>
  </si>
  <si>
    <t>Team Mu</t>
  </si>
  <si>
    <t>GREENLEAF</t>
  </si>
  <si>
    <t>K8</t>
  </si>
  <si>
    <t>Frodo Baggins</t>
  </si>
  <si>
    <t>Team Zeta</t>
  </si>
  <si>
    <t>BAGGINS</t>
  </si>
  <si>
    <t>K9</t>
  </si>
  <si>
    <t>Moby Dick</t>
  </si>
  <si>
    <t>Team Nu</t>
  </si>
  <si>
    <t>DICK</t>
  </si>
  <si>
    <t>K10</t>
  </si>
  <si>
    <t>Neville Longbottom</t>
  </si>
  <si>
    <t>Team Xi</t>
  </si>
  <si>
    <t>LONGBOTTOM</t>
  </si>
  <si>
    <t>K11</t>
  </si>
  <si>
    <t>Othello</t>
  </si>
  <si>
    <t>Team Omicron</t>
  </si>
  <si>
    <t>OTHELLO</t>
  </si>
  <si>
    <t>K12</t>
  </si>
  <si>
    <t>K13</t>
  </si>
  <si>
    <t>Quirinus Quirrell</t>
  </si>
  <si>
    <t>Team Rho</t>
  </si>
  <si>
    <t>QUIRRELL</t>
  </si>
  <si>
    <t>K14</t>
  </si>
  <si>
    <t>Ron Weasley</t>
  </si>
  <si>
    <t>Team Sigma</t>
  </si>
  <si>
    <t>WEASLEY</t>
  </si>
  <si>
    <t>K15</t>
  </si>
  <si>
    <t>Samwise Gamgee</t>
  </si>
  <si>
    <t>Team Tau</t>
  </si>
  <si>
    <t>GAMGEE</t>
  </si>
  <si>
    <t>K16</t>
  </si>
  <si>
    <t>Daenerys Targaryen</t>
  </si>
  <si>
    <t>Team Delta</t>
  </si>
  <si>
    <t>TARGARYEN</t>
  </si>
  <si>
    <t>K17</t>
  </si>
  <si>
    <t>Tyrion Lannister</t>
  </si>
  <si>
    <t>Team Upsilon</t>
  </si>
  <si>
    <t>K18</t>
  </si>
  <si>
    <t>Ulysses</t>
  </si>
  <si>
    <t>Team Phi</t>
  </si>
  <si>
    <t>ULYSSES</t>
  </si>
  <si>
    <t>K19</t>
  </si>
  <si>
    <t>Voldemort</t>
  </si>
  <si>
    <t>Team Chi</t>
  </si>
  <si>
    <t>VOLDEMORT</t>
  </si>
  <si>
    <t>K20</t>
  </si>
  <si>
    <t>Willy Wonka</t>
  </si>
  <si>
    <t>Team Psi</t>
  </si>
  <si>
    <t>WONKA</t>
  </si>
  <si>
    <t>K21</t>
  </si>
  <si>
    <t>Xaro Xhoan Daxos</t>
  </si>
  <si>
    <t>Team Omega</t>
  </si>
  <si>
    <t>DAXOS</t>
  </si>
  <si>
    <t>K22</t>
  </si>
  <si>
    <t>Ygritte</t>
  </si>
  <si>
    <t>Team Alpha</t>
  </si>
  <si>
    <t>YGRITTE</t>
  </si>
  <si>
    <t>K23</t>
  </si>
  <si>
    <t>Eddard Stark</t>
  </si>
  <si>
    <t>Team Epsilon</t>
  </si>
  <si>
    <t>STARK</t>
  </si>
  <si>
    <t>K24</t>
  </si>
  <si>
    <t>Shiaijo A</t>
  </si>
  <si>
    <t>Shiaijo B</t>
  </si>
  <si>
    <t>Round 1 - Match 1</t>
  </si>
  <si>
    <t>White</t>
  </si>
  <si>
    <t>vs</t>
  </si>
  <si>
    <t>Red</t>
  </si>
  <si>
    <t>1.</t>
  </si>
  <si>
    <t>2.</t>
  </si>
  <si>
    <t>Round 1 - Match 5</t>
  </si>
  <si>
    <t>Round 1 - Match 2</t>
  </si>
  <si>
    <t>Round 1 - Match 6</t>
  </si>
  <si>
    <t>Round 1 - Match 3</t>
  </si>
  <si>
    <t>Round 1 - Match 7</t>
  </si>
  <si>
    <t>Round 1 - Match 4</t>
  </si>
  <si>
    <t>Round 1 - Match 8</t>
  </si>
  <si>
    <t>Round 2 - Match 9</t>
  </si>
  <si>
    <t>Round 2 - Match 13</t>
  </si>
  <si>
    <t>Round 2 - Match 10</t>
  </si>
  <si>
    <t>Round 2 - Match 14</t>
  </si>
  <si>
    <t>Round 2 - Match 11</t>
  </si>
  <si>
    <t>Round 2 - Match 15</t>
  </si>
  <si>
    <t>Round 2 - Match 12</t>
  </si>
  <si>
    <t>Round 2 - Match 16</t>
  </si>
  <si>
    <t>Round 3 - Match 17</t>
  </si>
  <si>
    <t>Round 3 - Match 19</t>
  </si>
  <si>
    <t>Round 3 - Match 18</t>
  </si>
  <si>
    <t>Round 3 - Match 20</t>
  </si>
  <si>
    <t>Round 4 - Match 21</t>
  </si>
  <si>
    <t>Round 4 - Match 22</t>
  </si>
  <si>
    <t>Round 5 - Match 23</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</si>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</sst>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color rgb="FF000000"/>
      <sz val="100"/>
    </font>
    <font>
      <name val="Calibri"/>
      <family val="2"/>
      <color rgb="FF000000"/>
      <sz val="110"/>
    </font>
    <font>
      <name val="Calibri"/>
      <family val="2"/>
      <b val="1"/>
      <color rgb="FFFFFFFF"/>
      <sz val="1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shrinkToFit="true" vertical="center"/>
    </xf>
    <xf numFmtId="0" fontId="9" fillId="0" borderId="1" xfId="0" applyFont="true" applyBorder="true" applyAlignment="true">
      <alignment horizontal="center" shrinkToFit="true"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v>1</v>
      </c>
      <c r="B3" t="s">
        <v>17</v>
      </c>
      <c r="C3" t="s">
        <v>18</v>
      </c>
      <c r="D3" t="s">
        <v>19</v>
      </c>
      <c r="E3" t="s">
        <v>20</v>
      </c>
    </row>
    <row r="4">
      <c r="A4">
        <v>5</v>
      </c>
      <c r="B4" t="s">
        <v>21</v>
      </c>
      <c r="C4" t="s">
        <v>22</v>
      </c>
      <c r="D4" t="s">
        <v>23</v>
      </c>
      <c r="E4" t="s">
        <v>24</v>
      </c>
    </row>
    <row r="5">
      <c r="A5">
        <v>6</v>
      </c>
      <c r="B5" t="s">
        <v>25</v>
      </c>
      <c r="C5" t="s">
        <v>26</v>
      </c>
      <c r="D5" t="s">
        <v>27</v>
      </c>
      <c r="E5" t="s">
        <v>28</v>
      </c>
    </row>
    <row r="6">
      <c r="A6">
        <v>7</v>
      </c>
      <c r="B6" t="s">
        <v>29</v>
      </c>
      <c r="C6" t="s">
        <v>30</v>
      </c>
      <c r="D6" t="s">
        <v>31</v>
      </c>
      <c r="E6" t="s">
        <v>32</v>
      </c>
    </row>
    <row r="7">
      <c r="A7">
        <v>8</v>
      </c>
      <c r="B7" t="s">
        <v>33</v>
      </c>
      <c r="C7" t="s">
        <v>34</v>
      </c>
      <c r="D7" t="s">
        <v>35</v>
      </c>
      <c r="E7" t="s">
        <v>36</v>
      </c>
    </row>
    <row r="8">
      <c r="A8">
        <v>9</v>
      </c>
      <c r="B8" t="s">
        <v>37</v>
      </c>
      <c r="C8" t="s">
        <v>38</v>
      </c>
      <c r="D8" t="s">
        <v>39</v>
      </c>
      <c r="E8" t="s">
        <v>40</v>
      </c>
    </row>
    <row r="9">
      <c r="A9">
        <v>15</v>
      </c>
      <c r="B9" t="s">
        <v>41</v>
      </c>
      <c r="C9" t="s">
        <v>42</v>
      </c>
      <c r="D9" t="s">
        <v>43</v>
      </c>
      <c r="E9" t="s">
        <v>44</v>
      </c>
    </row>
    <row r="10">
      <c r="A10">
        <v>11</v>
      </c>
      <c r="B10" t="s">
        <v>45</v>
      </c>
      <c r="C10" t="s">
        <v>46</v>
      </c>
      <c r="D10" t="s">
        <v>47</v>
      </c>
      <c r="E10" t="s">
        <v>48</v>
      </c>
    </row>
    <row r="11">
      <c r="A11">
        <v>4</v>
      </c>
      <c r="B11" t="s">
        <v>49</v>
      </c>
      <c r="C11" t="s">
        <v>50</v>
      </c>
      <c r="D11" t="s">
        <v>51</v>
      </c>
      <c r="E11" t="s">
        <v>52</v>
      </c>
    </row>
    <row r="12">
      <c r="A12">
        <v>12</v>
      </c>
      <c r="B12" t="s">
        <v>53</v>
      </c>
      <c r="C12" t="s">
        <v>54</v>
      </c>
      <c r="D12" t="s">
        <v>55</v>
      </c>
      <c r="E12" t="s">
        <v>56</v>
      </c>
    </row>
    <row r="13">
      <c r="A13">
        <v>13</v>
      </c>
      <c r="B13" t="s">
        <v>57</v>
      </c>
      <c r="C13" t="s">
        <v>58</v>
      </c>
      <c r="D13" t="s">
        <v>59</v>
      </c>
      <c r="E13" t="s">
        <v>60</v>
      </c>
    </row>
    <row r="14">
      <c r="A14">
        <v>14</v>
      </c>
      <c r="B14" t="s">
        <v>61</v>
      </c>
      <c r="C14" t="s">
        <v>62</v>
      </c>
      <c r="D14" t="s">
        <v>63</v>
      </c>
      <c r="E14" t="s">
        <v>64</v>
      </c>
    </row>
    <row r="15">
      <c r="A15">
        <v>10</v>
      </c>
      <c r="B15" t="s">
        <v>37</v>
      </c>
      <c r="C15" t="s">
        <v>46</v>
      </c>
      <c r="D15" t="s">
        <v>39</v>
      </c>
      <c r="E15" t="s">
        <v>65</v>
      </c>
    </row>
    <row r="16">
      <c r="A16">
        <v>16</v>
      </c>
      <c r="B16" t="s">
        <v>66</v>
      </c>
      <c r="C16" t="s">
        <v>67</v>
      </c>
      <c r="D16" t="s">
        <v>68</v>
      </c>
      <c r="E16" t="s">
        <v>69</v>
      </c>
    </row>
    <row r="17">
      <c r="A17">
        <v>17</v>
      </c>
      <c r="B17" t="s">
        <v>70</v>
      </c>
      <c r="C17" t="s">
        <v>71</v>
      </c>
      <c r="D17" t="s">
        <v>72</v>
      </c>
      <c r="E17" t="s">
        <v>73</v>
      </c>
    </row>
    <row r="18">
      <c r="A18">
        <v>18</v>
      </c>
      <c r="B18" t="s">
        <v>74</v>
      </c>
      <c r="C18" t="s">
        <v>75</v>
      </c>
      <c r="D18" t="s">
        <v>76</v>
      </c>
      <c r="E18" t="s">
        <v>77</v>
      </c>
    </row>
    <row r="19">
      <c r="A19">
        <v>2</v>
      </c>
      <c r="B19" t="s">
        <v>78</v>
      </c>
      <c r="C19" t="s">
        <v>79</v>
      </c>
      <c r="D19" t="s">
        <v>80</v>
      </c>
      <c r="E19" t="s">
        <v>81</v>
      </c>
    </row>
    <row r="20">
      <c r="A20">
        <v>19</v>
      </c>
      <c r="B20" t="s">
        <v>82</v>
      </c>
      <c r="C20" t="s">
        <v>83</v>
      </c>
      <c r="D20" t="s">
        <v>19</v>
      </c>
      <c r="E20" t="s">
        <v>84</v>
      </c>
    </row>
    <row r="21">
      <c r="A21">
        <v>20</v>
      </c>
      <c r="B21" t="s">
        <v>85</v>
      </c>
      <c r="C21" t="s">
        <v>86</v>
      </c>
      <c r="D21" t="s">
        <v>87</v>
      </c>
      <c r="E21" t="s">
        <v>88</v>
      </c>
    </row>
    <row r="22">
      <c r="A22">
        <v>21</v>
      </c>
      <c r="B22" t="s">
        <v>89</v>
      </c>
      <c r="C22" t="s">
        <v>90</v>
      </c>
      <c r="D22" t="s">
        <v>91</v>
      </c>
      <c r="E22" t="s">
        <v>92</v>
      </c>
    </row>
    <row r="23">
      <c r="A23">
        <v>22</v>
      </c>
      <c r="B23" t="s">
        <v>93</v>
      </c>
      <c r="C23" t="s">
        <v>94</v>
      </c>
      <c r="D23" t="s">
        <v>95</v>
      </c>
      <c r="E23" t="s">
        <v>96</v>
      </c>
    </row>
    <row r="24">
      <c r="A24">
        <v>23</v>
      </c>
      <c r="B24" t="s">
        <v>97</v>
      </c>
      <c r="C24" t="s">
        <v>98</v>
      </c>
      <c r="D24" t="s">
        <v>99</v>
      </c>
      <c r="E24" t="s">
        <v>100</v>
      </c>
    </row>
    <row r="25">
      <c r="A25">
        <v>24</v>
      </c>
      <c r="B25" t="s">
        <v>101</v>
      </c>
      <c r="C25" t="s">
        <v>102</v>
      </c>
      <c r="D25" t="s">
        <v>103</v>
      </c>
      <c r="E25" t="s">
        <v>104</v>
      </c>
    </row>
    <row r="26">
      <c r="A26">
        <v>3</v>
      </c>
      <c r="B26" t="s">
        <v>105</v>
      </c>
      <c r="C26" t="s">
        <v>106</v>
      </c>
      <c r="D26" t="s">
        <v>107</v>
      </c>
      <c r="E26" t="s">
        <v>108</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1</v>
      </c>
      <c r="C2" s="2">
        <v>0</v>
      </c>
      <c r="D2" s="3">
        <v>0.0020833333333333333</v>
      </c>
      <c r="E2" s="3" t="str">
        <f>(A2*B2*C2*D2)</f>
      </c>
      <c r="F2" s="3">
        <v>0.00034722222222222224</v>
      </c>
      <c r="G2" s="3">
        <v>0.020833333333333332</v>
      </c>
      <c r="H2" s="24" t="str">
        <f>C2*I2+J2</f>
      </c>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23</v>
      </c>
      <c r="B8" s="2">
        <v>1</v>
      </c>
      <c r="C8" s="2"/>
      <c r="D8" s="3">
        <v>0.002777777777777778</v>
      </c>
      <c r="E8" s="3" t="str">
        <f>(A8*B8*D8)</f>
      </c>
      <c r="F8" s="3">
        <v>0.00034722222222222224</v>
      </c>
      <c r="G8" s="3">
        <v>0.020833333333333332</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139</v>
      </c>
      <c r="F13" s="11"/>
      <c r="G13" s="11"/>
      <c r="H13" s="11"/>
    </row>
    <row r="14">
      <c r="A14">
        <v>2</v>
      </c>
      <c r="E14" s="25" t="s">
        <v>140</v>
      </c>
      <c r="F14" s="25"/>
      <c r="G14" s="25"/>
      <c r="H14" s="24" t="str">
        <f>H2</f>
      </c>
    </row>
    <row r="15">
      <c r="E15" s="25" t="s">
        <v>141</v>
      </c>
      <c r="F15" s="25"/>
      <c r="G15" s="25"/>
      <c r="H15" s="24" t="str">
        <f>H8</f>
      </c>
    </row>
    <row r="16">
      <c r="E16" s="25" t="s">
        <v>142</v>
      </c>
      <c r="F16" s="25"/>
      <c r="G16" s="25"/>
      <c r="H16" s="24" t="str">
        <f>H14+H15</f>
      </c>
    </row>
    <row r="17">
      <c r="E17" s="25" t="s">
        <v>143</v>
      </c>
      <c r="F17" s="25"/>
      <c r="G17" s="25"/>
      <c r="H17" s="24" t="str">
        <f>H16/A14</f>
      </c>
    </row>
    <row r="18">
      <c r="E18" s="11" t="s">
        <v>144</v>
      </c>
      <c r="F18" s="11"/>
      <c r="G18" s="11"/>
      <c r="H18" s="26">
        <v>0.375</v>
      </c>
    </row>
    <row r="19">
      <c r="E19" s="11" t="s">
        <v>145</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1" t="s">
        <v>109</v>
      </c>
      <c r="B1" s="11"/>
      <c r="C1" s="11"/>
      <c r="D1" s="11"/>
      <c r="E1" s="11"/>
      <c r="F1" s="11"/>
      <c r="G1" s="11"/>
      <c r="I1" s="11" t="s">
        <v>110</v>
      </c>
      <c r="J1" s="11"/>
      <c r="K1" s="11"/>
      <c r="L1" s="11"/>
      <c r="M1" s="11"/>
      <c r="N1" s="11"/>
      <c r="O1" s="11"/>
    </row>
    <row r="2">
      <c r="A2" s="11" t="s">
        <v>111</v>
      </c>
      <c r="B2" s="11"/>
      <c r="C2" s="11"/>
      <c r="D2" s="11"/>
      <c r="E2" s="11"/>
      <c r="F2" s="11"/>
      <c r="G2" s="11"/>
      <c r="I2" s="11" t="s">
        <v>117</v>
      </c>
      <c r="J2" s="11"/>
      <c r="K2" s="11"/>
      <c r="L2" s="11"/>
      <c r="M2" s="11"/>
      <c r="N2" s="11"/>
      <c r="O2" s="11"/>
    </row>
    <row r="3">
      <c r="A3" s="21" t="s">
        <v>112</v>
      </c>
      <c r="D3" s="19" t="s">
        <v>113</v>
      </c>
      <c r="G3" s="20" t="s">
        <v>114</v>
      </c>
      <c r="I3" s="21" t="s">
        <v>112</v>
      </c>
      <c r="L3" s="19" t="s">
        <v>113</v>
      </c>
      <c r="O3" s="20" t="s">
        <v>114</v>
      </c>
    </row>
    <row r="4">
      <c r="A4" s="19" t="str">
        <f>'data'!$B$5</f>
      </c>
      <c r="B4" s="22"/>
      <c r="C4" s="22"/>
      <c r="D4" s="22"/>
      <c r="E4" s="22"/>
      <c r="F4" s="22"/>
      <c r="G4" s="19" t="str">
        <f>'data'!$B$4</f>
      </c>
      <c r="I4" s="19" t="str">
        <f>'data'!$B$17</f>
      </c>
      <c r="J4" s="22"/>
      <c r="K4" s="22"/>
      <c r="L4" s="22"/>
      <c r="M4" s="22"/>
      <c r="N4" s="22"/>
      <c r="O4" s="19" t="str">
        <f>'data'!$B$16</f>
      </c>
    </row>
    <row r="6">
      <c r="F6" t="s">
        <v>115</v>
      </c>
      <c r="G6" s="23"/>
      <c r="N6" t="s">
        <v>115</v>
      </c>
      <c r="O6" s="23"/>
    </row>
    <row r="7">
      <c r="F7" t="s">
        <v>116</v>
      </c>
      <c r="G7" s="23"/>
      <c r="N7" t="s">
        <v>116</v>
      </c>
      <c r="O7" s="23"/>
    </row>
    <row r="10">
      <c r="A10" s="11" t="s">
        <v>118</v>
      </c>
      <c r="B10" s="11"/>
      <c r="C10" s="11"/>
      <c r="D10" s="11"/>
      <c r="E10" s="11"/>
      <c r="F10" s="11"/>
      <c r="G10" s="11"/>
      <c r="I10" s="11" t="s">
        <v>119</v>
      </c>
      <c r="J10" s="11"/>
      <c r="K10" s="11"/>
      <c r="L10" s="11"/>
      <c r="M10" s="11"/>
      <c r="N10" s="11"/>
      <c r="O10" s="11"/>
    </row>
    <row r="11">
      <c r="A11" s="21" t="s">
        <v>112</v>
      </c>
      <c r="D11" s="19" t="s">
        <v>113</v>
      </c>
      <c r="G11" s="20" t="s">
        <v>114</v>
      </c>
      <c r="I11" s="21" t="s">
        <v>112</v>
      </c>
      <c r="L11" s="19" t="s">
        <v>113</v>
      </c>
      <c r="O11" s="20" t="s">
        <v>114</v>
      </c>
    </row>
    <row r="12">
      <c r="A12" s="19" t="str">
        <f>'data'!$B$15</f>
      </c>
      <c r="B12" s="22"/>
      <c r="C12" s="22"/>
      <c r="D12" s="22"/>
      <c r="E12" s="22"/>
      <c r="F12" s="22"/>
      <c r="G12" s="19" t="str">
        <f>'data'!$B$7</f>
      </c>
      <c r="I12" s="19" t="str">
        <f>'data'!$B$20</f>
      </c>
      <c r="J12" s="22"/>
      <c r="K12" s="22"/>
      <c r="L12" s="22"/>
      <c r="M12" s="22"/>
      <c r="N12" s="22"/>
      <c r="O12" s="19" t="str">
        <f>'data'!$B$19</f>
      </c>
    </row>
    <row r="14">
      <c r="F14" t="s">
        <v>115</v>
      </c>
      <c r="G14" s="23"/>
      <c r="N14" t="s">
        <v>115</v>
      </c>
      <c r="O14" s="23"/>
    </row>
    <row r="15">
      <c r="F15" t="s">
        <v>116</v>
      </c>
      <c r="G15" s="23"/>
      <c r="N15" t="s">
        <v>116</v>
      </c>
      <c r="O15" s="23"/>
    </row>
    <row r="18">
      <c r="A18" s="11" t="s">
        <v>120</v>
      </c>
      <c r="B18" s="11"/>
      <c r="C18" s="11"/>
      <c r="D18" s="11"/>
      <c r="E18" s="11"/>
      <c r="F18" s="11"/>
      <c r="G18" s="11"/>
      <c r="I18" s="11" t="s">
        <v>121</v>
      </c>
      <c r="J18" s="11"/>
      <c r="K18" s="11"/>
      <c r="L18" s="11"/>
      <c r="M18" s="11"/>
      <c r="N18" s="11"/>
      <c r="O18" s="11"/>
    </row>
    <row r="19">
      <c r="A19" s="21" t="s">
        <v>112</v>
      </c>
      <c r="D19" s="19" t="s">
        <v>113</v>
      </c>
      <c r="G19" s="20" t="s">
        <v>114</v>
      </c>
      <c r="I19" s="21" t="s">
        <v>112</v>
      </c>
      <c r="L19" s="19" t="s">
        <v>113</v>
      </c>
      <c r="O19" s="20" t="s">
        <v>114</v>
      </c>
    </row>
    <row r="20">
      <c r="A20" s="19" t="str">
        <f>'data'!$B$11</f>
      </c>
      <c r="B20" s="22"/>
      <c r="C20" s="22"/>
      <c r="D20" s="22"/>
      <c r="E20" s="22"/>
      <c r="F20" s="22"/>
      <c r="G20" s="19" t="str">
        <f>'data'!$B$10</f>
      </c>
      <c r="I20" s="19" t="str">
        <f>'data'!$B$23</f>
      </c>
      <c r="J20" s="22"/>
      <c r="K20" s="22"/>
      <c r="L20" s="22"/>
      <c r="M20" s="22"/>
      <c r="N20" s="22"/>
      <c r="O20" s="19" t="str">
        <f>'data'!$B$22</f>
      </c>
    </row>
    <row r="22">
      <c r="F22" t="s">
        <v>115</v>
      </c>
      <c r="G22" s="23"/>
      <c r="N22" t="s">
        <v>115</v>
      </c>
      <c r="O22" s="23"/>
    </row>
    <row r="23">
      <c r="F23" t="s">
        <v>116</v>
      </c>
      <c r="G23" s="23"/>
      <c r="N23" t="s">
        <v>116</v>
      </c>
      <c r="O23" s="23"/>
    </row>
    <row r="26">
      <c r="A26" s="11" t="s">
        <v>122</v>
      </c>
      <c r="B26" s="11"/>
      <c r="C26" s="11"/>
      <c r="D26" s="11"/>
      <c r="E26" s="11"/>
      <c r="F26" s="11"/>
      <c r="G26" s="11"/>
      <c r="I26" s="11" t="s">
        <v>123</v>
      </c>
      <c r="J26" s="11"/>
      <c r="K26" s="11"/>
      <c r="L26" s="11"/>
      <c r="M26" s="11"/>
      <c r="N26" s="11"/>
      <c r="O26" s="11"/>
    </row>
    <row r="27">
      <c r="A27" s="21" t="s">
        <v>112</v>
      </c>
      <c r="D27" s="19" t="s">
        <v>113</v>
      </c>
      <c r="G27" s="20" t="s">
        <v>114</v>
      </c>
      <c r="I27" s="21" t="s">
        <v>112</v>
      </c>
      <c r="L27" s="19" t="s">
        <v>113</v>
      </c>
      <c r="O27" s="20" t="s">
        <v>114</v>
      </c>
    </row>
    <row r="28">
      <c r="A28" s="19" t="str">
        <f>'data'!$B$14</f>
      </c>
      <c r="B28" s="22"/>
      <c r="C28" s="22"/>
      <c r="D28" s="22"/>
      <c r="E28" s="22"/>
      <c r="F28" s="22"/>
      <c r="G28" s="19" t="str">
        <f>'data'!$B$13</f>
      </c>
      <c r="I28" s="19" t="str">
        <f>'data'!$B$26</f>
      </c>
      <c r="J28" s="22"/>
      <c r="K28" s="22"/>
      <c r="L28" s="22"/>
      <c r="M28" s="22"/>
      <c r="N28" s="22"/>
      <c r="O28" s="19" t="str">
        <f>'data'!$B$25</f>
      </c>
    </row>
    <row r="30">
      <c r="F30" t="s">
        <v>115</v>
      </c>
      <c r="G30" s="23"/>
      <c r="N30" t="s">
        <v>115</v>
      </c>
      <c r="O30" s="23"/>
    </row>
    <row r="31">
      <c r="F31" t="s">
        <v>116</v>
      </c>
      <c r="G31" s="23"/>
      <c r="N31" t="s">
        <v>116</v>
      </c>
      <c r="O31" s="23"/>
    </row>
    <row r="39">
      <c r="A39" s="11" t="s">
        <v>124</v>
      </c>
      <c r="B39" s="11"/>
      <c r="C39" s="11"/>
      <c r="D39" s="11"/>
      <c r="E39" s="11"/>
      <c r="F39" s="11"/>
      <c r="G39" s="11"/>
      <c r="I39" s="11" t="s">
        <v>125</v>
      </c>
      <c r="J39" s="11"/>
      <c r="K39" s="11"/>
      <c r="L39" s="11"/>
      <c r="M39" s="11"/>
      <c r="N39" s="11"/>
      <c r="O39" s="11"/>
    </row>
    <row r="40">
      <c r="A40" s="21" t="s">
        <v>112</v>
      </c>
      <c r="D40" s="19" t="s">
        <v>113</v>
      </c>
      <c r="G40" s="20" t="s">
        <v>114</v>
      </c>
      <c r="I40" s="21" t="s">
        <v>112</v>
      </c>
      <c r="L40" s="19" t="s">
        <v>113</v>
      </c>
      <c r="O40" s="20" t="s">
        <v>114</v>
      </c>
    </row>
    <row r="41">
      <c r="A41" s="19" t="str">
        <f>CONCATENATE("M 1 ",G6)</f>
      </c>
      <c r="B41" s="22"/>
      <c r="C41" s="22"/>
      <c r="D41" s="22"/>
      <c r="E41" s="22"/>
      <c r="F41" s="22"/>
      <c r="G41" s="19" t="str">
        <f>'data'!$B$20</f>
      </c>
      <c r="I41" s="19" t="str">
        <f>CONCATENATE("M 5 ",O6)</f>
      </c>
      <c r="J41" s="22"/>
      <c r="K41" s="22"/>
      <c r="L41" s="22"/>
      <c r="M41" s="22"/>
      <c r="N41" s="22"/>
      <c r="O41" s="19" t="str">
        <f>'data'!$B$15</f>
      </c>
    </row>
    <row r="43">
      <c r="F43" t="s">
        <v>115</v>
      </c>
      <c r="G43" s="23"/>
      <c r="N43" t="s">
        <v>115</v>
      </c>
      <c r="O43" s="23"/>
    </row>
    <row r="44">
      <c r="F44" t="s">
        <v>116</v>
      </c>
      <c r="G44" s="23"/>
      <c r="N44" t="s">
        <v>116</v>
      </c>
      <c r="O44" s="23"/>
    </row>
    <row r="47">
      <c r="A47" s="11" t="s">
        <v>126</v>
      </c>
      <c r="B47" s="11"/>
      <c r="C47" s="11"/>
      <c r="D47" s="11"/>
      <c r="E47" s="11"/>
      <c r="F47" s="11"/>
      <c r="G47" s="11"/>
      <c r="I47" s="11" t="s">
        <v>127</v>
      </c>
      <c r="J47" s="11"/>
      <c r="K47" s="11"/>
      <c r="L47" s="11"/>
      <c r="M47" s="11"/>
      <c r="N47" s="11"/>
      <c r="O47" s="11"/>
    </row>
    <row r="48">
      <c r="A48" s="21" t="s">
        <v>112</v>
      </c>
      <c r="D48" s="19" t="s">
        <v>113</v>
      </c>
      <c r="G48" s="20" t="s">
        <v>114</v>
      </c>
      <c r="I48" s="21" t="s">
        <v>112</v>
      </c>
      <c r="L48" s="19" t="s">
        <v>113</v>
      </c>
      <c r="O48" s="20" t="s">
        <v>114</v>
      </c>
    </row>
    <row r="49">
      <c r="A49" s="19" t="str">
        <f>CONCATENATE("M 2 ",G14)</f>
      </c>
      <c r="B49" s="22"/>
      <c r="C49" s="22"/>
      <c r="D49" s="22"/>
      <c r="E49" s="22"/>
      <c r="F49" s="22"/>
      <c r="G49" s="19" t="str">
        <f>'data'!$B$6</f>
      </c>
      <c r="I49" s="19" t="str">
        <f>CONCATENATE("M 6 ",O14)</f>
      </c>
      <c r="J49" s="22"/>
      <c r="K49" s="22"/>
      <c r="L49" s="22"/>
      <c r="M49" s="22"/>
      <c r="N49" s="22"/>
      <c r="O49" s="19" t="str">
        <f>'data'!$B$18</f>
      </c>
    </row>
    <row r="51">
      <c r="F51" t="s">
        <v>115</v>
      </c>
      <c r="G51" s="23"/>
      <c r="N51" t="s">
        <v>115</v>
      </c>
      <c r="O51" s="23"/>
    </row>
    <row r="52">
      <c r="F52" t="s">
        <v>116</v>
      </c>
      <c r="G52" s="23"/>
      <c r="N52" t="s">
        <v>116</v>
      </c>
      <c r="O52" s="23"/>
    </row>
    <row r="55">
      <c r="A55" s="11" t="s">
        <v>128</v>
      </c>
      <c r="B55" s="11"/>
      <c r="C55" s="11"/>
      <c r="D55" s="11"/>
      <c r="E55" s="11"/>
      <c r="F55" s="11"/>
      <c r="G55" s="11"/>
      <c r="I55" s="11" t="s">
        <v>129</v>
      </c>
      <c r="J55" s="11"/>
      <c r="K55" s="11"/>
      <c r="L55" s="11"/>
      <c r="M55" s="11"/>
      <c r="N55" s="11"/>
      <c r="O55" s="11"/>
    </row>
    <row r="56">
      <c r="A56" s="21" t="s">
        <v>112</v>
      </c>
      <c r="D56" s="19" t="s">
        <v>113</v>
      </c>
      <c r="G56" s="20" t="s">
        <v>114</v>
      </c>
      <c r="I56" s="21" t="s">
        <v>112</v>
      </c>
      <c r="L56" s="19" t="s">
        <v>113</v>
      </c>
      <c r="O56" s="20" t="s">
        <v>114</v>
      </c>
    </row>
    <row r="57">
      <c r="A57" s="19" t="str">
        <f>CONCATENATE("M 3 ",G22)</f>
      </c>
      <c r="B57" s="22"/>
      <c r="C57" s="22"/>
      <c r="D57" s="22"/>
      <c r="E57" s="22"/>
      <c r="F57" s="22"/>
      <c r="G57" s="19" t="str">
        <f>'data'!$B$9</f>
      </c>
      <c r="I57" s="19" t="str">
        <f>CONCATENATE("M 7 ",O22)</f>
      </c>
      <c r="J57" s="22"/>
      <c r="K57" s="22"/>
      <c r="L57" s="22"/>
      <c r="M57" s="22"/>
      <c r="N57" s="22"/>
      <c r="O57" s="19" t="str">
        <f>'data'!$B$21</f>
      </c>
    </row>
    <row r="59">
      <c r="F59" t="s">
        <v>115</v>
      </c>
      <c r="G59" s="23"/>
      <c r="N59" t="s">
        <v>115</v>
      </c>
      <c r="O59" s="23"/>
    </row>
    <row r="60">
      <c r="F60" t="s">
        <v>116</v>
      </c>
      <c r="G60" s="23"/>
      <c r="N60" t="s">
        <v>116</v>
      </c>
      <c r="O60" s="23"/>
    </row>
    <row r="63">
      <c r="A63" s="11" t="s">
        <v>130</v>
      </c>
      <c r="B63" s="11"/>
      <c r="C63" s="11"/>
      <c r="D63" s="11"/>
      <c r="E63" s="11"/>
      <c r="F63" s="11"/>
      <c r="G63" s="11"/>
      <c r="I63" s="11" t="s">
        <v>131</v>
      </c>
      <c r="J63" s="11"/>
      <c r="K63" s="11"/>
      <c r="L63" s="11"/>
      <c r="M63" s="11"/>
      <c r="N63" s="11"/>
      <c r="O63" s="11"/>
    </row>
    <row r="64">
      <c r="A64" s="21" t="s">
        <v>112</v>
      </c>
      <c r="D64" s="19" t="s">
        <v>113</v>
      </c>
      <c r="G64" s="20" t="s">
        <v>114</v>
      </c>
      <c r="I64" s="21" t="s">
        <v>112</v>
      </c>
      <c r="L64" s="19" t="s">
        <v>113</v>
      </c>
      <c r="O64" s="20" t="s">
        <v>114</v>
      </c>
    </row>
    <row r="65">
      <c r="A65" s="19" t="str">
        <f>CONCATENATE("M 4 ",G30)</f>
      </c>
      <c r="B65" s="22"/>
      <c r="C65" s="22"/>
      <c r="D65" s="22"/>
      <c r="E65" s="22"/>
      <c r="F65" s="22"/>
      <c r="G65" s="19" t="str">
        <f>'data'!$B$12</f>
      </c>
      <c r="I65" s="19" t="str">
        <f>CONCATENATE("M 8 ",O30)</f>
      </c>
      <c r="J65" s="22"/>
      <c r="K65" s="22"/>
      <c r="L65" s="22"/>
      <c r="M65" s="22"/>
      <c r="N65" s="22"/>
      <c r="O65" s="19" t="str">
        <f>'data'!$B$24</f>
      </c>
    </row>
    <row r="67">
      <c r="F67" t="s">
        <v>115</v>
      </c>
      <c r="G67" s="23"/>
      <c r="N67" t="s">
        <v>115</v>
      </c>
      <c r="O67" s="23"/>
    </row>
    <row r="68">
      <c r="F68" t="s">
        <v>116</v>
      </c>
      <c r="G68" s="23"/>
      <c r="N68" t="s">
        <v>116</v>
      </c>
      <c r="O68" s="23"/>
    </row>
    <row r="76">
      <c r="A76" s="11" t="s">
        <v>132</v>
      </c>
      <c r="B76" s="11"/>
      <c r="C76" s="11"/>
      <c r="D76" s="11"/>
      <c r="E76" s="11"/>
      <c r="F76" s="11"/>
      <c r="G76" s="11"/>
      <c r="I76" s="11" t="s">
        <v>133</v>
      </c>
      <c r="J76" s="11"/>
      <c r="K76" s="11"/>
      <c r="L76" s="11"/>
      <c r="M76" s="11"/>
      <c r="N76" s="11"/>
      <c r="O76" s="11"/>
    </row>
    <row r="77">
      <c r="A77" s="21" t="s">
        <v>112</v>
      </c>
      <c r="D77" s="19" t="s">
        <v>113</v>
      </c>
      <c r="G77" s="20" t="s">
        <v>114</v>
      </c>
      <c r="I77" s="21" t="s">
        <v>112</v>
      </c>
      <c r="L77" s="19" t="s">
        <v>113</v>
      </c>
      <c r="O77" s="20" t="s">
        <v>114</v>
      </c>
    </row>
    <row r="78">
      <c r="A78" s="19" t="str">
        <f>CONCATENATE("M 10 ",G51)</f>
      </c>
      <c r="B78" s="22"/>
      <c r="C78" s="22"/>
      <c r="D78" s="22"/>
      <c r="E78" s="22"/>
      <c r="F78" s="22"/>
      <c r="G78" s="19" t="str">
        <f>CONCATENATE("M 9 ",G43)</f>
      </c>
      <c r="I78" s="19" t="str">
        <f>CONCATENATE("M 14 ",O51)</f>
      </c>
      <c r="J78" s="22"/>
      <c r="K78" s="22"/>
      <c r="L78" s="22"/>
      <c r="M78" s="22"/>
      <c r="N78" s="22"/>
      <c r="O78" s="19" t="str">
        <f>CONCATENATE("M 13 ",O43)</f>
      </c>
    </row>
    <row r="80">
      <c r="F80" t="s">
        <v>115</v>
      </c>
      <c r="G80" s="23"/>
      <c r="N80" t="s">
        <v>115</v>
      </c>
      <c r="O80" s="23"/>
    </row>
    <row r="81">
      <c r="F81" t="s">
        <v>116</v>
      </c>
      <c r="G81" s="23"/>
      <c r="N81" t="s">
        <v>116</v>
      </c>
      <c r="O81" s="23"/>
    </row>
    <row r="84">
      <c r="A84" s="11" t="s">
        <v>134</v>
      </c>
      <c r="B84" s="11"/>
      <c r="C84" s="11"/>
      <c r="D84" s="11"/>
      <c r="E84" s="11"/>
      <c r="F84" s="11"/>
      <c r="G84" s="11"/>
      <c r="I84" s="11" t="s">
        <v>135</v>
      </c>
      <c r="J84" s="11"/>
      <c r="K84" s="11"/>
      <c r="L84" s="11"/>
      <c r="M84" s="11"/>
      <c r="N84" s="11"/>
      <c r="O84" s="11"/>
    </row>
    <row r="85">
      <c r="A85" s="21" t="s">
        <v>112</v>
      </c>
      <c r="D85" s="19" t="s">
        <v>113</v>
      </c>
      <c r="G85" s="20" t="s">
        <v>114</v>
      </c>
      <c r="I85" s="21" t="s">
        <v>112</v>
      </c>
      <c r="L85" s="19" t="s">
        <v>113</v>
      </c>
      <c r="O85" s="20" t="s">
        <v>114</v>
      </c>
    </row>
    <row r="86">
      <c r="A86" s="19" t="str">
        <f>CONCATENATE("M 12 ",G67)</f>
      </c>
      <c r="B86" s="22"/>
      <c r="C86" s="22"/>
      <c r="D86" s="22"/>
      <c r="E86" s="22"/>
      <c r="F86" s="22"/>
      <c r="G86" s="19" t="str">
        <f>CONCATENATE("M 11 ",G59)</f>
      </c>
      <c r="I86" s="19" t="str">
        <f>CONCATENATE("M 16 ",O67)</f>
      </c>
      <c r="J86" s="22"/>
      <c r="K86" s="22"/>
      <c r="L86" s="22"/>
      <c r="M86" s="22"/>
      <c r="N86" s="22"/>
      <c r="O86" s="19" t="str">
        <f>CONCATENATE("M 15 ",O59)</f>
      </c>
    </row>
    <row r="88">
      <c r="F88" t="s">
        <v>115</v>
      </c>
      <c r="G88" s="23"/>
      <c r="N88" t="s">
        <v>115</v>
      </c>
      <c r="O88" s="23"/>
    </row>
    <row r="89">
      <c r="F89" t="s">
        <v>116</v>
      </c>
      <c r="G89" s="23"/>
      <c r="N89" t="s">
        <v>116</v>
      </c>
      <c r="O89" s="23"/>
    </row>
    <row r="97">
      <c r="A97" s="11" t="s">
        <v>136</v>
      </c>
      <c r="B97" s="11"/>
      <c r="C97" s="11"/>
      <c r="D97" s="11"/>
      <c r="E97" s="11"/>
      <c r="F97" s="11"/>
      <c r="G97" s="11"/>
      <c r="I97" s="11" t="s">
        <v>137</v>
      </c>
      <c r="J97" s="11"/>
      <c r="K97" s="11"/>
      <c r="L97" s="11"/>
      <c r="M97" s="11"/>
      <c r="N97" s="11"/>
      <c r="O97" s="11"/>
    </row>
    <row r="98">
      <c r="A98" s="21" t="s">
        <v>112</v>
      </c>
      <c r="D98" s="19" t="s">
        <v>113</v>
      </c>
      <c r="G98" s="20" t="s">
        <v>114</v>
      </c>
      <c r="I98" s="21" t="s">
        <v>112</v>
      </c>
      <c r="L98" s="19" t="s">
        <v>113</v>
      </c>
      <c r="O98" s="20" t="s">
        <v>114</v>
      </c>
    </row>
    <row r="99">
      <c r="A99" s="19" t="str">
        <f>CONCATENATE("M 18 ",G88)</f>
      </c>
      <c r="B99" s="22"/>
      <c r="C99" s="22"/>
      <c r="D99" s="22"/>
      <c r="E99" s="22"/>
      <c r="F99" s="22"/>
      <c r="G99" s="19" t="str">
        <f>CONCATENATE("M 17 ",G80)</f>
      </c>
      <c r="I99" s="19" t="str">
        <f>CONCATENATE("M 20 ",O88)</f>
      </c>
      <c r="J99" s="22"/>
      <c r="K99" s="22"/>
      <c r="L99" s="22"/>
      <c r="M99" s="22"/>
      <c r="N99" s="22"/>
      <c r="O99" s="19" t="str">
        <f>CONCATENATE("M 19 ",O80)</f>
      </c>
    </row>
    <row r="101">
      <c r="F101" t="s">
        <v>115</v>
      </c>
      <c r="G101" s="23"/>
      <c r="N101" t="s">
        <v>115</v>
      </c>
      <c r="O101" s="23"/>
    </row>
    <row r="102">
      <c r="F102" t="s">
        <v>116</v>
      </c>
      <c r="G102" s="23"/>
      <c r="N102" t="s">
        <v>116</v>
      </c>
      <c r="O102" s="23"/>
    </row>
    <row r="110">
      <c r="A110" s="11" t="s">
        <v>138</v>
      </c>
      <c r="B110" s="11"/>
      <c r="C110" s="11"/>
      <c r="D110" s="11"/>
      <c r="E110" s="11"/>
      <c r="F110" s="11"/>
      <c r="G110" s="11"/>
    </row>
    <row r="111">
      <c r="A111" s="21" t="s">
        <v>112</v>
      </c>
      <c r="D111" s="19" t="s">
        <v>113</v>
      </c>
      <c r="G111" s="20" t="s">
        <v>114</v>
      </c>
    </row>
    <row r="112">
      <c r="A112" s="19" t="str">
        <f>CONCATENATE("M 22 ",O101)</f>
      </c>
      <c r="B112" s="22"/>
      <c r="C112" s="22"/>
      <c r="D112" s="22"/>
      <c r="E112" s="22"/>
      <c r="F112" s="22"/>
      <c r="G112" s="19" t="str">
        <f>CONCATENATE("M 21 ",G101)</f>
      </c>
    </row>
    <row r="114">
      <c r="F114" t="s">
        <v>115</v>
      </c>
      <c r="G114" s="23"/>
    </row>
    <row r="115">
      <c r="F115" t="s">
        <v>116</v>
      </c>
      <c r="G115"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5">
    <mergeCell ref="A1:G1"/>
    <mergeCell ref="I1:O1"/>
    <mergeCell ref="A2:G2"/>
    <mergeCell ref="I2:O2"/>
    <mergeCell ref="A10:G10"/>
    <mergeCell ref="I10:O10"/>
    <mergeCell ref="A18:G18"/>
    <mergeCell ref="I18:O18"/>
    <mergeCell ref="A26:G26"/>
    <mergeCell ref="I26:O26"/>
    <mergeCell ref="A39:G39"/>
    <mergeCell ref="I39:O39"/>
    <mergeCell ref="A47:G47"/>
    <mergeCell ref="I47:O47"/>
    <mergeCell ref="A55:G55"/>
    <mergeCell ref="I55:O55"/>
    <mergeCell ref="A63:G63"/>
    <mergeCell ref="I63:O63"/>
    <mergeCell ref="A76:G76"/>
    <mergeCell ref="I76:O76"/>
    <mergeCell ref="A84:G84"/>
    <mergeCell ref="I84:O84"/>
    <mergeCell ref="A97:G97"/>
    <mergeCell ref="I97:O97"/>
    <mergeCell ref="A110:G110"/>
  </mergeCells>
  <printOptions horizontalCentered="true" verticalCentered="true"/>
  <pageSetup fitToHeight="0" fitToWidth="2" orientation="portrait" pageOrder="downThenOver" paperSize="9"/>
  <rowBreaks count="2" manualBreakCount="2">
    <brk id="38" max="16383" man="true"/>
    <brk id="75"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19</v>
      </c>
    </row>
    <row r="7">
      <c r="F7" s="14"/>
      <c r="G7" s="12"/>
    </row>
    <row r="8">
      <c r="G8" s="13">
        <v>9</v>
      </c>
    </row>
    <row r="9">
      <c r="C9" s="16" t="s">
        <v>23</v>
      </c>
      <c r="G9" s="12"/>
      <c r="H9" s="14"/>
      <c r="I9" s="12"/>
    </row>
    <row r="10">
      <c r="D10" s="14"/>
      <c r="E10" s="13">
        <v>1</v>
      </c>
      <c r="F10" s="15"/>
      <c r="G10" s="12"/>
      <c r="I10" s="12"/>
    </row>
    <row r="11">
      <c r="C11" s="16" t="s">
        <v>27</v>
      </c>
      <c r="D11" s="15"/>
      <c r="E11" s="12"/>
      <c r="I11" s="12"/>
    </row>
    <row r="12">
      <c r="I12" s="13">
        <v>17</v>
      </c>
    </row>
    <row r="13">
      <c r="I13" s="12"/>
      <c r="J13" s="14"/>
      <c r="K13" s="12"/>
    </row>
    <row r="14">
      <c r="C14" s="16"/>
      <c r="D14" s="16"/>
      <c r="E14" s="16" t="s">
        <v>31</v>
      </c>
      <c r="I14" s="12"/>
      <c r="K14" s="12"/>
    </row>
    <row r="15">
      <c r="F15" s="14"/>
      <c r="G15" s="12"/>
      <c r="I15" s="12"/>
      <c r="K15" s="12"/>
    </row>
    <row r="16">
      <c r="G16" s="13">
        <v>10</v>
      </c>
      <c r="H16" s="15"/>
      <c r="I16" s="12"/>
      <c r="K16" s="12"/>
    </row>
    <row r="17">
      <c r="C17" s="16" t="s">
        <v>35</v>
      </c>
      <c r="G17" s="12"/>
      <c r="K17" s="12"/>
    </row>
    <row r="18">
      <c r="D18" s="14"/>
      <c r="E18" s="13">
        <v>2</v>
      </c>
      <c r="F18" s="15"/>
      <c r="G18" s="12"/>
      <c r="K18" s="12"/>
    </row>
    <row r="19">
      <c r="C19" s="16" t="s">
        <v>39</v>
      </c>
      <c r="D19" s="15"/>
      <c r="E19" s="12"/>
      <c r="K19" s="12"/>
    </row>
    <row r="20">
      <c r="K20" s="13">
        <v>21</v>
      </c>
    </row>
    <row r="21">
      <c r="K21" s="12"/>
    </row>
    <row r="22">
      <c r="C22" s="16"/>
      <c r="D22" s="16"/>
      <c r="E22" s="16" t="s">
        <v>43</v>
      </c>
      <c r="K22" s="12"/>
    </row>
    <row r="23">
      <c r="F23" s="14"/>
      <c r="G23" s="12"/>
      <c r="K23" s="12"/>
    </row>
    <row r="24">
      <c r="G24" s="13">
        <v>11</v>
      </c>
      <c r="K24" s="12"/>
    </row>
    <row r="25">
      <c r="C25" s="16" t="s">
        <v>47</v>
      </c>
      <c r="G25" s="12"/>
      <c r="H25" s="14"/>
      <c r="I25" s="12"/>
      <c r="K25" s="12"/>
    </row>
    <row r="26">
      <c r="D26" s="14"/>
      <c r="E26" s="13">
        <v>3</v>
      </c>
      <c r="F26" s="15"/>
      <c r="G26" s="12"/>
      <c r="I26" s="12"/>
      <c r="K26" s="12"/>
    </row>
    <row r="27">
      <c r="C27" s="16" t="s">
        <v>51</v>
      </c>
      <c r="D27" s="15"/>
      <c r="E27" s="12"/>
      <c r="I27" s="12"/>
      <c r="K27" s="12"/>
    </row>
    <row r="28">
      <c r="I28" s="13">
        <v>18</v>
      </c>
      <c r="J28" s="15"/>
      <c r="K28" s="12"/>
    </row>
    <row r="29">
      <c r="I29" s="12"/>
    </row>
    <row r="30">
      <c r="C30" s="16"/>
      <c r="D30" s="16"/>
      <c r="E30" s="16" t="s">
        <v>55</v>
      </c>
      <c r="I30" s="12"/>
    </row>
    <row r="31">
      <c r="F31" s="14"/>
      <c r="G31" s="12"/>
      <c r="I31" s="12"/>
    </row>
    <row r="32">
      <c r="G32" s="13">
        <v>12</v>
      </c>
      <c r="H32" s="15"/>
      <c r="I32" s="12"/>
    </row>
    <row r="33">
      <c r="C33" s="16" t="s">
        <v>59</v>
      </c>
      <c r="G33" s="12"/>
    </row>
    <row r="34">
      <c r="D34" s="14"/>
      <c r="E34" s="13">
        <v>4</v>
      </c>
      <c r="F34" s="15"/>
      <c r="G34" s="12"/>
    </row>
    <row r="35">
      <c r="C35" s="16" t="s">
        <v>63</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39</v>
      </c>
    </row>
    <row r="7">
      <c r="F7" s="14"/>
      <c r="G7" s="12"/>
    </row>
    <row r="8">
      <c r="G8" s="13">
        <v>13</v>
      </c>
    </row>
    <row r="9">
      <c r="C9" s="16" t="s">
        <v>68</v>
      </c>
      <c r="G9" s="12"/>
      <c r="H9" s="14"/>
      <c r="I9" s="12"/>
    </row>
    <row r="10">
      <c r="D10" s="14"/>
      <c r="E10" s="13">
        <v>5</v>
      </c>
      <c r="F10" s="15"/>
      <c r="G10" s="12"/>
      <c r="I10" s="12"/>
    </row>
    <row r="11">
      <c r="C11" s="16" t="s">
        <v>72</v>
      </c>
      <c r="D11" s="15"/>
      <c r="E11" s="12"/>
      <c r="I11" s="12"/>
    </row>
    <row r="12">
      <c r="I12" s="13">
        <v>19</v>
      </c>
    </row>
    <row r="13">
      <c r="I13" s="12"/>
      <c r="J13" s="14"/>
      <c r="K13" s="12"/>
    </row>
    <row r="14">
      <c r="C14" s="16"/>
      <c r="D14" s="16"/>
      <c r="E14" s="16" t="s">
        <v>76</v>
      </c>
      <c r="I14" s="12"/>
      <c r="K14" s="12"/>
    </row>
    <row r="15">
      <c r="F15" s="14"/>
      <c r="G15" s="12"/>
      <c r="I15" s="12"/>
      <c r="K15" s="12"/>
    </row>
    <row r="16">
      <c r="G16" s="13">
        <v>14</v>
      </c>
      <c r="H16" s="15"/>
      <c r="I16" s="12"/>
      <c r="K16" s="12"/>
    </row>
    <row r="17">
      <c r="C17" s="16" t="s">
        <v>80</v>
      </c>
      <c r="G17" s="12"/>
      <c r="K17" s="12"/>
    </row>
    <row r="18">
      <c r="D18" s="14"/>
      <c r="E18" s="13">
        <v>6</v>
      </c>
      <c r="F18" s="15"/>
      <c r="G18" s="12"/>
      <c r="K18" s="12"/>
    </row>
    <row r="19">
      <c r="C19" s="16" t="s">
        <v>19</v>
      </c>
      <c r="D19" s="15"/>
      <c r="E19" s="12"/>
      <c r="K19" s="12"/>
    </row>
    <row r="20">
      <c r="K20" s="13">
        <v>22</v>
      </c>
    </row>
    <row r="21">
      <c r="K21" s="12"/>
    </row>
    <row r="22">
      <c r="C22" s="16"/>
      <c r="D22" s="16"/>
      <c r="E22" s="16" t="s">
        <v>87</v>
      </c>
      <c r="K22" s="12"/>
    </row>
    <row r="23">
      <c r="F23" s="14"/>
      <c r="G23" s="12"/>
      <c r="K23" s="12"/>
    </row>
    <row r="24">
      <c r="G24" s="13">
        <v>15</v>
      </c>
      <c r="K24" s="12"/>
    </row>
    <row r="25">
      <c r="C25" s="16" t="s">
        <v>91</v>
      </c>
      <c r="G25" s="12"/>
      <c r="H25" s="14"/>
      <c r="I25" s="12"/>
      <c r="K25" s="12"/>
    </row>
    <row r="26">
      <c r="D26" s="14"/>
      <c r="E26" s="13">
        <v>7</v>
      </c>
      <c r="F26" s="15"/>
      <c r="G26" s="12"/>
      <c r="I26" s="12"/>
      <c r="K26" s="12"/>
    </row>
    <row r="27">
      <c r="C27" s="16" t="s">
        <v>95</v>
      </c>
      <c r="D27" s="15"/>
      <c r="E27" s="12"/>
      <c r="I27" s="12"/>
      <c r="K27" s="12"/>
    </row>
    <row r="28">
      <c r="I28" s="13">
        <v>20</v>
      </c>
      <c r="J28" s="15"/>
      <c r="K28" s="12"/>
    </row>
    <row r="29">
      <c r="I29" s="12"/>
    </row>
    <row r="30">
      <c r="C30" s="16"/>
      <c r="D30" s="16"/>
      <c r="E30" s="16" t="s">
        <v>99</v>
      </c>
      <c r="I30" s="12"/>
    </row>
    <row r="31">
      <c r="F31" s="14"/>
      <c r="G31" s="12"/>
      <c r="I31" s="12"/>
    </row>
    <row r="32">
      <c r="G32" s="13">
        <v>16</v>
      </c>
      <c r="H32" s="15"/>
      <c r="I32" s="12"/>
    </row>
    <row r="33">
      <c r="C33" s="16" t="s">
        <v>103</v>
      </c>
      <c r="G33" s="12"/>
    </row>
    <row r="34">
      <c r="D34" s="14"/>
      <c r="E34" s="13">
        <v>8</v>
      </c>
      <c r="F34" s="15"/>
      <c r="G34" s="12"/>
    </row>
    <row r="35">
      <c r="C35" s="16" t="s">
        <v>107</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'data'!$E$3</f>
      </c>
      <c r="B1" s="18" t="str">
        <f>'data'!D3</f>
      </c>
    </row>
    <row r="2" ht="270" customHeight="true">
      <c r="A2" s="17" t="str">
        <f>'data'!$E$4</f>
      </c>
      <c r="B2" s="18" t="str">
        <f>'data'!D4</f>
      </c>
    </row>
    <row r="3" ht="270" customHeight="true">
      <c r="A3" s="17" t="str">
        <f>'data'!$E$5</f>
      </c>
      <c r="B3" s="18" t="str">
        <f>'data'!D5</f>
      </c>
    </row>
    <row r="4" ht="270" customHeight="true">
      <c r="A4" s="17" t="str">
        <f>'data'!$E$6</f>
      </c>
      <c r="B4" s="18" t="str">
        <f>'data'!D6</f>
      </c>
    </row>
    <row r="5" ht="270" customHeight="true">
      <c r="A5" s="17" t="str">
        <f>'data'!$E$7</f>
      </c>
      <c r="B5" s="18" t="str">
        <f>'data'!D7</f>
      </c>
    </row>
    <row r="6" ht="270" customHeight="true">
      <c r="A6" s="17" t="str">
        <f>'data'!$E$8</f>
      </c>
      <c r="B6" s="18" t="str">
        <f>'data'!D8</f>
      </c>
    </row>
    <row r="7" ht="270" customHeight="true">
      <c r="A7" s="17" t="str">
        <f>'data'!$E$9</f>
      </c>
      <c r="B7" s="18" t="str">
        <f>'data'!D9</f>
      </c>
    </row>
    <row r="8" ht="270" customHeight="true">
      <c r="A8" s="17" t="str">
        <f>'data'!$E$10</f>
      </c>
      <c r="B8" s="18" t="str">
        <f>'data'!D10</f>
      </c>
    </row>
    <row r="9" ht="270" customHeight="true">
      <c r="A9" s="17" t="str">
        <f>'data'!$E$11</f>
      </c>
      <c r="B9" s="18" t="str">
        <f>'data'!D11</f>
      </c>
    </row>
    <row r="10" ht="270" customHeight="true">
      <c r="A10" s="17" t="str">
        <f>'data'!$E$12</f>
      </c>
      <c r="B10" s="18" t="str">
        <f>'data'!D12</f>
      </c>
    </row>
    <row r="11" ht="270" customHeight="true">
      <c r="A11" s="17" t="str">
        <f>'data'!$E$13</f>
      </c>
      <c r="B11" s="18" t="str">
        <f>'data'!D13</f>
      </c>
    </row>
    <row r="12" ht="270" customHeight="true">
      <c r="A12" s="17" t="str">
        <f>'data'!$E$14</f>
      </c>
      <c r="B12" s="18" t="str">
        <f>'data'!D14</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xl/worksheets/sheet11.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'data'!$E$15</f>
      </c>
      <c r="B1" s="18" t="str">
        <f>'data'!D15</f>
      </c>
    </row>
    <row r="2" ht="270" customHeight="true">
      <c r="A2" s="17" t="str">
        <f>'data'!$E$16</f>
      </c>
      <c r="B2" s="18" t="str">
        <f>'data'!D16</f>
      </c>
    </row>
    <row r="3" ht="270" customHeight="true">
      <c r="A3" s="17" t="str">
        <f>'data'!$E$17</f>
      </c>
      <c r="B3" s="18" t="str">
        <f>'data'!D17</f>
      </c>
    </row>
    <row r="4" ht="270" customHeight="true">
      <c r="A4" s="17" t="str">
        <f>'data'!$E$18</f>
      </c>
      <c r="B4" s="18" t="str">
        <f>'data'!D18</f>
      </c>
    </row>
    <row r="5" ht="270" customHeight="true">
      <c r="A5" s="17" t="str">
        <f>'data'!$E$19</f>
      </c>
      <c r="B5" s="18" t="str">
        <f>'data'!D19</f>
      </c>
    </row>
    <row r="6" ht="270" customHeight="true">
      <c r="A6" s="17" t="str">
        <f>'data'!$E$20</f>
      </c>
      <c r="B6" s="18" t="str">
        <f>'data'!D20</f>
      </c>
    </row>
    <row r="7" ht="270" customHeight="true">
      <c r="A7" s="17" t="str">
        <f>'data'!$E$21</f>
      </c>
      <c r="B7" s="18" t="str">
        <f>'data'!D21</f>
      </c>
    </row>
    <row r="8" ht="270" customHeight="true">
      <c r="A8" s="17" t="str">
        <f>'data'!$E$22</f>
      </c>
      <c r="B8" s="18" t="str">
        <f>'data'!D22</f>
      </c>
    </row>
    <row r="9" ht="270" customHeight="true">
      <c r="A9" s="17" t="str">
        <f>'data'!$E$23</f>
      </c>
      <c r="B9" s="18" t="str">
        <f>'data'!D23</f>
      </c>
    </row>
    <row r="10" ht="270" customHeight="true">
      <c r="A10" s="17" t="str">
        <f>'data'!$E$24</f>
      </c>
      <c r="B10" s="18" t="str">
        <f>'data'!D24</f>
      </c>
    </row>
    <row r="11" ht="270" customHeight="true">
      <c r="A11" s="17" t="str">
        <f>'data'!$E$25</f>
      </c>
      <c r="B11" s="18" t="str">
        <f>'data'!D25</f>
      </c>
    </row>
    <row r="12" ht="270" customHeight="true">
      <c r="A12" s="17" t="str">
        <f>'data'!$E$26</f>
      </c>
      <c r="B12" s="18" t="str">
        <f>'data'!D26</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4" manualBreakCount="4">
    <brk id="3" max="16383" man="true"/>
    <brk id="6" max="16383" man="true"/>
    <brk id="9" max="16383" man="true"/>
    <brk id="12"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