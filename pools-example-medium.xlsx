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9"/>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Names to Print A" sheetId="10" r:id="rId13"/>
    <sheet name="Names to Print B" sheetId="11" r:id="rId14"/>
    <sheet name="Tags" sheetId="12" r:id="rId15"/>
  </sheets>
  <definedNames>
    <definedName localSheetId="2" name="_xlnm.Print_Area">'Pool Draw'!$B$2:$F$23</definedName>
    <definedName localSheetId="3" name="_xlnm.Print_Area">'Pool Matches'!$A$1:$P$69</definedName>
    <definedName localSheetId="5" name="_xlnm.Print_Area">'Tree 1'!$A$1:$I$23</definedName>
    <definedName localSheetId="6" name="_xlnm.Print_Area">'Tree 2'!$A$1:$I$23</definedName>
    <definedName localSheetId="7" name="_xlnm.Print_Area">'Names to Print A'!$A$1:$B$12</definedName>
    <definedName localSheetId="8" name="_xlnm.Print_Area">'Names to Print B'!$A$1:$B$12</definedName>
    <definedName localSheetId="9" name="_xlnm.Print_Area">'Tags'!$A$1:$A$48</definedName>
    <definedName localSheetId="4" name="_xlnm.Print_Area">'Elimination Matches'!$A$1:$P$85</definedName>
  </definedNames>
  <calcPr calcId="122211"/>
</workbook>
</file>

<file path=xl/sharedStrings.xml><?xml version="1.0" encoding="utf-8"?>
<sst xmlns="http://schemas.openxmlformats.org/spreadsheetml/2006/main" count="155" uniqueCount="155">
  <si>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</si>
  <si>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</si>
  <si>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</si>
  <si>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</si>
  <si>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</si>
  <si>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</si>
  <si>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</si>
  <si>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</si>
  <si>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</si>
  <si>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</si>
  <si>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</si>
  <si>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</si>
  <si>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</si>
  <si>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</si>
  <si>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</si>
  <si>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</si>
  <si>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</si>
  <si>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</si>
  <si>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Cersei Lannister</t>
  </si>
  <si>
    <t>Team Gamma</t>
  </si>
  <si>
    <t>LANNISTER</t>
  </si>
  <si>
    <t>K1</t>
  </si>
  <si>
    <t>Katniss Everdeen</t>
  </si>
  <si>
    <t>Team Lambda</t>
  </si>
  <si>
    <t>EVERDEEN</t>
  </si>
  <si>
    <t>K2</t>
  </si>
  <si>
    <t>Ron Weasley</t>
  </si>
  <si>
    <t>Team Sigma</t>
  </si>
  <si>
    <t>WEASLEY</t>
  </si>
  <si>
    <t>K3</t>
  </si>
  <si>
    <t>Pool B</t>
  </si>
  <si>
    <t>Eddard Stark</t>
  </si>
  <si>
    <t>Team Epsilon</t>
  </si>
  <si>
    <t>STARK</t>
  </si>
  <si>
    <t>K4</t>
  </si>
  <si>
    <t>Moby Dick</t>
  </si>
  <si>
    <t>Team Nu</t>
  </si>
  <si>
    <t>DICK</t>
  </si>
  <si>
    <t>K5</t>
  </si>
  <si>
    <t>Tyrion Lannister</t>
  </si>
  <si>
    <t>Team Upsilon</t>
  </si>
  <si>
    <t>K6</t>
  </si>
  <si>
    <t>Pool C</t>
  </si>
  <si>
    <t>Gandalf The Grey</t>
  </si>
  <si>
    <t>Team Eta</t>
  </si>
  <si>
    <t>GANDALF</t>
  </si>
  <si>
    <t>K7</t>
  </si>
  <si>
    <t>Legolas Greenleaf</t>
  </si>
  <si>
    <t>Team Mu</t>
  </si>
  <si>
    <t>GREENLEAF</t>
  </si>
  <si>
    <t>K8</t>
  </si>
  <si>
    <t>Voldemort</t>
  </si>
  <si>
    <t>Team Chi</t>
  </si>
  <si>
    <t>VOLDEMORT</t>
  </si>
  <si>
    <t>K9</t>
  </si>
  <si>
    <t>Pool D</t>
  </si>
  <si>
    <t>Inigo Montoya</t>
  </si>
  <si>
    <t>Team Iota</t>
  </si>
  <si>
    <t>MONTOYA</t>
  </si>
  <si>
    <t>K10</t>
  </si>
  <si>
    <t>Petyr Baelish</t>
  </si>
  <si>
    <t>Team Pi</t>
  </si>
  <si>
    <t>BAELISH</t>
  </si>
  <si>
    <t>K11</t>
  </si>
  <si>
    <t>Xaro Xhoan Daxos</t>
  </si>
  <si>
    <t>Team Omega</t>
  </si>
  <si>
    <t>DAXOS</t>
  </si>
  <si>
    <t>K12</t>
  </si>
  <si>
    <t>Pool E</t>
  </si>
  <si>
    <t>Daenerys Targaryen</t>
  </si>
  <si>
    <t>Team Delta</t>
  </si>
  <si>
    <t>TARGARYEN</t>
  </si>
  <si>
    <t>K13</t>
  </si>
  <si>
    <t>K14</t>
  </si>
  <si>
    <t>Samwise Gamgee</t>
  </si>
  <si>
    <t>Team Tau</t>
  </si>
  <si>
    <t>GAMGEE</t>
  </si>
  <si>
    <t>K15</t>
  </si>
  <si>
    <t>Pool F</t>
  </si>
  <si>
    <t>Frodo Baggins</t>
  </si>
  <si>
    <t>Team Zeta</t>
  </si>
  <si>
    <t>BAGGINS</t>
  </si>
  <si>
    <t>K16</t>
  </si>
  <si>
    <t>Neville Longbottom</t>
  </si>
  <si>
    <t>Team Xi</t>
  </si>
  <si>
    <t>LONGBOTTOM</t>
  </si>
  <si>
    <t>K17</t>
  </si>
  <si>
    <t>Ulysses</t>
  </si>
  <si>
    <t>Team Phi</t>
  </si>
  <si>
    <t>ULYSSES</t>
  </si>
  <si>
    <t>K18</t>
  </si>
  <si>
    <t>Pool G</t>
  </si>
  <si>
    <t>Hermione Granger</t>
  </si>
  <si>
    <t>Team Theta</t>
  </si>
  <si>
    <t>GRANGER</t>
  </si>
  <si>
    <t>K19</t>
  </si>
  <si>
    <t>Othello</t>
  </si>
  <si>
    <t>Team Omicron</t>
  </si>
  <si>
    <t>OTHELLO</t>
  </si>
  <si>
    <t>K20</t>
  </si>
  <si>
    <t>Willy Wonka</t>
  </si>
  <si>
    <t>Team Psi</t>
  </si>
  <si>
    <t>WONKA</t>
  </si>
  <si>
    <t>K21</t>
  </si>
  <si>
    <t>Pool H</t>
  </si>
  <si>
    <t>Jon Snow</t>
  </si>
  <si>
    <t>Team Kappa</t>
  </si>
  <si>
    <t>SNOW</t>
  </si>
  <si>
    <t>K22</t>
  </si>
  <si>
    <t>Quirinus Quirrell</t>
  </si>
  <si>
    <t>Team Rho</t>
  </si>
  <si>
    <t>QUIRRELL</t>
  </si>
  <si>
    <t>K23</t>
  </si>
  <si>
    <t>Ygritte</t>
  </si>
  <si>
    <t>Team Alpha</t>
  </si>
  <si>
    <t>YGRITTE</t>
  </si>
  <si>
    <t>K24</t>
  </si>
  <si>
    <t>Shiaijo A</t>
  </si>
  <si>
    <t>Shiaijo B</t>
  </si>
  <si>
    <t>White</t>
  </si>
  <si>
    <t>vs</t>
  </si>
  <si>
    <t>Red</t>
  </si>
  <si>
    <t>Results</t>
  </si>
  <si>
    <t>W</t>
  </si>
  <si>
    <t>L</t>
  </si>
  <si>
    <t>T</t>
  </si>
  <si>
    <t>PW</t>
  </si>
  <si>
    <t>PL</t>
  </si>
  <si>
    <t>Rank</t>
  </si>
  <si>
    <t>Ranking</t>
  </si>
  <si>
    <t>1.</t>
  </si>
  <si>
    <t>2.</t>
  </si>
  <si>
    <t>3.</t>
  </si>
  <si>
    <t>Round 1 - Match 1</t>
  </si>
  <si>
    <t>Round 1 - Match 5</t>
  </si>
  <si>
    <t>Round 1 - Match 2</t>
  </si>
  <si>
    <t>Round 1 - Match 6</t>
  </si>
  <si>
    <t>Round 1 - Match 3</t>
  </si>
  <si>
    <t>Round 1 - Match 7</t>
  </si>
  <si>
    <t>Round 1 - Match 4</t>
  </si>
  <si>
    <t>Round 1 - Match 8</t>
  </si>
  <si>
    <t>Round 2 - Match 9</t>
  </si>
  <si>
    <t>Round 2 - Match 11</t>
  </si>
  <si>
    <t>Round 2 - Match 10</t>
  </si>
  <si>
    <t>Round 2 - Match 12</t>
  </si>
  <si>
    <t>Round 3 - Match 13</t>
  </si>
  <si>
    <t>Round 3 - Match 14</t>
  </si>
  <si>
    <t>Round 4 - Match 15</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</si>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</sst>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30</v>
      </c>
      <c r="B6" t="s">
        <v>31</v>
      </c>
      <c r="C6" t="s">
        <v>32</v>
      </c>
      <c r="D6" t="s">
        <v>33</v>
      </c>
      <c r="E6" t="s">
        <v>34</v>
      </c>
    </row>
    <row r="7">
      <c r="A7" t="s">
        <v>30</v>
      </c>
      <c r="B7" t="s">
        <v>35</v>
      </c>
      <c r="C7" t="s">
        <v>36</v>
      </c>
      <c r="D7" t="s">
        <v>37</v>
      </c>
      <c r="E7" t="s">
        <v>38</v>
      </c>
    </row>
    <row r="8">
      <c r="A8" t="s">
        <v>30</v>
      </c>
      <c r="B8" t="s">
        <v>39</v>
      </c>
      <c r="C8" t="s">
        <v>40</v>
      </c>
      <c r="D8" t="s">
        <v>20</v>
      </c>
      <c r="E8" t="s">
        <v>41</v>
      </c>
    </row>
    <row r="9">
      <c r="A9" t="s">
        <v>42</v>
      </c>
      <c r="B9" t="s">
        <v>43</v>
      </c>
      <c r="C9" t="s">
        <v>44</v>
      </c>
      <c r="D9" t="s">
        <v>45</v>
      </c>
      <c r="E9" t="s">
        <v>46</v>
      </c>
    </row>
    <row r="10">
      <c r="A10" t="s">
        <v>42</v>
      </c>
      <c r="B10" t="s">
        <v>47</v>
      </c>
      <c r="C10" t="s">
        <v>48</v>
      </c>
      <c r="D10" t="s">
        <v>49</v>
      </c>
      <c r="E10" t="s">
        <v>50</v>
      </c>
    </row>
    <row r="11">
      <c r="A11" t="s">
        <v>42</v>
      </c>
      <c r="B11" t="s">
        <v>51</v>
      </c>
      <c r="C11" t="s">
        <v>52</v>
      </c>
      <c r="D11" t="s">
        <v>53</v>
      </c>
      <c r="E11" t="s">
        <v>54</v>
      </c>
    </row>
    <row r="12">
      <c r="A12" t="s">
        <v>55</v>
      </c>
      <c r="B12" t="s">
        <v>56</v>
      </c>
      <c r="C12" t="s">
        <v>57</v>
      </c>
      <c r="D12" t="s">
        <v>58</v>
      </c>
      <c r="E12" t="s">
        <v>59</v>
      </c>
    </row>
    <row r="13">
      <c r="A13" t="s">
        <v>55</v>
      </c>
      <c r="B13" t="s">
        <v>60</v>
      </c>
      <c r="C13" t="s">
        <v>61</v>
      </c>
      <c r="D13" t="s">
        <v>62</v>
      </c>
      <c r="E13" t="s">
        <v>63</v>
      </c>
    </row>
    <row r="14">
      <c r="A14" t="s">
        <v>55</v>
      </c>
      <c r="B14" t="s">
        <v>64</v>
      </c>
      <c r="C14" t="s">
        <v>65</v>
      </c>
      <c r="D14" t="s">
        <v>66</v>
      </c>
      <c r="E14" t="s">
        <v>67</v>
      </c>
    </row>
    <row r="15">
      <c r="A15" t="s">
        <v>68</v>
      </c>
      <c r="B15" t="s">
        <v>69</v>
      </c>
      <c r="C15" t="s">
        <v>70</v>
      </c>
      <c r="D15" t="s">
        <v>71</v>
      </c>
      <c r="E15" t="s">
        <v>72</v>
      </c>
    </row>
    <row r="16">
      <c r="A16" t="s">
        <v>68</v>
      </c>
      <c r="B16" t="s">
        <v>22</v>
      </c>
      <c r="C16" t="s">
        <v>48</v>
      </c>
      <c r="D16" t="s">
        <v>24</v>
      </c>
      <c r="E16" t="s">
        <v>73</v>
      </c>
    </row>
    <row r="17">
      <c r="A17" t="s">
        <v>68</v>
      </c>
      <c r="B17" t="s">
        <v>74</v>
      </c>
      <c r="C17" t="s">
        <v>75</v>
      </c>
      <c r="D17" t="s">
        <v>76</v>
      </c>
      <c r="E17" t="s">
        <v>77</v>
      </c>
    </row>
    <row r="18">
      <c r="A18" t="s">
        <v>78</v>
      </c>
      <c r="B18" t="s">
        <v>79</v>
      </c>
      <c r="C18" t="s">
        <v>80</v>
      </c>
      <c r="D18" t="s">
        <v>81</v>
      </c>
      <c r="E18" t="s">
        <v>82</v>
      </c>
    </row>
    <row r="19">
      <c r="A19" t="s">
        <v>78</v>
      </c>
      <c r="B19" t="s">
        <v>83</v>
      </c>
      <c r="C19" t="s">
        <v>84</v>
      </c>
      <c r="D19" t="s">
        <v>85</v>
      </c>
      <c r="E19" t="s">
        <v>86</v>
      </c>
    </row>
    <row r="20">
      <c r="A20" t="s">
        <v>78</v>
      </c>
      <c r="B20" t="s">
        <v>87</v>
      </c>
      <c r="C20" t="s">
        <v>88</v>
      </c>
      <c r="D20" t="s">
        <v>89</v>
      </c>
      <c r="E20" t="s">
        <v>90</v>
      </c>
    </row>
    <row r="21">
      <c r="A21" t="s">
        <v>91</v>
      </c>
      <c r="B21" t="s">
        <v>92</v>
      </c>
      <c r="C21" t="s">
        <v>93</v>
      </c>
      <c r="D21" t="s">
        <v>94</v>
      </c>
      <c r="E21" t="s">
        <v>95</v>
      </c>
    </row>
    <row r="22">
      <c r="A22" t="s">
        <v>91</v>
      </c>
      <c r="B22" t="s">
        <v>96</v>
      </c>
      <c r="C22" t="s">
        <v>97</v>
      </c>
      <c r="D22" t="s">
        <v>98</v>
      </c>
      <c r="E22" t="s">
        <v>99</v>
      </c>
    </row>
    <row r="23">
      <c r="A23" t="s">
        <v>91</v>
      </c>
      <c r="B23" t="s">
        <v>100</v>
      </c>
      <c r="C23" t="s">
        <v>101</v>
      </c>
      <c r="D23" t="s">
        <v>102</v>
      </c>
      <c r="E23" t="s">
        <v>103</v>
      </c>
    </row>
    <row r="24">
      <c r="A24" t="s">
        <v>104</v>
      </c>
      <c r="B24" t="s">
        <v>105</v>
      </c>
      <c r="C24" t="s">
        <v>106</v>
      </c>
      <c r="D24" t="s">
        <v>107</v>
      </c>
      <c r="E24" t="s">
        <v>108</v>
      </c>
    </row>
    <row r="25">
      <c r="A25" t="s">
        <v>104</v>
      </c>
      <c r="B25" t="s">
        <v>109</v>
      </c>
      <c r="C25" t="s">
        <v>110</v>
      </c>
      <c r="D25" t="s">
        <v>111</v>
      </c>
      <c r="E25" t="s">
        <v>112</v>
      </c>
    </row>
    <row r="26">
      <c r="A26" t="s">
        <v>104</v>
      </c>
      <c r="B26" t="s">
        <v>113</v>
      </c>
      <c r="C26" t="s">
        <v>114</v>
      </c>
      <c r="D26" t="s">
        <v>115</v>
      </c>
      <c r="E26" t="s">
        <v>116</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8</v>
      </c>
      <c r="B2" s="2">
        <v>1</v>
      </c>
      <c r="C2" s="2">
        <v>24</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15</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148</v>
      </c>
      <c r="F13" s="13"/>
      <c r="G13" s="13"/>
      <c r="H13" s="13"/>
    </row>
    <row r="14">
      <c r="A14">
        <v>2</v>
      </c>
      <c r="E14" s="32" t="s">
        <v>149</v>
      </c>
      <c r="F14" s="32"/>
      <c r="G14" s="32"/>
      <c r="H14" s="31" t="str">
        <f>H2</f>
      </c>
    </row>
    <row r="15">
      <c r="E15" s="32" t="s">
        <v>150</v>
      </c>
      <c r="F15" s="32"/>
      <c r="G15" s="32"/>
      <c r="H15" s="31" t="str">
        <f>H8</f>
      </c>
    </row>
    <row r="16">
      <c r="E16" s="32" t="s">
        <v>151</v>
      </c>
      <c r="F16" s="32"/>
      <c r="G16" s="32"/>
      <c r="H16" s="31" t="str">
        <f>H14+H15</f>
      </c>
    </row>
    <row r="17">
      <c r="E17" s="32" t="s">
        <v>152</v>
      </c>
      <c r="F17" s="32"/>
      <c r="G17" s="32"/>
      <c r="H17" s="31" t="str">
        <f>H16/A14</f>
      </c>
    </row>
    <row r="18">
      <c r="E18" s="13" t="s">
        <v>153</v>
      </c>
      <c r="F18" s="13"/>
      <c r="G18" s="13"/>
      <c r="H18" s="33">
        <v>0.375</v>
      </c>
    </row>
    <row r="19">
      <c r="E19" s="13" t="s">
        <v>154</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c r="D5" s="11" t="str">
        <f>'data'!$A$14</f>
      </c>
      <c r="F5" s="11" t="str">
        <f>'data'!$A$23</f>
      </c>
    </row>
    <row r="6" ht="17" customHeight="true">
      <c r="B6" s="12" t="str">
        <f>data!$E$3&amp;" "&amp;data!$B$3</f>
      </c>
      <c r="D6" s="12" t="str">
        <f>data!$E$12&amp;" "&amp;data!$B$12</f>
      </c>
      <c r="F6" s="12" t="str">
        <f>data!$E$21&amp;" "&amp;data!$B$21</f>
      </c>
    </row>
    <row r="7" ht="17" customHeight="true">
      <c r="B7" s="12" t="str">
        <f>data!$E$4&amp;" "&amp;data!$B$4</f>
      </c>
      <c r="D7" s="12" t="str">
        <f>data!$E$13&amp;" "&amp;data!$B$13</f>
      </c>
      <c r="F7" s="12" t="str">
        <f>data!$E$22&amp;" "&amp;data!$B$22</f>
      </c>
    </row>
    <row r="8">
      <c r="B8" s="12" t="str">
        <f>data!$E$5&amp;" "&amp;data!$B$5</f>
      </c>
      <c r="D8" s="12" t="str">
        <f>data!$E$14&amp;" "&amp;data!$B$14</f>
      </c>
      <c r="F8" s="12" t="str">
        <f>data!$E$23&amp;" "&amp;data!$B$23</f>
      </c>
    </row>
    <row r="11">
      <c r="B11" s="11" t="str">
        <f>'data'!$A$8</f>
      </c>
      <c r="D11" s="11" t="str">
        <f>'data'!$A$17</f>
      </c>
      <c r="F11" s="11" t="str">
        <f>'data'!$A$26</f>
      </c>
    </row>
    <row r="12">
      <c r="B12" s="12" t="str">
        <f>data!$E$6&amp;" "&amp;data!$B$6</f>
      </c>
      <c r="D12" s="12" t="str">
        <f>data!$E$15&amp;" "&amp;data!$B$15</f>
      </c>
      <c r="F12" s="12" t="str">
        <f>data!$E$24&amp;" "&amp;data!$B$24</f>
      </c>
    </row>
    <row r="13">
      <c r="B13" s="12" t="str">
        <f>data!$E$7&amp;" "&amp;data!$B$7</f>
      </c>
      <c r="D13" s="12" t="str">
        <f>data!$E$16&amp;" "&amp;data!$B$16</f>
      </c>
      <c r="F13" s="12" t="str">
        <f>data!$E$25&amp;" "&amp;data!$B$25</f>
      </c>
    </row>
    <row r="14">
      <c r="B14" s="12" t="str">
        <f>data!$E$8&amp;" "&amp;data!$B$8</f>
      </c>
      <c r="D14" s="12" t="str">
        <f>data!$E$17&amp;" "&amp;data!$B$17</f>
      </c>
      <c r="F14" s="12" t="str">
        <f>data!$E$26&amp;" "&amp;data!$B$26</f>
      </c>
    </row>
    <row r="17">
      <c r="B17" s="11" t="str">
        <f>'data'!$A$11</f>
      </c>
      <c r="D17" s="11" t="str">
        <f>'data'!$A$20</f>
      </c>
    </row>
    <row r="18">
      <c r="B18" s="12" t="str">
        <f>data!$E$9&amp;" "&amp;data!$B$9</f>
      </c>
      <c r="D18" s="12" t="str">
        <f>data!$E$18&amp;" "&amp;data!$B$18</f>
      </c>
    </row>
    <row r="19">
      <c r="B19" s="12" t="str">
        <f>data!$E$10&amp;" "&amp;data!$B$10</f>
      </c>
      <c r="D19" s="12" t="str">
        <f>data!$E$19&amp;" "&amp;data!$B$19</f>
      </c>
    </row>
    <row r="20">
      <c r="B20" s="12" t="str">
        <f>data!$E$11&amp;" "&amp;data!$B$11</f>
      </c>
      <c r="D20" s="12" t="str">
        <f>data!$E$20&amp;" "&amp;data!$B$20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117</v>
      </c>
      <c r="B1" s="13"/>
      <c r="C1" s="13"/>
      <c r="D1" s="13"/>
      <c r="E1" s="13"/>
      <c r="F1" s="13"/>
      <c r="G1" s="13"/>
      <c r="I1" s="13" t="s">
        <v>118</v>
      </c>
      <c r="J1" s="13"/>
      <c r="K1" s="13"/>
      <c r="L1" s="13"/>
      <c r="M1" s="13"/>
      <c r="N1" s="13"/>
      <c r="O1" s="13"/>
    </row>
    <row r="2">
      <c r="A2" s="13" t="str">
        <f>'data'!$A$5</f>
      </c>
      <c r="B2" s="13"/>
      <c r="C2" s="13"/>
      <c r="D2" s="13"/>
      <c r="E2" s="13"/>
      <c r="F2" s="13"/>
      <c r="G2" s="13"/>
      <c r="I2" s="13" t="str">
        <f>'data'!$A$17</f>
      </c>
      <c r="J2" s="13"/>
      <c r="K2" s="13"/>
      <c r="L2" s="13"/>
      <c r="M2" s="13"/>
      <c r="N2" s="13"/>
      <c r="O2" s="13"/>
    </row>
    <row r="3">
      <c r="A3" s="17" t="s">
        <v>119</v>
      </c>
      <c r="D3" s="14" t="s">
        <v>120</v>
      </c>
      <c r="G3" s="16" t="s">
        <v>121</v>
      </c>
      <c r="I3" s="17" t="s">
        <v>119</v>
      </c>
      <c r="L3" s="14" t="s">
        <v>120</v>
      </c>
      <c r="O3" s="16" t="s">
        <v>121</v>
      </c>
    </row>
    <row r="4">
      <c r="A4" s="14" t="str">
        <f>data!$E$4&amp;" "&amp;data!$B$4</f>
      </c>
      <c r="B4" s="18"/>
      <c r="C4" s="18"/>
      <c r="D4" s="18"/>
      <c r="E4" s="18"/>
      <c r="F4" s="18"/>
      <c r="G4" s="14" t="str">
        <f>data!$E$3&amp;" "&amp;data!$B$3</f>
      </c>
      <c r="I4" s="14" t="str">
        <f>data!$E$16&amp;" "&amp;data!$B$16</f>
      </c>
      <c r="J4" s="18"/>
      <c r="K4" s="18"/>
      <c r="L4" s="18"/>
      <c r="M4" s="18"/>
      <c r="N4" s="18"/>
      <c r="O4" s="14" t="str">
        <f>data!$E$15&amp;" "&amp;data!$B$15</f>
      </c>
    </row>
    <row r="5">
      <c r="A5" s="14" t="str">
        <f>data!$E$5&amp;" "&amp;data!$B$5</f>
      </c>
      <c r="B5" s="18"/>
      <c r="C5" s="18"/>
      <c r="D5" s="18"/>
      <c r="E5" s="18"/>
      <c r="F5" s="18"/>
      <c r="G5" s="14" t="str">
        <f>data!$E$3&amp;" "&amp;data!$B$3</f>
      </c>
      <c r="I5" s="14" t="str">
        <f>data!$E$17&amp;" "&amp;data!$B$17</f>
      </c>
      <c r="J5" s="18"/>
      <c r="K5" s="18"/>
      <c r="L5" s="18"/>
      <c r="M5" s="18"/>
      <c r="N5" s="18"/>
      <c r="O5" s="14" t="str">
        <f>data!$E$15&amp;" "&amp;data!$B$15</f>
      </c>
    </row>
    <row r="6">
      <c r="A6" s="14" t="str">
        <f>data!$E$5&amp;" "&amp;data!$B$5</f>
      </c>
      <c r="B6" s="18"/>
      <c r="C6" s="18"/>
      <c r="D6" s="18"/>
      <c r="E6" s="18"/>
      <c r="F6" s="18"/>
      <c r="G6" s="14" t="str">
        <f>data!$E$4&amp;" "&amp;data!$B$4</f>
      </c>
      <c r="I6" s="14" t="str">
        <f>data!$E$17&amp;" "&amp;data!$B$17</f>
      </c>
      <c r="J6" s="18"/>
      <c r="K6" s="18"/>
      <c r="L6" s="18"/>
      <c r="M6" s="18"/>
      <c r="N6" s="18"/>
      <c r="O6" s="14" t="str">
        <f>data!$E$16&amp;" "&amp;data!$B$16</f>
      </c>
    </row>
    <row r="8">
      <c r="A8" s="13" t="s">
        <v>122</v>
      </c>
      <c r="B8" s="13" t="s">
        <v>123</v>
      </c>
      <c r="C8" s="13" t="s">
        <v>124</v>
      </c>
      <c r="D8" s="13" t="s">
        <v>125</v>
      </c>
      <c r="E8" s="13" t="s">
        <v>126</v>
      </c>
      <c r="F8" s="13" t="s">
        <v>127</v>
      </c>
      <c r="G8" s="13" t="s">
        <v>128</v>
      </c>
      <c r="I8" s="13" t="s">
        <v>122</v>
      </c>
      <c r="J8" s="13" t="s">
        <v>123</v>
      </c>
      <c r="K8" s="13" t="s">
        <v>124</v>
      </c>
      <c r="L8" s="13" t="s">
        <v>125</v>
      </c>
      <c r="M8" s="13" t="s">
        <v>126</v>
      </c>
      <c r="N8" s="13" t="s">
        <v>127</v>
      </c>
      <c r="O8" s="13" t="s">
        <v>128</v>
      </c>
    </row>
    <row r="9">
      <c r="A9" s="14" t="str">
        <f>data!$E$3&amp;" "&amp;data!$B$3</f>
      </c>
      <c r="B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f>
      </c>
      <c r="C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f>
      </c>
      <c r="D9"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9" s="14" t="str">
        <f>LEN(SUBSTITUTE(SUBSTITUTE(SUBSTITUTE(E4," ",""),"0",""),"-",""))+LEN(SUBSTITUTE(SUBSTITUTE(SUBSTITUTE(F4," ",""),"0",""),"-",""))+LEN(SUBSTITUTE(SUBSTITUTE(SUBSTITUTE(E5," ",""),"0",""),"-",""))+LEN(SUBSTITUTE(SUBSTITUTE(SUBSTITUTE(F5," ",""),"0",""),"-",""))</f>
      </c>
      <c r="F9" s="14" t="str">
        <f>LEN(SUBSTITUTE(SUBSTITUTE(SUBSTITUTE(B4," ",""),"0",""),"-",""))+LEN(SUBSTITUTE(SUBSTITUTE(SUBSTITUTE(C4," ",""),"0",""),"-",""))+LEN(SUBSTITUTE(SUBSTITUTE(SUBSTITUTE(B5," ",""),"0",""),"-",""))+LEN(SUBSTITUTE(SUBSTITUTE(SUBSTITUTE(C5," ",""),"0",""),"-",""))</f>
      </c>
      <c r="G9" s="18" t="str">
        <f>RANK(U9,$U$9:$U$11)+COUNTIF($U$8:U8,U9)</f>
      </c>
      <c r="I9" s="14" t="str">
        <f>data!$E$15&amp;" "&amp;data!$B$15</f>
      </c>
      <c r="J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",""),"0",""),"-",""))&gt;LEN(SUBSTITUTE(SUBSTITUTE(SUBSTITUTE(J4,"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",""),"0",""),"-",""))&gt;LEN(SUBSTITUTE(SUBSTITUTE(SUBSTITUTE(J5," ",""),"0",""),"-",""))+LEN(SUBSTITUTE(SUBSTITUTE(SUBSTITUTE(K5," ",""),"0",""),"-","")))*1),0)</f>
      </c>
      <c r="K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",""),"0",""),"-",""))&lt;LEN(SUBSTITUTE(SUBSTITUTE(SUBSTITUTE(J4,"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",""),"0",""),"-",""))&lt;LEN(SUBSTITUTE(SUBSTITUTE(SUBSTITUTE(J5," ",""),"0",""),"-",""))+LEN(SUBSTITUTE(SUBSTITUTE(SUBSTITUTE(K5," ",""),"0",""),"-","")))*1),0)</f>
      </c>
      <c r="L9" s="14" t="str">
        <f>IF(OR(COUNTA(J4,K4,M4,N4)&gt;0,OR(L4="X",L4="x")),IF(OR(L4="X",L4="x",AND(OR(COUNTA(J4,K4,M4,N4)&gt;0,OR(L4="X",L4="x")),(LEN(SUBSTITUTE(SUBSTITUTE(SUBSTITUTE(J4," ",""),"0",""),"-",""))+LEN(SUBSTITUTE(SUBSTITUTE(SUBSTITUTE(K4," ",""),"0",""),"-","")))=(LEN(SUBSTITUTE(SUBSTITUTE(SUBSTITUTE(M4," ",""),"0",""),"-",""))+LEN(SUBSTITUTE(SUBSTITUTE(SUBSTITUTE(N4," ",""),"0",""),"-",""))))),1,0),0)+IF(OR(COUNTA(J5,K5,M5,N5)&gt;0,OR(L5="X",L5="x")),IF(OR(L5="X",L5="x",AND(OR(COUNTA(J5,K5,M5,N5)&gt;0,OR(L5="X",L5="x")),(LEN(SUBSTITUTE(SUBSTITUTE(SUBSTITUTE(J5," ",""),"0",""),"-",""))+LEN(SUBSTITUTE(SUBSTITUTE(SUBSTITUTE(K5," ",""),"0",""),"-","")))=(LEN(SUBSTITUTE(SUBSTITUTE(SUBSTITUTE(M5," ",""),"0",""),"-",""))+LEN(SUBSTITUTE(SUBSTITUTE(SUBSTITUTE(N5," ",""),"0",""),"-",""))))),1,0),0)</f>
      </c>
      <c r="M9" s="14" t="str">
        <f>LEN(SUBSTITUTE(SUBSTITUTE(SUBSTITUTE(M4," ",""),"0",""),"-",""))+LEN(SUBSTITUTE(SUBSTITUTE(SUBSTITUTE(N4," ",""),"0",""),"-",""))+LEN(SUBSTITUTE(SUBSTITUTE(SUBSTITUTE(M5," ",""),"0",""),"-",""))+LEN(SUBSTITUTE(SUBSTITUTE(SUBSTITUTE(N5," ",""),"0",""),"-",""))</f>
      </c>
      <c r="N9" s="14" t="str">
        <f>LEN(SUBSTITUTE(SUBSTITUTE(SUBSTITUTE(J4," ",""),"0",""),"-",""))+LEN(SUBSTITUTE(SUBSTITUTE(SUBSTITUTE(K4," ",""),"0",""),"-",""))+LEN(SUBSTITUTE(SUBSTITUTE(SUBSTITUTE(J5," ",""),"0",""),"-",""))+LEN(SUBSTITUTE(SUBSTITUTE(SUBSTITUTE(K5," ",""),"0",""),"-",""))</f>
      </c>
      <c r="O9" s="18" t="str">
        <f>RANK(AC9,$AC$9:$AC$11)+COUNTIF($AC$8:AC8,AC9)</f>
      </c>
      <c r="U9" t="str">
        <f>(B9*1000000)-(C9*10000)+(D9*100)+(E9*1)-(F9*0.01)</f>
      </c>
      <c r="AC9" t="str">
        <f>(J9*1000000)-(K9*10000)+(L9*100)+(M9*1)-(N9*0.01)</f>
      </c>
    </row>
    <row r="10">
      <c r="A10" s="14" t="str">
        <f>data!$E$4&amp;" "&amp;data!$B$4</f>
      </c>
      <c r="B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0" s="14" t="str">
        <f>IF(OR(COUNTA(B4,C4,E4,F4)&gt;0,OR(D4="X",D4="x")),IF(OR(D4="X",D4="x",AND(OR(COUNTA(B4,C4,E4,F4)&gt;0,OR(D4="X",D4="x")),(LEN(SUBSTITUTE(SUBSTITUTE(SUBSTITUTE(B4," ",""),"0",""),"-",""))+LEN(SUBSTITUTE(SUBSTITUTE(SUBSTITUTE(C4," ",""),"0",""),"-","")))=(LEN(SUBSTITUTE(SUBSTITUTE(SUBSTITUTE(E4," ",""),"0",""),"-",""))+LEN(SUBSTITUTE(SUBSTITUTE(SUBSTITUTE(F4," ",""),"0",""),"-",""))))),1,0),0)+IF(OR(COUNTA(B6,C6,E6,F6)&gt;0,OR(D6="X",D6="x")),IF(OR(D6="X",D6="x",AND(OR(COUNTA(B6,C6,E6,F6)&gt;0,OR(D6="X",D6="x")),(LEN(SUBSTITUTE(SUBSTITUTE(SUBSTITUTE(B6," ",""),"0",""),"-",""))+LEN(SUBSTITUTE(SUBSTITUTE(SUBSTITUTE(C6," ",""),"0",""),"-","")))=(LEN(SUBSTITUTE(SUBSTITUTE(SUBSTITUTE(E6," ",""),"0",""),"-",""))+LEN(SUBSTITUTE(SUBSTITUTE(SUBSTITUTE(F6," ",""),"0",""),"-",""))))),1,0),0)</f>
      </c>
      <c r="E10" s="14" t="str">
        <f>LEN(SUBSTITUTE(SUBSTITUTE(SUBSTITUTE(B4," ",""),"0",""),"-",""))+LEN(SUBSTITUTE(SUBSTITUTE(SUBSTITUTE(C4," ",""),"0",""),"-",""))+LEN(SUBSTITUTE(SUBSTITUTE(SUBSTITUTE(E6," ",""),"0",""),"-",""))+LEN(SUBSTITUTE(SUBSTITUTE(SUBSTITUTE(F6," ",""),"0",""),"-",""))</f>
      </c>
      <c r="F10" s="14" t="str">
        <f>LEN(SUBSTITUTE(SUBSTITUTE(SUBSTITUTE(E4," ",""),"0",""),"-",""))+LEN(SUBSTITUTE(SUBSTITUTE(SUBSTITUTE(F4," ",""),"0",""),"-",""))+LEN(SUBSTITUTE(SUBSTITUTE(SUBSTITUTE(B6," ",""),"0",""),"-",""))+LEN(SUBSTITUTE(SUBSTITUTE(SUBSTITUTE(C6," ",""),"0",""),"-",""))</f>
      </c>
      <c r="G10" s="18" t="str">
        <f>RANK(U10,$U$9:$U$11)+COUNTIF($U$8:U9,U10)</f>
      </c>
      <c r="I10" s="14" t="str">
        <f>data!$E$16&amp;" "&amp;data!$B$16</f>
      </c>
      <c r="J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",""),"0",""),"-",""))&gt;LEN(SUBSTITUTE(SUBSTITUTE(SUBSTITUTE(M4,"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",""),"0",""),"-",""))&gt;LEN(SUBSTITUTE(SUBSTITUTE(SUBSTITUTE(J6," ",""),"0",""),"-",""))+LEN(SUBSTITUTE(SUBSTITUTE(SUBSTITUTE(K6," ",""),"0",""),"-","")))*1),0)</f>
      </c>
      <c r="K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",""),"0",""),"-",""))&lt;LEN(SUBSTITUTE(SUBSTITUTE(SUBSTITUTE(M4,"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",""),"0",""),"-",""))&lt;LEN(SUBSTITUTE(SUBSTITUTE(SUBSTITUTE(J6," ",""),"0",""),"-",""))+LEN(SUBSTITUTE(SUBSTITUTE(SUBSTITUTE(K6," ",""),"0",""),"-","")))*1),0)</f>
      </c>
      <c r="L10" s="14" t="str">
        <f>IF(OR(COUNTA(J4,K4,M4,N4)&gt;0,OR(L4="X",L4="x")),IF(OR(L4="X",L4="x",AND(OR(COUNTA(J4,K4,M4,N4)&gt;0,OR(L4="X",L4="x")),(LEN(SUBSTITUTE(SUBSTITUTE(SUBSTITUTE(J4," ",""),"0",""),"-",""))+LEN(SUBSTITUTE(SUBSTITUTE(SUBSTITUTE(K4," ",""),"0",""),"-","")))=(LEN(SUBSTITUTE(SUBSTITUTE(SUBSTITUTE(M4," ",""),"0",""),"-",""))+LEN(SUBSTITUTE(SUBSTITUTE(SUBSTITUTE(N4," ",""),"0",""),"-",""))))),1,0),0)+IF(OR(COUNTA(J6,K6,M6,N6)&gt;0,OR(L6="X",L6="x")),IF(OR(L6="X",L6="x",AND(OR(COUNTA(J6,K6,M6,N6)&gt;0,OR(L6="X",L6="x")),(LEN(SUBSTITUTE(SUBSTITUTE(SUBSTITUTE(J6," ",""),"0",""),"-",""))+LEN(SUBSTITUTE(SUBSTITUTE(SUBSTITUTE(K6," ",""),"0",""),"-","")))=(LEN(SUBSTITUTE(SUBSTITUTE(SUBSTITUTE(M6," ",""),"0",""),"-",""))+LEN(SUBSTITUTE(SUBSTITUTE(SUBSTITUTE(N6," ",""),"0",""),"-",""))))),1,0),0)</f>
      </c>
      <c r="M10" s="14" t="str">
        <f>LEN(SUBSTITUTE(SUBSTITUTE(SUBSTITUTE(J4," ",""),"0",""),"-",""))+LEN(SUBSTITUTE(SUBSTITUTE(SUBSTITUTE(K4," ",""),"0",""),"-",""))+LEN(SUBSTITUTE(SUBSTITUTE(SUBSTITUTE(M6," ",""),"0",""),"-",""))+LEN(SUBSTITUTE(SUBSTITUTE(SUBSTITUTE(N6," ",""),"0",""),"-",""))</f>
      </c>
      <c r="N10" s="14" t="str">
        <f>LEN(SUBSTITUTE(SUBSTITUTE(SUBSTITUTE(M4," ",""),"0",""),"-",""))+LEN(SUBSTITUTE(SUBSTITUTE(SUBSTITUTE(N4," ",""),"0",""),"-",""))+LEN(SUBSTITUTE(SUBSTITUTE(SUBSTITUTE(J6," ",""),"0",""),"-",""))+LEN(SUBSTITUTE(SUBSTITUTE(SUBSTITUTE(K6," ",""),"0",""),"-",""))</f>
      </c>
      <c r="O10" s="18" t="str">
        <f>RANK(AC10,$AC$9:$AC$11)+COUNTIF($AC$8:AC9,AC10)</f>
      </c>
      <c r="U10" t="str">
        <f>(B10*1000000)-(C10*10000)+(D10*100)+(E10*1)-(F10*0.01)</f>
      </c>
      <c r="AC10" t="str">
        <f>(J10*1000000)-(K10*10000)+(L10*100)+(M10*1)-(N10*0.01)</f>
      </c>
    </row>
    <row r="11">
      <c r="A11" s="14" t="str">
        <f>data!$E$5&amp;" "&amp;data!$B$5</f>
      </c>
      <c r="B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f>
      </c>
      <c r="C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f>
      </c>
      <c r="D11"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1" s="14" t="str">
        <f>LEN(SUBSTITUTE(SUBSTITUTE(SUBSTITUTE(B5," ",""),"0",""),"-",""))+LEN(SUBSTITUTE(SUBSTITUTE(SUBSTITUTE(C5," ",""),"0",""),"-",""))+LEN(SUBSTITUTE(SUBSTITUTE(SUBSTITUTE(B6," ",""),"0",""),"-",""))+LEN(SUBSTITUTE(SUBSTITUTE(SUBSTITUTE(C6," ",""),"0",""),"-",""))</f>
      </c>
      <c r="F11" s="14" t="str">
        <f>LEN(SUBSTITUTE(SUBSTITUTE(SUBSTITUTE(E5," ",""),"0",""),"-",""))+LEN(SUBSTITUTE(SUBSTITUTE(SUBSTITUTE(F5," ",""),"0",""),"-",""))+LEN(SUBSTITUTE(SUBSTITUTE(SUBSTITUTE(E6," ",""),"0",""),"-",""))+LEN(SUBSTITUTE(SUBSTITUTE(SUBSTITUTE(F6," ",""),"0",""),"-",""))</f>
      </c>
      <c r="G11" s="18" t="str">
        <f>RANK(U11,$U$9:$U$11)+COUNTIF($U$8:U10,U11)</f>
      </c>
      <c r="I11" s="14" t="str">
        <f>data!$E$17&amp;" "&amp;data!$B$17</f>
      </c>
      <c r="J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",""),"0",""),"-",""))&gt;LEN(SUBSTITUTE(SUBSTITUTE(SUBSTITUTE(M5,"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",""),"0",""),"-",""))&gt;LEN(SUBSTITUTE(SUBSTITUTE(SUBSTITUTE(M6," ",""),"0",""),"-",""))+LEN(SUBSTITUTE(SUBSTITUTE(SUBSTITUTE(N6," ",""),"0",""),"-","")))*1),0)</f>
      </c>
      <c r="K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",""),"0",""),"-",""))&lt;LEN(SUBSTITUTE(SUBSTITUTE(SUBSTITUTE(M5,"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",""),"0",""),"-",""))&lt;LEN(SUBSTITUTE(SUBSTITUTE(SUBSTITUTE(M6," ",""),"0",""),"-",""))+LEN(SUBSTITUTE(SUBSTITUTE(SUBSTITUTE(N6," ",""),"0",""),"-","")))*1),0)</f>
      </c>
      <c r="L11" s="14" t="str">
        <f>IF(OR(COUNTA(J5,K5,M5,N5)&gt;0,OR(L5="X",L5="x")),IF(OR(L5="X",L5="x",AND(OR(COUNTA(J5,K5,M5,N5)&gt;0,OR(L5="X",L5="x")),(LEN(SUBSTITUTE(SUBSTITUTE(SUBSTITUTE(J5," ",""),"0",""),"-",""))+LEN(SUBSTITUTE(SUBSTITUTE(SUBSTITUTE(K5," ",""),"0",""),"-","")))=(LEN(SUBSTITUTE(SUBSTITUTE(SUBSTITUTE(M5," ",""),"0",""),"-",""))+LEN(SUBSTITUTE(SUBSTITUTE(SUBSTITUTE(N5," ",""),"0",""),"-",""))))),1,0),0)+IF(OR(COUNTA(J6,K6,M6,N6)&gt;0,OR(L6="X",L6="x")),IF(OR(L6="X",L6="x",AND(OR(COUNTA(J6,K6,M6,N6)&gt;0,OR(L6="X",L6="x")),(LEN(SUBSTITUTE(SUBSTITUTE(SUBSTITUTE(J6," ",""),"0",""),"-",""))+LEN(SUBSTITUTE(SUBSTITUTE(SUBSTITUTE(K6," ",""),"0",""),"-","")))=(LEN(SUBSTITUTE(SUBSTITUTE(SUBSTITUTE(M6," ",""),"0",""),"-",""))+LEN(SUBSTITUTE(SUBSTITUTE(SUBSTITUTE(N6," ",""),"0",""),"-",""))))),1,0),0)</f>
      </c>
      <c r="M11" s="14" t="str">
        <f>LEN(SUBSTITUTE(SUBSTITUTE(SUBSTITUTE(J5," ",""),"0",""),"-",""))+LEN(SUBSTITUTE(SUBSTITUTE(SUBSTITUTE(K5," ",""),"0",""),"-",""))+LEN(SUBSTITUTE(SUBSTITUTE(SUBSTITUTE(J6," ",""),"0",""),"-",""))+LEN(SUBSTITUTE(SUBSTITUTE(SUBSTITUTE(K6," ",""),"0",""),"-",""))</f>
      </c>
      <c r="N11" s="14" t="str">
        <f>LEN(SUBSTITUTE(SUBSTITUTE(SUBSTITUTE(M5," ",""),"0",""),"-",""))+LEN(SUBSTITUTE(SUBSTITUTE(SUBSTITUTE(N5," ",""),"0",""),"-",""))+LEN(SUBSTITUTE(SUBSTITUTE(SUBSTITUTE(M6," ",""),"0",""),"-",""))+LEN(SUBSTITUTE(SUBSTITUTE(SUBSTITUTE(N6," ",""),"0",""),"-",""))</f>
      </c>
      <c r="O11" s="18" t="str">
        <f>RANK(AC11,$AC$9:$AC$11)+COUNTIF($AC$8:AC10,AC11)</f>
      </c>
      <c r="U11" t="str">
        <f>(B11*1000000)-(C11*10000)+(D11*100)+(E11*1)-(F11*0.01)</f>
      </c>
      <c r="AC11" t="str">
        <f>(J11*1000000)-(K11*10000)+(L11*100)+(M11*1)-(N11*0.01)</f>
      </c>
    </row>
    <row r="14">
      <c r="F14" s="13"/>
      <c r="G14" s="13" t="s">
        <v>129</v>
      </c>
      <c r="N14" s="13"/>
      <c r="O14" s="13" t="s">
        <v>129</v>
      </c>
    </row>
    <row r="15">
      <c r="F15" t="s">
        <v>130</v>
      </c>
      <c r="G15" s="19" t="str">
        <f>IFERROR(INDEX($A$9:$A$11, MATCH(1, $G$9:$G$11, 0)), "-")</f>
      </c>
      <c r="N15" t="s">
        <v>130</v>
      </c>
      <c r="O15" s="19" t="str">
        <f>IFERROR(INDEX($I$9:$I$11, MATCH(1, $O$9:$O$11, 0)), "-")</f>
      </c>
    </row>
    <row r="16">
      <c r="F16" t="s">
        <v>131</v>
      </c>
      <c r="G16" s="19" t="str">
        <f>IFERROR(INDEX($A$9:$A$11, MATCH(2, $G$9:$G$11, 0)), "-")</f>
      </c>
      <c r="N16" t="s">
        <v>131</v>
      </c>
      <c r="O16" s="19" t="str">
        <f>IFERROR(INDEX($I$9:$I$11, MATCH(2, $O$9:$O$11, 0)), "-")</f>
      </c>
    </row>
    <row r="17">
      <c r="F17" t="s">
        <v>132</v>
      </c>
      <c r="G17" s="19" t="str">
        <f>IFERROR(INDEX($A$9:$A$11, MATCH(3, $G$9:$G$11, 0)), "-")</f>
      </c>
      <c r="N17" t="s">
        <v>132</v>
      </c>
      <c r="O17" s="19" t="str">
        <f>IFERROR(INDEX($I$9:$I$11, MATCH(3, $O$9:$O$11, 0)), "-")</f>
      </c>
    </row>
    <row r="19">
      <c r="A19" s="13" t="str">
        <f>'data'!$A$8</f>
      </c>
      <c r="B19" s="13"/>
      <c r="C19" s="13"/>
      <c r="D19" s="13"/>
      <c r="E19" s="13"/>
      <c r="F19" s="13"/>
      <c r="G19" s="13"/>
      <c r="I19" s="13" t="str">
        <f>'data'!$A$20</f>
      </c>
      <c r="J19" s="13"/>
      <c r="K19" s="13"/>
      <c r="L19" s="13"/>
      <c r="M19" s="13"/>
      <c r="N19" s="13"/>
      <c r="O19" s="13"/>
    </row>
    <row r="20">
      <c r="A20" s="17" t="s">
        <v>119</v>
      </c>
      <c r="D20" s="14" t="s">
        <v>120</v>
      </c>
      <c r="G20" s="16" t="s">
        <v>121</v>
      </c>
      <c r="I20" s="17" t="s">
        <v>119</v>
      </c>
      <c r="L20" s="14" t="s">
        <v>120</v>
      </c>
      <c r="O20" s="16" t="s">
        <v>121</v>
      </c>
    </row>
    <row r="21">
      <c r="A21" s="14" t="str">
        <f>data!$E$7&amp;" "&amp;data!$B$7</f>
      </c>
      <c r="B21" s="18"/>
      <c r="C21" s="18"/>
      <c r="D21" s="18"/>
      <c r="E21" s="18"/>
      <c r="F21" s="18"/>
      <c r="G21" s="14" t="str">
        <f>data!$E$6&amp;" "&amp;data!$B$6</f>
      </c>
      <c r="I21" s="14" t="str">
        <f>data!$E$19&amp;" "&amp;data!$B$19</f>
      </c>
      <c r="J21" s="18"/>
      <c r="K21" s="18"/>
      <c r="L21" s="18"/>
      <c r="M21" s="18"/>
      <c r="N21" s="18"/>
      <c r="O21" s="14" t="str">
        <f>data!$E$18&amp;" "&amp;data!$B$18</f>
      </c>
    </row>
    <row r="22">
      <c r="A22" s="14" t="str">
        <f>data!$E$8&amp;" "&amp;data!$B$8</f>
      </c>
      <c r="B22" s="18"/>
      <c r="C22" s="18"/>
      <c r="D22" s="18"/>
      <c r="E22" s="18"/>
      <c r="F22" s="18"/>
      <c r="G22" s="14" t="str">
        <f>data!$E$6&amp;" "&amp;data!$B$6</f>
      </c>
      <c r="I22" s="14" t="str">
        <f>data!$E$20&amp;" "&amp;data!$B$20</f>
      </c>
      <c r="J22" s="18"/>
      <c r="K22" s="18"/>
      <c r="L22" s="18"/>
      <c r="M22" s="18"/>
      <c r="N22" s="18"/>
      <c r="O22" s="14" t="str">
        <f>data!$E$18&amp;" "&amp;data!$B$18</f>
      </c>
    </row>
    <row r="23">
      <c r="A23" s="14" t="str">
        <f>data!$E$8&amp;" "&amp;data!$B$8</f>
      </c>
      <c r="B23" s="18"/>
      <c r="C23" s="18"/>
      <c r="D23" s="18"/>
      <c r="E23" s="18"/>
      <c r="F23" s="18"/>
      <c r="G23" s="14" t="str">
        <f>data!$E$7&amp;" "&amp;data!$B$7</f>
      </c>
      <c r="I23" s="14" t="str">
        <f>data!$E$20&amp;" "&amp;data!$B$20</f>
      </c>
      <c r="J23" s="18"/>
      <c r="K23" s="18"/>
      <c r="L23" s="18"/>
      <c r="M23" s="18"/>
      <c r="N23" s="18"/>
      <c r="O23" s="14" t="str">
        <f>data!$E$19&amp;" "&amp;data!$B$19</f>
      </c>
    </row>
    <row r="25">
      <c r="A25" s="13" t="s">
        <v>122</v>
      </c>
      <c r="B25" s="13" t="s">
        <v>123</v>
      </c>
      <c r="C25" s="13" t="s">
        <v>124</v>
      </c>
      <c r="D25" s="13" t="s">
        <v>125</v>
      </c>
      <c r="E25" s="13" t="s">
        <v>126</v>
      </c>
      <c r="F25" s="13" t="s">
        <v>127</v>
      </c>
      <c r="G25" s="13" t="s">
        <v>128</v>
      </c>
      <c r="I25" s="13" t="s">
        <v>122</v>
      </c>
      <c r="J25" s="13" t="s">
        <v>123</v>
      </c>
      <c r="K25" s="13" t="s">
        <v>124</v>
      </c>
      <c r="L25" s="13" t="s">
        <v>125</v>
      </c>
      <c r="M25" s="13" t="s">
        <v>126</v>
      </c>
      <c r="N25" s="13" t="s">
        <v>127</v>
      </c>
      <c r="O25" s="13" t="s">
        <v>128</v>
      </c>
    </row>
    <row r="26">
      <c r="A26" s="14" t="str">
        <f>data!$E$6&amp;" "&amp;data!$B$6</f>
      </c>
      <c r="B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",""),"0",""),"-",""))&gt;LEN(SUBSTITUTE(SUBSTITUTE(SUBSTITUTE(B21,"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",""),"0",""),"-",""))&gt;LEN(SUBSTITUTE(SUBSTITUTE(SUBSTITUTE(B22," ",""),"0",""),"-",""))+LEN(SUBSTITUTE(SUBSTITUTE(SUBSTITUTE(C22," ",""),"0",""),"-","")))*1),0)</f>
      </c>
      <c r="C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",""),"0",""),"-",""))&lt;LEN(SUBSTITUTE(SUBSTITUTE(SUBSTITUTE(B21,"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",""),"0",""),"-",""))&lt;LEN(SUBSTITUTE(SUBSTITUTE(SUBSTITUTE(B22," ",""),"0",""),"-",""))+LEN(SUBSTITUTE(SUBSTITUTE(SUBSTITUTE(C22," ",""),"0",""),"-","")))*1),0)</f>
      </c>
      <c r="D26" s="14" t="str">
        <f>IF(OR(COUNTA(B21,C21,E21,F21)&gt;0,OR(D21="X",D21="x")),IF(OR(D21="X",D21="x",AND(OR(COUNTA(B21,C21,E21,F21)&gt;0,OR(D21="X",D21="x")),(LEN(SUBSTITUTE(SUBSTITUTE(SUBSTITUTE(B21," ",""),"0",""),"-",""))+LEN(SUBSTITUTE(SUBSTITUTE(SUBSTITUTE(C21," ",""),"0",""),"-","")))=(LEN(SUBSTITUTE(SUBSTITUTE(SUBSTITUTE(E21," ",""),"0",""),"-",""))+LEN(SUBSTITUTE(SUBSTITUTE(SUBSTITUTE(F21," ",""),"0",""),"-",""))))),1,0),0)+IF(OR(COUNTA(B22,C22,E22,F22)&gt;0,OR(D22="X",D22="x")),IF(OR(D22="X",D22="x",AND(OR(COUNTA(B22,C22,E22,F22)&gt;0,OR(D22="X",D22="x")),(LEN(SUBSTITUTE(SUBSTITUTE(SUBSTITUTE(B22," ",""),"0",""),"-",""))+LEN(SUBSTITUTE(SUBSTITUTE(SUBSTITUTE(C22," ",""),"0",""),"-","")))=(LEN(SUBSTITUTE(SUBSTITUTE(SUBSTITUTE(E22," ",""),"0",""),"-",""))+LEN(SUBSTITUTE(SUBSTITUTE(SUBSTITUTE(F22," ",""),"0",""),"-",""))))),1,0),0)</f>
      </c>
      <c r="E26" s="14" t="str">
        <f>LEN(SUBSTITUTE(SUBSTITUTE(SUBSTITUTE(E21," ",""),"0",""),"-",""))+LEN(SUBSTITUTE(SUBSTITUTE(SUBSTITUTE(F21," ",""),"0",""),"-",""))+LEN(SUBSTITUTE(SUBSTITUTE(SUBSTITUTE(E22," ",""),"0",""),"-",""))+LEN(SUBSTITUTE(SUBSTITUTE(SUBSTITUTE(F22," ",""),"0",""),"-",""))</f>
      </c>
      <c r="F26" s="14" t="str">
        <f>LEN(SUBSTITUTE(SUBSTITUTE(SUBSTITUTE(B21," ",""),"0",""),"-",""))+LEN(SUBSTITUTE(SUBSTITUTE(SUBSTITUTE(C21," ",""),"0",""),"-",""))+LEN(SUBSTITUTE(SUBSTITUTE(SUBSTITUTE(B22," ",""),"0",""),"-",""))+LEN(SUBSTITUTE(SUBSTITUTE(SUBSTITUTE(C22," ",""),"0",""),"-",""))</f>
      </c>
      <c r="G26" s="18" t="str">
        <f>RANK(U26,$U$26:$U$28)+COUNTIF($U$25:U25,U26)</f>
      </c>
      <c r="I26" s="14" t="str">
        <f>data!$E$18&amp;" "&amp;data!$B$18</f>
      </c>
      <c r="J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",""),"0",""),"-",""))&gt;LEN(SUBSTITUTE(SUBSTITUTE(SUBSTITUTE(J21,"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",""),"0",""),"-",""))&gt;LEN(SUBSTITUTE(SUBSTITUTE(SUBSTITUTE(J22," ",""),"0",""),"-",""))+LEN(SUBSTITUTE(SUBSTITUTE(SUBSTITUTE(K22," ",""),"0",""),"-","")))*1),0)</f>
      </c>
      <c r="K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",""),"0",""),"-",""))&lt;LEN(SUBSTITUTE(SUBSTITUTE(SUBSTITUTE(J21,"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",""),"0",""),"-",""))&lt;LEN(SUBSTITUTE(SUBSTITUTE(SUBSTITUTE(J22," ",""),"0",""),"-",""))+LEN(SUBSTITUTE(SUBSTITUTE(SUBSTITUTE(K22," ",""),"0",""),"-","")))*1),0)</f>
      </c>
      <c r="L26" s="14" t="str">
        <f>IF(OR(COUNTA(J21,K21,M21,N21)&gt;0,OR(L21="X",L21="x")),IF(OR(L21="X",L21="x",AND(OR(COUNTA(J21,K21,M21,N21)&gt;0,OR(L21="X",L21="x")),(LEN(SUBSTITUTE(SUBSTITUTE(SUBSTITUTE(J21," ",""),"0",""),"-",""))+LEN(SUBSTITUTE(SUBSTITUTE(SUBSTITUTE(K21," ",""),"0",""),"-","")))=(LEN(SUBSTITUTE(SUBSTITUTE(SUBSTITUTE(M21," ",""),"0",""),"-",""))+LEN(SUBSTITUTE(SUBSTITUTE(SUBSTITUTE(N21," ",""),"0",""),"-",""))))),1,0),0)+IF(OR(COUNTA(J22,K22,M22,N22)&gt;0,OR(L22="X",L22="x")),IF(OR(L22="X",L22="x",AND(OR(COUNTA(J22,K22,M22,N22)&gt;0,OR(L22="X",L22="x")),(LEN(SUBSTITUTE(SUBSTITUTE(SUBSTITUTE(J22," ",""),"0",""),"-",""))+LEN(SUBSTITUTE(SUBSTITUTE(SUBSTITUTE(K22," ",""),"0",""),"-","")))=(LEN(SUBSTITUTE(SUBSTITUTE(SUBSTITUTE(M22," ",""),"0",""),"-",""))+LEN(SUBSTITUTE(SUBSTITUTE(SUBSTITUTE(N22," ",""),"0",""),"-",""))))),1,0),0)</f>
      </c>
      <c r="M26" s="14" t="str">
        <f>LEN(SUBSTITUTE(SUBSTITUTE(SUBSTITUTE(M21," ",""),"0",""),"-",""))+LEN(SUBSTITUTE(SUBSTITUTE(SUBSTITUTE(N21," ",""),"0",""),"-",""))+LEN(SUBSTITUTE(SUBSTITUTE(SUBSTITUTE(M22," ",""),"0",""),"-",""))+LEN(SUBSTITUTE(SUBSTITUTE(SUBSTITUTE(N22," ",""),"0",""),"-",""))</f>
      </c>
      <c r="N26" s="14" t="str">
        <f>LEN(SUBSTITUTE(SUBSTITUTE(SUBSTITUTE(J21," ",""),"0",""),"-",""))+LEN(SUBSTITUTE(SUBSTITUTE(SUBSTITUTE(K21," ",""),"0",""),"-",""))+LEN(SUBSTITUTE(SUBSTITUTE(SUBSTITUTE(J22," ",""),"0",""),"-",""))+LEN(SUBSTITUTE(SUBSTITUTE(SUBSTITUTE(K22," ",""),"0",""),"-",""))</f>
      </c>
      <c r="O26" s="18" t="str">
        <f>RANK(AC26,$AC$26:$AC$28)+COUNTIF($AC$25:AC25,AC26)</f>
      </c>
      <c r="U26" t="str">
        <f>(B26*1000000)-(C26*10000)+(D26*100)+(E26*1)-(F26*0.01)</f>
      </c>
      <c r="AC26" t="str">
        <f>(J26*1000000)-(K26*10000)+(L26*100)+(M26*1)-(N26*0.01)</f>
      </c>
    </row>
    <row r="27">
      <c r="A27" s="14" t="str">
        <f>data!$E$7&amp;" "&amp;data!$B$7</f>
      </c>
      <c r="B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",""),"0",""),"-",""))&gt;LEN(SUBSTITUTE(SUBSTITUTE(SUBSTITUTE(E21,"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",""),"0",""),"-",""))&gt;LEN(SUBSTITUTE(SUBSTITUTE(SUBSTITUTE(B23," ",""),"0",""),"-",""))+LEN(SUBSTITUTE(SUBSTITUTE(SUBSTITUTE(C23," ",""),"0",""),"-","")))*1),0)</f>
      </c>
      <c r="C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",""),"0",""),"-",""))&lt;LEN(SUBSTITUTE(SUBSTITUTE(SUBSTITUTE(E21,"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",""),"0",""),"-",""))&lt;LEN(SUBSTITUTE(SUBSTITUTE(SUBSTITUTE(B23," ",""),"0",""),"-",""))+LEN(SUBSTITUTE(SUBSTITUTE(SUBSTITUTE(C23," ",""),"0",""),"-","")))*1),0)</f>
      </c>
      <c r="D27" s="14" t="str">
        <f>IF(OR(COUNTA(B21,C21,E21,F21)&gt;0,OR(D21="X",D21="x")),IF(OR(D21="X",D21="x",AND(OR(COUNTA(B21,C21,E21,F21)&gt;0,OR(D21="X",D21="x")),(LEN(SUBSTITUTE(SUBSTITUTE(SUBSTITUTE(B21," ",""),"0",""),"-",""))+LEN(SUBSTITUTE(SUBSTITUTE(SUBSTITUTE(C21," ",""),"0",""),"-","")))=(LEN(SUBSTITUTE(SUBSTITUTE(SUBSTITUTE(E21," ",""),"0",""),"-",""))+LEN(SUBSTITUTE(SUBSTITUTE(SUBSTITUTE(F21," ",""),"0",""),"-",""))))),1,0),0)+IF(OR(COUNTA(B23,C23,E23,F23)&gt;0,OR(D23="X",D23="x")),IF(OR(D23="X",D23="x",AND(OR(COUNTA(B23,C23,E23,F23)&gt;0,OR(D23="X",D23="x")),(LEN(SUBSTITUTE(SUBSTITUTE(SUBSTITUTE(B23," ",""),"0",""),"-",""))+LEN(SUBSTITUTE(SUBSTITUTE(SUBSTITUTE(C23," ",""),"0",""),"-","")))=(LEN(SUBSTITUTE(SUBSTITUTE(SUBSTITUTE(E23," ",""),"0",""),"-",""))+LEN(SUBSTITUTE(SUBSTITUTE(SUBSTITUTE(F23," ",""),"0",""),"-",""))))),1,0),0)</f>
      </c>
      <c r="E27" s="14" t="str">
        <f>LEN(SUBSTITUTE(SUBSTITUTE(SUBSTITUTE(B21," ",""),"0",""),"-",""))+LEN(SUBSTITUTE(SUBSTITUTE(SUBSTITUTE(C21," ",""),"0",""),"-",""))+LEN(SUBSTITUTE(SUBSTITUTE(SUBSTITUTE(E23," ",""),"0",""),"-",""))+LEN(SUBSTITUTE(SUBSTITUTE(SUBSTITUTE(F23," ",""),"0",""),"-",""))</f>
      </c>
      <c r="F27" s="14" t="str">
        <f>LEN(SUBSTITUTE(SUBSTITUTE(SUBSTITUTE(E21," ",""),"0",""),"-",""))+LEN(SUBSTITUTE(SUBSTITUTE(SUBSTITUTE(F21," ",""),"0",""),"-",""))+LEN(SUBSTITUTE(SUBSTITUTE(SUBSTITUTE(B23," ",""),"0",""),"-",""))+LEN(SUBSTITUTE(SUBSTITUTE(SUBSTITUTE(C23," ",""),"0",""),"-",""))</f>
      </c>
      <c r="G27" s="18" t="str">
        <f>RANK(U27,$U$26:$U$28)+COUNTIF($U$25:U26,U27)</f>
      </c>
      <c r="I27" s="14" t="str">
        <f>data!$E$19&amp;" "&amp;data!$B$19</f>
      </c>
      <c r="J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",""),"0",""),"-",""))&gt;LEN(SUBSTITUTE(SUBSTITUTE(SUBSTITUTE(M21,"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",""),"0",""),"-",""))&gt;LEN(SUBSTITUTE(SUBSTITUTE(SUBSTITUTE(J23," ",""),"0",""),"-",""))+LEN(SUBSTITUTE(SUBSTITUTE(SUBSTITUTE(K23," ",""),"0",""),"-","")))*1),0)</f>
      </c>
      <c r="K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",""),"0",""),"-",""))&lt;LEN(SUBSTITUTE(SUBSTITUTE(SUBSTITUTE(M21,"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",""),"0",""),"-",""))&lt;LEN(SUBSTITUTE(SUBSTITUTE(SUBSTITUTE(J23," ",""),"0",""),"-",""))+LEN(SUBSTITUTE(SUBSTITUTE(SUBSTITUTE(K23," ",""),"0",""),"-","")))*1),0)</f>
      </c>
      <c r="L27" s="14" t="str">
        <f>IF(OR(COUNTA(J21,K21,M21,N21)&gt;0,OR(L21="X",L21="x")),IF(OR(L21="X",L21="x",AND(OR(COUNTA(J21,K21,M21,N21)&gt;0,OR(L21="X",L21="x")),(LEN(SUBSTITUTE(SUBSTITUTE(SUBSTITUTE(J21," ",""),"0",""),"-",""))+LEN(SUBSTITUTE(SUBSTITUTE(SUBSTITUTE(K21," ",""),"0",""),"-","")))=(LEN(SUBSTITUTE(SUBSTITUTE(SUBSTITUTE(M21," ",""),"0",""),"-",""))+LEN(SUBSTITUTE(SUBSTITUTE(SUBSTITUTE(N21," ",""),"0",""),"-",""))))),1,0),0)+IF(OR(COUNTA(J23,K23,M23,N23)&gt;0,OR(L23="X",L23="x")),IF(OR(L23="X",L23="x",AND(OR(COUNTA(J23,K23,M23,N23)&gt;0,OR(L23="X",L23="x")),(LEN(SUBSTITUTE(SUBSTITUTE(SUBSTITUTE(J23," ",""),"0",""),"-",""))+LEN(SUBSTITUTE(SUBSTITUTE(SUBSTITUTE(K23," ",""),"0",""),"-","")))=(LEN(SUBSTITUTE(SUBSTITUTE(SUBSTITUTE(M23," ",""),"0",""),"-",""))+LEN(SUBSTITUTE(SUBSTITUTE(SUBSTITUTE(N23," ",""),"0",""),"-",""))))),1,0),0)</f>
      </c>
      <c r="M27" s="14" t="str">
        <f>LEN(SUBSTITUTE(SUBSTITUTE(SUBSTITUTE(J21," ",""),"0",""),"-",""))+LEN(SUBSTITUTE(SUBSTITUTE(SUBSTITUTE(K21," ",""),"0",""),"-",""))+LEN(SUBSTITUTE(SUBSTITUTE(SUBSTITUTE(M23," ",""),"0",""),"-",""))+LEN(SUBSTITUTE(SUBSTITUTE(SUBSTITUTE(N23," ",""),"0",""),"-",""))</f>
      </c>
      <c r="N27" s="14" t="str">
        <f>LEN(SUBSTITUTE(SUBSTITUTE(SUBSTITUTE(M21," ",""),"0",""),"-",""))+LEN(SUBSTITUTE(SUBSTITUTE(SUBSTITUTE(N21," ",""),"0",""),"-",""))+LEN(SUBSTITUTE(SUBSTITUTE(SUBSTITUTE(J23," ",""),"0",""),"-",""))+LEN(SUBSTITUTE(SUBSTITUTE(SUBSTITUTE(K23," ",""),"0",""),"-",""))</f>
      </c>
      <c r="O27" s="18" t="str">
        <f>RANK(AC27,$AC$26:$AC$28)+COUNTIF($AC$25:AC26,AC27)</f>
      </c>
      <c r="U27" t="str">
        <f>(B27*1000000)-(C27*10000)+(D27*100)+(E27*1)-(F27*0.01)</f>
      </c>
      <c r="AC27" t="str">
        <f>(J27*1000000)-(K27*10000)+(L27*100)+(M27*1)-(N27*0.01)</f>
      </c>
    </row>
    <row r="28">
      <c r="A28" s="14" t="str">
        <f>data!$E$8&amp;" "&amp;data!$B$8</f>
      </c>
      <c r="B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",""),"0",""),"-",""))&gt;LEN(SUBSTITUTE(SUBSTITUTE(SUBSTITUTE(E22,"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",""),"0",""),"-",""))&gt;LEN(SUBSTITUTE(SUBSTITUTE(SUBSTITUTE(E23," ",""),"0",""),"-",""))+LEN(SUBSTITUTE(SUBSTITUTE(SUBSTITUTE(F23," ",""),"0",""),"-","")))*1),0)</f>
      </c>
      <c r="C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",""),"0",""),"-",""))&lt;LEN(SUBSTITUTE(SUBSTITUTE(SUBSTITUTE(E22,"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",""),"0",""),"-",""))&lt;LEN(SUBSTITUTE(SUBSTITUTE(SUBSTITUTE(E23," ",""),"0",""),"-",""))+LEN(SUBSTITUTE(SUBSTITUTE(SUBSTITUTE(F23," ",""),"0",""),"-","")))*1),0)</f>
      </c>
      <c r="D28" s="14" t="str">
        <f>IF(OR(COUNTA(B22,C22,E22,F22)&gt;0,OR(D22="X",D22="x")),IF(OR(D22="X",D22="x",AND(OR(COUNTA(B22,C22,E22,F22)&gt;0,OR(D22="X",D22="x")),(LEN(SUBSTITUTE(SUBSTITUTE(SUBSTITUTE(B22," ",""),"0",""),"-",""))+LEN(SUBSTITUTE(SUBSTITUTE(SUBSTITUTE(C22," ",""),"0",""),"-","")))=(LEN(SUBSTITUTE(SUBSTITUTE(SUBSTITUTE(E22," ",""),"0",""),"-",""))+LEN(SUBSTITUTE(SUBSTITUTE(SUBSTITUTE(F22," ",""),"0",""),"-",""))))),1,0),0)+IF(OR(COUNTA(B23,C23,E23,F23)&gt;0,OR(D23="X",D23="x")),IF(OR(D23="X",D23="x",AND(OR(COUNTA(B23,C23,E23,F23)&gt;0,OR(D23="X",D23="x")),(LEN(SUBSTITUTE(SUBSTITUTE(SUBSTITUTE(B23," ",""),"0",""),"-",""))+LEN(SUBSTITUTE(SUBSTITUTE(SUBSTITUTE(C23," ",""),"0",""),"-","")))=(LEN(SUBSTITUTE(SUBSTITUTE(SUBSTITUTE(E23," ",""),"0",""),"-",""))+LEN(SUBSTITUTE(SUBSTITUTE(SUBSTITUTE(F23," ",""),"0",""),"-",""))))),1,0),0)</f>
      </c>
      <c r="E28" s="14" t="str">
        <f>LEN(SUBSTITUTE(SUBSTITUTE(SUBSTITUTE(B22," ",""),"0",""),"-",""))+LEN(SUBSTITUTE(SUBSTITUTE(SUBSTITUTE(C22," ",""),"0",""),"-",""))+LEN(SUBSTITUTE(SUBSTITUTE(SUBSTITUTE(B23," ",""),"0",""),"-",""))+LEN(SUBSTITUTE(SUBSTITUTE(SUBSTITUTE(C23," ",""),"0",""),"-",""))</f>
      </c>
      <c r="F28" s="14" t="str">
        <f>LEN(SUBSTITUTE(SUBSTITUTE(SUBSTITUTE(E22," ",""),"0",""),"-",""))+LEN(SUBSTITUTE(SUBSTITUTE(SUBSTITUTE(F22," ",""),"0",""),"-",""))+LEN(SUBSTITUTE(SUBSTITUTE(SUBSTITUTE(E23," ",""),"0",""),"-",""))+LEN(SUBSTITUTE(SUBSTITUTE(SUBSTITUTE(F23," ",""),"0",""),"-",""))</f>
      </c>
      <c r="G28" s="18" t="str">
        <f>RANK(U28,$U$26:$U$28)+COUNTIF($U$25:U27,U28)</f>
      </c>
      <c r="I28" s="14" t="str">
        <f>data!$E$20&amp;" "&amp;data!$B$20</f>
      </c>
      <c r="J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",""),"0",""),"-",""))&gt;LEN(SUBSTITUTE(SUBSTITUTE(SUBSTITUTE(M22,"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",""),"0",""),"-",""))&gt;LEN(SUBSTITUTE(SUBSTITUTE(SUBSTITUTE(M23," ",""),"0",""),"-",""))+LEN(SUBSTITUTE(SUBSTITUTE(SUBSTITUTE(N23," ",""),"0",""),"-","")))*1),0)</f>
      </c>
      <c r="K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",""),"0",""),"-",""))&lt;LEN(SUBSTITUTE(SUBSTITUTE(SUBSTITUTE(M22,"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",""),"0",""),"-",""))&lt;LEN(SUBSTITUTE(SUBSTITUTE(SUBSTITUTE(M23," ",""),"0",""),"-",""))+LEN(SUBSTITUTE(SUBSTITUTE(SUBSTITUTE(N23," ",""),"0",""),"-","")))*1),0)</f>
      </c>
      <c r="L28" s="14" t="str">
        <f>IF(OR(COUNTA(J22,K22,M22,N22)&gt;0,OR(L22="X",L22="x")),IF(OR(L22="X",L22="x",AND(OR(COUNTA(J22,K22,M22,N22)&gt;0,OR(L22="X",L22="x")),(LEN(SUBSTITUTE(SUBSTITUTE(SUBSTITUTE(J22," ",""),"0",""),"-",""))+LEN(SUBSTITUTE(SUBSTITUTE(SUBSTITUTE(K22," ",""),"0",""),"-","")))=(LEN(SUBSTITUTE(SUBSTITUTE(SUBSTITUTE(M22," ",""),"0",""),"-",""))+LEN(SUBSTITUTE(SUBSTITUTE(SUBSTITUTE(N22," ",""),"0",""),"-",""))))),1,0),0)+IF(OR(COUNTA(J23,K23,M23,N23)&gt;0,OR(L23="X",L23="x")),IF(OR(L23="X",L23="x",AND(OR(COUNTA(J23,K23,M23,N23)&gt;0,OR(L23="X",L23="x")),(LEN(SUBSTITUTE(SUBSTITUTE(SUBSTITUTE(J23," ",""),"0",""),"-",""))+LEN(SUBSTITUTE(SUBSTITUTE(SUBSTITUTE(K23," ",""),"0",""),"-","")))=(LEN(SUBSTITUTE(SUBSTITUTE(SUBSTITUTE(M23," ",""),"0",""),"-",""))+LEN(SUBSTITUTE(SUBSTITUTE(SUBSTITUTE(N23," ",""),"0",""),"-",""))))),1,0),0)</f>
      </c>
      <c r="M28" s="14" t="str">
        <f>LEN(SUBSTITUTE(SUBSTITUTE(SUBSTITUTE(J22," ",""),"0",""),"-",""))+LEN(SUBSTITUTE(SUBSTITUTE(SUBSTITUTE(K22," ",""),"0",""),"-",""))+LEN(SUBSTITUTE(SUBSTITUTE(SUBSTITUTE(J23," ",""),"0",""),"-",""))+LEN(SUBSTITUTE(SUBSTITUTE(SUBSTITUTE(K23," ",""),"0",""),"-",""))</f>
      </c>
      <c r="N28" s="14" t="str">
        <f>LEN(SUBSTITUTE(SUBSTITUTE(SUBSTITUTE(M22," ",""),"0",""),"-",""))+LEN(SUBSTITUTE(SUBSTITUTE(SUBSTITUTE(N22," ",""),"0",""),"-",""))+LEN(SUBSTITUTE(SUBSTITUTE(SUBSTITUTE(M23," ",""),"0",""),"-",""))+LEN(SUBSTITUTE(SUBSTITUTE(SUBSTITUTE(N23," ",""),"0",""),"-",""))</f>
      </c>
      <c r="O28" s="18" t="str">
        <f>RANK(AC28,$AC$26:$AC$28)+COUNTIF($AC$25:AC27,AC28)</f>
      </c>
      <c r="U28" t="str">
        <f>(B28*1000000)-(C28*10000)+(D28*100)+(E28*1)-(F28*0.01)</f>
      </c>
      <c r="AC28" t="str">
        <f>(J28*1000000)-(K28*10000)+(L28*100)+(M28*1)-(N28*0.01)</f>
      </c>
    </row>
    <row r="31">
      <c r="F31" s="13"/>
      <c r="G31" s="13" t="s">
        <v>129</v>
      </c>
      <c r="N31" s="13"/>
      <c r="O31" s="13" t="s">
        <v>129</v>
      </c>
    </row>
    <row r="32">
      <c r="F32" t="s">
        <v>130</v>
      </c>
      <c r="G32" s="19" t="str">
        <f>IFERROR(INDEX($A$26:$A$28, MATCH(1, $G$26:$G$28, 0)), "-")</f>
      </c>
      <c r="N32" t="s">
        <v>130</v>
      </c>
      <c r="O32" s="19" t="str">
        <f>IFERROR(INDEX($I$26:$I$28, MATCH(1, $O$26:$O$28, 0)), "-")</f>
      </c>
    </row>
    <row r="33">
      <c r="F33" t="s">
        <v>131</v>
      </c>
      <c r="G33" s="19" t="str">
        <f>IFERROR(INDEX($A$26:$A$28, MATCH(2, $G$26:$G$28, 0)), "-")</f>
      </c>
      <c r="N33" t="s">
        <v>131</v>
      </c>
      <c r="O33" s="19" t="str">
        <f>IFERROR(INDEX($I$26:$I$28, MATCH(2, $O$26:$O$28, 0)), "-")</f>
      </c>
    </row>
    <row r="34">
      <c r="F34" t="s">
        <v>132</v>
      </c>
      <c r="G34" s="19" t="str">
        <f>IFERROR(INDEX($A$26:$A$28, MATCH(3, $G$26:$G$28, 0)), "-")</f>
      </c>
      <c r="N34" t="s">
        <v>132</v>
      </c>
      <c r="O34" s="19" t="str">
        <f>IFERROR(INDEX($I$26:$I$28, MATCH(3, $O$26:$O$28, 0)), "-")</f>
      </c>
    </row>
    <row r="36">
      <c r="A36" s="13" t="str">
        <f>'data'!$A$11</f>
      </c>
      <c r="B36" s="13"/>
      <c r="C36" s="13"/>
      <c r="D36" s="13"/>
      <c r="E36" s="13"/>
      <c r="F36" s="13"/>
      <c r="G36" s="13"/>
      <c r="I36" s="13" t="str">
        <f>'data'!$A$23</f>
      </c>
      <c r="J36" s="13"/>
      <c r="K36" s="13"/>
      <c r="L36" s="13"/>
      <c r="M36" s="13"/>
      <c r="N36" s="13"/>
      <c r="O36" s="13"/>
    </row>
    <row r="37">
      <c r="A37" s="17" t="s">
        <v>119</v>
      </c>
      <c r="D37" s="14" t="s">
        <v>120</v>
      </c>
      <c r="G37" s="16" t="s">
        <v>121</v>
      </c>
      <c r="I37" s="17" t="s">
        <v>119</v>
      </c>
      <c r="L37" s="14" t="s">
        <v>120</v>
      </c>
      <c r="O37" s="16" t="s">
        <v>121</v>
      </c>
    </row>
    <row r="38">
      <c r="A38" s="14" t="str">
        <f>data!$E$10&amp;" "&amp;data!$B$10</f>
      </c>
      <c r="B38" s="18"/>
      <c r="C38" s="18"/>
      <c r="D38" s="18"/>
      <c r="E38" s="18"/>
      <c r="F38" s="18"/>
      <c r="G38" s="14" t="str">
        <f>data!$E$9&amp;" "&amp;data!$B$9</f>
      </c>
      <c r="I38" s="14" t="str">
        <f>data!$E$22&amp;" "&amp;data!$B$22</f>
      </c>
      <c r="J38" s="18"/>
      <c r="K38" s="18"/>
      <c r="L38" s="18"/>
      <c r="M38" s="18"/>
      <c r="N38" s="18"/>
      <c r="O38" s="14" t="str">
        <f>data!$E$21&amp;" "&amp;data!$B$21</f>
      </c>
    </row>
    <row r="39">
      <c r="A39" s="14" t="str">
        <f>data!$E$11&amp;" "&amp;data!$B$11</f>
      </c>
      <c r="B39" s="18"/>
      <c r="C39" s="18"/>
      <c r="D39" s="18"/>
      <c r="E39" s="18"/>
      <c r="F39" s="18"/>
      <c r="G39" s="14" t="str">
        <f>data!$E$9&amp;" "&amp;data!$B$9</f>
      </c>
      <c r="I39" s="14" t="str">
        <f>data!$E$23&amp;" "&amp;data!$B$23</f>
      </c>
      <c r="J39" s="18"/>
      <c r="K39" s="18"/>
      <c r="L39" s="18"/>
      <c r="M39" s="18"/>
      <c r="N39" s="18"/>
      <c r="O39" s="14" t="str">
        <f>data!$E$21&amp;" "&amp;data!$B$21</f>
      </c>
    </row>
    <row r="40">
      <c r="A40" s="14" t="str">
        <f>data!$E$11&amp;" "&amp;data!$B$11</f>
      </c>
      <c r="B40" s="18"/>
      <c r="C40" s="18"/>
      <c r="D40" s="18"/>
      <c r="E40" s="18"/>
      <c r="F40" s="18"/>
      <c r="G40" s="14" t="str">
        <f>data!$E$10&amp;" "&amp;data!$B$10</f>
      </c>
      <c r="I40" s="14" t="str">
        <f>data!$E$23&amp;" "&amp;data!$B$23</f>
      </c>
      <c r="J40" s="18"/>
      <c r="K40" s="18"/>
      <c r="L40" s="18"/>
      <c r="M40" s="18"/>
      <c r="N40" s="18"/>
      <c r="O40" s="14" t="str">
        <f>data!$E$22&amp;" "&amp;data!$B$22</f>
      </c>
    </row>
    <row r="42">
      <c r="A42" s="13" t="s">
        <v>122</v>
      </c>
      <c r="B42" s="13" t="s">
        <v>123</v>
      </c>
      <c r="C42" s="13" t="s">
        <v>124</v>
      </c>
      <c r="D42" s="13" t="s">
        <v>125</v>
      </c>
      <c r="E42" s="13" t="s">
        <v>126</v>
      </c>
      <c r="F42" s="13" t="s">
        <v>127</v>
      </c>
      <c r="G42" s="13" t="s">
        <v>128</v>
      </c>
      <c r="I42" s="13" t="s">
        <v>122</v>
      </c>
      <c r="J42" s="13" t="s">
        <v>123</v>
      </c>
      <c r="K42" s="13" t="s">
        <v>124</v>
      </c>
      <c r="L42" s="13" t="s">
        <v>125</v>
      </c>
      <c r="M42" s="13" t="s">
        <v>126</v>
      </c>
      <c r="N42" s="13" t="s">
        <v>127</v>
      </c>
      <c r="O42" s="13" t="s">
        <v>128</v>
      </c>
    </row>
    <row r="43">
      <c r="A43" s="14" t="str">
        <f>data!$E$9&amp;" "&amp;data!$B$9</f>
      </c>
      <c r="B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",""),"0",""),"-",""))&gt;LEN(SUBSTITUTE(SUBSTITUTE(SUBSTITUTE(B38,"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",""),"0",""),"-",""))&gt;LEN(SUBSTITUTE(SUBSTITUTE(SUBSTITUTE(B39," ",""),"0",""),"-",""))+LEN(SUBSTITUTE(SUBSTITUTE(SUBSTITUTE(C39," ",""),"0",""),"-","")))*1),0)</f>
      </c>
      <c r="C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",""),"0",""),"-",""))&lt;LEN(SUBSTITUTE(SUBSTITUTE(SUBSTITUTE(B38,"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",""),"0",""),"-",""))&lt;LEN(SUBSTITUTE(SUBSTITUTE(SUBSTITUTE(B39," ",""),"0",""),"-",""))+LEN(SUBSTITUTE(SUBSTITUTE(SUBSTITUTE(C39," ",""),"0",""),"-","")))*1),0)</f>
      </c>
      <c r="D43" s="14" t="str">
        <f>IF(OR(COUNTA(B38,C38,E38,F38)&gt;0,OR(D38="X",D38="x")),IF(OR(D38="X",D38="x",AND(OR(COUNTA(B38,C38,E38,F38)&gt;0,OR(D38="X",D38="x")),(LEN(SUBSTITUTE(SUBSTITUTE(SUBSTITUTE(B38," ",""),"0",""),"-",""))+LEN(SUBSTITUTE(SUBSTITUTE(SUBSTITUTE(C38," ",""),"0",""),"-","")))=(LEN(SUBSTITUTE(SUBSTITUTE(SUBSTITUTE(E38," ",""),"0",""),"-",""))+LEN(SUBSTITUTE(SUBSTITUTE(SUBSTITUTE(F38," ",""),"0",""),"-",""))))),1,0),0)+IF(OR(COUNTA(B39,C39,E39,F39)&gt;0,OR(D39="X",D39="x")),IF(OR(D39="X",D39="x",AND(OR(COUNTA(B39,C39,E39,F39)&gt;0,OR(D39="X",D39="x")),(LEN(SUBSTITUTE(SUBSTITUTE(SUBSTITUTE(B39," ",""),"0",""),"-",""))+LEN(SUBSTITUTE(SUBSTITUTE(SUBSTITUTE(C39," ",""),"0",""),"-","")))=(LEN(SUBSTITUTE(SUBSTITUTE(SUBSTITUTE(E39," ",""),"0",""),"-",""))+LEN(SUBSTITUTE(SUBSTITUTE(SUBSTITUTE(F39," ",""),"0",""),"-",""))))),1,0),0)</f>
      </c>
      <c r="E43" s="14" t="str">
        <f>LEN(SUBSTITUTE(SUBSTITUTE(SUBSTITUTE(E38," ",""),"0",""),"-",""))+LEN(SUBSTITUTE(SUBSTITUTE(SUBSTITUTE(F38," ",""),"0",""),"-",""))+LEN(SUBSTITUTE(SUBSTITUTE(SUBSTITUTE(E39," ",""),"0",""),"-",""))+LEN(SUBSTITUTE(SUBSTITUTE(SUBSTITUTE(F39," ",""),"0",""),"-",""))</f>
      </c>
      <c r="F43" s="14" t="str">
        <f>LEN(SUBSTITUTE(SUBSTITUTE(SUBSTITUTE(B38," ",""),"0",""),"-",""))+LEN(SUBSTITUTE(SUBSTITUTE(SUBSTITUTE(C38," ",""),"0",""),"-",""))+LEN(SUBSTITUTE(SUBSTITUTE(SUBSTITUTE(B39," ",""),"0",""),"-",""))+LEN(SUBSTITUTE(SUBSTITUTE(SUBSTITUTE(C39," ",""),"0",""),"-",""))</f>
      </c>
      <c r="G43" s="18" t="str">
        <f>RANK(U43,$U$43:$U$45)+COUNTIF($U$42:U42,U43)</f>
      </c>
      <c r="I43" s="14" t="str">
        <f>data!$E$21&amp;" "&amp;data!$B$21</f>
      </c>
      <c r="J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",""),"0",""),"-",""))&gt;LEN(SUBSTITUTE(SUBSTITUTE(SUBSTITUTE(J38,"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",""),"0",""),"-",""))&gt;LEN(SUBSTITUTE(SUBSTITUTE(SUBSTITUTE(J39," ",""),"0",""),"-",""))+LEN(SUBSTITUTE(SUBSTITUTE(SUBSTITUTE(K39," ",""),"0",""),"-","")))*1),0)</f>
      </c>
      <c r="K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",""),"0",""),"-",""))&lt;LEN(SUBSTITUTE(SUBSTITUTE(SUBSTITUTE(J38,"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",""),"0",""),"-",""))&lt;LEN(SUBSTITUTE(SUBSTITUTE(SUBSTITUTE(J39," ",""),"0",""),"-",""))+LEN(SUBSTITUTE(SUBSTITUTE(SUBSTITUTE(K39," ",""),"0",""),"-","")))*1),0)</f>
      </c>
      <c r="L43" s="14" t="str">
        <f>IF(OR(COUNTA(J38,K38,M38,N38)&gt;0,OR(L38="X",L38="x")),IF(OR(L38="X",L38="x",AND(OR(COUNTA(J38,K38,M38,N38)&gt;0,OR(L38="X",L38="x")),(LEN(SUBSTITUTE(SUBSTITUTE(SUBSTITUTE(J38," ",""),"0",""),"-",""))+LEN(SUBSTITUTE(SUBSTITUTE(SUBSTITUTE(K38," ",""),"0",""),"-","")))=(LEN(SUBSTITUTE(SUBSTITUTE(SUBSTITUTE(M38," ",""),"0",""),"-",""))+LEN(SUBSTITUTE(SUBSTITUTE(SUBSTITUTE(N38," ",""),"0",""),"-",""))))),1,0),0)+IF(OR(COUNTA(J39,K39,M39,N39)&gt;0,OR(L39="X",L39="x")),IF(OR(L39="X",L39="x",AND(OR(COUNTA(J39,K39,M39,N39)&gt;0,OR(L39="X",L39="x")),(LEN(SUBSTITUTE(SUBSTITUTE(SUBSTITUTE(J39," ",""),"0",""),"-",""))+LEN(SUBSTITUTE(SUBSTITUTE(SUBSTITUTE(K39," ",""),"0",""),"-","")))=(LEN(SUBSTITUTE(SUBSTITUTE(SUBSTITUTE(M39," ",""),"0",""),"-",""))+LEN(SUBSTITUTE(SUBSTITUTE(SUBSTITUTE(N39," ",""),"0",""),"-",""))))),1,0),0)</f>
      </c>
      <c r="M43" s="14" t="str">
        <f>LEN(SUBSTITUTE(SUBSTITUTE(SUBSTITUTE(M38," ",""),"0",""),"-",""))+LEN(SUBSTITUTE(SUBSTITUTE(SUBSTITUTE(N38," ",""),"0",""),"-",""))+LEN(SUBSTITUTE(SUBSTITUTE(SUBSTITUTE(M39," ",""),"0",""),"-",""))+LEN(SUBSTITUTE(SUBSTITUTE(SUBSTITUTE(N39," ",""),"0",""),"-",""))</f>
      </c>
      <c r="N43" s="14" t="str">
        <f>LEN(SUBSTITUTE(SUBSTITUTE(SUBSTITUTE(J38," ",""),"0",""),"-",""))+LEN(SUBSTITUTE(SUBSTITUTE(SUBSTITUTE(K38," ",""),"0",""),"-",""))+LEN(SUBSTITUTE(SUBSTITUTE(SUBSTITUTE(J39," ",""),"0",""),"-",""))+LEN(SUBSTITUTE(SUBSTITUTE(SUBSTITUTE(K39," ",""),"0",""),"-",""))</f>
      </c>
      <c r="O43" s="18" t="str">
        <f>RANK(AC43,$AC$43:$AC$45)+COUNTIF($AC$42:AC42,AC43)</f>
      </c>
      <c r="U43" t="str">
        <f>(B43*1000000)-(C43*10000)+(D43*100)+(E43*1)-(F43*0.01)</f>
      </c>
      <c r="AC43" t="str">
        <f>(J43*1000000)-(K43*10000)+(L43*100)+(M43*1)-(N43*0.01)</f>
      </c>
    </row>
    <row r="44">
      <c r="A44" s="14" t="str">
        <f>data!$E$10&amp;" "&amp;data!$B$10</f>
      </c>
      <c r="B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",""),"0",""),"-",""))&gt;LEN(SUBSTITUTE(SUBSTITUTE(SUBSTITUTE(E38,"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",""),"0",""),"-",""))&gt;LEN(SUBSTITUTE(SUBSTITUTE(SUBSTITUTE(B40," ",""),"0",""),"-",""))+LEN(SUBSTITUTE(SUBSTITUTE(SUBSTITUTE(C40," ",""),"0",""),"-","")))*1),0)</f>
      </c>
      <c r="C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",""),"0",""),"-",""))&lt;LEN(SUBSTITUTE(SUBSTITUTE(SUBSTITUTE(E38,"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",""),"0",""),"-",""))&lt;LEN(SUBSTITUTE(SUBSTITUTE(SUBSTITUTE(B40," ",""),"0",""),"-",""))+LEN(SUBSTITUTE(SUBSTITUTE(SUBSTITUTE(C40," ",""),"0",""),"-","")))*1),0)</f>
      </c>
      <c r="D44" s="14" t="str">
        <f>IF(OR(COUNTA(B38,C38,E38,F38)&gt;0,OR(D38="X",D38="x")),IF(OR(D38="X",D38="x",AND(OR(COUNTA(B38,C38,E38,F38)&gt;0,OR(D38="X",D38="x")),(LEN(SUBSTITUTE(SUBSTITUTE(SUBSTITUTE(B38," ",""),"0",""),"-",""))+LEN(SUBSTITUTE(SUBSTITUTE(SUBSTITUTE(C38," ",""),"0",""),"-","")))=(LEN(SUBSTITUTE(SUBSTITUTE(SUBSTITUTE(E38," ",""),"0",""),"-",""))+LEN(SUBSTITUTE(SUBSTITUTE(SUBSTITUTE(F38," ",""),"0",""),"-",""))))),1,0),0)+IF(OR(COUNTA(B40,C40,E40,F40)&gt;0,OR(D40="X",D40="x")),IF(OR(D40="X",D40="x",AND(OR(COUNTA(B40,C40,E40,F40)&gt;0,OR(D40="X",D40="x")),(LEN(SUBSTITUTE(SUBSTITUTE(SUBSTITUTE(B40," ",""),"0",""),"-",""))+LEN(SUBSTITUTE(SUBSTITUTE(SUBSTITUTE(C40," ",""),"0",""),"-","")))=(LEN(SUBSTITUTE(SUBSTITUTE(SUBSTITUTE(E40," ",""),"0",""),"-",""))+LEN(SUBSTITUTE(SUBSTITUTE(SUBSTITUTE(F40," ",""),"0",""),"-",""))))),1,0),0)</f>
      </c>
      <c r="E44" s="14" t="str">
        <f>LEN(SUBSTITUTE(SUBSTITUTE(SUBSTITUTE(B38," ",""),"0",""),"-",""))+LEN(SUBSTITUTE(SUBSTITUTE(SUBSTITUTE(C38," ",""),"0",""),"-",""))+LEN(SUBSTITUTE(SUBSTITUTE(SUBSTITUTE(E40," ",""),"0",""),"-",""))+LEN(SUBSTITUTE(SUBSTITUTE(SUBSTITUTE(F40," ",""),"0",""),"-",""))</f>
      </c>
      <c r="F44" s="14" t="str">
        <f>LEN(SUBSTITUTE(SUBSTITUTE(SUBSTITUTE(E38," ",""),"0",""),"-",""))+LEN(SUBSTITUTE(SUBSTITUTE(SUBSTITUTE(F38," ",""),"0",""),"-",""))+LEN(SUBSTITUTE(SUBSTITUTE(SUBSTITUTE(B40," ",""),"0",""),"-",""))+LEN(SUBSTITUTE(SUBSTITUTE(SUBSTITUTE(C40," ",""),"0",""),"-",""))</f>
      </c>
      <c r="G44" s="18" t="str">
        <f>RANK(U44,$U$43:$U$45)+COUNTIF($U$42:U43,U44)</f>
      </c>
      <c r="I44" s="14" t="str">
        <f>data!$E$22&amp;" "&amp;data!$B$22</f>
      </c>
      <c r="J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",""),"0",""),"-",""))&gt;LEN(SUBSTITUTE(SUBSTITUTE(SUBSTITUTE(M38,"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",""),"0",""),"-",""))&gt;LEN(SUBSTITUTE(SUBSTITUTE(SUBSTITUTE(J40," ",""),"0",""),"-",""))+LEN(SUBSTITUTE(SUBSTITUTE(SUBSTITUTE(K40," ",""),"0",""),"-","")))*1),0)</f>
      </c>
      <c r="K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",""),"0",""),"-",""))&lt;LEN(SUBSTITUTE(SUBSTITUTE(SUBSTITUTE(M38,"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",""),"0",""),"-",""))&lt;LEN(SUBSTITUTE(SUBSTITUTE(SUBSTITUTE(J40," ",""),"0",""),"-",""))+LEN(SUBSTITUTE(SUBSTITUTE(SUBSTITUTE(K40," ",""),"0",""),"-","")))*1),0)</f>
      </c>
      <c r="L44" s="14" t="str">
        <f>IF(OR(COUNTA(J38,K38,M38,N38)&gt;0,OR(L38="X",L38="x")),IF(OR(L38="X",L38="x",AND(OR(COUNTA(J38,K38,M38,N38)&gt;0,OR(L38="X",L38="x")),(LEN(SUBSTITUTE(SUBSTITUTE(SUBSTITUTE(J38," ",""),"0",""),"-",""))+LEN(SUBSTITUTE(SUBSTITUTE(SUBSTITUTE(K38," ",""),"0",""),"-","")))=(LEN(SUBSTITUTE(SUBSTITUTE(SUBSTITUTE(M38," ",""),"0",""),"-",""))+LEN(SUBSTITUTE(SUBSTITUTE(SUBSTITUTE(N38," ",""),"0",""),"-",""))))),1,0),0)+IF(OR(COUNTA(J40,K40,M40,N40)&gt;0,OR(L40="X",L40="x")),IF(OR(L40="X",L40="x",AND(OR(COUNTA(J40,K40,M40,N40)&gt;0,OR(L40="X",L40="x")),(LEN(SUBSTITUTE(SUBSTITUTE(SUBSTITUTE(J40," ",""),"0",""),"-",""))+LEN(SUBSTITUTE(SUBSTITUTE(SUBSTITUTE(K40," ",""),"0",""),"-","")))=(LEN(SUBSTITUTE(SUBSTITUTE(SUBSTITUTE(M40," ",""),"0",""),"-",""))+LEN(SUBSTITUTE(SUBSTITUTE(SUBSTITUTE(N40," ",""),"0",""),"-",""))))),1,0),0)</f>
      </c>
      <c r="M44" s="14" t="str">
        <f>LEN(SUBSTITUTE(SUBSTITUTE(SUBSTITUTE(J38," ",""),"0",""),"-",""))+LEN(SUBSTITUTE(SUBSTITUTE(SUBSTITUTE(K38," ",""),"0",""),"-",""))+LEN(SUBSTITUTE(SUBSTITUTE(SUBSTITUTE(M40," ",""),"0",""),"-",""))+LEN(SUBSTITUTE(SUBSTITUTE(SUBSTITUTE(N40," ",""),"0",""),"-",""))</f>
      </c>
      <c r="N44" s="14" t="str">
        <f>LEN(SUBSTITUTE(SUBSTITUTE(SUBSTITUTE(M38," ",""),"0",""),"-",""))+LEN(SUBSTITUTE(SUBSTITUTE(SUBSTITUTE(N38," ",""),"0",""),"-",""))+LEN(SUBSTITUTE(SUBSTITUTE(SUBSTITUTE(J40," ",""),"0",""),"-",""))+LEN(SUBSTITUTE(SUBSTITUTE(SUBSTITUTE(K40," ",""),"0",""),"-",""))</f>
      </c>
      <c r="O44" s="18" t="str">
        <f>RANK(AC44,$AC$43:$AC$45)+COUNTIF($AC$42:AC43,AC44)</f>
      </c>
      <c r="U44" t="str">
        <f>(B44*1000000)-(C44*10000)+(D44*100)+(E44*1)-(F44*0.01)</f>
      </c>
      <c r="AC44" t="str">
        <f>(J44*1000000)-(K44*10000)+(L44*100)+(M44*1)-(N44*0.01)</f>
      </c>
    </row>
    <row r="45">
      <c r="A45" s="14" t="str">
        <f>data!$E$11&amp;" "&amp;data!$B$11</f>
      </c>
      <c r="B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",""),"0",""),"-",""))&gt;LEN(SUBSTITUTE(SUBSTITUTE(SUBSTITUTE(E39,"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",""),"0",""),"-",""))&gt;LEN(SUBSTITUTE(SUBSTITUTE(SUBSTITUTE(E40," ",""),"0",""),"-",""))+LEN(SUBSTITUTE(SUBSTITUTE(SUBSTITUTE(F40," ",""),"0",""),"-","")))*1),0)</f>
      </c>
      <c r="C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",""),"0",""),"-",""))&lt;LEN(SUBSTITUTE(SUBSTITUTE(SUBSTITUTE(E39,"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",""),"0",""),"-",""))&lt;LEN(SUBSTITUTE(SUBSTITUTE(SUBSTITUTE(E40," ",""),"0",""),"-",""))+LEN(SUBSTITUTE(SUBSTITUTE(SUBSTITUTE(F40," ",""),"0",""),"-","")))*1),0)</f>
      </c>
      <c r="D45" s="14" t="str">
        <f>IF(OR(COUNTA(B39,C39,E39,F39)&gt;0,OR(D39="X",D39="x")),IF(OR(D39="X",D39="x",AND(OR(COUNTA(B39,C39,E39,F39)&gt;0,OR(D39="X",D39="x")),(LEN(SUBSTITUTE(SUBSTITUTE(SUBSTITUTE(B39," ",""),"0",""),"-",""))+LEN(SUBSTITUTE(SUBSTITUTE(SUBSTITUTE(C39," ",""),"0",""),"-","")))=(LEN(SUBSTITUTE(SUBSTITUTE(SUBSTITUTE(E39," ",""),"0",""),"-",""))+LEN(SUBSTITUTE(SUBSTITUTE(SUBSTITUTE(F39," ",""),"0",""),"-",""))))),1,0),0)+IF(OR(COUNTA(B40,C40,E40,F40)&gt;0,OR(D40="X",D40="x")),IF(OR(D40="X",D40="x",AND(OR(COUNTA(B40,C40,E40,F40)&gt;0,OR(D40="X",D40="x")),(LEN(SUBSTITUTE(SUBSTITUTE(SUBSTITUTE(B40," ",""),"0",""),"-",""))+LEN(SUBSTITUTE(SUBSTITUTE(SUBSTITUTE(C40," ",""),"0",""),"-","")))=(LEN(SUBSTITUTE(SUBSTITUTE(SUBSTITUTE(E40," ",""),"0",""),"-",""))+LEN(SUBSTITUTE(SUBSTITUTE(SUBSTITUTE(F40," ",""),"0",""),"-",""))))),1,0),0)</f>
      </c>
      <c r="E45" s="14" t="str">
        <f>LEN(SUBSTITUTE(SUBSTITUTE(SUBSTITUTE(B39," ",""),"0",""),"-",""))+LEN(SUBSTITUTE(SUBSTITUTE(SUBSTITUTE(C39," ",""),"0",""),"-",""))+LEN(SUBSTITUTE(SUBSTITUTE(SUBSTITUTE(B40," ",""),"0",""),"-",""))+LEN(SUBSTITUTE(SUBSTITUTE(SUBSTITUTE(C40," ",""),"0",""),"-",""))</f>
      </c>
      <c r="F45" s="14" t="str">
        <f>LEN(SUBSTITUTE(SUBSTITUTE(SUBSTITUTE(E39," ",""),"0",""),"-",""))+LEN(SUBSTITUTE(SUBSTITUTE(SUBSTITUTE(F39," ",""),"0",""),"-",""))+LEN(SUBSTITUTE(SUBSTITUTE(SUBSTITUTE(E40," ",""),"0",""),"-",""))+LEN(SUBSTITUTE(SUBSTITUTE(SUBSTITUTE(F40," ",""),"0",""),"-",""))</f>
      </c>
      <c r="G45" s="18" t="str">
        <f>RANK(U45,$U$43:$U$45)+COUNTIF($U$42:U44,U45)</f>
      </c>
      <c r="I45" s="14" t="str">
        <f>data!$E$23&amp;" "&amp;data!$B$23</f>
      </c>
      <c r="J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",""),"0",""),"-",""))&gt;LEN(SUBSTITUTE(SUBSTITUTE(SUBSTITUTE(M39,"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",""),"0",""),"-",""))&gt;LEN(SUBSTITUTE(SUBSTITUTE(SUBSTITUTE(M40," ",""),"0",""),"-",""))+LEN(SUBSTITUTE(SUBSTITUTE(SUBSTITUTE(N40," ",""),"0",""),"-","")))*1),0)</f>
      </c>
      <c r="K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",""),"0",""),"-",""))&lt;LEN(SUBSTITUTE(SUBSTITUTE(SUBSTITUTE(M39,"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",""),"0",""),"-",""))&lt;LEN(SUBSTITUTE(SUBSTITUTE(SUBSTITUTE(M40," ",""),"0",""),"-",""))+LEN(SUBSTITUTE(SUBSTITUTE(SUBSTITUTE(N40," ",""),"0",""),"-","")))*1),0)</f>
      </c>
      <c r="L45" s="14" t="str">
        <f>IF(OR(COUNTA(J39,K39,M39,N39)&gt;0,OR(L39="X",L39="x")),IF(OR(L39="X",L39="x",AND(OR(COUNTA(J39,K39,M39,N39)&gt;0,OR(L39="X",L39="x")),(LEN(SUBSTITUTE(SUBSTITUTE(SUBSTITUTE(J39," ",""),"0",""),"-",""))+LEN(SUBSTITUTE(SUBSTITUTE(SUBSTITUTE(K39," ",""),"0",""),"-","")))=(LEN(SUBSTITUTE(SUBSTITUTE(SUBSTITUTE(M39," ",""),"0",""),"-",""))+LEN(SUBSTITUTE(SUBSTITUTE(SUBSTITUTE(N39," ",""),"0",""),"-",""))))),1,0),0)+IF(OR(COUNTA(J40,K40,M40,N40)&gt;0,OR(L40="X",L40="x")),IF(OR(L40="X",L40="x",AND(OR(COUNTA(J40,K40,M40,N40)&gt;0,OR(L40="X",L40="x")),(LEN(SUBSTITUTE(SUBSTITUTE(SUBSTITUTE(J40," ",""),"0",""),"-",""))+LEN(SUBSTITUTE(SUBSTITUTE(SUBSTITUTE(K40," ",""),"0",""),"-","")))=(LEN(SUBSTITUTE(SUBSTITUTE(SUBSTITUTE(M40," ",""),"0",""),"-",""))+LEN(SUBSTITUTE(SUBSTITUTE(SUBSTITUTE(N40," ",""),"0",""),"-",""))))),1,0),0)</f>
      </c>
      <c r="M45" s="14" t="str">
        <f>LEN(SUBSTITUTE(SUBSTITUTE(SUBSTITUTE(J39," ",""),"0",""),"-",""))+LEN(SUBSTITUTE(SUBSTITUTE(SUBSTITUTE(K39," ",""),"0",""),"-",""))+LEN(SUBSTITUTE(SUBSTITUTE(SUBSTITUTE(J40," ",""),"0",""),"-",""))+LEN(SUBSTITUTE(SUBSTITUTE(SUBSTITUTE(K40," ",""),"0",""),"-",""))</f>
      </c>
      <c r="N45" s="14" t="str">
        <f>LEN(SUBSTITUTE(SUBSTITUTE(SUBSTITUTE(M39," ",""),"0",""),"-",""))+LEN(SUBSTITUTE(SUBSTITUTE(SUBSTITUTE(N39," ",""),"0",""),"-",""))+LEN(SUBSTITUTE(SUBSTITUTE(SUBSTITUTE(M40," ",""),"0",""),"-",""))+LEN(SUBSTITUTE(SUBSTITUTE(SUBSTITUTE(N40," ",""),"0",""),"-",""))</f>
      </c>
      <c r="O45" s="18" t="str">
        <f>RANK(AC45,$AC$43:$AC$45)+COUNTIF($AC$42:AC44,AC45)</f>
      </c>
      <c r="U45" t="str">
        <f>(B45*1000000)-(C45*10000)+(D45*100)+(E45*1)-(F45*0.01)</f>
      </c>
      <c r="AC45" t="str">
        <f>(J45*1000000)-(K45*10000)+(L45*100)+(M45*1)-(N45*0.01)</f>
      </c>
    </row>
    <row r="48">
      <c r="F48" s="13"/>
      <c r="G48" s="13" t="s">
        <v>129</v>
      </c>
      <c r="N48" s="13"/>
      <c r="O48" s="13" t="s">
        <v>129</v>
      </c>
    </row>
    <row r="49">
      <c r="F49" t="s">
        <v>130</v>
      </c>
      <c r="G49" s="19" t="str">
        <f>IFERROR(INDEX($A$43:$A$45, MATCH(1, $G$43:$G$45, 0)), "-")</f>
      </c>
      <c r="N49" t="s">
        <v>130</v>
      </c>
      <c r="O49" s="19" t="str">
        <f>IFERROR(INDEX($I$43:$I$45, MATCH(1, $O$43:$O$45, 0)), "-")</f>
      </c>
    </row>
    <row r="50">
      <c r="F50" t="s">
        <v>131</v>
      </c>
      <c r="G50" s="19" t="str">
        <f>IFERROR(INDEX($A$43:$A$45, MATCH(2, $G$43:$G$45, 0)), "-")</f>
      </c>
      <c r="N50" t="s">
        <v>131</v>
      </c>
      <c r="O50" s="19" t="str">
        <f>IFERROR(INDEX($I$43:$I$45, MATCH(2, $O$43:$O$45, 0)), "-")</f>
      </c>
    </row>
    <row r="51">
      <c r="F51" t="s">
        <v>132</v>
      </c>
      <c r="G51" s="19" t="str">
        <f>IFERROR(INDEX($A$43:$A$45, MATCH(3, $G$43:$G$45, 0)), "-")</f>
      </c>
      <c r="N51" t="s">
        <v>132</v>
      </c>
      <c r="O51" s="19" t="str">
        <f>IFERROR(INDEX($I$43:$I$45, MATCH(3, $O$43:$O$45, 0)), "-")</f>
      </c>
    </row>
    <row r="53">
      <c r="A53" s="13" t="str">
        <f>'data'!$A$14</f>
      </c>
      <c r="B53" s="13"/>
      <c r="C53" s="13"/>
      <c r="D53" s="13"/>
      <c r="E53" s="13"/>
      <c r="F53" s="13"/>
      <c r="G53" s="13"/>
      <c r="I53" s="13" t="str">
        <f>'data'!$A$26</f>
      </c>
      <c r="J53" s="13"/>
      <c r="K53" s="13"/>
      <c r="L53" s="13"/>
      <c r="M53" s="13"/>
      <c r="N53" s="13"/>
      <c r="O53" s="13"/>
    </row>
    <row r="54">
      <c r="A54" s="17" t="s">
        <v>119</v>
      </c>
      <c r="D54" s="14" t="s">
        <v>120</v>
      </c>
      <c r="G54" s="16" t="s">
        <v>121</v>
      </c>
      <c r="I54" s="17" t="s">
        <v>119</v>
      </c>
      <c r="L54" s="14" t="s">
        <v>120</v>
      </c>
      <c r="O54" s="16" t="s">
        <v>121</v>
      </c>
    </row>
    <row r="55">
      <c r="A55" s="14" t="str">
        <f>data!$E$13&amp;" "&amp;data!$B$13</f>
      </c>
      <c r="B55" s="18"/>
      <c r="C55" s="18"/>
      <c r="D55" s="18"/>
      <c r="E55" s="18"/>
      <c r="F55" s="18"/>
      <c r="G55" s="14" t="str">
        <f>data!$E$12&amp;" "&amp;data!$B$12</f>
      </c>
      <c r="I55" s="14" t="str">
        <f>data!$E$25&amp;" "&amp;data!$B$25</f>
      </c>
      <c r="J55" s="18"/>
      <c r="K55" s="18"/>
      <c r="L55" s="18"/>
      <c r="M55" s="18"/>
      <c r="N55" s="18"/>
      <c r="O55" s="14" t="str">
        <f>data!$E$24&amp;" "&amp;data!$B$24</f>
      </c>
    </row>
    <row r="56">
      <c r="A56" s="14" t="str">
        <f>data!$E$14&amp;" "&amp;data!$B$14</f>
      </c>
      <c r="B56" s="18"/>
      <c r="C56" s="18"/>
      <c r="D56" s="18"/>
      <c r="E56" s="18"/>
      <c r="F56" s="18"/>
      <c r="G56" s="14" t="str">
        <f>data!$E$12&amp;" "&amp;data!$B$12</f>
      </c>
      <c r="I56" s="14" t="str">
        <f>data!$E$26&amp;" "&amp;data!$B$26</f>
      </c>
      <c r="J56" s="18"/>
      <c r="K56" s="18"/>
      <c r="L56" s="18"/>
      <c r="M56" s="18"/>
      <c r="N56" s="18"/>
      <c r="O56" s="14" t="str">
        <f>data!$E$24&amp;" "&amp;data!$B$24</f>
      </c>
    </row>
    <row r="57">
      <c r="A57" s="14" t="str">
        <f>data!$E$14&amp;" "&amp;data!$B$14</f>
      </c>
      <c r="B57" s="18"/>
      <c r="C57" s="18"/>
      <c r="D57" s="18"/>
      <c r="E57" s="18"/>
      <c r="F57" s="18"/>
      <c r="G57" s="14" t="str">
        <f>data!$E$13&amp;" "&amp;data!$B$13</f>
      </c>
      <c r="I57" s="14" t="str">
        <f>data!$E$26&amp;" "&amp;data!$B$26</f>
      </c>
      <c r="J57" s="18"/>
      <c r="K57" s="18"/>
      <c r="L57" s="18"/>
      <c r="M57" s="18"/>
      <c r="N57" s="18"/>
      <c r="O57" s="14" t="str">
        <f>data!$E$25&amp;" "&amp;data!$B$25</f>
      </c>
    </row>
    <row r="59">
      <c r="A59" s="13" t="s">
        <v>122</v>
      </c>
      <c r="B59" s="13" t="s">
        <v>123</v>
      </c>
      <c r="C59" s="13" t="s">
        <v>124</v>
      </c>
      <c r="D59" s="13" t="s">
        <v>125</v>
      </c>
      <c r="E59" s="13" t="s">
        <v>126</v>
      </c>
      <c r="F59" s="13" t="s">
        <v>127</v>
      </c>
      <c r="G59" s="13" t="s">
        <v>128</v>
      </c>
      <c r="I59" s="13" t="s">
        <v>122</v>
      </c>
      <c r="J59" s="13" t="s">
        <v>123</v>
      </c>
      <c r="K59" s="13" t="s">
        <v>124</v>
      </c>
      <c r="L59" s="13" t="s">
        <v>125</v>
      </c>
      <c r="M59" s="13" t="s">
        <v>126</v>
      </c>
      <c r="N59" s="13" t="s">
        <v>127</v>
      </c>
      <c r="O59" s="13" t="s">
        <v>128</v>
      </c>
    </row>
    <row r="60">
      <c r="A60" s="14" t="str">
        <f>data!$E$12&amp;" "&amp;data!$B$12</f>
      </c>
      <c r="B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",""),"0",""),"-",""))&gt;LEN(SUBSTITUTE(SUBSTITUTE(SUBSTITUTE(B55,"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",""),"0",""),"-",""))&gt;LEN(SUBSTITUTE(SUBSTITUTE(SUBSTITUTE(B56," ",""),"0",""),"-",""))+LEN(SUBSTITUTE(SUBSTITUTE(SUBSTITUTE(C56," ",""),"0",""),"-","")))*1),0)</f>
      </c>
      <c r="C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",""),"0",""),"-",""))&lt;LEN(SUBSTITUTE(SUBSTITUTE(SUBSTITUTE(B55,"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",""),"0",""),"-",""))&lt;LEN(SUBSTITUTE(SUBSTITUTE(SUBSTITUTE(B56," ",""),"0",""),"-",""))+LEN(SUBSTITUTE(SUBSTITUTE(SUBSTITUTE(C56," ",""),"0",""),"-","")))*1),0)</f>
      </c>
      <c r="D60" s="14" t="str">
        <f>IF(OR(COUNTA(B55,C55,E55,F55)&gt;0,OR(D55="X",D55="x")),IF(OR(D55="X",D55="x",AND(OR(COUNTA(B55,C55,E55,F55)&gt;0,OR(D55="X",D55="x")),(LEN(SUBSTITUTE(SUBSTITUTE(SUBSTITUTE(B55," ",""),"0",""),"-",""))+LEN(SUBSTITUTE(SUBSTITUTE(SUBSTITUTE(C55," ",""),"0",""),"-","")))=(LEN(SUBSTITUTE(SUBSTITUTE(SUBSTITUTE(E55," ",""),"0",""),"-",""))+LEN(SUBSTITUTE(SUBSTITUTE(SUBSTITUTE(F55," ",""),"0",""),"-",""))))),1,0),0)+IF(OR(COUNTA(B56,C56,E56,F56)&gt;0,OR(D56="X",D56="x")),IF(OR(D56="X",D56="x",AND(OR(COUNTA(B56,C56,E56,F56)&gt;0,OR(D56="X",D56="x")),(LEN(SUBSTITUTE(SUBSTITUTE(SUBSTITUTE(B56," ",""),"0",""),"-",""))+LEN(SUBSTITUTE(SUBSTITUTE(SUBSTITUTE(C56," ",""),"0",""),"-","")))=(LEN(SUBSTITUTE(SUBSTITUTE(SUBSTITUTE(E56," ",""),"0",""),"-",""))+LEN(SUBSTITUTE(SUBSTITUTE(SUBSTITUTE(F56," ",""),"0",""),"-",""))))),1,0),0)</f>
      </c>
      <c r="E60" s="14" t="str">
        <f>LEN(SUBSTITUTE(SUBSTITUTE(SUBSTITUTE(E55," ",""),"0",""),"-",""))+LEN(SUBSTITUTE(SUBSTITUTE(SUBSTITUTE(F55," ",""),"0",""),"-",""))+LEN(SUBSTITUTE(SUBSTITUTE(SUBSTITUTE(E56," ",""),"0",""),"-",""))+LEN(SUBSTITUTE(SUBSTITUTE(SUBSTITUTE(F56," ",""),"0",""),"-",""))</f>
      </c>
      <c r="F60" s="14" t="str">
        <f>LEN(SUBSTITUTE(SUBSTITUTE(SUBSTITUTE(B55," ",""),"0",""),"-",""))+LEN(SUBSTITUTE(SUBSTITUTE(SUBSTITUTE(C55," ",""),"0",""),"-",""))+LEN(SUBSTITUTE(SUBSTITUTE(SUBSTITUTE(B56," ",""),"0",""),"-",""))+LEN(SUBSTITUTE(SUBSTITUTE(SUBSTITUTE(C56," ",""),"0",""),"-",""))</f>
      </c>
      <c r="G60" s="18" t="str">
        <f>RANK(U60,$U$60:$U$62)+COUNTIF($U$59:U59,U60)</f>
      </c>
      <c r="I60" s="14" t="str">
        <f>data!$E$24&amp;" "&amp;data!$B$24</f>
      </c>
      <c r="J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",""),"0",""),"-",""))&gt;LEN(SUBSTITUTE(SUBSTITUTE(SUBSTITUTE(J55,"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",""),"0",""),"-",""))&gt;LEN(SUBSTITUTE(SUBSTITUTE(SUBSTITUTE(J56," ",""),"0",""),"-",""))+LEN(SUBSTITUTE(SUBSTITUTE(SUBSTITUTE(K56," ",""),"0",""),"-","")))*1),0)</f>
      </c>
      <c r="K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",""),"0",""),"-",""))&lt;LEN(SUBSTITUTE(SUBSTITUTE(SUBSTITUTE(J55,"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",""),"0",""),"-",""))&lt;LEN(SUBSTITUTE(SUBSTITUTE(SUBSTITUTE(J56," ",""),"0",""),"-",""))+LEN(SUBSTITUTE(SUBSTITUTE(SUBSTITUTE(K56," ",""),"0",""),"-","")))*1),0)</f>
      </c>
      <c r="L60" s="14" t="str">
        <f>IF(OR(COUNTA(J55,K55,M55,N55)&gt;0,OR(L55="X",L55="x")),IF(OR(L55="X",L55="x",AND(OR(COUNTA(J55,K55,M55,N55)&gt;0,OR(L55="X",L55="x")),(LEN(SUBSTITUTE(SUBSTITUTE(SUBSTITUTE(J55," ",""),"0",""),"-",""))+LEN(SUBSTITUTE(SUBSTITUTE(SUBSTITUTE(K55," ",""),"0",""),"-","")))=(LEN(SUBSTITUTE(SUBSTITUTE(SUBSTITUTE(M55," ",""),"0",""),"-",""))+LEN(SUBSTITUTE(SUBSTITUTE(SUBSTITUTE(N55," ",""),"0",""),"-",""))))),1,0),0)+IF(OR(COUNTA(J56,K56,M56,N56)&gt;0,OR(L56="X",L56="x")),IF(OR(L56="X",L56="x",AND(OR(COUNTA(J56,K56,M56,N56)&gt;0,OR(L56="X",L56="x")),(LEN(SUBSTITUTE(SUBSTITUTE(SUBSTITUTE(J56," ",""),"0",""),"-",""))+LEN(SUBSTITUTE(SUBSTITUTE(SUBSTITUTE(K56," ",""),"0",""),"-","")))=(LEN(SUBSTITUTE(SUBSTITUTE(SUBSTITUTE(M56," ",""),"0",""),"-",""))+LEN(SUBSTITUTE(SUBSTITUTE(SUBSTITUTE(N56," ",""),"0",""),"-",""))))),1,0),0)</f>
      </c>
      <c r="M60" s="14" t="str">
        <f>LEN(SUBSTITUTE(SUBSTITUTE(SUBSTITUTE(M55," ",""),"0",""),"-",""))+LEN(SUBSTITUTE(SUBSTITUTE(SUBSTITUTE(N55," ",""),"0",""),"-",""))+LEN(SUBSTITUTE(SUBSTITUTE(SUBSTITUTE(M56," ",""),"0",""),"-",""))+LEN(SUBSTITUTE(SUBSTITUTE(SUBSTITUTE(N56," ",""),"0",""),"-",""))</f>
      </c>
      <c r="N60" s="14" t="str">
        <f>LEN(SUBSTITUTE(SUBSTITUTE(SUBSTITUTE(J55," ",""),"0",""),"-",""))+LEN(SUBSTITUTE(SUBSTITUTE(SUBSTITUTE(K55," ",""),"0",""),"-",""))+LEN(SUBSTITUTE(SUBSTITUTE(SUBSTITUTE(J56," ",""),"0",""),"-",""))+LEN(SUBSTITUTE(SUBSTITUTE(SUBSTITUTE(K56," ",""),"0",""),"-",""))</f>
      </c>
      <c r="O60" s="18" t="str">
        <f>RANK(AC60,$AC$60:$AC$62)+COUNTIF($AC$59:AC59,AC60)</f>
      </c>
      <c r="U60" t="str">
        <f>(B60*1000000)-(C60*10000)+(D60*100)+(E60*1)-(F60*0.01)</f>
      </c>
      <c r="AC60" t="str">
        <f>(J60*1000000)-(K60*10000)+(L60*100)+(M60*1)-(N60*0.01)</f>
      </c>
    </row>
    <row r="61">
      <c r="A61" s="14" t="str">
        <f>data!$E$13&amp;" "&amp;data!$B$13</f>
      </c>
      <c r="B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",""),"0",""),"-",""))&gt;LEN(SUBSTITUTE(SUBSTITUTE(SUBSTITUTE(E55,"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",""),"0",""),"-",""))&gt;LEN(SUBSTITUTE(SUBSTITUTE(SUBSTITUTE(B57," ",""),"0",""),"-",""))+LEN(SUBSTITUTE(SUBSTITUTE(SUBSTITUTE(C57," ",""),"0",""),"-","")))*1),0)</f>
      </c>
      <c r="C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",""),"0",""),"-",""))&lt;LEN(SUBSTITUTE(SUBSTITUTE(SUBSTITUTE(E55,"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",""),"0",""),"-",""))&lt;LEN(SUBSTITUTE(SUBSTITUTE(SUBSTITUTE(B57," ",""),"0",""),"-",""))+LEN(SUBSTITUTE(SUBSTITUTE(SUBSTITUTE(C57," ",""),"0",""),"-","")))*1),0)</f>
      </c>
      <c r="D61" s="14" t="str">
        <f>IF(OR(COUNTA(B55,C55,E55,F55)&gt;0,OR(D55="X",D55="x")),IF(OR(D55="X",D55="x",AND(OR(COUNTA(B55,C55,E55,F55)&gt;0,OR(D55="X",D55="x")),(LEN(SUBSTITUTE(SUBSTITUTE(SUBSTITUTE(B55," ",""),"0",""),"-",""))+LEN(SUBSTITUTE(SUBSTITUTE(SUBSTITUTE(C55," ",""),"0",""),"-","")))=(LEN(SUBSTITUTE(SUBSTITUTE(SUBSTITUTE(E55," ",""),"0",""),"-",""))+LEN(SUBSTITUTE(SUBSTITUTE(SUBSTITUTE(F55," ",""),"0",""),"-",""))))),1,0),0)+IF(OR(COUNTA(B57,C57,E57,F57)&gt;0,OR(D57="X",D57="x")),IF(OR(D57="X",D57="x",AND(OR(COUNTA(B57,C57,E57,F57)&gt;0,OR(D57="X",D57="x")),(LEN(SUBSTITUTE(SUBSTITUTE(SUBSTITUTE(B57," ",""),"0",""),"-",""))+LEN(SUBSTITUTE(SUBSTITUTE(SUBSTITUTE(C57," ",""),"0",""),"-","")))=(LEN(SUBSTITUTE(SUBSTITUTE(SUBSTITUTE(E57," ",""),"0",""),"-",""))+LEN(SUBSTITUTE(SUBSTITUTE(SUBSTITUTE(F57," ",""),"0",""),"-",""))))),1,0),0)</f>
      </c>
      <c r="E61" s="14" t="str">
        <f>LEN(SUBSTITUTE(SUBSTITUTE(SUBSTITUTE(B55," ",""),"0",""),"-",""))+LEN(SUBSTITUTE(SUBSTITUTE(SUBSTITUTE(C55," ",""),"0",""),"-",""))+LEN(SUBSTITUTE(SUBSTITUTE(SUBSTITUTE(E57," ",""),"0",""),"-",""))+LEN(SUBSTITUTE(SUBSTITUTE(SUBSTITUTE(F57," ",""),"0",""),"-",""))</f>
      </c>
      <c r="F61" s="14" t="str">
        <f>LEN(SUBSTITUTE(SUBSTITUTE(SUBSTITUTE(E55," ",""),"0",""),"-",""))+LEN(SUBSTITUTE(SUBSTITUTE(SUBSTITUTE(F55," ",""),"0",""),"-",""))+LEN(SUBSTITUTE(SUBSTITUTE(SUBSTITUTE(B57," ",""),"0",""),"-",""))+LEN(SUBSTITUTE(SUBSTITUTE(SUBSTITUTE(C57," ",""),"0",""),"-",""))</f>
      </c>
      <c r="G61" s="18" t="str">
        <f>RANK(U61,$U$60:$U$62)+COUNTIF($U$59:U60,U61)</f>
      </c>
      <c r="I61" s="14" t="str">
        <f>data!$E$25&amp;" "&amp;data!$B$25</f>
      </c>
      <c r="J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",""),"0",""),"-",""))&gt;LEN(SUBSTITUTE(SUBSTITUTE(SUBSTITUTE(M55,"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",""),"0",""),"-",""))&gt;LEN(SUBSTITUTE(SUBSTITUTE(SUBSTITUTE(J57," ",""),"0",""),"-",""))+LEN(SUBSTITUTE(SUBSTITUTE(SUBSTITUTE(K57," ",""),"0",""),"-","")))*1),0)</f>
      </c>
      <c r="K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",""),"0",""),"-",""))&lt;LEN(SUBSTITUTE(SUBSTITUTE(SUBSTITUTE(M55,"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",""),"0",""),"-",""))&lt;LEN(SUBSTITUTE(SUBSTITUTE(SUBSTITUTE(J57," ",""),"0",""),"-",""))+LEN(SUBSTITUTE(SUBSTITUTE(SUBSTITUTE(K57," ",""),"0",""),"-","")))*1),0)</f>
      </c>
      <c r="L61" s="14" t="str">
        <f>IF(OR(COUNTA(J55,K55,M55,N55)&gt;0,OR(L55="X",L55="x")),IF(OR(L55="X",L55="x",AND(OR(COUNTA(J55,K55,M55,N55)&gt;0,OR(L55="X",L55="x")),(LEN(SUBSTITUTE(SUBSTITUTE(SUBSTITUTE(J55," ",""),"0",""),"-",""))+LEN(SUBSTITUTE(SUBSTITUTE(SUBSTITUTE(K55," ",""),"0",""),"-","")))=(LEN(SUBSTITUTE(SUBSTITUTE(SUBSTITUTE(M55," ",""),"0",""),"-",""))+LEN(SUBSTITUTE(SUBSTITUTE(SUBSTITUTE(N55," ",""),"0",""),"-",""))))),1,0),0)+IF(OR(COUNTA(J57,K57,M57,N57)&gt;0,OR(L57="X",L57="x")),IF(OR(L57="X",L57="x",AND(OR(COUNTA(J57,K57,M57,N57)&gt;0,OR(L57="X",L57="x")),(LEN(SUBSTITUTE(SUBSTITUTE(SUBSTITUTE(J57," ",""),"0",""),"-",""))+LEN(SUBSTITUTE(SUBSTITUTE(SUBSTITUTE(K57," ",""),"0",""),"-","")))=(LEN(SUBSTITUTE(SUBSTITUTE(SUBSTITUTE(M57," ",""),"0",""),"-",""))+LEN(SUBSTITUTE(SUBSTITUTE(SUBSTITUTE(N57," ",""),"0",""),"-",""))))),1,0),0)</f>
      </c>
      <c r="M61" s="14" t="str">
        <f>LEN(SUBSTITUTE(SUBSTITUTE(SUBSTITUTE(J55," ",""),"0",""),"-",""))+LEN(SUBSTITUTE(SUBSTITUTE(SUBSTITUTE(K55," ",""),"0",""),"-",""))+LEN(SUBSTITUTE(SUBSTITUTE(SUBSTITUTE(M57," ",""),"0",""),"-",""))+LEN(SUBSTITUTE(SUBSTITUTE(SUBSTITUTE(N57," ",""),"0",""),"-",""))</f>
      </c>
      <c r="N61" s="14" t="str">
        <f>LEN(SUBSTITUTE(SUBSTITUTE(SUBSTITUTE(M55," ",""),"0",""),"-",""))+LEN(SUBSTITUTE(SUBSTITUTE(SUBSTITUTE(N55," ",""),"0",""),"-",""))+LEN(SUBSTITUTE(SUBSTITUTE(SUBSTITUTE(J57," ",""),"0",""),"-",""))+LEN(SUBSTITUTE(SUBSTITUTE(SUBSTITUTE(K57," ",""),"0",""),"-",""))</f>
      </c>
      <c r="O61" s="18" t="str">
        <f>RANK(AC61,$AC$60:$AC$62)+COUNTIF($AC$59:AC60,AC61)</f>
      </c>
      <c r="U61" t="str">
        <f>(B61*1000000)-(C61*10000)+(D61*100)+(E61*1)-(F61*0.01)</f>
      </c>
      <c r="AC61" t="str">
        <f>(J61*1000000)-(K61*10000)+(L61*100)+(M61*1)-(N61*0.01)</f>
      </c>
    </row>
    <row r="62">
      <c r="A62" s="14" t="str">
        <f>data!$E$14&amp;" "&amp;data!$B$14</f>
      </c>
      <c r="B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",""),"0",""),"-",""))&gt;LEN(SUBSTITUTE(SUBSTITUTE(SUBSTITUTE(E56,"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",""),"0",""),"-",""))&gt;LEN(SUBSTITUTE(SUBSTITUTE(SUBSTITUTE(E57," ",""),"0",""),"-",""))+LEN(SUBSTITUTE(SUBSTITUTE(SUBSTITUTE(F57," ",""),"0",""),"-","")))*1),0)</f>
      </c>
      <c r="C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",""),"0",""),"-",""))&lt;LEN(SUBSTITUTE(SUBSTITUTE(SUBSTITUTE(E56,"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",""),"0",""),"-",""))&lt;LEN(SUBSTITUTE(SUBSTITUTE(SUBSTITUTE(E57," ",""),"0",""),"-",""))+LEN(SUBSTITUTE(SUBSTITUTE(SUBSTITUTE(F57," ",""),"0",""),"-","")))*1),0)</f>
      </c>
      <c r="D62" s="14" t="str">
        <f>IF(OR(COUNTA(B56,C56,E56,F56)&gt;0,OR(D56="X",D56="x")),IF(OR(D56="X",D56="x",AND(OR(COUNTA(B56,C56,E56,F56)&gt;0,OR(D56="X",D56="x")),(LEN(SUBSTITUTE(SUBSTITUTE(SUBSTITUTE(B56," ",""),"0",""),"-",""))+LEN(SUBSTITUTE(SUBSTITUTE(SUBSTITUTE(C56," ",""),"0",""),"-","")))=(LEN(SUBSTITUTE(SUBSTITUTE(SUBSTITUTE(E56," ",""),"0",""),"-",""))+LEN(SUBSTITUTE(SUBSTITUTE(SUBSTITUTE(F56," ",""),"0",""),"-",""))))),1,0),0)+IF(OR(COUNTA(B57,C57,E57,F57)&gt;0,OR(D57="X",D57="x")),IF(OR(D57="X",D57="x",AND(OR(COUNTA(B57,C57,E57,F57)&gt;0,OR(D57="X",D57="x")),(LEN(SUBSTITUTE(SUBSTITUTE(SUBSTITUTE(B57," ",""),"0",""),"-",""))+LEN(SUBSTITUTE(SUBSTITUTE(SUBSTITUTE(C57," ",""),"0",""),"-","")))=(LEN(SUBSTITUTE(SUBSTITUTE(SUBSTITUTE(E57," ",""),"0",""),"-",""))+LEN(SUBSTITUTE(SUBSTITUTE(SUBSTITUTE(F57," ",""),"0",""),"-",""))))),1,0),0)</f>
      </c>
      <c r="E62" s="14" t="str">
        <f>LEN(SUBSTITUTE(SUBSTITUTE(SUBSTITUTE(B56," ",""),"0",""),"-",""))+LEN(SUBSTITUTE(SUBSTITUTE(SUBSTITUTE(C56," ",""),"0",""),"-",""))+LEN(SUBSTITUTE(SUBSTITUTE(SUBSTITUTE(B57," ",""),"0",""),"-",""))+LEN(SUBSTITUTE(SUBSTITUTE(SUBSTITUTE(C57," ",""),"0",""),"-",""))</f>
      </c>
      <c r="F62" s="14" t="str">
        <f>LEN(SUBSTITUTE(SUBSTITUTE(SUBSTITUTE(E56," ",""),"0",""),"-",""))+LEN(SUBSTITUTE(SUBSTITUTE(SUBSTITUTE(F56," ",""),"0",""),"-",""))+LEN(SUBSTITUTE(SUBSTITUTE(SUBSTITUTE(E57," ",""),"0",""),"-",""))+LEN(SUBSTITUTE(SUBSTITUTE(SUBSTITUTE(F57," ",""),"0",""),"-",""))</f>
      </c>
      <c r="G62" s="18" t="str">
        <f>RANK(U62,$U$60:$U$62)+COUNTIF($U$59:U61,U62)</f>
      </c>
      <c r="I62" s="14" t="str">
        <f>data!$E$26&amp;" "&amp;data!$B$26</f>
      </c>
      <c r="J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",""),"0",""),"-",""))&gt;LEN(SUBSTITUTE(SUBSTITUTE(SUBSTITUTE(M56,"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",""),"0",""),"-",""))&gt;LEN(SUBSTITUTE(SUBSTITUTE(SUBSTITUTE(M57," ",""),"0",""),"-",""))+LEN(SUBSTITUTE(SUBSTITUTE(SUBSTITUTE(N57," ",""),"0",""),"-","")))*1),0)</f>
      </c>
      <c r="K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",""),"0",""),"-",""))&lt;LEN(SUBSTITUTE(SUBSTITUTE(SUBSTITUTE(M56,"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",""),"0",""),"-",""))&lt;LEN(SUBSTITUTE(SUBSTITUTE(SUBSTITUTE(M57," ",""),"0",""),"-",""))+LEN(SUBSTITUTE(SUBSTITUTE(SUBSTITUTE(N57," ",""),"0",""),"-","")))*1),0)</f>
      </c>
      <c r="L62" s="14" t="str">
        <f>IF(OR(COUNTA(J56,K56,M56,N56)&gt;0,OR(L56="X",L56="x")),IF(OR(L56="X",L56="x",AND(OR(COUNTA(J56,K56,M56,N56)&gt;0,OR(L56="X",L56="x")),(LEN(SUBSTITUTE(SUBSTITUTE(SUBSTITUTE(J56," ",""),"0",""),"-",""))+LEN(SUBSTITUTE(SUBSTITUTE(SUBSTITUTE(K56," ",""),"0",""),"-","")))=(LEN(SUBSTITUTE(SUBSTITUTE(SUBSTITUTE(M56," ",""),"0",""),"-",""))+LEN(SUBSTITUTE(SUBSTITUTE(SUBSTITUTE(N56," ",""),"0",""),"-",""))))),1,0),0)+IF(OR(COUNTA(J57,K57,M57,N57)&gt;0,OR(L57="X",L57="x")),IF(OR(L57="X",L57="x",AND(OR(COUNTA(J57,K57,M57,N57)&gt;0,OR(L57="X",L57="x")),(LEN(SUBSTITUTE(SUBSTITUTE(SUBSTITUTE(J57," ",""),"0",""),"-",""))+LEN(SUBSTITUTE(SUBSTITUTE(SUBSTITUTE(K57," ",""),"0",""),"-","")))=(LEN(SUBSTITUTE(SUBSTITUTE(SUBSTITUTE(M57," ",""),"0",""),"-",""))+LEN(SUBSTITUTE(SUBSTITUTE(SUBSTITUTE(N57," ",""),"0",""),"-",""))))),1,0),0)</f>
      </c>
      <c r="M62" s="14" t="str">
        <f>LEN(SUBSTITUTE(SUBSTITUTE(SUBSTITUTE(J56," ",""),"0",""),"-",""))+LEN(SUBSTITUTE(SUBSTITUTE(SUBSTITUTE(K56," ",""),"0",""),"-",""))+LEN(SUBSTITUTE(SUBSTITUTE(SUBSTITUTE(J57," ",""),"0",""),"-",""))+LEN(SUBSTITUTE(SUBSTITUTE(SUBSTITUTE(K57," ",""),"0",""),"-",""))</f>
      </c>
      <c r="N62" s="14" t="str">
        <f>LEN(SUBSTITUTE(SUBSTITUTE(SUBSTITUTE(M56," ",""),"0",""),"-",""))+LEN(SUBSTITUTE(SUBSTITUTE(SUBSTITUTE(N56," ",""),"0",""),"-",""))+LEN(SUBSTITUTE(SUBSTITUTE(SUBSTITUTE(M57," ",""),"0",""),"-",""))+LEN(SUBSTITUTE(SUBSTITUTE(SUBSTITUTE(N57," ",""),"0",""),"-",""))</f>
      </c>
      <c r="O62" s="18" t="str">
        <f>RANK(AC62,$AC$60:$AC$62)+COUNTIF($AC$59:AC61,AC62)</f>
      </c>
      <c r="U62" t="str">
        <f>(B62*1000000)-(C62*10000)+(D62*100)+(E62*1)-(F62*0.01)</f>
      </c>
      <c r="AC62" t="str">
        <f>(J62*1000000)-(K62*10000)+(L62*100)+(M62*1)-(N62*0.01)</f>
      </c>
    </row>
    <row r="65">
      <c r="F65" s="13"/>
      <c r="G65" s="13" t="s">
        <v>129</v>
      </c>
      <c r="N65" s="13"/>
      <c r="O65" s="13" t="s">
        <v>129</v>
      </c>
    </row>
    <row r="66">
      <c r="F66" t="s">
        <v>130</v>
      </c>
      <c r="G66" s="19" t="str">
        <f>IFERROR(INDEX($A$60:$A$62, MATCH(1, $G$60:$G$62, 0)), "-")</f>
      </c>
      <c r="N66" t="s">
        <v>130</v>
      </c>
      <c r="O66" s="19" t="str">
        <f>IFERROR(INDEX($I$60:$I$62, MATCH(1, $O$60:$O$62, 0)), "-")</f>
      </c>
    </row>
    <row r="67">
      <c r="F67" t="s">
        <v>131</v>
      </c>
      <c r="G67" s="19" t="str">
        <f>IFERROR(INDEX($A$60:$A$62, MATCH(2, $G$60:$G$62, 0)), "-")</f>
      </c>
      <c r="N67" t="s">
        <v>131</v>
      </c>
      <c r="O67" s="19" t="str">
        <f>IFERROR(INDEX($I$60:$I$62, MATCH(2, $O$60:$O$62, 0)), "-")</f>
      </c>
    </row>
    <row r="68">
      <c r="F68" t="s">
        <v>132</v>
      </c>
      <c r="G68" s="19" t="str">
        <f>IFERROR(INDEX($A$60:$A$62, MATCH(3, $G$60:$G$62, 0)), "-")</f>
      </c>
      <c r="N68" t="s">
        <v>132</v>
      </c>
      <c r="O68" s="19" t="str">
        <f>IFERROR(INDEX($I$60:$I$62, MATCH(3, $O$60:$O$62,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0">
    <mergeCell ref="A1:G1"/>
    <mergeCell ref="I1:O1"/>
    <mergeCell ref="A2:G2"/>
    <mergeCell ref="I2:O2"/>
    <mergeCell ref="A19:G19"/>
    <mergeCell ref="I19:O19"/>
    <mergeCell ref="A36:G36"/>
    <mergeCell ref="I36:O36"/>
    <mergeCell ref="A53:G53"/>
    <mergeCell ref="I53:O53"/>
  </mergeCells>
  <printOptions horizontalCentered="true" verticalCentered="true"/>
  <pageSetup fitToHeight="0" fitToWidth="2" orientation="portrait" pageOrder="downThenOver" paperSize="9"/>
  <rowBreaks count="1" manualBreakCount="1">
    <brk id="35"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117</v>
      </c>
      <c r="B1" s="13"/>
      <c r="C1" s="13"/>
      <c r="D1" s="13"/>
      <c r="E1" s="13"/>
      <c r="F1" s="13"/>
      <c r="G1" s="13"/>
      <c r="I1" s="13" t="s">
        <v>118</v>
      </c>
      <c r="J1" s="13"/>
      <c r="K1" s="13"/>
      <c r="L1" s="13"/>
      <c r="M1" s="13"/>
      <c r="N1" s="13"/>
      <c r="O1" s="13"/>
    </row>
    <row r="2">
      <c r="A2" s="13" t="s">
        <v>133</v>
      </c>
      <c r="B2" s="13"/>
      <c r="C2" s="13"/>
      <c r="D2" s="13"/>
      <c r="E2" s="13"/>
      <c r="F2" s="13"/>
      <c r="G2" s="13"/>
      <c r="I2" s="13" t="s">
        <v>134</v>
      </c>
      <c r="J2" s="13"/>
      <c r="K2" s="13"/>
      <c r="L2" s="13"/>
      <c r="M2" s="13"/>
      <c r="N2" s="13"/>
      <c r="O2" s="13"/>
    </row>
    <row r="3">
      <c r="A3" s="17" t="s">
        <v>119</v>
      </c>
      <c r="D3" s="14" t="s">
        <v>120</v>
      </c>
      <c r="G3" s="16" t="s">
        <v>121</v>
      </c>
      <c r="I3" s="17" t="s">
        <v>119</v>
      </c>
      <c r="L3" s="14" t="s">
        <v>120</v>
      </c>
      <c r="O3" s="16" t="s">
        <v>121</v>
      </c>
    </row>
    <row r="4">
      <c r="A4" s="14" t="str">
        <f>CONCATENATE("Pool E-2nd ",'Pool Matches'!O16)</f>
      </c>
      <c r="B4" s="18"/>
      <c r="C4" s="18"/>
      <c r="D4" s="18"/>
      <c r="E4" s="18"/>
      <c r="F4" s="18"/>
      <c r="G4" s="14" t="str">
        <f>CONCATENATE("Pool A-1st ",'Pool Matches'!G15)</f>
      </c>
      <c r="I4" s="14" t="str">
        <f>CONCATENATE("Pool A-2nd ",'Pool Matches'!G16)</f>
      </c>
      <c r="J4" s="18"/>
      <c r="K4" s="18"/>
      <c r="L4" s="18"/>
      <c r="M4" s="18"/>
      <c r="N4" s="18"/>
      <c r="O4" s="14" t="str">
        <f>CONCATENATE("Pool E-1st ",'Pool Matches'!O15)</f>
      </c>
    </row>
    <row r="6">
      <c r="F6" t="s">
        <v>130</v>
      </c>
      <c r="G6" s="19"/>
      <c r="N6" t="s">
        <v>130</v>
      </c>
      <c r="O6" s="19"/>
    </row>
    <row r="7">
      <c r="F7" t="s">
        <v>131</v>
      </c>
      <c r="G7" s="19"/>
      <c r="N7" t="s">
        <v>131</v>
      </c>
      <c r="O7" s="19"/>
    </row>
    <row r="10">
      <c r="A10" s="13" t="s">
        <v>135</v>
      </c>
      <c r="B10" s="13"/>
      <c r="C10" s="13"/>
      <c r="D10" s="13"/>
      <c r="E10" s="13"/>
      <c r="F10" s="13"/>
      <c r="G10" s="13"/>
      <c r="I10" s="13" t="s">
        <v>136</v>
      </c>
      <c r="J10" s="13"/>
      <c r="K10" s="13"/>
      <c r="L10" s="13"/>
      <c r="M10" s="13"/>
      <c r="N10" s="13"/>
      <c r="O10" s="13"/>
    </row>
    <row r="11">
      <c r="A11" s="17" t="s">
        <v>119</v>
      </c>
      <c r="D11" s="14" t="s">
        <v>120</v>
      </c>
      <c r="G11" s="16" t="s">
        <v>121</v>
      </c>
      <c r="I11" s="17" t="s">
        <v>119</v>
      </c>
      <c r="L11" s="14" t="s">
        <v>120</v>
      </c>
      <c r="O11" s="16" t="s">
        <v>121</v>
      </c>
    </row>
    <row r="12">
      <c r="A12" s="14" t="str">
        <f>CONCATENATE("Pool F-2nd ",'Pool Matches'!O33)</f>
      </c>
      <c r="B12" s="18"/>
      <c r="C12" s="18"/>
      <c r="D12" s="18"/>
      <c r="E12" s="18"/>
      <c r="F12" s="18"/>
      <c r="G12" s="14" t="str">
        <f>CONCATENATE("Pool B-1st ",'Pool Matches'!G32)</f>
      </c>
      <c r="I12" s="14" t="str">
        <f>CONCATENATE("Pool B-2nd ",'Pool Matches'!G33)</f>
      </c>
      <c r="J12" s="18"/>
      <c r="K12" s="18"/>
      <c r="L12" s="18"/>
      <c r="M12" s="18"/>
      <c r="N12" s="18"/>
      <c r="O12" s="14" t="str">
        <f>CONCATENATE("Pool F-1st ",'Pool Matches'!O32)</f>
      </c>
    </row>
    <row r="14">
      <c r="F14" t="s">
        <v>130</v>
      </c>
      <c r="G14" s="19"/>
      <c r="N14" t="s">
        <v>130</v>
      </c>
      <c r="O14" s="19"/>
    </row>
    <row r="15">
      <c r="F15" t="s">
        <v>131</v>
      </c>
      <c r="G15" s="19"/>
      <c r="N15" t="s">
        <v>131</v>
      </c>
      <c r="O15" s="19"/>
    </row>
    <row r="18">
      <c r="A18" s="13" t="s">
        <v>137</v>
      </c>
      <c r="B18" s="13"/>
      <c r="C18" s="13"/>
      <c r="D18" s="13"/>
      <c r="E18" s="13"/>
      <c r="F18" s="13"/>
      <c r="G18" s="13"/>
      <c r="I18" s="13" t="s">
        <v>138</v>
      </c>
      <c r="J18" s="13"/>
      <c r="K18" s="13"/>
      <c r="L18" s="13"/>
      <c r="M18" s="13"/>
      <c r="N18" s="13"/>
      <c r="O18" s="13"/>
    </row>
    <row r="19">
      <c r="A19" s="17" t="s">
        <v>119</v>
      </c>
      <c r="D19" s="14" t="s">
        <v>120</v>
      </c>
      <c r="G19" s="16" t="s">
        <v>121</v>
      </c>
      <c r="I19" s="17" t="s">
        <v>119</v>
      </c>
      <c r="L19" s="14" t="s">
        <v>120</v>
      </c>
      <c r="O19" s="16" t="s">
        <v>121</v>
      </c>
    </row>
    <row r="20">
      <c r="A20" s="14" t="str">
        <f>CONCATENATE("Pool G-2nd ",'Pool Matches'!O50)</f>
      </c>
      <c r="B20" s="18"/>
      <c r="C20" s="18"/>
      <c r="D20" s="18"/>
      <c r="E20" s="18"/>
      <c r="F20" s="18"/>
      <c r="G20" s="14" t="str">
        <f>CONCATENATE("Pool C-1st ",'Pool Matches'!G49)</f>
      </c>
      <c r="I20" s="14" t="str">
        <f>CONCATENATE("Pool C-2nd ",'Pool Matches'!G50)</f>
      </c>
      <c r="J20" s="18"/>
      <c r="K20" s="18"/>
      <c r="L20" s="18"/>
      <c r="M20" s="18"/>
      <c r="N20" s="18"/>
      <c r="O20" s="14" t="str">
        <f>CONCATENATE("Pool G-1st ",'Pool Matches'!O49)</f>
      </c>
    </row>
    <row r="22">
      <c r="F22" t="s">
        <v>130</v>
      </c>
      <c r="G22" s="19"/>
      <c r="N22" t="s">
        <v>130</v>
      </c>
      <c r="O22" s="19"/>
    </row>
    <row r="23">
      <c r="F23" t="s">
        <v>131</v>
      </c>
      <c r="G23" s="19"/>
      <c r="N23" t="s">
        <v>131</v>
      </c>
      <c r="O23" s="19"/>
    </row>
    <row r="26">
      <c r="A26" s="13" t="s">
        <v>139</v>
      </c>
      <c r="B26" s="13"/>
      <c r="C26" s="13"/>
      <c r="D26" s="13"/>
      <c r="E26" s="13"/>
      <c r="F26" s="13"/>
      <c r="G26" s="13"/>
      <c r="I26" s="13" t="s">
        <v>140</v>
      </c>
      <c r="J26" s="13"/>
      <c r="K26" s="13"/>
      <c r="L26" s="13"/>
      <c r="M26" s="13"/>
      <c r="N26" s="13"/>
      <c r="O26" s="13"/>
    </row>
    <row r="27">
      <c r="A27" s="17" t="s">
        <v>119</v>
      </c>
      <c r="D27" s="14" t="s">
        <v>120</v>
      </c>
      <c r="G27" s="16" t="s">
        <v>121</v>
      </c>
      <c r="I27" s="17" t="s">
        <v>119</v>
      </c>
      <c r="L27" s="14" t="s">
        <v>120</v>
      </c>
      <c r="O27" s="16" t="s">
        <v>121</v>
      </c>
    </row>
    <row r="28">
      <c r="A28" s="14" t="str">
        <f>CONCATENATE("Pool H-2nd ",'Pool Matches'!O67)</f>
      </c>
      <c r="B28" s="18"/>
      <c r="C28" s="18"/>
      <c r="D28" s="18"/>
      <c r="E28" s="18"/>
      <c r="F28" s="18"/>
      <c r="G28" s="14" t="str">
        <f>CONCATENATE("Pool D-1st ",'Pool Matches'!G66)</f>
      </c>
      <c r="I28" s="14" t="str">
        <f>CONCATENATE("Pool D-2nd ",'Pool Matches'!G67)</f>
      </c>
      <c r="J28" s="18"/>
      <c r="K28" s="18"/>
      <c r="L28" s="18"/>
      <c r="M28" s="18"/>
      <c r="N28" s="18"/>
      <c r="O28" s="14" t="str">
        <f>CONCATENATE("Pool H-1st ",'Pool Matches'!O66)</f>
      </c>
    </row>
    <row r="30">
      <c r="F30" t="s">
        <v>130</v>
      </c>
      <c r="G30" s="19"/>
      <c r="N30" t="s">
        <v>130</v>
      </c>
      <c r="O30" s="19"/>
    </row>
    <row r="31">
      <c r="F31" t="s">
        <v>131</v>
      </c>
      <c r="G31" s="19"/>
      <c r="N31" t="s">
        <v>131</v>
      </c>
      <c r="O31" s="19"/>
    </row>
    <row r="39">
      <c r="A39" s="13" t="s">
        <v>141</v>
      </c>
      <c r="B39" s="13"/>
      <c r="C39" s="13"/>
      <c r="D39" s="13"/>
      <c r="E39" s="13"/>
      <c r="F39" s="13"/>
      <c r="G39" s="13"/>
      <c r="I39" s="13" t="s">
        <v>142</v>
      </c>
      <c r="J39" s="13"/>
      <c r="K39" s="13"/>
      <c r="L39" s="13"/>
      <c r="M39" s="13"/>
      <c r="N39" s="13"/>
      <c r="O39" s="13"/>
    </row>
    <row r="40">
      <c r="A40" s="17" t="s">
        <v>119</v>
      </c>
      <c r="D40" s="14" t="s">
        <v>120</v>
      </c>
      <c r="G40" s="16" t="s">
        <v>121</v>
      </c>
      <c r="I40" s="17" t="s">
        <v>119</v>
      </c>
      <c r="L40" s="14" t="s">
        <v>120</v>
      </c>
      <c r="O40" s="16" t="s">
        <v>121</v>
      </c>
    </row>
    <row r="41">
      <c r="A41" s="14" t="str">
        <f>CONCATENATE("M 2 ",G14)</f>
      </c>
      <c r="B41" s="18"/>
      <c r="C41" s="18"/>
      <c r="D41" s="18"/>
      <c r="E41" s="18"/>
      <c r="F41" s="18"/>
      <c r="G41" s="14" t="str">
        <f>CONCATENATE("M 1 ",G6)</f>
      </c>
      <c r="I41" s="14" t="str">
        <f>CONCATENATE("M 6 ",O14)</f>
      </c>
      <c r="J41" s="18"/>
      <c r="K41" s="18"/>
      <c r="L41" s="18"/>
      <c r="M41" s="18"/>
      <c r="N41" s="18"/>
      <c r="O41" s="14" t="str">
        <f>CONCATENATE("M 5 ",O6)</f>
      </c>
    </row>
    <row r="43">
      <c r="F43" t="s">
        <v>130</v>
      </c>
      <c r="G43" s="19"/>
      <c r="N43" t="s">
        <v>130</v>
      </c>
      <c r="O43" s="19"/>
    </row>
    <row r="44">
      <c r="F44" t="s">
        <v>131</v>
      </c>
      <c r="G44" s="19"/>
      <c r="N44" t="s">
        <v>131</v>
      </c>
      <c r="O44" s="19"/>
    </row>
    <row r="47">
      <c r="A47" s="13" t="s">
        <v>143</v>
      </c>
      <c r="B47" s="13"/>
      <c r="C47" s="13"/>
      <c r="D47" s="13"/>
      <c r="E47" s="13"/>
      <c r="F47" s="13"/>
      <c r="G47" s="13"/>
      <c r="I47" s="13" t="s">
        <v>144</v>
      </c>
      <c r="J47" s="13"/>
      <c r="K47" s="13"/>
      <c r="L47" s="13"/>
      <c r="M47" s="13"/>
      <c r="N47" s="13"/>
      <c r="O47" s="13"/>
    </row>
    <row r="48">
      <c r="A48" s="17" t="s">
        <v>119</v>
      </c>
      <c r="D48" s="14" t="s">
        <v>120</v>
      </c>
      <c r="G48" s="16" t="s">
        <v>121</v>
      </c>
      <c r="I48" s="17" t="s">
        <v>119</v>
      </c>
      <c r="L48" s="14" t="s">
        <v>120</v>
      </c>
      <c r="O48" s="16" t="s">
        <v>121</v>
      </c>
    </row>
    <row r="49">
      <c r="A49" s="14" t="str">
        <f>CONCATENATE("M 4 ",G30)</f>
      </c>
      <c r="B49" s="18"/>
      <c r="C49" s="18"/>
      <c r="D49" s="18"/>
      <c r="E49" s="18"/>
      <c r="F49" s="18"/>
      <c r="G49" s="14" t="str">
        <f>CONCATENATE("M 3 ",G22)</f>
      </c>
      <c r="I49" s="14" t="str">
        <f>CONCATENATE("M 8 ",O30)</f>
      </c>
      <c r="J49" s="18"/>
      <c r="K49" s="18"/>
      <c r="L49" s="18"/>
      <c r="M49" s="18"/>
      <c r="N49" s="18"/>
      <c r="O49" s="14" t="str">
        <f>CONCATENATE("M 7 ",O22)</f>
      </c>
    </row>
    <row r="51">
      <c r="F51" t="s">
        <v>130</v>
      </c>
      <c r="G51" s="19"/>
      <c r="N51" t="s">
        <v>130</v>
      </c>
      <c r="O51" s="19"/>
    </row>
    <row r="52">
      <c r="F52" t="s">
        <v>131</v>
      </c>
      <c r="G52" s="19"/>
      <c r="N52" t="s">
        <v>131</v>
      </c>
      <c r="O52" s="19"/>
    </row>
    <row r="60">
      <c r="A60" s="13" t="s">
        <v>145</v>
      </c>
      <c r="B60" s="13"/>
      <c r="C60" s="13"/>
      <c r="D60" s="13"/>
      <c r="E60" s="13"/>
      <c r="F60" s="13"/>
      <c r="G60" s="13"/>
      <c r="I60" s="13" t="s">
        <v>146</v>
      </c>
      <c r="J60" s="13"/>
      <c r="K60" s="13"/>
      <c r="L60" s="13"/>
      <c r="M60" s="13"/>
      <c r="N60" s="13"/>
      <c r="O60" s="13"/>
    </row>
    <row r="61">
      <c r="A61" s="17" t="s">
        <v>119</v>
      </c>
      <c r="D61" s="14" t="s">
        <v>120</v>
      </c>
      <c r="G61" s="16" t="s">
        <v>121</v>
      </c>
      <c r="I61" s="17" t="s">
        <v>119</v>
      </c>
      <c r="L61" s="14" t="s">
        <v>120</v>
      </c>
      <c r="O61" s="16" t="s">
        <v>121</v>
      </c>
    </row>
    <row r="62">
      <c r="A62" s="14" t="str">
        <f>CONCATENATE("M 10 ",G51)</f>
      </c>
      <c r="B62" s="18"/>
      <c r="C62" s="18"/>
      <c r="D62" s="18"/>
      <c r="E62" s="18"/>
      <c r="F62" s="18"/>
      <c r="G62" s="14" t="str">
        <f>CONCATENATE("M 9 ",G43)</f>
      </c>
      <c r="I62" s="14" t="str">
        <f>CONCATENATE("M 12 ",O51)</f>
      </c>
      <c r="J62" s="18"/>
      <c r="K62" s="18"/>
      <c r="L62" s="18"/>
      <c r="M62" s="18"/>
      <c r="N62" s="18"/>
      <c r="O62" s="14" t="str">
        <f>CONCATENATE("M 11 ",O43)</f>
      </c>
    </row>
    <row r="64">
      <c r="F64" t="s">
        <v>130</v>
      </c>
      <c r="G64" s="19"/>
      <c r="N64" t="s">
        <v>130</v>
      </c>
      <c r="O64" s="19"/>
    </row>
    <row r="65">
      <c r="F65" t="s">
        <v>131</v>
      </c>
      <c r="G65" s="19"/>
      <c r="N65" t="s">
        <v>131</v>
      </c>
      <c r="O65" s="19"/>
    </row>
    <row r="73">
      <c r="A73" s="13" t="s">
        <v>147</v>
      </c>
      <c r="B73" s="13"/>
      <c r="C73" s="13"/>
      <c r="D73" s="13"/>
      <c r="E73" s="13"/>
      <c r="F73" s="13"/>
      <c r="G73" s="13"/>
    </row>
    <row r="74">
      <c r="A74" s="17" t="s">
        <v>119</v>
      </c>
      <c r="D74" s="14" t="s">
        <v>120</v>
      </c>
      <c r="G74" s="16" t="s">
        <v>121</v>
      </c>
    </row>
    <row r="75">
      <c r="A75" s="14" t="str">
        <f>CONCATENATE("M 14 ",O64)</f>
      </c>
      <c r="B75" s="18"/>
      <c r="C75" s="18"/>
      <c r="D75" s="18"/>
      <c r="E75" s="18"/>
      <c r="F75" s="18"/>
      <c r="G75" s="14" t="str">
        <f>CONCATENATE("M 13 ",G64)</f>
      </c>
    </row>
    <row r="77">
      <c r="F77" t="s">
        <v>130</v>
      </c>
      <c r="G77" s="19"/>
    </row>
    <row r="78">
      <c r="F78" t="s">
        <v>131</v>
      </c>
      <c r="G78"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7">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60:G60"/>
    <mergeCell ref="I60:O60"/>
    <mergeCell ref="A73:G73"/>
  </mergeCells>
  <printOptions horizontalCentered="true" verticalCentered="true"/>
  <pageSetup fitToHeight="0" fitToWidth="2" orientation="portrait" pageOrder="downThenOver" paperSize="9"/>
  <rowBreaks count="1" manualBreakCount="1">
    <brk id="38"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row>
    <row r="4">
      <c r="A4" s="24" t="str">
        <f>'data'!$A$5</f>
      </c>
    </row>
    <row r="5">
      <c r="A5" s="25" t="str">
        <f>data!$E$3&amp;" "&amp;data!$B$3</f>
      </c>
      <c r="C5" s="23" t="str">
        <f>CONCATENATE("Pool A-1st ",'Pool Matches'!G15)</f>
      </c>
    </row>
    <row r="6">
      <c r="A6" s="26" t="str">
        <f>data!$E$4&amp;" "&amp;data!$B$4</f>
      </c>
      <c r="D6" s="22"/>
      <c r="E6" s="21">
        <v>1</v>
      </c>
    </row>
    <row r="7">
      <c r="A7" s="27" t="str">
        <f>data!$E$5&amp;" "&amp;data!$B$5</f>
      </c>
      <c r="C7" s="23" t="str">
        <f>CONCATENATE("Pool E-2nd ",'Pool Matches'!O16)</f>
      </c>
      <c r="D7" s="15"/>
      <c r="E7" s="20"/>
      <c r="F7" s="22"/>
      <c r="G7" s="20"/>
    </row>
    <row r="8">
      <c r="A8" s="22"/>
      <c r="G8" s="21">
        <v>9</v>
      </c>
    </row>
    <row r="9">
      <c r="A9" s="24" t="str">
        <f>'data'!$A$8</f>
      </c>
      <c r="C9" s="23" t="str">
        <f>CONCATENATE("Pool B-1st ",'Pool Matches'!G32)</f>
      </c>
      <c r="G9" s="20"/>
      <c r="H9" s="22"/>
      <c r="I9" s="20"/>
    </row>
    <row r="10">
      <c r="A10" s="25" t="str">
        <f>data!$E$6&amp;" "&amp;data!$B$6</f>
      </c>
      <c r="D10" s="22"/>
      <c r="E10" s="21">
        <v>2</v>
      </c>
      <c r="F10" s="15"/>
      <c r="G10" s="20"/>
      <c r="I10" s="20"/>
    </row>
    <row r="11">
      <c r="A11" s="26" t="str">
        <f>data!$E$7&amp;" "&amp;data!$B$7</f>
      </c>
      <c r="C11" s="23" t="str">
        <f>CONCATENATE("Pool F-2nd ",'Pool Matches'!O33)</f>
      </c>
      <c r="D11" s="15"/>
      <c r="E11" s="20"/>
      <c r="I11" s="20"/>
    </row>
    <row r="12">
      <c r="A12" s="27" t="str">
        <f>data!$E$8&amp;" "&amp;data!$B$8</f>
      </c>
      <c r="I12" s="21">
        <v>13</v>
      </c>
    </row>
    <row r="13">
      <c r="A13" s="22"/>
      <c r="C13" s="23" t="str">
        <f>CONCATENATE("Pool C-1st ",'Pool Matches'!G49)</f>
      </c>
      <c r="I13" s="20"/>
    </row>
    <row r="14">
      <c r="A14" s="24" t="str">
        <f>'data'!$A$11</f>
      </c>
      <c r="D14" s="22"/>
      <c r="E14" s="21">
        <v>3</v>
      </c>
      <c r="I14" s="20"/>
    </row>
    <row r="15">
      <c r="A15" s="25" t="str">
        <f>data!$E$9&amp;" "&amp;data!$B$9</f>
      </c>
      <c r="C15" s="23" t="str">
        <f>CONCATENATE("Pool G-2nd ",'Pool Matches'!O50)</f>
      </c>
      <c r="D15" s="15"/>
      <c r="E15" s="20"/>
      <c r="F15" s="22"/>
      <c r="G15" s="20"/>
      <c r="I15" s="20"/>
    </row>
    <row r="16">
      <c r="A16" s="26" t="str">
        <f>data!$E$10&amp;" "&amp;data!$B$10</f>
      </c>
      <c r="G16" s="21">
        <v>10</v>
      </c>
      <c r="H16" s="15"/>
      <c r="I16" s="20"/>
    </row>
    <row r="17">
      <c r="A17" s="27" t="str">
        <f>data!$E$11&amp;" "&amp;data!$B$11</f>
      </c>
      <c r="C17" s="23" t="str">
        <f>CONCATENATE("Pool D-1st ",'Pool Matches'!G66)</f>
      </c>
      <c r="G17" s="20"/>
    </row>
    <row r="18">
      <c r="A18" s="22"/>
      <c r="D18" s="22"/>
      <c r="E18" s="21">
        <v>4</v>
      </c>
      <c r="F18" s="15"/>
      <c r="G18" s="20"/>
    </row>
    <row r="19">
      <c r="A19" s="24" t="str">
        <f>'data'!$A$14</f>
      </c>
      <c r="C19" s="23" t="str">
        <f>CONCATENATE("Pool H-2nd ",'Pool Matches'!O67)</f>
      </c>
      <c r="D19" s="15"/>
      <c r="E19" s="20"/>
    </row>
    <row r="20">
      <c r="A20" s="25" t="str">
        <f>data!$E$12&amp;" "&amp;data!$B$12</f>
      </c>
    </row>
    <row r="21">
      <c r="A21" s="26" t="str">
        <f>data!$E$13&amp;" "&amp;data!$B$13</f>
      </c>
    </row>
    <row r="22">
      <c r="A22" s="27" t="str">
        <f>data!$E$14&amp;" "&amp;data!$B$14</f>
      </c>
    </row>
    <row r="23">
      <c r="A2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I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row>
    <row r="4">
      <c r="A4" s="24" t="str">
        <f>'data'!$A$17</f>
      </c>
    </row>
    <row r="5">
      <c r="A5" s="25" t="str">
        <f>data!$E$15&amp;" "&amp;data!$B$15</f>
      </c>
      <c r="C5" s="23" t="str">
        <f>CONCATENATE("Pool E-1st ",'Pool Matches'!O15)</f>
      </c>
    </row>
    <row r="6">
      <c r="A6" s="26" t="str">
        <f>data!$E$16&amp;" "&amp;data!$B$16</f>
      </c>
      <c r="D6" s="22"/>
      <c r="E6" s="21">
        <v>5</v>
      </c>
    </row>
    <row r="7">
      <c r="A7" s="27" t="str">
        <f>data!$E$17&amp;" "&amp;data!$B$17</f>
      </c>
      <c r="C7" s="23" t="str">
        <f>CONCATENATE("Pool A-2nd ",'Pool Matches'!G16)</f>
      </c>
      <c r="D7" s="15"/>
      <c r="E7" s="20"/>
      <c r="F7" s="22"/>
      <c r="G7" s="20"/>
    </row>
    <row r="8">
      <c r="A8" s="22"/>
      <c r="G8" s="21">
        <v>11</v>
      </c>
    </row>
    <row r="9">
      <c r="A9" s="24" t="str">
        <f>'data'!$A$20</f>
      </c>
      <c r="C9" s="23" t="str">
        <f>CONCATENATE("Pool F-1st ",'Pool Matches'!O32)</f>
      </c>
      <c r="G9" s="20"/>
      <c r="H9" s="22"/>
      <c r="I9" s="20"/>
    </row>
    <row r="10">
      <c r="A10" s="25" t="str">
        <f>data!$E$18&amp;" "&amp;data!$B$18</f>
      </c>
      <c r="D10" s="22"/>
      <c r="E10" s="21">
        <v>6</v>
      </c>
      <c r="F10" s="15"/>
      <c r="G10" s="20"/>
      <c r="I10" s="20"/>
    </row>
    <row r="11">
      <c r="A11" s="26" t="str">
        <f>data!$E$19&amp;" "&amp;data!$B$19</f>
      </c>
      <c r="C11" s="23" t="str">
        <f>CONCATENATE("Pool B-2nd ",'Pool Matches'!G33)</f>
      </c>
      <c r="D11" s="15"/>
      <c r="E11" s="20"/>
      <c r="I11" s="20"/>
    </row>
    <row r="12">
      <c r="A12" s="27" t="str">
        <f>data!$E$20&amp;" "&amp;data!$B$20</f>
      </c>
      <c r="I12" s="21">
        <v>14</v>
      </c>
    </row>
    <row r="13">
      <c r="A13" s="22"/>
      <c r="C13" s="23" t="str">
        <f>CONCATENATE("Pool G-1st ",'Pool Matches'!O49)</f>
      </c>
      <c r="I13" s="20"/>
    </row>
    <row r="14">
      <c r="A14" s="24" t="str">
        <f>'data'!$A$23</f>
      </c>
      <c r="D14" s="22"/>
      <c r="E14" s="21">
        <v>7</v>
      </c>
      <c r="I14" s="20"/>
    </row>
    <row r="15">
      <c r="A15" s="25" t="str">
        <f>data!$E$21&amp;" "&amp;data!$B$21</f>
      </c>
      <c r="C15" s="23" t="str">
        <f>CONCATENATE("Pool C-2nd ",'Pool Matches'!G50)</f>
      </c>
      <c r="D15" s="15"/>
      <c r="E15" s="20"/>
      <c r="F15" s="22"/>
      <c r="G15" s="20"/>
      <c r="I15" s="20"/>
    </row>
    <row r="16">
      <c r="A16" s="26" t="str">
        <f>data!$E$22&amp;" "&amp;data!$B$22</f>
      </c>
      <c r="G16" s="21">
        <v>12</v>
      </c>
      <c r="H16" s="15"/>
      <c r="I16" s="20"/>
    </row>
    <row r="17">
      <c r="A17" s="27" t="str">
        <f>data!$E$23&amp;" "&amp;data!$B$23</f>
      </c>
      <c r="C17" s="23" t="str">
        <f>CONCATENATE("Pool H-1st ",'Pool Matches'!O66)</f>
      </c>
      <c r="G17" s="20"/>
    </row>
    <row r="18">
      <c r="A18" s="22"/>
      <c r="D18" s="22"/>
      <c r="E18" s="21">
        <v>8</v>
      </c>
      <c r="F18" s="15"/>
      <c r="G18" s="20"/>
    </row>
    <row r="19">
      <c r="A19" s="24" t="str">
        <f>'data'!$A$26</f>
      </c>
      <c r="C19" s="23" t="str">
        <f>CONCATENATE("Pool D-2nd ",'Pool Matches'!G67)</f>
      </c>
      <c r="D19" s="15"/>
      <c r="E19" s="20"/>
    </row>
    <row r="20">
      <c r="A20" s="25" t="str">
        <f>data!$E$24&amp;" "&amp;data!$B$24</f>
      </c>
    </row>
    <row r="21">
      <c r="A21" s="26" t="str">
        <f>data!$E$25&amp;" "&amp;data!$B$25</f>
      </c>
    </row>
    <row r="22">
      <c r="A22" s="27" t="str">
        <f>data!$E$26&amp;" "&amp;data!$B$26</f>
      </c>
    </row>
    <row r="23">
      <c r="A2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I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'data'!$E$15</f>
      </c>
      <c r="B1" s="29" t="str">
        <f>'data'!D15</f>
      </c>
    </row>
    <row r="2" ht="270" customHeight="true">
      <c r="A2" s="28" t="str">
        <f>'data'!$E$16</f>
      </c>
      <c r="B2" s="29" t="str">
        <f>'data'!D16</f>
      </c>
    </row>
    <row r="3" ht="270" customHeight="true">
      <c r="A3" s="28" t="str">
        <f>'data'!$E$17</f>
      </c>
      <c r="B3" s="29" t="str">
        <f>'data'!D17</f>
      </c>
    </row>
    <row r="4" ht="270" customHeight="true">
      <c r="A4" s="28" t="str">
        <f>'data'!$E$18</f>
      </c>
      <c r="B4" s="29" t="str">
        <f>'data'!D18</f>
      </c>
    </row>
    <row r="5" ht="270" customHeight="true">
      <c r="A5" s="28" t="str">
        <f>'data'!$E$19</f>
      </c>
      <c r="B5" s="29" t="str">
        <f>'data'!D19</f>
      </c>
    </row>
    <row r="6" ht="270" customHeight="true">
      <c r="A6" s="28" t="str">
        <f>'data'!$E$20</f>
      </c>
      <c r="B6" s="29" t="str">
        <f>'data'!D20</f>
      </c>
    </row>
    <row r="7" ht="270" customHeight="true">
      <c r="A7" s="28" t="str">
        <f>'data'!$E$21</f>
      </c>
      <c r="B7" s="29" t="str">
        <f>'data'!D21</f>
      </c>
    </row>
    <row r="8" ht="270" customHeight="true">
      <c r="A8" s="28" t="str">
        <f>'data'!$E$22</f>
      </c>
      <c r="B8" s="29" t="str">
        <f>'data'!D22</f>
      </c>
    </row>
    <row r="9" ht="270" customHeight="true">
      <c r="A9" s="28" t="str">
        <f>'data'!$E$23</f>
      </c>
      <c r="B9" s="29" t="str">
        <f>'data'!D23</f>
      </c>
    </row>
    <row r="10" ht="270" customHeight="true">
      <c r="A10" s="28" t="str">
        <f>'data'!$E$24</f>
      </c>
      <c r="B10" s="29" t="str">
        <f>'data'!D24</f>
      </c>
    </row>
    <row r="11" ht="270" customHeight="true">
      <c r="A11" s="28" t="str">
        <f>'data'!$E$25</f>
      </c>
      <c r="B11" s="29" t="str">
        <f>'data'!D25</f>
      </c>
    </row>
    <row r="12" ht="270" customHeight="true">
      <c r="A12" s="28" t="str">
        <f>'data'!$E$26</f>
      </c>
      <c r="B12" s="29"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2.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34</v>
      </c>
    </row>
    <row r="8" ht="409" customHeight="true">
      <c r="A8" s="30" t="s">
        <v>34</v>
      </c>
    </row>
    <row r="9" ht="409" customHeight="true">
      <c r="A9" s="30" t="s">
        <v>38</v>
      </c>
    </row>
    <row r="10" ht="409" customHeight="true">
      <c r="A10" s="30" t="s">
        <v>38</v>
      </c>
    </row>
    <row r="11" ht="409" customHeight="true">
      <c r="A11" s="30" t="s">
        <v>41</v>
      </c>
    </row>
    <row r="12" ht="409" customHeight="true">
      <c r="A12" s="30" t="s">
        <v>41</v>
      </c>
    </row>
    <row r="13" ht="409" customHeight="true">
      <c r="A13" s="30" t="s">
        <v>46</v>
      </c>
    </row>
    <row r="14" ht="409" customHeight="true">
      <c r="A14" s="30" t="s">
        <v>46</v>
      </c>
    </row>
    <row r="15" ht="409" customHeight="true">
      <c r="A15" s="30" t="s">
        <v>50</v>
      </c>
    </row>
    <row r="16" ht="409" customHeight="true">
      <c r="A16" s="30" t="s">
        <v>50</v>
      </c>
    </row>
    <row r="17" ht="409" customHeight="true">
      <c r="A17" s="30" t="s">
        <v>54</v>
      </c>
    </row>
    <row r="18" ht="409" customHeight="true">
      <c r="A18" s="30" t="s">
        <v>54</v>
      </c>
    </row>
    <row r="19" ht="409" customHeight="true">
      <c r="A19" s="30" t="s">
        <v>59</v>
      </c>
    </row>
    <row r="20" ht="409" customHeight="true">
      <c r="A20" s="30" t="s">
        <v>59</v>
      </c>
    </row>
    <row r="21" ht="409" customHeight="true">
      <c r="A21" s="30" t="s">
        <v>63</v>
      </c>
    </row>
    <row r="22" ht="409" customHeight="true">
      <c r="A22" s="30" t="s">
        <v>63</v>
      </c>
    </row>
    <row r="23" ht="409" customHeight="true">
      <c r="A23" s="30" t="s">
        <v>67</v>
      </c>
    </row>
    <row r="24" ht="409" customHeight="true">
      <c r="A24" s="30" t="s">
        <v>67</v>
      </c>
    </row>
    <row r="25" ht="409" customHeight="true">
      <c r="A25" s="30" t="s">
        <v>72</v>
      </c>
    </row>
    <row r="26" ht="409" customHeight="true">
      <c r="A26" s="30" t="s">
        <v>72</v>
      </c>
    </row>
    <row r="27" ht="409" customHeight="true">
      <c r="A27" s="30" t="s">
        <v>73</v>
      </c>
    </row>
    <row r="28" ht="409" customHeight="true">
      <c r="A28" s="30" t="s">
        <v>73</v>
      </c>
    </row>
    <row r="29" ht="409" customHeight="true">
      <c r="A29" s="30" t="s">
        <v>77</v>
      </c>
    </row>
    <row r="30" ht="409" customHeight="true">
      <c r="A30" s="30" t="s">
        <v>77</v>
      </c>
    </row>
    <row r="31" ht="409" customHeight="true">
      <c r="A31" s="30" t="s">
        <v>82</v>
      </c>
    </row>
    <row r="32" ht="409" customHeight="true">
      <c r="A32" s="30" t="s">
        <v>82</v>
      </c>
    </row>
    <row r="33" ht="409" customHeight="true">
      <c r="A33" s="30" t="s">
        <v>86</v>
      </c>
    </row>
    <row r="34" ht="409" customHeight="true">
      <c r="A34" s="30" t="s">
        <v>86</v>
      </c>
    </row>
    <row r="35" ht="409" customHeight="true">
      <c r="A35" s="30" t="s">
        <v>90</v>
      </c>
    </row>
    <row r="36" ht="409" customHeight="true">
      <c r="A36" s="30" t="s">
        <v>90</v>
      </c>
    </row>
    <row r="37" ht="409" customHeight="true">
      <c r="A37" s="30" t="s">
        <v>95</v>
      </c>
    </row>
    <row r="38" ht="409" customHeight="true">
      <c r="A38" s="30" t="s">
        <v>95</v>
      </c>
    </row>
    <row r="39" ht="409" customHeight="true">
      <c r="A39" s="30" t="s">
        <v>99</v>
      </c>
    </row>
    <row r="40" ht="409" customHeight="true">
      <c r="A40" s="30" t="s">
        <v>99</v>
      </c>
    </row>
    <row r="41" ht="409" customHeight="true">
      <c r="A41" s="30" t="s">
        <v>103</v>
      </c>
    </row>
    <row r="42" ht="409" customHeight="true">
      <c r="A42" s="30" t="s">
        <v>103</v>
      </c>
    </row>
    <row r="43" ht="409" customHeight="true">
      <c r="A43" s="30" t="s">
        <v>108</v>
      </c>
    </row>
    <row r="44" ht="409" customHeight="true">
      <c r="A44" s="30" t="s">
        <v>108</v>
      </c>
    </row>
    <row r="45" ht="409" customHeight="true">
      <c r="A45" s="30" t="s">
        <v>112</v>
      </c>
    </row>
    <row r="46" ht="409" customHeight="true">
      <c r="A46" s="30" t="s">
        <v>112</v>
      </c>
    </row>
    <row r="47" ht="409" customHeight="true">
      <c r="A47" s="30" t="s">
        <v>116</v>
      </c>
    </row>
    <row r="48" ht="409" customHeight="true">
      <c r="A48" s="30" t="s">
        <v>116</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24" manualBreakCount="24">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