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8"/>
  </bookViews>
  <sheets>
    <sheet name="data" sheetId="1" r:id="rId1"/>
    <sheet name="Time Estimator" sheetId="2" r:id="rId4"/>
    <sheet name="Pool Draw" sheetId="3" r:id="rId5"/>
    <sheet name="Pool Matches" sheetId="4" r:id="rId6"/>
    <sheet name="Elimination Matches" sheetId="5" r:id="rId7"/>
    <sheet name="Names to Print" sheetId="6" r:id="rId8"/>
    <sheet name="Tree 1" sheetId="8" r:id="rId11"/>
    <sheet name="Tree 2" sheetId="9" r:id="rId12"/>
    <sheet name="Tags" sheetId="10" r:id="rId13"/>
  </sheets>
  <definedNames>
    <definedName localSheetId="2" name="_xlnm.Print_Area">'Pool Draw'!$B$2:$F$12</definedName>
    <definedName localSheetId="3" name="_xlnm.Print_Area">'Pool Matches'!$A$1:$O$118</definedName>
    <definedName localSheetId="5" name="_xlnm.Print_Area">'Names to Print'!$A$1:$B$10</definedName>
    <definedName localSheetId="4" name="_xlnm.Print_Area">'Elimination Matches'!$A$1:$O$64</definedName>
  </definedNames>
  <calcPr calcId="122211"/>
</workbook>
</file>

<file path=xl/sharedStrings.xml><?xml version="1.0" encoding="utf-8"?>
<sst xmlns="http://schemas.openxmlformats.org/spreadsheetml/2006/main" count="69" uniqueCount="69">
  <si>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</si>
  <si>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</si>
  <si>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</si>
  <si>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</si>
  <si>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</si>
  <si>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</si>
  <si>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</si>
  <si>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</si>
  <si>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</si>
  <si>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</si>
  <si>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</si>
  <si>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</si>
  <si>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</si>
  <si>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</si>
  <si>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</si>
  <si>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</si>
  <si>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</si>
  <si>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</si>
  <si>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</si>
  <si>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</si>
  <si>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Oliver Walker</t>
  </si>
  <si>
    <t>Team Epsilon</t>
  </si>
  <si>
    <t>Robert Young</t>
  </si>
  <si>
    <t>Team Gamma</t>
  </si>
  <si>
    <t>Pool B</t>
  </si>
  <si>
    <t>Luke Rodriguez</t>
  </si>
  <si>
    <t>Steven Hernandez</t>
  </si>
  <si>
    <t>Team Delta</t>
  </si>
  <si>
    <t>Michael Lewis</t>
  </si>
  <si>
    <t>Pool C</t>
  </si>
  <si>
    <t>Paul Hall</t>
  </si>
  <si>
    <t>Nathan Lee</t>
  </si>
  <si>
    <t>Thomas King</t>
  </si>
  <si>
    <t>Shiaijo A</t>
  </si>
  <si>
    <t>Shiaijo B</t>
  </si>
  <si>
    <t>White</t>
  </si>
  <si>
    <t>vs</t>
  </si>
  <si>
    <t>Red</t>
  </si>
  <si>
    <t>V</t>
  </si>
  <si>
    <t>P</t>
  </si>
  <si>
    <t>Victories / Points</t>
  </si>
  <si>
    <t xml:space="preserve">1. </t>
  </si>
  <si>
    <t xml:space="preserve">2. </t>
  </si>
  <si>
    <t xml:space="preserve">3. </t>
  </si>
  <si>
    <t xml:space="preserve">4. </t>
  </si>
  <si>
    <t>A1</t>
  </si>
  <si>
    <t>A2</t>
  </si>
  <si>
    <t>A3</t>
  </si>
  <si>
    <t>A4</t>
  </si>
  <si>
    <t>B1</t>
  </si>
  <si>
    <t>B2</t>
  </si>
  <si>
    <t>B3</t>
  </si>
  <si>
    <t>C1</t>
  </si>
  <si>
    <t>C2</t>
  </si>
  <si>
    <t>C3</t>
  </si>
  <si>
    <t>Round 1 - Match 1</t>
  </si>
  <si>
    <t>1.</t>
  </si>
  <si>
    <t>2.</t>
  </si>
  <si>
    <t>Round 1 - Match 2</t>
  </si>
  <si>
    <t>Round 2 - Match 3</t>
  </si>
  <si>
    <t>Round 2 - Match 4</t>
  </si>
  <si>
    <t>Round 3 -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</si>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</sst>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27</v>
      </c>
    </row>
    <row r="12">
      <c r="A12" t="s">
        <v>29</v>
      </c>
      <c r="B12" t="s">
        <v>32</v>
      </c>
      <c r="C12"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62</v>
      </c>
      <c r="F13" s="13"/>
      <c r="G13" s="13"/>
      <c r="H13" s="13"/>
    </row>
    <row r="14">
      <c r="A14">
        <v>2</v>
      </c>
      <c r="E14" s="14" t="s">
        <v>63</v>
      </c>
      <c r="F14" s="14"/>
      <c r="G14" s="14"/>
      <c r="H14" s="29" t="str">
        <f>H2</f>
      </c>
    </row>
    <row r="15">
      <c r="E15" s="14" t="s">
        <v>64</v>
      </c>
      <c r="F15" s="14"/>
      <c r="G15" s="14"/>
      <c r="H15" s="29" t="str">
        <f>H8</f>
      </c>
    </row>
    <row r="16">
      <c r="E16" s="14" t="s">
        <v>65</v>
      </c>
      <c r="F16" s="14"/>
      <c r="G16" s="14"/>
      <c r="H16" s="29" t="str">
        <f>H14+H15</f>
      </c>
    </row>
    <row r="17">
      <c r="E17" s="14" t="s">
        <v>66</v>
      </c>
      <c r="F17" s="14"/>
      <c r="G17" s="14"/>
      <c r="H17" s="29" t="str">
        <f>H16/A14</f>
      </c>
    </row>
    <row r="18">
      <c r="E18" s="13" t="s">
        <v>67</v>
      </c>
      <c r="F18" s="13"/>
      <c r="G18" s="13"/>
      <c r="H18" s="30">
        <v>0.375</v>
      </c>
    </row>
    <row r="19">
      <c r="E19" s="13" t="s">
        <v>68</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c r="C4" s="14"/>
      <c r="D4" s="14"/>
      <c r="E4" s="14"/>
      <c r="F4" s="14"/>
      <c r="G4" s="14" t="str">
        <f>data!$B$3</f>
      </c>
      <c r="I4" s="14" t="str">
        <f>data!$B$11</f>
      </c>
      <c r="J4" s="14"/>
      <c r="K4" s="14"/>
      <c r="L4" s="14"/>
      <c r="M4" s="14"/>
      <c r="N4" s="14"/>
      <c r="O4" s="14" t="str">
        <f>data!$B$10</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data!$B$4</f>
      </c>
      <c r="B11" s="14" t="s">
        <v>38</v>
      </c>
      <c r="C11" s="14" t="s">
        <v>39</v>
      </c>
      <c r="D11" s="14"/>
      <c r="E11" s="14" t="s">
        <v>39</v>
      </c>
      <c r="F11" s="14" t="s">
        <v>38</v>
      </c>
      <c r="G11" s="14" t="str">
        <f>data!$B$3</f>
      </c>
      <c r="I11" s="14" t="str">
        <f>data!$B$11</f>
      </c>
      <c r="J11" s="14" t="s">
        <v>38</v>
      </c>
      <c r="K11" s="14" t="s">
        <v>39</v>
      </c>
      <c r="L11" s="14"/>
      <c r="M11" s="14" t="s">
        <v>39</v>
      </c>
      <c r="N11" s="14" t="s">
        <v>38</v>
      </c>
      <c r="O11" s="14" t="str">
        <f>data!$B$10</f>
      </c>
    </row>
    <row r="12">
      <c r="A12" s="14" t="s">
        <v>40</v>
      </c>
      <c r="B12" s="14"/>
      <c r="C12" s="14"/>
      <c r="D12" s="14"/>
      <c r="E12" s="14"/>
      <c r="F12" s="14"/>
      <c r="G12" s="14" t="s">
        <v>40</v>
      </c>
      <c r="I12" s="14" t="s">
        <v>40</v>
      </c>
      <c r="J12" s="14"/>
      <c r="K12" s="14"/>
      <c r="L12" s="14"/>
      <c r="M12" s="14"/>
      <c r="N12" s="14"/>
      <c r="O12" s="14" t="s">
        <v>40</v>
      </c>
    </row>
    <row r="15">
      <c r="A15" s="17" t="s">
        <v>35</v>
      </c>
      <c r="B15" s="14"/>
      <c r="C15" s="14"/>
      <c r="D15" s="14" t="s">
        <v>36</v>
      </c>
      <c r="E15" s="14"/>
      <c r="F15" s="14"/>
      <c r="G15" s="16" t="s">
        <v>37</v>
      </c>
      <c r="I15" s="17" t="s">
        <v>35</v>
      </c>
      <c r="J15" s="14"/>
      <c r="K15" s="14"/>
      <c r="L15" s="14" t="s">
        <v>36</v>
      </c>
      <c r="M15" s="14"/>
      <c r="N15" s="14"/>
      <c r="O15" s="16" t="s">
        <v>37</v>
      </c>
    </row>
    <row r="16">
      <c r="A16" s="14" t="str">
        <f>data!$B$4</f>
      </c>
      <c r="B16" s="14"/>
      <c r="C16" s="14"/>
      <c r="D16" s="14"/>
      <c r="E16" s="14"/>
      <c r="F16" s="14"/>
      <c r="G16" s="14" t="str">
        <f>data!$B$5</f>
      </c>
      <c r="I16" s="14" t="str">
        <f>data!$B$12</f>
      </c>
      <c r="J16" s="14"/>
      <c r="K16" s="14"/>
      <c r="L16" s="14"/>
      <c r="M16" s="14"/>
      <c r="N16" s="14"/>
      <c r="O16" s="14" t="str">
        <f>data!$B$10</f>
      </c>
    </row>
    <row r="17">
      <c r="A17" s="14">
        <v>1</v>
      </c>
      <c r="B17" s="14"/>
      <c r="C17" s="14"/>
      <c r="D17" s="14"/>
      <c r="E17" s="14"/>
      <c r="F17" s="14"/>
      <c r="G17" s="14">
        <v>1</v>
      </c>
      <c r="I17" s="14">
        <v>1</v>
      </c>
      <c r="J17" s="14"/>
      <c r="K17" s="14"/>
      <c r="L17" s="14"/>
      <c r="M17" s="14"/>
      <c r="N17" s="14"/>
      <c r="O17" s="14">
        <v>1</v>
      </c>
    </row>
    <row r="18">
      <c r="A18" s="14">
        <v>2</v>
      </c>
      <c r="B18" s="14"/>
      <c r="C18" s="14"/>
      <c r="D18" s="14"/>
      <c r="E18" s="14"/>
      <c r="F18" s="14"/>
      <c r="G18" s="14">
        <v>2</v>
      </c>
      <c r="I18" s="14">
        <v>2</v>
      </c>
      <c r="J18" s="14"/>
      <c r="K18" s="14"/>
      <c r="L18" s="14"/>
      <c r="M18" s="14"/>
      <c r="N18" s="14"/>
      <c r="O18" s="14">
        <v>2</v>
      </c>
    </row>
    <row r="19">
      <c r="A19" s="14">
        <v>3</v>
      </c>
      <c r="B19" s="14"/>
      <c r="C19" s="14"/>
      <c r="D19" s="14"/>
      <c r="E19" s="14"/>
      <c r="F19" s="14"/>
      <c r="G19" s="14">
        <v>3</v>
      </c>
      <c r="I19" s="14">
        <v>3</v>
      </c>
      <c r="J19" s="14"/>
      <c r="K19" s="14"/>
      <c r="L19" s="14"/>
      <c r="M19" s="14"/>
      <c r="N19" s="14"/>
      <c r="O19" s="14">
        <v>3</v>
      </c>
    </row>
    <row r="20">
      <c r="A20" s="14">
        <v>4</v>
      </c>
      <c r="B20" s="14"/>
      <c r="C20" s="14"/>
      <c r="D20" s="14"/>
      <c r="E20" s="14"/>
      <c r="F20" s="14"/>
      <c r="G20" s="14">
        <v>4</v>
      </c>
      <c r="I20" s="14">
        <v>4</v>
      </c>
      <c r="J20" s="14"/>
      <c r="K20" s="14"/>
      <c r="L20" s="14"/>
      <c r="M20" s="14"/>
      <c r="N20" s="14"/>
      <c r="O20" s="14">
        <v>4</v>
      </c>
    </row>
    <row r="21">
      <c r="A21" s="14">
        <v>5</v>
      </c>
      <c r="B21" s="14"/>
      <c r="C21" s="14"/>
      <c r="D21" s="14"/>
      <c r="E21" s="14"/>
      <c r="F21" s="14"/>
      <c r="G21" s="14">
        <v>5</v>
      </c>
      <c r="I21" s="14">
        <v>5</v>
      </c>
      <c r="J21" s="14"/>
      <c r="K21" s="14"/>
      <c r="L21" s="14"/>
      <c r="M21" s="14"/>
      <c r="N21" s="14"/>
      <c r="O21" s="14">
        <v>5</v>
      </c>
    </row>
    <row r="23">
      <c r="A23" s="14" t="str">
        <f>data!$B$4</f>
      </c>
      <c r="B23" s="14" t="s">
        <v>38</v>
      </c>
      <c r="C23" s="14" t="s">
        <v>39</v>
      </c>
      <c r="D23" s="14"/>
      <c r="E23" s="14" t="s">
        <v>39</v>
      </c>
      <c r="F23" s="14" t="s">
        <v>38</v>
      </c>
      <c r="G23" s="14" t="str">
        <f>data!$B$5</f>
      </c>
      <c r="I23" s="14" t="str">
        <f>data!$B$12</f>
      </c>
      <c r="J23" s="14" t="s">
        <v>38</v>
      </c>
      <c r="K23" s="14" t="s">
        <v>39</v>
      </c>
      <c r="L23" s="14"/>
      <c r="M23" s="14" t="s">
        <v>39</v>
      </c>
      <c r="N23" s="14" t="s">
        <v>38</v>
      </c>
      <c r="O23" s="14" t="str">
        <f>data!$B$10</f>
      </c>
    </row>
    <row r="24">
      <c r="A24" s="14" t="s">
        <v>40</v>
      </c>
      <c r="B24" s="14"/>
      <c r="C24" s="14"/>
      <c r="D24" s="14"/>
      <c r="E24" s="14"/>
      <c r="F24" s="14"/>
      <c r="G24" s="14" t="s">
        <v>40</v>
      </c>
      <c r="I24" s="14" t="s">
        <v>40</v>
      </c>
      <c r="J24" s="14"/>
      <c r="K24" s="14"/>
      <c r="L24" s="14"/>
      <c r="M24" s="14"/>
      <c r="N24" s="14"/>
      <c r="O24" s="14" t="s">
        <v>40</v>
      </c>
    </row>
    <row r="27">
      <c r="A27" s="17" t="s">
        <v>35</v>
      </c>
      <c r="B27" s="14"/>
      <c r="C27" s="14"/>
      <c r="D27" s="14" t="s">
        <v>36</v>
      </c>
      <c r="E27" s="14"/>
      <c r="F27" s="14"/>
      <c r="G27" s="16" t="s">
        <v>37</v>
      </c>
      <c r="I27" s="17" t="s">
        <v>35</v>
      </c>
      <c r="J27" s="14"/>
      <c r="K27" s="14"/>
      <c r="L27" s="14" t="s">
        <v>36</v>
      </c>
      <c r="M27" s="14"/>
      <c r="N27" s="14"/>
      <c r="O27" s="16" t="s">
        <v>37</v>
      </c>
    </row>
    <row r="28">
      <c r="A28" s="14" t="str">
        <f>data!$B$6</f>
      </c>
      <c r="B28" s="14"/>
      <c r="C28" s="14"/>
      <c r="D28" s="14"/>
      <c r="E28" s="14"/>
      <c r="F28" s="14"/>
      <c r="G28" s="14" t="str">
        <f>data!$B$5</f>
      </c>
      <c r="I28" s="14" t="str">
        <f>data!$B$12</f>
      </c>
      <c r="J28" s="14"/>
      <c r="K28" s="14"/>
      <c r="L28" s="14"/>
      <c r="M28" s="14"/>
      <c r="N28" s="14"/>
      <c r="O28" s="14" t="str">
        <f>data!$B$11</f>
      </c>
    </row>
    <row r="29">
      <c r="A29" s="14">
        <v>1</v>
      </c>
      <c r="B29" s="14"/>
      <c r="C29" s="14"/>
      <c r="D29" s="14"/>
      <c r="E29" s="14"/>
      <c r="F29" s="14"/>
      <c r="G29" s="14">
        <v>1</v>
      </c>
      <c r="I29" s="14">
        <v>1</v>
      </c>
      <c r="J29" s="14"/>
      <c r="K29" s="14"/>
      <c r="L29" s="14"/>
      <c r="M29" s="14"/>
      <c r="N29" s="14"/>
      <c r="O29" s="14">
        <v>1</v>
      </c>
    </row>
    <row r="30">
      <c r="A30" s="14">
        <v>2</v>
      </c>
      <c r="B30" s="14"/>
      <c r="C30" s="14"/>
      <c r="D30" s="14"/>
      <c r="E30" s="14"/>
      <c r="F30" s="14"/>
      <c r="G30" s="14">
        <v>2</v>
      </c>
      <c r="I30" s="14">
        <v>2</v>
      </c>
      <c r="J30" s="14"/>
      <c r="K30" s="14"/>
      <c r="L30" s="14"/>
      <c r="M30" s="14"/>
      <c r="N30" s="14"/>
      <c r="O30" s="14">
        <v>2</v>
      </c>
    </row>
    <row r="31">
      <c r="A31" s="14">
        <v>3</v>
      </c>
      <c r="B31" s="14"/>
      <c r="C31" s="14"/>
      <c r="D31" s="14"/>
      <c r="E31" s="14"/>
      <c r="F31" s="14"/>
      <c r="G31" s="14">
        <v>3</v>
      </c>
      <c r="I31" s="14">
        <v>3</v>
      </c>
      <c r="J31" s="14"/>
      <c r="K31" s="14"/>
      <c r="L31" s="14"/>
      <c r="M31" s="14"/>
      <c r="N31" s="14"/>
      <c r="O31" s="14">
        <v>3</v>
      </c>
    </row>
    <row r="32">
      <c r="A32" s="14">
        <v>4</v>
      </c>
      <c r="B32" s="14"/>
      <c r="C32" s="14"/>
      <c r="D32" s="14"/>
      <c r="E32" s="14"/>
      <c r="F32" s="14"/>
      <c r="G32" s="14">
        <v>4</v>
      </c>
      <c r="I32" s="14">
        <v>4</v>
      </c>
      <c r="J32" s="14"/>
      <c r="K32" s="14"/>
      <c r="L32" s="14"/>
      <c r="M32" s="14"/>
      <c r="N32" s="14"/>
      <c r="O32" s="14">
        <v>4</v>
      </c>
    </row>
    <row r="33">
      <c r="A33" s="14">
        <v>5</v>
      </c>
      <c r="B33" s="14"/>
      <c r="C33" s="14"/>
      <c r="D33" s="14"/>
      <c r="E33" s="14"/>
      <c r="F33" s="14"/>
      <c r="G33" s="14">
        <v>5</v>
      </c>
      <c r="I33" s="14">
        <v>5</v>
      </c>
      <c r="J33" s="14"/>
      <c r="K33" s="14"/>
      <c r="L33" s="14"/>
      <c r="M33" s="14"/>
      <c r="N33" s="14"/>
      <c r="O33" s="14">
        <v>5</v>
      </c>
    </row>
    <row r="35">
      <c r="A35" s="14" t="str">
        <f>data!$B$6</f>
      </c>
      <c r="B35" s="14" t="s">
        <v>38</v>
      </c>
      <c r="C35" s="14" t="s">
        <v>39</v>
      </c>
      <c r="D35" s="14"/>
      <c r="E35" s="14" t="s">
        <v>39</v>
      </c>
      <c r="F35" s="14" t="s">
        <v>38</v>
      </c>
      <c r="G35" s="14" t="str">
        <f>data!$B$5</f>
      </c>
      <c r="I35" s="14" t="str">
        <f>data!$B$12</f>
      </c>
      <c r="J35" s="14" t="s">
        <v>38</v>
      </c>
      <c r="K35" s="14" t="s">
        <v>39</v>
      </c>
      <c r="L35" s="14"/>
      <c r="M35" s="14" t="s">
        <v>39</v>
      </c>
      <c r="N35" s="14" t="s">
        <v>38</v>
      </c>
      <c r="O35" s="14" t="str">
        <f>data!$B$11</f>
      </c>
    </row>
    <row r="36">
      <c r="A36" s="14" t="s">
        <v>40</v>
      </c>
      <c r="B36" s="14"/>
      <c r="C36" s="14"/>
      <c r="D36" s="14"/>
      <c r="E36" s="14"/>
      <c r="F36" s="14"/>
      <c r="G36" s="14" t="s">
        <v>40</v>
      </c>
      <c r="I36" s="14" t="s">
        <v>40</v>
      </c>
      <c r="J36" s="14"/>
      <c r="K36" s="14"/>
      <c r="L36" s="14"/>
      <c r="M36" s="14"/>
      <c r="N36" s="14"/>
      <c r="O36" s="14" t="s">
        <v>40</v>
      </c>
    </row>
    <row r="39">
      <c r="A39" s="17" t="s">
        <v>35</v>
      </c>
      <c r="B39" s="14"/>
      <c r="C39" s="14"/>
      <c r="D39" s="14" t="s">
        <v>36</v>
      </c>
      <c r="E39" s="14"/>
      <c r="F39" s="14"/>
      <c r="G39" s="16" t="s">
        <v>37</v>
      </c>
    </row>
    <row r="40">
      <c r="A40" s="14" t="str">
        <f>data!$B$6</f>
      </c>
      <c r="B40" s="14"/>
      <c r="C40" s="14"/>
      <c r="D40" s="14"/>
      <c r="E40" s="14"/>
      <c r="F40" s="14"/>
      <c r="G40" s="14" t="str">
        <f>data!$B$3</f>
      </c>
    </row>
    <row r="41">
      <c r="A41" s="14">
        <v>1</v>
      </c>
      <c r="B41" s="14"/>
      <c r="C41" s="14"/>
      <c r="D41" s="14"/>
      <c r="E41" s="14"/>
      <c r="F41" s="14"/>
      <c r="G41" s="14">
        <v>1</v>
      </c>
    </row>
    <row r="42">
      <c r="A42" s="14">
        <v>2</v>
      </c>
      <c r="B42" s="14"/>
      <c r="C42" s="14"/>
      <c r="D42" s="14"/>
      <c r="E42" s="14"/>
      <c r="F42" s="14"/>
      <c r="G42" s="14">
        <v>2</v>
      </c>
    </row>
    <row r="43">
      <c r="A43" s="14">
        <v>3</v>
      </c>
      <c r="B43" s="14"/>
      <c r="C43" s="14"/>
      <c r="D43" s="14"/>
      <c r="E43" s="14"/>
      <c r="F43" s="14"/>
      <c r="G43" s="14">
        <v>3</v>
      </c>
    </row>
    <row r="44">
      <c r="A44" s="14">
        <v>4</v>
      </c>
      <c r="B44" s="14"/>
      <c r="C44" s="14"/>
      <c r="D44" s="14"/>
      <c r="E44" s="14"/>
      <c r="F44" s="14"/>
      <c r="G44" s="14">
        <v>4</v>
      </c>
    </row>
    <row r="45">
      <c r="A45" s="14">
        <v>5</v>
      </c>
      <c r="B45" s="14"/>
      <c r="C45" s="14"/>
      <c r="D45" s="14"/>
      <c r="E45" s="14"/>
      <c r="F45" s="14"/>
      <c r="G45" s="14">
        <v>5</v>
      </c>
    </row>
    <row r="47">
      <c r="A47" s="14" t="str">
        <f>data!$B$6</f>
      </c>
      <c r="B47" s="14" t="s">
        <v>38</v>
      </c>
      <c r="C47" s="14" t="s">
        <v>39</v>
      </c>
      <c r="D47" s="14"/>
      <c r="E47" s="14" t="s">
        <v>39</v>
      </c>
      <c r="F47" s="14" t="s">
        <v>38</v>
      </c>
      <c r="G47" s="14" t="str">
        <f>data!$B$3</f>
      </c>
    </row>
    <row r="48">
      <c r="A48" s="14" t="s">
        <v>40</v>
      </c>
      <c r="B48" s="14"/>
      <c r="C48" s="14"/>
      <c r="D48" s="14"/>
      <c r="E48" s="14"/>
      <c r="F48" s="14"/>
      <c r="G48" s="14" t="s">
        <v>40</v>
      </c>
    </row>
    <row r="51">
      <c r="A51" s="17" t="s">
        <v>35</v>
      </c>
      <c r="B51" s="14"/>
      <c r="C51" s="14"/>
      <c r="D51" s="14" t="s">
        <v>36</v>
      </c>
      <c r="E51" s="14"/>
      <c r="F51" s="14"/>
      <c r="G51" s="16" t="s">
        <v>37</v>
      </c>
    </row>
    <row r="52">
      <c r="A52" s="14" t="str">
        <f>data!$B$5</f>
      </c>
      <c r="B52" s="14"/>
      <c r="C52" s="14"/>
      <c r="D52" s="14"/>
      <c r="E52" s="14"/>
      <c r="F52" s="14"/>
      <c r="G52" s="14" t="str">
        <f>data!$B$3</f>
      </c>
    </row>
    <row r="53">
      <c r="A53" s="14">
        <v>1</v>
      </c>
      <c r="B53" s="14"/>
      <c r="C53" s="14"/>
      <c r="D53" s="14"/>
      <c r="E53" s="14"/>
      <c r="F53" s="14"/>
      <c r="G53" s="14">
        <v>1</v>
      </c>
    </row>
    <row r="54">
      <c r="A54" s="14">
        <v>2</v>
      </c>
      <c r="B54" s="14"/>
      <c r="C54" s="14"/>
      <c r="D54" s="14"/>
      <c r="E54" s="14"/>
      <c r="F54" s="14"/>
      <c r="G54" s="14">
        <v>2</v>
      </c>
    </row>
    <row r="55">
      <c r="A55" s="14">
        <v>3</v>
      </c>
      <c r="B55" s="14"/>
      <c r="C55" s="14"/>
      <c r="D55" s="14"/>
      <c r="E55" s="14"/>
      <c r="F55" s="14"/>
      <c r="G55" s="14">
        <v>3</v>
      </c>
    </row>
    <row r="56">
      <c r="A56" s="14">
        <v>4</v>
      </c>
      <c r="B56" s="14"/>
      <c r="C56" s="14"/>
      <c r="D56" s="14"/>
      <c r="E56" s="14"/>
      <c r="F56" s="14"/>
      <c r="G56" s="14">
        <v>4</v>
      </c>
    </row>
    <row r="57">
      <c r="A57" s="14">
        <v>5</v>
      </c>
      <c r="B57" s="14"/>
      <c r="C57" s="14"/>
      <c r="D57" s="14"/>
      <c r="E57" s="14"/>
      <c r="F57" s="14"/>
      <c r="G57" s="14">
        <v>5</v>
      </c>
    </row>
    <row r="59">
      <c r="A59" s="14" t="str">
        <f>data!$B$5</f>
      </c>
      <c r="B59" s="14" t="s">
        <v>38</v>
      </c>
      <c r="C59" s="14" t="s">
        <v>39</v>
      </c>
      <c r="D59" s="14"/>
      <c r="E59" s="14" t="s">
        <v>39</v>
      </c>
      <c r="F59" s="14" t="s">
        <v>38</v>
      </c>
      <c r="G59" s="14" t="str">
        <f>data!$B$3</f>
      </c>
    </row>
    <row r="60">
      <c r="A60" s="14" t="s">
        <v>40</v>
      </c>
      <c r="B60" s="14"/>
      <c r="C60" s="14"/>
      <c r="D60" s="14"/>
      <c r="E60" s="14"/>
      <c r="F60" s="14"/>
      <c r="G60" s="14" t="s">
        <v>40</v>
      </c>
    </row>
    <row r="63">
      <c r="A63" s="17" t="s">
        <v>35</v>
      </c>
      <c r="B63" s="14"/>
      <c r="C63" s="14"/>
      <c r="D63" s="14" t="s">
        <v>36</v>
      </c>
      <c r="E63" s="14"/>
      <c r="F63" s="14"/>
      <c r="G63" s="16" t="s">
        <v>37</v>
      </c>
    </row>
    <row r="64">
      <c r="A64" s="14" t="str">
        <f>data!$B$6</f>
      </c>
      <c r="B64" s="14"/>
      <c r="C64" s="14"/>
      <c r="D64" s="14"/>
      <c r="E64" s="14"/>
      <c r="F64" s="14"/>
      <c r="G64" s="14" t="str">
        <f>data!$B$4</f>
      </c>
    </row>
    <row r="65">
      <c r="A65" s="14">
        <v>1</v>
      </c>
      <c r="B65" s="14"/>
      <c r="C65" s="14"/>
      <c r="D65" s="14"/>
      <c r="E65" s="14"/>
      <c r="F65" s="14"/>
      <c r="G65" s="14">
        <v>1</v>
      </c>
    </row>
    <row r="66">
      <c r="A66" s="14">
        <v>2</v>
      </c>
      <c r="B66" s="14"/>
      <c r="C66" s="14"/>
      <c r="D66" s="14"/>
      <c r="E66" s="14"/>
      <c r="F66" s="14"/>
      <c r="G66" s="14">
        <v>2</v>
      </c>
    </row>
    <row r="67">
      <c r="A67" s="14">
        <v>3</v>
      </c>
      <c r="B67" s="14"/>
      <c r="C67" s="14"/>
      <c r="D67" s="14"/>
      <c r="E67" s="14"/>
      <c r="F67" s="14"/>
      <c r="G67" s="14">
        <v>3</v>
      </c>
    </row>
    <row r="68">
      <c r="A68" s="14">
        <v>4</v>
      </c>
      <c r="B68" s="14"/>
      <c r="C68" s="14"/>
      <c r="D68" s="14"/>
      <c r="E68" s="14"/>
      <c r="F68" s="14"/>
      <c r="G68" s="14">
        <v>4</v>
      </c>
    </row>
    <row r="69">
      <c r="A69" s="14">
        <v>5</v>
      </c>
      <c r="B69" s="14"/>
      <c r="C69" s="14"/>
      <c r="D69" s="14"/>
      <c r="E69" s="14"/>
      <c r="F69" s="14"/>
      <c r="G69" s="14">
        <v>5</v>
      </c>
    </row>
    <row r="71">
      <c r="A71" s="14" t="str">
        <f>data!$B$6</f>
      </c>
      <c r="B71" s="14" t="s">
        <v>38</v>
      </c>
      <c r="C71" s="14" t="s">
        <v>39</v>
      </c>
      <c r="D71" s="14"/>
      <c r="E71" s="14" t="s">
        <v>39</v>
      </c>
      <c r="F71" s="14" t="s">
        <v>38</v>
      </c>
      <c r="G71" s="14" t="str">
        <f>data!$B$4</f>
      </c>
    </row>
    <row r="72">
      <c r="A72" s="14" t="s">
        <v>40</v>
      </c>
      <c r="B72" s="14"/>
      <c r="C72" s="14"/>
      <c r="D72" s="14"/>
      <c r="E72" s="14"/>
      <c r="F72" s="14"/>
      <c r="G72" s="14" t="s">
        <v>40</v>
      </c>
    </row>
    <row r="73">
      <c r="F73" t="s">
        <v>41</v>
      </c>
      <c r="G73" s="15"/>
      <c r="N73" t="s">
        <v>41</v>
      </c>
      <c r="O73" s="15"/>
    </row>
    <row r="74">
      <c r="F74" t="s">
        <v>42</v>
      </c>
      <c r="G74" s="15"/>
      <c r="N74" t="s">
        <v>42</v>
      </c>
      <c r="O74" s="15"/>
    </row>
    <row r="75">
      <c r="F75" t="s">
        <v>43</v>
      </c>
      <c r="G75" s="15"/>
      <c r="N75" t="s">
        <v>43</v>
      </c>
      <c r="O75" s="15"/>
    </row>
    <row r="76">
      <c r="F76" t="s">
        <v>44</v>
      </c>
      <c r="G76" s="15"/>
    </row>
    <row r="79">
      <c r="A79" s="13" t="str">
        <f>data!$A$9</f>
      </c>
      <c r="B79" s="13"/>
      <c r="C79" s="13"/>
      <c r="D79" s="13"/>
      <c r="E79" s="13"/>
      <c r="F79" s="13"/>
      <c r="G79" s="13"/>
    </row>
    <row r="80">
      <c r="A80" s="17" t="s">
        <v>35</v>
      </c>
      <c r="B80" s="14"/>
      <c r="C80" s="14"/>
      <c r="D80" s="14" t="s">
        <v>36</v>
      </c>
      <c r="E80" s="14"/>
      <c r="F80" s="14"/>
      <c r="G80" s="16" t="s">
        <v>37</v>
      </c>
    </row>
    <row r="81">
      <c r="A81" s="14" t="str">
        <f>data!$B$8</f>
      </c>
      <c r="B81" s="14"/>
      <c r="C81" s="14"/>
      <c r="D81" s="14"/>
      <c r="E81" s="14"/>
      <c r="F81" s="14"/>
      <c r="G81" s="14" t="str">
        <f>data!$B$7</f>
      </c>
    </row>
    <row r="82">
      <c r="A82" s="14">
        <v>1</v>
      </c>
      <c r="B82" s="14"/>
      <c r="C82" s="14"/>
      <c r="D82" s="14"/>
      <c r="E82" s="14"/>
      <c r="F82" s="14"/>
      <c r="G82" s="14">
        <v>1</v>
      </c>
    </row>
    <row r="83">
      <c r="A83" s="14">
        <v>2</v>
      </c>
      <c r="B83" s="14"/>
      <c r="C83" s="14"/>
      <c r="D83" s="14"/>
      <c r="E83" s="14"/>
      <c r="F83" s="14"/>
      <c r="G83" s="14">
        <v>2</v>
      </c>
    </row>
    <row r="84">
      <c r="A84" s="14">
        <v>3</v>
      </c>
      <c r="B84" s="14"/>
      <c r="C84" s="14"/>
      <c r="D84" s="14"/>
      <c r="E84" s="14"/>
      <c r="F84" s="14"/>
      <c r="G84" s="14">
        <v>3</v>
      </c>
    </row>
    <row r="85">
      <c r="A85" s="14">
        <v>4</v>
      </c>
      <c r="B85" s="14"/>
      <c r="C85" s="14"/>
      <c r="D85" s="14"/>
      <c r="E85" s="14"/>
      <c r="F85" s="14"/>
      <c r="G85" s="14">
        <v>4</v>
      </c>
    </row>
    <row r="86">
      <c r="A86" s="14">
        <v>5</v>
      </c>
      <c r="B86" s="14"/>
      <c r="C86" s="14"/>
      <c r="D86" s="14"/>
      <c r="E86" s="14"/>
      <c r="F86" s="14"/>
      <c r="G86" s="14">
        <v>5</v>
      </c>
    </row>
    <row r="88">
      <c r="A88" s="14" t="str">
        <f>data!$B$8</f>
      </c>
      <c r="B88" s="14" t="s">
        <v>38</v>
      </c>
      <c r="C88" s="14" t="s">
        <v>39</v>
      </c>
      <c r="D88" s="14"/>
      <c r="E88" s="14" t="s">
        <v>39</v>
      </c>
      <c r="F88" s="14" t="s">
        <v>38</v>
      </c>
      <c r="G88" s="14" t="str">
        <f>data!$B$7</f>
      </c>
    </row>
    <row r="89">
      <c r="A89" s="14" t="s">
        <v>40</v>
      </c>
      <c r="B89" s="14"/>
      <c r="C89" s="14"/>
      <c r="D89" s="14"/>
      <c r="E89" s="14"/>
      <c r="F89" s="14"/>
      <c r="G89" s="14" t="s">
        <v>40</v>
      </c>
    </row>
    <row r="92">
      <c r="A92" s="17" t="s">
        <v>35</v>
      </c>
      <c r="B92" s="14"/>
      <c r="C92" s="14"/>
      <c r="D92" s="14" t="s">
        <v>36</v>
      </c>
      <c r="E92" s="14"/>
      <c r="F92" s="14"/>
      <c r="G92" s="16" t="s">
        <v>37</v>
      </c>
    </row>
    <row r="93">
      <c r="A93" s="14" t="str">
        <f>data!$B$9</f>
      </c>
      <c r="B93" s="14"/>
      <c r="C93" s="14"/>
      <c r="D93" s="14"/>
      <c r="E93" s="14"/>
      <c r="F93" s="14"/>
      <c r="G93" s="14" t="str">
        <f>data!$B$7</f>
      </c>
    </row>
    <row r="94">
      <c r="A94" s="14">
        <v>1</v>
      </c>
      <c r="B94" s="14"/>
      <c r="C94" s="14"/>
      <c r="D94" s="14"/>
      <c r="E94" s="14"/>
      <c r="F94" s="14"/>
      <c r="G94" s="14">
        <v>1</v>
      </c>
    </row>
    <row r="95">
      <c r="A95" s="14">
        <v>2</v>
      </c>
      <c r="B95" s="14"/>
      <c r="C95" s="14"/>
      <c r="D95" s="14"/>
      <c r="E95" s="14"/>
      <c r="F95" s="14"/>
      <c r="G95" s="14">
        <v>2</v>
      </c>
    </row>
    <row r="96">
      <c r="A96" s="14">
        <v>3</v>
      </c>
      <c r="B96" s="14"/>
      <c r="C96" s="14"/>
      <c r="D96" s="14"/>
      <c r="E96" s="14"/>
      <c r="F96" s="14"/>
      <c r="G96" s="14">
        <v>3</v>
      </c>
    </row>
    <row r="97">
      <c r="A97" s="14">
        <v>4</v>
      </c>
      <c r="B97" s="14"/>
      <c r="C97" s="14"/>
      <c r="D97" s="14"/>
      <c r="E97" s="14"/>
      <c r="F97" s="14"/>
      <c r="G97" s="14">
        <v>4</v>
      </c>
    </row>
    <row r="98">
      <c r="A98" s="14">
        <v>5</v>
      </c>
      <c r="B98" s="14"/>
      <c r="C98" s="14"/>
      <c r="D98" s="14"/>
      <c r="E98" s="14"/>
      <c r="F98" s="14"/>
      <c r="G98" s="14">
        <v>5</v>
      </c>
    </row>
    <row r="100">
      <c r="A100" s="14" t="str">
        <f>data!$B$9</f>
      </c>
      <c r="B100" s="14" t="s">
        <v>38</v>
      </c>
      <c r="C100" s="14" t="s">
        <v>39</v>
      </c>
      <c r="D100" s="14"/>
      <c r="E100" s="14" t="s">
        <v>39</v>
      </c>
      <c r="F100" s="14" t="s">
        <v>38</v>
      </c>
      <c r="G100" s="14" t="str">
        <f>data!$B$7</f>
      </c>
    </row>
    <row r="101">
      <c r="A101" s="14" t="s">
        <v>40</v>
      </c>
      <c r="B101" s="14"/>
      <c r="C101" s="14"/>
      <c r="D101" s="14"/>
      <c r="E101" s="14"/>
      <c r="F101" s="14"/>
      <c r="G101" s="14" t="s">
        <v>40</v>
      </c>
    </row>
    <row r="104">
      <c r="A104" s="17" t="s">
        <v>35</v>
      </c>
      <c r="B104" s="14"/>
      <c r="C104" s="14"/>
      <c r="D104" s="14" t="s">
        <v>36</v>
      </c>
      <c r="E104" s="14"/>
      <c r="F104" s="14"/>
      <c r="G104" s="16" t="s">
        <v>37</v>
      </c>
    </row>
    <row r="105">
      <c r="A105" s="14" t="str">
        <f>data!$B$9</f>
      </c>
      <c r="B105" s="14"/>
      <c r="C105" s="14"/>
      <c r="D105" s="14"/>
      <c r="E105" s="14"/>
      <c r="F105" s="14"/>
      <c r="G105" s="14" t="str">
        <f>data!$B$8</f>
      </c>
    </row>
    <row r="106">
      <c r="A106" s="14">
        <v>1</v>
      </c>
      <c r="B106" s="14"/>
      <c r="C106" s="14"/>
      <c r="D106" s="14"/>
      <c r="E106" s="14"/>
      <c r="F106" s="14"/>
      <c r="G106" s="14">
        <v>1</v>
      </c>
    </row>
    <row r="107">
      <c r="A107" s="14">
        <v>2</v>
      </c>
      <c r="B107" s="14"/>
      <c r="C107" s="14"/>
      <c r="D107" s="14"/>
      <c r="E107" s="14"/>
      <c r="F107" s="14"/>
      <c r="G107" s="14">
        <v>2</v>
      </c>
    </row>
    <row r="108">
      <c r="A108" s="14">
        <v>3</v>
      </c>
      <c r="B108" s="14"/>
      <c r="C108" s="14"/>
      <c r="D108" s="14"/>
      <c r="E108" s="14"/>
      <c r="F108" s="14"/>
      <c r="G108" s="14">
        <v>3</v>
      </c>
    </row>
    <row r="109">
      <c r="A109" s="14">
        <v>4</v>
      </c>
      <c r="B109" s="14"/>
      <c r="C109" s="14"/>
      <c r="D109" s="14"/>
      <c r="E109" s="14"/>
      <c r="F109" s="14"/>
      <c r="G109" s="14">
        <v>4</v>
      </c>
    </row>
    <row r="110">
      <c r="A110" s="14">
        <v>5</v>
      </c>
      <c r="B110" s="14"/>
      <c r="C110" s="14"/>
      <c r="D110" s="14"/>
      <c r="E110" s="14"/>
      <c r="F110" s="14"/>
      <c r="G110" s="14">
        <v>5</v>
      </c>
    </row>
    <row r="112">
      <c r="A112" s="14" t="str">
        <f>data!$B$9</f>
      </c>
      <c r="B112" s="14" t="s">
        <v>38</v>
      </c>
      <c r="C112" s="14" t="s">
        <v>39</v>
      </c>
      <c r="D112" s="14"/>
      <c r="E112" s="14" t="s">
        <v>39</v>
      </c>
      <c r="F112" s="14" t="s">
        <v>38</v>
      </c>
      <c r="G112" s="14" t="str">
        <f>data!$B$8</f>
      </c>
    </row>
    <row r="113">
      <c r="A113" s="14" t="s">
        <v>40</v>
      </c>
      <c r="B113" s="14"/>
      <c r="C113" s="14"/>
      <c r="D113" s="14"/>
      <c r="E113" s="14"/>
      <c r="F113" s="14"/>
      <c r="G113" s="14" t="s">
        <v>40</v>
      </c>
    </row>
    <row r="114">
      <c r="F114" t="s">
        <v>41</v>
      </c>
      <c r="G114" s="15"/>
    </row>
    <row r="115">
      <c r="F115" t="s">
        <v>42</v>
      </c>
      <c r="G115" s="15"/>
    </row>
    <row r="116">
      <c r="F116" t="s">
        <v>43</v>
      </c>
      <c r="G116" s="15"/>
    </row>
  </sheetData>
  <mergeCells count="5">
    <mergeCell ref="A1:G1"/>
    <mergeCell ref="I1:O1"/>
    <mergeCell ref="A2:G2"/>
    <mergeCell ref="I2:O2"/>
    <mergeCell ref="A79:G79"/>
  </mergeCells>
  <printOptions horizontalCentered="true" verticalCentered="true"/>
  <pageSetup fitToHeight="0" fitToWidth="2" orientation="portrait" pageOrder="downThenOver" paperSize="9"/>
  <rowBreaks count="3" manualBreakCount="3">
    <brk id="1" max="16383" man="true"/>
    <brk id="38" max="16383" man="true"/>
    <brk id="7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33</v>
      </c>
      <c r="B1" s="13"/>
      <c r="C1" s="13"/>
      <c r="D1" s="13"/>
      <c r="E1" s="13"/>
      <c r="F1" s="13"/>
      <c r="G1" s="13"/>
      <c r="I1" s="13" t="s">
        <v>34</v>
      </c>
      <c r="J1" s="13"/>
      <c r="K1" s="13"/>
      <c r="L1" s="13"/>
      <c r="M1" s="13"/>
      <c r="N1" s="13"/>
      <c r="O1" s="13"/>
    </row>
    <row r="2">
      <c r="A2" s="13" t="s">
        <v>55</v>
      </c>
      <c r="B2" s="13"/>
      <c r="C2" s="13"/>
      <c r="D2" s="13"/>
      <c r="E2" s="13"/>
      <c r="F2" s="13"/>
      <c r="G2" s="13"/>
      <c r="I2" s="13" t="s">
        <v>58</v>
      </c>
      <c r="J2" s="13"/>
      <c r="K2" s="13"/>
      <c r="L2" s="13"/>
      <c r="M2" s="13"/>
      <c r="N2" s="13"/>
      <c r="O2" s="13"/>
    </row>
    <row r="3">
      <c r="A3" s="17" t="s">
        <v>35</v>
      </c>
      <c r="D3" s="14" t="s">
        <v>36</v>
      </c>
      <c r="G3" s="16" t="s">
        <v>37</v>
      </c>
      <c r="I3" s="17" t="s">
        <v>35</v>
      </c>
      <c r="L3" s="14" t="s">
        <v>36</v>
      </c>
      <c r="O3" s="16" t="s">
        <v>37</v>
      </c>
    </row>
    <row r="4">
      <c r="A4" s="14" t="str">
        <f>CONCATENATE("Pool B-2nd ",'Pool Matches'!G115)</f>
      </c>
      <c r="B4" s="14"/>
      <c r="C4" s="14"/>
      <c r="D4" s="14"/>
      <c r="E4" s="14"/>
      <c r="F4" s="14"/>
      <c r="G4" s="14" t="str">
        <f>CONCATENATE("Pool C-1st ",'Pool Matches'!O73)</f>
      </c>
      <c r="I4" s="14" t="str">
        <f>CONCATENATE("Pool C-2nd ",'Pool Matches'!O74)</f>
      </c>
      <c r="J4" s="14"/>
      <c r="K4" s="14"/>
      <c r="L4" s="14"/>
      <c r="M4" s="14"/>
      <c r="N4" s="14"/>
      <c r="O4" s="14" t="str">
        <f>CONCATENATE("Pool A-2nd ",'Pool Matches'!G74)</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CONCATENATE("Pool B-2nd ",'Pool Matches'!G115)</f>
      </c>
      <c r="B11" s="14" t="s">
        <v>38</v>
      </c>
      <c r="C11" s="14" t="s">
        <v>39</v>
      </c>
      <c r="D11" s="14"/>
      <c r="E11" s="14" t="s">
        <v>39</v>
      </c>
      <c r="F11" s="14" t="s">
        <v>38</v>
      </c>
      <c r="G11" s="14" t="str">
        <f>CONCATENATE("Pool C-1st ",'Pool Matches'!O73)</f>
      </c>
      <c r="I11" s="14" t="str">
        <f>CONCATENATE("Pool C-2nd ",'Pool Matches'!O74)</f>
      </c>
      <c r="J11" s="14" t="s">
        <v>38</v>
      </c>
      <c r="K11" s="14" t="s">
        <v>39</v>
      </c>
      <c r="L11" s="14"/>
      <c r="M11" s="14" t="s">
        <v>39</v>
      </c>
      <c r="N11" s="14" t="s">
        <v>38</v>
      </c>
      <c r="O11" s="14" t="str">
        <f>CONCATENATE("Pool A-2nd ",'Pool Matches'!G74)</f>
      </c>
    </row>
    <row r="12">
      <c r="A12" s="14" t="s">
        <v>40</v>
      </c>
      <c r="B12" s="14"/>
      <c r="C12" s="14"/>
      <c r="D12" s="14"/>
      <c r="E12" s="14"/>
      <c r="F12" s="14"/>
      <c r="G12" s="14" t="s">
        <v>40</v>
      </c>
      <c r="I12" s="14" t="s">
        <v>40</v>
      </c>
      <c r="J12" s="14"/>
      <c r="K12" s="14"/>
      <c r="L12" s="14"/>
      <c r="M12" s="14"/>
      <c r="N12" s="14"/>
      <c r="O12" s="14" t="s">
        <v>40</v>
      </c>
    </row>
    <row r="14">
      <c r="F14" t="s">
        <v>56</v>
      </c>
      <c r="G14" s="15"/>
      <c r="N14" t="s">
        <v>56</v>
      </c>
      <c r="O14" s="15"/>
    </row>
    <row r="15">
      <c r="F15" t="s">
        <v>57</v>
      </c>
      <c r="G15" s="15"/>
      <c r="N15" t="s">
        <v>57</v>
      </c>
      <c r="O15" s="15"/>
    </row>
    <row r="23">
      <c r="A23" s="13" t="s">
        <v>59</v>
      </c>
      <c r="B23" s="13"/>
      <c r="C23" s="13"/>
      <c r="D23" s="13"/>
      <c r="E23" s="13"/>
      <c r="F23" s="13"/>
      <c r="G23" s="13"/>
      <c r="I23" s="13" t="s">
        <v>60</v>
      </c>
      <c r="J23" s="13"/>
      <c r="K23" s="13"/>
      <c r="L23" s="13"/>
      <c r="M23" s="13"/>
      <c r="N23" s="13"/>
      <c r="O23" s="13"/>
    </row>
    <row r="24">
      <c r="A24" s="17" t="s">
        <v>35</v>
      </c>
      <c r="D24" s="14" t="s">
        <v>36</v>
      </c>
      <c r="G24" s="16" t="s">
        <v>37</v>
      </c>
      <c r="I24" s="17" t="s">
        <v>35</v>
      </c>
      <c r="L24" s="14" t="s">
        <v>36</v>
      </c>
      <c r="O24" s="16" t="s">
        <v>37</v>
      </c>
    </row>
    <row r="25">
      <c r="A25" s="14" t="str">
        <f>CONCATENATE("M 1 ",G14)</f>
      </c>
      <c r="B25" s="14"/>
      <c r="C25" s="14"/>
      <c r="D25" s="14"/>
      <c r="E25" s="14"/>
      <c r="F25" s="14"/>
      <c r="G25" s="14" t="str">
        <f>CONCATENATE("Pool A-1st ",'Pool Matches'!G73)</f>
      </c>
      <c r="I25" s="14" t="str">
        <f>CONCATENATE("M 2 ",O14)</f>
      </c>
      <c r="J25" s="14"/>
      <c r="K25" s="14"/>
      <c r="L25" s="14"/>
      <c r="M25" s="14"/>
      <c r="N25" s="14"/>
      <c r="O25" s="14" t="str">
        <f>CONCATENATE("Pool B-1st ",'Pool Matches'!G114)</f>
      </c>
    </row>
    <row r="26">
      <c r="A26" s="14">
        <v>1</v>
      </c>
      <c r="B26" s="14"/>
      <c r="C26" s="14"/>
      <c r="D26" s="14"/>
      <c r="E26" s="14"/>
      <c r="F26" s="14"/>
      <c r="G26" s="14">
        <v>1</v>
      </c>
      <c r="I26" s="14">
        <v>1</v>
      </c>
      <c r="J26" s="14"/>
      <c r="K26" s="14"/>
      <c r="L26" s="14"/>
      <c r="M26" s="14"/>
      <c r="N26" s="14"/>
      <c r="O26" s="14">
        <v>1</v>
      </c>
    </row>
    <row r="27">
      <c r="A27" s="14">
        <v>2</v>
      </c>
      <c r="B27" s="14"/>
      <c r="C27" s="14"/>
      <c r="D27" s="14"/>
      <c r="E27" s="14"/>
      <c r="F27" s="14"/>
      <c r="G27" s="14">
        <v>2</v>
      </c>
      <c r="I27" s="14">
        <v>2</v>
      </c>
      <c r="J27" s="14"/>
      <c r="K27" s="14"/>
      <c r="L27" s="14"/>
      <c r="M27" s="14"/>
      <c r="N27" s="14"/>
      <c r="O27" s="14">
        <v>2</v>
      </c>
    </row>
    <row r="28">
      <c r="A28" s="14">
        <v>3</v>
      </c>
      <c r="B28" s="14"/>
      <c r="C28" s="14"/>
      <c r="D28" s="14"/>
      <c r="E28" s="14"/>
      <c r="F28" s="14"/>
      <c r="G28" s="14">
        <v>3</v>
      </c>
      <c r="I28" s="14">
        <v>3</v>
      </c>
      <c r="J28" s="14"/>
      <c r="K28" s="14"/>
      <c r="L28" s="14"/>
      <c r="M28" s="14"/>
      <c r="N28" s="14"/>
      <c r="O28" s="14">
        <v>3</v>
      </c>
    </row>
    <row r="29">
      <c r="A29" s="14">
        <v>4</v>
      </c>
      <c r="B29" s="14"/>
      <c r="C29" s="14"/>
      <c r="D29" s="14"/>
      <c r="E29" s="14"/>
      <c r="F29" s="14"/>
      <c r="G29" s="14">
        <v>4</v>
      </c>
      <c r="I29" s="14">
        <v>4</v>
      </c>
      <c r="J29" s="14"/>
      <c r="K29" s="14"/>
      <c r="L29" s="14"/>
      <c r="M29" s="14"/>
      <c r="N29" s="14"/>
      <c r="O29" s="14">
        <v>4</v>
      </c>
    </row>
    <row r="30">
      <c r="A30" s="14">
        <v>5</v>
      </c>
      <c r="B30" s="14"/>
      <c r="C30" s="14"/>
      <c r="D30" s="14"/>
      <c r="E30" s="14"/>
      <c r="F30" s="14"/>
      <c r="G30" s="14">
        <v>5</v>
      </c>
      <c r="I30" s="14">
        <v>5</v>
      </c>
      <c r="J30" s="14"/>
      <c r="K30" s="14"/>
      <c r="L30" s="14"/>
      <c r="M30" s="14"/>
      <c r="N30" s="14"/>
      <c r="O30" s="14">
        <v>5</v>
      </c>
    </row>
    <row r="32">
      <c r="A32" s="14" t="str">
        <f>CONCATENATE("M 1 ",G14)</f>
      </c>
      <c r="B32" s="14" t="s">
        <v>38</v>
      </c>
      <c r="C32" s="14" t="s">
        <v>39</v>
      </c>
      <c r="D32" s="14"/>
      <c r="E32" s="14" t="s">
        <v>39</v>
      </c>
      <c r="F32" s="14" t="s">
        <v>38</v>
      </c>
      <c r="G32" s="14" t="str">
        <f>CONCATENATE("Pool A-1st ",'Pool Matches'!G73)</f>
      </c>
      <c r="I32" s="14" t="str">
        <f>CONCATENATE("M 2 ",O14)</f>
      </c>
      <c r="J32" s="14" t="s">
        <v>38</v>
      </c>
      <c r="K32" s="14" t="s">
        <v>39</v>
      </c>
      <c r="L32" s="14"/>
      <c r="M32" s="14" t="s">
        <v>39</v>
      </c>
      <c r="N32" s="14" t="s">
        <v>38</v>
      </c>
      <c r="O32" s="14" t="str">
        <f>CONCATENATE("Pool B-1st ",'Pool Matches'!G114)</f>
      </c>
    </row>
    <row r="33">
      <c r="A33" s="14" t="s">
        <v>40</v>
      </c>
      <c r="B33" s="14"/>
      <c r="C33" s="14"/>
      <c r="D33" s="14"/>
      <c r="E33" s="14"/>
      <c r="F33" s="14"/>
      <c r="G33" s="14" t="s">
        <v>40</v>
      </c>
      <c r="I33" s="14" t="s">
        <v>40</v>
      </c>
      <c r="J33" s="14"/>
      <c r="K33" s="14"/>
      <c r="L33" s="14"/>
      <c r="M33" s="14"/>
      <c r="N33" s="14"/>
      <c r="O33" s="14" t="s">
        <v>40</v>
      </c>
    </row>
    <row r="35">
      <c r="F35" t="s">
        <v>56</v>
      </c>
      <c r="G35" s="15"/>
      <c r="N35" t="s">
        <v>56</v>
      </c>
      <c r="O35" s="15"/>
    </row>
    <row r="36">
      <c r="F36" t="s">
        <v>57</v>
      </c>
      <c r="G36" s="15"/>
      <c r="N36" t="s">
        <v>57</v>
      </c>
      <c r="O36" s="15"/>
    </row>
    <row r="44">
      <c r="A44" s="13" t="s">
        <v>61</v>
      </c>
      <c r="B44" s="13"/>
      <c r="C44" s="13"/>
      <c r="D44" s="13"/>
      <c r="E44" s="13"/>
      <c r="F44" s="13"/>
      <c r="G44" s="13"/>
    </row>
    <row r="45">
      <c r="A45" s="17" t="s">
        <v>35</v>
      </c>
      <c r="D45" s="14" t="s">
        <v>36</v>
      </c>
      <c r="G45" s="16" t="s">
        <v>37</v>
      </c>
    </row>
    <row r="46">
      <c r="A46" s="14" t="str">
        <f>CONCATENATE("M 4 ",O35)</f>
      </c>
      <c r="B46" s="14"/>
      <c r="C46" s="14"/>
      <c r="D46" s="14"/>
      <c r="E46" s="14"/>
      <c r="F46" s="14"/>
      <c r="G46" s="14" t="str">
        <f>CONCATENATE("M 3 ",G35)</f>
      </c>
    </row>
    <row r="47">
      <c r="A47" s="14">
        <v>1</v>
      </c>
      <c r="B47" s="14"/>
      <c r="C47" s="14"/>
      <c r="D47" s="14"/>
      <c r="E47" s="14"/>
      <c r="F47" s="14"/>
      <c r="G47" s="14">
        <v>1</v>
      </c>
    </row>
    <row r="48">
      <c r="A48" s="14">
        <v>2</v>
      </c>
      <c r="B48" s="14"/>
      <c r="C48" s="14"/>
      <c r="D48" s="14"/>
      <c r="E48" s="14"/>
      <c r="F48" s="14"/>
      <c r="G48" s="14">
        <v>2</v>
      </c>
    </row>
    <row r="49">
      <c r="A49" s="14">
        <v>3</v>
      </c>
      <c r="B49" s="14"/>
      <c r="C49" s="14"/>
      <c r="D49" s="14"/>
      <c r="E49" s="14"/>
      <c r="F49" s="14"/>
      <c r="G49" s="14">
        <v>3</v>
      </c>
    </row>
    <row r="50">
      <c r="A50" s="14">
        <v>4</v>
      </c>
      <c r="B50" s="14"/>
      <c r="C50" s="14"/>
      <c r="D50" s="14"/>
      <c r="E50" s="14"/>
      <c r="F50" s="14"/>
      <c r="G50" s="14">
        <v>4</v>
      </c>
    </row>
    <row r="51">
      <c r="A51" s="14">
        <v>5</v>
      </c>
      <c r="B51" s="14"/>
      <c r="C51" s="14"/>
      <c r="D51" s="14"/>
      <c r="E51" s="14"/>
      <c r="F51" s="14"/>
      <c r="G51" s="14">
        <v>5</v>
      </c>
    </row>
    <row r="53">
      <c r="A53" s="14" t="str">
        <f>CONCATENATE("M 4 ",O35)</f>
      </c>
      <c r="B53" s="14" t="s">
        <v>38</v>
      </c>
      <c r="C53" s="14" t="s">
        <v>39</v>
      </c>
      <c r="D53" s="14"/>
      <c r="E53" s="14" t="s">
        <v>39</v>
      </c>
      <c r="F53" s="14" t="s">
        <v>38</v>
      </c>
      <c r="G53" s="14" t="str">
        <f>CONCATENATE("M 3 ",G35)</f>
      </c>
    </row>
    <row r="54">
      <c r="A54" s="14" t="s">
        <v>40</v>
      </c>
      <c r="B54" s="14"/>
      <c r="C54" s="14"/>
      <c r="D54" s="14"/>
      <c r="E54" s="14"/>
      <c r="F54" s="14"/>
      <c r="G54" s="14" t="s">
        <v>40</v>
      </c>
    </row>
    <row r="56">
      <c r="F56" t="s">
        <v>56</v>
      </c>
      <c r="G56" s="15"/>
    </row>
    <row r="57">
      <c r="F57" t="s">
        <v>57</v>
      </c>
      <c r="G57" s="15"/>
    </row>
  </sheetData>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26" t="s">
        <v>45</v>
      </c>
      <c r="B1" s="27" t="str">
        <f>data!$B$3</f>
      </c>
    </row>
    <row r="2" ht="270" customHeight="true">
      <c r="A2" s="26" t="s">
        <v>46</v>
      </c>
      <c r="B2" s="27" t="str">
        <f>data!$B$4</f>
      </c>
    </row>
    <row r="3" ht="270" customHeight="true">
      <c r="A3" s="26" t="s">
        <v>47</v>
      </c>
      <c r="B3" s="27" t="str">
        <f>data!$B$5</f>
      </c>
    </row>
    <row r="4" ht="270" customHeight="true">
      <c r="A4" s="26" t="s">
        <v>48</v>
      </c>
      <c r="B4" s="27" t="str">
        <f>data!$B$6</f>
      </c>
    </row>
    <row r="5" ht="270" customHeight="true">
      <c r="A5" s="26" t="s">
        <v>49</v>
      </c>
      <c r="B5" s="27" t="str">
        <f>data!$B$7</f>
      </c>
    </row>
    <row r="6" ht="270" customHeight="true">
      <c r="A6" s="26" t="s">
        <v>50</v>
      </c>
      <c r="B6" s="27" t="str">
        <f>data!$B$8</f>
      </c>
    </row>
    <row r="7" ht="270" customHeight="true">
      <c r="A7" s="26" t="s">
        <v>51</v>
      </c>
      <c r="B7" s="27" t="str">
        <f>data!$B$9</f>
      </c>
    </row>
    <row r="8" ht="270" customHeight="true">
      <c r="A8" s="26" t="s">
        <v>52</v>
      </c>
      <c r="B8" s="27" t="str">
        <f>data!$B$10</f>
      </c>
    </row>
    <row r="9" ht="270" customHeight="true">
      <c r="A9" s="26" t="s">
        <v>53</v>
      </c>
      <c r="B9" s="27" t="str">
        <f>data!$B$11</f>
      </c>
    </row>
    <row r="10" ht="270" customHeight="true">
      <c r="A10" s="26" t="s">
        <v>54</v>
      </c>
      <c r="B10" s="27" t="str">
        <f>data!$B$12</f>
      </c>
    </row>
  </sheetData>
  <pageMargins left="0.1" right="0.1" top="0.1" bottom="0.1" header="0.1" footer="0.1"/>
  <pageSetup orientation="landscape" paperSize="8"/>
  <rowBreaks count="3" manualBreakCount="3">
    <brk id="3" max="16383" man="true"/>
    <brk id="6" max="16383" man="true"/>
    <brk id="9"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data!$A$6</f>
      </c>
    </row>
    <row r="5">
      <c r="A5" s="23" t="str">
        <f>"1. " &amp; data!$B$3</f>
      </c>
    </row>
    <row r="6">
      <c r="A6" s="24" t="str">
        <f>"2. " &amp; data!$B$4</f>
      </c>
      <c r="E6" s="21" t="str">
        <f>CONCATENATE("Pool A-1st ",'Pool Matches'!G73)</f>
      </c>
    </row>
    <row r="7">
      <c r="A7" s="24" t="str">
        <f>"3. " &amp; data!$B$5</f>
      </c>
      <c r="F7" s="20"/>
      <c r="G7" s="18"/>
    </row>
    <row r="8">
      <c r="A8" s="25" t="str">
        <f>"4. " &amp; data!$B$6</f>
      </c>
      <c r="G8" s="19">
        <v>3</v>
      </c>
    </row>
    <row r="9">
      <c r="A9" s="20"/>
      <c r="C9" s="21" t="str">
        <f>CONCATENATE("Pool C-1st ",'Pool Matches'!O73)</f>
      </c>
      <c r="G9" s="18"/>
    </row>
    <row r="10">
      <c r="A10" s="22" t="str">
        <f>data!$A$9</f>
      </c>
      <c r="D10" s="20"/>
      <c r="E10" s="19">
        <v>1</v>
      </c>
      <c r="F10" s="15"/>
      <c r="G10" s="18"/>
    </row>
    <row r="11">
      <c r="A11" s="23" t="str">
        <f>"1. " &amp; data!$B$7</f>
      </c>
      <c r="C11" s="21" t="str">
        <f>CONCATENATE("Pool B-2nd ",'Pool Matches'!G115)</f>
      </c>
      <c r="D11" s="15"/>
      <c r="E11" s="18"/>
    </row>
    <row r="12">
      <c r="A12" s="24" t="str">
        <f>"2. " &amp; data!$B$8</f>
      </c>
    </row>
    <row r="13">
      <c r="A13" s="25" t="str">
        <f>"3. " &amp; data!$B$9</f>
      </c>
    </row>
    <row r="14">
      <c r="A14"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data!$A$12</f>
      </c>
    </row>
    <row r="5">
      <c r="A5" s="23" t="str">
        <f>"1. " &amp; data!$B$10</f>
      </c>
    </row>
    <row r="6">
      <c r="A6" s="24" t="str">
        <f>"2. " &amp; data!$B$11</f>
      </c>
      <c r="E6" s="21" t="str">
        <f>CONCATENATE("Pool B-1st ",'Pool Matches'!G114)</f>
      </c>
    </row>
    <row r="7">
      <c r="A7" s="25" t="str">
        <f>"3. " &amp; data!$B$12</f>
      </c>
      <c r="F7" s="20"/>
      <c r="G7" s="18"/>
    </row>
    <row r="8">
      <c r="A8" s="20"/>
      <c r="G8" s="19">
        <v>4</v>
      </c>
    </row>
    <row r="9">
      <c r="C9" s="21" t="str">
        <f>CONCATENATE("Pool A-2nd ",'Pool Matches'!G74)</f>
      </c>
      <c r="G9" s="18"/>
    </row>
    <row r="10">
      <c r="D10" s="20"/>
      <c r="E10" s="19">
        <v>2</v>
      </c>
      <c r="F10" s="15"/>
      <c r="G10" s="18"/>
    </row>
    <row r="11">
      <c r="C11" s="21" t="str">
        <f>CONCATENATE("Pool C-2nd ",'Pool Matches'!O74)</f>
      </c>
      <c r="D11" s="15"/>
      <c r="E11" s="18"/>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28" t="s">
        <v>45</v>
      </c>
    </row>
    <row r="2" ht="390" customHeight="true">
      <c r="A2" s="28" t="s">
        <v>45</v>
      </c>
    </row>
    <row r="3" ht="390" customHeight="true">
      <c r="A3" s="28" t="s">
        <v>46</v>
      </c>
    </row>
    <row r="4" ht="390" customHeight="true">
      <c r="A4" s="28" t="s">
        <v>46</v>
      </c>
    </row>
    <row r="5" ht="390" customHeight="true">
      <c r="A5" s="28" t="s">
        <v>47</v>
      </c>
    </row>
    <row r="6" ht="390" customHeight="true">
      <c r="A6" s="28" t="s">
        <v>47</v>
      </c>
    </row>
    <row r="7" ht="390" customHeight="true">
      <c r="A7" s="28" t="s">
        <v>48</v>
      </c>
    </row>
    <row r="8" ht="390" customHeight="true">
      <c r="A8" s="28" t="s">
        <v>48</v>
      </c>
    </row>
    <row r="9" ht="390" customHeight="true">
      <c r="A9" s="28" t="s">
        <v>49</v>
      </c>
    </row>
    <row r="10" ht="390" customHeight="true">
      <c r="A10" s="28" t="s">
        <v>49</v>
      </c>
    </row>
    <row r="11" ht="390" customHeight="true">
      <c r="A11" s="28" t="s">
        <v>50</v>
      </c>
    </row>
    <row r="12" ht="390" customHeight="true">
      <c r="A12" s="28" t="s">
        <v>50</v>
      </c>
    </row>
    <row r="13" ht="390" customHeight="true">
      <c r="A13" s="28" t="s">
        <v>51</v>
      </c>
    </row>
    <row r="14" ht="390" customHeight="true">
      <c r="A14" s="28" t="s">
        <v>51</v>
      </c>
    </row>
    <row r="15" ht="390" customHeight="true">
      <c r="A15" s="28" t="s">
        <v>52</v>
      </c>
    </row>
    <row r="16" ht="390" customHeight="true">
      <c r="A16" s="28" t="s">
        <v>52</v>
      </c>
    </row>
    <row r="17" ht="390" customHeight="true">
      <c r="A17" s="28" t="s">
        <v>53</v>
      </c>
    </row>
    <row r="18" ht="390" customHeight="true">
      <c r="A18" s="28" t="s">
        <v>53</v>
      </c>
    </row>
    <row r="19" ht="390" customHeight="true">
      <c r="A19" s="28" t="s">
        <v>54</v>
      </c>
    </row>
    <row r="20" ht="390" customHeight="true">
      <c r="A20" s="28" t="s">
        <v>54</v>
      </c>
    </row>
  </sheetData>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