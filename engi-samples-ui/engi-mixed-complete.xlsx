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s>
  <definedNames>
    <definedName localSheetId="2" name="_xlnm.Print_Area">'Pool Draw'!$B$2:$F$12</definedName>
    <definedName localSheetId="3" name="_xlnm.Print_Area">'Pool Matches'!$A$1:$H$45</definedName>
    <definedName localSheetId="4" name="_xlnm.Print_Area">'Elimination Matches'!$A$1:$H$43</definedName>
    <definedName localSheetId="6" name="_xlnm.Print_Area">'Names to Print A'!$A$1:$B$8</definedName>
  </definedNames>
  <calcPr calcId="122211"/>
</workbook>
</file>

<file path=xl/sharedStrings.xml><?xml version="1.0" encoding="utf-8"?>
<sst xmlns="http://schemas.openxmlformats.org/spreadsheetml/2006/main" count="65" uniqueCount="65">
  <si>
    <t>Number of pools</t>
  </si>
  <si>
    <t>Team size</t>
  </si>
  <si>
    <t>Matches per pool</t>
  </si>
  <si>
    <t>Time per match</t>
  </si>
  <si>
    <t>Total time for matches</t>
  </si>
  <si>
    <t>Padding time for rotation</t>
  </si>
  <si>
    <t>Time for breaks</t>
  </si>
  <si>
    <t>Total Time</t>
  </si>
  <si>
    <t>Number of Elimination Matches</t>
  </si>
  <si>
    <t>Title prefix:</t>
  </si>
  <si>
    <t>Engi Mixed</t>
  </si>
  <si>
    <t>Pool</t>
  </si>
  <si>
    <t>Player Name</t>
  </si>
  <si>
    <t>Player Dojo</t>
  </si>
  <si>
    <t>Player Number</t>
  </si>
  <si>
    <t>Metadata</t>
  </si>
  <si>
    <t>Pool A</t>
  </si>
  <si>
    <t>Yuki Tanaka - Jun Ito</t>
  </si>
  <si>
    <t>Kita Dojo</t>
  </si>
  <si>
    <t>A1</t>
  </si>
  <si>
    <t>Ren Suzuki - Emi Nakamura</t>
  </si>
  <si>
    <t>Higashi Dojo</t>
  </si>
  <si>
    <t>A2</t>
  </si>
  <si>
    <t>Sora Yamamoto - Hana Kato</t>
  </si>
  <si>
    <t>Chuo Dojo</t>
  </si>
  <si>
    <t>A3</t>
  </si>
  <si>
    <t>Rin Kobayashi - Yui Sato</t>
  </si>
  <si>
    <t>Ume Dojo</t>
  </si>
  <si>
    <t>A4</t>
  </si>
  <si>
    <t>Pool B</t>
  </si>
  <si>
    <t>Haru Sato - Nao Yamamoto</t>
  </si>
  <si>
    <t>Minami Dojo</t>
  </si>
  <si>
    <t>A5</t>
  </si>
  <si>
    <t>Aoi Ito - Taro Kobayashi</t>
  </si>
  <si>
    <t>Nishi Dojo</t>
  </si>
  <si>
    <t>A6</t>
  </si>
  <si>
    <t>Kai Nakamura - Ken Tanaka</t>
  </si>
  <si>
    <t>Sakura Dojo</t>
  </si>
  <si>
    <t>A7</t>
  </si>
  <si>
    <t>Mei Kato - Dai Suzuki</t>
  </si>
  <si>
    <t>Take Dojo</t>
  </si>
  <si>
    <t>A8</t>
  </si>
  <si>
    <t>Shiaijo A</t>
  </si>
  <si>
    <t>White</t>
  </si>
  <si>
    <t>vs</t>
  </si>
  <si>
    <t>Red</t>
  </si>
  <si>
    <t>Fl</t>
  </si>
  <si>
    <t>Results</t>
  </si>
  <si>
    <t>W</t>
  </si>
  <si>
    <t>Flags</t>
  </si>
  <si>
    <t>Rank</t>
  </si>
  <si>
    <t>Ranking</t>
  </si>
  <si>
    <t>1.</t>
  </si>
  <si>
    <t>2.</t>
  </si>
  <si>
    <t>3.</t>
  </si>
  <si>
    <t>4.</t>
  </si>
  <si>
    <t>1</t>
  </si>
  <si>
    <t>2</t>
  </si>
  <si>
    <t>3</t>
  </si>
  <si>
    <t>0</t>
  </si>
  <si>
    <t>Round 1 - Match 1</t>
  </si>
  <si>
    <t>Round 1 - Match 2</t>
  </si>
  <si>
    <t>Round 2 - Match 3</t>
  </si>
  <si>
    <t>3rd Place</t>
  </si>
  <si>
    <t>4</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</si>
</sst>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2">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0">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31</v>
      </c>
      <c r="D7" t="s">
        <v>32</v>
      </c>
    </row>
    <row r="8">
      <c r="A8" t="s">
        <v>29</v>
      </c>
      <c r="B8" t="s">
        <v>33</v>
      </c>
      <c r="C8" t="s">
        <v>34</v>
      </c>
      <c r="D8" t="s">
        <v>35</v>
      </c>
    </row>
    <row r="9">
      <c r="A9" t="s">
        <v>29</v>
      </c>
      <c r="B9" t="s">
        <v>36</v>
      </c>
      <c r="C9" t="s">
        <v>37</v>
      </c>
      <c r="D9" t="s">
        <v>38</v>
      </c>
    </row>
    <row r="10">
      <c r="A10" t="s">
        <v>29</v>
      </c>
      <c r="B10" t="s">
        <v>39</v>
      </c>
      <c r="C10" t="s">
        <v>40</v>
      </c>
      <c r="D10" t="s">
        <v>41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2</v>
      </c>
      <c r="B2" s="2">
        <v>3</v>
      </c>
      <c r="C2" s="2">
        <v>3</v>
      </c>
      <c r="D2" s="3">
        <v>0.0020833333333333333</v>
      </c>
      <c r="E2" s="3" t="str">
        <f>(A2*B2*C2*D2)</f>
      </c>
      <c r="F2" s="3">
        <v>0.00034722222222222224</v>
      </c>
      <c r="G2" s="3">
        <v>0.020833333333333332</v>
      </c>
      <c r="H2" s="3"/>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3</v>
      </c>
      <c r="C8" s="2"/>
      <c r="D8" s="3">
        <v>0.002777777777777778</v>
      </c>
      <c r="E8" s="3" t="str">
        <f>(A8*B8*D8)</f>
      </c>
      <c r="F8" s="3">
        <v>0.00034722222222222224</v>
      </c>
      <c r="G8" s="3">
        <v>0.020833333333333332</v>
      </c>
      <c r="H8" s="3"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sheetData>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'data'!$A$10</f>
      </c>
    </row>
    <row r="6" ht="17" customHeight="true">
      <c r="B6" s="12" t="str">
        <f>data!$D$3&amp;" "&amp;data!$B$3</f>
      </c>
      <c r="D6" s="12" t="str">
        <f>data!$D$7&amp;" "&amp;data!$B$7</f>
      </c>
    </row>
    <row r="7" ht="17" customHeight="true">
      <c r="B7" s="12" t="str">
        <f>data!$D$4&amp;" "&amp;data!$B$4</f>
      </c>
      <c r="D7" s="12" t="str">
        <f>data!$D$8&amp;" "&amp;data!$B$8</f>
      </c>
    </row>
    <row r="8">
      <c r="B8" s="12" t="str">
        <f>data!$D$5&amp;" "&amp;data!$B$5</f>
      </c>
      <c r="D8" s="12" t="str">
        <f>data!$D$9&amp;" "&amp;data!$B$9</f>
      </c>
    </row>
    <row r="9">
      <c r="B9" s="12" t="str">
        <f>data!$D$6&amp;" "&amp;data!$B$6</f>
      </c>
      <c r="D9" s="12" t="str">
        <f>data!$D$10&amp;" "&amp;data!$B$10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42</v>
      </c>
      <c r="B1" s="13"/>
      <c r="C1" s="13"/>
      <c r="D1" s="13"/>
      <c r="E1" s="13"/>
      <c r="F1" s="13"/>
      <c r="G1" s="13"/>
    </row>
    <row r="2">
      <c r="A2" s="13" t="str">
        <f>'data'!$A$6</f>
      </c>
      <c r="B2" s="13"/>
      <c r="C2" s="13"/>
      <c r="D2" s="13"/>
      <c r="E2" s="13"/>
      <c r="F2" s="13"/>
      <c r="G2" s="13"/>
    </row>
    <row r="3">
      <c r="A3" s="17" t="s">
        <v>43</v>
      </c>
      <c r="B3" s="14" t="s">
        <v>46</v>
      </c>
      <c r="D3" s="14" t="s">
        <v>44</v>
      </c>
      <c r="F3" s="14" t="s">
        <v>46</v>
      </c>
      <c r="G3" s="16" t="s">
        <v>45</v>
      </c>
    </row>
    <row r="4">
      <c r="A4" s="14" t="str">
        <f>data!$D$4&amp;" "&amp;data!$B$4</f>
      </c>
      <c r="B4" s="18" t="s">
        <v>56</v>
      </c>
      <c r="C4" s="18"/>
      <c r="D4" s="18"/>
      <c r="E4" s="18"/>
      <c r="F4" s="18" t="s">
        <v>57</v>
      </c>
      <c r="G4" s="14" t="str">
        <f>data!$D$3&amp;" "&amp;data!$B$3</f>
      </c>
    </row>
    <row r="5">
      <c r="A5" s="14" t="str">
        <f>data!$D$4&amp;" "&amp;data!$B$4</f>
      </c>
      <c r="B5" s="18" t="s">
        <v>57</v>
      </c>
      <c r="C5" s="18"/>
      <c r="D5" s="18"/>
      <c r="E5" s="18"/>
      <c r="F5" s="18" t="s">
        <v>56</v>
      </c>
      <c r="G5" s="14" t="str">
        <f>data!$D$5&amp;" "&amp;data!$B$5</f>
      </c>
    </row>
    <row r="6">
      <c r="A6" s="14" t="str">
        <f>data!$D$6&amp;" "&amp;data!$B$6</f>
      </c>
      <c r="B6" s="18" t="s">
        <v>57</v>
      </c>
      <c r="C6" s="18"/>
      <c r="D6" s="18"/>
      <c r="E6" s="18"/>
      <c r="F6" s="18" t="s">
        <v>58</v>
      </c>
      <c r="G6" s="14" t="str">
        <f>data!$D$5&amp;" "&amp;data!$B$5</f>
      </c>
    </row>
    <row r="7">
      <c r="A7" s="14" t="str">
        <f>data!$D$6&amp;" "&amp;data!$B$6</f>
      </c>
      <c r="B7" s="18" t="s">
        <v>56</v>
      </c>
      <c r="C7" s="18"/>
      <c r="D7" s="18"/>
      <c r="E7" s="18"/>
      <c r="F7" s="18" t="s">
        <v>57</v>
      </c>
      <c r="G7" s="14" t="str">
        <f>data!$D$3&amp;" "&amp;data!$B$3</f>
      </c>
    </row>
    <row r="8">
      <c r="A8" s="14" t="str">
        <f>data!$D$5&amp;" "&amp;data!$B$5</f>
      </c>
      <c r="B8" s="18" t="s">
        <v>57</v>
      </c>
      <c r="C8" s="18"/>
      <c r="D8" s="18"/>
      <c r="E8" s="18"/>
      <c r="F8" s="18" t="s">
        <v>56</v>
      </c>
      <c r="G8" s="14" t="str">
        <f>data!$D$3&amp;" "&amp;data!$B$3</f>
      </c>
    </row>
    <row r="9">
      <c r="A9" s="14" t="str">
        <f>data!$D$6&amp;" "&amp;data!$B$6</f>
      </c>
      <c r="B9" s="18" t="s">
        <v>59</v>
      </c>
      <c r="C9" s="18"/>
      <c r="D9" s="18"/>
      <c r="E9" s="18"/>
      <c r="F9" s="18" t="s">
        <v>58</v>
      </c>
      <c r="G9" s="14" t="str">
        <f>data!$D$4&amp;" "&amp;data!$B$4</f>
      </c>
    </row>
    <row r="11">
      <c r="A11" s="13" t="s">
        <v>47</v>
      </c>
      <c r="B11" s="13" t="s">
        <v>48</v>
      </c>
      <c r="C11" s="13"/>
      <c r="D11" s="13" t="s">
        <v>49</v>
      </c>
      <c r="E11" s="13"/>
      <c r="F11" s="13"/>
      <c r="G11" s="13" t="s">
        <v>50</v>
      </c>
    </row>
    <row r="12">
      <c r="A12" s="14" t="str">
        <f>data!$D$3&amp;" "&amp;data!$B$3</f>
      </c>
      <c r="B12" s="14">
        <v>2</v>
      </c>
      <c r="C12" s="14"/>
      <c r="D12" s="14">
        <v>5</v>
      </c>
      <c r="E12" s="14"/>
      <c r="F12" s="14"/>
      <c r="G12" s="18">
        <v>3</v>
      </c>
      <c r="U12" t="str">
        <f>(B12*1000000)+(D12)</f>
      </c>
    </row>
    <row r="13">
      <c r="A13" s="14" t="str">
        <f>data!$D$4&amp;" "&amp;data!$B$4</f>
      </c>
      <c r="B13" s="14">
        <v>2</v>
      </c>
      <c r="C13" s="14"/>
      <c r="D13" s="14">
        <v>6</v>
      </c>
      <c r="E13" s="14"/>
      <c r="F13" s="14"/>
      <c r="G13" s="18">
        <v>1</v>
      </c>
      <c r="U13" t="str">
        <f>(B13*1000000)+(D13)</f>
      </c>
    </row>
    <row r="14">
      <c r="A14" s="14" t="str">
        <f>data!$D$5&amp;" "&amp;data!$B$5</f>
      </c>
      <c r="B14" s="14">
        <v>2</v>
      </c>
      <c r="C14" s="14"/>
      <c r="D14" s="14">
        <v>6</v>
      </c>
      <c r="E14" s="14"/>
      <c r="F14" s="14"/>
      <c r="G14" s="18">
        <v>2</v>
      </c>
      <c r="U14" t="str">
        <f>(B14*1000000)+(D14)</f>
      </c>
    </row>
    <row r="15">
      <c r="A15" s="14" t="str">
        <f>data!$D$6&amp;" "&amp;data!$B$6</f>
      </c>
      <c r="B15" s="14">
        <v>0</v>
      </c>
      <c r="C15" s="14"/>
      <c r="D15" s="14">
        <v>3</v>
      </c>
      <c r="E15" s="14"/>
      <c r="F15" s="14"/>
      <c r="G15" s="18">
        <v>4</v>
      </c>
      <c r="U15" t="str">
        <f>(B15*1000000)+(D15)</f>
      </c>
    </row>
    <row r="18">
      <c r="F18" s="13"/>
      <c r="G18" s="13" t="s">
        <v>51</v>
      </c>
    </row>
    <row r="19">
      <c r="F19" t="s">
        <v>52</v>
      </c>
      <c r="G19" s="19" t="s">
        <v>20</v>
      </c>
    </row>
    <row r="20">
      <c r="F20" t="s">
        <v>53</v>
      </c>
      <c r="G20" s="19" t="s">
        <v>23</v>
      </c>
    </row>
    <row r="21">
      <c r="F21" t="s">
        <v>54</v>
      </c>
      <c r="G21" s="19" t="s">
        <v>17</v>
      </c>
    </row>
    <row r="22">
      <c r="F22" t="s">
        <v>55</v>
      </c>
      <c r="G22" s="19" t="s">
        <v>26</v>
      </c>
    </row>
    <row r="24">
      <c r="A24" s="13" t="str">
        <f>'data'!$A$10</f>
      </c>
      <c r="B24" s="13"/>
      <c r="C24" s="13"/>
      <c r="D24" s="13"/>
      <c r="E24" s="13"/>
      <c r="F24" s="13"/>
      <c r="G24" s="13"/>
    </row>
    <row r="25">
      <c r="A25" s="17" t="s">
        <v>43</v>
      </c>
      <c r="B25" s="14" t="s">
        <v>46</v>
      </c>
      <c r="D25" s="14" t="s">
        <v>44</v>
      </c>
      <c r="F25" s="14" t="s">
        <v>46</v>
      </c>
      <c r="G25" s="16" t="s">
        <v>45</v>
      </c>
    </row>
    <row r="26">
      <c r="A26" s="14" t="str">
        <f>data!$D$8&amp;" "&amp;data!$B$8</f>
      </c>
      <c r="B26" s="18" t="s">
        <v>57</v>
      </c>
      <c r="C26" s="18"/>
      <c r="D26" s="18"/>
      <c r="E26" s="18"/>
      <c r="F26" s="18" t="s">
        <v>56</v>
      </c>
      <c r="G26" s="14" t="str">
        <f>data!$D$7&amp;" "&amp;data!$B$7</f>
      </c>
    </row>
    <row r="27">
      <c r="A27" s="14" t="str">
        <f>data!$D$8&amp;" "&amp;data!$B$8</f>
      </c>
      <c r="B27" s="18" t="s">
        <v>58</v>
      </c>
      <c r="C27" s="18"/>
      <c r="D27" s="18"/>
      <c r="E27" s="18"/>
      <c r="F27" s="18" t="s">
        <v>57</v>
      </c>
      <c r="G27" s="14" t="str">
        <f>data!$D$9&amp;" "&amp;data!$B$9</f>
      </c>
    </row>
    <row r="28">
      <c r="A28" s="14" t="str">
        <f>data!$D$10&amp;" "&amp;data!$B$10</f>
      </c>
      <c r="B28" s="18" t="s">
        <v>56</v>
      </c>
      <c r="C28" s="18"/>
      <c r="D28" s="18"/>
      <c r="E28" s="18"/>
      <c r="F28" s="18" t="s">
        <v>57</v>
      </c>
      <c r="G28" s="14" t="str">
        <f>data!$D$9&amp;" "&amp;data!$B$9</f>
      </c>
    </row>
    <row r="29">
      <c r="A29" s="14" t="str">
        <f>data!$D$10&amp;" "&amp;data!$B$10</f>
      </c>
      <c r="B29" s="18" t="s">
        <v>56</v>
      </c>
      <c r="C29" s="18"/>
      <c r="D29" s="18"/>
      <c r="E29" s="18"/>
      <c r="F29" s="18" t="s">
        <v>57</v>
      </c>
      <c r="G29" s="14" t="str">
        <f>data!$D$7&amp;" "&amp;data!$B$7</f>
      </c>
    </row>
    <row r="30">
      <c r="A30" s="14" t="str">
        <f>data!$D$9&amp;" "&amp;data!$B$9</f>
      </c>
      <c r="B30" s="18" t="s">
        <v>58</v>
      </c>
      <c r="C30" s="18"/>
      <c r="D30" s="18"/>
      <c r="E30" s="18"/>
      <c r="F30" s="18" t="s">
        <v>59</v>
      </c>
      <c r="G30" s="14" t="str">
        <f>data!$D$7&amp;" "&amp;data!$B$7</f>
      </c>
    </row>
    <row r="31">
      <c r="A31" s="14" t="str">
        <f>data!$D$10&amp;" "&amp;data!$B$10</f>
      </c>
      <c r="B31" s="18" t="s">
        <v>56</v>
      </c>
      <c r="C31" s="18"/>
      <c r="D31" s="18"/>
      <c r="E31" s="18"/>
      <c r="F31" s="18" t="s">
        <v>57</v>
      </c>
      <c r="G31" s="14" t="str">
        <f>data!$D$8&amp;" "&amp;data!$B$8</f>
      </c>
    </row>
    <row r="33">
      <c r="A33" s="13" t="s">
        <v>47</v>
      </c>
      <c r="B33" s="13" t="s">
        <v>48</v>
      </c>
      <c r="C33" s="13"/>
      <c r="D33" s="13" t="s">
        <v>49</v>
      </c>
      <c r="E33" s="13"/>
      <c r="F33" s="13"/>
      <c r="G33" s="13" t="s">
        <v>50</v>
      </c>
    </row>
    <row r="34">
      <c r="A34" s="14" t="str">
        <f>data!$D$7&amp;" "&amp;data!$B$7</f>
      </c>
      <c r="B34" s="14">
        <v>1</v>
      </c>
      <c r="C34" s="14"/>
      <c r="D34" s="14">
        <v>3</v>
      </c>
      <c r="E34" s="14"/>
      <c r="F34" s="14"/>
      <c r="G34" s="18">
        <v>3</v>
      </c>
      <c r="U34" t="str">
        <f>(B34*1000000)+(D34)</f>
      </c>
    </row>
    <row r="35">
      <c r="A35" s="14" t="str">
        <f>data!$D$8&amp;" "&amp;data!$B$8</f>
      </c>
      <c r="B35" s="14">
        <v>3</v>
      </c>
      <c r="C35" s="14"/>
      <c r="D35" s="14">
        <v>7</v>
      </c>
      <c r="E35" s="14"/>
      <c r="F35" s="14"/>
      <c r="G35" s="18">
        <v>1</v>
      </c>
      <c r="U35" t="str">
        <f>(B35*1000000)+(D35)</f>
      </c>
    </row>
    <row r="36">
      <c r="A36" s="14" t="str">
        <f>data!$D$9&amp;" "&amp;data!$B$9</f>
      </c>
      <c r="B36" s="14">
        <v>2</v>
      </c>
      <c r="C36" s="14"/>
      <c r="D36" s="14">
        <v>7</v>
      </c>
      <c r="E36" s="14"/>
      <c r="F36" s="14"/>
      <c r="G36" s="18">
        <v>2</v>
      </c>
      <c r="U36" t="str">
        <f>(B36*1000000)+(D36)</f>
      </c>
    </row>
    <row r="37">
      <c r="A37" s="14" t="str">
        <f>data!$D$10&amp;" "&amp;data!$B$10</f>
      </c>
      <c r="B37" s="14">
        <v>0</v>
      </c>
      <c r="C37" s="14"/>
      <c r="D37" s="14">
        <v>3</v>
      </c>
      <c r="E37" s="14"/>
      <c r="F37" s="14"/>
      <c r="G37" s="18">
        <v>4</v>
      </c>
      <c r="U37" t="str">
        <f>(B37*1000000)+(D37)</f>
      </c>
    </row>
    <row r="40">
      <c r="F40" s="13"/>
      <c r="G40" s="13" t="s">
        <v>51</v>
      </c>
    </row>
    <row r="41">
      <c r="F41" t="s">
        <v>52</v>
      </c>
      <c r="G41" s="19" t="s">
        <v>33</v>
      </c>
    </row>
    <row r="42">
      <c r="F42" t="s">
        <v>53</v>
      </c>
      <c r="G42" s="19" t="s">
        <v>36</v>
      </c>
    </row>
    <row r="43">
      <c r="F43" t="s">
        <v>54</v>
      </c>
      <c r="G43" s="19" t="s">
        <v>30</v>
      </c>
    </row>
    <row r="44">
      <c r="F44" t="s">
        <v>55</v>
      </c>
      <c r="G44" s="19" t="s">
        <v>39</v>
      </c>
    </row>
  </sheetData>
  <mergeCells count="3">
    <mergeCell ref="A1:G1"/>
    <mergeCell ref="A2:G2"/>
    <mergeCell ref="A24:G24"/>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42</v>
      </c>
      <c r="B1" s="13"/>
      <c r="C1" s="13"/>
      <c r="D1" s="13"/>
      <c r="E1" s="13"/>
      <c r="F1" s="13"/>
      <c r="G1" s="13"/>
    </row>
    <row r="2">
      <c r="A2" s="13" t="s">
        <v>60</v>
      </c>
      <c r="B2" s="13"/>
      <c r="C2" s="13"/>
      <c r="D2" s="13"/>
      <c r="E2" s="13"/>
      <c r="F2" s="13"/>
      <c r="G2" s="13"/>
    </row>
    <row r="3">
      <c r="A3" s="17" t="s">
        <v>43</v>
      </c>
      <c r="B3" s="14" t="s">
        <v>46</v>
      </c>
      <c r="D3" s="14" t="s">
        <v>44</v>
      </c>
      <c r="F3" s="14" t="s">
        <v>46</v>
      </c>
      <c r="G3" s="16" t="s">
        <v>45</v>
      </c>
    </row>
    <row r="4">
      <c r="A4" s="14" t="str">
        <f>CONCATENATE("Pool B-2nd ",'Pool Matches'!G42)</f>
      </c>
      <c r="B4" s="18" t="s">
        <v>56</v>
      </c>
      <c r="C4" s="18"/>
      <c r="D4" s="18"/>
      <c r="E4" s="18"/>
      <c r="F4" s="18" t="s">
        <v>57</v>
      </c>
      <c r="G4" s="14" t="str">
        <f>CONCATENATE("Pool A-1st ",'Pool Matches'!G19)</f>
      </c>
    </row>
    <row r="6">
      <c r="F6" t="s">
        <v>52</v>
      </c>
      <c r="G6" s="19" t="s">
        <v>20</v>
      </c>
    </row>
    <row r="7">
      <c r="F7" t="s">
        <v>53</v>
      </c>
      <c r="G7" s="19"/>
    </row>
    <row r="10">
      <c r="A10" s="13" t="s">
        <v>61</v>
      </c>
      <c r="B10" s="13"/>
      <c r="C10" s="13"/>
      <c r="D10" s="13"/>
      <c r="E10" s="13"/>
      <c r="F10" s="13"/>
      <c r="G10" s="13"/>
    </row>
    <row r="11">
      <c r="A11" s="17" t="s">
        <v>43</v>
      </c>
      <c r="B11" s="14" t="s">
        <v>46</v>
      </c>
      <c r="D11" s="14" t="s">
        <v>44</v>
      </c>
      <c r="F11" s="14" t="s">
        <v>46</v>
      </c>
      <c r="G11" s="16" t="s">
        <v>45</v>
      </c>
    </row>
    <row r="12">
      <c r="A12" s="14" t="str">
        <f>CONCATENATE("Pool B-1st ",'Pool Matches'!G41)</f>
      </c>
      <c r="B12" s="18" t="s">
        <v>64</v>
      </c>
      <c r="C12" s="18"/>
      <c r="D12" s="18"/>
      <c r="E12" s="18"/>
      <c r="F12" s="18" t="s">
        <v>56</v>
      </c>
      <c r="G12" s="14" t="str">
        <f>CONCATENATE("Pool A-2nd ",'Pool Matches'!G20)</f>
      </c>
    </row>
    <row r="14">
      <c r="F14" t="s">
        <v>52</v>
      </c>
      <c r="G14" s="19" t="s">
        <v>23</v>
      </c>
    </row>
    <row r="15">
      <c r="F15" t="s">
        <v>53</v>
      </c>
      <c r="G15" s="19"/>
    </row>
    <row r="23">
      <c r="A23" s="13" t="s">
        <v>62</v>
      </c>
      <c r="B23" s="13"/>
      <c r="C23" s="13"/>
      <c r="D23" s="13"/>
      <c r="E23" s="13"/>
      <c r="F23" s="13"/>
      <c r="G23" s="13"/>
    </row>
    <row r="24">
      <c r="A24" s="17" t="s">
        <v>43</v>
      </c>
      <c r="B24" s="14" t="s">
        <v>46</v>
      </c>
      <c r="D24" s="14" t="s">
        <v>44</v>
      </c>
      <c r="F24" s="14" t="s">
        <v>46</v>
      </c>
      <c r="G24" s="16" t="s">
        <v>45</v>
      </c>
    </row>
    <row r="25">
      <c r="A25" s="14" t="str">
        <f>CONCATENATE("M 2 ",G14)</f>
      </c>
      <c r="B25" s="18" t="s">
        <v>57</v>
      </c>
      <c r="C25" s="18"/>
      <c r="D25" s="18"/>
      <c r="E25" s="18"/>
      <c r="F25" s="18" t="s">
        <v>56</v>
      </c>
      <c r="G25" s="14" t="str">
        <f>CONCATENATE("M 1 ",G6)</f>
      </c>
    </row>
    <row r="27">
      <c r="F27" t="s">
        <v>52</v>
      </c>
      <c r="G27" s="19" t="s">
        <v>23</v>
      </c>
    </row>
    <row r="28">
      <c r="F28" t="s">
        <v>53</v>
      </c>
      <c r="G28" s="19"/>
    </row>
    <row r="36">
      <c r="A36" s="13" t="s">
        <v>63</v>
      </c>
      <c r="B36" s="13"/>
      <c r="C36" s="13"/>
      <c r="D36" s="13"/>
      <c r="E36" s="13"/>
      <c r="F36" s="13"/>
      <c r="G36" s="13"/>
    </row>
    <row r="37">
      <c r="A37" s="17" t="s">
        <v>43</v>
      </c>
      <c r="B37" s="14" t="s">
        <v>46</v>
      </c>
      <c r="D37" s="14" t="s">
        <v>44</v>
      </c>
      <c r="F37" s="14" t="s">
        <v>46</v>
      </c>
      <c r="G37" s="16" t="s">
        <v>45</v>
      </c>
    </row>
    <row r="38">
      <c r="A38" s="14" t="s">
        <v>33</v>
      </c>
      <c r="B38" s="18" t="s">
        <v>56</v>
      </c>
      <c r="C38" s="18"/>
      <c r="D38" s="18"/>
      <c r="E38" s="18"/>
      <c r="F38" s="18" t="s">
        <v>64</v>
      </c>
      <c r="G38" s="14" t="s">
        <v>36</v>
      </c>
    </row>
    <row r="40">
      <c r="F40" t="s">
        <v>52</v>
      </c>
      <c r="G40" s="19" t="s">
        <v>36</v>
      </c>
    </row>
    <row r="41">
      <c r="F41" t="s">
        <v>53</v>
      </c>
      <c r="G41" s="19"/>
    </row>
  </sheetData>
  <mergeCells count="5">
    <mergeCell ref="A1:G1"/>
    <mergeCell ref="A2:G2"/>
    <mergeCell ref="A10:G10"/>
    <mergeCell ref="A23:G23"/>
    <mergeCell ref="A36:G36"/>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data!$D$3&amp;" "&amp;data!$B$3</f>
      </c>
      <c r="C5" s="23" t="str">
        <f>CONCATENATE("Pool A-1st ",'Pool Matches'!G19)</f>
      </c>
    </row>
    <row r="6">
      <c r="A6" s="26" t="str">
        <f>data!$D$4&amp;" "&amp;data!$B$4</f>
      </c>
      <c r="D6" s="22"/>
      <c r="E6" s="21"/>
    </row>
    <row r="7">
      <c r="A7" s="26" t="str">
        <f>data!$D$5&amp;" "&amp;data!$B$5</f>
      </c>
      <c r="C7" s="23" t="str">
        <f>CONCATENATE("Pool B-2nd ",'Pool Matches'!G42)</f>
      </c>
      <c r="D7" s="15"/>
      <c r="E7" s="20"/>
      <c r="F7" s="22"/>
      <c r="G7" s="20"/>
    </row>
    <row r="8">
      <c r="A8" s="27" t="str">
        <f>data!$D$6&amp;" "&amp;data!$B$6</f>
      </c>
      <c r="G8" s="21"/>
    </row>
    <row r="9">
      <c r="A9" s="22"/>
      <c r="C9" s="23" t="str">
        <f>CONCATENATE("Pool B-1st ",'Pool Matches'!G41)</f>
      </c>
      <c r="G9" s="20"/>
    </row>
    <row r="10">
      <c r="A10" s="24" t="str">
        <f>'data'!$A$10</f>
      </c>
      <c r="D10" s="22"/>
      <c r="E10" s="21"/>
      <c r="F10" s="15"/>
      <c r="G10" s="20"/>
    </row>
    <row r="11">
      <c r="A11" s="25" t="str">
        <f>data!$D$7&amp;" "&amp;data!$B$7</f>
      </c>
      <c r="C11" s="23" t="str">
        <f>CONCATENATE("Pool A-2nd ",'Pool Matches'!G20)</f>
      </c>
      <c r="D11" s="15"/>
      <c r="E11" s="20"/>
    </row>
    <row r="12">
      <c r="A12" s="26" t="str">
        <f>data!$D$8&amp;" "&amp;data!$B$8</f>
      </c>
    </row>
    <row r="13">
      <c r="A13" s="26" t="str">
        <f>data!$D$9&amp;" "&amp;data!$B$9</f>
      </c>
    </row>
    <row r="14">
      <c r="A14" s="27" t="str">
        <f>data!$D$10&amp;" "&amp;data!$B$10</f>
      </c>
    </row>
    <row r="15">
      <c r="A15" s="22"/>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row r="8" ht="270" customHeight="true">
      <c r="A8" s="28" t="str">
        <f>'data'!$D$10</f>
      </c>
      <c r="B8" s="29" t="str">
        <f>'data'!$B$10</f>
      </c>
    </row>
  </sheetData>
  <pageMargins left="0.1" right="0.1" top="0.1" bottom="0.1" header="0.1" footer="0.1"/>
  <pageSetup orientation="landscape" paperSize="8"/>
  <rowBreaks count="2" manualBreakCount="2">
    <brk id="3" max="16383" man="true"/>
    <brk id="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