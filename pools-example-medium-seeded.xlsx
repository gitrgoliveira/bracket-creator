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8"/>
  </bookViews>
  <sheets>
    <sheet name="data" sheetId="1" r:id="rId1"/>
    <sheet name="Time Estimator" sheetId="2" r:id="rId4"/>
    <sheet name="Pool Draw" sheetId="3" r:id="rId5"/>
    <sheet name="Pool Matches" sheetId="4" r:id="rId6"/>
    <sheet name="Elimination Matches" sheetId="5" r:id="rId7"/>
    <sheet name="Names to Print" sheetId="6" r:id="rId8"/>
    <sheet name="Tree 1" sheetId="8" r:id="rId11"/>
    <sheet name="Tree 2" sheetId="9" r:id="rId12"/>
    <sheet name="Tags" sheetId="10" r:id="rId13"/>
  </sheets>
  <definedNames>
    <definedName localSheetId="2" name="_xlnm.Print_Area">'Pool Draw'!$B$2:$F$23</definedName>
    <definedName localSheetId="3" name="_xlnm.Print_Area">'Pool Matches'!$A$1:$O$41</definedName>
    <definedName localSheetId="5" name="_xlnm.Print_Area">'Names to Print'!$A$1:$B$24</definedName>
    <definedName localSheetId="4" name="_xlnm.Print_Area">'Elimination Matches'!$A$1:$O$85</definedName>
  </definedNames>
  <calcPr calcId="122211"/>
</workbook>
</file>

<file path=xl/sharedStrings.xml><?xml version="1.0" encoding="utf-8"?>
<sst xmlns="http://schemas.openxmlformats.org/spreadsheetml/2006/main" count="148" uniqueCount="148">
  <si>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</si>
  <si>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</si>
  <si>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</si>
  <si>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</si>
  <si>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</si>
  <si>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</si>
  <si>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</si>
  <si>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</si>
  <si>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</si>
  <si>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</si>
  <si>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</si>
  <si>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</si>
  <si>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</si>
  <si>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</si>
  <si>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</si>
  <si>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</si>
  <si>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</si>
  <si>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Cersei Lannister</t>
  </si>
  <si>
    <t>Team Gamma</t>
  </si>
  <si>
    <t>LANNISTER</t>
  </si>
  <si>
    <t>Gandalf The Grey</t>
  </si>
  <si>
    <t>Team Eta</t>
  </si>
  <si>
    <t>GANDALF</t>
  </si>
  <si>
    <t>Petyr Baelish</t>
  </si>
  <si>
    <t>Team Pi</t>
  </si>
  <si>
    <t>BAELISH</t>
  </si>
  <si>
    <t>Pool B</t>
  </si>
  <si>
    <t>Katniss Everdeen</t>
  </si>
  <si>
    <t>Team Mu</t>
  </si>
  <si>
    <t>EVERDEEN</t>
  </si>
  <si>
    <t>Jon Snow</t>
  </si>
  <si>
    <t>Team Kappa</t>
  </si>
  <si>
    <t>SNOW</t>
  </si>
  <si>
    <t>Quirinus Quirrell</t>
  </si>
  <si>
    <t>Team Rho</t>
  </si>
  <si>
    <t>QUIRRELL</t>
  </si>
  <si>
    <t>Pool C</t>
  </si>
  <si>
    <t>Ygritte</t>
  </si>
  <si>
    <t>Team Alpha</t>
  </si>
  <si>
    <t>YGRITTE</t>
  </si>
  <si>
    <t>Moby Dick</t>
  </si>
  <si>
    <t>Team Nu</t>
  </si>
  <si>
    <t>DICK</t>
  </si>
  <si>
    <t>Samwise Gamgee</t>
  </si>
  <si>
    <t>Team Tau</t>
  </si>
  <si>
    <t>GAMGEE</t>
  </si>
  <si>
    <t>Pool D</t>
  </si>
  <si>
    <t>Eddard Stark</t>
  </si>
  <si>
    <t>Team Epsilon</t>
  </si>
  <si>
    <t>STARK</t>
  </si>
  <si>
    <t>Othello</t>
  </si>
  <si>
    <t>Team Omicron</t>
  </si>
  <si>
    <t>OTHELLO</t>
  </si>
  <si>
    <t>Tyrion Lannister</t>
  </si>
  <si>
    <t>Team Upsilon</t>
  </si>
  <si>
    <t>Pool E</t>
  </si>
  <si>
    <t>Daenerys Targaryen</t>
  </si>
  <si>
    <t>Team Delta</t>
  </si>
  <si>
    <t>TARGARYEN</t>
  </si>
  <si>
    <t>Inigo Montoya</t>
  </si>
  <si>
    <t>Team Iota</t>
  </si>
  <si>
    <t>MONTOYA</t>
  </si>
  <si>
    <t>Willy Wonka</t>
  </si>
  <si>
    <t>Team Psi</t>
  </si>
  <si>
    <t>WONKA</t>
  </si>
  <si>
    <t>Pool F</t>
  </si>
  <si>
    <t>Legolas Greenleaf</t>
  </si>
  <si>
    <t>GREENLEAF</t>
  </si>
  <si>
    <t>Team Lambda</t>
  </si>
  <si>
    <t>Ron Weasley</t>
  </si>
  <si>
    <t>Team Sigma</t>
  </si>
  <si>
    <t>WEASLEY</t>
  </si>
  <si>
    <t>Pool G</t>
  </si>
  <si>
    <t>Voldemort</t>
  </si>
  <si>
    <t>Team Chi</t>
  </si>
  <si>
    <t>VOLDEMORT</t>
  </si>
  <si>
    <t>Xaro Xhoan Daxos</t>
  </si>
  <si>
    <t>Team Omega</t>
  </si>
  <si>
    <t>DAXOS</t>
  </si>
  <si>
    <t>Hermione Granger</t>
  </si>
  <si>
    <t>Team Theta</t>
  </si>
  <si>
    <t>GRANGER</t>
  </si>
  <si>
    <t>Pool H</t>
  </si>
  <si>
    <t>Frodo Baggins</t>
  </si>
  <si>
    <t>Team Zeta</t>
  </si>
  <si>
    <t>BAGGINS</t>
  </si>
  <si>
    <t>Ulysses</t>
  </si>
  <si>
    <t>Team Phi</t>
  </si>
  <si>
    <t>ULYSSES</t>
  </si>
  <si>
    <t>Neville Longbottom</t>
  </si>
  <si>
    <t>Team Xi</t>
  </si>
  <si>
    <t>LONGBOTTOM</t>
  </si>
  <si>
    <t>Shiaijo A</t>
  </si>
  <si>
    <t>Shiaijo B</t>
  </si>
  <si>
    <t>White</t>
  </si>
  <si>
    <t>vs</t>
  </si>
  <si>
    <t>Red</t>
  </si>
  <si>
    <t xml:space="preserve">1. </t>
  </si>
  <si>
    <t xml:space="preserve">2. </t>
  </si>
  <si>
    <t xml:space="preserve">3. </t>
  </si>
  <si>
    <t>A1</t>
  </si>
  <si>
    <t>A2</t>
  </si>
  <si>
    <t>A3</t>
  </si>
  <si>
    <t>B1</t>
  </si>
  <si>
    <t>B2</t>
  </si>
  <si>
    <t>B3</t>
  </si>
  <si>
    <t>C1</t>
  </si>
  <si>
    <t>C2</t>
  </si>
  <si>
    <t>C3</t>
  </si>
  <si>
    <t>D1</t>
  </si>
  <si>
    <t>D2</t>
  </si>
  <si>
    <t>D3</t>
  </si>
  <si>
    <t>E1</t>
  </si>
  <si>
    <t>E2</t>
  </si>
  <si>
    <t>E3</t>
  </si>
  <si>
    <t>F1</t>
  </si>
  <si>
    <t>F2</t>
  </si>
  <si>
    <t>F3</t>
  </si>
  <si>
    <t>G1</t>
  </si>
  <si>
    <t>G2</t>
  </si>
  <si>
    <t>G3</t>
  </si>
  <si>
    <t>H1</t>
  </si>
  <si>
    <t>H2</t>
  </si>
  <si>
    <t>H3</t>
  </si>
  <si>
    <t>Round 1 - Match 1</t>
  </si>
  <si>
    <t>1.</t>
  </si>
  <si>
    <t>2.</t>
  </si>
  <si>
    <t>Round 1 - Match 5</t>
  </si>
  <si>
    <t>Round 1 - Match 2</t>
  </si>
  <si>
    <t>Round 1 - Match 6</t>
  </si>
  <si>
    <t>Round 1 - Match 3</t>
  </si>
  <si>
    <t>Round 1 - Match 7</t>
  </si>
  <si>
    <t>Round 1 - Match 4</t>
  </si>
  <si>
    <t>Round 1 - Match 8</t>
  </si>
  <si>
    <t>Round 2 - Match 9</t>
  </si>
  <si>
    <t>Round 2 - Match 11</t>
  </si>
  <si>
    <t>Round 2 - Match 10</t>
  </si>
  <si>
    <t>Round 2 - Match 12</t>
  </si>
  <si>
    <t>Round 3 - Match 13</t>
  </si>
  <si>
    <t>Round 3 - Match 14</t>
  </si>
  <si>
    <t>Round 4 - Match 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</si>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</sst>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5">
    <fill>
      <patternFill patternType="none"/>
    </fill>
    <fill>
      <patternFill patternType="gray125"/>
    </fill>
    <fill>
      <patternFill patternType="solid">
        <fgColor rgb="FFC0C0C0"/>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1">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0" borderId="2" xfId="0" applyFont="true" applyBorder="true" applyAlignment="true">
      <alignment horizontal="center"/>
    </xf>
    <xf numFmtId="0" fontId="0" fillId="0" borderId="3" xfId="0" applyBorder="true" applyAlignment="false">
      <alignment/>
    </xf>
    <xf numFmtId="0" fontId="9" fillId="3" borderId="2" xfId="0" applyFont="true" applyFill="true" applyBorder="true" applyAlignment="true">
      <alignment horizontal="center"/>
    </xf>
    <xf numFmtId="0" fontId="1" fillId="4" borderId="2" xfId="0" applyFont="true" applyFill="true" applyBorder="true" applyAlignment="true">
      <alignment horizontal="center"/>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0" borderId="0" xfId="0" applyFont="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8" Target="worksheets/sheet6.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28</v>
      </c>
      <c r="D6" t="s">
        <v>29</v>
      </c>
    </row>
    <row r="7">
      <c r="A7" t="s">
        <v>26</v>
      </c>
      <c r="B7" t="s">
        <v>30</v>
      </c>
      <c r="C7" t="s">
        <v>31</v>
      </c>
      <c r="D7" t="s">
        <v>32</v>
      </c>
    </row>
    <row r="8">
      <c r="A8" t="s">
        <v>26</v>
      </c>
      <c r="B8" t="s">
        <v>33</v>
      </c>
      <c r="C8" t="s">
        <v>34</v>
      </c>
      <c r="D8" t="s">
        <v>35</v>
      </c>
    </row>
    <row r="9">
      <c r="A9" t="s">
        <v>36</v>
      </c>
      <c r="B9" t="s">
        <v>37</v>
      </c>
      <c r="C9" t="s">
        <v>38</v>
      </c>
      <c r="D9" t="s">
        <v>39</v>
      </c>
    </row>
    <row r="10">
      <c r="A10" t="s">
        <v>36</v>
      </c>
      <c r="B10" t="s">
        <v>40</v>
      </c>
      <c r="C10" t="s">
        <v>41</v>
      </c>
      <c r="D10" t="s">
        <v>42</v>
      </c>
    </row>
    <row r="11">
      <c r="A11" t="s">
        <v>36</v>
      </c>
      <c r="B11" t="s">
        <v>43</v>
      </c>
      <c r="C11" t="s">
        <v>44</v>
      </c>
      <c r="D11" t="s">
        <v>45</v>
      </c>
    </row>
    <row r="12">
      <c r="A12" t="s">
        <v>46</v>
      </c>
      <c r="B12" t="s">
        <v>47</v>
      </c>
      <c r="C12" t="s">
        <v>48</v>
      </c>
      <c r="D12" t="s">
        <v>49</v>
      </c>
    </row>
    <row r="13">
      <c r="A13" t="s">
        <v>46</v>
      </c>
      <c r="B13" t="s">
        <v>50</v>
      </c>
      <c r="C13" t="s">
        <v>51</v>
      </c>
      <c r="D13" t="s">
        <v>52</v>
      </c>
    </row>
    <row r="14">
      <c r="A14" t="s">
        <v>46</v>
      </c>
      <c r="B14" t="s">
        <v>53</v>
      </c>
      <c r="C14" t="s">
        <v>54</v>
      </c>
      <c r="D14" t="s">
        <v>19</v>
      </c>
    </row>
    <row r="15">
      <c r="A15" t="s">
        <v>55</v>
      </c>
      <c r="B15" t="s">
        <v>56</v>
      </c>
      <c r="C15" t="s">
        <v>57</v>
      </c>
      <c r="D15" t="s">
        <v>58</v>
      </c>
    </row>
    <row r="16">
      <c r="A16" t="s">
        <v>55</v>
      </c>
      <c r="B16" t="s">
        <v>59</v>
      </c>
      <c r="C16" t="s">
        <v>60</v>
      </c>
      <c r="D16" t="s">
        <v>61</v>
      </c>
    </row>
    <row r="17">
      <c r="A17" t="s">
        <v>55</v>
      </c>
      <c r="B17" t="s">
        <v>62</v>
      </c>
      <c r="C17" t="s">
        <v>63</v>
      </c>
      <c r="D17" t="s">
        <v>64</v>
      </c>
    </row>
    <row r="18">
      <c r="A18" t="s">
        <v>65</v>
      </c>
      <c r="B18" t="s">
        <v>66</v>
      </c>
      <c r="C18" t="s">
        <v>28</v>
      </c>
      <c r="D18" t="s">
        <v>67</v>
      </c>
    </row>
    <row r="19">
      <c r="A19" t="s">
        <v>65</v>
      </c>
      <c r="B19" t="s">
        <v>27</v>
      </c>
      <c r="C19" t="s">
        <v>68</v>
      </c>
      <c r="D19" t="s">
        <v>29</v>
      </c>
    </row>
    <row r="20">
      <c r="A20" t="s">
        <v>65</v>
      </c>
      <c r="B20" t="s">
        <v>69</v>
      </c>
      <c r="C20" t="s">
        <v>70</v>
      </c>
      <c r="D20" t="s">
        <v>71</v>
      </c>
    </row>
    <row r="21">
      <c r="A21" t="s">
        <v>72</v>
      </c>
      <c r="B21" t="s">
        <v>73</v>
      </c>
      <c r="C21" t="s">
        <v>74</v>
      </c>
      <c r="D21" t="s">
        <v>75</v>
      </c>
    </row>
    <row r="22">
      <c r="A22" t="s">
        <v>72</v>
      </c>
      <c r="B22" t="s">
        <v>76</v>
      </c>
      <c r="C22" t="s">
        <v>77</v>
      </c>
      <c r="D22" t="s">
        <v>78</v>
      </c>
    </row>
    <row r="23">
      <c r="A23" t="s">
        <v>72</v>
      </c>
      <c r="B23" t="s">
        <v>79</v>
      </c>
      <c r="C23" t="s">
        <v>80</v>
      </c>
      <c r="D23" t="s">
        <v>81</v>
      </c>
    </row>
    <row r="24">
      <c r="A24" t="s">
        <v>82</v>
      </c>
      <c r="B24" t="s">
        <v>83</v>
      </c>
      <c r="C24" t="s">
        <v>84</v>
      </c>
      <c r="D24" t="s">
        <v>85</v>
      </c>
    </row>
    <row r="25">
      <c r="A25" t="s">
        <v>82</v>
      </c>
      <c r="B25" t="s">
        <v>86</v>
      </c>
      <c r="C25" t="s">
        <v>87</v>
      </c>
      <c r="D25" t="s">
        <v>88</v>
      </c>
    </row>
    <row r="26">
      <c r="A26" t="s">
        <v>82</v>
      </c>
      <c r="B26" t="s">
        <v>89</v>
      </c>
      <c r="C26" t="s">
        <v>90</v>
      </c>
      <c r="D26" t="s">
        <v>91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8</v>
      </c>
      <c r="B2" s="2">
        <v>1</v>
      </c>
      <c r="C2" s="2">
        <v>24</v>
      </c>
      <c r="D2" s="3">
        <v>0.0020833333333333333</v>
      </c>
      <c r="E2" s="3" t="str">
        <f>(A2*B2*C2*D2)</f>
      </c>
      <c r="F2" s="3">
        <v>0.00034722222222222224</v>
      </c>
      <c r="G2" s="3">
        <v>0.020833333333333332</v>
      </c>
      <c r="H2" s="29"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15</v>
      </c>
      <c r="B8" s="2">
        <v>1</v>
      </c>
      <c r="C8" s="2"/>
      <c r="D8" s="3">
        <v>0.002777777777777778</v>
      </c>
      <c r="E8" s="3" t="str">
        <f>(A8*B8*D8)</f>
      </c>
      <c r="F8" s="3">
        <v>0.00034722222222222224</v>
      </c>
      <c r="G8" s="3">
        <v>0.020833333333333332</v>
      </c>
      <c r="H8" s="29"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141</v>
      </c>
      <c r="F13" s="13"/>
      <c r="G13" s="13"/>
      <c r="H13" s="13"/>
    </row>
    <row r="14">
      <c r="A14">
        <v>2</v>
      </c>
      <c r="E14" s="14" t="s">
        <v>142</v>
      </c>
      <c r="F14" s="14"/>
      <c r="G14" s="14"/>
      <c r="H14" s="29" t="str">
        <f>H2</f>
      </c>
    </row>
    <row r="15">
      <c r="E15" s="14" t="s">
        <v>143</v>
      </c>
      <c r="F15" s="14"/>
      <c r="G15" s="14"/>
      <c r="H15" s="29" t="str">
        <f>H8</f>
      </c>
    </row>
    <row r="16">
      <c r="E16" s="14" t="s">
        <v>144</v>
      </c>
      <c r="F16" s="14"/>
      <c r="G16" s="14"/>
      <c r="H16" s="29" t="str">
        <f>H14+H15</f>
      </c>
    </row>
    <row r="17">
      <c r="E17" s="14" t="s">
        <v>145</v>
      </c>
      <c r="F17" s="14"/>
      <c r="G17" s="14"/>
      <c r="H17" s="29" t="str">
        <f>H16/A14</f>
      </c>
    </row>
    <row r="18">
      <c r="E18" s="13" t="s">
        <v>146</v>
      </c>
      <c r="F18" s="13"/>
      <c r="G18" s="13"/>
      <c r="H18" s="30">
        <v>0.375</v>
      </c>
    </row>
    <row r="19">
      <c r="E19" s="13" t="s">
        <v>147</v>
      </c>
      <c r="F19" s="13"/>
      <c r="G19" s="13"/>
      <c r="H19" s="30"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data!$A$14</f>
      </c>
      <c r="F5" s="11" t="str">
        <f>data!$A$23</f>
      </c>
    </row>
    <row r="6" ht="17" customHeight="true">
      <c r="B6" s="12" t="str">
        <f>"1. " &amp; data!$B$3</f>
      </c>
      <c r="D6" s="12" t="str">
        <f>"1. " &amp; data!$B$12</f>
      </c>
      <c r="F6" s="12" t="str">
        <f>"1. " &amp; data!$B$21</f>
      </c>
    </row>
    <row r="7" ht="17" customHeight="true">
      <c r="B7" s="12" t="str">
        <f>"2. " &amp; data!$B$4</f>
      </c>
      <c r="D7" s="12" t="str">
        <f>"2. " &amp; data!$B$13</f>
      </c>
      <c r="F7" s="12" t="str">
        <f>"2. " &amp; data!$B$22</f>
      </c>
    </row>
    <row r="8">
      <c r="B8" s="12" t="str">
        <f>"3. " &amp; data!$B$5</f>
      </c>
      <c r="D8" s="12" t="str">
        <f>"3. " &amp; data!$B$14</f>
      </c>
      <c r="F8" s="12" t="str">
        <f>"3. " &amp; data!$B$23</f>
      </c>
    </row>
    <row r="11">
      <c r="B11" s="11" t="str">
        <f>data!$A$8</f>
      </c>
      <c r="D11" s="11" t="str">
        <f>data!$A$17</f>
      </c>
      <c r="F11" s="11" t="str">
        <f>data!$A$26</f>
      </c>
    </row>
    <row r="12">
      <c r="B12" s="12" t="str">
        <f>"1. " &amp; data!$B$6</f>
      </c>
      <c r="D12" s="12" t="str">
        <f>"1. " &amp; data!$B$15</f>
      </c>
      <c r="F12" s="12" t="str">
        <f>"1. " &amp; data!$B$24</f>
      </c>
    </row>
    <row r="13">
      <c r="B13" s="12" t="str">
        <f>"2. " &amp; data!$B$7</f>
      </c>
      <c r="D13" s="12" t="str">
        <f>"2. " &amp; data!$B$16</f>
      </c>
      <c r="F13" s="12" t="str">
        <f>"2. " &amp; data!$B$25</f>
      </c>
    </row>
    <row r="14">
      <c r="B14" s="12" t="str">
        <f>"3. " &amp; data!$B$8</f>
      </c>
      <c r="D14" s="12" t="str">
        <f>"3. " &amp; data!$B$17</f>
      </c>
      <c r="F14" s="12" t="str">
        <f>"3. " &amp; data!$B$26</f>
      </c>
    </row>
    <row r="17">
      <c r="B17" s="11" t="str">
        <f>data!$A$11</f>
      </c>
      <c r="D17" s="11" t="str">
        <f>data!$A$20</f>
      </c>
    </row>
    <row r="18">
      <c r="B18" s="12" t="str">
        <f>"1. " &amp; data!$B$9</f>
      </c>
      <c r="D18" s="12" t="str">
        <f>"1. " &amp; data!$B$18</f>
      </c>
    </row>
    <row r="19">
      <c r="B19" s="12" t="str">
        <f>"2. " &amp; data!$B$10</f>
      </c>
      <c r="D19" s="12" t="str">
        <f>"2. " &amp; data!$B$19</f>
      </c>
    </row>
    <row r="20">
      <c r="B20" s="12" t="str">
        <f>"3. " &amp; data!$B$11</f>
      </c>
      <c r="D20" s="12" t="str">
        <f>"3. " &amp; data!$B$20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92</v>
      </c>
      <c r="B1" s="13"/>
      <c r="C1" s="13"/>
      <c r="D1" s="13"/>
      <c r="E1" s="13"/>
      <c r="F1" s="13"/>
      <c r="G1" s="13"/>
      <c r="I1" s="13" t="s">
        <v>93</v>
      </c>
      <c r="J1" s="13"/>
      <c r="K1" s="13"/>
      <c r="L1" s="13"/>
      <c r="M1" s="13"/>
      <c r="N1" s="13"/>
      <c r="O1" s="13"/>
    </row>
    <row r="2">
      <c r="A2" s="13" t="str">
        <f>data!$A$5</f>
      </c>
      <c r="B2" s="13"/>
      <c r="C2" s="13"/>
      <c r="D2" s="13"/>
      <c r="E2" s="13"/>
      <c r="F2" s="13"/>
      <c r="G2" s="13"/>
      <c r="I2" s="13" t="str">
        <f>data!$A$17</f>
      </c>
      <c r="J2" s="13"/>
      <c r="K2" s="13"/>
      <c r="L2" s="13"/>
      <c r="M2" s="13"/>
      <c r="N2" s="13"/>
      <c r="O2" s="13"/>
    </row>
    <row r="3">
      <c r="A3" s="17" t="s">
        <v>94</v>
      </c>
      <c r="D3" s="14" t="s">
        <v>95</v>
      </c>
      <c r="G3" s="16" t="s">
        <v>96</v>
      </c>
      <c r="I3" s="17" t="s">
        <v>94</v>
      </c>
      <c r="L3" s="14" t="s">
        <v>95</v>
      </c>
      <c r="O3" s="16" t="s">
        <v>96</v>
      </c>
    </row>
    <row r="4">
      <c r="A4" s="14" t="str">
        <f>data!$B$4</f>
      </c>
      <c r="B4" s="14"/>
      <c r="C4" s="14"/>
      <c r="D4" s="14"/>
      <c r="E4" s="14"/>
      <c r="F4" s="14"/>
      <c r="G4" s="14" t="str">
        <f>data!$B$3</f>
      </c>
      <c r="I4" s="14" t="str">
        <f>data!$B$16</f>
      </c>
      <c r="J4" s="14"/>
      <c r="K4" s="14"/>
      <c r="L4" s="14"/>
      <c r="M4" s="14"/>
      <c r="N4" s="14"/>
      <c r="O4" s="14" t="str">
        <f>data!$B$15</f>
      </c>
    </row>
    <row r="5">
      <c r="A5" s="14" t="str">
        <f>data!$B$5</f>
      </c>
      <c r="B5" s="14"/>
      <c r="C5" s="14"/>
      <c r="D5" s="14"/>
      <c r="E5" s="14"/>
      <c r="F5" s="14"/>
      <c r="G5" s="14" t="str">
        <f>data!$B$3</f>
      </c>
      <c r="I5" s="14" t="str">
        <f>data!$B$17</f>
      </c>
      <c r="J5" s="14"/>
      <c r="K5" s="14"/>
      <c r="L5" s="14"/>
      <c r="M5" s="14"/>
      <c r="N5" s="14"/>
      <c r="O5" s="14" t="str">
        <f>data!$B$15</f>
      </c>
    </row>
    <row r="6">
      <c r="A6" s="14" t="str">
        <f>data!$B$5</f>
      </c>
      <c r="B6" s="14"/>
      <c r="C6" s="14"/>
      <c r="D6" s="14"/>
      <c r="E6" s="14"/>
      <c r="F6" s="14"/>
      <c r="G6" s="14" t="str">
        <f>data!$B$4</f>
      </c>
      <c r="I6" s="14" t="str">
        <f>data!$B$17</f>
      </c>
      <c r="J6" s="14"/>
      <c r="K6" s="14"/>
      <c r="L6" s="14"/>
      <c r="M6" s="14"/>
      <c r="N6" s="14"/>
      <c r="O6" s="14" t="str">
        <f>data!$B$16</f>
      </c>
    </row>
    <row r="8">
      <c r="F8" t="s">
        <v>97</v>
      </c>
      <c r="G8" s="15"/>
      <c r="N8" t="s">
        <v>97</v>
      </c>
      <c r="O8" s="15"/>
    </row>
    <row r="9">
      <c r="F9" t="s">
        <v>98</v>
      </c>
      <c r="G9" s="15"/>
      <c r="N9" t="s">
        <v>98</v>
      </c>
      <c r="O9" s="15"/>
    </row>
    <row r="10">
      <c r="F10" t="s">
        <v>99</v>
      </c>
      <c r="G10" s="15"/>
      <c r="N10" t="s">
        <v>99</v>
      </c>
      <c r="O10" s="15"/>
    </row>
    <row r="12">
      <c r="A12" s="13" t="str">
        <f>data!$A$8</f>
      </c>
      <c r="B12" s="13"/>
      <c r="C12" s="13"/>
      <c r="D12" s="13"/>
      <c r="E12" s="13"/>
      <c r="F12" s="13"/>
      <c r="G12" s="13"/>
      <c r="I12" s="13" t="str">
        <f>data!$A$20</f>
      </c>
      <c r="J12" s="13"/>
      <c r="K12" s="13"/>
      <c r="L12" s="13"/>
      <c r="M12" s="13"/>
      <c r="N12" s="13"/>
      <c r="O12" s="13"/>
    </row>
    <row r="13">
      <c r="A13" s="17" t="s">
        <v>94</v>
      </c>
      <c r="D13" s="14" t="s">
        <v>95</v>
      </c>
      <c r="G13" s="16" t="s">
        <v>96</v>
      </c>
      <c r="I13" s="17" t="s">
        <v>94</v>
      </c>
      <c r="L13" s="14" t="s">
        <v>95</v>
      </c>
      <c r="O13" s="16" t="s">
        <v>96</v>
      </c>
    </row>
    <row r="14">
      <c r="A14" s="14" t="str">
        <f>data!$B$7</f>
      </c>
      <c r="B14" s="14"/>
      <c r="C14" s="14"/>
      <c r="D14" s="14"/>
      <c r="E14" s="14"/>
      <c r="F14" s="14"/>
      <c r="G14" s="14" t="str">
        <f>data!$B$6</f>
      </c>
      <c r="I14" s="14" t="str">
        <f>data!$B$19</f>
      </c>
      <c r="J14" s="14"/>
      <c r="K14" s="14"/>
      <c r="L14" s="14"/>
      <c r="M14" s="14"/>
      <c r="N14" s="14"/>
      <c r="O14" s="14" t="str">
        <f>data!$B$18</f>
      </c>
    </row>
    <row r="15">
      <c r="A15" s="14" t="str">
        <f>data!$B$8</f>
      </c>
      <c r="B15" s="14"/>
      <c r="C15" s="14"/>
      <c r="D15" s="14"/>
      <c r="E15" s="14"/>
      <c r="F15" s="14"/>
      <c r="G15" s="14" t="str">
        <f>data!$B$6</f>
      </c>
      <c r="I15" s="14" t="str">
        <f>data!$B$20</f>
      </c>
      <c r="J15" s="14"/>
      <c r="K15" s="14"/>
      <c r="L15" s="14"/>
      <c r="M15" s="14"/>
      <c r="N15" s="14"/>
      <c r="O15" s="14" t="str">
        <f>data!$B$18</f>
      </c>
    </row>
    <row r="16">
      <c r="A16" s="14" t="str">
        <f>data!$B$8</f>
      </c>
      <c r="B16" s="14"/>
      <c r="C16" s="14"/>
      <c r="D16" s="14"/>
      <c r="E16" s="14"/>
      <c r="F16" s="14"/>
      <c r="G16" s="14" t="str">
        <f>data!$B$7</f>
      </c>
      <c r="I16" s="14" t="str">
        <f>data!$B$20</f>
      </c>
      <c r="J16" s="14"/>
      <c r="K16" s="14"/>
      <c r="L16" s="14"/>
      <c r="M16" s="14"/>
      <c r="N16" s="14"/>
      <c r="O16" s="14" t="str">
        <f>data!$B$19</f>
      </c>
    </row>
    <row r="18">
      <c r="F18" t="s">
        <v>97</v>
      </c>
      <c r="G18" s="15"/>
      <c r="N18" t="s">
        <v>97</v>
      </c>
      <c r="O18" s="15"/>
    </row>
    <row r="19">
      <c r="F19" t="s">
        <v>98</v>
      </c>
      <c r="G19" s="15"/>
      <c r="N19" t="s">
        <v>98</v>
      </c>
      <c r="O19" s="15"/>
    </row>
    <row r="20">
      <c r="F20" t="s">
        <v>99</v>
      </c>
      <c r="G20" s="15"/>
      <c r="N20" t="s">
        <v>99</v>
      </c>
      <c r="O20" s="15"/>
    </row>
    <row r="22">
      <c r="A22" s="13" t="str">
        <f>data!$A$11</f>
      </c>
      <c r="B22" s="13"/>
      <c r="C22" s="13"/>
      <c r="D22" s="13"/>
      <c r="E22" s="13"/>
      <c r="F22" s="13"/>
      <c r="G22" s="13"/>
      <c r="I22" s="13" t="str">
        <f>data!$A$23</f>
      </c>
      <c r="J22" s="13"/>
      <c r="K22" s="13"/>
      <c r="L22" s="13"/>
      <c r="M22" s="13"/>
      <c r="N22" s="13"/>
      <c r="O22" s="13"/>
    </row>
    <row r="23">
      <c r="A23" s="17" t="s">
        <v>94</v>
      </c>
      <c r="D23" s="14" t="s">
        <v>95</v>
      </c>
      <c r="G23" s="16" t="s">
        <v>96</v>
      </c>
      <c r="I23" s="17" t="s">
        <v>94</v>
      </c>
      <c r="L23" s="14" t="s">
        <v>95</v>
      </c>
      <c r="O23" s="16" t="s">
        <v>96</v>
      </c>
    </row>
    <row r="24">
      <c r="A24" s="14" t="str">
        <f>data!$B$10</f>
      </c>
      <c r="B24" s="14"/>
      <c r="C24" s="14"/>
      <c r="D24" s="14"/>
      <c r="E24" s="14"/>
      <c r="F24" s="14"/>
      <c r="G24" s="14" t="str">
        <f>data!$B$9</f>
      </c>
      <c r="I24" s="14" t="str">
        <f>data!$B$22</f>
      </c>
      <c r="J24" s="14"/>
      <c r="K24" s="14"/>
      <c r="L24" s="14"/>
      <c r="M24" s="14"/>
      <c r="N24" s="14"/>
      <c r="O24" s="14" t="str">
        <f>data!$B$21</f>
      </c>
    </row>
    <row r="25">
      <c r="A25" s="14" t="str">
        <f>data!$B$11</f>
      </c>
      <c r="B25" s="14"/>
      <c r="C25" s="14"/>
      <c r="D25" s="14"/>
      <c r="E25" s="14"/>
      <c r="F25" s="14"/>
      <c r="G25" s="14" t="str">
        <f>data!$B$9</f>
      </c>
      <c r="I25" s="14" t="str">
        <f>data!$B$23</f>
      </c>
      <c r="J25" s="14"/>
      <c r="K25" s="14"/>
      <c r="L25" s="14"/>
      <c r="M25" s="14"/>
      <c r="N25" s="14"/>
      <c r="O25" s="14" t="str">
        <f>data!$B$21</f>
      </c>
    </row>
    <row r="26">
      <c r="A26" s="14" t="str">
        <f>data!$B$11</f>
      </c>
      <c r="B26" s="14"/>
      <c r="C26" s="14"/>
      <c r="D26" s="14"/>
      <c r="E26" s="14"/>
      <c r="F26" s="14"/>
      <c r="G26" s="14" t="str">
        <f>data!$B$10</f>
      </c>
      <c r="I26" s="14" t="str">
        <f>data!$B$23</f>
      </c>
      <c r="J26" s="14"/>
      <c r="K26" s="14"/>
      <c r="L26" s="14"/>
      <c r="M26" s="14"/>
      <c r="N26" s="14"/>
      <c r="O26" s="14" t="str">
        <f>data!$B$22</f>
      </c>
    </row>
    <row r="28">
      <c r="F28" t="s">
        <v>97</v>
      </c>
      <c r="G28" s="15"/>
      <c r="N28" t="s">
        <v>97</v>
      </c>
      <c r="O28" s="15"/>
    </row>
    <row r="29">
      <c r="F29" t="s">
        <v>98</v>
      </c>
      <c r="G29" s="15"/>
      <c r="N29" t="s">
        <v>98</v>
      </c>
      <c r="O29" s="15"/>
    </row>
    <row r="30">
      <c r="F30" t="s">
        <v>99</v>
      </c>
      <c r="G30" s="15"/>
      <c r="N30" t="s">
        <v>99</v>
      </c>
      <c r="O30" s="15"/>
    </row>
    <row r="32">
      <c r="A32" s="13" t="str">
        <f>data!$A$14</f>
      </c>
      <c r="B32" s="13"/>
      <c r="C32" s="13"/>
      <c r="D32" s="13"/>
      <c r="E32" s="13"/>
      <c r="F32" s="13"/>
      <c r="G32" s="13"/>
      <c r="I32" s="13" t="str">
        <f>data!$A$26</f>
      </c>
      <c r="J32" s="13"/>
      <c r="K32" s="13"/>
      <c r="L32" s="13"/>
      <c r="M32" s="13"/>
      <c r="N32" s="13"/>
      <c r="O32" s="13"/>
    </row>
    <row r="33">
      <c r="A33" s="17" t="s">
        <v>94</v>
      </c>
      <c r="D33" s="14" t="s">
        <v>95</v>
      </c>
      <c r="G33" s="16" t="s">
        <v>96</v>
      </c>
      <c r="I33" s="17" t="s">
        <v>94</v>
      </c>
      <c r="L33" s="14" t="s">
        <v>95</v>
      </c>
      <c r="O33" s="16" t="s">
        <v>96</v>
      </c>
    </row>
    <row r="34">
      <c r="A34" s="14" t="str">
        <f>data!$B$13</f>
      </c>
      <c r="B34" s="14"/>
      <c r="C34" s="14"/>
      <c r="D34" s="14"/>
      <c r="E34" s="14"/>
      <c r="F34" s="14"/>
      <c r="G34" s="14" t="str">
        <f>data!$B$12</f>
      </c>
      <c r="I34" s="14" t="str">
        <f>data!$B$25</f>
      </c>
      <c r="J34" s="14"/>
      <c r="K34" s="14"/>
      <c r="L34" s="14"/>
      <c r="M34" s="14"/>
      <c r="N34" s="14"/>
      <c r="O34" s="14" t="str">
        <f>data!$B$24</f>
      </c>
    </row>
    <row r="35">
      <c r="A35" s="14" t="str">
        <f>data!$B$14</f>
      </c>
      <c r="B35" s="14"/>
      <c r="C35" s="14"/>
      <c r="D35" s="14"/>
      <c r="E35" s="14"/>
      <c r="F35" s="14"/>
      <c r="G35" s="14" t="str">
        <f>data!$B$12</f>
      </c>
      <c r="I35" s="14" t="str">
        <f>data!$B$26</f>
      </c>
      <c r="J35" s="14"/>
      <c r="K35" s="14"/>
      <c r="L35" s="14"/>
      <c r="M35" s="14"/>
      <c r="N35" s="14"/>
      <c r="O35" s="14" t="str">
        <f>data!$B$24</f>
      </c>
    </row>
    <row r="36">
      <c r="A36" s="14" t="str">
        <f>data!$B$14</f>
      </c>
      <c r="B36" s="14"/>
      <c r="C36" s="14"/>
      <c r="D36" s="14"/>
      <c r="E36" s="14"/>
      <c r="F36" s="14"/>
      <c r="G36" s="14" t="str">
        <f>data!$B$13</f>
      </c>
      <c r="I36" s="14" t="str">
        <f>data!$B$26</f>
      </c>
      <c r="J36" s="14"/>
      <c r="K36" s="14"/>
      <c r="L36" s="14"/>
      <c r="M36" s="14"/>
      <c r="N36" s="14"/>
      <c r="O36" s="14" t="str">
        <f>data!$B$25</f>
      </c>
    </row>
    <row r="38">
      <c r="F38" t="s">
        <v>97</v>
      </c>
      <c r="G38" s="15"/>
      <c r="N38" t="s">
        <v>97</v>
      </c>
      <c r="O38" s="15"/>
    </row>
    <row r="39">
      <c r="F39" t="s">
        <v>98</v>
      </c>
      <c r="G39" s="15"/>
      <c r="N39" t="s">
        <v>98</v>
      </c>
      <c r="O39" s="15"/>
    </row>
    <row r="40">
      <c r="F40" t="s">
        <v>99</v>
      </c>
      <c r="G40" s="15"/>
      <c r="N40" t="s">
        <v>99</v>
      </c>
      <c r="O40" s="15"/>
    </row>
  </sheetData>
  <mergeCells count="10">
    <mergeCell ref="A1:G1"/>
    <mergeCell ref="I1:O1"/>
    <mergeCell ref="A2:G2"/>
    <mergeCell ref="I2:O2"/>
    <mergeCell ref="A12:G12"/>
    <mergeCell ref="I12:O12"/>
    <mergeCell ref="A22:G22"/>
    <mergeCell ref="I22:O22"/>
    <mergeCell ref="A32:G32"/>
    <mergeCell ref="I32:O32"/>
  </mergeCells>
  <printOptions horizontalCentered="true" verticalCentered="true"/>
  <pageSetup fitToHeight="0" fitToWidth="2" orientation="portrait" pageOrder="downThenOver" paperSize="9"/>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92</v>
      </c>
      <c r="B1" s="13"/>
      <c r="C1" s="13"/>
      <c r="D1" s="13"/>
      <c r="E1" s="13"/>
      <c r="F1" s="13"/>
      <c r="G1" s="13"/>
      <c r="I1" s="13" t="s">
        <v>93</v>
      </c>
      <c r="J1" s="13"/>
      <c r="K1" s="13"/>
      <c r="L1" s="13"/>
      <c r="M1" s="13"/>
      <c r="N1" s="13"/>
      <c r="O1" s="13"/>
    </row>
    <row r="2">
      <c r="A2" s="13" t="s">
        <v>124</v>
      </c>
      <c r="B2" s="13"/>
      <c r="C2" s="13"/>
      <c r="D2" s="13"/>
      <c r="E2" s="13"/>
      <c r="F2" s="13"/>
      <c r="G2" s="13"/>
      <c r="I2" s="13" t="s">
        <v>127</v>
      </c>
      <c r="J2" s="13"/>
      <c r="K2" s="13"/>
      <c r="L2" s="13"/>
      <c r="M2" s="13"/>
      <c r="N2" s="13"/>
      <c r="O2" s="13"/>
    </row>
    <row r="3">
      <c r="A3" s="17" t="s">
        <v>94</v>
      </c>
      <c r="D3" s="14" t="s">
        <v>95</v>
      </c>
      <c r="G3" s="16" t="s">
        <v>96</v>
      </c>
      <c r="I3" s="17" t="s">
        <v>94</v>
      </c>
      <c r="L3" s="14" t="s">
        <v>95</v>
      </c>
      <c r="O3" s="16" t="s">
        <v>96</v>
      </c>
    </row>
    <row r="4">
      <c r="A4" s="14" t="str">
        <f>CONCATENATE("Pool B-2nd ",'Pool Matches'!G19)</f>
      </c>
      <c r="B4" s="14"/>
      <c r="C4" s="14"/>
      <c r="D4" s="14"/>
      <c r="E4" s="14"/>
      <c r="F4" s="14"/>
      <c r="G4" s="14" t="str">
        <f>CONCATENATE("Pool A-1st ",'Pool Matches'!G8)</f>
      </c>
      <c r="I4" s="14" t="str">
        <f>CONCATENATE("Pool A-2nd ",'Pool Matches'!G9)</f>
      </c>
      <c r="J4" s="14"/>
      <c r="K4" s="14"/>
      <c r="L4" s="14"/>
      <c r="M4" s="14"/>
      <c r="N4" s="14"/>
      <c r="O4" s="14" t="str">
        <f>CONCATENATE("Pool B-1st ",'Pool Matches'!G18)</f>
      </c>
    </row>
    <row r="6">
      <c r="F6" t="s">
        <v>125</v>
      </c>
      <c r="G6" s="15"/>
      <c r="N6" t="s">
        <v>125</v>
      </c>
      <c r="O6" s="15"/>
    </row>
    <row r="7">
      <c r="F7" t="s">
        <v>126</v>
      </c>
      <c r="G7" s="15"/>
      <c r="N7" t="s">
        <v>126</v>
      </c>
      <c r="O7" s="15"/>
    </row>
    <row r="10">
      <c r="A10" s="13" t="s">
        <v>128</v>
      </c>
      <c r="B10" s="13"/>
      <c r="C10" s="13"/>
      <c r="D10" s="13"/>
      <c r="E10" s="13"/>
      <c r="F10" s="13"/>
      <c r="G10" s="13"/>
      <c r="I10" s="13" t="s">
        <v>129</v>
      </c>
      <c r="J10" s="13"/>
      <c r="K10" s="13"/>
      <c r="L10" s="13"/>
      <c r="M10" s="13"/>
      <c r="N10" s="13"/>
      <c r="O10" s="13"/>
    </row>
    <row r="11">
      <c r="A11" s="17" t="s">
        <v>94</v>
      </c>
      <c r="D11" s="14" t="s">
        <v>95</v>
      </c>
      <c r="G11" s="16" t="s">
        <v>96</v>
      </c>
      <c r="I11" s="17" t="s">
        <v>94</v>
      </c>
      <c r="L11" s="14" t="s">
        <v>95</v>
      </c>
      <c r="O11" s="16" t="s">
        <v>96</v>
      </c>
    </row>
    <row r="12">
      <c r="A12" s="14" t="str">
        <f>CONCATENATE("Pool D-2nd ",'Pool Matches'!G39)</f>
      </c>
      <c r="B12" s="14"/>
      <c r="C12" s="14"/>
      <c r="D12" s="14"/>
      <c r="E12" s="14"/>
      <c r="F12" s="14"/>
      <c r="G12" s="14" t="str">
        <f>CONCATENATE("Pool C-1st ",'Pool Matches'!G28)</f>
      </c>
      <c r="I12" s="14" t="str">
        <f>CONCATENATE("Pool C-2nd ",'Pool Matches'!G29)</f>
      </c>
      <c r="J12" s="14"/>
      <c r="K12" s="14"/>
      <c r="L12" s="14"/>
      <c r="M12" s="14"/>
      <c r="N12" s="14"/>
      <c r="O12" s="14" t="str">
        <f>CONCATENATE("Pool D-1st ",'Pool Matches'!G38)</f>
      </c>
    </row>
    <row r="14">
      <c r="F14" t="s">
        <v>125</v>
      </c>
      <c r="G14" s="15"/>
      <c r="N14" t="s">
        <v>125</v>
      </c>
      <c r="O14" s="15"/>
    </row>
    <row r="15">
      <c r="F15" t="s">
        <v>126</v>
      </c>
      <c r="G15" s="15"/>
      <c r="N15" t="s">
        <v>126</v>
      </c>
      <c r="O15" s="15"/>
    </row>
    <row r="18">
      <c r="A18" s="13" t="s">
        <v>130</v>
      </c>
      <c r="B18" s="13"/>
      <c r="C18" s="13"/>
      <c r="D18" s="13"/>
      <c r="E18" s="13"/>
      <c r="F18" s="13"/>
      <c r="G18" s="13"/>
      <c r="I18" s="13" t="s">
        <v>131</v>
      </c>
      <c r="J18" s="13"/>
      <c r="K18" s="13"/>
      <c r="L18" s="13"/>
      <c r="M18" s="13"/>
      <c r="N18" s="13"/>
      <c r="O18" s="13"/>
    </row>
    <row r="19">
      <c r="A19" s="17" t="s">
        <v>94</v>
      </c>
      <c r="D19" s="14" t="s">
        <v>95</v>
      </c>
      <c r="G19" s="16" t="s">
        <v>96</v>
      </c>
      <c r="I19" s="17" t="s">
        <v>94</v>
      </c>
      <c r="L19" s="14" t="s">
        <v>95</v>
      </c>
      <c r="O19" s="16" t="s">
        <v>96</v>
      </c>
    </row>
    <row r="20">
      <c r="A20" s="14" t="str">
        <f>CONCATENATE("Pool F-2nd ",'Pool Matches'!O19)</f>
      </c>
      <c r="B20" s="14"/>
      <c r="C20" s="14"/>
      <c r="D20" s="14"/>
      <c r="E20" s="14"/>
      <c r="F20" s="14"/>
      <c r="G20" s="14" t="str">
        <f>CONCATENATE("Pool E-1st ",'Pool Matches'!O8)</f>
      </c>
      <c r="I20" s="14" t="str">
        <f>CONCATENATE("Pool E-2nd ",'Pool Matches'!O9)</f>
      </c>
      <c r="J20" s="14"/>
      <c r="K20" s="14"/>
      <c r="L20" s="14"/>
      <c r="M20" s="14"/>
      <c r="N20" s="14"/>
      <c r="O20" s="14" t="str">
        <f>CONCATENATE("Pool F-1st ",'Pool Matches'!O18)</f>
      </c>
    </row>
    <row r="22">
      <c r="F22" t="s">
        <v>125</v>
      </c>
      <c r="G22" s="15"/>
      <c r="N22" t="s">
        <v>125</v>
      </c>
      <c r="O22" s="15"/>
    </row>
    <row r="23">
      <c r="F23" t="s">
        <v>126</v>
      </c>
      <c r="G23" s="15"/>
      <c r="N23" t="s">
        <v>126</v>
      </c>
      <c r="O23" s="15"/>
    </row>
    <row r="26">
      <c r="A26" s="13" t="s">
        <v>132</v>
      </c>
      <c r="B26" s="13"/>
      <c r="C26" s="13"/>
      <c r="D26" s="13"/>
      <c r="E26" s="13"/>
      <c r="F26" s="13"/>
      <c r="G26" s="13"/>
      <c r="I26" s="13" t="s">
        <v>133</v>
      </c>
      <c r="J26" s="13"/>
      <c r="K26" s="13"/>
      <c r="L26" s="13"/>
      <c r="M26" s="13"/>
      <c r="N26" s="13"/>
      <c r="O26" s="13"/>
    </row>
    <row r="27">
      <c r="A27" s="17" t="s">
        <v>94</v>
      </c>
      <c r="D27" s="14" t="s">
        <v>95</v>
      </c>
      <c r="G27" s="16" t="s">
        <v>96</v>
      </c>
      <c r="I27" s="17" t="s">
        <v>94</v>
      </c>
      <c r="L27" s="14" t="s">
        <v>95</v>
      </c>
      <c r="O27" s="16" t="s">
        <v>96</v>
      </c>
    </row>
    <row r="28">
      <c r="A28" s="14" t="str">
        <f>CONCATENATE("Pool H-2nd ",'Pool Matches'!O39)</f>
      </c>
      <c r="B28" s="14"/>
      <c r="C28" s="14"/>
      <c r="D28" s="14"/>
      <c r="E28" s="14"/>
      <c r="F28" s="14"/>
      <c r="G28" s="14" t="str">
        <f>CONCATENATE("Pool G-1st ",'Pool Matches'!O28)</f>
      </c>
      <c r="I28" s="14" t="str">
        <f>CONCATENATE("Pool G-2nd ",'Pool Matches'!O29)</f>
      </c>
      <c r="J28" s="14"/>
      <c r="K28" s="14"/>
      <c r="L28" s="14"/>
      <c r="M28" s="14"/>
      <c r="N28" s="14"/>
      <c r="O28" s="14" t="str">
        <f>CONCATENATE("Pool H-1st ",'Pool Matches'!O38)</f>
      </c>
    </row>
    <row r="30">
      <c r="F30" t="s">
        <v>125</v>
      </c>
      <c r="G30" s="15"/>
      <c r="N30" t="s">
        <v>125</v>
      </c>
      <c r="O30" s="15"/>
    </row>
    <row r="31">
      <c r="F31" t="s">
        <v>126</v>
      </c>
      <c r="G31" s="15"/>
      <c r="N31" t="s">
        <v>126</v>
      </c>
      <c r="O31" s="15"/>
    </row>
    <row r="39">
      <c r="A39" s="13" t="s">
        <v>134</v>
      </c>
      <c r="B39" s="13"/>
      <c r="C39" s="13"/>
      <c r="D39" s="13"/>
      <c r="E39" s="13"/>
      <c r="F39" s="13"/>
      <c r="G39" s="13"/>
      <c r="I39" s="13" t="s">
        <v>135</v>
      </c>
      <c r="J39" s="13"/>
      <c r="K39" s="13"/>
      <c r="L39" s="13"/>
      <c r="M39" s="13"/>
      <c r="N39" s="13"/>
      <c r="O39" s="13"/>
    </row>
    <row r="40">
      <c r="A40" s="17" t="s">
        <v>94</v>
      </c>
      <c r="D40" s="14" t="s">
        <v>95</v>
      </c>
      <c r="G40" s="16" t="s">
        <v>96</v>
      </c>
      <c r="I40" s="17" t="s">
        <v>94</v>
      </c>
      <c r="L40" s="14" t="s">
        <v>95</v>
      </c>
      <c r="O40" s="16" t="s">
        <v>96</v>
      </c>
    </row>
    <row r="41">
      <c r="A41" s="14" t="str">
        <f>CONCATENATE("M 2 ",G14)</f>
      </c>
      <c r="B41" s="14"/>
      <c r="C41" s="14"/>
      <c r="D41" s="14"/>
      <c r="E41" s="14"/>
      <c r="F41" s="14"/>
      <c r="G41" s="14" t="str">
        <f>CONCATENATE("M 1 ",G6)</f>
      </c>
      <c r="I41" s="14" t="str">
        <f>CONCATENATE("M 6 ",O14)</f>
      </c>
      <c r="J41" s="14"/>
      <c r="K41" s="14"/>
      <c r="L41" s="14"/>
      <c r="M41" s="14"/>
      <c r="N41" s="14"/>
      <c r="O41" s="14" t="str">
        <f>CONCATENATE("M 5 ",O6)</f>
      </c>
    </row>
    <row r="43">
      <c r="F43" t="s">
        <v>125</v>
      </c>
      <c r="G43" s="15"/>
      <c r="N43" t="s">
        <v>125</v>
      </c>
      <c r="O43" s="15"/>
    </row>
    <row r="44">
      <c r="F44" t="s">
        <v>126</v>
      </c>
      <c r="G44" s="15"/>
      <c r="N44" t="s">
        <v>126</v>
      </c>
      <c r="O44" s="15"/>
    </row>
    <row r="47">
      <c r="A47" s="13" t="s">
        <v>136</v>
      </c>
      <c r="B47" s="13"/>
      <c r="C47" s="13"/>
      <c r="D47" s="13"/>
      <c r="E47" s="13"/>
      <c r="F47" s="13"/>
      <c r="G47" s="13"/>
      <c r="I47" s="13" t="s">
        <v>137</v>
      </c>
      <c r="J47" s="13"/>
      <c r="K47" s="13"/>
      <c r="L47" s="13"/>
      <c r="M47" s="13"/>
      <c r="N47" s="13"/>
      <c r="O47" s="13"/>
    </row>
    <row r="48">
      <c r="A48" s="17" t="s">
        <v>94</v>
      </c>
      <c r="D48" s="14" t="s">
        <v>95</v>
      </c>
      <c r="G48" s="16" t="s">
        <v>96</v>
      </c>
      <c r="I48" s="17" t="s">
        <v>94</v>
      </c>
      <c r="L48" s="14" t="s">
        <v>95</v>
      </c>
      <c r="O48" s="16" t="s">
        <v>96</v>
      </c>
    </row>
    <row r="49">
      <c r="A49" s="14" t="str">
        <f>CONCATENATE("M 4 ",G30)</f>
      </c>
      <c r="B49" s="14"/>
      <c r="C49" s="14"/>
      <c r="D49" s="14"/>
      <c r="E49" s="14"/>
      <c r="F49" s="14"/>
      <c r="G49" s="14" t="str">
        <f>CONCATENATE("M 3 ",G22)</f>
      </c>
      <c r="I49" s="14" t="str">
        <f>CONCATENATE("M 8 ",O30)</f>
      </c>
      <c r="J49" s="14"/>
      <c r="K49" s="14"/>
      <c r="L49" s="14"/>
      <c r="M49" s="14"/>
      <c r="N49" s="14"/>
      <c r="O49" s="14" t="str">
        <f>CONCATENATE("M 7 ",O22)</f>
      </c>
    </row>
    <row r="51">
      <c r="F51" t="s">
        <v>125</v>
      </c>
      <c r="G51" s="15"/>
      <c r="N51" t="s">
        <v>125</v>
      </c>
      <c r="O51" s="15"/>
    </row>
    <row r="52">
      <c r="F52" t="s">
        <v>126</v>
      </c>
      <c r="G52" s="15"/>
      <c r="N52" t="s">
        <v>126</v>
      </c>
      <c r="O52" s="15"/>
    </row>
    <row r="60">
      <c r="A60" s="13" t="s">
        <v>138</v>
      </c>
      <c r="B60" s="13"/>
      <c r="C60" s="13"/>
      <c r="D60" s="13"/>
      <c r="E60" s="13"/>
      <c r="F60" s="13"/>
      <c r="G60" s="13"/>
      <c r="I60" s="13" t="s">
        <v>139</v>
      </c>
      <c r="J60" s="13"/>
      <c r="K60" s="13"/>
      <c r="L60" s="13"/>
      <c r="M60" s="13"/>
      <c r="N60" s="13"/>
      <c r="O60" s="13"/>
    </row>
    <row r="61">
      <c r="A61" s="17" t="s">
        <v>94</v>
      </c>
      <c r="D61" s="14" t="s">
        <v>95</v>
      </c>
      <c r="G61" s="16" t="s">
        <v>96</v>
      </c>
      <c r="I61" s="17" t="s">
        <v>94</v>
      </c>
      <c r="L61" s="14" t="s">
        <v>95</v>
      </c>
      <c r="O61" s="16" t="s">
        <v>96</v>
      </c>
    </row>
    <row r="62">
      <c r="A62" s="14" t="str">
        <f>CONCATENATE("M 10 ",G51)</f>
      </c>
      <c r="B62" s="14"/>
      <c r="C62" s="14"/>
      <c r="D62" s="14"/>
      <c r="E62" s="14"/>
      <c r="F62" s="14"/>
      <c r="G62" s="14" t="str">
        <f>CONCATENATE("M 9 ",G43)</f>
      </c>
      <c r="I62" s="14" t="str">
        <f>CONCATENATE("M 12 ",O51)</f>
      </c>
      <c r="J62" s="14"/>
      <c r="K62" s="14"/>
      <c r="L62" s="14"/>
      <c r="M62" s="14"/>
      <c r="N62" s="14"/>
      <c r="O62" s="14" t="str">
        <f>CONCATENATE("M 11 ",O43)</f>
      </c>
    </row>
    <row r="64">
      <c r="F64" t="s">
        <v>125</v>
      </c>
      <c r="G64" s="15"/>
      <c r="N64" t="s">
        <v>125</v>
      </c>
      <c r="O64" s="15"/>
    </row>
    <row r="65">
      <c r="F65" t="s">
        <v>126</v>
      </c>
      <c r="G65" s="15"/>
      <c r="N65" t="s">
        <v>126</v>
      </c>
      <c r="O65" s="15"/>
    </row>
    <row r="73">
      <c r="A73" s="13" t="s">
        <v>140</v>
      </c>
      <c r="B73" s="13"/>
      <c r="C73" s="13"/>
      <c r="D73" s="13"/>
      <c r="E73" s="13"/>
      <c r="F73" s="13"/>
      <c r="G73" s="13"/>
    </row>
    <row r="74">
      <c r="A74" s="17" t="s">
        <v>94</v>
      </c>
      <c r="D74" s="14" t="s">
        <v>95</v>
      </c>
      <c r="G74" s="16" t="s">
        <v>96</v>
      </c>
    </row>
    <row r="75">
      <c r="A75" s="14" t="str">
        <f>CONCATENATE("M 14 ",O64)</f>
      </c>
      <c r="B75" s="14"/>
      <c r="C75" s="14"/>
      <c r="D75" s="14"/>
      <c r="E75" s="14"/>
      <c r="F75" s="14"/>
      <c r="G75" s="14" t="str">
        <f>CONCATENATE("M 13 ",G64)</f>
      </c>
    </row>
    <row r="77">
      <c r="F77" t="s">
        <v>125</v>
      </c>
      <c r="G77" s="15"/>
    </row>
    <row r="78">
      <c r="F78" t="s">
        <v>126</v>
      </c>
      <c r="G78" s="15"/>
    </row>
  </sheetData>
  <mergeCells count="17">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60:G60"/>
    <mergeCell ref="I60:O60"/>
    <mergeCell ref="A73:G73"/>
  </mergeCells>
  <printOptions horizontalCentered="true" verticalCentered="true"/>
  <pageSetup fitToHeight="0" fitToWidth="2" orientation="portrait" pageOrder="downThenOver" paperSize="9"/>
  <rowBreaks count="1" manualBreakCount="1">
    <brk id="38" max="16383" man="true"/>
  </rowBreaks>
  <colBreaks count="1" manualBreakCount="1">
    <brk id="8" max="1048575" man="true"/>
  </colBreaks>
</worksheet>
</file>

<file path=xl/worksheets/sheet6.xml><?xml version="1.0" encoding="utf-8"?>
<worksheet xmlns="http://schemas.openxmlformats.org/spreadsheetml/2006/main">
  <dimension ref="A1"/>
  <sheetViews>
    <sheetView workbookViewId="0"/>
  </sheetViews>
  <cols>
    <col customWidth="true" max="1" min="1" style="9" width="30"/>
    <col customWidth="true" max="2" min="2" style="10" width="160"/>
  </cols>
  <sheetData>
    <row r="1" ht="270" customHeight="true">
      <c r="A1" s="26" t="s">
        <v>100</v>
      </c>
      <c r="B1" s="27" t="str">
        <f>data!D3</f>
      </c>
    </row>
    <row r="2" ht="270" customHeight="true">
      <c r="A2" s="26" t="s">
        <v>101</v>
      </c>
      <c r="B2" s="27" t="str">
        <f>data!D4</f>
      </c>
    </row>
    <row r="3" ht="270" customHeight="true">
      <c r="A3" s="26" t="s">
        <v>102</v>
      </c>
      <c r="B3" s="27" t="str">
        <f>data!D5</f>
      </c>
    </row>
    <row r="4" ht="270" customHeight="true">
      <c r="A4" s="26" t="s">
        <v>103</v>
      </c>
      <c r="B4" s="27" t="str">
        <f>data!D6</f>
      </c>
    </row>
    <row r="5" ht="270" customHeight="true">
      <c r="A5" s="26" t="s">
        <v>104</v>
      </c>
      <c r="B5" s="27" t="str">
        <f>data!D7</f>
      </c>
    </row>
    <row r="6" ht="270" customHeight="true">
      <c r="A6" s="26" t="s">
        <v>105</v>
      </c>
      <c r="B6" s="27" t="str">
        <f>data!D8</f>
      </c>
    </row>
    <row r="7" ht="270" customHeight="true">
      <c r="A7" s="26" t="s">
        <v>106</v>
      </c>
      <c r="B7" s="27" t="str">
        <f>data!D9</f>
      </c>
    </row>
    <row r="8" ht="270" customHeight="true">
      <c r="A8" s="26" t="s">
        <v>107</v>
      </c>
      <c r="B8" s="27" t="str">
        <f>data!D10</f>
      </c>
    </row>
    <row r="9" ht="270" customHeight="true">
      <c r="A9" s="26" t="s">
        <v>108</v>
      </c>
      <c r="B9" s="27" t="str">
        <f>data!D11</f>
      </c>
    </row>
    <row r="10" ht="270" customHeight="true">
      <c r="A10" s="26" t="s">
        <v>109</v>
      </c>
      <c r="B10" s="27" t="str">
        <f>data!D12</f>
      </c>
    </row>
    <row r="11" ht="270" customHeight="true">
      <c r="A11" s="26" t="s">
        <v>110</v>
      </c>
      <c r="B11" s="27" t="str">
        <f>data!D13</f>
      </c>
    </row>
    <row r="12" ht="270" customHeight="true">
      <c r="A12" s="26" t="s">
        <v>111</v>
      </c>
      <c r="B12" s="27" t="str">
        <f>data!D14</f>
      </c>
    </row>
    <row r="13" ht="270" customHeight="true">
      <c r="A13" s="26" t="s">
        <v>112</v>
      </c>
      <c r="B13" s="27" t="str">
        <f>data!D15</f>
      </c>
    </row>
    <row r="14" ht="270" customHeight="true">
      <c r="A14" s="26" t="s">
        <v>113</v>
      </c>
      <c r="B14" s="27" t="str">
        <f>data!D16</f>
      </c>
    </row>
    <row r="15" ht="270" customHeight="true">
      <c r="A15" s="26" t="s">
        <v>114</v>
      </c>
      <c r="B15" s="27" t="str">
        <f>data!D17</f>
      </c>
    </row>
    <row r="16" ht="270" customHeight="true">
      <c r="A16" s="26" t="s">
        <v>115</v>
      </c>
      <c r="B16" s="27" t="str">
        <f>data!D18</f>
      </c>
    </row>
    <row r="17" ht="270" customHeight="true">
      <c r="A17" s="26" t="s">
        <v>116</v>
      </c>
      <c r="B17" s="27" t="str">
        <f>data!D19</f>
      </c>
    </row>
    <row r="18" ht="270" customHeight="true">
      <c r="A18" s="26" t="s">
        <v>117</v>
      </c>
      <c r="B18" s="27" t="str">
        <f>data!D20</f>
      </c>
    </row>
    <row r="19" ht="270" customHeight="true">
      <c r="A19" s="26" t="s">
        <v>118</v>
      </c>
      <c r="B19" s="27" t="str">
        <f>data!D21</f>
      </c>
    </row>
    <row r="20" ht="270" customHeight="true">
      <c r="A20" s="26" t="s">
        <v>119</v>
      </c>
      <c r="B20" s="27" t="str">
        <f>data!D22</f>
      </c>
    </row>
    <row r="21" ht="270" customHeight="true">
      <c r="A21" s="26" t="s">
        <v>120</v>
      </c>
      <c r="B21" s="27" t="str">
        <f>data!D23</f>
      </c>
    </row>
    <row r="22" ht="270" customHeight="true">
      <c r="A22" s="26" t="s">
        <v>121</v>
      </c>
      <c r="B22" s="27" t="str">
        <f>data!D24</f>
      </c>
    </row>
    <row r="23" ht="270" customHeight="true">
      <c r="A23" s="26" t="s">
        <v>122</v>
      </c>
      <c r="B23" s="27" t="str">
        <f>data!D25</f>
      </c>
    </row>
    <row r="24" ht="270" customHeight="true">
      <c r="A24" s="26" t="s">
        <v>123</v>
      </c>
      <c r="B24" s="27" t="str">
        <f>data!D26</f>
      </c>
    </row>
  </sheetData>
  <pageMargins left="0.1" right="0.1" top="0.1" bottom="0.1" header="0.1" footer="0.1"/>
  <pageSetup orientation="landscape" paperSize="8"/>
  <rowBreaks count="8" manualBreakCount="8">
    <brk id="3" max="16383" man="true"/>
    <brk id="6" max="16383" man="true"/>
    <brk id="9" max="16383" man="true"/>
    <brk id="12" max="16383" man="true"/>
    <brk id="15" max="16383" man="true"/>
    <brk id="18" max="16383" man="true"/>
    <brk id="21" max="16383" man="true"/>
    <brk id="24" max="16383" man="true"/>
  </rowBreaks>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2" t="str">
        <f>data!$A$5</f>
      </c>
    </row>
    <row r="5">
      <c r="A5" s="23" t="str">
        <f>"1. " &amp; data!$B$3</f>
      </c>
      <c r="C5" s="21" t="str">
        <f>CONCATENATE("Pool A-1st ",'Pool Matches'!G8)</f>
      </c>
    </row>
    <row r="6">
      <c r="A6" s="24" t="str">
        <f>"2. " &amp; data!$B$4</f>
      </c>
      <c r="D6" s="20"/>
      <c r="E6" s="19">
        <v>1</v>
      </c>
    </row>
    <row r="7">
      <c r="A7" s="25" t="str">
        <f>"3. " &amp; data!$B$5</f>
      </c>
      <c r="C7" s="21" t="str">
        <f>CONCATENATE("Pool B-2nd ",'Pool Matches'!G19)</f>
      </c>
      <c r="D7" s="15"/>
      <c r="E7" s="18"/>
      <c r="F7" s="20"/>
      <c r="G7" s="18"/>
    </row>
    <row r="8">
      <c r="A8" s="20"/>
      <c r="G8" s="19">
        <v>9</v>
      </c>
    </row>
    <row r="9">
      <c r="A9" s="22" t="str">
        <f>data!$A$8</f>
      </c>
      <c r="C9" s="21" t="str">
        <f>CONCATENATE("Pool C-1st ",'Pool Matches'!G28)</f>
      </c>
      <c r="G9" s="18"/>
      <c r="H9" s="20"/>
      <c r="I9" s="18"/>
    </row>
    <row r="10">
      <c r="A10" s="23" t="str">
        <f>"1. " &amp; data!$B$6</f>
      </c>
      <c r="D10" s="20"/>
      <c r="E10" s="19">
        <v>2</v>
      </c>
      <c r="F10" s="15"/>
      <c r="G10" s="18"/>
      <c r="I10" s="18"/>
    </row>
    <row r="11">
      <c r="A11" s="24" t="str">
        <f>"2. " &amp; data!$B$7</f>
      </c>
      <c r="C11" s="21" t="str">
        <f>CONCATENATE("Pool D-2nd ",'Pool Matches'!G39)</f>
      </c>
      <c r="D11" s="15"/>
      <c r="E11" s="18"/>
      <c r="I11" s="18"/>
    </row>
    <row r="12">
      <c r="A12" s="25" t="str">
        <f>"3. " &amp; data!$B$8</f>
      </c>
      <c r="I12" s="19">
        <v>13</v>
      </c>
    </row>
    <row r="13">
      <c r="A13" s="20"/>
      <c r="C13" s="21" t="str">
        <f>CONCATENATE("Pool E-1st ",'Pool Matches'!O8)</f>
      </c>
      <c r="I13" s="18"/>
    </row>
    <row r="14">
      <c r="A14" s="22" t="str">
        <f>data!$A$11</f>
      </c>
      <c r="D14" s="20"/>
      <c r="E14" s="19">
        <v>3</v>
      </c>
      <c r="I14" s="18"/>
    </row>
    <row r="15">
      <c r="A15" s="23" t="str">
        <f>"1. " &amp; data!$B$9</f>
      </c>
      <c r="C15" s="21" t="str">
        <f>CONCATENATE("Pool F-2nd ",'Pool Matches'!O19)</f>
      </c>
      <c r="D15" s="15"/>
      <c r="E15" s="18"/>
      <c r="F15" s="20"/>
      <c r="G15" s="18"/>
      <c r="I15" s="18"/>
    </row>
    <row r="16">
      <c r="A16" s="24" t="str">
        <f>"2. " &amp; data!$B$10</f>
      </c>
      <c r="G16" s="19">
        <v>10</v>
      </c>
      <c r="H16" s="15"/>
      <c r="I16" s="18"/>
    </row>
    <row r="17">
      <c r="A17" s="25" t="str">
        <f>"3. " &amp; data!$B$11</f>
      </c>
      <c r="C17" s="21" t="str">
        <f>CONCATENATE("Pool G-1st ",'Pool Matches'!O28)</f>
      </c>
      <c r="G17" s="18"/>
    </row>
    <row r="18">
      <c r="A18" s="20"/>
      <c r="D18" s="20"/>
      <c r="E18" s="19">
        <v>4</v>
      </c>
      <c r="F18" s="15"/>
      <c r="G18" s="18"/>
    </row>
    <row r="19">
      <c r="A19" s="22" t="str">
        <f>data!$A$14</f>
      </c>
      <c r="C19" s="21" t="str">
        <f>CONCATENATE("Pool H-2nd ",'Pool Matches'!O39)</f>
      </c>
      <c r="D19" s="15"/>
      <c r="E19" s="18"/>
    </row>
    <row r="20">
      <c r="A20" s="23" t="str">
        <f>"1. " &amp; data!$B$12</f>
      </c>
    </row>
    <row r="21">
      <c r="A21" s="24" t="str">
        <f>"2. " &amp; data!$B$13</f>
      </c>
    </row>
    <row r="22">
      <c r="A22" s="25" t="str">
        <f>"3. " &amp; data!$B$14</f>
      </c>
    </row>
    <row r="23">
      <c r="A23" s="20"/>
    </row>
  </sheetData>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2" t="str">
        <f>data!$A$17</f>
      </c>
    </row>
    <row r="5">
      <c r="A5" s="23" t="str">
        <f>"1. " &amp; data!$B$15</f>
      </c>
      <c r="C5" s="21" t="str">
        <f>CONCATENATE("Pool B-1st ",'Pool Matches'!G18)</f>
      </c>
    </row>
    <row r="6">
      <c r="A6" s="24" t="str">
        <f>"2. " &amp; data!$B$16</f>
      </c>
      <c r="D6" s="20"/>
      <c r="E6" s="19">
        <v>5</v>
      </c>
    </row>
    <row r="7">
      <c r="A7" s="25" t="str">
        <f>"3. " &amp; data!$B$17</f>
      </c>
      <c r="C7" s="21" t="str">
        <f>CONCATENATE("Pool A-2nd ",'Pool Matches'!G9)</f>
      </c>
      <c r="D7" s="15"/>
      <c r="E7" s="18"/>
      <c r="F7" s="20"/>
      <c r="G7" s="18"/>
    </row>
    <row r="8">
      <c r="A8" s="20"/>
      <c r="G8" s="19">
        <v>11</v>
      </c>
    </row>
    <row r="9">
      <c r="A9" s="22" t="str">
        <f>data!$A$20</f>
      </c>
      <c r="C9" s="21" t="str">
        <f>CONCATENATE("Pool D-1st ",'Pool Matches'!G38)</f>
      </c>
      <c r="G9" s="18"/>
      <c r="H9" s="20"/>
      <c r="I9" s="18"/>
    </row>
    <row r="10">
      <c r="A10" s="23" t="str">
        <f>"1. " &amp; data!$B$18</f>
      </c>
      <c r="D10" s="20"/>
      <c r="E10" s="19">
        <v>6</v>
      </c>
      <c r="F10" s="15"/>
      <c r="G10" s="18"/>
      <c r="I10" s="18"/>
    </row>
    <row r="11">
      <c r="A11" s="24" t="str">
        <f>"2. " &amp; data!$B$19</f>
      </c>
      <c r="C11" s="21" t="str">
        <f>CONCATENATE("Pool C-2nd ",'Pool Matches'!G29)</f>
      </c>
      <c r="D11" s="15"/>
      <c r="E11" s="18"/>
      <c r="I11" s="18"/>
    </row>
    <row r="12">
      <c r="A12" s="25" t="str">
        <f>"3. " &amp; data!$B$20</f>
      </c>
      <c r="I12" s="19">
        <v>14</v>
      </c>
    </row>
    <row r="13">
      <c r="A13" s="20"/>
      <c r="C13" s="21" t="str">
        <f>CONCATENATE("Pool F-1st ",'Pool Matches'!O18)</f>
      </c>
      <c r="I13" s="18"/>
    </row>
    <row r="14">
      <c r="A14" s="22" t="str">
        <f>data!$A$23</f>
      </c>
      <c r="D14" s="20"/>
      <c r="E14" s="19">
        <v>7</v>
      </c>
      <c r="I14" s="18"/>
    </row>
    <row r="15">
      <c r="A15" s="23" t="str">
        <f>"1. " &amp; data!$B$21</f>
      </c>
      <c r="C15" s="21" t="str">
        <f>CONCATENATE("Pool E-2nd ",'Pool Matches'!O9)</f>
      </c>
      <c r="D15" s="15"/>
      <c r="E15" s="18"/>
      <c r="F15" s="20"/>
      <c r="G15" s="18"/>
      <c r="I15" s="18"/>
    </row>
    <row r="16">
      <c r="A16" s="24" t="str">
        <f>"2. " &amp; data!$B$22</f>
      </c>
      <c r="G16" s="19">
        <v>12</v>
      </c>
      <c r="H16" s="15"/>
      <c r="I16" s="18"/>
    </row>
    <row r="17">
      <c r="A17" s="25" t="str">
        <f>"3. " &amp; data!$B$23</f>
      </c>
      <c r="C17" s="21" t="str">
        <f>CONCATENATE("Pool H-1st ",'Pool Matches'!O38)</f>
      </c>
      <c r="G17" s="18"/>
    </row>
    <row r="18">
      <c r="A18" s="20"/>
      <c r="D18" s="20"/>
      <c r="E18" s="19">
        <v>8</v>
      </c>
      <c r="F18" s="15"/>
      <c r="G18" s="18"/>
    </row>
    <row r="19">
      <c r="A19" s="22" t="str">
        <f>data!$A$26</f>
      </c>
      <c r="C19" s="21" t="str">
        <f>CONCATENATE("Pool G-2nd ",'Pool Matches'!O29)</f>
      </c>
      <c r="D19" s="15"/>
      <c r="E19" s="18"/>
    </row>
    <row r="20">
      <c r="A20" s="23" t="str">
        <f>"1. " &amp; data!$B$24</f>
      </c>
    </row>
    <row r="21">
      <c r="A21" s="24" t="str">
        <f>"2. " &amp; data!$B$25</f>
      </c>
    </row>
    <row r="22">
      <c r="A22" s="25" t="str">
        <f>"3. " &amp; data!$B$26</f>
      </c>
    </row>
    <row r="23">
      <c r="A23" s="20"/>
    </row>
  </sheetData>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tabSelected="true" workbookViewId="0"/>
  </sheetViews>
  <cols>
    <col customWidth="true" max="1" min="1" width="90"/>
  </cols>
  <sheetData>
    <row r="1" ht="390" customHeight="true">
      <c r="A1" s="28" t="s">
        <v>100</v>
      </c>
    </row>
    <row r="2" ht="390" customHeight="true">
      <c r="A2" s="28" t="s">
        <v>100</v>
      </c>
    </row>
    <row r="3" ht="390" customHeight="true">
      <c r="A3" s="28" t="s">
        <v>101</v>
      </c>
    </row>
    <row r="4" ht="390" customHeight="true">
      <c r="A4" s="28" t="s">
        <v>101</v>
      </c>
    </row>
    <row r="5" ht="390" customHeight="true">
      <c r="A5" s="28" t="s">
        <v>102</v>
      </c>
    </row>
    <row r="6" ht="390" customHeight="true">
      <c r="A6" s="28" t="s">
        <v>102</v>
      </c>
    </row>
    <row r="7" ht="390" customHeight="true">
      <c r="A7" s="28" t="s">
        <v>103</v>
      </c>
    </row>
    <row r="8" ht="390" customHeight="true">
      <c r="A8" s="28" t="s">
        <v>103</v>
      </c>
    </row>
    <row r="9" ht="390" customHeight="true">
      <c r="A9" s="28" t="s">
        <v>104</v>
      </c>
    </row>
    <row r="10" ht="390" customHeight="true">
      <c r="A10" s="28" t="s">
        <v>104</v>
      </c>
    </row>
    <row r="11" ht="390" customHeight="true">
      <c r="A11" s="28" t="s">
        <v>105</v>
      </c>
    </row>
    <row r="12" ht="390" customHeight="true">
      <c r="A12" s="28" t="s">
        <v>105</v>
      </c>
    </row>
    <row r="13" ht="390" customHeight="true">
      <c r="A13" s="28" t="s">
        <v>106</v>
      </c>
    </row>
    <row r="14" ht="390" customHeight="true">
      <c r="A14" s="28" t="s">
        <v>106</v>
      </c>
    </row>
    <row r="15" ht="390" customHeight="true">
      <c r="A15" s="28" t="s">
        <v>107</v>
      </c>
    </row>
    <row r="16" ht="390" customHeight="true">
      <c r="A16" s="28" t="s">
        <v>107</v>
      </c>
    </row>
    <row r="17" ht="390" customHeight="true">
      <c r="A17" s="28" t="s">
        <v>108</v>
      </c>
    </row>
    <row r="18" ht="390" customHeight="true">
      <c r="A18" s="28" t="s">
        <v>108</v>
      </c>
    </row>
    <row r="19" ht="390" customHeight="true">
      <c r="A19" s="28" t="s">
        <v>109</v>
      </c>
    </row>
    <row r="20" ht="390" customHeight="true">
      <c r="A20" s="28" t="s">
        <v>109</v>
      </c>
    </row>
    <row r="21" ht="390" customHeight="true">
      <c r="A21" s="28" t="s">
        <v>110</v>
      </c>
    </row>
    <row r="22" ht="390" customHeight="true">
      <c r="A22" s="28" t="s">
        <v>110</v>
      </c>
    </row>
    <row r="23" ht="390" customHeight="true">
      <c r="A23" s="28" t="s">
        <v>111</v>
      </c>
    </row>
    <row r="24" ht="390" customHeight="true">
      <c r="A24" s="28" t="s">
        <v>111</v>
      </c>
    </row>
    <row r="25" ht="390" customHeight="true">
      <c r="A25" s="28" t="s">
        <v>112</v>
      </c>
    </row>
    <row r="26" ht="390" customHeight="true">
      <c r="A26" s="28" t="s">
        <v>112</v>
      </c>
    </row>
    <row r="27" ht="390" customHeight="true">
      <c r="A27" s="28" t="s">
        <v>113</v>
      </c>
    </row>
    <row r="28" ht="390" customHeight="true">
      <c r="A28" s="28" t="s">
        <v>113</v>
      </c>
    </row>
    <row r="29" ht="390" customHeight="true">
      <c r="A29" s="28" t="s">
        <v>114</v>
      </c>
    </row>
    <row r="30" ht="390" customHeight="true">
      <c r="A30" s="28" t="s">
        <v>114</v>
      </c>
    </row>
    <row r="31" ht="390" customHeight="true">
      <c r="A31" s="28" t="s">
        <v>115</v>
      </c>
    </row>
    <row r="32" ht="390" customHeight="true">
      <c r="A32" s="28" t="s">
        <v>115</v>
      </c>
    </row>
    <row r="33" ht="390" customHeight="true">
      <c r="A33" s="28" t="s">
        <v>116</v>
      </c>
    </row>
    <row r="34" ht="390" customHeight="true">
      <c r="A34" s="28" t="s">
        <v>116</v>
      </c>
    </row>
    <row r="35" ht="390" customHeight="true">
      <c r="A35" s="28" t="s">
        <v>117</v>
      </c>
    </row>
    <row r="36" ht="390" customHeight="true">
      <c r="A36" s="28" t="s">
        <v>117</v>
      </c>
    </row>
    <row r="37" ht="390" customHeight="true">
      <c r="A37" s="28" t="s">
        <v>118</v>
      </c>
    </row>
    <row r="38" ht="390" customHeight="true">
      <c r="A38" s="28" t="s">
        <v>118</v>
      </c>
    </row>
    <row r="39" ht="390" customHeight="true">
      <c r="A39" s="28" t="s">
        <v>119</v>
      </c>
    </row>
    <row r="40" ht="390" customHeight="true">
      <c r="A40" s="28" t="s">
        <v>119</v>
      </c>
    </row>
    <row r="41" ht="390" customHeight="true">
      <c r="A41" s="28" t="s">
        <v>120</v>
      </c>
    </row>
    <row r="42" ht="390" customHeight="true">
      <c r="A42" s="28" t="s">
        <v>120</v>
      </c>
    </row>
    <row r="43" ht="390" customHeight="true">
      <c r="A43" s="28" t="s">
        <v>121</v>
      </c>
    </row>
    <row r="44" ht="390" customHeight="true">
      <c r="A44" s="28" t="s">
        <v>121</v>
      </c>
    </row>
    <row r="45" ht="390" customHeight="true">
      <c r="A45" s="28" t="s">
        <v>122</v>
      </c>
    </row>
    <row r="46" ht="390" customHeight="true">
      <c r="A46" s="28" t="s">
        <v>122</v>
      </c>
    </row>
    <row r="47" ht="390" customHeight="true">
      <c r="A47" s="28" t="s">
        <v>123</v>
      </c>
    </row>
    <row r="48" ht="390" customHeight="true">
      <c r="A48" s="28" t="s">
        <v>123</v>
      </c>
    </row>
  </sheetData>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