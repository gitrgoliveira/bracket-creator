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1"/>
  </bookViews>
  <sheets>
    <sheet name="data" sheetId="1" r:id="rId1"/>
    <sheet name="Time Estimator" sheetId="2" r:id="rId4"/>
    <sheet name="Pool Draw" sheetId="3" r:id="rId5"/>
    <sheet name="Pool Matches" sheetId="4" r:id="rId6"/>
    <sheet name="Elimination Matches" sheetId="5" r:id="rId7"/>
    <sheet name="Tree 1" sheetId="8" r:id="rId11"/>
    <sheet name="Tree 2" sheetId="9" r:id="rId12"/>
    <sheet name="Tree 3" sheetId="10" r:id="rId13"/>
    <sheet name="Tree 4" sheetId="11" r:id="rId14"/>
    <sheet name="Names to Print A" sheetId="12" r:id="rId15"/>
    <sheet name="Names to Print B" sheetId="13" r:id="rId16"/>
    <sheet name="Tags" sheetId="14" r:id="rId17"/>
  </sheets>
  <definedNames>
    <definedName localSheetId="2" name="_xlnm.Print_Area">'Pool Draw'!$B$2:$F$66</definedName>
    <definedName localSheetId="3" name="_xlnm.Print_Area">'Pool Matches'!$A$1:$P$259</definedName>
    <definedName localSheetId="5" name="_xlnm.Print_Area">'Tree 1'!$A$1:$K$44</definedName>
    <definedName localSheetId="6" name="_xlnm.Print_Area">'Tree 2'!$A$1:$K$38</definedName>
    <definedName localSheetId="7" name="_xlnm.Print_Area">'Tree 3'!$A$1:$K$43</definedName>
    <definedName localSheetId="8" name="_xlnm.Print_Area">'Tree 4'!$A$1:$K$38</definedName>
    <definedName localSheetId="9" name="_xlnm.Print_Area">'Names to Print A'!$A$1:$B$46</definedName>
    <definedName localSheetId="10" name="_xlnm.Print_Area">'Names to Print B'!$A$1:$B$45</definedName>
    <definedName localSheetId="11" name="_xlnm.Print_Area">'Tags'!$A$1:$A$182</definedName>
    <definedName localSheetId="4" name="_xlnm.Print_Area">'Elimination Matches'!$A$1:$P$271</definedName>
  </definedNames>
  <calcPr calcId="122211"/>
</workbook>
</file>

<file path=xl/sharedStrings.xml><?xml version="1.0" encoding="utf-8"?>
<sst xmlns="http://schemas.openxmlformats.org/spreadsheetml/2006/main" count="411" uniqueCount="411">
  <si>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</si>
  <si>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</si>
  <si>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</si>
  <si>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</si>
  <si>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</si>
  <si>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</si>
  <si>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</si>
  <si>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</si>
  <si>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</si>
  <si>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</si>
  <si>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</si>
  <si>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</si>
  <si>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</si>
  <si>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</si>
  <si>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Display Name</t>
  </si>
  <si>
    <t>Player Number</t>
  </si>
  <si>
    <t>Metadata</t>
  </si>
  <si>
    <t>Pool A</t>
  </si>
  <si>
    <t>Kevin Clark</t>
  </si>
  <si>
    <t>Team Alpha</t>
  </si>
  <si>
    <t>CLARK</t>
  </si>
  <si>
    <t>K1</t>
  </si>
  <si>
    <t>Oliver Walker</t>
  </si>
  <si>
    <t>Team Epsilon</t>
  </si>
  <si>
    <t>WALKER</t>
  </si>
  <si>
    <t>K2</t>
  </si>
  <si>
    <t>Mason Martinez</t>
  </si>
  <si>
    <t>Team Gamma</t>
  </si>
  <si>
    <t>MARTINEZ</t>
  </si>
  <si>
    <t>K3</t>
  </si>
  <si>
    <t>Ron Weasley</t>
  </si>
  <si>
    <t>Team Sigma</t>
  </si>
  <si>
    <t>WEASLEY</t>
  </si>
  <si>
    <t>K4</t>
  </si>
  <si>
    <t>Pool B</t>
  </si>
  <si>
    <t>Liam Thompson</t>
  </si>
  <si>
    <t>Team Beta</t>
  </si>
  <si>
    <t>THOMPSON</t>
  </si>
  <si>
    <t>K5</t>
  </si>
  <si>
    <t>Tristan Young</t>
  </si>
  <si>
    <t>Team Kappa</t>
  </si>
  <si>
    <t>YOUNG</t>
  </si>
  <si>
    <t>K6</t>
  </si>
  <si>
    <t>Tyrion Lannister</t>
  </si>
  <si>
    <t>Team Upsilon</t>
  </si>
  <si>
    <t>LANNISTER</t>
  </si>
  <si>
    <t>K7</t>
  </si>
  <si>
    <t>Pool C</t>
  </si>
  <si>
    <t>Steven Hernandez</t>
  </si>
  <si>
    <t>Team Delta</t>
  </si>
  <si>
    <t>HERNANDEZ</t>
  </si>
  <si>
    <t>K8</t>
  </si>
  <si>
    <t>Ryan Hall</t>
  </si>
  <si>
    <t>Team Theta</t>
  </si>
  <si>
    <t>HALL</t>
  </si>
  <si>
    <t>K9</t>
  </si>
  <si>
    <t>Petyr Baelish</t>
  </si>
  <si>
    <t>Team Pi</t>
  </si>
  <si>
    <t>BAELISH</t>
  </si>
  <si>
    <t>K10</t>
  </si>
  <si>
    <t>Pool D</t>
  </si>
  <si>
    <t>Gabriel Thomas</t>
  </si>
  <si>
    <t>Team Eta</t>
  </si>
  <si>
    <t>THOMAS</t>
  </si>
  <si>
    <t>K11</t>
  </si>
  <si>
    <t>Lewis Carroll</t>
  </si>
  <si>
    <t>Team Mu</t>
  </si>
  <si>
    <t>CARROLL</t>
  </si>
  <si>
    <t>K12</t>
  </si>
  <si>
    <t>Ygritte</t>
  </si>
  <si>
    <t>YGRITTE</t>
  </si>
  <si>
    <t>K13</t>
  </si>
  <si>
    <t>Pool E</t>
  </si>
  <si>
    <t>Quentin Allen</t>
  </si>
  <si>
    <t>ALLEN</t>
  </si>
  <si>
    <t>K14</t>
  </si>
  <si>
    <t>Parker Lewis</t>
  </si>
  <si>
    <t>Team Zeta</t>
  </si>
  <si>
    <t>LEWIS</t>
  </si>
  <si>
    <t>K15</t>
  </si>
  <si>
    <t>Moby Dick</t>
  </si>
  <si>
    <t>Team Nu</t>
  </si>
  <si>
    <t>DICK</t>
  </si>
  <si>
    <t>K16</t>
  </si>
  <si>
    <t>Pool F</t>
  </si>
  <si>
    <t>Caleb Wilson</t>
  </si>
  <si>
    <t>WILSON</t>
  </si>
  <si>
    <t>K17</t>
  </si>
  <si>
    <t>Yosef Hill</t>
  </si>
  <si>
    <t>HILL</t>
  </si>
  <si>
    <t>K18</t>
  </si>
  <si>
    <t>Yann Martel</t>
  </si>
  <si>
    <t>MARTEL</t>
  </si>
  <si>
    <t>K19</t>
  </si>
  <si>
    <t>Pool G</t>
  </si>
  <si>
    <t>Aaron Thompson</t>
  </si>
  <si>
    <t>K20</t>
  </si>
  <si>
    <t>Nolan Clark</t>
  </si>
  <si>
    <t>K21</t>
  </si>
  <si>
    <t>Katniss Everdeen</t>
  </si>
  <si>
    <t>Team Lambda</t>
  </si>
  <si>
    <t>EVERDEEN</t>
  </si>
  <si>
    <t>K22</t>
  </si>
  <si>
    <t>Pool H</t>
  </si>
  <si>
    <t>Isaac White</t>
  </si>
  <si>
    <t>Team Iota</t>
  </si>
  <si>
    <t>WHITE</t>
  </si>
  <si>
    <t>K23</t>
  </si>
  <si>
    <t>Nathaniel Hawthorne</t>
  </si>
  <si>
    <t>Team Xi</t>
  </si>
  <si>
    <t>HAWTHORNE</t>
  </si>
  <si>
    <t>K24</t>
  </si>
  <si>
    <t>Ulysses</t>
  </si>
  <si>
    <t>Team Phi</t>
  </si>
  <si>
    <t>ULYSSES</t>
  </si>
  <si>
    <t>K25</t>
  </si>
  <si>
    <t>Pool I</t>
  </si>
  <si>
    <t>Uriel Wright</t>
  </si>
  <si>
    <t>WRIGHT</t>
  </si>
  <si>
    <t>K26</t>
  </si>
  <si>
    <t>Quentin Blake</t>
  </si>
  <si>
    <t>Team Rho</t>
  </si>
  <si>
    <t>BLAKE</t>
  </si>
  <si>
    <t>K27</t>
  </si>
  <si>
    <t>Hermione Granger</t>
  </si>
  <si>
    <t>GRANGER</t>
  </si>
  <si>
    <t>K28</t>
  </si>
  <si>
    <t>Pool J</t>
  </si>
  <si>
    <t>Xavier Scott</t>
  </si>
  <si>
    <t>SCOTT</t>
  </si>
  <si>
    <t>K29</t>
  </si>
  <si>
    <t>Isaac Asimov</t>
  </si>
  <si>
    <t>ASIMOV</t>
  </si>
  <si>
    <t>K30</t>
  </si>
  <si>
    <t>Xavier Herbert</t>
  </si>
  <si>
    <t>Team Omega</t>
  </si>
  <si>
    <t>HERBERT</t>
  </si>
  <si>
    <t>K31</t>
  </si>
  <si>
    <t>Pool K</t>
  </si>
  <si>
    <t>Victor Lopez</t>
  </si>
  <si>
    <t>LOPEZ</t>
  </si>
  <si>
    <t>K32</t>
  </si>
  <si>
    <t>Charles Dickens</t>
  </si>
  <si>
    <t>DICKENS</t>
  </si>
  <si>
    <t>K33</t>
  </si>
  <si>
    <t>Frodo Baggins</t>
  </si>
  <si>
    <t>BAGGINS</t>
  </si>
  <si>
    <t>K34</t>
  </si>
  <si>
    <t>Pool L</t>
  </si>
  <si>
    <t>Elijah Taylor</t>
  </si>
  <si>
    <t>TAYLOR</t>
  </si>
  <si>
    <t>K35</t>
  </si>
  <si>
    <t>Oscar Wilde</t>
  </si>
  <si>
    <t>Team Omicron</t>
  </si>
  <si>
    <t>WILDE</t>
  </si>
  <si>
    <t>K36</t>
  </si>
  <si>
    <t>Willy Wonka</t>
  </si>
  <si>
    <t>Team Psi</t>
  </si>
  <si>
    <t>WONKA</t>
  </si>
  <si>
    <t>K37</t>
  </si>
  <si>
    <t>Pool M</t>
  </si>
  <si>
    <t>Bram Stoker</t>
  </si>
  <si>
    <t>STOKER</t>
  </si>
  <si>
    <t>K38</t>
  </si>
  <si>
    <t>Emily Bronte</t>
  </si>
  <si>
    <t>BRONTE</t>
  </si>
  <si>
    <t>K39</t>
  </si>
  <si>
    <t>Daenerys Targaryen</t>
  </si>
  <si>
    <t>TARGARYEN</t>
  </si>
  <si>
    <t>K40</t>
  </si>
  <si>
    <t>Pool N</t>
  </si>
  <si>
    <t>Arthur Conan</t>
  </si>
  <si>
    <t>CONAN</t>
  </si>
  <si>
    <t>K41</t>
  </si>
  <si>
    <t>George Orwell</t>
  </si>
  <si>
    <t>ORWELL</t>
  </si>
  <si>
    <t>K42</t>
  </si>
  <si>
    <t>Virginia Woolf</t>
  </si>
  <si>
    <t>Team Chi</t>
  </si>
  <si>
    <t>WOOLF</t>
  </si>
  <si>
    <t>K43</t>
  </si>
  <si>
    <t>Pool O</t>
  </si>
  <si>
    <t>Michael Lewis</t>
  </si>
  <si>
    <t>K44</t>
  </si>
  <si>
    <t>Sylvia Plath</t>
  </si>
  <si>
    <t>Team Tau</t>
  </si>
  <si>
    <t>PLATH</t>
  </si>
  <si>
    <t>K45</t>
  </si>
  <si>
    <t>Jon Snow</t>
  </si>
  <si>
    <t>SNOW</t>
  </si>
  <si>
    <t>K46</t>
  </si>
  <si>
    <t>Pool P</t>
  </si>
  <si>
    <t>Luke Rodriguez</t>
  </si>
  <si>
    <t>RODRIGUEZ</t>
  </si>
  <si>
    <t>K47</t>
  </si>
  <si>
    <t>Owen Rodriguez</t>
  </si>
  <si>
    <t>K48</t>
  </si>
  <si>
    <t>Quirinus Quirrell</t>
  </si>
  <si>
    <t>QUIRRELL</t>
  </si>
  <si>
    <t>K49</t>
  </si>
  <si>
    <t>Pool Q</t>
  </si>
  <si>
    <t>Finn Anderson</t>
  </si>
  <si>
    <t>ANDERSON</t>
  </si>
  <si>
    <t>K50</t>
  </si>
  <si>
    <t>Xavier Lopez</t>
  </si>
  <si>
    <t>K51</t>
  </si>
  <si>
    <t>William Shakespeare</t>
  </si>
  <si>
    <t>SHAKESPEARE</t>
  </si>
  <si>
    <t>K52</t>
  </si>
  <si>
    <t>Pool R</t>
  </si>
  <si>
    <t>Robert Young</t>
  </si>
  <si>
    <t>K53</t>
  </si>
  <si>
    <t>Kaden Martin</t>
  </si>
  <si>
    <t>MARTIN</t>
  </si>
  <si>
    <t>K54</t>
  </si>
  <si>
    <t>Voldemort</t>
  </si>
  <si>
    <t>VOLDEMORT</t>
  </si>
  <si>
    <t>K55</t>
  </si>
  <si>
    <t>Pool S</t>
  </si>
  <si>
    <t>Hudson Jackson</t>
  </si>
  <si>
    <t>JACKSON</t>
  </si>
  <si>
    <t>K56</t>
  </si>
  <si>
    <t>Mary Shelley</t>
  </si>
  <si>
    <t>SHELLEY</t>
  </si>
  <si>
    <t>K57</t>
  </si>
  <si>
    <t>Samwise Gamgee</t>
  </si>
  <si>
    <t>GAMGEE</t>
  </si>
  <si>
    <t>K58</t>
  </si>
  <si>
    <t>Pool T</t>
  </si>
  <si>
    <t>Paul Hall</t>
  </si>
  <si>
    <t>K59</t>
  </si>
  <si>
    <t>Quinn Walker</t>
  </si>
  <si>
    <t>K60</t>
  </si>
  <si>
    <t>Legolas Greenleaf</t>
  </si>
  <si>
    <t>GREENLEAF</t>
  </si>
  <si>
    <t>K61</t>
  </si>
  <si>
    <t>Pool U</t>
  </si>
  <si>
    <t>Dylan Moore</t>
  </si>
  <si>
    <t>MOORE</t>
  </si>
  <si>
    <t>K62</t>
  </si>
  <si>
    <t>William Wright</t>
  </si>
  <si>
    <t>K63</t>
  </si>
  <si>
    <t>Othello</t>
  </si>
  <si>
    <t>OTHELLO</t>
  </si>
  <si>
    <t>K64</t>
  </si>
  <si>
    <t>Pool V</t>
  </si>
  <si>
    <t>Thomas King</t>
  </si>
  <si>
    <t>KING</t>
  </si>
  <si>
    <t>K65</t>
  </si>
  <si>
    <t>Sebastian Allen</t>
  </si>
  <si>
    <t>K66</t>
  </si>
  <si>
    <t>Xaro Xhoan Daxos</t>
  </si>
  <si>
    <t>DAXOS</t>
  </si>
  <si>
    <t>K67</t>
  </si>
  <si>
    <t>Pool W</t>
  </si>
  <si>
    <t>Jackson Harris</t>
  </si>
  <si>
    <t>HARRIS</t>
  </si>
  <si>
    <t>K68</t>
  </si>
  <si>
    <t>Vincent King</t>
  </si>
  <si>
    <t>K69</t>
  </si>
  <si>
    <t>Albus Dumbledore</t>
  </si>
  <si>
    <t>DUMBLEDORE</t>
  </si>
  <si>
    <t>K70</t>
  </si>
  <si>
    <t>Pool X</t>
  </si>
  <si>
    <t>William Hill</t>
  </si>
  <si>
    <t>K71</t>
  </si>
  <si>
    <t>Philip K Dick</t>
  </si>
  <si>
    <t>K72</t>
  </si>
  <si>
    <t>Inigo Montoya</t>
  </si>
  <si>
    <t>MONTOYA</t>
  </si>
  <si>
    <t>K73</t>
  </si>
  <si>
    <t>Pool Y</t>
  </si>
  <si>
    <t>Benjamin Evans</t>
  </si>
  <si>
    <t>EVANS</t>
  </si>
  <si>
    <t>K74</t>
  </si>
  <si>
    <t>Herman Melville</t>
  </si>
  <si>
    <t>MELVILLE</t>
  </si>
  <si>
    <t>K75</t>
  </si>
  <si>
    <t>Ursula K Le Guin</t>
  </si>
  <si>
    <t>LE GUIN</t>
  </si>
  <si>
    <t>K76</t>
  </si>
  <si>
    <t>Pool Z</t>
  </si>
  <si>
    <t>Yosef Green</t>
  </si>
  <si>
    <t>GREEN</t>
  </si>
  <si>
    <t>K77</t>
  </si>
  <si>
    <t>Daniel Defoe</t>
  </si>
  <si>
    <t>DEFOE</t>
  </si>
  <si>
    <t>K78</t>
  </si>
  <si>
    <t>Gandalf The Grey</t>
  </si>
  <si>
    <t>GANDALF</t>
  </si>
  <si>
    <t>K79</t>
  </si>
  <si>
    <t>Pool AA</t>
  </si>
  <si>
    <t>Zachary Adams</t>
  </si>
  <si>
    <t>ADAMS</t>
  </si>
  <si>
    <t>K80</t>
  </si>
  <si>
    <t>Jane Austen</t>
  </si>
  <si>
    <t>AUSTEN</t>
  </si>
  <si>
    <t>K81</t>
  </si>
  <si>
    <t>Neville Longbottom</t>
  </si>
  <si>
    <t>LONGBOTTOM</t>
  </si>
  <si>
    <t>K82</t>
  </si>
  <si>
    <t>Pool AB</t>
  </si>
  <si>
    <t>Ulysses Hernandez</t>
  </si>
  <si>
    <t>K83</t>
  </si>
  <si>
    <t>Fyodor Dostoevsky</t>
  </si>
  <si>
    <t>DOSTOEVSKY</t>
  </si>
  <si>
    <t>K84</t>
  </si>
  <si>
    <t>Eddard Stark</t>
  </si>
  <si>
    <t>STARK</t>
  </si>
  <si>
    <t>K85</t>
  </si>
  <si>
    <t>Pool AC</t>
  </si>
  <si>
    <t>Kurt Vonnegut</t>
  </si>
  <si>
    <t>VONNEGUT</t>
  </si>
  <si>
    <t>K86</t>
  </si>
  <si>
    <t>Ray Bradbury</t>
  </si>
  <si>
    <t>BRADBURY</t>
  </si>
  <si>
    <t>K87</t>
  </si>
  <si>
    <t>Bilbo Baggins</t>
  </si>
  <si>
    <t>K88</t>
  </si>
  <si>
    <t>Pool AD</t>
  </si>
  <si>
    <t>Nathan Lee</t>
  </si>
  <si>
    <t>LEE</t>
  </si>
  <si>
    <t>K89</t>
  </si>
  <si>
    <t>Thomas Hardy</t>
  </si>
  <si>
    <t>HARDY</t>
  </si>
  <si>
    <t>K90</t>
  </si>
  <si>
    <t>Cersei Lannister</t>
  </si>
  <si>
    <t>K91</t>
  </si>
  <si>
    <t>Shiaijo A</t>
  </si>
  <si>
    <t>Shiaijo B</t>
  </si>
  <si>
    <t>White</t>
  </si>
  <si>
    <t>vs</t>
  </si>
  <si>
    <t>Red</t>
  </si>
  <si>
    <t>Results</t>
  </si>
  <si>
    <t>W</t>
  </si>
  <si>
    <t>L</t>
  </si>
  <si>
    <t>T</t>
  </si>
  <si>
    <t>PW</t>
  </si>
  <si>
    <t>PL</t>
  </si>
  <si>
    <t>Rank</t>
  </si>
  <si>
    <t>Ranking</t>
  </si>
  <si>
    <t>1.</t>
  </si>
  <si>
    <t>2.</t>
  </si>
  <si>
    <t>3.</t>
  </si>
  <si>
    <t>4.</t>
  </si>
  <si>
    <t>Round 1 - Match 1</t>
  </si>
  <si>
    <t>Round 1 - Match 15</t>
  </si>
  <si>
    <t>Round 1 - Match 2</t>
  </si>
  <si>
    <t>Round 1 - Match 16</t>
  </si>
  <si>
    <t>Round 1 - Match 3</t>
  </si>
  <si>
    <t>Round 1 - Match 17</t>
  </si>
  <si>
    <t>Round 1 - Match 4</t>
  </si>
  <si>
    <t>Round 1 - Match 18</t>
  </si>
  <si>
    <t>Round 1 - Match 5</t>
  </si>
  <si>
    <t>Round 1 - Match 19</t>
  </si>
  <si>
    <t>Round 1 - Match 6</t>
  </si>
  <si>
    <t>Round 1 - Match 20</t>
  </si>
  <si>
    <t>Round 1 - Match 7</t>
  </si>
  <si>
    <t>Round 1 - Match 21</t>
  </si>
  <si>
    <t>Round 1 - Match 8</t>
  </si>
  <si>
    <t>Round 1 - Match 22</t>
  </si>
  <si>
    <t>Round 1 - Match 9</t>
  </si>
  <si>
    <t>Round 1 - Match 23</t>
  </si>
  <si>
    <t>Round 1 - Match 10</t>
  </si>
  <si>
    <t>Round 1 - Match 24</t>
  </si>
  <si>
    <t>Round 1 - Match 11</t>
  </si>
  <si>
    <t>Round 1 - Match 25</t>
  </si>
  <si>
    <t>Round 1 - Match 12</t>
  </si>
  <si>
    <t>Round 1 - Match 26</t>
  </si>
  <si>
    <t>Round 1 - Match 13</t>
  </si>
  <si>
    <t>Round 1 - Match 27</t>
  </si>
  <si>
    <t>Round 1 - Match 14</t>
  </si>
  <si>
    <t>Round 1 - Match 28</t>
  </si>
  <si>
    <t>Round 2 - Match 29</t>
  </si>
  <si>
    <t>Round 2 - Match 37</t>
  </si>
  <si>
    <t>Round 2 - Match 30</t>
  </si>
  <si>
    <t>Round 2 - Match 38</t>
  </si>
  <si>
    <t>Round 2 - Match 31</t>
  </si>
  <si>
    <t>Round 2 - Match 39</t>
  </si>
  <si>
    <t>Round 2 - Match 32</t>
  </si>
  <si>
    <t>Round 2 - Match 40</t>
  </si>
  <si>
    <t>Round 2 - Match 33</t>
  </si>
  <si>
    <t>Round 2 - Match 41</t>
  </si>
  <si>
    <t>Round 2 - Match 34</t>
  </si>
  <si>
    <t>Round 2 - Match 42</t>
  </si>
  <si>
    <t>Round 2 - Match 35</t>
  </si>
  <si>
    <t>Round 2 - Match 43</t>
  </si>
  <si>
    <t>Round 2 - Match 36</t>
  </si>
  <si>
    <t>Round 2 - Match 44</t>
  </si>
  <si>
    <t>Round 3 - Match 45</t>
  </si>
  <si>
    <t>Round 3 - Match 49</t>
  </si>
  <si>
    <t>Round 3 - Match 46</t>
  </si>
  <si>
    <t>Round 3 - Match 50</t>
  </si>
  <si>
    <t>Round 3 - Match 47</t>
  </si>
  <si>
    <t>Round 3 - Match 51</t>
  </si>
  <si>
    <t>Round 3 - Match 48</t>
  </si>
  <si>
    <t>Round 3 - Match 52</t>
  </si>
  <si>
    <t>Round 4 - Match 53</t>
  </si>
  <si>
    <t>Round 4 - Match 55</t>
  </si>
  <si>
    <t>Round 4 - Match 54</t>
  </si>
  <si>
    <t>Round 4 - Match 56</t>
  </si>
  <si>
    <t>Round 5 - Match 57</t>
  </si>
  <si>
    <t>Round 5 - Match 58</t>
  </si>
  <si>
    <t>Round 6 - Match 59</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</si>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</sst>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i val="1"/>
      <sz val="12"/>
      <color/>
      <name val="Calibri"/>
      <family val="2"/>
    </font>
    <font>
      <b val="1"/>
      <sz val="12"/>
      <color rgb="FFFFFFFF"/>
      <name val="Calibri"/>
      <family val="2"/>
    </font>
    <font>
      <b val="1"/>
      <sz val="100"/>
      <color rgb="FF000000"/>
      <name val="Calibri"/>
      <family val="2"/>
    </font>
    <font>
      <sz val="110"/>
      <color rgb="FF000000"/>
      <name val="Calibri"/>
      <family val="2"/>
    </font>
    <font>
      <b val="1"/>
      <sz val="250"/>
      <color/>
      <name val="Calibri"/>
      <family val="2"/>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t="s">
        <v>17</v>
      </c>
      <c r="B3" t="s">
        <v>18</v>
      </c>
      <c r="C3" t="s">
        <v>19</v>
      </c>
      <c r="D3" t="s">
        <v>20</v>
      </c>
      <c r="E3" t="s">
        <v>21</v>
      </c>
    </row>
    <row r="4">
      <c r="A4" t="s">
        <v>17</v>
      </c>
      <c r="B4" t="s">
        <v>22</v>
      </c>
      <c r="C4" t="s">
        <v>23</v>
      </c>
      <c r="D4" t="s">
        <v>24</v>
      </c>
      <c r="E4" t="s">
        <v>25</v>
      </c>
    </row>
    <row r="5">
      <c r="A5" t="s">
        <v>17</v>
      </c>
      <c r="B5" t="s">
        <v>26</v>
      </c>
      <c r="C5" t="s">
        <v>27</v>
      </c>
      <c r="D5" t="s">
        <v>28</v>
      </c>
      <c r="E5" t="s">
        <v>29</v>
      </c>
    </row>
    <row r="6">
      <c r="A6" t="s">
        <v>17</v>
      </c>
      <c r="B6" t="s">
        <v>30</v>
      </c>
      <c r="C6" t="s">
        <v>31</v>
      </c>
      <c r="D6" t="s">
        <v>32</v>
      </c>
      <c r="E6" t="s">
        <v>33</v>
      </c>
    </row>
    <row r="7">
      <c r="A7" t="s">
        <v>34</v>
      </c>
      <c r="B7" t="s">
        <v>35</v>
      </c>
      <c r="C7" t="s">
        <v>36</v>
      </c>
      <c r="D7" t="s">
        <v>37</v>
      </c>
      <c r="E7" t="s">
        <v>38</v>
      </c>
    </row>
    <row r="8">
      <c r="A8" t="s">
        <v>34</v>
      </c>
      <c r="B8" t="s">
        <v>39</v>
      </c>
      <c r="C8" t="s">
        <v>40</v>
      </c>
      <c r="D8" t="s">
        <v>41</v>
      </c>
      <c r="E8" t="s">
        <v>42</v>
      </c>
    </row>
    <row r="9">
      <c r="A9" t="s">
        <v>34</v>
      </c>
      <c r="B9" t="s">
        <v>43</v>
      </c>
      <c r="C9" t="s">
        <v>44</v>
      </c>
      <c r="D9" t="s">
        <v>45</v>
      </c>
      <c r="E9" t="s">
        <v>46</v>
      </c>
    </row>
    <row r="10">
      <c r="A10" t="s">
        <v>47</v>
      </c>
      <c r="B10" t="s">
        <v>48</v>
      </c>
      <c r="C10" t="s">
        <v>49</v>
      </c>
      <c r="D10" t="s">
        <v>50</v>
      </c>
      <c r="E10" t="s">
        <v>51</v>
      </c>
    </row>
    <row r="11">
      <c r="A11" t="s">
        <v>47</v>
      </c>
      <c r="B11" t="s">
        <v>52</v>
      </c>
      <c r="C11" t="s">
        <v>53</v>
      </c>
      <c r="D11" t="s">
        <v>54</v>
      </c>
      <c r="E11" t="s">
        <v>55</v>
      </c>
    </row>
    <row r="12">
      <c r="A12" t="s">
        <v>47</v>
      </c>
      <c r="B12" t="s">
        <v>56</v>
      </c>
      <c r="C12" t="s">
        <v>57</v>
      </c>
      <c r="D12" t="s">
        <v>58</v>
      </c>
      <c r="E12" t="s">
        <v>59</v>
      </c>
    </row>
    <row r="13">
      <c r="A13" t="s">
        <v>60</v>
      </c>
      <c r="B13" t="s">
        <v>61</v>
      </c>
      <c r="C13" t="s">
        <v>62</v>
      </c>
      <c r="D13" t="s">
        <v>63</v>
      </c>
      <c r="E13" t="s">
        <v>64</v>
      </c>
    </row>
    <row r="14">
      <c r="A14" t="s">
        <v>60</v>
      </c>
      <c r="B14" t="s">
        <v>65</v>
      </c>
      <c r="C14" t="s">
        <v>66</v>
      </c>
      <c r="D14" t="s">
        <v>67</v>
      </c>
      <c r="E14" t="s">
        <v>68</v>
      </c>
    </row>
    <row r="15">
      <c r="A15" t="s">
        <v>60</v>
      </c>
      <c r="B15" t="s">
        <v>69</v>
      </c>
      <c r="C15" t="s">
        <v>19</v>
      </c>
      <c r="D15" t="s">
        <v>70</v>
      </c>
      <c r="E15" t="s">
        <v>71</v>
      </c>
    </row>
    <row r="16">
      <c r="A16" t="s">
        <v>72</v>
      </c>
      <c r="B16" t="s">
        <v>73</v>
      </c>
      <c r="C16" t="s">
        <v>36</v>
      </c>
      <c r="D16" t="s">
        <v>74</v>
      </c>
      <c r="E16" t="s">
        <v>75</v>
      </c>
    </row>
    <row r="17">
      <c r="A17" t="s">
        <v>72</v>
      </c>
      <c r="B17" t="s">
        <v>76</v>
      </c>
      <c r="C17" t="s">
        <v>77</v>
      </c>
      <c r="D17" t="s">
        <v>78</v>
      </c>
      <c r="E17" t="s">
        <v>79</v>
      </c>
    </row>
    <row r="18">
      <c r="A18" t="s">
        <v>72</v>
      </c>
      <c r="B18" t="s">
        <v>80</v>
      </c>
      <c r="C18" t="s">
        <v>81</v>
      </c>
      <c r="D18" t="s">
        <v>82</v>
      </c>
      <c r="E18" t="s">
        <v>83</v>
      </c>
    </row>
    <row r="19">
      <c r="A19" t="s">
        <v>84</v>
      </c>
      <c r="B19" t="s">
        <v>85</v>
      </c>
      <c r="C19" t="s">
        <v>27</v>
      </c>
      <c r="D19" t="s">
        <v>86</v>
      </c>
      <c r="E19" t="s">
        <v>87</v>
      </c>
    </row>
    <row r="20">
      <c r="A20" t="s">
        <v>84</v>
      </c>
      <c r="B20" t="s">
        <v>88</v>
      </c>
      <c r="C20" t="s">
        <v>23</v>
      </c>
      <c r="D20" t="s">
        <v>89</v>
      </c>
      <c r="E20" t="s">
        <v>90</v>
      </c>
    </row>
    <row r="21">
      <c r="A21" t="s">
        <v>84</v>
      </c>
      <c r="B21" t="s">
        <v>91</v>
      </c>
      <c r="C21" t="s">
        <v>19</v>
      </c>
      <c r="D21" t="s">
        <v>92</v>
      </c>
      <c r="E21" t="s">
        <v>93</v>
      </c>
    </row>
    <row r="22">
      <c r="A22" t="s">
        <v>94</v>
      </c>
      <c r="B22" t="s">
        <v>95</v>
      </c>
      <c r="C22" t="s">
        <v>19</v>
      </c>
      <c r="D22" t="s">
        <v>37</v>
      </c>
      <c r="E22" t="s">
        <v>96</v>
      </c>
    </row>
    <row r="23">
      <c r="A23" t="s">
        <v>94</v>
      </c>
      <c r="B23" t="s">
        <v>97</v>
      </c>
      <c r="C23" t="s">
        <v>49</v>
      </c>
      <c r="D23" t="s">
        <v>20</v>
      </c>
      <c r="E23" t="s">
        <v>98</v>
      </c>
    </row>
    <row r="24">
      <c r="A24" t="s">
        <v>94</v>
      </c>
      <c r="B24" t="s">
        <v>99</v>
      </c>
      <c r="C24" t="s">
        <v>100</v>
      </c>
      <c r="D24" t="s">
        <v>101</v>
      </c>
      <c r="E24" t="s">
        <v>102</v>
      </c>
    </row>
    <row r="25">
      <c r="A25" t="s">
        <v>103</v>
      </c>
      <c r="B25" t="s">
        <v>104</v>
      </c>
      <c r="C25" t="s">
        <v>105</v>
      </c>
      <c r="D25" t="s">
        <v>106</v>
      </c>
      <c r="E25" t="s">
        <v>107</v>
      </c>
    </row>
    <row r="26">
      <c r="A26" t="s">
        <v>103</v>
      </c>
      <c r="B26" t="s">
        <v>108</v>
      </c>
      <c r="C26" t="s">
        <v>109</v>
      </c>
      <c r="D26" t="s">
        <v>110</v>
      </c>
      <c r="E26" t="s">
        <v>111</v>
      </c>
    </row>
    <row r="27">
      <c r="A27" t="s">
        <v>103</v>
      </c>
      <c r="B27" t="s">
        <v>112</v>
      </c>
      <c r="C27" t="s">
        <v>113</v>
      </c>
      <c r="D27" t="s">
        <v>114</v>
      </c>
      <c r="E27" t="s">
        <v>115</v>
      </c>
    </row>
    <row r="28">
      <c r="A28" t="s">
        <v>116</v>
      </c>
      <c r="B28" t="s">
        <v>117</v>
      </c>
      <c r="C28" t="s">
        <v>19</v>
      </c>
      <c r="D28" t="s">
        <v>118</v>
      </c>
      <c r="E28" t="s">
        <v>119</v>
      </c>
    </row>
    <row r="29">
      <c r="A29" t="s">
        <v>116</v>
      </c>
      <c r="B29" t="s">
        <v>120</v>
      </c>
      <c r="C29" t="s">
        <v>121</v>
      </c>
      <c r="D29" t="s">
        <v>122</v>
      </c>
      <c r="E29" t="s">
        <v>123</v>
      </c>
    </row>
    <row r="30">
      <c r="A30" t="s">
        <v>116</v>
      </c>
      <c r="B30" t="s">
        <v>124</v>
      </c>
      <c r="C30" t="s">
        <v>53</v>
      </c>
      <c r="D30" t="s">
        <v>125</v>
      </c>
      <c r="E30" t="s">
        <v>126</v>
      </c>
    </row>
    <row r="31">
      <c r="A31" t="s">
        <v>127</v>
      </c>
      <c r="B31" t="s">
        <v>128</v>
      </c>
      <c r="C31" t="s">
        <v>49</v>
      </c>
      <c r="D31" t="s">
        <v>129</v>
      </c>
      <c r="E31" t="s">
        <v>130</v>
      </c>
    </row>
    <row r="32">
      <c r="A32" t="s">
        <v>127</v>
      </c>
      <c r="B32" t="s">
        <v>131</v>
      </c>
      <c r="C32" t="s">
        <v>105</v>
      </c>
      <c r="D32" t="s">
        <v>132</v>
      </c>
      <c r="E32" t="s">
        <v>133</v>
      </c>
    </row>
    <row r="33">
      <c r="A33" t="s">
        <v>127</v>
      </c>
      <c r="B33" t="s">
        <v>134</v>
      </c>
      <c r="C33" t="s">
        <v>135</v>
      </c>
      <c r="D33" t="s">
        <v>136</v>
      </c>
      <c r="E33" t="s">
        <v>137</v>
      </c>
    </row>
    <row r="34">
      <c r="A34" t="s">
        <v>138</v>
      </c>
      <c r="B34" t="s">
        <v>139</v>
      </c>
      <c r="C34" t="s">
        <v>36</v>
      </c>
      <c r="D34" t="s">
        <v>140</v>
      </c>
      <c r="E34" t="s">
        <v>141</v>
      </c>
    </row>
    <row r="35">
      <c r="A35" t="s">
        <v>138</v>
      </c>
      <c r="B35" t="s">
        <v>142</v>
      </c>
      <c r="C35" t="s">
        <v>27</v>
      </c>
      <c r="D35" t="s">
        <v>143</v>
      </c>
      <c r="E35" t="s">
        <v>144</v>
      </c>
    </row>
    <row r="36">
      <c r="A36" t="s">
        <v>138</v>
      </c>
      <c r="B36" t="s">
        <v>145</v>
      </c>
      <c r="C36" t="s">
        <v>77</v>
      </c>
      <c r="D36" t="s">
        <v>146</v>
      </c>
      <c r="E36" t="s">
        <v>147</v>
      </c>
    </row>
    <row r="37">
      <c r="A37" t="s">
        <v>148</v>
      </c>
      <c r="B37" t="s">
        <v>149</v>
      </c>
      <c r="C37" t="s">
        <v>23</v>
      </c>
      <c r="D37" t="s">
        <v>150</v>
      </c>
      <c r="E37" t="s">
        <v>151</v>
      </c>
    </row>
    <row r="38">
      <c r="A38" t="s">
        <v>148</v>
      </c>
      <c r="B38" t="s">
        <v>152</v>
      </c>
      <c r="C38" t="s">
        <v>153</v>
      </c>
      <c r="D38" t="s">
        <v>154</v>
      </c>
      <c r="E38" t="s">
        <v>155</v>
      </c>
    </row>
    <row r="39">
      <c r="A39" t="s">
        <v>148</v>
      </c>
      <c r="B39" t="s">
        <v>156</v>
      </c>
      <c r="C39" t="s">
        <v>157</v>
      </c>
      <c r="D39" t="s">
        <v>158</v>
      </c>
      <c r="E39" t="s">
        <v>159</v>
      </c>
    </row>
    <row r="40">
      <c r="A40" t="s">
        <v>160</v>
      </c>
      <c r="B40" t="s">
        <v>161</v>
      </c>
      <c r="C40" t="s">
        <v>36</v>
      </c>
      <c r="D40" t="s">
        <v>162</v>
      </c>
      <c r="E40" t="s">
        <v>163</v>
      </c>
    </row>
    <row r="41">
      <c r="A41" t="s">
        <v>160</v>
      </c>
      <c r="B41" t="s">
        <v>164</v>
      </c>
      <c r="C41" t="s">
        <v>23</v>
      </c>
      <c r="D41" t="s">
        <v>165</v>
      </c>
      <c r="E41" t="s">
        <v>166</v>
      </c>
    </row>
    <row r="42">
      <c r="A42" t="s">
        <v>160</v>
      </c>
      <c r="B42" t="s">
        <v>167</v>
      </c>
      <c r="C42" t="s">
        <v>49</v>
      </c>
      <c r="D42" t="s">
        <v>168</v>
      </c>
      <c r="E42" t="s">
        <v>169</v>
      </c>
    </row>
    <row r="43">
      <c r="A43" t="s">
        <v>170</v>
      </c>
      <c r="B43" t="s">
        <v>171</v>
      </c>
      <c r="C43" t="s">
        <v>19</v>
      </c>
      <c r="D43" t="s">
        <v>172</v>
      </c>
      <c r="E43" t="s">
        <v>173</v>
      </c>
    </row>
    <row r="44">
      <c r="A44" t="s">
        <v>170</v>
      </c>
      <c r="B44" t="s">
        <v>174</v>
      </c>
      <c r="C44" t="s">
        <v>62</v>
      </c>
      <c r="D44" t="s">
        <v>175</v>
      </c>
      <c r="E44" t="s">
        <v>176</v>
      </c>
    </row>
    <row r="45">
      <c r="A45" t="s">
        <v>170</v>
      </c>
      <c r="B45" t="s">
        <v>177</v>
      </c>
      <c r="C45" t="s">
        <v>178</v>
      </c>
      <c r="D45" t="s">
        <v>179</v>
      </c>
      <c r="E45" t="s">
        <v>180</v>
      </c>
    </row>
    <row r="46">
      <c r="A46" t="s">
        <v>181</v>
      </c>
      <c r="B46" t="s">
        <v>182</v>
      </c>
      <c r="C46" t="s">
        <v>27</v>
      </c>
      <c r="D46" t="s">
        <v>78</v>
      </c>
      <c r="E46" t="s">
        <v>183</v>
      </c>
    </row>
    <row r="47">
      <c r="A47" t="s">
        <v>181</v>
      </c>
      <c r="B47" t="s">
        <v>184</v>
      </c>
      <c r="C47" t="s">
        <v>185</v>
      </c>
      <c r="D47" t="s">
        <v>186</v>
      </c>
      <c r="E47" t="s">
        <v>187</v>
      </c>
    </row>
    <row r="48">
      <c r="A48" t="s">
        <v>181</v>
      </c>
      <c r="B48" t="s">
        <v>188</v>
      </c>
      <c r="C48" t="s">
        <v>40</v>
      </c>
      <c r="D48" t="s">
        <v>189</v>
      </c>
      <c r="E48" t="s">
        <v>190</v>
      </c>
    </row>
    <row r="49">
      <c r="A49" t="s">
        <v>191</v>
      </c>
      <c r="B49" t="s">
        <v>192</v>
      </c>
      <c r="C49" t="s">
        <v>36</v>
      </c>
      <c r="D49" t="s">
        <v>193</v>
      </c>
      <c r="E49" t="s">
        <v>194</v>
      </c>
    </row>
    <row r="50">
      <c r="A50" t="s">
        <v>191</v>
      </c>
      <c r="B50" t="s">
        <v>195</v>
      </c>
      <c r="C50" t="s">
        <v>23</v>
      </c>
      <c r="D50" t="s">
        <v>193</v>
      </c>
      <c r="E50" t="s">
        <v>196</v>
      </c>
    </row>
    <row r="51">
      <c r="A51" t="s">
        <v>191</v>
      </c>
      <c r="B51" t="s">
        <v>197</v>
      </c>
      <c r="C51" t="s">
        <v>121</v>
      </c>
      <c r="D51" t="s">
        <v>198</v>
      </c>
      <c r="E51" t="s">
        <v>199</v>
      </c>
    </row>
    <row r="52">
      <c r="A52" t="s">
        <v>200</v>
      </c>
      <c r="B52" t="s">
        <v>201</v>
      </c>
      <c r="C52" t="s">
        <v>77</v>
      </c>
      <c r="D52" t="s">
        <v>202</v>
      </c>
      <c r="E52" t="s">
        <v>203</v>
      </c>
    </row>
    <row r="53">
      <c r="A53" t="s">
        <v>200</v>
      </c>
      <c r="B53" t="s">
        <v>204</v>
      </c>
      <c r="C53" t="s">
        <v>49</v>
      </c>
      <c r="D53" t="s">
        <v>140</v>
      </c>
      <c r="E53" t="s">
        <v>205</v>
      </c>
    </row>
    <row r="54">
      <c r="A54" t="s">
        <v>200</v>
      </c>
      <c r="B54" t="s">
        <v>206</v>
      </c>
      <c r="C54" t="s">
        <v>157</v>
      </c>
      <c r="D54" t="s">
        <v>207</v>
      </c>
      <c r="E54" t="s">
        <v>208</v>
      </c>
    </row>
    <row r="55">
      <c r="A55" t="s">
        <v>209</v>
      </c>
      <c r="B55" t="s">
        <v>210</v>
      </c>
      <c r="C55" t="s">
        <v>27</v>
      </c>
      <c r="D55" t="s">
        <v>41</v>
      </c>
      <c r="E55" t="s">
        <v>211</v>
      </c>
    </row>
    <row r="56">
      <c r="A56" t="s">
        <v>209</v>
      </c>
      <c r="B56" t="s">
        <v>212</v>
      </c>
      <c r="C56" t="s">
        <v>19</v>
      </c>
      <c r="D56" t="s">
        <v>213</v>
      </c>
      <c r="E56" t="s">
        <v>214</v>
      </c>
    </row>
    <row r="57">
      <c r="A57" t="s">
        <v>209</v>
      </c>
      <c r="B57" t="s">
        <v>215</v>
      </c>
      <c r="C57" t="s">
        <v>178</v>
      </c>
      <c r="D57" t="s">
        <v>216</v>
      </c>
      <c r="E57" t="s">
        <v>217</v>
      </c>
    </row>
    <row r="58">
      <c r="A58" t="s">
        <v>218</v>
      </c>
      <c r="B58" t="s">
        <v>219</v>
      </c>
      <c r="C58" t="s">
        <v>53</v>
      </c>
      <c r="D58" t="s">
        <v>220</v>
      </c>
      <c r="E58" t="s">
        <v>221</v>
      </c>
    </row>
    <row r="59">
      <c r="A59" t="s">
        <v>218</v>
      </c>
      <c r="B59" t="s">
        <v>222</v>
      </c>
      <c r="C59" t="s">
        <v>81</v>
      </c>
      <c r="D59" t="s">
        <v>223</v>
      </c>
      <c r="E59" t="s">
        <v>224</v>
      </c>
    </row>
    <row r="60">
      <c r="A60" t="s">
        <v>218</v>
      </c>
      <c r="B60" t="s">
        <v>225</v>
      </c>
      <c r="C60" t="s">
        <v>185</v>
      </c>
      <c r="D60" t="s">
        <v>226</v>
      </c>
      <c r="E60" t="s">
        <v>227</v>
      </c>
    </row>
    <row r="61">
      <c r="A61" t="s">
        <v>228</v>
      </c>
      <c r="B61" t="s">
        <v>229</v>
      </c>
      <c r="C61" t="s">
        <v>19</v>
      </c>
      <c r="D61" t="s">
        <v>54</v>
      </c>
      <c r="E61" t="s">
        <v>230</v>
      </c>
    </row>
    <row r="62">
      <c r="A62" t="s">
        <v>228</v>
      </c>
      <c r="B62" t="s">
        <v>231</v>
      </c>
      <c r="C62" t="s">
        <v>62</v>
      </c>
      <c r="D62" t="s">
        <v>24</v>
      </c>
      <c r="E62" t="s">
        <v>232</v>
      </c>
    </row>
    <row r="63">
      <c r="A63" t="s">
        <v>228</v>
      </c>
      <c r="B63" t="s">
        <v>233</v>
      </c>
      <c r="C63" t="s">
        <v>66</v>
      </c>
      <c r="D63" t="s">
        <v>234</v>
      </c>
      <c r="E63" t="s">
        <v>235</v>
      </c>
    </row>
    <row r="64">
      <c r="A64" t="s">
        <v>236</v>
      </c>
      <c r="B64" t="s">
        <v>237</v>
      </c>
      <c r="C64" t="s">
        <v>49</v>
      </c>
      <c r="D64" t="s">
        <v>238</v>
      </c>
      <c r="E64" t="s">
        <v>239</v>
      </c>
    </row>
    <row r="65">
      <c r="A65" t="s">
        <v>236</v>
      </c>
      <c r="B65" t="s">
        <v>240</v>
      </c>
      <c r="C65" t="s">
        <v>27</v>
      </c>
      <c r="D65" t="s">
        <v>118</v>
      </c>
      <c r="E65" t="s">
        <v>241</v>
      </c>
    </row>
    <row r="66">
      <c r="A66" t="s">
        <v>236</v>
      </c>
      <c r="B66" t="s">
        <v>242</v>
      </c>
      <c r="C66" t="s">
        <v>153</v>
      </c>
      <c r="D66" t="s">
        <v>243</v>
      </c>
      <c r="E66" t="s">
        <v>244</v>
      </c>
    </row>
    <row r="67">
      <c r="A67" t="s">
        <v>245</v>
      </c>
      <c r="B67" t="s">
        <v>246</v>
      </c>
      <c r="C67" t="s">
        <v>23</v>
      </c>
      <c r="D67" t="s">
        <v>247</v>
      </c>
      <c r="E67" t="s">
        <v>248</v>
      </c>
    </row>
    <row r="68">
      <c r="A68" t="s">
        <v>245</v>
      </c>
      <c r="B68" t="s">
        <v>249</v>
      </c>
      <c r="C68" t="s">
        <v>105</v>
      </c>
      <c r="D68" t="s">
        <v>74</v>
      </c>
      <c r="E68" t="s">
        <v>250</v>
      </c>
    </row>
    <row r="69">
      <c r="A69" t="s">
        <v>245</v>
      </c>
      <c r="B69" t="s">
        <v>251</v>
      </c>
      <c r="C69" t="s">
        <v>135</v>
      </c>
      <c r="D69" t="s">
        <v>252</v>
      </c>
      <c r="E69" t="s">
        <v>253</v>
      </c>
    </row>
    <row r="70">
      <c r="A70" t="s">
        <v>254</v>
      </c>
      <c r="B70" t="s">
        <v>255</v>
      </c>
      <c r="C70" t="s">
        <v>40</v>
      </c>
      <c r="D70" t="s">
        <v>256</v>
      </c>
      <c r="E70" t="s">
        <v>257</v>
      </c>
    </row>
    <row r="71">
      <c r="A71" t="s">
        <v>254</v>
      </c>
      <c r="B71" t="s">
        <v>258</v>
      </c>
      <c r="C71" t="s">
        <v>36</v>
      </c>
      <c r="D71" t="s">
        <v>247</v>
      </c>
      <c r="E71" t="s">
        <v>259</v>
      </c>
    </row>
    <row r="72">
      <c r="A72" t="s">
        <v>254</v>
      </c>
      <c r="B72" t="s">
        <v>260</v>
      </c>
      <c r="C72" t="s">
        <v>19</v>
      </c>
      <c r="D72" t="s">
        <v>261</v>
      </c>
      <c r="E72" t="s">
        <v>262</v>
      </c>
    </row>
    <row r="73">
      <c r="A73" t="s">
        <v>263</v>
      </c>
      <c r="B73" t="s">
        <v>264</v>
      </c>
      <c r="C73" t="s">
        <v>27</v>
      </c>
      <c r="D73" t="s">
        <v>89</v>
      </c>
      <c r="E73" t="s">
        <v>265</v>
      </c>
    </row>
    <row r="74">
      <c r="A74" t="s">
        <v>263</v>
      </c>
      <c r="B74" t="s">
        <v>266</v>
      </c>
      <c r="C74" t="s">
        <v>57</v>
      </c>
      <c r="D74" t="s">
        <v>82</v>
      </c>
      <c r="E74" t="s">
        <v>267</v>
      </c>
    </row>
    <row r="75">
      <c r="A75" t="s">
        <v>263</v>
      </c>
      <c r="B75" t="s">
        <v>268</v>
      </c>
      <c r="C75" t="s">
        <v>105</v>
      </c>
      <c r="D75" t="s">
        <v>269</v>
      </c>
      <c r="E75" t="s">
        <v>270</v>
      </c>
    </row>
    <row r="76">
      <c r="A76" t="s">
        <v>271</v>
      </c>
      <c r="B76" t="s">
        <v>272</v>
      </c>
      <c r="C76" t="s">
        <v>36</v>
      </c>
      <c r="D76" t="s">
        <v>273</v>
      </c>
      <c r="E76" t="s">
        <v>274</v>
      </c>
    </row>
    <row r="77">
      <c r="A77" t="s">
        <v>271</v>
      </c>
      <c r="B77" t="s">
        <v>275</v>
      </c>
      <c r="C77" t="s">
        <v>53</v>
      </c>
      <c r="D77" t="s">
        <v>276</v>
      </c>
      <c r="E77" t="s">
        <v>277</v>
      </c>
    </row>
    <row r="78">
      <c r="A78" t="s">
        <v>271</v>
      </c>
      <c r="B78" t="s">
        <v>278</v>
      </c>
      <c r="C78" t="s">
        <v>113</v>
      </c>
      <c r="D78" t="s">
        <v>279</v>
      </c>
      <c r="E78" t="s">
        <v>280</v>
      </c>
    </row>
    <row r="79">
      <c r="A79" t="s">
        <v>281</v>
      </c>
      <c r="B79" t="s">
        <v>282</v>
      </c>
      <c r="C79" t="s">
        <v>23</v>
      </c>
      <c r="D79" t="s">
        <v>283</v>
      </c>
      <c r="E79" t="s">
        <v>284</v>
      </c>
    </row>
    <row r="80">
      <c r="A80" t="s">
        <v>281</v>
      </c>
      <c r="B80" t="s">
        <v>285</v>
      </c>
      <c r="C80" t="s">
        <v>49</v>
      </c>
      <c r="D80" t="s">
        <v>286</v>
      </c>
      <c r="E80" t="s">
        <v>287</v>
      </c>
    </row>
    <row r="81">
      <c r="A81" t="s">
        <v>281</v>
      </c>
      <c r="B81" t="s">
        <v>288</v>
      </c>
      <c r="C81" t="s">
        <v>62</v>
      </c>
      <c r="D81" t="s">
        <v>289</v>
      </c>
      <c r="E81" t="s">
        <v>290</v>
      </c>
    </row>
    <row r="82">
      <c r="A82" t="s">
        <v>291</v>
      </c>
      <c r="B82" t="s">
        <v>292</v>
      </c>
      <c r="C82" t="s">
        <v>19</v>
      </c>
      <c r="D82" t="s">
        <v>293</v>
      </c>
      <c r="E82" t="s">
        <v>294</v>
      </c>
    </row>
    <row r="83">
      <c r="A83" t="s">
        <v>291</v>
      </c>
      <c r="B83" t="s">
        <v>295</v>
      </c>
      <c r="C83" t="s">
        <v>40</v>
      </c>
      <c r="D83" t="s">
        <v>296</v>
      </c>
      <c r="E83" t="s">
        <v>297</v>
      </c>
    </row>
    <row r="84">
      <c r="A84" t="s">
        <v>291</v>
      </c>
      <c r="B84" t="s">
        <v>298</v>
      </c>
      <c r="C84" t="s">
        <v>109</v>
      </c>
      <c r="D84" t="s">
        <v>299</v>
      </c>
      <c r="E84" t="s">
        <v>300</v>
      </c>
    </row>
    <row r="85">
      <c r="A85" t="s">
        <v>301</v>
      </c>
      <c r="B85" t="s">
        <v>302</v>
      </c>
      <c r="C85" t="s">
        <v>19</v>
      </c>
      <c r="D85" t="s">
        <v>50</v>
      </c>
      <c r="E85" t="s">
        <v>303</v>
      </c>
    </row>
    <row r="86">
      <c r="A86" t="s">
        <v>301</v>
      </c>
      <c r="B86" t="s">
        <v>304</v>
      </c>
      <c r="C86" t="s">
        <v>77</v>
      </c>
      <c r="D86" t="s">
        <v>305</v>
      </c>
      <c r="E86" t="s">
        <v>306</v>
      </c>
    </row>
    <row r="87">
      <c r="A87" t="s">
        <v>301</v>
      </c>
      <c r="B87" t="s">
        <v>307</v>
      </c>
      <c r="C87" t="s">
        <v>23</v>
      </c>
      <c r="D87" t="s">
        <v>308</v>
      </c>
      <c r="E87" t="s">
        <v>309</v>
      </c>
    </row>
    <row r="88">
      <c r="A88" t="s">
        <v>310</v>
      </c>
      <c r="B88" t="s">
        <v>311</v>
      </c>
      <c r="C88" t="s">
        <v>100</v>
      </c>
      <c r="D88" t="s">
        <v>312</v>
      </c>
      <c r="E88" t="s">
        <v>313</v>
      </c>
    </row>
    <row r="89">
      <c r="A89" t="s">
        <v>310</v>
      </c>
      <c r="B89" t="s">
        <v>314</v>
      </c>
      <c r="C89" t="s">
        <v>31</v>
      </c>
      <c r="D89" t="s">
        <v>315</v>
      </c>
      <c r="E89" t="s">
        <v>316</v>
      </c>
    </row>
    <row r="90">
      <c r="A90" t="s">
        <v>310</v>
      </c>
      <c r="B90" t="s">
        <v>317</v>
      </c>
      <c r="C90" t="s">
        <v>36</v>
      </c>
      <c r="D90" t="s">
        <v>146</v>
      </c>
      <c r="E90" t="s">
        <v>318</v>
      </c>
    </row>
    <row r="91">
      <c r="A91" t="s">
        <v>319</v>
      </c>
      <c r="B91" t="s">
        <v>320</v>
      </c>
      <c r="C91" t="s">
        <v>49</v>
      </c>
      <c r="D91" t="s">
        <v>321</v>
      </c>
      <c r="E91" t="s">
        <v>322</v>
      </c>
    </row>
    <row r="92">
      <c r="A92" t="s">
        <v>319</v>
      </c>
      <c r="B92" t="s">
        <v>323</v>
      </c>
      <c r="C92" t="s">
        <v>44</v>
      </c>
      <c r="D92" t="s">
        <v>324</v>
      </c>
      <c r="E92" t="s">
        <v>325</v>
      </c>
    </row>
    <row r="93">
      <c r="A93" t="s">
        <v>319</v>
      </c>
      <c r="B93" t="s">
        <v>326</v>
      </c>
      <c r="C93" t="s">
        <v>27</v>
      </c>
      <c r="D93" t="s">
        <v>45</v>
      </c>
      <c r="E93" t="s">
        <v>327</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30</v>
      </c>
      <c r="B2" s="2">
        <v>1</v>
      </c>
      <c r="C2" s="2">
        <v>91</v>
      </c>
      <c r="D2" s="3">
        <v>0.00208333333333333</v>
      </c>
      <c r="E2" s="3" t="str">
        <f>(A2*B2*C2*D2)</f>
      </c>
      <c r="F2" s="3">
        <v>0.000347222222222222</v>
      </c>
      <c r="G2" s="3">
        <v>0.0208333333333333</v>
      </c>
      <c r="H2" s="31"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59</v>
      </c>
      <c r="B8" s="2">
        <v>1</v>
      </c>
      <c r="C8" s="2"/>
      <c r="D8" s="3">
        <v>0.00277777777777777</v>
      </c>
      <c r="E8" s="3" t="str">
        <f>(A8*B8*D8)</f>
      </c>
      <c r="F8" s="3">
        <v>0.000347222222222222</v>
      </c>
      <c r="G8" s="3">
        <v>0.0208333333333333</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404</v>
      </c>
      <c r="F13" s="13"/>
      <c r="G13" s="13"/>
      <c r="H13" s="13"/>
    </row>
    <row r="14">
      <c r="A14">
        <v>2</v>
      </c>
      <c r="E14" s="32" t="s">
        <v>405</v>
      </c>
      <c r="F14" s="32"/>
      <c r="G14" s="32"/>
      <c r="H14" s="31" t="str">
        <f>H2</f>
      </c>
    </row>
    <row r="15">
      <c r="E15" s="32" t="s">
        <v>406</v>
      </c>
      <c r="F15" s="32"/>
      <c r="G15" s="32"/>
      <c r="H15" s="31" t="str">
        <f>H8</f>
      </c>
    </row>
    <row r="16">
      <c r="E16" s="32" t="s">
        <v>407</v>
      </c>
      <c r="F16" s="32"/>
      <c r="G16" s="32"/>
      <c r="H16" s="31" t="str">
        <f>H14+H15</f>
      </c>
    </row>
    <row r="17">
      <c r="E17" s="32" t="s">
        <v>408</v>
      </c>
      <c r="F17" s="32"/>
      <c r="G17" s="32"/>
      <c r="H17" s="31" t="str">
        <f>H16/A14</f>
      </c>
    </row>
    <row r="18">
      <c r="E18" s="13" t="s">
        <v>409</v>
      </c>
      <c r="F18" s="13"/>
      <c r="G18" s="13"/>
      <c r="H18" s="33">
        <v>0.375</v>
      </c>
    </row>
    <row r="19">
      <c r="E19" s="13" t="s">
        <v>410</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6" min="6" width="30"/>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'data'!$A$6</f>
      </c>
      <c r="D5" s="11" t="str">
        <f>'data'!$A$36</f>
      </c>
      <c r="F5" s="11" t="str">
        <f>'data'!$A$66</f>
      </c>
    </row>
    <row r="6" ht="17" customHeight="true">
      <c r="B6" s="12" t="str">
        <f>data!$E$3&amp;" "&amp;data!$B$3</f>
      </c>
      <c r="D6" s="12" t="str">
        <f>data!$E$34&amp;" "&amp;data!$B$34</f>
      </c>
      <c r="F6" s="12" t="str">
        <f>data!$E$64&amp;" "&amp;data!$B$64</f>
      </c>
    </row>
    <row r="7" ht="17" customHeight="true">
      <c r="B7" s="12" t="str">
        <f>data!$E$4&amp;" "&amp;data!$B$4</f>
      </c>
      <c r="D7" s="12" t="str">
        <f>data!$E$35&amp;" "&amp;data!$B$35</f>
      </c>
      <c r="F7" s="12" t="str">
        <f>data!$E$65&amp;" "&amp;data!$B$65</f>
      </c>
    </row>
    <row r="8">
      <c r="B8" s="12" t="str">
        <f>data!$E$5&amp;" "&amp;data!$B$5</f>
      </c>
      <c r="D8" s="12" t="str">
        <f>data!$E$36&amp;" "&amp;data!$B$36</f>
      </c>
      <c r="F8" s="12" t="str">
        <f>data!$E$66&amp;" "&amp;data!$B$66</f>
      </c>
    </row>
    <row r="9">
      <c r="B9" s="12" t="str">
        <f>data!$E$6&amp;" "&amp;data!$B$6</f>
      </c>
    </row>
    <row r="11">
      <c r="D11" s="11" t="str">
        <f>'data'!$A$39</f>
      </c>
      <c r="F11" s="11" t="str">
        <f>'data'!$A$69</f>
      </c>
    </row>
    <row r="12">
      <c r="B12" s="11" t="str">
        <f>'data'!$A$9</f>
      </c>
      <c r="D12" s="12" t="str">
        <f>data!$E$37&amp;" "&amp;data!$B$37</f>
      </c>
      <c r="F12" s="12" t="str">
        <f>data!$E$67&amp;" "&amp;data!$B$67</f>
      </c>
    </row>
    <row r="13">
      <c r="B13" s="12" t="str">
        <f>data!$E$7&amp;" "&amp;data!$B$7</f>
      </c>
      <c r="D13" s="12" t="str">
        <f>data!$E$38&amp;" "&amp;data!$B$38</f>
      </c>
      <c r="F13" s="12" t="str">
        <f>data!$E$68&amp;" "&amp;data!$B$68</f>
      </c>
    </row>
    <row r="14">
      <c r="B14" s="12" t="str">
        <f>data!$E$8&amp;" "&amp;data!$B$8</f>
      </c>
      <c r="D14" s="12" t="str">
        <f>data!$E$39&amp;" "&amp;data!$B$39</f>
      </c>
      <c r="F14" s="12" t="str">
        <f>data!$E$69&amp;" "&amp;data!$B$69</f>
      </c>
    </row>
    <row r="15">
      <c r="B15" s="12" t="str">
        <f>data!$E$9&amp;" "&amp;data!$B$9</f>
      </c>
    </row>
    <row r="17">
      <c r="D17" s="11" t="str">
        <f>'data'!$A$42</f>
      </c>
      <c r="F17" s="11" t="str">
        <f>'data'!$A$72</f>
      </c>
    </row>
    <row r="18">
      <c r="B18" s="11" t="str">
        <f>'data'!$A$12</f>
      </c>
      <c r="D18" s="12" t="str">
        <f>data!$E$40&amp;" "&amp;data!$B$40</f>
      </c>
      <c r="F18" s="12" t="str">
        <f>data!$E$70&amp;" "&amp;data!$B$70</f>
      </c>
    </row>
    <row r="19">
      <c r="B19" s="12" t="str">
        <f>data!$E$10&amp;" "&amp;data!$B$10</f>
      </c>
      <c r="D19" s="12" t="str">
        <f>data!$E$41&amp;" "&amp;data!$B$41</f>
      </c>
      <c r="F19" s="12" t="str">
        <f>data!$E$71&amp;" "&amp;data!$B$71</f>
      </c>
    </row>
    <row r="20">
      <c r="B20" s="12" t="str">
        <f>data!$E$11&amp;" "&amp;data!$B$11</f>
      </c>
      <c r="D20" s="12" t="str">
        <f>data!$E$42&amp;" "&amp;data!$B$42</f>
      </c>
      <c r="F20" s="12" t="str">
        <f>data!$E$72&amp;" "&amp;data!$B$72</f>
      </c>
    </row>
    <row r="21">
      <c r="B21" s="12" t="str">
        <f>data!$E$12&amp;" "&amp;data!$B$12</f>
      </c>
    </row>
    <row r="23">
      <c r="D23" s="11" t="str">
        <f>'data'!$A$45</f>
      </c>
      <c r="F23" s="11" t="str">
        <f>'data'!$A$75</f>
      </c>
    </row>
    <row r="24">
      <c r="B24" s="11" t="str">
        <f>'data'!$A$15</f>
      </c>
      <c r="D24" s="12" t="str">
        <f>data!$E$43&amp;" "&amp;data!$B$43</f>
      </c>
      <c r="F24" s="12" t="str">
        <f>data!$E$73&amp;" "&amp;data!$B$73</f>
      </c>
    </row>
    <row r="25">
      <c r="B25" s="12" t="str">
        <f>data!$E$13&amp;" "&amp;data!$B$13</f>
      </c>
      <c r="D25" s="12" t="str">
        <f>data!$E$44&amp;" "&amp;data!$B$44</f>
      </c>
      <c r="F25" s="12" t="str">
        <f>data!$E$74&amp;" "&amp;data!$B$74</f>
      </c>
    </row>
    <row r="26">
      <c r="B26" s="12" t="str">
        <f>data!$E$14&amp;" "&amp;data!$B$14</f>
      </c>
      <c r="D26" s="12" t="str">
        <f>data!$E$45&amp;" "&amp;data!$B$45</f>
      </c>
      <c r="F26" s="12" t="str">
        <f>data!$E$75&amp;" "&amp;data!$B$75</f>
      </c>
    </row>
    <row r="27">
      <c r="B27" s="12" t="str">
        <f>data!$E$15&amp;" "&amp;data!$B$15</f>
      </c>
    </row>
    <row r="29">
      <c r="D29" s="11" t="str">
        <f>'data'!$A$48</f>
      </c>
      <c r="F29" s="11" t="str">
        <f>'data'!$A$78</f>
      </c>
    </row>
    <row r="30">
      <c r="B30" s="11" t="str">
        <f>'data'!$A$18</f>
      </c>
      <c r="D30" s="12" t="str">
        <f>data!$E$46&amp;" "&amp;data!$B$46</f>
      </c>
      <c r="F30" s="12" t="str">
        <f>data!$E$76&amp;" "&amp;data!$B$76</f>
      </c>
    </row>
    <row r="31">
      <c r="B31" s="12" t="str">
        <f>data!$E$16&amp;" "&amp;data!$B$16</f>
      </c>
      <c r="D31" s="12" t="str">
        <f>data!$E$47&amp;" "&amp;data!$B$47</f>
      </c>
      <c r="F31" s="12" t="str">
        <f>data!$E$77&amp;" "&amp;data!$B$77</f>
      </c>
    </row>
    <row r="32">
      <c r="B32" s="12" t="str">
        <f>data!$E$17&amp;" "&amp;data!$B$17</f>
      </c>
      <c r="D32" s="12" t="str">
        <f>data!$E$48&amp;" "&amp;data!$B$48</f>
      </c>
      <c r="F32" s="12" t="str">
        <f>data!$E$78&amp;" "&amp;data!$B$78</f>
      </c>
    </row>
    <row r="33">
      <c r="B33" s="12" t="str">
        <f>data!$E$18&amp;" "&amp;data!$B$18</f>
      </c>
    </row>
    <row r="35">
      <c r="D35" s="11" t="str">
        <f>'data'!$A$51</f>
      </c>
      <c r="F35" s="11" t="str">
        <f>'data'!$A$81</f>
      </c>
    </row>
    <row r="36">
      <c r="B36" s="11" t="str">
        <f>'data'!$A$21</f>
      </c>
      <c r="D36" s="12" t="str">
        <f>data!$E$49&amp;" "&amp;data!$B$49</f>
      </c>
      <c r="F36" s="12" t="str">
        <f>data!$E$79&amp;" "&amp;data!$B$79</f>
      </c>
    </row>
    <row r="37">
      <c r="B37" s="12" t="str">
        <f>data!$E$19&amp;" "&amp;data!$B$19</f>
      </c>
      <c r="D37" s="12" t="str">
        <f>data!$E$50&amp;" "&amp;data!$B$50</f>
      </c>
      <c r="F37" s="12" t="str">
        <f>data!$E$80&amp;" "&amp;data!$B$80</f>
      </c>
    </row>
    <row r="38">
      <c r="B38" s="12" t="str">
        <f>data!$E$20&amp;" "&amp;data!$B$20</f>
      </c>
      <c r="D38" s="12" t="str">
        <f>data!$E$51&amp;" "&amp;data!$B$51</f>
      </c>
      <c r="F38" s="12" t="str">
        <f>data!$E$81&amp;" "&amp;data!$B$81</f>
      </c>
    </row>
    <row r="39">
      <c r="B39" s="12" t="str">
        <f>data!$E$21&amp;" "&amp;data!$B$21</f>
      </c>
    </row>
    <row r="41">
      <c r="D41" s="11" t="str">
        <f>'data'!$A$54</f>
      </c>
      <c r="F41" s="11" t="str">
        <f>'data'!$A$84</f>
      </c>
    </row>
    <row r="42">
      <c r="B42" s="11" t="str">
        <f>'data'!$A$24</f>
      </c>
      <c r="D42" s="12" t="str">
        <f>data!$E$52&amp;" "&amp;data!$B$52</f>
      </c>
      <c r="F42" s="12" t="str">
        <f>data!$E$82&amp;" "&amp;data!$B$82</f>
      </c>
    </row>
    <row r="43">
      <c r="B43" s="12" t="str">
        <f>data!$E$22&amp;" "&amp;data!$B$22</f>
      </c>
      <c r="D43" s="12" t="str">
        <f>data!$E$53&amp;" "&amp;data!$B$53</f>
      </c>
      <c r="F43" s="12" t="str">
        <f>data!$E$83&amp;" "&amp;data!$B$83</f>
      </c>
    </row>
    <row r="44">
      <c r="B44" s="12" t="str">
        <f>data!$E$23&amp;" "&amp;data!$B$23</f>
      </c>
      <c r="D44" s="12" t="str">
        <f>data!$E$54&amp;" "&amp;data!$B$54</f>
      </c>
      <c r="F44" s="12" t="str">
        <f>data!$E$84&amp;" "&amp;data!$B$84</f>
      </c>
    </row>
    <row r="45">
      <c r="B45" s="12" t="str">
        <f>data!$E$24&amp;" "&amp;data!$B$24</f>
      </c>
    </row>
    <row r="47">
      <c r="D47" s="11" t="str">
        <f>'data'!$A$57</f>
      </c>
      <c r="F47" s="11" t="str">
        <f>'data'!$A$87</f>
      </c>
    </row>
    <row r="48">
      <c r="B48" s="11" t="str">
        <f>'data'!$A$27</f>
      </c>
      <c r="D48" s="12" t="str">
        <f>data!$E$55&amp;" "&amp;data!$B$55</f>
      </c>
      <c r="F48" s="12" t="str">
        <f>data!$E$85&amp;" "&amp;data!$B$85</f>
      </c>
    </row>
    <row r="49">
      <c r="B49" s="12" t="str">
        <f>data!$E$25&amp;" "&amp;data!$B$25</f>
      </c>
      <c r="D49" s="12" t="str">
        <f>data!$E$56&amp;" "&amp;data!$B$56</f>
      </c>
      <c r="F49" s="12" t="str">
        <f>data!$E$86&amp;" "&amp;data!$B$86</f>
      </c>
    </row>
    <row r="50">
      <c r="B50" s="12" t="str">
        <f>data!$E$26&amp;" "&amp;data!$B$26</f>
      </c>
      <c r="D50" s="12" t="str">
        <f>data!$E$57&amp;" "&amp;data!$B$57</f>
      </c>
      <c r="F50" s="12" t="str">
        <f>data!$E$87&amp;" "&amp;data!$B$87</f>
      </c>
    </row>
    <row r="51">
      <c r="B51" s="12" t="str">
        <f>data!$E$27&amp;" "&amp;data!$B$27</f>
      </c>
    </row>
    <row r="53">
      <c r="D53" s="11" t="str">
        <f>'data'!$A$60</f>
      </c>
      <c r="F53" s="11" t="str">
        <f>'data'!$A$90</f>
      </c>
    </row>
    <row r="54">
      <c r="B54" s="11" t="str">
        <f>'data'!$A$30</f>
      </c>
      <c r="D54" s="12" t="str">
        <f>data!$E$58&amp;" "&amp;data!$B$58</f>
      </c>
      <c r="F54" s="12" t="str">
        <f>data!$E$88&amp;" "&amp;data!$B$88</f>
      </c>
    </row>
    <row r="55">
      <c r="B55" s="12" t="str">
        <f>data!$E$28&amp;" "&amp;data!$B$28</f>
      </c>
      <c r="D55" s="12" t="str">
        <f>data!$E$59&amp;" "&amp;data!$B$59</f>
      </c>
      <c r="F55" s="12" t="str">
        <f>data!$E$89&amp;" "&amp;data!$B$89</f>
      </c>
    </row>
    <row r="56">
      <c r="B56" s="12" t="str">
        <f>data!$E$29&amp;" "&amp;data!$B$29</f>
      </c>
      <c r="D56" s="12" t="str">
        <f>data!$E$60&amp;" "&amp;data!$B$60</f>
      </c>
      <c r="F56" s="12" t="str">
        <f>data!$E$90&amp;" "&amp;data!$B$90</f>
      </c>
    </row>
    <row r="57">
      <c r="B57" s="12" t="str">
        <f>data!$E$30&amp;" "&amp;data!$B$30</f>
      </c>
    </row>
    <row r="59">
      <c r="D59" s="11" t="str">
        <f>'data'!$A$63</f>
      </c>
      <c r="F59" s="11" t="str">
        <f>'data'!$A$93</f>
      </c>
    </row>
    <row r="60">
      <c r="B60" s="11" t="str">
        <f>'data'!$A$33</f>
      </c>
      <c r="D60" s="12" t="str">
        <f>data!$E$61&amp;" "&amp;data!$B$61</f>
      </c>
      <c r="F60" s="12" t="str">
        <f>data!$E$91&amp;" "&amp;data!$B$91</f>
      </c>
    </row>
    <row r="61">
      <c r="B61" s="12" t="str">
        <f>data!$E$31&amp;" "&amp;data!$B$31</f>
      </c>
      <c r="D61" s="12" t="str">
        <f>data!$E$62&amp;" "&amp;data!$B$62</f>
      </c>
      <c r="F61" s="12" t="str">
        <f>data!$E$92&amp;" "&amp;data!$B$92</f>
      </c>
    </row>
    <row r="62">
      <c r="B62" s="12" t="str">
        <f>data!$E$32&amp;" "&amp;data!$B$32</f>
      </c>
      <c r="D62" s="12" t="str">
        <f>data!$E$63&amp;" "&amp;data!$B$63</f>
      </c>
      <c r="F62" s="12" t="str">
        <f>data!$E$93&amp;" "&amp;data!$B$93</f>
      </c>
    </row>
    <row r="63">
      <c r="B63" s="12" t="str">
        <f>data!$E$33&amp;" "&amp;data!$B$33</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 customWidth="true" hidden="true" max="21" min="21" width="9.140625"/>
    <col customWidth="true" hidden="true" max="29" min="29" width="9.140625"/>
  </cols>
  <sheetData>
    <row r="1">
      <c r="A1" s="13" t="s">
        <v>328</v>
      </c>
      <c r="B1" s="13"/>
      <c r="C1" s="13"/>
      <c r="D1" s="13"/>
      <c r="E1" s="13"/>
      <c r="F1" s="13"/>
      <c r="G1" s="13"/>
      <c r="I1" s="13" t="s">
        <v>329</v>
      </c>
      <c r="J1" s="13"/>
      <c r="K1" s="13"/>
      <c r="L1" s="13"/>
      <c r="M1" s="13"/>
      <c r="N1" s="13"/>
      <c r="O1" s="13"/>
    </row>
    <row r="2">
      <c r="A2" s="13" t="str">
        <f>'data'!$A$6</f>
      </c>
      <c r="B2" s="13"/>
      <c r="C2" s="13"/>
      <c r="D2" s="13"/>
      <c r="E2" s="13"/>
      <c r="F2" s="13"/>
      <c r="G2" s="13"/>
      <c r="I2" s="13" t="str">
        <f>'data'!$A$51</f>
      </c>
      <c r="J2" s="13"/>
      <c r="K2" s="13"/>
      <c r="L2" s="13"/>
      <c r="M2" s="13"/>
      <c r="N2" s="13"/>
      <c r="O2" s="13"/>
    </row>
    <row r="3">
      <c r="A3" s="17" t="s">
        <v>330</v>
      </c>
      <c r="D3" s="14" t="s">
        <v>331</v>
      </c>
      <c r="G3" s="16" t="s">
        <v>332</v>
      </c>
      <c r="I3" s="17" t="s">
        <v>330</v>
      </c>
      <c r="L3" s="14" t="s">
        <v>331</v>
      </c>
      <c r="O3" s="16" t="s">
        <v>332</v>
      </c>
    </row>
    <row r="4">
      <c r="A4" s="14" t="str">
        <f>data!$E$4&amp;" "&amp;data!$B$4</f>
      </c>
      <c r="B4" s="18"/>
      <c r="C4" s="18"/>
      <c r="D4" s="18"/>
      <c r="E4" s="18"/>
      <c r="F4" s="18"/>
      <c r="G4" s="14" t="str">
        <f>data!$E$3&amp;" "&amp;data!$B$3</f>
      </c>
      <c r="I4" s="14" t="str">
        <f>data!$E$50&amp;" "&amp;data!$B$50</f>
      </c>
      <c r="J4" s="18"/>
      <c r="K4" s="18"/>
      <c r="L4" s="18"/>
      <c r="M4" s="18"/>
      <c r="N4" s="18"/>
      <c r="O4" s="14" t="str">
        <f>data!$E$49&amp;" "&amp;data!$B$49</f>
      </c>
    </row>
    <row r="5">
      <c r="A5" s="14" t="str">
        <f>data!$E$4&amp;" "&amp;data!$B$4</f>
      </c>
      <c r="B5" s="18"/>
      <c r="C5" s="18"/>
      <c r="D5" s="18"/>
      <c r="E5" s="18"/>
      <c r="F5" s="18"/>
      <c r="G5" s="14" t="str">
        <f>data!$E$5&amp;" "&amp;data!$B$5</f>
      </c>
      <c r="I5" s="14" t="str">
        <f>data!$E$51&amp;" "&amp;data!$B$51</f>
      </c>
      <c r="J5" s="18"/>
      <c r="K5" s="18"/>
      <c r="L5" s="18"/>
      <c r="M5" s="18"/>
      <c r="N5" s="18"/>
      <c r="O5" s="14" t="str">
        <f>data!$E$49&amp;" "&amp;data!$B$49</f>
      </c>
    </row>
    <row r="6">
      <c r="A6" s="14" t="str">
        <f>data!$E$6&amp;" "&amp;data!$B$6</f>
      </c>
      <c r="B6" s="18"/>
      <c r="C6" s="18"/>
      <c r="D6" s="18"/>
      <c r="E6" s="18"/>
      <c r="F6" s="18"/>
      <c r="G6" s="14" t="str">
        <f>data!$E$5&amp;" "&amp;data!$B$5</f>
      </c>
      <c r="I6" s="14" t="str">
        <f>data!$E$51&amp;" "&amp;data!$B$51</f>
      </c>
      <c r="J6" s="18"/>
      <c r="K6" s="18"/>
      <c r="L6" s="18"/>
      <c r="M6" s="18"/>
      <c r="N6" s="18"/>
      <c r="O6" s="14" t="str">
        <f>data!$E$50&amp;" "&amp;data!$B$50</f>
      </c>
    </row>
    <row r="7">
      <c r="A7" s="14" t="str">
        <f>data!$E$6&amp;" "&amp;data!$B$6</f>
      </c>
      <c r="B7" s="18"/>
      <c r="C7" s="18"/>
      <c r="D7" s="18"/>
      <c r="E7" s="18"/>
      <c r="F7" s="18"/>
      <c r="G7" s="14" t="str">
        <f>data!$E$3&amp;" "&amp;data!$B$3</f>
      </c>
    </row>
    <row r="9">
      <c r="A9" s="13" t="s">
        <v>333</v>
      </c>
      <c r="B9" s="13" t="s">
        <v>334</v>
      </c>
      <c r="C9" s="13" t="s">
        <v>335</v>
      </c>
      <c r="D9" s="13" t="s">
        <v>336</v>
      </c>
      <c r="E9" s="13" t="s">
        <v>337</v>
      </c>
      <c r="F9" s="13" t="s">
        <v>338</v>
      </c>
      <c r="G9" s="13" t="s">
        <v>339</v>
      </c>
      <c r="I9" s="13" t="s">
        <v>333</v>
      </c>
      <c r="J9" s="13" t="s">
        <v>334</v>
      </c>
      <c r="K9" s="13" t="s">
        <v>335</v>
      </c>
      <c r="L9" s="13" t="s">
        <v>336</v>
      </c>
      <c r="M9" s="13" t="s">
        <v>337</v>
      </c>
      <c r="N9" s="13" t="s">
        <v>338</v>
      </c>
      <c r="O9" s="13" t="s">
        <v>339</v>
      </c>
    </row>
    <row r="10">
      <c r="A10" s="14" t="str">
        <f>data!$E$3&amp;" "&amp;data!$B$3</f>
      </c>
      <c r="B10"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",""),"0",""),"-",""))&gt;LEN(SUBSTITUTE(SUBSTITUTE(SUBSTITUTE(B4," ",""),"0",""),"-",""))+LEN(SUBSTITUTE(SUBSTITUTE(SUBSTITUTE(C4," ",""),"0",""),"-","")))*1),0)+IF(OR(COUNTA(B7,C7,E7,F7)&gt;0,OR(D7="X",D7="x")),IF(OR(D7="X",D7="x",AND(OR(COUNTA(B7,C7,E7,F7)&gt;0,OR(D7="X",D7="x")),(LEN(SUBSTITUTE(SUBSTITUTE(SUBSTITUTE(B7," ",""),"0",""),"-",""))+LEN(SUBSTITUTE(SUBSTITUTE(SUBSTITUTE(C7," ",""),"0",""),"-","")))=(LEN(SUBSTITUTE(SUBSTITUTE(SUBSTITUTE(E7," ",""),"0",""),"-",""))+LEN(SUBSTITUTE(SUBSTITUTE(SUBSTITUTE(F7," ",""),"0",""),"-",""))))),0,(LEN(SUBSTITUTE(SUBSTITUTE(SUBSTITUTE(E7," ",""),"0",""),"-",""))+LEN(SUBSTITUTE(SUBSTITUTE(SUBSTITUTE(F7," ",""),"0",""),"-",""))&gt;LEN(SUBSTITUTE(SUBSTITUTE(SUBSTITUTE(B7," ",""),"0",""),"-",""))+LEN(SUBSTITUTE(SUBSTITUTE(SUBSTITUTE(C7," ",""),"0",""),"-","")))*1),0)</f>
      </c>
      <c r="C10"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",""),"0",""),"-",""))&lt;LEN(SUBSTITUTE(SUBSTITUTE(SUBSTITUTE(B4," ",""),"0",""),"-",""))+LEN(SUBSTITUTE(SUBSTITUTE(SUBSTITUTE(C4," ",""),"0",""),"-","")))*1),0)+IF(OR(COUNTA(B7,C7,E7,F7)&gt;0,OR(D7="X",D7="x")),IF(OR(D7="X",D7="x",AND(OR(COUNTA(B7,C7,E7,F7)&gt;0,OR(D7="X",D7="x")),(LEN(SUBSTITUTE(SUBSTITUTE(SUBSTITUTE(B7," ",""),"0",""),"-",""))+LEN(SUBSTITUTE(SUBSTITUTE(SUBSTITUTE(C7," ",""),"0",""),"-","")))=(LEN(SUBSTITUTE(SUBSTITUTE(SUBSTITUTE(E7," ",""),"0",""),"-",""))+LEN(SUBSTITUTE(SUBSTITUTE(SUBSTITUTE(F7," ",""),"0",""),"-",""))))),0,(LEN(SUBSTITUTE(SUBSTITUTE(SUBSTITUTE(E7," ",""),"0",""),"-",""))+LEN(SUBSTITUTE(SUBSTITUTE(SUBSTITUTE(F7," ",""),"0",""),"-",""))&lt;LEN(SUBSTITUTE(SUBSTITUTE(SUBSTITUTE(B7," ",""),"0",""),"-",""))+LEN(SUBSTITUTE(SUBSTITUTE(SUBSTITUTE(C7," ",""),"0",""),"-","")))*1),0)</f>
      </c>
      <c r="D10" s="14" t="str">
        <f>IF(OR(COUNTA(B4,C4,E4,F4)&gt;0,OR(D4="X",D4="x")),IF(OR(D4="X",D4="x",AND(OR(COUNTA(B4,C4,E4,F4)&gt;0,OR(D4="X",D4="x")),(LEN(SUBSTITUTE(SUBSTITUTE(SUBSTITUTE(B4," ",""),"0",""),"-",""))+LEN(SUBSTITUTE(SUBSTITUTE(SUBSTITUTE(C4," ",""),"0",""),"-","")))=(LEN(SUBSTITUTE(SUBSTITUTE(SUBSTITUTE(E4," ",""),"0",""),"-",""))+LEN(SUBSTITUTE(SUBSTITUTE(SUBSTITUTE(F4," ",""),"0",""),"-",""))))),1,0),0)+IF(OR(COUNTA(B7,C7,E7,F7)&gt;0,OR(D7="X",D7="x")),IF(OR(D7="X",D7="x",AND(OR(COUNTA(B7,C7,E7,F7)&gt;0,OR(D7="X",D7="x")),(LEN(SUBSTITUTE(SUBSTITUTE(SUBSTITUTE(B7," ",""),"0",""),"-",""))+LEN(SUBSTITUTE(SUBSTITUTE(SUBSTITUTE(C7," ",""),"0",""),"-","")))=(LEN(SUBSTITUTE(SUBSTITUTE(SUBSTITUTE(E7," ",""),"0",""),"-",""))+LEN(SUBSTITUTE(SUBSTITUTE(SUBSTITUTE(F7," ",""),"0",""),"-",""))))),1,0),0)</f>
      </c>
      <c r="E10" s="14" t="str">
        <f>LEN(SUBSTITUTE(SUBSTITUTE(SUBSTITUTE(E4," ",""),"0",""),"-",""))+LEN(SUBSTITUTE(SUBSTITUTE(SUBSTITUTE(F4," ",""),"0",""),"-",""))+LEN(SUBSTITUTE(SUBSTITUTE(SUBSTITUTE(E7," ",""),"0",""),"-",""))+LEN(SUBSTITUTE(SUBSTITUTE(SUBSTITUTE(F7," ",""),"0",""),"-",""))</f>
      </c>
      <c r="F10" s="14" t="str">
        <f>LEN(SUBSTITUTE(SUBSTITUTE(SUBSTITUTE(B4," ",""),"0",""),"-",""))+LEN(SUBSTITUTE(SUBSTITUTE(SUBSTITUTE(C4," ",""),"0",""),"-",""))+LEN(SUBSTITUTE(SUBSTITUTE(SUBSTITUTE(B7," ",""),"0",""),"-",""))+LEN(SUBSTITUTE(SUBSTITUTE(SUBSTITUTE(C7," ",""),"0",""),"-",""))</f>
      </c>
      <c r="G10" s="18" t="str">
        <f>RANK(U10,$U$10:$U$13)+COUNTIF($U$9:U9,U10)</f>
      </c>
      <c r="I10" s="14" t="str">
        <f>data!$E$49&amp;" "&amp;data!$B$49</f>
      </c>
      <c r="J10" s="14" t="str">
        <f>IF(OR(COUNTA(J4,K4,M4,N4)&gt;0,OR(L4="X",L4="x")),IF(OR(L4="X",L4="x",AND(OR(COUNTA(J4,K4,M4,N4)&gt;0,OR(L4="X",L4="x")),(LEN(SUBSTITUTE(SUBSTITUTE(SUBSTITUTE(J4," ",""),"0",""),"-",""))+LEN(SUBSTITUTE(SUBSTITUTE(SUBSTITUTE(K4," ",""),"0",""),"-","")))=(LEN(SUBSTITUTE(SUBSTITUTE(SUBSTITUTE(M4," ",""),"0",""),"-",""))+LEN(SUBSTITUTE(SUBSTITUTE(SUBSTITUTE(N4," ",""),"0",""),"-",""))))),0,(LEN(SUBSTITUTE(SUBSTITUTE(SUBSTITUTE(M4," ",""),"0",""),"-",""))+LEN(SUBSTITUTE(SUBSTITUTE(SUBSTITUTE(N4," ",""),"0",""),"-",""))&gt;LEN(SUBSTITUTE(SUBSTITUTE(SUBSTITUTE(J4," ",""),"0",""),"-",""))+LEN(SUBSTITUTE(SUBSTITUTE(SUBSTITUTE(K4," ",""),"0",""),"-","")))*1),0)+IF(OR(COUNTA(J5,K5,M5,N5)&gt;0,OR(L5="X",L5="x")),IF(OR(L5="X",L5="x",AND(OR(COUNTA(J5,K5,M5,N5)&gt;0,OR(L5="X",L5="x")),(LEN(SUBSTITUTE(SUBSTITUTE(SUBSTITUTE(J5," ",""),"0",""),"-",""))+LEN(SUBSTITUTE(SUBSTITUTE(SUBSTITUTE(K5," ",""),"0",""),"-","")))=(LEN(SUBSTITUTE(SUBSTITUTE(SUBSTITUTE(M5," ",""),"0",""),"-",""))+LEN(SUBSTITUTE(SUBSTITUTE(SUBSTITUTE(N5," ",""),"0",""),"-",""))))),0,(LEN(SUBSTITUTE(SUBSTITUTE(SUBSTITUTE(M5," ",""),"0",""),"-",""))+LEN(SUBSTITUTE(SUBSTITUTE(SUBSTITUTE(N5," ",""),"0",""),"-",""))&gt;LEN(SUBSTITUTE(SUBSTITUTE(SUBSTITUTE(J5," ",""),"0",""),"-",""))+LEN(SUBSTITUTE(SUBSTITUTE(SUBSTITUTE(K5," ",""),"0",""),"-","")))*1),0)</f>
      </c>
      <c r="K10" s="14" t="str">
        <f>IF(OR(COUNTA(J4,K4,M4,N4)&gt;0,OR(L4="X",L4="x")),IF(OR(L4="X",L4="x",AND(OR(COUNTA(J4,K4,M4,N4)&gt;0,OR(L4="X",L4="x")),(LEN(SUBSTITUTE(SUBSTITUTE(SUBSTITUTE(J4," ",""),"0",""),"-",""))+LEN(SUBSTITUTE(SUBSTITUTE(SUBSTITUTE(K4," ",""),"0",""),"-","")))=(LEN(SUBSTITUTE(SUBSTITUTE(SUBSTITUTE(M4," ",""),"0",""),"-",""))+LEN(SUBSTITUTE(SUBSTITUTE(SUBSTITUTE(N4," ",""),"0",""),"-",""))))),0,(LEN(SUBSTITUTE(SUBSTITUTE(SUBSTITUTE(M4," ",""),"0",""),"-",""))+LEN(SUBSTITUTE(SUBSTITUTE(SUBSTITUTE(N4," ",""),"0",""),"-",""))&lt;LEN(SUBSTITUTE(SUBSTITUTE(SUBSTITUTE(J4," ",""),"0",""),"-",""))+LEN(SUBSTITUTE(SUBSTITUTE(SUBSTITUTE(K4," ",""),"0",""),"-","")))*1),0)+IF(OR(COUNTA(J5,K5,M5,N5)&gt;0,OR(L5="X",L5="x")),IF(OR(L5="X",L5="x",AND(OR(COUNTA(J5,K5,M5,N5)&gt;0,OR(L5="X",L5="x")),(LEN(SUBSTITUTE(SUBSTITUTE(SUBSTITUTE(J5," ",""),"0",""),"-",""))+LEN(SUBSTITUTE(SUBSTITUTE(SUBSTITUTE(K5," ",""),"0",""),"-","")))=(LEN(SUBSTITUTE(SUBSTITUTE(SUBSTITUTE(M5," ",""),"0",""),"-",""))+LEN(SUBSTITUTE(SUBSTITUTE(SUBSTITUTE(N5," ",""),"0",""),"-",""))))),0,(LEN(SUBSTITUTE(SUBSTITUTE(SUBSTITUTE(M5," ",""),"0",""),"-",""))+LEN(SUBSTITUTE(SUBSTITUTE(SUBSTITUTE(N5," ",""),"0",""),"-",""))&lt;LEN(SUBSTITUTE(SUBSTITUTE(SUBSTITUTE(J5," ",""),"0",""),"-",""))+LEN(SUBSTITUTE(SUBSTITUTE(SUBSTITUTE(K5," ",""),"0",""),"-","")))*1),0)</f>
      </c>
      <c r="L10" s="14" t="str">
        <f>IF(OR(COUNTA(J4,K4,M4,N4)&gt;0,OR(L4="X",L4="x")),IF(OR(L4="X",L4="x",AND(OR(COUNTA(J4,K4,M4,N4)&gt;0,OR(L4="X",L4="x")),(LEN(SUBSTITUTE(SUBSTITUTE(SUBSTITUTE(J4," ",""),"0",""),"-",""))+LEN(SUBSTITUTE(SUBSTITUTE(SUBSTITUTE(K4," ",""),"0",""),"-","")))=(LEN(SUBSTITUTE(SUBSTITUTE(SUBSTITUTE(M4," ",""),"0",""),"-",""))+LEN(SUBSTITUTE(SUBSTITUTE(SUBSTITUTE(N4," ",""),"0",""),"-",""))))),1,0),0)+IF(OR(COUNTA(J5,K5,M5,N5)&gt;0,OR(L5="X",L5="x")),IF(OR(L5="X",L5="x",AND(OR(COUNTA(J5,K5,M5,N5)&gt;0,OR(L5="X",L5="x")),(LEN(SUBSTITUTE(SUBSTITUTE(SUBSTITUTE(J5," ",""),"0",""),"-",""))+LEN(SUBSTITUTE(SUBSTITUTE(SUBSTITUTE(K5," ",""),"0",""),"-","")))=(LEN(SUBSTITUTE(SUBSTITUTE(SUBSTITUTE(M5," ",""),"0",""),"-",""))+LEN(SUBSTITUTE(SUBSTITUTE(SUBSTITUTE(N5," ",""),"0",""),"-",""))))),1,0),0)</f>
      </c>
      <c r="M10" s="14" t="str">
        <f>LEN(SUBSTITUTE(SUBSTITUTE(SUBSTITUTE(M4," ",""),"0",""),"-",""))+LEN(SUBSTITUTE(SUBSTITUTE(SUBSTITUTE(N4," ",""),"0",""),"-",""))+LEN(SUBSTITUTE(SUBSTITUTE(SUBSTITUTE(M5," ",""),"0",""),"-",""))+LEN(SUBSTITUTE(SUBSTITUTE(SUBSTITUTE(N5," ",""),"0",""),"-",""))</f>
      </c>
      <c r="N10" s="14" t="str">
        <f>LEN(SUBSTITUTE(SUBSTITUTE(SUBSTITUTE(J4," ",""),"0",""),"-",""))+LEN(SUBSTITUTE(SUBSTITUTE(SUBSTITUTE(K4," ",""),"0",""),"-",""))+LEN(SUBSTITUTE(SUBSTITUTE(SUBSTITUTE(J5," ",""),"0",""),"-",""))+LEN(SUBSTITUTE(SUBSTITUTE(SUBSTITUTE(K5," ",""),"0",""),"-",""))</f>
      </c>
      <c r="O10" s="18" t="str">
        <f>RANK(AC10,$AC$10:$AC$12)+COUNTIF($AC$9:AC9,AC10)</f>
      </c>
      <c r="U10" t="str">
        <f>(B10*1000000)-(C10*10000)+(D10*100)+(E10*1)-(F10*0.01)</f>
      </c>
      <c r="AC10" t="str">
        <f>(J10*1000000)-(K10*10000)+(L10*100)+(M10*1)-(N10*0.01)</f>
      </c>
    </row>
    <row r="11">
      <c r="A11" s="14" t="str">
        <f>data!$E$4&amp;" "&amp;data!$B$4</f>
      </c>
      <c r="B11"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",""),"0",""),"-",""))&gt;LEN(SUBSTITUTE(SUBSTITUTE(SUBSTITUTE(E4," ",""),"0",""),"-",""))+LEN(SUBSTITUTE(SUBSTITUTE(SUBSTITUTE(F4," ",""),"0",""),"-","")))*1),0)+IF(OR(COUNTA(B5,C5,E5,F5)&gt;0,OR(D5="X",D5="x")),IF(OR(D5="X",D5="x",AND(OR(COUNTA(B5,C5,E5,F5)&gt;0,OR(D5="X",D5="x")),(LEN(SUBSTITUTE(SUBSTITUTE(SUBSTITUTE(B5,"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",""),"0",""),"-",""))&gt;LEN(SUBSTITUTE(SUBSTITUTE(SUBSTITUTE(E5," ",""),"0",""),"-",""))+LEN(SUBSTITUTE(SUBSTITUTE(SUBSTITUTE(F5," ",""),"0",""),"-","")))*1),0)</f>
      </c>
      <c r="C11"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",""),"0",""),"-",""))&lt;LEN(SUBSTITUTE(SUBSTITUTE(SUBSTITUTE(E4," ",""),"0",""),"-",""))+LEN(SUBSTITUTE(SUBSTITUTE(SUBSTITUTE(F4," ",""),"0",""),"-","")))*1),0)+IF(OR(COUNTA(B5,C5,E5,F5)&gt;0,OR(D5="X",D5="x")),IF(OR(D5="X",D5="x",AND(OR(COUNTA(B5,C5,E5,F5)&gt;0,OR(D5="X",D5="x")),(LEN(SUBSTITUTE(SUBSTITUTE(SUBSTITUTE(B5,"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",""),"0",""),"-",""))&lt;LEN(SUBSTITUTE(SUBSTITUTE(SUBSTITUTE(E5," ",""),"0",""),"-",""))+LEN(SUBSTITUTE(SUBSTITUTE(SUBSTITUTE(F5," ",""),"0",""),"-","")))*1),0)</f>
      </c>
      <c r="D11" s="14" t="str">
        <f>IF(OR(COUNTA(B4,C4,E4,F4)&gt;0,OR(D4="X",D4="x")),IF(OR(D4="X",D4="x",AND(OR(COUNTA(B4,C4,E4,F4)&gt;0,OR(D4="X",D4="x")),(LEN(SUBSTITUTE(SUBSTITUTE(SUBSTITUTE(B4," ",""),"0",""),"-",""))+LEN(SUBSTITUTE(SUBSTITUTE(SUBSTITUTE(C4," ",""),"0",""),"-","")))=(LEN(SUBSTITUTE(SUBSTITUTE(SUBSTITUTE(E4," ",""),"0",""),"-",""))+LEN(SUBSTITUTE(SUBSTITUTE(SUBSTITUTE(F4," ",""),"0",""),"-",""))))),1,0),0)+IF(OR(COUNTA(B5,C5,E5,F5)&gt;0,OR(D5="X",D5="x")),IF(OR(D5="X",D5="x",AND(OR(COUNTA(B5,C5,E5,F5)&gt;0,OR(D5="X",D5="x")),(LEN(SUBSTITUTE(SUBSTITUTE(SUBSTITUTE(B5," ",""),"0",""),"-",""))+LEN(SUBSTITUTE(SUBSTITUTE(SUBSTITUTE(C5," ",""),"0",""),"-","")))=(LEN(SUBSTITUTE(SUBSTITUTE(SUBSTITUTE(E5," ",""),"0",""),"-",""))+LEN(SUBSTITUTE(SUBSTITUTE(SUBSTITUTE(F5," ",""),"0",""),"-",""))))),1,0),0)</f>
      </c>
      <c r="E11" s="14" t="str">
        <f>LEN(SUBSTITUTE(SUBSTITUTE(SUBSTITUTE(B4," ",""),"0",""),"-",""))+LEN(SUBSTITUTE(SUBSTITUTE(SUBSTITUTE(C4," ",""),"0",""),"-",""))+LEN(SUBSTITUTE(SUBSTITUTE(SUBSTITUTE(B5," ",""),"0",""),"-",""))+LEN(SUBSTITUTE(SUBSTITUTE(SUBSTITUTE(C5," ",""),"0",""),"-",""))</f>
      </c>
      <c r="F11" s="14" t="str">
        <f>LEN(SUBSTITUTE(SUBSTITUTE(SUBSTITUTE(E4," ",""),"0",""),"-",""))+LEN(SUBSTITUTE(SUBSTITUTE(SUBSTITUTE(F4," ",""),"0",""),"-",""))+LEN(SUBSTITUTE(SUBSTITUTE(SUBSTITUTE(E5," ",""),"0",""),"-",""))+LEN(SUBSTITUTE(SUBSTITUTE(SUBSTITUTE(F5," ",""),"0",""),"-",""))</f>
      </c>
      <c r="G11" s="18" t="str">
        <f>RANK(U11,$U$10:$U$13)+COUNTIF($U$9:U10,U11)</f>
      </c>
      <c r="I11" s="14" t="str">
        <f>data!$E$50&amp;" "&amp;data!$B$50</f>
      </c>
      <c r="J11" s="14" t="str">
        <f>IF(OR(COUNTA(J4,K4,M4,N4)&gt;0,OR(L4="X",L4="x")),IF(OR(L4="X",L4="x",AND(OR(COUNTA(J4,K4,M4,N4)&gt;0,OR(L4="X",L4="x")),(LEN(SUBSTITUTE(SUBSTITUTE(SUBSTITUTE(J4," ",""),"0",""),"-",""))+LEN(SUBSTITUTE(SUBSTITUTE(SUBSTITUTE(K4," ",""),"0",""),"-","")))=(LEN(SUBSTITUTE(SUBSTITUTE(SUBSTITUTE(M4," ",""),"0",""),"-",""))+LEN(SUBSTITUTE(SUBSTITUTE(SUBSTITUTE(N4," ",""),"0",""),"-",""))))),0,(LEN(SUBSTITUTE(SUBSTITUTE(SUBSTITUTE(J4," ",""),"0",""),"-",""))+LEN(SUBSTITUTE(SUBSTITUTE(SUBSTITUTE(K4," ",""),"0",""),"-",""))&gt;LEN(SUBSTITUTE(SUBSTITUTE(SUBSTITUTE(M4," ",""),"0",""),"-",""))+LEN(SUBSTITUTE(SUBSTITUTE(SUBSTITUTE(N4," ",""),"0",""),"-","")))*1),0)+IF(OR(COUNTA(J6,K6,M6,N6)&gt;0,OR(L6="X",L6="x")),IF(OR(L6="X",L6="x",AND(OR(COUNTA(J6,K6,M6,N6)&gt;0,OR(L6="X",L6="x")),(LEN(SUBSTITUTE(SUBSTITUTE(SUBSTITUTE(J6," ",""),"0",""),"-",""))+LEN(SUBSTITUTE(SUBSTITUTE(SUBSTITUTE(K6," ",""),"0",""),"-","")))=(LEN(SUBSTITUTE(SUBSTITUTE(SUBSTITUTE(M6," ",""),"0",""),"-",""))+LEN(SUBSTITUTE(SUBSTITUTE(SUBSTITUTE(N6," ",""),"0",""),"-",""))))),0,(LEN(SUBSTITUTE(SUBSTITUTE(SUBSTITUTE(M6," ",""),"0",""),"-",""))+LEN(SUBSTITUTE(SUBSTITUTE(SUBSTITUTE(N6," ",""),"0",""),"-",""))&gt;LEN(SUBSTITUTE(SUBSTITUTE(SUBSTITUTE(J6," ",""),"0",""),"-",""))+LEN(SUBSTITUTE(SUBSTITUTE(SUBSTITUTE(K6," ",""),"0",""),"-","")))*1),0)</f>
      </c>
      <c r="K11" s="14" t="str">
        <f>IF(OR(COUNTA(J4,K4,M4,N4)&gt;0,OR(L4="X",L4="x")),IF(OR(L4="X",L4="x",AND(OR(COUNTA(J4,K4,M4,N4)&gt;0,OR(L4="X",L4="x")),(LEN(SUBSTITUTE(SUBSTITUTE(SUBSTITUTE(J4," ",""),"0",""),"-",""))+LEN(SUBSTITUTE(SUBSTITUTE(SUBSTITUTE(K4," ",""),"0",""),"-","")))=(LEN(SUBSTITUTE(SUBSTITUTE(SUBSTITUTE(M4," ",""),"0",""),"-",""))+LEN(SUBSTITUTE(SUBSTITUTE(SUBSTITUTE(N4," ",""),"0",""),"-",""))))),0,(LEN(SUBSTITUTE(SUBSTITUTE(SUBSTITUTE(J4," ",""),"0",""),"-",""))+LEN(SUBSTITUTE(SUBSTITUTE(SUBSTITUTE(K4," ",""),"0",""),"-",""))&lt;LEN(SUBSTITUTE(SUBSTITUTE(SUBSTITUTE(M4," ",""),"0",""),"-",""))+LEN(SUBSTITUTE(SUBSTITUTE(SUBSTITUTE(N4," ",""),"0",""),"-","")))*1),0)+IF(OR(COUNTA(J6,K6,M6,N6)&gt;0,OR(L6="X",L6="x")),IF(OR(L6="X",L6="x",AND(OR(COUNTA(J6,K6,M6,N6)&gt;0,OR(L6="X",L6="x")),(LEN(SUBSTITUTE(SUBSTITUTE(SUBSTITUTE(J6," ",""),"0",""),"-",""))+LEN(SUBSTITUTE(SUBSTITUTE(SUBSTITUTE(K6," ",""),"0",""),"-","")))=(LEN(SUBSTITUTE(SUBSTITUTE(SUBSTITUTE(M6," ",""),"0",""),"-",""))+LEN(SUBSTITUTE(SUBSTITUTE(SUBSTITUTE(N6," ",""),"0",""),"-",""))))),0,(LEN(SUBSTITUTE(SUBSTITUTE(SUBSTITUTE(M6," ",""),"0",""),"-",""))+LEN(SUBSTITUTE(SUBSTITUTE(SUBSTITUTE(N6," ",""),"0",""),"-",""))&lt;LEN(SUBSTITUTE(SUBSTITUTE(SUBSTITUTE(J6," ",""),"0",""),"-",""))+LEN(SUBSTITUTE(SUBSTITUTE(SUBSTITUTE(K6," ",""),"0",""),"-","")))*1),0)</f>
      </c>
      <c r="L11" s="14" t="str">
        <f>IF(OR(COUNTA(J4,K4,M4,N4)&gt;0,OR(L4="X",L4="x")),IF(OR(L4="X",L4="x",AND(OR(COUNTA(J4,K4,M4,N4)&gt;0,OR(L4="X",L4="x")),(LEN(SUBSTITUTE(SUBSTITUTE(SUBSTITUTE(J4," ",""),"0",""),"-",""))+LEN(SUBSTITUTE(SUBSTITUTE(SUBSTITUTE(K4," ",""),"0",""),"-","")))=(LEN(SUBSTITUTE(SUBSTITUTE(SUBSTITUTE(M4," ",""),"0",""),"-",""))+LEN(SUBSTITUTE(SUBSTITUTE(SUBSTITUTE(N4," ",""),"0",""),"-",""))))),1,0),0)+IF(OR(COUNTA(J6,K6,M6,N6)&gt;0,OR(L6="X",L6="x")),IF(OR(L6="X",L6="x",AND(OR(COUNTA(J6,K6,M6,N6)&gt;0,OR(L6="X",L6="x")),(LEN(SUBSTITUTE(SUBSTITUTE(SUBSTITUTE(J6," ",""),"0",""),"-",""))+LEN(SUBSTITUTE(SUBSTITUTE(SUBSTITUTE(K6," ",""),"0",""),"-","")))=(LEN(SUBSTITUTE(SUBSTITUTE(SUBSTITUTE(M6," ",""),"0",""),"-",""))+LEN(SUBSTITUTE(SUBSTITUTE(SUBSTITUTE(N6," ",""),"0",""),"-",""))))),1,0),0)</f>
      </c>
      <c r="M11" s="14" t="str">
        <f>LEN(SUBSTITUTE(SUBSTITUTE(SUBSTITUTE(J4," ",""),"0",""),"-",""))+LEN(SUBSTITUTE(SUBSTITUTE(SUBSTITUTE(K4," ",""),"0",""),"-",""))+LEN(SUBSTITUTE(SUBSTITUTE(SUBSTITUTE(M6," ",""),"0",""),"-",""))+LEN(SUBSTITUTE(SUBSTITUTE(SUBSTITUTE(N6," ",""),"0",""),"-",""))</f>
      </c>
      <c r="N11" s="14" t="str">
        <f>LEN(SUBSTITUTE(SUBSTITUTE(SUBSTITUTE(M4," ",""),"0",""),"-",""))+LEN(SUBSTITUTE(SUBSTITUTE(SUBSTITUTE(N4," ",""),"0",""),"-",""))+LEN(SUBSTITUTE(SUBSTITUTE(SUBSTITUTE(J6," ",""),"0",""),"-",""))+LEN(SUBSTITUTE(SUBSTITUTE(SUBSTITUTE(K6," ",""),"0",""),"-",""))</f>
      </c>
      <c r="O11" s="18" t="str">
        <f>RANK(AC11,$AC$10:$AC$12)+COUNTIF($AC$9:AC10,AC11)</f>
      </c>
      <c r="U11" t="str">
        <f>(B11*1000000)-(C11*10000)+(D11*100)+(E11*1)-(F11*0.01)</f>
      </c>
      <c r="AC11" t="str">
        <f>(J11*1000000)-(K11*10000)+(L11*100)+(M11*1)-(N11*0.01)</f>
      </c>
    </row>
    <row r="12">
      <c r="A12" s="14" t="str">
        <f>data!$E$5&amp;" "&amp;data!$B$5</f>
      </c>
      <c r="B12" s="14" t="str">
        <f>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",""),"0",""),"-",""))&gt;LEN(SUBSTITUTE(SUBSTITUTE(SUBSTITUTE(B5," ",""),"0",""),"-",""))+LEN(SUBSTITUTE(SUBSTITUTE(SUBSTITUTE(C5,"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",""),"0",""),"-",""))&gt;LEN(SUBSTITUTE(SUBSTITUTE(SUBSTITUTE(B6," ",""),"0",""),"-",""))+LEN(SUBSTITUTE(SUBSTITUTE(SUBSTITUTE(C6," ",""),"0",""),"-","")))*1),0)</f>
      </c>
      <c r="C12" s="14" t="str">
        <f>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",""),"0",""),"-",""))&lt;LEN(SUBSTITUTE(SUBSTITUTE(SUBSTITUTE(B5," ",""),"0",""),"-",""))+LEN(SUBSTITUTE(SUBSTITUTE(SUBSTITUTE(C5,"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",""),"0",""),"-",""))&lt;LEN(SUBSTITUTE(SUBSTITUTE(SUBSTITUTE(B6," ",""),"0",""),"-",""))+LEN(SUBSTITUTE(SUBSTITUTE(SUBSTITUTE(C6," ",""),"0",""),"-","")))*1),0)</f>
      </c>
      <c r="D12" s="14" t="str">
        <f>IF(OR(COUNTA(B5,C5,E5,F5)&gt;0,OR(D5="X",D5="x")),IF(OR(D5="X",D5="x",AND(OR(COUNTA(B5,C5,E5,F5)&gt;0,OR(D5="X",D5="x")),(LEN(SUBSTITUTE(SUBSTITUTE(SUBSTITUTE(B5," ",""),"0",""),"-",""))+LEN(SUBSTITUTE(SUBSTITUTE(SUBSTITUTE(C5," ",""),"0",""),"-","")))=(LEN(SUBSTITUTE(SUBSTITUTE(SUBSTITUTE(E5," ",""),"0",""),"-",""))+LEN(SUBSTITUTE(SUBSTITUTE(SUBSTITUTE(F5," ",""),"0",""),"-",""))))),1,0),0)+IF(OR(COUNTA(B6,C6,E6,F6)&gt;0,OR(D6="X",D6="x")),IF(OR(D6="X",D6="x",AND(OR(COUNTA(B6,C6,E6,F6)&gt;0,OR(D6="X",D6="x")),(LEN(SUBSTITUTE(SUBSTITUTE(SUBSTITUTE(B6," ",""),"0",""),"-",""))+LEN(SUBSTITUTE(SUBSTITUTE(SUBSTITUTE(C6," ",""),"0",""),"-","")))=(LEN(SUBSTITUTE(SUBSTITUTE(SUBSTITUTE(E6," ",""),"0",""),"-",""))+LEN(SUBSTITUTE(SUBSTITUTE(SUBSTITUTE(F6," ",""),"0",""),"-",""))))),1,0),0)</f>
      </c>
      <c r="E12" s="14" t="str">
        <f>LEN(SUBSTITUTE(SUBSTITUTE(SUBSTITUTE(E5," ",""),"0",""),"-",""))+LEN(SUBSTITUTE(SUBSTITUTE(SUBSTITUTE(F5," ",""),"0",""),"-",""))+LEN(SUBSTITUTE(SUBSTITUTE(SUBSTITUTE(E6," ",""),"0",""),"-",""))+LEN(SUBSTITUTE(SUBSTITUTE(SUBSTITUTE(F6," ",""),"0",""),"-",""))</f>
      </c>
      <c r="F12" s="14" t="str">
        <f>LEN(SUBSTITUTE(SUBSTITUTE(SUBSTITUTE(B5," ",""),"0",""),"-",""))+LEN(SUBSTITUTE(SUBSTITUTE(SUBSTITUTE(C5," ",""),"0",""),"-",""))+LEN(SUBSTITUTE(SUBSTITUTE(SUBSTITUTE(B6," ",""),"0",""),"-",""))+LEN(SUBSTITUTE(SUBSTITUTE(SUBSTITUTE(C6," ",""),"0",""),"-",""))</f>
      </c>
      <c r="G12" s="18" t="str">
        <f>RANK(U12,$U$10:$U$13)+COUNTIF($U$9:U11,U12)</f>
      </c>
      <c r="I12" s="14" t="str">
        <f>data!$E$51&amp;" "&amp;data!$B$51</f>
      </c>
      <c r="J12" s="14" t="str">
        <f>IF(OR(COUNTA(J5,K5,M5,N5)&gt;0,OR(L5="X",L5="x")),IF(OR(L5="X",L5="x",AND(OR(COUNTA(J5,K5,M5,N5)&gt;0,OR(L5="X",L5="x")),(LEN(SUBSTITUTE(SUBSTITUTE(SUBSTITUTE(J5," ",""),"0",""),"-",""))+LEN(SUBSTITUTE(SUBSTITUTE(SUBSTITUTE(K5," ",""),"0",""),"-","")))=(LEN(SUBSTITUTE(SUBSTITUTE(SUBSTITUTE(M5," ",""),"0",""),"-",""))+LEN(SUBSTITUTE(SUBSTITUTE(SUBSTITUTE(N5," ",""),"0",""),"-",""))))),0,(LEN(SUBSTITUTE(SUBSTITUTE(SUBSTITUTE(J5," ",""),"0",""),"-",""))+LEN(SUBSTITUTE(SUBSTITUTE(SUBSTITUTE(K5," ",""),"0",""),"-",""))&gt;LEN(SUBSTITUTE(SUBSTITUTE(SUBSTITUTE(M5," ",""),"0",""),"-",""))+LEN(SUBSTITUTE(SUBSTITUTE(SUBSTITUTE(N5," ",""),"0",""),"-","")))*1),0)+IF(OR(COUNTA(J6,K6,M6,N6)&gt;0,OR(L6="X",L6="x")),IF(OR(L6="X",L6="x",AND(OR(COUNTA(J6,K6,M6,N6)&gt;0,OR(L6="X",L6="x")),(LEN(SUBSTITUTE(SUBSTITUTE(SUBSTITUTE(J6," ",""),"0",""),"-",""))+LEN(SUBSTITUTE(SUBSTITUTE(SUBSTITUTE(K6," ",""),"0",""),"-","")))=(LEN(SUBSTITUTE(SUBSTITUTE(SUBSTITUTE(M6," ",""),"0",""),"-",""))+LEN(SUBSTITUTE(SUBSTITUTE(SUBSTITUTE(N6," ",""),"0",""),"-",""))))),0,(LEN(SUBSTITUTE(SUBSTITUTE(SUBSTITUTE(J6," ",""),"0",""),"-",""))+LEN(SUBSTITUTE(SUBSTITUTE(SUBSTITUTE(K6," ",""),"0",""),"-",""))&gt;LEN(SUBSTITUTE(SUBSTITUTE(SUBSTITUTE(M6," ",""),"0",""),"-",""))+LEN(SUBSTITUTE(SUBSTITUTE(SUBSTITUTE(N6," ",""),"0",""),"-","")))*1),0)</f>
      </c>
      <c r="K12" s="14" t="str">
        <f>IF(OR(COUNTA(J5,K5,M5,N5)&gt;0,OR(L5="X",L5="x")),IF(OR(L5="X",L5="x",AND(OR(COUNTA(J5,K5,M5,N5)&gt;0,OR(L5="X",L5="x")),(LEN(SUBSTITUTE(SUBSTITUTE(SUBSTITUTE(J5," ",""),"0",""),"-",""))+LEN(SUBSTITUTE(SUBSTITUTE(SUBSTITUTE(K5," ",""),"0",""),"-","")))=(LEN(SUBSTITUTE(SUBSTITUTE(SUBSTITUTE(M5," ",""),"0",""),"-",""))+LEN(SUBSTITUTE(SUBSTITUTE(SUBSTITUTE(N5," ",""),"0",""),"-",""))))),0,(LEN(SUBSTITUTE(SUBSTITUTE(SUBSTITUTE(J5," ",""),"0",""),"-",""))+LEN(SUBSTITUTE(SUBSTITUTE(SUBSTITUTE(K5," ",""),"0",""),"-",""))&lt;LEN(SUBSTITUTE(SUBSTITUTE(SUBSTITUTE(M5," ",""),"0",""),"-",""))+LEN(SUBSTITUTE(SUBSTITUTE(SUBSTITUTE(N5," ",""),"0",""),"-","")))*1),0)+IF(OR(COUNTA(J6,K6,M6,N6)&gt;0,OR(L6="X",L6="x")),IF(OR(L6="X",L6="x",AND(OR(COUNTA(J6,K6,M6,N6)&gt;0,OR(L6="X",L6="x")),(LEN(SUBSTITUTE(SUBSTITUTE(SUBSTITUTE(J6," ",""),"0",""),"-",""))+LEN(SUBSTITUTE(SUBSTITUTE(SUBSTITUTE(K6," ",""),"0",""),"-","")))=(LEN(SUBSTITUTE(SUBSTITUTE(SUBSTITUTE(M6," ",""),"0",""),"-",""))+LEN(SUBSTITUTE(SUBSTITUTE(SUBSTITUTE(N6," ",""),"0",""),"-",""))))),0,(LEN(SUBSTITUTE(SUBSTITUTE(SUBSTITUTE(J6," ",""),"0",""),"-",""))+LEN(SUBSTITUTE(SUBSTITUTE(SUBSTITUTE(K6," ",""),"0",""),"-",""))&lt;LEN(SUBSTITUTE(SUBSTITUTE(SUBSTITUTE(M6," ",""),"0",""),"-",""))+LEN(SUBSTITUTE(SUBSTITUTE(SUBSTITUTE(N6," ",""),"0",""),"-","")))*1),0)</f>
      </c>
      <c r="L12" s="14" t="str">
        <f>IF(OR(COUNTA(J5,K5,M5,N5)&gt;0,OR(L5="X",L5="x")),IF(OR(L5="X",L5="x",AND(OR(COUNTA(J5,K5,M5,N5)&gt;0,OR(L5="X",L5="x")),(LEN(SUBSTITUTE(SUBSTITUTE(SUBSTITUTE(J5," ",""),"0",""),"-",""))+LEN(SUBSTITUTE(SUBSTITUTE(SUBSTITUTE(K5," ",""),"0",""),"-","")))=(LEN(SUBSTITUTE(SUBSTITUTE(SUBSTITUTE(M5," ",""),"0",""),"-",""))+LEN(SUBSTITUTE(SUBSTITUTE(SUBSTITUTE(N5," ",""),"0",""),"-",""))))),1,0),0)+IF(OR(COUNTA(J6,K6,M6,N6)&gt;0,OR(L6="X",L6="x")),IF(OR(L6="X",L6="x",AND(OR(COUNTA(J6,K6,M6,N6)&gt;0,OR(L6="X",L6="x")),(LEN(SUBSTITUTE(SUBSTITUTE(SUBSTITUTE(J6," ",""),"0",""),"-",""))+LEN(SUBSTITUTE(SUBSTITUTE(SUBSTITUTE(K6," ",""),"0",""),"-","")))=(LEN(SUBSTITUTE(SUBSTITUTE(SUBSTITUTE(M6," ",""),"0",""),"-",""))+LEN(SUBSTITUTE(SUBSTITUTE(SUBSTITUTE(N6," ",""),"0",""),"-",""))))),1,0),0)</f>
      </c>
      <c r="M12" s="14" t="str">
        <f>LEN(SUBSTITUTE(SUBSTITUTE(SUBSTITUTE(J5," ",""),"0",""),"-",""))+LEN(SUBSTITUTE(SUBSTITUTE(SUBSTITUTE(K5," ",""),"0",""),"-",""))+LEN(SUBSTITUTE(SUBSTITUTE(SUBSTITUTE(J6," ",""),"0",""),"-",""))+LEN(SUBSTITUTE(SUBSTITUTE(SUBSTITUTE(K6," ",""),"0",""),"-",""))</f>
      </c>
      <c r="N12" s="14" t="str">
        <f>LEN(SUBSTITUTE(SUBSTITUTE(SUBSTITUTE(M5," ",""),"0",""),"-",""))+LEN(SUBSTITUTE(SUBSTITUTE(SUBSTITUTE(N5," ",""),"0",""),"-",""))+LEN(SUBSTITUTE(SUBSTITUTE(SUBSTITUTE(M6," ",""),"0",""),"-",""))+LEN(SUBSTITUTE(SUBSTITUTE(SUBSTITUTE(N6," ",""),"0",""),"-",""))</f>
      </c>
      <c r="O12" s="18" t="str">
        <f>RANK(AC12,$AC$10:$AC$12)+COUNTIF($AC$9:AC11,AC12)</f>
      </c>
      <c r="U12" t="str">
        <f>(B12*1000000)-(C12*10000)+(D12*100)+(E12*1)-(F12*0.01)</f>
      </c>
      <c r="AC12" t="str">
        <f>(J12*1000000)-(K12*10000)+(L12*100)+(M12*1)-(N12*0.01)</f>
      </c>
    </row>
    <row r="13">
      <c r="A13" s="14" t="str">
        <f>data!$E$6&amp;" "&amp;data!$B$6</f>
      </c>
      <c r="B13" s="14" t="str">
        <f>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",""),"0",""),"-",""))&gt;LEN(SUBSTITUTE(SUBSTITUTE(SUBSTITUTE(E6," ",""),"0",""),"-",""))+LEN(SUBSTITUTE(SUBSTITUTE(SUBSTITUTE(F6," ",""),"0",""),"-","")))*1),0)+IF(OR(COUNTA(B7,C7,E7,F7)&gt;0,OR(D7="X",D7="x")),IF(OR(D7="X",D7="x",AND(OR(COUNTA(B7,C7,E7,F7)&gt;0,OR(D7="X",D7="x")),(LEN(SUBSTITUTE(SUBSTITUTE(SUBSTITUTE(B7," ",""),"0",""),"-",""))+LEN(SUBSTITUTE(SUBSTITUTE(SUBSTITUTE(C7," ",""),"0",""),"-","")))=(LEN(SUBSTITUTE(SUBSTITUTE(SUBSTITUTE(E7," ",""),"0",""),"-",""))+LEN(SUBSTITUTE(SUBSTITUTE(SUBSTITUTE(F7," ",""),"0",""),"-",""))))),0,(LEN(SUBSTITUTE(SUBSTITUTE(SUBSTITUTE(B7," ",""),"0",""),"-",""))+LEN(SUBSTITUTE(SUBSTITUTE(SUBSTITUTE(C7," ",""),"0",""),"-",""))&gt;LEN(SUBSTITUTE(SUBSTITUTE(SUBSTITUTE(E7," ",""),"0",""),"-",""))+LEN(SUBSTITUTE(SUBSTITUTE(SUBSTITUTE(F7," ",""),"0",""),"-","")))*1),0)</f>
      </c>
      <c r="C13" s="14" t="str">
        <f>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",""),"0",""),"-",""))&lt;LEN(SUBSTITUTE(SUBSTITUTE(SUBSTITUTE(E6," ",""),"0",""),"-",""))+LEN(SUBSTITUTE(SUBSTITUTE(SUBSTITUTE(F6," ",""),"0",""),"-","")))*1),0)+IF(OR(COUNTA(B7,C7,E7,F7)&gt;0,OR(D7="X",D7="x")),IF(OR(D7="X",D7="x",AND(OR(COUNTA(B7,C7,E7,F7)&gt;0,OR(D7="X",D7="x")),(LEN(SUBSTITUTE(SUBSTITUTE(SUBSTITUTE(B7," ",""),"0",""),"-",""))+LEN(SUBSTITUTE(SUBSTITUTE(SUBSTITUTE(C7," ",""),"0",""),"-","")))=(LEN(SUBSTITUTE(SUBSTITUTE(SUBSTITUTE(E7," ",""),"0",""),"-",""))+LEN(SUBSTITUTE(SUBSTITUTE(SUBSTITUTE(F7," ",""),"0",""),"-",""))))),0,(LEN(SUBSTITUTE(SUBSTITUTE(SUBSTITUTE(B7," ",""),"0",""),"-",""))+LEN(SUBSTITUTE(SUBSTITUTE(SUBSTITUTE(C7," ",""),"0",""),"-",""))&lt;LEN(SUBSTITUTE(SUBSTITUTE(SUBSTITUTE(E7," ",""),"0",""),"-",""))+LEN(SUBSTITUTE(SUBSTITUTE(SUBSTITUTE(F7," ",""),"0",""),"-","")))*1),0)</f>
      </c>
      <c r="D13" s="14" t="str">
        <f>IF(OR(COUNTA(B6,C6,E6,F6)&gt;0,OR(D6="X",D6="x")),IF(OR(D6="X",D6="x",AND(OR(COUNTA(B6,C6,E6,F6)&gt;0,OR(D6="X",D6="x")),(LEN(SUBSTITUTE(SUBSTITUTE(SUBSTITUTE(B6," ",""),"0",""),"-",""))+LEN(SUBSTITUTE(SUBSTITUTE(SUBSTITUTE(C6," ",""),"0",""),"-","")))=(LEN(SUBSTITUTE(SUBSTITUTE(SUBSTITUTE(E6," ",""),"0",""),"-",""))+LEN(SUBSTITUTE(SUBSTITUTE(SUBSTITUTE(F6," ",""),"0",""),"-",""))))),1,0),0)+IF(OR(COUNTA(B7,C7,E7,F7)&gt;0,OR(D7="X",D7="x")),IF(OR(D7="X",D7="x",AND(OR(COUNTA(B7,C7,E7,F7)&gt;0,OR(D7="X",D7="x")),(LEN(SUBSTITUTE(SUBSTITUTE(SUBSTITUTE(B7," ",""),"0",""),"-",""))+LEN(SUBSTITUTE(SUBSTITUTE(SUBSTITUTE(C7," ",""),"0",""),"-","")))=(LEN(SUBSTITUTE(SUBSTITUTE(SUBSTITUTE(E7," ",""),"0",""),"-",""))+LEN(SUBSTITUTE(SUBSTITUTE(SUBSTITUTE(F7," ",""),"0",""),"-",""))))),1,0),0)</f>
      </c>
      <c r="E13" s="14" t="str">
        <f>LEN(SUBSTITUTE(SUBSTITUTE(SUBSTITUTE(B6," ",""),"0",""),"-",""))+LEN(SUBSTITUTE(SUBSTITUTE(SUBSTITUTE(C6," ",""),"0",""),"-",""))+LEN(SUBSTITUTE(SUBSTITUTE(SUBSTITUTE(B7," ",""),"0",""),"-",""))+LEN(SUBSTITUTE(SUBSTITUTE(SUBSTITUTE(C7," ",""),"0",""),"-",""))</f>
      </c>
      <c r="F13" s="14" t="str">
        <f>LEN(SUBSTITUTE(SUBSTITUTE(SUBSTITUTE(E6," ",""),"0",""),"-",""))+LEN(SUBSTITUTE(SUBSTITUTE(SUBSTITUTE(F6," ",""),"0",""),"-",""))+LEN(SUBSTITUTE(SUBSTITUTE(SUBSTITUTE(E7," ",""),"0",""),"-",""))+LEN(SUBSTITUTE(SUBSTITUTE(SUBSTITUTE(F7," ",""),"0",""),"-",""))</f>
      </c>
      <c r="G13" s="18" t="str">
        <f>RANK(U13,$U$10:$U$13)+COUNTIF($U$9:U12,U13)</f>
      </c>
      <c r="U13" t="str">
        <f>(B13*1000000)-(C13*10000)+(D13*100)+(E13*1)-(F13*0.01)</f>
      </c>
    </row>
    <row r="15">
      <c r="N15" s="13"/>
      <c r="O15" s="13" t="s">
        <v>340</v>
      </c>
    </row>
    <row r="16">
      <c r="F16" s="13"/>
      <c r="G16" s="13" t="s">
        <v>340</v>
      </c>
      <c r="N16" t="s">
        <v>341</v>
      </c>
      <c r="O16" s="19" t="str">
        <f>IFERROR(INDEX($I$10:$I$12, MATCH(1, $O$10:$O$12, 0)), "-")</f>
      </c>
    </row>
    <row r="17">
      <c r="F17" t="s">
        <v>341</v>
      </c>
      <c r="G17" s="19" t="str">
        <f>IFERROR(INDEX($A$10:$A$13, MATCH(1, $G$10:$G$13, 0)), "-")</f>
      </c>
      <c r="N17" t="s">
        <v>342</v>
      </c>
      <c r="O17" s="19" t="str">
        <f>IFERROR(INDEX($I$10:$I$12, MATCH(2, $O$10:$O$12, 0)), "-")</f>
      </c>
    </row>
    <row r="18">
      <c r="F18" t="s">
        <v>342</v>
      </c>
      <c r="G18" s="19" t="str">
        <f>IFERROR(INDEX($A$10:$A$13, MATCH(2, $G$10:$G$13, 0)), "-")</f>
      </c>
      <c r="N18" t="s">
        <v>343</v>
      </c>
      <c r="O18" s="19" t="str">
        <f>IFERROR(INDEX($I$10:$I$12, MATCH(3, $O$10:$O$12, 0)), "-")</f>
      </c>
    </row>
    <row r="19">
      <c r="F19" t="s">
        <v>343</v>
      </c>
      <c r="G19" s="19" t="str">
        <f>IFERROR(INDEX($A$10:$A$13, MATCH(3, $G$10:$G$13, 0)), "-")</f>
      </c>
    </row>
    <row r="20">
      <c r="F20" t="s">
        <v>344</v>
      </c>
      <c r="G20" s="19" t="str">
        <f>IFERROR(INDEX($A$10:$A$13, MATCH(4, $G$10:$G$13, 0)), "-")</f>
      </c>
    </row>
    <row r="22">
      <c r="A22" s="13" t="str">
        <f>'data'!$A$9</f>
      </c>
      <c r="B22" s="13"/>
      <c r="C22" s="13"/>
      <c r="D22" s="13"/>
      <c r="E22" s="13"/>
      <c r="F22" s="13"/>
      <c r="G22" s="13"/>
      <c r="I22" s="13" t="str">
        <f>'data'!$A$54</f>
      </c>
      <c r="J22" s="13"/>
      <c r="K22" s="13"/>
      <c r="L22" s="13"/>
      <c r="M22" s="13"/>
      <c r="N22" s="13"/>
      <c r="O22" s="13"/>
    </row>
    <row r="23">
      <c r="A23" s="17" t="s">
        <v>330</v>
      </c>
      <c r="D23" s="14" t="s">
        <v>331</v>
      </c>
      <c r="G23" s="16" t="s">
        <v>332</v>
      </c>
      <c r="I23" s="17" t="s">
        <v>330</v>
      </c>
      <c r="L23" s="14" t="s">
        <v>331</v>
      </c>
      <c r="O23" s="16" t="s">
        <v>332</v>
      </c>
    </row>
    <row r="24">
      <c r="A24" s="14" t="str">
        <f>data!$E$8&amp;" "&amp;data!$B$8</f>
      </c>
      <c r="B24" s="18"/>
      <c r="C24" s="18"/>
      <c r="D24" s="18"/>
      <c r="E24" s="18"/>
      <c r="F24" s="18"/>
      <c r="G24" s="14" t="str">
        <f>data!$E$7&amp;" "&amp;data!$B$7</f>
      </c>
      <c r="I24" s="14" t="str">
        <f>data!$E$53&amp;" "&amp;data!$B$53</f>
      </c>
      <c r="J24" s="18"/>
      <c r="K24" s="18"/>
      <c r="L24" s="18"/>
      <c r="M24" s="18"/>
      <c r="N24" s="18"/>
      <c r="O24" s="14" t="str">
        <f>data!$E$52&amp;" "&amp;data!$B$52</f>
      </c>
    </row>
    <row r="25">
      <c r="A25" s="14" t="str">
        <f>data!$E$9&amp;" "&amp;data!$B$9</f>
      </c>
      <c r="B25" s="18"/>
      <c r="C25" s="18"/>
      <c r="D25" s="18"/>
      <c r="E25" s="18"/>
      <c r="F25" s="18"/>
      <c r="G25" s="14" t="str">
        <f>data!$E$7&amp;" "&amp;data!$B$7</f>
      </c>
      <c r="I25" s="14" t="str">
        <f>data!$E$54&amp;" "&amp;data!$B$54</f>
      </c>
      <c r="J25" s="18"/>
      <c r="K25" s="18"/>
      <c r="L25" s="18"/>
      <c r="M25" s="18"/>
      <c r="N25" s="18"/>
      <c r="O25" s="14" t="str">
        <f>data!$E$52&amp;" "&amp;data!$B$52</f>
      </c>
    </row>
    <row r="26">
      <c r="A26" s="14" t="str">
        <f>data!$E$9&amp;" "&amp;data!$B$9</f>
      </c>
      <c r="B26" s="18"/>
      <c r="C26" s="18"/>
      <c r="D26" s="18"/>
      <c r="E26" s="18"/>
      <c r="F26" s="18"/>
      <c r="G26" s="14" t="str">
        <f>data!$E$8&amp;" "&amp;data!$B$8</f>
      </c>
      <c r="I26" s="14" t="str">
        <f>data!$E$54&amp;" "&amp;data!$B$54</f>
      </c>
      <c r="J26" s="18"/>
      <c r="K26" s="18"/>
      <c r="L26" s="18"/>
      <c r="M26" s="18"/>
      <c r="N26" s="18"/>
      <c r="O26" s="14" t="str">
        <f>data!$E$53&amp;" "&amp;data!$B$53</f>
      </c>
    </row>
    <row r="28">
      <c r="A28" s="13" t="s">
        <v>333</v>
      </c>
      <c r="B28" s="13" t="s">
        <v>334</v>
      </c>
      <c r="C28" s="13" t="s">
        <v>335</v>
      </c>
      <c r="D28" s="13" t="s">
        <v>336</v>
      </c>
      <c r="E28" s="13" t="s">
        <v>337</v>
      </c>
      <c r="F28" s="13" t="s">
        <v>338</v>
      </c>
      <c r="G28" s="13" t="s">
        <v>339</v>
      </c>
      <c r="I28" s="13" t="s">
        <v>333</v>
      </c>
      <c r="J28" s="13" t="s">
        <v>334</v>
      </c>
      <c r="K28" s="13" t="s">
        <v>335</v>
      </c>
      <c r="L28" s="13" t="s">
        <v>336</v>
      </c>
      <c r="M28" s="13" t="s">
        <v>337</v>
      </c>
      <c r="N28" s="13" t="s">
        <v>338</v>
      </c>
      <c r="O28" s="13" t="s">
        <v>339</v>
      </c>
    </row>
    <row r="29">
      <c r="A29" s="14" t="str">
        <f>data!$E$7&amp;" "&amp;data!$B$7</f>
      </c>
      <c r="B29" s="14" t="str">
        <f>IF(OR(COUNTA(B24,C24,E24,F24)&gt;0,OR(D24="X",D24="x")),IF(OR(D24="X",D24="x",AND(OR(COUNTA(B24,C24,E24,F24)&gt;0,OR(D24="X",D24="x")),(LEN(SUBSTITUTE(SUBSTITUTE(SUBSTITUTE(B24," ",""),"0",""),"-",""))+LEN(SUBSTITUTE(SUBSTITUTE(SUBSTITUTE(C24," ",""),"0",""),"-","")))=(LEN(SUBSTITUTE(SUBSTITUTE(SUBSTITUTE(E24," ",""),"0",""),"-",""))+LEN(SUBSTITUTE(SUBSTITUTE(SUBSTITUTE(F24," ",""),"0",""),"-",""))))),0,(LEN(SUBSTITUTE(SUBSTITUTE(SUBSTITUTE(E24," ",""),"0",""),"-",""))+LEN(SUBSTITUTE(SUBSTITUTE(SUBSTITUTE(F24," ",""),"0",""),"-",""))&gt;LEN(SUBSTITUTE(SUBSTITUTE(SUBSTITUTE(B24," ",""),"0",""),"-",""))+LEN(SUBSTITUTE(SUBSTITUTE(SUBSTITUTE(C24," ",""),"0",""),"-","")))*1),0)+IF(OR(COUNTA(B25,C25,E25,F25)&gt;0,OR(D25="X",D25="x")),IF(OR(D25="X",D25="x",AND(OR(COUNTA(B25,C25,E25,F25)&gt;0,OR(D25="X",D25="x")),(LEN(SUBSTITUTE(SUBSTITUTE(SUBSTITUTE(B25," ",""),"0",""),"-",""))+LEN(SUBSTITUTE(SUBSTITUTE(SUBSTITUTE(C25," ",""),"0",""),"-","")))=(LEN(SUBSTITUTE(SUBSTITUTE(SUBSTITUTE(E25," ",""),"0",""),"-",""))+LEN(SUBSTITUTE(SUBSTITUTE(SUBSTITUTE(F25," ",""),"0",""),"-",""))))),0,(LEN(SUBSTITUTE(SUBSTITUTE(SUBSTITUTE(E25," ",""),"0",""),"-",""))+LEN(SUBSTITUTE(SUBSTITUTE(SUBSTITUTE(F25," ",""),"0",""),"-",""))&gt;LEN(SUBSTITUTE(SUBSTITUTE(SUBSTITUTE(B25," ",""),"0",""),"-",""))+LEN(SUBSTITUTE(SUBSTITUTE(SUBSTITUTE(C25," ",""),"0",""),"-","")))*1),0)</f>
      </c>
      <c r="C29" s="14" t="str">
        <f>IF(OR(COUNTA(B24,C24,E24,F24)&gt;0,OR(D24="X",D24="x")),IF(OR(D24="X",D24="x",AND(OR(COUNTA(B24,C24,E24,F24)&gt;0,OR(D24="X",D24="x")),(LEN(SUBSTITUTE(SUBSTITUTE(SUBSTITUTE(B24," ",""),"0",""),"-",""))+LEN(SUBSTITUTE(SUBSTITUTE(SUBSTITUTE(C24," ",""),"0",""),"-","")))=(LEN(SUBSTITUTE(SUBSTITUTE(SUBSTITUTE(E24," ",""),"0",""),"-",""))+LEN(SUBSTITUTE(SUBSTITUTE(SUBSTITUTE(F24," ",""),"0",""),"-",""))))),0,(LEN(SUBSTITUTE(SUBSTITUTE(SUBSTITUTE(E24," ",""),"0",""),"-",""))+LEN(SUBSTITUTE(SUBSTITUTE(SUBSTITUTE(F24," ",""),"0",""),"-",""))&lt;LEN(SUBSTITUTE(SUBSTITUTE(SUBSTITUTE(B24," ",""),"0",""),"-",""))+LEN(SUBSTITUTE(SUBSTITUTE(SUBSTITUTE(C24," ",""),"0",""),"-","")))*1),0)+IF(OR(COUNTA(B25,C25,E25,F25)&gt;0,OR(D25="X",D25="x")),IF(OR(D25="X",D25="x",AND(OR(COUNTA(B25,C25,E25,F25)&gt;0,OR(D25="X",D25="x")),(LEN(SUBSTITUTE(SUBSTITUTE(SUBSTITUTE(B25," ",""),"0",""),"-",""))+LEN(SUBSTITUTE(SUBSTITUTE(SUBSTITUTE(C25," ",""),"0",""),"-","")))=(LEN(SUBSTITUTE(SUBSTITUTE(SUBSTITUTE(E25," ",""),"0",""),"-",""))+LEN(SUBSTITUTE(SUBSTITUTE(SUBSTITUTE(F25," ",""),"0",""),"-",""))))),0,(LEN(SUBSTITUTE(SUBSTITUTE(SUBSTITUTE(E25," ",""),"0",""),"-",""))+LEN(SUBSTITUTE(SUBSTITUTE(SUBSTITUTE(F25," ",""),"0",""),"-",""))&lt;LEN(SUBSTITUTE(SUBSTITUTE(SUBSTITUTE(B25," ",""),"0",""),"-",""))+LEN(SUBSTITUTE(SUBSTITUTE(SUBSTITUTE(C25," ",""),"0",""),"-","")))*1),0)</f>
      </c>
      <c r="D29" s="14" t="str">
        <f>IF(OR(COUNTA(B24,C24,E24,F24)&gt;0,OR(D24="X",D24="x")),IF(OR(D24="X",D24="x",AND(OR(COUNTA(B24,C24,E24,F24)&gt;0,OR(D24="X",D24="x")),(LEN(SUBSTITUTE(SUBSTITUTE(SUBSTITUTE(B24," ",""),"0",""),"-",""))+LEN(SUBSTITUTE(SUBSTITUTE(SUBSTITUTE(C24," ",""),"0",""),"-","")))=(LEN(SUBSTITUTE(SUBSTITUTE(SUBSTITUTE(E24," ",""),"0",""),"-",""))+LEN(SUBSTITUTE(SUBSTITUTE(SUBSTITUTE(F24," ",""),"0",""),"-",""))))),1,0),0)+IF(OR(COUNTA(B25,C25,E25,F25)&gt;0,OR(D25="X",D25="x")),IF(OR(D25="X",D25="x",AND(OR(COUNTA(B25,C25,E25,F25)&gt;0,OR(D25="X",D25="x")),(LEN(SUBSTITUTE(SUBSTITUTE(SUBSTITUTE(B25," ",""),"0",""),"-",""))+LEN(SUBSTITUTE(SUBSTITUTE(SUBSTITUTE(C25," ",""),"0",""),"-","")))=(LEN(SUBSTITUTE(SUBSTITUTE(SUBSTITUTE(E25," ",""),"0",""),"-",""))+LEN(SUBSTITUTE(SUBSTITUTE(SUBSTITUTE(F25," ",""),"0",""),"-",""))))),1,0),0)</f>
      </c>
      <c r="E29" s="14" t="str">
        <f>LEN(SUBSTITUTE(SUBSTITUTE(SUBSTITUTE(E24," ",""),"0",""),"-",""))+LEN(SUBSTITUTE(SUBSTITUTE(SUBSTITUTE(F24," ",""),"0",""),"-",""))+LEN(SUBSTITUTE(SUBSTITUTE(SUBSTITUTE(E25," ",""),"0",""),"-",""))+LEN(SUBSTITUTE(SUBSTITUTE(SUBSTITUTE(F25," ",""),"0",""),"-",""))</f>
      </c>
      <c r="F29" s="14" t="str">
        <f>LEN(SUBSTITUTE(SUBSTITUTE(SUBSTITUTE(B24," ",""),"0",""),"-",""))+LEN(SUBSTITUTE(SUBSTITUTE(SUBSTITUTE(C24," ",""),"0",""),"-",""))+LEN(SUBSTITUTE(SUBSTITUTE(SUBSTITUTE(B25," ",""),"0",""),"-",""))+LEN(SUBSTITUTE(SUBSTITUTE(SUBSTITUTE(C25," ",""),"0",""),"-",""))</f>
      </c>
      <c r="G29" s="18" t="str">
        <f>RANK(U29,$U$29:$U$31)+COUNTIF($U$28:U28,U29)</f>
      </c>
      <c r="I29" s="14" t="str">
        <f>data!$E$52&amp;" "&amp;data!$B$52</f>
      </c>
      <c r="J29" s="14" t="str">
        <f>IF(OR(COUNTA(J24,K24,M24,N24)&gt;0,OR(L24="X",L24="x")),IF(OR(L24="X",L24="x",AND(OR(COUNTA(J24,K24,M24,N24)&gt;0,OR(L24="X",L24="x")),(LEN(SUBSTITUTE(SUBSTITUTE(SUBSTITUTE(J24," ",""),"0",""),"-",""))+LEN(SUBSTITUTE(SUBSTITUTE(SUBSTITUTE(K24," ",""),"0",""),"-","")))=(LEN(SUBSTITUTE(SUBSTITUTE(SUBSTITUTE(M24," ",""),"0",""),"-",""))+LEN(SUBSTITUTE(SUBSTITUTE(SUBSTITUTE(N24," ",""),"0",""),"-",""))))),0,(LEN(SUBSTITUTE(SUBSTITUTE(SUBSTITUTE(M24," ",""),"0",""),"-",""))+LEN(SUBSTITUTE(SUBSTITUTE(SUBSTITUTE(N24," ",""),"0",""),"-",""))&gt;LEN(SUBSTITUTE(SUBSTITUTE(SUBSTITUTE(J24," ",""),"0",""),"-",""))+LEN(SUBSTITUTE(SUBSTITUTE(SUBSTITUTE(K24," ",""),"0",""),"-","")))*1),0)+IF(OR(COUNTA(J25,K25,M25,N25)&gt;0,OR(L25="X",L25="x")),IF(OR(L25="X",L25="x",AND(OR(COUNTA(J25,K25,M25,N25)&gt;0,OR(L25="X",L25="x")),(LEN(SUBSTITUTE(SUBSTITUTE(SUBSTITUTE(J25," ",""),"0",""),"-",""))+LEN(SUBSTITUTE(SUBSTITUTE(SUBSTITUTE(K25," ",""),"0",""),"-","")))=(LEN(SUBSTITUTE(SUBSTITUTE(SUBSTITUTE(M25," ",""),"0",""),"-",""))+LEN(SUBSTITUTE(SUBSTITUTE(SUBSTITUTE(N25," ",""),"0",""),"-",""))))),0,(LEN(SUBSTITUTE(SUBSTITUTE(SUBSTITUTE(M25," ",""),"0",""),"-",""))+LEN(SUBSTITUTE(SUBSTITUTE(SUBSTITUTE(N25," ",""),"0",""),"-",""))&gt;LEN(SUBSTITUTE(SUBSTITUTE(SUBSTITUTE(J25," ",""),"0",""),"-",""))+LEN(SUBSTITUTE(SUBSTITUTE(SUBSTITUTE(K25," ",""),"0",""),"-","")))*1),0)</f>
      </c>
      <c r="K29" s="14" t="str">
        <f>IF(OR(COUNTA(J24,K24,M24,N24)&gt;0,OR(L24="X",L24="x")),IF(OR(L24="X",L24="x",AND(OR(COUNTA(J24,K24,M24,N24)&gt;0,OR(L24="X",L24="x")),(LEN(SUBSTITUTE(SUBSTITUTE(SUBSTITUTE(J24," ",""),"0",""),"-",""))+LEN(SUBSTITUTE(SUBSTITUTE(SUBSTITUTE(K24," ",""),"0",""),"-","")))=(LEN(SUBSTITUTE(SUBSTITUTE(SUBSTITUTE(M24," ",""),"0",""),"-",""))+LEN(SUBSTITUTE(SUBSTITUTE(SUBSTITUTE(N24," ",""),"0",""),"-",""))))),0,(LEN(SUBSTITUTE(SUBSTITUTE(SUBSTITUTE(M24," ",""),"0",""),"-",""))+LEN(SUBSTITUTE(SUBSTITUTE(SUBSTITUTE(N24," ",""),"0",""),"-",""))&lt;LEN(SUBSTITUTE(SUBSTITUTE(SUBSTITUTE(J24," ",""),"0",""),"-",""))+LEN(SUBSTITUTE(SUBSTITUTE(SUBSTITUTE(K24," ",""),"0",""),"-","")))*1),0)+IF(OR(COUNTA(J25,K25,M25,N25)&gt;0,OR(L25="X",L25="x")),IF(OR(L25="X",L25="x",AND(OR(COUNTA(J25,K25,M25,N25)&gt;0,OR(L25="X",L25="x")),(LEN(SUBSTITUTE(SUBSTITUTE(SUBSTITUTE(J25," ",""),"0",""),"-",""))+LEN(SUBSTITUTE(SUBSTITUTE(SUBSTITUTE(K25," ",""),"0",""),"-","")))=(LEN(SUBSTITUTE(SUBSTITUTE(SUBSTITUTE(M25," ",""),"0",""),"-",""))+LEN(SUBSTITUTE(SUBSTITUTE(SUBSTITUTE(N25," ",""),"0",""),"-",""))))),0,(LEN(SUBSTITUTE(SUBSTITUTE(SUBSTITUTE(M25," ",""),"0",""),"-",""))+LEN(SUBSTITUTE(SUBSTITUTE(SUBSTITUTE(N25," ",""),"0",""),"-",""))&lt;LEN(SUBSTITUTE(SUBSTITUTE(SUBSTITUTE(J25," ",""),"0",""),"-",""))+LEN(SUBSTITUTE(SUBSTITUTE(SUBSTITUTE(K25," ",""),"0",""),"-","")))*1),0)</f>
      </c>
      <c r="L29" s="14" t="str">
        <f>IF(OR(COUNTA(J24,K24,M24,N24)&gt;0,OR(L24="X",L24="x")),IF(OR(L24="X",L24="x",AND(OR(COUNTA(J24,K24,M24,N24)&gt;0,OR(L24="X",L24="x")),(LEN(SUBSTITUTE(SUBSTITUTE(SUBSTITUTE(J24," ",""),"0",""),"-",""))+LEN(SUBSTITUTE(SUBSTITUTE(SUBSTITUTE(K24," ",""),"0",""),"-","")))=(LEN(SUBSTITUTE(SUBSTITUTE(SUBSTITUTE(M24," ",""),"0",""),"-",""))+LEN(SUBSTITUTE(SUBSTITUTE(SUBSTITUTE(N24," ",""),"0",""),"-",""))))),1,0),0)+IF(OR(COUNTA(J25,K25,M25,N25)&gt;0,OR(L25="X",L25="x")),IF(OR(L25="X",L25="x",AND(OR(COUNTA(J25,K25,M25,N25)&gt;0,OR(L25="X",L25="x")),(LEN(SUBSTITUTE(SUBSTITUTE(SUBSTITUTE(J25," ",""),"0",""),"-",""))+LEN(SUBSTITUTE(SUBSTITUTE(SUBSTITUTE(K25," ",""),"0",""),"-","")))=(LEN(SUBSTITUTE(SUBSTITUTE(SUBSTITUTE(M25," ",""),"0",""),"-",""))+LEN(SUBSTITUTE(SUBSTITUTE(SUBSTITUTE(N25," ",""),"0",""),"-",""))))),1,0),0)</f>
      </c>
      <c r="M29" s="14" t="str">
        <f>LEN(SUBSTITUTE(SUBSTITUTE(SUBSTITUTE(M24," ",""),"0",""),"-",""))+LEN(SUBSTITUTE(SUBSTITUTE(SUBSTITUTE(N24," ",""),"0",""),"-",""))+LEN(SUBSTITUTE(SUBSTITUTE(SUBSTITUTE(M25," ",""),"0",""),"-",""))+LEN(SUBSTITUTE(SUBSTITUTE(SUBSTITUTE(N25," ",""),"0",""),"-",""))</f>
      </c>
      <c r="N29" s="14" t="str">
        <f>LEN(SUBSTITUTE(SUBSTITUTE(SUBSTITUTE(J24," ",""),"0",""),"-",""))+LEN(SUBSTITUTE(SUBSTITUTE(SUBSTITUTE(K24," ",""),"0",""),"-",""))+LEN(SUBSTITUTE(SUBSTITUTE(SUBSTITUTE(J25," ",""),"0",""),"-",""))+LEN(SUBSTITUTE(SUBSTITUTE(SUBSTITUTE(K25," ",""),"0",""),"-",""))</f>
      </c>
      <c r="O29" s="18" t="str">
        <f>RANK(AC29,$AC$29:$AC$31)+COUNTIF($AC$28:AC28,AC29)</f>
      </c>
      <c r="U29" t="str">
        <f>(B29*1000000)-(C29*10000)+(D29*100)+(E29*1)-(F29*0.01)</f>
      </c>
      <c r="AC29" t="str">
        <f>(J29*1000000)-(K29*10000)+(L29*100)+(M29*1)-(N29*0.01)</f>
      </c>
    </row>
    <row r="30">
      <c r="A30" s="14" t="str">
        <f>data!$E$8&amp;" "&amp;data!$B$8</f>
      </c>
      <c r="B30" s="14" t="str">
        <f>IF(OR(COUNTA(B24,C24,E24,F24)&gt;0,OR(D24="X",D24="x")),IF(OR(D24="X",D24="x",AND(OR(COUNTA(B24,C24,E24,F24)&gt;0,OR(D24="X",D24="x")),(LEN(SUBSTITUTE(SUBSTITUTE(SUBSTITUTE(B24," ",""),"0",""),"-",""))+LEN(SUBSTITUTE(SUBSTITUTE(SUBSTITUTE(C24," ",""),"0",""),"-","")))=(LEN(SUBSTITUTE(SUBSTITUTE(SUBSTITUTE(E24," ",""),"0",""),"-",""))+LEN(SUBSTITUTE(SUBSTITUTE(SUBSTITUTE(F24," ",""),"0",""),"-",""))))),0,(LEN(SUBSTITUTE(SUBSTITUTE(SUBSTITUTE(B24," ",""),"0",""),"-",""))+LEN(SUBSTITUTE(SUBSTITUTE(SUBSTITUTE(C24," ",""),"0",""),"-",""))&gt;LEN(SUBSTITUTE(SUBSTITUTE(SUBSTITUTE(E24," ",""),"0",""),"-",""))+LEN(SUBSTITUTE(SUBSTITUTE(SUBSTITUTE(F24," ",""),"0",""),"-","")))*1),0)+IF(OR(COUNTA(B26,C26,E26,F26)&gt;0,OR(D26="X",D26="x")),IF(OR(D26="X",D26="x",AND(OR(COUNTA(B26,C26,E26,F26)&gt;0,OR(D26="X",D26="x")),(LEN(SUBSTITUTE(SUBSTITUTE(SUBSTITUTE(B26," ",""),"0",""),"-",""))+LEN(SUBSTITUTE(SUBSTITUTE(SUBSTITUTE(C26," ",""),"0",""),"-","")))=(LEN(SUBSTITUTE(SUBSTITUTE(SUBSTITUTE(E26," ",""),"0",""),"-",""))+LEN(SUBSTITUTE(SUBSTITUTE(SUBSTITUTE(F26," ",""),"0",""),"-",""))))),0,(LEN(SUBSTITUTE(SUBSTITUTE(SUBSTITUTE(E26," ",""),"0",""),"-",""))+LEN(SUBSTITUTE(SUBSTITUTE(SUBSTITUTE(F26," ",""),"0",""),"-",""))&gt;LEN(SUBSTITUTE(SUBSTITUTE(SUBSTITUTE(B26," ",""),"0",""),"-",""))+LEN(SUBSTITUTE(SUBSTITUTE(SUBSTITUTE(C26," ",""),"0",""),"-","")))*1),0)</f>
      </c>
      <c r="C30" s="14" t="str">
        <f>IF(OR(COUNTA(B24,C24,E24,F24)&gt;0,OR(D24="X",D24="x")),IF(OR(D24="X",D24="x",AND(OR(COUNTA(B24,C24,E24,F24)&gt;0,OR(D24="X",D24="x")),(LEN(SUBSTITUTE(SUBSTITUTE(SUBSTITUTE(B24," ",""),"0",""),"-",""))+LEN(SUBSTITUTE(SUBSTITUTE(SUBSTITUTE(C24," ",""),"0",""),"-","")))=(LEN(SUBSTITUTE(SUBSTITUTE(SUBSTITUTE(E24," ",""),"0",""),"-",""))+LEN(SUBSTITUTE(SUBSTITUTE(SUBSTITUTE(F24," ",""),"0",""),"-",""))))),0,(LEN(SUBSTITUTE(SUBSTITUTE(SUBSTITUTE(B24," ",""),"0",""),"-",""))+LEN(SUBSTITUTE(SUBSTITUTE(SUBSTITUTE(C24," ",""),"0",""),"-",""))&lt;LEN(SUBSTITUTE(SUBSTITUTE(SUBSTITUTE(E24," ",""),"0",""),"-",""))+LEN(SUBSTITUTE(SUBSTITUTE(SUBSTITUTE(F24," ",""),"0",""),"-","")))*1),0)+IF(OR(COUNTA(B26,C26,E26,F26)&gt;0,OR(D26="X",D26="x")),IF(OR(D26="X",D26="x",AND(OR(COUNTA(B26,C26,E26,F26)&gt;0,OR(D26="X",D26="x")),(LEN(SUBSTITUTE(SUBSTITUTE(SUBSTITUTE(B26," ",""),"0",""),"-",""))+LEN(SUBSTITUTE(SUBSTITUTE(SUBSTITUTE(C26," ",""),"0",""),"-","")))=(LEN(SUBSTITUTE(SUBSTITUTE(SUBSTITUTE(E26," ",""),"0",""),"-",""))+LEN(SUBSTITUTE(SUBSTITUTE(SUBSTITUTE(F26," ",""),"0",""),"-",""))))),0,(LEN(SUBSTITUTE(SUBSTITUTE(SUBSTITUTE(E26," ",""),"0",""),"-",""))+LEN(SUBSTITUTE(SUBSTITUTE(SUBSTITUTE(F26," ",""),"0",""),"-",""))&lt;LEN(SUBSTITUTE(SUBSTITUTE(SUBSTITUTE(B26," ",""),"0",""),"-",""))+LEN(SUBSTITUTE(SUBSTITUTE(SUBSTITUTE(C26," ",""),"0",""),"-","")))*1),0)</f>
      </c>
      <c r="D30" s="14" t="str">
        <f>IF(OR(COUNTA(B24,C24,E24,F24)&gt;0,OR(D24="X",D24="x")),IF(OR(D24="X",D24="x",AND(OR(COUNTA(B24,C24,E24,F24)&gt;0,OR(D24="X",D24="x")),(LEN(SUBSTITUTE(SUBSTITUTE(SUBSTITUTE(B24," ",""),"0",""),"-",""))+LEN(SUBSTITUTE(SUBSTITUTE(SUBSTITUTE(C24," ",""),"0",""),"-","")))=(LEN(SUBSTITUTE(SUBSTITUTE(SUBSTITUTE(E24," ",""),"0",""),"-",""))+LEN(SUBSTITUTE(SUBSTITUTE(SUBSTITUTE(F24," ",""),"0",""),"-",""))))),1,0),0)+IF(OR(COUNTA(B26,C26,E26,F26)&gt;0,OR(D26="X",D26="x")),IF(OR(D26="X",D26="x",AND(OR(COUNTA(B26,C26,E26,F26)&gt;0,OR(D26="X",D26="x")),(LEN(SUBSTITUTE(SUBSTITUTE(SUBSTITUTE(B26," ",""),"0",""),"-",""))+LEN(SUBSTITUTE(SUBSTITUTE(SUBSTITUTE(C26," ",""),"0",""),"-","")))=(LEN(SUBSTITUTE(SUBSTITUTE(SUBSTITUTE(E26," ",""),"0",""),"-",""))+LEN(SUBSTITUTE(SUBSTITUTE(SUBSTITUTE(F26," ",""),"0",""),"-",""))))),1,0),0)</f>
      </c>
      <c r="E30" s="14" t="str">
        <f>LEN(SUBSTITUTE(SUBSTITUTE(SUBSTITUTE(B24," ",""),"0",""),"-",""))+LEN(SUBSTITUTE(SUBSTITUTE(SUBSTITUTE(C24," ",""),"0",""),"-",""))+LEN(SUBSTITUTE(SUBSTITUTE(SUBSTITUTE(E26," ",""),"0",""),"-",""))+LEN(SUBSTITUTE(SUBSTITUTE(SUBSTITUTE(F26," ",""),"0",""),"-",""))</f>
      </c>
      <c r="F30" s="14" t="str">
        <f>LEN(SUBSTITUTE(SUBSTITUTE(SUBSTITUTE(E24," ",""),"0",""),"-",""))+LEN(SUBSTITUTE(SUBSTITUTE(SUBSTITUTE(F24," ",""),"0",""),"-",""))+LEN(SUBSTITUTE(SUBSTITUTE(SUBSTITUTE(B26," ",""),"0",""),"-",""))+LEN(SUBSTITUTE(SUBSTITUTE(SUBSTITUTE(C26," ",""),"0",""),"-",""))</f>
      </c>
      <c r="G30" s="18" t="str">
        <f>RANK(U30,$U$29:$U$31)+COUNTIF($U$28:U29,U30)</f>
      </c>
      <c r="I30" s="14" t="str">
        <f>data!$E$53&amp;" "&amp;data!$B$53</f>
      </c>
      <c r="J30" s="14" t="str">
        <f>IF(OR(COUNTA(J24,K24,M24,N24)&gt;0,OR(L24="X",L24="x")),IF(OR(L24="X",L24="x",AND(OR(COUNTA(J24,K24,M24,N24)&gt;0,OR(L24="X",L24="x")),(LEN(SUBSTITUTE(SUBSTITUTE(SUBSTITUTE(J24," ",""),"0",""),"-",""))+LEN(SUBSTITUTE(SUBSTITUTE(SUBSTITUTE(K24," ",""),"0",""),"-","")))=(LEN(SUBSTITUTE(SUBSTITUTE(SUBSTITUTE(M24," ",""),"0",""),"-",""))+LEN(SUBSTITUTE(SUBSTITUTE(SUBSTITUTE(N24," ",""),"0",""),"-",""))))),0,(LEN(SUBSTITUTE(SUBSTITUTE(SUBSTITUTE(J24," ",""),"0",""),"-",""))+LEN(SUBSTITUTE(SUBSTITUTE(SUBSTITUTE(K24," ",""),"0",""),"-",""))&gt;LEN(SUBSTITUTE(SUBSTITUTE(SUBSTITUTE(M24," ",""),"0",""),"-",""))+LEN(SUBSTITUTE(SUBSTITUTE(SUBSTITUTE(N24," ",""),"0",""),"-","")))*1),0)+IF(OR(COUNTA(J26,K26,M26,N26)&gt;0,OR(L26="X",L26="x")),IF(OR(L26="X",L26="x",AND(OR(COUNTA(J26,K26,M26,N26)&gt;0,OR(L26="X",L26="x")),(LEN(SUBSTITUTE(SUBSTITUTE(SUBSTITUTE(J26," ",""),"0",""),"-",""))+LEN(SUBSTITUTE(SUBSTITUTE(SUBSTITUTE(K26," ",""),"0",""),"-","")))=(LEN(SUBSTITUTE(SUBSTITUTE(SUBSTITUTE(M26," ",""),"0",""),"-",""))+LEN(SUBSTITUTE(SUBSTITUTE(SUBSTITUTE(N26," ",""),"0",""),"-",""))))),0,(LEN(SUBSTITUTE(SUBSTITUTE(SUBSTITUTE(M26," ",""),"0",""),"-",""))+LEN(SUBSTITUTE(SUBSTITUTE(SUBSTITUTE(N26," ",""),"0",""),"-",""))&gt;LEN(SUBSTITUTE(SUBSTITUTE(SUBSTITUTE(J26," ",""),"0",""),"-",""))+LEN(SUBSTITUTE(SUBSTITUTE(SUBSTITUTE(K26," ",""),"0",""),"-","")))*1),0)</f>
      </c>
      <c r="K30" s="14" t="str">
        <f>IF(OR(COUNTA(J24,K24,M24,N24)&gt;0,OR(L24="X",L24="x")),IF(OR(L24="X",L24="x",AND(OR(COUNTA(J24,K24,M24,N24)&gt;0,OR(L24="X",L24="x")),(LEN(SUBSTITUTE(SUBSTITUTE(SUBSTITUTE(J24," ",""),"0",""),"-",""))+LEN(SUBSTITUTE(SUBSTITUTE(SUBSTITUTE(K24," ",""),"0",""),"-","")))=(LEN(SUBSTITUTE(SUBSTITUTE(SUBSTITUTE(M24," ",""),"0",""),"-",""))+LEN(SUBSTITUTE(SUBSTITUTE(SUBSTITUTE(N24," ",""),"0",""),"-",""))))),0,(LEN(SUBSTITUTE(SUBSTITUTE(SUBSTITUTE(J24," ",""),"0",""),"-",""))+LEN(SUBSTITUTE(SUBSTITUTE(SUBSTITUTE(K24," ",""),"0",""),"-",""))&lt;LEN(SUBSTITUTE(SUBSTITUTE(SUBSTITUTE(M24," ",""),"0",""),"-",""))+LEN(SUBSTITUTE(SUBSTITUTE(SUBSTITUTE(N24," ",""),"0",""),"-","")))*1),0)+IF(OR(COUNTA(J26,K26,M26,N26)&gt;0,OR(L26="X",L26="x")),IF(OR(L26="X",L26="x",AND(OR(COUNTA(J26,K26,M26,N26)&gt;0,OR(L26="X",L26="x")),(LEN(SUBSTITUTE(SUBSTITUTE(SUBSTITUTE(J26," ",""),"0",""),"-",""))+LEN(SUBSTITUTE(SUBSTITUTE(SUBSTITUTE(K26," ",""),"0",""),"-","")))=(LEN(SUBSTITUTE(SUBSTITUTE(SUBSTITUTE(M26," ",""),"0",""),"-",""))+LEN(SUBSTITUTE(SUBSTITUTE(SUBSTITUTE(N26," ",""),"0",""),"-",""))))),0,(LEN(SUBSTITUTE(SUBSTITUTE(SUBSTITUTE(M26," ",""),"0",""),"-",""))+LEN(SUBSTITUTE(SUBSTITUTE(SUBSTITUTE(N26," ",""),"0",""),"-",""))&lt;LEN(SUBSTITUTE(SUBSTITUTE(SUBSTITUTE(J26," ",""),"0",""),"-",""))+LEN(SUBSTITUTE(SUBSTITUTE(SUBSTITUTE(K26," ",""),"0",""),"-","")))*1),0)</f>
      </c>
      <c r="L30" s="14" t="str">
        <f>IF(OR(COUNTA(J24,K24,M24,N24)&gt;0,OR(L24="X",L24="x")),IF(OR(L24="X",L24="x",AND(OR(COUNTA(J24,K24,M24,N24)&gt;0,OR(L24="X",L24="x")),(LEN(SUBSTITUTE(SUBSTITUTE(SUBSTITUTE(J24," ",""),"0",""),"-",""))+LEN(SUBSTITUTE(SUBSTITUTE(SUBSTITUTE(K24," ",""),"0",""),"-","")))=(LEN(SUBSTITUTE(SUBSTITUTE(SUBSTITUTE(M24," ",""),"0",""),"-",""))+LEN(SUBSTITUTE(SUBSTITUTE(SUBSTITUTE(N24," ",""),"0",""),"-",""))))),1,0),0)+IF(OR(COUNTA(J26,K26,M26,N26)&gt;0,OR(L26="X",L26="x")),IF(OR(L26="X",L26="x",AND(OR(COUNTA(J26,K26,M26,N26)&gt;0,OR(L26="X",L26="x")),(LEN(SUBSTITUTE(SUBSTITUTE(SUBSTITUTE(J26," ",""),"0",""),"-",""))+LEN(SUBSTITUTE(SUBSTITUTE(SUBSTITUTE(K26," ",""),"0",""),"-","")))=(LEN(SUBSTITUTE(SUBSTITUTE(SUBSTITUTE(M26," ",""),"0",""),"-",""))+LEN(SUBSTITUTE(SUBSTITUTE(SUBSTITUTE(N26," ",""),"0",""),"-",""))))),1,0),0)</f>
      </c>
      <c r="M30" s="14" t="str">
        <f>LEN(SUBSTITUTE(SUBSTITUTE(SUBSTITUTE(J24," ",""),"0",""),"-",""))+LEN(SUBSTITUTE(SUBSTITUTE(SUBSTITUTE(K24," ",""),"0",""),"-",""))+LEN(SUBSTITUTE(SUBSTITUTE(SUBSTITUTE(M26," ",""),"0",""),"-",""))+LEN(SUBSTITUTE(SUBSTITUTE(SUBSTITUTE(N26," ",""),"0",""),"-",""))</f>
      </c>
      <c r="N30" s="14" t="str">
        <f>LEN(SUBSTITUTE(SUBSTITUTE(SUBSTITUTE(M24," ",""),"0",""),"-",""))+LEN(SUBSTITUTE(SUBSTITUTE(SUBSTITUTE(N24," ",""),"0",""),"-",""))+LEN(SUBSTITUTE(SUBSTITUTE(SUBSTITUTE(J26," ",""),"0",""),"-",""))+LEN(SUBSTITUTE(SUBSTITUTE(SUBSTITUTE(K26," ",""),"0",""),"-",""))</f>
      </c>
      <c r="O30" s="18" t="str">
        <f>RANK(AC30,$AC$29:$AC$31)+COUNTIF($AC$28:AC29,AC30)</f>
      </c>
      <c r="U30" t="str">
        <f>(B30*1000000)-(C30*10000)+(D30*100)+(E30*1)-(F30*0.01)</f>
      </c>
      <c r="AC30" t="str">
        <f>(J30*1000000)-(K30*10000)+(L30*100)+(M30*1)-(N30*0.01)</f>
      </c>
    </row>
    <row r="31">
      <c r="A31" s="14" t="str">
        <f>data!$E$9&amp;" "&amp;data!$B$9</f>
      </c>
      <c r="B31" s="14" t="str">
        <f>IF(OR(COUNTA(B25,C25,E25,F25)&gt;0,OR(D25="X",D25="x")),IF(OR(D25="X",D25="x",AND(OR(COUNTA(B25,C25,E25,F25)&gt;0,OR(D25="X",D25="x")),(LEN(SUBSTITUTE(SUBSTITUTE(SUBSTITUTE(B25," ",""),"0",""),"-",""))+LEN(SUBSTITUTE(SUBSTITUTE(SUBSTITUTE(C25," ",""),"0",""),"-","")))=(LEN(SUBSTITUTE(SUBSTITUTE(SUBSTITUTE(E25," ",""),"0",""),"-",""))+LEN(SUBSTITUTE(SUBSTITUTE(SUBSTITUTE(F25," ",""),"0",""),"-",""))))),0,(LEN(SUBSTITUTE(SUBSTITUTE(SUBSTITUTE(B25," ",""),"0",""),"-",""))+LEN(SUBSTITUTE(SUBSTITUTE(SUBSTITUTE(C25," ",""),"0",""),"-",""))&gt;LEN(SUBSTITUTE(SUBSTITUTE(SUBSTITUTE(E25," ",""),"0",""),"-",""))+LEN(SUBSTITUTE(SUBSTITUTE(SUBSTITUTE(F25," ",""),"0",""),"-","")))*1),0)+IF(OR(COUNTA(B26,C26,E26,F26)&gt;0,OR(D26="X",D26="x")),IF(OR(D26="X",D26="x",AND(OR(COUNTA(B26,C26,E26,F26)&gt;0,OR(D26="X",D26="x")),(LEN(SUBSTITUTE(SUBSTITUTE(SUBSTITUTE(B26," ",""),"0",""),"-",""))+LEN(SUBSTITUTE(SUBSTITUTE(SUBSTITUTE(C26," ",""),"0",""),"-","")))=(LEN(SUBSTITUTE(SUBSTITUTE(SUBSTITUTE(E26," ",""),"0",""),"-",""))+LEN(SUBSTITUTE(SUBSTITUTE(SUBSTITUTE(F26," ",""),"0",""),"-",""))))),0,(LEN(SUBSTITUTE(SUBSTITUTE(SUBSTITUTE(B26," ",""),"0",""),"-",""))+LEN(SUBSTITUTE(SUBSTITUTE(SUBSTITUTE(C26," ",""),"0",""),"-",""))&gt;LEN(SUBSTITUTE(SUBSTITUTE(SUBSTITUTE(E26," ",""),"0",""),"-",""))+LEN(SUBSTITUTE(SUBSTITUTE(SUBSTITUTE(F26," ",""),"0",""),"-","")))*1),0)</f>
      </c>
      <c r="C31" s="14" t="str">
        <f>IF(OR(COUNTA(B25,C25,E25,F25)&gt;0,OR(D25="X",D25="x")),IF(OR(D25="X",D25="x",AND(OR(COUNTA(B25,C25,E25,F25)&gt;0,OR(D25="X",D25="x")),(LEN(SUBSTITUTE(SUBSTITUTE(SUBSTITUTE(B25," ",""),"0",""),"-",""))+LEN(SUBSTITUTE(SUBSTITUTE(SUBSTITUTE(C25," ",""),"0",""),"-","")))=(LEN(SUBSTITUTE(SUBSTITUTE(SUBSTITUTE(E25," ",""),"0",""),"-",""))+LEN(SUBSTITUTE(SUBSTITUTE(SUBSTITUTE(F25," ",""),"0",""),"-",""))))),0,(LEN(SUBSTITUTE(SUBSTITUTE(SUBSTITUTE(B25," ",""),"0",""),"-",""))+LEN(SUBSTITUTE(SUBSTITUTE(SUBSTITUTE(C25," ",""),"0",""),"-",""))&lt;LEN(SUBSTITUTE(SUBSTITUTE(SUBSTITUTE(E25," ",""),"0",""),"-",""))+LEN(SUBSTITUTE(SUBSTITUTE(SUBSTITUTE(F25," ",""),"0",""),"-","")))*1),0)+IF(OR(COUNTA(B26,C26,E26,F26)&gt;0,OR(D26="X",D26="x")),IF(OR(D26="X",D26="x",AND(OR(COUNTA(B26,C26,E26,F26)&gt;0,OR(D26="X",D26="x")),(LEN(SUBSTITUTE(SUBSTITUTE(SUBSTITUTE(B26," ",""),"0",""),"-",""))+LEN(SUBSTITUTE(SUBSTITUTE(SUBSTITUTE(C26," ",""),"0",""),"-","")))=(LEN(SUBSTITUTE(SUBSTITUTE(SUBSTITUTE(E26," ",""),"0",""),"-",""))+LEN(SUBSTITUTE(SUBSTITUTE(SUBSTITUTE(F26," ",""),"0",""),"-",""))))),0,(LEN(SUBSTITUTE(SUBSTITUTE(SUBSTITUTE(B26," ",""),"0",""),"-",""))+LEN(SUBSTITUTE(SUBSTITUTE(SUBSTITUTE(C26," ",""),"0",""),"-",""))&lt;LEN(SUBSTITUTE(SUBSTITUTE(SUBSTITUTE(E26," ",""),"0",""),"-",""))+LEN(SUBSTITUTE(SUBSTITUTE(SUBSTITUTE(F26," ",""),"0",""),"-","")))*1),0)</f>
      </c>
      <c r="D31" s="14" t="str">
        <f>IF(OR(COUNTA(B25,C25,E25,F25)&gt;0,OR(D25="X",D25="x")),IF(OR(D25="X",D25="x",AND(OR(COUNTA(B25,C25,E25,F25)&gt;0,OR(D25="X",D25="x")),(LEN(SUBSTITUTE(SUBSTITUTE(SUBSTITUTE(B25," ",""),"0",""),"-",""))+LEN(SUBSTITUTE(SUBSTITUTE(SUBSTITUTE(C25," ",""),"0",""),"-","")))=(LEN(SUBSTITUTE(SUBSTITUTE(SUBSTITUTE(E25," ",""),"0",""),"-",""))+LEN(SUBSTITUTE(SUBSTITUTE(SUBSTITUTE(F25," ",""),"0",""),"-",""))))),1,0),0)+IF(OR(COUNTA(B26,C26,E26,F26)&gt;0,OR(D26="X",D26="x")),IF(OR(D26="X",D26="x",AND(OR(COUNTA(B26,C26,E26,F26)&gt;0,OR(D26="X",D26="x")),(LEN(SUBSTITUTE(SUBSTITUTE(SUBSTITUTE(B26," ",""),"0",""),"-",""))+LEN(SUBSTITUTE(SUBSTITUTE(SUBSTITUTE(C26," ",""),"0",""),"-","")))=(LEN(SUBSTITUTE(SUBSTITUTE(SUBSTITUTE(E26," ",""),"0",""),"-",""))+LEN(SUBSTITUTE(SUBSTITUTE(SUBSTITUTE(F26," ",""),"0",""),"-",""))))),1,0),0)</f>
      </c>
      <c r="E31" s="14" t="str">
        <f>LEN(SUBSTITUTE(SUBSTITUTE(SUBSTITUTE(B25," ",""),"0",""),"-",""))+LEN(SUBSTITUTE(SUBSTITUTE(SUBSTITUTE(C25," ",""),"0",""),"-",""))+LEN(SUBSTITUTE(SUBSTITUTE(SUBSTITUTE(B26," ",""),"0",""),"-",""))+LEN(SUBSTITUTE(SUBSTITUTE(SUBSTITUTE(C26," ",""),"0",""),"-",""))</f>
      </c>
      <c r="F31" s="14" t="str">
        <f>LEN(SUBSTITUTE(SUBSTITUTE(SUBSTITUTE(E25," ",""),"0",""),"-",""))+LEN(SUBSTITUTE(SUBSTITUTE(SUBSTITUTE(F25," ",""),"0",""),"-",""))+LEN(SUBSTITUTE(SUBSTITUTE(SUBSTITUTE(E26," ",""),"0",""),"-",""))+LEN(SUBSTITUTE(SUBSTITUTE(SUBSTITUTE(F26," ",""),"0",""),"-",""))</f>
      </c>
      <c r="G31" s="18" t="str">
        <f>RANK(U31,$U$29:$U$31)+COUNTIF($U$28:U30,U31)</f>
      </c>
      <c r="I31" s="14" t="str">
        <f>data!$E$54&amp;" "&amp;data!$B$54</f>
      </c>
      <c r="J31" s="14" t="str">
        <f>IF(OR(COUNTA(J25,K25,M25,N25)&gt;0,OR(L25="X",L25="x")),IF(OR(L25="X",L25="x",AND(OR(COUNTA(J25,K25,M25,N25)&gt;0,OR(L25="X",L25="x")),(LEN(SUBSTITUTE(SUBSTITUTE(SUBSTITUTE(J25," ",""),"0",""),"-",""))+LEN(SUBSTITUTE(SUBSTITUTE(SUBSTITUTE(K25," ",""),"0",""),"-","")))=(LEN(SUBSTITUTE(SUBSTITUTE(SUBSTITUTE(M25," ",""),"0",""),"-",""))+LEN(SUBSTITUTE(SUBSTITUTE(SUBSTITUTE(N25," ",""),"0",""),"-",""))))),0,(LEN(SUBSTITUTE(SUBSTITUTE(SUBSTITUTE(J25," ",""),"0",""),"-",""))+LEN(SUBSTITUTE(SUBSTITUTE(SUBSTITUTE(K25," ",""),"0",""),"-",""))&gt;LEN(SUBSTITUTE(SUBSTITUTE(SUBSTITUTE(M25," ",""),"0",""),"-",""))+LEN(SUBSTITUTE(SUBSTITUTE(SUBSTITUTE(N25," ",""),"0",""),"-","")))*1),0)+IF(OR(COUNTA(J26,K26,M26,N26)&gt;0,OR(L26="X",L26="x")),IF(OR(L26="X",L26="x",AND(OR(COUNTA(J26,K26,M26,N26)&gt;0,OR(L26="X",L26="x")),(LEN(SUBSTITUTE(SUBSTITUTE(SUBSTITUTE(J26," ",""),"0",""),"-",""))+LEN(SUBSTITUTE(SUBSTITUTE(SUBSTITUTE(K26," ",""),"0",""),"-","")))=(LEN(SUBSTITUTE(SUBSTITUTE(SUBSTITUTE(M26," ",""),"0",""),"-",""))+LEN(SUBSTITUTE(SUBSTITUTE(SUBSTITUTE(N26," ",""),"0",""),"-",""))))),0,(LEN(SUBSTITUTE(SUBSTITUTE(SUBSTITUTE(J26," ",""),"0",""),"-",""))+LEN(SUBSTITUTE(SUBSTITUTE(SUBSTITUTE(K26," ",""),"0",""),"-",""))&gt;LEN(SUBSTITUTE(SUBSTITUTE(SUBSTITUTE(M26," ",""),"0",""),"-",""))+LEN(SUBSTITUTE(SUBSTITUTE(SUBSTITUTE(N26," ",""),"0",""),"-","")))*1),0)</f>
      </c>
      <c r="K31" s="14" t="str">
        <f>IF(OR(COUNTA(J25,K25,M25,N25)&gt;0,OR(L25="X",L25="x")),IF(OR(L25="X",L25="x",AND(OR(COUNTA(J25,K25,M25,N25)&gt;0,OR(L25="X",L25="x")),(LEN(SUBSTITUTE(SUBSTITUTE(SUBSTITUTE(J25," ",""),"0",""),"-",""))+LEN(SUBSTITUTE(SUBSTITUTE(SUBSTITUTE(K25," ",""),"0",""),"-","")))=(LEN(SUBSTITUTE(SUBSTITUTE(SUBSTITUTE(M25," ",""),"0",""),"-",""))+LEN(SUBSTITUTE(SUBSTITUTE(SUBSTITUTE(N25," ",""),"0",""),"-",""))))),0,(LEN(SUBSTITUTE(SUBSTITUTE(SUBSTITUTE(J25," ",""),"0",""),"-",""))+LEN(SUBSTITUTE(SUBSTITUTE(SUBSTITUTE(K25," ",""),"0",""),"-",""))&lt;LEN(SUBSTITUTE(SUBSTITUTE(SUBSTITUTE(M25," ",""),"0",""),"-",""))+LEN(SUBSTITUTE(SUBSTITUTE(SUBSTITUTE(N25," ",""),"0",""),"-","")))*1),0)+IF(OR(COUNTA(J26,K26,M26,N26)&gt;0,OR(L26="X",L26="x")),IF(OR(L26="X",L26="x",AND(OR(COUNTA(J26,K26,M26,N26)&gt;0,OR(L26="X",L26="x")),(LEN(SUBSTITUTE(SUBSTITUTE(SUBSTITUTE(J26," ",""),"0",""),"-",""))+LEN(SUBSTITUTE(SUBSTITUTE(SUBSTITUTE(K26," ",""),"0",""),"-","")))=(LEN(SUBSTITUTE(SUBSTITUTE(SUBSTITUTE(M26," ",""),"0",""),"-",""))+LEN(SUBSTITUTE(SUBSTITUTE(SUBSTITUTE(N26," ",""),"0",""),"-",""))))),0,(LEN(SUBSTITUTE(SUBSTITUTE(SUBSTITUTE(J26," ",""),"0",""),"-",""))+LEN(SUBSTITUTE(SUBSTITUTE(SUBSTITUTE(K26," ",""),"0",""),"-",""))&lt;LEN(SUBSTITUTE(SUBSTITUTE(SUBSTITUTE(M26," ",""),"0",""),"-",""))+LEN(SUBSTITUTE(SUBSTITUTE(SUBSTITUTE(N26," ",""),"0",""),"-","")))*1),0)</f>
      </c>
      <c r="L31" s="14" t="str">
        <f>IF(OR(COUNTA(J25,K25,M25,N25)&gt;0,OR(L25="X",L25="x")),IF(OR(L25="X",L25="x",AND(OR(COUNTA(J25,K25,M25,N25)&gt;0,OR(L25="X",L25="x")),(LEN(SUBSTITUTE(SUBSTITUTE(SUBSTITUTE(J25," ",""),"0",""),"-",""))+LEN(SUBSTITUTE(SUBSTITUTE(SUBSTITUTE(K25," ",""),"0",""),"-","")))=(LEN(SUBSTITUTE(SUBSTITUTE(SUBSTITUTE(M25," ",""),"0",""),"-",""))+LEN(SUBSTITUTE(SUBSTITUTE(SUBSTITUTE(N25," ",""),"0",""),"-",""))))),1,0),0)+IF(OR(COUNTA(J26,K26,M26,N26)&gt;0,OR(L26="X",L26="x")),IF(OR(L26="X",L26="x",AND(OR(COUNTA(J26,K26,M26,N26)&gt;0,OR(L26="X",L26="x")),(LEN(SUBSTITUTE(SUBSTITUTE(SUBSTITUTE(J26," ",""),"0",""),"-",""))+LEN(SUBSTITUTE(SUBSTITUTE(SUBSTITUTE(K26," ",""),"0",""),"-","")))=(LEN(SUBSTITUTE(SUBSTITUTE(SUBSTITUTE(M26," ",""),"0",""),"-",""))+LEN(SUBSTITUTE(SUBSTITUTE(SUBSTITUTE(N26," ",""),"0",""),"-",""))))),1,0),0)</f>
      </c>
      <c r="M31" s="14" t="str">
        <f>LEN(SUBSTITUTE(SUBSTITUTE(SUBSTITUTE(J25," ",""),"0",""),"-",""))+LEN(SUBSTITUTE(SUBSTITUTE(SUBSTITUTE(K25," ",""),"0",""),"-",""))+LEN(SUBSTITUTE(SUBSTITUTE(SUBSTITUTE(J26," ",""),"0",""),"-",""))+LEN(SUBSTITUTE(SUBSTITUTE(SUBSTITUTE(K26," ",""),"0",""),"-",""))</f>
      </c>
      <c r="N31" s="14" t="str">
        <f>LEN(SUBSTITUTE(SUBSTITUTE(SUBSTITUTE(M25," ",""),"0",""),"-",""))+LEN(SUBSTITUTE(SUBSTITUTE(SUBSTITUTE(N25," ",""),"0",""),"-",""))+LEN(SUBSTITUTE(SUBSTITUTE(SUBSTITUTE(M26," ",""),"0",""),"-",""))+LEN(SUBSTITUTE(SUBSTITUTE(SUBSTITUTE(N26," ",""),"0",""),"-",""))</f>
      </c>
      <c r="O31" s="18" t="str">
        <f>RANK(AC31,$AC$29:$AC$31)+COUNTIF($AC$28:AC30,AC31)</f>
      </c>
      <c r="U31" t="str">
        <f>(B31*1000000)-(C31*10000)+(D31*100)+(E31*1)-(F31*0.01)</f>
      </c>
      <c r="AC31" t="str">
        <f>(J31*1000000)-(K31*10000)+(L31*100)+(M31*1)-(N31*0.01)</f>
      </c>
    </row>
    <row r="34">
      <c r="F34" s="13"/>
      <c r="G34" s="13" t="s">
        <v>340</v>
      </c>
      <c r="N34" s="13"/>
      <c r="O34" s="13" t="s">
        <v>340</v>
      </c>
    </row>
    <row r="35">
      <c r="F35" t="s">
        <v>341</v>
      </c>
      <c r="G35" s="19" t="str">
        <f>IFERROR(INDEX($A$29:$A$31, MATCH(1, $G$29:$G$31, 0)), "-")</f>
      </c>
      <c r="N35" t="s">
        <v>341</v>
      </c>
      <c r="O35" s="19" t="str">
        <f>IFERROR(INDEX($I$29:$I$31, MATCH(1, $O$29:$O$31, 0)), "-")</f>
      </c>
    </row>
    <row r="36">
      <c r="F36" t="s">
        <v>342</v>
      </c>
      <c r="G36" s="19" t="str">
        <f>IFERROR(INDEX($A$29:$A$31, MATCH(2, $G$29:$G$31, 0)), "-")</f>
      </c>
      <c r="N36" t="s">
        <v>342</v>
      </c>
      <c r="O36" s="19" t="str">
        <f>IFERROR(INDEX($I$29:$I$31, MATCH(2, $O$29:$O$31, 0)), "-")</f>
      </c>
    </row>
    <row r="37">
      <c r="F37" t="s">
        <v>343</v>
      </c>
      <c r="G37" s="19" t="str">
        <f>IFERROR(INDEX($A$29:$A$31, MATCH(3, $G$29:$G$31, 0)), "-")</f>
      </c>
      <c r="N37" t="s">
        <v>343</v>
      </c>
      <c r="O37" s="19" t="str">
        <f>IFERROR(INDEX($I$29:$I$31, MATCH(3, $O$29:$O$31, 0)), "-")</f>
      </c>
    </row>
    <row r="39">
      <c r="A39" s="13" t="str">
        <f>'data'!$A$12</f>
      </c>
      <c r="B39" s="13"/>
      <c r="C39" s="13"/>
      <c r="D39" s="13"/>
      <c r="E39" s="13"/>
      <c r="F39" s="13"/>
      <c r="G39" s="13"/>
      <c r="I39" s="13" t="str">
        <f>'data'!$A$57</f>
      </c>
      <c r="J39" s="13"/>
      <c r="K39" s="13"/>
      <c r="L39" s="13"/>
      <c r="M39" s="13"/>
      <c r="N39" s="13"/>
      <c r="O39" s="13"/>
    </row>
    <row r="40">
      <c r="A40" s="17" t="s">
        <v>330</v>
      </c>
      <c r="D40" s="14" t="s">
        <v>331</v>
      </c>
      <c r="G40" s="16" t="s">
        <v>332</v>
      </c>
      <c r="I40" s="17" t="s">
        <v>330</v>
      </c>
      <c r="L40" s="14" t="s">
        <v>331</v>
      </c>
      <c r="O40" s="16" t="s">
        <v>332</v>
      </c>
    </row>
    <row r="41">
      <c r="A41" s="14" t="str">
        <f>data!$E$11&amp;" "&amp;data!$B$11</f>
      </c>
      <c r="B41" s="18"/>
      <c r="C41" s="18"/>
      <c r="D41" s="18"/>
      <c r="E41" s="18"/>
      <c r="F41" s="18"/>
      <c r="G41" s="14" t="str">
        <f>data!$E$10&amp;" "&amp;data!$B$10</f>
      </c>
      <c r="I41" s="14" t="str">
        <f>data!$E$56&amp;" "&amp;data!$B$56</f>
      </c>
      <c r="J41" s="18"/>
      <c r="K41" s="18"/>
      <c r="L41" s="18"/>
      <c r="M41" s="18"/>
      <c r="N41" s="18"/>
      <c r="O41" s="14" t="str">
        <f>data!$E$55&amp;" "&amp;data!$B$55</f>
      </c>
    </row>
    <row r="42">
      <c r="A42" s="14" t="str">
        <f>data!$E$12&amp;" "&amp;data!$B$12</f>
      </c>
      <c r="B42" s="18"/>
      <c r="C42" s="18"/>
      <c r="D42" s="18"/>
      <c r="E42" s="18"/>
      <c r="F42" s="18"/>
      <c r="G42" s="14" t="str">
        <f>data!$E$10&amp;" "&amp;data!$B$10</f>
      </c>
      <c r="I42" s="14" t="str">
        <f>data!$E$57&amp;" "&amp;data!$B$57</f>
      </c>
      <c r="J42" s="18"/>
      <c r="K42" s="18"/>
      <c r="L42" s="18"/>
      <c r="M42" s="18"/>
      <c r="N42" s="18"/>
      <c r="O42" s="14" t="str">
        <f>data!$E$55&amp;" "&amp;data!$B$55</f>
      </c>
    </row>
    <row r="43">
      <c r="A43" s="14" t="str">
        <f>data!$E$12&amp;" "&amp;data!$B$12</f>
      </c>
      <c r="B43" s="18"/>
      <c r="C43" s="18"/>
      <c r="D43" s="18"/>
      <c r="E43" s="18"/>
      <c r="F43" s="18"/>
      <c r="G43" s="14" t="str">
        <f>data!$E$11&amp;" "&amp;data!$B$11</f>
      </c>
      <c r="I43" s="14" t="str">
        <f>data!$E$57&amp;" "&amp;data!$B$57</f>
      </c>
      <c r="J43" s="18"/>
      <c r="K43" s="18"/>
      <c r="L43" s="18"/>
      <c r="M43" s="18"/>
      <c r="N43" s="18"/>
      <c r="O43" s="14" t="str">
        <f>data!$E$56&amp;" "&amp;data!$B$56</f>
      </c>
    </row>
    <row r="45">
      <c r="A45" s="13" t="s">
        <v>333</v>
      </c>
      <c r="B45" s="13" t="s">
        <v>334</v>
      </c>
      <c r="C45" s="13" t="s">
        <v>335</v>
      </c>
      <c r="D45" s="13" t="s">
        <v>336</v>
      </c>
      <c r="E45" s="13" t="s">
        <v>337</v>
      </c>
      <c r="F45" s="13" t="s">
        <v>338</v>
      </c>
      <c r="G45" s="13" t="s">
        <v>339</v>
      </c>
      <c r="I45" s="13" t="s">
        <v>333</v>
      </c>
      <c r="J45" s="13" t="s">
        <v>334</v>
      </c>
      <c r="K45" s="13" t="s">
        <v>335</v>
      </c>
      <c r="L45" s="13" t="s">
        <v>336</v>
      </c>
      <c r="M45" s="13" t="s">
        <v>337</v>
      </c>
      <c r="N45" s="13" t="s">
        <v>338</v>
      </c>
      <c r="O45" s="13" t="s">
        <v>339</v>
      </c>
    </row>
    <row r="46">
      <c r="A46" s="14" t="str">
        <f>data!$E$10&amp;" "&amp;data!$B$10</f>
      </c>
      <c r="B46" s="14" t="str">
        <f>IF(OR(COUNTA(B41,C41,E41,F41)&gt;0,OR(D41="X",D41="x")),IF(OR(D41="X",D41="x",AND(OR(COUNTA(B41,C41,E41,F41)&gt;0,OR(D41="X",D41="x")),(LEN(SUBSTITUTE(SUBSTITUTE(SUBSTITUTE(B41," ",""),"0",""),"-",""))+LEN(SUBSTITUTE(SUBSTITUTE(SUBSTITUTE(C41," ",""),"0",""),"-","")))=(LEN(SUBSTITUTE(SUBSTITUTE(SUBSTITUTE(E41," ",""),"0",""),"-",""))+LEN(SUBSTITUTE(SUBSTITUTE(SUBSTITUTE(F41," ",""),"0",""),"-",""))))),0,(LEN(SUBSTITUTE(SUBSTITUTE(SUBSTITUTE(E41," ",""),"0",""),"-",""))+LEN(SUBSTITUTE(SUBSTITUTE(SUBSTITUTE(F41," ",""),"0",""),"-",""))&gt;LEN(SUBSTITUTE(SUBSTITUTE(SUBSTITUTE(B41," ",""),"0",""),"-",""))+LEN(SUBSTITUTE(SUBSTITUTE(SUBSTITUTE(C41," ",""),"0",""),"-","")))*1),0)+IF(OR(COUNTA(B42,C42,E42,F42)&gt;0,OR(D42="X",D42="x")),IF(OR(D42="X",D42="x",AND(OR(COUNTA(B42,C42,E42,F42)&gt;0,OR(D42="X",D42="x")),(LEN(SUBSTITUTE(SUBSTITUTE(SUBSTITUTE(B42," ",""),"0",""),"-",""))+LEN(SUBSTITUTE(SUBSTITUTE(SUBSTITUTE(C42," ",""),"0",""),"-","")))=(LEN(SUBSTITUTE(SUBSTITUTE(SUBSTITUTE(E42," ",""),"0",""),"-",""))+LEN(SUBSTITUTE(SUBSTITUTE(SUBSTITUTE(F42," ",""),"0",""),"-",""))))),0,(LEN(SUBSTITUTE(SUBSTITUTE(SUBSTITUTE(E42," ",""),"0",""),"-",""))+LEN(SUBSTITUTE(SUBSTITUTE(SUBSTITUTE(F42," ",""),"0",""),"-",""))&gt;LEN(SUBSTITUTE(SUBSTITUTE(SUBSTITUTE(B42," ",""),"0",""),"-",""))+LEN(SUBSTITUTE(SUBSTITUTE(SUBSTITUTE(C42," ",""),"0",""),"-","")))*1),0)</f>
      </c>
      <c r="C46" s="14" t="str">
        <f>IF(OR(COUNTA(B41,C41,E41,F41)&gt;0,OR(D41="X",D41="x")),IF(OR(D41="X",D41="x",AND(OR(COUNTA(B41,C41,E41,F41)&gt;0,OR(D41="X",D41="x")),(LEN(SUBSTITUTE(SUBSTITUTE(SUBSTITUTE(B41," ",""),"0",""),"-",""))+LEN(SUBSTITUTE(SUBSTITUTE(SUBSTITUTE(C41," ",""),"0",""),"-","")))=(LEN(SUBSTITUTE(SUBSTITUTE(SUBSTITUTE(E41," ",""),"0",""),"-",""))+LEN(SUBSTITUTE(SUBSTITUTE(SUBSTITUTE(F41," ",""),"0",""),"-",""))))),0,(LEN(SUBSTITUTE(SUBSTITUTE(SUBSTITUTE(E41," ",""),"0",""),"-",""))+LEN(SUBSTITUTE(SUBSTITUTE(SUBSTITUTE(F41," ",""),"0",""),"-",""))&lt;LEN(SUBSTITUTE(SUBSTITUTE(SUBSTITUTE(B41," ",""),"0",""),"-",""))+LEN(SUBSTITUTE(SUBSTITUTE(SUBSTITUTE(C41," ",""),"0",""),"-","")))*1),0)+IF(OR(COUNTA(B42,C42,E42,F42)&gt;0,OR(D42="X",D42="x")),IF(OR(D42="X",D42="x",AND(OR(COUNTA(B42,C42,E42,F42)&gt;0,OR(D42="X",D42="x")),(LEN(SUBSTITUTE(SUBSTITUTE(SUBSTITUTE(B42," ",""),"0",""),"-",""))+LEN(SUBSTITUTE(SUBSTITUTE(SUBSTITUTE(C42," ",""),"0",""),"-","")))=(LEN(SUBSTITUTE(SUBSTITUTE(SUBSTITUTE(E42," ",""),"0",""),"-",""))+LEN(SUBSTITUTE(SUBSTITUTE(SUBSTITUTE(F42," ",""),"0",""),"-",""))))),0,(LEN(SUBSTITUTE(SUBSTITUTE(SUBSTITUTE(E42," ",""),"0",""),"-",""))+LEN(SUBSTITUTE(SUBSTITUTE(SUBSTITUTE(F42," ",""),"0",""),"-",""))&lt;LEN(SUBSTITUTE(SUBSTITUTE(SUBSTITUTE(B42," ",""),"0",""),"-",""))+LEN(SUBSTITUTE(SUBSTITUTE(SUBSTITUTE(C42," ",""),"0",""),"-","")))*1),0)</f>
      </c>
      <c r="D46" s="14" t="str">
        <f>IF(OR(COUNTA(B41,C41,E41,F41)&gt;0,OR(D41="X",D41="x")),IF(OR(D41="X",D41="x",AND(OR(COUNTA(B41,C41,E41,F41)&gt;0,OR(D41="X",D41="x")),(LEN(SUBSTITUTE(SUBSTITUTE(SUBSTITUTE(B41," ",""),"0",""),"-",""))+LEN(SUBSTITUTE(SUBSTITUTE(SUBSTITUTE(C41," ",""),"0",""),"-","")))=(LEN(SUBSTITUTE(SUBSTITUTE(SUBSTITUTE(E41," ",""),"0",""),"-",""))+LEN(SUBSTITUTE(SUBSTITUTE(SUBSTITUTE(F41," ",""),"0",""),"-",""))))),1,0),0)+IF(OR(COUNTA(B42,C42,E42,F42)&gt;0,OR(D42="X",D42="x")),IF(OR(D42="X",D42="x",AND(OR(COUNTA(B42,C42,E42,F42)&gt;0,OR(D42="X",D42="x")),(LEN(SUBSTITUTE(SUBSTITUTE(SUBSTITUTE(B42," ",""),"0",""),"-",""))+LEN(SUBSTITUTE(SUBSTITUTE(SUBSTITUTE(C42," ",""),"0",""),"-","")))=(LEN(SUBSTITUTE(SUBSTITUTE(SUBSTITUTE(E42," ",""),"0",""),"-",""))+LEN(SUBSTITUTE(SUBSTITUTE(SUBSTITUTE(F42," ",""),"0",""),"-",""))))),1,0),0)</f>
      </c>
      <c r="E46" s="14" t="str">
        <f>LEN(SUBSTITUTE(SUBSTITUTE(SUBSTITUTE(E41," ",""),"0",""),"-",""))+LEN(SUBSTITUTE(SUBSTITUTE(SUBSTITUTE(F41," ",""),"0",""),"-",""))+LEN(SUBSTITUTE(SUBSTITUTE(SUBSTITUTE(E42," ",""),"0",""),"-",""))+LEN(SUBSTITUTE(SUBSTITUTE(SUBSTITUTE(F42," ",""),"0",""),"-",""))</f>
      </c>
      <c r="F46" s="14" t="str">
        <f>LEN(SUBSTITUTE(SUBSTITUTE(SUBSTITUTE(B41," ",""),"0",""),"-",""))+LEN(SUBSTITUTE(SUBSTITUTE(SUBSTITUTE(C41," ",""),"0",""),"-",""))+LEN(SUBSTITUTE(SUBSTITUTE(SUBSTITUTE(B42," ",""),"0",""),"-",""))+LEN(SUBSTITUTE(SUBSTITUTE(SUBSTITUTE(C42," ",""),"0",""),"-",""))</f>
      </c>
      <c r="G46" s="18" t="str">
        <f>RANK(U46,$U$46:$U$48)+COUNTIF($U$45:U45,U46)</f>
      </c>
      <c r="I46" s="14" t="str">
        <f>data!$E$55&amp;" "&amp;data!$B$55</f>
      </c>
      <c r="J46" s="14" t="str">
        <f>IF(OR(COUNTA(J41,K41,M41,N41)&gt;0,OR(L41="X",L41="x")),IF(OR(L41="X",L41="x",AND(OR(COUNTA(J41,K41,M41,N41)&gt;0,OR(L41="X",L41="x")),(LEN(SUBSTITUTE(SUBSTITUTE(SUBSTITUTE(J41," ",""),"0",""),"-",""))+LEN(SUBSTITUTE(SUBSTITUTE(SUBSTITUTE(K41," ",""),"0",""),"-","")))=(LEN(SUBSTITUTE(SUBSTITUTE(SUBSTITUTE(M41," ",""),"0",""),"-",""))+LEN(SUBSTITUTE(SUBSTITUTE(SUBSTITUTE(N41," ",""),"0",""),"-",""))))),0,(LEN(SUBSTITUTE(SUBSTITUTE(SUBSTITUTE(M41," ",""),"0",""),"-",""))+LEN(SUBSTITUTE(SUBSTITUTE(SUBSTITUTE(N41," ",""),"0",""),"-",""))&gt;LEN(SUBSTITUTE(SUBSTITUTE(SUBSTITUTE(J41," ",""),"0",""),"-",""))+LEN(SUBSTITUTE(SUBSTITUTE(SUBSTITUTE(K41," ",""),"0",""),"-","")))*1),0)+IF(OR(COUNTA(J42,K42,M42,N42)&gt;0,OR(L42="X",L42="x")),IF(OR(L42="X",L42="x",AND(OR(COUNTA(J42,K42,M42,N42)&gt;0,OR(L42="X",L42="x")),(LEN(SUBSTITUTE(SUBSTITUTE(SUBSTITUTE(J42," ",""),"0",""),"-",""))+LEN(SUBSTITUTE(SUBSTITUTE(SUBSTITUTE(K42," ",""),"0",""),"-","")))=(LEN(SUBSTITUTE(SUBSTITUTE(SUBSTITUTE(M42," ",""),"0",""),"-",""))+LEN(SUBSTITUTE(SUBSTITUTE(SUBSTITUTE(N42," ",""),"0",""),"-",""))))),0,(LEN(SUBSTITUTE(SUBSTITUTE(SUBSTITUTE(M42," ",""),"0",""),"-",""))+LEN(SUBSTITUTE(SUBSTITUTE(SUBSTITUTE(N42," ",""),"0",""),"-",""))&gt;LEN(SUBSTITUTE(SUBSTITUTE(SUBSTITUTE(J42," ",""),"0",""),"-",""))+LEN(SUBSTITUTE(SUBSTITUTE(SUBSTITUTE(K42," ",""),"0",""),"-","")))*1),0)</f>
      </c>
      <c r="K46" s="14" t="str">
        <f>IF(OR(COUNTA(J41,K41,M41,N41)&gt;0,OR(L41="X",L41="x")),IF(OR(L41="X",L41="x",AND(OR(COUNTA(J41,K41,M41,N41)&gt;0,OR(L41="X",L41="x")),(LEN(SUBSTITUTE(SUBSTITUTE(SUBSTITUTE(J41," ",""),"0",""),"-",""))+LEN(SUBSTITUTE(SUBSTITUTE(SUBSTITUTE(K41," ",""),"0",""),"-","")))=(LEN(SUBSTITUTE(SUBSTITUTE(SUBSTITUTE(M41," ",""),"0",""),"-",""))+LEN(SUBSTITUTE(SUBSTITUTE(SUBSTITUTE(N41," ",""),"0",""),"-",""))))),0,(LEN(SUBSTITUTE(SUBSTITUTE(SUBSTITUTE(M41," ",""),"0",""),"-",""))+LEN(SUBSTITUTE(SUBSTITUTE(SUBSTITUTE(N41," ",""),"0",""),"-",""))&lt;LEN(SUBSTITUTE(SUBSTITUTE(SUBSTITUTE(J41," ",""),"0",""),"-",""))+LEN(SUBSTITUTE(SUBSTITUTE(SUBSTITUTE(K41," ",""),"0",""),"-","")))*1),0)+IF(OR(COUNTA(J42,K42,M42,N42)&gt;0,OR(L42="X",L42="x")),IF(OR(L42="X",L42="x",AND(OR(COUNTA(J42,K42,M42,N42)&gt;0,OR(L42="X",L42="x")),(LEN(SUBSTITUTE(SUBSTITUTE(SUBSTITUTE(J42," ",""),"0",""),"-",""))+LEN(SUBSTITUTE(SUBSTITUTE(SUBSTITUTE(K42," ",""),"0",""),"-","")))=(LEN(SUBSTITUTE(SUBSTITUTE(SUBSTITUTE(M42," ",""),"0",""),"-",""))+LEN(SUBSTITUTE(SUBSTITUTE(SUBSTITUTE(N42," ",""),"0",""),"-",""))))),0,(LEN(SUBSTITUTE(SUBSTITUTE(SUBSTITUTE(M42," ",""),"0",""),"-",""))+LEN(SUBSTITUTE(SUBSTITUTE(SUBSTITUTE(N42," ",""),"0",""),"-",""))&lt;LEN(SUBSTITUTE(SUBSTITUTE(SUBSTITUTE(J42," ",""),"0",""),"-",""))+LEN(SUBSTITUTE(SUBSTITUTE(SUBSTITUTE(K42," ",""),"0",""),"-","")))*1),0)</f>
      </c>
      <c r="L46" s="14" t="str">
        <f>IF(OR(COUNTA(J41,K41,M41,N41)&gt;0,OR(L41="X",L41="x")),IF(OR(L41="X",L41="x",AND(OR(COUNTA(J41,K41,M41,N41)&gt;0,OR(L41="X",L41="x")),(LEN(SUBSTITUTE(SUBSTITUTE(SUBSTITUTE(J41," ",""),"0",""),"-",""))+LEN(SUBSTITUTE(SUBSTITUTE(SUBSTITUTE(K41," ",""),"0",""),"-","")))=(LEN(SUBSTITUTE(SUBSTITUTE(SUBSTITUTE(M41," ",""),"0",""),"-",""))+LEN(SUBSTITUTE(SUBSTITUTE(SUBSTITUTE(N41," ",""),"0",""),"-",""))))),1,0),0)+IF(OR(COUNTA(J42,K42,M42,N42)&gt;0,OR(L42="X",L42="x")),IF(OR(L42="X",L42="x",AND(OR(COUNTA(J42,K42,M42,N42)&gt;0,OR(L42="X",L42="x")),(LEN(SUBSTITUTE(SUBSTITUTE(SUBSTITUTE(J42," ",""),"0",""),"-",""))+LEN(SUBSTITUTE(SUBSTITUTE(SUBSTITUTE(K42," ",""),"0",""),"-","")))=(LEN(SUBSTITUTE(SUBSTITUTE(SUBSTITUTE(M42," ",""),"0",""),"-",""))+LEN(SUBSTITUTE(SUBSTITUTE(SUBSTITUTE(N42," ",""),"0",""),"-",""))))),1,0),0)</f>
      </c>
      <c r="M46" s="14" t="str">
        <f>LEN(SUBSTITUTE(SUBSTITUTE(SUBSTITUTE(M41," ",""),"0",""),"-",""))+LEN(SUBSTITUTE(SUBSTITUTE(SUBSTITUTE(N41," ",""),"0",""),"-",""))+LEN(SUBSTITUTE(SUBSTITUTE(SUBSTITUTE(M42," ",""),"0",""),"-",""))+LEN(SUBSTITUTE(SUBSTITUTE(SUBSTITUTE(N42," ",""),"0",""),"-",""))</f>
      </c>
      <c r="N46" s="14" t="str">
        <f>LEN(SUBSTITUTE(SUBSTITUTE(SUBSTITUTE(J41," ",""),"0",""),"-",""))+LEN(SUBSTITUTE(SUBSTITUTE(SUBSTITUTE(K41," ",""),"0",""),"-",""))+LEN(SUBSTITUTE(SUBSTITUTE(SUBSTITUTE(J42," ",""),"0",""),"-",""))+LEN(SUBSTITUTE(SUBSTITUTE(SUBSTITUTE(K42," ",""),"0",""),"-",""))</f>
      </c>
      <c r="O46" s="18" t="str">
        <f>RANK(AC46,$AC$46:$AC$48)+COUNTIF($AC$45:AC45,AC46)</f>
      </c>
      <c r="U46" t="str">
        <f>(B46*1000000)-(C46*10000)+(D46*100)+(E46*1)-(F46*0.01)</f>
      </c>
      <c r="AC46" t="str">
        <f>(J46*1000000)-(K46*10000)+(L46*100)+(M46*1)-(N46*0.01)</f>
      </c>
    </row>
    <row r="47">
      <c r="A47" s="14" t="str">
        <f>data!$E$11&amp;" "&amp;data!$B$11</f>
      </c>
      <c r="B47" s="14" t="str">
        <f>IF(OR(COUNTA(B41,C41,E41,F41)&gt;0,OR(D41="X",D41="x")),IF(OR(D41="X",D41="x",AND(OR(COUNTA(B41,C41,E41,F41)&gt;0,OR(D41="X",D41="x")),(LEN(SUBSTITUTE(SUBSTITUTE(SUBSTITUTE(B41," ",""),"0",""),"-",""))+LEN(SUBSTITUTE(SUBSTITUTE(SUBSTITUTE(C41," ",""),"0",""),"-","")))=(LEN(SUBSTITUTE(SUBSTITUTE(SUBSTITUTE(E41," ",""),"0",""),"-",""))+LEN(SUBSTITUTE(SUBSTITUTE(SUBSTITUTE(F41," ",""),"0",""),"-",""))))),0,(LEN(SUBSTITUTE(SUBSTITUTE(SUBSTITUTE(B41," ",""),"0",""),"-",""))+LEN(SUBSTITUTE(SUBSTITUTE(SUBSTITUTE(C41," ",""),"0",""),"-",""))&gt;LEN(SUBSTITUTE(SUBSTITUTE(SUBSTITUTE(E41," ",""),"0",""),"-",""))+LEN(SUBSTITUTE(SUBSTITUTE(SUBSTITUTE(F41," ",""),"0",""),"-","")))*1),0)+IF(OR(COUNTA(B43,C43,E43,F43)&gt;0,OR(D43="X",D43="x")),IF(OR(D43="X",D43="x",AND(OR(COUNTA(B43,C43,E43,F43)&gt;0,OR(D43="X",D43="x")),(LEN(SUBSTITUTE(SUBSTITUTE(SUBSTITUTE(B43," ",""),"0",""),"-",""))+LEN(SUBSTITUTE(SUBSTITUTE(SUBSTITUTE(C43," ",""),"0",""),"-","")))=(LEN(SUBSTITUTE(SUBSTITUTE(SUBSTITUTE(E43," ",""),"0",""),"-",""))+LEN(SUBSTITUTE(SUBSTITUTE(SUBSTITUTE(F43," ",""),"0",""),"-",""))))),0,(LEN(SUBSTITUTE(SUBSTITUTE(SUBSTITUTE(E43," ",""),"0",""),"-",""))+LEN(SUBSTITUTE(SUBSTITUTE(SUBSTITUTE(F43," ",""),"0",""),"-",""))&gt;LEN(SUBSTITUTE(SUBSTITUTE(SUBSTITUTE(B43," ",""),"0",""),"-",""))+LEN(SUBSTITUTE(SUBSTITUTE(SUBSTITUTE(C43," ",""),"0",""),"-","")))*1),0)</f>
      </c>
      <c r="C47" s="14" t="str">
        <f>IF(OR(COUNTA(B41,C41,E41,F41)&gt;0,OR(D41="X",D41="x")),IF(OR(D41="X",D41="x",AND(OR(COUNTA(B41,C41,E41,F41)&gt;0,OR(D41="X",D41="x")),(LEN(SUBSTITUTE(SUBSTITUTE(SUBSTITUTE(B41," ",""),"0",""),"-",""))+LEN(SUBSTITUTE(SUBSTITUTE(SUBSTITUTE(C41," ",""),"0",""),"-","")))=(LEN(SUBSTITUTE(SUBSTITUTE(SUBSTITUTE(E41," ",""),"0",""),"-",""))+LEN(SUBSTITUTE(SUBSTITUTE(SUBSTITUTE(F41," ",""),"0",""),"-",""))))),0,(LEN(SUBSTITUTE(SUBSTITUTE(SUBSTITUTE(B41," ",""),"0",""),"-",""))+LEN(SUBSTITUTE(SUBSTITUTE(SUBSTITUTE(C41," ",""),"0",""),"-",""))&lt;LEN(SUBSTITUTE(SUBSTITUTE(SUBSTITUTE(E41," ",""),"0",""),"-",""))+LEN(SUBSTITUTE(SUBSTITUTE(SUBSTITUTE(F41," ",""),"0",""),"-","")))*1),0)+IF(OR(COUNTA(B43,C43,E43,F43)&gt;0,OR(D43="X",D43="x")),IF(OR(D43="X",D43="x",AND(OR(COUNTA(B43,C43,E43,F43)&gt;0,OR(D43="X",D43="x")),(LEN(SUBSTITUTE(SUBSTITUTE(SUBSTITUTE(B43," ",""),"0",""),"-",""))+LEN(SUBSTITUTE(SUBSTITUTE(SUBSTITUTE(C43," ",""),"0",""),"-","")))=(LEN(SUBSTITUTE(SUBSTITUTE(SUBSTITUTE(E43," ",""),"0",""),"-",""))+LEN(SUBSTITUTE(SUBSTITUTE(SUBSTITUTE(F43," ",""),"0",""),"-",""))))),0,(LEN(SUBSTITUTE(SUBSTITUTE(SUBSTITUTE(E43," ",""),"0",""),"-",""))+LEN(SUBSTITUTE(SUBSTITUTE(SUBSTITUTE(F43," ",""),"0",""),"-",""))&lt;LEN(SUBSTITUTE(SUBSTITUTE(SUBSTITUTE(B43," ",""),"0",""),"-",""))+LEN(SUBSTITUTE(SUBSTITUTE(SUBSTITUTE(C43," ",""),"0",""),"-","")))*1),0)</f>
      </c>
      <c r="D47" s="14" t="str">
        <f>IF(OR(COUNTA(B41,C41,E41,F41)&gt;0,OR(D41="X",D41="x")),IF(OR(D41="X",D41="x",AND(OR(COUNTA(B41,C41,E41,F41)&gt;0,OR(D41="X",D41="x")),(LEN(SUBSTITUTE(SUBSTITUTE(SUBSTITUTE(B41," ",""),"0",""),"-",""))+LEN(SUBSTITUTE(SUBSTITUTE(SUBSTITUTE(C41," ",""),"0",""),"-","")))=(LEN(SUBSTITUTE(SUBSTITUTE(SUBSTITUTE(E41," ",""),"0",""),"-",""))+LEN(SUBSTITUTE(SUBSTITUTE(SUBSTITUTE(F41," ",""),"0",""),"-",""))))),1,0),0)+IF(OR(COUNTA(B43,C43,E43,F43)&gt;0,OR(D43="X",D43="x")),IF(OR(D43="X",D43="x",AND(OR(COUNTA(B43,C43,E43,F43)&gt;0,OR(D43="X",D43="x")),(LEN(SUBSTITUTE(SUBSTITUTE(SUBSTITUTE(B43," ",""),"0",""),"-",""))+LEN(SUBSTITUTE(SUBSTITUTE(SUBSTITUTE(C43," ",""),"0",""),"-","")))=(LEN(SUBSTITUTE(SUBSTITUTE(SUBSTITUTE(E43," ",""),"0",""),"-",""))+LEN(SUBSTITUTE(SUBSTITUTE(SUBSTITUTE(F43," ",""),"0",""),"-",""))))),1,0),0)</f>
      </c>
      <c r="E47" s="14" t="str">
        <f>LEN(SUBSTITUTE(SUBSTITUTE(SUBSTITUTE(B41," ",""),"0",""),"-",""))+LEN(SUBSTITUTE(SUBSTITUTE(SUBSTITUTE(C41," ",""),"0",""),"-",""))+LEN(SUBSTITUTE(SUBSTITUTE(SUBSTITUTE(E43," ",""),"0",""),"-",""))+LEN(SUBSTITUTE(SUBSTITUTE(SUBSTITUTE(F43," ",""),"0",""),"-",""))</f>
      </c>
      <c r="F47" s="14" t="str">
        <f>LEN(SUBSTITUTE(SUBSTITUTE(SUBSTITUTE(E41," ",""),"0",""),"-",""))+LEN(SUBSTITUTE(SUBSTITUTE(SUBSTITUTE(F41," ",""),"0",""),"-",""))+LEN(SUBSTITUTE(SUBSTITUTE(SUBSTITUTE(B43," ",""),"0",""),"-",""))+LEN(SUBSTITUTE(SUBSTITUTE(SUBSTITUTE(C43," ",""),"0",""),"-",""))</f>
      </c>
      <c r="G47" s="18" t="str">
        <f>RANK(U47,$U$46:$U$48)+COUNTIF($U$45:U46,U47)</f>
      </c>
      <c r="I47" s="14" t="str">
        <f>data!$E$56&amp;" "&amp;data!$B$56</f>
      </c>
      <c r="J47" s="14" t="str">
        <f>IF(OR(COUNTA(J41,K41,M41,N41)&gt;0,OR(L41="X",L41="x")),IF(OR(L41="X",L41="x",AND(OR(COUNTA(J41,K41,M41,N41)&gt;0,OR(L41="X",L41="x")),(LEN(SUBSTITUTE(SUBSTITUTE(SUBSTITUTE(J41," ",""),"0",""),"-",""))+LEN(SUBSTITUTE(SUBSTITUTE(SUBSTITUTE(K41," ",""),"0",""),"-","")))=(LEN(SUBSTITUTE(SUBSTITUTE(SUBSTITUTE(M41," ",""),"0",""),"-",""))+LEN(SUBSTITUTE(SUBSTITUTE(SUBSTITUTE(N41," ",""),"0",""),"-",""))))),0,(LEN(SUBSTITUTE(SUBSTITUTE(SUBSTITUTE(J41," ",""),"0",""),"-",""))+LEN(SUBSTITUTE(SUBSTITUTE(SUBSTITUTE(K41," ",""),"0",""),"-",""))&gt;LEN(SUBSTITUTE(SUBSTITUTE(SUBSTITUTE(M41," ",""),"0",""),"-",""))+LEN(SUBSTITUTE(SUBSTITUTE(SUBSTITUTE(N41," ",""),"0",""),"-","")))*1),0)+IF(OR(COUNTA(J43,K43,M43,N43)&gt;0,OR(L43="X",L43="x")),IF(OR(L43="X",L43="x",AND(OR(COUNTA(J43,K43,M43,N43)&gt;0,OR(L43="X",L43="x")),(LEN(SUBSTITUTE(SUBSTITUTE(SUBSTITUTE(J43," ",""),"0",""),"-",""))+LEN(SUBSTITUTE(SUBSTITUTE(SUBSTITUTE(K43," ",""),"0",""),"-","")))=(LEN(SUBSTITUTE(SUBSTITUTE(SUBSTITUTE(M43," ",""),"0",""),"-",""))+LEN(SUBSTITUTE(SUBSTITUTE(SUBSTITUTE(N43," ",""),"0",""),"-",""))))),0,(LEN(SUBSTITUTE(SUBSTITUTE(SUBSTITUTE(M43," ",""),"0",""),"-",""))+LEN(SUBSTITUTE(SUBSTITUTE(SUBSTITUTE(N43," ",""),"0",""),"-",""))&gt;LEN(SUBSTITUTE(SUBSTITUTE(SUBSTITUTE(J43," ",""),"0",""),"-",""))+LEN(SUBSTITUTE(SUBSTITUTE(SUBSTITUTE(K43," ",""),"0",""),"-","")))*1),0)</f>
      </c>
      <c r="K47" s="14" t="str">
        <f>IF(OR(COUNTA(J41,K41,M41,N41)&gt;0,OR(L41="X",L41="x")),IF(OR(L41="X",L41="x",AND(OR(COUNTA(J41,K41,M41,N41)&gt;0,OR(L41="X",L41="x")),(LEN(SUBSTITUTE(SUBSTITUTE(SUBSTITUTE(J41," ",""),"0",""),"-",""))+LEN(SUBSTITUTE(SUBSTITUTE(SUBSTITUTE(K41," ",""),"0",""),"-","")))=(LEN(SUBSTITUTE(SUBSTITUTE(SUBSTITUTE(M41," ",""),"0",""),"-",""))+LEN(SUBSTITUTE(SUBSTITUTE(SUBSTITUTE(N41," ",""),"0",""),"-",""))))),0,(LEN(SUBSTITUTE(SUBSTITUTE(SUBSTITUTE(J41," ",""),"0",""),"-",""))+LEN(SUBSTITUTE(SUBSTITUTE(SUBSTITUTE(K41," ",""),"0",""),"-",""))&lt;LEN(SUBSTITUTE(SUBSTITUTE(SUBSTITUTE(M41," ",""),"0",""),"-",""))+LEN(SUBSTITUTE(SUBSTITUTE(SUBSTITUTE(N41," ",""),"0",""),"-","")))*1),0)+IF(OR(COUNTA(J43,K43,M43,N43)&gt;0,OR(L43="X",L43="x")),IF(OR(L43="X",L43="x",AND(OR(COUNTA(J43,K43,M43,N43)&gt;0,OR(L43="X",L43="x")),(LEN(SUBSTITUTE(SUBSTITUTE(SUBSTITUTE(J43," ",""),"0",""),"-",""))+LEN(SUBSTITUTE(SUBSTITUTE(SUBSTITUTE(K43," ",""),"0",""),"-","")))=(LEN(SUBSTITUTE(SUBSTITUTE(SUBSTITUTE(M43," ",""),"0",""),"-",""))+LEN(SUBSTITUTE(SUBSTITUTE(SUBSTITUTE(N43," ",""),"0",""),"-",""))))),0,(LEN(SUBSTITUTE(SUBSTITUTE(SUBSTITUTE(M43," ",""),"0",""),"-",""))+LEN(SUBSTITUTE(SUBSTITUTE(SUBSTITUTE(N43," ",""),"0",""),"-",""))&lt;LEN(SUBSTITUTE(SUBSTITUTE(SUBSTITUTE(J43," ",""),"0",""),"-",""))+LEN(SUBSTITUTE(SUBSTITUTE(SUBSTITUTE(K43," ",""),"0",""),"-","")))*1),0)</f>
      </c>
      <c r="L47" s="14" t="str">
        <f>IF(OR(COUNTA(J41,K41,M41,N41)&gt;0,OR(L41="X",L41="x")),IF(OR(L41="X",L41="x",AND(OR(COUNTA(J41,K41,M41,N41)&gt;0,OR(L41="X",L41="x")),(LEN(SUBSTITUTE(SUBSTITUTE(SUBSTITUTE(J41," ",""),"0",""),"-",""))+LEN(SUBSTITUTE(SUBSTITUTE(SUBSTITUTE(K41," ",""),"0",""),"-","")))=(LEN(SUBSTITUTE(SUBSTITUTE(SUBSTITUTE(M41," ",""),"0",""),"-",""))+LEN(SUBSTITUTE(SUBSTITUTE(SUBSTITUTE(N41," ",""),"0",""),"-",""))))),1,0),0)+IF(OR(COUNTA(J43,K43,M43,N43)&gt;0,OR(L43="X",L43="x")),IF(OR(L43="X",L43="x",AND(OR(COUNTA(J43,K43,M43,N43)&gt;0,OR(L43="X",L43="x")),(LEN(SUBSTITUTE(SUBSTITUTE(SUBSTITUTE(J43," ",""),"0",""),"-",""))+LEN(SUBSTITUTE(SUBSTITUTE(SUBSTITUTE(K43," ",""),"0",""),"-","")))=(LEN(SUBSTITUTE(SUBSTITUTE(SUBSTITUTE(M43," ",""),"0",""),"-",""))+LEN(SUBSTITUTE(SUBSTITUTE(SUBSTITUTE(N43," ",""),"0",""),"-",""))))),1,0),0)</f>
      </c>
      <c r="M47" s="14" t="str">
        <f>LEN(SUBSTITUTE(SUBSTITUTE(SUBSTITUTE(J41," ",""),"0",""),"-",""))+LEN(SUBSTITUTE(SUBSTITUTE(SUBSTITUTE(K41," ",""),"0",""),"-",""))+LEN(SUBSTITUTE(SUBSTITUTE(SUBSTITUTE(M43," ",""),"0",""),"-",""))+LEN(SUBSTITUTE(SUBSTITUTE(SUBSTITUTE(N43," ",""),"0",""),"-",""))</f>
      </c>
      <c r="N47" s="14" t="str">
        <f>LEN(SUBSTITUTE(SUBSTITUTE(SUBSTITUTE(M41," ",""),"0",""),"-",""))+LEN(SUBSTITUTE(SUBSTITUTE(SUBSTITUTE(N41," ",""),"0",""),"-",""))+LEN(SUBSTITUTE(SUBSTITUTE(SUBSTITUTE(J43," ",""),"0",""),"-",""))+LEN(SUBSTITUTE(SUBSTITUTE(SUBSTITUTE(K43," ",""),"0",""),"-",""))</f>
      </c>
      <c r="O47" s="18" t="str">
        <f>RANK(AC47,$AC$46:$AC$48)+COUNTIF($AC$45:AC46,AC47)</f>
      </c>
      <c r="U47" t="str">
        <f>(B47*1000000)-(C47*10000)+(D47*100)+(E47*1)-(F47*0.01)</f>
      </c>
      <c r="AC47" t="str">
        <f>(J47*1000000)-(K47*10000)+(L47*100)+(M47*1)-(N47*0.01)</f>
      </c>
    </row>
    <row r="48">
      <c r="A48" s="14" t="str">
        <f>data!$E$12&amp;" "&amp;data!$B$12</f>
      </c>
      <c r="B48" s="14" t="str">
        <f>IF(OR(COUNTA(B42,C42,E42,F42)&gt;0,OR(D42="X",D42="x")),IF(OR(D42="X",D42="x",AND(OR(COUNTA(B42,C42,E42,F42)&gt;0,OR(D42="X",D42="x")),(LEN(SUBSTITUTE(SUBSTITUTE(SUBSTITUTE(B42," ",""),"0",""),"-",""))+LEN(SUBSTITUTE(SUBSTITUTE(SUBSTITUTE(C42," ",""),"0",""),"-","")))=(LEN(SUBSTITUTE(SUBSTITUTE(SUBSTITUTE(E42," ",""),"0",""),"-",""))+LEN(SUBSTITUTE(SUBSTITUTE(SUBSTITUTE(F42," ",""),"0",""),"-",""))))),0,(LEN(SUBSTITUTE(SUBSTITUTE(SUBSTITUTE(B42," ",""),"0",""),"-",""))+LEN(SUBSTITUTE(SUBSTITUTE(SUBSTITUTE(C42," ",""),"0",""),"-",""))&gt;LEN(SUBSTITUTE(SUBSTITUTE(SUBSTITUTE(E42," ",""),"0",""),"-",""))+LEN(SUBSTITUTE(SUBSTITUTE(SUBSTITUTE(F42," ",""),"0",""),"-","")))*1),0)+IF(OR(COUNTA(B43,C43,E43,F43)&gt;0,OR(D43="X",D43="x")),IF(OR(D43="X",D43="x",AND(OR(COUNTA(B43,C43,E43,F43)&gt;0,OR(D43="X",D43="x")),(LEN(SUBSTITUTE(SUBSTITUTE(SUBSTITUTE(B43," ",""),"0",""),"-",""))+LEN(SUBSTITUTE(SUBSTITUTE(SUBSTITUTE(C43," ",""),"0",""),"-","")))=(LEN(SUBSTITUTE(SUBSTITUTE(SUBSTITUTE(E43," ",""),"0",""),"-",""))+LEN(SUBSTITUTE(SUBSTITUTE(SUBSTITUTE(F43," ",""),"0",""),"-",""))))),0,(LEN(SUBSTITUTE(SUBSTITUTE(SUBSTITUTE(B43," ",""),"0",""),"-",""))+LEN(SUBSTITUTE(SUBSTITUTE(SUBSTITUTE(C43," ",""),"0",""),"-",""))&gt;LEN(SUBSTITUTE(SUBSTITUTE(SUBSTITUTE(E43," ",""),"0",""),"-",""))+LEN(SUBSTITUTE(SUBSTITUTE(SUBSTITUTE(F43," ",""),"0",""),"-","")))*1),0)</f>
      </c>
      <c r="C48" s="14" t="str">
        <f>IF(OR(COUNTA(B42,C42,E42,F42)&gt;0,OR(D42="X",D42="x")),IF(OR(D42="X",D42="x",AND(OR(COUNTA(B42,C42,E42,F42)&gt;0,OR(D42="X",D42="x")),(LEN(SUBSTITUTE(SUBSTITUTE(SUBSTITUTE(B42," ",""),"0",""),"-",""))+LEN(SUBSTITUTE(SUBSTITUTE(SUBSTITUTE(C42," ",""),"0",""),"-","")))=(LEN(SUBSTITUTE(SUBSTITUTE(SUBSTITUTE(E42," ",""),"0",""),"-",""))+LEN(SUBSTITUTE(SUBSTITUTE(SUBSTITUTE(F42," ",""),"0",""),"-",""))))),0,(LEN(SUBSTITUTE(SUBSTITUTE(SUBSTITUTE(B42," ",""),"0",""),"-",""))+LEN(SUBSTITUTE(SUBSTITUTE(SUBSTITUTE(C42," ",""),"0",""),"-",""))&lt;LEN(SUBSTITUTE(SUBSTITUTE(SUBSTITUTE(E42," ",""),"0",""),"-",""))+LEN(SUBSTITUTE(SUBSTITUTE(SUBSTITUTE(F42," ",""),"0",""),"-","")))*1),0)+IF(OR(COUNTA(B43,C43,E43,F43)&gt;0,OR(D43="X",D43="x")),IF(OR(D43="X",D43="x",AND(OR(COUNTA(B43,C43,E43,F43)&gt;0,OR(D43="X",D43="x")),(LEN(SUBSTITUTE(SUBSTITUTE(SUBSTITUTE(B43," ",""),"0",""),"-",""))+LEN(SUBSTITUTE(SUBSTITUTE(SUBSTITUTE(C43," ",""),"0",""),"-","")))=(LEN(SUBSTITUTE(SUBSTITUTE(SUBSTITUTE(E43," ",""),"0",""),"-",""))+LEN(SUBSTITUTE(SUBSTITUTE(SUBSTITUTE(F43," ",""),"0",""),"-",""))))),0,(LEN(SUBSTITUTE(SUBSTITUTE(SUBSTITUTE(B43," ",""),"0",""),"-",""))+LEN(SUBSTITUTE(SUBSTITUTE(SUBSTITUTE(C43," ",""),"0",""),"-",""))&lt;LEN(SUBSTITUTE(SUBSTITUTE(SUBSTITUTE(E43," ",""),"0",""),"-",""))+LEN(SUBSTITUTE(SUBSTITUTE(SUBSTITUTE(F43," ",""),"0",""),"-","")))*1),0)</f>
      </c>
      <c r="D48" s="14" t="str">
        <f>IF(OR(COUNTA(B42,C42,E42,F42)&gt;0,OR(D42="X",D42="x")),IF(OR(D42="X",D42="x",AND(OR(COUNTA(B42,C42,E42,F42)&gt;0,OR(D42="X",D42="x")),(LEN(SUBSTITUTE(SUBSTITUTE(SUBSTITUTE(B42," ",""),"0",""),"-",""))+LEN(SUBSTITUTE(SUBSTITUTE(SUBSTITUTE(C42," ",""),"0",""),"-","")))=(LEN(SUBSTITUTE(SUBSTITUTE(SUBSTITUTE(E42," ",""),"0",""),"-",""))+LEN(SUBSTITUTE(SUBSTITUTE(SUBSTITUTE(F42," ",""),"0",""),"-",""))))),1,0),0)+IF(OR(COUNTA(B43,C43,E43,F43)&gt;0,OR(D43="X",D43="x")),IF(OR(D43="X",D43="x",AND(OR(COUNTA(B43,C43,E43,F43)&gt;0,OR(D43="X",D43="x")),(LEN(SUBSTITUTE(SUBSTITUTE(SUBSTITUTE(B43," ",""),"0",""),"-",""))+LEN(SUBSTITUTE(SUBSTITUTE(SUBSTITUTE(C43," ",""),"0",""),"-","")))=(LEN(SUBSTITUTE(SUBSTITUTE(SUBSTITUTE(E43," ",""),"0",""),"-",""))+LEN(SUBSTITUTE(SUBSTITUTE(SUBSTITUTE(F43," ",""),"0",""),"-",""))))),1,0),0)</f>
      </c>
      <c r="E48" s="14" t="str">
        <f>LEN(SUBSTITUTE(SUBSTITUTE(SUBSTITUTE(B42," ",""),"0",""),"-",""))+LEN(SUBSTITUTE(SUBSTITUTE(SUBSTITUTE(C42," ",""),"0",""),"-",""))+LEN(SUBSTITUTE(SUBSTITUTE(SUBSTITUTE(B43," ",""),"0",""),"-",""))+LEN(SUBSTITUTE(SUBSTITUTE(SUBSTITUTE(C43," ",""),"0",""),"-",""))</f>
      </c>
      <c r="F48" s="14" t="str">
        <f>LEN(SUBSTITUTE(SUBSTITUTE(SUBSTITUTE(E42," ",""),"0",""),"-",""))+LEN(SUBSTITUTE(SUBSTITUTE(SUBSTITUTE(F42," ",""),"0",""),"-",""))+LEN(SUBSTITUTE(SUBSTITUTE(SUBSTITUTE(E43," ",""),"0",""),"-",""))+LEN(SUBSTITUTE(SUBSTITUTE(SUBSTITUTE(F43," ",""),"0",""),"-",""))</f>
      </c>
      <c r="G48" s="18" t="str">
        <f>RANK(U48,$U$46:$U$48)+COUNTIF($U$45:U47,U48)</f>
      </c>
      <c r="I48" s="14" t="str">
        <f>data!$E$57&amp;" "&amp;data!$B$57</f>
      </c>
      <c r="J48" s="14" t="str">
        <f>IF(OR(COUNTA(J42,K42,M42,N42)&gt;0,OR(L42="X",L42="x")),IF(OR(L42="X",L42="x",AND(OR(COUNTA(J42,K42,M42,N42)&gt;0,OR(L42="X",L42="x")),(LEN(SUBSTITUTE(SUBSTITUTE(SUBSTITUTE(J42," ",""),"0",""),"-",""))+LEN(SUBSTITUTE(SUBSTITUTE(SUBSTITUTE(K42," ",""),"0",""),"-","")))=(LEN(SUBSTITUTE(SUBSTITUTE(SUBSTITUTE(M42," ",""),"0",""),"-",""))+LEN(SUBSTITUTE(SUBSTITUTE(SUBSTITUTE(N42," ",""),"0",""),"-",""))))),0,(LEN(SUBSTITUTE(SUBSTITUTE(SUBSTITUTE(J42," ",""),"0",""),"-",""))+LEN(SUBSTITUTE(SUBSTITUTE(SUBSTITUTE(K42," ",""),"0",""),"-",""))&gt;LEN(SUBSTITUTE(SUBSTITUTE(SUBSTITUTE(M42," ",""),"0",""),"-",""))+LEN(SUBSTITUTE(SUBSTITUTE(SUBSTITUTE(N42," ",""),"0",""),"-","")))*1),0)+IF(OR(COUNTA(J43,K43,M43,N43)&gt;0,OR(L43="X",L43="x")),IF(OR(L43="X",L43="x",AND(OR(COUNTA(J43,K43,M43,N43)&gt;0,OR(L43="X",L43="x")),(LEN(SUBSTITUTE(SUBSTITUTE(SUBSTITUTE(J43," ",""),"0",""),"-",""))+LEN(SUBSTITUTE(SUBSTITUTE(SUBSTITUTE(K43," ",""),"0",""),"-","")))=(LEN(SUBSTITUTE(SUBSTITUTE(SUBSTITUTE(M43," ",""),"0",""),"-",""))+LEN(SUBSTITUTE(SUBSTITUTE(SUBSTITUTE(N43," ",""),"0",""),"-",""))))),0,(LEN(SUBSTITUTE(SUBSTITUTE(SUBSTITUTE(J43," ",""),"0",""),"-",""))+LEN(SUBSTITUTE(SUBSTITUTE(SUBSTITUTE(K43," ",""),"0",""),"-",""))&gt;LEN(SUBSTITUTE(SUBSTITUTE(SUBSTITUTE(M43," ",""),"0",""),"-",""))+LEN(SUBSTITUTE(SUBSTITUTE(SUBSTITUTE(N43," ",""),"0",""),"-","")))*1),0)</f>
      </c>
      <c r="K48" s="14" t="str">
        <f>IF(OR(COUNTA(J42,K42,M42,N42)&gt;0,OR(L42="X",L42="x")),IF(OR(L42="X",L42="x",AND(OR(COUNTA(J42,K42,M42,N42)&gt;0,OR(L42="X",L42="x")),(LEN(SUBSTITUTE(SUBSTITUTE(SUBSTITUTE(J42," ",""),"0",""),"-",""))+LEN(SUBSTITUTE(SUBSTITUTE(SUBSTITUTE(K42," ",""),"0",""),"-","")))=(LEN(SUBSTITUTE(SUBSTITUTE(SUBSTITUTE(M42," ",""),"0",""),"-",""))+LEN(SUBSTITUTE(SUBSTITUTE(SUBSTITUTE(N42," ",""),"0",""),"-",""))))),0,(LEN(SUBSTITUTE(SUBSTITUTE(SUBSTITUTE(J42," ",""),"0",""),"-",""))+LEN(SUBSTITUTE(SUBSTITUTE(SUBSTITUTE(K42," ",""),"0",""),"-",""))&lt;LEN(SUBSTITUTE(SUBSTITUTE(SUBSTITUTE(M42," ",""),"0",""),"-",""))+LEN(SUBSTITUTE(SUBSTITUTE(SUBSTITUTE(N42," ",""),"0",""),"-","")))*1),0)+IF(OR(COUNTA(J43,K43,M43,N43)&gt;0,OR(L43="X",L43="x")),IF(OR(L43="X",L43="x",AND(OR(COUNTA(J43,K43,M43,N43)&gt;0,OR(L43="X",L43="x")),(LEN(SUBSTITUTE(SUBSTITUTE(SUBSTITUTE(J43," ",""),"0",""),"-",""))+LEN(SUBSTITUTE(SUBSTITUTE(SUBSTITUTE(K43," ",""),"0",""),"-","")))=(LEN(SUBSTITUTE(SUBSTITUTE(SUBSTITUTE(M43," ",""),"0",""),"-",""))+LEN(SUBSTITUTE(SUBSTITUTE(SUBSTITUTE(N43," ",""),"0",""),"-",""))))),0,(LEN(SUBSTITUTE(SUBSTITUTE(SUBSTITUTE(J43," ",""),"0",""),"-",""))+LEN(SUBSTITUTE(SUBSTITUTE(SUBSTITUTE(K43," ",""),"0",""),"-",""))&lt;LEN(SUBSTITUTE(SUBSTITUTE(SUBSTITUTE(M43," ",""),"0",""),"-",""))+LEN(SUBSTITUTE(SUBSTITUTE(SUBSTITUTE(N43," ",""),"0",""),"-","")))*1),0)</f>
      </c>
      <c r="L48" s="14" t="str">
        <f>IF(OR(COUNTA(J42,K42,M42,N42)&gt;0,OR(L42="X",L42="x")),IF(OR(L42="X",L42="x",AND(OR(COUNTA(J42,K42,M42,N42)&gt;0,OR(L42="X",L42="x")),(LEN(SUBSTITUTE(SUBSTITUTE(SUBSTITUTE(J42," ",""),"0",""),"-",""))+LEN(SUBSTITUTE(SUBSTITUTE(SUBSTITUTE(K42," ",""),"0",""),"-","")))=(LEN(SUBSTITUTE(SUBSTITUTE(SUBSTITUTE(M42," ",""),"0",""),"-",""))+LEN(SUBSTITUTE(SUBSTITUTE(SUBSTITUTE(N42," ",""),"0",""),"-",""))))),1,0),0)+IF(OR(COUNTA(J43,K43,M43,N43)&gt;0,OR(L43="X",L43="x")),IF(OR(L43="X",L43="x",AND(OR(COUNTA(J43,K43,M43,N43)&gt;0,OR(L43="X",L43="x")),(LEN(SUBSTITUTE(SUBSTITUTE(SUBSTITUTE(J43," ",""),"0",""),"-",""))+LEN(SUBSTITUTE(SUBSTITUTE(SUBSTITUTE(K43," ",""),"0",""),"-","")))=(LEN(SUBSTITUTE(SUBSTITUTE(SUBSTITUTE(M43," ",""),"0",""),"-",""))+LEN(SUBSTITUTE(SUBSTITUTE(SUBSTITUTE(N43," ",""),"0",""),"-",""))))),1,0),0)</f>
      </c>
      <c r="M48" s="14" t="str">
        <f>LEN(SUBSTITUTE(SUBSTITUTE(SUBSTITUTE(J42," ",""),"0",""),"-",""))+LEN(SUBSTITUTE(SUBSTITUTE(SUBSTITUTE(K42," ",""),"0",""),"-",""))+LEN(SUBSTITUTE(SUBSTITUTE(SUBSTITUTE(J43," ",""),"0",""),"-",""))+LEN(SUBSTITUTE(SUBSTITUTE(SUBSTITUTE(K43," ",""),"0",""),"-",""))</f>
      </c>
      <c r="N48" s="14" t="str">
        <f>LEN(SUBSTITUTE(SUBSTITUTE(SUBSTITUTE(M42," ",""),"0",""),"-",""))+LEN(SUBSTITUTE(SUBSTITUTE(SUBSTITUTE(N42," ",""),"0",""),"-",""))+LEN(SUBSTITUTE(SUBSTITUTE(SUBSTITUTE(M43," ",""),"0",""),"-",""))+LEN(SUBSTITUTE(SUBSTITUTE(SUBSTITUTE(N43," ",""),"0",""),"-",""))</f>
      </c>
      <c r="O48" s="18" t="str">
        <f>RANK(AC48,$AC$46:$AC$48)+COUNTIF($AC$45:AC47,AC48)</f>
      </c>
      <c r="U48" t="str">
        <f>(B48*1000000)-(C48*10000)+(D48*100)+(E48*1)-(F48*0.01)</f>
      </c>
      <c r="AC48" t="str">
        <f>(J48*1000000)-(K48*10000)+(L48*100)+(M48*1)-(N48*0.01)</f>
      </c>
    </row>
    <row r="51">
      <c r="F51" s="13"/>
      <c r="G51" s="13" t="s">
        <v>340</v>
      </c>
      <c r="N51" s="13"/>
      <c r="O51" s="13" t="s">
        <v>340</v>
      </c>
    </row>
    <row r="52">
      <c r="F52" t="s">
        <v>341</v>
      </c>
      <c r="G52" s="19" t="str">
        <f>IFERROR(INDEX($A$46:$A$48, MATCH(1, $G$46:$G$48, 0)), "-")</f>
      </c>
      <c r="N52" t="s">
        <v>341</v>
      </c>
      <c r="O52" s="19" t="str">
        <f>IFERROR(INDEX($I$46:$I$48, MATCH(1, $O$46:$O$48, 0)), "-")</f>
      </c>
    </row>
    <row r="53">
      <c r="F53" t="s">
        <v>342</v>
      </c>
      <c r="G53" s="19" t="str">
        <f>IFERROR(INDEX($A$46:$A$48, MATCH(2, $G$46:$G$48, 0)), "-")</f>
      </c>
      <c r="N53" t="s">
        <v>342</v>
      </c>
      <c r="O53" s="19" t="str">
        <f>IFERROR(INDEX($I$46:$I$48, MATCH(2, $O$46:$O$48, 0)), "-")</f>
      </c>
    </row>
    <row r="54">
      <c r="F54" t="s">
        <v>343</v>
      </c>
      <c r="G54" s="19" t="str">
        <f>IFERROR(INDEX($A$46:$A$48, MATCH(3, $G$46:$G$48, 0)), "-")</f>
      </c>
      <c r="N54" t="s">
        <v>343</v>
      </c>
      <c r="O54" s="19" t="str">
        <f>IFERROR(INDEX($I$46:$I$48, MATCH(3, $O$46:$O$48, 0)), "-")</f>
      </c>
    </row>
    <row r="56">
      <c r="A56" s="13" t="str">
        <f>'data'!$A$15</f>
      </c>
      <c r="B56" s="13"/>
      <c r="C56" s="13"/>
      <c r="D56" s="13"/>
      <c r="E56" s="13"/>
      <c r="F56" s="13"/>
      <c r="G56" s="13"/>
      <c r="I56" s="13" t="str">
        <f>'data'!$A$60</f>
      </c>
      <c r="J56" s="13"/>
      <c r="K56" s="13"/>
      <c r="L56" s="13"/>
      <c r="M56" s="13"/>
      <c r="N56" s="13"/>
      <c r="O56" s="13"/>
    </row>
    <row r="57">
      <c r="A57" s="17" t="s">
        <v>330</v>
      </c>
      <c r="D57" s="14" t="s">
        <v>331</v>
      </c>
      <c r="G57" s="16" t="s">
        <v>332</v>
      </c>
      <c r="I57" s="17" t="s">
        <v>330</v>
      </c>
      <c r="L57" s="14" t="s">
        <v>331</v>
      </c>
      <c r="O57" s="16" t="s">
        <v>332</v>
      </c>
    </row>
    <row r="58">
      <c r="A58" s="14" t="str">
        <f>data!$E$14&amp;" "&amp;data!$B$14</f>
      </c>
      <c r="B58" s="18"/>
      <c r="C58" s="18"/>
      <c r="D58" s="18"/>
      <c r="E58" s="18"/>
      <c r="F58" s="18"/>
      <c r="G58" s="14" t="str">
        <f>data!$E$13&amp;" "&amp;data!$B$13</f>
      </c>
      <c r="I58" s="14" t="str">
        <f>data!$E$59&amp;" "&amp;data!$B$59</f>
      </c>
      <c r="J58" s="18"/>
      <c r="K58" s="18"/>
      <c r="L58" s="18"/>
      <c r="M58" s="18"/>
      <c r="N58" s="18"/>
      <c r="O58" s="14" t="str">
        <f>data!$E$58&amp;" "&amp;data!$B$58</f>
      </c>
    </row>
    <row r="59">
      <c r="A59" s="14" t="str">
        <f>data!$E$15&amp;" "&amp;data!$B$15</f>
      </c>
      <c r="B59" s="18"/>
      <c r="C59" s="18"/>
      <c r="D59" s="18"/>
      <c r="E59" s="18"/>
      <c r="F59" s="18"/>
      <c r="G59" s="14" t="str">
        <f>data!$E$13&amp;" "&amp;data!$B$13</f>
      </c>
      <c r="I59" s="14" t="str">
        <f>data!$E$60&amp;" "&amp;data!$B$60</f>
      </c>
      <c r="J59" s="18"/>
      <c r="K59" s="18"/>
      <c r="L59" s="18"/>
      <c r="M59" s="18"/>
      <c r="N59" s="18"/>
      <c r="O59" s="14" t="str">
        <f>data!$E$58&amp;" "&amp;data!$B$58</f>
      </c>
    </row>
    <row r="60">
      <c r="A60" s="14" t="str">
        <f>data!$E$15&amp;" "&amp;data!$B$15</f>
      </c>
      <c r="B60" s="18"/>
      <c r="C60" s="18"/>
      <c r="D60" s="18"/>
      <c r="E60" s="18"/>
      <c r="F60" s="18"/>
      <c r="G60" s="14" t="str">
        <f>data!$E$14&amp;" "&amp;data!$B$14</f>
      </c>
      <c r="I60" s="14" t="str">
        <f>data!$E$60&amp;" "&amp;data!$B$60</f>
      </c>
      <c r="J60" s="18"/>
      <c r="K60" s="18"/>
      <c r="L60" s="18"/>
      <c r="M60" s="18"/>
      <c r="N60" s="18"/>
      <c r="O60" s="14" t="str">
        <f>data!$E$59&amp;" "&amp;data!$B$59</f>
      </c>
    </row>
    <row r="62">
      <c r="A62" s="13" t="s">
        <v>333</v>
      </c>
      <c r="B62" s="13" t="s">
        <v>334</v>
      </c>
      <c r="C62" s="13" t="s">
        <v>335</v>
      </c>
      <c r="D62" s="13" t="s">
        <v>336</v>
      </c>
      <c r="E62" s="13" t="s">
        <v>337</v>
      </c>
      <c r="F62" s="13" t="s">
        <v>338</v>
      </c>
      <c r="G62" s="13" t="s">
        <v>339</v>
      </c>
      <c r="I62" s="13" t="s">
        <v>333</v>
      </c>
      <c r="J62" s="13" t="s">
        <v>334</v>
      </c>
      <c r="K62" s="13" t="s">
        <v>335</v>
      </c>
      <c r="L62" s="13" t="s">
        <v>336</v>
      </c>
      <c r="M62" s="13" t="s">
        <v>337</v>
      </c>
      <c r="N62" s="13" t="s">
        <v>338</v>
      </c>
      <c r="O62" s="13" t="s">
        <v>339</v>
      </c>
    </row>
    <row r="63">
      <c r="A63" s="14" t="str">
        <f>data!$E$13&amp;" "&amp;data!$B$13</f>
      </c>
      <c r="B63" s="14" t="str">
        <f>IF(OR(COUNTA(B58,C58,E58,F58)&gt;0,OR(D58="X",D58="x")),IF(OR(D58="X",D58="x",AND(OR(COUNTA(B58,C58,E58,F58)&gt;0,OR(D58="X",D58="x")),(LEN(SUBSTITUTE(SUBSTITUTE(SUBSTITUTE(B58," ",""),"0",""),"-",""))+LEN(SUBSTITUTE(SUBSTITUTE(SUBSTITUTE(C58," ",""),"0",""),"-","")))=(LEN(SUBSTITUTE(SUBSTITUTE(SUBSTITUTE(E58," ",""),"0",""),"-",""))+LEN(SUBSTITUTE(SUBSTITUTE(SUBSTITUTE(F58," ",""),"0",""),"-",""))))),0,(LEN(SUBSTITUTE(SUBSTITUTE(SUBSTITUTE(E58," ",""),"0",""),"-",""))+LEN(SUBSTITUTE(SUBSTITUTE(SUBSTITUTE(F58," ",""),"0",""),"-",""))&gt;LEN(SUBSTITUTE(SUBSTITUTE(SUBSTITUTE(B58," ",""),"0",""),"-",""))+LEN(SUBSTITUTE(SUBSTITUTE(SUBSTITUTE(C58," ",""),"0",""),"-","")))*1),0)+IF(OR(COUNTA(B59,C59,E59,F59)&gt;0,OR(D59="X",D59="x")),IF(OR(D59="X",D59="x",AND(OR(COUNTA(B59,C59,E59,F59)&gt;0,OR(D59="X",D59="x")),(LEN(SUBSTITUTE(SUBSTITUTE(SUBSTITUTE(B59," ",""),"0",""),"-",""))+LEN(SUBSTITUTE(SUBSTITUTE(SUBSTITUTE(C59," ",""),"0",""),"-","")))=(LEN(SUBSTITUTE(SUBSTITUTE(SUBSTITUTE(E59," ",""),"0",""),"-",""))+LEN(SUBSTITUTE(SUBSTITUTE(SUBSTITUTE(F59," ",""),"0",""),"-",""))))),0,(LEN(SUBSTITUTE(SUBSTITUTE(SUBSTITUTE(E59," ",""),"0",""),"-",""))+LEN(SUBSTITUTE(SUBSTITUTE(SUBSTITUTE(F59," ",""),"0",""),"-",""))&gt;LEN(SUBSTITUTE(SUBSTITUTE(SUBSTITUTE(B59," ",""),"0",""),"-",""))+LEN(SUBSTITUTE(SUBSTITUTE(SUBSTITUTE(C59," ",""),"0",""),"-","")))*1),0)</f>
      </c>
      <c r="C63" s="14" t="str">
        <f>IF(OR(COUNTA(B58,C58,E58,F58)&gt;0,OR(D58="X",D58="x")),IF(OR(D58="X",D58="x",AND(OR(COUNTA(B58,C58,E58,F58)&gt;0,OR(D58="X",D58="x")),(LEN(SUBSTITUTE(SUBSTITUTE(SUBSTITUTE(B58," ",""),"0",""),"-",""))+LEN(SUBSTITUTE(SUBSTITUTE(SUBSTITUTE(C58," ",""),"0",""),"-","")))=(LEN(SUBSTITUTE(SUBSTITUTE(SUBSTITUTE(E58," ",""),"0",""),"-",""))+LEN(SUBSTITUTE(SUBSTITUTE(SUBSTITUTE(F58," ",""),"0",""),"-",""))))),0,(LEN(SUBSTITUTE(SUBSTITUTE(SUBSTITUTE(E58," ",""),"0",""),"-",""))+LEN(SUBSTITUTE(SUBSTITUTE(SUBSTITUTE(F58," ",""),"0",""),"-",""))&lt;LEN(SUBSTITUTE(SUBSTITUTE(SUBSTITUTE(B58," ",""),"0",""),"-",""))+LEN(SUBSTITUTE(SUBSTITUTE(SUBSTITUTE(C58," ",""),"0",""),"-","")))*1),0)+IF(OR(COUNTA(B59,C59,E59,F59)&gt;0,OR(D59="X",D59="x")),IF(OR(D59="X",D59="x",AND(OR(COUNTA(B59,C59,E59,F59)&gt;0,OR(D59="X",D59="x")),(LEN(SUBSTITUTE(SUBSTITUTE(SUBSTITUTE(B59," ",""),"0",""),"-",""))+LEN(SUBSTITUTE(SUBSTITUTE(SUBSTITUTE(C59," ",""),"0",""),"-","")))=(LEN(SUBSTITUTE(SUBSTITUTE(SUBSTITUTE(E59," ",""),"0",""),"-",""))+LEN(SUBSTITUTE(SUBSTITUTE(SUBSTITUTE(F59," ",""),"0",""),"-",""))))),0,(LEN(SUBSTITUTE(SUBSTITUTE(SUBSTITUTE(E59," ",""),"0",""),"-",""))+LEN(SUBSTITUTE(SUBSTITUTE(SUBSTITUTE(F59," ",""),"0",""),"-",""))&lt;LEN(SUBSTITUTE(SUBSTITUTE(SUBSTITUTE(B59," ",""),"0",""),"-",""))+LEN(SUBSTITUTE(SUBSTITUTE(SUBSTITUTE(C59," ",""),"0",""),"-","")))*1),0)</f>
      </c>
      <c r="D63" s="14" t="str">
        <f>IF(OR(COUNTA(B58,C58,E58,F58)&gt;0,OR(D58="X",D58="x")),IF(OR(D58="X",D58="x",AND(OR(COUNTA(B58,C58,E58,F58)&gt;0,OR(D58="X",D58="x")),(LEN(SUBSTITUTE(SUBSTITUTE(SUBSTITUTE(B58," ",""),"0",""),"-",""))+LEN(SUBSTITUTE(SUBSTITUTE(SUBSTITUTE(C58," ",""),"0",""),"-","")))=(LEN(SUBSTITUTE(SUBSTITUTE(SUBSTITUTE(E58," ",""),"0",""),"-",""))+LEN(SUBSTITUTE(SUBSTITUTE(SUBSTITUTE(F58," ",""),"0",""),"-",""))))),1,0),0)+IF(OR(COUNTA(B59,C59,E59,F59)&gt;0,OR(D59="X",D59="x")),IF(OR(D59="X",D59="x",AND(OR(COUNTA(B59,C59,E59,F59)&gt;0,OR(D59="X",D59="x")),(LEN(SUBSTITUTE(SUBSTITUTE(SUBSTITUTE(B59," ",""),"0",""),"-",""))+LEN(SUBSTITUTE(SUBSTITUTE(SUBSTITUTE(C59," ",""),"0",""),"-","")))=(LEN(SUBSTITUTE(SUBSTITUTE(SUBSTITUTE(E59," ",""),"0",""),"-",""))+LEN(SUBSTITUTE(SUBSTITUTE(SUBSTITUTE(F59," ",""),"0",""),"-",""))))),1,0),0)</f>
      </c>
      <c r="E63" s="14" t="str">
        <f>LEN(SUBSTITUTE(SUBSTITUTE(SUBSTITUTE(E58," ",""),"0",""),"-",""))+LEN(SUBSTITUTE(SUBSTITUTE(SUBSTITUTE(F58," ",""),"0",""),"-",""))+LEN(SUBSTITUTE(SUBSTITUTE(SUBSTITUTE(E59," ",""),"0",""),"-",""))+LEN(SUBSTITUTE(SUBSTITUTE(SUBSTITUTE(F59," ",""),"0",""),"-",""))</f>
      </c>
      <c r="F63" s="14" t="str">
        <f>LEN(SUBSTITUTE(SUBSTITUTE(SUBSTITUTE(B58," ",""),"0",""),"-",""))+LEN(SUBSTITUTE(SUBSTITUTE(SUBSTITUTE(C58," ",""),"0",""),"-",""))+LEN(SUBSTITUTE(SUBSTITUTE(SUBSTITUTE(B59," ",""),"0",""),"-",""))+LEN(SUBSTITUTE(SUBSTITUTE(SUBSTITUTE(C59," ",""),"0",""),"-",""))</f>
      </c>
      <c r="G63" s="18" t="str">
        <f>RANK(U63,$U$63:$U$65)+COUNTIF($U$62:U62,U63)</f>
      </c>
      <c r="I63" s="14" t="str">
        <f>data!$E$58&amp;" "&amp;data!$B$58</f>
      </c>
      <c r="J63" s="14" t="str">
        <f>IF(OR(COUNTA(J58,K58,M58,N58)&gt;0,OR(L58="X",L58="x")),IF(OR(L58="X",L58="x",AND(OR(COUNTA(J58,K58,M58,N58)&gt;0,OR(L58="X",L58="x")),(LEN(SUBSTITUTE(SUBSTITUTE(SUBSTITUTE(J58," ",""),"0",""),"-",""))+LEN(SUBSTITUTE(SUBSTITUTE(SUBSTITUTE(K58," ",""),"0",""),"-","")))=(LEN(SUBSTITUTE(SUBSTITUTE(SUBSTITUTE(M58," ",""),"0",""),"-",""))+LEN(SUBSTITUTE(SUBSTITUTE(SUBSTITUTE(N58," ",""),"0",""),"-",""))))),0,(LEN(SUBSTITUTE(SUBSTITUTE(SUBSTITUTE(M58," ",""),"0",""),"-",""))+LEN(SUBSTITUTE(SUBSTITUTE(SUBSTITUTE(N58," ",""),"0",""),"-",""))&gt;LEN(SUBSTITUTE(SUBSTITUTE(SUBSTITUTE(J58," ",""),"0",""),"-",""))+LEN(SUBSTITUTE(SUBSTITUTE(SUBSTITUTE(K58," ",""),"0",""),"-","")))*1),0)+IF(OR(COUNTA(J59,K59,M59,N59)&gt;0,OR(L59="X",L59="x")),IF(OR(L59="X",L59="x",AND(OR(COUNTA(J59,K59,M59,N59)&gt;0,OR(L59="X",L59="x")),(LEN(SUBSTITUTE(SUBSTITUTE(SUBSTITUTE(J59," ",""),"0",""),"-",""))+LEN(SUBSTITUTE(SUBSTITUTE(SUBSTITUTE(K59," ",""),"0",""),"-","")))=(LEN(SUBSTITUTE(SUBSTITUTE(SUBSTITUTE(M59," ",""),"0",""),"-",""))+LEN(SUBSTITUTE(SUBSTITUTE(SUBSTITUTE(N59," ",""),"0",""),"-",""))))),0,(LEN(SUBSTITUTE(SUBSTITUTE(SUBSTITUTE(M59," ",""),"0",""),"-",""))+LEN(SUBSTITUTE(SUBSTITUTE(SUBSTITUTE(N59," ",""),"0",""),"-",""))&gt;LEN(SUBSTITUTE(SUBSTITUTE(SUBSTITUTE(J59," ",""),"0",""),"-",""))+LEN(SUBSTITUTE(SUBSTITUTE(SUBSTITUTE(K59," ",""),"0",""),"-","")))*1),0)</f>
      </c>
      <c r="K63" s="14" t="str">
        <f>IF(OR(COUNTA(J58,K58,M58,N58)&gt;0,OR(L58="X",L58="x")),IF(OR(L58="X",L58="x",AND(OR(COUNTA(J58,K58,M58,N58)&gt;0,OR(L58="X",L58="x")),(LEN(SUBSTITUTE(SUBSTITUTE(SUBSTITUTE(J58," ",""),"0",""),"-",""))+LEN(SUBSTITUTE(SUBSTITUTE(SUBSTITUTE(K58," ",""),"0",""),"-","")))=(LEN(SUBSTITUTE(SUBSTITUTE(SUBSTITUTE(M58," ",""),"0",""),"-",""))+LEN(SUBSTITUTE(SUBSTITUTE(SUBSTITUTE(N58," ",""),"0",""),"-",""))))),0,(LEN(SUBSTITUTE(SUBSTITUTE(SUBSTITUTE(M58," ",""),"0",""),"-",""))+LEN(SUBSTITUTE(SUBSTITUTE(SUBSTITUTE(N58," ",""),"0",""),"-",""))&lt;LEN(SUBSTITUTE(SUBSTITUTE(SUBSTITUTE(J58," ",""),"0",""),"-",""))+LEN(SUBSTITUTE(SUBSTITUTE(SUBSTITUTE(K58," ",""),"0",""),"-","")))*1),0)+IF(OR(COUNTA(J59,K59,M59,N59)&gt;0,OR(L59="X",L59="x")),IF(OR(L59="X",L59="x",AND(OR(COUNTA(J59,K59,M59,N59)&gt;0,OR(L59="X",L59="x")),(LEN(SUBSTITUTE(SUBSTITUTE(SUBSTITUTE(J59," ",""),"0",""),"-",""))+LEN(SUBSTITUTE(SUBSTITUTE(SUBSTITUTE(K59," ",""),"0",""),"-","")))=(LEN(SUBSTITUTE(SUBSTITUTE(SUBSTITUTE(M59," ",""),"0",""),"-",""))+LEN(SUBSTITUTE(SUBSTITUTE(SUBSTITUTE(N59," ",""),"0",""),"-",""))))),0,(LEN(SUBSTITUTE(SUBSTITUTE(SUBSTITUTE(M59," ",""),"0",""),"-",""))+LEN(SUBSTITUTE(SUBSTITUTE(SUBSTITUTE(N59," ",""),"0",""),"-",""))&lt;LEN(SUBSTITUTE(SUBSTITUTE(SUBSTITUTE(J59," ",""),"0",""),"-",""))+LEN(SUBSTITUTE(SUBSTITUTE(SUBSTITUTE(K59," ",""),"0",""),"-","")))*1),0)</f>
      </c>
      <c r="L63" s="14" t="str">
        <f>IF(OR(COUNTA(J58,K58,M58,N58)&gt;0,OR(L58="X",L58="x")),IF(OR(L58="X",L58="x",AND(OR(COUNTA(J58,K58,M58,N58)&gt;0,OR(L58="X",L58="x")),(LEN(SUBSTITUTE(SUBSTITUTE(SUBSTITUTE(J58," ",""),"0",""),"-",""))+LEN(SUBSTITUTE(SUBSTITUTE(SUBSTITUTE(K58," ",""),"0",""),"-","")))=(LEN(SUBSTITUTE(SUBSTITUTE(SUBSTITUTE(M58," ",""),"0",""),"-",""))+LEN(SUBSTITUTE(SUBSTITUTE(SUBSTITUTE(N58," ",""),"0",""),"-",""))))),1,0),0)+IF(OR(COUNTA(J59,K59,M59,N59)&gt;0,OR(L59="X",L59="x")),IF(OR(L59="X",L59="x",AND(OR(COUNTA(J59,K59,M59,N59)&gt;0,OR(L59="X",L59="x")),(LEN(SUBSTITUTE(SUBSTITUTE(SUBSTITUTE(J59," ",""),"0",""),"-",""))+LEN(SUBSTITUTE(SUBSTITUTE(SUBSTITUTE(K59," ",""),"0",""),"-","")))=(LEN(SUBSTITUTE(SUBSTITUTE(SUBSTITUTE(M59," ",""),"0",""),"-",""))+LEN(SUBSTITUTE(SUBSTITUTE(SUBSTITUTE(N59," ",""),"0",""),"-",""))))),1,0),0)</f>
      </c>
      <c r="M63" s="14" t="str">
        <f>LEN(SUBSTITUTE(SUBSTITUTE(SUBSTITUTE(M58," ",""),"0",""),"-",""))+LEN(SUBSTITUTE(SUBSTITUTE(SUBSTITUTE(N58," ",""),"0",""),"-",""))+LEN(SUBSTITUTE(SUBSTITUTE(SUBSTITUTE(M59," ",""),"0",""),"-",""))+LEN(SUBSTITUTE(SUBSTITUTE(SUBSTITUTE(N59," ",""),"0",""),"-",""))</f>
      </c>
      <c r="N63" s="14" t="str">
        <f>LEN(SUBSTITUTE(SUBSTITUTE(SUBSTITUTE(J58," ",""),"0",""),"-",""))+LEN(SUBSTITUTE(SUBSTITUTE(SUBSTITUTE(K58," ",""),"0",""),"-",""))+LEN(SUBSTITUTE(SUBSTITUTE(SUBSTITUTE(J59," ",""),"0",""),"-",""))+LEN(SUBSTITUTE(SUBSTITUTE(SUBSTITUTE(K59," ",""),"0",""),"-",""))</f>
      </c>
      <c r="O63" s="18" t="str">
        <f>RANK(AC63,$AC$63:$AC$65)+COUNTIF($AC$62:AC62,AC63)</f>
      </c>
      <c r="U63" t="str">
        <f>(B63*1000000)-(C63*10000)+(D63*100)+(E63*1)-(F63*0.01)</f>
      </c>
      <c r="AC63" t="str">
        <f>(J63*1000000)-(K63*10000)+(L63*100)+(M63*1)-(N63*0.01)</f>
      </c>
    </row>
    <row r="64">
      <c r="A64" s="14" t="str">
        <f>data!$E$14&amp;" "&amp;data!$B$14</f>
      </c>
      <c r="B64" s="14" t="str">
        <f>IF(OR(COUNTA(B58,C58,E58,F58)&gt;0,OR(D58="X",D58="x")),IF(OR(D58="X",D58="x",AND(OR(COUNTA(B58,C58,E58,F58)&gt;0,OR(D58="X",D58="x")),(LEN(SUBSTITUTE(SUBSTITUTE(SUBSTITUTE(B58," ",""),"0",""),"-",""))+LEN(SUBSTITUTE(SUBSTITUTE(SUBSTITUTE(C58," ",""),"0",""),"-","")))=(LEN(SUBSTITUTE(SUBSTITUTE(SUBSTITUTE(E58," ",""),"0",""),"-",""))+LEN(SUBSTITUTE(SUBSTITUTE(SUBSTITUTE(F58," ",""),"0",""),"-",""))))),0,(LEN(SUBSTITUTE(SUBSTITUTE(SUBSTITUTE(B58," ",""),"0",""),"-",""))+LEN(SUBSTITUTE(SUBSTITUTE(SUBSTITUTE(C58," ",""),"0",""),"-",""))&gt;LEN(SUBSTITUTE(SUBSTITUTE(SUBSTITUTE(E58," ",""),"0",""),"-",""))+LEN(SUBSTITUTE(SUBSTITUTE(SUBSTITUTE(F58," ",""),"0",""),"-","")))*1),0)+IF(OR(COUNTA(B60,C60,E60,F60)&gt;0,OR(D60="X",D60="x")),IF(OR(D60="X",D60="x",AND(OR(COUNTA(B60,C60,E60,F60)&gt;0,OR(D60="X",D60="x")),(LEN(SUBSTITUTE(SUBSTITUTE(SUBSTITUTE(B60," ",""),"0",""),"-",""))+LEN(SUBSTITUTE(SUBSTITUTE(SUBSTITUTE(C60," ",""),"0",""),"-","")))=(LEN(SUBSTITUTE(SUBSTITUTE(SUBSTITUTE(E60," ",""),"0",""),"-",""))+LEN(SUBSTITUTE(SUBSTITUTE(SUBSTITUTE(F60," ",""),"0",""),"-",""))))),0,(LEN(SUBSTITUTE(SUBSTITUTE(SUBSTITUTE(E60," ",""),"0",""),"-",""))+LEN(SUBSTITUTE(SUBSTITUTE(SUBSTITUTE(F60," ",""),"0",""),"-",""))&gt;LEN(SUBSTITUTE(SUBSTITUTE(SUBSTITUTE(B60," ",""),"0",""),"-",""))+LEN(SUBSTITUTE(SUBSTITUTE(SUBSTITUTE(C60," ",""),"0",""),"-","")))*1),0)</f>
      </c>
      <c r="C64" s="14" t="str">
        <f>IF(OR(COUNTA(B58,C58,E58,F58)&gt;0,OR(D58="X",D58="x")),IF(OR(D58="X",D58="x",AND(OR(COUNTA(B58,C58,E58,F58)&gt;0,OR(D58="X",D58="x")),(LEN(SUBSTITUTE(SUBSTITUTE(SUBSTITUTE(B58," ",""),"0",""),"-",""))+LEN(SUBSTITUTE(SUBSTITUTE(SUBSTITUTE(C58," ",""),"0",""),"-","")))=(LEN(SUBSTITUTE(SUBSTITUTE(SUBSTITUTE(E58," ",""),"0",""),"-",""))+LEN(SUBSTITUTE(SUBSTITUTE(SUBSTITUTE(F58," ",""),"0",""),"-",""))))),0,(LEN(SUBSTITUTE(SUBSTITUTE(SUBSTITUTE(B58," ",""),"0",""),"-",""))+LEN(SUBSTITUTE(SUBSTITUTE(SUBSTITUTE(C58," ",""),"0",""),"-",""))&lt;LEN(SUBSTITUTE(SUBSTITUTE(SUBSTITUTE(E58," ",""),"0",""),"-",""))+LEN(SUBSTITUTE(SUBSTITUTE(SUBSTITUTE(F58," ",""),"0",""),"-","")))*1),0)+IF(OR(COUNTA(B60,C60,E60,F60)&gt;0,OR(D60="X",D60="x")),IF(OR(D60="X",D60="x",AND(OR(COUNTA(B60,C60,E60,F60)&gt;0,OR(D60="X",D60="x")),(LEN(SUBSTITUTE(SUBSTITUTE(SUBSTITUTE(B60," ",""),"0",""),"-",""))+LEN(SUBSTITUTE(SUBSTITUTE(SUBSTITUTE(C60," ",""),"0",""),"-","")))=(LEN(SUBSTITUTE(SUBSTITUTE(SUBSTITUTE(E60," ",""),"0",""),"-",""))+LEN(SUBSTITUTE(SUBSTITUTE(SUBSTITUTE(F60," ",""),"0",""),"-",""))))),0,(LEN(SUBSTITUTE(SUBSTITUTE(SUBSTITUTE(E60," ",""),"0",""),"-",""))+LEN(SUBSTITUTE(SUBSTITUTE(SUBSTITUTE(F60," ",""),"0",""),"-",""))&lt;LEN(SUBSTITUTE(SUBSTITUTE(SUBSTITUTE(B60," ",""),"0",""),"-",""))+LEN(SUBSTITUTE(SUBSTITUTE(SUBSTITUTE(C60," ",""),"0",""),"-","")))*1),0)</f>
      </c>
      <c r="D64" s="14" t="str">
        <f>IF(OR(COUNTA(B58,C58,E58,F58)&gt;0,OR(D58="X",D58="x")),IF(OR(D58="X",D58="x",AND(OR(COUNTA(B58,C58,E58,F58)&gt;0,OR(D58="X",D58="x")),(LEN(SUBSTITUTE(SUBSTITUTE(SUBSTITUTE(B58," ",""),"0",""),"-",""))+LEN(SUBSTITUTE(SUBSTITUTE(SUBSTITUTE(C58," ",""),"0",""),"-","")))=(LEN(SUBSTITUTE(SUBSTITUTE(SUBSTITUTE(E58," ",""),"0",""),"-",""))+LEN(SUBSTITUTE(SUBSTITUTE(SUBSTITUTE(F58," ",""),"0",""),"-",""))))),1,0),0)+IF(OR(COUNTA(B60,C60,E60,F60)&gt;0,OR(D60="X",D60="x")),IF(OR(D60="X",D60="x",AND(OR(COUNTA(B60,C60,E60,F60)&gt;0,OR(D60="X",D60="x")),(LEN(SUBSTITUTE(SUBSTITUTE(SUBSTITUTE(B60," ",""),"0",""),"-",""))+LEN(SUBSTITUTE(SUBSTITUTE(SUBSTITUTE(C60," ",""),"0",""),"-","")))=(LEN(SUBSTITUTE(SUBSTITUTE(SUBSTITUTE(E60," ",""),"0",""),"-",""))+LEN(SUBSTITUTE(SUBSTITUTE(SUBSTITUTE(F60," ",""),"0",""),"-",""))))),1,0),0)</f>
      </c>
      <c r="E64" s="14" t="str">
        <f>LEN(SUBSTITUTE(SUBSTITUTE(SUBSTITUTE(B58," ",""),"0",""),"-",""))+LEN(SUBSTITUTE(SUBSTITUTE(SUBSTITUTE(C58," ",""),"0",""),"-",""))+LEN(SUBSTITUTE(SUBSTITUTE(SUBSTITUTE(E60," ",""),"0",""),"-",""))+LEN(SUBSTITUTE(SUBSTITUTE(SUBSTITUTE(F60," ",""),"0",""),"-",""))</f>
      </c>
      <c r="F64" s="14" t="str">
        <f>LEN(SUBSTITUTE(SUBSTITUTE(SUBSTITUTE(E58," ",""),"0",""),"-",""))+LEN(SUBSTITUTE(SUBSTITUTE(SUBSTITUTE(F58," ",""),"0",""),"-",""))+LEN(SUBSTITUTE(SUBSTITUTE(SUBSTITUTE(B60," ",""),"0",""),"-",""))+LEN(SUBSTITUTE(SUBSTITUTE(SUBSTITUTE(C60," ",""),"0",""),"-",""))</f>
      </c>
      <c r="G64" s="18" t="str">
        <f>RANK(U64,$U$63:$U$65)+COUNTIF($U$62:U63,U64)</f>
      </c>
      <c r="I64" s="14" t="str">
        <f>data!$E$59&amp;" "&amp;data!$B$59</f>
      </c>
      <c r="J64" s="14" t="str">
        <f>IF(OR(COUNTA(J58,K58,M58,N58)&gt;0,OR(L58="X",L58="x")),IF(OR(L58="X",L58="x",AND(OR(COUNTA(J58,K58,M58,N58)&gt;0,OR(L58="X",L58="x")),(LEN(SUBSTITUTE(SUBSTITUTE(SUBSTITUTE(J58," ",""),"0",""),"-",""))+LEN(SUBSTITUTE(SUBSTITUTE(SUBSTITUTE(K58," ",""),"0",""),"-","")))=(LEN(SUBSTITUTE(SUBSTITUTE(SUBSTITUTE(M58," ",""),"0",""),"-",""))+LEN(SUBSTITUTE(SUBSTITUTE(SUBSTITUTE(N58," ",""),"0",""),"-",""))))),0,(LEN(SUBSTITUTE(SUBSTITUTE(SUBSTITUTE(J58," ",""),"0",""),"-",""))+LEN(SUBSTITUTE(SUBSTITUTE(SUBSTITUTE(K58," ",""),"0",""),"-",""))&gt;LEN(SUBSTITUTE(SUBSTITUTE(SUBSTITUTE(M58," ",""),"0",""),"-",""))+LEN(SUBSTITUTE(SUBSTITUTE(SUBSTITUTE(N58," ",""),"0",""),"-","")))*1),0)+IF(OR(COUNTA(J60,K60,M60,N60)&gt;0,OR(L60="X",L60="x")),IF(OR(L60="X",L60="x",AND(OR(COUNTA(J60,K60,M60,N60)&gt;0,OR(L60="X",L60="x")),(LEN(SUBSTITUTE(SUBSTITUTE(SUBSTITUTE(J60," ",""),"0",""),"-",""))+LEN(SUBSTITUTE(SUBSTITUTE(SUBSTITUTE(K60," ",""),"0",""),"-","")))=(LEN(SUBSTITUTE(SUBSTITUTE(SUBSTITUTE(M60," ",""),"0",""),"-",""))+LEN(SUBSTITUTE(SUBSTITUTE(SUBSTITUTE(N60," ",""),"0",""),"-",""))))),0,(LEN(SUBSTITUTE(SUBSTITUTE(SUBSTITUTE(M60," ",""),"0",""),"-",""))+LEN(SUBSTITUTE(SUBSTITUTE(SUBSTITUTE(N60," ",""),"0",""),"-",""))&gt;LEN(SUBSTITUTE(SUBSTITUTE(SUBSTITUTE(J60," ",""),"0",""),"-",""))+LEN(SUBSTITUTE(SUBSTITUTE(SUBSTITUTE(K60," ",""),"0",""),"-","")))*1),0)</f>
      </c>
      <c r="K64" s="14" t="str">
        <f>IF(OR(COUNTA(J58,K58,M58,N58)&gt;0,OR(L58="X",L58="x")),IF(OR(L58="X",L58="x",AND(OR(COUNTA(J58,K58,M58,N58)&gt;0,OR(L58="X",L58="x")),(LEN(SUBSTITUTE(SUBSTITUTE(SUBSTITUTE(J58," ",""),"0",""),"-",""))+LEN(SUBSTITUTE(SUBSTITUTE(SUBSTITUTE(K58," ",""),"0",""),"-","")))=(LEN(SUBSTITUTE(SUBSTITUTE(SUBSTITUTE(M58," ",""),"0",""),"-",""))+LEN(SUBSTITUTE(SUBSTITUTE(SUBSTITUTE(N58," ",""),"0",""),"-",""))))),0,(LEN(SUBSTITUTE(SUBSTITUTE(SUBSTITUTE(J58," ",""),"0",""),"-",""))+LEN(SUBSTITUTE(SUBSTITUTE(SUBSTITUTE(K58," ",""),"0",""),"-",""))&lt;LEN(SUBSTITUTE(SUBSTITUTE(SUBSTITUTE(M58," ",""),"0",""),"-",""))+LEN(SUBSTITUTE(SUBSTITUTE(SUBSTITUTE(N58," ",""),"0",""),"-","")))*1),0)+IF(OR(COUNTA(J60,K60,M60,N60)&gt;0,OR(L60="X",L60="x")),IF(OR(L60="X",L60="x",AND(OR(COUNTA(J60,K60,M60,N60)&gt;0,OR(L60="X",L60="x")),(LEN(SUBSTITUTE(SUBSTITUTE(SUBSTITUTE(J60," ",""),"0",""),"-",""))+LEN(SUBSTITUTE(SUBSTITUTE(SUBSTITUTE(K60," ",""),"0",""),"-","")))=(LEN(SUBSTITUTE(SUBSTITUTE(SUBSTITUTE(M60," ",""),"0",""),"-",""))+LEN(SUBSTITUTE(SUBSTITUTE(SUBSTITUTE(N60," ",""),"0",""),"-",""))))),0,(LEN(SUBSTITUTE(SUBSTITUTE(SUBSTITUTE(M60," ",""),"0",""),"-",""))+LEN(SUBSTITUTE(SUBSTITUTE(SUBSTITUTE(N60," ",""),"0",""),"-",""))&lt;LEN(SUBSTITUTE(SUBSTITUTE(SUBSTITUTE(J60," ",""),"0",""),"-",""))+LEN(SUBSTITUTE(SUBSTITUTE(SUBSTITUTE(K60," ",""),"0",""),"-","")))*1),0)</f>
      </c>
      <c r="L64" s="14" t="str">
        <f>IF(OR(COUNTA(J58,K58,M58,N58)&gt;0,OR(L58="X",L58="x")),IF(OR(L58="X",L58="x",AND(OR(COUNTA(J58,K58,M58,N58)&gt;0,OR(L58="X",L58="x")),(LEN(SUBSTITUTE(SUBSTITUTE(SUBSTITUTE(J58," ",""),"0",""),"-",""))+LEN(SUBSTITUTE(SUBSTITUTE(SUBSTITUTE(K58," ",""),"0",""),"-","")))=(LEN(SUBSTITUTE(SUBSTITUTE(SUBSTITUTE(M58," ",""),"0",""),"-",""))+LEN(SUBSTITUTE(SUBSTITUTE(SUBSTITUTE(N58," ",""),"0",""),"-",""))))),1,0),0)+IF(OR(COUNTA(J60,K60,M60,N60)&gt;0,OR(L60="X",L60="x")),IF(OR(L60="X",L60="x",AND(OR(COUNTA(J60,K60,M60,N60)&gt;0,OR(L60="X",L60="x")),(LEN(SUBSTITUTE(SUBSTITUTE(SUBSTITUTE(J60," ",""),"0",""),"-",""))+LEN(SUBSTITUTE(SUBSTITUTE(SUBSTITUTE(K60," ",""),"0",""),"-","")))=(LEN(SUBSTITUTE(SUBSTITUTE(SUBSTITUTE(M60," ",""),"0",""),"-",""))+LEN(SUBSTITUTE(SUBSTITUTE(SUBSTITUTE(N60," ",""),"0",""),"-",""))))),1,0),0)</f>
      </c>
      <c r="M64" s="14" t="str">
        <f>LEN(SUBSTITUTE(SUBSTITUTE(SUBSTITUTE(J58," ",""),"0",""),"-",""))+LEN(SUBSTITUTE(SUBSTITUTE(SUBSTITUTE(K58," ",""),"0",""),"-",""))+LEN(SUBSTITUTE(SUBSTITUTE(SUBSTITUTE(M60," ",""),"0",""),"-",""))+LEN(SUBSTITUTE(SUBSTITUTE(SUBSTITUTE(N60," ",""),"0",""),"-",""))</f>
      </c>
      <c r="N64" s="14" t="str">
        <f>LEN(SUBSTITUTE(SUBSTITUTE(SUBSTITUTE(M58," ",""),"0",""),"-",""))+LEN(SUBSTITUTE(SUBSTITUTE(SUBSTITUTE(N58," ",""),"0",""),"-",""))+LEN(SUBSTITUTE(SUBSTITUTE(SUBSTITUTE(J60," ",""),"0",""),"-",""))+LEN(SUBSTITUTE(SUBSTITUTE(SUBSTITUTE(K60," ",""),"0",""),"-",""))</f>
      </c>
      <c r="O64" s="18" t="str">
        <f>RANK(AC64,$AC$63:$AC$65)+COUNTIF($AC$62:AC63,AC64)</f>
      </c>
      <c r="U64" t="str">
        <f>(B64*1000000)-(C64*10000)+(D64*100)+(E64*1)-(F64*0.01)</f>
      </c>
      <c r="AC64" t="str">
        <f>(J64*1000000)-(K64*10000)+(L64*100)+(M64*1)-(N64*0.01)</f>
      </c>
    </row>
    <row r="65">
      <c r="A65" s="14" t="str">
        <f>data!$E$15&amp;" "&amp;data!$B$15</f>
      </c>
      <c r="B65" s="14" t="str">
        <f>IF(OR(COUNTA(B59,C59,E59,F59)&gt;0,OR(D59="X",D59="x")),IF(OR(D59="X",D59="x",AND(OR(COUNTA(B59,C59,E59,F59)&gt;0,OR(D59="X",D59="x")),(LEN(SUBSTITUTE(SUBSTITUTE(SUBSTITUTE(B59," ",""),"0",""),"-",""))+LEN(SUBSTITUTE(SUBSTITUTE(SUBSTITUTE(C59," ",""),"0",""),"-","")))=(LEN(SUBSTITUTE(SUBSTITUTE(SUBSTITUTE(E59," ",""),"0",""),"-",""))+LEN(SUBSTITUTE(SUBSTITUTE(SUBSTITUTE(F59," ",""),"0",""),"-",""))))),0,(LEN(SUBSTITUTE(SUBSTITUTE(SUBSTITUTE(B59," ",""),"0",""),"-",""))+LEN(SUBSTITUTE(SUBSTITUTE(SUBSTITUTE(C59," ",""),"0",""),"-",""))&gt;LEN(SUBSTITUTE(SUBSTITUTE(SUBSTITUTE(E59," ",""),"0",""),"-",""))+LEN(SUBSTITUTE(SUBSTITUTE(SUBSTITUTE(F59," ",""),"0",""),"-","")))*1),0)+IF(OR(COUNTA(B60,C60,E60,F60)&gt;0,OR(D60="X",D60="x")),IF(OR(D60="X",D60="x",AND(OR(COUNTA(B60,C60,E60,F60)&gt;0,OR(D60="X",D60="x")),(LEN(SUBSTITUTE(SUBSTITUTE(SUBSTITUTE(B60," ",""),"0",""),"-",""))+LEN(SUBSTITUTE(SUBSTITUTE(SUBSTITUTE(C60," ",""),"0",""),"-","")))=(LEN(SUBSTITUTE(SUBSTITUTE(SUBSTITUTE(E60," ",""),"0",""),"-",""))+LEN(SUBSTITUTE(SUBSTITUTE(SUBSTITUTE(F60," ",""),"0",""),"-",""))))),0,(LEN(SUBSTITUTE(SUBSTITUTE(SUBSTITUTE(B60," ",""),"0",""),"-",""))+LEN(SUBSTITUTE(SUBSTITUTE(SUBSTITUTE(C60," ",""),"0",""),"-",""))&gt;LEN(SUBSTITUTE(SUBSTITUTE(SUBSTITUTE(E60," ",""),"0",""),"-",""))+LEN(SUBSTITUTE(SUBSTITUTE(SUBSTITUTE(F60," ",""),"0",""),"-","")))*1),0)</f>
      </c>
      <c r="C65" s="14" t="str">
        <f>IF(OR(COUNTA(B59,C59,E59,F59)&gt;0,OR(D59="X",D59="x")),IF(OR(D59="X",D59="x",AND(OR(COUNTA(B59,C59,E59,F59)&gt;0,OR(D59="X",D59="x")),(LEN(SUBSTITUTE(SUBSTITUTE(SUBSTITUTE(B59," ",""),"0",""),"-",""))+LEN(SUBSTITUTE(SUBSTITUTE(SUBSTITUTE(C59," ",""),"0",""),"-","")))=(LEN(SUBSTITUTE(SUBSTITUTE(SUBSTITUTE(E59," ",""),"0",""),"-",""))+LEN(SUBSTITUTE(SUBSTITUTE(SUBSTITUTE(F59," ",""),"0",""),"-",""))))),0,(LEN(SUBSTITUTE(SUBSTITUTE(SUBSTITUTE(B59," ",""),"0",""),"-",""))+LEN(SUBSTITUTE(SUBSTITUTE(SUBSTITUTE(C59," ",""),"0",""),"-",""))&lt;LEN(SUBSTITUTE(SUBSTITUTE(SUBSTITUTE(E59," ",""),"0",""),"-",""))+LEN(SUBSTITUTE(SUBSTITUTE(SUBSTITUTE(F59," ",""),"0",""),"-","")))*1),0)+IF(OR(COUNTA(B60,C60,E60,F60)&gt;0,OR(D60="X",D60="x")),IF(OR(D60="X",D60="x",AND(OR(COUNTA(B60,C60,E60,F60)&gt;0,OR(D60="X",D60="x")),(LEN(SUBSTITUTE(SUBSTITUTE(SUBSTITUTE(B60," ",""),"0",""),"-",""))+LEN(SUBSTITUTE(SUBSTITUTE(SUBSTITUTE(C60," ",""),"0",""),"-","")))=(LEN(SUBSTITUTE(SUBSTITUTE(SUBSTITUTE(E60," ",""),"0",""),"-",""))+LEN(SUBSTITUTE(SUBSTITUTE(SUBSTITUTE(F60," ",""),"0",""),"-",""))))),0,(LEN(SUBSTITUTE(SUBSTITUTE(SUBSTITUTE(B60," ",""),"0",""),"-",""))+LEN(SUBSTITUTE(SUBSTITUTE(SUBSTITUTE(C60," ",""),"0",""),"-",""))&lt;LEN(SUBSTITUTE(SUBSTITUTE(SUBSTITUTE(E60," ",""),"0",""),"-",""))+LEN(SUBSTITUTE(SUBSTITUTE(SUBSTITUTE(F60," ",""),"0",""),"-","")))*1),0)</f>
      </c>
      <c r="D65" s="14" t="str">
        <f>IF(OR(COUNTA(B59,C59,E59,F59)&gt;0,OR(D59="X",D59="x")),IF(OR(D59="X",D59="x",AND(OR(COUNTA(B59,C59,E59,F59)&gt;0,OR(D59="X",D59="x")),(LEN(SUBSTITUTE(SUBSTITUTE(SUBSTITUTE(B59," ",""),"0",""),"-",""))+LEN(SUBSTITUTE(SUBSTITUTE(SUBSTITUTE(C59," ",""),"0",""),"-","")))=(LEN(SUBSTITUTE(SUBSTITUTE(SUBSTITUTE(E59," ",""),"0",""),"-",""))+LEN(SUBSTITUTE(SUBSTITUTE(SUBSTITUTE(F59," ",""),"0",""),"-",""))))),1,0),0)+IF(OR(COUNTA(B60,C60,E60,F60)&gt;0,OR(D60="X",D60="x")),IF(OR(D60="X",D60="x",AND(OR(COUNTA(B60,C60,E60,F60)&gt;0,OR(D60="X",D60="x")),(LEN(SUBSTITUTE(SUBSTITUTE(SUBSTITUTE(B60," ",""),"0",""),"-",""))+LEN(SUBSTITUTE(SUBSTITUTE(SUBSTITUTE(C60," ",""),"0",""),"-","")))=(LEN(SUBSTITUTE(SUBSTITUTE(SUBSTITUTE(E60," ",""),"0",""),"-",""))+LEN(SUBSTITUTE(SUBSTITUTE(SUBSTITUTE(F60," ",""),"0",""),"-",""))))),1,0),0)</f>
      </c>
      <c r="E65" s="14" t="str">
        <f>LEN(SUBSTITUTE(SUBSTITUTE(SUBSTITUTE(B59," ",""),"0",""),"-",""))+LEN(SUBSTITUTE(SUBSTITUTE(SUBSTITUTE(C59," ",""),"0",""),"-",""))+LEN(SUBSTITUTE(SUBSTITUTE(SUBSTITUTE(B60," ",""),"0",""),"-",""))+LEN(SUBSTITUTE(SUBSTITUTE(SUBSTITUTE(C60," ",""),"0",""),"-",""))</f>
      </c>
      <c r="F65" s="14" t="str">
        <f>LEN(SUBSTITUTE(SUBSTITUTE(SUBSTITUTE(E59," ",""),"0",""),"-",""))+LEN(SUBSTITUTE(SUBSTITUTE(SUBSTITUTE(F59," ",""),"0",""),"-",""))+LEN(SUBSTITUTE(SUBSTITUTE(SUBSTITUTE(E60," ",""),"0",""),"-",""))+LEN(SUBSTITUTE(SUBSTITUTE(SUBSTITUTE(F60," ",""),"0",""),"-",""))</f>
      </c>
      <c r="G65" s="18" t="str">
        <f>RANK(U65,$U$63:$U$65)+COUNTIF($U$62:U64,U65)</f>
      </c>
      <c r="I65" s="14" t="str">
        <f>data!$E$60&amp;" "&amp;data!$B$60</f>
      </c>
      <c r="J65" s="14" t="str">
        <f>IF(OR(COUNTA(J59,K59,M59,N59)&gt;0,OR(L59="X",L59="x")),IF(OR(L59="X",L59="x",AND(OR(COUNTA(J59,K59,M59,N59)&gt;0,OR(L59="X",L59="x")),(LEN(SUBSTITUTE(SUBSTITUTE(SUBSTITUTE(J59," ",""),"0",""),"-",""))+LEN(SUBSTITUTE(SUBSTITUTE(SUBSTITUTE(K59," ",""),"0",""),"-","")))=(LEN(SUBSTITUTE(SUBSTITUTE(SUBSTITUTE(M59," ",""),"0",""),"-",""))+LEN(SUBSTITUTE(SUBSTITUTE(SUBSTITUTE(N59," ",""),"0",""),"-",""))))),0,(LEN(SUBSTITUTE(SUBSTITUTE(SUBSTITUTE(J59," ",""),"0",""),"-",""))+LEN(SUBSTITUTE(SUBSTITUTE(SUBSTITUTE(K59," ",""),"0",""),"-",""))&gt;LEN(SUBSTITUTE(SUBSTITUTE(SUBSTITUTE(M59," ",""),"0",""),"-",""))+LEN(SUBSTITUTE(SUBSTITUTE(SUBSTITUTE(N59," ",""),"0",""),"-","")))*1),0)+IF(OR(COUNTA(J60,K60,M60,N60)&gt;0,OR(L60="X",L60="x")),IF(OR(L60="X",L60="x",AND(OR(COUNTA(J60,K60,M60,N60)&gt;0,OR(L60="X",L60="x")),(LEN(SUBSTITUTE(SUBSTITUTE(SUBSTITUTE(J60," ",""),"0",""),"-",""))+LEN(SUBSTITUTE(SUBSTITUTE(SUBSTITUTE(K60," ",""),"0",""),"-","")))=(LEN(SUBSTITUTE(SUBSTITUTE(SUBSTITUTE(M60," ",""),"0",""),"-",""))+LEN(SUBSTITUTE(SUBSTITUTE(SUBSTITUTE(N60," ",""),"0",""),"-",""))))),0,(LEN(SUBSTITUTE(SUBSTITUTE(SUBSTITUTE(J60," ",""),"0",""),"-",""))+LEN(SUBSTITUTE(SUBSTITUTE(SUBSTITUTE(K60," ",""),"0",""),"-",""))&gt;LEN(SUBSTITUTE(SUBSTITUTE(SUBSTITUTE(M60," ",""),"0",""),"-",""))+LEN(SUBSTITUTE(SUBSTITUTE(SUBSTITUTE(N60," ",""),"0",""),"-","")))*1),0)</f>
      </c>
      <c r="K65" s="14" t="str">
        <f>IF(OR(COUNTA(J59,K59,M59,N59)&gt;0,OR(L59="X",L59="x")),IF(OR(L59="X",L59="x",AND(OR(COUNTA(J59,K59,M59,N59)&gt;0,OR(L59="X",L59="x")),(LEN(SUBSTITUTE(SUBSTITUTE(SUBSTITUTE(J59," ",""),"0",""),"-",""))+LEN(SUBSTITUTE(SUBSTITUTE(SUBSTITUTE(K59," ",""),"0",""),"-","")))=(LEN(SUBSTITUTE(SUBSTITUTE(SUBSTITUTE(M59," ",""),"0",""),"-",""))+LEN(SUBSTITUTE(SUBSTITUTE(SUBSTITUTE(N59," ",""),"0",""),"-",""))))),0,(LEN(SUBSTITUTE(SUBSTITUTE(SUBSTITUTE(J59," ",""),"0",""),"-",""))+LEN(SUBSTITUTE(SUBSTITUTE(SUBSTITUTE(K59," ",""),"0",""),"-",""))&lt;LEN(SUBSTITUTE(SUBSTITUTE(SUBSTITUTE(M59," ",""),"0",""),"-",""))+LEN(SUBSTITUTE(SUBSTITUTE(SUBSTITUTE(N59," ",""),"0",""),"-","")))*1),0)+IF(OR(COUNTA(J60,K60,M60,N60)&gt;0,OR(L60="X",L60="x")),IF(OR(L60="X",L60="x",AND(OR(COUNTA(J60,K60,M60,N60)&gt;0,OR(L60="X",L60="x")),(LEN(SUBSTITUTE(SUBSTITUTE(SUBSTITUTE(J60," ",""),"0",""),"-",""))+LEN(SUBSTITUTE(SUBSTITUTE(SUBSTITUTE(K60," ",""),"0",""),"-","")))=(LEN(SUBSTITUTE(SUBSTITUTE(SUBSTITUTE(M60," ",""),"0",""),"-",""))+LEN(SUBSTITUTE(SUBSTITUTE(SUBSTITUTE(N60," ",""),"0",""),"-",""))))),0,(LEN(SUBSTITUTE(SUBSTITUTE(SUBSTITUTE(J60," ",""),"0",""),"-",""))+LEN(SUBSTITUTE(SUBSTITUTE(SUBSTITUTE(K60," ",""),"0",""),"-",""))&lt;LEN(SUBSTITUTE(SUBSTITUTE(SUBSTITUTE(M60," ",""),"0",""),"-",""))+LEN(SUBSTITUTE(SUBSTITUTE(SUBSTITUTE(N60," ",""),"0",""),"-","")))*1),0)</f>
      </c>
      <c r="L65" s="14" t="str">
        <f>IF(OR(COUNTA(J59,K59,M59,N59)&gt;0,OR(L59="X",L59="x")),IF(OR(L59="X",L59="x",AND(OR(COUNTA(J59,K59,M59,N59)&gt;0,OR(L59="X",L59="x")),(LEN(SUBSTITUTE(SUBSTITUTE(SUBSTITUTE(J59," ",""),"0",""),"-",""))+LEN(SUBSTITUTE(SUBSTITUTE(SUBSTITUTE(K59," ",""),"0",""),"-","")))=(LEN(SUBSTITUTE(SUBSTITUTE(SUBSTITUTE(M59," ",""),"0",""),"-",""))+LEN(SUBSTITUTE(SUBSTITUTE(SUBSTITUTE(N59," ",""),"0",""),"-",""))))),1,0),0)+IF(OR(COUNTA(J60,K60,M60,N60)&gt;0,OR(L60="X",L60="x")),IF(OR(L60="X",L60="x",AND(OR(COUNTA(J60,K60,M60,N60)&gt;0,OR(L60="X",L60="x")),(LEN(SUBSTITUTE(SUBSTITUTE(SUBSTITUTE(J60," ",""),"0",""),"-",""))+LEN(SUBSTITUTE(SUBSTITUTE(SUBSTITUTE(K60," ",""),"0",""),"-","")))=(LEN(SUBSTITUTE(SUBSTITUTE(SUBSTITUTE(M60," ",""),"0",""),"-",""))+LEN(SUBSTITUTE(SUBSTITUTE(SUBSTITUTE(N60," ",""),"0",""),"-",""))))),1,0),0)</f>
      </c>
      <c r="M65" s="14" t="str">
        <f>LEN(SUBSTITUTE(SUBSTITUTE(SUBSTITUTE(J59," ",""),"0",""),"-",""))+LEN(SUBSTITUTE(SUBSTITUTE(SUBSTITUTE(K59," ",""),"0",""),"-",""))+LEN(SUBSTITUTE(SUBSTITUTE(SUBSTITUTE(J60," ",""),"0",""),"-",""))+LEN(SUBSTITUTE(SUBSTITUTE(SUBSTITUTE(K60," ",""),"0",""),"-",""))</f>
      </c>
      <c r="N65" s="14" t="str">
        <f>LEN(SUBSTITUTE(SUBSTITUTE(SUBSTITUTE(M59," ",""),"0",""),"-",""))+LEN(SUBSTITUTE(SUBSTITUTE(SUBSTITUTE(N59," ",""),"0",""),"-",""))+LEN(SUBSTITUTE(SUBSTITUTE(SUBSTITUTE(M60," ",""),"0",""),"-",""))+LEN(SUBSTITUTE(SUBSTITUTE(SUBSTITUTE(N60," ",""),"0",""),"-",""))</f>
      </c>
      <c r="O65" s="18" t="str">
        <f>RANK(AC65,$AC$63:$AC$65)+COUNTIF($AC$62:AC64,AC65)</f>
      </c>
      <c r="U65" t="str">
        <f>(B65*1000000)-(C65*10000)+(D65*100)+(E65*1)-(F65*0.01)</f>
      </c>
      <c r="AC65" t="str">
        <f>(J65*1000000)-(K65*10000)+(L65*100)+(M65*1)-(N65*0.01)</f>
      </c>
    </row>
    <row r="68">
      <c r="F68" s="13"/>
      <c r="G68" s="13" t="s">
        <v>340</v>
      </c>
      <c r="N68" s="13"/>
      <c r="O68" s="13" t="s">
        <v>340</v>
      </c>
    </row>
    <row r="69">
      <c r="F69" t="s">
        <v>341</v>
      </c>
      <c r="G69" s="19" t="str">
        <f>IFERROR(INDEX($A$63:$A$65, MATCH(1, $G$63:$G$65, 0)), "-")</f>
      </c>
      <c r="N69" t="s">
        <v>341</v>
      </c>
      <c r="O69" s="19" t="str">
        <f>IFERROR(INDEX($I$63:$I$65, MATCH(1, $O$63:$O$65, 0)), "-")</f>
      </c>
    </row>
    <row r="70">
      <c r="F70" t="s">
        <v>342</v>
      </c>
      <c r="G70" s="19" t="str">
        <f>IFERROR(INDEX($A$63:$A$65, MATCH(2, $G$63:$G$65, 0)), "-")</f>
      </c>
      <c r="N70" t="s">
        <v>342</v>
      </c>
      <c r="O70" s="19" t="str">
        <f>IFERROR(INDEX($I$63:$I$65, MATCH(2, $O$63:$O$65, 0)), "-")</f>
      </c>
    </row>
    <row r="71">
      <c r="F71" t="s">
        <v>343</v>
      </c>
      <c r="G71" s="19" t="str">
        <f>IFERROR(INDEX($A$63:$A$65, MATCH(3, $G$63:$G$65, 0)), "-")</f>
      </c>
      <c r="N71" t="s">
        <v>343</v>
      </c>
      <c r="O71" s="19" t="str">
        <f>IFERROR(INDEX($I$63:$I$65, MATCH(3, $O$63:$O$65, 0)), "-")</f>
      </c>
    </row>
    <row r="73">
      <c r="A73" s="13" t="str">
        <f>'data'!$A$18</f>
      </c>
      <c r="B73" s="13"/>
      <c r="C73" s="13"/>
      <c r="D73" s="13"/>
      <c r="E73" s="13"/>
      <c r="F73" s="13"/>
      <c r="G73" s="13"/>
      <c r="I73" s="13" t="str">
        <f>'data'!$A$63</f>
      </c>
      <c r="J73" s="13"/>
      <c r="K73" s="13"/>
      <c r="L73" s="13"/>
      <c r="M73" s="13"/>
      <c r="N73" s="13"/>
      <c r="O73" s="13"/>
    </row>
    <row r="74">
      <c r="A74" s="17" t="s">
        <v>330</v>
      </c>
      <c r="D74" s="14" t="s">
        <v>331</v>
      </c>
      <c r="G74" s="16" t="s">
        <v>332</v>
      </c>
      <c r="I74" s="17" t="s">
        <v>330</v>
      </c>
      <c r="L74" s="14" t="s">
        <v>331</v>
      </c>
      <c r="O74" s="16" t="s">
        <v>332</v>
      </c>
    </row>
    <row r="75">
      <c r="A75" s="14" t="str">
        <f>data!$E$17&amp;" "&amp;data!$B$17</f>
      </c>
      <c r="B75" s="18"/>
      <c r="C75" s="18"/>
      <c r="D75" s="18"/>
      <c r="E75" s="18"/>
      <c r="F75" s="18"/>
      <c r="G75" s="14" t="str">
        <f>data!$E$16&amp;" "&amp;data!$B$16</f>
      </c>
      <c r="I75" s="14" t="str">
        <f>data!$E$62&amp;" "&amp;data!$B$62</f>
      </c>
      <c r="J75" s="18"/>
      <c r="K75" s="18"/>
      <c r="L75" s="18"/>
      <c r="M75" s="18"/>
      <c r="N75" s="18"/>
      <c r="O75" s="14" t="str">
        <f>data!$E$61&amp;" "&amp;data!$B$61</f>
      </c>
    </row>
    <row r="76">
      <c r="A76" s="14" t="str">
        <f>data!$E$18&amp;" "&amp;data!$B$18</f>
      </c>
      <c r="B76" s="18"/>
      <c r="C76" s="18"/>
      <c r="D76" s="18"/>
      <c r="E76" s="18"/>
      <c r="F76" s="18"/>
      <c r="G76" s="14" t="str">
        <f>data!$E$16&amp;" "&amp;data!$B$16</f>
      </c>
      <c r="I76" s="14" t="str">
        <f>data!$E$63&amp;" "&amp;data!$B$63</f>
      </c>
      <c r="J76" s="18"/>
      <c r="K76" s="18"/>
      <c r="L76" s="18"/>
      <c r="M76" s="18"/>
      <c r="N76" s="18"/>
      <c r="O76" s="14" t="str">
        <f>data!$E$61&amp;" "&amp;data!$B$61</f>
      </c>
    </row>
    <row r="77">
      <c r="A77" s="14" t="str">
        <f>data!$E$18&amp;" "&amp;data!$B$18</f>
      </c>
      <c r="B77" s="18"/>
      <c r="C77" s="18"/>
      <c r="D77" s="18"/>
      <c r="E77" s="18"/>
      <c r="F77" s="18"/>
      <c r="G77" s="14" t="str">
        <f>data!$E$17&amp;" "&amp;data!$B$17</f>
      </c>
      <c r="I77" s="14" t="str">
        <f>data!$E$63&amp;" "&amp;data!$B$63</f>
      </c>
      <c r="J77" s="18"/>
      <c r="K77" s="18"/>
      <c r="L77" s="18"/>
      <c r="M77" s="18"/>
      <c r="N77" s="18"/>
      <c r="O77" s="14" t="str">
        <f>data!$E$62&amp;" "&amp;data!$B$62</f>
      </c>
    </row>
    <row r="79">
      <c r="A79" s="13" t="s">
        <v>333</v>
      </c>
      <c r="B79" s="13" t="s">
        <v>334</v>
      </c>
      <c r="C79" s="13" t="s">
        <v>335</v>
      </c>
      <c r="D79" s="13" t="s">
        <v>336</v>
      </c>
      <c r="E79" s="13" t="s">
        <v>337</v>
      </c>
      <c r="F79" s="13" t="s">
        <v>338</v>
      </c>
      <c r="G79" s="13" t="s">
        <v>339</v>
      </c>
      <c r="I79" s="13" t="s">
        <v>333</v>
      </c>
      <c r="J79" s="13" t="s">
        <v>334</v>
      </c>
      <c r="K79" s="13" t="s">
        <v>335</v>
      </c>
      <c r="L79" s="13" t="s">
        <v>336</v>
      </c>
      <c r="M79" s="13" t="s">
        <v>337</v>
      </c>
      <c r="N79" s="13" t="s">
        <v>338</v>
      </c>
      <c r="O79" s="13" t="s">
        <v>339</v>
      </c>
    </row>
    <row r="80">
      <c r="A80" s="14" t="str">
        <f>data!$E$16&amp;" "&amp;data!$B$16</f>
      </c>
      <c r="B80" s="14" t="str">
        <f>IF(OR(COUNTA(B75,C75,E75,F75)&gt;0,OR(D75="X",D75="x")),IF(OR(D75="X",D75="x",AND(OR(COUNTA(B75,C75,E75,F75)&gt;0,OR(D75="X",D75="x")),(LEN(SUBSTITUTE(SUBSTITUTE(SUBSTITUTE(B75," ",""),"0",""),"-",""))+LEN(SUBSTITUTE(SUBSTITUTE(SUBSTITUTE(C75," ",""),"0",""),"-","")))=(LEN(SUBSTITUTE(SUBSTITUTE(SUBSTITUTE(E75," ",""),"0",""),"-",""))+LEN(SUBSTITUTE(SUBSTITUTE(SUBSTITUTE(F75," ",""),"0",""),"-",""))))),0,(LEN(SUBSTITUTE(SUBSTITUTE(SUBSTITUTE(E75," ",""),"0",""),"-",""))+LEN(SUBSTITUTE(SUBSTITUTE(SUBSTITUTE(F75," ",""),"0",""),"-",""))&gt;LEN(SUBSTITUTE(SUBSTITUTE(SUBSTITUTE(B75," ",""),"0",""),"-",""))+LEN(SUBSTITUTE(SUBSTITUTE(SUBSTITUTE(C75," ",""),"0",""),"-","")))*1),0)+IF(OR(COUNTA(B76,C76,E76,F76)&gt;0,OR(D76="X",D76="x")),IF(OR(D76="X",D76="x",AND(OR(COUNTA(B76,C76,E76,F76)&gt;0,OR(D76="X",D76="x")),(LEN(SUBSTITUTE(SUBSTITUTE(SUBSTITUTE(B76," ",""),"0",""),"-",""))+LEN(SUBSTITUTE(SUBSTITUTE(SUBSTITUTE(C76," ",""),"0",""),"-","")))=(LEN(SUBSTITUTE(SUBSTITUTE(SUBSTITUTE(E76," ",""),"0",""),"-",""))+LEN(SUBSTITUTE(SUBSTITUTE(SUBSTITUTE(F76," ",""),"0",""),"-",""))))),0,(LEN(SUBSTITUTE(SUBSTITUTE(SUBSTITUTE(E76," ",""),"0",""),"-",""))+LEN(SUBSTITUTE(SUBSTITUTE(SUBSTITUTE(F76," ",""),"0",""),"-",""))&gt;LEN(SUBSTITUTE(SUBSTITUTE(SUBSTITUTE(B76," ",""),"0",""),"-",""))+LEN(SUBSTITUTE(SUBSTITUTE(SUBSTITUTE(C76," ",""),"0",""),"-","")))*1),0)</f>
      </c>
      <c r="C80" s="14" t="str">
        <f>IF(OR(COUNTA(B75,C75,E75,F75)&gt;0,OR(D75="X",D75="x")),IF(OR(D75="X",D75="x",AND(OR(COUNTA(B75,C75,E75,F75)&gt;0,OR(D75="X",D75="x")),(LEN(SUBSTITUTE(SUBSTITUTE(SUBSTITUTE(B75," ",""),"0",""),"-",""))+LEN(SUBSTITUTE(SUBSTITUTE(SUBSTITUTE(C75," ",""),"0",""),"-","")))=(LEN(SUBSTITUTE(SUBSTITUTE(SUBSTITUTE(E75," ",""),"0",""),"-",""))+LEN(SUBSTITUTE(SUBSTITUTE(SUBSTITUTE(F75," ",""),"0",""),"-",""))))),0,(LEN(SUBSTITUTE(SUBSTITUTE(SUBSTITUTE(E75," ",""),"0",""),"-",""))+LEN(SUBSTITUTE(SUBSTITUTE(SUBSTITUTE(F75," ",""),"0",""),"-",""))&lt;LEN(SUBSTITUTE(SUBSTITUTE(SUBSTITUTE(B75," ",""),"0",""),"-",""))+LEN(SUBSTITUTE(SUBSTITUTE(SUBSTITUTE(C75," ",""),"0",""),"-","")))*1),0)+IF(OR(COUNTA(B76,C76,E76,F76)&gt;0,OR(D76="X",D76="x")),IF(OR(D76="X",D76="x",AND(OR(COUNTA(B76,C76,E76,F76)&gt;0,OR(D76="X",D76="x")),(LEN(SUBSTITUTE(SUBSTITUTE(SUBSTITUTE(B76," ",""),"0",""),"-",""))+LEN(SUBSTITUTE(SUBSTITUTE(SUBSTITUTE(C76," ",""),"0",""),"-","")))=(LEN(SUBSTITUTE(SUBSTITUTE(SUBSTITUTE(E76," ",""),"0",""),"-",""))+LEN(SUBSTITUTE(SUBSTITUTE(SUBSTITUTE(F76," ",""),"0",""),"-",""))))),0,(LEN(SUBSTITUTE(SUBSTITUTE(SUBSTITUTE(E76," ",""),"0",""),"-",""))+LEN(SUBSTITUTE(SUBSTITUTE(SUBSTITUTE(F76," ",""),"0",""),"-",""))&lt;LEN(SUBSTITUTE(SUBSTITUTE(SUBSTITUTE(B76," ",""),"0",""),"-",""))+LEN(SUBSTITUTE(SUBSTITUTE(SUBSTITUTE(C76," ",""),"0",""),"-","")))*1),0)</f>
      </c>
      <c r="D80" s="14" t="str">
        <f>IF(OR(COUNTA(B75,C75,E75,F75)&gt;0,OR(D75="X",D75="x")),IF(OR(D75="X",D75="x",AND(OR(COUNTA(B75,C75,E75,F75)&gt;0,OR(D75="X",D75="x")),(LEN(SUBSTITUTE(SUBSTITUTE(SUBSTITUTE(B75," ",""),"0",""),"-",""))+LEN(SUBSTITUTE(SUBSTITUTE(SUBSTITUTE(C75," ",""),"0",""),"-","")))=(LEN(SUBSTITUTE(SUBSTITUTE(SUBSTITUTE(E75," ",""),"0",""),"-",""))+LEN(SUBSTITUTE(SUBSTITUTE(SUBSTITUTE(F75," ",""),"0",""),"-",""))))),1,0),0)+IF(OR(COUNTA(B76,C76,E76,F76)&gt;0,OR(D76="X",D76="x")),IF(OR(D76="X",D76="x",AND(OR(COUNTA(B76,C76,E76,F76)&gt;0,OR(D76="X",D76="x")),(LEN(SUBSTITUTE(SUBSTITUTE(SUBSTITUTE(B76," ",""),"0",""),"-",""))+LEN(SUBSTITUTE(SUBSTITUTE(SUBSTITUTE(C76," ",""),"0",""),"-","")))=(LEN(SUBSTITUTE(SUBSTITUTE(SUBSTITUTE(E76," ",""),"0",""),"-",""))+LEN(SUBSTITUTE(SUBSTITUTE(SUBSTITUTE(F76," ",""),"0",""),"-",""))))),1,0),0)</f>
      </c>
      <c r="E80" s="14" t="str">
        <f>LEN(SUBSTITUTE(SUBSTITUTE(SUBSTITUTE(E75," ",""),"0",""),"-",""))+LEN(SUBSTITUTE(SUBSTITUTE(SUBSTITUTE(F75," ",""),"0",""),"-",""))+LEN(SUBSTITUTE(SUBSTITUTE(SUBSTITUTE(E76," ",""),"0",""),"-",""))+LEN(SUBSTITUTE(SUBSTITUTE(SUBSTITUTE(F76," ",""),"0",""),"-",""))</f>
      </c>
      <c r="F80" s="14" t="str">
        <f>LEN(SUBSTITUTE(SUBSTITUTE(SUBSTITUTE(B75," ",""),"0",""),"-",""))+LEN(SUBSTITUTE(SUBSTITUTE(SUBSTITUTE(C75," ",""),"0",""),"-",""))+LEN(SUBSTITUTE(SUBSTITUTE(SUBSTITUTE(B76," ",""),"0",""),"-",""))+LEN(SUBSTITUTE(SUBSTITUTE(SUBSTITUTE(C76," ",""),"0",""),"-",""))</f>
      </c>
      <c r="G80" s="18" t="str">
        <f>RANK(U80,$U$80:$U$82)+COUNTIF($U$79:U79,U80)</f>
      </c>
      <c r="I80" s="14" t="str">
        <f>data!$E$61&amp;" "&amp;data!$B$61</f>
      </c>
      <c r="J80" s="14" t="str">
        <f>IF(OR(COUNTA(J75,K75,M75,N75)&gt;0,OR(L75="X",L75="x")),IF(OR(L75="X",L75="x",AND(OR(COUNTA(J75,K75,M75,N75)&gt;0,OR(L75="X",L75="x")),(LEN(SUBSTITUTE(SUBSTITUTE(SUBSTITUTE(J75," ",""),"0",""),"-",""))+LEN(SUBSTITUTE(SUBSTITUTE(SUBSTITUTE(K75," ",""),"0",""),"-","")))=(LEN(SUBSTITUTE(SUBSTITUTE(SUBSTITUTE(M75," ",""),"0",""),"-",""))+LEN(SUBSTITUTE(SUBSTITUTE(SUBSTITUTE(N75," ",""),"0",""),"-",""))))),0,(LEN(SUBSTITUTE(SUBSTITUTE(SUBSTITUTE(M75," ",""),"0",""),"-",""))+LEN(SUBSTITUTE(SUBSTITUTE(SUBSTITUTE(N75," ",""),"0",""),"-",""))&gt;LEN(SUBSTITUTE(SUBSTITUTE(SUBSTITUTE(J75," ",""),"0",""),"-",""))+LEN(SUBSTITUTE(SUBSTITUTE(SUBSTITUTE(K75," ",""),"0",""),"-","")))*1),0)+IF(OR(COUNTA(J76,K76,M76,N76)&gt;0,OR(L76="X",L76="x")),IF(OR(L76="X",L76="x",AND(OR(COUNTA(J76,K76,M76,N76)&gt;0,OR(L76="X",L76="x")),(LEN(SUBSTITUTE(SUBSTITUTE(SUBSTITUTE(J76," ",""),"0",""),"-",""))+LEN(SUBSTITUTE(SUBSTITUTE(SUBSTITUTE(K76," ",""),"0",""),"-","")))=(LEN(SUBSTITUTE(SUBSTITUTE(SUBSTITUTE(M76," ",""),"0",""),"-",""))+LEN(SUBSTITUTE(SUBSTITUTE(SUBSTITUTE(N76," ",""),"0",""),"-",""))))),0,(LEN(SUBSTITUTE(SUBSTITUTE(SUBSTITUTE(M76," ",""),"0",""),"-",""))+LEN(SUBSTITUTE(SUBSTITUTE(SUBSTITUTE(N76," ",""),"0",""),"-",""))&gt;LEN(SUBSTITUTE(SUBSTITUTE(SUBSTITUTE(J76," ",""),"0",""),"-",""))+LEN(SUBSTITUTE(SUBSTITUTE(SUBSTITUTE(K76," ",""),"0",""),"-","")))*1),0)</f>
      </c>
      <c r="K80" s="14" t="str">
        <f>IF(OR(COUNTA(J75,K75,M75,N75)&gt;0,OR(L75="X",L75="x")),IF(OR(L75="X",L75="x",AND(OR(COUNTA(J75,K75,M75,N75)&gt;0,OR(L75="X",L75="x")),(LEN(SUBSTITUTE(SUBSTITUTE(SUBSTITUTE(J75," ",""),"0",""),"-",""))+LEN(SUBSTITUTE(SUBSTITUTE(SUBSTITUTE(K75," ",""),"0",""),"-","")))=(LEN(SUBSTITUTE(SUBSTITUTE(SUBSTITUTE(M75," ",""),"0",""),"-",""))+LEN(SUBSTITUTE(SUBSTITUTE(SUBSTITUTE(N75," ",""),"0",""),"-",""))))),0,(LEN(SUBSTITUTE(SUBSTITUTE(SUBSTITUTE(M75," ",""),"0",""),"-",""))+LEN(SUBSTITUTE(SUBSTITUTE(SUBSTITUTE(N75," ",""),"0",""),"-",""))&lt;LEN(SUBSTITUTE(SUBSTITUTE(SUBSTITUTE(J75," ",""),"0",""),"-",""))+LEN(SUBSTITUTE(SUBSTITUTE(SUBSTITUTE(K75," ",""),"0",""),"-","")))*1),0)+IF(OR(COUNTA(J76,K76,M76,N76)&gt;0,OR(L76="X",L76="x")),IF(OR(L76="X",L76="x",AND(OR(COUNTA(J76,K76,M76,N76)&gt;0,OR(L76="X",L76="x")),(LEN(SUBSTITUTE(SUBSTITUTE(SUBSTITUTE(J76," ",""),"0",""),"-",""))+LEN(SUBSTITUTE(SUBSTITUTE(SUBSTITUTE(K76," ",""),"0",""),"-","")))=(LEN(SUBSTITUTE(SUBSTITUTE(SUBSTITUTE(M76," ",""),"0",""),"-",""))+LEN(SUBSTITUTE(SUBSTITUTE(SUBSTITUTE(N76," ",""),"0",""),"-",""))))),0,(LEN(SUBSTITUTE(SUBSTITUTE(SUBSTITUTE(M76," ",""),"0",""),"-",""))+LEN(SUBSTITUTE(SUBSTITUTE(SUBSTITUTE(N76," ",""),"0",""),"-",""))&lt;LEN(SUBSTITUTE(SUBSTITUTE(SUBSTITUTE(J76," ",""),"0",""),"-",""))+LEN(SUBSTITUTE(SUBSTITUTE(SUBSTITUTE(K76," ",""),"0",""),"-","")))*1),0)</f>
      </c>
      <c r="L80" s="14" t="str">
        <f>IF(OR(COUNTA(J75,K75,M75,N75)&gt;0,OR(L75="X",L75="x")),IF(OR(L75="X",L75="x",AND(OR(COUNTA(J75,K75,M75,N75)&gt;0,OR(L75="X",L75="x")),(LEN(SUBSTITUTE(SUBSTITUTE(SUBSTITUTE(J75," ",""),"0",""),"-",""))+LEN(SUBSTITUTE(SUBSTITUTE(SUBSTITUTE(K75," ",""),"0",""),"-","")))=(LEN(SUBSTITUTE(SUBSTITUTE(SUBSTITUTE(M75," ",""),"0",""),"-",""))+LEN(SUBSTITUTE(SUBSTITUTE(SUBSTITUTE(N75," ",""),"0",""),"-",""))))),1,0),0)+IF(OR(COUNTA(J76,K76,M76,N76)&gt;0,OR(L76="X",L76="x")),IF(OR(L76="X",L76="x",AND(OR(COUNTA(J76,K76,M76,N76)&gt;0,OR(L76="X",L76="x")),(LEN(SUBSTITUTE(SUBSTITUTE(SUBSTITUTE(J76," ",""),"0",""),"-",""))+LEN(SUBSTITUTE(SUBSTITUTE(SUBSTITUTE(K76," ",""),"0",""),"-","")))=(LEN(SUBSTITUTE(SUBSTITUTE(SUBSTITUTE(M76," ",""),"0",""),"-",""))+LEN(SUBSTITUTE(SUBSTITUTE(SUBSTITUTE(N76," ",""),"0",""),"-",""))))),1,0),0)</f>
      </c>
      <c r="M80" s="14" t="str">
        <f>LEN(SUBSTITUTE(SUBSTITUTE(SUBSTITUTE(M75," ",""),"0",""),"-",""))+LEN(SUBSTITUTE(SUBSTITUTE(SUBSTITUTE(N75," ",""),"0",""),"-",""))+LEN(SUBSTITUTE(SUBSTITUTE(SUBSTITUTE(M76," ",""),"0",""),"-",""))+LEN(SUBSTITUTE(SUBSTITUTE(SUBSTITUTE(N76," ",""),"0",""),"-",""))</f>
      </c>
      <c r="N80" s="14" t="str">
        <f>LEN(SUBSTITUTE(SUBSTITUTE(SUBSTITUTE(J75," ",""),"0",""),"-",""))+LEN(SUBSTITUTE(SUBSTITUTE(SUBSTITUTE(K75," ",""),"0",""),"-",""))+LEN(SUBSTITUTE(SUBSTITUTE(SUBSTITUTE(J76," ",""),"0",""),"-",""))+LEN(SUBSTITUTE(SUBSTITUTE(SUBSTITUTE(K76," ",""),"0",""),"-",""))</f>
      </c>
      <c r="O80" s="18" t="str">
        <f>RANK(AC80,$AC$80:$AC$82)+COUNTIF($AC$79:AC79,AC80)</f>
      </c>
      <c r="U80" t="str">
        <f>(B80*1000000)-(C80*10000)+(D80*100)+(E80*1)-(F80*0.01)</f>
      </c>
      <c r="AC80" t="str">
        <f>(J80*1000000)-(K80*10000)+(L80*100)+(M80*1)-(N80*0.01)</f>
      </c>
    </row>
    <row r="81">
      <c r="A81" s="14" t="str">
        <f>data!$E$17&amp;" "&amp;data!$B$17</f>
      </c>
      <c r="B81" s="14" t="str">
        <f>IF(OR(COUNTA(B75,C75,E75,F75)&gt;0,OR(D75="X",D75="x")),IF(OR(D75="X",D75="x",AND(OR(COUNTA(B75,C75,E75,F75)&gt;0,OR(D75="X",D75="x")),(LEN(SUBSTITUTE(SUBSTITUTE(SUBSTITUTE(B75," ",""),"0",""),"-",""))+LEN(SUBSTITUTE(SUBSTITUTE(SUBSTITUTE(C75," ",""),"0",""),"-","")))=(LEN(SUBSTITUTE(SUBSTITUTE(SUBSTITUTE(E75," ",""),"0",""),"-",""))+LEN(SUBSTITUTE(SUBSTITUTE(SUBSTITUTE(F75," ",""),"0",""),"-",""))))),0,(LEN(SUBSTITUTE(SUBSTITUTE(SUBSTITUTE(B75," ",""),"0",""),"-",""))+LEN(SUBSTITUTE(SUBSTITUTE(SUBSTITUTE(C75," ",""),"0",""),"-",""))&gt;LEN(SUBSTITUTE(SUBSTITUTE(SUBSTITUTE(E75," ",""),"0",""),"-",""))+LEN(SUBSTITUTE(SUBSTITUTE(SUBSTITUTE(F75," ",""),"0",""),"-","")))*1),0)+IF(OR(COUNTA(B77,C77,E77,F77)&gt;0,OR(D77="X",D77="x")),IF(OR(D77="X",D77="x",AND(OR(COUNTA(B77,C77,E77,F77)&gt;0,OR(D77="X",D77="x")),(LEN(SUBSTITUTE(SUBSTITUTE(SUBSTITUTE(B77," ",""),"0",""),"-",""))+LEN(SUBSTITUTE(SUBSTITUTE(SUBSTITUTE(C77," ",""),"0",""),"-","")))=(LEN(SUBSTITUTE(SUBSTITUTE(SUBSTITUTE(E77," ",""),"0",""),"-",""))+LEN(SUBSTITUTE(SUBSTITUTE(SUBSTITUTE(F77," ",""),"0",""),"-",""))))),0,(LEN(SUBSTITUTE(SUBSTITUTE(SUBSTITUTE(E77," ",""),"0",""),"-",""))+LEN(SUBSTITUTE(SUBSTITUTE(SUBSTITUTE(F77," ",""),"0",""),"-",""))&gt;LEN(SUBSTITUTE(SUBSTITUTE(SUBSTITUTE(B77," ",""),"0",""),"-",""))+LEN(SUBSTITUTE(SUBSTITUTE(SUBSTITUTE(C77," ",""),"0",""),"-","")))*1),0)</f>
      </c>
      <c r="C81" s="14" t="str">
        <f>IF(OR(COUNTA(B75,C75,E75,F75)&gt;0,OR(D75="X",D75="x")),IF(OR(D75="X",D75="x",AND(OR(COUNTA(B75,C75,E75,F75)&gt;0,OR(D75="X",D75="x")),(LEN(SUBSTITUTE(SUBSTITUTE(SUBSTITUTE(B75," ",""),"0",""),"-",""))+LEN(SUBSTITUTE(SUBSTITUTE(SUBSTITUTE(C75," ",""),"0",""),"-","")))=(LEN(SUBSTITUTE(SUBSTITUTE(SUBSTITUTE(E75," ",""),"0",""),"-",""))+LEN(SUBSTITUTE(SUBSTITUTE(SUBSTITUTE(F75," ",""),"0",""),"-",""))))),0,(LEN(SUBSTITUTE(SUBSTITUTE(SUBSTITUTE(B75," ",""),"0",""),"-",""))+LEN(SUBSTITUTE(SUBSTITUTE(SUBSTITUTE(C75," ",""),"0",""),"-",""))&lt;LEN(SUBSTITUTE(SUBSTITUTE(SUBSTITUTE(E75," ",""),"0",""),"-",""))+LEN(SUBSTITUTE(SUBSTITUTE(SUBSTITUTE(F75," ",""),"0",""),"-","")))*1),0)+IF(OR(COUNTA(B77,C77,E77,F77)&gt;0,OR(D77="X",D77="x")),IF(OR(D77="X",D77="x",AND(OR(COUNTA(B77,C77,E77,F77)&gt;0,OR(D77="X",D77="x")),(LEN(SUBSTITUTE(SUBSTITUTE(SUBSTITUTE(B77," ",""),"0",""),"-",""))+LEN(SUBSTITUTE(SUBSTITUTE(SUBSTITUTE(C77," ",""),"0",""),"-","")))=(LEN(SUBSTITUTE(SUBSTITUTE(SUBSTITUTE(E77," ",""),"0",""),"-",""))+LEN(SUBSTITUTE(SUBSTITUTE(SUBSTITUTE(F77," ",""),"0",""),"-",""))))),0,(LEN(SUBSTITUTE(SUBSTITUTE(SUBSTITUTE(E77," ",""),"0",""),"-",""))+LEN(SUBSTITUTE(SUBSTITUTE(SUBSTITUTE(F77," ",""),"0",""),"-",""))&lt;LEN(SUBSTITUTE(SUBSTITUTE(SUBSTITUTE(B77," ",""),"0",""),"-",""))+LEN(SUBSTITUTE(SUBSTITUTE(SUBSTITUTE(C77," ",""),"0",""),"-","")))*1),0)</f>
      </c>
      <c r="D81" s="14" t="str">
        <f>IF(OR(COUNTA(B75,C75,E75,F75)&gt;0,OR(D75="X",D75="x")),IF(OR(D75="X",D75="x",AND(OR(COUNTA(B75,C75,E75,F75)&gt;0,OR(D75="X",D75="x")),(LEN(SUBSTITUTE(SUBSTITUTE(SUBSTITUTE(B75," ",""),"0",""),"-",""))+LEN(SUBSTITUTE(SUBSTITUTE(SUBSTITUTE(C75," ",""),"0",""),"-","")))=(LEN(SUBSTITUTE(SUBSTITUTE(SUBSTITUTE(E75," ",""),"0",""),"-",""))+LEN(SUBSTITUTE(SUBSTITUTE(SUBSTITUTE(F75," ",""),"0",""),"-",""))))),1,0),0)+IF(OR(COUNTA(B77,C77,E77,F77)&gt;0,OR(D77="X",D77="x")),IF(OR(D77="X",D77="x",AND(OR(COUNTA(B77,C77,E77,F77)&gt;0,OR(D77="X",D77="x")),(LEN(SUBSTITUTE(SUBSTITUTE(SUBSTITUTE(B77," ",""),"0",""),"-",""))+LEN(SUBSTITUTE(SUBSTITUTE(SUBSTITUTE(C77," ",""),"0",""),"-","")))=(LEN(SUBSTITUTE(SUBSTITUTE(SUBSTITUTE(E77," ",""),"0",""),"-",""))+LEN(SUBSTITUTE(SUBSTITUTE(SUBSTITUTE(F77," ",""),"0",""),"-",""))))),1,0),0)</f>
      </c>
      <c r="E81" s="14" t="str">
        <f>LEN(SUBSTITUTE(SUBSTITUTE(SUBSTITUTE(B75," ",""),"0",""),"-",""))+LEN(SUBSTITUTE(SUBSTITUTE(SUBSTITUTE(C75," ",""),"0",""),"-",""))+LEN(SUBSTITUTE(SUBSTITUTE(SUBSTITUTE(E77," ",""),"0",""),"-",""))+LEN(SUBSTITUTE(SUBSTITUTE(SUBSTITUTE(F77," ",""),"0",""),"-",""))</f>
      </c>
      <c r="F81" s="14" t="str">
        <f>LEN(SUBSTITUTE(SUBSTITUTE(SUBSTITUTE(E75," ",""),"0",""),"-",""))+LEN(SUBSTITUTE(SUBSTITUTE(SUBSTITUTE(F75," ",""),"0",""),"-",""))+LEN(SUBSTITUTE(SUBSTITUTE(SUBSTITUTE(B77," ",""),"0",""),"-",""))+LEN(SUBSTITUTE(SUBSTITUTE(SUBSTITUTE(C77," ",""),"0",""),"-",""))</f>
      </c>
      <c r="G81" s="18" t="str">
        <f>RANK(U81,$U$80:$U$82)+COUNTIF($U$79:U80,U81)</f>
      </c>
      <c r="I81" s="14" t="str">
        <f>data!$E$62&amp;" "&amp;data!$B$62</f>
      </c>
      <c r="J81" s="14" t="str">
        <f>IF(OR(COUNTA(J75,K75,M75,N75)&gt;0,OR(L75="X",L75="x")),IF(OR(L75="X",L75="x",AND(OR(COUNTA(J75,K75,M75,N75)&gt;0,OR(L75="X",L75="x")),(LEN(SUBSTITUTE(SUBSTITUTE(SUBSTITUTE(J75," ",""),"0",""),"-",""))+LEN(SUBSTITUTE(SUBSTITUTE(SUBSTITUTE(K75," ",""),"0",""),"-","")))=(LEN(SUBSTITUTE(SUBSTITUTE(SUBSTITUTE(M75," ",""),"0",""),"-",""))+LEN(SUBSTITUTE(SUBSTITUTE(SUBSTITUTE(N75," ",""),"0",""),"-",""))))),0,(LEN(SUBSTITUTE(SUBSTITUTE(SUBSTITUTE(J75," ",""),"0",""),"-",""))+LEN(SUBSTITUTE(SUBSTITUTE(SUBSTITUTE(K75," ",""),"0",""),"-",""))&gt;LEN(SUBSTITUTE(SUBSTITUTE(SUBSTITUTE(M75," ",""),"0",""),"-",""))+LEN(SUBSTITUTE(SUBSTITUTE(SUBSTITUTE(N75," ",""),"0",""),"-","")))*1),0)+IF(OR(COUNTA(J77,K77,M77,N77)&gt;0,OR(L77="X",L77="x")),IF(OR(L77="X",L77="x",AND(OR(COUNTA(J77,K77,M77,N77)&gt;0,OR(L77="X",L77="x")),(LEN(SUBSTITUTE(SUBSTITUTE(SUBSTITUTE(J77," ",""),"0",""),"-",""))+LEN(SUBSTITUTE(SUBSTITUTE(SUBSTITUTE(K77," ",""),"0",""),"-","")))=(LEN(SUBSTITUTE(SUBSTITUTE(SUBSTITUTE(M77," ",""),"0",""),"-",""))+LEN(SUBSTITUTE(SUBSTITUTE(SUBSTITUTE(N77," ",""),"0",""),"-",""))))),0,(LEN(SUBSTITUTE(SUBSTITUTE(SUBSTITUTE(M77," ",""),"0",""),"-",""))+LEN(SUBSTITUTE(SUBSTITUTE(SUBSTITUTE(N77," ",""),"0",""),"-",""))&gt;LEN(SUBSTITUTE(SUBSTITUTE(SUBSTITUTE(J77," ",""),"0",""),"-",""))+LEN(SUBSTITUTE(SUBSTITUTE(SUBSTITUTE(K77," ",""),"0",""),"-","")))*1),0)</f>
      </c>
      <c r="K81" s="14" t="str">
        <f>IF(OR(COUNTA(J75,K75,M75,N75)&gt;0,OR(L75="X",L75="x")),IF(OR(L75="X",L75="x",AND(OR(COUNTA(J75,K75,M75,N75)&gt;0,OR(L75="X",L75="x")),(LEN(SUBSTITUTE(SUBSTITUTE(SUBSTITUTE(J75," ",""),"0",""),"-",""))+LEN(SUBSTITUTE(SUBSTITUTE(SUBSTITUTE(K75," ",""),"0",""),"-","")))=(LEN(SUBSTITUTE(SUBSTITUTE(SUBSTITUTE(M75," ",""),"0",""),"-",""))+LEN(SUBSTITUTE(SUBSTITUTE(SUBSTITUTE(N75," ",""),"0",""),"-",""))))),0,(LEN(SUBSTITUTE(SUBSTITUTE(SUBSTITUTE(J75," ",""),"0",""),"-",""))+LEN(SUBSTITUTE(SUBSTITUTE(SUBSTITUTE(K75," ",""),"0",""),"-",""))&lt;LEN(SUBSTITUTE(SUBSTITUTE(SUBSTITUTE(M75," ",""),"0",""),"-",""))+LEN(SUBSTITUTE(SUBSTITUTE(SUBSTITUTE(N75," ",""),"0",""),"-","")))*1),0)+IF(OR(COUNTA(J77,K77,M77,N77)&gt;0,OR(L77="X",L77="x")),IF(OR(L77="X",L77="x",AND(OR(COUNTA(J77,K77,M77,N77)&gt;0,OR(L77="X",L77="x")),(LEN(SUBSTITUTE(SUBSTITUTE(SUBSTITUTE(J77," ",""),"0",""),"-",""))+LEN(SUBSTITUTE(SUBSTITUTE(SUBSTITUTE(K77," ",""),"0",""),"-","")))=(LEN(SUBSTITUTE(SUBSTITUTE(SUBSTITUTE(M77," ",""),"0",""),"-",""))+LEN(SUBSTITUTE(SUBSTITUTE(SUBSTITUTE(N77," ",""),"0",""),"-",""))))),0,(LEN(SUBSTITUTE(SUBSTITUTE(SUBSTITUTE(M77," ",""),"0",""),"-",""))+LEN(SUBSTITUTE(SUBSTITUTE(SUBSTITUTE(N77," ",""),"0",""),"-",""))&lt;LEN(SUBSTITUTE(SUBSTITUTE(SUBSTITUTE(J77," ",""),"0",""),"-",""))+LEN(SUBSTITUTE(SUBSTITUTE(SUBSTITUTE(K77," ",""),"0",""),"-","")))*1),0)</f>
      </c>
      <c r="L81" s="14" t="str">
        <f>IF(OR(COUNTA(J75,K75,M75,N75)&gt;0,OR(L75="X",L75="x")),IF(OR(L75="X",L75="x",AND(OR(COUNTA(J75,K75,M75,N75)&gt;0,OR(L75="X",L75="x")),(LEN(SUBSTITUTE(SUBSTITUTE(SUBSTITUTE(J75," ",""),"0",""),"-",""))+LEN(SUBSTITUTE(SUBSTITUTE(SUBSTITUTE(K75," ",""),"0",""),"-","")))=(LEN(SUBSTITUTE(SUBSTITUTE(SUBSTITUTE(M75," ",""),"0",""),"-",""))+LEN(SUBSTITUTE(SUBSTITUTE(SUBSTITUTE(N75," ",""),"0",""),"-",""))))),1,0),0)+IF(OR(COUNTA(J77,K77,M77,N77)&gt;0,OR(L77="X",L77="x")),IF(OR(L77="X",L77="x",AND(OR(COUNTA(J77,K77,M77,N77)&gt;0,OR(L77="X",L77="x")),(LEN(SUBSTITUTE(SUBSTITUTE(SUBSTITUTE(J77," ",""),"0",""),"-",""))+LEN(SUBSTITUTE(SUBSTITUTE(SUBSTITUTE(K77," ",""),"0",""),"-","")))=(LEN(SUBSTITUTE(SUBSTITUTE(SUBSTITUTE(M77," ",""),"0",""),"-",""))+LEN(SUBSTITUTE(SUBSTITUTE(SUBSTITUTE(N77," ",""),"0",""),"-",""))))),1,0),0)</f>
      </c>
      <c r="M81" s="14" t="str">
        <f>LEN(SUBSTITUTE(SUBSTITUTE(SUBSTITUTE(J75," ",""),"0",""),"-",""))+LEN(SUBSTITUTE(SUBSTITUTE(SUBSTITUTE(K75," ",""),"0",""),"-",""))+LEN(SUBSTITUTE(SUBSTITUTE(SUBSTITUTE(M77," ",""),"0",""),"-",""))+LEN(SUBSTITUTE(SUBSTITUTE(SUBSTITUTE(N77," ",""),"0",""),"-",""))</f>
      </c>
      <c r="N81" s="14" t="str">
        <f>LEN(SUBSTITUTE(SUBSTITUTE(SUBSTITUTE(M75," ",""),"0",""),"-",""))+LEN(SUBSTITUTE(SUBSTITUTE(SUBSTITUTE(N75," ",""),"0",""),"-",""))+LEN(SUBSTITUTE(SUBSTITUTE(SUBSTITUTE(J77," ",""),"0",""),"-",""))+LEN(SUBSTITUTE(SUBSTITUTE(SUBSTITUTE(K77," ",""),"0",""),"-",""))</f>
      </c>
      <c r="O81" s="18" t="str">
        <f>RANK(AC81,$AC$80:$AC$82)+COUNTIF($AC$79:AC80,AC81)</f>
      </c>
      <c r="U81" t="str">
        <f>(B81*1000000)-(C81*10000)+(D81*100)+(E81*1)-(F81*0.01)</f>
      </c>
      <c r="AC81" t="str">
        <f>(J81*1000000)-(K81*10000)+(L81*100)+(M81*1)-(N81*0.01)</f>
      </c>
    </row>
    <row r="82">
      <c r="A82" s="14" t="str">
        <f>data!$E$18&amp;" "&amp;data!$B$18</f>
      </c>
      <c r="B82" s="14" t="str">
        <f>IF(OR(COUNTA(B76,C76,E76,F76)&gt;0,OR(D76="X",D76="x")),IF(OR(D76="X",D76="x",AND(OR(COUNTA(B76,C76,E76,F76)&gt;0,OR(D76="X",D76="x")),(LEN(SUBSTITUTE(SUBSTITUTE(SUBSTITUTE(B76," ",""),"0",""),"-",""))+LEN(SUBSTITUTE(SUBSTITUTE(SUBSTITUTE(C76," ",""),"0",""),"-","")))=(LEN(SUBSTITUTE(SUBSTITUTE(SUBSTITUTE(E76," ",""),"0",""),"-",""))+LEN(SUBSTITUTE(SUBSTITUTE(SUBSTITUTE(F76," ",""),"0",""),"-",""))))),0,(LEN(SUBSTITUTE(SUBSTITUTE(SUBSTITUTE(B76," ",""),"0",""),"-",""))+LEN(SUBSTITUTE(SUBSTITUTE(SUBSTITUTE(C76," ",""),"0",""),"-",""))&gt;LEN(SUBSTITUTE(SUBSTITUTE(SUBSTITUTE(E76," ",""),"0",""),"-",""))+LEN(SUBSTITUTE(SUBSTITUTE(SUBSTITUTE(F76," ",""),"0",""),"-","")))*1),0)+IF(OR(COUNTA(B77,C77,E77,F77)&gt;0,OR(D77="X",D77="x")),IF(OR(D77="X",D77="x",AND(OR(COUNTA(B77,C77,E77,F77)&gt;0,OR(D77="X",D77="x")),(LEN(SUBSTITUTE(SUBSTITUTE(SUBSTITUTE(B77," ",""),"0",""),"-",""))+LEN(SUBSTITUTE(SUBSTITUTE(SUBSTITUTE(C77," ",""),"0",""),"-","")))=(LEN(SUBSTITUTE(SUBSTITUTE(SUBSTITUTE(E77," ",""),"0",""),"-",""))+LEN(SUBSTITUTE(SUBSTITUTE(SUBSTITUTE(F77," ",""),"0",""),"-",""))))),0,(LEN(SUBSTITUTE(SUBSTITUTE(SUBSTITUTE(B77," ",""),"0",""),"-",""))+LEN(SUBSTITUTE(SUBSTITUTE(SUBSTITUTE(C77," ",""),"0",""),"-",""))&gt;LEN(SUBSTITUTE(SUBSTITUTE(SUBSTITUTE(E77," ",""),"0",""),"-",""))+LEN(SUBSTITUTE(SUBSTITUTE(SUBSTITUTE(F77," ",""),"0",""),"-","")))*1),0)</f>
      </c>
      <c r="C82" s="14" t="str">
        <f>IF(OR(COUNTA(B76,C76,E76,F76)&gt;0,OR(D76="X",D76="x")),IF(OR(D76="X",D76="x",AND(OR(COUNTA(B76,C76,E76,F76)&gt;0,OR(D76="X",D76="x")),(LEN(SUBSTITUTE(SUBSTITUTE(SUBSTITUTE(B76," ",""),"0",""),"-",""))+LEN(SUBSTITUTE(SUBSTITUTE(SUBSTITUTE(C76," ",""),"0",""),"-","")))=(LEN(SUBSTITUTE(SUBSTITUTE(SUBSTITUTE(E76," ",""),"0",""),"-",""))+LEN(SUBSTITUTE(SUBSTITUTE(SUBSTITUTE(F76," ",""),"0",""),"-",""))))),0,(LEN(SUBSTITUTE(SUBSTITUTE(SUBSTITUTE(B76," ",""),"0",""),"-",""))+LEN(SUBSTITUTE(SUBSTITUTE(SUBSTITUTE(C76," ",""),"0",""),"-",""))&lt;LEN(SUBSTITUTE(SUBSTITUTE(SUBSTITUTE(E76," ",""),"0",""),"-",""))+LEN(SUBSTITUTE(SUBSTITUTE(SUBSTITUTE(F76," ",""),"0",""),"-","")))*1),0)+IF(OR(COUNTA(B77,C77,E77,F77)&gt;0,OR(D77="X",D77="x")),IF(OR(D77="X",D77="x",AND(OR(COUNTA(B77,C77,E77,F77)&gt;0,OR(D77="X",D77="x")),(LEN(SUBSTITUTE(SUBSTITUTE(SUBSTITUTE(B77," ",""),"0",""),"-",""))+LEN(SUBSTITUTE(SUBSTITUTE(SUBSTITUTE(C77," ",""),"0",""),"-","")))=(LEN(SUBSTITUTE(SUBSTITUTE(SUBSTITUTE(E77," ",""),"0",""),"-",""))+LEN(SUBSTITUTE(SUBSTITUTE(SUBSTITUTE(F77," ",""),"0",""),"-",""))))),0,(LEN(SUBSTITUTE(SUBSTITUTE(SUBSTITUTE(B77," ",""),"0",""),"-",""))+LEN(SUBSTITUTE(SUBSTITUTE(SUBSTITUTE(C77," ",""),"0",""),"-",""))&lt;LEN(SUBSTITUTE(SUBSTITUTE(SUBSTITUTE(E77," ",""),"0",""),"-",""))+LEN(SUBSTITUTE(SUBSTITUTE(SUBSTITUTE(F77," ",""),"0",""),"-","")))*1),0)</f>
      </c>
      <c r="D82" s="14" t="str">
        <f>IF(OR(COUNTA(B76,C76,E76,F76)&gt;0,OR(D76="X",D76="x")),IF(OR(D76="X",D76="x",AND(OR(COUNTA(B76,C76,E76,F76)&gt;0,OR(D76="X",D76="x")),(LEN(SUBSTITUTE(SUBSTITUTE(SUBSTITUTE(B76," ",""),"0",""),"-",""))+LEN(SUBSTITUTE(SUBSTITUTE(SUBSTITUTE(C76," ",""),"0",""),"-","")))=(LEN(SUBSTITUTE(SUBSTITUTE(SUBSTITUTE(E76," ",""),"0",""),"-",""))+LEN(SUBSTITUTE(SUBSTITUTE(SUBSTITUTE(F76," ",""),"0",""),"-",""))))),1,0),0)+IF(OR(COUNTA(B77,C77,E77,F77)&gt;0,OR(D77="X",D77="x")),IF(OR(D77="X",D77="x",AND(OR(COUNTA(B77,C77,E77,F77)&gt;0,OR(D77="X",D77="x")),(LEN(SUBSTITUTE(SUBSTITUTE(SUBSTITUTE(B77," ",""),"0",""),"-",""))+LEN(SUBSTITUTE(SUBSTITUTE(SUBSTITUTE(C77," ",""),"0",""),"-","")))=(LEN(SUBSTITUTE(SUBSTITUTE(SUBSTITUTE(E77," ",""),"0",""),"-",""))+LEN(SUBSTITUTE(SUBSTITUTE(SUBSTITUTE(F77," ",""),"0",""),"-",""))))),1,0),0)</f>
      </c>
      <c r="E82" s="14" t="str">
        <f>LEN(SUBSTITUTE(SUBSTITUTE(SUBSTITUTE(B76," ",""),"0",""),"-",""))+LEN(SUBSTITUTE(SUBSTITUTE(SUBSTITUTE(C76," ",""),"0",""),"-",""))+LEN(SUBSTITUTE(SUBSTITUTE(SUBSTITUTE(B77," ",""),"0",""),"-",""))+LEN(SUBSTITUTE(SUBSTITUTE(SUBSTITUTE(C77," ",""),"0",""),"-",""))</f>
      </c>
      <c r="F82" s="14" t="str">
        <f>LEN(SUBSTITUTE(SUBSTITUTE(SUBSTITUTE(E76," ",""),"0",""),"-",""))+LEN(SUBSTITUTE(SUBSTITUTE(SUBSTITUTE(F76," ",""),"0",""),"-",""))+LEN(SUBSTITUTE(SUBSTITUTE(SUBSTITUTE(E77," ",""),"0",""),"-",""))+LEN(SUBSTITUTE(SUBSTITUTE(SUBSTITUTE(F77," ",""),"0",""),"-",""))</f>
      </c>
      <c r="G82" s="18" t="str">
        <f>RANK(U82,$U$80:$U$82)+COUNTIF($U$79:U81,U82)</f>
      </c>
      <c r="I82" s="14" t="str">
        <f>data!$E$63&amp;" "&amp;data!$B$63</f>
      </c>
      <c r="J82" s="14" t="str">
        <f>IF(OR(COUNTA(J76,K76,M76,N76)&gt;0,OR(L76="X",L76="x")),IF(OR(L76="X",L76="x",AND(OR(COUNTA(J76,K76,M76,N76)&gt;0,OR(L76="X",L76="x")),(LEN(SUBSTITUTE(SUBSTITUTE(SUBSTITUTE(J76," ",""),"0",""),"-",""))+LEN(SUBSTITUTE(SUBSTITUTE(SUBSTITUTE(K76," ",""),"0",""),"-","")))=(LEN(SUBSTITUTE(SUBSTITUTE(SUBSTITUTE(M76," ",""),"0",""),"-",""))+LEN(SUBSTITUTE(SUBSTITUTE(SUBSTITUTE(N76," ",""),"0",""),"-",""))))),0,(LEN(SUBSTITUTE(SUBSTITUTE(SUBSTITUTE(J76," ",""),"0",""),"-",""))+LEN(SUBSTITUTE(SUBSTITUTE(SUBSTITUTE(K76," ",""),"0",""),"-",""))&gt;LEN(SUBSTITUTE(SUBSTITUTE(SUBSTITUTE(M76," ",""),"0",""),"-",""))+LEN(SUBSTITUTE(SUBSTITUTE(SUBSTITUTE(N76," ",""),"0",""),"-","")))*1),0)+IF(OR(COUNTA(J77,K77,M77,N77)&gt;0,OR(L77="X",L77="x")),IF(OR(L77="X",L77="x",AND(OR(COUNTA(J77,K77,M77,N77)&gt;0,OR(L77="X",L77="x")),(LEN(SUBSTITUTE(SUBSTITUTE(SUBSTITUTE(J77," ",""),"0",""),"-",""))+LEN(SUBSTITUTE(SUBSTITUTE(SUBSTITUTE(K77," ",""),"0",""),"-","")))=(LEN(SUBSTITUTE(SUBSTITUTE(SUBSTITUTE(M77," ",""),"0",""),"-",""))+LEN(SUBSTITUTE(SUBSTITUTE(SUBSTITUTE(N77," ",""),"0",""),"-",""))))),0,(LEN(SUBSTITUTE(SUBSTITUTE(SUBSTITUTE(J77," ",""),"0",""),"-",""))+LEN(SUBSTITUTE(SUBSTITUTE(SUBSTITUTE(K77," ",""),"0",""),"-",""))&gt;LEN(SUBSTITUTE(SUBSTITUTE(SUBSTITUTE(M77," ",""),"0",""),"-",""))+LEN(SUBSTITUTE(SUBSTITUTE(SUBSTITUTE(N77," ",""),"0",""),"-","")))*1),0)</f>
      </c>
      <c r="K82" s="14" t="str">
        <f>IF(OR(COUNTA(J76,K76,M76,N76)&gt;0,OR(L76="X",L76="x")),IF(OR(L76="X",L76="x",AND(OR(COUNTA(J76,K76,M76,N76)&gt;0,OR(L76="X",L76="x")),(LEN(SUBSTITUTE(SUBSTITUTE(SUBSTITUTE(J76," ",""),"0",""),"-",""))+LEN(SUBSTITUTE(SUBSTITUTE(SUBSTITUTE(K76," ",""),"0",""),"-","")))=(LEN(SUBSTITUTE(SUBSTITUTE(SUBSTITUTE(M76," ",""),"0",""),"-",""))+LEN(SUBSTITUTE(SUBSTITUTE(SUBSTITUTE(N76," ",""),"0",""),"-",""))))),0,(LEN(SUBSTITUTE(SUBSTITUTE(SUBSTITUTE(J76," ",""),"0",""),"-",""))+LEN(SUBSTITUTE(SUBSTITUTE(SUBSTITUTE(K76," ",""),"0",""),"-",""))&lt;LEN(SUBSTITUTE(SUBSTITUTE(SUBSTITUTE(M76," ",""),"0",""),"-",""))+LEN(SUBSTITUTE(SUBSTITUTE(SUBSTITUTE(N76," ",""),"0",""),"-","")))*1),0)+IF(OR(COUNTA(J77,K77,M77,N77)&gt;0,OR(L77="X",L77="x")),IF(OR(L77="X",L77="x",AND(OR(COUNTA(J77,K77,M77,N77)&gt;0,OR(L77="X",L77="x")),(LEN(SUBSTITUTE(SUBSTITUTE(SUBSTITUTE(J77," ",""),"0",""),"-",""))+LEN(SUBSTITUTE(SUBSTITUTE(SUBSTITUTE(K77," ",""),"0",""),"-","")))=(LEN(SUBSTITUTE(SUBSTITUTE(SUBSTITUTE(M77," ",""),"0",""),"-",""))+LEN(SUBSTITUTE(SUBSTITUTE(SUBSTITUTE(N77," ",""),"0",""),"-",""))))),0,(LEN(SUBSTITUTE(SUBSTITUTE(SUBSTITUTE(J77," ",""),"0",""),"-",""))+LEN(SUBSTITUTE(SUBSTITUTE(SUBSTITUTE(K77," ",""),"0",""),"-",""))&lt;LEN(SUBSTITUTE(SUBSTITUTE(SUBSTITUTE(M77," ",""),"0",""),"-",""))+LEN(SUBSTITUTE(SUBSTITUTE(SUBSTITUTE(N77," ",""),"0",""),"-","")))*1),0)</f>
      </c>
      <c r="L82" s="14" t="str">
        <f>IF(OR(COUNTA(J76,K76,M76,N76)&gt;0,OR(L76="X",L76="x")),IF(OR(L76="X",L76="x",AND(OR(COUNTA(J76,K76,M76,N76)&gt;0,OR(L76="X",L76="x")),(LEN(SUBSTITUTE(SUBSTITUTE(SUBSTITUTE(J76," ",""),"0",""),"-",""))+LEN(SUBSTITUTE(SUBSTITUTE(SUBSTITUTE(K76," ",""),"0",""),"-","")))=(LEN(SUBSTITUTE(SUBSTITUTE(SUBSTITUTE(M76," ",""),"0",""),"-",""))+LEN(SUBSTITUTE(SUBSTITUTE(SUBSTITUTE(N76," ",""),"0",""),"-",""))))),1,0),0)+IF(OR(COUNTA(J77,K77,M77,N77)&gt;0,OR(L77="X",L77="x")),IF(OR(L77="X",L77="x",AND(OR(COUNTA(J77,K77,M77,N77)&gt;0,OR(L77="X",L77="x")),(LEN(SUBSTITUTE(SUBSTITUTE(SUBSTITUTE(J77," ",""),"0",""),"-",""))+LEN(SUBSTITUTE(SUBSTITUTE(SUBSTITUTE(K77," ",""),"0",""),"-","")))=(LEN(SUBSTITUTE(SUBSTITUTE(SUBSTITUTE(M77," ",""),"0",""),"-",""))+LEN(SUBSTITUTE(SUBSTITUTE(SUBSTITUTE(N77," ",""),"0",""),"-",""))))),1,0),0)</f>
      </c>
      <c r="M82" s="14" t="str">
        <f>LEN(SUBSTITUTE(SUBSTITUTE(SUBSTITUTE(J76," ",""),"0",""),"-",""))+LEN(SUBSTITUTE(SUBSTITUTE(SUBSTITUTE(K76," ",""),"0",""),"-",""))+LEN(SUBSTITUTE(SUBSTITUTE(SUBSTITUTE(J77," ",""),"0",""),"-",""))+LEN(SUBSTITUTE(SUBSTITUTE(SUBSTITUTE(K77," ",""),"0",""),"-",""))</f>
      </c>
      <c r="N82" s="14" t="str">
        <f>LEN(SUBSTITUTE(SUBSTITUTE(SUBSTITUTE(M76," ",""),"0",""),"-",""))+LEN(SUBSTITUTE(SUBSTITUTE(SUBSTITUTE(N76," ",""),"0",""),"-",""))+LEN(SUBSTITUTE(SUBSTITUTE(SUBSTITUTE(M77," ",""),"0",""),"-",""))+LEN(SUBSTITUTE(SUBSTITUTE(SUBSTITUTE(N77," ",""),"0",""),"-",""))</f>
      </c>
      <c r="O82" s="18" t="str">
        <f>RANK(AC82,$AC$80:$AC$82)+COUNTIF($AC$79:AC81,AC82)</f>
      </c>
      <c r="U82" t="str">
        <f>(B82*1000000)-(C82*10000)+(D82*100)+(E82*1)-(F82*0.01)</f>
      </c>
      <c r="AC82" t="str">
        <f>(J82*1000000)-(K82*10000)+(L82*100)+(M82*1)-(N82*0.01)</f>
      </c>
    </row>
    <row r="85">
      <c r="F85" s="13"/>
      <c r="G85" s="13" t="s">
        <v>340</v>
      </c>
      <c r="N85" s="13"/>
      <c r="O85" s="13" t="s">
        <v>340</v>
      </c>
    </row>
    <row r="86">
      <c r="F86" t="s">
        <v>341</v>
      </c>
      <c r="G86" s="19" t="str">
        <f>IFERROR(INDEX($A$80:$A$82, MATCH(1, $G$80:$G$82, 0)), "-")</f>
      </c>
      <c r="N86" t="s">
        <v>341</v>
      </c>
      <c r="O86" s="19" t="str">
        <f>IFERROR(INDEX($I$80:$I$82, MATCH(1, $O$80:$O$82, 0)), "-")</f>
      </c>
    </row>
    <row r="87">
      <c r="F87" t="s">
        <v>342</v>
      </c>
      <c r="G87" s="19" t="str">
        <f>IFERROR(INDEX($A$80:$A$82, MATCH(2, $G$80:$G$82, 0)), "-")</f>
      </c>
      <c r="N87" t="s">
        <v>342</v>
      </c>
      <c r="O87" s="19" t="str">
        <f>IFERROR(INDEX($I$80:$I$82, MATCH(2, $O$80:$O$82, 0)), "-")</f>
      </c>
    </row>
    <row r="88">
      <c r="F88" t="s">
        <v>343</v>
      </c>
      <c r="G88" s="19" t="str">
        <f>IFERROR(INDEX($A$80:$A$82, MATCH(3, $G$80:$G$82, 0)), "-")</f>
      </c>
      <c r="N88" t="s">
        <v>343</v>
      </c>
      <c r="O88" s="19" t="str">
        <f>IFERROR(INDEX($I$80:$I$82, MATCH(3, $O$80:$O$82, 0)), "-")</f>
      </c>
    </row>
    <row r="90">
      <c r="A90" s="13" t="str">
        <f>'data'!$A$21</f>
      </c>
      <c r="B90" s="13"/>
      <c r="C90" s="13"/>
      <c r="D90" s="13"/>
      <c r="E90" s="13"/>
      <c r="F90" s="13"/>
      <c r="G90" s="13"/>
      <c r="I90" s="13" t="str">
        <f>'data'!$A$66</f>
      </c>
      <c r="J90" s="13"/>
      <c r="K90" s="13"/>
      <c r="L90" s="13"/>
      <c r="M90" s="13"/>
      <c r="N90" s="13"/>
      <c r="O90" s="13"/>
    </row>
    <row r="91">
      <c r="A91" s="17" t="s">
        <v>330</v>
      </c>
      <c r="D91" s="14" t="s">
        <v>331</v>
      </c>
      <c r="G91" s="16" t="s">
        <v>332</v>
      </c>
      <c r="I91" s="17" t="s">
        <v>330</v>
      </c>
      <c r="L91" s="14" t="s">
        <v>331</v>
      </c>
      <c r="O91" s="16" t="s">
        <v>332</v>
      </c>
    </row>
    <row r="92">
      <c r="A92" s="14" t="str">
        <f>data!$E$20&amp;" "&amp;data!$B$20</f>
      </c>
      <c r="B92" s="18"/>
      <c r="C92" s="18"/>
      <c r="D92" s="18"/>
      <c r="E92" s="18"/>
      <c r="F92" s="18"/>
      <c r="G92" s="14" t="str">
        <f>data!$E$19&amp;" "&amp;data!$B$19</f>
      </c>
      <c r="I92" s="14" t="str">
        <f>data!$E$65&amp;" "&amp;data!$B$65</f>
      </c>
      <c r="J92" s="18"/>
      <c r="K92" s="18"/>
      <c r="L92" s="18"/>
      <c r="M92" s="18"/>
      <c r="N92" s="18"/>
      <c r="O92" s="14" t="str">
        <f>data!$E$64&amp;" "&amp;data!$B$64</f>
      </c>
    </row>
    <row r="93">
      <c r="A93" s="14" t="str">
        <f>data!$E$21&amp;" "&amp;data!$B$21</f>
      </c>
      <c r="B93" s="18"/>
      <c r="C93" s="18"/>
      <c r="D93" s="18"/>
      <c r="E93" s="18"/>
      <c r="F93" s="18"/>
      <c r="G93" s="14" t="str">
        <f>data!$E$19&amp;" "&amp;data!$B$19</f>
      </c>
      <c r="I93" s="14" t="str">
        <f>data!$E$66&amp;" "&amp;data!$B$66</f>
      </c>
      <c r="J93" s="18"/>
      <c r="K93" s="18"/>
      <c r="L93" s="18"/>
      <c r="M93" s="18"/>
      <c r="N93" s="18"/>
      <c r="O93" s="14" t="str">
        <f>data!$E$64&amp;" "&amp;data!$B$64</f>
      </c>
    </row>
    <row r="94">
      <c r="A94" s="14" t="str">
        <f>data!$E$21&amp;" "&amp;data!$B$21</f>
      </c>
      <c r="B94" s="18"/>
      <c r="C94" s="18"/>
      <c r="D94" s="18"/>
      <c r="E94" s="18"/>
      <c r="F94" s="18"/>
      <c r="G94" s="14" t="str">
        <f>data!$E$20&amp;" "&amp;data!$B$20</f>
      </c>
      <c r="I94" s="14" t="str">
        <f>data!$E$66&amp;" "&amp;data!$B$66</f>
      </c>
      <c r="J94" s="18"/>
      <c r="K94" s="18"/>
      <c r="L94" s="18"/>
      <c r="M94" s="18"/>
      <c r="N94" s="18"/>
      <c r="O94" s="14" t="str">
        <f>data!$E$65&amp;" "&amp;data!$B$65</f>
      </c>
    </row>
    <row r="96">
      <c r="A96" s="13" t="s">
        <v>333</v>
      </c>
      <c r="B96" s="13" t="s">
        <v>334</v>
      </c>
      <c r="C96" s="13" t="s">
        <v>335</v>
      </c>
      <c r="D96" s="13" t="s">
        <v>336</v>
      </c>
      <c r="E96" s="13" t="s">
        <v>337</v>
      </c>
      <c r="F96" s="13" t="s">
        <v>338</v>
      </c>
      <c r="G96" s="13" t="s">
        <v>339</v>
      </c>
      <c r="I96" s="13" t="s">
        <v>333</v>
      </c>
      <c r="J96" s="13" t="s">
        <v>334</v>
      </c>
      <c r="K96" s="13" t="s">
        <v>335</v>
      </c>
      <c r="L96" s="13" t="s">
        <v>336</v>
      </c>
      <c r="M96" s="13" t="s">
        <v>337</v>
      </c>
      <c r="N96" s="13" t="s">
        <v>338</v>
      </c>
      <c r="O96" s="13" t="s">
        <v>339</v>
      </c>
    </row>
    <row r="97">
      <c r="A97" s="14" t="str">
        <f>data!$E$19&amp;" "&amp;data!$B$19</f>
      </c>
      <c r="B97" s="14" t="str">
        <f>IF(OR(COUNTA(B92,C92,E92,F92)&gt;0,OR(D92="X",D92="x")),IF(OR(D92="X",D92="x",AND(OR(COUNTA(B92,C92,E92,F92)&gt;0,OR(D92="X",D92="x")),(LEN(SUBSTITUTE(SUBSTITUTE(SUBSTITUTE(B92," ",""),"0",""),"-",""))+LEN(SUBSTITUTE(SUBSTITUTE(SUBSTITUTE(C92," ",""),"0",""),"-","")))=(LEN(SUBSTITUTE(SUBSTITUTE(SUBSTITUTE(E92," ",""),"0",""),"-",""))+LEN(SUBSTITUTE(SUBSTITUTE(SUBSTITUTE(F92," ",""),"0",""),"-",""))))),0,(LEN(SUBSTITUTE(SUBSTITUTE(SUBSTITUTE(E92," ",""),"0",""),"-",""))+LEN(SUBSTITUTE(SUBSTITUTE(SUBSTITUTE(F92," ",""),"0",""),"-",""))&gt;LEN(SUBSTITUTE(SUBSTITUTE(SUBSTITUTE(B92," ",""),"0",""),"-",""))+LEN(SUBSTITUTE(SUBSTITUTE(SUBSTITUTE(C92," ",""),"0",""),"-","")))*1),0)+IF(OR(COUNTA(B93,C93,E93,F93)&gt;0,OR(D93="X",D93="x")),IF(OR(D93="X",D93="x",AND(OR(COUNTA(B93,C93,E93,F93)&gt;0,OR(D93="X",D93="x")),(LEN(SUBSTITUTE(SUBSTITUTE(SUBSTITUTE(B93," ",""),"0",""),"-",""))+LEN(SUBSTITUTE(SUBSTITUTE(SUBSTITUTE(C93," ",""),"0",""),"-","")))=(LEN(SUBSTITUTE(SUBSTITUTE(SUBSTITUTE(E93," ",""),"0",""),"-",""))+LEN(SUBSTITUTE(SUBSTITUTE(SUBSTITUTE(F93," ",""),"0",""),"-",""))))),0,(LEN(SUBSTITUTE(SUBSTITUTE(SUBSTITUTE(E93," ",""),"0",""),"-",""))+LEN(SUBSTITUTE(SUBSTITUTE(SUBSTITUTE(F93," ",""),"0",""),"-",""))&gt;LEN(SUBSTITUTE(SUBSTITUTE(SUBSTITUTE(B93," ",""),"0",""),"-",""))+LEN(SUBSTITUTE(SUBSTITUTE(SUBSTITUTE(C93," ",""),"0",""),"-","")))*1),0)</f>
      </c>
      <c r="C97" s="14" t="str">
        <f>IF(OR(COUNTA(B92,C92,E92,F92)&gt;0,OR(D92="X",D92="x")),IF(OR(D92="X",D92="x",AND(OR(COUNTA(B92,C92,E92,F92)&gt;0,OR(D92="X",D92="x")),(LEN(SUBSTITUTE(SUBSTITUTE(SUBSTITUTE(B92," ",""),"0",""),"-",""))+LEN(SUBSTITUTE(SUBSTITUTE(SUBSTITUTE(C92," ",""),"0",""),"-","")))=(LEN(SUBSTITUTE(SUBSTITUTE(SUBSTITUTE(E92," ",""),"0",""),"-",""))+LEN(SUBSTITUTE(SUBSTITUTE(SUBSTITUTE(F92," ",""),"0",""),"-",""))))),0,(LEN(SUBSTITUTE(SUBSTITUTE(SUBSTITUTE(E92," ",""),"0",""),"-",""))+LEN(SUBSTITUTE(SUBSTITUTE(SUBSTITUTE(F92," ",""),"0",""),"-",""))&lt;LEN(SUBSTITUTE(SUBSTITUTE(SUBSTITUTE(B92," ",""),"0",""),"-",""))+LEN(SUBSTITUTE(SUBSTITUTE(SUBSTITUTE(C92," ",""),"0",""),"-","")))*1),0)+IF(OR(COUNTA(B93,C93,E93,F93)&gt;0,OR(D93="X",D93="x")),IF(OR(D93="X",D93="x",AND(OR(COUNTA(B93,C93,E93,F93)&gt;0,OR(D93="X",D93="x")),(LEN(SUBSTITUTE(SUBSTITUTE(SUBSTITUTE(B93," ",""),"0",""),"-",""))+LEN(SUBSTITUTE(SUBSTITUTE(SUBSTITUTE(C93," ",""),"0",""),"-","")))=(LEN(SUBSTITUTE(SUBSTITUTE(SUBSTITUTE(E93," ",""),"0",""),"-",""))+LEN(SUBSTITUTE(SUBSTITUTE(SUBSTITUTE(F93," ",""),"0",""),"-",""))))),0,(LEN(SUBSTITUTE(SUBSTITUTE(SUBSTITUTE(E93," ",""),"0",""),"-",""))+LEN(SUBSTITUTE(SUBSTITUTE(SUBSTITUTE(F93," ",""),"0",""),"-",""))&lt;LEN(SUBSTITUTE(SUBSTITUTE(SUBSTITUTE(B93," ",""),"0",""),"-",""))+LEN(SUBSTITUTE(SUBSTITUTE(SUBSTITUTE(C93," ",""),"0",""),"-","")))*1),0)</f>
      </c>
      <c r="D97" s="14" t="str">
        <f>IF(OR(COUNTA(B92,C92,E92,F92)&gt;0,OR(D92="X",D92="x")),IF(OR(D92="X",D92="x",AND(OR(COUNTA(B92,C92,E92,F92)&gt;0,OR(D92="X",D92="x")),(LEN(SUBSTITUTE(SUBSTITUTE(SUBSTITUTE(B92," ",""),"0",""),"-",""))+LEN(SUBSTITUTE(SUBSTITUTE(SUBSTITUTE(C92," ",""),"0",""),"-","")))=(LEN(SUBSTITUTE(SUBSTITUTE(SUBSTITUTE(E92," ",""),"0",""),"-",""))+LEN(SUBSTITUTE(SUBSTITUTE(SUBSTITUTE(F92," ",""),"0",""),"-",""))))),1,0),0)+IF(OR(COUNTA(B93,C93,E93,F93)&gt;0,OR(D93="X",D93="x")),IF(OR(D93="X",D93="x",AND(OR(COUNTA(B93,C93,E93,F93)&gt;0,OR(D93="X",D93="x")),(LEN(SUBSTITUTE(SUBSTITUTE(SUBSTITUTE(B93," ",""),"0",""),"-",""))+LEN(SUBSTITUTE(SUBSTITUTE(SUBSTITUTE(C93," ",""),"0",""),"-","")))=(LEN(SUBSTITUTE(SUBSTITUTE(SUBSTITUTE(E93," ",""),"0",""),"-",""))+LEN(SUBSTITUTE(SUBSTITUTE(SUBSTITUTE(F93," ",""),"0",""),"-",""))))),1,0),0)</f>
      </c>
      <c r="E97" s="14" t="str">
        <f>LEN(SUBSTITUTE(SUBSTITUTE(SUBSTITUTE(E92," ",""),"0",""),"-",""))+LEN(SUBSTITUTE(SUBSTITUTE(SUBSTITUTE(F92," ",""),"0",""),"-",""))+LEN(SUBSTITUTE(SUBSTITUTE(SUBSTITUTE(E93," ",""),"0",""),"-",""))+LEN(SUBSTITUTE(SUBSTITUTE(SUBSTITUTE(F93," ",""),"0",""),"-",""))</f>
      </c>
      <c r="F97" s="14" t="str">
        <f>LEN(SUBSTITUTE(SUBSTITUTE(SUBSTITUTE(B92," ",""),"0",""),"-",""))+LEN(SUBSTITUTE(SUBSTITUTE(SUBSTITUTE(C92," ",""),"0",""),"-",""))+LEN(SUBSTITUTE(SUBSTITUTE(SUBSTITUTE(B93," ",""),"0",""),"-",""))+LEN(SUBSTITUTE(SUBSTITUTE(SUBSTITUTE(C93," ",""),"0",""),"-",""))</f>
      </c>
      <c r="G97" s="18" t="str">
        <f>RANK(U97,$U$97:$U$99)+COUNTIF($U$96:U96,U97)</f>
      </c>
      <c r="I97" s="14" t="str">
        <f>data!$E$64&amp;" "&amp;data!$B$64</f>
      </c>
      <c r="J97" s="14" t="str">
        <f>IF(OR(COUNTA(J92,K92,M92,N92)&gt;0,OR(L92="X",L92="x")),IF(OR(L92="X",L92="x",AND(OR(COUNTA(J92,K92,M92,N92)&gt;0,OR(L92="X",L92="x")),(LEN(SUBSTITUTE(SUBSTITUTE(SUBSTITUTE(J92," ",""),"0",""),"-",""))+LEN(SUBSTITUTE(SUBSTITUTE(SUBSTITUTE(K92," ",""),"0",""),"-","")))=(LEN(SUBSTITUTE(SUBSTITUTE(SUBSTITUTE(M92," ",""),"0",""),"-",""))+LEN(SUBSTITUTE(SUBSTITUTE(SUBSTITUTE(N92," ",""),"0",""),"-",""))))),0,(LEN(SUBSTITUTE(SUBSTITUTE(SUBSTITUTE(M92," ",""),"0",""),"-",""))+LEN(SUBSTITUTE(SUBSTITUTE(SUBSTITUTE(N92," ",""),"0",""),"-",""))&gt;LEN(SUBSTITUTE(SUBSTITUTE(SUBSTITUTE(J92," ",""),"0",""),"-",""))+LEN(SUBSTITUTE(SUBSTITUTE(SUBSTITUTE(K92," ",""),"0",""),"-","")))*1),0)+IF(OR(COUNTA(J93,K93,M93,N93)&gt;0,OR(L93="X",L93="x")),IF(OR(L93="X",L93="x",AND(OR(COUNTA(J93,K93,M93,N93)&gt;0,OR(L93="X",L93="x")),(LEN(SUBSTITUTE(SUBSTITUTE(SUBSTITUTE(J93," ",""),"0",""),"-",""))+LEN(SUBSTITUTE(SUBSTITUTE(SUBSTITUTE(K93," ",""),"0",""),"-","")))=(LEN(SUBSTITUTE(SUBSTITUTE(SUBSTITUTE(M93," ",""),"0",""),"-",""))+LEN(SUBSTITUTE(SUBSTITUTE(SUBSTITUTE(N93," ",""),"0",""),"-",""))))),0,(LEN(SUBSTITUTE(SUBSTITUTE(SUBSTITUTE(M93," ",""),"0",""),"-",""))+LEN(SUBSTITUTE(SUBSTITUTE(SUBSTITUTE(N93," ",""),"0",""),"-",""))&gt;LEN(SUBSTITUTE(SUBSTITUTE(SUBSTITUTE(J93," ",""),"0",""),"-",""))+LEN(SUBSTITUTE(SUBSTITUTE(SUBSTITUTE(K93," ",""),"0",""),"-","")))*1),0)</f>
      </c>
      <c r="K97" s="14" t="str">
        <f>IF(OR(COUNTA(J92,K92,M92,N92)&gt;0,OR(L92="X",L92="x")),IF(OR(L92="X",L92="x",AND(OR(COUNTA(J92,K92,M92,N92)&gt;0,OR(L92="X",L92="x")),(LEN(SUBSTITUTE(SUBSTITUTE(SUBSTITUTE(J92," ",""),"0",""),"-",""))+LEN(SUBSTITUTE(SUBSTITUTE(SUBSTITUTE(K92," ",""),"0",""),"-","")))=(LEN(SUBSTITUTE(SUBSTITUTE(SUBSTITUTE(M92," ",""),"0",""),"-",""))+LEN(SUBSTITUTE(SUBSTITUTE(SUBSTITUTE(N92," ",""),"0",""),"-",""))))),0,(LEN(SUBSTITUTE(SUBSTITUTE(SUBSTITUTE(M92," ",""),"0",""),"-",""))+LEN(SUBSTITUTE(SUBSTITUTE(SUBSTITUTE(N92," ",""),"0",""),"-",""))&lt;LEN(SUBSTITUTE(SUBSTITUTE(SUBSTITUTE(J92," ",""),"0",""),"-",""))+LEN(SUBSTITUTE(SUBSTITUTE(SUBSTITUTE(K92," ",""),"0",""),"-","")))*1),0)+IF(OR(COUNTA(J93,K93,M93,N93)&gt;0,OR(L93="X",L93="x")),IF(OR(L93="X",L93="x",AND(OR(COUNTA(J93,K93,M93,N93)&gt;0,OR(L93="X",L93="x")),(LEN(SUBSTITUTE(SUBSTITUTE(SUBSTITUTE(J93," ",""),"0",""),"-",""))+LEN(SUBSTITUTE(SUBSTITUTE(SUBSTITUTE(K93," ",""),"0",""),"-","")))=(LEN(SUBSTITUTE(SUBSTITUTE(SUBSTITUTE(M93," ",""),"0",""),"-",""))+LEN(SUBSTITUTE(SUBSTITUTE(SUBSTITUTE(N93," ",""),"0",""),"-",""))))),0,(LEN(SUBSTITUTE(SUBSTITUTE(SUBSTITUTE(M93," ",""),"0",""),"-",""))+LEN(SUBSTITUTE(SUBSTITUTE(SUBSTITUTE(N93," ",""),"0",""),"-",""))&lt;LEN(SUBSTITUTE(SUBSTITUTE(SUBSTITUTE(J93," ",""),"0",""),"-",""))+LEN(SUBSTITUTE(SUBSTITUTE(SUBSTITUTE(K93," ",""),"0",""),"-","")))*1),0)</f>
      </c>
      <c r="L97" s="14" t="str">
        <f>IF(OR(COUNTA(J92,K92,M92,N92)&gt;0,OR(L92="X",L92="x")),IF(OR(L92="X",L92="x",AND(OR(COUNTA(J92,K92,M92,N92)&gt;0,OR(L92="X",L92="x")),(LEN(SUBSTITUTE(SUBSTITUTE(SUBSTITUTE(J92," ",""),"0",""),"-",""))+LEN(SUBSTITUTE(SUBSTITUTE(SUBSTITUTE(K92," ",""),"0",""),"-","")))=(LEN(SUBSTITUTE(SUBSTITUTE(SUBSTITUTE(M92," ",""),"0",""),"-",""))+LEN(SUBSTITUTE(SUBSTITUTE(SUBSTITUTE(N92," ",""),"0",""),"-",""))))),1,0),0)+IF(OR(COUNTA(J93,K93,M93,N93)&gt;0,OR(L93="X",L93="x")),IF(OR(L93="X",L93="x",AND(OR(COUNTA(J93,K93,M93,N93)&gt;0,OR(L93="X",L93="x")),(LEN(SUBSTITUTE(SUBSTITUTE(SUBSTITUTE(J93," ",""),"0",""),"-",""))+LEN(SUBSTITUTE(SUBSTITUTE(SUBSTITUTE(K93," ",""),"0",""),"-","")))=(LEN(SUBSTITUTE(SUBSTITUTE(SUBSTITUTE(M93," ",""),"0",""),"-",""))+LEN(SUBSTITUTE(SUBSTITUTE(SUBSTITUTE(N93," ",""),"0",""),"-",""))))),1,0),0)</f>
      </c>
      <c r="M97" s="14" t="str">
        <f>LEN(SUBSTITUTE(SUBSTITUTE(SUBSTITUTE(M92," ",""),"0",""),"-",""))+LEN(SUBSTITUTE(SUBSTITUTE(SUBSTITUTE(N92," ",""),"0",""),"-",""))+LEN(SUBSTITUTE(SUBSTITUTE(SUBSTITUTE(M93," ",""),"0",""),"-",""))+LEN(SUBSTITUTE(SUBSTITUTE(SUBSTITUTE(N93," ",""),"0",""),"-",""))</f>
      </c>
      <c r="N97" s="14" t="str">
        <f>LEN(SUBSTITUTE(SUBSTITUTE(SUBSTITUTE(J92," ",""),"0",""),"-",""))+LEN(SUBSTITUTE(SUBSTITUTE(SUBSTITUTE(K92," ",""),"0",""),"-",""))+LEN(SUBSTITUTE(SUBSTITUTE(SUBSTITUTE(J93," ",""),"0",""),"-",""))+LEN(SUBSTITUTE(SUBSTITUTE(SUBSTITUTE(K93," ",""),"0",""),"-",""))</f>
      </c>
      <c r="O97" s="18" t="str">
        <f>RANK(AC97,$AC$97:$AC$99)+COUNTIF($AC$96:AC96,AC97)</f>
      </c>
      <c r="U97" t="str">
        <f>(B97*1000000)-(C97*10000)+(D97*100)+(E97*1)-(F97*0.01)</f>
      </c>
      <c r="AC97" t="str">
        <f>(J97*1000000)-(K97*10000)+(L97*100)+(M97*1)-(N97*0.01)</f>
      </c>
    </row>
    <row r="98">
      <c r="A98" s="14" t="str">
        <f>data!$E$20&amp;" "&amp;data!$B$20</f>
      </c>
      <c r="B98" s="14" t="str">
        <f>IF(OR(COUNTA(B92,C92,E92,F92)&gt;0,OR(D92="X",D92="x")),IF(OR(D92="X",D92="x",AND(OR(COUNTA(B92,C92,E92,F92)&gt;0,OR(D92="X",D92="x")),(LEN(SUBSTITUTE(SUBSTITUTE(SUBSTITUTE(B92," ",""),"0",""),"-",""))+LEN(SUBSTITUTE(SUBSTITUTE(SUBSTITUTE(C92," ",""),"0",""),"-","")))=(LEN(SUBSTITUTE(SUBSTITUTE(SUBSTITUTE(E92," ",""),"0",""),"-",""))+LEN(SUBSTITUTE(SUBSTITUTE(SUBSTITUTE(F92," ",""),"0",""),"-",""))))),0,(LEN(SUBSTITUTE(SUBSTITUTE(SUBSTITUTE(B92," ",""),"0",""),"-",""))+LEN(SUBSTITUTE(SUBSTITUTE(SUBSTITUTE(C92," ",""),"0",""),"-",""))&gt;LEN(SUBSTITUTE(SUBSTITUTE(SUBSTITUTE(E92," ",""),"0",""),"-",""))+LEN(SUBSTITUTE(SUBSTITUTE(SUBSTITUTE(F92," ",""),"0",""),"-","")))*1),0)+IF(OR(COUNTA(B94,C94,E94,F94)&gt;0,OR(D94="X",D94="x")),IF(OR(D94="X",D94="x",AND(OR(COUNTA(B94,C94,E94,F94)&gt;0,OR(D94="X",D94="x")),(LEN(SUBSTITUTE(SUBSTITUTE(SUBSTITUTE(B94," ",""),"0",""),"-",""))+LEN(SUBSTITUTE(SUBSTITUTE(SUBSTITUTE(C94," ",""),"0",""),"-","")))=(LEN(SUBSTITUTE(SUBSTITUTE(SUBSTITUTE(E94," ",""),"0",""),"-",""))+LEN(SUBSTITUTE(SUBSTITUTE(SUBSTITUTE(F94," ",""),"0",""),"-",""))))),0,(LEN(SUBSTITUTE(SUBSTITUTE(SUBSTITUTE(E94," ",""),"0",""),"-",""))+LEN(SUBSTITUTE(SUBSTITUTE(SUBSTITUTE(F94," ",""),"0",""),"-",""))&gt;LEN(SUBSTITUTE(SUBSTITUTE(SUBSTITUTE(B94," ",""),"0",""),"-",""))+LEN(SUBSTITUTE(SUBSTITUTE(SUBSTITUTE(C94," ",""),"0",""),"-","")))*1),0)</f>
      </c>
      <c r="C98" s="14" t="str">
        <f>IF(OR(COUNTA(B92,C92,E92,F92)&gt;0,OR(D92="X",D92="x")),IF(OR(D92="X",D92="x",AND(OR(COUNTA(B92,C92,E92,F92)&gt;0,OR(D92="X",D92="x")),(LEN(SUBSTITUTE(SUBSTITUTE(SUBSTITUTE(B92," ",""),"0",""),"-",""))+LEN(SUBSTITUTE(SUBSTITUTE(SUBSTITUTE(C92," ",""),"0",""),"-","")))=(LEN(SUBSTITUTE(SUBSTITUTE(SUBSTITUTE(E92," ",""),"0",""),"-",""))+LEN(SUBSTITUTE(SUBSTITUTE(SUBSTITUTE(F92," ",""),"0",""),"-",""))))),0,(LEN(SUBSTITUTE(SUBSTITUTE(SUBSTITUTE(B92," ",""),"0",""),"-",""))+LEN(SUBSTITUTE(SUBSTITUTE(SUBSTITUTE(C92," ",""),"0",""),"-",""))&lt;LEN(SUBSTITUTE(SUBSTITUTE(SUBSTITUTE(E92," ",""),"0",""),"-",""))+LEN(SUBSTITUTE(SUBSTITUTE(SUBSTITUTE(F92," ",""),"0",""),"-","")))*1),0)+IF(OR(COUNTA(B94,C94,E94,F94)&gt;0,OR(D94="X",D94="x")),IF(OR(D94="X",D94="x",AND(OR(COUNTA(B94,C94,E94,F94)&gt;0,OR(D94="X",D94="x")),(LEN(SUBSTITUTE(SUBSTITUTE(SUBSTITUTE(B94," ",""),"0",""),"-",""))+LEN(SUBSTITUTE(SUBSTITUTE(SUBSTITUTE(C94," ",""),"0",""),"-","")))=(LEN(SUBSTITUTE(SUBSTITUTE(SUBSTITUTE(E94," ",""),"0",""),"-",""))+LEN(SUBSTITUTE(SUBSTITUTE(SUBSTITUTE(F94," ",""),"0",""),"-",""))))),0,(LEN(SUBSTITUTE(SUBSTITUTE(SUBSTITUTE(E94," ",""),"0",""),"-",""))+LEN(SUBSTITUTE(SUBSTITUTE(SUBSTITUTE(F94," ",""),"0",""),"-",""))&lt;LEN(SUBSTITUTE(SUBSTITUTE(SUBSTITUTE(B94," ",""),"0",""),"-",""))+LEN(SUBSTITUTE(SUBSTITUTE(SUBSTITUTE(C94," ",""),"0",""),"-","")))*1),0)</f>
      </c>
      <c r="D98" s="14" t="str">
        <f>IF(OR(COUNTA(B92,C92,E92,F92)&gt;0,OR(D92="X",D92="x")),IF(OR(D92="X",D92="x",AND(OR(COUNTA(B92,C92,E92,F92)&gt;0,OR(D92="X",D92="x")),(LEN(SUBSTITUTE(SUBSTITUTE(SUBSTITUTE(B92," ",""),"0",""),"-",""))+LEN(SUBSTITUTE(SUBSTITUTE(SUBSTITUTE(C92," ",""),"0",""),"-","")))=(LEN(SUBSTITUTE(SUBSTITUTE(SUBSTITUTE(E92," ",""),"0",""),"-",""))+LEN(SUBSTITUTE(SUBSTITUTE(SUBSTITUTE(F92," ",""),"0",""),"-",""))))),1,0),0)+IF(OR(COUNTA(B94,C94,E94,F94)&gt;0,OR(D94="X",D94="x")),IF(OR(D94="X",D94="x",AND(OR(COUNTA(B94,C94,E94,F94)&gt;0,OR(D94="X",D94="x")),(LEN(SUBSTITUTE(SUBSTITUTE(SUBSTITUTE(B94," ",""),"0",""),"-",""))+LEN(SUBSTITUTE(SUBSTITUTE(SUBSTITUTE(C94," ",""),"0",""),"-","")))=(LEN(SUBSTITUTE(SUBSTITUTE(SUBSTITUTE(E94," ",""),"0",""),"-",""))+LEN(SUBSTITUTE(SUBSTITUTE(SUBSTITUTE(F94," ",""),"0",""),"-",""))))),1,0),0)</f>
      </c>
      <c r="E98" s="14" t="str">
        <f>LEN(SUBSTITUTE(SUBSTITUTE(SUBSTITUTE(B92," ",""),"0",""),"-",""))+LEN(SUBSTITUTE(SUBSTITUTE(SUBSTITUTE(C92," ",""),"0",""),"-",""))+LEN(SUBSTITUTE(SUBSTITUTE(SUBSTITUTE(E94," ",""),"0",""),"-",""))+LEN(SUBSTITUTE(SUBSTITUTE(SUBSTITUTE(F94," ",""),"0",""),"-",""))</f>
      </c>
      <c r="F98" s="14" t="str">
        <f>LEN(SUBSTITUTE(SUBSTITUTE(SUBSTITUTE(E92," ",""),"0",""),"-",""))+LEN(SUBSTITUTE(SUBSTITUTE(SUBSTITUTE(F92," ",""),"0",""),"-",""))+LEN(SUBSTITUTE(SUBSTITUTE(SUBSTITUTE(B94," ",""),"0",""),"-",""))+LEN(SUBSTITUTE(SUBSTITUTE(SUBSTITUTE(C94," ",""),"0",""),"-",""))</f>
      </c>
      <c r="G98" s="18" t="str">
        <f>RANK(U98,$U$97:$U$99)+COUNTIF($U$96:U97,U98)</f>
      </c>
      <c r="I98" s="14" t="str">
        <f>data!$E$65&amp;" "&amp;data!$B$65</f>
      </c>
      <c r="J98" s="14" t="str">
        <f>IF(OR(COUNTA(J92,K92,M92,N92)&gt;0,OR(L92="X",L92="x")),IF(OR(L92="X",L92="x",AND(OR(COUNTA(J92,K92,M92,N92)&gt;0,OR(L92="X",L92="x")),(LEN(SUBSTITUTE(SUBSTITUTE(SUBSTITUTE(J92," ",""),"0",""),"-",""))+LEN(SUBSTITUTE(SUBSTITUTE(SUBSTITUTE(K92," ",""),"0",""),"-","")))=(LEN(SUBSTITUTE(SUBSTITUTE(SUBSTITUTE(M92," ",""),"0",""),"-",""))+LEN(SUBSTITUTE(SUBSTITUTE(SUBSTITUTE(N92," ",""),"0",""),"-",""))))),0,(LEN(SUBSTITUTE(SUBSTITUTE(SUBSTITUTE(J92," ",""),"0",""),"-",""))+LEN(SUBSTITUTE(SUBSTITUTE(SUBSTITUTE(K92," ",""),"0",""),"-",""))&gt;LEN(SUBSTITUTE(SUBSTITUTE(SUBSTITUTE(M92," ",""),"0",""),"-",""))+LEN(SUBSTITUTE(SUBSTITUTE(SUBSTITUTE(N92," ",""),"0",""),"-","")))*1),0)+IF(OR(COUNTA(J94,K94,M94,N94)&gt;0,OR(L94="X",L94="x")),IF(OR(L94="X",L94="x",AND(OR(COUNTA(J94,K94,M94,N94)&gt;0,OR(L94="X",L94="x")),(LEN(SUBSTITUTE(SUBSTITUTE(SUBSTITUTE(J94," ",""),"0",""),"-",""))+LEN(SUBSTITUTE(SUBSTITUTE(SUBSTITUTE(K94," ",""),"0",""),"-","")))=(LEN(SUBSTITUTE(SUBSTITUTE(SUBSTITUTE(M94," ",""),"0",""),"-",""))+LEN(SUBSTITUTE(SUBSTITUTE(SUBSTITUTE(N94," ",""),"0",""),"-",""))))),0,(LEN(SUBSTITUTE(SUBSTITUTE(SUBSTITUTE(M94," ",""),"0",""),"-",""))+LEN(SUBSTITUTE(SUBSTITUTE(SUBSTITUTE(N94," ",""),"0",""),"-",""))&gt;LEN(SUBSTITUTE(SUBSTITUTE(SUBSTITUTE(J94," ",""),"0",""),"-",""))+LEN(SUBSTITUTE(SUBSTITUTE(SUBSTITUTE(K94," ",""),"0",""),"-","")))*1),0)</f>
      </c>
      <c r="K98" s="14" t="str">
        <f>IF(OR(COUNTA(J92,K92,M92,N92)&gt;0,OR(L92="X",L92="x")),IF(OR(L92="X",L92="x",AND(OR(COUNTA(J92,K92,M92,N92)&gt;0,OR(L92="X",L92="x")),(LEN(SUBSTITUTE(SUBSTITUTE(SUBSTITUTE(J92," ",""),"0",""),"-",""))+LEN(SUBSTITUTE(SUBSTITUTE(SUBSTITUTE(K92," ",""),"0",""),"-","")))=(LEN(SUBSTITUTE(SUBSTITUTE(SUBSTITUTE(M92," ",""),"0",""),"-",""))+LEN(SUBSTITUTE(SUBSTITUTE(SUBSTITUTE(N92," ",""),"0",""),"-",""))))),0,(LEN(SUBSTITUTE(SUBSTITUTE(SUBSTITUTE(J92," ",""),"0",""),"-",""))+LEN(SUBSTITUTE(SUBSTITUTE(SUBSTITUTE(K92," ",""),"0",""),"-",""))&lt;LEN(SUBSTITUTE(SUBSTITUTE(SUBSTITUTE(M92," ",""),"0",""),"-",""))+LEN(SUBSTITUTE(SUBSTITUTE(SUBSTITUTE(N92," ",""),"0",""),"-","")))*1),0)+IF(OR(COUNTA(J94,K94,M94,N94)&gt;0,OR(L94="X",L94="x")),IF(OR(L94="X",L94="x",AND(OR(COUNTA(J94,K94,M94,N94)&gt;0,OR(L94="X",L94="x")),(LEN(SUBSTITUTE(SUBSTITUTE(SUBSTITUTE(J94," ",""),"0",""),"-",""))+LEN(SUBSTITUTE(SUBSTITUTE(SUBSTITUTE(K94," ",""),"0",""),"-","")))=(LEN(SUBSTITUTE(SUBSTITUTE(SUBSTITUTE(M94," ",""),"0",""),"-",""))+LEN(SUBSTITUTE(SUBSTITUTE(SUBSTITUTE(N94," ",""),"0",""),"-",""))))),0,(LEN(SUBSTITUTE(SUBSTITUTE(SUBSTITUTE(M94," ",""),"0",""),"-",""))+LEN(SUBSTITUTE(SUBSTITUTE(SUBSTITUTE(N94," ",""),"0",""),"-",""))&lt;LEN(SUBSTITUTE(SUBSTITUTE(SUBSTITUTE(J94," ",""),"0",""),"-",""))+LEN(SUBSTITUTE(SUBSTITUTE(SUBSTITUTE(K94," ",""),"0",""),"-","")))*1),0)</f>
      </c>
      <c r="L98" s="14" t="str">
        <f>IF(OR(COUNTA(J92,K92,M92,N92)&gt;0,OR(L92="X",L92="x")),IF(OR(L92="X",L92="x",AND(OR(COUNTA(J92,K92,M92,N92)&gt;0,OR(L92="X",L92="x")),(LEN(SUBSTITUTE(SUBSTITUTE(SUBSTITUTE(J92," ",""),"0",""),"-",""))+LEN(SUBSTITUTE(SUBSTITUTE(SUBSTITUTE(K92," ",""),"0",""),"-","")))=(LEN(SUBSTITUTE(SUBSTITUTE(SUBSTITUTE(M92," ",""),"0",""),"-",""))+LEN(SUBSTITUTE(SUBSTITUTE(SUBSTITUTE(N92," ",""),"0",""),"-",""))))),1,0),0)+IF(OR(COUNTA(J94,K94,M94,N94)&gt;0,OR(L94="X",L94="x")),IF(OR(L94="X",L94="x",AND(OR(COUNTA(J94,K94,M94,N94)&gt;0,OR(L94="X",L94="x")),(LEN(SUBSTITUTE(SUBSTITUTE(SUBSTITUTE(J94," ",""),"0",""),"-",""))+LEN(SUBSTITUTE(SUBSTITUTE(SUBSTITUTE(K94," ",""),"0",""),"-","")))=(LEN(SUBSTITUTE(SUBSTITUTE(SUBSTITUTE(M94," ",""),"0",""),"-",""))+LEN(SUBSTITUTE(SUBSTITUTE(SUBSTITUTE(N94," ",""),"0",""),"-",""))))),1,0),0)</f>
      </c>
      <c r="M98" s="14" t="str">
        <f>LEN(SUBSTITUTE(SUBSTITUTE(SUBSTITUTE(J92," ",""),"0",""),"-",""))+LEN(SUBSTITUTE(SUBSTITUTE(SUBSTITUTE(K92," ",""),"0",""),"-",""))+LEN(SUBSTITUTE(SUBSTITUTE(SUBSTITUTE(M94," ",""),"0",""),"-",""))+LEN(SUBSTITUTE(SUBSTITUTE(SUBSTITUTE(N94," ",""),"0",""),"-",""))</f>
      </c>
      <c r="N98" s="14" t="str">
        <f>LEN(SUBSTITUTE(SUBSTITUTE(SUBSTITUTE(M92," ",""),"0",""),"-",""))+LEN(SUBSTITUTE(SUBSTITUTE(SUBSTITUTE(N92," ",""),"0",""),"-",""))+LEN(SUBSTITUTE(SUBSTITUTE(SUBSTITUTE(J94," ",""),"0",""),"-",""))+LEN(SUBSTITUTE(SUBSTITUTE(SUBSTITUTE(K94," ",""),"0",""),"-",""))</f>
      </c>
      <c r="O98" s="18" t="str">
        <f>RANK(AC98,$AC$97:$AC$99)+COUNTIF($AC$96:AC97,AC98)</f>
      </c>
      <c r="U98" t="str">
        <f>(B98*1000000)-(C98*10000)+(D98*100)+(E98*1)-(F98*0.01)</f>
      </c>
      <c r="AC98" t="str">
        <f>(J98*1000000)-(K98*10000)+(L98*100)+(M98*1)-(N98*0.01)</f>
      </c>
    </row>
    <row r="99">
      <c r="A99" s="14" t="str">
        <f>data!$E$21&amp;" "&amp;data!$B$21</f>
      </c>
      <c r="B99" s="14" t="str">
        <f>IF(OR(COUNTA(B93,C93,E93,F93)&gt;0,OR(D93="X",D93="x")),IF(OR(D93="X",D93="x",AND(OR(COUNTA(B93,C93,E93,F93)&gt;0,OR(D93="X",D93="x")),(LEN(SUBSTITUTE(SUBSTITUTE(SUBSTITUTE(B93," ",""),"0",""),"-",""))+LEN(SUBSTITUTE(SUBSTITUTE(SUBSTITUTE(C93," ",""),"0",""),"-","")))=(LEN(SUBSTITUTE(SUBSTITUTE(SUBSTITUTE(E93," ",""),"0",""),"-",""))+LEN(SUBSTITUTE(SUBSTITUTE(SUBSTITUTE(F93," ",""),"0",""),"-",""))))),0,(LEN(SUBSTITUTE(SUBSTITUTE(SUBSTITUTE(B93," ",""),"0",""),"-",""))+LEN(SUBSTITUTE(SUBSTITUTE(SUBSTITUTE(C93," ",""),"0",""),"-",""))&gt;LEN(SUBSTITUTE(SUBSTITUTE(SUBSTITUTE(E93," ",""),"0",""),"-",""))+LEN(SUBSTITUTE(SUBSTITUTE(SUBSTITUTE(F93," ",""),"0",""),"-","")))*1),0)+IF(OR(COUNTA(B94,C94,E94,F94)&gt;0,OR(D94="X",D94="x")),IF(OR(D94="X",D94="x",AND(OR(COUNTA(B94,C94,E94,F94)&gt;0,OR(D94="X",D94="x")),(LEN(SUBSTITUTE(SUBSTITUTE(SUBSTITUTE(B94," ",""),"0",""),"-",""))+LEN(SUBSTITUTE(SUBSTITUTE(SUBSTITUTE(C94," ",""),"0",""),"-","")))=(LEN(SUBSTITUTE(SUBSTITUTE(SUBSTITUTE(E94," ",""),"0",""),"-",""))+LEN(SUBSTITUTE(SUBSTITUTE(SUBSTITUTE(F94," ",""),"0",""),"-",""))))),0,(LEN(SUBSTITUTE(SUBSTITUTE(SUBSTITUTE(B94," ",""),"0",""),"-",""))+LEN(SUBSTITUTE(SUBSTITUTE(SUBSTITUTE(C94," ",""),"0",""),"-",""))&gt;LEN(SUBSTITUTE(SUBSTITUTE(SUBSTITUTE(E94," ",""),"0",""),"-",""))+LEN(SUBSTITUTE(SUBSTITUTE(SUBSTITUTE(F94," ",""),"0",""),"-","")))*1),0)</f>
      </c>
      <c r="C99" s="14" t="str">
        <f>IF(OR(COUNTA(B93,C93,E93,F93)&gt;0,OR(D93="X",D93="x")),IF(OR(D93="X",D93="x",AND(OR(COUNTA(B93,C93,E93,F93)&gt;0,OR(D93="X",D93="x")),(LEN(SUBSTITUTE(SUBSTITUTE(SUBSTITUTE(B93," ",""),"0",""),"-",""))+LEN(SUBSTITUTE(SUBSTITUTE(SUBSTITUTE(C93," ",""),"0",""),"-","")))=(LEN(SUBSTITUTE(SUBSTITUTE(SUBSTITUTE(E93," ",""),"0",""),"-",""))+LEN(SUBSTITUTE(SUBSTITUTE(SUBSTITUTE(F93," ",""),"0",""),"-",""))))),0,(LEN(SUBSTITUTE(SUBSTITUTE(SUBSTITUTE(B93," ",""),"0",""),"-",""))+LEN(SUBSTITUTE(SUBSTITUTE(SUBSTITUTE(C93," ",""),"0",""),"-",""))&lt;LEN(SUBSTITUTE(SUBSTITUTE(SUBSTITUTE(E93," ",""),"0",""),"-",""))+LEN(SUBSTITUTE(SUBSTITUTE(SUBSTITUTE(F93," ",""),"0",""),"-","")))*1),0)+IF(OR(COUNTA(B94,C94,E94,F94)&gt;0,OR(D94="X",D94="x")),IF(OR(D94="X",D94="x",AND(OR(COUNTA(B94,C94,E94,F94)&gt;0,OR(D94="X",D94="x")),(LEN(SUBSTITUTE(SUBSTITUTE(SUBSTITUTE(B94," ",""),"0",""),"-",""))+LEN(SUBSTITUTE(SUBSTITUTE(SUBSTITUTE(C94," ",""),"0",""),"-","")))=(LEN(SUBSTITUTE(SUBSTITUTE(SUBSTITUTE(E94," ",""),"0",""),"-",""))+LEN(SUBSTITUTE(SUBSTITUTE(SUBSTITUTE(F94," ",""),"0",""),"-",""))))),0,(LEN(SUBSTITUTE(SUBSTITUTE(SUBSTITUTE(B94," ",""),"0",""),"-",""))+LEN(SUBSTITUTE(SUBSTITUTE(SUBSTITUTE(C94," ",""),"0",""),"-",""))&lt;LEN(SUBSTITUTE(SUBSTITUTE(SUBSTITUTE(E94," ",""),"0",""),"-",""))+LEN(SUBSTITUTE(SUBSTITUTE(SUBSTITUTE(F94," ",""),"0",""),"-","")))*1),0)</f>
      </c>
      <c r="D99" s="14" t="str">
        <f>IF(OR(COUNTA(B93,C93,E93,F93)&gt;0,OR(D93="X",D93="x")),IF(OR(D93="X",D93="x",AND(OR(COUNTA(B93,C93,E93,F93)&gt;0,OR(D93="X",D93="x")),(LEN(SUBSTITUTE(SUBSTITUTE(SUBSTITUTE(B93," ",""),"0",""),"-",""))+LEN(SUBSTITUTE(SUBSTITUTE(SUBSTITUTE(C93," ",""),"0",""),"-","")))=(LEN(SUBSTITUTE(SUBSTITUTE(SUBSTITUTE(E93," ",""),"0",""),"-",""))+LEN(SUBSTITUTE(SUBSTITUTE(SUBSTITUTE(F93," ",""),"0",""),"-",""))))),1,0),0)+IF(OR(COUNTA(B94,C94,E94,F94)&gt;0,OR(D94="X",D94="x")),IF(OR(D94="X",D94="x",AND(OR(COUNTA(B94,C94,E94,F94)&gt;0,OR(D94="X",D94="x")),(LEN(SUBSTITUTE(SUBSTITUTE(SUBSTITUTE(B94," ",""),"0",""),"-",""))+LEN(SUBSTITUTE(SUBSTITUTE(SUBSTITUTE(C94," ",""),"0",""),"-","")))=(LEN(SUBSTITUTE(SUBSTITUTE(SUBSTITUTE(E94," ",""),"0",""),"-",""))+LEN(SUBSTITUTE(SUBSTITUTE(SUBSTITUTE(F94," ",""),"0",""),"-",""))))),1,0),0)</f>
      </c>
      <c r="E99" s="14" t="str">
        <f>LEN(SUBSTITUTE(SUBSTITUTE(SUBSTITUTE(B93," ",""),"0",""),"-",""))+LEN(SUBSTITUTE(SUBSTITUTE(SUBSTITUTE(C93," ",""),"0",""),"-",""))+LEN(SUBSTITUTE(SUBSTITUTE(SUBSTITUTE(B94," ",""),"0",""),"-",""))+LEN(SUBSTITUTE(SUBSTITUTE(SUBSTITUTE(C94," ",""),"0",""),"-",""))</f>
      </c>
      <c r="F99" s="14" t="str">
        <f>LEN(SUBSTITUTE(SUBSTITUTE(SUBSTITUTE(E93," ",""),"0",""),"-",""))+LEN(SUBSTITUTE(SUBSTITUTE(SUBSTITUTE(F93," ",""),"0",""),"-",""))+LEN(SUBSTITUTE(SUBSTITUTE(SUBSTITUTE(E94," ",""),"0",""),"-",""))+LEN(SUBSTITUTE(SUBSTITUTE(SUBSTITUTE(F94," ",""),"0",""),"-",""))</f>
      </c>
      <c r="G99" s="18" t="str">
        <f>RANK(U99,$U$97:$U$99)+COUNTIF($U$96:U98,U99)</f>
      </c>
      <c r="I99" s="14" t="str">
        <f>data!$E$66&amp;" "&amp;data!$B$66</f>
      </c>
      <c r="J99" s="14" t="str">
        <f>IF(OR(COUNTA(J93,K93,M93,N93)&gt;0,OR(L93="X",L93="x")),IF(OR(L93="X",L93="x",AND(OR(COUNTA(J93,K93,M93,N93)&gt;0,OR(L93="X",L93="x")),(LEN(SUBSTITUTE(SUBSTITUTE(SUBSTITUTE(J93," ",""),"0",""),"-",""))+LEN(SUBSTITUTE(SUBSTITUTE(SUBSTITUTE(K93," ",""),"0",""),"-","")))=(LEN(SUBSTITUTE(SUBSTITUTE(SUBSTITUTE(M93," ",""),"0",""),"-",""))+LEN(SUBSTITUTE(SUBSTITUTE(SUBSTITUTE(N93," ",""),"0",""),"-",""))))),0,(LEN(SUBSTITUTE(SUBSTITUTE(SUBSTITUTE(J93," ",""),"0",""),"-",""))+LEN(SUBSTITUTE(SUBSTITUTE(SUBSTITUTE(K93," ",""),"0",""),"-",""))&gt;LEN(SUBSTITUTE(SUBSTITUTE(SUBSTITUTE(M93," ",""),"0",""),"-",""))+LEN(SUBSTITUTE(SUBSTITUTE(SUBSTITUTE(N93," ",""),"0",""),"-","")))*1),0)+IF(OR(COUNTA(J94,K94,M94,N94)&gt;0,OR(L94="X",L94="x")),IF(OR(L94="X",L94="x",AND(OR(COUNTA(J94,K94,M94,N94)&gt;0,OR(L94="X",L94="x")),(LEN(SUBSTITUTE(SUBSTITUTE(SUBSTITUTE(J94," ",""),"0",""),"-",""))+LEN(SUBSTITUTE(SUBSTITUTE(SUBSTITUTE(K94," ",""),"0",""),"-","")))=(LEN(SUBSTITUTE(SUBSTITUTE(SUBSTITUTE(M94," ",""),"0",""),"-",""))+LEN(SUBSTITUTE(SUBSTITUTE(SUBSTITUTE(N94," ",""),"0",""),"-",""))))),0,(LEN(SUBSTITUTE(SUBSTITUTE(SUBSTITUTE(J94," ",""),"0",""),"-",""))+LEN(SUBSTITUTE(SUBSTITUTE(SUBSTITUTE(K94," ",""),"0",""),"-",""))&gt;LEN(SUBSTITUTE(SUBSTITUTE(SUBSTITUTE(M94," ",""),"0",""),"-",""))+LEN(SUBSTITUTE(SUBSTITUTE(SUBSTITUTE(N94," ",""),"0",""),"-","")))*1),0)</f>
      </c>
      <c r="K99" s="14" t="str">
        <f>IF(OR(COUNTA(J93,K93,M93,N93)&gt;0,OR(L93="X",L93="x")),IF(OR(L93="X",L93="x",AND(OR(COUNTA(J93,K93,M93,N93)&gt;0,OR(L93="X",L93="x")),(LEN(SUBSTITUTE(SUBSTITUTE(SUBSTITUTE(J93," ",""),"0",""),"-",""))+LEN(SUBSTITUTE(SUBSTITUTE(SUBSTITUTE(K93," ",""),"0",""),"-","")))=(LEN(SUBSTITUTE(SUBSTITUTE(SUBSTITUTE(M93," ",""),"0",""),"-",""))+LEN(SUBSTITUTE(SUBSTITUTE(SUBSTITUTE(N93," ",""),"0",""),"-",""))))),0,(LEN(SUBSTITUTE(SUBSTITUTE(SUBSTITUTE(J93," ",""),"0",""),"-",""))+LEN(SUBSTITUTE(SUBSTITUTE(SUBSTITUTE(K93," ",""),"0",""),"-",""))&lt;LEN(SUBSTITUTE(SUBSTITUTE(SUBSTITUTE(M93," ",""),"0",""),"-",""))+LEN(SUBSTITUTE(SUBSTITUTE(SUBSTITUTE(N93," ",""),"0",""),"-","")))*1),0)+IF(OR(COUNTA(J94,K94,M94,N94)&gt;0,OR(L94="X",L94="x")),IF(OR(L94="X",L94="x",AND(OR(COUNTA(J94,K94,M94,N94)&gt;0,OR(L94="X",L94="x")),(LEN(SUBSTITUTE(SUBSTITUTE(SUBSTITUTE(J94," ",""),"0",""),"-",""))+LEN(SUBSTITUTE(SUBSTITUTE(SUBSTITUTE(K94," ",""),"0",""),"-","")))=(LEN(SUBSTITUTE(SUBSTITUTE(SUBSTITUTE(M94," ",""),"0",""),"-",""))+LEN(SUBSTITUTE(SUBSTITUTE(SUBSTITUTE(N94," ",""),"0",""),"-",""))))),0,(LEN(SUBSTITUTE(SUBSTITUTE(SUBSTITUTE(J94," ",""),"0",""),"-",""))+LEN(SUBSTITUTE(SUBSTITUTE(SUBSTITUTE(K94," ",""),"0",""),"-",""))&lt;LEN(SUBSTITUTE(SUBSTITUTE(SUBSTITUTE(M94," ",""),"0",""),"-",""))+LEN(SUBSTITUTE(SUBSTITUTE(SUBSTITUTE(N94," ",""),"0",""),"-","")))*1),0)</f>
      </c>
      <c r="L99" s="14" t="str">
        <f>IF(OR(COUNTA(J93,K93,M93,N93)&gt;0,OR(L93="X",L93="x")),IF(OR(L93="X",L93="x",AND(OR(COUNTA(J93,K93,M93,N93)&gt;0,OR(L93="X",L93="x")),(LEN(SUBSTITUTE(SUBSTITUTE(SUBSTITUTE(J93," ",""),"0",""),"-",""))+LEN(SUBSTITUTE(SUBSTITUTE(SUBSTITUTE(K93," ",""),"0",""),"-","")))=(LEN(SUBSTITUTE(SUBSTITUTE(SUBSTITUTE(M93," ",""),"0",""),"-",""))+LEN(SUBSTITUTE(SUBSTITUTE(SUBSTITUTE(N93," ",""),"0",""),"-",""))))),1,0),0)+IF(OR(COUNTA(J94,K94,M94,N94)&gt;0,OR(L94="X",L94="x")),IF(OR(L94="X",L94="x",AND(OR(COUNTA(J94,K94,M94,N94)&gt;0,OR(L94="X",L94="x")),(LEN(SUBSTITUTE(SUBSTITUTE(SUBSTITUTE(J94," ",""),"0",""),"-",""))+LEN(SUBSTITUTE(SUBSTITUTE(SUBSTITUTE(K94," ",""),"0",""),"-","")))=(LEN(SUBSTITUTE(SUBSTITUTE(SUBSTITUTE(M94," ",""),"0",""),"-",""))+LEN(SUBSTITUTE(SUBSTITUTE(SUBSTITUTE(N94," ",""),"0",""),"-",""))))),1,0),0)</f>
      </c>
      <c r="M99" s="14" t="str">
        <f>LEN(SUBSTITUTE(SUBSTITUTE(SUBSTITUTE(J93," ",""),"0",""),"-",""))+LEN(SUBSTITUTE(SUBSTITUTE(SUBSTITUTE(K93," ",""),"0",""),"-",""))+LEN(SUBSTITUTE(SUBSTITUTE(SUBSTITUTE(J94," ",""),"0",""),"-",""))+LEN(SUBSTITUTE(SUBSTITUTE(SUBSTITUTE(K94," ",""),"0",""),"-",""))</f>
      </c>
      <c r="N99" s="14" t="str">
        <f>LEN(SUBSTITUTE(SUBSTITUTE(SUBSTITUTE(M93," ",""),"0",""),"-",""))+LEN(SUBSTITUTE(SUBSTITUTE(SUBSTITUTE(N93," ",""),"0",""),"-",""))+LEN(SUBSTITUTE(SUBSTITUTE(SUBSTITUTE(M94," ",""),"0",""),"-",""))+LEN(SUBSTITUTE(SUBSTITUTE(SUBSTITUTE(N94," ",""),"0",""),"-",""))</f>
      </c>
      <c r="O99" s="18" t="str">
        <f>RANK(AC99,$AC$97:$AC$99)+COUNTIF($AC$96:AC98,AC99)</f>
      </c>
      <c r="U99" t="str">
        <f>(B99*1000000)-(C99*10000)+(D99*100)+(E99*1)-(F99*0.01)</f>
      </c>
      <c r="AC99" t="str">
        <f>(J99*1000000)-(K99*10000)+(L99*100)+(M99*1)-(N99*0.01)</f>
      </c>
    </row>
    <row r="102">
      <c r="F102" s="13"/>
      <c r="G102" s="13" t="s">
        <v>340</v>
      </c>
      <c r="N102" s="13"/>
      <c r="O102" s="13" t="s">
        <v>340</v>
      </c>
    </row>
    <row r="103">
      <c r="F103" t="s">
        <v>341</v>
      </c>
      <c r="G103" s="19" t="str">
        <f>IFERROR(INDEX($A$97:$A$99, MATCH(1, $G$97:$G$99, 0)), "-")</f>
      </c>
      <c r="N103" t="s">
        <v>341</v>
      </c>
      <c r="O103" s="19" t="str">
        <f>IFERROR(INDEX($I$97:$I$99, MATCH(1, $O$97:$O$99, 0)), "-")</f>
      </c>
    </row>
    <row r="104">
      <c r="F104" t="s">
        <v>342</v>
      </c>
      <c r="G104" s="19" t="str">
        <f>IFERROR(INDEX($A$97:$A$99, MATCH(2, $G$97:$G$99, 0)), "-")</f>
      </c>
      <c r="N104" t="s">
        <v>342</v>
      </c>
      <c r="O104" s="19" t="str">
        <f>IFERROR(INDEX($I$97:$I$99, MATCH(2, $O$97:$O$99, 0)), "-")</f>
      </c>
    </row>
    <row r="105">
      <c r="F105" t="s">
        <v>343</v>
      </c>
      <c r="G105" s="19" t="str">
        <f>IFERROR(INDEX($A$97:$A$99, MATCH(3, $G$97:$G$99, 0)), "-")</f>
      </c>
      <c r="N105" t="s">
        <v>343</v>
      </c>
      <c r="O105" s="19" t="str">
        <f>IFERROR(INDEX($I$97:$I$99, MATCH(3, $O$97:$O$99, 0)), "-")</f>
      </c>
    </row>
    <row r="107">
      <c r="A107" s="13" t="str">
        <f>'data'!$A$24</f>
      </c>
      <c r="B107" s="13"/>
      <c r="C107" s="13"/>
      <c r="D107" s="13"/>
      <c r="E107" s="13"/>
      <c r="F107" s="13"/>
      <c r="G107" s="13"/>
      <c r="I107" s="13" t="str">
        <f>'data'!$A$69</f>
      </c>
      <c r="J107" s="13"/>
      <c r="K107" s="13"/>
      <c r="L107" s="13"/>
      <c r="M107" s="13"/>
      <c r="N107" s="13"/>
      <c r="O107" s="13"/>
    </row>
    <row r="108">
      <c r="A108" s="17" t="s">
        <v>330</v>
      </c>
      <c r="D108" s="14" t="s">
        <v>331</v>
      </c>
      <c r="G108" s="16" t="s">
        <v>332</v>
      </c>
      <c r="I108" s="17" t="s">
        <v>330</v>
      </c>
      <c r="L108" s="14" t="s">
        <v>331</v>
      </c>
      <c r="O108" s="16" t="s">
        <v>332</v>
      </c>
    </row>
    <row r="109">
      <c r="A109" s="14" t="str">
        <f>data!$E$23&amp;" "&amp;data!$B$23</f>
      </c>
      <c r="B109" s="18"/>
      <c r="C109" s="18"/>
      <c r="D109" s="18"/>
      <c r="E109" s="18"/>
      <c r="F109" s="18"/>
      <c r="G109" s="14" t="str">
        <f>data!$E$22&amp;" "&amp;data!$B$22</f>
      </c>
      <c r="I109" s="14" t="str">
        <f>data!$E$68&amp;" "&amp;data!$B$68</f>
      </c>
      <c r="J109" s="18"/>
      <c r="K109" s="18"/>
      <c r="L109" s="18"/>
      <c r="M109" s="18"/>
      <c r="N109" s="18"/>
      <c r="O109" s="14" t="str">
        <f>data!$E$67&amp;" "&amp;data!$B$67</f>
      </c>
    </row>
    <row r="110">
      <c r="A110" s="14" t="str">
        <f>data!$E$24&amp;" "&amp;data!$B$24</f>
      </c>
      <c r="B110" s="18"/>
      <c r="C110" s="18"/>
      <c r="D110" s="18"/>
      <c r="E110" s="18"/>
      <c r="F110" s="18"/>
      <c r="G110" s="14" t="str">
        <f>data!$E$22&amp;" "&amp;data!$B$22</f>
      </c>
      <c r="I110" s="14" t="str">
        <f>data!$E$69&amp;" "&amp;data!$B$69</f>
      </c>
      <c r="J110" s="18"/>
      <c r="K110" s="18"/>
      <c r="L110" s="18"/>
      <c r="M110" s="18"/>
      <c r="N110" s="18"/>
      <c r="O110" s="14" t="str">
        <f>data!$E$67&amp;" "&amp;data!$B$67</f>
      </c>
    </row>
    <row r="111">
      <c r="A111" s="14" t="str">
        <f>data!$E$24&amp;" "&amp;data!$B$24</f>
      </c>
      <c r="B111" s="18"/>
      <c r="C111" s="18"/>
      <c r="D111" s="18"/>
      <c r="E111" s="18"/>
      <c r="F111" s="18"/>
      <c r="G111" s="14" t="str">
        <f>data!$E$23&amp;" "&amp;data!$B$23</f>
      </c>
      <c r="I111" s="14" t="str">
        <f>data!$E$69&amp;" "&amp;data!$B$69</f>
      </c>
      <c r="J111" s="18"/>
      <c r="K111" s="18"/>
      <c r="L111" s="18"/>
      <c r="M111" s="18"/>
      <c r="N111" s="18"/>
      <c r="O111" s="14" t="str">
        <f>data!$E$68&amp;" "&amp;data!$B$68</f>
      </c>
    </row>
    <row r="113">
      <c r="A113" s="13" t="s">
        <v>333</v>
      </c>
      <c r="B113" s="13" t="s">
        <v>334</v>
      </c>
      <c r="C113" s="13" t="s">
        <v>335</v>
      </c>
      <c r="D113" s="13" t="s">
        <v>336</v>
      </c>
      <c r="E113" s="13" t="s">
        <v>337</v>
      </c>
      <c r="F113" s="13" t="s">
        <v>338</v>
      </c>
      <c r="G113" s="13" t="s">
        <v>339</v>
      </c>
      <c r="I113" s="13" t="s">
        <v>333</v>
      </c>
      <c r="J113" s="13" t="s">
        <v>334</v>
      </c>
      <c r="K113" s="13" t="s">
        <v>335</v>
      </c>
      <c r="L113" s="13" t="s">
        <v>336</v>
      </c>
      <c r="M113" s="13" t="s">
        <v>337</v>
      </c>
      <c r="N113" s="13" t="s">
        <v>338</v>
      </c>
      <c r="O113" s="13" t="s">
        <v>339</v>
      </c>
    </row>
    <row r="114">
      <c r="A114" s="14" t="str">
        <f>data!$E$22&amp;" "&amp;data!$B$22</f>
      </c>
      <c r="B114" s="14" t="str">
        <f>IF(OR(COUNTA(B109,C109,E109,F109)&gt;0,OR(D109="X",D109="x")),IF(OR(D109="X",D109="x",AND(OR(COUNTA(B109,C109,E109,F109)&gt;0,OR(D109="X",D109="x")),(LEN(SUBSTITUTE(SUBSTITUTE(SUBSTITUTE(B109," ",""),"0",""),"-",""))+LEN(SUBSTITUTE(SUBSTITUTE(SUBSTITUTE(C109," ",""),"0",""),"-","")))=(LEN(SUBSTITUTE(SUBSTITUTE(SUBSTITUTE(E109," ",""),"0",""),"-",""))+LEN(SUBSTITUTE(SUBSTITUTE(SUBSTITUTE(F109," ",""),"0",""),"-",""))))),0,(LEN(SUBSTITUTE(SUBSTITUTE(SUBSTITUTE(E109," ",""),"0",""),"-",""))+LEN(SUBSTITUTE(SUBSTITUTE(SUBSTITUTE(F109," ",""),"0",""),"-",""))&gt;LEN(SUBSTITUTE(SUBSTITUTE(SUBSTITUTE(B109," ",""),"0",""),"-",""))+LEN(SUBSTITUTE(SUBSTITUTE(SUBSTITUTE(C109," ",""),"0",""),"-","")))*1),0)+IF(OR(COUNTA(B110,C110,E110,F110)&gt;0,OR(D110="X",D110="x")),IF(OR(D110="X",D110="x",AND(OR(COUNTA(B110,C110,E110,F110)&gt;0,OR(D110="X",D110="x")),(LEN(SUBSTITUTE(SUBSTITUTE(SUBSTITUTE(B110," ",""),"0",""),"-",""))+LEN(SUBSTITUTE(SUBSTITUTE(SUBSTITUTE(C110," ",""),"0",""),"-","")))=(LEN(SUBSTITUTE(SUBSTITUTE(SUBSTITUTE(E110," ",""),"0",""),"-",""))+LEN(SUBSTITUTE(SUBSTITUTE(SUBSTITUTE(F110," ",""),"0",""),"-",""))))),0,(LEN(SUBSTITUTE(SUBSTITUTE(SUBSTITUTE(E110," ",""),"0",""),"-",""))+LEN(SUBSTITUTE(SUBSTITUTE(SUBSTITUTE(F110," ",""),"0",""),"-",""))&gt;LEN(SUBSTITUTE(SUBSTITUTE(SUBSTITUTE(B110," ",""),"0",""),"-",""))+LEN(SUBSTITUTE(SUBSTITUTE(SUBSTITUTE(C110," ",""),"0",""),"-","")))*1),0)</f>
      </c>
      <c r="C114" s="14" t="str">
        <f>IF(OR(COUNTA(B109,C109,E109,F109)&gt;0,OR(D109="X",D109="x")),IF(OR(D109="X",D109="x",AND(OR(COUNTA(B109,C109,E109,F109)&gt;0,OR(D109="X",D109="x")),(LEN(SUBSTITUTE(SUBSTITUTE(SUBSTITUTE(B109," ",""),"0",""),"-",""))+LEN(SUBSTITUTE(SUBSTITUTE(SUBSTITUTE(C109," ",""),"0",""),"-","")))=(LEN(SUBSTITUTE(SUBSTITUTE(SUBSTITUTE(E109," ",""),"0",""),"-",""))+LEN(SUBSTITUTE(SUBSTITUTE(SUBSTITUTE(F109," ",""),"0",""),"-",""))))),0,(LEN(SUBSTITUTE(SUBSTITUTE(SUBSTITUTE(E109," ",""),"0",""),"-",""))+LEN(SUBSTITUTE(SUBSTITUTE(SUBSTITUTE(F109," ",""),"0",""),"-",""))&lt;LEN(SUBSTITUTE(SUBSTITUTE(SUBSTITUTE(B109," ",""),"0",""),"-",""))+LEN(SUBSTITUTE(SUBSTITUTE(SUBSTITUTE(C109," ",""),"0",""),"-","")))*1),0)+IF(OR(COUNTA(B110,C110,E110,F110)&gt;0,OR(D110="X",D110="x")),IF(OR(D110="X",D110="x",AND(OR(COUNTA(B110,C110,E110,F110)&gt;0,OR(D110="X",D110="x")),(LEN(SUBSTITUTE(SUBSTITUTE(SUBSTITUTE(B110," ",""),"0",""),"-",""))+LEN(SUBSTITUTE(SUBSTITUTE(SUBSTITUTE(C110," ",""),"0",""),"-","")))=(LEN(SUBSTITUTE(SUBSTITUTE(SUBSTITUTE(E110," ",""),"0",""),"-",""))+LEN(SUBSTITUTE(SUBSTITUTE(SUBSTITUTE(F110," ",""),"0",""),"-",""))))),0,(LEN(SUBSTITUTE(SUBSTITUTE(SUBSTITUTE(E110," ",""),"0",""),"-",""))+LEN(SUBSTITUTE(SUBSTITUTE(SUBSTITUTE(F110," ",""),"0",""),"-",""))&lt;LEN(SUBSTITUTE(SUBSTITUTE(SUBSTITUTE(B110," ",""),"0",""),"-",""))+LEN(SUBSTITUTE(SUBSTITUTE(SUBSTITUTE(C110," ",""),"0",""),"-","")))*1),0)</f>
      </c>
      <c r="D114" s="14" t="str">
        <f>IF(OR(COUNTA(B109,C109,E109,F109)&gt;0,OR(D109="X",D109="x")),IF(OR(D109="X",D109="x",AND(OR(COUNTA(B109,C109,E109,F109)&gt;0,OR(D109="X",D109="x")),(LEN(SUBSTITUTE(SUBSTITUTE(SUBSTITUTE(B109," ",""),"0",""),"-",""))+LEN(SUBSTITUTE(SUBSTITUTE(SUBSTITUTE(C109," ",""),"0",""),"-","")))=(LEN(SUBSTITUTE(SUBSTITUTE(SUBSTITUTE(E109," ",""),"0",""),"-",""))+LEN(SUBSTITUTE(SUBSTITUTE(SUBSTITUTE(F109," ",""),"0",""),"-",""))))),1,0),0)+IF(OR(COUNTA(B110,C110,E110,F110)&gt;0,OR(D110="X",D110="x")),IF(OR(D110="X",D110="x",AND(OR(COUNTA(B110,C110,E110,F110)&gt;0,OR(D110="X",D110="x")),(LEN(SUBSTITUTE(SUBSTITUTE(SUBSTITUTE(B110," ",""),"0",""),"-",""))+LEN(SUBSTITUTE(SUBSTITUTE(SUBSTITUTE(C110," ",""),"0",""),"-","")))=(LEN(SUBSTITUTE(SUBSTITUTE(SUBSTITUTE(E110," ",""),"0",""),"-",""))+LEN(SUBSTITUTE(SUBSTITUTE(SUBSTITUTE(F110," ",""),"0",""),"-",""))))),1,0),0)</f>
      </c>
      <c r="E114" s="14" t="str">
        <f>LEN(SUBSTITUTE(SUBSTITUTE(SUBSTITUTE(E109," ",""),"0",""),"-",""))+LEN(SUBSTITUTE(SUBSTITUTE(SUBSTITUTE(F109," ",""),"0",""),"-",""))+LEN(SUBSTITUTE(SUBSTITUTE(SUBSTITUTE(E110," ",""),"0",""),"-",""))+LEN(SUBSTITUTE(SUBSTITUTE(SUBSTITUTE(F110," ",""),"0",""),"-",""))</f>
      </c>
      <c r="F114" s="14" t="str">
        <f>LEN(SUBSTITUTE(SUBSTITUTE(SUBSTITUTE(B109," ",""),"0",""),"-",""))+LEN(SUBSTITUTE(SUBSTITUTE(SUBSTITUTE(C109," ",""),"0",""),"-",""))+LEN(SUBSTITUTE(SUBSTITUTE(SUBSTITUTE(B110," ",""),"0",""),"-",""))+LEN(SUBSTITUTE(SUBSTITUTE(SUBSTITUTE(C110," ",""),"0",""),"-",""))</f>
      </c>
      <c r="G114" s="18" t="str">
        <f>RANK(U114,$U$114:$U$116)+COUNTIF($U$113:U113,U114)</f>
      </c>
      <c r="I114" s="14" t="str">
        <f>data!$E$67&amp;" "&amp;data!$B$67</f>
      </c>
      <c r="J114" s="14" t="str">
        <f>IF(OR(COUNTA(J109,K109,M109,N109)&gt;0,OR(L109="X",L109="x")),IF(OR(L109="X",L109="x",AND(OR(COUNTA(J109,K109,M109,N109)&gt;0,OR(L109="X",L109="x")),(LEN(SUBSTITUTE(SUBSTITUTE(SUBSTITUTE(J109," ",""),"0",""),"-",""))+LEN(SUBSTITUTE(SUBSTITUTE(SUBSTITUTE(K109," ",""),"0",""),"-","")))=(LEN(SUBSTITUTE(SUBSTITUTE(SUBSTITUTE(M109," ",""),"0",""),"-",""))+LEN(SUBSTITUTE(SUBSTITUTE(SUBSTITUTE(N109," ",""),"0",""),"-",""))))),0,(LEN(SUBSTITUTE(SUBSTITUTE(SUBSTITUTE(M109," ",""),"0",""),"-",""))+LEN(SUBSTITUTE(SUBSTITUTE(SUBSTITUTE(N109," ",""),"0",""),"-",""))&gt;LEN(SUBSTITUTE(SUBSTITUTE(SUBSTITUTE(J109," ",""),"0",""),"-",""))+LEN(SUBSTITUTE(SUBSTITUTE(SUBSTITUTE(K109," ",""),"0",""),"-","")))*1),0)+IF(OR(COUNTA(J110,K110,M110,N110)&gt;0,OR(L110="X",L110="x")),IF(OR(L110="X",L110="x",AND(OR(COUNTA(J110,K110,M110,N110)&gt;0,OR(L110="X",L110="x")),(LEN(SUBSTITUTE(SUBSTITUTE(SUBSTITUTE(J110," ",""),"0",""),"-",""))+LEN(SUBSTITUTE(SUBSTITUTE(SUBSTITUTE(K110," ",""),"0",""),"-","")))=(LEN(SUBSTITUTE(SUBSTITUTE(SUBSTITUTE(M110," ",""),"0",""),"-",""))+LEN(SUBSTITUTE(SUBSTITUTE(SUBSTITUTE(N110," ",""),"0",""),"-",""))))),0,(LEN(SUBSTITUTE(SUBSTITUTE(SUBSTITUTE(M110," ",""),"0",""),"-",""))+LEN(SUBSTITUTE(SUBSTITUTE(SUBSTITUTE(N110," ",""),"0",""),"-",""))&gt;LEN(SUBSTITUTE(SUBSTITUTE(SUBSTITUTE(J110," ",""),"0",""),"-",""))+LEN(SUBSTITUTE(SUBSTITUTE(SUBSTITUTE(K110," ",""),"0",""),"-","")))*1),0)</f>
      </c>
      <c r="K114" s="14" t="str">
        <f>IF(OR(COUNTA(J109,K109,M109,N109)&gt;0,OR(L109="X",L109="x")),IF(OR(L109="X",L109="x",AND(OR(COUNTA(J109,K109,M109,N109)&gt;0,OR(L109="X",L109="x")),(LEN(SUBSTITUTE(SUBSTITUTE(SUBSTITUTE(J109," ",""),"0",""),"-",""))+LEN(SUBSTITUTE(SUBSTITUTE(SUBSTITUTE(K109," ",""),"0",""),"-","")))=(LEN(SUBSTITUTE(SUBSTITUTE(SUBSTITUTE(M109," ",""),"0",""),"-",""))+LEN(SUBSTITUTE(SUBSTITUTE(SUBSTITUTE(N109," ",""),"0",""),"-",""))))),0,(LEN(SUBSTITUTE(SUBSTITUTE(SUBSTITUTE(M109," ",""),"0",""),"-",""))+LEN(SUBSTITUTE(SUBSTITUTE(SUBSTITUTE(N109," ",""),"0",""),"-",""))&lt;LEN(SUBSTITUTE(SUBSTITUTE(SUBSTITUTE(J109," ",""),"0",""),"-",""))+LEN(SUBSTITUTE(SUBSTITUTE(SUBSTITUTE(K109," ",""),"0",""),"-","")))*1),0)+IF(OR(COUNTA(J110,K110,M110,N110)&gt;0,OR(L110="X",L110="x")),IF(OR(L110="X",L110="x",AND(OR(COUNTA(J110,K110,M110,N110)&gt;0,OR(L110="X",L110="x")),(LEN(SUBSTITUTE(SUBSTITUTE(SUBSTITUTE(J110," ",""),"0",""),"-",""))+LEN(SUBSTITUTE(SUBSTITUTE(SUBSTITUTE(K110," ",""),"0",""),"-","")))=(LEN(SUBSTITUTE(SUBSTITUTE(SUBSTITUTE(M110," ",""),"0",""),"-",""))+LEN(SUBSTITUTE(SUBSTITUTE(SUBSTITUTE(N110," ",""),"0",""),"-",""))))),0,(LEN(SUBSTITUTE(SUBSTITUTE(SUBSTITUTE(M110," ",""),"0",""),"-",""))+LEN(SUBSTITUTE(SUBSTITUTE(SUBSTITUTE(N110," ",""),"0",""),"-",""))&lt;LEN(SUBSTITUTE(SUBSTITUTE(SUBSTITUTE(J110," ",""),"0",""),"-",""))+LEN(SUBSTITUTE(SUBSTITUTE(SUBSTITUTE(K110," ",""),"0",""),"-","")))*1),0)</f>
      </c>
      <c r="L114" s="14" t="str">
        <f>IF(OR(COUNTA(J109,K109,M109,N109)&gt;0,OR(L109="X",L109="x")),IF(OR(L109="X",L109="x",AND(OR(COUNTA(J109,K109,M109,N109)&gt;0,OR(L109="X",L109="x")),(LEN(SUBSTITUTE(SUBSTITUTE(SUBSTITUTE(J109," ",""),"0",""),"-",""))+LEN(SUBSTITUTE(SUBSTITUTE(SUBSTITUTE(K109," ",""),"0",""),"-","")))=(LEN(SUBSTITUTE(SUBSTITUTE(SUBSTITUTE(M109," ",""),"0",""),"-",""))+LEN(SUBSTITUTE(SUBSTITUTE(SUBSTITUTE(N109," ",""),"0",""),"-",""))))),1,0),0)+IF(OR(COUNTA(J110,K110,M110,N110)&gt;0,OR(L110="X",L110="x")),IF(OR(L110="X",L110="x",AND(OR(COUNTA(J110,K110,M110,N110)&gt;0,OR(L110="X",L110="x")),(LEN(SUBSTITUTE(SUBSTITUTE(SUBSTITUTE(J110," ",""),"0",""),"-",""))+LEN(SUBSTITUTE(SUBSTITUTE(SUBSTITUTE(K110," ",""),"0",""),"-","")))=(LEN(SUBSTITUTE(SUBSTITUTE(SUBSTITUTE(M110," ",""),"0",""),"-",""))+LEN(SUBSTITUTE(SUBSTITUTE(SUBSTITUTE(N110," ",""),"0",""),"-",""))))),1,0),0)</f>
      </c>
      <c r="M114" s="14" t="str">
        <f>LEN(SUBSTITUTE(SUBSTITUTE(SUBSTITUTE(M109," ",""),"0",""),"-",""))+LEN(SUBSTITUTE(SUBSTITUTE(SUBSTITUTE(N109," ",""),"0",""),"-",""))+LEN(SUBSTITUTE(SUBSTITUTE(SUBSTITUTE(M110," ",""),"0",""),"-",""))+LEN(SUBSTITUTE(SUBSTITUTE(SUBSTITUTE(N110," ",""),"0",""),"-",""))</f>
      </c>
      <c r="N114" s="14" t="str">
        <f>LEN(SUBSTITUTE(SUBSTITUTE(SUBSTITUTE(J109," ",""),"0",""),"-",""))+LEN(SUBSTITUTE(SUBSTITUTE(SUBSTITUTE(K109," ",""),"0",""),"-",""))+LEN(SUBSTITUTE(SUBSTITUTE(SUBSTITUTE(J110," ",""),"0",""),"-",""))+LEN(SUBSTITUTE(SUBSTITUTE(SUBSTITUTE(K110," ",""),"0",""),"-",""))</f>
      </c>
      <c r="O114" s="18" t="str">
        <f>RANK(AC114,$AC$114:$AC$116)+COUNTIF($AC$113:AC113,AC114)</f>
      </c>
      <c r="U114" t="str">
        <f>(B114*1000000)-(C114*10000)+(D114*100)+(E114*1)-(F114*0.01)</f>
      </c>
      <c r="AC114" t="str">
        <f>(J114*1000000)-(K114*10000)+(L114*100)+(M114*1)-(N114*0.01)</f>
      </c>
    </row>
    <row r="115">
      <c r="A115" s="14" t="str">
        <f>data!$E$23&amp;" "&amp;data!$B$23</f>
      </c>
      <c r="B115" s="14" t="str">
        <f>IF(OR(COUNTA(B109,C109,E109,F109)&gt;0,OR(D109="X",D109="x")),IF(OR(D109="X",D109="x",AND(OR(COUNTA(B109,C109,E109,F109)&gt;0,OR(D109="X",D109="x")),(LEN(SUBSTITUTE(SUBSTITUTE(SUBSTITUTE(B109," ",""),"0",""),"-",""))+LEN(SUBSTITUTE(SUBSTITUTE(SUBSTITUTE(C109," ",""),"0",""),"-","")))=(LEN(SUBSTITUTE(SUBSTITUTE(SUBSTITUTE(E109," ",""),"0",""),"-",""))+LEN(SUBSTITUTE(SUBSTITUTE(SUBSTITUTE(F109," ",""),"0",""),"-",""))))),0,(LEN(SUBSTITUTE(SUBSTITUTE(SUBSTITUTE(B109," ",""),"0",""),"-",""))+LEN(SUBSTITUTE(SUBSTITUTE(SUBSTITUTE(C109," ",""),"0",""),"-",""))&gt;LEN(SUBSTITUTE(SUBSTITUTE(SUBSTITUTE(E109," ",""),"0",""),"-",""))+LEN(SUBSTITUTE(SUBSTITUTE(SUBSTITUTE(F109," ",""),"0",""),"-","")))*1),0)+IF(OR(COUNTA(B111,C111,E111,F111)&gt;0,OR(D111="X",D111="x")),IF(OR(D111="X",D111="x",AND(OR(COUNTA(B111,C111,E111,F111)&gt;0,OR(D111="X",D111="x")),(LEN(SUBSTITUTE(SUBSTITUTE(SUBSTITUTE(B111," ",""),"0",""),"-",""))+LEN(SUBSTITUTE(SUBSTITUTE(SUBSTITUTE(C111," ",""),"0",""),"-","")))=(LEN(SUBSTITUTE(SUBSTITUTE(SUBSTITUTE(E111," ",""),"0",""),"-",""))+LEN(SUBSTITUTE(SUBSTITUTE(SUBSTITUTE(F111," ",""),"0",""),"-",""))))),0,(LEN(SUBSTITUTE(SUBSTITUTE(SUBSTITUTE(E111," ",""),"0",""),"-",""))+LEN(SUBSTITUTE(SUBSTITUTE(SUBSTITUTE(F111," ",""),"0",""),"-",""))&gt;LEN(SUBSTITUTE(SUBSTITUTE(SUBSTITUTE(B111," ",""),"0",""),"-",""))+LEN(SUBSTITUTE(SUBSTITUTE(SUBSTITUTE(C111," ",""),"0",""),"-","")))*1),0)</f>
      </c>
      <c r="C115" s="14" t="str">
        <f>IF(OR(COUNTA(B109,C109,E109,F109)&gt;0,OR(D109="X",D109="x")),IF(OR(D109="X",D109="x",AND(OR(COUNTA(B109,C109,E109,F109)&gt;0,OR(D109="X",D109="x")),(LEN(SUBSTITUTE(SUBSTITUTE(SUBSTITUTE(B109," ",""),"0",""),"-",""))+LEN(SUBSTITUTE(SUBSTITUTE(SUBSTITUTE(C109," ",""),"0",""),"-","")))=(LEN(SUBSTITUTE(SUBSTITUTE(SUBSTITUTE(E109," ",""),"0",""),"-",""))+LEN(SUBSTITUTE(SUBSTITUTE(SUBSTITUTE(F109," ",""),"0",""),"-",""))))),0,(LEN(SUBSTITUTE(SUBSTITUTE(SUBSTITUTE(B109," ",""),"0",""),"-",""))+LEN(SUBSTITUTE(SUBSTITUTE(SUBSTITUTE(C109," ",""),"0",""),"-",""))&lt;LEN(SUBSTITUTE(SUBSTITUTE(SUBSTITUTE(E109," ",""),"0",""),"-",""))+LEN(SUBSTITUTE(SUBSTITUTE(SUBSTITUTE(F109," ",""),"0",""),"-","")))*1),0)+IF(OR(COUNTA(B111,C111,E111,F111)&gt;0,OR(D111="X",D111="x")),IF(OR(D111="X",D111="x",AND(OR(COUNTA(B111,C111,E111,F111)&gt;0,OR(D111="X",D111="x")),(LEN(SUBSTITUTE(SUBSTITUTE(SUBSTITUTE(B111," ",""),"0",""),"-",""))+LEN(SUBSTITUTE(SUBSTITUTE(SUBSTITUTE(C111," ",""),"0",""),"-","")))=(LEN(SUBSTITUTE(SUBSTITUTE(SUBSTITUTE(E111," ",""),"0",""),"-",""))+LEN(SUBSTITUTE(SUBSTITUTE(SUBSTITUTE(F111," ",""),"0",""),"-",""))))),0,(LEN(SUBSTITUTE(SUBSTITUTE(SUBSTITUTE(E111," ",""),"0",""),"-",""))+LEN(SUBSTITUTE(SUBSTITUTE(SUBSTITUTE(F111," ",""),"0",""),"-",""))&lt;LEN(SUBSTITUTE(SUBSTITUTE(SUBSTITUTE(B111," ",""),"0",""),"-",""))+LEN(SUBSTITUTE(SUBSTITUTE(SUBSTITUTE(C111," ",""),"0",""),"-","")))*1),0)</f>
      </c>
      <c r="D115" s="14" t="str">
        <f>IF(OR(COUNTA(B109,C109,E109,F109)&gt;0,OR(D109="X",D109="x")),IF(OR(D109="X",D109="x",AND(OR(COUNTA(B109,C109,E109,F109)&gt;0,OR(D109="X",D109="x")),(LEN(SUBSTITUTE(SUBSTITUTE(SUBSTITUTE(B109," ",""),"0",""),"-",""))+LEN(SUBSTITUTE(SUBSTITUTE(SUBSTITUTE(C109," ",""),"0",""),"-","")))=(LEN(SUBSTITUTE(SUBSTITUTE(SUBSTITUTE(E109," ",""),"0",""),"-",""))+LEN(SUBSTITUTE(SUBSTITUTE(SUBSTITUTE(F109," ",""),"0",""),"-",""))))),1,0),0)+IF(OR(COUNTA(B111,C111,E111,F111)&gt;0,OR(D111="X",D111="x")),IF(OR(D111="X",D111="x",AND(OR(COUNTA(B111,C111,E111,F111)&gt;0,OR(D111="X",D111="x")),(LEN(SUBSTITUTE(SUBSTITUTE(SUBSTITUTE(B111," ",""),"0",""),"-",""))+LEN(SUBSTITUTE(SUBSTITUTE(SUBSTITUTE(C111," ",""),"0",""),"-","")))=(LEN(SUBSTITUTE(SUBSTITUTE(SUBSTITUTE(E111," ",""),"0",""),"-",""))+LEN(SUBSTITUTE(SUBSTITUTE(SUBSTITUTE(F111," ",""),"0",""),"-",""))))),1,0),0)</f>
      </c>
      <c r="E115" s="14" t="str">
        <f>LEN(SUBSTITUTE(SUBSTITUTE(SUBSTITUTE(B109," ",""),"0",""),"-",""))+LEN(SUBSTITUTE(SUBSTITUTE(SUBSTITUTE(C109," ",""),"0",""),"-",""))+LEN(SUBSTITUTE(SUBSTITUTE(SUBSTITUTE(E111," ",""),"0",""),"-",""))+LEN(SUBSTITUTE(SUBSTITUTE(SUBSTITUTE(F111," ",""),"0",""),"-",""))</f>
      </c>
      <c r="F115" s="14" t="str">
        <f>LEN(SUBSTITUTE(SUBSTITUTE(SUBSTITUTE(E109," ",""),"0",""),"-",""))+LEN(SUBSTITUTE(SUBSTITUTE(SUBSTITUTE(F109," ",""),"0",""),"-",""))+LEN(SUBSTITUTE(SUBSTITUTE(SUBSTITUTE(B111," ",""),"0",""),"-",""))+LEN(SUBSTITUTE(SUBSTITUTE(SUBSTITUTE(C111," ",""),"0",""),"-",""))</f>
      </c>
      <c r="G115" s="18" t="str">
        <f>RANK(U115,$U$114:$U$116)+COUNTIF($U$113:U114,U115)</f>
      </c>
      <c r="I115" s="14" t="str">
        <f>data!$E$68&amp;" "&amp;data!$B$68</f>
      </c>
      <c r="J115" s="14" t="str">
        <f>IF(OR(COUNTA(J109,K109,M109,N109)&gt;0,OR(L109="X",L109="x")),IF(OR(L109="X",L109="x",AND(OR(COUNTA(J109,K109,M109,N109)&gt;0,OR(L109="X",L109="x")),(LEN(SUBSTITUTE(SUBSTITUTE(SUBSTITUTE(J109," ",""),"0",""),"-",""))+LEN(SUBSTITUTE(SUBSTITUTE(SUBSTITUTE(K109," ",""),"0",""),"-","")))=(LEN(SUBSTITUTE(SUBSTITUTE(SUBSTITUTE(M109," ",""),"0",""),"-",""))+LEN(SUBSTITUTE(SUBSTITUTE(SUBSTITUTE(N109," ",""),"0",""),"-",""))))),0,(LEN(SUBSTITUTE(SUBSTITUTE(SUBSTITUTE(J109," ",""),"0",""),"-",""))+LEN(SUBSTITUTE(SUBSTITUTE(SUBSTITUTE(K109," ",""),"0",""),"-",""))&gt;LEN(SUBSTITUTE(SUBSTITUTE(SUBSTITUTE(M109," ",""),"0",""),"-",""))+LEN(SUBSTITUTE(SUBSTITUTE(SUBSTITUTE(N109," ",""),"0",""),"-","")))*1),0)+IF(OR(COUNTA(J111,K111,M111,N111)&gt;0,OR(L111="X",L111="x")),IF(OR(L111="X",L111="x",AND(OR(COUNTA(J111,K111,M111,N111)&gt;0,OR(L111="X",L111="x")),(LEN(SUBSTITUTE(SUBSTITUTE(SUBSTITUTE(J111," ",""),"0",""),"-",""))+LEN(SUBSTITUTE(SUBSTITUTE(SUBSTITUTE(K111," ",""),"0",""),"-","")))=(LEN(SUBSTITUTE(SUBSTITUTE(SUBSTITUTE(M111," ",""),"0",""),"-",""))+LEN(SUBSTITUTE(SUBSTITUTE(SUBSTITUTE(N111," ",""),"0",""),"-",""))))),0,(LEN(SUBSTITUTE(SUBSTITUTE(SUBSTITUTE(M111," ",""),"0",""),"-",""))+LEN(SUBSTITUTE(SUBSTITUTE(SUBSTITUTE(N111," ",""),"0",""),"-",""))&gt;LEN(SUBSTITUTE(SUBSTITUTE(SUBSTITUTE(J111," ",""),"0",""),"-",""))+LEN(SUBSTITUTE(SUBSTITUTE(SUBSTITUTE(K111," ",""),"0",""),"-","")))*1),0)</f>
      </c>
      <c r="K115" s="14" t="str">
        <f>IF(OR(COUNTA(J109,K109,M109,N109)&gt;0,OR(L109="X",L109="x")),IF(OR(L109="X",L109="x",AND(OR(COUNTA(J109,K109,M109,N109)&gt;0,OR(L109="X",L109="x")),(LEN(SUBSTITUTE(SUBSTITUTE(SUBSTITUTE(J109," ",""),"0",""),"-",""))+LEN(SUBSTITUTE(SUBSTITUTE(SUBSTITUTE(K109," ",""),"0",""),"-","")))=(LEN(SUBSTITUTE(SUBSTITUTE(SUBSTITUTE(M109," ",""),"0",""),"-",""))+LEN(SUBSTITUTE(SUBSTITUTE(SUBSTITUTE(N109," ",""),"0",""),"-",""))))),0,(LEN(SUBSTITUTE(SUBSTITUTE(SUBSTITUTE(J109," ",""),"0",""),"-",""))+LEN(SUBSTITUTE(SUBSTITUTE(SUBSTITUTE(K109," ",""),"0",""),"-",""))&lt;LEN(SUBSTITUTE(SUBSTITUTE(SUBSTITUTE(M109," ",""),"0",""),"-",""))+LEN(SUBSTITUTE(SUBSTITUTE(SUBSTITUTE(N109," ",""),"0",""),"-","")))*1),0)+IF(OR(COUNTA(J111,K111,M111,N111)&gt;0,OR(L111="X",L111="x")),IF(OR(L111="X",L111="x",AND(OR(COUNTA(J111,K111,M111,N111)&gt;0,OR(L111="X",L111="x")),(LEN(SUBSTITUTE(SUBSTITUTE(SUBSTITUTE(J111," ",""),"0",""),"-",""))+LEN(SUBSTITUTE(SUBSTITUTE(SUBSTITUTE(K111," ",""),"0",""),"-","")))=(LEN(SUBSTITUTE(SUBSTITUTE(SUBSTITUTE(M111," ",""),"0",""),"-",""))+LEN(SUBSTITUTE(SUBSTITUTE(SUBSTITUTE(N111," ",""),"0",""),"-",""))))),0,(LEN(SUBSTITUTE(SUBSTITUTE(SUBSTITUTE(M111," ",""),"0",""),"-",""))+LEN(SUBSTITUTE(SUBSTITUTE(SUBSTITUTE(N111," ",""),"0",""),"-",""))&lt;LEN(SUBSTITUTE(SUBSTITUTE(SUBSTITUTE(J111," ",""),"0",""),"-",""))+LEN(SUBSTITUTE(SUBSTITUTE(SUBSTITUTE(K111," ",""),"0",""),"-","")))*1),0)</f>
      </c>
      <c r="L115" s="14" t="str">
        <f>IF(OR(COUNTA(J109,K109,M109,N109)&gt;0,OR(L109="X",L109="x")),IF(OR(L109="X",L109="x",AND(OR(COUNTA(J109,K109,M109,N109)&gt;0,OR(L109="X",L109="x")),(LEN(SUBSTITUTE(SUBSTITUTE(SUBSTITUTE(J109," ",""),"0",""),"-",""))+LEN(SUBSTITUTE(SUBSTITUTE(SUBSTITUTE(K109," ",""),"0",""),"-","")))=(LEN(SUBSTITUTE(SUBSTITUTE(SUBSTITUTE(M109," ",""),"0",""),"-",""))+LEN(SUBSTITUTE(SUBSTITUTE(SUBSTITUTE(N109," ",""),"0",""),"-",""))))),1,0),0)+IF(OR(COUNTA(J111,K111,M111,N111)&gt;0,OR(L111="X",L111="x")),IF(OR(L111="X",L111="x",AND(OR(COUNTA(J111,K111,M111,N111)&gt;0,OR(L111="X",L111="x")),(LEN(SUBSTITUTE(SUBSTITUTE(SUBSTITUTE(J111," ",""),"0",""),"-",""))+LEN(SUBSTITUTE(SUBSTITUTE(SUBSTITUTE(K111," ",""),"0",""),"-","")))=(LEN(SUBSTITUTE(SUBSTITUTE(SUBSTITUTE(M111," ",""),"0",""),"-",""))+LEN(SUBSTITUTE(SUBSTITUTE(SUBSTITUTE(N111," ",""),"0",""),"-",""))))),1,0),0)</f>
      </c>
      <c r="M115" s="14" t="str">
        <f>LEN(SUBSTITUTE(SUBSTITUTE(SUBSTITUTE(J109," ",""),"0",""),"-",""))+LEN(SUBSTITUTE(SUBSTITUTE(SUBSTITUTE(K109," ",""),"0",""),"-",""))+LEN(SUBSTITUTE(SUBSTITUTE(SUBSTITUTE(M111," ",""),"0",""),"-",""))+LEN(SUBSTITUTE(SUBSTITUTE(SUBSTITUTE(N111," ",""),"0",""),"-",""))</f>
      </c>
      <c r="N115" s="14" t="str">
        <f>LEN(SUBSTITUTE(SUBSTITUTE(SUBSTITUTE(M109," ",""),"0",""),"-",""))+LEN(SUBSTITUTE(SUBSTITUTE(SUBSTITUTE(N109," ",""),"0",""),"-",""))+LEN(SUBSTITUTE(SUBSTITUTE(SUBSTITUTE(J111," ",""),"0",""),"-",""))+LEN(SUBSTITUTE(SUBSTITUTE(SUBSTITUTE(K111," ",""),"0",""),"-",""))</f>
      </c>
      <c r="O115" s="18" t="str">
        <f>RANK(AC115,$AC$114:$AC$116)+COUNTIF($AC$113:AC114,AC115)</f>
      </c>
      <c r="U115" t="str">
        <f>(B115*1000000)-(C115*10000)+(D115*100)+(E115*1)-(F115*0.01)</f>
      </c>
      <c r="AC115" t="str">
        <f>(J115*1000000)-(K115*10000)+(L115*100)+(M115*1)-(N115*0.01)</f>
      </c>
    </row>
    <row r="116">
      <c r="A116" s="14" t="str">
        <f>data!$E$24&amp;" "&amp;data!$B$24</f>
      </c>
      <c r="B116" s="14" t="str">
        <f>IF(OR(COUNTA(B110,C110,E110,F110)&gt;0,OR(D110="X",D110="x")),IF(OR(D110="X",D110="x",AND(OR(COUNTA(B110,C110,E110,F110)&gt;0,OR(D110="X",D110="x")),(LEN(SUBSTITUTE(SUBSTITUTE(SUBSTITUTE(B110," ",""),"0",""),"-",""))+LEN(SUBSTITUTE(SUBSTITUTE(SUBSTITUTE(C110," ",""),"0",""),"-","")))=(LEN(SUBSTITUTE(SUBSTITUTE(SUBSTITUTE(E110," ",""),"0",""),"-",""))+LEN(SUBSTITUTE(SUBSTITUTE(SUBSTITUTE(F110," ",""),"0",""),"-",""))))),0,(LEN(SUBSTITUTE(SUBSTITUTE(SUBSTITUTE(B110," ",""),"0",""),"-",""))+LEN(SUBSTITUTE(SUBSTITUTE(SUBSTITUTE(C110," ",""),"0",""),"-",""))&gt;LEN(SUBSTITUTE(SUBSTITUTE(SUBSTITUTE(E110," ",""),"0",""),"-",""))+LEN(SUBSTITUTE(SUBSTITUTE(SUBSTITUTE(F110," ",""),"0",""),"-","")))*1),0)+IF(OR(COUNTA(B111,C111,E111,F111)&gt;0,OR(D111="X",D111="x")),IF(OR(D111="X",D111="x",AND(OR(COUNTA(B111,C111,E111,F111)&gt;0,OR(D111="X",D111="x")),(LEN(SUBSTITUTE(SUBSTITUTE(SUBSTITUTE(B111," ",""),"0",""),"-",""))+LEN(SUBSTITUTE(SUBSTITUTE(SUBSTITUTE(C111," ",""),"0",""),"-","")))=(LEN(SUBSTITUTE(SUBSTITUTE(SUBSTITUTE(E111," ",""),"0",""),"-",""))+LEN(SUBSTITUTE(SUBSTITUTE(SUBSTITUTE(F111," ",""),"0",""),"-",""))))),0,(LEN(SUBSTITUTE(SUBSTITUTE(SUBSTITUTE(B111," ",""),"0",""),"-",""))+LEN(SUBSTITUTE(SUBSTITUTE(SUBSTITUTE(C111," ",""),"0",""),"-",""))&gt;LEN(SUBSTITUTE(SUBSTITUTE(SUBSTITUTE(E111," ",""),"0",""),"-",""))+LEN(SUBSTITUTE(SUBSTITUTE(SUBSTITUTE(F111," ",""),"0",""),"-","")))*1),0)</f>
      </c>
      <c r="C116" s="14" t="str">
        <f>IF(OR(COUNTA(B110,C110,E110,F110)&gt;0,OR(D110="X",D110="x")),IF(OR(D110="X",D110="x",AND(OR(COUNTA(B110,C110,E110,F110)&gt;0,OR(D110="X",D110="x")),(LEN(SUBSTITUTE(SUBSTITUTE(SUBSTITUTE(B110," ",""),"0",""),"-",""))+LEN(SUBSTITUTE(SUBSTITUTE(SUBSTITUTE(C110," ",""),"0",""),"-","")))=(LEN(SUBSTITUTE(SUBSTITUTE(SUBSTITUTE(E110," ",""),"0",""),"-",""))+LEN(SUBSTITUTE(SUBSTITUTE(SUBSTITUTE(F110," ",""),"0",""),"-",""))))),0,(LEN(SUBSTITUTE(SUBSTITUTE(SUBSTITUTE(B110," ",""),"0",""),"-",""))+LEN(SUBSTITUTE(SUBSTITUTE(SUBSTITUTE(C110," ",""),"0",""),"-",""))&lt;LEN(SUBSTITUTE(SUBSTITUTE(SUBSTITUTE(E110," ",""),"0",""),"-",""))+LEN(SUBSTITUTE(SUBSTITUTE(SUBSTITUTE(F110," ",""),"0",""),"-","")))*1),0)+IF(OR(COUNTA(B111,C111,E111,F111)&gt;0,OR(D111="X",D111="x")),IF(OR(D111="X",D111="x",AND(OR(COUNTA(B111,C111,E111,F111)&gt;0,OR(D111="X",D111="x")),(LEN(SUBSTITUTE(SUBSTITUTE(SUBSTITUTE(B111," ",""),"0",""),"-",""))+LEN(SUBSTITUTE(SUBSTITUTE(SUBSTITUTE(C111," ",""),"0",""),"-","")))=(LEN(SUBSTITUTE(SUBSTITUTE(SUBSTITUTE(E111," ",""),"0",""),"-",""))+LEN(SUBSTITUTE(SUBSTITUTE(SUBSTITUTE(F111," ",""),"0",""),"-",""))))),0,(LEN(SUBSTITUTE(SUBSTITUTE(SUBSTITUTE(B111," ",""),"0",""),"-",""))+LEN(SUBSTITUTE(SUBSTITUTE(SUBSTITUTE(C111," ",""),"0",""),"-",""))&lt;LEN(SUBSTITUTE(SUBSTITUTE(SUBSTITUTE(E111," ",""),"0",""),"-",""))+LEN(SUBSTITUTE(SUBSTITUTE(SUBSTITUTE(F111," ",""),"0",""),"-","")))*1),0)</f>
      </c>
      <c r="D116" s="14" t="str">
        <f>IF(OR(COUNTA(B110,C110,E110,F110)&gt;0,OR(D110="X",D110="x")),IF(OR(D110="X",D110="x",AND(OR(COUNTA(B110,C110,E110,F110)&gt;0,OR(D110="X",D110="x")),(LEN(SUBSTITUTE(SUBSTITUTE(SUBSTITUTE(B110," ",""),"0",""),"-",""))+LEN(SUBSTITUTE(SUBSTITUTE(SUBSTITUTE(C110," ",""),"0",""),"-","")))=(LEN(SUBSTITUTE(SUBSTITUTE(SUBSTITUTE(E110," ",""),"0",""),"-",""))+LEN(SUBSTITUTE(SUBSTITUTE(SUBSTITUTE(F110," ",""),"0",""),"-",""))))),1,0),0)+IF(OR(COUNTA(B111,C111,E111,F111)&gt;0,OR(D111="X",D111="x")),IF(OR(D111="X",D111="x",AND(OR(COUNTA(B111,C111,E111,F111)&gt;0,OR(D111="X",D111="x")),(LEN(SUBSTITUTE(SUBSTITUTE(SUBSTITUTE(B111," ",""),"0",""),"-",""))+LEN(SUBSTITUTE(SUBSTITUTE(SUBSTITUTE(C111," ",""),"0",""),"-","")))=(LEN(SUBSTITUTE(SUBSTITUTE(SUBSTITUTE(E111," ",""),"0",""),"-",""))+LEN(SUBSTITUTE(SUBSTITUTE(SUBSTITUTE(F111," ",""),"0",""),"-",""))))),1,0),0)</f>
      </c>
      <c r="E116" s="14" t="str">
        <f>LEN(SUBSTITUTE(SUBSTITUTE(SUBSTITUTE(B110," ",""),"0",""),"-",""))+LEN(SUBSTITUTE(SUBSTITUTE(SUBSTITUTE(C110," ",""),"0",""),"-",""))+LEN(SUBSTITUTE(SUBSTITUTE(SUBSTITUTE(B111," ",""),"0",""),"-",""))+LEN(SUBSTITUTE(SUBSTITUTE(SUBSTITUTE(C111," ",""),"0",""),"-",""))</f>
      </c>
      <c r="F116" s="14" t="str">
        <f>LEN(SUBSTITUTE(SUBSTITUTE(SUBSTITUTE(E110," ",""),"0",""),"-",""))+LEN(SUBSTITUTE(SUBSTITUTE(SUBSTITUTE(F110," ",""),"0",""),"-",""))+LEN(SUBSTITUTE(SUBSTITUTE(SUBSTITUTE(E111," ",""),"0",""),"-",""))+LEN(SUBSTITUTE(SUBSTITUTE(SUBSTITUTE(F111," ",""),"0",""),"-",""))</f>
      </c>
      <c r="G116" s="18" t="str">
        <f>RANK(U116,$U$114:$U$116)+COUNTIF($U$113:U115,U116)</f>
      </c>
      <c r="I116" s="14" t="str">
        <f>data!$E$69&amp;" "&amp;data!$B$69</f>
      </c>
      <c r="J116" s="14" t="str">
        <f>IF(OR(COUNTA(J110,K110,M110,N110)&gt;0,OR(L110="X",L110="x")),IF(OR(L110="X",L110="x",AND(OR(COUNTA(J110,K110,M110,N110)&gt;0,OR(L110="X",L110="x")),(LEN(SUBSTITUTE(SUBSTITUTE(SUBSTITUTE(J110," ",""),"0",""),"-",""))+LEN(SUBSTITUTE(SUBSTITUTE(SUBSTITUTE(K110," ",""),"0",""),"-","")))=(LEN(SUBSTITUTE(SUBSTITUTE(SUBSTITUTE(M110," ",""),"0",""),"-",""))+LEN(SUBSTITUTE(SUBSTITUTE(SUBSTITUTE(N110," ",""),"0",""),"-",""))))),0,(LEN(SUBSTITUTE(SUBSTITUTE(SUBSTITUTE(J110," ",""),"0",""),"-",""))+LEN(SUBSTITUTE(SUBSTITUTE(SUBSTITUTE(K110," ",""),"0",""),"-",""))&gt;LEN(SUBSTITUTE(SUBSTITUTE(SUBSTITUTE(M110," ",""),"0",""),"-",""))+LEN(SUBSTITUTE(SUBSTITUTE(SUBSTITUTE(N110," ",""),"0",""),"-","")))*1),0)+IF(OR(COUNTA(J111,K111,M111,N111)&gt;0,OR(L111="X",L111="x")),IF(OR(L111="X",L111="x",AND(OR(COUNTA(J111,K111,M111,N111)&gt;0,OR(L111="X",L111="x")),(LEN(SUBSTITUTE(SUBSTITUTE(SUBSTITUTE(J111," ",""),"0",""),"-",""))+LEN(SUBSTITUTE(SUBSTITUTE(SUBSTITUTE(K111," ",""),"0",""),"-","")))=(LEN(SUBSTITUTE(SUBSTITUTE(SUBSTITUTE(M111," ",""),"0",""),"-",""))+LEN(SUBSTITUTE(SUBSTITUTE(SUBSTITUTE(N111," ",""),"0",""),"-",""))))),0,(LEN(SUBSTITUTE(SUBSTITUTE(SUBSTITUTE(J111," ",""),"0",""),"-",""))+LEN(SUBSTITUTE(SUBSTITUTE(SUBSTITUTE(K111," ",""),"0",""),"-",""))&gt;LEN(SUBSTITUTE(SUBSTITUTE(SUBSTITUTE(M111," ",""),"0",""),"-",""))+LEN(SUBSTITUTE(SUBSTITUTE(SUBSTITUTE(N111," ",""),"0",""),"-","")))*1),0)</f>
      </c>
      <c r="K116" s="14" t="str">
        <f>IF(OR(COUNTA(J110,K110,M110,N110)&gt;0,OR(L110="X",L110="x")),IF(OR(L110="X",L110="x",AND(OR(COUNTA(J110,K110,M110,N110)&gt;0,OR(L110="X",L110="x")),(LEN(SUBSTITUTE(SUBSTITUTE(SUBSTITUTE(J110," ",""),"0",""),"-",""))+LEN(SUBSTITUTE(SUBSTITUTE(SUBSTITUTE(K110," ",""),"0",""),"-","")))=(LEN(SUBSTITUTE(SUBSTITUTE(SUBSTITUTE(M110," ",""),"0",""),"-",""))+LEN(SUBSTITUTE(SUBSTITUTE(SUBSTITUTE(N110," ",""),"0",""),"-",""))))),0,(LEN(SUBSTITUTE(SUBSTITUTE(SUBSTITUTE(J110," ",""),"0",""),"-",""))+LEN(SUBSTITUTE(SUBSTITUTE(SUBSTITUTE(K110," ",""),"0",""),"-",""))&lt;LEN(SUBSTITUTE(SUBSTITUTE(SUBSTITUTE(M110," ",""),"0",""),"-",""))+LEN(SUBSTITUTE(SUBSTITUTE(SUBSTITUTE(N110," ",""),"0",""),"-","")))*1),0)+IF(OR(COUNTA(J111,K111,M111,N111)&gt;0,OR(L111="X",L111="x")),IF(OR(L111="X",L111="x",AND(OR(COUNTA(J111,K111,M111,N111)&gt;0,OR(L111="X",L111="x")),(LEN(SUBSTITUTE(SUBSTITUTE(SUBSTITUTE(J111," ",""),"0",""),"-",""))+LEN(SUBSTITUTE(SUBSTITUTE(SUBSTITUTE(K111," ",""),"0",""),"-","")))=(LEN(SUBSTITUTE(SUBSTITUTE(SUBSTITUTE(M111," ",""),"0",""),"-",""))+LEN(SUBSTITUTE(SUBSTITUTE(SUBSTITUTE(N111," ",""),"0",""),"-",""))))),0,(LEN(SUBSTITUTE(SUBSTITUTE(SUBSTITUTE(J111," ",""),"0",""),"-",""))+LEN(SUBSTITUTE(SUBSTITUTE(SUBSTITUTE(K111," ",""),"0",""),"-",""))&lt;LEN(SUBSTITUTE(SUBSTITUTE(SUBSTITUTE(M111," ",""),"0",""),"-",""))+LEN(SUBSTITUTE(SUBSTITUTE(SUBSTITUTE(N111," ",""),"0",""),"-","")))*1),0)</f>
      </c>
      <c r="L116" s="14" t="str">
        <f>IF(OR(COUNTA(J110,K110,M110,N110)&gt;0,OR(L110="X",L110="x")),IF(OR(L110="X",L110="x",AND(OR(COUNTA(J110,K110,M110,N110)&gt;0,OR(L110="X",L110="x")),(LEN(SUBSTITUTE(SUBSTITUTE(SUBSTITUTE(J110," ",""),"0",""),"-",""))+LEN(SUBSTITUTE(SUBSTITUTE(SUBSTITUTE(K110," ",""),"0",""),"-","")))=(LEN(SUBSTITUTE(SUBSTITUTE(SUBSTITUTE(M110," ",""),"0",""),"-",""))+LEN(SUBSTITUTE(SUBSTITUTE(SUBSTITUTE(N110," ",""),"0",""),"-",""))))),1,0),0)+IF(OR(COUNTA(J111,K111,M111,N111)&gt;0,OR(L111="X",L111="x")),IF(OR(L111="X",L111="x",AND(OR(COUNTA(J111,K111,M111,N111)&gt;0,OR(L111="X",L111="x")),(LEN(SUBSTITUTE(SUBSTITUTE(SUBSTITUTE(J111," ",""),"0",""),"-",""))+LEN(SUBSTITUTE(SUBSTITUTE(SUBSTITUTE(K111," ",""),"0",""),"-","")))=(LEN(SUBSTITUTE(SUBSTITUTE(SUBSTITUTE(M111," ",""),"0",""),"-",""))+LEN(SUBSTITUTE(SUBSTITUTE(SUBSTITUTE(N111," ",""),"0",""),"-",""))))),1,0),0)</f>
      </c>
      <c r="M116" s="14" t="str">
        <f>LEN(SUBSTITUTE(SUBSTITUTE(SUBSTITUTE(J110," ",""),"0",""),"-",""))+LEN(SUBSTITUTE(SUBSTITUTE(SUBSTITUTE(K110," ",""),"0",""),"-",""))+LEN(SUBSTITUTE(SUBSTITUTE(SUBSTITUTE(J111," ",""),"0",""),"-",""))+LEN(SUBSTITUTE(SUBSTITUTE(SUBSTITUTE(K111," ",""),"0",""),"-",""))</f>
      </c>
      <c r="N116" s="14" t="str">
        <f>LEN(SUBSTITUTE(SUBSTITUTE(SUBSTITUTE(M110," ",""),"0",""),"-",""))+LEN(SUBSTITUTE(SUBSTITUTE(SUBSTITUTE(N110," ",""),"0",""),"-",""))+LEN(SUBSTITUTE(SUBSTITUTE(SUBSTITUTE(M111," ",""),"0",""),"-",""))+LEN(SUBSTITUTE(SUBSTITUTE(SUBSTITUTE(N111," ",""),"0",""),"-",""))</f>
      </c>
      <c r="O116" s="18" t="str">
        <f>RANK(AC116,$AC$114:$AC$116)+COUNTIF($AC$113:AC115,AC116)</f>
      </c>
      <c r="U116" t="str">
        <f>(B116*1000000)-(C116*10000)+(D116*100)+(E116*1)-(F116*0.01)</f>
      </c>
      <c r="AC116" t="str">
        <f>(J116*1000000)-(K116*10000)+(L116*100)+(M116*1)-(N116*0.01)</f>
      </c>
    </row>
    <row r="119">
      <c r="F119" s="13"/>
      <c r="G119" s="13" t="s">
        <v>340</v>
      </c>
      <c r="N119" s="13"/>
      <c r="O119" s="13" t="s">
        <v>340</v>
      </c>
    </row>
    <row r="120">
      <c r="F120" t="s">
        <v>341</v>
      </c>
      <c r="G120" s="19" t="str">
        <f>IFERROR(INDEX($A$114:$A$116, MATCH(1, $G$114:$G$116, 0)), "-")</f>
      </c>
      <c r="N120" t="s">
        <v>341</v>
      </c>
      <c r="O120" s="19" t="str">
        <f>IFERROR(INDEX($I$114:$I$116, MATCH(1, $O$114:$O$116, 0)), "-")</f>
      </c>
    </row>
    <row r="121">
      <c r="F121" t="s">
        <v>342</v>
      </c>
      <c r="G121" s="19" t="str">
        <f>IFERROR(INDEX($A$114:$A$116, MATCH(2, $G$114:$G$116, 0)), "-")</f>
      </c>
      <c r="N121" t="s">
        <v>342</v>
      </c>
      <c r="O121" s="19" t="str">
        <f>IFERROR(INDEX($I$114:$I$116, MATCH(2, $O$114:$O$116, 0)), "-")</f>
      </c>
    </row>
    <row r="122">
      <c r="F122" t="s">
        <v>343</v>
      </c>
      <c r="G122" s="19" t="str">
        <f>IFERROR(INDEX($A$114:$A$116, MATCH(3, $G$114:$G$116, 0)), "-")</f>
      </c>
      <c r="N122" t="s">
        <v>343</v>
      </c>
      <c r="O122" s="19" t="str">
        <f>IFERROR(INDEX($I$114:$I$116, MATCH(3, $O$114:$O$116, 0)), "-")</f>
      </c>
    </row>
    <row r="124">
      <c r="A124" s="13" t="str">
        <f>'data'!$A$27</f>
      </c>
      <c r="B124" s="13"/>
      <c r="C124" s="13"/>
      <c r="D124" s="13"/>
      <c r="E124" s="13"/>
      <c r="F124" s="13"/>
      <c r="G124" s="13"/>
      <c r="I124" s="13" t="str">
        <f>'data'!$A$72</f>
      </c>
      <c r="J124" s="13"/>
      <c r="K124" s="13"/>
      <c r="L124" s="13"/>
      <c r="M124" s="13"/>
      <c r="N124" s="13"/>
      <c r="O124" s="13"/>
    </row>
    <row r="125">
      <c r="A125" s="17" t="s">
        <v>330</v>
      </c>
      <c r="D125" s="14" t="s">
        <v>331</v>
      </c>
      <c r="G125" s="16" t="s">
        <v>332</v>
      </c>
      <c r="I125" s="17" t="s">
        <v>330</v>
      </c>
      <c r="L125" s="14" t="s">
        <v>331</v>
      </c>
      <c r="O125" s="16" t="s">
        <v>332</v>
      </c>
    </row>
    <row r="126">
      <c r="A126" s="14" t="str">
        <f>data!$E$26&amp;" "&amp;data!$B$26</f>
      </c>
      <c r="B126" s="18"/>
      <c r="C126" s="18"/>
      <c r="D126" s="18"/>
      <c r="E126" s="18"/>
      <c r="F126" s="18"/>
      <c r="G126" s="14" t="str">
        <f>data!$E$25&amp;" "&amp;data!$B$25</f>
      </c>
      <c r="I126" s="14" t="str">
        <f>data!$E$71&amp;" "&amp;data!$B$71</f>
      </c>
      <c r="J126" s="18"/>
      <c r="K126" s="18"/>
      <c r="L126" s="18"/>
      <c r="M126" s="18"/>
      <c r="N126" s="18"/>
      <c r="O126" s="14" t="str">
        <f>data!$E$70&amp;" "&amp;data!$B$70</f>
      </c>
    </row>
    <row r="127">
      <c r="A127" s="14" t="str">
        <f>data!$E$27&amp;" "&amp;data!$B$27</f>
      </c>
      <c r="B127" s="18"/>
      <c r="C127" s="18"/>
      <c r="D127" s="18"/>
      <c r="E127" s="18"/>
      <c r="F127" s="18"/>
      <c r="G127" s="14" t="str">
        <f>data!$E$25&amp;" "&amp;data!$B$25</f>
      </c>
      <c r="I127" s="14" t="str">
        <f>data!$E$72&amp;" "&amp;data!$B$72</f>
      </c>
      <c r="J127" s="18"/>
      <c r="K127" s="18"/>
      <c r="L127" s="18"/>
      <c r="M127" s="18"/>
      <c r="N127" s="18"/>
      <c r="O127" s="14" t="str">
        <f>data!$E$70&amp;" "&amp;data!$B$70</f>
      </c>
    </row>
    <row r="128">
      <c r="A128" s="14" t="str">
        <f>data!$E$27&amp;" "&amp;data!$B$27</f>
      </c>
      <c r="B128" s="18"/>
      <c r="C128" s="18"/>
      <c r="D128" s="18"/>
      <c r="E128" s="18"/>
      <c r="F128" s="18"/>
      <c r="G128" s="14" t="str">
        <f>data!$E$26&amp;" "&amp;data!$B$26</f>
      </c>
      <c r="I128" s="14" t="str">
        <f>data!$E$72&amp;" "&amp;data!$B$72</f>
      </c>
      <c r="J128" s="18"/>
      <c r="K128" s="18"/>
      <c r="L128" s="18"/>
      <c r="M128" s="18"/>
      <c r="N128" s="18"/>
      <c r="O128" s="14" t="str">
        <f>data!$E$71&amp;" "&amp;data!$B$71</f>
      </c>
    </row>
    <row r="130">
      <c r="A130" s="13" t="s">
        <v>333</v>
      </c>
      <c r="B130" s="13" t="s">
        <v>334</v>
      </c>
      <c r="C130" s="13" t="s">
        <v>335</v>
      </c>
      <c r="D130" s="13" t="s">
        <v>336</v>
      </c>
      <c r="E130" s="13" t="s">
        <v>337</v>
      </c>
      <c r="F130" s="13" t="s">
        <v>338</v>
      </c>
      <c r="G130" s="13" t="s">
        <v>339</v>
      </c>
      <c r="I130" s="13" t="s">
        <v>333</v>
      </c>
      <c r="J130" s="13" t="s">
        <v>334</v>
      </c>
      <c r="K130" s="13" t="s">
        <v>335</v>
      </c>
      <c r="L130" s="13" t="s">
        <v>336</v>
      </c>
      <c r="M130" s="13" t="s">
        <v>337</v>
      </c>
      <c r="N130" s="13" t="s">
        <v>338</v>
      </c>
      <c r="O130" s="13" t="s">
        <v>339</v>
      </c>
    </row>
    <row r="131">
      <c r="A131" s="14" t="str">
        <f>data!$E$25&amp;" "&amp;data!$B$25</f>
      </c>
      <c r="B131" s="14" t="str">
        <f>IF(OR(COUNTA(B126,C126,E126,F126)&gt;0,OR(D126="X",D126="x")),IF(OR(D126="X",D126="x",AND(OR(COUNTA(B126,C126,E126,F126)&gt;0,OR(D126="X",D126="x")),(LEN(SUBSTITUTE(SUBSTITUTE(SUBSTITUTE(B126," ",""),"0",""),"-",""))+LEN(SUBSTITUTE(SUBSTITUTE(SUBSTITUTE(C126," ",""),"0",""),"-","")))=(LEN(SUBSTITUTE(SUBSTITUTE(SUBSTITUTE(E126," ",""),"0",""),"-",""))+LEN(SUBSTITUTE(SUBSTITUTE(SUBSTITUTE(F126," ",""),"0",""),"-",""))))),0,(LEN(SUBSTITUTE(SUBSTITUTE(SUBSTITUTE(E126," ",""),"0",""),"-",""))+LEN(SUBSTITUTE(SUBSTITUTE(SUBSTITUTE(F126," ",""),"0",""),"-",""))&gt;LEN(SUBSTITUTE(SUBSTITUTE(SUBSTITUTE(B126," ",""),"0",""),"-",""))+LEN(SUBSTITUTE(SUBSTITUTE(SUBSTITUTE(C126," ",""),"0",""),"-","")))*1),0)+IF(OR(COUNTA(B127,C127,E127,F127)&gt;0,OR(D127="X",D127="x")),IF(OR(D127="X",D127="x",AND(OR(COUNTA(B127,C127,E127,F127)&gt;0,OR(D127="X",D127="x")),(LEN(SUBSTITUTE(SUBSTITUTE(SUBSTITUTE(B127," ",""),"0",""),"-",""))+LEN(SUBSTITUTE(SUBSTITUTE(SUBSTITUTE(C127," ",""),"0",""),"-","")))=(LEN(SUBSTITUTE(SUBSTITUTE(SUBSTITUTE(E127," ",""),"0",""),"-",""))+LEN(SUBSTITUTE(SUBSTITUTE(SUBSTITUTE(F127," ",""),"0",""),"-",""))))),0,(LEN(SUBSTITUTE(SUBSTITUTE(SUBSTITUTE(E127," ",""),"0",""),"-",""))+LEN(SUBSTITUTE(SUBSTITUTE(SUBSTITUTE(F127," ",""),"0",""),"-",""))&gt;LEN(SUBSTITUTE(SUBSTITUTE(SUBSTITUTE(B127," ",""),"0",""),"-",""))+LEN(SUBSTITUTE(SUBSTITUTE(SUBSTITUTE(C127," ",""),"0",""),"-","")))*1),0)</f>
      </c>
      <c r="C131" s="14" t="str">
        <f>IF(OR(COUNTA(B126,C126,E126,F126)&gt;0,OR(D126="X",D126="x")),IF(OR(D126="X",D126="x",AND(OR(COUNTA(B126,C126,E126,F126)&gt;0,OR(D126="X",D126="x")),(LEN(SUBSTITUTE(SUBSTITUTE(SUBSTITUTE(B126," ",""),"0",""),"-",""))+LEN(SUBSTITUTE(SUBSTITUTE(SUBSTITUTE(C126," ",""),"0",""),"-","")))=(LEN(SUBSTITUTE(SUBSTITUTE(SUBSTITUTE(E126," ",""),"0",""),"-",""))+LEN(SUBSTITUTE(SUBSTITUTE(SUBSTITUTE(F126," ",""),"0",""),"-",""))))),0,(LEN(SUBSTITUTE(SUBSTITUTE(SUBSTITUTE(E126," ",""),"0",""),"-",""))+LEN(SUBSTITUTE(SUBSTITUTE(SUBSTITUTE(F126," ",""),"0",""),"-",""))&lt;LEN(SUBSTITUTE(SUBSTITUTE(SUBSTITUTE(B126," ",""),"0",""),"-",""))+LEN(SUBSTITUTE(SUBSTITUTE(SUBSTITUTE(C126," ",""),"0",""),"-","")))*1),0)+IF(OR(COUNTA(B127,C127,E127,F127)&gt;0,OR(D127="X",D127="x")),IF(OR(D127="X",D127="x",AND(OR(COUNTA(B127,C127,E127,F127)&gt;0,OR(D127="X",D127="x")),(LEN(SUBSTITUTE(SUBSTITUTE(SUBSTITUTE(B127," ",""),"0",""),"-",""))+LEN(SUBSTITUTE(SUBSTITUTE(SUBSTITUTE(C127," ",""),"0",""),"-","")))=(LEN(SUBSTITUTE(SUBSTITUTE(SUBSTITUTE(E127," ",""),"0",""),"-",""))+LEN(SUBSTITUTE(SUBSTITUTE(SUBSTITUTE(F127," ",""),"0",""),"-",""))))),0,(LEN(SUBSTITUTE(SUBSTITUTE(SUBSTITUTE(E127," ",""),"0",""),"-",""))+LEN(SUBSTITUTE(SUBSTITUTE(SUBSTITUTE(F127," ",""),"0",""),"-",""))&lt;LEN(SUBSTITUTE(SUBSTITUTE(SUBSTITUTE(B127," ",""),"0",""),"-",""))+LEN(SUBSTITUTE(SUBSTITUTE(SUBSTITUTE(C127," ",""),"0",""),"-","")))*1),0)</f>
      </c>
      <c r="D131" s="14" t="str">
        <f>IF(OR(COUNTA(B126,C126,E126,F126)&gt;0,OR(D126="X",D126="x")),IF(OR(D126="X",D126="x",AND(OR(COUNTA(B126,C126,E126,F126)&gt;0,OR(D126="X",D126="x")),(LEN(SUBSTITUTE(SUBSTITUTE(SUBSTITUTE(B126," ",""),"0",""),"-",""))+LEN(SUBSTITUTE(SUBSTITUTE(SUBSTITUTE(C126," ",""),"0",""),"-","")))=(LEN(SUBSTITUTE(SUBSTITUTE(SUBSTITUTE(E126," ",""),"0",""),"-",""))+LEN(SUBSTITUTE(SUBSTITUTE(SUBSTITUTE(F126," ",""),"0",""),"-",""))))),1,0),0)+IF(OR(COUNTA(B127,C127,E127,F127)&gt;0,OR(D127="X",D127="x")),IF(OR(D127="X",D127="x",AND(OR(COUNTA(B127,C127,E127,F127)&gt;0,OR(D127="X",D127="x")),(LEN(SUBSTITUTE(SUBSTITUTE(SUBSTITUTE(B127," ",""),"0",""),"-",""))+LEN(SUBSTITUTE(SUBSTITUTE(SUBSTITUTE(C127," ",""),"0",""),"-","")))=(LEN(SUBSTITUTE(SUBSTITUTE(SUBSTITUTE(E127," ",""),"0",""),"-",""))+LEN(SUBSTITUTE(SUBSTITUTE(SUBSTITUTE(F127," ",""),"0",""),"-",""))))),1,0),0)</f>
      </c>
      <c r="E131" s="14" t="str">
        <f>LEN(SUBSTITUTE(SUBSTITUTE(SUBSTITUTE(E126," ",""),"0",""),"-",""))+LEN(SUBSTITUTE(SUBSTITUTE(SUBSTITUTE(F126," ",""),"0",""),"-",""))+LEN(SUBSTITUTE(SUBSTITUTE(SUBSTITUTE(E127," ",""),"0",""),"-",""))+LEN(SUBSTITUTE(SUBSTITUTE(SUBSTITUTE(F127," ",""),"0",""),"-",""))</f>
      </c>
      <c r="F131" s="14" t="str">
        <f>LEN(SUBSTITUTE(SUBSTITUTE(SUBSTITUTE(B126," ",""),"0",""),"-",""))+LEN(SUBSTITUTE(SUBSTITUTE(SUBSTITUTE(C126," ",""),"0",""),"-",""))+LEN(SUBSTITUTE(SUBSTITUTE(SUBSTITUTE(B127," ",""),"0",""),"-",""))+LEN(SUBSTITUTE(SUBSTITUTE(SUBSTITUTE(C127," ",""),"0",""),"-",""))</f>
      </c>
      <c r="G131" s="18" t="str">
        <f>RANK(U131,$U$131:$U$133)+COUNTIF($U$130:U130,U131)</f>
      </c>
      <c r="I131" s="14" t="str">
        <f>data!$E$70&amp;" "&amp;data!$B$70</f>
      </c>
      <c r="J131" s="14" t="str">
        <f>IF(OR(COUNTA(J126,K126,M126,N126)&gt;0,OR(L126="X",L126="x")),IF(OR(L126="X",L126="x",AND(OR(COUNTA(J126,K126,M126,N126)&gt;0,OR(L126="X",L126="x")),(LEN(SUBSTITUTE(SUBSTITUTE(SUBSTITUTE(J126," ",""),"0",""),"-",""))+LEN(SUBSTITUTE(SUBSTITUTE(SUBSTITUTE(K126," ",""),"0",""),"-","")))=(LEN(SUBSTITUTE(SUBSTITUTE(SUBSTITUTE(M126," ",""),"0",""),"-",""))+LEN(SUBSTITUTE(SUBSTITUTE(SUBSTITUTE(N126," ",""),"0",""),"-",""))))),0,(LEN(SUBSTITUTE(SUBSTITUTE(SUBSTITUTE(M126," ",""),"0",""),"-",""))+LEN(SUBSTITUTE(SUBSTITUTE(SUBSTITUTE(N126," ",""),"0",""),"-",""))&gt;LEN(SUBSTITUTE(SUBSTITUTE(SUBSTITUTE(J126," ",""),"0",""),"-",""))+LEN(SUBSTITUTE(SUBSTITUTE(SUBSTITUTE(K126," ",""),"0",""),"-","")))*1),0)+IF(OR(COUNTA(J127,K127,M127,N127)&gt;0,OR(L127="X",L127="x")),IF(OR(L127="X",L127="x",AND(OR(COUNTA(J127,K127,M127,N127)&gt;0,OR(L127="X",L127="x")),(LEN(SUBSTITUTE(SUBSTITUTE(SUBSTITUTE(J127," ",""),"0",""),"-",""))+LEN(SUBSTITUTE(SUBSTITUTE(SUBSTITUTE(K127," ",""),"0",""),"-","")))=(LEN(SUBSTITUTE(SUBSTITUTE(SUBSTITUTE(M127," ",""),"0",""),"-",""))+LEN(SUBSTITUTE(SUBSTITUTE(SUBSTITUTE(N127," ",""),"0",""),"-",""))))),0,(LEN(SUBSTITUTE(SUBSTITUTE(SUBSTITUTE(M127," ",""),"0",""),"-",""))+LEN(SUBSTITUTE(SUBSTITUTE(SUBSTITUTE(N127," ",""),"0",""),"-",""))&gt;LEN(SUBSTITUTE(SUBSTITUTE(SUBSTITUTE(J127," ",""),"0",""),"-",""))+LEN(SUBSTITUTE(SUBSTITUTE(SUBSTITUTE(K127," ",""),"0",""),"-","")))*1),0)</f>
      </c>
      <c r="K131" s="14" t="str">
        <f>IF(OR(COUNTA(J126,K126,M126,N126)&gt;0,OR(L126="X",L126="x")),IF(OR(L126="X",L126="x",AND(OR(COUNTA(J126,K126,M126,N126)&gt;0,OR(L126="X",L126="x")),(LEN(SUBSTITUTE(SUBSTITUTE(SUBSTITUTE(J126," ",""),"0",""),"-",""))+LEN(SUBSTITUTE(SUBSTITUTE(SUBSTITUTE(K126," ",""),"0",""),"-","")))=(LEN(SUBSTITUTE(SUBSTITUTE(SUBSTITUTE(M126," ",""),"0",""),"-",""))+LEN(SUBSTITUTE(SUBSTITUTE(SUBSTITUTE(N126," ",""),"0",""),"-",""))))),0,(LEN(SUBSTITUTE(SUBSTITUTE(SUBSTITUTE(M126," ",""),"0",""),"-",""))+LEN(SUBSTITUTE(SUBSTITUTE(SUBSTITUTE(N126," ",""),"0",""),"-",""))&lt;LEN(SUBSTITUTE(SUBSTITUTE(SUBSTITUTE(J126," ",""),"0",""),"-",""))+LEN(SUBSTITUTE(SUBSTITUTE(SUBSTITUTE(K126," ",""),"0",""),"-","")))*1),0)+IF(OR(COUNTA(J127,K127,M127,N127)&gt;0,OR(L127="X",L127="x")),IF(OR(L127="X",L127="x",AND(OR(COUNTA(J127,K127,M127,N127)&gt;0,OR(L127="X",L127="x")),(LEN(SUBSTITUTE(SUBSTITUTE(SUBSTITUTE(J127," ",""),"0",""),"-",""))+LEN(SUBSTITUTE(SUBSTITUTE(SUBSTITUTE(K127," ",""),"0",""),"-","")))=(LEN(SUBSTITUTE(SUBSTITUTE(SUBSTITUTE(M127," ",""),"0",""),"-",""))+LEN(SUBSTITUTE(SUBSTITUTE(SUBSTITUTE(N127," ",""),"0",""),"-",""))))),0,(LEN(SUBSTITUTE(SUBSTITUTE(SUBSTITUTE(M127," ",""),"0",""),"-",""))+LEN(SUBSTITUTE(SUBSTITUTE(SUBSTITUTE(N127," ",""),"0",""),"-",""))&lt;LEN(SUBSTITUTE(SUBSTITUTE(SUBSTITUTE(J127," ",""),"0",""),"-",""))+LEN(SUBSTITUTE(SUBSTITUTE(SUBSTITUTE(K127," ",""),"0",""),"-","")))*1),0)</f>
      </c>
      <c r="L131" s="14" t="str">
        <f>IF(OR(COUNTA(J126,K126,M126,N126)&gt;0,OR(L126="X",L126="x")),IF(OR(L126="X",L126="x",AND(OR(COUNTA(J126,K126,M126,N126)&gt;0,OR(L126="X",L126="x")),(LEN(SUBSTITUTE(SUBSTITUTE(SUBSTITUTE(J126," ",""),"0",""),"-",""))+LEN(SUBSTITUTE(SUBSTITUTE(SUBSTITUTE(K126," ",""),"0",""),"-","")))=(LEN(SUBSTITUTE(SUBSTITUTE(SUBSTITUTE(M126," ",""),"0",""),"-",""))+LEN(SUBSTITUTE(SUBSTITUTE(SUBSTITUTE(N126," ",""),"0",""),"-",""))))),1,0),0)+IF(OR(COUNTA(J127,K127,M127,N127)&gt;0,OR(L127="X",L127="x")),IF(OR(L127="X",L127="x",AND(OR(COUNTA(J127,K127,M127,N127)&gt;0,OR(L127="X",L127="x")),(LEN(SUBSTITUTE(SUBSTITUTE(SUBSTITUTE(J127," ",""),"0",""),"-",""))+LEN(SUBSTITUTE(SUBSTITUTE(SUBSTITUTE(K127," ",""),"0",""),"-","")))=(LEN(SUBSTITUTE(SUBSTITUTE(SUBSTITUTE(M127," ",""),"0",""),"-",""))+LEN(SUBSTITUTE(SUBSTITUTE(SUBSTITUTE(N127," ",""),"0",""),"-",""))))),1,0),0)</f>
      </c>
      <c r="M131" s="14" t="str">
        <f>LEN(SUBSTITUTE(SUBSTITUTE(SUBSTITUTE(M126," ",""),"0",""),"-",""))+LEN(SUBSTITUTE(SUBSTITUTE(SUBSTITUTE(N126," ",""),"0",""),"-",""))+LEN(SUBSTITUTE(SUBSTITUTE(SUBSTITUTE(M127," ",""),"0",""),"-",""))+LEN(SUBSTITUTE(SUBSTITUTE(SUBSTITUTE(N127," ",""),"0",""),"-",""))</f>
      </c>
      <c r="N131" s="14" t="str">
        <f>LEN(SUBSTITUTE(SUBSTITUTE(SUBSTITUTE(J126," ",""),"0",""),"-",""))+LEN(SUBSTITUTE(SUBSTITUTE(SUBSTITUTE(K126," ",""),"0",""),"-",""))+LEN(SUBSTITUTE(SUBSTITUTE(SUBSTITUTE(J127," ",""),"0",""),"-",""))+LEN(SUBSTITUTE(SUBSTITUTE(SUBSTITUTE(K127," ",""),"0",""),"-",""))</f>
      </c>
      <c r="O131" s="18" t="str">
        <f>RANK(AC131,$AC$131:$AC$133)+COUNTIF($AC$130:AC130,AC131)</f>
      </c>
      <c r="U131" t="str">
        <f>(B131*1000000)-(C131*10000)+(D131*100)+(E131*1)-(F131*0.01)</f>
      </c>
      <c r="AC131" t="str">
        <f>(J131*1000000)-(K131*10000)+(L131*100)+(M131*1)-(N131*0.01)</f>
      </c>
    </row>
    <row r="132">
      <c r="A132" s="14" t="str">
        <f>data!$E$26&amp;" "&amp;data!$B$26</f>
      </c>
      <c r="B132" s="14" t="str">
        <f>IF(OR(COUNTA(B126,C126,E126,F126)&gt;0,OR(D126="X",D126="x")),IF(OR(D126="X",D126="x",AND(OR(COUNTA(B126,C126,E126,F126)&gt;0,OR(D126="X",D126="x")),(LEN(SUBSTITUTE(SUBSTITUTE(SUBSTITUTE(B126," ",""),"0",""),"-",""))+LEN(SUBSTITUTE(SUBSTITUTE(SUBSTITUTE(C126," ",""),"0",""),"-","")))=(LEN(SUBSTITUTE(SUBSTITUTE(SUBSTITUTE(E126," ",""),"0",""),"-",""))+LEN(SUBSTITUTE(SUBSTITUTE(SUBSTITUTE(F126," ",""),"0",""),"-",""))))),0,(LEN(SUBSTITUTE(SUBSTITUTE(SUBSTITUTE(B126," ",""),"0",""),"-",""))+LEN(SUBSTITUTE(SUBSTITUTE(SUBSTITUTE(C126," ",""),"0",""),"-",""))&gt;LEN(SUBSTITUTE(SUBSTITUTE(SUBSTITUTE(E126," ",""),"0",""),"-",""))+LEN(SUBSTITUTE(SUBSTITUTE(SUBSTITUTE(F126," ",""),"0",""),"-","")))*1),0)+IF(OR(COUNTA(B128,C128,E128,F128)&gt;0,OR(D128="X",D128="x")),IF(OR(D128="X",D128="x",AND(OR(COUNTA(B128,C128,E128,F128)&gt;0,OR(D128="X",D128="x")),(LEN(SUBSTITUTE(SUBSTITUTE(SUBSTITUTE(B128," ",""),"0",""),"-",""))+LEN(SUBSTITUTE(SUBSTITUTE(SUBSTITUTE(C128," ",""),"0",""),"-","")))=(LEN(SUBSTITUTE(SUBSTITUTE(SUBSTITUTE(E128," ",""),"0",""),"-",""))+LEN(SUBSTITUTE(SUBSTITUTE(SUBSTITUTE(F128," ",""),"0",""),"-",""))))),0,(LEN(SUBSTITUTE(SUBSTITUTE(SUBSTITUTE(E128," ",""),"0",""),"-",""))+LEN(SUBSTITUTE(SUBSTITUTE(SUBSTITUTE(F128," ",""),"0",""),"-",""))&gt;LEN(SUBSTITUTE(SUBSTITUTE(SUBSTITUTE(B128," ",""),"0",""),"-",""))+LEN(SUBSTITUTE(SUBSTITUTE(SUBSTITUTE(C128," ",""),"0",""),"-","")))*1),0)</f>
      </c>
      <c r="C132" s="14" t="str">
        <f>IF(OR(COUNTA(B126,C126,E126,F126)&gt;0,OR(D126="X",D126="x")),IF(OR(D126="X",D126="x",AND(OR(COUNTA(B126,C126,E126,F126)&gt;0,OR(D126="X",D126="x")),(LEN(SUBSTITUTE(SUBSTITUTE(SUBSTITUTE(B126," ",""),"0",""),"-",""))+LEN(SUBSTITUTE(SUBSTITUTE(SUBSTITUTE(C126," ",""),"0",""),"-","")))=(LEN(SUBSTITUTE(SUBSTITUTE(SUBSTITUTE(E126," ",""),"0",""),"-",""))+LEN(SUBSTITUTE(SUBSTITUTE(SUBSTITUTE(F126," ",""),"0",""),"-",""))))),0,(LEN(SUBSTITUTE(SUBSTITUTE(SUBSTITUTE(B126," ",""),"0",""),"-",""))+LEN(SUBSTITUTE(SUBSTITUTE(SUBSTITUTE(C126," ",""),"0",""),"-",""))&lt;LEN(SUBSTITUTE(SUBSTITUTE(SUBSTITUTE(E126," ",""),"0",""),"-",""))+LEN(SUBSTITUTE(SUBSTITUTE(SUBSTITUTE(F126," ",""),"0",""),"-","")))*1),0)+IF(OR(COUNTA(B128,C128,E128,F128)&gt;0,OR(D128="X",D128="x")),IF(OR(D128="X",D128="x",AND(OR(COUNTA(B128,C128,E128,F128)&gt;0,OR(D128="X",D128="x")),(LEN(SUBSTITUTE(SUBSTITUTE(SUBSTITUTE(B128," ",""),"0",""),"-",""))+LEN(SUBSTITUTE(SUBSTITUTE(SUBSTITUTE(C128," ",""),"0",""),"-","")))=(LEN(SUBSTITUTE(SUBSTITUTE(SUBSTITUTE(E128," ",""),"0",""),"-",""))+LEN(SUBSTITUTE(SUBSTITUTE(SUBSTITUTE(F128," ",""),"0",""),"-",""))))),0,(LEN(SUBSTITUTE(SUBSTITUTE(SUBSTITUTE(E128," ",""),"0",""),"-",""))+LEN(SUBSTITUTE(SUBSTITUTE(SUBSTITUTE(F128," ",""),"0",""),"-",""))&lt;LEN(SUBSTITUTE(SUBSTITUTE(SUBSTITUTE(B128," ",""),"0",""),"-",""))+LEN(SUBSTITUTE(SUBSTITUTE(SUBSTITUTE(C128," ",""),"0",""),"-","")))*1),0)</f>
      </c>
      <c r="D132" s="14" t="str">
        <f>IF(OR(COUNTA(B126,C126,E126,F126)&gt;0,OR(D126="X",D126="x")),IF(OR(D126="X",D126="x",AND(OR(COUNTA(B126,C126,E126,F126)&gt;0,OR(D126="X",D126="x")),(LEN(SUBSTITUTE(SUBSTITUTE(SUBSTITUTE(B126," ",""),"0",""),"-",""))+LEN(SUBSTITUTE(SUBSTITUTE(SUBSTITUTE(C126," ",""),"0",""),"-","")))=(LEN(SUBSTITUTE(SUBSTITUTE(SUBSTITUTE(E126," ",""),"0",""),"-",""))+LEN(SUBSTITUTE(SUBSTITUTE(SUBSTITUTE(F126," ",""),"0",""),"-",""))))),1,0),0)+IF(OR(COUNTA(B128,C128,E128,F128)&gt;0,OR(D128="X",D128="x")),IF(OR(D128="X",D128="x",AND(OR(COUNTA(B128,C128,E128,F128)&gt;0,OR(D128="X",D128="x")),(LEN(SUBSTITUTE(SUBSTITUTE(SUBSTITUTE(B128," ",""),"0",""),"-",""))+LEN(SUBSTITUTE(SUBSTITUTE(SUBSTITUTE(C128," ",""),"0",""),"-","")))=(LEN(SUBSTITUTE(SUBSTITUTE(SUBSTITUTE(E128," ",""),"0",""),"-",""))+LEN(SUBSTITUTE(SUBSTITUTE(SUBSTITUTE(F128," ",""),"0",""),"-",""))))),1,0),0)</f>
      </c>
      <c r="E132" s="14" t="str">
        <f>LEN(SUBSTITUTE(SUBSTITUTE(SUBSTITUTE(B126," ",""),"0",""),"-",""))+LEN(SUBSTITUTE(SUBSTITUTE(SUBSTITUTE(C126," ",""),"0",""),"-",""))+LEN(SUBSTITUTE(SUBSTITUTE(SUBSTITUTE(E128," ",""),"0",""),"-",""))+LEN(SUBSTITUTE(SUBSTITUTE(SUBSTITUTE(F128," ",""),"0",""),"-",""))</f>
      </c>
      <c r="F132" s="14" t="str">
        <f>LEN(SUBSTITUTE(SUBSTITUTE(SUBSTITUTE(E126," ",""),"0",""),"-",""))+LEN(SUBSTITUTE(SUBSTITUTE(SUBSTITUTE(F126," ",""),"0",""),"-",""))+LEN(SUBSTITUTE(SUBSTITUTE(SUBSTITUTE(B128," ",""),"0",""),"-",""))+LEN(SUBSTITUTE(SUBSTITUTE(SUBSTITUTE(C128," ",""),"0",""),"-",""))</f>
      </c>
      <c r="G132" s="18" t="str">
        <f>RANK(U132,$U$131:$U$133)+COUNTIF($U$130:U131,U132)</f>
      </c>
      <c r="I132" s="14" t="str">
        <f>data!$E$71&amp;" "&amp;data!$B$71</f>
      </c>
      <c r="J132" s="14" t="str">
        <f>IF(OR(COUNTA(J126,K126,M126,N126)&gt;0,OR(L126="X",L126="x")),IF(OR(L126="X",L126="x",AND(OR(COUNTA(J126,K126,M126,N126)&gt;0,OR(L126="X",L126="x")),(LEN(SUBSTITUTE(SUBSTITUTE(SUBSTITUTE(J126," ",""),"0",""),"-",""))+LEN(SUBSTITUTE(SUBSTITUTE(SUBSTITUTE(K126," ",""),"0",""),"-","")))=(LEN(SUBSTITUTE(SUBSTITUTE(SUBSTITUTE(M126," ",""),"0",""),"-",""))+LEN(SUBSTITUTE(SUBSTITUTE(SUBSTITUTE(N126," ",""),"0",""),"-",""))))),0,(LEN(SUBSTITUTE(SUBSTITUTE(SUBSTITUTE(J126," ",""),"0",""),"-",""))+LEN(SUBSTITUTE(SUBSTITUTE(SUBSTITUTE(K126," ",""),"0",""),"-",""))&gt;LEN(SUBSTITUTE(SUBSTITUTE(SUBSTITUTE(M126," ",""),"0",""),"-",""))+LEN(SUBSTITUTE(SUBSTITUTE(SUBSTITUTE(N126," ",""),"0",""),"-","")))*1),0)+IF(OR(COUNTA(J128,K128,M128,N128)&gt;0,OR(L128="X",L128="x")),IF(OR(L128="X",L128="x",AND(OR(COUNTA(J128,K128,M128,N128)&gt;0,OR(L128="X",L128="x")),(LEN(SUBSTITUTE(SUBSTITUTE(SUBSTITUTE(J128," ",""),"0",""),"-",""))+LEN(SUBSTITUTE(SUBSTITUTE(SUBSTITUTE(K128," ",""),"0",""),"-","")))=(LEN(SUBSTITUTE(SUBSTITUTE(SUBSTITUTE(M128," ",""),"0",""),"-",""))+LEN(SUBSTITUTE(SUBSTITUTE(SUBSTITUTE(N128," ",""),"0",""),"-",""))))),0,(LEN(SUBSTITUTE(SUBSTITUTE(SUBSTITUTE(M128," ",""),"0",""),"-",""))+LEN(SUBSTITUTE(SUBSTITUTE(SUBSTITUTE(N128," ",""),"0",""),"-",""))&gt;LEN(SUBSTITUTE(SUBSTITUTE(SUBSTITUTE(J128," ",""),"0",""),"-",""))+LEN(SUBSTITUTE(SUBSTITUTE(SUBSTITUTE(K128," ",""),"0",""),"-","")))*1),0)</f>
      </c>
      <c r="K132" s="14" t="str">
        <f>IF(OR(COUNTA(J126,K126,M126,N126)&gt;0,OR(L126="X",L126="x")),IF(OR(L126="X",L126="x",AND(OR(COUNTA(J126,K126,M126,N126)&gt;0,OR(L126="X",L126="x")),(LEN(SUBSTITUTE(SUBSTITUTE(SUBSTITUTE(J126," ",""),"0",""),"-",""))+LEN(SUBSTITUTE(SUBSTITUTE(SUBSTITUTE(K126," ",""),"0",""),"-","")))=(LEN(SUBSTITUTE(SUBSTITUTE(SUBSTITUTE(M126," ",""),"0",""),"-",""))+LEN(SUBSTITUTE(SUBSTITUTE(SUBSTITUTE(N126," ",""),"0",""),"-",""))))),0,(LEN(SUBSTITUTE(SUBSTITUTE(SUBSTITUTE(J126," ",""),"0",""),"-",""))+LEN(SUBSTITUTE(SUBSTITUTE(SUBSTITUTE(K126," ",""),"0",""),"-",""))&lt;LEN(SUBSTITUTE(SUBSTITUTE(SUBSTITUTE(M126," ",""),"0",""),"-",""))+LEN(SUBSTITUTE(SUBSTITUTE(SUBSTITUTE(N126," ",""),"0",""),"-","")))*1),0)+IF(OR(COUNTA(J128,K128,M128,N128)&gt;0,OR(L128="X",L128="x")),IF(OR(L128="X",L128="x",AND(OR(COUNTA(J128,K128,M128,N128)&gt;0,OR(L128="X",L128="x")),(LEN(SUBSTITUTE(SUBSTITUTE(SUBSTITUTE(J128," ",""),"0",""),"-",""))+LEN(SUBSTITUTE(SUBSTITUTE(SUBSTITUTE(K128," ",""),"0",""),"-","")))=(LEN(SUBSTITUTE(SUBSTITUTE(SUBSTITUTE(M128," ",""),"0",""),"-",""))+LEN(SUBSTITUTE(SUBSTITUTE(SUBSTITUTE(N128," ",""),"0",""),"-",""))))),0,(LEN(SUBSTITUTE(SUBSTITUTE(SUBSTITUTE(M128," ",""),"0",""),"-",""))+LEN(SUBSTITUTE(SUBSTITUTE(SUBSTITUTE(N128," ",""),"0",""),"-",""))&lt;LEN(SUBSTITUTE(SUBSTITUTE(SUBSTITUTE(J128," ",""),"0",""),"-",""))+LEN(SUBSTITUTE(SUBSTITUTE(SUBSTITUTE(K128," ",""),"0",""),"-","")))*1),0)</f>
      </c>
      <c r="L132" s="14" t="str">
        <f>IF(OR(COUNTA(J126,K126,M126,N126)&gt;0,OR(L126="X",L126="x")),IF(OR(L126="X",L126="x",AND(OR(COUNTA(J126,K126,M126,N126)&gt;0,OR(L126="X",L126="x")),(LEN(SUBSTITUTE(SUBSTITUTE(SUBSTITUTE(J126," ",""),"0",""),"-",""))+LEN(SUBSTITUTE(SUBSTITUTE(SUBSTITUTE(K126," ",""),"0",""),"-","")))=(LEN(SUBSTITUTE(SUBSTITUTE(SUBSTITUTE(M126," ",""),"0",""),"-",""))+LEN(SUBSTITUTE(SUBSTITUTE(SUBSTITUTE(N126," ",""),"0",""),"-",""))))),1,0),0)+IF(OR(COUNTA(J128,K128,M128,N128)&gt;0,OR(L128="X",L128="x")),IF(OR(L128="X",L128="x",AND(OR(COUNTA(J128,K128,M128,N128)&gt;0,OR(L128="X",L128="x")),(LEN(SUBSTITUTE(SUBSTITUTE(SUBSTITUTE(J128," ",""),"0",""),"-",""))+LEN(SUBSTITUTE(SUBSTITUTE(SUBSTITUTE(K128," ",""),"0",""),"-","")))=(LEN(SUBSTITUTE(SUBSTITUTE(SUBSTITUTE(M128," ",""),"0",""),"-",""))+LEN(SUBSTITUTE(SUBSTITUTE(SUBSTITUTE(N128," ",""),"0",""),"-",""))))),1,0),0)</f>
      </c>
      <c r="M132" s="14" t="str">
        <f>LEN(SUBSTITUTE(SUBSTITUTE(SUBSTITUTE(J126," ",""),"0",""),"-",""))+LEN(SUBSTITUTE(SUBSTITUTE(SUBSTITUTE(K126," ",""),"0",""),"-",""))+LEN(SUBSTITUTE(SUBSTITUTE(SUBSTITUTE(M128," ",""),"0",""),"-",""))+LEN(SUBSTITUTE(SUBSTITUTE(SUBSTITUTE(N128," ",""),"0",""),"-",""))</f>
      </c>
      <c r="N132" s="14" t="str">
        <f>LEN(SUBSTITUTE(SUBSTITUTE(SUBSTITUTE(M126," ",""),"0",""),"-",""))+LEN(SUBSTITUTE(SUBSTITUTE(SUBSTITUTE(N126," ",""),"0",""),"-",""))+LEN(SUBSTITUTE(SUBSTITUTE(SUBSTITUTE(J128," ",""),"0",""),"-",""))+LEN(SUBSTITUTE(SUBSTITUTE(SUBSTITUTE(K128," ",""),"0",""),"-",""))</f>
      </c>
      <c r="O132" s="18" t="str">
        <f>RANK(AC132,$AC$131:$AC$133)+COUNTIF($AC$130:AC131,AC132)</f>
      </c>
      <c r="U132" t="str">
        <f>(B132*1000000)-(C132*10000)+(D132*100)+(E132*1)-(F132*0.01)</f>
      </c>
      <c r="AC132" t="str">
        <f>(J132*1000000)-(K132*10000)+(L132*100)+(M132*1)-(N132*0.01)</f>
      </c>
    </row>
    <row r="133">
      <c r="A133" s="14" t="str">
        <f>data!$E$27&amp;" "&amp;data!$B$27</f>
      </c>
      <c r="B133" s="14" t="str">
        <f>IF(OR(COUNTA(B127,C127,E127,F127)&gt;0,OR(D127="X",D127="x")),IF(OR(D127="X",D127="x",AND(OR(COUNTA(B127,C127,E127,F127)&gt;0,OR(D127="X",D127="x")),(LEN(SUBSTITUTE(SUBSTITUTE(SUBSTITUTE(B127," ",""),"0",""),"-",""))+LEN(SUBSTITUTE(SUBSTITUTE(SUBSTITUTE(C127," ",""),"0",""),"-","")))=(LEN(SUBSTITUTE(SUBSTITUTE(SUBSTITUTE(E127," ",""),"0",""),"-",""))+LEN(SUBSTITUTE(SUBSTITUTE(SUBSTITUTE(F127," ",""),"0",""),"-",""))))),0,(LEN(SUBSTITUTE(SUBSTITUTE(SUBSTITUTE(B127," ",""),"0",""),"-",""))+LEN(SUBSTITUTE(SUBSTITUTE(SUBSTITUTE(C127," ",""),"0",""),"-",""))&gt;LEN(SUBSTITUTE(SUBSTITUTE(SUBSTITUTE(E127," ",""),"0",""),"-",""))+LEN(SUBSTITUTE(SUBSTITUTE(SUBSTITUTE(F127," ",""),"0",""),"-","")))*1),0)+IF(OR(COUNTA(B128,C128,E128,F128)&gt;0,OR(D128="X",D128="x")),IF(OR(D128="X",D128="x",AND(OR(COUNTA(B128,C128,E128,F128)&gt;0,OR(D128="X",D128="x")),(LEN(SUBSTITUTE(SUBSTITUTE(SUBSTITUTE(B128," ",""),"0",""),"-",""))+LEN(SUBSTITUTE(SUBSTITUTE(SUBSTITUTE(C128," ",""),"0",""),"-","")))=(LEN(SUBSTITUTE(SUBSTITUTE(SUBSTITUTE(E128," ",""),"0",""),"-",""))+LEN(SUBSTITUTE(SUBSTITUTE(SUBSTITUTE(F128," ",""),"0",""),"-",""))))),0,(LEN(SUBSTITUTE(SUBSTITUTE(SUBSTITUTE(B128," ",""),"0",""),"-",""))+LEN(SUBSTITUTE(SUBSTITUTE(SUBSTITUTE(C128," ",""),"0",""),"-",""))&gt;LEN(SUBSTITUTE(SUBSTITUTE(SUBSTITUTE(E128," ",""),"0",""),"-",""))+LEN(SUBSTITUTE(SUBSTITUTE(SUBSTITUTE(F128," ",""),"0",""),"-","")))*1),0)</f>
      </c>
      <c r="C133" s="14" t="str">
        <f>IF(OR(COUNTA(B127,C127,E127,F127)&gt;0,OR(D127="X",D127="x")),IF(OR(D127="X",D127="x",AND(OR(COUNTA(B127,C127,E127,F127)&gt;0,OR(D127="X",D127="x")),(LEN(SUBSTITUTE(SUBSTITUTE(SUBSTITUTE(B127," ",""),"0",""),"-",""))+LEN(SUBSTITUTE(SUBSTITUTE(SUBSTITUTE(C127," ",""),"0",""),"-","")))=(LEN(SUBSTITUTE(SUBSTITUTE(SUBSTITUTE(E127," ",""),"0",""),"-",""))+LEN(SUBSTITUTE(SUBSTITUTE(SUBSTITUTE(F127," ",""),"0",""),"-",""))))),0,(LEN(SUBSTITUTE(SUBSTITUTE(SUBSTITUTE(B127," ",""),"0",""),"-",""))+LEN(SUBSTITUTE(SUBSTITUTE(SUBSTITUTE(C127," ",""),"0",""),"-",""))&lt;LEN(SUBSTITUTE(SUBSTITUTE(SUBSTITUTE(E127," ",""),"0",""),"-",""))+LEN(SUBSTITUTE(SUBSTITUTE(SUBSTITUTE(F127," ",""),"0",""),"-","")))*1),0)+IF(OR(COUNTA(B128,C128,E128,F128)&gt;0,OR(D128="X",D128="x")),IF(OR(D128="X",D128="x",AND(OR(COUNTA(B128,C128,E128,F128)&gt;0,OR(D128="X",D128="x")),(LEN(SUBSTITUTE(SUBSTITUTE(SUBSTITUTE(B128," ",""),"0",""),"-",""))+LEN(SUBSTITUTE(SUBSTITUTE(SUBSTITUTE(C128," ",""),"0",""),"-","")))=(LEN(SUBSTITUTE(SUBSTITUTE(SUBSTITUTE(E128," ",""),"0",""),"-",""))+LEN(SUBSTITUTE(SUBSTITUTE(SUBSTITUTE(F128," ",""),"0",""),"-",""))))),0,(LEN(SUBSTITUTE(SUBSTITUTE(SUBSTITUTE(B128," ",""),"0",""),"-",""))+LEN(SUBSTITUTE(SUBSTITUTE(SUBSTITUTE(C128," ",""),"0",""),"-",""))&lt;LEN(SUBSTITUTE(SUBSTITUTE(SUBSTITUTE(E128," ",""),"0",""),"-",""))+LEN(SUBSTITUTE(SUBSTITUTE(SUBSTITUTE(F128," ",""),"0",""),"-","")))*1),0)</f>
      </c>
      <c r="D133" s="14" t="str">
        <f>IF(OR(COUNTA(B127,C127,E127,F127)&gt;0,OR(D127="X",D127="x")),IF(OR(D127="X",D127="x",AND(OR(COUNTA(B127,C127,E127,F127)&gt;0,OR(D127="X",D127="x")),(LEN(SUBSTITUTE(SUBSTITUTE(SUBSTITUTE(B127," ",""),"0",""),"-",""))+LEN(SUBSTITUTE(SUBSTITUTE(SUBSTITUTE(C127," ",""),"0",""),"-","")))=(LEN(SUBSTITUTE(SUBSTITUTE(SUBSTITUTE(E127," ",""),"0",""),"-",""))+LEN(SUBSTITUTE(SUBSTITUTE(SUBSTITUTE(F127," ",""),"0",""),"-",""))))),1,0),0)+IF(OR(COUNTA(B128,C128,E128,F128)&gt;0,OR(D128="X",D128="x")),IF(OR(D128="X",D128="x",AND(OR(COUNTA(B128,C128,E128,F128)&gt;0,OR(D128="X",D128="x")),(LEN(SUBSTITUTE(SUBSTITUTE(SUBSTITUTE(B128," ",""),"0",""),"-",""))+LEN(SUBSTITUTE(SUBSTITUTE(SUBSTITUTE(C128," ",""),"0",""),"-","")))=(LEN(SUBSTITUTE(SUBSTITUTE(SUBSTITUTE(E128," ",""),"0",""),"-",""))+LEN(SUBSTITUTE(SUBSTITUTE(SUBSTITUTE(F128," ",""),"0",""),"-",""))))),1,0),0)</f>
      </c>
      <c r="E133" s="14" t="str">
        <f>LEN(SUBSTITUTE(SUBSTITUTE(SUBSTITUTE(B127," ",""),"0",""),"-",""))+LEN(SUBSTITUTE(SUBSTITUTE(SUBSTITUTE(C127," ",""),"0",""),"-",""))+LEN(SUBSTITUTE(SUBSTITUTE(SUBSTITUTE(B128," ",""),"0",""),"-",""))+LEN(SUBSTITUTE(SUBSTITUTE(SUBSTITUTE(C128," ",""),"0",""),"-",""))</f>
      </c>
      <c r="F133" s="14" t="str">
        <f>LEN(SUBSTITUTE(SUBSTITUTE(SUBSTITUTE(E127," ",""),"0",""),"-",""))+LEN(SUBSTITUTE(SUBSTITUTE(SUBSTITUTE(F127," ",""),"0",""),"-",""))+LEN(SUBSTITUTE(SUBSTITUTE(SUBSTITUTE(E128," ",""),"0",""),"-",""))+LEN(SUBSTITUTE(SUBSTITUTE(SUBSTITUTE(F128," ",""),"0",""),"-",""))</f>
      </c>
      <c r="G133" s="18" t="str">
        <f>RANK(U133,$U$131:$U$133)+COUNTIF($U$130:U132,U133)</f>
      </c>
      <c r="I133" s="14" t="str">
        <f>data!$E$72&amp;" "&amp;data!$B$72</f>
      </c>
      <c r="J133" s="14" t="str">
        <f>IF(OR(COUNTA(J127,K127,M127,N127)&gt;0,OR(L127="X",L127="x")),IF(OR(L127="X",L127="x",AND(OR(COUNTA(J127,K127,M127,N127)&gt;0,OR(L127="X",L127="x")),(LEN(SUBSTITUTE(SUBSTITUTE(SUBSTITUTE(J127," ",""),"0",""),"-",""))+LEN(SUBSTITUTE(SUBSTITUTE(SUBSTITUTE(K127," ",""),"0",""),"-","")))=(LEN(SUBSTITUTE(SUBSTITUTE(SUBSTITUTE(M127," ",""),"0",""),"-",""))+LEN(SUBSTITUTE(SUBSTITUTE(SUBSTITUTE(N127," ",""),"0",""),"-",""))))),0,(LEN(SUBSTITUTE(SUBSTITUTE(SUBSTITUTE(J127," ",""),"0",""),"-",""))+LEN(SUBSTITUTE(SUBSTITUTE(SUBSTITUTE(K127," ",""),"0",""),"-",""))&gt;LEN(SUBSTITUTE(SUBSTITUTE(SUBSTITUTE(M127," ",""),"0",""),"-",""))+LEN(SUBSTITUTE(SUBSTITUTE(SUBSTITUTE(N127," ",""),"0",""),"-","")))*1),0)+IF(OR(COUNTA(J128,K128,M128,N128)&gt;0,OR(L128="X",L128="x")),IF(OR(L128="X",L128="x",AND(OR(COUNTA(J128,K128,M128,N128)&gt;0,OR(L128="X",L128="x")),(LEN(SUBSTITUTE(SUBSTITUTE(SUBSTITUTE(J128," ",""),"0",""),"-",""))+LEN(SUBSTITUTE(SUBSTITUTE(SUBSTITUTE(K128," ",""),"0",""),"-","")))=(LEN(SUBSTITUTE(SUBSTITUTE(SUBSTITUTE(M128," ",""),"0",""),"-",""))+LEN(SUBSTITUTE(SUBSTITUTE(SUBSTITUTE(N128," ",""),"0",""),"-",""))))),0,(LEN(SUBSTITUTE(SUBSTITUTE(SUBSTITUTE(J128," ",""),"0",""),"-",""))+LEN(SUBSTITUTE(SUBSTITUTE(SUBSTITUTE(K128," ",""),"0",""),"-",""))&gt;LEN(SUBSTITUTE(SUBSTITUTE(SUBSTITUTE(M128," ",""),"0",""),"-",""))+LEN(SUBSTITUTE(SUBSTITUTE(SUBSTITUTE(N128," ",""),"0",""),"-","")))*1),0)</f>
      </c>
      <c r="K133" s="14" t="str">
        <f>IF(OR(COUNTA(J127,K127,M127,N127)&gt;0,OR(L127="X",L127="x")),IF(OR(L127="X",L127="x",AND(OR(COUNTA(J127,K127,M127,N127)&gt;0,OR(L127="X",L127="x")),(LEN(SUBSTITUTE(SUBSTITUTE(SUBSTITUTE(J127," ",""),"0",""),"-",""))+LEN(SUBSTITUTE(SUBSTITUTE(SUBSTITUTE(K127," ",""),"0",""),"-","")))=(LEN(SUBSTITUTE(SUBSTITUTE(SUBSTITUTE(M127," ",""),"0",""),"-",""))+LEN(SUBSTITUTE(SUBSTITUTE(SUBSTITUTE(N127," ",""),"0",""),"-",""))))),0,(LEN(SUBSTITUTE(SUBSTITUTE(SUBSTITUTE(J127," ",""),"0",""),"-",""))+LEN(SUBSTITUTE(SUBSTITUTE(SUBSTITUTE(K127," ",""),"0",""),"-",""))&lt;LEN(SUBSTITUTE(SUBSTITUTE(SUBSTITUTE(M127," ",""),"0",""),"-",""))+LEN(SUBSTITUTE(SUBSTITUTE(SUBSTITUTE(N127," ",""),"0",""),"-","")))*1),0)+IF(OR(COUNTA(J128,K128,M128,N128)&gt;0,OR(L128="X",L128="x")),IF(OR(L128="X",L128="x",AND(OR(COUNTA(J128,K128,M128,N128)&gt;0,OR(L128="X",L128="x")),(LEN(SUBSTITUTE(SUBSTITUTE(SUBSTITUTE(J128," ",""),"0",""),"-",""))+LEN(SUBSTITUTE(SUBSTITUTE(SUBSTITUTE(K128," ",""),"0",""),"-","")))=(LEN(SUBSTITUTE(SUBSTITUTE(SUBSTITUTE(M128," ",""),"0",""),"-",""))+LEN(SUBSTITUTE(SUBSTITUTE(SUBSTITUTE(N128," ",""),"0",""),"-",""))))),0,(LEN(SUBSTITUTE(SUBSTITUTE(SUBSTITUTE(J128," ",""),"0",""),"-",""))+LEN(SUBSTITUTE(SUBSTITUTE(SUBSTITUTE(K128," ",""),"0",""),"-",""))&lt;LEN(SUBSTITUTE(SUBSTITUTE(SUBSTITUTE(M128," ",""),"0",""),"-",""))+LEN(SUBSTITUTE(SUBSTITUTE(SUBSTITUTE(N128," ",""),"0",""),"-","")))*1),0)</f>
      </c>
      <c r="L133" s="14" t="str">
        <f>IF(OR(COUNTA(J127,K127,M127,N127)&gt;0,OR(L127="X",L127="x")),IF(OR(L127="X",L127="x",AND(OR(COUNTA(J127,K127,M127,N127)&gt;0,OR(L127="X",L127="x")),(LEN(SUBSTITUTE(SUBSTITUTE(SUBSTITUTE(J127," ",""),"0",""),"-",""))+LEN(SUBSTITUTE(SUBSTITUTE(SUBSTITUTE(K127," ",""),"0",""),"-","")))=(LEN(SUBSTITUTE(SUBSTITUTE(SUBSTITUTE(M127," ",""),"0",""),"-",""))+LEN(SUBSTITUTE(SUBSTITUTE(SUBSTITUTE(N127," ",""),"0",""),"-",""))))),1,0),0)+IF(OR(COUNTA(J128,K128,M128,N128)&gt;0,OR(L128="X",L128="x")),IF(OR(L128="X",L128="x",AND(OR(COUNTA(J128,K128,M128,N128)&gt;0,OR(L128="X",L128="x")),(LEN(SUBSTITUTE(SUBSTITUTE(SUBSTITUTE(J128," ",""),"0",""),"-",""))+LEN(SUBSTITUTE(SUBSTITUTE(SUBSTITUTE(K128," ",""),"0",""),"-","")))=(LEN(SUBSTITUTE(SUBSTITUTE(SUBSTITUTE(M128," ",""),"0",""),"-",""))+LEN(SUBSTITUTE(SUBSTITUTE(SUBSTITUTE(N128," ",""),"0",""),"-",""))))),1,0),0)</f>
      </c>
      <c r="M133" s="14" t="str">
        <f>LEN(SUBSTITUTE(SUBSTITUTE(SUBSTITUTE(J127," ",""),"0",""),"-",""))+LEN(SUBSTITUTE(SUBSTITUTE(SUBSTITUTE(K127," ",""),"0",""),"-",""))+LEN(SUBSTITUTE(SUBSTITUTE(SUBSTITUTE(J128," ",""),"0",""),"-",""))+LEN(SUBSTITUTE(SUBSTITUTE(SUBSTITUTE(K128," ",""),"0",""),"-",""))</f>
      </c>
      <c r="N133" s="14" t="str">
        <f>LEN(SUBSTITUTE(SUBSTITUTE(SUBSTITUTE(M127," ",""),"0",""),"-",""))+LEN(SUBSTITUTE(SUBSTITUTE(SUBSTITUTE(N127," ",""),"0",""),"-",""))+LEN(SUBSTITUTE(SUBSTITUTE(SUBSTITUTE(M128," ",""),"0",""),"-",""))+LEN(SUBSTITUTE(SUBSTITUTE(SUBSTITUTE(N128," ",""),"0",""),"-",""))</f>
      </c>
      <c r="O133" s="18" t="str">
        <f>RANK(AC133,$AC$131:$AC$133)+COUNTIF($AC$130:AC132,AC133)</f>
      </c>
      <c r="U133" t="str">
        <f>(B133*1000000)-(C133*10000)+(D133*100)+(E133*1)-(F133*0.01)</f>
      </c>
      <c r="AC133" t="str">
        <f>(J133*1000000)-(K133*10000)+(L133*100)+(M133*1)-(N133*0.01)</f>
      </c>
    </row>
    <row r="136">
      <c r="F136" s="13"/>
      <c r="G136" s="13" t="s">
        <v>340</v>
      </c>
      <c r="N136" s="13"/>
      <c r="O136" s="13" t="s">
        <v>340</v>
      </c>
    </row>
    <row r="137">
      <c r="F137" t="s">
        <v>341</v>
      </c>
      <c r="G137" s="19" t="str">
        <f>IFERROR(INDEX($A$131:$A$133, MATCH(1, $G$131:$G$133, 0)), "-")</f>
      </c>
      <c r="N137" t="s">
        <v>341</v>
      </c>
      <c r="O137" s="19" t="str">
        <f>IFERROR(INDEX($I$131:$I$133, MATCH(1, $O$131:$O$133, 0)), "-")</f>
      </c>
    </row>
    <row r="138">
      <c r="F138" t="s">
        <v>342</v>
      </c>
      <c r="G138" s="19" t="str">
        <f>IFERROR(INDEX($A$131:$A$133, MATCH(2, $G$131:$G$133, 0)), "-")</f>
      </c>
      <c r="N138" t="s">
        <v>342</v>
      </c>
      <c r="O138" s="19" t="str">
        <f>IFERROR(INDEX($I$131:$I$133, MATCH(2, $O$131:$O$133, 0)), "-")</f>
      </c>
    </row>
    <row r="139">
      <c r="F139" t="s">
        <v>343</v>
      </c>
      <c r="G139" s="19" t="str">
        <f>IFERROR(INDEX($A$131:$A$133, MATCH(3, $G$131:$G$133, 0)), "-")</f>
      </c>
      <c r="N139" t="s">
        <v>343</v>
      </c>
      <c r="O139" s="19" t="str">
        <f>IFERROR(INDEX($I$131:$I$133, MATCH(3, $O$131:$O$133, 0)), "-")</f>
      </c>
    </row>
    <row r="141">
      <c r="A141" s="13" t="str">
        <f>'data'!$A$30</f>
      </c>
      <c r="B141" s="13"/>
      <c r="C141" s="13"/>
      <c r="D141" s="13"/>
      <c r="E141" s="13"/>
      <c r="F141" s="13"/>
      <c r="G141" s="13"/>
      <c r="I141" s="13" t="str">
        <f>'data'!$A$75</f>
      </c>
      <c r="J141" s="13"/>
      <c r="K141" s="13"/>
      <c r="L141" s="13"/>
      <c r="M141" s="13"/>
      <c r="N141" s="13"/>
      <c r="O141" s="13"/>
    </row>
    <row r="142">
      <c r="A142" s="17" t="s">
        <v>330</v>
      </c>
      <c r="D142" s="14" t="s">
        <v>331</v>
      </c>
      <c r="G142" s="16" t="s">
        <v>332</v>
      </c>
      <c r="I142" s="17" t="s">
        <v>330</v>
      </c>
      <c r="L142" s="14" t="s">
        <v>331</v>
      </c>
      <c r="O142" s="16" t="s">
        <v>332</v>
      </c>
    </row>
    <row r="143">
      <c r="A143" s="14" t="str">
        <f>data!$E$29&amp;" "&amp;data!$B$29</f>
      </c>
      <c r="B143" s="18"/>
      <c r="C143" s="18"/>
      <c r="D143" s="18"/>
      <c r="E143" s="18"/>
      <c r="F143" s="18"/>
      <c r="G143" s="14" t="str">
        <f>data!$E$28&amp;" "&amp;data!$B$28</f>
      </c>
      <c r="I143" s="14" t="str">
        <f>data!$E$74&amp;" "&amp;data!$B$74</f>
      </c>
      <c r="J143" s="18"/>
      <c r="K143" s="18"/>
      <c r="L143" s="18"/>
      <c r="M143" s="18"/>
      <c r="N143" s="18"/>
      <c r="O143" s="14" t="str">
        <f>data!$E$73&amp;" "&amp;data!$B$73</f>
      </c>
    </row>
    <row r="144">
      <c r="A144" s="14" t="str">
        <f>data!$E$30&amp;" "&amp;data!$B$30</f>
      </c>
      <c r="B144" s="18"/>
      <c r="C144" s="18"/>
      <c r="D144" s="18"/>
      <c r="E144" s="18"/>
      <c r="F144" s="18"/>
      <c r="G144" s="14" t="str">
        <f>data!$E$28&amp;" "&amp;data!$B$28</f>
      </c>
      <c r="I144" s="14" t="str">
        <f>data!$E$75&amp;" "&amp;data!$B$75</f>
      </c>
      <c r="J144" s="18"/>
      <c r="K144" s="18"/>
      <c r="L144" s="18"/>
      <c r="M144" s="18"/>
      <c r="N144" s="18"/>
      <c r="O144" s="14" t="str">
        <f>data!$E$73&amp;" "&amp;data!$B$73</f>
      </c>
    </row>
    <row r="145">
      <c r="A145" s="14" t="str">
        <f>data!$E$30&amp;" "&amp;data!$B$30</f>
      </c>
      <c r="B145" s="18"/>
      <c r="C145" s="18"/>
      <c r="D145" s="18"/>
      <c r="E145" s="18"/>
      <c r="F145" s="18"/>
      <c r="G145" s="14" t="str">
        <f>data!$E$29&amp;" "&amp;data!$B$29</f>
      </c>
      <c r="I145" s="14" t="str">
        <f>data!$E$75&amp;" "&amp;data!$B$75</f>
      </c>
      <c r="J145" s="18"/>
      <c r="K145" s="18"/>
      <c r="L145" s="18"/>
      <c r="M145" s="18"/>
      <c r="N145" s="18"/>
      <c r="O145" s="14" t="str">
        <f>data!$E$74&amp;" "&amp;data!$B$74</f>
      </c>
    </row>
    <row r="147">
      <c r="A147" s="13" t="s">
        <v>333</v>
      </c>
      <c r="B147" s="13" t="s">
        <v>334</v>
      </c>
      <c r="C147" s="13" t="s">
        <v>335</v>
      </c>
      <c r="D147" s="13" t="s">
        <v>336</v>
      </c>
      <c r="E147" s="13" t="s">
        <v>337</v>
      </c>
      <c r="F147" s="13" t="s">
        <v>338</v>
      </c>
      <c r="G147" s="13" t="s">
        <v>339</v>
      </c>
      <c r="I147" s="13" t="s">
        <v>333</v>
      </c>
      <c r="J147" s="13" t="s">
        <v>334</v>
      </c>
      <c r="K147" s="13" t="s">
        <v>335</v>
      </c>
      <c r="L147" s="13" t="s">
        <v>336</v>
      </c>
      <c r="M147" s="13" t="s">
        <v>337</v>
      </c>
      <c r="N147" s="13" t="s">
        <v>338</v>
      </c>
      <c r="O147" s="13" t="s">
        <v>339</v>
      </c>
    </row>
    <row r="148">
      <c r="A148" s="14" t="str">
        <f>data!$E$28&amp;" "&amp;data!$B$28</f>
      </c>
      <c r="B148" s="14" t="str">
        <f>IF(OR(COUNTA(B143,C143,E143,F143)&gt;0,OR(D143="X",D143="x")),IF(OR(D143="X",D143="x",AND(OR(COUNTA(B143,C143,E143,F143)&gt;0,OR(D143="X",D143="x")),(LEN(SUBSTITUTE(SUBSTITUTE(SUBSTITUTE(B143," ",""),"0",""),"-",""))+LEN(SUBSTITUTE(SUBSTITUTE(SUBSTITUTE(C143," ",""),"0",""),"-","")))=(LEN(SUBSTITUTE(SUBSTITUTE(SUBSTITUTE(E143," ",""),"0",""),"-",""))+LEN(SUBSTITUTE(SUBSTITUTE(SUBSTITUTE(F143," ",""),"0",""),"-",""))))),0,(LEN(SUBSTITUTE(SUBSTITUTE(SUBSTITUTE(E143," ",""),"0",""),"-",""))+LEN(SUBSTITUTE(SUBSTITUTE(SUBSTITUTE(F143," ",""),"0",""),"-",""))&gt;LEN(SUBSTITUTE(SUBSTITUTE(SUBSTITUTE(B143," ",""),"0",""),"-",""))+LEN(SUBSTITUTE(SUBSTITUTE(SUBSTITUTE(C143," ",""),"0",""),"-","")))*1),0)+IF(OR(COUNTA(B144,C144,E144,F144)&gt;0,OR(D144="X",D144="x")),IF(OR(D144="X",D144="x",AND(OR(COUNTA(B144,C144,E144,F144)&gt;0,OR(D144="X",D144="x")),(LEN(SUBSTITUTE(SUBSTITUTE(SUBSTITUTE(B144," ",""),"0",""),"-",""))+LEN(SUBSTITUTE(SUBSTITUTE(SUBSTITUTE(C144," ",""),"0",""),"-","")))=(LEN(SUBSTITUTE(SUBSTITUTE(SUBSTITUTE(E144," ",""),"0",""),"-",""))+LEN(SUBSTITUTE(SUBSTITUTE(SUBSTITUTE(F144," ",""),"0",""),"-",""))))),0,(LEN(SUBSTITUTE(SUBSTITUTE(SUBSTITUTE(E144," ",""),"0",""),"-",""))+LEN(SUBSTITUTE(SUBSTITUTE(SUBSTITUTE(F144," ",""),"0",""),"-",""))&gt;LEN(SUBSTITUTE(SUBSTITUTE(SUBSTITUTE(B144," ",""),"0",""),"-",""))+LEN(SUBSTITUTE(SUBSTITUTE(SUBSTITUTE(C144," ",""),"0",""),"-","")))*1),0)</f>
      </c>
      <c r="C148" s="14" t="str">
        <f>IF(OR(COUNTA(B143,C143,E143,F143)&gt;0,OR(D143="X",D143="x")),IF(OR(D143="X",D143="x",AND(OR(COUNTA(B143,C143,E143,F143)&gt;0,OR(D143="X",D143="x")),(LEN(SUBSTITUTE(SUBSTITUTE(SUBSTITUTE(B143," ",""),"0",""),"-",""))+LEN(SUBSTITUTE(SUBSTITUTE(SUBSTITUTE(C143," ",""),"0",""),"-","")))=(LEN(SUBSTITUTE(SUBSTITUTE(SUBSTITUTE(E143," ",""),"0",""),"-",""))+LEN(SUBSTITUTE(SUBSTITUTE(SUBSTITUTE(F143," ",""),"0",""),"-",""))))),0,(LEN(SUBSTITUTE(SUBSTITUTE(SUBSTITUTE(E143," ",""),"0",""),"-",""))+LEN(SUBSTITUTE(SUBSTITUTE(SUBSTITUTE(F143," ",""),"0",""),"-",""))&lt;LEN(SUBSTITUTE(SUBSTITUTE(SUBSTITUTE(B143," ",""),"0",""),"-",""))+LEN(SUBSTITUTE(SUBSTITUTE(SUBSTITUTE(C143," ",""),"0",""),"-","")))*1),0)+IF(OR(COUNTA(B144,C144,E144,F144)&gt;0,OR(D144="X",D144="x")),IF(OR(D144="X",D144="x",AND(OR(COUNTA(B144,C144,E144,F144)&gt;0,OR(D144="X",D144="x")),(LEN(SUBSTITUTE(SUBSTITUTE(SUBSTITUTE(B144," ",""),"0",""),"-",""))+LEN(SUBSTITUTE(SUBSTITUTE(SUBSTITUTE(C144," ",""),"0",""),"-","")))=(LEN(SUBSTITUTE(SUBSTITUTE(SUBSTITUTE(E144," ",""),"0",""),"-",""))+LEN(SUBSTITUTE(SUBSTITUTE(SUBSTITUTE(F144," ",""),"0",""),"-",""))))),0,(LEN(SUBSTITUTE(SUBSTITUTE(SUBSTITUTE(E144," ",""),"0",""),"-",""))+LEN(SUBSTITUTE(SUBSTITUTE(SUBSTITUTE(F144," ",""),"0",""),"-",""))&lt;LEN(SUBSTITUTE(SUBSTITUTE(SUBSTITUTE(B144," ",""),"0",""),"-",""))+LEN(SUBSTITUTE(SUBSTITUTE(SUBSTITUTE(C144," ",""),"0",""),"-","")))*1),0)</f>
      </c>
      <c r="D148" s="14" t="str">
        <f>IF(OR(COUNTA(B143,C143,E143,F143)&gt;0,OR(D143="X",D143="x")),IF(OR(D143="X",D143="x",AND(OR(COUNTA(B143,C143,E143,F143)&gt;0,OR(D143="X",D143="x")),(LEN(SUBSTITUTE(SUBSTITUTE(SUBSTITUTE(B143," ",""),"0",""),"-",""))+LEN(SUBSTITUTE(SUBSTITUTE(SUBSTITUTE(C143," ",""),"0",""),"-","")))=(LEN(SUBSTITUTE(SUBSTITUTE(SUBSTITUTE(E143," ",""),"0",""),"-",""))+LEN(SUBSTITUTE(SUBSTITUTE(SUBSTITUTE(F143," ",""),"0",""),"-",""))))),1,0),0)+IF(OR(COUNTA(B144,C144,E144,F144)&gt;0,OR(D144="X",D144="x")),IF(OR(D144="X",D144="x",AND(OR(COUNTA(B144,C144,E144,F144)&gt;0,OR(D144="X",D144="x")),(LEN(SUBSTITUTE(SUBSTITUTE(SUBSTITUTE(B144," ",""),"0",""),"-",""))+LEN(SUBSTITUTE(SUBSTITUTE(SUBSTITUTE(C144," ",""),"0",""),"-","")))=(LEN(SUBSTITUTE(SUBSTITUTE(SUBSTITUTE(E144," ",""),"0",""),"-",""))+LEN(SUBSTITUTE(SUBSTITUTE(SUBSTITUTE(F144," ",""),"0",""),"-",""))))),1,0),0)</f>
      </c>
      <c r="E148" s="14" t="str">
        <f>LEN(SUBSTITUTE(SUBSTITUTE(SUBSTITUTE(E143," ",""),"0",""),"-",""))+LEN(SUBSTITUTE(SUBSTITUTE(SUBSTITUTE(F143," ",""),"0",""),"-",""))+LEN(SUBSTITUTE(SUBSTITUTE(SUBSTITUTE(E144," ",""),"0",""),"-",""))+LEN(SUBSTITUTE(SUBSTITUTE(SUBSTITUTE(F144," ",""),"0",""),"-",""))</f>
      </c>
      <c r="F148" s="14" t="str">
        <f>LEN(SUBSTITUTE(SUBSTITUTE(SUBSTITUTE(B143," ",""),"0",""),"-",""))+LEN(SUBSTITUTE(SUBSTITUTE(SUBSTITUTE(C143," ",""),"0",""),"-",""))+LEN(SUBSTITUTE(SUBSTITUTE(SUBSTITUTE(B144," ",""),"0",""),"-",""))+LEN(SUBSTITUTE(SUBSTITUTE(SUBSTITUTE(C144," ",""),"0",""),"-",""))</f>
      </c>
      <c r="G148" s="18" t="str">
        <f>RANK(U148,$U$148:$U$150)+COUNTIF($U$147:U147,U148)</f>
      </c>
      <c r="I148" s="14" t="str">
        <f>data!$E$73&amp;" "&amp;data!$B$73</f>
      </c>
      <c r="J148" s="14" t="str">
        <f>IF(OR(COUNTA(J143,K143,M143,N143)&gt;0,OR(L143="X",L143="x")),IF(OR(L143="X",L143="x",AND(OR(COUNTA(J143,K143,M143,N143)&gt;0,OR(L143="X",L143="x")),(LEN(SUBSTITUTE(SUBSTITUTE(SUBSTITUTE(J143," ",""),"0",""),"-",""))+LEN(SUBSTITUTE(SUBSTITUTE(SUBSTITUTE(K143," ",""),"0",""),"-","")))=(LEN(SUBSTITUTE(SUBSTITUTE(SUBSTITUTE(M143," ",""),"0",""),"-",""))+LEN(SUBSTITUTE(SUBSTITUTE(SUBSTITUTE(N143," ",""),"0",""),"-",""))))),0,(LEN(SUBSTITUTE(SUBSTITUTE(SUBSTITUTE(M143," ",""),"0",""),"-",""))+LEN(SUBSTITUTE(SUBSTITUTE(SUBSTITUTE(N143," ",""),"0",""),"-",""))&gt;LEN(SUBSTITUTE(SUBSTITUTE(SUBSTITUTE(J143," ",""),"0",""),"-",""))+LEN(SUBSTITUTE(SUBSTITUTE(SUBSTITUTE(K143," ",""),"0",""),"-","")))*1),0)+IF(OR(COUNTA(J144,K144,M144,N144)&gt;0,OR(L144="X",L144="x")),IF(OR(L144="X",L144="x",AND(OR(COUNTA(J144,K144,M144,N144)&gt;0,OR(L144="X",L144="x")),(LEN(SUBSTITUTE(SUBSTITUTE(SUBSTITUTE(J144," ",""),"0",""),"-",""))+LEN(SUBSTITUTE(SUBSTITUTE(SUBSTITUTE(K144," ",""),"0",""),"-","")))=(LEN(SUBSTITUTE(SUBSTITUTE(SUBSTITUTE(M144," ",""),"0",""),"-",""))+LEN(SUBSTITUTE(SUBSTITUTE(SUBSTITUTE(N144," ",""),"0",""),"-",""))))),0,(LEN(SUBSTITUTE(SUBSTITUTE(SUBSTITUTE(M144," ",""),"0",""),"-",""))+LEN(SUBSTITUTE(SUBSTITUTE(SUBSTITUTE(N144," ",""),"0",""),"-",""))&gt;LEN(SUBSTITUTE(SUBSTITUTE(SUBSTITUTE(J144," ",""),"0",""),"-",""))+LEN(SUBSTITUTE(SUBSTITUTE(SUBSTITUTE(K144," ",""),"0",""),"-","")))*1),0)</f>
      </c>
      <c r="K148" s="14" t="str">
        <f>IF(OR(COUNTA(J143,K143,M143,N143)&gt;0,OR(L143="X",L143="x")),IF(OR(L143="X",L143="x",AND(OR(COUNTA(J143,K143,M143,N143)&gt;0,OR(L143="X",L143="x")),(LEN(SUBSTITUTE(SUBSTITUTE(SUBSTITUTE(J143," ",""),"0",""),"-",""))+LEN(SUBSTITUTE(SUBSTITUTE(SUBSTITUTE(K143," ",""),"0",""),"-","")))=(LEN(SUBSTITUTE(SUBSTITUTE(SUBSTITUTE(M143," ",""),"0",""),"-",""))+LEN(SUBSTITUTE(SUBSTITUTE(SUBSTITUTE(N143," ",""),"0",""),"-",""))))),0,(LEN(SUBSTITUTE(SUBSTITUTE(SUBSTITUTE(M143," ",""),"0",""),"-",""))+LEN(SUBSTITUTE(SUBSTITUTE(SUBSTITUTE(N143," ",""),"0",""),"-",""))&lt;LEN(SUBSTITUTE(SUBSTITUTE(SUBSTITUTE(J143," ",""),"0",""),"-",""))+LEN(SUBSTITUTE(SUBSTITUTE(SUBSTITUTE(K143," ",""),"0",""),"-","")))*1),0)+IF(OR(COUNTA(J144,K144,M144,N144)&gt;0,OR(L144="X",L144="x")),IF(OR(L144="X",L144="x",AND(OR(COUNTA(J144,K144,M144,N144)&gt;0,OR(L144="X",L144="x")),(LEN(SUBSTITUTE(SUBSTITUTE(SUBSTITUTE(J144," ",""),"0",""),"-",""))+LEN(SUBSTITUTE(SUBSTITUTE(SUBSTITUTE(K144," ",""),"0",""),"-","")))=(LEN(SUBSTITUTE(SUBSTITUTE(SUBSTITUTE(M144," ",""),"0",""),"-",""))+LEN(SUBSTITUTE(SUBSTITUTE(SUBSTITUTE(N144," ",""),"0",""),"-",""))))),0,(LEN(SUBSTITUTE(SUBSTITUTE(SUBSTITUTE(M144," ",""),"0",""),"-",""))+LEN(SUBSTITUTE(SUBSTITUTE(SUBSTITUTE(N144," ",""),"0",""),"-",""))&lt;LEN(SUBSTITUTE(SUBSTITUTE(SUBSTITUTE(J144," ",""),"0",""),"-",""))+LEN(SUBSTITUTE(SUBSTITUTE(SUBSTITUTE(K144," ",""),"0",""),"-","")))*1),0)</f>
      </c>
      <c r="L148" s="14" t="str">
        <f>IF(OR(COUNTA(J143,K143,M143,N143)&gt;0,OR(L143="X",L143="x")),IF(OR(L143="X",L143="x",AND(OR(COUNTA(J143,K143,M143,N143)&gt;0,OR(L143="X",L143="x")),(LEN(SUBSTITUTE(SUBSTITUTE(SUBSTITUTE(J143," ",""),"0",""),"-",""))+LEN(SUBSTITUTE(SUBSTITUTE(SUBSTITUTE(K143," ",""),"0",""),"-","")))=(LEN(SUBSTITUTE(SUBSTITUTE(SUBSTITUTE(M143," ",""),"0",""),"-",""))+LEN(SUBSTITUTE(SUBSTITUTE(SUBSTITUTE(N143," ",""),"0",""),"-",""))))),1,0),0)+IF(OR(COUNTA(J144,K144,M144,N144)&gt;0,OR(L144="X",L144="x")),IF(OR(L144="X",L144="x",AND(OR(COUNTA(J144,K144,M144,N144)&gt;0,OR(L144="X",L144="x")),(LEN(SUBSTITUTE(SUBSTITUTE(SUBSTITUTE(J144," ",""),"0",""),"-",""))+LEN(SUBSTITUTE(SUBSTITUTE(SUBSTITUTE(K144," ",""),"0",""),"-","")))=(LEN(SUBSTITUTE(SUBSTITUTE(SUBSTITUTE(M144," ",""),"0",""),"-",""))+LEN(SUBSTITUTE(SUBSTITUTE(SUBSTITUTE(N144," ",""),"0",""),"-",""))))),1,0),0)</f>
      </c>
      <c r="M148" s="14" t="str">
        <f>LEN(SUBSTITUTE(SUBSTITUTE(SUBSTITUTE(M143," ",""),"0",""),"-",""))+LEN(SUBSTITUTE(SUBSTITUTE(SUBSTITUTE(N143," ",""),"0",""),"-",""))+LEN(SUBSTITUTE(SUBSTITUTE(SUBSTITUTE(M144," ",""),"0",""),"-",""))+LEN(SUBSTITUTE(SUBSTITUTE(SUBSTITUTE(N144," ",""),"0",""),"-",""))</f>
      </c>
      <c r="N148" s="14" t="str">
        <f>LEN(SUBSTITUTE(SUBSTITUTE(SUBSTITUTE(J143," ",""),"0",""),"-",""))+LEN(SUBSTITUTE(SUBSTITUTE(SUBSTITUTE(K143," ",""),"0",""),"-",""))+LEN(SUBSTITUTE(SUBSTITUTE(SUBSTITUTE(J144," ",""),"0",""),"-",""))+LEN(SUBSTITUTE(SUBSTITUTE(SUBSTITUTE(K144," ",""),"0",""),"-",""))</f>
      </c>
      <c r="O148" s="18" t="str">
        <f>RANK(AC148,$AC$148:$AC$150)+COUNTIF($AC$147:AC147,AC148)</f>
      </c>
      <c r="U148" t="str">
        <f>(B148*1000000)-(C148*10000)+(D148*100)+(E148*1)-(F148*0.01)</f>
      </c>
      <c r="AC148" t="str">
        <f>(J148*1000000)-(K148*10000)+(L148*100)+(M148*1)-(N148*0.01)</f>
      </c>
    </row>
    <row r="149">
      <c r="A149" s="14" t="str">
        <f>data!$E$29&amp;" "&amp;data!$B$29</f>
      </c>
      <c r="B149" s="14" t="str">
        <f>IF(OR(COUNTA(B143,C143,E143,F143)&gt;0,OR(D143="X",D143="x")),IF(OR(D143="X",D143="x",AND(OR(COUNTA(B143,C143,E143,F143)&gt;0,OR(D143="X",D143="x")),(LEN(SUBSTITUTE(SUBSTITUTE(SUBSTITUTE(B143," ",""),"0",""),"-",""))+LEN(SUBSTITUTE(SUBSTITUTE(SUBSTITUTE(C143," ",""),"0",""),"-","")))=(LEN(SUBSTITUTE(SUBSTITUTE(SUBSTITUTE(E143," ",""),"0",""),"-",""))+LEN(SUBSTITUTE(SUBSTITUTE(SUBSTITUTE(F143," ",""),"0",""),"-",""))))),0,(LEN(SUBSTITUTE(SUBSTITUTE(SUBSTITUTE(B143," ",""),"0",""),"-",""))+LEN(SUBSTITUTE(SUBSTITUTE(SUBSTITUTE(C143," ",""),"0",""),"-",""))&gt;LEN(SUBSTITUTE(SUBSTITUTE(SUBSTITUTE(E143," ",""),"0",""),"-",""))+LEN(SUBSTITUTE(SUBSTITUTE(SUBSTITUTE(F143," ",""),"0",""),"-","")))*1),0)+IF(OR(COUNTA(B145,C145,E145,F145)&gt;0,OR(D145="X",D145="x")),IF(OR(D145="X",D145="x",AND(OR(COUNTA(B145,C145,E145,F145)&gt;0,OR(D145="X",D145="x")),(LEN(SUBSTITUTE(SUBSTITUTE(SUBSTITUTE(B145," ",""),"0",""),"-",""))+LEN(SUBSTITUTE(SUBSTITUTE(SUBSTITUTE(C145," ",""),"0",""),"-","")))=(LEN(SUBSTITUTE(SUBSTITUTE(SUBSTITUTE(E145," ",""),"0",""),"-",""))+LEN(SUBSTITUTE(SUBSTITUTE(SUBSTITUTE(F145," ",""),"0",""),"-",""))))),0,(LEN(SUBSTITUTE(SUBSTITUTE(SUBSTITUTE(E145," ",""),"0",""),"-",""))+LEN(SUBSTITUTE(SUBSTITUTE(SUBSTITUTE(F145," ",""),"0",""),"-",""))&gt;LEN(SUBSTITUTE(SUBSTITUTE(SUBSTITUTE(B145," ",""),"0",""),"-",""))+LEN(SUBSTITUTE(SUBSTITUTE(SUBSTITUTE(C145," ",""),"0",""),"-","")))*1),0)</f>
      </c>
      <c r="C149" s="14" t="str">
        <f>IF(OR(COUNTA(B143,C143,E143,F143)&gt;0,OR(D143="X",D143="x")),IF(OR(D143="X",D143="x",AND(OR(COUNTA(B143,C143,E143,F143)&gt;0,OR(D143="X",D143="x")),(LEN(SUBSTITUTE(SUBSTITUTE(SUBSTITUTE(B143," ",""),"0",""),"-",""))+LEN(SUBSTITUTE(SUBSTITUTE(SUBSTITUTE(C143," ",""),"0",""),"-","")))=(LEN(SUBSTITUTE(SUBSTITUTE(SUBSTITUTE(E143," ",""),"0",""),"-",""))+LEN(SUBSTITUTE(SUBSTITUTE(SUBSTITUTE(F143," ",""),"0",""),"-",""))))),0,(LEN(SUBSTITUTE(SUBSTITUTE(SUBSTITUTE(B143," ",""),"0",""),"-",""))+LEN(SUBSTITUTE(SUBSTITUTE(SUBSTITUTE(C143," ",""),"0",""),"-",""))&lt;LEN(SUBSTITUTE(SUBSTITUTE(SUBSTITUTE(E143," ",""),"0",""),"-",""))+LEN(SUBSTITUTE(SUBSTITUTE(SUBSTITUTE(F143," ",""),"0",""),"-","")))*1),0)+IF(OR(COUNTA(B145,C145,E145,F145)&gt;0,OR(D145="X",D145="x")),IF(OR(D145="X",D145="x",AND(OR(COUNTA(B145,C145,E145,F145)&gt;0,OR(D145="X",D145="x")),(LEN(SUBSTITUTE(SUBSTITUTE(SUBSTITUTE(B145," ",""),"0",""),"-",""))+LEN(SUBSTITUTE(SUBSTITUTE(SUBSTITUTE(C145," ",""),"0",""),"-","")))=(LEN(SUBSTITUTE(SUBSTITUTE(SUBSTITUTE(E145," ",""),"0",""),"-",""))+LEN(SUBSTITUTE(SUBSTITUTE(SUBSTITUTE(F145," ",""),"0",""),"-",""))))),0,(LEN(SUBSTITUTE(SUBSTITUTE(SUBSTITUTE(E145," ",""),"0",""),"-",""))+LEN(SUBSTITUTE(SUBSTITUTE(SUBSTITUTE(F145," ",""),"0",""),"-",""))&lt;LEN(SUBSTITUTE(SUBSTITUTE(SUBSTITUTE(B145," ",""),"0",""),"-",""))+LEN(SUBSTITUTE(SUBSTITUTE(SUBSTITUTE(C145," ",""),"0",""),"-","")))*1),0)</f>
      </c>
      <c r="D149" s="14" t="str">
        <f>IF(OR(COUNTA(B143,C143,E143,F143)&gt;0,OR(D143="X",D143="x")),IF(OR(D143="X",D143="x",AND(OR(COUNTA(B143,C143,E143,F143)&gt;0,OR(D143="X",D143="x")),(LEN(SUBSTITUTE(SUBSTITUTE(SUBSTITUTE(B143," ",""),"0",""),"-",""))+LEN(SUBSTITUTE(SUBSTITUTE(SUBSTITUTE(C143," ",""),"0",""),"-","")))=(LEN(SUBSTITUTE(SUBSTITUTE(SUBSTITUTE(E143," ",""),"0",""),"-",""))+LEN(SUBSTITUTE(SUBSTITUTE(SUBSTITUTE(F143," ",""),"0",""),"-",""))))),1,0),0)+IF(OR(COUNTA(B145,C145,E145,F145)&gt;0,OR(D145="X",D145="x")),IF(OR(D145="X",D145="x",AND(OR(COUNTA(B145,C145,E145,F145)&gt;0,OR(D145="X",D145="x")),(LEN(SUBSTITUTE(SUBSTITUTE(SUBSTITUTE(B145," ",""),"0",""),"-",""))+LEN(SUBSTITUTE(SUBSTITUTE(SUBSTITUTE(C145," ",""),"0",""),"-","")))=(LEN(SUBSTITUTE(SUBSTITUTE(SUBSTITUTE(E145," ",""),"0",""),"-",""))+LEN(SUBSTITUTE(SUBSTITUTE(SUBSTITUTE(F145," ",""),"0",""),"-",""))))),1,0),0)</f>
      </c>
      <c r="E149" s="14" t="str">
        <f>LEN(SUBSTITUTE(SUBSTITUTE(SUBSTITUTE(B143," ",""),"0",""),"-",""))+LEN(SUBSTITUTE(SUBSTITUTE(SUBSTITUTE(C143," ",""),"0",""),"-",""))+LEN(SUBSTITUTE(SUBSTITUTE(SUBSTITUTE(E145," ",""),"0",""),"-",""))+LEN(SUBSTITUTE(SUBSTITUTE(SUBSTITUTE(F145," ",""),"0",""),"-",""))</f>
      </c>
      <c r="F149" s="14" t="str">
        <f>LEN(SUBSTITUTE(SUBSTITUTE(SUBSTITUTE(E143," ",""),"0",""),"-",""))+LEN(SUBSTITUTE(SUBSTITUTE(SUBSTITUTE(F143," ",""),"0",""),"-",""))+LEN(SUBSTITUTE(SUBSTITUTE(SUBSTITUTE(B145," ",""),"0",""),"-",""))+LEN(SUBSTITUTE(SUBSTITUTE(SUBSTITUTE(C145," ",""),"0",""),"-",""))</f>
      </c>
      <c r="G149" s="18" t="str">
        <f>RANK(U149,$U$148:$U$150)+COUNTIF($U$147:U148,U149)</f>
      </c>
      <c r="I149" s="14" t="str">
        <f>data!$E$74&amp;" "&amp;data!$B$74</f>
      </c>
      <c r="J149" s="14" t="str">
        <f>IF(OR(COUNTA(J143,K143,M143,N143)&gt;0,OR(L143="X",L143="x")),IF(OR(L143="X",L143="x",AND(OR(COUNTA(J143,K143,M143,N143)&gt;0,OR(L143="X",L143="x")),(LEN(SUBSTITUTE(SUBSTITUTE(SUBSTITUTE(J143," ",""),"0",""),"-",""))+LEN(SUBSTITUTE(SUBSTITUTE(SUBSTITUTE(K143," ",""),"0",""),"-","")))=(LEN(SUBSTITUTE(SUBSTITUTE(SUBSTITUTE(M143," ",""),"0",""),"-",""))+LEN(SUBSTITUTE(SUBSTITUTE(SUBSTITUTE(N143," ",""),"0",""),"-",""))))),0,(LEN(SUBSTITUTE(SUBSTITUTE(SUBSTITUTE(J143," ",""),"0",""),"-",""))+LEN(SUBSTITUTE(SUBSTITUTE(SUBSTITUTE(K143," ",""),"0",""),"-",""))&gt;LEN(SUBSTITUTE(SUBSTITUTE(SUBSTITUTE(M143," ",""),"0",""),"-",""))+LEN(SUBSTITUTE(SUBSTITUTE(SUBSTITUTE(N143," ",""),"0",""),"-","")))*1),0)+IF(OR(COUNTA(J145,K145,M145,N145)&gt;0,OR(L145="X",L145="x")),IF(OR(L145="X",L145="x",AND(OR(COUNTA(J145,K145,M145,N145)&gt;0,OR(L145="X",L145="x")),(LEN(SUBSTITUTE(SUBSTITUTE(SUBSTITUTE(J145," ",""),"0",""),"-",""))+LEN(SUBSTITUTE(SUBSTITUTE(SUBSTITUTE(K145," ",""),"0",""),"-","")))=(LEN(SUBSTITUTE(SUBSTITUTE(SUBSTITUTE(M145," ",""),"0",""),"-",""))+LEN(SUBSTITUTE(SUBSTITUTE(SUBSTITUTE(N145," ",""),"0",""),"-",""))))),0,(LEN(SUBSTITUTE(SUBSTITUTE(SUBSTITUTE(M145," ",""),"0",""),"-",""))+LEN(SUBSTITUTE(SUBSTITUTE(SUBSTITUTE(N145," ",""),"0",""),"-",""))&gt;LEN(SUBSTITUTE(SUBSTITUTE(SUBSTITUTE(J145," ",""),"0",""),"-",""))+LEN(SUBSTITUTE(SUBSTITUTE(SUBSTITUTE(K145," ",""),"0",""),"-","")))*1),0)</f>
      </c>
      <c r="K149" s="14" t="str">
        <f>IF(OR(COUNTA(J143,K143,M143,N143)&gt;0,OR(L143="X",L143="x")),IF(OR(L143="X",L143="x",AND(OR(COUNTA(J143,K143,M143,N143)&gt;0,OR(L143="X",L143="x")),(LEN(SUBSTITUTE(SUBSTITUTE(SUBSTITUTE(J143," ",""),"0",""),"-",""))+LEN(SUBSTITUTE(SUBSTITUTE(SUBSTITUTE(K143," ",""),"0",""),"-","")))=(LEN(SUBSTITUTE(SUBSTITUTE(SUBSTITUTE(M143," ",""),"0",""),"-",""))+LEN(SUBSTITUTE(SUBSTITUTE(SUBSTITUTE(N143," ",""),"0",""),"-",""))))),0,(LEN(SUBSTITUTE(SUBSTITUTE(SUBSTITUTE(J143," ",""),"0",""),"-",""))+LEN(SUBSTITUTE(SUBSTITUTE(SUBSTITUTE(K143," ",""),"0",""),"-",""))&lt;LEN(SUBSTITUTE(SUBSTITUTE(SUBSTITUTE(M143," ",""),"0",""),"-",""))+LEN(SUBSTITUTE(SUBSTITUTE(SUBSTITUTE(N143," ",""),"0",""),"-","")))*1),0)+IF(OR(COUNTA(J145,K145,M145,N145)&gt;0,OR(L145="X",L145="x")),IF(OR(L145="X",L145="x",AND(OR(COUNTA(J145,K145,M145,N145)&gt;0,OR(L145="X",L145="x")),(LEN(SUBSTITUTE(SUBSTITUTE(SUBSTITUTE(J145," ",""),"0",""),"-",""))+LEN(SUBSTITUTE(SUBSTITUTE(SUBSTITUTE(K145," ",""),"0",""),"-","")))=(LEN(SUBSTITUTE(SUBSTITUTE(SUBSTITUTE(M145," ",""),"0",""),"-",""))+LEN(SUBSTITUTE(SUBSTITUTE(SUBSTITUTE(N145," ",""),"0",""),"-",""))))),0,(LEN(SUBSTITUTE(SUBSTITUTE(SUBSTITUTE(M145," ",""),"0",""),"-",""))+LEN(SUBSTITUTE(SUBSTITUTE(SUBSTITUTE(N145," ",""),"0",""),"-",""))&lt;LEN(SUBSTITUTE(SUBSTITUTE(SUBSTITUTE(J145," ",""),"0",""),"-",""))+LEN(SUBSTITUTE(SUBSTITUTE(SUBSTITUTE(K145," ",""),"0",""),"-","")))*1),0)</f>
      </c>
      <c r="L149" s="14" t="str">
        <f>IF(OR(COUNTA(J143,K143,M143,N143)&gt;0,OR(L143="X",L143="x")),IF(OR(L143="X",L143="x",AND(OR(COUNTA(J143,K143,M143,N143)&gt;0,OR(L143="X",L143="x")),(LEN(SUBSTITUTE(SUBSTITUTE(SUBSTITUTE(J143," ",""),"0",""),"-",""))+LEN(SUBSTITUTE(SUBSTITUTE(SUBSTITUTE(K143," ",""),"0",""),"-","")))=(LEN(SUBSTITUTE(SUBSTITUTE(SUBSTITUTE(M143," ",""),"0",""),"-",""))+LEN(SUBSTITUTE(SUBSTITUTE(SUBSTITUTE(N143," ",""),"0",""),"-",""))))),1,0),0)+IF(OR(COUNTA(J145,K145,M145,N145)&gt;0,OR(L145="X",L145="x")),IF(OR(L145="X",L145="x",AND(OR(COUNTA(J145,K145,M145,N145)&gt;0,OR(L145="X",L145="x")),(LEN(SUBSTITUTE(SUBSTITUTE(SUBSTITUTE(J145," ",""),"0",""),"-",""))+LEN(SUBSTITUTE(SUBSTITUTE(SUBSTITUTE(K145," ",""),"0",""),"-","")))=(LEN(SUBSTITUTE(SUBSTITUTE(SUBSTITUTE(M145," ",""),"0",""),"-",""))+LEN(SUBSTITUTE(SUBSTITUTE(SUBSTITUTE(N145," ",""),"0",""),"-",""))))),1,0),0)</f>
      </c>
      <c r="M149" s="14" t="str">
        <f>LEN(SUBSTITUTE(SUBSTITUTE(SUBSTITUTE(J143," ",""),"0",""),"-",""))+LEN(SUBSTITUTE(SUBSTITUTE(SUBSTITUTE(K143," ",""),"0",""),"-",""))+LEN(SUBSTITUTE(SUBSTITUTE(SUBSTITUTE(M145," ",""),"0",""),"-",""))+LEN(SUBSTITUTE(SUBSTITUTE(SUBSTITUTE(N145," ",""),"0",""),"-",""))</f>
      </c>
      <c r="N149" s="14" t="str">
        <f>LEN(SUBSTITUTE(SUBSTITUTE(SUBSTITUTE(M143," ",""),"0",""),"-",""))+LEN(SUBSTITUTE(SUBSTITUTE(SUBSTITUTE(N143," ",""),"0",""),"-",""))+LEN(SUBSTITUTE(SUBSTITUTE(SUBSTITUTE(J145," ",""),"0",""),"-",""))+LEN(SUBSTITUTE(SUBSTITUTE(SUBSTITUTE(K145," ",""),"0",""),"-",""))</f>
      </c>
      <c r="O149" s="18" t="str">
        <f>RANK(AC149,$AC$148:$AC$150)+COUNTIF($AC$147:AC148,AC149)</f>
      </c>
      <c r="U149" t="str">
        <f>(B149*1000000)-(C149*10000)+(D149*100)+(E149*1)-(F149*0.01)</f>
      </c>
      <c r="AC149" t="str">
        <f>(J149*1000000)-(K149*10000)+(L149*100)+(M149*1)-(N149*0.01)</f>
      </c>
    </row>
    <row r="150">
      <c r="A150" s="14" t="str">
        <f>data!$E$30&amp;" "&amp;data!$B$30</f>
      </c>
      <c r="B150" s="14" t="str">
        <f>IF(OR(COUNTA(B144,C144,E144,F144)&gt;0,OR(D144="X",D144="x")),IF(OR(D144="X",D144="x",AND(OR(COUNTA(B144,C144,E144,F144)&gt;0,OR(D144="X",D144="x")),(LEN(SUBSTITUTE(SUBSTITUTE(SUBSTITUTE(B144," ",""),"0",""),"-",""))+LEN(SUBSTITUTE(SUBSTITUTE(SUBSTITUTE(C144," ",""),"0",""),"-","")))=(LEN(SUBSTITUTE(SUBSTITUTE(SUBSTITUTE(E144," ",""),"0",""),"-",""))+LEN(SUBSTITUTE(SUBSTITUTE(SUBSTITUTE(F144," ",""),"0",""),"-",""))))),0,(LEN(SUBSTITUTE(SUBSTITUTE(SUBSTITUTE(B144," ",""),"0",""),"-",""))+LEN(SUBSTITUTE(SUBSTITUTE(SUBSTITUTE(C144," ",""),"0",""),"-",""))&gt;LEN(SUBSTITUTE(SUBSTITUTE(SUBSTITUTE(E144," ",""),"0",""),"-",""))+LEN(SUBSTITUTE(SUBSTITUTE(SUBSTITUTE(F144," ",""),"0",""),"-","")))*1),0)+IF(OR(COUNTA(B145,C145,E145,F145)&gt;0,OR(D145="X",D145="x")),IF(OR(D145="X",D145="x",AND(OR(COUNTA(B145,C145,E145,F145)&gt;0,OR(D145="X",D145="x")),(LEN(SUBSTITUTE(SUBSTITUTE(SUBSTITUTE(B145," ",""),"0",""),"-",""))+LEN(SUBSTITUTE(SUBSTITUTE(SUBSTITUTE(C145," ",""),"0",""),"-","")))=(LEN(SUBSTITUTE(SUBSTITUTE(SUBSTITUTE(E145," ",""),"0",""),"-",""))+LEN(SUBSTITUTE(SUBSTITUTE(SUBSTITUTE(F145," ",""),"0",""),"-",""))))),0,(LEN(SUBSTITUTE(SUBSTITUTE(SUBSTITUTE(B145," ",""),"0",""),"-",""))+LEN(SUBSTITUTE(SUBSTITUTE(SUBSTITUTE(C145," ",""),"0",""),"-",""))&gt;LEN(SUBSTITUTE(SUBSTITUTE(SUBSTITUTE(E145," ",""),"0",""),"-",""))+LEN(SUBSTITUTE(SUBSTITUTE(SUBSTITUTE(F145," ",""),"0",""),"-","")))*1),0)</f>
      </c>
      <c r="C150" s="14" t="str">
        <f>IF(OR(COUNTA(B144,C144,E144,F144)&gt;0,OR(D144="X",D144="x")),IF(OR(D144="X",D144="x",AND(OR(COUNTA(B144,C144,E144,F144)&gt;0,OR(D144="X",D144="x")),(LEN(SUBSTITUTE(SUBSTITUTE(SUBSTITUTE(B144," ",""),"0",""),"-",""))+LEN(SUBSTITUTE(SUBSTITUTE(SUBSTITUTE(C144," ",""),"0",""),"-","")))=(LEN(SUBSTITUTE(SUBSTITUTE(SUBSTITUTE(E144," ",""),"0",""),"-",""))+LEN(SUBSTITUTE(SUBSTITUTE(SUBSTITUTE(F144," ",""),"0",""),"-",""))))),0,(LEN(SUBSTITUTE(SUBSTITUTE(SUBSTITUTE(B144," ",""),"0",""),"-",""))+LEN(SUBSTITUTE(SUBSTITUTE(SUBSTITUTE(C144," ",""),"0",""),"-",""))&lt;LEN(SUBSTITUTE(SUBSTITUTE(SUBSTITUTE(E144," ",""),"0",""),"-",""))+LEN(SUBSTITUTE(SUBSTITUTE(SUBSTITUTE(F144," ",""),"0",""),"-","")))*1),0)+IF(OR(COUNTA(B145,C145,E145,F145)&gt;0,OR(D145="X",D145="x")),IF(OR(D145="X",D145="x",AND(OR(COUNTA(B145,C145,E145,F145)&gt;0,OR(D145="X",D145="x")),(LEN(SUBSTITUTE(SUBSTITUTE(SUBSTITUTE(B145," ",""),"0",""),"-",""))+LEN(SUBSTITUTE(SUBSTITUTE(SUBSTITUTE(C145," ",""),"0",""),"-","")))=(LEN(SUBSTITUTE(SUBSTITUTE(SUBSTITUTE(E145," ",""),"0",""),"-",""))+LEN(SUBSTITUTE(SUBSTITUTE(SUBSTITUTE(F145," ",""),"0",""),"-",""))))),0,(LEN(SUBSTITUTE(SUBSTITUTE(SUBSTITUTE(B145," ",""),"0",""),"-",""))+LEN(SUBSTITUTE(SUBSTITUTE(SUBSTITUTE(C145," ",""),"0",""),"-",""))&lt;LEN(SUBSTITUTE(SUBSTITUTE(SUBSTITUTE(E145," ",""),"0",""),"-",""))+LEN(SUBSTITUTE(SUBSTITUTE(SUBSTITUTE(F145," ",""),"0",""),"-","")))*1),0)</f>
      </c>
      <c r="D150" s="14" t="str">
        <f>IF(OR(COUNTA(B144,C144,E144,F144)&gt;0,OR(D144="X",D144="x")),IF(OR(D144="X",D144="x",AND(OR(COUNTA(B144,C144,E144,F144)&gt;0,OR(D144="X",D144="x")),(LEN(SUBSTITUTE(SUBSTITUTE(SUBSTITUTE(B144," ",""),"0",""),"-",""))+LEN(SUBSTITUTE(SUBSTITUTE(SUBSTITUTE(C144," ",""),"0",""),"-","")))=(LEN(SUBSTITUTE(SUBSTITUTE(SUBSTITUTE(E144," ",""),"0",""),"-",""))+LEN(SUBSTITUTE(SUBSTITUTE(SUBSTITUTE(F144," ",""),"0",""),"-",""))))),1,0),0)+IF(OR(COUNTA(B145,C145,E145,F145)&gt;0,OR(D145="X",D145="x")),IF(OR(D145="X",D145="x",AND(OR(COUNTA(B145,C145,E145,F145)&gt;0,OR(D145="X",D145="x")),(LEN(SUBSTITUTE(SUBSTITUTE(SUBSTITUTE(B145," ",""),"0",""),"-",""))+LEN(SUBSTITUTE(SUBSTITUTE(SUBSTITUTE(C145," ",""),"0",""),"-","")))=(LEN(SUBSTITUTE(SUBSTITUTE(SUBSTITUTE(E145," ",""),"0",""),"-",""))+LEN(SUBSTITUTE(SUBSTITUTE(SUBSTITUTE(F145," ",""),"0",""),"-",""))))),1,0),0)</f>
      </c>
      <c r="E150" s="14" t="str">
        <f>LEN(SUBSTITUTE(SUBSTITUTE(SUBSTITUTE(B144," ",""),"0",""),"-",""))+LEN(SUBSTITUTE(SUBSTITUTE(SUBSTITUTE(C144," ",""),"0",""),"-",""))+LEN(SUBSTITUTE(SUBSTITUTE(SUBSTITUTE(B145," ",""),"0",""),"-",""))+LEN(SUBSTITUTE(SUBSTITUTE(SUBSTITUTE(C145," ",""),"0",""),"-",""))</f>
      </c>
      <c r="F150" s="14" t="str">
        <f>LEN(SUBSTITUTE(SUBSTITUTE(SUBSTITUTE(E144," ",""),"0",""),"-",""))+LEN(SUBSTITUTE(SUBSTITUTE(SUBSTITUTE(F144," ",""),"0",""),"-",""))+LEN(SUBSTITUTE(SUBSTITUTE(SUBSTITUTE(E145," ",""),"0",""),"-",""))+LEN(SUBSTITUTE(SUBSTITUTE(SUBSTITUTE(F145," ",""),"0",""),"-",""))</f>
      </c>
      <c r="G150" s="18" t="str">
        <f>RANK(U150,$U$148:$U$150)+COUNTIF($U$147:U149,U150)</f>
      </c>
      <c r="I150" s="14" t="str">
        <f>data!$E$75&amp;" "&amp;data!$B$75</f>
      </c>
      <c r="J150" s="14" t="str">
        <f>IF(OR(COUNTA(J144,K144,M144,N144)&gt;0,OR(L144="X",L144="x")),IF(OR(L144="X",L144="x",AND(OR(COUNTA(J144,K144,M144,N144)&gt;0,OR(L144="X",L144="x")),(LEN(SUBSTITUTE(SUBSTITUTE(SUBSTITUTE(J144," ",""),"0",""),"-",""))+LEN(SUBSTITUTE(SUBSTITUTE(SUBSTITUTE(K144," ",""),"0",""),"-","")))=(LEN(SUBSTITUTE(SUBSTITUTE(SUBSTITUTE(M144," ",""),"0",""),"-",""))+LEN(SUBSTITUTE(SUBSTITUTE(SUBSTITUTE(N144," ",""),"0",""),"-",""))))),0,(LEN(SUBSTITUTE(SUBSTITUTE(SUBSTITUTE(J144," ",""),"0",""),"-",""))+LEN(SUBSTITUTE(SUBSTITUTE(SUBSTITUTE(K144," ",""),"0",""),"-",""))&gt;LEN(SUBSTITUTE(SUBSTITUTE(SUBSTITUTE(M144," ",""),"0",""),"-",""))+LEN(SUBSTITUTE(SUBSTITUTE(SUBSTITUTE(N144," ",""),"0",""),"-","")))*1),0)+IF(OR(COUNTA(J145,K145,M145,N145)&gt;0,OR(L145="X",L145="x")),IF(OR(L145="X",L145="x",AND(OR(COUNTA(J145,K145,M145,N145)&gt;0,OR(L145="X",L145="x")),(LEN(SUBSTITUTE(SUBSTITUTE(SUBSTITUTE(J145," ",""),"0",""),"-",""))+LEN(SUBSTITUTE(SUBSTITUTE(SUBSTITUTE(K145," ",""),"0",""),"-","")))=(LEN(SUBSTITUTE(SUBSTITUTE(SUBSTITUTE(M145," ",""),"0",""),"-",""))+LEN(SUBSTITUTE(SUBSTITUTE(SUBSTITUTE(N145," ",""),"0",""),"-",""))))),0,(LEN(SUBSTITUTE(SUBSTITUTE(SUBSTITUTE(J145," ",""),"0",""),"-",""))+LEN(SUBSTITUTE(SUBSTITUTE(SUBSTITUTE(K145," ",""),"0",""),"-",""))&gt;LEN(SUBSTITUTE(SUBSTITUTE(SUBSTITUTE(M145," ",""),"0",""),"-",""))+LEN(SUBSTITUTE(SUBSTITUTE(SUBSTITUTE(N145," ",""),"0",""),"-","")))*1),0)</f>
      </c>
      <c r="K150" s="14" t="str">
        <f>IF(OR(COUNTA(J144,K144,M144,N144)&gt;0,OR(L144="X",L144="x")),IF(OR(L144="X",L144="x",AND(OR(COUNTA(J144,K144,M144,N144)&gt;0,OR(L144="X",L144="x")),(LEN(SUBSTITUTE(SUBSTITUTE(SUBSTITUTE(J144," ",""),"0",""),"-",""))+LEN(SUBSTITUTE(SUBSTITUTE(SUBSTITUTE(K144," ",""),"0",""),"-","")))=(LEN(SUBSTITUTE(SUBSTITUTE(SUBSTITUTE(M144," ",""),"0",""),"-",""))+LEN(SUBSTITUTE(SUBSTITUTE(SUBSTITUTE(N144," ",""),"0",""),"-",""))))),0,(LEN(SUBSTITUTE(SUBSTITUTE(SUBSTITUTE(J144," ",""),"0",""),"-",""))+LEN(SUBSTITUTE(SUBSTITUTE(SUBSTITUTE(K144," ",""),"0",""),"-",""))&lt;LEN(SUBSTITUTE(SUBSTITUTE(SUBSTITUTE(M144," ",""),"0",""),"-",""))+LEN(SUBSTITUTE(SUBSTITUTE(SUBSTITUTE(N144," ",""),"0",""),"-","")))*1),0)+IF(OR(COUNTA(J145,K145,M145,N145)&gt;0,OR(L145="X",L145="x")),IF(OR(L145="X",L145="x",AND(OR(COUNTA(J145,K145,M145,N145)&gt;0,OR(L145="X",L145="x")),(LEN(SUBSTITUTE(SUBSTITUTE(SUBSTITUTE(J145," ",""),"0",""),"-",""))+LEN(SUBSTITUTE(SUBSTITUTE(SUBSTITUTE(K145," ",""),"0",""),"-","")))=(LEN(SUBSTITUTE(SUBSTITUTE(SUBSTITUTE(M145," ",""),"0",""),"-",""))+LEN(SUBSTITUTE(SUBSTITUTE(SUBSTITUTE(N145," ",""),"0",""),"-",""))))),0,(LEN(SUBSTITUTE(SUBSTITUTE(SUBSTITUTE(J145," ",""),"0",""),"-",""))+LEN(SUBSTITUTE(SUBSTITUTE(SUBSTITUTE(K145," ",""),"0",""),"-",""))&lt;LEN(SUBSTITUTE(SUBSTITUTE(SUBSTITUTE(M145," ",""),"0",""),"-",""))+LEN(SUBSTITUTE(SUBSTITUTE(SUBSTITUTE(N145," ",""),"0",""),"-","")))*1),0)</f>
      </c>
      <c r="L150" s="14" t="str">
        <f>IF(OR(COUNTA(J144,K144,M144,N144)&gt;0,OR(L144="X",L144="x")),IF(OR(L144="X",L144="x",AND(OR(COUNTA(J144,K144,M144,N144)&gt;0,OR(L144="X",L144="x")),(LEN(SUBSTITUTE(SUBSTITUTE(SUBSTITUTE(J144," ",""),"0",""),"-",""))+LEN(SUBSTITUTE(SUBSTITUTE(SUBSTITUTE(K144," ",""),"0",""),"-","")))=(LEN(SUBSTITUTE(SUBSTITUTE(SUBSTITUTE(M144," ",""),"0",""),"-",""))+LEN(SUBSTITUTE(SUBSTITUTE(SUBSTITUTE(N144," ",""),"0",""),"-",""))))),1,0),0)+IF(OR(COUNTA(J145,K145,M145,N145)&gt;0,OR(L145="X",L145="x")),IF(OR(L145="X",L145="x",AND(OR(COUNTA(J145,K145,M145,N145)&gt;0,OR(L145="X",L145="x")),(LEN(SUBSTITUTE(SUBSTITUTE(SUBSTITUTE(J145," ",""),"0",""),"-",""))+LEN(SUBSTITUTE(SUBSTITUTE(SUBSTITUTE(K145," ",""),"0",""),"-","")))=(LEN(SUBSTITUTE(SUBSTITUTE(SUBSTITUTE(M145," ",""),"0",""),"-",""))+LEN(SUBSTITUTE(SUBSTITUTE(SUBSTITUTE(N145," ",""),"0",""),"-",""))))),1,0),0)</f>
      </c>
      <c r="M150" s="14" t="str">
        <f>LEN(SUBSTITUTE(SUBSTITUTE(SUBSTITUTE(J144," ",""),"0",""),"-",""))+LEN(SUBSTITUTE(SUBSTITUTE(SUBSTITUTE(K144," ",""),"0",""),"-",""))+LEN(SUBSTITUTE(SUBSTITUTE(SUBSTITUTE(J145," ",""),"0",""),"-",""))+LEN(SUBSTITUTE(SUBSTITUTE(SUBSTITUTE(K145," ",""),"0",""),"-",""))</f>
      </c>
      <c r="N150" s="14" t="str">
        <f>LEN(SUBSTITUTE(SUBSTITUTE(SUBSTITUTE(M144," ",""),"0",""),"-",""))+LEN(SUBSTITUTE(SUBSTITUTE(SUBSTITUTE(N144," ",""),"0",""),"-",""))+LEN(SUBSTITUTE(SUBSTITUTE(SUBSTITUTE(M145," ",""),"0",""),"-",""))+LEN(SUBSTITUTE(SUBSTITUTE(SUBSTITUTE(N145," ",""),"0",""),"-",""))</f>
      </c>
      <c r="O150" s="18" t="str">
        <f>RANK(AC150,$AC$148:$AC$150)+COUNTIF($AC$147:AC149,AC150)</f>
      </c>
      <c r="U150" t="str">
        <f>(B150*1000000)-(C150*10000)+(D150*100)+(E150*1)-(F150*0.01)</f>
      </c>
      <c r="AC150" t="str">
        <f>(J150*1000000)-(K150*10000)+(L150*100)+(M150*1)-(N150*0.01)</f>
      </c>
    </row>
    <row r="153">
      <c r="F153" s="13"/>
      <c r="G153" s="13" t="s">
        <v>340</v>
      </c>
      <c r="N153" s="13"/>
      <c r="O153" s="13" t="s">
        <v>340</v>
      </c>
    </row>
    <row r="154">
      <c r="F154" t="s">
        <v>341</v>
      </c>
      <c r="G154" s="19" t="str">
        <f>IFERROR(INDEX($A$148:$A$150, MATCH(1, $G$148:$G$150, 0)), "-")</f>
      </c>
      <c r="N154" t="s">
        <v>341</v>
      </c>
      <c r="O154" s="19" t="str">
        <f>IFERROR(INDEX($I$148:$I$150, MATCH(1, $O$148:$O$150, 0)), "-")</f>
      </c>
    </row>
    <row r="155">
      <c r="F155" t="s">
        <v>342</v>
      </c>
      <c r="G155" s="19" t="str">
        <f>IFERROR(INDEX($A$148:$A$150, MATCH(2, $G$148:$G$150, 0)), "-")</f>
      </c>
      <c r="N155" t="s">
        <v>342</v>
      </c>
      <c r="O155" s="19" t="str">
        <f>IFERROR(INDEX($I$148:$I$150, MATCH(2, $O$148:$O$150, 0)), "-")</f>
      </c>
    </row>
    <row r="156">
      <c r="F156" t="s">
        <v>343</v>
      </c>
      <c r="G156" s="19" t="str">
        <f>IFERROR(INDEX($A$148:$A$150, MATCH(3, $G$148:$G$150, 0)), "-")</f>
      </c>
      <c r="N156" t="s">
        <v>343</v>
      </c>
      <c r="O156" s="19" t="str">
        <f>IFERROR(INDEX($I$148:$I$150, MATCH(3, $O$148:$O$150, 0)), "-")</f>
      </c>
    </row>
    <row r="158">
      <c r="A158" s="13" t="str">
        <f>'data'!$A$33</f>
      </c>
      <c r="B158" s="13"/>
      <c r="C158" s="13"/>
      <c r="D158" s="13"/>
      <c r="E158" s="13"/>
      <c r="F158" s="13"/>
      <c r="G158" s="13"/>
      <c r="I158" s="13" t="str">
        <f>'data'!$A$78</f>
      </c>
      <c r="J158" s="13"/>
      <c r="K158" s="13"/>
      <c r="L158" s="13"/>
      <c r="M158" s="13"/>
      <c r="N158" s="13"/>
      <c r="O158" s="13"/>
    </row>
    <row r="159">
      <c r="A159" s="17" t="s">
        <v>330</v>
      </c>
      <c r="D159" s="14" t="s">
        <v>331</v>
      </c>
      <c r="G159" s="16" t="s">
        <v>332</v>
      </c>
      <c r="I159" s="17" t="s">
        <v>330</v>
      </c>
      <c r="L159" s="14" t="s">
        <v>331</v>
      </c>
      <c r="O159" s="16" t="s">
        <v>332</v>
      </c>
    </row>
    <row r="160">
      <c r="A160" s="14" t="str">
        <f>data!$E$32&amp;" "&amp;data!$B$32</f>
      </c>
      <c r="B160" s="18"/>
      <c r="C160" s="18"/>
      <c r="D160" s="18"/>
      <c r="E160" s="18"/>
      <c r="F160" s="18"/>
      <c r="G160" s="14" t="str">
        <f>data!$E$31&amp;" "&amp;data!$B$31</f>
      </c>
      <c r="I160" s="14" t="str">
        <f>data!$E$77&amp;" "&amp;data!$B$77</f>
      </c>
      <c r="J160" s="18"/>
      <c r="K160" s="18"/>
      <c r="L160" s="18"/>
      <c r="M160" s="18"/>
      <c r="N160" s="18"/>
      <c r="O160" s="14" t="str">
        <f>data!$E$76&amp;" "&amp;data!$B$76</f>
      </c>
    </row>
    <row r="161">
      <c r="A161" s="14" t="str">
        <f>data!$E$33&amp;" "&amp;data!$B$33</f>
      </c>
      <c r="B161" s="18"/>
      <c r="C161" s="18"/>
      <c r="D161" s="18"/>
      <c r="E161" s="18"/>
      <c r="F161" s="18"/>
      <c r="G161" s="14" t="str">
        <f>data!$E$31&amp;" "&amp;data!$B$31</f>
      </c>
      <c r="I161" s="14" t="str">
        <f>data!$E$78&amp;" "&amp;data!$B$78</f>
      </c>
      <c r="J161" s="18"/>
      <c r="K161" s="18"/>
      <c r="L161" s="18"/>
      <c r="M161" s="18"/>
      <c r="N161" s="18"/>
      <c r="O161" s="14" t="str">
        <f>data!$E$76&amp;" "&amp;data!$B$76</f>
      </c>
    </row>
    <row r="162">
      <c r="A162" s="14" t="str">
        <f>data!$E$33&amp;" "&amp;data!$B$33</f>
      </c>
      <c r="B162" s="18"/>
      <c r="C162" s="18"/>
      <c r="D162" s="18"/>
      <c r="E162" s="18"/>
      <c r="F162" s="18"/>
      <c r="G162" s="14" t="str">
        <f>data!$E$32&amp;" "&amp;data!$B$32</f>
      </c>
      <c r="I162" s="14" t="str">
        <f>data!$E$78&amp;" "&amp;data!$B$78</f>
      </c>
      <c r="J162" s="18"/>
      <c r="K162" s="18"/>
      <c r="L162" s="18"/>
      <c r="M162" s="18"/>
      <c r="N162" s="18"/>
      <c r="O162" s="14" t="str">
        <f>data!$E$77&amp;" "&amp;data!$B$77</f>
      </c>
    </row>
    <row r="164">
      <c r="A164" s="13" t="s">
        <v>333</v>
      </c>
      <c r="B164" s="13" t="s">
        <v>334</v>
      </c>
      <c r="C164" s="13" t="s">
        <v>335</v>
      </c>
      <c r="D164" s="13" t="s">
        <v>336</v>
      </c>
      <c r="E164" s="13" t="s">
        <v>337</v>
      </c>
      <c r="F164" s="13" t="s">
        <v>338</v>
      </c>
      <c r="G164" s="13" t="s">
        <v>339</v>
      </c>
      <c r="I164" s="13" t="s">
        <v>333</v>
      </c>
      <c r="J164" s="13" t="s">
        <v>334</v>
      </c>
      <c r="K164" s="13" t="s">
        <v>335</v>
      </c>
      <c r="L164" s="13" t="s">
        <v>336</v>
      </c>
      <c r="M164" s="13" t="s">
        <v>337</v>
      </c>
      <c r="N164" s="13" t="s">
        <v>338</v>
      </c>
      <c r="O164" s="13" t="s">
        <v>339</v>
      </c>
    </row>
    <row r="165">
      <c r="A165" s="14" t="str">
        <f>data!$E$31&amp;" "&amp;data!$B$31</f>
      </c>
      <c r="B165" s="14" t="str">
        <f>IF(OR(COUNTA(B160,C160,E160,F160)&gt;0,OR(D160="X",D160="x")),IF(OR(D160="X",D160="x",AND(OR(COUNTA(B160,C160,E160,F160)&gt;0,OR(D160="X",D160="x")),(LEN(SUBSTITUTE(SUBSTITUTE(SUBSTITUTE(B160," ",""),"0",""),"-",""))+LEN(SUBSTITUTE(SUBSTITUTE(SUBSTITUTE(C160," ",""),"0",""),"-","")))=(LEN(SUBSTITUTE(SUBSTITUTE(SUBSTITUTE(E160," ",""),"0",""),"-",""))+LEN(SUBSTITUTE(SUBSTITUTE(SUBSTITUTE(F160," ",""),"0",""),"-",""))))),0,(LEN(SUBSTITUTE(SUBSTITUTE(SUBSTITUTE(E160," ",""),"0",""),"-",""))+LEN(SUBSTITUTE(SUBSTITUTE(SUBSTITUTE(F160," ",""),"0",""),"-",""))&gt;LEN(SUBSTITUTE(SUBSTITUTE(SUBSTITUTE(B160," ",""),"0",""),"-",""))+LEN(SUBSTITUTE(SUBSTITUTE(SUBSTITUTE(C160," ",""),"0",""),"-","")))*1),0)+IF(OR(COUNTA(B161,C161,E161,F161)&gt;0,OR(D161="X",D161="x")),IF(OR(D161="X",D161="x",AND(OR(COUNTA(B161,C161,E161,F161)&gt;0,OR(D161="X",D161="x")),(LEN(SUBSTITUTE(SUBSTITUTE(SUBSTITUTE(B161," ",""),"0",""),"-",""))+LEN(SUBSTITUTE(SUBSTITUTE(SUBSTITUTE(C161," ",""),"0",""),"-","")))=(LEN(SUBSTITUTE(SUBSTITUTE(SUBSTITUTE(E161," ",""),"0",""),"-",""))+LEN(SUBSTITUTE(SUBSTITUTE(SUBSTITUTE(F161," ",""),"0",""),"-",""))))),0,(LEN(SUBSTITUTE(SUBSTITUTE(SUBSTITUTE(E161," ",""),"0",""),"-",""))+LEN(SUBSTITUTE(SUBSTITUTE(SUBSTITUTE(F161," ",""),"0",""),"-",""))&gt;LEN(SUBSTITUTE(SUBSTITUTE(SUBSTITUTE(B161," ",""),"0",""),"-",""))+LEN(SUBSTITUTE(SUBSTITUTE(SUBSTITUTE(C161," ",""),"0",""),"-","")))*1),0)</f>
      </c>
      <c r="C165" s="14" t="str">
        <f>IF(OR(COUNTA(B160,C160,E160,F160)&gt;0,OR(D160="X",D160="x")),IF(OR(D160="X",D160="x",AND(OR(COUNTA(B160,C160,E160,F160)&gt;0,OR(D160="X",D160="x")),(LEN(SUBSTITUTE(SUBSTITUTE(SUBSTITUTE(B160," ",""),"0",""),"-",""))+LEN(SUBSTITUTE(SUBSTITUTE(SUBSTITUTE(C160," ",""),"0",""),"-","")))=(LEN(SUBSTITUTE(SUBSTITUTE(SUBSTITUTE(E160," ",""),"0",""),"-",""))+LEN(SUBSTITUTE(SUBSTITUTE(SUBSTITUTE(F160," ",""),"0",""),"-",""))))),0,(LEN(SUBSTITUTE(SUBSTITUTE(SUBSTITUTE(E160," ",""),"0",""),"-",""))+LEN(SUBSTITUTE(SUBSTITUTE(SUBSTITUTE(F160," ",""),"0",""),"-",""))&lt;LEN(SUBSTITUTE(SUBSTITUTE(SUBSTITUTE(B160," ",""),"0",""),"-",""))+LEN(SUBSTITUTE(SUBSTITUTE(SUBSTITUTE(C160," ",""),"0",""),"-","")))*1),0)+IF(OR(COUNTA(B161,C161,E161,F161)&gt;0,OR(D161="X",D161="x")),IF(OR(D161="X",D161="x",AND(OR(COUNTA(B161,C161,E161,F161)&gt;0,OR(D161="X",D161="x")),(LEN(SUBSTITUTE(SUBSTITUTE(SUBSTITUTE(B161," ",""),"0",""),"-",""))+LEN(SUBSTITUTE(SUBSTITUTE(SUBSTITUTE(C161," ",""),"0",""),"-","")))=(LEN(SUBSTITUTE(SUBSTITUTE(SUBSTITUTE(E161," ",""),"0",""),"-",""))+LEN(SUBSTITUTE(SUBSTITUTE(SUBSTITUTE(F161," ",""),"0",""),"-",""))))),0,(LEN(SUBSTITUTE(SUBSTITUTE(SUBSTITUTE(E161," ",""),"0",""),"-",""))+LEN(SUBSTITUTE(SUBSTITUTE(SUBSTITUTE(F161," ",""),"0",""),"-",""))&lt;LEN(SUBSTITUTE(SUBSTITUTE(SUBSTITUTE(B161," ",""),"0",""),"-",""))+LEN(SUBSTITUTE(SUBSTITUTE(SUBSTITUTE(C161," ",""),"0",""),"-","")))*1),0)</f>
      </c>
      <c r="D165" s="14" t="str">
        <f>IF(OR(COUNTA(B160,C160,E160,F160)&gt;0,OR(D160="X",D160="x")),IF(OR(D160="X",D160="x",AND(OR(COUNTA(B160,C160,E160,F160)&gt;0,OR(D160="X",D160="x")),(LEN(SUBSTITUTE(SUBSTITUTE(SUBSTITUTE(B160," ",""),"0",""),"-",""))+LEN(SUBSTITUTE(SUBSTITUTE(SUBSTITUTE(C160," ",""),"0",""),"-","")))=(LEN(SUBSTITUTE(SUBSTITUTE(SUBSTITUTE(E160," ",""),"0",""),"-",""))+LEN(SUBSTITUTE(SUBSTITUTE(SUBSTITUTE(F160," ",""),"0",""),"-",""))))),1,0),0)+IF(OR(COUNTA(B161,C161,E161,F161)&gt;0,OR(D161="X",D161="x")),IF(OR(D161="X",D161="x",AND(OR(COUNTA(B161,C161,E161,F161)&gt;0,OR(D161="X",D161="x")),(LEN(SUBSTITUTE(SUBSTITUTE(SUBSTITUTE(B161," ",""),"0",""),"-",""))+LEN(SUBSTITUTE(SUBSTITUTE(SUBSTITUTE(C161," ",""),"0",""),"-","")))=(LEN(SUBSTITUTE(SUBSTITUTE(SUBSTITUTE(E161," ",""),"0",""),"-",""))+LEN(SUBSTITUTE(SUBSTITUTE(SUBSTITUTE(F161," ",""),"0",""),"-",""))))),1,0),0)</f>
      </c>
      <c r="E165" s="14" t="str">
        <f>LEN(SUBSTITUTE(SUBSTITUTE(SUBSTITUTE(E160," ",""),"0",""),"-",""))+LEN(SUBSTITUTE(SUBSTITUTE(SUBSTITUTE(F160," ",""),"0",""),"-",""))+LEN(SUBSTITUTE(SUBSTITUTE(SUBSTITUTE(E161," ",""),"0",""),"-",""))+LEN(SUBSTITUTE(SUBSTITUTE(SUBSTITUTE(F161," ",""),"0",""),"-",""))</f>
      </c>
      <c r="F165" s="14" t="str">
        <f>LEN(SUBSTITUTE(SUBSTITUTE(SUBSTITUTE(B160," ",""),"0",""),"-",""))+LEN(SUBSTITUTE(SUBSTITUTE(SUBSTITUTE(C160," ",""),"0",""),"-",""))+LEN(SUBSTITUTE(SUBSTITUTE(SUBSTITUTE(B161," ",""),"0",""),"-",""))+LEN(SUBSTITUTE(SUBSTITUTE(SUBSTITUTE(C161," ",""),"0",""),"-",""))</f>
      </c>
      <c r="G165" s="18" t="str">
        <f>RANK(U165,$U$165:$U$167)+COUNTIF($U$164:U164,U165)</f>
      </c>
      <c r="I165" s="14" t="str">
        <f>data!$E$76&amp;" "&amp;data!$B$76</f>
      </c>
      <c r="J165" s="14" t="str">
        <f>IF(OR(COUNTA(J160,K160,M160,N160)&gt;0,OR(L160="X",L160="x")),IF(OR(L160="X",L160="x",AND(OR(COUNTA(J160,K160,M160,N160)&gt;0,OR(L160="X",L160="x")),(LEN(SUBSTITUTE(SUBSTITUTE(SUBSTITUTE(J160," ",""),"0",""),"-",""))+LEN(SUBSTITUTE(SUBSTITUTE(SUBSTITUTE(K160," ",""),"0",""),"-","")))=(LEN(SUBSTITUTE(SUBSTITUTE(SUBSTITUTE(M160," ",""),"0",""),"-",""))+LEN(SUBSTITUTE(SUBSTITUTE(SUBSTITUTE(N160," ",""),"0",""),"-",""))))),0,(LEN(SUBSTITUTE(SUBSTITUTE(SUBSTITUTE(M160," ",""),"0",""),"-",""))+LEN(SUBSTITUTE(SUBSTITUTE(SUBSTITUTE(N160," ",""),"0",""),"-",""))&gt;LEN(SUBSTITUTE(SUBSTITUTE(SUBSTITUTE(J160," ",""),"0",""),"-",""))+LEN(SUBSTITUTE(SUBSTITUTE(SUBSTITUTE(K160," ",""),"0",""),"-","")))*1),0)+IF(OR(COUNTA(J161,K161,M161,N161)&gt;0,OR(L161="X",L161="x")),IF(OR(L161="X",L161="x",AND(OR(COUNTA(J161,K161,M161,N161)&gt;0,OR(L161="X",L161="x")),(LEN(SUBSTITUTE(SUBSTITUTE(SUBSTITUTE(J161," ",""),"0",""),"-",""))+LEN(SUBSTITUTE(SUBSTITUTE(SUBSTITUTE(K161," ",""),"0",""),"-","")))=(LEN(SUBSTITUTE(SUBSTITUTE(SUBSTITUTE(M161," ",""),"0",""),"-",""))+LEN(SUBSTITUTE(SUBSTITUTE(SUBSTITUTE(N161," ",""),"0",""),"-",""))))),0,(LEN(SUBSTITUTE(SUBSTITUTE(SUBSTITUTE(M161," ",""),"0",""),"-",""))+LEN(SUBSTITUTE(SUBSTITUTE(SUBSTITUTE(N161," ",""),"0",""),"-",""))&gt;LEN(SUBSTITUTE(SUBSTITUTE(SUBSTITUTE(J161," ",""),"0",""),"-",""))+LEN(SUBSTITUTE(SUBSTITUTE(SUBSTITUTE(K161," ",""),"0",""),"-","")))*1),0)</f>
      </c>
      <c r="K165" s="14" t="str">
        <f>IF(OR(COUNTA(J160,K160,M160,N160)&gt;0,OR(L160="X",L160="x")),IF(OR(L160="X",L160="x",AND(OR(COUNTA(J160,K160,M160,N160)&gt;0,OR(L160="X",L160="x")),(LEN(SUBSTITUTE(SUBSTITUTE(SUBSTITUTE(J160," ",""),"0",""),"-",""))+LEN(SUBSTITUTE(SUBSTITUTE(SUBSTITUTE(K160," ",""),"0",""),"-","")))=(LEN(SUBSTITUTE(SUBSTITUTE(SUBSTITUTE(M160," ",""),"0",""),"-",""))+LEN(SUBSTITUTE(SUBSTITUTE(SUBSTITUTE(N160," ",""),"0",""),"-",""))))),0,(LEN(SUBSTITUTE(SUBSTITUTE(SUBSTITUTE(M160," ",""),"0",""),"-",""))+LEN(SUBSTITUTE(SUBSTITUTE(SUBSTITUTE(N160," ",""),"0",""),"-",""))&lt;LEN(SUBSTITUTE(SUBSTITUTE(SUBSTITUTE(J160," ",""),"0",""),"-",""))+LEN(SUBSTITUTE(SUBSTITUTE(SUBSTITUTE(K160," ",""),"0",""),"-","")))*1),0)+IF(OR(COUNTA(J161,K161,M161,N161)&gt;0,OR(L161="X",L161="x")),IF(OR(L161="X",L161="x",AND(OR(COUNTA(J161,K161,M161,N161)&gt;0,OR(L161="X",L161="x")),(LEN(SUBSTITUTE(SUBSTITUTE(SUBSTITUTE(J161," ",""),"0",""),"-",""))+LEN(SUBSTITUTE(SUBSTITUTE(SUBSTITUTE(K161," ",""),"0",""),"-","")))=(LEN(SUBSTITUTE(SUBSTITUTE(SUBSTITUTE(M161," ",""),"0",""),"-",""))+LEN(SUBSTITUTE(SUBSTITUTE(SUBSTITUTE(N161," ",""),"0",""),"-",""))))),0,(LEN(SUBSTITUTE(SUBSTITUTE(SUBSTITUTE(M161," ",""),"0",""),"-",""))+LEN(SUBSTITUTE(SUBSTITUTE(SUBSTITUTE(N161," ",""),"0",""),"-",""))&lt;LEN(SUBSTITUTE(SUBSTITUTE(SUBSTITUTE(J161," ",""),"0",""),"-",""))+LEN(SUBSTITUTE(SUBSTITUTE(SUBSTITUTE(K161," ",""),"0",""),"-","")))*1),0)</f>
      </c>
      <c r="L165" s="14" t="str">
        <f>IF(OR(COUNTA(J160,K160,M160,N160)&gt;0,OR(L160="X",L160="x")),IF(OR(L160="X",L160="x",AND(OR(COUNTA(J160,K160,M160,N160)&gt;0,OR(L160="X",L160="x")),(LEN(SUBSTITUTE(SUBSTITUTE(SUBSTITUTE(J160," ",""),"0",""),"-",""))+LEN(SUBSTITUTE(SUBSTITUTE(SUBSTITUTE(K160," ",""),"0",""),"-","")))=(LEN(SUBSTITUTE(SUBSTITUTE(SUBSTITUTE(M160," ",""),"0",""),"-",""))+LEN(SUBSTITUTE(SUBSTITUTE(SUBSTITUTE(N160," ",""),"0",""),"-",""))))),1,0),0)+IF(OR(COUNTA(J161,K161,M161,N161)&gt;0,OR(L161="X",L161="x")),IF(OR(L161="X",L161="x",AND(OR(COUNTA(J161,K161,M161,N161)&gt;0,OR(L161="X",L161="x")),(LEN(SUBSTITUTE(SUBSTITUTE(SUBSTITUTE(J161," ",""),"0",""),"-",""))+LEN(SUBSTITUTE(SUBSTITUTE(SUBSTITUTE(K161," ",""),"0",""),"-","")))=(LEN(SUBSTITUTE(SUBSTITUTE(SUBSTITUTE(M161," ",""),"0",""),"-",""))+LEN(SUBSTITUTE(SUBSTITUTE(SUBSTITUTE(N161," ",""),"0",""),"-",""))))),1,0),0)</f>
      </c>
      <c r="M165" s="14" t="str">
        <f>LEN(SUBSTITUTE(SUBSTITUTE(SUBSTITUTE(M160," ",""),"0",""),"-",""))+LEN(SUBSTITUTE(SUBSTITUTE(SUBSTITUTE(N160," ",""),"0",""),"-",""))+LEN(SUBSTITUTE(SUBSTITUTE(SUBSTITUTE(M161," ",""),"0",""),"-",""))+LEN(SUBSTITUTE(SUBSTITUTE(SUBSTITUTE(N161," ",""),"0",""),"-",""))</f>
      </c>
      <c r="N165" s="14" t="str">
        <f>LEN(SUBSTITUTE(SUBSTITUTE(SUBSTITUTE(J160," ",""),"0",""),"-",""))+LEN(SUBSTITUTE(SUBSTITUTE(SUBSTITUTE(K160," ",""),"0",""),"-",""))+LEN(SUBSTITUTE(SUBSTITUTE(SUBSTITUTE(J161," ",""),"0",""),"-",""))+LEN(SUBSTITUTE(SUBSTITUTE(SUBSTITUTE(K161," ",""),"0",""),"-",""))</f>
      </c>
      <c r="O165" s="18" t="str">
        <f>RANK(AC165,$AC$165:$AC$167)+COUNTIF($AC$164:AC164,AC165)</f>
      </c>
      <c r="U165" t="str">
        <f>(B165*1000000)-(C165*10000)+(D165*100)+(E165*1)-(F165*0.01)</f>
      </c>
      <c r="AC165" t="str">
        <f>(J165*1000000)-(K165*10000)+(L165*100)+(M165*1)-(N165*0.01)</f>
      </c>
    </row>
    <row r="166">
      <c r="A166" s="14" t="str">
        <f>data!$E$32&amp;" "&amp;data!$B$32</f>
      </c>
      <c r="B166" s="14" t="str">
        <f>IF(OR(COUNTA(B160,C160,E160,F160)&gt;0,OR(D160="X",D160="x")),IF(OR(D160="X",D160="x",AND(OR(COUNTA(B160,C160,E160,F160)&gt;0,OR(D160="X",D160="x")),(LEN(SUBSTITUTE(SUBSTITUTE(SUBSTITUTE(B160," ",""),"0",""),"-",""))+LEN(SUBSTITUTE(SUBSTITUTE(SUBSTITUTE(C160," ",""),"0",""),"-","")))=(LEN(SUBSTITUTE(SUBSTITUTE(SUBSTITUTE(E160," ",""),"0",""),"-",""))+LEN(SUBSTITUTE(SUBSTITUTE(SUBSTITUTE(F160," ",""),"0",""),"-",""))))),0,(LEN(SUBSTITUTE(SUBSTITUTE(SUBSTITUTE(B160," ",""),"0",""),"-",""))+LEN(SUBSTITUTE(SUBSTITUTE(SUBSTITUTE(C160," ",""),"0",""),"-",""))&gt;LEN(SUBSTITUTE(SUBSTITUTE(SUBSTITUTE(E160," ",""),"0",""),"-",""))+LEN(SUBSTITUTE(SUBSTITUTE(SUBSTITUTE(F160," ",""),"0",""),"-","")))*1),0)+IF(OR(COUNTA(B162,C162,E162,F162)&gt;0,OR(D162="X",D162="x")),IF(OR(D162="X",D162="x",AND(OR(COUNTA(B162,C162,E162,F162)&gt;0,OR(D162="X",D162="x")),(LEN(SUBSTITUTE(SUBSTITUTE(SUBSTITUTE(B162," ",""),"0",""),"-",""))+LEN(SUBSTITUTE(SUBSTITUTE(SUBSTITUTE(C162," ",""),"0",""),"-","")))=(LEN(SUBSTITUTE(SUBSTITUTE(SUBSTITUTE(E162," ",""),"0",""),"-",""))+LEN(SUBSTITUTE(SUBSTITUTE(SUBSTITUTE(F162," ",""),"0",""),"-",""))))),0,(LEN(SUBSTITUTE(SUBSTITUTE(SUBSTITUTE(E162," ",""),"0",""),"-",""))+LEN(SUBSTITUTE(SUBSTITUTE(SUBSTITUTE(F162," ",""),"0",""),"-",""))&gt;LEN(SUBSTITUTE(SUBSTITUTE(SUBSTITUTE(B162," ",""),"0",""),"-",""))+LEN(SUBSTITUTE(SUBSTITUTE(SUBSTITUTE(C162," ",""),"0",""),"-","")))*1),0)</f>
      </c>
      <c r="C166" s="14" t="str">
        <f>IF(OR(COUNTA(B160,C160,E160,F160)&gt;0,OR(D160="X",D160="x")),IF(OR(D160="X",D160="x",AND(OR(COUNTA(B160,C160,E160,F160)&gt;0,OR(D160="X",D160="x")),(LEN(SUBSTITUTE(SUBSTITUTE(SUBSTITUTE(B160," ",""),"0",""),"-",""))+LEN(SUBSTITUTE(SUBSTITUTE(SUBSTITUTE(C160," ",""),"0",""),"-","")))=(LEN(SUBSTITUTE(SUBSTITUTE(SUBSTITUTE(E160," ",""),"0",""),"-",""))+LEN(SUBSTITUTE(SUBSTITUTE(SUBSTITUTE(F160," ",""),"0",""),"-",""))))),0,(LEN(SUBSTITUTE(SUBSTITUTE(SUBSTITUTE(B160," ",""),"0",""),"-",""))+LEN(SUBSTITUTE(SUBSTITUTE(SUBSTITUTE(C160," ",""),"0",""),"-",""))&lt;LEN(SUBSTITUTE(SUBSTITUTE(SUBSTITUTE(E160," ",""),"0",""),"-",""))+LEN(SUBSTITUTE(SUBSTITUTE(SUBSTITUTE(F160," ",""),"0",""),"-","")))*1),0)+IF(OR(COUNTA(B162,C162,E162,F162)&gt;0,OR(D162="X",D162="x")),IF(OR(D162="X",D162="x",AND(OR(COUNTA(B162,C162,E162,F162)&gt;0,OR(D162="X",D162="x")),(LEN(SUBSTITUTE(SUBSTITUTE(SUBSTITUTE(B162," ",""),"0",""),"-",""))+LEN(SUBSTITUTE(SUBSTITUTE(SUBSTITUTE(C162," ",""),"0",""),"-","")))=(LEN(SUBSTITUTE(SUBSTITUTE(SUBSTITUTE(E162," ",""),"0",""),"-",""))+LEN(SUBSTITUTE(SUBSTITUTE(SUBSTITUTE(F162," ",""),"0",""),"-",""))))),0,(LEN(SUBSTITUTE(SUBSTITUTE(SUBSTITUTE(E162," ",""),"0",""),"-",""))+LEN(SUBSTITUTE(SUBSTITUTE(SUBSTITUTE(F162," ",""),"0",""),"-",""))&lt;LEN(SUBSTITUTE(SUBSTITUTE(SUBSTITUTE(B162," ",""),"0",""),"-",""))+LEN(SUBSTITUTE(SUBSTITUTE(SUBSTITUTE(C162," ",""),"0",""),"-","")))*1),0)</f>
      </c>
      <c r="D166" s="14" t="str">
        <f>IF(OR(COUNTA(B160,C160,E160,F160)&gt;0,OR(D160="X",D160="x")),IF(OR(D160="X",D160="x",AND(OR(COUNTA(B160,C160,E160,F160)&gt;0,OR(D160="X",D160="x")),(LEN(SUBSTITUTE(SUBSTITUTE(SUBSTITUTE(B160," ",""),"0",""),"-",""))+LEN(SUBSTITUTE(SUBSTITUTE(SUBSTITUTE(C160," ",""),"0",""),"-","")))=(LEN(SUBSTITUTE(SUBSTITUTE(SUBSTITUTE(E160," ",""),"0",""),"-",""))+LEN(SUBSTITUTE(SUBSTITUTE(SUBSTITUTE(F160," ",""),"0",""),"-",""))))),1,0),0)+IF(OR(COUNTA(B162,C162,E162,F162)&gt;0,OR(D162="X",D162="x")),IF(OR(D162="X",D162="x",AND(OR(COUNTA(B162,C162,E162,F162)&gt;0,OR(D162="X",D162="x")),(LEN(SUBSTITUTE(SUBSTITUTE(SUBSTITUTE(B162," ",""),"0",""),"-",""))+LEN(SUBSTITUTE(SUBSTITUTE(SUBSTITUTE(C162," ",""),"0",""),"-","")))=(LEN(SUBSTITUTE(SUBSTITUTE(SUBSTITUTE(E162," ",""),"0",""),"-",""))+LEN(SUBSTITUTE(SUBSTITUTE(SUBSTITUTE(F162," ",""),"0",""),"-",""))))),1,0),0)</f>
      </c>
      <c r="E166" s="14" t="str">
        <f>LEN(SUBSTITUTE(SUBSTITUTE(SUBSTITUTE(B160," ",""),"0",""),"-",""))+LEN(SUBSTITUTE(SUBSTITUTE(SUBSTITUTE(C160," ",""),"0",""),"-",""))+LEN(SUBSTITUTE(SUBSTITUTE(SUBSTITUTE(E162," ",""),"0",""),"-",""))+LEN(SUBSTITUTE(SUBSTITUTE(SUBSTITUTE(F162," ",""),"0",""),"-",""))</f>
      </c>
      <c r="F166" s="14" t="str">
        <f>LEN(SUBSTITUTE(SUBSTITUTE(SUBSTITUTE(E160," ",""),"0",""),"-",""))+LEN(SUBSTITUTE(SUBSTITUTE(SUBSTITUTE(F160," ",""),"0",""),"-",""))+LEN(SUBSTITUTE(SUBSTITUTE(SUBSTITUTE(B162," ",""),"0",""),"-",""))+LEN(SUBSTITUTE(SUBSTITUTE(SUBSTITUTE(C162," ",""),"0",""),"-",""))</f>
      </c>
      <c r="G166" s="18" t="str">
        <f>RANK(U166,$U$165:$U$167)+COUNTIF($U$164:U165,U166)</f>
      </c>
      <c r="I166" s="14" t="str">
        <f>data!$E$77&amp;" "&amp;data!$B$77</f>
      </c>
      <c r="J166" s="14" t="str">
        <f>IF(OR(COUNTA(J160,K160,M160,N160)&gt;0,OR(L160="X",L160="x")),IF(OR(L160="X",L160="x",AND(OR(COUNTA(J160,K160,M160,N160)&gt;0,OR(L160="X",L160="x")),(LEN(SUBSTITUTE(SUBSTITUTE(SUBSTITUTE(J160," ",""),"0",""),"-",""))+LEN(SUBSTITUTE(SUBSTITUTE(SUBSTITUTE(K160," ",""),"0",""),"-","")))=(LEN(SUBSTITUTE(SUBSTITUTE(SUBSTITUTE(M160," ",""),"0",""),"-",""))+LEN(SUBSTITUTE(SUBSTITUTE(SUBSTITUTE(N160," ",""),"0",""),"-",""))))),0,(LEN(SUBSTITUTE(SUBSTITUTE(SUBSTITUTE(J160," ",""),"0",""),"-",""))+LEN(SUBSTITUTE(SUBSTITUTE(SUBSTITUTE(K160," ",""),"0",""),"-",""))&gt;LEN(SUBSTITUTE(SUBSTITUTE(SUBSTITUTE(M160," ",""),"0",""),"-",""))+LEN(SUBSTITUTE(SUBSTITUTE(SUBSTITUTE(N160," ",""),"0",""),"-","")))*1),0)+IF(OR(COUNTA(J162,K162,M162,N162)&gt;0,OR(L162="X",L162="x")),IF(OR(L162="X",L162="x",AND(OR(COUNTA(J162,K162,M162,N162)&gt;0,OR(L162="X",L162="x")),(LEN(SUBSTITUTE(SUBSTITUTE(SUBSTITUTE(J162," ",""),"0",""),"-",""))+LEN(SUBSTITUTE(SUBSTITUTE(SUBSTITUTE(K162," ",""),"0",""),"-","")))=(LEN(SUBSTITUTE(SUBSTITUTE(SUBSTITUTE(M162," ",""),"0",""),"-",""))+LEN(SUBSTITUTE(SUBSTITUTE(SUBSTITUTE(N162," ",""),"0",""),"-",""))))),0,(LEN(SUBSTITUTE(SUBSTITUTE(SUBSTITUTE(M162," ",""),"0",""),"-",""))+LEN(SUBSTITUTE(SUBSTITUTE(SUBSTITUTE(N162," ",""),"0",""),"-",""))&gt;LEN(SUBSTITUTE(SUBSTITUTE(SUBSTITUTE(J162," ",""),"0",""),"-",""))+LEN(SUBSTITUTE(SUBSTITUTE(SUBSTITUTE(K162," ",""),"0",""),"-","")))*1),0)</f>
      </c>
      <c r="K166" s="14" t="str">
        <f>IF(OR(COUNTA(J160,K160,M160,N160)&gt;0,OR(L160="X",L160="x")),IF(OR(L160="X",L160="x",AND(OR(COUNTA(J160,K160,M160,N160)&gt;0,OR(L160="X",L160="x")),(LEN(SUBSTITUTE(SUBSTITUTE(SUBSTITUTE(J160," ",""),"0",""),"-",""))+LEN(SUBSTITUTE(SUBSTITUTE(SUBSTITUTE(K160," ",""),"0",""),"-","")))=(LEN(SUBSTITUTE(SUBSTITUTE(SUBSTITUTE(M160," ",""),"0",""),"-",""))+LEN(SUBSTITUTE(SUBSTITUTE(SUBSTITUTE(N160," ",""),"0",""),"-",""))))),0,(LEN(SUBSTITUTE(SUBSTITUTE(SUBSTITUTE(J160," ",""),"0",""),"-",""))+LEN(SUBSTITUTE(SUBSTITUTE(SUBSTITUTE(K160," ",""),"0",""),"-",""))&lt;LEN(SUBSTITUTE(SUBSTITUTE(SUBSTITUTE(M160," ",""),"0",""),"-",""))+LEN(SUBSTITUTE(SUBSTITUTE(SUBSTITUTE(N160," ",""),"0",""),"-","")))*1),0)+IF(OR(COUNTA(J162,K162,M162,N162)&gt;0,OR(L162="X",L162="x")),IF(OR(L162="X",L162="x",AND(OR(COUNTA(J162,K162,M162,N162)&gt;0,OR(L162="X",L162="x")),(LEN(SUBSTITUTE(SUBSTITUTE(SUBSTITUTE(J162," ",""),"0",""),"-",""))+LEN(SUBSTITUTE(SUBSTITUTE(SUBSTITUTE(K162," ",""),"0",""),"-","")))=(LEN(SUBSTITUTE(SUBSTITUTE(SUBSTITUTE(M162," ",""),"0",""),"-",""))+LEN(SUBSTITUTE(SUBSTITUTE(SUBSTITUTE(N162," ",""),"0",""),"-",""))))),0,(LEN(SUBSTITUTE(SUBSTITUTE(SUBSTITUTE(M162," ",""),"0",""),"-",""))+LEN(SUBSTITUTE(SUBSTITUTE(SUBSTITUTE(N162," ",""),"0",""),"-",""))&lt;LEN(SUBSTITUTE(SUBSTITUTE(SUBSTITUTE(J162," ",""),"0",""),"-",""))+LEN(SUBSTITUTE(SUBSTITUTE(SUBSTITUTE(K162," ",""),"0",""),"-","")))*1),0)</f>
      </c>
      <c r="L166" s="14" t="str">
        <f>IF(OR(COUNTA(J160,K160,M160,N160)&gt;0,OR(L160="X",L160="x")),IF(OR(L160="X",L160="x",AND(OR(COUNTA(J160,K160,M160,N160)&gt;0,OR(L160="X",L160="x")),(LEN(SUBSTITUTE(SUBSTITUTE(SUBSTITUTE(J160," ",""),"0",""),"-",""))+LEN(SUBSTITUTE(SUBSTITUTE(SUBSTITUTE(K160," ",""),"0",""),"-","")))=(LEN(SUBSTITUTE(SUBSTITUTE(SUBSTITUTE(M160," ",""),"0",""),"-",""))+LEN(SUBSTITUTE(SUBSTITUTE(SUBSTITUTE(N160," ",""),"0",""),"-",""))))),1,0),0)+IF(OR(COUNTA(J162,K162,M162,N162)&gt;0,OR(L162="X",L162="x")),IF(OR(L162="X",L162="x",AND(OR(COUNTA(J162,K162,M162,N162)&gt;0,OR(L162="X",L162="x")),(LEN(SUBSTITUTE(SUBSTITUTE(SUBSTITUTE(J162," ",""),"0",""),"-",""))+LEN(SUBSTITUTE(SUBSTITUTE(SUBSTITUTE(K162," ",""),"0",""),"-","")))=(LEN(SUBSTITUTE(SUBSTITUTE(SUBSTITUTE(M162," ",""),"0",""),"-",""))+LEN(SUBSTITUTE(SUBSTITUTE(SUBSTITUTE(N162," ",""),"0",""),"-",""))))),1,0),0)</f>
      </c>
      <c r="M166" s="14" t="str">
        <f>LEN(SUBSTITUTE(SUBSTITUTE(SUBSTITUTE(J160," ",""),"0",""),"-",""))+LEN(SUBSTITUTE(SUBSTITUTE(SUBSTITUTE(K160," ",""),"0",""),"-",""))+LEN(SUBSTITUTE(SUBSTITUTE(SUBSTITUTE(M162," ",""),"0",""),"-",""))+LEN(SUBSTITUTE(SUBSTITUTE(SUBSTITUTE(N162," ",""),"0",""),"-",""))</f>
      </c>
      <c r="N166" s="14" t="str">
        <f>LEN(SUBSTITUTE(SUBSTITUTE(SUBSTITUTE(M160," ",""),"0",""),"-",""))+LEN(SUBSTITUTE(SUBSTITUTE(SUBSTITUTE(N160," ",""),"0",""),"-",""))+LEN(SUBSTITUTE(SUBSTITUTE(SUBSTITUTE(J162," ",""),"0",""),"-",""))+LEN(SUBSTITUTE(SUBSTITUTE(SUBSTITUTE(K162," ",""),"0",""),"-",""))</f>
      </c>
      <c r="O166" s="18" t="str">
        <f>RANK(AC166,$AC$165:$AC$167)+COUNTIF($AC$164:AC165,AC166)</f>
      </c>
      <c r="U166" t="str">
        <f>(B166*1000000)-(C166*10000)+(D166*100)+(E166*1)-(F166*0.01)</f>
      </c>
      <c r="AC166" t="str">
        <f>(J166*1000000)-(K166*10000)+(L166*100)+(M166*1)-(N166*0.01)</f>
      </c>
    </row>
    <row r="167">
      <c r="A167" s="14" t="str">
        <f>data!$E$33&amp;" "&amp;data!$B$33</f>
      </c>
      <c r="B167" s="14" t="str">
        <f>IF(OR(COUNTA(B161,C161,E161,F161)&gt;0,OR(D161="X",D161="x")),IF(OR(D161="X",D161="x",AND(OR(COUNTA(B161,C161,E161,F161)&gt;0,OR(D161="X",D161="x")),(LEN(SUBSTITUTE(SUBSTITUTE(SUBSTITUTE(B161," ",""),"0",""),"-",""))+LEN(SUBSTITUTE(SUBSTITUTE(SUBSTITUTE(C161," ",""),"0",""),"-","")))=(LEN(SUBSTITUTE(SUBSTITUTE(SUBSTITUTE(E161," ",""),"0",""),"-",""))+LEN(SUBSTITUTE(SUBSTITUTE(SUBSTITUTE(F161," ",""),"0",""),"-",""))))),0,(LEN(SUBSTITUTE(SUBSTITUTE(SUBSTITUTE(B161," ",""),"0",""),"-",""))+LEN(SUBSTITUTE(SUBSTITUTE(SUBSTITUTE(C161," ",""),"0",""),"-",""))&gt;LEN(SUBSTITUTE(SUBSTITUTE(SUBSTITUTE(E161," ",""),"0",""),"-",""))+LEN(SUBSTITUTE(SUBSTITUTE(SUBSTITUTE(F161," ",""),"0",""),"-","")))*1),0)+IF(OR(COUNTA(B162,C162,E162,F162)&gt;0,OR(D162="X",D162="x")),IF(OR(D162="X",D162="x",AND(OR(COUNTA(B162,C162,E162,F162)&gt;0,OR(D162="X",D162="x")),(LEN(SUBSTITUTE(SUBSTITUTE(SUBSTITUTE(B162," ",""),"0",""),"-",""))+LEN(SUBSTITUTE(SUBSTITUTE(SUBSTITUTE(C162," ",""),"0",""),"-","")))=(LEN(SUBSTITUTE(SUBSTITUTE(SUBSTITUTE(E162," ",""),"0",""),"-",""))+LEN(SUBSTITUTE(SUBSTITUTE(SUBSTITUTE(F162," ",""),"0",""),"-",""))))),0,(LEN(SUBSTITUTE(SUBSTITUTE(SUBSTITUTE(B162," ",""),"0",""),"-",""))+LEN(SUBSTITUTE(SUBSTITUTE(SUBSTITUTE(C162," ",""),"0",""),"-",""))&gt;LEN(SUBSTITUTE(SUBSTITUTE(SUBSTITUTE(E162," ",""),"0",""),"-",""))+LEN(SUBSTITUTE(SUBSTITUTE(SUBSTITUTE(F162," ",""),"0",""),"-","")))*1),0)</f>
      </c>
      <c r="C167" s="14" t="str">
        <f>IF(OR(COUNTA(B161,C161,E161,F161)&gt;0,OR(D161="X",D161="x")),IF(OR(D161="X",D161="x",AND(OR(COUNTA(B161,C161,E161,F161)&gt;0,OR(D161="X",D161="x")),(LEN(SUBSTITUTE(SUBSTITUTE(SUBSTITUTE(B161," ",""),"0",""),"-",""))+LEN(SUBSTITUTE(SUBSTITUTE(SUBSTITUTE(C161," ",""),"0",""),"-","")))=(LEN(SUBSTITUTE(SUBSTITUTE(SUBSTITUTE(E161," ",""),"0",""),"-",""))+LEN(SUBSTITUTE(SUBSTITUTE(SUBSTITUTE(F161," ",""),"0",""),"-",""))))),0,(LEN(SUBSTITUTE(SUBSTITUTE(SUBSTITUTE(B161," ",""),"0",""),"-",""))+LEN(SUBSTITUTE(SUBSTITUTE(SUBSTITUTE(C161," ",""),"0",""),"-",""))&lt;LEN(SUBSTITUTE(SUBSTITUTE(SUBSTITUTE(E161," ",""),"0",""),"-",""))+LEN(SUBSTITUTE(SUBSTITUTE(SUBSTITUTE(F161," ",""),"0",""),"-","")))*1),0)+IF(OR(COUNTA(B162,C162,E162,F162)&gt;0,OR(D162="X",D162="x")),IF(OR(D162="X",D162="x",AND(OR(COUNTA(B162,C162,E162,F162)&gt;0,OR(D162="X",D162="x")),(LEN(SUBSTITUTE(SUBSTITUTE(SUBSTITUTE(B162," ",""),"0",""),"-",""))+LEN(SUBSTITUTE(SUBSTITUTE(SUBSTITUTE(C162," ",""),"0",""),"-","")))=(LEN(SUBSTITUTE(SUBSTITUTE(SUBSTITUTE(E162," ",""),"0",""),"-",""))+LEN(SUBSTITUTE(SUBSTITUTE(SUBSTITUTE(F162," ",""),"0",""),"-",""))))),0,(LEN(SUBSTITUTE(SUBSTITUTE(SUBSTITUTE(B162," ",""),"0",""),"-",""))+LEN(SUBSTITUTE(SUBSTITUTE(SUBSTITUTE(C162," ",""),"0",""),"-",""))&lt;LEN(SUBSTITUTE(SUBSTITUTE(SUBSTITUTE(E162," ",""),"0",""),"-",""))+LEN(SUBSTITUTE(SUBSTITUTE(SUBSTITUTE(F162," ",""),"0",""),"-","")))*1),0)</f>
      </c>
      <c r="D167" s="14" t="str">
        <f>IF(OR(COUNTA(B161,C161,E161,F161)&gt;0,OR(D161="X",D161="x")),IF(OR(D161="X",D161="x",AND(OR(COUNTA(B161,C161,E161,F161)&gt;0,OR(D161="X",D161="x")),(LEN(SUBSTITUTE(SUBSTITUTE(SUBSTITUTE(B161," ",""),"0",""),"-",""))+LEN(SUBSTITUTE(SUBSTITUTE(SUBSTITUTE(C161," ",""),"0",""),"-","")))=(LEN(SUBSTITUTE(SUBSTITUTE(SUBSTITUTE(E161," ",""),"0",""),"-",""))+LEN(SUBSTITUTE(SUBSTITUTE(SUBSTITUTE(F161," ",""),"0",""),"-",""))))),1,0),0)+IF(OR(COUNTA(B162,C162,E162,F162)&gt;0,OR(D162="X",D162="x")),IF(OR(D162="X",D162="x",AND(OR(COUNTA(B162,C162,E162,F162)&gt;0,OR(D162="X",D162="x")),(LEN(SUBSTITUTE(SUBSTITUTE(SUBSTITUTE(B162," ",""),"0",""),"-",""))+LEN(SUBSTITUTE(SUBSTITUTE(SUBSTITUTE(C162," ",""),"0",""),"-","")))=(LEN(SUBSTITUTE(SUBSTITUTE(SUBSTITUTE(E162," ",""),"0",""),"-",""))+LEN(SUBSTITUTE(SUBSTITUTE(SUBSTITUTE(F162," ",""),"0",""),"-",""))))),1,0),0)</f>
      </c>
      <c r="E167" s="14" t="str">
        <f>LEN(SUBSTITUTE(SUBSTITUTE(SUBSTITUTE(B161," ",""),"0",""),"-",""))+LEN(SUBSTITUTE(SUBSTITUTE(SUBSTITUTE(C161," ",""),"0",""),"-",""))+LEN(SUBSTITUTE(SUBSTITUTE(SUBSTITUTE(B162," ",""),"0",""),"-",""))+LEN(SUBSTITUTE(SUBSTITUTE(SUBSTITUTE(C162," ",""),"0",""),"-",""))</f>
      </c>
      <c r="F167" s="14" t="str">
        <f>LEN(SUBSTITUTE(SUBSTITUTE(SUBSTITUTE(E161," ",""),"0",""),"-",""))+LEN(SUBSTITUTE(SUBSTITUTE(SUBSTITUTE(F161," ",""),"0",""),"-",""))+LEN(SUBSTITUTE(SUBSTITUTE(SUBSTITUTE(E162," ",""),"0",""),"-",""))+LEN(SUBSTITUTE(SUBSTITUTE(SUBSTITUTE(F162," ",""),"0",""),"-",""))</f>
      </c>
      <c r="G167" s="18" t="str">
        <f>RANK(U167,$U$165:$U$167)+COUNTIF($U$164:U166,U167)</f>
      </c>
      <c r="I167" s="14" t="str">
        <f>data!$E$78&amp;" "&amp;data!$B$78</f>
      </c>
      <c r="J167" s="14" t="str">
        <f>IF(OR(COUNTA(J161,K161,M161,N161)&gt;0,OR(L161="X",L161="x")),IF(OR(L161="X",L161="x",AND(OR(COUNTA(J161,K161,M161,N161)&gt;0,OR(L161="X",L161="x")),(LEN(SUBSTITUTE(SUBSTITUTE(SUBSTITUTE(J161," ",""),"0",""),"-",""))+LEN(SUBSTITUTE(SUBSTITUTE(SUBSTITUTE(K161," ",""),"0",""),"-","")))=(LEN(SUBSTITUTE(SUBSTITUTE(SUBSTITUTE(M161," ",""),"0",""),"-",""))+LEN(SUBSTITUTE(SUBSTITUTE(SUBSTITUTE(N161," ",""),"0",""),"-",""))))),0,(LEN(SUBSTITUTE(SUBSTITUTE(SUBSTITUTE(J161," ",""),"0",""),"-",""))+LEN(SUBSTITUTE(SUBSTITUTE(SUBSTITUTE(K161," ",""),"0",""),"-",""))&gt;LEN(SUBSTITUTE(SUBSTITUTE(SUBSTITUTE(M161," ",""),"0",""),"-",""))+LEN(SUBSTITUTE(SUBSTITUTE(SUBSTITUTE(N161," ",""),"0",""),"-","")))*1),0)+IF(OR(COUNTA(J162,K162,M162,N162)&gt;0,OR(L162="X",L162="x")),IF(OR(L162="X",L162="x",AND(OR(COUNTA(J162,K162,M162,N162)&gt;0,OR(L162="X",L162="x")),(LEN(SUBSTITUTE(SUBSTITUTE(SUBSTITUTE(J162," ",""),"0",""),"-",""))+LEN(SUBSTITUTE(SUBSTITUTE(SUBSTITUTE(K162," ",""),"0",""),"-","")))=(LEN(SUBSTITUTE(SUBSTITUTE(SUBSTITUTE(M162," ",""),"0",""),"-",""))+LEN(SUBSTITUTE(SUBSTITUTE(SUBSTITUTE(N162," ",""),"0",""),"-",""))))),0,(LEN(SUBSTITUTE(SUBSTITUTE(SUBSTITUTE(J162," ",""),"0",""),"-",""))+LEN(SUBSTITUTE(SUBSTITUTE(SUBSTITUTE(K162," ",""),"0",""),"-",""))&gt;LEN(SUBSTITUTE(SUBSTITUTE(SUBSTITUTE(M162," ",""),"0",""),"-",""))+LEN(SUBSTITUTE(SUBSTITUTE(SUBSTITUTE(N162," ",""),"0",""),"-","")))*1),0)</f>
      </c>
      <c r="K167" s="14" t="str">
        <f>IF(OR(COUNTA(J161,K161,M161,N161)&gt;0,OR(L161="X",L161="x")),IF(OR(L161="X",L161="x",AND(OR(COUNTA(J161,K161,M161,N161)&gt;0,OR(L161="X",L161="x")),(LEN(SUBSTITUTE(SUBSTITUTE(SUBSTITUTE(J161," ",""),"0",""),"-",""))+LEN(SUBSTITUTE(SUBSTITUTE(SUBSTITUTE(K161," ",""),"0",""),"-","")))=(LEN(SUBSTITUTE(SUBSTITUTE(SUBSTITUTE(M161," ",""),"0",""),"-",""))+LEN(SUBSTITUTE(SUBSTITUTE(SUBSTITUTE(N161," ",""),"0",""),"-",""))))),0,(LEN(SUBSTITUTE(SUBSTITUTE(SUBSTITUTE(J161," ",""),"0",""),"-",""))+LEN(SUBSTITUTE(SUBSTITUTE(SUBSTITUTE(K161," ",""),"0",""),"-",""))&lt;LEN(SUBSTITUTE(SUBSTITUTE(SUBSTITUTE(M161," ",""),"0",""),"-",""))+LEN(SUBSTITUTE(SUBSTITUTE(SUBSTITUTE(N161," ",""),"0",""),"-","")))*1),0)+IF(OR(COUNTA(J162,K162,M162,N162)&gt;0,OR(L162="X",L162="x")),IF(OR(L162="X",L162="x",AND(OR(COUNTA(J162,K162,M162,N162)&gt;0,OR(L162="X",L162="x")),(LEN(SUBSTITUTE(SUBSTITUTE(SUBSTITUTE(J162," ",""),"0",""),"-",""))+LEN(SUBSTITUTE(SUBSTITUTE(SUBSTITUTE(K162," ",""),"0",""),"-","")))=(LEN(SUBSTITUTE(SUBSTITUTE(SUBSTITUTE(M162," ",""),"0",""),"-",""))+LEN(SUBSTITUTE(SUBSTITUTE(SUBSTITUTE(N162," ",""),"0",""),"-",""))))),0,(LEN(SUBSTITUTE(SUBSTITUTE(SUBSTITUTE(J162," ",""),"0",""),"-",""))+LEN(SUBSTITUTE(SUBSTITUTE(SUBSTITUTE(K162," ",""),"0",""),"-",""))&lt;LEN(SUBSTITUTE(SUBSTITUTE(SUBSTITUTE(M162," ",""),"0",""),"-",""))+LEN(SUBSTITUTE(SUBSTITUTE(SUBSTITUTE(N162," ",""),"0",""),"-","")))*1),0)</f>
      </c>
      <c r="L167" s="14" t="str">
        <f>IF(OR(COUNTA(J161,K161,M161,N161)&gt;0,OR(L161="X",L161="x")),IF(OR(L161="X",L161="x",AND(OR(COUNTA(J161,K161,M161,N161)&gt;0,OR(L161="X",L161="x")),(LEN(SUBSTITUTE(SUBSTITUTE(SUBSTITUTE(J161," ",""),"0",""),"-",""))+LEN(SUBSTITUTE(SUBSTITUTE(SUBSTITUTE(K161," ",""),"0",""),"-","")))=(LEN(SUBSTITUTE(SUBSTITUTE(SUBSTITUTE(M161," ",""),"0",""),"-",""))+LEN(SUBSTITUTE(SUBSTITUTE(SUBSTITUTE(N161," ",""),"0",""),"-",""))))),1,0),0)+IF(OR(COUNTA(J162,K162,M162,N162)&gt;0,OR(L162="X",L162="x")),IF(OR(L162="X",L162="x",AND(OR(COUNTA(J162,K162,M162,N162)&gt;0,OR(L162="X",L162="x")),(LEN(SUBSTITUTE(SUBSTITUTE(SUBSTITUTE(J162," ",""),"0",""),"-",""))+LEN(SUBSTITUTE(SUBSTITUTE(SUBSTITUTE(K162," ",""),"0",""),"-","")))=(LEN(SUBSTITUTE(SUBSTITUTE(SUBSTITUTE(M162," ",""),"0",""),"-",""))+LEN(SUBSTITUTE(SUBSTITUTE(SUBSTITUTE(N162," ",""),"0",""),"-",""))))),1,0),0)</f>
      </c>
      <c r="M167" s="14" t="str">
        <f>LEN(SUBSTITUTE(SUBSTITUTE(SUBSTITUTE(J161," ",""),"0",""),"-",""))+LEN(SUBSTITUTE(SUBSTITUTE(SUBSTITUTE(K161," ",""),"0",""),"-",""))+LEN(SUBSTITUTE(SUBSTITUTE(SUBSTITUTE(J162," ",""),"0",""),"-",""))+LEN(SUBSTITUTE(SUBSTITUTE(SUBSTITUTE(K162," ",""),"0",""),"-",""))</f>
      </c>
      <c r="N167" s="14" t="str">
        <f>LEN(SUBSTITUTE(SUBSTITUTE(SUBSTITUTE(M161," ",""),"0",""),"-",""))+LEN(SUBSTITUTE(SUBSTITUTE(SUBSTITUTE(N161," ",""),"0",""),"-",""))+LEN(SUBSTITUTE(SUBSTITUTE(SUBSTITUTE(M162," ",""),"0",""),"-",""))+LEN(SUBSTITUTE(SUBSTITUTE(SUBSTITUTE(N162," ",""),"0",""),"-",""))</f>
      </c>
      <c r="O167" s="18" t="str">
        <f>RANK(AC167,$AC$165:$AC$167)+COUNTIF($AC$164:AC166,AC167)</f>
      </c>
      <c r="U167" t="str">
        <f>(B167*1000000)-(C167*10000)+(D167*100)+(E167*1)-(F167*0.01)</f>
      </c>
      <c r="AC167" t="str">
        <f>(J167*1000000)-(K167*10000)+(L167*100)+(M167*1)-(N167*0.01)</f>
      </c>
    </row>
    <row r="170">
      <c r="F170" s="13"/>
      <c r="G170" s="13" t="s">
        <v>340</v>
      </c>
      <c r="N170" s="13"/>
      <c r="O170" s="13" t="s">
        <v>340</v>
      </c>
    </row>
    <row r="171">
      <c r="F171" t="s">
        <v>341</v>
      </c>
      <c r="G171" s="19" t="str">
        <f>IFERROR(INDEX($A$165:$A$167, MATCH(1, $G$165:$G$167, 0)), "-")</f>
      </c>
      <c r="N171" t="s">
        <v>341</v>
      </c>
      <c r="O171" s="19" t="str">
        <f>IFERROR(INDEX($I$165:$I$167, MATCH(1, $O$165:$O$167, 0)), "-")</f>
      </c>
    </row>
    <row r="172">
      <c r="F172" t="s">
        <v>342</v>
      </c>
      <c r="G172" s="19" t="str">
        <f>IFERROR(INDEX($A$165:$A$167, MATCH(2, $G$165:$G$167, 0)), "-")</f>
      </c>
      <c r="N172" t="s">
        <v>342</v>
      </c>
      <c r="O172" s="19" t="str">
        <f>IFERROR(INDEX($I$165:$I$167, MATCH(2, $O$165:$O$167, 0)), "-")</f>
      </c>
    </row>
    <row r="173">
      <c r="F173" t="s">
        <v>343</v>
      </c>
      <c r="G173" s="19" t="str">
        <f>IFERROR(INDEX($A$165:$A$167, MATCH(3, $G$165:$G$167, 0)), "-")</f>
      </c>
      <c r="N173" t="s">
        <v>343</v>
      </c>
      <c r="O173" s="19" t="str">
        <f>IFERROR(INDEX($I$165:$I$167, MATCH(3, $O$165:$O$167, 0)), "-")</f>
      </c>
    </row>
    <row r="175">
      <c r="A175" s="13" t="str">
        <f>'data'!$A$36</f>
      </c>
      <c r="B175" s="13"/>
      <c r="C175" s="13"/>
      <c r="D175" s="13"/>
      <c r="E175" s="13"/>
      <c r="F175" s="13"/>
      <c r="G175" s="13"/>
      <c r="I175" s="13" t="str">
        <f>'data'!$A$81</f>
      </c>
      <c r="J175" s="13"/>
      <c r="K175" s="13"/>
      <c r="L175" s="13"/>
      <c r="M175" s="13"/>
      <c r="N175" s="13"/>
      <c r="O175" s="13"/>
    </row>
    <row r="176">
      <c r="A176" s="17" t="s">
        <v>330</v>
      </c>
      <c r="D176" s="14" t="s">
        <v>331</v>
      </c>
      <c r="G176" s="16" t="s">
        <v>332</v>
      </c>
      <c r="I176" s="17" t="s">
        <v>330</v>
      </c>
      <c r="L176" s="14" t="s">
        <v>331</v>
      </c>
      <c r="O176" s="16" t="s">
        <v>332</v>
      </c>
    </row>
    <row r="177">
      <c r="A177" s="14" t="str">
        <f>data!$E$35&amp;" "&amp;data!$B$35</f>
      </c>
      <c r="B177" s="18"/>
      <c r="C177" s="18"/>
      <c r="D177" s="18"/>
      <c r="E177" s="18"/>
      <c r="F177" s="18"/>
      <c r="G177" s="14" t="str">
        <f>data!$E$34&amp;" "&amp;data!$B$34</f>
      </c>
      <c r="I177" s="14" t="str">
        <f>data!$E$80&amp;" "&amp;data!$B$80</f>
      </c>
      <c r="J177" s="18"/>
      <c r="K177" s="18"/>
      <c r="L177" s="18"/>
      <c r="M177" s="18"/>
      <c r="N177" s="18"/>
      <c r="O177" s="14" t="str">
        <f>data!$E$79&amp;" "&amp;data!$B$79</f>
      </c>
    </row>
    <row r="178">
      <c r="A178" s="14" t="str">
        <f>data!$E$36&amp;" "&amp;data!$B$36</f>
      </c>
      <c r="B178" s="18"/>
      <c r="C178" s="18"/>
      <c r="D178" s="18"/>
      <c r="E178" s="18"/>
      <c r="F178" s="18"/>
      <c r="G178" s="14" t="str">
        <f>data!$E$34&amp;" "&amp;data!$B$34</f>
      </c>
      <c r="I178" s="14" t="str">
        <f>data!$E$81&amp;" "&amp;data!$B$81</f>
      </c>
      <c r="J178" s="18"/>
      <c r="K178" s="18"/>
      <c r="L178" s="18"/>
      <c r="M178" s="18"/>
      <c r="N178" s="18"/>
      <c r="O178" s="14" t="str">
        <f>data!$E$79&amp;" "&amp;data!$B$79</f>
      </c>
    </row>
    <row r="179">
      <c r="A179" s="14" t="str">
        <f>data!$E$36&amp;" "&amp;data!$B$36</f>
      </c>
      <c r="B179" s="18"/>
      <c r="C179" s="18"/>
      <c r="D179" s="18"/>
      <c r="E179" s="18"/>
      <c r="F179" s="18"/>
      <c r="G179" s="14" t="str">
        <f>data!$E$35&amp;" "&amp;data!$B$35</f>
      </c>
      <c r="I179" s="14" t="str">
        <f>data!$E$81&amp;" "&amp;data!$B$81</f>
      </c>
      <c r="J179" s="18"/>
      <c r="K179" s="18"/>
      <c r="L179" s="18"/>
      <c r="M179" s="18"/>
      <c r="N179" s="18"/>
      <c r="O179" s="14" t="str">
        <f>data!$E$80&amp;" "&amp;data!$B$80</f>
      </c>
    </row>
    <row r="181">
      <c r="A181" s="13" t="s">
        <v>333</v>
      </c>
      <c r="B181" s="13" t="s">
        <v>334</v>
      </c>
      <c r="C181" s="13" t="s">
        <v>335</v>
      </c>
      <c r="D181" s="13" t="s">
        <v>336</v>
      </c>
      <c r="E181" s="13" t="s">
        <v>337</v>
      </c>
      <c r="F181" s="13" t="s">
        <v>338</v>
      </c>
      <c r="G181" s="13" t="s">
        <v>339</v>
      </c>
      <c r="I181" s="13" t="s">
        <v>333</v>
      </c>
      <c r="J181" s="13" t="s">
        <v>334</v>
      </c>
      <c r="K181" s="13" t="s">
        <v>335</v>
      </c>
      <c r="L181" s="13" t="s">
        <v>336</v>
      </c>
      <c r="M181" s="13" t="s">
        <v>337</v>
      </c>
      <c r="N181" s="13" t="s">
        <v>338</v>
      </c>
      <c r="O181" s="13" t="s">
        <v>339</v>
      </c>
    </row>
    <row r="182">
      <c r="A182" s="14" t="str">
        <f>data!$E$34&amp;" "&amp;data!$B$34</f>
      </c>
      <c r="B182" s="14" t="str">
        <f>IF(OR(COUNTA(B177,C177,E177,F177)&gt;0,OR(D177="X",D177="x")),IF(OR(D177="X",D177="x",AND(OR(COUNTA(B177,C177,E177,F177)&gt;0,OR(D177="X",D177="x")),(LEN(SUBSTITUTE(SUBSTITUTE(SUBSTITUTE(B177," ",""),"0",""),"-",""))+LEN(SUBSTITUTE(SUBSTITUTE(SUBSTITUTE(C177," ",""),"0",""),"-","")))=(LEN(SUBSTITUTE(SUBSTITUTE(SUBSTITUTE(E177," ",""),"0",""),"-",""))+LEN(SUBSTITUTE(SUBSTITUTE(SUBSTITUTE(F177," ",""),"0",""),"-",""))))),0,(LEN(SUBSTITUTE(SUBSTITUTE(SUBSTITUTE(E177," ",""),"0",""),"-",""))+LEN(SUBSTITUTE(SUBSTITUTE(SUBSTITUTE(F177," ",""),"0",""),"-",""))&gt;LEN(SUBSTITUTE(SUBSTITUTE(SUBSTITUTE(B177," ",""),"0",""),"-",""))+LEN(SUBSTITUTE(SUBSTITUTE(SUBSTITUTE(C177," ",""),"0",""),"-","")))*1),0)+IF(OR(COUNTA(B178,C178,E178,F178)&gt;0,OR(D178="X",D178="x")),IF(OR(D178="X",D178="x",AND(OR(COUNTA(B178,C178,E178,F178)&gt;0,OR(D178="X",D178="x")),(LEN(SUBSTITUTE(SUBSTITUTE(SUBSTITUTE(B178," ",""),"0",""),"-",""))+LEN(SUBSTITUTE(SUBSTITUTE(SUBSTITUTE(C178," ",""),"0",""),"-","")))=(LEN(SUBSTITUTE(SUBSTITUTE(SUBSTITUTE(E178," ",""),"0",""),"-",""))+LEN(SUBSTITUTE(SUBSTITUTE(SUBSTITUTE(F178," ",""),"0",""),"-",""))))),0,(LEN(SUBSTITUTE(SUBSTITUTE(SUBSTITUTE(E178," ",""),"0",""),"-",""))+LEN(SUBSTITUTE(SUBSTITUTE(SUBSTITUTE(F178," ",""),"0",""),"-",""))&gt;LEN(SUBSTITUTE(SUBSTITUTE(SUBSTITUTE(B178," ",""),"0",""),"-",""))+LEN(SUBSTITUTE(SUBSTITUTE(SUBSTITUTE(C178," ",""),"0",""),"-","")))*1),0)</f>
      </c>
      <c r="C182" s="14" t="str">
        <f>IF(OR(COUNTA(B177,C177,E177,F177)&gt;0,OR(D177="X",D177="x")),IF(OR(D177="X",D177="x",AND(OR(COUNTA(B177,C177,E177,F177)&gt;0,OR(D177="X",D177="x")),(LEN(SUBSTITUTE(SUBSTITUTE(SUBSTITUTE(B177," ",""),"0",""),"-",""))+LEN(SUBSTITUTE(SUBSTITUTE(SUBSTITUTE(C177," ",""),"0",""),"-","")))=(LEN(SUBSTITUTE(SUBSTITUTE(SUBSTITUTE(E177," ",""),"0",""),"-",""))+LEN(SUBSTITUTE(SUBSTITUTE(SUBSTITUTE(F177," ",""),"0",""),"-",""))))),0,(LEN(SUBSTITUTE(SUBSTITUTE(SUBSTITUTE(E177," ",""),"0",""),"-",""))+LEN(SUBSTITUTE(SUBSTITUTE(SUBSTITUTE(F177," ",""),"0",""),"-",""))&lt;LEN(SUBSTITUTE(SUBSTITUTE(SUBSTITUTE(B177," ",""),"0",""),"-",""))+LEN(SUBSTITUTE(SUBSTITUTE(SUBSTITUTE(C177," ",""),"0",""),"-","")))*1),0)+IF(OR(COUNTA(B178,C178,E178,F178)&gt;0,OR(D178="X",D178="x")),IF(OR(D178="X",D178="x",AND(OR(COUNTA(B178,C178,E178,F178)&gt;0,OR(D178="X",D178="x")),(LEN(SUBSTITUTE(SUBSTITUTE(SUBSTITUTE(B178," ",""),"0",""),"-",""))+LEN(SUBSTITUTE(SUBSTITUTE(SUBSTITUTE(C178," ",""),"0",""),"-","")))=(LEN(SUBSTITUTE(SUBSTITUTE(SUBSTITUTE(E178," ",""),"0",""),"-",""))+LEN(SUBSTITUTE(SUBSTITUTE(SUBSTITUTE(F178," ",""),"0",""),"-",""))))),0,(LEN(SUBSTITUTE(SUBSTITUTE(SUBSTITUTE(E178," ",""),"0",""),"-",""))+LEN(SUBSTITUTE(SUBSTITUTE(SUBSTITUTE(F178," ",""),"0",""),"-",""))&lt;LEN(SUBSTITUTE(SUBSTITUTE(SUBSTITUTE(B178," ",""),"0",""),"-",""))+LEN(SUBSTITUTE(SUBSTITUTE(SUBSTITUTE(C178," ",""),"0",""),"-","")))*1),0)</f>
      </c>
      <c r="D182" s="14" t="str">
        <f>IF(OR(COUNTA(B177,C177,E177,F177)&gt;0,OR(D177="X",D177="x")),IF(OR(D177="X",D177="x",AND(OR(COUNTA(B177,C177,E177,F177)&gt;0,OR(D177="X",D177="x")),(LEN(SUBSTITUTE(SUBSTITUTE(SUBSTITUTE(B177," ",""),"0",""),"-",""))+LEN(SUBSTITUTE(SUBSTITUTE(SUBSTITUTE(C177," ",""),"0",""),"-","")))=(LEN(SUBSTITUTE(SUBSTITUTE(SUBSTITUTE(E177," ",""),"0",""),"-",""))+LEN(SUBSTITUTE(SUBSTITUTE(SUBSTITUTE(F177," ",""),"0",""),"-",""))))),1,0),0)+IF(OR(COUNTA(B178,C178,E178,F178)&gt;0,OR(D178="X",D178="x")),IF(OR(D178="X",D178="x",AND(OR(COUNTA(B178,C178,E178,F178)&gt;0,OR(D178="X",D178="x")),(LEN(SUBSTITUTE(SUBSTITUTE(SUBSTITUTE(B178," ",""),"0",""),"-",""))+LEN(SUBSTITUTE(SUBSTITUTE(SUBSTITUTE(C178," ",""),"0",""),"-","")))=(LEN(SUBSTITUTE(SUBSTITUTE(SUBSTITUTE(E178," ",""),"0",""),"-",""))+LEN(SUBSTITUTE(SUBSTITUTE(SUBSTITUTE(F178," ",""),"0",""),"-",""))))),1,0),0)</f>
      </c>
      <c r="E182" s="14" t="str">
        <f>LEN(SUBSTITUTE(SUBSTITUTE(SUBSTITUTE(E177," ",""),"0",""),"-",""))+LEN(SUBSTITUTE(SUBSTITUTE(SUBSTITUTE(F177," ",""),"0",""),"-",""))+LEN(SUBSTITUTE(SUBSTITUTE(SUBSTITUTE(E178," ",""),"0",""),"-",""))+LEN(SUBSTITUTE(SUBSTITUTE(SUBSTITUTE(F178," ",""),"0",""),"-",""))</f>
      </c>
      <c r="F182" s="14" t="str">
        <f>LEN(SUBSTITUTE(SUBSTITUTE(SUBSTITUTE(B177," ",""),"0",""),"-",""))+LEN(SUBSTITUTE(SUBSTITUTE(SUBSTITUTE(C177," ",""),"0",""),"-",""))+LEN(SUBSTITUTE(SUBSTITUTE(SUBSTITUTE(B178," ",""),"0",""),"-",""))+LEN(SUBSTITUTE(SUBSTITUTE(SUBSTITUTE(C178," ",""),"0",""),"-",""))</f>
      </c>
      <c r="G182" s="18" t="str">
        <f>RANK(U182,$U$182:$U$184)+COUNTIF($U$181:U181,U182)</f>
      </c>
      <c r="I182" s="14" t="str">
        <f>data!$E$79&amp;" "&amp;data!$B$79</f>
      </c>
      <c r="J182" s="14" t="str">
        <f>IF(OR(COUNTA(J177,K177,M177,N177)&gt;0,OR(L177="X",L177="x")),IF(OR(L177="X",L177="x",AND(OR(COUNTA(J177,K177,M177,N177)&gt;0,OR(L177="X",L177="x")),(LEN(SUBSTITUTE(SUBSTITUTE(SUBSTITUTE(J177," ",""),"0",""),"-",""))+LEN(SUBSTITUTE(SUBSTITUTE(SUBSTITUTE(K177," ",""),"0",""),"-","")))=(LEN(SUBSTITUTE(SUBSTITUTE(SUBSTITUTE(M177," ",""),"0",""),"-",""))+LEN(SUBSTITUTE(SUBSTITUTE(SUBSTITUTE(N177," ",""),"0",""),"-",""))))),0,(LEN(SUBSTITUTE(SUBSTITUTE(SUBSTITUTE(M177," ",""),"0",""),"-",""))+LEN(SUBSTITUTE(SUBSTITUTE(SUBSTITUTE(N177," ",""),"0",""),"-",""))&gt;LEN(SUBSTITUTE(SUBSTITUTE(SUBSTITUTE(J177," ",""),"0",""),"-",""))+LEN(SUBSTITUTE(SUBSTITUTE(SUBSTITUTE(K177," ",""),"0",""),"-","")))*1),0)+IF(OR(COUNTA(J178,K178,M178,N178)&gt;0,OR(L178="X",L178="x")),IF(OR(L178="X",L178="x",AND(OR(COUNTA(J178,K178,M178,N178)&gt;0,OR(L178="X",L178="x")),(LEN(SUBSTITUTE(SUBSTITUTE(SUBSTITUTE(J178," ",""),"0",""),"-",""))+LEN(SUBSTITUTE(SUBSTITUTE(SUBSTITUTE(K178," ",""),"0",""),"-","")))=(LEN(SUBSTITUTE(SUBSTITUTE(SUBSTITUTE(M178," ",""),"0",""),"-",""))+LEN(SUBSTITUTE(SUBSTITUTE(SUBSTITUTE(N178," ",""),"0",""),"-",""))))),0,(LEN(SUBSTITUTE(SUBSTITUTE(SUBSTITUTE(M178," ",""),"0",""),"-",""))+LEN(SUBSTITUTE(SUBSTITUTE(SUBSTITUTE(N178," ",""),"0",""),"-",""))&gt;LEN(SUBSTITUTE(SUBSTITUTE(SUBSTITUTE(J178," ",""),"0",""),"-",""))+LEN(SUBSTITUTE(SUBSTITUTE(SUBSTITUTE(K178," ",""),"0",""),"-","")))*1),0)</f>
      </c>
      <c r="K182" s="14" t="str">
        <f>IF(OR(COUNTA(J177,K177,M177,N177)&gt;0,OR(L177="X",L177="x")),IF(OR(L177="X",L177="x",AND(OR(COUNTA(J177,K177,M177,N177)&gt;0,OR(L177="X",L177="x")),(LEN(SUBSTITUTE(SUBSTITUTE(SUBSTITUTE(J177," ",""),"0",""),"-",""))+LEN(SUBSTITUTE(SUBSTITUTE(SUBSTITUTE(K177," ",""),"0",""),"-","")))=(LEN(SUBSTITUTE(SUBSTITUTE(SUBSTITUTE(M177," ",""),"0",""),"-",""))+LEN(SUBSTITUTE(SUBSTITUTE(SUBSTITUTE(N177," ",""),"0",""),"-",""))))),0,(LEN(SUBSTITUTE(SUBSTITUTE(SUBSTITUTE(M177," ",""),"0",""),"-",""))+LEN(SUBSTITUTE(SUBSTITUTE(SUBSTITUTE(N177," ",""),"0",""),"-",""))&lt;LEN(SUBSTITUTE(SUBSTITUTE(SUBSTITUTE(J177," ",""),"0",""),"-",""))+LEN(SUBSTITUTE(SUBSTITUTE(SUBSTITUTE(K177," ",""),"0",""),"-","")))*1),0)+IF(OR(COUNTA(J178,K178,M178,N178)&gt;0,OR(L178="X",L178="x")),IF(OR(L178="X",L178="x",AND(OR(COUNTA(J178,K178,M178,N178)&gt;0,OR(L178="X",L178="x")),(LEN(SUBSTITUTE(SUBSTITUTE(SUBSTITUTE(J178," ",""),"0",""),"-",""))+LEN(SUBSTITUTE(SUBSTITUTE(SUBSTITUTE(K178," ",""),"0",""),"-","")))=(LEN(SUBSTITUTE(SUBSTITUTE(SUBSTITUTE(M178," ",""),"0",""),"-",""))+LEN(SUBSTITUTE(SUBSTITUTE(SUBSTITUTE(N178," ",""),"0",""),"-",""))))),0,(LEN(SUBSTITUTE(SUBSTITUTE(SUBSTITUTE(M178," ",""),"0",""),"-",""))+LEN(SUBSTITUTE(SUBSTITUTE(SUBSTITUTE(N178," ",""),"0",""),"-",""))&lt;LEN(SUBSTITUTE(SUBSTITUTE(SUBSTITUTE(J178," ",""),"0",""),"-",""))+LEN(SUBSTITUTE(SUBSTITUTE(SUBSTITUTE(K178," ",""),"0",""),"-","")))*1),0)</f>
      </c>
      <c r="L182" s="14" t="str">
        <f>IF(OR(COUNTA(J177,K177,M177,N177)&gt;0,OR(L177="X",L177="x")),IF(OR(L177="X",L177="x",AND(OR(COUNTA(J177,K177,M177,N177)&gt;0,OR(L177="X",L177="x")),(LEN(SUBSTITUTE(SUBSTITUTE(SUBSTITUTE(J177," ",""),"0",""),"-",""))+LEN(SUBSTITUTE(SUBSTITUTE(SUBSTITUTE(K177," ",""),"0",""),"-","")))=(LEN(SUBSTITUTE(SUBSTITUTE(SUBSTITUTE(M177," ",""),"0",""),"-",""))+LEN(SUBSTITUTE(SUBSTITUTE(SUBSTITUTE(N177," ",""),"0",""),"-",""))))),1,0),0)+IF(OR(COUNTA(J178,K178,M178,N178)&gt;0,OR(L178="X",L178="x")),IF(OR(L178="X",L178="x",AND(OR(COUNTA(J178,K178,M178,N178)&gt;0,OR(L178="X",L178="x")),(LEN(SUBSTITUTE(SUBSTITUTE(SUBSTITUTE(J178," ",""),"0",""),"-",""))+LEN(SUBSTITUTE(SUBSTITUTE(SUBSTITUTE(K178," ",""),"0",""),"-","")))=(LEN(SUBSTITUTE(SUBSTITUTE(SUBSTITUTE(M178," ",""),"0",""),"-",""))+LEN(SUBSTITUTE(SUBSTITUTE(SUBSTITUTE(N178," ",""),"0",""),"-",""))))),1,0),0)</f>
      </c>
      <c r="M182" s="14" t="str">
        <f>LEN(SUBSTITUTE(SUBSTITUTE(SUBSTITUTE(M177," ",""),"0",""),"-",""))+LEN(SUBSTITUTE(SUBSTITUTE(SUBSTITUTE(N177," ",""),"0",""),"-",""))+LEN(SUBSTITUTE(SUBSTITUTE(SUBSTITUTE(M178," ",""),"0",""),"-",""))+LEN(SUBSTITUTE(SUBSTITUTE(SUBSTITUTE(N178," ",""),"0",""),"-",""))</f>
      </c>
      <c r="N182" s="14" t="str">
        <f>LEN(SUBSTITUTE(SUBSTITUTE(SUBSTITUTE(J177," ",""),"0",""),"-",""))+LEN(SUBSTITUTE(SUBSTITUTE(SUBSTITUTE(K177," ",""),"0",""),"-",""))+LEN(SUBSTITUTE(SUBSTITUTE(SUBSTITUTE(J178," ",""),"0",""),"-",""))+LEN(SUBSTITUTE(SUBSTITUTE(SUBSTITUTE(K178," ",""),"0",""),"-",""))</f>
      </c>
      <c r="O182" s="18" t="str">
        <f>RANK(AC182,$AC$182:$AC$184)+COUNTIF($AC$181:AC181,AC182)</f>
      </c>
      <c r="U182" t="str">
        <f>(B182*1000000)-(C182*10000)+(D182*100)+(E182*1)-(F182*0.01)</f>
      </c>
      <c r="AC182" t="str">
        <f>(J182*1000000)-(K182*10000)+(L182*100)+(M182*1)-(N182*0.01)</f>
      </c>
    </row>
    <row r="183">
      <c r="A183" s="14" t="str">
        <f>data!$E$35&amp;" "&amp;data!$B$35</f>
      </c>
      <c r="B183" s="14" t="str">
        <f>IF(OR(COUNTA(B177,C177,E177,F177)&gt;0,OR(D177="X",D177="x")),IF(OR(D177="X",D177="x",AND(OR(COUNTA(B177,C177,E177,F177)&gt;0,OR(D177="X",D177="x")),(LEN(SUBSTITUTE(SUBSTITUTE(SUBSTITUTE(B177," ",""),"0",""),"-",""))+LEN(SUBSTITUTE(SUBSTITUTE(SUBSTITUTE(C177," ",""),"0",""),"-","")))=(LEN(SUBSTITUTE(SUBSTITUTE(SUBSTITUTE(E177," ",""),"0",""),"-",""))+LEN(SUBSTITUTE(SUBSTITUTE(SUBSTITUTE(F177," ",""),"0",""),"-",""))))),0,(LEN(SUBSTITUTE(SUBSTITUTE(SUBSTITUTE(B177," ",""),"0",""),"-",""))+LEN(SUBSTITUTE(SUBSTITUTE(SUBSTITUTE(C177," ",""),"0",""),"-",""))&gt;LEN(SUBSTITUTE(SUBSTITUTE(SUBSTITUTE(E177," ",""),"0",""),"-",""))+LEN(SUBSTITUTE(SUBSTITUTE(SUBSTITUTE(F177," ",""),"0",""),"-","")))*1),0)+IF(OR(COUNTA(B179,C179,E179,F179)&gt;0,OR(D179="X",D179="x")),IF(OR(D179="X",D179="x",AND(OR(COUNTA(B179,C179,E179,F179)&gt;0,OR(D179="X",D179="x")),(LEN(SUBSTITUTE(SUBSTITUTE(SUBSTITUTE(B179," ",""),"0",""),"-",""))+LEN(SUBSTITUTE(SUBSTITUTE(SUBSTITUTE(C179," ",""),"0",""),"-","")))=(LEN(SUBSTITUTE(SUBSTITUTE(SUBSTITUTE(E179," ",""),"0",""),"-",""))+LEN(SUBSTITUTE(SUBSTITUTE(SUBSTITUTE(F179," ",""),"0",""),"-",""))))),0,(LEN(SUBSTITUTE(SUBSTITUTE(SUBSTITUTE(E179," ",""),"0",""),"-",""))+LEN(SUBSTITUTE(SUBSTITUTE(SUBSTITUTE(F179," ",""),"0",""),"-",""))&gt;LEN(SUBSTITUTE(SUBSTITUTE(SUBSTITUTE(B179," ",""),"0",""),"-",""))+LEN(SUBSTITUTE(SUBSTITUTE(SUBSTITUTE(C179," ",""),"0",""),"-","")))*1),0)</f>
      </c>
      <c r="C183" s="14" t="str">
        <f>IF(OR(COUNTA(B177,C177,E177,F177)&gt;0,OR(D177="X",D177="x")),IF(OR(D177="X",D177="x",AND(OR(COUNTA(B177,C177,E177,F177)&gt;0,OR(D177="X",D177="x")),(LEN(SUBSTITUTE(SUBSTITUTE(SUBSTITUTE(B177," ",""),"0",""),"-",""))+LEN(SUBSTITUTE(SUBSTITUTE(SUBSTITUTE(C177," ",""),"0",""),"-","")))=(LEN(SUBSTITUTE(SUBSTITUTE(SUBSTITUTE(E177," ",""),"0",""),"-",""))+LEN(SUBSTITUTE(SUBSTITUTE(SUBSTITUTE(F177," ",""),"0",""),"-",""))))),0,(LEN(SUBSTITUTE(SUBSTITUTE(SUBSTITUTE(B177," ",""),"0",""),"-",""))+LEN(SUBSTITUTE(SUBSTITUTE(SUBSTITUTE(C177," ",""),"0",""),"-",""))&lt;LEN(SUBSTITUTE(SUBSTITUTE(SUBSTITUTE(E177," ",""),"0",""),"-",""))+LEN(SUBSTITUTE(SUBSTITUTE(SUBSTITUTE(F177," ",""),"0",""),"-","")))*1),0)+IF(OR(COUNTA(B179,C179,E179,F179)&gt;0,OR(D179="X",D179="x")),IF(OR(D179="X",D179="x",AND(OR(COUNTA(B179,C179,E179,F179)&gt;0,OR(D179="X",D179="x")),(LEN(SUBSTITUTE(SUBSTITUTE(SUBSTITUTE(B179," ",""),"0",""),"-",""))+LEN(SUBSTITUTE(SUBSTITUTE(SUBSTITUTE(C179," ",""),"0",""),"-","")))=(LEN(SUBSTITUTE(SUBSTITUTE(SUBSTITUTE(E179," ",""),"0",""),"-",""))+LEN(SUBSTITUTE(SUBSTITUTE(SUBSTITUTE(F179," ",""),"0",""),"-",""))))),0,(LEN(SUBSTITUTE(SUBSTITUTE(SUBSTITUTE(E179," ",""),"0",""),"-",""))+LEN(SUBSTITUTE(SUBSTITUTE(SUBSTITUTE(F179," ",""),"0",""),"-",""))&lt;LEN(SUBSTITUTE(SUBSTITUTE(SUBSTITUTE(B179," ",""),"0",""),"-",""))+LEN(SUBSTITUTE(SUBSTITUTE(SUBSTITUTE(C179," ",""),"0",""),"-","")))*1),0)</f>
      </c>
      <c r="D183" s="14" t="str">
        <f>IF(OR(COUNTA(B177,C177,E177,F177)&gt;0,OR(D177="X",D177="x")),IF(OR(D177="X",D177="x",AND(OR(COUNTA(B177,C177,E177,F177)&gt;0,OR(D177="X",D177="x")),(LEN(SUBSTITUTE(SUBSTITUTE(SUBSTITUTE(B177," ",""),"0",""),"-",""))+LEN(SUBSTITUTE(SUBSTITUTE(SUBSTITUTE(C177," ",""),"0",""),"-","")))=(LEN(SUBSTITUTE(SUBSTITUTE(SUBSTITUTE(E177," ",""),"0",""),"-",""))+LEN(SUBSTITUTE(SUBSTITUTE(SUBSTITUTE(F177," ",""),"0",""),"-",""))))),1,0),0)+IF(OR(COUNTA(B179,C179,E179,F179)&gt;0,OR(D179="X",D179="x")),IF(OR(D179="X",D179="x",AND(OR(COUNTA(B179,C179,E179,F179)&gt;0,OR(D179="X",D179="x")),(LEN(SUBSTITUTE(SUBSTITUTE(SUBSTITUTE(B179," ",""),"0",""),"-",""))+LEN(SUBSTITUTE(SUBSTITUTE(SUBSTITUTE(C179," ",""),"0",""),"-","")))=(LEN(SUBSTITUTE(SUBSTITUTE(SUBSTITUTE(E179," ",""),"0",""),"-",""))+LEN(SUBSTITUTE(SUBSTITUTE(SUBSTITUTE(F179," ",""),"0",""),"-",""))))),1,0),0)</f>
      </c>
      <c r="E183" s="14" t="str">
        <f>LEN(SUBSTITUTE(SUBSTITUTE(SUBSTITUTE(B177," ",""),"0",""),"-",""))+LEN(SUBSTITUTE(SUBSTITUTE(SUBSTITUTE(C177," ",""),"0",""),"-",""))+LEN(SUBSTITUTE(SUBSTITUTE(SUBSTITUTE(E179," ",""),"0",""),"-",""))+LEN(SUBSTITUTE(SUBSTITUTE(SUBSTITUTE(F179," ",""),"0",""),"-",""))</f>
      </c>
      <c r="F183" s="14" t="str">
        <f>LEN(SUBSTITUTE(SUBSTITUTE(SUBSTITUTE(E177," ",""),"0",""),"-",""))+LEN(SUBSTITUTE(SUBSTITUTE(SUBSTITUTE(F177," ",""),"0",""),"-",""))+LEN(SUBSTITUTE(SUBSTITUTE(SUBSTITUTE(B179," ",""),"0",""),"-",""))+LEN(SUBSTITUTE(SUBSTITUTE(SUBSTITUTE(C179," ",""),"0",""),"-",""))</f>
      </c>
      <c r="G183" s="18" t="str">
        <f>RANK(U183,$U$182:$U$184)+COUNTIF($U$181:U182,U183)</f>
      </c>
      <c r="I183" s="14" t="str">
        <f>data!$E$80&amp;" "&amp;data!$B$80</f>
      </c>
      <c r="J183" s="14" t="str">
        <f>IF(OR(COUNTA(J177,K177,M177,N177)&gt;0,OR(L177="X",L177="x")),IF(OR(L177="X",L177="x",AND(OR(COUNTA(J177,K177,M177,N177)&gt;0,OR(L177="X",L177="x")),(LEN(SUBSTITUTE(SUBSTITUTE(SUBSTITUTE(J177," ",""),"0",""),"-",""))+LEN(SUBSTITUTE(SUBSTITUTE(SUBSTITUTE(K177," ",""),"0",""),"-","")))=(LEN(SUBSTITUTE(SUBSTITUTE(SUBSTITUTE(M177," ",""),"0",""),"-",""))+LEN(SUBSTITUTE(SUBSTITUTE(SUBSTITUTE(N177," ",""),"0",""),"-",""))))),0,(LEN(SUBSTITUTE(SUBSTITUTE(SUBSTITUTE(J177," ",""),"0",""),"-",""))+LEN(SUBSTITUTE(SUBSTITUTE(SUBSTITUTE(K177," ",""),"0",""),"-",""))&gt;LEN(SUBSTITUTE(SUBSTITUTE(SUBSTITUTE(M177," ",""),"0",""),"-",""))+LEN(SUBSTITUTE(SUBSTITUTE(SUBSTITUTE(N177," ",""),"0",""),"-","")))*1),0)+IF(OR(COUNTA(J179,K179,M179,N179)&gt;0,OR(L179="X",L179="x")),IF(OR(L179="X",L179="x",AND(OR(COUNTA(J179,K179,M179,N179)&gt;0,OR(L179="X",L179="x")),(LEN(SUBSTITUTE(SUBSTITUTE(SUBSTITUTE(J179," ",""),"0",""),"-",""))+LEN(SUBSTITUTE(SUBSTITUTE(SUBSTITUTE(K179," ",""),"0",""),"-","")))=(LEN(SUBSTITUTE(SUBSTITUTE(SUBSTITUTE(M179," ",""),"0",""),"-",""))+LEN(SUBSTITUTE(SUBSTITUTE(SUBSTITUTE(N179," ",""),"0",""),"-",""))))),0,(LEN(SUBSTITUTE(SUBSTITUTE(SUBSTITUTE(M179," ",""),"0",""),"-",""))+LEN(SUBSTITUTE(SUBSTITUTE(SUBSTITUTE(N179," ",""),"0",""),"-",""))&gt;LEN(SUBSTITUTE(SUBSTITUTE(SUBSTITUTE(J179," ",""),"0",""),"-",""))+LEN(SUBSTITUTE(SUBSTITUTE(SUBSTITUTE(K179," ",""),"0",""),"-","")))*1),0)</f>
      </c>
      <c r="K183" s="14" t="str">
        <f>IF(OR(COUNTA(J177,K177,M177,N177)&gt;0,OR(L177="X",L177="x")),IF(OR(L177="X",L177="x",AND(OR(COUNTA(J177,K177,M177,N177)&gt;0,OR(L177="X",L177="x")),(LEN(SUBSTITUTE(SUBSTITUTE(SUBSTITUTE(J177," ",""),"0",""),"-",""))+LEN(SUBSTITUTE(SUBSTITUTE(SUBSTITUTE(K177," ",""),"0",""),"-","")))=(LEN(SUBSTITUTE(SUBSTITUTE(SUBSTITUTE(M177," ",""),"0",""),"-",""))+LEN(SUBSTITUTE(SUBSTITUTE(SUBSTITUTE(N177," ",""),"0",""),"-",""))))),0,(LEN(SUBSTITUTE(SUBSTITUTE(SUBSTITUTE(J177," ",""),"0",""),"-",""))+LEN(SUBSTITUTE(SUBSTITUTE(SUBSTITUTE(K177," ",""),"0",""),"-",""))&lt;LEN(SUBSTITUTE(SUBSTITUTE(SUBSTITUTE(M177," ",""),"0",""),"-",""))+LEN(SUBSTITUTE(SUBSTITUTE(SUBSTITUTE(N177," ",""),"0",""),"-","")))*1),0)+IF(OR(COUNTA(J179,K179,M179,N179)&gt;0,OR(L179="X",L179="x")),IF(OR(L179="X",L179="x",AND(OR(COUNTA(J179,K179,M179,N179)&gt;0,OR(L179="X",L179="x")),(LEN(SUBSTITUTE(SUBSTITUTE(SUBSTITUTE(J179," ",""),"0",""),"-",""))+LEN(SUBSTITUTE(SUBSTITUTE(SUBSTITUTE(K179," ",""),"0",""),"-","")))=(LEN(SUBSTITUTE(SUBSTITUTE(SUBSTITUTE(M179," ",""),"0",""),"-",""))+LEN(SUBSTITUTE(SUBSTITUTE(SUBSTITUTE(N179," ",""),"0",""),"-",""))))),0,(LEN(SUBSTITUTE(SUBSTITUTE(SUBSTITUTE(M179," ",""),"0",""),"-",""))+LEN(SUBSTITUTE(SUBSTITUTE(SUBSTITUTE(N179," ",""),"0",""),"-",""))&lt;LEN(SUBSTITUTE(SUBSTITUTE(SUBSTITUTE(J179," ",""),"0",""),"-",""))+LEN(SUBSTITUTE(SUBSTITUTE(SUBSTITUTE(K179," ",""),"0",""),"-","")))*1),0)</f>
      </c>
      <c r="L183" s="14" t="str">
        <f>IF(OR(COUNTA(J177,K177,M177,N177)&gt;0,OR(L177="X",L177="x")),IF(OR(L177="X",L177="x",AND(OR(COUNTA(J177,K177,M177,N177)&gt;0,OR(L177="X",L177="x")),(LEN(SUBSTITUTE(SUBSTITUTE(SUBSTITUTE(J177," ",""),"0",""),"-",""))+LEN(SUBSTITUTE(SUBSTITUTE(SUBSTITUTE(K177," ",""),"0",""),"-","")))=(LEN(SUBSTITUTE(SUBSTITUTE(SUBSTITUTE(M177," ",""),"0",""),"-",""))+LEN(SUBSTITUTE(SUBSTITUTE(SUBSTITUTE(N177," ",""),"0",""),"-",""))))),1,0),0)+IF(OR(COUNTA(J179,K179,M179,N179)&gt;0,OR(L179="X",L179="x")),IF(OR(L179="X",L179="x",AND(OR(COUNTA(J179,K179,M179,N179)&gt;0,OR(L179="X",L179="x")),(LEN(SUBSTITUTE(SUBSTITUTE(SUBSTITUTE(J179," ",""),"0",""),"-",""))+LEN(SUBSTITUTE(SUBSTITUTE(SUBSTITUTE(K179," ",""),"0",""),"-","")))=(LEN(SUBSTITUTE(SUBSTITUTE(SUBSTITUTE(M179," ",""),"0",""),"-",""))+LEN(SUBSTITUTE(SUBSTITUTE(SUBSTITUTE(N179," ",""),"0",""),"-",""))))),1,0),0)</f>
      </c>
      <c r="M183" s="14" t="str">
        <f>LEN(SUBSTITUTE(SUBSTITUTE(SUBSTITUTE(J177," ",""),"0",""),"-",""))+LEN(SUBSTITUTE(SUBSTITUTE(SUBSTITUTE(K177," ",""),"0",""),"-",""))+LEN(SUBSTITUTE(SUBSTITUTE(SUBSTITUTE(M179," ",""),"0",""),"-",""))+LEN(SUBSTITUTE(SUBSTITUTE(SUBSTITUTE(N179," ",""),"0",""),"-",""))</f>
      </c>
      <c r="N183" s="14" t="str">
        <f>LEN(SUBSTITUTE(SUBSTITUTE(SUBSTITUTE(M177," ",""),"0",""),"-",""))+LEN(SUBSTITUTE(SUBSTITUTE(SUBSTITUTE(N177," ",""),"0",""),"-",""))+LEN(SUBSTITUTE(SUBSTITUTE(SUBSTITUTE(J179," ",""),"0",""),"-",""))+LEN(SUBSTITUTE(SUBSTITUTE(SUBSTITUTE(K179," ",""),"0",""),"-",""))</f>
      </c>
      <c r="O183" s="18" t="str">
        <f>RANK(AC183,$AC$182:$AC$184)+COUNTIF($AC$181:AC182,AC183)</f>
      </c>
      <c r="U183" t="str">
        <f>(B183*1000000)-(C183*10000)+(D183*100)+(E183*1)-(F183*0.01)</f>
      </c>
      <c r="AC183" t="str">
        <f>(J183*1000000)-(K183*10000)+(L183*100)+(M183*1)-(N183*0.01)</f>
      </c>
    </row>
    <row r="184">
      <c r="A184" s="14" t="str">
        <f>data!$E$36&amp;" "&amp;data!$B$36</f>
      </c>
      <c r="B184" s="14" t="str">
        <f>IF(OR(COUNTA(B178,C178,E178,F178)&gt;0,OR(D178="X",D178="x")),IF(OR(D178="X",D178="x",AND(OR(COUNTA(B178,C178,E178,F178)&gt;0,OR(D178="X",D178="x")),(LEN(SUBSTITUTE(SUBSTITUTE(SUBSTITUTE(B178," ",""),"0",""),"-",""))+LEN(SUBSTITUTE(SUBSTITUTE(SUBSTITUTE(C178," ",""),"0",""),"-","")))=(LEN(SUBSTITUTE(SUBSTITUTE(SUBSTITUTE(E178," ",""),"0",""),"-",""))+LEN(SUBSTITUTE(SUBSTITUTE(SUBSTITUTE(F178," ",""),"0",""),"-",""))))),0,(LEN(SUBSTITUTE(SUBSTITUTE(SUBSTITUTE(B178," ",""),"0",""),"-",""))+LEN(SUBSTITUTE(SUBSTITUTE(SUBSTITUTE(C178," ",""),"0",""),"-",""))&gt;LEN(SUBSTITUTE(SUBSTITUTE(SUBSTITUTE(E178," ",""),"0",""),"-",""))+LEN(SUBSTITUTE(SUBSTITUTE(SUBSTITUTE(F178," ",""),"0",""),"-","")))*1),0)+IF(OR(COUNTA(B179,C179,E179,F179)&gt;0,OR(D179="X",D179="x")),IF(OR(D179="X",D179="x",AND(OR(COUNTA(B179,C179,E179,F179)&gt;0,OR(D179="X",D179="x")),(LEN(SUBSTITUTE(SUBSTITUTE(SUBSTITUTE(B179," ",""),"0",""),"-",""))+LEN(SUBSTITUTE(SUBSTITUTE(SUBSTITUTE(C179," ",""),"0",""),"-","")))=(LEN(SUBSTITUTE(SUBSTITUTE(SUBSTITUTE(E179," ",""),"0",""),"-",""))+LEN(SUBSTITUTE(SUBSTITUTE(SUBSTITUTE(F179," ",""),"0",""),"-",""))))),0,(LEN(SUBSTITUTE(SUBSTITUTE(SUBSTITUTE(B179," ",""),"0",""),"-",""))+LEN(SUBSTITUTE(SUBSTITUTE(SUBSTITUTE(C179," ",""),"0",""),"-",""))&gt;LEN(SUBSTITUTE(SUBSTITUTE(SUBSTITUTE(E179," ",""),"0",""),"-",""))+LEN(SUBSTITUTE(SUBSTITUTE(SUBSTITUTE(F179," ",""),"0",""),"-","")))*1),0)</f>
      </c>
      <c r="C184" s="14" t="str">
        <f>IF(OR(COUNTA(B178,C178,E178,F178)&gt;0,OR(D178="X",D178="x")),IF(OR(D178="X",D178="x",AND(OR(COUNTA(B178,C178,E178,F178)&gt;0,OR(D178="X",D178="x")),(LEN(SUBSTITUTE(SUBSTITUTE(SUBSTITUTE(B178," ",""),"0",""),"-",""))+LEN(SUBSTITUTE(SUBSTITUTE(SUBSTITUTE(C178," ",""),"0",""),"-","")))=(LEN(SUBSTITUTE(SUBSTITUTE(SUBSTITUTE(E178," ",""),"0",""),"-",""))+LEN(SUBSTITUTE(SUBSTITUTE(SUBSTITUTE(F178," ",""),"0",""),"-",""))))),0,(LEN(SUBSTITUTE(SUBSTITUTE(SUBSTITUTE(B178," ",""),"0",""),"-",""))+LEN(SUBSTITUTE(SUBSTITUTE(SUBSTITUTE(C178," ",""),"0",""),"-",""))&lt;LEN(SUBSTITUTE(SUBSTITUTE(SUBSTITUTE(E178," ",""),"0",""),"-",""))+LEN(SUBSTITUTE(SUBSTITUTE(SUBSTITUTE(F178," ",""),"0",""),"-","")))*1),0)+IF(OR(COUNTA(B179,C179,E179,F179)&gt;0,OR(D179="X",D179="x")),IF(OR(D179="X",D179="x",AND(OR(COUNTA(B179,C179,E179,F179)&gt;0,OR(D179="X",D179="x")),(LEN(SUBSTITUTE(SUBSTITUTE(SUBSTITUTE(B179," ",""),"0",""),"-",""))+LEN(SUBSTITUTE(SUBSTITUTE(SUBSTITUTE(C179," ",""),"0",""),"-","")))=(LEN(SUBSTITUTE(SUBSTITUTE(SUBSTITUTE(E179," ",""),"0",""),"-",""))+LEN(SUBSTITUTE(SUBSTITUTE(SUBSTITUTE(F179," ",""),"0",""),"-",""))))),0,(LEN(SUBSTITUTE(SUBSTITUTE(SUBSTITUTE(B179," ",""),"0",""),"-",""))+LEN(SUBSTITUTE(SUBSTITUTE(SUBSTITUTE(C179," ",""),"0",""),"-",""))&lt;LEN(SUBSTITUTE(SUBSTITUTE(SUBSTITUTE(E179," ",""),"0",""),"-",""))+LEN(SUBSTITUTE(SUBSTITUTE(SUBSTITUTE(F179," ",""),"0",""),"-","")))*1),0)</f>
      </c>
      <c r="D184" s="14" t="str">
        <f>IF(OR(COUNTA(B178,C178,E178,F178)&gt;0,OR(D178="X",D178="x")),IF(OR(D178="X",D178="x",AND(OR(COUNTA(B178,C178,E178,F178)&gt;0,OR(D178="X",D178="x")),(LEN(SUBSTITUTE(SUBSTITUTE(SUBSTITUTE(B178," ",""),"0",""),"-",""))+LEN(SUBSTITUTE(SUBSTITUTE(SUBSTITUTE(C178," ",""),"0",""),"-","")))=(LEN(SUBSTITUTE(SUBSTITUTE(SUBSTITUTE(E178," ",""),"0",""),"-",""))+LEN(SUBSTITUTE(SUBSTITUTE(SUBSTITUTE(F178," ",""),"0",""),"-",""))))),1,0),0)+IF(OR(COUNTA(B179,C179,E179,F179)&gt;0,OR(D179="X",D179="x")),IF(OR(D179="X",D179="x",AND(OR(COUNTA(B179,C179,E179,F179)&gt;0,OR(D179="X",D179="x")),(LEN(SUBSTITUTE(SUBSTITUTE(SUBSTITUTE(B179," ",""),"0",""),"-",""))+LEN(SUBSTITUTE(SUBSTITUTE(SUBSTITUTE(C179," ",""),"0",""),"-","")))=(LEN(SUBSTITUTE(SUBSTITUTE(SUBSTITUTE(E179," ",""),"0",""),"-",""))+LEN(SUBSTITUTE(SUBSTITUTE(SUBSTITUTE(F179," ",""),"0",""),"-",""))))),1,0),0)</f>
      </c>
      <c r="E184" s="14" t="str">
        <f>LEN(SUBSTITUTE(SUBSTITUTE(SUBSTITUTE(B178," ",""),"0",""),"-",""))+LEN(SUBSTITUTE(SUBSTITUTE(SUBSTITUTE(C178," ",""),"0",""),"-",""))+LEN(SUBSTITUTE(SUBSTITUTE(SUBSTITUTE(B179," ",""),"0",""),"-",""))+LEN(SUBSTITUTE(SUBSTITUTE(SUBSTITUTE(C179," ",""),"0",""),"-",""))</f>
      </c>
      <c r="F184" s="14" t="str">
        <f>LEN(SUBSTITUTE(SUBSTITUTE(SUBSTITUTE(E178," ",""),"0",""),"-",""))+LEN(SUBSTITUTE(SUBSTITUTE(SUBSTITUTE(F178," ",""),"0",""),"-",""))+LEN(SUBSTITUTE(SUBSTITUTE(SUBSTITUTE(E179," ",""),"0",""),"-",""))+LEN(SUBSTITUTE(SUBSTITUTE(SUBSTITUTE(F179," ",""),"0",""),"-",""))</f>
      </c>
      <c r="G184" s="18" t="str">
        <f>RANK(U184,$U$182:$U$184)+COUNTIF($U$181:U183,U184)</f>
      </c>
      <c r="I184" s="14" t="str">
        <f>data!$E$81&amp;" "&amp;data!$B$81</f>
      </c>
      <c r="J184" s="14" t="str">
        <f>IF(OR(COUNTA(J178,K178,M178,N178)&gt;0,OR(L178="X",L178="x")),IF(OR(L178="X",L178="x",AND(OR(COUNTA(J178,K178,M178,N178)&gt;0,OR(L178="X",L178="x")),(LEN(SUBSTITUTE(SUBSTITUTE(SUBSTITUTE(J178," ",""),"0",""),"-",""))+LEN(SUBSTITUTE(SUBSTITUTE(SUBSTITUTE(K178," ",""),"0",""),"-","")))=(LEN(SUBSTITUTE(SUBSTITUTE(SUBSTITUTE(M178," ",""),"0",""),"-",""))+LEN(SUBSTITUTE(SUBSTITUTE(SUBSTITUTE(N178," ",""),"0",""),"-",""))))),0,(LEN(SUBSTITUTE(SUBSTITUTE(SUBSTITUTE(J178," ",""),"0",""),"-",""))+LEN(SUBSTITUTE(SUBSTITUTE(SUBSTITUTE(K178," ",""),"0",""),"-",""))&gt;LEN(SUBSTITUTE(SUBSTITUTE(SUBSTITUTE(M178," ",""),"0",""),"-",""))+LEN(SUBSTITUTE(SUBSTITUTE(SUBSTITUTE(N178," ",""),"0",""),"-","")))*1),0)+IF(OR(COUNTA(J179,K179,M179,N179)&gt;0,OR(L179="X",L179="x")),IF(OR(L179="X",L179="x",AND(OR(COUNTA(J179,K179,M179,N179)&gt;0,OR(L179="X",L179="x")),(LEN(SUBSTITUTE(SUBSTITUTE(SUBSTITUTE(J179," ",""),"0",""),"-",""))+LEN(SUBSTITUTE(SUBSTITUTE(SUBSTITUTE(K179," ",""),"0",""),"-","")))=(LEN(SUBSTITUTE(SUBSTITUTE(SUBSTITUTE(M179," ",""),"0",""),"-",""))+LEN(SUBSTITUTE(SUBSTITUTE(SUBSTITUTE(N179," ",""),"0",""),"-",""))))),0,(LEN(SUBSTITUTE(SUBSTITUTE(SUBSTITUTE(J179," ",""),"0",""),"-",""))+LEN(SUBSTITUTE(SUBSTITUTE(SUBSTITUTE(K179," ",""),"0",""),"-",""))&gt;LEN(SUBSTITUTE(SUBSTITUTE(SUBSTITUTE(M179," ",""),"0",""),"-",""))+LEN(SUBSTITUTE(SUBSTITUTE(SUBSTITUTE(N179," ",""),"0",""),"-","")))*1),0)</f>
      </c>
      <c r="K184" s="14" t="str">
        <f>IF(OR(COUNTA(J178,K178,M178,N178)&gt;0,OR(L178="X",L178="x")),IF(OR(L178="X",L178="x",AND(OR(COUNTA(J178,K178,M178,N178)&gt;0,OR(L178="X",L178="x")),(LEN(SUBSTITUTE(SUBSTITUTE(SUBSTITUTE(J178," ",""),"0",""),"-",""))+LEN(SUBSTITUTE(SUBSTITUTE(SUBSTITUTE(K178," ",""),"0",""),"-","")))=(LEN(SUBSTITUTE(SUBSTITUTE(SUBSTITUTE(M178," ",""),"0",""),"-",""))+LEN(SUBSTITUTE(SUBSTITUTE(SUBSTITUTE(N178," ",""),"0",""),"-",""))))),0,(LEN(SUBSTITUTE(SUBSTITUTE(SUBSTITUTE(J178," ",""),"0",""),"-",""))+LEN(SUBSTITUTE(SUBSTITUTE(SUBSTITUTE(K178," ",""),"0",""),"-",""))&lt;LEN(SUBSTITUTE(SUBSTITUTE(SUBSTITUTE(M178," ",""),"0",""),"-",""))+LEN(SUBSTITUTE(SUBSTITUTE(SUBSTITUTE(N178," ",""),"0",""),"-","")))*1),0)+IF(OR(COUNTA(J179,K179,M179,N179)&gt;0,OR(L179="X",L179="x")),IF(OR(L179="X",L179="x",AND(OR(COUNTA(J179,K179,M179,N179)&gt;0,OR(L179="X",L179="x")),(LEN(SUBSTITUTE(SUBSTITUTE(SUBSTITUTE(J179," ",""),"0",""),"-",""))+LEN(SUBSTITUTE(SUBSTITUTE(SUBSTITUTE(K179," ",""),"0",""),"-","")))=(LEN(SUBSTITUTE(SUBSTITUTE(SUBSTITUTE(M179," ",""),"0",""),"-",""))+LEN(SUBSTITUTE(SUBSTITUTE(SUBSTITUTE(N179," ",""),"0",""),"-",""))))),0,(LEN(SUBSTITUTE(SUBSTITUTE(SUBSTITUTE(J179," ",""),"0",""),"-",""))+LEN(SUBSTITUTE(SUBSTITUTE(SUBSTITUTE(K179," ",""),"0",""),"-",""))&lt;LEN(SUBSTITUTE(SUBSTITUTE(SUBSTITUTE(M179," ",""),"0",""),"-",""))+LEN(SUBSTITUTE(SUBSTITUTE(SUBSTITUTE(N179," ",""),"0",""),"-","")))*1),0)</f>
      </c>
      <c r="L184" s="14" t="str">
        <f>IF(OR(COUNTA(J178,K178,M178,N178)&gt;0,OR(L178="X",L178="x")),IF(OR(L178="X",L178="x",AND(OR(COUNTA(J178,K178,M178,N178)&gt;0,OR(L178="X",L178="x")),(LEN(SUBSTITUTE(SUBSTITUTE(SUBSTITUTE(J178," ",""),"0",""),"-",""))+LEN(SUBSTITUTE(SUBSTITUTE(SUBSTITUTE(K178," ",""),"0",""),"-","")))=(LEN(SUBSTITUTE(SUBSTITUTE(SUBSTITUTE(M178," ",""),"0",""),"-",""))+LEN(SUBSTITUTE(SUBSTITUTE(SUBSTITUTE(N178," ",""),"0",""),"-",""))))),1,0),0)+IF(OR(COUNTA(J179,K179,M179,N179)&gt;0,OR(L179="X",L179="x")),IF(OR(L179="X",L179="x",AND(OR(COUNTA(J179,K179,M179,N179)&gt;0,OR(L179="X",L179="x")),(LEN(SUBSTITUTE(SUBSTITUTE(SUBSTITUTE(J179," ",""),"0",""),"-",""))+LEN(SUBSTITUTE(SUBSTITUTE(SUBSTITUTE(K179," ",""),"0",""),"-","")))=(LEN(SUBSTITUTE(SUBSTITUTE(SUBSTITUTE(M179," ",""),"0",""),"-",""))+LEN(SUBSTITUTE(SUBSTITUTE(SUBSTITUTE(N179," ",""),"0",""),"-",""))))),1,0),0)</f>
      </c>
      <c r="M184" s="14" t="str">
        <f>LEN(SUBSTITUTE(SUBSTITUTE(SUBSTITUTE(J178," ",""),"0",""),"-",""))+LEN(SUBSTITUTE(SUBSTITUTE(SUBSTITUTE(K178," ",""),"0",""),"-",""))+LEN(SUBSTITUTE(SUBSTITUTE(SUBSTITUTE(J179," ",""),"0",""),"-",""))+LEN(SUBSTITUTE(SUBSTITUTE(SUBSTITUTE(K179," ",""),"0",""),"-",""))</f>
      </c>
      <c r="N184" s="14" t="str">
        <f>LEN(SUBSTITUTE(SUBSTITUTE(SUBSTITUTE(M178," ",""),"0",""),"-",""))+LEN(SUBSTITUTE(SUBSTITUTE(SUBSTITUTE(N178," ",""),"0",""),"-",""))+LEN(SUBSTITUTE(SUBSTITUTE(SUBSTITUTE(M179," ",""),"0",""),"-",""))+LEN(SUBSTITUTE(SUBSTITUTE(SUBSTITUTE(N179," ",""),"0",""),"-",""))</f>
      </c>
      <c r="O184" s="18" t="str">
        <f>RANK(AC184,$AC$182:$AC$184)+COUNTIF($AC$181:AC183,AC184)</f>
      </c>
      <c r="U184" t="str">
        <f>(B184*1000000)-(C184*10000)+(D184*100)+(E184*1)-(F184*0.01)</f>
      </c>
      <c r="AC184" t="str">
        <f>(J184*1000000)-(K184*10000)+(L184*100)+(M184*1)-(N184*0.01)</f>
      </c>
    </row>
    <row r="187">
      <c r="F187" s="13"/>
      <c r="G187" s="13" t="s">
        <v>340</v>
      </c>
      <c r="N187" s="13"/>
      <c r="O187" s="13" t="s">
        <v>340</v>
      </c>
    </row>
    <row r="188">
      <c r="F188" t="s">
        <v>341</v>
      </c>
      <c r="G188" s="19" t="str">
        <f>IFERROR(INDEX($A$182:$A$184, MATCH(1, $G$182:$G$184, 0)), "-")</f>
      </c>
      <c r="N188" t="s">
        <v>341</v>
      </c>
      <c r="O188" s="19" t="str">
        <f>IFERROR(INDEX($I$182:$I$184, MATCH(1, $O$182:$O$184, 0)), "-")</f>
      </c>
    </row>
    <row r="189">
      <c r="F189" t="s">
        <v>342</v>
      </c>
      <c r="G189" s="19" t="str">
        <f>IFERROR(INDEX($A$182:$A$184, MATCH(2, $G$182:$G$184, 0)), "-")</f>
      </c>
      <c r="N189" t="s">
        <v>342</v>
      </c>
      <c r="O189" s="19" t="str">
        <f>IFERROR(INDEX($I$182:$I$184, MATCH(2, $O$182:$O$184, 0)), "-")</f>
      </c>
    </row>
    <row r="190">
      <c r="F190" t="s">
        <v>343</v>
      </c>
      <c r="G190" s="19" t="str">
        <f>IFERROR(INDEX($A$182:$A$184, MATCH(3, $G$182:$G$184, 0)), "-")</f>
      </c>
      <c r="N190" t="s">
        <v>343</v>
      </c>
      <c r="O190" s="19" t="str">
        <f>IFERROR(INDEX($I$182:$I$184, MATCH(3, $O$182:$O$184, 0)), "-")</f>
      </c>
    </row>
    <row r="192">
      <c r="A192" s="13" t="str">
        <f>'data'!$A$39</f>
      </c>
      <c r="B192" s="13"/>
      <c r="C192" s="13"/>
      <c r="D192" s="13"/>
      <c r="E192" s="13"/>
      <c r="F192" s="13"/>
      <c r="G192" s="13"/>
      <c r="I192" s="13" t="str">
        <f>'data'!$A$84</f>
      </c>
      <c r="J192" s="13"/>
      <c r="K192" s="13"/>
      <c r="L192" s="13"/>
      <c r="M192" s="13"/>
      <c r="N192" s="13"/>
      <c r="O192" s="13"/>
    </row>
    <row r="193">
      <c r="A193" s="17" t="s">
        <v>330</v>
      </c>
      <c r="D193" s="14" t="s">
        <v>331</v>
      </c>
      <c r="G193" s="16" t="s">
        <v>332</v>
      </c>
      <c r="I193" s="17" t="s">
        <v>330</v>
      </c>
      <c r="L193" s="14" t="s">
        <v>331</v>
      </c>
      <c r="O193" s="16" t="s">
        <v>332</v>
      </c>
    </row>
    <row r="194">
      <c r="A194" s="14" t="str">
        <f>data!$E$38&amp;" "&amp;data!$B$38</f>
      </c>
      <c r="B194" s="18"/>
      <c r="C194" s="18"/>
      <c r="D194" s="18"/>
      <c r="E194" s="18"/>
      <c r="F194" s="18"/>
      <c r="G194" s="14" t="str">
        <f>data!$E$37&amp;" "&amp;data!$B$37</f>
      </c>
      <c r="I194" s="14" t="str">
        <f>data!$E$83&amp;" "&amp;data!$B$83</f>
      </c>
      <c r="J194" s="18"/>
      <c r="K194" s="18"/>
      <c r="L194" s="18"/>
      <c r="M194" s="18"/>
      <c r="N194" s="18"/>
      <c r="O194" s="14" t="str">
        <f>data!$E$82&amp;" "&amp;data!$B$82</f>
      </c>
    </row>
    <row r="195">
      <c r="A195" s="14" t="str">
        <f>data!$E$39&amp;" "&amp;data!$B$39</f>
      </c>
      <c r="B195" s="18"/>
      <c r="C195" s="18"/>
      <c r="D195" s="18"/>
      <c r="E195" s="18"/>
      <c r="F195" s="18"/>
      <c r="G195" s="14" t="str">
        <f>data!$E$37&amp;" "&amp;data!$B$37</f>
      </c>
      <c r="I195" s="14" t="str">
        <f>data!$E$84&amp;" "&amp;data!$B$84</f>
      </c>
      <c r="J195" s="18"/>
      <c r="K195" s="18"/>
      <c r="L195" s="18"/>
      <c r="M195" s="18"/>
      <c r="N195" s="18"/>
      <c r="O195" s="14" t="str">
        <f>data!$E$82&amp;" "&amp;data!$B$82</f>
      </c>
    </row>
    <row r="196">
      <c r="A196" s="14" t="str">
        <f>data!$E$39&amp;" "&amp;data!$B$39</f>
      </c>
      <c r="B196" s="18"/>
      <c r="C196" s="18"/>
      <c r="D196" s="18"/>
      <c r="E196" s="18"/>
      <c r="F196" s="18"/>
      <c r="G196" s="14" t="str">
        <f>data!$E$38&amp;" "&amp;data!$B$38</f>
      </c>
      <c r="I196" s="14" t="str">
        <f>data!$E$84&amp;" "&amp;data!$B$84</f>
      </c>
      <c r="J196" s="18"/>
      <c r="K196" s="18"/>
      <c r="L196" s="18"/>
      <c r="M196" s="18"/>
      <c r="N196" s="18"/>
      <c r="O196" s="14" t="str">
        <f>data!$E$83&amp;" "&amp;data!$B$83</f>
      </c>
    </row>
    <row r="198">
      <c r="A198" s="13" t="s">
        <v>333</v>
      </c>
      <c r="B198" s="13" t="s">
        <v>334</v>
      </c>
      <c r="C198" s="13" t="s">
        <v>335</v>
      </c>
      <c r="D198" s="13" t="s">
        <v>336</v>
      </c>
      <c r="E198" s="13" t="s">
        <v>337</v>
      </c>
      <c r="F198" s="13" t="s">
        <v>338</v>
      </c>
      <c r="G198" s="13" t="s">
        <v>339</v>
      </c>
      <c r="I198" s="13" t="s">
        <v>333</v>
      </c>
      <c r="J198" s="13" t="s">
        <v>334</v>
      </c>
      <c r="K198" s="13" t="s">
        <v>335</v>
      </c>
      <c r="L198" s="13" t="s">
        <v>336</v>
      </c>
      <c r="M198" s="13" t="s">
        <v>337</v>
      </c>
      <c r="N198" s="13" t="s">
        <v>338</v>
      </c>
      <c r="O198" s="13" t="s">
        <v>339</v>
      </c>
    </row>
    <row r="199">
      <c r="A199" s="14" t="str">
        <f>data!$E$37&amp;" "&amp;data!$B$37</f>
      </c>
      <c r="B199" s="14" t="str">
        <f>IF(OR(COUNTA(B194,C194,E194,F194)&gt;0,OR(D194="X",D194="x")),IF(OR(D194="X",D194="x",AND(OR(COUNTA(B194,C194,E194,F194)&gt;0,OR(D194="X",D194="x")),(LEN(SUBSTITUTE(SUBSTITUTE(SUBSTITUTE(B194," ",""),"0",""),"-",""))+LEN(SUBSTITUTE(SUBSTITUTE(SUBSTITUTE(C194," ",""),"0",""),"-","")))=(LEN(SUBSTITUTE(SUBSTITUTE(SUBSTITUTE(E194," ",""),"0",""),"-",""))+LEN(SUBSTITUTE(SUBSTITUTE(SUBSTITUTE(F194," ",""),"0",""),"-",""))))),0,(LEN(SUBSTITUTE(SUBSTITUTE(SUBSTITUTE(E194," ",""),"0",""),"-",""))+LEN(SUBSTITUTE(SUBSTITUTE(SUBSTITUTE(F194," ",""),"0",""),"-",""))&gt;LEN(SUBSTITUTE(SUBSTITUTE(SUBSTITUTE(B194," ",""),"0",""),"-",""))+LEN(SUBSTITUTE(SUBSTITUTE(SUBSTITUTE(C194," ",""),"0",""),"-","")))*1),0)+IF(OR(COUNTA(B195,C195,E195,F195)&gt;0,OR(D195="X",D195="x")),IF(OR(D195="X",D195="x",AND(OR(COUNTA(B195,C195,E195,F195)&gt;0,OR(D195="X",D195="x")),(LEN(SUBSTITUTE(SUBSTITUTE(SUBSTITUTE(B195," ",""),"0",""),"-",""))+LEN(SUBSTITUTE(SUBSTITUTE(SUBSTITUTE(C195," ",""),"0",""),"-","")))=(LEN(SUBSTITUTE(SUBSTITUTE(SUBSTITUTE(E195," ",""),"0",""),"-",""))+LEN(SUBSTITUTE(SUBSTITUTE(SUBSTITUTE(F195," ",""),"0",""),"-",""))))),0,(LEN(SUBSTITUTE(SUBSTITUTE(SUBSTITUTE(E195," ",""),"0",""),"-",""))+LEN(SUBSTITUTE(SUBSTITUTE(SUBSTITUTE(F195," ",""),"0",""),"-",""))&gt;LEN(SUBSTITUTE(SUBSTITUTE(SUBSTITUTE(B195," ",""),"0",""),"-",""))+LEN(SUBSTITUTE(SUBSTITUTE(SUBSTITUTE(C195," ",""),"0",""),"-","")))*1),0)</f>
      </c>
      <c r="C199" s="14" t="str">
        <f>IF(OR(COUNTA(B194,C194,E194,F194)&gt;0,OR(D194="X",D194="x")),IF(OR(D194="X",D194="x",AND(OR(COUNTA(B194,C194,E194,F194)&gt;0,OR(D194="X",D194="x")),(LEN(SUBSTITUTE(SUBSTITUTE(SUBSTITUTE(B194," ",""),"0",""),"-",""))+LEN(SUBSTITUTE(SUBSTITUTE(SUBSTITUTE(C194," ",""),"0",""),"-","")))=(LEN(SUBSTITUTE(SUBSTITUTE(SUBSTITUTE(E194," ",""),"0",""),"-",""))+LEN(SUBSTITUTE(SUBSTITUTE(SUBSTITUTE(F194," ",""),"0",""),"-",""))))),0,(LEN(SUBSTITUTE(SUBSTITUTE(SUBSTITUTE(E194," ",""),"0",""),"-",""))+LEN(SUBSTITUTE(SUBSTITUTE(SUBSTITUTE(F194," ",""),"0",""),"-",""))&lt;LEN(SUBSTITUTE(SUBSTITUTE(SUBSTITUTE(B194," ",""),"0",""),"-",""))+LEN(SUBSTITUTE(SUBSTITUTE(SUBSTITUTE(C194," ",""),"0",""),"-","")))*1),0)+IF(OR(COUNTA(B195,C195,E195,F195)&gt;0,OR(D195="X",D195="x")),IF(OR(D195="X",D195="x",AND(OR(COUNTA(B195,C195,E195,F195)&gt;0,OR(D195="X",D195="x")),(LEN(SUBSTITUTE(SUBSTITUTE(SUBSTITUTE(B195," ",""),"0",""),"-",""))+LEN(SUBSTITUTE(SUBSTITUTE(SUBSTITUTE(C195," ",""),"0",""),"-","")))=(LEN(SUBSTITUTE(SUBSTITUTE(SUBSTITUTE(E195," ",""),"0",""),"-",""))+LEN(SUBSTITUTE(SUBSTITUTE(SUBSTITUTE(F195," ",""),"0",""),"-",""))))),0,(LEN(SUBSTITUTE(SUBSTITUTE(SUBSTITUTE(E195," ",""),"0",""),"-",""))+LEN(SUBSTITUTE(SUBSTITUTE(SUBSTITUTE(F195," ",""),"0",""),"-",""))&lt;LEN(SUBSTITUTE(SUBSTITUTE(SUBSTITUTE(B195," ",""),"0",""),"-",""))+LEN(SUBSTITUTE(SUBSTITUTE(SUBSTITUTE(C195," ",""),"0",""),"-","")))*1),0)</f>
      </c>
      <c r="D199" s="14" t="str">
        <f>IF(OR(COUNTA(B194,C194,E194,F194)&gt;0,OR(D194="X",D194="x")),IF(OR(D194="X",D194="x",AND(OR(COUNTA(B194,C194,E194,F194)&gt;0,OR(D194="X",D194="x")),(LEN(SUBSTITUTE(SUBSTITUTE(SUBSTITUTE(B194," ",""),"0",""),"-",""))+LEN(SUBSTITUTE(SUBSTITUTE(SUBSTITUTE(C194," ",""),"0",""),"-","")))=(LEN(SUBSTITUTE(SUBSTITUTE(SUBSTITUTE(E194," ",""),"0",""),"-",""))+LEN(SUBSTITUTE(SUBSTITUTE(SUBSTITUTE(F194," ",""),"0",""),"-",""))))),1,0),0)+IF(OR(COUNTA(B195,C195,E195,F195)&gt;0,OR(D195="X",D195="x")),IF(OR(D195="X",D195="x",AND(OR(COUNTA(B195,C195,E195,F195)&gt;0,OR(D195="X",D195="x")),(LEN(SUBSTITUTE(SUBSTITUTE(SUBSTITUTE(B195," ",""),"0",""),"-",""))+LEN(SUBSTITUTE(SUBSTITUTE(SUBSTITUTE(C195," ",""),"0",""),"-","")))=(LEN(SUBSTITUTE(SUBSTITUTE(SUBSTITUTE(E195," ",""),"0",""),"-",""))+LEN(SUBSTITUTE(SUBSTITUTE(SUBSTITUTE(F195," ",""),"0",""),"-",""))))),1,0),0)</f>
      </c>
      <c r="E199" s="14" t="str">
        <f>LEN(SUBSTITUTE(SUBSTITUTE(SUBSTITUTE(E194," ",""),"0",""),"-",""))+LEN(SUBSTITUTE(SUBSTITUTE(SUBSTITUTE(F194," ",""),"0",""),"-",""))+LEN(SUBSTITUTE(SUBSTITUTE(SUBSTITUTE(E195," ",""),"0",""),"-",""))+LEN(SUBSTITUTE(SUBSTITUTE(SUBSTITUTE(F195," ",""),"0",""),"-",""))</f>
      </c>
      <c r="F199" s="14" t="str">
        <f>LEN(SUBSTITUTE(SUBSTITUTE(SUBSTITUTE(B194," ",""),"0",""),"-",""))+LEN(SUBSTITUTE(SUBSTITUTE(SUBSTITUTE(C194," ",""),"0",""),"-",""))+LEN(SUBSTITUTE(SUBSTITUTE(SUBSTITUTE(B195," ",""),"0",""),"-",""))+LEN(SUBSTITUTE(SUBSTITUTE(SUBSTITUTE(C195," ",""),"0",""),"-",""))</f>
      </c>
      <c r="G199" s="18" t="str">
        <f>RANK(U199,$U$199:$U$201)+COUNTIF($U$198:U198,U199)</f>
      </c>
      <c r="I199" s="14" t="str">
        <f>data!$E$82&amp;" "&amp;data!$B$82</f>
      </c>
      <c r="J199" s="14" t="str">
        <f>IF(OR(COUNTA(J194,K194,M194,N194)&gt;0,OR(L194="X",L194="x")),IF(OR(L194="X",L194="x",AND(OR(COUNTA(J194,K194,M194,N194)&gt;0,OR(L194="X",L194="x")),(LEN(SUBSTITUTE(SUBSTITUTE(SUBSTITUTE(J194," ",""),"0",""),"-",""))+LEN(SUBSTITUTE(SUBSTITUTE(SUBSTITUTE(K194," ",""),"0",""),"-","")))=(LEN(SUBSTITUTE(SUBSTITUTE(SUBSTITUTE(M194," ",""),"0",""),"-",""))+LEN(SUBSTITUTE(SUBSTITUTE(SUBSTITUTE(N194," ",""),"0",""),"-",""))))),0,(LEN(SUBSTITUTE(SUBSTITUTE(SUBSTITUTE(M194," ",""),"0",""),"-",""))+LEN(SUBSTITUTE(SUBSTITUTE(SUBSTITUTE(N194," ",""),"0",""),"-",""))&gt;LEN(SUBSTITUTE(SUBSTITUTE(SUBSTITUTE(J194," ",""),"0",""),"-",""))+LEN(SUBSTITUTE(SUBSTITUTE(SUBSTITUTE(K194," ",""),"0",""),"-","")))*1),0)+IF(OR(COUNTA(J195,K195,M195,N195)&gt;0,OR(L195="X",L195="x")),IF(OR(L195="X",L195="x",AND(OR(COUNTA(J195,K195,M195,N195)&gt;0,OR(L195="X",L195="x")),(LEN(SUBSTITUTE(SUBSTITUTE(SUBSTITUTE(J195," ",""),"0",""),"-",""))+LEN(SUBSTITUTE(SUBSTITUTE(SUBSTITUTE(K195," ",""),"0",""),"-","")))=(LEN(SUBSTITUTE(SUBSTITUTE(SUBSTITUTE(M195," ",""),"0",""),"-",""))+LEN(SUBSTITUTE(SUBSTITUTE(SUBSTITUTE(N195," ",""),"0",""),"-",""))))),0,(LEN(SUBSTITUTE(SUBSTITUTE(SUBSTITUTE(M195," ",""),"0",""),"-",""))+LEN(SUBSTITUTE(SUBSTITUTE(SUBSTITUTE(N195," ",""),"0",""),"-",""))&gt;LEN(SUBSTITUTE(SUBSTITUTE(SUBSTITUTE(J195," ",""),"0",""),"-",""))+LEN(SUBSTITUTE(SUBSTITUTE(SUBSTITUTE(K195," ",""),"0",""),"-","")))*1),0)</f>
      </c>
      <c r="K199" s="14" t="str">
        <f>IF(OR(COUNTA(J194,K194,M194,N194)&gt;0,OR(L194="X",L194="x")),IF(OR(L194="X",L194="x",AND(OR(COUNTA(J194,K194,M194,N194)&gt;0,OR(L194="X",L194="x")),(LEN(SUBSTITUTE(SUBSTITUTE(SUBSTITUTE(J194," ",""),"0",""),"-",""))+LEN(SUBSTITUTE(SUBSTITUTE(SUBSTITUTE(K194," ",""),"0",""),"-","")))=(LEN(SUBSTITUTE(SUBSTITUTE(SUBSTITUTE(M194," ",""),"0",""),"-",""))+LEN(SUBSTITUTE(SUBSTITUTE(SUBSTITUTE(N194," ",""),"0",""),"-",""))))),0,(LEN(SUBSTITUTE(SUBSTITUTE(SUBSTITUTE(M194," ",""),"0",""),"-",""))+LEN(SUBSTITUTE(SUBSTITUTE(SUBSTITUTE(N194," ",""),"0",""),"-",""))&lt;LEN(SUBSTITUTE(SUBSTITUTE(SUBSTITUTE(J194," ",""),"0",""),"-",""))+LEN(SUBSTITUTE(SUBSTITUTE(SUBSTITUTE(K194," ",""),"0",""),"-","")))*1),0)+IF(OR(COUNTA(J195,K195,M195,N195)&gt;0,OR(L195="X",L195="x")),IF(OR(L195="X",L195="x",AND(OR(COUNTA(J195,K195,M195,N195)&gt;0,OR(L195="X",L195="x")),(LEN(SUBSTITUTE(SUBSTITUTE(SUBSTITUTE(J195," ",""),"0",""),"-",""))+LEN(SUBSTITUTE(SUBSTITUTE(SUBSTITUTE(K195," ",""),"0",""),"-","")))=(LEN(SUBSTITUTE(SUBSTITUTE(SUBSTITUTE(M195," ",""),"0",""),"-",""))+LEN(SUBSTITUTE(SUBSTITUTE(SUBSTITUTE(N195," ",""),"0",""),"-",""))))),0,(LEN(SUBSTITUTE(SUBSTITUTE(SUBSTITUTE(M195," ",""),"0",""),"-",""))+LEN(SUBSTITUTE(SUBSTITUTE(SUBSTITUTE(N195," ",""),"0",""),"-",""))&lt;LEN(SUBSTITUTE(SUBSTITUTE(SUBSTITUTE(J195," ",""),"0",""),"-",""))+LEN(SUBSTITUTE(SUBSTITUTE(SUBSTITUTE(K195," ",""),"0",""),"-","")))*1),0)</f>
      </c>
      <c r="L199" s="14" t="str">
        <f>IF(OR(COUNTA(J194,K194,M194,N194)&gt;0,OR(L194="X",L194="x")),IF(OR(L194="X",L194="x",AND(OR(COUNTA(J194,K194,M194,N194)&gt;0,OR(L194="X",L194="x")),(LEN(SUBSTITUTE(SUBSTITUTE(SUBSTITUTE(J194," ",""),"0",""),"-",""))+LEN(SUBSTITUTE(SUBSTITUTE(SUBSTITUTE(K194," ",""),"0",""),"-","")))=(LEN(SUBSTITUTE(SUBSTITUTE(SUBSTITUTE(M194," ",""),"0",""),"-",""))+LEN(SUBSTITUTE(SUBSTITUTE(SUBSTITUTE(N194," ",""),"0",""),"-",""))))),1,0),0)+IF(OR(COUNTA(J195,K195,M195,N195)&gt;0,OR(L195="X",L195="x")),IF(OR(L195="X",L195="x",AND(OR(COUNTA(J195,K195,M195,N195)&gt;0,OR(L195="X",L195="x")),(LEN(SUBSTITUTE(SUBSTITUTE(SUBSTITUTE(J195," ",""),"0",""),"-",""))+LEN(SUBSTITUTE(SUBSTITUTE(SUBSTITUTE(K195," ",""),"0",""),"-","")))=(LEN(SUBSTITUTE(SUBSTITUTE(SUBSTITUTE(M195," ",""),"0",""),"-",""))+LEN(SUBSTITUTE(SUBSTITUTE(SUBSTITUTE(N195," ",""),"0",""),"-",""))))),1,0),0)</f>
      </c>
      <c r="M199" s="14" t="str">
        <f>LEN(SUBSTITUTE(SUBSTITUTE(SUBSTITUTE(M194," ",""),"0",""),"-",""))+LEN(SUBSTITUTE(SUBSTITUTE(SUBSTITUTE(N194," ",""),"0",""),"-",""))+LEN(SUBSTITUTE(SUBSTITUTE(SUBSTITUTE(M195," ",""),"0",""),"-",""))+LEN(SUBSTITUTE(SUBSTITUTE(SUBSTITUTE(N195," ",""),"0",""),"-",""))</f>
      </c>
      <c r="N199" s="14" t="str">
        <f>LEN(SUBSTITUTE(SUBSTITUTE(SUBSTITUTE(J194," ",""),"0",""),"-",""))+LEN(SUBSTITUTE(SUBSTITUTE(SUBSTITUTE(K194," ",""),"0",""),"-",""))+LEN(SUBSTITUTE(SUBSTITUTE(SUBSTITUTE(J195," ",""),"0",""),"-",""))+LEN(SUBSTITUTE(SUBSTITUTE(SUBSTITUTE(K195," ",""),"0",""),"-",""))</f>
      </c>
      <c r="O199" s="18" t="str">
        <f>RANK(AC199,$AC$199:$AC$201)+COUNTIF($AC$198:AC198,AC199)</f>
      </c>
      <c r="U199" t="str">
        <f>(B199*1000000)-(C199*10000)+(D199*100)+(E199*1)-(F199*0.01)</f>
      </c>
      <c r="AC199" t="str">
        <f>(J199*1000000)-(K199*10000)+(L199*100)+(M199*1)-(N199*0.01)</f>
      </c>
    </row>
    <row r="200">
      <c r="A200" s="14" t="str">
        <f>data!$E$38&amp;" "&amp;data!$B$38</f>
      </c>
      <c r="B200" s="14" t="str">
        <f>IF(OR(COUNTA(B194,C194,E194,F194)&gt;0,OR(D194="X",D194="x")),IF(OR(D194="X",D194="x",AND(OR(COUNTA(B194,C194,E194,F194)&gt;0,OR(D194="X",D194="x")),(LEN(SUBSTITUTE(SUBSTITUTE(SUBSTITUTE(B194," ",""),"0",""),"-",""))+LEN(SUBSTITUTE(SUBSTITUTE(SUBSTITUTE(C194," ",""),"0",""),"-","")))=(LEN(SUBSTITUTE(SUBSTITUTE(SUBSTITUTE(E194," ",""),"0",""),"-",""))+LEN(SUBSTITUTE(SUBSTITUTE(SUBSTITUTE(F194," ",""),"0",""),"-",""))))),0,(LEN(SUBSTITUTE(SUBSTITUTE(SUBSTITUTE(B194," ",""),"0",""),"-",""))+LEN(SUBSTITUTE(SUBSTITUTE(SUBSTITUTE(C194," ",""),"0",""),"-",""))&gt;LEN(SUBSTITUTE(SUBSTITUTE(SUBSTITUTE(E194," ",""),"0",""),"-",""))+LEN(SUBSTITUTE(SUBSTITUTE(SUBSTITUTE(F194," ",""),"0",""),"-","")))*1),0)+IF(OR(COUNTA(B196,C196,E196,F196)&gt;0,OR(D196="X",D196="x")),IF(OR(D196="X",D196="x",AND(OR(COUNTA(B196,C196,E196,F196)&gt;0,OR(D196="X",D196="x")),(LEN(SUBSTITUTE(SUBSTITUTE(SUBSTITUTE(B196," ",""),"0",""),"-",""))+LEN(SUBSTITUTE(SUBSTITUTE(SUBSTITUTE(C196," ",""),"0",""),"-","")))=(LEN(SUBSTITUTE(SUBSTITUTE(SUBSTITUTE(E196," ",""),"0",""),"-",""))+LEN(SUBSTITUTE(SUBSTITUTE(SUBSTITUTE(F196," ",""),"0",""),"-",""))))),0,(LEN(SUBSTITUTE(SUBSTITUTE(SUBSTITUTE(E196," ",""),"0",""),"-",""))+LEN(SUBSTITUTE(SUBSTITUTE(SUBSTITUTE(F196," ",""),"0",""),"-",""))&gt;LEN(SUBSTITUTE(SUBSTITUTE(SUBSTITUTE(B196," ",""),"0",""),"-",""))+LEN(SUBSTITUTE(SUBSTITUTE(SUBSTITUTE(C196," ",""),"0",""),"-","")))*1),0)</f>
      </c>
      <c r="C200" s="14" t="str">
        <f>IF(OR(COUNTA(B194,C194,E194,F194)&gt;0,OR(D194="X",D194="x")),IF(OR(D194="X",D194="x",AND(OR(COUNTA(B194,C194,E194,F194)&gt;0,OR(D194="X",D194="x")),(LEN(SUBSTITUTE(SUBSTITUTE(SUBSTITUTE(B194," ",""),"0",""),"-",""))+LEN(SUBSTITUTE(SUBSTITUTE(SUBSTITUTE(C194," ",""),"0",""),"-","")))=(LEN(SUBSTITUTE(SUBSTITUTE(SUBSTITUTE(E194," ",""),"0",""),"-",""))+LEN(SUBSTITUTE(SUBSTITUTE(SUBSTITUTE(F194," ",""),"0",""),"-",""))))),0,(LEN(SUBSTITUTE(SUBSTITUTE(SUBSTITUTE(B194," ",""),"0",""),"-",""))+LEN(SUBSTITUTE(SUBSTITUTE(SUBSTITUTE(C194," ",""),"0",""),"-",""))&lt;LEN(SUBSTITUTE(SUBSTITUTE(SUBSTITUTE(E194," ",""),"0",""),"-",""))+LEN(SUBSTITUTE(SUBSTITUTE(SUBSTITUTE(F194," ",""),"0",""),"-","")))*1),0)+IF(OR(COUNTA(B196,C196,E196,F196)&gt;0,OR(D196="X",D196="x")),IF(OR(D196="X",D196="x",AND(OR(COUNTA(B196,C196,E196,F196)&gt;0,OR(D196="X",D196="x")),(LEN(SUBSTITUTE(SUBSTITUTE(SUBSTITUTE(B196," ",""),"0",""),"-",""))+LEN(SUBSTITUTE(SUBSTITUTE(SUBSTITUTE(C196," ",""),"0",""),"-","")))=(LEN(SUBSTITUTE(SUBSTITUTE(SUBSTITUTE(E196," ",""),"0",""),"-",""))+LEN(SUBSTITUTE(SUBSTITUTE(SUBSTITUTE(F196," ",""),"0",""),"-",""))))),0,(LEN(SUBSTITUTE(SUBSTITUTE(SUBSTITUTE(E196," ",""),"0",""),"-",""))+LEN(SUBSTITUTE(SUBSTITUTE(SUBSTITUTE(F196," ",""),"0",""),"-",""))&lt;LEN(SUBSTITUTE(SUBSTITUTE(SUBSTITUTE(B196," ",""),"0",""),"-",""))+LEN(SUBSTITUTE(SUBSTITUTE(SUBSTITUTE(C196," ",""),"0",""),"-","")))*1),0)</f>
      </c>
      <c r="D200" s="14" t="str">
        <f>IF(OR(COUNTA(B194,C194,E194,F194)&gt;0,OR(D194="X",D194="x")),IF(OR(D194="X",D194="x",AND(OR(COUNTA(B194,C194,E194,F194)&gt;0,OR(D194="X",D194="x")),(LEN(SUBSTITUTE(SUBSTITUTE(SUBSTITUTE(B194," ",""),"0",""),"-",""))+LEN(SUBSTITUTE(SUBSTITUTE(SUBSTITUTE(C194," ",""),"0",""),"-","")))=(LEN(SUBSTITUTE(SUBSTITUTE(SUBSTITUTE(E194," ",""),"0",""),"-",""))+LEN(SUBSTITUTE(SUBSTITUTE(SUBSTITUTE(F194," ",""),"0",""),"-",""))))),1,0),0)+IF(OR(COUNTA(B196,C196,E196,F196)&gt;0,OR(D196="X",D196="x")),IF(OR(D196="X",D196="x",AND(OR(COUNTA(B196,C196,E196,F196)&gt;0,OR(D196="X",D196="x")),(LEN(SUBSTITUTE(SUBSTITUTE(SUBSTITUTE(B196," ",""),"0",""),"-",""))+LEN(SUBSTITUTE(SUBSTITUTE(SUBSTITUTE(C196," ",""),"0",""),"-","")))=(LEN(SUBSTITUTE(SUBSTITUTE(SUBSTITUTE(E196," ",""),"0",""),"-",""))+LEN(SUBSTITUTE(SUBSTITUTE(SUBSTITUTE(F196," ",""),"0",""),"-",""))))),1,0),0)</f>
      </c>
      <c r="E200" s="14" t="str">
        <f>LEN(SUBSTITUTE(SUBSTITUTE(SUBSTITUTE(B194," ",""),"0",""),"-",""))+LEN(SUBSTITUTE(SUBSTITUTE(SUBSTITUTE(C194," ",""),"0",""),"-",""))+LEN(SUBSTITUTE(SUBSTITUTE(SUBSTITUTE(E196," ",""),"0",""),"-",""))+LEN(SUBSTITUTE(SUBSTITUTE(SUBSTITUTE(F196," ",""),"0",""),"-",""))</f>
      </c>
      <c r="F200" s="14" t="str">
        <f>LEN(SUBSTITUTE(SUBSTITUTE(SUBSTITUTE(E194," ",""),"0",""),"-",""))+LEN(SUBSTITUTE(SUBSTITUTE(SUBSTITUTE(F194," ",""),"0",""),"-",""))+LEN(SUBSTITUTE(SUBSTITUTE(SUBSTITUTE(B196," ",""),"0",""),"-",""))+LEN(SUBSTITUTE(SUBSTITUTE(SUBSTITUTE(C196," ",""),"0",""),"-",""))</f>
      </c>
      <c r="G200" s="18" t="str">
        <f>RANK(U200,$U$199:$U$201)+COUNTIF($U$198:U199,U200)</f>
      </c>
      <c r="I200" s="14" t="str">
        <f>data!$E$83&amp;" "&amp;data!$B$83</f>
      </c>
      <c r="J200" s="14" t="str">
        <f>IF(OR(COUNTA(J194,K194,M194,N194)&gt;0,OR(L194="X",L194="x")),IF(OR(L194="X",L194="x",AND(OR(COUNTA(J194,K194,M194,N194)&gt;0,OR(L194="X",L194="x")),(LEN(SUBSTITUTE(SUBSTITUTE(SUBSTITUTE(J194," ",""),"0",""),"-",""))+LEN(SUBSTITUTE(SUBSTITUTE(SUBSTITUTE(K194," ",""),"0",""),"-","")))=(LEN(SUBSTITUTE(SUBSTITUTE(SUBSTITUTE(M194," ",""),"0",""),"-",""))+LEN(SUBSTITUTE(SUBSTITUTE(SUBSTITUTE(N194," ",""),"0",""),"-",""))))),0,(LEN(SUBSTITUTE(SUBSTITUTE(SUBSTITUTE(J194," ",""),"0",""),"-",""))+LEN(SUBSTITUTE(SUBSTITUTE(SUBSTITUTE(K194," ",""),"0",""),"-",""))&gt;LEN(SUBSTITUTE(SUBSTITUTE(SUBSTITUTE(M194," ",""),"0",""),"-",""))+LEN(SUBSTITUTE(SUBSTITUTE(SUBSTITUTE(N194," ",""),"0",""),"-","")))*1),0)+IF(OR(COUNTA(J196,K196,M196,N196)&gt;0,OR(L196="X",L196="x")),IF(OR(L196="X",L196="x",AND(OR(COUNTA(J196,K196,M196,N196)&gt;0,OR(L196="X",L196="x")),(LEN(SUBSTITUTE(SUBSTITUTE(SUBSTITUTE(J196," ",""),"0",""),"-",""))+LEN(SUBSTITUTE(SUBSTITUTE(SUBSTITUTE(K196," ",""),"0",""),"-","")))=(LEN(SUBSTITUTE(SUBSTITUTE(SUBSTITUTE(M196," ",""),"0",""),"-",""))+LEN(SUBSTITUTE(SUBSTITUTE(SUBSTITUTE(N196," ",""),"0",""),"-",""))))),0,(LEN(SUBSTITUTE(SUBSTITUTE(SUBSTITUTE(M196," ",""),"0",""),"-",""))+LEN(SUBSTITUTE(SUBSTITUTE(SUBSTITUTE(N196," ",""),"0",""),"-",""))&gt;LEN(SUBSTITUTE(SUBSTITUTE(SUBSTITUTE(J196," ",""),"0",""),"-",""))+LEN(SUBSTITUTE(SUBSTITUTE(SUBSTITUTE(K196," ",""),"0",""),"-","")))*1),0)</f>
      </c>
      <c r="K200" s="14" t="str">
        <f>IF(OR(COUNTA(J194,K194,M194,N194)&gt;0,OR(L194="X",L194="x")),IF(OR(L194="X",L194="x",AND(OR(COUNTA(J194,K194,M194,N194)&gt;0,OR(L194="X",L194="x")),(LEN(SUBSTITUTE(SUBSTITUTE(SUBSTITUTE(J194," ",""),"0",""),"-",""))+LEN(SUBSTITUTE(SUBSTITUTE(SUBSTITUTE(K194," ",""),"0",""),"-","")))=(LEN(SUBSTITUTE(SUBSTITUTE(SUBSTITUTE(M194," ",""),"0",""),"-",""))+LEN(SUBSTITUTE(SUBSTITUTE(SUBSTITUTE(N194," ",""),"0",""),"-",""))))),0,(LEN(SUBSTITUTE(SUBSTITUTE(SUBSTITUTE(J194," ",""),"0",""),"-",""))+LEN(SUBSTITUTE(SUBSTITUTE(SUBSTITUTE(K194," ",""),"0",""),"-",""))&lt;LEN(SUBSTITUTE(SUBSTITUTE(SUBSTITUTE(M194," ",""),"0",""),"-",""))+LEN(SUBSTITUTE(SUBSTITUTE(SUBSTITUTE(N194," ",""),"0",""),"-","")))*1),0)+IF(OR(COUNTA(J196,K196,M196,N196)&gt;0,OR(L196="X",L196="x")),IF(OR(L196="X",L196="x",AND(OR(COUNTA(J196,K196,M196,N196)&gt;0,OR(L196="X",L196="x")),(LEN(SUBSTITUTE(SUBSTITUTE(SUBSTITUTE(J196," ",""),"0",""),"-",""))+LEN(SUBSTITUTE(SUBSTITUTE(SUBSTITUTE(K196," ",""),"0",""),"-","")))=(LEN(SUBSTITUTE(SUBSTITUTE(SUBSTITUTE(M196," ",""),"0",""),"-",""))+LEN(SUBSTITUTE(SUBSTITUTE(SUBSTITUTE(N196," ",""),"0",""),"-",""))))),0,(LEN(SUBSTITUTE(SUBSTITUTE(SUBSTITUTE(M196," ",""),"0",""),"-",""))+LEN(SUBSTITUTE(SUBSTITUTE(SUBSTITUTE(N196," ",""),"0",""),"-",""))&lt;LEN(SUBSTITUTE(SUBSTITUTE(SUBSTITUTE(J196," ",""),"0",""),"-",""))+LEN(SUBSTITUTE(SUBSTITUTE(SUBSTITUTE(K196," ",""),"0",""),"-","")))*1),0)</f>
      </c>
      <c r="L200" s="14" t="str">
        <f>IF(OR(COUNTA(J194,K194,M194,N194)&gt;0,OR(L194="X",L194="x")),IF(OR(L194="X",L194="x",AND(OR(COUNTA(J194,K194,M194,N194)&gt;0,OR(L194="X",L194="x")),(LEN(SUBSTITUTE(SUBSTITUTE(SUBSTITUTE(J194," ",""),"0",""),"-",""))+LEN(SUBSTITUTE(SUBSTITUTE(SUBSTITUTE(K194," ",""),"0",""),"-","")))=(LEN(SUBSTITUTE(SUBSTITUTE(SUBSTITUTE(M194," ",""),"0",""),"-",""))+LEN(SUBSTITUTE(SUBSTITUTE(SUBSTITUTE(N194," ",""),"0",""),"-",""))))),1,0),0)+IF(OR(COUNTA(J196,K196,M196,N196)&gt;0,OR(L196="X",L196="x")),IF(OR(L196="X",L196="x",AND(OR(COUNTA(J196,K196,M196,N196)&gt;0,OR(L196="X",L196="x")),(LEN(SUBSTITUTE(SUBSTITUTE(SUBSTITUTE(J196," ",""),"0",""),"-",""))+LEN(SUBSTITUTE(SUBSTITUTE(SUBSTITUTE(K196," ",""),"0",""),"-","")))=(LEN(SUBSTITUTE(SUBSTITUTE(SUBSTITUTE(M196," ",""),"0",""),"-",""))+LEN(SUBSTITUTE(SUBSTITUTE(SUBSTITUTE(N196," ",""),"0",""),"-",""))))),1,0),0)</f>
      </c>
      <c r="M200" s="14" t="str">
        <f>LEN(SUBSTITUTE(SUBSTITUTE(SUBSTITUTE(J194," ",""),"0",""),"-",""))+LEN(SUBSTITUTE(SUBSTITUTE(SUBSTITUTE(K194," ",""),"0",""),"-",""))+LEN(SUBSTITUTE(SUBSTITUTE(SUBSTITUTE(M196," ",""),"0",""),"-",""))+LEN(SUBSTITUTE(SUBSTITUTE(SUBSTITUTE(N196," ",""),"0",""),"-",""))</f>
      </c>
      <c r="N200" s="14" t="str">
        <f>LEN(SUBSTITUTE(SUBSTITUTE(SUBSTITUTE(M194," ",""),"0",""),"-",""))+LEN(SUBSTITUTE(SUBSTITUTE(SUBSTITUTE(N194," ",""),"0",""),"-",""))+LEN(SUBSTITUTE(SUBSTITUTE(SUBSTITUTE(J196," ",""),"0",""),"-",""))+LEN(SUBSTITUTE(SUBSTITUTE(SUBSTITUTE(K196," ",""),"0",""),"-",""))</f>
      </c>
      <c r="O200" s="18" t="str">
        <f>RANK(AC200,$AC$199:$AC$201)+COUNTIF($AC$198:AC199,AC200)</f>
      </c>
      <c r="U200" t="str">
        <f>(B200*1000000)-(C200*10000)+(D200*100)+(E200*1)-(F200*0.01)</f>
      </c>
      <c r="AC200" t="str">
        <f>(J200*1000000)-(K200*10000)+(L200*100)+(M200*1)-(N200*0.01)</f>
      </c>
    </row>
    <row r="201">
      <c r="A201" s="14" t="str">
        <f>data!$E$39&amp;" "&amp;data!$B$39</f>
      </c>
      <c r="B201" s="14" t="str">
        <f>IF(OR(COUNTA(B195,C195,E195,F195)&gt;0,OR(D195="X",D195="x")),IF(OR(D195="X",D195="x",AND(OR(COUNTA(B195,C195,E195,F195)&gt;0,OR(D195="X",D195="x")),(LEN(SUBSTITUTE(SUBSTITUTE(SUBSTITUTE(B195," ",""),"0",""),"-",""))+LEN(SUBSTITUTE(SUBSTITUTE(SUBSTITUTE(C195," ",""),"0",""),"-","")))=(LEN(SUBSTITUTE(SUBSTITUTE(SUBSTITUTE(E195," ",""),"0",""),"-",""))+LEN(SUBSTITUTE(SUBSTITUTE(SUBSTITUTE(F195," ",""),"0",""),"-",""))))),0,(LEN(SUBSTITUTE(SUBSTITUTE(SUBSTITUTE(B195," ",""),"0",""),"-",""))+LEN(SUBSTITUTE(SUBSTITUTE(SUBSTITUTE(C195," ",""),"0",""),"-",""))&gt;LEN(SUBSTITUTE(SUBSTITUTE(SUBSTITUTE(E195," ",""),"0",""),"-",""))+LEN(SUBSTITUTE(SUBSTITUTE(SUBSTITUTE(F195," ",""),"0",""),"-","")))*1),0)+IF(OR(COUNTA(B196,C196,E196,F196)&gt;0,OR(D196="X",D196="x")),IF(OR(D196="X",D196="x",AND(OR(COUNTA(B196,C196,E196,F196)&gt;0,OR(D196="X",D196="x")),(LEN(SUBSTITUTE(SUBSTITUTE(SUBSTITUTE(B196," ",""),"0",""),"-",""))+LEN(SUBSTITUTE(SUBSTITUTE(SUBSTITUTE(C196," ",""),"0",""),"-","")))=(LEN(SUBSTITUTE(SUBSTITUTE(SUBSTITUTE(E196," ",""),"0",""),"-",""))+LEN(SUBSTITUTE(SUBSTITUTE(SUBSTITUTE(F196," ",""),"0",""),"-",""))))),0,(LEN(SUBSTITUTE(SUBSTITUTE(SUBSTITUTE(B196," ",""),"0",""),"-",""))+LEN(SUBSTITUTE(SUBSTITUTE(SUBSTITUTE(C196," ",""),"0",""),"-",""))&gt;LEN(SUBSTITUTE(SUBSTITUTE(SUBSTITUTE(E196," ",""),"0",""),"-",""))+LEN(SUBSTITUTE(SUBSTITUTE(SUBSTITUTE(F196," ",""),"0",""),"-","")))*1),0)</f>
      </c>
      <c r="C201" s="14" t="str">
        <f>IF(OR(COUNTA(B195,C195,E195,F195)&gt;0,OR(D195="X",D195="x")),IF(OR(D195="X",D195="x",AND(OR(COUNTA(B195,C195,E195,F195)&gt;0,OR(D195="X",D195="x")),(LEN(SUBSTITUTE(SUBSTITUTE(SUBSTITUTE(B195," ",""),"0",""),"-",""))+LEN(SUBSTITUTE(SUBSTITUTE(SUBSTITUTE(C195," ",""),"0",""),"-","")))=(LEN(SUBSTITUTE(SUBSTITUTE(SUBSTITUTE(E195," ",""),"0",""),"-",""))+LEN(SUBSTITUTE(SUBSTITUTE(SUBSTITUTE(F195," ",""),"0",""),"-",""))))),0,(LEN(SUBSTITUTE(SUBSTITUTE(SUBSTITUTE(B195," ",""),"0",""),"-",""))+LEN(SUBSTITUTE(SUBSTITUTE(SUBSTITUTE(C195," ",""),"0",""),"-",""))&lt;LEN(SUBSTITUTE(SUBSTITUTE(SUBSTITUTE(E195," ",""),"0",""),"-",""))+LEN(SUBSTITUTE(SUBSTITUTE(SUBSTITUTE(F195," ",""),"0",""),"-","")))*1),0)+IF(OR(COUNTA(B196,C196,E196,F196)&gt;0,OR(D196="X",D196="x")),IF(OR(D196="X",D196="x",AND(OR(COUNTA(B196,C196,E196,F196)&gt;0,OR(D196="X",D196="x")),(LEN(SUBSTITUTE(SUBSTITUTE(SUBSTITUTE(B196," ",""),"0",""),"-",""))+LEN(SUBSTITUTE(SUBSTITUTE(SUBSTITUTE(C196," ",""),"0",""),"-","")))=(LEN(SUBSTITUTE(SUBSTITUTE(SUBSTITUTE(E196," ",""),"0",""),"-",""))+LEN(SUBSTITUTE(SUBSTITUTE(SUBSTITUTE(F196," ",""),"0",""),"-",""))))),0,(LEN(SUBSTITUTE(SUBSTITUTE(SUBSTITUTE(B196," ",""),"0",""),"-",""))+LEN(SUBSTITUTE(SUBSTITUTE(SUBSTITUTE(C196," ",""),"0",""),"-",""))&lt;LEN(SUBSTITUTE(SUBSTITUTE(SUBSTITUTE(E196," ",""),"0",""),"-",""))+LEN(SUBSTITUTE(SUBSTITUTE(SUBSTITUTE(F196," ",""),"0",""),"-","")))*1),0)</f>
      </c>
      <c r="D201" s="14" t="str">
        <f>IF(OR(COUNTA(B195,C195,E195,F195)&gt;0,OR(D195="X",D195="x")),IF(OR(D195="X",D195="x",AND(OR(COUNTA(B195,C195,E195,F195)&gt;0,OR(D195="X",D195="x")),(LEN(SUBSTITUTE(SUBSTITUTE(SUBSTITUTE(B195," ",""),"0",""),"-",""))+LEN(SUBSTITUTE(SUBSTITUTE(SUBSTITUTE(C195," ",""),"0",""),"-","")))=(LEN(SUBSTITUTE(SUBSTITUTE(SUBSTITUTE(E195," ",""),"0",""),"-",""))+LEN(SUBSTITUTE(SUBSTITUTE(SUBSTITUTE(F195," ",""),"0",""),"-",""))))),1,0),0)+IF(OR(COUNTA(B196,C196,E196,F196)&gt;0,OR(D196="X",D196="x")),IF(OR(D196="X",D196="x",AND(OR(COUNTA(B196,C196,E196,F196)&gt;0,OR(D196="X",D196="x")),(LEN(SUBSTITUTE(SUBSTITUTE(SUBSTITUTE(B196," ",""),"0",""),"-",""))+LEN(SUBSTITUTE(SUBSTITUTE(SUBSTITUTE(C196," ",""),"0",""),"-","")))=(LEN(SUBSTITUTE(SUBSTITUTE(SUBSTITUTE(E196," ",""),"0",""),"-",""))+LEN(SUBSTITUTE(SUBSTITUTE(SUBSTITUTE(F196," ",""),"0",""),"-",""))))),1,0),0)</f>
      </c>
      <c r="E201" s="14" t="str">
        <f>LEN(SUBSTITUTE(SUBSTITUTE(SUBSTITUTE(B195," ",""),"0",""),"-",""))+LEN(SUBSTITUTE(SUBSTITUTE(SUBSTITUTE(C195," ",""),"0",""),"-",""))+LEN(SUBSTITUTE(SUBSTITUTE(SUBSTITUTE(B196," ",""),"0",""),"-",""))+LEN(SUBSTITUTE(SUBSTITUTE(SUBSTITUTE(C196," ",""),"0",""),"-",""))</f>
      </c>
      <c r="F201" s="14" t="str">
        <f>LEN(SUBSTITUTE(SUBSTITUTE(SUBSTITUTE(E195," ",""),"0",""),"-",""))+LEN(SUBSTITUTE(SUBSTITUTE(SUBSTITUTE(F195," ",""),"0",""),"-",""))+LEN(SUBSTITUTE(SUBSTITUTE(SUBSTITUTE(E196," ",""),"0",""),"-",""))+LEN(SUBSTITUTE(SUBSTITUTE(SUBSTITUTE(F196," ",""),"0",""),"-",""))</f>
      </c>
      <c r="G201" s="18" t="str">
        <f>RANK(U201,$U$199:$U$201)+COUNTIF($U$198:U200,U201)</f>
      </c>
      <c r="I201" s="14" t="str">
        <f>data!$E$84&amp;" "&amp;data!$B$84</f>
      </c>
      <c r="J201" s="14" t="str">
        <f>IF(OR(COUNTA(J195,K195,M195,N195)&gt;0,OR(L195="X",L195="x")),IF(OR(L195="X",L195="x",AND(OR(COUNTA(J195,K195,M195,N195)&gt;0,OR(L195="X",L195="x")),(LEN(SUBSTITUTE(SUBSTITUTE(SUBSTITUTE(J195," ",""),"0",""),"-",""))+LEN(SUBSTITUTE(SUBSTITUTE(SUBSTITUTE(K195," ",""),"0",""),"-","")))=(LEN(SUBSTITUTE(SUBSTITUTE(SUBSTITUTE(M195," ",""),"0",""),"-",""))+LEN(SUBSTITUTE(SUBSTITUTE(SUBSTITUTE(N195," ",""),"0",""),"-",""))))),0,(LEN(SUBSTITUTE(SUBSTITUTE(SUBSTITUTE(J195," ",""),"0",""),"-",""))+LEN(SUBSTITUTE(SUBSTITUTE(SUBSTITUTE(K195," ",""),"0",""),"-",""))&gt;LEN(SUBSTITUTE(SUBSTITUTE(SUBSTITUTE(M195," ",""),"0",""),"-",""))+LEN(SUBSTITUTE(SUBSTITUTE(SUBSTITUTE(N195," ",""),"0",""),"-","")))*1),0)+IF(OR(COUNTA(J196,K196,M196,N196)&gt;0,OR(L196="X",L196="x")),IF(OR(L196="X",L196="x",AND(OR(COUNTA(J196,K196,M196,N196)&gt;0,OR(L196="X",L196="x")),(LEN(SUBSTITUTE(SUBSTITUTE(SUBSTITUTE(J196," ",""),"0",""),"-",""))+LEN(SUBSTITUTE(SUBSTITUTE(SUBSTITUTE(K196," ",""),"0",""),"-","")))=(LEN(SUBSTITUTE(SUBSTITUTE(SUBSTITUTE(M196," ",""),"0",""),"-",""))+LEN(SUBSTITUTE(SUBSTITUTE(SUBSTITUTE(N196," ",""),"0",""),"-",""))))),0,(LEN(SUBSTITUTE(SUBSTITUTE(SUBSTITUTE(J196," ",""),"0",""),"-",""))+LEN(SUBSTITUTE(SUBSTITUTE(SUBSTITUTE(K196," ",""),"0",""),"-",""))&gt;LEN(SUBSTITUTE(SUBSTITUTE(SUBSTITUTE(M196," ",""),"0",""),"-",""))+LEN(SUBSTITUTE(SUBSTITUTE(SUBSTITUTE(N196," ",""),"0",""),"-","")))*1),0)</f>
      </c>
      <c r="K201" s="14" t="str">
        <f>IF(OR(COUNTA(J195,K195,M195,N195)&gt;0,OR(L195="X",L195="x")),IF(OR(L195="X",L195="x",AND(OR(COUNTA(J195,K195,M195,N195)&gt;0,OR(L195="X",L195="x")),(LEN(SUBSTITUTE(SUBSTITUTE(SUBSTITUTE(J195," ",""),"0",""),"-",""))+LEN(SUBSTITUTE(SUBSTITUTE(SUBSTITUTE(K195," ",""),"0",""),"-","")))=(LEN(SUBSTITUTE(SUBSTITUTE(SUBSTITUTE(M195," ",""),"0",""),"-",""))+LEN(SUBSTITUTE(SUBSTITUTE(SUBSTITUTE(N195," ",""),"0",""),"-",""))))),0,(LEN(SUBSTITUTE(SUBSTITUTE(SUBSTITUTE(J195," ",""),"0",""),"-",""))+LEN(SUBSTITUTE(SUBSTITUTE(SUBSTITUTE(K195," ",""),"0",""),"-",""))&lt;LEN(SUBSTITUTE(SUBSTITUTE(SUBSTITUTE(M195," ",""),"0",""),"-",""))+LEN(SUBSTITUTE(SUBSTITUTE(SUBSTITUTE(N195," ",""),"0",""),"-","")))*1),0)+IF(OR(COUNTA(J196,K196,M196,N196)&gt;0,OR(L196="X",L196="x")),IF(OR(L196="X",L196="x",AND(OR(COUNTA(J196,K196,M196,N196)&gt;0,OR(L196="X",L196="x")),(LEN(SUBSTITUTE(SUBSTITUTE(SUBSTITUTE(J196," ",""),"0",""),"-",""))+LEN(SUBSTITUTE(SUBSTITUTE(SUBSTITUTE(K196," ",""),"0",""),"-","")))=(LEN(SUBSTITUTE(SUBSTITUTE(SUBSTITUTE(M196," ",""),"0",""),"-",""))+LEN(SUBSTITUTE(SUBSTITUTE(SUBSTITUTE(N196," ",""),"0",""),"-",""))))),0,(LEN(SUBSTITUTE(SUBSTITUTE(SUBSTITUTE(J196," ",""),"0",""),"-",""))+LEN(SUBSTITUTE(SUBSTITUTE(SUBSTITUTE(K196," ",""),"0",""),"-",""))&lt;LEN(SUBSTITUTE(SUBSTITUTE(SUBSTITUTE(M196," ",""),"0",""),"-",""))+LEN(SUBSTITUTE(SUBSTITUTE(SUBSTITUTE(N196," ",""),"0",""),"-","")))*1),0)</f>
      </c>
      <c r="L201" s="14" t="str">
        <f>IF(OR(COUNTA(J195,K195,M195,N195)&gt;0,OR(L195="X",L195="x")),IF(OR(L195="X",L195="x",AND(OR(COUNTA(J195,K195,M195,N195)&gt;0,OR(L195="X",L195="x")),(LEN(SUBSTITUTE(SUBSTITUTE(SUBSTITUTE(J195," ",""),"0",""),"-",""))+LEN(SUBSTITUTE(SUBSTITUTE(SUBSTITUTE(K195," ",""),"0",""),"-","")))=(LEN(SUBSTITUTE(SUBSTITUTE(SUBSTITUTE(M195," ",""),"0",""),"-",""))+LEN(SUBSTITUTE(SUBSTITUTE(SUBSTITUTE(N195," ",""),"0",""),"-",""))))),1,0),0)+IF(OR(COUNTA(J196,K196,M196,N196)&gt;0,OR(L196="X",L196="x")),IF(OR(L196="X",L196="x",AND(OR(COUNTA(J196,K196,M196,N196)&gt;0,OR(L196="X",L196="x")),(LEN(SUBSTITUTE(SUBSTITUTE(SUBSTITUTE(J196," ",""),"0",""),"-",""))+LEN(SUBSTITUTE(SUBSTITUTE(SUBSTITUTE(K196," ",""),"0",""),"-","")))=(LEN(SUBSTITUTE(SUBSTITUTE(SUBSTITUTE(M196," ",""),"0",""),"-",""))+LEN(SUBSTITUTE(SUBSTITUTE(SUBSTITUTE(N196," ",""),"0",""),"-",""))))),1,0),0)</f>
      </c>
      <c r="M201" s="14" t="str">
        <f>LEN(SUBSTITUTE(SUBSTITUTE(SUBSTITUTE(J195," ",""),"0",""),"-",""))+LEN(SUBSTITUTE(SUBSTITUTE(SUBSTITUTE(K195," ",""),"0",""),"-",""))+LEN(SUBSTITUTE(SUBSTITUTE(SUBSTITUTE(J196," ",""),"0",""),"-",""))+LEN(SUBSTITUTE(SUBSTITUTE(SUBSTITUTE(K196," ",""),"0",""),"-",""))</f>
      </c>
      <c r="N201" s="14" t="str">
        <f>LEN(SUBSTITUTE(SUBSTITUTE(SUBSTITUTE(M195," ",""),"0",""),"-",""))+LEN(SUBSTITUTE(SUBSTITUTE(SUBSTITUTE(N195," ",""),"0",""),"-",""))+LEN(SUBSTITUTE(SUBSTITUTE(SUBSTITUTE(M196," ",""),"0",""),"-",""))+LEN(SUBSTITUTE(SUBSTITUTE(SUBSTITUTE(N196," ",""),"0",""),"-",""))</f>
      </c>
      <c r="O201" s="18" t="str">
        <f>RANK(AC201,$AC$199:$AC$201)+COUNTIF($AC$198:AC200,AC201)</f>
      </c>
      <c r="U201" t="str">
        <f>(B201*1000000)-(C201*10000)+(D201*100)+(E201*1)-(F201*0.01)</f>
      </c>
      <c r="AC201" t="str">
        <f>(J201*1000000)-(K201*10000)+(L201*100)+(M201*1)-(N201*0.01)</f>
      </c>
    </row>
    <row r="204">
      <c r="F204" s="13"/>
      <c r="G204" s="13" t="s">
        <v>340</v>
      </c>
      <c r="N204" s="13"/>
      <c r="O204" s="13" t="s">
        <v>340</v>
      </c>
    </row>
    <row r="205">
      <c r="F205" t="s">
        <v>341</v>
      </c>
      <c r="G205" s="19" t="str">
        <f>IFERROR(INDEX($A$199:$A$201, MATCH(1, $G$199:$G$201, 0)), "-")</f>
      </c>
      <c r="N205" t="s">
        <v>341</v>
      </c>
      <c r="O205" s="19" t="str">
        <f>IFERROR(INDEX($I$199:$I$201, MATCH(1, $O$199:$O$201, 0)), "-")</f>
      </c>
    </row>
    <row r="206">
      <c r="F206" t="s">
        <v>342</v>
      </c>
      <c r="G206" s="19" t="str">
        <f>IFERROR(INDEX($A$199:$A$201, MATCH(2, $G$199:$G$201, 0)), "-")</f>
      </c>
      <c r="N206" t="s">
        <v>342</v>
      </c>
      <c r="O206" s="19" t="str">
        <f>IFERROR(INDEX($I$199:$I$201, MATCH(2, $O$199:$O$201, 0)), "-")</f>
      </c>
    </row>
    <row r="207">
      <c r="F207" t="s">
        <v>343</v>
      </c>
      <c r="G207" s="19" t="str">
        <f>IFERROR(INDEX($A$199:$A$201, MATCH(3, $G$199:$G$201, 0)), "-")</f>
      </c>
      <c r="N207" t="s">
        <v>343</v>
      </c>
      <c r="O207" s="19" t="str">
        <f>IFERROR(INDEX($I$199:$I$201, MATCH(3, $O$199:$O$201, 0)), "-")</f>
      </c>
    </row>
    <row r="209">
      <c r="A209" s="13" t="str">
        <f>'data'!$A$42</f>
      </c>
      <c r="B209" s="13"/>
      <c r="C209" s="13"/>
      <c r="D209" s="13"/>
      <c r="E209" s="13"/>
      <c r="F209" s="13"/>
      <c r="G209" s="13"/>
      <c r="I209" s="13" t="str">
        <f>'data'!$A$87</f>
      </c>
      <c r="J209" s="13"/>
      <c r="K209" s="13"/>
      <c r="L209" s="13"/>
      <c r="M209" s="13"/>
      <c r="N209" s="13"/>
      <c r="O209" s="13"/>
    </row>
    <row r="210">
      <c r="A210" s="17" t="s">
        <v>330</v>
      </c>
      <c r="D210" s="14" t="s">
        <v>331</v>
      </c>
      <c r="G210" s="16" t="s">
        <v>332</v>
      </c>
      <c r="I210" s="17" t="s">
        <v>330</v>
      </c>
      <c r="L210" s="14" t="s">
        <v>331</v>
      </c>
      <c r="O210" s="16" t="s">
        <v>332</v>
      </c>
    </row>
    <row r="211">
      <c r="A211" s="14" t="str">
        <f>data!$E$41&amp;" "&amp;data!$B$41</f>
      </c>
      <c r="B211" s="18"/>
      <c r="C211" s="18"/>
      <c r="D211" s="18"/>
      <c r="E211" s="18"/>
      <c r="F211" s="18"/>
      <c r="G211" s="14" t="str">
        <f>data!$E$40&amp;" "&amp;data!$B$40</f>
      </c>
      <c r="I211" s="14" t="str">
        <f>data!$E$86&amp;" "&amp;data!$B$86</f>
      </c>
      <c r="J211" s="18"/>
      <c r="K211" s="18"/>
      <c r="L211" s="18"/>
      <c r="M211" s="18"/>
      <c r="N211" s="18"/>
      <c r="O211" s="14" t="str">
        <f>data!$E$85&amp;" "&amp;data!$B$85</f>
      </c>
    </row>
    <row r="212">
      <c r="A212" s="14" t="str">
        <f>data!$E$42&amp;" "&amp;data!$B$42</f>
      </c>
      <c r="B212" s="18"/>
      <c r="C212" s="18"/>
      <c r="D212" s="18"/>
      <c r="E212" s="18"/>
      <c r="F212" s="18"/>
      <c r="G212" s="14" t="str">
        <f>data!$E$40&amp;" "&amp;data!$B$40</f>
      </c>
      <c r="I212" s="14" t="str">
        <f>data!$E$87&amp;" "&amp;data!$B$87</f>
      </c>
      <c r="J212" s="18"/>
      <c r="K212" s="18"/>
      <c r="L212" s="18"/>
      <c r="M212" s="18"/>
      <c r="N212" s="18"/>
      <c r="O212" s="14" t="str">
        <f>data!$E$85&amp;" "&amp;data!$B$85</f>
      </c>
    </row>
    <row r="213">
      <c r="A213" s="14" t="str">
        <f>data!$E$42&amp;" "&amp;data!$B$42</f>
      </c>
      <c r="B213" s="18"/>
      <c r="C213" s="18"/>
      <c r="D213" s="18"/>
      <c r="E213" s="18"/>
      <c r="F213" s="18"/>
      <c r="G213" s="14" t="str">
        <f>data!$E$41&amp;" "&amp;data!$B$41</f>
      </c>
      <c r="I213" s="14" t="str">
        <f>data!$E$87&amp;" "&amp;data!$B$87</f>
      </c>
      <c r="J213" s="18"/>
      <c r="K213" s="18"/>
      <c r="L213" s="18"/>
      <c r="M213" s="18"/>
      <c r="N213" s="18"/>
      <c r="O213" s="14" t="str">
        <f>data!$E$86&amp;" "&amp;data!$B$86</f>
      </c>
    </row>
    <row r="215">
      <c r="A215" s="13" t="s">
        <v>333</v>
      </c>
      <c r="B215" s="13" t="s">
        <v>334</v>
      </c>
      <c r="C215" s="13" t="s">
        <v>335</v>
      </c>
      <c r="D215" s="13" t="s">
        <v>336</v>
      </c>
      <c r="E215" s="13" t="s">
        <v>337</v>
      </c>
      <c r="F215" s="13" t="s">
        <v>338</v>
      </c>
      <c r="G215" s="13" t="s">
        <v>339</v>
      </c>
      <c r="I215" s="13" t="s">
        <v>333</v>
      </c>
      <c r="J215" s="13" t="s">
        <v>334</v>
      </c>
      <c r="K215" s="13" t="s">
        <v>335</v>
      </c>
      <c r="L215" s="13" t="s">
        <v>336</v>
      </c>
      <c r="M215" s="13" t="s">
        <v>337</v>
      </c>
      <c r="N215" s="13" t="s">
        <v>338</v>
      </c>
      <c r="O215" s="13" t="s">
        <v>339</v>
      </c>
    </row>
    <row r="216">
      <c r="A216" s="14" t="str">
        <f>data!$E$40&amp;" "&amp;data!$B$40</f>
      </c>
      <c r="B216" s="14" t="str">
        <f>IF(OR(COUNTA(B211,C211,E211,F211)&gt;0,OR(D211="X",D211="x")),IF(OR(D211="X",D211="x",AND(OR(COUNTA(B211,C211,E211,F211)&gt;0,OR(D211="X",D211="x")),(LEN(SUBSTITUTE(SUBSTITUTE(SUBSTITUTE(B211," ",""),"0",""),"-",""))+LEN(SUBSTITUTE(SUBSTITUTE(SUBSTITUTE(C211," ",""),"0",""),"-","")))=(LEN(SUBSTITUTE(SUBSTITUTE(SUBSTITUTE(E211," ",""),"0",""),"-",""))+LEN(SUBSTITUTE(SUBSTITUTE(SUBSTITUTE(F211," ",""),"0",""),"-",""))))),0,(LEN(SUBSTITUTE(SUBSTITUTE(SUBSTITUTE(E211," ",""),"0",""),"-",""))+LEN(SUBSTITUTE(SUBSTITUTE(SUBSTITUTE(F211," ",""),"0",""),"-",""))&gt;LEN(SUBSTITUTE(SUBSTITUTE(SUBSTITUTE(B211," ",""),"0",""),"-",""))+LEN(SUBSTITUTE(SUBSTITUTE(SUBSTITUTE(C211," ",""),"0",""),"-","")))*1),0)+IF(OR(COUNTA(B212,C212,E212,F212)&gt;0,OR(D212="X",D212="x")),IF(OR(D212="X",D212="x",AND(OR(COUNTA(B212,C212,E212,F212)&gt;0,OR(D212="X",D212="x")),(LEN(SUBSTITUTE(SUBSTITUTE(SUBSTITUTE(B212," ",""),"0",""),"-",""))+LEN(SUBSTITUTE(SUBSTITUTE(SUBSTITUTE(C212," ",""),"0",""),"-","")))=(LEN(SUBSTITUTE(SUBSTITUTE(SUBSTITUTE(E212," ",""),"0",""),"-",""))+LEN(SUBSTITUTE(SUBSTITUTE(SUBSTITUTE(F212," ",""),"0",""),"-",""))))),0,(LEN(SUBSTITUTE(SUBSTITUTE(SUBSTITUTE(E212," ",""),"0",""),"-",""))+LEN(SUBSTITUTE(SUBSTITUTE(SUBSTITUTE(F212," ",""),"0",""),"-",""))&gt;LEN(SUBSTITUTE(SUBSTITUTE(SUBSTITUTE(B212," ",""),"0",""),"-",""))+LEN(SUBSTITUTE(SUBSTITUTE(SUBSTITUTE(C212," ",""),"0",""),"-","")))*1),0)</f>
      </c>
      <c r="C216" s="14" t="str">
        <f>IF(OR(COUNTA(B211,C211,E211,F211)&gt;0,OR(D211="X",D211="x")),IF(OR(D211="X",D211="x",AND(OR(COUNTA(B211,C211,E211,F211)&gt;0,OR(D211="X",D211="x")),(LEN(SUBSTITUTE(SUBSTITUTE(SUBSTITUTE(B211," ",""),"0",""),"-",""))+LEN(SUBSTITUTE(SUBSTITUTE(SUBSTITUTE(C211," ",""),"0",""),"-","")))=(LEN(SUBSTITUTE(SUBSTITUTE(SUBSTITUTE(E211," ",""),"0",""),"-",""))+LEN(SUBSTITUTE(SUBSTITUTE(SUBSTITUTE(F211," ",""),"0",""),"-",""))))),0,(LEN(SUBSTITUTE(SUBSTITUTE(SUBSTITUTE(E211," ",""),"0",""),"-",""))+LEN(SUBSTITUTE(SUBSTITUTE(SUBSTITUTE(F211," ",""),"0",""),"-",""))&lt;LEN(SUBSTITUTE(SUBSTITUTE(SUBSTITUTE(B211," ",""),"0",""),"-",""))+LEN(SUBSTITUTE(SUBSTITUTE(SUBSTITUTE(C211," ",""),"0",""),"-","")))*1),0)+IF(OR(COUNTA(B212,C212,E212,F212)&gt;0,OR(D212="X",D212="x")),IF(OR(D212="X",D212="x",AND(OR(COUNTA(B212,C212,E212,F212)&gt;0,OR(D212="X",D212="x")),(LEN(SUBSTITUTE(SUBSTITUTE(SUBSTITUTE(B212," ",""),"0",""),"-",""))+LEN(SUBSTITUTE(SUBSTITUTE(SUBSTITUTE(C212," ",""),"0",""),"-","")))=(LEN(SUBSTITUTE(SUBSTITUTE(SUBSTITUTE(E212," ",""),"0",""),"-",""))+LEN(SUBSTITUTE(SUBSTITUTE(SUBSTITUTE(F212," ",""),"0",""),"-",""))))),0,(LEN(SUBSTITUTE(SUBSTITUTE(SUBSTITUTE(E212," ",""),"0",""),"-",""))+LEN(SUBSTITUTE(SUBSTITUTE(SUBSTITUTE(F212," ",""),"0",""),"-",""))&lt;LEN(SUBSTITUTE(SUBSTITUTE(SUBSTITUTE(B212," ",""),"0",""),"-",""))+LEN(SUBSTITUTE(SUBSTITUTE(SUBSTITUTE(C212," ",""),"0",""),"-","")))*1),0)</f>
      </c>
      <c r="D216" s="14" t="str">
        <f>IF(OR(COUNTA(B211,C211,E211,F211)&gt;0,OR(D211="X",D211="x")),IF(OR(D211="X",D211="x",AND(OR(COUNTA(B211,C211,E211,F211)&gt;0,OR(D211="X",D211="x")),(LEN(SUBSTITUTE(SUBSTITUTE(SUBSTITUTE(B211," ",""),"0",""),"-",""))+LEN(SUBSTITUTE(SUBSTITUTE(SUBSTITUTE(C211," ",""),"0",""),"-","")))=(LEN(SUBSTITUTE(SUBSTITUTE(SUBSTITUTE(E211," ",""),"0",""),"-",""))+LEN(SUBSTITUTE(SUBSTITUTE(SUBSTITUTE(F211," ",""),"0",""),"-",""))))),1,0),0)+IF(OR(COUNTA(B212,C212,E212,F212)&gt;0,OR(D212="X",D212="x")),IF(OR(D212="X",D212="x",AND(OR(COUNTA(B212,C212,E212,F212)&gt;0,OR(D212="X",D212="x")),(LEN(SUBSTITUTE(SUBSTITUTE(SUBSTITUTE(B212," ",""),"0",""),"-",""))+LEN(SUBSTITUTE(SUBSTITUTE(SUBSTITUTE(C212," ",""),"0",""),"-","")))=(LEN(SUBSTITUTE(SUBSTITUTE(SUBSTITUTE(E212," ",""),"0",""),"-",""))+LEN(SUBSTITUTE(SUBSTITUTE(SUBSTITUTE(F212," ",""),"0",""),"-",""))))),1,0),0)</f>
      </c>
      <c r="E216" s="14" t="str">
        <f>LEN(SUBSTITUTE(SUBSTITUTE(SUBSTITUTE(E211," ",""),"0",""),"-",""))+LEN(SUBSTITUTE(SUBSTITUTE(SUBSTITUTE(F211," ",""),"0",""),"-",""))+LEN(SUBSTITUTE(SUBSTITUTE(SUBSTITUTE(E212," ",""),"0",""),"-",""))+LEN(SUBSTITUTE(SUBSTITUTE(SUBSTITUTE(F212," ",""),"0",""),"-",""))</f>
      </c>
      <c r="F216" s="14" t="str">
        <f>LEN(SUBSTITUTE(SUBSTITUTE(SUBSTITUTE(B211," ",""),"0",""),"-",""))+LEN(SUBSTITUTE(SUBSTITUTE(SUBSTITUTE(C211," ",""),"0",""),"-",""))+LEN(SUBSTITUTE(SUBSTITUTE(SUBSTITUTE(B212," ",""),"0",""),"-",""))+LEN(SUBSTITUTE(SUBSTITUTE(SUBSTITUTE(C212," ",""),"0",""),"-",""))</f>
      </c>
      <c r="G216" s="18" t="str">
        <f>RANK(U216,$U$216:$U$218)+COUNTIF($U$215:U215,U216)</f>
      </c>
      <c r="I216" s="14" t="str">
        <f>data!$E$85&amp;" "&amp;data!$B$85</f>
      </c>
      <c r="J216" s="14" t="str">
        <f>IF(OR(COUNTA(J211,K211,M211,N211)&gt;0,OR(L211="X",L211="x")),IF(OR(L211="X",L211="x",AND(OR(COUNTA(J211,K211,M211,N211)&gt;0,OR(L211="X",L211="x")),(LEN(SUBSTITUTE(SUBSTITUTE(SUBSTITUTE(J211," ",""),"0",""),"-",""))+LEN(SUBSTITUTE(SUBSTITUTE(SUBSTITUTE(K211," ",""),"0",""),"-","")))=(LEN(SUBSTITUTE(SUBSTITUTE(SUBSTITUTE(M211," ",""),"0",""),"-",""))+LEN(SUBSTITUTE(SUBSTITUTE(SUBSTITUTE(N211," ",""),"0",""),"-",""))))),0,(LEN(SUBSTITUTE(SUBSTITUTE(SUBSTITUTE(M211," ",""),"0",""),"-",""))+LEN(SUBSTITUTE(SUBSTITUTE(SUBSTITUTE(N211," ",""),"0",""),"-",""))&gt;LEN(SUBSTITUTE(SUBSTITUTE(SUBSTITUTE(J211," ",""),"0",""),"-",""))+LEN(SUBSTITUTE(SUBSTITUTE(SUBSTITUTE(K211," ",""),"0",""),"-","")))*1),0)+IF(OR(COUNTA(J212,K212,M212,N212)&gt;0,OR(L212="X",L212="x")),IF(OR(L212="X",L212="x",AND(OR(COUNTA(J212,K212,M212,N212)&gt;0,OR(L212="X",L212="x")),(LEN(SUBSTITUTE(SUBSTITUTE(SUBSTITUTE(J212," ",""),"0",""),"-",""))+LEN(SUBSTITUTE(SUBSTITUTE(SUBSTITUTE(K212," ",""),"0",""),"-","")))=(LEN(SUBSTITUTE(SUBSTITUTE(SUBSTITUTE(M212," ",""),"0",""),"-",""))+LEN(SUBSTITUTE(SUBSTITUTE(SUBSTITUTE(N212," ",""),"0",""),"-",""))))),0,(LEN(SUBSTITUTE(SUBSTITUTE(SUBSTITUTE(M212," ",""),"0",""),"-",""))+LEN(SUBSTITUTE(SUBSTITUTE(SUBSTITUTE(N212," ",""),"0",""),"-",""))&gt;LEN(SUBSTITUTE(SUBSTITUTE(SUBSTITUTE(J212," ",""),"0",""),"-",""))+LEN(SUBSTITUTE(SUBSTITUTE(SUBSTITUTE(K212," ",""),"0",""),"-","")))*1),0)</f>
      </c>
      <c r="K216" s="14" t="str">
        <f>IF(OR(COUNTA(J211,K211,M211,N211)&gt;0,OR(L211="X",L211="x")),IF(OR(L211="X",L211="x",AND(OR(COUNTA(J211,K211,M211,N211)&gt;0,OR(L211="X",L211="x")),(LEN(SUBSTITUTE(SUBSTITUTE(SUBSTITUTE(J211," ",""),"0",""),"-",""))+LEN(SUBSTITUTE(SUBSTITUTE(SUBSTITUTE(K211," ",""),"0",""),"-","")))=(LEN(SUBSTITUTE(SUBSTITUTE(SUBSTITUTE(M211," ",""),"0",""),"-",""))+LEN(SUBSTITUTE(SUBSTITUTE(SUBSTITUTE(N211," ",""),"0",""),"-",""))))),0,(LEN(SUBSTITUTE(SUBSTITUTE(SUBSTITUTE(M211," ",""),"0",""),"-",""))+LEN(SUBSTITUTE(SUBSTITUTE(SUBSTITUTE(N211," ",""),"0",""),"-",""))&lt;LEN(SUBSTITUTE(SUBSTITUTE(SUBSTITUTE(J211," ",""),"0",""),"-",""))+LEN(SUBSTITUTE(SUBSTITUTE(SUBSTITUTE(K211," ",""),"0",""),"-","")))*1),0)+IF(OR(COUNTA(J212,K212,M212,N212)&gt;0,OR(L212="X",L212="x")),IF(OR(L212="X",L212="x",AND(OR(COUNTA(J212,K212,M212,N212)&gt;0,OR(L212="X",L212="x")),(LEN(SUBSTITUTE(SUBSTITUTE(SUBSTITUTE(J212," ",""),"0",""),"-",""))+LEN(SUBSTITUTE(SUBSTITUTE(SUBSTITUTE(K212," ",""),"0",""),"-","")))=(LEN(SUBSTITUTE(SUBSTITUTE(SUBSTITUTE(M212," ",""),"0",""),"-",""))+LEN(SUBSTITUTE(SUBSTITUTE(SUBSTITUTE(N212," ",""),"0",""),"-",""))))),0,(LEN(SUBSTITUTE(SUBSTITUTE(SUBSTITUTE(M212," ",""),"0",""),"-",""))+LEN(SUBSTITUTE(SUBSTITUTE(SUBSTITUTE(N212," ",""),"0",""),"-",""))&lt;LEN(SUBSTITUTE(SUBSTITUTE(SUBSTITUTE(J212," ",""),"0",""),"-",""))+LEN(SUBSTITUTE(SUBSTITUTE(SUBSTITUTE(K212," ",""),"0",""),"-","")))*1),0)</f>
      </c>
      <c r="L216" s="14" t="str">
        <f>IF(OR(COUNTA(J211,K211,M211,N211)&gt;0,OR(L211="X",L211="x")),IF(OR(L211="X",L211="x",AND(OR(COUNTA(J211,K211,M211,N211)&gt;0,OR(L211="X",L211="x")),(LEN(SUBSTITUTE(SUBSTITUTE(SUBSTITUTE(J211," ",""),"0",""),"-",""))+LEN(SUBSTITUTE(SUBSTITUTE(SUBSTITUTE(K211," ",""),"0",""),"-","")))=(LEN(SUBSTITUTE(SUBSTITUTE(SUBSTITUTE(M211," ",""),"0",""),"-",""))+LEN(SUBSTITUTE(SUBSTITUTE(SUBSTITUTE(N211," ",""),"0",""),"-",""))))),1,0),0)+IF(OR(COUNTA(J212,K212,M212,N212)&gt;0,OR(L212="X",L212="x")),IF(OR(L212="X",L212="x",AND(OR(COUNTA(J212,K212,M212,N212)&gt;0,OR(L212="X",L212="x")),(LEN(SUBSTITUTE(SUBSTITUTE(SUBSTITUTE(J212," ",""),"0",""),"-",""))+LEN(SUBSTITUTE(SUBSTITUTE(SUBSTITUTE(K212," ",""),"0",""),"-","")))=(LEN(SUBSTITUTE(SUBSTITUTE(SUBSTITUTE(M212," ",""),"0",""),"-",""))+LEN(SUBSTITUTE(SUBSTITUTE(SUBSTITUTE(N212," ",""),"0",""),"-",""))))),1,0),0)</f>
      </c>
      <c r="M216" s="14" t="str">
        <f>LEN(SUBSTITUTE(SUBSTITUTE(SUBSTITUTE(M211," ",""),"0",""),"-",""))+LEN(SUBSTITUTE(SUBSTITUTE(SUBSTITUTE(N211," ",""),"0",""),"-",""))+LEN(SUBSTITUTE(SUBSTITUTE(SUBSTITUTE(M212," ",""),"0",""),"-",""))+LEN(SUBSTITUTE(SUBSTITUTE(SUBSTITUTE(N212," ",""),"0",""),"-",""))</f>
      </c>
      <c r="N216" s="14" t="str">
        <f>LEN(SUBSTITUTE(SUBSTITUTE(SUBSTITUTE(J211," ",""),"0",""),"-",""))+LEN(SUBSTITUTE(SUBSTITUTE(SUBSTITUTE(K211," ",""),"0",""),"-",""))+LEN(SUBSTITUTE(SUBSTITUTE(SUBSTITUTE(J212," ",""),"0",""),"-",""))+LEN(SUBSTITUTE(SUBSTITUTE(SUBSTITUTE(K212," ",""),"0",""),"-",""))</f>
      </c>
      <c r="O216" s="18" t="str">
        <f>RANK(AC216,$AC$216:$AC$218)+COUNTIF($AC$215:AC215,AC216)</f>
      </c>
      <c r="U216" t="str">
        <f>(B216*1000000)-(C216*10000)+(D216*100)+(E216*1)-(F216*0.01)</f>
      </c>
      <c r="AC216" t="str">
        <f>(J216*1000000)-(K216*10000)+(L216*100)+(M216*1)-(N216*0.01)</f>
      </c>
    </row>
    <row r="217">
      <c r="A217" s="14" t="str">
        <f>data!$E$41&amp;" "&amp;data!$B$41</f>
      </c>
      <c r="B217" s="14" t="str">
        <f>IF(OR(COUNTA(B211,C211,E211,F211)&gt;0,OR(D211="X",D211="x")),IF(OR(D211="X",D211="x",AND(OR(COUNTA(B211,C211,E211,F211)&gt;0,OR(D211="X",D211="x")),(LEN(SUBSTITUTE(SUBSTITUTE(SUBSTITUTE(B211," ",""),"0",""),"-",""))+LEN(SUBSTITUTE(SUBSTITUTE(SUBSTITUTE(C211," ",""),"0",""),"-","")))=(LEN(SUBSTITUTE(SUBSTITUTE(SUBSTITUTE(E211," ",""),"0",""),"-",""))+LEN(SUBSTITUTE(SUBSTITUTE(SUBSTITUTE(F211," ",""),"0",""),"-",""))))),0,(LEN(SUBSTITUTE(SUBSTITUTE(SUBSTITUTE(B211," ",""),"0",""),"-",""))+LEN(SUBSTITUTE(SUBSTITUTE(SUBSTITUTE(C211," ",""),"0",""),"-",""))&gt;LEN(SUBSTITUTE(SUBSTITUTE(SUBSTITUTE(E211," ",""),"0",""),"-",""))+LEN(SUBSTITUTE(SUBSTITUTE(SUBSTITUTE(F211," ",""),"0",""),"-","")))*1),0)+IF(OR(COUNTA(B213,C213,E213,F213)&gt;0,OR(D213="X",D213="x")),IF(OR(D213="X",D213="x",AND(OR(COUNTA(B213,C213,E213,F213)&gt;0,OR(D213="X",D213="x")),(LEN(SUBSTITUTE(SUBSTITUTE(SUBSTITUTE(B213," ",""),"0",""),"-",""))+LEN(SUBSTITUTE(SUBSTITUTE(SUBSTITUTE(C213," ",""),"0",""),"-","")))=(LEN(SUBSTITUTE(SUBSTITUTE(SUBSTITUTE(E213," ",""),"0",""),"-",""))+LEN(SUBSTITUTE(SUBSTITUTE(SUBSTITUTE(F213," ",""),"0",""),"-",""))))),0,(LEN(SUBSTITUTE(SUBSTITUTE(SUBSTITUTE(E213," ",""),"0",""),"-",""))+LEN(SUBSTITUTE(SUBSTITUTE(SUBSTITUTE(F213," ",""),"0",""),"-",""))&gt;LEN(SUBSTITUTE(SUBSTITUTE(SUBSTITUTE(B213," ",""),"0",""),"-",""))+LEN(SUBSTITUTE(SUBSTITUTE(SUBSTITUTE(C213," ",""),"0",""),"-","")))*1),0)</f>
      </c>
      <c r="C217" s="14" t="str">
        <f>IF(OR(COUNTA(B211,C211,E211,F211)&gt;0,OR(D211="X",D211="x")),IF(OR(D211="X",D211="x",AND(OR(COUNTA(B211,C211,E211,F211)&gt;0,OR(D211="X",D211="x")),(LEN(SUBSTITUTE(SUBSTITUTE(SUBSTITUTE(B211," ",""),"0",""),"-",""))+LEN(SUBSTITUTE(SUBSTITUTE(SUBSTITUTE(C211," ",""),"0",""),"-","")))=(LEN(SUBSTITUTE(SUBSTITUTE(SUBSTITUTE(E211," ",""),"0",""),"-",""))+LEN(SUBSTITUTE(SUBSTITUTE(SUBSTITUTE(F211," ",""),"0",""),"-",""))))),0,(LEN(SUBSTITUTE(SUBSTITUTE(SUBSTITUTE(B211," ",""),"0",""),"-",""))+LEN(SUBSTITUTE(SUBSTITUTE(SUBSTITUTE(C211," ",""),"0",""),"-",""))&lt;LEN(SUBSTITUTE(SUBSTITUTE(SUBSTITUTE(E211," ",""),"0",""),"-",""))+LEN(SUBSTITUTE(SUBSTITUTE(SUBSTITUTE(F211," ",""),"0",""),"-","")))*1),0)+IF(OR(COUNTA(B213,C213,E213,F213)&gt;0,OR(D213="X",D213="x")),IF(OR(D213="X",D213="x",AND(OR(COUNTA(B213,C213,E213,F213)&gt;0,OR(D213="X",D213="x")),(LEN(SUBSTITUTE(SUBSTITUTE(SUBSTITUTE(B213," ",""),"0",""),"-",""))+LEN(SUBSTITUTE(SUBSTITUTE(SUBSTITUTE(C213," ",""),"0",""),"-","")))=(LEN(SUBSTITUTE(SUBSTITUTE(SUBSTITUTE(E213," ",""),"0",""),"-",""))+LEN(SUBSTITUTE(SUBSTITUTE(SUBSTITUTE(F213," ",""),"0",""),"-",""))))),0,(LEN(SUBSTITUTE(SUBSTITUTE(SUBSTITUTE(E213," ",""),"0",""),"-",""))+LEN(SUBSTITUTE(SUBSTITUTE(SUBSTITUTE(F213," ",""),"0",""),"-",""))&lt;LEN(SUBSTITUTE(SUBSTITUTE(SUBSTITUTE(B213," ",""),"0",""),"-",""))+LEN(SUBSTITUTE(SUBSTITUTE(SUBSTITUTE(C213," ",""),"0",""),"-","")))*1),0)</f>
      </c>
      <c r="D217" s="14" t="str">
        <f>IF(OR(COUNTA(B211,C211,E211,F211)&gt;0,OR(D211="X",D211="x")),IF(OR(D211="X",D211="x",AND(OR(COUNTA(B211,C211,E211,F211)&gt;0,OR(D211="X",D211="x")),(LEN(SUBSTITUTE(SUBSTITUTE(SUBSTITUTE(B211," ",""),"0",""),"-",""))+LEN(SUBSTITUTE(SUBSTITUTE(SUBSTITUTE(C211," ",""),"0",""),"-","")))=(LEN(SUBSTITUTE(SUBSTITUTE(SUBSTITUTE(E211," ",""),"0",""),"-",""))+LEN(SUBSTITUTE(SUBSTITUTE(SUBSTITUTE(F211," ",""),"0",""),"-",""))))),1,0),0)+IF(OR(COUNTA(B213,C213,E213,F213)&gt;0,OR(D213="X",D213="x")),IF(OR(D213="X",D213="x",AND(OR(COUNTA(B213,C213,E213,F213)&gt;0,OR(D213="X",D213="x")),(LEN(SUBSTITUTE(SUBSTITUTE(SUBSTITUTE(B213," ",""),"0",""),"-",""))+LEN(SUBSTITUTE(SUBSTITUTE(SUBSTITUTE(C213," ",""),"0",""),"-","")))=(LEN(SUBSTITUTE(SUBSTITUTE(SUBSTITUTE(E213," ",""),"0",""),"-",""))+LEN(SUBSTITUTE(SUBSTITUTE(SUBSTITUTE(F213," ",""),"0",""),"-",""))))),1,0),0)</f>
      </c>
      <c r="E217" s="14" t="str">
        <f>LEN(SUBSTITUTE(SUBSTITUTE(SUBSTITUTE(B211," ",""),"0",""),"-",""))+LEN(SUBSTITUTE(SUBSTITUTE(SUBSTITUTE(C211," ",""),"0",""),"-",""))+LEN(SUBSTITUTE(SUBSTITUTE(SUBSTITUTE(E213," ",""),"0",""),"-",""))+LEN(SUBSTITUTE(SUBSTITUTE(SUBSTITUTE(F213," ",""),"0",""),"-",""))</f>
      </c>
      <c r="F217" s="14" t="str">
        <f>LEN(SUBSTITUTE(SUBSTITUTE(SUBSTITUTE(E211," ",""),"0",""),"-",""))+LEN(SUBSTITUTE(SUBSTITUTE(SUBSTITUTE(F211," ",""),"0",""),"-",""))+LEN(SUBSTITUTE(SUBSTITUTE(SUBSTITUTE(B213," ",""),"0",""),"-",""))+LEN(SUBSTITUTE(SUBSTITUTE(SUBSTITUTE(C213," ",""),"0",""),"-",""))</f>
      </c>
      <c r="G217" s="18" t="str">
        <f>RANK(U217,$U$216:$U$218)+COUNTIF($U$215:U216,U217)</f>
      </c>
      <c r="I217" s="14" t="str">
        <f>data!$E$86&amp;" "&amp;data!$B$86</f>
      </c>
      <c r="J217" s="14" t="str">
        <f>IF(OR(COUNTA(J211,K211,M211,N211)&gt;0,OR(L211="X",L211="x")),IF(OR(L211="X",L211="x",AND(OR(COUNTA(J211,K211,M211,N211)&gt;0,OR(L211="X",L211="x")),(LEN(SUBSTITUTE(SUBSTITUTE(SUBSTITUTE(J211," ",""),"0",""),"-",""))+LEN(SUBSTITUTE(SUBSTITUTE(SUBSTITUTE(K211," ",""),"0",""),"-","")))=(LEN(SUBSTITUTE(SUBSTITUTE(SUBSTITUTE(M211," ",""),"0",""),"-",""))+LEN(SUBSTITUTE(SUBSTITUTE(SUBSTITUTE(N211," ",""),"0",""),"-",""))))),0,(LEN(SUBSTITUTE(SUBSTITUTE(SUBSTITUTE(J211," ",""),"0",""),"-",""))+LEN(SUBSTITUTE(SUBSTITUTE(SUBSTITUTE(K211," ",""),"0",""),"-",""))&gt;LEN(SUBSTITUTE(SUBSTITUTE(SUBSTITUTE(M211," ",""),"0",""),"-",""))+LEN(SUBSTITUTE(SUBSTITUTE(SUBSTITUTE(N211," ",""),"0",""),"-","")))*1),0)+IF(OR(COUNTA(J213,K213,M213,N213)&gt;0,OR(L213="X",L213="x")),IF(OR(L213="X",L213="x",AND(OR(COUNTA(J213,K213,M213,N213)&gt;0,OR(L213="X",L213="x")),(LEN(SUBSTITUTE(SUBSTITUTE(SUBSTITUTE(J213," ",""),"0",""),"-",""))+LEN(SUBSTITUTE(SUBSTITUTE(SUBSTITUTE(K213," ",""),"0",""),"-","")))=(LEN(SUBSTITUTE(SUBSTITUTE(SUBSTITUTE(M213," ",""),"0",""),"-",""))+LEN(SUBSTITUTE(SUBSTITUTE(SUBSTITUTE(N213," ",""),"0",""),"-",""))))),0,(LEN(SUBSTITUTE(SUBSTITUTE(SUBSTITUTE(M213," ",""),"0",""),"-",""))+LEN(SUBSTITUTE(SUBSTITUTE(SUBSTITUTE(N213," ",""),"0",""),"-",""))&gt;LEN(SUBSTITUTE(SUBSTITUTE(SUBSTITUTE(J213," ",""),"0",""),"-",""))+LEN(SUBSTITUTE(SUBSTITUTE(SUBSTITUTE(K213," ",""),"0",""),"-","")))*1),0)</f>
      </c>
      <c r="K217" s="14" t="str">
        <f>IF(OR(COUNTA(J211,K211,M211,N211)&gt;0,OR(L211="X",L211="x")),IF(OR(L211="X",L211="x",AND(OR(COUNTA(J211,K211,M211,N211)&gt;0,OR(L211="X",L211="x")),(LEN(SUBSTITUTE(SUBSTITUTE(SUBSTITUTE(J211," ",""),"0",""),"-",""))+LEN(SUBSTITUTE(SUBSTITUTE(SUBSTITUTE(K211," ",""),"0",""),"-","")))=(LEN(SUBSTITUTE(SUBSTITUTE(SUBSTITUTE(M211," ",""),"0",""),"-",""))+LEN(SUBSTITUTE(SUBSTITUTE(SUBSTITUTE(N211," ",""),"0",""),"-",""))))),0,(LEN(SUBSTITUTE(SUBSTITUTE(SUBSTITUTE(J211," ",""),"0",""),"-",""))+LEN(SUBSTITUTE(SUBSTITUTE(SUBSTITUTE(K211," ",""),"0",""),"-",""))&lt;LEN(SUBSTITUTE(SUBSTITUTE(SUBSTITUTE(M211," ",""),"0",""),"-",""))+LEN(SUBSTITUTE(SUBSTITUTE(SUBSTITUTE(N211," ",""),"0",""),"-","")))*1),0)+IF(OR(COUNTA(J213,K213,M213,N213)&gt;0,OR(L213="X",L213="x")),IF(OR(L213="X",L213="x",AND(OR(COUNTA(J213,K213,M213,N213)&gt;0,OR(L213="X",L213="x")),(LEN(SUBSTITUTE(SUBSTITUTE(SUBSTITUTE(J213," ",""),"0",""),"-",""))+LEN(SUBSTITUTE(SUBSTITUTE(SUBSTITUTE(K213," ",""),"0",""),"-","")))=(LEN(SUBSTITUTE(SUBSTITUTE(SUBSTITUTE(M213," ",""),"0",""),"-",""))+LEN(SUBSTITUTE(SUBSTITUTE(SUBSTITUTE(N213," ",""),"0",""),"-",""))))),0,(LEN(SUBSTITUTE(SUBSTITUTE(SUBSTITUTE(M213," ",""),"0",""),"-",""))+LEN(SUBSTITUTE(SUBSTITUTE(SUBSTITUTE(N213," ",""),"0",""),"-",""))&lt;LEN(SUBSTITUTE(SUBSTITUTE(SUBSTITUTE(J213," ",""),"0",""),"-",""))+LEN(SUBSTITUTE(SUBSTITUTE(SUBSTITUTE(K213," ",""),"0",""),"-","")))*1),0)</f>
      </c>
      <c r="L217" s="14" t="str">
        <f>IF(OR(COUNTA(J211,K211,M211,N211)&gt;0,OR(L211="X",L211="x")),IF(OR(L211="X",L211="x",AND(OR(COUNTA(J211,K211,M211,N211)&gt;0,OR(L211="X",L211="x")),(LEN(SUBSTITUTE(SUBSTITUTE(SUBSTITUTE(J211," ",""),"0",""),"-",""))+LEN(SUBSTITUTE(SUBSTITUTE(SUBSTITUTE(K211," ",""),"0",""),"-","")))=(LEN(SUBSTITUTE(SUBSTITUTE(SUBSTITUTE(M211," ",""),"0",""),"-",""))+LEN(SUBSTITUTE(SUBSTITUTE(SUBSTITUTE(N211," ",""),"0",""),"-",""))))),1,0),0)+IF(OR(COUNTA(J213,K213,M213,N213)&gt;0,OR(L213="X",L213="x")),IF(OR(L213="X",L213="x",AND(OR(COUNTA(J213,K213,M213,N213)&gt;0,OR(L213="X",L213="x")),(LEN(SUBSTITUTE(SUBSTITUTE(SUBSTITUTE(J213," ",""),"0",""),"-",""))+LEN(SUBSTITUTE(SUBSTITUTE(SUBSTITUTE(K213," ",""),"0",""),"-","")))=(LEN(SUBSTITUTE(SUBSTITUTE(SUBSTITUTE(M213," ",""),"0",""),"-",""))+LEN(SUBSTITUTE(SUBSTITUTE(SUBSTITUTE(N213," ",""),"0",""),"-",""))))),1,0),0)</f>
      </c>
      <c r="M217" s="14" t="str">
        <f>LEN(SUBSTITUTE(SUBSTITUTE(SUBSTITUTE(J211," ",""),"0",""),"-",""))+LEN(SUBSTITUTE(SUBSTITUTE(SUBSTITUTE(K211," ",""),"0",""),"-",""))+LEN(SUBSTITUTE(SUBSTITUTE(SUBSTITUTE(M213," ",""),"0",""),"-",""))+LEN(SUBSTITUTE(SUBSTITUTE(SUBSTITUTE(N213," ",""),"0",""),"-",""))</f>
      </c>
      <c r="N217" s="14" t="str">
        <f>LEN(SUBSTITUTE(SUBSTITUTE(SUBSTITUTE(M211," ",""),"0",""),"-",""))+LEN(SUBSTITUTE(SUBSTITUTE(SUBSTITUTE(N211," ",""),"0",""),"-",""))+LEN(SUBSTITUTE(SUBSTITUTE(SUBSTITUTE(J213," ",""),"0",""),"-",""))+LEN(SUBSTITUTE(SUBSTITUTE(SUBSTITUTE(K213," ",""),"0",""),"-",""))</f>
      </c>
      <c r="O217" s="18" t="str">
        <f>RANK(AC217,$AC$216:$AC$218)+COUNTIF($AC$215:AC216,AC217)</f>
      </c>
      <c r="U217" t="str">
        <f>(B217*1000000)-(C217*10000)+(D217*100)+(E217*1)-(F217*0.01)</f>
      </c>
      <c r="AC217" t="str">
        <f>(J217*1000000)-(K217*10000)+(L217*100)+(M217*1)-(N217*0.01)</f>
      </c>
    </row>
    <row r="218">
      <c r="A218" s="14" t="str">
        <f>data!$E$42&amp;" "&amp;data!$B$42</f>
      </c>
      <c r="B218" s="14" t="str">
        <f>IF(OR(COUNTA(B212,C212,E212,F212)&gt;0,OR(D212="X",D212="x")),IF(OR(D212="X",D212="x",AND(OR(COUNTA(B212,C212,E212,F212)&gt;0,OR(D212="X",D212="x")),(LEN(SUBSTITUTE(SUBSTITUTE(SUBSTITUTE(B212," ",""),"0",""),"-",""))+LEN(SUBSTITUTE(SUBSTITUTE(SUBSTITUTE(C212," ",""),"0",""),"-","")))=(LEN(SUBSTITUTE(SUBSTITUTE(SUBSTITUTE(E212," ",""),"0",""),"-",""))+LEN(SUBSTITUTE(SUBSTITUTE(SUBSTITUTE(F212," ",""),"0",""),"-",""))))),0,(LEN(SUBSTITUTE(SUBSTITUTE(SUBSTITUTE(B212," ",""),"0",""),"-",""))+LEN(SUBSTITUTE(SUBSTITUTE(SUBSTITUTE(C212," ",""),"0",""),"-",""))&gt;LEN(SUBSTITUTE(SUBSTITUTE(SUBSTITUTE(E212," ",""),"0",""),"-",""))+LEN(SUBSTITUTE(SUBSTITUTE(SUBSTITUTE(F212," ",""),"0",""),"-","")))*1),0)+IF(OR(COUNTA(B213,C213,E213,F213)&gt;0,OR(D213="X",D213="x")),IF(OR(D213="X",D213="x",AND(OR(COUNTA(B213,C213,E213,F213)&gt;0,OR(D213="X",D213="x")),(LEN(SUBSTITUTE(SUBSTITUTE(SUBSTITUTE(B213," ",""),"0",""),"-",""))+LEN(SUBSTITUTE(SUBSTITUTE(SUBSTITUTE(C213," ",""),"0",""),"-","")))=(LEN(SUBSTITUTE(SUBSTITUTE(SUBSTITUTE(E213," ",""),"0",""),"-",""))+LEN(SUBSTITUTE(SUBSTITUTE(SUBSTITUTE(F213," ",""),"0",""),"-",""))))),0,(LEN(SUBSTITUTE(SUBSTITUTE(SUBSTITUTE(B213," ",""),"0",""),"-",""))+LEN(SUBSTITUTE(SUBSTITUTE(SUBSTITUTE(C213," ",""),"0",""),"-",""))&gt;LEN(SUBSTITUTE(SUBSTITUTE(SUBSTITUTE(E213," ",""),"0",""),"-",""))+LEN(SUBSTITUTE(SUBSTITUTE(SUBSTITUTE(F213," ",""),"0",""),"-","")))*1),0)</f>
      </c>
      <c r="C218" s="14" t="str">
        <f>IF(OR(COUNTA(B212,C212,E212,F212)&gt;0,OR(D212="X",D212="x")),IF(OR(D212="X",D212="x",AND(OR(COUNTA(B212,C212,E212,F212)&gt;0,OR(D212="X",D212="x")),(LEN(SUBSTITUTE(SUBSTITUTE(SUBSTITUTE(B212," ",""),"0",""),"-",""))+LEN(SUBSTITUTE(SUBSTITUTE(SUBSTITUTE(C212," ",""),"0",""),"-","")))=(LEN(SUBSTITUTE(SUBSTITUTE(SUBSTITUTE(E212," ",""),"0",""),"-",""))+LEN(SUBSTITUTE(SUBSTITUTE(SUBSTITUTE(F212," ",""),"0",""),"-",""))))),0,(LEN(SUBSTITUTE(SUBSTITUTE(SUBSTITUTE(B212," ",""),"0",""),"-",""))+LEN(SUBSTITUTE(SUBSTITUTE(SUBSTITUTE(C212," ",""),"0",""),"-",""))&lt;LEN(SUBSTITUTE(SUBSTITUTE(SUBSTITUTE(E212," ",""),"0",""),"-",""))+LEN(SUBSTITUTE(SUBSTITUTE(SUBSTITUTE(F212," ",""),"0",""),"-","")))*1),0)+IF(OR(COUNTA(B213,C213,E213,F213)&gt;0,OR(D213="X",D213="x")),IF(OR(D213="X",D213="x",AND(OR(COUNTA(B213,C213,E213,F213)&gt;0,OR(D213="X",D213="x")),(LEN(SUBSTITUTE(SUBSTITUTE(SUBSTITUTE(B213," ",""),"0",""),"-",""))+LEN(SUBSTITUTE(SUBSTITUTE(SUBSTITUTE(C213," ",""),"0",""),"-","")))=(LEN(SUBSTITUTE(SUBSTITUTE(SUBSTITUTE(E213," ",""),"0",""),"-",""))+LEN(SUBSTITUTE(SUBSTITUTE(SUBSTITUTE(F213," ",""),"0",""),"-",""))))),0,(LEN(SUBSTITUTE(SUBSTITUTE(SUBSTITUTE(B213," ",""),"0",""),"-",""))+LEN(SUBSTITUTE(SUBSTITUTE(SUBSTITUTE(C213," ",""),"0",""),"-",""))&lt;LEN(SUBSTITUTE(SUBSTITUTE(SUBSTITUTE(E213," ",""),"0",""),"-",""))+LEN(SUBSTITUTE(SUBSTITUTE(SUBSTITUTE(F213," ",""),"0",""),"-","")))*1),0)</f>
      </c>
      <c r="D218" s="14" t="str">
        <f>IF(OR(COUNTA(B212,C212,E212,F212)&gt;0,OR(D212="X",D212="x")),IF(OR(D212="X",D212="x",AND(OR(COUNTA(B212,C212,E212,F212)&gt;0,OR(D212="X",D212="x")),(LEN(SUBSTITUTE(SUBSTITUTE(SUBSTITUTE(B212," ",""),"0",""),"-",""))+LEN(SUBSTITUTE(SUBSTITUTE(SUBSTITUTE(C212," ",""),"0",""),"-","")))=(LEN(SUBSTITUTE(SUBSTITUTE(SUBSTITUTE(E212," ",""),"0",""),"-",""))+LEN(SUBSTITUTE(SUBSTITUTE(SUBSTITUTE(F212," ",""),"0",""),"-",""))))),1,0),0)+IF(OR(COUNTA(B213,C213,E213,F213)&gt;0,OR(D213="X",D213="x")),IF(OR(D213="X",D213="x",AND(OR(COUNTA(B213,C213,E213,F213)&gt;0,OR(D213="X",D213="x")),(LEN(SUBSTITUTE(SUBSTITUTE(SUBSTITUTE(B213," ",""),"0",""),"-",""))+LEN(SUBSTITUTE(SUBSTITUTE(SUBSTITUTE(C213," ",""),"0",""),"-","")))=(LEN(SUBSTITUTE(SUBSTITUTE(SUBSTITUTE(E213," ",""),"0",""),"-",""))+LEN(SUBSTITUTE(SUBSTITUTE(SUBSTITUTE(F213," ",""),"0",""),"-",""))))),1,0),0)</f>
      </c>
      <c r="E218" s="14" t="str">
        <f>LEN(SUBSTITUTE(SUBSTITUTE(SUBSTITUTE(B212," ",""),"0",""),"-",""))+LEN(SUBSTITUTE(SUBSTITUTE(SUBSTITUTE(C212," ",""),"0",""),"-",""))+LEN(SUBSTITUTE(SUBSTITUTE(SUBSTITUTE(B213," ",""),"0",""),"-",""))+LEN(SUBSTITUTE(SUBSTITUTE(SUBSTITUTE(C213," ",""),"0",""),"-",""))</f>
      </c>
      <c r="F218" s="14" t="str">
        <f>LEN(SUBSTITUTE(SUBSTITUTE(SUBSTITUTE(E212," ",""),"0",""),"-",""))+LEN(SUBSTITUTE(SUBSTITUTE(SUBSTITUTE(F212," ",""),"0",""),"-",""))+LEN(SUBSTITUTE(SUBSTITUTE(SUBSTITUTE(E213," ",""),"0",""),"-",""))+LEN(SUBSTITUTE(SUBSTITUTE(SUBSTITUTE(F213," ",""),"0",""),"-",""))</f>
      </c>
      <c r="G218" s="18" t="str">
        <f>RANK(U218,$U$216:$U$218)+COUNTIF($U$215:U217,U218)</f>
      </c>
      <c r="I218" s="14" t="str">
        <f>data!$E$87&amp;" "&amp;data!$B$87</f>
      </c>
      <c r="J218" s="14" t="str">
        <f>IF(OR(COUNTA(J212,K212,M212,N212)&gt;0,OR(L212="X",L212="x")),IF(OR(L212="X",L212="x",AND(OR(COUNTA(J212,K212,M212,N212)&gt;0,OR(L212="X",L212="x")),(LEN(SUBSTITUTE(SUBSTITUTE(SUBSTITUTE(J212," ",""),"0",""),"-",""))+LEN(SUBSTITUTE(SUBSTITUTE(SUBSTITUTE(K212," ",""),"0",""),"-","")))=(LEN(SUBSTITUTE(SUBSTITUTE(SUBSTITUTE(M212," ",""),"0",""),"-",""))+LEN(SUBSTITUTE(SUBSTITUTE(SUBSTITUTE(N212," ",""),"0",""),"-",""))))),0,(LEN(SUBSTITUTE(SUBSTITUTE(SUBSTITUTE(J212," ",""),"0",""),"-",""))+LEN(SUBSTITUTE(SUBSTITUTE(SUBSTITUTE(K212," ",""),"0",""),"-",""))&gt;LEN(SUBSTITUTE(SUBSTITUTE(SUBSTITUTE(M212," ",""),"0",""),"-",""))+LEN(SUBSTITUTE(SUBSTITUTE(SUBSTITUTE(N212," ",""),"0",""),"-","")))*1),0)+IF(OR(COUNTA(J213,K213,M213,N213)&gt;0,OR(L213="X",L213="x")),IF(OR(L213="X",L213="x",AND(OR(COUNTA(J213,K213,M213,N213)&gt;0,OR(L213="X",L213="x")),(LEN(SUBSTITUTE(SUBSTITUTE(SUBSTITUTE(J213," ",""),"0",""),"-",""))+LEN(SUBSTITUTE(SUBSTITUTE(SUBSTITUTE(K213," ",""),"0",""),"-","")))=(LEN(SUBSTITUTE(SUBSTITUTE(SUBSTITUTE(M213," ",""),"0",""),"-",""))+LEN(SUBSTITUTE(SUBSTITUTE(SUBSTITUTE(N213," ",""),"0",""),"-",""))))),0,(LEN(SUBSTITUTE(SUBSTITUTE(SUBSTITUTE(J213," ",""),"0",""),"-",""))+LEN(SUBSTITUTE(SUBSTITUTE(SUBSTITUTE(K213," ",""),"0",""),"-",""))&gt;LEN(SUBSTITUTE(SUBSTITUTE(SUBSTITUTE(M213," ",""),"0",""),"-",""))+LEN(SUBSTITUTE(SUBSTITUTE(SUBSTITUTE(N213," ",""),"0",""),"-","")))*1),0)</f>
      </c>
      <c r="K218" s="14" t="str">
        <f>IF(OR(COUNTA(J212,K212,M212,N212)&gt;0,OR(L212="X",L212="x")),IF(OR(L212="X",L212="x",AND(OR(COUNTA(J212,K212,M212,N212)&gt;0,OR(L212="X",L212="x")),(LEN(SUBSTITUTE(SUBSTITUTE(SUBSTITUTE(J212," ",""),"0",""),"-",""))+LEN(SUBSTITUTE(SUBSTITUTE(SUBSTITUTE(K212," ",""),"0",""),"-","")))=(LEN(SUBSTITUTE(SUBSTITUTE(SUBSTITUTE(M212," ",""),"0",""),"-",""))+LEN(SUBSTITUTE(SUBSTITUTE(SUBSTITUTE(N212," ",""),"0",""),"-",""))))),0,(LEN(SUBSTITUTE(SUBSTITUTE(SUBSTITUTE(J212," ",""),"0",""),"-",""))+LEN(SUBSTITUTE(SUBSTITUTE(SUBSTITUTE(K212," ",""),"0",""),"-",""))&lt;LEN(SUBSTITUTE(SUBSTITUTE(SUBSTITUTE(M212," ",""),"0",""),"-",""))+LEN(SUBSTITUTE(SUBSTITUTE(SUBSTITUTE(N212," ",""),"0",""),"-","")))*1),0)+IF(OR(COUNTA(J213,K213,M213,N213)&gt;0,OR(L213="X",L213="x")),IF(OR(L213="X",L213="x",AND(OR(COUNTA(J213,K213,M213,N213)&gt;0,OR(L213="X",L213="x")),(LEN(SUBSTITUTE(SUBSTITUTE(SUBSTITUTE(J213," ",""),"0",""),"-",""))+LEN(SUBSTITUTE(SUBSTITUTE(SUBSTITUTE(K213," ",""),"0",""),"-","")))=(LEN(SUBSTITUTE(SUBSTITUTE(SUBSTITUTE(M213," ",""),"0",""),"-",""))+LEN(SUBSTITUTE(SUBSTITUTE(SUBSTITUTE(N213," ",""),"0",""),"-",""))))),0,(LEN(SUBSTITUTE(SUBSTITUTE(SUBSTITUTE(J213," ",""),"0",""),"-",""))+LEN(SUBSTITUTE(SUBSTITUTE(SUBSTITUTE(K213," ",""),"0",""),"-",""))&lt;LEN(SUBSTITUTE(SUBSTITUTE(SUBSTITUTE(M213," ",""),"0",""),"-",""))+LEN(SUBSTITUTE(SUBSTITUTE(SUBSTITUTE(N213," ",""),"0",""),"-","")))*1),0)</f>
      </c>
      <c r="L218" s="14" t="str">
        <f>IF(OR(COUNTA(J212,K212,M212,N212)&gt;0,OR(L212="X",L212="x")),IF(OR(L212="X",L212="x",AND(OR(COUNTA(J212,K212,M212,N212)&gt;0,OR(L212="X",L212="x")),(LEN(SUBSTITUTE(SUBSTITUTE(SUBSTITUTE(J212," ",""),"0",""),"-",""))+LEN(SUBSTITUTE(SUBSTITUTE(SUBSTITUTE(K212," ",""),"0",""),"-","")))=(LEN(SUBSTITUTE(SUBSTITUTE(SUBSTITUTE(M212," ",""),"0",""),"-",""))+LEN(SUBSTITUTE(SUBSTITUTE(SUBSTITUTE(N212," ",""),"0",""),"-",""))))),1,0),0)+IF(OR(COUNTA(J213,K213,M213,N213)&gt;0,OR(L213="X",L213="x")),IF(OR(L213="X",L213="x",AND(OR(COUNTA(J213,K213,M213,N213)&gt;0,OR(L213="X",L213="x")),(LEN(SUBSTITUTE(SUBSTITUTE(SUBSTITUTE(J213," ",""),"0",""),"-",""))+LEN(SUBSTITUTE(SUBSTITUTE(SUBSTITUTE(K213," ",""),"0",""),"-","")))=(LEN(SUBSTITUTE(SUBSTITUTE(SUBSTITUTE(M213," ",""),"0",""),"-",""))+LEN(SUBSTITUTE(SUBSTITUTE(SUBSTITUTE(N213," ",""),"0",""),"-",""))))),1,0),0)</f>
      </c>
      <c r="M218" s="14" t="str">
        <f>LEN(SUBSTITUTE(SUBSTITUTE(SUBSTITUTE(J212," ",""),"0",""),"-",""))+LEN(SUBSTITUTE(SUBSTITUTE(SUBSTITUTE(K212," ",""),"0",""),"-",""))+LEN(SUBSTITUTE(SUBSTITUTE(SUBSTITUTE(J213," ",""),"0",""),"-",""))+LEN(SUBSTITUTE(SUBSTITUTE(SUBSTITUTE(K213," ",""),"0",""),"-",""))</f>
      </c>
      <c r="N218" s="14" t="str">
        <f>LEN(SUBSTITUTE(SUBSTITUTE(SUBSTITUTE(M212," ",""),"0",""),"-",""))+LEN(SUBSTITUTE(SUBSTITUTE(SUBSTITUTE(N212," ",""),"0",""),"-",""))+LEN(SUBSTITUTE(SUBSTITUTE(SUBSTITUTE(M213," ",""),"0",""),"-",""))+LEN(SUBSTITUTE(SUBSTITUTE(SUBSTITUTE(N213," ",""),"0",""),"-",""))</f>
      </c>
      <c r="O218" s="18" t="str">
        <f>RANK(AC218,$AC$216:$AC$218)+COUNTIF($AC$215:AC217,AC218)</f>
      </c>
      <c r="U218" t="str">
        <f>(B218*1000000)-(C218*10000)+(D218*100)+(E218*1)-(F218*0.01)</f>
      </c>
      <c r="AC218" t="str">
        <f>(J218*1000000)-(K218*10000)+(L218*100)+(M218*1)-(N218*0.01)</f>
      </c>
    </row>
    <row r="221">
      <c r="F221" s="13"/>
      <c r="G221" s="13" t="s">
        <v>340</v>
      </c>
      <c r="N221" s="13"/>
      <c r="O221" s="13" t="s">
        <v>340</v>
      </c>
    </row>
    <row r="222">
      <c r="F222" t="s">
        <v>341</v>
      </c>
      <c r="G222" s="19" t="str">
        <f>IFERROR(INDEX($A$216:$A$218, MATCH(1, $G$216:$G$218, 0)), "-")</f>
      </c>
      <c r="N222" t="s">
        <v>341</v>
      </c>
      <c r="O222" s="19" t="str">
        <f>IFERROR(INDEX($I$216:$I$218, MATCH(1, $O$216:$O$218, 0)), "-")</f>
      </c>
    </row>
    <row r="223">
      <c r="F223" t="s">
        <v>342</v>
      </c>
      <c r="G223" s="19" t="str">
        <f>IFERROR(INDEX($A$216:$A$218, MATCH(2, $G$216:$G$218, 0)), "-")</f>
      </c>
      <c r="N223" t="s">
        <v>342</v>
      </c>
      <c r="O223" s="19" t="str">
        <f>IFERROR(INDEX($I$216:$I$218, MATCH(2, $O$216:$O$218, 0)), "-")</f>
      </c>
    </row>
    <row r="224">
      <c r="F224" t="s">
        <v>343</v>
      </c>
      <c r="G224" s="19" t="str">
        <f>IFERROR(INDEX($A$216:$A$218, MATCH(3, $G$216:$G$218, 0)), "-")</f>
      </c>
      <c r="N224" t="s">
        <v>343</v>
      </c>
      <c r="O224" s="19" t="str">
        <f>IFERROR(INDEX($I$216:$I$218, MATCH(3, $O$216:$O$218, 0)), "-")</f>
      </c>
    </row>
    <row r="226">
      <c r="A226" s="13" t="str">
        <f>'data'!$A$45</f>
      </c>
      <c r="B226" s="13"/>
      <c r="C226" s="13"/>
      <c r="D226" s="13"/>
      <c r="E226" s="13"/>
      <c r="F226" s="13"/>
      <c r="G226" s="13"/>
      <c r="I226" s="13" t="str">
        <f>'data'!$A$90</f>
      </c>
      <c r="J226" s="13"/>
      <c r="K226" s="13"/>
      <c r="L226" s="13"/>
      <c r="M226" s="13"/>
      <c r="N226" s="13"/>
      <c r="O226" s="13"/>
    </row>
    <row r="227">
      <c r="A227" s="17" t="s">
        <v>330</v>
      </c>
      <c r="D227" s="14" t="s">
        <v>331</v>
      </c>
      <c r="G227" s="16" t="s">
        <v>332</v>
      </c>
      <c r="I227" s="17" t="s">
        <v>330</v>
      </c>
      <c r="L227" s="14" t="s">
        <v>331</v>
      </c>
      <c r="O227" s="16" t="s">
        <v>332</v>
      </c>
    </row>
    <row r="228">
      <c r="A228" s="14" t="str">
        <f>data!$E$44&amp;" "&amp;data!$B$44</f>
      </c>
      <c r="B228" s="18"/>
      <c r="C228" s="18"/>
      <c r="D228" s="18"/>
      <c r="E228" s="18"/>
      <c r="F228" s="18"/>
      <c r="G228" s="14" t="str">
        <f>data!$E$43&amp;" "&amp;data!$B$43</f>
      </c>
      <c r="I228" s="14" t="str">
        <f>data!$E$89&amp;" "&amp;data!$B$89</f>
      </c>
      <c r="J228" s="18"/>
      <c r="K228" s="18"/>
      <c r="L228" s="18"/>
      <c r="M228" s="18"/>
      <c r="N228" s="18"/>
      <c r="O228" s="14" t="str">
        <f>data!$E$88&amp;" "&amp;data!$B$88</f>
      </c>
    </row>
    <row r="229">
      <c r="A229" s="14" t="str">
        <f>data!$E$45&amp;" "&amp;data!$B$45</f>
      </c>
      <c r="B229" s="18"/>
      <c r="C229" s="18"/>
      <c r="D229" s="18"/>
      <c r="E229" s="18"/>
      <c r="F229" s="18"/>
      <c r="G229" s="14" t="str">
        <f>data!$E$43&amp;" "&amp;data!$B$43</f>
      </c>
      <c r="I229" s="14" t="str">
        <f>data!$E$90&amp;" "&amp;data!$B$90</f>
      </c>
      <c r="J229" s="18"/>
      <c r="K229" s="18"/>
      <c r="L229" s="18"/>
      <c r="M229" s="18"/>
      <c r="N229" s="18"/>
      <c r="O229" s="14" t="str">
        <f>data!$E$88&amp;" "&amp;data!$B$88</f>
      </c>
    </row>
    <row r="230">
      <c r="A230" s="14" t="str">
        <f>data!$E$45&amp;" "&amp;data!$B$45</f>
      </c>
      <c r="B230" s="18"/>
      <c r="C230" s="18"/>
      <c r="D230" s="18"/>
      <c r="E230" s="18"/>
      <c r="F230" s="18"/>
      <c r="G230" s="14" t="str">
        <f>data!$E$44&amp;" "&amp;data!$B$44</f>
      </c>
      <c r="I230" s="14" t="str">
        <f>data!$E$90&amp;" "&amp;data!$B$90</f>
      </c>
      <c r="J230" s="18"/>
      <c r="K230" s="18"/>
      <c r="L230" s="18"/>
      <c r="M230" s="18"/>
      <c r="N230" s="18"/>
      <c r="O230" s="14" t="str">
        <f>data!$E$89&amp;" "&amp;data!$B$89</f>
      </c>
    </row>
    <row r="232">
      <c r="A232" s="13" t="s">
        <v>333</v>
      </c>
      <c r="B232" s="13" t="s">
        <v>334</v>
      </c>
      <c r="C232" s="13" t="s">
        <v>335</v>
      </c>
      <c r="D232" s="13" t="s">
        <v>336</v>
      </c>
      <c r="E232" s="13" t="s">
        <v>337</v>
      </c>
      <c r="F232" s="13" t="s">
        <v>338</v>
      </c>
      <c r="G232" s="13" t="s">
        <v>339</v>
      </c>
      <c r="I232" s="13" t="s">
        <v>333</v>
      </c>
      <c r="J232" s="13" t="s">
        <v>334</v>
      </c>
      <c r="K232" s="13" t="s">
        <v>335</v>
      </c>
      <c r="L232" s="13" t="s">
        <v>336</v>
      </c>
      <c r="M232" s="13" t="s">
        <v>337</v>
      </c>
      <c r="N232" s="13" t="s">
        <v>338</v>
      </c>
      <c r="O232" s="13" t="s">
        <v>339</v>
      </c>
    </row>
    <row r="233">
      <c r="A233" s="14" t="str">
        <f>data!$E$43&amp;" "&amp;data!$B$43</f>
      </c>
      <c r="B233" s="14" t="str">
        <f>IF(OR(COUNTA(B228,C228,E228,F228)&gt;0,OR(D228="X",D228="x")),IF(OR(D228="X",D228="x",AND(OR(COUNTA(B228,C228,E228,F228)&gt;0,OR(D228="X",D228="x")),(LEN(SUBSTITUTE(SUBSTITUTE(SUBSTITUTE(B228," ",""),"0",""),"-",""))+LEN(SUBSTITUTE(SUBSTITUTE(SUBSTITUTE(C228," ",""),"0",""),"-","")))=(LEN(SUBSTITUTE(SUBSTITUTE(SUBSTITUTE(E228," ",""),"0",""),"-",""))+LEN(SUBSTITUTE(SUBSTITUTE(SUBSTITUTE(F228," ",""),"0",""),"-",""))))),0,(LEN(SUBSTITUTE(SUBSTITUTE(SUBSTITUTE(E228," ",""),"0",""),"-",""))+LEN(SUBSTITUTE(SUBSTITUTE(SUBSTITUTE(F228," ",""),"0",""),"-",""))&gt;LEN(SUBSTITUTE(SUBSTITUTE(SUBSTITUTE(B228," ",""),"0",""),"-",""))+LEN(SUBSTITUTE(SUBSTITUTE(SUBSTITUTE(C228," ",""),"0",""),"-","")))*1),0)+IF(OR(COUNTA(B229,C229,E229,F229)&gt;0,OR(D229="X",D229="x")),IF(OR(D229="X",D229="x",AND(OR(COUNTA(B229,C229,E229,F229)&gt;0,OR(D229="X",D229="x")),(LEN(SUBSTITUTE(SUBSTITUTE(SUBSTITUTE(B229," ",""),"0",""),"-",""))+LEN(SUBSTITUTE(SUBSTITUTE(SUBSTITUTE(C229," ",""),"0",""),"-","")))=(LEN(SUBSTITUTE(SUBSTITUTE(SUBSTITUTE(E229," ",""),"0",""),"-",""))+LEN(SUBSTITUTE(SUBSTITUTE(SUBSTITUTE(F229," ",""),"0",""),"-",""))))),0,(LEN(SUBSTITUTE(SUBSTITUTE(SUBSTITUTE(E229," ",""),"0",""),"-",""))+LEN(SUBSTITUTE(SUBSTITUTE(SUBSTITUTE(F229," ",""),"0",""),"-",""))&gt;LEN(SUBSTITUTE(SUBSTITUTE(SUBSTITUTE(B229," ",""),"0",""),"-",""))+LEN(SUBSTITUTE(SUBSTITUTE(SUBSTITUTE(C229," ",""),"0",""),"-","")))*1),0)</f>
      </c>
      <c r="C233" s="14" t="str">
        <f>IF(OR(COUNTA(B228,C228,E228,F228)&gt;0,OR(D228="X",D228="x")),IF(OR(D228="X",D228="x",AND(OR(COUNTA(B228,C228,E228,F228)&gt;0,OR(D228="X",D228="x")),(LEN(SUBSTITUTE(SUBSTITUTE(SUBSTITUTE(B228," ",""),"0",""),"-",""))+LEN(SUBSTITUTE(SUBSTITUTE(SUBSTITUTE(C228," ",""),"0",""),"-","")))=(LEN(SUBSTITUTE(SUBSTITUTE(SUBSTITUTE(E228," ",""),"0",""),"-",""))+LEN(SUBSTITUTE(SUBSTITUTE(SUBSTITUTE(F228," ",""),"0",""),"-",""))))),0,(LEN(SUBSTITUTE(SUBSTITUTE(SUBSTITUTE(E228," ",""),"0",""),"-",""))+LEN(SUBSTITUTE(SUBSTITUTE(SUBSTITUTE(F228," ",""),"0",""),"-",""))&lt;LEN(SUBSTITUTE(SUBSTITUTE(SUBSTITUTE(B228," ",""),"0",""),"-",""))+LEN(SUBSTITUTE(SUBSTITUTE(SUBSTITUTE(C228," ",""),"0",""),"-","")))*1),0)+IF(OR(COUNTA(B229,C229,E229,F229)&gt;0,OR(D229="X",D229="x")),IF(OR(D229="X",D229="x",AND(OR(COUNTA(B229,C229,E229,F229)&gt;0,OR(D229="X",D229="x")),(LEN(SUBSTITUTE(SUBSTITUTE(SUBSTITUTE(B229," ",""),"0",""),"-",""))+LEN(SUBSTITUTE(SUBSTITUTE(SUBSTITUTE(C229," ",""),"0",""),"-","")))=(LEN(SUBSTITUTE(SUBSTITUTE(SUBSTITUTE(E229," ",""),"0",""),"-",""))+LEN(SUBSTITUTE(SUBSTITUTE(SUBSTITUTE(F229," ",""),"0",""),"-",""))))),0,(LEN(SUBSTITUTE(SUBSTITUTE(SUBSTITUTE(E229," ",""),"0",""),"-",""))+LEN(SUBSTITUTE(SUBSTITUTE(SUBSTITUTE(F229," ",""),"0",""),"-",""))&lt;LEN(SUBSTITUTE(SUBSTITUTE(SUBSTITUTE(B229," ",""),"0",""),"-",""))+LEN(SUBSTITUTE(SUBSTITUTE(SUBSTITUTE(C229," ",""),"0",""),"-","")))*1),0)</f>
      </c>
      <c r="D233" s="14" t="str">
        <f>IF(OR(COUNTA(B228,C228,E228,F228)&gt;0,OR(D228="X",D228="x")),IF(OR(D228="X",D228="x",AND(OR(COUNTA(B228,C228,E228,F228)&gt;0,OR(D228="X",D228="x")),(LEN(SUBSTITUTE(SUBSTITUTE(SUBSTITUTE(B228," ",""),"0",""),"-",""))+LEN(SUBSTITUTE(SUBSTITUTE(SUBSTITUTE(C228," ",""),"0",""),"-","")))=(LEN(SUBSTITUTE(SUBSTITUTE(SUBSTITUTE(E228," ",""),"0",""),"-",""))+LEN(SUBSTITUTE(SUBSTITUTE(SUBSTITUTE(F228," ",""),"0",""),"-",""))))),1,0),0)+IF(OR(COUNTA(B229,C229,E229,F229)&gt;0,OR(D229="X",D229="x")),IF(OR(D229="X",D229="x",AND(OR(COUNTA(B229,C229,E229,F229)&gt;0,OR(D229="X",D229="x")),(LEN(SUBSTITUTE(SUBSTITUTE(SUBSTITUTE(B229," ",""),"0",""),"-",""))+LEN(SUBSTITUTE(SUBSTITUTE(SUBSTITUTE(C229," ",""),"0",""),"-","")))=(LEN(SUBSTITUTE(SUBSTITUTE(SUBSTITUTE(E229," ",""),"0",""),"-",""))+LEN(SUBSTITUTE(SUBSTITUTE(SUBSTITUTE(F229," ",""),"0",""),"-",""))))),1,0),0)</f>
      </c>
      <c r="E233" s="14" t="str">
        <f>LEN(SUBSTITUTE(SUBSTITUTE(SUBSTITUTE(E228," ",""),"0",""),"-",""))+LEN(SUBSTITUTE(SUBSTITUTE(SUBSTITUTE(F228," ",""),"0",""),"-",""))+LEN(SUBSTITUTE(SUBSTITUTE(SUBSTITUTE(E229," ",""),"0",""),"-",""))+LEN(SUBSTITUTE(SUBSTITUTE(SUBSTITUTE(F229," ",""),"0",""),"-",""))</f>
      </c>
      <c r="F233" s="14" t="str">
        <f>LEN(SUBSTITUTE(SUBSTITUTE(SUBSTITUTE(B228," ",""),"0",""),"-",""))+LEN(SUBSTITUTE(SUBSTITUTE(SUBSTITUTE(C228," ",""),"0",""),"-",""))+LEN(SUBSTITUTE(SUBSTITUTE(SUBSTITUTE(B229," ",""),"0",""),"-",""))+LEN(SUBSTITUTE(SUBSTITUTE(SUBSTITUTE(C229," ",""),"0",""),"-",""))</f>
      </c>
      <c r="G233" s="18" t="str">
        <f>RANK(U233,$U$233:$U$235)+COUNTIF($U$232:U232,U233)</f>
      </c>
      <c r="I233" s="14" t="str">
        <f>data!$E$88&amp;" "&amp;data!$B$88</f>
      </c>
      <c r="J233" s="14" t="str">
        <f>IF(OR(COUNTA(J228,K228,M228,N228)&gt;0,OR(L228="X",L228="x")),IF(OR(L228="X",L228="x",AND(OR(COUNTA(J228,K228,M228,N228)&gt;0,OR(L228="X",L228="x")),(LEN(SUBSTITUTE(SUBSTITUTE(SUBSTITUTE(J228," ",""),"0",""),"-",""))+LEN(SUBSTITUTE(SUBSTITUTE(SUBSTITUTE(K228," ",""),"0",""),"-","")))=(LEN(SUBSTITUTE(SUBSTITUTE(SUBSTITUTE(M228," ",""),"0",""),"-",""))+LEN(SUBSTITUTE(SUBSTITUTE(SUBSTITUTE(N228," ",""),"0",""),"-",""))))),0,(LEN(SUBSTITUTE(SUBSTITUTE(SUBSTITUTE(M228," ",""),"0",""),"-",""))+LEN(SUBSTITUTE(SUBSTITUTE(SUBSTITUTE(N228," ",""),"0",""),"-",""))&gt;LEN(SUBSTITUTE(SUBSTITUTE(SUBSTITUTE(J228," ",""),"0",""),"-",""))+LEN(SUBSTITUTE(SUBSTITUTE(SUBSTITUTE(K228," ",""),"0",""),"-","")))*1),0)+IF(OR(COUNTA(J229,K229,M229,N229)&gt;0,OR(L229="X",L229="x")),IF(OR(L229="X",L229="x",AND(OR(COUNTA(J229,K229,M229,N229)&gt;0,OR(L229="X",L229="x")),(LEN(SUBSTITUTE(SUBSTITUTE(SUBSTITUTE(J229," ",""),"0",""),"-",""))+LEN(SUBSTITUTE(SUBSTITUTE(SUBSTITUTE(K229," ",""),"0",""),"-","")))=(LEN(SUBSTITUTE(SUBSTITUTE(SUBSTITUTE(M229," ",""),"0",""),"-",""))+LEN(SUBSTITUTE(SUBSTITUTE(SUBSTITUTE(N229," ",""),"0",""),"-",""))))),0,(LEN(SUBSTITUTE(SUBSTITUTE(SUBSTITUTE(M229," ",""),"0",""),"-",""))+LEN(SUBSTITUTE(SUBSTITUTE(SUBSTITUTE(N229," ",""),"0",""),"-",""))&gt;LEN(SUBSTITUTE(SUBSTITUTE(SUBSTITUTE(J229," ",""),"0",""),"-",""))+LEN(SUBSTITUTE(SUBSTITUTE(SUBSTITUTE(K229," ",""),"0",""),"-","")))*1),0)</f>
      </c>
      <c r="K233" s="14" t="str">
        <f>IF(OR(COUNTA(J228,K228,M228,N228)&gt;0,OR(L228="X",L228="x")),IF(OR(L228="X",L228="x",AND(OR(COUNTA(J228,K228,M228,N228)&gt;0,OR(L228="X",L228="x")),(LEN(SUBSTITUTE(SUBSTITUTE(SUBSTITUTE(J228," ",""),"0",""),"-",""))+LEN(SUBSTITUTE(SUBSTITUTE(SUBSTITUTE(K228," ",""),"0",""),"-","")))=(LEN(SUBSTITUTE(SUBSTITUTE(SUBSTITUTE(M228," ",""),"0",""),"-",""))+LEN(SUBSTITUTE(SUBSTITUTE(SUBSTITUTE(N228," ",""),"0",""),"-",""))))),0,(LEN(SUBSTITUTE(SUBSTITUTE(SUBSTITUTE(M228," ",""),"0",""),"-",""))+LEN(SUBSTITUTE(SUBSTITUTE(SUBSTITUTE(N228," ",""),"0",""),"-",""))&lt;LEN(SUBSTITUTE(SUBSTITUTE(SUBSTITUTE(J228," ",""),"0",""),"-",""))+LEN(SUBSTITUTE(SUBSTITUTE(SUBSTITUTE(K228," ",""),"0",""),"-","")))*1),0)+IF(OR(COUNTA(J229,K229,M229,N229)&gt;0,OR(L229="X",L229="x")),IF(OR(L229="X",L229="x",AND(OR(COUNTA(J229,K229,M229,N229)&gt;0,OR(L229="X",L229="x")),(LEN(SUBSTITUTE(SUBSTITUTE(SUBSTITUTE(J229," ",""),"0",""),"-",""))+LEN(SUBSTITUTE(SUBSTITUTE(SUBSTITUTE(K229," ",""),"0",""),"-","")))=(LEN(SUBSTITUTE(SUBSTITUTE(SUBSTITUTE(M229," ",""),"0",""),"-",""))+LEN(SUBSTITUTE(SUBSTITUTE(SUBSTITUTE(N229," ",""),"0",""),"-",""))))),0,(LEN(SUBSTITUTE(SUBSTITUTE(SUBSTITUTE(M229," ",""),"0",""),"-",""))+LEN(SUBSTITUTE(SUBSTITUTE(SUBSTITUTE(N229," ",""),"0",""),"-",""))&lt;LEN(SUBSTITUTE(SUBSTITUTE(SUBSTITUTE(J229," ",""),"0",""),"-",""))+LEN(SUBSTITUTE(SUBSTITUTE(SUBSTITUTE(K229," ",""),"0",""),"-","")))*1),0)</f>
      </c>
      <c r="L233" s="14" t="str">
        <f>IF(OR(COUNTA(J228,K228,M228,N228)&gt;0,OR(L228="X",L228="x")),IF(OR(L228="X",L228="x",AND(OR(COUNTA(J228,K228,M228,N228)&gt;0,OR(L228="X",L228="x")),(LEN(SUBSTITUTE(SUBSTITUTE(SUBSTITUTE(J228," ",""),"0",""),"-",""))+LEN(SUBSTITUTE(SUBSTITUTE(SUBSTITUTE(K228," ",""),"0",""),"-","")))=(LEN(SUBSTITUTE(SUBSTITUTE(SUBSTITUTE(M228," ",""),"0",""),"-",""))+LEN(SUBSTITUTE(SUBSTITUTE(SUBSTITUTE(N228," ",""),"0",""),"-",""))))),1,0),0)+IF(OR(COUNTA(J229,K229,M229,N229)&gt;0,OR(L229="X",L229="x")),IF(OR(L229="X",L229="x",AND(OR(COUNTA(J229,K229,M229,N229)&gt;0,OR(L229="X",L229="x")),(LEN(SUBSTITUTE(SUBSTITUTE(SUBSTITUTE(J229," ",""),"0",""),"-",""))+LEN(SUBSTITUTE(SUBSTITUTE(SUBSTITUTE(K229," ",""),"0",""),"-","")))=(LEN(SUBSTITUTE(SUBSTITUTE(SUBSTITUTE(M229," ",""),"0",""),"-",""))+LEN(SUBSTITUTE(SUBSTITUTE(SUBSTITUTE(N229," ",""),"0",""),"-",""))))),1,0),0)</f>
      </c>
      <c r="M233" s="14" t="str">
        <f>LEN(SUBSTITUTE(SUBSTITUTE(SUBSTITUTE(M228," ",""),"0",""),"-",""))+LEN(SUBSTITUTE(SUBSTITUTE(SUBSTITUTE(N228," ",""),"0",""),"-",""))+LEN(SUBSTITUTE(SUBSTITUTE(SUBSTITUTE(M229," ",""),"0",""),"-",""))+LEN(SUBSTITUTE(SUBSTITUTE(SUBSTITUTE(N229," ",""),"0",""),"-",""))</f>
      </c>
      <c r="N233" s="14" t="str">
        <f>LEN(SUBSTITUTE(SUBSTITUTE(SUBSTITUTE(J228," ",""),"0",""),"-",""))+LEN(SUBSTITUTE(SUBSTITUTE(SUBSTITUTE(K228," ",""),"0",""),"-",""))+LEN(SUBSTITUTE(SUBSTITUTE(SUBSTITUTE(J229," ",""),"0",""),"-",""))+LEN(SUBSTITUTE(SUBSTITUTE(SUBSTITUTE(K229," ",""),"0",""),"-",""))</f>
      </c>
      <c r="O233" s="18" t="str">
        <f>RANK(AC233,$AC$233:$AC$235)+COUNTIF($AC$232:AC232,AC233)</f>
      </c>
      <c r="U233" t="str">
        <f>(B233*1000000)-(C233*10000)+(D233*100)+(E233*1)-(F233*0.01)</f>
      </c>
      <c r="AC233" t="str">
        <f>(J233*1000000)-(K233*10000)+(L233*100)+(M233*1)-(N233*0.01)</f>
      </c>
    </row>
    <row r="234">
      <c r="A234" s="14" t="str">
        <f>data!$E$44&amp;" "&amp;data!$B$44</f>
      </c>
      <c r="B234" s="14" t="str">
        <f>IF(OR(COUNTA(B228,C228,E228,F228)&gt;0,OR(D228="X",D228="x")),IF(OR(D228="X",D228="x",AND(OR(COUNTA(B228,C228,E228,F228)&gt;0,OR(D228="X",D228="x")),(LEN(SUBSTITUTE(SUBSTITUTE(SUBSTITUTE(B228," ",""),"0",""),"-",""))+LEN(SUBSTITUTE(SUBSTITUTE(SUBSTITUTE(C228," ",""),"0",""),"-","")))=(LEN(SUBSTITUTE(SUBSTITUTE(SUBSTITUTE(E228," ",""),"0",""),"-",""))+LEN(SUBSTITUTE(SUBSTITUTE(SUBSTITUTE(F228," ",""),"0",""),"-",""))))),0,(LEN(SUBSTITUTE(SUBSTITUTE(SUBSTITUTE(B228," ",""),"0",""),"-",""))+LEN(SUBSTITUTE(SUBSTITUTE(SUBSTITUTE(C228," ",""),"0",""),"-",""))&gt;LEN(SUBSTITUTE(SUBSTITUTE(SUBSTITUTE(E228," ",""),"0",""),"-",""))+LEN(SUBSTITUTE(SUBSTITUTE(SUBSTITUTE(F228," ",""),"0",""),"-","")))*1),0)+IF(OR(COUNTA(B230,C230,E230,F230)&gt;0,OR(D230="X",D230="x")),IF(OR(D230="X",D230="x",AND(OR(COUNTA(B230,C230,E230,F230)&gt;0,OR(D230="X",D230="x")),(LEN(SUBSTITUTE(SUBSTITUTE(SUBSTITUTE(B230," ",""),"0",""),"-",""))+LEN(SUBSTITUTE(SUBSTITUTE(SUBSTITUTE(C230," ",""),"0",""),"-","")))=(LEN(SUBSTITUTE(SUBSTITUTE(SUBSTITUTE(E230," ",""),"0",""),"-",""))+LEN(SUBSTITUTE(SUBSTITUTE(SUBSTITUTE(F230," ",""),"0",""),"-",""))))),0,(LEN(SUBSTITUTE(SUBSTITUTE(SUBSTITUTE(E230," ",""),"0",""),"-",""))+LEN(SUBSTITUTE(SUBSTITUTE(SUBSTITUTE(F230," ",""),"0",""),"-",""))&gt;LEN(SUBSTITUTE(SUBSTITUTE(SUBSTITUTE(B230," ",""),"0",""),"-",""))+LEN(SUBSTITUTE(SUBSTITUTE(SUBSTITUTE(C230," ",""),"0",""),"-","")))*1),0)</f>
      </c>
      <c r="C234" s="14" t="str">
        <f>IF(OR(COUNTA(B228,C228,E228,F228)&gt;0,OR(D228="X",D228="x")),IF(OR(D228="X",D228="x",AND(OR(COUNTA(B228,C228,E228,F228)&gt;0,OR(D228="X",D228="x")),(LEN(SUBSTITUTE(SUBSTITUTE(SUBSTITUTE(B228," ",""),"0",""),"-",""))+LEN(SUBSTITUTE(SUBSTITUTE(SUBSTITUTE(C228," ",""),"0",""),"-","")))=(LEN(SUBSTITUTE(SUBSTITUTE(SUBSTITUTE(E228," ",""),"0",""),"-",""))+LEN(SUBSTITUTE(SUBSTITUTE(SUBSTITUTE(F228," ",""),"0",""),"-",""))))),0,(LEN(SUBSTITUTE(SUBSTITUTE(SUBSTITUTE(B228," ",""),"0",""),"-",""))+LEN(SUBSTITUTE(SUBSTITUTE(SUBSTITUTE(C228," ",""),"0",""),"-",""))&lt;LEN(SUBSTITUTE(SUBSTITUTE(SUBSTITUTE(E228," ",""),"0",""),"-",""))+LEN(SUBSTITUTE(SUBSTITUTE(SUBSTITUTE(F228," ",""),"0",""),"-","")))*1),0)+IF(OR(COUNTA(B230,C230,E230,F230)&gt;0,OR(D230="X",D230="x")),IF(OR(D230="X",D230="x",AND(OR(COUNTA(B230,C230,E230,F230)&gt;0,OR(D230="X",D230="x")),(LEN(SUBSTITUTE(SUBSTITUTE(SUBSTITUTE(B230," ",""),"0",""),"-",""))+LEN(SUBSTITUTE(SUBSTITUTE(SUBSTITUTE(C230," ",""),"0",""),"-","")))=(LEN(SUBSTITUTE(SUBSTITUTE(SUBSTITUTE(E230," ",""),"0",""),"-",""))+LEN(SUBSTITUTE(SUBSTITUTE(SUBSTITUTE(F230," ",""),"0",""),"-",""))))),0,(LEN(SUBSTITUTE(SUBSTITUTE(SUBSTITUTE(E230," ",""),"0",""),"-",""))+LEN(SUBSTITUTE(SUBSTITUTE(SUBSTITUTE(F230," ",""),"0",""),"-",""))&lt;LEN(SUBSTITUTE(SUBSTITUTE(SUBSTITUTE(B230," ",""),"0",""),"-",""))+LEN(SUBSTITUTE(SUBSTITUTE(SUBSTITUTE(C230," ",""),"0",""),"-","")))*1),0)</f>
      </c>
      <c r="D234" s="14" t="str">
        <f>IF(OR(COUNTA(B228,C228,E228,F228)&gt;0,OR(D228="X",D228="x")),IF(OR(D228="X",D228="x",AND(OR(COUNTA(B228,C228,E228,F228)&gt;0,OR(D228="X",D228="x")),(LEN(SUBSTITUTE(SUBSTITUTE(SUBSTITUTE(B228," ",""),"0",""),"-",""))+LEN(SUBSTITUTE(SUBSTITUTE(SUBSTITUTE(C228," ",""),"0",""),"-","")))=(LEN(SUBSTITUTE(SUBSTITUTE(SUBSTITUTE(E228," ",""),"0",""),"-",""))+LEN(SUBSTITUTE(SUBSTITUTE(SUBSTITUTE(F228," ",""),"0",""),"-",""))))),1,0),0)+IF(OR(COUNTA(B230,C230,E230,F230)&gt;0,OR(D230="X",D230="x")),IF(OR(D230="X",D230="x",AND(OR(COUNTA(B230,C230,E230,F230)&gt;0,OR(D230="X",D230="x")),(LEN(SUBSTITUTE(SUBSTITUTE(SUBSTITUTE(B230," ",""),"0",""),"-",""))+LEN(SUBSTITUTE(SUBSTITUTE(SUBSTITUTE(C230," ",""),"0",""),"-","")))=(LEN(SUBSTITUTE(SUBSTITUTE(SUBSTITUTE(E230," ",""),"0",""),"-",""))+LEN(SUBSTITUTE(SUBSTITUTE(SUBSTITUTE(F230," ",""),"0",""),"-",""))))),1,0),0)</f>
      </c>
      <c r="E234" s="14" t="str">
        <f>LEN(SUBSTITUTE(SUBSTITUTE(SUBSTITUTE(B228," ",""),"0",""),"-",""))+LEN(SUBSTITUTE(SUBSTITUTE(SUBSTITUTE(C228," ",""),"0",""),"-",""))+LEN(SUBSTITUTE(SUBSTITUTE(SUBSTITUTE(E230," ",""),"0",""),"-",""))+LEN(SUBSTITUTE(SUBSTITUTE(SUBSTITUTE(F230," ",""),"0",""),"-",""))</f>
      </c>
      <c r="F234" s="14" t="str">
        <f>LEN(SUBSTITUTE(SUBSTITUTE(SUBSTITUTE(E228," ",""),"0",""),"-",""))+LEN(SUBSTITUTE(SUBSTITUTE(SUBSTITUTE(F228," ",""),"0",""),"-",""))+LEN(SUBSTITUTE(SUBSTITUTE(SUBSTITUTE(B230," ",""),"0",""),"-",""))+LEN(SUBSTITUTE(SUBSTITUTE(SUBSTITUTE(C230," ",""),"0",""),"-",""))</f>
      </c>
      <c r="G234" s="18" t="str">
        <f>RANK(U234,$U$233:$U$235)+COUNTIF($U$232:U233,U234)</f>
      </c>
      <c r="I234" s="14" t="str">
        <f>data!$E$89&amp;" "&amp;data!$B$89</f>
      </c>
      <c r="J234" s="14" t="str">
        <f>IF(OR(COUNTA(J228,K228,M228,N228)&gt;0,OR(L228="X",L228="x")),IF(OR(L228="X",L228="x",AND(OR(COUNTA(J228,K228,M228,N228)&gt;0,OR(L228="X",L228="x")),(LEN(SUBSTITUTE(SUBSTITUTE(SUBSTITUTE(J228," ",""),"0",""),"-",""))+LEN(SUBSTITUTE(SUBSTITUTE(SUBSTITUTE(K228," ",""),"0",""),"-","")))=(LEN(SUBSTITUTE(SUBSTITUTE(SUBSTITUTE(M228," ",""),"0",""),"-",""))+LEN(SUBSTITUTE(SUBSTITUTE(SUBSTITUTE(N228," ",""),"0",""),"-",""))))),0,(LEN(SUBSTITUTE(SUBSTITUTE(SUBSTITUTE(J228," ",""),"0",""),"-",""))+LEN(SUBSTITUTE(SUBSTITUTE(SUBSTITUTE(K228," ",""),"0",""),"-",""))&gt;LEN(SUBSTITUTE(SUBSTITUTE(SUBSTITUTE(M228," ",""),"0",""),"-",""))+LEN(SUBSTITUTE(SUBSTITUTE(SUBSTITUTE(N228," ",""),"0",""),"-","")))*1),0)+IF(OR(COUNTA(J230,K230,M230,N230)&gt;0,OR(L230="X",L230="x")),IF(OR(L230="X",L230="x",AND(OR(COUNTA(J230,K230,M230,N230)&gt;0,OR(L230="X",L230="x")),(LEN(SUBSTITUTE(SUBSTITUTE(SUBSTITUTE(J230," ",""),"0",""),"-",""))+LEN(SUBSTITUTE(SUBSTITUTE(SUBSTITUTE(K230," ",""),"0",""),"-","")))=(LEN(SUBSTITUTE(SUBSTITUTE(SUBSTITUTE(M230," ",""),"0",""),"-",""))+LEN(SUBSTITUTE(SUBSTITUTE(SUBSTITUTE(N230," ",""),"0",""),"-",""))))),0,(LEN(SUBSTITUTE(SUBSTITUTE(SUBSTITUTE(M230," ",""),"0",""),"-",""))+LEN(SUBSTITUTE(SUBSTITUTE(SUBSTITUTE(N230," ",""),"0",""),"-",""))&gt;LEN(SUBSTITUTE(SUBSTITUTE(SUBSTITUTE(J230," ",""),"0",""),"-",""))+LEN(SUBSTITUTE(SUBSTITUTE(SUBSTITUTE(K230," ",""),"0",""),"-","")))*1),0)</f>
      </c>
      <c r="K234" s="14" t="str">
        <f>IF(OR(COUNTA(J228,K228,M228,N228)&gt;0,OR(L228="X",L228="x")),IF(OR(L228="X",L228="x",AND(OR(COUNTA(J228,K228,M228,N228)&gt;0,OR(L228="X",L228="x")),(LEN(SUBSTITUTE(SUBSTITUTE(SUBSTITUTE(J228," ",""),"0",""),"-",""))+LEN(SUBSTITUTE(SUBSTITUTE(SUBSTITUTE(K228," ",""),"0",""),"-","")))=(LEN(SUBSTITUTE(SUBSTITUTE(SUBSTITUTE(M228," ",""),"0",""),"-",""))+LEN(SUBSTITUTE(SUBSTITUTE(SUBSTITUTE(N228," ",""),"0",""),"-",""))))),0,(LEN(SUBSTITUTE(SUBSTITUTE(SUBSTITUTE(J228," ",""),"0",""),"-",""))+LEN(SUBSTITUTE(SUBSTITUTE(SUBSTITUTE(K228," ",""),"0",""),"-",""))&lt;LEN(SUBSTITUTE(SUBSTITUTE(SUBSTITUTE(M228," ",""),"0",""),"-",""))+LEN(SUBSTITUTE(SUBSTITUTE(SUBSTITUTE(N228," ",""),"0",""),"-","")))*1),0)+IF(OR(COUNTA(J230,K230,M230,N230)&gt;0,OR(L230="X",L230="x")),IF(OR(L230="X",L230="x",AND(OR(COUNTA(J230,K230,M230,N230)&gt;0,OR(L230="X",L230="x")),(LEN(SUBSTITUTE(SUBSTITUTE(SUBSTITUTE(J230," ",""),"0",""),"-",""))+LEN(SUBSTITUTE(SUBSTITUTE(SUBSTITUTE(K230," ",""),"0",""),"-","")))=(LEN(SUBSTITUTE(SUBSTITUTE(SUBSTITUTE(M230," ",""),"0",""),"-",""))+LEN(SUBSTITUTE(SUBSTITUTE(SUBSTITUTE(N230," ",""),"0",""),"-",""))))),0,(LEN(SUBSTITUTE(SUBSTITUTE(SUBSTITUTE(M230," ",""),"0",""),"-",""))+LEN(SUBSTITUTE(SUBSTITUTE(SUBSTITUTE(N230," ",""),"0",""),"-",""))&lt;LEN(SUBSTITUTE(SUBSTITUTE(SUBSTITUTE(J230," ",""),"0",""),"-",""))+LEN(SUBSTITUTE(SUBSTITUTE(SUBSTITUTE(K230," ",""),"0",""),"-","")))*1),0)</f>
      </c>
      <c r="L234" s="14" t="str">
        <f>IF(OR(COUNTA(J228,K228,M228,N228)&gt;0,OR(L228="X",L228="x")),IF(OR(L228="X",L228="x",AND(OR(COUNTA(J228,K228,M228,N228)&gt;0,OR(L228="X",L228="x")),(LEN(SUBSTITUTE(SUBSTITUTE(SUBSTITUTE(J228," ",""),"0",""),"-",""))+LEN(SUBSTITUTE(SUBSTITUTE(SUBSTITUTE(K228," ",""),"0",""),"-","")))=(LEN(SUBSTITUTE(SUBSTITUTE(SUBSTITUTE(M228," ",""),"0",""),"-",""))+LEN(SUBSTITUTE(SUBSTITUTE(SUBSTITUTE(N228," ",""),"0",""),"-",""))))),1,0),0)+IF(OR(COUNTA(J230,K230,M230,N230)&gt;0,OR(L230="X",L230="x")),IF(OR(L230="X",L230="x",AND(OR(COUNTA(J230,K230,M230,N230)&gt;0,OR(L230="X",L230="x")),(LEN(SUBSTITUTE(SUBSTITUTE(SUBSTITUTE(J230," ",""),"0",""),"-",""))+LEN(SUBSTITUTE(SUBSTITUTE(SUBSTITUTE(K230," ",""),"0",""),"-","")))=(LEN(SUBSTITUTE(SUBSTITUTE(SUBSTITUTE(M230," ",""),"0",""),"-",""))+LEN(SUBSTITUTE(SUBSTITUTE(SUBSTITUTE(N230," ",""),"0",""),"-",""))))),1,0),0)</f>
      </c>
      <c r="M234" s="14" t="str">
        <f>LEN(SUBSTITUTE(SUBSTITUTE(SUBSTITUTE(J228," ",""),"0",""),"-",""))+LEN(SUBSTITUTE(SUBSTITUTE(SUBSTITUTE(K228," ",""),"0",""),"-",""))+LEN(SUBSTITUTE(SUBSTITUTE(SUBSTITUTE(M230," ",""),"0",""),"-",""))+LEN(SUBSTITUTE(SUBSTITUTE(SUBSTITUTE(N230," ",""),"0",""),"-",""))</f>
      </c>
      <c r="N234" s="14" t="str">
        <f>LEN(SUBSTITUTE(SUBSTITUTE(SUBSTITUTE(M228," ",""),"0",""),"-",""))+LEN(SUBSTITUTE(SUBSTITUTE(SUBSTITUTE(N228," ",""),"0",""),"-",""))+LEN(SUBSTITUTE(SUBSTITUTE(SUBSTITUTE(J230," ",""),"0",""),"-",""))+LEN(SUBSTITUTE(SUBSTITUTE(SUBSTITUTE(K230," ",""),"0",""),"-",""))</f>
      </c>
      <c r="O234" s="18" t="str">
        <f>RANK(AC234,$AC$233:$AC$235)+COUNTIF($AC$232:AC233,AC234)</f>
      </c>
      <c r="U234" t="str">
        <f>(B234*1000000)-(C234*10000)+(D234*100)+(E234*1)-(F234*0.01)</f>
      </c>
      <c r="AC234" t="str">
        <f>(J234*1000000)-(K234*10000)+(L234*100)+(M234*1)-(N234*0.01)</f>
      </c>
    </row>
    <row r="235">
      <c r="A235" s="14" t="str">
        <f>data!$E$45&amp;" "&amp;data!$B$45</f>
      </c>
      <c r="B235" s="14" t="str">
        <f>IF(OR(COUNTA(B229,C229,E229,F229)&gt;0,OR(D229="X",D229="x")),IF(OR(D229="X",D229="x",AND(OR(COUNTA(B229,C229,E229,F229)&gt;0,OR(D229="X",D229="x")),(LEN(SUBSTITUTE(SUBSTITUTE(SUBSTITUTE(B229," ",""),"0",""),"-",""))+LEN(SUBSTITUTE(SUBSTITUTE(SUBSTITUTE(C229," ",""),"0",""),"-","")))=(LEN(SUBSTITUTE(SUBSTITUTE(SUBSTITUTE(E229," ",""),"0",""),"-",""))+LEN(SUBSTITUTE(SUBSTITUTE(SUBSTITUTE(F229," ",""),"0",""),"-",""))))),0,(LEN(SUBSTITUTE(SUBSTITUTE(SUBSTITUTE(B229," ",""),"0",""),"-",""))+LEN(SUBSTITUTE(SUBSTITUTE(SUBSTITUTE(C229," ",""),"0",""),"-",""))&gt;LEN(SUBSTITUTE(SUBSTITUTE(SUBSTITUTE(E229," ",""),"0",""),"-",""))+LEN(SUBSTITUTE(SUBSTITUTE(SUBSTITUTE(F229," ",""),"0",""),"-","")))*1),0)+IF(OR(COUNTA(B230,C230,E230,F230)&gt;0,OR(D230="X",D230="x")),IF(OR(D230="X",D230="x",AND(OR(COUNTA(B230,C230,E230,F230)&gt;0,OR(D230="X",D230="x")),(LEN(SUBSTITUTE(SUBSTITUTE(SUBSTITUTE(B230," ",""),"0",""),"-",""))+LEN(SUBSTITUTE(SUBSTITUTE(SUBSTITUTE(C230," ",""),"0",""),"-","")))=(LEN(SUBSTITUTE(SUBSTITUTE(SUBSTITUTE(E230," ",""),"0",""),"-",""))+LEN(SUBSTITUTE(SUBSTITUTE(SUBSTITUTE(F230," ",""),"0",""),"-",""))))),0,(LEN(SUBSTITUTE(SUBSTITUTE(SUBSTITUTE(B230," ",""),"0",""),"-",""))+LEN(SUBSTITUTE(SUBSTITUTE(SUBSTITUTE(C230," ",""),"0",""),"-",""))&gt;LEN(SUBSTITUTE(SUBSTITUTE(SUBSTITUTE(E230," ",""),"0",""),"-",""))+LEN(SUBSTITUTE(SUBSTITUTE(SUBSTITUTE(F230," ",""),"0",""),"-","")))*1),0)</f>
      </c>
      <c r="C235" s="14" t="str">
        <f>IF(OR(COUNTA(B229,C229,E229,F229)&gt;0,OR(D229="X",D229="x")),IF(OR(D229="X",D229="x",AND(OR(COUNTA(B229,C229,E229,F229)&gt;0,OR(D229="X",D229="x")),(LEN(SUBSTITUTE(SUBSTITUTE(SUBSTITUTE(B229," ",""),"0",""),"-",""))+LEN(SUBSTITUTE(SUBSTITUTE(SUBSTITUTE(C229," ",""),"0",""),"-","")))=(LEN(SUBSTITUTE(SUBSTITUTE(SUBSTITUTE(E229," ",""),"0",""),"-",""))+LEN(SUBSTITUTE(SUBSTITUTE(SUBSTITUTE(F229," ",""),"0",""),"-",""))))),0,(LEN(SUBSTITUTE(SUBSTITUTE(SUBSTITUTE(B229," ",""),"0",""),"-",""))+LEN(SUBSTITUTE(SUBSTITUTE(SUBSTITUTE(C229," ",""),"0",""),"-",""))&lt;LEN(SUBSTITUTE(SUBSTITUTE(SUBSTITUTE(E229," ",""),"0",""),"-",""))+LEN(SUBSTITUTE(SUBSTITUTE(SUBSTITUTE(F229," ",""),"0",""),"-","")))*1),0)+IF(OR(COUNTA(B230,C230,E230,F230)&gt;0,OR(D230="X",D230="x")),IF(OR(D230="X",D230="x",AND(OR(COUNTA(B230,C230,E230,F230)&gt;0,OR(D230="X",D230="x")),(LEN(SUBSTITUTE(SUBSTITUTE(SUBSTITUTE(B230," ",""),"0",""),"-",""))+LEN(SUBSTITUTE(SUBSTITUTE(SUBSTITUTE(C230," ",""),"0",""),"-","")))=(LEN(SUBSTITUTE(SUBSTITUTE(SUBSTITUTE(E230," ",""),"0",""),"-",""))+LEN(SUBSTITUTE(SUBSTITUTE(SUBSTITUTE(F230," ",""),"0",""),"-",""))))),0,(LEN(SUBSTITUTE(SUBSTITUTE(SUBSTITUTE(B230," ",""),"0",""),"-",""))+LEN(SUBSTITUTE(SUBSTITUTE(SUBSTITUTE(C230," ",""),"0",""),"-",""))&lt;LEN(SUBSTITUTE(SUBSTITUTE(SUBSTITUTE(E230," ",""),"0",""),"-",""))+LEN(SUBSTITUTE(SUBSTITUTE(SUBSTITUTE(F230," ",""),"0",""),"-","")))*1),0)</f>
      </c>
      <c r="D235" s="14" t="str">
        <f>IF(OR(COUNTA(B229,C229,E229,F229)&gt;0,OR(D229="X",D229="x")),IF(OR(D229="X",D229="x",AND(OR(COUNTA(B229,C229,E229,F229)&gt;0,OR(D229="X",D229="x")),(LEN(SUBSTITUTE(SUBSTITUTE(SUBSTITUTE(B229," ",""),"0",""),"-",""))+LEN(SUBSTITUTE(SUBSTITUTE(SUBSTITUTE(C229," ",""),"0",""),"-","")))=(LEN(SUBSTITUTE(SUBSTITUTE(SUBSTITUTE(E229," ",""),"0",""),"-",""))+LEN(SUBSTITUTE(SUBSTITUTE(SUBSTITUTE(F229," ",""),"0",""),"-",""))))),1,0),0)+IF(OR(COUNTA(B230,C230,E230,F230)&gt;0,OR(D230="X",D230="x")),IF(OR(D230="X",D230="x",AND(OR(COUNTA(B230,C230,E230,F230)&gt;0,OR(D230="X",D230="x")),(LEN(SUBSTITUTE(SUBSTITUTE(SUBSTITUTE(B230," ",""),"0",""),"-",""))+LEN(SUBSTITUTE(SUBSTITUTE(SUBSTITUTE(C230," ",""),"0",""),"-","")))=(LEN(SUBSTITUTE(SUBSTITUTE(SUBSTITUTE(E230," ",""),"0",""),"-",""))+LEN(SUBSTITUTE(SUBSTITUTE(SUBSTITUTE(F230," ",""),"0",""),"-",""))))),1,0),0)</f>
      </c>
      <c r="E235" s="14" t="str">
        <f>LEN(SUBSTITUTE(SUBSTITUTE(SUBSTITUTE(B229," ",""),"0",""),"-",""))+LEN(SUBSTITUTE(SUBSTITUTE(SUBSTITUTE(C229," ",""),"0",""),"-",""))+LEN(SUBSTITUTE(SUBSTITUTE(SUBSTITUTE(B230," ",""),"0",""),"-",""))+LEN(SUBSTITUTE(SUBSTITUTE(SUBSTITUTE(C230," ",""),"0",""),"-",""))</f>
      </c>
      <c r="F235" s="14" t="str">
        <f>LEN(SUBSTITUTE(SUBSTITUTE(SUBSTITUTE(E229," ",""),"0",""),"-",""))+LEN(SUBSTITUTE(SUBSTITUTE(SUBSTITUTE(F229," ",""),"0",""),"-",""))+LEN(SUBSTITUTE(SUBSTITUTE(SUBSTITUTE(E230," ",""),"0",""),"-",""))+LEN(SUBSTITUTE(SUBSTITUTE(SUBSTITUTE(F230," ",""),"0",""),"-",""))</f>
      </c>
      <c r="G235" s="18" t="str">
        <f>RANK(U235,$U$233:$U$235)+COUNTIF($U$232:U234,U235)</f>
      </c>
      <c r="I235" s="14" t="str">
        <f>data!$E$90&amp;" "&amp;data!$B$90</f>
      </c>
      <c r="J235" s="14" t="str">
        <f>IF(OR(COUNTA(J229,K229,M229,N229)&gt;0,OR(L229="X",L229="x")),IF(OR(L229="X",L229="x",AND(OR(COUNTA(J229,K229,M229,N229)&gt;0,OR(L229="X",L229="x")),(LEN(SUBSTITUTE(SUBSTITUTE(SUBSTITUTE(J229," ",""),"0",""),"-",""))+LEN(SUBSTITUTE(SUBSTITUTE(SUBSTITUTE(K229," ",""),"0",""),"-","")))=(LEN(SUBSTITUTE(SUBSTITUTE(SUBSTITUTE(M229," ",""),"0",""),"-",""))+LEN(SUBSTITUTE(SUBSTITUTE(SUBSTITUTE(N229," ",""),"0",""),"-",""))))),0,(LEN(SUBSTITUTE(SUBSTITUTE(SUBSTITUTE(J229," ",""),"0",""),"-",""))+LEN(SUBSTITUTE(SUBSTITUTE(SUBSTITUTE(K229," ",""),"0",""),"-",""))&gt;LEN(SUBSTITUTE(SUBSTITUTE(SUBSTITUTE(M229," ",""),"0",""),"-",""))+LEN(SUBSTITUTE(SUBSTITUTE(SUBSTITUTE(N229," ",""),"0",""),"-","")))*1),0)+IF(OR(COUNTA(J230,K230,M230,N230)&gt;0,OR(L230="X",L230="x")),IF(OR(L230="X",L230="x",AND(OR(COUNTA(J230,K230,M230,N230)&gt;0,OR(L230="X",L230="x")),(LEN(SUBSTITUTE(SUBSTITUTE(SUBSTITUTE(J230," ",""),"0",""),"-",""))+LEN(SUBSTITUTE(SUBSTITUTE(SUBSTITUTE(K230," ",""),"0",""),"-","")))=(LEN(SUBSTITUTE(SUBSTITUTE(SUBSTITUTE(M230," ",""),"0",""),"-",""))+LEN(SUBSTITUTE(SUBSTITUTE(SUBSTITUTE(N230," ",""),"0",""),"-",""))))),0,(LEN(SUBSTITUTE(SUBSTITUTE(SUBSTITUTE(J230," ",""),"0",""),"-",""))+LEN(SUBSTITUTE(SUBSTITUTE(SUBSTITUTE(K230," ",""),"0",""),"-",""))&gt;LEN(SUBSTITUTE(SUBSTITUTE(SUBSTITUTE(M230," ",""),"0",""),"-",""))+LEN(SUBSTITUTE(SUBSTITUTE(SUBSTITUTE(N230," ",""),"0",""),"-","")))*1),0)</f>
      </c>
      <c r="K235" s="14" t="str">
        <f>IF(OR(COUNTA(J229,K229,M229,N229)&gt;0,OR(L229="X",L229="x")),IF(OR(L229="X",L229="x",AND(OR(COUNTA(J229,K229,M229,N229)&gt;0,OR(L229="X",L229="x")),(LEN(SUBSTITUTE(SUBSTITUTE(SUBSTITUTE(J229," ",""),"0",""),"-",""))+LEN(SUBSTITUTE(SUBSTITUTE(SUBSTITUTE(K229," ",""),"0",""),"-","")))=(LEN(SUBSTITUTE(SUBSTITUTE(SUBSTITUTE(M229," ",""),"0",""),"-",""))+LEN(SUBSTITUTE(SUBSTITUTE(SUBSTITUTE(N229," ",""),"0",""),"-",""))))),0,(LEN(SUBSTITUTE(SUBSTITUTE(SUBSTITUTE(J229," ",""),"0",""),"-",""))+LEN(SUBSTITUTE(SUBSTITUTE(SUBSTITUTE(K229," ",""),"0",""),"-",""))&lt;LEN(SUBSTITUTE(SUBSTITUTE(SUBSTITUTE(M229," ",""),"0",""),"-",""))+LEN(SUBSTITUTE(SUBSTITUTE(SUBSTITUTE(N229," ",""),"0",""),"-","")))*1),0)+IF(OR(COUNTA(J230,K230,M230,N230)&gt;0,OR(L230="X",L230="x")),IF(OR(L230="X",L230="x",AND(OR(COUNTA(J230,K230,M230,N230)&gt;0,OR(L230="X",L230="x")),(LEN(SUBSTITUTE(SUBSTITUTE(SUBSTITUTE(J230," ",""),"0",""),"-",""))+LEN(SUBSTITUTE(SUBSTITUTE(SUBSTITUTE(K230," ",""),"0",""),"-","")))=(LEN(SUBSTITUTE(SUBSTITUTE(SUBSTITUTE(M230," ",""),"0",""),"-",""))+LEN(SUBSTITUTE(SUBSTITUTE(SUBSTITUTE(N230," ",""),"0",""),"-",""))))),0,(LEN(SUBSTITUTE(SUBSTITUTE(SUBSTITUTE(J230," ",""),"0",""),"-",""))+LEN(SUBSTITUTE(SUBSTITUTE(SUBSTITUTE(K230," ",""),"0",""),"-",""))&lt;LEN(SUBSTITUTE(SUBSTITUTE(SUBSTITUTE(M230," ",""),"0",""),"-",""))+LEN(SUBSTITUTE(SUBSTITUTE(SUBSTITUTE(N230," ",""),"0",""),"-","")))*1),0)</f>
      </c>
      <c r="L235" s="14" t="str">
        <f>IF(OR(COUNTA(J229,K229,M229,N229)&gt;0,OR(L229="X",L229="x")),IF(OR(L229="X",L229="x",AND(OR(COUNTA(J229,K229,M229,N229)&gt;0,OR(L229="X",L229="x")),(LEN(SUBSTITUTE(SUBSTITUTE(SUBSTITUTE(J229," ",""),"0",""),"-",""))+LEN(SUBSTITUTE(SUBSTITUTE(SUBSTITUTE(K229," ",""),"0",""),"-","")))=(LEN(SUBSTITUTE(SUBSTITUTE(SUBSTITUTE(M229," ",""),"0",""),"-",""))+LEN(SUBSTITUTE(SUBSTITUTE(SUBSTITUTE(N229," ",""),"0",""),"-",""))))),1,0),0)+IF(OR(COUNTA(J230,K230,M230,N230)&gt;0,OR(L230="X",L230="x")),IF(OR(L230="X",L230="x",AND(OR(COUNTA(J230,K230,M230,N230)&gt;0,OR(L230="X",L230="x")),(LEN(SUBSTITUTE(SUBSTITUTE(SUBSTITUTE(J230," ",""),"0",""),"-",""))+LEN(SUBSTITUTE(SUBSTITUTE(SUBSTITUTE(K230," ",""),"0",""),"-","")))=(LEN(SUBSTITUTE(SUBSTITUTE(SUBSTITUTE(M230," ",""),"0",""),"-",""))+LEN(SUBSTITUTE(SUBSTITUTE(SUBSTITUTE(N230," ",""),"0",""),"-",""))))),1,0),0)</f>
      </c>
      <c r="M235" s="14" t="str">
        <f>LEN(SUBSTITUTE(SUBSTITUTE(SUBSTITUTE(J229," ",""),"0",""),"-",""))+LEN(SUBSTITUTE(SUBSTITUTE(SUBSTITUTE(K229," ",""),"0",""),"-",""))+LEN(SUBSTITUTE(SUBSTITUTE(SUBSTITUTE(J230," ",""),"0",""),"-",""))+LEN(SUBSTITUTE(SUBSTITUTE(SUBSTITUTE(K230," ",""),"0",""),"-",""))</f>
      </c>
      <c r="N235" s="14" t="str">
        <f>LEN(SUBSTITUTE(SUBSTITUTE(SUBSTITUTE(M229," ",""),"0",""),"-",""))+LEN(SUBSTITUTE(SUBSTITUTE(SUBSTITUTE(N229," ",""),"0",""),"-",""))+LEN(SUBSTITUTE(SUBSTITUTE(SUBSTITUTE(M230," ",""),"0",""),"-",""))+LEN(SUBSTITUTE(SUBSTITUTE(SUBSTITUTE(N230," ",""),"0",""),"-",""))</f>
      </c>
      <c r="O235" s="18" t="str">
        <f>RANK(AC235,$AC$233:$AC$235)+COUNTIF($AC$232:AC234,AC235)</f>
      </c>
      <c r="U235" t="str">
        <f>(B235*1000000)-(C235*10000)+(D235*100)+(E235*1)-(F235*0.01)</f>
      </c>
      <c r="AC235" t="str">
        <f>(J235*1000000)-(K235*10000)+(L235*100)+(M235*1)-(N235*0.01)</f>
      </c>
    </row>
    <row r="238">
      <c r="F238" s="13"/>
      <c r="G238" s="13" t="s">
        <v>340</v>
      </c>
      <c r="N238" s="13"/>
      <c r="O238" s="13" t="s">
        <v>340</v>
      </c>
    </row>
    <row r="239">
      <c r="F239" t="s">
        <v>341</v>
      </c>
      <c r="G239" s="19" t="str">
        <f>IFERROR(INDEX($A$233:$A$235, MATCH(1, $G$233:$G$235, 0)), "-")</f>
      </c>
      <c r="N239" t="s">
        <v>341</v>
      </c>
      <c r="O239" s="19" t="str">
        <f>IFERROR(INDEX($I$233:$I$235, MATCH(1, $O$233:$O$235, 0)), "-")</f>
      </c>
    </row>
    <row r="240">
      <c r="F240" t="s">
        <v>342</v>
      </c>
      <c r="G240" s="19" t="str">
        <f>IFERROR(INDEX($A$233:$A$235, MATCH(2, $G$233:$G$235, 0)), "-")</f>
      </c>
      <c r="N240" t="s">
        <v>342</v>
      </c>
      <c r="O240" s="19" t="str">
        <f>IFERROR(INDEX($I$233:$I$235, MATCH(2, $O$233:$O$235, 0)), "-")</f>
      </c>
    </row>
    <row r="241">
      <c r="F241" t="s">
        <v>343</v>
      </c>
      <c r="G241" s="19" t="str">
        <f>IFERROR(INDEX($A$233:$A$235, MATCH(3, $G$233:$G$235, 0)), "-")</f>
      </c>
      <c r="N241" t="s">
        <v>343</v>
      </c>
      <c r="O241" s="19" t="str">
        <f>IFERROR(INDEX($I$233:$I$235, MATCH(3, $O$233:$O$235, 0)), "-")</f>
      </c>
    </row>
    <row r="243">
      <c r="A243" s="13" t="str">
        <f>'data'!$A$48</f>
      </c>
      <c r="B243" s="13"/>
      <c r="C243" s="13"/>
      <c r="D243" s="13"/>
      <c r="E243" s="13"/>
      <c r="F243" s="13"/>
      <c r="G243" s="13"/>
      <c r="I243" s="13" t="str">
        <f>'data'!$A$93</f>
      </c>
      <c r="J243" s="13"/>
      <c r="K243" s="13"/>
      <c r="L243" s="13"/>
      <c r="M243" s="13"/>
      <c r="N243" s="13"/>
      <c r="O243" s="13"/>
    </row>
    <row r="244">
      <c r="A244" s="17" t="s">
        <v>330</v>
      </c>
      <c r="D244" s="14" t="s">
        <v>331</v>
      </c>
      <c r="G244" s="16" t="s">
        <v>332</v>
      </c>
      <c r="I244" s="17" t="s">
        <v>330</v>
      </c>
      <c r="L244" s="14" t="s">
        <v>331</v>
      </c>
      <c r="O244" s="16" t="s">
        <v>332</v>
      </c>
    </row>
    <row r="245">
      <c r="A245" s="14" t="str">
        <f>data!$E$47&amp;" "&amp;data!$B$47</f>
      </c>
      <c r="B245" s="18"/>
      <c r="C245" s="18"/>
      <c r="D245" s="18"/>
      <c r="E245" s="18"/>
      <c r="F245" s="18"/>
      <c r="G245" s="14" t="str">
        <f>data!$E$46&amp;" "&amp;data!$B$46</f>
      </c>
      <c r="I245" s="14" t="str">
        <f>data!$E$92&amp;" "&amp;data!$B$92</f>
      </c>
      <c r="J245" s="18"/>
      <c r="K245" s="18"/>
      <c r="L245" s="18"/>
      <c r="M245" s="18"/>
      <c r="N245" s="18"/>
      <c r="O245" s="14" t="str">
        <f>data!$E$91&amp;" "&amp;data!$B$91</f>
      </c>
    </row>
    <row r="246">
      <c r="A246" s="14" t="str">
        <f>data!$E$48&amp;" "&amp;data!$B$48</f>
      </c>
      <c r="B246" s="18"/>
      <c r="C246" s="18"/>
      <c r="D246" s="18"/>
      <c r="E246" s="18"/>
      <c r="F246" s="18"/>
      <c r="G246" s="14" t="str">
        <f>data!$E$46&amp;" "&amp;data!$B$46</f>
      </c>
      <c r="I246" s="14" t="str">
        <f>data!$E$93&amp;" "&amp;data!$B$93</f>
      </c>
      <c r="J246" s="18"/>
      <c r="K246" s="18"/>
      <c r="L246" s="18"/>
      <c r="M246" s="18"/>
      <c r="N246" s="18"/>
      <c r="O246" s="14" t="str">
        <f>data!$E$91&amp;" "&amp;data!$B$91</f>
      </c>
    </row>
    <row r="247">
      <c r="A247" s="14" t="str">
        <f>data!$E$48&amp;" "&amp;data!$B$48</f>
      </c>
      <c r="B247" s="18"/>
      <c r="C247" s="18"/>
      <c r="D247" s="18"/>
      <c r="E247" s="18"/>
      <c r="F247" s="18"/>
      <c r="G247" s="14" t="str">
        <f>data!$E$47&amp;" "&amp;data!$B$47</f>
      </c>
      <c r="I247" s="14" t="str">
        <f>data!$E$93&amp;" "&amp;data!$B$93</f>
      </c>
      <c r="J247" s="18"/>
      <c r="K247" s="18"/>
      <c r="L247" s="18"/>
      <c r="M247" s="18"/>
      <c r="N247" s="18"/>
      <c r="O247" s="14" t="str">
        <f>data!$E$92&amp;" "&amp;data!$B$92</f>
      </c>
    </row>
    <row r="249">
      <c r="A249" s="13" t="s">
        <v>333</v>
      </c>
      <c r="B249" s="13" t="s">
        <v>334</v>
      </c>
      <c r="C249" s="13" t="s">
        <v>335</v>
      </c>
      <c r="D249" s="13" t="s">
        <v>336</v>
      </c>
      <c r="E249" s="13" t="s">
        <v>337</v>
      </c>
      <c r="F249" s="13" t="s">
        <v>338</v>
      </c>
      <c r="G249" s="13" t="s">
        <v>339</v>
      </c>
      <c r="I249" s="13" t="s">
        <v>333</v>
      </c>
      <c r="J249" s="13" t="s">
        <v>334</v>
      </c>
      <c r="K249" s="13" t="s">
        <v>335</v>
      </c>
      <c r="L249" s="13" t="s">
        <v>336</v>
      </c>
      <c r="M249" s="13" t="s">
        <v>337</v>
      </c>
      <c r="N249" s="13" t="s">
        <v>338</v>
      </c>
      <c r="O249" s="13" t="s">
        <v>339</v>
      </c>
    </row>
    <row r="250">
      <c r="A250" s="14" t="str">
        <f>data!$E$46&amp;" "&amp;data!$B$46</f>
      </c>
      <c r="B250" s="14" t="str">
        <f>IF(OR(COUNTA(B245,C245,E245,F245)&gt;0,OR(D245="X",D245="x")),IF(OR(D245="X",D245="x",AND(OR(COUNTA(B245,C245,E245,F245)&gt;0,OR(D245="X",D245="x")),(LEN(SUBSTITUTE(SUBSTITUTE(SUBSTITUTE(B245," ",""),"0",""),"-",""))+LEN(SUBSTITUTE(SUBSTITUTE(SUBSTITUTE(C245," ",""),"0",""),"-","")))=(LEN(SUBSTITUTE(SUBSTITUTE(SUBSTITUTE(E245," ",""),"0",""),"-",""))+LEN(SUBSTITUTE(SUBSTITUTE(SUBSTITUTE(F245," ",""),"0",""),"-",""))))),0,(LEN(SUBSTITUTE(SUBSTITUTE(SUBSTITUTE(E245," ",""),"0",""),"-",""))+LEN(SUBSTITUTE(SUBSTITUTE(SUBSTITUTE(F245," ",""),"0",""),"-",""))&gt;LEN(SUBSTITUTE(SUBSTITUTE(SUBSTITUTE(B245," ",""),"0",""),"-",""))+LEN(SUBSTITUTE(SUBSTITUTE(SUBSTITUTE(C245," ",""),"0",""),"-","")))*1),0)+IF(OR(COUNTA(B246,C246,E246,F246)&gt;0,OR(D246="X",D246="x")),IF(OR(D246="X",D246="x",AND(OR(COUNTA(B246,C246,E246,F246)&gt;0,OR(D246="X",D246="x")),(LEN(SUBSTITUTE(SUBSTITUTE(SUBSTITUTE(B246," ",""),"0",""),"-",""))+LEN(SUBSTITUTE(SUBSTITUTE(SUBSTITUTE(C246," ",""),"0",""),"-","")))=(LEN(SUBSTITUTE(SUBSTITUTE(SUBSTITUTE(E246," ",""),"0",""),"-",""))+LEN(SUBSTITUTE(SUBSTITUTE(SUBSTITUTE(F246," ",""),"0",""),"-",""))))),0,(LEN(SUBSTITUTE(SUBSTITUTE(SUBSTITUTE(E246," ",""),"0",""),"-",""))+LEN(SUBSTITUTE(SUBSTITUTE(SUBSTITUTE(F246," ",""),"0",""),"-",""))&gt;LEN(SUBSTITUTE(SUBSTITUTE(SUBSTITUTE(B246," ",""),"0",""),"-",""))+LEN(SUBSTITUTE(SUBSTITUTE(SUBSTITUTE(C246," ",""),"0",""),"-","")))*1),0)</f>
      </c>
      <c r="C250" s="14" t="str">
        <f>IF(OR(COUNTA(B245,C245,E245,F245)&gt;0,OR(D245="X",D245="x")),IF(OR(D245="X",D245="x",AND(OR(COUNTA(B245,C245,E245,F245)&gt;0,OR(D245="X",D245="x")),(LEN(SUBSTITUTE(SUBSTITUTE(SUBSTITUTE(B245," ",""),"0",""),"-",""))+LEN(SUBSTITUTE(SUBSTITUTE(SUBSTITUTE(C245," ",""),"0",""),"-","")))=(LEN(SUBSTITUTE(SUBSTITUTE(SUBSTITUTE(E245," ",""),"0",""),"-",""))+LEN(SUBSTITUTE(SUBSTITUTE(SUBSTITUTE(F245," ",""),"0",""),"-",""))))),0,(LEN(SUBSTITUTE(SUBSTITUTE(SUBSTITUTE(E245," ",""),"0",""),"-",""))+LEN(SUBSTITUTE(SUBSTITUTE(SUBSTITUTE(F245," ",""),"0",""),"-",""))&lt;LEN(SUBSTITUTE(SUBSTITUTE(SUBSTITUTE(B245," ",""),"0",""),"-",""))+LEN(SUBSTITUTE(SUBSTITUTE(SUBSTITUTE(C245," ",""),"0",""),"-","")))*1),0)+IF(OR(COUNTA(B246,C246,E246,F246)&gt;0,OR(D246="X",D246="x")),IF(OR(D246="X",D246="x",AND(OR(COUNTA(B246,C246,E246,F246)&gt;0,OR(D246="X",D246="x")),(LEN(SUBSTITUTE(SUBSTITUTE(SUBSTITUTE(B246," ",""),"0",""),"-",""))+LEN(SUBSTITUTE(SUBSTITUTE(SUBSTITUTE(C246," ",""),"0",""),"-","")))=(LEN(SUBSTITUTE(SUBSTITUTE(SUBSTITUTE(E246," ",""),"0",""),"-",""))+LEN(SUBSTITUTE(SUBSTITUTE(SUBSTITUTE(F246," ",""),"0",""),"-",""))))),0,(LEN(SUBSTITUTE(SUBSTITUTE(SUBSTITUTE(E246," ",""),"0",""),"-",""))+LEN(SUBSTITUTE(SUBSTITUTE(SUBSTITUTE(F246," ",""),"0",""),"-",""))&lt;LEN(SUBSTITUTE(SUBSTITUTE(SUBSTITUTE(B246," ",""),"0",""),"-",""))+LEN(SUBSTITUTE(SUBSTITUTE(SUBSTITUTE(C246," ",""),"0",""),"-","")))*1),0)</f>
      </c>
      <c r="D250" s="14" t="str">
        <f>IF(OR(COUNTA(B245,C245,E245,F245)&gt;0,OR(D245="X",D245="x")),IF(OR(D245="X",D245="x",AND(OR(COUNTA(B245,C245,E245,F245)&gt;0,OR(D245="X",D245="x")),(LEN(SUBSTITUTE(SUBSTITUTE(SUBSTITUTE(B245," ",""),"0",""),"-",""))+LEN(SUBSTITUTE(SUBSTITUTE(SUBSTITUTE(C245," ",""),"0",""),"-","")))=(LEN(SUBSTITUTE(SUBSTITUTE(SUBSTITUTE(E245," ",""),"0",""),"-",""))+LEN(SUBSTITUTE(SUBSTITUTE(SUBSTITUTE(F245," ",""),"0",""),"-",""))))),1,0),0)+IF(OR(COUNTA(B246,C246,E246,F246)&gt;0,OR(D246="X",D246="x")),IF(OR(D246="X",D246="x",AND(OR(COUNTA(B246,C246,E246,F246)&gt;0,OR(D246="X",D246="x")),(LEN(SUBSTITUTE(SUBSTITUTE(SUBSTITUTE(B246," ",""),"0",""),"-",""))+LEN(SUBSTITUTE(SUBSTITUTE(SUBSTITUTE(C246," ",""),"0",""),"-","")))=(LEN(SUBSTITUTE(SUBSTITUTE(SUBSTITUTE(E246," ",""),"0",""),"-",""))+LEN(SUBSTITUTE(SUBSTITUTE(SUBSTITUTE(F246," ",""),"0",""),"-",""))))),1,0),0)</f>
      </c>
      <c r="E250" s="14" t="str">
        <f>LEN(SUBSTITUTE(SUBSTITUTE(SUBSTITUTE(E245," ",""),"0",""),"-",""))+LEN(SUBSTITUTE(SUBSTITUTE(SUBSTITUTE(F245," ",""),"0",""),"-",""))+LEN(SUBSTITUTE(SUBSTITUTE(SUBSTITUTE(E246," ",""),"0",""),"-",""))+LEN(SUBSTITUTE(SUBSTITUTE(SUBSTITUTE(F246," ",""),"0",""),"-",""))</f>
      </c>
      <c r="F250" s="14" t="str">
        <f>LEN(SUBSTITUTE(SUBSTITUTE(SUBSTITUTE(B245," ",""),"0",""),"-",""))+LEN(SUBSTITUTE(SUBSTITUTE(SUBSTITUTE(C245," ",""),"0",""),"-",""))+LEN(SUBSTITUTE(SUBSTITUTE(SUBSTITUTE(B246," ",""),"0",""),"-",""))+LEN(SUBSTITUTE(SUBSTITUTE(SUBSTITUTE(C246," ",""),"0",""),"-",""))</f>
      </c>
      <c r="G250" s="18" t="str">
        <f>RANK(U250,$U$250:$U$252)+COUNTIF($U$249:U249,U250)</f>
      </c>
      <c r="I250" s="14" t="str">
        <f>data!$E$91&amp;" "&amp;data!$B$91</f>
      </c>
      <c r="J250" s="14" t="str">
        <f>IF(OR(COUNTA(J245,K245,M245,N245)&gt;0,OR(L245="X",L245="x")),IF(OR(L245="X",L245="x",AND(OR(COUNTA(J245,K245,M245,N245)&gt;0,OR(L245="X",L245="x")),(LEN(SUBSTITUTE(SUBSTITUTE(SUBSTITUTE(J245," ",""),"0",""),"-",""))+LEN(SUBSTITUTE(SUBSTITUTE(SUBSTITUTE(K245," ",""),"0",""),"-","")))=(LEN(SUBSTITUTE(SUBSTITUTE(SUBSTITUTE(M245," ",""),"0",""),"-",""))+LEN(SUBSTITUTE(SUBSTITUTE(SUBSTITUTE(N245," ",""),"0",""),"-",""))))),0,(LEN(SUBSTITUTE(SUBSTITUTE(SUBSTITUTE(M245," ",""),"0",""),"-",""))+LEN(SUBSTITUTE(SUBSTITUTE(SUBSTITUTE(N245," ",""),"0",""),"-",""))&gt;LEN(SUBSTITUTE(SUBSTITUTE(SUBSTITUTE(J245," ",""),"0",""),"-",""))+LEN(SUBSTITUTE(SUBSTITUTE(SUBSTITUTE(K245," ",""),"0",""),"-","")))*1),0)+IF(OR(COUNTA(J246,K246,M246,N246)&gt;0,OR(L246="X",L246="x")),IF(OR(L246="X",L246="x",AND(OR(COUNTA(J246,K246,M246,N246)&gt;0,OR(L246="X",L246="x")),(LEN(SUBSTITUTE(SUBSTITUTE(SUBSTITUTE(J246," ",""),"0",""),"-",""))+LEN(SUBSTITUTE(SUBSTITUTE(SUBSTITUTE(K246," ",""),"0",""),"-","")))=(LEN(SUBSTITUTE(SUBSTITUTE(SUBSTITUTE(M246," ",""),"0",""),"-",""))+LEN(SUBSTITUTE(SUBSTITUTE(SUBSTITUTE(N246," ",""),"0",""),"-",""))))),0,(LEN(SUBSTITUTE(SUBSTITUTE(SUBSTITUTE(M246," ",""),"0",""),"-",""))+LEN(SUBSTITUTE(SUBSTITUTE(SUBSTITUTE(N246," ",""),"0",""),"-",""))&gt;LEN(SUBSTITUTE(SUBSTITUTE(SUBSTITUTE(J246," ",""),"0",""),"-",""))+LEN(SUBSTITUTE(SUBSTITUTE(SUBSTITUTE(K246," ",""),"0",""),"-","")))*1),0)</f>
      </c>
      <c r="K250" s="14" t="str">
        <f>IF(OR(COUNTA(J245,K245,M245,N245)&gt;0,OR(L245="X",L245="x")),IF(OR(L245="X",L245="x",AND(OR(COUNTA(J245,K245,M245,N245)&gt;0,OR(L245="X",L245="x")),(LEN(SUBSTITUTE(SUBSTITUTE(SUBSTITUTE(J245," ",""),"0",""),"-",""))+LEN(SUBSTITUTE(SUBSTITUTE(SUBSTITUTE(K245," ",""),"0",""),"-","")))=(LEN(SUBSTITUTE(SUBSTITUTE(SUBSTITUTE(M245," ",""),"0",""),"-",""))+LEN(SUBSTITUTE(SUBSTITUTE(SUBSTITUTE(N245," ",""),"0",""),"-",""))))),0,(LEN(SUBSTITUTE(SUBSTITUTE(SUBSTITUTE(M245," ",""),"0",""),"-",""))+LEN(SUBSTITUTE(SUBSTITUTE(SUBSTITUTE(N245," ",""),"0",""),"-",""))&lt;LEN(SUBSTITUTE(SUBSTITUTE(SUBSTITUTE(J245," ",""),"0",""),"-",""))+LEN(SUBSTITUTE(SUBSTITUTE(SUBSTITUTE(K245," ",""),"0",""),"-","")))*1),0)+IF(OR(COUNTA(J246,K246,M246,N246)&gt;0,OR(L246="X",L246="x")),IF(OR(L246="X",L246="x",AND(OR(COUNTA(J246,K246,M246,N246)&gt;0,OR(L246="X",L246="x")),(LEN(SUBSTITUTE(SUBSTITUTE(SUBSTITUTE(J246," ",""),"0",""),"-",""))+LEN(SUBSTITUTE(SUBSTITUTE(SUBSTITUTE(K246," ",""),"0",""),"-","")))=(LEN(SUBSTITUTE(SUBSTITUTE(SUBSTITUTE(M246," ",""),"0",""),"-",""))+LEN(SUBSTITUTE(SUBSTITUTE(SUBSTITUTE(N246," ",""),"0",""),"-",""))))),0,(LEN(SUBSTITUTE(SUBSTITUTE(SUBSTITUTE(M246," ",""),"0",""),"-",""))+LEN(SUBSTITUTE(SUBSTITUTE(SUBSTITUTE(N246," ",""),"0",""),"-",""))&lt;LEN(SUBSTITUTE(SUBSTITUTE(SUBSTITUTE(J246," ",""),"0",""),"-",""))+LEN(SUBSTITUTE(SUBSTITUTE(SUBSTITUTE(K246," ",""),"0",""),"-","")))*1),0)</f>
      </c>
      <c r="L250" s="14" t="str">
        <f>IF(OR(COUNTA(J245,K245,M245,N245)&gt;0,OR(L245="X",L245="x")),IF(OR(L245="X",L245="x",AND(OR(COUNTA(J245,K245,M245,N245)&gt;0,OR(L245="X",L245="x")),(LEN(SUBSTITUTE(SUBSTITUTE(SUBSTITUTE(J245," ",""),"0",""),"-",""))+LEN(SUBSTITUTE(SUBSTITUTE(SUBSTITUTE(K245," ",""),"0",""),"-","")))=(LEN(SUBSTITUTE(SUBSTITUTE(SUBSTITUTE(M245," ",""),"0",""),"-",""))+LEN(SUBSTITUTE(SUBSTITUTE(SUBSTITUTE(N245," ",""),"0",""),"-",""))))),1,0),0)+IF(OR(COUNTA(J246,K246,M246,N246)&gt;0,OR(L246="X",L246="x")),IF(OR(L246="X",L246="x",AND(OR(COUNTA(J246,K246,M246,N246)&gt;0,OR(L246="X",L246="x")),(LEN(SUBSTITUTE(SUBSTITUTE(SUBSTITUTE(J246," ",""),"0",""),"-",""))+LEN(SUBSTITUTE(SUBSTITUTE(SUBSTITUTE(K246," ",""),"0",""),"-","")))=(LEN(SUBSTITUTE(SUBSTITUTE(SUBSTITUTE(M246," ",""),"0",""),"-",""))+LEN(SUBSTITUTE(SUBSTITUTE(SUBSTITUTE(N246," ",""),"0",""),"-",""))))),1,0),0)</f>
      </c>
      <c r="M250" s="14" t="str">
        <f>LEN(SUBSTITUTE(SUBSTITUTE(SUBSTITUTE(M245," ",""),"0",""),"-",""))+LEN(SUBSTITUTE(SUBSTITUTE(SUBSTITUTE(N245," ",""),"0",""),"-",""))+LEN(SUBSTITUTE(SUBSTITUTE(SUBSTITUTE(M246," ",""),"0",""),"-",""))+LEN(SUBSTITUTE(SUBSTITUTE(SUBSTITUTE(N246," ",""),"0",""),"-",""))</f>
      </c>
      <c r="N250" s="14" t="str">
        <f>LEN(SUBSTITUTE(SUBSTITUTE(SUBSTITUTE(J245," ",""),"0",""),"-",""))+LEN(SUBSTITUTE(SUBSTITUTE(SUBSTITUTE(K245," ",""),"0",""),"-",""))+LEN(SUBSTITUTE(SUBSTITUTE(SUBSTITUTE(J246," ",""),"0",""),"-",""))+LEN(SUBSTITUTE(SUBSTITUTE(SUBSTITUTE(K246," ",""),"0",""),"-",""))</f>
      </c>
      <c r="O250" s="18" t="str">
        <f>RANK(AC250,$AC$250:$AC$252)+COUNTIF($AC$249:AC249,AC250)</f>
      </c>
      <c r="U250" t="str">
        <f>(B250*1000000)-(C250*10000)+(D250*100)+(E250*1)-(F250*0.01)</f>
      </c>
      <c r="AC250" t="str">
        <f>(J250*1000000)-(K250*10000)+(L250*100)+(M250*1)-(N250*0.01)</f>
      </c>
    </row>
    <row r="251">
      <c r="A251" s="14" t="str">
        <f>data!$E$47&amp;" "&amp;data!$B$47</f>
      </c>
      <c r="B251" s="14" t="str">
        <f>IF(OR(COUNTA(B245,C245,E245,F245)&gt;0,OR(D245="X",D245="x")),IF(OR(D245="X",D245="x",AND(OR(COUNTA(B245,C245,E245,F245)&gt;0,OR(D245="X",D245="x")),(LEN(SUBSTITUTE(SUBSTITUTE(SUBSTITUTE(B245," ",""),"0",""),"-",""))+LEN(SUBSTITUTE(SUBSTITUTE(SUBSTITUTE(C245," ",""),"0",""),"-","")))=(LEN(SUBSTITUTE(SUBSTITUTE(SUBSTITUTE(E245," ",""),"0",""),"-",""))+LEN(SUBSTITUTE(SUBSTITUTE(SUBSTITUTE(F245," ",""),"0",""),"-",""))))),0,(LEN(SUBSTITUTE(SUBSTITUTE(SUBSTITUTE(B245," ",""),"0",""),"-",""))+LEN(SUBSTITUTE(SUBSTITUTE(SUBSTITUTE(C245," ",""),"0",""),"-",""))&gt;LEN(SUBSTITUTE(SUBSTITUTE(SUBSTITUTE(E245," ",""),"0",""),"-",""))+LEN(SUBSTITUTE(SUBSTITUTE(SUBSTITUTE(F245," ",""),"0",""),"-","")))*1),0)+IF(OR(COUNTA(B247,C247,E247,F247)&gt;0,OR(D247="X",D247="x")),IF(OR(D247="X",D247="x",AND(OR(COUNTA(B247,C247,E247,F247)&gt;0,OR(D247="X",D247="x")),(LEN(SUBSTITUTE(SUBSTITUTE(SUBSTITUTE(B247," ",""),"0",""),"-",""))+LEN(SUBSTITUTE(SUBSTITUTE(SUBSTITUTE(C247," ",""),"0",""),"-","")))=(LEN(SUBSTITUTE(SUBSTITUTE(SUBSTITUTE(E247," ",""),"0",""),"-",""))+LEN(SUBSTITUTE(SUBSTITUTE(SUBSTITUTE(F247," ",""),"0",""),"-",""))))),0,(LEN(SUBSTITUTE(SUBSTITUTE(SUBSTITUTE(E247," ",""),"0",""),"-",""))+LEN(SUBSTITUTE(SUBSTITUTE(SUBSTITUTE(F247," ",""),"0",""),"-",""))&gt;LEN(SUBSTITUTE(SUBSTITUTE(SUBSTITUTE(B247," ",""),"0",""),"-",""))+LEN(SUBSTITUTE(SUBSTITUTE(SUBSTITUTE(C247," ",""),"0",""),"-","")))*1),0)</f>
      </c>
      <c r="C251" s="14" t="str">
        <f>IF(OR(COUNTA(B245,C245,E245,F245)&gt;0,OR(D245="X",D245="x")),IF(OR(D245="X",D245="x",AND(OR(COUNTA(B245,C245,E245,F245)&gt;0,OR(D245="X",D245="x")),(LEN(SUBSTITUTE(SUBSTITUTE(SUBSTITUTE(B245," ",""),"0",""),"-",""))+LEN(SUBSTITUTE(SUBSTITUTE(SUBSTITUTE(C245," ",""),"0",""),"-","")))=(LEN(SUBSTITUTE(SUBSTITUTE(SUBSTITUTE(E245," ",""),"0",""),"-",""))+LEN(SUBSTITUTE(SUBSTITUTE(SUBSTITUTE(F245," ",""),"0",""),"-",""))))),0,(LEN(SUBSTITUTE(SUBSTITUTE(SUBSTITUTE(B245," ",""),"0",""),"-",""))+LEN(SUBSTITUTE(SUBSTITUTE(SUBSTITUTE(C245," ",""),"0",""),"-",""))&lt;LEN(SUBSTITUTE(SUBSTITUTE(SUBSTITUTE(E245," ",""),"0",""),"-",""))+LEN(SUBSTITUTE(SUBSTITUTE(SUBSTITUTE(F245," ",""),"0",""),"-","")))*1),0)+IF(OR(COUNTA(B247,C247,E247,F247)&gt;0,OR(D247="X",D247="x")),IF(OR(D247="X",D247="x",AND(OR(COUNTA(B247,C247,E247,F247)&gt;0,OR(D247="X",D247="x")),(LEN(SUBSTITUTE(SUBSTITUTE(SUBSTITUTE(B247," ",""),"0",""),"-",""))+LEN(SUBSTITUTE(SUBSTITUTE(SUBSTITUTE(C247," ",""),"0",""),"-","")))=(LEN(SUBSTITUTE(SUBSTITUTE(SUBSTITUTE(E247," ",""),"0",""),"-",""))+LEN(SUBSTITUTE(SUBSTITUTE(SUBSTITUTE(F247," ",""),"0",""),"-",""))))),0,(LEN(SUBSTITUTE(SUBSTITUTE(SUBSTITUTE(E247," ",""),"0",""),"-",""))+LEN(SUBSTITUTE(SUBSTITUTE(SUBSTITUTE(F247," ",""),"0",""),"-",""))&lt;LEN(SUBSTITUTE(SUBSTITUTE(SUBSTITUTE(B247," ",""),"0",""),"-",""))+LEN(SUBSTITUTE(SUBSTITUTE(SUBSTITUTE(C247," ",""),"0",""),"-","")))*1),0)</f>
      </c>
      <c r="D251" s="14" t="str">
        <f>IF(OR(COUNTA(B245,C245,E245,F245)&gt;0,OR(D245="X",D245="x")),IF(OR(D245="X",D245="x",AND(OR(COUNTA(B245,C245,E245,F245)&gt;0,OR(D245="X",D245="x")),(LEN(SUBSTITUTE(SUBSTITUTE(SUBSTITUTE(B245," ",""),"0",""),"-",""))+LEN(SUBSTITUTE(SUBSTITUTE(SUBSTITUTE(C245," ",""),"0",""),"-","")))=(LEN(SUBSTITUTE(SUBSTITUTE(SUBSTITUTE(E245," ",""),"0",""),"-",""))+LEN(SUBSTITUTE(SUBSTITUTE(SUBSTITUTE(F245," ",""),"0",""),"-",""))))),1,0),0)+IF(OR(COUNTA(B247,C247,E247,F247)&gt;0,OR(D247="X",D247="x")),IF(OR(D247="X",D247="x",AND(OR(COUNTA(B247,C247,E247,F247)&gt;0,OR(D247="X",D247="x")),(LEN(SUBSTITUTE(SUBSTITUTE(SUBSTITUTE(B247," ",""),"0",""),"-",""))+LEN(SUBSTITUTE(SUBSTITUTE(SUBSTITUTE(C247," ",""),"0",""),"-","")))=(LEN(SUBSTITUTE(SUBSTITUTE(SUBSTITUTE(E247," ",""),"0",""),"-",""))+LEN(SUBSTITUTE(SUBSTITUTE(SUBSTITUTE(F247," ",""),"0",""),"-",""))))),1,0),0)</f>
      </c>
      <c r="E251" s="14" t="str">
        <f>LEN(SUBSTITUTE(SUBSTITUTE(SUBSTITUTE(B245," ",""),"0",""),"-",""))+LEN(SUBSTITUTE(SUBSTITUTE(SUBSTITUTE(C245," ",""),"0",""),"-",""))+LEN(SUBSTITUTE(SUBSTITUTE(SUBSTITUTE(E247," ",""),"0",""),"-",""))+LEN(SUBSTITUTE(SUBSTITUTE(SUBSTITUTE(F247," ",""),"0",""),"-",""))</f>
      </c>
      <c r="F251" s="14" t="str">
        <f>LEN(SUBSTITUTE(SUBSTITUTE(SUBSTITUTE(E245," ",""),"0",""),"-",""))+LEN(SUBSTITUTE(SUBSTITUTE(SUBSTITUTE(F245," ",""),"0",""),"-",""))+LEN(SUBSTITUTE(SUBSTITUTE(SUBSTITUTE(B247," ",""),"0",""),"-",""))+LEN(SUBSTITUTE(SUBSTITUTE(SUBSTITUTE(C247," ",""),"0",""),"-",""))</f>
      </c>
      <c r="G251" s="18" t="str">
        <f>RANK(U251,$U$250:$U$252)+COUNTIF($U$249:U250,U251)</f>
      </c>
      <c r="I251" s="14" t="str">
        <f>data!$E$92&amp;" "&amp;data!$B$92</f>
      </c>
      <c r="J251" s="14" t="str">
        <f>IF(OR(COUNTA(J245,K245,M245,N245)&gt;0,OR(L245="X",L245="x")),IF(OR(L245="X",L245="x",AND(OR(COUNTA(J245,K245,M245,N245)&gt;0,OR(L245="X",L245="x")),(LEN(SUBSTITUTE(SUBSTITUTE(SUBSTITUTE(J245," ",""),"0",""),"-",""))+LEN(SUBSTITUTE(SUBSTITUTE(SUBSTITUTE(K245," ",""),"0",""),"-","")))=(LEN(SUBSTITUTE(SUBSTITUTE(SUBSTITUTE(M245," ",""),"0",""),"-",""))+LEN(SUBSTITUTE(SUBSTITUTE(SUBSTITUTE(N245," ",""),"0",""),"-",""))))),0,(LEN(SUBSTITUTE(SUBSTITUTE(SUBSTITUTE(J245," ",""),"0",""),"-",""))+LEN(SUBSTITUTE(SUBSTITUTE(SUBSTITUTE(K245," ",""),"0",""),"-",""))&gt;LEN(SUBSTITUTE(SUBSTITUTE(SUBSTITUTE(M245," ",""),"0",""),"-",""))+LEN(SUBSTITUTE(SUBSTITUTE(SUBSTITUTE(N245," ",""),"0",""),"-","")))*1),0)+IF(OR(COUNTA(J247,K247,M247,N247)&gt;0,OR(L247="X",L247="x")),IF(OR(L247="X",L247="x",AND(OR(COUNTA(J247,K247,M247,N247)&gt;0,OR(L247="X",L247="x")),(LEN(SUBSTITUTE(SUBSTITUTE(SUBSTITUTE(J247," ",""),"0",""),"-",""))+LEN(SUBSTITUTE(SUBSTITUTE(SUBSTITUTE(K247," ",""),"0",""),"-","")))=(LEN(SUBSTITUTE(SUBSTITUTE(SUBSTITUTE(M247," ",""),"0",""),"-",""))+LEN(SUBSTITUTE(SUBSTITUTE(SUBSTITUTE(N247," ",""),"0",""),"-",""))))),0,(LEN(SUBSTITUTE(SUBSTITUTE(SUBSTITUTE(M247," ",""),"0",""),"-",""))+LEN(SUBSTITUTE(SUBSTITUTE(SUBSTITUTE(N247," ",""),"0",""),"-",""))&gt;LEN(SUBSTITUTE(SUBSTITUTE(SUBSTITUTE(J247," ",""),"0",""),"-",""))+LEN(SUBSTITUTE(SUBSTITUTE(SUBSTITUTE(K247," ",""),"0",""),"-","")))*1),0)</f>
      </c>
      <c r="K251" s="14" t="str">
        <f>IF(OR(COUNTA(J245,K245,M245,N245)&gt;0,OR(L245="X",L245="x")),IF(OR(L245="X",L245="x",AND(OR(COUNTA(J245,K245,M245,N245)&gt;0,OR(L245="X",L245="x")),(LEN(SUBSTITUTE(SUBSTITUTE(SUBSTITUTE(J245," ",""),"0",""),"-",""))+LEN(SUBSTITUTE(SUBSTITUTE(SUBSTITUTE(K245," ",""),"0",""),"-","")))=(LEN(SUBSTITUTE(SUBSTITUTE(SUBSTITUTE(M245," ",""),"0",""),"-",""))+LEN(SUBSTITUTE(SUBSTITUTE(SUBSTITUTE(N245," ",""),"0",""),"-",""))))),0,(LEN(SUBSTITUTE(SUBSTITUTE(SUBSTITUTE(J245," ",""),"0",""),"-",""))+LEN(SUBSTITUTE(SUBSTITUTE(SUBSTITUTE(K245," ",""),"0",""),"-",""))&lt;LEN(SUBSTITUTE(SUBSTITUTE(SUBSTITUTE(M245," ",""),"0",""),"-",""))+LEN(SUBSTITUTE(SUBSTITUTE(SUBSTITUTE(N245," ",""),"0",""),"-","")))*1),0)+IF(OR(COUNTA(J247,K247,M247,N247)&gt;0,OR(L247="X",L247="x")),IF(OR(L247="X",L247="x",AND(OR(COUNTA(J247,K247,M247,N247)&gt;0,OR(L247="X",L247="x")),(LEN(SUBSTITUTE(SUBSTITUTE(SUBSTITUTE(J247," ",""),"0",""),"-",""))+LEN(SUBSTITUTE(SUBSTITUTE(SUBSTITUTE(K247," ",""),"0",""),"-","")))=(LEN(SUBSTITUTE(SUBSTITUTE(SUBSTITUTE(M247," ",""),"0",""),"-",""))+LEN(SUBSTITUTE(SUBSTITUTE(SUBSTITUTE(N247," ",""),"0",""),"-",""))))),0,(LEN(SUBSTITUTE(SUBSTITUTE(SUBSTITUTE(M247," ",""),"0",""),"-",""))+LEN(SUBSTITUTE(SUBSTITUTE(SUBSTITUTE(N247," ",""),"0",""),"-",""))&lt;LEN(SUBSTITUTE(SUBSTITUTE(SUBSTITUTE(J247," ",""),"0",""),"-",""))+LEN(SUBSTITUTE(SUBSTITUTE(SUBSTITUTE(K247," ",""),"0",""),"-","")))*1),0)</f>
      </c>
      <c r="L251" s="14" t="str">
        <f>IF(OR(COUNTA(J245,K245,M245,N245)&gt;0,OR(L245="X",L245="x")),IF(OR(L245="X",L245="x",AND(OR(COUNTA(J245,K245,M245,N245)&gt;0,OR(L245="X",L245="x")),(LEN(SUBSTITUTE(SUBSTITUTE(SUBSTITUTE(J245," ",""),"0",""),"-",""))+LEN(SUBSTITUTE(SUBSTITUTE(SUBSTITUTE(K245," ",""),"0",""),"-","")))=(LEN(SUBSTITUTE(SUBSTITUTE(SUBSTITUTE(M245," ",""),"0",""),"-",""))+LEN(SUBSTITUTE(SUBSTITUTE(SUBSTITUTE(N245," ",""),"0",""),"-",""))))),1,0),0)+IF(OR(COUNTA(J247,K247,M247,N247)&gt;0,OR(L247="X",L247="x")),IF(OR(L247="X",L247="x",AND(OR(COUNTA(J247,K247,M247,N247)&gt;0,OR(L247="X",L247="x")),(LEN(SUBSTITUTE(SUBSTITUTE(SUBSTITUTE(J247," ",""),"0",""),"-",""))+LEN(SUBSTITUTE(SUBSTITUTE(SUBSTITUTE(K247," ",""),"0",""),"-","")))=(LEN(SUBSTITUTE(SUBSTITUTE(SUBSTITUTE(M247," ",""),"0",""),"-",""))+LEN(SUBSTITUTE(SUBSTITUTE(SUBSTITUTE(N247," ",""),"0",""),"-",""))))),1,0),0)</f>
      </c>
      <c r="M251" s="14" t="str">
        <f>LEN(SUBSTITUTE(SUBSTITUTE(SUBSTITUTE(J245," ",""),"0",""),"-",""))+LEN(SUBSTITUTE(SUBSTITUTE(SUBSTITUTE(K245," ",""),"0",""),"-",""))+LEN(SUBSTITUTE(SUBSTITUTE(SUBSTITUTE(M247," ",""),"0",""),"-",""))+LEN(SUBSTITUTE(SUBSTITUTE(SUBSTITUTE(N247," ",""),"0",""),"-",""))</f>
      </c>
      <c r="N251" s="14" t="str">
        <f>LEN(SUBSTITUTE(SUBSTITUTE(SUBSTITUTE(M245," ",""),"0",""),"-",""))+LEN(SUBSTITUTE(SUBSTITUTE(SUBSTITUTE(N245," ",""),"0",""),"-",""))+LEN(SUBSTITUTE(SUBSTITUTE(SUBSTITUTE(J247," ",""),"0",""),"-",""))+LEN(SUBSTITUTE(SUBSTITUTE(SUBSTITUTE(K247," ",""),"0",""),"-",""))</f>
      </c>
      <c r="O251" s="18" t="str">
        <f>RANK(AC251,$AC$250:$AC$252)+COUNTIF($AC$249:AC250,AC251)</f>
      </c>
      <c r="U251" t="str">
        <f>(B251*1000000)-(C251*10000)+(D251*100)+(E251*1)-(F251*0.01)</f>
      </c>
      <c r="AC251" t="str">
        <f>(J251*1000000)-(K251*10000)+(L251*100)+(M251*1)-(N251*0.01)</f>
      </c>
    </row>
    <row r="252">
      <c r="A252" s="14" t="str">
        <f>data!$E$48&amp;" "&amp;data!$B$48</f>
      </c>
      <c r="B252" s="14" t="str">
        <f>IF(OR(COUNTA(B246,C246,E246,F246)&gt;0,OR(D246="X",D246="x")),IF(OR(D246="X",D246="x",AND(OR(COUNTA(B246,C246,E246,F246)&gt;0,OR(D246="X",D246="x")),(LEN(SUBSTITUTE(SUBSTITUTE(SUBSTITUTE(B246," ",""),"0",""),"-",""))+LEN(SUBSTITUTE(SUBSTITUTE(SUBSTITUTE(C246," ",""),"0",""),"-","")))=(LEN(SUBSTITUTE(SUBSTITUTE(SUBSTITUTE(E246," ",""),"0",""),"-",""))+LEN(SUBSTITUTE(SUBSTITUTE(SUBSTITUTE(F246," ",""),"0",""),"-",""))))),0,(LEN(SUBSTITUTE(SUBSTITUTE(SUBSTITUTE(B246," ",""),"0",""),"-",""))+LEN(SUBSTITUTE(SUBSTITUTE(SUBSTITUTE(C246," ",""),"0",""),"-",""))&gt;LEN(SUBSTITUTE(SUBSTITUTE(SUBSTITUTE(E246," ",""),"0",""),"-",""))+LEN(SUBSTITUTE(SUBSTITUTE(SUBSTITUTE(F246," ",""),"0",""),"-","")))*1),0)+IF(OR(COUNTA(B247,C247,E247,F247)&gt;0,OR(D247="X",D247="x")),IF(OR(D247="X",D247="x",AND(OR(COUNTA(B247,C247,E247,F247)&gt;0,OR(D247="X",D247="x")),(LEN(SUBSTITUTE(SUBSTITUTE(SUBSTITUTE(B247," ",""),"0",""),"-",""))+LEN(SUBSTITUTE(SUBSTITUTE(SUBSTITUTE(C247," ",""),"0",""),"-","")))=(LEN(SUBSTITUTE(SUBSTITUTE(SUBSTITUTE(E247," ",""),"0",""),"-",""))+LEN(SUBSTITUTE(SUBSTITUTE(SUBSTITUTE(F247," ",""),"0",""),"-",""))))),0,(LEN(SUBSTITUTE(SUBSTITUTE(SUBSTITUTE(B247," ",""),"0",""),"-",""))+LEN(SUBSTITUTE(SUBSTITUTE(SUBSTITUTE(C247," ",""),"0",""),"-",""))&gt;LEN(SUBSTITUTE(SUBSTITUTE(SUBSTITUTE(E247," ",""),"0",""),"-",""))+LEN(SUBSTITUTE(SUBSTITUTE(SUBSTITUTE(F247," ",""),"0",""),"-","")))*1),0)</f>
      </c>
      <c r="C252" s="14" t="str">
        <f>IF(OR(COUNTA(B246,C246,E246,F246)&gt;0,OR(D246="X",D246="x")),IF(OR(D246="X",D246="x",AND(OR(COUNTA(B246,C246,E246,F246)&gt;0,OR(D246="X",D246="x")),(LEN(SUBSTITUTE(SUBSTITUTE(SUBSTITUTE(B246," ",""),"0",""),"-",""))+LEN(SUBSTITUTE(SUBSTITUTE(SUBSTITUTE(C246," ",""),"0",""),"-","")))=(LEN(SUBSTITUTE(SUBSTITUTE(SUBSTITUTE(E246," ",""),"0",""),"-",""))+LEN(SUBSTITUTE(SUBSTITUTE(SUBSTITUTE(F246," ",""),"0",""),"-",""))))),0,(LEN(SUBSTITUTE(SUBSTITUTE(SUBSTITUTE(B246," ",""),"0",""),"-",""))+LEN(SUBSTITUTE(SUBSTITUTE(SUBSTITUTE(C246," ",""),"0",""),"-",""))&lt;LEN(SUBSTITUTE(SUBSTITUTE(SUBSTITUTE(E246," ",""),"0",""),"-",""))+LEN(SUBSTITUTE(SUBSTITUTE(SUBSTITUTE(F246," ",""),"0",""),"-","")))*1),0)+IF(OR(COUNTA(B247,C247,E247,F247)&gt;0,OR(D247="X",D247="x")),IF(OR(D247="X",D247="x",AND(OR(COUNTA(B247,C247,E247,F247)&gt;0,OR(D247="X",D247="x")),(LEN(SUBSTITUTE(SUBSTITUTE(SUBSTITUTE(B247," ",""),"0",""),"-",""))+LEN(SUBSTITUTE(SUBSTITUTE(SUBSTITUTE(C247," ",""),"0",""),"-","")))=(LEN(SUBSTITUTE(SUBSTITUTE(SUBSTITUTE(E247," ",""),"0",""),"-",""))+LEN(SUBSTITUTE(SUBSTITUTE(SUBSTITUTE(F247," ",""),"0",""),"-",""))))),0,(LEN(SUBSTITUTE(SUBSTITUTE(SUBSTITUTE(B247," ",""),"0",""),"-",""))+LEN(SUBSTITUTE(SUBSTITUTE(SUBSTITUTE(C247," ",""),"0",""),"-",""))&lt;LEN(SUBSTITUTE(SUBSTITUTE(SUBSTITUTE(E247," ",""),"0",""),"-",""))+LEN(SUBSTITUTE(SUBSTITUTE(SUBSTITUTE(F247," ",""),"0",""),"-","")))*1),0)</f>
      </c>
      <c r="D252" s="14" t="str">
        <f>IF(OR(COUNTA(B246,C246,E246,F246)&gt;0,OR(D246="X",D246="x")),IF(OR(D246="X",D246="x",AND(OR(COUNTA(B246,C246,E246,F246)&gt;0,OR(D246="X",D246="x")),(LEN(SUBSTITUTE(SUBSTITUTE(SUBSTITUTE(B246," ",""),"0",""),"-",""))+LEN(SUBSTITUTE(SUBSTITUTE(SUBSTITUTE(C246," ",""),"0",""),"-","")))=(LEN(SUBSTITUTE(SUBSTITUTE(SUBSTITUTE(E246," ",""),"0",""),"-",""))+LEN(SUBSTITUTE(SUBSTITUTE(SUBSTITUTE(F246," ",""),"0",""),"-",""))))),1,0),0)+IF(OR(COUNTA(B247,C247,E247,F247)&gt;0,OR(D247="X",D247="x")),IF(OR(D247="X",D247="x",AND(OR(COUNTA(B247,C247,E247,F247)&gt;0,OR(D247="X",D247="x")),(LEN(SUBSTITUTE(SUBSTITUTE(SUBSTITUTE(B247," ",""),"0",""),"-",""))+LEN(SUBSTITUTE(SUBSTITUTE(SUBSTITUTE(C247," ",""),"0",""),"-","")))=(LEN(SUBSTITUTE(SUBSTITUTE(SUBSTITUTE(E247," ",""),"0",""),"-",""))+LEN(SUBSTITUTE(SUBSTITUTE(SUBSTITUTE(F247," ",""),"0",""),"-",""))))),1,0),0)</f>
      </c>
      <c r="E252" s="14" t="str">
        <f>LEN(SUBSTITUTE(SUBSTITUTE(SUBSTITUTE(B246," ",""),"0",""),"-",""))+LEN(SUBSTITUTE(SUBSTITUTE(SUBSTITUTE(C246," ",""),"0",""),"-",""))+LEN(SUBSTITUTE(SUBSTITUTE(SUBSTITUTE(B247," ",""),"0",""),"-",""))+LEN(SUBSTITUTE(SUBSTITUTE(SUBSTITUTE(C247," ",""),"0",""),"-",""))</f>
      </c>
      <c r="F252" s="14" t="str">
        <f>LEN(SUBSTITUTE(SUBSTITUTE(SUBSTITUTE(E246," ",""),"0",""),"-",""))+LEN(SUBSTITUTE(SUBSTITUTE(SUBSTITUTE(F246," ",""),"0",""),"-",""))+LEN(SUBSTITUTE(SUBSTITUTE(SUBSTITUTE(E247," ",""),"0",""),"-",""))+LEN(SUBSTITUTE(SUBSTITUTE(SUBSTITUTE(F247," ",""),"0",""),"-",""))</f>
      </c>
      <c r="G252" s="18" t="str">
        <f>RANK(U252,$U$250:$U$252)+COUNTIF($U$249:U251,U252)</f>
      </c>
      <c r="I252" s="14" t="str">
        <f>data!$E$93&amp;" "&amp;data!$B$93</f>
      </c>
      <c r="J252" s="14" t="str">
        <f>IF(OR(COUNTA(J246,K246,M246,N246)&gt;0,OR(L246="X",L246="x")),IF(OR(L246="X",L246="x",AND(OR(COUNTA(J246,K246,M246,N246)&gt;0,OR(L246="X",L246="x")),(LEN(SUBSTITUTE(SUBSTITUTE(SUBSTITUTE(J246," ",""),"0",""),"-",""))+LEN(SUBSTITUTE(SUBSTITUTE(SUBSTITUTE(K246," ",""),"0",""),"-","")))=(LEN(SUBSTITUTE(SUBSTITUTE(SUBSTITUTE(M246," ",""),"0",""),"-",""))+LEN(SUBSTITUTE(SUBSTITUTE(SUBSTITUTE(N246," ",""),"0",""),"-",""))))),0,(LEN(SUBSTITUTE(SUBSTITUTE(SUBSTITUTE(J246," ",""),"0",""),"-",""))+LEN(SUBSTITUTE(SUBSTITUTE(SUBSTITUTE(K246," ",""),"0",""),"-",""))&gt;LEN(SUBSTITUTE(SUBSTITUTE(SUBSTITUTE(M246," ",""),"0",""),"-",""))+LEN(SUBSTITUTE(SUBSTITUTE(SUBSTITUTE(N246," ",""),"0",""),"-","")))*1),0)+IF(OR(COUNTA(J247,K247,M247,N247)&gt;0,OR(L247="X",L247="x")),IF(OR(L247="X",L247="x",AND(OR(COUNTA(J247,K247,M247,N247)&gt;0,OR(L247="X",L247="x")),(LEN(SUBSTITUTE(SUBSTITUTE(SUBSTITUTE(J247," ",""),"0",""),"-",""))+LEN(SUBSTITUTE(SUBSTITUTE(SUBSTITUTE(K247," ",""),"0",""),"-","")))=(LEN(SUBSTITUTE(SUBSTITUTE(SUBSTITUTE(M247," ",""),"0",""),"-",""))+LEN(SUBSTITUTE(SUBSTITUTE(SUBSTITUTE(N247," ",""),"0",""),"-",""))))),0,(LEN(SUBSTITUTE(SUBSTITUTE(SUBSTITUTE(J247," ",""),"0",""),"-",""))+LEN(SUBSTITUTE(SUBSTITUTE(SUBSTITUTE(K247," ",""),"0",""),"-",""))&gt;LEN(SUBSTITUTE(SUBSTITUTE(SUBSTITUTE(M247," ",""),"0",""),"-",""))+LEN(SUBSTITUTE(SUBSTITUTE(SUBSTITUTE(N247," ",""),"0",""),"-","")))*1),0)</f>
      </c>
      <c r="K252" s="14" t="str">
        <f>IF(OR(COUNTA(J246,K246,M246,N246)&gt;0,OR(L246="X",L246="x")),IF(OR(L246="X",L246="x",AND(OR(COUNTA(J246,K246,M246,N246)&gt;0,OR(L246="X",L246="x")),(LEN(SUBSTITUTE(SUBSTITUTE(SUBSTITUTE(J246," ",""),"0",""),"-",""))+LEN(SUBSTITUTE(SUBSTITUTE(SUBSTITUTE(K246," ",""),"0",""),"-","")))=(LEN(SUBSTITUTE(SUBSTITUTE(SUBSTITUTE(M246," ",""),"0",""),"-",""))+LEN(SUBSTITUTE(SUBSTITUTE(SUBSTITUTE(N246," ",""),"0",""),"-",""))))),0,(LEN(SUBSTITUTE(SUBSTITUTE(SUBSTITUTE(J246," ",""),"0",""),"-",""))+LEN(SUBSTITUTE(SUBSTITUTE(SUBSTITUTE(K246," ",""),"0",""),"-",""))&lt;LEN(SUBSTITUTE(SUBSTITUTE(SUBSTITUTE(M246," ",""),"0",""),"-",""))+LEN(SUBSTITUTE(SUBSTITUTE(SUBSTITUTE(N246," ",""),"0",""),"-","")))*1),0)+IF(OR(COUNTA(J247,K247,M247,N247)&gt;0,OR(L247="X",L247="x")),IF(OR(L247="X",L247="x",AND(OR(COUNTA(J247,K247,M247,N247)&gt;0,OR(L247="X",L247="x")),(LEN(SUBSTITUTE(SUBSTITUTE(SUBSTITUTE(J247," ",""),"0",""),"-",""))+LEN(SUBSTITUTE(SUBSTITUTE(SUBSTITUTE(K247," ",""),"0",""),"-","")))=(LEN(SUBSTITUTE(SUBSTITUTE(SUBSTITUTE(M247," ",""),"0",""),"-",""))+LEN(SUBSTITUTE(SUBSTITUTE(SUBSTITUTE(N247," ",""),"0",""),"-",""))))),0,(LEN(SUBSTITUTE(SUBSTITUTE(SUBSTITUTE(J247," ",""),"0",""),"-",""))+LEN(SUBSTITUTE(SUBSTITUTE(SUBSTITUTE(K247," ",""),"0",""),"-",""))&lt;LEN(SUBSTITUTE(SUBSTITUTE(SUBSTITUTE(M247," ",""),"0",""),"-",""))+LEN(SUBSTITUTE(SUBSTITUTE(SUBSTITUTE(N247," ",""),"0",""),"-","")))*1),0)</f>
      </c>
      <c r="L252" s="14" t="str">
        <f>IF(OR(COUNTA(J246,K246,M246,N246)&gt;0,OR(L246="X",L246="x")),IF(OR(L246="X",L246="x",AND(OR(COUNTA(J246,K246,M246,N246)&gt;0,OR(L246="X",L246="x")),(LEN(SUBSTITUTE(SUBSTITUTE(SUBSTITUTE(J246," ",""),"0",""),"-",""))+LEN(SUBSTITUTE(SUBSTITUTE(SUBSTITUTE(K246," ",""),"0",""),"-","")))=(LEN(SUBSTITUTE(SUBSTITUTE(SUBSTITUTE(M246," ",""),"0",""),"-",""))+LEN(SUBSTITUTE(SUBSTITUTE(SUBSTITUTE(N246," ",""),"0",""),"-",""))))),1,0),0)+IF(OR(COUNTA(J247,K247,M247,N247)&gt;0,OR(L247="X",L247="x")),IF(OR(L247="X",L247="x",AND(OR(COUNTA(J247,K247,M247,N247)&gt;0,OR(L247="X",L247="x")),(LEN(SUBSTITUTE(SUBSTITUTE(SUBSTITUTE(J247," ",""),"0",""),"-",""))+LEN(SUBSTITUTE(SUBSTITUTE(SUBSTITUTE(K247," ",""),"0",""),"-","")))=(LEN(SUBSTITUTE(SUBSTITUTE(SUBSTITUTE(M247," ",""),"0",""),"-",""))+LEN(SUBSTITUTE(SUBSTITUTE(SUBSTITUTE(N247," ",""),"0",""),"-",""))))),1,0),0)</f>
      </c>
      <c r="M252" s="14" t="str">
        <f>LEN(SUBSTITUTE(SUBSTITUTE(SUBSTITUTE(J246," ",""),"0",""),"-",""))+LEN(SUBSTITUTE(SUBSTITUTE(SUBSTITUTE(K246," ",""),"0",""),"-",""))+LEN(SUBSTITUTE(SUBSTITUTE(SUBSTITUTE(J247," ",""),"0",""),"-",""))+LEN(SUBSTITUTE(SUBSTITUTE(SUBSTITUTE(K247," ",""),"0",""),"-",""))</f>
      </c>
      <c r="N252" s="14" t="str">
        <f>LEN(SUBSTITUTE(SUBSTITUTE(SUBSTITUTE(M246," ",""),"0",""),"-",""))+LEN(SUBSTITUTE(SUBSTITUTE(SUBSTITUTE(N246," ",""),"0",""),"-",""))+LEN(SUBSTITUTE(SUBSTITUTE(SUBSTITUTE(M247," ",""),"0",""),"-",""))+LEN(SUBSTITUTE(SUBSTITUTE(SUBSTITUTE(N247," ",""),"0",""),"-",""))</f>
      </c>
      <c r="O252" s="18" t="str">
        <f>RANK(AC252,$AC$250:$AC$252)+COUNTIF($AC$249:AC251,AC252)</f>
      </c>
      <c r="U252" t="str">
        <f>(B252*1000000)-(C252*10000)+(D252*100)+(E252*1)-(F252*0.01)</f>
      </c>
      <c r="AC252" t="str">
        <f>(J252*1000000)-(K252*10000)+(L252*100)+(M252*1)-(N252*0.01)</f>
      </c>
    </row>
    <row r="255">
      <c r="F255" s="13"/>
      <c r="G255" s="13" t="s">
        <v>340</v>
      </c>
      <c r="N255" s="13"/>
      <c r="O255" s="13" t="s">
        <v>340</v>
      </c>
    </row>
    <row r="256">
      <c r="F256" t="s">
        <v>341</v>
      </c>
      <c r="G256" s="19" t="str">
        <f>IFERROR(INDEX($A$250:$A$252, MATCH(1, $G$250:$G$252, 0)), "-")</f>
      </c>
      <c r="N256" t="s">
        <v>341</v>
      </c>
      <c r="O256" s="19" t="str">
        <f>IFERROR(INDEX($I$250:$I$252, MATCH(1, $O$250:$O$252, 0)), "-")</f>
      </c>
    </row>
    <row r="257">
      <c r="F257" t="s">
        <v>342</v>
      </c>
      <c r="G257" s="19" t="str">
        <f>IFERROR(INDEX($A$250:$A$252, MATCH(2, $G$250:$G$252, 0)), "-")</f>
      </c>
      <c r="N257" t="s">
        <v>342</v>
      </c>
      <c r="O257" s="19" t="str">
        <f>IFERROR(INDEX($I$250:$I$252, MATCH(2, $O$250:$O$252, 0)), "-")</f>
      </c>
    </row>
    <row r="258">
      <c r="F258" t="s">
        <v>343</v>
      </c>
      <c r="G258" s="19" t="str">
        <f>IFERROR(INDEX($A$250:$A$252, MATCH(3, $G$250:$G$252, 0)), "-")</f>
      </c>
      <c r="N258" t="s">
        <v>343</v>
      </c>
      <c r="O258" s="19" t="str">
        <f>IFERROR(INDEX($I$250:$I$252, MATCH(3, $O$250:$O$252,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32">
    <mergeCell ref="A1:G1"/>
    <mergeCell ref="I1:O1"/>
    <mergeCell ref="A2:G2"/>
    <mergeCell ref="I2:O2"/>
    <mergeCell ref="A22:G22"/>
    <mergeCell ref="I22:O22"/>
    <mergeCell ref="A39:G39"/>
    <mergeCell ref="I39:O39"/>
    <mergeCell ref="A56:G56"/>
    <mergeCell ref="I56:O56"/>
    <mergeCell ref="A73:G73"/>
    <mergeCell ref="I73:O73"/>
    <mergeCell ref="A90:G90"/>
    <mergeCell ref="I90:O90"/>
    <mergeCell ref="A107:G107"/>
    <mergeCell ref="I107:O107"/>
    <mergeCell ref="A124:G124"/>
    <mergeCell ref="I124:O124"/>
    <mergeCell ref="A141:G141"/>
    <mergeCell ref="I141:O141"/>
    <mergeCell ref="A158:G158"/>
    <mergeCell ref="I158:O158"/>
    <mergeCell ref="A175:G175"/>
    <mergeCell ref="I175:O175"/>
    <mergeCell ref="A192:G192"/>
    <mergeCell ref="I192:O192"/>
    <mergeCell ref="A209:G209"/>
    <mergeCell ref="I209:O209"/>
    <mergeCell ref="A226:G226"/>
    <mergeCell ref="I226:O226"/>
    <mergeCell ref="A243:G243"/>
    <mergeCell ref="I243:O243"/>
  </mergeCells>
  <printOptions horizontalCentered="true" verticalCentered="true"/>
  <pageSetup fitToHeight="0" fitToWidth="2" orientation="portrait" pageOrder="downThenOver" paperSize="9"/>
  <rowBreaks count="7" manualBreakCount="7">
    <brk id="38" max="16383" man="true"/>
    <brk id="72" max="16383" man="true"/>
    <brk id="106" max="16383" man="true"/>
    <brk id="140" max="16383" man="true"/>
    <brk id="174" max="16383" man="true"/>
    <brk id="208" max="16383" man="true"/>
    <brk id="242" max="16383" man="true"/>
  </rowBreaks>
  <colBreaks count="1" manualBreakCount="1">
    <brk id="8" max="1048575" man="true"/>
  </colBreak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3" t="s">
        <v>328</v>
      </c>
      <c r="B1" s="13"/>
      <c r="C1" s="13"/>
      <c r="D1" s="13"/>
      <c r="E1" s="13"/>
      <c r="F1" s="13"/>
      <c r="G1" s="13"/>
      <c r="I1" s="13" t="s">
        <v>329</v>
      </c>
      <c r="J1" s="13"/>
      <c r="K1" s="13"/>
      <c r="L1" s="13"/>
      <c r="M1" s="13"/>
      <c r="N1" s="13"/>
      <c r="O1" s="13"/>
    </row>
    <row r="2">
      <c r="A2" s="13" t="s">
        <v>345</v>
      </c>
      <c r="B2" s="13"/>
      <c r="C2" s="13"/>
      <c r="D2" s="13"/>
      <c r="E2" s="13"/>
      <c r="F2" s="13"/>
      <c r="G2" s="13"/>
      <c r="I2" s="13" t="s">
        <v>346</v>
      </c>
      <c r="J2" s="13"/>
      <c r="K2" s="13"/>
      <c r="L2" s="13"/>
      <c r="M2" s="13"/>
      <c r="N2" s="13"/>
      <c r="O2" s="13"/>
    </row>
    <row r="3">
      <c r="A3" s="17" t="s">
        <v>330</v>
      </c>
      <c r="D3" s="14" t="s">
        <v>331</v>
      </c>
      <c r="G3" s="16" t="s">
        <v>332</v>
      </c>
      <c r="I3" s="17" t="s">
        <v>330</v>
      </c>
      <c r="L3" s="14" t="s">
        <v>331</v>
      </c>
      <c r="O3" s="16" t="s">
        <v>332</v>
      </c>
    </row>
    <row r="4">
      <c r="A4" s="14" t="str">
        <f>CONCATENATE("Pool P-2nd ",'Pool Matches'!O17)</f>
      </c>
      <c r="B4" s="18"/>
      <c r="C4" s="18"/>
      <c r="D4" s="18"/>
      <c r="E4" s="18"/>
      <c r="F4" s="18"/>
      <c r="G4" s="14" t="str">
        <f>CONCATENATE("Pool A-1st ",'Pool Matches'!G17)</f>
      </c>
      <c r="I4" s="14" t="str">
        <f>CONCATENATE("Pool A-2nd ",'Pool Matches'!G18)</f>
      </c>
      <c r="J4" s="18"/>
      <c r="K4" s="18"/>
      <c r="L4" s="18"/>
      <c r="M4" s="18"/>
      <c r="N4" s="18"/>
      <c r="O4" s="14" t="str">
        <f>CONCATENATE("Pool P-1st ",'Pool Matches'!O16)</f>
      </c>
    </row>
    <row r="6">
      <c r="F6" t="s">
        <v>341</v>
      </c>
      <c r="G6" s="19"/>
      <c r="N6" t="s">
        <v>341</v>
      </c>
      <c r="O6" s="19"/>
    </row>
    <row r="7">
      <c r="F7" t="s">
        <v>342</v>
      </c>
      <c r="G7" s="19"/>
      <c r="N7" t="s">
        <v>342</v>
      </c>
      <c r="O7" s="19"/>
    </row>
    <row r="10">
      <c r="A10" s="13" t="s">
        <v>347</v>
      </c>
      <c r="B10" s="13"/>
      <c r="C10" s="13"/>
      <c r="D10" s="13"/>
      <c r="E10" s="13"/>
      <c r="F10" s="13"/>
      <c r="G10" s="13"/>
      <c r="I10" s="13" t="s">
        <v>348</v>
      </c>
      <c r="J10" s="13"/>
      <c r="K10" s="13"/>
      <c r="L10" s="13"/>
      <c r="M10" s="13"/>
      <c r="N10" s="13"/>
      <c r="O10" s="13"/>
    </row>
    <row r="11">
      <c r="A11" s="17" t="s">
        <v>330</v>
      </c>
      <c r="D11" s="14" t="s">
        <v>331</v>
      </c>
      <c r="G11" s="16" t="s">
        <v>332</v>
      </c>
      <c r="I11" s="17" t="s">
        <v>330</v>
      </c>
      <c r="L11" s="14" t="s">
        <v>331</v>
      </c>
      <c r="O11" s="16" t="s">
        <v>332</v>
      </c>
    </row>
    <row r="12">
      <c r="A12" s="14" t="str">
        <f>CONCATENATE("Pool Q-2nd ",'Pool Matches'!O36)</f>
      </c>
      <c r="B12" s="18"/>
      <c r="C12" s="18"/>
      <c r="D12" s="18"/>
      <c r="E12" s="18"/>
      <c r="F12" s="18"/>
      <c r="G12" s="14" t="str">
        <f>CONCATENATE("Pool B-1st ",'Pool Matches'!G35)</f>
      </c>
      <c r="I12" s="14" t="str">
        <f>CONCATENATE("Pool B-2nd ",'Pool Matches'!G36)</f>
      </c>
      <c r="J12" s="18"/>
      <c r="K12" s="18"/>
      <c r="L12" s="18"/>
      <c r="M12" s="18"/>
      <c r="N12" s="18"/>
      <c r="O12" s="14" t="str">
        <f>CONCATENATE("Pool Q-1st ",'Pool Matches'!O35)</f>
      </c>
    </row>
    <row r="14">
      <c r="F14" t="s">
        <v>341</v>
      </c>
      <c r="G14" s="19"/>
      <c r="N14" t="s">
        <v>341</v>
      </c>
      <c r="O14" s="19"/>
    </row>
    <row r="15">
      <c r="F15" t="s">
        <v>342</v>
      </c>
      <c r="G15" s="19"/>
      <c r="N15" t="s">
        <v>342</v>
      </c>
      <c r="O15" s="19"/>
    </row>
    <row r="18">
      <c r="A18" s="13" t="s">
        <v>349</v>
      </c>
      <c r="B18" s="13"/>
      <c r="C18" s="13"/>
      <c r="D18" s="13"/>
      <c r="E18" s="13"/>
      <c r="F18" s="13"/>
      <c r="G18" s="13"/>
      <c r="I18" s="13" t="s">
        <v>350</v>
      </c>
      <c r="J18" s="13"/>
      <c r="K18" s="13"/>
      <c r="L18" s="13"/>
      <c r="M18" s="13"/>
      <c r="N18" s="13"/>
      <c r="O18" s="13"/>
    </row>
    <row r="19">
      <c r="A19" s="17" t="s">
        <v>330</v>
      </c>
      <c r="D19" s="14" t="s">
        <v>331</v>
      </c>
      <c r="G19" s="16" t="s">
        <v>332</v>
      </c>
      <c r="I19" s="17" t="s">
        <v>330</v>
      </c>
      <c r="L19" s="14" t="s">
        <v>331</v>
      </c>
      <c r="O19" s="16" t="s">
        <v>332</v>
      </c>
    </row>
    <row r="20">
      <c r="A20" s="14" t="str">
        <f>CONCATENATE("Pool R-2nd ",'Pool Matches'!O53)</f>
      </c>
      <c r="B20" s="18"/>
      <c r="C20" s="18"/>
      <c r="D20" s="18"/>
      <c r="E20" s="18"/>
      <c r="F20" s="18"/>
      <c r="G20" s="14" t="str">
        <f>CONCATENATE("Pool C-1st ",'Pool Matches'!G52)</f>
      </c>
      <c r="I20" s="14" t="str">
        <f>CONCATENATE("Pool C-2nd ",'Pool Matches'!G53)</f>
      </c>
      <c r="J20" s="18"/>
      <c r="K20" s="18"/>
      <c r="L20" s="18"/>
      <c r="M20" s="18"/>
      <c r="N20" s="18"/>
      <c r="O20" s="14" t="str">
        <f>CONCATENATE("Pool R-1st ",'Pool Matches'!O52)</f>
      </c>
    </row>
    <row r="22">
      <c r="F22" t="s">
        <v>341</v>
      </c>
      <c r="G22" s="19"/>
      <c r="N22" t="s">
        <v>341</v>
      </c>
      <c r="O22" s="19"/>
    </row>
    <row r="23">
      <c r="F23" t="s">
        <v>342</v>
      </c>
      <c r="G23" s="19"/>
      <c r="N23" t="s">
        <v>342</v>
      </c>
      <c r="O23" s="19"/>
    </row>
    <row r="26">
      <c r="A26" s="13" t="s">
        <v>351</v>
      </c>
      <c r="B26" s="13"/>
      <c r="C26" s="13"/>
      <c r="D26" s="13"/>
      <c r="E26" s="13"/>
      <c r="F26" s="13"/>
      <c r="G26" s="13"/>
      <c r="I26" s="13" t="s">
        <v>352</v>
      </c>
      <c r="J26" s="13"/>
      <c r="K26" s="13"/>
      <c r="L26" s="13"/>
      <c r="M26" s="13"/>
      <c r="N26" s="13"/>
      <c r="O26" s="13"/>
    </row>
    <row r="27">
      <c r="A27" s="17" t="s">
        <v>330</v>
      </c>
      <c r="D27" s="14" t="s">
        <v>331</v>
      </c>
      <c r="G27" s="16" t="s">
        <v>332</v>
      </c>
      <c r="I27" s="17" t="s">
        <v>330</v>
      </c>
      <c r="L27" s="14" t="s">
        <v>331</v>
      </c>
      <c r="O27" s="16" t="s">
        <v>332</v>
      </c>
    </row>
    <row r="28">
      <c r="A28" s="14" t="str">
        <f>CONCATENATE("Pool S-2nd ",'Pool Matches'!O70)</f>
      </c>
      <c r="B28" s="18"/>
      <c r="C28" s="18"/>
      <c r="D28" s="18"/>
      <c r="E28" s="18"/>
      <c r="F28" s="18"/>
      <c r="G28" s="14" t="str">
        <f>CONCATENATE("Pool D-1st ",'Pool Matches'!G69)</f>
      </c>
      <c r="I28" s="14" t="str">
        <f>CONCATENATE("Pool D-2nd ",'Pool Matches'!G70)</f>
      </c>
      <c r="J28" s="18"/>
      <c r="K28" s="18"/>
      <c r="L28" s="18"/>
      <c r="M28" s="18"/>
      <c r="N28" s="18"/>
      <c r="O28" s="14" t="str">
        <f>CONCATENATE("Pool S-1st ",'Pool Matches'!O69)</f>
      </c>
    </row>
    <row r="30">
      <c r="F30" t="s">
        <v>341</v>
      </c>
      <c r="G30" s="19"/>
      <c r="N30" t="s">
        <v>341</v>
      </c>
      <c r="O30" s="19"/>
    </row>
    <row r="31">
      <c r="F31" t="s">
        <v>342</v>
      </c>
      <c r="G31" s="19"/>
      <c r="N31" t="s">
        <v>342</v>
      </c>
      <c r="O31" s="19"/>
    </row>
    <row r="34">
      <c r="A34" s="13" t="s">
        <v>353</v>
      </c>
      <c r="B34" s="13"/>
      <c r="C34" s="13"/>
      <c r="D34" s="13"/>
      <c r="E34" s="13"/>
      <c r="F34" s="13"/>
      <c r="G34" s="13"/>
      <c r="I34" s="13" t="s">
        <v>354</v>
      </c>
      <c r="J34" s="13"/>
      <c r="K34" s="13"/>
      <c r="L34" s="13"/>
      <c r="M34" s="13"/>
      <c r="N34" s="13"/>
      <c r="O34" s="13"/>
    </row>
    <row r="35">
      <c r="A35" s="17" t="s">
        <v>330</v>
      </c>
      <c r="D35" s="14" t="s">
        <v>331</v>
      </c>
      <c r="G35" s="16" t="s">
        <v>332</v>
      </c>
      <c r="I35" s="17" t="s">
        <v>330</v>
      </c>
      <c r="L35" s="14" t="s">
        <v>331</v>
      </c>
      <c r="O35" s="16" t="s">
        <v>332</v>
      </c>
    </row>
    <row r="36">
      <c r="A36" s="14" t="str">
        <f>CONCATENATE("Pool T-2nd ",'Pool Matches'!O87)</f>
      </c>
      <c r="B36" s="18"/>
      <c r="C36" s="18"/>
      <c r="D36" s="18"/>
      <c r="E36" s="18"/>
      <c r="F36" s="18"/>
      <c r="G36" s="14" t="str">
        <f>CONCATENATE("Pool E-1st ",'Pool Matches'!G86)</f>
      </c>
      <c r="I36" s="14" t="str">
        <f>CONCATENATE("Pool E-2nd ",'Pool Matches'!G87)</f>
      </c>
      <c r="J36" s="18"/>
      <c r="K36" s="18"/>
      <c r="L36" s="18"/>
      <c r="M36" s="18"/>
      <c r="N36" s="18"/>
      <c r="O36" s="14" t="str">
        <f>CONCATENATE("Pool T-1st ",'Pool Matches'!O86)</f>
      </c>
    </row>
    <row r="38">
      <c r="F38" t="s">
        <v>341</v>
      </c>
      <c r="G38" s="19"/>
      <c r="N38" t="s">
        <v>341</v>
      </c>
      <c r="O38" s="19"/>
    </row>
    <row r="39">
      <c r="F39" t="s">
        <v>342</v>
      </c>
      <c r="G39" s="19"/>
      <c r="N39" t="s">
        <v>342</v>
      </c>
      <c r="O39" s="19"/>
    </row>
    <row r="42">
      <c r="A42" s="13" t="s">
        <v>355</v>
      </c>
      <c r="B42" s="13"/>
      <c r="C42" s="13"/>
      <c r="D42" s="13"/>
      <c r="E42" s="13"/>
      <c r="F42" s="13"/>
      <c r="G42" s="13"/>
      <c r="I42" s="13" t="s">
        <v>356</v>
      </c>
      <c r="J42" s="13"/>
      <c r="K42" s="13"/>
      <c r="L42" s="13"/>
      <c r="M42" s="13"/>
      <c r="N42" s="13"/>
      <c r="O42" s="13"/>
    </row>
    <row r="43">
      <c r="A43" s="17" t="s">
        <v>330</v>
      </c>
      <c r="D43" s="14" t="s">
        <v>331</v>
      </c>
      <c r="G43" s="16" t="s">
        <v>332</v>
      </c>
      <c r="I43" s="17" t="s">
        <v>330</v>
      </c>
      <c r="L43" s="14" t="s">
        <v>331</v>
      </c>
      <c r="O43" s="16" t="s">
        <v>332</v>
      </c>
    </row>
    <row r="44">
      <c r="A44" s="14" t="str">
        <f>CONCATENATE("Pool U-2nd ",'Pool Matches'!O104)</f>
      </c>
      <c r="B44" s="18"/>
      <c r="C44" s="18"/>
      <c r="D44" s="18"/>
      <c r="E44" s="18"/>
      <c r="F44" s="18"/>
      <c r="G44" s="14" t="str">
        <f>CONCATENATE("Pool F-1st ",'Pool Matches'!G103)</f>
      </c>
      <c r="I44" s="14" t="str">
        <f>CONCATENATE("Pool F-2nd ",'Pool Matches'!G104)</f>
      </c>
      <c r="J44" s="18"/>
      <c r="K44" s="18"/>
      <c r="L44" s="18"/>
      <c r="M44" s="18"/>
      <c r="N44" s="18"/>
      <c r="O44" s="14" t="str">
        <f>CONCATENATE("Pool U-1st ",'Pool Matches'!O103)</f>
      </c>
    </row>
    <row r="46">
      <c r="F46" t="s">
        <v>341</v>
      </c>
      <c r="G46" s="19"/>
      <c r="N46" t="s">
        <v>341</v>
      </c>
      <c r="O46" s="19"/>
    </row>
    <row r="47">
      <c r="F47" t="s">
        <v>342</v>
      </c>
      <c r="G47" s="19"/>
      <c r="N47" t="s">
        <v>342</v>
      </c>
      <c r="O47" s="19"/>
    </row>
    <row r="50">
      <c r="A50" s="13" t="s">
        <v>357</v>
      </c>
      <c r="B50" s="13"/>
      <c r="C50" s="13"/>
      <c r="D50" s="13"/>
      <c r="E50" s="13"/>
      <c r="F50" s="13"/>
      <c r="G50" s="13"/>
      <c r="I50" s="13" t="s">
        <v>358</v>
      </c>
      <c r="J50" s="13"/>
      <c r="K50" s="13"/>
      <c r="L50" s="13"/>
      <c r="M50" s="13"/>
      <c r="N50" s="13"/>
      <c r="O50" s="13"/>
    </row>
    <row r="51">
      <c r="A51" s="17" t="s">
        <v>330</v>
      </c>
      <c r="D51" s="14" t="s">
        <v>331</v>
      </c>
      <c r="G51" s="16" t="s">
        <v>332</v>
      </c>
      <c r="I51" s="17" t="s">
        <v>330</v>
      </c>
      <c r="L51" s="14" t="s">
        <v>331</v>
      </c>
      <c r="O51" s="16" t="s">
        <v>332</v>
      </c>
    </row>
    <row r="52">
      <c r="A52" s="14" t="str">
        <f>CONCATENATE("Pool V-2nd ",'Pool Matches'!O121)</f>
      </c>
      <c r="B52" s="18"/>
      <c r="C52" s="18"/>
      <c r="D52" s="18"/>
      <c r="E52" s="18"/>
      <c r="F52" s="18"/>
      <c r="G52" s="14" t="str">
        <f>CONCATENATE("Pool G-1st ",'Pool Matches'!G120)</f>
      </c>
      <c r="I52" s="14" t="str">
        <f>CONCATENATE("Pool G-2nd ",'Pool Matches'!G121)</f>
      </c>
      <c r="J52" s="18"/>
      <c r="K52" s="18"/>
      <c r="L52" s="18"/>
      <c r="M52" s="18"/>
      <c r="N52" s="18"/>
      <c r="O52" s="14" t="str">
        <f>CONCATENATE("Pool V-1st ",'Pool Matches'!O120)</f>
      </c>
    </row>
    <row r="54">
      <c r="F54" t="s">
        <v>341</v>
      </c>
      <c r="G54" s="19"/>
      <c r="N54" t="s">
        <v>341</v>
      </c>
      <c r="O54" s="19"/>
    </row>
    <row r="55">
      <c r="F55" t="s">
        <v>342</v>
      </c>
      <c r="G55" s="19"/>
      <c r="N55" t="s">
        <v>342</v>
      </c>
      <c r="O55" s="19"/>
    </row>
    <row r="58">
      <c r="A58" s="13" t="s">
        <v>359</v>
      </c>
      <c r="B58" s="13"/>
      <c r="C58" s="13"/>
      <c r="D58" s="13"/>
      <c r="E58" s="13"/>
      <c r="F58" s="13"/>
      <c r="G58" s="13"/>
      <c r="I58" s="13" t="s">
        <v>360</v>
      </c>
      <c r="J58" s="13"/>
      <c r="K58" s="13"/>
      <c r="L58" s="13"/>
      <c r="M58" s="13"/>
      <c r="N58" s="13"/>
      <c r="O58" s="13"/>
    </row>
    <row r="59">
      <c r="A59" s="17" t="s">
        <v>330</v>
      </c>
      <c r="D59" s="14" t="s">
        <v>331</v>
      </c>
      <c r="G59" s="16" t="s">
        <v>332</v>
      </c>
      <c r="I59" s="17" t="s">
        <v>330</v>
      </c>
      <c r="L59" s="14" t="s">
        <v>331</v>
      </c>
      <c r="O59" s="16" t="s">
        <v>332</v>
      </c>
    </row>
    <row r="60">
      <c r="A60" s="14" t="str">
        <f>CONCATENATE("Pool W-2nd ",'Pool Matches'!O138)</f>
      </c>
      <c r="B60" s="18"/>
      <c r="C60" s="18"/>
      <c r="D60" s="18"/>
      <c r="E60" s="18"/>
      <c r="F60" s="18"/>
      <c r="G60" s="14" t="str">
        <f>CONCATENATE("Pool H-1st ",'Pool Matches'!G137)</f>
      </c>
      <c r="I60" s="14" t="str">
        <f>CONCATENATE("Pool H-2nd ",'Pool Matches'!G138)</f>
      </c>
      <c r="J60" s="18"/>
      <c r="K60" s="18"/>
      <c r="L60" s="18"/>
      <c r="M60" s="18"/>
      <c r="N60" s="18"/>
      <c r="O60" s="14" t="str">
        <f>CONCATENATE("Pool W-1st ",'Pool Matches'!O137)</f>
      </c>
    </row>
    <row r="62">
      <c r="F62" t="s">
        <v>341</v>
      </c>
      <c r="G62" s="19"/>
      <c r="N62" t="s">
        <v>341</v>
      </c>
      <c r="O62" s="19"/>
    </row>
    <row r="63">
      <c r="F63" t="s">
        <v>342</v>
      </c>
      <c r="G63" s="19"/>
      <c r="N63" t="s">
        <v>342</v>
      </c>
      <c r="O63" s="19"/>
    </row>
    <row r="66">
      <c r="A66" s="13" t="s">
        <v>361</v>
      </c>
      <c r="B66" s="13"/>
      <c r="C66" s="13"/>
      <c r="D66" s="13"/>
      <c r="E66" s="13"/>
      <c r="F66" s="13"/>
      <c r="G66" s="13"/>
      <c r="I66" s="13" t="s">
        <v>362</v>
      </c>
      <c r="J66" s="13"/>
      <c r="K66" s="13"/>
      <c r="L66" s="13"/>
      <c r="M66" s="13"/>
      <c r="N66" s="13"/>
      <c r="O66" s="13"/>
    </row>
    <row r="67">
      <c r="A67" s="17" t="s">
        <v>330</v>
      </c>
      <c r="D67" s="14" t="s">
        <v>331</v>
      </c>
      <c r="G67" s="16" t="s">
        <v>332</v>
      </c>
      <c r="I67" s="17" t="s">
        <v>330</v>
      </c>
      <c r="L67" s="14" t="s">
        <v>331</v>
      </c>
      <c r="O67" s="16" t="s">
        <v>332</v>
      </c>
    </row>
    <row r="68">
      <c r="A68" s="14" t="str">
        <f>CONCATENATE("Pool X-2nd ",'Pool Matches'!O155)</f>
      </c>
      <c r="B68" s="18"/>
      <c r="C68" s="18"/>
      <c r="D68" s="18"/>
      <c r="E68" s="18"/>
      <c r="F68" s="18"/>
      <c r="G68" s="14" t="str">
        <f>CONCATENATE("Pool I-1st ",'Pool Matches'!G154)</f>
      </c>
      <c r="I68" s="14" t="str">
        <f>CONCATENATE("Pool I-2nd ",'Pool Matches'!G155)</f>
      </c>
      <c r="J68" s="18"/>
      <c r="K68" s="18"/>
      <c r="L68" s="18"/>
      <c r="M68" s="18"/>
      <c r="N68" s="18"/>
      <c r="O68" s="14" t="str">
        <f>CONCATENATE("Pool X-1st ",'Pool Matches'!O154)</f>
      </c>
    </row>
    <row r="70">
      <c r="F70" t="s">
        <v>341</v>
      </c>
      <c r="G70" s="19"/>
      <c r="N70" t="s">
        <v>341</v>
      </c>
      <c r="O70" s="19"/>
    </row>
    <row r="71">
      <c r="F71" t="s">
        <v>342</v>
      </c>
      <c r="G71" s="19"/>
      <c r="N71" t="s">
        <v>342</v>
      </c>
      <c r="O71" s="19"/>
    </row>
    <row r="74">
      <c r="A74" s="13" t="s">
        <v>363</v>
      </c>
      <c r="B74" s="13"/>
      <c r="C74" s="13"/>
      <c r="D74" s="13"/>
      <c r="E74" s="13"/>
      <c r="F74" s="13"/>
      <c r="G74" s="13"/>
      <c r="I74" s="13" t="s">
        <v>364</v>
      </c>
      <c r="J74" s="13"/>
      <c r="K74" s="13"/>
      <c r="L74" s="13"/>
      <c r="M74" s="13"/>
      <c r="N74" s="13"/>
      <c r="O74" s="13"/>
    </row>
    <row r="75">
      <c r="A75" s="17" t="s">
        <v>330</v>
      </c>
      <c r="D75" s="14" t="s">
        <v>331</v>
      </c>
      <c r="G75" s="16" t="s">
        <v>332</v>
      </c>
      <c r="I75" s="17" t="s">
        <v>330</v>
      </c>
      <c r="L75" s="14" t="s">
        <v>331</v>
      </c>
      <c r="O75" s="16" t="s">
        <v>332</v>
      </c>
    </row>
    <row r="76">
      <c r="A76" s="14" t="str">
        <f>CONCATENATE("Pool Y-2nd ",'Pool Matches'!O172)</f>
      </c>
      <c r="B76" s="18"/>
      <c r="C76" s="18"/>
      <c r="D76" s="18"/>
      <c r="E76" s="18"/>
      <c r="F76" s="18"/>
      <c r="G76" s="14" t="str">
        <f>CONCATENATE("Pool J-1st ",'Pool Matches'!G171)</f>
      </c>
      <c r="I76" s="14" t="str">
        <f>CONCATENATE("Pool J-2nd ",'Pool Matches'!G172)</f>
      </c>
      <c r="J76" s="18"/>
      <c r="K76" s="18"/>
      <c r="L76" s="18"/>
      <c r="M76" s="18"/>
      <c r="N76" s="18"/>
      <c r="O76" s="14" t="str">
        <f>CONCATENATE("Pool Y-1st ",'Pool Matches'!O171)</f>
      </c>
    </row>
    <row r="78">
      <c r="F78" t="s">
        <v>341</v>
      </c>
      <c r="G78" s="19"/>
      <c r="N78" t="s">
        <v>341</v>
      </c>
      <c r="O78" s="19"/>
    </row>
    <row r="79">
      <c r="F79" t="s">
        <v>342</v>
      </c>
      <c r="G79" s="19"/>
      <c r="N79" t="s">
        <v>342</v>
      </c>
      <c r="O79" s="19"/>
    </row>
    <row r="82">
      <c r="A82" s="13" t="s">
        <v>365</v>
      </c>
      <c r="B82" s="13"/>
      <c r="C82" s="13"/>
      <c r="D82" s="13"/>
      <c r="E82" s="13"/>
      <c r="F82" s="13"/>
      <c r="G82" s="13"/>
      <c r="I82" s="13" t="s">
        <v>366</v>
      </c>
      <c r="J82" s="13"/>
      <c r="K82" s="13"/>
      <c r="L82" s="13"/>
      <c r="M82" s="13"/>
      <c r="N82" s="13"/>
      <c r="O82" s="13"/>
    </row>
    <row r="83">
      <c r="A83" s="17" t="s">
        <v>330</v>
      </c>
      <c r="D83" s="14" t="s">
        <v>331</v>
      </c>
      <c r="G83" s="16" t="s">
        <v>332</v>
      </c>
      <c r="I83" s="17" t="s">
        <v>330</v>
      </c>
      <c r="L83" s="14" t="s">
        <v>331</v>
      </c>
      <c r="O83" s="16" t="s">
        <v>332</v>
      </c>
    </row>
    <row r="84">
      <c r="A84" s="14" t="str">
        <f>CONCATENATE("Pool Z-2nd ",'Pool Matches'!O189)</f>
      </c>
      <c r="B84" s="18"/>
      <c r="C84" s="18"/>
      <c r="D84" s="18"/>
      <c r="E84" s="18"/>
      <c r="F84" s="18"/>
      <c r="G84" s="14" t="str">
        <f>CONCATENATE("Pool K-1st ",'Pool Matches'!G188)</f>
      </c>
      <c r="I84" s="14" t="str">
        <f>CONCATENATE("Pool K-2nd ",'Pool Matches'!G189)</f>
      </c>
      <c r="J84" s="18"/>
      <c r="K84" s="18"/>
      <c r="L84" s="18"/>
      <c r="M84" s="18"/>
      <c r="N84" s="18"/>
      <c r="O84" s="14" t="str">
        <f>CONCATENATE("Pool Z-1st ",'Pool Matches'!O188)</f>
      </c>
    </row>
    <row r="86">
      <c r="F86" t="s">
        <v>341</v>
      </c>
      <c r="G86" s="19"/>
      <c r="N86" t="s">
        <v>341</v>
      </c>
      <c r="O86" s="19"/>
    </row>
    <row r="87">
      <c r="F87" t="s">
        <v>342</v>
      </c>
      <c r="G87" s="19"/>
      <c r="N87" t="s">
        <v>342</v>
      </c>
      <c r="O87" s="19"/>
    </row>
    <row r="90">
      <c r="A90" s="13" t="s">
        <v>367</v>
      </c>
      <c r="B90" s="13"/>
      <c r="C90" s="13"/>
      <c r="D90" s="13"/>
      <c r="E90" s="13"/>
      <c r="F90" s="13"/>
      <c r="G90" s="13"/>
      <c r="I90" s="13" t="s">
        <v>368</v>
      </c>
      <c r="J90" s="13"/>
      <c r="K90" s="13"/>
      <c r="L90" s="13"/>
      <c r="M90" s="13"/>
      <c r="N90" s="13"/>
      <c r="O90" s="13"/>
    </row>
    <row r="91">
      <c r="A91" s="17" t="s">
        <v>330</v>
      </c>
      <c r="D91" s="14" t="s">
        <v>331</v>
      </c>
      <c r="G91" s="16" t="s">
        <v>332</v>
      </c>
      <c r="I91" s="17" t="s">
        <v>330</v>
      </c>
      <c r="L91" s="14" t="s">
        <v>331</v>
      </c>
      <c r="O91" s="16" t="s">
        <v>332</v>
      </c>
    </row>
    <row r="92">
      <c r="A92" s="14" t="str">
        <f>CONCATENATE("Pool AA-2nd ",'Pool Matches'!O206)</f>
      </c>
      <c r="B92" s="18"/>
      <c r="C92" s="18"/>
      <c r="D92" s="18"/>
      <c r="E92" s="18"/>
      <c r="F92" s="18"/>
      <c r="G92" s="14" t="str">
        <f>CONCATENATE("Pool L-1st ",'Pool Matches'!G205)</f>
      </c>
      <c r="I92" s="14" t="str">
        <f>CONCATENATE("Pool L-2nd ",'Pool Matches'!G206)</f>
      </c>
      <c r="J92" s="18"/>
      <c r="K92" s="18"/>
      <c r="L92" s="18"/>
      <c r="M92" s="18"/>
      <c r="N92" s="18"/>
      <c r="O92" s="14" t="str">
        <f>CONCATENATE("Pool AA-1st ",'Pool Matches'!O205)</f>
      </c>
    </row>
    <row r="94">
      <c r="F94" t="s">
        <v>341</v>
      </c>
      <c r="G94" s="19"/>
      <c r="N94" t="s">
        <v>341</v>
      </c>
      <c r="O94" s="19"/>
    </row>
    <row r="95">
      <c r="F95" t="s">
        <v>342</v>
      </c>
      <c r="G95" s="19"/>
      <c r="N95" t="s">
        <v>342</v>
      </c>
      <c r="O95" s="19"/>
    </row>
    <row r="98">
      <c r="A98" s="13" t="s">
        <v>369</v>
      </c>
      <c r="B98" s="13"/>
      <c r="C98" s="13"/>
      <c r="D98" s="13"/>
      <c r="E98" s="13"/>
      <c r="F98" s="13"/>
      <c r="G98" s="13"/>
      <c r="I98" s="13" t="s">
        <v>370</v>
      </c>
      <c r="J98" s="13"/>
      <c r="K98" s="13"/>
      <c r="L98" s="13"/>
      <c r="M98" s="13"/>
      <c r="N98" s="13"/>
      <c r="O98" s="13"/>
    </row>
    <row r="99">
      <c r="A99" s="17" t="s">
        <v>330</v>
      </c>
      <c r="D99" s="14" t="s">
        <v>331</v>
      </c>
      <c r="G99" s="16" t="s">
        <v>332</v>
      </c>
      <c r="I99" s="17" t="s">
        <v>330</v>
      </c>
      <c r="L99" s="14" t="s">
        <v>331</v>
      </c>
      <c r="O99" s="16" t="s">
        <v>332</v>
      </c>
    </row>
    <row r="100">
      <c r="A100" s="14" t="str">
        <f>CONCATENATE("Pool AB-2nd ",'Pool Matches'!O223)</f>
      </c>
      <c r="B100" s="18"/>
      <c r="C100" s="18"/>
      <c r="D100" s="18"/>
      <c r="E100" s="18"/>
      <c r="F100" s="18"/>
      <c r="G100" s="14" t="str">
        <f>CONCATENATE("Pool M-1st ",'Pool Matches'!G222)</f>
      </c>
      <c r="I100" s="14" t="str">
        <f>CONCATENATE("Pool M-2nd ",'Pool Matches'!G223)</f>
      </c>
      <c r="J100" s="18"/>
      <c r="K100" s="18"/>
      <c r="L100" s="18"/>
      <c r="M100" s="18"/>
      <c r="N100" s="18"/>
      <c r="O100" s="14" t="str">
        <f>CONCATENATE("Pool AB-1st ",'Pool Matches'!O222)</f>
      </c>
    </row>
    <row r="102">
      <c r="F102" t="s">
        <v>341</v>
      </c>
      <c r="G102" s="19"/>
      <c r="N102" t="s">
        <v>341</v>
      </c>
      <c r="O102" s="19"/>
    </row>
    <row r="103">
      <c r="F103" t="s">
        <v>342</v>
      </c>
      <c r="G103" s="19"/>
      <c r="N103" t="s">
        <v>342</v>
      </c>
      <c r="O103" s="19"/>
    </row>
    <row r="106">
      <c r="A106" s="13" t="s">
        <v>371</v>
      </c>
      <c r="B106" s="13"/>
      <c r="C106" s="13"/>
      <c r="D106" s="13"/>
      <c r="E106" s="13"/>
      <c r="F106" s="13"/>
      <c r="G106" s="13"/>
      <c r="I106" s="13" t="s">
        <v>372</v>
      </c>
      <c r="J106" s="13"/>
      <c r="K106" s="13"/>
      <c r="L106" s="13"/>
      <c r="M106" s="13"/>
      <c r="N106" s="13"/>
      <c r="O106" s="13"/>
    </row>
    <row r="107">
      <c r="A107" s="17" t="s">
        <v>330</v>
      </c>
      <c r="D107" s="14" t="s">
        <v>331</v>
      </c>
      <c r="G107" s="16" t="s">
        <v>332</v>
      </c>
      <c r="I107" s="17" t="s">
        <v>330</v>
      </c>
      <c r="L107" s="14" t="s">
        <v>331</v>
      </c>
      <c r="O107" s="16" t="s">
        <v>332</v>
      </c>
    </row>
    <row r="108">
      <c r="A108" s="14" t="str">
        <f>CONCATENATE("Pool AC-2nd ",'Pool Matches'!O240)</f>
      </c>
      <c r="B108" s="18"/>
      <c r="C108" s="18"/>
      <c r="D108" s="18"/>
      <c r="E108" s="18"/>
      <c r="F108" s="18"/>
      <c r="G108" s="14" t="str">
        <f>CONCATENATE("Pool N-1st ",'Pool Matches'!G239)</f>
      </c>
      <c r="I108" s="14" t="str">
        <f>CONCATENATE("Pool N-2nd ",'Pool Matches'!G240)</f>
      </c>
      <c r="J108" s="18"/>
      <c r="K108" s="18"/>
      <c r="L108" s="18"/>
      <c r="M108" s="18"/>
      <c r="N108" s="18"/>
      <c r="O108" s="14" t="str">
        <f>CONCATENATE("Pool AC-1st ",'Pool Matches'!O239)</f>
      </c>
    </row>
    <row r="110">
      <c r="F110" t="s">
        <v>341</v>
      </c>
      <c r="G110" s="19"/>
      <c r="N110" t="s">
        <v>341</v>
      </c>
      <c r="O110" s="19"/>
    </row>
    <row r="111">
      <c r="F111" t="s">
        <v>342</v>
      </c>
      <c r="G111" s="19"/>
      <c r="N111" t="s">
        <v>342</v>
      </c>
      <c r="O111" s="19"/>
    </row>
    <row r="119">
      <c r="A119" s="13" t="s">
        <v>373</v>
      </c>
      <c r="B119" s="13"/>
      <c r="C119" s="13"/>
      <c r="D119" s="13"/>
      <c r="E119" s="13"/>
      <c r="F119" s="13"/>
      <c r="G119" s="13"/>
      <c r="I119" s="13" t="s">
        <v>374</v>
      </c>
      <c r="J119" s="13"/>
      <c r="K119" s="13"/>
      <c r="L119" s="13"/>
      <c r="M119" s="13"/>
      <c r="N119" s="13"/>
      <c r="O119" s="13"/>
    </row>
    <row r="120">
      <c r="A120" s="17" t="s">
        <v>330</v>
      </c>
      <c r="D120" s="14" t="s">
        <v>331</v>
      </c>
      <c r="G120" s="16" t="s">
        <v>332</v>
      </c>
      <c r="I120" s="17" t="s">
        <v>330</v>
      </c>
      <c r="L120" s="14" t="s">
        <v>331</v>
      </c>
      <c r="O120" s="16" t="s">
        <v>332</v>
      </c>
    </row>
    <row r="121">
      <c r="A121" s="14" t="str">
        <f>CONCATENATE("M 2 ",G14)</f>
      </c>
      <c r="B121" s="18"/>
      <c r="C121" s="18"/>
      <c r="D121" s="18"/>
      <c r="E121" s="18"/>
      <c r="F121" s="18"/>
      <c r="G121" s="14" t="str">
        <f>CONCATENATE("M 1 ",G6)</f>
      </c>
      <c r="I121" s="14" t="str">
        <f>CONCATENATE("M 16 ",O14)</f>
      </c>
      <c r="J121" s="18"/>
      <c r="K121" s="18"/>
      <c r="L121" s="18"/>
      <c r="M121" s="18"/>
      <c r="N121" s="18"/>
      <c r="O121" s="14" t="str">
        <f>CONCATENATE("M 15 ",O6)</f>
      </c>
    </row>
    <row r="123">
      <c r="F123" t="s">
        <v>341</v>
      </c>
      <c r="G123" s="19"/>
      <c r="N123" t="s">
        <v>341</v>
      </c>
      <c r="O123" s="19"/>
    </row>
    <row r="124">
      <c r="F124" t="s">
        <v>342</v>
      </c>
      <c r="G124" s="19"/>
      <c r="N124" t="s">
        <v>342</v>
      </c>
      <c r="O124" s="19"/>
    </row>
    <row r="127">
      <c r="A127" s="13" t="s">
        <v>375</v>
      </c>
      <c r="B127" s="13"/>
      <c r="C127" s="13"/>
      <c r="D127" s="13"/>
      <c r="E127" s="13"/>
      <c r="F127" s="13"/>
      <c r="G127" s="13"/>
      <c r="I127" s="13" t="s">
        <v>376</v>
      </c>
      <c r="J127" s="13"/>
      <c r="K127" s="13"/>
      <c r="L127" s="13"/>
      <c r="M127" s="13"/>
      <c r="N127" s="13"/>
      <c r="O127" s="13"/>
    </row>
    <row r="128">
      <c r="A128" s="17" t="s">
        <v>330</v>
      </c>
      <c r="D128" s="14" t="s">
        <v>331</v>
      </c>
      <c r="G128" s="16" t="s">
        <v>332</v>
      </c>
      <c r="I128" s="17" t="s">
        <v>330</v>
      </c>
      <c r="L128" s="14" t="s">
        <v>331</v>
      </c>
      <c r="O128" s="16" t="s">
        <v>332</v>
      </c>
    </row>
    <row r="129">
      <c r="A129" s="14" t="str">
        <f>CONCATENATE("M 4 ",G30)</f>
      </c>
      <c r="B129" s="18"/>
      <c r="C129" s="18"/>
      <c r="D129" s="18"/>
      <c r="E129" s="18"/>
      <c r="F129" s="18"/>
      <c r="G129" s="14" t="str">
        <f>CONCATENATE("M 3 ",G22)</f>
      </c>
      <c r="I129" s="14" t="str">
        <f>CONCATENATE("M 18 ",O30)</f>
      </c>
      <c r="J129" s="18"/>
      <c r="K129" s="18"/>
      <c r="L129" s="18"/>
      <c r="M129" s="18"/>
      <c r="N129" s="18"/>
      <c r="O129" s="14" t="str">
        <f>CONCATENATE("M 17 ",O22)</f>
      </c>
    </row>
    <row r="131">
      <c r="F131" t="s">
        <v>341</v>
      </c>
      <c r="G131" s="19"/>
      <c r="N131" t="s">
        <v>341</v>
      </c>
      <c r="O131" s="19"/>
    </row>
    <row r="132">
      <c r="F132" t="s">
        <v>342</v>
      </c>
      <c r="G132" s="19"/>
      <c r="N132" t="s">
        <v>342</v>
      </c>
      <c r="O132" s="19"/>
    </row>
    <row r="135">
      <c r="A135" s="13" t="s">
        <v>377</v>
      </c>
      <c r="B135" s="13"/>
      <c r="C135" s="13"/>
      <c r="D135" s="13"/>
      <c r="E135" s="13"/>
      <c r="F135" s="13"/>
      <c r="G135" s="13"/>
      <c r="I135" s="13" t="s">
        <v>378</v>
      </c>
      <c r="J135" s="13"/>
      <c r="K135" s="13"/>
      <c r="L135" s="13"/>
      <c r="M135" s="13"/>
      <c r="N135" s="13"/>
      <c r="O135" s="13"/>
    </row>
    <row r="136">
      <c r="A136" s="17" t="s">
        <v>330</v>
      </c>
      <c r="D136" s="14" t="s">
        <v>331</v>
      </c>
      <c r="G136" s="16" t="s">
        <v>332</v>
      </c>
      <c r="I136" s="17" t="s">
        <v>330</v>
      </c>
      <c r="L136" s="14" t="s">
        <v>331</v>
      </c>
      <c r="O136" s="16" t="s">
        <v>332</v>
      </c>
    </row>
    <row r="137">
      <c r="A137" s="14" t="str">
        <f>CONCATENATE("M 6 ",G46)</f>
      </c>
      <c r="B137" s="18"/>
      <c r="C137" s="18"/>
      <c r="D137" s="18"/>
      <c r="E137" s="18"/>
      <c r="F137" s="18"/>
      <c r="G137" s="14" t="str">
        <f>CONCATENATE("M 5 ",G38)</f>
      </c>
      <c r="I137" s="14" t="str">
        <f>CONCATENATE("M 20 ",O46)</f>
      </c>
      <c r="J137" s="18"/>
      <c r="K137" s="18"/>
      <c r="L137" s="18"/>
      <c r="M137" s="18"/>
      <c r="N137" s="18"/>
      <c r="O137" s="14" t="str">
        <f>CONCATENATE("M 19 ",O38)</f>
      </c>
    </row>
    <row r="139">
      <c r="F139" t="s">
        <v>341</v>
      </c>
      <c r="G139" s="19"/>
      <c r="N139" t="s">
        <v>341</v>
      </c>
      <c r="O139" s="19"/>
    </row>
    <row r="140">
      <c r="F140" t="s">
        <v>342</v>
      </c>
      <c r="G140" s="19"/>
      <c r="N140" t="s">
        <v>342</v>
      </c>
      <c r="O140" s="19"/>
    </row>
    <row r="143">
      <c r="A143" s="13" t="s">
        <v>379</v>
      </c>
      <c r="B143" s="13"/>
      <c r="C143" s="13"/>
      <c r="D143" s="13"/>
      <c r="E143" s="13"/>
      <c r="F143" s="13"/>
      <c r="G143" s="13"/>
      <c r="I143" s="13" t="s">
        <v>380</v>
      </c>
      <c r="J143" s="13"/>
      <c r="K143" s="13"/>
      <c r="L143" s="13"/>
      <c r="M143" s="13"/>
      <c r="N143" s="13"/>
      <c r="O143" s="13"/>
    </row>
    <row r="144">
      <c r="A144" s="17" t="s">
        <v>330</v>
      </c>
      <c r="D144" s="14" t="s">
        <v>331</v>
      </c>
      <c r="G144" s="16" t="s">
        <v>332</v>
      </c>
      <c r="I144" s="17" t="s">
        <v>330</v>
      </c>
      <c r="L144" s="14" t="s">
        <v>331</v>
      </c>
      <c r="O144" s="16" t="s">
        <v>332</v>
      </c>
    </row>
    <row r="145">
      <c r="A145" s="14" t="str">
        <f>CONCATENATE("M 8 ",G62)</f>
      </c>
      <c r="B145" s="18"/>
      <c r="C145" s="18"/>
      <c r="D145" s="18"/>
      <c r="E145" s="18"/>
      <c r="F145" s="18"/>
      <c r="G145" s="14" t="str">
        <f>CONCATENATE("M 7 ",G54)</f>
      </c>
      <c r="I145" s="14" t="str">
        <f>CONCATENATE("M 22 ",O62)</f>
      </c>
      <c r="J145" s="18"/>
      <c r="K145" s="18"/>
      <c r="L145" s="18"/>
      <c r="M145" s="18"/>
      <c r="N145" s="18"/>
      <c r="O145" s="14" t="str">
        <f>CONCATENATE("M 21 ",O54)</f>
      </c>
    </row>
    <row r="147">
      <c r="F147" t="s">
        <v>341</v>
      </c>
      <c r="G147" s="19"/>
      <c r="N147" t="s">
        <v>341</v>
      </c>
      <c r="O147" s="19"/>
    </row>
    <row r="148">
      <c r="F148" t="s">
        <v>342</v>
      </c>
      <c r="G148" s="19"/>
      <c r="N148" t="s">
        <v>342</v>
      </c>
      <c r="O148" s="19"/>
    </row>
    <row r="151">
      <c r="A151" s="13" t="s">
        <v>381</v>
      </c>
      <c r="B151" s="13"/>
      <c r="C151" s="13"/>
      <c r="D151" s="13"/>
      <c r="E151" s="13"/>
      <c r="F151" s="13"/>
      <c r="G151" s="13"/>
      <c r="I151" s="13" t="s">
        <v>382</v>
      </c>
      <c r="J151" s="13"/>
      <c r="K151" s="13"/>
      <c r="L151" s="13"/>
      <c r="M151" s="13"/>
      <c r="N151" s="13"/>
      <c r="O151" s="13"/>
    </row>
    <row r="152">
      <c r="A152" s="17" t="s">
        <v>330</v>
      </c>
      <c r="D152" s="14" t="s">
        <v>331</v>
      </c>
      <c r="G152" s="16" t="s">
        <v>332</v>
      </c>
      <c r="I152" s="17" t="s">
        <v>330</v>
      </c>
      <c r="L152" s="14" t="s">
        <v>331</v>
      </c>
      <c r="O152" s="16" t="s">
        <v>332</v>
      </c>
    </row>
    <row r="153">
      <c r="A153" s="14" t="str">
        <f>CONCATENATE("M 10 ",G78)</f>
      </c>
      <c r="B153" s="18"/>
      <c r="C153" s="18"/>
      <c r="D153" s="18"/>
      <c r="E153" s="18"/>
      <c r="F153" s="18"/>
      <c r="G153" s="14" t="str">
        <f>CONCATENATE("M 9 ",G70)</f>
      </c>
      <c r="I153" s="14" t="str">
        <f>CONCATENATE("M 24 ",O78)</f>
      </c>
      <c r="J153" s="18"/>
      <c r="K153" s="18"/>
      <c r="L153" s="18"/>
      <c r="M153" s="18"/>
      <c r="N153" s="18"/>
      <c r="O153" s="14" t="str">
        <f>CONCATENATE("M 23 ",O70)</f>
      </c>
    </row>
    <row r="155">
      <c r="F155" t="s">
        <v>341</v>
      </c>
      <c r="G155" s="19"/>
      <c r="N155" t="s">
        <v>341</v>
      </c>
      <c r="O155" s="19"/>
    </row>
    <row r="156">
      <c r="F156" t="s">
        <v>342</v>
      </c>
      <c r="G156" s="19"/>
      <c r="N156" t="s">
        <v>342</v>
      </c>
      <c r="O156" s="19"/>
    </row>
    <row r="159">
      <c r="A159" s="13" t="s">
        <v>383</v>
      </c>
      <c r="B159" s="13"/>
      <c r="C159" s="13"/>
      <c r="D159" s="13"/>
      <c r="E159" s="13"/>
      <c r="F159" s="13"/>
      <c r="G159" s="13"/>
      <c r="I159" s="13" t="s">
        <v>384</v>
      </c>
      <c r="J159" s="13"/>
      <c r="K159" s="13"/>
      <c r="L159" s="13"/>
      <c r="M159" s="13"/>
      <c r="N159" s="13"/>
      <c r="O159" s="13"/>
    </row>
    <row r="160">
      <c r="A160" s="17" t="s">
        <v>330</v>
      </c>
      <c r="D160" s="14" t="s">
        <v>331</v>
      </c>
      <c r="G160" s="16" t="s">
        <v>332</v>
      </c>
      <c r="I160" s="17" t="s">
        <v>330</v>
      </c>
      <c r="L160" s="14" t="s">
        <v>331</v>
      </c>
      <c r="O160" s="16" t="s">
        <v>332</v>
      </c>
    </row>
    <row r="161">
      <c r="A161" s="14" t="str">
        <f>CONCATENATE("M 12 ",G94)</f>
      </c>
      <c r="B161" s="18"/>
      <c r="C161" s="18"/>
      <c r="D161" s="18"/>
      <c r="E161" s="18"/>
      <c r="F161" s="18"/>
      <c r="G161" s="14" t="str">
        <f>CONCATENATE("M 11 ",G86)</f>
      </c>
      <c r="I161" s="14" t="str">
        <f>CONCATENATE("M 26 ",O94)</f>
      </c>
      <c r="J161" s="18"/>
      <c r="K161" s="18"/>
      <c r="L161" s="18"/>
      <c r="M161" s="18"/>
      <c r="N161" s="18"/>
      <c r="O161" s="14" t="str">
        <f>CONCATENATE("M 25 ",O86)</f>
      </c>
    </row>
    <row r="163">
      <c r="F163" t="s">
        <v>341</v>
      </c>
      <c r="G163" s="19"/>
      <c r="N163" t="s">
        <v>341</v>
      </c>
      <c r="O163" s="19"/>
    </row>
    <row r="164">
      <c r="F164" t="s">
        <v>342</v>
      </c>
      <c r="G164" s="19"/>
      <c r="N164" t="s">
        <v>342</v>
      </c>
      <c r="O164" s="19"/>
    </row>
    <row r="167">
      <c r="A167" s="13" t="s">
        <v>385</v>
      </c>
      <c r="B167" s="13"/>
      <c r="C167" s="13"/>
      <c r="D167" s="13"/>
      <c r="E167" s="13"/>
      <c r="F167" s="13"/>
      <c r="G167" s="13"/>
      <c r="I167" s="13" t="s">
        <v>386</v>
      </c>
      <c r="J167" s="13"/>
      <c r="K167" s="13"/>
      <c r="L167" s="13"/>
      <c r="M167" s="13"/>
      <c r="N167" s="13"/>
      <c r="O167" s="13"/>
    </row>
    <row r="168">
      <c r="A168" s="17" t="s">
        <v>330</v>
      </c>
      <c r="D168" s="14" t="s">
        <v>331</v>
      </c>
      <c r="G168" s="16" t="s">
        <v>332</v>
      </c>
      <c r="I168" s="17" t="s">
        <v>330</v>
      </c>
      <c r="L168" s="14" t="s">
        <v>331</v>
      </c>
      <c r="O168" s="16" t="s">
        <v>332</v>
      </c>
    </row>
    <row r="169">
      <c r="A169" s="14" t="str">
        <f>CONCATENATE("M 14 ",G110)</f>
      </c>
      <c r="B169" s="18"/>
      <c r="C169" s="18"/>
      <c r="D169" s="18"/>
      <c r="E169" s="18"/>
      <c r="F169" s="18"/>
      <c r="G169" s="14" t="str">
        <f>CONCATENATE("M 13 ",G102)</f>
      </c>
      <c r="I169" s="14" t="str">
        <f>CONCATENATE("M 28 ",O110)</f>
      </c>
      <c r="J169" s="18"/>
      <c r="K169" s="18"/>
      <c r="L169" s="18"/>
      <c r="M169" s="18"/>
      <c r="N169" s="18"/>
      <c r="O169" s="14" t="str">
        <f>CONCATENATE("M 27 ",O102)</f>
      </c>
    </row>
    <row r="171">
      <c r="F171" t="s">
        <v>341</v>
      </c>
      <c r="G171" s="19"/>
      <c r="N171" t="s">
        <v>341</v>
      </c>
      <c r="O171" s="19"/>
    </row>
    <row r="172">
      <c r="F172" t="s">
        <v>342</v>
      </c>
      <c r="G172" s="19"/>
      <c r="N172" t="s">
        <v>342</v>
      </c>
      <c r="O172" s="19"/>
    </row>
    <row r="175">
      <c r="A175" s="13" t="s">
        <v>387</v>
      </c>
      <c r="B175" s="13"/>
      <c r="C175" s="13"/>
      <c r="D175" s="13"/>
      <c r="E175" s="13"/>
      <c r="F175" s="13"/>
      <c r="G175" s="13"/>
      <c r="I175" s="13" t="s">
        <v>388</v>
      </c>
      <c r="J175" s="13"/>
      <c r="K175" s="13"/>
      <c r="L175" s="13"/>
      <c r="M175" s="13"/>
      <c r="N175" s="13"/>
      <c r="O175" s="13"/>
    </row>
    <row r="176">
      <c r="A176" s="17" t="s">
        <v>330</v>
      </c>
      <c r="D176" s="14" t="s">
        <v>331</v>
      </c>
      <c r="G176" s="16" t="s">
        <v>332</v>
      </c>
      <c r="I176" s="17" t="s">
        <v>330</v>
      </c>
      <c r="L176" s="14" t="s">
        <v>331</v>
      </c>
      <c r="O176" s="16" t="s">
        <v>332</v>
      </c>
    </row>
    <row r="177">
      <c r="A177" s="14" t="str">
        <f>CONCATENATE("Pool AD-2nd ",'Pool Matches'!O257)</f>
      </c>
      <c r="B177" s="18"/>
      <c r="C177" s="18"/>
      <c r="D177" s="18"/>
      <c r="E177" s="18"/>
      <c r="F177" s="18"/>
      <c r="G177" s="14" t="str">
        <f>CONCATENATE("Pool O-1st ",'Pool Matches'!G256)</f>
      </c>
      <c r="I177" s="14" t="str">
        <f>CONCATENATE("Pool O-2nd ",'Pool Matches'!G257)</f>
      </c>
      <c r="J177" s="18"/>
      <c r="K177" s="18"/>
      <c r="L177" s="18"/>
      <c r="M177" s="18"/>
      <c r="N177" s="18"/>
      <c r="O177" s="14" t="str">
        <f>CONCATENATE("Pool AD-1st ",'Pool Matches'!O256)</f>
      </c>
    </row>
    <row r="179">
      <c r="F179" t="s">
        <v>341</v>
      </c>
      <c r="G179" s="19"/>
      <c r="N179" t="s">
        <v>341</v>
      </c>
      <c r="O179" s="19"/>
    </row>
    <row r="180">
      <c r="F180" t="s">
        <v>342</v>
      </c>
      <c r="G180" s="19"/>
      <c r="N180" t="s">
        <v>342</v>
      </c>
      <c r="O180" s="19"/>
    </row>
    <row r="188">
      <c r="A188" s="13" t="s">
        <v>389</v>
      </c>
      <c r="B188" s="13"/>
      <c r="C188" s="13"/>
      <c r="D188" s="13"/>
      <c r="E188" s="13"/>
      <c r="F188" s="13"/>
      <c r="G188" s="13"/>
      <c r="I188" s="13" t="s">
        <v>390</v>
      </c>
      <c r="J188" s="13"/>
      <c r="K188" s="13"/>
      <c r="L188" s="13"/>
      <c r="M188" s="13"/>
      <c r="N188" s="13"/>
      <c r="O188" s="13"/>
    </row>
    <row r="189">
      <c r="A189" s="17" t="s">
        <v>330</v>
      </c>
      <c r="D189" s="14" t="s">
        <v>331</v>
      </c>
      <c r="G189" s="16" t="s">
        <v>332</v>
      </c>
      <c r="I189" s="17" t="s">
        <v>330</v>
      </c>
      <c r="L189" s="14" t="s">
        <v>331</v>
      </c>
      <c r="O189" s="16" t="s">
        <v>332</v>
      </c>
    </row>
    <row r="190">
      <c r="A190" s="14" t="str">
        <f>CONCATENATE("M 30 ",G131)</f>
      </c>
      <c r="B190" s="18"/>
      <c r="C190" s="18"/>
      <c r="D190" s="18"/>
      <c r="E190" s="18"/>
      <c r="F190" s="18"/>
      <c r="G190" s="14" t="str">
        <f>CONCATENATE("M 29 ",G123)</f>
      </c>
      <c r="I190" s="14" t="str">
        <f>CONCATENATE("M 38 ",O131)</f>
      </c>
      <c r="J190" s="18"/>
      <c r="K190" s="18"/>
      <c r="L190" s="18"/>
      <c r="M190" s="18"/>
      <c r="N190" s="18"/>
      <c r="O190" s="14" t="str">
        <f>CONCATENATE("M 37 ",O123)</f>
      </c>
    </row>
    <row r="192">
      <c r="F192" t="s">
        <v>341</v>
      </c>
      <c r="G192" s="19"/>
      <c r="N192" t="s">
        <v>341</v>
      </c>
      <c r="O192" s="19"/>
    </row>
    <row r="193">
      <c r="F193" t="s">
        <v>342</v>
      </c>
      <c r="G193" s="19"/>
      <c r="N193" t="s">
        <v>342</v>
      </c>
      <c r="O193" s="19"/>
    </row>
    <row r="196">
      <c r="A196" s="13" t="s">
        <v>391</v>
      </c>
      <c r="B196" s="13"/>
      <c r="C196" s="13"/>
      <c r="D196" s="13"/>
      <c r="E196" s="13"/>
      <c r="F196" s="13"/>
      <c r="G196" s="13"/>
      <c r="I196" s="13" t="s">
        <v>392</v>
      </c>
      <c r="J196" s="13"/>
      <c r="K196" s="13"/>
      <c r="L196" s="13"/>
      <c r="M196" s="13"/>
      <c r="N196" s="13"/>
      <c r="O196" s="13"/>
    </row>
    <row r="197">
      <c r="A197" s="17" t="s">
        <v>330</v>
      </c>
      <c r="D197" s="14" t="s">
        <v>331</v>
      </c>
      <c r="G197" s="16" t="s">
        <v>332</v>
      </c>
      <c r="I197" s="17" t="s">
        <v>330</v>
      </c>
      <c r="L197" s="14" t="s">
        <v>331</v>
      </c>
      <c r="O197" s="16" t="s">
        <v>332</v>
      </c>
    </row>
    <row r="198">
      <c r="A198" s="14" t="str">
        <f>CONCATENATE("M 32 ",G147)</f>
      </c>
      <c r="B198" s="18"/>
      <c r="C198" s="18"/>
      <c r="D198" s="18"/>
      <c r="E198" s="18"/>
      <c r="F198" s="18"/>
      <c r="G198" s="14" t="str">
        <f>CONCATENATE("M 31 ",G139)</f>
      </c>
      <c r="I198" s="14" t="str">
        <f>CONCATENATE("M 40 ",O147)</f>
      </c>
      <c r="J198" s="18"/>
      <c r="K198" s="18"/>
      <c r="L198" s="18"/>
      <c r="M198" s="18"/>
      <c r="N198" s="18"/>
      <c r="O198" s="14" t="str">
        <f>CONCATENATE("M 39 ",O139)</f>
      </c>
    </row>
    <row r="200">
      <c r="F200" t="s">
        <v>341</v>
      </c>
      <c r="G200" s="19"/>
      <c r="N200" t="s">
        <v>341</v>
      </c>
      <c r="O200" s="19"/>
    </row>
    <row r="201">
      <c r="F201" t="s">
        <v>342</v>
      </c>
      <c r="G201" s="19"/>
      <c r="N201" t="s">
        <v>342</v>
      </c>
      <c r="O201" s="19"/>
    </row>
    <row r="204">
      <c r="A204" s="13" t="s">
        <v>393</v>
      </c>
      <c r="B204" s="13"/>
      <c r="C204" s="13"/>
      <c r="D204" s="13"/>
      <c r="E204" s="13"/>
      <c r="F204" s="13"/>
      <c r="G204" s="13"/>
      <c r="I204" s="13" t="s">
        <v>394</v>
      </c>
      <c r="J204" s="13"/>
      <c r="K204" s="13"/>
      <c r="L204" s="13"/>
      <c r="M204" s="13"/>
      <c r="N204" s="13"/>
      <c r="O204" s="13"/>
    </row>
    <row r="205">
      <c r="A205" s="17" t="s">
        <v>330</v>
      </c>
      <c r="D205" s="14" t="s">
        <v>331</v>
      </c>
      <c r="G205" s="16" t="s">
        <v>332</v>
      </c>
      <c r="I205" s="17" t="s">
        <v>330</v>
      </c>
      <c r="L205" s="14" t="s">
        <v>331</v>
      </c>
      <c r="O205" s="16" t="s">
        <v>332</v>
      </c>
    </row>
    <row r="206">
      <c r="A206" s="14" t="str">
        <f>CONCATENATE("M 34 ",G163)</f>
      </c>
      <c r="B206" s="18"/>
      <c r="C206" s="18"/>
      <c r="D206" s="18"/>
      <c r="E206" s="18"/>
      <c r="F206" s="18"/>
      <c r="G206" s="14" t="str">
        <f>CONCATENATE("M 33 ",G155)</f>
      </c>
      <c r="I206" s="14" t="str">
        <f>CONCATENATE("M 42 ",O163)</f>
      </c>
      <c r="J206" s="18"/>
      <c r="K206" s="18"/>
      <c r="L206" s="18"/>
      <c r="M206" s="18"/>
      <c r="N206" s="18"/>
      <c r="O206" s="14" t="str">
        <f>CONCATENATE("M 41 ",O155)</f>
      </c>
    </row>
    <row r="208">
      <c r="F208" t="s">
        <v>341</v>
      </c>
      <c r="G208" s="19"/>
      <c r="N208" t="s">
        <v>341</v>
      </c>
      <c r="O208" s="19"/>
    </row>
    <row r="209">
      <c r="F209" t="s">
        <v>342</v>
      </c>
      <c r="G209" s="19"/>
      <c r="N209" t="s">
        <v>342</v>
      </c>
      <c r="O209" s="19"/>
    </row>
    <row r="212">
      <c r="A212" s="13" t="s">
        <v>395</v>
      </c>
      <c r="B212" s="13"/>
      <c r="C212" s="13"/>
      <c r="D212" s="13"/>
      <c r="E212" s="13"/>
      <c r="F212" s="13"/>
      <c r="G212" s="13"/>
      <c r="I212" s="13" t="s">
        <v>396</v>
      </c>
      <c r="J212" s="13"/>
      <c r="K212" s="13"/>
      <c r="L212" s="13"/>
      <c r="M212" s="13"/>
      <c r="N212" s="13"/>
      <c r="O212" s="13"/>
    </row>
    <row r="213">
      <c r="A213" s="17" t="s">
        <v>330</v>
      </c>
      <c r="D213" s="14" t="s">
        <v>331</v>
      </c>
      <c r="G213" s="16" t="s">
        <v>332</v>
      </c>
      <c r="I213" s="17" t="s">
        <v>330</v>
      </c>
      <c r="L213" s="14" t="s">
        <v>331</v>
      </c>
      <c r="O213" s="16" t="s">
        <v>332</v>
      </c>
    </row>
    <row r="214">
      <c r="A214" s="14" t="str">
        <f>CONCATENATE("M 36 ",G179)</f>
      </c>
      <c r="B214" s="18"/>
      <c r="C214" s="18"/>
      <c r="D214" s="18"/>
      <c r="E214" s="18"/>
      <c r="F214" s="18"/>
      <c r="G214" s="14" t="str">
        <f>CONCATENATE("M 35 ",G171)</f>
      </c>
      <c r="I214" s="14" t="str">
        <f>CONCATENATE("M 44 ",O179)</f>
      </c>
      <c r="J214" s="18"/>
      <c r="K214" s="18"/>
      <c r="L214" s="18"/>
      <c r="M214" s="18"/>
      <c r="N214" s="18"/>
      <c r="O214" s="14" t="str">
        <f>CONCATENATE("M 43 ",O171)</f>
      </c>
    </row>
    <row r="216">
      <c r="F216" t="s">
        <v>341</v>
      </c>
      <c r="G216" s="19"/>
      <c r="N216" t="s">
        <v>341</v>
      </c>
      <c r="O216" s="19"/>
    </row>
    <row r="217">
      <c r="F217" t="s">
        <v>342</v>
      </c>
      <c r="G217" s="19"/>
      <c r="N217" t="s">
        <v>342</v>
      </c>
      <c r="O217" s="19"/>
    </row>
    <row r="225">
      <c r="A225" s="13" t="s">
        <v>397</v>
      </c>
      <c r="B225" s="13"/>
      <c r="C225" s="13"/>
      <c r="D225" s="13"/>
      <c r="E225" s="13"/>
      <c r="F225" s="13"/>
      <c r="G225" s="13"/>
      <c r="I225" s="13" t="s">
        <v>398</v>
      </c>
      <c r="J225" s="13"/>
      <c r="K225" s="13"/>
      <c r="L225" s="13"/>
      <c r="M225" s="13"/>
      <c r="N225" s="13"/>
      <c r="O225" s="13"/>
    </row>
    <row r="226">
      <c r="A226" s="17" t="s">
        <v>330</v>
      </c>
      <c r="D226" s="14" t="s">
        <v>331</v>
      </c>
      <c r="G226" s="16" t="s">
        <v>332</v>
      </c>
      <c r="I226" s="17" t="s">
        <v>330</v>
      </c>
      <c r="L226" s="14" t="s">
        <v>331</v>
      </c>
      <c r="O226" s="16" t="s">
        <v>332</v>
      </c>
    </row>
    <row r="227">
      <c r="A227" s="14" t="str">
        <f>CONCATENATE("M 46 ",G200)</f>
      </c>
      <c r="B227" s="18"/>
      <c r="C227" s="18"/>
      <c r="D227" s="18"/>
      <c r="E227" s="18"/>
      <c r="F227" s="18"/>
      <c r="G227" s="14" t="str">
        <f>CONCATENATE("M 45 ",G192)</f>
      </c>
      <c r="I227" s="14" t="str">
        <f>CONCATENATE("M 50 ",O200)</f>
      </c>
      <c r="J227" s="18"/>
      <c r="K227" s="18"/>
      <c r="L227" s="18"/>
      <c r="M227" s="18"/>
      <c r="N227" s="18"/>
      <c r="O227" s="14" t="str">
        <f>CONCATENATE("M 49 ",O192)</f>
      </c>
    </row>
    <row r="229">
      <c r="F229" t="s">
        <v>341</v>
      </c>
      <c r="G229" s="19"/>
      <c r="N229" t="s">
        <v>341</v>
      </c>
      <c r="O229" s="19"/>
    </row>
    <row r="230">
      <c r="F230" t="s">
        <v>342</v>
      </c>
      <c r="G230" s="19"/>
      <c r="N230" t="s">
        <v>342</v>
      </c>
      <c r="O230" s="19"/>
    </row>
    <row r="233">
      <c r="A233" s="13" t="s">
        <v>399</v>
      </c>
      <c r="B233" s="13"/>
      <c r="C233" s="13"/>
      <c r="D233" s="13"/>
      <c r="E233" s="13"/>
      <c r="F233" s="13"/>
      <c r="G233" s="13"/>
      <c r="I233" s="13" t="s">
        <v>400</v>
      </c>
      <c r="J233" s="13"/>
      <c r="K233" s="13"/>
      <c r="L233" s="13"/>
      <c r="M233" s="13"/>
      <c r="N233" s="13"/>
      <c r="O233" s="13"/>
    </row>
    <row r="234">
      <c r="A234" s="17" t="s">
        <v>330</v>
      </c>
      <c r="D234" s="14" t="s">
        <v>331</v>
      </c>
      <c r="G234" s="16" t="s">
        <v>332</v>
      </c>
      <c r="I234" s="17" t="s">
        <v>330</v>
      </c>
      <c r="L234" s="14" t="s">
        <v>331</v>
      </c>
      <c r="O234" s="16" t="s">
        <v>332</v>
      </c>
    </row>
    <row r="235">
      <c r="A235" s="14" t="str">
        <f>CONCATENATE("M 48 ",G216)</f>
      </c>
      <c r="B235" s="18"/>
      <c r="C235" s="18"/>
      <c r="D235" s="18"/>
      <c r="E235" s="18"/>
      <c r="F235" s="18"/>
      <c r="G235" s="14" t="str">
        <f>CONCATENATE("M 47 ",G208)</f>
      </c>
      <c r="I235" s="14" t="str">
        <f>CONCATENATE("M 52 ",O216)</f>
      </c>
      <c r="J235" s="18"/>
      <c r="K235" s="18"/>
      <c r="L235" s="18"/>
      <c r="M235" s="18"/>
      <c r="N235" s="18"/>
      <c r="O235" s="14" t="str">
        <f>CONCATENATE("M 51 ",O208)</f>
      </c>
    </row>
    <row r="237">
      <c r="F237" t="s">
        <v>341</v>
      </c>
      <c r="G237" s="19"/>
      <c r="N237" t="s">
        <v>341</v>
      </c>
      <c r="O237" s="19"/>
    </row>
    <row r="238">
      <c r="F238" t="s">
        <v>342</v>
      </c>
      <c r="G238" s="19"/>
      <c r="N238" t="s">
        <v>342</v>
      </c>
      <c r="O238" s="19"/>
    </row>
    <row r="246">
      <c r="A246" s="13" t="s">
        <v>401</v>
      </c>
      <c r="B246" s="13"/>
      <c r="C246" s="13"/>
      <c r="D246" s="13"/>
      <c r="E246" s="13"/>
      <c r="F246" s="13"/>
      <c r="G246" s="13"/>
      <c r="I246" s="13" t="s">
        <v>402</v>
      </c>
      <c r="J246" s="13"/>
      <c r="K246" s="13"/>
      <c r="L246" s="13"/>
      <c r="M246" s="13"/>
      <c r="N246" s="13"/>
      <c r="O246" s="13"/>
    </row>
    <row r="247">
      <c r="A247" s="17" t="s">
        <v>330</v>
      </c>
      <c r="D247" s="14" t="s">
        <v>331</v>
      </c>
      <c r="G247" s="16" t="s">
        <v>332</v>
      </c>
      <c r="I247" s="17" t="s">
        <v>330</v>
      </c>
      <c r="L247" s="14" t="s">
        <v>331</v>
      </c>
      <c r="O247" s="16" t="s">
        <v>332</v>
      </c>
    </row>
    <row r="248">
      <c r="A248" s="14" t="str">
        <f>CONCATENATE("M 54 ",G237)</f>
      </c>
      <c r="B248" s="18"/>
      <c r="C248" s="18"/>
      <c r="D248" s="18"/>
      <c r="E248" s="18"/>
      <c r="F248" s="18"/>
      <c r="G248" s="14" t="str">
        <f>CONCATENATE("M 53 ",G229)</f>
      </c>
      <c r="I248" s="14" t="str">
        <f>CONCATENATE("M 56 ",O237)</f>
      </c>
      <c r="J248" s="18"/>
      <c r="K248" s="18"/>
      <c r="L248" s="18"/>
      <c r="M248" s="18"/>
      <c r="N248" s="18"/>
      <c r="O248" s="14" t="str">
        <f>CONCATENATE("M 55 ",O229)</f>
      </c>
    </row>
    <row r="250">
      <c r="F250" t="s">
        <v>341</v>
      </c>
      <c r="G250" s="19"/>
      <c r="N250" t="s">
        <v>341</v>
      </c>
      <c r="O250" s="19"/>
    </row>
    <row r="251">
      <c r="F251" t="s">
        <v>342</v>
      </c>
      <c r="G251" s="19"/>
      <c r="N251" t="s">
        <v>342</v>
      </c>
      <c r="O251" s="19"/>
    </row>
    <row r="259">
      <c r="A259" s="13" t="s">
        <v>403</v>
      </c>
      <c r="B259" s="13"/>
      <c r="C259" s="13"/>
      <c r="D259" s="13"/>
      <c r="E259" s="13"/>
      <c r="F259" s="13"/>
      <c r="G259" s="13"/>
    </row>
    <row r="260">
      <c r="A260" s="17" t="s">
        <v>330</v>
      </c>
      <c r="D260" s="14" t="s">
        <v>331</v>
      </c>
      <c r="G260" s="16" t="s">
        <v>332</v>
      </c>
    </row>
    <row r="261">
      <c r="A261" s="14" t="str">
        <f>CONCATENATE("M 58 ",O250)</f>
      </c>
      <c r="B261" s="18"/>
      <c r="C261" s="18"/>
      <c r="D261" s="18"/>
      <c r="E261" s="18"/>
      <c r="F261" s="18"/>
      <c r="G261" s="14" t="str">
        <f>CONCATENATE("M 57 ",G250)</f>
      </c>
    </row>
    <row r="263">
      <c r="F263" t="s">
        <v>341</v>
      </c>
      <c r="G263" s="19"/>
    </row>
    <row r="264">
      <c r="F264" t="s">
        <v>342</v>
      </c>
      <c r="G264"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61">
    <mergeCell ref="A1:G1"/>
    <mergeCell ref="I1:O1"/>
    <mergeCell ref="A2:G2"/>
    <mergeCell ref="I2:O2"/>
    <mergeCell ref="A10:G10"/>
    <mergeCell ref="I10:O10"/>
    <mergeCell ref="A18:G18"/>
    <mergeCell ref="I18:O18"/>
    <mergeCell ref="A26:G26"/>
    <mergeCell ref="I26:O26"/>
    <mergeCell ref="A34:G34"/>
    <mergeCell ref="I34:O34"/>
    <mergeCell ref="A42:G42"/>
    <mergeCell ref="I42:O42"/>
    <mergeCell ref="A50:G50"/>
    <mergeCell ref="I50:O50"/>
    <mergeCell ref="A58:G58"/>
    <mergeCell ref="I58:O58"/>
    <mergeCell ref="A66:G66"/>
    <mergeCell ref="I66:O66"/>
    <mergeCell ref="A74:G74"/>
    <mergeCell ref="I74:O74"/>
    <mergeCell ref="A82:G82"/>
    <mergeCell ref="I82:O82"/>
    <mergeCell ref="A90:G90"/>
    <mergeCell ref="I90:O90"/>
    <mergeCell ref="A98:G98"/>
    <mergeCell ref="I98:O98"/>
    <mergeCell ref="A106:G106"/>
    <mergeCell ref="I106:O106"/>
    <mergeCell ref="A119:G119"/>
    <mergeCell ref="I119:O119"/>
    <mergeCell ref="A127:G127"/>
    <mergeCell ref="I127:O127"/>
    <mergeCell ref="A135:G135"/>
    <mergeCell ref="I135:O135"/>
    <mergeCell ref="A143:G143"/>
    <mergeCell ref="I143:O143"/>
    <mergeCell ref="A151:G151"/>
    <mergeCell ref="I151:O151"/>
    <mergeCell ref="A159:G159"/>
    <mergeCell ref="I159:O159"/>
    <mergeCell ref="A167:G167"/>
    <mergeCell ref="I167:O167"/>
    <mergeCell ref="A175:G175"/>
    <mergeCell ref="I175:O175"/>
    <mergeCell ref="A188:G188"/>
    <mergeCell ref="I188:O188"/>
    <mergeCell ref="A196:G196"/>
    <mergeCell ref="I196:O196"/>
    <mergeCell ref="A204:G204"/>
    <mergeCell ref="I204:O204"/>
    <mergeCell ref="A212:G212"/>
    <mergeCell ref="I212:O212"/>
    <mergeCell ref="A225:G225"/>
    <mergeCell ref="I225:O225"/>
    <mergeCell ref="A233:G233"/>
    <mergeCell ref="I233:O233"/>
    <mergeCell ref="A246:G246"/>
    <mergeCell ref="I246:O246"/>
    <mergeCell ref="A259:G259"/>
  </mergeCells>
  <printOptions horizontalCentered="true" verticalCentered="true"/>
  <pageSetup fitToHeight="0" fitToWidth="2" orientation="portrait" pageOrder="downThenOver" paperSize="9"/>
  <rowBreaks count="6" manualBreakCount="6">
    <brk id="41" max="16383" man="true"/>
    <brk id="81" max="16383" man="true"/>
    <brk id="118" max="16383" man="true"/>
    <brk id="158" max="16383" man="true"/>
    <brk id="195" max="16383" man="true"/>
    <brk id="232"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c r="H1" s="13"/>
      <c r="I1" s="13"/>
      <c r="J1" s="13"/>
      <c r="K1" s="13"/>
    </row>
    <row r="4">
      <c r="A4" s="24" t="str">
        <f>'data'!$A$6</f>
      </c>
    </row>
    <row r="5">
      <c r="A5" s="25" t="str">
        <f>data!$E$3&amp;" "&amp;data!$B$3</f>
      </c>
      <c r="C5" s="23" t="str">
        <f>CONCATENATE("Pool A-1st ",'Pool Matches'!G17)</f>
      </c>
    </row>
    <row r="6">
      <c r="A6" s="26" t="str">
        <f>data!$E$4&amp;" "&amp;data!$B$4</f>
      </c>
      <c r="D6" s="22"/>
      <c r="E6" s="21">
        <v>1</v>
      </c>
    </row>
    <row r="7">
      <c r="A7" s="26" t="str">
        <f>data!$E$5&amp;" "&amp;data!$B$5</f>
      </c>
      <c r="C7" s="23" t="str">
        <f>CONCATENATE("Pool P-2nd ",'Pool Matches'!O17)</f>
      </c>
      <c r="D7" s="15"/>
      <c r="E7" s="20"/>
      <c r="F7" s="22"/>
      <c r="G7" s="20"/>
    </row>
    <row r="8">
      <c r="A8" s="27" t="str">
        <f>data!$E$6&amp;" "&amp;data!$B$6</f>
      </c>
      <c r="G8" s="21">
        <v>29</v>
      </c>
    </row>
    <row r="9">
      <c r="A9" s="22"/>
      <c r="C9" s="23" t="str">
        <f>CONCATENATE("Pool B-1st ",'Pool Matches'!G35)</f>
      </c>
      <c r="G9" s="20"/>
      <c r="H9" s="22"/>
      <c r="I9" s="20"/>
    </row>
    <row r="10">
      <c r="A10" s="24" t="str">
        <f>'data'!$A$9</f>
      </c>
      <c r="D10" s="22"/>
      <c r="E10" s="21">
        <v>2</v>
      </c>
      <c r="F10" s="15"/>
      <c r="G10" s="20"/>
      <c r="I10" s="20"/>
    </row>
    <row r="11">
      <c r="A11" s="25" t="str">
        <f>data!$E$7&amp;" "&amp;data!$B$7</f>
      </c>
      <c r="C11" s="23" t="str">
        <f>CONCATENATE("Pool Q-2nd ",'Pool Matches'!O36)</f>
      </c>
      <c r="D11" s="15"/>
      <c r="E11" s="20"/>
      <c r="I11" s="20"/>
    </row>
    <row r="12">
      <c r="A12" s="26" t="str">
        <f>data!$E$8&amp;" "&amp;data!$B$8</f>
      </c>
      <c r="I12" s="21">
        <v>45</v>
      </c>
    </row>
    <row r="13">
      <c r="A13" s="27" t="str">
        <f>data!$E$9&amp;" "&amp;data!$B$9</f>
      </c>
      <c r="C13" s="23" t="str">
        <f>CONCATENATE("Pool C-1st ",'Pool Matches'!G52)</f>
      </c>
      <c r="I13" s="20"/>
      <c r="J13" s="22"/>
      <c r="K13" s="20"/>
    </row>
    <row r="14">
      <c r="A14" s="22"/>
      <c r="D14" s="22"/>
      <c r="E14" s="21">
        <v>3</v>
      </c>
      <c r="I14" s="20"/>
      <c r="K14" s="20"/>
    </row>
    <row r="15">
      <c r="A15" s="24" t="str">
        <f>'data'!$A$12</f>
      </c>
      <c r="C15" s="23" t="str">
        <f>CONCATENATE("Pool R-2nd ",'Pool Matches'!O53)</f>
      </c>
      <c r="D15" s="15"/>
      <c r="E15" s="20"/>
      <c r="F15" s="22"/>
      <c r="G15" s="20"/>
      <c r="I15" s="20"/>
      <c r="K15" s="20"/>
    </row>
    <row r="16">
      <c r="A16" s="25" t="str">
        <f>data!$E$10&amp;" "&amp;data!$B$10</f>
      </c>
      <c r="G16" s="21">
        <v>30</v>
      </c>
      <c r="H16" s="15"/>
      <c r="I16" s="20"/>
      <c r="K16" s="20"/>
    </row>
    <row r="17">
      <c r="A17" s="26" t="str">
        <f>data!$E$11&amp;" "&amp;data!$B$11</f>
      </c>
      <c r="C17" s="23" t="str">
        <f>CONCATENATE("Pool D-1st ",'Pool Matches'!G69)</f>
      </c>
      <c r="G17" s="20"/>
      <c r="K17" s="20"/>
    </row>
    <row r="18">
      <c r="A18" s="27" t="str">
        <f>data!$E$12&amp;" "&amp;data!$B$12</f>
      </c>
      <c r="D18" s="22"/>
      <c r="E18" s="21">
        <v>4</v>
      </c>
      <c r="F18" s="15"/>
      <c r="G18" s="20"/>
      <c r="K18" s="20"/>
    </row>
    <row r="19">
      <c r="A19" s="22"/>
      <c r="C19" s="23" t="str">
        <f>CONCATENATE("Pool S-2nd ",'Pool Matches'!O70)</f>
      </c>
      <c r="D19" s="15"/>
      <c r="E19" s="20"/>
      <c r="K19" s="20"/>
    </row>
    <row r="20">
      <c r="A20" s="24" t="str">
        <f>'data'!$A$15</f>
      </c>
      <c r="K20" s="21">
        <v>53</v>
      </c>
    </row>
    <row r="21">
      <c r="A21" s="25" t="str">
        <f>data!$E$13&amp;" "&amp;data!$B$13</f>
      </c>
      <c r="C21" s="23" t="str">
        <f>CONCATENATE("Pool E-1st ",'Pool Matches'!G86)</f>
      </c>
      <c r="K21" s="20"/>
    </row>
    <row r="22">
      <c r="A22" s="26" t="str">
        <f>data!$E$14&amp;" "&amp;data!$B$14</f>
      </c>
      <c r="D22" s="22"/>
      <c r="E22" s="21">
        <v>5</v>
      </c>
      <c r="K22" s="20"/>
    </row>
    <row r="23">
      <c r="A23" s="27" t="str">
        <f>data!$E$15&amp;" "&amp;data!$B$15</f>
      </c>
      <c r="C23" s="23" t="str">
        <f>CONCATENATE("Pool T-2nd ",'Pool Matches'!O87)</f>
      </c>
      <c r="D23" s="15"/>
      <c r="E23" s="20"/>
      <c r="F23" s="22"/>
      <c r="G23" s="20"/>
      <c r="K23" s="20"/>
    </row>
    <row r="24">
      <c r="A24" s="22"/>
      <c r="G24" s="21">
        <v>31</v>
      </c>
      <c r="K24" s="20"/>
    </row>
    <row r="25">
      <c r="A25" s="24" t="str">
        <f>'data'!$A$18</f>
      </c>
      <c r="C25" s="23" t="str">
        <f>CONCATENATE("Pool F-1st ",'Pool Matches'!G103)</f>
      </c>
      <c r="G25" s="20"/>
      <c r="H25" s="22"/>
      <c r="I25" s="20"/>
      <c r="K25" s="20"/>
    </row>
    <row r="26">
      <c r="A26" s="25" t="str">
        <f>data!$E$16&amp;" "&amp;data!$B$16</f>
      </c>
      <c r="D26" s="22"/>
      <c r="E26" s="21">
        <v>6</v>
      </c>
      <c r="F26" s="15"/>
      <c r="G26" s="20"/>
      <c r="I26" s="20"/>
      <c r="K26" s="20"/>
    </row>
    <row r="27">
      <c r="A27" s="26" t="str">
        <f>data!$E$17&amp;" "&amp;data!$B$17</f>
      </c>
      <c r="C27" s="23" t="str">
        <f>CONCATENATE("Pool U-2nd ",'Pool Matches'!O104)</f>
      </c>
      <c r="D27" s="15"/>
      <c r="E27" s="20"/>
      <c r="I27" s="20"/>
      <c r="K27" s="20"/>
    </row>
    <row r="28">
      <c r="A28" s="27" t="str">
        <f>data!$E$18&amp;" "&amp;data!$B$18</f>
      </c>
      <c r="I28" s="21">
        <v>46</v>
      </c>
      <c r="J28" s="15"/>
      <c r="K28" s="20"/>
    </row>
    <row r="29">
      <c r="A29" s="22"/>
      <c r="C29" s="23" t="str">
        <f>CONCATENATE("Pool G-1st ",'Pool Matches'!G120)</f>
      </c>
      <c r="I29" s="20"/>
    </row>
    <row r="30">
      <c r="A30" s="24" t="str">
        <f>'data'!$A$21</f>
      </c>
      <c r="D30" s="22"/>
      <c r="E30" s="21">
        <v>7</v>
      </c>
      <c r="I30" s="20"/>
    </row>
    <row r="31">
      <c r="A31" s="25" t="str">
        <f>data!$E$19&amp;" "&amp;data!$B$19</f>
      </c>
      <c r="C31" s="23" t="str">
        <f>CONCATENATE("Pool V-2nd ",'Pool Matches'!O121)</f>
      </c>
      <c r="D31" s="15"/>
      <c r="E31" s="20"/>
      <c r="F31" s="22"/>
      <c r="G31" s="20"/>
      <c r="I31" s="20"/>
    </row>
    <row r="32">
      <c r="A32" s="26" t="str">
        <f>data!$E$20&amp;" "&amp;data!$B$20</f>
      </c>
      <c r="G32" s="21">
        <v>32</v>
      </c>
      <c r="H32" s="15"/>
      <c r="I32" s="20"/>
    </row>
    <row r="33">
      <c r="A33" s="27" t="str">
        <f>data!$E$21&amp;" "&amp;data!$B$21</f>
      </c>
      <c r="C33" s="23" t="str">
        <f>CONCATENATE("Pool H-1st ",'Pool Matches'!G137)</f>
      </c>
      <c r="G33" s="20"/>
    </row>
    <row r="34">
      <c r="A34" s="22"/>
      <c r="D34" s="22"/>
      <c r="E34" s="21">
        <v>8</v>
      </c>
      <c r="F34" s="15"/>
      <c r="G34" s="20"/>
    </row>
    <row r="35">
      <c r="A35" s="24" t="str">
        <f>'data'!$A$24</f>
      </c>
      <c r="C35" s="23" t="str">
        <f>CONCATENATE("Pool W-2nd ",'Pool Matches'!O138)</f>
      </c>
      <c r="D35" s="15"/>
      <c r="E35" s="20"/>
    </row>
    <row r="36">
      <c r="A36" s="25" t="str">
        <f>data!$E$22&amp;" "&amp;data!$B$22</f>
      </c>
    </row>
    <row r="37">
      <c r="A37" s="26" t="str">
        <f>data!$E$23&amp;" "&amp;data!$B$23</f>
      </c>
    </row>
    <row r="38">
      <c r="A38" s="27" t="str">
        <f>data!$E$24&amp;" "&amp;data!$B$24</f>
      </c>
    </row>
    <row r="39">
      <c r="A39" s="22"/>
    </row>
    <row r="40">
      <c r="A40" s="24" t="str">
        <f>'data'!$A$27</f>
      </c>
    </row>
    <row r="41">
      <c r="A41" s="25" t="str">
        <f>data!$E$25&amp;" "&amp;data!$B$25</f>
      </c>
    </row>
    <row r="42">
      <c r="A42" s="26" t="str">
        <f>data!$E$26&amp;" "&amp;data!$B$26</f>
      </c>
    </row>
    <row r="43">
      <c r="A43" s="27" t="str">
        <f>data!$E$27&amp;" "&amp;data!$B$27</f>
      </c>
    </row>
    <row r="44">
      <c r="A44"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c r="H1" s="13"/>
      <c r="I1" s="13"/>
      <c r="J1" s="13"/>
      <c r="K1" s="13"/>
    </row>
    <row r="4">
      <c r="A4" s="24" t="str">
        <f>'data'!$A$30</f>
      </c>
    </row>
    <row r="5">
      <c r="A5" s="25" t="str">
        <f>data!$E$28&amp;" "&amp;data!$B$28</f>
      </c>
      <c r="C5" s="23" t="str">
        <f>CONCATENATE("Pool I-1st ",'Pool Matches'!G154)</f>
      </c>
    </row>
    <row r="6">
      <c r="A6" s="26" t="str">
        <f>data!$E$29&amp;" "&amp;data!$B$29</f>
      </c>
      <c r="D6" s="22"/>
      <c r="E6" s="21">
        <v>9</v>
      </c>
    </row>
    <row r="7">
      <c r="A7" s="27" t="str">
        <f>data!$E$30&amp;" "&amp;data!$B$30</f>
      </c>
      <c r="C7" s="23" t="str">
        <f>CONCATENATE("Pool X-2nd ",'Pool Matches'!O155)</f>
      </c>
      <c r="D7" s="15"/>
      <c r="E7" s="20"/>
      <c r="F7" s="22"/>
      <c r="G7" s="20"/>
    </row>
    <row r="8">
      <c r="A8" s="22"/>
      <c r="G8" s="21">
        <v>33</v>
      </c>
    </row>
    <row r="9">
      <c r="A9" s="24" t="str">
        <f>'data'!$A$33</f>
      </c>
      <c r="C9" s="23" t="str">
        <f>CONCATENATE("Pool J-1st ",'Pool Matches'!G171)</f>
      </c>
      <c r="G9" s="20"/>
      <c r="H9" s="22"/>
      <c r="I9" s="20"/>
    </row>
    <row r="10">
      <c r="A10" s="25" t="str">
        <f>data!$E$31&amp;" "&amp;data!$B$31</f>
      </c>
      <c r="D10" s="22"/>
      <c r="E10" s="21">
        <v>10</v>
      </c>
      <c r="F10" s="15"/>
      <c r="G10" s="20"/>
      <c r="I10" s="20"/>
    </row>
    <row r="11">
      <c r="A11" s="26" t="str">
        <f>data!$E$32&amp;" "&amp;data!$B$32</f>
      </c>
      <c r="C11" s="23" t="str">
        <f>CONCATENATE("Pool Y-2nd ",'Pool Matches'!O172)</f>
      </c>
      <c r="D11" s="15"/>
      <c r="E11" s="20"/>
      <c r="I11" s="20"/>
    </row>
    <row r="12">
      <c r="A12" s="27" t="str">
        <f>data!$E$33&amp;" "&amp;data!$B$33</f>
      </c>
      <c r="I12" s="21">
        <v>47</v>
      </c>
    </row>
    <row r="13">
      <c r="A13" s="22"/>
      <c r="C13" s="23" t="str">
        <f>CONCATENATE("Pool K-1st ",'Pool Matches'!G188)</f>
      </c>
      <c r="I13" s="20"/>
      <c r="J13" s="22"/>
      <c r="K13" s="20"/>
    </row>
    <row r="14">
      <c r="A14" s="24" t="str">
        <f>'data'!$A$36</f>
      </c>
      <c r="D14" s="22"/>
      <c r="E14" s="21">
        <v>11</v>
      </c>
      <c r="I14" s="20"/>
      <c r="K14" s="20"/>
    </row>
    <row r="15">
      <c r="A15" s="25" t="str">
        <f>data!$E$34&amp;" "&amp;data!$B$34</f>
      </c>
      <c r="C15" s="23" t="str">
        <f>CONCATENATE("Pool Z-2nd ",'Pool Matches'!O189)</f>
      </c>
      <c r="D15" s="15"/>
      <c r="E15" s="20"/>
      <c r="F15" s="22"/>
      <c r="G15" s="20"/>
      <c r="I15" s="20"/>
      <c r="K15" s="20"/>
    </row>
    <row r="16">
      <c r="A16" s="26" t="str">
        <f>data!$E$35&amp;" "&amp;data!$B$35</f>
      </c>
      <c r="G16" s="21">
        <v>34</v>
      </c>
      <c r="H16" s="15"/>
      <c r="I16" s="20"/>
      <c r="K16" s="20"/>
    </row>
    <row r="17">
      <c r="A17" s="27" t="str">
        <f>data!$E$36&amp;" "&amp;data!$B$36</f>
      </c>
      <c r="C17" s="23" t="str">
        <f>CONCATENATE("Pool L-1st ",'Pool Matches'!G205)</f>
      </c>
      <c r="G17" s="20"/>
      <c r="K17" s="20"/>
    </row>
    <row r="18">
      <c r="A18" s="22"/>
      <c r="D18" s="22"/>
      <c r="E18" s="21">
        <v>12</v>
      </c>
      <c r="F18" s="15"/>
      <c r="G18" s="20"/>
      <c r="K18" s="20"/>
    </row>
    <row r="19">
      <c r="A19" s="24" t="str">
        <f>'data'!$A$39</f>
      </c>
      <c r="C19" s="23" t="str">
        <f>CONCATENATE("Pool AA-2nd ",'Pool Matches'!O206)</f>
      </c>
      <c r="D19" s="15"/>
      <c r="E19" s="20"/>
      <c r="K19" s="20"/>
    </row>
    <row r="20">
      <c r="A20" s="25" t="str">
        <f>data!$E$37&amp;" "&amp;data!$B$37</f>
      </c>
      <c r="K20" s="21">
        <v>54</v>
      </c>
    </row>
    <row r="21">
      <c r="A21" s="26" t="str">
        <f>data!$E$38&amp;" "&amp;data!$B$38</f>
      </c>
      <c r="C21" s="23" t="str">
        <f>CONCATENATE("Pool M-1st ",'Pool Matches'!G222)</f>
      </c>
      <c r="K21" s="20"/>
    </row>
    <row r="22">
      <c r="A22" s="27" t="str">
        <f>data!$E$39&amp;" "&amp;data!$B$39</f>
      </c>
      <c r="D22" s="22"/>
      <c r="E22" s="21">
        <v>13</v>
      </c>
      <c r="K22" s="20"/>
    </row>
    <row r="23">
      <c r="A23" s="22"/>
      <c r="C23" s="23" t="str">
        <f>CONCATENATE("Pool AB-2nd ",'Pool Matches'!O223)</f>
      </c>
      <c r="D23" s="15"/>
      <c r="E23" s="20"/>
      <c r="F23" s="22"/>
      <c r="G23" s="20"/>
      <c r="K23" s="20"/>
    </row>
    <row r="24">
      <c r="A24" s="24" t="str">
        <f>'data'!$A$42</f>
      </c>
      <c r="G24" s="21">
        <v>35</v>
      </c>
      <c r="K24" s="20"/>
    </row>
    <row r="25">
      <c r="A25" s="25" t="str">
        <f>data!$E$40&amp;" "&amp;data!$B$40</f>
      </c>
      <c r="C25" s="23" t="str">
        <f>CONCATENATE("Pool N-1st ",'Pool Matches'!G239)</f>
      </c>
      <c r="G25" s="20"/>
      <c r="H25" s="22"/>
      <c r="I25" s="20"/>
      <c r="K25" s="20"/>
    </row>
    <row r="26">
      <c r="A26" s="26" t="str">
        <f>data!$E$41&amp;" "&amp;data!$B$41</f>
      </c>
      <c r="D26" s="22"/>
      <c r="E26" s="21">
        <v>14</v>
      </c>
      <c r="F26" s="15"/>
      <c r="G26" s="20"/>
      <c r="I26" s="20"/>
      <c r="K26" s="20"/>
    </row>
    <row r="27">
      <c r="A27" s="27" t="str">
        <f>data!$E$42&amp;" "&amp;data!$B$42</f>
      </c>
      <c r="C27" s="23" t="str">
        <f>CONCATENATE("Pool AC-2nd ",'Pool Matches'!O240)</f>
      </c>
      <c r="D27" s="15"/>
      <c r="E27" s="20"/>
      <c r="I27" s="20"/>
      <c r="K27" s="20"/>
    </row>
    <row r="28">
      <c r="A28" s="22"/>
      <c r="I28" s="21">
        <v>48</v>
      </c>
      <c r="J28" s="15"/>
      <c r="K28" s="20"/>
    </row>
    <row r="29">
      <c r="A29" s="24" t="str">
        <f>'data'!$A$45</f>
      </c>
      <c r="I29" s="20"/>
    </row>
    <row r="30">
      <c r="A30" s="25" t="str">
        <f>data!$E$43&amp;" "&amp;data!$B$43</f>
      </c>
      <c r="C30" s="23"/>
      <c r="D30" s="23"/>
      <c r="E30" s="23" t="str">
        <f>CONCATENATE("Pool O-1st ",'Pool Matches'!G256)</f>
      </c>
      <c r="I30" s="20"/>
    </row>
    <row r="31">
      <c r="A31" s="26" t="str">
        <f>data!$E$44&amp;" "&amp;data!$B$44</f>
      </c>
      <c r="F31" s="22"/>
      <c r="G31" s="20"/>
      <c r="I31" s="20"/>
    </row>
    <row r="32">
      <c r="A32" s="27" t="str">
        <f>data!$E$45&amp;" "&amp;data!$B$45</f>
      </c>
      <c r="G32" s="21">
        <v>36</v>
      </c>
      <c r="H32" s="15"/>
      <c r="I32" s="20"/>
    </row>
    <row r="33">
      <c r="A33" s="22"/>
      <c r="G33" s="20"/>
    </row>
    <row r="34">
      <c r="A34" s="24" t="str">
        <f>'data'!$A$48</f>
      </c>
      <c r="C34" s="23"/>
      <c r="D34" s="23"/>
      <c r="E34" s="23" t="str">
        <f>CONCATENATE("Pool AD-2nd ",'Pool Matches'!O257)</f>
      </c>
      <c r="F34" s="15"/>
      <c r="G34" s="20"/>
    </row>
    <row r="35">
      <c r="A35" s="25" t="str">
        <f>data!$E$46&amp;" "&amp;data!$B$46</f>
      </c>
    </row>
    <row r="36">
      <c r="A36" s="26" t="str">
        <f>data!$E$47&amp;" "&amp;data!$B$47</f>
      </c>
    </row>
    <row r="37">
      <c r="A37" s="27" t="str">
        <f>data!$E$48&amp;" "&amp;data!$B$48</f>
      </c>
    </row>
    <row r="38">
      <c r="A38"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c r="H1" s="13"/>
      <c r="I1" s="13"/>
      <c r="J1" s="13"/>
      <c r="K1" s="13"/>
    </row>
    <row r="4">
      <c r="A4" s="24" t="str">
        <f>'data'!$A$51</f>
      </c>
    </row>
    <row r="5">
      <c r="A5" s="25" t="str">
        <f>data!$E$49&amp;" "&amp;data!$B$49</f>
      </c>
      <c r="C5" s="23" t="str">
        <f>CONCATENATE("Pool P-1st ",'Pool Matches'!O16)</f>
      </c>
    </row>
    <row r="6">
      <c r="A6" s="26" t="str">
        <f>data!$E$50&amp;" "&amp;data!$B$50</f>
      </c>
      <c r="D6" s="22"/>
      <c r="E6" s="21">
        <v>15</v>
      </c>
    </row>
    <row r="7">
      <c r="A7" s="27" t="str">
        <f>data!$E$51&amp;" "&amp;data!$B$51</f>
      </c>
      <c r="C7" s="23" t="str">
        <f>CONCATENATE("Pool A-2nd ",'Pool Matches'!G18)</f>
      </c>
      <c r="D7" s="15"/>
      <c r="E7" s="20"/>
      <c r="F7" s="22"/>
      <c r="G7" s="20"/>
    </row>
    <row r="8">
      <c r="A8" s="22"/>
      <c r="G8" s="21">
        <v>37</v>
      </c>
    </row>
    <row r="9">
      <c r="A9" s="24" t="str">
        <f>'data'!$A$54</f>
      </c>
      <c r="C9" s="23" t="str">
        <f>CONCATENATE("Pool Q-1st ",'Pool Matches'!O35)</f>
      </c>
      <c r="G9" s="20"/>
      <c r="H9" s="22"/>
      <c r="I9" s="20"/>
    </row>
    <row r="10">
      <c r="A10" s="25" t="str">
        <f>data!$E$52&amp;" "&amp;data!$B$52</f>
      </c>
      <c r="D10" s="22"/>
      <c r="E10" s="21">
        <v>16</v>
      </c>
      <c r="F10" s="15"/>
      <c r="G10" s="20"/>
      <c r="I10" s="20"/>
    </row>
    <row r="11">
      <c r="A11" s="26" t="str">
        <f>data!$E$53&amp;" "&amp;data!$B$53</f>
      </c>
      <c r="C11" s="23" t="str">
        <f>CONCATENATE("Pool B-2nd ",'Pool Matches'!G36)</f>
      </c>
      <c r="D11" s="15"/>
      <c r="E11" s="20"/>
      <c r="I11" s="20"/>
    </row>
    <row r="12">
      <c r="A12" s="27" t="str">
        <f>data!$E$54&amp;" "&amp;data!$B$54</f>
      </c>
      <c r="I12" s="21">
        <v>49</v>
      </c>
    </row>
    <row r="13">
      <c r="A13" s="22"/>
      <c r="C13" s="23" t="str">
        <f>CONCATENATE("Pool R-1st ",'Pool Matches'!O52)</f>
      </c>
      <c r="I13" s="20"/>
      <c r="J13" s="22"/>
      <c r="K13" s="20"/>
    </row>
    <row r="14">
      <c r="A14" s="24" t="str">
        <f>'data'!$A$57</f>
      </c>
      <c r="D14" s="22"/>
      <c r="E14" s="21">
        <v>17</v>
      </c>
      <c r="I14" s="20"/>
      <c r="K14" s="20"/>
    </row>
    <row r="15">
      <c r="A15" s="25" t="str">
        <f>data!$E$55&amp;" "&amp;data!$B$55</f>
      </c>
      <c r="C15" s="23" t="str">
        <f>CONCATENATE("Pool C-2nd ",'Pool Matches'!G53)</f>
      </c>
      <c r="D15" s="15"/>
      <c r="E15" s="20"/>
      <c r="F15" s="22"/>
      <c r="G15" s="20"/>
      <c r="I15" s="20"/>
      <c r="K15" s="20"/>
    </row>
    <row r="16">
      <c r="A16" s="26" t="str">
        <f>data!$E$56&amp;" "&amp;data!$B$56</f>
      </c>
      <c r="G16" s="21">
        <v>38</v>
      </c>
      <c r="H16" s="15"/>
      <c r="I16" s="20"/>
      <c r="K16" s="20"/>
    </row>
    <row r="17">
      <c r="A17" s="27" t="str">
        <f>data!$E$57&amp;" "&amp;data!$B$57</f>
      </c>
      <c r="C17" s="23" t="str">
        <f>CONCATENATE("Pool S-1st ",'Pool Matches'!O69)</f>
      </c>
      <c r="G17" s="20"/>
      <c r="K17" s="20"/>
    </row>
    <row r="18">
      <c r="A18" s="22"/>
      <c r="D18" s="22"/>
      <c r="E18" s="21">
        <v>18</v>
      </c>
      <c r="F18" s="15"/>
      <c r="G18" s="20"/>
      <c r="K18" s="20"/>
    </row>
    <row r="19">
      <c r="A19" s="24" t="str">
        <f>'data'!$A$60</f>
      </c>
      <c r="C19" s="23" t="str">
        <f>CONCATENATE("Pool D-2nd ",'Pool Matches'!G70)</f>
      </c>
      <c r="D19" s="15"/>
      <c r="E19" s="20"/>
      <c r="K19" s="20"/>
    </row>
    <row r="20">
      <c r="A20" s="25" t="str">
        <f>data!$E$58&amp;" "&amp;data!$B$58</f>
      </c>
      <c r="K20" s="21">
        <v>55</v>
      </c>
    </row>
    <row r="21">
      <c r="A21" s="26" t="str">
        <f>data!$E$59&amp;" "&amp;data!$B$59</f>
      </c>
      <c r="C21" s="23" t="str">
        <f>CONCATENATE("Pool T-1st ",'Pool Matches'!O86)</f>
      </c>
      <c r="K21" s="20"/>
    </row>
    <row r="22">
      <c r="A22" s="27" t="str">
        <f>data!$E$60&amp;" "&amp;data!$B$60</f>
      </c>
      <c r="D22" s="22"/>
      <c r="E22" s="21">
        <v>19</v>
      </c>
      <c r="K22" s="20"/>
    </row>
    <row r="23">
      <c r="A23" s="22"/>
      <c r="C23" s="23" t="str">
        <f>CONCATENATE("Pool E-2nd ",'Pool Matches'!G87)</f>
      </c>
      <c r="D23" s="15"/>
      <c r="E23" s="20"/>
      <c r="F23" s="22"/>
      <c r="G23" s="20"/>
      <c r="K23" s="20"/>
    </row>
    <row r="24">
      <c r="A24" s="24" t="str">
        <f>'data'!$A$63</f>
      </c>
      <c r="G24" s="21">
        <v>39</v>
      </c>
      <c r="K24" s="20"/>
    </row>
    <row r="25">
      <c r="A25" s="25" t="str">
        <f>data!$E$61&amp;" "&amp;data!$B$61</f>
      </c>
      <c r="C25" s="23" t="str">
        <f>CONCATENATE("Pool U-1st ",'Pool Matches'!O103)</f>
      </c>
      <c r="G25" s="20"/>
      <c r="H25" s="22"/>
      <c r="I25" s="20"/>
      <c r="K25" s="20"/>
    </row>
    <row r="26">
      <c r="A26" s="26" t="str">
        <f>data!$E$62&amp;" "&amp;data!$B$62</f>
      </c>
      <c r="D26" s="22"/>
      <c r="E26" s="21">
        <v>20</v>
      </c>
      <c r="F26" s="15"/>
      <c r="G26" s="20"/>
      <c r="I26" s="20"/>
      <c r="K26" s="20"/>
    </row>
    <row r="27">
      <c r="A27" s="27" t="str">
        <f>data!$E$63&amp;" "&amp;data!$B$63</f>
      </c>
      <c r="C27" s="23" t="str">
        <f>CONCATENATE("Pool F-2nd ",'Pool Matches'!G104)</f>
      </c>
      <c r="D27" s="15"/>
      <c r="E27" s="20"/>
      <c r="I27" s="20"/>
      <c r="K27" s="20"/>
    </row>
    <row r="28">
      <c r="A28" s="22"/>
      <c r="I28" s="21">
        <v>50</v>
      </c>
      <c r="J28" s="15"/>
      <c r="K28" s="20"/>
    </row>
    <row r="29">
      <c r="A29" s="24" t="str">
        <f>'data'!$A$66</f>
      </c>
      <c r="C29" s="23" t="str">
        <f>CONCATENATE("Pool V-1st ",'Pool Matches'!O120)</f>
      </c>
      <c r="I29" s="20"/>
    </row>
    <row r="30">
      <c r="A30" s="25" t="str">
        <f>data!$E$64&amp;" "&amp;data!$B$64</f>
      </c>
      <c r="D30" s="22"/>
      <c r="E30" s="21">
        <v>21</v>
      </c>
      <c r="I30" s="20"/>
    </row>
    <row r="31">
      <c r="A31" s="26" t="str">
        <f>data!$E$65&amp;" "&amp;data!$B$65</f>
      </c>
      <c r="C31" s="23" t="str">
        <f>CONCATENATE("Pool G-2nd ",'Pool Matches'!G121)</f>
      </c>
      <c r="D31" s="15"/>
      <c r="E31" s="20"/>
      <c r="F31" s="22"/>
      <c r="G31" s="20"/>
      <c r="I31" s="20"/>
    </row>
    <row r="32">
      <c r="A32" s="27" t="str">
        <f>data!$E$66&amp;" "&amp;data!$B$66</f>
      </c>
      <c r="G32" s="21">
        <v>40</v>
      </c>
      <c r="H32" s="15"/>
      <c r="I32" s="20"/>
    </row>
    <row r="33">
      <c r="A33" s="22"/>
      <c r="C33" s="23" t="str">
        <f>CONCATENATE("Pool W-1st ",'Pool Matches'!O137)</f>
      </c>
      <c r="G33" s="20"/>
    </row>
    <row r="34">
      <c r="A34" s="24" t="str">
        <f>'data'!$A$69</f>
      </c>
      <c r="D34" s="22"/>
      <c r="E34" s="21">
        <v>22</v>
      </c>
      <c r="F34" s="15"/>
      <c r="G34" s="20"/>
    </row>
    <row r="35">
      <c r="A35" s="25" t="str">
        <f>data!$E$67&amp;" "&amp;data!$B$67</f>
      </c>
      <c r="C35" s="23" t="str">
        <f>CONCATENATE("Pool H-2nd ",'Pool Matches'!G138)</f>
      </c>
      <c r="D35" s="15"/>
      <c r="E35" s="20"/>
    </row>
    <row r="36">
      <c r="A36" s="26" t="str">
        <f>data!$E$68&amp;" "&amp;data!$B$68</f>
      </c>
    </row>
    <row r="37">
      <c r="A37" s="27" t="str">
        <f>data!$E$69&amp;" "&amp;data!$B$69</f>
      </c>
    </row>
    <row r="38">
      <c r="A38" s="22"/>
    </row>
    <row r="39">
      <c r="A39" s="24" t="str">
        <f>'data'!$A$72</f>
      </c>
    </row>
    <row r="40">
      <c r="A40" s="25" t="str">
        <f>data!$E$70&amp;" "&amp;data!$B$70</f>
      </c>
    </row>
    <row r="41">
      <c r="A41" s="26" t="str">
        <f>data!$E$71&amp;" "&amp;data!$B$71</f>
      </c>
    </row>
    <row r="42">
      <c r="A42" s="27" t="str">
        <f>data!$E$72&amp;" "&amp;data!$B$72</f>
      </c>
    </row>
    <row r="43">
      <c r="A4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1.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c r="H1" s="13"/>
      <c r="I1" s="13"/>
      <c r="J1" s="13"/>
      <c r="K1" s="13"/>
    </row>
    <row r="4">
      <c r="A4" s="24" t="str">
        <f>'data'!$A$75</f>
      </c>
    </row>
    <row r="5">
      <c r="A5" s="25" t="str">
        <f>data!$E$73&amp;" "&amp;data!$B$73</f>
      </c>
      <c r="C5" s="23" t="str">
        <f>CONCATENATE("Pool X-1st ",'Pool Matches'!O154)</f>
      </c>
    </row>
    <row r="6">
      <c r="A6" s="26" t="str">
        <f>data!$E$74&amp;" "&amp;data!$B$74</f>
      </c>
      <c r="D6" s="22"/>
      <c r="E6" s="21">
        <v>23</v>
      </c>
    </row>
    <row r="7">
      <c r="A7" s="27" t="str">
        <f>data!$E$75&amp;" "&amp;data!$B$75</f>
      </c>
      <c r="C7" s="23" t="str">
        <f>CONCATENATE("Pool I-2nd ",'Pool Matches'!G155)</f>
      </c>
      <c r="D7" s="15"/>
      <c r="E7" s="20"/>
      <c r="F7" s="22"/>
      <c r="G7" s="20"/>
    </row>
    <row r="8">
      <c r="A8" s="22"/>
      <c r="G8" s="21">
        <v>41</v>
      </c>
    </row>
    <row r="9">
      <c r="A9" s="24" t="str">
        <f>'data'!$A$78</f>
      </c>
      <c r="C9" s="23" t="str">
        <f>CONCATENATE("Pool Y-1st ",'Pool Matches'!O171)</f>
      </c>
      <c r="G9" s="20"/>
      <c r="H9" s="22"/>
      <c r="I9" s="20"/>
    </row>
    <row r="10">
      <c r="A10" s="25" t="str">
        <f>data!$E$76&amp;" "&amp;data!$B$76</f>
      </c>
      <c r="D10" s="22"/>
      <c r="E10" s="21">
        <v>24</v>
      </c>
      <c r="F10" s="15"/>
      <c r="G10" s="20"/>
      <c r="I10" s="20"/>
    </row>
    <row r="11">
      <c r="A11" s="26" t="str">
        <f>data!$E$77&amp;" "&amp;data!$B$77</f>
      </c>
      <c r="C11" s="23" t="str">
        <f>CONCATENATE("Pool J-2nd ",'Pool Matches'!G172)</f>
      </c>
      <c r="D11" s="15"/>
      <c r="E11" s="20"/>
      <c r="I11" s="20"/>
    </row>
    <row r="12">
      <c r="A12" s="27" t="str">
        <f>data!$E$78&amp;" "&amp;data!$B$78</f>
      </c>
      <c r="I12" s="21">
        <v>51</v>
      </c>
    </row>
    <row r="13">
      <c r="A13" s="22"/>
      <c r="C13" s="23" t="str">
        <f>CONCATENATE("Pool Z-1st ",'Pool Matches'!O188)</f>
      </c>
      <c r="I13" s="20"/>
      <c r="J13" s="22"/>
      <c r="K13" s="20"/>
    </row>
    <row r="14">
      <c r="A14" s="24" t="str">
        <f>'data'!$A$81</f>
      </c>
      <c r="D14" s="22"/>
      <c r="E14" s="21">
        <v>25</v>
      </c>
      <c r="I14" s="20"/>
      <c r="K14" s="20"/>
    </row>
    <row r="15">
      <c r="A15" s="25" t="str">
        <f>data!$E$79&amp;" "&amp;data!$B$79</f>
      </c>
      <c r="C15" s="23" t="str">
        <f>CONCATENATE("Pool K-2nd ",'Pool Matches'!G189)</f>
      </c>
      <c r="D15" s="15"/>
      <c r="E15" s="20"/>
      <c r="F15" s="22"/>
      <c r="G15" s="20"/>
      <c r="I15" s="20"/>
      <c r="K15" s="20"/>
    </row>
    <row r="16">
      <c r="A16" s="26" t="str">
        <f>data!$E$80&amp;" "&amp;data!$B$80</f>
      </c>
      <c r="G16" s="21">
        <v>42</v>
      </c>
      <c r="H16" s="15"/>
      <c r="I16" s="20"/>
      <c r="K16" s="20"/>
    </row>
    <row r="17">
      <c r="A17" s="27" t="str">
        <f>data!$E$81&amp;" "&amp;data!$B$81</f>
      </c>
      <c r="C17" s="23" t="str">
        <f>CONCATENATE("Pool AA-1st ",'Pool Matches'!O205)</f>
      </c>
      <c r="G17" s="20"/>
      <c r="K17" s="20"/>
    </row>
    <row r="18">
      <c r="A18" s="22"/>
      <c r="D18" s="22"/>
      <c r="E18" s="21">
        <v>26</v>
      </c>
      <c r="F18" s="15"/>
      <c r="G18" s="20"/>
      <c r="K18" s="20"/>
    </row>
    <row r="19">
      <c r="A19" s="24" t="str">
        <f>'data'!$A$84</f>
      </c>
      <c r="C19" s="23" t="str">
        <f>CONCATENATE("Pool L-2nd ",'Pool Matches'!G206)</f>
      </c>
      <c r="D19" s="15"/>
      <c r="E19" s="20"/>
      <c r="K19" s="20"/>
    </row>
    <row r="20">
      <c r="A20" s="25" t="str">
        <f>data!$E$82&amp;" "&amp;data!$B$82</f>
      </c>
      <c r="K20" s="21">
        <v>56</v>
      </c>
    </row>
    <row r="21">
      <c r="A21" s="26" t="str">
        <f>data!$E$83&amp;" "&amp;data!$B$83</f>
      </c>
      <c r="C21" s="23" t="str">
        <f>CONCATENATE("Pool AB-1st ",'Pool Matches'!O222)</f>
      </c>
      <c r="K21" s="20"/>
    </row>
    <row r="22">
      <c r="A22" s="27" t="str">
        <f>data!$E$84&amp;" "&amp;data!$B$84</f>
      </c>
      <c r="D22" s="22"/>
      <c r="E22" s="21">
        <v>27</v>
      </c>
      <c r="K22" s="20"/>
    </row>
    <row r="23">
      <c r="A23" s="22"/>
      <c r="C23" s="23" t="str">
        <f>CONCATENATE("Pool M-2nd ",'Pool Matches'!G223)</f>
      </c>
      <c r="D23" s="15"/>
      <c r="E23" s="20"/>
      <c r="F23" s="22"/>
      <c r="G23" s="20"/>
      <c r="K23" s="20"/>
    </row>
    <row r="24">
      <c r="A24" s="24" t="str">
        <f>'data'!$A$87</f>
      </c>
      <c r="G24" s="21">
        <v>43</v>
      </c>
      <c r="K24" s="20"/>
    </row>
    <row r="25">
      <c r="A25" s="25" t="str">
        <f>data!$E$85&amp;" "&amp;data!$B$85</f>
      </c>
      <c r="C25" s="23" t="str">
        <f>CONCATENATE("Pool AC-1st ",'Pool Matches'!O239)</f>
      </c>
      <c r="G25" s="20"/>
      <c r="H25" s="22"/>
      <c r="I25" s="20"/>
      <c r="K25" s="20"/>
    </row>
    <row r="26">
      <c r="A26" s="26" t="str">
        <f>data!$E$86&amp;" "&amp;data!$B$86</f>
      </c>
      <c r="D26" s="22"/>
      <c r="E26" s="21">
        <v>28</v>
      </c>
      <c r="F26" s="15"/>
      <c r="G26" s="20"/>
      <c r="I26" s="20"/>
      <c r="K26" s="20"/>
    </row>
    <row r="27">
      <c r="A27" s="27" t="str">
        <f>data!$E$87&amp;" "&amp;data!$B$87</f>
      </c>
      <c r="C27" s="23" t="str">
        <f>CONCATENATE("Pool N-2nd ",'Pool Matches'!G240)</f>
      </c>
      <c r="D27" s="15"/>
      <c r="E27" s="20"/>
      <c r="I27" s="20"/>
      <c r="K27" s="20"/>
    </row>
    <row r="28">
      <c r="A28" s="22"/>
      <c r="I28" s="21">
        <v>52</v>
      </c>
      <c r="J28" s="15"/>
      <c r="K28" s="20"/>
    </row>
    <row r="29">
      <c r="A29" s="24" t="str">
        <f>'data'!$A$90</f>
      </c>
      <c r="I29" s="20"/>
    </row>
    <row r="30">
      <c r="A30" s="25" t="str">
        <f>data!$E$88&amp;" "&amp;data!$B$88</f>
      </c>
      <c r="C30" s="23"/>
      <c r="D30" s="23"/>
      <c r="E30" s="23" t="str">
        <f>CONCATENATE("Pool AD-1st ",'Pool Matches'!O256)</f>
      </c>
      <c r="I30" s="20"/>
    </row>
    <row r="31">
      <c r="A31" s="26" t="str">
        <f>data!$E$89&amp;" "&amp;data!$B$89</f>
      </c>
      <c r="F31" s="22"/>
      <c r="G31" s="20"/>
      <c r="I31" s="20"/>
    </row>
    <row r="32">
      <c r="A32" s="27" t="str">
        <f>data!$E$90&amp;" "&amp;data!$B$90</f>
      </c>
      <c r="G32" s="21">
        <v>44</v>
      </c>
      <c r="H32" s="15"/>
      <c r="I32" s="20"/>
    </row>
    <row r="33">
      <c r="A33" s="22"/>
      <c r="G33" s="20"/>
    </row>
    <row r="34">
      <c r="A34" s="24" t="str">
        <f>'data'!$A$93</f>
      </c>
      <c r="C34" s="23"/>
      <c r="D34" s="23"/>
      <c r="E34" s="23" t="str">
        <f>CONCATENATE("Pool O-2nd ",'Pool Matches'!G257)</f>
      </c>
      <c r="F34" s="15"/>
      <c r="G34" s="20"/>
    </row>
    <row r="35">
      <c r="A35" s="25" t="str">
        <f>data!$E$91&amp;" "&amp;data!$B$91</f>
      </c>
    </row>
    <row r="36">
      <c r="A36" s="26" t="str">
        <f>data!$E$92&amp;" "&amp;data!$B$92</f>
      </c>
    </row>
    <row r="37">
      <c r="A37" s="27" t="str">
        <f>data!$E$93&amp;" "&amp;data!$B$93</f>
      </c>
    </row>
    <row r="38">
      <c r="A38"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2.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'data'!$E$3</f>
      </c>
      <c r="B1" s="29" t="str">
        <f>'data'!D3</f>
      </c>
    </row>
    <row r="2" ht="270" customHeight="true">
      <c r="A2" s="28" t="str">
        <f>'data'!$E$4</f>
      </c>
      <c r="B2" s="29" t="str">
        <f>'data'!D4</f>
      </c>
    </row>
    <row r="3" ht="270" customHeight="true">
      <c r="A3" s="28" t="str">
        <f>'data'!$E$5</f>
      </c>
      <c r="B3" s="29" t="str">
        <f>'data'!D5</f>
      </c>
    </row>
    <row r="4" ht="270" customHeight="true">
      <c r="A4" s="28" t="str">
        <f>'data'!$E$6</f>
      </c>
      <c r="B4" s="29" t="str">
        <f>'data'!D6</f>
      </c>
    </row>
    <row r="5" ht="270" customHeight="true">
      <c r="A5" s="28" t="str">
        <f>'data'!$E$7</f>
      </c>
      <c r="B5" s="29" t="str">
        <f>'data'!D7</f>
      </c>
    </row>
    <row r="6" ht="270" customHeight="true">
      <c r="A6" s="28" t="str">
        <f>'data'!$E$8</f>
      </c>
      <c r="B6" s="29" t="str">
        <f>'data'!D8</f>
      </c>
    </row>
    <row r="7" ht="270" customHeight="true">
      <c r="A7" s="28" t="str">
        <f>'data'!$E$9</f>
      </c>
      <c r="B7" s="29" t="str">
        <f>'data'!D9</f>
      </c>
    </row>
    <row r="8" ht="270" customHeight="true">
      <c r="A8" s="28" t="str">
        <f>'data'!$E$10</f>
      </c>
      <c r="B8" s="29" t="str">
        <f>'data'!D10</f>
      </c>
    </row>
    <row r="9" ht="270" customHeight="true">
      <c r="A9" s="28" t="str">
        <f>'data'!$E$11</f>
      </c>
      <c r="B9" s="29" t="str">
        <f>'data'!D11</f>
      </c>
    </row>
    <row r="10" ht="270" customHeight="true">
      <c r="A10" s="28" t="str">
        <f>'data'!$E$12</f>
      </c>
      <c r="B10" s="29" t="str">
        <f>'data'!D12</f>
      </c>
    </row>
    <row r="11" ht="270" customHeight="true">
      <c r="A11" s="28" t="str">
        <f>'data'!$E$13</f>
      </c>
      <c r="B11" s="29" t="str">
        <f>'data'!D13</f>
      </c>
    </row>
    <row r="12" ht="270" customHeight="true">
      <c r="A12" s="28" t="str">
        <f>'data'!$E$14</f>
      </c>
      <c r="B12" s="29" t="str">
        <f>'data'!D14</f>
      </c>
    </row>
    <row r="13" ht="270" customHeight="true">
      <c r="A13" s="28" t="str">
        <f>'data'!$E$15</f>
      </c>
      <c r="B13" s="29" t="str">
        <f>'data'!D15</f>
      </c>
    </row>
    <row r="14" ht="270" customHeight="true">
      <c r="A14" s="28" t="str">
        <f>'data'!$E$16</f>
      </c>
      <c r="B14" s="29" t="str">
        <f>'data'!D16</f>
      </c>
    </row>
    <row r="15" ht="270" customHeight="true">
      <c r="A15" s="28" t="str">
        <f>'data'!$E$17</f>
      </c>
      <c r="B15" s="29" t="str">
        <f>'data'!D17</f>
      </c>
    </row>
    <row r="16" ht="270" customHeight="true">
      <c r="A16" s="28" t="str">
        <f>'data'!$E$18</f>
      </c>
      <c r="B16" s="29" t="str">
        <f>'data'!D18</f>
      </c>
    </row>
    <row r="17" ht="270" customHeight="true">
      <c r="A17" s="28" t="str">
        <f>'data'!$E$19</f>
      </c>
      <c r="B17" s="29" t="str">
        <f>'data'!D19</f>
      </c>
    </row>
    <row r="18" ht="270" customHeight="true">
      <c r="A18" s="28" t="str">
        <f>'data'!$E$20</f>
      </c>
      <c r="B18" s="29" t="str">
        <f>'data'!D20</f>
      </c>
    </row>
    <row r="19" ht="270" customHeight="true">
      <c r="A19" s="28" t="str">
        <f>'data'!$E$21</f>
      </c>
      <c r="B19" s="29" t="str">
        <f>'data'!D21</f>
      </c>
    </row>
    <row r="20" ht="270" customHeight="true">
      <c r="A20" s="28" t="str">
        <f>'data'!$E$22</f>
      </c>
      <c r="B20" s="29" t="str">
        <f>'data'!D22</f>
      </c>
    </row>
    <row r="21" ht="270" customHeight="true">
      <c r="A21" s="28" t="str">
        <f>'data'!$E$23</f>
      </c>
      <c r="B21" s="29" t="str">
        <f>'data'!D23</f>
      </c>
    </row>
    <row r="22" ht="270" customHeight="true">
      <c r="A22" s="28" t="str">
        <f>'data'!$E$24</f>
      </c>
      <c r="B22" s="29" t="str">
        <f>'data'!D24</f>
      </c>
    </row>
    <row r="23" ht="270" customHeight="true">
      <c r="A23" s="28" t="str">
        <f>'data'!$E$25</f>
      </c>
      <c r="B23" s="29" t="str">
        <f>'data'!D25</f>
      </c>
    </row>
    <row r="24" ht="270" customHeight="true">
      <c r="A24" s="28" t="str">
        <f>'data'!$E$26</f>
      </c>
      <c r="B24" s="29" t="str">
        <f>'data'!D26</f>
      </c>
    </row>
    <row r="25" ht="270" customHeight="true">
      <c r="A25" s="28" t="str">
        <f>'data'!$E$27</f>
      </c>
      <c r="B25" s="29" t="str">
        <f>'data'!D27</f>
      </c>
    </row>
    <row r="26" ht="270" customHeight="true">
      <c r="A26" s="28" t="str">
        <f>'data'!$E$28</f>
      </c>
      <c r="B26" s="29" t="str">
        <f>'data'!D28</f>
      </c>
    </row>
    <row r="27" ht="270" customHeight="true">
      <c r="A27" s="28" t="str">
        <f>'data'!$E$29</f>
      </c>
      <c r="B27" s="29" t="str">
        <f>'data'!D29</f>
      </c>
    </row>
    <row r="28" ht="270" customHeight="true">
      <c r="A28" s="28" t="str">
        <f>'data'!$E$30</f>
      </c>
      <c r="B28" s="29" t="str">
        <f>'data'!D30</f>
      </c>
    </row>
    <row r="29" ht="270" customHeight="true">
      <c r="A29" s="28" t="str">
        <f>'data'!$E$31</f>
      </c>
      <c r="B29" s="29" t="str">
        <f>'data'!D31</f>
      </c>
    </row>
    <row r="30" ht="270" customHeight="true">
      <c r="A30" s="28" t="str">
        <f>'data'!$E$32</f>
      </c>
      <c r="B30" s="29" t="str">
        <f>'data'!D32</f>
      </c>
    </row>
    <row r="31" ht="270" customHeight="true">
      <c r="A31" s="28" t="str">
        <f>'data'!$E$33</f>
      </c>
      <c r="B31" s="29" t="str">
        <f>'data'!D33</f>
      </c>
    </row>
    <row r="32" ht="270" customHeight="true">
      <c r="A32" s="28" t="str">
        <f>'data'!$E$34</f>
      </c>
      <c r="B32" s="29" t="str">
        <f>'data'!D34</f>
      </c>
    </row>
    <row r="33" ht="270" customHeight="true">
      <c r="A33" s="28" t="str">
        <f>'data'!$E$35</f>
      </c>
      <c r="B33" s="29" t="str">
        <f>'data'!D35</f>
      </c>
    </row>
    <row r="34" ht="270" customHeight="true">
      <c r="A34" s="28" t="str">
        <f>'data'!$E$36</f>
      </c>
      <c r="B34" s="29" t="str">
        <f>'data'!D36</f>
      </c>
    </row>
    <row r="35" ht="270" customHeight="true">
      <c r="A35" s="28" t="str">
        <f>'data'!$E$37</f>
      </c>
      <c r="B35" s="29" t="str">
        <f>'data'!D37</f>
      </c>
    </row>
    <row r="36" ht="270" customHeight="true">
      <c r="A36" s="28" t="str">
        <f>'data'!$E$38</f>
      </c>
      <c r="B36" s="29" t="str">
        <f>'data'!D38</f>
      </c>
    </row>
    <row r="37" ht="270" customHeight="true">
      <c r="A37" s="28" t="str">
        <f>'data'!$E$39</f>
      </c>
      <c r="B37" s="29" t="str">
        <f>'data'!D39</f>
      </c>
    </row>
    <row r="38" ht="270" customHeight="true">
      <c r="A38" s="28" t="str">
        <f>'data'!$E$40</f>
      </c>
      <c r="B38" s="29" t="str">
        <f>'data'!D40</f>
      </c>
    </row>
    <row r="39" ht="270" customHeight="true">
      <c r="A39" s="28" t="str">
        <f>'data'!$E$41</f>
      </c>
      <c r="B39" s="29" t="str">
        <f>'data'!D41</f>
      </c>
    </row>
    <row r="40" ht="270" customHeight="true">
      <c r="A40" s="28" t="str">
        <f>'data'!$E$42</f>
      </c>
      <c r="B40" s="29" t="str">
        <f>'data'!D42</f>
      </c>
    </row>
    <row r="41" ht="270" customHeight="true">
      <c r="A41" s="28" t="str">
        <f>'data'!$E$43</f>
      </c>
      <c r="B41" s="29" t="str">
        <f>'data'!D43</f>
      </c>
    </row>
    <row r="42" ht="270" customHeight="true">
      <c r="A42" s="28" t="str">
        <f>'data'!$E$44</f>
      </c>
      <c r="B42" s="29" t="str">
        <f>'data'!D44</f>
      </c>
    </row>
    <row r="43" ht="270" customHeight="true">
      <c r="A43" s="28" t="str">
        <f>'data'!$E$45</f>
      </c>
      <c r="B43" s="29" t="str">
        <f>'data'!D45</f>
      </c>
    </row>
    <row r="44" ht="270" customHeight="true">
      <c r="A44" s="28" t="str">
        <f>'data'!$E$46</f>
      </c>
      <c r="B44" s="29" t="str">
        <f>'data'!D46</f>
      </c>
    </row>
    <row r="45" ht="270" customHeight="true">
      <c r="A45" s="28" t="str">
        <f>'data'!$E$47</f>
      </c>
      <c r="B45" s="29" t="str">
        <f>'data'!D47</f>
      </c>
    </row>
    <row r="46" ht="270" customHeight="true">
      <c r="A46" s="28" t="str">
        <f>'data'!$E$48</f>
      </c>
      <c r="B46" s="29" t="str">
        <f>'data'!D48</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xl/worksheets/sheet13.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'data'!$E$49</f>
      </c>
      <c r="B1" s="29" t="str">
        <f>'data'!D49</f>
      </c>
    </row>
    <row r="2" ht="270" customHeight="true">
      <c r="A2" s="28" t="str">
        <f>'data'!$E$50</f>
      </c>
      <c r="B2" s="29" t="str">
        <f>'data'!D50</f>
      </c>
    </row>
    <row r="3" ht="270" customHeight="true">
      <c r="A3" s="28" t="str">
        <f>'data'!$E$51</f>
      </c>
      <c r="B3" s="29" t="str">
        <f>'data'!D51</f>
      </c>
    </row>
    <row r="4" ht="270" customHeight="true">
      <c r="A4" s="28" t="str">
        <f>'data'!$E$52</f>
      </c>
      <c r="B4" s="29" t="str">
        <f>'data'!D52</f>
      </c>
    </row>
    <row r="5" ht="270" customHeight="true">
      <c r="A5" s="28" t="str">
        <f>'data'!$E$53</f>
      </c>
      <c r="B5" s="29" t="str">
        <f>'data'!D53</f>
      </c>
    </row>
    <row r="6" ht="270" customHeight="true">
      <c r="A6" s="28" t="str">
        <f>'data'!$E$54</f>
      </c>
      <c r="B6" s="29" t="str">
        <f>'data'!D54</f>
      </c>
    </row>
    <row r="7" ht="270" customHeight="true">
      <c r="A7" s="28" t="str">
        <f>'data'!$E$55</f>
      </c>
      <c r="B7" s="29" t="str">
        <f>'data'!D55</f>
      </c>
    </row>
    <row r="8" ht="270" customHeight="true">
      <c r="A8" s="28" t="str">
        <f>'data'!$E$56</f>
      </c>
      <c r="B8" s="29" t="str">
        <f>'data'!D56</f>
      </c>
    </row>
    <row r="9" ht="270" customHeight="true">
      <c r="A9" s="28" t="str">
        <f>'data'!$E$57</f>
      </c>
      <c r="B9" s="29" t="str">
        <f>'data'!D57</f>
      </c>
    </row>
    <row r="10" ht="270" customHeight="true">
      <c r="A10" s="28" t="str">
        <f>'data'!$E$58</f>
      </c>
      <c r="B10" s="29" t="str">
        <f>'data'!D58</f>
      </c>
    </row>
    <row r="11" ht="270" customHeight="true">
      <c r="A11" s="28" t="str">
        <f>'data'!$E$59</f>
      </c>
      <c r="B11" s="29" t="str">
        <f>'data'!D59</f>
      </c>
    </row>
    <row r="12" ht="270" customHeight="true">
      <c r="A12" s="28" t="str">
        <f>'data'!$E$60</f>
      </c>
      <c r="B12" s="29" t="str">
        <f>'data'!D60</f>
      </c>
    </row>
    <row r="13" ht="270" customHeight="true">
      <c r="A13" s="28" t="str">
        <f>'data'!$E$61</f>
      </c>
      <c r="B13" s="29" t="str">
        <f>'data'!D61</f>
      </c>
    </row>
    <row r="14" ht="270" customHeight="true">
      <c r="A14" s="28" t="str">
        <f>'data'!$E$62</f>
      </c>
      <c r="B14" s="29" t="str">
        <f>'data'!D62</f>
      </c>
    </row>
    <row r="15" ht="270" customHeight="true">
      <c r="A15" s="28" t="str">
        <f>'data'!$E$63</f>
      </c>
      <c r="B15" s="29" t="str">
        <f>'data'!D63</f>
      </c>
    </row>
    <row r="16" ht="270" customHeight="true">
      <c r="A16" s="28" t="str">
        <f>'data'!$E$64</f>
      </c>
      <c r="B16" s="29" t="str">
        <f>'data'!D64</f>
      </c>
    </row>
    <row r="17" ht="270" customHeight="true">
      <c r="A17" s="28" t="str">
        <f>'data'!$E$65</f>
      </c>
      <c r="B17" s="29" t="str">
        <f>'data'!D65</f>
      </c>
    </row>
    <row r="18" ht="270" customHeight="true">
      <c r="A18" s="28" t="str">
        <f>'data'!$E$66</f>
      </c>
      <c r="B18" s="29" t="str">
        <f>'data'!D66</f>
      </c>
    </row>
    <row r="19" ht="270" customHeight="true">
      <c r="A19" s="28" t="str">
        <f>'data'!$E$67</f>
      </c>
      <c r="B19" s="29" t="str">
        <f>'data'!D67</f>
      </c>
    </row>
    <row r="20" ht="270" customHeight="true">
      <c r="A20" s="28" t="str">
        <f>'data'!$E$68</f>
      </c>
      <c r="B20" s="29" t="str">
        <f>'data'!D68</f>
      </c>
    </row>
    <row r="21" ht="270" customHeight="true">
      <c r="A21" s="28" t="str">
        <f>'data'!$E$69</f>
      </c>
      <c r="B21" s="29" t="str">
        <f>'data'!D69</f>
      </c>
    </row>
    <row r="22" ht="270" customHeight="true">
      <c r="A22" s="28" t="str">
        <f>'data'!$E$70</f>
      </c>
      <c r="B22" s="29" t="str">
        <f>'data'!D70</f>
      </c>
    </row>
    <row r="23" ht="270" customHeight="true">
      <c r="A23" s="28" t="str">
        <f>'data'!$E$71</f>
      </c>
      <c r="B23" s="29" t="str">
        <f>'data'!D71</f>
      </c>
    </row>
    <row r="24" ht="270" customHeight="true">
      <c r="A24" s="28" t="str">
        <f>'data'!$E$72</f>
      </c>
      <c r="B24" s="29" t="str">
        <f>'data'!D72</f>
      </c>
    </row>
    <row r="25" ht="270" customHeight="true">
      <c r="A25" s="28" t="str">
        <f>'data'!$E$73</f>
      </c>
      <c r="B25" s="29" t="str">
        <f>'data'!D73</f>
      </c>
    </row>
    <row r="26" ht="270" customHeight="true">
      <c r="A26" s="28" t="str">
        <f>'data'!$E$74</f>
      </c>
      <c r="B26" s="29" t="str">
        <f>'data'!D74</f>
      </c>
    </row>
    <row r="27" ht="270" customHeight="true">
      <c r="A27" s="28" t="str">
        <f>'data'!$E$75</f>
      </c>
      <c r="B27" s="29" t="str">
        <f>'data'!D75</f>
      </c>
    </row>
    <row r="28" ht="270" customHeight="true">
      <c r="A28" s="28" t="str">
        <f>'data'!$E$76</f>
      </c>
      <c r="B28" s="29" t="str">
        <f>'data'!D76</f>
      </c>
    </row>
    <row r="29" ht="270" customHeight="true">
      <c r="A29" s="28" t="str">
        <f>'data'!$E$77</f>
      </c>
      <c r="B29" s="29" t="str">
        <f>'data'!D77</f>
      </c>
    </row>
    <row r="30" ht="270" customHeight="true">
      <c r="A30" s="28" t="str">
        <f>'data'!$E$78</f>
      </c>
      <c r="B30" s="29" t="str">
        <f>'data'!D78</f>
      </c>
    </row>
    <row r="31" ht="270" customHeight="true">
      <c r="A31" s="28" t="str">
        <f>'data'!$E$79</f>
      </c>
      <c r="B31" s="29" t="str">
        <f>'data'!D79</f>
      </c>
    </row>
    <row r="32" ht="270" customHeight="true">
      <c r="A32" s="28" t="str">
        <f>'data'!$E$80</f>
      </c>
      <c r="B32" s="29" t="str">
        <f>'data'!D80</f>
      </c>
    </row>
    <row r="33" ht="270" customHeight="true">
      <c r="A33" s="28" t="str">
        <f>'data'!$E$81</f>
      </c>
      <c r="B33" s="29" t="str">
        <f>'data'!D81</f>
      </c>
    </row>
    <row r="34" ht="270" customHeight="true">
      <c r="A34" s="28" t="str">
        <f>'data'!$E$82</f>
      </c>
      <c r="B34" s="29" t="str">
        <f>'data'!D82</f>
      </c>
    </row>
    <row r="35" ht="270" customHeight="true">
      <c r="A35" s="28" t="str">
        <f>'data'!$E$83</f>
      </c>
      <c r="B35" s="29" t="str">
        <f>'data'!D83</f>
      </c>
    </row>
    <row r="36" ht="270" customHeight="true">
      <c r="A36" s="28" t="str">
        <f>'data'!$E$84</f>
      </c>
      <c r="B36" s="29" t="str">
        <f>'data'!D84</f>
      </c>
    </row>
    <row r="37" ht="270" customHeight="true">
      <c r="A37" s="28" t="str">
        <f>'data'!$E$85</f>
      </c>
      <c r="B37" s="29" t="str">
        <f>'data'!D85</f>
      </c>
    </row>
    <row r="38" ht="270" customHeight="true">
      <c r="A38" s="28" t="str">
        <f>'data'!$E$86</f>
      </c>
      <c r="B38" s="29" t="str">
        <f>'data'!D86</f>
      </c>
    </row>
    <row r="39" ht="270" customHeight="true">
      <c r="A39" s="28" t="str">
        <f>'data'!$E$87</f>
      </c>
      <c r="B39" s="29" t="str">
        <f>'data'!D87</f>
      </c>
    </row>
    <row r="40" ht="270" customHeight="true">
      <c r="A40" s="28" t="str">
        <f>'data'!$E$88</f>
      </c>
      <c r="B40" s="29" t="str">
        <f>'data'!D88</f>
      </c>
    </row>
    <row r="41" ht="270" customHeight="true">
      <c r="A41" s="28" t="str">
        <f>'data'!$E$89</f>
      </c>
      <c r="B41" s="29" t="str">
        <f>'data'!D89</f>
      </c>
    </row>
    <row r="42" ht="270" customHeight="true">
      <c r="A42" s="28" t="str">
        <f>'data'!$E$90</f>
      </c>
      <c r="B42" s="29" t="str">
        <f>'data'!D90</f>
      </c>
    </row>
    <row r="43" ht="270" customHeight="true">
      <c r="A43" s="28" t="str">
        <f>'data'!$E$91</f>
      </c>
      <c r="B43" s="29" t="str">
        <f>'data'!D91</f>
      </c>
    </row>
    <row r="44" ht="270" customHeight="true">
      <c r="A44" s="28" t="str">
        <f>'data'!$E$92</f>
      </c>
      <c r="B44" s="29" t="str">
        <f>'data'!D92</f>
      </c>
    </row>
    <row r="45" ht="270" customHeight="true">
      <c r="A45" s="28" t="str">
        <f>'data'!$E$93</f>
      </c>
      <c r="B45" s="29" t="str">
        <f>'data'!D93</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xl/worksheets/sheet14.xml><?xml version="1.0" encoding="utf-8"?>
<worksheet xmlns="http://schemas.openxmlformats.org/spreadsheetml/2006/main">
  <dimension ref="A1"/>
  <sheetViews>
    <sheetView tabSelected="true" workbookViewId="0"/>
  </sheetViews>
  <cols>
    <col customWidth="true" max="1" min="1" width="88"/>
  </cols>
  <sheetData>
    <row r="1" ht="409" customHeight="true">
      <c r="A1" s="30" t="s">
        <v>21</v>
      </c>
    </row>
    <row r="2" ht="409" customHeight="true">
      <c r="A2" s="30" t="s">
        <v>21</v>
      </c>
    </row>
    <row r="3" ht="409" customHeight="true">
      <c r="A3" s="30" t="s">
        <v>25</v>
      </c>
    </row>
    <row r="4" ht="409" customHeight="true">
      <c r="A4" s="30" t="s">
        <v>25</v>
      </c>
    </row>
    <row r="5" ht="409" customHeight="true">
      <c r="A5" s="30" t="s">
        <v>29</v>
      </c>
    </row>
    <row r="6" ht="409" customHeight="true">
      <c r="A6" s="30" t="s">
        <v>29</v>
      </c>
    </row>
    <row r="7" ht="409" customHeight="true">
      <c r="A7" s="30" t="s">
        <v>33</v>
      </c>
    </row>
    <row r="8" ht="409" customHeight="true">
      <c r="A8" s="30" t="s">
        <v>33</v>
      </c>
    </row>
    <row r="9" ht="409" customHeight="true">
      <c r="A9" s="30" t="s">
        <v>38</v>
      </c>
    </row>
    <row r="10" ht="409" customHeight="true">
      <c r="A10" s="30" t="s">
        <v>38</v>
      </c>
    </row>
    <row r="11" ht="409" customHeight="true">
      <c r="A11" s="30" t="s">
        <v>42</v>
      </c>
    </row>
    <row r="12" ht="409" customHeight="true">
      <c r="A12" s="30" t="s">
        <v>42</v>
      </c>
    </row>
    <row r="13" ht="409" customHeight="true">
      <c r="A13" s="30" t="s">
        <v>46</v>
      </c>
    </row>
    <row r="14" ht="409" customHeight="true">
      <c r="A14" s="30" t="s">
        <v>46</v>
      </c>
    </row>
    <row r="15" ht="409" customHeight="true">
      <c r="A15" s="30" t="s">
        <v>51</v>
      </c>
    </row>
    <row r="16" ht="409" customHeight="true">
      <c r="A16" s="30" t="s">
        <v>51</v>
      </c>
    </row>
    <row r="17" ht="409" customHeight="true">
      <c r="A17" s="30" t="s">
        <v>55</v>
      </c>
    </row>
    <row r="18" ht="409" customHeight="true">
      <c r="A18" s="30" t="s">
        <v>55</v>
      </c>
    </row>
    <row r="19" ht="409" customHeight="true">
      <c r="A19" s="30" t="s">
        <v>59</v>
      </c>
    </row>
    <row r="20" ht="409" customHeight="true">
      <c r="A20" s="30" t="s">
        <v>59</v>
      </c>
    </row>
    <row r="21" ht="409" customHeight="true">
      <c r="A21" s="30" t="s">
        <v>64</v>
      </c>
    </row>
    <row r="22" ht="409" customHeight="true">
      <c r="A22" s="30" t="s">
        <v>64</v>
      </c>
    </row>
    <row r="23" ht="409" customHeight="true">
      <c r="A23" s="30" t="s">
        <v>68</v>
      </c>
    </row>
    <row r="24" ht="409" customHeight="true">
      <c r="A24" s="30" t="s">
        <v>68</v>
      </c>
    </row>
    <row r="25" ht="409" customHeight="true">
      <c r="A25" s="30" t="s">
        <v>71</v>
      </c>
    </row>
    <row r="26" ht="409" customHeight="true">
      <c r="A26" s="30" t="s">
        <v>71</v>
      </c>
    </row>
    <row r="27" ht="409" customHeight="true">
      <c r="A27" s="30" t="s">
        <v>75</v>
      </c>
    </row>
    <row r="28" ht="409" customHeight="true">
      <c r="A28" s="30" t="s">
        <v>75</v>
      </c>
    </row>
    <row r="29" ht="409" customHeight="true">
      <c r="A29" s="30" t="s">
        <v>79</v>
      </c>
    </row>
    <row r="30" ht="409" customHeight="true">
      <c r="A30" s="30" t="s">
        <v>79</v>
      </c>
    </row>
    <row r="31" ht="409" customHeight="true">
      <c r="A31" s="30" t="s">
        <v>83</v>
      </c>
    </row>
    <row r="32" ht="409" customHeight="true">
      <c r="A32" s="30" t="s">
        <v>83</v>
      </c>
    </row>
    <row r="33" ht="409" customHeight="true">
      <c r="A33" s="30" t="s">
        <v>87</v>
      </c>
    </row>
    <row r="34" ht="409" customHeight="true">
      <c r="A34" s="30" t="s">
        <v>87</v>
      </c>
    </row>
    <row r="35" ht="409" customHeight="true">
      <c r="A35" s="30" t="s">
        <v>90</v>
      </c>
    </row>
    <row r="36" ht="409" customHeight="true">
      <c r="A36" s="30" t="s">
        <v>90</v>
      </c>
    </row>
    <row r="37" ht="409" customHeight="true">
      <c r="A37" s="30" t="s">
        <v>93</v>
      </c>
    </row>
    <row r="38" ht="409" customHeight="true">
      <c r="A38" s="30" t="s">
        <v>93</v>
      </c>
    </row>
    <row r="39" ht="409" customHeight="true">
      <c r="A39" s="30" t="s">
        <v>96</v>
      </c>
    </row>
    <row r="40" ht="409" customHeight="true">
      <c r="A40" s="30" t="s">
        <v>96</v>
      </c>
    </row>
    <row r="41" ht="409" customHeight="true">
      <c r="A41" s="30" t="s">
        <v>98</v>
      </c>
    </row>
    <row r="42" ht="409" customHeight="true">
      <c r="A42" s="30" t="s">
        <v>98</v>
      </c>
    </row>
    <row r="43" ht="409" customHeight="true">
      <c r="A43" s="30" t="s">
        <v>102</v>
      </c>
    </row>
    <row r="44" ht="409" customHeight="true">
      <c r="A44" s="30" t="s">
        <v>102</v>
      </c>
    </row>
    <row r="45" ht="409" customHeight="true">
      <c r="A45" s="30" t="s">
        <v>107</v>
      </c>
    </row>
    <row r="46" ht="409" customHeight="true">
      <c r="A46" s="30" t="s">
        <v>107</v>
      </c>
    </row>
    <row r="47" ht="409" customHeight="true">
      <c r="A47" s="30" t="s">
        <v>111</v>
      </c>
    </row>
    <row r="48" ht="409" customHeight="true">
      <c r="A48" s="30" t="s">
        <v>111</v>
      </c>
    </row>
    <row r="49" ht="409" customHeight="true">
      <c r="A49" s="30" t="s">
        <v>115</v>
      </c>
    </row>
    <row r="50" ht="409" customHeight="true">
      <c r="A50" s="30" t="s">
        <v>115</v>
      </c>
    </row>
    <row r="51" ht="409" customHeight="true">
      <c r="A51" s="30" t="s">
        <v>119</v>
      </c>
    </row>
    <row r="52" ht="409" customHeight="true">
      <c r="A52" s="30" t="s">
        <v>119</v>
      </c>
    </row>
    <row r="53" ht="409" customHeight="true">
      <c r="A53" s="30" t="s">
        <v>123</v>
      </c>
    </row>
    <row r="54" ht="409" customHeight="true">
      <c r="A54" s="30" t="s">
        <v>123</v>
      </c>
    </row>
    <row r="55" ht="409" customHeight="true">
      <c r="A55" s="30" t="s">
        <v>126</v>
      </c>
    </row>
    <row r="56" ht="409" customHeight="true">
      <c r="A56" s="30" t="s">
        <v>126</v>
      </c>
    </row>
    <row r="57" ht="409" customHeight="true">
      <c r="A57" s="30" t="s">
        <v>130</v>
      </c>
    </row>
    <row r="58" ht="409" customHeight="true">
      <c r="A58" s="30" t="s">
        <v>130</v>
      </c>
    </row>
    <row r="59" ht="409" customHeight="true">
      <c r="A59" s="30" t="s">
        <v>133</v>
      </c>
    </row>
    <row r="60" ht="409" customHeight="true">
      <c r="A60" s="30" t="s">
        <v>133</v>
      </c>
    </row>
    <row r="61" ht="409" customHeight="true">
      <c r="A61" s="30" t="s">
        <v>137</v>
      </c>
    </row>
    <row r="62" ht="409" customHeight="true">
      <c r="A62" s="30" t="s">
        <v>137</v>
      </c>
    </row>
    <row r="63" ht="409" customHeight="true">
      <c r="A63" s="30" t="s">
        <v>141</v>
      </c>
    </row>
    <row r="64" ht="409" customHeight="true">
      <c r="A64" s="30" t="s">
        <v>141</v>
      </c>
    </row>
    <row r="65" ht="409" customHeight="true">
      <c r="A65" s="30" t="s">
        <v>144</v>
      </c>
    </row>
    <row r="66" ht="409" customHeight="true">
      <c r="A66" s="30" t="s">
        <v>144</v>
      </c>
    </row>
    <row r="67" ht="409" customHeight="true">
      <c r="A67" s="30" t="s">
        <v>147</v>
      </c>
    </row>
    <row r="68" ht="409" customHeight="true">
      <c r="A68" s="30" t="s">
        <v>147</v>
      </c>
    </row>
    <row r="69" ht="409" customHeight="true">
      <c r="A69" s="30" t="s">
        <v>151</v>
      </c>
    </row>
    <row r="70" ht="409" customHeight="true">
      <c r="A70" s="30" t="s">
        <v>151</v>
      </c>
    </row>
    <row r="71" ht="409" customHeight="true">
      <c r="A71" s="30" t="s">
        <v>155</v>
      </c>
    </row>
    <row r="72" ht="409" customHeight="true">
      <c r="A72" s="30" t="s">
        <v>155</v>
      </c>
    </row>
    <row r="73" ht="409" customHeight="true">
      <c r="A73" s="30" t="s">
        <v>159</v>
      </c>
    </row>
    <row r="74" ht="409" customHeight="true">
      <c r="A74" s="30" t="s">
        <v>159</v>
      </c>
    </row>
    <row r="75" ht="409" customHeight="true">
      <c r="A75" s="30" t="s">
        <v>163</v>
      </c>
    </row>
    <row r="76" ht="409" customHeight="true">
      <c r="A76" s="30" t="s">
        <v>163</v>
      </c>
    </row>
    <row r="77" ht="409" customHeight="true">
      <c r="A77" s="30" t="s">
        <v>166</v>
      </c>
    </row>
    <row r="78" ht="409" customHeight="true">
      <c r="A78" s="30" t="s">
        <v>166</v>
      </c>
    </row>
    <row r="79" ht="409" customHeight="true">
      <c r="A79" s="30" t="s">
        <v>169</v>
      </c>
    </row>
    <row r="80" ht="409" customHeight="true">
      <c r="A80" s="30" t="s">
        <v>169</v>
      </c>
    </row>
    <row r="81" ht="409" customHeight="true">
      <c r="A81" s="30" t="s">
        <v>173</v>
      </c>
    </row>
    <row r="82" ht="409" customHeight="true">
      <c r="A82" s="30" t="s">
        <v>173</v>
      </c>
    </row>
    <row r="83" ht="409" customHeight="true">
      <c r="A83" s="30" t="s">
        <v>176</v>
      </c>
    </row>
    <row r="84" ht="409" customHeight="true">
      <c r="A84" s="30" t="s">
        <v>176</v>
      </c>
    </row>
    <row r="85" ht="409" customHeight="true">
      <c r="A85" s="30" t="s">
        <v>180</v>
      </c>
    </row>
    <row r="86" ht="409" customHeight="true">
      <c r="A86" s="30" t="s">
        <v>180</v>
      </c>
    </row>
    <row r="87" ht="409" customHeight="true">
      <c r="A87" s="30" t="s">
        <v>183</v>
      </c>
    </row>
    <row r="88" ht="409" customHeight="true">
      <c r="A88" s="30" t="s">
        <v>183</v>
      </c>
    </row>
    <row r="89" ht="409" customHeight="true">
      <c r="A89" s="30" t="s">
        <v>187</v>
      </c>
    </row>
    <row r="90" ht="409" customHeight="true">
      <c r="A90" s="30" t="s">
        <v>187</v>
      </c>
    </row>
    <row r="91" ht="409" customHeight="true">
      <c r="A91" s="30" t="s">
        <v>190</v>
      </c>
    </row>
    <row r="92" ht="409" customHeight="true">
      <c r="A92" s="30" t="s">
        <v>190</v>
      </c>
    </row>
    <row r="93" ht="409" customHeight="true">
      <c r="A93" s="30" t="s">
        <v>194</v>
      </c>
    </row>
    <row r="94" ht="409" customHeight="true">
      <c r="A94" s="30" t="s">
        <v>194</v>
      </c>
    </row>
    <row r="95" ht="409" customHeight="true">
      <c r="A95" s="30" t="s">
        <v>196</v>
      </c>
    </row>
    <row r="96" ht="409" customHeight="true">
      <c r="A96" s="30" t="s">
        <v>196</v>
      </c>
    </row>
    <row r="97" ht="409" customHeight="true">
      <c r="A97" s="30" t="s">
        <v>199</v>
      </c>
    </row>
    <row r="98" ht="409" customHeight="true">
      <c r="A98" s="30" t="s">
        <v>199</v>
      </c>
    </row>
    <row r="99" ht="409" customHeight="true">
      <c r="A99" s="30" t="s">
        <v>203</v>
      </c>
    </row>
    <row r="100" ht="409" customHeight="true">
      <c r="A100" s="30" t="s">
        <v>203</v>
      </c>
    </row>
    <row r="101" ht="409" customHeight="true">
      <c r="A101" s="30" t="s">
        <v>205</v>
      </c>
    </row>
    <row r="102" ht="409" customHeight="true">
      <c r="A102" s="30" t="s">
        <v>205</v>
      </c>
    </row>
    <row r="103" ht="409" customHeight="true">
      <c r="A103" s="30" t="s">
        <v>208</v>
      </c>
    </row>
    <row r="104" ht="409" customHeight="true">
      <c r="A104" s="30" t="s">
        <v>208</v>
      </c>
    </row>
    <row r="105" ht="409" customHeight="true">
      <c r="A105" s="30" t="s">
        <v>211</v>
      </c>
    </row>
    <row r="106" ht="409" customHeight="true">
      <c r="A106" s="30" t="s">
        <v>211</v>
      </c>
    </row>
    <row r="107" ht="409" customHeight="true">
      <c r="A107" s="30" t="s">
        <v>214</v>
      </c>
    </row>
    <row r="108" ht="409" customHeight="true">
      <c r="A108" s="30" t="s">
        <v>214</v>
      </c>
    </row>
    <row r="109" ht="409" customHeight="true">
      <c r="A109" s="30" t="s">
        <v>217</v>
      </c>
    </row>
    <row r="110" ht="409" customHeight="true">
      <c r="A110" s="30" t="s">
        <v>217</v>
      </c>
    </row>
    <row r="111" ht="409" customHeight="true">
      <c r="A111" s="30" t="s">
        <v>221</v>
      </c>
    </row>
    <row r="112" ht="409" customHeight="true">
      <c r="A112" s="30" t="s">
        <v>221</v>
      </c>
    </row>
    <row r="113" ht="409" customHeight="true">
      <c r="A113" s="30" t="s">
        <v>224</v>
      </c>
    </row>
    <row r="114" ht="409" customHeight="true">
      <c r="A114" s="30" t="s">
        <v>224</v>
      </c>
    </row>
    <row r="115" ht="409" customHeight="true">
      <c r="A115" s="30" t="s">
        <v>227</v>
      </c>
    </row>
    <row r="116" ht="409" customHeight="true">
      <c r="A116" s="30" t="s">
        <v>227</v>
      </c>
    </row>
    <row r="117" ht="409" customHeight="true">
      <c r="A117" s="30" t="s">
        <v>230</v>
      </c>
    </row>
    <row r="118" ht="409" customHeight="true">
      <c r="A118" s="30" t="s">
        <v>230</v>
      </c>
    </row>
    <row r="119" ht="409" customHeight="true">
      <c r="A119" s="30" t="s">
        <v>232</v>
      </c>
    </row>
    <row r="120" ht="409" customHeight="true">
      <c r="A120" s="30" t="s">
        <v>232</v>
      </c>
    </row>
    <row r="121" ht="409" customHeight="true">
      <c r="A121" s="30" t="s">
        <v>235</v>
      </c>
    </row>
    <row r="122" ht="409" customHeight="true">
      <c r="A122" s="30" t="s">
        <v>235</v>
      </c>
    </row>
    <row r="123" ht="409" customHeight="true">
      <c r="A123" s="30" t="s">
        <v>239</v>
      </c>
    </row>
    <row r="124" ht="409" customHeight="true">
      <c r="A124" s="30" t="s">
        <v>239</v>
      </c>
    </row>
    <row r="125" ht="409" customHeight="true">
      <c r="A125" s="30" t="s">
        <v>241</v>
      </c>
    </row>
    <row r="126" ht="409" customHeight="true">
      <c r="A126" s="30" t="s">
        <v>241</v>
      </c>
    </row>
    <row r="127" ht="409" customHeight="true">
      <c r="A127" s="30" t="s">
        <v>244</v>
      </c>
    </row>
    <row r="128" ht="409" customHeight="true">
      <c r="A128" s="30" t="s">
        <v>244</v>
      </c>
    </row>
    <row r="129" ht="409" customHeight="true">
      <c r="A129" s="30" t="s">
        <v>248</v>
      </c>
    </row>
    <row r="130" ht="409" customHeight="true">
      <c r="A130" s="30" t="s">
        <v>248</v>
      </c>
    </row>
    <row r="131" ht="409" customHeight="true">
      <c r="A131" s="30" t="s">
        <v>250</v>
      </c>
    </row>
    <row r="132" ht="409" customHeight="true">
      <c r="A132" s="30" t="s">
        <v>250</v>
      </c>
    </row>
    <row r="133" ht="409" customHeight="true">
      <c r="A133" s="30" t="s">
        <v>253</v>
      </c>
    </row>
    <row r="134" ht="409" customHeight="true">
      <c r="A134" s="30" t="s">
        <v>253</v>
      </c>
    </row>
    <row r="135" ht="409" customHeight="true">
      <c r="A135" s="30" t="s">
        <v>257</v>
      </c>
    </row>
    <row r="136" ht="409" customHeight="true">
      <c r="A136" s="30" t="s">
        <v>257</v>
      </c>
    </row>
    <row r="137" ht="409" customHeight="true">
      <c r="A137" s="30" t="s">
        <v>259</v>
      </c>
    </row>
    <row r="138" ht="409" customHeight="true">
      <c r="A138" s="30" t="s">
        <v>259</v>
      </c>
    </row>
    <row r="139" ht="409" customHeight="true">
      <c r="A139" s="30" t="s">
        <v>262</v>
      </c>
    </row>
    <row r="140" ht="409" customHeight="true">
      <c r="A140" s="30" t="s">
        <v>262</v>
      </c>
    </row>
    <row r="141" ht="409" customHeight="true">
      <c r="A141" s="30" t="s">
        <v>265</v>
      </c>
    </row>
    <row r="142" ht="409" customHeight="true">
      <c r="A142" s="30" t="s">
        <v>265</v>
      </c>
    </row>
    <row r="143" ht="409" customHeight="true">
      <c r="A143" s="30" t="s">
        <v>267</v>
      </c>
    </row>
    <row r="144" ht="409" customHeight="true">
      <c r="A144" s="30" t="s">
        <v>267</v>
      </c>
    </row>
    <row r="145" ht="409" customHeight="true">
      <c r="A145" s="30" t="s">
        <v>270</v>
      </c>
    </row>
    <row r="146" ht="409" customHeight="true">
      <c r="A146" s="30" t="s">
        <v>270</v>
      </c>
    </row>
    <row r="147" ht="409" customHeight="true">
      <c r="A147" s="30" t="s">
        <v>274</v>
      </c>
    </row>
    <row r="148" ht="409" customHeight="true">
      <c r="A148" s="30" t="s">
        <v>274</v>
      </c>
    </row>
    <row r="149" ht="409" customHeight="true">
      <c r="A149" s="30" t="s">
        <v>277</v>
      </c>
    </row>
    <row r="150" ht="409" customHeight="true">
      <c r="A150" s="30" t="s">
        <v>277</v>
      </c>
    </row>
    <row r="151" ht="409" customHeight="true">
      <c r="A151" s="30" t="s">
        <v>280</v>
      </c>
    </row>
    <row r="152" ht="409" customHeight="true">
      <c r="A152" s="30" t="s">
        <v>280</v>
      </c>
    </row>
    <row r="153" ht="409" customHeight="true">
      <c r="A153" s="30" t="s">
        <v>284</v>
      </c>
    </row>
    <row r="154" ht="409" customHeight="true">
      <c r="A154" s="30" t="s">
        <v>284</v>
      </c>
    </row>
    <row r="155" ht="409" customHeight="true">
      <c r="A155" s="30" t="s">
        <v>287</v>
      </c>
    </row>
    <row r="156" ht="409" customHeight="true">
      <c r="A156" s="30" t="s">
        <v>287</v>
      </c>
    </row>
    <row r="157" ht="409" customHeight="true">
      <c r="A157" s="30" t="s">
        <v>290</v>
      </c>
    </row>
    <row r="158" ht="409" customHeight="true">
      <c r="A158" s="30" t="s">
        <v>290</v>
      </c>
    </row>
    <row r="159" ht="409" customHeight="true">
      <c r="A159" s="30" t="s">
        <v>294</v>
      </c>
    </row>
    <row r="160" ht="409" customHeight="true">
      <c r="A160" s="30" t="s">
        <v>294</v>
      </c>
    </row>
    <row r="161" ht="409" customHeight="true">
      <c r="A161" s="30" t="s">
        <v>297</v>
      </c>
    </row>
    <row r="162" ht="409" customHeight="true">
      <c r="A162" s="30" t="s">
        <v>297</v>
      </c>
    </row>
    <row r="163" ht="409" customHeight="true">
      <c r="A163" s="30" t="s">
        <v>300</v>
      </c>
    </row>
    <row r="164" ht="409" customHeight="true">
      <c r="A164" s="30" t="s">
        <v>300</v>
      </c>
    </row>
    <row r="165" ht="409" customHeight="true">
      <c r="A165" s="30" t="s">
        <v>303</v>
      </c>
    </row>
    <row r="166" ht="409" customHeight="true">
      <c r="A166" s="30" t="s">
        <v>303</v>
      </c>
    </row>
    <row r="167" ht="409" customHeight="true">
      <c r="A167" s="30" t="s">
        <v>306</v>
      </c>
    </row>
    <row r="168" ht="409" customHeight="true">
      <c r="A168" s="30" t="s">
        <v>306</v>
      </c>
    </row>
    <row r="169" ht="409" customHeight="true">
      <c r="A169" s="30" t="s">
        <v>309</v>
      </c>
    </row>
    <row r="170" ht="409" customHeight="true">
      <c r="A170" s="30" t="s">
        <v>309</v>
      </c>
    </row>
    <row r="171" ht="409" customHeight="true">
      <c r="A171" s="30" t="s">
        <v>313</v>
      </c>
    </row>
    <row r="172" ht="409" customHeight="true">
      <c r="A172" s="30" t="s">
        <v>313</v>
      </c>
    </row>
    <row r="173" ht="409" customHeight="true">
      <c r="A173" s="30" t="s">
        <v>316</v>
      </c>
    </row>
    <row r="174" ht="409" customHeight="true">
      <c r="A174" s="30" t="s">
        <v>316</v>
      </c>
    </row>
    <row r="175" ht="409" customHeight="true">
      <c r="A175" s="30" t="s">
        <v>318</v>
      </c>
    </row>
    <row r="176" ht="409" customHeight="true">
      <c r="A176" s="30" t="s">
        <v>318</v>
      </c>
    </row>
    <row r="177" ht="409" customHeight="true">
      <c r="A177" s="30" t="s">
        <v>322</v>
      </c>
    </row>
    <row r="178" ht="409" customHeight="true">
      <c r="A178" s="30" t="s">
        <v>322</v>
      </c>
    </row>
    <row r="179" ht="409" customHeight="true">
      <c r="A179" s="30" t="s">
        <v>325</v>
      </c>
    </row>
    <row r="180" ht="409" customHeight="true">
      <c r="A180" s="30" t="s">
        <v>325</v>
      </c>
    </row>
    <row r="181" ht="409" customHeight="true">
      <c r="A181" s="30" t="s">
        <v>327</v>
      </c>
    </row>
    <row r="182" ht="409" customHeight="true">
      <c r="A182" s="30" t="s">
        <v>327</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91" manualBreakCount="91">
    <brk id="2" max="16383" man="true"/>
    <brk id="4" max="16383" man="true"/>
    <brk id="6" max="16383" man="true"/>
    <brk id="8" max="16383" man="true"/>
    <brk id="10" max="16383" man="true"/>
    <brk id="12" max="16383" man="true"/>
    <brk id="14" max="16383" man="true"/>
    <brk id="16" max="16383" man="true"/>
    <brk id="18" max="16383" man="true"/>
    <brk id="20" max="16383" man="true"/>
    <brk id="22" max="16383" man="true"/>
    <brk id="24" max="16383" man="true"/>
    <brk id="26" max="16383" man="true"/>
    <brk id="28" max="16383" man="true"/>
    <brk id="30" max="16383" man="true"/>
    <brk id="32" max="16383" man="true"/>
    <brk id="34" max="16383" man="true"/>
    <brk id="36" max="16383" man="true"/>
    <brk id="38" max="16383" man="true"/>
    <brk id="40" max="16383" man="true"/>
    <brk id="42" max="16383" man="true"/>
    <brk id="44" max="16383" man="true"/>
    <brk id="46" max="16383" man="true"/>
    <brk id="48" max="16383" man="true"/>
    <brk id="50" max="16383" man="true"/>
    <brk id="52" max="16383" man="true"/>
    <brk id="54" max="16383" man="true"/>
    <brk id="56" max="16383" man="true"/>
    <brk id="58" max="16383" man="true"/>
    <brk id="60" max="16383" man="true"/>
    <brk id="62" max="16383" man="true"/>
    <brk id="64" max="16383" man="true"/>
    <brk id="66" max="16383" man="true"/>
    <brk id="68" max="16383" man="true"/>
    <brk id="70" max="16383" man="true"/>
    <brk id="72" max="16383" man="true"/>
    <brk id="74" max="16383" man="true"/>
    <brk id="76" max="16383" man="true"/>
    <brk id="78" max="16383" man="true"/>
    <brk id="80" max="16383" man="true"/>
    <brk id="82" max="16383" man="true"/>
    <brk id="84" max="16383" man="true"/>
    <brk id="86" max="16383" man="true"/>
    <brk id="88" max="16383" man="true"/>
    <brk id="90" max="16383" man="true"/>
    <brk id="92" max="16383" man="true"/>
    <brk id="94" max="16383" man="true"/>
    <brk id="96" max="16383" man="true"/>
    <brk id="98" max="16383" man="true"/>
    <brk id="100" max="16383" man="true"/>
    <brk id="102" max="16383" man="true"/>
    <brk id="104" max="16383" man="true"/>
    <brk id="106" max="16383" man="true"/>
    <brk id="108" max="16383" man="true"/>
    <brk id="110" max="16383" man="true"/>
    <brk id="112" max="16383" man="true"/>
    <brk id="114" max="16383" man="true"/>
    <brk id="116" max="16383" man="true"/>
    <brk id="118" max="16383" man="true"/>
    <brk id="120" max="16383" man="true"/>
    <brk id="122" max="16383" man="true"/>
    <brk id="124" max="16383" man="true"/>
    <brk id="126" max="16383" man="true"/>
    <brk id="128" max="16383" man="true"/>
    <brk id="130" max="16383" man="true"/>
    <brk id="132" max="16383" man="true"/>
    <brk id="134" max="16383" man="true"/>
    <brk id="136" max="16383" man="true"/>
    <brk id="138" max="16383" man="true"/>
    <brk id="140" max="16383" man="true"/>
    <brk id="142" max="16383" man="true"/>
    <brk id="144" max="16383" man="true"/>
    <brk id="146" max="16383" man="true"/>
    <brk id="148" max="16383" man="true"/>
    <brk id="150" max="16383" man="true"/>
    <brk id="152" max="16383" man="true"/>
    <brk id="154" max="16383" man="true"/>
    <brk id="156" max="16383" man="true"/>
    <brk id="158" max="16383" man="true"/>
    <brk id="160" max="16383" man="true"/>
    <brk id="162" max="16383" man="true"/>
    <brk id="164" max="16383" man="true"/>
    <brk id="166" max="16383" man="true"/>
    <brk id="168" max="16383" man="true"/>
    <brk id="170" max="16383" man="true"/>
    <brk id="172" max="16383" man="true"/>
    <brk id="174" max="16383" man="true"/>
    <brk id="176" max="16383" man="true"/>
    <brk id="178" max="16383" man="true"/>
    <brk id="180" max="16383" man="true"/>
    <brk id="182"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