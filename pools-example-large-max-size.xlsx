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Matches'!$A$1:$O$253</definedName>
    <definedName localSheetId="9" name="_xlnm.Print_Area">'Names to Print A'!$A$1:$B$47</definedName>
    <definedName localSheetId="10" name="_xlnm.Print_Area">'Names to Print B'!$A$1:$B$44</definedName>
    <definedName localSheetId="4" name="_xlnm.Print_Area">'Elimination Matches'!$A$1:$O$279</definedName>
  </definedNames>
  <calcPr calcId="122211"/>
</workbook>
</file>

<file path=xl/sharedStrings.xml><?xml version="1.0" encoding="utf-8"?>
<sst xmlns="http://schemas.openxmlformats.org/spreadsheetml/2006/main" count="412" uniqueCount="412">
  <si>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</si>
  <si>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</si>
  <si>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</si>
  <si>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</si>
  <si>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</si>
  <si>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</si>
  <si>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</si>
  <si>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</si>
  <si>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</si>
  <si>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</si>
  <si>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</si>
  <si>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</si>
  <si>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</si>
  <si>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</si>
  <si>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</si>
  <si>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</si>
  <si>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</si>
  <si>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</si>
  <si>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</si>
  <si>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</si>
  <si>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</si>
  <si>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</si>
  <si>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</si>
  <si>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</si>
  <si>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</si>
  <si>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</si>
  <si>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</si>
  <si>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</si>
  <si>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</si>
  <si>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</si>
  <si>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</si>
  <si>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</si>
  <si>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</si>
  <si>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</si>
  <si>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</si>
  <si>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</si>
  <si>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</si>
  <si>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</si>
  <si>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</si>
  <si>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</si>
  <si>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</si>
  <si>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</si>
  <si>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</si>
  <si>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</si>
  <si>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</si>
  <si>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</si>
  <si>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</si>
  <si>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</si>
  <si>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</si>
  <si>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</si>
  <si>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</si>
  <si>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</si>
  <si>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</si>
  <si>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</si>
  <si>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</si>
  <si>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</si>
  <si>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</si>
  <si>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</si>
  <si>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</si>
  <si>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</si>
  <si>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</si>
  <si>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</si>
  <si>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</si>
  <si>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</si>
  <si>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</si>
  <si>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</si>
  <si>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</si>
  <si>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</si>
  <si>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</si>
  <si>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</si>
  <si>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</si>
  <si>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</si>
  <si>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</si>
  <si>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</si>
  <si>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</si>
  <si>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</si>
  <si>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</si>
  <si>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</si>
  <si>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</si>
  <si>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</si>
  <si>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</si>
  <si>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</si>
  <si>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</si>
  <si>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</si>
  <si>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</si>
  <si>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</si>
  <si>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</si>
  <si>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</si>
  <si>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</si>
  <si>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</si>
  <si>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</si>
  <si>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</si>
  <si>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</si>
  <si>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</si>
  <si>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</si>
  <si>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</si>
  <si>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</si>
  <si>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</si>
  <si>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</si>
  <si>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</si>
  <si>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</si>
  <si>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</si>
  <si>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</si>
  <si>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</si>
  <si>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</si>
  <si>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</si>
  <si>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</si>
  <si>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</si>
  <si>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</si>
  <si>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</si>
  <si>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</si>
  <si>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</si>
  <si>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</si>
  <si>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</si>
  <si>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</si>
  <si>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</si>
  <si>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</si>
  <si>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</si>
  <si>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</si>
  <si>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</si>
  <si>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</si>
  <si>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</si>
  <si>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</si>
  <si>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</si>
  <si>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</si>
  <si>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</si>
  <si>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</si>
  <si>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</si>
  <si>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</si>
  <si>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</si>
  <si>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</si>
  <si>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</si>
  <si>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</si>
  <si>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</si>
  <si>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</si>
  <si>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</si>
  <si>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</si>
  <si>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</si>
  <si>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</si>
  <si>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</si>
  <si>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</si>
  <si>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</si>
  <si>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</si>
  <si>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</si>
  <si>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</si>
  <si>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</si>
  <si>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</si>
  <si>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</si>
  <si>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</si>
  <si>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</si>
  <si>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</si>
  <si>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</si>
  <si>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</si>
  <si>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</si>
  <si>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</si>
  <si>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</si>
  <si>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</si>
  <si>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</si>
  <si>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</si>
  <si>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</si>
  <si>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</si>
  <si>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</si>
  <si>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</si>
  <si>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</si>
  <si>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</si>
  <si>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</si>
  <si>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</si>
  <si>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</si>
  <si>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</si>
  <si>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</si>
  <si>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</si>
  <si>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</si>
  <si>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</si>
  <si>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</si>
  <si>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</si>
  <si>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</si>
  <si>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</si>
  <si>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</si>
  <si>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</si>
  <si>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</si>
  <si>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</si>
  <si>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</si>
  <si>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</si>
  <si>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</si>
  <si>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</si>
  <si>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</si>
  <si>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</si>
  <si>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</si>
  <si>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</si>
  <si>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</si>
  <si>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</si>
  <si>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</si>
  <si>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</si>
  <si>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</si>
  <si>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</si>
  <si>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</si>
  <si>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</si>
  <si>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</si>
  <si>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</si>
  <si>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</si>
  <si>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</si>
  <si>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</si>
  <si>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</si>
  <si>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</si>
  <si>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</si>
  <si>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</si>
  <si>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</si>
  <si>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</si>
  <si>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</si>
  <si>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</si>
  <si>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</si>
  <si>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</si>
  <si>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</si>
  <si>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</si>
  <si>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</si>
  <si>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</si>
  <si>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</si>
  <si>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</si>
  <si>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</si>
  <si>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</si>
  <si>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</si>
  <si>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</si>
  <si>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</si>
  <si>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</si>
  <si>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</si>
  <si>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</si>
  <si>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</si>
  <si>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</si>
  <si>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</si>
  <si>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</si>
  <si>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</si>
  <si>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</si>
  <si>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</si>
  <si>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</si>
  <si>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</si>
  <si>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</si>
  <si>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</si>
  <si>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</si>
  <si>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</si>
  <si>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</si>
  <si>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</si>
  <si>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</si>
  <si>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Results</t>
  </si>
  <si>
    <t>W</t>
  </si>
  <si>
    <t>L</t>
  </si>
  <si>
    <t>T</t>
  </si>
  <si>
    <t>PW</t>
  </si>
  <si>
    <t>PL</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</si>
  <si>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</si>
  <si>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</si>
  <si>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</si>
  <si>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</si>
  <si>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</si>
  <si>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</si>
  <si>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</si>
  <si>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</si>
  <si>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</si>
  <si>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</si>
  <si>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</si>
  <si>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</si>
  <si>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</si>
  <si>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</si>
  <si>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</si>
  <si>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</si>
  <si>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</si>
  <si>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</si>
  <si>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</si>
  <si>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</si>
  <si>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</si>
  <si>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</si>
  <si>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</si>
  <si>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</si>
  <si>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</si>
  <si>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</si>
  <si>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</si>
  <si>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</si>
  <si>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</si>
  <si>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</si>
  <si>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</si>
  <si>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</si>
  <si>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</si>
  <si>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</si>
  <si>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</si>
  <si>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</si>
  <si>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</si>
  <si>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</si>
  <si>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</si>
  <si>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</si>
  <si>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</si>
  <si>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</si>
  <si>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</si>
  <si>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</si>
  <si>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</si>
  <si>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</si>
  <si>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</si>
  <si>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</si>
  <si>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</si>
  <si>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</si>
  <si>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</si>
  <si>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</si>
  <si>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</si>
  <si>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</si>
  <si>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</si>
  <si>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</si>
  <si>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</si>
  <si>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</si>
  <si>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</si>
  <si>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</si>
  <si>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</si>
  <si>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</si>
  <si>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</si>
  <si>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</si>
  <si>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</si>
  <si>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</si>
  <si>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</si>
  <si>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</si>
  <si>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</si>
  <si>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</si>
  <si>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</si>
  <si>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</si>
  <si>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</si>
  <si>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</si>
  <si>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</si>
  <si>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</si>
  <si>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</si>
  <si>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</si>
  <si>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</si>
  <si>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</si>
  <si>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</si>
  <si>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</si>
  <si>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</si>
  <si>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</si>
  <si>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</si>
  <si>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</si>
  <si>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</si>
  <si>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</si>
  <si>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</si>
  <si>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</si>
  <si>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</si>
  <si>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</si>
  <si>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</si>
  <si>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</si>
  <si>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</si>
  <si>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1.</t>
  </si>
  <si>
    <t>2.</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</si>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</sst>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405</v>
      </c>
      <c r="F13" s="13"/>
      <c r="G13" s="13"/>
      <c r="H13" s="13"/>
    </row>
    <row r="14">
      <c r="A14">
        <v>2</v>
      </c>
      <c r="E14" s="32" t="s">
        <v>406</v>
      </c>
      <c r="F14" s="32"/>
      <c r="G14" s="32"/>
      <c r="H14" s="31" t="str">
        <f>H2</f>
      </c>
    </row>
    <row r="15">
      <c r="E15" s="32" t="s">
        <v>407</v>
      </c>
      <c r="F15" s="32"/>
      <c r="G15" s="32"/>
      <c r="H15" s="31" t="str">
        <f>H8</f>
      </c>
    </row>
    <row r="16">
      <c r="E16" s="32" t="s">
        <v>408</v>
      </c>
      <c r="F16" s="32"/>
      <c r="G16" s="32"/>
      <c r="H16" s="31" t="str">
        <f>H14+H15</f>
      </c>
    </row>
    <row r="17">
      <c r="E17" s="32" t="s">
        <v>409</v>
      </c>
      <c r="F17" s="32"/>
      <c r="G17" s="32"/>
      <c r="H17" s="31" t="str">
        <f>H16/A14</f>
      </c>
    </row>
    <row r="18">
      <c r="E18" s="13" t="s">
        <v>410</v>
      </c>
      <c r="F18" s="13"/>
      <c r="G18" s="13"/>
      <c r="H18" s="33">
        <v>0.375</v>
      </c>
    </row>
    <row r="19">
      <c r="E19" s="13" t="s">
        <v>411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8"/>
      <c r="C4" s="18"/>
      <c r="D4" s="18"/>
      <c r="E4" s="18"/>
      <c r="F4" s="18"/>
      <c r="G4" s="14" t="str">
        <f>data!$B$3</f>
      </c>
      <c r="I4" s="14" t="str">
        <f>data!$B$51</f>
      </c>
      <c r="J4" s="18"/>
      <c r="K4" s="18"/>
      <c r="L4" s="18"/>
      <c r="M4" s="18"/>
      <c r="N4" s="18"/>
      <c r="O4" s="14" t="str">
        <f>data!$B$50</f>
      </c>
    </row>
    <row r="5">
      <c r="A5" s="14" t="str">
        <f>data!$B$5</f>
      </c>
      <c r="B5" s="18"/>
      <c r="C5" s="18"/>
      <c r="D5" s="18"/>
      <c r="E5" s="18"/>
      <c r="F5" s="18"/>
      <c r="G5" s="14" t="str">
        <f>data!$B$3</f>
      </c>
      <c r="I5" s="14" t="str">
        <f>data!$B$52</f>
      </c>
      <c r="J5" s="18"/>
      <c r="K5" s="18"/>
      <c r="L5" s="18"/>
      <c r="M5" s="18"/>
      <c r="N5" s="18"/>
      <c r="O5" s="14" t="str">
        <f>data!$B$50</f>
      </c>
    </row>
    <row r="6">
      <c r="A6" s="14" t="str">
        <f>data!$B$5</f>
      </c>
      <c r="B6" s="18"/>
      <c r="C6" s="18"/>
      <c r="D6" s="18"/>
      <c r="E6" s="18"/>
      <c r="F6" s="18"/>
      <c r="G6" s="14" t="str">
        <f>data!$B$4</f>
      </c>
      <c r="I6" s="14" t="str">
        <f>data!$B$52</f>
      </c>
      <c r="J6" s="18"/>
      <c r="K6" s="18"/>
      <c r="L6" s="18"/>
      <c r="M6" s="18"/>
      <c r="N6" s="18"/>
      <c r="O6" s="14" t="str">
        <f>data!$B$51</f>
      </c>
    </row>
    <row r="8">
      <c r="A8" s="13" t="s">
        <v>242</v>
      </c>
      <c r="B8" s="13" t="s">
        <v>243</v>
      </c>
      <c r="C8" s="13" t="s">
        <v>244</v>
      </c>
      <c r="D8" s="13" t="s">
        <v>245</v>
      </c>
      <c r="E8" s="13" t="s">
        <v>246</v>
      </c>
      <c r="F8" s="13" t="s">
        <v>247</v>
      </c>
      <c r="I8" s="13" t="s">
        <v>242</v>
      </c>
      <c r="J8" s="13" t="s">
        <v>243</v>
      </c>
      <c r="K8" s="13" t="s">
        <v>244</v>
      </c>
      <c r="L8" s="13" t="s">
        <v>245</v>
      </c>
      <c r="M8" s="13" t="s">
        <v>246</v>
      </c>
      <c r="N8" s="13" t="s">
        <v>247</v>
      </c>
    </row>
    <row r="9">
      <c r="A9" s="14" t="str">
        <f>data!$B$3</f>
      </c>
      <c r="B9" s="14" t="str">
        <f>IF(OR(COUNTA(B4,C4,E4,F4)&gt;0,OR(D4="X",D4="x")),IF(OR(D4="X",D4="x"),0,(LEN(SUBSTITUTE(SUBSTITUTE(SUBSTITUTE(E4," ",""),"0",""),"-",""))+LEN(SUBSTITUTE(SUBSTITUTE(SUBSTITUTE(F4," ",""),"0",""),"-",""))&gt;LEN(SUBSTITUTE(SUBSTITUTE(SUBSTITUTE(B4," ",""),"0",""),"-",""))+LEN(SUBSTITUTE(SUBSTITUTE(SUBSTITUTE(C4," ",""),"0",""),"-","")))*1),0)+IF(OR(COUNTA(B5,C5,E5,F5)&gt;0,OR(D5="X",D5="x")),IF(OR(D5="X",D5="x"),0,(LEN(SUBSTITUTE(SUBSTITUTE(SUBSTITUTE(E5," ",""),"0",""),"-",""))+LEN(SUBSTITUTE(SUBSTITUTE(SUBSTITUTE(F5," ",""),"0",""),"-",""))&gt;LEN(SUBSTITUTE(SUBSTITUTE(SUBSTITUTE(B5," ",""),"0",""),"-",""))+LEN(SUBSTITUTE(SUBSTITUTE(SUBSTITUTE(C5," ",""),"0",""),"-","")))*1),0)</f>
      </c>
      <c r="C9" s="14" t="str">
        <f>IF(OR(COUNTA(B4,C4,E4,F4)&gt;0,OR(D4="X",D4="x")),IF(OR(D4="X",D4="x"),0,(LEN(SUBSTITUTE(SUBSTITUTE(SUBSTITUTE(E4," ",""),"0",""),"-",""))+LEN(SUBSTITUTE(SUBSTITUTE(SUBSTITUTE(F4," ",""),"0",""),"-",""))&lt;LEN(SUBSTITUTE(SUBSTITUTE(SUBSTITUTE(B4," ",""),"0",""),"-",""))+LEN(SUBSTITUTE(SUBSTITUTE(SUBSTITUTE(C4," ",""),"0",""),"-","")))*1),0)+IF(OR(COUNTA(B5,C5,E5,F5)&gt;0,OR(D5="X",D5="x")),IF(OR(D5="X",D5="x"),0,(LEN(SUBSTITUTE(SUBSTITUTE(SUBSTITUTE(E5," ",""),"0",""),"-",""))+LEN(SUBSTITUTE(SUBSTITUTE(SUBSTITUTE(F5," ",""),"0",""),"-",""))&lt;LEN(SUBSTITUTE(SUBSTITUTE(SUBSTITUTE(B5," ",""),"0",""),"-",""))+LEN(SUBSTITUTE(SUBSTITUTE(SUBSTITUTE(C5," ",""),"0",""),"-","")))*1),0)</f>
      </c>
      <c r="D9" s="14" t="str">
        <f>IF(OR(COUNTA(B4,C4,E4,F4)&gt;0,OR(D4="X",D4="x")),IF(OR(D4="X",D4="x"),1,0),0)+IF(OR(COUNTA(B5,C5,E5,F5)&gt;0,OR(D5="X",D5="x")),IF(OR(D5="X",D5="x"),1,0),0)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I9" s="14" t="str">
        <f>data!$B$50</f>
      </c>
      <c r="J9" s="14" t="str">
        <f>IF(OR(COUNTA(J4,K4,M4,N4)&gt;0,OR(L4="X",L4="x")),IF(OR(L4="X",L4="x"),0,(LEN(SUBSTITUTE(SUBSTITUTE(SUBSTITUTE(M4," ",""),"0",""),"-",""))+LEN(SUBSTITUTE(SUBSTITUTE(SUBSTITUTE(N4," ",""),"0",""),"-",""))&gt;LEN(SUBSTITUTE(SUBSTITUTE(SUBSTITUTE(J4," ",""),"0",""),"-",""))+LEN(SUBSTITUTE(SUBSTITUTE(SUBSTITUTE(K4," ",""),"0",""),"-","")))*1),0)+IF(OR(COUNTA(J5,K5,M5,N5)&gt;0,OR(L5="X",L5="x")),IF(OR(L5="X",L5="x"),0,(LEN(SUBSTITUTE(SUBSTITUTE(SUBSTITUTE(M5," ",""),"0",""),"-",""))+LEN(SUBSTITUTE(SUBSTITUTE(SUBSTITUTE(N5," ",""),"0",""),"-",""))&gt;LEN(SUBSTITUTE(SUBSTITUTE(SUBSTITUTE(J5," ",""),"0",""),"-",""))+LEN(SUBSTITUTE(SUBSTITUTE(SUBSTITUTE(K5," ",""),"0",""),"-","")))*1),0)</f>
      </c>
      <c r="K9" s="14" t="str">
        <f>IF(OR(COUNTA(J4,K4,M4,N4)&gt;0,OR(L4="X",L4="x")),IF(OR(L4="X",L4="x"),0,(LEN(SUBSTITUTE(SUBSTITUTE(SUBSTITUTE(M4," ",""),"0",""),"-",""))+LEN(SUBSTITUTE(SUBSTITUTE(SUBSTITUTE(N4," ",""),"0",""),"-",""))&lt;LEN(SUBSTITUTE(SUBSTITUTE(SUBSTITUTE(J4," ",""),"0",""),"-",""))+LEN(SUBSTITUTE(SUBSTITUTE(SUBSTITUTE(K4," ",""),"0",""),"-","")))*1),0)+IF(OR(COUNTA(J5,K5,M5,N5)&gt;0,OR(L5="X",L5="x")),IF(OR(L5="X",L5="x"),0,(LEN(SUBSTITUTE(SUBSTITUTE(SUBSTITUTE(M5," ",""),"0",""),"-",""))+LEN(SUBSTITUTE(SUBSTITUTE(SUBSTITUTE(N5," ",""),"0",""),"-",""))&lt;LEN(SUBSTITUTE(SUBSTITUTE(SUBSTITUTE(J5," ",""),"0",""),"-",""))+LEN(SUBSTITUTE(SUBSTITUTE(SUBSTITUTE(K5," ",""),"0",""),"-","")))*1),0)</f>
      </c>
      <c r="L9" s="14" t="str">
        <f>IF(OR(COUNTA(J4,K4,M4,N4)&gt;0,OR(L4="X",L4="x")),IF(OR(L4="X",L4="x"),1,0),0)+IF(OR(COUNTA(J5,K5,M5,N5)&gt;0,OR(L5="X",L5="x")),IF(OR(L5="X",L5="x"),1,0),0)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row>
    <row r="10">
      <c r="A10" s="14" t="str">
        <f>data!$B$4</f>
      </c>
      <c r="B10" s="14" t="str">
        <f>IF(OR(COUNTA(B4,C4,E4,F4)&gt;0,OR(D4="X",D4="x")),IF(OR(D4="X",D4="x"),0,(LEN(SUBSTITUTE(SUBSTITUTE(SUBSTITUTE(B4," ",""),"0",""),"-",""))+LEN(SUBSTITUTE(SUBSTITUTE(SUBSTITUTE(C4," ",""),"0",""),"-",""))&gt;LEN(SUBSTITUTE(SUBSTITUTE(SUBSTITUTE(E4," ",""),"0",""),"-",""))+LEN(SUBSTITUTE(SUBSTITUTE(SUBSTITUTE(F4," ",""),"0",""),"-","")))*1),0)+IF(OR(COUNTA(B6,C6,E6,F6)&gt;0,OR(D6="X",D6="x")),IF(OR(D6="X",D6="x"),0,(LEN(SUBSTITUTE(SUBSTITUTE(SUBSTITUTE(E6," ",""),"0",""),"-",""))+LEN(SUBSTITUTE(SUBSTITUTE(SUBSTITUTE(F6," ",""),"0",""),"-",""))&gt;LEN(SUBSTITUTE(SUBSTITUTE(SUBSTITUTE(B6," ",""),"0",""),"-",""))+LEN(SUBSTITUTE(SUBSTITUTE(SUBSTITUTE(C6," ",""),"0",""),"-","")))*1),0)</f>
      </c>
      <c r="C10" s="14" t="str">
        <f>IF(OR(COUNTA(B4,C4,E4,F4)&gt;0,OR(D4="X",D4="x")),IF(OR(D4="X",D4="x"),0,(LEN(SUBSTITUTE(SUBSTITUTE(SUBSTITUTE(B4," ",""),"0",""),"-",""))+LEN(SUBSTITUTE(SUBSTITUTE(SUBSTITUTE(C4," ",""),"0",""),"-",""))&lt;LEN(SUBSTITUTE(SUBSTITUTE(SUBSTITUTE(E4," ",""),"0",""),"-",""))+LEN(SUBSTITUTE(SUBSTITUTE(SUBSTITUTE(F4," ",""),"0",""),"-","")))*1),0)+IF(OR(COUNTA(B6,C6,E6,F6)&gt;0,OR(D6="X",D6="x")),IF(OR(D6="X",D6="x"),0,(LEN(SUBSTITUTE(SUBSTITUTE(SUBSTITUTE(E6," ",""),"0",""),"-",""))+LEN(SUBSTITUTE(SUBSTITUTE(SUBSTITUTE(F6," ",""),"0",""),"-",""))&lt;LEN(SUBSTITUTE(SUBSTITUTE(SUBSTITUTE(B6," ",""),"0",""),"-",""))+LEN(SUBSTITUTE(SUBSTITUTE(SUBSTITUTE(C6," ",""),"0",""),"-","")))*1),0)</f>
      </c>
      <c r="D10" s="14" t="str">
        <f>IF(OR(COUNTA(B4,C4,E4,F4)&gt;0,OR(D4="X",D4="x")),IF(OR(D4="X",D4="x"),1,0),0)+IF(OR(COUNTA(B6,C6,E6,F6)&gt;0,OR(D6="X",D6="x")),IF(OR(D6="X",D6="x"),1,0),0)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I10" s="14" t="str">
        <f>data!$B$51</f>
      </c>
      <c r="J10" s="14" t="str">
        <f>IF(OR(COUNTA(J4,K4,M4,N4)&gt;0,OR(L4="X",L4="x")),IF(OR(L4="X",L4="x"),0,(LEN(SUBSTITUTE(SUBSTITUTE(SUBSTITUTE(J4," ",""),"0",""),"-",""))+LEN(SUBSTITUTE(SUBSTITUTE(SUBSTITUTE(K4," ",""),"0",""),"-",""))&gt;LEN(SUBSTITUTE(SUBSTITUTE(SUBSTITUTE(M4," ",""),"0",""),"-",""))+LEN(SUBSTITUTE(SUBSTITUTE(SUBSTITUTE(N4," ",""),"0",""),"-","")))*1),0)+IF(OR(COUNTA(J6,K6,M6,N6)&gt;0,OR(L6="X",L6="x")),IF(OR(L6="X",L6="x"),0,(LEN(SUBSTITUTE(SUBSTITUTE(SUBSTITUTE(M6," ",""),"0",""),"-",""))+LEN(SUBSTITUTE(SUBSTITUTE(SUBSTITUTE(N6," ",""),"0",""),"-",""))&gt;LEN(SUBSTITUTE(SUBSTITUTE(SUBSTITUTE(J6," ",""),"0",""),"-",""))+LEN(SUBSTITUTE(SUBSTITUTE(SUBSTITUTE(K6," ",""),"0",""),"-","")))*1),0)</f>
      </c>
      <c r="K10" s="14" t="str">
        <f>IF(OR(COUNTA(J4,K4,M4,N4)&gt;0,OR(L4="X",L4="x")),IF(OR(L4="X",L4="x"),0,(LEN(SUBSTITUTE(SUBSTITUTE(SUBSTITUTE(J4," ",""),"0",""),"-",""))+LEN(SUBSTITUTE(SUBSTITUTE(SUBSTITUTE(K4," ",""),"0",""),"-",""))&lt;LEN(SUBSTITUTE(SUBSTITUTE(SUBSTITUTE(M4," ",""),"0",""),"-",""))+LEN(SUBSTITUTE(SUBSTITUTE(SUBSTITUTE(N4," ",""),"0",""),"-","")))*1),0)+IF(OR(COUNTA(J6,K6,M6,N6)&gt;0,OR(L6="X",L6="x")),IF(OR(L6="X",L6="x"),0,(LEN(SUBSTITUTE(SUBSTITUTE(SUBSTITUTE(M6," ",""),"0",""),"-",""))+LEN(SUBSTITUTE(SUBSTITUTE(SUBSTITUTE(N6," ",""),"0",""),"-",""))&lt;LEN(SUBSTITUTE(SUBSTITUTE(SUBSTITUTE(J6," ",""),"0",""),"-",""))+LEN(SUBSTITUTE(SUBSTITUTE(SUBSTITUTE(K6," ",""),"0",""),"-","")))*1),0)</f>
      </c>
      <c r="L10" s="14" t="str">
        <f>IF(OR(COUNTA(J4,K4,M4,N4)&gt;0,OR(L4="X",L4="x")),IF(OR(L4="X",L4="x"),1,0),0)+IF(OR(COUNTA(J6,K6,M6,N6)&gt;0,OR(L6="X",L6="x")),IF(OR(L6="X",L6="x"),1,0),0)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row>
    <row r="11">
      <c r="A11" s="14" t="str">
        <f>data!$B$5</f>
      </c>
      <c r="B11" s="14" t="str">
        <f>IF(OR(COUNTA(B5,C5,E5,F5)&gt;0,OR(D5="X",D5="x")),IF(OR(D5="X",D5="x"),0,(LEN(SUBSTITUTE(SUBSTITUTE(SUBSTITUTE(B5," ",""),"0",""),"-",""))+LEN(SUBSTITUTE(SUBSTITUTE(SUBSTITUTE(C5," ",""),"0",""),"-",""))&gt;LEN(SUBSTITUTE(SUBSTITUTE(SUBSTITUTE(E5," ",""),"0",""),"-",""))+LEN(SUBSTITUTE(SUBSTITUTE(SUBSTITUTE(F5," ",""),"0",""),"-","")))*1),0)+IF(OR(COUNTA(B6,C6,E6,F6)&gt;0,OR(D6="X",D6="x")),IF(OR(D6="X",D6="x"),0,(LEN(SUBSTITUTE(SUBSTITUTE(SUBSTITUTE(B6," ",""),"0",""),"-",""))+LEN(SUBSTITUTE(SUBSTITUTE(SUBSTITUTE(C6," ",""),"0",""),"-",""))&gt;LEN(SUBSTITUTE(SUBSTITUTE(SUBSTITUTE(E6," ",""),"0",""),"-",""))+LEN(SUBSTITUTE(SUBSTITUTE(SUBSTITUTE(F6," ",""),"0",""),"-","")))*1),0)</f>
      </c>
      <c r="C11" s="14" t="str">
        <f>IF(OR(COUNTA(B5,C5,E5,F5)&gt;0,OR(D5="X",D5="x")),IF(OR(D5="X",D5="x"),0,(LEN(SUBSTITUTE(SUBSTITUTE(SUBSTITUTE(B5," ",""),"0",""),"-",""))+LEN(SUBSTITUTE(SUBSTITUTE(SUBSTITUTE(C5," ",""),"0",""),"-",""))&lt;LEN(SUBSTITUTE(SUBSTITUTE(SUBSTITUTE(E5," ",""),"0",""),"-",""))+LEN(SUBSTITUTE(SUBSTITUTE(SUBSTITUTE(F5," ",""),"0",""),"-","")))*1),0)+IF(OR(COUNTA(B6,C6,E6,F6)&gt;0,OR(D6="X",D6="x")),IF(OR(D6="X",D6="x"),0,(LEN(SUBSTITUTE(SUBSTITUTE(SUBSTITUTE(B6," ",""),"0",""),"-",""))+LEN(SUBSTITUTE(SUBSTITUTE(SUBSTITUTE(C6," ",""),"0",""),"-",""))&lt;LEN(SUBSTITUTE(SUBSTITUTE(SUBSTITUTE(E6," ",""),"0",""),"-",""))+LEN(SUBSTITUTE(SUBSTITUTE(SUBSTITUTE(F6," ",""),"0",""),"-","")))*1),0)</f>
      </c>
      <c r="D11" s="14" t="str">
        <f>IF(OR(COUNTA(B5,C5,E5,F5)&gt;0,OR(D5="X",D5="x")),IF(OR(D5="X",D5="x"),1,0),0)+IF(OR(COUNTA(B6,C6,E6,F6)&gt;0,OR(D6="X",D6="x")),IF(OR(D6="X",D6="x"),1,0),0)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I11" s="14" t="str">
        <f>data!$B$52</f>
      </c>
      <c r="J11" s="14" t="str">
        <f>IF(OR(COUNTA(J5,K5,M5,N5)&gt;0,OR(L5="X",L5="x")),IF(OR(L5="X",L5="x"),0,(LEN(SUBSTITUTE(SUBSTITUTE(SUBSTITUTE(J5," ",""),"0",""),"-",""))+LEN(SUBSTITUTE(SUBSTITUTE(SUBSTITUTE(K5," ",""),"0",""),"-",""))&gt;LEN(SUBSTITUTE(SUBSTITUTE(SUBSTITUTE(M5," ",""),"0",""),"-",""))+LEN(SUBSTITUTE(SUBSTITUTE(SUBSTITUTE(N5," ",""),"0",""),"-","")))*1),0)+IF(OR(COUNTA(J6,K6,M6,N6)&gt;0,OR(L6="X",L6="x")),IF(OR(L6="X",L6="x"),0,(LEN(SUBSTITUTE(SUBSTITUTE(SUBSTITUTE(J6," ",""),"0",""),"-",""))+LEN(SUBSTITUTE(SUBSTITUTE(SUBSTITUTE(K6," ",""),"0",""),"-",""))&gt;LEN(SUBSTITUTE(SUBSTITUTE(SUBSTITUTE(M6," ",""),"0",""),"-",""))+LEN(SUBSTITUTE(SUBSTITUTE(SUBSTITUTE(N6," ",""),"0",""),"-","")))*1),0)</f>
      </c>
      <c r="K11" s="14" t="str">
        <f>IF(OR(COUNTA(J5,K5,M5,N5)&gt;0,OR(L5="X",L5="x")),IF(OR(L5="X",L5="x"),0,(LEN(SUBSTITUTE(SUBSTITUTE(SUBSTITUTE(J5," ",""),"0",""),"-",""))+LEN(SUBSTITUTE(SUBSTITUTE(SUBSTITUTE(K5," ",""),"0",""),"-",""))&lt;LEN(SUBSTITUTE(SUBSTITUTE(SUBSTITUTE(M5," ",""),"0",""),"-",""))+LEN(SUBSTITUTE(SUBSTITUTE(SUBSTITUTE(N5," ",""),"0",""),"-","")))*1),0)+IF(OR(COUNTA(J6,K6,M6,N6)&gt;0,OR(L6="X",L6="x")),IF(OR(L6="X",L6="x"),0,(LEN(SUBSTITUTE(SUBSTITUTE(SUBSTITUTE(J6," ",""),"0",""),"-",""))+LEN(SUBSTITUTE(SUBSTITUTE(SUBSTITUTE(K6," ",""),"0",""),"-",""))&lt;LEN(SUBSTITUTE(SUBSTITUTE(SUBSTITUTE(M6," ",""),"0",""),"-",""))+LEN(SUBSTITUTE(SUBSTITUTE(SUBSTITUTE(N6," ",""),"0",""),"-","")))*1),0)</f>
      </c>
      <c r="L11" s="14" t="str">
        <f>IF(OR(COUNTA(J5,K5,M5,N5)&gt;0,OR(L5="X",L5="x")),IF(OR(L5="X",L5="x"),1,0),0)+IF(OR(COUNTA(J6,K6,M6,N6)&gt;0,OR(L6="X",L6="x")),IF(OR(L6="X",L6="x"),1,0),0)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row>
    <row r="13">
      <c r="F13" t="s">
        <v>248</v>
      </c>
      <c r="G13" s="19"/>
      <c r="N13" t="s">
        <v>248</v>
      </c>
      <c r="O13" s="19"/>
    </row>
    <row r="14">
      <c r="F14" t="s">
        <v>249</v>
      </c>
      <c r="G14" s="19"/>
      <c r="N14" t="s">
        <v>249</v>
      </c>
      <c r="O14" s="19"/>
    </row>
    <row r="15">
      <c r="F15" t="s">
        <v>250</v>
      </c>
      <c r="G15" s="19"/>
      <c r="N15" t="s">
        <v>250</v>
      </c>
      <c r="O15" s="19"/>
    </row>
    <row r="18">
      <c r="A18" s="13" t="str">
        <f>data!$A$8</f>
      </c>
      <c r="B18" s="13"/>
      <c r="C18" s="13"/>
      <c r="D18" s="13"/>
      <c r="E18" s="13"/>
      <c r="F18" s="13"/>
      <c r="G18" s="13"/>
      <c r="I18" s="13" t="str">
        <f>data!$A$55</f>
      </c>
      <c r="J18" s="13"/>
      <c r="K18" s="13"/>
      <c r="L18" s="13"/>
      <c r="M18" s="13"/>
      <c r="N18" s="13"/>
      <c r="O18" s="13"/>
    </row>
    <row r="19">
      <c r="A19" s="17" t="s">
        <v>239</v>
      </c>
      <c r="D19" s="14" t="s">
        <v>240</v>
      </c>
      <c r="G19" s="16" t="s">
        <v>241</v>
      </c>
      <c r="I19" s="17" t="s">
        <v>239</v>
      </c>
      <c r="L19" s="14" t="s">
        <v>240</v>
      </c>
      <c r="O19" s="16" t="s">
        <v>241</v>
      </c>
    </row>
    <row r="20">
      <c r="A20" s="14" t="str">
        <f>data!$B$7</f>
      </c>
      <c r="B20" s="18"/>
      <c r="C20" s="18"/>
      <c r="D20" s="18"/>
      <c r="E20" s="18"/>
      <c r="F20" s="18"/>
      <c r="G20" s="14" t="str">
        <f>data!$B$6</f>
      </c>
      <c r="I20" s="14" t="str">
        <f>data!$B$54</f>
      </c>
      <c r="J20" s="18"/>
      <c r="K20" s="18"/>
      <c r="L20" s="18"/>
      <c r="M20" s="18"/>
      <c r="N20" s="18"/>
      <c r="O20" s="14" t="str">
        <f>data!$B$53</f>
      </c>
    </row>
    <row r="21">
      <c r="A21" s="14" t="str">
        <f>data!$B$8</f>
      </c>
      <c r="B21" s="18"/>
      <c r="C21" s="18"/>
      <c r="D21" s="18"/>
      <c r="E21" s="18"/>
      <c r="F21" s="18"/>
      <c r="G21" s="14" t="str">
        <f>data!$B$6</f>
      </c>
      <c r="I21" s="14" t="str">
        <f>data!$B$55</f>
      </c>
      <c r="J21" s="18"/>
      <c r="K21" s="18"/>
      <c r="L21" s="18"/>
      <c r="M21" s="18"/>
      <c r="N21" s="18"/>
      <c r="O21" s="14" t="str">
        <f>data!$B$53</f>
      </c>
    </row>
    <row r="22">
      <c r="A22" s="14" t="str">
        <f>data!$B$8</f>
      </c>
      <c r="B22" s="18"/>
      <c r="C22" s="18"/>
      <c r="D22" s="18"/>
      <c r="E22" s="18"/>
      <c r="F22" s="18"/>
      <c r="G22" s="14" t="str">
        <f>data!$B$7</f>
      </c>
      <c r="I22" s="14" t="str">
        <f>data!$B$55</f>
      </c>
      <c r="J22" s="18"/>
      <c r="K22" s="18"/>
      <c r="L22" s="18"/>
      <c r="M22" s="18"/>
      <c r="N22" s="18"/>
      <c r="O22" s="14" t="str">
        <f>data!$B$54</f>
      </c>
    </row>
    <row r="24">
      <c r="A24" s="13" t="s">
        <v>242</v>
      </c>
      <c r="B24" s="13" t="s">
        <v>243</v>
      </c>
      <c r="C24" s="13" t="s">
        <v>244</v>
      </c>
      <c r="D24" s="13" t="s">
        <v>245</v>
      </c>
      <c r="E24" s="13" t="s">
        <v>246</v>
      </c>
      <c r="F24" s="13" t="s">
        <v>247</v>
      </c>
      <c r="I24" s="13" t="s">
        <v>242</v>
      </c>
      <c r="J24" s="13" t="s">
        <v>243</v>
      </c>
      <c r="K24" s="13" t="s">
        <v>244</v>
      </c>
      <c r="L24" s="13" t="s">
        <v>245</v>
      </c>
      <c r="M24" s="13" t="s">
        <v>246</v>
      </c>
      <c r="N24" s="13" t="s">
        <v>247</v>
      </c>
    </row>
    <row r="25">
      <c r="A25" s="14" t="str">
        <f>data!$B$6</f>
      </c>
      <c r="B25" s="14" t="str">
        <f>IF(OR(COUNTA(B20,C20,E20,F20)&gt;0,OR(D20="X",D20="x")),IF(OR(D20="X",D20="x"),0,(LEN(SUBSTITUTE(SUBSTITUTE(SUBSTITUTE(E20," ",""),"0",""),"-",""))+LEN(SUBSTITUTE(SUBSTITUTE(SUBSTITUTE(F20," ",""),"0",""),"-",""))&gt;LEN(SUBSTITUTE(SUBSTITUTE(SUBSTITUTE(B20," ",""),"0",""),"-",""))+LEN(SUBSTITUTE(SUBSTITUTE(SUBSTITUTE(C20," ",""),"0",""),"-","")))*1),0)+IF(OR(COUNTA(B21,C21,E21,F21)&gt;0,OR(D21="X",D21="x")),IF(OR(D21="X",D21="x"),0,(LEN(SUBSTITUTE(SUBSTITUTE(SUBSTITUTE(E21," ",""),"0",""),"-",""))+LEN(SUBSTITUTE(SUBSTITUTE(SUBSTITUTE(F21," ",""),"0",""),"-",""))&gt;LEN(SUBSTITUTE(SUBSTITUTE(SUBSTITUTE(B21," ",""),"0",""),"-",""))+LEN(SUBSTITUTE(SUBSTITUTE(SUBSTITUTE(C21," ",""),"0",""),"-","")))*1),0)</f>
      </c>
      <c r="C25" s="14" t="str">
        <f>IF(OR(COUNTA(B20,C20,E20,F20)&gt;0,OR(D20="X",D20="x")),IF(OR(D20="X",D20="x"),0,(LEN(SUBSTITUTE(SUBSTITUTE(SUBSTITUTE(E20," ",""),"0",""),"-",""))+LEN(SUBSTITUTE(SUBSTITUTE(SUBSTITUTE(F20," ",""),"0",""),"-",""))&lt;LEN(SUBSTITUTE(SUBSTITUTE(SUBSTITUTE(B20," ",""),"0",""),"-",""))+LEN(SUBSTITUTE(SUBSTITUTE(SUBSTITUTE(C20," ",""),"0",""),"-","")))*1),0)+IF(OR(COUNTA(B21,C21,E21,F21)&gt;0,OR(D21="X",D21="x")),IF(OR(D21="X",D21="x"),0,(LEN(SUBSTITUTE(SUBSTITUTE(SUBSTITUTE(E21," ",""),"0",""),"-",""))+LEN(SUBSTITUTE(SUBSTITUTE(SUBSTITUTE(F21," ",""),"0",""),"-",""))&lt;LEN(SUBSTITUTE(SUBSTITUTE(SUBSTITUTE(B21," ",""),"0",""),"-",""))+LEN(SUBSTITUTE(SUBSTITUTE(SUBSTITUTE(C21," ",""),"0",""),"-","")))*1),0)</f>
      </c>
      <c r="D25" s="14" t="str">
        <f>IF(OR(COUNTA(B20,C20,E20,F20)&gt;0,OR(D20="X",D20="x")),IF(OR(D20="X",D20="x"),1,0),0)+IF(OR(COUNTA(B21,C21,E21,F21)&gt;0,OR(D21="X",D21="x")),IF(OR(D21="X",D21="x"),1,0),0)</f>
      </c>
      <c r="E25" s="14" t="str">
        <f>LEN(SUBSTITUTE(SUBSTITUTE(SUBSTITUTE(E20," ",""),"0",""),"-",""))+LEN(SUBSTITUTE(SUBSTITUTE(SUBSTITUTE(F20," ",""),"0",""),"-",""))+LEN(SUBSTITUTE(SUBSTITUTE(SUBSTITUTE(E21," ",""),"0",""),"-",""))+LEN(SUBSTITUTE(SUBSTITUTE(SUBSTITUTE(F21," ",""),"0",""),"-",""))</f>
      </c>
      <c r="F25" s="14" t="str">
        <f>LEN(SUBSTITUTE(SUBSTITUTE(SUBSTITUTE(B20," ",""),"0",""),"-",""))+LEN(SUBSTITUTE(SUBSTITUTE(SUBSTITUTE(C20," ",""),"0",""),"-",""))+LEN(SUBSTITUTE(SUBSTITUTE(SUBSTITUTE(B21," ",""),"0",""),"-",""))+LEN(SUBSTITUTE(SUBSTITUTE(SUBSTITUTE(C21," ",""),"0",""),"-",""))</f>
      </c>
      <c r="I25" s="14" t="str">
        <f>data!$B$53</f>
      </c>
      <c r="J25" s="14" t="str">
        <f>IF(OR(COUNTA(J20,K20,M20,N20)&gt;0,OR(L20="X",L20="x")),IF(OR(L20="X",L20="x"),0,(LEN(SUBSTITUTE(SUBSTITUTE(SUBSTITUTE(M20," ",""),"0",""),"-",""))+LEN(SUBSTITUTE(SUBSTITUTE(SUBSTITUTE(N20," ",""),"0",""),"-",""))&gt;LEN(SUBSTITUTE(SUBSTITUTE(SUBSTITUTE(J20," ",""),"0",""),"-",""))+LEN(SUBSTITUTE(SUBSTITUTE(SUBSTITUTE(K20," ",""),"0",""),"-","")))*1),0)+IF(OR(COUNTA(J21,K21,M21,N21)&gt;0,OR(L21="X",L21="x")),IF(OR(L21="X",L21="x"),0,(LEN(SUBSTITUTE(SUBSTITUTE(SUBSTITUTE(M21," ",""),"0",""),"-",""))+LEN(SUBSTITUTE(SUBSTITUTE(SUBSTITUTE(N21," ",""),"0",""),"-",""))&gt;LEN(SUBSTITUTE(SUBSTITUTE(SUBSTITUTE(J21," ",""),"0",""),"-",""))+LEN(SUBSTITUTE(SUBSTITUTE(SUBSTITUTE(K21," ",""),"0",""),"-","")))*1),0)</f>
      </c>
      <c r="K25" s="14" t="str">
        <f>IF(OR(COUNTA(J20,K20,M20,N20)&gt;0,OR(L20="X",L20="x")),IF(OR(L20="X",L20="x"),0,(LEN(SUBSTITUTE(SUBSTITUTE(SUBSTITUTE(M20," ",""),"0",""),"-",""))+LEN(SUBSTITUTE(SUBSTITUTE(SUBSTITUTE(N20," ",""),"0",""),"-",""))&lt;LEN(SUBSTITUTE(SUBSTITUTE(SUBSTITUTE(J20," ",""),"0",""),"-",""))+LEN(SUBSTITUTE(SUBSTITUTE(SUBSTITUTE(K20," ",""),"0",""),"-","")))*1),0)+IF(OR(COUNTA(J21,K21,M21,N21)&gt;0,OR(L21="X",L21="x")),IF(OR(L21="X",L21="x"),0,(LEN(SUBSTITUTE(SUBSTITUTE(SUBSTITUTE(M21," ",""),"0",""),"-",""))+LEN(SUBSTITUTE(SUBSTITUTE(SUBSTITUTE(N21," ",""),"0",""),"-",""))&lt;LEN(SUBSTITUTE(SUBSTITUTE(SUBSTITUTE(J21," ",""),"0",""),"-",""))+LEN(SUBSTITUTE(SUBSTITUTE(SUBSTITUTE(K21," ",""),"0",""),"-","")))*1),0)</f>
      </c>
      <c r="L25" s="14" t="str">
        <f>IF(OR(COUNTA(J20,K20,M20,N20)&gt;0,OR(L20="X",L20="x")),IF(OR(L20="X",L20="x"),1,0),0)+IF(OR(COUNTA(J21,K21,M21,N21)&gt;0,OR(L21="X",L21="x")),IF(OR(L21="X",L21="x"),1,0),0)</f>
      </c>
      <c r="M25" s="14" t="str">
        <f>LEN(SUBSTITUTE(SUBSTITUTE(SUBSTITUTE(M20," ",""),"0",""),"-",""))+LEN(SUBSTITUTE(SUBSTITUTE(SUBSTITUTE(N20," ",""),"0",""),"-",""))+LEN(SUBSTITUTE(SUBSTITUTE(SUBSTITUTE(M21," ",""),"0",""),"-",""))+LEN(SUBSTITUTE(SUBSTITUTE(SUBSTITUTE(N21," ",""),"0",""),"-",""))</f>
      </c>
      <c r="N25" s="14" t="str">
        <f>LEN(SUBSTITUTE(SUBSTITUTE(SUBSTITUTE(J20," ",""),"0",""),"-",""))+LEN(SUBSTITUTE(SUBSTITUTE(SUBSTITUTE(K20," ",""),"0",""),"-",""))+LEN(SUBSTITUTE(SUBSTITUTE(SUBSTITUTE(J21," ",""),"0",""),"-",""))+LEN(SUBSTITUTE(SUBSTITUTE(SUBSTITUTE(K21," ",""),"0",""),"-",""))</f>
      </c>
    </row>
    <row r="26">
      <c r="A26" s="14" t="str">
        <f>data!$B$7</f>
      </c>
      <c r="B26" s="14" t="str">
        <f>IF(OR(COUNTA(B20,C20,E20,F20)&gt;0,OR(D20="X",D20="x")),IF(OR(D20="X",D20="x"),0,(LEN(SUBSTITUTE(SUBSTITUTE(SUBSTITUTE(B20," ",""),"0",""),"-",""))+LEN(SUBSTITUTE(SUBSTITUTE(SUBSTITUTE(C20," ",""),"0",""),"-",""))&gt;LEN(SUBSTITUTE(SUBSTITUTE(SUBSTITUTE(E20," ",""),"0",""),"-",""))+LEN(SUBSTITUTE(SUBSTITUTE(SUBSTITUTE(F20," ",""),"0",""),"-","")))*1),0)+IF(OR(COUNTA(B22,C22,E22,F22)&gt;0,OR(D22="X",D22="x")),IF(OR(D22="X",D22="x"),0,(LEN(SUBSTITUTE(SUBSTITUTE(SUBSTITUTE(E22," ",""),"0",""),"-",""))+LEN(SUBSTITUTE(SUBSTITUTE(SUBSTITUTE(F22," ",""),"0",""),"-",""))&gt;LEN(SUBSTITUTE(SUBSTITUTE(SUBSTITUTE(B22," ",""),"0",""),"-",""))+LEN(SUBSTITUTE(SUBSTITUTE(SUBSTITUTE(C22," ",""),"0",""),"-","")))*1),0)</f>
      </c>
      <c r="C26" s="14" t="str">
        <f>IF(OR(COUNTA(B20,C20,E20,F20)&gt;0,OR(D20="X",D20="x")),IF(OR(D20="X",D20="x"),0,(LEN(SUBSTITUTE(SUBSTITUTE(SUBSTITUTE(B20," ",""),"0",""),"-",""))+LEN(SUBSTITUTE(SUBSTITUTE(SUBSTITUTE(C20," ",""),"0",""),"-",""))&lt;LEN(SUBSTITUTE(SUBSTITUTE(SUBSTITUTE(E20," ",""),"0",""),"-",""))+LEN(SUBSTITUTE(SUBSTITUTE(SUBSTITUTE(F20," ",""),"0",""),"-","")))*1),0)+IF(OR(COUNTA(B22,C22,E22,F22)&gt;0,OR(D22="X",D22="x")),IF(OR(D22="X",D22="x"),0,(LEN(SUBSTITUTE(SUBSTITUTE(SUBSTITUTE(E22," ",""),"0",""),"-",""))+LEN(SUBSTITUTE(SUBSTITUTE(SUBSTITUTE(F22," ",""),"0",""),"-",""))&lt;LEN(SUBSTITUTE(SUBSTITUTE(SUBSTITUTE(B22," ",""),"0",""),"-",""))+LEN(SUBSTITUTE(SUBSTITUTE(SUBSTITUTE(C22," ",""),"0",""),"-","")))*1),0)</f>
      </c>
      <c r="D26" s="14" t="str">
        <f>IF(OR(COUNTA(B20,C20,E20,F20)&gt;0,OR(D20="X",D20="x")),IF(OR(D20="X",D20="x"),1,0),0)+IF(OR(COUNTA(B22,C22,E22,F22)&gt;0,OR(D22="X",D22="x")),IF(OR(D22="X",D22="x"),1,0),0)</f>
      </c>
      <c r="E26" s="14" t="str">
        <f>LEN(SUBSTITUTE(SUBSTITUTE(SUBSTITUTE(B20," ",""),"0",""),"-",""))+LEN(SUBSTITUTE(SUBSTITUTE(SUBSTITUTE(C20," ",""),"0",""),"-",""))+LEN(SUBSTITUTE(SUBSTITUTE(SUBSTITUTE(E22," ",""),"0",""),"-",""))+LEN(SUBSTITUTE(SUBSTITUTE(SUBSTITUTE(F22," ",""),"0",""),"-",""))</f>
      </c>
      <c r="F26" s="14" t="str">
        <f>LEN(SUBSTITUTE(SUBSTITUTE(SUBSTITUTE(E20," ",""),"0",""),"-",""))+LEN(SUBSTITUTE(SUBSTITUTE(SUBSTITUTE(F20," ",""),"0",""),"-",""))+LEN(SUBSTITUTE(SUBSTITUTE(SUBSTITUTE(B22," ",""),"0",""),"-",""))+LEN(SUBSTITUTE(SUBSTITUTE(SUBSTITUTE(C22," ",""),"0",""),"-",""))</f>
      </c>
      <c r="I26" s="14" t="str">
        <f>data!$B$54</f>
      </c>
      <c r="J26" s="14" t="str">
        <f>IF(OR(COUNTA(J20,K20,M20,N20)&gt;0,OR(L20="X",L20="x")),IF(OR(L20="X",L20="x"),0,(LEN(SUBSTITUTE(SUBSTITUTE(SUBSTITUTE(J20," ",""),"0",""),"-",""))+LEN(SUBSTITUTE(SUBSTITUTE(SUBSTITUTE(K20," ",""),"0",""),"-",""))&gt;LEN(SUBSTITUTE(SUBSTITUTE(SUBSTITUTE(M20," ",""),"0",""),"-",""))+LEN(SUBSTITUTE(SUBSTITUTE(SUBSTITUTE(N20," ",""),"0",""),"-","")))*1),0)+IF(OR(COUNTA(J22,K22,M22,N22)&gt;0,OR(L22="X",L22="x")),IF(OR(L22="X",L22="x"),0,(LEN(SUBSTITUTE(SUBSTITUTE(SUBSTITUTE(M22," ",""),"0",""),"-",""))+LEN(SUBSTITUTE(SUBSTITUTE(SUBSTITUTE(N22," ",""),"0",""),"-",""))&gt;LEN(SUBSTITUTE(SUBSTITUTE(SUBSTITUTE(J22," ",""),"0",""),"-",""))+LEN(SUBSTITUTE(SUBSTITUTE(SUBSTITUTE(K22," ",""),"0",""),"-","")))*1),0)</f>
      </c>
      <c r="K26" s="14" t="str">
        <f>IF(OR(COUNTA(J20,K20,M20,N20)&gt;0,OR(L20="X",L20="x")),IF(OR(L20="X",L20="x"),0,(LEN(SUBSTITUTE(SUBSTITUTE(SUBSTITUTE(J20," ",""),"0",""),"-",""))+LEN(SUBSTITUTE(SUBSTITUTE(SUBSTITUTE(K20," ",""),"0",""),"-",""))&lt;LEN(SUBSTITUTE(SUBSTITUTE(SUBSTITUTE(M20," ",""),"0",""),"-",""))+LEN(SUBSTITUTE(SUBSTITUTE(SUBSTITUTE(N20," ",""),"0",""),"-","")))*1),0)+IF(OR(COUNTA(J22,K22,M22,N22)&gt;0,OR(L22="X",L22="x")),IF(OR(L22="X",L22="x"),0,(LEN(SUBSTITUTE(SUBSTITUTE(SUBSTITUTE(M22," ",""),"0",""),"-",""))+LEN(SUBSTITUTE(SUBSTITUTE(SUBSTITUTE(N22," ",""),"0",""),"-",""))&lt;LEN(SUBSTITUTE(SUBSTITUTE(SUBSTITUTE(J22," ",""),"0",""),"-",""))+LEN(SUBSTITUTE(SUBSTITUTE(SUBSTITUTE(K22," ",""),"0",""),"-","")))*1),0)</f>
      </c>
      <c r="L26" s="14" t="str">
        <f>IF(OR(COUNTA(J20,K20,M20,N20)&gt;0,OR(L20="X",L20="x")),IF(OR(L20="X",L20="x"),1,0),0)+IF(OR(COUNTA(J22,K22,M22,N22)&gt;0,OR(L22="X",L22="x")),IF(OR(L22="X",L22="x"),1,0),0)</f>
      </c>
      <c r="M26" s="14" t="str">
        <f>LEN(SUBSTITUTE(SUBSTITUTE(SUBSTITUTE(J20," ",""),"0",""),"-",""))+LEN(SUBSTITUTE(SUBSTITUTE(SUBSTITUTE(K20," ",""),"0",""),"-",""))+LEN(SUBSTITUTE(SUBSTITUTE(SUBSTITUTE(M22," ",""),"0",""),"-",""))+LEN(SUBSTITUTE(SUBSTITUTE(SUBSTITUTE(N22," ",""),"0",""),"-",""))</f>
      </c>
      <c r="N26" s="14" t="str">
        <f>LEN(SUBSTITUTE(SUBSTITUTE(SUBSTITUTE(M20," ",""),"0",""),"-",""))+LEN(SUBSTITUTE(SUBSTITUTE(SUBSTITUTE(N20," ",""),"0",""),"-",""))+LEN(SUBSTITUTE(SUBSTITUTE(SUBSTITUTE(J22," ",""),"0",""),"-",""))+LEN(SUBSTITUTE(SUBSTITUTE(SUBSTITUTE(K22," ",""),"0",""),"-",""))</f>
      </c>
    </row>
    <row r="27">
      <c r="A27" s="14" t="str">
        <f>data!$B$8</f>
      </c>
      <c r="B27" s="14" t="str">
        <f>IF(OR(COUNTA(B21,C21,E21,F21)&gt;0,OR(D21="X",D21="x")),IF(OR(D21="X",D21="x"),0,(LEN(SUBSTITUTE(SUBSTITUTE(SUBSTITUTE(B21," ",""),"0",""),"-",""))+LEN(SUBSTITUTE(SUBSTITUTE(SUBSTITUTE(C21," ",""),"0",""),"-",""))&gt;LEN(SUBSTITUTE(SUBSTITUTE(SUBSTITUTE(E21," ",""),"0",""),"-",""))+LEN(SUBSTITUTE(SUBSTITUTE(SUBSTITUTE(F21," ",""),"0",""),"-","")))*1),0)+IF(OR(COUNTA(B22,C22,E22,F22)&gt;0,OR(D22="X",D22="x")),IF(OR(D22="X",D22="x"),0,(LEN(SUBSTITUTE(SUBSTITUTE(SUBSTITUTE(B22," ",""),"0",""),"-",""))+LEN(SUBSTITUTE(SUBSTITUTE(SUBSTITUTE(C22," ",""),"0",""),"-",""))&gt;LEN(SUBSTITUTE(SUBSTITUTE(SUBSTITUTE(E22," ",""),"0",""),"-",""))+LEN(SUBSTITUTE(SUBSTITUTE(SUBSTITUTE(F22," ",""),"0",""),"-","")))*1),0)</f>
      </c>
      <c r="C27" s="14" t="str">
        <f>IF(OR(COUNTA(B21,C21,E21,F21)&gt;0,OR(D21="X",D21="x")),IF(OR(D21="X",D21="x"),0,(LEN(SUBSTITUTE(SUBSTITUTE(SUBSTITUTE(B21," ",""),"0",""),"-",""))+LEN(SUBSTITUTE(SUBSTITUTE(SUBSTITUTE(C21," ",""),"0",""),"-",""))&lt;LEN(SUBSTITUTE(SUBSTITUTE(SUBSTITUTE(E21," ",""),"0",""),"-",""))+LEN(SUBSTITUTE(SUBSTITUTE(SUBSTITUTE(F21," ",""),"0",""),"-","")))*1),0)+IF(OR(COUNTA(B22,C22,E22,F22)&gt;0,OR(D22="X",D22="x")),IF(OR(D22="X",D22="x"),0,(LEN(SUBSTITUTE(SUBSTITUTE(SUBSTITUTE(B22," ",""),"0",""),"-",""))+LEN(SUBSTITUTE(SUBSTITUTE(SUBSTITUTE(C22," ",""),"0",""),"-",""))&lt;LEN(SUBSTITUTE(SUBSTITUTE(SUBSTITUTE(E22," ",""),"0",""),"-",""))+LEN(SUBSTITUTE(SUBSTITUTE(SUBSTITUTE(F22," ",""),"0",""),"-","")))*1),0)</f>
      </c>
      <c r="D27" s="14" t="str">
        <f>IF(OR(COUNTA(B21,C21,E21,F21)&gt;0,OR(D21="X",D21="x")),IF(OR(D21="X",D21="x"),1,0),0)+IF(OR(COUNTA(B22,C22,E22,F22)&gt;0,OR(D22="X",D22="x")),IF(OR(D22="X",D22="x"),1,0),0)</f>
      </c>
      <c r="E27" s="14" t="str">
        <f>LEN(SUBSTITUTE(SUBSTITUTE(SUBSTITUTE(B21," ",""),"0",""),"-",""))+LEN(SUBSTITUTE(SUBSTITUTE(SUBSTITUTE(C21," ",""),"0",""),"-",""))+LEN(SUBSTITUTE(SUBSTITUTE(SUBSTITUTE(B22," ",""),"0",""),"-",""))+LEN(SUBSTITUTE(SUBSTITUTE(SUBSTITUTE(C22," ",""),"0",""),"-",""))</f>
      </c>
      <c r="F27" s="14" t="str">
        <f>LEN(SUBSTITUTE(SUBSTITUTE(SUBSTITUTE(E21," ",""),"0",""),"-",""))+LEN(SUBSTITUTE(SUBSTITUTE(SUBSTITUTE(F21," ",""),"0",""),"-",""))+LEN(SUBSTITUTE(SUBSTITUTE(SUBSTITUTE(E22," ",""),"0",""),"-",""))+LEN(SUBSTITUTE(SUBSTITUTE(SUBSTITUTE(F22," ",""),"0",""),"-",""))</f>
      </c>
      <c r="I27" s="14" t="str">
        <f>data!$B$55</f>
      </c>
      <c r="J27" s="14" t="str">
        <f>IF(OR(COUNTA(J21,K21,M21,N21)&gt;0,OR(L21="X",L21="x")),IF(OR(L21="X",L21="x"),0,(LEN(SUBSTITUTE(SUBSTITUTE(SUBSTITUTE(J21," ",""),"0",""),"-",""))+LEN(SUBSTITUTE(SUBSTITUTE(SUBSTITUTE(K21," ",""),"0",""),"-",""))&gt;LEN(SUBSTITUTE(SUBSTITUTE(SUBSTITUTE(M21," ",""),"0",""),"-",""))+LEN(SUBSTITUTE(SUBSTITUTE(SUBSTITUTE(N21," ",""),"0",""),"-","")))*1),0)+IF(OR(COUNTA(J22,K22,M22,N22)&gt;0,OR(L22="X",L22="x")),IF(OR(L22="X",L22="x"),0,(LEN(SUBSTITUTE(SUBSTITUTE(SUBSTITUTE(J22," ",""),"0",""),"-",""))+LEN(SUBSTITUTE(SUBSTITUTE(SUBSTITUTE(K22," ",""),"0",""),"-",""))&gt;LEN(SUBSTITUTE(SUBSTITUTE(SUBSTITUTE(M22," ",""),"0",""),"-",""))+LEN(SUBSTITUTE(SUBSTITUTE(SUBSTITUTE(N22," ",""),"0",""),"-","")))*1),0)</f>
      </c>
      <c r="K27" s="14" t="str">
        <f>IF(OR(COUNTA(J21,K21,M21,N21)&gt;0,OR(L21="X",L21="x")),IF(OR(L21="X",L21="x"),0,(LEN(SUBSTITUTE(SUBSTITUTE(SUBSTITUTE(J21," ",""),"0",""),"-",""))+LEN(SUBSTITUTE(SUBSTITUTE(SUBSTITUTE(K21," ",""),"0",""),"-",""))&lt;LEN(SUBSTITUTE(SUBSTITUTE(SUBSTITUTE(M21," ",""),"0",""),"-",""))+LEN(SUBSTITUTE(SUBSTITUTE(SUBSTITUTE(N21," ",""),"0",""),"-","")))*1),0)+IF(OR(COUNTA(J22,K22,M22,N22)&gt;0,OR(L22="X",L22="x")),IF(OR(L22="X",L22="x"),0,(LEN(SUBSTITUTE(SUBSTITUTE(SUBSTITUTE(J22," ",""),"0",""),"-",""))+LEN(SUBSTITUTE(SUBSTITUTE(SUBSTITUTE(K22," ",""),"0",""),"-",""))&lt;LEN(SUBSTITUTE(SUBSTITUTE(SUBSTITUTE(M22," ",""),"0",""),"-",""))+LEN(SUBSTITUTE(SUBSTITUTE(SUBSTITUTE(N22," ",""),"0",""),"-","")))*1),0)</f>
      </c>
      <c r="L27" s="14" t="str">
        <f>IF(OR(COUNTA(J21,K21,M21,N21)&gt;0,OR(L21="X",L21="x")),IF(OR(L21="X",L21="x"),1,0),0)+IF(OR(COUNTA(J22,K22,M22,N22)&gt;0,OR(L22="X",L22="x")),IF(OR(L22="X",L22="x"),1,0),0)</f>
      </c>
      <c r="M27" s="14" t="str">
        <f>LEN(SUBSTITUTE(SUBSTITUTE(SUBSTITUTE(J21," ",""),"0",""),"-",""))+LEN(SUBSTITUTE(SUBSTITUTE(SUBSTITUTE(K21," ",""),"0",""),"-",""))+LEN(SUBSTITUTE(SUBSTITUTE(SUBSTITUTE(J22," ",""),"0",""),"-",""))+LEN(SUBSTITUTE(SUBSTITUTE(SUBSTITUTE(K22," ",""),"0",""),"-",""))</f>
      </c>
      <c r="N27" s="14" t="str">
        <f>LEN(SUBSTITUTE(SUBSTITUTE(SUBSTITUTE(M21," ",""),"0",""),"-",""))+LEN(SUBSTITUTE(SUBSTITUTE(SUBSTITUTE(N21," ",""),"0",""),"-",""))+LEN(SUBSTITUTE(SUBSTITUTE(SUBSTITUTE(M22," ",""),"0",""),"-",""))+LEN(SUBSTITUTE(SUBSTITUTE(SUBSTITUTE(N22," ",""),"0",""),"-",""))</f>
      </c>
    </row>
    <row r="29">
      <c r="F29" t="s">
        <v>248</v>
      </c>
      <c r="G29" s="19"/>
      <c r="N29" t="s">
        <v>248</v>
      </c>
      <c r="O29" s="19"/>
    </row>
    <row r="30">
      <c r="F30" t="s">
        <v>249</v>
      </c>
      <c r="G30" s="19"/>
      <c r="N30" t="s">
        <v>249</v>
      </c>
      <c r="O30" s="19"/>
    </row>
    <row r="31">
      <c r="F31" t="s">
        <v>250</v>
      </c>
      <c r="G31" s="19"/>
      <c r="N31" t="s">
        <v>250</v>
      </c>
      <c r="O31" s="19"/>
    </row>
    <row r="34">
      <c r="A34" s="13" t="str">
        <f>data!$A$11</f>
      </c>
      <c r="B34" s="13"/>
      <c r="C34" s="13"/>
      <c r="D34" s="13"/>
      <c r="E34" s="13"/>
      <c r="F34" s="13"/>
      <c r="G34" s="13"/>
      <c r="I34" s="13" t="str">
        <f>data!$A$58</f>
      </c>
      <c r="J34" s="13"/>
      <c r="K34" s="13"/>
      <c r="L34" s="13"/>
      <c r="M34" s="13"/>
      <c r="N34" s="13"/>
      <c r="O34" s="13"/>
    </row>
    <row r="35">
      <c r="A35" s="17" t="s">
        <v>239</v>
      </c>
      <c r="D35" s="14" t="s">
        <v>240</v>
      </c>
      <c r="G35" s="16" t="s">
        <v>241</v>
      </c>
      <c r="I35" s="17" t="s">
        <v>239</v>
      </c>
      <c r="L35" s="14" t="s">
        <v>240</v>
      </c>
      <c r="O35" s="16" t="s">
        <v>241</v>
      </c>
    </row>
    <row r="36">
      <c r="A36" s="14" t="str">
        <f>data!$B$10</f>
      </c>
      <c r="B36" s="18"/>
      <c r="C36" s="18"/>
      <c r="D36" s="18"/>
      <c r="E36" s="18"/>
      <c r="F36" s="18"/>
      <c r="G36" s="14" t="str">
        <f>data!$B$9</f>
      </c>
      <c r="I36" s="14" t="str">
        <f>data!$B$57</f>
      </c>
      <c r="J36" s="18"/>
      <c r="K36" s="18"/>
      <c r="L36" s="18"/>
      <c r="M36" s="18"/>
      <c r="N36" s="18"/>
      <c r="O36" s="14" t="str">
        <f>data!$B$56</f>
      </c>
    </row>
    <row r="37">
      <c r="A37" s="14" t="str">
        <f>data!$B$11</f>
      </c>
      <c r="B37" s="18"/>
      <c r="C37" s="18"/>
      <c r="D37" s="18"/>
      <c r="E37" s="18"/>
      <c r="F37" s="18"/>
      <c r="G37" s="14" t="str">
        <f>data!$B$9</f>
      </c>
      <c r="I37" s="14" t="str">
        <f>data!$B$58</f>
      </c>
      <c r="J37" s="18"/>
      <c r="K37" s="18"/>
      <c r="L37" s="18"/>
      <c r="M37" s="18"/>
      <c r="N37" s="18"/>
      <c r="O37" s="14" t="str">
        <f>data!$B$56</f>
      </c>
    </row>
    <row r="38">
      <c r="A38" s="14" t="str">
        <f>data!$B$11</f>
      </c>
      <c r="B38" s="18"/>
      <c r="C38" s="18"/>
      <c r="D38" s="18"/>
      <c r="E38" s="18"/>
      <c r="F38" s="18"/>
      <c r="G38" s="14" t="str">
        <f>data!$B$10</f>
      </c>
      <c r="I38" s="14" t="str">
        <f>data!$B$58</f>
      </c>
      <c r="J38" s="18"/>
      <c r="K38" s="18"/>
      <c r="L38" s="18"/>
      <c r="M38" s="18"/>
      <c r="N38" s="18"/>
      <c r="O38" s="14" t="str">
        <f>data!$B$57</f>
      </c>
    </row>
    <row r="40">
      <c r="A40" s="13" t="s">
        <v>242</v>
      </c>
      <c r="B40" s="13" t="s">
        <v>243</v>
      </c>
      <c r="C40" s="13" t="s">
        <v>244</v>
      </c>
      <c r="D40" s="13" t="s">
        <v>245</v>
      </c>
      <c r="E40" s="13" t="s">
        <v>246</v>
      </c>
      <c r="F40" s="13" t="s">
        <v>247</v>
      </c>
      <c r="I40" s="13" t="s">
        <v>242</v>
      </c>
      <c r="J40" s="13" t="s">
        <v>243</v>
      </c>
      <c r="K40" s="13" t="s">
        <v>244</v>
      </c>
      <c r="L40" s="13" t="s">
        <v>245</v>
      </c>
      <c r="M40" s="13" t="s">
        <v>246</v>
      </c>
      <c r="N40" s="13" t="s">
        <v>247</v>
      </c>
    </row>
    <row r="41">
      <c r="A41" s="14" t="str">
        <f>data!$B$9</f>
      </c>
      <c r="B41" s="14" t="str">
        <f>IF(OR(COUNTA(B36,C36,E36,F36)&gt;0,OR(D36="X",D36="x")),IF(OR(D36="X",D36="x"),0,(LEN(SUBSTITUTE(SUBSTITUTE(SUBSTITUTE(E36," ",""),"0",""),"-",""))+LEN(SUBSTITUTE(SUBSTITUTE(SUBSTITUTE(F36," ",""),"0",""),"-",""))&gt;LEN(SUBSTITUTE(SUBSTITUTE(SUBSTITUTE(B36," ",""),"0",""),"-",""))+LEN(SUBSTITUTE(SUBSTITUTE(SUBSTITUTE(C36," ",""),"0",""),"-","")))*1),0)+IF(OR(COUNTA(B37,C37,E37,F37)&gt;0,OR(D37="X",D37="x")),IF(OR(D37="X",D37="x"),0,(LEN(SUBSTITUTE(SUBSTITUTE(SUBSTITUTE(E37," ",""),"0",""),"-",""))+LEN(SUBSTITUTE(SUBSTITUTE(SUBSTITUTE(F37," ",""),"0",""),"-",""))&gt;LEN(SUBSTITUTE(SUBSTITUTE(SUBSTITUTE(B37," ",""),"0",""),"-",""))+LEN(SUBSTITUTE(SUBSTITUTE(SUBSTITUTE(C37," ",""),"0",""),"-","")))*1),0)</f>
      </c>
      <c r="C41" s="14" t="str">
        <f>IF(OR(COUNTA(B36,C36,E36,F36)&gt;0,OR(D36="X",D36="x")),IF(OR(D36="X",D36="x"),0,(LEN(SUBSTITUTE(SUBSTITUTE(SUBSTITUTE(E36," ",""),"0",""),"-",""))+LEN(SUBSTITUTE(SUBSTITUTE(SUBSTITUTE(F36," ",""),"0",""),"-",""))&lt;LEN(SUBSTITUTE(SUBSTITUTE(SUBSTITUTE(B36," ",""),"0",""),"-",""))+LEN(SUBSTITUTE(SUBSTITUTE(SUBSTITUTE(C36," ",""),"0",""),"-","")))*1),0)+IF(OR(COUNTA(B37,C37,E37,F37)&gt;0,OR(D37="X",D37="x")),IF(OR(D37="X",D37="x"),0,(LEN(SUBSTITUTE(SUBSTITUTE(SUBSTITUTE(E37," ",""),"0",""),"-",""))+LEN(SUBSTITUTE(SUBSTITUTE(SUBSTITUTE(F37," ",""),"0",""),"-",""))&lt;LEN(SUBSTITUTE(SUBSTITUTE(SUBSTITUTE(B37," ",""),"0",""),"-",""))+LEN(SUBSTITUTE(SUBSTITUTE(SUBSTITUTE(C37," ",""),"0",""),"-","")))*1),0)</f>
      </c>
      <c r="D41" s="14" t="str">
        <f>IF(OR(COUNTA(B36,C36,E36,F36)&gt;0,OR(D36="X",D36="x")),IF(OR(D36="X",D36="x"),1,0),0)+IF(OR(COUNTA(B37,C37,E37,F37)&gt;0,OR(D37="X",D37="x")),IF(OR(D37="X",D37="x"),1,0),0)</f>
      </c>
      <c r="E41" s="14" t="str">
        <f>LEN(SUBSTITUTE(SUBSTITUTE(SUBSTITUTE(E36," ",""),"0",""),"-",""))+LEN(SUBSTITUTE(SUBSTITUTE(SUBSTITUTE(F36," ",""),"0",""),"-",""))+LEN(SUBSTITUTE(SUBSTITUTE(SUBSTITUTE(E37," ",""),"0",""),"-",""))+LEN(SUBSTITUTE(SUBSTITUTE(SUBSTITUTE(F37," ",""),"0",""),"-",""))</f>
      </c>
      <c r="F41" s="14" t="str">
        <f>LEN(SUBSTITUTE(SUBSTITUTE(SUBSTITUTE(B36," ",""),"0",""),"-",""))+LEN(SUBSTITUTE(SUBSTITUTE(SUBSTITUTE(C36," ",""),"0",""),"-",""))+LEN(SUBSTITUTE(SUBSTITUTE(SUBSTITUTE(B37," ",""),"0",""),"-",""))+LEN(SUBSTITUTE(SUBSTITUTE(SUBSTITUTE(C37," ",""),"0",""),"-",""))</f>
      </c>
      <c r="I41" s="14" t="str">
        <f>data!$B$56</f>
      </c>
      <c r="J41" s="14" t="str">
        <f>IF(OR(COUNTA(J36,K36,M36,N36)&gt;0,OR(L36="X",L36="x")),IF(OR(L36="X",L36="x"),0,(LEN(SUBSTITUTE(SUBSTITUTE(SUBSTITUTE(M36," ",""),"0",""),"-",""))+LEN(SUBSTITUTE(SUBSTITUTE(SUBSTITUTE(N36," ",""),"0",""),"-",""))&gt;LEN(SUBSTITUTE(SUBSTITUTE(SUBSTITUTE(J36," ",""),"0",""),"-",""))+LEN(SUBSTITUTE(SUBSTITUTE(SUBSTITUTE(K36," ",""),"0",""),"-","")))*1),0)+IF(OR(COUNTA(J37,K37,M37,N37)&gt;0,OR(L37="X",L37="x")),IF(OR(L37="X",L37="x"),0,(LEN(SUBSTITUTE(SUBSTITUTE(SUBSTITUTE(M37," ",""),"0",""),"-",""))+LEN(SUBSTITUTE(SUBSTITUTE(SUBSTITUTE(N37," ",""),"0",""),"-",""))&gt;LEN(SUBSTITUTE(SUBSTITUTE(SUBSTITUTE(J37," ",""),"0",""),"-",""))+LEN(SUBSTITUTE(SUBSTITUTE(SUBSTITUTE(K37," ",""),"0",""),"-","")))*1),0)</f>
      </c>
      <c r="K41" s="14" t="str">
        <f>IF(OR(COUNTA(J36,K36,M36,N36)&gt;0,OR(L36="X",L36="x")),IF(OR(L36="X",L36="x"),0,(LEN(SUBSTITUTE(SUBSTITUTE(SUBSTITUTE(M36," ",""),"0",""),"-",""))+LEN(SUBSTITUTE(SUBSTITUTE(SUBSTITUTE(N36," ",""),"0",""),"-",""))&lt;LEN(SUBSTITUTE(SUBSTITUTE(SUBSTITUTE(J36," ",""),"0",""),"-",""))+LEN(SUBSTITUTE(SUBSTITUTE(SUBSTITUTE(K36," ",""),"0",""),"-","")))*1),0)+IF(OR(COUNTA(J37,K37,M37,N37)&gt;0,OR(L37="X",L37="x")),IF(OR(L37="X",L37="x"),0,(LEN(SUBSTITUTE(SUBSTITUTE(SUBSTITUTE(M37," ",""),"0",""),"-",""))+LEN(SUBSTITUTE(SUBSTITUTE(SUBSTITUTE(N37," ",""),"0",""),"-",""))&lt;LEN(SUBSTITUTE(SUBSTITUTE(SUBSTITUTE(J37," ",""),"0",""),"-",""))+LEN(SUBSTITUTE(SUBSTITUTE(SUBSTITUTE(K37," ",""),"0",""),"-","")))*1),0)</f>
      </c>
      <c r="L41" s="14" t="str">
        <f>IF(OR(COUNTA(J36,K36,M36,N36)&gt;0,OR(L36="X",L36="x")),IF(OR(L36="X",L36="x"),1,0),0)+IF(OR(COUNTA(J37,K37,M37,N37)&gt;0,OR(L37="X",L37="x")),IF(OR(L37="X",L37="x"),1,0),0)</f>
      </c>
      <c r="M41" s="14" t="str">
        <f>LEN(SUBSTITUTE(SUBSTITUTE(SUBSTITUTE(M36," ",""),"0",""),"-",""))+LEN(SUBSTITUTE(SUBSTITUTE(SUBSTITUTE(N36," ",""),"0",""),"-",""))+LEN(SUBSTITUTE(SUBSTITUTE(SUBSTITUTE(M37," ",""),"0",""),"-",""))+LEN(SUBSTITUTE(SUBSTITUTE(SUBSTITUTE(N37," ",""),"0",""),"-",""))</f>
      </c>
      <c r="N41" s="14" t="str">
        <f>LEN(SUBSTITUTE(SUBSTITUTE(SUBSTITUTE(J36," ",""),"0",""),"-",""))+LEN(SUBSTITUTE(SUBSTITUTE(SUBSTITUTE(K36," ",""),"0",""),"-",""))+LEN(SUBSTITUTE(SUBSTITUTE(SUBSTITUTE(J37," ",""),"0",""),"-",""))+LEN(SUBSTITUTE(SUBSTITUTE(SUBSTITUTE(K37," ",""),"0",""),"-",""))</f>
      </c>
    </row>
    <row r="42">
      <c r="A42" s="14" t="str">
        <f>data!$B$10</f>
      </c>
      <c r="B42" s="14" t="str">
        <f>IF(OR(COUNTA(B36,C36,E36,F36)&gt;0,OR(D36="X",D36="x")),IF(OR(D36="X",D36="x"),0,(LEN(SUBSTITUTE(SUBSTITUTE(SUBSTITUTE(B36," ",""),"0",""),"-",""))+LEN(SUBSTITUTE(SUBSTITUTE(SUBSTITUTE(C36," ",""),"0",""),"-",""))&gt;LEN(SUBSTITUTE(SUBSTITUTE(SUBSTITUTE(E36," ",""),"0",""),"-",""))+LEN(SUBSTITUTE(SUBSTITUTE(SUBSTITUTE(F36," ",""),"0",""),"-","")))*1),0)+IF(OR(COUNTA(B38,C38,E38,F38)&gt;0,OR(D38="X",D38="x")),IF(OR(D38="X",D38="x"),0,(LEN(SUBSTITUTE(SUBSTITUTE(SUBSTITUTE(E38," ",""),"0",""),"-",""))+LEN(SUBSTITUTE(SUBSTITUTE(SUBSTITUTE(F38," ",""),"0",""),"-",""))&gt;LEN(SUBSTITUTE(SUBSTITUTE(SUBSTITUTE(B38," ",""),"0",""),"-",""))+LEN(SUBSTITUTE(SUBSTITUTE(SUBSTITUTE(C38," ",""),"0",""),"-","")))*1),0)</f>
      </c>
      <c r="C42" s="14" t="str">
        <f>IF(OR(COUNTA(B36,C36,E36,F36)&gt;0,OR(D36="X",D36="x")),IF(OR(D36="X",D36="x"),0,(LEN(SUBSTITUTE(SUBSTITUTE(SUBSTITUTE(B36," ",""),"0",""),"-",""))+LEN(SUBSTITUTE(SUBSTITUTE(SUBSTITUTE(C36," ",""),"0",""),"-",""))&lt;LEN(SUBSTITUTE(SUBSTITUTE(SUBSTITUTE(E36," ",""),"0",""),"-",""))+LEN(SUBSTITUTE(SUBSTITUTE(SUBSTITUTE(F36," ",""),"0",""),"-","")))*1),0)+IF(OR(COUNTA(B38,C38,E38,F38)&gt;0,OR(D38="X",D38="x")),IF(OR(D38="X",D38="x"),0,(LEN(SUBSTITUTE(SUBSTITUTE(SUBSTITUTE(E38," ",""),"0",""),"-",""))+LEN(SUBSTITUTE(SUBSTITUTE(SUBSTITUTE(F38," ",""),"0",""),"-",""))&lt;LEN(SUBSTITUTE(SUBSTITUTE(SUBSTITUTE(B38," ",""),"0",""),"-",""))+LEN(SUBSTITUTE(SUBSTITUTE(SUBSTITUTE(C38," ",""),"0",""),"-","")))*1),0)</f>
      </c>
      <c r="D42" s="14" t="str">
        <f>IF(OR(COUNTA(B36,C36,E36,F36)&gt;0,OR(D36="X",D36="x")),IF(OR(D36="X",D36="x"),1,0),0)+IF(OR(COUNTA(B38,C38,E38,F38)&gt;0,OR(D38="X",D38="x")),IF(OR(D38="X",D38="x"),1,0),0)</f>
      </c>
      <c r="E42" s="14" t="str">
        <f>LEN(SUBSTITUTE(SUBSTITUTE(SUBSTITUTE(B36," ",""),"0",""),"-",""))+LEN(SUBSTITUTE(SUBSTITUTE(SUBSTITUTE(C36," ",""),"0",""),"-",""))+LEN(SUBSTITUTE(SUBSTITUTE(SUBSTITUTE(E38," ",""),"0",""),"-",""))+LEN(SUBSTITUTE(SUBSTITUTE(SUBSTITUTE(F38," ",""),"0",""),"-",""))</f>
      </c>
      <c r="F42" s="14" t="str">
        <f>LEN(SUBSTITUTE(SUBSTITUTE(SUBSTITUTE(E36," ",""),"0",""),"-",""))+LEN(SUBSTITUTE(SUBSTITUTE(SUBSTITUTE(F36," ",""),"0",""),"-",""))+LEN(SUBSTITUTE(SUBSTITUTE(SUBSTITUTE(B38," ",""),"0",""),"-",""))+LEN(SUBSTITUTE(SUBSTITUTE(SUBSTITUTE(C38," ",""),"0",""),"-",""))</f>
      </c>
      <c r="I42" s="14" t="str">
        <f>data!$B$57</f>
      </c>
      <c r="J42" s="14" t="str">
        <f>IF(OR(COUNTA(J36,K36,M36,N36)&gt;0,OR(L36="X",L36="x")),IF(OR(L36="X",L36="x"),0,(LEN(SUBSTITUTE(SUBSTITUTE(SUBSTITUTE(J36," ",""),"0",""),"-",""))+LEN(SUBSTITUTE(SUBSTITUTE(SUBSTITUTE(K36," ",""),"0",""),"-",""))&gt;LEN(SUBSTITUTE(SUBSTITUTE(SUBSTITUTE(M36," ",""),"0",""),"-",""))+LEN(SUBSTITUTE(SUBSTITUTE(SUBSTITUTE(N36," ",""),"0",""),"-","")))*1),0)+IF(OR(COUNTA(J38,K38,M38,N38)&gt;0,OR(L38="X",L38="x")),IF(OR(L38="X",L38="x"),0,(LEN(SUBSTITUTE(SUBSTITUTE(SUBSTITUTE(M38," ",""),"0",""),"-",""))+LEN(SUBSTITUTE(SUBSTITUTE(SUBSTITUTE(N38," ",""),"0",""),"-",""))&gt;LEN(SUBSTITUTE(SUBSTITUTE(SUBSTITUTE(J38," ",""),"0",""),"-",""))+LEN(SUBSTITUTE(SUBSTITUTE(SUBSTITUTE(K38," ",""),"0",""),"-","")))*1),0)</f>
      </c>
      <c r="K42" s="14" t="str">
        <f>IF(OR(COUNTA(J36,K36,M36,N36)&gt;0,OR(L36="X",L36="x")),IF(OR(L36="X",L36="x"),0,(LEN(SUBSTITUTE(SUBSTITUTE(SUBSTITUTE(J36," ",""),"0",""),"-",""))+LEN(SUBSTITUTE(SUBSTITUTE(SUBSTITUTE(K36," ",""),"0",""),"-",""))&lt;LEN(SUBSTITUTE(SUBSTITUTE(SUBSTITUTE(M36," ",""),"0",""),"-",""))+LEN(SUBSTITUTE(SUBSTITUTE(SUBSTITUTE(N36," ",""),"0",""),"-","")))*1),0)+IF(OR(COUNTA(J38,K38,M38,N38)&gt;0,OR(L38="X",L38="x")),IF(OR(L38="X",L38="x"),0,(LEN(SUBSTITUTE(SUBSTITUTE(SUBSTITUTE(M38," ",""),"0",""),"-",""))+LEN(SUBSTITUTE(SUBSTITUTE(SUBSTITUTE(N38," ",""),"0",""),"-",""))&lt;LEN(SUBSTITUTE(SUBSTITUTE(SUBSTITUTE(J38," ",""),"0",""),"-",""))+LEN(SUBSTITUTE(SUBSTITUTE(SUBSTITUTE(K38," ",""),"0",""),"-","")))*1),0)</f>
      </c>
      <c r="L42" s="14" t="str">
        <f>IF(OR(COUNTA(J36,K36,M36,N36)&gt;0,OR(L36="X",L36="x")),IF(OR(L36="X",L36="x"),1,0),0)+IF(OR(COUNTA(J38,K38,M38,N38)&gt;0,OR(L38="X",L38="x")),IF(OR(L38="X",L38="x"),1,0),0)</f>
      </c>
      <c r="M42" s="14" t="str">
        <f>LEN(SUBSTITUTE(SUBSTITUTE(SUBSTITUTE(J36," ",""),"0",""),"-",""))+LEN(SUBSTITUTE(SUBSTITUTE(SUBSTITUTE(K36," ",""),"0",""),"-",""))+LEN(SUBSTITUTE(SUBSTITUTE(SUBSTITUTE(M38," ",""),"0",""),"-",""))+LEN(SUBSTITUTE(SUBSTITUTE(SUBSTITUTE(N38," ",""),"0",""),"-",""))</f>
      </c>
      <c r="N42" s="14" t="str">
        <f>LEN(SUBSTITUTE(SUBSTITUTE(SUBSTITUTE(M36," ",""),"0",""),"-",""))+LEN(SUBSTITUTE(SUBSTITUTE(SUBSTITUTE(N36," ",""),"0",""),"-",""))+LEN(SUBSTITUTE(SUBSTITUTE(SUBSTITUTE(J38," ",""),"0",""),"-",""))+LEN(SUBSTITUTE(SUBSTITUTE(SUBSTITUTE(K38," ",""),"0",""),"-",""))</f>
      </c>
    </row>
    <row r="43">
      <c r="A43" s="14" t="str">
        <f>data!$B$11</f>
      </c>
      <c r="B43" s="14" t="str">
        <f>IF(OR(COUNTA(B37,C37,E37,F37)&gt;0,OR(D37="X",D37="x")),IF(OR(D37="X",D37="x"),0,(LEN(SUBSTITUTE(SUBSTITUTE(SUBSTITUTE(B37," ",""),"0",""),"-",""))+LEN(SUBSTITUTE(SUBSTITUTE(SUBSTITUTE(C37," ",""),"0",""),"-",""))&gt;LEN(SUBSTITUTE(SUBSTITUTE(SUBSTITUTE(E37," ",""),"0",""),"-",""))+LEN(SUBSTITUTE(SUBSTITUTE(SUBSTITUTE(F37," ",""),"0",""),"-","")))*1),0)+IF(OR(COUNTA(B38,C38,E38,F38)&gt;0,OR(D38="X",D38="x")),IF(OR(D38="X",D38="x"),0,(LEN(SUBSTITUTE(SUBSTITUTE(SUBSTITUTE(B38," ",""),"0",""),"-",""))+LEN(SUBSTITUTE(SUBSTITUTE(SUBSTITUTE(C38," ",""),"0",""),"-",""))&gt;LEN(SUBSTITUTE(SUBSTITUTE(SUBSTITUTE(E38," ",""),"0",""),"-",""))+LEN(SUBSTITUTE(SUBSTITUTE(SUBSTITUTE(F38," ",""),"0",""),"-","")))*1),0)</f>
      </c>
      <c r="C43" s="14" t="str">
        <f>IF(OR(COUNTA(B37,C37,E37,F37)&gt;0,OR(D37="X",D37="x")),IF(OR(D37="X",D37="x"),0,(LEN(SUBSTITUTE(SUBSTITUTE(SUBSTITUTE(B37," ",""),"0",""),"-",""))+LEN(SUBSTITUTE(SUBSTITUTE(SUBSTITUTE(C37," ",""),"0",""),"-",""))&lt;LEN(SUBSTITUTE(SUBSTITUTE(SUBSTITUTE(E37," ",""),"0",""),"-",""))+LEN(SUBSTITUTE(SUBSTITUTE(SUBSTITUTE(F37," ",""),"0",""),"-","")))*1),0)+IF(OR(COUNTA(B38,C38,E38,F38)&gt;0,OR(D38="X",D38="x")),IF(OR(D38="X",D38="x"),0,(LEN(SUBSTITUTE(SUBSTITUTE(SUBSTITUTE(B38," ",""),"0",""),"-",""))+LEN(SUBSTITUTE(SUBSTITUTE(SUBSTITUTE(C38," ",""),"0",""),"-",""))&lt;LEN(SUBSTITUTE(SUBSTITUTE(SUBSTITUTE(E38," ",""),"0",""),"-",""))+LEN(SUBSTITUTE(SUBSTITUTE(SUBSTITUTE(F38," ",""),"0",""),"-","")))*1),0)</f>
      </c>
      <c r="D43" s="14" t="str">
        <f>IF(OR(COUNTA(B37,C37,E37,F37)&gt;0,OR(D37="X",D37="x")),IF(OR(D37="X",D37="x"),1,0),0)+IF(OR(COUNTA(B38,C38,E38,F38)&gt;0,OR(D38="X",D38="x")),IF(OR(D38="X",D38="x"),1,0),0)</f>
      </c>
      <c r="E43" s="14" t="str">
        <f>LEN(SUBSTITUTE(SUBSTITUTE(SUBSTITUTE(B37," ",""),"0",""),"-",""))+LEN(SUBSTITUTE(SUBSTITUTE(SUBSTITUTE(C37," ",""),"0",""),"-",""))+LEN(SUBSTITUTE(SUBSTITUTE(SUBSTITUTE(B38," ",""),"0",""),"-",""))+LEN(SUBSTITUTE(SUBSTITUTE(SUBSTITUTE(C38," ",""),"0",""),"-",""))</f>
      </c>
      <c r="F43" s="14" t="str">
        <f>LEN(SUBSTITUTE(SUBSTITUTE(SUBSTITUTE(E37," ",""),"0",""),"-",""))+LEN(SUBSTITUTE(SUBSTITUTE(SUBSTITUTE(F37," ",""),"0",""),"-",""))+LEN(SUBSTITUTE(SUBSTITUTE(SUBSTITUTE(E38," ",""),"0",""),"-",""))+LEN(SUBSTITUTE(SUBSTITUTE(SUBSTITUTE(F38," ",""),"0",""),"-",""))</f>
      </c>
      <c r="I43" s="14" t="str">
        <f>data!$B$58</f>
      </c>
      <c r="J43" s="14" t="str">
        <f>IF(OR(COUNTA(J37,K37,M37,N37)&gt;0,OR(L37="X",L37="x")),IF(OR(L37="X",L37="x"),0,(LEN(SUBSTITUTE(SUBSTITUTE(SUBSTITUTE(J37," ",""),"0",""),"-",""))+LEN(SUBSTITUTE(SUBSTITUTE(SUBSTITUTE(K37," ",""),"0",""),"-",""))&gt;LEN(SUBSTITUTE(SUBSTITUTE(SUBSTITUTE(M37," ",""),"0",""),"-",""))+LEN(SUBSTITUTE(SUBSTITUTE(SUBSTITUTE(N37," ",""),"0",""),"-","")))*1),0)+IF(OR(COUNTA(J38,K38,M38,N38)&gt;0,OR(L38="X",L38="x")),IF(OR(L38="X",L38="x"),0,(LEN(SUBSTITUTE(SUBSTITUTE(SUBSTITUTE(J38," ",""),"0",""),"-",""))+LEN(SUBSTITUTE(SUBSTITUTE(SUBSTITUTE(K38," ",""),"0",""),"-",""))&gt;LEN(SUBSTITUTE(SUBSTITUTE(SUBSTITUTE(M38," ",""),"0",""),"-",""))+LEN(SUBSTITUTE(SUBSTITUTE(SUBSTITUTE(N38," ",""),"0",""),"-","")))*1),0)</f>
      </c>
      <c r="K43" s="14" t="str">
        <f>IF(OR(COUNTA(J37,K37,M37,N37)&gt;0,OR(L37="X",L37="x")),IF(OR(L37="X",L37="x"),0,(LEN(SUBSTITUTE(SUBSTITUTE(SUBSTITUTE(J37," ",""),"0",""),"-",""))+LEN(SUBSTITUTE(SUBSTITUTE(SUBSTITUTE(K37," ",""),"0",""),"-",""))&lt;LEN(SUBSTITUTE(SUBSTITUTE(SUBSTITUTE(M37," ",""),"0",""),"-",""))+LEN(SUBSTITUTE(SUBSTITUTE(SUBSTITUTE(N37," ",""),"0",""),"-","")))*1),0)+IF(OR(COUNTA(J38,K38,M38,N38)&gt;0,OR(L38="X",L38="x")),IF(OR(L38="X",L38="x"),0,(LEN(SUBSTITUTE(SUBSTITUTE(SUBSTITUTE(J38," ",""),"0",""),"-",""))+LEN(SUBSTITUTE(SUBSTITUTE(SUBSTITUTE(K38," ",""),"0",""),"-",""))&lt;LEN(SUBSTITUTE(SUBSTITUTE(SUBSTITUTE(M38," ",""),"0",""),"-",""))+LEN(SUBSTITUTE(SUBSTITUTE(SUBSTITUTE(N38," ",""),"0",""),"-","")))*1),0)</f>
      </c>
      <c r="L43" s="14" t="str">
        <f>IF(OR(COUNTA(J37,K37,M37,N37)&gt;0,OR(L37="X",L37="x")),IF(OR(L37="X",L37="x"),1,0),0)+IF(OR(COUNTA(J38,K38,M38,N38)&gt;0,OR(L38="X",L38="x")),IF(OR(L38="X",L38="x"),1,0),0)</f>
      </c>
      <c r="M43" s="14" t="str">
        <f>LEN(SUBSTITUTE(SUBSTITUTE(SUBSTITUTE(J37," ",""),"0",""),"-",""))+LEN(SUBSTITUTE(SUBSTITUTE(SUBSTITUTE(K37," ",""),"0",""),"-",""))+LEN(SUBSTITUTE(SUBSTITUTE(SUBSTITUTE(J38," ",""),"0",""),"-",""))+LEN(SUBSTITUTE(SUBSTITUTE(SUBSTITUTE(K38," ",""),"0",""),"-",""))</f>
      </c>
      <c r="N43" s="14" t="str">
        <f>LEN(SUBSTITUTE(SUBSTITUTE(SUBSTITUTE(M37," ",""),"0",""),"-",""))+LEN(SUBSTITUTE(SUBSTITUTE(SUBSTITUTE(N37," ",""),"0",""),"-",""))+LEN(SUBSTITUTE(SUBSTITUTE(SUBSTITUTE(M38," ",""),"0",""),"-",""))+LEN(SUBSTITUTE(SUBSTITUTE(SUBSTITUTE(N38," ",""),"0",""),"-",""))</f>
      </c>
    </row>
    <row r="45">
      <c r="F45" t="s">
        <v>248</v>
      </c>
      <c r="G45" s="19"/>
      <c r="N45" t="s">
        <v>248</v>
      </c>
      <c r="O45" s="19"/>
    </row>
    <row r="46">
      <c r="F46" t="s">
        <v>249</v>
      </c>
      <c r="G46" s="19"/>
      <c r="N46" t="s">
        <v>249</v>
      </c>
      <c r="O46" s="19"/>
    </row>
    <row r="47">
      <c r="F47" t="s">
        <v>250</v>
      </c>
      <c r="G47" s="19"/>
      <c r="N47" t="s">
        <v>250</v>
      </c>
      <c r="O47" s="19"/>
    </row>
    <row r="50">
      <c r="A50" s="13" t="str">
        <f>data!$A$14</f>
      </c>
      <c r="B50" s="13"/>
      <c r="C50" s="13"/>
      <c r="D50" s="13"/>
      <c r="E50" s="13"/>
      <c r="F50" s="13"/>
      <c r="G50" s="13"/>
      <c r="I50" s="13" t="str">
        <f>data!$A$61</f>
      </c>
      <c r="J50" s="13"/>
      <c r="K50" s="13"/>
      <c r="L50" s="13"/>
      <c r="M50" s="13"/>
      <c r="N50" s="13"/>
      <c r="O50" s="13"/>
    </row>
    <row r="51">
      <c r="A51" s="17" t="s">
        <v>239</v>
      </c>
      <c r="D51" s="14" t="s">
        <v>240</v>
      </c>
      <c r="G51" s="16" t="s">
        <v>241</v>
      </c>
      <c r="I51" s="17" t="s">
        <v>239</v>
      </c>
      <c r="L51" s="14" t="s">
        <v>240</v>
      </c>
      <c r="O51" s="16" t="s">
        <v>241</v>
      </c>
    </row>
    <row r="52">
      <c r="A52" s="14" t="str">
        <f>data!$B$13</f>
      </c>
      <c r="B52" s="18"/>
      <c r="C52" s="18"/>
      <c r="D52" s="18"/>
      <c r="E52" s="18"/>
      <c r="F52" s="18"/>
      <c r="G52" s="14" t="str">
        <f>data!$B$12</f>
      </c>
      <c r="I52" s="14" t="str">
        <f>data!$B$60</f>
      </c>
      <c r="J52" s="18"/>
      <c r="K52" s="18"/>
      <c r="L52" s="18"/>
      <c r="M52" s="18"/>
      <c r="N52" s="18"/>
      <c r="O52" s="14" t="str">
        <f>data!$B$59</f>
      </c>
    </row>
    <row r="53">
      <c r="A53" s="14" t="str">
        <f>data!$B$14</f>
      </c>
      <c r="B53" s="18"/>
      <c r="C53" s="18"/>
      <c r="D53" s="18"/>
      <c r="E53" s="18"/>
      <c r="F53" s="18"/>
      <c r="G53" s="14" t="str">
        <f>data!$B$12</f>
      </c>
      <c r="I53" s="14" t="str">
        <f>data!$B$61</f>
      </c>
      <c r="J53" s="18"/>
      <c r="K53" s="18"/>
      <c r="L53" s="18"/>
      <c r="M53" s="18"/>
      <c r="N53" s="18"/>
      <c r="O53" s="14" t="str">
        <f>data!$B$59</f>
      </c>
    </row>
    <row r="54">
      <c r="A54" s="14" t="str">
        <f>data!$B$14</f>
      </c>
      <c r="B54" s="18"/>
      <c r="C54" s="18"/>
      <c r="D54" s="18"/>
      <c r="E54" s="18"/>
      <c r="F54" s="18"/>
      <c r="G54" s="14" t="str">
        <f>data!$B$13</f>
      </c>
      <c r="I54" s="14" t="str">
        <f>data!$B$61</f>
      </c>
      <c r="J54" s="18"/>
      <c r="K54" s="18"/>
      <c r="L54" s="18"/>
      <c r="M54" s="18"/>
      <c r="N54" s="18"/>
      <c r="O54" s="14" t="str">
        <f>data!$B$60</f>
      </c>
    </row>
    <row r="56">
      <c r="A56" s="13" t="s">
        <v>242</v>
      </c>
      <c r="B56" s="13" t="s">
        <v>243</v>
      </c>
      <c r="C56" s="13" t="s">
        <v>244</v>
      </c>
      <c r="D56" s="13" t="s">
        <v>245</v>
      </c>
      <c r="E56" s="13" t="s">
        <v>246</v>
      </c>
      <c r="F56" s="13" t="s">
        <v>247</v>
      </c>
      <c r="I56" s="13" t="s">
        <v>242</v>
      </c>
      <c r="J56" s="13" t="s">
        <v>243</v>
      </c>
      <c r="K56" s="13" t="s">
        <v>244</v>
      </c>
      <c r="L56" s="13" t="s">
        <v>245</v>
      </c>
      <c r="M56" s="13" t="s">
        <v>246</v>
      </c>
      <c r="N56" s="13" t="s">
        <v>247</v>
      </c>
    </row>
    <row r="57">
      <c r="A57" s="14" t="str">
        <f>data!$B$12</f>
      </c>
      <c r="B57" s="14" t="str">
        <f>IF(OR(COUNTA(B52,C52,E52,F52)&gt;0,OR(D52="X",D52="x")),IF(OR(D52="X",D52="x"),0,(LEN(SUBSTITUTE(SUBSTITUTE(SUBSTITUTE(E52," ",""),"0",""),"-",""))+LEN(SUBSTITUTE(SUBSTITUTE(SUBSTITUTE(F52," ",""),"0",""),"-",""))&gt;LEN(SUBSTITUTE(SUBSTITUTE(SUBSTITUTE(B52," ",""),"0",""),"-",""))+LEN(SUBSTITUTE(SUBSTITUTE(SUBSTITUTE(C52," ",""),"0",""),"-","")))*1),0)+IF(OR(COUNTA(B53,C53,E53,F53)&gt;0,OR(D53="X",D53="x")),IF(OR(D53="X",D53="x"),0,(LEN(SUBSTITUTE(SUBSTITUTE(SUBSTITUTE(E53," ",""),"0",""),"-",""))+LEN(SUBSTITUTE(SUBSTITUTE(SUBSTITUTE(F53," ",""),"0",""),"-",""))&gt;LEN(SUBSTITUTE(SUBSTITUTE(SUBSTITUTE(B53," ",""),"0",""),"-",""))+LEN(SUBSTITUTE(SUBSTITUTE(SUBSTITUTE(C53," ",""),"0",""),"-","")))*1),0)</f>
      </c>
      <c r="C57" s="14" t="str">
        <f>IF(OR(COUNTA(B52,C52,E52,F52)&gt;0,OR(D52="X",D52="x")),IF(OR(D52="X",D52="x"),0,(LEN(SUBSTITUTE(SUBSTITUTE(SUBSTITUTE(E52," ",""),"0",""),"-",""))+LEN(SUBSTITUTE(SUBSTITUTE(SUBSTITUTE(F52," ",""),"0",""),"-",""))&lt;LEN(SUBSTITUTE(SUBSTITUTE(SUBSTITUTE(B52," ",""),"0",""),"-",""))+LEN(SUBSTITUTE(SUBSTITUTE(SUBSTITUTE(C52," ",""),"0",""),"-","")))*1),0)+IF(OR(COUNTA(B53,C53,E53,F53)&gt;0,OR(D53="X",D53="x")),IF(OR(D53="X",D53="x"),0,(LEN(SUBSTITUTE(SUBSTITUTE(SUBSTITUTE(E53," ",""),"0",""),"-",""))+LEN(SUBSTITUTE(SUBSTITUTE(SUBSTITUTE(F53," ",""),"0",""),"-",""))&lt;LEN(SUBSTITUTE(SUBSTITUTE(SUBSTITUTE(B53," ",""),"0",""),"-",""))+LEN(SUBSTITUTE(SUBSTITUTE(SUBSTITUTE(C53," ",""),"0",""),"-","")))*1),0)</f>
      </c>
      <c r="D57" s="14" t="str">
        <f>IF(OR(COUNTA(B52,C52,E52,F52)&gt;0,OR(D52="X",D52="x")),IF(OR(D52="X",D52="x"),1,0),0)+IF(OR(COUNTA(B53,C53,E53,F53)&gt;0,OR(D53="X",D53="x")),IF(OR(D53="X",D53="x"),1,0),0)</f>
      </c>
      <c r="E57" s="14" t="str">
        <f>LEN(SUBSTITUTE(SUBSTITUTE(SUBSTITUTE(E52," ",""),"0",""),"-",""))+LEN(SUBSTITUTE(SUBSTITUTE(SUBSTITUTE(F52," ",""),"0",""),"-",""))+LEN(SUBSTITUTE(SUBSTITUTE(SUBSTITUTE(E53," ",""),"0",""),"-",""))+LEN(SUBSTITUTE(SUBSTITUTE(SUBSTITUTE(F53," ",""),"0",""),"-",""))</f>
      </c>
      <c r="F57" s="14" t="str">
        <f>LEN(SUBSTITUTE(SUBSTITUTE(SUBSTITUTE(B52," ",""),"0",""),"-",""))+LEN(SUBSTITUTE(SUBSTITUTE(SUBSTITUTE(C52," ",""),"0",""),"-",""))+LEN(SUBSTITUTE(SUBSTITUTE(SUBSTITUTE(B53," ",""),"0",""),"-",""))+LEN(SUBSTITUTE(SUBSTITUTE(SUBSTITUTE(C53," ",""),"0",""),"-",""))</f>
      </c>
      <c r="I57" s="14" t="str">
        <f>data!$B$59</f>
      </c>
      <c r="J57" s="14" t="str">
        <f>IF(OR(COUNTA(J52,K52,M52,N52)&gt;0,OR(L52="X",L52="x")),IF(OR(L52="X",L52="x"),0,(LEN(SUBSTITUTE(SUBSTITUTE(SUBSTITUTE(M52," ",""),"0",""),"-",""))+LEN(SUBSTITUTE(SUBSTITUTE(SUBSTITUTE(N52," ",""),"0",""),"-",""))&gt;LEN(SUBSTITUTE(SUBSTITUTE(SUBSTITUTE(J52," ",""),"0",""),"-",""))+LEN(SUBSTITUTE(SUBSTITUTE(SUBSTITUTE(K52," ",""),"0",""),"-","")))*1),0)+IF(OR(COUNTA(J53,K53,M53,N53)&gt;0,OR(L53="X",L53="x")),IF(OR(L53="X",L53="x"),0,(LEN(SUBSTITUTE(SUBSTITUTE(SUBSTITUTE(M53," ",""),"0",""),"-",""))+LEN(SUBSTITUTE(SUBSTITUTE(SUBSTITUTE(N53," ",""),"0",""),"-",""))&gt;LEN(SUBSTITUTE(SUBSTITUTE(SUBSTITUTE(J53," ",""),"0",""),"-",""))+LEN(SUBSTITUTE(SUBSTITUTE(SUBSTITUTE(K53," ",""),"0",""),"-","")))*1),0)</f>
      </c>
      <c r="K57" s="14" t="str">
        <f>IF(OR(COUNTA(J52,K52,M52,N52)&gt;0,OR(L52="X",L52="x")),IF(OR(L52="X",L52="x"),0,(LEN(SUBSTITUTE(SUBSTITUTE(SUBSTITUTE(M52," ",""),"0",""),"-",""))+LEN(SUBSTITUTE(SUBSTITUTE(SUBSTITUTE(N52," ",""),"0",""),"-",""))&lt;LEN(SUBSTITUTE(SUBSTITUTE(SUBSTITUTE(J52," ",""),"0",""),"-",""))+LEN(SUBSTITUTE(SUBSTITUTE(SUBSTITUTE(K52," ",""),"0",""),"-","")))*1),0)+IF(OR(COUNTA(J53,K53,M53,N53)&gt;0,OR(L53="X",L53="x")),IF(OR(L53="X",L53="x"),0,(LEN(SUBSTITUTE(SUBSTITUTE(SUBSTITUTE(M53," ",""),"0",""),"-",""))+LEN(SUBSTITUTE(SUBSTITUTE(SUBSTITUTE(N53," ",""),"0",""),"-",""))&lt;LEN(SUBSTITUTE(SUBSTITUTE(SUBSTITUTE(J53," ",""),"0",""),"-",""))+LEN(SUBSTITUTE(SUBSTITUTE(SUBSTITUTE(K53," ",""),"0",""),"-","")))*1),0)</f>
      </c>
      <c r="L57" s="14" t="str">
        <f>IF(OR(COUNTA(J52,K52,M52,N52)&gt;0,OR(L52="X",L52="x")),IF(OR(L52="X",L52="x"),1,0),0)+IF(OR(COUNTA(J53,K53,M53,N53)&gt;0,OR(L53="X",L53="x")),IF(OR(L53="X",L53="x"),1,0),0)</f>
      </c>
      <c r="M57" s="14" t="str">
        <f>LEN(SUBSTITUTE(SUBSTITUTE(SUBSTITUTE(M52," ",""),"0",""),"-",""))+LEN(SUBSTITUTE(SUBSTITUTE(SUBSTITUTE(N52," ",""),"0",""),"-",""))+LEN(SUBSTITUTE(SUBSTITUTE(SUBSTITUTE(M53," ",""),"0",""),"-",""))+LEN(SUBSTITUTE(SUBSTITUTE(SUBSTITUTE(N53," ",""),"0",""),"-",""))</f>
      </c>
      <c r="N57" s="14" t="str">
        <f>LEN(SUBSTITUTE(SUBSTITUTE(SUBSTITUTE(J52," ",""),"0",""),"-",""))+LEN(SUBSTITUTE(SUBSTITUTE(SUBSTITUTE(K52," ",""),"0",""),"-",""))+LEN(SUBSTITUTE(SUBSTITUTE(SUBSTITUTE(J53," ",""),"0",""),"-",""))+LEN(SUBSTITUTE(SUBSTITUTE(SUBSTITUTE(K53," ",""),"0",""),"-",""))</f>
      </c>
    </row>
    <row r="58">
      <c r="A58" s="14" t="str">
        <f>data!$B$13</f>
      </c>
      <c r="B58" s="14" t="str">
        <f>IF(OR(COUNTA(B52,C52,E52,F52)&gt;0,OR(D52="X",D52="x")),IF(OR(D52="X",D52="x"),0,(LEN(SUBSTITUTE(SUBSTITUTE(SUBSTITUTE(B52," ",""),"0",""),"-",""))+LEN(SUBSTITUTE(SUBSTITUTE(SUBSTITUTE(C52," ",""),"0",""),"-",""))&gt;LEN(SUBSTITUTE(SUBSTITUTE(SUBSTITUTE(E52," ",""),"0",""),"-",""))+LEN(SUBSTITUTE(SUBSTITUTE(SUBSTITUTE(F52," ",""),"0",""),"-","")))*1),0)+IF(OR(COUNTA(B54,C54,E54,F54)&gt;0,OR(D54="X",D54="x")),IF(OR(D54="X",D54="x"),0,(LEN(SUBSTITUTE(SUBSTITUTE(SUBSTITUTE(E54," ",""),"0",""),"-",""))+LEN(SUBSTITUTE(SUBSTITUTE(SUBSTITUTE(F54," ",""),"0",""),"-",""))&gt;LEN(SUBSTITUTE(SUBSTITUTE(SUBSTITUTE(B54," ",""),"0",""),"-",""))+LEN(SUBSTITUTE(SUBSTITUTE(SUBSTITUTE(C54," ",""),"0",""),"-","")))*1),0)</f>
      </c>
      <c r="C58" s="14" t="str">
        <f>IF(OR(COUNTA(B52,C52,E52,F52)&gt;0,OR(D52="X",D52="x")),IF(OR(D52="X",D52="x"),0,(LEN(SUBSTITUTE(SUBSTITUTE(SUBSTITUTE(B52," ",""),"0",""),"-",""))+LEN(SUBSTITUTE(SUBSTITUTE(SUBSTITUTE(C52," ",""),"0",""),"-",""))&lt;LEN(SUBSTITUTE(SUBSTITUTE(SUBSTITUTE(E52," ",""),"0",""),"-",""))+LEN(SUBSTITUTE(SUBSTITUTE(SUBSTITUTE(F52," ",""),"0",""),"-","")))*1),0)+IF(OR(COUNTA(B54,C54,E54,F54)&gt;0,OR(D54="X",D54="x")),IF(OR(D54="X",D54="x"),0,(LEN(SUBSTITUTE(SUBSTITUTE(SUBSTITUTE(E54," ",""),"0",""),"-",""))+LEN(SUBSTITUTE(SUBSTITUTE(SUBSTITUTE(F54," ",""),"0",""),"-",""))&lt;LEN(SUBSTITUTE(SUBSTITUTE(SUBSTITUTE(B54," ",""),"0",""),"-",""))+LEN(SUBSTITUTE(SUBSTITUTE(SUBSTITUTE(C54," ",""),"0",""),"-","")))*1),0)</f>
      </c>
      <c r="D58" s="14" t="str">
        <f>IF(OR(COUNTA(B52,C52,E52,F52)&gt;0,OR(D52="X",D52="x")),IF(OR(D52="X",D52="x"),1,0),0)+IF(OR(COUNTA(B54,C54,E54,F54)&gt;0,OR(D54="X",D54="x")),IF(OR(D54="X",D54="x"),1,0),0)</f>
      </c>
      <c r="E58" s="14" t="str">
        <f>LEN(SUBSTITUTE(SUBSTITUTE(SUBSTITUTE(B52," ",""),"0",""),"-",""))+LEN(SUBSTITUTE(SUBSTITUTE(SUBSTITUTE(C52," ",""),"0",""),"-",""))+LEN(SUBSTITUTE(SUBSTITUTE(SUBSTITUTE(E54," ",""),"0",""),"-",""))+LEN(SUBSTITUTE(SUBSTITUTE(SUBSTITUTE(F54," ",""),"0",""),"-",""))</f>
      </c>
      <c r="F58" s="14" t="str">
        <f>LEN(SUBSTITUTE(SUBSTITUTE(SUBSTITUTE(E52," ",""),"0",""),"-",""))+LEN(SUBSTITUTE(SUBSTITUTE(SUBSTITUTE(F52," ",""),"0",""),"-",""))+LEN(SUBSTITUTE(SUBSTITUTE(SUBSTITUTE(B54," ",""),"0",""),"-",""))+LEN(SUBSTITUTE(SUBSTITUTE(SUBSTITUTE(C54," ",""),"0",""),"-",""))</f>
      </c>
      <c r="I58" s="14" t="str">
        <f>data!$B$60</f>
      </c>
      <c r="J58" s="14" t="str">
        <f>IF(OR(COUNTA(J52,K52,M52,N52)&gt;0,OR(L52="X",L52="x")),IF(OR(L52="X",L52="x"),0,(LEN(SUBSTITUTE(SUBSTITUTE(SUBSTITUTE(J52," ",""),"0",""),"-",""))+LEN(SUBSTITUTE(SUBSTITUTE(SUBSTITUTE(K52," ",""),"0",""),"-",""))&gt;LEN(SUBSTITUTE(SUBSTITUTE(SUBSTITUTE(M52," ",""),"0",""),"-",""))+LEN(SUBSTITUTE(SUBSTITUTE(SUBSTITUTE(N52," ",""),"0",""),"-","")))*1),0)+IF(OR(COUNTA(J54,K54,M54,N54)&gt;0,OR(L54="X",L54="x")),IF(OR(L54="X",L54="x"),0,(LEN(SUBSTITUTE(SUBSTITUTE(SUBSTITUTE(M54," ",""),"0",""),"-",""))+LEN(SUBSTITUTE(SUBSTITUTE(SUBSTITUTE(N54," ",""),"0",""),"-",""))&gt;LEN(SUBSTITUTE(SUBSTITUTE(SUBSTITUTE(J54," ",""),"0",""),"-",""))+LEN(SUBSTITUTE(SUBSTITUTE(SUBSTITUTE(K54," ",""),"0",""),"-","")))*1),0)</f>
      </c>
      <c r="K58" s="14" t="str">
        <f>IF(OR(COUNTA(J52,K52,M52,N52)&gt;0,OR(L52="X",L52="x")),IF(OR(L52="X",L52="x"),0,(LEN(SUBSTITUTE(SUBSTITUTE(SUBSTITUTE(J52," ",""),"0",""),"-",""))+LEN(SUBSTITUTE(SUBSTITUTE(SUBSTITUTE(K52," ",""),"0",""),"-",""))&lt;LEN(SUBSTITUTE(SUBSTITUTE(SUBSTITUTE(M52," ",""),"0",""),"-",""))+LEN(SUBSTITUTE(SUBSTITUTE(SUBSTITUTE(N52," ",""),"0",""),"-","")))*1),0)+IF(OR(COUNTA(J54,K54,M54,N54)&gt;0,OR(L54="X",L54="x")),IF(OR(L54="X",L54="x"),0,(LEN(SUBSTITUTE(SUBSTITUTE(SUBSTITUTE(M54," ",""),"0",""),"-",""))+LEN(SUBSTITUTE(SUBSTITUTE(SUBSTITUTE(N54," ",""),"0",""),"-",""))&lt;LEN(SUBSTITUTE(SUBSTITUTE(SUBSTITUTE(J54," ",""),"0",""),"-",""))+LEN(SUBSTITUTE(SUBSTITUTE(SUBSTITUTE(K54," ",""),"0",""),"-","")))*1),0)</f>
      </c>
      <c r="L58" s="14" t="str">
        <f>IF(OR(COUNTA(J52,K52,M52,N52)&gt;0,OR(L52="X",L52="x")),IF(OR(L52="X",L52="x"),1,0),0)+IF(OR(COUNTA(J54,K54,M54,N54)&gt;0,OR(L54="X",L54="x")),IF(OR(L54="X",L54="x"),1,0),0)</f>
      </c>
      <c r="M58" s="14" t="str">
        <f>LEN(SUBSTITUTE(SUBSTITUTE(SUBSTITUTE(J52," ",""),"0",""),"-",""))+LEN(SUBSTITUTE(SUBSTITUTE(SUBSTITUTE(K52," ",""),"0",""),"-",""))+LEN(SUBSTITUTE(SUBSTITUTE(SUBSTITUTE(M54," ",""),"0",""),"-",""))+LEN(SUBSTITUTE(SUBSTITUTE(SUBSTITUTE(N54," ",""),"0",""),"-",""))</f>
      </c>
      <c r="N58" s="14" t="str">
        <f>LEN(SUBSTITUTE(SUBSTITUTE(SUBSTITUTE(M52," ",""),"0",""),"-",""))+LEN(SUBSTITUTE(SUBSTITUTE(SUBSTITUTE(N52," ",""),"0",""),"-",""))+LEN(SUBSTITUTE(SUBSTITUTE(SUBSTITUTE(J54," ",""),"0",""),"-",""))+LEN(SUBSTITUTE(SUBSTITUTE(SUBSTITUTE(K54," ",""),"0",""),"-",""))</f>
      </c>
    </row>
    <row r="59">
      <c r="A59" s="14" t="str">
        <f>data!$B$14</f>
      </c>
      <c r="B59" s="14" t="str">
        <f>IF(OR(COUNTA(B53,C53,E53,F53)&gt;0,OR(D53="X",D53="x")),IF(OR(D53="X",D53="x"),0,(LEN(SUBSTITUTE(SUBSTITUTE(SUBSTITUTE(B53," ",""),"0",""),"-",""))+LEN(SUBSTITUTE(SUBSTITUTE(SUBSTITUTE(C53," ",""),"0",""),"-",""))&gt;LEN(SUBSTITUTE(SUBSTITUTE(SUBSTITUTE(E53," ",""),"0",""),"-",""))+LEN(SUBSTITUTE(SUBSTITUTE(SUBSTITUTE(F53," ",""),"0",""),"-","")))*1),0)+IF(OR(COUNTA(B54,C54,E54,F54)&gt;0,OR(D54="X",D54="x")),IF(OR(D54="X",D54="x"),0,(LEN(SUBSTITUTE(SUBSTITUTE(SUBSTITUTE(B54," ",""),"0",""),"-",""))+LEN(SUBSTITUTE(SUBSTITUTE(SUBSTITUTE(C54," ",""),"0",""),"-",""))&gt;LEN(SUBSTITUTE(SUBSTITUTE(SUBSTITUTE(E54," ",""),"0",""),"-",""))+LEN(SUBSTITUTE(SUBSTITUTE(SUBSTITUTE(F54," ",""),"0",""),"-","")))*1),0)</f>
      </c>
      <c r="C59" s="14" t="str">
        <f>IF(OR(COUNTA(B53,C53,E53,F53)&gt;0,OR(D53="X",D53="x")),IF(OR(D53="X",D53="x"),0,(LEN(SUBSTITUTE(SUBSTITUTE(SUBSTITUTE(B53," ",""),"0",""),"-",""))+LEN(SUBSTITUTE(SUBSTITUTE(SUBSTITUTE(C53," ",""),"0",""),"-",""))&lt;LEN(SUBSTITUTE(SUBSTITUTE(SUBSTITUTE(E53," ",""),"0",""),"-",""))+LEN(SUBSTITUTE(SUBSTITUTE(SUBSTITUTE(F53," ",""),"0",""),"-","")))*1),0)+IF(OR(COUNTA(B54,C54,E54,F54)&gt;0,OR(D54="X",D54="x")),IF(OR(D54="X",D54="x"),0,(LEN(SUBSTITUTE(SUBSTITUTE(SUBSTITUTE(B54," ",""),"0",""),"-",""))+LEN(SUBSTITUTE(SUBSTITUTE(SUBSTITUTE(C54," ",""),"0",""),"-",""))&lt;LEN(SUBSTITUTE(SUBSTITUTE(SUBSTITUTE(E54," ",""),"0",""),"-",""))+LEN(SUBSTITUTE(SUBSTITUTE(SUBSTITUTE(F54," ",""),"0",""),"-","")))*1),0)</f>
      </c>
      <c r="D59" s="14" t="str">
        <f>IF(OR(COUNTA(B53,C53,E53,F53)&gt;0,OR(D53="X",D53="x")),IF(OR(D53="X",D53="x"),1,0),0)+IF(OR(COUNTA(B54,C54,E54,F54)&gt;0,OR(D54="X",D54="x")),IF(OR(D54="X",D54="x"),1,0),0)</f>
      </c>
      <c r="E59" s="14" t="str">
        <f>LEN(SUBSTITUTE(SUBSTITUTE(SUBSTITUTE(B53," ",""),"0",""),"-",""))+LEN(SUBSTITUTE(SUBSTITUTE(SUBSTITUTE(C53," ",""),"0",""),"-",""))+LEN(SUBSTITUTE(SUBSTITUTE(SUBSTITUTE(B54," ",""),"0",""),"-",""))+LEN(SUBSTITUTE(SUBSTITUTE(SUBSTITUTE(C54," ",""),"0",""),"-",""))</f>
      </c>
      <c r="F59" s="14" t="str">
        <f>LEN(SUBSTITUTE(SUBSTITUTE(SUBSTITUTE(E53," ",""),"0",""),"-",""))+LEN(SUBSTITUTE(SUBSTITUTE(SUBSTITUTE(F53," ",""),"0",""),"-",""))+LEN(SUBSTITUTE(SUBSTITUTE(SUBSTITUTE(E54," ",""),"0",""),"-",""))+LEN(SUBSTITUTE(SUBSTITUTE(SUBSTITUTE(F54," ",""),"0",""),"-",""))</f>
      </c>
      <c r="I59" s="14" t="str">
        <f>data!$B$61</f>
      </c>
      <c r="J59" s="14" t="str">
        <f>IF(OR(COUNTA(J53,K53,M53,N53)&gt;0,OR(L53="X",L53="x")),IF(OR(L53="X",L53="x"),0,(LEN(SUBSTITUTE(SUBSTITUTE(SUBSTITUTE(J53," ",""),"0",""),"-",""))+LEN(SUBSTITUTE(SUBSTITUTE(SUBSTITUTE(K53," ",""),"0",""),"-",""))&gt;LEN(SUBSTITUTE(SUBSTITUTE(SUBSTITUTE(M53," ",""),"0",""),"-",""))+LEN(SUBSTITUTE(SUBSTITUTE(SUBSTITUTE(N53," ",""),"0",""),"-","")))*1),0)+IF(OR(COUNTA(J54,K54,M54,N54)&gt;0,OR(L54="X",L54="x")),IF(OR(L54="X",L54="x"),0,(LEN(SUBSTITUTE(SUBSTITUTE(SUBSTITUTE(J54," ",""),"0",""),"-",""))+LEN(SUBSTITUTE(SUBSTITUTE(SUBSTITUTE(K54," ",""),"0",""),"-",""))&gt;LEN(SUBSTITUTE(SUBSTITUTE(SUBSTITUTE(M54," ",""),"0",""),"-",""))+LEN(SUBSTITUTE(SUBSTITUTE(SUBSTITUTE(N54," ",""),"0",""),"-","")))*1),0)</f>
      </c>
      <c r="K59" s="14" t="str">
        <f>IF(OR(COUNTA(J53,K53,M53,N53)&gt;0,OR(L53="X",L53="x")),IF(OR(L53="X",L53="x"),0,(LEN(SUBSTITUTE(SUBSTITUTE(SUBSTITUTE(J53," ",""),"0",""),"-",""))+LEN(SUBSTITUTE(SUBSTITUTE(SUBSTITUTE(K53," ",""),"0",""),"-",""))&lt;LEN(SUBSTITUTE(SUBSTITUTE(SUBSTITUTE(M53," ",""),"0",""),"-",""))+LEN(SUBSTITUTE(SUBSTITUTE(SUBSTITUTE(N53," ",""),"0",""),"-","")))*1),0)+IF(OR(COUNTA(J54,K54,M54,N54)&gt;0,OR(L54="X",L54="x")),IF(OR(L54="X",L54="x"),0,(LEN(SUBSTITUTE(SUBSTITUTE(SUBSTITUTE(J54," ",""),"0",""),"-",""))+LEN(SUBSTITUTE(SUBSTITUTE(SUBSTITUTE(K54," ",""),"0",""),"-",""))&lt;LEN(SUBSTITUTE(SUBSTITUTE(SUBSTITUTE(M54," ",""),"0",""),"-",""))+LEN(SUBSTITUTE(SUBSTITUTE(SUBSTITUTE(N54," ",""),"0",""),"-","")))*1),0)</f>
      </c>
      <c r="L59" s="14" t="str">
        <f>IF(OR(COUNTA(J53,K53,M53,N53)&gt;0,OR(L53="X",L53="x")),IF(OR(L53="X",L53="x"),1,0),0)+IF(OR(COUNTA(J54,K54,M54,N54)&gt;0,OR(L54="X",L54="x")),IF(OR(L54="X",L54="x"),1,0),0)</f>
      </c>
      <c r="M59" s="14" t="str">
        <f>LEN(SUBSTITUTE(SUBSTITUTE(SUBSTITUTE(J53," ",""),"0",""),"-",""))+LEN(SUBSTITUTE(SUBSTITUTE(SUBSTITUTE(K53," ",""),"0",""),"-",""))+LEN(SUBSTITUTE(SUBSTITUTE(SUBSTITUTE(J54," ",""),"0",""),"-",""))+LEN(SUBSTITUTE(SUBSTITUTE(SUBSTITUTE(K54," ",""),"0",""),"-",""))</f>
      </c>
      <c r="N59" s="14" t="str">
        <f>LEN(SUBSTITUTE(SUBSTITUTE(SUBSTITUTE(M53," ",""),"0",""),"-",""))+LEN(SUBSTITUTE(SUBSTITUTE(SUBSTITUTE(N53," ",""),"0",""),"-",""))+LEN(SUBSTITUTE(SUBSTITUTE(SUBSTITUTE(M54," ",""),"0",""),"-",""))+LEN(SUBSTITUTE(SUBSTITUTE(SUBSTITUTE(N54," ",""),"0",""),"-",""))</f>
      </c>
    </row>
    <row r="61">
      <c r="F61" t="s">
        <v>248</v>
      </c>
      <c r="G61" s="19"/>
      <c r="N61" t="s">
        <v>248</v>
      </c>
      <c r="O61" s="19"/>
    </row>
    <row r="62">
      <c r="F62" t="s">
        <v>249</v>
      </c>
      <c r="G62" s="19"/>
      <c r="N62" t="s">
        <v>249</v>
      </c>
      <c r="O62" s="19"/>
    </row>
    <row r="63">
      <c r="F63" t="s">
        <v>250</v>
      </c>
      <c r="G63" s="19"/>
      <c r="N63" t="s">
        <v>250</v>
      </c>
      <c r="O63" s="19"/>
    </row>
    <row r="66">
      <c r="A66" s="13" t="str">
        <f>data!$A$17</f>
      </c>
      <c r="B66" s="13"/>
      <c r="C66" s="13"/>
      <c r="D66" s="13"/>
      <c r="E66" s="13"/>
      <c r="F66" s="13"/>
      <c r="G66" s="13"/>
      <c r="I66" s="13" t="str">
        <f>data!$A$64</f>
      </c>
      <c r="J66" s="13"/>
      <c r="K66" s="13"/>
      <c r="L66" s="13"/>
      <c r="M66" s="13"/>
      <c r="N66" s="13"/>
      <c r="O66" s="13"/>
    </row>
    <row r="67">
      <c r="A67" s="17" t="s">
        <v>239</v>
      </c>
      <c r="D67" s="14" t="s">
        <v>240</v>
      </c>
      <c r="G67" s="16" t="s">
        <v>241</v>
      </c>
      <c r="I67" s="17" t="s">
        <v>239</v>
      </c>
      <c r="L67" s="14" t="s">
        <v>240</v>
      </c>
      <c r="O67" s="16" t="s">
        <v>241</v>
      </c>
    </row>
    <row r="68">
      <c r="A68" s="14" t="str">
        <f>data!$B$16</f>
      </c>
      <c r="B68" s="18"/>
      <c r="C68" s="18"/>
      <c r="D68" s="18"/>
      <c r="E68" s="18"/>
      <c r="F68" s="18"/>
      <c r="G68" s="14" t="str">
        <f>data!$B$15</f>
      </c>
      <c r="I68" s="14" t="str">
        <f>data!$B$63</f>
      </c>
      <c r="J68" s="18"/>
      <c r="K68" s="18"/>
      <c r="L68" s="18"/>
      <c r="M68" s="18"/>
      <c r="N68" s="18"/>
      <c r="O68" s="14" t="str">
        <f>data!$B$62</f>
      </c>
    </row>
    <row r="69">
      <c r="A69" s="14" t="str">
        <f>data!$B$17</f>
      </c>
      <c r="B69" s="18"/>
      <c r="C69" s="18"/>
      <c r="D69" s="18"/>
      <c r="E69" s="18"/>
      <c r="F69" s="18"/>
      <c r="G69" s="14" t="str">
        <f>data!$B$15</f>
      </c>
      <c r="I69" s="14" t="str">
        <f>data!$B$64</f>
      </c>
      <c r="J69" s="18"/>
      <c r="K69" s="18"/>
      <c r="L69" s="18"/>
      <c r="M69" s="18"/>
      <c r="N69" s="18"/>
      <c r="O69" s="14" t="str">
        <f>data!$B$62</f>
      </c>
    </row>
    <row r="70">
      <c r="A70" s="14" t="str">
        <f>data!$B$17</f>
      </c>
      <c r="B70" s="18"/>
      <c r="C70" s="18"/>
      <c r="D70" s="18"/>
      <c r="E70" s="18"/>
      <c r="F70" s="18"/>
      <c r="G70" s="14" t="str">
        <f>data!$B$16</f>
      </c>
      <c r="I70" s="14" t="str">
        <f>data!$B$64</f>
      </c>
      <c r="J70" s="18"/>
      <c r="K70" s="18"/>
      <c r="L70" s="18"/>
      <c r="M70" s="18"/>
      <c r="N70" s="18"/>
      <c r="O70" s="14" t="str">
        <f>data!$B$63</f>
      </c>
    </row>
    <row r="72">
      <c r="A72" s="13" t="s">
        <v>242</v>
      </c>
      <c r="B72" s="13" t="s">
        <v>243</v>
      </c>
      <c r="C72" s="13" t="s">
        <v>244</v>
      </c>
      <c r="D72" s="13" t="s">
        <v>245</v>
      </c>
      <c r="E72" s="13" t="s">
        <v>246</v>
      </c>
      <c r="F72" s="13" t="s">
        <v>247</v>
      </c>
      <c r="I72" s="13" t="s">
        <v>242</v>
      </c>
      <c r="J72" s="13" t="s">
        <v>243</v>
      </c>
      <c r="K72" s="13" t="s">
        <v>244</v>
      </c>
      <c r="L72" s="13" t="s">
        <v>245</v>
      </c>
      <c r="M72" s="13" t="s">
        <v>246</v>
      </c>
      <c r="N72" s="13" t="s">
        <v>247</v>
      </c>
    </row>
    <row r="73">
      <c r="A73" s="14" t="str">
        <f>data!$B$15</f>
      </c>
      <c r="B73" s="14" t="str">
        <f>IF(OR(COUNTA(B68,C68,E68,F68)&gt;0,OR(D68="X",D68="x")),IF(OR(D68="X",D68="x"),0,(LEN(SUBSTITUTE(SUBSTITUTE(SUBSTITUTE(E68," ",""),"0",""),"-",""))+LEN(SUBSTITUTE(SUBSTITUTE(SUBSTITUTE(F68," ",""),"0",""),"-",""))&gt;LEN(SUBSTITUTE(SUBSTITUTE(SUBSTITUTE(B68," ",""),"0",""),"-",""))+LEN(SUBSTITUTE(SUBSTITUTE(SUBSTITUTE(C68," ",""),"0",""),"-","")))*1),0)+IF(OR(COUNTA(B69,C69,E69,F69)&gt;0,OR(D69="X",D69="x")),IF(OR(D69="X",D69="x"),0,(LEN(SUBSTITUTE(SUBSTITUTE(SUBSTITUTE(E69," ",""),"0",""),"-",""))+LEN(SUBSTITUTE(SUBSTITUTE(SUBSTITUTE(F69," ",""),"0",""),"-",""))&gt;LEN(SUBSTITUTE(SUBSTITUTE(SUBSTITUTE(B69," ",""),"0",""),"-",""))+LEN(SUBSTITUTE(SUBSTITUTE(SUBSTITUTE(C69," ",""),"0",""),"-","")))*1),0)</f>
      </c>
      <c r="C73" s="14" t="str">
        <f>IF(OR(COUNTA(B68,C68,E68,F68)&gt;0,OR(D68="X",D68="x")),IF(OR(D68="X",D68="x"),0,(LEN(SUBSTITUTE(SUBSTITUTE(SUBSTITUTE(E68," ",""),"0",""),"-",""))+LEN(SUBSTITUTE(SUBSTITUTE(SUBSTITUTE(F68," ",""),"0",""),"-",""))&lt;LEN(SUBSTITUTE(SUBSTITUTE(SUBSTITUTE(B68," ",""),"0",""),"-",""))+LEN(SUBSTITUTE(SUBSTITUTE(SUBSTITUTE(C68," ",""),"0",""),"-","")))*1),0)+IF(OR(COUNTA(B69,C69,E69,F69)&gt;0,OR(D69="X",D69="x")),IF(OR(D69="X",D69="x"),0,(LEN(SUBSTITUTE(SUBSTITUTE(SUBSTITUTE(E69," ",""),"0",""),"-",""))+LEN(SUBSTITUTE(SUBSTITUTE(SUBSTITUTE(F69," ",""),"0",""),"-",""))&lt;LEN(SUBSTITUTE(SUBSTITUTE(SUBSTITUTE(B69," ",""),"0",""),"-",""))+LEN(SUBSTITUTE(SUBSTITUTE(SUBSTITUTE(C69," ",""),"0",""),"-","")))*1),0)</f>
      </c>
      <c r="D73" s="14" t="str">
        <f>IF(OR(COUNTA(B68,C68,E68,F68)&gt;0,OR(D68="X",D68="x")),IF(OR(D68="X",D68="x"),1,0),0)+IF(OR(COUNTA(B69,C69,E69,F69)&gt;0,OR(D69="X",D69="x")),IF(OR(D69="X",D69="x"),1,0),0)</f>
      </c>
      <c r="E73" s="14" t="str">
        <f>LEN(SUBSTITUTE(SUBSTITUTE(SUBSTITUTE(E68," ",""),"0",""),"-",""))+LEN(SUBSTITUTE(SUBSTITUTE(SUBSTITUTE(F68," ",""),"0",""),"-",""))+LEN(SUBSTITUTE(SUBSTITUTE(SUBSTITUTE(E69," ",""),"0",""),"-",""))+LEN(SUBSTITUTE(SUBSTITUTE(SUBSTITUTE(F69," ",""),"0",""),"-",""))</f>
      </c>
      <c r="F73" s="14" t="str">
        <f>LEN(SUBSTITUTE(SUBSTITUTE(SUBSTITUTE(B68," ",""),"0",""),"-",""))+LEN(SUBSTITUTE(SUBSTITUTE(SUBSTITUTE(C68," ",""),"0",""),"-",""))+LEN(SUBSTITUTE(SUBSTITUTE(SUBSTITUTE(B69," ",""),"0",""),"-",""))+LEN(SUBSTITUTE(SUBSTITUTE(SUBSTITUTE(C69," ",""),"0",""),"-",""))</f>
      </c>
      <c r="I73" s="14" t="str">
        <f>data!$B$62</f>
      </c>
      <c r="J73" s="14" t="str">
        <f>IF(OR(COUNTA(J68,K68,M68,N68)&gt;0,OR(L68="X",L68="x")),IF(OR(L68="X",L68="x"),0,(LEN(SUBSTITUTE(SUBSTITUTE(SUBSTITUTE(M68," ",""),"0",""),"-",""))+LEN(SUBSTITUTE(SUBSTITUTE(SUBSTITUTE(N68," ",""),"0",""),"-",""))&gt;LEN(SUBSTITUTE(SUBSTITUTE(SUBSTITUTE(J68," ",""),"0",""),"-",""))+LEN(SUBSTITUTE(SUBSTITUTE(SUBSTITUTE(K68," ",""),"0",""),"-","")))*1),0)+IF(OR(COUNTA(J69,K69,M69,N69)&gt;0,OR(L69="X",L69="x")),IF(OR(L69="X",L69="x"),0,(LEN(SUBSTITUTE(SUBSTITUTE(SUBSTITUTE(M69," ",""),"0",""),"-",""))+LEN(SUBSTITUTE(SUBSTITUTE(SUBSTITUTE(N69," ",""),"0",""),"-",""))&gt;LEN(SUBSTITUTE(SUBSTITUTE(SUBSTITUTE(J69," ",""),"0",""),"-",""))+LEN(SUBSTITUTE(SUBSTITUTE(SUBSTITUTE(K69," ",""),"0",""),"-","")))*1),0)</f>
      </c>
      <c r="K73" s="14" t="str">
        <f>IF(OR(COUNTA(J68,K68,M68,N68)&gt;0,OR(L68="X",L68="x")),IF(OR(L68="X",L68="x"),0,(LEN(SUBSTITUTE(SUBSTITUTE(SUBSTITUTE(M68," ",""),"0",""),"-",""))+LEN(SUBSTITUTE(SUBSTITUTE(SUBSTITUTE(N68," ",""),"0",""),"-",""))&lt;LEN(SUBSTITUTE(SUBSTITUTE(SUBSTITUTE(J68," ",""),"0",""),"-",""))+LEN(SUBSTITUTE(SUBSTITUTE(SUBSTITUTE(K68," ",""),"0",""),"-","")))*1),0)+IF(OR(COUNTA(J69,K69,M69,N69)&gt;0,OR(L69="X",L69="x")),IF(OR(L69="X",L69="x"),0,(LEN(SUBSTITUTE(SUBSTITUTE(SUBSTITUTE(M69," ",""),"0",""),"-",""))+LEN(SUBSTITUTE(SUBSTITUTE(SUBSTITUTE(N69," ",""),"0",""),"-",""))&lt;LEN(SUBSTITUTE(SUBSTITUTE(SUBSTITUTE(J69," ",""),"0",""),"-",""))+LEN(SUBSTITUTE(SUBSTITUTE(SUBSTITUTE(K69," ",""),"0",""),"-","")))*1),0)</f>
      </c>
      <c r="L73" s="14" t="str">
        <f>IF(OR(COUNTA(J68,K68,M68,N68)&gt;0,OR(L68="X",L68="x")),IF(OR(L68="X",L68="x"),1,0),0)+IF(OR(COUNTA(J69,K69,M69,N69)&gt;0,OR(L69="X",L69="x")),IF(OR(L69="X",L69="x"),1,0),0)</f>
      </c>
      <c r="M73" s="14" t="str">
        <f>LEN(SUBSTITUTE(SUBSTITUTE(SUBSTITUTE(M68," ",""),"0",""),"-",""))+LEN(SUBSTITUTE(SUBSTITUTE(SUBSTITUTE(N68," ",""),"0",""),"-",""))+LEN(SUBSTITUTE(SUBSTITUTE(SUBSTITUTE(M69," ",""),"0",""),"-",""))+LEN(SUBSTITUTE(SUBSTITUTE(SUBSTITUTE(N69," ",""),"0",""),"-",""))</f>
      </c>
      <c r="N73" s="14" t="str">
        <f>LEN(SUBSTITUTE(SUBSTITUTE(SUBSTITUTE(J68," ",""),"0",""),"-",""))+LEN(SUBSTITUTE(SUBSTITUTE(SUBSTITUTE(K68," ",""),"0",""),"-",""))+LEN(SUBSTITUTE(SUBSTITUTE(SUBSTITUTE(J69," ",""),"0",""),"-",""))+LEN(SUBSTITUTE(SUBSTITUTE(SUBSTITUTE(K69," ",""),"0",""),"-",""))</f>
      </c>
    </row>
    <row r="74">
      <c r="A74" s="14" t="str">
        <f>data!$B$16</f>
      </c>
      <c r="B74" s="14" t="str">
        <f>IF(OR(COUNTA(B68,C68,E68,F68)&gt;0,OR(D68="X",D68="x")),IF(OR(D68="X",D68="x"),0,(LEN(SUBSTITUTE(SUBSTITUTE(SUBSTITUTE(B68," ",""),"0",""),"-",""))+LEN(SUBSTITUTE(SUBSTITUTE(SUBSTITUTE(C68," ",""),"0",""),"-",""))&gt;LEN(SUBSTITUTE(SUBSTITUTE(SUBSTITUTE(E68," ",""),"0",""),"-",""))+LEN(SUBSTITUTE(SUBSTITUTE(SUBSTITUTE(F68," ",""),"0",""),"-","")))*1),0)+IF(OR(COUNTA(B70,C70,E70,F70)&gt;0,OR(D70="X",D70="x")),IF(OR(D70="X",D70="x"),0,(LEN(SUBSTITUTE(SUBSTITUTE(SUBSTITUTE(E70," ",""),"0",""),"-",""))+LEN(SUBSTITUTE(SUBSTITUTE(SUBSTITUTE(F70," ",""),"0",""),"-",""))&gt;LEN(SUBSTITUTE(SUBSTITUTE(SUBSTITUTE(B70," ",""),"0",""),"-",""))+LEN(SUBSTITUTE(SUBSTITUTE(SUBSTITUTE(C70," ",""),"0",""),"-","")))*1),0)</f>
      </c>
      <c r="C74" s="14" t="str">
        <f>IF(OR(COUNTA(B68,C68,E68,F68)&gt;0,OR(D68="X",D68="x")),IF(OR(D68="X",D68="x"),0,(LEN(SUBSTITUTE(SUBSTITUTE(SUBSTITUTE(B68," ",""),"0",""),"-",""))+LEN(SUBSTITUTE(SUBSTITUTE(SUBSTITUTE(C68," ",""),"0",""),"-",""))&lt;LEN(SUBSTITUTE(SUBSTITUTE(SUBSTITUTE(E68," ",""),"0",""),"-",""))+LEN(SUBSTITUTE(SUBSTITUTE(SUBSTITUTE(F68," ",""),"0",""),"-","")))*1),0)+IF(OR(COUNTA(B70,C70,E70,F70)&gt;0,OR(D70="X",D70="x")),IF(OR(D70="X",D70="x"),0,(LEN(SUBSTITUTE(SUBSTITUTE(SUBSTITUTE(E70," ",""),"0",""),"-",""))+LEN(SUBSTITUTE(SUBSTITUTE(SUBSTITUTE(F70," ",""),"0",""),"-",""))&lt;LEN(SUBSTITUTE(SUBSTITUTE(SUBSTITUTE(B70," ",""),"0",""),"-",""))+LEN(SUBSTITUTE(SUBSTITUTE(SUBSTITUTE(C70," ",""),"0",""),"-","")))*1),0)</f>
      </c>
      <c r="D74" s="14" t="str">
        <f>IF(OR(COUNTA(B68,C68,E68,F68)&gt;0,OR(D68="X",D68="x")),IF(OR(D68="X",D68="x"),1,0),0)+IF(OR(COUNTA(B70,C70,E70,F70)&gt;0,OR(D70="X",D70="x")),IF(OR(D70="X",D70="x"),1,0),0)</f>
      </c>
      <c r="E74" s="14" t="str">
        <f>LEN(SUBSTITUTE(SUBSTITUTE(SUBSTITUTE(B68," ",""),"0",""),"-",""))+LEN(SUBSTITUTE(SUBSTITUTE(SUBSTITUTE(C68," ",""),"0",""),"-",""))+LEN(SUBSTITUTE(SUBSTITUTE(SUBSTITUTE(E70," ",""),"0",""),"-",""))+LEN(SUBSTITUTE(SUBSTITUTE(SUBSTITUTE(F70," ",""),"0",""),"-",""))</f>
      </c>
      <c r="F74" s="14" t="str">
        <f>LEN(SUBSTITUTE(SUBSTITUTE(SUBSTITUTE(E68," ",""),"0",""),"-",""))+LEN(SUBSTITUTE(SUBSTITUTE(SUBSTITUTE(F68," ",""),"0",""),"-",""))+LEN(SUBSTITUTE(SUBSTITUTE(SUBSTITUTE(B70," ",""),"0",""),"-",""))+LEN(SUBSTITUTE(SUBSTITUTE(SUBSTITUTE(C70," ",""),"0",""),"-",""))</f>
      </c>
      <c r="I74" s="14" t="str">
        <f>data!$B$63</f>
      </c>
      <c r="J74" s="14" t="str">
        <f>IF(OR(COUNTA(J68,K68,M68,N68)&gt;0,OR(L68="X",L68="x")),IF(OR(L68="X",L68="x"),0,(LEN(SUBSTITUTE(SUBSTITUTE(SUBSTITUTE(J68," ",""),"0",""),"-",""))+LEN(SUBSTITUTE(SUBSTITUTE(SUBSTITUTE(K68," ",""),"0",""),"-",""))&gt;LEN(SUBSTITUTE(SUBSTITUTE(SUBSTITUTE(M68," ",""),"0",""),"-",""))+LEN(SUBSTITUTE(SUBSTITUTE(SUBSTITUTE(N68," ",""),"0",""),"-","")))*1),0)+IF(OR(COUNTA(J70,K70,M70,N70)&gt;0,OR(L70="X",L70="x")),IF(OR(L70="X",L70="x"),0,(LEN(SUBSTITUTE(SUBSTITUTE(SUBSTITUTE(M70," ",""),"0",""),"-",""))+LEN(SUBSTITUTE(SUBSTITUTE(SUBSTITUTE(N70," ",""),"0",""),"-",""))&gt;LEN(SUBSTITUTE(SUBSTITUTE(SUBSTITUTE(J70," ",""),"0",""),"-",""))+LEN(SUBSTITUTE(SUBSTITUTE(SUBSTITUTE(K70," ",""),"0",""),"-","")))*1),0)</f>
      </c>
      <c r="K74" s="14" t="str">
        <f>IF(OR(COUNTA(J68,K68,M68,N68)&gt;0,OR(L68="X",L68="x")),IF(OR(L68="X",L68="x"),0,(LEN(SUBSTITUTE(SUBSTITUTE(SUBSTITUTE(J68," ",""),"0",""),"-",""))+LEN(SUBSTITUTE(SUBSTITUTE(SUBSTITUTE(K68," ",""),"0",""),"-",""))&lt;LEN(SUBSTITUTE(SUBSTITUTE(SUBSTITUTE(M68," ",""),"0",""),"-",""))+LEN(SUBSTITUTE(SUBSTITUTE(SUBSTITUTE(N68," ",""),"0",""),"-","")))*1),0)+IF(OR(COUNTA(J70,K70,M70,N70)&gt;0,OR(L70="X",L70="x")),IF(OR(L70="X",L70="x"),0,(LEN(SUBSTITUTE(SUBSTITUTE(SUBSTITUTE(M70," ",""),"0",""),"-",""))+LEN(SUBSTITUTE(SUBSTITUTE(SUBSTITUTE(N70," ",""),"0",""),"-",""))&lt;LEN(SUBSTITUTE(SUBSTITUTE(SUBSTITUTE(J70," ",""),"0",""),"-",""))+LEN(SUBSTITUTE(SUBSTITUTE(SUBSTITUTE(K70," ",""),"0",""),"-","")))*1),0)</f>
      </c>
      <c r="L74" s="14" t="str">
        <f>IF(OR(COUNTA(J68,K68,M68,N68)&gt;0,OR(L68="X",L68="x")),IF(OR(L68="X",L68="x"),1,0),0)+IF(OR(COUNTA(J70,K70,M70,N70)&gt;0,OR(L70="X",L70="x")),IF(OR(L70="X",L70="x"),1,0),0)</f>
      </c>
      <c r="M74" s="14" t="str">
        <f>LEN(SUBSTITUTE(SUBSTITUTE(SUBSTITUTE(J68," ",""),"0",""),"-",""))+LEN(SUBSTITUTE(SUBSTITUTE(SUBSTITUTE(K68," ",""),"0",""),"-",""))+LEN(SUBSTITUTE(SUBSTITUTE(SUBSTITUTE(M70," ",""),"0",""),"-",""))+LEN(SUBSTITUTE(SUBSTITUTE(SUBSTITUTE(N70," ",""),"0",""),"-",""))</f>
      </c>
      <c r="N74" s="14" t="str">
        <f>LEN(SUBSTITUTE(SUBSTITUTE(SUBSTITUTE(M68," ",""),"0",""),"-",""))+LEN(SUBSTITUTE(SUBSTITUTE(SUBSTITUTE(N68," ",""),"0",""),"-",""))+LEN(SUBSTITUTE(SUBSTITUTE(SUBSTITUTE(J70," ",""),"0",""),"-",""))+LEN(SUBSTITUTE(SUBSTITUTE(SUBSTITUTE(K70," ",""),"0",""),"-",""))</f>
      </c>
    </row>
    <row r="75">
      <c r="A75" s="14" t="str">
        <f>data!$B$17</f>
      </c>
      <c r="B75" s="14" t="str">
        <f>IF(OR(COUNTA(B69,C69,E69,F69)&gt;0,OR(D69="X",D69="x")),IF(OR(D69="X",D69="x"),0,(LEN(SUBSTITUTE(SUBSTITUTE(SUBSTITUTE(B69," ",""),"0",""),"-",""))+LEN(SUBSTITUTE(SUBSTITUTE(SUBSTITUTE(C69," ",""),"0",""),"-",""))&gt;LEN(SUBSTITUTE(SUBSTITUTE(SUBSTITUTE(E69," ",""),"0",""),"-",""))+LEN(SUBSTITUTE(SUBSTITUTE(SUBSTITUTE(F69," ",""),"0",""),"-","")))*1),0)+IF(OR(COUNTA(B70,C70,E70,F70)&gt;0,OR(D70="X",D70="x")),IF(OR(D70="X",D70="x"),0,(LEN(SUBSTITUTE(SUBSTITUTE(SUBSTITUTE(B70," ",""),"0",""),"-",""))+LEN(SUBSTITUTE(SUBSTITUTE(SUBSTITUTE(C70," ",""),"0",""),"-",""))&gt;LEN(SUBSTITUTE(SUBSTITUTE(SUBSTITUTE(E70," ",""),"0",""),"-",""))+LEN(SUBSTITUTE(SUBSTITUTE(SUBSTITUTE(F70," ",""),"0",""),"-","")))*1),0)</f>
      </c>
      <c r="C75" s="14" t="str">
        <f>IF(OR(COUNTA(B69,C69,E69,F69)&gt;0,OR(D69="X",D69="x")),IF(OR(D69="X",D69="x"),0,(LEN(SUBSTITUTE(SUBSTITUTE(SUBSTITUTE(B69," ",""),"0",""),"-",""))+LEN(SUBSTITUTE(SUBSTITUTE(SUBSTITUTE(C69," ",""),"0",""),"-",""))&lt;LEN(SUBSTITUTE(SUBSTITUTE(SUBSTITUTE(E69," ",""),"0",""),"-",""))+LEN(SUBSTITUTE(SUBSTITUTE(SUBSTITUTE(F69," ",""),"0",""),"-","")))*1),0)+IF(OR(COUNTA(B70,C70,E70,F70)&gt;0,OR(D70="X",D70="x")),IF(OR(D70="X",D70="x"),0,(LEN(SUBSTITUTE(SUBSTITUTE(SUBSTITUTE(B70," ",""),"0",""),"-",""))+LEN(SUBSTITUTE(SUBSTITUTE(SUBSTITUTE(C70," ",""),"0",""),"-",""))&lt;LEN(SUBSTITUTE(SUBSTITUTE(SUBSTITUTE(E70," ",""),"0",""),"-",""))+LEN(SUBSTITUTE(SUBSTITUTE(SUBSTITUTE(F70," ",""),"0",""),"-","")))*1),0)</f>
      </c>
      <c r="D75" s="14" t="str">
        <f>IF(OR(COUNTA(B69,C69,E69,F69)&gt;0,OR(D69="X",D69="x")),IF(OR(D69="X",D69="x"),1,0),0)+IF(OR(COUNTA(B70,C70,E70,F70)&gt;0,OR(D70="X",D70="x")),IF(OR(D70="X",D70="x"),1,0),0)</f>
      </c>
      <c r="E75" s="14" t="str">
        <f>LEN(SUBSTITUTE(SUBSTITUTE(SUBSTITUTE(B69," ",""),"0",""),"-",""))+LEN(SUBSTITUTE(SUBSTITUTE(SUBSTITUTE(C69," ",""),"0",""),"-",""))+LEN(SUBSTITUTE(SUBSTITUTE(SUBSTITUTE(B70," ",""),"0",""),"-",""))+LEN(SUBSTITUTE(SUBSTITUTE(SUBSTITUTE(C70," ",""),"0",""),"-",""))</f>
      </c>
      <c r="F75" s="14" t="str">
        <f>LEN(SUBSTITUTE(SUBSTITUTE(SUBSTITUTE(E69," ",""),"0",""),"-",""))+LEN(SUBSTITUTE(SUBSTITUTE(SUBSTITUTE(F69," ",""),"0",""),"-",""))+LEN(SUBSTITUTE(SUBSTITUTE(SUBSTITUTE(E70," ",""),"0",""),"-",""))+LEN(SUBSTITUTE(SUBSTITUTE(SUBSTITUTE(F70," ",""),"0",""),"-",""))</f>
      </c>
      <c r="I75" s="14" t="str">
        <f>data!$B$64</f>
      </c>
      <c r="J75" s="14" t="str">
        <f>IF(OR(COUNTA(J69,K69,M69,N69)&gt;0,OR(L69="X",L69="x")),IF(OR(L69="X",L69="x"),0,(LEN(SUBSTITUTE(SUBSTITUTE(SUBSTITUTE(J69," ",""),"0",""),"-",""))+LEN(SUBSTITUTE(SUBSTITUTE(SUBSTITUTE(K69," ",""),"0",""),"-",""))&gt;LEN(SUBSTITUTE(SUBSTITUTE(SUBSTITUTE(M69," ",""),"0",""),"-",""))+LEN(SUBSTITUTE(SUBSTITUTE(SUBSTITUTE(N69," ",""),"0",""),"-","")))*1),0)+IF(OR(COUNTA(J70,K70,M70,N70)&gt;0,OR(L70="X",L70="x")),IF(OR(L70="X",L70="x"),0,(LEN(SUBSTITUTE(SUBSTITUTE(SUBSTITUTE(J70," ",""),"0",""),"-",""))+LEN(SUBSTITUTE(SUBSTITUTE(SUBSTITUTE(K70," ",""),"0",""),"-",""))&gt;LEN(SUBSTITUTE(SUBSTITUTE(SUBSTITUTE(M70," ",""),"0",""),"-",""))+LEN(SUBSTITUTE(SUBSTITUTE(SUBSTITUTE(N70," ",""),"0",""),"-","")))*1),0)</f>
      </c>
      <c r="K75" s="14" t="str">
        <f>IF(OR(COUNTA(J69,K69,M69,N69)&gt;0,OR(L69="X",L69="x")),IF(OR(L69="X",L69="x"),0,(LEN(SUBSTITUTE(SUBSTITUTE(SUBSTITUTE(J69," ",""),"0",""),"-",""))+LEN(SUBSTITUTE(SUBSTITUTE(SUBSTITUTE(K69," ",""),"0",""),"-",""))&lt;LEN(SUBSTITUTE(SUBSTITUTE(SUBSTITUTE(M69," ",""),"0",""),"-",""))+LEN(SUBSTITUTE(SUBSTITUTE(SUBSTITUTE(N69," ",""),"0",""),"-","")))*1),0)+IF(OR(COUNTA(J70,K70,M70,N70)&gt;0,OR(L70="X",L70="x")),IF(OR(L70="X",L70="x"),0,(LEN(SUBSTITUTE(SUBSTITUTE(SUBSTITUTE(J70," ",""),"0",""),"-",""))+LEN(SUBSTITUTE(SUBSTITUTE(SUBSTITUTE(K70," ",""),"0",""),"-",""))&lt;LEN(SUBSTITUTE(SUBSTITUTE(SUBSTITUTE(M70," ",""),"0",""),"-",""))+LEN(SUBSTITUTE(SUBSTITUTE(SUBSTITUTE(N70," ",""),"0",""),"-","")))*1),0)</f>
      </c>
      <c r="L75" s="14" t="str">
        <f>IF(OR(COUNTA(J69,K69,M69,N69)&gt;0,OR(L69="X",L69="x")),IF(OR(L69="X",L69="x"),1,0),0)+IF(OR(COUNTA(J70,K70,M70,N70)&gt;0,OR(L70="X",L70="x")),IF(OR(L70="X",L70="x"),1,0),0)</f>
      </c>
      <c r="M75" s="14" t="str">
        <f>LEN(SUBSTITUTE(SUBSTITUTE(SUBSTITUTE(J69," ",""),"0",""),"-",""))+LEN(SUBSTITUTE(SUBSTITUTE(SUBSTITUTE(K69," ",""),"0",""),"-",""))+LEN(SUBSTITUTE(SUBSTITUTE(SUBSTITUTE(J70," ",""),"0",""),"-",""))+LEN(SUBSTITUTE(SUBSTITUTE(SUBSTITUTE(K70," ",""),"0",""),"-",""))</f>
      </c>
      <c r="N75" s="14" t="str">
        <f>LEN(SUBSTITUTE(SUBSTITUTE(SUBSTITUTE(M69," ",""),"0",""),"-",""))+LEN(SUBSTITUTE(SUBSTITUTE(SUBSTITUTE(N69," ",""),"0",""),"-",""))+LEN(SUBSTITUTE(SUBSTITUTE(SUBSTITUTE(M70," ",""),"0",""),"-",""))+LEN(SUBSTITUTE(SUBSTITUTE(SUBSTITUTE(N70," ",""),"0",""),"-",""))</f>
      </c>
    </row>
    <row r="77">
      <c r="F77" t="s">
        <v>248</v>
      </c>
      <c r="G77" s="19"/>
      <c r="N77" t="s">
        <v>248</v>
      </c>
      <c r="O77" s="19"/>
    </row>
    <row r="78">
      <c r="F78" t="s">
        <v>249</v>
      </c>
      <c r="G78" s="19"/>
      <c r="N78" t="s">
        <v>249</v>
      </c>
      <c r="O78" s="19"/>
    </row>
    <row r="79">
      <c r="F79" t="s">
        <v>250</v>
      </c>
      <c r="G79" s="19"/>
      <c r="N79" t="s">
        <v>250</v>
      </c>
      <c r="O79" s="19"/>
    </row>
    <row r="82">
      <c r="A82" s="13" t="str">
        <f>data!$A$20</f>
      </c>
      <c r="B82" s="13"/>
      <c r="C82" s="13"/>
      <c r="D82" s="13"/>
      <c r="E82" s="13"/>
      <c r="F82" s="13"/>
      <c r="G82" s="13"/>
      <c r="I82" s="13" t="str">
        <f>data!$A$67</f>
      </c>
      <c r="J82" s="13"/>
      <c r="K82" s="13"/>
      <c r="L82" s="13"/>
      <c r="M82" s="13"/>
      <c r="N82" s="13"/>
      <c r="O82" s="13"/>
    </row>
    <row r="83">
      <c r="A83" s="17" t="s">
        <v>239</v>
      </c>
      <c r="D83" s="14" t="s">
        <v>240</v>
      </c>
      <c r="G83" s="16" t="s">
        <v>241</v>
      </c>
      <c r="I83" s="17" t="s">
        <v>239</v>
      </c>
      <c r="L83" s="14" t="s">
        <v>240</v>
      </c>
      <c r="O83" s="16" t="s">
        <v>241</v>
      </c>
    </row>
    <row r="84">
      <c r="A84" s="14" t="str">
        <f>data!$B$19</f>
      </c>
      <c r="B84" s="18"/>
      <c r="C84" s="18"/>
      <c r="D84" s="18"/>
      <c r="E84" s="18"/>
      <c r="F84" s="18"/>
      <c r="G84" s="14" t="str">
        <f>data!$B$18</f>
      </c>
      <c r="I84" s="14" t="str">
        <f>data!$B$66</f>
      </c>
      <c r="J84" s="18"/>
      <c r="K84" s="18"/>
      <c r="L84" s="18"/>
      <c r="M84" s="18"/>
      <c r="N84" s="18"/>
      <c r="O84" s="14" t="str">
        <f>data!$B$65</f>
      </c>
    </row>
    <row r="85">
      <c r="A85" s="14" t="str">
        <f>data!$B$20</f>
      </c>
      <c r="B85" s="18"/>
      <c r="C85" s="18"/>
      <c r="D85" s="18"/>
      <c r="E85" s="18"/>
      <c r="F85" s="18"/>
      <c r="G85" s="14" t="str">
        <f>data!$B$18</f>
      </c>
      <c r="I85" s="14" t="str">
        <f>data!$B$67</f>
      </c>
      <c r="J85" s="18"/>
      <c r="K85" s="18"/>
      <c r="L85" s="18"/>
      <c r="M85" s="18"/>
      <c r="N85" s="18"/>
      <c r="O85" s="14" t="str">
        <f>data!$B$65</f>
      </c>
    </row>
    <row r="86">
      <c r="A86" s="14" t="str">
        <f>data!$B$20</f>
      </c>
      <c r="B86" s="18"/>
      <c r="C86" s="18"/>
      <c r="D86" s="18"/>
      <c r="E86" s="18"/>
      <c r="F86" s="18"/>
      <c r="G86" s="14" t="str">
        <f>data!$B$19</f>
      </c>
      <c r="I86" s="14" t="str">
        <f>data!$B$67</f>
      </c>
      <c r="J86" s="18"/>
      <c r="K86" s="18"/>
      <c r="L86" s="18"/>
      <c r="M86" s="18"/>
      <c r="N86" s="18"/>
      <c r="O86" s="14" t="str">
        <f>data!$B$66</f>
      </c>
    </row>
    <row r="88">
      <c r="A88" s="13" t="s">
        <v>242</v>
      </c>
      <c r="B88" s="13" t="s">
        <v>243</v>
      </c>
      <c r="C88" s="13" t="s">
        <v>244</v>
      </c>
      <c r="D88" s="13" t="s">
        <v>245</v>
      </c>
      <c r="E88" s="13" t="s">
        <v>246</v>
      </c>
      <c r="F88" s="13" t="s">
        <v>247</v>
      </c>
      <c r="I88" s="13" t="s">
        <v>242</v>
      </c>
      <c r="J88" s="13" t="s">
        <v>243</v>
      </c>
      <c r="K88" s="13" t="s">
        <v>244</v>
      </c>
      <c r="L88" s="13" t="s">
        <v>245</v>
      </c>
      <c r="M88" s="13" t="s">
        <v>246</v>
      </c>
      <c r="N88" s="13" t="s">
        <v>247</v>
      </c>
    </row>
    <row r="89">
      <c r="A89" s="14" t="str">
        <f>data!$B$18</f>
      </c>
      <c r="B89" s="14" t="str">
        <f>IF(OR(COUNTA(B84,C84,E84,F84)&gt;0,OR(D84="X",D84="x")),IF(OR(D84="X",D84="x"),0,(LEN(SUBSTITUTE(SUBSTITUTE(SUBSTITUTE(E84," ",""),"0",""),"-",""))+LEN(SUBSTITUTE(SUBSTITUTE(SUBSTITUTE(F84," ",""),"0",""),"-",""))&gt;LEN(SUBSTITUTE(SUBSTITUTE(SUBSTITUTE(B84," ",""),"0",""),"-",""))+LEN(SUBSTITUTE(SUBSTITUTE(SUBSTITUTE(C84," ",""),"0",""),"-","")))*1),0)+IF(OR(COUNTA(B85,C85,E85,F85)&gt;0,OR(D85="X",D85="x")),IF(OR(D85="X",D85="x"),0,(LEN(SUBSTITUTE(SUBSTITUTE(SUBSTITUTE(E85," ",""),"0",""),"-",""))+LEN(SUBSTITUTE(SUBSTITUTE(SUBSTITUTE(F85," ",""),"0",""),"-",""))&gt;LEN(SUBSTITUTE(SUBSTITUTE(SUBSTITUTE(B85," ",""),"0",""),"-",""))+LEN(SUBSTITUTE(SUBSTITUTE(SUBSTITUTE(C85," ",""),"0",""),"-","")))*1),0)</f>
      </c>
      <c r="C89" s="14" t="str">
        <f>IF(OR(COUNTA(B84,C84,E84,F84)&gt;0,OR(D84="X",D84="x")),IF(OR(D84="X",D84="x"),0,(LEN(SUBSTITUTE(SUBSTITUTE(SUBSTITUTE(E84," ",""),"0",""),"-",""))+LEN(SUBSTITUTE(SUBSTITUTE(SUBSTITUTE(F84," ",""),"0",""),"-",""))&lt;LEN(SUBSTITUTE(SUBSTITUTE(SUBSTITUTE(B84," ",""),"0",""),"-",""))+LEN(SUBSTITUTE(SUBSTITUTE(SUBSTITUTE(C84," ",""),"0",""),"-","")))*1),0)+IF(OR(COUNTA(B85,C85,E85,F85)&gt;0,OR(D85="X",D85="x")),IF(OR(D85="X",D85="x"),0,(LEN(SUBSTITUTE(SUBSTITUTE(SUBSTITUTE(E85," ",""),"0",""),"-",""))+LEN(SUBSTITUTE(SUBSTITUTE(SUBSTITUTE(F85," ",""),"0",""),"-",""))&lt;LEN(SUBSTITUTE(SUBSTITUTE(SUBSTITUTE(B85," ",""),"0",""),"-",""))+LEN(SUBSTITUTE(SUBSTITUTE(SUBSTITUTE(C85," ",""),"0",""),"-","")))*1),0)</f>
      </c>
      <c r="D89" s="14" t="str">
        <f>IF(OR(COUNTA(B84,C84,E84,F84)&gt;0,OR(D84="X",D84="x")),IF(OR(D84="X",D84="x"),1,0),0)+IF(OR(COUNTA(B85,C85,E85,F85)&gt;0,OR(D85="X",D85="x")),IF(OR(D85="X",D85="x"),1,0),0)</f>
      </c>
      <c r="E89" s="14" t="str">
        <f>LEN(SUBSTITUTE(SUBSTITUTE(SUBSTITUTE(E84," ",""),"0",""),"-",""))+LEN(SUBSTITUTE(SUBSTITUTE(SUBSTITUTE(F84," ",""),"0",""),"-",""))+LEN(SUBSTITUTE(SUBSTITUTE(SUBSTITUTE(E85," ",""),"0",""),"-",""))+LEN(SUBSTITUTE(SUBSTITUTE(SUBSTITUTE(F85," ",""),"0",""),"-",""))</f>
      </c>
      <c r="F89" s="14" t="str">
        <f>LEN(SUBSTITUTE(SUBSTITUTE(SUBSTITUTE(B84," ",""),"0",""),"-",""))+LEN(SUBSTITUTE(SUBSTITUTE(SUBSTITUTE(C84," ",""),"0",""),"-",""))+LEN(SUBSTITUTE(SUBSTITUTE(SUBSTITUTE(B85," ",""),"0",""),"-",""))+LEN(SUBSTITUTE(SUBSTITUTE(SUBSTITUTE(C85," ",""),"0",""),"-",""))</f>
      </c>
      <c r="I89" s="14" t="str">
        <f>data!$B$65</f>
      </c>
      <c r="J89" s="14" t="str">
        <f>IF(OR(COUNTA(J84,K84,M84,N84)&gt;0,OR(L84="X",L84="x")),IF(OR(L84="X",L84="x"),0,(LEN(SUBSTITUTE(SUBSTITUTE(SUBSTITUTE(M84," ",""),"0",""),"-",""))+LEN(SUBSTITUTE(SUBSTITUTE(SUBSTITUTE(N84," ",""),"0",""),"-",""))&gt;LEN(SUBSTITUTE(SUBSTITUTE(SUBSTITUTE(J84," ",""),"0",""),"-",""))+LEN(SUBSTITUTE(SUBSTITUTE(SUBSTITUTE(K84," ",""),"0",""),"-","")))*1),0)+IF(OR(COUNTA(J85,K85,M85,N85)&gt;0,OR(L85="X",L85="x")),IF(OR(L85="X",L85="x"),0,(LEN(SUBSTITUTE(SUBSTITUTE(SUBSTITUTE(M85," ",""),"0",""),"-",""))+LEN(SUBSTITUTE(SUBSTITUTE(SUBSTITUTE(N85," ",""),"0",""),"-",""))&gt;LEN(SUBSTITUTE(SUBSTITUTE(SUBSTITUTE(J85," ",""),"0",""),"-",""))+LEN(SUBSTITUTE(SUBSTITUTE(SUBSTITUTE(K85," ",""),"0",""),"-","")))*1),0)</f>
      </c>
      <c r="K89" s="14" t="str">
        <f>IF(OR(COUNTA(J84,K84,M84,N84)&gt;0,OR(L84="X",L84="x")),IF(OR(L84="X",L84="x"),0,(LEN(SUBSTITUTE(SUBSTITUTE(SUBSTITUTE(M84," ",""),"0",""),"-",""))+LEN(SUBSTITUTE(SUBSTITUTE(SUBSTITUTE(N84," ",""),"0",""),"-",""))&lt;LEN(SUBSTITUTE(SUBSTITUTE(SUBSTITUTE(J84," ",""),"0",""),"-",""))+LEN(SUBSTITUTE(SUBSTITUTE(SUBSTITUTE(K84," ",""),"0",""),"-","")))*1),0)+IF(OR(COUNTA(J85,K85,M85,N85)&gt;0,OR(L85="X",L85="x")),IF(OR(L85="X",L85="x"),0,(LEN(SUBSTITUTE(SUBSTITUTE(SUBSTITUTE(M85," ",""),"0",""),"-",""))+LEN(SUBSTITUTE(SUBSTITUTE(SUBSTITUTE(N85," ",""),"0",""),"-",""))&lt;LEN(SUBSTITUTE(SUBSTITUTE(SUBSTITUTE(J85," ",""),"0",""),"-",""))+LEN(SUBSTITUTE(SUBSTITUTE(SUBSTITUTE(K85," ",""),"0",""),"-","")))*1),0)</f>
      </c>
      <c r="L89" s="14" t="str">
        <f>IF(OR(COUNTA(J84,K84,M84,N84)&gt;0,OR(L84="X",L84="x")),IF(OR(L84="X",L84="x"),1,0),0)+IF(OR(COUNTA(J85,K85,M85,N85)&gt;0,OR(L85="X",L85="x")),IF(OR(L85="X",L85="x"),1,0),0)</f>
      </c>
      <c r="M89" s="14" t="str">
        <f>LEN(SUBSTITUTE(SUBSTITUTE(SUBSTITUTE(M84," ",""),"0",""),"-",""))+LEN(SUBSTITUTE(SUBSTITUTE(SUBSTITUTE(N84," ",""),"0",""),"-",""))+LEN(SUBSTITUTE(SUBSTITUTE(SUBSTITUTE(M85," ",""),"0",""),"-",""))+LEN(SUBSTITUTE(SUBSTITUTE(SUBSTITUTE(N85," ",""),"0",""),"-",""))</f>
      </c>
      <c r="N89" s="14" t="str">
        <f>LEN(SUBSTITUTE(SUBSTITUTE(SUBSTITUTE(J84," ",""),"0",""),"-",""))+LEN(SUBSTITUTE(SUBSTITUTE(SUBSTITUTE(K84," ",""),"0",""),"-",""))+LEN(SUBSTITUTE(SUBSTITUTE(SUBSTITUTE(J85," ",""),"0",""),"-",""))+LEN(SUBSTITUTE(SUBSTITUTE(SUBSTITUTE(K85," ",""),"0",""),"-",""))</f>
      </c>
    </row>
    <row r="90">
      <c r="A90" s="14" t="str">
        <f>data!$B$19</f>
      </c>
      <c r="B90" s="14" t="str">
        <f>IF(OR(COUNTA(B84,C84,E84,F84)&gt;0,OR(D84="X",D84="x")),IF(OR(D84="X",D84="x"),0,(LEN(SUBSTITUTE(SUBSTITUTE(SUBSTITUTE(B84," ",""),"0",""),"-",""))+LEN(SUBSTITUTE(SUBSTITUTE(SUBSTITUTE(C84," ",""),"0",""),"-",""))&gt;LEN(SUBSTITUTE(SUBSTITUTE(SUBSTITUTE(E84," ",""),"0",""),"-",""))+LEN(SUBSTITUTE(SUBSTITUTE(SUBSTITUTE(F84," ",""),"0",""),"-","")))*1),0)+IF(OR(COUNTA(B86,C86,E86,F86)&gt;0,OR(D86="X",D86="x")),IF(OR(D86="X",D86="x"),0,(LEN(SUBSTITUTE(SUBSTITUTE(SUBSTITUTE(E86," ",""),"0",""),"-",""))+LEN(SUBSTITUTE(SUBSTITUTE(SUBSTITUTE(F86," ",""),"0",""),"-",""))&gt;LEN(SUBSTITUTE(SUBSTITUTE(SUBSTITUTE(B86," ",""),"0",""),"-",""))+LEN(SUBSTITUTE(SUBSTITUTE(SUBSTITUTE(C86," ",""),"0",""),"-","")))*1),0)</f>
      </c>
      <c r="C90" s="14" t="str">
        <f>IF(OR(COUNTA(B84,C84,E84,F84)&gt;0,OR(D84="X",D84="x")),IF(OR(D84="X",D84="x"),0,(LEN(SUBSTITUTE(SUBSTITUTE(SUBSTITUTE(B84," ",""),"0",""),"-",""))+LEN(SUBSTITUTE(SUBSTITUTE(SUBSTITUTE(C84," ",""),"0",""),"-",""))&lt;LEN(SUBSTITUTE(SUBSTITUTE(SUBSTITUTE(E84," ",""),"0",""),"-",""))+LEN(SUBSTITUTE(SUBSTITUTE(SUBSTITUTE(F84," ",""),"0",""),"-","")))*1),0)+IF(OR(COUNTA(B86,C86,E86,F86)&gt;0,OR(D86="X",D86="x")),IF(OR(D86="X",D86="x"),0,(LEN(SUBSTITUTE(SUBSTITUTE(SUBSTITUTE(E86," ",""),"0",""),"-",""))+LEN(SUBSTITUTE(SUBSTITUTE(SUBSTITUTE(F86," ",""),"0",""),"-",""))&lt;LEN(SUBSTITUTE(SUBSTITUTE(SUBSTITUTE(B86," ",""),"0",""),"-",""))+LEN(SUBSTITUTE(SUBSTITUTE(SUBSTITUTE(C86," ",""),"0",""),"-","")))*1),0)</f>
      </c>
      <c r="D90" s="14" t="str">
        <f>IF(OR(COUNTA(B84,C84,E84,F84)&gt;0,OR(D84="X",D84="x")),IF(OR(D84="X",D84="x"),1,0),0)+IF(OR(COUNTA(B86,C86,E86,F86)&gt;0,OR(D86="X",D86="x")),IF(OR(D86="X",D86="x"),1,0),0)</f>
      </c>
      <c r="E90" s="14" t="str">
        <f>LEN(SUBSTITUTE(SUBSTITUTE(SUBSTITUTE(B84," ",""),"0",""),"-",""))+LEN(SUBSTITUTE(SUBSTITUTE(SUBSTITUTE(C84," ",""),"0",""),"-",""))+LEN(SUBSTITUTE(SUBSTITUTE(SUBSTITUTE(E86," ",""),"0",""),"-",""))+LEN(SUBSTITUTE(SUBSTITUTE(SUBSTITUTE(F86," ",""),"0",""),"-",""))</f>
      </c>
      <c r="F90" s="14" t="str">
        <f>LEN(SUBSTITUTE(SUBSTITUTE(SUBSTITUTE(E84," ",""),"0",""),"-",""))+LEN(SUBSTITUTE(SUBSTITUTE(SUBSTITUTE(F84," ",""),"0",""),"-",""))+LEN(SUBSTITUTE(SUBSTITUTE(SUBSTITUTE(B86," ",""),"0",""),"-",""))+LEN(SUBSTITUTE(SUBSTITUTE(SUBSTITUTE(C86," ",""),"0",""),"-",""))</f>
      </c>
      <c r="I90" s="14" t="str">
        <f>data!$B$66</f>
      </c>
      <c r="J90" s="14" t="str">
        <f>IF(OR(COUNTA(J84,K84,M84,N84)&gt;0,OR(L84="X",L84="x")),IF(OR(L84="X",L84="x"),0,(LEN(SUBSTITUTE(SUBSTITUTE(SUBSTITUTE(J84," ",""),"0",""),"-",""))+LEN(SUBSTITUTE(SUBSTITUTE(SUBSTITUTE(K84," ",""),"0",""),"-",""))&gt;LEN(SUBSTITUTE(SUBSTITUTE(SUBSTITUTE(M84," ",""),"0",""),"-",""))+LEN(SUBSTITUTE(SUBSTITUTE(SUBSTITUTE(N84," ",""),"0",""),"-","")))*1),0)+IF(OR(COUNTA(J86,K86,M86,N86)&gt;0,OR(L86="X",L86="x")),IF(OR(L86="X",L86="x"),0,(LEN(SUBSTITUTE(SUBSTITUTE(SUBSTITUTE(M86," ",""),"0",""),"-",""))+LEN(SUBSTITUTE(SUBSTITUTE(SUBSTITUTE(N86," ",""),"0",""),"-",""))&gt;LEN(SUBSTITUTE(SUBSTITUTE(SUBSTITUTE(J86," ",""),"0",""),"-",""))+LEN(SUBSTITUTE(SUBSTITUTE(SUBSTITUTE(K86," ",""),"0",""),"-","")))*1),0)</f>
      </c>
      <c r="K90" s="14" t="str">
        <f>IF(OR(COUNTA(J84,K84,M84,N84)&gt;0,OR(L84="X",L84="x")),IF(OR(L84="X",L84="x"),0,(LEN(SUBSTITUTE(SUBSTITUTE(SUBSTITUTE(J84," ",""),"0",""),"-",""))+LEN(SUBSTITUTE(SUBSTITUTE(SUBSTITUTE(K84," ",""),"0",""),"-",""))&lt;LEN(SUBSTITUTE(SUBSTITUTE(SUBSTITUTE(M84," ",""),"0",""),"-",""))+LEN(SUBSTITUTE(SUBSTITUTE(SUBSTITUTE(N84," ",""),"0",""),"-","")))*1),0)+IF(OR(COUNTA(J86,K86,M86,N86)&gt;0,OR(L86="X",L86="x")),IF(OR(L86="X",L86="x"),0,(LEN(SUBSTITUTE(SUBSTITUTE(SUBSTITUTE(M86," ",""),"0",""),"-",""))+LEN(SUBSTITUTE(SUBSTITUTE(SUBSTITUTE(N86," ",""),"0",""),"-",""))&lt;LEN(SUBSTITUTE(SUBSTITUTE(SUBSTITUTE(J86," ",""),"0",""),"-",""))+LEN(SUBSTITUTE(SUBSTITUTE(SUBSTITUTE(K86," ",""),"0",""),"-","")))*1),0)</f>
      </c>
      <c r="L90" s="14" t="str">
        <f>IF(OR(COUNTA(J84,K84,M84,N84)&gt;0,OR(L84="X",L84="x")),IF(OR(L84="X",L84="x"),1,0),0)+IF(OR(COUNTA(J86,K86,M86,N86)&gt;0,OR(L86="X",L86="x")),IF(OR(L86="X",L86="x"),1,0),0)</f>
      </c>
      <c r="M90" s="14" t="str">
        <f>LEN(SUBSTITUTE(SUBSTITUTE(SUBSTITUTE(J84," ",""),"0",""),"-",""))+LEN(SUBSTITUTE(SUBSTITUTE(SUBSTITUTE(K84," ",""),"0",""),"-",""))+LEN(SUBSTITUTE(SUBSTITUTE(SUBSTITUTE(M86," ",""),"0",""),"-",""))+LEN(SUBSTITUTE(SUBSTITUTE(SUBSTITUTE(N86," ",""),"0",""),"-",""))</f>
      </c>
      <c r="N90" s="14" t="str">
        <f>LEN(SUBSTITUTE(SUBSTITUTE(SUBSTITUTE(M84," ",""),"0",""),"-",""))+LEN(SUBSTITUTE(SUBSTITUTE(SUBSTITUTE(N84," ",""),"0",""),"-",""))+LEN(SUBSTITUTE(SUBSTITUTE(SUBSTITUTE(J86," ",""),"0",""),"-",""))+LEN(SUBSTITUTE(SUBSTITUTE(SUBSTITUTE(K86," ",""),"0",""),"-",""))</f>
      </c>
    </row>
    <row r="91">
      <c r="A91" s="14" t="str">
        <f>data!$B$20</f>
      </c>
      <c r="B91" s="14" t="str">
        <f>IF(OR(COUNTA(B85,C85,E85,F85)&gt;0,OR(D85="X",D85="x")),IF(OR(D85="X",D85="x"),0,(LEN(SUBSTITUTE(SUBSTITUTE(SUBSTITUTE(B85," ",""),"0",""),"-",""))+LEN(SUBSTITUTE(SUBSTITUTE(SUBSTITUTE(C85," ",""),"0",""),"-",""))&gt;LEN(SUBSTITUTE(SUBSTITUTE(SUBSTITUTE(E85," ",""),"0",""),"-",""))+LEN(SUBSTITUTE(SUBSTITUTE(SUBSTITUTE(F85," ",""),"0",""),"-","")))*1),0)+IF(OR(COUNTA(B86,C86,E86,F86)&gt;0,OR(D86="X",D86="x")),IF(OR(D86="X",D86="x"),0,(LEN(SUBSTITUTE(SUBSTITUTE(SUBSTITUTE(B86," ",""),"0",""),"-",""))+LEN(SUBSTITUTE(SUBSTITUTE(SUBSTITUTE(C86," ",""),"0",""),"-",""))&gt;LEN(SUBSTITUTE(SUBSTITUTE(SUBSTITUTE(E86," ",""),"0",""),"-",""))+LEN(SUBSTITUTE(SUBSTITUTE(SUBSTITUTE(F86," ",""),"0",""),"-","")))*1),0)</f>
      </c>
      <c r="C91" s="14" t="str">
        <f>IF(OR(COUNTA(B85,C85,E85,F85)&gt;0,OR(D85="X",D85="x")),IF(OR(D85="X",D85="x"),0,(LEN(SUBSTITUTE(SUBSTITUTE(SUBSTITUTE(B85," ",""),"0",""),"-",""))+LEN(SUBSTITUTE(SUBSTITUTE(SUBSTITUTE(C85," ",""),"0",""),"-",""))&lt;LEN(SUBSTITUTE(SUBSTITUTE(SUBSTITUTE(E85," ",""),"0",""),"-",""))+LEN(SUBSTITUTE(SUBSTITUTE(SUBSTITUTE(F85," ",""),"0",""),"-","")))*1),0)+IF(OR(COUNTA(B86,C86,E86,F86)&gt;0,OR(D86="X",D86="x")),IF(OR(D86="X",D86="x"),0,(LEN(SUBSTITUTE(SUBSTITUTE(SUBSTITUTE(B86," ",""),"0",""),"-",""))+LEN(SUBSTITUTE(SUBSTITUTE(SUBSTITUTE(C86," ",""),"0",""),"-",""))&lt;LEN(SUBSTITUTE(SUBSTITUTE(SUBSTITUTE(E86," ",""),"0",""),"-",""))+LEN(SUBSTITUTE(SUBSTITUTE(SUBSTITUTE(F86," ",""),"0",""),"-","")))*1),0)</f>
      </c>
      <c r="D91" s="14" t="str">
        <f>IF(OR(COUNTA(B85,C85,E85,F85)&gt;0,OR(D85="X",D85="x")),IF(OR(D85="X",D85="x"),1,0),0)+IF(OR(COUNTA(B86,C86,E86,F86)&gt;0,OR(D86="X",D86="x")),IF(OR(D86="X",D86="x"),1,0),0)</f>
      </c>
      <c r="E91" s="14" t="str">
        <f>LEN(SUBSTITUTE(SUBSTITUTE(SUBSTITUTE(B85," ",""),"0",""),"-",""))+LEN(SUBSTITUTE(SUBSTITUTE(SUBSTITUTE(C85," ",""),"0",""),"-",""))+LEN(SUBSTITUTE(SUBSTITUTE(SUBSTITUTE(B86," ",""),"0",""),"-",""))+LEN(SUBSTITUTE(SUBSTITUTE(SUBSTITUTE(C86," ",""),"0",""),"-",""))</f>
      </c>
      <c r="F91" s="14" t="str">
        <f>LEN(SUBSTITUTE(SUBSTITUTE(SUBSTITUTE(E85," ",""),"0",""),"-",""))+LEN(SUBSTITUTE(SUBSTITUTE(SUBSTITUTE(F85," ",""),"0",""),"-",""))+LEN(SUBSTITUTE(SUBSTITUTE(SUBSTITUTE(E86," ",""),"0",""),"-",""))+LEN(SUBSTITUTE(SUBSTITUTE(SUBSTITUTE(F86," ",""),"0",""),"-",""))</f>
      </c>
      <c r="I91" s="14" t="str">
        <f>data!$B$67</f>
      </c>
      <c r="J91" s="14" t="str">
        <f>IF(OR(COUNTA(J85,K85,M85,N85)&gt;0,OR(L85="X",L85="x")),IF(OR(L85="X",L85="x"),0,(LEN(SUBSTITUTE(SUBSTITUTE(SUBSTITUTE(J85," ",""),"0",""),"-",""))+LEN(SUBSTITUTE(SUBSTITUTE(SUBSTITUTE(K85," ",""),"0",""),"-",""))&gt;LEN(SUBSTITUTE(SUBSTITUTE(SUBSTITUTE(M85," ",""),"0",""),"-",""))+LEN(SUBSTITUTE(SUBSTITUTE(SUBSTITUTE(N85," ",""),"0",""),"-","")))*1),0)+IF(OR(COUNTA(J86,K86,M86,N86)&gt;0,OR(L86="X",L86="x")),IF(OR(L86="X",L86="x"),0,(LEN(SUBSTITUTE(SUBSTITUTE(SUBSTITUTE(J86," ",""),"0",""),"-",""))+LEN(SUBSTITUTE(SUBSTITUTE(SUBSTITUTE(K86," ",""),"0",""),"-",""))&gt;LEN(SUBSTITUTE(SUBSTITUTE(SUBSTITUTE(M86," ",""),"0",""),"-",""))+LEN(SUBSTITUTE(SUBSTITUTE(SUBSTITUTE(N86," ",""),"0",""),"-","")))*1),0)</f>
      </c>
      <c r="K91" s="14" t="str">
        <f>IF(OR(COUNTA(J85,K85,M85,N85)&gt;0,OR(L85="X",L85="x")),IF(OR(L85="X",L85="x"),0,(LEN(SUBSTITUTE(SUBSTITUTE(SUBSTITUTE(J85," ",""),"0",""),"-",""))+LEN(SUBSTITUTE(SUBSTITUTE(SUBSTITUTE(K85," ",""),"0",""),"-",""))&lt;LEN(SUBSTITUTE(SUBSTITUTE(SUBSTITUTE(M85," ",""),"0",""),"-",""))+LEN(SUBSTITUTE(SUBSTITUTE(SUBSTITUTE(N85," ",""),"0",""),"-","")))*1),0)+IF(OR(COUNTA(J86,K86,M86,N86)&gt;0,OR(L86="X",L86="x")),IF(OR(L86="X",L86="x"),0,(LEN(SUBSTITUTE(SUBSTITUTE(SUBSTITUTE(J86," ",""),"0",""),"-",""))+LEN(SUBSTITUTE(SUBSTITUTE(SUBSTITUTE(K86," ",""),"0",""),"-",""))&lt;LEN(SUBSTITUTE(SUBSTITUTE(SUBSTITUTE(M86," ",""),"0",""),"-",""))+LEN(SUBSTITUTE(SUBSTITUTE(SUBSTITUTE(N86," ",""),"0",""),"-","")))*1),0)</f>
      </c>
      <c r="L91" s="14" t="str">
        <f>IF(OR(COUNTA(J85,K85,M85,N85)&gt;0,OR(L85="X",L85="x")),IF(OR(L85="X",L85="x"),1,0),0)+IF(OR(COUNTA(J86,K86,M86,N86)&gt;0,OR(L86="X",L86="x")),IF(OR(L86="X",L86="x"),1,0),0)</f>
      </c>
      <c r="M91" s="14" t="str">
        <f>LEN(SUBSTITUTE(SUBSTITUTE(SUBSTITUTE(J85," ",""),"0",""),"-",""))+LEN(SUBSTITUTE(SUBSTITUTE(SUBSTITUTE(K85," ",""),"0",""),"-",""))+LEN(SUBSTITUTE(SUBSTITUTE(SUBSTITUTE(J86," ",""),"0",""),"-",""))+LEN(SUBSTITUTE(SUBSTITUTE(SUBSTITUTE(K86," ",""),"0",""),"-",""))</f>
      </c>
      <c r="N91" s="14" t="str">
        <f>LEN(SUBSTITUTE(SUBSTITUTE(SUBSTITUTE(M85," ",""),"0",""),"-",""))+LEN(SUBSTITUTE(SUBSTITUTE(SUBSTITUTE(N85," ",""),"0",""),"-",""))+LEN(SUBSTITUTE(SUBSTITUTE(SUBSTITUTE(M86," ",""),"0",""),"-",""))+LEN(SUBSTITUTE(SUBSTITUTE(SUBSTITUTE(N86," ",""),"0",""),"-",""))</f>
      </c>
    </row>
    <row r="93">
      <c r="F93" t="s">
        <v>248</v>
      </c>
      <c r="G93" s="19"/>
      <c r="N93" t="s">
        <v>248</v>
      </c>
      <c r="O93" s="19"/>
    </row>
    <row r="94">
      <c r="F94" t="s">
        <v>249</v>
      </c>
      <c r="G94" s="19"/>
      <c r="N94" t="s">
        <v>249</v>
      </c>
      <c r="O94" s="19"/>
    </row>
    <row r="95">
      <c r="F95" t="s">
        <v>250</v>
      </c>
      <c r="G95" s="19"/>
      <c r="N95" t="s">
        <v>250</v>
      </c>
      <c r="O95" s="19"/>
    </row>
    <row r="98">
      <c r="A98" s="13" t="str">
        <f>data!$A$23</f>
      </c>
      <c r="B98" s="13"/>
      <c r="C98" s="13"/>
      <c r="D98" s="13"/>
      <c r="E98" s="13"/>
      <c r="F98" s="13"/>
      <c r="G98" s="13"/>
      <c r="I98" s="13" t="str">
        <f>data!$A$70</f>
      </c>
      <c r="J98" s="13"/>
      <c r="K98" s="13"/>
      <c r="L98" s="13"/>
      <c r="M98" s="13"/>
      <c r="N98" s="13"/>
      <c r="O98" s="13"/>
    </row>
    <row r="99">
      <c r="A99" s="17" t="s">
        <v>239</v>
      </c>
      <c r="D99" s="14" t="s">
        <v>240</v>
      </c>
      <c r="G99" s="16" t="s">
        <v>241</v>
      </c>
      <c r="I99" s="17" t="s">
        <v>239</v>
      </c>
      <c r="L99" s="14" t="s">
        <v>240</v>
      </c>
      <c r="O99" s="16" t="s">
        <v>241</v>
      </c>
    </row>
    <row r="100">
      <c r="A100" s="14" t="str">
        <f>data!$B$22</f>
      </c>
      <c r="B100" s="18"/>
      <c r="C100" s="18"/>
      <c r="D100" s="18"/>
      <c r="E100" s="18"/>
      <c r="F100" s="18"/>
      <c r="G100" s="14" t="str">
        <f>data!$B$21</f>
      </c>
      <c r="I100" s="14" t="str">
        <f>data!$B$69</f>
      </c>
      <c r="J100" s="18"/>
      <c r="K100" s="18"/>
      <c r="L100" s="18"/>
      <c r="M100" s="18"/>
      <c r="N100" s="18"/>
      <c r="O100" s="14" t="str">
        <f>data!$B$68</f>
      </c>
    </row>
    <row r="101">
      <c r="A101" s="14" t="str">
        <f>data!$B$23</f>
      </c>
      <c r="B101" s="18"/>
      <c r="C101" s="18"/>
      <c r="D101" s="18"/>
      <c r="E101" s="18"/>
      <c r="F101" s="18"/>
      <c r="G101" s="14" t="str">
        <f>data!$B$21</f>
      </c>
      <c r="I101" s="14" t="str">
        <f>data!$B$70</f>
      </c>
      <c r="J101" s="18"/>
      <c r="K101" s="18"/>
      <c r="L101" s="18"/>
      <c r="M101" s="18"/>
      <c r="N101" s="18"/>
      <c r="O101" s="14" t="str">
        <f>data!$B$68</f>
      </c>
    </row>
    <row r="102">
      <c r="A102" s="14" t="str">
        <f>data!$B$23</f>
      </c>
      <c r="B102" s="18"/>
      <c r="C102" s="18"/>
      <c r="D102" s="18"/>
      <c r="E102" s="18"/>
      <c r="F102" s="18"/>
      <c r="G102" s="14" t="str">
        <f>data!$B$22</f>
      </c>
      <c r="I102" s="14" t="str">
        <f>data!$B$70</f>
      </c>
      <c r="J102" s="18"/>
      <c r="K102" s="18"/>
      <c r="L102" s="18"/>
      <c r="M102" s="18"/>
      <c r="N102" s="18"/>
      <c r="O102" s="14" t="str">
        <f>data!$B$69</f>
      </c>
    </row>
    <row r="104">
      <c r="A104" s="13" t="s">
        <v>242</v>
      </c>
      <c r="B104" s="13" t="s">
        <v>243</v>
      </c>
      <c r="C104" s="13" t="s">
        <v>244</v>
      </c>
      <c r="D104" s="13" t="s">
        <v>245</v>
      </c>
      <c r="E104" s="13" t="s">
        <v>246</v>
      </c>
      <c r="F104" s="13" t="s">
        <v>247</v>
      </c>
      <c r="I104" s="13" t="s">
        <v>242</v>
      </c>
      <c r="J104" s="13" t="s">
        <v>243</v>
      </c>
      <c r="K104" s="13" t="s">
        <v>244</v>
      </c>
      <c r="L104" s="13" t="s">
        <v>245</v>
      </c>
      <c r="M104" s="13" t="s">
        <v>246</v>
      </c>
      <c r="N104" s="13" t="s">
        <v>247</v>
      </c>
    </row>
    <row r="105">
      <c r="A105" s="14" t="str">
        <f>data!$B$21</f>
      </c>
      <c r="B105" s="14" t="str">
        <f>IF(OR(COUNTA(B100,C100,E100,F100)&gt;0,OR(D100="X",D100="x")),IF(OR(D100="X",D100="x"),0,(LEN(SUBSTITUTE(SUBSTITUTE(SUBSTITUTE(E100," ",""),"0",""),"-",""))+LEN(SUBSTITUTE(SUBSTITUTE(SUBSTITUTE(F100," ",""),"0",""),"-",""))&gt;LEN(SUBSTITUTE(SUBSTITUTE(SUBSTITUTE(B100," ",""),"0",""),"-",""))+LEN(SUBSTITUTE(SUBSTITUTE(SUBSTITUTE(C100," ",""),"0",""),"-","")))*1),0)+IF(OR(COUNTA(B101,C101,E101,F101)&gt;0,OR(D101="X",D101="x")),IF(OR(D101="X",D101="x"),0,(LEN(SUBSTITUTE(SUBSTITUTE(SUBSTITUTE(E101," ",""),"0",""),"-",""))+LEN(SUBSTITUTE(SUBSTITUTE(SUBSTITUTE(F101," ",""),"0",""),"-",""))&gt;LEN(SUBSTITUTE(SUBSTITUTE(SUBSTITUTE(B101," ",""),"0",""),"-",""))+LEN(SUBSTITUTE(SUBSTITUTE(SUBSTITUTE(C101," ",""),"0",""),"-","")))*1),0)</f>
      </c>
      <c r="C105" s="14" t="str">
        <f>IF(OR(COUNTA(B100,C100,E100,F100)&gt;0,OR(D100="X",D100="x")),IF(OR(D100="X",D100="x"),0,(LEN(SUBSTITUTE(SUBSTITUTE(SUBSTITUTE(E100," ",""),"0",""),"-",""))+LEN(SUBSTITUTE(SUBSTITUTE(SUBSTITUTE(F100," ",""),"0",""),"-",""))&lt;LEN(SUBSTITUTE(SUBSTITUTE(SUBSTITUTE(B100," ",""),"0",""),"-",""))+LEN(SUBSTITUTE(SUBSTITUTE(SUBSTITUTE(C100," ",""),"0",""),"-","")))*1),0)+IF(OR(COUNTA(B101,C101,E101,F101)&gt;0,OR(D101="X",D101="x")),IF(OR(D101="X",D101="x"),0,(LEN(SUBSTITUTE(SUBSTITUTE(SUBSTITUTE(E101," ",""),"0",""),"-",""))+LEN(SUBSTITUTE(SUBSTITUTE(SUBSTITUTE(F101," ",""),"0",""),"-",""))&lt;LEN(SUBSTITUTE(SUBSTITUTE(SUBSTITUTE(B101," ",""),"0",""),"-",""))+LEN(SUBSTITUTE(SUBSTITUTE(SUBSTITUTE(C101," ",""),"0",""),"-","")))*1),0)</f>
      </c>
      <c r="D105" s="14" t="str">
        <f>IF(OR(COUNTA(B100,C100,E100,F100)&gt;0,OR(D100="X",D100="x")),IF(OR(D100="X",D100="x"),1,0),0)+IF(OR(COUNTA(B101,C101,E101,F101)&gt;0,OR(D101="X",D101="x")),IF(OR(D101="X",D101="x"),1,0),0)</f>
      </c>
      <c r="E105" s="14" t="str">
        <f>LEN(SUBSTITUTE(SUBSTITUTE(SUBSTITUTE(E100," ",""),"0",""),"-",""))+LEN(SUBSTITUTE(SUBSTITUTE(SUBSTITUTE(F100," ",""),"0",""),"-",""))+LEN(SUBSTITUTE(SUBSTITUTE(SUBSTITUTE(E101," ",""),"0",""),"-",""))+LEN(SUBSTITUTE(SUBSTITUTE(SUBSTITUTE(F101," ",""),"0",""),"-",""))</f>
      </c>
      <c r="F105" s="14" t="str">
        <f>LEN(SUBSTITUTE(SUBSTITUTE(SUBSTITUTE(B100," ",""),"0",""),"-",""))+LEN(SUBSTITUTE(SUBSTITUTE(SUBSTITUTE(C100," ",""),"0",""),"-",""))+LEN(SUBSTITUTE(SUBSTITUTE(SUBSTITUTE(B101," ",""),"0",""),"-",""))+LEN(SUBSTITUTE(SUBSTITUTE(SUBSTITUTE(C101," ",""),"0",""),"-",""))</f>
      </c>
      <c r="I105" s="14" t="str">
        <f>data!$B$68</f>
      </c>
      <c r="J105" s="14" t="str">
        <f>IF(OR(COUNTA(J100,K100,M100,N100)&gt;0,OR(L100="X",L100="x")),IF(OR(L100="X",L100="x"),0,(LEN(SUBSTITUTE(SUBSTITUTE(SUBSTITUTE(M100," ",""),"0",""),"-",""))+LEN(SUBSTITUTE(SUBSTITUTE(SUBSTITUTE(N100," ",""),"0",""),"-",""))&gt;LEN(SUBSTITUTE(SUBSTITUTE(SUBSTITUTE(J100," ",""),"0",""),"-",""))+LEN(SUBSTITUTE(SUBSTITUTE(SUBSTITUTE(K100," ",""),"0",""),"-","")))*1),0)+IF(OR(COUNTA(J101,K101,M101,N101)&gt;0,OR(L101="X",L101="x")),IF(OR(L101="X",L101="x"),0,(LEN(SUBSTITUTE(SUBSTITUTE(SUBSTITUTE(M101," ",""),"0",""),"-",""))+LEN(SUBSTITUTE(SUBSTITUTE(SUBSTITUTE(N101," ",""),"0",""),"-",""))&gt;LEN(SUBSTITUTE(SUBSTITUTE(SUBSTITUTE(J101," ",""),"0",""),"-",""))+LEN(SUBSTITUTE(SUBSTITUTE(SUBSTITUTE(K101," ",""),"0",""),"-","")))*1),0)</f>
      </c>
      <c r="K105" s="14" t="str">
        <f>IF(OR(COUNTA(J100,K100,M100,N100)&gt;0,OR(L100="X",L100="x")),IF(OR(L100="X",L100="x"),0,(LEN(SUBSTITUTE(SUBSTITUTE(SUBSTITUTE(M100," ",""),"0",""),"-",""))+LEN(SUBSTITUTE(SUBSTITUTE(SUBSTITUTE(N100," ",""),"0",""),"-",""))&lt;LEN(SUBSTITUTE(SUBSTITUTE(SUBSTITUTE(J100," ",""),"0",""),"-",""))+LEN(SUBSTITUTE(SUBSTITUTE(SUBSTITUTE(K100," ",""),"0",""),"-","")))*1),0)+IF(OR(COUNTA(J101,K101,M101,N101)&gt;0,OR(L101="X",L101="x")),IF(OR(L101="X",L101="x"),0,(LEN(SUBSTITUTE(SUBSTITUTE(SUBSTITUTE(M101," ",""),"0",""),"-",""))+LEN(SUBSTITUTE(SUBSTITUTE(SUBSTITUTE(N101," ",""),"0",""),"-",""))&lt;LEN(SUBSTITUTE(SUBSTITUTE(SUBSTITUTE(J101," ",""),"0",""),"-",""))+LEN(SUBSTITUTE(SUBSTITUTE(SUBSTITUTE(K101," ",""),"0",""),"-","")))*1),0)</f>
      </c>
      <c r="L105" s="14" t="str">
        <f>IF(OR(COUNTA(J100,K100,M100,N100)&gt;0,OR(L100="X",L100="x")),IF(OR(L100="X",L100="x"),1,0),0)+IF(OR(COUNTA(J101,K101,M101,N101)&gt;0,OR(L101="X",L101="x")),IF(OR(L101="X",L101="x"),1,0),0)</f>
      </c>
      <c r="M105" s="14" t="str">
        <f>LEN(SUBSTITUTE(SUBSTITUTE(SUBSTITUTE(M100," ",""),"0",""),"-",""))+LEN(SUBSTITUTE(SUBSTITUTE(SUBSTITUTE(N100," ",""),"0",""),"-",""))+LEN(SUBSTITUTE(SUBSTITUTE(SUBSTITUTE(M101," ",""),"0",""),"-",""))+LEN(SUBSTITUTE(SUBSTITUTE(SUBSTITUTE(N101," ",""),"0",""),"-",""))</f>
      </c>
      <c r="N105" s="14" t="str">
        <f>LEN(SUBSTITUTE(SUBSTITUTE(SUBSTITUTE(J100," ",""),"0",""),"-",""))+LEN(SUBSTITUTE(SUBSTITUTE(SUBSTITUTE(K100," ",""),"0",""),"-",""))+LEN(SUBSTITUTE(SUBSTITUTE(SUBSTITUTE(J101," ",""),"0",""),"-",""))+LEN(SUBSTITUTE(SUBSTITUTE(SUBSTITUTE(K101," ",""),"0",""),"-",""))</f>
      </c>
    </row>
    <row r="106">
      <c r="A106" s="14" t="str">
        <f>data!$B$22</f>
      </c>
      <c r="B106" s="14" t="str">
        <f>IF(OR(COUNTA(B100,C100,E100,F100)&gt;0,OR(D100="X",D100="x")),IF(OR(D100="X",D100="x"),0,(LEN(SUBSTITUTE(SUBSTITUTE(SUBSTITUTE(B100," ",""),"0",""),"-",""))+LEN(SUBSTITUTE(SUBSTITUTE(SUBSTITUTE(C100," ",""),"0",""),"-",""))&gt;LEN(SUBSTITUTE(SUBSTITUTE(SUBSTITUTE(E100," ",""),"0",""),"-",""))+LEN(SUBSTITUTE(SUBSTITUTE(SUBSTITUTE(F100," ",""),"0",""),"-","")))*1),0)+IF(OR(COUNTA(B102,C102,E102,F102)&gt;0,OR(D102="X",D102="x")),IF(OR(D102="X",D102="x"),0,(LEN(SUBSTITUTE(SUBSTITUTE(SUBSTITUTE(E102," ",""),"0",""),"-",""))+LEN(SUBSTITUTE(SUBSTITUTE(SUBSTITUTE(F102," ",""),"0",""),"-",""))&gt;LEN(SUBSTITUTE(SUBSTITUTE(SUBSTITUTE(B102," ",""),"0",""),"-",""))+LEN(SUBSTITUTE(SUBSTITUTE(SUBSTITUTE(C102," ",""),"0",""),"-","")))*1),0)</f>
      </c>
      <c r="C106" s="14" t="str">
        <f>IF(OR(COUNTA(B100,C100,E100,F100)&gt;0,OR(D100="X",D100="x")),IF(OR(D100="X",D100="x"),0,(LEN(SUBSTITUTE(SUBSTITUTE(SUBSTITUTE(B100," ",""),"0",""),"-",""))+LEN(SUBSTITUTE(SUBSTITUTE(SUBSTITUTE(C100," ",""),"0",""),"-",""))&lt;LEN(SUBSTITUTE(SUBSTITUTE(SUBSTITUTE(E100," ",""),"0",""),"-",""))+LEN(SUBSTITUTE(SUBSTITUTE(SUBSTITUTE(F100," ",""),"0",""),"-","")))*1),0)+IF(OR(COUNTA(B102,C102,E102,F102)&gt;0,OR(D102="X",D102="x")),IF(OR(D102="X",D102="x"),0,(LEN(SUBSTITUTE(SUBSTITUTE(SUBSTITUTE(E102," ",""),"0",""),"-",""))+LEN(SUBSTITUTE(SUBSTITUTE(SUBSTITUTE(F102," ",""),"0",""),"-",""))&lt;LEN(SUBSTITUTE(SUBSTITUTE(SUBSTITUTE(B102," ",""),"0",""),"-",""))+LEN(SUBSTITUTE(SUBSTITUTE(SUBSTITUTE(C102," ",""),"0",""),"-","")))*1),0)</f>
      </c>
      <c r="D106" s="14" t="str">
        <f>IF(OR(COUNTA(B100,C100,E100,F100)&gt;0,OR(D100="X",D100="x")),IF(OR(D100="X",D100="x"),1,0),0)+IF(OR(COUNTA(B102,C102,E102,F102)&gt;0,OR(D102="X",D102="x")),IF(OR(D102="X",D102="x"),1,0),0)</f>
      </c>
      <c r="E106" s="14" t="str">
        <f>LEN(SUBSTITUTE(SUBSTITUTE(SUBSTITUTE(B100," ",""),"0",""),"-",""))+LEN(SUBSTITUTE(SUBSTITUTE(SUBSTITUTE(C100," ",""),"0",""),"-",""))+LEN(SUBSTITUTE(SUBSTITUTE(SUBSTITUTE(E102," ",""),"0",""),"-",""))+LEN(SUBSTITUTE(SUBSTITUTE(SUBSTITUTE(F102," ",""),"0",""),"-",""))</f>
      </c>
      <c r="F106" s="14" t="str">
        <f>LEN(SUBSTITUTE(SUBSTITUTE(SUBSTITUTE(E100," ",""),"0",""),"-",""))+LEN(SUBSTITUTE(SUBSTITUTE(SUBSTITUTE(F100," ",""),"0",""),"-",""))+LEN(SUBSTITUTE(SUBSTITUTE(SUBSTITUTE(B102," ",""),"0",""),"-",""))+LEN(SUBSTITUTE(SUBSTITUTE(SUBSTITUTE(C102," ",""),"0",""),"-",""))</f>
      </c>
      <c r="I106" s="14" t="str">
        <f>data!$B$69</f>
      </c>
      <c r="J106" s="14" t="str">
        <f>IF(OR(COUNTA(J100,K100,M100,N100)&gt;0,OR(L100="X",L100="x")),IF(OR(L100="X",L100="x"),0,(LEN(SUBSTITUTE(SUBSTITUTE(SUBSTITUTE(J100," ",""),"0",""),"-",""))+LEN(SUBSTITUTE(SUBSTITUTE(SUBSTITUTE(K100," ",""),"0",""),"-",""))&gt;LEN(SUBSTITUTE(SUBSTITUTE(SUBSTITUTE(M100," ",""),"0",""),"-",""))+LEN(SUBSTITUTE(SUBSTITUTE(SUBSTITUTE(N100," ",""),"0",""),"-","")))*1),0)+IF(OR(COUNTA(J102,K102,M102,N102)&gt;0,OR(L102="X",L102="x")),IF(OR(L102="X",L102="x"),0,(LEN(SUBSTITUTE(SUBSTITUTE(SUBSTITUTE(M102," ",""),"0",""),"-",""))+LEN(SUBSTITUTE(SUBSTITUTE(SUBSTITUTE(N102," ",""),"0",""),"-",""))&gt;LEN(SUBSTITUTE(SUBSTITUTE(SUBSTITUTE(J102," ",""),"0",""),"-",""))+LEN(SUBSTITUTE(SUBSTITUTE(SUBSTITUTE(K102," ",""),"0",""),"-","")))*1),0)</f>
      </c>
      <c r="K106" s="14" t="str">
        <f>IF(OR(COUNTA(J100,K100,M100,N100)&gt;0,OR(L100="X",L100="x")),IF(OR(L100="X",L100="x"),0,(LEN(SUBSTITUTE(SUBSTITUTE(SUBSTITUTE(J100," ",""),"0",""),"-",""))+LEN(SUBSTITUTE(SUBSTITUTE(SUBSTITUTE(K100," ",""),"0",""),"-",""))&lt;LEN(SUBSTITUTE(SUBSTITUTE(SUBSTITUTE(M100," ",""),"0",""),"-",""))+LEN(SUBSTITUTE(SUBSTITUTE(SUBSTITUTE(N100," ",""),"0",""),"-","")))*1),0)+IF(OR(COUNTA(J102,K102,M102,N102)&gt;0,OR(L102="X",L102="x")),IF(OR(L102="X",L102="x"),0,(LEN(SUBSTITUTE(SUBSTITUTE(SUBSTITUTE(M102," ",""),"0",""),"-",""))+LEN(SUBSTITUTE(SUBSTITUTE(SUBSTITUTE(N102," ",""),"0",""),"-",""))&lt;LEN(SUBSTITUTE(SUBSTITUTE(SUBSTITUTE(J102," ",""),"0",""),"-",""))+LEN(SUBSTITUTE(SUBSTITUTE(SUBSTITUTE(K102," ",""),"0",""),"-","")))*1),0)</f>
      </c>
      <c r="L106" s="14" t="str">
        <f>IF(OR(COUNTA(J100,K100,M100,N100)&gt;0,OR(L100="X",L100="x")),IF(OR(L100="X",L100="x"),1,0),0)+IF(OR(COUNTA(J102,K102,M102,N102)&gt;0,OR(L102="X",L102="x")),IF(OR(L102="X",L102="x"),1,0),0)</f>
      </c>
      <c r="M106" s="14" t="str">
        <f>LEN(SUBSTITUTE(SUBSTITUTE(SUBSTITUTE(J100," ",""),"0",""),"-",""))+LEN(SUBSTITUTE(SUBSTITUTE(SUBSTITUTE(K100," ",""),"0",""),"-",""))+LEN(SUBSTITUTE(SUBSTITUTE(SUBSTITUTE(M102," ",""),"0",""),"-",""))+LEN(SUBSTITUTE(SUBSTITUTE(SUBSTITUTE(N102," ",""),"0",""),"-",""))</f>
      </c>
      <c r="N106" s="14" t="str">
        <f>LEN(SUBSTITUTE(SUBSTITUTE(SUBSTITUTE(M100," ",""),"0",""),"-",""))+LEN(SUBSTITUTE(SUBSTITUTE(SUBSTITUTE(N100," ",""),"0",""),"-",""))+LEN(SUBSTITUTE(SUBSTITUTE(SUBSTITUTE(J102," ",""),"0",""),"-",""))+LEN(SUBSTITUTE(SUBSTITUTE(SUBSTITUTE(K102," ",""),"0",""),"-",""))</f>
      </c>
    </row>
    <row r="107">
      <c r="A107" s="14" t="str">
        <f>data!$B$23</f>
      </c>
      <c r="B107" s="14" t="str">
        <f>IF(OR(COUNTA(B101,C101,E101,F101)&gt;0,OR(D101="X",D101="x")),IF(OR(D101="X",D101="x"),0,(LEN(SUBSTITUTE(SUBSTITUTE(SUBSTITUTE(B101," ",""),"0",""),"-",""))+LEN(SUBSTITUTE(SUBSTITUTE(SUBSTITUTE(C101," ",""),"0",""),"-",""))&gt;LEN(SUBSTITUTE(SUBSTITUTE(SUBSTITUTE(E101," ",""),"0",""),"-",""))+LEN(SUBSTITUTE(SUBSTITUTE(SUBSTITUTE(F101," ",""),"0",""),"-","")))*1),0)+IF(OR(COUNTA(B102,C102,E102,F102)&gt;0,OR(D102="X",D102="x")),IF(OR(D102="X",D102="x"),0,(LEN(SUBSTITUTE(SUBSTITUTE(SUBSTITUTE(B102," ",""),"0",""),"-",""))+LEN(SUBSTITUTE(SUBSTITUTE(SUBSTITUTE(C102," ",""),"0",""),"-",""))&gt;LEN(SUBSTITUTE(SUBSTITUTE(SUBSTITUTE(E102," ",""),"0",""),"-",""))+LEN(SUBSTITUTE(SUBSTITUTE(SUBSTITUTE(F102," ",""),"0",""),"-","")))*1),0)</f>
      </c>
      <c r="C107" s="14" t="str">
        <f>IF(OR(COUNTA(B101,C101,E101,F101)&gt;0,OR(D101="X",D101="x")),IF(OR(D101="X",D101="x"),0,(LEN(SUBSTITUTE(SUBSTITUTE(SUBSTITUTE(B101," ",""),"0",""),"-",""))+LEN(SUBSTITUTE(SUBSTITUTE(SUBSTITUTE(C101," ",""),"0",""),"-",""))&lt;LEN(SUBSTITUTE(SUBSTITUTE(SUBSTITUTE(E101," ",""),"0",""),"-",""))+LEN(SUBSTITUTE(SUBSTITUTE(SUBSTITUTE(F101," ",""),"0",""),"-","")))*1),0)+IF(OR(COUNTA(B102,C102,E102,F102)&gt;0,OR(D102="X",D102="x")),IF(OR(D102="X",D102="x"),0,(LEN(SUBSTITUTE(SUBSTITUTE(SUBSTITUTE(B102," ",""),"0",""),"-",""))+LEN(SUBSTITUTE(SUBSTITUTE(SUBSTITUTE(C102," ",""),"0",""),"-",""))&lt;LEN(SUBSTITUTE(SUBSTITUTE(SUBSTITUTE(E102," ",""),"0",""),"-",""))+LEN(SUBSTITUTE(SUBSTITUTE(SUBSTITUTE(F102," ",""),"0",""),"-","")))*1),0)</f>
      </c>
      <c r="D107" s="14" t="str">
        <f>IF(OR(COUNTA(B101,C101,E101,F101)&gt;0,OR(D101="X",D101="x")),IF(OR(D101="X",D101="x"),1,0),0)+IF(OR(COUNTA(B102,C102,E102,F102)&gt;0,OR(D102="X",D102="x")),IF(OR(D102="X",D102="x"),1,0),0)</f>
      </c>
      <c r="E107" s="14" t="str">
        <f>LEN(SUBSTITUTE(SUBSTITUTE(SUBSTITUTE(B101," ",""),"0",""),"-",""))+LEN(SUBSTITUTE(SUBSTITUTE(SUBSTITUTE(C101," ",""),"0",""),"-",""))+LEN(SUBSTITUTE(SUBSTITUTE(SUBSTITUTE(B102," ",""),"0",""),"-",""))+LEN(SUBSTITUTE(SUBSTITUTE(SUBSTITUTE(C102," ",""),"0",""),"-",""))</f>
      </c>
      <c r="F107" s="14" t="str">
        <f>LEN(SUBSTITUTE(SUBSTITUTE(SUBSTITUTE(E101," ",""),"0",""),"-",""))+LEN(SUBSTITUTE(SUBSTITUTE(SUBSTITUTE(F101," ",""),"0",""),"-",""))+LEN(SUBSTITUTE(SUBSTITUTE(SUBSTITUTE(E102," ",""),"0",""),"-",""))+LEN(SUBSTITUTE(SUBSTITUTE(SUBSTITUTE(F102," ",""),"0",""),"-",""))</f>
      </c>
      <c r="I107" s="14" t="str">
        <f>data!$B$70</f>
      </c>
      <c r="J107" s="14" t="str">
        <f>IF(OR(COUNTA(J101,K101,M101,N101)&gt;0,OR(L101="X",L101="x")),IF(OR(L101="X",L101="x"),0,(LEN(SUBSTITUTE(SUBSTITUTE(SUBSTITUTE(J101," ",""),"0",""),"-",""))+LEN(SUBSTITUTE(SUBSTITUTE(SUBSTITUTE(K101," ",""),"0",""),"-",""))&gt;LEN(SUBSTITUTE(SUBSTITUTE(SUBSTITUTE(M101," ",""),"0",""),"-",""))+LEN(SUBSTITUTE(SUBSTITUTE(SUBSTITUTE(N101," ",""),"0",""),"-","")))*1),0)+IF(OR(COUNTA(J102,K102,M102,N102)&gt;0,OR(L102="X",L102="x")),IF(OR(L102="X",L102="x"),0,(LEN(SUBSTITUTE(SUBSTITUTE(SUBSTITUTE(J102," ",""),"0",""),"-",""))+LEN(SUBSTITUTE(SUBSTITUTE(SUBSTITUTE(K102," ",""),"0",""),"-",""))&gt;LEN(SUBSTITUTE(SUBSTITUTE(SUBSTITUTE(M102," ",""),"0",""),"-",""))+LEN(SUBSTITUTE(SUBSTITUTE(SUBSTITUTE(N102," ",""),"0",""),"-","")))*1),0)</f>
      </c>
      <c r="K107" s="14" t="str">
        <f>IF(OR(COUNTA(J101,K101,M101,N101)&gt;0,OR(L101="X",L101="x")),IF(OR(L101="X",L101="x"),0,(LEN(SUBSTITUTE(SUBSTITUTE(SUBSTITUTE(J101," ",""),"0",""),"-",""))+LEN(SUBSTITUTE(SUBSTITUTE(SUBSTITUTE(K101," ",""),"0",""),"-",""))&lt;LEN(SUBSTITUTE(SUBSTITUTE(SUBSTITUTE(M101," ",""),"0",""),"-",""))+LEN(SUBSTITUTE(SUBSTITUTE(SUBSTITUTE(N101," ",""),"0",""),"-","")))*1),0)+IF(OR(COUNTA(J102,K102,M102,N102)&gt;0,OR(L102="X",L102="x")),IF(OR(L102="X",L102="x"),0,(LEN(SUBSTITUTE(SUBSTITUTE(SUBSTITUTE(J102," ",""),"0",""),"-",""))+LEN(SUBSTITUTE(SUBSTITUTE(SUBSTITUTE(K102," ",""),"0",""),"-",""))&lt;LEN(SUBSTITUTE(SUBSTITUTE(SUBSTITUTE(M102," ",""),"0",""),"-",""))+LEN(SUBSTITUTE(SUBSTITUTE(SUBSTITUTE(N102," ",""),"0",""),"-","")))*1),0)</f>
      </c>
      <c r="L107" s="14" t="str">
        <f>IF(OR(COUNTA(J101,K101,M101,N101)&gt;0,OR(L101="X",L101="x")),IF(OR(L101="X",L101="x"),1,0),0)+IF(OR(COUNTA(J102,K102,M102,N102)&gt;0,OR(L102="X",L102="x")),IF(OR(L102="X",L102="x"),1,0),0)</f>
      </c>
      <c r="M107" s="14" t="str">
        <f>LEN(SUBSTITUTE(SUBSTITUTE(SUBSTITUTE(J101," ",""),"0",""),"-",""))+LEN(SUBSTITUTE(SUBSTITUTE(SUBSTITUTE(K101," ",""),"0",""),"-",""))+LEN(SUBSTITUTE(SUBSTITUTE(SUBSTITUTE(J102," ",""),"0",""),"-",""))+LEN(SUBSTITUTE(SUBSTITUTE(SUBSTITUTE(K102," ",""),"0",""),"-",""))</f>
      </c>
      <c r="N107" s="14" t="str">
        <f>LEN(SUBSTITUTE(SUBSTITUTE(SUBSTITUTE(M101," ",""),"0",""),"-",""))+LEN(SUBSTITUTE(SUBSTITUTE(SUBSTITUTE(N101," ",""),"0",""),"-",""))+LEN(SUBSTITUTE(SUBSTITUTE(SUBSTITUTE(M102," ",""),"0",""),"-",""))+LEN(SUBSTITUTE(SUBSTITUTE(SUBSTITUTE(N102," ",""),"0",""),"-",""))</f>
      </c>
    </row>
    <row r="109">
      <c r="F109" t="s">
        <v>248</v>
      </c>
      <c r="G109" s="19"/>
      <c r="N109" t="s">
        <v>248</v>
      </c>
      <c r="O109" s="19"/>
    </row>
    <row r="110">
      <c r="F110" t="s">
        <v>249</v>
      </c>
      <c r="G110" s="19"/>
      <c r="N110" t="s">
        <v>249</v>
      </c>
      <c r="O110" s="19"/>
    </row>
    <row r="111">
      <c r="F111" t="s">
        <v>250</v>
      </c>
      <c r="G111" s="19"/>
      <c r="N111" t="s">
        <v>250</v>
      </c>
      <c r="O111" s="19"/>
    </row>
    <row r="114">
      <c r="A114" s="13" t="str">
        <f>data!$A$26</f>
      </c>
      <c r="B114" s="13"/>
      <c r="C114" s="13"/>
      <c r="D114" s="13"/>
      <c r="E114" s="13"/>
      <c r="F114" s="13"/>
      <c r="G114" s="13"/>
      <c r="I114" s="13" t="str">
        <f>data!$A$73</f>
      </c>
      <c r="J114" s="13"/>
      <c r="K114" s="13"/>
      <c r="L114" s="13"/>
      <c r="M114" s="13"/>
      <c r="N114" s="13"/>
      <c r="O114" s="13"/>
    </row>
    <row r="115">
      <c r="A115" s="17" t="s">
        <v>239</v>
      </c>
      <c r="D115" s="14" t="s">
        <v>240</v>
      </c>
      <c r="G115" s="16" t="s">
        <v>241</v>
      </c>
      <c r="I115" s="17" t="s">
        <v>239</v>
      </c>
      <c r="L115" s="14" t="s">
        <v>240</v>
      </c>
      <c r="O115" s="16" t="s">
        <v>241</v>
      </c>
    </row>
    <row r="116">
      <c r="A116" s="14" t="str">
        <f>data!$B$25</f>
      </c>
      <c r="B116" s="18"/>
      <c r="C116" s="18"/>
      <c r="D116" s="18"/>
      <c r="E116" s="18"/>
      <c r="F116" s="18"/>
      <c r="G116" s="14" t="str">
        <f>data!$B$24</f>
      </c>
      <c r="I116" s="14" t="str">
        <f>data!$B$72</f>
      </c>
      <c r="J116" s="18"/>
      <c r="K116" s="18"/>
      <c r="L116" s="18"/>
      <c r="M116" s="18"/>
      <c r="N116" s="18"/>
      <c r="O116" s="14" t="str">
        <f>data!$B$71</f>
      </c>
    </row>
    <row r="117">
      <c r="A117" s="14" t="str">
        <f>data!$B$26</f>
      </c>
      <c r="B117" s="18"/>
      <c r="C117" s="18"/>
      <c r="D117" s="18"/>
      <c r="E117" s="18"/>
      <c r="F117" s="18"/>
      <c r="G117" s="14" t="str">
        <f>data!$B$24</f>
      </c>
      <c r="I117" s="14" t="str">
        <f>data!$B$73</f>
      </c>
      <c r="J117" s="18"/>
      <c r="K117" s="18"/>
      <c r="L117" s="18"/>
      <c r="M117" s="18"/>
      <c r="N117" s="18"/>
      <c r="O117" s="14" t="str">
        <f>data!$B$71</f>
      </c>
    </row>
    <row r="118">
      <c r="A118" s="14" t="str">
        <f>data!$B$26</f>
      </c>
      <c r="B118" s="18"/>
      <c r="C118" s="18"/>
      <c r="D118" s="18"/>
      <c r="E118" s="18"/>
      <c r="F118" s="18"/>
      <c r="G118" s="14" t="str">
        <f>data!$B$25</f>
      </c>
      <c r="I118" s="14" t="str">
        <f>data!$B$73</f>
      </c>
      <c r="J118" s="18"/>
      <c r="K118" s="18"/>
      <c r="L118" s="18"/>
      <c r="M118" s="18"/>
      <c r="N118" s="18"/>
      <c r="O118" s="14" t="str">
        <f>data!$B$72</f>
      </c>
    </row>
    <row r="120">
      <c r="A120" s="13" t="s">
        <v>242</v>
      </c>
      <c r="B120" s="13" t="s">
        <v>243</v>
      </c>
      <c r="C120" s="13" t="s">
        <v>244</v>
      </c>
      <c r="D120" s="13" t="s">
        <v>245</v>
      </c>
      <c r="E120" s="13" t="s">
        <v>246</v>
      </c>
      <c r="F120" s="13" t="s">
        <v>247</v>
      </c>
      <c r="I120" s="13" t="s">
        <v>242</v>
      </c>
      <c r="J120" s="13" t="s">
        <v>243</v>
      </c>
      <c r="K120" s="13" t="s">
        <v>244</v>
      </c>
      <c r="L120" s="13" t="s">
        <v>245</v>
      </c>
      <c r="M120" s="13" t="s">
        <v>246</v>
      </c>
      <c r="N120" s="13" t="s">
        <v>247</v>
      </c>
    </row>
    <row r="121">
      <c r="A121" s="14" t="str">
        <f>data!$B$24</f>
      </c>
      <c r="B121" s="14" t="str">
        <f>IF(OR(COUNTA(B116,C116,E116,F116)&gt;0,OR(D116="X",D116="x")),IF(OR(D116="X",D116="x"),0,(LEN(SUBSTITUTE(SUBSTITUTE(SUBSTITUTE(E116," ",""),"0",""),"-",""))+LEN(SUBSTITUTE(SUBSTITUTE(SUBSTITUTE(F116," ",""),"0",""),"-",""))&gt;LEN(SUBSTITUTE(SUBSTITUTE(SUBSTITUTE(B116," ",""),"0",""),"-",""))+LEN(SUBSTITUTE(SUBSTITUTE(SUBSTITUTE(C116," ",""),"0",""),"-","")))*1),0)+IF(OR(COUNTA(B117,C117,E117,F117)&gt;0,OR(D117="X",D117="x")),IF(OR(D117="X",D117="x"),0,(LEN(SUBSTITUTE(SUBSTITUTE(SUBSTITUTE(E117," ",""),"0",""),"-",""))+LEN(SUBSTITUTE(SUBSTITUTE(SUBSTITUTE(F117," ",""),"0",""),"-",""))&gt;LEN(SUBSTITUTE(SUBSTITUTE(SUBSTITUTE(B117," ",""),"0",""),"-",""))+LEN(SUBSTITUTE(SUBSTITUTE(SUBSTITUTE(C117," ",""),"0",""),"-","")))*1),0)</f>
      </c>
      <c r="C121" s="14" t="str">
        <f>IF(OR(COUNTA(B116,C116,E116,F116)&gt;0,OR(D116="X",D116="x")),IF(OR(D116="X",D116="x"),0,(LEN(SUBSTITUTE(SUBSTITUTE(SUBSTITUTE(E116," ",""),"0",""),"-",""))+LEN(SUBSTITUTE(SUBSTITUTE(SUBSTITUTE(F116," ",""),"0",""),"-",""))&lt;LEN(SUBSTITUTE(SUBSTITUTE(SUBSTITUTE(B116," ",""),"0",""),"-",""))+LEN(SUBSTITUTE(SUBSTITUTE(SUBSTITUTE(C116," ",""),"0",""),"-","")))*1),0)+IF(OR(COUNTA(B117,C117,E117,F117)&gt;0,OR(D117="X",D117="x")),IF(OR(D117="X",D117="x"),0,(LEN(SUBSTITUTE(SUBSTITUTE(SUBSTITUTE(E117," ",""),"0",""),"-",""))+LEN(SUBSTITUTE(SUBSTITUTE(SUBSTITUTE(F117," ",""),"0",""),"-",""))&lt;LEN(SUBSTITUTE(SUBSTITUTE(SUBSTITUTE(B117," ",""),"0",""),"-",""))+LEN(SUBSTITUTE(SUBSTITUTE(SUBSTITUTE(C117," ",""),"0",""),"-","")))*1),0)</f>
      </c>
      <c r="D121" s="14" t="str">
        <f>IF(OR(COUNTA(B116,C116,E116,F116)&gt;0,OR(D116="X",D116="x")),IF(OR(D116="X",D116="x"),1,0),0)+IF(OR(COUNTA(B117,C117,E117,F117)&gt;0,OR(D117="X",D117="x")),IF(OR(D117="X",D117="x"),1,0),0)</f>
      </c>
      <c r="E121" s="14" t="str">
        <f>LEN(SUBSTITUTE(SUBSTITUTE(SUBSTITUTE(E116," ",""),"0",""),"-",""))+LEN(SUBSTITUTE(SUBSTITUTE(SUBSTITUTE(F116," ",""),"0",""),"-",""))+LEN(SUBSTITUTE(SUBSTITUTE(SUBSTITUTE(E117," ",""),"0",""),"-",""))+LEN(SUBSTITUTE(SUBSTITUTE(SUBSTITUTE(F117," ",""),"0",""),"-",""))</f>
      </c>
      <c r="F121" s="14" t="str">
        <f>LEN(SUBSTITUTE(SUBSTITUTE(SUBSTITUTE(B116," ",""),"0",""),"-",""))+LEN(SUBSTITUTE(SUBSTITUTE(SUBSTITUTE(C116," ",""),"0",""),"-",""))+LEN(SUBSTITUTE(SUBSTITUTE(SUBSTITUTE(B117," ",""),"0",""),"-",""))+LEN(SUBSTITUTE(SUBSTITUTE(SUBSTITUTE(C117," ",""),"0",""),"-",""))</f>
      </c>
      <c r="I121" s="14" t="str">
        <f>data!$B$71</f>
      </c>
      <c r="J121" s="14" t="str">
        <f>IF(OR(COUNTA(J116,K116,M116,N116)&gt;0,OR(L116="X",L116="x")),IF(OR(L116="X",L116="x"),0,(LEN(SUBSTITUTE(SUBSTITUTE(SUBSTITUTE(M116," ",""),"0",""),"-",""))+LEN(SUBSTITUTE(SUBSTITUTE(SUBSTITUTE(N116," ",""),"0",""),"-",""))&gt;LEN(SUBSTITUTE(SUBSTITUTE(SUBSTITUTE(J116," ",""),"0",""),"-",""))+LEN(SUBSTITUTE(SUBSTITUTE(SUBSTITUTE(K116," ",""),"0",""),"-","")))*1),0)+IF(OR(COUNTA(J117,K117,M117,N117)&gt;0,OR(L117="X",L117="x")),IF(OR(L117="X",L117="x"),0,(LEN(SUBSTITUTE(SUBSTITUTE(SUBSTITUTE(M117," ",""),"0",""),"-",""))+LEN(SUBSTITUTE(SUBSTITUTE(SUBSTITUTE(N117," ",""),"0",""),"-",""))&gt;LEN(SUBSTITUTE(SUBSTITUTE(SUBSTITUTE(J117," ",""),"0",""),"-",""))+LEN(SUBSTITUTE(SUBSTITUTE(SUBSTITUTE(K117," ",""),"0",""),"-","")))*1),0)</f>
      </c>
      <c r="K121" s="14" t="str">
        <f>IF(OR(COUNTA(J116,K116,M116,N116)&gt;0,OR(L116="X",L116="x")),IF(OR(L116="X",L116="x"),0,(LEN(SUBSTITUTE(SUBSTITUTE(SUBSTITUTE(M116," ",""),"0",""),"-",""))+LEN(SUBSTITUTE(SUBSTITUTE(SUBSTITUTE(N116," ",""),"0",""),"-",""))&lt;LEN(SUBSTITUTE(SUBSTITUTE(SUBSTITUTE(J116," ",""),"0",""),"-",""))+LEN(SUBSTITUTE(SUBSTITUTE(SUBSTITUTE(K116," ",""),"0",""),"-","")))*1),0)+IF(OR(COUNTA(J117,K117,M117,N117)&gt;0,OR(L117="X",L117="x")),IF(OR(L117="X",L117="x"),0,(LEN(SUBSTITUTE(SUBSTITUTE(SUBSTITUTE(M117," ",""),"0",""),"-",""))+LEN(SUBSTITUTE(SUBSTITUTE(SUBSTITUTE(N117," ",""),"0",""),"-",""))&lt;LEN(SUBSTITUTE(SUBSTITUTE(SUBSTITUTE(J117," ",""),"0",""),"-",""))+LEN(SUBSTITUTE(SUBSTITUTE(SUBSTITUTE(K117," ",""),"0",""),"-","")))*1),0)</f>
      </c>
      <c r="L121" s="14" t="str">
        <f>IF(OR(COUNTA(J116,K116,M116,N116)&gt;0,OR(L116="X",L116="x")),IF(OR(L116="X",L116="x"),1,0),0)+IF(OR(COUNTA(J117,K117,M117,N117)&gt;0,OR(L117="X",L117="x")),IF(OR(L117="X",L117="x"),1,0),0)</f>
      </c>
      <c r="M121" s="14" t="str">
        <f>LEN(SUBSTITUTE(SUBSTITUTE(SUBSTITUTE(M116," ",""),"0",""),"-",""))+LEN(SUBSTITUTE(SUBSTITUTE(SUBSTITUTE(N116," ",""),"0",""),"-",""))+LEN(SUBSTITUTE(SUBSTITUTE(SUBSTITUTE(M117," ",""),"0",""),"-",""))+LEN(SUBSTITUTE(SUBSTITUTE(SUBSTITUTE(N117," ",""),"0",""),"-",""))</f>
      </c>
      <c r="N121" s="14" t="str">
        <f>LEN(SUBSTITUTE(SUBSTITUTE(SUBSTITUTE(J116," ",""),"0",""),"-",""))+LEN(SUBSTITUTE(SUBSTITUTE(SUBSTITUTE(K116," ",""),"0",""),"-",""))+LEN(SUBSTITUTE(SUBSTITUTE(SUBSTITUTE(J117," ",""),"0",""),"-",""))+LEN(SUBSTITUTE(SUBSTITUTE(SUBSTITUTE(K117," ",""),"0",""),"-",""))</f>
      </c>
    </row>
    <row r="122">
      <c r="A122" s="14" t="str">
        <f>data!$B$25</f>
      </c>
      <c r="B122" s="14" t="str">
        <f>IF(OR(COUNTA(B116,C116,E116,F116)&gt;0,OR(D116="X",D116="x")),IF(OR(D116="X",D116="x"),0,(LEN(SUBSTITUTE(SUBSTITUTE(SUBSTITUTE(B116," ",""),"0",""),"-",""))+LEN(SUBSTITUTE(SUBSTITUTE(SUBSTITUTE(C116," ",""),"0",""),"-",""))&gt;LEN(SUBSTITUTE(SUBSTITUTE(SUBSTITUTE(E116," ",""),"0",""),"-",""))+LEN(SUBSTITUTE(SUBSTITUTE(SUBSTITUTE(F116," ",""),"0",""),"-","")))*1),0)+IF(OR(COUNTA(B118,C118,E118,F118)&gt;0,OR(D118="X",D118="x")),IF(OR(D118="X",D118="x"),0,(LEN(SUBSTITUTE(SUBSTITUTE(SUBSTITUTE(E118," ",""),"0",""),"-",""))+LEN(SUBSTITUTE(SUBSTITUTE(SUBSTITUTE(F118," ",""),"0",""),"-",""))&gt;LEN(SUBSTITUTE(SUBSTITUTE(SUBSTITUTE(B118," ",""),"0",""),"-",""))+LEN(SUBSTITUTE(SUBSTITUTE(SUBSTITUTE(C118," ",""),"0",""),"-","")))*1),0)</f>
      </c>
      <c r="C122" s="14" t="str">
        <f>IF(OR(COUNTA(B116,C116,E116,F116)&gt;0,OR(D116="X",D116="x")),IF(OR(D116="X",D116="x"),0,(LEN(SUBSTITUTE(SUBSTITUTE(SUBSTITUTE(B116," ",""),"0",""),"-",""))+LEN(SUBSTITUTE(SUBSTITUTE(SUBSTITUTE(C116," ",""),"0",""),"-",""))&lt;LEN(SUBSTITUTE(SUBSTITUTE(SUBSTITUTE(E116," ",""),"0",""),"-",""))+LEN(SUBSTITUTE(SUBSTITUTE(SUBSTITUTE(F116," ",""),"0",""),"-","")))*1),0)+IF(OR(COUNTA(B118,C118,E118,F118)&gt;0,OR(D118="X",D118="x")),IF(OR(D118="X",D118="x"),0,(LEN(SUBSTITUTE(SUBSTITUTE(SUBSTITUTE(E118," ",""),"0",""),"-",""))+LEN(SUBSTITUTE(SUBSTITUTE(SUBSTITUTE(F118," ",""),"0",""),"-",""))&lt;LEN(SUBSTITUTE(SUBSTITUTE(SUBSTITUTE(B118," ",""),"0",""),"-",""))+LEN(SUBSTITUTE(SUBSTITUTE(SUBSTITUTE(C118," ",""),"0",""),"-","")))*1),0)</f>
      </c>
      <c r="D122" s="14" t="str">
        <f>IF(OR(COUNTA(B116,C116,E116,F116)&gt;0,OR(D116="X",D116="x")),IF(OR(D116="X",D116="x"),1,0),0)+IF(OR(COUNTA(B118,C118,E118,F118)&gt;0,OR(D118="X",D118="x")),IF(OR(D118="X",D118="x"),1,0),0)</f>
      </c>
      <c r="E122" s="14" t="str">
        <f>LEN(SUBSTITUTE(SUBSTITUTE(SUBSTITUTE(B116," ",""),"0",""),"-",""))+LEN(SUBSTITUTE(SUBSTITUTE(SUBSTITUTE(C116," ",""),"0",""),"-",""))+LEN(SUBSTITUTE(SUBSTITUTE(SUBSTITUTE(E118," ",""),"0",""),"-",""))+LEN(SUBSTITUTE(SUBSTITUTE(SUBSTITUTE(F118," ",""),"0",""),"-",""))</f>
      </c>
      <c r="F122" s="14" t="str">
        <f>LEN(SUBSTITUTE(SUBSTITUTE(SUBSTITUTE(E116," ",""),"0",""),"-",""))+LEN(SUBSTITUTE(SUBSTITUTE(SUBSTITUTE(F116," ",""),"0",""),"-",""))+LEN(SUBSTITUTE(SUBSTITUTE(SUBSTITUTE(B118," ",""),"0",""),"-",""))+LEN(SUBSTITUTE(SUBSTITUTE(SUBSTITUTE(C118," ",""),"0",""),"-",""))</f>
      </c>
      <c r="I122" s="14" t="str">
        <f>data!$B$72</f>
      </c>
      <c r="J122" s="14" t="str">
        <f>IF(OR(COUNTA(J116,K116,M116,N116)&gt;0,OR(L116="X",L116="x")),IF(OR(L116="X",L116="x"),0,(LEN(SUBSTITUTE(SUBSTITUTE(SUBSTITUTE(J116," ",""),"0",""),"-",""))+LEN(SUBSTITUTE(SUBSTITUTE(SUBSTITUTE(K116," ",""),"0",""),"-",""))&gt;LEN(SUBSTITUTE(SUBSTITUTE(SUBSTITUTE(M116," ",""),"0",""),"-",""))+LEN(SUBSTITUTE(SUBSTITUTE(SUBSTITUTE(N116," ",""),"0",""),"-","")))*1),0)+IF(OR(COUNTA(J118,K118,M118,N118)&gt;0,OR(L118="X",L118="x")),IF(OR(L118="X",L118="x"),0,(LEN(SUBSTITUTE(SUBSTITUTE(SUBSTITUTE(M118," ",""),"0",""),"-",""))+LEN(SUBSTITUTE(SUBSTITUTE(SUBSTITUTE(N118," ",""),"0",""),"-",""))&gt;LEN(SUBSTITUTE(SUBSTITUTE(SUBSTITUTE(J118," ",""),"0",""),"-",""))+LEN(SUBSTITUTE(SUBSTITUTE(SUBSTITUTE(K118," ",""),"0",""),"-","")))*1),0)</f>
      </c>
      <c r="K122" s="14" t="str">
        <f>IF(OR(COUNTA(J116,K116,M116,N116)&gt;0,OR(L116="X",L116="x")),IF(OR(L116="X",L116="x"),0,(LEN(SUBSTITUTE(SUBSTITUTE(SUBSTITUTE(J116," ",""),"0",""),"-",""))+LEN(SUBSTITUTE(SUBSTITUTE(SUBSTITUTE(K116," ",""),"0",""),"-",""))&lt;LEN(SUBSTITUTE(SUBSTITUTE(SUBSTITUTE(M116," ",""),"0",""),"-",""))+LEN(SUBSTITUTE(SUBSTITUTE(SUBSTITUTE(N116," ",""),"0",""),"-","")))*1),0)+IF(OR(COUNTA(J118,K118,M118,N118)&gt;0,OR(L118="X",L118="x")),IF(OR(L118="X",L118="x"),0,(LEN(SUBSTITUTE(SUBSTITUTE(SUBSTITUTE(M118," ",""),"0",""),"-",""))+LEN(SUBSTITUTE(SUBSTITUTE(SUBSTITUTE(N118," ",""),"0",""),"-",""))&lt;LEN(SUBSTITUTE(SUBSTITUTE(SUBSTITUTE(J118," ",""),"0",""),"-",""))+LEN(SUBSTITUTE(SUBSTITUTE(SUBSTITUTE(K118," ",""),"0",""),"-","")))*1),0)</f>
      </c>
      <c r="L122" s="14" t="str">
        <f>IF(OR(COUNTA(J116,K116,M116,N116)&gt;0,OR(L116="X",L116="x")),IF(OR(L116="X",L116="x"),1,0),0)+IF(OR(COUNTA(J118,K118,M118,N118)&gt;0,OR(L118="X",L118="x")),IF(OR(L118="X",L118="x"),1,0),0)</f>
      </c>
      <c r="M122" s="14" t="str">
        <f>LEN(SUBSTITUTE(SUBSTITUTE(SUBSTITUTE(J116," ",""),"0",""),"-",""))+LEN(SUBSTITUTE(SUBSTITUTE(SUBSTITUTE(K116," ",""),"0",""),"-",""))+LEN(SUBSTITUTE(SUBSTITUTE(SUBSTITUTE(M118," ",""),"0",""),"-",""))+LEN(SUBSTITUTE(SUBSTITUTE(SUBSTITUTE(N118," ",""),"0",""),"-",""))</f>
      </c>
      <c r="N122" s="14" t="str">
        <f>LEN(SUBSTITUTE(SUBSTITUTE(SUBSTITUTE(M116," ",""),"0",""),"-",""))+LEN(SUBSTITUTE(SUBSTITUTE(SUBSTITUTE(N116," ",""),"0",""),"-",""))+LEN(SUBSTITUTE(SUBSTITUTE(SUBSTITUTE(J118," ",""),"0",""),"-",""))+LEN(SUBSTITUTE(SUBSTITUTE(SUBSTITUTE(K118," ",""),"0",""),"-",""))</f>
      </c>
    </row>
    <row r="123">
      <c r="A123" s="14" t="str">
        <f>data!$B$26</f>
      </c>
      <c r="B123" s="14" t="str">
        <f>IF(OR(COUNTA(B117,C117,E117,F117)&gt;0,OR(D117="X",D117="x")),IF(OR(D117="X",D117="x"),0,(LEN(SUBSTITUTE(SUBSTITUTE(SUBSTITUTE(B117," ",""),"0",""),"-",""))+LEN(SUBSTITUTE(SUBSTITUTE(SUBSTITUTE(C117," ",""),"0",""),"-",""))&gt;LEN(SUBSTITUTE(SUBSTITUTE(SUBSTITUTE(E117," ",""),"0",""),"-",""))+LEN(SUBSTITUTE(SUBSTITUTE(SUBSTITUTE(F117," ",""),"0",""),"-","")))*1),0)+IF(OR(COUNTA(B118,C118,E118,F118)&gt;0,OR(D118="X",D118="x")),IF(OR(D118="X",D118="x"),0,(LEN(SUBSTITUTE(SUBSTITUTE(SUBSTITUTE(B118," ",""),"0",""),"-",""))+LEN(SUBSTITUTE(SUBSTITUTE(SUBSTITUTE(C118," ",""),"0",""),"-",""))&gt;LEN(SUBSTITUTE(SUBSTITUTE(SUBSTITUTE(E118," ",""),"0",""),"-",""))+LEN(SUBSTITUTE(SUBSTITUTE(SUBSTITUTE(F118," ",""),"0",""),"-","")))*1),0)</f>
      </c>
      <c r="C123" s="14" t="str">
        <f>IF(OR(COUNTA(B117,C117,E117,F117)&gt;0,OR(D117="X",D117="x")),IF(OR(D117="X",D117="x"),0,(LEN(SUBSTITUTE(SUBSTITUTE(SUBSTITUTE(B117," ",""),"0",""),"-",""))+LEN(SUBSTITUTE(SUBSTITUTE(SUBSTITUTE(C117," ",""),"0",""),"-",""))&lt;LEN(SUBSTITUTE(SUBSTITUTE(SUBSTITUTE(E117," ",""),"0",""),"-",""))+LEN(SUBSTITUTE(SUBSTITUTE(SUBSTITUTE(F117," ",""),"0",""),"-","")))*1),0)+IF(OR(COUNTA(B118,C118,E118,F118)&gt;0,OR(D118="X",D118="x")),IF(OR(D118="X",D118="x"),0,(LEN(SUBSTITUTE(SUBSTITUTE(SUBSTITUTE(B118," ",""),"0",""),"-",""))+LEN(SUBSTITUTE(SUBSTITUTE(SUBSTITUTE(C118," ",""),"0",""),"-",""))&lt;LEN(SUBSTITUTE(SUBSTITUTE(SUBSTITUTE(E118," ",""),"0",""),"-",""))+LEN(SUBSTITUTE(SUBSTITUTE(SUBSTITUTE(F118," ",""),"0",""),"-","")))*1),0)</f>
      </c>
      <c r="D123" s="14" t="str">
        <f>IF(OR(COUNTA(B117,C117,E117,F117)&gt;0,OR(D117="X",D117="x")),IF(OR(D117="X",D117="x"),1,0),0)+IF(OR(COUNTA(B118,C118,E118,F118)&gt;0,OR(D118="X",D118="x")),IF(OR(D118="X",D118="x"),1,0),0)</f>
      </c>
      <c r="E123" s="14" t="str">
        <f>LEN(SUBSTITUTE(SUBSTITUTE(SUBSTITUTE(B117," ",""),"0",""),"-",""))+LEN(SUBSTITUTE(SUBSTITUTE(SUBSTITUTE(C117," ",""),"0",""),"-",""))+LEN(SUBSTITUTE(SUBSTITUTE(SUBSTITUTE(B118," ",""),"0",""),"-",""))+LEN(SUBSTITUTE(SUBSTITUTE(SUBSTITUTE(C118," ",""),"0",""),"-",""))</f>
      </c>
      <c r="F123" s="14" t="str">
        <f>LEN(SUBSTITUTE(SUBSTITUTE(SUBSTITUTE(E117," ",""),"0",""),"-",""))+LEN(SUBSTITUTE(SUBSTITUTE(SUBSTITUTE(F117," ",""),"0",""),"-",""))+LEN(SUBSTITUTE(SUBSTITUTE(SUBSTITUTE(E118," ",""),"0",""),"-",""))+LEN(SUBSTITUTE(SUBSTITUTE(SUBSTITUTE(F118," ",""),"0",""),"-",""))</f>
      </c>
      <c r="I123" s="14" t="str">
        <f>data!$B$73</f>
      </c>
      <c r="J123" s="14" t="str">
        <f>IF(OR(COUNTA(J117,K117,M117,N117)&gt;0,OR(L117="X",L117="x")),IF(OR(L117="X",L117="x"),0,(LEN(SUBSTITUTE(SUBSTITUTE(SUBSTITUTE(J117," ",""),"0",""),"-",""))+LEN(SUBSTITUTE(SUBSTITUTE(SUBSTITUTE(K117," ",""),"0",""),"-",""))&gt;LEN(SUBSTITUTE(SUBSTITUTE(SUBSTITUTE(M117," ",""),"0",""),"-",""))+LEN(SUBSTITUTE(SUBSTITUTE(SUBSTITUTE(N117," ",""),"0",""),"-","")))*1),0)+IF(OR(COUNTA(J118,K118,M118,N118)&gt;0,OR(L118="X",L118="x")),IF(OR(L118="X",L118="x"),0,(LEN(SUBSTITUTE(SUBSTITUTE(SUBSTITUTE(J118," ",""),"0",""),"-",""))+LEN(SUBSTITUTE(SUBSTITUTE(SUBSTITUTE(K118," ",""),"0",""),"-",""))&gt;LEN(SUBSTITUTE(SUBSTITUTE(SUBSTITUTE(M118," ",""),"0",""),"-",""))+LEN(SUBSTITUTE(SUBSTITUTE(SUBSTITUTE(N118," ",""),"0",""),"-","")))*1),0)</f>
      </c>
      <c r="K123" s="14" t="str">
        <f>IF(OR(COUNTA(J117,K117,M117,N117)&gt;0,OR(L117="X",L117="x")),IF(OR(L117="X",L117="x"),0,(LEN(SUBSTITUTE(SUBSTITUTE(SUBSTITUTE(J117," ",""),"0",""),"-",""))+LEN(SUBSTITUTE(SUBSTITUTE(SUBSTITUTE(K117," ",""),"0",""),"-",""))&lt;LEN(SUBSTITUTE(SUBSTITUTE(SUBSTITUTE(M117," ",""),"0",""),"-",""))+LEN(SUBSTITUTE(SUBSTITUTE(SUBSTITUTE(N117," ",""),"0",""),"-","")))*1),0)+IF(OR(COUNTA(J118,K118,M118,N118)&gt;0,OR(L118="X",L118="x")),IF(OR(L118="X",L118="x"),0,(LEN(SUBSTITUTE(SUBSTITUTE(SUBSTITUTE(J118," ",""),"0",""),"-",""))+LEN(SUBSTITUTE(SUBSTITUTE(SUBSTITUTE(K118," ",""),"0",""),"-",""))&lt;LEN(SUBSTITUTE(SUBSTITUTE(SUBSTITUTE(M118," ",""),"0",""),"-",""))+LEN(SUBSTITUTE(SUBSTITUTE(SUBSTITUTE(N118," ",""),"0",""),"-","")))*1),0)</f>
      </c>
      <c r="L123" s="14" t="str">
        <f>IF(OR(COUNTA(J117,K117,M117,N117)&gt;0,OR(L117="X",L117="x")),IF(OR(L117="X",L117="x"),1,0),0)+IF(OR(COUNTA(J118,K118,M118,N118)&gt;0,OR(L118="X",L118="x")),IF(OR(L118="X",L118="x"),1,0),0)</f>
      </c>
      <c r="M123" s="14" t="str">
        <f>LEN(SUBSTITUTE(SUBSTITUTE(SUBSTITUTE(J117," ",""),"0",""),"-",""))+LEN(SUBSTITUTE(SUBSTITUTE(SUBSTITUTE(K117," ",""),"0",""),"-",""))+LEN(SUBSTITUTE(SUBSTITUTE(SUBSTITUTE(J118," ",""),"0",""),"-",""))+LEN(SUBSTITUTE(SUBSTITUTE(SUBSTITUTE(K118," ",""),"0",""),"-",""))</f>
      </c>
      <c r="N123" s="14" t="str">
        <f>LEN(SUBSTITUTE(SUBSTITUTE(SUBSTITUTE(M117," ",""),"0",""),"-",""))+LEN(SUBSTITUTE(SUBSTITUTE(SUBSTITUTE(N117," ",""),"0",""),"-",""))+LEN(SUBSTITUTE(SUBSTITUTE(SUBSTITUTE(M118," ",""),"0",""),"-",""))+LEN(SUBSTITUTE(SUBSTITUTE(SUBSTITUTE(N118," ",""),"0",""),"-",""))</f>
      </c>
    </row>
    <row r="125">
      <c r="F125" t="s">
        <v>248</v>
      </c>
      <c r="G125" s="19"/>
      <c r="N125" t="s">
        <v>248</v>
      </c>
      <c r="O125" s="19"/>
    </row>
    <row r="126">
      <c r="F126" t="s">
        <v>249</v>
      </c>
      <c r="G126" s="19"/>
      <c r="N126" t="s">
        <v>249</v>
      </c>
      <c r="O126" s="19"/>
    </row>
    <row r="127">
      <c r="F127" t="s">
        <v>250</v>
      </c>
      <c r="G127" s="19"/>
      <c r="N127" t="s">
        <v>250</v>
      </c>
      <c r="O127" s="19"/>
    </row>
    <row r="130">
      <c r="A130" s="13" t="str">
        <f>data!$A$29</f>
      </c>
      <c r="B130" s="13"/>
      <c r="C130" s="13"/>
      <c r="D130" s="13"/>
      <c r="E130" s="13"/>
      <c r="F130" s="13"/>
      <c r="G130" s="13"/>
      <c r="I130" s="13" t="str">
        <f>data!$A$76</f>
      </c>
      <c r="J130" s="13"/>
      <c r="K130" s="13"/>
      <c r="L130" s="13"/>
      <c r="M130" s="13"/>
      <c r="N130" s="13"/>
      <c r="O130" s="13"/>
    </row>
    <row r="131">
      <c r="A131" s="17" t="s">
        <v>239</v>
      </c>
      <c r="D131" s="14" t="s">
        <v>240</v>
      </c>
      <c r="G131" s="16" t="s">
        <v>241</v>
      </c>
      <c r="I131" s="17" t="s">
        <v>239</v>
      </c>
      <c r="L131" s="14" t="s">
        <v>240</v>
      </c>
      <c r="O131" s="16" t="s">
        <v>241</v>
      </c>
    </row>
    <row r="132">
      <c r="A132" s="14" t="str">
        <f>data!$B$28</f>
      </c>
      <c r="B132" s="18"/>
      <c r="C132" s="18"/>
      <c r="D132" s="18"/>
      <c r="E132" s="18"/>
      <c r="F132" s="18"/>
      <c r="G132" s="14" t="str">
        <f>data!$B$27</f>
      </c>
      <c r="I132" s="14" t="str">
        <f>data!$B$75</f>
      </c>
      <c r="J132" s="18"/>
      <c r="K132" s="18"/>
      <c r="L132" s="18"/>
      <c r="M132" s="18"/>
      <c r="N132" s="18"/>
      <c r="O132" s="14" t="str">
        <f>data!$B$74</f>
      </c>
    </row>
    <row r="133">
      <c r="A133" s="14" t="str">
        <f>data!$B$29</f>
      </c>
      <c r="B133" s="18"/>
      <c r="C133" s="18"/>
      <c r="D133" s="18"/>
      <c r="E133" s="18"/>
      <c r="F133" s="18"/>
      <c r="G133" s="14" t="str">
        <f>data!$B$27</f>
      </c>
      <c r="I133" s="14" t="str">
        <f>data!$B$76</f>
      </c>
      <c r="J133" s="18"/>
      <c r="K133" s="18"/>
      <c r="L133" s="18"/>
      <c r="M133" s="18"/>
      <c r="N133" s="18"/>
      <c r="O133" s="14" t="str">
        <f>data!$B$74</f>
      </c>
    </row>
    <row r="134">
      <c r="A134" s="14" t="str">
        <f>data!$B$29</f>
      </c>
      <c r="B134" s="18"/>
      <c r="C134" s="18"/>
      <c r="D134" s="18"/>
      <c r="E134" s="18"/>
      <c r="F134" s="18"/>
      <c r="G134" s="14" t="str">
        <f>data!$B$28</f>
      </c>
      <c r="I134" s="14" t="str">
        <f>data!$B$76</f>
      </c>
      <c r="J134" s="18"/>
      <c r="K134" s="18"/>
      <c r="L134" s="18"/>
      <c r="M134" s="18"/>
      <c r="N134" s="18"/>
      <c r="O134" s="14" t="str">
        <f>data!$B$75</f>
      </c>
    </row>
    <row r="136">
      <c r="A136" s="13" t="s">
        <v>242</v>
      </c>
      <c r="B136" s="13" t="s">
        <v>243</v>
      </c>
      <c r="C136" s="13" t="s">
        <v>244</v>
      </c>
      <c r="D136" s="13" t="s">
        <v>245</v>
      </c>
      <c r="E136" s="13" t="s">
        <v>246</v>
      </c>
      <c r="F136" s="13" t="s">
        <v>247</v>
      </c>
      <c r="I136" s="13" t="s">
        <v>242</v>
      </c>
      <c r="J136" s="13" t="s">
        <v>243</v>
      </c>
      <c r="K136" s="13" t="s">
        <v>244</v>
      </c>
      <c r="L136" s="13" t="s">
        <v>245</v>
      </c>
      <c r="M136" s="13" t="s">
        <v>246</v>
      </c>
      <c r="N136" s="13" t="s">
        <v>247</v>
      </c>
    </row>
    <row r="137">
      <c r="A137" s="14" t="str">
        <f>data!$B$27</f>
      </c>
      <c r="B137" s="14" t="str">
        <f>IF(OR(COUNTA(B132,C132,E132,F132)&gt;0,OR(D132="X",D132="x")),IF(OR(D132="X",D132="x"),0,(LEN(SUBSTITUTE(SUBSTITUTE(SUBSTITUTE(E132," ",""),"0",""),"-",""))+LEN(SUBSTITUTE(SUBSTITUTE(SUBSTITUTE(F132," ",""),"0",""),"-",""))&gt;LEN(SUBSTITUTE(SUBSTITUTE(SUBSTITUTE(B132," ",""),"0",""),"-",""))+LEN(SUBSTITUTE(SUBSTITUTE(SUBSTITUTE(C132," ",""),"0",""),"-","")))*1),0)+IF(OR(COUNTA(B133,C133,E133,F133)&gt;0,OR(D133="X",D133="x")),IF(OR(D133="X",D133="x"),0,(LEN(SUBSTITUTE(SUBSTITUTE(SUBSTITUTE(E133," ",""),"0",""),"-",""))+LEN(SUBSTITUTE(SUBSTITUTE(SUBSTITUTE(F133," ",""),"0",""),"-",""))&gt;LEN(SUBSTITUTE(SUBSTITUTE(SUBSTITUTE(B133," ",""),"0",""),"-",""))+LEN(SUBSTITUTE(SUBSTITUTE(SUBSTITUTE(C133," ",""),"0",""),"-","")))*1),0)</f>
      </c>
      <c r="C137" s="14" t="str">
        <f>IF(OR(COUNTA(B132,C132,E132,F132)&gt;0,OR(D132="X",D132="x")),IF(OR(D132="X",D132="x"),0,(LEN(SUBSTITUTE(SUBSTITUTE(SUBSTITUTE(E132," ",""),"0",""),"-",""))+LEN(SUBSTITUTE(SUBSTITUTE(SUBSTITUTE(F132," ",""),"0",""),"-",""))&lt;LEN(SUBSTITUTE(SUBSTITUTE(SUBSTITUTE(B132," ",""),"0",""),"-",""))+LEN(SUBSTITUTE(SUBSTITUTE(SUBSTITUTE(C132," ",""),"0",""),"-","")))*1),0)+IF(OR(COUNTA(B133,C133,E133,F133)&gt;0,OR(D133="X",D133="x")),IF(OR(D133="X",D133="x"),0,(LEN(SUBSTITUTE(SUBSTITUTE(SUBSTITUTE(E133," ",""),"0",""),"-",""))+LEN(SUBSTITUTE(SUBSTITUTE(SUBSTITUTE(F133," ",""),"0",""),"-",""))&lt;LEN(SUBSTITUTE(SUBSTITUTE(SUBSTITUTE(B133," ",""),"0",""),"-",""))+LEN(SUBSTITUTE(SUBSTITUTE(SUBSTITUTE(C133," ",""),"0",""),"-","")))*1),0)</f>
      </c>
      <c r="D137" s="14" t="str">
        <f>IF(OR(COUNTA(B132,C132,E132,F132)&gt;0,OR(D132="X",D132="x")),IF(OR(D132="X",D132="x"),1,0),0)+IF(OR(COUNTA(B133,C133,E133,F133)&gt;0,OR(D133="X",D133="x")),IF(OR(D133="X",D133="x"),1,0),0)</f>
      </c>
      <c r="E137" s="14" t="str">
        <f>LEN(SUBSTITUTE(SUBSTITUTE(SUBSTITUTE(E132," ",""),"0",""),"-",""))+LEN(SUBSTITUTE(SUBSTITUTE(SUBSTITUTE(F132," ",""),"0",""),"-",""))+LEN(SUBSTITUTE(SUBSTITUTE(SUBSTITUTE(E133," ",""),"0",""),"-",""))+LEN(SUBSTITUTE(SUBSTITUTE(SUBSTITUTE(F133," ",""),"0",""),"-",""))</f>
      </c>
      <c r="F137" s="14" t="str">
        <f>LEN(SUBSTITUTE(SUBSTITUTE(SUBSTITUTE(B132," ",""),"0",""),"-",""))+LEN(SUBSTITUTE(SUBSTITUTE(SUBSTITUTE(C132," ",""),"0",""),"-",""))+LEN(SUBSTITUTE(SUBSTITUTE(SUBSTITUTE(B133," ",""),"0",""),"-",""))+LEN(SUBSTITUTE(SUBSTITUTE(SUBSTITUTE(C133," ",""),"0",""),"-",""))</f>
      </c>
      <c r="I137" s="14" t="str">
        <f>data!$B$74</f>
      </c>
      <c r="J137" s="14" t="str">
        <f>IF(OR(COUNTA(J132,K132,M132,N132)&gt;0,OR(L132="X",L132="x")),IF(OR(L132="X",L132="x"),0,(LEN(SUBSTITUTE(SUBSTITUTE(SUBSTITUTE(M132," ",""),"0",""),"-",""))+LEN(SUBSTITUTE(SUBSTITUTE(SUBSTITUTE(N132," ",""),"0",""),"-",""))&gt;LEN(SUBSTITUTE(SUBSTITUTE(SUBSTITUTE(J132," ",""),"0",""),"-",""))+LEN(SUBSTITUTE(SUBSTITUTE(SUBSTITUTE(K132," ",""),"0",""),"-","")))*1),0)+IF(OR(COUNTA(J133,K133,M133,N133)&gt;0,OR(L133="X",L133="x")),IF(OR(L133="X",L133="x"),0,(LEN(SUBSTITUTE(SUBSTITUTE(SUBSTITUTE(M133," ",""),"0",""),"-",""))+LEN(SUBSTITUTE(SUBSTITUTE(SUBSTITUTE(N133," ",""),"0",""),"-",""))&gt;LEN(SUBSTITUTE(SUBSTITUTE(SUBSTITUTE(J133," ",""),"0",""),"-",""))+LEN(SUBSTITUTE(SUBSTITUTE(SUBSTITUTE(K133," ",""),"0",""),"-","")))*1),0)</f>
      </c>
      <c r="K137" s="14" t="str">
        <f>IF(OR(COUNTA(J132,K132,M132,N132)&gt;0,OR(L132="X",L132="x")),IF(OR(L132="X",L132="x"),0,(LEN(SUBSTITUTE(SUBSTITUTE(SUBSTITUTE(M132," ",""),"0",""),"-",""))+LEN(SUBSTITUTE(SUBSTITUTE(SUBSTITUTE(N132," ",""),"0",""),"-",""))&lt;LEN(SUBSTITUTE(SUBSTITUTE(SUBSTITUTE(J132," ",""),"0",""),"-",""))+LEN(SUBSTITUTE(SUBSTITUTE(SUBSTITUTE(K132," ",""),"0",""),"-","")))*1),0)+IF(OR(COUNTA(J133,K133,M133,N133)&gt;0,OR(L133="X",L133="x")),IF(OR(L133="X",L133="x"),0,(LEN(SUBSTITUTE(SUBSTITUTE(SUBSTITUTE(M133," ",""),"0",""),"-",""))+LEN(SUBSTITUTE(SUBSTITUTE(SUBSTITUTE(N133," ",""),"0",""),"-",""))&lt;LEN(SUBSTITUTE(SUBSTITUTE(SUBSTITUTE(J133," ",""),"0",""),"-",""))+LEN(SUBSTITUTE(SUBSTITUTE(SUBSTITUTE(K133," ",""),"0",""),"-","")))*1),0)</f>
      </c>
      <c r="L137" s="14" t="str">
        <f>IF(OR(COUNTA(J132,K132,M132,N132)&gt;0,OR(L132="X",L132="x")),IF(OR(L132="X",L132="x"),1,0),0)+IF(OR(COUNTA(J133,K133,M133,N133)&gt;0,OR(L133="X",L133="x")),IF(OR(L133="X",L133="x"),1,0),0)</f>
      </c>
      <c r="M137" s="14" t="str">
        <f>LEN(SUBSTITUTE(SUBSTITUTE(SUBSTITUTE(M132," ",""),"0",""),"-",""))+LEN(SUBSTITUTE(SUBSTITUTE(SUBSTITUTE(N132," ",""),"0",""),"-",""))+LEN(SUBSTITUTE(SUBSTITUTE(SUBSTITUTE(M133," ",""),"0",""),"-",""))+LEN(SUBSTITUTE(SUBSTITUTE(SUBSTITUTE(N133," ",""),"0",""),"-",""))</f>
      </c>
      <c r="N137" s="14" t="str">
        <f>LEN(SUBSTITUTE(SUBSTITUTE(SUBSTITUTE(J132," ",""),"0",""),"-",""))+LEN(SUBSTITUTE(SUBSTITUTE(SUBSTITUTE(K132," ",""),"0",""),"-",""))+LEN(SUBSTITUTE(SUBSTITUTE(SUBSTITUTE(J133," ",""),"0",""),"-",""))+LEN(SUBSTITUTE(SUBSTITUTE(SUBSTITUTE(K133," ",""),"0",""),"-",""))</f>
      </c>
    </row>
    <row r="138">
      <c r="A138" s="14" t="str">
        <f>data!$B$28</f>
      </c>
      <c r="B138" s="14" t="str">
        <f>IF(OR(COUNTA(B132,C132,E132,F132)&gt;0,OR(D132="X",D132="x")),IF(OR(D132="X",D132="x"),0,(LEN(SUBSTITUTE(SUBSTITUTE(SUBSTITUTE(B132," ",""),"0",""),"-",""))+LEN(SUBSTITUTE(SUBSTITUTE(SUBSTITUTE(C132," ",""),"0",""),"-",""))&gt;LEN(SUBSTITUTE(SUBSTITUTE(SUBSTITUTE(E132," ",""),"0",""),"-",""))+LEN(SUBSTITUTE(SUBSTITUTE(SUBSTITUTE(F132," ",""),"0",""),"-","")))*1),0)+IF(OR(COUNTA(B134,C134,E134,F134)&gt;0,OR(D134="X",D134="x")),IF(OR(D134="X",D134="x"),0,(LEN(SUBSTITUTE(SUBSTITUTE(SUBSTITUTE(E134," ",""),"0",""),"-",""))+LEN(SUBSTITUTE(SUBSTITUTE(SUBSTITUTE(F134," ",""),"0",""),"-",""))&gt;LEN(SUBSTITUTE(SUBSTITUTE(SUBSTITUTE(B134," ",""),"0",""),"-",""))+LEN(SUBSTITUTE(SUBSTITUTE(SUBSTITUTE(C134," ",""),"0",""),"-","")))*1),0)</f>
      </c>
      <c r="C138" s="14" t="str">
        <f>IF(OR(COUNTA(B132,C132,E132,F132)&gt;0,OR(D132="X",D132="x")),IF(OR(D132="X",D132="x"),0,(LEN(SUBSTITUTE(SUBSTITUTE(SUBSTITUTE(B132," ",""),"0",""),"-",""))+LEN(SUBSTITUTE(SUBSTITUTE(SUBSTITUTE(C132," ",""),"0",""),"-",""))&lt;LEN(SUBSTITUTE(SUBSTITUTE(SUBSTITUTE(E132," ",""),"0",""),"-",""))+LEN(SUBSTITUTE(SUBSTITUTE(SUBSTITUTE(F132," ",""),"0",""),"-","")))*1),0)+IF(OR(COUNTA(B134,C134,E134,F134)&gt;0,OR(D134="X",D134="x")),IF(OR(D134="X",D134="x"),0,(LEN(SUBSTITUTE(SUBSTITUTE(SUBSTITUTE(E134," ",""),"0",""),"-",""))+LEN(SUBSTITUTE(SUBSTITUTE(SUBSTITUTE(F134," ",""),"0",""),"-",""))&lt;LEN(SUBSTITUTE(SUBSTITUTE(SUBSTITUTE(B134," ",""),"0",""),"-",""))+LEN(SUBSTITUTE(SUBSTITUTE(SUBSTITUTE(C134," ",""),"0",""),"-","")))*1),0)</f>
      </c>
      <c r="D138" s="14" t="str">
        <f>IF(OR(COUNTA(B132,C132,E132,F132)&gt;0,OR(D132="X",D132="x")),IF(OR(D132="X",D132="x"),1,0),0)+IF(OR(COUNTA(B134,C134,E134,F134)&gt;0,OR(D134="X",D134="x")),IF(OR(D134="X",D134="x"),1,0),0)</f>
      </c>
      <c r="E138" s="14" t="str">
        <f>LEN(SUBSTITUTE(SUBSTITUTE(SUBSTITUTE(B132," ",""),"0",""),"-",""))+LEN(SUBSTITUTE(SUBSTITUTE(SUBSTITUTE(C132," ",""),"0",""),"-",""))+LEN(SUBSTITUTE(SUBSTITUTE(SUBSTITUTE(E134," ",""),"0",""),"-",""))+LEN(SUBSTITUTE(SUBSTITUTE(SUBSTITUTE(F134," ",""),"0",""),"-",""))</f>
      </c>
      <c r="F138" s="14" t="str">
        <f>LEN(SUBSTITUTE(SUBSTITUTE(SUBSTITUTE(E132," ",""),"0",""),"-",""))+LEN(SUBSTITUTE(SUBSTITUTE(SUBSTITUTE(F132," ",""),"0",""),"-",""))+LEN(SUBSTITUTE(SUBSTITUTE(SUBSTITUTE(B134," ",""),"0",""),"-",""))+LEN(SUBSTITUTE(SUBSTITUTE(SUBSTITUTE(C134," ",""),"0",""),"-",""))</f>
      </c>
      <c r="I138" s="14" t="str">
        <f>data!$B$75</f>
      </c>
      <c r="J138" s="14" t="str">
        <f>IF(OR(COUNTA(J132,K132,M132,N132)&gt;0,OR(L132="X",L132="x")),IF(OR(L132="X",L132="x"),0,(LEN(SUBSTITUTE(SUBSTITUTE(SUBSTITUTE(J132," ",""),"0",""),"-",""))+LEN(SUBSTITUTE(SUBSTITUTE(SUBSTITUTE(K132," ",""),"0",""),"-",""))&gt;LEN(SUBSTITUTE(SUBSTITUTE(SUBSTITUTE(M132," ",""),"0",""),"-",""))+LEN(SUBSTITUTE(SUBSTITUTE(SUBSTITUTE(N132," ",""),"0",""),"-","")))*1),0)+IF(OR(COUNTA(J134,K134,M134,N134)&gt;0,OR(L134="X",L134="x")),IF(OR(L134="X",L134="x"),0,(LEN(SUBSTITUTE(SUBSTITUTE(SUBSTITUTE(M134," ",""),"0",""),"-",""))+LEN(SUBSTITUTE(SUBSTITUTE(SUBSTITUTE(N134," ",""),"0",""),"-",""))&gt;LEN(SUBSTITUTE(SUBSTITUTE(SUBSTITUTE(J134," ",""),"0",""),"-",""))+LEN(SUBSTITUTE(SUBSTITUTE(SUBSTITUTE(K134," ",""),"0",""),"-","")))*1),0)</f>
      </c>
      <c r="K138" s="14" t="str">
        <f>IF(OR(COUNTA(J132,K132,M132,N132)&gt;0,OR(L132="X",L132="x")),IF(OR(L132="X",L132="x"),0,(LEN(SUBSTITUTE(SUBSTITUTE(SUBSTITUTE(J132," ",""),"0",""),"-",""))+LEN(SUBSTITUTE(SUBSTITUTE(SUBSTITUTE(K132," ",""),"0",""),"-",""))&lt;LEN(SUBSTITUTE(SUBSTITUTE(SUBSTITUTE(M132," ",""),"0",""),"-",""))+LEN(SUBSTITUTE(SUBSTITUTE(SUBSTITUTE(N132," ",""),"0",""),"-","")))*1),0)+IF(OR(COUNTA(J134,K134,M134,N134)&gt;0,OR(L134="X",L134="x")),IF(OR(L134="X",L134="x"),0,(LEN(SUBSTITUTE(SUBSTITUTE(SUBSTITUTE(M134," ",""),"0",""),"-",""))+LEN(SUBSTITUTE(SUBSTITUTE(SUBSTITUTE(N134," ",""),"0",""),"-",""))&lt;LEN(SUBSTITUTE(SUBSTITUTE(SUBSTITUTE(J134," ",""),"0",""),"-",""))+LEN(SUBSTITUTE(SUBSTITUTE(SUBSTITUTE(K134," ",""),"0",""),"-","")))*1),0)</f>
      </c>
      <c r="L138" s="14" t="str">
        <f>IF(OR(COUNTA(J132,K132,M132,N132)&gt;0,OR(L132="X",L132="x")),IF(OR(L132="X",L132="x"),1,0),0)+IF(OR(COUNTA(J134,K134,M134,N134)&gt;0,OR(L134="X",L134="x")),IF(OR(L134="X",L134="x"),1,0),0)</f>
      </c>
      <c r="M138" s="14" t="str">
        <f>LEN(SUBSTITUTE(SUBSTITUTE(SUBSTITUTE(J132," ",""),"0",""),"-",""))+LEN(SUBSTITUTE(SUBSTITUTE(SUBSTITUTE(K132," ",""),"0",""),"-",""))+LEN(SUBSTITUTE(SUBSTITUTE(SUBSTITUTE(M134," ",""),"0",""),"-",""))+LEN(SUBSTITUTE(SUBSTITUTE(SUBSTITUTE(N134," ",""),"0",""),"-",""))</f>
      </c>
      <c r="N138" s="14" t="str">
        <f>LEN(SUBSTITUTE(SUBSTITUTE(SUBSTITUTE(M132," ",""),"0",""),"-",""))+LEN(SUBSTITUTE(SUBSTITUTE(SUBSTITUTE(N132," ",""),"0",""),"-",""))+LEN(SUBSTITUTE(SUBSTITUTE(SUBSTITUTE(J134," ",""),"0",""),"-",""))+LEN(SUBSTITUTE(SUBSTITUTE(SUBSTITUTE(K134," ",""),"0",""),"-",""))</f>
      </c>
    </row>
    <row r="139">
      <c r="A139" s="14" t="str">
        <f>data!$B$29</f>
      </c>
      <c r="B139" s="14" t="str">
        <f>IF(OR(COUNTA(B133,C133,E133,F133)&gt;0,OR(D133="X",D133="x")),IF(OR(D133="X",D133="x"),0,(LEN(SUBSTITUTE(SUBSTITUTE(SUBSTITUTE(B133," ",""),"0",""),"-",""))+LEN(SUBSTITUTE(SUBSTITUTE(SUBSTITUTE(C133," ",""),"0",""),"-",""))&gt;LEN(SUBSTITUTE(SUBSTITUTE(SUBSTITUTE(E133," ",""),"0",""),"-",""))+LEN(SUBSTITUTE(SUBSTITUTE(SUBSTITUTE(F133," ",""),"0",""),"-","")))*1),0)+IF(OR(COUNTA(B134,C134,E134,F134)&gt;0,OR(D134="X",D134="x")),IF(OR(D134="X",D134="x"),0,(LEN(SUBSTITUTE(SUBSTITUTE(SUBSTITUTE(B134," ",""),"0",""),"-",""))+LEN(SUBSTITUTE(SUBSTITUTE(SUBSTITUTE(C134," ",""),"0",""),"-",""))&gt;LEN(SUBSTITUTE(SUBSTITUTE(SUBSTITUTE(E134," ",""),"0",""),"-",""))+LEN(SUBSTITUTE(SUBSTITUTE(SUBSTITUTE(F134," ",""),"0",""),"-","")))*1),0)</f>
      </c>
      <c r="C139" s="14" t="str">
        <f>IF(OR(COUNTA(B133,C133,E133,F133)&gt;0,OR(D133="X",D133="x")),IF(OR(D133="X",D133="x"),0,(LEN(SUBSTITUTE(SUBSTITUTE(SUBSTITUTE(B133," ",""),"0",""),"-",""))+LEN(SUBSTITUTE(SUBSTITUTE(SUBSTITUTE(C133," ",""),"0",""),"-",""))&lt;LEN(SUBSTITUTE(SUBSTITUTE(SUBSTITUTE(E133," ",""),"0",""),"-",""))+LEN(SUBSTITUTE(SUBSTITUTE(SUBSTITUTE(F133," ",""),"0",""),"-","")))*1),0)+IF(OR(COUNTA(B134,C134,E134,F134)&gt;0,OR(D134="X",D134="x")),IF(OR(D134="X",D134="x"),0,(LEN(SUBSTITUTE(SUBSTITUTE(SUBSTITUTE(B134," ",""),"0",""),"-",""))+LEN(SUBSTITUTE(SUBSTITUTE(SUBSTITUTE(C134," ",""),"0",""),"-",""))&lt;LEN(SUBSTITUTE(SUBSTITUTE(SUBSTITUTE(E134," ",""),"0",""),"-",""))+LEN(SUBSTITUTE(SUBSTITUTE(SUBSTITUTE(F134," ",""),"0",""),"-","")))*1),0)</f>
      </c>
      <c r="D139" s="14" t="str">
        <f>IF(OR(COUNTA(B133,C133,E133,F133)&gt;0,OR(D133="X",D133="x")),IF(OR(D133="X",D133="x"),1,0),0)+IF(OR(COUNTA(B134,C134,E134,F134)&gt;0,OR(D134="X",D134="x")),IF(OR(D134="X",D134="x"),1,0),0)</f>
      </c>
      <c r="E139" s="14" t="str">
        <f>LEN(SUBSTITUTE(SUBSTITUTE(SUBSTITUTE(B133," ",""),"0",""),"-",""))+LEN(SUBSTITUTE(SUBSTITUTE(SUBSTITUTE(C133," ",""),"0",""),"-",""))+LEN(SUBSTITUTE(SUBSTITUTE(SUBSTITUTE(B134," ",""),"0",""),"-",""))+LEN(SUBSTITUTE(SUBSTITUTE(SUBSTITUTE(C134," ",""),"0",""),"-",""))</f>
      </c>
      <c r="F139" s="14" t="str">
        <f>LEN(SUBSTITUTE(SUBSTITUTE(SUBSTITUTE(E133," ",""),"0",""),"-",""))+LEN(SUBSTITUTE(SUBSTITUTE(SUBSTITUTE(F133," ",""),"0",""),"-",""))+LEN(SUBSTITUTE(SUBSTITUTE(SUBSTITUTE(E134," ",""),"0",""),"-",""))+LEN(SUBSTITUTE(SUBSTITUTE(SUBSTITUTE(F134," ",""),"0",""),"-",""))</f>
      </c>
      <c r="I139" s="14" t="str">
        <f>data!$B$76</f>
      </c>
      <c r="J139" s="14" t="str">
        <f>IF(OR(COUNTA(J133,K133,M133,N133)&gt;0,OR(L133="X",L133="x")),IF(OR(L133="X",L133="x"),0,(LEN(SUBSTITUTE(SUBSTITUTE(SUBSTITUTE(J133," ",""),"0",""),"-",""))+LEN(SUBSTITUTE(SUBSTITUTE(SUBSTITUTE(K133," ",""),"0",""),"-",""))&gt;LEN(SUBSTITUTE(SUBSTITUTE(SUBSTITUTE(M133," ",""),"0",""),"-",""))+LEN(SUBSTITUTE(SUBSTITUTE(SUBSTITUTE(N133," ",""),"0",""),"-","")))*1),0)+IF(OR(COUNTA(J134,K134,M134,N134)&gt;0,OR(L134="X",L134="x")),IF(OR(L134="X",L134="x"),0,(LEN(SUBSTITUTE(SUBSTITUTE(SUBSTITUTE(J134," ",""),"0",""),"-",""))+LEN(SUBSTITUTE(SUBSTITUTE(SUBSTITUTE(K134," ",""),"0",""),"-",""))&gt;LEN(SUBSTITUTE(SUBSTITUTE(SUBSTITUTE(M134," ",""),"0",""),"-",""))+LEN(SUBSTITUTE(SUBSTITUTE(SUBSTITUTE(N134," ",""),"0",""),"-","")))*1),0)</f>
      </c>
      <c r="K139" s="14" t="str">
        <f>IF(OR(COUNTA(J133,K133,M133,N133)&gt;0,OR(L133="X",L133="x")),IF(OR(L133="X",L133="x"),0,(LEN(SUBSTITUTE(SUBSTITUTE(SUBSTITUTE(J133," ",""),"0",""),"-",""))+LEN(SUBSTITUTE(SUBSTITUTE(SUBSTITUTE(K133," ",""),"0",""),"-",""))&lt;LEN(SUBSTITUTE(SUBSTITUTE(SUBSTITUTE(M133," ",""),"0",""),"-",""))+LEN(SUBSTITUTE(SUBSTITUTE(SUBSTITUTE(N133," ",""),"0",""),"-","")))*1),0)+IF(OR(COUNTA(J134,K134,M134,N134)&gt;0,OR(L134="X",L134="x")),IF(OR(L134="X",L134="x"),0,(LEN(SUBSTITUTE(SUBSTITUTE(SUBSTITUTE(J134," ",""),"0",""),"-",""))+LEN(SUBSTITUTE(SUBSTITUTE(SUBSTITUTE(K134," ",""),"0",""),"-",""))&lt;LEN(SUBSTITUTE(SUBSTITUTE(SUBSTITUTE(M134," ",""),"0",""),"-",""))+LEN(SUBSTITUTE(SUBSTITUTE(SUBSTITUTE(N134," ",""),"0",""),"-","")))*1),0)</f>
      </c>
      <c r="L139" s="14" t="str">
        <f>IF(OR(COUNTA(J133,K133,M133,N133)&gt;0,OR(L133="X",L133="x")),IF(OR(L133="X",L133="x"),1,0),0)+IF(OR(COUNTA(J134,K134,M134,N134)&gt;0,OR(L134="X",L134="x")),IF(OR(L134="X",L134="x"),1,0),0)</f>
      </c>
      <c r="M139" s="14" t="str">
        <f>LEN(SUBSTITUTE(SUBSTITUTE(SUBSTITUTE(J133," ",""),"0",""),"-",""))+LEN(SUBSTITUTE(SUBSTITUTE(SUBSTITUTE(K133," ",""),"0",""),"-",""))+LEN(SUBSTITUTE(SUBSTITUTE(SUBSTITUTE(J134," ",""),"0",""),"-",""))+LEN(SUBSTITUTE(SUBSTITUTE(SUBSTITUTE(K134," ",""),"0",""),"-",""))</f>
      </c>
      <c r="N139" s="14" t="str">
        <f>LEN(SUBSTITUTE(SUBSTITUTE(SUBSTITUTE(M133," ",""),"0",""),"-",""))+LEN(SUBSTITUTE(SUBSTITUTE(SUBSTITUTE(N133," ",""),"0",""),"-",""))+LEN(SUBSTITUTE(SUBSTITUTE(SUBSTITUTE(M134," ",""),"0",""),"-",""))+LEN(SUBSTITUTE(SUBSTITUTE(SUBSTITUTE(N134," ",""),"0",""),"-",""))</f>
      </c>
    </row>
    <row r="141">
      <c r="F141" t="s">
        <v>248</v>
      </c>
      <c r="G141" s="19"/>
      <c r="N141" t="s">
        <v>248</v>
      </c>
      <c r="O141" s="19"/>
    </row>
    <row r="142">
      <c r="F142" t="s">
        <v>249</v>
      </c>
      <c r="G142" s="19"/>
      <c r="N142" t="s">
        <v>249</v>
      </c>
      <c r="O142" s="19"/>
    </row>
    <row r="143">
      <c r="F143" t="s">
        <v>250</v>
      </c>
      <c r="G143" s="19"/>
      <c r="N143" t="s">
        <v>250</v>
      </c>
      <c r="O143" s="19"/>
    </row>
    <row r="146">
      <c r="A146" s="13" t="str">
        <f>data!$A$32</f>
      </c>
      <c r="B146" s="13"/>
      <c r="C146" s="13"/>
      <c r="D146" s="13"/>
      <c r="E146" s="13"/>
      <c r="F146" s="13"/>
      <c r="G146" s="13"/>
      <c r="I146" s="13" t="str">
        <f>data!$A$79</f>
      </c>
      <c r="J146" s="13"/>
      <c r="K146" s="13"/>
      <c r="L146" s="13"/>
      <c r="M146" s="13"/>
      <c r="N146" s="13"/>
      <c r="O146" s="13"/>
    </row>
    <row r="147">
      <c r="A147" s="17" t="s">
        <v>239</v>
      </c>
      <c r="D147" s="14" t="s">
        <v>240</v>
      </c>
      <c r="G147" s="16" t="s">
        <v>241</v>
      </c>
      <c r="I147" s="17" t="s">
        <v>239</v>
      </c>
      <c r="L147" s="14" t="s">
        <v>240</v>
      </c>
      <c r="O147" s="16" t="s">
        <v>241</v>
      </c>
    </row>
    <row r="148">
      <c r="A148" s="14" t="str">
        <f>data!$B$31</f>
      </c>
      <c r="B148" s="18"/>
      <c r="C148" s="18"/>
      <c r="D148" s="18"/>
      <c r="E148" s="18"/>
      <c r="F148" s="18"/>
      <c r="G148" s="14" t="str">
        <f>data!$B$30</f>
      </c>
      <c r="I148" s="14" t="str">
        <f>data!$B$78</f>
      </c>
      <c r="J148" s="18"/>
      <c r="K148" s="18"/>
      <c r="L148" s="18"/>
      <c r="M148" s="18"/>
      <c r="N148" s="18"/>
      <c r="O148" s="14" t="str">
        <f>data!$B$77</f>
      </c>
    </row>
    <row r="149">
      <c r="A149" s="14" t="str">
        <f>data!$B$32</f>
      </c>
      <c r="B149" s="18"/>
      <c r="C149" s="18"/>
      <c r="D149" s="18"/>
      <c r="E149" s="18"/>
      <c r="F149" s="18"/>
      <c r="G149" s="14" t="str">
        <f>data!$B$30</f>
      </c>
      <c r="I149" s="14" t="str">
        <f>data!$B$79</f>
      </c>
      <c r="J149" s="18"/>
      <c r="K149" s="18"/>
      <c r="L149" s="18"/>
      <c r="M149" s="18"/>
      <c r="N149" s="18"/>
      <c r="O149" s="14" t="str">
        <f>data!$B$77</f>
      </c>
    </row>
    <row r="150">
      <c r="A150" s="14" t="str">
        <f>data!$B$32</f>
      </c>
      <c r="B150" s="18"/>
      <c r="C150" s="18"/>
      <c r="D150" s="18"/>
      <c r="E150" s="18"/>
      <c r="F150" s="18"/>
      <c r="G150" s="14" t="str">
        <f>data!$B$31</f>
      </c>
      <c r="I150" s="14" t="str">
        <f>data!$B$79</f>
      </c>
      <c r="J150" s="18"/>
      <c r="K150" s="18"/>
      <c r="L150" s="18"/>
      <c r="M150" s="18"/>
      <c r="N150" s="18"/>
      <c r="O150" s="14" t="str">
        <f>data!$B$78</f>
      </c>
    </row>
    <row r="152">
      <c r="A152" s="13" t="s">
        <v>242</v>
      </c>
      <c r="B152" s="13" t="s">
        <v>243</v>
      </c>
      <c r="C152" s="13" t="s">
        <v>244</v>
      </c>
      <c r="D152" s="13" t="s">
        <v>245</v>
      </c>
      <c r="E152" s="13" t="s">
        <v>246</v>
      </c>
      <c r="F152" s="13" t="s">
        <v>247</v>
      </c>
      <c r="I152" s="13" t="s">
        <v>242</v>
      </c>
      <c r="J152" s="13" t="s">
        <v>243</v>
      </c>
      <c r="K152" s="13" t="s">
        <v>244</v>
      </c>
      <c r="L152" s="13" t="s">
        <v>245</v>
      </c>
      <c r="M152" s="13" t="s">
        <v>246</v>
      </c>
      <c r="N152" s="13" t="s">
        <v>247</v>
      </c>
    </row>
    <row r="153">
      <c r="A153" s="14" t="str">
        <f>data!$B$30</f>
      </c>
      <c r="B153" s="14" t="str">
        <f>IF(OR(COUNTA(B148,C148,E148,F148)&gt;0,OR(D148="X",D148="x")),IF(OR(D148="X",D148="x"),0,(LEN(SUBSTITUTE(SUBSTITUTE(SUBSTITUTE(E148," ",""),"0",""),"-",""))+LEN(SUBSTITUTE(SUBSTITUTE(SUBSTITUTE(F148," ",""),"0",""),"-",""))&gt;LEN(SUBSTITUTE(SUBSTITUTE(SUBSTITUTE(B148," ",""),"0",""),"-",""))+LEN(SUBSTITUTE(SUBSTITUTE(SUBSTITUTE(C148," ",""),"0",""),"-","")))*1),0)+IF(OR(COUNTA(B149,C149,E149,F149)&gt;0,OR(D149="X",D149="x")),IF(OR(D149="X",D149="x"),0,(LEN(SUBSTITUTE(SUBSTITUTE(SUBSTITUTE(E149," ",""),"0",""),"-",""))+LEN(SUBSTITUTE(SUBSTITUTE(SUBSTITUTE(F149," ",""),"0",""),"-",""))&gt;LEN(SUBSTITUTE(SUBSTITUTE(SUBSTITUTE(B149," ",""),"0",""),"-",""))+LEN(SUBSTITUTE(SUBSTITUTE(SUBSTITUTE(C149," ",""),"0",""),"-","")))*1),0)</f>
      </c>
      <c r="C153" s="14" t="str">
        <f>IF(OR(COUNTA(B148,C148,E148,F148)&gt;0,OR(D148="X",D148="x")),IF(OR(D148="X",D148="x"),0,(LEN(SUBSTITUTE(SUBSTITUTE(SUBSTITUTE(E148," ",""),"0",""),"-",""))+LEN(SUBSTITUTE(SUBSTITUTE(SUBSTITUTE(F148," ",""),"0",""),"-",""))&lt;LEN(SUBSTITUTE(SUBSTITUTE(SUBSTITUTE(B148," ",""),"0",""),"-",""))+LEN(SUBSTITUTE(SUBSTITUTE(SUBSTITUTE(C148," ",""),"0",""),"-","")))*1),0)+IF(OR(COUNTA(B149,C149,E149,F149)&gt;0,OR(D149="X",D149="x")),IF(OR(D149="X",D149="x"),0,(LEN(SUBSTITUTE(SUBSTITUTE(SUBSTITUTE(E149," ",""),"0",""),"-",""))+LEN(SUBSTITUTE(SUBSTITUTE(SUBSTITUTE(F149," ",""),"0",""),"-",""))&lt;LEN(SUBSTITUTE(SUBSTITUTE(SUBSTITUTE(B149," ",""),"0",""),"-",""))+LEN(SUBSTITUTE(SUBSTITUTE(SUBSTITUTE(C149," ",""),"0",""),"-","")))*1),0)</f>
      </c>
      <c r="D153" s="14" t="str">
        <f>IF(OR(COUNTA(B148,C148,E148,F148)&gt;0,OR(D148="X",D148="x")),IF(OR(D148="X",D148="x"),1,0),0)+IF(OR(COUNTA(B149,C149,E149,F149)&gt;0,OR(D149="X",D149="x")),IF(OR(D149="X",D149="x"),1,0),0)</f>
      </c>
      <c r="E153" s="14" t="str">
        <f>LEN(SUBSTITUTE(SUBSTITUTE(SUBSTITUTE(E148," ",""),"0",""),"-",""))+LEN(SUBSTITUTE(SUBSTITUTE(SUBSTITUTE(F148," ",""),"0",""),"-",""))+LEN(SUBSTITUTE(SUBSTITUTE(SUBSTITUTE(E149," ",""),"0",""),"-",""))+LEN(SUBSTITUTE(SUBSTITUTE(SUBSTITUTE(F149," ",""),"0",""),"-",""))</f>
      </c>
      <c r="F153" s="14" t="str">
        <f>LEN(SUBSTITUTE(SUBSTITUTE(SUBSTITUTE(B148," ",""),"0",""),"-",""))+LEN(SUBSTITUTE(SUBSTITUTE(SUBSTITUTE(C148," ",""),"0",""),"-",""))+LEN(SUBSTITUTE(SUBSTITUTE(SUBSTITUTE(B149," ",""),"0",""),"-",""))+LEN(SUBSTITUTE(SUBSTITUTE(SUBSTITUTE(C149," ",""),"0",""),"-",""))</f>
      </c>
      <c r="I153" s="14" t="str">
        <f>data!$B$77</f>
      </c>
      <c r="J153" s="14" t="str">
        <f>IF(OR(COUNTA(J148,K148,M148,N148)&gt;0,OR(L148="X",L148="x")),IF(OR(L148="X",L148="x"),0,(LEN(SUBSTITUTE(SUBSTITUTE(SUBSTITUTE(M148," ",""),"0",""),"-",""))+LEN(SUBSTITUTE(SUBSTITUTE(SUBSTITUTE(N148," ",""),"0",""),"-",""))&gt;LEN(SUBSTITUTE(SUBSTITUTE(SUBSTITUTE(J148," ",""),"0",""),"-",""))+LEN(SUBSTITUTE(SUBSTITUTE(SUBSTITUTE(K148," ",""),"0",""),"-","")))*1),0)+IF(OR(COUNTA(J149,K149,M149,N149)&gt;0,OR(L149="X",L149="x")),IF(OR(L149="X",L149="x"),0,(LEN(SUBSTITUTE(SUBSTITUTE(SUBSTITUTE(M149," ",""),"0",""),"-",""))+LEN(SUBSTITUTE(SUBSTITUTE(SUBSTITUTE(N149," ",""),"0",""),"-",""))&gt;LEN(SUBSTITUTE(SUBSTITUTE(SUBSTITUTE(J149," ",""),"0",""),"-",""))+LEN(SUBSTITUTE(SUBSTITUTE(SUBSTITUTE(K149," ",""),"0",""),"-","")))*1),0)</f>
      </c>
      <c r="K153" s="14" t="str">
        <f>IF(OR(COUNTA(J148,K148,M148,N148)&gt;0,OR(L148="X",L148="x")),IF(OR(L148="X",L148="x"),0,(LEN(SUBSTITUTE(SUBSTITUTE(SUBSTITUTE(M148," ",""),"0",""),"-",""))+LEN(SUBSTITUTE(SUBSTITUTE(SUBSTITUTE(N148," ",""),"0",""),"-",""))&lt;LEN(SUBSTITUTE(SUBSTITUTE(SUBSTITUTE(J148," ",""),"0",""),"-",""))+LEN(SUBSTITUTE(SUBSTITUTE(SUBSTITUTE(K148," ",""),"0",""),"-","")))*1),0)+IF(OR(COUNTA(J149,K149,M149,N149)&gt;0,OR(L149="X",L149="x")),IF(OR(L149="X",L149="x"),0,(LEN(SUBSTITUTE(SUBSTITUTE(SUBSTITUTE(M149," ",""),"0",""),"-",""))+LEN(SUBSTITUTE(SUBSTITUTE(SUBSTITUTE(N149," ",""),"0",""),"-",""))&lt;LEN(SUBSTITUTE(SUBSTITUTE(SUBSTITUTE(J149," ",""),"0",""),"-",""))+LEN(SUBSTITUTE(SUBSTITUTE(SUBSTITUTE(K149," ",""),"0",""),"-","")))*1),0)</f>
      </c>
      <c r="L153" s="14" t="str">
        <f>IF(OR(COUNTA(J148,K148,M148,N148)&gt;0,OR(L148="X",L148="x")),IF(OR(L148="X",L148="x"),1,0),0)+IF(OR(COUNTA(J149,K149,M149,N149)&gt;0,OR(L149="X",L149="x")),IF(OR(L149="X",L149="x"),1,0),0)</f>
      </c>
      <c r="M153" s="14" t="str">
        <f>LEN(SUBSTITUTE(SUBSTITUTE(SUBSTITUTE(M148," ",""),"0",""),"-",""))+LEN(SUBSTITUTE(SUBSTITUTE(SUBSTITUTE(N148," ",""),"0",""),"-",""))+LEN(SUBSTITUTE(SUBSTITUTE(SUBSTITUTE(M149," ",""),"0",""),"-",""))+LEN(SUBSTITUTE(SUBSTITUTE(SUBSTITUTE(N149," ",""),"0",""),"-",""))</f>
      </c>
      <c r="N153" s="14" t="str">
        <f>LEN(SUBSTITUTE(SUBSTITUTE(SUBSTITUTE(J148," ",""),"0",""),"-",""))+LEN(SUBSTITUTE(SUBSTITUTE(SUBSTITUTE(K148," ",""),"0",""),"-",""))+LEN(SUBSTITUTE(SUBSTITUTE(SUBSTITUTE(J149," ",""),"0",""),"-",""))+LEN(SUBSTITUTE(SUBSTITUTE(SUBSTITUTE(K149," ",""),"0",""),"-",""))</f>
      </c>
    </row>
    <row r="154">
      <c r="A154" s="14" t="str">
        <f>data!$B$31</f>
      </c>
      <c r="B154" s="14" t="str">
        <f>IF(OR(COUNTA(B148,C148,E148,F148)&gt;0,OR(D148="X",D148="x")),IF(OR(D148="X",D148="x"),0,(LEN(SUBSTITUTE(SUBSTITUTE(SUBSTITUTE(B148," ",""),"0",""),"-",""))+LEN(SUBSTITUTE(SUBSTITUTE(SUBSTITUTE(C148," ",""),"0",""),"-",""))&gt;LEN(SUBSTITUTE(SUBSTITUTE(SUBSTITUTE(E148," ",""),"0",""),"-",""))+LEN(SUBSTITUTE(SUBSTITUTE(SUBSTITUTE(F148," ",""),"0",""),"-","")))*1),0)+IF(OR(COUNTA(B150,C150,E150,F150)&gt;0,OR(D150="X",D150="x")),IF(OR(D150="X",D150="x"),0,(LEN(SUBSTITUTE(SUBSTITUTE(SUBSTITUTE(E150," ",""),"0",""),"-",""))+LEN(SUBSTITUTE(SUBSTITUTE(SUBSTITUTE(F150," ",""),"0",""),"-",""))&gt;LEN(SUBSTITUTE(SUBSTITUTE(SUBSTITUTE(B150," ",""),"0",""),"-",""))+LEN(SUBSTITUTE(SUBSTITUTE(SUBSTITUTE(C150," ",""),"0",""),"-","")))*1),0)</f>
      </c>
      <c r="C154" s="14" t="str">
        <f>IF(OR(COUNTA(B148,C148,E148,F148)&gt;0,OR(D148="X",D148="x")),IF(OR(D148="X",D148="x"),0,(LEN(SUBSTITUTE(SUBSTITUTE(SUBSTITUTE(B148," ",""),"0",""),"-",""))+LEN(SUBSTITUTE(SUBSTITUTE(SUBSTITUTE(C148," ",""),"0",""),"-",""))&lt;LEN(SUBSTITUTE(SUBSTITUTE(SUBSTITUTE(E148," ",""),"0",""),"-",""))+LEN(SUBSTITUTE(SUBSTITUTE(SUBSTITUTE(F148," ",""),"0",""),"-","")))*1),0)+IF(OR(COUNTA(B150,C150,E150,F150)&gt;0,OR(D150="X",D150="x")),IF(OR(D150="X",D150="x"),0,(LEN(SUBSTITUTE(SUBSTITUTE(SUBSTITUTE(E150," ",""),"0",""),"-",""))+LEN(SUBSTITUTE(SUBSTITUTE(SUBSTITUTE(F150," ",""),"0",""),"-",""))&lt;LEN(SUBSTITUTE(SUBSTITUTE(SUBSTITUTE(B150," ",""),"0",""),"-",""))+LEN(SUBSTITUTE(SUBSTITUTE(SUBSTITUTE(C150," ",""),"0",""),"-","")))*1),0)</f>
      </c>
      <c r="D154" s="14" t="str">
        <f>IF(OR(COUNTA(B148,C148,E148,F148)&gt;0,OR(D148="X",D148="x")),IF(OR(D148="X",D148="x"),1,0),0)+IF(OR(COUNTA(B150,C150,E150,F150)&gt;0,OR(D150="X",D150="x")),IF(OR(D150="X",D150="x"),1,0),0)</f>
      </c>
      <c r="E154" s="14" t="str">
        <f>LEN(SUBSTITUTE(SUBSTITUTE(SUBSTITUTE(B148," ",""),"0",""),"-",""))+LEN(SUBSTITUTE(SUBSTITUTE(SUBSTITUTE(C148," ",""),"0",""),"-",""))+LEN(SUBSTITUTE(SUBSTITUTE(SUBSTITUTE(E150," ",""),"0",""),"-",""))+LEN(SUBSTITUTE(SUBSTITUTE(SUBSTITUTE(F150," ",""),"0",""),"-",""))</f>
      </c>
      <c r="F154" s="14" t="str">
        <f>LEN(SUBSTITUTE(SUBSTITUTE(SUBSTITUTE(E148," ",""),"0",""),"-",""))+LEN(SUBSTITUTE(SUBSTITUTE(SUBSTITUTE(F148," ",""),"0",""),"-",""))+LEN(SUBSTITUTE(SUBSTITUTE(SUBSTITUTE(B150," ",""),"0",""),"-",""))+LEN(SUBSTITUTE(SUBSTITUTE(SUBSTITUTE(C150," ",""),"0",""),"-",""))</f>
      </c>
      <c r="I154" s="14" t="str">
        <f>data!$B$78</f>
      </c>
      <c r="J154" s="14" t="str">
        <f>IF(OR(COUNTA(J148,K148,M148,N148)&gt;0,OR(L148="X",L148="x")),IF(OR(L148="X",L148="x"),0,(LEN(SUBSTITUTE(SUBSTITUTE(SUBSTITUTE(J148," ",""),"0",""),"-",""))+LEN(SUBSTITUTE(SUBSTITUTE(SUBSTITUTE(K148," ",""),"0",""),"-",""))&gt;LEN(SUBSTITUTE(SUBSTITUTE(SUBSTITUTE(M148," ",""),"0",""),"-",""))+LEN(SUBSTITUTE(SUBSTITUTE(SUBSTITUTE(N148," ",""),"0",""),"-","")))*1),0)+IF(OR(COUNTA(J150,K150,M150,N150)&gt;0,OR(L150="X",L150="x")),IF(OR(L150="X",L150="x"),0,(LEN(SUBSTITUTE(SUBSTITUTE(SUBSTITUTE(M150," ",""),"0",""),"-",""))+LEN(SUBSTITUTE(SUBSTITUTE(SUBSTITUTE(N150," ",""),"0",""),"-",""))&gt;LEN(SUBSTITUTE(SUBSTITUTE(SUBSTITUTE(J150," ",""),"0",""),"-",""))+LEN(SUBSTITUTE(SUBSTITUTE(SUBSTITUTE(K150," ",""),"0",""),"-","")))*1),0)</f>
      </c>
      <c r="K154" s="14" t="str">
        <f>IF(OR(COUNTA(J148,K148,M148,N148)&gt;0,OR(L148="X",L148="x")),IF(OR(L148="X",L148="x"),0,(LEN(SUBSTITUTE(SUBSTITUTE(SUBSTITUTE(J148," ",""),"0",""),"-",""))+LEN(SUBSTITUTE(SUBSTITUTE(SUBSTITUTE(K148," ",""),"0",""),"-",""))&lt;LEN(SUBSTITUTE(SUBSTITUTE(SUBSTITUTE(M148," ",""),"0",""),"-",""))+LEN(SUBSTITUTE(SUBSTITUTE(SUBSTITUTE(N148," ",""),"0",""),"-","")))*1),0)+IF(OR(COUNTA(J150,K150,M150,N150)&gt;0,OR(L150="X",L150="x")),IF(OR(L150="X",L150="x"),0,(LEN(SUBSTITUTE(SUBSTITUTE(SUBSTITUTE(M150," ",""),"0",""),"-",""))+LEN(SUBSTITUTE(SUBSTITUTE(SUBSTITUTE(N150," ",""),"0",""),"-",""))&lt;LEN(SUBSTITUTE(SUBSTITUTE(SUBSTITUTE(J150," ",""),"0",""),"-",""))+LEN(SUBSTITUTE(SUBSTITUTE(SUBSTITUTE(K150," ",""),"0",""),"-","")))*1),0)</f>
      </c>
      <c r="L154" s="14" t="str">
        <f>IF(OR(COUNTA(J148,K148,M148,N148)&gt;0,OR(L148="X",L148="x")),IF(OR(L148="X",L148="x"),1,0),0)+IF(OR(COUNTA(J150,K150,M150,N150)&gt;0,OR(L150="X",L150="x")),IF(OR(L150="X",L150="x"),1,0),0)</f>
      </c>
      <c r="M154" s="14" t="str">
        <f>LEN(SUBSTITUTE(SUBSTITUTE(SUBSTITUTE(J148," ",""),"0",""),"-",""))+LEN(SUBSTITUTE(SUBSTITUTE(SUBSTITUTE(K148," ",""),"0",""),"-",""))+LEN(SUBSTITUTE(SUBSTITUTE(SUBSTITUTE(M150," ",""),"0",""),"-",""))+LEN(SUBSTITUTE(SUBSTITUTE(SUBSTITUTE(N150," ",""),"0",""),"-",""))</f>
      </c>
      <c r="N154" s="14" t="str">
        <f>LEN(SUBSTITUTE(SUBSTITUTE(SUBSTITUTE(M148," ",""),"0",""),"-",""))+LEN(SUBSTITUTE(SUBSTITUTE(SUBSTITUTE(N148," ",""),"0",""),"-",""))+LEN(SUBSTITUTE(SUBSTITUTE(SUBSTITUTE(J150," ",""),"0",""),"-",""))+LEN(SUBSTITUTE(SUBSTITUTE(SUBSTITUTE(K150," ",""),"0",""),"-",""))</f>
      </c>
    </row>
    <row r="155">
      <c r="A155" s="14" t="str">
        <f>data!$B$32</f>
      </c>
      <c r="B155" s="14" t="str">
        <f>IF(OR(COUNTA(B149,C149,E149,F149)&gt;0,OR(D149="X",D149="x")),IF(OR(D149="X",D149="x"),0,(LEN(SUBSTITUTE(SUBSTITUTE(SUBSTITUTE(B149," ",""),"0",""),"-",""))+LEN(SUBSTITUTE(SUBSTITUTE(SUBSTITUTE(C149," ",""),"0",""),"-",""))&gt;LEN(SUBSTITUTE(SUBSTITUTE(SUBSTITUTE(E149," ",""),"0",""),"-",""))+LEN(SUBSTITUTE(SUBSTITUTE(SUBSTITUTE(F149," ",""),"0",""),"-","")))*1),0)+IF(OR(COUNTA(B150,C150,E150,F150)&gt;0,OR(D150="X",D150="x")),IF(OR(D150="X",D150="x"),0,(LEN(SUBSTITUTE(SUBSTITUTE(SUBSTITUTE(B150," ",""),"0",""),"-",""))+LEN(SUBSTITUTE(SUBSTITUTE(SUBSTITUTE(C150," ",""),"0",""),"-",""))&gt;LEN(SUBSTITUTE(SUBSTITUTE(SUBSTITUTE(E150," ",""),"0",""),"-",""))+LEN(SUBSTITUTE(SUBSTITUTE(SUBSTITUTE(F150," ",""),"0",""),"-","")))*1),0)</f>
      </c>
      <c r="C155" s="14" t="str">
        <f>IF(OR(COUNTA(B149,C149,E149,F149)&gt;0,OR(D149="X",D149="x")),IF(OR(D149="X",D149="x"),0,(LEN(SUBSTITUTE(SUBSTITUTE(SUBSTITUTE(B149," ",""),"0",""),"-",""))+LEN(SUBSTITUTE(SUBSTITUTE(SUBSTITUTE(C149," ",""),"0",""),"-",""))&lt;LEN(SUBSTITUTE(SUBSTITUTE(SUBSTITUTE(E149," ",""),"0",""),"-",""))+LEN(SUBSTITUTE(SUBSTITUTE(SUBSTITUTE(F149," ",""),"0",""),"-","")))*1),0)+IF(OR(COUNTA(B150,C150,E150,F150)&gt;0,OR(D150="X",D150="x")),IF(OR(D150="X",D150="x"),0,(LEN(SUBSTITUTE(SUBSTITUTE(SUBSTITUTE(B150," ",""),"0",""),"-",""))+LEN(SUBSTITUTE(SUBSTITUTE(SUBSTITUTE(C150," ",""),"0",""),"-",""))&lt;LEN(SUBSTITUTE(SUBSTITUTE(SUBSTITUTE(E150," ",""),"0",""),"-",""))+LEN(SUBSTITUTE(SUBSTITUTE(SUBSTITUTE(F150," ",""),"0",""),"-","")))*1),0)</f>
      </c>
      <c r="D155" s="14" t="str">
        <f>IF(OR(COUNTA(B149,C149,E149,F149)&gt;0,OR(D149="X",D149="x")),IF(OR(D149="X",D149="x"),1,0),0)+IF(OR(COUNTA(B150,C150,E150,F150)&gt;0,OR(D150="X",D150="x")),IF(OR(D150="X",D150="x"),1,0),0)</f>
      </c>
      <c r="E155" s="14" t="str">
        <f>LEN(SUBSTITUTE(SUBSTITUTE(SUBSTITUTE(B149," ",""),"0",""),"-",""))+LEN(SUBSTITUTE(SUBSTITUTE(SUBSTITUTE(C149," ",""),"0",""),"-",""))+LEN(SUBSTITUTE(SUBSTITUTE(SUBSTITUTE(B150," ",""),"0",""),"-",""))+LEN(SUBSTITUTE(SUBSTITUTE(SUBSTITUTE(C150," ",""),"0",""),"-",""))</f>
      </c>
      <c r="F155" s="14" t="str">
        <f>LEN(SUBSTITUTE(SUBSTITUTE(SUBSTITUTE(E149," ",""),"0",""),"-",""))+LEN(SUBSTITUTE(SUBSTITUTE(SUBSTITUTE(F149," ",""),"0",""),"-",""))+LEN(SUBSTITUTE(SUBSTITUTE(SUBSTITUTE(E150," ",""),"0",""),"-",""))+LEN(SUBSTITUTE(SUBSTITUTE(SUBSTITUTE(F150," ",""),"0",""),"-",""))</f>
      </c>
      <c r="I155" s="14" t="str">
        <f>data!$B$79</f>
      </c>
      <c r="J155" s="14" t="str">
        <f>IF(OR(COUNTA(J149,K149,M149,N149)&gt;0,OR(L149="X",L149="x")),IF(OR(L149="X",L149="x"),0,(LEN(SUBSTITUTE(SUBSTITUTE(SUBSTITUTE(J149," ",""),"0",""),"-",""))+LEN(SUBSTITUTE(SUBSTITUTE(SUBSTITUTE(K149," ",""),"0",""),"-",""))&gt;LEN(SUBSTITUTE(SUBSTITUTE(SUBSTITUTE(M149," ",""),"0",""),"-",""))+LEN(SUBSTITUTE(SUBSTITUTE(SUBSTITUTE(N149," ",""),"0",""),"-","")))*1),0)+IF(OR(COUNTA(J150,K150,M150,N150)&gt;0,OR(L150="X",L150="x")),IF(OR(L150="X",L150="x"),0,(LEN(SUBSTITUTE(SUBSTITUTE(SUBSTITUTE(J150," ",""),"0",""),"-",""))+LEN(SUBSTITUTE(SUBSTITUTE(SUBSTITUTE(K150," ",""),"0",""),"-",""))&gt;LEN(SUBSTITUTE(SUBSTITUTE(SUBSTITUTE(M150," ",""),"0",""),"-",""))+LEN(SUBSTITUTE(SUBSTITUTE(SUBSTITUTE(N150," ",""),"0",""),"-","")))*1),0)</f>
      </c>
      <c r="K155" s="14" t="str">
        <f>IF(OR(COUNTA(J149,K149,M149,N149)&gt;0,OR(L149="X",L149="x")),IF(OR(L149="X",L149="x"),0,(LEN(SUBSTITUTE(SUBSTITUTE(SUBSTITUTE(J149," ",""),"0",""),"-",""))+LEN(SUBSTITUTE(SUBSTITUTE(SUBSTITUTE(K149," ",""),"0",""),"-",""))&lt;LEN(SUBSTITUTE(SUBSTITUTE(SUBSTITUTE(M149," ",""),"0",""),"-",""))+LEN(SUBSTITUTE(SUBSTITUTE(SUBSTITUTE(N149," ",""),"0",""),"-","")))*1),0)+IF(OR(COUNTA(J150,K150,M150,N150)&gt;0,OR(L150="X",L150="x")),IF(OR(L150="X",L150="x"),0,(LEN(SUBSTITUTE(SUBSTITUTE(SUBSTITUTE(J150," ",""),"0",""),"-",""))+LEN(SUBSTITUTE(SUBSTITUTE(SUBSTITUTE(K150," ",""),"0",""),"-",""))&lt;LEN(SUBSTITUTE(SUBSTITUTE(SUBSTITUTE(M150," ",""),"0",""),"-",""))+LEN(SUBSTITUTE(SUBSTITUTE(SUBSTITUTE(N150," ",""),"0",""),"-","")))*1),0)</f>
      </c>
      <c r="L155" s="14" t="str">
        <f>IF(OR(COUNTA(J149,K149,M149,N149)&gt;0,OR(L149="X",L149="x")),IF(OR(L149="X",L149="x"),1,0),0)+IF(OR(COUNTA(J150,K150,M150,N150)&gt;0,OR(L150="X",L150="x")),IF(OR(L150="X",L150="x"),1,0),0)</f>
      </c>
      <c r="M155" s="14" t="str">
        <f>LEN(SUBSTITUTE(SUBSTITUTE(SUBSTITUTE(J149," ",""),"0",""),"-",""))+LEN(SUBSTITUTE(SUBSTITUTE(SUBSTITUTE(K149," ",""),"0",""),"-",""))+LEN(SUBSTITUTE(SUBSTITUTE(SUBSTITUTE(J150," ",""),"0",""),"-",""))+LEN(SUBSTITUTE(SUBSTITUTE(SUBSTITUTE(K150," ",""),"0",""),"-",""))</f>
      </c>
      <c r="N155" s="14" t="str">
        <f>LEN(SUBSTITUTE(SUBSTITUTE(SUBSTITUTE(M149," ",""),"0",""),"-",""))+LEN(SUBSTITUTE(SUBSTITUTE(SUBSTITUTE(N149," ",""),"0",""),"-",""))+LEN(SUBSTITUTE(SUBSTITUTE(SUBSTITUTE(M150," ",""),"0",""),"-",""))+LEN(SUBSTITUTE(SUBSTITUTE(SUBSTITUTE(N150," ",""),"0",""),"-",""))</f>
      </c>
    </row>
    <row r="157">
      <c r="F157" t="s">
        <v>248</v>
      </c>
      <c r="G157" s="19"/>
      <c r="N157" t="s">
        <v>248</v>
      </c>
      <c r="O157" s="19"/>
    </row>
    <row r="158">
      <c r="F158" t="s">
        <v>249</v>
      </c>
      <c r="G158" s="19"/>
      <c r="N158" t="s">
        <v>249</v>
      </c>
      <c r="O158" s="19"/>
    </row>
    <row r="159">
      <c r="F159" t="s">
        <v>250</v>
      </c>
      <c r="G159" s="19"/>
      <c r="N159" t="s">
        <v>250</v>
      </c>
      <c r="O159" s="19"/>
    </row>
    <row r="162">
      <c r="A162" s="13" t="str">
        <f>data!$A$35</f>
      </c>
      <c r="B162" s="13"/>
      <c r="C162" s="13"/>
      <c r="D162" s="13"/>
      <c r="E162" s="13"/>
      <c r="F162" s="13"/>
      <c r="G162" s="13"/>
      <c r="I162" s="13" t="str">
        <f>data!$A$82</f>
      </c>
      <c r="J162" s="13"/>
      <c r="K162" s="13"/>
      <c r="L162" s="13"/>
      <c r="M162" s="13"/>
      <c r="N162" s="13"/>
      <c r="O162" s="13"/>
    </row>
    <row r="163">
      <c r="A163" s="17" t="s">
        <v>239</v>
      </c>
      <c r="D163" s="14" t="s">
        <v>240</v>
      </c>
      <c r="G163" s="16" t="s">
        <v>241</v>
      </c>
      <c r="I163" s="17" t="s">
        <v>239</v>
      </c>
      <c r="L163" s="14" t="s">
        <v>240</v>
      </c>
      <c r="O163" s="16" t="s">
        <v>241</v>
      </c>
    </row>
    <row r="164">
      <c r="A164" s="14" t="str">
        <f>data!$B$34</f>
      </c>
      <c r="B164" s="18"/>
      <c r="C164" s="18"/>
      <c r="D164" s="18"/>
      <c r="E164" s="18"/>
      <c r="F164" s="18"/>
      <c r="G164" s="14" t="str">
        <f>data!$B$33</f>
      </c>
      <c r="I164" s="14" t="str">
        <f>data!$B$81</f>
      </c>
      <c r="J164" s="18"/>
      <c r="K164" s="18"/>
      <c r="L164" s="18"/>
      <c r="M164" s="18"/>
      <c r="N164" s="18"/>
      <c r="O164" s="14" t="str">
        <f>data!$B$80</f>
      </c>
    </row>
    <row r="165">
      <c r="A165" s="14" t="str">
        <f>data!$B$35</f>
      </c>
      <c r="B165" s="18"/>
      <c r="C165" s="18"/>
      <c r="D165" s="18"/>
      <c r="E165" s="18"/>
      <c r="F165" s="18"/>
      <c r="G165" s="14" t="str">
        <f>data!$B$33</f>
      </c>
      <c r="I165" s="14" t="str">
        <f>data!$B$82</f>
      </c>
      <c r="J165" s="18"/>
      <c r="K165" s="18"/>
      <c r="L165" s="18"/>
      <c r="M165" s="18"/>
      <c r="N165" s="18"/>
      <c r="O165" s="14" t="str">
        <f>data!$B$80</f>
      </c>
    </row>
    <row r="166">
      <c r="A166" s="14" t="str">
        <f>data!$B$35</f>
      </c>
      <c r="B166" s="18"/>
      <c r="C166" s="18"/>
      <c r="D166" s="18"/>
      <c r="E166" s="18"/>
      <c r="F166" s="18"/>
      <c r="G166" s="14" t="str">
        <f>data!$B$34</f>
      </c>
      <c r="I166" s="14" t="str">
        <f>data!$B$82</f>
      </c>
      <c r="J166" s="18"/>
      <c r="K166" s="18"/>
      <c r="L166" s="18"/>
      <c r="M166" s="18"/>
      <c r="N166" s="18"/>
      <c r="O166" s="14" t="str">
        <f>data!$B$81</f>
      </c>
    </row>
    <row r="168">
      <c r="A168" s="13" t="s">
        <v>242</v>
      </c>
      <c r="B168" s="13" t="s">
        <v>243</v>
      </c>
      <c r="C168" s="13" t="s">
        <v>244</v>
      </c>
      <c r="D168" s="13" t="s">
        <v>245</v>
      </c>
      <c r="E168" s="13" t="s">
        <v>246</v>
      </c>
      <c r="F168" s="13" t="s">
        <v>247</v>
      </c>
      <c r="I168" s="13" t="s">
        <v>242</v>
      </c>
      <c r="J168" s="13" t="s">
        <v>243</v>
      </c>
      <c r="K168" s="13" t="s">
        <v>244</v>
      </c>
      <c r="L168" s="13" t="s">
        <v>245</v>
      </c>
      <c r="M168" s="13" t="s">
        <v>246</v>
      </c>
      <c r="N168" s="13" t="s">
        <v>247</v>
      </c>
    </row>
    <row r="169">
      <c r="A169" s="14" t="str">
        <f>data!$B$33</f>
      </c>
      <c r="B169" s="14" t="str">
        <f>IF(OR(COUNTA(B164,C164,E164,F164)&gt;0,OR(D164="X",D164="x")),IF(OR(D164="X",D164="x"),0,(LEN(SUBSTITUTE(SUBSTITUTE(SUBSTITUTE(E164," ",""),"0",""),"-",""))+LEN(SUBSTITUTE(SUBSTITUTE(SUBSTITUTE(F164," ",""),"0",""),"-",""))&gt;LEN(SUBSTITUTE(SUBSTITUTE(SUBSTITUTE(B164," ",""),"0",""),"-",""))+LEN(SUBSTITUTE(SUBSTITUTE(SUBSTITUTE(C164," ",""),"0",""),"-","")))*1),0)+IF(OR(COUNTA(B165,C165,E165,F165)&gt;0,OR(D165="X",D165="x")),IF(OR(D165="X",D165="x"),0,(LEN(SUBSTITUTE(SUBSTITUTE(SUBSTITUTE(E165," ",""),"0",""),"-",""))+LEN(SUBSTITUTE(SUBSTITUTE(SUBSTITUTE(F165," ",""),"0",""),"-",""))&gt;LEN(SUBSTITUTE(SUBSTITUTE(SUBSTITUTE(B165," ",""),"0",""),"-",""))+LEN(SUBSTITUTE(SUBSTITUTE(SUBSTITUTE(C165," ",""),"0",""),"-","")))*1),0)</f>
      </c>
      <c r="C169" s="14" t="str">
        <f>IF(OR(COUNTA(B164,C164,E164,F164)&gt;0,OR(D164="X",D164="x")),IF(OR(D164="X",D164="x"),0,(LEN(SUBSTITUTE(SUBSTITUTE(SUBSTITUTE(E164," ",""),"0",""),"-",""))+LEN(SUBSTITUTE(SUBSTITUTE(SUBSTITUTE(F164," ",""),"0",""),"-",""))&lt;LEN(SUBSTITUTE(SUBSTITUTE(SUBSTITUTE(B164," ",""),"0",""),"-",""))+LEN(SUBSTITUTE(SUBSTITUTE(SUBSTITUTE(C164," ",""),"0",""),"-","")))*1),0)+IF(OR(COUNTA(B165,C165,E165,F165)&gt;0,OR(D165="X",D165="x")),IF(OR(D165="X",D165="x"),0,(LEN(SUBSTITUTE(SUBSTITUTE(SUBSTITUTE(E165," ",""),"0",""),"-",""))+LEN(SUBSTITUTE(SUBSTITUTE(SUBSTITUTE(F165," ",""),"0",""),"-",""))&lt;LEN(SUBSTITUTE(SUBSTITUTE(SUBSTITUTE(B165," ",""),"0",""),"-",""))+LEN(SUBSTITUTE(SUBSTITUTE(SUBSTITUTE(C165," ",""),"0",""),"-","")))*1),0)</f>
      </c>
      <c r="D169" s="14" t="str">
        <f>IF(OR(COUNTA(B164,C164,E164,F164)&gt;0,OR(D164="X",D164="x")),IF(OR(D164="X",D164="x"),1,0),0)+IF(OR(COUNTA(B165,C165,E165,F165)&gt;0,OR(D165="X",D165="x")),IF(OR(D165="X",D165="x"),1,0),0)</f>
      </c>
      <c r="E169" s="14" t="str">
        <f>LEN(SUBSTITUTE(SUBSTITUTE(SUBSTITUTE(E164," ",""),"0",""),"-",""))+LEN(SUBSTITUTE(SUBSTITUTE(SUBSTITUTE(F164," ",""),"0",""),"-",""))+LEN(SUBSTITUTE(SUBSTITUTE(SUBSTITUTE(E165," ",""),"0",""),"-",""))+LEN(SUBSTITUTE(SUBSTITUTE(SUBSTITUTE(F165," ",""),"0",""),"-",""))</f>
      </c>
      <c r="F169" s="14" t="str">
        <f>LEN(SUBSTITUTE(SUBSTITUTE(SUBSTITUTE(B164," ",""),"0",""),"-",""))+LEN(SUBSTITUTE(SUBSTITUTE(SUBSTITUTE(C164," ",""),"0",""),"-",""))+LEN(SUBSTITUTE(SUBSTITUTE(SUBSTITUTE(B165," ",""),"0",""),"-",""))+LEN(SUBSTITUTE(SUBSTITUTE(SUBSTITUTE(C165," ",""),"0",""),"-",""))</f>
      </c>
      <c r="I169" s="14" t="str">
        <f>data!$B$80</f>
      </c>
      <c r="J169" s="14" t="str">
        <f>IF(OR(COUNTA(J164,K164,M164,N164)&gt;0,OR(L164="X",L164="x")),IF(OR(L164="X",L164="x"),0,(LEN(SUBSTITUTE(SUBSTITUTE(SUBSTITUTE(M164," ",""),"0",""),"-",""))+LEN(SUBSTITUTE(SUBSTITUTE(SUBSTITUTE(N164," ",""),"0",""),"-",""))&gt;LEN(SUBSTITUTE(SUBSTITUTE(SUBSTITUTE(J164," ",""),"0",""),"-",""))+LEN(SUBSTITUTE(SUBSTITUTE(SUBSTITUTE(K164," ",""),"0",""),"-","")))*1),0)+IF(OR(COUNTA(J165,K165,M165,N165)&gt;0,OR(L165="X",L165="x")),IF(OR(L165="X",L165="x"),0,(LEN(SUBSTITUTE(SUBSTITUTE(SUBSTITUTE(M165," ",""),"0",""),"-",""))+LEN(SUBSTITUTE(SUBSTITUTE(SUBSTITUTE(N165," ",""),"0",""),"-",""))&gt;LEN(SUBSTITUTE(SUBSTITUTE(SUBSTITUTE(J165," ",""),"0",""),"-",""))+LEN(SUBSTITUTE(SUBSTITUTE(SUBSTITUTE(K165," ",""),"0",""),"-","")))*1),0)</f>
      </c>
      <c r="K169" s="14" t="str">
        <f>IF(OR(COUNTA(J164,K164,M164,N164)&gt;0,OR(L164="X",L164="x")),IF(OR(L164="X",L164="x"),0,(LEN(SUBSTITUTE(SUBSTITUTE(SUBSTITUTE(M164," ",""),"0",""),"-",""))+LEN(SUBSTITUTE(SUBSTITUTE(SUBSTITUTE(N164," ",""),"0",""),"-",""))&lt;LEN(SUBSTITUTE(SUBSTITUTE(SUBSTITUTE(J164," ",""),"0",""),"-",""))+LEN(SUBSTITUTE(SUBSTITUTE(SUBSTITUTE(K164," ",""),"0",""),"-","")))*1),0)+IF(OR(COUNTA(J165,K165,M165,N165)&gt;0,OR(L165="X",L165="x")),IF(OR(L165="X",L165="x"),0,(LEN(SUBSTITUTE(SUBSTITUTE(SUBSTITUTE(M165," ",""),"0",""),"-",""))+LEN(SUBSTITUTE(SUBSTITUTE(SUBSTITUTE(N165," ",""),"0",""),"-",""))&lt;LEN(SUBSTITUTE(SUBSTITUTE(SUBSTITUTE(J165," ",""),"0",""),"-",""))+LEN(SUBSTITUTE(SUBSTITUTE(SUBSTITUTE(K165," ",""),"0",""),"-","")))*1),0)</f>
      </c>
      <c r="L169" s="14" t="str">
        <f>IF(OR(COUNTA(J164,K164,M164,N164)&gt;0,OR(L164="X",L164="x")),IF(OR(L164="X",L164="x"),1,0),0)+IF(OR(COUNTA(J165,K165,M165,N165)&gt;0,OR(L165="X",L165="x")),IF(OR(L165="X",L165="x"),1,0),0)</f>
      </c>
      <c r="M169" s="14" t="str">
        <f>LEN(SUBSTITUTE(SUBSTITUTE(SUBSTITUTE(M164," ",""),"0",""),"-",""))+LEN(SUBSTITUTE(SUBSTITUTE(SUBSTITUTE(N164," ",""),"0",""),"-",""))+LEN(SUBSTITUTE(SUBSTITUTE(SUBSTITUTE(M165," ",""),"0",""),"-",""))+LEN(SUBSTITUTE(SUBSTITUTE(SUBSTITUTE(N165," ",""),"0",""),"-",""))</f>
      </c>
      <c r="N169" s="14" t="str">
        <f>LEN(SUBSTITUTE(SUBSTITUTE(SUBSTITUTE(J164," ",""),"0",""),"-",""))+LEN(SUBSTITUTE(SUBSTITUTE(SUBSTITUTE(K164," ",""),"0",""),"-",""))+LEN(SUBSTITUTE(SUBSTITUTE(SUBSTITUTE(J165," ",""),"0",""),"-",""))+LEN(SUBSTITUTE(SUBSTITUTE(SUBSTITUTE(K165," ",""),"0",""),"-",""))</f>
      </c>
    </row>
    <row r="170">
      <c r="A170" s="14" t="str">
        <f>data!$B$34</f>
      </c>
      <c r="B170" s="14" t="str">
        <f>IF(OR(COUNTA(B164,C164,E164,F164)&gt;0,OR(D164="X",D164="x")),IF(OR(D164="X",D164="x"),0,(LEN(SUBSTITUTE(SUBSTITUTE(SUBSTITUTE(B164," ",""),"0",""),"-",""))+LEN(SUBSTITUTE(SUBSTITUTE(SUBSTITUTE(C164," ",""),"0",""),"-",""))&gt;LEN(SUBSTITUTE(SUBSTITUTE(SUBSTITUTE(E164," ",""),"0",""),"-",""))+LEN(SUBSTITUTE(SUBSTITUTE(SUBSTITUTE(F164," ",""),"0",""),"-","")))*1),0)+IF(OR(COUNTA(B166,C166,E166,F166)&gt;0,OR(D166="X",D166="x")),IF(OR(D166="X",D166="x"),0,(LEN(SUBSTITUTE(SUBSTITUTE(SUBSTITUTE(E166," ",""),"0",""),"-",""))+LEN(SUBSTITUTE(SUBSTITUTE(SUBSTITUTE(F166," ",""),"0",""),"-",""))&gt;LEN(SUBSTITUTE(SUBSTITUTE(SUBSTITUTE(B166," ",""),"0",""),"-",""))+LEN(SUBSTITUTE(SUBSTITUTE(SUBSTITUTE(C166," ",""),"0",""),"-","")))*1),0)</f>
      </c>
      <c r="C170" s="14" t="str">
        <f>IF(OR(COUNTA(B164,C164,E164,F164)&gt;0,OR(D164="X",D164="x")),IF(OR(D164="X",D164="x"),0,(LEN(SUBSTITUTE(SUBSTITUTE(SUBSTITUTE(B164," ",""),"0",""),"-",""))+LEN(SUBSTITUTE(SUBSTITUTE(SUBSTITUTE(C164," ",""),"0",""),"-",""))&lt;LEN(SUBSTITUTE(SUBSTITUTE(SUBSTITUTE(E164," ",""),"0",""),"-",""))+LEN(SUBSTITUTE(SUBSTITUTE(SUBSTITUTE(F164," ",""),"0",""),"-","")))*1),0)+IF(OR(COUNTA(B166,C166,E166,F166)&gt;0,OR(D166="X",D166="x")),IF(OR(D166="X",D166="x"),0,(LEN(SUBSTITUTE(SUBSTITUTE(SUBSTITUTE(E166," ",""),"0",""),"-",""))+LEN(SUBSTITUTE(SUBSTITUTE(SUBSTITUTE(F166," ",""),"0",""),"-",""))&lt;LEN(SUBSTITUTE(SUBSTITUTE(SUBSTITUTE(B166," ",""),"0",""),"-",""))+LEN(SUBSTITUTE(SUBSTITUTE(SUBSTITUTE(C166," ",""),"0",""),"-","")))*1),0)</f>
      </c>
      <c r="D170" s="14" t="str">
        <f>IF(OR(COUNTA(B164,C164,E164,F164)&gt;0,OR(D164="X",D164="x")),IF(OR(D164="X",D164="x"),1,0),0)+IF(OR(COUNTA(B166,C166,E166,F166)&gt;0,OR(D166="X",D166="x")),IF(OR(D166="X",D166="x"),1,0),0)</f>
      </c>
      <c r="E170" s="14" t="str">
        <f>LEN(SUBSTITUTE(SUBSTITUTE(SUBSTITUTE(B164," ",""),"0",""),"-",""))+LEN(SUBSTITUTE(SUBSTITUTE(SUBSTITUTE(C164," ",""),"0",""),"-",""))+LEN(SUBSTITUTE(SUBSTITUTE(SUBSTITUTE(E166," ",""),"0",""),"-",""))+LEN(SUBSTITUTE(SUBSTITUTE(SUBSTITUTE(F166," ",""),"0",""),"-",""))</f>
      </c>
      <c r="F170" s="14" t="str">
        <f>LEN(SUBSTITUTE(SUBSTITUTE(SUBSTITUTE(E164," ",""),"0",""),"-",""))+LEN(SUBSTITUTE(SUBSTITUTE(SUBSTITUTE(F164," ",""),"0",""),"-",""))+LEN(SUBSTITUTE(SUBSTITUTE(SUBSTITUTE(B166," ",""),"0",""),"-",""))+LEN(SUBSTITUTE(SUBSTITUTE(SUBSTITUTE(C166," ",""),"0",""),"-",""))</f>
      </c>
      <c r="I170" s="14" t="str">
        <f>data!$B$81</f>
      </c>
      <c r="J170" s="14" t="str">
        <f>IF(OR(COUNTA(J164,K164,M164,N164)&gt;0,OR(L164="X",L164="x")),IF(OR(L164="X",L164="x"),0,(LEN(SUBSTITUTE(SUBSTITUTE(SUBSTITUTE(J164," ",""),"0",""),"-",""))+LEN(SUBSTITUTE(SUBSTITUTE(SUBSTITUTE(K164," ",""),"0",""),"-",""))&gt;LEN(SUBSTITUTE(SUBSTITUTE(SUBSTITUTE(M164," ",""),"0",""),"-",""))+LEN(SUBSTITUTE(SUBSTITUTE(SUBSTITUTE(N164," ",""),"0",""),"-","")))*1),0)+IF(OR(COUNTA(J166,K166,M166,N166)&gt;0,OR(L166="X",L166="x")),IF(OR(L166="X",L166="x"),0,(LEN(SUBSTITUTE(SUBSTITUTE(SUBSTITUTE(M166," ",""),"0",""),"-",""))+LEN(SUBSTITUTE(SUBSTITUTE(SUBSTITUTE(N166," ",""),"0",""),"-",""))&gt;LEN(SUBSTITUTE(SUBSTITUTE(SUBSTITUTE(J166," ",""),"0",""),"-",""))+LEN(SUBSTITUTE(SUBSTITUTE(SUBSTITUTE(K166," ",""),"0",""),"-","")))*1),0)</f>
      </c>
      <c r="K170" s="14" t="str">
        <f>IF(OR(COUNTA(J164,K164,M164,N164)&gt;0,OR(L164="X",L164="x")),IF(OR(L164="X",L164="x"),0,(LEN(SUBSTITUTE(SUBSTITUTE(SUBSTITUTE(J164," ",""),"0",""),"-",""))+LEN(SUBSTITUTE(SUBSTITUTE(SUBSTITUTE(K164," ",""),"0",""),"-",""))&lt;LEN(SUBSTITUTE(SUBSTITUTE(SUBSTITUTE(M164," ",""),"0",""),"-",""))+LEN(SUBSTITUTE(SUBSTITUTE(SUBSTITUTE(N164," ",""),"0",""),"-","")))*1),0)+IF(OR(COUNTA(J166,K166,M166,N166)&gt;0,OR(L166="X",L166="x")),IF(OR(L166="X",L166="x"),0,(LEN(SUBSTITUTE(SUBSTITUTE(SUBSTITUTE(M166," ",""),"0",""),"-",""))+LEN(SUBSTITUTE(SUBSTITUTE(SUBSTITUTE(N166," ",""),"0",""),"-",""))&lt;LEN(SUBSTITUTE(SUBSTITUTE(SUBSTITUTE(J166," ",""),"0",""),"-",""))+LEN(SUBSTITUTE(SUBSTITUTE(SUBSTITUTE(K166," ",""),"0",""),"-","")))*1),0)</f>
      </c>
      <c r="L170" s="14" t="str">
        <f>IF(OR(COUNTA(J164,K164,M164,N164)&gt;0,OR(L164="X",L164="x")),IF(OR(L164="X",L164="x"),1,0),0)+IF(OR(COUNTA(J166,K166,M166,N166)&gt;0,OR(L166="X",L166="x")),IF(OR(L166="X",L166="x"),1,0),0)</f>
      </c>
      <c r="M170" s="14" t="str">
        <f>LEN(SUBSTITUTE(SUBSTITUTE(SUBSTITUTE(J164," ",""),"0",""),"-",""))+LEN(SUBSTITUTE(SUBSTITUTE(SUBSTITUTE(K164," ",""),"0",""),"-",""))+LEN(SUBSTITUTE(SUBSTITUTE(SUBSTITUTE(M166," ",""),"0",""),"-",""))+LEN(SUBSTITUTE(SUBSTITUTE(SUBSTITUTE(N166," ",""),"0",""),"-",""))</f>
      </c>
      <c r="N170" s="14" t="str">
        <f>LEN(SUBSTITUTE(SUBSTITUTE(SUBSTITUTE(M164," ",""),"0",""),"-",""))+LEN(SUBSTITUTE(SUBSTITUTE(SUBSTITUTE(N164," ",""),"0",""),"-",""))+LEN(SUBSTITUTE(SUBSTITUTE(SUBSTITUTE(J166," ",""),"0",""),"-",""))+LEN(SUBSTITUTE(SUBSTITUTE(SUBSTITUTE(K166," ",""),"0",""),"-",""))</f>
      </c>
    </row>
    <row r="171">
      <c r="A171" s="14" t="str">
        <f>data!$B$35</f>
      </c>
      <c r="B171" s="14" t="str">
        <f>IF(OR(COUNTA(B165,C165,E165,F165)&gt;0,OR(D165="X",D165="x")),IF(OR(D165="X",D165="x"),0,(LEN(SUBSTITUTE(SUBSTITUTE(SUBSTITUTE(B165," ",""),"0",""),"-",""))+LEN(SUBSTITUTE(SUBSTITUTE(SUBSTITUTE(C165," ",""),"0",""),"-",""))&gt;LEN(SUBSTITUTE(SUBSTITUTE(SUBSTITUTE(E165," ",""),"0",""),"-",""))+LEN(SUBSTITUTE(SUBSTITUTE(SUBSTITUTE(F165," ",""),"0",""),"-","")))*1),0)+IF(OR(COUNTA(B166,C166,E166,F166)&gt;0,OR(D166="X",D166="x")),IF(OR(D166="X",D166="x"),0,(LEN(SUBSTITUTE(SUBSTITUTE(SUBSTITUTE(B166," ",""),"0",""),"-",""))+LEN(SUBSTITUTE(SUBSTITUTE(SUBSTITUTE(C166," ",""),"0",""),"-",""))&gt;LEN(SUBSTITUTE(SUBSTITUTE(SUBSTITUTE(E166," ",""),"0",""),"-",""))+LEN(SUBSTITUTE(SUBSTITUTE(SUBSTITUTE(F166," ",""),"0",""),"-","")))*1),0)</f>
      </c>
      <c r="C171" s="14" t="str">
        <f>IF(OR(COUNTA(B165,C165,E165,F165)&gt;0,OR(D165="X",D165="x")),IF(OR(D165="X",D165="x"),0,(LEN(SUBSTITUTE(SUBSTITUTE(SUBSTITUTE(B165," ",""),"0",""),"-",""))+LEN(SUBSTITUTE(SUBSTITUTE(SUBSTITUTE(C165," ",""),"0",""),"-",""))&lt;LEN(SUBSTITUTE(SUBSTITUTE(SUBSTITUTE(E165," ",""),"0",""),"-",""))+LEN(SUBSTITUTE(SUBSTITUTE(SUBSTITUTE(F165," ",""),"0",""),"-","")))*1),0)+IF(OR(COUNTA(B166,C166,E166,F166)&gt;0,OR(D166="X",D166="x")),IF(OR(D166="X",D166="x"),0,(LEN(SUBSTITUTE(SUBSTITUTE(SUBSTITUTE(B166," ",""),"0",""),"-",""))+LEN(SUBSTITUTE(SUBSTITUTE(SUBSTITUTE(C166," ",""),"0",""),"-",""))&lt;LEN(SUBSTITUTE(SUBSTITUTE(SUBSTITUTE(E166," ",""),"0",""),"-",""))+LEN(SUBSTITUTE(SUBSTITUTE(SUBSTITUTE(F166," ",""),"0",""),"-","")))*1),0)</f>
      </c>
      <c r="D171" s="14" t="str">
        <f>IF(OR(COUNTA(B165,C165,E165,F165)&gt;0,OR(D165="X",D165="x")),IF(OR(D165="X",D165="x"),1,0),0)+IF(OR(COUNTA(B166,C166,E166,F166)&gt;0,OR(D166="X",D166="x")),IF(OR(D166="X",D166="x"),1,0),0)</f>
      </c>
      <c r="E171" s="14" t="str">
        <f>LEN(SUBSTITUTE(SUBSTITUTE(SUBSTITUTE(B165," ",""),"0",""),"-",""))+LEN(SUBSTITUTE(SUBSTITUTE(SUBSTITUTE(C165," ",""),"0",""),"-",""))+LEN(SUBSTITUTE(SUBSTITUTE(SUBSTITUTE(B166," ",""),"0",""),"-",""))+LEN(SUBSTITUTE(SUBSTITUTE(SUBSTITUTE(C166," ",""),"0",""),"-",""))</f>
      </c>
      <c r="F171" s="14" t="str">
        <f>LEN(SUBSTITUTE(SUBSTITUTE(SUBSTITUTE(E165," ",""),"0",""),"-",""))+LEN(SUBSTITUTE(SUBSTITUTE(SUBSTITUTE(F165," ",""),"0",""),"-",""))+LEN(SUBSTITUTE(SUBSTITUTE(SUBSTITUTE(E166," ",""),"0",""),"-",""))+LEN(SUBSTITUTE(SUBSTITUTE(SUBSTITUTE(F166," ",""),"0",""),"-",""))</f>
      </c>
      <c r="I171" s="14" t="str">
        <f>data!$B$82</f>
      </c>
      <c r="J171" s="14" t="str">
        <f>IF(OR(COUNTA(J165,K165,M165,N165)&gt;0,OR(L165="X",L165="x")),IF(OR(L165="X",L165="x"),0,(LEN(SUBSTITUTE(SUBSTITUTE(SUBSTITUTE(J165," ",""),"0",""),"-",""))+LEN(SUBSTITUTE(SUBSTITUTE(SUBSTITUTE(K165," ",""),"0",""),"-",""))&gt;LEN(SUBSTITUTE(SUBSTITUTE(SUBSTITUTE(M165," ",""),"0",""),"-",""))+LEN(SUBSTITUTE(SUBSTITUTE(SUBSTITUTE(N165," ",""),"0",""),"-","")))*1),0)+IF(OR(COUNTA(J166,K166,M166,N166)&gt;0,OR(L166="X",L166="x")),IF(OR(L166="X",L166="x"),0,(LEN(SUBSTITUTE(SUBSTITUTE(SUBSTITUTE(J166," ",""),"0",""),"-",""))+LEN(SUBSTITUTE(SUBSTITUTE(SUBSTITUTE(K166," ",""),"0",""),"-",""))&gt;LEN(SUBSTITUTE(SUBSTITUTE(SUBSTITUTE(M166," ",""),"0",""),"-",""))+LEN(SUBSTITUTE(SUBSTITUTE(SUBSTITUTE(N166," ",""),"0",""),"-","")))*1),0)</f>
      </c>
      <c r="K171" s="14" t="str">
        <f>IF(OR(COUNTA(J165,K165,M165,N165)&gt;0,OR(L165="X",L165="x")),IF(OR(L165="X",L165="x"),0,(LEN(SUBSTITUTE(SUBSTITUTE(SUBSTITUTE(J165," ",""),"0",""),"-",""))+LEN(SUBSTITUTE(SUBSTITUTE(SUBSTITUTE(K165," ",""),"0",""),"-",""))&lt;LEN(SUBSTITUTE(SUBSTITUTE(SUBSTITUTE(M165," ",""),"0",""),"-",""))+LEN(SUBSTITUTE(SUBSTITUTE(SUBSTITUTE(N165," ",""),"0",""),"-","")))*1),0)+IF(OR(COUNTA(J166,K166,M166,N166)&gt;0,OR(L166="X",L166="x")),IF(OR(L166="X",L166="x"),0,(LEN(SUBSTITUTE(SUBSTITUTE(SUBSTITUTE(J166," ",""),"0",""),"-",""))+LEN(SUBSTITUTE(SUBSTITUTE(SUBSTITUTE(K166," ",""),"0",""),"-",""))&lt;LEN(SUBSTITUTE(SUBSTITUTE(SUBSTITUTE(M166," ",""),"0",""),"-",""))+LEN(SUBSTITUTE(SUBSTITUTE(SUBSTITUTE(N166," ",""),"0",""),"-","")))*1),0)</f>
      </c>
      <c r="L171" s="14" t="str">
        <f>IF(OR(COUNTA(J165,K165,M165,N165)&gt;0,OR(L165="X",L165="x")),IF(OR(L165="X",L165="x"),1,0),0)+IF(OR(COUNTA(J166,K166,M166,N166)&gt;0,OR(L166="X",L166="x")),IF(OR(L166="X",L166="x"),1,0),0)</f>
      </c>
      <c r="M171" s="14" t="str">
        <f>LEN(SUBSTITUTE(SUBSTITUTE(SUBSTITUTE(J165," ",""),"0",""),"-",""))+LEN(SUBSTITUTE(SUBSTITUTE(SUBSTITUTE(K165," ",""),"0",""),"-",""))+LEN(SUBSTITUTE(SUBSTITUTE(SUBSTITUTE(J166," ",""),"0",""),"-",""))+LEN(SUBSTITUTE(SUBSTITUTE(SUBSTITUTE(K166," ",""),"0",""),"-",""))</f>
      </c>
      <c r="N171" s="14" t="str">
        <f>LEN(SUBSTITUTE(SUBSTITUTE(SUBSTITUTE(M165," ",""),"0",""),"-",""))+LEN(SUBSTITUTE(SUBSTITUTE(SUBSTITUTE(N165," ",""),"0",""),"-",""))+LEN(SUBSTITUTE(SUBSTITUTE(SUBSTITUTE(M166," ",""),"0",""),"-",""))+LEN(SUBSTITUTE(SUBSTITUTE(SUBSTITUTE(N166," ",""),"0",""),"-",""))</f>
      </c>
    </row>
    <row r="173">
      <c r="F173" t="s">
        <v>248</v>
      </c>
      <c r="G173" s="19"/>
      <c r="N173" t="s">
        <v>248</v>
      </c>
      <c r="O173" s="19"/>
    </row>
    <row r="174">
      <c r="F174" t="s">
        <v>249</v>
      </c>
      <c r="G174" s="19"/>
      <c r="N174" t="s">
        <v>249</v>
      </c>
      <c r="O174" s="19"/>
    </row>
    <row r="175">
      <c r="F175" t="s">
        <v>250</v>
      </c>
      <c r="G175" s="19"/>
      <c r="N175" t="s">
        <v>250</v>
      </c>
      <c r="O175" s="19"/>
    </row>
    <row r="178">
      <c r="A178" s="13" t="str">
        <f>data!$A$38</f>
      </c>
      <c r="B178" s="13"/>
      <c r="C178" s="13"/>
      <c r="D178" s="13"/>
      <c r="E178" s="13"/>
      <c r="F178" s="13"/>
      <c r="G178" s="13"/>
      <c r="I178" s="13" t="str">
        <f>data!$A$85</f>
      </c>
      <c r="J178" s="13"/>
      <c r="K178" s="13"/>
      <c r="L178" s="13"/>
      <c r="M178" s="13"/>
      <c r="N178" s="13"/>
      <c r="O178" s="13"/>
    </row>
    <row r="179">
      <c r="A179" s="17" t="s">
        <v>239</v>
      </c>
      <c r="D179" s="14" t="s">
        <v>240</v>
      </c>
      <c r="G179" s="16" t="s">
        <v>241</v>
      </c>
      <c r="I179" s="17" t="s">
        <v>239</v>
      </c>
      <c r="L179" s="14" t="s">
        <v>240</v>
      </c>
      <c r="O179" s="16" t="s">
        <v>241</v>
      </c>
    </row>
    <row r="180">
      <c r="A180" s="14" t="str">
        <f>data!$B$37</f>
      </c>
      <c r="B180" s="18"/>
      <c r="C180" s="18"/>
      <c r="D180" s="18"/>
      <c r="E180" s="18"/>
      <c r="F180" s="18"/>
      <c r="G180" s="14" t="str">
        <f>data!$B$36</f>
      </c>
      <c r="I180" s="14" t="str">
        <f>data!$B$84</f>
      </c>
      <c r="J180" s="18"/>
      <c r="K180" s="18"/>
      <c r="L180" s="18"/>
      <c r="M180" s="18"/>
      <c r="N180" s="18"/>
      <c r="O180" s="14" t="str">
        <f>data!$B$83</f>
      </c>
    </row>
    <row r="181">
      <c r="A181" s="14" t="str">
        <f>data!$B$38</f>
      </c>
      <c r="B181" s="18"/>
      <c r="C181" s="18"/>
      <c r="D181" s="18"/>
      <c r="E181" s="18"/>
      <c r="F181" s="18"/>
      <c r="G181" s="14" t="str">
        <f>data!$B$36</f>
      </c>
      <c r="I181" s="14" t="str">
        <f>data!$B$85</f>
      </c>
      <c r="J181" s="18"/>
      <c r="K181" s="18"/>
      <c r="L181" s="18"/>
      <c r="M181" s="18"/>
      <c r="N181" s="18"/>
      <c r="O181" s="14" t="str">
        <f>data!$B$83</f>
      </c>
    </row>
    <row r="182">
      <c r="A182" s="14" t="str">
        <f>data!$B$38</f>
      </c>
      <c r="B182" s="18"/>
      <c r="C182" s="18"/>
      <c r="D182" s="18"/>
      <c r="E182" s="18"/>
      <c r="F182" s="18"/>
      <c r="G182" s="14" t="str">
        <f>data!$B$37</f>
      </c>
      <c r="I182" s="14" t="str">
        <f>data!$B$85</f>
      </c>
      <c r="J182" s="18"/>
      <c r="K182" s="18"/>
      <c r="L182" s="18"/>
      <c r="M182" s="18"/>
      <c r="N182" s="18"/>
      <c r="O182" s="14" t="str">
        <f>data!$B$84</f>
      </c>
    </row>
    <row r="184">
      <c r="A184" s="13" t="s">
        <v>242</v>
      </c>
      <c r="B184" s="13" t="s">
        <v>243</v>
      </c>
      <c r="C184" s="13" t="s">
        <v>244</v>
      </c>
      <c r="D184" s="13" t="s">
        <v>245</v>
      </c>
      <c r="E184" s="13" t="s">
        <v>246</v>
      </c>
      <c r="F184" s="13" t="s">
        <v>247</v>
      </c>
      <c r="I184" s="13" t="s">
        <v>242</v>
      </c>
      <c r="J184" s="13" t="s">
        <v>243</v>
      </c>
      <c r="K184" s="13" t="s">
        <v>244</v>
      </c>
      <c r="L184" s="13" t="s">
        <v>245</v>
      </c>
      <c r="M184" s="13" t="s">
        <v>246</v>
      </c>
      <c r="N184" s="13" t="s">
        <v>247</v>
      </c>
    </row>
    <row r="185">
      <c r="A185" s="14" t="str">
        <f>data!$B$36</f>
      </c>
      <c r="B185" s="14" t="str">
        <f>IF(OR(COUNTA(B180,C180,E180,F180)&gt;0,OR(D180="X",D180="x")),IF(OR(D180="X",D180="x"),0,(LEN(SUBSTITUTE(SUBSTITUTE(SUBSTITUTE(E180," ",""),"0",""),"-",""))+LEN(SUBSTITUTE(SUBSTITUTE(SUBSTITUTE(F180," ",""),"0",""),"-",""))&gt;LEN(SUBSTITUTE(SUBSTITUTE(SUBSTITUTE(B180," ",""),"0",""),"-",""))+LEN(SUBSTITUTE(SUBSTITUTE(SUBSTITUTE(C180," ",""),"0",""),"-","")))*1),0)+IF(OR(COUNTA(B181,C181,E181,F181)&gt;0,OR(D181="X",D181="x")),IF(OR(D181="X",D181="x"),0,(LEN(SUBSTITUTE(SUBSTITUTE(SUBSTITUTE(E181," ",""),"0",""),"-",""))+LEN(SUBSTITUTE(SUBSTITUTE(SUBSTITUTE(F181," ",""),"0",""),"-",""))&gt;LEN(SUBSTITUTE(SUBSTITUTE(SUBSTITUTE(B181," ",""),"0",""),"-",""))+LEN(SUBSTITUTE(SUBSTITUTE(SUBSTITUTE(C181," ",""),"0",""),"-","")))*1),0)</f>
      </c>
      <c r="C185" s="14" t="str">
        <f>IF(OR(COUNTA(B180,C180,E180,F180)&gt;0,OR(D180="X",D180="x")),IF(OR(D180="X",D180="x"),0,(LEN(SUBSTITUTE(SUBSTITUTE(SUBSTITUTE(E180," ",""),"0",""),"-",""))+LEN(SUBSTITUTE(SUBSTITUTE(SUBSTITUTE(F180," ",""),"0",""),"-",""))&lt;LEN(SUBSTITUTE(SUBSTITUTE(SUBSTITUTE(B180," ",""),"0",""),"-",""))+LEN(SUBSTITUTE(SUBSTITUTE(SUBSTITUTE(C180," ",""),"0",""),"-","")))*1),0)+IF(OR(COUNTA(B181,C181,E181,F181)&gt;0,OR(D181="X",D181="x")),IF(OR(D181="X",D181="x"),0,(LEN(SUBSTITUTE(SUBSTITUTE(SUBSTITUTE(E181," ",""),"0",""),"-",""))+LEN(SUBSTITUTE(SUBSTITUTE(SUBSTITUTE(F181," ",""),"0",""),"-",""))&lt;LEN(SUBSTITUTE(SUBSTITUTE(SUBSTITUTE(B181," ",""),"0",""),"-",""))+LEN(SUBSTITUTE(SUBSTITUTE(SUBSTITUTE(C181," ",""),"0",""),"-","")))*1),0)</f>
      </c>
      <c r="D185" s="14" t="str">
        <f>IF(OR(COUNTA(B180,C180,E180,F180)&gt;0,OR(D180="X",D180="x")),IF(OR(D180="X",D180="x"),1,0),0)+IF(OR(COUNTA(B181,C181,E181,F181)&gt;0,OR(D181="X",D181="x")),IF(OR(D181="X",D181="x"),1,0),0)</f>
      </c>
      <c r="E185" s="14" t="str">
        <f>LEN(SUBSTITUTE(SUBSTITUTE(SUBSTITUTE(E180," ",""),"0",""),"-",""))+LEN(SUBSTITUTE(SUBSTITUTE(SUBSTITUTE(F180," ",""),"0",""),"-",""))+LEN(SUBSTITUTE(SUBSTITUTE(SUBSTITUTE(E181," ",""),"0",""),"-",""))+LEN(SUBSTITUTE(SUBSTITUTE(SUBSTITUTE(F181," ",""),"0",""),"-",""))</f>
      </c>
      <c r="F185" s="14" t="str">
        <f>LEN(SUBSTITUTE(SUBSTITUTE(SUBSTITUTE(B180," ",""),"0",""),"-",""))+LEN(SUBSTITUTE(SUBSTITUTE(SUBSTITUTE(C180," ",""),"0",""),"-",""))+LEN(SUBSTITUTE(SUBSTITUTE(SUBSTITUTE(B181," ",""),"0",""),"-",""))+LEN(SUBSTITUTE(SUBSTITUTE(SUBSTITUTE(C181," ",""),"0",""),"-",""))</f>
      </c>
      <c r="I185" s="14" t="str">
        <f>data!$B$83</f>
      </c>
      <c r="J185" s="14" t="str">
        <f>IF(OR(COUNTA(J180,K180,M180,N180)&gt;0,OR(L180="X",L180="x")),IF(OR(L180="X",L180="x"),0,(LEN(SUBSTITUTE(SUBSTITUTE(SUBSTITUTE(M180," ",""),"0",""),"-",""))+LEN(SUBSTITUTE(SUBSTITUTE(SUBSTITUTE(N180," ",""),"0",""),"-",""))&gt;LEN(SUBSTITUTE(SUBSTITUTE(SUBSTITUTE(J180," ",""),"0",""),"-",""))+LEN(SUBSTITUTE(SUBSTITUTE(SUBSTITUTE(K180," ",""),"0",""),"-","")))*1),0)+IF(OR(COUNTA(J181,K181,M181,N181)&gt;0,OR(L181="X",L181="x")),IF(OR(L181="X",L181="x"),0,(LEN(SUBSTITUTE(SUBSTITUTE(SUBSTITUTE(M181," ",""),"0",""),"-",""))+LEN(SUBSTITUTE(SUBSTITUTE(SUBSTITUTE(N181," ",""),"0",""),"-",""))&gt;LEN(SUBSTITUTE(SUBSTITUTE(SUBSTITUTE(J181," ",""),"0",""),"-",""))+LEN(SUBSTITUTE(SUBSTITUTE(SUBSTITUTE(K181," ",""),"0",""),"-","")))*1),0)</f>
      </c>
      <c r="K185" s="14" t="str">
        <f>IF(OR(COUNTA(J180,K180,M180,N180)&gt;0,OR(L180="X",L180="x")),IF(OR(L180="X",L180="x"),0,(LEN(SUBSTITUTE(SUBSTITUTE(SUBSTITUTE(M180," ",""),"0",""),"-",""))+LEN(SUBSTITUTE(SUBSTITUTE(SUBSTITUTE(N180," ",""),"0",""),"-",""))&lt;LEN(SUBSTITUTE(SUBSTITUTE(SUBSTITUTE(J180," ",""),"0",""),"-",""))+LEN(SUBSTITUTE(SUBSTITUTE(SUBSTITUTE(K180," ",""),"0",""),"-","")))*1),0)+IF(OR(COUNTA(J181,K181,M181,N181)&gt;0,OR(L181="X",L181="x")),IF(OR(L181="X",L181="x"),0,(LEN(SUBSTITUTE(SUBSTITUTE(SUBSTITUTE(M181," ",""),"0",""),"-",""))+LEN(SUBSTITUTE(SUBSTITUTE(SUBSTITUTE(N181," ",""),"0",""),"-",""))&lt;LEN(SUBSTITUTE(SUBSTITUTE(SUBSTITUTE(J181," ",""),"0",""),"-",""))+LEN(SUBSTITUTE(SUBSTITUTE(SUBSTITUTE(K181," ",""),"0",""),"-","")))*1),0)</f>
      </c>
      <c r="L185" s="14" t="str">
        <f>IF(OR(COUNTA(J180,K180,M180,N180)&gt;0,OR(L180="X",L180="x")),IF(OR(L180="X",L180="x"),1,0),0)+IF(OR(COUNTA(J181,K181,M181,N181)&gt;0,OR(L181="X",L181="x")),IF(OR(L181="X",L181="x"),1,0),0)</f>
      </c>
      <c r="M185" s="14" t="str">
        <f>LEN(SUBSTITUTE(SUBSTITUTE(SUBSTITUTE(M180," ",""),"0",""),"-",""))+LEN(SUBSTITUTE(SUBSTITUTE(SUBSTITUTE(N180," ",""),"0",""),"-",""))+LEN(SUBSTITUTE(SUBSTITUTE(SUBSTITUTE(M181," ",""),"0",""),"-",""))+LEN(SUBSTITUTE(SUBSTITUTE(SUBSTITUTE(N181," ",""),"0",""),"-",""))</f>
      </c>
      <c r="N185" s="14" t="str">
        <f>LEN(SUBSTITUTE(SUBSTITUTE(SUBSTITUTE(J180," ",""),"0",""),"-",""))+LEN(SUBSTITUTE(SUBSTITUTE(SUBSTITUTE(K180," ",""),"0",""),"-",""))+LEN(SUBSTITUTE(SUBSTITUTE(SUBSTITUTE(J181," ",""),"0",""),"-",""))+LEN(SUBSTITUTE(SUBSTITUTE(SUBSTITUTE(K181," ",""),"0",""),"-",""))</f>
      </c>
    </row>
    <row r="186">
      <c r="A186" s="14" t="str">
        <f>data!$B$37</f>
      </c>
      <c r="B186" s="14" t="str">
        <f>IF(OR(COUNTA(B180,C180,E180,F180)&gt;0,OR(D180="X",D180="x")),IF(OR(D180="X",D180="x"),0,(LEN(SUBSTITUTE(SUBSTITUTE(SUBSTITUTE(B180," ",""),"0",""),"-",""))+LEN(SUBSTITUTE(SUBSTITUTE(SUBSTITUTE(C180," ",""),"0",""),"-",""))&gt;LEN(SUBSTITUTE(SUBSTITUTE(SUBSTITUTE(E180," ",""),"0",""),"-",""))+LEN(SUBSTITUTE(SUBSTITUTE(SUBSTITUTE(F180," ",""),"0",""),"-","")))*1),0)+IF(OR(COUNTA(B182,C182,E182,F182)&gt;0,OR(D182="X",D182="x")),IF(OR(D182="X",D182="x"),0,(LEN(SUBSTITUTE(SUBSTITUTE(SUBSTITUTE(E182," ",""),"0",""),"-",""))+LEN(SUBSTITUTE(SUBSTITUTE(SUBSTITUTE(F182," ",""),"0",""),"-",""))&gt;LEN(SUBSTITUTE(SUBSTITUTE(SUBSTITUTE(B182," ",""),"0",""),"-",""))+LEN(SUBSTITUTE(SUBSTITUTE(SUBSTITUTE(C182," ",""),"0",""),"-","")))*1),0)</f>
      </c>
      <c r="C186" s="14" t="str">
        <f>IF(OR(COUNTA(B180,C180,E180,F180)&gt;0,OR(D180="X",D180="x")),IF(OR(D180="X",D180="x"),0,(LEN(SUBSTITUTE(SUBSTITUTE(SUBSTITUTE(B180," ",""),"0",""),"-",""))+LEN(SUBSTITUTE(SUBSTITUTE(SUBSTITUTE(C180," ",""),"0",""),"-",""))&lt;LEN(SUBSTITUTE(SUBSTITUTE(SUBSTITUTE(E180," ",""),"0",""),"-",""))+LEN(SUBSTITUTE(SUBSTITUTE(SUBSTITUTE(F180," ",""),"0",""),"-","")))*1),0)+IF(OR(COUNTA(B182,C182,E182,F182)&gt;0,OR(D182="X",D182="x")),IF(OR(D182="X",D182="x"),0,(LEN(SUBSTITUTE(SUBSTITUTE(SUBSTITUTE(E182," ",""),"0",""),"-",""))+LEN(SUBSTITUTE(SUBSTITUTE(SUBSTITUTE(F182," ",""),"0",""),"-",""))&lt;LEN(SUBSTITUTE(SUBSTITUTE(SUBSTITUTE(B182," ",""),"0",""),"-",""))+LEN(SUBSTITUTE(SUBSTITUTE(SUBSTITUTE(C182," ",""),"0",""),"-","")))*1),0)</f>
      </c>
      <c r="D186" s="14" t="str">
        <f>IF(OR(COUNTA(B180,C180,E180,F180)&gt;0,OR(D180="X",D180="x")),IF(OR(D180="X",D180="x"),1,0),0)+IF(OR(COUNTA(B182,C182,E182,F182)&gt;0,OR(D182="X",D182="x")),IF(OR(D182="X",D182="x"),1,0),0)</f>
      </c>
      <c r="E186" s="14" t="str">
        <f>LEN(SUBSTITUTE(SUBSTITUTE(SUBSTITUTE(B180," ",""),"0",""),"-",""))+LEN(SUBSTITUTE(SUBSTITUTE(SUBSTITUTE(C180," ",""),"0",""),"-",""))+LEN(SUBSTITUTE(SUBSTITUTE(SUBSTITUTE(E182," ",""),"0",""),"-",""))+LEN(SUBSTITUTE(SUBSTITUTE(SUBSTITUTE(F182," ",""),"0",""),"-",""))</f>
      </c>
      <c r="F186" s="14" t="str">
        <f>LEN(SUBSTITUTE(SUBSTITUTE(SUBSTITUTE(E180," ",""),"0",""),"-",""))+LEN(SUBSTITUTE(SUBSTITUTE(SUBSTITUTE(F180," ",""),"0",""),"-",""))+LEN(SUBSTITUTE(SUBSTITUTE(SUBSTITUTE(B182," ",""),"0",""),"-",""))+LEN(SUBSTITUTE(SUBSTITUTE(SUBSTITUTE(C182," ",""),"0",""),"-",""))</f>
      </c>
      <c r="I186" s="14" t="str">
        <f>data!$B$84</f>
      </c>
      <c r="J186" s="14" t="str">
        <f>IF(OR(COUNTA(J180,K180,M180,N180)&gt;0,OR(L180="X",L180="x")),IF(OR(L180="X",L180="x"),0,(LEN(SUBSTITUTE(SUBSTITUTE(SUBSTITUTE(J180," ",""),"0",""),"-",""))+LEN(SUBSTITUTE(SUBSTITUTE(SUBSTITUTE(K180," ",""),"0",""),"-",""))&gt;LEN(SUBSTITUTE(SUBSTITUTE(SUBSTITUTE(M180," ",""),"0",""),"-",""))+LEN(SUBSTITUTE(SUBSTITUTE(SUBSTITUTE(N180," ",""),"0",""),"-","")))*1),0)+IF(OR(COUNTA(J182,K182,M182,N182)&gt;0,OR(L182="X",L182="x")),IF(OR(L182="X",L182="x"),0,(LEN(SUBSTITUTE(SUBSTITUTE(SUBSTITUTE(M182," ",""),"0",""),"-",""))+LEN(SUBSTITUTE(SUBSTITUTE(SUBSTITUTE(N182," ",""),"0",""),"-",""))&gt;LEN(SUBSTITUTE(SUBSTITUTE(SUBSTITUTE(J182," ",""),"0",""),"-",""))+LEN(SUBSTITUTE(SUBSTITUTE(SUBSTITUTE(K182," ",""),"0",""),"-","")))*1),0)</f>
      </c>
      <c r="K186" s="14" t="str">
        <f>IF(OR(COUNTA(J180,K180,M180,N180)&gt;0,OR(L180="X",L180="x")),IF(OR(L180="X",L180="x"),0,(LEN(SUBSTITUTE(SUBSTITUTE(SUBSTITUTE(J180," ",""),"0",""),"-",""))+LEN(SUBSTITUTE(SUBSTITUTE(SUBSTITUTE(K180," ",""),"0",""),"-",""))&lt;LEN(SUBSTITUTE(SUBSTITUTE(SUBSTITUTE(M180," ",""),"0",""),"-",""))+LEN(SUBSTITUTE(SUBSTITUTE(SUBSTITUTE(N180," ",""),"0",""),"-","")))*1),0)+IF(OR(COUNTA(J182,K182,M182,N182)&gt;0,OR(L182="X",L182="x")),IF(OR(L182="X",L182="x"),0,(LEN(SUBSTITUTE(SUBSTITUTE(SUBSTITUTE(M182," ",""),"0",""),"-",""))+LEN(SUBSTITUTE(SUBSTITUTE(SUBSTITUTE(N182," ",""),"0",""),"-",""))&lt;LEN(SUBSTITUTE(SUBSTITUTE(SUBSTITUTE(J182," ",""),"0",""),"-",""))+LEN(SUBSTITUTE(SUBSTITUTE(SUBSTITUTE(K182," ",""),"0",""),"-","")))*1),0)</f>
      </c>
      <c r="L186" s="14" t="str">
        <f>IF(OR(COUNTA(J180,K180,M180,N180)&gt;0,OR(L180="X",L180="x")),IF(OR(L180="X",L180="x"),1,0),0)+IF(OR(COUNTA(J182,K182,M182,N182)&gt;0,OR(L182="X",L182="x")),IF(OR(L182="X",L182="x"),1,0),0)</f>
      </c>
      <c r="M186" s="14" t="str">
        <f>LEN(SUBSTITUTE(SUBSTITUTE(SUBSTITUTE(J180," ",""),"0",""),"-",""))+LEN(SUBSTITUTE(SUBSTITUTE(SUBSTITUTE(K180," ",""),"0",""),"-",""))+LEN(SUBSTITUTE(SUBSTITUTE(SUBSTITUTE(M182," ",""),"0",""),"-",""))+LEN(SUBSTITUTE(SUBSTITUTE(SUBSTITUTE(N182," ",""),"0",""),"-",""))</f>
      </c>
      <c r="N186" s="14" t="str">
        <f>LEN(SUBSTITUTE(SUBSTITUTE(SUBSTITUTE(M180," ",""),"0",""),"-",""))+LEN(SUBSTITUTE(SUBSTITUTE(SUBSTITUTE(N180," ",""),"0",""),"-",""))+LEN(SUBSTITUTE(SUBSTITUTE(SUBSTITUTE(J182," ",""),"0",""),"-",""))+LEN(SUBSTITUTE(SUBSTITUTE(SUBSTITUTE(K182," ",""),"0",""),"-",""))</f>
      </c>
    </row>
    <row r="187">
      <c r="A187" s="14" t="str">
        <f>data!$B$38</f>
      </c>
      <c r="B187" s="14" t="str">
        <f>IF(OR(COUNTA(B181,C181,E181,F181)&gt;0,OR(D181="X",D181="x")),IF(OR(D181="X",D181="x"),0,(LEN(SUBSTITUTE(SUBSTITUTE(SUBSTITUTE(B181," ",""),"0",""),"-",""))+LEN(SUBSTITUTE(SUBSTITUTE(SUBSTITUTE(C181," ",""),"0",""),"-",""))&gt;LEN(SUBSTITUTE(SUBSTITUTE(SUBSTITUTE(E181," ",""),"0",""),"-",""))+LEN(SUBSTITUTE(SUBSTITUTE(SUBSTITUTE(F181," ",""),"0",""),"-","")))*1),0)+IF(OR(COUNTA(B182,C182,E182,F182)&gt;0,OR(D182="X",D182="x")),IF(OR(D182="X",D182="x"),0,(LEN(SUBSTITUTE(SUBSTITUTE(SUBSTITUTE(B182," ",""),"0",""),"-",""))+LEN(SUBSTITUTE(SUBSTITUTE(SUBSTITUTE(C182," ",""),"0",""),"-",""))&gt;LEN(SUBSTITUTE(SUBSTITUTE(SUBSTITUTE(E182," ",""),"0",""),"-",""))+LEN(SUBSTITUTE(SUBSTITUTE(SUBSTITUTE(F182," ",""),"0",""),"-","")))*1),0)</f>
      </c>
      <c r="C187" s="14" t="str">
        <f>IF(OR(COUNTA(B181,C181,E181,F181)&gt;0,OR(D181="X",D181="x")),IF(OR(D181="X",D181="x"),0,(LEN(SUBSTITUTE(SUBSTITUTE(SUBSTITUTE(B181," ",""),"0",""),"-",""))+LEN(SUBSTITUTE(SUBSTITUTE(SUBSTITUTE(C181," ",""),"0",""),"-",""))&lt;LEN(SUBSTITUTE(SUBSTITUTE(SUBSTITUTE(E181," ",""),"0",""),"-",""))+LEN(SUBSTITUTE(SUBSTITUTE(SUBSTITUTE(F181," ",""),"0",""),"-","")))*1),0)+IF(OR(COUNTA(B182,C182,E182,F182)&gt;0,OR(D182="X",D182="x")),IF(OR(D182="X",D182="x"),0,(LEN(SUBSTITUTE(SUBSTITUTE(SUBSTITUTE(B182," ",""),"0",""),"-",""))+LEN(SUBSTITUTE(SUBSTITUTE(SUBSTITUTE(C182," ",""),"0",""),"-",""))&lt;LEN(SUBSTITUTE(SUBSTITUTE(SUBSTITUTE(E182," ",""),"0",""),"-",""))+LEN(SUBSTITUTE(SUBSTITUTE(SUBSTITUTE(F182," ",""),"0",""),"-","")))*1),0)</f>
      </c>
      <c r="D187" s="14" t="str">
        <f>IF(OR(COUNTA(B181,C181,E181,F181)&gt;0,OR(D181="X",D181="x")),IF(OR(D181="X",D181="x"),1,0),0)+IF(OR(COUNTA(B182,C182,E182,F182)&gt;0,OR(D182="X",D182="x")),IF(OR(D182="X",D182="x"),1,0),0)</f>
      </c>
      <c r="E187" s="14" t="str">
        <f>LEN(SUBSTITUTE(SUBSTITUTE(SUBSTITUTE(B181," ",""),"0",""),"-",""))+LEN(SUBSTITUTE(SUBSTITUTE(SUBSTITUTE(C181," ",""),"0",""),"-",""))+LEN(SUBSTITUTE(SUBSTITUTE(SUBSTITUTE(B182," ",""),"0",""),"-",""))+LEN(SUBSTITUTE(SUBSTITUTE(SUBSTITUTE(C182," ",""),"0",""),"-",""))</f>
      </c>
      <c r="F187" s="14" t="str">
        <f>LEN(SUBSTITUTE(SUBSTITUTE(SUBSTITUTE(E181," ",""),"0",""),"-",""))+LEN(SUBSTITUTE(SUBSTITUTE(SUBSTITUTE(F181," ",""),"0",""),"-",""))+LEN(SUBSTITUTE(SUBSTITUTE(SUBSTITUTE(E182," ",""),"0",""),"-",""))+LEN(SUBSTITUTE(SUBSTITUTE(SUBSTITUTE(F182," ",""),"0",""),"-",""))</f>
      </c>
      <c r="I187" s="14" t="str">
        <f>data!$B$85</f>
      </c>
      <c r="J187" s="14" t="str">
        <f>IF(OR(COUNTA(J181,K181,M181,N181)&gt;0,OR(L181="X",L181="x")),IF(OR(L181="X",L181="x"),0,(LEN(SUBSTITUTE(SUBSTITUTE(SUBSTITUTE(J181," ",""),"0",""),"-",""))+LEN(SUBSTITUTE(SUBSTITUTE(SUBSTITUTE(K181," ",""),"0",""),"-",""))&gt;LEN(SUBSTITUTE(SUBSTITUTE(SUBSTITUTE(M181," ",""),"0",""),"-",""))+LEN(SUBSTITUTE(SUBSTITUTE(SUBSTITUTE(N181," ",""),"0",""),"-","")))*1),0)+IF(OR(COUNTA(J182,K182,M182,N182)&gt;0,OR(L182="X",L182="x")),IF(OR(L182="X",L182="x"),0,(LEN(SUBSTITUTE(SUBSTITUTE(SUBSTITUTE(J182," ",""),"0",""),"-",""))+LEN(SUBSTITUTE(SUBSTITUTE(SUBSTITUTE(K182," ",""),"0",""),"-",""))&gt;LEN(SUBSTITUTE(SUBSTITUTE(SUBSTITUTE(M182," ",""),"0",""),"-",""))+LEN(SUBSTITUTE(SUBSTITUTE(SUBSTITUTE(N182," ",""),"0",""),"-","")))*1),0)</f>
      </c>
      <c r="K187" s="14" t="str">
        <f>IF(OR(COUNTA(J181,K181,M181,N181)&gt;0,OR(L181="X",L181="x")),IF(OR(L181="X",L181="x"),0,(LEN(SUBSTITUTE(SUBSTITUTE(SUBSTITUTE(J181," ",""),"0",""),"-",""))+LEN(SUBSTITUTE(SUBSTITUTE(SUBSTITUTE(K181," ",""),"0",""),"-",""))&lt;LEN(SUBSTITUTE(SUBSTITUTE(SUBSTITUTE(M181," ",""),"0",""),"-",""))+LEN(SUBSTITUTE(SUBSTITUTE(SUBSTITUTE(N181," ",""),"0",""),"-","")))*1),0)+IF(OR(COUNTA(J182,K182,M182,N182)&gt;0,OR(L182="X",L182="x")),IF(OR(L182="X",L182="x"),0,(LEN(SUBSTITUTE(SUBSTITUTE(SUBSTITUTE(J182," ",""),"0",""),"-",""))+LEN(SUBSTITUTE(SUBSTITUTE(SUBSTITUTE(K182," ",""),"0",""),"-",""))&lt;LEN(SUBSTITUTE(SUBSTITUTE(SUBSTITUTE(M182," ",""),"0",""),"-",""))+LEN(SUBSTITUTE(SUBSTITUTE(SUBSTITUTE(N182," ",""),"0",""),"-","")))*1),0)</f>
      </c>
      <c r="L187" s="14" t="str">
        <f>IF(OR(COUNTA(J181,K181,M181,N181)&gt;0,OR(L181="X",L181="x")),IF(OR(L181="X",L181="x"),1,0),0)+IF(OR(COUNTA(J182,K182,M182,N182)&gt;0,OR(L182="X",L182="x")),IF(OR(L182="X",L182="x"),1,0),0)</f>
      </c>
      <c r="M187" s="14" t="str">
        <f>LEN(SUBSTITUTE(SUBSTITUTE(SUBSTITUTE(J181," ",""),"0",""),"-",""))+LEN(SUBSTITUTE(SUBSTITUTE(SUBSTITUTE(K181," ",""),"0",""),"-",""))+LEN(SUBSTITUTE(SUBSTITUTE(SUBSTITUTE(J182," ",""),"0",""),"-",""))+LEN(SUBSTITUTE(SUBSTITUTE(SUBSTITUTE(K182," ",""),"0",""),"-",""))</f>
      </c>
      <c r="N187" s="14" t="str">
        <f>LEN(SUBSTITUTE(SUBSTITUTE(SUBSTITUTE(M181," ",""),"0",""),"-",""))+LEN(SUBSTITUTE(SUBSTITUTE(SUBSTITUTE(N181," ",""),"0",""),"-",""))+LEN(SUBSTITUTE(SUBSTITUTE(SUBSTITUTE(M182," ",""),"0",""),"-",""))+LEN(SUBSTITUTE(SUBSTITUTE(SUBSTITUTE(N182," ",""),"0",""),"-",""))</f>
      </c>
    </row>
    <row r="189">
      <c r="F189" t="s">
        <v>248</v>
      </c>
      <c r="G189" s="19"/>
      <c r="N189" t="s">
        <v>248</v>
      </c>
      <c r="O189" s="19"/>
    </row>
    <row r="190">
      <c r="F190" t="s">
        <v>249</v>
      </c>
      <c r="G190" s="19"/>
      <c r="N190" t="s">
        <v>249</v>
      </c>
      <c r="O190" s="19"/>
    </row>
    <row r="191">
      <c r="F191" t="s">
        <v>250</v>
      </c>
      <c r="G191" s="19"/>
      <c r="N191" t="s">
        <v>250</v>
      </c>
      <c r="O191" s="19"/>
    </row>
    <row r="194">
      <c r="A194" s="13" t="str">
        <f>data!$A$41</f>
      </c>
      <c r="B194" s="13"/>
      <c r="C194" s="13"/>
      <c r="D194" s="13"/>
      <c r="E194" s="13"/>
      <c r="F194" s="13"/>
      <c r="G194" s="13"/>
      <c r="I194" s="13" t="str">
        <f>data!$A$88</f>
      </c>
      <c r="J194" s="13"/>
      <c r="K194" s="13"/>
      <c r="L194" s="13"/>
      <c r="M194" s="13"/>
      <c r="N194" s="13"/>
      <c r="O194" s="13"/>
    </row>
    <row r="195">
      <c r="A195" s="17" t="s">
        <v>239</v>
      </c>
      <c r="D195" s="14" t="s">
        <v>240</v>
      </c>
      <c r="G195" s="16" t="s">
        <v>241</v>
      </c>
      <c r="I195" s="17" t="s">
        <v>239</v>
      </c>
      <c r="L195" s="14" t="s">
        <v>240</v>
      </c>
      <c r="O195" s="16" t="s">
        <v>241</v>
      </c>
    </row>
    <row r="196">
      <c r="A196" s="14" t="str">
        <f>data!$B$40</f>
      </c>
      <c r="B196" s="18"/>
      <c r="C196" s="18"/>
      <c r="D196" s="18"/>
      <c r="E196" s="18"/>
      <c r="F196" s="18"/>
      <c r="G196" s="14" t="str">
        <f>data!$B$39</f>
      </c>
      <c r="I196" s="14" t="str">
        <f>data!$B$87</f>
      </c>
      <c r="J196" s="18"/>
      <c r="K196" s="18"/>
      <c r="L196" s="18"/>
      <c r="M196" s="18"/>
      <c r="N196" s="18"/>
      <c r="O196" s="14" t="str">
        <f>data!$B$86</f>
      </c>
    </row>
    <row r="197">
      <c r="A197" s="14" t="str">
        <f>data!$B$41</f>
      </c>
      <c r="B197" s="18"/>
      <c r="C197" s="18"/>
      <c r="D197" s="18"/>
      <c r="E197" s="18"/>
      <c r="F197" s="18"/>
      <c r="G197" s="14" t="str">
        <f>data!$B$39</f>
      </c>
      <c r="I197" s="14" t="str">
        <f>data!$B$88</f>
      </c>
      <c r="J197" s="18"/>
      <c r="K197" s="18"/>
      <c r="L197" s="18"/>
      <c r="M197" s="18"/>
      <c r="N197" s="18"/>
      <c r="O197" s="14" t="str">
        <f>data!$B$86</f>
      </c>
    </row>
    <row r="198">
      <c r="A198" s="14" t="str">
        <f>data!$B$41</f>
      </c>
      <c r="B198" s="18"/>
      <c r="C198" s="18"/>
      <c r="D198" s="18"/>
      <c r="E198" s="18"/>
      <c r="F198" s="18"/>
      <c r="G198" s="14" t="str">
        <f>data!$B$40</f>
      </c>
      <c r="I198" s="14" t="str">
        <f>data!$B$88</f>
      </c>
      <c r="J198" s="18"/>
      <c r="K198" s="18"/>
      <c r="L198" s="18"/>
      <c r="M198" s="18"/>
      <c r="N198" s="18"/>
      <c r="O198" s="14" t="str">
        <f>data!$B$87</f>
      </c>
    </row>
    <row r="200">
      <c r="A200" s="13" t="s">
        <v>242</v>
      </c>
      <c r="B200" s="13" t="s">
        <v>243</v>
      </c>
      <c r="C200" s="13" t="s">
        <v>244</v>
      </c>
      <c r="D200" s="13" t="s">
        <v>245</v>
      </c>
      <c r="E200" s="13" t="s">
        <v>246</v>
      </c>
      <c r="F200" s="13" t="s">
        <v>247</v>
      </c>
      <c r="I200" s="13" t="s">
        <v>242</v>
      </c>
      <c r="J200" s="13" t="s">
        <v>243</v>
      </c>
      <c r="K200" s="13" t="s">
        <v>244</v>
      </c>
      <c r="L200" s="13" t="s">
        <v>245</v>
      </c>
      <c r="M200" s="13" t="s">
        <v>246</v>
      </c>
      <c r="N200" s="13" t="s">
        <v>247</v>
      </c>
    </row>
    <row r="201">
      <c r="A201" s="14" t="str">
        <f>data!$B$39</f>
      </c>
      <c r="B201" s="14" t="str">
        <f>IF(OR(COUNTA(B196,C196,E196,F196)&gt;0,OR(D196="X",D196="x")),IF(OR(D196="X",D196="x"),0,(LEN(SUBSTITUTE(SUBSTITUTE(SUBSTITUTE(E196," ",""),"0",""),"-",""))+LEN(SUBSTITUTE(SUBSTITUTE(SUBSTITUTE(F196," ",""),"0",""),"-",""))&gt;LEN(SUBSTITUTE(SUBSTITUTE(SUBSTITUTE(B196," ",""),"0",""),"-",""))+LEN(SUBSTITUTE(SUBSTITUTE(SUBSTITUTE(C196," ",""),"0",""),"-","")))*1),0)+IF(OR(COUNTA(B197,C197,E197,F197)&gt;0,OR(D197="X",D197="x")),IF(OR(D197="X",D197="x"),0,(LEN(SUBSTITUTE(SUBSTITUTE(SUBSTITUTE(E197," ",""),"0",""),"-",""))+LEN(SUBSTITUTE(SUBSTITUTE(SUBSTITUTE(F197," ",""),"0",""),"-",""))&gt;LEN(SUBSTITUTE(SUBSTITUTE(SUBSTITUTE(B197," ",""),"0",""),"-",""))+LEN(SUBSTITUTE(SUBSTITUTE(SUBSTITUTE(C197," ",""),"0",""),"-","")))*1),0)</f>
      </c>
      <c r="C201" s="14" t="str">
        <f>IF(OR(COUNTA(B196,C196,E196,F196)&gt;0,OR(D196="X",D196="x")),IF(OR(D196="X",D196="x"),0,(LEN(SUBSTITUTE(SUBSTITUTE(SUBSTITUTE(E196," ",""),"0",""),"-",""))+LEN(SUBSTITUTE(SUBSTITUTE(SUBSTITUTE(F196," ",""),"0",""),"-",""))&lt;LEN(SUBSTITUTE(SUBSTITUTE(SUBSTITUTE(B196," ",""),"0",""),"-",""))+LEN(SUBSTITUTE(SUBSTITUTE(SUBSTITUTE(C196," ",""),"0",""),"-","")))*1),0)+IF(OR(COUNTA(B197,C197,E197,F197)&gt;0,OR(D197="X",D197="x")),IF(OR(D197="X",D197="x"),0,(LEN(SUBSTITUTE(SUBSTITUTE(SUBSTITUTE(E197," ",""),"0",""),"-",""))+LEN(SUBSTITUTE(SUBSTITUTE(SUBSTITUTE(F197," ",""),"0",""),"-",""))&lt;LEN(SUBSTITUTE(SUBSTITUTE(SUBSTITUTE(B197," ",""),"0",""),"-",""))+LEN(SUBSTITUTE(SUBSTITUTE(SUBSTITUTE(C197," ",""),"0",""),"-","")))*1),0)</f>
      </c>
      <c r="D201" s="14" t="str">
        <f>IF(OR(COUNTA(B196,C196,E196,F196)&gt;0,OR(D196="X",D196="x")),IF(OR(D196="X",D196="x"),1,0),0)+IF(OR(COUNTA(B197,C197,E197,F197)&gt;0,OR(D197="X",D197="x")),IF(OR(D197="X",D197="x"),1,0),0)</f>
      </c>
      <c r="E201" s="14" t="str">
        <f>LEN(SUBSTITUTE(SUBSTITUTE(SUBSTITUTE(E196," ",""),"0",""),"-",""))+LEN(SUBSTITUTE(SUBSTITUTE(SUBSTITUTE(F196," ",""),"0",""),"-",""))+LEN(SUBSTITUTE(SUBSTITUTE(SUBSTITUTE(E197," ",""),"0",""),"-",""))+LEN(SUBSTITUTE(SUBSTITUTE(SUBSTITUTE(F197," ",""),"0",""),"-",""))</f>
      </c>
      <c r="F201" s="14" t="str">
        <f>LEN(SUBSTITUTE(SUBSTITUTE(SUBSTITUTE(B196," ",""),"0",""),"-",""))+LEN(SUBSTITUTE(SUBSTITUTE(SUBSTITUTE(C196," ",""),"0",""),"-",""))+LEN(SUBSTITUTE(SUBSTITUTE(SUBSTITUTE(B197," ",""),"0",""),"-",""))+LEN(SUBSTITUTE(SUBSTITUTE(SUBSTITUTE(C197," ",""),"0",""),"-",""))</f>
      </c>
      <c r="I201" s="14" t="str">
        <f>data!$B$86</f>
      </c>
      <c r="J201" s="14" t="str">
        <f>IF(OR(COUNTA(J196,K196,M196,N196)&gt;0,OR(L196="X",L196="x")),IF(OR(L196="X",L196="x"),0,(LEN(SUBSTITUTE(SUBSTITUTE(SUBSTITUTE(M196," ",""),"0",""),"-",""))+LEN(SUBSTITUTE(SUBSTITUTE(SUBSTITUTE(N196," ",""),"0",""),"-",""))&gt;LEN(SUBSTITUTE(SUBSTITUTE(SUBSTITUTE(J196," ",""),"0",""),"-",""))+LEN(SUBSTITUTE(SUBSTITUTE(SUBSTITUTE(K196," ",""),"0",""),"-","")))*1),0)+IF(OR(COUNTA(J197,K197,M197,N197)&gt;0,OR(L197="X",L197="x")),IF(OR(L197="X",L197="x"),0,(LEN(SUBSTITUTE(SUBSTITUTE(SUBSTITUTE(M197," ",""),"0",""),"-",""))+LEN(SUBSTITUTE(SUBSTITUTE(SUBSTITUTE(N197," ",""),"0",""),"-",""))&gt;LEN(SUBSTITUTE(SUBSTITUTE(SUBSTITUTE(J197," ",""),"0",""),"-",""))+LEN(SUBSTITUTE(SUBSTITUTE(SUBSTITUTE(K197," ",""),"0",""),"-","")))*1),0)</f>
      </c>
      <c r="K201" s="14" t="str">
        <f>IF(OR(COUNTA(J196,K196,M196,N196)&gt;0,OR(L196="X",L196="x")),IF(OR(L196="X",L196="x"),0,(LEN(SUBSTITUTE(SUBSTITUTE(SUBSTITUTE(M196," ",""),"0",""),"-",""))+LEN(SUBSTITUTE(SUBSTITUTE(SUBSTITUTE(N196," ",""),"0",""),"-",""))&lt;LEN(SUBSTITUTE(SUBSTITUTE(SUBSTITUTE(J196," ",""),"0",""),"-",""))+LEN(SUBSTITUTE(SUBSTITUTE(SUBSTITUTE(K196," ",""),"0",""),"-","")))*1),0)+IF(OR(COUNTA(J197,K197,M197,N197)&gt;0,OR(L197="X",L197="x")),IF(OR(L197="X",L197="x"),0,(LEN(SUBSTITUTE(SUBSTITUTE(SUBSTITUTE(M197," ",""),"0",""),"-",""))+LEN(SUBSTITUTE(SUBSTITUTE(SUBSTITUTE(N197," ",""),"0",""),"-",""))&lt;LEN(SUBSTITUTE(SUBSTITUTE(SUBSTITUTE(J197," ",""),"0",""),"-",""))+LEN(SUBSTITUTE(SUBSTITUTE(SUBSTITUTE(K197," ",""),"0",""),"-","")))*1),0)</f>
      </c>
      <c r="L201" s="14" t="str">
        <f>IF(OR(COUNTA(J196,K196,M196,N196)&gt;0,OR(L196="X",L196="x")),IF(OR(L196="X",L196="x"),1,0),0)+IF(OR(COUNTA(J197,K197,M197,N197)&gt;0,OR(L197="X",L197="x")),IF(OR(L197="X",L197="x"),1,0),0)</f>
      </c>
      <c r="M201" s="14" t="str">
        <f>LEN(SUBSTITUTE(SUBSTITUTE(SUBSTITUTE(M196," ",""),"0",""),"-",""))+LEN(SUBSTITUTE(SUBSTITUTE(SUBSTITUTE(N196," ",""),"0",""),"-",""))+LEN(SUBSTITUTE(SUBSTITUTE(SUBSTITUTE(M197," ",""),"0",""),"-",""))+LEN(SUBSTITUTE(SUBSTITUTE(SUBSTITUTE(N197," ",""),"0",""),"-",""))</f>
      </c>
      <c r="N201" s="14" t="str">
        <f>LEN(SUBSTITUTE(SUBSTITUTE(SUBSTITUTE(J196," ",""),"0",""),"-",""))+LEN(SUBSTITUTE(SUBSTITUTE(SUBSTITUTE(K196," ",""),"0",""),"-",""))+LEN(SUBSTITUTE(SUBSTITUTE(SUBSTITUTE(J197," ",""),"0",""),"-",""))+LEN(SUBSTITUTE(SUBSTITUTE(SUBSTITUTE(K197," ",""),"0",""),"-",""))</f>
      </c>
    </row>
    <row r="202">
      <c r="A202" s="14" t="str">
        <f>data!$B$40</f>
      </c>
      <c r="B202" s="14" t="str">
        <f>IF(OR(COUNTA(B196,C196,E196,F196)&gt;0,OR(D196="X",D196="x")),IF(OR(D196="X",D196="x"),0,(LEN(SUBSTITUTE(SUBSTITUTE(SUBSTITUTE(B196," ",""),"0",""),"-",""))+LEN(SUBSTITUTE(SUBSTITUTE(SUBSTITUTE(C196," ",""),"0",""),"-",""))&gt;LEN(SUBSTITUTE(SUBSTITUTE(SUBSTITUTE(E196," ",""),"0",""),"-",""))+LEN(SUBSTITUTE(SUBSTITUTE(SUBSTITUTE(F196," ",""),"0",""),"-","")))*1),0)+IF(OR(COUNTA(B198,C198,E198,F198)&gt;0,OR(D198="X",D198="x")),IF(OR(D198="X",D198="x"),0,(LEN(SUBSTITUTE(SUBSTITUTE(SUBSTITUTE(E198," ",""),"0",""),"-",""))+LEN(SUBSTITUTE(SUBSTITUTE(SUBSTITUTE(F198," ",""),"0",""),"-",""))&gt;LEN(SUBSTITUTE(SUBSTITUTE(SUBSTITUTE(B198," ",""),"0",""),"-",""))+LEN(SUBSTITUTE(SUBSTITUTE(SUBSTITUTE(C198," ",""),"0",""),"-","")))*1),0)</f>
      </c>
      <c r="C202" s="14" t="str">
        <f>IF(OR(COUNTA(B196,C196,E196,F196)&gt;0,OR(D196="X",D196="x")),IF(OR(D196="X",D196="x"),0,(LEN(SUBSTITUTE(SUBSTITUTE(SUBSTITUTE(B196," ",""),"0",""),"-",""))+LEN(SUBSTITUTE(SUBSTITUTE(SUBSTITUTE(C196," ",""),"0",""),"-",""))&lt;LEN(SUBSTITUTE(SUBSTITUTE(SUBSTITUTE(E196," ",""),"0",""),"-",""))+LEN(SUBSTITUTE(SUBSTITUTE(SUBSTITUTE(F196," ",""),"0",""),"-","")))*1),0)+IF(OR(COUNTA(B198,C198,E198,F198)&gt;0,OR(D198="X",D198="x")),IF(OR(D198="X",D198="x"),0,(LEN(SUBSTITUTE(SUBSTITUTE(SUBSTITUTE(E198," ",""),"0",""),"-",""))+LEN(SUBSTITUTE(SUBSTITUTE(SUBSTITUTE(F198," ",""),"0",""),"-",""))&lt;LEN(SUBSTITUTE(SUBSTITUTE(SUBSTITUTE(B198," ",""),"0",""),"-",""))+LEN(SUBSTITUTE(SUBSTITUTE(SUBSTITUTE(C198," ",""),"0",""),"-","")))*1),0)</f>
      </c>
      <c r="D202" s="14" t="str">
        <f>IF(OR(COUNTA(B196,C196,E196,F196)&gt;0,OR(D196="X",D196="x")),IF(OR(D196="X",D196="x"),1,0),0)+IF(OR(COUNTA(B198,C198,E198,F198)&gt;0,OR(D198="X",D198="x")),IF(OR(D198="X",D198="x"),1,0),0)</f>
      </c>
      <c r="E202" s="14" t="str">
        <f>LEN(SUBSTITUTE(SUBSTITUTE(SUBSTITUTE(B196," ",""),"0",""),"-",""))+LEN(SUBSTITUTE(SUBSTITUTE(SUBSTITUTE(C196," ",""),"0",""),"-",""))+LEN(SUBSTITUTE(SUBSTITUTE(SUBSTITUTE(E198," ",""),"0",""),"-",""))+LEN(SUBSTITUTE(SUBSTITUTE(SUBSTITUTE(F198," ",""),"0",""),"-",""))</f>
      </c>
      <c r="F202" s="14" t="str">
        <f>LEN(SUBSTITUTE(SUBSTITUTE(SUBSTITUTE(E196," ",""),"0",""),"-",""))+LEN(SUBSTITUTE(SUBSTITUTE(SUBSTITUTE(F196," ",""),"0",""),"-",""))+LEN(SUBSTITUTE(SUBSTITUTE(SUBSTITUTE(B198," ",""),"0",""),"-",""))+LEN(SUBSTITUTE(SUBSTITUTE(SUBSTITUTE(C198," ",""),"0",""),"-",""))</f>
      </c>
      <c r="I202" s="14" t="str">
        <f>data!$B$87</f>
      </c>
      <c r="J202" s="14" t="str">
        <f>IF(OR(COUNTA(J196,K196,M196,N196)&gt;0,OR(L196="X",L196="x")),IF(OR(L196="X",L196="x"),0,(LEN(SUBSTITUTE(SUBSTITUTE(SUBSTITUTE(J196," ",""),"0",""),"-",""))+LEN(SUBSTITUTE(SUBSTITUTE(SUBSTITUTE(K196," ",""),"0",""),"-",""))&gt;LEN(SUBSTITUTE(SUBSTITUTE(SUBSTITUTE(M196," ",""),"0",""),"-",""))+LEN(SUBSTITUTE(SUBSTITUTE(SUBSTITUTE(N196," ",""),"0",""),"-","")))*1),0)+IF(OR(COUNTA(J198,K198,M198,N198)&gt;0,OR(L198="X",L198="x")),IF(OR(L198="X",L198="x"),0,(LEN(SUBSTITUTE(SUBSTITUTE(SUBSTITUTE(M198," ",""),"0",""),"-",""))+LEN(SUBSTITUTE(SUBSTITUTE(SUBSTITUTE(N198," ",""),"0",""),"-",""))&gt;LEN(SUBSTITUTE(SUBSTITUTE(SUBSTITUTE(J198," ",""),"0",""),"-",""))+LEN(SUBSTITUTE(SUBSTITUTE(SUBSTITUTE(K198," ",""),"0",""),"-","")))*1),0)</f>
      </c>
      <c r="K202" s="14" t="str">
        <f>IF(OR(COUNTA(J196,K196,M196,N196)&gt;0,OR(L196="X",L196="x")),IF(OR(L196="X",L196="x"),0,(LEN(SUBSTITUTE(SUBSTITUTE(SUBSTITUTE(J196," ",""),"0",""),"-",""))+LEN(SUBSTITUTE(SUBSTITUTE(SUBSTITUTE(K196," ",""),"0",""),"-",""))&lt;LEN(SUBSTITUTE(SUBSTITUTE(SUBSTITUTE(M196," ",""),"0",""),"-",""))+LEN(SUBSTITUTE(SUBSTITUTE(SUBSTITUTE(N196," ",""),"0",""),"-","")))*1),0)+IF(OR(COUNTA(J198,K198,M198,N198)&gt;0,OR(L198="X",L198="x")),IF(OR(L198="X",L198="x"),0,(LEN(SUBSTITUTE(SUBSTITUTE(SUBSTITUTE(M198," ",""),"0",""),"-",""))+LEN(SUBSTITUTE(SUBSTITUTE(SUBSTITUTE(N198," ",""),"0",""),"-",""))&lt;LEN(SUBSTITUTE(SUBSTITUTE(SUBSTITUTE(J198," ",""),"0",""),"-",""))+LEN(SUBSTITUTE(SUBSTITUTE(SUBSTITUTE(K198," ",""),"0",""),"-","")))*1),0)</f>
      </c>
      <c r="L202" s="14" t="str">
        <f>IF(OR(COUNTA(J196,K196,M196,N196)&gt;0,OR(L196="X",L196="x")),IF(OR(L196="X",L196="x"),1,0),0)+IF(OR(COUNTA(J198,K198,M198,N198)&gt;0,OR(L198="X",L198="x")),IF(OR(L198="X",L198="x"),1,0),0)</f>
      </c>
      <c r="M202" s="14" t="str">
        <f>LEN(SUBSTITUTE(SUBSTITUTE(SUBSTITUTE(J196," ",""),"0",""),"-",""))+LEN(SUBSTITUTE(SUBSTITUTE(SUBSTITUTE(K196," ",""),"0",""),"-",""))+LEN(SUBSTITUTE(SUBSTITUTE(SUBSTITUTE(M198," ",""),"0",""),"-",""))+LEN(SUBSTITUTE(SUBSTITUTE(SUBSTITUTE(N198," ",""),"0",""),"-",""))</f>
      </c>
      <c r="N202" s="14" t="str">
        <f>LEN(SUBSTITUTE(SUBSTITUTE(SUBSTITUTE(M196," ",""),"0",""),"-",""))+LEN(SUBSTITUTE(SUBSTITUTE(SUBSTITUTE(N196," ",""),"0",""),"-",""))+LEN(SUBSTITUTE(SUBSTITUTE(SUBSTITUTE(J198," ",""),"0",""),"-",""))+LEN(SUBSTITUTE(SUBSTITUTE(SUBSTITUTE(K198," ",""),"0",""),"-",""))</f>
      </c>
    </row>
    <row r="203">
      <c r="A203" s="14" t="str">
        <f>data!$B$41</f>
      </c>
      <c r="B203" s="14" t="str">
        <f>IF(OR(COUNTA(B197,C197,E197,F197)&gt;0,OR(D197="X",D197="x")),IF(OR(D197="X",D197="x"),0,(LEN(SUBSTITUTE(SUBSTITUTE(SUBSTITUTE(B197," ",""),"0",""),"-",""))+LEN(SUBSTITUTE(SUBSTITUTE(SUBSTITUTE(C197," ",""),"0",""),"-",""))&gt;LEN(SUBSTITUTE(SUBSTITUTE(SUBSTITUTE(E197," ",""),"0",""),"-",""))+LEN(SUBSTITUTE(SUBSTITUTE(SUBSTITUTE(F197," ",""),"0",""),"-","")))*1),0)+IF(OR(COUNTA(B198,C198,E198,F198)&gt;0,OR(D198="X",D198="x")),IF(OR(D198="X",D198="x"),0,(LEN(SUBSTITUTE(SUBSTITUTE(SUBSTITUTE(B198," ",""),"0",""),"-",""))+LEN(SUBSTITUTE(SUBSTITUTE(SUBSTITUTE(C198," ",""),"0",""),"-",""))&gt;LEN(SUBSTITUTE(SUBSTITUTE(SUBSTITUTE(E198," ",""),"0",""),"-",""))+LEN(SUBSTITUTE(SUBSTITUTE(SUBSTITUTE(F198," ",""),"0",""),"-","")))*1),0)</f>
      </c>
      <c r="C203" s="14" t="str">
        <f>IF(OR(COUNTA(B197,C197,E197,F197)&gt;0,OR(D197="X",D197="x")),IF(OR(D197="X",D197="x"),0,(LEN(SUBSTITUTE(SUBSTITUTE(SUBSTITUTE(B197," ",""),"0",""),"-",""))+LEN(SUBSTITUTE(SUBSTITUTE(SUBSTITUTE(C197," ",""),"0",""),"-",""))&lt;LEN(SUBSTITUTE(SUBSTITUTE(SUBSTITUTE(E197," ",""),"0",""),"-",""))+LEN(SUBSTITUTE(SUBSTITUTE(SUBSTITUTE(F197," ",""),"0",""),"-","")))*1),0)+IF(OR(COUNTA(B198,C198,E198,F198)&gt;0,OR(D198="X",D198="x")),IF(OR(D198="X",D198="x"),0,(LEN(SUBSTITUTE(SUBSTITUTE(SUBSTITUTE(B198," ",""),"0",""),"-",""))+LEN(SUBSTITUTE(SUBSTITUTE(SUBSTITUTE(C198," ",""),"0",""),"-",""))&lt;LEN(SUBSTITUTE(SUBSTITUTE(SUBSTITUTE(E198," ",""),"0",""),"-",""))+LEN(SUBSTITUTE(SUBSTITUTE(SUBSTITUTE(F198," ",""),"0",""),"-","")))*1),0)</f>
      </c>
      <c r="D203" s="14" t="str">
        <f>IF(OR(COUNTA(B197,C197,E197,F197)&gt;0,OR(D197="X",D197="x")),IF(OR(D197="X",D197="x"),1,0),0)+IF(OR(COUNTA(B198,C198,E198,F198)&gt;0,OR(D198="X",D198="x")),IF(OR(D198="X",D198="x"),1,0),0)</f>
      </c>
      <c r="E203" s="14" t="str">
        <f>LEN(SUBSTITUTE(SUBSTITUTE(SUBSTITUTE(B197," ",""),"0",""),"-",""))+LEN(SUBSTITUTE(SUBSTITUTE(SUBSTITUTE(C197," ",""),"0",""),"-",""))+LEN(SUBSTITUTE(SUBSTITUTE(SUBSTITUTE(B198," ",""),"0",""),"-",""))+LEN(SUBSTITUTE(SUBSTITUTE(SUBSTITUTE(C198," ",""),"0",""),"-",""))</f>
      </c>
      <c r="F203" s="14" t="str">
        <f>LEN(SUBSTITUTE(SUBSTITUTE(SUBSTITUTE(E197," ",""),"0",""),"-",""))+LEN(SUBSTITUTE(SUBSTITUTE(SUBSTITUTE(F197," ",""),"0",""),"-",""))+LEN(SUBSTITUTE(SUBSTITUTE(SUBSTITUTE(E198," ",""),"0",""),"-",""))+LEN(SUBSTITUTE(SUBSTITUTE(SUBSTITUTE(F198," ",""),"0",""),"-",""))</f>
      </c>
      <c r="I203" s="14" t="str">
        <f>data!$B$88</f>
      </c>
      <c r="J203" s="14" t="str">
        <f>IF(OR(COUNTA(J197,K197,M197,N197)&gt;0,OR(L197="X",L197="x")),IF(OR(L197="X",L197="x"),0,(LEN(SUBSTITUTE(SUBSTITUTE(SUBSTITUTE(J197," ",""),"0",""),"-",""))+LEN(SUBSTITUTE(SUBSTITUTE(SUBSTITUTE(K197," ",""),"0",""),"-",""))&gt;LEN(SUBSTITUTE(SUBSTITUTE(SUBSTITUTE(M197," ",""),"0",""),"-",""))+LEN(SUBSTITUTE(SUBSTITUTE(SUBSTITUTE(N197," ",""),"0",""),"-","")))*1),0)+IF(OR(COUNTA(J198,K198,M198,N198)&gt;0,OR(L198="X",L198="x")),IF(OR(L198="X",L198="x"),0,(LEN(SUBSTITUTE(SUBSTITUTE(SUBSTITUTE(J198," ",""),"0",""),"-",""))+LEN(SUBSTITUTE(SUBSTITUTE(SUBSTITUTE(K198," ",""),"0",""),"-",""))&gt;LEN(SUBSTITUTE(SUBSTITUTE(SUBSTITUTE(M198," ",""),"0",""),"-",""))+LEN(SUBSTITUTE(SUBSTITUTE(SUBSTITUTE(N198," ",""),"0",""),"-","")))*1),0)</f>
      </c>
      <c r="K203" s="14" t="str">
        <f>IF(OR(COUNTA(J197,K197,M197,N197)&gt;0,OR(L197="X",L197="x")),IF(OR(L197="X",L197="x"),0,(LEN(SUBSTITUTE(SUBSTITUTE(SUBSTITUTE(J197," ",""),"0",""),"-",""))+LEN(SUBSTITUTE(SUBSTITUTE(SUBSTITUTE(K197," ",""),"0",""),"-",""))&lt;LEN(SUBSTITUTE(SUBSTITUTE(SUBSTITUTE(M197," ",""),"0",""),"-",""))+LEN(SUBSTITUTE(SUBSTITUTE(SUBSTITUTE(N197," ",""),"0",""),"-","")))*1),0)+IF(OR(COUNTA(J198,K198,M198,N198)&gt;0,OR(L198="X",L198="x")),IF(OR(L198="X",L198="x"),0,(LEN(SUBSTITUTE(SUBSTITUTE(SUBSTITUTE(J198," ",""),"0",""),"-",""))+LEN(SUBSTITUTE(SUBSTITUTE(SUBSTITUTE(K198," ",""),"0",""),"-",""))&lt;LEN(SUBSTITUTE(SUBSTITUTE(SUBSTITUTE(M198," ",""),"0",""),"-",""))+LEN(SUBSTITUTE(SUBSTITUTE(SUBSTITUTE(N198," ",""),"0",""),"-","")))*1),0)</f>
      </c>
      <c r="L203" s="14" t="str">
        <f>IF(OR(COUNTA(J197,K197,M197,N197)&gt;0,OR(L197="X",L197="x")),IF(OR(L197="X",L197="x"),1,0),0)+IF(OR(COUNTA(J198,K198,M198,N198)&gt;0,OR(L198="X",L198="x")),IF(OR(L198="X",L198="x"),1,0),0)</f>
      </c>
      <c r="M203" s="14" t="str">
        <f>LEN(SUBSTITUTE(SUBSTITUTE(SUBSTITUTE(J197," ",""),"0",""),"-",""))+LEN(SUBSTITUTE(SUBSTITUTE(SUBSTITUTE(K197," ",""),"0",""),"-",""))+LEN(SUBSTITUTE(SUBSTITUTE(SUBSTITUTE(J198," ",""),"0",""),"-",""))+LEN(SUBSTITUTE(SUBSTITUTE(SUBSTITUTE(K198," ",""),"0",""),"-",""))</f>
      </c>
      <c r="N203" s="14" t="str">
        <f>LEN(SUBSTITUTE(SUBSTITUTE(SUBSTITUTE(M197," ",""),"0",""),"-",""))+LEN(SUBSTITUTE(SUBSTITUTE(SUBSTITUTE(N197," ",""),"0",""),"-",""))+LEN(SUBSTITUTE(SUBSTITUTE(SUBSTITUTE(M198," ",""),"0",""),"-",""))+LEN(SUBSTITUTE(SUBSTITUTE(SUBSTITUTE(N198," ",""),"0",""),"-",""))</f>
      </c>
    </row>
    <row r="205">
      <c r="F205" t="s">
        <v>248</v>
      </c>
      <c r="G205" s="19"/>
      <c r="N205" t="s">
        <v>248</v>
      </c>
      <c r="O205" s="19"/>
    </row>
    <row r="206">
      <c r="F206" t="s">
        <v>249</v>
      </c>
      <c r="G206" s="19"/>
      <c r="N206" t="s">
        <v>249</v>
      </c>
      <c r="O206" s="19"/>
    </row>
    <row r="207">
      <c r="F207" t="s">
        <v>250</v>
      </c>
      <c r="G207" s="19"/>
      <c r="N207" t="s">
        <v>250</v>
      </c>
      <c r="O207" s="19"/>
    </row>
    <row r="210">
      <c r="A210" s="13" t="str">
        <f>data!$A$44</f>
      </c>
      <c r="B210" s="13"/>
      <c r="C210" s="13"/>
      <c r="D210" s="13"/>
      <c r="E210" s="13"/>
      <c r="F210" s="13"/>
      <c r="G210" s="13"/>
      <c r="I210" s="13" t="str">
        <f>data!$A$91</f>
      </c>
      <c r="J210" s="13"/>
      <c r="K210" s="13"/>
      <c r="L210" s="13"/>
      <c r="M210" s="13"/>
      <c r="N210" s="13"/>
      <c r="O210" s="13"/>
    </row>
    <row r="211">
      <c r="A211" s="17" t="s">
        <v>239</v>
      </c>
      <c r="D211" s="14" t="s">
        <v>240</v>
      </c>
      <c r="G211" s="16" t="s">
        <v>241</v>
      </c>
      <c r="I211" s="17" t="s">
        <v>239</v>
      </c>
      <c r="L211" s="14" t="s">
        <v>240</v>
      </c>
      <c r="O211" s="16" t="s">
        <v>241</v>
      </c>
    </row>
    <row r="212">
      <c r="A212" s="14" t="str">
        <f>data!$B$43</f>
      </c>
      <c r="B212" s="18"/>
      <c r="C212" s="18"/>
      <c r="D212" s="18"/>
      <c r="E212" s="18"/>
      <c r="F212" s="18"/>
      <c r="G212" s="14" t="str">
        <f>data!$B$42</f>
      </c>
      <c r="I212" s="14" t="str">
        <f>data!$B$90</f>
      </c>
      <c r="J212" s="18"/>
      <c r="K212" s="18"/>
      <c r="L212" s="18"/>
      <c r="M212" s="18"/>
      <c r="N212" s="18"/>
      <c r="O212" s="14" t="str">
        <f>data!$B$89</f>
      </c>
    </row>
    <row r="213">
      <c r="A213" s="14" t="str">
        <f>data!$B$44</f>
      </c>
      <c r="B213" s="18"/>
      <c r="C213" s="18"/>
      <c r="D213" s="18"/>
      <c r="E213" s="18"/>
      <c r="F213" s="18"/>
      <c r="G213" s="14" t="str">
        <f>data!$B$42</f>
      </c>
      <c r="I213" s="14" t="str">
        <f>data!$B$91</f>
      </c>
      <c r="J213" s="18"/>
      <c r="K213" s="18"/>
      <c r="L213" s="18"/>
      <c r="M213" s="18"/>
      <c r="N213" s="18"/>
      <c r="O213" s="14" t="str">
        <f>data!$B$89</f>
      </c>
    </row>
    <row r="214">
      <c r="A214" s="14" t="str">
        <f>data!$B$44</f>
      </c>
      <c r="B214" s="18"/>
      <c r="C214" s="18"/>
      <c r="D214" s="18"/>
      <c r="E214" s="18"/>
      <c r="F214" s="18"/>
      <c r="G214" s="14" t="str">
        <f>data!$B$43</f>
      </c>
      <c r="I214" s="14" t="str">
        <f>data!$B$91</f>
      </c>
      <c r="J214" s="18"/>
      <c r="K214" s="18"/>
      <c r="L214" s="18"/>
      <c r="M214" s="18"/>
      <c r="N214" s="18"/>
      <c r="O214" s="14" t="str">
        <f>data!$B$90</f>
      </c>
    </row>
    <row r="216">
      <c r="A216" s="13" t="s">
        <v>242</v>
      </c>
      <c r="B216" s="13" t="s">
        <v>243</v>
      </c>
      <c r="C216" s="13" t="s">
        <v>244</v>
      </c>
      <c r="D216" s="13" t="s">
        <v>245</v>
      </c>
      <c r="E216" s="13" t="s">
        <v>246</v>
      </c>
      <c r="F216" s="13" t="s">
        <v>247</v>
      </c>
      <c r="I216" s="13" t="s">
        <v>242</v>
      </c>
      <c r="J216" s="13" t="s">
        <v>243</v>
      </c>
      <c r="K216" s="13" t="s">
        <v>244</v>
      </c>
      <c r="L216" s="13" t="s">
        <v>245</v>
      </c>
      <c r="M216" s="13" t="s">
        <v>246</v>
      </c>
      <c r="N216" s="13" t="s">
        <v>247</v>
      </c>
    </row>
    <row r="217">
      <c r="A217" s="14" t="str">
        <f>data!$B$42</f>
      </c>
      <c r="B217" s="14" t="str">
        <f>IF(OR(COUNTA(B212,C212,E212,F212)&gt;0,OR(D212="X",D212="x")),IF(OR(D212="X",D212="x"),0,(LEN(SUBSTITUTE(SUBSTITUTE(SUBSTITUTE(E212," ",""),"0",""),"-",""))+LEN(SUBSTITUTE(SUBSTITUTE(SUBSTITUTE(F212," ",""),"0",""),"-",""))&gt;LEN(SUBSTITUTE(SUBSTITUTE(SUBSTITUTE(B212," ",""),"0",""),"-",""))+LEN(SUBSTITUTE(SUBSTITUTE(SUBSTITUTE(C212," ",""),"0",""),"-","")))*1),0)+IF(OR(COUNTA(B213,C213,E213,F213)&gt;0,OR(D213="X",D213="x")),IF(OR(D213="X",D213="x"),0,(LEN(SUBSTITUTE(SUBSTITUTE(SUBSTITUTE(E213," ",""),"0",""),"-",""))+LEN(SUBSTITUTE(SUBSTITUTE(SUBSTITUTE(F213," ",""),"0",""),"-",""))&gt;LEN(SUBSTITUTE(SUBSTITUTE(SUBSTITUTE(B213," ",""),"0",""),"-",""))+LEN(SUBSTITUTE(SUBSTITUTE(SUBSTITUTE(C213," ",""),"0",""),"-","")))*1),0)</f>
      </c>
      <c r="C217" s="14" t="str">
        <f>IF(OR(COUNTA(B212,C212,E212,F212)&gt;0,OR(D212="X",D212="x")),IF(OR(D212="X",D212="x"),0,(LEN(SUBSTITUTE(SUBSTITUTE(SUBSTITUTE(E212," ",""),"0",""),"-",""))+LEN(SUBSTITUTE(SUBSTITUTE(SUBSTITUTE(F212," ",""),"0",""),"-",""))&lt;LEN(SUBSTITUTE(SUBSTITUTE(SUBSTITUTE(B212," ",""),"0",""),"-",""))+LEN(SUBSTITUTE(SUBSTITUTE(SUBSTITUTE(C212," ",""),"0",""),"-","")))*1),0)+IF(OR(COUNTA(B213,C213,E213,F213)&gt;0,OR(D213="X",D213="x")),IF(OR(D213="X",D213="x"),0,(LEN(SUBSTITUTE(SUBSTITUTE(SUBSTITUTE(E213," ",""),"0",""),"-",""))+LEN(SUBSTITUTE(SUBSTITUTE(SUBSTITUTE(F213," ",""),"0",""),"-",""))&lt;LEN(SUBSTITUTE(SUBSTITUTE(SUBSTITUTE(B213," ",""),"0",""),"-",""))+LEN(SUBSTITUTE(SUBSTITUTE(SUBSTITUTE(C213," ",""),"0",""),"-","")))*1),0)</f>
      </c>
      <c r="D217" s="14" t="str">
        <f>IF(OR(COUNTA(B212,C212,E212,F212)&gt;0,OR(D212="X",D212="x")),IF(OR(D212="X",D212="x"),1,0),0)+IF(OR(COUNTA(B213,C213,E213,F213)&gt;0,OR(D213="X",D213="x")),IF(OR(D213="X",D213="x"),1,0),0)</f>
      </c>
      <c r="E217" s="14" t="str">
        <f>LEN(SUBSTITUTE(SUBSTITUTE(SUBSTITUTE(E212," ",""),"0",""),"-",""))+LEN(SUBSTITUTE(SUBSTITUTE(SUBSTITUTE(F212," ",""),"0",""),"-",""))+LEN(SUBSTITUTE(SUBSTITUTE(SUBSTITUTE(E213," ",""),"0",""),"-",""))+LEN(SUBSTITUTE(SUBSTITUTE(SUBSTITUTE(F213," ",""),"0",""),"-",""))</f>
      </c>
      <c r="F217" s="14" t="str">
        <f>LEN(SUBSTITUTE(SUBSTITUTE(SUBSTITUTE(B212," ",""),"0",""),"-",""))+LEN(SUBSTITUTE(SUBSTITUTE(SUBSTITUTE(C212," ",""),"0",""),"-",""))+LEN(SUBSTITUTE(SUBSTITUTE(SUBSTITUTE(B213," ",""),"0",""),"-",""))+LEN(SUBSTITUTE(SUBSTITUTE(SUBSTITUTE(C213," ",""),"0",""),"-",""))</f>
      </c>
      <c r="I217" s="14" t="str">
        <f>data!$B$89</f>
      </c>
      <c r="J217" s="14" t="str">
        <f>IF(OR(COUNTA(J212,K212,M212,N212)&gt;0,OR(L212="X",L212="x")),IF(OR(L212="X",L212="x"),0,(LEN(SUBSTITUTE(SUBSTITUTE(SUBSTITUTE(M212," ",""),"0",""),"-",""))+LEN(SUBSTITUTE(SUBSTITUTE(SUBSTITUTE(N212," ",""),"0",""),"-",""))&gt;LEN(SUBSTITUTE(SUBSTITUTE(SUBSTITUTE(J212," ",""),"0",""),"-",""))+LEN(SUBSTITUTE(SUBSTITUTE(SUBSTITUTE(K212," ",""),"0",""),"-","")))*1),0)+IF(OR(COUNTA(J213,K213,M213,N213)&gt;0,OR(L213="X",L213="x")),IF(OR(L213="X",L213="x"),0,(LEN(SUBSTITUTE(SUBSTITUTE(SUBSTITUTE(M213," ",""),"0",""),"-",""))+LEN(SUBSTITUTE(SUBSTITUTE(SUBSTITUTE(N213," ",""),"0",""),"-",""))&gt;LEN(SUBSTITUTE(SUBSTITUTE(SUBSTITUTE(J213," ",""),"0",""),"-",""))+LEN(SUBSTITUTE(SUBSTITUTE(SUBSTITUTE(K213," ",""),"0",""),"-","")))*1),0)</f>
      </c>
      <c r="K217" s="14" t="str">
        <f>IF(OR(COUNTA(J212,K212,M212,N212)&gt;0,OR(L212="X",L212="x")),IF(OR(L212="X",L212="x"),0,(LEN(SUBSTITUTE(SUBSTITUTE(SUBSTITUTE(M212," ",""),"0",""),"-",""))+LEN(SUBSTITUTE(SUBSTITUTE(SUBSTITUTE(N212," ",""),"0",""),"-",""))&lt;LEN(SUBSTITUTE(SUBSTITUTE(SUBSTITUTE(J212," ",""),"0",""),"-",""))+LEN(SUBSTITUTE(SUBSTITUTE(SUBSTITUTE(K212," ",""),"0",""),"-","")))*1),0)+IF(OR(COUNTA(J213,K213,M213,N213)&gt;0,OR(L213="X",L213="x")),IF(OR(L213="X",L213="x"),0,(LEN(SUBSTITUTE(SUBSTITUTE(SUBSTITUTE(M213," ",""),"0",""),"-",""))+LEN(SUBSTITUTE(SUBSTITUTE(SUBSTITUTE(N213," ",""),"0",""),"-",""))&lt;LEN(SUBSTITUTE(SUBSTITUTE(SUBSTITUTE(J213," ",""),"0",""),"-",""))+LEN(SUBSTITUTE(SUBSTITUTE(SUBSTITUTE(K213," ",""),"0",""),"-","")))*1),0)</f>
      </c>
      <c r="L217" s="14" t="str">
        <f>IF(OR(COUNTA(J212,K212,M212,N212)&gt;0,OR(L212="X",L212="x")),IF(OR(L212="X",L212="x"),1,0),0)+IF(OR(COUNTA(J213,K213,M213,N213)&gt;0,OR(L213="X",L213="x")),IF(OR(L213="X",L213="x"),1,0),0)</f>
      </c>
      <c r="M217" s="14" t="str">
        <f>LEN(SUBSTITUTE(SUBSTITUTE(SUBSTITUTE(M212," ",""),"0",""),"-",""))+LEN(SUBSTITUTE(SUBSTITUTE(SUBSTITUTE(N212," ",""),"0",""),"-",""))+LEN(SUBSTITUTE(SUBSTITUTE(SUBSTITUTE(M213," ",""),"0",""),"-",""))+LEN(SUBSTITUTE(SUBSTITUTE(SUBSTITUTE(N213," ",""),"0",""),"-",""))</f>
      </c>
      <c r="N217" s="14" t="str">
        <f>LEN(SUBSTITUTE(SUBSTITUTE(SUBSTITUTE(J212," ",""),"0",""),"-",""))+LEN(SUBSTITUTE(SUBSTITUTE(SUBSTITUTE(K212," ",""),"0",""),"-",""))+LEN(SUBSTITUTE(SUBSTITUTE(SUBSTITUTE(J213," ",""),"0",""),"-",""))+LEN(SUBSTITUTE(SUBSTITUTE(SUBSTITUTE(K213," ",""),"0",""),"-",""))</f>
      </c>
    </row>
    <row r="218">
      <c r="A218" s="14" t="str">
        <f>data!$B$43</f>
      </c>
      <c r="B218" s="14" t="str">
        <f>IF(OR(COUNTA(B212,C212,E212,F212)&gt;0,OR(D212="X",D212="x")),IF(OR(D212="X",D212="x"),0,(LEN(SUBSTITUTE(SUBSTITUTE(SUBSTITUTE(B212," ",""),"0",""),"-",""))+LEN(SUBSTITUTE(SUBSTITUTE(SUBSTITUTE(C212," ",""),"0",""),"-",""))&gt;LEN(SUBSTITUTE(SUBSTITUTE(SUBSTITUTE(E212," ",""),"0",""),"-",""))+LEN(SUBSTITUTE(SUBSTITUTE(SUBSTITUTE(F212," ",""),"0",""),"-","")))*1),0)+IF(OR(COUNTA(B214,C214,E214,F214)&gt;0,OR(D214="X",D214="x")),IF(OR(D214="X",D214="x"),0,(LEN(SUBSTITUTE(SUBSTITUTE(SUBSTITUTE(E214," ",""),"0",""),"-",""))+LEN(SUBSTITUTE(SUBSTITUTE(SUBSTITUTE(F214," ",""),"0",""),"-",""))&gt;LEN(SUBSTITUTE(SUBSTITUTE(SUBSTITUTE(B214," ",""),"0",""),"-",""))+LEN(SUBSTITUTE(SUBSTITUTE(SUBSTITUTE(C214," ",""),"0",""),"-","")))*1),0)</f>
      </c>
      <c r="C218" s="14" t="str">
        <f>IF(OR(COUNTA(B212,C212,E212,F212)&gt;0,OR(D212="X",D212="x")),IF(OR(D212="X",D212="x"),0,(LEN(SUBSTITUTE(SUBSTITUTE(SUBSTITUTE(B212," ",""),"0",""),"-",""))+LEN(SUBSTITUTE(SUBSTITUTE(SUBSTITUTE(C212," ",""),"0",""),"-",""))&lt;LEN(SUBSTITUTE(SUBSTITUTE(SUBSTITUTE(E212," ",""),"0",""),"-",""))+LEN(SUBSTITUTE(SUBSTITUTE(SUBSTITUTE(F212," ",""),"0",""),"-","")))*1),0)+IF(OR(COUNTA(B214,C214,E214,F214)&gt;0,OR(D214="X",D214="x")),IF(OR(D214="X",D214="x"),0,(LEN(SUBSTITUTE(SUBSTITUTE(SUBSTITUTE(E214," ",""),"0",""),"-",""))+LEN(SUBSTITUTE(SUBSTITUTE(SUBSTITUTE(F214," ",""),"0",""),"-",""))&lt;LEN(SUBSTITUTE(SUBSTITUTE(SUBSTITUTE(B214," ",""),"0",""),"-",""))+LEN(SUBSTITUTE(SUBSTITUTE(SUBSTITUTE(C214," ",""),"0",""),"-","")))*1),0)</f>
      </c>
      <c r="D218" s="14" t="str">
        <f>IF(OR(COUNTA(B212,C212,E212,F212)&gt;0,OR(D212="X",D212="x")),IF(OR(D212="X",D212="x"),1,0),0)+IF(OR(COUNTA(B214,C214,E214,F214)&gt;0,OR(D214="X",D214="x")),IF(OR(D214="X",D214="x"),1,0),0)</f>
      </c>
      <c r="E218" s="14" t="str">
        <f>LEN(SUBSTITUTE(SUBSTITUTE(SUBSTITUTE(B212," ",""),"0",""),"-",""))+LEN(SUBSTITUTE(SUBSTITUTE(SUBSTITUTE(C212," ",""),"0",""),"-",""))+LEN(SUBSTITUTE(SUBSTITUTE(SUBSTITUTE(E214," ",""),"0",""),"-",""))+LEN(SUBSTITUTE(SUBSTITUTE(SUBSTITUTE(F214," ",""),"0",""),"-",""))</f>
      </c>
      <c r="F218" s="14" t="str">
        <f>LEN(SUBSTITUTE(SUBSTITUTE(SUBSTITUTE(E212," ",""),"0",""),"-",""))+LEN(SUBSTITUTE(SUBSTITUTE(SUBSTITUTE(F212," ",""),"0",""),"-",""))+LEN(SUBSTITUTE(SUBSTITUTE(SUBSTITUTE(B214," ",""),"0",""),"-",""))+LEN(SUBSTITUTE(SUBSTITUTE(SUBSTITUTE(C214," ",""),"0",""),"-",""))</f>
      </c>
      <c r="I218" s="14" t="str">
        <f>data!$B$90</f>
      </c>
      <c r="J218" s="14" t="str">
        <f>IF(OR(COUNTA(J212,K212,M212,N212)&gt;0,OR(L212="X",L212="x")),IF(OR(L212="X",L212="x"),0,(LEN(SUBSTITUTE(SUBSTITUTE(SUBSTITUTE(J212," ",""),"0",""),"-",""))+LEN(SUBSTITUTE(SUBSTITUTE(SUBSTITUTE(K212," ",""),"0",""),"-",""))&gt;LEN(SUBSTITUTE(SUBSTITUTE(SUBSTITUTE(M212," ",""),"0",""),"-",""))+LEN(SUBSTITUTE(SUBSTITUTE(SUBSTITUTE(N212," ",""),"0",""),"-","")))*1),0)+IF(OR(COUNTA(J214,K214,M214,N214)&gt;0,OR(L214="X",L214="x")),IF(OR(L214="X",L214="x"),0,(LEN(SUBSTITUTE(SUBSTITUTE(SUBSTITUTE(M214," ",""),"0",""),"-",""))+LEN(SUBSTITUTE(SUBSTITUTE(SUBSTITUTE(N214," ",""),"0",""),"-",""))&gt;LEN(SUBSTITUTE(SUBSTITUTE(SUBSTITUTE(J214," ",""),"0",""),"-",""))+LEN(SUBSTITUTE(SUBSTITUTE(SUBSTITUTE(K214," ",""),"0",""),"-","")))*1),0)</f>
      </c>
      <c r="K218" s="14" t="str">
        <f>IF(OR(COUNTA(J212,K212,M212,N212)&gt;0,OR(L212="X",L212="x")),IF(OR(L212="X",L212="x"),0,(LEN(SUBSTITUTE(SUBSTITUTE(SUBSTITUTE(J212," ",""),"0",""),"-",""))+LEN(SUBSTITUTE(SUBSTITUTE(SUBSTITUTE(K212," ",""),"0",""),"-",""))&lt;LEN(SUBSTITUTE(SUBSTITUTE(SUBSTITUTE(M212," ",""),"0",""),"-",""))+LEN(SUBSTITUTE(SUBSTITUTE(SUBSTITUTE(N212," ",""),"0",""),"-","")))*1),0)+IF(OR(COUNTA(J214,K214,M214,N214)&gt;0,OR(L214="X",L214="x")),IF(OR(L214="X",L214="x"),0,(LEN(SUBSTITUTE(SUBSTITUTE(SUBSTITUTE(M214," ",""),"0",""),"-",""))+LEN(SUBSTITUTE(SUBSTITUTE(SUBSTITUTE(N214," ",""),"0",""),"-",""))&lt;LEN(SUBSTITUTE(SUBSTITUTE(SUBSTITUTE(J214," ",""),"0",""),"-",""))+LEN(SUBSTITUTE(SUBSTITUTE(SUBSTITUTE(K214," ",""),"0",""),"-","")))*1),0)</f>
      </c>
      <c r="L218" s="14" t="str">
        <f>IF(OR(COUNTA(J212,K212,M212,N212)&gt;0,OR(L212="X",L212="x")),IF(OR(L212="X",L212="x"),1,0),0)+IF(OR(COUNTA(J214,K214,M214,N214)&gt;0,OR(L214="X",L214="x")),IF(OR(L214="X",L214="x"),1,0),0)</f>
      </c>
      <c r="M218" s="14" t="str">
        <f>LEN(SUBSTITUTE(SUBSTITUTE(SUBSTITUTE(J212," ",""),"0",""),"-",""))+LEN(SUBSTITUTE(SUBSTITUTE(SUBSTITUTE(K212," ",""),"0",""),"-",""))+LEN(SUBSTITUTE(SUBSTITUTE(SUBSTITUTE(M214," ",""),"0",""),"-",""))+LEN(SUBSTITUTE(SUBSTITUTE(SUBSTITUTE(N214," ",""),"0",""),"-",""))</f>
      </c>
      <c r="N218" s="14" t="str">
        <f>LEN(SUBSTITUTE(SUBSTITUTE(SUBSTITUTE(M212," ",""),"0",""),"-",""))+LEN(SUBSTITUTE(SUBSTITUTE(SUBSTITUTE(N212," ",""),"0",""),"-",""))+LEN(SUBSTITUTE(SUBSTITUTE(SUBSTITUTE(J214," ",""),"0",""),"-",""))+LEN(SUBSTITUTE(SUBSTITUTE(SUBSTITUTE(K214," ",""),"0",""),"-",""))</f>
      </c>
    </row>
    <row r="219">
      <c r="A219" s="14" t="str">
        <f>data!$B$44</f>
      </c>
      <c r="B219" s="14" t="str">
        <f>IF(OR(COUNTA(B213,C213,E213,F213)&gt;0,OR(D213="X",D213="x")),IF(OR(D213="X",D213="x"),0,(LEN(SUBSTITUTE(SUBSTITUTE(SUBSTITUTE(B213," ",""),"0",""),"-",""))+LEN(SUBSTITUTE(SUBSTITUTE(SUBSTITUTE(C213," ",""),"0",""),"-",""))&gt;LEN(SUBSTITUTE(SUBSTITUTE(SUBSTITUTE(E213," ",""),"0",""),"-",""))+LEN(SUBSTITUTE(SUBSTITUTE(SUBSTITUTE(F213," ",""),"0",""),"-","")))*1),0)+IF(OR(COUNTA(B214,C214,E214,F214)&gt;0,OR(D214="X",D214="x")),IF(OR(D214="X",D214="x"),0,(LEN(SUBSTITUTE(SUBSTITUTE(SUBSTITUTE(B214," ",""),"0",""),"-",""))+LEN(SUBSTITUTE(SUBSTITUTE(SUBSTITUTE(C214," ",""),"0",""),"-",""))&gt;LEN(SUBSTITUTE(SUBSTITUTE(SUBSTITUTE(E214," ",""),"0",""),"-",""))+LEN(SUBSTITUTE(SUBSTITUTE(SUBSTITUTE(F214," ",""),"0",""),"-","")))*1),0)</f>
      </c>
      <c r="C219" s="14" t="str">
        <f>IF(OR(COUNTA(B213,C213,E213,F213)&gt;0,OR(D213="X",D213="x")),IF(OR(D213="X",D213="x"),0,(LEN(SUBSTITUTE(SUBSTITUTE(SUBSTITUTE(B213," ",""),"0",""),"-",""))+LEN(SUBSTITUTE(SUBSTITUTE(SUBSTITUTE(C213," ",""),"0",""),"-",""))&lt;LEN(SUBSTITUTE(SUBSTITUTE(SUBSTITUTE(E213," ",""),"0",""),"-",""))+LEN(SUBSTITUTE(SUBSTITUTE(SUBSTITUTE(F213," ",""),"0",""),"-","")))*1),0)+IF(OR(COUNTA(B214,C214,E214,F214)&gt;0,OR(D214="X",D214="x")),IF(OR(D214="X",D214="x"),0,(LEN(SUBSTITUTE(SUBSTITUTE(SUBSTITUTE(B214," ",""),"0",""),"-",""))+LEN(SUBSTITUTE(SUBSTITUTE(SUBSTITUTE(C214," ",""),"0",""),"-",""))&lt;LEN(SUBSTITUTE(SUBSTITUTE(SUBSTITUTE(E214," ",""),"0",""),"-",""))+LEN(SUBSTITUTE(SUBSTITUTE(SUBSTITUTE(F214," ",""),"0",""),"-","")))*1),0)</f>
      </c>
      <c r="D219" s="14" t="str">
        <f>IF(OR(COUNTA(B213,C213,E213,F213)&gt;0,OR(D213="X",D213="x")),IF(OR(D213="X",D213="x"),1,0),0)+IF(OR(COUNTA(B214,C214,E214,F214)&gt;0,OR(D214="X",D214="x")),IF(OR(D214="X",D214="x"),1,0),0)</f>
      </c>
      <c r="E219" s="14" t="str">
        <f>LEN(SUBSTITUTE(SUBSTITUTE(SUBSTITUTE(B213," ",""),"0",""),"-",""))+LEN(SUBSTITUTE(SUBSTITUTE(SUBSTITUTE(C213," ",""),"0",""),"-",""))+LEN(SUBSTITUTE(SUBSTITUTE(SUBSTITUTE(B214," ",""),"0",""),"-",""))+LEN(SUBSTITUTE(SUBSTITUTE(SUBSTITUTE(C214," ",""),"0",""),"-",""))</f>
      </c>
      <c r="F219" s="14" t="str">
        <f>LEN(SUBSTITUTE(SUBSTITUTE(SUBSTITUTE(E213," ",""),"0",""),"-",""))+LEN(SUBSTITUTE(SUBSTITUTE(SUBSTITUTE(F213," ",""),"0",""),"-",""))+LEN(SUBSTITUTE(SUBSTITUTE(SUBSTITUTE(E214," ",""),"0",""),"-",""))+LEN(SUBSTITUTE(SUBSTITUTE(SUBSTITUTE(F214," ",""),"0",""),"-",""))</f>
      </c>
      <c r="I219" s="14" t="str">
        <f>data!$B$91</f>
      </c>
      <c r="J219" s="14" t="str">
        <f>IF(OR(COUNTA(J213,K213,M213,N213)&gt;0,OR(L213="X",L213="x")),IF(OR(L213="X",L213="x"),0,(LEN(SUBSTITUTE(SUBSTITUTE(SUBSTITUTE(J213," ",""),"0",""),"-",""))+LEN(SUBSTITUTE(SUBSTITUTE(SUBSTITUTE(K213," ",""),"0",""),"-",""))&gt;LEN(SUBSTITUTE(SUBSTITUTE(SUBSTITUTE(M213," ",""),"0",""),"-",""))+LEN(SUBSTITUTE(SUBSTITUTE(SUBSTITUTE(N213," ",""),"0",""),"-","")))*1),0)+IF(OR(COUNTA(J214,K214,M214,N214)&gt;0,OR(L214="X",L214="x")),IF(OR(L214="X",L214="x"),0,(LEN(SUBSTITUTE(SUBSTITUTE(SUBSTITUTE(J214," ",""),"0",""),"-",""))+LEN(SUBSTITUTE(SUBSTITUTE(SUBSTITUTE(K214," ",""),"0",""),"-",""))&gt;LEN(SUBSTITUTE(SUBSTITUTE(SUBSTITUTE(M214," ",""),"0",""),"-",""))+LEN(SUBSTITUTE(SUBSTITUTE(SUBSTITUTE(N214," ",""),"0",""),"-","")))*1),0)</f>
      </c>
      <c r="K219" s="14" t="str">
        <f>IF(OR(COUNTA(J213,K213,M213,N213)&gt;0,OR(L213="X",L213="x")),IF(OR(L213="X",L213="x"),0,(LEN(SUBSTITUTE(SUBSTITUTE(SUBSTITUTE(J213," ",""),"0",""),"-",""))+LEN(SUBSTITUTE(SUBSTITUTE(SUBSTITUTE(K213," ",""),"0",""),"-",""))&lt;LEN(SUBSTITUTE(SUBSTITUTE(SUBSTITUTE(M213," ",""),"0",""),"-",""))+LEN(SUBSTITUTE(SUBSTITUTE(SUBSTITUTE(N213," ",""),"0",""),"-","")))*1),0)+IF(OR(COUNTA(J214,K214,M214,N214)&gt;0,OR(L214="X",L214="x")),IF(OR(L214="X",L214="x"),0,(LEN(SUBSTITUTE(SUBSTITUTE(SUBSTITUTE(J214," ",""),"0",""),"-",""))+LEN(SUBSTITUTE(SUBSTITUTE(SUBSTITUTE(K214," ",""),"0",""),"-",""))&lt;LEN(SUBSTITUTE(SUBSTITUTE(SUBSTITUTE(M214," ",""),"0",""),"-",""))+LEN(SUBSTITUTE(SUBSTITUTE(SUBSTITUTE(N214," ",""),"0",""),"-","")))*1),0)</f>
      </c>
      <c r="L219" s="14" t="str">
        <f>IF(OR(COUNTA(J213,K213,M213,N213)&gt;0,OR(L213="X",L213="x")),IF(OR(L213="X",L213="x"),1,0),0)+IF(OR(COUNTA(J214,K214,M214,N214)&gt;0,OR(L214="X",L214="x")),IF(OR(L214="X",L214="x"),1,0),0)</f>
      </c>
      <c r="M219" s="14" t="str">
        <f>LEN(SUBSTITUTE(SUBSTITUTE(SUBSTITUTE(J213," ",""),"0",""),"-",""))+LEN(SUBSTITUTE(SUBSTITUTE(SUBSTITUTE(K213," ",""),"0",""),"-",""))+LEN(SUBSTITUTE(SUBSTITUTE(SUBSTITUTE(J214," ",""),"0",""),"-",""))+LEN(SUBSTITUTE(SUBSTITUTE(SUBSTITUTE(K214," ",""),"0",""),"-",""))</f>
      </c>
      <c r="N219" s="14" t="str">
        <f>LEN(SUBSTITUTE(SUBSTITUTE(SUBSTITUTE(M213," ",""),"0",""),"-",""))+LEN(SUBSTITUTE(SUBSTITUTE(SUBSTITUTE(N213," ",""),"0",""),"-",""))+LEN(SUBSTITUTE(SUBSTITUTE(SUBSTITUTE(M214," ",""),"0",""),"-",""))+LEN(SUBSTITUTE(SUBSTITUTE(SUBSTITUTE(N214," ",""),"0",""),"-",""))</f>
      </c>
    </row>
    <row r="221">
      <c r="F221" t="s">
        <v>248</v>
      </c>
      <c r="G221" s="19"/>
      <c r="N221" t="s">
        <v>248</v>
      </c>
      <c r="O221" s="19"/>
    </row>
    <row r="222">
      <c r="F222" t="s">
        <v>249</v>
      </c>
      <c r="G222" s="19"/>
      <c r="N222" t="s">
        <v>249</v>
      </c>
      <c r="O222" s="19"/>
    </row>
    <row r="223">
      <c r="F223" t="s">
        <v>250</v>
      </c>
      <c r="G223" s="19"/>
      <c r="N223" t="s">
        <v>250</v>
      </c>
      <c r="O223" s="19"/>
    </row>
    <row r="226">
      <c r="A226" s="13" t="str">
        <f>data!$A$47</f>
      </c>
      <c r="B226" s="13"/>
      <c r="C226" s="13"/>
      <c r="D226" s="13"/>
      <c r="E226" s="13"/>
      <c r="F226" s="13"/>
      <c r="G226" s="13"/>
      <c r="I226" s="13" t="str">
        <f>data!$A$93</f>
      </c>
      <c r="J226" s="13"/>
      <c r="K226" s="13"/>
      <c r="L226" s="13"/>
      <c r="M226" s="13"/>
      <c r="N226" s="13"/>
      <c r="O226" s="13"/>
    </row>
    <row r="227">
      <c r="A227" s="17" t="s">
        <v>239</v>
      </c>
      <c r="D227" s="14" t="s">
        <v>240</v>
      </c>
      <c r="G227" s="16" t="s">
        <v>241</v>
      </c>
      <c r="I227" s="17" t="s">
        <v>239</v>
      </c>
      <c r="L227" s="14" t="s">
        <v>240</v>
      </c>
      <c r="O227" s="16" t="s">
        <v>241</v>
      </c>
    </row>
    <row r="228">
      <c r="A228" s="14" t="str">
        <f>data!$B$46</f>
      </c>
      <c r="B228" s="18"/>
      <c r="C228" s="18"/>
      <c r="D228" s="18"/>
      <c r="E228" s="18"/>
      <c r="F228" s="18"/>
      <c r="G228" s="14" t="str">
        <f>data!$B$45</f>
      </c>
      <c r="I228" s="14" t="str">
        <f>data!$B$93</f>
      </c>
      <c r="J228" s="18"/>
      <c r="K228" s="18"/>
      <c r="L228" s="18"/>
      <c r="M228" s="18"/>
      <c r="N228" s="18"/>
      <c r="O228" s="14" t="str">
        <f>data!$B$92</f>
      </c>
    </row>
    <row r="229">
      <c r="A229" s="14" t="str">
        <f>data!$B$47</f>
      </c>
      <c r="B229" s="18"/>
      <c r="C229" s="18"/>
      <c r="D229" s="18"/>
      <c r="E229" s="18"/>
      <c r="F229" s="18"/>
      <c r="G229" s="14" t="str">
        <f>data!$B$45</f>
      </c>
    </row>
    <row r="230">
      <c r="A230" s="14" t="str">
        <f>data!$B$47</f>
      </c>
      <c r="B230" s="18"/>
      <c r="C230" s="18"/>
      <c r="D230" s="18"/>
      <c r="E230" s="18"/>
      <c r="F230" s="18"/>
      <c r="G230" s="14" t="str">
        <f>data!$B$46</f>
      </c>
    </row>
    <row r="232">
      <c r="A232" s="13" t="s">
        <v>242</v>
      </c>
      <c r="B232" s="13" t="s">
        <v>243</v>
      </c>
      <c r="C232" s="13" t="s">
        <v>244</v>
      </c>
      <c r="D232" s="13" t="s">
        <v>245</v>
      </c>
      <c r="E232" s="13" t="s">
        <v>246</v>
      </c>
      <c r="F232" s="13" t="s">
        <v>247</v>
      </c>
      <c r="I232" s="13" t="s">
        <v>242</v>
      </c>
      <c r="J232" s="13" t="s">
        <v>243</v>
      </c>
      <c r="K232" s="13" t="s">
        <v>244</v>
      </c>
      <c r="L232" s="13" t="s">
        <v>245</v>
      </c>
      <c r="M232" s="13" t="s">
        <v>246</v>
      </c>
      <c r="N232" s="13" t="s">
        <v>247</v>
      </c>
    </row>
    <row r="233">
      <c r="A233" s="14" t="str">
        <f>data!$B$45</f>
      </c>
      <c r="B233" s="14" t="str">
        <f>IF(OR(COUNTA(B228,C228,E228,F228)&gt;0,OR(D228="X",D228="x")),IF(OR(D228="X",D228="x"),0,(LEN(SUBSTITUTE(SUBSTITUTE(SUBSTITUTE(E228," ",""),"0",""),"-",""))+LEN(SUBSTITUTE(SUBSTITUTE(SUBSTITUTE(F228," ",""),"0",""),"-",""))&gt;LEN(SUBSTITUTE(SUBSTITUTE(SUBSTITUTE(B228," ",""),"0",""),"-",""))+LEN(SUBSTITUTE(SUBSTITUTE(SUBSTITUTE(C228," ",""),"0",""),"-","")))*1),0)+IF(OR(COUNTA(B229,C229,E229,F229)&gt;0,OR(D229="X",D229="x")),IF(OR(D229="X",D229="x"),0,(LEN(SUBSTITUTE(SUBSTITUTE(SUBSTITUTE(E229," ",""),"0",""),"-",""))+LEN(SUBSTITUTE(SUBSTITUTE(SUBSTITUTE(F229," ",""),"0",""),"-",""))&gt;LEN(SUBSTITUTE(SUBSTITUTE(SUBSTITUTE(B229," ",""),"0",""),"-",""))+LEN(SUBSTITUTE(SUBSTITUTE(SUBSTITUTE(C229," ",""),"0",""),"-","")))*1),0)</f>
      </c>
      <c r="C233" s="14" t="str">
        <f>IF(OR(COUNTA(B228,C228,E228,F228)&gt;0,OR(D228="X",D228="x")),IF(OR(D228="X",D228="x"),0,(LEN(SUBSTITUTE(SUBSTITUTE(SUBSTITUTE(E228," ",""),"0",""),"-",""))+LEN(SUBSTITUTE(SUBSTITUTE(SUBSTITUTE(F228," ",""),"0",""),"-",""))&lt;LEN(SUBSTITUTE(SUBSTITUTE(SUBSTITUTE(B228," ",""),"0",""),"-",""))+LEN(SUBSTITUTE(SUBSTITUTE(SUBSTITUTE(C228," ",""),"0",""),"-","")))*1),0)+IF(OR(COUNTA(B229,C229,E229,F229)&gt;0,OR(D229="X",D229="x")),IF(OR(D229="X",D229="x"),0,(LEN(SUBSTITUTE(SUBSTITUTE(SUBSTITUTE(E229," ",""),"0",""),"-",""))+LEN(SUBSTITUTE(SUBSTITUTE(SUBSTITUTE(F229," ",""),"0",""),"-",""))&lt;LEN(SUBSTITUTE(SUBSTITUTE(SUBSTITUTE(B229," ",""),"0",""),"-",""))+LEN(SUBSTITUTE(SUBSTITUTE(SUBSTITUTE(C229," ",""),"0",""),"-","")))*1),0)</f>
      </c>
      <c r="D233" s="14" t="str">
        <f>IF(OR(COUNTA(B228,C228,E228,F228)&gt;0,OR(D228="X",D228="x")),IF(OR(D228="X",D228="x"),1,0),0)+IF(OR(COUNTA(B229,C229,E229,F229)&gt;0,OR(D229="X",D229="x")),IF(OR(D229="X",D229="x"),1,0),0)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I233" s="14" t="str">
        <f>data!$B$92</f>
      </c>
      <c r="J233" s="14" t="str">
        <f>IF(OR(COUNTA(J228,K228,M228,N228)&gt;0,OR(L228="X",L228="x")),IF(OR(L228="X",L228="x"),0,(LEN(SUBSTITUTE(SUBSTITUTE(SUBSTITUTE(M228," ",""),"0",""),"-",""))+LEN(SUBSTITUTE(SUBSTITUTE(SUBSTITUTE(N228," ",""),"0",""),"-",""))&gt;LEN(SUBSTITUTE(SUBSTITUTE(SUBSTITUTE(J228," ",""),"0",""),"-",""))+LEN(SUBSTITUTE(SUBSTITUTE(SUBSTITUTE(K228," ",""),"0",""),"-","")))*1),0)</f>
      </c>
      <c r="K233" s="14" t="str">
        <f>IF(OR(COUNTA(J228,K228,M228,N228)&gt;0,OR(L228="X",L228="x")),IF(OR(L228="X",L228="x"),0,(LEN(SUBSTITUTE(SUBSTITUTE(SUBSTITUTE(M228," ",""),"0",""),"-",""))+LEN(SUBSTITUTE(SUBSTITUTE(SUBSTITUTE(N228," ",""),"0",""),"-",""))&lt;LEN(SUBSTITUTE(SUBSTITUTE(SUBSTITUTE(J228," ",""),"0",""),"-",""))+LEN(SUBSTITUTE(SUBSTITUTE(SUBSTITUTE(K228," ",""),"0",""),"-","")))*1),0)</f>
      </c>
      <c r="L233" s="14" t="str">
        <f>IF(OR(COUNTA(J228,K228,M228,N228)&gt;0,OR(L228="X",L228="x")),IF(OR(L228="X",L228="x"),1,0),0)</f>
      </c>
      <c r="M233" s="14" t="str">
        <f>LEN(SUBSTITUTE(SUBSTITUTE(SUBSTITUTE(M228," ",""),"0",""),"-",""))+LEN(SUBSTITUTE(SUBSTITUTE(SUBSTITUTE(N228," ",""),"0",""),"-",""))</f>
      </c>
      <c r="N233" s="14" t="str">
        <f>LEN(SUBSTITUTE(SUBSTITUTE(SUBSTITUTE(J228," ",""),"0",""),"-",""))+LEN(SUBSTITUTE(SUBSTITUTE(SUBSTITUTE(K228," ",""),"0",""),"-",""))</f>
      </c>
    </row>
    <row r="234">
      <c r="A234" s="14" t="str">
        <f>data!$B$46</f>
      </c>
      <c r="B234" s="14" t="str">
        <f>IF(OR(COUNTA(B228,C228,E228,F228)&gt;0,OR(D228="X",D228="x")),IF(OR(D228="X",D228="x"),0,(LEN(SUBSTITUTE(SUBSTITUTE(SUBSTITUTE(B228," ",""),"0",""),"-",""))+LEN(SUBSTITUTE(SUBSTITUTE(SUBSTITUTE(C228," ",""),"0",""),"-",""))&gt;LEN(SUBSTITUTE(SUBSTITUTE(SUBSTITUTE(E228," ",""),"0",""),"-",""))+LEN(SUBSTITUTE(SUBSTITUTE(SUBSTITUTE(F228," ",""),"0",""),"-","")))*1),0)+IF(OR(COUNTA(B230,C230,E230,F230)&gt;0,OR(D230="X",D230="x")),IF(OR(D230="X",D230="x"),0,(LEN(SUBSTITUTE(SUBSTITUTE(SUBSTITUTE(E230," ",""),"0",""),"-",""))+LEN(SUBSTITUTE(SUBSTITUTE(SUBSTITUTE(F230," ",""),"0",""),"-",""))&gt;LEN(SUBSTITUTE(SUBSTITUTE(SUBSTITUTE(B230," ",""),"0",""),"-",""))+LEN(SUBSTITUTE(SUBSTITUTE(SUBSTITUTE(C230," ",""),"0",""),"-","")))*1),0)</f>
      </c>
      <c r="C234" s="14" t="str">
        <f>IF(OR(COUNTA(B228,C228,E228,F228)&gt;0,OR(D228="X",D228="x")),IF(OR(D228="X",D228="x"),0,(LEN(SUBSTITUTE(SUBSTITUTE(SUBSTITUTE(B228," ",""),"0",""),"-",""))+LEN(SUBSTITUTE(SUBSTITUTE(SUBSTITUTE(C228," ",""),"0",""),"-",""))&lt;LEN(SUBSTITUTE(SUBSTITUTE(SUBSTITUTE(E228," ",""),"0",""),"-",""))+LEN(SUBSTITUTE(SUBSTITUTE(SUBSTITUTE(F228," ",""),"0",""),"-","")))*1),0)+IF(OR(COUNTA(B230,C230,E230,F230)&gt;0,OR(D230="X",D230="x")),IF(OR(D230="X",D230="x"),0,(LEN(SUBSTITUTE(SUBSTITUTE(SUBSTITUTE(E230," ",""),"0",""),"-",""))+LEN(SUBSTITUTE(SUBSTITUTE(SUBSTITUTE(F230," ",""),"0",""),"-",""))&lt;LEN(SUBSTITUTE(SUBSTITUTE(SUBSTITUTE(B230," ",""),"0",""),"-",""))+LEN(SUBSTITUTE(SUBSTITUTE(SUBSTITUTE(C230," ",""),"0",""),"-","")))*1),0)</f>
      </c>
      <c r="D234" s="14" t="str">
        <f>IF(OR(COUNTA(B228,C228,E228,F228)&gt;0,OR(D228="X",D228="x")),IF(OR(D228="X",D228="x"),1,0),0)+IF(OR(COUNTA(B230,C230,E230,F230)&gt;0,OR(D230="X",D230="x")),IF(OR(D230="X",D230="x"),1,0),0)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I234" s="14" t="str">
        <f>data!$B$93</f>
      </c>
      <c r="J234" s="14" t="str">
        <f>IF(OR(COUNTA(J228,K228,M228,N228)&gt;0,OR(L228="X",L228="x")),IF(OR(L228="X",L228="x"),0,(LEN(SUBSTITUTE(SUBSTITUTE(SUBSTITUTE(J228," ",""),"0",""),"-",""))+LEN(SUBSTITUTE(SUBSTITUTE(SUBSTITUTE(K228," ",""),"0",""),"-",""))&gt;LEN(SUBSTITUTE(SUBSTITUTE(SUBSTITUTE(M228," ",""),"0",""),"-",""))+LEN(SUBSTITUTE(SUBSTITUTE(SUBSTITUTE(N228," ",""),"0",""),"-","")))*1),0)</f>
      </c>
      <c r="K234" s="14" t="str">
        <f>IF(OR(COUNTA(J228,K228,M228,N228)&gt;0,OR(L228="X",L228="x")),IF(OR(L228="X",L228="x"),0,(LEN(SUBSTITUTE(SUBSTITUTE(SUBSTITUTE(J228," ",""),"0",""),"-",""))+LEN(SUBSTITUTE(SUBSTITUTE(SUBSTITUTE(K228," ",""),"0",""),"-",""))&lt;LEN(SUBSTITUTE(SUBSTITUTE(SUBSTITUTE(M228," ",""),"0",""),"-",""))+LEN(SUBSTITUTE(SUBSTITUTE(SUBSTITUTE(N228," ",""),"0",""),"-","")))*1),0)</f>
      </c>
      <c r="L234" s="14" t="str">
        <f>IF(OR(COUNTA(J228,K228,M228,N228)&gt;0,OR(L228="X",L228="x")),IF(OR(L228="X",L228="x"),1,0),0)</f>
      </c>
      <c r="M234" s="14" t="str">
        <f>LEN(SUBSTITUTE(SUBSTITUTE(SUBSTITUTE(J228," ",""),"0",""),"-",""))+LEN(SUBSTITUTE(SUBSTITUTE(SUBSTITUTE(K228," ",""),"0",""),"-",""))</f>
      </c>
      <c r="N234" s="14" t="str">
        <f>LEN(SUBSTITUTE(SUBSTITUTE(SUBSTITUTE(M228," ",""),"0",""),"-",""))+LEN(SUBSTITUTE(SUBSTITUTE(SUBSTITUTE(N228," ",""),"0",""),"-",""))</f>
      </c>
    </row>
    <row r="235">
      <c r="A235" s="14" t="str">
        <f>data!$B$47</f>
      </c>
      <c r="B235" s="14" t="str">
        <f>IF(OR(COUNTA(B229,C229,E229,F229)&gt;0,OR(D229="X",D229="x")),IF(OR(D229="X",D229="x"),0,(LEN(SUBSTITUTE(SUBSTITUTE(SUBSTITUTE(B229," ",""),"0",""),"-",""))+LEN(SUBSTITUTE(SUBSTITUTE(SUBSTITUTE(C229," ",""),"0",""),"-",""))&gt;LEN(SUBSTITUTE(SUBSTITUTE(SUBSTITUTE(E229," ",""),"0",""),"-",""))+LEN(SUBSTITUTE(SUBSTITUTE(SUBSTITUTE(F229," ",""),"0",""),"-","")))*1),0)+IF(OR(COUNTA(B230,C230,E230,F230)&gt;0,OR(D230="X",D230="x")),IF(OR(D230="X",D230="x"),0,(LEN(SUBSTITUTE(SUBSTITUTE(SUBSTITUTE(B230," ",""),"0",""),"-",""))+LEN(SUBSTITUTE(SUBSTITUTE(SUBSTITUTE(C230," ",""),"0",""),"-",""))&gt;LEN(SUBSTITUTE(SUBSTITUTE(SUBSTITUTE(E230," ",""),"0",""),"-",""))+LEN(SUBSTITUTE(SUBSTITUTE(SUBSTITUTE(F230," ",""),"0",""),"-","")))*1),0)</f>
      </c>
      <c r="C235" s="14" t="str">
        <f>IF(OR(COUNTA(B229,C229,E229,F229)&gt;0,OR(D229="X",D229="x")),IF(OR(D229="X",D229="x"),0,(LEN(SUBSTITUTE(SUBSTITUTE(SUBSTITUTE(B229," ",""),"0",""),"-",""))+LEN(SUBSTITUTE(SUBSTITUTE(SUBSTITUTE(C229," ",""),"0",""),"-",""))&lt;LEN(SUBSTITUTE(SUBSTITUTE(SUBSTITUTE(E229," ",""),"0",""),"-",""))+LEN(SUBSTITUTE(SUBSTITUTE(SUBSTITUTE(F229," ",""),"0",""),"-","")))*1),0)+IF(OR(COUNTA(B230,C230,E230,F230)&gt;0,OR(D230="X",D230="x")),IF(OR(D230="X",D230="x"),0,(LEN(SUBSTITUTE(SUBSTITUTE(SUBSTITUTE(B230," ",""),"0",""),"-",""))+LEN(SUBSTITUTE(SUBSTITUTE(SUBSTITUTE(C230," ",""),"0",""),"-",""))&lt;LEN(SUBSTITUTE(SUBSTITUTE(SUBSTITUTE(E230," ",""),"0",""),"-",""))+LEN(SUBSTITUTE(SUBSTITUTE(SUBSTITUTE(F230," ",""),"0",""),"-","")))*1),0)</f>
      </c>
      <c r="D235" s="14" t="str">
        <f>IF(OR(COUNTA(B229,C229,E229,F229)&gt;0,OR(D229="X",D229="x")),IF(OR(D229="X",D229="x"),1,0),0)+IF(OR(COUNTA(B230,C230,E230,F230)&gt;0,OR(D230="X",D230="x")),IF(OR(D230="X",D230="x"),1,0),0)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row>
    <row r="236">
      <c r="N236" t="s">
        <v>248</v>
      </c>
      <c r="O236" s="19"/>
    </row>
    <row r="237">
      <c r="F237" t="s">
        <v>248</v>
      </c>
      <c r="G237" s="19"/>
      <c r="N237" t="s">
        <v>249</v>
      </c>
      <c r="O237" s="19"/>
    </row>
    <row r="238">
      <c r="F238" t="s">
        <v>249</v>
      </c>
      <c r="G238" s="19"/>
    </row>
    <row r="239">
      <c r="F239" t="s">
        <v>250</v>
      </c>
      <c r="G239" s="19"/>
    </row>
    <row r="242">
      <c r="A242" s="13" t="str">
        <f>data!$A$49</f>
      </c>
      <c r="B242" s="13"/>
      <c r="C242" s="13"/>
      <c r="D242" s="13"/>
      <c r="E242" s="13"/>
      <c r="F242" s="13"/>
      <c r="G242" s="13"/>
    </row>
    <row r="243">
      <c r="A243" s="17" t="s">
        <v>239</v>
      </c>
      <c r="D243" s="14" t="s">
        <v>240</v>
      </c>
      <c r="G243" s="16" t="s">
        <v>241</v>
      </c>
    </row>
    <row r="244">
      <c r="A244" s="14" t="str">
        <f>data!$B$49</f>
      </c>
      <c r="B244" s="18"/>
      <c r="C244" s="18"/>
      <c r="D244" s="18"/>
      <c r="E244" s="18"/>
      <c r="F244" s="18"/>
      <c r="G244" s="14" t="str">
        <f>data!$B$48</f>
      </c>
    </row>
    <row r="246">
      <c r="A246" s="13" t="s">
        <v>242</v>
      </c>
      <c r="B246" s="13" t="s">
        <v>243</v>
      </c>
      <c r="C246" s="13" t="s">
        <v>244</v>
      </c>
      <c r="D246" s="13" t="s">
        <v>245</v>
      </c>
      <c r="E246" s="13" t="s">
        <v>246</v>
      </c>
      <c r="F246" s="13" t="s">
        <v>247</v>
      </c>
    </row>
    <row r="247">
      <c r="A247" s="14" t="str">
        <f>data!$B$48</f>
      </c>
      <c r="B247" s="14" t="str">
        <f>IF(OR(COUNTA(B244,C244,E244,F244)&gt;0,OR(D244="X",D244="x")),IF(OR(D244="X",D244="x"),0,(LEN(SUBSTITUTE(SUBSTITUTE(SUBSTITUTE(E244," ",""),"0",""),"-",""))+LEN(SUBSTITUTE(SUBSTITUTE(SUBSTITUTE(F244," ",""),"0",""),"-",""))&gt;LEN(SUBSTITUTE(SUBSTITUTE(SUBSTITUTE(B244," ",""),"0",""),"-",""))+LEN(SUBSTITUTE(SUBSTITUTE(SUBSTITUTE(C244," ",""),"0",""),"-","")))*1),0)</f>
      </c>
      <c r="C247" s="14" t="str">
        <f>IF(OR(COUNTA(B244,C244,E244,F244)&gt;0,OR(D244="X",D244="x")),IF(OR(D244="X",D244="x"),0,(LEN(SUBSTITUTE(SUBSTITUTE(SUBSTITUTE(E244," ",""),"0",""),"-",""))+LEN(SUBSTITUTE(SUBSTITUTE(SUBSTITUTE(F244," ",""),"0",""),"-",""))&lt;LEN(SUBSTITUTE(SUBSTITUTE(SUBSTITUTE(B244," ",""),"0",""),"-",""))+LEN(SUBSTITUTE(SUBSTITUTE(SUBSTITUTE(C244," ",""),"0",""),"-","")))*1),0)</f>
      </c>
      <c r="D247" s="14" t="str">
        <f>IF(OR(COUNTA(B244,C244,E244,F244)&gt;0,OR(D244="X",D244="x")),IF(OR(D244="X",D244="x"),1,0),0)</f>
      </c>
      <c r="E247" s="14" t="str">
        <f>LEN(SUBSTITUTE(SUBSTITUTE(SUBSTITUTE(E244," ",""),"0",""),"-",""))+LEN(SUBSTITUTE(SUBSTITUTE(SUBSTITUTE(F244," ",""),"0",""),"-",""))</f>
      </c>
      <c r="F247" s="14" t="str">
        <f>LEN(SUBSTITUTE(SUBSTITUTE(SUBSTITUTE(B244," ",""),"0",""),"-",""))+LEN(SUBSTITUTE(SUBSTITUTE(SUBSTITUTE(C244," ",""),"0",""),"-",""))</f>
      </c>
    </row>
    <row r="248">
      <c r="A248" s="14" t="str">
        <f>data!$B$49</f>
      </c>
      <c r="B248" s="14" t="str">
        <f>IF(OR(COUNTA(B244,C244,E244,F244)&gt;0,OR(D244="X",D244="x")),IF(OR(D244="X",D244="x"),0,(LEN(SUBSTITUTE(SUBSTITUTE(SUBSTITUTE(B244," ",""),"0",""),"-",""))+LEN(SUBSTITUTE(SUBSTITUTE(SUBSTITUTE(C244," ",""),"0",""),"-",""))&gt;LEN(SUBSTITUTE(SUBSTITUTE(SUBSTITUTE(E244," ",""),"0",""),"-",""))+LEN(SUBSTITUTE(SUBSTITUTE(SUBSTITUTE(F244," ",""),"0",""),"-","")))*1),0)</f>
      </c>
      <c r="C248" s="14" t="str">
        <f>IF(OR(COUNTA(B244,C244,E244,F244)&gt;0,OR(D244="X",D244="x")),IF(OR(D244="X",D244="x"),0,(LEN(SUBSTITUTE(SUBSTITUTE(SUBSTITUTE(B244," ",""),"0",""),"-",""))+LEN(SUBSTITUTE(SUBSTITUTE(SUBSTITUTE(C244," ",""),"0",""),"-",""))&lt;LEN(SUBSTITUTE(SUBSTITUTE(SUBSTITUTE(E244," ",""),"0",""),"-",""))+LEN(SUBSTITUTE(SUBSTITUTE(SUBSTITUTE(F244," ",""),"0",""),"-","")))*1),0)</f>
      </c>
      <c r="D248" s="14" t="str">
        <f>IF(OR(COUNTA(B244,C244,E244,F244)&gt;0,OR(D244="X",D244="x")),IF(OR(D244="X",D244="x"),1,0),0)</f>
      </c>
      <c r="E248" s="14" t="str">
        <f>LEN(SUBSTITUTE(SUBSTITUTE(SUBSTITUTE(B244," ",""),"0",""),"-",""))+LEN(SUBSTITUTE(SUBSTITUTE(SUBSTITUTE(C244," ",""),"0",""),"-",""))</f>
      </c>
      <c r="F248" s="14" t="str">
        <f>LEN(SUBSTITUTE(SUBSTITUTE(SUBSTITUTE(E244," ",""),"0",""),"-",""))+LEN(SUBSTITUTE(SUBSTITUTE(SUBSTITUTE(F244," ",""),"0",""),"-",""))</f>
      </c>
    </row>
    <row r="250">
      <c r="F250" t="s">
        <v>248</v>
      </c>
      <c r="G250" s="19"/>
    </row>
    <row r="251">
      <c r="F251" t="s">
        <v>249</v>
      </c>
      <c r="G25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2:G242"/>
  </mergeCells>
  <printOptions horizontalCentered="true" verticalCentered="true"/>
  <pageSetup fitToHeight="0" fitToWidth="2" orientation="portrait" pageOrder="downThenOver" paperSize="9"/>
  <rowBreaks count="7" manualBreakCount="7">
    <brk id="33" max="16383" man="true"/>
    <brk id="65" max="16383" man="true"/>
    <brk id="97" max="16383" man="true"/>
    <brk id="129" max="16383" man="true"/>
    <brk id="161" max="16383" man="true"/>
    <brk id="193" max="16383" man="true"/>
    <brk id="22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3" t="s">
        <v>237</v>
      </c>
      <c r="B1" s="13"/>
      <c r="C1" s="13"/>
      <c r="D1" s="13"/>
      <c r="E1" s="13"/>
      <c r="F1" s="13"/>
      <c r="G1" s="13"/>
      <c r="I1" s="13" t="s">
        <v>238</v>
      </c>
      <c r="J1" s="13"/>
      <c r="K1" s="13"/>
      <c r="L1" s="13"/>
      <c r="M1" s="13"/>
      <c r="N1" s="13"/>
      <c r="O1" s="13"/>
    </row>
    <row r="2">
      <c r="A2" s="13" t="s">
        <v>342</v>
      </c>
      <c r="B2" s="13"/>
      <c r="C2" s="13"/>
      <c r="D2" s="13"/>
      <c r="E2" s="13"/>
      <c r="F2" s="13"/>
      <c r="G2" s="13"/>
      <c r="I2" s="13" t="s">
        <v>345</v>
      </c>
      <c r="J2" s="13"/>
      <c r="K2" s="13"/>
      <c r="L2" s="13"/>
      <c r="M2" s="13"/>
      <c r="N2" s="13"/>
      <c r="O2" s="13"/>
    </row>
    <row r="3">
      <c r="A3" s="17" t="s">
        <v>239</v>
      </c>
      <c r="D3" s="14" t="s">
        <v>240</v>
      </c>
      <c r="G3" s="16" t="s">
        <v>241</v>
      </c>
      <c r="I3" s="17" t="s">
        <v>239</v>
      </c>
      <c r="L3" s="14" t="s">
        <v>240</v>
      </c>
      <c r="O3" s="16" t="s">
        <v>241</v>
      </c>
    </row>
    <row r="4">
      <c r="A4" s="14" t="str">
        <f>CONCATENATE("Pool B-2nd ",'Pool Matches'!G30)</f>
      </c>
      <c r="B4" s="18"/>
      <c r="C4" s="18"/>
      <c r="D4" s="18"/>
      <c r="E4" s="18"/>
      <c r="F4" s="18"/>
      <c r="G4" s="14" t="str">
        <f>CONCATENATE("Pool C-1st ",'Pool Matches'!G45)</f>
      </c>
      <c r="I4" s="14" t="str">
        <f>CONCATENATE("Pool C-2nd ",'Pool Matches'!G46)</f>
      </c>
      <c r="J4" s="18"/>
      <c r="K4" s="18"/>
      <c r="L4" s="18"/>
      <c r="M4" s="18"/>
      <c r="N4" s="18"/>
      <c r="O4" s="14" t="str">
        <f>CONCATENATE("Pool A-2nd ",'Pool Matches'!G14)</f>
      </c>
    </row>
    <row r="6">
      <c r="F6" t="s">
        <v>343</v>
      </c>
      <c r="G6" s="19"/>
      <c r="N6" t="s">
        <v>343</v>
      </c>
      <c r="O6" s="19"/>
    </row>
    <row r="7">
      <c r="F7" t="s">
        <v>344</v>
      </c>
      <c r="G7" s="19"/>
      <c r="N7" t="s">
        <v>344</v>
      </c>
      <c r="O7" s="19"/>
    </row>
    <row r="10">
      <c r="A10" s="13" t="s">
        <v>346</v>
      </c>
      <c r="B10" s="13"/>
      <c r="C10" s="13"/>
      <c r="D10" s="13"/>
      <c r="E10" s="13"/>
      <c r="F10" s="13"/>
      <c r="G10" s="13"/>
      <c r="I10" s="13" t="s">
        <v>347</v>
      </c>
      <c r="J10" s="13"/>
      <c r="K10" s="13"/>
      <c r="L10" s="13"/>
      <c r="M10" s="13"/>
      <c r="N10" s="13"/>
      <c r="O10" s="13"/>
    </row>
    <row r="11">
      <c r="A11" s="17" t="s">
        <v>239</v>
      </c>
      <c r="D11" s="14" t="s">
        <v>240</v>
      </c>
      <c r="G11" s="16" t="s">
        <v>241</v>
      </c>
      <c r="I11" s="17" t="s">
        <v>239</v>
      </c>
      <c r="L11" s="14" t="s">
        <v>240</v>
      </c>
      <c r="O11" s="16" t="s">
        <v>241</v>
      </c>
    </row>
    <row r="12">
      <c r="A12" s="14" t="str">
        <f>CONCATENATE("Pool D-2nd ",'Pool Matches'!G62)</f>
      </c>
      <c r="B12" s="18"/>
      <c r="C12" s="18"/>
      <c r="D12" s="18"/>
      <c r="E12" s="18"/>
      <c r="F12" s="18"/>
      <c r="G12" s="14" t="str">
        <f>CONCATENATE("Pool E-1st ",'Pool Matches'!G77)</f>
      </c>
      <c r="I12" s="14" t="str">
        <f>CONCATENATE("Pool E-2nd ",'Pool Matches'!G78)</f>
      </c>
      <c r="J12" s="18"/>
      <c r="K12" s="18"/>
      <c r="L12" s="18"/>
      <c r="M12" s="18"/>
      <c r="N12" s="18"/>
      <c r="O12" s="14" t="str">
        <f>CONCATENATE("Pool D-1st ",'Pool Matches'!G61)</f>
      </c>
    </row>
    <row r="14">
      <c r="F14" t="s">
        <v>343</v>
      </c>
      <c r="G14" s="19"/>
      <c r="N14" t="s">
        <v>343</v>
      </c>
      <c r="O14" s="19"/>
    </row>
    <row r="15">
      <c r="F15" t="s">
        <v>344</v>
      </c>
      <c r="G15" s="19"/>
      <c r="N15" t="s">
        <v>344</v>
      </c>
      <c r="O15" s="19"/>
    </row>
    <row r="18">
      <c r="A18" s="13" t="s">
        <v>348</v>
      </c>
      <c r="B18" s="13"/>
      <c r="C18" s="13"/>
      <c r="D18" s="13"/>
      <c r="E18" s="13"/>
      <c r="F18" s="13"/>
      <c r="G18" s="13"/>
      <c r="I18" s="13" t="s">
        <v>349</v>
      </c>
      <c r="J18" s="13"/>
      <c r="K18" s="13"/>
      <c r="L18" s="13"/>
      <c r="M18" s="13"/>
      <c r="N18" s="13"/>
      <c r="O18" s="13"/>
    </row>
    <row r="19">
      <c r="A19" s="17" t="s">
        <v>239</v>
      </c>
      <c r="D19" s="14" t="s">
        <v>240</v>
      </c>
      <c r="G19" s="16" t="s">
        <v>241</v>
      </c>
      <c r="I19" s="17" t="s">
        <v>239</v>
      </c>
      <c r="L19" s="14" t="s">
        <v>240</v>
      </c>
      <c r="O19" s="16" t="s">
        <v>241</v>
      </c>
    </row>
    <row r="20">
      <c r="A20" s="14" t="str">
        <f>CONCATENATE("Pool F-2nd ",'Pool Matches'!G94)</f>
      </c>
      <c r="B20" s="18"/>
      <c r="C20" s="18"/>
      <c r="D20" s="18"/>
      <c r="E20" s="18"/>
      <c r="F20" s="18"/>
      <c r="G20" s="14" t="str">
        <f>CONCATENATE("Pool G-1st ",'Pool Matches'!G109)</f>
      </c>
      <c r="I20" s="14" t="str">
        <f>CONCATENATE("Pool G-2nd ",'Pool Matches'!G110)</f>
      </c>
      <c r="J20" s="18"/>
      <c r="K20" s="18"/>
      <c r="L20" s="18"/>
      <c r="M20" s="18"/>
      <c r="N20" s="18"/>
      <c r="O20" s="14" t="str">
        <f>CONCATENATE("Pool F-1st ",'Pool Matches'!G93)</f>
      </c>
    </row>
    <row r="22">
      <c r="F22" t="s">
        <v>343</v>
      </c>
      <c r="G22" s="19"/>
      <c r="N22" t="s">
        <v>343</v>
      </c>
      <c r="O22" s="19"/>
    </row>
    <row r="23">
      <c r="F23" t="s">
        <v>344</v>
      </c>
      <c r="G23" s="19"/>
      <c r="N23" t="s">
        <v>344</v>
      </c>
      <c r="O23" s="19"/>
    </row>
    <row r="26">
      <c r="A26" s="13" t="s">
        <v>350</v>
      </c>
      <c r="B26" s="13"/>
      <c r="C26" s="13"/>
      <c r="D26" s="13"/>
      <c r="E26" s="13"/>
      <c r="F26" s="13"/>
      <c r="G26" s="13"/>
      <c r="I26" s="13" t="s">
        <v>351</v>
      </c>
      <c r="J26" s="13"/>
      <c r="K26" s="13"/>
      <c r="L26" s="13"/>
      <c r="M26" s="13"/>
      <c r="N26" s="13"/>
      <c r="O26" s="13"/>
    </row>
    <row r="27">
      <c r="A27" s="17" t="s">
        <v>239</v>
      </c>
      <c r="D27" s="14" t="s">
        <v>240</v>
      </c>
      <c r="G27" s="16" t="s">
        <v>241</v>
      </c>
      <c r="I27" s="17" t="s">
        <v>239</v>
      </c>
      <c r="L27" s="14" t="s">
        <v>240</v>
      </c>
      <c r="O27" s="16" t="s">
        <v>241</v>
      </c>
    </row>
    <row r="28">
      <c r="A28" s="14" t="str">
        <f>CONCATENATE("Pool H-2nd ",'Pool Matches'!G126)</f>
      </c>
      <c r="B28" s="18"/>
      <c r="C28" s="18"/>
      <c r="D28" s="18"/>
      <c r="E28" s="18"/>
      <c r="F28" s="18"/>
      <c r="G28" s="14" t="str">
        <f>CONCATENATE("Pool I-1st ",'Pool Matches'!G141)</f>
      </c>
      <c r="I28" s="14" t="str">
        <f>CONCATENATE("Pool I-2nd ",'Pool Matches'!G142)</f>
      </c>
      <c r="J28" s="18"/>
      <c r="K28" s="18"/>
      <c r="L28" s="18"/>
      <c r="M28" s="18"/>
      <c r="N28" s="18"/>
      <c r="O28" s="14" t="str">
        <f>CONCATENATE("Pool H-1st ",'Pool Matches'!G125)</f>
      </c>
    </row>
    <row r="30">
      <c r="F30" t="s">
        <v>343</v>
      </c>
      <c r="G30" s="19"/>
      <c r="N30" t="s">
        <v>343</v>
      </c>
      <c r="O30" s="19"/>
    </row>
    <row r="31">
      <c r="F31" t="s">
        <v>344</v>
      </c>
      <c r="G31" s="19"/>
      <c r="N31" t="s">
        <v>344</v>
      </c>
      <c r="O31"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J-2nd ",'Pool Matches'!G158)</f>
      </c>
      <c r="B36" s="18"/>
      <c r="C36" s="18"/>
      <c r="D36" s="18"/>
      <c r="E36" s="18"/>
      <c r="F36" s="18"/>
      <c r="G36" s="14" t="str">
        <f>CONCATENATE("Pool K-1st ",'Pool Matches'!G173)</f>
      </c>
      <c r="I36" s="14" t="str">
        <f>CONCATENATE("Pool K-2nd ",'Pool Matches'!G174)</f>
      </c>
      <c r="J36" s="18"/>
      <c r="K36" s="18"/>
      <c r="L36" s="18"/>
      <c r="M36" s="18"/>
      <c r="N36" s="18"/>
      <c r="O36" s="14" t="str">
        <f>CONCATENATE("Pool J-1st ",'Pool Matches'!G157)</f>
      </c>
    </row>
    <row r="38">
      <c r="F38" t="s">
        <v>343</v>
      </c>
      <c r="G38" s="19"/>
      <c r="N38" t="s">
        <v>343</v>
      </c>
      <c r="O38" s="19"/>
    </row>
    <row r="39">
      <c r="F39" t="s">
        <v>344</v>
      </c>
      <c r="G39" s="19"/>
      <c r="N39" t="s">
        <v>344</v>
      </c>
      <c r="O39" s="19"/>
    </row>
    <row r="42">
      <c r="A42" s="13" t="s">
        <v>354</v>
      </c>
      <c r="B42" s="13"/>
      <c r="C42" s="13"/>
      <c r="D42" s="13"/>
      <c r="E42" s="13"/>
      <c r="F42" s="13"/>
      <c r="G42" s="13"/>
      <c r="I42" s="13" t="s">
        <v>355</v>
      </c>
      <c r="J42" s="13"/>
      <c r="K42" s="13"/>
      <c r="L42" s="13"/>
      <c r="M42" s="13"/>
      <c r="N42" s="13"/>
      <c r="O42" s="13"/>
    </row>
    <row r="43">
      <c r="A43" s="17" t="s">
        <v>239</v>
      </c>
      <c r="D43" s="14" t="s">
        <v>240</v>
      </c>
      <c r="G43" s="16" t="s">
        <v>241</v>
      </c>
      <c r="I43" s="17" t="s">
        <v>239</v>
      </c>
      <c r="L43" s="14" t="s">
        <v>240</v>
      </c>
      <c r="O43" s="16" t="s">
        <v>241</v>
      </c>
    </row>
    <row r="44">
      <c r="A44" s="14" t="str">
        <f>CONCATENATE("Pool L-2nd ",'Pool Matches'!G190)</f>
      </c>
      <c r="B44" s="18"/>
      <c r="C44" s="18"/>
      <c r="D44" s="18"/>
      <c r="E44" s="18"/>
      <c r="F44" s="18"/>
      <c r="G44" s="14" t="str">
        <f>CONCATENATE("Pool M-1st ",'Pool Matches'!G205)</f>
      </c>
      <c r="I44" s="14" t="str">
        <f>CONCATENATE("Pool M-2nd ",'Pool Matches'!G206)</f>
      </c>
      <c r="J44" s="18"/>
      <c r="K44" s="18"/>
      <c r="L44" s="18"/>
      <c r="M44" s="18"/>
      <c r="N44" s="18"/>
      <c r="O44" s="14" t="str">
        <f>CONCATENATE("Pool L-1st ",'Pool Matches'!G189)</f>
      </c>
    </row>
    <row r="46">
      <c r="F46" t="s">
        <v>343</v>
      </c>
      <c r="G46" s="19"/>
      <c r="N46" t="s">
        <v>343</v>
      </c>
      <c r="O46" s="19"/>
    </row>
    <row r="47">
      <c r="F47" t="s">
        <v>344</v>
      </c>
      <c r="G47" s="19"/>
      <c r="N47" t="s">
        <v>344</v>
      </c>
      <c r="O47" s="19"/>
    </row>
    <row r="50">
      <c r="A50" s="13" t="s">
        <v>356</v>
      </c>
      <c r="B50" s="13"/>
      <c r="C50" s="13"/>
      <c r="D50" s="13"/>
      <c r="E50" s="13"/>
      <c r="F50" s="13"/>
      <c r="G50" s="13"/>
      <c r="I50" s="13" t="s">
        <v>357</v>
      </c>
      <c r="J50" s="13"/>
      <c r="K50" s="13"/>
      <c r="L50" s="13"/>
      <c r="M50" s="13"/>
      <c r="N50" s="13"/>
      <c r="O50" s="13"/>
    </row>
    <row r="51">
      <c r="A51" s="17" t="s">
        <v>239</v>
      </c>
      <c r="D51" s="14" t="s">
        <v>240</v>
      </c>
      <c r="G51" s="16" t="s">
        <v>241</v>
      </c>
      <c r="I51" s="17" t="s">
        <v>239</v>
      </c>
      <c r="L51" s="14" t="s">
        <v>240</v>
      </c>
      <c r="O51" s="16" t="s">
        <v>241</v>
      </c>
    </row>
    <row r="52">
      <c r="A52" s="14" t="str">
        <f>CONCATENATE("Pool N-2nd ",'Pool Matches'!G222)</f>
      </c>
      <c r="B52" s="18"/>
      <c r="C52" s="18"/>
      <c r="D52" s="18"/>
      <c r="E52" s="18"/>
      <c r="F52" s="18"/>
      <c r="G52" s="14" t="str">
        <f>CONCATENATE("Pool O-1st ",'Pool Matches'!G237)</f>
      </c>
      <c r="I52" s="14" t="str">
        <f>CONCATENATE("Pool O-2nd ",'Pool Matches'!G238)</f>
      </c>
      <c r="J52" s="18"/>
      <c r="K52" s="18"/>
      <c r="L52" s="18"/>
      <c r="M52" s="18"/>
      <c r="N52" s="18"/>
      <c r="O52" s="14" t="str">
        <f>CONCATENATE("Pool N-1st ",'Pool Matches'!G221)</f>
      </c>
    </row>
    <row r="54">
      <c r="F54" t="s">
        <v>343</v>
      </c>
      <c r="G54" s="19"/>
      <c r="N54" t="s">
        <v>343</v>
      </c>
      <c r="O54" s="19"/>
    </row>
    <row r="55">
      <c r="F55" t="s">
        <v>344</v>
      </c>
      <c r="G55" s="19"/>
      <c r="N55" t="s">
        <v>344</v>
      </c>
      <c r="O55" s="19"/>
    </row>
    <row r="58">
      <c r="A58" s="13" t="s">
        <v>358</v>
      </c>
      <c r="B58" s="13"/>
      <c r="C58" s="13"/>
      <c r="D58" s="13"/>
      <c r="E58" s="13"/>
      <c r="F58" s="13"/>
      <c r="G58" s="13"/>
      <c r="I58" s="13" t="s">
        <v>359</v>
      </c>
      <c r="J58" s="13"/>
      <c r="K58" s="13"/>
      <c r="L58" s="13"/>
      <c r="M58" s="13"/>
      <c r="N58" s="13"/>
      <c r="O58" s="13"/>
    </row>
    <row r="59">
      <c r="A59" s="17" t="s">
        <v>239</v>
      </c>
      <c r="D59" s="14" t="s">
        <v>240</v>
      </c>
      <c r="G59" s="16" t="s">
        <v>241</v>
      </c>
      <c r="I59" s="17" t="s">
        <v>239</v>
      </c>
      <c r="L59" s="14" t="s">
        <v>240</v>
      </c>
      <c r="O59" s="16" t="s">
        <v>241</v>
      </c>
    </row>
    <row r="60">
      <c r="A60" s="14" t="str">
        <f>CONCATENATE("Pool P-2nd ",'Pool Matches'!G251)</f>
      </c>
      <c r="B60" s="18"/>
      <c r="C60" s="18"/>
      <c r="D60" s="18"/>
      <c r="E60" s="18"/>
      <c r="F60" s="18"/>
      <c r="G60" s="14" t="str">
        <f>CONCATENATE("Pool Q-1st ",'Pool Matches'!O13)</f>
      </c>
      <c r="I60" s="14" t="str">
        <f>CONCATENATE("Pool Q-2nd ",'Pool Matches'!O14)</f>
      </c>
      <c r="J60" s="18"/>
      <c r="K60" s="18"/>
      <c r="L60" s="18"/>
      <c r="M60" s="18"/>
      <c r="N60" s="18"/>
      <c r="O60" s="14" t="str">
        <f>CONCATENATE("Pool P-1st ",'Pool Matches'!G250)</f>
      </c>
    </row>
    <row r="62">
      <c r="F62" t="s">
        <v>343</v>
      </c>
      <c r="G62" s="19"/>
      <c r="N62" t="s">
        <v>343</v>
      </c>
      <c r="O62" s="19"/>
    </row>
    <row r="63">
      <c r="F63" t="s">
        <v>344</v>
      </c>
      <c r="G63" s="19"/>
      <c r="N63" t="s">
        <v>344</v>
      </c>
      <c r="O63" s="19"/>
    </row>
    <row r="66">
      <c r="A66" s="13" t="s">
        <v>360</v>
      </c>
      <c r="B66" s="13"/>
      <c r="C66" s="13"/>
      <c r="D66" s="13"/>
      <c r="E66" s="13"/>
      <c r="F66" s="13"/>
      <c r="G66" s="13"/>
      <c r="I66" s="13" t="s">
        <v>361</v>
      </c>
      <c r="J66" s="13"/>
      <c r="K66" s="13"/>
      <c r="L66" s="13"/>
      <c r="M66" s="13"/>
      <c r="N66" s="13"/>
      <c r="O66" s="13"/>
    </row>
    <row r="67">
      <c r="A67" s="17" t="s">
        <v>239</v>
      </c>
      <c r="D67" s="14" t="s">
        <v>240</v>
      </c>
      <c r="G67" s="16" t="s">
        <v>241</v>
      </c>
      <c r="I67" s="17" t="s">
        <v>239</v>
      </c>
      <c r="L67" s="14" t="s">
        <v>240</v>
      </c>
      <c r="O67" s="16" t="s">
        <v>241</v>
      </c>
    </row>
    <row r="68">
      <c r="A68" s="14" t="str">
        <f>CONCATENATE("Pool R-2nd ",'Pool Matches'!O30)</f>
      </c>
      <c r="B68" s="18"/>
      <c r="C68" s="18"/>
      <c r="D68" s="18"/>
      <c r="E68" s="18"/>
      <c r="F68" s="18"/>
      <c r="G68" s="14" t="str">
        <f>CONCATENATE("Pool S-1st ",'Pool Matches'!O45)</f>
      </c>
      <c r="I68" s="14" t="str">
        <f>CONCATENATE("Pool S-2nd ",'Pool Matches'!O46)</f>
      </c>
      <c r="J68" s="18"/>
      <c r="K68" s="18"/>
      <c r="L68" s="18"/>
      <c r="M68" s="18"/>
      <c r="N68" s="18"/>
      <c r="O68" s="14" t="str">
        <f>CONCATENATE("Pool R-1st ",'Pool Matches'!O29)</f>
      </c>
    </row>
    <row r="70">
      <c r="F70" t="s">
        <v>343</v>
      </c>
      <c r="G70" s="19"/>
      <c r="N70" t="s">
        <v>343</v>
      </c>
      <c r="O70" s="19"/>
    </row>
    <row r="71">
      <c r="F71" t="s">
        <v>344</v>
      </c>
      <c r="G71" s="19"/>
      <c r="N71" t="s">
        <v>344</v>
      </c>
      <c r="O71" s="19"/>
    </row>
    <row r="74">
      <c r="A74" s="13" t="s">
        <v>362</v>
      </c>
      <c r="B74" s="13"/>
      <c r="C74" s="13"/>
      <c r="D74" s="13"/>
      <c r="E74" s="13"/>
      <c r="F74" s="13"/>
      <c r="G74" s="13"/>
      <c r="I74" s="13" t="s">
        <v>363</v>
      </c>
      <c r="J74" s="13"/>
      <c r="K74" s="13"/>
      <c r="L74" s="13"/>
      <c r="M74" s="13"/>
      <c r="N74" s="13"/>
      <c r="O74" s="13"/>
    </row>
    <row r="75">
      <c r="A75" s="17" t="s">
        <v>239</v>
      </c>
      <c r="D75" s="14" t="s">
        <v>240</v>
      </c>
      <c r="G75" s="16" t="s">
        <v>241</v>
      </c>
      <c r="I75" s="17" t="s">
        <v>239</v>
      </c>
      <c r="L75" s="14" t="s">
        <v>240</v>
      </c>
      <c r="O75" s="16" t="s">
        <v>241</v>
      </c>
    </row>
    <row r="76">
      <c r="A76" s="14" t="str">
        <f>CONCATENATE("Pool T-2nd ",'Pool Matches'!O62)</f>
      </c>
      <c r="B76" s="18"/>
      <c r="C76" s="18"/>
      <c r="D76" s="18"/>
      <c r="E76" s="18"/>
      <c r="F76" s="18"/>
      <c r="G76" s="14" t="str">
        <f>CONCATENATE("Pool U-1st ",'Pool Matches'!O77)</f>
      </c>
      <c r="I76" s="14" t="str">
        <f>CONCATENATE("Pool U-2nd ",'Pool Matches'!O78)</f>
      </c>
      <c r="J76" s="18"/>
      <c r="K76" s="18"/>
      <c r="L76" s="18"/>
      <c r="M76" s="18"/>
      <c r="N76" s="18"/>
      <c r="O76" s="14" t="str">
        <f>CONCATENATE("Pool T-1st ",'Pool Matches'!O61)</f>
      </c>
    </row>
    <row r="78">
      <c r="F78" t="s">
        <v>343</v>
      </c>
      <c r="G78" s="19"/>
      <c r="N78" t="s">
        <v>343</v>
      </c>
      <c r="O78" s="19"/>
    </row>
    <row r="79">
      <c r="F79" t="s">
        <v>344</v>
      </c>
      <c r="G79" s="19"/>
      <c r="N79" t="s">
        <v>344</v>
      </c>
      <c r="O79" s="19"/>
    </row>
    <row r="82">
      <c r="A82" s="13" t="s">
        <v>364</v>
      </c>
      <c r="B82" s="13"/>
      <c r="C82" s="13"/>
      <c r="D82" s="13"/>
      <c r="E82" s="13"/>
      <c r="F82" s="13"/>
      <c r="G82" s="13"/>
      <c r="I82" s="13" t="s">
        <v>365</v>
      </c>
      <c r="J82" s="13"/>
      <c r="K82" s="13"/>
      <c r="L82" s="13"/>
      <c r="M82" s="13"/>
      <c r="N82" s="13"/>
      <c r="O82" s="13"/>
    </row>
    <row r="83">
      <c r="A83" s="17" t="s">
        <v>239</v>
      </c>
      <c r="D83" s="14" t="s">
        <v>240</v>
      </c>
      <c r="G83" s="16" t="s">
        <v>241</v>
      </c>
      <c r="I83" s="17" t="s">
        <v>239</v>
      </c>
      <c r="L83" s="14" t="s">
        <v>240</v>
      </c>
      <c r="O83" s="16" t="s">
        <v>241</v>
      </c>
    </row>
    <row r="84">
      <c r="A84" s="14" t="str">
        <f>CONCATENATE("Pool V-2nd ",'Pool Matches'!O94)</f>
      </c>
      <c r="B84" s="18"/>
      <c r="C84" s="18"/>
      <c r="D84" s="18"/>
      <c r="E84" s="18"/>
      <c r="F84" s="18"/>
      <c r="G84" s="14" t="str">
        <f>CONCATENATE("Pool W-1st ",'Pool Matches'!O109)</f>
      </c>
      <c r="I84" s="14" t="str">
        <f>CONCATENATE("Pool W-2nd ",'Pool Matches'!O110)</f>
      </c>
      <c r="J84" s="18"/>
      <c r="K84" s="18"/>
      <c r="L84" s="18"/>
      <c r="M84" s="18"/>
      <c r="N84" s="18"/>
      <c r="O84" s="14" t="str">
        <f>CONCATENATE("Pool V-1st ",'Pool Matches'!O93)</f>
      </c>
    </row>
    <row r="86">
      <c r="F86" t="s">
        <v>343</v>
      </c>
      <c r="G86" s="19"/>
      <c r="N86" t="s">
        <v>343</v>
      </c>
      <c r="O86" s="19"/>
    </row>
    <row r="87">
      <c r="F87" t="s">
        <v>344</v>
      </c>
      <c r="G87" s="19"/>
      <c r="N87" t="s">
        <v>344</v>
      </c>
      <c r="O87" s="19"/>
    </row>
    <row r="90">
      <c r="A90" s="13" t="s">
        <v>366</v>
      </c>
      <c r="B90" s="13"/>
      <c r="C90" s="13"/>
      <c r="D90" s="13"/>
      <c r="E90" s="13"/>
      <c r="F90" s="13"/>
      <c r="G90" s="13"/>
      <c r="I90" s="13" t="s">
        <v>367</v>
      </c>
      <c r="J90" s="13"/>
      <c r="K90" s="13"/>
      <c r="L90" s="13"/>
      <c r="M90" s="13"/>
      <c r="N90" s="13"/>
      <c r="O90" s="13"/>
    </row>
    <row r="91">
      <c r="A91" s="17" t="s">
        <v>239</v>
      </c>
      <c r="D91" s="14" t="s">
        <v>240</v>
      </c>
      <c r="G91" s="16" t="s">
        <v>241</v>
      </c>
      <c r="I91" s="17" t="s">
        <v>239</v>
      </c>
      <c r="L91" s="14" t="s">
        <v>240</v>
      </c>
      <c r="O91" s="16" t="s">
        <v>241</v>
      </c>
    </row>
    <row r="92">
      <c r="A92" s="14" t="str">
        <f>CONCATENATE("Pool X-2nd ",'Pool Matches'!O126)</f>
      </c>
      <c r="B92" s="18"/>
      <c r="C92" s="18"/>
      <c r="D92" s="18"/>
      <c r="E92" s="18"/>
      <c r="F92" s="18"/>
      <c r="G92" s="14" t="str">
        <f>CONCATENATE("Pool Y-1st ",'Pool Matches'!O141)</f>
      </c>
      <c r="I92" s="14" t="str">
        <f>CONCATENATE("Pool Y-2nd ",'Pool Matches'!O142)</f>
      </c>
      <c r="J92" s="18"/>
      <c r="K92" s="18"/>
      <c r="L92" s="18"/>
      <c r="M92" s="18"/>
      <c r="N92" s="18"/>
      <c r="O92" s="14" t="str">
        <f>CONCATENATE("Pool X-1st ",'Pool Matches'!O125)</f>
      </c>
    </row>
    <row r="94">
      <c r="F94" t="s">
        <v>343</v>
      </c>
      <c r="G94" s="19"/>
      <c r="N94" t="s">
        <v>343</v>
      </c>
      <c r="O94" s="19"/>
    </row>
    <row r="95">
      <c r="F95" t="s">
        <v>344</v>
      </c>
      <c r="G95" s="19"/>
      <c r="N95" t="s">
        <v>344</v>
      </c>
      <c r="O95" s="19"/>
    </row>
    <row r="98">
      <c r="A98" s="13" t="s">
        <v>368</v>
      </c>
      <c r="B98" s="13"/>
      <c r="C98" s="13"/>
      <c r="D98" s="13"/>
      <c r="E98" s="13"/>
      <c r="F98" s="13"/>
      <c r="G98" s="13"/>
      <c r="I98" s="13" t="s">
        <v>369</v>
      </c>
      <c r="J98" s="13"/>
      <c r="K98" s="13"/>
      <c r="L98" s="13"/>
      <c r="M98" s="13"/>
      <c r="N98" s="13"/>
      <c r="O98" s="13"/>
    </row>
    <row r="99">
      <c r="A99" s="17" t="s">
        <v>239</v>
      </c>
      <c r="D99" s="14" t="s">
        <v>240</v>
      </c>
      <c r="G99" s="16" t="s">
        <v>241</v>
      </c>
      <c r="I99" s="17" t="s">
        <v>239</v>
      </c>
      <c r="L99" s="14" t="s">
        <v>240</v>
      </c>
      <c r="O99" s="16" t="s">
        <v>241</v>
      </c>
    </row>
    <row r="100">
      <c r="A100" s="14" t="str">
        <f>CONCATENATE("Pool Z-2nd ",'Pool Matches'!O158)</f>
      </c>
      <c r="B100" s="18"/>
      <c r="C100" s="18"/>
      <c r="D100" s="18"/>
      <c r="E100" s="18"/>
      <c r="F100" s="18"/>
      <c r="G100" s="14" t="str">
        <f>CONCATENATE("Pool AA-1st ",'Pool Matches'!O173)</f>
      </c>
      <c r="I100" s="14" t="str">
        <f>CONCATENATE("Pool AA-2nd ",'Pool Matches'!O174)</f>
      </c>
      <c r="J100" s="18"/>
      <c r="K100" s="18"/>
      <c r="L100" s="18"/>
      <c r="M100" s="18"/>
      <c r="N100" s="18"/>
      <c r="O100" s="14" t="str">
        <f>CONCATENATE("Pool Z-1st ",'Pool Matches'!O157)</f>
      </c>
    </row>
    <row r="102">
      <c r="F102" t="s">
        <v>343</v>
      </c>
      <c r="G102" s="19"/>
      <c r="N102" t="s">
        <v>343</v>
      </c>
      <c r="O102" s="19"/>
    </row>
    <row r="103">
      <c r="F103" t="s">
        <v>344</v>
      </c>
      <c r="G103" s="19"/>
      <c r="N103" t="s">
        <v>344</v>
      </c>
      <c r="O103" s="19"/>
    </row>
    <row r="106">
      <c r="A106" s="13" t="s">
        <v>370</v>
      </c>
      <c r="B106" s="13"/>
      <c r="C106" s="13"/>
      <c r="D106" s="13"/>
      <c r="E106" s="13"/>
      <c r="F106" s="13"/>
      <c r="G106" s="13"/>
      <c r="I106" s="13" t="s">
        <v>371</v>
      </c>
      <c r="J106" s="13"/>
      <c r="K106" s="13"/>
      <c r="L106" s="13"/>
      <c r="M106" s="13"/>
      <c r="N106" s="13"/>
      <c r="O106" s="13"/>
    </row>
    <row r="107">
      <c r="A107" s="17" t="s">
        <v>239</v>
      </c>
      <c r="D107" s="14" t="s">
        <v>240</v>
      </c>
      <c r="G107" s="16" t="s">
        <v>241</v>
      </c>
      <c r="I107" s="17" t="s">
        <v>239</v>
      </c>
      <c r="L107" s="14" t="s">
        <v>240</v>
      </c>
      <c r="O107" s="16" t="s">
        <v>241</v>
      </c>
    </row>
    <row r="108">
      <c r="A108" s="14" t="str">
        <f>CONCATENATE("Pool BB-2nd ",'Pool Matches'!O190)</f>
      </c>
      <c r="B108" s="18"/>
      <c r="C108" s="18"/>
      <c r="D108" s="18"/>
      <c r="E108" s="18"/>
      <c r="F108" s="18"/>
      <c r="G108" s="14" t="str">
        <f>CONCATENATE("Pool CC-1st ",'Pool Matches'!O205)</f>
      </c>
      <c r="I108" s="14" t="str">
        <f>CONCATENATE("Pool CC-2nd ",'Pool Matches'!O206)</f>
      </c>
      <c r="J108" s="18"/>
      <c r="K108" s="18"/>
      <c r="L108" s="18"/>
      <c r="M108" s="18"/>
      <c r="N108" s="18"/>
      <c r="O108" s="14" t="str">
        <f>CONCATENATE("Pool BB-1st ",'Pool Matches'!O189)</f>
      </c>
    </row>
    <row r="110">
      <c r="F110" t="s">
        <v>343</v>
      </c>
      <c r="G110" s="19"/>
      <c r="N110" t="s">
        <v>343</v>
      </c>
      <c r="O110" s="19"/>
    </row>
    <row r="111">
      <c r="F111" t="s">
        <v>344</v>
      </c>
      <c r="G111" s="19"/>
      <c r="N111" t="s">
        <v>344</v>
      </c>
      <c r="O111" s="19"/>
    </row>
    <row r="114">
      <c r="A114" s="13" t="s">
        <v>372</v>
      </c>
      <c r="B114" s="13"/>
      <c r="C114" s="13"/>
      <c r="D114" s="13"/>
      <c r="E114" s="13"/>
      <c r="F114" s="13"/>
      <c r="G114" s="13"/>
      <c r="I114" s="13" t="s">
        <v>373</v>
      </c>
      <c r="J114" s="13"/>
      <c r="K114" s="13"/>
      <c r="L114" s="13"/>
      <c r="M114" s="13"/>
      <c r="N114" s="13"/>
      <c r="O114" s="13"/>
    </row>
    <row r="115">
      <c r="A115" s="17" t="s">
        <v>239</v>
      </c>
      <c r="D115" s="14" t="s">
        <v>240</v>
      </c>
      <c r="G115" s="16" t="s">
        <v>241</v>
      </c>
      <c r="I115" s="17" t="s">
        <v>239</v>
      </c>
      <c r="L115" s="14" t="s">
        <v>240</v>
      </c>
      <c r="O115" s="16" t="s">
        <v>241</v>
      </c>
    </row>
    <row r="116">
      <c r="A116" s="14" t="str">
        <f>CONCATENATE("Pool DD-2nd ",'Pool Matches'!O222)</f>
      </c>
      <c r="B116" s="18"/>
      <c r="C116" s="18"/>
      <c r="D116" s="18"/>
      <c r="E116" s="18"/>
      <c r="F116" s="18"/>
      <c r="G116" s="14" t="str">
        <f>CONCATENATE("Pool EE-1st ",'Pool Matches'!O236)</f>
      </c>
      <c r="I116" s="14" t="str">
        <f>CONCATENATE("Pool EE-2nd ",'Pool Matches'!O237)</f>
      </c>
      <c r="J116" s="18"/>
      <c r="K116" s="18"/>
      <c r="L116" s="18"/>
      <c r="M116" s="18"/>
      <c r="N116" s="18"/>
      <c r="O116" s="14" t="str">
        <f>CONCATENATE("Pool DD-1st ",'Pool Matches'!O221)</f>
      </c>
    </row>
    <row r="118">
      <c r="F118" t="s">
        <v>343</v>
      </c>
      <c r="G118" s="19"/>
      <c r="N118" t="s">
        <v>343</v>
      </c>
      <c r="O118" s="19"/>
    </row>
    <row r="119">
      <c r="F119" t="s">
        <v>344</v>
      </c>
      <c r="G119" s="19"/>
      <c r="N119" t="s">
        <v>344</v>
      </c>
      <c r="O119" s="19"/>
    </row>
    <row r="127">
      <c r="A127" s="13" t="s">
        <v>374</v>
      </c>
      <c r="B127" s="13"/>
      <c r="C127" s="13"/>
      <c r="D127" s="13"/>
      <c r="E127" s="13"/>
      <c r="F127" s="13"/>
      <c r="G127" s="13"/>
      <c r="I127" s="13" t="s">
        <v>375</v>
      </c>
      <c r="J127" s="13"/>
      <c r="K127" s="13"/>
      <c r="L127" s="13"/>
      <c r="M127" s="13"/>
      <c r="N127" s="13"/>
      <c r="O127" s="13"/>
    </row>
    <row r="128">
      <c r="A128" s="17" t="s">
        <v>239</v>
      </c>
      <c r="D128" s="14" t="s">
        <v>240</v>
      </c>
      <c r="G128" s="16" t="s">
        <v>241</v>
      </c>
      <c r="I128" s="17" t="s">
        <v>239</v>
      </c>
      <c r="L128" s="14" t="s">
        <v>240</v>
      </c>
      <c r="O128" s="16" t="s">
        <v>241</v>
      </c>
    </row>
    <row r="129">
      <c r="A129" s="14" t="str">
        <f>CONCATENATE("M 1 ",G6)</f>
      </c>
      <c r="B129" s="18"/>
      <c r="C129" s="18"/>
      <c r="D129" s="18"/>
      <c r="E129" s="18"/>
      <c r="F129" s="18"/>
      <c r="G129" s="14" t="str">
        <f>CONCATENATE("Pool A-1st ",'Pool Matches'!G13)</f>
      </c>
      <c r="I129" s="14" t="str">
        <f>CONCATENATE("M 16 ",O6)</f>
      </c>
      <c r="J129" s="18"/>
      <c r="K129" s="18"/>
      <c r="L129" s="18"/>
      <c r="M129" s="18"/>
      <c r="N129" s="18"/>
      <c r="O129" s="14" t="str">
        <f>CONCATENATE("Pool B-1st ",'Pool Matches'!G29)</f>
      </c>
    </row>
    <row r="131">
      <c r="F131" t="s">
        <v>343</v>
      </c>
      <c r="G131" s="19"/>
      <c r="N131" t="s">
        <v>343</v>
      </c>
      <c r="O131" s="19"/>
    </row>
    <row r="132">
      <c r="F132" t="s">
        <v>344</v>
      </c>
      <c r="G132" s="19"/>
      <c r="N132" t="s">
        <v>344</v>
      </c>
      <c r="O132" s="19"/>
    </row>
    <row r="135">
      <c r="A135" s="13" t="s">
        <v>376</v>
      </c>
      <c r="B135" s="13"/>
      <c r="C135" s="13"/>
      <c r="D135" s="13"/>
      <c r="E135" s="13"/>
      <c r="F135" s="13"/>
      <c r="G135" s="13"/>
      <c r="I135" s="13" t="s">
        <v>377</v>
      </c>
      <c r="J135" s="13"/>
      <c r="K135" s="13"/>
      <c r="L135" s="13"/>
      <c r="M135" s="13"/>
      <c r="N135" s="13"/>
      <c r="O135" s="13"/>
    </row>
    <row r="136">
      <c r="A136" s="17" t="s">
        <v>239</v>
      </c>
      <c r="D136" s="14" t="s">
        <v>240</v>
      </c>
      <c r="G136" s="16" t="s">
        <v>241</v>
      </c>
      <c r="I136" s="17" t="s">
        <v>239</v>
      </c>
      <c r="L136" s="14" t="s">
        <v>240</v>
      </c>
      <c r="O136" s="16" t="s">
        <v>241</v>
      </c>
    </row>
    <row r="137">
      <c r="A137" s="14" t="str">
        <f>CONCATENATE("M 3 ",G22)</f>
      </c>
      <c r="B137" s="18"/>
      <c r="C137" s="18"/>
      <c r="D137" s="18"/>
      <c r="E137" s="18"/>
      <c r="F137" s="18"/>
      <c r="G137" s="14" t="str">
        <f>CONCATENATE("M 2 ",G14)</f>
      </c>
      <c r="I137" s="14" t="str">
        <f>CONCATENATE("M 18 ",O22)</f>
      </c>
      <c r="J137" s="18"/>
      <c r="K137" s="18"/>
      <c r="L137" s="18"/>
      <c r="M137" s="18"/>
      <c r="N137" s="18"/>
      <c r="O137" s="14" t="str">
        <f>CONCATENATE("M 17 ",O14)</f>
      </c>
    </row>
    <row r="139">
      <c r="F139" t="s">
        <v>343</v>
      </c>
      <c r="G139" s="19"/>
      <c r="N139" t="s">
        <v>343</v>
      </c>
      <c r="O139" s="19"/>
    </row>
    <row r="140">
      <c r="F140" t="s">
        <v>344</v>
      </c>
      <c r="G140" s="19"/>
      <c r="N140" t="s">
        <v>344</v>
      </c>
      <c r="O140" s="19"/>
    </row>
    <row r="143">
      <c r="A143" s="13" t="s">
        <v>378</v>
      </c>
      <c r="B143" s="13"/>
      <c r="C143" s="13"/>
      <c r="D143" s="13"/>
      <c r="E143" s="13"/>
      <c r="F143" s="13"/>
      <c r="G143" s="13"/>
      <c r="I143" s="13" t="s">
        <v>379</v>
      </c>
      <c r="J143" s="13"/>
      <c r="K143" s="13"/>
      <c r="L143" s="13"/>
      <c r="M143" s="13"/>
      <c r="N143" s="13"/>
      <c r="O143" s="13"/>
    </row>
    <row r="144">
      <c r="A144" s="17" t="s">
        <v>239</v>
      </c>
      <c r="D144" s="14" t="s">
        <v>240</v>
      </c>
      <c r="G144" s="16" t="s">
        <v>241</v>
      </c>
      <c r="I144" s="17" t="s">
        <v>239</v>
      </c>
      <c r="L144" s="14" t="s">
        <v>240</v>
      </c>
      <c r="O144" s="16" t="s">
        <v>241</v>
      </c>
    </row>
    <row r="145">
      <c r="A145" s="14" t="str">
        <f>CONCATENATE("M 5 ",G38)</f>
      </c>
      <c r="B145" s="18"/>
      <c r="C145" s="18"/>
      <c r="D145" s="18"/>
      <c r="E145" s="18"/>
      <c r="F145" s="18"/>
      <c r="G145" s="14" t="str">
        <f>CONCATENATE("M 4 ",G30)</f>
      </c>
      <c r="I145" s="14" t="str">
        <f>CONCATENATE("M 20 ",O38)</f>
      </c>
      <c r="J145" s="18"/>
      <c r="K145" s="18"/>
      <c r="L145" s="18"/>
      <c r="M145" s="18"/>
      <c r="N145" s="18"/>
      <c r="O145" s="14" t="str">
        <f>CONCATENATE("M 19 ",O30)</f>
      </c>
    </row>
    <row r="147">
      <c r="F147" t="s">
        <v>343</v>
      </c>
      <c r="G147" s="19"/>
      <c r="N147" t="s">
        <v>343</v>
      </c>
      <c r="O147" s="19"/>
    </row>
    <row r="148">
      <c r="F148" t="s">
        <v>344</v>
      </c>
      <c r="G148" s="19"/>
      <c r="N148" t="s">
        <v>344</v>
      </c>
      <c r="O148" s="19"/>
    </row>
    <row r="151">
      <c r="A151" s="13" t="s">
        <v>380</v>
      </c>
      <c r="B151" s="13"/>
      <c r="C151" s="13"/>
      <c r="D151" s="13"/>
      <c r="E151" s="13"/>
      <c r="F151" s="13"/>
      <c r="G151" s="13"/>
      <c r="I151" s="13" t="s">
        <v>381</v>
      </c>
      <c r="J151" s="13"/>
      <c r="K151" s="13"/>
      <c r="L151" s="13"/>
      <c r="M151" s="13"/>
      <c r="N151" s="13"/>
      <c r="O151" s="13"/>
    </row>
    <row r="152">
      <c r="A152" s="17" t="s">
        <v>239</v>
      </c>
      <c r="D152" s="14" t="s">
        <v>240</v>
      </c>
      <c r="G152" s="16" t="s">
        <v>241</v>
      </c>
      <c r="I152" s="17" t="s">
        <v>239</v>
      </c>
      <c r="L152" s="14" t="s">
        <v>240</v>
      </c>
      <c r="O152" s="16" t="s">
        <v>241</v>
      </c>
    </row>
    <row r="153">
      <c r="A153" s="14" t="str">
        <f>CONCATENATE("M 7 ",G54)</f>
      </c>
      <c r="B153" s="18"/>
      <c r="C153" s="18"/>
      <c r="D153" s="18"/>
      <c r="E153" s="18"/>
      <c r="F153" s="18"/>
      <c r="G153" s="14" t="str">
        <f>CONCATENATE("M 6 ",G46)</f>
      </c>
      <c r="I153" s="14" t="str">
        <f>CONCATENATE("M 22 ",O54)</f>
      </c>
      <c r="J153" s="18"/>
      <c r="K153" s="18"/>
      <c r="L153" s="18"/>
      <c r="M153" s="18"/>
      <c r="N153" s="18"/>
      <c r="O153" s="14" t="str">
        <f>CONCATENATE("M 21 ",O46)</f>
      </c>
    </row>
    <row r="155">
      <c r="F155" t="s">
        <v>343</v>
      </c>
      <c r="G155" s="19"/>
      <c r="N155" t="s">
        <v>343</v>
      </c>
      <c r="O155" s="19"/>
    </row>
    <row r="156">
      <c r="F156" t="s">
        <v>344</v>
      </c>
      <c r="G156" s="19"/>
      <c r="N156" t="s">
        <v>344</v>
      </c>
      <c r="O156" s="19"/>
    </row>
    <row r="159">
      <c r="A159" s="13" t="s">
        <v>382</v>
      </c>
      <c r="B159" s="13"/>
      <c r="C159" s="13"/>
      <c r="D159" s="13"/>
      <c r="E159" s="13"/>
      <c r="F159" s="13"/>
      <c r="G159" s="13"/>
      <c r="I159" s="13" t="s">
        <v>383</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8"/>
      <c r="C161" s="18"/>
      <c r="D161" s="18"/>
      <c r="E161" s="18"/>
      <c r="F161" s="18"/>
      <c r="G161" s="14" t="str">
        <f>CONCATENATE("M 8 ",G62)</f>
      </c>
      <c r="I161" s="14" t="str">
        <f>CONCATENATE("M 24 ",O70)</f>
      </c>
      <c r="J161" s="18"/>
      <c r="K161" s="18"/>
      <c r="L161" s="18"/>
      <c r="M161" s="18"/>
      <c r="N161" s="18"/>
      <c r="O161" s="14" t="str">
        <f>CONCATENATE("M 23 ",O62)</f>
      </c>
    </row>
    <row r="163">
      <c r="F163" t="s">
        <v>343</v>
      </c>
      <c r="G163" s="19"/>
      <c r="N163" t="s">
        <v>343</v>
      </c>
      <c r="O163" s="19"/>
    </row>
    <row r="164">
      <c r="F164" t="s">
        <v>344</v>
      </c>
      <c r="G164" s="19"/>
      <c r="N164" t="s">
        <v>344</v>
      </c>
      <c r="O164" s="19"/>
    </row>
    <row r="167">
      <c r="A167" s="13" t="s">
        <v>384</v>
      </c>
      <c r="B167" s="13"/>
      <c r="C167" s="13"/>
      <c r="D167" s="13"/>
      <c r="E167" s="13"/>
      <c r="F167" s="13"/>
      <c r="G167" s="13"/>
      <c r="I167" s="13" t="s">
        <v>385</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343</v>
      </c>
      <c r="G171" s="19"/>
      <c r="N171" t="s">
        <v>343</v>
      </c>
      <c r="O171" s="19"/>
    </row>
    <row r="172">
      <c r="F172" t="s">
        <v>344</v>
      </c>
      <c r="G172" s="19"/>
      <c r="N172" t="s">
        <v>344</v>
      </c>
      <c r="O172" s="19"/>
    </row>
    <row r="175">
      <c r="A175" s="13" t="s">
        <v>386</v>
      </c>
      <c r="B175" s="13"/>
      <c r="C175" s="13"/>
      <c r="D175" s="13"/>
      <c r="E175" s="13"/>
      <c r="F175" s="13"/>
      <c r="G175" s="13"/>
      <c r="I175" s="13" t="s">
        <v>387</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343</v>
      </c>
      <c r="G179" s="19"/>
      <c r="N179" t="s">
        <v>343</v>
      </c>
      <c r="O179" s="19"/>
    </row>
    <row r="180">
      <c r="F180" t="s">
        <v>344</v>
      </c>
      <c r="G180" s="19"/>
      <c r="N180" t="s">
        <v>344</v>
      </c>
      <c r="O180" s="19"/>
    </row>
    <row r="183">
      <c r="A183" s="13" t="s">
        <v>388</v>
      </c>
      <c r="B183" s="13"/>
      <c r="C183" s="13"/>
      <c r="D183" s="13"/>
      <c r="E183" s="13"/>
      <c r="F183" s="13"/>
      <c r="G183" s="13"/>
      <c r="I183" s="13" t="s">
        <v>389</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343</v>
      </c>
      <c r="G187" s="19"/>
      <c r="N187" t="s">
        <v>343</v>
      </c>
      <c r="O187" s="19"/>
    </row>
    <row r="188">
      <c r="F188" t="s">
        <v>344</v>
      </c>
      <c r="G188" s="19"/>
      <c r="N188" t="s">
        <v>344</v>
      </c>
      <c r="O188" s="19"/>
    </row>
    <row r="196">
      <c r="A196" s="13" t="s">
        <v>390</v>
      </c>
      <c r="B196" s="13"/>
      <c r="C196" s="13"/>
      <c r="D196" s="13"/>
      <c r="E196" s="13"/>
      <c r="F196" s="13"/>
      <c r="G196" s="13"/>
      <c r="I196" s="13" t="s">
        <v>391</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343</v>
      </c>
      <c r="G200" s="19"/>
      <c r="N200" t="s">
        <v>343</v>
      </c>
      <c r="O200" s="19"/>
    </row>
    <row r="201">
      <c r="F201" t="s">
        <v>344</v>
      </c>
      <c r="G201" s="19"/>
      <c r="N201" t="s">
        <v>344</v>
      </c>
      <c r="O201" s="19"/>
    </row>
    <row r="204">
      <c r="A204" s="13" t="s">
        <v>392</v>
      </c>
      <c r="B204" s="13"/>
      <c r="C204" s="13"/>
      <c r="D204" s="13"/>
      <c r="E204" s="13"/>
      <c r="F204" s="13"/>
      <c r="G204" s="13"/>
      <c r="I204" s="13" t="s">
        <v>393</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343</v>
      </c>
      <c r="G208" s="19"/>
      <c r="N208" t="s">
        <v>343</v>
      </c>
      <c r="O208" s="19"/>
    </row>
    <row r="209">
      <c r="F209" t="s">
        <v>344</v>
      </c>
      <c r="G209" s="19"/>
      <c r="N209" t="s">
        <v>344</v>
      </c>
      <c r="O209" s="19"/>
    </row>
    <row r="212">
      <c r="A212" s="13" t="s">
        <v>394</v>
      </c>
      <c r="B212" s="13"/>
      <c r="C212" s="13"/>
      <c r="D212" s="13"/>
      <c r="E212" s="13"/>
      <c r="F212" s="13"/>
      <c r="G212" s="13"/>
      <c r="I212" s="13" t="s">
        <v>395</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343</v>
      </c>
      <c r="G216" s="19"/>
      <c r="N216" t="s">
        <v>343</v>
      </c>
      <c r="O216" s="19"/>
    </row>
    <row r="217">
      <c r="F217" t="s">
        <v>344</v>
      </c>
      <c r="G217" s="19"/>
      <c r="N217" t="s">
        <v>344</v>
      </c>
      <c r="O217" s="19"/>
    </row>
    <row r="220">
      <c r="A220" s="13" t="s">
        <v>396</v>
      </c>
      <c r="B220" s="13"/>
      <c r="C220" s="13"/>
      <c r="D220" s="13"/>
      <c r="E220" s="13"/>
      <c r="F220" s="13"/>
      <c r="G220" s="13"/>
      <c r="I220" s="13" t="s">
        <v>397</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343</v>
      </c>
      <c r="G224" s="19"/>
      <c r="N224" t="s">
        <v>343</v>
      </c>
      <c r="O224" s="19"/>
    </row>
    <row r="225">
      <c r="F225" t="s">
        <v>344</v>
      </c>
      <c r="G225" s="19"/>
      <c r="N225" t="s">
        <v>344</v>
      </c>
      <c r="O225" s="19"/>
    </row>
    <row r="233">
      <c r="A233" s="13" t="s">
        <v>398</v>
      </c>
      <c r="B233" s="13"/>
      <c r="C233" s="13"/>
      <c r="D233" s="13"/>
      <c r="E233" s="13"/>
      <c r="F233" s="13"/>
      <c r="G233" s="13"/>
      <c r="I233" s="13" t="s">
        <v>399</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343</v>
      </c>
      <c r="G237" s="19"/>
      <c r="N237" t="s">
        <v>343</v>
      </c>
      <c r="O237" s="19"/>
    </row>
    <row r="238">
      <c r="F238" t="s">
        <v>344</v>
      </c>
      <c r="G238" s="19"/>
      <c r="N238" t="s">
        <v>344</v>
      </c>
      <c r="O238" s="19"/>
    </row>
    <row r="241">
      <c r="A241" s="13" t="s">
        <v>400</v>
      </c>
      <c r="B241" s="13"/>
      <c r="C241" s="13"/>
      <c r="D241" s="13"/>
      <c r="E241" s="13"/>
      <c r="F241" s="13"/>
      <c r="G241" s="13"/>
      <c r="I241" s="13" t="s">
        <v>401</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343</v>
      </c>
      <c r="G245" s="19"/>
      <c r="N245" t="s">
        <v>343</v>
      </c>
      <c r="O245" s="19"/>
    </row>
    <row r="246">
      <c r="F246" t="s">
        <v>344</v>
      </c>
      <c r="G246" s="19"/>
      <c r="N246" t="s">
        <v>344</v>
      </c>
      <c r="O246" s="19"/>
    </row>
    <row r="254">
      <c r="A254" s="13" t="s">
        <v>402</v>
      </c>
      <c r="B254" s="13"/>
      <c r="C254" s="13"/>
      <c r="D254" s="13"/>
      <c r="E254" s="13"/>
      <c r="F254" s="13"/>
      <c r="G254" s="13"/>
      <c r="I254" s="13" t="s">
        <v>403</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343</v>
      </c>
      <c r="G258" s="19"/>
      <c r="N258" t="s">
        <v>343</v>
      </c>
      <c r="O258" s="19"/>
    </row>
    <row r="259">
      <c r="F259" t="s">
        <v>344</v>
      </c>
      <c r="G259" s="19"/>
      <c r="N259" t="s">
        <v>344</v>
      </c>
      <c r="O259" s="19"/>
    </row>
    <row r="267">
      <c r="A267" s="13" t="s">
        <v>404</v>
      </c>
      <c r="B267" s="13"/>
      <c r="C267" s="13"/>
      <c r="D267" s="13"/>
      <c r="E267" s="13"/>
      <c r="F267" s="13"/>
      <c r="G267" s="13"/>
    </row>
    <row r="268">
      <c r="A268" s="17" t="s">
        <v>239</v>
      </c>
      <c r="D268" s="14" t="s">
        <v>240</v>
      </c>
      <c r="G268" s="16" t="s">
        <v>241</v>
      </c>
    </row>
    <row r="269">
      <c r="A269" s="14" t="str">
        <f>CONCATENATE("M 60 ",O258)</f>
      </c>
      <c r="B269" s="18"/>
      <c r="C269" s="18"/>
      <c r="D269" s="18"/>
      <c r="E269" s="18"/>
      <c r="F269" s="18"/>
      <c r="G269" s="14" t="str">
        <f>CONCATENATE("M 59 ",G258)</f>
      </c>
    </row>
    <row r="271">
      <c r="F271" t="s">
        <v>343</v>
      </c>
      <c r="G271" s="19"/>
    </row>
    <row r="272">
      <c r="F272" t="s">
        <v>344</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Matches'!G13)</f>
      </c>
    </row>
    <row r="7">
      <c r="A7" s="27" t="str">
        <f>"3. " &amp; data!$B$5</f>
      </c>
      <c r="F7" s="22"/>
      <c r="G7" s="20"/>
    </row>
    <row r="8">
      <c r="A8" s="22"/>
      <c r="G8" s="21">
        <v>31</v>
      </c>
    </row>
    <row r="9">
      <c r="A9" s="24" t="str">
        <f>data!$A$8</f>
      </c>
      <c r="C9" s="23" t="str">
        <f>CONCATENATE("Pool C-1st ",'Pool Matches'!G45)</f>
      </c>
      <c r="G9" s="20"/>
      <c r="H9" s="22"/>
      <c r="I9" s="20"/>
    </row>
    <row r="10">
      <c r="A10" s="25" t="str">
        <f>"1. " &amp; data!$B$6</f>
      </c>
      <c r="D10" s="22"/>
      <c r="E10" s="21">
        <v>1</v>
      </c>
      <c r="F10" s="15"/>
      <c r="G10" s="20"/>
      <c r="I10" s="20"/>
    </row>
    <row r="11">
      <c r="A11" s="26" t="str">
        <f>"2. " &amp; data!$B$7</f>
      </c>
      <c r="C11" s="23" t="str">
        <f>CONCATENATE("Pool B-2nd ",'Pool Matches'!G30)</f>
      </c>
      <c r="D11" s="15"/>
      <c r="E11" s="20"/>
      <c r="I11" s="20"/>
    </row>
    <row r="12">
      <c r="A12" s="27" t="str">
        <f>"3. " &amp; data!$B$8</f>
      </c>
      <c r="I12" s="21">
        <v>47</v>
      </c>
    </row>
    <row r="13">
      <c r="A13" s="22"/>
      <c r="C13" s="23" t="str">
        <f>CONCATENATE("Pool E-1st ",'Pool Matches'!G77)</f>
      </c>
      <c r="I13" s="20"/>
      <c r="J13" s="22"/>
      <c r="K13" s="20"/>
    </row>
    <row r="14">
      <c r="A14" s="24" t="str">
        <f>data!$A$11</f>
      </c>
      <c r="D14" s="22"/>
      <c r="E14" s="21">
        <v>2</v>
      </c>
      <c r="I14" s="20"/>
      <c r="K14" s="20"/>
    </row>
    <row r="15">
      <c r="A15" s="25" t="str">
        <f>"1. " &amp; data!$B$9</f>
      </c>
      <c r="C15" s="23" t="str">
        <f>CONCATENATE("Pool D-2nd ",'Pool Matches'!G62)</f>
      </c>
      <c r="D15" s="15"/>
      <c r="E15" s="20"/>
      <c r="F15" s="22"/>
      <c r="G15" s="20"/>
      <c r="I15" s="20"/>
      <c r="K15" s="20"/>
    </row>
    <row r="16">
      <c r="A16" s="26" t="str">
        <f>"2. " &amp; data!$B$10</f>
      </c>
      <c r="G16" s="21">
        <v>32</v>
      </c>
      <c r="H16" s="15"/>
      <c r="I16" s="20"/>
      <c r="K16" s="20"/>
    </row>
    <row r="17">
      <c r="A17" s="27" t="str">
        <f>"3. " &amp; data!$B$11</f>
      </c>
      <c r="C17" s="23" t="str">
        <f>CONCATENATE("Pool G-1st ",'Pool Matches'!G109)</f>
      </c>
      <c r="G17" s="20"/>
      <c r="K17" s="20"/>
    </row>
    <row r="18">
      <c r="A18" s="22"/>
      <c r="D18" s="22"/>
      <c r="E18" s="21">
        <v>3</v>
      </c>
      <c r="F18" s="15"/>
      <c r="G18" s="20"/>
      <c r="K18" s="20"/>
    </row>
    <row r="19">
      <c r="A19" s="24" t="str">
        <f>data!$A$14</f>
      </c>
      <c r="C19" s="23" t="str">
        <f>CONCATENATE("Pool F-2nd ",'Pool Matches'!G94)</f>
      </c>
      <c r="D19" s="15"/>
      <c r="E19" s="20"/>
      <c r="K19" s="20"/>
    </row>
    <row r="20">
      <c r="A20" s="25" t="str">
        <f>"1. " &amp; data!$B$12</f>
      </c>
      <c r="K20" s="21">
        <v>55</v>
      </c>
    </row>
    <row r="21">
      <c r="A21" s="26" t="str">
        <f>"2. " &amp; data!$B$13</f>
      </c>
      <c r="C21" s="23" t="str">
        <f>CONCATENATE("Pool I-1st ",'Pool Matches'!G141)</f>
      </c>
      <c r="K21" s="20"/>
    </row>
    <row r="22">
      <c r="A22" s="27" t="str">
        <f>"3. " &amp; data!$B$14</f>
      </c>
      <c r="D22" s="22"/>
      <c r="E22" s="21">
        <v>4</v>
      </c>
      <c r="K22" s="20"/>
    </row>
    <row r="23">
      <c r="A23" s="22"/>
      <c r="C23" s="23" t="str">
        <f>CONCATENATE("Pool H-2nd ",'Pool Matches'!G126)</f>
      </c>
      <c r="D23" s="15"/>
      <c r="E23" s="20"/>
      <c r="F23" s="22"/>
      <c r="G23" s="20"/>
      <c r="K23" s="20"/>
    </row>
    <row r="24">
      <c r="A24" s="24" t="str">
        <f>data!$A$17</f>
      </c>
      <c r="G24" s="21">
        <v>33</v>
      </c>
      <c r="K24" s="20"/>
    </row>
    <row r="25">
      <c r="A25" s="25" t="str">
        <f>"1. " &amp; data!$B$15</f>
      </c>
      <c r="C25" s="23" t="str">
        <f>CONCATENATE("Pool K-1st ",'Pool Matches'!G173)</f>
      </c>
      <c r="G25" s="20"/>
      <c r="H25" s="22"/>
      <c r="I25" s="20"/>
      <c r="K25" s="20"/>
    </row>
    <row r="26">
      <c r="A26" s="26" t="str">
        <f>"2. " &amp; data!$B$16</f>
      </c>
      <c r="D26" s="22"/>
      <c r="E26" s="21">
        <v>5</v>
      </c>
      <c r="F26" s="15"/>
      <c r="G26" s="20"/>
      <c r="I26" s="20"/>
      <c r="K26" s="20"/>
    </row>
    <row r="27">
      <c r="A27" s="27" t="str">
        <f>"3. " &amp; data!$B$17</f>
      </c>
      <c r="C27" s="23" t="str">
        <f>CONCATENATE("Pool J-2nd ",'Pool Matches'!G158)</f>
      </c>
      <c r="D27" s="15"/>
      <c r="E27" s="20"/>
      <c r="I27" s="20"/>
      <c r="K27" s="20"/>
    </row>
    <row r="28">
      <c r="A28" s="22"/>
      <c r="I28" s="21">
        <v>48</v>
      </c>
      <c r="J28" s="15"/>
      <c r="K28" s="20"/>
    </row>
    <row r="29">
      <c r="A29" s="24" t="str">
        <f>data!$A$20</f>
      </c>
      <c r="C29" s="23" t="str">
        <f>CONCATENATE("Pool M-1st ",'Pool Matches'!G205)</f>
      </c>
      <c r="I29" s="20"/>
    </row>
    <row r="30">
      <c r="A30" s="25" t="str">
        <f>"1. " &amp; data!$B$18</f>
      </c>
      <c r="D30" s="22"/>
      <c r="E30" s="21">
        <v>6</v>
      </c>
      <c r="I30" s="20"/>
    </row>
    <row r="31">
      <c r="A31" s="26" t="str">
        <f>"2. " &amp; data!$B$19</f>
      </c>
      <c r="C31" s="23" t="str">
        <f>CONCATENATE("Pool L-2nd ",'Pool Matches'!G190)</f>
      </c>
      <c r="D31" s="15"/>
      <c r="E31" s="20"/>
      <c r="F31" s="22"/>
      <c r="G31" s="20"/>
      <c r="I31" s="20"/>
    </row>
    <row r="32">
      <c r="A32" s="27" t="str">
        <f>"3. " &amp; data!$B$20</f>
      </c>
      <c r="G32" s="21">
        <v>34</v>
      </c>
      <c r="H32" s="15"/>
      <c r="I32" s="20"/>
    </row>
    <row r="33">
      <c r="A33" s="22"/>
      <c r="C33" s="23" t="str">
        <f>CONCATENATE("Pool O-1st ",'Pool Matches'!G237)</f>
      </c>
      <c r="G33" s="20"/>
    </row>
    <row r="34">
      <c r="A34" s="24" t="str">
        <f>data!$A$23</f>
      </c>
      <c r="D34" s="22"/>
      <c r="E34" s="21">
        <v>7</v>
      </c>
      <c r="F34" s="15"/>
      <c r="G34" s="20"/>
    </row>
    <row r="35">
      <c r="A35" s="25" t="str">
        <f>"1. " &amp; data!$B$21</f>
      </c>
      <c r="C35" s="23" t="str">
        <f>CONCATENATE("Pool N-2nd ",'Pool Matches'!G222)</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data!$A$29</f>
      </c>
    </row>
    <row r="5">
      <c r="A5" s="25" t="str">
        <f>"1. " &amp; data!$B$27</f>
      </c>
      <c r="C5" s="23" t="str">
        <f>CONCATENATE("Pool Q-1st ",'Pool Matches'!O13)</f>
      </c>
    </row>
    <row r="6">
      <c r="A6" s="26" t="str">
        <f>"2. " &amp; data!$B$28</f>
      </c>
      <c r="D6" s="22"/>
      <c r="E6" s="21">
        <v>8</v>
      </c>
    </row>
    <row r="7">
      <c r="A7" s="27" t="str">
        <f>"3. " &amp; data!$B$29</f>
      </c>
      <c r="C7" s="23" t="str">
        <f>CONCATENATE("Pool P-2nd ",'Pool Matches'!G251)</f>
      </c>
      <c r="D7" s="15"/>
      <c r="E7" s="20"/>
      <c r="F7" s="22"/>
      <c r="G7" s="20"/>
    </row>
    <row r="8">
      <c r="A8" s="22"/>
      <c r="G8" s="21">
        <v>35</v>
      </c>
    </row>
    <row r="9">
      <c r="A9" s="24" t="str">
        <f>data!$A$32</f>
      </c>
      <c r="C9" s="23" t="str">
        <f>CONCATENATE("Pool S-1st ",'Pool Matches'!O45)</f>
      </c>
      <c r="G9" s="20"/>
      <c r="H9" s="22"/>
      <c r="I9" s="20"/>
    </row>
    <row r="10">
      <c r="A10" s="25" t="str">
        <f>"1. " &amp; data!$B$30</f>
      </c>
      <c r="D10" s="22"/>
      <c r="E10" s="21">
        <v>9</v>
      </c>
      <c r="F10" s="15"/>
      <c r="G10" s="20"/>
      <c r="I10" s="20"/>
    </row>
    <row r="11">
      <c r="A11" s="26" t="str">
        <f>"2. " &amp; data!$B$31</f>
      </c>
      <c r="C11" s="23" t="str">
        <f>CONCATENATE("Pool R-2nd ",'Pool Matches'!O30)</f>
      </c>
      <c r="D11" s="15"/>
      <c r="E11" s="20"/>
      <c r="I11" s="20"/>
    </row>
    <row r="12">
      <c r="A12" s="27" t="str">
        <f>"3. " &amp; data!$B$32</f>
      </c>
      <c r="I12" s="21">
        <v>49</v>
      </c>
    </row>
    <row r="13">
      <c r="A13" s="22"/>
      <c r="C13" s="23" t="str">
        <f>CONCATENATE("Pool U-1st ",'Pool Matches'!O77)</f>
      </c>
      <c r="I13" s="20"/>
      <c r="J13" s="22"/>
      <c r="K13" s="20"/>
    </row>
    <row r="14">
      <c r="A14" s="24" t="str">
        <f>data!$A$35</f>
      </c>
      <c r="D14" s="22"/>
      <c r="E14" s="21">
        <v>10</v>
      </c>
      <c r="I14" s="20"/>
      <c r="K14" s="20"/>
    </row>
    <row r="15">
      <c r="A15" s="25" t="str">
        <f>"1. " &amp; data!$B$33</f>
      </c>
      <c r="C15" s="23" t="str">
        <f>CONCATENATE("Pool T-2nd ",'Pool Matches'!O62)</f>
      </c>
      <c r="D15" s="15"/>
      <c r="E15" s="20"/>
      <c r="F15" s="22"/>
      <c r="G15" s="20"/>
      <c r="I15" s="20"/>
      <c r="K15" s="20"/>
    </row>
    <row r="16">
      <c r="A16" s="26" t="str">
        <f>"2. " &amp; data!$B$34</f>
      </c>
      <c r="G16" s="21">
        <v>36</v>
      </c>
      <c r="H16" s="15"/>
      <c r="I16" s="20"/>
      <c r="K16" s="20"/>
    </row>
    <row r="17">
      <c r="A17" s="27" t="str">
        <f>"3. " &amp; data!$B$35</f>
      </c>
      <c r="C17" s="23" t="str">
        <f>CONCATENATE("Pool W-1st ",'Pool Matches'!O109)</f>
      </c>
      <c r="G17" s="20"/>
      <c r="K17" s="20"/>
    </row>
    <row r="18">
      <c r="A18" s="22"/>
      <c r="D18" s="22"/>
      <c r="E18" s="21">
        <v>11</v>
      </c>
      <c r="F18" s="15"/>
      <c r="G18" s="20"/>
      <c r="K18" s="20"/>
    </row>
    <row r="19">
      <c r="A19" s="24" t="str">
        <f>data!$A$38</f>
      </c>
      <c r="C19" s="23" t="str">
        <f>CONCATENATE("Pool V-2nd ",'Pool Matches'!O94)</f>
      </c>
      <c r="D19" s="15"/>
      <c r="E19" s="20"/>
      <c r="K19" s="20"/>
    </row>
    <row r="20">
      <c r="A20" s="25" t="str">
        <f>"1. " &amp; data!$B$36</f>
      </c>
      <c r="K20" s="21">
        <v>56</v>
      </c>
    </row>
    <row r="21">
      <c r="A21" s="26" t="str">
        <f>"2. " &amp; data!$B$37</f>
      </c>
      <c r="C21" s="23" t="str">
        <f>CONCATENATE("Pool Y-1st ",'Pool Matches'!O141)</f>
      </c>
      <c r="K21" s="20"/>
    </row>
    <row r="22">
      <c r="A22" s="27" t="str">
        <f>"3. " &amp; data!$B$38</f>
      </c>
      <c r="D22" s="22"/>
      <c r="E22" s="21">
        <v>12</v>
      </c>
      <c r="K22" s="20"/>
    </row>
    <row r="23">
      <c r="A23" s="22"/>
      <c r="C23" s="23" t="str">
        <f>CONCATENATE("Pool X-2nd ",'Pool Matches'!O126)</f>
      </c>
      <c r="D23" s="15"/>
      <c r="E23" s="20"/>
      <c r="F23" s="22"/>
      <c r="G23" s="20"/>
      <c r="K23" s="20"/>
    </row>
    <row r="24">
      <c r="A24" s="24" t="str">
        <f>data!$A$41</f>
      </c>
      <c r="G24" s="21">
        <v>37</v>
      </c>
      <c r="K24" s="20"/>
    </row>
    <row r="25">
      <c r="A25" s="25" t="str">
        <f>"1. " &amp; data!$B$39</f>
      </c>
      <c r="C25" s="23" t="str">
        <f>CONCATENATE("Pool AA-1st ",'Pool Matches'!O173)</f>
      </c>
      <c r="G25" s="20"/>
      <c r="H25" s="22"/>
      <c r="I25" s="20"/>
      <c r="K25" s="20"/>
    </row>
    <row r="26">
      <c r="A26" s="26" t="str">
        <f>"2. " &amp; data!$B$40</f>
      </c>
      <c r="D26" s="22"/>
      <c r="E26" s="21">
        <v>13</v>
      </c>
      <c r="F26" s="15"/>
      <c r="G26" s="20"/>
      <c r="I26" s="20"/>
      <c r="K26" s="20"/>
    </row>
    <row r="27">
      <c r="A27" s="27" t="str">
        <f>"3. " &amp; data!$B$41</f>
      </c>
      <c r="C27" s="23" t="str">
        <f>CONCATENATE("Pool Z-2nd ",'Pool Matches'!O158)</f>
      </c>
      <c r="D27" s="15"/>
      <c r="E27" s="20"/>
      <c r="I27" s="20"/>
      <c r="K27" s="20"/>
    </row>
    <row r="28">
      <c r="A28" s="22"/>
      <c r="I28" s="21">
        <v>50</v>
      </c>
      <c r="J28" s="15"/>
      <c r="K28" s="20"/>
    </row>
    <row r="29">
      <c r="A29" s="24" t="str">
        <f>data!$A$44</f>
      </c>
      <c r="C29" s="23" t="str">
        <f>CONCATENATE("Pool CC-1st ",'Pool Matches'!O205)</f>
      </c>
      <c r="I29" s="20"/>
    </row>
    <row r="30">
      <c r="A30" s="25" t="str">
        <f>"1. " &amp; data!$B$42</f>
      </c>
      <c r="D30" s="22"/>
      <c r="E30" s="21">
        <v>14</v>
      </c>
      <c r="I30" s="20"/>
    </row>
    <row r="31">
      <c r="A31" s="26" t="str">
        <f>"2. " &amp; data!$B$43</f>
      </c>
      <c r="C31" s="23" t="str">
        <f>CONCATENATE("Pool BB-2nd ",'Pool Matches'!O190)</f>
      </c>
      <c r="D31" s="15"/>
      <c r="E31" s="20"/>
      <c r="F31" s="22"/>
      <c r="G31" s="20"/>
      <c r="I31" s="20"/>
    </row>
    <row r="32">
      <c r="A32" s="27" t="str">
        <f>"3. " &amp; data!$B$44</f>
      </c>
      <c r="G32" s="21">
        <v>38</v>
      </c>
      <c r="H32" s="15"/>
      <c r="I32" s="20"/>
    </row>
    <row r="33">
      <c r="A33" s="22"/>
      <c r="C33" s="23" t="str">
        <f>CONCATENATE("Pool EE-1st ",'Pool Matches'!O236)</f>
      </c>
      <c r="G33" s="20"/>
    </row>
    <row r="34">
      <c r="A34" s="24" t="str">
        <f>data!$A$47</f>
      </c>
      <c r="D34" s="22"/>
      <c r="E34" s="21">
        <v>15</v>
      </c>
      <c r="F34" s="15"/>
      <c r="G34" s="20"/>
    </row>
    <row r="35">
      <c r="A35" s="25" t="str">
        <f>"1. " &amp; data!$B$45</f>
      </c>
      <c r="C35" s="23" t="str">
        <f>CONCATENATE("Pool DD-2nd ",'Pool Matches'!O222)</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data!$A$52</f>
      </c>
    </row>
    <row r="5">
      <c r="A5" s="25" t="str">
        <f>"1. " &amp; data!$B$50</f>
      </c>
    </row>
    <row r="6">
      <c r="A6" s="26" t="str">
        <f>"2. " &amp; data!$B$51</f>
      </c>
      <c r="E6" s="23" t="str">
        <f>CONCATENATE("Pool B-1st ",'Pool Matches'!G29)</f>
      </c>
    </row>
    <row r="7">
      <c r="A7" s="27" t="str">
        <f>"3. " &amp; data!$B$52</f>
      </c>
      <c r="F7" s="22"/>
      <c r="G7" s="20"/>
    </row>
    <row r="8">
      <c r="A8" s="22"/>
      <c r="G8" s="21">
        <v>39</v>
      </c>
    </row>
    <row r="9">
      <c r="A9" s="24" t="str">
        <f>data!$A$55</f>
      </c>
      <c r="C9" s="23" t="str">
        <f>CONCATENATE("Pool A-2nd ",'Pool Matches'!G14)</f>
      </c>
      <c r="G9" s="20"/>
      <c r="H9" s="22"/>
      <c r="I9" s="20"/>
    </row>
    <row r="10">
      <c r="A10" s="25" t="str">
        <f>"1. " &amp; data!$B$53</f>
      </c>
      <c r="D10" s="22"/>
      <c r="E10" s="21">
        <v>16</v>
      </c>
      <c r="F10" s="15"/>
      <c r="G10" s="20"/>
      <c r="I10" s="20"/>
    </row>
    <row r="11">
      <c r="A11" s="26" t="str">
        <f>"2. " &amp; data!$B$54</f>
      </c>
      <c r="C11" s="23" t="str">
        <f>CONCATENATE("Pool C-2nd ",'Pool Matches'!G46)</f>
      </c>
      <c r="D11" s="15"/>
      <c r="E11" s="20"/>
      <c r="I11" s="20"/>
    </row>
    <row r="12">
      <c r="A12" s="27" t="str">
        <f>"3. " &amp; data!$B$55</f>
      </c>
      <c r="I12" s="21">
        <v>51</v>
      </c>
    </row>
    <row r="13">
      <c r="A13" s="22"/>
      <c r="C13" s="23" t="str">
        <f>CONCATENATE("Pool D-1st ",'Pool Matches'!G61)</f>
      </c>
      <c r="I13" s="20"/>
      <c r="J13" s="22"/>
      <c r="K13" s="20"/>
    </row>
    <row r="14">
      <c r="A14" s="24" t="str">
        <f>data!$A$58</f>
      </c>
      <c r="D14" s="22"/>
      <c r="E14" s="21">
        <v>17</v>
      </c>
      <c r="I14" s="20"/>
      <c r="K14" s="20"/>
    </row>
    <row r="15">
      <c r="A15" s="25" t="str">
        <f>"1. " &amp; data!$B$56</f>
      </c>
      <c r="C15" s="23" t="str">
        <f>CONCATENATE("Pool E-2nd ",'Pool Matches'!G78)</f>
      </c>
      <c r="D15" s="15"/>
      <c r="E15" s="20"/>
      <c r="F15" s="22"/>
      <c r="G15" s="20"/>
      <c r="I15" s="20"/>
      <c r="K15" s="20"/>
    </row>
    <row r="16">
      <c r="A16" s="26" t="str">
        <f>"2. " &amp; data!$B$57</f>
      </c>
      <c r="G16" s="21">
        <v>40</v>
      </c>
      <c r="H16" s="15"/>
      <c r="I16" s="20"/>
      <c r="K16" s="20"/>
    </row>
    <row r="17">
      <c r="A17" s="27" t="str">
        <f>"3. " &amp; data!$B$58</f>
      </c>
      <c r="C17" s="23" t="str">
        <f>CONCATENATE("Pool F-1st ",'Pool Matches'!G93)</f>
      </c>
      <c r="G17" s="20"/>
      <c r="K17" s="20"/>
    </row>
    <row r="18">
      <c r="A18" s="22"/>
      <c r="D18" s="22"/>
      <c r="E18" s="21">
        <v>18</v>
      </c>
      <c r="F18" s="15"/>
      <c r="G18" s="20"/>
      <c r="K18" s="20"/>
    </row>
    <row r="19">
      <c r="A19" s="24" t="str">
        <f>data!$A$61</f>
      </c>
      <c r="C19" s="23" t="str">
        <f>CONCATENATE("Pool G-2nd ",'Pool Matches'!G110)</f>
      </c>
      <c r="D19" s="15"/>
      <c r="E19" s="20"/>
      <c r="K19" s="20"/>
    </row>
    <row r="20">
      <c r="A20" s="25" t="str">
        <f>"1. " &amp; data!$B$59</f>
      </c>
      <c r="K20" s="21">
        <v>57</v>
      </c>
    </row>
    <row r="21">
      <c r="A21" s="26" t="str">
        <f>"2. " &amp; data!$B$60</f>
      </c>
      <c r="C21" s="23" t="str">
        <f>CONCATENATE("Pool H-1st ",'Pool Matches'!G125)</f>
      </c>
      <c r="K21" s="20"/>
    </row>
    <row r="22">
      <c r="A22" s="27" t="str">
        <f>"3. " &amp; data!$B$61</f>
      </c>
      <c r="D22" s="22"/>
      <c r="E22" s="21">
        <v>19</v>
      </c>
      <c r="K22" s="20"/>
    </row>
    <row r="23">
      <c r="A23" s="22"/>
      <c r="C23" s="23" t="str">
        <f>CONCATENATE("Pool I-2nd ",'Pool Matches'!G142)</f>
      </c>
      <c r="D23" s="15"/>
      <c r="E23" s="20"/>
      <c r="F23" s="22"/>
      <c r="G23" s="20"/>
      <c r="K23" s="20"/>
    </row>
    <row r="24">
      <c r="A24" s="24" t="str">
        <f>data!$A$64</f>
      </c>
      <c r="G24" s="21">
        <v>41</v>
      </c>
      <c r="K24" s="20"/>
    </row>
    <row r="25">
      <c r="A25" s="25" t="str">
        <f>"1. " &amp; data!$B$62</f>
      </c>
      <c r="C25" s="23" t="str">
        <f>CONCATENATE("Pool J-1st ",'Pool Matches'!G157)</f>
      </c>
      <c r="G25" s="20"/>
      <c r="H25" s="22"/>
      <c r="I25" s="20"/>
      <c r="K25" s="20"/>
    </row>
    <row r="26">
      <c r="A26" s="26" t="str">
        <f>"2. " &amp; data!$B$63</f>
      </c>
      <c r="D26" s="22"/>
      <c r="E26" s="21">
        <v>20</v>
      </c>
      <c r="F26" s="15"/>
      <c r="G26" s="20"/>
      <c r="I26" s="20"/>
      <c r="K26" s="20"/>
    </row>
    <row r="27">
      <c r="A27" s="27" t="str">
        <f>"3. " &amp; data!$B$64</f>
      </c>
      <c r="C27" s="23" t="str">
        <f>CONCATENATE("Pool K-2nd ",'Pool Matches'!G174)</f>
      </c>
      <c r="D27" s="15"/>
      <c r="E27" s="20"/>
      <c r="I27" s="20"/>
      <c r="K27" s="20"/>
    </row>
    <row r="28">
      <c r="A28" s="22"/>
      <c r="I28" s="21">
        <v>52</v>
      </c>
      <c r="J28" s="15"/>
      <c r="K28" s="20"/>
    </row>
    <row r="29">
      <c r="A29" s="24" t="str">
        <f>data!$A$67</f>
      </c>
      <c r="C29" s="23" t="str">
        <f>CONCATENATE("Pool L-1st ",'Pool Matches'!G189)</f>
      </c>
      <c r="I29" s="20"/>
    </row>
    <row r="30">
      <c r="A30" s="25" t="str">
        <f>"1. " &amp; data!$B$65</f>
      </c>
      <c r="D30" s="22"/>
      <c r="E30" s="21">
        <v>21</v>
      </c>
      <c r="I30" s="20"/>
    </row>
    <row r="31">
      <c r="A31" s="26" t="str">
        <f>"2. " &amp; data!$B$66</f>
      </c>
      <c r="C31" s="23" t="str">
        <f>CONCATENATE("Pool M-2nd ",'Pool Matches'!G206)</f>
      </c>
      <c r="D31" s="15"/>
      <c r="E31" s="20"/>
      <c r="F31" s="22"/>
      <c r="G31" s="20"/>
      <c r="I31" s="20"/>
    </row>
    <row r="32">
      <c r="A32" s="27" t="str">
        <f>"3. " &amp; data!$B$67</f>
      </c>
      <c r="G32" s="21">
        <v>42</v>
      </c>
      <c r="H32" s="15"/>
      <c r="I32" s="20"/>
    </row>
    <row r="33">
      <c r="A33" s="22"/>
      <c r="C33" s="23" t="str">
        <f>CONCATENATE("Pool N-1st ",'Pool Matches'!G221)</f>
      </c>
      <c r="G33" s="20"/>
    </row>
    <row r="34">
      <c r="A34" s="24" t="str">
        <f>data!$A$70</f>
      </c>
      <c r="D34" s="22"/>
      <c r="E34" s="21">
        <v>22</v>
      </c>
      <c r="F34" s="15"/>
      <c r="G34" s="20"/>
    </row>
    <row r="35">
      <c r="A35" s="25" t="str">
        <f>"1. " &amp; data!$B$68</f>
      </c>
      <c r="C35" s="23" t="str">
        <f>CONCATENATE("Pool O-2nd ",'Pool Matches'!G238)</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data!$A$76</f>
      </c>
    </row>
    <row r="5">
      <c r="A5" s="25" t="str">
        <f>"1. " &amp; data!$B$74</f>
      </c>
      <c r="C5" s="23" t="str">
        <f>CONCATENATE("Pool P-1st ",'Pool Matches'!G250)</f>
      </c>
    </row>
    <row r="6">
      <c r="A6" s="26" t="str">
        <f>"2. " &amp; data!$B$75</f>
      </c>
      <c r="D6" s="22"/>
      <c r="E6" s="21">
        <v>23</v>
      </c>
    </row>
    <row r="7">
      <c r="A7" s="27" t="str">
        <f>"3. " &amp; data!$B$76</f>
      </c>
      <c r="C7" s="23" t="str">
        <f>CONCATENATE("Pool Q-2nd ",'Pool Matches'!O14)</f>
      </c>
      <c r="D7" s="15"/>
      <c r="E7" s="20"/>
      <c r="F7" s="22"/>
      <c r="G7" s="20"/>
    </row>
    <row r="8">
      <c r="A8" s="22"/>
      <c r="G8" s="21">
        <v>43</v>
      </c>
    </row>
    <row r="9">
      <c r="A9" s="24" t="str">
        <f>data!$A$79</f>
      </c>
      <c r="C9" s="23" t="str">
        <f>CONCATENATE("Pool R-1st ",'Pool Matches'!O29)</f>
      </c>
      <c r="G9" s="20"/>
      <c r="H9" s="22"/>
      <c r="I9" s="20"/>
    </row>
    <row r="10">
      <c r="A10" s="25" t="str">
        <f>"1. " &amp; data!$B$77</f>
      </c>
      <c r="D10" s="22"/>
      <c r="E10" s="21">
        <v>24</v>
      </c>
      <c r="F10" s="15"/>
      <c r="G10" s="20"/>
      <c r="I10" s="20"/>
    </row>
    <row r="11">
      <c r="A11" s="26" t="str">
        <f>"2. " &amp; data!$B$78</f>
      </c>
      <c r="C11" s="23" t="str">
        <f>CONCATENATE("Pool S-2nd ",'Pool Matches'!O46)</f>
      </c>
      <c r="D11" s="15"/>
      <c r="E11" s="20"/>
      <c r="I11" s="20"/>
    </row>
    <row r="12">
      <c r="A12" s="27" t="str">
        <f>"3. " &amp; data!$B$79</f>
      </c>
      <c r="I12" s="21">
        <v>53</v>
      </c>
    </row>
    <row r="13">
      <c r="A13" s="22"/>
      <c r="C13" s="23" t="str">
        <f>CONCATENATE("Pool T-1st ",'Pool Matches'!O61)</f>
      </c>
      <c r="I13" s="20"/>
      <c r="J13" s="22"/>
      <c r="K13" s="20"/>
    </row>
    <row r="14">
      <c r="A14" s="24" t="str">
        <f>data!$A$82</f>
      </c>
      <c r="D14" s="22"/>
      <c r="E14" s="21">
        <v>25</v>
      </c>
      <c r="I14" s="20"/>
      <c r="K14" s="20"/>
    </row>
    <row r="15">
      <c r="A15" s="25" t="str">
        <f>"1. " &amp; data!$B$80</f>
      </c>
      <c r="C15" s="23" t="str">
        <f>CONCATENATE("Pool U-2nd ",'Pool Matches'!O78)</f>
      </c>
      <c r="D15" s="15"/>
      <c r="E15" s="20"/>
      <c r="F15" s="22"/>
      <c r="G15" s="20"/>
      <c r="I15" s="20"/>
      <c r="K15" s="20"/>
    </row>
    <row r="16">
      <c r="A16" s="26" t="str">
        <f>"2. " &amp; data!$B$81</f>
      </c>
      <c r="G16" s="21">
        <v>44</v>
      </c>
      <c r="H16" s="15"/>
      <c r="I16" s="20"/>
      <c r="K16" s="20"/>
    </row>
    <row r="17">
      <c r="A17" s="27" t="str">
        <f>"3. " &amp; data!$B$82</f>
      </c>
      <c r="C17" s="23" t="str">
        <f>CONCATENATE("Pool V-1st ",'Pool Matches'!O93)</f>
      </c>
      <c r="G17" s="20"/>
      <c r="K17" s="20"/>
    </row>
    <row r="18">
      <c r="A18" s="22"/>
      <c r="D18" s="22"/>
      <c r="E18" s="21">
        <v>26</v>
      </c>
      <c r="F18" s="15"/>
      <c r="G18" s="20"/>
      <c r="K18" s="20"/>
    </row>
    <row r="19">
      <c r="A19" s="24" t="str">
        <f>data!$A$85</f>
      </c>
      <c r="C19" s="23" t="str">
        <f>CONCATENATE("Pool W-2nd ",'Pool Matches'!O110)</f>
      </c>
      <c r="D19" s="15"/>
      <c r="E19" s="20"/>
      <c r="K19" s="20"/>
    </row>
    <row r="20">
      <c r="A20" s="25" t="str">
        <f>"1. " &amp; data!$B$83</f>
      </c>
      <c r="K20" s="21">
        <v>58</v>
      </c>
    </row>
    <row r="21">
      <c r="A21" s="26" t="str">
        <f>"2. " &amp; data!$B$84</f>
      </c>
      <c r="C21" s="23" t="str">
        <f>CONCATENATE("Pool X-1st ",'Pool Matches'!O125)</f>
      </c>
      <c r="K21" s="20"/>
    </row>
    <row r="22">
      <c r="A22" s="27" t="str">
        <f>"3. " &amp; data!$B$85</f>
      </c>
      <c r="D22" s="22"/>
      <c r="E22" s="21">
        <v>27</v>
      </c>
      <c r="K22" s="20"/>
    </row>
    <row r="23">
      <c r="A23" s="22"/>
      <c r="C23" s="23" t="str">
        <f>CONCATENATE("Pool Y-2nd ",'Pool Matches'!O142)</f>
      </c>
      <c r="D23" s="15"/>
      <c r="E23" s="20"/>
      <c r="F23" s="22"/>
      <c r="G23" s="20"/>
      <c r="K23" s="20"/>
    </row>
    <row r="24">
      <c r="A24" s="24" t="str">
        <f>data!$A$88</f>
      </c>
      <c r="G24" s="21">
        <v>45</v>
      </c>
      <c r="K24" s="20"/>
    </row>
    <row r="25">
      <c r="A25" s="25" t="str">
        <f>"1. " &amp; data!$B$86</f>
      </c>
      <c r="C25" s="23" t="str">
        <f>CONCATENATE("Pool Z-1st ",'Pool Matches'!O157)</f>
      </c>
      <c r="G25" s="20"/>
      <c r="H25" s="22"/>
      <c r="I25" s="20"/>
      <c r="K25" s="20"/>
    </row>
    <row r="26">
      <c r="A26" s="26" t="str">
        <f>"2. " &amp; data!$B$87</f>
      </c>
      <c r="D26" s="22"/>
      <c r="E26" s="21">
        <v>28</v>
      </c>
      <c r="F26" s="15"/>
      <c r="G26" s="20"/>
      <c r="I26" s="20"/>
      <c r="K26" s="20"/>
    </row>
    <row r="27">
      <c r="A27" s="27" t="str">
        <f>"3. " &amp; data!$B$88</f>
      </c>
      <c r="C27" s="23" t="str">
        <f>CONCATENATE("Pool AA-2nd ",'Pool Matches'!O174)</f>
      </c>
      <c r="D27" s="15"/>
      <c r="E27" s="20"/>
      <c r="I27" s="20"/>
      <c r="K27" s="20"/>
    </row>
    <row r="28">
      <c r="A28" s="22"/>
      <c r="I28" s="21">
        <v>54</v>
      </c>
      <c r="J28" s="15"/>
      <c r="K28" s="20"/>
    </row>
    <row r="29">
      <c r="A29" s="24" t="str">
        <f>data!$A$91</f>
      </c>
      <c r="C29" s="23" t="str">
        <f>CONCATENATE("Pool BB-1st ",'Pool Matches'!O189)</f>
      </c>
      <c r="I29" s="20"/>
    </row>
    <row r="30">
      <c r="A30" s="25" t="str">
        <f>"1. " &amp; data!$B$89</f>
      </c>
      <c r="D30" s="22"/>
      <c r="E30" s="21">
        <v>29</v>
      </c>
      <c r="I30" s="20"/>
    </row>
    <row r="31">
      <c r="A31" s="26" t="str">
        <f>"2. " &amp; data!$B$90</f>
      </c>
      <c r="C31" s="23" t="str">
        <f>CONCATENATE("Pool CC-2nd ",'Pool Matches'!O206)</f>
      </c>
      <c r="D31" s="15"/>
      <c r="E31" s="20"/>
      <c r="F31" s="22"/>
      <c r="G31" s="20"/>
      <c r="I31" s="20"/>
    </row>
    <row r="32">
      <c r="A32" s="27" t="str">
        <f>"3. " &amp; data!$B$91</f>
      </c>
      <c r="G32" s="21">
        <v>46</v>
      </c>
      <c r="H32" s="15"/>
      <c r="I32" s="20"/>
    </row>
    <row r="33">
      <c r="A33" s="22"/>
      <c r="C33" s="23" t="str">
        <f>CONCATENATE("Pool DD-1st ",'Pool Matches'!O221)</f>
      </c>
      <c r="G33" s="20"/>
    </row>
    <row r="34">
      <c r="A34" s="24" t="str">
        <f>data!$A$93</f>
      </c>
      <c r="D34" s="22"/>
      <c r="E34" s="21">
        <v>30</v>
      </c>
      <c r="F34" s="15"/>
      <c r="G34" s="20"/>
    </row>
    <row r="35">
      <c r="A35" s="25" t="str">
        <f>"1. " &amp; data!$B$92</f>
      </c>
      <c r="C35" s="23" t="str">
        <f>CONCATENATE("Pool EE-2nd ",'Pool Matches'!O237)</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251</v>
      </c>
      <c r="B1" s="29" t="str">
        <f>data!D3</f>
      </c>
    </row>
    <row r="2" ht="270" customHeight="true">
      <c r="A2" s="28" t="s">
        <v>252</v>
      </c>
      <c r="B2" s="29" t="str">
        <f>data!D4</f>
      </c>
    </row>
    <row r="3" ht="270" customHeight="true">
      <c r="A3" s="28" t="s">
        <v>253</v>
      </c>
      <c r="B3" s="29" t="str">
        <f>data!D5</f>
      </c>
    </row>
    <row r="4" ht="270" customHeight="true">
      <c r="A4" s="28" t="s">
        <v>254</v>
      </c>
      <c r="B4" s="29" t="str">
        <f>data!D6</f>
      </c>
    </row>
    <row r="5" ht="270" customHeight="true">
      <c r="A5" s="28" t="s">
        <v>255</v>
      </c>
      <c r="B5" s="29" t="str">
        <f>data!D7</f>
      </c>
    </row>
    <row r="6" ht="270" customHeight="true">
      <c r="A6" s="28" t="s">
        <v>256</v>
      </c>
      <c r="B6" s="29" t="str">
        <f>data!D8</f>
      </c>
    </row>
    <row r="7" ht="270" customHeight="true">
      <c r="A7" s="28" t="s">
        <v>257</v>
      </c>
      <c r="B7" s="29" t="str">
        <f>data!D9</f>
      </c>
    </row>
    <row r="8" ht="270" customHeight="true">
      <c r="A8" s="28" t="s">
        <v>258</v>
      </c>
      <c r="B8" s="29" t="str">
        <f>data!D10</f>
      </c>
    </row>
    <row r="9" ht="270" customHeight="true">
      <c r="A9" s="28" t="s">
        <v>259</v>
      </c>
      <c r="B9" s="29" t="str">
        <f>data!D11</f>
      </c>
    </row>
    <row r="10" ht="270" customHeight="true">
      <c r="A10" s="28" t="s">
        <v>260</v>
      </c>
      <c r="B10" s="29" t="str">
        <f>data!D12</f>
      </c>
    </row>
    <row r="11" ht="270" customHeight="true">
      <c r="A11" s="28" t="s">
        <v>261</v>
      </c>
      <c r="B11" s="29" t="str">
        <f>data!D13</f>
      </c>
    </row>
    <row r="12" ht="270" customHeight="true">
      <c r="A12" s="28" t="s">
        <v>262</v>
      </c>
      <c r="B12" s="29" t="str">
        <f>data!D14</f>
      </c>
    </row>
    <row r="13" ht="270" customHeight="true">
      <c r="A13" s="28" t="s">
        <v>263</v>
      </c>
      <c r="B13" s="29" t="str">
        <f>data!D15</f>
      </c>
    </row>
    <row r="14" ht="270" customHeight="true">
      <c r="A14" s="28" t="s">
        <v>264</v>
      </c>
      <c r="B14" s="29" t="str">
        <f>data!D16</f>
      </c>
    </row>
    <row r="15" ht="270" customHeight="true">
      <c r="A15" s="28" t="s">
        <v>265</v>
      </c>
      <c r="B15" s="29" t="str">
        <f>data!D17</f>
      </c>
    </row>
    <row r="16" ht="270" customHeight="true">
      <c r="A16" s="28" t="s">
        <v>266</v>
      </c>
      <c r="B16" s="29" t="str">
        <f>data!D18</f>
      </c>
    </row>
    <row r="17" ht="270" customHeight="true">
      <c r="A17" s="28" t="s">
        <v>267</v>
      </c>
      <c r="B17" s="29" t="str">
        <f>data!D19</f>
      </c>
    </row>
    <row r="18" ht="270" customHeight="true">
      <c r="A18" s="28" t="s">
        <v>268</v>
      </c>
      <c r="B18" s="29" t="str">
        <f>data!D20</f>
      </c>
    </row>
    <row r="19" ht="270" customHeight="true">
      <c r="A19" s="28" t="s">
        <v>269</v>
      </c>
      <c r="B19" s="29" t="str">
        <f>data!D21</f>
      </c>
    </row>
    <row r="20" ht="270" customHeight="true">
      <c r="A20" s="28" t="s">
        <v>270</v>
      </c>
      <c r="B20" s="29" t="str">
        <f>data!D22</f>
      </c>
    </row>
    <row r="21" ht="270" customHeight="true">
      <c r="A21" s="28" t="s">
        <v>271</v>
      </c>
      <c r="B21" s="29" t="str">
        <f>data!D23</f>
      </c>
    </row>
    <row r="22" ht="270" customHeight="true">
      <c r="A22" s="28" t="s">
        <v>272</v>
      </c>
      <c r="B22" s="29" t="str">
        <f>data!D24</f>
      </c>
    </row>
    <row r="23" ht="270" customHeight="true">
      <c r="A23" s="28" t="s">
        <v>273</v>
      </c>
      <c r="B23" s="29" t="str">
        <f>data!D25</f>
      </c>
    </row>
    <row r="24" ht="270" customHeight="true">
      <c r="A24" s="28" t="s">
        <v>274</v>
      </c>
      <c r="B24" s="29" t="str">
        <f>data!D26</f>
      </c>
    </row>
    <row r="25" ht="270" customHeight="true">
      <c r="A25" s="28" t="s">
        <v>275</v>
      </c>
      <c r="B25" s="29" t="str">
        <f>data!D27</f>
      </c>
    </row>
    <row r="26" ht="270" customHeight="true">
      <c r="A26" s="28" t="s">
        <v>276</v>
      </c>
      <c r="B26" s="29" t="str">
        <f>data!D28</f>
      </c>
    </row>
    <row r="27" ht="270" customHeight="true">
      <c r="A27" s="28" t="s">
        <v>277</v>
      </c>
      <c r="B27" s="29" t="str">
        <f>data!D29</f>
      </c>
    </row>
    <row r="28" ht="270" customHeight="true">
      <c r="A28" s="28" t="s">
        <v>278</v>
      </c>
      <c r="B28" s="29" t="str">
        <f>data!D30</f>
      </c>
    </row>
    <row r="29" ht="270" customHeight="true">
      <c r="A29" s="28" t="s">
        <v>279</v>
      </c>
      <c r="B29" s="29" t="str">
        <f>data!D31</f>
      </c>
    </row>
    <row r="30" ht="270" customHeight="true">
      <c r="A30" s="28" t="s">
        <v>280</v>
      </c>
      <c r="B30" s="29" t="str">
        <f>data!D32</f>
      </c>
    </row>
    <row r="31" ht="270" customHeight="true">
      <c r="A31" s="28" t="s">
        <v>281</v>
      </c>
      <c r="B31" s="29" t="str">
        <f>data!D33</f>
      </c>
    </row>
    <row r="32" ht="270" customHeight="true">
      <c r="A32" s="28" t="s">
        <v>282</v>
      </c>
      <c r="B32" s="29" t="str">
        <f>data!D34</f>
      </c>
    </row>
    <row r="33" ht="270" customHeight="true">
      <c r="A33" s="28" t="s">
        <v>283</v>
      </c>
      <c r="B33" s="29" t="str">
        <f>data!D35</f>
      </c>
    </row>
    <row r="34" ht="270" customHeight="true">
      <c r="A34" s="28" t="s">
        <v>284</v>
      </c>
      <c r="B34" s="29" t="str">
        <f>data!D36</f>
      </c>
    </row>
    <row r="35" ht="270" customHeight="true">
      <c r="A35" s="28" t="s">
        <v>285</v>
      </c>
      <c r="B35" s="29" t="str">
        <f>data!D37</f>
      </c>
    </row>
    <row r="36" ht="270" customHeight="true">
      <c r="A36" s="28" t="s">
        <v>286</v>
      </c>
      <c r="B36" s="29" t="str">
        <f>data!D38</f>
      </c>
    </row>
    <row r="37" ht="270" customHeight="true">
      <c r="A37" s="28" t="s">
        <v>287</v>
      </c>
      <c r="B37" s="29" t="str">
        <f>data!D39</f>
      </c>
    </row>
    <row r="38" ht="270" customHeight="true">
      <c r="A38" s="28" t="s">
        <v>288</v>
      </c>
      <c r="B38" s="29" t="str">
        <f>data!D40</f>
      </c>
    </row>
    <row r="39" ht="270" customHeight="true">
      <c r="A39" s="28" t="s">
        <v>289</v>
      </c>
      <c r="B39" s="29" t="str">
        <f>data!D41</f>
      </c>
    </row>
    <row r="40" ht="270" customHeight="true">
      <c r="A40" s="28" t="s">
        <v>290</v>
      </c>
      <c r="B40" s="29" t="str">
        <f>data!D42</f>
      </c>
    </row>
    <row r="41" ht="270" customHeight="true">
      <c r="A41" s="28" t="s">
        <v>291</v>
      </c>
      <c r="B41" s="29" t="str">
        <f>data!D43</f>
      </c>
    </row>
    <row r="42" ht="270" customHeight="true">
      <c r="A42" s="28" t="s">
        <v>292</v>
      </c>
      <c r="B42" s="29" t="str">
        <f>data!D44</f>
      </c>
    </row>
    <row r="43" ht="270" customHeight="true">
      <c r="A43" s="28" t="s">
        <v>293</v>
      </c>
      <c r="B43" s="29" t="str">
        <f>data!D45</f>
      </c>
    </row>
    <row r="44" ht="270" customHeight="true">
      <c r="A44" s="28" t="s">
        <v>294</v>
      </c>
      <c r="B44" s="29" t="str">
        <f>data!D46</f>
      </c>
    </row>
    <row r="45" ht="270" customHeight="true">
      <c r="A45" s="28" t="s">
        <v>295</v>
      </c>
      <c r="B45" s="29" t="str">
        <f>data!D47</f>
      </c>
    </row>
    <row r="46" ht="270" customHeight="true">
      <c r="A46" s="28" t="s">
        <v>296</v>
      </c>
      <c r="B46" s="29" t="str">
        <f>data!D48</f>
      </c>
    </row>
    <row r="47" ht="270" customHeight="true">
      <c r="A47" s="28" t="s">
        <v>297</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298</v>
      </c>
      <c r="B1" s="29" t="str">
        <f>data!D50</f>
      </c>
    </row>
    <row r="2" ht="270" customHeight="true">
      <c r="A2" s="28" t="s">
        <v>299</v>
      </c>
      <c r="B2" s="29" t="str">
        <f>data!D51</f>
      </c>
    </row>
    <row r="3" ht="270" customHeight="true">
      <c r="A3" s="28" t="s">
        <v>300</v>
      </c>
      <c r="B3" s="29" t="str">
        <f>data!D52</f>
      </c>
    </row>
    <row r="4" ht="270" customHeight="true">
      <c r="A4" s="28" t="s">
        <v>301</v>
      </c>
      <c r="B4" s="29" t="str">
        <f>data!D53</f>
      </c>
    </row>
    <row r="5" ht="270" customHeight="true">
      <c r="A5" s="28" t="s">
        <v>302</v>
      </c>
      <c r="B5" s="29" t="str">
        <f>data!D54</f>
      </c>
    </row>
    <row r="6" ht="270" customHeight="true">
      <c r="A6" s="28" t="s">
        <v>303</v>
      </c>
      <c r="B6" s="29" t="str">
        <f>data!D55</f>
      </c>
    </row>
    <row r="7" ht="270" customHeight="true">
      <c r="A7" s="28" t="s">
        <v>304</v>
      </c>
      <c r="B7" s="29" t="str">
        <f>data!D56</f>
      </c>
    </row>
    <row r="8" ht="270" customHeight="true">
      <c r="A8" s="28" t="s">
        <v>305</v>
      </c>
      <c r="B8" s="29" t="str">
        <f>data!D57</f>
      </c>
    </row>
    <row r="9" ht="270" customHeight="true">
      <c r="A9" s="28" t="s">
        <v>306</v>
      </c>
      <c r="B9" s="29" t="str">
        <f>data!D58</f>
      </c>
    </row>
    <row r="10" ht="270" customHeight="true">
      <c r="A10" s="28" t="s">
        <v>307</v>
      </c>
      <c r="B10" s="29" t="str">
        <f>data!D59</f>
      </c>
    </row>
    <row r="11" ht="270" customHeight="true">
      <c r="A11" s="28" t="s">
        <v>308</v>
      </c>
      <c r="B11" s="29" t="str">
        <f>data!D60</f>
      </c>
    </row>
    <row r="12" ht="270" customHeight="true">
      <c r="A12" s="28" t="s">
        <v>309</v>
      </c>
      <c r="B12" s="29" t="str">
        <f>data!D61</f>
      </c>
    </row>
    <row r="13" ht="270" customHeight="true">
      <c r="A13" s="28" t="s">
        <v>310</v>
      </c>
      <c r="B13" s="29" t="str">
        <f>data!D62</f>
      </c>
    </row>
    <row r="14" ht="270" customHeight="true">
      <c r="A14" s="28" t="s">
        <v>311</v>
      </c>
      <c r="B14" s="29" t="str">
        <f>data!D63</f>
      </c>
    </row>
    <row r="15" ht="270" customHeight="true">
      <c r="A15" s="28" t="s">
        <v>312</v>
      </c>
      <c r="B15" s="29" t="str">
        <f>data!D64</f>
      </c>
    </row>
    <row r="16" ht="270" customHeight="true">
      <c r="A16" s="28" t="s">
        <v>313</v>
      </c>
      <c r="B16" s="29" t="str">
        <f>data!D65</f>
      </c>
    </row>
    <row r="17" ht="270" customHeight="true">
      <c r="A17" s="28" t="s">
        <v>314</v>
      </c>
      <c r="B17" s="29" t="str">
        <f>data!D66</f>
      </c>
    </row>
    <row r="18" ht="270" customHeight="true">
      <c r="A18" s="28" t="s">
        <v>315</v>
      </c>
      <c r="B18" s="29" t="str">
        <f>data!D67</f>
      </c>
    </row>
    <row r="19" ht="270" customHeight="true">
      <c r="A19" s="28" t="s">
        <v>316</v>
      </c>
      <c r="B19" s="29" t="str">
        <f>data!D68</f>
      </c>
    </row>
    <row r="20" ht="270" customHeight="true">
      <c r="A20" s="28" t="s">
        <v>317</v>
      </c>
      <c r="B20" s="29" t="str">
        <f>data!D69</f>
      </c>
    </row>
    <row r="21" ht="270" customHeight="true">
      <c r="A21" s="28" t="s">
        <v>318</v>
      </c>
      <c r="B21" s="29" t="str">
        <f>data!D70</f>
      </c>
    </row>
    <row r="22" ht="270" customHeight="true">
      <c r="A22" s="28" t="s">
        <v>319</v>
      </c>
      <c r="B22" s="29" t="str">
        <f>data!D71</f>
      </c>
    </row>
    <row r="23" ht="270" customHeight="true">
      <c r="A23" s="28" t="s">
        <v>320</v>
      </c>
      <c r="B23" s="29" t="str">
        <f>data!D72</f>
      </c>
    </row>
    <row r="24" ht="270" customHeight="true">
      <c r="A24" s="28" t="s">
        <v>321</v>
      </c>
      <c r="B24" s="29" t="str">
        <f>data!D73</f>
      </c>
    </row>
    <row r="25" ht="270" customHeight="true">
      <c r="A25" s="28" t="s">
        <v>322</v>
      </c>
      <c r="B25" s="29" t="str">
        <f>data!D74</f>
      </c>
    </row>
    <row r="26" ht="270" customHeight="true">
      <c r="A26" s="28" t="s">
        <v>323</v>
      </c>
      <c r="B26" s="29" t="str">
        <f>data!D75</f>
      </c>
    </row>
    <row r="27" ht="270" customHeight="true">
      <c r="A27" s="28" t="s">
        <v>324</v>
      </c>
      <c r="B27" s="29" t="str">
        <f>data!D76</f>
      </c>
    </row>
    <row r="28" ht="270" customHeight="true">
      <c r="A28" s="28" t="s">
        <v>325</v>
      </c>
      <c r="B28" s="29" t="str">
        <f>data!D77</f>
      </c>
    </row>
    <row r="29" ht="270" customHeight="true">
      <c r="A29" s="28" t="s">
        <v>326</v>
      </c>
      <c r="B29" s="29" t="str">
        <f>data!D78</f>
      </c>
    </row>
    <row r="30" ht="270" customHeight="true">
      <c r="A30" s="28" t="s">
        <v>327</v>
      </c>
      <c r="B30" s="29" t="str">
        <f>data!D79</f>
      </c>
    </row>
    <row r="31" ht="270" customHeight="true">
      <c r="A31" s="28" t="s">
        <v>328</v>
      </c>
      <c r="B31" s="29" t="str">
        <f>data!D80</f>
      </c>
    </row>
    <row r="32" ht="270" customHeight="true">
      <c r="A32" s="28" t="s">
        <v>329</v>
      </c>
      <c r="B32" s="29" t="str">
        <f>data!D81</f>
      </c>
    </row>
    <row r="33" ht="270" customHeight="true">
      <c r="A33" s="28" t="s">
        <v>330</v>
      </c>
      <c r="B33" s="29" t="str">
        <f>data!D82</f>
      </c>
    </row>
    <row r="34" ht="270" customHeight="true">
      <c r="A34" s="28" t="s">
        <v>331</v>
      </c>
      <c r="B34" s="29" t="str">
        <f>data!D83</f>
      </c>
    </row>
    <row r="35" ht="270" customHeight="true">
      <c r="A35" s="28" t="s">
        <v>332</v>
      </c>
      <c r="B35" s="29" t="str">
        <f>data!D84</f>
      </c>
    </row>
    <row r="36" ht="270" customHeight="true">
      <c r="A36" s="28" t="s">
        <v>333</v>
      </c>
      <c r="B36" s="29" t="str">
        <f>data!D85</f>
      </c>
    </row>
    <row r="37" ht="270" customHeight="true">
      <c r="A37" s="28" t="s">
        <v>334</v>
      </c>
      <c r="B37" s="29" t="str">
        <f>data!D86</f>
      </c>
    </row>
    <row r="38" ht="270" customHeight="true">
      <c r="A38" s="28" t="s">
        <v>335</v>
      </c>
      <c r="B38" s="29" t="str">
        <f>data!D87</f>
      </c>
    </row>
    <row r="39" ht="270" customHeight="true">
      <c r="A39" s="28" t="s">
        <v>336</v>
      </c>
      <c r="B39" s="29" t="str">
        <f>data!D88</f>
      </c>
    </row>
    <row r="40" ht="270" customHeight="true">
      <c r="A40" s="28" t="s">
        <v>337</v>
      </c>
      <c r="B40" s="29" t="str">
        <f>data!D89</f>
      </c>
    </row>
    <row r="41" ht="270" customHeight="true">
      <c r="A41" s="28" t="s">
        <v>338</v>
      </c>
      <c r="B41" s="29" t="str">
        <f>data!D90</f>
      </c>
    </row>
    <row r="42" ht="270" customHeight="true">
      <c r="A42" s="28" t="s">
        <v>339</v>
      </c>
      <c r="B42" s="29" t="str">
        <f>data!D91</f>
      </c>
    </row>
    <row r="43" ht="270" customHeight="true">
      <c r="A43" s="28" t="s">
        <v>340</v>
      </c>
      <c r="B43" s="29" t="str">
        <f>data!D92</f>
      </c>
    </row>
    <row r="44" ht="270" customHeight="true">
      <c r="A44" s="28" t="s">
        <v>341</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251</v>
      </c>
    </row>
    <row r="2" ht="390" customHeight="true">
      <c r="A2" s="30" t="s">
        <v>251</v>
      </c>
    </row>
    <row r="3" ht="390" customHeight="true">
      <c r="A3" s="30" t="s">
        <v>252</v>
      </c>
    </row>
    <row r="4" ht="390" customHeight="true">
      <c r="A4" s="30" t="s">
        <v>252</v>
      </c>
    </row>
    <row r="5" ht="390" customHeight="true">
      <c r="A5" s="30" t="s">
        <v>253</v>
      </c>
    </row>
    <row r="6" ht="390" customHeight="true">
      <c r="A6" s="30" t="s">
        <v>253</v>
      </c>
    </row>
    <row r="7" ht="390" customHeight="true">
      <c r="A7" s="30" t="s">
        <v>254</v>
      </c>
    </row>
    <row r="8" ht="390" customHeight="true">
      <c r="A8" s="30" t="s">
        <v>254</v>
      </c>
    </row>
    <row r="9" ht="390" customHeight="true">
      <c r="A9" s="30" t="s">
        <v>255</v>
      </c>
    </row>
    <row r="10" ht="390" customHeight="true">
      <c r="A10" s="30" t="s">
        <v>255</v>
      </c>
    </row>
    <row r="11" ht="390" customHeight="true">
      <c r="A11" s="30" t="s">
        <v>256</v>
      </c>
    </row>
    <row r="12" ht="390" customHeight="true">
      <c r="A12" s="30" t="s">
        <v>256</v>
      </c>
    </row>
    <row r="13" ht="390" customHeight="true">
      <c r="A13" s="30" t="s">
        <v>257</v>
      </c>
    </row>
    <row r="14" ht="390" customHeight="true">
      <c r="A14" s="30" t="s">
        <v>257</v>
      </c>
    </row>
    <row r="15" ht="390" customHeight="true">
      <c r="A15" s="30" t="s">
        <v>258</v>
      </c>
    </row>
    <row r="16" ht="390" customHeight="true">
      <c r="A16" s="30" t="s">
        <v>258</v>
      </c>
    </row>
    <row r="17" ht="390" customHeight="true">
      <c r="A17" s="30" t="s">
        <v>259</v>
      </c>
    </row>
    <row r="18" ht="390" customHeight="true">
      <c r="A18" s="30" t="s">
        <v>259</v>
      </c>
    </row>
    <row r="19" ht="390" customHeight="true">
      <c r="A19" s="30" t="s">
        <v>260</v>
      </c>
    </row>
    <row r="20" ht="390" customHeight="true">
      <c r="A20" s="30" t="s">
        <v>260</v>
      </c>
    </row>
    <row r="21" ht="390" customHeight="true">
      <c r="A21" s="30" t="s">
        <v>261</v>
      </c>
    </row>
    <row r="22" ht="390" customHeight="true">
      <c r="A22" s="30" t="s">
        <v>261</v>
      </c>
    </row>
    <row r="23" ht="390" customHeight="true">
      <c r="A23" s="30" t="s">
        <v>262</v>
      </c>
    </row>
    <row r="24" ht="390" customHeight="true">
      <c r="A24" s="30" t="s">
        <v>262</v>
      </c>
    </row>
    <row r="25" ht="390" customHeight="true">
      <c r="A25" s="30" t="s">
        <v>263</v>
      </c>
    </row>
    <row r="26" ht="390" customHeight="true">
      <c r="A26" s="30" t="s">
        <v>263</v>
      </c>
    </row>
    <row r="27" ht="390" customHeight="true">
      <c r="A27" s="30" t="s">
        <v>264</v>
      </c>
    </row>
    <row r="28" ht="390" customHeight="true">
      <c r="A28" s="30" t="s">
        <v>264</v>
      </c>
    </row>
    <row r="29" ht="390" customHeight="true">
      <c r="A29" s="30" t="s">
        <v>265</v>
      </c>
    </row>
    <row r="30" ht="390" customHeight="true">
      <c r="A30" s="30" t="s">
        <v>265</v>
      </c>
    </row>
    <row r="31" ht="390" customHeight="true">
      <c r="A31" s="30" t="s">
        <v>266</v>
      </c>
    </row>
    <row r="32" ht="390" customHeight="true">
      <c r="A32" s="30" t="s">
        <v>266</v>
      </c>
    </row>
    <row r="33" ht="390" customHeight="true">
      <c r="A33" s="30" t="s">
        <v>267</v>
      </c>
    </row>
    <row r="34" ht="390" customHeight="true">
      <c r="A34" s="30" t="s">
        <v>267</v>
      </c>
    </row>
    <row r="35" ht="390" customHeight="true">
      <c r="A35" s="30" t="s">
        <v>268</v>
      </c>
    </row>
    <row r="36" ht="390" customHeight="true">
      <c r="A36" s="30" t="s">
        <v>268</v>
      </c>
    </row>
    <row r="37" ht="390" customHeight="true">
      <c r="A37" s="30" t="s">
        <v>269</v>
      </c>
    </row>
    <row r="38" ht="390" customHeight="true">
      <c r="A38" s="30" t="s">
        <v>269</v>
      </c>
    </row>
    <row r="39" ht="390" customHeight="true">
      <c r="A39" s="30" t="s">
        <v>270</v>
      </c>
    </row>
    <row r="40" ht="390" customHeight="true">
      <c r="A40" s="30" t="s">
        <v>270</v>
      </c>
    </row>
    <row r="41" ht="390" customHeight="true">
      <c r="A41" s="30" t="s">
        <v>271</v>
      </c>
    </row>
    <row r="42" ht="390" customHeight="true">
      <c r="A42" s="30" t="s">
        <v>271</v>
      </c>
    </row>
    <row r="43" ht="390" customHeight="true">
      <c r="A43" s="30" t="s">
        <v>272</v>
      </c>
    </row>
    <row r="44" ht="390" customHeight="true">
      <c r="A44" s="30" t="s">
        <v>272</v>
      </c>
    </row>
    <row r="45" ht="390" customHeight="true">
      <c r="A45" s="30" t="s">
        <v>273</v>
      </c>
    </row>
    <row r="46" ht="390" customHeight="true">
      <c r="A46" s="30" t="s">
        <v>273</v>
      </c>
    </row>
    <row r="47" ht="390" customHeight="true">
      <c r="A47" s="30" t="s">
        <v>274</v>
      </c>
    </row>
    <row r="48" ht="390" customHeight="true">
      <c r="A48" s="30" t="s">
        <v>274</v>
      </c>
    </row>
    <row r="49" ht="390" customHeight="true">
      <c r="A49" s="30" t="s">
        <v>275</v>
      </c>
    </row>
    <row r="50" ht="390" customHeight="true">
      <c r="A50" s="30" t="s">
        <v>275</v>
      </c>
    </row>
    <row r="51" ht="390" customHeight="true">
      <c r="A51" s="30" t="s">
        <v>276</v>
      </c>
    </row>
    <row r="52" ht="390" customHeight="true">
      <c r="A52" s="30" t="s">
        <v>276</v>
      </c>
    </row>
    <row r="53" ht="390" customHeight="true">
      <c r="A53" s="30" t="s">
        <v>277</v>
      </c>
    </row>
    <row r="54" ht="390" customHeight="true">
      <c r="A54" s="30" t="s">
        <v>277</v>
      </c>
    </row>
    <row r="55" ht="390" customHeight="true">
      <c r="A55" s="30" t="s">
        <v>278</v>
      </c>
    </row>
    <row r="56" ht="390" customHeight="true">
      <c r="A56" s="30" t="s">
        <v>278</v>
      </c>
    </row>
    <row r="57" ht="390" customHeight="true">
      <c r="A57" s="30" t="s">
        <v>279</v>
      </c>
    </row>
    <row r="58" ht="390" customHeight="true">
      <c r="A58" s="30" t="s">
        <v>279</v>
      </c>
    </row>
    <row r="59" ht="390" customHeight="true">
      <c r="A59" s="30" t="s">
        <v>280</v>
      </c>
    </row>
    <row r="60" ht="390" customHeight="true">
      <c r="A60" s="30" t="s">
        <v>280</v>
      </c>
    </row>
    <row r="61" ht="390" customHeight="true">
      <c r="A61" s="30" t="s">
        <v>281</v>
      </c>
    </row>
    <row r="62" ht="390" customHeight="true">
      <c r="A62" s="30" t="s">
        <v>281</v>
      </c>
    </row>
    <row r="63" ht="390" customHeight="true">
      <c r="A63" s="30" t="s">
        <v>282</v>
      </c>
    </row>
    <row r="64" ht="390" customHeight="true">
      <c r="A64" s="30" t="s">
        <v>282</v>
      </c>
    </row>
    <row r="65" ht="390" customHeight="true">
      <c r="A65" s="30" t="s">
        <v>283</v>
      </c>
    </row>
    <row r="66" ht="390" customHeight="true">
      <c r="A66" s="30" t="s">
        <v>283</v>
      </c>
    </row>
    <row r="67" ht="390" customHeight="true">
      <c r="A67" s="30" t="s">
        <v>284</v>
      </c>
    </row>
    <row r="68" ht="390" customHeight="true">
      <c r="A68" s="30" t="s">
        <v>284</v>
      </c>
    </row>
    <row r="69" ht="390" customHeight="true">
      <c r="A69" s="30" t="s">
        <v>285</v>
      </c>
    </row>
    <row r="70" ht="390" customHeight="true">
      <c r="A70" s="30" t="s">
        <v>285</v>
      </c>
    </row>
    <row r="71" ht="390" customHeight="true">
      <c r="A71" s="30" t="s">
        <v>286</v>
      </c>
    </row>
    <row r="72" ht="390" customHeight="true">
      <c r="A72" s="30" t="s">
        <v>286</v>
      </c>
    </row>
    <row r="73" ht="390" customHeight="true">
      <c r="A73" s="30" t="s">
        <v>287</v>
      </c>
    </row>
    <row r="74" ht="390" customHeight="true">
      <c r="A74" s="30" t="s">
        <v>287</v>
      </c>
    </row>
    <row r="75" ht="390" customHeight="true">
      <c r="A75" s="30" t="s">
        <v>288</v>
      </c>
    </row>
    <row r="76" ht="390" customHeight="true">
      <c r="A76" s="30" t="s">
        <v>288</v>
      </c>
    </row>
    <row r="77" ht="390" customHeight="true">
      <c r="A77" s="30" t="s">
        <v>289</v>
      </c>
    </row>
    <row r="78" ht="390" customHeight="true">
      <c r="A78" s="30" t="s">
        <v>289</v>
      </c>
    </row>
    <row r="79" ht="390" customHeight="true">
      <c r="A79" s="30" t="s">
        <v>290</v>
      </c>
    </row>
    <row r="80" ht="390" customHeight="true">
      <c r="A80" s="30" t="s">
        <v>290</v>
      </c>
    </row>
    <row r="81" ht="390" customHeight="true">
      <c r="A81" s="30" t="s">
        <v>291</v>
      </c>
    </row>
    <row r="82" ht="390" customHeight="true">
      <c r="A82" s="30" t="s">
        <v>291</v>
      </c>
    </row>
    <row r="83" ht="390" customHeight="true">
      <c r="A83" s="30" t="s">
        <v>292</v>
      </c>
    </row>
    <row r="84" ht="390" customHeight="true">
      <c r="A84" s="30" t="s">
        <v>292</v>
      </c>
    </row>
    <row r="85" ht="390" customHeight="true">
      <c r="A85" s="30" t="s">
        <v>293</v>
      </c>
    </row>
    <row r="86" ht="390" customHeight="true">
      <c r="A86" s="30" t="s">
        <v>293</v>
      </c>
    </row>
    <row r="87" ht="390" customHeight="true">
      <c r="A87" s="30" t="s">
        <v>294</v>
      </c>
    </row>
    <row r="88" ht="390" customHeight="true">
      <c r="A88" s="30" t="s">
        <v>294</v>
      </c>
    </row>
    <row r="89" ht="390" customHeight="true">
      <c r="A89" s="30" t="s">
        <v>295</v>
      </c>
    </row>
    <row r="90" ht="390" customHeight="true">
      <c r="A90" s="30" t="s">
        <v>295</v>
      </c>
    </row>
    <row r="91" ht="390" customHeight="true">
      <c r="A91" s="30" t="s">
        <v>296</v>
      </c>
    </row>
    <row r="92" ht="390" customHeight="true">
      <c r="A92" s="30" t="s">
        <v>296</v>
      </c>
    </row>
    <row r="93" ht="390" customHeight="true">
      <c r="A93" s="30" t="s">
        <v>297</v>
      </c>
    </row>
    <row r="94" ht="390" customHeight="true">
      <c r="A94" s="30" t="s">
        <v>297</v>
      </c>
    </row>
    <row r="95" ht="390" customHeight="true">
      <c r="A95" s="30" t="s">
        <v>298</v>
      </c>
    </row>
    <row r="96" ht="390" customHeight="true">
      <c r="A96" s="30" t="s">
        <v>298</v>
      </c>
    </row>
    <row r="97" ht="390" customHeight="true">
      <c r="A97" s="30" t="s">
        <v>299</v>
      </c>
    </row>
    <row r="98" ht="390" customHeight="true">
      <c r="A98" s="30" t="s">
        <v>299</v>
      </c>
    </row>
    <row r="99" ht="390" customHeight="true">
      <c r="A99" s="30" t="s">
        <v>300</v>
      </c>
    </row>
    <row r="100" ht="390" customHeight="true">
      <c r="A100" s="30" t="s">
        <v>300</v>
      </c>
    </row>
    <row r="101" ht="390" customHeight="true">
      <c r="A101" s="30" t="s">
        <v>301</v>
      </c>
    </row>
    <row r="102" ht="390" customHeight="true">
      <c r="A102" s="30" t="s">
        <v>301</v>
      </c>
    </row>
    <row r="103" ht="390" customHeight="true">
      <c r="A103" s="30" t="s">
        <v>302</v>
      </c>
    </row>
    <row r="104" ht="390" customHeight="true">
      <c r="A104" s="30" t="s">
        <v>302</v>
      </c>
    </row>
    <row r="105" ht="390" customHeight="true">
      <c r="A105" s="30" t="s">
        <v>303</v>
      </c>
    </row>
    <row r="106" ht="390" customHeight="true">
      <c r="A106" s="30" t="s">
        <v>303</v>
      </c>
    </row>
    <row r="107" ht="390" customHeight="true">
      <c r="A107" s="30" t="s">
        <v>304</v>
      </c>
    </row>
    <row r="108" ht="390" customHeight="true">
      <c r="A108" s="30" t="s">
        <v>304</v>
      </c>
    </row>
    <row r="109" ht="390" customHeight="true">
      <c r="A109" s="30" t="s">
        <v>305</v>
      </c>
    </row>
    <row r="110" ht="390" customHeight="true">
      <c r="A110" s="30" t="s">
        <v>305</v>
      </c>
    </row>
    <row r="111" ht="390" customHeight="true">
      <c r="A111" s="30" t="s">
        <v>306</v>
      </c>
    </row>
    <row r="112" ht="390" customHeight="true">
      <c r="A112" s="30" t="s">
        <v>306</v>
      </c>
    </row>
    <row r="113" ht="390" customHeight="true">
      <c r="A113" s="30" t="s">
        <v>307</v>
      </c>
    </row>
    <row r="114" ht="390" customHeight="true">
      <c r="A114" s="30" t="s">
        <v>307</v>
      </c>
    </row>
    <row r="115" ht="390" customHeight="true">
      <c r="A115" s="30" t="s">
        <v>308</v>
      </c>
    </row>
    <row r="116" ht="390" customHeight="true">
      <c r="A116" s="30" t="s">
        <v>308</v>
      </c>
    </row>
    <row r="117" ht="390" customHeight="true">
      <c r="A117" s="30" t="s">
        <v>309</v>
      </c>
    </row>
    <row r="118" ht="390" customHeight="true">
      <c r="A118" s="30" t="s">
        <v>309</v>
      </c>
    </row>
    <row r="119" ht="390" customHeight="true">
      <c r="A119" s="30" t="s">
        <v>310</v>
      </c>
    </row>
    <row r="120" ht="390" customHeight="true">
      <c r="A120" s="30" t="s">
        <v>310</v>
      </c>
    </row>
    <row r="121" ht="390" customHeight="true">
      <c r="A121" s="30" t="s">
        <v>311</v>
      </c>
    </row>
    <row r="122" ht="390" customHeight="true">
      <c r="A122" s="30" t="s">
        <v>311</v>
      </c>
    </row>
    <row r="123" ht="390" customHeight="true">
      <c r="A123" s="30" t="s">
        <v>312</v>
      </c>
    </row>
    <row r="124" ht="390" customHeight="true">
      <c r="A124" s="30" t="s">
        <v>312</v>
      </c>
    </row>
    <row r="125" ht="390" customHeight="true">
      <c r="A125" s="30" t="s">
        <v>313</v>
      </c>
    </row>
    <row r="126" ht="390" customHeight="true">
      <c r="A126" s="30" t="s">
        <v>313</v>
      </c>
    </row>
    <row r="127" ht="390" customHeight="true">
      <c r="A127" s="30" t="s">
        <v>314</v>
      </c>
    </row>
    <row r="128" ht="390" customHeight="true">
      <c r="A128" s="30" t="s">
        <v>314</v>
      </c>
    </row>
    <row r="129" ht="390" customHeight="true">
      <c r="A129" s="30" t="s">
        <v>315</v>
      </c>
    </row>
    <row r="130" ht="390" customHeight="true">
      <c r="A130" s="30" t="s">
        <v>315</v>
      </c>
    </row>
    <row r="131" ht="390" customHeight="true">
      <c r="A131" s="30" t="s">
        <v>316</v>
      </c>
    </row>
    <row r="132" ht="390" customHeight="true">
      <c r="A132" s="30" t="s">
        <v>316</v>
      </c>
    </row>
    <row r="133" ht="390" customHeight="true">
      <c r="A133" s="30" t="s">
        <v>317</v>
      </c>
    </row>
    <row r="134" ht="390" customHeight="true">
      <c r="A134" s="30" t="s">
        <v>317</v>
      </c>
    </row>
    <row r="135" ht="390" customHeight="true">
      <c r="A135" s="30" t="s">
        <v>318</v>
      </c>
    </row>
    <row r="136" ht="390" customHeight="true">
      <c r="A136" s="30" t="s">
        <v>318</v>
      </c>
    </row>
    <row r="137" ht="390" customHeight="true">
      <c r="A137" s="30" t="s">
        <v>319</v>
      </c>
    </row>
    <row r="138" ht="390" customHeight="true">
      <c r="A138" s="30" t="s">
        <v>319</v>
      </c>
    </row>
    <row r="139" ht="390" customHeight="true">
      <c r="A139" s="30" t="s">
        <v>320</v>
      </c>
    </row>
    <row r="140" ht="390" customHeight="true">
      <c r="A140" s="30" t="s">
        <v>320</v>
      </c>
    </row>
    <row r="141" ht="390" customHeight="true">
      <c r="A141" s="30" t="s">
        <v>321</v>
      </c>
    </row>
    <row r="142" ht="390" customHeight="true">
      <c r="A142" s="30" t="s">
        <v>321</v>
      </c>
    </row>
    <row r="143" ht="390" customHeight="true">
      <c r="A143" s="30" t="s">
        <v>322</v>
      </c>
    </row>
    <row r="144" ht="390" customHeight="true">
      <c r="A144" s="30" t="s">
        <v>322</v>
      </c>
    </row>
    <row r="145" ht="390" customHeight="true">
      <c r="A145" s="30" t="s">
        <v>323</v>
      </c>
    </row>
    <row r="146" ht="390" customHeight="true">
      <c r="A146" s="30" t="s">
        <v>323</v>
      </c>
    </row>
    <row r="147" ht="390" customHeight="true">
      <c r="A147" s="30" t="s">
        <v>324</v>
      </c>
    </row>
    <row r="148" ht="390" customHeight="true">
      <c r="A148" s="30" t="s">
        <v>324</v>
      </c>
    </row>
    <row r="149" ht="390" customHeight="true">
      <c r="A149" s="30" t="s">
        <v>325</v>
      </c>
    </row>
    <row r="150" ht="390" customHeight="true">
      <c r="A150" s="30" t="s">
        <v>325</v>
      </c>
    </row>
    <row r="151" ht="390" customHeight="true">
      <c r="A151" s="30" t="s">
        <v>326</v>
      </c>
    </row>
    <row r="152" ht="390" customHeight="true">
      <c r="A152" s="30" t="s">
        <v>326</v>
      </c>
    </row>
    <row r="153" ht="390" customHeight="true">
      <c r="A153" s="30" t="s">
        <v>327</v>
      </c>
    </row>
    <row r="154" ht="390" customHeight="true">
      <c r="A154" s="30" t="s">
        <v>327</v>
      </c>
    </row>
    <row r="155" ht="390" customHeight="true">
      <c r="A155" s="30" t="s">
        <v>328</v>
      </c>
    </row>
    <row r="156" ht="390" customHeight="true">
      <c r="A156" s="30" t="s">
        <v>328</v>
      </c>
    </row>
    <row r="157" ht="390" customHeight="true">
      <c r="A157" s="30" t="s">
        <v>329</v>
      </c>
    </row>
    <row r="158" ht="390" customHeight="true">
      <c r="A158" s="30" t="s">
        <v>329</v>
      </c>
    </row>
    <row r="159" ht="390" customHeight="true">
      <c r="A159" s="30" t="s">
        <v>330</v>
      </c>
    </row>
    <row r="160" ht="390" customHeight="true">
      <c r="A160" s="30" t="s">
        <v>330</v>
      </c>
    </row>
    <row r="161" ht="390" customHeight="true">
      <c r="A161" s="30" t="s">
        <v>331</v>
      </c>
    </row>
    <row r="162" ht="390" customHeight="true">
      <c r="A162" s="30" t="s">
        <v>331</v>
      </c>
    </row>
    <row r="163" ht="390" customHeight="true">
      <c r="A163" s="30" t="s">
        <v>332</v>
      </c>
    </row>
    <row r="164" ht="390" customHeight="true">
      <c r="A164" s="30" t="s">
        <v>332</v>
      </c>
    </row>
    <row r="165" ht="390" customHeight="true">
      <c r="A165" s="30" t="s">
        <v>333</v>
      </c>
    </row>
    <row r="166" ht="390" customHeight="true">
      <c r="A166" s="30" t="s">
        <v>333</v>
      </c>
    </row>
    <row r="167" ht="390" customHeight="true">
      <c r="A167" s="30" t="s">
        <v>334</v>
      </c>
    </row>
    <row r="168" ht="390" customHeight="true">
      <c r="A168" s="30" t="s">
        <v>334</v>
      </c>
    </row>
    <row r="169" ht="390" customHeight="true">
      <c r="A169" s="30" t="s">
        <v>335</v>
      </c>
    </row>
    <row r="170" ht="390" customHeight="true">
      <c r="A170" s="30" t="s">
        <v>335</v>
      </c>
    </row>
    <row r="171" ht="390" customHeight="true">
      <c r="A171" s="30" t="s">
        <v>336</v>
      </c>
    </row>
    <row r="172" ht="390" customHeight="true">
      <c r="A172" s="30" t="s">
        <v>336</v>
      </c>
    </row>
    <row r="173" ht="390" customHeight="true">
      <c r="A173" s="30" t="s">
        <v>337</v>
      </c>
    </row>
    <row r="174" ht="390" customHeight="true">
      <c r="A174" s="30" t="s">
        <v>337</v>
      </c>
    </row>
    <row r="175" ht="390" customHeight="true">
      <c r="A175" s="30" t="s">
        <v>338</v>
      </c>
    </row>
    <row r="176" ht="390" customHeight="true">
      <c r="A176" s="30" t="s">
        <v>338</v>
      </c>
    </row>
    <row r="177" ht="390" customHeight="true">
      <c r="A177" s="30" t="s">
        <v>339</v>
      </c>
    </row>
    <row r="178" ht="390" customHeight="true">
      <c r="A178" s="30" t="s">
        <v>339</v>
      </c>
    </row>
    <row r="179" ht="390" customHeight="true">
      <c r="A179" s="30" t="s">
        <v>340</v>
      </c>
    </row>
    <row r="180" ht="390" customHeight="true">
      <c r="A180" s="30" t="s">
        <v>340</v>
      </c>
    </row>
    <row r="181" ht="390" customHeight="true">
      <c r="A181" s="30" t="s">
        <v>341</v>
      </c>
    </row>
    <row r="182" ht="390" customHeight="true">
      <c r="A182" s="30" t="s">
        <v>341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