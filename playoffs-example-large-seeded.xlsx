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<sst xmlns="http://schemas.openxmlformats.org/spreadsheetml/2006/main" count="310" uniqueCount="310">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</sst>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'data'!$B$26</f>
      </c>
      <c r="B4" s="22"/>
      <c r="C4" s="22"/>
      <c r="D4" s="22"/>
      <c r="E4" s="22"/>
      <c r="F4" s="22"/>
      <c r="G4" s="19" t="str">
        <f>'data'!$B$32</f>
      </c>
      <c r="I4" s="19" t="str">
        <f>'data'!$B$51</f>
      </c>
      <c r="J4" s="22"/>
      <c r="K4" s="22"/>
      <c r="L4" s="22"/>
      <c r="M4" s="22"/>
      <c r="N4" s="22"/>
      <c r="O4" s="19" t="str">
        <f>'data'!$B$50</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'data'!$B$25</f>
      </c>
      <c r="B12" s="22"/>
      <c r="C12" s="22"/>
      <c r="D12" s="22"/>
      <c r="E12" s="22"/>
      <c r="F12" s="22"/>
      <c r="G12" s="19" t="str">
        <f>'data'!$B$62</f>
      </c>
      <c r="I12" s="19" t="str">
        <f>'data'!$B$54</f>
      </c>
      <c r="J12" s="22"/>
      <c r="K12" s="22"/>
      <c r="L12" s="22"/>
      <c r="M12" s="22"/>
      <c r="N12" s="22"/>
      <c r="O12" s="19" t="str">
        <f>'data'!$B$53</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'data'!$B$5</f>
      </c>
      <c r="B20" s="22"/>
      <c r="C20" s="22"/>
      <c r="D20" s="22"/>
      <c r="E20" s="22"/>
      <c r="F20" s="22"/>
      <c r="G20" s="19" t="str">
        <f>'data'!$B$83</f>
      </c>
      <c r="I20" s="19" t="str">
        <f>'data'!$B$57</f>
      </c>
      <c r="J20" s="22"/>
      <c r="K20" s="22"/>
      <c r="L20" s="22"/>
      <c r="M20" s="22"/>
      <c r="N20" s="22"/>
      <c r="O20" s="19" t="str">
        <f>'data'!$B$56</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'data'!$B$16</f>
      </c>
      <c r="B28" s="22"/>
      <c r="C28" s="22"/>
      <c r="D28" s="22"/>
      <c r="E28" s="22"/>
      <c r="F28" s="22"/>
      <c r="G28" s="19" t="str">
        <f>'data'!$B$59</f>
      </c>
      <c r="I28" s="19" t="str">
        <f>'data'!$B$22</f>
      </c>
      <c r="J28" s="22"/>
      <c r="K28" s="22"/>
      <c r="L28" s="22"/>
      <c r="M28" s="22"/>
      <c r="N28" s="22"/>
      <c r="O28" s="19" t="str">
        <f>'data'!$B$59</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'data'!$B$79</f>
      </c>
      <c r="B36" s="22"/>
      <c r="C36" s="22"/>
      <c r="D36" s="22"/>
      <c r="E36" s="22"/>
      <c r="F36" s="22"/>
      <c r="G36" s="19" t="str">
        <f>'data'!$B$17</f>
      </c>
      <c r="I36" s="19" t="str">
        <f>'data'!$B$23</f>
      </c>
      <c r="J36" s="22"/>
      <c r="K36" s="22"/>
      <c r="L36" s="22"/>
      <c r="M36" s="22"/>
      <c r="N36" s="22"/>
      <c r="O36" s="19" t="str">
        <f>'data'!$B$9</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'data'!$B$21</f>
      </c>
      <c r="B44" s="22"/>
      <c r="C44" s="22"/>
      <c r="D44" s="22"/>
      <c r="E44" s="22"/>
      <c r="F44" s="22"/>
      <c r="G44" s="19" t="str">
        <f>'data'!$B$20</f>
      </c>
      <c r="I44" s="19" t="str">
        <f>'data'!$B$66</f>
      </c>
      <c r="J44" s="22"/>
      <c r="K44" s="22"/>
      <c r="L44" s="22"/>
      <c r="M44" s="22"/>
      <c r="N44" s="22"/>
      <c r="O44" s="19" t="str">
        <f>'data'!$B$65</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'data'!$B$24</f>
      </c>
      <c r="B52" s="22"/>
      <c r="C52" s="22"/>
      <c r="D52" s="22"/>
      <c r="E52" s="22"/>
      <c r="F52" s="22"/>
      <c r="G52" s="19" t="str">
        <f>'data'!$B$63</f>
      </c>
      <c r="I52" s="19" t="str">
        <f>'data'!$B$4</f>
      </c>
      <c r="J52" s="22"/>
      <c r="K52" s="22"/>
      <c r="L52" s="22"/>
      <c r="M52" s="22"/>
      <c r="N52" s="22"/>
      <c r="O52" s="19" t="str">
        <f>'data'!$B$68</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'data'!$B$84</f>
      </c>
      <c r="B60" s="22"/>
      <c r="C60" s="22"/>
      <c r="D60" s="22"/>
      <c r="E60" s="22"/>
      <c r="F60" s="22"/>
      <c r="G60" s="19" t="str">
        <f>'data'!$B$86</f>
      </c>
      <c r="I60" s="19" t="str">
        <f>'data'!$B$88</f>
      </c>
      <c r="J60" s="22"/>
      <c r="K60" s="22"/>
      <c r="L60" s="22"/>
      <c r="M60" s="22"/>
      <c r="N60" s="22"/>
      <c r="O60" s="19" t="str">
        <f>'data'!$B$85</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'data'!$B$29</f>
      </c>
      <c r="B68" s="22"/>
      <c r="C68" s="22"/>
      <c r="D68" s="22"/>
      <c r="E68" s="22"/>
      <c r="F68" s="22"/>
      <c r="G68" s="19" t="str">
        <f>'data'!$B$28</f>
      </c>
      <c r="I68" s="19" t="str">
        <f>'data'!$B$73</f>
      </c>
      <c r="J68" s="22"/>
      <c r="K68" s="22"/>
      <c r="L68" s="22"/>
      <c r="M68" s="22"/>
      <c r="N68" s="22"/>
      <c r="O68" s="19" t="str">
        <f>'data'!$B$72</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'data'!$B$32</f>
      </c>
      <c r="B76" s="22"/>
      <c r="C76" s="22"/>
      <c r="D76" s="22"/>
      <c r="E76" s="22"/>
      <c r="F76" s="22"/>
      <c r="G76" s="19" t="str">
        <f>'data'!$B$31</f>
      </c>
      <c r="I76" s="19" t="str">
        <f>'data'!$B$76</f>
      </c>
      <c r="J76" s="22"/>
      <c r="K76" s="22"/>
      <c r="L76" s="22"/>
      <c r="M76" s="22"/>
      <c r="N76" s="22"/>
      <c r="O76" s="19" t="str">
        <f>'data'!$B$75</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'data'!$B$7</f>
      </c>
      <c r="B84" s="22"/>
      <c r="C84" s="22"/>
      <c r="D84" s="22"/>
      <c r="E84" s="22"/>
      <c r="F84" s="22"/>
      <c r="G84" s="19" t="str">
        <f>'data'!$B$41</f>
      </c>
      <c r="I84" s="19" t="str">
        <f>'data'!$B$18</f>
      </c>
      <c r="J84" s="22"/>
      <c r="K84" s="22"/>
      <c r="L84" s="22"/>
      <c r="M84" s="22"/>
      <c r="N84" s="22"/>
      <c r="O84" s="19" t="str">
        <f>'data'!$B$78</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'data'!$B$6</f>
      </c>
      <c r="B92" s="22"/>
      <c r="C92" s="22"/>
      <c r="D92" s="22"/>
      <c r="E92" s="22"/>
      <c r="F92" s="22"/>
      <c r="G92" s="19" t="str">
        <f>'data'!$B$9</f>
      </c>
      <c r="I92" s="19" t="str">
        <f>'data'!$B$11</f>
      </c>
      <c r="J92" s="22"/>
      <c r="K92" s="22"/>
      <c r="L92" s="22"/>
      <c r="M92" s="22"/>
      <c r="N92" s="22"/>
      <c r="O92" s="19" t="str">
        <f>'data'!$B$15</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'data'!$B$12</f>
      </c>
      <c r="B100" s="22"/>
      <c r="C100" s="22"/>
      <c r="D100" s="22"/>
      <c r="E100" s="22"/>
      <c r="F100" s="22"/>
      <c r="G100" s="19" t="str">
        <f>'data'!$B$49</f>
      </c>
      <c r="I100" s="19" t="str">
        <f>'data'!$B$70</f>
      </c>
      <c r="J100" s="22"/>
      <c r="K100" s="22"/>
      <c r="L100" s="22"/>
      <c r="M100" s="22"/>
      <c r="N100" s="22"/>
      <c r="O100" s="19" t="str">
        <f>'data'!$B$8</f>
      </c>
    </row>
    <row r="102">
      <c r="F102" t="s">
        <v>212</v>
      </c>
      <c r="G102" s="23"/>
      <c r="N102" t="s">
        <v>212</v>
      </c>
      <c r="O102" s="23"/>
    </row>
    <row r="103">
      <c r="F103" t="s">
        <v>213</v>
      </c>
      <c r="G103" s="23"/>
      <c r="N103" t="s">
        <v>213</v>
      </c>
      <c r="O103" s="23"/>
    </row>
    <row r="106">
      <c r="A106" s="11" t="s">
        <v>239</v>
      </c>
      <c r="B106" s="11"/>
      <c r="C106" s="11"/>
      <c r="D106" s="11"/>
      <c r="E106" s="11"/>
      <c r="F106" s="11"/>
      <c r="G106" s="11"/>
      <c r="I106" s="11" t="s">
        <v>240</v>
      </c>
      <c r="J106" s="11"/>
      <c r="K106" s="11"/>
      <c r="L106" s="11"/>
      <c r="M106" s="11"/>
      <c r="N106" s="11"/>
      <c r="O106" s="11"/>
    </row>
    <row r="107">
      <c r="A107" s="21" t="s">
        <v>209</v>
      </c>
      <c r="D107" s="19" t="s">
        <v>210</v>
      </c>
      <c r="G107" s="20" t="s">
        <v>211</v>
      </c>
      <c r="I107" s="21" t="s">
        <v>209</v>
      </c>
      <c r="L107" s="19" t="s">
        <v>210</v>
      </c>
      <c r="O107" s="20" t="s">
        <v>211</v>
      </c>
    </row>
    <row r="108">
      <c r="A108" s="19" t="str">
        <f>'data'!$B$15</f>
      </c>
      <c r="B108" s="22"/>
      <c r="C108" s="22"/>
      <c r="D108" s="22"/>
      <c r="E108" s="22"/>
      <c r="F108" s="22"/>
      <c r="G108" s="19" t="str">
        <f>'data'!$B$87</f>
      </c>
      <c r="I108" s="19" t="str">
        <f>'data'!$B$88</f>
      </c>
      <c r="J108" s="22"/>
      <c r="K108" s="22"/>
      <c r="L108" s="22"/>
      <c r="M108" s="22"/>
      <c r="N108" s="22"/>
      <c r="O108" s="19" t="str">
        <f>'data'!$B$42</f>
      </c>
    </row>
    <row r="110">
      <c r="F110" t="s">
        <v>212</v>
      </c>
      <c r="G110" s="23"/>
      <c r="N110" t="s">
        <v>212</v>
      </c>
      <c r="O110" s="23"/>
    </row>
    <row r="111">
      <c r="F111" t="s">
        <v>213</v>
      </c>
      <c r="G111" s="23"/>
      <c r="N111" t="s">
        <v>213</v>
      </c>
      <c r="O111" s="23"/>
    </row>
    <row r="114">
      <c r="A114" s="11" t="s">
        <v>241</v>
      </c>
      <c r="B114" s="11"/>
      <c r="C114" s="11"/>
      <c r="D114" s="11"/>
      <c r="E114" s="11"/>
      <c r="F114" s="11"/>
      <c r="G114" s="11"/>
      <c r="I114" s="11" t="s">
        <v>242</v>
      </c>
      <c r="J114" s="11"/>
      <c r="K114" s="11"/>
      <c r="L114" s="11"/>
      <c r="M114" s="11"/>
      <c r="N114" s="11"/>
      <c r="O114" s="11"/>
    </row>
    <row r="115">
      <c r="A115" s="21" t="s">
        <v>209</v>
      </c>
      <c r="D115" s="19" t="s">
        <v>210</v>
      </c>
      <c r="G115" s="20" t="s">
        <v>211</v>
      </c>
      <c r="I115" s="21" t="s">
        <v>209</v>
      </c>
      <c r="L115" s="19" t="s">
        <v>210</v>
      </c>
      <c r="O115" s="20" t="s">
        <v>211</v>
      </c>
    </row>
    <row r="116">
      <c r="A116" s="19" t="str">
        <f>'data'!$B$46</f>
      </c>
      <c r="B116" s="22"/>
      <c r="C116" s="22"/>
      <c r="D116" s="22"/>
      <c r="E116" s="22"/>
      <c r="F116" s="22"/>
      <c r="G116" s="19" t="str">
        <f>'data'!$B$45</f>
      </c>
      <c r="I116" s="19" t="str">
        <f>'data'!$B$91</f>
      </c>
      <c r="J116" s="22"/>
      <c r="K116" s="22"/>
      <c r="L116" s="22"/>
      <c r="M116" s="22"/>
      <c r="N116" s="22"/>
      <c r="O116" s="19" t="str">
        <f>'data'!$B$90</f>
      </c>
    </row>
    <row r="118">
      <c r="F118" t="s">
        <v>212</v>
      </c>
      <c r="G118" s="23"/>
      <c r="N118" t="s">
        <v>212</v>
      </c>
      <c r="O118" s="23"/>
    </row>
    <row r="119">
      <c r="F119" t="s">
        <v>213</v>
      </c>
      <c r="G119" s="23"/>
      <c r="N119" t="s">
        <v>213</v>
      </c>
      <c r="O119" s="23"/>
    </row>
    <row r="122">
      <c r="A122" s="11" t="s">
        <v>243</v>
      </c>
      <c r="B122" s="11"/>
      <c r="C122" s="11"/>
      <c r="D122" s="11"/>
      <c r="E122" s="11"/>
      <c r="F122" s="11"/>
      <c r="G122" s="11"/>
      <c r="I122" s="11" t="s">
        <v>244</v>
      </c>
      <c r="J122" s="11"/>
      <c r="K122" s="11"/>
      <c r="L122" s="11"/>
      <c r="M122" s="11"/>
      <c r="N122" s="11"/>
      <c r="O122" s="11"/>
    </row>
    <row r="123">
      <c r="A123" s="21" t="s">
        <v>209</v>
      </c>
      <c r="D123" s="19" t="s">
        <v>210</v>
      </c>
      <c r="G123" s="20" t="s">
        <v>211</v>
      </c>
      <c r="I123" s="21" t="s">
        <v>209</v>
      </c>
      <c r="L123" s="19" t="s">
        <v>210</v>
      </c>
      <c r="O123" s="20" t="s">
        <v>211</v>
      </c>
    </row>
    <row r="124">
      <c r="A124" s="19" t="str">
        <f>'data'!$B$11</f>
      </c>
      <c r="B124" s="22"/>
      <c r="C124" s="22"/>
      <c r="D124" s="22"/>
      <c r="E124" s="22"/>
      <c r="F124" s="22"/>
      <c r="G124" s="19" t="str">
        <f>'data'!$B$48</f>
      </c>
      <c r="I124" s="19" t="str">
        <f>'data'!$B$5</f>
      </c>
      <c r="J124" s="22"/>
      <c r="K124" s="22"/>
      <c r="L124" s="22"/>
      <c r="M124" s="22"/>
      <c r="N124" s="22"/>
      <c r="O124" s="19" t="str">
        <f>'data'!$B$93</f>
      </c>
    </row>
    <row r="126">
      <c r="F126" t="s">
        <v>212</v>
      </c>
      <c r="G126" s="23"/>
      <c r="N126" t="s">
        <v>212</v>
      </c>
      <c r="O126" s="23"/>
    </row>
    <row r="127">
      <c r="F127" t="s">
        <v>213</v>
      </c>
      <c r="G127" s="23"/>
      <c r="N127" t="s">
        <v>213</v>
      </c>
      <c r="O127" s="23"/>
    </row>
    <row r="135">
      <c r="A135" s="11" t="s">
        <v>245</v>
      </c>
      <c r="B135" s="11"/>
      <c r="C135" s="11"/>
      <c r="D135" s="11"/>
      <c r="E135" s="11"/>
      <c r="F135" s="11"/>
      <c r="G135" s="11"/>
      <c r="I135" s="11" t="s">
        <v>246</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'data'!$B$27</f>
      </c>
      <c r="I137" s="19" t="str">
        <f>CONCATENATE("M 18 ",O14)</f>
      </c>
      <c r="J137" s="22"/>
      <c r="K137" s="22"/>
      <c r="L137" s="22"/>
      <c r="M137" s="22"/>
      <c r="N137" s="22"/>
      <c r="O137" s="19" t="str">
        <f>'data'!$B$52</f>
      </c>
    </row>
    <row r="139">
      <c r="F139" t="s">
        <v>212</v>
      </c>
      <c r="G139" s="23"/>
      <c r="N139" t="s">
        <v>212</v>
      </c>
      <c r="O139" s="23"/>
    </row>
    <row r="140">
      <c r="F140" t="s">
        <v>213</v>
      </c>
      <c r="G140" s="23"/>
      <c r="N140" t="s">
        <v>213</v>
      </c>
      <c r="O140" s="23"/>
    </row>
    <row r="143">
      <c r="A143" s="11" t="s">
        <v>247</v>
      </c>
      <c r="B143" s="11"/>
      <c r="C143" s="11"/>
      <c r="D143" s="11"/>
      <c r="E143" s="11"/>
      <c r="F143" s="11"/>
      <c r="G143" s="11"/>
      <c r="I143" s="11" t="s">
        <v>248</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'data'!$B$82</f>
      </c>
      <c r="I145" s="19" t="str">
        <f>CONCATENATE("M 19 ",O22)</f>
      </c>
      <c r="J145" s="22"/>
      <c r="K145" s="22"/>
      <c r="L145" s="22"/>
      <c r="M145" s="22"/>
      <c r="N145" s="22"/>
      <c r="O145" s="19" t="str">
        <f>'data'!$B$55</f>
      </c>
    </row>
    <row r="147">
      <c r="F147" t="s">
        <v>212</v>
      </c>
      <c r="G147" s="23"/>
      <c r="N147" t="s">
        <v>212</v>
      </c>
      <c r="O147" s="23"/>
    </row>
    <row r="148">
      <c r="F148" t="s">
        <v>213</v>
      </c>
      <c r="G148" s="23"/>
      <c r="N148" t="s">
        <v>213</v>
      </c>
      <c r="O148" s="23"/>
    </row>
    <row r="151">
      <c r="A151" s="11" t="s">
        <v>249</v>
      </c>
      <c r="B151" s="11"/>
      <c r="C151" s="11"/>
      <c r="D151" s="11"/>
      <c r="E151" s="11"/>
      <c r="F151" s="11"/>
      <c r="G151" s="11"/>
      <c r="I151" s="11" t="s">
        <v>250</v>
      </c>
      <c r="J151" s="11"/>
      <c r="K151" s="11"/>
      <c r="L151" s="11"/>
      <c r="M151" s="11"/>
      <c r="N151" s="11"/>
      <c r="O151" s="11"/>
    </row>
    <row r="152">
      <c r="A152" s="21" t="s">
        <v>209</v>
      </c>
      <c r="D152" s="19" t="s">
        <v>210</v>
      </c>
      <c r="G152" s="20" t="s">
        <v>211</v>
      </c>
      <c r="I152" s="21" t="s">
        <v>209</v>
      </c>
      <c r="L152" s="19" t="s">
        <v>210</v>
      </c>
      <c r="O152" s="20" t="s">
        <v>211</v>
      </c>
    </row>
    <row r="153">
      <c r="A153" s="19" t="str">
        <f>CONCATENATE("M 4 ",G30)</f>
      </c>
      <c r="B153" s="22"/>
      <c r="C153" s="22"/>
      <c r="D153" s="22"/>
      <c r="E153" s="22"/>
      <c r="F153" s="22"/>
      <c r="G153" s="19" t="str">
        <f>'data'!$B$80</f>
      </c>
      <c r="I153" s="19" t="str">
        <f>CONCATENATE("M 20 ",O30)</f>
      </c>
      <c r="J153" s="22"/>
      <c r="K153" s="22"/>
      <c r="L153" s="22"/>
      <c r="M153" s="22"/>
      <c r="N153" s="22"/>
      <c r="O153" s="19" t="str">
        <f>'data'!$B$58</f>
      </c>
    </row>
    <row r="155">
      <c r="F155" t="s">
        <v>212</v>
      </c>
      <c r="G155" s="23"/>
      <c r="N155" t="s">
        <v>212</v>
      </c>
      <c r="O155" s="23"/>
    </row>
    <row r="156">
      <c r="F156" t="s">
        <v>213</v>
      </c>
      <c r="G156" s="23"/>
      <c r="N156" t="s">
        <v>213</v>
      </c>
      <c r="O156" s="23"/>
    </row>
    <row r="159">
      <c r="A159" s="11" t="s">
        <v>251</v>
      </c>
      <c r="B159" s="11"/>
      <c r="C159" s="11"/>
      <c r="D159" s="11"/>
      <c r="E159" s="11"/>
      <c r="F159" s="11"/>
      <c r="G159" s="11"/>
      <c r="I159" s="11" t="s">
        <v>252</v>
      </c>
      <c r="J159" s="11"/>
      <c r="K159" s="11"/>
      <c r="L159" s="11"/>
      <c r="M159" s="11"/>
      <c r="N159" s="11"/>
      <c r="O159" s="11"/>
    </row>
    <row r="160">
      <c r="A160" s="21" t="s">
        <v>209</v>
      </c>
      <c r="D160" s="19" t="s">
        <v>210</v>
      </c>
      <c r="G160" s="20" t="s">
        <v>211</v>
      </c>
      <c r="I160" s="21" t="s">
        <v>209</v>
      </c>
      <c r="L160" s="19" t="s">
        <v>210</v>
      </c>
      <c r="O160" s="20" t="s">
        <v>211</v>
      </c>
    </row>
    <row r="161">
      <c r="A161" s="19" t="str">
        <f>CONCATENATE("M 6 ",G46)</f>
      </c>
      <c r="B161" s="22"/>
      <c r="C161" s="22"/>
      <c r="D161" s="22"/>
      <c r="E161" s="22"/>
      <c r="F161" s="22"/>
      <c r="G161" s="19" t="str">
        <f>'data'!$B$30</f>
      </c>
      <c r="I161" s="19" t="str">
        <f>CONCATENATE("M 21 ",O38)</f>
      </c>
      <c r="J161" s="22"/>
      <c r="K161" s="22"/>
      <c r="L161" s="22"/>
      <c r="M161" s="22"/>
      <c r="N161" s="22"/>
      <c r="O161" s="19" t="str">
        <f>'data'!$B$61</f>
      </c>
    </row>
    <row r="163">
      <c r="F163" t="s">
        <v>212</v>
      </c>
      <c r="G163" s="23"/>
      <c r="N163" t="s">
        <v>212</v>
      </c>
      <c r="O163" s="23"/>
    </row>
    <row r="164">
      <c r="F164" t="s">
        <v>213</v>
      </c>
      <c r="G164" s="23"/>
      <c r="N164" t="s">
        <v>213</v>
      </c>
      <c r="O164" s="23"/>
    </row>
    <row r="167">
      <c r="A167" s="11" t="s">
        <v>253</v>
      </c>
      <c r="B167" s="11"/>
      <c r="C167" s="11"/>
      <c r="D167" s="11"/>
      <c r="E167" s="11"/>
      <c r="F167" s="11"/>
      <c r="G167" s="11"/>
      <c r="I167" s="11" t="s">
        <v>254</v>
      </c>
      <c r="J167" s="11"/>
      <c r="K167" s="11"/>
      <c r="L167" s="11"/>
      <c r="M167" s="11"/>
      <c r="N167" s="11"/>
      <c r="O167" s="11"/>
    </row>
    <row r="168">
      <c r="A168" s="21" t="s">
        <v>209</v>
      </c>
      <c r="D168" s="19" t="s">
        <v>210</v>
      </c>
      <c r="G168" s="20" t="s">
        <v>211</v>
      </c>
      <c r="I168" s="21" t="s">
        <v>209</v>
      </c>
      <c r="L168" s="19" t="s">
        <v>210</v>
      </c>
      <c r="O168" s="20" t="s">
        <v>211</v>
      </c>
    </row>
    <row r="169">
      <c r="A169" s="19" t="str">
        <f>CONCATENATE("M 7 ",G54)</f>
      </c>
      <c r="B169" s="22"/>
      <c r="C169" s="22"/>
      <c r="D169" s="22"/>
      <c r="E169" s="22"/>
      <c r="F169" s="22"/>
      <c r="G169" s="19" t="str">
        <f>'data'!$B$60</f>
      </c>
      <c r="I169" s="19" t="str">
        <f>CONCATENATE("M 22 ",O46)</f>
      </c>
      <c r="J169" s="22"/>
      <c r="K169" s="22"/>
      <c r="L169" s="22"/>
      <c r="M169" s="22"/>
      <c r="N169" s="22"/>
      <c r="O169" s="19" t="str">
        <f>'data'!$B$10</f>
      </c>
    </row>
    <row r="171">
      <c r="F171" t="s">
        <v>212</v>
      </c>
      <c r="G171" s="23"/>
      <c r="N171" t="s">
        <v>212</v>
      </c>
      <c r="O171" s="23"/>
    </row>
    <row r="172">
      <c r="F172" t="s">
        <v>213</v>
      </c>
      <c r="G172" s="23"/>
      <c r="N172" t="s">
        <v>213</v>
      </c>
      <c r="O172" s="23"/>
    </row>
    <row r="175">
      <c r="A175" s="11" t="s">
        <v>255</v>
      </c>
      <c r="B175" s="11"/>
      <c r="C175" s="11"/>
      <c r="D175" s="11"/>
      <c r="E175" s="11"/>
      <c r="F175" s="11"/>
      <c r="G175" s="11"/>
      <c r="I175" s="11" t="s">
        <v>256</v>
      </c>
      <c r="J175" s="11"/>
      <c r="K175" s="11"/>
      <c r="L175" s="11"/>
      <c r="M175" s="11"/>
      <c r="N175" s="11"/>
      <c r="O175" s="11"/>
    </row>
    <row r="176">
      <c r="A176" s="21" t="s">
        <v>209</v>
      </c>
      <c r="D176" s="19" t="s">
        <v>210</v>
      </c>
      <c r="G176" s="20" t="s">
        <v>211</v>
      </c>
      <c r="I176" s="21" t="s">
        <v>209</v>
      </c>
      <c r="L176" s="19" t="s">
        <v>210</v>
      </c>
      <c r="O176" s="20" t="s">
        <v>211</v>
      </c>
    </row>
    <row r="177">
      <c r="A177" s="19" t="str">
        <f>CONCATENATE("M 8 ",G62)</f>
      </c>
      <c r="B177" s="22"/>
      <c r="C177" s="22"/>
      <c r="D177" s="22"/>
      <c r="E177" s="22"/>
      <c r="F177" s="22"/>
      <c r="G177" s="19" t="str">
        <f>'data'!$B$64</f>
      </c>
      <c r="I177" s="19" t="str">
        <f>CONCATENATE("M 23 ",O54)</f>
      </c>
      <c r="J177" s="22"/>
      <c r="K177" s="22"/>
      <c r="L177" s="22"/>
      <c r="M177" s="22"/>
      <c r="N177" s="22"/>
      <c r="O177" s="19" t="str">
        <f>'data'!$B$67</f>
      </c>
    </row>
    <row r="179">
      <c r="F179" t="s">
        <v>212</v>
      </c>
      <c r="G179" s="23"/>
      <c r="N179" t="s">
        <v>212</v>
      </c>
      <c r="O179" s="23"/>
    </row>
    <row r="180">
      <c r="F180" t="s">
        <v>213</v>
      </c>
      <c r="G180" s="23"/>
      <c r="N180" t="s">
        <v>213</v>
      </c>
      <c r="O180" s="23"/>
    </row>
    <row r="183">
      <c r="A183" s="11" t="s">
        <v>257</v>
      </c>
      <c r="B183" s="11"/>
      <c r="C183" s="11"/>
      <c r="D183" s="11"/>
      <c r="E183" s="11"/>
      <c r="F183" s="11"/>
      <c r="G183" s="11"/>
      <c r="I183" s="11" t="s">
        <v>258</v>
      </c>
      <c r="J183" s="11"/>
      <c r="K183" s="11"/>
      <c r="L183" s="11"/>
      <c r="M183" s="11"/>
      <c r="N183" s="11"/>
      <c r="O183" s="11"/>
    </row>
    <row r="184">
      <c r="A184" s="21" t="s">
        <v>209</v>
      </c>
      <c r="D184" s="19" t="s">
        <v>210</v>
      </c>
      <c r="G184" s="20" t="s">
        <v>211</v>
      </c>
      <c r="I184" s="21" t="s">
        <v>209</v>
      </c>
      <c r="L184" s="19" t="s">
        <v>210</v>
      </c>
      <c r="O184" s="20" t="s">
        <v>211</v>
      </c>
    </row>
    <row r="185">
      <c r="A185" s="19" t="str">
        <f>CONCATENATE("M 10 ",G78)</f>
      </c>
      <c r="B185" s="22"/>
      <c r="C185" s="22"/>
      <c r="D185" s="22"/>
      <c r="E185" s="22"/>
      <c r="F185" s="22"/>
      <c r="G185" s="19" t="str">
        <f>'data'!$B$30</f>
      </c>
      <c r="I185" s="19" t="str">
        <f>CONCATENATE("M 24 ",O62)</f>
      </c>
      <c r="J185" s="22"/>
      <c r="K185" s="22"/>
      <c r="L185" s="22"/>
      <c r="M185" s="22"/>
      <c r="N185" s="22"/>
      <c r="O185" s="19" t="str">
        <f>'data'!$B$69</f>
      </c>
    </row>
    <row r="187">
      <c r="F187" t="s">
        <v>212</v>
      </c>
      <c r="G187" s="23"/>
      <c r="N187" t="s">
        <v>212</v>
      </c>
      <c r="O187" s="23"/>
    </row>
    <row r="188">
      <c r="F188" t="s">
        <v>213</v>
      </c>
      <c r="G188" s="23"/>
      <c r="N188" t="s">
        <v>213</v>
      </c>
      <c r="O188" s="23"/>
    </row>
    <row r="191">
      <c r="A191" s="11" t="s">
        <v>259</v>
      </c>
      <c r="B191" s="11"/>
      <c r="C191" s="11"/>
      <c r="D191" s="11"/>
      <c r="E191" s="11"/>
      <c r="F191" s="11"/>
      <c r="G191" s="11"/>
      <c r="I191" s="11" t="s">
        <v>260</v>
      </c>
      <c r="J191" s="11"/>
      <c r="K191" s="11"/>
      <c r="L191" s="11"/>
      <c r="M191" s="11"/>
      <c r="N191" s="11"/>
      <c r="O191" s="11"/>
    </row>
    <row r="192">
      <c r="A192" s="21" t="s">
        <v>209</v>
      </c>
      <c r="D192" s="19" t="s">
        <v>210</v>
      </c>
      <c r="G192" s="20" t="s">
        <v>211</v>
      </c>
      <c r="I192" s="21" t="s">
        <v>209</v>
      </c>
      <c r="L192" s="19" t="s">
        <v>210</v>
      </c>
      <c r="O192" s="20" t="s">
        <v>211</v>
      </c>
    </row>
    <row r="193">
      <c r="A193" s="19" t="str">
        <f>CONCATENATE("M 11 ",G86)</f>
      </c>
      <c r="B193" s="22"/>
      <c r="C193" s="22"/>
      <c r="D193" s="22"/>
      <c r="E193" s="22"/>
      <c r="F193" s="22"/>
      <c r="G193" s="19" t="str">
        <f>'data'!$B$4</f>
      </c>
      <c r="I193" s="19" t="str">
        <f>CONCATENATE("M 26 ",O78)</f>
      </c>
      <c r="J193" s="22"/>
      <c r="K193" s="22"/>
      <c r="L193" s="22"/>
      <c r="M193" s="22"/>
      <c r="N193" s="22"/>
      <c r="O193" s="19" t="str">
        <f>'data'!$B$70</f>
      </c>
    </row>
    <row r="195">
      <c r="F195" t="s">
        <v>212</v>
      </c>
      <c r="G195" s="23"/>
      <c r="N195" t="s">
        <v>212</v>
      </c>
      <c r="O195" s="23"/>
    </row>
    <row r="196">
      <c r="F196" t="s">
        <v>213</v>
      </c>
      <c r="G196" s="23"/>
      <c r="N196" t="s">
        <v>213</v>
      </c>
      <c r="O196" s="23"/>
    </row>
    <row r="199">
      <c r="A199" s="11" t="s">
        <v>261</v>
      </c>
      <c r="B199" s="11"/>
      <c r="C199" s="11"/>
      <c r="D199" s="11"/>
      <c r="E199" s="11"/>
      <c r="F199" s="11"/>
      <c r="G199" s="11"/>
      <c r="I199" s="11" t="s">
        <v>262</v>
      </c>
      <c r="J199" s="11"/>
      <c r="K199" s="11"/>
      <c r="L199" s="11"/>
      <c r="M199" s="11"/>
      <c r="N199" s="11"/>
      <c r="O199" s="11"/>
    </row>
    <row r="200">
      <c r="A200" s="21" t="s">
        <v>209</v>
      </c>
      <c r="D200" s="19" t="s">
        <v>210</v>
      </c>
      <c r="G200" s="20" t="s">
        <v>211</v>
      </c>
      <c r="I200" s="21" t="s">
        <v>209</v>
      </c>
      <c r="L200" s="19" t="s">
        <v>210</v>
      </c>
      <c r="O200" s="20" t="s">
        <v>211</v>
      </c>
    </row>
    <row r="201">
      <c r="A201" s="19" t="str">
        <f>CONCATENATE("M 12 ",G94)</f>
      </c>
      <c r="B201" s="22"/>
      <c r="C201" s="22"/>
      <c r="D201" s="22"/>
      <c r="E201" s="22"/>
      <c r="F201" s="22"/>
      <c r="G201" s="19" t="str">
        <f>'data'!$B$8</f>
      </c>
      <c r="I201" s="19" t="str">
        <f>CONCATENATE("M 27 ",O86)</f>
      </c>
      <c r="J201" s="22"/>
      <c r="K201" s="22"/>
      <c r="L201" s="22"/>
      <c r="M201" s="22"/>
      <c r="N201" s="22"/>
      <c r="O201" s="19" t="str">
        <f>'data'!$B$77</f>
      </c>
    </row>
    <row r="203">
      <c r="F203" t="s">
        <v>212</v>
      </c>
      <c r="G203" s="23"/>
      <c r="N203" t="s">
        <v>212</v>
      </c>
      <c r="O203" s="23"/>
    </row>
    <row r="204">
      <c r="F204" t="s">
        <v>213</v>
      </c>
      <c r="G204" s="23"/>
      <c r="N204" t="s">
        <v>213</v>
      </c>
      <c r="O204" s="23"/>
    </row>
    <row r="207">
      <c r="A207" s="11" t="s">
        <v>263</v>
      </c>
      <c r="B207" s="11"/>
      <c r="C207" s="11"/>
      <c r="D207" s="11"/>
      <c r="E207" s="11"/>
      <c r="F207" s="11"/>
      <c r="G207" s="11"/>
      <c r="I207" s="11" t="s">
        <v>264</v>
      </c>
      <c r="J207" s="11"/>
      <c r="K207" s="11"/>
      <c r="L207" s="11"/>
      <c r="M207" s="11"/>
      <c r="N207" s="11"/>
      <c r="O207" s="11"/>
    </row>
    <row r="208">
      <c r="A208" s="21" t="s">
        <v>209</v>
      </c>
      <c r="D208" s="19" t="s">
        <v>210</v>
      </c>
      <c r="G208" s="20" t="s">
        <v>211</v>
      </c>
      <c r="I208" s="21" t="s">
        <v>209</v>
      </c>
      <c r="L208" s="19" t="s">
        <v>210</v>
      </c>
      <c r="O208" s="20" t="s">
        <v>211</v>
      </c>
    </row>
    <row r="209">
      <c r="A209" s="19" t="str">
        <f>CONCATENATE("M 13 ",G102)</f>
      </c>
      <c r="B209" s="22"/>
      <c r="C209" s="22"/>
      <c r="D209" s="22"/>
      <c r="E209" s="22"/>
      <c r="F209" s="22"/>
      <c r="G209" s="19" t="str">
        <f>'data'!$B$10</f>
      </c>
      <c r="I209" s="19" t="str">
        <f>CONCATENATE("M 28 ",O94)</f>
      </c>
      <c r="J209" s="22"/>
      <c r="K209" s="22"/>
      <c r="L209" s="22"/>
      <c r="M209" s="22"/>
      <c r="N209" s="22"/>
      <c r="O209" s="19" t="str">
        <f>'data'!$B$42</f>
      </c>
    </row>
    <row r="211">
      <c r="F211" t="s">
        <v>212</v>
      </c>
      <c r="G211" s="23"/>
      <c r="N211" t="s">
        <v>212</v>
      </c>
      <c r="O211" s="23"/>
    </row>
    <row r="212">
      <c r="F212" t="s">
        <v>213</v>
      </c>
      <c r="G212" s="23"/>
      <c r="N212" t="s">
        <v>213</v>
      </c>
      <c r="O212" s="23"/>
    </row>
    <row r="215">
      <c r="A215" s="11" t="s">
        <v>265</v>
      </c>
      <c r="B215" s="11"/>
      <c r="C215" s="11"/>
      <c r="D215" s="11"/>
      <c r="E215" s="11"/>
      <c r="F215" s="11"/>
      <c r="G215" s="11"/>
      <c r="I215" s="11" t="s">
        <v>266</v>
      </c>
      <c r="J215" s="11"/>
      <c r="K215" s="11"/>
      <c r="L215" s="11"/>
      <c r="M215" s="11"/>
      <c r="N215" s="11"/>
      <c r="O215" s="11"/>
    </row>
    <row r="216">
      <c r="A216" s="21" t="s">
        <v>209</v>
      </c>
      <c r="D216" s="19" t="s">
        <v>210</v>
      </c>
      <c r="G216" s="20" t="s">
        <v>211</v>
      </c>
      <c r="I216" s="21" t="s">
        <v>209</v>
      </c>
      <c r="L216" s="19" t="s">
        <v>210</v>
      </c>
      <c r="O216" s="20" t="s">
        <v>211</v>
      </c>
    </row>
    <row r="217">
      <c r="A217" s="19" t="str">
        <f>CONCATENATE("M 14 ",G110)</f>
      </c>
      <c r="B217" s="22"/>
      <c r="C217" s="22"/>
      <c r="D217" s="22"/>
      <c r="E217" s="22"/>
      <c r="F217" s="22"/>
      <c r="G217" s="19" t="str">
        <f>'data'!$B$41</f>
      </c>
      <c r="I217" s="19" t="str">
        <f>CONCATENATE("M 29 ",O102)</f>
      </c>
      <c r="J217" s="22"/>
      <c r="K217" s="22"/>
      <c r="L217" s="22"/>
      <c r="M217" s="22"/>
      <c r="N217" s="22"/>
      <c r="O217" s="19" t="str">
        <f>'data'!$B$12</f>
      </c>
    </row>
    <row r="219">
      <c r="F219" t="s">
        <v>212</v>
      </c>
      <c r="G219" s="23"/>
      <c r="N219" t="s">
        <v>212</v>
      </c>
      <c r="O219" s="23"/>
    </row>
    <row r="220">
      <c r="F220" t="s">
        <v>213</v>
      </c>
      <c r="G220" s="23"/>
      <c r="N220" t="s">
        <v>213</v>
      </c>
      <c r="O220" s="23"/>
    </row>
    <row r="223">
      <c r="A223" s="11" t="s">
        <v>267</v>
      </c>
      <c r="B223" s="11"/>
      <c r="C223" s="11"/>
      <c r="D223" s="11"/>
      <c r="E223" s="11"/>
      <c r="F223" s="11"/>
      <c r="G223" s="11"/>
      <c r="I223" s="11" t="s">
        <v>268</v>
      </c>
      <c r="J223" s="11"/>
      <c r="K223" s="11"/>
      <c r="L223" s="11"/>
      <c r="M223" s="11"/>
      <c r="N223" s="11"/>
      <c r="O223" s="11"/>
    </row>
    <row r="224">
      <c r="A224" s="21" t="s">
        <v>209</v>
      </c>
      <c r="D224" s="19" t="s">
        <v>210</v>
      </c>
      <c r="G224" s="20" t="s">
        <v>211</v>
      </c>
      <c r="I224" s="21" t="s">
        <v>209</v>
      </c>
      <c r="L224" s="19" t="s">
        <v>210</v>
      </c>
      <c r="O224" s="20" t="s">
        <v>211</v>
      </c>
    </row>
    <row r="225">
      <c r="A225" s="19" t="str">
        <f>CONCATENATE("M 15 ",G118)</f>
      </c>
      <c r="B225" s="22"/>
      <c r="C225" s="22"/>
      <c r="D225" s="22"/>
      <c r="E225" s="22"/>
      <c r="F225" s="22"/>
      <c r="G225" s="19" t="str">
        <f>'data'!$B$44</f>
      </c>
      <c r="I225" s="19" t="str">
        <f>CONCATENATE("M 30 ",O110)</f>
      </c>
      <c r="J225" s="22"/>
      <c r="K225" s="22"/>
      <c r="L225" s="22"/>
      <c r="M225" s="22"/>
      <c r="N225" s="22"/>
      <c r="O225" s="19" t="str">
        <f>'data'!$B$7</f>
      </c>
    </row>
    <row r="227">
      <c r="F227" t="s">
        <v>212</v>
      </c>
      <c r="G227" s="23"/>
      <c r="N227" t="s">
        <v>212</v>
      </c>
      <c r="O227" s="23"/>
    </row>
    <row r="228">
      <c r="F228" t="s">
        <v>213</v>
      </c>
      <c r="G228" s="23"/>
      <c r="N228" t="s">
        <v>213</v>
      </c>
      <c r="O228" s="23"/>
    </row>
    <row r="231">
      <c r="A231" s="11" t="s">
        <v>269</v>
      </c>
      <c r="B231" s="11"/>
      <c r="C231" s="11"/>
      <c r="D231" s="11"/>
      <c r="E231" s="11"/>
      <c r="F231" s="11"/>
      <c r="G231" s="11"/>
      <c r="I231" s="11" t="s">
        <v>270</v>
      </c>
      <c r="J231" s="11"/>
      <c r="K231" s="11"/>
      <c r="L231" s="11"/>
      <c r="M231" s="11"/>
      <c r="N231" s="11"/>
      <c r="O231" s="11"/>
    </row>
    <row r="232">
      <c r="A232" s="21" t="s">
        <v>209</v>
      </c>
      <c r="D232" s="19" t="s">
        <v>210</v>
      </c>
      <c r="G232" s="20" t="s">
        <v>211</v>
      </c>
      <c r="I232" s="21" t="s">
        <v>209</v>
      </c>
      <c r="L232" s="19" t="s">
        <v>210</v>
      </c>
      <c r="O232" s="20" t="s">
        <v>211</v>
      </c>
    </row>
    <row r="233">
      <c r="A233" s="19" t="str">
        <f>CONCATENATE("M 16 ",G126)</f>
      </c>
      <c r="B233" s="22"/>
      <c r="C233" s="22"/>
      <c r="D233" s="22"/>
      <c r="E233" s="22"/>
      <c r="F233" s="22"/>
      <c r="G233" s="19" t="str">
        <f>'data'!$B$47</f>
      </c>
      <c r="I233" s="19" t="str">
        <f>CONCATENATE("M 31 ",O118)</f>
      </c>
      <c r="J233" s="22"/>
      <c r="K233" s="22"/>
      <c r="L233" s="22"/>
      <c r="M233" s="22"/>
      <c r="N233" s="22"/>
      <c r="O233" s="19" t="str">
        <f>'data'!$B$89</f>
      </c>
    </row>
    <row r="235">
      <c r="F235" t="s">
        <v>212</v>
      </c>
      <c r="G235" s="23"/>
      <c r="N235" t="s">
        <v>212</v>
      </c>
      <c r="O235" s="23"/>
    </row>
    <row r="236">
      <c r="F236" t="s">
        <v>213</v>
      </c>
      <c r="G236" s="23"/>
      <c r="N236" t="s">
        <v>213</v>
      </c>
      <c r="O236" s="23"/>
    </row>
    <row r="239">
      <c r="I239" s="11" t="s">
        <v>271</v>
      </c>
      <c r="J239" s="11"/>
      <c r="K239" s="11"/>
      <c r="L239" s="11"/>
      <c r="M239" s="11"/>
      <c r="N239" s="11"/>
      <c r="O239" s="11"/>
    </row>
    <row r="240">
      <c r="I240" s="21" t="s">
        <v>209</v>
      </c>
      <c r="L240" s="19" t="s">
        <v>210</v>
      </c>
      <c r="O240" s="20" t="s">
        <v>211</v>
      </c>
    </row>
    <row r="241">
      <c r="I241" s="19" t="str">
        <f>CONCATENATE("M 32 ",O126)</f>
      </c>
      <c r="J241" s="22"/>
      <c r="K241" s="22"/>
      <c r="L241" s="22"/>
      <c r="M241" s="22"/>
      <c r="N241" s="22"/>
      <c r="O241" s="19" t="str">
        <f>'data'!$B$92</f>
      </c>
    </row>
    <row r="243">
      <c r="N243" t="s">
        <v>212</v>
      </c>
      <c r="O243" s="23"/>
    </row>
    <row r="244">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18</v>
      </c>
    </row>
    <row r="6">
      <c r="D6" s="14"/>
      <c r="E6" s="13">
        <v>1</v>
      </c>
    </row>
    <row r="7">
      <c r="C7" s="16" t="s">
        <v>71</v>
      </c>
      <c r="D7" s="15"/>
      <c r="E7" s="12"/>
    </row>
    <row r="9">
      <c r="H9" s="14"/>
      <c r="I9" s="12"/>
    </row>
    <row r="10">
      <c r="I10" s="12"/>
    </row>
    <row r="11">
      <c r="I11" s="12"/>
    </row>
    <row r="12">
      <c r="I12" s="13">
        <v>60</v>
      </c>
    </row>
    <row r="13">
      <c r="I13" s="12"/>
      <c r="J13" s="14"/>
      <c r="K13" s="12"/>
    </row>
    <row r="14">
      <c r="C14" s="16"/>
      <c r="D14" s="16"/>
      <c r="E14" s="16" t="s">
        <v>74</v>
      </c>
      <c r="I14" s="12"/>
      <c r="K14" s="12"/>
    </row>
    <row r="15">
      <c r="F15" s="14"/>
      <c r="G15" s="12"/>
      <c r="I15" s="12"/>
      <c r="K15" s="12"/>
    </row>
    <row r="16">
      <c r="G16" s="13">
        <v>33</v>
      </c>
      <c r="H16" s="15"/>
      <c r="I16" s="12"/>
      <c r="K16" s="12"/>
    </row>
    <row r="17">
      <c r="C17" s="16" t="s">
        <v>141</v>
      </c>
      <c r="G17" s="12"/>
      <c r="K17" s="12"/>
    </row>
    <row r="18">
      <c r="D18" s="14"/>
      <c r="E18" s="13">
        <v>2</v>
      </c>
      <c r="F18" s="15"/>
      <c r="G18" s="12"/>
      <c r="K18" s="12"/>
    </row>
    <row r="19">
      <c r="C19" s="16" t="s">
        <v>68</v>
      </c>
      <c r="D19" s="15"/>
      <c r="E19" s="12"/>
      <c r="K19" s="12"/>
    </row>
    <row r="20">
      <c r="K20" s="13">
        <v>76</v>
      </c>
    </row>
    <row r="21">
      <c r="K21" s="12"/>
    </row>
    <row r="22">
      <c r="C22" s="16"/>
      <c r="D22" s="16"/>
      <c r="E22" s="16" t="s">
        <v>184</v>
      </c>
      <c r="K22" s="12"/>
    </row>
    <row r="23">
      <c r="F23" s="14"/>
      <c r="G23" s="12"/>
      <c r="K23" s="12"/>
    </row>
    <row r="24">
      <c r="G24" s="13">
        <v>34</v>
      </c>
      <c r="K24" s="12"/>
    </row>
    <row r="25">
      <c r="C25" s="16" t="s">
        <v>186</v>
      </c>
      <c r="G25" s="12"/>
      <c r="H25" s="14"/>
      <c r="I25" s="12"/>
      <c r="K25" s="12"/>
    </row>
    <row r="26">
      <c r="D26" s="14"/>
      <c r="E26" s="13">
        <v>3</v>
      </c>
      <c r="F26" s="15"/>
      <c r="G26" s="12"/>
      <c r="I26" s="12"/>
      <c r="K26" s="12"/>
    </row>
    <row r="27">
      <c r="C27" s="16" t="s">
        <v>24</v>
      </c>
      <c r="D27" s="15"/>
      <c r="E27" s="12"/>
      <c r="I27" s="12"/>
      <c r="K27" s="12"/>
    </row>
    <row r="28">
      <c r="I28" s="13">
        <v>61</v>
      </c>
      <c r="J28" s="15"/>
      <c r="K28" s="12"/>
    </row>
    <row r="29">
      <c r="I29" s="12"/>
    </row>
    <row r="30">
      <c r="C30" s="16"/>
      <c r="D30" s="16"/>
      <c r="E30" s="16" t="s">
        <v>181</v>
      </c>
      <c r="I30" s="12"/>
    </row>
    <row r="31">
      <c r="F31" s="14"/>
      <c r="G31" s="12"/>
      <c r="I31" s="12"/>
    </row>
    <row r="32">
      <c r="G32" s="13">
        <v>35</v>
      </c>
      <c r="H32" s="15"/>
      <c r="I32" s="12"/>
    </row>
    <row r="33">
      <c r="C33" s="16" t="s">
        <v>132</v>
      </c>
      <c r="G33" s="12"/>
    </row>
    <row r="34">
      <c r="D34" s="14"/>
      <c r="E34" s="13">
        <v>4</v>
      </c>
      <c r="F34" s="15"/>
      <c r="G34" s="12"/>
    </row>
    <row r="35">
      <c r="C35" s="16" t="s">
        <v>48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50</v>
      </c>
    </row>
    <row r="6">
      <c r="D6" s="14"/>
      <c r="E6" s="13">
        <v>5</v>
      </c>
    </row>
    <row r="7">
      <c r="C7" s="16" t="s">
        <v>179</v>
      </c>
      <c r="D7" s="15"/>
      <c r="E7" s="12"/>
    </row>
    <row r="9">
      <c r="H9" s="14"/>
      <c r="I9" s="12"/>
    </row>
    <row r="10">
      <c r="I10" s="12"/>
    </row>
    <row r="11">
      <c r="I11" s="12"/>
    </row>
    <row r="12">
      <c r="I12" s="13">
        <v>62</v>
      </c>
    </row>
    <row r="13">
      <c r="I13" s="12"/>
      <c r="J13" s="14"/>
      <c r="K13" s="12"/>
    </row>
    <row r="14">
      <c r="C14" s="16"/>
      <c r="D14" s="16"/>
      <c r="E14" s="16" t="s">
        <v>54</v>
      </c>
      <c r="I14" s="12"/>
      <c r="K14" s="12"/>
    </row>
    <row r="15">
      <c r="F15" s="14"/>
      <c r="G15" s="12"/>
      <c r="I15" s="12"/>
      <c r="K15" s="12"/>
    </row>
    <row r="16">
      <c r="G16" s="13">
        <v>36</v>
      </c>
      <c r="H16" s="15"/>
      <c r="I16" s="12"/>
      <c r="K16" s="12"/>
    </row>
    <row r="17">
      <c r="C17" s="16" t="s">
        <v>56</v>
      </c>
      <c r="G17" s="12"/>
      <c r="K17" s="12"/>
    </row>
    <row r="18">
      <c r="D18" s="14"/>
      <c r="E18" s="13">
        <v>6</v>
      </c>
      <c r="F18" s="15"/>
      <c r="G18" s="12"/>
      <c r="K18" s="12"/>
    </row>
    <row r="19">
      <c r="C19" s="16" t="s">
        <v>58</v>
      </c>
      <c r="D19" s="15"/>
      <c r="E19" s="12"/>
      <c r="K19" s="12"/>
    </row>
    <row r="20">
      <c r="K20" s="13">
        <v>77</v>
      </c>
    </row>
    <row r="21">
      <c r="K21" s="12"/>
    </row>
    <row r="22">
      <c r="C22" s="16"/>
      <c r="D22" s="16"/>
      <c r="E22" s="16" t="s">
        <v>135</v>
      </c>
      <c r="K22" s="12"/>
    </row>
    <row r="23">
      <c r="F23" s="14"/>
      <c r="G23" s="12"/>
      <c r="K23" s="12"/>
    </row>
    <row r="24">
      <c r="G24" s="13">
        <v>37</v>
      </c>
      <c r="K24" s="12"/>
    </row>
    <row r="25">
      <c r="C25" s="16" t="s">
        <v>144</v>
      </c>
      <c r="G25" s="12"/>
      <c r="H25" s="14"/>
      <c r="I25" s="12"/>
      <c r="K25" s="12"/>
    </row>
    <row r="26">
      <c r="D26" s="14"/>
      <c r="E26" s="13">
        <v>7</v>
      </c>
      <c r="F26" s="15"/>
      <c r="G26" s="12"/>
      <c r="I26" s="12"/>
      <c r="K26" s="12"/>
    </row>
    <row r="27">
      <c r="C27" s="16" t="s">
        <v>65</v>
      </c>
      <c r="D27" s="15"/>
      <c r="E27" s="12"/>
      <c r="I27" s="12"/>
      <c r="K27" s="12"/>
    </row>
    <row r="28">
      <c r="I28" s="13">
        <v>63</v>
      </c>
      <c r="J28" s="15"/>
      <c r="K28" s="12"/>
    </row>
    <row r="29">
      <c r="I29" s="12"/>
    </row>
    <row r="30">
      <c r="C30" s="16"/>
      <c r="D30" s="16"/>
      <c r="E30" s="16" t="s">
        <v>147</v>
      </c>
      <c r="I30" s="12"/>
    </row>
    <row r="31">
      <c r="F31" s="14"/>
      <c r="G31" s="12"/>
      <c r="I31" s="12"/>
    </row>
    <row r="32">
      <c r="G32" s="13">
        <v>38</v>
      </c>
      <c r="H32" s="15"/>
      <c r="I32" s="12"/>
    </row>
    <row r="33">
      <c r="C33" s="16" t="s">
        <v>192</v>
      </c>
      <c r="G33" s="12"/>
    </row>
    <row r="34">
      <c r="D34" s="14"/>
      <c r="E34" s="13">
        <v>8</v>
      </c>
      <c r="F34" s="15"/>
      <c r="G34" s="12"/>
    </row>
    <row r="35">
      <c r="C35" s="16" t="s">
        <v>188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77</v>
      </c>
    </row>
    <row r="6">
      <c r="D6" s="14"/>
      <c r="E6" s="13">
        <v>9</v>
      </c>
    </row>
    <row r="7">
      <c r="C7" s="16" t="s">
        <v>79</v>
      </c>
      <c r="D7" s="15"/>
      <c r="E7" s="12"/>
    </row>
    <row r="9">
      <c r="H9" s="14"/>
      <c r="I9" s="12"/>
    </row>
    <row r="10">
      <c r="I10" s="12"/>
    </row>
    <row r="11">
      <c r="I11" s="12"/>
    </row>
    <row r="12">
      <c r="I12" s="13">
        <v>64</v>
      </c>
    </row>
    <row r="13">
      <c r="I13" s="12"/>
      <c r="J13" s="14"/>
      <c r="K13" s="12"/>
    </row>
    <row r="14">
      <c r="C14" s="16"/>
      <c r="D14" s="16"/>
      <c r="E14" s="16" t="s">
        <v>54</v>
      </c>
      <c r="I14" s="12"/>
      <c r="K14" s="12"/>
    </row>
    <row r="15">
      <c r="F15" s="14"/>
      <c r="G15" s="12"/>
      <c r="I15" s="12"/>
      <c r="K15" s="12"/>
    </row>
    <row r="16">
      <c r="G16" s="13">
        <v>39</v>
      </c>
      <c r="H16" s="15"/>
      <c r="I16" s="12"/>
      <c r="K16" s="12"/>
    </row>
    <row r="17">
      <c r="C17" s="16" t="s">
        <v>82</v>
      </c>
      <c r="G17" s="12"/>
      <c r="K17" s="12"/>
    </row>
    <row r="18">
      <c r="D18" s="14"/>
      <c r="E18" s="13">
        <v>10</v>
      </c>
      <c r="F18" s="15"/>
      <c r="G18" s="12"/>
      <c r="K18" s="12"/>
    </row>
    <row r="19">
      <c r="C19" s="16" t="s">
        <v>18</v>
      </c>
      <c r="D19" s="15"/>
      <c r="E19" s="12"/>
      <c r="K19" s="12"/>
    </row>
    <row r="20">
      <c r="K20" s="13">
        <v>78</v>
      </c>
    </row>
    <row r="21">
      <c r="K21" s="12"/>
    </row>
    <row r="22">
      <c r="C22" s="16"/>
      <c r="D22" s="16"/>
      <c r="E22" s="16" t="s">
        <v>21</v>
      </c>
      <c r="K22" s="12"/>
    </row>
    <row r="23">
      <c r="F23" s="14"/>
      <c r="G23" s="12"/>
      <c r="K23" s="12"/>
    </row>
    <row r="24">
      <c r="G24" s="13">
        <v>40</v>
      </c>
      <c r="K24" s="12"/>
    </row>
    <row r="25">
      <c r="C25" s="16" t="s">
        <v>42</v>
      </c>
      <c r="G25" s="12"/>
      <c r="H25" s="14"/>
      <c r="I25" s="12"/>
      <c r="K25" s="12"/>
    </row>
    <row r="26">
      <c r="D26" s="14"/>
      <c r="E26" s="13">
        <v>11</v>
      </c>
      <c r="F26" s="15"/>
      <c r="G26" s="12"/>
      <c r="I26" s="12"/>
      <c r="K26" s="12"/>
    </row>
    <row r="27">
      <c r="C27" s="16" t="s">
        <v>30</v>
      </c>
      <c r="D27" s="15"/>
      <c r="E27" s="12"/>
      <c r="I27" s="12"/>
      <c r="K27" s="12"/>
    </row>
    <row r="28">
      <c r="I28" s="13">
        <v>65</v>
      </c>
      <c r="J28" s="15"/>
      <c r="K28" s="12"/>
    </row>
    <row r="29">
      <c r="I29" s="12"/>
    </row>
    <row r="30">
      <c r="C30" s="16"/>
      <c r="D30" s="16"/>
      <c r="E30" s="16" t="s">
        <v>32</v>
      </c>
      <c r="I30" s="12"/>
    </row>
    <row r="31">
      <c r="F31" s="14"/>
      <c r="G31" s="12"/>
      <c r="I31" s="12"/>
    </row>
    <row r="32">
      <c r="G32" s="13">
        <v>41</v>
      </c>
      <c r="H32" s="15"/>
      <c r="I32" s="12"/>
    </row>
    <row r="33">
      <c r="C33" s="16" t="s">
        <v>34</v>
      </c>
      <c r="G33" s="12"/>
    </row>
    <row r="34">
      <c r="D34" s="14"/>
      <c r="E34" s="13">
        <v>12</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36</v>
      </c>
    </row>
    <row r="7">
      <c r="F7" s="14"/>
      <c r="G7" s="12"/>
    </row>
    <row r="8">
      <c r="G8" s="13">
        <v>42</v>
      </c>
    </row>
    <row r="9">
      <c r="C9" s="16" t="s">
        <v>106</v>
      </c>
      <c r="G9" s="12"/>
      <c r="H9" s="14"/>
      <c r="I9" s="12"/>
    </row>
    <row r="10">
      <c r="D10" s="14"/>
      <c r="E10" s="13">
        <v>13</v>
      </c>
      <c r="F10" s="15"/>
      <c r="G10" s="12"/>
      <c r="I10" s="12"/>
    </row>
    <row r="11">
      <c r="C11" s="16" t="s">
        <v>40</v>
      </c>
      <c r="D11" s="15"/>
      <c r="E11" s="12"/>
      <c r="I11" s="12"/>
    </row>
    <row r="12">
      <c r="I12" s="13">
        <v>66</v>
      </c>
    </row>
    <row r="13">
      <c r="I13" s="12"/>
      <c r="J13" s="14"/>
      <c r="K13" s="12"/>
    </row>
    <row r="14">
      <c r="C14" s="16"/>
      <c r="D14" s="16"/>
      <c r="E14" s="16" t="s">
        <v>42</v>
      </c>
      <c r="I14" s="12"/>
      <c r="K14" s="12"/>
    </row>
    <row r="15">
      <c r="F15" s="14"/>
      <c r="G15" s="12"/>
      <c r="I15" s="12"/>
      <c r="K15" s="12"/>
    </row>
    <row r="16">
      <c r="G16" s="13">
        <v>43</v>
      </c>
      <c r="H16" s="15"/>
      <c r="I16" s="12"/>
      <c r="K16" s="12"/>
    </row>
    <row r="17">
      <c r="C17" s="16" t="s">
        <v>194</v>
      </c>
      <c r="G17" s="12"/>
      <c r="K17" s="12"/>
    </row>
    <row r="18">
      <c r="D18" s="14"/>
      <c r="E18" s="13">
        <v>14</v>
      </c>
      <c r="F18" s="15"/>
      <c r="G18" s="12"/>
      <c r="K18" s="12"/>
    </row>
    <row r="19">
      <c r="C19" s="16" t="s">
        <v>46</v>
      </c>
      <c r="D19" s="15"/>
      <c r="E19" s="12"/>
      <c r="K19" s="12"/>
    </row>
    <row r="20">
      <c r="K20" s="13">
        <v>79</v>
      </c>
    </row>
    <row r="21">
      <c r="K21" s="12"/>
    </row>
    <row r="22">
      <c r="C22" s="16"/>
      <c r="D22" s="16"/>
      <c r="E22" s="16" t="s">
        <v>96</v>
      </c>
      <c r="K22" s="12"/>
    </row>
    <row r="23">
      <c r="F23" s="14"/>
      <c r="G23" s="12"/>
      <c r="K23" s="12"/>
    </row>
    <row r="24">
      <c r="G24" s="13">
        <v>44</v>
      </c>
      <c r="K24" s="12"/>
    </row>
    <row r="25">
      <c r="C25" s="16" t="s">
        <v>98</v>
      </c>
      <c r="G25" s="12"/>
      <c r="H25" s="14"/>
      <c r="I25" s="12"/>
      <c r="K25" s="12"/>
    </row>
    <row r="26">
      <c r="D26" s="14"/>
      <c r="E26" s="13">
        <v>15</v>
      </c>
      <c r="F26" s="15"/>
      <c r="G26" s="12"/>
      <c r="I26" s="12"/>
      <c r="K26" s="12"/>
    </row>
    <row r="27">
      <c r="C27" s="16" t="s">
        <v>100</v>
      </c>
      <c r="D27" s="15"/>
      <c r="E27" s="12"/>
      <c r="I27" s="12"/>
      <c r="K27" s="12"/>
    </row>
    <row r="28">
      <c r="I28" s="13">
        <v>67</v>
      </c>
      <c r="J28" s="15"/>
      <c r="K28" s="12"/>
    </row>
    <row r="29">
      <c r="I29" s="12"/>
    </row>
    <row r="30">
      <c r="C30" s="16"/>
      <c r="D30" s="16"/>
      <c r="E30" s="16" t="s">
        <v>102</v>
      </c>
      <c r="I30" s="12"/>
    </row>
    <row r="31">
      <c r="F31" s="14"/>
      <c r="G31" s="12"/>
      <c r="I31" s="12"/>
    </row>
    <row r="32">
      <c r="G32" s="13">
        <v>45</v>
      </c>
      <c r="H32" s="15"/>
      <c r="I32" s="12"/>
    </row>
    <row r="33">
      <c r="C33" s="16" t="s">
        <v>104</v>
      </c>
      <c r="G33" s="12"/>
    </row>
    <row r="34">
      <c r="D34" s="14"/>
      <c r="E34" s="13">
        <v>16</v>
      </c>
      <c r="F34" s="15"/>
      <c r="G34" s="12"/>
    </row>
    <row r="35">
      <c r="C35" s="16" t="s">
        <v>38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108</v>
      </c>
    </row>
    <row r="6">
      <c r="D6" s="14"/>
      <c r="E6" s="13">
        <v>17</v>
      </c>
    </row>
    <row r="7">
      <c r="C7" s="16" t="s">
        <v>110</v>
      </c>
      <c r="D7" s="15"/>
      <c r="E7" s="12"/>
    </row>
    <row r="9">
      <c r="H9" s="14"/>
      <c r="I9" s="12"/>
    </row>
    <row r="10">
      <c r="I10" s="12"/>
    </row>
    <row r="11">
      <c r="I11" s="12"/>
    </row>
    <row r="12">
      <c r="I12" s="13">
        <v>68</v>
      </c>
    </row>
    <row r="13">
      <c r="I13" s="12"/>
      <c r="J13" s="14"/>
      <c r="K13" s="12"/>
    </row>
    <row r="14">
      <c r="C14" s="16"/>
      <c r="D14" s="16"/>
      <c r="E14" s="16" t="s">
        <v>112</v>
      </c>
      <c r="I14" s="12"/>
      <c r="K14" s="12"/>
    </row>
    <row r="15">
      <c r="F15" s="14"/>
      <c r="G15" s="12"/>
      <c r="I15" s="12"/>
      <c r="K15" s="12"/>
    </row>
    <row r="16">
      <c r="G16" s="13">
        <v>46</v>
      </c>
      <c r="H16" s="15"/>
      <c r="I16" s="12"/>
      <c r="K16" s="12"/>
    </row>
    <row r="17">
      <c r="C17" s="16" t="s">
        <v>114</v>
      </c>
      <c r="G17" s="12"/>
      <c r="K17" s="12"/>
    </row>
    <row r="18">
      <c r="D18" s="14"/>
      <c r="E18" s="13">
        <v>18</v>
      </c>
      <c r="F18" s="15"/>
      <c r="G18" s="12"/>
      <c r="K18" s="12"/>
    </row>
    <row r="19">
      <c r="C19" s="16" t="s">
        <v>117</v>
      </c>
      <c r="D19" s="15"/>
      <c r="E19" s="12"/>
      <c r="K19" s="12"/>
    </row>
    <row r="20">
      <c r="K20" s="13">
        <v>80</v>
      </c>
    </row>
    <row r="21">
      <c r="K21" s="12"/>
    </row>
    <row r="22">
      <c r="C22" s="16"/>
      <c r="D22" s="16"/>
      <c r="E22" s="16" t="s">
        <v>120</v>
      </c>
      <c r="K22" s="12"/>
    </row>
    <row r="23">
      <c r="F23" s="14"/>
      <c r="G23" s="12"/>
      <c r="K23" s="12"/>
    </row>
    <row r="24">
      <c r="G24" s="13">
        <v>47</v>
      </c>
      <c r="K24" s="12"/>
    </row>
    <row r="25">
      <c r="C25" s="16" t="s">
        <v>123</v>
      </c>
      <c r="G25" s="12"/>
      <c r="H25" s="14"/>
      <c r="I25" s="12"/>
      <c r="K25" s="12"/>
    </row>
    <row r="26">
      <c r="D26" s="14"/>
      <c r="E26" s="13">
        <v>19</v>
      </c>
      <c r="F26" s="15"/>
      <c r="G26" s="12"/>
      <c r="I26" s="12"/>
      <c r="K26" s="12"/>
    </row>
    <row r="27">
      <c r="C27" s="16" t="s">
        <v>126</v>
      </c>
      <c r="D27" s="15"/>
      <c r="E27" s="12"/>
      <c r="I27" s="12"/>
      <c r="K27" s="12"/>
    </row>
    <row r="28">
      <c r="I28" s="13">
        <v>69</v>
      </c>
      <c r="J28" s="15"/>
      <c r="K28" s="12"/>
    </row>
    <row r="29">
      <c r="I29" s="12"/>
    </row>
    <row r="30">
      <c r="C30" s="16"/>
      <c r="D30" s="16"/>
      <c r="E30" s="16" t="s">
        <v>129</v>
      </c>
      <c r="I30" s="12"/>
    </row>
    <row r="31">
      <c r="F31" s="14"/>
      <c r="G31" s="12"/>
      <c r="I31" s="12"/>
    </row>
    <row r="32">
      <c r="G32" s="13">
        <v>48</v>
      </c>
      <c r="H32" s="15"/>
      <c r="I32" s="12"/>
    </row>
    <row r="33">
      <c r="C33" s="16" t="s">
        <v>132</v>
      </c>
      <c r="G33" s="12"/>
    </row>
    <row r="34">
      <c r="D34" s="14"/>
      <c r="E34" s="13">
        <v>20</v>
      </c>
      <c r="F34" s="15"/>
      <c r="G34" s="12"/>
    </row>
    <row r="35">
      <c r="C35" s="16" t="s">
        <v>60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138</v>
      </c>
    </row>
    <row r="7">
      <c r="F7" s="14"/>
      <c r="G7" s="12"/>
    </row>
    <row r="8">
      <c r="G8" s="13">
        <v>49</v>
      </c>
    </row>
    <row r="9">
      <c r="C9" s="16" t="s">
        <v>34</v>
      </c>
      <c r="G9" s="12"/>
      <c r="H9" s="14"/>
      <c r="I9" s="12"/>
    </row>
    <row r="10">
      <c r="D10" s="14"/>
      <c r="E10" s="13">
        <v>21</v>
      </c>
      <c r="F10" s="15"/>
      <c r="G10" s="12"/>
      <c r="I10" s="12"/>
    </row>
    <row r="11">
      <c r="C11" s="16" t="s">
        <v>62</v>
      </c>
      <c r="D11" s="15"/>
      <c r="E11" s="12"/>
      <c r="I11" s="12"/>
    </row>
    <row r="12">
      <c r="I12" s="13">
        <v>70</v>
      </c>
    </row>
    <row r="13">
      <c r="I13" s="12"/>
      <c r="J13" s="14"/>
      <c r="K13" s="12"/>
    </row>
    <row r="14">
      <c r="C14" s="16"/>
      <c r="D14" s="16"/>
      <c r="E14" s="16" t="s">
        <v>36</v>
      </c>
      <c r="I14" s="12"/>
      <c r="K14" s="12"/>
    </row>
    <row r="15">
      <c r="F15" s="14"/>
      <c r="G15" s="12"/>
      <c r="I15" s="12"/>
      <c r="K15" s="12"/>
    </row>
    <row r="16">
      <c r="G16" s="13">
        <v>50</v>
      </c>
      <c r="H16" s="15"/>
      <c r="I16" s="12"/>
      <c r="K16" s="12"/>
    </row>
    <row r="17">
      <c r="C17" s="16" t="s">
        <v>150</v>
      </c>
      <c r="G17" s="12"/>
      <c r="K17" s="12"/>
    </row>
    <row r="18">
      <c r="D18" s="14"/>
      <c r="E18" s="13">
        <v>22</v>
      </c>
      <c r="F18" s="15"/>
      <c r="G18" s="12"/>
      <c r="K18" s="12"/>
    </row>
    <row r="19">
      <c r="C19" s="16" t="s">
        <v>153</v>
      </c>
      <c r="D19" s="15"/>
      <c r="E19" s="12"/>
      <c r="K19" s="12"/>
    </row>
    <row r="20">
      <c r="K20" s="13">
        <v>81</v>
      </c>
    </row>
    <row r="21">
      <c r="K21" s="12"/>
    </row>
    <row r="22">
      <c r="C22" s="16"/>
      <c r="D22" s="16"/>
      <c r="E22" s="16" t="s">
        <v>156</v>
      </c>
      <c r="K22" s="12"/>
    </row>
    <row r="23">
      <c r="F23" s="14"/>
      <c r="G23" s="12"/>
      <c r="K23" s="12"/>
    </row>
    <row r="24">
      <c r="G24" s="13">
        <v>51</v>
      </c>
      <c r="K24" s="12"/>
    </row>
    <row r="25">
      <c r="C25" s="16" t="s">
        <v>158</v>
      </c>
      <c r="G25" s="12"/>
      <c r="H25" s="14"/>
      <c r="I25" s="12"/>
      <c r="K25" s="12"/>
    </row>
    <row r="26">
      <c r="D26" s="14"/>
      <c r="E26" s="13">
        <v>23</v>
      </c>
      <c r="F26" s="15"/>
      <c r="G26" s="12"/>
      <c r="I26" s="12"/>
      <c r="K26" s="12"/>
    </row>
    <row r="27">
      <c r="C27" s="16" t="s">
        <v>21</v>
      </c>
      <c r="D27" s="15"/>
      <c r="E27" s="12"/>
      <c r="I27" s="12"/>
      <c r="K27" s="12"/>
    </row>
    <row r="28">
      <c r="I28" s="13">
        <v>71</v>
      </c>
      <c r="J28" s="15"/>
      <c r="K28" s="12"/>
    </row>
    <row r="29">
      <c r="I29" s="12"/>
    </row>
    <row r="30">
      <c r="C30" s="16"/>
      <c r="D30" s="16"/>
      <c r="E30" s="16" t="s">
        <v>160</v>
      </c>
      <c r="I30" s="12"/>
    </row>
    <row r="31">
      <c r="F31" s="14"/>
      <c r="G31" s="12"/>
      <c r="I31" s="12"/>
    </row>
    <row r="32">
      <c r="G32" s="13">
        <v>52</v>
      </c>
      <c r="H32" s="15"/>
      <c r="I32" s="12"/>
    </row>
    <row r="33">
      <c r="C33" s="16" t="s">
        <v>190</v>
      </c>
      <c r="G33" s="12"/>
    </row>
    <row r="34">
      <c r="D34" s="14"/>
      <c r="E34" s="13">
        <v>24</v>
      </c>
      <c r="F34" s="15"/>
      <c r="G34" s="12"/>
    </row>
    <row r="35">
      <c r="C35" s="16" t="s">
        <v>164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166</v>
      </c>
    </row>
    <row r="6">
      <c r="D6" s="14"/>
      <c r="E6" s="13">
        <v>25</v>
      </c>
    </row>
    <row r="7">
      <c r="C7" s="16" t="s">
        <v>168</v>
      </c>
      <c r="D7" s="15"/>
      <c r="E7" s="12"/>
    </row>
    <row r="9">
      <c r="H9" s="14"/>
      <c r="I9" s="12"/>
    </row>
    <row r="10">
      <c r="I10" s="12"/>
    </row>
    <row r="11">
      <c r="I11" s="12"/>
    </row>
    <row r="12">
      <c r="I12" s="13">
        <v>72</v>
      </c>
    </row>
    <row r="13">
      <c r="I13" s="12"/>
      <c r="J13" s="14"/>
      <c r="K13" s="12"/>
    </row>
    <row r="14">
      <c r="C14" s="16"/>
      <c r="D14" s="16"/>
      <c r="E14" s="16" t="s">
        <v>162</v>
      </c>
      <c r="I14" s="12"/>
      <c r="K14" s="12"/>
    </row>
    <row r="15">
      <c r="F15" s="14"/>
      <c r="G15" s="12"/>
      <c r="I15" s="12"/>
      <c r="K15" s="12"/>
    </row>
    <row r="16">
      <c r="G16" s="13">
        <v>53</v>
      </c>
      <c r="H16" s="15"/>
      <c r="I16" s="12"/>
      <c r="K16" s="12"/>
    </row>
    <row r="17">
      <c r="C17" s="16" t="s">
        <v>171</v>
      </c>
      <c r="G17" s="12"/>
      <c r="K17" s="12"/>
    </row>
    <row r="18">
      <c r="D18" s="14"/>
      <c r="E18" s="13">
        <v>26</v>
      </c>
      <c r="F18" s="15"/>
      <c r="G18" s="12"/>
      <c r="K18" s="12"/>
    </row>
    <row r="19">
      <c r="C19" s="16" t="s">
        <v>173</v>
      </c>
      <c r="D19" s="15"/>
      <c r="E19" s="12"/>
      <c r="K19" s="12"/>
    </row>
    <row r="20">
      <c r="K20" s="13">
        <v>82</v>
      </c>
    </row>
    <row r="21">
      <c r="K21" s="12"/>
    </row>
    <row r="22">
      <c r="C22" s="16"/>
      <c r="D22" s="16"/>
      <c r="E22" s="16" t="s">
        <v>175</v>
      </c>
      <c r="K22" s="12"/>
    </row>
    <row r="23">
      <c r="F23" s="14"/>
      <c r="G23" s="12"/>
      <c r="K23" s="12"/>
    </row>
    <row r="24">
      <c r="G24" s="13">
        <v>54</v>
      </c>
      <c r="K24" s="12"/>
    </row>
    <row r="25">
      <c r="C25" s="16" t="s">
        <v>177</v>
      </c>
      <c r="G25" s="12"/>
      <c r="H25" s="14"/>
      <c r="I25" s="12"/>
      <c r="K25" s="12"/>
    </row>
    <row r="26">
      <c r="D26" s="14"/>
      <c r="E26" s="13">
        <v>27</v>
      </c>
      <c r="F26" s="15"/>
      <c r="G26" s="12"/>
      <c r="I26" s="12"/>
      <c r="K26" s="12"/>
    </row>
    <row r="27">
      <c r="C27" s="16" t="s">
        <v>52</v>
      </c>
      <c r="D27" s="15"/>
      <c r="E27" s="12"/>
      <c r="I27" s="12"/>
      <c r="K27" s="12"/>
    </row>
    <row r="28">
      <c r="I28" s="13">
        <v>73</v>
      </c>
      <c r="J28" s="15"/>
      <c r="K28" s="12"/>
    </row>
    <row r="29">
      <c r="I29" s="12"/>
    </row>
    <row r="30">
      <c r="C30" s="16"/>
      <c r="D30" s="16"/>
      <c r="E30" s="16" t="s">
        <v>44</v>
      </c>
      <c r="I30" s="12"/>
    </row>
    <row r="31">
      <c r="F31" s="14"/>
      <c r="G31" s="12"/>
      <c r="I31" s="12"/>
    </row>
    <row r="32">
      <c r="G32" s="13">
        <v>55</v>
      </c>
      <c r="H32" s="15"/>
      <c r="I32" s="12"/>
    </row>
    <row r="33">
      <c r="C33" s="16" t="s">
        <v>46</v>
      </c>
      <c r="G33" s="12"/>
    </row>
    <row r="34">
      <c r="D34" s="14"/>
      <c r="E34" s="13">
        <v>28</v>
      </c>
      <c r="F34" s="15"/>
      <c r="G34" s="12"/>
    </row>
    <row r="35">
      <c r="C35" s="16" t="s">
        <v>38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40</v>
      </c>
    </row>
    <row r="7">
      <c r="F7" s="14"/>
      <c r="G7" s="12"/>
    </row>
    <row r="8">
      <c r="G8" s="13">
        <v>56</v>
      </c>
    </row>
    <row r="9">
      <c r="C9" s="16" t="s">
        <v>32</v>
      </c>
      <c r="G9" s="12"/>
      <c r="H9" s="14"/>
      <c r="I9" s="12"/>
    </row>
    <row r="10">
      <c r="D10" s="14"/>
      <c r="E10" s="13">
        <v>29</v>
      </c>
      <c r="F10" s="15"/>
      <c r="G10" s="12"/>
      <c r="I10" s="12"/>
    </row>
    <row r="11">
      <c r="C11" s="16" t="s">
        <v>162</v>
      </c>
      <c r="D11" s="15"/>
      <c r="E11" s="12"/>
      <c r="I11" s="12"/>
    </row>
    <row r="12">
      <c r="I12" s="13">
        <v>74</v>
      </c>
    </row>
    <row r="13">
      <c r="I13" s="12"/>
      <c r="J13" s="14"/>
      <c r="K13" s="12"/>
    </row>
    <row r="14">
      <c r="C14" s="16"/>
      <c r="D14" s="16"/>
      <c r="E14" s="16" t="s">
        <v>30</v>
      </c>
      <c r="I14" s="12"/>
      <c r="K14" s="12"/>
    </row>
    <row r="15">
      <c r="F15" s="14"/>
      <c r="G15" s="12"/>
      <c r="I15" s="12"/>
      <c r="K15" s="12"/>
    </row>
    <row r="16">
      <c r="G16" s="13">
        <v>57</v>
      </c>
      <c r="H16" s="15"/>
      <c r="I16" s="12"/>
      <c r="K16" s="12"/>
    </row>
    <row r="17">
      <c r="C17" s="16" t="s">
        <v>44</v>
      </c>
      <c r="G17" s="12"/>
      <c r="K17" s="12"/>
    </row>
    <row r="18">
      <c r="D18" s="14"/>
      <c r="E18" s="13">
        <v>30</v>
      </c>
      <c r="F18" s="15"/>
      <c r="G18" s="12"/>
      <c r="K18" s="12"/>
    </row>
    <row r="19">
      <c r="C19" s="16" t="s">
        <v>164</v>
      </c>
      <c r="D19" s="15"/>
      <c r="E19" s="12"/>
      <c r="K19" s="12"/>
    </row>
    <row r="20">
      <c r="K20" s="13">
        <v>83</v>
      </c>
    </row>
    <row r="21">
      <c r="K21" s="12"/>
    </row>
    <row r="22">
      <c r="C22" s="16"/>
      <c r="D22" s="16"/>
      <c r="E22" s="16" t="s">
        <v>197</v>
      </c>
      <c r="K22" s="12"/>
    </row>
    <row r="23">
      <c r="F23" s="14"/>
      <c r="G23" s="12"/>
      <c r="K23" s="12"/>
    </row>
    <row r="24">
      <c r="G24" s="13">
        <v>58</v>
      </c>
      <c r="K24" s="12"/>
    </row>
    <row r="25">
      <c r="C25" s="16" t="s">
        <v>199</v>
      </c>
      <c r="G25" s="12"/>
      <c r="H25" s="14"/>
      <c r="I25" s="12"/>
      <c r="K25" s="12"/>
    </row>
    <row r="26">
      <c r="D26" s="14"/>
      <c r="E26" s="13">
        <v>31</v>
      </c>
      <c r="F26" s="15"/>
      <c r="G26" s="12"/>
      <c r="I26" s="12"/>
      <c r="K26" s="12"/>
    </row>
    <row r="27">
      <c r="C27" s="16" t="s">
        <v>201</v>
      </c>
      <c r="D27" s="15"/>
      <c r="E27" s="12"/>
      <c r="I27" s="12"/>
      <c r="K27" s="12"/>
    </row>
    <row r="28">
      <c r="I28" s="13">
        <v>75</v>
      </c>
      <c r="J28" s="15"/>
      <c r="K28" s="12"/>
    </row>
    <row r="29">
      <c r="I29" s="12"/>
    </row>
    <row r="30">
      <c r="C30" s="16"/>
      <c r="D30" s="16"/>
      <c r="E30" s="16" t="s">
        <v>203</v>
      </c>
      <c r="I30" s="12"/>
    </row>
    <row r="31">
      <c r="F31" s="14"/>
      <c r="G31" s="12"/>
      <c r="I31" s="12"/>
    </row>
    <row r="32">
      <c r="G32" s="13">
        <v>59</v>
      </c>
      <c r="H32" s="15"/>
      <c r="I32" s="12"/>
    </row>
    <row r="33">
      <c r="C33" s="16" t="s">
        <v>205</v>
      </c>
      <c r="G33" s="12"/>
    </row>
    <row r="34">
      <c r="D34" s="14"/>
      <c r="E34" s="13">
        <v>32</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23</v>
      </c>
      <c r="B2" s="18" t="str">
        <f>'data'!D26</f>
      </c>
    </row>
    <row r="3" ht="270" customHeight="true">
      <c r="A3" s="17">
        <v>24</v>
      </c>
      <c r="B3" s="18" t="str">
        <f>'data'!D27</f>
      </c>
    </row>
    <row r="4" ht="270" customHeight="true">
      <c r="A4" s="17">
        <v>59</v>
      </c>
      <c r="B4" s="18" t="str">
        <f>'data'!D62</f>
      </c>
    </row>
    <row r="5" ht="270" customHeight="true">
      <c r="A5" s="17">
        <v>22</v>
      </c>
      <c r="B5" s="18" t="str">
        <f>'data'!D25</f>
      </c>
    </row>
    <row r="6" ht="270" customHeight="true">
      <c r="A6" s="17">
        <v>79</v>
      </c>
      <c r="B6" s="18" t="str">
        <f>'data'!D82</f>
      </c>
    </row>
    <row r="7" ht="270" customHeight="true">
      <c r="A7" s="17">
        <v>80</v>
      </c>
      <c r="B7" s="18" t="str">
        <f>'data'!D83</f>
      </c>
    </row>
    <row r="8" ht="270" customHeight="true">
      <c r="A8" s="17">
        <v>31</v>
      </c>
      <c r="B8" s="18" t="str">
        <f>'data'!D34</f>
      </c>
    </row>
    <row r="9" ht="270" customHeight="true">
      <c r="A9" s="17">
        <v>77</v>
      </c>
      <c r="B9" s="18" t="str">
        <f>'data'!D80</f>
      </c>
    </row>
    <row r="10" ht="270" customHeight="true">
      <c r="A10" s="17">
        <v>78</v>
      </c>
      <c r="B10" s="18" t="str">
        <f>'data'!D81</f>
      </c>
    </row>
    <row r="11" ht="270" customHeight="true">
      <c r="A11" s="17">
        <v>13</v>
      </c>
      <c r="B11" s="18" t="str">
        <f>'data'!D16</f>
      </c>
    </row>
    <row r="12" ht="270" customHeight="true">
      <c r="A12" s="17">
        <v>14</v>
      </c>
      <c r="B12" s="18" t="str">
        <f>'data'!D17</f>
      </c>
    </row>
    <row r="13" ht="270" customHeight="true">
      <c r="A13" s="17">
        <v>76</v>
      </c>
      <c r="B13" s="18" t="str">
        <f>'data'!D79</f>
      </c>
    </row>
    <row r="14" ht="270" customHeight="true">
      <c r="A14" s="17">
        <v>16</v>
      </c>
      <c r="B14" s="18" t="str">
        <f>'data'!D19</f>
      </c>
    </row>
    <row r="15" ht="270" customHeight="true">
      <c r="A15" s="17">
        <v>17</v>
      </c>
      <c r="B15" s="18" t="str">
        <f>'data'!D20</f>
      </c>
    </row>
    <row r="16" ht="270" customHeight="true">
      <c r="A16" s="17">
        <v>18</v>
      </c>
      <c r="B16" s="18" t="str">
        <f>'data'!D21</f>
      </c>
    </row>
    <row r="17" ht="270" customHeight="true">
      <c r="A17" s="17">
        <v>57</v>
      </c>
      <c r="B17" s="18" t="str">
        <f>'data'!D60</f>
      </c>
    </row>
    <row r="18" ht="270" customHeight="true">
      <c r="A18" s="17">
        <v>60</v>
      </c>
      <c r="B18" s="18" t="str">
        <f>'data'!D63</f>
      </c>
    </row>
    <row r="19" ht="270" customHeight="true">
      <c r="A19" s="17">
        <v>21</v>
      </c>
      <c r="B19" s="18" t="str">
        <f>'data'!D24</f>
      </c>
    </row>
    <row r="20" ht="270" customHeight="true">
      <c r="A20" s="17">
        <v>61</v>
      </c>
      <c r="B20" s="18" t="str">
        <f>'data'!D64</f>
      </c>
    </row>
    <row r="21" ht="270" customHeight="true">
      <c r="A21" s="17">
        <v>83</v>
      </c>
      <c r="B21" s="18" t="str">
        <f>'data'!D86</f>
      </c>
    </row>
    <row r="22" ht="270" customHeight="true">
      <c r="A22" s="17">
        <v>81</v>
      </c>
      <c r="B22" s="18" t="str">
        <f>'data'!D84</f>
      </c>
    </row>
    <row r="23" ht="270" customHeight="true">
      <c r="A23" s="17">
        <v>25</v>
      </c>
      <c r="B23" s="18" t="str">
        <f>'data'!D28</f>
      </c>
    </row>
    <row r="24" ht="270" customHeight="true">
      <c r="A24" s="17">
        <v>26</v>
      </c>
      <c r="B24" s="18" t="str">
        <f>'data'!D29</f>
      </c>
    </row>
    <row r="25" ht="270" customHeight="true">
      <c r="A25" s="17">
        <v>27</v>
      </c>
      <c r="B25" s="18" t="str">
        <f>'data'!D30</f>
      </c>
    </row>
    <row r="26" ht="270" customHeight="true">
      <c r="A26" s="17">
        <v>28</v>
      </c>
      <c r="B26" s="18" t="str">
        <f>'data'!D31</f>
      </c>
    </row>
    <row r="27" ht="270" customHeight="true">
      <c r="A27" s="17">
        <v>29</v>
      </c>
      <c r="B27" s="18" t="str">
        <f>'data'!D32</f>
      </c>
    </row>
    <row r="28" ht="270" customHeight="true">
      <c r="A28" s="17">
        <v>30</v>
      </c>
      <c r="B28" s="18" t="str">
        <f>'data'!D33</f>
      </c>
    </row>
    <row r="29" ht="270" customHeight="true">
      <c r="A29" s="17">
        <v>10</v>
      </c>
      <c r="B29" s="18" t="str">
        <f>'data'!D13</f>
      </c>
    </row>
    <row r="30" ht="270" customHeight="true">
      <c r="A30" s="17">
        <v>32</v>
      </c>
      <c r="B30" s="18" t="str">
        <f>'data'!D35</f>
      </c>
    </row>
    <row r="31" ht="270" customHeight="true">
      <c r="A31" s="17">
        <v>33</v>
      </c>
      <c r="B31" s="18" t="str">
        <f>'data'!D36</f>
      </c>
    </row>
    <row r="32" ht="270" customHeight="true">
      <c r="A32" s="17">
        <v>34</v>
      </c>
      <c r="B32" s="18" t="str">
        <f>'data'!D37</f>
      </c>
    </row>
    <row r="33" ht="270" customHeight="true">
      <c r="A33" s="17">
        <v>3</v>
      </c>
      <c r="B33" s="18" t="str">
        <f>'data'!D6</f>
      </c>
    </row>
    <row r="34" ht="270" customHeight="true">
      <c r="A34" s="17">
        <v>35</v>
      </c>
      <c r="B34" s="18" t="str">
        <f>'data'!D38</f>
      </c>
    </row>
    <row r="35" ht="270" customHeight="true">
      <c r="A35" s="17">
        <v>46</v>
      </c>
      <c r="B35" s="18" t="str">
        <f>'data'!D49</f>
      </c>
    </row>
    <row r="36" ht="270" customHeight="true">
      <c r="A36" s="17">
        <v>37</v>
      </c>
      <c r="B36" s="18" t="str">
        <f>'data'!D40</f>
      </c>
    </row>
    <row r="37" ht="270" customHeight="true">
      <c r="A37" s="17">
        <v>38</v>
      </c>
      <c r="B37" s="18" t="str">
        <f>'data'!D41</f>
      </c>
    </row>
    <row r="38" ht="270" customHeight="true">
      <c r="A38" s="17">
        <v>84</v>
      </c>
      <c r="B38" s="18" t="str">
        <f>'data'!D87</f>
      </c>
    </row>
    <row r="39" ht="270" customHeight="true">
      <c r="A39" s="17">
        <v>40</v>
      </c>
      <c r="B39" s="18" t="str">
        <f>'data'!D43</f>
      </c>
    </row>
    <row r="40" ht="270" customHeight="true">
      <c r="A40" s="17">
        <v>41</v>
      </c>
      <c r="B40" s="18" t="str">
        <f>'data'!D44</f>
      </c>
    </row>
    <row r="41" ht="270" customHeight="true">
      <c r="A41" s="17">
        <v>42</v>
      </c>
      <c r="B41" s="18" t="str">
        <f>'data'!D45</f>
      </c>
    </row>
    <row r="42" ht="270" customHeight="true">
      <c r="A42" s="17">
        <v>43</v>
      </c>
      <c r="B42" s="18" t="str">
        <f>'data'!D46</f>
      </c>
    </row>
    <row r="43" ht="270" customHeight="true">
      <c r="A43" s="17">
        <v>44</v>
      </c>
      <c r="B43" s="18" t="str">
        <f>'data'!D47</f>
      </c>
    </row>
    <row r="44" ht="270" customHeight="true">
      <c r="A44" s="17">
        <v>45</v>
      </c>
      <c r="B44" s="18" t="str">
        <f>'data'!D48</f>
      </c>
    </row>
    <row r="45" ht="270" customHeight="true">
      <c r="A45" s="17">
        <v>36</v>
      </c>
      <c r="B45" s="18" t="str">
        <f>'data'!D39</f>
      </c>
    </row>
    <row r="46" ht="270" customHeight="true">
      <c r="A46" s="17">
        <v>47</v>
      </c>
      <c r="B46" s="18" t="str">
        <f>'data'!D50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48</v>
      </c>
      <c r="B1" s="18" t="str">
        <f>'data'!D51</f>
      </c>
    </row>
    <row r="2" ht="270" customHeight="true">
      <c r="A2" s="17">
        <v>49</v>
      </c>
      <c r="B2" s="18" t="str">
        <f>'data'!D52</f>
      </c>
    </row>
    <row r="3" ht="270" customHeight="true">
      <c r="A3" s="17">
        <v>50</v>
      </c>
      <c r="B3" s="18" t="str">
        <f>'data'!D53</f>
      </c>
    </row>
    <row r="4" ht="270" customHeight="true">
      <c r="A4" s="17">
        <v>51</v>
      </c>
      <c r="B4" s="18" t="str">
        <f>'data'!D54</f>
      </c>
    </row>
    <row r="5" ht="270" customHeight="true">
      <c r="A5" s="17">
        <v>52</v>
      </c>
      <c r="B5" s="18" t="str">
        <f>'data'!D55</f>
      </c>
    </row>
    <row r="6" ht="270" customHeight="true">
      <c r="A6" s="17">
        <v>53</v>
      </c>
      <c r="B6" s="18" t="str">
        <f>'data'!D56</f>
      </c>
    </row>
    <row r="7" ht="270" customHeight="true">
      <c r="A7" s="17">
        <v>54</v>
      </c>
      <c r="B7" s="18" t="str">
        <f>'data'!D57</f>
      </c>
    </row>
    <row r="8" ht="270" customHeight="true">
      <c r="A8" s="17">
        <v>55</v>
      </c>
      <c r="B8" s="18" t="str">
        <f>'data'!D58</f>
      </c>
    </row>
    <row r="9" ht="270" customHeight="true">
      <c r="A9" s="17">
        <v>56</v>
      </c>
      <c r="B9" s="18" t="str">
        <f>'data'!D59</f>
      </c>
    </row>
    <row r="10" ht="270" customHeight="true">
      <c r="A10" s="17">
        <v>19</v>
      </c>
      <c r="B10" s="18" t="str">
        <f>'data'!D22</f>
      </c>
    </row>
    <row r="11" ht="270" customHeight="true">
      <c r="A11" s="17">
        <v>58</v>
      </c>
      <c r="B11" s="18" t="str">
        <f>'data'!D61</f>
      </c>
    </row>
    <row r="12" ht="270" customHeight="true">
      <c r="A12" s="17">
        <v>6</v>
      </c>
      <c r="B12" s="18" t="str">
        <f>'data'!D9</f>
      </c>
    </row>
    <row r="13" ht="270" customHeight="true">
      <c r="A13" s="17">
        <v>20</v>
      </c>
      <c r="B13" s="18" t="str">
        <f>'data'!D23</f>
      </c>
    </row>
    <row r="14" ht="270" customHeight="true">
      <c r="A14" s="17">
        <v>7</v>
      </c>
      <c r="B14" s="18" t="str">
        <f>'data'!D10</f>
      </c>
    </row>
    <row r="15" ht="270" customHeight="true">
      <c r="A15" s="17">
        <v>62</v>
      </c>
      <c r="B15" s="18" t="str">
        <f>'data'!D65</f>
      </c>
    </row>
    <row r="16" ht="270" customHeight="true">
      <c r="A16" s="17">
        <v>63</v>
      </c>
      <c r="B16" s="18" t="str">
        <f>'data'!D66</f>
      </c>
    </row>
    <row r="17" ht="270" customHeight="true">
      <c r="A17" s="17">
        <v>64</v>
      </c>
      <c r="B17" s="18" t="str">
        <f>'data'!D67</f>
      </c>
    </row>
    <row r="18" ht="270" customHeight="true">
      <c r="A18" s="17">
        <v>65</v>
      </c>
      <c r="B18" s="18" t="str">
        <f>'data'!D68</f>
      </c>
    </row>
    <row r="19" ht="270" customHeight="true">
      <c r="A19" s="17">
        <v>1</v>
      </c>
      <c r="B19" s="18" t="str">
        <f>'data'!D4</f>
      </c>
    </row>
    <row r="20" ht="270" customHeight="true">
      <c r="A20" s="17">
        <v>66</v>
      </c>
      <c r="B20" s="18" t="str">
        <f>'data'!D69</f>
      </c>
    </row>
    <row r="21" ht="270" customHeight="true">
      <c r="A21" s="17">
        <v>82</v>
      </c>
      <c r="B21" s="18" t="str">
        <f>'data'!D85</f>
      </c>
    </row>
    <row r="22" ht="270" customHeight="true">
      <c r="A22" s="17">
        <v>68</v>
      </c>
      <c r="B22" s="18" t="str">
        <f>'data'!D71</f>
      </c>
    </row>
    <row r="23" ht="270" customHeight="true">
      <c r="A23" s="17">
        <v>69</v>
      </c>
      <c r="B23" s="18" t="str">
        <f>'data'!D72</f>
      </c>
    </row>
    <row r="24" ht="270" customHeight="true">
      <c r="A24" s="17">
        <v>70</v>
      </c>
      <c r="B24" s="18" t="str">
        <f>'data'!D73</f>
      </c>
    </row>
    <row r="25" ht="270" customHeight="true">
      <c r="A25" s="17">
        <v>71</v>
      </c>
      <c r="B25" s="18" t="str">
        <f>'data'!D74</f>
      </c>
    </row>
    <row r="26" ht="270" customHeight="true">
      <c r="A26" s="17">
        <v>72</v>
      </c>
      <c r="B26" s="18" t="str">
        <f>'data'!D75</f>
      </c>
    </row>
    <row r="27" ht="270" customHeight="true">
      <c r="A27" s="17">
        <v>73</v>
      </c>
      <c r="B27" s="18" t="str">
        <f>'data'!D76</f>
      </c>
    </row>
    <row r="28" ht="270" customHeight="true">
      <c r="A28" s="17">
        <v>74</v>
      </c>
      <c r="B28" s="18" t="str">
        <f>'data'!D77</f>
      </c>
    </row>
    <row r="29" ht="270" customHeight="true">
      <c r="A29" s="17">
        <v>75</v>
      </c>
      <c r="B29" s="18" t="str">
        <f>'data'!D78</f>
      </c>
    </row>
    <row r="30" ht="270" customHeight="true">
      <c r="A30" s="17">
        <v>15</v>
      </c>
      <c r="B30" s="18" t="str">
        <f>'data'!D18</f>
      </c>
    </row>
    <row r="31" ht="270" customHeight="true">
      <c r="A31" s="17">
        <v>11</v>
      </c>
      <c r="B31" s="18" t="str">
        <f>'data'!D14</f>
      </c>
    </row>
    <row r="32" ht="270" customHeight="true">
      <c r="A32" s="17">
        <v>12</v>
      </c>
      <c r="B32" s="18" t="str">
        <f>'data'!D15</f>
      </c>
    </row>
    <row r="33" ht="270" customHeight="true">
      <c r="A33" s="17">
        <v>8</v>
      </c>
      <c r="B33" s="18" t="str">
        <f>'data'!D11</f>
      </c>
    </row>
    <row r="34" ht="270" customHeight="true">
      <c r="A34" s="17">
        <v>9</v>
      </c>
      <c r="B34" s="18" t="str">
        <f>'data'!D12</f>
      </c>
    </row>
    <row r="35" ht="270" customHeight="true">
      <c r="A35" s="17">
        <v>5</v>
      </c>
      <c r="B35" s="18" t="str">
        <f>'data'!D8</f>
      </c>
    </row>
    <row r="36" ht="270" customHeight="true">
      <c r="A36" s="17">
        <v>67</v>
      </c>
      <c r="B36" s="18" t="str">
        <f>'data'!D70</f>
      </c>
    </row>
    <row r="37" ht="270" customHeight="true">
      <c r="A37" s="17">
        <v>4</v>
      </c>
      <c r="B37" s="18" t="str">
        <f>'data'!D7</f>
      </c>
    </row>
    <row r="38" ht="270" customHeight="true">
      <c r="A38" s="17">
        <v>39</v>
      </c>
      <c r="B38" s="18" t="str">
        <f>'data'!D42</f>
      </c>
    </row>
    <row r="39" ht="270" customHeight="true">
      <c r="A39" s="17">
        <v>85</v>
      </c>
      <c r="B39" s="18" t="str">
        <f>'data'!D88</f>
      </c>
    </row>
    <row r="40" ht="270" customHeight="true">
      <c r="A40" s="17">
        <v>86</v>
      </c>
      <c r="B40" s="18" t="str">
        <f>'data'!D89</f>
      </c>
    </row>
    <row r="41" ht="270" customHeight="true">
      <c r="A41" s="17">
        <v>87</v>
      </c>
      <c r="B41" s="18" t="str">
        <f>'data'!D90</f>
      </c>
    </row>
    <row r="42" ht="270" customHeight="true">
      <c r="A42" s="17">
        <v>88</v>
      </c>
      <c r="B42" s="18" t="str">
        <f>'data'!D91</f>
      </c>
    </row>
    <row r="43" ht="270" customHeight="true">
      <c r="A43" s="17">
        <v>89</v>
      </c>
      <c r="B43" s="18" t="str">
        <f>'data'!D92</f>
      </c>
    </row>
    <row r="44" ht="270" customHeight="true">
      <c r="A44" s="17">
        <v>90</v>
      </c>
      <c r="B44" s="18" t="str">
        <f>'data'!D93</f>
      </c>
    </row>
    <row r="45" ht="270" customHeight="true">
      <c r="A45" s="17">
        <v>2</v>
      </c>
      <c r="B45"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