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<sst xmlns="http://schemas.openxmlformats.org/spreadsheetml/2006/main" count="414" uniqueCount="414">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</sst>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'data'!$B$7</f>
      </c>
      <c r="I57" s="14" t="str">
        <f>'data'!$B$53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'data'!$B$7</f>
      </c>
      <c r="I65" s="14" t="str">
        <f>'data'!$B$54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'data'!$B$8</f>
      </c>
      <c r="I73" s="14" t="str">
        <f>'data'!$B$54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'data'!$B$10</f>
      </c>
      <c r="I100" s="14" t="str">
        <f>'data'!$B$56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'data'!$B$10</f>
      </c>
      <c r="I108" s="14" t="str">
        <f>'data'!$B$57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'data'!$B$11</f>
      </c>
      <c r="I116" s="14" t="str">
        <f>'data'!$B$57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'data'!$B$13</f>
      </c>
      <c r="I143" s="14" t="str">
        <f>'data'!$B$59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'data'!$B$13</f>
      </c>
      <c r="I151" s="14" t="str">
        <f>'data'!$B$60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'data'!$B$14</f>
      </c>
      <c r="I159" s="14" t="str">
        <f>'data'!$B$60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'data'!$B$16</f>
      </c>
      <c r="I186" s="14" t="str">
        <f>'data'!$B$62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'data'!$B$16</f>
      </c>
      <c r="I194" s="14" t="str">
        <f>'data'!$B$63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'data'!$B$17</f>
      </c>
      <c r="I202" s="14" t="str">
        <f>'data'!$B$63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'data'!$B$19</f>
      </c>
      <c r="I229" s="14" t="str">
        <f>'data'!$B$65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'data'!$B$19</f>
      </c>
      <c r="I237" s="14" t="str">
        <f>'data'!$B$66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'data'!$B$20</f>
      </c>
      <c r="I245" s="14" t="str">
        <f>'data'!$B$66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'data'!$B$22</f>
      </c>
      <c r="I272" s="14" t="str">
        <f>'data'!$B$68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'data'!$B$22</f>
      </c>
      <c r="I280" s="14" t="str">
        <f>'data'!$B$69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'data'!$B$23</f>
      </c>
      <c r="I288" s="14" t="str">
        <f>'data'!$B$69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'data'!$B$25</f>
      </c>
      <c r="I315" s="14" t="str">
        <f>'data'!$B$71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'data'!$B$25</f>
      </c>
      <c r="I323" s="14" t="str">
        <f>'data'!$B$72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'data'!$B$26</f>
      </c>
      <c r="I331" s="14" t="str">
        <f>'data'!$B$72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'data'!$B$28</f>
      </c>
      <c r="I358" s="14" t="str">
        <f>'data'!$B$74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'data'!$B$28</f>
      </c>
      <c r="I366" s="14" t="str">
        <f>'data'!$B$75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'data'!$B$29</f>
      </c>
      <c r="I374" s="14" t="str">
        <f>'data'!$B$75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'data'!$B$31</f>
      </c>
      <c r="I401" s="14" t="str">
        <f>'data'!$B$77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'data'!$B$31</f>
      </c>
      <c r="I409" s="14" t="str">
        <f>'data'!$B$78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'data'!$B$32</f>
      </c>
      <c r="I417" s="14" t="str">
        <f>'data'!$B$78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'data'!$B$34</f>
      </c>
      <c r="I444" s="14" t="str">
        <f>'data'!$B$80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'data'!$B$34</f>
      </c>
      <c r="I452" s="14" t="str">
        <f>'data'!$B$81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'data'!$B$35</f>
      </c>
      <c r="I460" s="14" t="str">
        <f>'data'!$B$81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'data'!$B$37</f>
      </c>
      <c r="I487" s="14" t="str">
        <f>'data'!$B$83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'data'!$B$37</f>
      </c>
      <c r="I495" s="14" t="str">
        <f>'data'!$B$84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'data'!$B$38</f>
      </c>
      <c r="I503" s="14" t="str">
        <f>'data'!$B$84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'data'!$B$40</f>
      </c>
      <c r="I530" s="14" t="str">
        <f>'data'!$B$86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'data'!$B$40</f>
      </c>
      <c r="I538" s="14" t="str">
        <f>'data'!$B$87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'data'!$B$41</f>
      </c>
      <c r="I546" s="14" t="str">
        <f>'data'!$B$87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'data'!$B$43</f>
      </c>
      <c r="I573" s="14" t="str">
        <f>'data'!$B$89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'data'!$B$43</f>
      </c>
      <c r="I581" s="14" t="str">
        <f>'data'!$B$90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'data'!$B$44</f>
      </c>
      <c r="I589" s="14" t="str">
        <f>'data'!$B$90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'data'!$B$46</f>
      </c>
      <c r="I616" s="14" t="str">
        <f>'data'!$B$92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'data'!$B$46</f>
      </c>
      <c r="I624" s="14" t="str">
        <f>'data'!$B$93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'data'!$B$47</f>
      </c>
      <c r="I632" s="14" t="str">
        <f>'data'!$B$93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B-2nd ",'Pool Matches'!G94)</f>
      </c>
      <c r="B4" s="14"/>
      <c r="C4" s="14"/>
      <c r="D4" s="18"/>
      <c r="E4" s="14"/>
      <c r="F4" s="14"/>
      <c r="G4" s="14" t="str">
        <f>CONCATENATE("Pool C-1st ",'Pool Matches'!G136)</f>
      </c>
      <c r="I4" s="14" t="str">
        <f>CONCATENATE("Pool C-2nd ",'Pool Matches'!G137)</f>
      </c>
      <c r="J4" s="14"/>
      <c r="K4" s="14"/>
      <c r="L4" s="18"/>
      <c r="M4" s="14"/>
      <c r="N4" s="14"/>
      <c r="O4" s="14" t="str">
        <f>CONCATENATE("Pool A-2nd ",'Pool Matches'!G51)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Matches'!G94)</f>
      </c>
      <c r="B11" s="14" t="s">
        <v>246</v>
      </c>
      <c r="C11" s="14" t="s">
        <v>249</v>
      </c>
      <c r="D11" s="14"/>
      <c r="E11" s="14" t="s">
        <v>249</v>
      </c>
      <c r="F11" s="14" t="s">
        <v>246</v>
      </c>
      <c r="G11" s="14" t="str">
        <f>CONCATENATE("Pool C-1st ",'Pool Matches'!G136)</f>
      </c>
      <c r="I11" s="14" t="str">
        <f>CONCATENATE("Pool C-2nd ",'Pool Matches'!G137)</f>
      </c>
      <c r="J11" s="14" t="s">
        <v>246</v>
      </c>
      <c r="K11" s="14" t="s">
        <v>249</v>
      </c>
      <c r="L11" s="14"/>
      <c r="M11" s="14" t="s">
        <v>249</v>
      </c>
      <c r="N11" s="14" t="s">
        <v>246</v>
      </c>
      <c r="O11" s="14" t="str">
        <f>CONCATENATE("Pool A-2nd ",'Pool Matches'!G51)</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D-2nd ",'Pool Matches'!G180)</f>
      </c>
      <c r="B20" s="14"/>
      <c r="C20" s="14"/>
      <c r="D20" s="18"/>
      <c r="E20" s="14"/>
      <c r="F20" s="14"/>
      <c r="G20" s="14" t="str">
        <f>CONCATENATE("Pool E-1st ",'Pool Matches'!G222)</f>
      </c>
      <c r="I20" s="14" t="str">
        <f>CONCATENATE("Pool E-2nd ",'Pool Matches'!G223)</f>
      </c>
      <c r="J20" s="14"/>
      <c r="K20" s="14"/>
      <c r="L20" s="18"/>
      <c r="M20" s="14"/>
      <c r="N20" s="14"/>
      <c r="O20" s="14" t="str">
        <f>CONCATENATE("Pool D-1st ",'Pool Matches'!G179)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Matches'!G180)</f>
      </c>
      <c r="B27" s="14" t="s">
        <v>246</v>
      </c>
      <c r="C27" s="14" t="s">
        <v>249</v>
      </c>
      <c r="D27" s="14"/>
      <c r="E27" s="14" t="s">
        <v>249</v>
      </c>
      <c r="F27" s="14" t="s">
        <v>246</v>
      </c>
      <c r="G27" s="14" t="str">
        <f>CONCATENATE("Pool E-1st ",'Pool Matches'!G222)</f>
      </c>
      <c r="I27" s="14" t="str">
        <f>CONCATENATE("Pool E-2nd ",'Pool Matches'!G223)</f>
      </c>
      <c r="J27" s="14" t="s">
        <v>246</v>
      </c>
      <c r="K27" s="14" t="s">
        <v>249</v>
      </c>
      <c r="L27" s="14"/>
      <c r="M27" s="14" t="s">
        <v>249</v>
      </c>
      <c r="N27" s="14" t="s">
        <v>246</v>
      </c>
      <c r="O27" s="14" t="str">
        <f>CONCATENATE("Pool D-1st ",'Pool Matches'!G179)</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F-2nd ",'Pool Matches'!G266)</f>
      </c>
      <c r="B36" s="14"/>
      <c r="C36" s="14"/>
      <c r="D36" s="18"/>
      <c r="E36" s="14"/>
      <c r="F36" s="14"/>
      <c r="G36" s="14" t="str">
        <f>CONCATENATE("Pool G-1st ",'Pool Matches'!G308)</f>
      </c>
      <c r="I36" s="14" t="str">
        <f>CONCATENATE("Pool G-2nd ",'Pool Matches'!G309)</f>
      </c>
      <c r="J36" s="14"/>
      <c r="K36" s="14"/>
      <c r="L36" s="18"/>
      <c r="M36" s="14"/>
      <c r="N36" s="14"/>
      <c r="O36" s="14" t="str">
        <f>CONCATENATE("Pool F-1st ",'Pool Matches'!G265)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Matches'!G266)</f>
      </c>
      <c r="B43" s="14" t="s">
        <v>246</v>
      </c>
      <c r="C43" s="14" t="s">
        <v>249</v>
      </c>
      <c r="D43" s="14"/>
      <c r="E43" s="14" t="s">
        <v>249</v>
      </c>
      <c r="F43" s="14" t="s">
        <v>246</v>
      </c>
      <c r="G43" s="14" t="str">
        <f>CONCATENATE("Pool G-1st ",'Pool Matches'!G308)</f>
      </c>
      <c r="I43" s="14" t="str">
        <f>CONCATENATE("Pool G-2nd ",'Pool Matches'!G309)</f>
      </c>
      <c r="J43" s="14" t="s">
        <v>246</v>
      </c>
      <c r="K43" s="14" t="s">
        <v>249</v>
      </c>
      <c r="L43" s="14"/>
      <c r="M43" s="14" t="s">
        <v>249</v>
      </c>
      <c r="N43" s="14" t="s">
        <v>246</v>
      </c>
      <c r="O43" s="14" t="str">
        <f>CONCATENATE("Pool F-1st ",'Pool Matches'!G265)</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H-2nd ",'Pool Matches'!G352)</f>
      </c>
      <c r="B52" s="14"/>
      <c r="C52" s="14"/>
      <c r="D52" s="18"/>
      <c r="E52" s="14"/>
      <c r="F52" s="14"/>
      <c r="G52" s="14" t="str">
        <f>CONCATENATE("Pool I-1st ",'Pool Matches'!G394)</f>
      </c>
      <c r="I52" s="14" t="str">
        <f>CONCATENATE("Pool I-2nd ",'Pool Matches'!G395)</f>
      </c>
      <c r="J52" s="14"/>
      <c r="K52" s="14"/>
      <c r="L52" s="18"/>
      <c r="M52" s="14"/>
      <c r="N52" s="14"/>
      <c r="O52" s="14" t="str">
        <f>CONCATENATE("Pool H-1st ",'Pool Matches'!G351)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Matches'!G352)</f>
      </c>
      <c r="B59" s="14" t="s">
        <v>246</v>
      </c>
      <c r="C59" s="14" t="s">
        <v>249</v>
      </c>
      <c r="D59" s="14"/>
      <c r="E59" s="14" t="s">
        <v>249</v>
      </c>
      <c r="F59" s="14" t="s">
        <v>246</v>
      </c>
      <c r="G59" s="14" t="str">
        <f>CONCATENATE("Pool I-1st ",'Pool Matches'!G394)</f>
      </c>
      <c r="I59" s="14" t="str">
        <f>CONCATENATE("Pool I-2nd ",'Pool Matches'!G395)</f>
      </c>
      <c r="J59" s="14" t="s">
        <v>246</v>
      </c>
      <c r="K59" s="14" t="s">
        <v>249</v>
      </c>
      <c r="L59" s="14"/>
      <c r="M59" s="14" t="s">
        <v>249</v>
      </c>
      <c r="N59" s="14" t="s">
        <v>246</v>
      </c>
      <c r="O59" s="14" t="str">
        <f>CONCATENATE("Pool H-1st ",'Pool Matches'!G351)</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J-2nd ",'Pool Matches'!G438)</f>
      </c>
      <c r="B68" s="14"/>
      <c r="C68" s="14"/>
      <c r="D68" s="18"/>
      <c r="E68" s="14"/>
      <c r="F68" s="14"/>
      <c r="G68" s="14" t="str">
        <f>CONCATENATE("Pool K-1st ",'Pool Matches'!G480)</f>
      </c>
      <c r="I68" s="14" t="str">
        <f>CONCATENATE("Pool K-2nd ",'Pool Matches'!G481)</f>
      </c>
      <c r="J68" s="14"/>
      <c r="K68" s="14"/>
      <c r="L68" s="18"/>
      <c r="M68" s="14"/>
      <c r="N68" s="14"/>
      <c r="O68" s="14" t="str">
        <f>CONCATENATE("Pool J-1st ",'Pool Matches'!G437)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Matches'!G438)</f>
      </c>
      <c r="B75" s="14" t="s">
        <v>246</v>
      </c>
      <c r="C75" s="14" t="s">
        <v>249</v>
      </c>
      <c r="D75" s="14"/>
      <c r="E75" s="14" t="s">
        <v>249</v>
      </c>
      <c r="F75" s="14" t="s">
        <v>246</v>
      </c>
      <c r="G75" s="14" t="str">
        <f>CONCATENATE("Pool K-1st ",'Pool Matches'!G480)</f>
      </c>
      <c r="I75" s="14" t="str">
        <f>CONCATENATE("Pool K-2nd ",'Pool Matches'!G481)</f>
      </c>
      <c r="J75" s="14" t="s">
        <v>246</v>
      </c>
      <c r="K75" s="14" t="s">
        <v>249</v>
      </c>
      <c r="L75" s="14"/>
      <c r="M75" s="14" t="s">
        <v>249</v>
      </c>
      <c r="N75" s="14" t="s">
        <v>246</v>
      </c>
      <c r="O75" s="14" t="str">
        <f>CONCATENATE("Pool J-1st ",'Pool Matches'!G437)</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L-2nd ",'Pool Matches'!G524)</f>
      </c>
      <c r="B84" s="14"/>
      <c r="C84" s="14"/>
      <c r="D84" s="18"/>
      <c r="E84" s="14"/>
      <c r="F84" s="14"/>
      <c r="G84" s="14" t="str">
        <f>CONCATENATE("Pool M-1st ",'Pool Matches'!G566)</f>
      </c>
      <c r="I84" s="14" t="str">
        <f>CONCATENATE("Pool M-2nd ",'Pool Matches'!G567)</f>
      </c>
      <c r="J84" s="14"/>
      <c r="K84" s="14"/>
      <c r="L84" s="18"/>
      <c r="M84" s="14"/>
      <c r="N84" s="14"/>
      <c r="O84" s="14" t="str">
        <f>CONCATENATE("Pool L-1st ",'Pool Matches'!G523)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Matches'!G524)</f>
      </c>
      <c r="B91" s="14" t="s">
        <v>246</v>
      </c>
      <c r="C91" s="14" t="s">
        <v>249</v>
      </c>
      <c r="D91" s="14"/>
      <c r="E91" s="14" t="s">
        <v>249</v>
      </c>
      <c r="F91" s="14" t="s">
        <v>246</v>
      </c>
      <c r="G91" s="14" t="str">
        <f>CONCATENATE("Pool M-1st ",'Pool Matches'!G566)</f>
      </c>
      <c r="I91" s="14" t="str">
        <f>CONCATENATE("Pool M-2nd ",'Pool Matches'!G567)</f>
      </c>
      <c r="J91" s="14" t="s">
        <v>246</v>
      </c>
      <c r="K91" s="14" t="s">
        <v>249</v>
      </c>
      <c r="L91" s="14"/>
      <c r="M91" s="14" t="s">
        <v>249</v>
      </c>
      <c r="N91" s="14" t="s">
        <v>246</v>
      </c>
      <c r="O91" s="14" t="str">
        <f>CONCATENATE("Pool L-1st ",'Pool Matches'!G523)</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N-2nd ",'Pool Matches'!G610)</f>
      </c>
      <c r="B100" s="14"/>
      <c r="C100" s="14"/>
      <c r="D100" s="18"/>
      <c r="E100" s="14"/>
      <c r="F100" s="14"/>
      <c r="G100" s="14" t="str">
        <f>CONCATENATE("Pool O-1st ",'Pool Matches'!G652)</f>
      </c>
      <c r="I100" s="14" t="str">
        <f>CONCATENATE("Pool O-2nd ",'Pool Matches'!G653)</f>
      </c>
      <c r="J100" s="14"/>
      <c r="K100" s="14"/>
      <c r="L100" s="18"/>
      <c r="M100" s="14"/>
      <c r="N100" s="14"/>
      <c r="O100" s="14" t="str">
        <f>CONCATENATE("Pool N-1st ",'Pool Matches'!G609)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Matches'!G610)</f>
      </c>
      <c r="B107" s="14" t="s">
        <v>246</v>
      </c>
      <c r="C107" s="14" t="s">
        <v>249</v>
      </c>
      <c r="D107" s="14"/>
      <c r="E107" s="14" t="s">
        <v>249</v>
      </c>
      <c r="F107" s="14" t="s">
        <v>246</v>
      </c>
      <c r="G107" s="14" t="str">
        <f>CONCATENATE("Pool O-1st ",'Pool Matches'!G652)</f>
      </c>
      <c r="I107" s="14" t="str">
        <f>CONCATENATE("Pool O-2nd ",'Pool Matches'!G653)</f>
      </c>
      <c r="J107" s="14" t="s">
        <v>246</v>
      </c>
      <c r="K107" s="14" t="s">
        <v>249</v>
      </c>
      <c r="L107" s="14"/>
      <c r="M107" s="14" t="s">
        <v>249</v>
      </c>
      <c r="N107" s="14" t="s">
        <v>246</v>
      </c>
      <c r="O107" s="14" t="str">
        <f>CONCATENATE("Pool N-1st ",'Pool Matches'!G609)</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R-2nd ",'Pool Matches'!O137)</f>
      </c>
      <c r="B116" s="14"/>
      <c r="C116" s="14"/>
      <c r="D116" s="18"/>
      <c r="E116" s="14"/>
      <c r="F116" s="14"/>
      <c r="G116" s="14" t="str">
        <f>CONCATENATE("Pool P-2nd ",'Pool Matches'!O49)</f>
      </c>
      <c r="I116" s="14" t="str">
        <f>CONCATENATE("Pool Q-2nd ",'Pool Matches'!O94)</f>
      </c>
      <c r="J116" s="14"/>
      <c r="K116" s="14"/>
      <c r="L116" s="18"/>
      <c r="M116" s="14"/>
      <c r="N116" s="14"/>
      <c r="O116" s="14" t="str">
        <f>CONCATENATE("Pool R-1st ",'Pool Matches'!O136)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R-2nd ",'Pool Matches'!O137)</f>
      </c>
      <c r="B123" s="14" t="s">
        <v>246</v>
      </c>
      <c r="C123" s="14" t="s">
        <v>249</v>
      </c>
      <c r="D123" s="14"/>
      <c r="E123" s="14" t="s">
        <v>249</v>
      </c>
      <c r="F123" s="14" t="s">
        <v>246</v>
      </c>
      <c r="G123" s="14" t="str">
        <f>CONCATENATE("Pool P-2nd ",'Pool Matches'!O49)</f>
      </c>
      <c r="I123" s="14" t="str">
        <f>CONCATENATE("Pool Q-2nd ",'Pool Matches'!O94)</f>
      </c>
      <c r="J123" s="14" t="s">
        <v>246</v>
      </c>
      <c r="K123" s="14" t="s">
        <v>249</v>
      </c>
      <c r="L123" s="14"/>
      <c r="M123" s="14" t="s">
        <v>249</v>
      </c>
      <c r="N123" s="14" t="s">
        <v>246</v>
      </c>
      <c r="O123" s="14" t="str">
        <f>CONCATENATE("Pool R-1st ",'Pool Matches'!O136)</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T-2nd ",'Pool Matches'!O223)</f>
      </c>
      <c r="B132" s="14"/>
      <c r="C132" s="14"/>
      <c r="D132" s="18"/>
      <c r="E132" s="14"/>
      <c r="F132" s="14"/>
      <c r="G132" s="14" t="str">
        <f>CONCATENATE("Pool S-1st ",'Pool Matches'!O179)</f>
      </c>
      <c r="I132" s="14" t="str">
        <f>CONCATENATE("Pool S-2nd ",'Pool Matches'!O180)</f>
      </c>
      <c r="J132" s="14"/>
      <c r="K132" s="14"/>
      <c r="L132" s="18"/>
      <c r="M132" s="14"/>
      <c r="N132" s="14"/>
      <c r="O132" s="14" t="str">
        <f>CONCATENATE("Pool T-1st ",'Pool Matches'!O222)</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T-2nd ",'Pool Matches'!O223)</f>
      </c>
      <c r="B139" s="14" t="s">
        <v>246</v>
      </c>
      <c r="C139" s="14" t="s">
        <v>249</v>
      </c>
      <c r="D139" s="14"/>
      <c r="E139" s="14" t="s">
        <v>249</v>
      </c>
      <c r="F139" s="14" t="s">
        <v>246</v>
      </c>
      <c r="G139" s="14" t="str">
        <f>CONCATENATE("Pool S-1st ",'Pool Matches'!O179)</f>
      </c>
      <c r="I139" s="14" t="str">
        <f>CONCATENATE("Pool S-2nd ",'Pool Matches'!O180)</f>
      </c>
      <c r="J139" s="14" t="s">
        <v>246</v>
      </c>
      <c r="K139" s="14" t="s">
        <v>249</v>
      </c>
      <c r="L139" s="14"/>
      <c r="M139" s="14" t="s">
        <v>249</v>
      </c>
      <c r="N139" s="14" t="s">
        <v>246</v>
      </c>
      <c r="O139" s="14" t="str">
        <f>CONCATENATE("Pool T-1st ",'Pool Matches'!O222)</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V-2nd ",'Pool Matches'!O309)</f>
      </c>
      <c r="B148" s="14"/>
      <c r="C148" s="14"/>
      <c r="D148" s="18"/>
      <c r="E148" s="14"/>
      <c r="F148" s="14"/>
      <c r="G148" s="14" t="str">
        <f>CONCATENATE("Pool U-1st ",'Pool Matches'!O265)</f>
      </c>
      <c r="I148" s="14" t="str">
        <f>CONCATENATE("Pool U-2nd ",'Pool Matches'!O266)</f>
      </c>
      <c r="J148" s="14"/>
      <c r="K148" s="14"/>
      <c r="L148" s="18"/>
      <c r="M148" s="14"/>
      <c r="N148" s="14"/>
      <c r="O148" s="14" t="str">
        <f>CONCATENATE("Pool V-1st ",'Pool Matches'!O308)</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V-2nd ",'Pool Matches'!O309)</f>
      </c>
      <c r="B155" s="14" t="s">
        <v>246</v>
      </c>
      <c r="C155" s="14" t="s">
        <v>249</v>
      </c>
      <c r="D155" s="14"/>
      <c r="E155" s="14" t="s">
        <v>249</v>
      </c>
      <c r="F155" s="14" t="s">
        <v>246</v>
      </c>
      <c r="G155" s="14" t="str">
        <f>CONCATENATE("Pool U-1st ",'Pool Matches'!O265)</f>
      </c>
      <c r="I155" s="14" t="str">
        <f>CONCATENATE("Pool U-2nd ",'Pool Matches'!O266)</f>
      </c>
      <c r="J155" s="14" t="s">
        <v>246</v>
      </c>
      <c r="K155" s="14" t="s">
        <v>249</v>
      </c>
      <c r="L155" s="14"/>
      <c r="M155" s="14" t="s">
        <v>249</v>
      </c>
      <c r="N155" s="14" t="s">
        <v>246</v>
      </c>
      <c r="O155" s="14" t="str">
        <f>CONCATENATE("Pool V-1st ",'Pool Matches'!O308)</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X-2nd ",'Pool Matches'!O395)</f>
      </c>
      <c r="B164" s="14"/>
      <c r="C164" s="14"/>
      <c r="D164" s="18"/>
      <c r="E164" s="14"/>
      <c r="F164" s="14"/>
      <c r="G164" s="14" t="str">
        <f>CONCATENATE("Pool W-1st ",'Pool Matches'!O351)</f>
      </c>
      <c r="I164" s="14" t="str">
        <f>CONCATENATE("Pool W-2nd ",'Pool Matches'!O352)</f>
      </c>
      <c r="J164" s="14"/>
      <c r="K164" s="14"/>
      <c r="L164" s="18"/>
      <c r="M164" s="14"/>
      <c r="N164" s="14"/>
      <c r="O164" s="14" t="str">
        <f>CONCATENATE("Pool X-1st ",'Pool Matches'!O394)</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X-2nd ",'Pool Matches'!O395)</f>
      </c>
      <c r="B171" s="14" t="s">
        <v>246</v>
      </c>
      <c r="C171" s="14" t="s">
        <v>249</v>
      </c>
      <c r="D171" s="14"/>
      <c r="E171" s="14" t="s">
        <v>249</v>
      </c>
      <c r="F171" s="14" t="s">
        <v>246</v>
      </c>
      <c r="G171" s="14" t="str">
        <f>CONCATENATE("Pool W-1st ",'Pool Matches'!O351)</f>
      </c>
      <c r="I171" s="14" t="str">
        <f>CONCATENATE("Pool W-2nd ",'Pool Matches'!O352)</f>
      </c>
      <c r="J171" s="14" t="s">
        <v>246</v>
      </c>
      <c r="K171" s="14" t="s">
        <v>249</v>
      </c>
      <c r="L171" s="14"/>
      <c r="M171" s="14" t="s">
        <v>249</v>
      </c>
      <c r="N171" s="14" t="s">
        <v>246</v>
      </c>
      <c r="O171" s="14" t="str">
        <f>CONCATENATE("Pool X-1st ",'Pool Matches'!O394)</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Z-2nd ",'Pool Matches'!O481)</f>
      </c>
      <c r="B180" s="14"/>
      <c r="C180" s="14"/>
      <c r="D180" s="18"/>
      <c r="E180" s="14"/>
      <c r="F180" s="14"/>
      <c r="G180" s="14" t="str">
        <f>CONCATENATE("Pool Y-1st ",'Pool Matches'!O437)</f>
      </c>
      <c r="I180" s="14" t="str">
        <f>CONCATENATE("Pool Y-2nd ",'Pool Matches'!O438)</f>
      </c>
      <c r="J180" s="14"/>
      <c r="K180" s="14"/>
      <c r="L180" s="18"/>
      <c r="M180" s="14"/>
      <c r="N180" s="14"/>
      <c r="O180" s="14" t="str">
        <f>CONCATENATE("Pool Z-1st ",'Pool Matches'!O480)</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Z-2nd ",'Pool Matches'!O481)</f>
      </c>
      <c r="B187" s="14" t="s">
        <v>246</v>
      </c>
      <c r="C187" s="14" t="s">
        <v>249</v>
      </c>
      <c r="D187" s="14"/>
      <c r="E187" s="14" t="s">
        <v>249</v>
      </c>
      <c r="F187" s="14" t="s">
        <v>246</v>
      </c>
      <c r="G187" s="14" t="str">
        <f>CONCATENATE("Pool Y-1st ",'Pool Matches'!O437)</f>
      </c>
      <c r="I187" s="14" t="str">
        <f>CONCATENATE("Pool Y-2nd ",'Pool Matches'!O438)</f>
      </c>
      <c r="J187" s="14" t="s">
        <v>246</v>
      </c>
      <c r="K187" s="14" t="s">
        <v>249</v>
      </c>
      <c r="L187" s="14"/>
      <c r="M187" s="14" t="s">
        <v>249</v>
      </c>
      <c r="N187" s="14" t="s">
        <v>246</v>
      </c>
      <c r="O187" s="14" t="str">
        <f>CONCATENATE("Pool Z-1st ",'Pool Matches'!O480)</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Matches'!O567)</f>
      </c>
      <c r="B196" s="14"/>
      <c r="C196" s="14"/>
      <c r="D196" s="18"/>
      <c r="E196" s="14"/>
      <c r="F196" s="14"/>
      <c r="G196" s="14" t="str">
        <f>CONCATENATE("Pool AA-1st ",'Pool Matches'!O523)</f>
      </c>
      <c r="I196" s="14" t="str">
        <f>CONCATENATE("Pool AA-2nd ",'Pool Matches'!O524)</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246</v>
      </c>
      <c r="C203" s="14" t="s">
        <v>249</v>
      </c>
      <c r="D203" s="14"/>
      <c r="E203" s="14" t="s">
        <v>249</v>
      </c>
      <c r="F203" s="14" t="s">
        <v>246</v>
      </c>
      <c r="G203" s="14" t="str">
        <f>CONCATENATE("Pool AA-1st ",'Pool Matches'!O523)</f>
      </c>
      <c r="I203" s="14" t="str">
        <f>CONCATENATE("Pool AA-2nd ",'Pool Matches'!O524)</f>
      </c>
      <c r="J203" s="14" t="s">
        <v>246</v>
      </c>
      <c r="K203" s="14" t="s">
        <v>249</v>
      </c>
      <c r="L203" s="14"/>
      <c r="M203" s="14" t="s">
        <v>249</v>
      </c>
      <c r="N203" s="14" t="s">
        <v>246</v>
      </c>
      <c r="O203" s="14" t="str">
        <f>CONCATENATE("Pool BB-1st ",'Pool Matches'!O566)</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DD-2nd ",'Pool Matches'!O653)</f>
      </c>
      <c r="B212" s="14"/>
      <c r="C212" s="14"/>
      <c r="D212" s="18"/>
      <c r="E212" s="14"/>
      <c r="F212" s="14"/>
      <c r="G212" s="14" t="str">
        <f>CONCATENATE("Pool CC-1st ",'Pool Matches'!O609)</f>
      </c>
      <c r="I212" s="14" t="str">
        <f>CONCATENATE("Pool CC-2nd ",'Pool Matches'!O610)</f>
      </c>
      <c r="J212" s="14"/>
      <c r="K212" s="14"/>
      <c r="L212" s="18"/>
      <c r="M212" s="14"/>
      <c r="N212" s="14"/>
      <c r="O212" s="14" t="str">
        <f>CONCATENATE("Pool DD-1st ",'Pool Matches'!O652)</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Matches'!O653)</f>
      </c>
      <c r="B219" s="14" t="s">
        <v>246</v>
      </c>
      <c r="C219" s="14" t="s">
        <v>249</v>
      </c>
      <c r="D219" s="14"/>
      <c r="E219" s="14" t="s">
        <v>249</v>
      </c>
      <c r="F219" s="14" t="s">
        <v>246</v>
      </c>
      <c r="G219" s="14" t="str">
        <f>CONCATENATE("Pool CC-1st ",'Pool Matches'!O609)</f>
      </c>
      <c r="I219" s="14" t="str">
        <f>CONCATENATE("Pool CC-2nd ",'Pool Matches'!O610)</f>
      </c>
      <c r="J219" s="14" t="s">
        <v>246</v>
      </c>
      <c r="K219" s="14" t="s">
        <v>249</v>
      </c>
      <c r="L219" s="14"/>
      <c r="M219" s="14" t="s">
        <v>249</v>
      </c>
      <c r="N219" s="14" t="s">
        <v>246</v>
      </c>
      <c r="O219" s="14" t="str">
        <f>CONCATENATE("Pool DD-1st ",'Pool Matches'!O652)</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252</v>
      </c>
      <c r="G223" s="19"/>
      <c r="N223" t="s">
        <v>252</v>
      </c>
      <c r="O223" s="19"/>
    </row>
    <row r="224">
      <c r="F224" t="s">
        <v>253</v>
      </c>
      <c r="G224" s="19"/>
      <c r="N224" t="s">
        <v>253</v>
      </c>
      <c r="O224" s="19"/>
    </row>
    <row r="231">
      <c r="A231" s="13" t="s">
        <v>376</v>
      </c>
      <c r="B231" s="13"/>
      <c r="C231" s="13"/>
      <c r="D231" s="13"/>
      <c r="E231" s="13"/>
      <c r="F231" s="13"/>
      <c r="G231" s="13"/>
      <c r="I231" s="13" t="s">
        <v>377</v>
      </c>
      <c r="J231" s="13"/>
      <c r="K231" s="13"/>
      <c r="L231" s="13"/>
      <c r="M231" s="13"/>
      <c r="N231" s="13"/>
      <c r="O231" s="13"/>
    </row>
    <row r="232">
      <c r="A232" s="17" t="s">
        <v>238</v>
      </c>
      <c r="D232" s="14" t="s">
        <v>239</v>
      </c>
      <c r="G232" s="16" t="s">
        <v>240</v>
      </c>
      <c r="I232" s="17" t="s">
        <v>238</v>
      </c>
      <c r="L232" s="14" t="s">
        <v>239</v>
      </c>
      <c r="O232" s="16" t="s">
        <v>240</v>
      </c>
    </row>
    <row r="233">
      <c r="A233" s="14" t="str">
        <f>CONCATENATE("M 1 ",G15)</f>
      </c>
      <c r="B233" s="14"/>
      <c r="C233" s="14"/>
      <c r="D233" s="18"/>
      <c r="E233" s="14"/>
      <c r="F233" s="14"/>
      <c r="G233" s="14" t="str">
        <f>CONCATENATE("Pool A-1st ",'Pool Matches'!G50)</f>
      </c>
      <c r="I233" s="14" t="str">
        <f>CONCATENATE("M 15 ",O15)</f>
      </c>
      <c r="J233" s="14"/>
      <c r="K233" s="14"/>
      <c r="L233" s="18"/>
      <c r="M233" s="14"/>
      <c r="N233" s="14"/>
      <c r="O233" s="14" t="str">
        <f>CONCATENATE("Pool B-1st ",'Pool Matches'!G93)</f>
      </c>
    </row>
    <row r="234">
      <c r="A234" s="14">
        <v>1</v>
      </c>
      <c r="B234" s="18"/>
      <c r="C234" s="18"/>
      <c r="D234" s="18"/>
      <c r="E234" s="18"/>
      <c r="F234" s="18"/>
      <c r="G234" s="14">
        <v>1</v>
      </c>
      <c r="I234" s="14">
        <v>1</v>
      </c>
      <c r="J234" s="18"/>
      <c r="K234" s="18"/>
      <c r="L234" s="18"/>
      <c r="M234" s="18"/>
      <c r="N234" s="18"/>
      <c r="O234" s="14">
        <v>1</v>
      </c>
    </row>
    <row r="235">
      <c r="A235" s="14">
        <v>2</v>
      </c>
      <c r="B235" s="18"/>
      <c r="C235" s="18"/>
      <c r="D235" s="18"/>
      <c r="E235" s="18"/>
      <c r="F235" s="18"/>
      <c r="G235" s="14">
        <v>2</v>
      </c>
      <c r="I235" s="14">
        <v>2</v>
      </c>
      <c r="J235" s="18"/>
      <c r="K235" s="18"/>
      <c r="L235" s="18"/>
      <c r="M235" s="18"/>
      <c r="N235" s="18"/>
      <c r="O235" s="14">
        <v>2</v>
      </c>
    </row>
    <row r="236">
      <c r="A236" s="14">
        <v>3</v>
      </c>
      <c r="B236" s="18"/>
      <c r="C236" s="18"/>
      <c r="D236" s="18"/>
      <c r="E236" s="18"/>
      <c r="F236" s="18"/>
      <c r="G236" s="14">
        <v>3</v>
      </c>
      <c r="I236" s="14">
        <v>3</v>
      </c>
      <c r="J236" s="18"/>
      <c r="K236" s="18"/>
      <c r="L236" s="18"/>
      <c r="M236" s="18"/>
      <c r="N236" s="18"/>
      <c r="O236" s="14">
        <v>3</v>
      </c>
    </row>
    <row r="237">
      <c r="A237" s="14">
        <v>4</v>
      </c>
      <c r="B237" s="18"/>
      <c r="C237" s="18"/>
      <c r="D237" s="18"/>
      <c r="E237" s="18"/>
      <c r="F237" s="18"/>
      <c r="G237" s="14">
        <v>4</v>
      </c>
      <c r="I237" s="14">
        <v>4</v>
      </c>
      <c r="J237" s="18"/>
      <c r="K237" s="18"/>
      <c r="L237" s="18"/>
      <c r="M237" s="18"/>
      <c r="N237" s="18"/>
      <c r="O237" s="14">
        <v>4</v>
      </c>
    </row>
    <row r="238">
      <c r="A238" s="14">
        <v>5</v>
      </c>
      <c r="B238" s="18"/>
      <c r="C238" s="18"/>
      <c r="D238" s="18"/>
      <c r="E238" s="18"/>
      <c r="F238" s="18"/>
      <c r="G238" s="14">
        <v>5</v>
      </c>
      <c r="I238" s="14">
        <v>5</v>
      </c>
      <c r="J238" s="18"/>
      <c r="K238" s="18"/>
      <c r="L238" s="18"/>
      <c r="M238" s="18"/>
      <c r="N238" s="18"/>
      <c r="O238" s="14">
        <v>5</v>
      </c>
    </row>
    <row r="240">
      <c r="A240" s="14" t="str">
        <f>CONCATENATE("M 1 ",G15)</f>
      </c>
      <c r="B240" s="14" t="s">
        <v>246</v>
      </c>
      <c r="C240" s="14" t="s">
        <v>249</v>
      </c>
      <c r="D240" s="14"/>
      <c r="E240" s="14" t="s">
        <v>249</v>
      </c>
      <c r="F240" s="14" t="s">
        <v>246</v>
      </c>
      <c r="G240" s="14" t="str">
        <f>CONCATENATE("Pool A-1st ",'Pool Matches'!G50)</f>
      </c>
      <c r="I240" s="14" t="str">
        <f>CONCATENATE("M 15 ",O15)</f>
      </c>
      <c r="J240" s="14" t="s">
        <v>246</v>
      </c>
      <c r="K240" s="14" t="s">
        <v>249</v>
      </c>
      <c r="L240" s="14"/>
      <c r="M240" s="14" t="s">
        <v>249</v>
      </c>
      <c r="N240" s="14" t="s">
        <v>246</v>
      </c>
      <c r="O240" s="14" t="str">
        <f>CONCATENATE("Pool B-1st ",'Pool Matches'!G93)</f>
      </c>
    </row>
    <row r="241">
      <c r="A241" s="14" t="s">
        <v>348</v>
      </c>
      <c r="B241" s="14" t="str">
        <f>IF(UPPER(D234)="X",0,IF((LEN(SUBSTITUTE(SUBSTITUTE(SUBSTITUTE(B234," ",""),"0",""),"-",""))+LEN(SUBSTITUTE(SUBSTITUTE(SUBSTITUTE(C234," ",""),"0",""),"-","")))&gt;(LEN(SUBSTITUTE(SUBSTITUTE(SUBSTITUTE(E234," ",""),"0",""),"-",""))+LEN(SUBSTITUTE(SUBSTITUTE(SUBSTITUTE(F234," ",""),"0",""),"-",""))),1,0))+IF(UPPER(D235)="X",0,IF((LEN(SUBSTITUTE(SUBSTITUTE(SUBSTITUTE(B235," ",""),"0",""),"-",""))+LEN(SUBSTITUTE(SUBSTITUTE(SUBSTITUTE(C235," ",""),"0",""),"-","")))&gt;(LEN(SUBSTITUTE(SUBSTITUTE(SUBSTITUTE(E235," ",""),"0",""),"-",""))+LEN(SUBSTITUTE(SUBSTITUTE(SUBSTITUTE(F235," ",""),"0",""),"-",""))),1,0))+IF(UPPER(D236)="X",0,IF((LEN(SUBSTITUTE(SUBSTITUTE(SUBSTITUTE(B236,"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f>
      </c>
      <c r="C241" s="14" t="str">
        <f>LEN(SUBSTITUTE(SUBSTITUTE(SUBSTITUTE(B234," ",""),"0",""),"-",""))+LEN(SUBSTITUTE(SUBSTITUTE(SUBSTITUTE(C234," ",""),"0",""),"-",""))+LEN(SUBSTITUTE(SUBSTITUTE(SUBSTITUTE(B235," ",""),"0",""),"-",""))+LEN(SUBSTITUTE(SUBSTITUTE(SUBSTITUTE(C235," ",""),"0",""),"-",""))+LEN(SUBSTITUTE(SUBSTITUTE(SUBSTITUTE(B236," ",""),"0",""),"-",""))+LEN(SUBSTITUTE(SUBSTITUTE(SUBSTITUTE(C236," ",""),"0",""),"-",""))+LEN(SUBSTITUTE(SUBSTITUTE(SUBSTITUTE(B237," ",""),"0",""),"-",""))+LEN(SUBSTITUTE(SUBSTITUTE(SUBSTITUTE(C237," ",""),"0",""),"-",""))+LEN(SUBSTITUTE(SUBSTITUTE(SUBSTITUTE(B238," ",""),"0",""),"-",""))+LEN(SUBSTITUTE(SUBSTITUTE(SUBSTITUTE(C238," ",""),"0",""),"-",""))</f>
      </c>
      <c r="D241" s="14"/>
      <c r="E241" s="14" t="str">
        <f>LEN(SUBSTITUTE(SUBSTITUTE(SUBSTITUTE(E234," ",""),"0",""),"-",""))+LEN(SUBSTITUTE(SUBSTITUTE(SUBSTITUTE(F234," ",""),"0",""),"-",""))+LEN(SUBSTITUTE(SUBSTITUTE(SUBSTITUTE(E235," ",""),"0",""),"-",""))+LEN(SUBSTITUTE(SUBSTITUTE(SUBSTITUTE(F235," ",""),"0",""),"-",""))+LEN(SUBSTITUTE(SUBSTITUTE(SUBSTITUTE(E236," ",""),"0",""),"-",""))+LEN(SUBSTITUTE(SUBSTITUTE(SUBSTITUTE(F236," ",""),"0",""),"-",""))+LEN(SUBSTITUTE(SUBSTITUTE(SUBSTITUTE(E237," ",""),"0",""),"-",""))+LEN(SUBSTITUTE(SUBSTITUTE(SUBSTITUTE(F237," ",""),"0",""),"-",""))+LEN(SUBSTITUTE(SUBSTITUTE(SUBSTITUTE(E238," ",""),"0",""),"-",""))+LEN(SUBSTITUTE(SUBSTITUTE(SUBSTITUTE(F238," ",""),"0",""),"-",""))</f>
      </c>
      <c r="F241" s="14" t="str">
        <f>IF(UPPER(D234)="X",0,IF((LEN(SUBSTITUTE(SUBSTITUTE(SUBSTITUTE(E234," ",""),"0",""),"-",""))+LEN(SUBSTITUTE(SUBSTITUTE(SUBSTITUTE(F234," ",""),"0",""),"-","")))&gt;(LEN(SUBSTITUTE(SUBSTITUTE(SUBSTITUTE(B234," ",""),"0",""),"-",""))+LEN(SUBSTITUTE(SUBSTITUTE(SUBSTITUTE(C234," ",""),"0",""),"-",""))),1,0))+IF(UPPER(D235)="X",0,IF((LEN(SUBSTITUTE(SUBSTITUTE(SUBSTITUTE(E235," ",""),"0",""),"-",""))+LEN(SUBSTITUTE(SUBSTITUTE(SUBSTITUTE(F235," ",""),"0",""),"-","")))&gt;(LEN(SUBSTITUTE(SUBSTITUTE(SUBSTITUTE(B235," ",""),"0",""),"-",""))+LEN(SUBSTITUTE(SUBSTITUTE(SUBSTITUTE(C235," ",""),"0",""),"-",""))),1,0))+IF(UPPER(D236)="X",0,IF((LEN(SUBSTITUTE(SUBSTITUTE(SUBSTITUTE(E236,"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f>
      </c>
      <c r="G241" s="14" t="s">
        <v>348</v>
      </c>
      <c r="I241" s="14" t="s">
        <v>348</v>
      </c>
      <c r="J241" s="14" t="str">
        <f>IF(UPPER(L234)="X",0,IF((LEN(SUBSTITUTE(SUBSTITUTE(SUBSTITUTE(J234," ",""),"0",""),"-",""))+LEN(SUBSTITUTE(SUBSTITUTE(SUBSTITUTE(K234," ",""),"0",""),"-","")))&gt;(LEN(SUBSTITUTE(SUBSTITUTE(SUBSTITUTE(M234," ",""),"0",""),"-",""))+LEN(SUBSTITUTE(SUBSTITUTE(SUBSTITUTE(N234," ",""),"0",""),"-",""))),1,0))+IF(UPPER(L235)="X",0,IF((LEN(SUBSTITUTE(SUBSTITUTE(SUBSTITUTE(J235," ",""),"0",""),"-",""))+LEN(SUBSTITUTE(SUBSTITUTE(SUBSTITUTE(K235," ",""),"0",""),"-","")))&gt;(LEN(SUBSTITUTE(SUBSTITUTE(SUBSTITUTE(M235," ",""),"0",""),"-",""))+LEN(SUBSTITUTE(SUBSTITUTE(SUBSTITUTE(N235," ",""),"0",""),"-",""))),1,0))+IF(UPPER(L236)="X",0,IF((LEN(SUBSTITUTE(SUBSTITUTE(SUBSTITUTE(J236,"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f>
      </c>
      <c r="K241" s="14" t="str">
        <f>LEN(SUBSTITUTE(SUBSTITUTE(SUBSTITUTE(J234," ",""),"0",""),"-",""))+LEN(SUBSTITUTE(SUBSTITUTE(SUBSTITUTE(K234," ",""),"0",""),"-",""))+LEN(SUBSTITUTE(SUBSTITUTE(SUBSTITUTE(J235," ",""),"0",""),"-",""))+LEN(SUBSTITUTE(SUBSTITUTE(SUBSTITUTE(K235," ",""),"0",""),"-",""))+LEN(SUBSTITUTE(SUBSTITUTE(SUBSTITUTE(J236," ",""),"0",""),"-",""))+LEN(SUBSTITUTE(SUBSTITUTE(SUBSTITUTE(K236," ",""),"0",""),"-",""))+LEN(SUBSTITUTE(SUBSTITUTE(SUBSTITUTE(J237," ",""),"0",""),"-",""))+LEN(SUBSTITUTE(SUBSTITUTE(SUBSTITUTE(K237," ",""),"0",""),"-",""))+LEN(SUBSTITUTE(SUBSTITUTE(SUBSTITUTE(J238," ",""),"0",""),"-",""))+LEN(SUBSTITUTE(SUBSTITUTE(SUBSTITUTE(K238," ",""),"0",""),"-",""))</f>
      </c>
      <c r="L241" s="14"/>
      <c r="M241" s="14" t="str">
        <f>LEN(SUBSTITUTE(SUBSTITUTE(SUBSTITUTE(M234," ",""),"0",""),"-",""))+LEN(SUBSTITUTE(SUBSTITUTE(SUBSTITUTE(N234," ",""),"0",""),"-",""))+LEN(SUBSTITUTE(SUBSTITUTE(SUBSTITUTE(M235," ",""),"0",""),"-",""))+LEN(SUBSTITUTE(SUBSTITUTE(SUBSTITUTE(N235," ",""),"0",""),"-",""))+LEN(SUBSTITUTE(SUBSTITUTE(SUBSTITUTE(M236," ",""),"0",""),"-",""))+LEN(SUBSTITUTE(SUBSTITUTE(SUBSTITUTE(N236," ",""),"0",""),"-",""))+LEN(SUBSTITUTE(SUBSTITUTE(SUBSTITUTE(M237," ",""),"0",""),"-",""))+LEN(SUBSTITUTE(SUBSTITUTE(SUBSTITUTE(N237," ",""),"0",""),"-",""))+LEN(SUBSTITUTE(SUBSTITUTE(SUBSTITUTE(M238," ",""),"0",""),"-",""))+LEN(SUBSTITUTE(SUBSTITUTE(SUBSTITUTE(N238," ",""),"0",""),"-",""))</f>
      </c>
      <c r="N241" s="14" t="str">
        <f>IF(UPPER(L234)="X",0,IF((LEN(SUBSTITUTE(SUBSTITUTE(SUBSTITUTE(M234," ",""),"0",""),"-",""))+LEN(SUBSTITUTE(SUBSTITUTE(SUBSTITUTE(N234," ",""),"0",""),"-","")))&gt;(LEN(SUBSTITUTE(SUBSTITUTE(SUBSTITUTE(J234," ",""),"0",""),"-",""))+LEN(SUBSTITUTE(SUBSTITUTE(SUBSTITUTE(K234," ",""),"0",""),"-",""))),1,0))+IF(UPPER(L235)="X",0,IF((LEN(SUBSTITUTE(SUBSTITUTE(SUBSTITUTE(M235," ",""),"0",""),"-",""))+LEN(SUBSTITUTE(SUBSTITUTE(SUBSTITUTE(N235," ",""),"0",""),"-","")))&gt;(LEN(SUBSTITUTE(SUBSTITUTE(SUBSTITUTE(J235," ",""),"0",""),"-",""))+LEN(SUBSTITUTE(SUBSTITUTE(SUBSTITUTE(K235," ",""),"0",""),"-",""))),1,0))+IF(UPPER(L236)="X",0,IF((LEN(SUBSTITUTE(SUBSTITUTE(SUBSTITUTE(M236,"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f>
      </c>
      <c r="O241" s="14" t="s">
        <v>348</v>
      </c>
    </row>
    <row r="244">
      <c r="F244" t="s">
        <v>252</v>
      </c>
      <c r="G244" s="19"/>
      <c r="N244" t="s">
        <v>252</v>
      </c>
      <c r="O244" s="19"/>
    </row>
    <row r="245">
      <c r="F245" t="s">
        <v>253</v>
      </c>
      <c r="G245" s="19"/>
      <c r="N245" t="s">
        <v>253</v>
      </c>
      <c r="O245"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3 ",G47)</f>
      </c>
      <c r="B249" s="14"/>
      <c r="C249" s="14"/>
      <c r="D249" s="18"/>
      <c r="E249" s="14"/>
      <c r="F249" s="14"/>
      <c r="G249" s="14" t="str">
        <f>CONCATENATE("M 2 ",G31)</f>
      </c>
      <c r="I249" s="14" t="str">
        <f>CONCATENATE("M 17 ",O47)</f>
      </c>
      <c r="J249" s="14"/>
      <c r="K249" s="14"/>
      <c r="L249" s="18"/>
      <c r="M249" s="14"/>
      <c r="N249" s="14"/>
      <c r="O249" s="14" t="str">
        <f>CONCATENATE("M 16 ",O31)</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3 ",G47)</f>
      </c>
      <c r="B256" s="14" t="s">
        <v>246</v>
      </c>
      <c r="C256" s="14" t="s">
        <v>249</v>
      </c>
      <c r="D256" s="14"/>
      <c r="E256" s="14" t="s">
        <v>249</v>
      </c>
      <c r="F256" s="14" t="s">
        <v>246</v>
      </c>
      <c r="G256" s="14" t="str">
        <f>CONCATENATE("M 2 ",G31)</f>
      </c>
      <c r="I256" s="14" t="str">
        <f>CONCATENATE("M 17 ",O47)</f>
      </c>
      <c r="J256" s="14" t="s">
        <v>246</v>
      </c>
      <c r="K256" s="14" t="s">
        <v>249</v>
      </c>
      <c r="L256" s="14"/>
      <c r="M256" s="14" t="s">
        <v>249</v>
      </c>
      <c r="N256" s="14" t="s">
        <v>246</v>
      </c>
      <c r="O256" s="14" t="str">
        <f>CONCATENATE("M 16 ",O31)</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5 ",G79)</f>
      </c>
      <c r="B265" s="14"/>
      <c r="C265" s="14"/>
      <c r="D265" s="18"/>
      <c r="E265" s="14"/>
      <c r="F265" s="14"/>
      <c r="G265" s="14" t="str">
        <f>CONCATENATE("M 4 ",G63)</f>
      </c>
      <c r="I265" s="14" t="str">
        <f>CONCATENATE("M 19 ",O79)</f>
      </c>
      <c r="J265" s="14"/>
      <c r="K265" s="14"/>
      <c r="L265" s="18"/>
      <c r="M265" s="14"/>
      <c r="N265" s="14"/>
      <c r="O265" s="14" t="str">
        <f>CONCATENATE("M 18 ",O63)</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5 ",G79)</f>
      </c>
      <c r="B272" s="14" t="s">
        <v>246</v>
      </c>
      <c r="C272" s="14" t="s">
        <v>249</v>
      </c>
      <c r="D272" s="14"/>
      <c r="E272" s="14" t="s">
        <v>249</v>
      </c>
      <c r="F272" s="14" t="s">
        <v>246</v>
      </c>
      <c r="G272" s="14" t="str">
        <f>CONCATENATE("M 4 ",G63)</f>
      </c>
      <c r="I272" s="14" t="str">
        <f>CONCATENATE("M 19 ",O79)</f>
      </c>
      <c r="J272" s="14" t="s">
        <v>246</v>
      </c>
      <c r="K272" s="14" t="s">
        <v>249</v>
      </c>
      <c r="L272" s="14"/>
      <c r="M272" s="14" t="s">
        <v>249</v>
      </c>
      <c r="N272" s="14" t="s">
        <v>246</v>
      </c>
      <c r="O272" s="14" t="str">
        <f>CONCATENATE("M 18 ",O63)</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7 ",G111)</f>
      </c>
      <c r="B281" s="14"/>
      <c r="C281" s="14"/>
      <c r="D281" s="18"/>
      <c r="E281" s="14"/>
      <c r="F281" s="14"/>
      <c r="G281" s="14" t="str">
        <f>CONCATENATE("M 6 ",G95)</f>
      </c>
      <c r="I281" s="14" t="str">
        <f>CONCATENATE("M 21 ",O111)</f>
      </c>
      <c r="J281" s="14"/>
      <c r="K281" s="14"/>
      <c r="L281" s="18"/>
      <c r="M281" s="14"/>
      <c r="N281" s="14"/>
      <c r="O281" s="14" t="str">
        <f>CONCATENATE("M 20 ",O95)</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7 ",G111)</f>
      </c>
      <c r="B288" s="14" t="s">
        <v>246</v>
      </c>
      <c r="C288" s="14" t="s">
        <v>249</v>
      </c>
      <c r="D288" s="14"/>
      <c r="E288" s="14" t="s">
        <v>249</v>
      </c>
      <c r="F288" s="14" t="s">
        <v>246</v>
      </c>
      <c r="G288" s="14" t="str">
        <f>CONCATENATE("M 6 ",G95)</f>
      </c>
      <c r="I288" s="14" t="str">
        <f>CONCATENATE("M 21 ",O111)</f>
      </c>
      <c r="J288" s="14" t="s">
        <v>246</v>
      </c>
      <c r="K288" s="14" t="s">
        <v>249</v>
      </c>
      <c r="L288" s="14"/>
      <c r="M288" s="14" t="s">
        <v>249</v>
      </c>
      <c r="N288" s="14" t="s">
        <v>246</v>
      </c>
      <c r="O288" s="14" t="str">
        <f>CONCATENATE("M 20 ",O95)</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8 ",G127)</f>
      </c>
      <c r="B297" s="14"/>
      <c r="C297" s="14"/>
      <c r="D297" s="18"/>
      <c r="E297" s="14"/>
      <c r="F297" s="14"/>
      <c r="G297" s="14" t="str">
        <f>CONCATENATE("Pool Q-1st ",'Pool Matches'!O93)</f>
      </c>
      <c r="I297" s="14" t="str">
        <f>CONCATENATE("M 22 ",O127)</f>
      </c>
      <c r="J297" s="14"/>
      <c r="K297" s="14"/>
      <c r="L297" s="18"/>
      <c r="M297" s="14"/>
      <c r="N297" s="14"/>
      <c r="O297" s="14" t="str">
        <f>CONCATENATE("Pool P-1st ",'Pool Matches'!O48)</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246</v>
      </c>
      <c r="C304" s="14" t="s">
        <v>249</v>
      </c>
      <c r="D304" s="14"/>
      <c r="E304" s="14" t="s">
        <v>249</v>
      </c>
      <c r="F304" s="14" t="s">
        <v>246</v>
      </c>
      <c r="G304" s="14" t="str">
        <f>CONCATENATE("Pool Q-1st ",'Pool Matches'!O93)</f>
      </c>
      <c r="I304" s="14" t="str">
        <f>CONCATENATE("M 22 ",O127)</f>
      </c>
      <c r="J304" s="14" t="s">
        <v>246</v>
      </c>
      <c r="K304" s="14" t="s">
        <v>249</v>
      </c>
      <c r="L304" s="14"/>
      <c r="M304" s="14" t="s">
        <v>249</v>
      </c>
      <c r="N304" s="14" t="s">
        <v>246</v>
      </c>
      <c r="O304" s="14" t="str">
        <f>CONCATENATE("Pool P-1st ",'Pool Matches'!O48)</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10 ",G159)</f>
      </c>
      <c r="B313" s="14"/>
      <c r="C313" s="14"/>
      <c r="D313" s="18"/>
      <c r="E313" s="14"/>
      <c r="F313" s="14"/>
      <c r="G313" s="14" t="str">
        <f>CONCATENATE("M 9 ",G143)</f>
      </c>
      <c r="I313" s="14" t="str">
        <f>CONCATENATE("M 24 ",O159)</f>
      </c>
      <c r="J313" s="14"/>
      <c r="K313" s="14"/>
      <c r="L313" s="18"/>
      <c r="M313" s="14"/>
      <c r="N313" s="14"/>
      <c r="O313" s="14" t="str">
        <f>CONCATENATE("M 23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246</v>
      </c>
      <c r="C320" s="14" t="s">
        <v>249</v>
      </c>
      <c r="D320" s="14"/>
      <c r="E320" s="14" t="s">
        <v>249</v>
      </c>
      <c r="F320" s="14" t="s">
        <v>246</v>
      </c>
      <c r="G320" s="14" t="str">
        <f>CONCATENATE("M 9 ",G143)</f>
      </c>
      <c r="I320" s="14" t="str">
        <f>CONCATENATE("M 24 ",O159)</f>
      </c>
      <c r="J320" s="14" t="s">
        <v>246</v>
      </c>
      <c r="K320" s="14" t="s">
        <v>249</v>
      </c>
      <c r="L320" s="14"/>
      <c r="M320" s="14" t="s">
        <v>249</v>
      </c>
      <c r="N320" s="14" t="s">
        <v>246</v>
      </c>
      <c r="O320" s="14" t="str">
        <f>CONCATENATE("M 23 ",O143)</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12 ",G191)</f>
      </c>
      <c r="B329" s="14"/>
      <c r="C329" s="14"/>
      <c r="D329" s="18"/>
      <c r="E329" s="14"/>
      <c r="F329" s="14"/>
      <c r="G329" s="14" t="str">
        <f>CONCATENATE("M 11 ",G175)</f>
      </c>
      <c r="I329" s="14" t="str">
        <f>CONCATENATE("M 26 ",O191)</f>
      </c>
      <c r="J329" s="14"/>
      <c r="K329" s="14"/>
      <c r="L329" s="18"/>
      <c r="M329" s="14"/>
      <c r="N329" s="14"/>
      <c r="O329" s="14" t="str">
        <f>CONCATENATE("M 25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246</v>
      </c>
      <c r="C336" s="14" t="s">
        <v>249</v>
      </c>
      <c r="D336" s="14"/>
      <c r="E336" s="14" t="s">
        <v>249</v>
      </c>
      <c r="F336" s="14" t="s">
        <v>246</v>
      </c>
      <c r="G336" s="14" t="str">
        <f>CONCATENATE("M 11 ",G175)</f>
      </c>
      <c r="I336" s="14" t="str">
        <f>CONCATENATE("M 26 ",O191)</f>
      </c>
      <c r="J336" s="14" t="s">
        <v>246</v>
      </c>
      <c r="K336" s="14" t="s">
        <v>249</v>
      </c>
      <c r="L336" s="14"/>
      <c r="M336" s="14" t="s">
        <v>249</v>
      </c>
      <c r="N336" s="14" t="s">
        <v>246</v>
      </c>
      <c r="O336" s="14" t="str">
        <f>CONCATENATE("M 25 ",O175)</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CONCATENATE("M 14 ",G223)</f>
      </c>
      <c r="B345" s="14"/>
      <c r="C345" s="14"/>
      <c r="D345" s="18"/>
      <c r="E345" s="14"/>
      <c r="F345" s="14"/>
      <c r="G345" s="14" t="str">
        <f>CONCATENATE("M 13 ",G207)</f>
      </c>
      <c r="I345" s="14" t="str">
        <f>CONCATENATE("M 28 ",O223)</f>
      </c>
      <c r="J345" s="14"/>
      <c r="K345" s="14"/>
      <c r="L345" s="18"/>
      <c r="M345" s="14"/>
      <c r="N345" s="14"/>
      <c r="O345" s="14" t="str">
        <f>CONCATENATE("M 27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246</v>
      </c>
      <c r="C352" s="14" t="s">
        <v>249</v>
      </c>
      <c r="D352" s="14"/>
      <c r="E352" s="14" t="s">
        <v>249</v>
      </c>
      <c r="F352" s="14" t="s">
        <v>246</v>
      </c>
      <c r="G352" s="14" t="str">
        <f>CONCATENATE("M 13 ",G207)</f>
      </c>
      <c r="I352" s="14" t="str">
        <f>CONCATENATE("M 28 ",O223)</f>
      </c>
      <c r="J352" s="14" t="s">
        <v>246</v>
      </c>
      <c r="K352" s="14" t="s">
        <v>249</v>
      </c>
      <c r="L352" s="14"/>
      <c r="M352" s="14" t="s">
        <v>249</v>
      </c>
      <c r="N352" s="14" t="s">
        <v>246</v>
      </c>
      <c r="O352" s="14" t="str">
        <f>CONCATENATE("M 27 ",O207)</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30 ",G260)</f>
      </c>
      <c r="B366" s="14"/>
      <c r="C366" s="14"/>
      <c r="D366" s="18"/>
      <c r="E366" s="14"/>
      <c r="F366" s="14"/>
      <c r="G366" s="14" t="str">
        <f>CONCATENATE("M 29 ",G244)</f>
      </c>
      <c r="I366" s="14" t="str">
        <f>CONCATENATE("M 38 ",O260)</f>
      </c>
      <c r="J366" s="14"/>
      <c r="K366" s="14"/>
      <c r="L366" s="18"/>
      <c r="M366" s="14"/>
      <c r="N366" s="14"/>
      <c r="O366" s="14" t="str">
        <f>CONCATENATE("M 37 ",O244)</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30 ",G260)</f>
      </c>
      <c r="B373" s="14" t="s">
        <v>246</v>
      </c>
      <c r="C373" s="14" t="s">
        <v>249</v>
      </c>
      <c r="D373" s="14"/>
      <c r="E373" s="14" t="s">
        <v>249</v>
      </c>
      <c r="F373" s="14" t="s">
        <v>246</v>
      </c>
      <c r="G373" s="14" t="str">
        <f>CONCATENATE("M 29 ",G244)</f>
      </c>
      <c r="I373" s="14" t="str">
        <f>CONCATENATE("M 38 ",O260)</f>
      </c>
      <c r="J373" s="14" t="s">
        <v>246</v>
      </c>
      <c r="K373" s="14" t="s">
        <v>249</v>
      </c>
      <c r="L373" s="14"/>
      <c r="M373" s="14" t="s">
        <v>249</v>
      </c>
      <c r="N373" s="14" t="s">
        <v>246</v>
      </c>
      <c r="O373" s="14" t="str">
        <f>CONCATENATE("M 37 ",O244)</f>
      </c>
    </row>
    <row r="374">
      <c r="A374" s="14" t="s">
        <v>348</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348</v>
      </c>
      <c r="I374" s="14" t="s">
        <v>348</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32 ",G292)</f>
      </c>
      <c r="B382" s="14"/>
      <c r="C382" s="14"/>
      <c r="D382" s="18"/>
      <c r="E382" s="14"/>
      <c r="F382" s="14"/>
      <c r="G382" s="14" t="str">
        <f>CONCATENATE("M 31 ",G276)</f>
      </c>
      <c r="I382" s="14" t="str">
        <f>CONCATENATE("M 40 ",O292)</f>
      </c>
      <c r="J382" s="14"/>
      <c r="K382" s="14"/>
      <c r="L382" s="18"/>
      <c r="M382" s="14"/>
      <c r="N382" s="14"/>
      <c r="O382" s="14" t="str">
        <f>CONCATENATE("M 39 ",O276)</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",G292)</f>
      </c>
      <c r="B389" s="14" t="s">
        <v>246</v>
      </c>
      <c r="C389" s="14" t="s">
        <v>249</v>
      </c>
      <c r="D389" s="14"/>
      <c r="E389" s="14" t="s">
        <v>249</v>
      </c>
      <c r="F389" s="14" t="s">
        <v>246</v>
      </c>
      <c r="G389" s="14" t="str">
        <f>CONCATENATE("M 31 ",G276)</f>
      </c>
      <c r="I389" s="14" t="str">
        <f>CONCATENATE("M 40 ",O292)</f>
      </c>
      <c r="J389" s="14" t="s">
        <v>246</v>
      </c>
      <c r="K389" s="14" t="s">
        <v>249</v>
      </c>
      <c r="L389" s="14"/>
      <c r="M389" s="14" t="s">
        <v>249</v>
      </c>
      <c r="N389" s="14" t="s">
        <v>246</v>
      </c>
      <c r="O389" s="14" t="str">
        <f>CONCATENATE("M 39 ",O276)</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34 ",G324)</f>
      </c>
      <c r="B398" s="14"/>
      <c r="C398" s="14"/>
      <c r="D398" s="18"/>
      <c r="E398" s="14"/>
      <c r="F398" s="14"/>
      <c r="G398" s="14" t="str">
        <f>CONCATENATE("M 33 ",G308)</f>
      </c>
      <c r="I398" s="14" t="str">
        <f>CONCATENATE("M 42 ",O324)</f>
      </c>
      <c r="J398" s="14"/>
      <c r="K398" s="14"/>
      <c r="L398" s="18"/>
      <c r="M398" s="14"/>
      <c r="N398" s="14"/>
      <c r="O398" s="14" t="str">
        <f>CONCATENATE("M 41 ",O308)</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",G324)</f>
      </c>
      <c r="B405" s="14" t="s">
        <v>246</v>
      </c>
      <c r="C405" s="14" t="s">
        <v>249</v>
      </c>
      <c r="D405" s="14"/>
      <c r="E405" s="14" t="s">
        <v>249</v>
      </c>
      <c r="F405" s="14" t="s">
        <v>246</v>
      </c>
      <c r="G405" s="14" t="str">
        <f>CONCATENATE("M 33 ",G308)</f>
      </c>
      <c r="I405" s="14" t="str">
        <f>CONCATENATE("M 42 ",O324)</f>
      </c>
      <c r="J405" s="14" t="s">
        <v>246</v>
      </c>
      <c r="K405" s="14" t="s">
        <v>249</v>
      </c>
      <c r="L405" s="14"/>
      <c r="M405" s="14" t="s">
        <v>249</v>
      </c>
      <c r="N405" s="14" t="s">
        <v>246</v>
      </c>
      <c r="O405" s="14" t="str">
        <f>CONCATENATE("M 41 ",O308)</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36 ",G356)</f>
      </c>
      <c r="B414" s="14"/>
      <c r="C414" s="14"/>
      <c r="D414" s="18"/>
      <c r="E414" s="14"/>
      <c r="F414" s="14"/>
      <c r="G414" s="14" t="str">
        <f>CONCATENATE("M 35 ",G340)</f>
      </c>
      <c r="I414" s="14" t="str">
        <f>CONCATENATE("M 44 ",O356)</f>
      </c>
      <c r="J414" s="14"/>
      <c r="K414" s="14"/>
      <c r="L414" s="18"/>
      <c r="M414" s="14"/>
      <c r="N414" s="14"/>
      <c r="O414" s="14" t="str">
        <f>CONCATENATE("M 43 ",O340)</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",G356)</f>
      </c>
      <c r="B421" s="14" t="s">
        <v>246</v>
      </c>
      <c r="C421" s="14" t="s">
        <v>249</v>
      </c>
      <c r="D421" s="14"/>
      <c r="E421" s="14" t="s">
        <v>249</v>
      </c>
      <c r="F421" s="14" t="s">
        <v>246</v>
      </c>
      <c r="G421" s="14" t="str">
        <f>CONCATENATE("M 35 ",G340)</f>
      </c>
      <c r="I421" s="14" t="str">
        <f>CONCATENATE("M 44 ",O356)</f>
      </c>
      <c r="J421" s="14" t="s">
        <v>246</v>
      </c>
      <c r="K421" s="14" t="s">
        <v>249</v>
      </c>
      <c r="L421" s="14"/>
      <c r="M421" s="14" t="s">
        <v>249</v>
      </c>
      <c r="N421" s="14" t="s">
        <v>246</v>
      </c>
      <c r="O421" s="14" t="str">
        <f>CONCATENATE("M 43 ",O340)</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348</v>
      </c>
      <c r="I443" s="14" t="s">
        <v>348</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348</v>
      </c>
      <c r="I480" s="14" t="s">
        <v>348</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Matches'!G50)</f>
      </c>
    </row>
    <row r="7">
      <c r="A7" s="26" t="str">
        <f>"3. " &amp; data!$B$5</f>
      </c>
      <c r="F7" s="22"/>
      <c r="G7" s="20"/>
    </row>
    <row r="8">
      <c r="A8" s="27" t="str">
        <f>"4. " &amp; data!$B$6</f>
      </c>
      <c r="G8" s="21">
        <v>29</v>
      </c>
    </row>
    <row r="9">
      <c r="A9" s="22"/>
      <c r="C9" s="23" t="str">
        <f>CONCATENATE("Pool C-1st ",'Pool Matches'!G136)</f>
      </c>
      <c r="G9" s="20"/>
      <c r="H9" s="22"/>
      <c r="I9" s="20"/>
    </row>
    <row r="10">
      <c r="A10" s="24" t="str">
        <f>'data'!$A$9</f>
      </c>
      <c r="D10" s="22"/>
      <c r="E10" s="21">
        <v>1</v>
      </c>
      <c r="F10" s="15"/>
      <c r="G10" s="20"/>
      <c r="I10" s="20"/>
    </row>
    <row r="11">
      <c r="A11" s="25" t="str">
        <f>"1. " &amp; data!$B$7</f>
      </c>
      <c r="C11" s="23" t="str">
        <f>CONCATENATE("Pool B-2nd ",'Pool Matches'!G94)</f>
      </c>
      <c r="D11" s="15"/>
      <c r="E11" s="20"/>
      <c r="I11" s="20"/>
    </row>
    <row r="12">
      <c r="A12" s="26" t="str">
        <f>"2. " &amp; data!$B$8</f>
      </c>
      <c r="I12" s="21">
        <v>45</v>
      </c>
    </row>
    <row r="13">
      <c r="A13" s="27" t="str">
        <f>"3. " &amp; data!$B$9</f>
      </c>
      <c r="C13" s="23" t="str">
        <f>CONCATENATE("Pool E-1st ",'Pool Matches'!G222)</f>
      </c>
      <c r="I13" s="20"/>
      <c r="J13" s="22"/>
      <c r="K13" s="20"/>
    </row>
    <row r="14">
      <c r="A14" s="22"/>
      <c r="D14" s="22"/>
      <c r="E14" s="21">
        <v>2</v>
      </c>
      <c r="I14" s="20"/>
      <c r="K14" s="20"/>
    </row>
    <row r="15">
      <c r="A15" s="24" t="str">
        <f>'data'!$A$12</f>
      </c>
      <c r="C15" s="23" t="str">
        <f>CONCATENATE("Pool D-2nd ",'Pool Matches'!G180)</f>
      </c>
      <c r="D15" s="15"/>
      <c r="E15" s="20"/>
      <c r="F15" s="22"/>
      <c r="G15" s="20"/>
      <c r="I15" s="20"/>
      <c r="K15" s="20"/>
    </row>
    <row r="16">
      <c r="A16" s="25" t="str">
        <f>"1. " &amp; data!$B$10</f>
      </c>
      <c r="G16" s="21">
        <v>30</v>
      </c>
      <c r="H16" s="15"/>
      <c r="I16" s="20"/>
      <c r="K16" s="20"/>
    </row>
    <row r="17">
      <c r="A17" s="26" t="str">
        <f>"2. " &amp; data!$B$11</f>
      </c>
      <c r="C17" s="23" t="str">
        <f>CONCATENATE("Pool G-1st ",'Pool Matches'!G308)</f>
      </c>
      <c r="G17" s="20"/>
      <c r="K17" s="20"/>
    </row>
    <row r="18">
      <c r="A18" s="27" t="str">
        <f>"3. " &amp; data!$B$12</f>
      </c>
      <c r="D18" s="22"/>
      <c r="E18" s="21">
        <v>3</v>
      </c>
      <c r="F18" s="15"/>
      <c r="G18" s="20"/>
      <c r="K18" s="20"/>
    </row>
    <row r="19">
      <c r="A19" s="22"/>
      <c r="C19" s="23" t="str">
        <f>CONCATENATE("Pool F-2nd ",'Pool Matches'!G266)</f>
      </c>
      <c r="D19" s="15"/>
      <c r="E19" s="20"/>
      <c r="K19" s="20"/>
    </row>
    <row r="20">
      <c r="A20" s="24" t="str">
        <f>'data'!$A$15</f>
      </c>
      <c r="K20" s="21">
        <v>53</v>
      </c>
    </row>
    <row r="21">
      <c r="A21" s="25" t="str">
        <f>"1. " &amp; data!$B$13</f>
      </c>
      <c r="C21" s="23" t="str">
        <f>CONCATENATE("Pool I-1st ",'Pool Matches'!G394)</f>
      </c>
      <c r="K21" s="20"/>
    </row>
    <row r="22">
      <c r="A22" s="26" t="str">
        <f>"2. " &amp; data!$B$14</f>
      </c>
      <c r="D22" s="22"/>
      <c r="E22" s="21">
        <v>4</v>
      </c>
      <c r="K22" s="20"/>
    </row>
    <row r="23">
      <c r="A23" s="27" t="str">
        <f>"3. " &amp; data!$B$15</f>
      </c>
      <c r="C23" s="23" t="str">
        <f>CONCATENATE("Pool H-2nd ",'Pool Matches'!G352)</f>
      </c>
      <c r="D23" s="15"/>
      <c r="E23" s="20"/>
      <c r="F23" s="22"/>
      <c r="G23" s="20"/>
      <c r="K23" s="20"/>
    </row>
    <row r="24">
      <c r="A24" s="22"/>
      <c r="G24" s="21">
        <v>31</v>
      </c>
      <c r="K24" s="20"/>
    </row>
    <row r="25">
      <c r="A25" s="24" t="str">
        <f>'data'!$A$18</f>
      </c>
      <c r="C25" s="23" t="str">
        <f>CONCATENATE("Pool K-1st ",'Pool Matches'!G480)</f>
      </c>
      <c r="G25" s="20"/>
      <c r="H25" s="22"/>
      <c r="I25" s="20"/>
      <c r="K25" s="20"/>
    </row>
    <row r="26">
      <c r="A26" s="25" t="str">
        <f>"1. " &amp; data!$B$16</f>
      </c>
      <c r="D26" s="22"/>
      <c r="E26" s="21">
        <v>5</v>
      </c>
      <c r="F26" s="15"/>
      <c r="G26" s="20"/>
      <c r="I26" s="20"/>
      <c r="K26" s="20"/>
    </row>
    <row r="27">
      <c r="A27" s="26" t="str">
        <f>"2. " &amp; data!$B$17</f>
      </c>
      <c r="C27" s="23" t="str">
        <f>CONCATENATE("Pool J-2nd ",'Pool Matches'!G438)</f>
      </c>
      <c r="D27" s="15"/>
      <c r="E27" s="20"/>
      <c r="I27" s="20"/>
      <c r="K27" s="20"/>
    </row>
    <row r="28">
      <c r="A28" s="27" t="str">
        <f>"3. " &amp; data!$B$18</f>
      </c>
      <c r="I28" s="21">
        <v>46</v>
      </c>
      <c r="J28" s="15"/>
      <c r="K28" s="20"/>
    </row>
    <row r="29">
      <c r="A29" s="22"/>
      <c r="C29" s="23" t="str">
        <f>CONCATENATE("Pool M-1st ",'Pool Matches'!G566)</f>
      </c>
      <c r="I29" s="20"/>
    </row>
    <row r="30">
      <c r="A30" s="24" t="str">
        <f>'data'!$A$21</f>
      </c>
      <c r="D30" s="22"/>
      <c r="E30" s="21">
        <v>6</v>
      </c>
      <c r="I30" s="20"/>
    </row>
    <row r="31">
      <c r="A31" s="25" t="str">
        <f>"1. " &amp; data!$B$19</f>
      </c>
      <c r="C31" s="23" t="str">
        <f>CONCATENATE("Pool L-2nd ",'Pool Matches'!G524)</f>
      </c>
      <c r="D31" s="15"/>
      <c r="E31" s="20"/>
      <c r="F31" s="22"/>
      <c r="G31" s="20"/>
      <c r="I31" s="20"/>
    </row>
    <row r="32">
      <c r="A32" s="26" t="str">
        <f>"2. " &amp; data!$B$20</f>
      </c>
      <c r="G32" s="21">
        <v>32</v>
      </c>
      <c r="H32" s="15"/>
      <c r="I32" s="20"/>
    </row>
    <row r="33">
      <c r="A33" s="27" t="str">
        <f>"3. " &amp; data!$B$21</f>
      </c>
      <c r="C33" s="23" t="str">
        <f>CONCATENATE("Pool O-1st ",'Pool Matches'!G652)</f>
      </c>
      <c r="G33" s="20"/>
    </row>
    <row r="34">
      <c r="A34" s="22"/>
      <c r="D34" s="22"/>
      <c r="E34" s="21">
        <v>7</v>
      </c>
      <c r="F34" s="15"/>
      <c r="G34" s="20"/>
    </row>
    <row r="35">
      <c r="A35" s="24" t="str">
        <f>'data'!$A$24</f>
      </c>
      <c r="C35" s="23" t="str">
        <f>CONCATENATE("Pool N-2nd ",'Pool Matches'!G610)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Matches'!O93)</f>
      </c>
    </row>
    <row r="7">
      <c r="A7" s="27" t="str">
        <f>"3. " &amp; data!$B$30</f>
      </c>
      <c r="F7" s="22"/>
      <c r="G7" s="20"/>
    </row>
    <row r="8">
      <c r="A8" s="22"/>
      <c r="G8" s="21">
        <v>33</v>
      </c>
    </row>
    <row r="9">
      <c r="A9" s="24" t="str">
        <f>'data'!$A$33</f>
      </c>
      <c r="C9" s="23" t="str">
        <f>CONCATENATE("Pool P-2nd ",'Pool Matches'!O49)</f>
      </c>
      <c r="G9" s="20"/>
      <c r="H9" s="22"/>
      <c r="I9" s="20"/>
    </row>
    <row r="10">
      <c r="A10" s="25" t="str">
        <f>"1. " &amp; data!$B$31</f>
      </c>
      <c r="D10" s="22"/>
      <c r="E10" s="21">
        <v>8</v>
      </c>
      <c r="F10" s="15"/>
      <c r="G10" s="20"/>
      <c r="I10" s="20"/>
    </row>
    <row r="11">
      <c r="A11" s="26" t="str">
        <f>"2. " &amp; data!$B$32</f>
      </c>
      <c r="C11" s="23" t="str">
        <f>CONCATENATE("Pool R-2nd ",'Pool Matches'!O137)</f>
      </c>
      <c r="D11" s="15"/>
      <c r="E11" s="20"/>
      <c r="I11" s="20"/>
    </row>
    <row r="12">
      <c r="A12" s="27" t="str">
        <f>"3. " &amp; data!$B$33</f>
      </c>
      <c r="I12" s="21">
        <v>47</v>
      </c>
    </row>
    <row r="13">
      <c r="A13" s="22"/>
      <c r="C13" s="23" t="str">
        <f>CONCATENATE("Pool S-1st ",'Pool Matches'!O179)</f>
      </c>
      <c r="I13" s="20"/>
      <c r="J13" s="22"/>
      <c r="K13" s="20"/>
    </row>
    <row r="14">
      <c r="A14" s="24" t="str">
        <f>'data'!$A$36</f>
      </c>
      <c r="D14" s="22"/>
      <c r="E14" s="21">
        <v>9</v>
      </c>
      <c r="I14" s="20"/>
      <c r="K14" s="20"/>
    </row>
    <row r="15">
      <c r="A15" s="25" t="str">
        <f>"1. " &amp; data!$B$34</f>
      </c>
      <c r="C15" s="23" t="str">
        <f>CONCATENATE("Pool T-2nd ",'Pool Matches'!O223)</f>
      </c>
      <c r="D15" s="15"/>
      <c r="E15" s="20"/>
      <c r="F15" s="22"/>
      <c r="G15" s="20"/>
      <c r="I15" s="20"/>
      <c r="K15" s="20"/>
    </row>
    <row r="16">
      <c r="A16" s="26" t="str">
        <f>"2. " &amp; data!$B$35</f>
      </c>
      <c r="G16" s="21">
        <v>34</v>
      </c>
      <c r="H16" s="15"/>
      <c r="I16" s="20"/>
      <c r="K16" s="20"/>
    </row>
    <row r="17">
      <c r="A17" s="27" t="str">
        <f>"3. " &amp; data!$B$36</f>
      </c>
      <c r="C17" s="23" t="str">
        <f>CONCATENATE("Pool U-1st ",'Pool Matches'!O265)</f>
      </c>
      <c r="G17" s="20"/>
      <c r="K17" s="20"/>
    </row>
    <row r="18">
      <c r="A18" s="22"/>
      <c r="D18" s="22"/>
      <c r="E18" s="21">
        <v>10</v>
      </c>
      <c r="F18" s="15"/>
      <c r="G18" s="20"/>
      <c r="K18" s="20"/>
    </row>
    <row r="19">
      <c r="A19" s="24" t="str">
        <f>'data'!$A$39</f>
      </c>
      <c r="C19" s="23" t="str">
        <f>CONCATENATE("Pool V-2nd ",'Pool Matches'!O309)</f>
      </c>
      <c r="D19" s="15"/>
      <c r="E19" s="20"/>
      <c r="K19" s="20"/>
    </row>
    <row r="20">
      <c r="A20" s="25" t="str">
        <f>"1. " &amp; data!$B$37</f>
      </c>
      <c r="K20" s="21">
        <v>54</v>
      </c>
    </row>
    <row r="21">
      <c r="A21" s="26" t="str">
        <f>"2. " &amp; data!$B$38</f>
      </c>
      <c r="C21" s="23" t="str">
        <f>CONCATENATE("Pool W-1st ",'Pool Matches'!O351)</f>
      </c>
      <c r="K21" s="20"/>
    </row>
    <row r="22">
      <c r="A22" s="27" t="str">
        <f>"3. " &amp; data!$B$39</f>
      </c>
      <c r="D22" s="22"/>
      <c r="E22" s="21">
        <v>11</v>
      </c>
      <c r="K22" s="20"/>
    </row>
    <row r="23">
      <c r="A23" s="22"/>
      <c r="C23" s="23" t="str">
        <f>CONCATENATE("Pool X-2nd ",'Pool Matches'!O395)</f>
      </c>
      <c r="D23" s="15"/>
      <c r="E23" s="20"/>
      <c r="F23" s="22"/>
      <c r="G23" s="20"/>
      <c r="K23" s="20"/>
    </row>
    <row r="24">
      <c r="A24" s="24" t="str">
        <f>'data'!$A$42</f>
      </c>
      <c r="G24" s="21">
        <v>35</v>
      </c>
      <c r="K24" s="20"/>
    </row>
    <row r="25">
      <c r="A25" s="25" t="str">
        <f>"1. " &amp; data!$B$40</f>
      </c>
      <c r="C25" s="23" t="str">
        <f>CONCATENATE("Pool Y-1st ",'Pool Matches'!O437)</f>
      </c>
      <c r="G25" s="20"/>
      <c r="H25" s="22"/>
      <c r="I25" s="20"/>
      <c r="K25" s="20"/>
    </row>
    <row r="26">
      <c r="A26" s="26" t="str">
        <f>"2. " &amp; data!$B$41</f>
      </c>
      <c r="D26" s="22"/>
      <c r="E26" s="21">
        <v>12</v>
      </c>
      <c r="F26" s="15"/>
      <c r="G26" s="20"/>
      <c r="I26" s="20"/>
      <c r="K26" s="20"/>
    </row>
    <row r="27">
      <c r="A27" s="27" t="str">
        <f>"3. " &amp; data!$B$42</f>
      </c>
      <c r="C27" s="23" t="str">
        <f>CONCATENATE("Pool Z-2nd ",'Pool Matches'!O481)</f>
      </c>
      <c r="D27" s="15"/>
      <c r="E27" s="20"/>
      <c r="I27" s="20"/>
      <c r="K27" s="20"/>
    </row>
    <row r="28">
      <c r="A28" s="22"/>
      <c r="I28" s="21">
        <v>48</v>
      </c>
      <c r="J28" s="15"/>
      <c r="K28" s="20"/>
    </row>
    <row r="29">
      <c r="A29" s="24" t="str">
        <f>'data'!$A$45</f>
      </c>
      <c r="C29" s="23" t="str">
        <f>CONCATENATE("Pool AA-1st ",'Pool Matches'!O523)</f>
      </c>
      <c r="I29" s="20"/>
    </row>
    <row r="30">
      <c r="A30" s="25" t="str">
        <f>"1. " &amp; data!$B$43</f>
      </c>
      <c r="D30" s="22"/>
      <c r="E30" s="21">
        <v>13</v>
      </c>
      <c r="I30" s="20"/>
    </row>
    <row r="31">
      <c r="A31" s="26" t="str">
        <f>"2. " &amp; data!$B$44</f>
      </c>
      <c r="C31" s="23" t="str">
        <f>CONCATENATE("Pool BB-2nd ",'Pool Matches'!O567)</f>
      </c>
      <c r="D31" s="15"/>
      <c r="E31" s="20"/>
      <c r="F31" s="22"/>
      <c r="G31" s="20"/>
      <c r="I31" s="20"/>
    </row>
    <row r="32">
      <c r="A32" s="27" t="str">
        <f>"3. " &amp; data!$B$45</f>
      </c>
      <c r="G32" s="21">
        <v>36</v>
      </c>
      <c r="H32" s="15"/>
      <c r="I32" s="20"/>
    </row>
    <row r="33">
      <c r="A33" s="22"/>
      <c r="C33" s="23" t="str">
        <f>CONCATENATE("Pool CC-1st ",'Pool Matches'!O609)</f>
      </c>
      <c r="G33" s="20"/>
    </row>
    <row r="34">
      <c r="A34" s="24" t="str">
        <f>'data'!$A$48</f>
      </c>
      <c r="D34" s="22"/>
      <c r="E34" s="21">
        <v>14</v>
      </c>
      <c r="F34" s="15"/>
      <c r="G34" s="20"/>
    </row>
    <row r="35">
      <c r="A35" s="25" t="str">
        <f>"1. " &amp; data!$B$46</f>
      </c>
      <c r="C35" s="23" t="str">
        <f>CONCATENATE("Pool DD-2nd ",'Pool Matches'!O653)</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Matches'!G93)</f>
      </c>
    </row>
    <row r="7">
      <c r="A7" s="27" t="str">
        <f>"3. " &amp; data!$B$51</f>
      </c>
      <c r="F7" s="22"/>
      <c r="G7" s="20"/>
    </row>
    <row r="8">
      <c r="A8" s="22"/>
      <c r="G8" s="21">
        <v>37</v>
      </c>
    </row>
    <row r="9">
      <c r="A9" s="24" t="str">
        <f>'data'!$A$54</f>
      </c>
      <c r="C9" s="23" t="str">
        <f>CONCATENATE("Pool A-2nd ",'Pool Matches'!G51)</f>
      </c>
      <c r="G9" s="20"/>
      <c r="H9" s="22"/>
      <c r="I9" s="20"/>
    </row>
    <row r="10">
      <c r="A10" s="25" t="str">
        <f>"1. " &amp; data!$B$52</f>
      </c>
      <c r="D10" s="22"/>
      <c r="E10" s="21">
        <v>15</v>
      </c>
      <c r="F10" s="15"/>
      <c r="G10" s="20"/>
      <c r="I10" s="20"/>
    </row>
    <row r="11">
      <c r="A11" s="26" t="str">
        <f>"2. " &amp; data!$B$53</f>
      </c>
      <c r="C11" s="23" t="str">
        <f>CONCATENATE("Pool C-2nd ",'Pool Matches'!G137)</f>
      </c>
      <c r="D11" s="15"/>
      <c r="E11" s="20"/>
      <c r="I11" s="20"/>
    </row>
    <row r="12">
      <c r="A12" s="27" t="str">
        <f>"3. " &amp; data!$B$54</f>
      </c>
      <c r="I12" s="21">
        <v>49</v>
      </c>
    </row>
    <row r="13">
      <c r="A13" s="22"/>
      <c r="C13" s="23" t="str">
        <f>CONCATENATE("Pool D-1st ",'Pool Matches'!G179)</f>
      </c>
      <c r="I13" s="20"/>
      <c r="J13" s="22"/>
      <c r="K13" s="20"/>
    </row>
    <row r="14">
      <c r="A14" s="24" t="str">
        <f>'data'!$A$57</f>
      </c>
      <c r="D14" s="22"/>
      <c r="E14" s="21">
        <v>16</v>
      </c>
      <c r="I14" s="20"/>
      <c r="K14" s="20"/>
    </row>
    <row r="15">
      <c r="A15" s="25" t="str">
        <f>"1. " &amp; data!$B$55</f>
      </c>
      <c r="C15" s="23" t="str">
        <f>CONCATENATE("Pool E-2nd ",'Pool Matches'!G223)</f>
      </c>
      <c r="D15" s="15"/>
      <c r="E15" s="20"/>
      <c r="F15" s="22"/>
      <c r="G15" s="20"/>
      <c r="I15" s="20"/>
      <c r="K15" s="20"/>
    </row>
    <row r="16">
      <c r="A16" s="26" t="str">
        <f>"2. " &amp; data!$B$56</f>
      </c>
      <c r="G16" s="21">
        <v>38</v>
      </c>
      <c r="H16" s="15"/>
      <c r="I16" s="20"/>
      <c r="K16" s="20"/>
    </row>
    <row r="17">
      <c r="A17" s="27" t="str">
        <f>"3. " &amp; data!$B$57</f>
      </c>
      <c r="C17" s="23" t="str">
        <f>CONCATENATE("Pool F-1st ",'Pool Matches'!G265)</f>
      </c>
      <c r="G17" s="20"/>
      <c r="K17" s="20"/>
    </row>
    <row r="18">
      <c r="A18" s="22"/>
      <c r="D18" s="22"/>
      <c r="E18" s="21">
        <v>17</v>
      </c>
      <c r="F18" s="15"/>
      <c r="G18" s="20"/>
      <c r="K18" s="20"/>
    </row>
    <row r="19">
      <c r="A19" s="24" t="str">
        <f>'data'!$A$60</f>
      </c>
      <c r="C19" s="23" t="str">
        <f>CONCATENATE("Pool G-2nd ",'Pool Matches'!G309)</f>
      </c>
      <c r="D19" s="15"/>
      <c r="E19" s="20"/>
      <c r="K19" s="20"/>
    </row>
    <row r="20">
      <c r="A20" s="25" t="str">
        <f>"1. " &amp; data!$B$58</f>
      </c>
      <c r="K20" s="21">
        <v>55</v>
      </c>
    </row>
    <row r="21">
      <c r="A21" s="26" t="str">
        <f>"2. " &amp; data!$B$59</f>
      </c>
      <c r="C21" s="23" t="str">
        <f>CONCATENATE("Pool H-1st ",'Pool Matches'!G351)</f>
      </c>
      <c r="K21" s="20"/>
    </row>
    <row r="22">
      <c r="A22" s="27" t="str">
        <f>"3. " &amp; data!$B$60</f>
      </c>
      <c r="D22" s="22"/>
      <c r="E22" s="21">
        <v>18</v>
      </c>
      <c r="K22" s="20"/>
    </row>
    <row r="23">
      <c r="A23" s="22"/>
      <c r="C23" s="23" t="str">
        <f>CONCATENATE("Pool I-2nd ",'Pool Matches'!G395)</f>
      </c>
      <c r="D23" s="15"/>
      <c r="E23" s="20"/>
      <c r="F23" s="22"/>
      <c r="G23" s="20"/>
      <c r="K23" s="20"/>
    </row>
    <row r="24">
      <c r="A24" s="24" t="str">
        <f>'data'!$A$63</f>
      </c>
      <c r="G24" s="21">
        <v>39</v>
      </c>
      <c r="K24" s="20"/>
    </row>
    <row r="25">
      <c r="A25" s="25" t="str">
        <f>"1. " &amp; data!$B$61</f>
      </c>
      <c r="C25" s="23" t="str">
        <f>CONCATENATE("Pool J-1st ",'Pool Matches'!G437)</f>
      </c>
      <c r="G25" s="20"/>
      <c r="H25" s="22"/>
      <c r="I25" s="20"/>
      <c r="K25" s="20"/>
    </row>
    <row r="26">
      <c r="A26" s="26" t="str">
        <f>"2. " &amp; data!$B$62</f>
      </c>
      <c r="D26" s="22"/>
      <c r="E26" s="21">
        <v>19</v>
      </c>
      <c r="F26" s="15"/>
      <c r="G26" s="20"/>
      <c r="I26" s="20"/>
      <c r="K26" s="20"/>
    </row>
    <row r="27">
      <c r="A27" s="27" t="str">
        <f>"3. " &amp; data!$B$63</f>
      </c>
      <c r="C27" s="23" t="str">
        <f>CONCATENATE("Pool K-2nd ",'Pool Matches'!G481)</f>
      </c>
      <c r="D27" s="15"/>
      <c r="E27" s="20"/>
      <c r="I27" s="20"/>
      <c r="K27" s="20"/>
    </row>
    <row r="28">
      <c r="A28" s="22"/>
      <c r="I28" s="21">
        <v>50</v>
      </c>
      <c r="J28" s="15"/>
      <c r="K28" s="20"/>
    </row>
    <row r="29">
      <c r="A29" s="24" t="str">
        <f>'data'!$A$66</f>
      </c>
      <c r="C29" s="23" t="str">
        <f>CONCATENATE("Pool L-1st ",'Pool Matches'!G523)</f>
      </c>
      <c r="I29" s="20"/>
    </row>
    <row r="30">
      <c r="A30" s="25" t="str">
        <f>"1. " &amp; data!$B$64</f>
      </c>
      <c r="D30" s="22"/>
      <c r="E30" s="21">
        <v>20</v>
      </c>
      <c r="I30" s="20"/>
    </row>
    <row r="31">
      <c r="A31" s="26" t="str">
        <f>"2. " &amp; data!$B$65</f>
      </c>
      <c r="C31" s="23" t="str">
        <f>CONCATENATE("Pool M-2nd ",'Pool Matches'!G567)</f>
      </c>
      <c r="D31" s="15"/>
      <c r="E31" s="20"/>
      <c r="F31" s="22"/>
      <c r="G31" s="20"/>
      <c r="I31" s="20"/>
    </row>
    <row r="32">
      <c r="A32" s="27" t="str">
        <f>"3. " &amp; data!$B$66</f>
      </c>
      <c r="G32" s="21">
        <v>40</v>
      </c>
      <c r="H32" s="15"/>
      <c r="I32" s="20"/>
    </row>
    <row r="33">
      <c r="A33" s="22"/>
      <c r="C33" s="23" t="str">
        <f>CONCATENATE("Pool N-1st ",'Pool Matches'!G609)</f>
      </c>
      <c r="G33" s="20"/>
    </row>
    <row r="34">
      <c r="A34" s="24" t="str">
        <f>'data'!$A$69</f>
      </c>
      <c r="D34" s="22"/>
      <c r="E34" s="21">
        <v>21</v>
      </c>
      <c r="F34" s="15"/>
      <c r="G34" s="20"/>
    </row>
    <row r="35">
      <c r="A35" s="25" t="str">
        <f>"1. " &amp; data!$B$67</f>
      </c>
      <c r="C35" s="23" t="str">
        <f>CONCATENATE("Pool O-2nd ",'Pool Matches'!G653)</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Matches'!O48)</f>
      </c>
    </row>
    <row r="7">
      <c r="A7" s="27" t="str">
        <f>"3. " &amp; data!$B$75</f>
      </c>
      <c r="F7" s="22"/>
      <c r="G7" s="20"/>
    </row>
    <row r="8">
      <c r="A8" s="22"/>
      <c r="G8" s="21">
        <v>41</v>
      </c>
    </row>
    <row r="9">
      <c r="A9" s="24" t="str">
        <f>'data'!$A$78</f>
      </c>
      <c r="C9" s="23" t="str">
        <f>CONCATENATE("Pool R-1st ",'Pool Matches'!O136)</f>
      </c>
      <c r="G9" s="20"/>
      <c r="H9" s="22"/>
      <c r="I9" s="20"/>
    </row>
    <row r="10">
      <c r="A10" s="25" t="str">
        <f>"1. " &amp; data!$B$76</f>
      </c>
      <c r="D10" s="22"/>
      <c r="E10" s="21">
        <v>22</v>
      </c>
      <c r="F10" s="15"/>
      <c r="G10" s="20"/>
      <c r="I10" s="20"/>
    </row>
    <row r="11">
      <c r="A11" s="26" t="str">
        <f>"2. " &amp; data!$B$77</f>
      </c>
      <c r="C11" s="23" t="str">
        <f>CONCATENATE("Pool Q-2nd ",'Pool Matches'!O94)</f>
      </c>
      <c r="D11" s="15"/>
      <c r="E11" s="20"/>
      <c r="I11" s="20"/>
    </row>
    <row r="12">
      <c r="A12" s="27" t="str">
        <f>"3. " &amp; data!$B$78</f>
      </c>
      <c r="I12" s="21">
        <v>51</v>
      </c>
    </row>
    <row r="13">
      <c r="A13" s="22"/>
      <c r="C13" s="23" t="str">
        <f>CONCATENATE("Pool T-1st ",'Pool Matches'!O222)</f>
      </c>
      <c r="I13" s="20"/>
      <c r="J13" s="22"/>
      <c r="K13" s="20"/>
    </row>
    <row r="14">
      <c r="A14" s="24" t="str">
        <f>'data'!$A$81</f>
      </c>
      <c r="D14" s="22"/>
      <c r="E14" s="21">
        <v>23</v>
      </c>
      <c r="I14" s="20"/>
      <c r="K14" s="20"/>
    </row>
    <row r="15">
      <c r="A15" s="25" t="str">
        <f>"1. " &amp; data!$B$79</f>
      </c>
      <c r="C15" s="23" t="str">
        <f>CONCATENATE("Pool S-2nd ",'Pool Matches'!O180)</f>
      </c>
      <c r="D15" s="15"/>
      <c r="E15" s="20"/>
      <c r="F15" s="22"/>
      <c r="G15" s="20"/>
      <c r="I15" s="20"/>
      <c r="K15" s="20"/>
    </row>
    <row r="16">
      <c r="A16" s="26" t="str">
        <f>"2. " &amp; data!$B$80</f>
      </c>
      <c r="G16" s="21">
        <v>42</v>
      </c>
      <c r="H16" s="15"/>
      <c r="I16" s="20"/>
      <c r="K16" s="20"/>
    </row>
    <row r="17">
      <c r="A17" s="27" t="str">
        <f>"3. " &amp; data!$B$81</f>
      </c>
      <c r="C17" s="23" t="str">
        <f>CONCATENATE("Pool V-1st ",'Pool Matches'!O308)</f>
      </c>
      <c r="G17" s="20"/>
      <c r="K17" s="20"/>
    </row>
    <row r="18">
      <c r="A18" s="22"/>
      <c r="D18" s="22"/>
      <c r="E18" s="21">
        <v>24</v>
      </c>
      <c r="F18" s="15"/>
      <c r="G18" s="20"/>
      <c r="K18" s="20"/>
    </row>
    <row r="19">
      <c r="A19" s="24" t="str">
        <f>'data'!$A$84</f>
      </c>
      <c r="C19" s="23" t="str">
        <f>CONCATENATE("Pool U-2nd ",'Pool Matches'!O266)</f>
      </c>
      <c r="D19" s="15"/>
      <c r="E19" s="20"/>
      <c r="K19" s="20"/>
    </row>
    <row r="20">
      <c r="A20" s="25" t="str">
        <f>"1. " &amp; data!$B$82</f>
      </c>
      <c r="K20" s="21">
        <v>56</v>
      </c>
    </row>
    <row r="21">
      <c r="A21" s="26" t="str">
        <f>"2. " &amp; data!$B$83</f>
      </c>
      <c r="C21" s="23" t="str">
        <f>CONCATENATE("Pool X-1st ",'Pool Matches'!O394)</f>
      </c>
      <c r="K21" s="20"/>
    </row>
    <row r="22">
      <c r="A22" s="27" t="str">
        <f>"3. " &amp; data!$B$84</f>
      </c>
      <c r="D22" s="22"/>
      <c r="E22" s="21">
        <v>25</v>
      </c>
      <c r="K22" s="20"/>
    </row>
    <row r="23">
      <c r="A23" s="22"/>
      <c r="C23" s="23" t="str">
        <f>CONCATENATE("Pool W-2nd ",'Pool Matches'!O352)</f>
      </c>
      <c r="D23" s="15"/>
      <c r="E23" s="20"/>
      <c r="F23" s="22"/>
      <c r="G23" s="20"/>
      <c r="K23" s="20"/>
    </row>
    <row r="24">
      <c r="A24" s="24" t="str">
        <f>'data'!$A$87</f>
      </c>
      <c r="G24" s="21">
        <v>43</v>
      </c>
      <c r="K24" s="20"/>
    </row>
    <row r="25">
      <c r="A25" s="25" t="str">
        <f>"1. " &amp; data!$B$85</f>
      </c>
      <c r="C25" s="23" t="str">
        <f>CONCATENATE("Pool Z-1st ",'Pool Matches'!O480)</f>
      </c>
      <c r="G25" s="20"/>
      <c r="H25" s="22"/>
      <c r="I25" s="20"/>
      <c r="K25" s="20"/>
    </row>
    <row r="26">
      <c r="A26" s="26" t="str">
        <f>"2. " &amp; data!$B$86</f>
      </c>
      <c r="D26" s="22"/>
      <c r="E26" s="21">
        <v>26</v>
      </c>
      <c r="F26" s="15"/>
      <c r="G26" s="20"/>
      <c r="I26" s="20"/>
      <c r="K26" s="20"/>
    </row>
    <row r="27">
      <c r="A27" s="27" t="str">
        <f>"3. " &amp; data!$B$87</f>
      </c>
      <c r="C27" s="23" t="str">
        <f>CONCATENATE("Pool Y-2nd ",'Pool Matches'!O438)</f>
      </c>
      <c r="D27" s="15"/>
      <c r="E27" s="20"/>
      <c r="I27" s="20"/>
      <c r="K27" s="20"/>
    </row>
    <row r="28">
      <c r="A28" s="22"/>
      <c r="I28" s="21">
        <v>52</v>
      </c>
      <c r="J28" s="15"/>
      <c r="K28" s="20"/>
    </row>
    <row r="29">
      <c r="A29" s="24" t="str">
        <f>'data'!$A$90</f>
      </c>
      <c r="C29" s="23" t="str">
        <f>CONCATENATE("Pool BB-1st ",'Pool Matches'!O566)</f>
      </c>
      <c r="I29" s="20"/>
    </row>
    <row r="30">
      <c r="A30" s="25" t="str">
        <f>"1. " &amp; data!$B$88</f>
      </c>
      <c r="D30" s="22"/>
      <c r="E30" s="21">
        <v>27</v>
      </c>
      <c r="I30" s="20"/>
    </row>
    <row r="31">
      <c r="A31" s="26" t="str">
        <f>"2. " &amp; data!$B$89</f>
      </c>
      <c r="C31" s="23" t="str">
        <f>CONCATENATE("Pool AA-2nd ",'Pool Matches'!O524)</f>
      </c>
      <c r="D31" s="15"/>
      <c r="E31" s="20"/>
      <c r="F31" s="22"/>
      <c r="G31" s="20"/>
      <c r="I31" s="20"/>
    </row>
    <row r="32">
      <c r="A32" s="27" t="str">
        <f>"3. " &amp; data!$B$90</f>
      </c>
      <c r="G32" s="21">
        <v>44</v>
      </c>
      <c r="H32" s="15"/>
      <c r="I32" s="20"/>
    </row>
    <row r="33">
      <c r="A33" s="22"/>
      <c r="C33" s="23" t="str">
        <f>CONCATENATE("Pool DD-1st ",'Pool Matches'!O652)</f>
      </c>
      <c r="G33" s="20"/>
    </row>
    <row r="34">
      <c r="A34" s="24" t="str">
        <f>'data'!$A$93</f>
      </c>
      <c r="D34" s="22"/>
      <c r="E34" s="21">
        <v>28</v>
      </c>
      <c r="F34" s="15"/>
      <c r="G34" s="20"/>
    </row>
    <row r="35">
      <c r="A35" s="25" t="str">
        <f>"1. " &amp; data!$B$91</f>
      </c>
      <c r="C35" s="23" t="str">
        <f>CONCATENATE("Pool CC-2nd ",'Pool Matches'!O610)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256</v>
      </c>
    </row>
    <row r="2" ht="390" customHeight="true">
      <c r="A2" s="30" t="s">
        <v>256</v>
      </c>
    </row>
    <row r="3" ht="390" customHeight="true">
      <c r="A3" s="30" t="s">
        <v>257</v>
      </c>
    </row>
    <row r="4" ht="390" customHeight="true">
      <c r="A4" s="30" t="s">
        <v>257</v>
      </c>
    </row>
    <row r="5" ht="390" customHeight="true">
      <c r="A5" s="30" t="s">
        <v>258</v>
      </c>
    </row>
    <row r="6" ht="390" customHeight="true">
      <c r="A6" s="30" t="s">
        <v>258</v>
      </c>
    </row>
    <row r="7" ht="390" customHeight="true">
      <c r="A7" s="30" t="s">
        <v>259</v>
      </c>
    </row>
    <row r="8" ht="390" customHeight="true">
      <c r="A8" s="30" t="s">
        <v>259</v>
      </c>
    </row>
    <row r="9" ht="390" customHeight="true">
      <c r="A9" s="30" t="s">
        <v>260</v>
      </c>
    </row>
    <row r="10" ht="390" customHeight="true">
      <c r="A10" s="30" t="s">
        <v>260</v>
      </c>
    </row>
    <row r="11" ht="390" customHeight="true">
      <c r="A11" s="30" t="s">
        <v>261</v>
      </c>
    </row>
    <row r="12" ht="390" customHeight="true">
      <c r="A12" s="30" t="s">
        <v>261</v>
      </c>
    </row>
    <row r="13" ht="390" customHeight="true">
      <c r="A13" s="30" t="s">
        <v>262</v>
      </c>
    </row>
    <row r="14" ht="390" customHeight="true">
      <c r="A14" s="30" t="s">
        <v>262</v>
      </c>
    </row>
    <row r="15" ht="390" customHeight="true">
      <c r="A15" s="30" t="s">
        <v>263</v>
      </c>
    </row>
    <row r="16" ht="390" customHeight="true">
      <c r="A16" s="30" t="s">
        <v>263</v>
      </c>
    </row>
    <row r="17" ht="390" customHeight="true">
      <c r="A17" s="30" t="s">
        <v>264</v>
      </c>
    </row>
    <row r="18" ht="390" customHeight="true">
      <c r="A18" s="30" t="s">
        <v>264</v>
      </c>
    </row>
    <row r="19" ht="390" customHeight="true">
      <c r="A19" s="30" t="s">
        <v>265</v>
      </c>
    </row>
    <row r="20" ht="390" customHeight="true">
      <c r="A20" s="30" t="s">
        <v>265</v>
      </c>
    </row>
    <row r="21" ht="390" customHeight="true">
      <c r="A21" s="30" t="s">
        <v>266</v>
      </c>
    </row>
    <row r="22" ht="390" customHeight="true">
      <c r="A22" s="30" t="s">
        <v>266</v>
      </c>
    </row>
    <row r="23" ht="390" customHeight="true">
      <c r="A23" s="30" t="s">
        <v>267</v>
      </c>
    </row>
    <row r="24" ht="390" customHeight="true">
      <c r="A24" s="30" t="s">
        <v>267</v>
      </c>
    </row>
    <row r="25" ht="390" customHeight="true">
      <c r="A25" s="30" t="s">
        <v>268</v>
      </c>
    </row>
    <row r="26" ht="390" customHeight="true">
      <c r="A26" s="30" t="s">
        <v>268</v>
      </c>
    </row>
    <row r="27" ht="390" customHeight="true">
      <c r="A27" s="30" t="s">
        <v>269</v>
      </c>
    </row>
    <row r="28" ht="390" customHeight="true">
      <c r="A28" s="30" t="s">
        <v>269</v>
      </c>
    </row>
    <row r="29" ht="390" customHeight="true">
      <c r="A29" s="30" t="s">
        <v>270</v>
      </c>
    </row>
    <row r="30" ht="390" customHeight="true">
      <c r="A30" s="30" t="s">
        <v>270</v>
      </c>
    </row>
    <row r="31" ht="390" customHeight="true">
      <c r="A31" s="30" t="s">
        <v>271</v>
      </c>
    </row>
    <row r="32" ht="390" customHeight="true">
      <c r="A32" s="30" t="s">
        <v>271</v>
      </c>
    </row>
    <row r="33" ht="390" customHeight="true">
      <c r="A33" s="30" t="s">
        <v>272</v>
      </c>
    </row>
    <row r="34" ht="390" customHeight="true">
      <c r="A34" s="30" t="s">
        <v>272</v>
      </c>
    </row>
    <row r="35" ht="390" customHeight="true">
      <c r="A35" s="30" t="s">
        <v>273</v>
      </c>
    </row>
    <row r="36" ht="390" customHeight="true">
      <c r="A36" s="30" t="s">
        <v>273</v>
      </c>
    </row>
    <row r="37" ht="390" customHeight="true">
      <c r="A37" s="30" t="s">
        <v>274</v>
      </c>
    </row>
    <row r="38" ht="390" customHeight="true">
      <c r="A38" s="30" t="s">
        <v>274</v>
      </c>
    </row>
    <row r="39" ht="390" customHeight="true">
      <c r="A39" s="30" t="s">
        <v>275</v>
      </c>
    </row>
    <row r="40" ht="390" customHeight="true">
      <c r="A40" s="30" t="s">
        <v>275</v>
      </c>
    </row>
    <row r="41" ht="390" customHeight="true">
      <c r="A41" s="30" t="s">
        <v>276</v>
      </c>
    </row>
    <row r="42" ht="390" customHeight="true">
      <c r="A42" s="30" t="s">
        <v>276</v>
      </c>
    </row>
    <row r="43" ht="390" customHeight="true">
      <c r="A43" s="30" t="s">
        <v>277</v>
      </c>
    </row>
    <row r="44" ht="390" customHeight="true">
      <c r="A44" s="30" t="s">
        <v>277</v>
      </c>
    </row>
    <row r="45" ht="390" customHeight="true">
      <c r="A45" s="30" t="s">
        <v>278</v>
      </c>
    </row>
    <row r="46" ht="390" customHeight="true">
      <c r="A46" s="30" t="s">
        <v>278</v>
      </c>
    </row>
    <row r="47" ht="390" customHeight="true">
      <c r="A47" s="30" t="s">
        <v>279</v>
      </c>
    </row>
    <row r="48" ht="390" customHeight="true">
      <c r="A48" s="30" t="s">
        <v>279</v>
      </c>
    </row>
    <row r="49" ht="390" customHeight="true">
      <c r="A49" s="30" t="s">
        <v>280</v>
      </c>
    </row>
    <row r="50" ht="390" customHeight="true">
      <c r="A50" s="30" t="s">
        <v>280</v>
      </c>
    </row>
    <row r="51" ht="390" customHeight="true">
      <c r="A51" s="30" t="s">
        <v>281</v>
      </c>
    </row>
    <row r="52" ht="390" customHeight="true">
      <c r="A52" s="30" t="s">
        <v>281</v>
      </c>
    </row>
    <row r="53" ht="390" customHeight="true">
      <c r="A53" s="30" t="s">
        <v>282</v>
      </c>
    </row>
    <row r="54" ht="390" customHeight="true">
      <c r="A54" s="30" t="s">
        <v>282</v>
      </c>
    </row>
    <row r="55" ht="390" customHeight="true">
      <c r="A55" s="30" t="s">
        <v>283</v>
      </c>
    </row>
    <row r="56" ht="390" customHeight="true">
      <c r="A56" s="30" t="s">
        <v>283</v>
      </c>
    </row>
    <row r="57" ht="390" customHeight="true">
      <c r="A57" s="30" t="s">
        <v>284</v>
      </c>
    </row>
    <row r="58" ht="390" customHeight="true">
      <c r="A58" s="30" t="s">
        <v>284</v>
      </c>
    </row>
    <row r="59" ht="390" customHeight="true">
      <c r="A59" s="30" t="s">
        <v>285</v>
      </c>
    </row>
    <row r="60" ht="390" customHeight="true">
      <c r="A60" s="30" t="s">
        <v>285</v>
      </c>
    </row>
    <row r="61" ht="390" customHeight="true">
      <c r="A61" s="30" t="s">
        <v>286</v>
      </c>
    </row>
    <row r="62" ht="390" customHeight="true">
      <c r="A62" s="30" t="s">
        <v>286</v>
      </c>
    </row>
    <row r="63" ht="390" customHeight="true">
      <c r="A63" s="30" t="s">
        <v>287</v>
      </c>
    </row>
    <row r="64" ht="390" customHeight="true">
      <c r="A64" s="30" t="s">
        <v>287</v>
      </c>
    </row>
    <row r="65" ht="390" customHeight="true">
      <c r="A65" s="30" t="s">
        <v>288</v>
      </c>
    </row>
    <row r="66" ht="390" customHeight="true">
      <c r="A66" s="30" t="s">
        <v>288</v>
      </c>
    </row>
    <row r="67" ht="390" customHeight="true">
      <c r="A67" s="30" t="s">
        <v>289</v>
      </c>
    </row>
    <row r="68" ht="390" customHeight="true">
      <c r="A68" s="30" t="s">
        <v>289</v>
      </c>
    </row>
    <row r="69" ht="390" customHeight="true">
      <c r="A69" s="30" t="s">
        <v>290</v>
      </c>
    </row>
    <row r="70" ht="390" customHeight="true">
      <c r="A70" s="30" t="s">
        <v>290</v>
      </c>
    </row>
    <row r="71" ht="390" customHeight="true">
      <c r="A71" s="30" t="s">
        <v>291</v>
      </c>
    </row>
    <row r="72" ht="390" customHeight="true">
      <c r="A72" s="30" t="s">
        <v>291</v>
      </c>
    </row>
    <row r="73" ht="390" customHeight="true">
      <c r="A73" s="30" t="s">
        <v>292</v>
      </c>
    </row>
    <row r="74" ht="390" customHeight="true">
      <c r="A74" s="30" t="s">
        <v>292</v>
      </c>
    </row>
    <row r="75" ht="390" customHeight="true">
      <c r="A75" s="30" t="s">
        <v>293</v>
      </c>
    </row>
    <row r="76" ht="390" customHeight="true">
      <c r="A76" s="30" t="s">
        <v>293</v>
      </c>
    </row>
    <row r="77" ht="390" customHeight="true">
      <c r="A77" s="30" t="s">
        <v>294</v>
      </c>
    </row>
    <row r="78" ht="390" customHeight="true">
      <c r="A78" s="30" t="s">
        <v>294</v>
      </c>
    </row>
    <row r="79" ht="390" customHeight="true">
      <c r="A79" s="30" t="s">
        <v>295</v>
      </c>
    </row>
    <row r="80" ht="390" customHeight="true">
      <c r="A80" s="30" t="s">
        <v>295</v>
      </c>
    </row>
    <row r="81" ht="390" customHeight="true">
      <c r="A81" s="30" t="s">
        <v>296</v>
      </c>
    </row>
    <row r="82" ht="390" customHeight="true">
      <c r="A82" s="30" t="s">
        <v>296</v>
      </c>
    </row>
    <row r="83" ht="390" customHeight="true">
      <c r="A83" s="30" t="s">
        <v>297</v>
      </c>
    </row>
    <row r="84" ht="390" customHeight="true">
      <c r="A84" s="30" t="s">
        <v>297</v>
      </c>
    </row>
    <row r="85" ht="390" customHeight="true">
      <c r="A85" s="30" t="s">
        <v>298</v>
      </c>
    </row>
    <row r="86" ht="390" customHeight="true">
      <c r="A86" s="30" t="s">
        <v>298</v>
      </c>
    </row>
    <row r="87" ht="390" customHeight="true">
      <c r="A87" s="30" t="s">
        <v>299</v>
      </c>
    </row>
    <row r="88" ht="390" customHeight="true">
      <c r="A88" s="30" t="s">
        <v>299</v>
      </c>
    </row>
    <row r="89" ht="390" customHeight="true">
      <c r="A89" s="30" t="s">
        <v>300</v>
      </c>
    </row>
    <row r="90" ht="390" customHeight="true">
      <c r="A90" s="30" t="s">
        <v>300</v>
      </c>
    </row>
    <row r="91" ht="390" customHeight="true">
      <c r="A91" s="30" t="s">
        <v>301</v>
      </c>
    </row>
    <row r="92" ht="390" customHeight="true">
      <c r="A92" s="30" t="s">
        <v>301</v>
      </c>
    </row>
    <row r="93" ht="390" customHeight="true">
      <c r="A93" s="30" t="s">
        <v>302</v>
      </c>
    </row>
    <row r="94" ht="390" customHeight="true">
      <c r="A94" s="30" t="s">
        <v>302</v>
      </c>
    </row>
    <row r="95" ht="390" customHeight="true">
      <c r="A95" s="30" t="s">
        <v>303</v>
      </c>
    </row>
    <row r="96" ht="390" customHeight="true">
      <c r="A96" s="30" t="s">
        <v>303</v>
      </c>
    </row>
    <row r="97" ht="390" customHeight="true">
      <c r="A97" s="30" t="s">
        <v>304</v>
      </c>
    </row>
    <row r="98" ht="390" customHeight="true">
      <c r="A98" s="30" t="s">
        <v>304</v>
      </c>
    </row>
    <row r="99" ht="390" customHeight="true">
      <c r="A99" s="30" t="s">
        <v>305</v>
      </c>
    </row>
    <row r="100" ht="390" customHeight="true">
      <c r="A100" s="30" t="s">
        <v>305</v>
      </c>
    </row>
    <row r="101" ht="390" customHeight="true">
      <c r="A101" s="30" t="s">
        <v>306</v>
      </c>
    </row>
    <row r="102" ht="390" customHeight="true">
      <c r="A102" s="30" t="s">
        <v>306</v>
      </c>
    </row>
    <row r="103" ht="390" customHeight="true">
      <c r="A103" s="30" t="s">
        <v>307</v>
      </c>
    </row>
    <row r="104" ht="390" customHeight="true">
      <c r="A104" s="30" t="s">
        <v>307</v>
      </c>
    </row>
    <row r="105" ht="390" customHeight="true">
      <c r="A105" s="30" t="s">
        <v>308</v>
      </c>
    </row>
    <row r="106" ht="390" customHeight="true">
      <c r="A106" s="30" t="s">
        <v>308</v>
      </c>
    </row>
    <row r="107" ht="390" customHeight="true">
      <c r="A107" s="30" t="s">
        <v>309</v>
      </c>
    </row>
    <row r="108" ht="390" customHeight="true">
      <c r="A108" s="30" t="s">
        <v>309</v>
      </c>
    </row>
    <row r="109" ht="390" customHeight="true">
      <c r="A109" s="30" t="s">
        <v>310</v>
      </c>
    </row>
    <row r="110" ht="390" customHeight="true">
      <c r="A110" s="30" t="s">
        <v>310</v>
      </c>
    </row>
    <row r="111" ht="390" customHeight="true">
      <c r="A111" s="30" t="s">
        <v>311</v>
      </c>
    </row>
    <row r="112" ht="390" customHeight="true">
      <c r="A112" s="30" t="s">
        <v>311</v>
      </c>
    </row>
    <row r="113" ht="390" customHeight="true">
      <c r="A113" s="30" t="s">
        <v>312</v>
      </c>
    </row>
    <row r="114" ht="390" customHeight="true">
      <c r="A114" s="30" t="s">
        <v>312</v>
      </c>
    </row>
    <row r="115" ht="390" customHeight="true">
      <c r="A115" s="30" t="s">
        <v>313</v>
      </c>
    </row>
    <row r="116" ht="390" customHeight="true">
      <c r="A116" s="30" t="s">
        <v>313</v>
      </c>
    </row>
    <row r="117" ht="390" customHeight="true">
      <c r="A117" s="30" t="s">
        <v>314</v>
      </c>
    </row>
    <row r="118" ht="390" customHeight="true">
      <c r="A118" s="30" t="s">
        <v>314</v>
      </c>
    </row>
    <row r="119" ht="390" customHeight="true">
      <c r="A119" s="30" t="s">
        <v>315</v>
      </c>
    </row>
    <row r="120" ht="390" customHeight="true">
      <c r="A120" s="30" t="s">
        <v>315</v>
      </c>
    </row>
    <row r="121" ht="390" customHeight="true">
      <c r="A121" s="30" t="s">
        <v>316</v>
      </c>
    </row>
    <row r="122" ht="390" customHeight="true">
      <c r="A122" s="30" t="s">
        <v>316</v>
      </c>
    </row>
    <row r="123" ht="390" customHeight="true">
      <c r="A123" s="30" t="s">
        <v>317</v>
      </c>
    </row>
    <row r="124" ht="390" customHeight="true">
      <c r="A124" s="30" t="s">
        <v>317</v>
      </c>
    </row>
    <row r="125" ht="390" customHeight="true">
      <c r="A125" s="30" t="s">
        <v>318</v>
      </c>
    </row>
    <row r="126" ht="390" customHeight="true">
      <c r="A126" s="30" t="s">
        <v>318</v>
      </c>
    </row>
    <row r="127" ht="390" customHeight="true">
      <c r="A127" s="30" t="s">
        <v>319</v>
      </c>
    </row>
    <row r="128" ht="390" customHeight="true">
      <c r="A128" s="30" t="s">
        <v>319</v>
      </c>
    </row>
    <row r="129" ht="390" customHeight="true">
      <c r="A129" s="30" t="s">
        <v>320</v>
      </c>
    </row>
    <row r="130" ht="390" customHeight="true">
      <c r="A130" s="30" t="s">
        <v>320</v>
      </c>
    </row>
    <row r="131" ht="390" customHeight="true">
      <c r="A131" s="30" t="s">
        <v>321</v>
      </c>
    </row>
    <row r="132" ht="390" customHeight="true">
      <c r="A132" s="30" t="s">
        <v>321</v>
      </c>
    </row>
    <row r="133" ht="390" customHeight="true">
      <c r="A133" s="30" t="s">
        <v>322</v>
      </c>
    </row>
    <row r="134" ht="390" customHeight="true">
      <c r="A134" s="30" t="s">
        <v>322</v>
      </c>
    </row>
    <row r="135" ht="390" customHeight="true">
      <c r="A135" s="30" t="s">
        <v>323</v>
      </c>
    </row>
    <row r="136" ht="390" customHeight="true">
      <c r="A136" s="30" t="s">
        <v>323</v>
      </c>
    </row>
    <row r="137" ht="390" customHeight="true">
      <c r="A137" s="30" t="s">
        <v>324</v>
      </c>
    </row>
    <row r="138" ht="390" customHeight="true">
      <c r="A138" s="30" t="s">
        <v>324</v>
      </c>
    </row>
    <row r="139" ht="390" customHeight="true">
      <c r="A139" s="30" t="s">
        <v>325</v>
      </c>
    </row>
    <row r="140" ht="390" customHeight="true">
      <c r="A140" s="30" t="s">
        <v>325</v>
      </c>
    </row>
    <row r="141" ht="390" customHeight="true">
      <c r="A141" s="30" t="s">
        <v>326</v>
      </c>
    </row>
    <row r="142" ht="390" customHeight="true">
      <c r="A142" s="30" t="s">
        <v>326</v>
      </c>
    </row>
    <row r="143" ht="390" customHeight="true">
      <c r="A143" s="30" t="s">
        <v>327</v>
      </c>
    </row>
    <row r="144" ht="390" customHeight="true">
      <c r="A144" s="30" t="s">
        <v>327</v>
      </c>
    </row>
    <row r="145" ht="390" customHeight="true">
      <c r="A145" s="30" t="s">
        <v>328</v>
      </c>
    </row>
    <row r="146" ht="390" customHeight="true">
      <c r="A146" s="30" t="s">
        <v>328</v>
      </c>
    </row>
    <row r="147" ht="390" customHeight="true">
      <c r="A147" s="30" t="s">
        <v>329</v>
      </c>
    </row>
    <row r="148" ht="390" customHeight="true">
      <c r="A148" s="30" t="s">
        <v>329</v>
      </c>
    </row>
    <row r="149" ht="390" customHeight="true">
      <c r="A149" s="30" t="s">
        <v>330</v>
      </c>
    </row>
    <row r="150" ht="390" customHeight="true">
      <c r="A150" s="30" t="s">
        <v>330</v>
      </c>
    </row>
    <row r="151" ht="390" customHeight="true">
      <c r="A151" s="30" t="s">
        <v>331</v>
      </c>
    </row>
    <row r="152" ht="390" customHeight="true">
      <c r="A152" s="30" t="s">
        <v>331</v>
      </c>
    </row>
    <row r="153" ht="390" customHeight="true">
      <c r="A153" s="30" t="s">
        <v>332</v>
      </c>
    </row>
    <row r="154" ht="390" customHeight="true">
      <c r="A154" s="30" t="s">
        <v>332</v>
      </c>
    </row>
    <row r="155" ht="390" customHeight="true">
      <c r="A155" s="30" t="s">
        <v>333</v>
      </c>
    </row>
    <row r="156" ht="390" customHeight="true">
      <c r="A156" s="30" t="s">
        <v>333</v>
      </c>
    </row>
    <row r="157" ht="390" customHeight="true">
      <c r="A157" s="30" t="s">
        <v>334</v>
      </c>
    </row>
    <row r="158" ht="390" customHeight="true">
      <c r="A158" s="30" t="s">
        <v>334</v>
      </c>
    </row>
    <row r="159" ht="390" customHeight="true">
      <c r="A159" s="30" t="s">
        <v>335</v>
      </c>
    </row>
    <row r="160" ht="390" customHeight="true">
      <c r="A160" s="30" t="s">
        <v>335</v>
      </c>
    </row>
    <row r="161" ht="390" customHeight="true">
      <c r="A161" s="30" t="s">
        <v>336</v>
      </c>
    </row>
    <row r="162" ht="390" customHeight="true">
      <c r="A162" s="30" t="s">
        <v>336</v>
      </c>
    </row>
    <row r="163" ht="390" customHeight="true">
      <c r="A163" s="30" t="s">
        <v>337</v>
      </c>
    </row>
    <row r="164" ht="390" customHeight="true">
      <c r="A164" s="30" t="s">
        <v>337</v>
      </c>
    </row>
    <row r="165" ht="390" customHeight="true">
      <c r="A165" s="30" t="s">
        <v>338</v>
      </c>
    </row>
    <row r="166" ht="390" customHeight="true">
      <c r="A166" s="30" t="s">
        <v>338</v>
      </c>
    </row>
    <row r="167" ht="390" customHeight="true">
      <c r="A167" s="30" t="s">
        <v>339</v>
      </c>
    </row>
    <row r="168" ht="390" customHeight="true">
      <c r="A168" s="30" t="s">
        <v>339</v>
      </c>
    </row>
    <row r="169" ht="390" customHeight="true">
      <c r="A169" s="30" t="s">
        <v>340</v>
      </c>
    </row>
    <row r="170" ht="390" customHeight="true">
      <c r="A170" s="30" t="s">
        <v>340</v>
      </c>
    </row>
    <row r="171" ht="390" customHeight="true">
      <c r="A171" s="30" t="s">
        <v>341</v>
      </c>
    </row>
    <row r="172" ht="390" customHeight="true">
      <c r="A172" s="30" t="s">
        <v>341</v>
      </c>
    </row>
    <row r="173" ht="390" customHeight="true">
      <c r="A173" s="30" t="s">
        <v>342</v>
      </c>
    </row>
    <row r="174" ht="390" customHeight="true">
      <c r="A174" s="30" t="s">
        <v>342</v>
      </c>
    </row>
    <row r="175" ht="390" customHeight="true">
      <c r="A175" s="30" t="s">
        <v>343</v>
      </c>
    </row>
    <row r="176" ht="390" customHeight="true">
      <c r="A176" s="30" t="s">
        <v>343</v>
      </c>
    </row>
    <row r="177" ht="390" customHeight="true">
      <c r="A177" s="30" t="s">
        <v>344</v>
      </c>
    </row>
    <row r="178" ht="390" customHeight="true">
      <c r="A178" s="30" t="s">
        <v>344</v>
      </c>
    </row>
    <row r="179" ht="390" customHeight="true">
      <c r="A179" s="30" t="s">
        <v>345</v>
      </c>
    </row>
    <row r="180" ht="390" customHeight="true">
      <c r="A180" s="30" t="s">
        <v>345</v>
      </c>
    </row>
    <row r="181" ht="390" customHeight="true">
      <c r="A181" s="30" t="s">
        <v>346</v>
      </c>
    </row>
    <row r="182" ht="390"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