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Matches'!$A$1:$P$111</definedName>
    <definedName localSheetId="7" name="_xlnm.Print_Area">'Names to Print A'!$A$1:$B$7</definedName>
    <definedName localSheetId="8" name="_xlnm.Print_Area">'Names to Print B'!$A$1:$B$3</definedName>
    <definedName localSheetId="4" name="_xlnm.Print_Area">'Elimination Matches'!$A$1:$P$64</definedName>
  </definedNames>
  <calcPr calcId="122211"/>
</workbook>
</file>

<file path=xl/sharedStrings.xml><?xml version="1.0" encoding="utf-8"?>
<sst xmlns="http://schemas.openxmlformats.org/spreadsheetml/2006/main" count="76" uniqueCount="76">
  <si>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</si>
  <si>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</si>
  <si>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</si>
  <si>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</si>
  <si>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</si>
  <si>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</si>
  <si>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</si>
  <si>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</si>
  <si>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</si>
  <si>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</si>
  <si>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</si>
  <si>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</si>
  <si>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</si>
  <si>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</si>
  <si>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</si>
  <si>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</si>
  <si>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</si>
  <si>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</si>
  <si>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Quentin Allen</t>
  </si>
  <si>
    <t>Team Beta</t>
  </si>
  <si>
    <t>Oliver Walker</t>
  </si>
  <si>
    <t>Team Epsilon</t>
  </si>
  <si>
    <t>Robert Young</t>
  </si>
  <si>
    <t>Team Gamma</t>
  </si>
  <si>
    <t>Pool B</t>
  </si>
  <si>
    <t>Luke Rodriguez</t>
  </si>
  <si>
    <t>Steven Hernandez</t>
  </si>
  <si>
    <t>Team Delta</t>
  </si>
  <si>
    <t>Michael Lewis</t>
  </si>
  <si>
    <t>Pool C</t>
  </si>
  <si>
    <t>Paul Hall</t>
  </si>
  <si>
    <t>Nathan Lee</t>
  </si>
  <si>
    <t>Thomas King</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</si>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</sst>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24</v>
      </c>
      <c r="B7" t="s">
        <v>25</v>
      </c>
      <c r="C7" t="s">
        <v>19</v>
      </c>
    </row>
    <row r="8">
      <c r="A8" t="s">
        <v>24</v>
      </c>
      <c r="B8" t="s">
        <v>26</v>
      </c>
      <c r="C8" t="s">
        <v>27</v>
      </c>
    </row>
    <row r="9">
      <c r="A9" t="s">
        <v>24</v>
      </c>
      <c r="B9" t="s">
        <v>28</v>
      </c>
      <c r="C9" t="s">
        <v>23</v>
      </c>
    </row>
    <row r="10">
      <c r="A10" t="s">
        <v>29</v>
      </c>
      <c r="B10" t="s">
        <v>30</v>
      </c>
      <c r="C10" t="s">
        <v>17</v>
      </c>
    </row>
    <row r="11">
      <c r="A11" t="s">
        <v>29</v>
      </c>
      <c r="B11" t="s">
        <v>31</v>
      </c>
      <c r="C11" t="s">
        <v>27</v>
      </c>
    </row>
    <row r="12">
      <c r="A12" t="s">
        <v>29</v>
      </c>
      <c r="B12" t="s">
        <v>32</v>
      </c>
      <c r="C12"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69</v>
      </c>
      <c r="F13" s="13"/>
      <c r="G13" s="13"/>
      <c r="H13" s="13"/>
    </row>
    <row r="14">
      <c r="A14">
        <v>2</v>
      </c>
      <c r="E14" s="32" t="s">
        <v>70</v>
      </c>
      <c r="F14" s="32"/>
      <c r="G14" s="32"/>
      <c r="H14" s="31" t="str">
        <f>H2</f>
      </c>
    </row>
    <row r="15">
      <c r="E15" s="32" t="s">
        <v>71</v>
      </c>
      <c r="F15" s="32"/>
      <c r="G15" s="32"/>
      <c r="H15" s="31" t="str">
        <f>H8</f>
      </c>
    </row>
    <row r="16">
      <c r="E16" s="32" t="s">
        <v>72</v>
      </c>
      <c r="F16" s="32"/>
      <c r="G16" s="32"/>
      <c r="H16" s="31" t="str">
        <f>H14+H15</f>
      </c>
    </row>
    <row r="17">
      <c r="E17" s="32" t="s">
        <v>73</v>
      </c>
      <c r="F17" s="32"/>
      <c r="G17" s="32"/>
      <c r="H17" s="31" t="str">
        <f>H16/A14</f>
      </c>
    </row>
    <row r="18">
      <c r="E18" s="13" t="s">
        <v>74</v>
      </c>
      <c r="F18" s="13"/>
      <c r="G18" s="13"/>
      <c r="H18" s="33">
        <v>0.375</v>
      </c>
    </row>
    <row r="19">
      <c r="E19" s="13" t="s">
        <v>75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"1. " &amp; data!$B$3</f>
      </c>
      <c r="D6" s="12" t="str">
        <f>"1. " &amp; data!$B$7</f>
      </c>
      <c r="F6" s="12" t="str">
        <f>"1. " &amp; data!$B$10</f>
      </c>
    </row>
    <row r="7" ht="17" customHeight="true">
      <c r="B7" s="12" t="str">
        <f>"2. " &amp; data!$B$4</f>
      </c>
      <c r="D7" s="12" t="str">
        <f>"2. " &amp; data!$B$8</f>
      </c>
      <c r="F7" s="12" t="str">
        <f>"2. " &amp; data!$B$11</f>
      </c>
    </row>
    <row r="8">
      <c r="B8" s="12" t="str">
        <f>"3. " &amp; data!$B$5</f>
      </c>
      <c r="D8" s="12" t="str">
        <f>"3. " &amp; data!$B$9</f>
      </c>
      <c r="F8" s="12" t="str">
        <f>"3. " &amp; data!$B$12</f>
      </c>
    </row>
    <row r="9">
      <c r="B9" s="12" t="str">
        <f>"4. " &amp; 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33</v>
      </c>
      <c r="B1" s="13"/>
      <c r="C1" s="13"/>
      <c r="D1" s="13"/>
      <c r="E1" s="13"/>
      <c r="F1" s="13"/>
      <c r="G1" s="13"/>
      <c r="I1" s="13" t="s">
        <v>34</v>
      </c>
      <c r="J1" s="13"/>
      <c r="K1" s="13"/>
      <c r="L1" s="13"/>
      <c r="M1" s="13"/>
      <c r="N1" s="13"/>
      <c r="O1" s="13"/>
    </row>
    <row r="2">
      <c r="A2" s="13" t="str">
        <f>'data'!$A$6</f>
      </c>
      <c r="B2" s="13"/>
      <c r="C2" s="13"/>
      <c r="D2" s="13"/>
      <c r="E2" s="13"/>
      <c r="F2" s="13"/>
      <c r="G2" s="13"/>
      <c r="I2" s="13" t="str">
        <f>'data'!$A$12</f>
      </c>
      <c r="J2" s="13"/>
      <c r="K2" s="13"/>
      <c r="L2" s="13"/>
      <c r="M2" s="13"/>
      <c r="N2" s="13"/>
      <c r="O2" s="13"/>
    </row>
    <row r="3">
      <c r="A3" s="17" t="s">
        <v>35</v>
      </c>
      <c r="B3" s="14"/>
      <c r="C3" s="14"/>
      <c r="D3" s="14" t="s">
        <v>36</v>
      </c>
      <c r="E3" s="14"/>
      <c r="F3" s="14"/>
      <c r="G3" s="16" t="s">
        <v>37</v>
      </c>
      <c r="I3" s="17" t="s">
        <v>35</v>
      </c>
      <c r="J3" s="14"/>
      <c r="K3" s="14"/>
      <c r="L3" s="14" t="s">
        <v>36</v>
      </c>
      <c r="M3" s="14"/>
      <c r="N3" s="14"/>
      <c r="O3" s="16" t="s">
        <v>37</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'data'!$B$11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'data'!$B$10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35</v>
      </c>
      <c r="B11" s="14"/>
      <c r="C11" s="14"/>
      <c r="D11" s="14" t="s">
        <v>36</v>
      </c>
      <c r="E11" s="14"/>
      <c r="F11" s="14"/>
      <c r="G11" s="16" t="s">
        <v>37</v>
      </c>
      <c r="I11" s="17" t="s">
        <v>35</v>
      </c>
      <c r="J11" s="14"/>
      <c r="K11" s="14"/>
      <c r="L11" s="14" t="s">
        <v>36</v>
      </c>
      <c r="M11" s="14"/>
      <c r="N11" s="14"/>
      <c r="O11" s="16" t="s">
        <v>37</v>
      </c>
    </row>
    <row r="12">
      <c r="A12" s="14" t="str">
        <f>'data'!$B$4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'data'!$B$5</f>
      </c>
      <c r="I12" s="14" t="str">
        <f>'data'!$B$12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'data'!$B$10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35</v>
      </c>
      <c r="B19" s="14"/>
      <c r="C19" s="14"/>
      <c r="D19" s="14" t="s">
        <v>36</v>
      </c>
      <c r="E19" s="14"/>
      <c r="F19" s="14"/>
      <c r="G19" s="16" t="s">
        <v>37</v>
      </c>
      <c r="I19" s="17" t="s">
        <v>35</v>
      </c>
      <c r="J19" s="14"/>
      <c r="K19" s="14"/>
      <c r="L19" s="14" t="s">
        <v>36</v>
      </c>
      <c r="M19" s="14"/>
      <c r="N19" s="14"/>
      <c r="O19" s="16" t="s">
        <v>37</v>
      </c>
    </row>
    <row r="20">
      <c r="A20" s="14" t="str">
        <f>'data'!$B$6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'data'!$B$5</f>
      </c>
      <c r="I20" s="14" t="str">
        <f>'data'!$B$12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'data'!$B$11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35</v>
      </c>
      <c r="B27" s="14"/>
      <c r="C27" s="14"/>
      <c r="D27" s="14" t="s">
        <v>36</v>
      </c>
      <c r="E27" s="14"/>
      <c r="F27" s="14"/>
      <c r="G27" s="16" t="s">
        <v>37</v>
      </c>
    </row>
    <row r="28">
      <c r="A28" s="14" t="str">
        <f>'data'!$B$6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5">
      <c r="A35" s="17" t="s">
        <v>35</v>
      </c>
      <c r="B35" s="14"/>
      <c r="C35" s="14"/>
      <c r="D35" s="14" t="s">
        <v>36</v>
      </c>
      <c r="E35" s="14"/>
      <c r="F35" s="14"/>
      <c r="G35" s="16" t="s">
        <v>37</v>
      </c>
    </row>
    <row r="36">
      <c r="A36" s="14" t="str">
        <f>'data'!$B$5</f>
      </c>
      <c r="B36"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36"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36" s="18"/>
      <c r="E36"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36"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36" s="14" t="str">
        <f>'data'!$B$3</f>
      </c>
    </row>
    <row r="37">
      <c r="A37" s="14">
        <v>1</v>
      </c>
      <c r="B37" s="18"/>
      <c r="C37" s="18"/>
      <c r="D37" s="18"/>
      <c r="E37" s="18"/>
      <c r="F37" s="18"/>
      <c r="G37" s="14">
        <v>1</v>
      </c>
    </row>
    <row r="38">
      <c r="A38" s="14">
        <v>2</v>
      </c>
      <c r="B38" s="18"/>
      <c r="C38" s="18"/>
      <c r="D38" s="18"/>
      <c r="E38" s="18"/>
      <c r="F38" s="18"/>
      <c r="G38" s="14">
        <v>2</v>
      </c>
    </row>
    <row r="39">
      <c r="A39" s="14">
        <v>3</v>
      </c>
      <c r="B39" s="18"/>
      <c r="C39" s="18"/>
      <c r="D39" s="18"/>
      <c r="E39" s="18"/>
      <c r="F39" s="18"/>
      <c r="G39" s="14">
        <v>3</v>
      </c>
    </row>
    <row r="40">
      <c r="A40" s="14">
        <v>4</v>
      </c>
      <c r="B40" s="18"/>
      <c r="C40" s="18"/>
      <c r="D40" s="18"/>
      <c r="E40" s="18"/>
      <c r="F40" s="18"/>
      <c r="G40" s="14">
        <v>4</v>
      </c>
    </row>
    <row r="41">
      <c r="A41" s="14">
        <v>5</v>
      </c>
      <c r="B41" s="18"/>
      <c r="C41" s="18"/>
      <c r="D41" s="18"/>
      <c r="E41" s="18"/>
      <c r="F41" s="18"/>
      <c r="G41" s="14">
        <v>5</v>
      </c>
    </row>
    <row r="43">
      <c r="A43" s="17" t="s">
        <v>35</v>
      </c>
      <c r="B43" s="14"/>
      <c r="C43" s="14"/>
      <c r="D43" s="14" t="s">
        <v>36</v>
      </c>
      <c r="E43" s="14"/>
      <c r="F43" s="14"/>
      <c r="G43" s="16" t="s">
        <v>37</v>
      </c>
    </row>
    <row r="44">
      <c r="A44" s="14" t="str">
        <f>'data'!$B$6</f>
      </c>
      <c r="B44" s="14" t="str">
        <f>IF(UPPER(D45)="X",0,IF((LEN(SUBSTITUTE(SUBSTITUTE(SUBSTITUTE(B45," ",""),"0",""),"-",""))+LEN(SUBSTITUTE(SUBSTITUTE(SUBSTITUTE(C45," ",""),"0",""),"-","")))&gt;(LEN(SUBSTITUTE(SUBSTITUTE(SUBSTITUTE(E45," ",""),"0",""),"-",""))+LEN(SUBSTITUTE(SUBSTITUTE(SUBSTITUTE(F45," ",""),"0",""),"-",""))),1,0))+IF(UPPER(D46)="X",0,IF((LEN(SUBSTITUTE(SUBSTITUTE(SUBSTITUTE(B46," ",""),"0",""),"-",""))+LEN(SUBSTITUTE(SUBSTITUTE(SUBSTITUTE(C46," ",""),"0",""),"-","")))&gt;(LEN(SUBSTITUTE(SUBSTITUTE(SUBSTITUTE(E46," ",""),"0",""),"-",""))+LEN(SUBSTITUTE(SUBSTITUTE(SUBSTITUTE(F46," ",""),"0",""),"-",""))),1,0))+IF(UPPER(D47)="X",0,IF((LEN(SUBSTITUTE(SUBSTITUTE(SUBSTITUTE(B47,"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f>
      </c>
      <c r="C44" s="14" t="str">
        <f>LEN(SUBSTITUTE(SUBSTITUTE(SUBSTITUTE(B45," ",""),"0",""),"-",""))+LEN(SUBSTITUTE(SUBSTITUTE(SUBSTITUTE(C45," ",""),"0",""),"-",""))+LEN(SUBSTITUTE(SUBSTITUTE(SUBSTITUTE(B46," ",""),"0",""),"-",""))+LEN(SUBSTITUTE(SUBSTITUTE(SUBSTITUTE(C46," ",""),"0",""),"-",""))+LEN(SUBSTITUTE(SUBSTITUTE(SUBSTITUTE(B47," ",""),"0",""),"-",""))+LEN(SUBSTITUTE(SUBSTITUTE(SUBSTITUTE(C47," ",""),"0",""),"-",""))+LEN(SUBSTITUTE(SUBSTITUTE(SUBSTITUTE(B48," ",""),"0",""),"-",""))+LEN(SUBSTITUTE(SUBSTITUTE(SUBSTITUTE(C48," ",""),"0",""),"-",""))+LEN(SUBSTITUTE(SUBSTITUTE(SUBSTITUTE(B49," ",""),"0",""),"-",""))+LEN(SUBSTITUTE(SUBSTITUTE(SUBSTITUTE(C49," ",""),"0",""),"-",""))</f>
      </c>
      <c r="D44" s="18"/>
      <c r="E44" s="14" t="str">
        <f>LEN(SUBSTITUTE(SUBSTITUTE(SUBSTITUTE(E45," ",""),"0",""),"-",""))+LEN(SUBSTITUTE(SUBSTITUTE(SUBSTITUTE(F45," ",""),"0",""),"-",""))+LEN(SUBSTITUTE(SUBSTITUTE(SUBSTITUTE(E46," ",""),"0",""),"-",""))+LEN(SUBSTITUTE(SUBSTITUTE(SUBSTITUTE(F46," ",""),"0",""),"-",""))+LEN(SUBSTITUTE(SUBSTITUTE(SUBSTITUTE(E47," ",""),"0",""),"-",""))+LEN(SUBSTITUTE(SUBSTITUTE(SUBSTITUTE(F47," ",""),"0",""),"-",""))+LEN(SUBSTITUTE(SUBSTITUTE(SUBSTITUTE(E48," ",""),"0",""),"-",""))+LEN(SUBSTITUTE(SUBSTITUTE(SUBSTITUTE(F48," ",""),"0",""),"-",""))+LEN(SUBSTITUTE(SUBSTITUTE(SUBSTITUTE(E49," ",""),"0",""),"-",""))+LEN(SUBSTITUTE(SUBSTITUTE(SUBSTITUTE(F49," ",""),"0",""),"-",""))</f>
      </c>
      <c r="F44" s="14" t="str">
        <f>IF(UPPER(D45)="X",0,IF((LEN(SUBSTITUTE(SUBSTITUTE(SUBSTITUTE(E45," ",""),"0",""),"-",""))+LEN(SUBSTITUTE(SUBSTITUTE(SUBSTITUTE(F45," ",""),"0",""),"-","")))&gt;(LEN(SUBSTITUTE(SUBSTITUTE(SUBSTITUTE(B45," ",""),"0",""),"-",""))+LEN(SUBSTITUTE(SUBSTITUTE(SUBSTITUTE(C45," ",""),"0",""),"-",""))),1,0))+IF(UPPER(D46)="X",0,IF((LEN(SUBSTITUTE(SUBSTITUTE(SUBSTITUTE(E46," ",""),"0",""),"-",""))+LEN(SUBSTITUTE(SUBSTITUTE(SUBSTITUTE(F46," ",""),"0",""),"-","")))&gt;(LEN(SUBSTITUTE(SUBSTITUTE(SUBSTITUTE(B46," ",""),"0",""),"-",""))+LEN(SUBSTITUTE(SUBSTITUTE(SUBSTITUTE(C46," ",""),"0",""),"-",""))),1,0))+IF(UPPER(D47)="X",0,IF((LEN(SUBSTITUTE(SUBSTITUTE(SUBSTITUTE(E47,"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f>
      </c>
      <c r="G44" s="14" t="str">
        <f>'data'!$B$4</f>
      </c>
    </row>
    <row r="45">
      <c r="A45" s="14">
        <v>1</v>
      </c>
      <c r="B45" s="18"/>
      <c r="C45" s="18"/>
      <c r="D45" s="18"/>
      <c r="E45" s="18"/>
      <c r="F45" s="18"/>
      <c r="G45" s="14">
        <v>1</v>
      </c>
    </row>
    <row r="46">
      <c r="A46" s="14">
        <v>2</v>
      </c>
      <c r="B46" s="18"/>
      <c r="C46" s="18"/>
      <c r="D46" s="18"/>
      <c r="E46" s="18"/>
      <c r="F46" s="18"/>
      <c r="G46" s="14">
        <v>2</v>
      </c>
    </row>
    <row r="47">
      <c r="A47" s="14">
        <v>3</v>
      </c>
      <c r="B47" s="18"/>
      <c r="C47" s="18"/>
      <c r="D47" s="18"/>
      <c r="E47" s="18"/>
      <c r="F47" s="18"/>
      <c r="G47" s="14">
        <v>3</v>
      </c>
    </row>
    <row r="48">
      <c r="A48" s="14">
        <v>4</v>
      </c>
      <c r="B48" s="18"/>
      <c r="C48" s="18"/>
      <c r="D48" s="18"/>
      <c r="E48" s="18"/>
      <c r="F48" s="18"/>
      <c r="G48" s="14">
        <v>4</v>
      </c>
    </row>
    <row r="49">
      <c r="A49" s="14">
        <v>5</v>
      </c>
      <c r="B49" s="18"/>
      <c r="C49" s="18"/>
      <c r="D49" s="18"/>
      <c r="E49" s="18"/>
      <c r="F49" s="18"/>
      <c r="G49" s="14">
        <v>5</v>
      </c>
    </row>
    <row r="52">
      <c r="A52" s="13" t="s">
        <v>38</v>
      </c>
      <c r="B52" s="13" t="s">
        <v>39</v>
      </c>
      <c r="C52" s="13" t="s">
        <v>40</v>
      </c>
      <c r="D52" s="13" t="s">
        <v>41</v>
      </c>
      <c r="E52" s="13"/>
      <c r="F52" s="13"/>
      <c r="G52" s="13" t="s">
        <v>42</v>
      </c>
      <c r="I52" s="13" t="s">
        <v>38</v>
      </c>
      <c r="J52" s="13" t="s">
        <v>39</v>
      </c>
      <c r="K52" s="13" t="s">
        <v>40</v>
      </c>
      <c r="L52" s="13" t="s">
        <v>41</v>
      </c>
      <c r="M52" s="13"/>
      <c r="N52" s="13"/>
      <c r="O52" s="13" t="s">
        <v>42</v>
      </c>
    </row>
    <row r="53">
      <c r="A53" s="14" t="str">
        <f>'data'!$B$3</f>
      </c>
      <c r="B53" s="14" t="str">
        <f>IF(OR(COUNTA(B5:C9,E5:F9)&gt;0,D5="X",D5="x",D6="X",D6="x",D7="X",D7="x",D8="X",D8="x",D9="X",D9="x",OR(D4="X",D4="x")),IF(OR(OR(D4="X",D4="x"),AND(B4=F4,C4=E4)),0,IF(OR(F4&gt;B4,AND(F4=B4,E4&gt;C4)),1,0)),0)+IF(OR(COUNTA(B29:C33,E29:F33)&gt;0,D29="X",D29="x",D30="X",D30="x",D31="X",D31="x",D32="X",D32="x",D33="X",D33="x",OR(D28="X",D28="x")),IF(OR(OR(D28="X",D28="x"),AND(B28=F28,C28=E28)),0,IF(OR(F28&gt;B28,AND(F28=B28,E28&gt;C28)),1,0)),0)+IF(OR(COUNTA(B37:C41,E37:F41)&gt;0,D37="X",D37="x",D38="X",D38="x",D39="X",D39="x",D40="X",D40="x",D41="X",D41="x",OR(D36="X",D36="x")),IF(OR(OR(D36="X",D36="x"),AND(B36=F36,C36=E36)),0,IF(OR(F36&gt;B36,AND(F36=B36,E36&gt;C36)),1,0)),0)</f>
      </c>
      <c r="C53" s="14" t="str">
        <f>IF(OR(COUNTA(B5:C9,E5:F9)&gt;0,D5="X",D5="x",D6="X",D6="x",D7="X",D7="x",D8="X",D8="x",D9="X",D9="x",OR(D4="X",D4="x")),IF(OR(OR(D4="X",D4="x"),AND(B4=F4,C4=E4)),0,IF(OR(F4&lt;B4,AND(F4=B4,E4&lt;C4)),1,0)),0)+IF(OR(COUNTA(B29:C33,E29:F33)&gt;0,D29="X",D29="x",D30="X",D30="x",D31="X",D31="x",D32="X",D32="x",D33="X",D33="x",OR(D28="X",D28="x")),IF(OR(OR(D28="X",D28="x"),AND(B28=F28,C28=E28)),0,IF(OR(F28&lt;B28,AND(F28=B28,E28&lt;C28)),1,0)),0)+IF(OR(COUNTA(B37:C41,E37:F41)&gt;0,D37="X",D37="x",D38="X",D38="x",D39="X",D39="x",D40="X",D40="x",D41="X",D41="x",OR(D36="X",D36="x")),IF(OR(OR(D36="X",D36="x"),AND(B36=F36,C36=E36)),0,IF(OR(F36&lt;B36,AND(F36=B36,E36&lt;C36)),1,0)),0)</f>
      </c>
      <c r="D53" s="14" t="str">
        <f>IF(OR(COUNTA(B5:C9,E5:F9)&gt;0,D5="X",D5="x",D6="X",D6="x",D7="X",D7="x",D8="X",D8="x",D9="X",D9="x",OR(D4="X",D4="x")),IF(OR(OR(D4="X",D4="x"),AND(B4=F4,C4=E4)),1,0),0)+IF(OR(COUNTA(B29:C33,E29:F33)&gt;0,D29="X",D29="x",D30="X",D30="x",D31="X",D31="x",D32="X",D32="x",D33="X",D33="x",OR(D28="X",D28="x")),IF(OR(OR(D28="X",D28="x"),AND(B28=F28,C28=E28)),1,0),0)+IF(OR(COUNTA(B37:C41,E37:F41)&gt;0,D37="X",D37="x",D38="X",D38="x",D39="X",D39="x",D40="X",D40="x",D41="X",D41="x",OR(D36="X",D36="x")),IF(OR(OR(D36="X",D36="x"),AND(B36=F36,C36=E36)),1,0),0)</f>
      </c>
      <c r="G53" s="18" t="str">
        <f>RANK(U53,$U$53:$U$56)+COUNTIF($U$52:U52,U53)</f>
      </c>
      <c r="I53" s="14" t="str">
        <f>'data'!$B$10</f>
      </c>
      <c r="J53" s="14" t="str">
        <f>IF(OR(COUNTA(J5:K9,M5:N9)&gt;0,L5="X",L5="x",L6="X",L6="x",L7="X",L7="x",L8="X",L8="x",L9="X",L9="x",OR(L4="X",L4="x")),IF(OR(OR(L4="X",L4="x"),AND(J4=N4,K4=M4)),0,IF(OR(N4&gt;J4,AND(N4=J4,M4&gt;K4)),1,0)),0)+IF(OR(COUNTA(J13:K17,M13:N17)&gt;0,L13="X",L13="x",L14="X",L14="x",L15="X",L15="x",L16="X",L16="x",L17="X",L17="x",OR(L12="X",L12="x")),IF(OR(OR(L12="X",L12="x"),AND(J12=N12,K12=M12)),0,IF(OR(N12&gt;J12,AND(N12=J12,M12&gt;K12)),1,0)),0)</f>
      </c>
      <c r="K53" s="14" t="str">
        <f>IF(OR(COUNTA(J5:K9,M5:N9)&gt;0,L5="X",L5="x",L6="X",L6="x",L7="X",L7="x",L8="X",L8="x",L9="X",L9="x",OR(L4="X",L4="x")),IF(OR(OR(L4="X",L4="x"),AND(J4=N4,K4=M4)),0,IF(OR(N4&lt;J4,AND(N4=J4,M4&lt;K4)),1,0)),0)+IF(OR(COUNTA(J13:K17,M13:N17)&gt;0,L13="X",L13="x",L14="X",L14="x",L15="X",L15="x",L16="X",L16="x",L17="X",L17="x",OR(L12="X",L12="x")),IF(OR(OR(L12="X",L12="x"),AND(J12=N12,K12=M12)),0,IF(OR(N12&lt;J12,AND(N12=J12,M12&lt;K12)),1,0)),0)</f>
      </c>
      <c r="L53" s="14" t="str">
        <f>IF(OR(COUNTA(J5:K9,M5:N9)&gt;0,L5="X",L5="x",L6="X",L6="x",L7="X",L7="x",L8="X",L8="x",L9="X",L9="x",OR(L4="X",L4="x")),IF(OR(OR(L4="X",L4="x"),AND(J4=N4,K4=M4)),1,0),0)+IF(OR(COUNTA(J13:K17,M13:N17)&gt;0,L13="X",L13="x",L14="X",L14="x",L15="X",L15="x",L16="X",L16="x",L17="X",L17="x",OR(L12="X",L12="x")),IF(OR(OR(L12="X",L12="x"),AND(J12=N12,K12=M12)),1,0),0)</f>
      </c>
      <c r="O53" s="18" t="str">
        <f>RANK(AC53,$AC$53:$AC$55)+COUNTIF($AC$52:AC52,AC53)</f>
      </c>
      <c r="U53" t="str">
        <f>(B53*1000000000)-(C53*10000000)+(D53*100000)+(B59*1000)-(C59*100)+(D59*10)+(E59*1)-(F59*0.01)</f>
      </c>
      <c r="AC53" t="str">
        <f>(J53*1000000000)-(K53*10000000)+(L53*100000)+(J58*1000)-(K58*100)+(L58*10)+(M58*1)-(N58*0.01)</f>
      </c>
    </row>
    <row r="54">
      <c r="A54" s="14" t="str">
        <f>'data'!$B$4</f>
      </c>
      <c r="B54" s="14" t="str">
        <f>IF(OR(COUNTA(B5:C9,E5:F9)&gt;0,D5="X",D5="x",D6="X",D6="x",D7="X",D7="x",D8="X",D8="x",D9="X",D9="x",OR(D4="X",D4="x")),IF(OR(OR(D4="X",D4="x"),AND(B4=F4,C4=E4)),0,IF(OR(B4&gt;F4,AND(B4=F4,C4&gt;E4)),1,0)),0)+IF(OR(COUNTA(B13:C17,E13:F17)&gt;0,D13="X",D13="x",D14="X",D14="x",D15="X",D15="x",D16="X",D16="x",D17="X",D17="x",OR(D12="X",D12="x")),IF(OR(OR(D12="X",D12="x"),AND(B12=F12,C12=E12)),0,IF(OR(B12&gt;F12,AND(B12=F12,C12&gt;E12)),1,0)),0)+IF(OR(COUNTA(B45:C49,E45:F49)&gt;0,D45="X",D45="x",D46="X",D46="x",D47="X",D47="x",D48="X",D48="x",D49="X",D49="x",OR(D44="X",D44="x")),IF(OR(OR(D44="X",D44="x"),AND(B44=F44,C44=E44)),0,IF(OR(F44&gt;B44,AND(F44=B44,E44&gt;C44)),1,0)),0)</f>
      </c>
      <c r="C54" s="14" t="str">
        <f>IF(OR(COUNTA(B5:C9,E5:F9)&gt;0,D5="X",D5="x",D6="X",D6="x",D7="X",D7="x",D8="X",D8="x",D9="X",D9="x",OR(D4="X",D4="x")),IF(OR(OR(D4="X",D4="x"),AND(B4=F4,C4=E4)),0,IF(OR(B4&lt;F4,AND(B4=F4,C4&lt;E4)),1,0)),0)+IF(OR(COUNTA(B13:C17,E13:F17)&gt;0,D13="X",D13="x",D14="X",D14="x",D15="X",D15="x",D16="X",D16="x",D17="X",D17="x",OR(D12="X",D12="x")),IF(OR(OR(D12="X",D12="x"),AND(B12=F12,C12=E12)),0,IF(OR(B12&lt;F12,AND(B12=F12,C12&lt;E12)),1,0)),0)+IF(OR(COUNTA(B45:C49,E45:F49)&gt;0,D45="X",D45="x",D46="X",D46="x",D47="X",D47="x",D48="X",D48="x",D49="X",D49="x",OR(D44="X",D44="x")),IF(OR(OR(D44="X",D44="x"),AND(B44=F44,C44=E44)),0,IF(OR(F44&lt;B44,AND(F44=B44,E44&lt;C44)),1,0)),0)</f>
      </c>
      <c r="D54" s="14" t="str">
        <f>IF(OR(COUNTA(B5:C9,E5:F9)&gt;0,D5="X",D5="x",D6="X",D6="x",D7="X",D7="x",D8="X",D8="x",D9="X",D9="x",OR(D4="X",D4="x")),IF(OR(OR(D4="X",D4="x"),AND(B4=F4,C4=E4)),1,0),0)+IF(OR(COUNTA(B13:C17,E13:F17)&gt;0,D13="X",D13="x",D14="X",D14="x",D15="X",D15="x",D16="X",D16="x",D17="X",D17="x",OR(D12="X",D12="x")),IF(OR(OR(D12="X",D12="x"),AND(B12=F12,C12=E12)),1,0),0)+IF(OR(COUNTA(B45:C49,E45:F49)&gt;0,D45="X",D45="x",D46="X",D46="x",D47="X",D47="x",D48="X",D48="x",D49="X",D49="x",OR(D44="X",D44="x")),IF(OR(OR(D44="X",D44="x"),AND(B44=F44,C44=E44)),1,0),0)</f>
      </c>
      <c r="G54" s="18" t="str">
        <f>RANK(U54,$U$53:$U$56)+COUNTIF($U$52:U53,U54)</f>
      </c>
      <c r="I54" s="14" t="str">
        <f>'data'!$B$11</f>
      </c>
      <c r="J54" s="14" t="str">
        <f>IF(OR(COUNTA(J5:K9,M5:N9)&gt;0,L5="X",L5="x",L6="X",L6="x",L7="X",L7="x",L8="X",L8="x",L9="X",L9="x",OR(L4="X",L4="x")),IF(OR(OR(L4="X",L4="x"),AND(J4=N4,K4=M4)),0,IF(OR(J4&gt;N4,AND(J4=N4,K4&gt;M4)),1,0)),0)+IF(OR(COUNTA(J21:K25,M21:N25)&gt;0,L21="X",L21="x",L22="X",L22="x",L23="X",L23="x",L24="X",L24="x",L25="X",L25="x",OR(L20="X",L20="x")),IF(OR(OR(L20="X",L20="x"),AND(J20=N20,K20=M20)),0,IF(OR(N20&gt;J20,AND(N20=J20,M20&gt;K20)),1,0)),0)</f>
      </c>
      <c r="K54" s="14" t="str">
        <f>IF(OR(COUNTA(J5:K9,M5:N9)&gt;0,L5="X",L5="x",L6="X",L6="x",L7="X",L7="x",L8="X",L8="x",L9="X",L9="x",OR(L4="X",L4="x")),IF(OR(OR(L4="X",L4="x"),AND(J4=N4,K4=M4)),0,IF(OR(J4&lt;N4,AND(J4=N4,K4&lt;M4)),1,0)),0)+IF(OR(COUNTA(J21:K25,M21:N25)&gt;0,L21="X",L21="x",L22="X",L22="x",L23="X",L23="x",L24="X",L24="x",L25="X",L25="x",OR(L20="X",L20="x")),IF(OR(OR(L20="X",L20="x"),AND(J20=N20,K20=M20)),0,IF(OR(N20&lt;J20,AND(N20=J20,M20&lt;K20)),1,0)),0)</f>
      </c>
      <c r="L54" s="14" t="str">
        <f>IF(OR(COUNTA(J5:K9,M5:N9)&gt;0,L5="X",L5="x",L6="X",L6="x",L7="X",L7="x",L8="X",L8="x",L9="X",L9="x",OR(L4="X",L4="x")),IF(OR(OR(L4="X",L4="x"),AND(J4=N4,K4=M4)),1,0),0)+IF(OR(COUNTA(J21:K25,M21:N25)&gt;0,L21="X",L21="x",L22="X",L22="x",L23="X",L23="x",L24="X",L24="x",L25="X",L25="x",OR(L20="X",L20="x")),IF(OR(OR(L20="X",L20="x"),AND(J20=N20,K20=M20)),1,0),0)</f>
      </c>
      <c r="O54" s="18" t="str">
        <f>RANK(AC54,$AC$53:$AC$55)+COUNTIF($AC$52:AC53,AC54)</f>
      </c>
      <c r="U54" t="str">
        <f>(B54*1000000000)-(C54*10000000)+(D54*100000)+(B60*1000)-(C60*100)+(D60*10)+(E60*1)-(F60*0.01)</f>
      </c>
      <c r="AC54" t="str">
        <f>(J54*1000000000)-(K54*10000000)+(L54*100000)+(J59*1000)-(K59*100)+(L59*10)+(M59*1)-(N59*0.01)</f>
      </c>
    </row>
    <row r="55">
      <c r="A55" s="14" t="str">
        <f>'data'!$B$5</f>
      </c>
      <c r="B55"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IF(OR(COUNTA(B37:C41,E37:F41)&gt;0,D37="X",D37="x",D38="X",D38="x",D39="X",D39="x",D40="X",D40="x",D41="X",D41="x",OR(D36="X",D36="x")),IF(OR(OR(D36="X",D36="x"),AND(B36=F36,C36=E36)),0,IF(OR(B36&gt;F36,AND(B36=F36,C36&gt;E36)),1,0)),0)</f>
      </c>
      <c r="C55"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IF(OR(COUNTA(B37:C41,E37:F41)&gt;0,D37="X",D37="x",D38="X",D38="x",D39="X",D39="x",D40="X",D40="x",D41="X",D41="x",OR(D36="X",D36="x")),IF(OR(OR(D36="X",D36="x"),AND(B36=F36,C36=E36)),0,IF(OR(B36&lt;F36,AND(B36=F36,C36&lt;E36)),1,0)),0)</f>
      </c>
      <c r="D55" s="14" t="str">
        <f>IF(OR(COUNTA(B13:C17,E13:F17)&gt;0,D13="X",D13="x",D14="X",D14="x",D15="X",D15="x",D16="X",D16="x",D17="X",D17="x",OR(D12="X",D12="x")),IF(OR(OR(D12="X",D12="x"),AND(B12=F12,C12=E12)),1,0),0)+IF(OR(COUNTA(B21:C25,E21:F25)&gt;0,D21="X",D21="x",D22="X",D22="x",D23="X",D23="x",D24="X",D24="x",D25="X",D25="x",OR(D20="X",D20="x")),IF(OR(OR(D20="X",D20="x"),AND(B20=F20,C20=E20)),1,0),0)+IF(OR(COUNTA(B37:C41,E37:F41)&gt;0,D37="X",D37="x",D38="X",D38="x",D39="X",D39="x",D40="X",D40="x",D41="X",D41="x",OR(D36="X",D36="x")),IF(OR(OR(D36="X",D36="x"),AND(B36=F36,C36=E36)),1,0),0)</f>
      </c>
      <c r="G55" s="18" t="str">
        <f>RANK(U55,$U$53:$U$56)+COUNTIF($U$52:U54,U55)</f>
      </c>
      <c r="I55" s="14" t="str">
        <f>'data'!$B$12</f>
      </c>
      <c r="J55"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55"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55" s="14" t="str">
        <f>IF(OR(COUNTA(J13:K17,M13:N17)&gt;0,L13="X",L13="x",L14="X",L14="x",L15="X",L15="x",L16="X",L16="x",L17="X",L17="x",OR(L12="X",L12="x")),IF(OR(OR(L12="X",L12="x"),AND(J12=N12,K12=M12)),1,0),0)+IF(OR(COUNTA(J21:K25,M21:N25)&gt;0,L21="X",L21="x",L22="X",L22="x",L23="X",L23="x",L24="X",L24="x",L25="X",L25="x",OR(L20="X",L20="x")),IF(OR(OR(L20="X",L20="x"),AND(J20=N20,K20=M20)),1,0),0)</f>
      </c>
      <c r="O55" s="18" t="str">
        <f>RANK(AC55,$AC$53:$AC$55)+COUNTIF($AC$52:AC54,AC55)</f>
      </c>
      <c r="U55" t="str">
        <f>(B55*1000000000)-(C55*10000000)+(D55*100000)+(B61*1000)-(C61*100)+(D61*10)+(E61*1)-(F61*0.01)</f>
      </c>
      <c r="AC55" t="str">
        <f>(J55*1000000000)-(K55*10000000)+(L55*100000)+(J60*1000)-(K60*100)+(L60*10)+(M60*1)-(N60*0.01)</f>
      </c>
    </row>
    <row r="56">
      <c r="A56" s="14" t="str">
        <f>'data'!$B$6</f>
      </c>
      <c r="B56"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IF(OR(COUNTA(B45:C49,E45:F49)&gt;0,D45="X",D45="x",D46="X",D46="x",D47="X",D47="x",D48="X",D48="x",D49="X",D49="x",OR(D44="X",D44="x")),IF(OR(OR(D44="X",D44="x"),AND(B44=F44,C44=E44)),0,IF(OR(B44&gt;F44,AND(B44=F44,C44&gt;E44)),1,0)),0)</f>
      </c>
      <c r="C56"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IF(OR(COUNTA(B45:C49,E45:F49)&gt;0,D45="X",D45="x",D46="X",D46="x",D47="X",D47="x",D48="X",D48="x",D49="X",D49="x",OR(D44="X",D44="x")),IF(OR(OR(D44="X",D44="x"),AND(B44=F44,C44=E44)),0,IF(OR(B44&lt;F44,AND(B44=F44,C44&lt;E44)),1,0)),0)</f>
      </c>
      <c r="D56" s="14" t="str">
        <f>IF(OR(COUNTA(B21:C25,E21:F25)&gt;0,D21="X",D21="x",D22="X",D22="x",D23="X",D23="x",D24="X",D24="x",D25="X",D25="x",OR(D20="X",D20="x")),IF(OR(OR(D20="X",D20="x"),AND(B20=F20,C20=E20)),1,0),0)+IF(OR(COUNTA(B29:C33,E29:F33)&gt;0,D29="X",D29="x",D30="X",D30="x",D31="X",D31="x",D32="X",D32="x",D33="X",D33="x",OR(D28="X",D28="x")),IF(OR(OR(D28="X",D28="x"),AND(B28=F28,C28=E28)),1,0),0)+IF(OR(COUNTA(B45:C49,E45:F49)&gt;0,D45="X",D45="x",D46="X",D46="x",D47="X",D47="x",D48="X",D48="x",D49="X",D49="x",OR(D44="X",D44="x")),IF(OR(OR(D44="X",D44="x"),AND(B44=F44,C44=E44)),1,0),0)</f>
      </c>
      <c r="G56" s="18" t="str">
        <f>RANK(U56,$U$53:$U$56)+COUNTIF($U$52:U55,U56)</f>
      </c>
      <c r="U56" t="str">
        <f>(B56*1000000000)-(C56*10000000)+(D56*100000)+(B62*1000)-(C62*100)+(D62*10)+(E62*1)-(F62*0.01)</f>
      </c>
    </row>
    <row r="57">
      <c r="I57" s="13"/>
      <c r="J57" s="13" t="s">
        <v>43</v>
      </c>
      <c r="K57" s="13" t="s">
        <v>44</v>
      </c>
      <c r="L57" s="13" t="s">
        <v>45</v>
      </c>
      <c r="M57" s="13" t="s">
        <v>46</v>
      </c>
      <c r="N57" s="13" t="s">
        <v>47</v>
      </c>
    </row>
    <row r="58">
      <c r="A58" s="13"/>
      <c r="B58" s="13" t="s">
        <v>43</v>
      </c>
      <c r="C58" s="13" t="s">
        <v>44</v>
      </c>
      <c r="D58" s="13" t="s">
        <v>45</v>
      </c>
      <c r="E58" s="13" t="s">
        <v>46</v>
      </c>
      <c r="F58" s="13" t="s">
        <v>47</v>
      </c>
      <c r="I58" s="14" t="str">
        <f>'data'!$B$10</f>
      </c>
      <c r="J58" s="14" t="str">
        <f>IF(OR(COUNTA(J5:K9,M5:N9)&gt;0,OR(L4="X",L4="x"),UPPER(L5)="X",UPPER(L6)="X",UPPER(L7)="X",UPPER(L8)="X",UPPER(L9)="X"),N4,0)+IF(OR(COUNTA(J13:K17,M13:N17)&gt;0,OR(L12="X",L12="x"),UPPER(L13)="X",UPPER(L14)="X",UPPER(L15)="X",UPPER(L16)="X",UPPER(L17)="X"),N12,0)</f>
      </c>
      <c r="K58" s="14" t="str">
        <f>IF(OR(COUNTA(J5:K9,M5:N9)&gt;0,OR(L4="X",L4="x"),UPPER(L5)="X",UPPER(L6)="X",UPPER(L7)="X",UPPER(L8)="X",UPPER(L9)="X"),J4,0)+IF(OR(COUNTA(J13:K17,M13:N17)&gt;0,OR(L12="X",L12="x"),UPPER(L13)="X",UPPER(L14)="X",UPPER(L15)="X",UPPER(L16)="X",UPPER(L17)="X"),J12,0)</f>
      </c>
      <c r="L58"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58" s="14" t="str">
        <f>M4+M12</f>
      </c>
      <c r="N58" s="14" t="str">
        <f>K4+K12</f>
      </c>
    </row>
    <row r="59">
      <c r="A59" s="14" t="str">
        <f>'data'!$B$3</f>
      </c>
      <c r="B59" s="14" t="str">
        <f>IF(OR(COUNTA(B5:C9,E5:F9)&gt;0,OR(D4="X",D4="x"),UPPER(D5)="X",UPPER(D6)="X",UPPER(D7)="X",UPPER(D8)="X",UPPER(D9)="X"),F4,0)+IF(OR(COUNTA(B29:C33,E29:F33)&gt;0,OR(D28="X",D28="x"),UPPER(D29)="X",UPPER(D30)="X",UPPER(D31)="X",UPPER(D32)="X",UPPER(D33)="X"),F28,0)+IF(OR(COUNTA(B37:C41,E37:F41)&gt;0,OR(D36="X",D36="x"),UPPER(D37)="X",UPPER(D38)="X",UPPER(D39)="X",UPPER(D40)="X",UPPER(D41)="X"),F36,0)</f>
      </c>
      <c r="C59" s="14" t="str">
        <f>IF(OR(COUNTA(B5:C9,E5:F9)&gt;0,OR(D4="X",D4="x"),UPPER(D5)="X",UPPER(D6)="X",UPPER(D7)="X",UPPER(D8)="X",UPPER(D9)="X"),B4,0)+IF(OR(COUNTA(B29:C33,E29:F33)&gt;0,OR(D28="X",D28="x"),UPPER(D29)="X",UPPER(D30)="X",UPPER(D31)="X",UPPER(D32)="X",UPPER(D33)="X"),B28,0)+IF(OR(COUNTA(B37:C41,E37:F41)&gt;0,OR(D36="X",D36="x"),UPPER(D37)="X",UPPER(D38)="X",UPPER(D39)="X",UPPER(D40)="X",UPPER(D41)="X"),B36,0)</f>
      </c>
      <c r="D59"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59" s="14" t="str">
        <f>E4+E28+E36</f>
      </c>
      <c r="F59" s="14" t="str">
        <f>C4+C28+C36</f>
      </c>
      <c r="I59" s="14" t="str">
        <f>'data'!$B$11</f>
      </c>
      <c r="J59" s="14" t="str">
        <f>IF(OR(COUNTA(J5:K9,M5:N9)&gt;0,OR(L4="X",L4="x"),UPPER(L5)="X",UPPER(L6)="X",UPPER(L7)="X",UPPER(L8)="X",UPPER(L9)="X"),J4,0)+IF(OR(COUNTA(J21:K25,M21:N25)&gt;0,OR(L20="X",L20="x"),UPPER(L21)="X",UPPER(L22)="X",UPPER(L23)="X",UPPER(L24)="X",UPPER(L25)="X"),N20,0)</f>
      </c>
      <c r="K59" s="14" t="str">
        <f>IF(OR(COUNTA(J5:K9,M5:N9)&gt;0,OR(L4="X",L4="x"),UPPER(L5)="X",UPPER(L6)="X",UPPER(L7)="X",UPPER(L8)="X",UPPER(L9)="X"),N4,0)+IF(OR(COUNTA(J21:K25,M21:N25)&gt;0,OR(L20="X",L20="x"),UPPER(L21)="X",UPPER(L22)="X",UPPER(L23)="X",UPPER(L24)="X",UPPER(L25)="X"),J20,0)</f>
      </c>
      <c r="L59"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59" s="14" t="str">
        <f>K4+M20</f>
      </c>
      <c r="N59" s="14" t="str">
        <f>M4+K20</f>
      </c>
    </row>
    <row r="60">
      <c r="A60" s="14" t="str">
        <f>'data'!$B$4</f>
      </c>
      <c r="B60" s="14" t="str">
        <f>IF(OR(COUNTA(B5:C9,E5:F9)&gt;0,OR(D4="X",D4="x"),UPPER(D5)="X",UPPER(D6)="X",UPPER(D7)="X",UPPER(D8)="X",UPPER(D9)="X"),B4,0)+IF(OR(COUNTA(B13:C17,E13:F17)&gt;0,OR(D12="X",D12="x"),UPPER(D13)="X",UPPER(D14)="X",UPPER(D15)="X",UPPER(D16)="X",UPPER(D17)="X"),B12,0)+IF(OR(COUNTA(B45:C49,E45:F49)&gt;0,OR(D44="X",D44="x"),UPPER(D45)="X",UPPER(D46)="X",UPPER(D47)="X",UPPER(D48)="X",UPPER(D49)="X"),F44,0)</f>
      </c>
      <c r="C60" s="14" t="str">
        <f>IF(OR(COUNTA(B5:C9,E5:F9)&gt;0,OR(D4="X",D4="x"),UPPER(D5)="X",UPPER(D6)="X",UPPER(D7)="X",UPPER(D8)="X",UPPER(D9)="X"),F4,0)+IF(OR(COUNTA(B13:C17,E13:F17)&gt;0,OR(D12="X",D12="x"),UPPER(D13)="X",UPPER(D14)="X",UPPER(D15)="X",UPPER(D16)="X",UPPER(D17)="X"),F12,0)+IF(OR(COUNTA(B45:C49,E45:F49)&gt;0,OR(D44="X",D44="x"),UPPER(D45)="X",UPPER(D46)="X",UPPER(D47)="X",UPPER(D48)="X",UPPER(D49)="X"),B44,0)</f>
      </c>
      <c r="D60"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0" s="14" t="str">
        <f>C4+C12+E44</f>
      </c>
      <c r="F60" s="14" t="str">
        <f>E4+E12+C44</f>
      </c>
      <c r="I60" s="14" t="str">
        <f>'data'!$B$12</f>
      </c>
      <c r="J60" s="14" t="str">
        <f>IF(OR(COUNTA(J13:K17,M13:N17)&gt;0,OR(L12="X",L12="x"),UPPER(L13)="X",UPPER(L14)="X",UPPER(L15)="X",UPPER(L16)="X",UPPER(L17)="X"),J12,0)+IF(OR(COUNTA(J21:K25,M21:N25)&gt;0,OR(L20="X",L20="x"),UPPER(L21)="X",UPPER(L22)="X",UPPER(L23)="X",UPPER(L24)="X",UPPER(L25)="X"),J20,0)</f>
      </c>
      <c r="K60" s="14" t="str">
        <f>IF(OR(COUNTA(J13:K17,M13:N17)&gt;0,OR(L12="X",L12="x"),UPPER(L13)="X",UPPER(L14)="X",UPPER(L15)="X",UPPER(L16)="X",UPPER(L17)="X"),N12,0)+IF(OR(COUNTA(J21:K25,M21:N25)&gt;0,OR(L20="X",L20="x"),UPPER(L21)="X",UPPER(L22)="X",UPPER(L23)="X",UPPER(L24)="X",UPPER(L25)="X"),N20,0)</f>
      </c>
      <c r="L60"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60" s="14" t="str">
        <f>K12+K20</f>
      </c>
      <c r="N60" s="14" t="str">
        <f>M12+M20</f>
      </c>
    </row>
    <row r="61">
      <c r="A61" s="14" t="str">
        <f>'data'!$B$5</f>
      </c>
      <c r="B61" s="14" t="str">
        <f>IF(OR(COUNTA(B13:C17,E13:F17)&gt;0,OR(D12="X",D12="x"),UPPER(D13)="X",UPPER(D14)="X",UPPER(D15)="X",UPPER(D16)="X",UPPER(D17)="X"),F12,0)+IF(OR(COUNTA(B21:C25,E21:F25)&gt;0,OR(D20="X",D20="x"),UPPER(D21)="X",UPPER(D22)="X",UPPER(D23)="X",UPPER(D24)="X",UPPER(D25)="X"),F20,0)+IF(OR(COUNTA(B37:C41,E37:F41)&gt;0,OR(D36="X",D36="x"),UPPER(D37)="X",UPPER(D38)="X",UPPER(D39)="X",UPPER(D40)="X",UPPER(D41)="X"),B36,0)</f>
      </c>
      <c r="C61" s="14" t="str">
        <f>IF(OR(COUNTA(B13:C17,E13:F17)&gt;0,OR(D12="X",D12="x"),UPPER(D13)="X",UPPER(D14)="X",UPPER(D15)="X",UPPER(D16)="X",UPPER(D17)="X"),B12,0)+IF(OR(COUNTA(B21:C25,E21:F25)&gt;0,OR(D20="X",D20="x"),UPPER(D21)="X",UPPER(D22)="X",UPPER(D23)="X",UPPER(D24)="X",UPPER(D25)="X"),B20,0)+IF(OR(COUNTA(B37:C41,E37:F41)&gt;0,OR(D36="X",D36="x"),UPPER(D37)="X",UPPER(D38)="X",UPPER(D39)="X",UPPER(D40)="X",UPPER(D41)="X"),F36,0)</f>
      </c>
      <c r="D61"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61" s="14" t="str">
        <f>E12+E20+C36</f>
      </c>
      <c r="F61" s="14" t="str">
        <f>C12+C20+E36</f>
      </c>
    </row>
    <row r="62">
      <c r="A62" s="14" t="str">
        <f>'data'!$B$6</f>
      </c>
      <c r="B62" s="14" t="str">
        <f>IF(OR(COUNTA(B21:C25,E21:F25)&gt;0,OR(D20="X",D20="x"),UPPER(D21)="X",UPPER(D22)="X",UPPER(D23)="X",UPPER(D24)="X",UPPER(D25)="X"),B20,0)+IF(OR(COUNTA(B29:C33,E29:F33)&gt;0,OR(D28="X",D28="x"),UPPER(D29)="X",UPPER(D30)="X",UPPER(D31)="X",UPPER(D32)="X",UPPER(D33)="X"),B28,0)+IF(OR(COUNTA(B45:C49,E45:F49)&gt;0,OR(D44="X",D44="x"),UPPER(D45)="X",UPPER(D46)="X",UPPER(D47)="X",UPPER(D48)="X",UPPER(D49)="X"),B44,0)</f>
      </c>
      <c r="C62" s="14" t="str">
        <f>IF(OR(COUNTA(B21:C25,E21:F25)&gt;0,OR(D20="X",D20="x"),UPPER(D21)="X",UPPER(D22)="X",UPPER(D23)="X",UPPER(D24)="X",UPPER(D25)="X"),F20,0)+IF(OR(COUNTA(B29:C33,E29:F33)&gt;0,OR(D28="X",D28="x"),UPPER(D29)="X",UPPER(D30)="X",UPPER(D31)="X",UPPER(D32)="X",UPPER(D33)="X"),F28,0)+IF(OR(COUNTA(B45:C49,E45:F49)&gt;0,OR(D44="X",D44="x"),UPPER(D45)="X",UPPER(D46)="X",UPPER(D47)="X",UPPER(D48)="X",UPPER(D49)="X"),F44,0)</f>
      </c>
      <c r="D62"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2" s="14" t="str">
        <f>C20+C28+C44</f>
      </c>
      <c r="F62" s="14" t="str">
        <f>E20+E28+E44</f>
      </c>
    </row>
    <row r="63">
      <c r="N63" s="13"/>
      <c r="O63" s="13" t="s">
        <v>48</v>
      </c>
    </row>
    <row r="64">
      <c r="N64" t="s">
        <v>49</v>
      </c>
      <c r="O64" s="19" t="str">
        <f>IFERROR(INDEX($I$53:$I$60, MATCH(1, $O$53:$O$60, 0)), "-")</f>
      </c>
    </row>
    <row r="65">
      <c r="F65" s="13"/>
      <c r="G65" s="13" t="s">
        <v>48</v>
      </c>
      <c r="N65" t="s">
        <v>50</v>
      </c>
      <c r="O65" s="19" t="str">
        <f>IFERROR(INDEX($I$53:$I$60, MATCH(2, $O$53:$O$60, 0)), "-")</f>
      </c>
    </row>
    <row r="66">
      <c r="F66" t="s">
        <v>49</v>
      </c>
      <c r="G66" s="19" t="str">
        <f>IFERROR(INDEX($A$53:$A$62, MATCH(1, $G$53:$G$62, 0)), "-")</f>
      </c>
      <c r="N66" t="s">
        <v>51</v>
      </c>
      <c r="O66" s="19" t="str">
        <f>IFERROR(INDEX($I$53:$I$60, MATCH(3, $O$53:$O$60, 0)), "-")</f>
      </c>
    </row>
    <row r="67">
      <c r="F67" t="s">
        <v>50</v>
      </c>
      <c r="G67" s="19" t="str">
        <f>IFERROR(INDEX($A$53:$A$62, MATCH(2, $G$53:$G$62, 0)), "-")</f>
      </c>
    </row>
    <row r="68">
      <c r="F68" t="s">
        <v>51</v>
      </c>
      <c r="G68" s="19" t="str">
        <f>IFERROR(INDEX($A$53:$A$62, MATCH(3, $G$53:$G$62, 0)), "-")</f>
      </c>
    </row>
    <row r="69">
      <c r="A69" s="13" t="str">
        <f>'data'!$A$9</f>
      </c>
      <c r="B69" s="13"/>
      <c r="C69" s="13"/>
      <c r="D69" s="13"/>
      <c r="E69" s="13"/>
      <c r="F69" s="13"/>
      <c r="G69" s="13"/>
    </row>
    <row r="70">
      <c r="A70" s="17" t="s">
        <v>35</v>
      </c>
      <c r="B70" s="14"/>
      <c r="C70" s="14"/>
      <c r="D70" s="14" t="s">
        <v>36</v>
      </c>
      <c r="E70" s="14"/>
      <c r="F70" s="14"/>
      <c r="G70" s="16" t="s">
        <v>37</v>
      </c>
    </row>
    <row r="71">
      <c r="A71" s="14" t="str">
        <f>'data'!$B$8</f>
      </c>
      <c r="B71" s="14" t="str">
        <f>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f>
      </c>
      <c r="C71" s="14" t="str">
        <f>LEN(SUBSTITUTE(SUBSTITUTE(SUBSTITUTE(B72," ",""),"0",""),"-",""))+LEN(SUBSTITUTE(SUBSTITUTE(SUBSTITUTE(C72," ",""),"0",""),"-",""))+LEN(SUBSTITUTE(SUBSTITUTE(SUBSTITUTE(B73," ",""),"0",""),"-",""))+LEN(SUBSTITUTE(SUBSTITUTE(SUBSTITUTE(C73," ",""),"0",""),"-",""))+LEN(SUBSTITUTE(SUBSTITUTE(SUBSTITUTE(B74," ",""),"0",""),"-",""))+LEN(SUBSTITUTE(SUBSTITUTE(SUBSTITUTE(C74," ",""),"0",""),"-",""))+LEN(SUBSTITUTE(SUBSTITUTE(SUBSTITUTE(B75," ",""),"0",""),"-",""))+LEN(SUBSTITUTE(SUBSTITUTE(SUBSTITUTE(C75," ",""),"0",""),"-",""))+LEN(SUBSTITUTE(SUBSTITUTE(SUBSTITUTE(B76," ",""),"0",""),"-",""))+LEN(SUBSTITUTE(SUBSTITUTE(SUBSTITUTE(C76," ",""),"0",""),"-",""))</f>
      </c>
      <c r="D71" s="18"/>
      <c r="E71" s="14" t="str">
        <f>LEN(SUBSTITUTE(SUBSTITUTE(SUBSTITUTE(E72," ",""),"0",""),"-",""))+LEN(SUBSTITUTE(SUBSTITUTE(SUBSTITUTE(F72," ",""),"0",""),"-",""))+LEN(SUBSTITUTE(SUBSTITUTE(SUBSTITUTE(E73," ",""),"0",""),"-",""))+LEN(SUBSTITUTE(SUBSTITUTE(SUBSTITUTE(F73," ",""),"0",""),"-",""))+LEN(SUBSTITUTE(SUBSTITUTE(SUBSTITUTE(E74," ",""),"0",""),"-",""))+LEN(SUBSTITUTE(SUBSTITUTE(SUBSTITUTE(F74," ",""),"0",""),"-",""))+LEN(SUBSTITUTE(SUBSTITUTE(SUBSTITUTE(E75," ",""),"0",""),"-",""))+LEN(SUBSTITUTE(SUBSTITUTE(SUBSTITUTE(F75," ",""),"0",""),"-",""))+LEN(SUBSTITUTE(SUBSTITUTE(SUBSTITUTE(E76," ",""),"0",""),"-",""))+LEN(SUBSTITUTE(SUBSTITUTE(SUBSTITUTE(F76," ",""),"0",""),"-",""))</f>
      </c>
      <c r="F71" s="14" t="str">
        <f>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f>
      </c>
      <c r="G71" s="14" t="str">
        <f>'data'!$B$7</f>
      </c>
    </row>
    <row r="72">
      <c r="A72" s="14">
        <v>1</v>
      </c>
      <c r="B72" s="18"/>
      <c r="C72" s="18"/>
      <c r="D72" s="18"/>
      <c r="E72" s="18"/>
      <c r="F72" s="18"/>
      <c r="G72" s="14">
        <v>1</v>
      </c>
    </row>
    <row r="73">
      <c r="A73" s="14">
        <v>2</v>
      </c>
      <c r="B73" s="18"/>
      <c r="C73" s="18"/>
      <c r="D73" s="18"/>
      <c r="E73" s="18"/>
      <c r="F73" s="18"/>
      <c r="G73" s="14">
        <v>2</v>
      </c>
    </row>
    <row r="74">
      <c r="A74" s="14">
        <v>3</v>
      </c>
      <c r="B74" s="18"/>
      <c r="C74" s="18"/>
      <c r="D74" s="18"/>
      <c r="E74" s="18"/>
      <c r="F74" s="18"/>
      <c r="G74" s="14">
        <v>3</v>
      </c>
    </row>
    <row r="75">
      <c r="A75" s="14">
        <v>4</v>
      </c>
      <c r="B75" s="18"/>
      <c r="C75" s="18"/>
      <c r="D75" s="18"/>
      <c r="E75" s="18"/>
      <c r="F75" s="18"/>
      <c r="G75" s="14">
        <v>4</v>
      </c>
    </row>
    <row r="76">
      <c r="A76" s="14">
        <v>5</v>
      </c>
      <c r="B76" s="18"/>
      <c r="C76" s="18"/>
      <c r="D76" s="18"/>
      <c r="E76" s="18"/>
      <c r="F76" s="18"/>
      <c r="G76" s="14">
        <v>5</v>
      </c>
    </row>
    <row r="78">
      <c r="A78" s="17" t="s">
        <v>35</v>
      </c>
      <c r="B78" s="14"/>
      <c r="C78" s="14"/>
      <c r="D78" s="14" t="s">
        <v>36</v>
      </c>
      <c r="E78" s="14"/>
      <c r="F78" s="14"/>
      <c r="G78" s="16" t="s">
        <v>37</v>
      </c>
    </row>
    <row r="79">
      <c r="A79" s="14" t="str">
        <f>'data'!$B$9</f>
      </c>
      <c r="B79" s="14" t="str">
        <f>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",""),"0",""),"-",""))),1,0))+IF(UPPER(D82)="X",0,IF((LEN(SUBSTITUTE(SUBSTITUTE(SUBSTITUTE(B82," ",""),"0",""),"-",""))+LEN(SUBSTITUTE(SUBSTITUTE(SUBSTITUTE(C82," ",""),"0",""),"-","")))&gt;(LEN(SUBSTITUTE(SUBSTITUTE(SUBSTITUTE(E82," ",""),"0",""),"-",""))+LEN(SUBSTITUTE(SUBSTITUTE(SUBSTITUTE(F82," ",""),"0",""),"-",""))),1,0))+IF(UPPER(D83)="X",0,IF((LEN(SUBSTITUTE(SUBSTITUTE(SUBSTITUTE(B83," ",""),"0",""),"-",""))+LEN(SUBSTITUTE(SUBSTITUTE(SUBSTITUTE(C83," ",""),"0",""),"-","")))&gt;(LEN(SUBSTITUTE(SUBSTITUTE(SUBSTITUTE(E83," ",""),"0",""),"-",""))+LEN(SUBSTITUTE(SUBSTITUTE(SUBSTITUTE(F83," ",""),"0",""),"-",""))),1,0))+IF(UPPER(D84)="X",0,IF((LEN(SUBSTITUTE(SUBSTITUTE(SUBSTITUTE(B84," ",""),"0",""),"-",""))+LEN(SUBSTITUTE(SUBSTITUTE(SUBSTITUTE(C84," ",""),"0",""),"-","")))&gt;(LEN(SUBSTITUTE(SUBSTITUTE(SUBSTITUTE(E84," ",""),"0",""),"-",""))+LEN(SUBSTITUTE(SUBSTITUTE(SUBSTITUTE(F84," ",""),"0",""),"-",""))),1,0))</f>
      </c>
      <c r="C79" s="14" t="str">
        <f>LEN(SUBSTITUTE(SUBSTITUTE(SUBSTITUTE(B80," ",""),"0",""),"-",""))+LEN(SUBSTITUTE(SUBSTITUTE(SUBSTITUTE(C80," ",""),"0",""),"-",""))+LEN(SUBSTITUTE(SUBSTITUTE(SUBSTITUTE(B81," ",""),"0",""),"-",""))+LEN(SUBSTITUTE(SUBSTITUTE(SUBSTITUTE(C81," ",""),"0",""),"-",""))+LEN(SUBSTITUTE(SUBSTITUTE(SUBSTITUTE(B82," ",""),"0",""),"-",""))+LEN(SUBSTITUTE(SUBSTITUTE(SUBSTITUTE(C82," ",""),"0",""),"-",""))+LEN(SUBSTITUTE(SUBSTITUTE(SUBSTITUTE(B83," ",""),"0",""),"-",""))+LEN(SUBSTITUTE(SUBSTITUTE(SUBSTITUTE(C83," ",""),"0",""),"-",""))+LEN(SUBSTITUTE(SUBSTITUTE(SUBSTITUTE(B84," ",""),"0",""),"-",""))+LEN(SUBSTITUTE(SUBSTITUTE(SUBSTITUTE(C84," ",""),"0",""),"-",""))</f>
      </c>
      <c r="D79" s="18"/>
      <c r="E79" s="14" t="str">
        <f>LEN(SUBSTITUTE(SUBSTITUTE(SUBSTITUTE(E80," ",""),"0",""),"-",""))+LEN(SUBSTITUTE(SUBSTITUTE(SUBSTITUTE(F80," ",""),"0",""),"-",""))+LEN(SUBSTITUTE(SUBSTITUTE(SUBSTITUTE(E81," ",""),"0",""),"-",""))+LEN(SUBSTITUTE(SUBSTITUTE(SUBSTITUTE(F81," ",""),"0",""),"-",""))+LEN(SUBSTITUTE(SUBSTITUTE(SUBSTITUTE(E82," ",""),"0",""),"-",""))+LEN(SUBSTITUTE(SUBSTITUTE(SUBSTITUTE(F82," ",""),"0",""),"-",""))+LEN(SUBSTITUTE(SUBSTITUTE(SUBSTITUTE(E83," ",""),"0",""),"-",""))+LEN(SUBSTITUTE(SUBSTITUTE(SUBSTITUTE(F83," ",""),"0",""),"-",""))+LEN(SUBSTITUTE(SUBSTITUTE(SUBSTITUTE(E84," ",""),"0",""),"-",""))+LEN(SUBSTITUTE(SUBSTITUTE(SUBSTITUTE(F84," ",""),"0",""),"-",""))</f>
      </c>
      <c r="F79" s="14" t="str">
        <f>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",""),"0",""),"-",""))),1,0))+IF(UPPER(D82)="X",0,IF((LEN(SUBSTITUTE(SUBSTITUTE(SUBSTITUTE(E82," ",""),"0",""),"-",""))+LEN(SUBSTITUTE(SUBSTITUTE(SUBSTITUTE(F82," ",""),"0",""),"-","")))&gt;(LEN(SUBSTITUTE(SUBSTITUTE(SUBSTITUTE(B82," ",""),"0",""),"-",""))+LEN(SUBSTITUTE(SUBSTITUTE(SUBSTITUTE(C82," ",""),"0",""),"-",""))),1,0))+IF(UPPER(D83)="X",0,IF((LEN(SUBSTITUTE(SUBSTITUTE(SUBSTITUTE(E83," ",""),"0",""),"-",""))+LEN(SUBSTITUTE(SUBSTITUTE(SUBSTITUTE(F83," ",""),"0",""),"-","")))&gt;(LEN(SUBSTITUTE(SUBSTITUTE(SUBSTITUTE(B83," ",""),"0",""),"-",""))+LEN(SUBSTITUTE(SUBSTITUTE(SUBSTITUTE(C83," ",""),"0",""),"-",""))),1,0))+IF(UPPER(D84)="X",0,IF((LEN(SUBSTITUTE(SUBSTITUTE(SUBSTITUTE(E84," ",""),"0",""),"-",""))+LEN(SUBSTITUTE(SUBSTITUTE(SUBSTITUTE(F84," ",""),"0",""),"-","")))&gt;(LEN(SUBSTITUTE(SUBSTITUTE(SUBSTITUTE(B84," ",""),"0",""),"-",""))+LEN(SUBSTITUTE(SUBSTITUTE(SUBSTITUTE(C84," ",""),"0",""),"-",""))),1,0))</f>
      </c>
      <c r="G79" s="14" t="str">
        <f>'data'!$B$7</f>
      </c>
    </row>
    <row r="80">
      <c r="A80" s="14">
        <v>1</v>
      </c>
      <c r="B80" s="18"/>
      <c r="C80" s="18"/>
      <c r="D80" s="18"/>
      <c r="E80" s="18"/>
      <c r="F80" s="18"/>
      <c r="G80" s="14">
        <v>1</v>
      </c>
    </row>
    <row r="81">
      <c r="A81" s="14">
        <v>2</v>
      </c>
      <c r="B81" s="18"/>
      <c r="C81" s="18"/>
      <c r="D81" s="18"/>
      <c r="E81" s="18"/>
      <c r="F81" s="18"/>
      <c r="G81" s="14">
        <v>2</v>
      </c>
    </row>
    <row r="82">
      <c r="A82" s="14">
        <v>3</v>
      </c>
      <c r="B82" s="18"/>
      <c r="C82" s="18"/>
      <c r="D82" s="18"/>
      <c r="E82" s="18"/>
      <c r="F82" s="18"/>
      <c r="G82" s="14">
        <v>3</v>
      </c>
    </row>
    <row r="83">
      <c r="A83" s="14">
        <v>4</v>
      </c>
      <c r="B83" s="18"/>
      <c r="C83" s="18"/>
      <c r="D83" s="18"/>
      <c r="E83" s="18"/>
      <c r="F83" s="18"/>
      <c r="G83" s="14">
        <v>4</v>
      </c>
    </row>
    <row r="84">
      <c r="A84" s="14">
        <v>5</v>
      </c>
      <c r="B84" s="18"/>
      <c r="C84" s="18"/>
      <c r="D84" s="18"/>
      <c r="E84" s="18"/>
      <c r="F84" s="18"/>
      <c r="G84" s="14">
        <v>5</v>
      </c>
    </row>
    <row r="86">
      <c r="A86" s="17" t="s">
        <v>35</v>
      </c>
      <c r="B86" s="14"/>
      <c r="C86" s="14"/>
      <c r="D86" s="14" t="s">
        <v>36</v>
      </c>
      <c r="E86" s="14"/>
      <c r="F86" s="14"/>
      <c r="G86" s="16" t="s">
        <v>37</v>
      </c>
    </row>
    <row r="87">
      <c r="A87" s="14" t="str">
        <f>'data'!$B$9</f>
      </c>
      <c r="B87" s="14" t="str">
        <f>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f>
      </c>
      <c r="C87" s="14" t="str">
        <f>LEN(SUBSTITUTE(SUBSTITUTE(SUBSTITUTE(B88," ",""),"0",""),"-",""))+LEN(SUBSTITUTE(SUBSTITUTE(SUBSTITUTE(C88," ",""),"0",""),"-",""))+LEN(SUBSTITUTE(SUBSTITUTE(SUBSTITUTE(B89," ",""),"0",""),"-",""))+LEN(SUBSTITUTE(SUBSTITUTE(SUBSTITUTE(C89," ",""),"0",""),"-",""))+LEN(SUBSTITUTE(SUBSTITUTE(SUBSTITUTE(B90," ",""),"0",""),"-",""))+LEN(SUBSTITUTE(SUBSTITUTE(SUBSTITUTE(C90," ",""),"0",""),"-",""))+LEN(SUBSTITUTE(SUBSTITUTE(SUBSTITUTE(B91," ",""),"0",""),"-",""))+LEN(SUBSTITUTE(SUBSTITUTE(SUBSTITUTE(C91," ",""),"0",""),"-",""))+LEN(SUBSTITUTE(SUBSTITUTE(SUBSTITUTE(B92," ",""),"0",""),"-",""))+LEN(SUBSTITUTE(SUBSTITUTE(SUBSTITUTE(C92," ",""),"0",""),"-",""))</f>
      </c>
      <c r="D87" s="18"/>
      <c r="E87" s="14" t="str">
        <f>LEN(SUBSTITUTE(SUBSTITUTE(SUBSTITUTE(E88," ",""),"0",""),"-",""))+LEN(SUBSTITUTE(SUBSTITUTE(SUBSTITUTE(F88," ",""),"0",""),"-",""))+LEN(SUBSTITUTE(SUBSTITUTE(SUBSTITUTE(E89," ",""),"0",""),"-",""))+LEN(SUBSTITUTE(SUBSTITUTE(SUBSTITUTE(F89," ",""),"0",""),"-",""))+LEN(SUBSTITUTE(SUBSTITUTE(SUBSTITUTE(E90," ",""),"0",""),"-",""))+LEN(SUBSTITUTE(SUBSTITUTE(SUBSTITUTE(F90," ",""),"0",""),"-",""))+LEN(SUBSTITUTE(SUBSTITUTE(SUBSTITUTE(E91," ",""),"0",""),"-",""))+LEN(SUBSTITUTE(SUBSTITUTE(SUBSTITUTE(F91," ",""),"0",""),"-",""))+LEN(SUBSTITUTE(SUBSTITUTE(SUBSTITUTE(E92," ",""),"0",""),"-",""))+LEN(SUBSTITUTE(SUBSTITUTE(SUBSTITUTE(F92," ",""),"0",""),"-",""))</f>
      </c>
      <c r="F87" s="14" t="str">
        <f>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f>
      </c>
      <c r="G87" s="14" t="str">
        <f>'data'!$B$8</f>
      </c>
    </row>
    <row r="88">
      <c r="A88" s="14">
        <v>1</v>
      </c>
      <c r="B88" s="18"/>
      <c r="C88" s="18"/>
      <c r="D88" s="18"/>
      <c r="E88" s="18"/>
      <c r="F88" s="18"/>
      <c r="G88" s="14">
        <v>1</v>
      </c>
    </row>
    <row r="89">
      <c r="A89" s="14">
        <v>2</v>
      </c>
      <c r="B89" s="18"/>
      <c r="C89" s="18"/>
      <c r="D89" s="18"/>
      <c r="E89" s="18"/>
      <c r="F89" s="18"/>
      <c r="G89" s="14">
        <v>2</v>
      </c>
    </row>
    <row r="90">
      <c r="A90" s="14">
        <v>3</v>
      </c>
      <c r="B90" s="18"/>
      <c r="C90" s="18"/>
      <c r="D90" s="18"/>
      <c r="E90" s="18"/>
      <c r="F90" s="18"/>
      <c r="G90" s="14">
        <v>3</v>
      </c>
    </row>
    <row r="91">
      <c r="A91" s="14">
        <v>4</v>
      </c>
      <c r="B91" s="18"/>
      <c r="C91" s="18"/>
      <c r="D91" s="18"/>
      <c r="E91" s="18"/>
      <c r="F91" s="18"/>
      <c r="G91" s="14">
        <v>4</v>
      </c>
    </row>
    <row r="92">
      <c r="A92" s="14">
        <v>5</v>
      </c>
      <c r="B92" s="18"/>
      <c r="C92" s="18"/>
      <c r="D92" s="18"/>
      <c r="E92" s="18"/>
      <c r="F92" s="18"/>
      <c r="G92" s="14">
        <v>5</v>
      </c>
    </row>
    <row r="95">
      <c r="A95" s="13" t="s">
        <v>38</v>
      </c>
      <c r="B95" s="13" t="s">
        <v>39</v>
      </c>
      <c r="C95" s="13" t="s">
        <v>40</v>
      </c>
      <c r="D95" s="13" t="s">
        <v>41</v>
      </c>
      <c r="E95" s="13"/>
      <c r="F95" s="13"/>
      <c r="G95" s="13" t="s">
        <v>42</v>
      </c>
    </row>
    <row r="96">
      <c r="A96" s="14" t="str">
        <f>'data'!$B$7</f>
      </c>
      <c r="B96" s="14" t="str">
        <f>IF(OR(COUNTA(B72:C76,E72:F76)&gt;0,D72="X",D72="x",D73="X",D73="x",D74="X",D74="x",D75="X",D75="x",D76="X",D76="x",OR(D71="X",D71="x")),IF(OR(OR(D71="X",D71="x"),AND(B71=F71,C71=E71)),0,IF(OR(F71&gt;B71,AND(F71=B71,E71&gt;C71)),1,0)),0)+IF(OR(COUNTA(B80:C84,E80:F84)&gt;0,D80="X",D80="x",D81="X",D81="x",D82="X",D82="x",D83="X",D83="x",D84="X",D84="x",OR(D79="X",D79="x")),IF(OR(OR(D79="X",D79="x"),AND(B79=F79,C79=E79)),0,IF(OR(F79&gt;B79,AND(F79=B79,E79&gt;C79)),1,0)),0)</f>
      </c>
      <c r="C96" s="14" t="str">
        <f>IF(OR(COUNTA(B72:C76,E72:F76)&gt;0,D72="X",D72="x",D73="X",D73="x",D74="X",D74="x",D75="X",D75="x",D76="X",D76="x",OR(D71="X",D71="x")),IF(OR(OR(D71="X",D71="x"),AND(B71=F71,C71=E71)),0,IF(OR(F71&lt;B71,AND(F71=B71,E71&lt;C71)),1,0)),0)+IF(OR(COUNTA(B80:C84,E80:F84)&gt;0,D80="X",D80="x",D81="X",D81="x",D82="X",D82="x",D83="X",D83="x",D84="X",D84="x",OR(D79="X",D79="x")),IF(OR(OR(D79="X",D79="x"),AND(B79=F79,C79=E79)),0,IF(OR(F79&lt;B79,AND(F79=B79,E79&lt;C79)),1,0)),0)</f>
      </c>
      <c r="D96" s="14" t="str">
        <f>IF(OR(COUNTA(B72:C76,E72:F76)&gt;0,D72="X",D72="x",D73="X",D73="x",D74="X",D74="x",D75="X",D75="x",D76="X",D76="x",OR(D71="X",D71="x")),IF(OR(OR(D71="X",D71="x"),AND(B71=F71,C71=E71)),1,0),0)+IF(OR(COUNTA(B80:C84,E80:F84)&gt;0,D80="X",D80="x",D81="X",D81="x",D82="X",D82="x",D83="X",D83="x",D84="X",D84="x",OR(D79="X",D79="x")),IF(OR(OR(D79="X",D79="x"),AND(B79=F79,C79=E79)),1,0),0)</f>
      </c>
      <c r="G96" s="18" t="str">
        <f>RANK(U96,$U$96:$U$98)+COUNTIF($U$95:U95,U96)</f>
      </c>
      <c r="U96" t="str">
        <f>(B96*1000000000)-(C96*10000000)+(D96*100000)+(B101*1000)-(C101*100)+(D101*10)+(E101*1)-(F101*0.01)</f>
      </c>
    </row>
    <row r="97">
      <c r="A97" s="14" t="str">
        <f>'data'!$B$8</f>
      </c>
      <c r="B97" s="14" t="str">
        <f>IF(OR(COUNTA(B72:C76,E72:F76)&gt;0,D72="X",D72="x",D73="X",D73="x",D74="X",D74="x",D75="X",D75="x",D76="X",D76="x",OR(D71="X",D71="x")),IF(OR(OR(D71="X",D71="x"),AND(B71=F71,C71=E71)),0,IF(OR(B71&gt;F71,AND(B71=F71,C71&gt;E71)),1,0)),0)+IF(OR(COUNTA(B88:C92,E88:F92)&gt;0,D88="X",D88="x",D89="X",D89="x",D90="X",D90="x",D91="X",D91="x",D92="X",D92="x",OR(D87="X",D87="x")),IF(OR(OR(D87="X",D87="x"),AND(B87=F87,C87=E87)),0,IF(OR(F87&gt;B87,AND(F87=B87,E87&gt;C87)),1,0)),0)</f>
      </c>
      <c r="C97" s="14" t="str">
        <f>IF(OR(COUNTA(B72:C76,E72:F76)&gt;0,D72="X",D72="x",D73="X",D73="x",D74="X",D74="x",D75="X",D75="x",D76="X",D76="x",OR(D71="X",D71="x")),IF(OR(OR(D71="X",D71="x"),AND(B71=F71,C71=E71)),0,IF(OR(B71&lt;F71,AND(B71=F71,C71&lt;E71)),1,0)),0)+IF(OR(COUNTA(B88:C92,E88:F92)&gt;0,D88="X",D88="x",D89="X",D89="x",D90="X",D90="x",D91="X",D91="x",D92="X",D92="x",OR(D87="X",D87="x")),IF(OR(OR(D87="X",D87="x"),AND(B87=F87,C87=E87)),0,IF(OR(F87&lt;B87,AND(F87=B87,E87&lt;C87)),1,0)),0)</f>
      </c>
      <c r="D97" s="14" t="str">
        <f>IF(OR(COUNTA(B72:C76,E72:F76)&gt;0,D72="X",D72="x",D73="X",D73="x",D74="X",D74="x",D75="X",D75="x",D76="X",D76="x",OR(D71="X",D71="x")),IF(OR(OR(D71="X",D71="x"),AND(B71=F71,C71=E71)),1,0),0)+IF(OR(COUNTA(B88:C92,E88:F92)&gt;0,D88="X",D88="x",D89="X",D89="x",D90="X",D90="x",D91="X",D91="x",D92="X",D92="x",OR(D87="X",D87="x")),IF(OR(OR(D87="X",D87="x"),AND(B87=F87,C87=E87)),1,0),0)</f>
      </c>
      <c r="G97" s="18" t="str">
        <f>RANK(U97,$U$96:$U$98)+COUNTIF($U$95:U96,U97)</f>
      </c>
      <c r="U97" t="str">
        <f>(B97*1000000000)-(C97*10000000)+(D97*100000)+(B102*1000)-(C102*100)+(D102*10)+(E102*1)-(F102*0.01)</f>
      </c>
    </row>
    <row r="98">
      <c r="A98" s="14" t="str">
        <f>'data'!$B$9</f>
      </c>
      <c r="B98" s="14" t="str">
        <f>IF(OR(COUNTA(B80:C84,E80:F84)&gt;0,D80="X",D80="x",D81="X",D81="x",D82="X",D82="x",D83="X",D83="x",D84="X",D84="x",OR(D79="X",D79="x")),IF(OR(OR(D79="X",D79="x"),AND(B79=F79,C79=E79)),0,IF(OR(B79&gt;F79,AND(B79=F79,C79&gt;E79)),1,0)),0)+IF(OR(COUNTA(B88:C92,E88:F92)&gt;0,D88="X",D88="x",D89="X",D89="x",D90="X",D90="x",D91="X",D91="x",D92="X",D92="x",OR(D87="X",D87="x")),IF(OR(OR(D87="X",D87="x"),AND(B87=F87,C87=E87)),0,IF(OR(B87&gt;F87,AND(B87=F87,C87&gt;E87)),1,0)),0)</f>
      </c>
      <c r="C98" s="14" t="str">
        <f>IF(OR(COUNTA(B80:C84,E80:F84)&gt;0,D80="X",D80="x",D81="X",D81="x",D82="X",D82="x",D83="X",D83="x",D84="X",D84="x",OR(D79="X",D79="x")),IF(OR(OR(D79="X",D79="x"),AND(B79=F79,C79=E79)),0,IF(OR(B79&lt;F79,AND(B79=F79,C79&lt;E79)),1,0)),0)+IF(OR(COUNTA(B88:C92,E88:F92)&gt;0,D88="X",D88="x",D89="X",D89="x",D90="X",D90="x",D91="X",D91="x",D92="X",D92="x",OR(D87="X",D87="x")),IF(OR(OR(D87="X",D87="x"),AND(B87=F87,C87=E87)),0,IF(OR(B87&lt;F87,AND(B87=F87,C87&lt;E87)),1,0)),0)</f>
      </c>
      <c r="D98" s="14" t="str">
        <f>IF(OR(COUNTA(B80:C84,E80:F84)&gt;0,D80="X",D80="x",D81="X",D81="x",D82="X",D82="x",D83="X",D83="x",D84="X",D84="x",OR(D79="X",D79="x")),IF(OR(OR(D79="X",D79="x"),AND(B79=F79,C79=E79)),1,0),0)+IF(OR(COUNTA(B88:C92,E88:F92)&gt;0,D88="X",D88="x",D89="X",D89="x",D90="X",D90="x",D91="X",D91="x",D92="X",D92="x",OR(D87="X",D87="x")),IF(OR(OR(D87="X",D87="x"),AND(B87=F87,C87=E87)),1,0),0)</f>
      </c>
      <c r="G98" s="18" t="str">
        <f>RANK(U98,$U$96:$U$98)+COUNTIF($U$95:U97,U98)</f>
      </c>
      <c r="U98" t="str">
        <f>(B98*1000000000)-(C98*10000000)+(D98*100000)+(B103*1000)-(C103*100)+(D103*10)+(E103*1)-(F103*0.01)</f>
      </c>
    </row>
    <row r="100">
      <c r="A100" s="13"/>
      <c r="B100" s="13" t="s">
        <v>43</v>
      </c>
      <c r="C100" s="13" t="s">
        <v>44</v>
      </c>
      <c r="D100" s="13" t="s">
        <v>45</v>
      </c>
      <c r="E100" s="13" t="s">
        <v>46</v>
      </c>
      <c r="F100" s="13" t="s">
        <v>47</v>
      </c>
    </row>
    <row r="101">
      <c r="A101" s="14" t="str">
        <f>'data'!$B$7</f>
      </c>
      <c r="B101" s="14" t="str">
        <f>IF(OR(COUNTA(B72:C76,E72:F76)&gt;0,OR(D71="X",D71="x"),UPPER(D72)="X",UPPER(D73)="X",UPPER(D74)="X",UPPER(D75)="X",UPPER(D76)="X"),F71,0)+IF(OR(COUNTA(B80:C84,E80:F84)&gt;0,OR(D79="X",D79="x"),UPPER(D80)="X",UPPER(D81)="X",UPPER(D82)="X",UPPER(D83)="X",UPPER(D84)="X"),F79,0)</f>
      </c>
      <c r="C101" s="14" t="str">
        <f>IF(OR(COUNTA(B72:C76,E72:F76)&gt;0,OR(D71="X",D71="x"),UPPER(D72)="X",UPPER(D73)="X",UPPER(D74)="X",UPPER(D75)="X",UPPER(D76)="X"),B71,0)+IF(OR(COUNTA(B80:C84,E80:F84)&gt;0,OR(D79="X",D79="x"),UPPER(D80)="X",UPPER(D81)="X",UPPER(D82)="X",UPPER(D83)="X",UPPER(D84)="X"),B79,0)</f>
      </c>
      <c r="D101"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f>
      </c>
      <c r="E101" s="14" t="str">
        <f>E71+E79</f>
      </c>
      <c r="F101" s="14" t="str">
        <f>C71+C79</f>
      </c>
    </row>
    <row r="102">
      <c r="A102" s="14" t="str">
        <f>'data'!$B$8</f>
      </c>
      <c r="B102" s="14" t="str">
        <f>IF(OR(COUNTA(B72:C76,E72:F76)&gt;0,OR(D71="X",D71="x"),UPPER(D72)="X",UPPER(D73)="X",UPPER(D74)="X",UPPER(D75)="X",UPPER(D76)="X"),B71,0)+IF(OR(COUNTA(B88:C92,E88:F92)&gt;0,OR(D87="X",D87="x"),UPPER(D88)="X",UPPER(D89)="X",UPPER(D90)="X",UPPER(D91)="X",UPPER(D92)="X"),F87,0)</f>
      </c>
      <c r="C102" s="14" t="str">
        <f>IF(OR(COUNTA(B72:C76,E72:F76)&gt;0,OR(D71="X",D71="x"),UPPER(D72)="X",UPPER(D73)="X",UPPER(D74)="X",UPPER(D75)="X",UPPER(D76)="X"),F71,0)+IF(OR(COUNTA(B88:C92,E88:F92)&gt;0,OR(D87="X",D87="x"),UPPER(D88)="X",UPPER(D89)="X",UPPER(D90)="X",UPPER(D91)="X",UPPER(D92)="X"),B87,0)</f>
      </c>
      <c r="D102"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2" s="14" t="str">
        <f>C71+E87</f>
      </c>
      <c r="F102" s="14" t="str">
        <f>E71+C87</f>
      </c>
    </row>
    <row r="103">
      <c r="A103" s="14" t="str">
        <f>'data'!$B$9</f>
      </c>
      <c r="B103" s="14" t="str">
        <f>IF(OR(COUNTA(B80:C84,E80:F84)&gt;0,OR(D79="X",D79="x"),UPPER(D80)="X",UPPER(D81)="X",UPPER(D82)="X",UPPER(D83)="X",UPPER(D84)="X"),B79,0)+IF(OR(COUNTA(B88:C92,E88:F92)&gt;0,OR(D87="X",D87="x"),UPPER(D88)="X",UPPER(D89)="X",UPPER(D90)="X",UPPER(D91)="X",UPPER(D92)="X"),B87,0)</f>
      </c>
      <c r="C103" s="14" t="str">
        <f>IF(OR(COUNTA(B80:C84,E80:F84)&gt;0,OR(D79="X",D79="x"),UPPER(D80)="X",UPPER(D81)="X",UPPER(D82)="X",UPPER(D83)="X",UPPER(D84)="X"),F79,0)+IF(OR(COUNTA(B88:C92,E88:F92)&gt;0,OR(D87="X",D87="x"),UPPER(D88)="X",UPPER(D89)="X",UPPER(D90)="X",UPPER(D91)="X",UPPER(D92)="X"),F87,0)</f>
      </c>
      <c r="D103" s="14" t="str">
        <f>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3" s="14" t="str">
        <f>C79+C87</f>
      </c>
      <c r="F103" s="14" t="str">
        <f>E79+E87</f>
      </c>
    </row>
    <row r="106">
      <c r="F106" s="13"/>
      <c r="G106" s="13" t="s">
        <v>48</v>
      </c>
    </row>
    <row r="107">
      <c r="F107" t="s">
        <v>49</v>
      </c>
      <c r="G107" s="19" t="str">
        <f>IFERROR(INDEX($A$96:$A$103, MATCH(1, $G$96:$G$103, 0)), "-")</f>
      </c>
    </row>
    <row r="108">
      <c r="F108" t="s">
        <v>50</v>
      </c>
      <c r="G108" s="19" t="str">
        <f>IFERROR(INDEX($A$96:$A$103, MATCH(2, $G$96:$G$103, 0)), "-")</f>
      </c>
    </row>
    <row r="109">
      <c r="F109" t="s">
        <v>51</v>
      </c>
      <c r="G109" s="19" t="str">
        <f>IFERROR(INDEX($A$96:$A$103, MATCH(3, $G$96:$G$103,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I1:O1"/>
    <mergeCell ref="A2:G2"/>
    <mergeCell ref="I2:O2"/>
    <mergeCell ref="A69:G69"/>
  </mergeCells>
  <printOptions horizontalCentered="true" verticalCentered="true"/>
  <pageSetup fitToHeight="0" fitToWidth="2" orientation="portrait" pageOrder="downThenOver" paperSize="9"/>
  <rowBreaks count="3" manualBreakCount="3">
    <brk id="1" max="16383" man="true"/>
    <brk id="44" max="16383" man="true"/>
    <brk id="6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33</v>
      </c>
      <c r="B1" s="13"/>
      <c r="C1" s="13"/>
      <c r="D1" s="13"/>
      <c r="E1" s="13"/>
      <c r="F1" s="13"/>
      <c r="G1" s="13"/>
      <c r="I1" s="13" t="s">
        <v>34</v>
      </c>
      <c r="J1" s="13"/>
      <c r="K1" s="13"/>
      <c r="L1" s="13"/>
      <c r="M1" s="13"/>
      <c r="N1" s="13"/>
      <c r="O1" s="13"/>
    </row>
    <row r="2">
      <c r="A2" s="13" t="s">
        <v>63</v>
      </c>
      <c r="B2" s="13"/>
      <c r="C2" s="13"/>
      <c r="D2" s="13"/>
      <c r="E2" s="13"/>
      <c r="F2" s="13"/>
      <c r="G2" s="13"/>
      <c r="I2" s="13" t="s">
        <v>65</v>
      </c>
      <c r="J2" s="13"/>
      <c r="K2" s="13"/>
      <c r="L2" s="13"/>
      <c r="M2" s="13"/>
      <c r="N2" s="13"/>
      <c r="O2" s="13"/>
    </row>
    <row r="3">
      <c r="A3" s="17" t="s">
        <v>35</v>
      </c>
      <c r="D3" s="14" t="s">
        <v>36</v>
      </c>
      <c r="G3" s="16" t="s">
        <v>37</v>
      </c>
      <c r="I3" s="17" t="s">
        <v>35</v>
      </c>
      <c r="L3" s="14" t="s">
        <v>36</v>
      </c>
      <c r="O3" s="16" t="s">
        <v>37</v>
      </c>
    </row>
    <row r="4">
      <c r="A4" s="14" t="str">
        <f>CONCATENATE("Pool B-2nd ",'Pool Matches'!G108)</f>
      </c>
      <c r="B4" s="14"/>
      <c r="C4" s="14"/>
      <c r="D4" s="18"/>
      <c r="E4" s="14"/>
      <c r="F4" s="14"/>
      <c r="G4" s="14" t="str">
        <f>CONCATENATE("Pool C-1st ",'Pool Matches'!O64)</f>
      </c>
      <c r="I4" s="14" t="str">
        <f>CONCATENATE("Pool C-2nd ",'Pool Matches'!O65)</f>
      </c>
      <c r="J4" s="14"/>
      <c r="K4" s="14"/>
      <c r="L4" s="18"/>
      <c r="M4" s="14"/>
      <c r="N4" s="14"/>
      <c r="O4" s="14" t="str">
        <f>CONCATENATE("Pool A-2nd ",'Pool Matches'!G67)</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Matches'!G108)</f>
      </c>
      <c r="B11" s="14" t="s">
        <v>43</v>
      </c>
      <c r="C11" s="14" t="s">
        <v>46</v>
      </c>
      <c r="D11" s="14"/>
      <c r="E11" s="14" t="s">
        <v>46</v>
      </c>
      <c r="F11" s="14" t="s">
        <v>43</v>
      </c>
      <c r="G11" s="14" t="str">
        <f>CONCATENATE("Pool C-1st ",'Pool Matches'!O64)</f>
      </c>
      <c r="I11" s="14" t="str">
        <f>CONCATENATE("Pool C-2nd ",'Pool Matches'!O65)</f>
      </c>
      <c r="J11" s="14" t="s">
        <v>43</v>
      </c>
      <c r="K11" s="14" t="s">
        <v>46</v>
      </c>
      <c r="L11" s="14"/>
      <c r="M11" s="14" t="s">
        <v>46</v>
      </c>
      <c r="N11" s="14" t="s">
        <v>43</v>
      </c>
      <c r="O11" s="14" t="str">
        <f>CONCATENATE("Pool A-2nd ",'Pool Matches'!G67)</f>
      </c>
    </row>
    <row r="12">
      <c r="A12" s="14" t="s">
        <v>64</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64</v>
      </c>
      <c r="I12" s="14" t="s">
        <v>64</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64</v>
      </c>
    </row>
    <row r="15">
      <c r="F15" t="s">
        <v>49</v>
      </c>
      <c r="G15" s="19"/>
      <c r="N15" t="s">
        <v>49</v>
      </c>
      <c r="O15" s="19"/>
    </row>
    <row r="16">
      <c r="F16" t="s">
        <v>50</v>
      </c>
      <c r="G16" s="19"/>
      <c r="N16" t="s">
        <v>50</v>
      </c>
      <c r="O16" s="19"/>
    </row>
    <row r="23">
      <c r="A23" s="13" t="s">
        <v>66</v>
      </c>
      <c r="B23" s="13"/>
      <c r="C23" s="13"/>
      <c r="D23" s="13"/>
      <c r="E23" s="13"/>
      <c r="F23" s="13"/>
      <c r="G23" s="13"/>
      <c r="I23" s="13" t="s">
        <v>67</v>
      </c>
      <c r="J23" s="13"/>
      <c r="K23" s="13"/>
      <c r="L23" s="13"/>
      <c r="M23" s="13"/>
      <c r="N23" s="13"/>
      <c r="O23" s="13"/>
    </row>
    <row r="24">
      <c r="A24" s="17" t="s">
        <v>35</v>
      </c>
      <c r="D24" s="14" t="s">
        <v>36</v>
      </c>
      <c r="G24" s="16" t="s">
        <v>37</v>
      </c>
      <c r="I24" s="17" t="s">
        <v>35</v>
      </c>
      <c r="L24" s="14" t="s">
        <v>36</v>
      </c>
      <c r="O24" s="16" t="s">
        <v>37</v>
      </c>
    </row>
    <row r="25">
      <c r="A25" s="14" t="str">
        <f>CONCATENATE("M 1 ",G15)</f>
      </c>
      <c r="B25" s="14"/>
      <c r="C25" s="14"/>
      <c r="D25" s="18"/>
      <c r="E25" s="14"/>
      <c r="F25" s="14"/>
      <c r="G25" s="14" t="str">
        <f>CONCATENATE("Pool A-1st ",'Pool Matches'!G66)</f>
      </c>
      <c r="I25" s="14" t="str">
        <f>CONCATENATE("M 2 ",O15)</f>
      </c>
      <c r="J25" s="14"/>
      <c r="K25" s="14"/>
      <c r="L25" s="18"/>
      <c r="M25" s="14"/>
      <c r="N25" s="14"/>
      <c r="O25" s="14" t="str">
        <f>CONCATENATE("Pool B-1st ",'Pool Matches'!G107)</f>
      </c>
    </row>
    <row r="26">
      <c r="A26" s="14">
        <v>1</v>
      </c>
      <c r="B26" s="18"/>
      <c r="C26" s="18"/>
      <c r="D26" s="18"/>
      <c r="E26" s="18"/>
      <c r="F26" s="18"/>
      <c r="G26" s="14">
        <v>1</v>
      </c>
      <c r="I26" s="14">
        <v>1</v>
      </c>
      <c r="J26" s="18"/>
      <c r="K26" s="18"/>
      <c r="L26" s="18"/>
      <c r="M26" s="18"/>
      <c r="N26" s="18"/>
      <c r="O26" s="14">
        <v>1</v>
      </c>
    </row>
    <row r="27">
      <c r="A27" s="14">
        <v>2</v>
      </c>
      <c r="B27" s="18"/>
      <c r="C27" s="18"/>
      <c r="D27" s="18"/>
      <c r="E27" s="18"/>
      <c r="F27" s="18"/>
      <c r="G27" s="14">
        <v>2</v>
      </c>
      <c r="I27" s="14">
        <v>2</v>
      </c>
      <c r="J27" s="18"/>
      <c r="K27" s="18"/>
      <c r="L27" s="18"/>
      <c r="M27" s="18"/>
      <c r="N27" s="18"/>
      <c r="O27" s="14">
        <v>2</v>
      </c>
    </row>
    <row r="28">
      <c r="A28" s="14">
        <v>3</v>
      </c>
      <c r="B28" s="18"/>
      <c r="C28" s="18"/>
      <c r="D28" s="18"/>
      <c r="E28" s="18"/>
      <c r="F28" s="18"/>
      <c r="G28" s="14">
        <v>3</v>
      </c>
      <c r="I28" s="14">
        <v>3</v>
      </c>
      <c r="J28" s="18"/>
      <c r="K28" s="18"/>
      <c r="L28" s="18"/>
      <c r="M28" s="18"/>
      <c r="N28" s="18"/>
      <c r="O28" s="14">
        <v>3</v>
      </c>
    </row>
    <row r="29">
      <c r="A29" s="14">
        <v>4</v>
      </c>
      <c r="B29" s="18"/>
      <c r="C29" s="18"/>
      <c r="D29" s="18"/>
      <c r="E29" s="18"/>
      <c r="F29" s="18"/>
      <c r="G29" s="14">
        <v>4</v>
      </c>
      <c r="I29" s="14">
        <v>4</v>
      </c>
      <c r="J29" s="18"/>
      <c r="K29" s="18"/>
      <c r="L29" s="18"/>
      <c r="M29" s="18"/>
      <c r="N29" s="18"/>
      <c r="O29" s="14">
        <v>4</v>
      </c>
    </row>
    <row r="30">
      <c r="A30" s="14">
        <v>5</v>
      </c>
      <c r="B30" s="18"/>
      <c r="C30" s="18"/>
      <c r="D30" s="18"/>
      <c r="E30" s="18"/>
      <c r="F30" s="18"/>
      <c r="G30" s="14">
        <v>5</v>
      </c>
      <c r="I30" s="14">
        <v>5</v>
      </c>
      <c r="J30" s="18"/>
      <c r="K30" s="18"/>
      <c r="L30" s="18"/>
      <c r="M30" s="18"/>
      <c r="N30" s="18"/>
      <c r="O30" s="14">
        <v>5</v>
      </c>
    </row>
    <row r="32">
      <c r="A32" s="14" t="str">
        <f>CONCATENATE("M 1 ",G15)</f>
      </c>
      <c r="B32" s="14" t="s">
        <v>43</v>
      </c>
      <c r="C32" s="14" t="s">
        <v>46</v>
      </c>
      <c r="D32" s="14"/>
      <c r="E32" s="14" t="s">
        <v>46</v>
      </c>
      <c r="F32" s="14" t="s">
        <v>43</v>
      </c>
      <c r="G32" s="14" t="str">
        <f>CONCATENATE("Pool A-1st ",'Pool Matches'!G66)</f>
      </c>
      <c r="I32" s="14" t="str">
        <f>CONCATENATE("M 2 ",O15)</f>
      </c>
      <c r="J32" s="14" t="s">
        <v>43</v>
      </c>
      <c r="K32" s="14" t="s">
        <v>46</v>
      </c>
      <c r="L32" s="14"/>
      <c r="M32" s="14" t="s">
        <v>46</v>
      </c>
      <c r="N32" s="14" t="s">
        <v>43</v>
      </c>
      <c r="O32" s="14" t="str">
        <f>CONCATENATE("Pool B-1st ",'Pool Matches'!G107)</f>
      </c>
    </row>
    <row r="33">
      <c r="A33" s="14" t="s">
        <v>64</v>
      </c>
      <c r="B33" s="14" t="str">
        <f>IF(UPPER(D26)="X",0,IF((LEN(SUBSTITUTE(SUBSTITUTE(SUBSTITUTE(B26," ",""),"0",""),"-",""))+LEN(SUBSTITUTE(SUBSTITUTE(SUBSTITUTE(C26," ",""),"0",""),"-","")))&gt;(LEN(SUBSTITUTE(SUBSTITUTE(SUBSTITUTE(E26," ",""),"0",""),"-",""))+LEN(SUBSTITUTE(SUBSTITUTE(SUBSTITUTE(F26," ",""),"0",""),"-",""))),1,0))+IF(UPPER(D27)="X",0,IF((LEN(SUBSTITUTE(SUBSTITUTE(SUBSTITUTE(B27," ",""),"0",""),"-",""))+LEN(SUBSTITUTE(SUBSTITUTE(SUBSTITUTE(C27," ",""),"0",""),"-","")))&gt;(LEN(SUBSTITUTE(SUBSTITUTE(SUBSTITUTE(E27," ",""),"0",""),"-",""))+LEN(SUBSTITUTE(SUBSTITUTE(SUBSTITUTE(F27," ",""),"0",""),"-",""))),1,0))+IF(UPPER(D28)="X",0,IF((LEN(SUBSTITUTE(SUBSTITUTE(SUBSTITUTE(B28," ",""),"0",""),"-",""))+LEN(SUBSTITUTE(SUBSTITUTE(SUBSTITUTE(C28," ",""),"0",""),"-","")))&gt;(LEN(SUBSTITUTE(SUBSTITUTE(SUBSTITUTE(E28," ",""),"0",""),"-",""))+LEN(SUBSTITUTE(SUBSTITUTE(SUBSTITUTE(F28," ",""),"0",""),"-",""))),1,0))+IF(UPPER(D29)="X",0,IF((LEN(SUBSTITUTE(SUBSTITUTE(SUBSTITUTE(B29,"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f>
      </c>
      <c r="C33" s="14" t="str">
        <f>LEN(SUBSTITUTE(SUBSTITUTE(SUBSTITUTE(B26," ",""),"0",""),"-",""))+LEN(SUBSTITUTE(SUBSTITUTE(SUBSTITUTE(C26," ",""),"0",""),"-",""))+LEN(SUBSTITUTE(SUBSTITUTE(SUBSTITUTE(B27," ",""),"0",""),"-",""))+LEN(SUBSTITUTE(SUBSTITUTE(SUBSTITUTE(C27," ",""),"0",""),"-",""))+LEN(SUBSTITUTE(SUBSTITUTE(SUBSTITUTE(B28," ",""),"0",""),"-",""))+LEN(SUBSTITUTE(SUBSTITUTE(SUBSTITUTE(C28," ",""),"0",""),"-",""))+LEN(SUBSTITUTE(SUBSTITUTE(SUBSTITUTE(B29," ",""),"0",""),"-",""))+LEN(SUBSTITUTE(SUBSTITUTE(SUBSTITUTE(C29," ",""),"0",""),"-",""))+LEN(SUBSTITUTE(SUBSTITUTE(SUBSTITUTE(B30," ",""),"0",""),"-",""))+LEN(SUBSTITUTE(SUBSTITUTE(SUBSTITUTE(C30," ",""),"0",""),"-",""))</f>
      </c>
      <c r="D33" s="14"/>
      <c r="E33" s="14" t="str">
        <f>LEN(SUBSTITUTE(SUBSTITUTE(SUBSTITUTE(E26," ",""),"0",""),"-",""))+LEN(SUBSTITUTE(SUBSTITUTE(SUBSTITUTE(F26," ",""),"0",""),"-",""))+LEN(SUBSTITUTE(SUBSTITUTE(SUBSTITUTE(E27," ",""),"0",""),"-",""))+LEN(SUBSTITUTE(SUBSTITUTE(SUBSTITUTE(F27," ",""),"0",""),"-",""))+LEN(SUBSTITUTE(SUBSTITUTE(SUBSTITUTE(E28," ",""),"0",""),"-",""))+LEN(SUBSTITUTE(SUBSTITUTE(SUBSTITUTE(F28," ",""),"0",""),"-",""))+LEN(SUBSTITUTE(SUBSTITUTE(SUBSTITUTE(E29," ",""),"0",""),"-",""))+LEN(SUBSTITUTE(SUBSTITUTE(SUBSTITUTE(F29," ",""),"0",""),"-",""))+LEN(SUBSTITUTE(SUBSTITUTE(SUBSTITUTE(E30," ",""),"0",""),"-",""))+LEN(SUBSTITUTE(SUBSTITUTE(SUBSTITUTE(F30," ",""),"0",""),"-",""))</f>
      </c>
      <c r="F33" s="14" t="str">
        <f>IF(UPPER(D26)="X",0,IF((LEN(SUBSTITUTE(SUBSTITUTE(SUBSTITUTE(E26," ",""),"0",""),"-",""))+LEN(SUBSTITUTE(SUBSTITUTE(SUBSTITUTE(F26," ",""),"0",""),"-","")))&gt;(LEN(SUBSTITUTE(SUBSTITUTE(SUBSTITUTE(B26," ",""),"0",""),"-",""))+LEN(SUBSTITUTE(SUBSTITUTE(SUBSTITUTE(C26," ",""),"0",""),"-",""))),1,0))+IF(UPPER(D27)="X",0,IF((LEN(SUBSTITUTE(SUBSTITUTE(SUBSTITUTE(E27," ",""),"0",""),"-",""))+LEN(SUBSTITUTE(SUBSTITUTE(SUBSTITUTE(F27," ",""),"0",""),"-","")))&gt;(LEN(SUBSTITUTE(SUBSTITUTE(SUBSTITUTE(B27," ",""),"0",""),"-",""))+LEN(SUBSTITUTE(SUBSTITUTE(SUBSTITUTE(C27," ",""),"0",""),"-",""))),1,0))+IF(UPPER(D28)="X",0,IF((LEN(SUBSTITUTE(SUBSTITUTE(SUBSTITUTE(E28," ",""),"0",""),"-",""))+LEN(SUBSTITUTE(SUBSTITUTE(SUBSTITUTE(F28," ",""),"0",""),"-","")))&gt;(LEN(SUBSTITUTE(SUBSTITUTE(SUBSTITUTE(B28," ",""),"0",""),"-",""))+LEN(SUBSTITUTE(SUBSTITUTE(SUBSTITUTE(C28," ",""),"0",""),"-",""))),1,0))+IF(UPPER(D29)="X",0,IF((LEN(SUBSTITUTE(SUBSTITUTE(SUBSTITUTE(E29,"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f>
      </c>
      <c r="G33" s="14" t="s">
        <v>64</v>
      </c>
      <c r="I33" s="14" t="s">
        <v>64</v>
      </c>
      <c r="J33" s="14" t="str">
        <f>IF(UPPER(L26)="X",0,IF((LEN(SUBSTITUTE(SUBSTITUTE(SUBSTITUTE(J26," ",""),"0",""),"-",""))+LEN(SUBSTITUTE(SUBSTITUTE(SUBSTITUTE(K26," ",""),"0",""),"-","")))&gt;(LEN(SUBSTITUTE(SUBSTITUTE(SUBSTITUTE(M26," ",""),"0",""),"-",""))+LEN(SUBSTITUTE(SUBSTITUTE(SUBSTITUTE(N26," ",""),"0",""),"-",""))),1,0))+IF(UPPER(L27)="X",0,IF((LEN(SUBSTITUTE(SUBSTITUTE(SUBSTITUTE(J27," ",""),"0",""),"-",""))+LEN(SUBSTITUTE(SUBSTITUTE(SUBSTITUTE(K27," ",""),"0",""),"-","")))&gt;(LEN(SUBSTITUTE(SUBSTITUTE(SUBSTITUTE(M27," ",""),"0",""),"-",""))+LEN(SUBSTITUTE(SUBSTITUTE(SUBSTITUTE(N27," ",""),"0",""),"-",""))),1,0))+IF(UPPER(L28)="X",0,IF((LEN(SUBSTITUTE(SUBSTITUTE(SUBSTITUTE(J28," ",""),"0",""),"-",""))+LEN(SUBSTITUTE(SUBSTITUTE(SUBSTITUTE(K28," ",""),"0",""),"-","")))&gt;(LEN(SUBSTITUTE(SUBSTITUTE(SUBSTITUTE(M28," ",""),"0",""),"-",""))+LEN(SUBSTITUTE(SUBSTITUTE(SUBSTITUTE(N28," ",""),"0",""),"-",""))),1,0))+IF(UPPER(L29)="X",0,IF((LEN(SUBSTITUTE(SUBSTITUTE(SUBSTITUTE(J29," ",""),"0",""),"-",""))+LEN(SUBSTITUTE(SUBSTITUTE(SUBSTITUTE(K29," ",""),"0",""),"-","")))&gt;(LEN(SUBSTITUTE(SUBSTITUTE(SUBSTITUTE(M29," ",""),"0",""),"-",""))+LEN(SUBSTITUTE(SUBSTITUTE(SUBSTITUTE(N29," ",""),"0",""),"-",""))),1,0))+IF(UPPER(L30)="X",0,IF((LEN(SUBSTITUTE(SUBSTITUTE(SUBSTITUTE(J30," ",""),"0",""),"-",""))+LEN(SUBSTITUTE(SUBSTITUTE(SUBSTITUTE(K30," ",""),"0",""),"-","")))&gt;(LEN(SUBSTITUTE(SUBSTITUTE(SUBSTITUTE(M30," ",""),"0",""),"-",""))+LEN(SUBSTITUTE(SUBSTITUTE(SUBSTITUTE(N30," ",""),"0",""),"-",""))),1,0))</f>
      </c>
      <c r="K33" s="14" t="str">
        <f>LEN(SUBSTITUTE(SUBSTITUTE(SUBSTITUTE(J26," ",""),"0",""),"-",""))+LEN(SUBSTITUTE(SUBSTITUTE(SUBSTITUTE(K26," ",""),"0",""),"-",""))+LEN(SUBSTITUTE(SUBSTITUTE(SUBSTITUTE(J27," ",""),"0",""),"-",""))+LEN(SUBSTITUTE(SUBSTITUTE(SUBSTITUTE(K27," ",""),"0",""),"-",""))+LEN(SUBSTITUTE(SUBSTITUTE(SUBSTITUTE(J28," ",""),"0",""),"-",""))+LEN(SUBSTITUTE(SUBSTITUTE(SUBSTITUTE(K28," ",""),"0",""),"-",""))+LEN(SUBSTITUTE(SUBSTITUTE(SUBSTITUTE(J29," ",""),"0",""),"-",""))+LEN(SUBSTITUTE(SUBSTITUTE(SUBSTITUTE(K29," ",""),"0",""),"-",""))+LEN(SUBSTITUTE(SUBSTITUTE(SUBSTITUTE(J30," ",""),"0",""),"-",""))+LEN(SUBSTITUTE(SUBSTITUTE(SUBSTITUTE(K30," ",""),"0",""),"-",""))</f>
      </c>
      <c r="L33" s="14"/>
      <c r="M33" s="14" t="str">
        <f>LEN(SUBSTITUTE(SUBSTITUTE(SUBSTITUTE(M26," ",""),"0",""),"-",""))+LEN(SUBSTITUTE(SUBSTITUTE(SUBSTITUTE(N26," ",""),"0",""),"-",""))+LEN(SUBSTITUTE(SUBSTITUTE(SUBSTITUTE(M27," ",""),"0",""),"-",""))+LEN(SUBSTITUTE(SUBSTITUTE(SUBSTITUTE(N27," ",""),"0",""),"-",""))+LEN(SUBSTITUTE(SUBSTITUTE(SUBSTITUTE(M28," ",""),"0",""),"-",""))+LEN(SUBSTITUTE(SUBSTITUTE(SUBSTITUTE(N28," ",""),"0",""),"-",""))+LEN(SUBSTITUTE(SUBSTITUTE(SUBSTITUTE(M29," ",""),"0",""),"-",""))+LEN(SUBSTITUTE(SUBSTITUTE(SUBSTITUTE(N29," ",""),"0",""),"-",""))+LEN(SUBSTITUTE(SUBSTITUTE(SUBSTITUTE(M30," ",""),"0",""),"-",""))+LEN(SUBSTITUTE(SUBSTITUTE(SUBSTITUTE(N30," ",""),"0",""),"-",""))</f>
      </c>
      <c r="N33" s="14" t="str">
        <f>IF(UPPER(L26)="X",0,IF((LEN(SUBSTITUTE(SUBSTITUTE(SUBSTITUTE(M26," ",""),"0",""),"-",""))+LEN(SUBSTITUTE(SUBSTITUTE(SUBSTITUTE(N26," ",""),"0",""),"-","")))&gt;(LEN(SUBSTITUTE(SUBSTITUTE(SUBSTITUTE(J26," ",""),"0",""),"-",""))+LEN(SUBSTITUTE(SUBSTITUTE(SUBSTITUTE(K26," ",""),"0",""),"-",""))),1,0))+IF(UPPER(L27)="X",0,IF((LEN(SUBSTITUTE(SUBSTITUTE(SUBSTITUTE(M27," ",""),"0",""),"-",""))+LEN(SUBSTITUTE(SUBSTITUTE(SUBSTITUTE(N27," ",""),"0",""),"-","")))&gt;(LEN(SUBSTITUTE(SUBSTITUTE(SUBSTITUTE(J27," ",""),"0",""),"-",""))+LEN(SUBSTITUTE(SUBSTITUTE(SUBSTITUTE(K27," ",""),"0",""),"-",""))),1,0))+IF(UPPER(L28)="X",0,IF((LEN(SUBSTITUTE(SUBSTITUTE(SUBSTITUTE(M28," ",""),"0",""),"-",""))+LEN(SUBSTITUTE(SUBSTITUTE(SUBSTITUTE(N28," ",""),"0",""),"-","")))&gt;(LEN(SUBSTITUTE(SUBSTITUTE(SUBSTITUTE(J28," ",""),"0",""),"-",""))+LEN(SUBSTITUTE(SUBSTITUTE(SUBSTITUTE(K28," ",""),"0",""),"-",""))),1,0))+IF(UPPER(L29)="X",0,IF((LEN(SUBSTITUTE(SUBSTITUTE(SUBSTITUTE(M29," ",""),"0",""),"-",""))+LEN(SUBSTITUTE(SUBSTITUTE(SUBSTITUTE(N29," ",""),"0",""),"-","")))&gt;(LEN(SUBSTITUTE(SUBSTITUTE(SUBSTITUTE(J29," ",""),"0",""),"-",""))+LEN(SUBSTITUTE(SUBSTITUTE(SUBSTITUTE(K29," ",""),"0",""),"-",""))),1,0))+IF(UPPER(L30)="X",0,IF((LEN(SUBSTITUTE(SUBSTITUTE(SUBSTITUTE(M30," ",""),"0",""),"-",""))+LEN(SUBSTITUTE(SUBSTITUTE(SUBSTITUTE(N30," ",""),"0",""),"-","")))&gt;(LEN(SUBSTITUTE(SUBSTITUTE(SUBSTITUTE(J30," ",""),"0",""),"-",""))+LEN(SUBSTITUTE(SUBSTITUTE(SUBSTITUTE(K30," ",""),"0",""),"-",""))),1,0))</f>
      </c>
      <c r="O33" s="14" t="s">
        <v>64</v>
      </c>
    </row>
    <row r="36">
      <c r="F36" t="s">
        <v>49</v>
      </c>
      <c r="G36" s="19"/>
      <c r="N36" t="s">
        <v>49</v>
      </c>
      <c r="O36" s="19"/>
    </row>
    <row r="37">
      <c r="F37" t="s">
        <v>50</v>
      </c>
      <c r="G37" s="19"/>
      <c r="N37" t="s">
        <v>50</v>
      </c>
      <c r="O37" s="19"/>
    </row>
    <row r="44">
      <c r="A44" s="13" t="s">
        <v>68</v>
      </c>
      <c r="B44" s="13"/>
      <c r="C44" s="13"/>
      <c r="D44" s="13"/>
      <c r="E44" s="13"/>
      <c r="F44" s="13"/>
      <c r="G44" s="13"/>
    </row>
    <row r="45">
      <c r="A45" s="17" t="s">
        <v>35</v>
      </c>
      <c r="D45" s="14" t="s">
        <v>36</v>
      </c>
      <c r="G45" s="16" t="s">
        <v>37</v>
      </c>
    </row>
    <row r="46">
      <c r="A46" s="14" t="str">
        <f>CONCATENATE("M 4 ",O36)</f>
      </c>
      <c r="B46" s="14"/>
      <c r="C46" s="14"/>
      <c r="D46" s="18"/>
      <c r="E46" s="14"/>
      <c r="F46" s="14"/>
      <c r="G46" s="14" t="str">
        <f>CONCATENATE("M 3 ",G36)</f>
      </c>
    </row>
    <row r="47">
      <c r="A47" s="14">
        <v>1</v>
      </c>
      <c r="B47" s="18"/>
      <c r="C47" s="18"/>
      <c r="D47" s="18"/>
      <c r="E47" s="18"/>
      <c r="F47" s="18"/>
      <c r="G47" s="14">
        <v>1</v>
      </c>
    </row>
    <row r="48">
      <c r="A48" s="14">
        <v>2</v>
      </c>
      <c r="B48" s="18"/>
      <c r="C48" s="18"/>
      <c r="D48" s="18"/>
      <c r="E48" s="18"/>
      <c r="F48" s="18"/>
      <c r="G48" s="14">
        <v>2</v>
      </c>
    </row>
    <row r="49">
      <c r="A49" s="14">
        <v>3</v>
      </c>
      <c r="B49" s="18"/>
      <c r="C49" s="18"/>
      <c r="D49" s="18"/>
      <c r="E49" s="18"/>
      <c r="F49" s="18"/>
      <c r="G49" s="14">
        <v>3</v>
      </c>
    </row>
    <row r="50">
      <c r="A50" s="14">
        <v>4</v>
      </c>
      <c r="B50" s="18"/>
      <c r="C50" s="18"/>
      <c r="D50" s="18"/>
      <c r="E50" s="18"/>
      <c r="F50" s="18"/>
      <c r="G50" s="14">
        <v>4</v>
      </c>
    </row>
    <row r="51">
      <c r="A51" s="14">
        <v>5</v>
      </c>
      <c r="B51" s="18"/>
      <c r="C51" s="18"/>
      <c r="D51" s="18"/>
      <c r="E51" s="18"/>
      <c r="F51" s="18"/>
      <c r="G51" s="14">
        <v>5</v>
      </c>
    </row>
    <row r="53">
      <c r="A53" s="14" t="str">
        <f>CONCATENATE("M 4 ",O36)</f>
      </c>
      <c r="B53" s="14" t="s">
        <v>43</v>
      </c>
      <c r="C53" s="14" t="s">
        <v>46</v>
      </c>
      <c r="D53" s="14"/>
      <c r="E53" s="14" t="s">
        <v>46</v>
      </c>
      <c r="F53" s="14" t="s">
        <v>43</v>
      </c>
      <c r="G53" s="14" t="str">
        <f>CONCATENATE("M 3 ",G36)</f>
      </c>
    </row>
    <row r="54">
      <c r="A54" s="14" t="s">
        <v>64</v>
      </c>
      <c r="B54" s="14" t="str">
        <f>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f>
      </c>
      <c r="C54" s="14" t="str">
        <f>LEN(SUBSTITUTE(SUBSTITUTE(SUBSTITUTE(B47," ",""),"0",""),"-",""))+LEN(SUBSTITUTE(SUBSTITUTE(SUBSTITUTE(C47," ",""),"0",""),"-",""))+LEN(SUBSTITUTE(SUBSTITUTE(SUBSTITUTE(B48,"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f>
      </c>
      <c r="D54" s="14"/>
      <c r="E54" s="14" t="str">
        <f>LEN(SUBSTITUTE(SUBSTITUTE(SUBSTITUTE(E47," ",""),"0",""),"-",""))+LEN(SUBSTITUTE(SUBSTITUTE(SUBSTITUTE(F47," ",""),"0",""),"-",""))+LEN(SUBSTITUTE(SUBSTITUTE(SUBSTITUTE(E48,"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f>
      </c>
      <c r="F54" s="14" t="str">
        <f>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f>
      </c>
      <c r="G54" s="14" t="s">
        <v>64</v>
      </c>
    </row>
    <row r="57">
      <c r="F57" t="s">
        <v>49</v>
      </c>
      <c r="G57" s="19"/>
    </row>
    <row r="58">
      <c r="F58" t="s">
        <v>50</v>
      </c>
      <c r="G5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Matches'!G66)</f>
      </c>
    </row>
    <row r="7">
      <c r="A7" s="26" t="str">
        <f>"3. " &amp; data!$B$5</f>
      </c>
      <c r="F7" s="22"/>
      <c r="G7" s="20"/>
    </row>
    <row r="8">
      <c r="A8" s="27" t="str">
        <f>"4. " &amp; data!$B$6</f>
      </c>
      <c r="G8" s="21">
        <v>3</v>
      </c>
    </row>
    <row r="9">
      <c r="A9" s="22"/>
      <c r="C9" s="23" t="str">
        <f>CONCATENATE("Pool C-1st ",'Pool Matches'!O64)</f>
      </c>
      <c r="G9" s="20"/>
    </row>
    <row r="10">
      <c r="A10" s="24" t="str">
        <f>'data'!$A$9</f>
      </c>
      <c r="D10" s="22"/>
      <c r="E10" s="21">
        <v>1</v>
      </c>
      <c r="F10" s="15"/>
      <c r="G10" s="20"/>
    </row>
    <row r="11">
      <c r="A11" s="25" t="str">
        <f>"1. " &amp; data!$B$7</f>
      </c>
      <c r="C11" s="23" t="str">
        <f>CONCATENATE("Pool B-2nd ",'Pool Matches'!G108)</f>
      </c>
      <c r="D11" s="15"/>
      <c r="E11" s="20"/>
    </row>
    <row r="12">
      <c r="A12" s="26" t="str">
        <f>"2. " &amp; data!$B$8</f>
      </c>
    </row>
    <row r="13">
      <c r="A13" s="27" t="str">
        <f>"3. " &amp; data!$B$9</f>
      </c>
    </row>
    <row r="14">
      <c r="A1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'data'!$A$12</f>
      </c>
    </row>
    <row r="5">
      <c r="A5" s="25" t="str">
        <f>"1. " &amp; data!$B$10</f>
      </c>
    </row>
    <row r="6">
      <c r="A6" s="26" t="str">
        <f>"2. " &amp; data!$B$11</f>
      </c>
      <c r="E6" s="23" t="str">
        <f>CONCATENATE("Pool B-1st ",'Pool Matches'!G107)</f>
      </c>
    </row>
    <row r="7">
      <c r="A7" s="27" t="str">
        <f>"3. " &amp; data!$B$12</f>
      </c>
      <c r="F7" s="22"/>
      <c r="G7" s="20"/>
    </row>
    <row r="8">
      <c r="A8" s="22"/>
      <c r="G8" s="21">
        <v>4</v>
      </c>
    </row>
    <row r="9">
      <c r="C9" s="23" t="str">
        <f>CONCATENATE("Pool A-2nd ",'Pool Matches'!G67)</f>
      </c>
      <c r="G9" s="20"/>
    </row>
    <row r="10">
      <c r="D10" s="22"/>
      <c r="E10" s="21">
        <v>2</v>
      </c>
      <c r="F10" s="15"/>
      <c r="G10" s="20"/>
    </row>
    <row r="11">
      <c r="C11" s="23" t="str">
        <f>CONCATENATE("Pool C-2nd ",'Pool Matches'!O65)</f>
      </c>
      <c r="D11" s="15"/>
      <c r="E11"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53</v>
      </c>
      <c r="B1" s="29" t="str">
        <f>'data'!$B$3</f>
      </c>
    </row>
    <row r="2" ht="270" customHeight="true">
      <c r="A2" s="28" t="s">
        <v>54</v>
      </c>
      <c r="B2" s="29" t="str">
        <f>'data'!$B$4</f>
      </c>
    </row>
    <row r="3" ht="270" customHeight="true">
      <c r="A3" s="28" t="s">
        <v>55</v>
      </c>
      <c r="B3" s="29" t="str">
        <f>'data'!$B$5</f>
      </c>
    </row>
    <row r="4" ht="270" customHeight="true">
      <c r="A4" s="28" t="s">
        <v>56</v>
      </c>
      <c r="B4" s="29" t="str">
        <f>'data'!$B$6</f>
      </c>
    </row>
    <row r="5" ht="270" customHeight="true">
      <c r="A5" s="28" t="s">
        <v>57</v>
      </c>
      <c r="B5" s="29" t="str">
        <f>'data'!$B$7</f>
      </c>
    </row>
    <row r="6" ht="270" customHeight="true">
      <c r="A6" s="28" t="s">
        <v>58</v>
      </c>
      <c r="B6" s="29" t="str">
        <f>'data'!$B$8</f>
      </c>
    </row>
    <row r="7" ht="270" customHeight="true">
      <c r="A7" s="28" t="s">
        <v>59</v>
      </c>
      <c r="B7" s="29" t="str">
        <f>'data'!$B$9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60</v>
      </c>
      <c r="B1" s="29" t="str">
        <f>'data'!$B$10</f>
      </c>
    </row>
    <row r="2" ht="270" customHeight="true">
      <c r="A2" s="28" t="s">
        <v>61</v>
      </c>
      <c r="B2" s="29" t="str">
        <f>'data'!$B$11</f>
      </c>
    </row>
    <row r="3" ht="270" customHeight="true">
      <c r="A3" s="28" t="s">
        <v>62</v>
      </c>
      <c r="B3" s="29"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53</v>
      </c>
    </row>
    <row r="2" ht="409" customHeight="true">
      <c r="A2" s="30" t="s">
        <v>53</v>
      </c>
    </row>
    <row r="3" ht="409" customHeight="true">
      <c r="A3" s="30" t="s">
        <v>54</v>
      </c>
    </row>
    <row r="4" ht="409" customHeight="true">
      <c r="A4" s="30" t="s">
        <v>54</v>
      </c>
    </row>
    <row r="5" ht="409" customHeight="true">
      <c r="A5" s="30" t="s">
        <v>55</v>
      </c>
    </row>
    <row r="6" ht="409" customHeight="true">
      <c r="A6" s="30" t="s">
        <v>55</v>
      </c>
    </row>
    <row r="7" ht="409" customHeight="true">
      <c r="A7" s="30" t="s">
        <v>56</v>
      </c>
    </row>
    <row r="8" ht="409" customHeight="true">
      <c r="A8" s="30" t="s">
        <v>56</v>
      </c>
    </row>
    <row r="9" ht="409" customHeight="true">
      <c r="A9" s="30" t="s">
        <v>57</v>
      </c>
    </row>
    <row r="10" ht="409" customHeight="true">
      <c r="A10" s="30" t="s">
        <v>57</v>
      </c>
    </row>
    <row r="11" ht="409" customHeight="true">
      <c r="A11" s="30" t="s">
        <v>58</v>
      </c>
    </row>
    <row r="12" ht="409" customHeight="true">
      <c r="A12" s="30" t="s">
        <v>58</v>
      </c>
    </row>
    <row r="13" ht="409" customHeight="true">
      <c r="A13" s="30" t="s">
        <v>59</v>
      </c>
    </row>
    <row r="14" ht="409" customHeight="true">
      <c r="A14" s="30" t="s">
        <v>59</v>
      </c>
    </row>
    <row r="15" ht="409" customHeight="true">
      <c r="A15" s="30" t="s">
        <v>60</v>
      </c>
    </row>
    <row r="16" ht="409" customHeight="true">
      <c r="A16" s="30" t="s">
        <v>60</v>
      </c>
    </row>
    <row r="17" ht="409" customHeight="true">
      <c r="A17" s="30" t="s">
        <v>61</v>
      </c>
    </row>
    <row r="18" ht="409" customHeight="true">
      <c r="A18" s="30" t="s">
        <v>61</v>
      </c>
    </row>
    <row r="19" ht="409" customHeight="true">
      <c r="A19" s="30" t="s">
        <v>62</v>
      </c>
    </row>
    <row r="20" ht="409" customHeight="true">
      <c r="A20" s="30" t="s">
        <v>62</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