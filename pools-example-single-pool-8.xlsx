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<sst xmlns="http://schemas.openxmlformats.org/spreadsheetml/2006/main" count="68" uniqueCount="68">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</sst>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'data'!$B$10</f>
      </c>
      <c r="B11" s="18"/>
      <c r="C11" s="18"/>
      <c r="D11" s="18"/>
      <c r="E11" s="18"/>
      <c r="F11" s="18"/>
      <c r="G11" s="14" t="str">
        <f>'data'!$B$3</f>
      </c>
    </row>
    <row r="13">
      <c r="A13" s="13" t="s">
        <v>36</v>
      </c>
      <c r="B13" s="13" t="s">
        <v>37</v>
      </c>
      <c r="C13" s="13" t="s">
        <v>38</v>
      </c>
      <c r="D13" s="13" t="s">
        <v>39</v>
      </c>
      <c r="E13" s="13" t="s">
        <v>40</v>
      </c>
      <c r="F13" s="13" t="s">
        <v>41</v>
      </c>
      <c r="G13" s="13" t="s">
        <v>42</v>
      </c>
    </row>
    <row r="14">
      <c r="A14" s="14" t="str">
        <f>'data'!$B$3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43</v>
      </c>
    </row>
    <row r="25">
      <c r="F25" t="s">
        <v>44</v>
      </c>
      <c r="G25" s="19" t="str">
        <f>IFERROR(INDEX($A$14:$A$21, MATCH(1, $G$14:$G$21, 0)), "-")</f>
      </c>
    </row>
    <row r="26">
      <c r="F26" t="s">
        <v>45</v>
      </c>
      <c r="G26" s="19" t="str">
        <f>IFERROR(INDEX($A$14:$A$21, MATCH(2, $G$14:$G$21, 0)), "-")</f>
      </c>
    </row>
    <row r="27">
      <c r="F27" t="s">
        <v>46</v>
      </c>
      <c r="G27" s="19" t="str">
        <f>IFERROR(INDEX($A$14:$A$21, MATCH(3, $G$14:$G$21, 0)), "-")</f>
      </c>
    </row>
    <row r="28">
      <c r="F28" t="s">
        <v>47</v>
      </c>
      <c r="G28" s="19" t="str">
        <f>IFERROR(INDEX($A$14:$A$21, MATCH(4, $G$14:$G$21, 0)), "-")</f>
      </c>
    </row>
    <row r="29">
      <c r="F29" t="s">
        <v>48</v>
      </c>
      <c r="G29" s="19" t="str">
        <f>IFERROR(INDEX($A$14:$A$21, MATCH(5, $G$14:$G$21, 0)), "-")</f>
      </c>
    </row>
    <row r="30">
      <c r="F30" t="s">
        <v>49</v>
      </c>
      <c r="G30" s="19" t="str">
        <f>IFERROR(INDEX($A$14:$A$21, MATCH(6, $G$14:$G$21, 0)), "-")</f>
      </c>
    </row>
    <row r="31">
      <c r="F31" t="s">
        <v>50</v>
      </c>
      <c r="G31" s="19" t="str">
        <f>IFERROR(INDEX($A$14:$A$21, MATCH(7, $G$14:$G$21, 0)), "-")</f>
      </c>
    </row>
    <row r="32">
      <c r="F32" t="s">
        <v>51</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Matches'!G26)</f>
      </c>
      <c r="B4" s="18"/>
      <c r="C4" s="18"/>
      <c r="D4" s="18"/>
      <c r="E4" s="18"/>
      <c r="F4" s="18"/>
      <c r="G4" s="14" t="str">
        <f>CONCATENATE("Pool A-1st ",'Pool Matches'!G25)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Matches'!G25)</f>
      </c>
    </row>
    <row r="6">
      <c r="A6" s="26" t="str">
        <f>"2. " &amp; data!$B$4</f>
      </c>
      <c r="D6" s="22"/>
      <c r="E6" s="21">
        <v>1</v>
      </c>
    </row>
    <row r="7">
      <c r="A7" s="26" t="str">
        <f>"3. " &amp; data!$B$5</f>
      </c>
      <c r="C7" s="23" t="str">
        <f>CONCATENATE("Pool A-2nd ",'Pool Matches'!G26)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