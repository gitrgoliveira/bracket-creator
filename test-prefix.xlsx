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Names to Print" sheetId="6" r:id="rId8"/>
    <sheet name="Tree 1" sheetId="8" r:id="rId11"/>
  </sheets>
  <definedNames>
    <definedName localSheetId="3" name="_xlnm.Print_Area">'Names to Print'!$A$1:$B$10</definedName>
    <definedName localSheetId="2" name="_xlnm.Print_Area">'Elimination Matches'!$A$1:$G$93</definedName>
  </definedNames>
  <calcPr calcId="122211"/>
</workbook>
</file>

<file path=xl/sharedStrings.xml><?xml version="1.0" encoding="utf-8"?>
<sst xmlns="http://schemas.openxmlformats.org/spreadsheetml/2006/main" count="52" uniqueCount="52">
  <si>
    <t>Number of pools</t>
  </si>
  <si>
    <t>Team size</t>
  </si>
  <si>
    <t>Matches per pool</t>
  </si>
  <si>
    <t>Time per match</t>
  </si>
  <si>
    <t>Total time for matches</t>
  </si>
  <si>
    <t>Padding time for rotation</t>
  </si>
  <si>
    <t>Time for breaks</t>
  </si>
  <si>
    <t>Total Time</t>
  </si>
  <si>
    <t>Number of Elimination Matches</t>
  </si>
  <si>
    <t>Title prefix:</t>
  </si>
  <si>
    <t>MY TOURNAMENT</t>
  </si>
  <si>
    <t>Number</t>
  </si>
  <si>
    <t>Player Name</t>
  </si>
  <si>
    <t>Player Dojo</t>
  </si>
  <si>
    <t>Metadata</t>
  </si>
  <si>
    <t>Kevin Clark</t>
  </si>
  <si>
    <t>Team Alpha</t>
  </si>
  <si>
    <t>Luke Rodriguez</t>
  </si>
  <si>
    <t>Team Beta</t>
  </si>
  <si>
    <t>Michael Lewis</t>
  </si>
  <si>
    <t>Team Gamma</t>
  </si>
  <si>
    <t>Nathan Lee</t>
  </si>
  <si>
    <t>Team Delta</t>
  </si>
  <si>
    <t>Oliver Walker</t>
  </si>
  <si>
    <t>Team Epsilon</t>
  </si>
  <si>
    <t>Paul Hall</t>
  </si>
  <si>
    <t>Quentin Allen</t>
  </si>
  <si>
    <t>Robert Young</t>
  </si>
  <si>
    <t>Steven Hernandez</t>
  </si>
  <si>
    <t>Thomas King</t>
  </si>
  <si>
    <t>Shiaijo A</t>
  </si>
  <si>
    <t>Round 1 - Match 1</t>
  </si>
  <si>
    <t>White</t>
  </si>
  <si>
    <t>vs</t>
  </si>
  <si>
    <t>Red</t>
  </si>
  <si>
    <t>1.</t>
  </si>
  <si>
    <t>2.</t>
  </si>
  <si>
    <t>Round 1 - Match 2</t>
  </si>
  <si>
    <t>Round 2 - Match 3</t>
  </si>
  <si>
    <t>Round 2 - Match 4</t>
  </si>
  <si>
    <t>Round 2 - Match 5</t>
  </si>
  <si>
    <t>Round 2 - Match 6</t>
  </si>
  <si>
    <t>Round 3 - Match 7</t>
  </si>
  <si>
    <t>Round 3 - Match 8</t>
  </si>
  <si>
    <t>Round 4 - Match 9</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</si>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</sst>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family val="2"/>
      <b val="1"/>
      <color rgb="FF000000"/>
      <sz val="12"/>
    </font>
    <font>
      <family val="2"/>
      <color rgb="FF000000"/>
      <sz val="12"/>
    </font>
    <font>
      <family val="2"/>
      <b val="1"/>
      <color/>
      <sz val="16"/>
      <u val="single"/>
    </font>
    <font>
      <family val="2"/>
      <b val="1"/>
      <color/>
      <sz val="12"/>
      <u val="single"/>
    </font>
    <font>
      <family val="2"/>
      <color/>
      <sz val="12"/>
    </font>
    <font>
      <family val="2"/>
      <b val="1"/>
      <color rgb="FF000000"/>
      <sz val="28"/>
    </font>
    <font>
      <family val="2"/>
      <b val="1"/>
      <color rgb="FF000000"/>
      <sz val="72"/>
    </font>
    <font>
      <family val="2"/>
      <b val="1"/>
      <color rgb="FF000000"/>
      <sz val="100"/>
    </font>
    <font>
      <family val="2"/>
      <color rgb="FF000000"/>
      <sz val="110"/>
    </font>
    <font>
      <family val="2"/>
      <b val="1"/>
      <color rgb="FFFFFFFF"/>
      <sz val="12"/>
    </font>
  </fonts>
  <fills count="4">
    <fill>
      <patternFill patternType="none"/>
    </fill>
    <fill>
      <patternFill patternType="gray125"/>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vertical="center"/>
    </xf>
    <xf numFmtId="0" fontId="9" fillId="0" borderId="1" xfId="0" applyFont="true" applyBorder="true" applyAlignment="true">
      <alignment horizontal="center" vertical="center"/>
    </xf>
    <xf numFmtId="0" fontId="2" fillId="0" borderId="6" xfId="0" applyFont="true" applyBorder="true" applyAlignment="true">
      <alignment horizontal="center"/>
    </xf>
    <xf numFmtId="0" fontId="10" fillId="2" borderId="6" xfId="0" applyFont="true" applyFill="true" applyBorder="true" applyAlignment="true">
      <alignment horizontal="center"/>
    </xf>
    <xf numFmtId="0" fontId="1" fillId="3" borderId="6" xfId="0" applyFont="true" applyFill="true" applyBorder="true" applyAlignment="true">
      <alignment horizontal="center"/>
    </xf>
    <xf numFmtId="165" fontId="2" fillId="0" borderId="6" xfId="0" applyNumberFormat="true"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6" min="2" width="30"/>
  </cols>
  <sheetData>
    <row r="1">
      <c r="A1" t="s">
        <v>9</v>
      </c>
      <c r="B1" t="s">
        <v>10</v>
      </c>
    </row>
    <row r="2">
      <c r="A2" t="s">
        <v>11</v>
      </c>
      <c r="B2" t="s">
        <v>12</v>
      </c>
      <c r="C2" t="s">
        <v>13</v>
      </c>
      <c r="E2" t="s">
        <v>14</v>
      </c>
    </row>
    <row r="3">
      <c r="A3">
        <v>0</v>
      </c>
      <c r="B3" t="s">
        <v>15</v>
      </c>
      <c r="C3" t="s">
        <v>16</v>
      </c>
    </row>
    <row r="4">
      <c r="A4">
        <v>1</v>
      </c>
      <c r="B4" t="s">
        <v>17</v>
      </c>
      <c r="C4" t="s">
        <v>18</v>
      </c>
    </row>
    <row r="5">
      <c r="A5">
        <v>2</v>
      </c>
      <c r="B5" t="s">
        <v>19</v>
      </c>
      <c r="C5" t="s">
        <v>20</v>
      </c>
    </row>
    <row r="6">
      <c r="A6">
        <v>3</v>
      </c>
      <c r="B6" t="s">
        <v>21</v>
      </c>
      <c r="C6" t="s">
        <v>22</v>
      </c>
    </row>
    <row r="7">
      <c r="A7">
        <v>4</v>
      </c>
      <c r="B7" t="s">
        <v>23</v>
      </c>
      <c r="C7" t="s">
        <v>24</v>
      </c>
    </row>
    <row r="8">
      <c r="A8">
        <v>5</v>
      </c>
      <c r="B8" t="s">
        <v>25</v>
      </c>
      <c r="C8" t="s">
        <v>16</v>
      </c>
    </row>
    <row r="9">
      <c r="A9">
        <v>6</v>
      </c>
      <c r="B9" t="s">
        <v>26</v>
      </c>
      <c r="C9" t="s">
        <v>18</v>
      </c>
    </row>
    <row r="10">
      <c r="A10">
        <v>7</v>
      </c>
      <c r="B10" t="s">
        <v>27</v>
      </c>
      <c r="C10" t="s">
        <v>20</v>
      </c>
    </row>
    <row r="11">
      <c r="A11">
        <v>8</v>
      </c>
      <c r="B11" t="s">
        <v>28</v>
      </c>
      <c r="C11" t="s">
        <v>22</v>
      </c>
    </row>
    <row r="12">
      <c r="A12">
        <v>9</v>
      </c>
      <c r="B12" t="s">
        <v>29</v>
      </c>
      <c r="C12" t="s">
        <v>24</v>
      </c>
    </row>
  </sheetData>
  <pageSetup orientation="landscape"/>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2"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v>
      </c>
      <c r="B8" s="2">
        <v>1</v>
      </c>
      <c r="C8" s="2"/>
      <c r="D8" s="3">
        <v>0.002777777777777778</v>
      </c>
      <c r="E8" s="3" t="str">
        <f>(A8*B8*D8)</f>
      </c>
      <c r="F8" s="3">
        <v>0.00034722222222222224</v>
      </c>
      <c r="G8" s="3">
        <v>0.020833333333333332</v>
      </c>
      <c r="H8" s="22"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45</v>
      </c>
      <c r="F13" s="11"/>
      <c r="G13" s="11"/>
      <c r="H13" s="11"/>
    </row>
    <row r="14">
      <c r="A14">
        <v>1</v>
      </c>
      <c r="E14" s="19" t="s">
        <v>46</v>
      </c>
      <c r="F14" s="19"/>
      <c r="G14" s="19"/>
      <c r="H14" s="22" t="str">
        <f>H2</f>
      </c>
    </row>
    <row r="15">
      <c r="E15" s="19" t="s">
        <v>47</v>
      </c>
      <c r="F15" s="19"/>
      <c r="G15" s="19"/>
      <c r="H15" s="22" t="str">
        <f>H8</f>
      </c>
    </row>
    <row r="16">
      <c r="E16" s="19" t="s">
        <v>48</v>
      </c>
      <c r="F16" s="19"/>
      <c r="G16" s="19"/>
      <c r="H16" s="22" t="str">
        <f>H14+H15</f>
      </c>
    </row>
    <row r="17">
      <c r="E17" s="19" t="s">
        <v>49</v>
      </c>
      <c r="F17" s="19"/>
      <c r="G17" s="19"/>
      <c r="H17" s="22" t="str">
        <f>H16/A14</f>
      </c>
    </row>
    <row r="18">
      <c r="E18" s="11" t="s">
        <v>50</v>
      </c>
      <c r="F18" s="11"/>
      <c r="G18" s="11"/>
      <c r="H18" s="23">
        <v>0.375</v>
      </c>
    </row>
    <row r="19">
      <c r="E19" s="11" t="s">
        <v>51</v>
      </c>
      <c r="F19" s="11"/>
      <c r="G19" s="11"/>
      <c r="H19" s="23"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3" min="2" width="5"/>
    <col customWidth="true" max="4" min="4" width="3"/>
    <col customWidth="true" max="6" min="5" width="5"/>
    <col customWidth="true" max="7" min="7" width="30"/>
    <col customWidth="true" max="8" min="8" width="2"/>
    <col customWidth="true" max="9" min="9" width="34.83"/>
    <col customWidth="true" max="14" min="10" width="3.83"/>
    <col customWidth="true" max="15" min="15" width="34.83"/>
    <col customWidth="true" max="20" min="16" width="10.83"/>
  </cols>
  <sheetData>
    <row r="1">
      <c r="A1" s="11" t="s">
        <v>30</v>
      </c>
      <c r="B1" s="11"/>
      <c r="C1" s="11"/>
      <c r="D1" s="11"/>
      <c r="E1" s="11"/>
      <c r="F1" s="11"/>
      <c r="G1" s="11"/>
    </row>
    <row r="2">
      <c r="A2" s="11" t="s">
        <v>31</v>
      </c>
      <c r="B2" s="11"/>
      <c r="C2" s="11"/>
      <c r="D2" s="11"/>
      <c r="E2" s="11"/>
      <c r="F2" s="11"/>
      <c r="G2" s="11"/>
    </row>
    <row r="3">
      <c r="A3" s="21" t="s">
        <v>32</v>
      </c>
      <c r="D3" s="19" t="s">
        <v>33</v>
      </c>
      <c r="G3" s="20" t="s">
        <v>34</v>
      </c>
    </row>
    <row r="4">
      <c r="A4" s="19" t="str">
        <f>'data'!$B$7</f>
      </c>
      <c r="B4" s="19"/>
      <c r="C4" s="19"/>
      <c r="D4" s="19"/>
      <c r="E4" s="19"/>
      <c r="F4" s="19"/>
      <c r="G4" s="19" t="str">
        <f>'data'!$B$6</f>
      </c>
    </row>
    <row r="6">
      <c r="F6" t="s">
        <v>35</v>
      </c>
      <c r="G6" s="15"/>
    </row>
    <row r="7">
      <c r="F7" t="s">
        <v>36</v>
      </c>
      <c r="G7" s="15"/>
    </row>
    <row r="10">
      <c r="A10" s="11" t="s">
        <v>37</v>
      </c>
      <c r="B10" s="11"/>
      <c r="C10" s="11"/>
      <c r="D10" s="11"/>
      <c r="E10" s="11"/>
      <c r="F10" s="11"/>
      <c r="G10" s="11"/>
    </row>
    <row r="11">
      <c r="A11" s="21" t="s">
        <v>32</v>
      </c>
      <c r="D11" s="19" t="s">
        <v>33</v>
      </c>
      <c r="G11" s="20" t="s">
        <v>34</v>
      </c>
    </row>
    <row r="12">
      <c r="A12" s="19" t="str">
        <f>'data'!$B$12</f>
      </c>
      <c r="B12" s="19"/>
      <c r="C12" s="19"/>
      <c r="D12" s="19"/>
      <c r="E12" s="19"/>
      <c r="F12" s="19"/>
      <c r="G12" s="19" t="str">
        <f>'data'!$B$11</f>
      </c>
    </row>
    <row r="14">
      <c r="F14" t="s">
        <v>35</v>
      </c>
      <c r="G14" s="15"/>
    </row>
    <row r="15">
      <c r="F15" t="s">
        <v>36</v>
      </c>
      <c r="G15" s="15"/>
    </row>
    <row r="23">
      <c r="A23" s="11" t="s">
        <v>38</v>
      </c>
      <c r="B23" s="11"/>
      <c r="C23" s="11"/>
      <c r="D23" s="11"/>
      <c r="E23" s="11"/>
      <c r="F23" s="11"/>
      <c r="G23" s="11"/>
    </row>
    <row r="24">
      <c r="A24" s="21" t="s">
        <v>32</v>
      </c>
      <c r="D24" s="19" t="s">
        <v>33</v>
      </c>
      <c r="G24" s="20" t="s">
        <v>34</v>
      </c>
    </row>
    <row r="25">
      <c r="A25" s="19" t="str">
        <f>'data'!$B$4</f>
      </c>
      <c r="B25" s="19"/>
      <c r="C25" s="19"/>
      <c r="D25" s="19"/>
      <c r="E25" s="19"/>
      <c r="F25" s="19"/>
      <c r="G25" s="19" t="str">
        <f>'data'!$B$3</f>
      </c>
    </row>
    <row r="27">
      <c r="F27" t="s">
        <v>35</v>
      </c>
      <c r="G27" s="15"/>
    </row>
    <row r="28">
      <c r="F28" t="s">
        <v>36</v>
      </c>
      <c r="G28" s="15"/>
    </row>
    <row r="31">
      <c r="A31" s="11" t="s">
        <v>39</v>
      </c>
      <c r="B31" s="11"/>
      <c r="C31" s="11"/>
      <c r="D31" s="11"/>
      <c r="E31" s="11"/>
      <c r="F31" s="11"/>
      <c r="G31" s="11"/>
    </row>
    <row r="32">
      <c r="A32" s="21" t="s">
        <v>32</v>
      </c>
      <c r="D32" s="19" t="s">
        <v>33</v>
      </c>
      <c r="G32" s="20" t="s">
        <v>34</v>
      </c>
    </row>
    <row r="33">
      <c r="A33" s="19" t="str">
        <f>CONCATENATE("M 1 ",G6)</f>
      </c>
      <c r="B33" s="19"/>
      <c r="C33" s="19"/>
      <c r="D33" s="19"/>
      <c r="E33" s="19"/>
      <c r="F33" s="19"/>
      <c r="G33" s="19" t="str">
        <f>'data'!$B$5</f>
      </c>
    </row>
    <row r="35">
      <c r="F35" t="s">
        <v>35</v>
      </c>
      <c r="G35" s="15"/>
    </row>
    <row r="36">
      <c r="F36" t="s">
        <v>36</v>
      </c>
      <c r="G36" s="15"/>
    </row>
    <row r="39">
      <c r="A39" s="11" t="s">
        <v>40</v>
      </c>
      <c r="B39" s="11"/>
      <c r="C39" s="11"/>
      <c r="D39" s="11"/>
      <c r="E39" s="11"/>
      <c r="F39" s="11"/>
      <c r="G39" s="11"/>
    </row>
    <row r="40">
      <c r="A40" s="21" t="s">
        <v>32</v>
      </c>
      <c r="D40" s="19" t="s">
        <v>33</v>
      </c>
      <c r="G40" s="20" t="s">
        <v>34</v>
      </c>
    </row>
    <row r="41">
      <c r="A41" s="19" t="str">
        <f>'data'!$B$9</f>
      </c>
      <c r="B41" s="19"/>
      <c r="C41" s="19"/>
      <c r="D41" s="19"/>
      <c r="E41" s="19"/>
      <c r="F41" s="19"/>
      <c r="G41" s="19" t="str">
        <f>'data'!$B$8</f>
      </c>
    </row>
    <row r="43">
      <c r="F43" t="s">
        <v>35</v>
      </c>
      <c r="G43" s="15"/>
    </row>
    <row r="44">
      <c r="F44" t="s">
        <v>36</v>
      </c>
      <c r="G44" s="15"/>
    </row>
    <row r="47">
      <c r="A47" s="11" t="s">
        <v>41</v>
      </c>
      <c r="B47" s="11"/>
      <c r="C47" s="11"/>
      <c r="D47" s="11"/>
      <c r="E47" s="11"/>
      <c r="F47" s="11"/>
      <c r="G47" s="11"/>
    </row>
    <row r="48">
      <c r="A48" s="21" t="s">
        <v>32</v>
      </c>
      <c r="D48" s="19" t="s">
        <v>33</v>
      </c>
      <c r="G48" s="20" t="s">
        <v>34</v>
      </c>
    </row>
    <row r="49">
      <c r="A49" s="19" t="str">
        <f>CONCATENATE("M 2 ",G14)</f>
      </c>
      <c r="B49" s="19"/>
      <c r="C49" s="19"/>
      <c r="D49" s="19"/>
      <c r="E49" s="19"/>
      <c r="F49" s="19"/>
      <c r="G49" s="19" t="str">
        <f>'data'!$B$10</f>
      </c>
    </row>
    <row r="51">
      <c r="F51" t="s">
        <v>35</v>
      </c>
      <c r="G51" s="15"/>
    </row>
    <row r="52">
      <c r="F52" t="s">
        <v>36</v>
      </c>
      <c r="G52" s="15"/>
    </row>
    <row r="60">
      <c r="A60" s="11" t="s">
        <v>42</v>
      </c>
      <c r="B60" s="11"/>
      <c r="C60" s="11"/>
      <c r="D60" s="11"/>
      <c r="E60" s="11"/>
      <c r="F60" s="11"/>
      <c r="G60" s="11"/>
    </row>
    <row r="61">
      <c r="A61" s="21" t="s">
        <v>32</v>
      </c>
      <c r="D61" s="19" t="s">
        <v>33</v>
      </c>
      <c r="G61" s="20" t="s">
        <v>34</v>
      </c>
    </row>
    <row r="62">
      <c r="A62" s="19" t="str">
        <f>CONCATENATE("M 4 ",G35)</f>
      </c>
      <c r="B62" s="19"/>
      <c r="C62" s="19"/>
      <c r="D62" s="19"/>
      <c r="E62" s="19"/>
      <c r="F62" s="19"/>
      <c r="G62" s="19" t="str">
        <f>CONCATENATE("M 3 ",G27)</f>
      </c>
    </row>
    <row r="64">
      <c r="F64" t="s">
        <v>35</v>
      </c>
      <c r="G64" s="15"/>
    </row>
    <row r="65">
      <c r="F65" t="s">
        <v>36</v>
      </c>
      <c r="G65" s="15"/>
    </row>
    <row r="68">
      <c r="A68" s="11" t="s">
        <v>43</v>
      </c>
      <c r="B68" s="11"/>
      <c r="C68" s="11"/>
      <c r="D68" s="11"/>
      <c r="E68" s="11"/>
      <c r="F68" s="11"/>
      <c r="G68" s="11"/>
    </row>
    <row r="69">
      <c r="A69" s="21" t="s">
        <v>32</v>
      </c>
      <c r="D69" s="19" t="s">
        <v>33</v>
      </c>
      <c r="G69" s="20" t="s">
        <v>34</v>
      </c>
    </row>
    <row r="70">
      <c r="A70" s="19" t="str">
        <f>CONCATENATE("M 6 ",G51)</f>
      </c>
      <c r="B70" s="19"/>
      <c r="C70" s="19"/>
      <c r="D70" s="19"/>
      <c r="E70" s="19"/>
      <c r="F70" s="19"/>
      <c r="G70" s="19" t="str">
        <f>CONCATENATE("M 5 ",G43)</f>
      </c>
    </row>
    <row r="72">
      <c r="F72" t="s">
        <v>35</v>
      </c>
      <c r="G72" s="15"/>
    </row>
    <row r="73">
      <c r="F73" t="s">
        <v>36</v>
      </c>
      <c r="G73" s="15"/>
    </row>
    <row r="81">
      <c r="A81" s="11" t="s">
        <v>44</v>
      </c>
      <c r="B81" s="11"/>
      <c r="C81" s="11"/>
      <c r="D81" s="11"/>
      <c r="E81" s="11"/>
      <c r="F81" s="11"/>
      <c r="G81" s="11"/>
    </row>
    <row r="82">
      <c r="A82" s="21" t="s">
        <v>32</v>
      </c>
      <c r="D82" s="19" t="s">
        <v>33</v>
      </c>
      <c r="G82" s="20" t="s">
        <v>34</v>
      </c>
    </row>
    <row r="83">
      <c r="A83" s="19" t="str">
        <f>CONCATENATE("M 8 ",G72)</f>
      </c>
      <c r="B83" s="19"/>
      <c r="C83" s="19"/>
      <c r="D83" s="19"/>
      <c r="E83" s="19"/>
      <c r="F83" s="19"/>
      <c r="G83" s="19" t="str">
        <f>CONCATENATE("M 7 ",G64)</f>
      </c>
    </row>
    <row r="85">
      <c r="F85" t="s">
        <v>35</v>
      </c>
      <c r="G85" s="15"/>
    </row>
    <row r="86">
      <c r="F86" t="s">
        <v>36</v>
      </c>
      <c r="G86" s="15"/>
    </row>
  </sheetData>
  <mergeCells count="10">
    <mergeCell ref="A1:G1"/>
    <mergeCell ref="A2:G2"/>
    <mergeCell ref="A10:G10"/>
    <mergeCell ref="A23:G23"/>
    <mergeCell ref="A31:G31"/>
    <mergeCell ref="A39:G39"/>
    <mergeCell ref="A47:G47"/>
    <mergeCell ref="A60:G60"/>
    <mergeCell ref="A68:G68"/>
    <mergeCell ref="A81:G81"/>
  </mergeCells>
  <printOptions horizontalCentered="true" verticalCentered="true"/>
  <pageSetup fitToHeight="0" fitToWidth="1" orientation="portrait" pageOrder="downThenOver" paperSize="9"/>
  <rowBreaks count="2" manualBreakCount="2">
    <brk id="38" max="16383" man="true"/>
    <brk id="80" max="16383" man="true"/>
  </rowBreaks>
  <colBreaks/>
</worksheet>
</file>

<file path=xl/worksheets/sheet6.xml><?xml version="1.0" encoding="utf-8"?>
<worksheet xmlns="http://schemas.openxmlformats.org/spreadsheetml/2006/main">
  <dimension ref="A1"/>
  <sheetViews>
    <sheetView workbookViewId="0"/>
  </sheetViews>
  <cols>
    <col customWidth="true" max="1" min="1" style="9" width="30"/>
    <col customWidth="true" max="2" min="2" style="10" width="160"/>
  </cols>
  <sheetData>
    <row r="1" ht="270" customHeight="true">
      <c r="A1" s="17">
        <v>0</v>
      </c>
      <c r="B1" s="18" t="str">
        <f>data!$B$3</f>
      </c>
    </row>
    <row r="2" ht="270" customHeight="true">
      <c r="A2" s="17">
        <v>1</v>
      </c>
      <c r="B2" s="18" t="str">
        <f>data!$B$4</f>
      </c>
    </row>
    <row r="3" ht="270" customHeight="true">
      <c r="A3" s="17">
        <v>2</v>
      </c>
      <c r="B3" s="18" t="str">
        <f>data!$B$5</f>
      </c>
    </row>
    <row r="4" ht="270" customHeight="true">
      <c r="A4" s="17">
        <v>3</v>
      </c>
      <c r="B4" s="18" t="str">
        <f>data!$B$6</f>
      </c>
    </row>
    <row r="5" ht="270" customHeight="true">
      <c r="A5" s="17">
        <v>4</v>
      </c>
      <c r="B5" s="18" t="str">
        <f>data!$B$7</f>
      </c>
    </row>
    <row r="6" ht="270" customHeight="true">
      <c r="A6" s="17">
        <v>5</v>
      </c>
      <c r="B6" s="18" t="str">
        <f>data!$B$8</f>
      </c>
    </row>
    <row r="7" ht="270" customHeight="true">
      <c r="A7" s="17">
        <v>6</v>
      </c>
      <c r="B7" s="18" t="str">
        <f>data!$B$9</f>
      </c>
    </row>
    <row r="8" ht="270" customHeight="true">
      <c r="A8" s="17">
        <v>7</v>
      </c>
      <c r="B8" s="18" t="str">
        <f>data!$B$10</f>
      </c>
    </row>
    <row r="9" ht="270" customHeight="true">
      <c r="A9" s="17">
        <v>8</v>
      </c>
      <c r="B9" s="18" t="str">
        <f>data!$B$11</f>
      </c>
    </row>
    <row r="10" ht="270" customHeight="true">
      <c r="A10" s="17">
        <v>9</v>
      </c>
      <c r="B10" s="18" t="str">
        <f>data!$B$12</f>
      </c>
    </row>
  </sheetData>
  <pageMargins left="0.1" right="0.1" top="0.1" bottom="0.1" header="0.1" footer="0.1"/>
  <pageSetup orientation="landscape" paperSize="8"/>
  <rowBreaks count="3" manualBreakCount="3">
    <brk id="3" max="16383" man="true"/>
    <brk id="6" max="16383" man="true"/>
    <brk id="9" max="16383" man="true"/>
  </rowBreaks>
  <colBreaks/>
</worksheet>
</file>

<file path=xl/worksheets/sheet8.xml><?xml version="1.0" encoding="utf-8"?>
<worksheet xmlns="http://schemas.openxmlformats.org/spreadsheetml/2006/main">
  <dimension ref="A1"/>
  <sheetViews>
    <sheetView workbookViewId="0"/>
  </sheetViews>
  <cols>
    <col customWidth="true" max="1" min="1" width="20.83"/>
    <col customWidth="true" max="2" min="2" width="10"/>
    <col customWidth="true" max="26" min="3" width="3.5"/>
  </cols>
  <sheetData>
    <row r="1">
      <c r="A1" s="11" t="str">
        <f>IF(data!$B$1="","Shiaijo A",data!$B$1&amp;" - Shiaijo A")</f>
      </c>
      <c r="B1" s="11"/>
      <c r="C1" s="11"/>
      <c r="D1" s="11"/>
      <c r="E1" s="11"/>
      <c r="F1" s="11"/>
      <c r="G1" s="11"/>
      <c r="H1" s="11"/>
      <c r="I1" s="11"/>
      <c r="J1" s="11"/>
      <c r="K1" s="11"/>
      <c r="L1" s="11"/>
      <c r="M1" s="11"/>
      <c r="N1" s="11"/>
      <c r="O1" s="11"/>
      <c r="P1" s="11"/>
    </row>
    <row r="6">
      <c r="E6" s="16" t="s">
        <v>15</v>
      </c>
    </row>
    <row r="7">
      <c r="F7" s="14"/>
      <c r="G7" s="12"/>
    </row>
    <row r="8">
      <c r="G8" s="13">
        <v>3</v>
      </c>
    </row>
    <row r="9">
      <c r="G9" s="12"/>
      <c r="H9" s="14"/>
      <c r="I9" s="12"/>
    </row>
    <row r="10">
      <c r="E10" s="16" t="s">
        <v>17</v>
      </c>
      <c r="F10" s="15"/>
      <c r="G10" s="12"/>
      <c r="I10" s="12"/>
    </row>
    <row r="11">
      <c r="I11" s="12"/>
    </row>
    <row r="12">
      <c r="I12" s="13">
        <v>7</v>
      </c>
    </row>
    <row r="13">
      <c r="I13" s="12"/>
      <c r="J13" s="14"/>
      <c r="K13" s="12"/>
    </row>
    <row r="14">
      <c r="E14" s="16" t="s">
        <v>19</v>
      </c>
      <c r="I14" s="12"/>
      <c r="K14" s="12"/>
    </row>
    <row r="15">
      <c r="F15" s="14"/>
      <c r="G15" s="12"/>
      <c r="I15" s="12"/>
      <c r="K15" s="12"/>
    </row>
    <row r="16">
      <c r="G16" s="13">
        <v>4</v>
      </c>
      <c r="H16" s="15"/>
      <c r="I16" s="12"/>
      <c r="K16" s="12"/>
    </row>
    <row r="17">
      <c r="C17" s="16" t="s">
        <v>21</v>
      </c>
      <c r="G17" s="12"/>
      <c r="K17" s="12"/>
    </row>
    <row r="18">
      <c r="D18" s="14"/>
      <c r="E18" s="13">
        <v>1</v>
      </c>
      <c r="F18" s="15"/>
      <c r="G18" s="12"/>
      <c r="K18" s="12"/>
    </row>
    <row r="19">
      <c r="C19" s="16" t="s">
        <v>23</v>
      </c>
      <c r="D19" s="15"/>
      <c r="E19" s="12"/>
      <c r="K19" s="12"/>
    </row>
    <row r="20">
      <c r="K20" s="13">
        <v>9</v>
      </c>
    </row>
    <row r="21">
      <c r="K21" s="12"/>
    </row>
    <row r="22">
      <c r="E22" s="16" t="s">
        <v>25</v>
      </c>
      <c r="K22" s="12"/>
    </row>
    <row r="23">
      <c r="F23" s="14"/>
      <c r="G23" s="12"/>
      <c r="K23" s="12"/>
    </row>
    <row r="24">
      <c r="G24" s="13">
        <v>5</v>
      </c>
      <c r="K24" s="12"/>
    </row>
    <row r="25">
      <c r="G25" s="12"/>
      <c r="H25" s="14"/>
      <c r="I25" s="12"/>
      <c r="K25" s="12"/>
    </row>
    <row r="26">
      <c r="E26" s="16" t="s">
        <v>26</v>
      </c>
      <c r="F26" s="15"/>
      <c r="G26" s="12"/>
      <c r="I26" s="12"/>
      <c r="K26" s="12"/>
    </row>
    <row r="27">
      <c r="I27" s="12"/>
      <c r="K27" s="12"/>
    </row>
    <row r="28">
      <c r="I28" s="13">
        <v>8</v>
      </c>
      <c r="J28" s="15"/>
      <c r="K28" s="12"/>
    </row>
    <row r="29">
      <c r="I29" s="12"/>
    </row>
    <row r="30">
      <c r="E30" s="16" t="s">
        <v>27</v>
      </c>
      <c r="I30" s="12"/>
    </row>
    <row r="31">
      <c r="F31" s="14"/>
      <c r="G31" s="12"/>
      <c r="I31" s="12"/>
    </row>
    <row r="32">
      <c r="G32" s="13">
        <v>6</v>
      </c>
      <c r="H32" s="15"/>
      <c r="I32" s="12"/>
    </row>
    <row r="33">
      <c r="C33" s="16" t="s">
        <v>28</v>
      </c>
      <c r="G33" s="12"/>
    </row>
    <row r="34">
      <c r="D34" s="14"/>
      <c r="E34" s="13">
        <v>2</v>
      </c>
      <c r="F34" s="15"/>
      <c r="G34" s="12"/>
    </row>
    <row r="35">
      <c r="C35" s="16" t="s">
        <v>29</v>
      </c>
      <c r="D35" s="15"/>
      <c r="E35" s="12"/>
    </row>
  </sheetData>
  <mergeCells count="1">
    <mergeCell ref="A1: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