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Matches'!$A$1:$O$65</definedName>
    <definedName localSheetId="7" name="_xlnm.Print_Area">'Names to Print A'!$A$1:$B$12</definedName>
    <definedName localSheetId="8" name="_xlnm.Print_Area">'Names to Print B'!$A$1:$B$12</definedName>
    <definedName localSheetId="4" name="_xlnm.Print_Area">'Elimination Matches'!$A$1:$O$85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<sst xmlns="http://schemas.openxmlformats.org/spreadsheetml/2006/main" count="154" uniqueCount="154">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</sst>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I8" s="13" t="s">
        <v>97</v>
      </c>
      <c r="J8" s="13" t="s">
        <v>98</v>
      </c>
      <c r="K8" s="13" t="s">
        <v>99</v>
      </c>
      <c r="L8" s="13" t="s">
        <v>100</v>
      </c>
      <c r="M8" s="13" t="s">
        <v>101</v>
      </c>
      <c r="N8" s="13" t="s">
        <v>102</v>
      </c>
    </row>
    <row r="9">
      <c r="A9" s="14" t="str">
        <f>data!$B$3</f>
      </c>
      <c r="B9" s="14" t="str">
        <f>IF(OR(COUNTA(B4,C4,E4,F4)&gt;0,OR(D4="X",D4="x")),IF(OR(D4="X",D4="x"),0,(LEN(SUBSTITUTE(SUBSTITUTE(SUBSTITUTE(E4," ",""),"0",""),"-",""))+LEN(SUBSTITUTE(SUBSTITUTE(SUBSTITUTE(F4," ",""),"0",""),"-",""))&gt;LEN(SUBSTITUTE(SUBSTITUTE(SUBSTITUTE(B4," ",""),"0",""),"-",""))+LEN(SUBSTITUTE(SUBSTITUTE(SUBSTITUTE(C4," ",""),"0",""),"-","")))*1),0)+IF(OR(COUNTA(B5,C5,E5,F5)&gt;0,OR(D5="X",D5="x")),IF(OR(D5="X",D5="x"),0,(LEN(SUBSTITUTE(SUBSTITUTE(SUBSTITUTE(E5," ",""),"0",""),"-",""))+LEN(SUBSTITUTE(SUBSTITUTE(SUBSTITUTE(F5," ",""),"0",""),"-",""))&gt;LEN(SUBSTITUTE(SUBSTITUTE(SUBSTITUTE(B5," ",""),"0",""),"-",""))+LEN(SUBSTITUTE(SUBSTITUTE(SUBSTITUTE(C5," ",""),"0",""),"-","")))*1),0)</f>
      </c>
      <c r="C9" s="14" t="str">
        <f>IF(OR(COUNTA(B4,C4,E4,F4)&gt;0,OR(D4="X",D4="x")),IF(OR(D4="X",D4="x"),0,(LEN(SUBSTITUTE(SUBSTITUTE(SUBSTITUTE(E4," ",""),"0",""),"-",""))+LEN(SUBSTITUTE(SUBSTITUTE(SUBSTITUTE(F4," ",""),"0",""),"-",""))&lt;LEN(SUBSTITUTE(SUBSTITUTE(SUBSTITUTE(B4," ",""),"0",""),"-",""))+LEN(SUBSTITUTE(SUBSTITUTE(SUBSTITUTE(C4," ",""),"0",""),"-","")))*1),0)+IF(OR(COUNTA(B5,C5,E5,F5)&gt;0,OR(D5="X",D5="x")),IF(OR(D5="X",D5="x"),0,(LEN(SUBSTITUTE(SUBSTITUTE(SUBSTITUTE(E5," ",""),"0",""),"-",""))+LEN(SUBSTITUTE(SUBSTITUTE(SUBSTITUTE(F5," ",""),"0",""),"-",""))&lt;LEN(SUBSTITUTE(SUBSTITUTE(SUBSTITUTE(B5," ",""),"0",""),"-",""))+LEN(SUBSTITUTE(SUBSTITUTE(SUBSTITUTE(C5," ",""),"0",""),"-","")))*1),0)</f>
      </c>
      <c r="D9" s="14" t="str">
        <f>IF(OR(COUNTA(B4,C4,E4,F4)&gt;0,OR(D4="X",D4="x")),IF(OR(D4="X",D4="x"),1,0),0)+IF(OR(COUNTA(B5,C5,E5,F5)&gt;0,OR(D5="X",D5="x")),IF(OR(D5="X",D5="x"),1,0),0)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I9" s="14" t="str">
        <f>data!$B$15</f>
      </c>
      <c r="J9" s="14" t="str">
        <f>IF(OR(COUNTA(J4,K4,M4,N4)&gt;0,OR(L4="X",L4="x")),IF(OR(L4="X",L4="x"),0,(LEN(SUBSTITUTE(SUBSTITUTE(SUBSTITUTE(M4," ",""),"0",""),"-",""))+LEN(SUBSTITUTE(SUBSTITUTE(SUBSTITUTE(N4," ",""),"0",""),"-",""))&gt;LEN(SUBSTITUTE(SUBSTITUTE(SUBSTITUTE(J4," ",""),"0",""),"-",""))+LEN(SUBSTITUTE(SUBSTITUTE(SUBSTITUTE(K4," ",""),"0",""),"-","")))*1),0)+IF(OR(COUNTA(J5,K5,M5,N5)&gt;0,OR(L5="X",L5="x")),IF(OR(L5="X",L5="x"),0,(LEN(SUBSTITUTE(SUBSTITUTE(SUBSTITUTE(M5," ",""),"0",""),"-",""))+LEN(SUBSTITUTE(SUBSTITUTE(SUBSTITUTE(N5," ",""),"0",""),"-",""))&gt;LEN(SUBSTITUTE(SUBSTITUTE(SUBSTITUTE(J5," ",""),"0",""),"-",""))+LEN(SUBSTITUTE(SUBSTITUTE(SUBSTITUTE(K5," ",""),"0",""),"-","")))*1),0)</f>
      </c>
      <c r="K9" s="14" t="str">
        <f>IF(OR(COUNTA(J4,K4,M4,N4)&gt;0,OR(L4="X",L4="x")),IF(OR(L4="X",L4="x"),0,(LEN(SUBSTITUTE(SUBSTITUTE(SUBSTITUTE(M4," ",""),"0",""),"-",""))+LEN(SUBSTITUTE(SUBSTITUTE(SUBSTITUTE(N4," ",""),"0",""),"-",""))&lt;LEN(SUBSTITUTE(SUBSTITUTE(SUBSTITUTE(J4," ",""),"0",""),"-",""))+LEN(SUBSTITUTE(SUBSTITUTE(SUBSTITUTE(K4," ",""),"0",""),"-","")))*1),0)+IF(OR(COUNTA(J5,K5,M5,N5)&gt;0,OR(L5="X",L5="x")),IF(OR(L5="X",L5="x"),0,(LEN(SUBSTITUTE(SUBSTITUTE(SUBSTITUTE(M5," ",""),"0",""),"-",""))+LEN(SUBSTITUTE(SUBSTITUTE(SUBSTITUTE(N5," ",""),"0",""),"-",""))&lt;LEN(SUBSTITUTE(SUBSTITUTE(SUBSTITUTE(J5," ",""),"0",""),"-",""))+LEN(SUBSTITUTE(SUBSTITUTE(SUBSTITUTE(K5," ",""),"0",""),"-","")))*1),0)</f>
      </c>
      <c r="L9" s="14" t="str">
        <f>IF(OR(COUNTA(J4,K4,M4,N4)&gt;0,OR(L4="X",L4="x")),IF(OR(L4="X",L4="x"),1,0),0)+IF(OR(COUNTA(J5,K5,M5,N5)&gt;0,OR(L5="X",L5="x")),IF(OR(L5="X",L5="x"),1,0),0)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row>
    <row r="10">
      <c r="A10" s="14" t="str">
        <f>data!$B$4</f>
      </c>
      <c r="B10" s="14" t="str">
        <f>IF(OR(COUNTA(B4,C4,E4,F4)&gt;0,OR(D4="X",D4="x")),IF(OR(D4="X",D4="x"),0,(LEN(SUBSTITUTE(SUBSTITUTE(SUBSTITUTE(B4," ",""),"0",""),"-",""))+LEN(SUBSTITUTE(SUBSTITUTE(SUBSTITUTE(C4," ",""),"0",""),"-",""))&gt;LEN(SUBSTITUTE(SUBSTITUTE(SUBSTITUTE(E4," ",""),"0",""),"-",""))+LEN(SUBSTITUTE(SUBSTITUTE(SUBSTITUTE(F4," ",""),"0",""),"-","")))*1),0)+IF(OR(COUNTA(B6,C6,E6,F6)&gt;0,OR(D6="X",D6="x")),IF(OR(D6="X",D6="x"),0,(LEN(SUBSTITUTE(SUBSTITUTE(SUBSTITUTE(E6," ",""),"0",""),"-",""))+LEN(SUBSTITUTE(SUBSTITUTE(SUBSTITUTE(F6," ",""),"0",""),"-",""))&gt;LEN(SUBSTITUTE(SUBSTITUTE(SUBSTITUTE(B6," ",""),"0",""),"-",""))+LEN(SUBSTITUTE(SUBSTITUTE(SUBSTITUTE(C6," ",""),"0",""),"-","")))*1),0)</f>
      </c>
      <c r="C10" s="14" t="str">
        <f>IF(OR(COUNTA(B4,C4,E4,F4)&gt;0,OR(D4="X",D4="x")),IF(OR(D4="X",D4="x"),0,(LEN(SUBSTITUTE(SUBSTITUTE(SUBSTITUTE(B4," ",""),"0",""),"-",""))+LEN(SUBSTITUTE(SUBSTITUTE(SUBSTITUTE(C4," ",""),"0",""),"-",""))&lt;LEN(SUBSTITUTE(SUBSTITUTE(SUBSTITUTE(E4," ",""),"0",""),"-",""))+LEN(SUBSTITUTE(SUBSTITUTE(SUBSTITUTE(F4," ",""),"0",""),"-","")))*1),0)+IF(OR(COUNTA(B6,C6,E6,F6)&gt;0,OR(D6="X",D6="x")),IF(OR(D6="X",D6="x"),0,(LEN(SUBSTITUTE(SUBSTITUTE(SUBSTITUTE(E6," ",""),"0",""),"-",""))+LEN(SUBSTITUTE(SUBSTITUTE(SUBSTITUTE(F6," ",""),"0",""),"-",""))&lt;LEN(SUBSTITUTE(SUBSTITUTE(SUBSTITUTE(B6," ",""),"0",""),"-",""))+LEN(SUBSTITUTE(SUBSTITUTE(SUBSTITUTE(C6," ",""),"0",""),"-","")))*1),0)</f>
      </c>
      <c r="D10" s="14" t="str">
        <f>IF(OR(COUNTA(B4,C4,E4,F4)&gt;0,OR(D4="X",D4="x")),IF(OR(D4="X",D4="x"),1,0),0)+IF(OR(COUNTA(B6,C6,E6,F6)&gt;0,OR(D6="X",D6="x")),IF(OR(D6="X",D6="x"),1,0),0)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I10" s="14" t="str">
        <f>data!$B$16</f>
      </c>
      <c r="J10" s="14" t="str">
        <f>IF(OR(COUNTA(J4,K4,M4,N4)&gt;0,OR(L4="X",L4="x")),IF(OR(L4="X",L4="x"),0,(LEN(SUBSTITUTE(SUBSTITUTE(SUBSTITUTE(J4," ",""),"0",""),"-",""))+LEN(SUBSTITUTE(SUBSTITUTE(SUBSTITUTE(K4," ",""),"0",""),"-",""))&gt;LEN(SUBSTITUTE(SUBSTITUTE(SUBSTITUTE(M4," ",""),"0",""),"-",""))+LEN(SUBSTITUTE(SUBSTITUTE(SUBSTITUTE(N4," ",""),"0",""),"-","")))*1),0)+IF(OR(COUNTA(J6,K6,M6,N6)&gt;0,OR(L6="X",L6="x")),IF(OR(L6="X",L6="x"),0,(LEN(SUBSTITUTE(SUBSTITUTE(SUBSTITUTE(M6," ",""),"0",""),"-",""))+LEN(SUBSTITUTE(SUBSTITUTE(SUBSTITUTE(N6," ",""),"0",""),"-",""))&gt;LEN(SUBSTITUTE(SUBSTITUTE(SUBSTITUTE(J6," ",""),"0",""),"-",""))+LEN(SUBSTITUTE(SUBSTITUTE(SUBSTITUTE(K6," ",""),"0",""),"-","")))*1),0)</f>
      </c>
      <c r="K10" s="14" t="str">
        <f>IF(OR(COUNTA(J4,K4,M4,N4)&gt;0,OR(L4="X",L4="x")),IF(OR(L4="X",L4="x"),0,(LEN(SUBSTITUTE(SUBSTITUTE(SUBSTITUTE(J4," ",""),"0",""),"-",""))+LEN(SUBSTITUTE(SUBSTITUTE(SUBSTITUTE(K4," ",""),"0",""),"-",""))&lt;LEN(SUBSTITUTE(SUBSTITUTE(SUBSTITUTE(M4," ",""),"0",""),"-",""))+LEN(SUBSTITUTE(SUBSTITUTE(SUBSTITUTE(N4," ",""),"0",""),"-","")))*1),0)+IF(OR(COUNTA(J6,K6,M6,N6)&gt;0,OR(L6="X",L6="x")),IF(OR(L6="X",L6="x"),0,(LEN(SUBSTITUTE(SUBSTITUTE(SUBSTITUTE(M6," ",""),"0",""),"-",""))+LEN(SUBSTITUTE(SUBSTITUTE(SUBSTITUTE(N6," ",""),"0",""),"-",""))&lt;LEN(SUBSTITUTE(SUBSTITUTE(SUBSTITUTE(J6," ",""),"0",""),"-",""))+LEN(SUBSTITUTE(SUBSTITUTE(SUBSTITUTE(K6," ",""),"0",""),"-","")))*1),0)</f>
      </c>
      <c r="L10" s="14" t="str">
        <f>IF(OR(COUNTA(J4,K4,M4,N4)&gt;0,OR(L4="X",L4="x")),IF(OR(L4="X",L4="x"),1,0),0)+IF(OR(COUNTA(J6,K6,M6,N6)&gt;0,OR(L6="X",L6="x")),IF(OR(L6="X",L6="x"),1,0),0)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row>
    <row r="11">
      <c r="A11" s="14" t="str">
        <f>data!$B$5</f>
      </c>
      <c r="B11" s="14" t="str">
        <f>IF(OR(COUNTA(B5,C5,E5,F5)&gt;0,OR(D5="X",D5="x")),IF(OR(D5="X",D5="x"),0,(LEN(SUBSTITUTE(SUBSTITUTE(SUBSTITUTE(B5," ",""),"0",""),"-",""))+LEN(SUBSTITUTE(SUBSTITUTE(SUBSTITUTE(C5," ",""),"0",""),"-",""))&gt;LEN(SUBSTITUTE(SUBSTITUTE(SUBSTITUTE(E5," ",""),"0",""),"-",""))+LEN(SUBSTITUTE(SUBSTITUTE(SUBSTITUTE(F5," ",""),"0",""),"-","")))*1),0)+IF(OR(COUNTA(B6,C6,E6,F6)&gt;0,OR(D6="X",D6="x")),IF(OR(D6="X",D6="x"),0,(LEN(SUBSTITUTE(SUBSTITUTE(SUBSTITUTE(B6," ",""),"0",""),"-",""))+LEN(SUBSTITUTE(SUBSTITUTE(SUBSTITUTE(C6," ",""),"0",""),"-",""))&gt;LEN(SUBSTITUTE(SUBSTITUTE(SUBSTITUTE(E6," ",""),"0",""),"-",""))+LEN(SUBSTITUTE(SUBSTITUTE(SUBSTITUTE(F6," ",""),"0",""),"-","")))*1),0)</f>
      </c>
      <c r="C11" s="14" t="str">
        <f>IF(OR(COUNTA(B5,C5,E5,F5)&gt;0,OR(D5="X",D5="x")),IF(OR(D5="X",D5="x"),0,(LEN(SUBSTITUTE(SUBSTITUTE(SUBSTITUTE(B5," ",""),"0",""),"-",""))+LEN(SUBSTITUTE(SUBSTITUTE(SUBSTITUTE(C5," ",""),"0",""),"-",""))&lt;LEN(SUBSTITUTE(SUBSTITUTE(SUBSTITUTE(E5," ",""),"0",""),"-",""))+LEN(SUBSTITUTE(SUBSTITUTE(SUBSTITUTE(F5," ",""),"0",""),"-","")))*1),0)+IF(OR(COUNTA(B6,C6,E6,F6)&gt;0,OR(D6="X",D6="x")),IF(OR(D6="X",D6="x"),0,(LEN(SUBSTITUTE(SUBSTITUTE(SUBSTITUTE(B6," ",""),"0",""),"-",""))+LEN(SUBSTITUTE(SUBSTITUTE(SUBSTITUTE(C6," ",""),"0",""),"-",""))&lt;LEN(SUBSTITUTE(SUBSTITUTE(SUBSTITUTE(E6," ",""),"0",""),"-",""))+LEN(SUBSTITUTE(SUBSTITUTE(SUBSTITUTE(F6," ",""),"0",""),"-","")))*1),0)</f>
      </c>
      <c r="D11" s="14" t="str">
        <f>IF(OR(COUNTA(B5,C5,E5,F5)&gt;0,OR(D5="X",D5="x")),IF(OR(D5="X",D5="x"),1,0),0)+IF(OR(COUNTA(B6,C6,E6,F6)&gt;0,OR(D6="X",D6="x")),IF(OR(D6="X",D6="x"),1,0),0)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I11" s="14" t="str">
        <f>data!$B$17</f>
      </c>
      <c r="J11" s="14" t="str">
        <f>IF(OR(COUNTA(J5,K5,M5,N5)&gt;0,OR(L5="X",L5="x")),IF(OR(L5="X",L5="x"),0,(LEN(SUBSTITUTE(SUBSTITUTE(SUBSTITUTE(J5," ",""),"0",""),"-",""))+LEN(SUBSTITUTE(SUBSTITUTE(SUBSTITUTE(K5," ",""),"0",""),"-",""))&gt;LEN(SUBSTITUTE(SUBSTITUTE(SUBSTITUTE(M5," ",""),"0",""),"-",""))+LEN(SUBSTITUTE(SUBSTITUTE(SUBSTITUTE(N5," ",""),"0",""),"-","")))*1),0)+IF(OR(COUNTA(J6,K6,M6,N6)&gt;0,OR(L6="X",L6="x")),IF(OR(L6="X",L6="x"),0,(LEN(SUBSTITUTE(SUBSTITUTE(SUBSTITUTE(J6," ",""),"0",""),"-",""))+LEN(SUBSTITUTE(SUBSTITUTE(SUBSTITUTE(K6," ",""),"0",""),"-",""))&gt;LEN(SUBSTITUTE(SUBSTITUTE(SUBSTITUTE(M6," ",""),"0",""),"-",""))+LEN(SUBSTITUTE(SUBSTITUTE(SUBSTITUTE(N6," ",""),"0",""),"-","")))*1),0)</f>
      </c>
      <c r="K11" s="14" t="str">
        <f>IF(OR(COUNTA(J5,K5,M5,N5)&gt;0,OR(L5="X",L5="x")),IF(OR(L5="X",L5="x"),0,(LEN(SUBSTITUTE(SUBSTITUTE(SUBSTITUTE(J5," ",""),"0",""),"-",""))+LEN(SUBSTITUTE(SUBSTITUTE(SUBSTITUTE(K5," ",""),"0",""),"-",""))&lt;LEN(SUBSTITUTE(SUBSTITUTE(SUBSTITUTE(M5," ",""),"0",""),"-",""))+LEN(SUBSTITUTE(SUBSTITUTE(SUBSTITUTE(N5," ",""),"0",""),"-","")))*1),0)+IF(OR(COUNTA(J6,K6,M6,N6)&gt;0,OR(L6="X",L6="x")),IF(OR(L6="X",L6="x"),0,(LEN(SUBSTITUTE(SUBSTITUTE(SUBSTITUTE(J6," ",""),"0",""),"-",""))+LEN(SUBSTITUTE(SUBSTITUTE(SUBSTITUTE(K6," ",""),"0",""),"-",""))&lt;LEN(SUBSTITUTE(SUBSTITUTE(SUBSTITUTE(M6," ",""),"0",""),"-",""))+LEN(SUBSTITUTE(SUBSTITUTE(SUBSTITUTE(N6," ",""),"0",""),"-","")))*1),0)</f>
      </c>
      <c r="L11" s="14" t="str">
        <f>IF(OR(COUNTA(J5,K5,M5,N5)&gt;0,OR(L5="X",L5="x")),IF(OR(L5="X",L5="x"),1,0),0)+IF(OR(COUNTA(J6,K6,M6,N6)&gt;0,OR(L6="X",L6="x")),IF(OR(L6="X",L6="x"),1,0),0)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row>
    <row r="13">
      <c r="F13" t="s">
        <v>103</v>
      </c>
      <c r="G13" s="19"/>
      <c r="N13" t="s">
        <v>103</v>
      </c>
      <c r="O13" s="19"/>
    </row>
    <row r="14">
      <c r="F14" t="s">
        <v>104</v>
      </c>
      <c r="G14" s="19"/>
      <c r="N14" t="s">
        <v>104</v>
      </c>
      <c r="O14" s="19"/>
    </row>
    <row r="15">
      <c r="F15" t="s">
        <v>105</v>
      </c>
      <c r="G15" s="19"/>
      <c r="N15" t="s">
        <v>105</v>
      </c>
      <c r="O15" s="19"/>
    </row>
    <row r="18">
      <c r="A18" s="13" t="str">
        <f>data!$A$8</f>
      </c>
      <c r="B18" s="13"/>
      <c r="C18" s="13"/>
      <c r="D18" s="13"/>
      <c r="E18" s="13"/>
      <c r="F18" s="13"/>
      <c r="G18" s="13"/>
      <c r="I18" s="13" t="str">
        <f>data!$A$20</f>
      </c>
      <c r="J18" s="13"/>
      <c r="K18" s="13"/>
      <c r="L18" s="13"/>
      <c r="M18" s="13"/>
      <c r="N18" s="13"/>
      <c r="O18" s="13"/>
    </row>
    <row r="19">
      <c r="A19" s="17" t="s">
        <v>94</v>
      </c>
      <c r="D19" s="14" t="s">
        <v>95</v>
      </c>
      <c r="G19" s="16" t="s">
        <v>96</v>
      </c>
      <c r="I19" s="17" t="s">
        <v>94</v>
      </c>
      <c r="L19" s="14" t="s">
        <v>95</v>
      </c>
      <c r="O19" s="16" t="s">
        <v>96</v>
      </c>
    </row>
    <row r="20">
      <c r="A20" s="14" t="str">
        <f>data!$B$7</f>
      </c>
      <c r="B20" s="18"/>
      <c r="C20" s="18"/>
      <c r="D20" s="18"/>
      <c r="E20" s="18"/>
      <c r="F20" s="18"/>
      <c r="G20" s="14" t="str">
        <f>data!$B$6</f>
      </c>
      <c r="I20" s="14" t="str">
        <f>data!$B$19</f>
      </c>
      <c r="J20" s="18"/>
      <c r="K20" s="18"/>
      <c r="L20" s="18"/>
      <c r="M20" s="18"/>
      <c r="N20" s="18"/>
      <c r="O20" s="14" t="str">
        <f>data!$B$18</f>
      </c>
    </row>
    <row r="21">
      <c r="A21" s="14" t="str">
        <f>data!$B$8</f>
      </c>
      <c r="B21" s="18"/>
      <c r="C21" s="18"/>
      <c r="D21" s="18"/>
      <c r="E21" s="18"/>
      <c r="F21" s="18"/>
      <c r="G21" s="14" t="str">
        <f>data!$B$6</f>
      </c>
      <c r="I21" s="14" t="str">
        <f>data!$B$20</f>
      </c>
      <c r="J21" s="18"/>
      <c r="K21" s="18"/>
      <c r="L21" s="18"/>
      <c r="M21" s="18"/>
      <c r="N21" s="18"/>
      <c r="O21" s="14" t="str">
        <f>data!$B$18</f>
      </c>
    </row>
    <row r="22">
      <c r="A22" s="14" t="str">
        <f>data!$B$8</f>
      </c>
      <c r="B22" s="18"/>
      <c r="C22" s="18"/>
      <c r="D22" s="18"/>
      <c r="E22" s="18"/>
      <c r="F22" s="18"/>
      <c r="G22" s="14" t="str">
        <f>data!$B$7</f>
      </c>
      <c r="I22" s="14" t="str">
        <f>data!$B$20</f>
      </c>
      <c r="J22" s="18"/>
      <c r="K22" s="18"/>
      <c r="L22" s="18"/>
      <c r="M22" s="18"/>
      <c r="N22" s="18"/>
      <c r="O22" s="14" t="str">
        <f>data!$B$19</f>
      </c>
    </row>
    <row r="24">
      <c r="A24" s="13" t="s">
        <v>97</v>
      </c>
      <c r="B24" s="13" t="s">
        <v>98</v>
      </c>
      <c r="C24" s="13" t="s">
        <v>99</v>
      </c>
      <c r="D24" s="13" t="s">
        <v>100</v>
      </c>
      <c r="E24" s="13" t="s">
        <v>101</v>
      </c>
      <c r="F24" s="13" t="s">
        <v>102</v>
      </c>
      <c r="I24" s="13" t="s">
        <v>97</v>
      </c>
      <c r="J24" s="13" t="s">
        <v>98</v>
      </c>
      <c r="K24" s="13" t="s">
        <v>99</v>
      </c>
      <c r="L24" s="13" t="s">
        <v>100</v>
      </c>
      <c r="M24" s="13" t="s">
        <v>101</v>
      </c>
      <c r="N24" s="13" t="s">
        <v>102</v>
      </c>
    </row>
    <row r="25">
      <c r="A25" s="14" t="str">
        <f>data!$B$6</f>
      </c>
      <c r="B25" s="14" t="str">
        <f>IF(OR(COUNTA(B20,C20,E20,F20)&gt;0,OR(D20="X",D20="x")),IF(OR(D20="X",D20="x"),0,(LEN(SUBSTITUTE(SUBSTITUTE(SUBSTITUTE(E20," ",""),"0",""),"-",""))+LEN(SUBSTITUTE(SUBSTITUTE(SUBSTITUTE(F20," ",""),"0",""),"-",""))&gt;LEN(SUBSTITUTE(SUBSTITUTE(SUBSTITUTE(B20," ",""),"0",""),"-",""))+LEN(SUBSTITUTE(SUBSTITUTE(SUBSTITUTE(C20," ",""),"0",""),"-","")))*1),0)+IF(OR(COUNTA(B21,C21,E21,F21)&gt;0,OR(D21="X",D21="x")),IF(OR(D21="X",D21="x"),0,(LEN(SUBSTITUTE(SUBSTITUTE(SUBSTITUTE(E21," ",""),"0",""),"-",""))+LEN(SUBSTITUTE(SUBSTITUTE(SUBSTITUTE(F21," ",""),"0",""),"-",""))&gt;LEN(SUBSTITUTE(SUBSTITUTE(SUBSTITUTE(B21," ",""),"0",""),"-",""))+LEN(SUBSTITUTE(SUBSTITUTE(SUBSTITUTE(C21," ",""),"0",""),"-","")))*1),0)</f>
      </c>
      <c r="C25" s="14" t="str">
        <f>IF(OR(COUNTA(B20,C20,E20,F20)&gt;0,OR(D20="X",D20="x")),IF(OR(D20="X",D20="x"),0,(LEN(SUBSTITUTE(SUBSTITUTE(SUBSTITUTE(E20," ",""),"0",""),"-",""))+LEN(SUBSTITUTE(SUBSTITUTE(SUBSTITUTE(F20," ",""),"0",""),"-",""))&lt;LEN(SUBSTITUTE(SUBSTITUTE(SUBSTITUTE(B20," ",""),"0",""),"-",""))+LEN(SUBSTITUTE(SUBSTITUTE(SUBSTITUTE(C20," ",""),"0",""),"-","")))*1),0)+IF(OR(COUNTA(B21,C21,E21,F21)&gt;0,OR(D21="X",D21="x")),IF(OR(D21="X",D21="x"),0,(LEN(SUBSTITUTE(SUBSTITUTE(SUBSTITUTE(E21," ",""),"0",""),"-",""))+LEN(SUBSTITUTE(SUBSTITUTE(SUBSTITUTE(F21," ",""),"0",""),"-",""))&lt;LEN(SUBSTITUTE(SUBSTITUTE(SUBSTITUTE(B21," ",""),"0",""),"-",""))+LEN(SUBSTITUTE(SUBSTITUTE(SUBSTITUTE(C21," ",""),"0",""),"-","")))*1),0)</f>
      </c>
      <c r="D25" s="14" t="str">
        <f>IF(OR(COUNTA(B20,C20,E20,F20)&gt;0,OR(D20="X",D20="x")),IF(OR(D20="X",D20="x"),1,0),0)+IF(OR(COUNTA(B21,C21,E21,F21)&gt;0,OR(D21="X",D21="x")),IF(OR(D21="X",D21="x"),1,0),0)</f>
      </c>
      <c r="E25" s="14" t="str">
        <f>LEN(SUBSTITUTE(SUBSTITUTE(SUBSTITUTE(E20," ",""),"0",""),"-",""))+LEN(SUBSTITUTE(SUBSTITUTE(SUBSTITUTE(F20," ",""),"0",""),"-",""))+LEN(SUBSTITUTE(SUBSTITUTE(SUBSTITUTE(E21," ",""),"0",""),"-",""))+LEN(SUBSTITUTE(SUBSTITUTE(SUBSTITUTE(F21," ",""),"0",""),"-",""))</f>
      </c>
      <c r="F25" s="14" t="str">
        <f>LEN(SUBSTITUTE(SUBSTITUTE(SUBSTITUTE(B20," ",""),"0",""),"-",""))+LEN(SUBSTITUTE(SUBSTITUTE(SUBSTITUTE(C20," ",""),"0",""),"-",""))+LEN(SUBSTITUTE(SUBSTITUTE(SUBSTITUTE(B21," ",""),"0",""),"-",""))+LEN(SUBSTITUTE(SUBSTITUTE(SUBSTITUTE(C21," ",""),"0",""),"-",""))</f>
      </c>
      <c r="I25" s="14" t="str">
        <f>data!$B$18</f>
      </c>
      <c r="J25" s="14" t="str">
        <f>IF(OR(COUNTA(J20,K20,M20,N20)&gt;0,OR(L20="X",L20="x")),IF(OR(L20="X",L20="x"),0,(LEN(SUBSTITUTE(SUBSTITUTE(SUBSTITUTE(M20," ",""),"0",""),"-",""))+LEN(SUBSTITUTE(SUBSTITUTE(SUBSTITUTE(N20," ",""),"0",""),"-",""))&gt;LEN(SUBSTITUTE(SUBSTITUTE(SUBSTITUTE(J20," ",""),"0",""),"-",""))+LEN(SUBSTITUTE(SUBSTITUTE(SUBSTITUTE(K20," ",""),"0",""),"-","")))*1),0)+IF(OR(COUNTA(J21,K21,M21,N21)&gt;0,OR(L21="X",L21="x")),IF(OR(L21="X",L21="x"),0,(LEN(SUBSTITUTE(SUBSTITUTE(SUBSTITUTE(M21," ",""),"0",""),"-",""))+LEN(SUBSTITUTE(SUBSTITUTE(SUBSTITUTE(N21," ",""),"0",""),"-",""))&gt;LEN(SUBSTITUTE(SUBSTITUTE(SUBSTITUTE(J21," ",""),"0",""),"-",""))+LEN(SUBSTITUTE(SUBSTITUTE(SUBSTITUTE(K21," ",""),"0",""),"-","")))*1),0)</f>
      </c>
      <c r="K25" s="14" t="str">
        <f>IF(OR(COUNTA(J20,K20,M20,N20)&gt;0,OR(L20="X",L20="x")),IF(OR(L20="X",L20="x"),0,(LEN(SUBSTITUTE(SUBSTITUTE(SUBSTITUTE(M20," ",""),"0",""),"-",""))+LEN(SUBSTITUTE(SUBSTITUTE(SUBSTITUTE(N20," ",""),"0",""),"-",""))&lt;LEN(SUBSTITUTE(SUBSTITUTE(SUBSTITUTE(J20," ",""),"0",""),"-",""))+LEN(SUBSTITUTE(SUBSTITUTE(SUBSTITUTE(K20," ",""),"0",""),"-","")))*1),0)+IF(OR(COUNTA(J21,K21,M21,N21)&gt;0,OR(L21="X",L21="x")),IF(OR(L21="X",L21="x"),0,(LEN(SUBSTITUTE(SUBSTITUTE(SUBSTITUTE(M21," ",""),"0",""),"-",""))+LEN(SUBSTITUTE(SUBSTITUTE(SUBSTITUTE(N21," ",""),"0",""),"-",""))&lt;LEN(SUBSTITUTE(SUBSTITUTE(SUBSTITUTE(J21," ",""),"0",""),"-",""))+LEN(SUBSTITUTE(SUBSTITUTE(SUBSTITUTE(K21," ",""),"0",""),"-","")))*1),0)</f>
      </c>
      <c r="L25" s="14" t="str">
        <f>IF(OR(COUNTA(J20,K20,M20,N20)&gt;0,OR(L20="X",L20="x")),IF(OR(L20="X",L20="x"),1,0),0)+IF(OR(COUNTA(J21,K21,M21,N21)&gt;0,OR(L21="X",L21="x")),IF(OR(L21="X",L21="x"),1,0),0)</f>
      </c>
      <c r="M25" s="14" t="str">
        <f>LEN(SUBSTITUTE(SUBSTITUTE(SUBSTITUTE(M20," ",""),"0",""),"-",""))+LEN(SUBSTITUTE(SUBSTITUTE(SUBSTITUTE(N20," ",""),"0",""),"-",""))+LEN(SUBSTITUTE(SUBSTITUTE(SUBSTITUTE(M21," ",""),"0",""),"-",""))+LEN(SUBSTITUTE(SUBSTITUTE(SUBSTITUTE(N21," ",""),"0",""),"-",""))</f>
      </c>
      <c r="N25" s="14" t="str">
        <f>LEN(SUBSTITUTE(SUBSTITUTE(SUBSTITUTE(J20," ",""),"0",""),"-",""))+LEN(SUBSTITUTE(SUBSTITUTE(SUBSTITUTE(K20," ",""),"0",""),"-",""))+LEN(SUBSTITUTE(SUBSTITUTE(SUBSTITUTE(J21," ",""),"0",""),"-",""))+LEN(SUBSTITUTE(SUBSTITUTE(SUBSTITUTE(K21," ",""),"0",""),"-",""))</f>
      </c>
    </row>
    <row r="26">
      <c r="A26" s="14" t="str">
        <f>data!$B$7</f>
      </c>
      <c r="B26" s="14" t="str">
        <f>IF(OR(COUNTA(B20,C20,E20,F20)&gt;0,OR(D20="X",D20="x")),IF(OR(D20="X",D20="x"),0,(LEN(SUBSTITUTE(SUBSTITUTE(SUBSTITUTE(B20," ",""),"0",""),"-",""))+LEN(SUBSTITUTE(SUBSTITUTE(SUBSTITUTE(C20," ",""),"0",""),"-",""))&gt;LEN(SUBSTITUTE(SUBSTITUTE(SUBSTITUTE(E20," ",""),"0",""),"-",""))+LEN(SUBSTITUTE(SUBSTITUTE(SUBSTITUTE(F20," ",""),"0",""),"-","")))*1),0)+IF(OR(COUNTA(B22,C22,E22,F22)&gt;0,OR(D22="X",D22="x")),IF(OR(D22="X",D22="x"),0,(LEN(SUBSTITUTE(SUBSTITUTE(SUBSTITUTE(E22," ",""),"0",""),"-",""))+LEN(SUBSTITUTE(SUBSTITUTE(SUBSTITUTE(F22," ",""),"0",""),"-",""))&gt;LEN(SUBSTITUTE(SUBSTITUTE(SUBSTITUTE(B22," ",""),"0",""),"-",""))+LEN(SUBSTITUTE(SUBSTITUTE(SUBSTITUTE(C22," ",""),"0",""),"-","")))*1),0)</f>
      </c>
      <c r="C26" s="14" t="str">
        <f>IF(OR(COUNTA(B20,C20,E20,F20)&gt;0,OR(D20="X",D20="x")),IF(OR(D20="X",D20="x"),0,(LEN(SUBSTITUTE(SUBSTITUTE(SUBSTITUTE(B20," ",""),"0",""),"-",""))+LEN(SUBSTITUTE(SUBSTITUTE(SUBSTITUTE(C20," ",""),"0",""),"-",""))&lt;LEN(SUBSTITUTE(SUBSTITUTE(SUBSTITUTE(E20," ",""),"0",""),"-",""))+LEN(SUBSTITUTE(SUBSTITUTE(SUBSTITUTE(F20," ",""),"0",""),"-","")))*1),0)+IF(OR(COUNTA(B22,C22,E22,F22)&gt;0,OR(D22="X",D22="x")),IF(OR(D22="X",D22="x"),0,(LEN(SUBSTITUTE(SUBSTITUTE(SUBSTITUTE(E22," ",""),"0",""),"-",""))+LEN(SUBSTITUTE(SUBSTITUTE(SUBSTITUTE(F22," ",""),"0",""),"-",""))&lt;LEN(SUBSTITUTE(SUBSTITUTE(SUBSTITUTE(B22," ",""),"0",""),"-",""))+LEN(SUBSTITUTE(SUBSTITUTE(SUBSTITUTE(C22," ",""),"0",""),"-","")))*1),0)</f>
      </c>
      <c r="D26" s="14" t="str">
        <f>IF(OR(COUNTA(B20,C20,E20,F20)&gt;0,OR(D20="X",D20="x")),IF(OR(D20="X",D20="x"),1,0),0)+IF(OR(COUNTA(B22,C22,E22,F22)&gt;0,OR(D22="X",D22="x")),IF(OR(D22="X",D22="x"),1,0),0)</f>
      </c>
      <c r="E26" s="14" t="str">
        <f>LEN(SUBSTITUTE(SUBSTITUTE(SUBSTITUTE(B20," ",""),"0",""),"-",""))+LEN(SUBSTITUTE(SUBSTITUTE(SUBSTITUTE(C20," ",""),"0",""),"-",""))+LEN(SUBSTITUTE(SUBSTITUTE(SUBSTITUTE(E22," ",""),"0",""),"-",""))+LEN(SUBSTITUTE(SUBSTITUTE(SUBSTITUTE(F22," ",""),"0",""),"-",""))</f>
      </c>
      <c r="F26" s="14" t="str">
        <f>LEN(SUBSTITUTE(SUBSTITUTE(SUBSTITUTE(E20," ",""),"0",""),"-",""))+LEN(SUBSTITUTE(SUBSTITUTE(SUBSTITUTE(F20," ",""),"0",""),"-",""))+LEN(SUBSTITUTE(SUBSTITUTE(SUBSTITUTE(B22," ",""),"0",""),"-",""))+LEN(SUBSTITUTE(SUBSTITUTE(SUBSTITUTE(C22," ",""),"0",""),"-",""))</f>
      </c>
      <c r="I26" s="14" t="str">
        <f>data!$B$19</f>
      </c>
      <c r="J26" s="14" t="str">
        <f>IF(OR(COUNTA(J20,K20,M20,N20)&gt;0,OR(L20="X",L20="x")),IF(OR(L20="X",L20="x"),0,(LEN(SUBSTITUTE(SUBSTITUTE(SUBSTITUTE(J20," ",""),"0",""),"-",""))+LEN(SUBSTITUTE(SUBSTITUTE(SUBSTITUTE(K20," ",""),"0",""),"-",""))&gt;LEN(SUBSTITUTE(SUBSTITUTE(SUBSTITUTE(M20," ",""),"0",""),"-",""))+LEN(SUBSTITUTE(SUBSTITUTE(SUBSTITUTE(N20," ",""),"0",""),"-","")))*1),0)+IF(OR(COUNTA(J22,K22,M22,N22)&gt;0,OR(L22="X",L22="x")),IF(OR(L22="X",L22="x"),0,(LEN(SUBSTITUTE(SUBSTITUTE(SUBSTITUTE(M22," ",""),"0",""),"-",""))+LEN(SUBSTITUTE(SUBSTITUTE(SUBSTITUTE(N22," ",""),"0",""),"-",""))&gt;LEN(SUBSTITUTE(SUBSTITUTE(SUBSTITUTE(J22," ",""),"0",""),"-",""))+LEN(SUBSTITUTE(SUBSTITUTE(SUBSTITUTE(K22," ",""),"0",""),"-","")))*1),0)</f>
      </c>
      <c r="K26" s="14" t="str">
        <f>IF(OR(COUNTA(J20,K20,M20,N20)&gt;0,OR(L20="X",L20="x")),IF(OR(L20="X",L20="x"),0,(LEN(SUBSTITUTE(SUBSTITUTE(SUBSTITUTE(J20," ",""),"0",""),"-",""))+LEN(SUBSTITUTE(SUBSTITUTE(SUBSTITUTE(K20," ",""),"0",""),"-",""))&lt;LEN(SUBSTITUTE(SUBSTITUTE(SUBSTITUTE(M20," ",""),"0",""),"-",""))+LEN(SUBSTITUTE(SUBSTITUTE(SUBSTITUTE(N20," ",""),"0",""),"-","")))*1),0)+IF(OR(COUNTA(J22,K22,M22,N22)&gt;0,OR(L22="X",L22="x")),IF(OR(L22="X",L22="x"),0,(LEN(SUBSTITUTE(SUBSTITUTE(SUBSTITUTE(M22," ",""),"0",""),"-",""))+LEN(SUBSTITUTE(SUBSTITUTE(SUBSTITUTE(N22," ",""),"0",""),"-",""))&lt;LEN(SUBSTITUTE(SUBSTITUTE(SUBSTITUTE(J22," ",""),"0",""),"-",""))+LEN(SUBSTITUTE(SUBSTITUTE(SUBSTITUTE(K22," ",""),"0",""),"-","")))*1),0)</f>
      </c>
      <c r="L26" s="14" t="str">
        <f>IF(OR(COUNTA(J20,K20,M20,N20)&gt;0,OR(L20="X",L20="x")),IF(OR(L20="X",L20="x"),1,0),0)+IF(OR(COUNTA(J22,K22,M22,N22)&gt;0,OR(L22="X",L22="x")),IF(OR(L22="X",L22="x"),1,0),0)</f>
      </c>
      <c r="M26" s="14" t="str">
        <f>LEN(SUBSTITUTE(SUBSTITUTE(SUBSTITUTE(J20," ",""),"0",""),"-",""))+LEN(SUBSTITUTE(SUBSTITUTE(SUBSTITUTE(K20," ",""),"0",""),"-",""))+LEN(SUBSTITUTE(SUBSTITUTE(SUBSTITUTE(M22," ",""),"0",""),"-",""))+LEN(SUBSTITUTE(SUBSTITUTE(SUBSTITUTE(N22," ",""),"0",""),"-",""))</f>
      </c>
      <c r="N26" s="14" t="str">
        <f>LEN(SUBSTITUTE(SUBSTITUTE(SUBSTITUTE(M20," ",""),"0",""),"-",""))+LEN(SUBSTITUTE(SUBSTITUTE(SUBSTITUTE(N20," ",""),"0",""),"-",""))+LEN(SUBSTITUTE(SUBSTITUTE(SUBSTITUTE(J22," ",""),"0",""),"-",""))+LEN(SUBSTITUTE(SUBSTITUTE(SUBSTITUTE(K22," ",""),"0",""),"-",""))</f>
      </c>
    </row>
    <row r="27">
      <c r="A27" s="14" t="str">
        <f>data!$B$8</f>
      </c>
      <c r="B27" s="14" t="str">
        <f>IF(OR(COUNTA(B21,C21,E21,F21)&gt;0,OR(D21="X",D21="x")),IF(OR(D21="X",D21="x"),0,(LEN(SUBSTITUTE(SUBSTITUTE(SUBSTITUTE(B21," ",""),"0",""),"-",""))+LEN(SUBSTITUTE(SUBSTITUTE(SUBSTITUTE(C21," ",""),"0",""),"-",""))&gt;LEN(SUBSTITUTE(SUBSTITUTE(SUBSTITUTE(E21," ",""),"0",""),"-",""))+LEN(SUBSTITUTE(SUBSTITUTE(SUBSTITUTE(F21," ",""),"0",""),"-","")))*1),0)+IF(OR(COUNTA(B22,C22,E22,F22)&gt;0,OR(D22="X",D22="x")),IF(OR(D22="X",D22="x"),0,(LEN(SUBSTITUTE(SUBSTITUTE(SUBSTITUTE(B22," ",""),"0",""),"-",""))+LEN(SUBSTITUTE(SUBSTITUTE(SUBSTITUTE(C22," ",""),"0",""),"-",""))&gt;LEN(SUBSTITUTE(SUBSTITUTE(SUBSTITUTE(E22," ",""),"0",""),"-",""))+LEN(SUBSTITUTE(SUBSTITUTE(SUBSTITUTE(F22," ",""),"0",""),"-","")))*1),0)</f>
      </c>
      <c r="C27" s="14" t="str">
        <f>IF(OR(COUNTA(B21,C21,E21,F21)&gt;0,OR(D21="X",D21="x")),IF(OR(D21="X",D21="x"),0,(LEN(SUBSTITUTE(SUBSTITUTE(SUBSTITUTE(B21," ",""),"0",""),"-",""))+LEN(SUBSTITUTE(SUBSTITUTE(SUBSTITUTE(C21," ",""),"0",""),"-",""))&lt;LEN(SUBSTITUTE(SUBSTITUTE(SUBSTITUTE(E21," ",""),"0",""),"-",""))+LEN(SUBSTITUTE(SUBSTITUTE(SUBSTITUTE(F21," ",""),"0",""),"-","")))*1),0)+IF(OR(COUNTA(B22,C22,E22,F22)&gt;0,OR(D22="X",D22="x")),IF(OR(D22="X",D22="x"),0,(LEN(SUBSTITUTE(SUBSTITUTE(SUBSTITUTE(B22," ",""),"0",""),"-",""))+LEN(SUBSTITUTE(SUBSTITUTE(SUBSTITUTE(C22," ",""),"0",""),"-",""))&lt;LEN(SUBSTITUTE(SUBSTITUTE(SUBSTITUTE(E22," ",""),"0",""),"-",""))+LEN(SUBSTITUTE(SUBSTITUTE(SUBSTITUTE(F22," ",""),"0",""),"-","")))*1),0)</f>
      </c>
      <c r="D27" s="14" t="str">
        <f>IF(OR(COUNTA(B21,C21,E21,F21)&gt;0,OR(D21="X",D21="x")),IF(OR(D21="X",D21="x"),1,0),0)+IF(OR(COUNTA(B22,C22,E22,F22)&gt;0,OR(D22="X",D22="x")),IF(OR(D22="X",D22="x"),1,0),0)</f>
      </c>
      <c r="E27" s="14" t="str">
        <f>LEN(SUBSTITUTE(SUBSTITUTE(SUBSTITUTE(B21," ",""),"0",""),"-",""))+LEN(SUBSTITUTE(SUBSTITUTE(SUBSTITUTE(C21," ",""),"0",""),"-",""))+LEN(SUBSTITUTE(SUBSTITUTE(SUBSTITUTE(B22," ",""),"0",""),"-",""))+LEN(SUBSTITUTE(SUBSTITUTE(SUBSTITUTE(C22," ",""),"0",""),"-",""))</f>
      </c>
      <c r="F27" s="14" t="str">
        <f>LEN(SUBSTITUTE(SUBSTITUTE(SUBSTITUTE(E21," ",""),"0",""),"-",""))+LEN(SUBSTITUTE(SUBSTITUTE(SUBSTITUTE(F21," ",""),"0",""),"-",""))+LEN(SUBSTITUTE(SUBSTITUTE(SUBSTITUTE(E22," ",""),"0",""),"-",""))+LEN(SUBSTITUTE(SUBSTITUTE(SUBSTITUTE(F22," ",""),"0",""),"-",""))</f>
      </c>
      <c r="I27" s="14" t="str">
        <f>data!$B$20</f>
      </c>
      <c r="J27" s="14" t="str">
        <f>IF(OR(COUNTA(J21,K21,M21,N21)&gt;0,OR(L21="X",L21="x")),IF(OR(L21="X",L21="x"),0,(LEN(SUBSTITUTE(SUBSTITUTE(SUBSTITUTE(J21," ",""),"0",""),"-",""))+LEN(SUBSTITUTE(SUBSTITUTE(SUBSTITUTE(K21," ",""),"0",""),"-",""))&gt;LEN(SUBSTITUTE(SUBSTITUTE(SUBSTITUTE(M21," ",""),"0",""),"-",""))+LEN(SUBSTITUTE(SUBSTITUTE(SUBSTITUTE(N21," ",""),"0",""),"-","")))*1),0)+IF(OR(COUNTA(J22,K22,M22,N22)&gt;0,OR(L22="X",L22="x")),IF(OR(L22="X",L22="x"),0,(LEN(SUBSTITUTE(SUBSTITUTE(SUBSTITUTE(J22," ",""),"0",""),"-",""))+LEN(SUBSTITUTE(SUBSTITUTE(SUBSTITUTE(K22," ",""),"0",""),"-",""))&gt;LEN(SUBSTITUTE(SUBSTITUTE(SUBSTITUTE(M22," ",""),"0",""),"-",""))+LEN(SUBSTITUTE(SUBSTITUTE(SUBSTITUTE(N22," ",""),"0",""),"-","")))*1),0)</f>
      </c>
      <c r="K27" s="14" t="str">
        <f>IF(OR(COUNTA(J21,K21,M21,N21)&gt;0,OR(L21="X",L21="x")),IF(OR(L21="X",L21="x"),0,(LEN(SUBSTITUTE(SUBSTITUTE(SUBSTITUTE(J21," ",""),"0",""),"-",""))+LEN(SUBSTITUTE(SUBSTITUTE(SUBSTITUTE(K21," ",""),"0",""),"-",""))&lt;LEN(SUBSTITUTE(SUBSTITUTE(SUBSTITUTE(M21," ",""),"0",""),"-",""))+LEN(SUBSTITUTE(SUBSTITUTE(SUBSTITUTE(N21," ",""),"0",""),"-","")))*1),0)+IF(OR(COUNTA(J22,K22,M22,N22)&gt;0,OR(L22="X",L22="x")),IF(OR(L22="X",L22="x"),0,(LEN(SUBSTITUTE(SUBSTITUTE(SUBSTITUTE(J22," ",""),"0",""),"-",""))+LEN(SUBSTITUTE(SUBSTITUTE(SUBSTITUTE(K22," ",""),"0",""),"-",""))&lt;LEN(SUBSTITUTE(SUBSTITUTE(SUBSTITUTE(M22," ",""),"0",""),"-",""))+LEN(SUBSTITUTE(SUBSTITUTE(SUBSTITUTE(N22," ",""),"0",""),"-","")))*1),0)</f>
      </c>
      <c r="L27" s="14" t="str">
        <f>IF(OR(COUNTA(J21,K21,M21,N21)&gt;0,OR(L21="X",L21="x")),IF(OR(L21="X",L21="x"),1,0),0)+IF(OR(COUNTA(J22,K22,M22,N22)&gt;0,OR(L22="X",L22="x")),IF(OR(L22="X",L22="x"),1,0),0)</f>
      </c>
      <c r="M27" s="14" t="str">
        <f>LEN(SUBSTITUTE(SUBSTITUTE(SUBSTITUTE(J21," ",""),"0",""),"-",""))+LEN(SUBSTITUTE(SUBSTITUTE(SUBSTITUTE(K21," ",""),"0",""),"-",""))+LEN(SUBSTITUTE(SUBSTITUTE(SUBSTITUTE(J22," ",""),"0",""),"-",""))+LEN(SUBSTITUTE(SUBSTITUTE(SUBSTITUTE(K22," ",""),"0",""),"-",""))</f>
      </c>
      <c r="N27" s="14" t="str">
        <f>LEN(SUBSTITUTE(SUBSTITUTE(SUBSTITUTE(M21," ",""),"0",""),"-",""))+LEN(SUBSTITUTE(SUBSTITUTE(SUBSTITUTE(N21," ",""),"0",""),"-",""))+LEN(SUBSTITUTE(SUBSTITUTE(SUBSTITUTE(M22," ",""),"0",""),"-",""))+LEN(SUBSTITUTE(SUBSTITUTE(SUBSTITUTE(N22," ",""),"0",""),"-",""))</f>
      </c>
    </row>
    <row r="29">
      <c r="F29" t="s">
        <v>103</v>
      </c>
      <c r="G29" s="19"/>
      <c r="N29" t="s">
        <v>103</v>
      </c>
      <c r="O29" s="19"/>
    </row>
    <row r="30">
      <c r="F30" t="s">
        <v>104</v>
      </c>
      <c r="G30" s="19"/>
      <c r="N30" t="s">
        <v>104</v>
      </c>
      <c r="O30" s="19"/>
    </row>
    <row r="31">
      <c r="F31" t="s">
        <v>105</v>
      </c>
      <c r="G31" s="19"/>
      <c r="N31" t="s">
        <v>105</v>
      </c>
      <c r="O31" s="19"/>
    </row>
    <row r="34">
      <c r="A34" s="13" t="str">
        <f>data!$A$11</f>
      </c>
      <c r="B34" s="13"/>
      <c r="C34" s="13"/>
      <c r="D34" s="13"/>
      <c r="E34" s="13"/>
      <c r="F34" s="13"/>
      <c r="G34" s="13"/>
      <c r="I34" s="13" t="str">
        <f>data!$A$23</f>
      </c>
      <c r="J34" s="13"/>
      <c r="K34" s="13"/>
      <c r="L34" s="13"/>
      <c r="M34" s="13"/>
      <c r="N34" s="13"/>
      <c r="O34" s="13"/>
    </row>
    <row r="35">
      <c r="A35" s="17" t="s">
        <v>94</v>
      </c>
      <c r="D35" s="14" t="s">
        <v>95</v>
      </c>
      <c r="G35" s="16" t="s">
        <v>96</v>
      </c>
      <c r="I35" s="17" t="s">
        <v>94</v>
      </c>
      <c r="L35" s="14" t="s">
        <v>95</v>
      </c>
      <c r="O35" s="16" t="s">
        <v>96</v>
      </c>
    </row>
    <row r="36">
      <c r="A36" s="14" t="str">
        <f>data!$B$10</f>
      </c>
      <c r="B36" s="18"/>
      <c r="C36" s="18"/>
      <c r="D36" s="18"/>
      <c r="E36" s="18"/>
      <c r="F36" s="18"/>
      <c r="G36" s="14" t="str">
        <f>data!$B$9</f>
      </c>
      <c r="I36" s="14" t="str">
        <f>data!$B$22</f>
      </c>
      <c r="J36" s="18"/>
      <c r="K36" s="18"/>
      <c r="L36" s="18"/>
      <c r="M36" s="18"/>
      <c r="N36" s="18"/>
      <c r="O36" s="14" t="str">
        <f>data!$B$21</f>
      </c>
    </row>
    <row r="37">
      <c r="A37" s="14" t="str">
        <f>data!$B$11</f>
      </c>
      <c r="B37" s="18"/>
      <c r="C37" s="18"/>
      <c r="D37" s="18"/>
      <c r="E37" s="18"/>
      <c r="F37" s="18"/>
      <c r="G37" s="14" t="str">
        <f>data!$B$9</f>
      </c>
      <c r="I37" s="14" t="str">
        <f>data!$B$23</f>
      </c>
      <c r="J37" s="18"/>
      <c r="K37" s="18"/>
      <c r="L37" s="18"/>
      <c r="M37" s="18"/>
      <c r="N37" s="18"/>
      <c r="O37" s="14" t="str">
        <f>data!$B$21</f>
      </c>
    </row>
    <row r="38">
      <c r="A38" s="14" t="str">
        <f>data!$B$11</f>
      </c>
      <c r="B38" s="18"/>
      <c r="C38" s="18"/>
      <c r="D38" s="18"/>
      <c r="E38" s="18"/>
      <c r="F38" s="18"/>
      <c r="G38" s="14" t="str">
        <f>data!$B$10</f>
      </c>
      <c r="I38" s="14" t="str">
        <f>data!$B$23</f>
      </c>
      <c r="J38" s="18"/>
      <c r="K38" s="18"/>
      <c r="L38" s="18"/>
      <c r="M38" s="18"/>
      <c r="N38" s="18"/>
      <c r="O38" s="14" t="str">
        <f>data!$B$22</f>
      </c>
    </row>
    <row r="40">
      <c r="A40" s="13" t="s">
        <v>97</v>
      </c>
      <c r="B40" s="13" t="s">
        <v>98</v>
      </c>
      <c r="C40" s="13" t="s">
        <v>99</v>
      </c>
      <c r="D40" s="13" t="s">
        <v>100</v>
      </c>
      <c r="E40" s="13" t="s">
        <v>101</v>
      </c>
      <c r="F40" s="13" t="s">
        <v>102</v>
      </c>
      <c r="I40" s="13" t="s">
        <v>97</v>
      </c>
      <c r="J40" s="13" t="s">
        <v>98</v>
      </c>
      <c r="K40" s="13" t="s">
        <v>99</v>
      </c>
      <c r="L40" s="13" t="s">
        <v>100</v>
      </c>
      <c r="M40" s="13" t="s">
        <v>101</v>
      </c>
      <c r="N40" s="13" t="s">
        <v>102</v>
      </c>
    </row>
    <row r="41">
      <c r="A41" s="14" t="str">
        <f>data!$B$9</f>
      </c>
      <c r="B41" s="14" t="str">
        <f>IF(OR(COUNTA(B36,C36,E36,F36)&gt;0,OR(D36="X",D36="x")),IF(OR(D36="X",D36="x"),0,(LEN(SUBSTITUTE(SUBSTITUTE(SUBSTITUTE(E36," ",""),"0",""),"-",""))+LEN(SUBSTITUTE(SUBSTITUTE(SUBSTITUTE(F36," ",""),"0",""),"-",""))&gt;LEN(SUBSTITUTE(SUBSTITUTE(SUBSTITUTE(B36," ",""),"0",""),"-",""))+LEN(SUBSTITUTE(SUBSTITUTE(SUBSTITUTE(C36," ",""),"0",""),"-","")))*1),0)+IF(OR(COUNTA(B37,C37,E37,F37)&gt;0,OR(D37="X",D37="x")),IF(OR(D37="X",D37="x"),0,(LEN(SUBSTITUTE(SUBSTITUTE(SUBSTITUTE(E37," ",""),"0",""),"-",""))+LEN(SUBSTITUTE(SUBSTITUTE(SUBSTITUTE(F37," ",""),"0",""),"-",""))&gt;LEN(SUBSTITUTE(SUBSTITUTE(SUBSTITUTE(B37," ",""),"0",""),"-",""))+LEN(SUBSTITUTE(SUBSTITUTE(SUBSTITUTE(C37," ",""),"0",""),"-","")))*1),0)</f>
      </c>
      <c r="C41" s="14" t="str">
        <f>IF(OR(COUNTA(B36,C36,E36,F36)&gt;0,OR(D36="X",D36="x")),IF(OR(D36="X",D36="x"),0,(LEN(SUBSTITUTE(SUBSTITUTE(SUBSTITUTE(E36," ",""),"0",""),"-",""))+LEN(SUBSTITUTE(SUBSTITUTE(SUBSTITUTE(F36," ",""),"0",""),"-",""))&lt;LEN(SUBSTITUTE(SUBSTITUTE(SUBSTITUTE(B36," ",""),"0",""),"-",""))+LEN(SUBSTITUTE(SUBSTITUTE(SUBSTITUTE(C36," ",""),"0",""),"-","")))*1),0)+IF(OR(COUNTA(B37,C37,E37,F37)&gt;0,OR(D37="X",D37="x")),IF(OR(D37="X",D37="x"),0,(LEN(SUBSTITUTE(SUBSTITUTE(SUBSTITUTE(E37," ",""),"0",""),"-",""))+LEN(SUBSTITUTE(SUBSTITUTE(SUBSTITUTE(F37," ",""),"0",""),"-",""))&lt;LEN(SUBSTITUTE(SUBSTITUTE(SUBSTITUTE(B37," ",""),"0",""),"-",""))+LEN(SUBSTITUTE(SUBSTITUTE(SUBSTITUTE(C37," ",""),"0",""),"-","")))*1),0)</f>
      </c>
      <c r="D41" s="14" t="str">
        <f>IF(OR(COUNTA(B36,C36,E36,F36)&gt;0,OR(D36="X",D36="x")),IF(OR(D36="X",D36="x"),1,0),0)+IF(OR(COUNTA(B37,C37,E37,F37)&gt;0,OR(D37="X",D37="x")),IF(OR(D37="X",D37="x"),1,0),0)</f>
      </c>
      <c r="E41" s="14" t="str">
        <f>LEN(SUBSTITUTE(SUBSTITUTE(SUBSTITUTE(E36," ",""),"0",""),"-",""))+LEN(SUBSTITUTE(SUBSTITUTE(SUBSTITUTE(F36," ",""),"0",""),"-",""))+LEN(SUBSTITUTE(SUBSTITUTE(SUBSTITUTE(E37," ",""),"0",""),"-",""))+LEN(SUBSTITUTE(SUBSTITUTE(SUBSTITUTE(F37," ",""),"0",""),"-",""))</f>
      </c>
      <c r="F41" s="14" t="str">
        <f>LEN(SUBSTITUTE(SUBSTITUTE(SUBSTITUTE(B36," ",""),"0",""),"-",""))+LEN(SUBSTITUTE(SUBSTITUTE(SUBSTITUTE(C36," ",""),"0",""),"-",""))+LEN(SUBSTITUTE(SUBSTITUTE(SUBSTITUTE(B37," ",""),"0",""),"-",""))+LEN(SUBSTITUTE(SUBSTITUTE(SUBSTITUTE(C37," ",""),"0",""),"-",""))</f>
      </c>
      <c r="I41" s="14" t="str">
        <f>data!$B$21</f>
      </c>
      <c r="J41" s="14" t="str">
        <f>IF(OR(COUNTA(J36,K36,M36,N36)&gt;0,OR(L36="X",L36="x")),IF(OR(L36="X",L36="x"),0,(LEN(SUBSTITUTE(SUBSTITUTE(SUBSTITUTE(M36," ",""),"0",""),"-",""))+LEN(SUBSTITUTE(SUBSTITUTE(SUBSTITUTE(N36," ",""),"0",""),"-",""))&gt;LEN(SUBSTITUTE(SUBSTITUTE(SUBSTITUTE(J36," ",""),"0",""),"-",""))+LEN(SUBSTITUTE(SUBSTITUTE(SUBSTITUTE(K36," ",""),"0",""),"-","")))*1),0)+IF(OR(COUNTA(J37,K37,M37,N37)&gt;0,OR(L37="X",L37="x")),IF(OR(L37="X",L37="x"),0,(LEN(SUBSTITUTE(SUBSTITUTE(SUBSTITUTE(M37," ",""),"0",""),"-",""))+LEN(SUBSTITUTE(SUBSTITUTE(SUBSTITUTE(N37," ",""),"0",""),"-",""))&gt;LEN(SUBSTITUTE(SUBSTITUTE(SUBSTITUTE(J37," ",""),"0",""),"-",""))+LEN(SUBSTITUTE(SUBSTITUTE(SUBSTITUTE(K37," ",""),"0",""),"-","")))*1),0)</f>
      </c>
      <c r="K41" s="14" t="str">
        <f>IF(OR(COUNTA(J36,K36,M36,N36)&gt;0,OR(L36="X",L36="x")),IF(OR(L36="X",L36="x"),0,(LEN(SUBSTITUTE(SUBSTITUTE(SUBSTITUTE(M36," ",""),"0",""),"-",""))+LEN(SUBSTITUTE(SUBSTITUTE(SUBSTITUTE(N36," ",""),"0",""),"-",""))&lt;LEN(SUBSTITUTE(SUBSTITUTE(SUBSTITUTE(J36," ",""),"0",""),"-",""))+LEN(SUBSTITUTE(SUBSTITUTE(SUBSTITUTE(K36," ",""),"0",""),"-","")))*1),0)+IF(OR(COUNTA(J37,K37,M37,N37)&gt;0,OR(L37="X",L37="x")),IF(OR(L37="X",L37="x"),0,(LEN(SUBSTITUTE(SUBSTITUTE(SUBSTITUTE(M37," ",""),"0",""),"-",""))+LEN(SUBSTITUTE(SUBSTITUTE(SUBSTITUTE(N37," ",""),"0",""),"-",""))&lt;LEN(SUBSTITUTE(SUBSTITUTE(SUBSTITUTE(J37," ",""),"0",""),"-",""))+LEN(SUBSTITUTE(SUBSTITUTE(SUBSTITUTE(K37," ",""),"0",""),"-","")))*1),0)</f>
      </c>
      <c r="L41" s="14" t="str">
        <f>IF(OR(COUNTA(J36,K36,M36,N36)&gt;0,OR(L36="X",L36="x")),IF(OR(L36="X",L36="x"),1,0),0)+IF(OR(COUNTA(J37,K37,M37,N37)&gt;0,OR(L37="X",L37="x")),IF(OR(L37="X",L37="x"),1,0),0)</f>
      </c>
      <c r="M41" s="14" t="str">
        <f>LEN(SUBSTITUTE(SUBSTITUTE(SUBSTITUTE(M36," ",""),"0",""),"-",""))+LEN(SUBSTITUTE(SUBSTITUTE(SUBSTITUTE(N36," ",""),"0",""),"-",""))+LEN(SUBSTITUTE(SUBSTITUTE(SUBSTITUTE(M37," ",""),"0",""),"-",""))+LEN(SUBSTITUTE(SUBSTITUTE(SUBSTITUTE(N37," ",""),"0",""),"-",""))</f>
      </c>
      <c r="N41" s="14" t="str">
        <f>LEN(SUBSTITUTE(SUBSTITUTE(SUBSTITUTE(J36," ",""),"0",""),"-",""))+LEN(SUBSTITUTE(SUBSTITUTE(SUBSTITUTE(K36," ",""),"0",""),"-",""))+LEN(SUBSTITUTE(SUBSTITUTE(SUBSTITUTE(J37," ",""),"0",""),"-",""))+LEN(SUBSTITUTE(SUBSTITUTE(SUBSTITUTE(K37," ",""),"0",""),"-",""))</f>
      </c>
    </row>
    <row r="42">
      <c r="A42" s="14" t="str">
        <f>data!$B$10</f>
      </c>
      <c r="B42" s="14" t="str">
        <f>IF(OR(COUNTA(B36,C36,E36,F36)&gt;0,OR(D36="X",D36="x")),IF(OR(D36="X",D36="x"),0,(LEN(SUBSTITUTE(SUBSTITUTE(SUBSTITUTE(B36," ",""),"0",""),"-",""))+LEN(SUBSTITUTE(SUBSTITUTE(SUBSTITUTE(C36," ",""),"0",""),"-",""))&gt;LEN(SUBSTITUTE(SUBSTITUTE(SUBSTITUTE(E36," ",""),"0",""),"-",""))+LEN(SUBSTITUTE(SUBSTITUTE(SUBSTITUTE(F36," ",""),"0",""),"-","")))*1),0)+IF(OR(COUNTA(B38,C38,E38,F38)&gt;0,OR(D38="X",D38="x")),IF(OR(D38="X",D38="x"),0,(LEN(SUBSTITUTE(SUBSTITUTE(SUBSTITUTE(E38," ",""),"0",""),"-",""))+LEN(SUBSTITUTE(SUBSTITUTE(SUBSTITUTE(F38," ",""),"0",""),"-",""))&gt;LEN(SUBSTITUTE(SUBSTITUTE(SUBSTITUTE(B38," ",""),"0",""),"-",""))+LEN(SUBSTITUTE(SUBSTITUTE(SUBSTITUTE(C38," ",""),"0",""),"-","")))*1),0)</f>
      </c>
      <c r="C42" s="14" t="str">
        <f>IF(OR(COUNTA(B36,C36,E36,F36)&gt;0,OR(D36="X",D36="x")),IF(OR(D36="X",D36="x"),0,(LEN(SUBSTITUTE(SUBSTITUTE(SUBSTITUTE(B36," ",""),"0",""),"-",""))+LEN(SUBSTITUTE(SUBSTITUTE(SUBSTITUTE(C36," ",""),"0",""),"-",""))&lt;LEN(SUBSTITUTE(SUBSTITUTE(SUBSTITUTE(E36," ",""),"0",""),"-",""))+LEN(SUBSTITUTE(SUBSTITUTE(SUBSTITUTE(F36," ",""),"0",""),"-","")))*1),0)+IF(OR(COUNTA(B38,C38,E38,F38)&gt;0,OR(D38="X",D38="x")),IF(OR(D38="X",D38="x"),0,(LEN(SUBSTITUTE(SUBSTITUTE(SUBSTITUTE(E38," ",""),"0",""),"-",""))+LEN(SUBSTITUTE(SUBSTITUTE(SUBSTITUTE(F38," ",""),"0",""),"-",""))&lt;LEN(SUBSTITUTE(SUBSTITUTE(SUBSTITUTE(B38," ",""),"0",""),"-",""))+LEN(SUBSTITUTE(SUBSTITUTE(SUBSTITUTE(C38," ",""),"0",""),"-","")))*1),0)</f>
      </c>
      <c r="D42" s="14" t="str">
        <f>IF(OR(COUNTA(B36,C36,E36,F36)&gt;0,OR(D36="X",D36="x")),IF(OR(D36="X",D36="x"),1,0),0)+IF(OR(COUNTA(B38,C38,E38,F38)&gt;0,OR(D38="X",D38="x")),IF(OR(D38="X",D38="x"),1,0),0)</f>
      </c>
      <c r="E42" s="14" t="str">
        <f>LEN(SUBSTITUTE(SUBSTITUTE(SUBSTITUTE(B36," ",""),"0",""),"-",""))+LEN(SUBSTITUTE(SUBSTITUTE(SUBSTITUTE(C36," ",""),"0",""),"-",""))+LEN(SUBSTITUTE(SUBSTITUTE(SUBSTITUTE(E38," ",""),"0",""),"-",""))+LEN(SUBSTITUTE(SUBSTITUTE(SUBSTITUTE(F38," ",""),"0",""),"-",""))</f>
      </c>
      <c r="F42" s="14" t="str">
        <f>LEN(SUBSTITUTE(SUBSTITUTE(SUBSTITUTE(E36," ",""),"0",""),"-",""))+LEN(SUBSTITUTE(SUBSTITUTE(SUBSTITUTE(F36," ",""),"0",""),"-",""))+LEN(SUBSTITUTE(SUBSTITUTE(SUBSTITUTE(B38," ",""),"0",""),"-",""))+LEN(SUBSTITUTE(SUBSTITUTE(SUBSTITUTE(C38," ",""),"0",""),"-",""))</f>
      </c>
      <c r="I42" s="14" t="str">
        <f>data!$B$22</f>
      </c>
      <c r="J42" s="14" t="str">
        <f>IF(OR(COUNTA(J36,K36,M36,N36)&gt;0,OR(L36="X",L36="x")),IF(OR(L36="X",L36="x"),0,(LEN(SUBSTITUTE(SUBSTITUTE(SUBSTITUTE(J36," ",""),"0",""),"-",""))+LEN(SUBSTITUTE(SUBSTITUTE(SUBSTITUTE(K36," ",""),"0",""),"-",""))&gt;LEN(SUBSTITUTE(SUBSTITUTE(SUBSTITUTE(M36," ",""),"0",""),"-",""))+LEN(SUBSTITUTE(SUBSTITUTE(SUBSTITUTE(N36," ",""),"0",""),"-","")))*1),0)+IF(OR(COUNTA(J38,K38,M38,N38)&gt;0,OR(L38="X",L38="x")),IF(OR(L38="X",L38="x"),0,(LEN(SUBSTITUTE(SUBSTITUTE(SUBSTITUTE(M38," ",""),"0",""),"-",""))+LEN(SUBSTITUTE(SUBSTITUTE(SUBSTITUTE(N38," ",""),"0",""),"-",""))&gt;LEN(SUBSTITUTE(SUBSTITUTE(SUBSTITUTE(J38," ",""),"0",""),"-",""))+LEN(SUBSTITUTE(SUBSTITUTE(SUBSTITUTE(K38," ",""),"0",""),"-","")))*1),0)</f>
      </c>
      <c r="K42" s="14" t="str">
        <f>IF(OR(COUNTA(J36,K36,M36,N36)&gt;0,OR(L36="X",L36="x")),IF(OR(L36="X",L36="x"),0,(LEN(SUBSTITUTE(SUBSTITUTE(SUBSTITUTE(J36," ",""),"0",""),"-",""))+LEN(SUBSTITUTE(SUBSTITUTE(SUBSTITUTE(K36," ",""),"0",""),"-",""))&lt;LEN(SUBSTITUTE(SUBSTITUTE(SUBSTITUTE(M36," ",""),"0",""),"-",""))+LEN(SUBSTITUTE(SUBSTITUTE(SUBSTITUTE(N36," ",""),"0",""),"-","")))*1),0)+IF(OR(COUNTA(J38,K38,M38,N38)&gt;0,OR(L38="X",L38="x")),IF(OR(L38="X",L38="x"),0,(LEN(SUBSTITUTE(SUBSTITUTE(SUBSTITUTE(M38," ",""),"0",""),"-",""))+LEN(SUBSTITUTE(SUBSTITUTE(SUBSTITUTE(N38," ",""),"0",""),"-",""))&lt;LEN(SUBSTITUTE(SUBSTITUTE(SUBSTITUTE(J38," ",""),"0",""),"-",""))+LEN(SUBSTITUTE(SUBSTITUTE(SUBSTITUTE(K38," ",""),"0",""),"-","")))*1),0)</f>
      </c>
      <c r="L42" s="14" t="str">
        <f>IF(OR(COUNTA(J36,K36,M36,N36)&gt;0,OR(L36="X",L36="x")),IF(OR(L36="X",L36="x"),1,0),0)+IF(OR(COUNTA(J38,K38,M38,N38)&gt;0,OR(L38="X",L38="x")),IF(OR(L38="X",L38="x"),1,0),0)</f>
      </c>
      <c r="M42" s="14" t="str">
        <f>LEN(SUBSTITUTE(SUBSTITUTE(SUBSTITUTE(J36," ",""),"0",""),"-",""))+LEN(SUBSTITUTE(SUBSTITUTE(SUBSTITUTE(K36," ",""),"0",""),"-",""))+LEN(SUBSTITUTE(SUBSTITUTE(SUBSTITUTE(M38," ",""),"0",""),"-",""))+LEN(SUBSTITUTE(SUBSTITUTE(SUBSTITUTE(N38," ",""),"0",""),"-",""))</f>
      </c>
      <c r="N42" s="14" t="str">
        <f>LEN(SUBSTITUTE(SUBSTITUTE(SUBSTITUTE(M36," ",""),"0",""),"-",""))+LEN(SUBSTITUTE(SUBSTITUTE(SUBSTITUTE(N36," ",""),"0",""),"-",""))+LEN(SUBSTITUTE(SUBSTITUTE(SUBSTITUTE(J38," ",""),"0",""),"-",""))+LEN(SUBSTITUTE(SUBSTITUTE(SUBSTITUTE(K38," ",""),"0",""),"-",""))</f>
      </c>
    </row>
    <row r="43">
      <c r="A43" s="14" t="str">
        <f>data!$B$11</f>
      </c>
      <c r="B43" s="14" t="str">
        <f>IF(OR(COUNTA(B37,C37,E37,F37)&gt;0,OR(D37="X",D37="x")),IF(OR(D37="X",D37="x"),0,(LEN(SUBSTITUTE(SUBSTITUTE(SUBSTITUTE(B37," ",""),"0",""),"-",""))+LEN(SUBSTITUTE(SUBSTITUTE(SUBSTITUTE(C37," ",""),"0",""),"-",""))&gt;LEN(SUBSTITUTE(SUBSTITUTE(SUBSTITUTE(E37," ",""),"0",""),"-",""))+LEN(SUBSTITUTE(SUBSTITUTE(SUBSTITUTE(F37," ",""),"0",""),"-","")))*1),0)+IF(OR(COUNTA(B38,C38,E38,F38)&gt;0,OR(D38="X",D38="x")),IF(OR(D38="X",D38="x"),0,(LEN(SUBSTITUTE(SUBSTITUTE(SUBSTITUTE(B38," ",""),"0",""),"-",""))+LEN(SUBSTITUTE(SUBSTITUTE(SUBSTITUTE(C38," ",""),"0",""),"-",""))&gt;LEN(SUBSTITUTE(SUBSTITUTE(SUBSTITUTE(E38," ",""),"0",""),"-",""))+LEN(SUBSTITUTE(SUBSTITUTE(SUBSTITUTE(F38," ",""),"0",""),"-","")))*1),0)</f>
      </c>
      <c r="C43" s="14" t="str">
        <f>IF(OR(COUNTA(B37,C37,E37,F37)&gt;0,OR(D37="X",D37="x")),IF(OR(D37="X",D37="x"),0,(LEN(SUBSTITUTE(SUBSTITUTE(SUBSTITUTE(B37," ",""),"0",""),"-",""))+LEN(SUBSTITUTE(SUBSTITUTE(SUBSTITUTE(C37," ",""),"0",""),"-",""))&lt;LEN(SUBSTITUTE(SUBSTITUTE(SUBSTITUTE(E37," ",""),"0",""),"-",""))+LEN(SUBSTITUTE(SUBSTITUTE(SUBSTITUTE(F37," ",""),"0",""),"-","")))*1),0)+IF(OR(COUNTA(B38,C38,E38,F38)&gt;0,OR(D38="X",D38="x")),IF(OR(D38="X",D38="x"),0,(LEN(SUBSTITUTE(SUBSTITUTE(SUBSTITUTE(B38," ",""),"0",""),"-",""))+LEN(SUBSTITUTE(SUBSTITUTE(SUBSTITUTE(C38," ",""),"0",""),"-",""))&lt;LEN(SUBSTITUTE(SUBSTITUTE(SUBSTITUTE(E38," ",""),"0",""),"-",""))+LEN(SUBSTITUTE(SUBSTITUTE(SUBSTITUTE(F38," ",""),"0",""),"-","")))*1),0)</f>
      </c>
      <c r="D43" s="14" t="str">
        <f>IF(OR(COUNTA(B37,C37,E37,F37)&gt;0,OR(D37="X",D37="x")),IF(OR(D37="X",D37="x"),1,0),0)+IF(OR(COUNTA(B38,C38,E38,F38)&gt;0,OR(D38="X",D38="x")),IF(OR(D38="X",D38="x"),1,0),0)</f>
      </c>
      <c r="E43" s="14" t="str">
        <f>LEN(SUBSTITUTE(SUBSTITUTE(SUBSTITUTE(B37," ",""),"0",""),"-",""))+LEN(SUBSTITUTE(SUBSTITUTE(SUBSTITUTE(C37," ",""),"0",""),"-",""))+LEN(SUBSTITUTE(SUBSTITUTE(SUBSTITUTE(B38," ",""),"0",""),"-",""))+LEN(SUBSTITUTE(SUBSTITUTE(SUBSTITUTE(C38," ",""),"0",""),"-",""))</f>
      </c>
      <c r="F43" s="14" t="str">
        <f>LEN(SUBSTITUTE(SUBSTITUTE(SUBSTITUTE(E37," ",""),"0",""),"-",""))+LEN(SUBSTITUTE(SUBSTITUTE(SUBSTITUTE(F37," ",""),"0",""),"-",""))+LEN(SUBSTITUTE(SUBSTITUTE(SUBSTITUTE(E38," ",""),"0",""),"-",""))+LEN(SUBSTITUTE(SUBSTITUTE(SUBSTITUTE(F38," ",""),"0",""),"-",""))</f>
      </c>
      <c r="I43" s="14" t="str">
        <f>data!$B$23</f>
      </c>
      <c r="J43" s="14" t="str">
        <f>IF(OR(COUNTA(J37,K37,M37,N37)&gt;0,OR(L37="X",L37="x")),IF(OR(L37="X",L37="x"),0,(LEN(SUBSTITUTE(SUBSTITUTE(SUBSTITUTE(J37," ",""),"0",""),"-",""))+LEN(SUBSTITUTE(SUBSTITUTE(SUBSTITUTE(K37," ",""),"0",""),"-",""))&gt;LEN(SUBSTITUTE(SUBSTITUTE(SUBSTITUTE(M37," ",""),"0",""),"-",""))+LEN(SUBSTITUTE(SUBSTITUTE(SUBSTITUTE(N37," ",""),"0",""),"-","")))*1),0)+IF(OR(COUNTA(J38,K38,M38,N38)&gt;0,OR(L38="X",L38="x")),IF(OR(L38="X",L38="x"),0,(LEN(SUBSTITUTE(SUBSTITUTE(SUBSTITUTE(J38," ",""),"0",""),"-",""))+LEN(SUBSTITUTE(SUBSTITUTE(SUBSTITUTE(K38," ",""),"0",""),"-",""))&gt;LEN(SUBSTITUTE(SUBSTITUTE(SUBSTITUTE(M38," ",""),"0",""),"-",""))+LEN(SUBSTITUTE(SUBSTITUTE(SUBSTITUTE(N38," ",""),"0",""),"-","")))*1),0)</f>
      </c>
      <c r="K43" s="14" t="str">
        <f>IF(OR(COUNTA(J37,K37,M37,N37)&gt;0,OR(L37="X",L37="x")),IF(OR(L37="X",L37="x"),0,(LEN(SUBSTITUTE(SUBSTITUTE(SUBSTITUTE(J37," ",""),"0",""),"-",""))+LEN(SUBSTITUTE(SUBSTITUTE(SUBSTITUTE(K37," ",""),"0",""),"-",""))&lt;LEN(SUBSTITUTE(SUBSTITUTE(SUBSTITUTE(M37," ",""),"0",""),"-",""))+LEN(SUBSTITUTE(SUBSTITUTE(SUBSTITUTE(N37," ",""),"0",""),"-","")))*1),0)+IF(OR(COUNTA(J38,K38,M38,N38)&gt;0,OR(L38="X",L38="x")),IF(OR(L38="X",L38="x"),0,(LEN(SUBSTITUTE(SUBSTITUTE(SUBSTITUTE(J38," ",""),"0",""),"-",""))+LEN(SUBSTITUTE(SUBSTITUTE(SUBSTITUTE(K38," ",""),"0",""),"-",""))&lt;LEN(SUBSTITUTE(SUBSTITUTE(SUBSTITUTE(M38," ",""),"0",""),"-",""))+LEN(SUBSTITUTE(SUBSTITUTE(SUBSTITUTE(N38," ",""),"0",""),"-","")))*1),0)</f>
      </c>
      <c r="L43" s="14" t="str">
        <f>IF(OR(COUNTA(J37,K37,M37,N37)&gt;0,OR(L37="X",L37="x")),IF(OR(L37="X",L37="x"),1,0),0)+IF(OR(COUNTA(J38,K38,M38,N38)&gt;0,OR(L38="X",L38="x")),IF(OR(L38="X",L38="x"),1,0),0)</f>
      </c>
      <c r="M43" s="14" t="str">
        <f>LEN(SUBSTITUTE(SUBSTITUTE(SUBSTITUTE(J37," ",""),"0",""),"-",""))+LEN(SUBSTITUTE(SUBSTITUTE(SUBSTITUTE(K37," ",""),"0",""),"-",""))+LEN(SUBSTITUTE(SUBSTITUTE(SUBSTITUTE(J38," ",""),"0",""),"-",""))+LEN(SUBSTITUTE(SUBSTITUTE(SUBSTITUTE(K38," ",""),"0",""),"-",""))</f>
      </c>
      <c r="N43" s="14" t="str">
        <f>LEN(SUBSTITUTE(SUBSTITUTE(SUBSTITUTE(M37," ",""),"0",""),"-",""))+LEN(SUBSTITUTE(SUBSTITUTE(SUBSTITUTE(N37," ",""),"0",""),"-",""))+LEN(SUBSTITUTE(SUBSTITUTE(SUBSTITUTE(M38," ",""),"0",""),"-",""))+LEN(SUBSTITUTE(SUBSTITUTE(SUBSTITUTE(N38," ",""),"0",""),"-",""))</f>
      </c>
    </row>
    <row r="45">
      <c r="F45" t="s">
        <v>103</v>
      </c>
      <c r="G45" s="19"/>
      <c r="N45" t="s">
        <v>103</v>
      </c>
      <c r="O45" s="19"/>
    </row>
    <row r="46">
      <c r="F46" t="s">
        <v>104</v>
      </c>
      <c r="G46" s="19"/>
      <c r="N46" t="s">
        <v>104</v>
      </c>
      <c r="O46" s="19"/>
    </row>
    <row r="47">
      <c r="F47" t="s">
        <v>105</v>
      </c>
      <c r="G47" s="19"/>
      <c r="N47" t="s">
        <v>105</v>
      </c>
      <c r="O47" s="19"/>
    </row>
    <row r="50">
      <c r="A50" s="13" t="str">
        <f>data!$A$14</f>
      </c>
      <c r="B50" s="13"/>
      <c r="C50" s="13"/>
      <c r="D50" s="13"/>
      <c r="E50" s="13"/>
      <c r="F50" s="13"/>
      <c r="G50" s="13"/>
      <c r="I50" s="13" t="str">
        <f>data!$A$26</f>
      </c>
      <c r="J50" s="13"/>
      <c r="K50" s="13"/>
      <c r="L50" s="13"/>
      <c r="M50" s="13"/>
      <c r="N50" s="13"/>
      <c r="O50" s="13"/>
    </row>
    <row r="51">
      <c r="A51" s="17" t="s">
        <v>94</v>
      </c>
      <c r="D51" s="14" t="s">
        <v>95</v>
      </c>
      <c r="G51" s="16" t="s">
        <v>96</v>
      </c>
      <c r="I51" s="17" t="s">
        <v>94</v>
      </c>
      <c r="L51" s="14" t="s">
        <v>95</v>
      </c>
      <c r="O51" s="16" t="s">
        <v>96</v>
      </c>
    </row>
    <row r="52">
      <c r="A52" s="14" t="str">
        <f>data!$B$13</f>
      </c>
      <c r="B52" s="18"/>
      <c r="C52" s="18"/>
      <c r="D52" s="18"/>
      <c r="E52" s="18"/>
      <c r="F52" s="18"/>
      <c r="G52" s="14" t="str">
        <f>data!$B$12</f>
      </c>
      <c r="I52" s="14" t="str">
        <f>data!$B$25</f>
      </c>
      <c r="J52" s="18"/>
      <c r="K52" s="18"/>
      <c r="L52" s="18"/>
      <c r="M52" s="18"/>
      <c r="N52" s="18"/>
      <c r="O52" s="14" t="str">
        <f>data!$B$24</f>
      </c>
    </row>
    <row r="53">
      <c r="A53" s="14" t="str">
        <f>data!$B$14</f>
      </c>
      <c r="B53" s="18"/>
      <c r="C53" s="18"/>
      <c r="D53" s="18"/>
      <c r="E53" s="18"/>
      <c r="F53" s="18"/>
      <c r="G53" s="14" t="str">
        <f>data!$B$12</f>
      </c>
      <c r="I53" s="14" t="str">
        <f>data!$B$26</f>
      </c>
      <c r="J53" s="18"/>
      <c r="K53" s="18"/>
      <c r="L53" s="18"/>
      <c r="M53" s="18"/>
      <c r="N53" s="18"/>
      <c r="O53" s="14" t="str">
        <f>data!$B$24</f>
      </c>
    </row>
    <row r="54">
      <c r="A54" s="14" t="str">
        <f>data!$B$14</f>
      </c>
      <c r="B54" s="18"/>
      <c r="C54" s="18"/>
      <c r="D54" s="18"/>
      <c r="E54" s="18"/>
      <c r="F54" s="18"/>
      <c r="G54" s="14" t="str">
        <f>data!$B$13</f>
      </c>
      <c r="I54" s="14" t="str">
        <f>data!$B$26</f>
      </c>
      <c r="J54" s="18"/>
      <c r="K54" s="18"/>
      <c r="L54" s="18"/>
      <c r="M54" s="18"/>
      <c r="N54" s="18"/>
      <c r="O54" s="14" t="str">
        <f>data!$B$25</f>
      </c>
    </row>
    <row r="56">
      <c r="A56" s="13" t="s">
        <v>97</v>
      </c>
      <c r="B56" s="13" t="s">
        <v>98</v>
      </c>
      <c r="C56" s="13" t="s">
        <v>99</v>
      </c>
      <c r="D56" s="13" t="s">
        <v>100</v>
      </c>
      <c r="E56" s="13" t="s">
        <v>101</v>
      </c>
      <c r="F56" s="13" t="s">
        <v>102</v>
      </c>
      <c r="I56" s="13" t="s">
        <v>97</v>
      </c>
      <c r="J56" s="13" t="s">
        <v>98</v>
      </c>
      <c r="K56" s="13" t="s">
        <v>99</v>
      </c>
      <c r="L56" s="13" t="s">
        <v>100</v>
      </c>
      <c r="M56" s="13" t="s">
        <v>101</v>
      </c>
      <c r="N56" s="13" t="s">
        <v>102</v>
      </c>
    </row>
    <row r="57">
      <c r="A57" s="14" t="str">
        <f>data!$B$12</f>
      </c>
      <c r="B57" s="14" t="str">
        <f>IF(OR(COUNTA(B52,C52,E52,F52)&gt;0,OR(D52="X",D52="x")),IF(OR(D52="X",D52="x"),0,(LEN(SUBSTITUTE(SUBSTITUTE(SUBSTITUTE(E52," ",""),"0",""),"-",""))+LEN(SUBSTITUTE(SUBSTITUTE(SUBSTITUTE(F52," ",""),"0",""),"-",""))&gt;LEN(SUBSTITUTE(SUBSTITUTE(SUBSTITUTE(B52," ",""),"0",""),"-",""))+LEN(SUBSTITUTE(SUBSTITUTE(SUBSTITUTE(C52," ",""),"0",""),"-","")))*1),0)+IF(OR(COUNTA(B53,C53,E53,F53)&gt;0,OR(D53="X",D53="x")),IF(OR(D53="X",D53="x"),0,(LEN(SUBSTITUTE(SUBSTITUTE(SUBSTITUTE(E53," ",""),"0",""),"-",""))+LEN(SUBSTITUTE(SUBSTITUTE(SUBSTITUTE(F53," ",""),"0",""),"-",""))&gt;LEN(SUBSTITUTE(SUBSTITUTE(SUBSTITUTE(B53," ",""),"0",""),"-",""))+LEN(SUBSTITUTE(SUBSTITUTE(SUBSTITUTE(C53," ",""),"0",""),"-","")))*1),0)</f>
      </c>
      <c r="C57" s="14" t="str">
        <f>IF(OR(COUNTA(B52,C52,E52,F52)&gt;0,OR(D52="X",D52="x")),IF(OR(D52="X",D52="x"),0,(LEN(SUBSTITUTE(SUBSTITUTE(SUBSTITUTE(E52," ",""),"0",""),"-",""))+LEN(SUBSTITUTE(SUBSTITUTE(SUBSTITUTE(F52," ",""),"0",""),"-",""))&lt;LEN(SUBSTITUTE(SUBSTITUTE(SUBSTITUTE(B52," ",""),"0",""),"-",""))+LEN(SUBSTITUTE(SUBSTITUTE(SUBSTITUTE(C52," ",""),"0",""),"-","")))*1),0)+IF(OR(COUNTA(B53,C53,E53,F53)&gt;0,OR(D53="X",D53="x")),IF(OR(D53="X",D53="x"),0,(LEN(SUBSTITUTE(SUBSTITUTE(SUBSTITUTE(E53," ",""),"0",""),"-",""))+LEN(SUBSTITUTE(SUBSTITUTE(SUBSTITUTE(F53," ",""),"0",""),"-",""))&lt;LEN(SUBSTITUTE(SUBSTITUTE(SUBSTITUTE(B53," ",""),"0",""),"-",""))+LEN(SUBSTITUTE(SUBSTITUTE(SUBSTITUTE(C53," ",""),"0",""),"-","")))*1),0)</f>
      </c>
      <c r="D57" s="14" t="str">
        <f>IF(OR(COUNTA(B52,C52,E52,F52)&gt;0,OR(D52="X",D52="x")),IF(OR(D52="X",D52="x"),1,0),0)+IF(OR(COUNTA(B53,C53,E53,F53)&gt;0,OR(D53="X",D53="x")),IF(OR(D53="X",D53="x"),1,0),0)</f>
      </c>
      <c r="E57" s="14" t="str">
        <f>LEN(SUBSTITUTE(SUBSTITUTE(SUBSTITUTE(E52," ",""),"0",""),"-",""))+LEN(SUBSTITUTE(SUBSTITUTE(SUBSTITUTE(F52," ",""),"0",""),"-",""))+LEN(SUBSTITUTE(SUBSTITUTE(SUBSTITUTE(E53," ",""),"0",""),"-",""))+LEN(SUBSTITUTE(SUBSTITUTE(SUBSTITUTE(F53," ",""),"0",""),"-",""))</f>
      </c>
      <c r="F57" s="14" t="str">
        <f>LEN(SUBSTITUTE(SUBSTITUTE(SUBSTITUTE(B52," ",""),"0",""),"-",""))+LEN(SUBSTITUTE(SUBSTITUTE(SUBSTITUTE(C52," ",""),"0",""),"-",""))+LEN(SUBSTITUTE(SUBSTITUTE(SUBSTITUTE(B53," ",""),"0",""),"-",""))+LEN(SUBSTITUTE(SUBSTITUTE(SUBSTITUTE(C53," ",""),"0",""),"-",""))</f>
      </c>
      <c r="I57" s="14" t="str">
        <f>data!$B$24</f>
      </c>
      <c r="J57" s="14" t="str">
        <f>IF(OR(COUNTA(J52,K52,M52,N52)&gt;0,OR(L52="X",L52="x")),IF(OR(L52="X",L52="x"),0,(LEN(SUBSTITUTE(SUBSTITUTE(SUBSTITUTE(M52," ",""),"0",""),"-",""))+LEN(SUBSTITUTE(SUBSTITUTE(SUBSTITUTE(N52," ",""),"0",""),"-",""))&gt;LEN(SUBSTITUTE(SUBSTITUTE(SUBSTITUTE(J52," ",""),"0",""),"-",""))+LEN(SUBSTITUTE(SUBSTITUTE(SUBSTITUTE(K52," ",""),"0",""),"-","")))*1),0)+IF(OR(COUNTA(J53,K53,M53,N53)&gt;0,OR(L53="X",L53="x")),IF(OR(L53="X",L53="x"),0,(LEN(SUBSTITUTE(SUBSTITUTE(SUBSTITUTE(M53," ",""),"0",""),"-",""))+LEN(SUBSTITUTE(SUBSTITUTE(SUBSTITUTE(N53," ",""),"0",""),"-",""))&gt;LEN(SUBSTITUTE(SUBSTITUTE(SUBSTITUTE(J53," ",""),"0",""),"-",""))+LEN(SUBSTITUTE(SUBSTITUTE(SUBSTITUTE(K53," ",""),"0",""),"-","")))*1),0)</f>
      </c>
      <c r="K57" s="14" t="str">
        <f>IF(OR(COUNTA(J52,K52,M52,N52)&gt;0,OR(L52="X",L52="x")),IF(OR(L52="X",L52="x"),0,(LEN(SUBSTITUTE(SUBSTITUTE(SUBSTITUTE(M52," ",""),"0",""),"-",""))+LEN(SUBSTITUTE(SUBSTITUTE(SUBSTITUTE(N52," ",""),"0",""),"-",""))&lt;LEN(SUBSTITUTE(SUBSTITUTE(SUBSTITUTE(J52," ",""),"0",""),"-",""))+LEN(SUBSTITUTE(SUBSTITUTE(SUBSTITUTE(K52," ",""),"0",""),"-","")))*1),0)+IF(OR(COUNTA(J53,K53,M53,N53)&gt;0,OR(L53="X",L53="x")),IF(OR(L53="X",L53="x"),0,(LEN(SUBSTITUTE(SUBSTITUTE(SUBSTITUTE(M53," ",""),"0",""),"-",""))+LEN(SUBSTITUTE(SUBSTITUTE(SUBSTITUTE(N53," ",""),"0",""),"-",""))&lt;LEN(SUBSTITUTE(SUBSTITUTE(SUBSTITUTE(J53," ",""),"0",""),"-",""))+LEN(SUBSTITUTE(SUBSTITUTE(SUBSTITUTE(K53," ",""),"0",""),"-","")))*1),0)</f>
      </c>
      <c r="L57" s="14" t="str">
        <f>IF(OR(COUNTA(J52,K52,M52,N52)&gt;0,OR(L52="X",L52="x")),IF(OR(L52="X",L52="x"),1,0),0)+IF(OR(COUNTA(J53,K53,M53,N53)&gt;0,OR(L53="X",L53="x")),IF(OR(L53="X",L53="x"),1,0),0)</f>
      </c>
      <c r="M57" s="14" t="str">
        <f>LEN(SUBSTITUTE(SUBSTITUTE(SUBSTITUTE(M52," ",""),"0",""),"-",""))+LEN(SUBSTITUTE(SUBSTITUTE(SUBSTITUTE(N52," ",""),"0",""),"-",""))+LEN(SUBSTITUTE(SUBSTITUTE(SUBSTITUTE(M53," ",""),"0",""),"-",""))+LEN(SUBSTITUTE(SUBSTITUTE(SUBSTITUTE(N53," ",""),"0",""),"-",""))</f>
      </c>
      <c r="N57" s="14" t="str">
        <f>LEN(SUBSTITUTE(SUBSTITUTE(SUBSTITUTE(J52," ",""),"0",""),"-",""))+LEN(SUBSTITUTE(SUBSTITUTE(SUBSTITUTE(K52," ",""),"0",""),"-",""))+LEN(SUBSTITUTE(SUBSTITUTE(SUBSTITUTE(J53," ",""),"0",""),"-",""))+LEN(SUBSTITUTE(SUBSTITUTE(SUBSTITUTE(K53," ",""),"0",""),"-",""))</f>
      </c>
    </row>
    <row r="58">
      <c r="A58" s="14" t="str">
        <f>data!$B$13</f>
      </c>
      <c r="B58" s="14" t="str">
        <f>IF(OR(COUNTA(B52,C52,E52,F52)&gt;0,OR(D52="X",D52="x")),IF(OR(D52="X",D52="x"),0,(LEN(SUBSTITUTE(SUBSTITUTE(SUBSTITUTE(B52," ",""),"0",""),"-",""))+LEN(SUBSTITUTE(SUBSTITUTE(SUBSTITUTE(C52," ",""),"0",""),"-",""))&gt;LEN(SUBSTITUTE(SUBSTITUTE(SUBSTITUTE(E52," ",""),"0",""),"-",""))+LEN(SUBSTITUTE(SUBSTITUTE(SUBSTITUTE(F52," ",""),"0",""),"-","")))*1),0)+IF(OR(COUNTA(B54,C54,E54,F54)&gt;0,OR(D54="X",D54="x")),IF(OR(D54="X",D54="x"),0,(LEN(SUBSTITUTE(SUBSTITUTE(SUBSTITUTE(E54," ",""),"0",""),"-",""))+LEN(SUBSTITUTE(SUBSTITUTE(SUBSTITUTE(F54," ",""),"0",""),"-",""))&gt;LEN(SUBSTITUTE(SUBSTITUTE(SUBSTITUTE(B54," ",""),"0",""),"-",""))+LEN(SUBSTITUTE(SUBSTITUTE(SUBSTITUTE(C54," ",""),"0",""),"-","")))*1),0)</f>
      </c>
      <c r="C58" s="14" t="str">
        <f>IF(OR(COUNTA(B52,C52,E52,F52)&gt;0,OR(D52="X",D52="x")),IF(OR(D52="X",D52="x"),0,(LEN(SUBSTITUTE(SUBSTITUTE(SUBSTITUTE(B52," ",""),"0",""),"-",""))+LEN(SUBSTITUTE(SUBSTITUTE(SUBSTITUTE(C52," ",""),"0",""),"-",""))&lt;LEN(SUBSTITUTE(SUBSTITUTE(SUBSTITUTE(E52," ",""),"0",""),"-",""))+LEN(SUBSTITUTE(SUBSTITUTE(SUBSTITUTE(F52," ",""),"0",""),"-","")))*1),0)+IF(OR(COUNTA(B54,C54,E54,F54)&gt;0,OR(D54="X",D54="x")),IF(OR(D54="X",D54="x"),0,(LEN(SUBSTITUTE(SUBSTITUTE(SUBSTITUTE(E54," ",""),"0",""),"-",""))+LEN(SUBSTITUTE(SUBSTITUTE(SUBSTITUTE(F54," ",""),"0",""),"-",""))&lt;LEN(SUBSTITUTE(SUBSTITUTE(SUBSTITUTE(B54," ",""),"0",""),"-",""))+LEN(SUBSTITUTE(SUBSTITUTE(SUBSTITUTE(C54," ",""),"0",""),"-","")))*1),0)</f>
      </c>
      <c r="D58" s="14" t="str">
        <f>IF(OR(COUNTA(B52,C52,E52,F52)&gt;0,OR(D52="X",D52="x")),IF(OR(D52="X",D52="x"),1,0),0)+IF(OR(COUNTA(B54,C54,E54,F54)&gt;0,OR(D54="X",D54="x")),IF(OR(D54="X",D54="x"),1,0),0)</f>
      </c>
      <c r="E58" s="14" t="str">
        <f>LEN(SUBSTITUTE(SUBSTITUTE(SUBSTITUTE(B52," ",""),"0",""),"-",""))+LEN(SUBSTITUTE(SUBSTITUTE(SUBSTITUTE(C52," ",""),"0",""),"-",""))+LEN(SUBSTITUTE(SUBSTITUTE(SUBSTITUTE(E54," ",""),"0",""),"-",""))+LEN(SUBSTITUTE(SUBSTITUTE(SUBSTITUTE(F54," ",""),"0",""),"-",""))</f>
      </c>
      <c r="F58" s="14" t="str">
        <f>LEN(SUBSTITUTE(SUBSTITUTE(SUBSTITUTE(E52," ",""),"0",""),"-",""))+LEN(SUBSTITUTE(SUBSTITUTE(SUBSTITUTE(F52," ",""),"0",""),"-",""))+LEN(SUBSTITUTE(SUBSTITUTE(SUBSTITUTE(B54," ",""),"0",""),"-",""))+LEN(SUBSTITUTE(SUBSTITUTE(SUBSTITUTE(C54," ",""),"0",""),"-",""))</f>
      </c>
      <c r="I58" s="14" t="str">
        <f>data!$B$25</f>
      </c>
      <c r="J58" s="14" t="str">
        <f>IF(OR(COUNTA(J52,K52,M52,N52)&gt;0,OR(L52="X",L52="x")),IF(OR(L52="X",L52="x"),0,(LEN(SUBSTITUTE(SUBSTITUTE(SUBSTITUTE(J52," ",""),"0",""),"-",""))+LEN(SUBSTITUTE(SUBSTITUTE(SUBSTITUTE(K52," ",""),"0",""),"-",""))&gt;LEN(SUBSTITUTE(SUBSTITUTE(SUBSTITUTE(M52," ",""),"0",""),"-",""))+LEN(SUBSTITUTE(SUBSTITUTE(SUBSTITUTE(N52," ",""),"0",""),"-","")))*1),0)+IF(OR(COUNTA(J54,K54,M54,N54)&gt;0,OR(L54="X",L54="x")),IF(OR(L54="X",L54="x"),0,(LEN(SUBSTITUTE(SUBSTITUTE(SUBSTITUTE(M54," ",""),"0",""),"-",""))+LEN(SUBSTITUTE(SUBSTITUTE(SUBSTITUTE(N54," ",""),"0",""),"-",""))&gt;LEN(SUBSTITUTE(SUBSTITUTE(SUBSTITUTE(J54," ",""),"0",""),"-",""))+LEN(SUBSTITUTE(SUBSTITUTE(SUBSTITUTE(K54," ",""),"0",""),"-","")))*1),0)</f>
      </c>
      <c r="K58" s="14" t="str">
        <f>IF(OR(COUNTA(J52,K52,M52,N52)&gt;0,OR(L52="X",L52="x")),IF(OR(L52="X",L52="x"),0,(LEN(SUBSTITUTE(SUBSTITUTE(SUBSTITUTE(J52," ",""),"0",""),"-",""))+LEN(SUBSTITUTE(SUBSTITUTE(SUBSTITUTE(K52," ",""),"0",""),"-",""))&lt;LEN(SUBSTITUTE(SUBSTITUTE(SUBSTITUTE(M52," ",""),"0",""),"-",""))+LEN(SUBSTITUTE(SUBSTITUTE(SUBSTITUTE(N52," ",""),"0",""),"-","")))*1),0)+IF(OR(COUNTA(J54,K54,M54,N54)&gt;0,OR(L54="X",L54="x")),IF(OR(L54="X",L54="x"),0,(LEN(SUBSTITUTE(SUBSTITUTE(SUBSTITUTE(M54," ",""),"0",""),"-",""))+LEN(SUBSTITUTE(SUBSTITUTE(SUBSTITUTE(N54," ",""),"0",""),"-",""))&lt;LEN(SUBSTITUTE(SUBSTITUTE(SUBSTITUTE(J54," ",""),"0",""),"-",""))+LEN(SUBSTITUTE(SUBSTITUTE(SUBSTITUTE(K54," ",""),"0",""),"-","")))*1),0)</f>
      </c>
      <c r="L58" s="14" t="str">
        <f>IF(OR(COUNTA(J52,K52,M52,N52)&gt;0,OR(L52="X",L52="x")),IF(OR(L52="X",L52="x"),1,0),0)+IF(OR(COUNTA(J54,K54,M54,N54)&gt;0,OR(L54="X",L54="x")),IF(OR(L54="X",L54="x"),1,0),0)</f>
      </c>
      <c r="M58" s="14" t="str">
        <f>LEN(SUBSTITUTE(SUBSTITUTE(SUBSTITUTE(J52," ",""),"0",""),"-",""))+LEN(SUBSTITUTE(SUBSTITUTE(SUBSTITUTE(K52," ",""),"0",""),"-",""))+LEN(SUBSTITUTE(SUBSTITUTE(SUBSTITUTE(M54," ",""),"0",""),"-",""))+LEN(SUBSTITUTE(SUBSTITUTE(SUBSTITUTE(N54," ",""),"0",""),"-",""))</f>
      </c>
      <c r="N58" s="14" t="str">
        <f>LEN(SUBSTITUTE(SUBSTITUTE(SUBSTITUTE(M52," ",""),"0",""),"-",""))+LEN(SUBSTITUTE(SUBSTITUTE(SUBSTITUTE(N52," ",""),"0",""),"-",""))+LEN(SUBSTITUTE(SUBSTITUTE(SUBSTITUTE(J54," ",""),"0",""),"-",""))+LEN(SUBSTITUTE(SUBSTITUTE(SUBSTITUTE(K54," ",""),"0",""),"-",""))</f>
      </c>
    </row>
    <row r="59">
      <c r="A59" s="14" t="str">
        <f>data!$B$14</f>
      </c>
      <c r="B59" s="14" t="str">
        <f>IF(OR(COUNTA(B53,C53,E53,F53)&gt;0,OR(D53="X",D53="x")),IF(OR(D53="X",D53="x"),0,(LEN(SUBSTITUTE(SUBSTITUTE(SUBSTITUTE(B53," ",""),"0",""),"-",""))+LEN(SUBSTITUTE(SUBSTITUTE(SUBSTITUTE(C53," ",""),"0",""),"-",""))&gt;LEN(SUBSTITUTE(SUBSTITUTE(SUBSTITUTE(E53," ",""),"0",""),"-",""))+LEN(SUBSTITUTE(SUBSTITUTE(SUBSTITUTE(F53," ",""),"0",""),"-","")))*1),0)+IF(OR(COUNTA(B54,C54,E54,F54)&gt;0,OR(D54="X",D54="x")),IF(OR(D54="X",D54="x"),0,(LEN(SUBSTITUTE(SUBSTITUTE(SUBSTITUTE(B54," ",""),"0",""),"-",""))+LEN(SUBSTITUTE(SUBSTITUTE(SUBSTITUTE(C54," ",""),"0",""),"-",""))&gt;LEN(SUBSTITUTE(SUBSTITUTE(SUBSTITUTE(E54," ",""),"0",""),"-",""))+LEN(SUBSTITUTE(SUBSTITUTE(SUBSTITUTE(F54," ",""),"0",""),"-","")))*1),0)</f>
      </c>
      <c r="C59" s="14" t="str">
        <f>IF(OR(COUNTA(B53,C53,E53,F53)&gt;0,OR(D53="X",D53="x")),IF(OR(D53="X",D53="x"),0,(LEN(SUBSTITUTE(SUBSTITUTE(SUBSTITUTE(B53," ",""),"0",""),"-",""))+LEN(SUBSTITUTE(SUBSTITUTE(SUBSTITUTE(C53," ",""),"0",""),"-",""))&lt;LEN(SUBSTITUTE(SUBSTITUTE(SUBSTITUTE(E53," ",""),"0",""),"-",""))+LEN(SUBSTITUTE(SUBSTITUTE(SUBSTITUTE(F53," ",""),"0",""),"-","")))*1),0)+IF(OR(COUNTA(B54,C54,E54,F54)&gt;0,OR(D54="X",D54="x")),IF(OR(D54="X",D54="x"),0,(LEN(SUBSTITUTE(SUBSTITUTE(SUBSTITUTE(B54," ",""),"0",""),"-",""))+LEN(SUBSTITUTE(SUBSTITUTE(SUBSTITUTE(C54," ",""),"0",""),"-",""))&lt;LEN(SUBSTITUTE(SUBSTITUTE(SUBSTITUTE(E54," ",""),"0",""),"-",""))+LEN(SUBSTITUTE(SUBSTITUTE(SUBSTITUTE(F54," ",""),"0",""),"-","")))*1),0)</f>
      </c>
      <c r="D59" s="14" t="str">
        <f>IF(OR(COUNTA(B53,C53,E53,F53)&gt;0,OR(D53="X",D53="x")),IF(OR(D53="X",D53="x"),1,0),0)+IF(OR(COUNTA(B54,C54,E54,F54)&gt;0,OR(D54="X",D54="x")),IF(OR(D54="X",D54="x"),1,0),0)</f>
      </c>
      <c r="E59" s="14" t="str">
        <f>LEN(SUBSTITUTE(SUBSTITUTE(SUBSTITUTE(B53," ",""),"0",""),"-",""))+LEN(SUBSTITUTE(SUBSTITUTE(SUBSTITUTE(C53," ",""),"0",""),"-",""))+LEN(SUBSTITUTE(SUBSTITUTE(SUBSTITUTE(B54," ",""),"0",""),"-",""))+LEN(SUBSTITUTE(SUBSTITUTE(SUBSTITUTE(C54," ",""),"0",""),"-",""))</f>
      </c>
      <c r="F59" s="14" t="str">
        <f>LEN(SUBSTITUTE(SUBSTITUTE(SUBSTITUTE(E53," ",""),"0",""),"-",""))+LEN(SUBSTITUTE(SUBSTITUTE(SUBSTITUTE(F53," ",""),"0",""),"-",""))+LEN(SUBSTITUTE(SUBSTITUTE(SUBSTITUTE(E54," ",""),"0",""),"-",""))+LEN(SUBSTITUTE(SUBSTITUTE(SUBSTITUTE(F54," ",""),"0",""),"-",""))</f>
      </c>
      <c r="I59" s="14" t="str">
        <f>data!$B$26</f>
      </c>
      <c r="J59" s="14" t="str">
        <f>IF(OR(COUNTA(J53,K53,M53,N53)&gt;0,OR(L53="X",L53="x")),IF(OR(L53="X",L53="x"),0,(LEN(SUBSTITUTE(SUBSTITUTE(SUBSTITUTE(J53," ",""),"0",""),"-",""))+LEN(SUBSTITUTE(SUBSTITUTE(SUBSTITUTE(K53," ",""),"0",""),"-",""))&gt;LEN(SUBSTITUTE(SUBSTITUTE(SUBSTITUTE(M53," ",""),"0",""),"-",""))+LEN(SUBSTITUTE(SUBSTITUTE(SUBSTITUTE(N53," ",""),"0",""),"-","")))*1),0)+IF(OR(COUNTA(J54,K54,M54,N54)&gt;0,OR(L54="X",L54="x")),IF(OR(L54="X",L54="x"),0,(LEN(SUBSTITUTE(SUBSTITUTE(SUBSTITUTE(J54," ",""),"0",""),"-",""))+LEN(SUBSTITUTE(SUBSTITUTE(SUBSTITUTE(K54," ",""),"0",""),"-",""))&gt;LEN(SUBSTITUTE(SUBSTITUTE(SUBSTITUTE(M54," ",""),"0",""),"-",""))+LEN(SUBSTITUTE(SUBSTITUTE(SUBSTITUTE(N54," ",""),"0",""),"-","")))*1),0)</f>
      </c>
      <c r="K59" s="14" t="str">
        <f>IF(OR(COUNTA(J53,K53,M53,N53)&gt;0,OR(L53="X",L53="x")),IF(OR(L53="X",L53="x"),0,(LEN(SUBSTITUTE(SUBSTITUTE(SUBSTITUTE(J53," ",""),"0",""),"-",""))+LEN(SUBSTITUTE(SUBSTITUTE(SUBSTITUTE(K53," ",""),"0",""),"-",""))&lt;LEN(SUBSTITUTE(SUBSTITUTE(SUBSTITUTE(M53," ",""),"0",""),"-",""))+LEN(SUBSTITUTE(SUBSTITUTE(SUBSTITUTE(N53," ",""),"0",""),"-","")))*1),0)+IF(OR(COUNTA(J54,K54,M54,N54)&gt;0,OR(L54="X",L54="x")),IF(OR(L54="X",L54="x"),0,(LEN(SUBSTITUTE(SUBSTITUTE(SUBSTITUTE(J54," ",""),"0",""),"-",""))+LEN(SUBSTITUTE(SUBSTITUTE(SUBSTITUTE(K54," ",""),"0",""),"-",""))&lt;LEN(SUBSTITUTE(SUBSTITUTE(SUBSTITUTE(M54," ",""),"0",""),"-",""))+LEN(SUBSTITUTE(SUBSTITUTE(SUBSTITUTE(N54," ",""),"0",""),"-","")))*1),0)</f>
      </c>
      <c r="L59" s="14" t="str">
        <f>IF(OR(COUNTA(J53,K53,M53,N53)&gt;0,OR(L53="X",L53="x")),IF(OR(L53="X",L53="x"),1,0),0)+IF(OR(COUNTA(J54,K54,M54,N54)&gt;0,OR(L54="X",L54="x")),IF(OR(L54="X",L54="x"),1,0),0)</f>
      </c>
      <c r="M59" s="14" t="str">
        <f>LEN(SUBSTITUTE(SUBSTITUTE(SUBSTITUTE(J53," ",""),"0",""),"-",""))+LEN(SUBSTITUTE(SUBSTITUTE(SUBSTITUTE(K53," ",""),"0",""),"-",""))+LEN(SUBSTITUTE(SUBSTITUTE(SUBSTITUTE(J54," ",""),"0",""),"-",""))+LEN(SUBSTITUTE(SUBSTITUTE(SUBSTITUTE(K54," ",""),"0",""),"-",""))</f>
      </c>
      <c r="N59" s="14" t="str">
        <f>LEN(SUBSTITUTE(SUBSTITUTE(SUBSTITUTE(M53," ",""),"0",""),"-",""))+LEN(SUBSTITUTE(SUBSTITUTE(SUBSTITUTE(N53," ",""),"0",""),"-",""))+LEN(SUBSTITUTE(SUBSTITUTE(SUBSTITUTE(M54," ",""),"0",""),"-",""))+LEN(SUBSTITUTE(SUBSTITUTE(SUBSTITUTE(N54," ",""),"0",""),"-",""))</f>
      </c>
    </row>
    <row r="61">
      <c r="F61" t="s">
        <v>103</v>
      </c>
      <c r="G61" s="19"/>
      <c r="N61" t="s">
        <v>103</v>
      </c>
      <c r="O61" s="19"/>
    </row>
    <row r="62">
      <c r="F62" t="s">
        <v>104</v>
      </c>
      <c r="G62" s="19"/>
      <c r="N62" t="s">
        <v>104</v>
      </c>
      <c r="O62" s="19"/>
    </row>
    <row r="63">
      <c r="F63" t="s">
        <v>105</v>
      </c>
      <c r="G63" s="19"/>
      <c r="N63" t="s">
        <v>105</v>
      </c>
      <c r="O6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8:G18"/>
    <mergeCell ref="I18:O18"/>
    <mergeCell ref="A34:G34"/>
    <mergeCell ref="I34:O34"/>
    <mergeCell ref="A50:G50"/>
    <mergeCell ref="I50:O50"/>
  </mergeCells>
  <printOptions horizontalCentered="true" verticalCentered="true"/>
  <pageSetup fitToHeight="0" fitToWidth="2" orientation="portrait" pageOrder="downThenOver" paperSize="9"/>
  <rowBreaks count="1" manualBreakCount="1">
    <brk id="3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92</v>
      </c>
      <c r="B1" s="13"/>
      <c r="C1" s="13"/>
      <c r="D1" s="13"/>
      <c r="E1" s="13"/>
      <c r="F1" s="13"/>
      <c r="G1" s="13"/>
      <c r="I1" s="13" t="s">
        <v>93</v>
      </c>
      <c r="J1" s="13"/>
      <c r="K1" s="13"/>
      <c r="L1" s="13"/>
      <c r="M1" s="13"/>
      <c r="N1" s="13"/>
      <c r="O1" s="13"/>
    </row>
    <row r="2">
      <c r="A2" s="13" t="s">
        <v>130</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Matches'!G30)</f>
      </c>
      <c r="B4" s="18"/>
      <c r="C4" s="18"/>
      <c r="D4" s="18"/>
      <c r="E4" s="18"/>
      <c r="F4" s="18"/>
      <c r="G4" s="14" t="str">
        <f>CONCATENATE("Pool A-1st ",'Pool Matches'!G13)</f>
      </c>
      <c r="I4" s="14" t="str">
        <f>CONCATENATE("Pool A-2nd ",'Pool Matches'!G14)</f>
      </c>
      <c r="J4" s="18"/>
      <c r="K4" s="18"/>
      <c r="L4" s="18"/>
      <c r="M4" s="18"/>
      <c r="N4" s="18"/>
      <c r="O4" s="14" t="str">
        <f>CONCATENATE("Pool B-1st ",'Pool Matches'!G29)</f>
      </c>
    </row>
    <row r="6">
      <c r="F6" t="s">
        <v>131</v>
      </c>
      <c r="G6" s="19"/>
      <c r="N6" t="s">
        <v>131</v>
      </c>
      <c r="O6" s="19"/>
    </row>
    <row r="7">
      <c r="F7" t="s">
        <v>132</v>
      </c>
      <c r="G7" s="19"/>
      <c r="N7" t="s">
        <v>132</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Matches'!G62)</f>
      </c>
      <c r="B12" s="18"/>
      <c r="C12" s="18"/>
      <c r="D12" s="18"/>
      <c r="E12" s="18"/>
      <c r="F12" s="18"/>
      <c r="G12" s="14" t="str">
        <f>CONCATENATE("Pool C-1st ",'Pool Matches'!G45)</f>
      </c>
      <c r="I12" s="14" t="str">
        <f>CONCATENATE("Pool C-2nd ",'Pool Matches'!G46)</f>
      </c>
      <c r="J12" s="18"/>
      <c r="K12" s="18"/>
      <c r="L12" s="18"/>
      <c r="M12" s="18"/>
      <c r="N12" s="18"/>
      <c r="O12" s="14" t="str">
        <f>CONCATENATE("Pool D-1st ",'Pool Matches'!G61)</f>
      </c>
    </row>
    <row r="14">
      <c r="F14" t="s">
        <v>131</v>
      </c>
      <c r="G14" s="19"/>
      <c r="N14" t="s">
        <v>131</v>
      </c>
      <c r="O14" s="19"/>
    </row>
    <row r="15">
      <c r="F15" t="s">
        <v>132</v>
      </c>
      <c r="G15" s="19"/>
      <c r="N15" t="s">
        <v>132</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Matches'!O30)</f>
      </c>
      <c r="B20" s="18"/>
      <c r="C20" s="18"/>
      <c r="D20" s="18"/>
      <c r="E20" s="18"/>
      <c r="F20" s="18"/>
      <c r="G20" s="14" t="str">
        <f>CONCATENATE("Pool E-1st ",'Pool Matches'!O13)</f>
      </c>
      <c r="I20" s="14" t="str">
        <f>CONCATENATE("Pool E-2nd ",'Pool Matches'!O14)</f>
      </c>
      <c r="J20" s="18"/>
      <c r="K20" s="18"/>
      <c r="L20" s="18"/>
      <c r="M20" s="18"/>
      <c r="N20" s="18"/>
      <c r="O20" s="14" t="str">
        <f>CONCATENATE("Pool F-1st ",'Pool Matches'!O29)</f>
      </c>
    </row>
    <row r="22">
      <c r="F22" t="s">
        <v>131</v>
      </c>
      <c r="G22" s="19"/>
      <c r="N22" t="s">
        <v>131</v>
      </c>
      <c r="O22" s="19"/>
    </row>
    <row r="23">
      <c r="F23" t="s">
        <v>132</v>
      </c>
      <c r="G23" s="19"/>
      <c r="N23" t="s">
        <v>132</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Matches'!O62)</f>
      </c>
      <c r="B28" s="18"/>
      <c r="C28" s="18"/>
      <c r="D28" s="18"/>
      <c r="E28" s="18"/>
      <c r="F28" s="18"/>
      <c r="G28" s="14" t="str">
        <f>CONCATENATE("Pool G-1st ",'Pool Matches'!O45)</f>
      </c>
      <c r="I28" s="14" t="str">
        <f>CONCATENATE("Pool G-2nd ",'Pool Matches'!O46)</f>
      </c>
      <c r="J28" s="18"/>
      <c r="K28" s="18"/>
      <c r="L28" s="18"/>
      <c r="M28" s="18"/>
      <c r="N28" s="18"/>
      <c r="O28" s="14" t="str">
        <f>CONCATENATE("Pool H-1st ",'Pool Matches'!O61)</f>
      </c>
    </row>
    <row r="30">
      <c r="F30" t="s">
        <v>131</v>
      </c>
      <c r="G30" s="19"/>
      <c r="N30" t="s">
        <v>131</v>
      </c>
      <c r="O30" s="19"/>
    </row>
    <row r="31">
      <c r="F31" t="s">
        <v>132</v>
      </c>
      <c r="G31" s="19"/>
      <c r="N31" t="s">
        <v>132</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131</v>
      </c>
      <c r="G43" s="19"/>
      <c r="N43" t="s">
        <v>131</v>
      </c>
      <c r="O43" s="19"/>
    </row>
    <row r="44">
      <c r="F44" t="s">
        <v>132</v>
      </c>
      <c r="G44" s="19"/>
      <c r="N44" t="s">
        <v>132</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131</v>
      </c>
      <c r="G51" s="19"/>
      <c r="N51" t="s">
        <v>131</v>
      </c>
      <c r="O51" s="19"/>
    </row>
    <row r="52">
      <c r="F52" t="s">
        <v>132</v>
      </c>
      <c r="G52" s="19"/>
      <c r="N52" t="s">
        <v>132</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131</v>
      </c>
      <c r="G64" s="19"/>
      <c r="N64" t="s">
        <v>131</v>
      </c>
      <c r="O64" s="19"/>
    </row>
    <row r="65">
      <c r="F65" t="s">
        <v>132</v>
      </c>
      <c r="G65" s="19"/>
      <c r="N65" t="s">
        <v>132</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131</v>
      </c>
      <c r="G77" s="19"/>
    </row>
    <row r="78">
      <c r="F78" t="s">
        <v>132</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Matches'!G13)</f>
      </c>
    </row>
    <row r="6">
      <c r="A6" s="26" t="str">
        <f>"2. " &amp; data!$B$4</f>
      </c>
      <c r="D6" s="22"/>
      <c r="E6" s="21">
        <v>1</v>
      </c>
    </row>
    <row r="7">
      <c r="A7" s="27" t="str">
        <f>"3. " &amp; data!$B$5</f>
      </c>
      <c r="C7" s="23" t="str">
        <f>CONCATENATE("Pool B-2nd ",'Pool Matches'!G30)</f>
      </c>
      <c r="D7" s="15"/>
      <c r="E7" s="20"/>
      <c r="F7" s="22"/>
      <c r="G7" s="20"/>
    </row>
    <row r="8">
      <c r="A8" s="22"/>
      <c r="G8" s="21">
        <v>9</v>
      </c>
    </row>
    <row r="9">
      <c r="A9" s="24" t="str">
        <f>data!$A$8</f>
      </c>
      <c r="C9" s="23" t="str">
        <f>CONCATENATE("Pool C-1st ",'Pool Matches'!G45)</f>
      </c>
      <c r="G9" s="20"/>
      <c r="H9" s="22"/>
      <c r="I9" s="20"/>
    </row>
    <row r="10">
      <c r="A10" s="25" t="str">
        <f>"1. " &amp; data!$B$6</f>
      </c>
      <c r="D10" s="22"/>
      <c r="E10" s="21">
        <v>2</v>
      </c>
      <c r="F10" s="15"/>
      <c r="G10" s="20"/>
      <c r="I10" s="20"/>
    </row>
    <row r="11">
      <c r="A11" s="26" t="str">
        <f>"2. " &amp; data!$B$7</f>
      </c>
      <c r="C11" s="23" t="str">
        <f>CONCATENATE("Pool D-2nd ",'Pool Matches'!G62)</f>
      </c>
      <c r="D11" s="15"/>
      <c r="E11" s="20"/>
      <c r="I11" s="20"/>
    </row>
    <row r="12">
      <c r="A12" s="27" t="str">
        <f>"3. " &amp; data!$B$8</f>
      </c>
      <c r="I12" s="21">
        <v>13</v>
      </c>
    </row>
    <row r="13">
      <c r="A13" s="22"/>
      <c r="C13" s="23" t="str">
        <f>CONCATENATE("Pool E-1st ",'Pool Matches'!O13)</f>
      </c>
      <c r="I13" s="20"/>
    </row>
    <row r="14">
      <c r="A14" s="24" t="str">
        <f>data!$A$11</f>
      </c>
      <c r="D14" s="22"/>
      <c r="E14" s="21">
        <v>3</v>
      </c>
      <c r="I14" s="20"/>
    </row>
    <row r="15">
      <c r="A15" s="25" t="str">
        <f>"1. " &amp; data!$B$9</f>
      </c>
      <c r="C15" s="23" t="str">
        <f>CONCATENATE("Pool F-2nd ",'Pool Matches'!O30)</f>
      </c>
      <c r="D15" s="15"/>
      <c r="E15" s="20"/>
      <c r="F15" s="22"/>
      <c r="G15" s="20"/>
      <c r="I15" s="20"/>
    </row>
    <row r="16">
      <c r="A16" s="26" t="str">
        <f>"2. " &amp; data!$B$10</f>
      </c>
      <c r="G16" s="21">
        <v>10</v>
      </c>
      <c r="H16" s="15"/>
      <c r="I16" s="20"/>
    </row>
    <row r="17">
      <c r="A17" s="27" t="str">
        <f>"3. " &amp; data!$B$11</f>
      </c>
      <c r="C17" s="23" t="str">
        <f>CONCATENATE("Pool G-1st ",'Pool Matches'!O45)</f>
      </c>
      <c r="G17" s="20"/>
    </row>
    <row r="18">
      <c r="A18" s="22"/>
      <c r="D18" s="22"/>
      <c r="E18" s="21">
        <v>4</v>
      </c>
      <c r="F18" s="15"/>
      <c r="G18" s="20"/>
    </row>
    <row r="19">
      <c r="A19" s="24" t="str">
        <f>data!$A$14</f>
      </c>
      <c r="C19" s="23" t="str">
        <f>CONCATENATE("Pool H-2nd ",'Pool Matches'!O62)</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Matches'!G29)</f>
      </c>
    </row>
    <row r="6">
      <c r="A6" s="26" t="str">
        <f>"2. " &amp; data!$B$16</f>
      </c>
      <c r="D6" s="22"/>
      <c r="E6" s="21">
        <v>5</v>
      </c>
    </row>
    <row r="7">
      <c r="A7" s="27" t="str">
        <f>"3. " &amp; data!$B$17</f>
      </c>
      <c r="C7" s="23" t="str">
        <f>CONCATENATE("Pool A-2nd ",'Pool Matches'!G14)</f>
      </c>
      <c r="D7" s="15"/>
      <c r="E7" s="20"/>
      <c r="F7" s="22"/>
      <c r="G7" s="20"/>
    </row>
    <row r="8">
      <c r="A8" s="22"/>
      <c r="G8" s="21">
        <v>11</v>
      </c>
    </row>
    <row r="9">
      <c r="A9" s="24" t="str">
        <f>data!$A$20</f>
      </c>
      <c r="C9" s="23" t="str">
        <f>CONCATENATE("Pool D-1st ",'Pool Matches'!G61)</f>
      </c>
      <c r="G9" s="20"/>
      <c r="H9" s="22"/>
      <c r="I9" s="20"/>
    </row>
    <row r="10">
      <c r="A10" s="25" t="str">
        <f>"1. " &amp; data!$B$18</f>
      </c>
      <c r="D10" s="22"/>
      <c r="E10" s="21">
        <v>6</v>
      </c>
      <c r="F10" s="15"/>
      <c r="G10" s="20"/>
      <c r="I10" s="20"/>
    </row>
    <row r="11">
      <c r="A11" s="26" t="str">
        <f>"2. " &amp; data!$B$19</f>
      </c>
      <c r="C11" s="23" t="str">
        <f>CONCATENATE("Pool C-2nd ",'Pool Matches'!G46)</f>
      </c>
      <c r="D11" s="15"/>
      <c r="E11" s="20"/>
      <c r="I11" s="20"/>
    </row>
    <row r="12">
      <c r="A12" s="27" t="str">
        <f>"3. " &amp; data!$B$20</f>
      </c>
      <c r="I12" s="21">
        <v>14</v>
      </c>
    </row>
    <row r="13">
      <c r="A13" s="22"/>
      <c r="C13" s="23" t="str">
        <f>CONCATENATE("Pool F-1st ",'Pool Matches'!O29)</f>
      </c>
      <c r="I13" s="20"/>
    </row>
    <row r="14">
      <c r="A14" s="24" t="str">
        <f>data!$A$23</f>
      </c>
      <c r="D14" s="22"/>
      <c r="E14" s="21">
        <v>7</v>
      </c>
      <c r="I14" s="20"/>
    </row>
    <row r="15">
      <c r="A15" s="25" t="str">
        <f>"1. " &amp; data!$B$21</f>
      </c>
      <c r="C15" s="23" t="str">
        <f>CONCATENATE("Pool E-2nd ",'Pool Matches'!O14)</f>
      </c>
      <c r="D15" s="15"/>
      <c r="E15" s="20"/>
      <c r="F15" s="22"/>
      <c r="G15" s="20"/>
      <c r="I15" s="20"/>
    </row>
    <row r="16">
      <c r="A16" s="26" t="str">
        <f>"2. " &amp; data!$B$22</f>
      </c>
      <c r="G16" s="21">
        <v>12</v>
      </c>
      <c r="H16" s="15"/>
      <c r="I16" s="20"/>
    </row>
    <row r="17">
      <c r="A17" s="27" t="str">
        <f>"3. " &amp; data!$B$23</f>
      </c>
      <c r="C17" s="23" t="str">
        <f>CONCATENATE("Pool H-1st ",'Pool Matches'!O61)</f>
      </c>
      <c r="G17" s="20"/>
    </row>
    <row r="18">
      <c r="A18" s="22"/>
      <c r="D18" s="22"/>
      <c r="E18" s="21">
        <v>8</v>
      </c>
      <c r="F18" s="15"/>
      <c r="G18" s="20"/>
    </row>
    <row r="19">
      <c r="A19" s="24" t="str">
        <f>data!$A$26</f>
      </c>
      <c r="C19" s="23" t="str">
        <f>CONCATENATE("Pool G-2nd ",'Pool Matches'!O46)</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106</v>
      </c>
      <c r="B1" s="29" t="str">
        <f>data!D3</f>
      </c>
    </row>
    <row r="2" ht="270" customHeight="true">
      <c r="A2" s="28" t="s">
        <v>107</v>
      </c>
      <c r="B2" s="29" t="str">
        <f>data!D4</f>
      </c>
    </row>
    <row r="3" ht="270" customHeight="true">
      <c r="A3" s="28" t="s">
        <v>108</v>
      </c>
      <c r="B3" s="29" t="str">
        <f>data!D5</f>
      </c>
    </row>
    <row r="4" ht="270" customHeight="true">
      <c r="A4" s="28" t="s">
        <v>109</v>
      </c>
      <c r="B4" s="29" t="str">
        <f>data!D6</f>
      </c>
    </row>
    <row r="5" ht="270" customHeight="true">
      <c r="A5" s="28" t="s">
        <v>110</v>
      </c>
      <c r="B5" s="29" t="str">
        <f>data!D7</f>
      </c>
    </row>
    <row r="6" ht="270" customHeight="true">
      <c r="A6" s="28" t="s">
        <v>111</v>
      </c>
      <c r="B6" s="29" t="str">
        <f>data!D8</f>
      </c>
    </row>
    <row r="7" ht="270" customHeight="true">
      <c r="A7" s="28" t="s">
        <v>112</v>
      </c>
      <c r="B7" s="29" t="str">
        <f>data!D9</f>
      </c>
    </row>
    <row r="8" ht="270" customHeight="true">
      <c r="A8" s="28" t="s">
        <v>113</v>
      </c>
      <c r="B8" s="29" t="str">
        <f>data!D10</f>
      </c>
    </row>
    <row r="9" ht="270" customHeight="true">
      <c r="A9" s="28" t="s">
        <v>114</v>
      </c>
      <c r="B9" s="29" t="str">
        <f>data!D11</f>
      </c>
    </row>
    <row r="10" ht="270" customHeight="true">
      <c r="A10" s="28" t="s">
        <v>115</v>
      </c>
      <c r="B10" s="29" t="str">
        <f>data!D12</f>
      </c>
    </row>
    <row r="11" ht="270" customHeight="true">
      <c r="A11" s="28" t="s">
        <v>116</v>
      </c>
      <c r="B11" s="29" t="str">
        <f>data!D13</f>
      </c>
    </row>
    <row r="12" ht="270" customHeight="true">
      <c r="A12" s="28" t="s">
        <v>117</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118</v>
      </c>
      <c r="B1" s="29" t="str">
        <f>data!D15</f>
      </c>
    </row>
    <row r="2" ht="270" customHeight="true">
      <c r="A2" s="28" t="s">
        <v>119</v>
      </c>
      <c r="B2" s="29" t="str">
        <f>data!D16</f>
      </c>
    </row>
    <row r="3" ht="270" customHeight="true">
      <c r="A3" s="28" t="s">
        <v>120</v>
      </c>
      <c r="B3" s="29" t="str">
        <f>data!D17</f>
      </c>
    </row>
    <row r="4" ht="270" customHeight="true">
      <c r="A4" s="28" t="s">
        <v>121</v>
      </c>
      <c r="B4" s="29" t="str">
        <f>data!D18</f>
      </c>
    </row>
    <row r="5" ht="270" customHeight="true">
      <c r="A5" s="28" t="s">
        <v>122</v>
      </c>
      <c r="B5" s="29" t="str">
        <f>data!D19</f>
      </c>
    </row>
    <row r="6" ht="270" customHeight="true">
      <c r="A6" s="28" t="s">
        <v>123</v>
      </c>
      <c r="B6" s="29" t="str">
        <f>data!D20</f>
      </c>
    </row>
    <row r="7" ht="270" customHeight="true">
      <c r="A7" s="28" t="s">
        <v>124</v>
      </c>
      <c r="B7" s="29" t="str">
        <f>data!D21</f>
      </c>
    </row>
    <row r="8" ht="270" customHeight="true">
      <c r="A8" s="28" t="s">
        <v>125</v>
      </c>
      <c r="B8" s="29" t="str">
        <f>data!D22</f>
      </c>
    </row>
    <row r="9" ht="270" customHeight="true">
      <c r="A9" s="28" t="s">
        <v>126</v>
      </c>
      <c r="B9" s="29" t="str">
        <f>data!D23</f>
      </c>
    </row>
    <row r="10" ht="270" customHeight="true">
      <c r="A10" s="28" t="s">
        <v>127</v>
      </c>
      <c r="B10" s="29" t="str">
        <f>data!D24</f>
      </c>
    </row>
    <row r="11" ht="270" customHeight="true">
      <c r="A11" s="28" t="s">
        <v>128</v>
      </c>
      <c r="B11" s="29" t="str">
        <f>data!D25</f>
      </c>
    </row>
    <row r="12" ht="270" customHeight="true">
      <c r="A12" s="28" t="s">
        <v>129</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106</v>
      </c>
    </row>
    <row r="2" ht="390" customHeight="true">
      <c r="A2" s="30" t="s">
        <v>106</v>
      </c>
    </row>
    <row r="3" ht="390" customHeight="true">
      <c r="A3" s="30" t="s">
        <v>107</v>
      </c>
    </row>
    <row r="4" ht="390" customHeight="true">
      <c r="A4" s="30" t="s">
        <v>107</v>
      </c>
    </row>
    <row r="5" ht="390" customHeight="true">
      <c r="A5" s="30" t="s">
        <v>108</v>
      </c>
    </row>
    <row r="6" ht="390" customHeight="true">
      <c r="A6" s="30" t="s">
        <v>108</v>
      </c>
    </row>
    <row r="7" ht="390" customHeight="true">
      <c r="A7" s="30" t="s">
        <v>109</v>
      </c>
    </row>
    <row r="8" ht="390" customHeight="true">
      <c r="A8" s="30" t="s">
        <v>109</v>
      </c>
    </row>
    <row r="9" ht="390" customHeight="true">
      <c r="A9" s="30" t="s">
        <v>110</v>
      </c>
    </row>
    <row r="10" ht="390" customHeight="true">
      <c r="A10" s="30" t="s">
        <v>110</v>
      </c>
    </row>
    <row r="11" ht="390" customHeight="true">
      <c r="A11" s="30" t="s">
        <v>111</v>
      </c>
    </row>
    <row r="12" ht="390" customHeight="true">
      <c r="A12" s="30" t="s">
        <v>111</v>
      </c>
    </row>
    <row r="13" ht="390" customHeight="true">
      <c r="A13" s="30" t="s">
        <v>112</v>
      </c>
    </row>
    <row r="14" ht="390" customHeight="true">
      <c r="A14" s="30" t="s">
        <v>112</v>
      </c>
    </row>
    <row r="15" ht="390" customHeight="true">
      <c r="A15" s="30" t="s">
        <v>113</v>
      </c>
    </row>
    <row r="16" ht="390" customHeight="true">
      <c r="A16" s="30" t="s">
        <v>113</v>
      </c>
    </row>
    <row r="17" ht="390" customHeight="true">
      <c r="A17" s="30" t="s">
        <v>114</v>
      </c>
    </row>
    <row r="18" ht="390" customHeight="true">
      <c r="A18" s="30" t="s">
        <v>114</v>
      </c>
    </row>
    <row r="19" ht="390" customHeight="true">
      <c r="A19" s="30" t="s">
        <v>115</v>
      </c>
    </row>
    <row r="20" ht="390" customHeight="true">
      <c r="A20" s="30" t="s">
        <v>115</v>
      </c>
    </row>
    <row r="21" ht="390" customHeight="true">
      <c r="A21" s="30" t="s">
        <v>116</v>
      </c>
    </row>
    <row r="22" ht="390" customHeight="true">
      <c r="A22" s="30" t="s">
        <v>116</v>
      </c>
    </row>
    <row r="23" ht="390" customHeight="true">
      <c r="A23" s="30" t="s">
        <v>117</v>
      </c>
    </row>
    <row r="24" ht="390" customHeight="true">
      <c r="A24" s="30" t="s">
        <v>117</v>
      </c>
    </row>
    <row r="25" ht="390" customHeight="true">
      <c r="A25" s="30" t="s">
        <v>118</v>
      </c>
    </row>
    <row r="26" ht="390" customHeight="true">
      <c r="A26" s="30" t="s">
        <v>118</v>
      </c>
    </row>
    <row r="27" ht="390" customHeight="true">
      <c r="A27" s="30" t="s">
        <v>119</v>
      </c>
    </row>
    <row r="28" ht="390" customHeight="true">
      <c r="A28" s="30" t="s">
        <v>119</v>
      </c>
    </row>
    <row r="29" ht="390" customHeight="true">
      <c r="A29" s="30" t="s">
        <v>120</v>
      </c>
    </row>
    <row r="30" ht="390" customHeight="true">
      <c r="A30" s="30" t="s">
        <v>120</v>
      </c>
    </row>
    <row r="31" ht="390" customHeight="true">
      <c r="A31" s="30" t="s">
        <v>121</v>
      </c>
    </row>
    <row r="32" ht="390" customHeight="true">
      <c r="A32" s="30" t="s">
        <v>121</v>
      </c>
    </row>
    <row r="33" ht="390" customHeight="true">
      <c r="A33" s="30" t="s">
        <v>122</v>
      </c>
    </row>
    <row r="34" ht="390" customHeight="true">
      <c r="A34" s="30" t="s">
        <v>122</v>
      </c>
    </row>
    <row r="35" ht="390" customHeight="true">
      <c r="A35" s="30" t="s">
        <v>123</v>
      </c>
    </row>
    <row r="36" ht="390" customHeight="true">
      <c r="A36" s="30" t="s">
        <v>123</v>
      </c>
    </row>
    <row r="37" ht="390" customHeight="true">
      <c r="A37" s="30" t="s">
        <v>124</v>
      </c>
    </row>
    <row r="38" ht="390" customHeight="true">
      <c r="A38" s="30" t="s">
        <v>124</v>
      </c>
    </row>
    <row r="39" ht="390" customHeight="true">
      <c r="A39" s="30" t="s">
        <v>125</v>
      </c>
    </row>
    <row r="40" ht="390" customHeight="true">
      <c r="A40" s="30" t="s">
        <v>125</v>
      </c>
    </row>
    <row r="41" ht="390" customHeight="true">
      <c r="A41" s="30" t="s">
        <v>126</v>
      </c>
    </row>
    <row r="42" ht="390" customHeight="true">
      <c r="A42" s="30" t="s">
        <v>126</v>
      </c>
    </row>
    <row r="43" ht="390" customHeight="true">
      <c r="A43" s="30" t="s">
        <v>127</v>
      </c>
    </row>
    <row r="44" ht="390" customHeight="true">
      <c r="A44" s="30" t="s">
        <v>127</v>
      </c>
    </row>
    <row r="45" ht="390" customHeight="true">
      <c r="A45" s="30" t="s">
        <v>128</v>
      </c>
    </row>
    <row r="46" ht="390" customHeight="true">
      <c r="A46" s="30" t="s">
        <v>128</v>
      </c>
    </row>
    <row r="47" ht="390" customHeight="true">
      <c r="A47" s="30" t="s">
        <v>129</v>
      </c>
    </row>
    <row r="48" ht="390" customHeight="true">
      <c r="A48" s="30" t="s">
        <v>129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