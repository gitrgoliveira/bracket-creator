
<file path=[Content_Types].xml><?xml version="1.0" encoding="utf-8"?>
<Types xmlns="http://schemas.openxmlformats.org/package/2006/content-types">
  <Default Extension="rels" ContentType="application/vnd.openxmlformats-package.relationships+xml"/>
  <Default Extension="xml" ContentType="application/xml"/>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xl/worksheets/sheet1.xml" ContentType="application/vnd.openxmlformats-officedocument.spreadsheetml.worksheet+xml"/>
  <Override PartName="/docProps/core.xml" ContentType="application/vnd.openxmlformats-package.core-propertie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activeTab="9"/>
  </bookViews>
  <sheets>
    <sheet name="data" sheetId="1" r:id="rId1"/>
    <sheet name="Time Estimator" sheetId="2" r:id="rId4"/>
    <sheet name="Pool Draw" sheetId="3" r:id="rId5"/>
    <sheet name="Pool Matches" sheetId="4" r:id="rId6"/>
    <sheet name="Elimination Matches" sheetId="5" r:id="rId7"/>
    <sheet name="Tree 1" sheetId="8" r:id="rId11"/>
    <sheet name="Tree 2" sheetId="9" r:id="rId12"/>
    <sheet name="Names to Print A" sheetId="10" r:id="rId13"/>
    <sheet name="Names to Print B" sheetId="11" r:id="rId14"/>
    <sheet name="Tags" sheetId="12" r:id="rId15"/>
  </sheets>
  <definedNames>
    <definedName localSheetId="2" name="_xlnm.Print_Area">'Pool Draw'!$B$2:$F$12</definedName>
    <definedName localSheetId="3" name="_xlnm.Print_Area">'Pool Matches'!$A$1:$P$111</definedName>
    <definedName localSheetId="7" name="_xlnm.Print_Area">'Names to Print A'!$A$1:$B$7</definedName>
    <definedName localSheetId="8" name="_xlnm.Print_Area">'Names to Print B'!$A$1:$B$3</definedName>
    <definedName localSheetId="4" name="_xlnm.Print_Area">'Elimination Matches'!$A$1:$P$64</definedName>
  </definedNames>
  <calcPr calcId="122211"/>
</workbook>
</file>

<file path=xl/sharedStrings.xml><?xml version="1.0" encoding="utf-8"?>
<sst xmlns="http://schemas.openxmlformats.org/spreadsheetml/2006/main" count="76" uniqueCount="76">
  <si>
    <t>Number of pools</t>
  </si>
  <si>
    <t>Team size</t>
  </si>
  <si>
    <t>Matches per pool</t>
  </si>
  <si>
    <t>Time per match</t>
  </si>
  <si>
    <t>Total time for matches</t>
  </si>
  <si>
    <t>Padding time for rotation</t>
  </si>
  <si>
    <t>Time for breaks</t>
  </si>
  <si>
    <t>Total Time</t>
  </si>
  <si>
    <t>Number of Elimination Matches</t>
  </si>
  <si>
    <t>Title prefix:</t>
  </si>
  <si>
    <t/>
  </si>
  <si>
    <t>Pool</t>
  </si>
  <si>
    <t>Player Name</t>
  </si>
  <si>
    <t>Player Dojo</t>
  </si>
  <si>
    <t>Metadata</t>
  </si>
  <si>
    <t>Pool A</t>
  </si>
  <si>
    <t>Kevin Clark</t>
  </si>
  <si>
    <t>Team Alpha</t>
  </si>
  <si>
    <t>Quentin Allen</t>
  </si>
  <si>
    <t>Team Beta</t>
  </si>
  <si>
    <t>Oliver Walker</t>
  </si>
  <si>
    <t>Team Epsilon</t>
  </si>
  <si>
    <t>Robert Young</t>
  </si>
  <si>
    <t>Team Gamma</t>
  </si>
  <si>
    <t>Pool B</t>
  </si>
  <si>
    <t>Luke Rodriguez</t>
  </si>
  <si>
    <t>Steven Hernandez</t>
  </si>
  <si>
    <t>Team Delta</t>
  </si>
  <si>
    <t>Michael Lewis</t>
  </si>
  <si>
    <t>Pool C</t>
  </si>
  <si>
    <t>Paul Hall</t>
  </si>
  <si>
    <t>Nathan Lee</t>
  </si>
  <si>
    <t>Thomas King</t>
  </si>
  <si>
    <t>Shiaijo A</t>
  </si>
  <si>
    <t>Shiaijo B</t>
  </si>
  <si>
    <t>White</t>
  </si>
  <si>
    <t>vs</t>
  </si>
  <si>
    <t>Red</t>
  </si>
  <si>
    <t>Team Results</t>
  </si>
  <si>
    <t>W</t>
  </si>
  <si>
    <t>L</t>
  </si>
  <si>
    <t>T</t>
  </si>
  <si>
    <t>Rank</t>
  </si>
  <si>
    <t>IV</t>
  </si>
  <si>
    <t>IL</t>
  </si>
  <si>
    <t>IT</t>
  </si>
  <si>
    <t>PW</t>
  </si>
  <si>
    <t>PL</t>
  </si>
  <si>
    <t>Ranking</t>
  </si>
  <si>
    <t>1.</t>
  </si>
  <si>
    <t>2.</t>
  </si>
  <si>
    <t>3.</t>
  </si>
  <si>
    <t>4.</t>
  </si>
  <si>
    <t>A1</t>
  </si>
  <si>
    <t>A2</t>
  </si>
  <si>
    <t>A3</t>
  </si>
  <si>
    <t>A4</t>
  </si>
  <si>
    <t>B1</t>
  </si>
  <si>
    <t>B2</t>
  </si>
  <si>
    <t>B3</t>
  </si>
  <si>
    <t>C1</t>
  </si>
  <si>
    <t>C2</t>
  </si>
  <si>
    <t>C3</t>
  </si>
  <si>
    <t>Round 1 - Match 1</t>
  </si>
  <si>
    <t>Victories / Points</t>
  </si>
  <si>
    <t>Round 1 - Match 2</t>
  </si>
  <si>
    <t>Round 2 - Match 3</t>
  </si>
  <si>
    <t>Round 2 - Match 4</t>
  </si>
  <si>
    <t>Round 3 - Match 5</t>
  </si>
  <si>
    <t>Tournament Summary</t>
  </si>
  <si>
    <t>Total Pool Time</t>
  </si>
  <si>
    <t>Total Elimination Time</t>
  </si>
  <si>
    <t>Grand Total (Sequential)</t>
  </si>
  <si>
    <t>Grand Total (Parallel across Courts)</t>
  </si>
  <si>
    <t>Start Time:</t>
  </si>
  <si>
    <t>Estimated Finish Time</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</si>
</sst>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2">
    <numFmt numFmtId="164" formatCode="[$-F400]h:mm:ss\ AM/PM"/>
    <numFmt numFmtId="165" formatCode="[h]:mm:ss"/>
  </numFmts>
  <fonts count="13">
    <font>
      <name val="Calibri"/>
      <family val="2"/>
      <color theme="1"/>
      <sz val="11"/>
    </font>
    <font>
      <name val="Calibri"/>
      <family val="2"/>
      <b val="1"/>
      <color rgb="FF000000"/>
      <sz val="12"/>
    </font>
    <font>
      <name val="Calibri"/>
      <family val="2"/>
      <color rgb="FF000000"/>
      <sz val="12"/>
    </font>
    <font>
      <name val="Calibri"/>
      <family val="2"/>
      <b val="1"/>
      <color/>
      <sz val="16"/>
      <u val="single"/>
    </font>
    <font>
      <name val="Calibri"/>
      <family val="2"/>
      <b val="1"/>
      <color/>
      <sz val="12"/>
      <u val="single"/>
    </font>
    <font>
      <name val="Calibri"/>
      <family val="2"/>
      <color/>
      <sz val="12"/>
    </font>
    <font>
      <name val="Calibri"/>
      <family val="2"/>
      <b val="1"/>
      <color rgb="FF000000"/>
      <sz val="28"/>
    </font>
    <font>
      <name val="Calibri"/>
      <family val="2"/>
      <b val="1"/>
      <color rgb="FF000000"/>
      <sz val="72"/>
    </font>
    <font>
      <name val="Calibri"/>
      <family val="2"/>
      <b val="1"/>
      <i val="1"/>
      <color/>
      <sz val="12"/>
    </font>
    <font>
      <name val="Calibri"/>
      <family val="2"/>
      <b val="1"/>
      <color rgb="FFFFFFFF"/>
      <sz val="12"/>
    </font>
    <font>
      <name val="Calibri"/>
      <family val="2"/>
      <b val="1"/>
      <color rgb="FF000000"/>
      <sz val="100"/>
    </font>
    <font>
      <name val="Calibri"/>
      <family val="2"/>
      <color rgb="FF000000"/>
      <sz val="110"/>
    </font>
    <font>
      <name val="Calibri"/>
      <family val="2"/>
      <b val="1"/>
      <color/>
      <sz val="150"/>
    </font>
  </fonts>
  <fills count="6">
    <fill>
      <patternFill patternType="none"/>
    </fill>
    <fill>
      <patternFill patternType="gray125"/>
    </fill>
    <fill>
      <patternFill patternType="solid">
        <fgColor rgb="FFC0C0C0"/>
      </patternFill>
    </fill>
    <fill>
      <patternFill patternType="solid">
        <fgColor rgb="FFEFEFEF"/>
      </patternFill>
    </fill>
    <fill>
      <patternFill patternType="solid">
        <fgColor rgb="FFFF0000"/>
      </patternFill>
    </fill>
    <fill>
      <patternFill patternType="solid">
        <fgColor rgb="FFFFFFFF"/>
      </patternFill>
    </fill>
  </fills>
  <borders count="10">
    <border>
      <left/>
      <right/>
      <top/>
      <bottom/>
      <diagonal/>
    </border>
    <border>
      <left style="medium">
        <color rgb="FF000000"/>
      </left>
      <right style="medium">
        <color rgb="FF000000"/>
      </right>
      <top style="medium">
        <color rgb="FF000000"/>
      </top>
      <bottom style="medium">
        <color rgb="FF000000"/>
      </bottom>
    </border>
    <border>
      <left style="thin">
        <color rgb="FF000000"/>
      </left>
      <right style="thin">
        <color rgb="FF000000"/>
      </right>
      <top style="thin">
        <color rgb="FF000000"/>
      </top>
      <bottom style="thin">
        <color rgb="FF000000"/>
      </bottom>
    </border>
    <border>
      <bottom style="medium">
        <color rgb="FF000000"/>
      </bottom>
    </border>
    <border>
      <left style="medium">
        <color rgb="FF000000"/>
      </left>
    </border>
    <border>
      <left style="medium">
        <color rgb="FF000000"/>
      </left>
      <bottom style="medium">
        <color rgb="FF000000"/>
      </bottom>
    </border>
    <border>
      <top style="medium">
        <color rgb="FF000000"/>
      </top>
    </border>
    <border>
      <left style="medium">
        <color rgb="FF000000"/>
      </left>
      <right style="medium">
        <color rgb="FF000000"/>
      </right>
      <top style="medium">
        <color rgb="FF000000"/>
      </top>
    </border>
    <border>
      <left style="medium">
        <color rgb="FF000000"/>
      </left>
      <right style="medium">
        <color rgb="FF000000"/>
      </right>
    </border>
    <border>
      <left style="medium">
        <color rgb="FF000000"/>
      </left>
      <right style="medium">
        <color rgb="FF000000"/>
      </right>
      <bottom style="medium">
        <color rgb="FF000000"/>
      </bottom>
    </border>
  </borders>
  <cellStyleXfs count="1">
    <xf numFmtId="0" fontId="0" fillId="0" borderId="0"/>
  </cellStyleXfs>
  <cellXfs count="34">
    <xf numFmtId="0" fontId="0" fillId="0" borderId="0" xfId="0"/>
    <xf numFmtId="0" fontId="1" fillId="0" borderId="0" xfId="0" applyFont="true" applyAlignment="true">
      <alignment horizontal="center" vertical="center" wrapText="true"/>
    </xf>
    <xf numFmtId="0" fontId="2" fillId="0" borderId="0" xfId="0" applyFont="true" applyAlignment="true">
      <alignment vertical="center" wrapText="true"/>
    </xf>
    <xf numFmtId="164" fontId="2" fillId="0" borderId="0" xfId="0" applyNumberFormat="true" applyFont="true" applyAlignment="true">
      <alignment vertical="center" wrapText="true"/>
    </xf>
    <xf numFmtId="0" fontId="2" fillId="0" borderId="0" xfId="0" applyFont="true" applyAlignment="true">
      <alignment horizontal="center" vertical="center" wrapText="true"/>
    </xf>
    <xf numFmtId="0" fontId="3" fillId="0" borderId="0" xfId="0" applyFont="true" applyAlignment="true">
      <alignment horizontal="center"/>
    </xf>
    <xf numFmtId="0" fontId="3" fillId="0" borderId="0" xfId="0" applyFont="true" applyAlignment="false">
      <alignment/>
    </xf>
    <xf numFmtId="0" fontId="4" fillId="0" borderId="0" xfId="0" applyFont="true" applyAlignment="true">
      <alignment horizontal="center"/>
    </xf>
    <xf numFmtId="0" fontId="5" fillId="0" borderId="0" xfId="0" applyFont="true" applyAlignment="false">
      <alignment/>
    </xf>
    <xf numFmtId="0" fontId="6" fillId="0" borderId="0" xfId="0" applyFont="true" applyAlignment="true">
      <alignment horizontal="center" vertical="center"/>
    </xf>
    <xf numFmtId="0" fontId="7" fillId="0" borderId="0" xfId="0" applyFont="true" applyAlignment="true">
      <alignment horizontal="center" vertical="center"/>
    </xf>
    <xf numFmtId="0" fontId="8" fillId="2" borderId="1" xfId="0" applyFont="true" applyFill="true" applyBorder="true" applyAlignment="true">
      <alignment horizontal="right"/>
    </xf>
    <xf numFmtId="0" fontId="5" fillId="0" borderId="1" xfId="0" applyFont="true" applyBorder="true" applyAlignment="false">
      <alignment/>
    </xf>
    <xf numFmtId="0" fontId="1" fillId="0" borderId="1" xfId="0" applyFont="true" applyBorder="true" applyAlignment="true">
      <alignment horizontal="center" vertical="center"/>
    </xf>
    <xf numFmtId="0" fontId="2" fillId="3" borderId="2" xfId="0" applyFont="true" applyFill="true" applyBorder="true" applyAlignment="true">
      <alignment horizontal="center"/>
    </xf>
    <xf numFmtId="0" fontId="0" fillId="0" borderId="3" xfId="0" applyBorder="true" applyAlignment="false">
      <alignment/>
    </xf>
    <xf numFmtId="0" fontId="9" fillId="4" borderId="2" xfId="0" applyFont="true" applyFill="true" applyBorder="true" applyAlignment="true">
      <alignment horizontal="center"/>
    </xf>
    <xf numFmtId="0" fontId="1" fillId="5" borderId="2" xfId="0" applyFont="true" applyFill="true" applyBorder="true" applyAlignment="true">
      <alignment horizontal="center"/>
    </xf>
    <xf numFmtId="0" fontId="2" fillId="0" borderId="2" xfId="0" applyFont="true" applyBorder="true" applyAlignment="true" applyProtection="true">
      <alignment horizontal="center"/>
      <protection hidden="false" locked="false"/>
    </xf>
    <xf numFmtId="0" fontId="0" fillId="0" borderId="3" xfId="0" applyBorder="true" applyAlignment="false" applyProtection="true">
      <alignment/>
      <protection hidden="false" locked="false"/>
    </xf>
    <xf numFmtId="0" fontId="0" fillId="0" borderId="4" xfId="0" applyBorder="true" applyAlignment="false">
      <alignment/>
    </xf>
    <xf numFmtId="0" fontId="2" fillId="0" borderId="5" xfId="0" applyFont="true" applyBorder="true" applyAlignment="true">
      <alignment horizontal="left"/>
    </xf>
    <xf numFmtId="0" fontId="0" fillId="0" borderId="6" xfId="0" applyBorder="true" applyAlignment="false">
      <alignment/>
    </xf>
    <xf numFmtId="0" fontId="1" fillId="3" borderId="3" xfId="0" applyFont="true" applyFill="true" applyBorder="true" applyAlignment="true">
      <alignment horizontal="right" vertical="center"/>
    </xf>
    <xf numFmtId="0" fontId="1" fillId="3" borderId="0" xfId="0" applyFont="true" applyFill="true" applyAlignment="false">
      <alignment/>
    </xf>
    <xf numFmtId="0" fontId="2" fillId="0" borderId="7" xfId="0" applyFont="true" applyBorder="true" applyAlignment="false">
      <alignment/>
    </xf>
    <xf numFmtId="0" fontId="2" fillId="0" borderId="8" xfId="0" applyFont="true" applyBorder="true" applyAlignment="false">
      <alignment/>
    </xf>
    <xf numFmtId="0" fontId="2" fillId="0" borderId="9" xfId="0" applyFont="true" applyBorder="true" applyAlignment="false">
      <alignment/>
    </xf>
    <xf numFmtId="0" fontId="10" fillId="0" borderId="1" xfId="0" applyFont="true" applyBorder="true" applyAlignment="true">
      <alignment horizontal="center" vertical="center"/>
    </xf>
    <xf numFmtId="0" fontId="11" fillId="0" borderId="1" xfId="0" applyFont="true" applyBorder="true" applyAlignment="true">
      <alignment horizontal="center" vertical="center"/>
    </xf>
    <xf numFmtId="0" fontId="12" fillId="0" borderId="0" xfId="0" applyFont="true" applyAlignment="true">
      <alignment horizontal="center" vertical="center"/>
    </xf>
    <xf numFmtId="165" fontId="2" fillId="0" borderId="2" xfId="0" applyNumberFormat="true" applyFont="true" applyBorder="true" applyAlignment="true">
      <alignment horizontal="center"/>
    </xf>
    <xf numFmtId="0" fontId="2" fillId="0" borderId="2" xfId="0" applyFont="true" applyBorder="true" applyAlignment="true">
      <alignment horizontal="center"/>
    </xf>
    <xf numFmtId="20" fontId="2" fillId="0" borderId="2" xfId="0" applyNumberFormat="true" applyFont="true" applyBorder="true" applyAlignment="true">
      <alignment horizontal="center"/>
    </xf>
  </cellXfs>
  <cellStyles count="1">
    <cellStyle name="Normal" xfId="0" builtinId="0"/>
  </cellStyles>
  <dxfs count="0"/>
  <tableStyles count="0" defaultPivotStyle="PivotStyleLight16" defaultTableStyle="TableStyleMedium2"/>
</styleSheet>
</file>

<file path=xl/_rels/workbook.xml.rels><?xml version="1.0" encoding="UTF-8"?>
<Relationships xmlns="http://schemas.openxmlformats.org/package/2006/relationships"><Relationship Id="rId1" Target="worksheets/sheet1.xml" Type="http://schemas.openxmlformats.org/officeDocument/2006/relationships/worksheet"></Relationship><Relationship Id="rId2" Target="styles.xml" Type="http://schemas.openxmlformats.org/officeDocument/2006/relationships/styles"></Relationship><Relationship Id="rId3" Target="theme/theme1.xml" Type="http://schemas.openxmlformats.org/officeDocument/2006/relationships/theme"></Relationship><Relationship Id="rId4" Target="worksheets/sheet2.xml" Type="http://schemas.openxmlformats.org/officeDocument/2006/relationships/worksheet"></Relationship><Relationship Id="rId5" Target="worksheets/sheet3.xml" Type="http://schemas.openxmlformats.org/officeDocument/2006/relationships/worksheet"></Relationship><Relationship Id="rId6" Target="worksheets/sheet4.xml" Type="http://schemas.openxmlformats.org/officeDocument/2006/relationships/worksheet"></Relationship><Relationship Id="rId7" Target="worksheets/sheet5.xml" Type="http://schemas.openxmlformats.org/officeDocument/2006/relationships/worksheet"></Relationship><Relationship Id="rId10" Target="/xl/sharedStrings.xml" Type="http://schemas.openxmlformats.org/officeDocument/2006/relationships/sharedStrings"></Relationship><Relationship Id="rId11" Target="worksheets/sheet8.xml" Type="http://schemas.openxmlformats.org/officeDocument/2006/relationships/worksheet"></Relationship><Relationship Id="rId12" Target="worksheets/sheet9.xml" Type="http://schemas.openxmlformats.org/officeDocument/2006/relationships/worksheet"></Relationship><Relationship Id="rId13" Target="worksheets/sheet10.xml" Type="http://schemas.openxmlformats.org/officeDocument/2006/relationships/worksheet"></Relationship><Relationship Id="rId14" Target="worksheets/sheet11.xml" Type="http://schemas.openxmlformats.org/officeDocument/2006/relationships/worksheet"></Relationship><Relationship Id="rId15" Target="worksheets/sheet12.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pageSetUpPr fitToPage="true"/>
  </sheetPr>
  <dimension ref="A1"/>
  <sheetViews>
    <sheetView workbookViewId="0"/>
  </sheetViews>
  <sheetFormatPr defaultRowHeight="15"/>
  <cols>
    <col customWidth="true" max="1" min="1" width="9"/>
    <col customWidth="true" max="3" min="2" width="20"/>
    <col customWidth="true" max="26" min="4" width="12"/>
  </cols>
  <sheetData>
    <row r="1">
      <c r="A1" t="s">
        <v>9</v>
      </c>
      <c r="B1" t="s">
        <v>10</v>
      </c>
    </row>
    <row r="2">
      <c r="A2" t="s">
        <v>11</v>
      </c>
      <c r="B2" t="s">
        <v>12</v>
      </c>
      <c r="C2" t="s">
        <v>13</v>
      </c>
      <c r="E2" t="s">
        <v>14</v>
      </c>
    </row>
    <row r="3">
      <c r="A3" t="s">
        <v>15</v>
      </c>
      <c r="B3" t="s">
        <v>16</v>
      </c>
      <c r="C3" t="s">
        <v>17</v>
      </c>
    </row>
    <row r="4">
      <c r="A4" t="s">
        <v>15</v>
      </c>
      <c r="B4" t="s">
        <v>18</v>
      </c>
      <c r="C4" t="s">
        <v>19</v>
      </c>
    </row>
    <row r="5">
      <c r="A5" t="s">
        <v>15</v>
      </c>
      <c r="B5" t="s">
        <v>20</v>
      </c>
      <c r="C5" t="s">
        <v>21</v>
      </c>
    </row>
    <row r="6">
      <c r="A6" t="s">
        <v>15</v>
      </c>
      <c r="B6" t="s">
        <v>22</v>
      </c>
      <c r="C6" t="s">
        <v>23</v>
      </c>
    </row>
    <row r="7">
      <c r="A7" t="s">
        <v>24</v>
      </c>
      <c r="B7" t="s">
        <v>25</v>
      </c>
      <c r="C7" t="s">
        <v>19</v>
      </c>
    </row>
    <row r="8">
      <c r="A8" t="s">
        <v>24</v>
      </c>
      <c r="B8" t="s">
        <v>26</v>
      </c>
      <c r="C8" t="s">
        <v>27</v>
      </c>
    </row>
    <row r="9">
      <c r="A9" t="s">
        <v>24</v>
      </c>
      <c r="B9" t="s">
        <v>28</v>
      </c>
      <c r="C9" t="s">
        <v>23</v>
      </c>
    </row>
    <row r="10">
      <c r="A10" t="s">
        <v>29</v>
      </c>
      <c r="B10" t="s">
        <v>30</v>
      </c>
      <c r="C10" t="s">
        <v>17</v>
      </c>
    </row>
    <row r="11">
      <c r="A11" t="s">
        <v>29</v>
      </c>
      <c r="B11" t="s">
        <v>31</v>
      </c>
      <c r="C11" t="s">
        <v>27</v>
      </c>
    </row>
    <row r="12">
      <c r="A12" t="s">
        <v>29</v>
      </c>
      <c r="B12" t="s">
        <v>32</v>
      </c>
      <c r="C12" t="s">
        <v>21</v>
      </c>
    </row>
  </sheetData>
  <printOptions horizontalCentered="true" verticalCentered="true"/>
  <pageSetup fitToHeight="0" fitToWidth="1" orientation="portrait" paperSize="9"/>
</worksheet>
</file>

<file path=xl/worksheets/sheet2.xml><?xml version="1.0" encoding="utf-8"?>
<worksheet xmlns="http://schemas.openxmlformats.org/spreadsheetml/2006/main">
  <dimension ref="A1"/>
  <sheetViews>
    <sheetView workbookViewId="0"/>
  </sheetViews>
  <cols>
    <col customWidth="true" max="1" min="1" width="21.83"/>
    <col customWidth="true" max="3" min="2" width="10"/>
    <col customWidth="true" max="4" min="4" width="14.66"/>
    <col customWidth="true" max="5" min="5" width="17"/>
    <col customWidth="true" max="7" min="6" width="13.16"/>
    <col customWidth="true" max="8" min="8" width="10"/>
  </cols>
  <sheetData>
    <row r="1" ht="51" customHeight="true">
      <c r="A1" s="1" t="s">
        <v>0</v>
      </c>
      <c r="B1" s="1" t="s">
        <v>1</v>
      </c>
      <c r="C1" s="1" t="s">
        <v>2</v>
      </c>
      <c r="D1" s="1" t="s">
        <v>3</v>
      </c>
      <c r="E1" s="1" t="s">
        <v>4</v>
      </c>
      <c r="F1" s="1" t="s">
        <v>5</v>
      </c>
      <c r="G1" s="1" t="s">
        <v>6</v>
      </c>
      <c r="H1" s="1" t="s">
        <v>7</v>
      </c>
    </row>
    <row r="2" ht="16" customHeight="true">
      <c r="A2" s="2">
        <v>3</v>
      </c>
      <c r="B2" s="2">
        <v>5</v>
      </c>
      <c r="C2" s="2">
        <v>12</v>
      </c>
      <c r="D2" s="3">
        <v>0.0020833333333333333</v>
      </c>
      <c r="E2" s="3" t="str">
        <f>(A2*B2*C2*D2)</f>
      </c>
      <c r="F2" s="3">
        <v>0.00034722222222222224</v>
      </c>
      <c r="G2" s="3">
        <v>0.020833333333333332</v>
      </c>
      <c r="H2" s="31" t="str">
        <f>C2*I2+J2</f>
      </c>
    </row>
    <row r="3" ht="16" customHeight="true">
      <c r="A3" s="2">
        <v>0</v>
      </c>
      <c r="B3" s="2">
        <v>0</v>
      </c>
      <c r="C3" s="2">
        <v>0</v>
      </c>
      <c r="D3" s="3">
        <v>0.0020833333333333333</v>
      </c>
      <c r="E3" s="3" t="str">
        <f>(A3*B3*C3*D3)</f>
      </c>
      <c r="F3" s="3">
        <v>0.00034722222222222224</v>
      </c>
      <c r="G3" s="3">
        <v>0.020833333333333332</v>
      </c>
      <c r="H3" s="3" t="str">
        <f>E3+(A3*C3*F3)+G3</f>
      </c>
    </row>
    <row r="4" ht="16" customHeight="true">
      <c r="A4" s="4"/>
      <c r="B4" s="4"/>
      <c r="C4" s="4"/>
      <c r="D4" s="4"/>
      <c r="E4" s="4"/>
      <c r="F4" s="4"/>
      <c r="G4" s="4"/>
      <c r="H4" s="4"/>
    </row>
    <row r="5" ht="16" customHeight="true">
      <c r="A5" s="4"/>
      <c r="B5" s="4"/>
      <c r="C5" s="4"/>
      <c r="D5" s="4"/>
      <c r="E5" s="4"/>
      <c r="F5" s="4"/>
      <c r="G5" s="4"/>
      <c r="H5" s="4"/>
    </row>
    <row r="6" ht="16" customHeight="true">
      <c r="A6" s="4"/>
      <c r="B6" s="4"/>
      <c r="C6" s="4"/>
      <c r="D6" s="4"/>
      <c r="E6" s="4"/>
      <c r="F6" s="4"/>
      <c r="G6" s="4"/>
      <c r="H6" s="4"/>
    </row>
    <row r="7" ht="51" customHeight="true">
      <c r="A7" s="1" t="s">
        <v>8</v>
      </c>
      <c r="B7" s="1" t="s">
        <v>1</v>
      </c>
      <c r="C7" s="1"/>
      <c r="D7" s="1" t="s">
        <v>3</v>
      </c>
      <c r="E7" s="1" t="s">
        <v>4</v>
      </c>
      <c r="F7" s="1" t="s">
        <v>5</v>
      </c>
      <c r="G7" s="1" t="s">
        <v>6</v>
      </c>
      <c r="H7" s="1" t="s">
        <v>7</v>
      </c>
    </row>
    <row r="8" ht="16" customHeight="true">
      <c r="A8" s="2">
        <v>5</v>
      </c>
      <c r="B8" s="2">
        <v>5</v>
      </c>
      <c r="C8" s="2"/>
      <c r="D8" s="3">
        <v>0.002777777777777778</v>
      </c>
      <c r="E8" s="3" t="str">
        <f>(A8*B8*D8)</f>
      </c>
      <c r="F8" s="3">
        <v>0.00034722222222222224</v>
      </c>
      <c r="G8" s="3">
        <v>0.020833333333333332</v>
      </c>
      <c r="H8" s="31" t="str">
        <f>E8+(A8*F8)+G8</f>
      </c>
    </row>
    <row r="9" ht="16" customHeight="true">
      <c r="A9" s="4"/>
      <c r="B9" s="4"/>
      <c r="C9" s="4"/>
      <c r="D9" s="4"/>
      <c r="E9" s="4"/>
      <c r="F9" s="4"/>
      <c r="G9" s="4"/>
      <c r="H9" s="4"/>
    </row>
    <row r="10" ht="16" customHeight="true">
      <c r="A10" s="4"/>
      <c r="B10" s="4"/>
      <c r="C10" s="4"/>
      <c r="D10" s="4"/>
      <c r="E10" s="4"/>
      <c r="F10" s="4"/>
      <c r="G10" s="4"/>
      <c r="H10" s="4"/>
    </row>
    <row r="11" ht="16" customHeight="true">
      <c r="A11" s="4"/>
      <c r="B11" s="4"/>
      <c r="C11" s="4"/>
      <c r="D11" s="4"/>
      <c r="E11" s="4"/>
      <c r="F11" s="4"/>
      <c r="G11" s="4"/>
      <c r="H11" s="4"/>
    </row>
    <row r="13">
      <c r="E13" s="13" t="s">
        <v>69</v>
      </c>
      <c r="F13" s="13"/>
      <c r="G13" s="13"/>
      <c r="H13" s="13"/>
    </row>
    <row r="14">
      <c r="A14">
        <v>2</v>
      </c>
      <c r="E14" s="32" t="s">
        <v>70</v>
      </c>
      <c r="F14" s="32"/>
      <c r="G14" s="32"/>
      <c r="H14" s="31" t="str">
        <f>H2</f>
      </c>
    </row>
    <row r="15">
      <c r="E15" s="32" t="s">
        <v>71</v>
      </c>
      <c r="F15" s="32"/>
      <c r="G15" s="32"/>
      <c r="H15" s="31" t="str">
        <f>H8</f>
      </c>
    </row>
    <row r="16">
      <c r="E16" s="32" t="s">
        <v>72</v>
      </c>
      <c r="F16" s="32"/>
      <c r="G16" s="32"/>
      <c r="H16" s="31" t="str">
        <f>H14+H15</f>
      </c>
    </row>
    <row r="17">
      <c r="E17" s="32" t="s">
        <v>73</v>
      </c>
      <c r="F17" s="32"/>
      <c r="G17" s="32"/>
      <c r="H17" s="31" t="str">
        <f>H16/A14</f>
      </c>
    </row>
    <row r="18">
      <c r="E18" s="13" t="s">
        <v>74</v>
      </c>
      <c r="F18" s="13"/>
      <c r="G18" s="13"/>
      <c r="H18" s="33">
        <v>0.375</v>
      </c>
    </row>
    <row r="19">
      <c r="E19" s="13" t="s">
        <v>75</v>
      </c>
      <c r="F19" s="13"/>
      <c r="G19" s="13"/>
      <c r="H19" s="33" t="str">
        <f>H18+H17</f>
      </c>
    </row>
  </sheetData>
  <mergeCells count="1">
    <mergeCell ref="E13:H13"/>
  </mergeCells>
</worksheet>
</file>

<file path=xl/worksheets/sheet3.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8.83"/>
    <col customWidth="true" max="2" min="2" width="30"/>
    <col customWidth="true" max="3" min="3" width="8.83"/>
    <col customWidth="true" max="4" min="4" width="30"/>
    <col customWidth="true" max="5" min="5" width="8.83"/>
    <col customWidth="true" max="6" min="6" width="30"/>
    <col customWidth="true" max="7" min="7" width="8.83"/>
  </cols>
  <sheetData>
    <row r="1" ht="17" customHeight="true"/>
    <row r="2" ht="20" customHeight="true">
      <c r="A2" s="6"/>
      <c r="B2" s="5" t="str">
        <f>IF(data!$B$1="","Tournament Pools",data!$B$1&amp;" - Tournament Pools")</f>
      </c>
      <c r="G2" s="6"/>
    </row>
    <row r="3" ht="17" customHeight="true">
      <c r="A3" s="7"/>
      <c r="B3" s="7"/>
      <c r="C3" s="7"/>
      <c r="D3" s="7"/>
      <c r="E3" s="7"/>
      <c r="F3" s="7"/>
      <c r="G3" s="7"/>
      <c r="H3" s="7"/>
    </row>
    <row r="4" ht="17" customHeight="true">
      <c r="A4" s="8"/>
      <c r="B4" s="8"/>
      <c r="C4" s="8"/>
      <c r="D4" s="8"/>
      <c r="E4" s="8"/>
      <c r="F4" s="8"/>
      <c r="G4" s="8"/>
      <c r="H4" s="8"/>
    </row>
    <row r="5" ht="17" customHeight="true">
      <c r="B5" s="11" t="str">
        <f>'data'!$A$6</f>
      </c>
      <c r="D5" s="11" t="str">
        <f>'data'!$A$9</f>
      </c>
      <c r="F5" s="11" t="str">
        <f>'data'!$A$12</f>
      </c>
    </row>
    <row r="6" ht="17" customHeight="true">
      <c r="B6" s="12" t="str">
        <f>"1. " &amp; data!$B$3</f>
      </c>
      <c r="D6" s="12" t="str">
        <f>"1. " &amp; data!$B$7</f>
      </c>
      <c r="F6" s="12" t="str">
        <f>"1. " &amp; data!$B$10</f>
      </c>
    </row>
    <row r="7" ht="17" customHeight="true">
      <c r="B7" s="12" t="str">
        <f>"2. " &amp; data!$B$4</f>
      </c>
      <c r="D7" s="12" t="str">
        <f>"2. " &amp; data!$B$8</f>
      </c>
      <c r="F7" s="12" t="str">
        <f>"2. " &amp; data!$B$11</f>
      </c>
    </row>
    <row r="8">
      <c r="B8" s="12" t="str">
        <f>"3. " &amp; data!$B$5</f>
      </c>
      <c r="D8" s="12" t="str">
        <f>"3. " &amp; data!$B$9</f>
      </c>
      <c r="F8" s="12" t="str">
        <f>"3. " &amp; data!$B$12</f>
      </c>
    </row>
    <row r="9">
      <c r="B9" s="12" t="str">
        <f>"4. " &amp; data!$B$6</f>
      </c>
    </row>
  </sheetData>
  <mergeCells count="1">
    <mergeCell ref="B2:F2"/>
  </mergeCells>
  <printOptions horizontalCentered="true" verticalCentered="true"/>
  <pageSetup fitToHeight="0" fitToWidth="1" orientation="portrait" paperSize="9"/>
</worksheet>
</file>

<file path=xl/worksheets/sheet4.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0"/>
    <col customWidth="true" max="14" min="10" width="5"/>
    <col customWidth="true" max="15" min="15" width="30"/>
    <col customWidth="true" max="16" min="16" width="5"/>
    <col customWidth="true" max="20" min="17" width="10.83"/>
    <col customWidth="true" hidden="true" max="21" min="21" width="9.140625"/>
    <col customWidth="true" hidden="true" max="29" min="29" width="9.140625"/>
  </cols>
  <sheetData>
    <row r="1">
      <c r="A1" s="13" t="s">
        <v>33</v>
      </c>
      <c r="B1" s="13"/>
      <c r="C1" s="13"/>
      <c r="D1" s="13"/>
      <c r="E1" s="13"/>
      <c r="F1" s="13"/>
      <c r="G1" s="13"/>
      <c r="I1" s="13" t="s">
        <v>34</v>
      </c>
      <c r="J1" s="13"/>
      <c r="K1" s="13"/>
      <c r="L1" s="13"/>
      <c r="M1" s="13"/>
      <c r="N1" s="13"/>
      <c r="O1" s="13"/>
    </row>
    <row r="2">
      <c r="A2" s="13" t="str">
        <f>'data'!$A$6</f>
      </c>
      <c r="B2" s="13"/>
      <c r="C2" s="13"/>
      <c r="D2" s="13"/>
      <c r="E2" s="13"/>
      <c r="F2" s="13"/>
      <c r="G2" s="13"/>
      <c r="I2" s="13" t="str">
        <f>'data'!$A$12</f>
      </c>
      <c r="J2" s="13"/>
      <c r="K2" s="13"/>
      <c r="L2" s="13"/>
      <c r="M2" s="13"/>
      <c r="N2" s="13"/>
      <c r="O2" s="13"/>
    </row>
    <row r="3">
      <c r="A3" s="17" t="s">
        <v>35</v>
      </c>
      <c r="B3" s="14"/>
      <c r="C3" s="14"/>
      <c r="D3" s="14" t="s">
        <v>36</v>
      </c>
      <c r="E3" s="14"/>
      <c r="F3" s="14"/>
      <c r="G3" s="16" t="s">
        <v>37</v>
      </c>
      <c r="I3" s="17" t="s">
        <v>35</v>
      </c>
      <c r="J3" s="14"/>
      <c r="K3" s="14"/>
      <c r="L3" s="14" t="s">
        <v>36</v>
      </c>
      <c r="M3" s="14"/>
      <c r="N3" s="14"/>
      <c r="O3" s="16" t="s">
        <v>37</v>
      </c>
    </row>
    <row r="4">
      <c r="A4" s="14" t="str">
        <f>'data'!$B$4</f>
      </c>
      <c r="B4" s="14" t="str">
        <f>SUMPRODUCT((UPPER(D5:D9)&lt;&gt;"X")*((LEN(SUBSTITUTE(SUBSTITUTE(SUBSTITUTE(B5:B9," ",""),"0",""),"-",""))+LEN(SUBSTITUTE(SUBSTITUTE(SUBSTITUTE(C5:C9," ",""),"0",""),"-","")))&gt;(LEN(SUBSTITUTE(SUBSTITUTE(SUBSTITUTE(E5:E9," ",""),"0",""),"-",""))+LEN(SUBSTITUTE(SUBSTITUTE(SUBSTITUTE(F5:F9," ",""),"0",""),"-",""))))*1)</f>
      </c>
      <c r="C4" s="14" t="str">
        <f>SUMPRODUCT(LEN(SUBSTITUTE(SUBSTITUTE(SUBSTITUTE(B5:B9," ",""),"0",""),"-",""))+LEN(SUBSTITUTE(SUBSTITUTE(SUBSTITUTE(C5:C9," ",""),"0",""),"-","")))</f>
      </c>
      <c r="D4" s="18"/>
      <c r="E4" s="14" t="str">
        <f>SUMPRODUCT(LEN(SUBSTITUTE(SUBSTITUTE(SUBSTITUTE(E5:E9," ",""),"0",""),"-",""))+LEN(SUBSTITUTE(SUBSTITUTE(SUBSTITUTE(F5:F9," ",""),"0",""),"-","")))</f>
      </c>
      <c r="F4" s="14" t="str">
        <f>SUMPRODUCT((UPPER(D5:D9)&lt;&gt;"X")*((LEN(SUBSTITUTE(SUBSTITUTE(SUBSTITUTE(E5:E9," ",""),"0",""),"-",""))+LEN(SUBSTITUTE(SUBSTITUTE(SUBSTITUTE(F5:F9," ",""),"0",""),"-","")))&gt;(LEN(SUBSTITUTE(SUBSTITUTE(SUBSTITUTE(B5:B9," ",""),"0",""),"-",""))+LEN(SUBSTITUTE(SUBSTITUTE(SUBSTITUTE(C5:C9," ",""),"0",""),"-",""))))*1)</f>
      </c>
      <c r="G4" s="14" t="str">
        <f>'data'!$B$3</f>
      </c>
      <c r="I4" s="14" t="str">
        <f>'data'!$B$11</f>
      </c>
      <c r="J4" s="14" t="str">
        <f>SUMPRODUCT((UPPER(L5:L9)&lt;&gt;"X")*((LEN(SUBSTITUTE(SUBSTITUTE(SUBSTITUTE(J5:J9," ",""),"0",""),"-",""))+LEN(SUBSTITUTE(SUBSTITUTE(SUBSTITUTE(K5:K9," ",""),"0",""),"-","")))&gt;(LEN(SUBSTITUTE(SUBSTITUTE(SUBSTITUTE(M5:M9," ",""),"0",""),"-",""))+LEN(SUBSTITUTE(SUBSTITUTE(SUBSTITUTE(N5:N9," ",""),"0",""),"-",""))))*1)</f>
      </c>
      <c r="K4" s="14" t="str">
        <f>SUMPRODUCT(LEN(SUBSTITUTE(SUBSTITUTE(SUBSTITUTE(J5:J9," ",""),"0",""),"-",""))+LEN(SUBSTITUTE(SUBSTITUTE(SUBSTITUTE(K5:K9," ",""),"0",""),"-","")))</f>
      </c>
      <c r="L4" s="18"/>
      <c r="M4" s="14" t="str">
        <f>SUMPRODUCT(LEN(SUBSTITUTE(SUBSTITUTE(SUBSTITUTE(M5:M9," ",""),"0",""),"-",""))+LEN(SUBSTITUTE(SUBSTITUTE(SUBSTITUTE(N5:N9," ",""),"0",""),"-","")))</f>
      </c>
      <c r="N4" s="14" t="str">
        <f>SUMPRODUCT((UPPER(L5:L9)&lt;&gt;"X")*((LEN(SUBSTITUTE(SUBSTITUTE(SUBSTITUTE(M5:M9," ",""),"0",""),"-",""))+LEN(SUBSTITUTE(SUBSTITUTE(SUBSTITUTE(N5:N9," ",""),"0",""),"-","")))&gt;(LEN(SUBSTITUTE(SUBSTITUTE(SUBSTITUTE(J5:J9," ",""),"0",""),"-",""))+LEN(SUBSTITUTE(SUBSTITUTE(SUBSTITUTE(K5:K9," ",""),"0",""),"-",""))))*1)</f>
      </c>
      <c r="O4" s="14" t="str">
        <f>'data'!$B$10</f>
      </c>
    </row>
    <row r="5">
      <c r="A5" s="14">
        <v>1</v>
      </c>
      <c r="B5" s="18"/>
      <c r="C5" s="18"/>
      <c r="D5" s="18"/>
      <c r="E5" s="18"/>
      <c r="F5" s="18"/>
      <c r="G5" s="14">
        <v>1</v>
      </c>
      <c r="I5" s="14">
        <v>1</v>
      </c>
      <c r="J5" s="18"/>
      <c r="K5" s="18"/>
      <c r="L5" s="18"/>
      <c r="M5" s="18"/>
      <c r="N5" s="18"/>
      <c r="O5" s="14">
        <v>1</v>
      </c>
    </row>
    <row r="6">
      <c r="A6" s="14">
        <v>2</v>
      </c>
      <c r="B6" s="18"/>
      <c r="C6" s="18"/>
      <c r="D6" s="18"/>
      <c r="E6" s="18"/>
      <c r="F6" s="18"/>
      <c r="G6" s="14">
        <v>2</v>
      </c>
      <c r="I6" s="14">
        <v>2</v>
      </c>
      <c r="J6" s="18"/>
      <c r="K6" s="18"/>
      <c r="L6" s="18"/>
      <c r="M6" s="18"/>
      <c r="N6" s="18"/>
      <c r="O6" s="14">
        <v>2</v>
      </c>
    </row>
    <row r="7">
      <c r="A7" s="14">
        <v>3</v>
      </c>
      <c r="B7" s="18"/>
      <c r="C7" s="18"/>
      <c r="D7" s="18"/>
      <c r="E7" s="18"/>
      <c r="F7" s="18"/>
      <c r="G7" s="14">
        <v>3</v>
      </c>
      <c r="I7" s="14">
        <v>3</v>
      </c>
      <c r="J7" s="18"/>
      <c r="K7" s="18"/>
      <c r="L7" s="18"/>
      <c r="M7" s="18"/>
      <c r="N7" s="18"/>
      <c r="O7" s="14">
        <v>3</v>
      </c>
    </row>
    <row r="8">
      <c r="A8" s="14">
        <v>4</v>
      </c>
      <c r="B8" s="18"/>
      <c r="C8" s="18"/>
      <c r="D8" s="18"/>
      <c r="E8" s="18"/>
      <c r="F8" s="18"/>
      <c r="G8" s="14">
        <v>4</v>
      </c>
      <c r="I8" s="14">
        <v>4</v>
      </c>
      <c r="J8" s="18"/>
      <c r="K8" s="18"/>
      <c r="L8" s="18"/>
      <c r="M8" s="18"/>
      <c r="N8" s="18"/>
      <c r="O8" s="14">
        <v>4</v>
      </c>
    </row>
    <row r="9">
      <c r="A9" s="14">
        <v>5</v>
      </c>
      <c r="B9" s="18"/>
      <c r="C9" s="18"/>
      <c r="D9" s="18"/>
      <c r="E9" s="18"/>
      <c r="F9" s="18"/>
      <c r="G9" s="14">
        <v>5</v>
      </c>
      <c r="I9" s="14">
        <v>5</v>
      </c>
      <c r="J9" s="18"/>
      <c r="K9" s="18"/>
      <c r="L9" s="18"/>
      <c r="M9" s="18"/>
      <c r="N9" s="18"/>
      <c r="O9" s="14">
        <v>5</v>
      </c>
    </row>
    <row r="11">
      <c r="A11" s="17" t="s">
        <v>35</v>
      </c>
      <c r="B11" s="14"/>
      <c r="C11" s="14"/>
      <c r="D11" s="14" t="s">
        <v>36</v>
      </c>
      <c r="E11" s="14"/>
      <c r="F11" s="14"/>
      <c r="G11" s="16" t="s">
        <v>37</v>
      </c>
      <c r="I11" s="17" t="s">
        <v>35</v>
      </c>
      <c r="J11" s="14"/>
      <c r="K11" s="14"/>
      <c r="L11" s="14" t="s">
        <v>36</v>
      </c>
      <c r="M11" s="14"/>
      <c r="N11" s="14"/>
      <c r="O11" s="16" t="s">
        <v>37</v>
      </c>
    </row>
    <row r="12">
      <c r="A12" s="14" t="str">
        <f>'data'!$B$4</f>
      </c>
      <c r="B12" s="14" t="str">
        <f>SUMPRODUCT((UPPER(D13:D17)&lt;&gt;"X")*((LEN(SUBSTITUTE(SUBSTITUTE(SUBSTITUTE(B13:B17," ",""),"0",""),"-",""))+LEN(SUBSTITUTE(SUBSTITUTE(SUBSTITUTE(C13:C17," ",""),"0",""),"-","")))&gt;(LEN(SUBSTITUTE(SUBSTITUTE(SUBSTITUTE(E13:E17," ",""),"0",""),"-",""))+LEN(SUBSTITUTE(SUBSTITUTE(SUBSTITUTE(F13:F17," ",""),"0",""),"-",""))))*1)</f>
      </c>
      <c r="C12" s="14" t="str">
        <f>SUMPRODUCT(LEN(SUBSTITUTE(SUBSTITUTE(SUBSTITUTE(B13:B17," ",""),"0",""),"-",""))+LEN(SUBSTITUTE(SUBSTITUTE(SUBSTITUTE(C13:C17," ",""),"0",""),"-","")))</f>
      </c>
      <c r="D12" s="18"/>
      <c r="E12" s="14" t="str">
        <f>SUMPRODUCT(LEN(SUBSTITUTE(SUBSTITUTE(SUBSTITUTE(E13:E17," ",""),"0",""),"-",""))+LEN(SUBSTITUTE(SUBSTITUTE(SUBSTITUTE(F13:F17," ",""),"0",""),"-","")))</f>
      </c>
      <c r="F12" s="14" t="str">
        <f>SUMPRODUCT((UPPER(D13:D17)&lt;&gt;"X")*((LEN(SUBSTITUTE(SUBSTITUTE(SUBSTITUTE(E13:E17," ",""),"0",""),"-",""))+LEN(SUBSTITUTE(SUBSTITUTE(SUBSTITUTE(F13:F17," ",""),"0",""),"-","")))&gt;(LEN(SUBSTITUTE(SUBSTITUTE(SUBSTITUTE(B13:B17," ",""),"0",""),"-",""))+LEN(SUBSTITUTE(SUBSTITUTE(SUBSTITUTE(C13:C17," ",""),"0",""),"-",""))))*1)</f>
      </c>
      <c r="G12" s="14" t="str">
        <f>'data'!$B$5</f>
      </c>
      <c r="I12" s="14" t="str">
        <f>'data'!$B$12</f>
      </c>
      <c r="J12" s="14" t="str">
        <f>SUMPRODUCT((UPPER(L13:L17)&lt;&gt;"X")*((LEN(SUBSTITUTE(SUBSTITUTE(SUBSTITUTE(J13:J17," ",""),"0",""),"-",""))+LEN(SUBSTITUTE(SUBSTITUTE(SUBSTITUTE(K13:K17," ",""),"0",""),"-","")))&gt;(LEN(SUBSTITUTE(SUBSTITUTE(SUBSTITUTE(M13:M17," ",""),"0",""),"-",""))+LEN(SUBSTITUTE(SUBSTITUTE(SUBSTITUTE(N13:N17," ",""),"0",""),"-",""))))*1)</f>
      </c>
      <c r="K12" s="14" t="str">
        <f>SUMPRODUCT(LEN(SUBSTITUTE(SUBSTITUTE(SUBSTITUTE(J13:J17," ",""),"0",""),"-",""))+LEN(SUBSTITUTE(SUBSTITUTE(SUBSTITUTE(K13:K17," ",""),"0",""),"-","")))</f>
      </c>
      <c r="L12" s="18"/>
      <c r="M12" s="14" t="str">
        <f>SUMPRODUCT(LEN(SUBSTITUTE(SUBSTITUTE(SUBSTITUTE(M13:M17," ",""),"0",""),"-",""))+LEN(SUBSTITUTE(SUBSTITUTE(SUBSTITUTE(N13:N17," ",""),"0",""),"-","")))</f>
      </c>
      <c r="N12" s="14" t="str">
        <f>SUMPRODUCT((UPPER(L13:L17)&lt;&gt;"X")*((LEN(SUBSTITUTE(SUBSTITUTE(SUBSTITUTE(M13:M17," ",""),"0",""),"-",""))+LEN(SUBSTITUTE(SUBSTITUTE(SUBSTITUTE(N13:N17," ",""),"0",""),"-","")))&gt;(LEN(SUBSTITUTE(SUBSTITUTE(SUBSTITUTE(J13:J17," ",""),"0",""),"-",""))+LEN(SUBSTITUTE(SUBSTITUTE(SUBSTITUTE(K13:K17," ",""),"0",""),"-",""))))*1)</f>
      </c>
      <c r="O12" s="14" t="str">
        <f>'data'!$B$10</f>
      </c>
    </row>
    <row r="13">
      <c r="A13" s="14">
        <v>1</v>
      </c>
      <c r="B13" s="18"/>
      <c r="C13" s="18"/>
      <c r="D13" s="18"/>
      <c r="E13" s="18"/>
      <c r="F13" s="18"/>
      <c r="G13" s="14">
        <v>1</v>
      </c>
      <c r="I13" s="14">
        <v>1</v>
      </c>
      <c r="J13" s="18"/>
      <c r="K13" s="18"/>
      <c r="L13" s="18"/>
      <c r="M13" s="18"/>
      <c r="N13" s="18"/>
      <c r="O13" s="14">
        <v>1</v>
      </c>
    </row>
    <row r="14">
      <c r="A14" s="14">
        <v>2</v>
      </c>
      <c r="B14" s="18"/>
      <c r="C14" s="18"/>
      <c r="D14" s="18"/>
      <c r="E14" s="18"/>
      <c r="F14" s="18"/>
      <c r="G14" s="14">
        <v>2</v>
      </c>
      <c r="I14" s="14">
        <v>2</v>
      </c>
      <c r="J14" s="18"/>
      <c r="K14" s="18"/>
      <c r="L14" s="18"/>
      <c r="M14" s="18"/>
      <c r="N14" s="18"/>
      <c r="O14" s="14">
        <v>2</v>
      </c>
    </row>
    <row r="15">
      <c r="A15" s="14">
        <v>3</v>
      </c>
      <c r="B15" s="18"/>
      <c r="C15" s="18"/>
      <c r="D15" s="18"/>
      <c r="E15" s="18"/>
      <c r="F15" s="18"/>
      <c r="G15" s="14">
        <v>3</v>
      </c>
      <c r="I15" s="14">
        <v>3</v>
      </c>
      <c r="J15" s="18"/>
      <c r="K15" s="18"/>
      <c r="L15" s="18"/>
      <c r="M15" s="18"/>
      <c r="N15" s="18"/>
      <c r="O15" s="14">
        <v>3</v>
      </c>
    </row>
    <row r="16">
      <c r="A16" s="14">
        <v>4</v>
      </c>
      <c r="B16" s="18"/>
      <c r="C16" s="18"/>
      <c r="D16" s="18"/>
      <c r="E16" s="18"/>
      <c r="F16" s="18"/>
      <c r="G16" s="14">
        <v>4</v>
      </c>
      <c r="I16" s="14">
        <v>4</v>
      </c>
      <c r="J16" s="18"/>
      <c r="K16" s="18"/>
      <c r="L16" s="18"/>
      <c r="M16" s="18"/>
      <c r="N16" s="18"/>
      <c r="O16" s="14">
        <v>4</v>
      </c>
    </row>
    <row r="17">
      <c r="A17" s="14">
        <v>5</v>
      </c>
      <c r="B17" s="18"/>
      <c r="C17" s="18"/>
      <c r="D17" s="18"/>
      <c r="E17" s="18"/>
      <c r="F17" s="18"/>
      <c r="G17" s="14">
        <v>5</v>
      </c>
      <c r="I17" s="14">
        <v>5</v>
      </c>
      <c r="J17" s="18"/>
      <c r="K17" s="18"/>
      <c r="L17" s="18"/>
      <c r="M17" s="18"/>
      <c r="N17" s="18"/>
      <c r="O17" s="14">
        <v>5</v>
      </c>
    </row>
    <row r="19">
      <c r="A19" s="17" t="s">
        <v>35</v>
      </c>
      <c r="B19" s="14"/>
      <c r="C19" s="14"/>
      <c r="D19" s="14" t="s">
        <v>36</v>
      </c>
      <c r="E19" s="14"/>
      <c r="F19" s="14"/>
      <c r="G19" s="16" t="s">
        <v>37</v>
      </c>
      <c r="I19" s="17" t="s">
        <v>35</v>
      </c>
      <c r="J19" s="14"/>
      <c r="K19" s="14"/>
      <c r="L19" s="14" t="s">
        <v>36</v>
      </c>
      <c r="M19" s="14"/>
      <c r="N19" s="14"/>
      <c r="O19" s="16" t="s">
        <v>37</v>
      </c>
    </row>
    <row r="20">
      <c r="A20" s="14" t="str">
        <f>'data'!$B$6</f>
      </c>
      <c r="B20" s="14" t="str">
        <f>SUMPRODUCT((UPPER(D21:D25)&lt;&gt;"X")*((LEN(SUBSTITUTE(SUBSTITUTE(SUBSTITUTE(B21:B25," ",""),"0",""),"-",""))+LEN(SUBSTITUTE(SUBSTITUTE(SUBSTITUTE(C21:C25," ",""),"0",""),"-","")))&gt;(LEN(SUBSTITUTE(SUBSTITUTE(SUBSTITUTE(E21:E25," ",""),"0",""),"-",""))+LEN(SUBSTITUTE(SUBSTITUTE(SUBSTITUTE(F21:F25," ",""),"0",""),"-",""))))*1)</f>
      </c>
      <c r="C20" s="14" t="str">
        <f>SUMPRODUCT(LEN(SUBSTITUTE(SUBSTITUTE(SUBSTITUTE(B21:B25," ",""),"0",""),"-",""))+LEN(SUBSTITUTE(SUBSTITUTE(SUBSTITUTE(C21:C25," ",""),"0",""),"-","")))</f>
      </c>
      <c r="D20" s="18"/>
      <c r="E20" s="14" t="str">
        <f>SUMPRODUCT(LEN(SUBSTITUTE(SUBSTITUTE(SUBSTITUTE(E21:E25," ",""),"0",""),"-",""))+LEN(SUBSTITUTE(SUBSTITUTE(SUBSTITUTE(F21:F25," ",""),"0",""),"-","")))</f>
      </c>
      <c r="F20" s="14" t="str">
        <f>SUMPRODUCT((UPPER(D21:D25)&lt;&gt;"X")*((LEN(SUBSTITUTE(SUBSTITUTE(SUBSTITUTE(E21:E25," ",""),"0",""),"-",""))+LEN(SUBSTITUTE(SUBSTITUTE(SUBSTITUTE(F21:F25," ",""),"0",""),"-","")))&gt;(LEN(SUBSTITUTE(SUBSTITUTE(SUBSTITUTE(B21:B25," ",""),"0",""),"-",""))+LEN(SUBSTITUTE(SUBSTITUTE(SUBSTITUTE(C21:C25," ",""),"0",""),"-",""))))*1)</f>
      </c>
      <c r="G20" s="14" t="str">
        <f>'data'!$B$5</f>
      </c>
      <c r="I20" s="14" t="str">
        <f>'data'!$B$12</f>
      </c>
      <c r="J20" s="14" t="str">
        <f>SUMPRODUCT((UPPER(L21:L25)&lt;&gt;"X")*((LEN(SUBSTITUTE(SUBSTITUTE(SUBSTITUTE(J21:J25," ",""),"0",""),"-",""))+LEN(SUBSTITUTE(SUBSTITUTE(SUBSTITUTE(K21:K25," ",""),"0",""),"-","")))&gt;(LEN(SUBSTITUTE(SUBSTITUTE(SUBSTITUTE(M21:M25," ",""),"0",""),"-",""))+LEN(SUBSTITUTE(SUBSTITUTE(SUBSTITUTE(N21:N25," ",""),"0",""),"-",""))))*1)</f>
      </c>
      <c r="K20" s="14" t="str">
        <f>SUMPRODUCT(LEN(SUBSTITUTE(SUBSTITUTE(SUBSTITUTE(J21:J25," ",""),"0",""),"-",""))+LEN(SUBSTITUTE(SUBSTITUTE(SUBSTITUTE(K21:K25," ",""),"0",""),"-","")))</f>
      </c>
      <c r="L20" s="18"/>
      <c r="M20" s="14" t="str">
        <f>SUMPRODUCT(LEN(SUBSTITUTE(SUBSTITUTE(SUBSTITUTE(M21:M25," ",""),"0",""),"-",""))+LEN(SUBSTITUTE(SUBSTITUTE(SUBSTITUTE(N21:N25," ",""),"0",""),"-","")))</f>
      </c>
      <c r="N20" s="14" t="str">
        <f>SUMPRODUCT((UPPER(L21:L25)&lt;&gt;"X")*((LEN(SUBSTITUTE(SUBSTITUTE(SUBSTITUTE(M21:M25," ",""),"0",""),"-",""))+LEN(SUBSTITUTE(SUBSTITUTE(SUBSTITUTE(N21:N25," ",""),"0",""),"-","")))&gt;(LEN(SUBSTITUTE(SUBSTITUTE(SUBSTITUTE(J21:J25," ",""),"0",""),"-",""))+LEN(SUBSTITUTE(SUBSTITUTE(SUBSTITUTE(K21:K25," ",""),"0",""),"-",""))))*1)</f>
      </c>
      <c r="O20" s="14" t="str">
        <f>'data'!$B$11</f>
      </c>
    </row>
    <row r="21">
      <c r="A21" s="14">
        <v>1</v>
      </c>
      <c r="B21" s="18"/>
      <c r="C21" s="18"/>
      <c r="D21" s="18"/>
      <c r="E21" s="18"/>
      <c r="F21" s="18"/>
      <c r="G21" s="14">
        <v>1</v>
      </c>
      <c r="I21" s="14">
        <v>1</v>
      </c>
      <c r="J21" s="18"/>
      <c r="K21" s="18"/>
      <c r="L21" s="18"/>
      <c r="M21" s="18"/>
      <c r="N21" s="18"/>
      <c r="O21" s="14">
        <v>1</v>
      </c>
    </row>
    <row r="22">
      <c r="A22" s="14">
        <v>2</v>
      </c>
      <c r="B22" s="18"/>
      <c r="C22" s="18"/>
      <c r="D22" s="18"/>
      <c r="E22" s="18"/>
      <c r="F22" s="18"/>
      <c r="G22" s="14">
        <v>2</v>
      </c>
      <c r="I22" s="14">
        <v>2</v>
      </c>
      <c r="J22" s="18"/>
      <c r="K22" s="18"/>
      <c r="L22" s="18"/>
      <c r="M22" s="18"/>
      <c r="N22" s="18"/>
      <c r="O22" s="14">
        <v>2</v>
      </c>
    </row>
    <row r="23">
      <c r="A23" s="14">
        <v>3</v>
      </c>
      <c r="B23" s="18"/>
      <c r="C23" s="18"/>
      <c r="D23" s="18"/>
      <c r="E23" s="18"/>
      <c r="F23" s="18"/>
      <c r="G23" s="14">
        <v>3</v>
      </c>
      <c r="I23" s="14">
        <v>3</v>
      </c>
      <c r="J23" s="18"/>
      <c r="K23" s="18"/>
      <c r="L23" s="18"/>
      <c r="M23" s="18"/>
      <c r="N23" s="18"/>
      <c r="O23" s="14">
        <v>3</v>
      </c>
    </row>
    <row r="24">
      <c r="A24" s="14">
        <v>4</v>
      </c>
      <c r="B24" s="18"/>
      <c r="C24" s="18"/>
      <c r="D24" s="18"/>
      <c r="E24" s="18"/>
      <c r="F24" s="18"/>
      <c r="G24" s="14">
        <v>4</v>
      </c>
      <c r="I24" s="14">
        <v>4</v>
      </c>
      <c r="J24" s="18"/>
      <c r="K24" s="18"/>
      <c r="L24" s="18"/>
      <c r="M24" s="18"/>
      <c r="N24" s="18"/>
      <c r="O24" s="14">
        <v>4</v>
      </c>
    </row>
    <row r="25">
      <c r="A25" s="14">
        <v>5</v>
      </c>
      <c r="B25" s="18"/>
      <c r="C25" s="18"/>
      <c r="D25" s="18"/>
      <c r="E25" s="18"/>
      <c r="F25" s="18"/>
      <c r="G25" s="14">
        <v>5</v>
      </c>
      <c r="I25" s="14">
        <v>5</v>
      </c>
      <c r="J25" s="18"/>
      <c r="K25" s="18"/>
      <c r="L25" s="18"/>
      <c r="M25" s="18"/>
      <c r="N25" s="18"/>
      <c r="O25" s="14">
        <v>5</v>
      </c>
    </row>
    <row r="27">
      <c r="A27" s="17" t="s">
        <v>35</v>
      </c>
      <c r="B27" s="14"/>
      <c r="C27" s="14"/>
      <c r="D27" s="14" t="s">
        <v>36</v>
      </c>
      <c r="E27" s="14"/>
      <c r="F27" s="14"/>
      <c r="G27" s="16" t="s">
        <v>37</v>
      </c>
    </row>
    <row r="28">
      <c r="A28" s="14" t="str">
        <f>'data'!$B$6</f>
      </c>
      <c r="B28" s="14" t="str">
        <f>SUMPRODUCT((UPPER(D29:D33)&lt;&gt;"X")*((LEN(SUBSTITUTE(SUBSTITUTE(SUBSTITUTE(B29:B33," ",""),"0",""),"-",""))+LEN(SUBSTITUTE(SUBSTITUTE(SUBSTITUTE(C29:C33," ",""),"0",""),"-","")))&gt;(LEN(SUBSTITUTE(SUBSTITUTE(SUBSTITUTE(E29:E33," ",""),"0",""),"-",""))+LEN(SUBSTITUTE(SUBSTITUTE(SUBSTITUTE(F29:F33," ",""),"0",""),"-",""))))*1)</f>
      </c>
      <c r="C28" s="14" t="str">
        <f>SUMPRODUCT(LEN(SUBSTITUTE(SUBSTITUTE(SUBSTITUTE(B29:B33," ",""),"0",""),"-",""))+LEN(SUBSTITUTE(SUBSTITUTE(SUBSTITUTE(C29:C33," ",""),"0",""),"-","")))</f>
      </c>
      <c r="D28" s="18"/>
      <c r="E28" s="14" t="str">
        <f>SUMPRODUCT(LEN(SUBSTITUTE(SUBSTITUTE(SUBSTITUTE(E29:E33," ",""),"0",""),"-",""))+LEN(SUBSTITUTE(SUBSTITUTE(SUBSTITUTE(F29:F33," ",""),"0",""),"-","")))</f>
      </c>
      <c r="F28" s="14" t="str">
        <f>SUMPRODUCT((UPPER(D29:D33)&lt;&gt;"X")*((LEN(SUBSTITUTE(SUBSTITUTE(SUBSTITUTE(E29:E33," ",""),"0",""),"-",""))+LEN(SUBSTITUTE(SUBSTITUTE(SUBSTITUTE(F29:F33," ",""),"0",""),"-","")))&gt;(LEN(SUBSTITUTE(SUBSTITUTE(SUBSTITUTE(B29:B33," ",""),"0",""),"-",""))+LEN(SUBSTITUTE(SUBSTITUTE(SUBSTITUTE(C29:C33," ",""),"0",""),"-",""))))*1)</f>
      </c>
      <c r="G28" s="14" t="str">
        <f>'data'!$B$3</f>
      </c>
    </row>
    <row r="29">
      <c r="A29" s="14">
        <v>1</v>
      </c>
      <c r="B29" s="18"/>
      <c r="C29" s="18"/>
      <c r="D29" s="18"/>
      <c r="E29" s="18"/>
      <c r="F29" s="18"/>
      <c r="G29" s="14">
        <v>1</v>
      </c>
    </row>
    <row r="30">
      <c r="A30" s="14">
        <v>2</v>
      </c>
      <c r="B30" s="18"/>
      <c r="C30" s="18"/>
      <c r="D30" s="18"/>
      <c r="E30" s="18"/>
      <c r="F30" s="18"/>
      <c r="G30" s="14">
        <v>2</v>
      </c>
    </row>
    <row r="31">
      <c r="A31" s="14">
        <v>3</v>
      </c>
      <c r="B31" s="18"/>
      <c r="C31" s="18"/>
      <c r="D31" s="18"/>
      <c r="E31" s="18"/>
      <c r="F31" s="18"/>
      <c r="G31" s="14">
        <v>3</v>
      </c>
    </row>
    <row r="32">
      <c r="A32" s="14">
        <v>4</v>
      </c>
      <c r="B32" s="18"/>
      <c r="C32" s="18"/>
      <c r="D32" s="18"/>
      <c r="E32" s="18"/>
      <c r="F32" s="18"/>
      <c r="G32" s="14">
        <v>4</v>
      </c>
    </row>
    <row r="33">
      <c r="A33" s="14">
        <v>5</v>
      </c>
      <c r="B33" s="18"/>
      <c r="C33" s="18"/>
      <c r="D33" s="18"/>
      <c r="E33" s="18"/>
      <c r="F33" s="18"/>
      <c r="G33" s="14">
        <v>5</v>
      </c>
    </row>
    <row r="35">
      <c r="A35" s="17" t="s">
        <v>35</v>
      </c>
      <c r="B35" s="14"/>
      <c r="C35" s="14"/>
      <c r="D35" s="14" t="s">
        <v>36</v>
      </c>
      <c r="E35" s="14"/>
      <c r="F35" s="14"/>
      <c r="G35" s="16" t="s">
        <v>37</v>
      </c>
    </row>
    <row r="36">
      <c r="A36" s="14" t="str">
        <f>'data'!$B$5</f>
      </c>
      <c r="B36" s="14" t="str">
        <f>SUMPRODUCT((UPPER(D37:D41)&lt;&gt;"X")*((LEN(SUBSTITUTE(SUBSTITUTE(SUBSTITUTE(B37:B41," ",""),"0",""),"-",""))+LEN(SUBSTITUTE(SUBSTITUTE(SUBSTITUTE(C37:C41," ",""),"0",""),"-","")))&gt;(LEN(SUBSTITUTE(SUBSTITUTE(SUBSTITUTE(E37:E41," ",""),"0",""),"-",""))+LEN(SUBSTITUTE(SUBSTITUTE(SUBSTITUTE(F37:F41," ",""),"0",""),"-",""))))*1)</f>
      </c>
      <c r="C36" s="14" t="str">
        <f>SUMPRODUCT(LEN(SUBSTITUTE(SUBSTITUTE(SUBSTITUTE(B37:B41," ",""),"0",""),"-",""))+LEN(SUBSTITUTE(SUBSTITUTE(SUBSTITUTE(C37:C41," ",""),"0",""),"-","")))</f>
      </c>
      <c r="D36" s="18"/>
      <c r="E36" s="14" t="str">
        <f>SUMPRODUCT(LEN(SUBSTITUTE(SUBSTITUTE(SUBSTITUTE(E37:E41," ",""),"0",""),"-",""))+LEN(SUBSTITUTE(SUBSTITUTE(SUBSTITUTE(F37:F41," ",""),"0",""),"-","")))</f>
      </c>
      <c r="F36" s="14" t="str">
        <f>SUMPRODUCT((UPPER(D37:D41)&lt;&gt;"X")*((LEN(SUBSTITUTE(SUBSTITUTE(SUBSTITUTE(E37:E41," ",""),"0",""),"-",""))+LEN(SUBSTITUTE(SUBSTITUTE(SUBSTITUTE(F37:F41," ",""),"0",""),"-","")))&gt;(LEN(SUBSTITUTE(SUBSTITUTE(SUBSTITUTE(B37:B41," ",""),"0",""),"-",""))+LEN(SUBSTITUTE(SUBSTITUTE(SUBSTITUTE(C37:C41," ",""),"0",""),"-",""))))*1)</f>
      </c>
      <c r="G36" s="14" t="str">
        <f>'data'!$B$3</f>
      </c>
    </row>
    <row r="37">
      <c r="A37" s="14">
        <v>1</v>
      </c>
      <c r="B37" s="18"/>
      <c r="C37" s="18"/>
      <c r="D37" s="18"/>
      <c r="E37" s="18"/>
      <c r="F37" s="18"/>
      <c r="G37" s="14">
        <v>1</v>
      </c>
    </row>
    <row r="38">
      <c r="A38" s="14">
        <v>2</v>
      </c>
      <c r="B38" s="18"/>
      <c r="C38" s="18"/>
      <c r="D38" s="18"/>
      <c r="E38" s="18"/>
      <c r="F38" s="18"/>
      <c r="G38" s="14">
        <v>2</v>
      </c>
    </row>
    <row r="39">
      <c r="A39" s="14">
        <v>3</v>
      </c>
      <c r="B39" s="18"/>
      <c r="C39" s="18"/>
      <c r="D39" s="18"/>
      <c r="E39" s="18"/>
      <c r="F39" s="18"/>
      <c r="G39" s="14">
        <v>3</v>
      </c>
    </row>
    <row r="40">
      <c r="A40" s="14">
        <v>4</v>
      </c>
      <c r="B40" s="18"/>
      <c r="C40" s="18"/>
      <c r="D40" s="18"/>
      <c r="E40" s="18"/>
      <c r="F40" s="18"/>
      <c r="G40" s="14">
        <v>4</v>
      </c>
    </row>
    <row r="41">
      <c r="A41" s="14">
        <v>5</v>
      </c>
      <c r="B41" s="18"/>
      <c r="C41" s="18"/>
      <c r="D41" s="18"/>
      <c r="E41" s="18"/>
      <c r="F41" s="18"/>
      <c r="G41" s="14">
        <v>5</v>
      </c>
    </row>
    <row r="43">
      <c r="A43" s="17" t="s">
        <v>35</v>
      </c>
      <c r="B43" s="14"/>
      <c r="C43" s="14"/>
      <c r="D43" s="14" t="s">
        <v>36</v>
      </c>
      <c r="E43" s="14"/>
      <c r="F43" s="14"/>
      <c r="G43" s="16" t="s">
        <v>37</v>
      </c>
    </row>
    <row r="44">
      <c r="A44" s="14" t="str">
        <f>'data'!$B$6</f>
      </c>
      <c r="B44" s="14" t="str">
        <f>SUMPRODUCT((UPPER(D45:D49)&lt;&gt;"X")*((LEN(SUBSTITUTE(SUBSTITUTE(SUBSTITUTE(B45:B49," ",""),"0",""),"-",""))+LEN(SUBSTITUTE(SUBSTITUTE(SUBSTITUTE(C45:C49," ",""),"0",""),"-","")))&gt;(LEN(SUBSTITUTE(SUBSTITUTE(SUBSTITUTE(E45:E49," ",""),"0",""),"-",""))+LEN(SUBSTITUTE(SUBSTITUTE(SUBSTITUTE(F45:F49," ",""),"0",""),"-",""))))*1)</f>
      </c>
      <c r="C44" s="14" t="str">
        <f>SUMPRODUCT(LEN(SUBSTITUTE(SUBSTITUTE(SUBSTITUTE(B45:B49," ",""),"0",""),"-",""))+LEN(SUBSTITUTE(SUBSTITUTE(SUBSTITUTE(C45:C49," ",""),"0",""),"-","")))</f>
      </c>
      <c r="D44" s="18"/>
      <c r="E44" s="14" t="str">
        <f>SUMPRODUCT(LEN(SUBSTITUTE(SUBSTITUTE(SUBSTITUTE(E45:E49," ",""),"0",""),"-",""))+LEN(SUBSTITUTE(SUBSTITUTE(SUBSTITUTE(F45:F49," ",""),"0",""),"-","")))</f>
      </c>
      <c r="F44" s="14" t="str">
        <f>SUMPRODUCT((UPPER(D45:D49)&lt;&gt;"X")*((LEN(SUBSTITUTE(SUBSTITUTE(SUBSTITUTE(E45:E49," ",""),"0",""),"-",""))+LEN(SUBSTITUTE(SUBSTITUTE(SUBSTITUTE(F45:F49," ",""),"0",""),"-","")))&gt;(LEN(SUBSTITUTE(SUBSTITUTE(SUBSTITUTE(B45:B49," ",""),"0",""),"-",""))+LEN(SUBSTITUTE(SUBSTITUTE(SUBSTITUTE(C45:C49," ",""),"0",""),"-",""))))*1)</f>
      </c>
      <c r="G44" s="14" t="str">
        <f>'data'!$B$4</f>
      </c>
    </row>
    <row r="45">
      <c r="A45" s="14">
        <v>1</v>
      </c>
      <c r="B45" s="18"/>
      <c r="C45" s="18"/>
      <c r="D45" s="18"/>
      <c r="E45" s="18"/>
      <c r="F45" s="18"/>
      <c r="G45" s="14">
        <v>1</v>
      </c>
    </row>
    <row r="46">
      <c r="A46" s="14">
        <v>2</v>
      </c>
      <c r="B46" s="18"/>
      <c r="C46" s="18"/>
      <c r="D46" s="18"/>
      <c r="E46" s="18"/>
      <c r="F46" s="18"/>
      <c r="G46" s="14">
        <v>2</v>
      </c>
    </row>
    <row r="47">
      <c r="A47" s="14">
        <v>3</v>
      </c>
      <c r="B47" s="18"/>
      <c r="C47" s="18"/>
      <c r="D47" s="18"/>
      <c r="E47" s="18"/>
      <c r="F47" s="18"/>
      <c r="G47" s="14">
        <v>3</v>
      </c>
    </row>
    <row r="48">
      <c r="A48" s="14">
        <v>4</v>
      </c>
      <c r="B48" s="18"/>
      <c r="C48" s="18"/>
      <c r="D48" s="18"/>
      <c r="E48" s="18"/>
      <c r="F48" s="18"/>
      <c r="G48" s="14">
        <v>4</v>
      </c>
    </row>
    <row r="49">
      <c r="A49" s="14">
        <v>5</v>
      </c>
      <c r="B49" s="18"/>
      <c r="C49" s="18"/>
      <c r="D49" s="18"/>
      <c r="E49" s="18"/>
      <c r="F49" s="18"/>
      <c r="G49" s="14">
        <v>5</v>
      </c>
    </row>
    <row r="52">
      <c r="A52" s="13" t="s">
        <v>38</v>
      </c>
      <c r="B52" s="13" t="s">
        <v>39</v>
      </c>
      <c r="C52" s="13" t="s">
        <v>40</v>
      </c>
      <c r="D52" s="13" t="s">
        <v>41</v>
      </c>
      <c r="E52" s="13"/>
      <c r="F52" s="13"/>
      <c r="G52" s="13" t="s">
        <v>42</v>
      </c>
      <c r="I52" s="13" t="s">
        <v>38</v>
      </c>
      <c r="J52" s="13" t="s">
        <v>39</v>
      </c>
      <c r="K52" s="13" t="s">
        <v>40</v>
      </c>
      <c r="L52" s="13" t="s">
        <v>41</v>
      </c>
      <c r="M52" s="13"/>
      <c r="N52" s="13"/>
      <c r="O52" s="13" t="s">
        <v>42</v>
      </c>
    </row>
    <row r="53">
      <c r="A53" s="14" t="str">
        <f>'data'!$B$3</f>
      </c>
      <c r="B53" s="14" t="str">
        <f>IF(OR(COUNTA(B5:C9,E5:F9)&gt;0,D5="X",D5="x",D6="X",D6="x",D7="X",D7="x",D8="X",D8="x",D9="X",D9="x",OR(D4="X",D4="x")),IF(OR(OR(D4="X",D4="x"),AND(B4=F4,C4=E4)),0,IF(OR(F4&gt;B4,AND(F4=B4,E4&gt;C4)),1,0)),0)+IF(OR(COUNTA(B29:C33,E29:F33)&gt;0,D29="X",D29="x",D30="X",D30="x",D31="X",D31="x",D32="X",D32="x",D33="X",D33="x",OR(D28="X",D28="x")),IF(OR(OR(D28="X",D28="x"),AND(B28=F28,C28=E28)),0,IF(OR(F28&gt;B28,AND(F28=B28,E28&gt;C28)),1,0)),0)+IF(OR(COUNTA(B37:C41,E37:F41)&gt;0,D37="X",D37="x",D38="X",D38="x",D39="X",D39="x",D40="X",D40="x",D41="X",D41="x",OR(D36="X",D36="x")),IF(OR(OR(D36="X",D36="x"),AND(B36=F36,C36=E36)),0,IF(OR(F36&gt;B36,AND(F36=B36,E36&gt;C36)),1,0)),0)</f>
      </c>
      <c r="C53" s="14" t="str">
        <f>IF(OR(COUNTA(B5:C9,E5:F9)&gt;0,D5="X",D5="x",D6="X",D6="x",D7="X",D7="x",D8="X",D8="x",D9="X",D9="x",OR(D4="X",D4="x")),IF(OR(OR(D4="X",D4="x"),AND(B4=F4,C4=E4)),0,IF(OR(F4&lt;B4,AND(F4=B4,E4&lt;C4)),1,0)),0)+IF(OR(COUNTA(B29:C33,E29:F33)&gt;0,D29="X",D29="x",D30="X",D30="x",D31="X",D31="x",D32="X",D32="x",D33="X",D33="x",OR(D28="X",D28="x")),IF(OR(OR(D28="X",D28="x"),AND(B28=F28,C28=E28)),0,IF(OR(F28&lt;B28,AND(F28=B28,E28&lt;C28)),1,0)),0)+IF(OR(COUNTA(B37:C41,E37:F41)&gt;0,D37="X",D37="x",D38="X",D38="x",D39="X",D39="x",D40="X",D40="x",D41="X",D41="x",OR(D36="X",D36="x")),IF(OR(OR(D36="X",D36="x"),AND(B36=F36,C36=E36)),0,IF(OR(F36&lt;B36,AND(F36=B36,E36&lt;C36)),1,0)),0)</f>
      </c>
      <c r="D53" s="14" t="str">
        <f>IF(OR(COUNTA(B5:C9,E5:F9)&gt;0,D5="X",D5="x",D6="X",D6="x",D7="X",D7="x",D8="X",D8="x",D9="X",D9="x",OR(D4="X",D4="x")),IF(OR(OR(D4="X",D4="x"),AND(B4=F4,C4=E4)),1,0),0)+IF(OR(COUNTA(B29:C33,E29:F33)&gt;0,D29="X",D29="x",D30="X",D30="x",D31="X",D31="x",D32="X",D32="x",D33="X",D33="x",OR(D28="X",D28="x")),IF(OR(OR(D28="X",D28="x"),AND(B28=F28,C28=E28)),1,0),0)+IF(OR(COUNTA(B37:C41,E37:F41)&gt;0,D37="X",D37="x",D38="X",D38="x",D39="X",D39="x",D40="X",D40="x",D41="X",D41="x",OR(D36="X",D36="x")),IF(OR(OR(D36="X",D36="x"),AND(B36=F36,C36=E36)),1,0),0)</f>
      </c>
      <c r="G53" s="18" t="str">
        <f>RANK(U53,$U$53:$U$56)+COUNTIF($U$52:U52,U53)</f>
      </c>
      <c r="I53" s="14" t="str">
        <f>'data'!$B$10</f>
      </c>
      <c r="J53" s="14" t="str">
        <f>IF(OR(COUNTA(J5:K9,M5:N9)&gt;0,L5="X",L5="x",L6="X",L6="x",L7="X",L7="x",L8="X",L8="x",L9="X",L9="x",OR(L4="X",L4="x")),IF(OR(OR(L4="X",L4="x"),AND(J4=N4,K4=M4)),0,IF(OR(N4&gt;J4,AND(N4=J4,M4&gt;K4)),1,0)),0)+IF(OR(COUNTA(J13:K17,M13:N17)&gt;0,L13="X",L13="x",L14="X",L14="x",L15="X",L15="x",L16="X",L16="x",L17="X",L17="x",OR(L12="X",L12="x")),IF(OR(OR(L12="X",L12="x"),AND(J12=N12,K12=M12)),0,IF(OR(N12&gt;J12,AND(N12=J12,M12&gt;K12)),1,0)),0)</f>
      </c>
      <c r="K53" s="14" t="str">
        <f>IF(OR(COUNTA(J5:K9,M5:N9)&gt;0,L5="X",L5="x",L6="X",L6="x",L7="X",L7="x",L8="X",L8="x",L9="X",L9="x",OR(L4="X",L4="x")),IF(OR(OR(L4="X",L4="x"),AND(J4=N4,K4=M4)),0,IF(OR(N4&lt;J4,AND(N4=J4,M4&lt;K4)),1,0)),0)+IF(OR(COUNTA(J13:K17,M13:N17)&gt;0,L13="X",L13="x",L14="X",L14="x",L15="X",L15="x",L16="X",L16="x",L17="X",L17="x",OR(L12="X",L12="x")),IF(OR(OR(L12="X",L12="x"),AND(J12=N12,K12=M12)),0,IF(OR(N12&lt;J12,AND(N12=J12,M12&lt;K12)),1,0)),0)</f>
      </c>
      <c r="L53" s="14" t="str">
        <f>IF(OR(COUNTA(J5:K9,M5:N9)&gt;0,L5="X",L5="x",L6="X",L6="x",L7="X",L7="x",L8="X",L8="x",L9="X",L9="x",OR(L4="X",L4="x")),IF(OR(OR(L4="X",L4="x"),AND(J4=N4,K4=M4)),1,0),0)+IF(OR(COUNTA(J13:K17,M13:N17)&gt;0,L13="X",L13="x",L14="X",L14="x",L15="X",L15="x",L16="X",L16="x",L17="X",L17="x",OR(L12="X",L12="x")),IF(OR(OR(L12="X",L12="x"),AND(J12=N12,K12=M12)),1,0),0)</f>
      </c>
      <c r="O53" s="18" t="str">
        <f>RANK(AC53,$AC$53:$AC$55)+COUNTIF($AC$52:AC52,AC53)</f>
      </c>
      <c r="U53" t="str">
        <f>(B53*1000000000)-(C53*10000000)+(D53*100000)+(B59*1000)-(C59*100)+(D59*10)+(E59*1)-(F59*0.01)</f>
      </c>
      <c r="AC53" t="str">
        <f>(J53*1000000000)-(K53*10000000)+(L53*100000)+(J58*1000)-(K58*100)+(L58*10)+(M58*1)-(N58*0.01)</f>
      </c>
    </row>
    <row r="54">
      <c r="A54" s="14" t="str">
        <f>'data'!$B$4</f>
      </c>
      <c r="B54" s="14" t="str">
        <f>IF(OR(COUNTA(B5:C9,E5:F9)&gt;0,D5="X",D5="x",D6="X",D6="x",D7="X",D7="x",D8="X",D8="x",D9="X",D9="x",OR(D4="X",D4="x")),IF(OR(OR(D4="X",D4="x"),AND(B4=F4,C4=E4)),0,IF(OR(B4&gt;F4,AND(B4=F4,C4&gt;E4)),1,0)),0)+IF(OR(COUNTA(B13:C17,E13:F17)&gt;0,D13="X",D13="x",D14="X",D14="x",D15="X",D15="x",D16="X",D16="x",D17="X",D17="x",OR(D12="X",D12="x")),IF(OR(OR(D12="X",D12="x"),AND(B12=F12,C12=E12)),0,IF(OR(B12&gt;F12,AND(B12=F12,C12&gt;E12)),1,0)),0)+IF(OR(COUNTA(B45:C49,E45:F49)&gt;0,D45="X",D45="x",D46="X",D46="x",D47="X",D47="x",D48="X",D48="x",D49="X",D49="x",OR(D44="X",D44="x")),IF(OR(OR(D44="X",D44="x"),AND(B44=F44,C44=E44)),0,IF(OR(F44&gt;B44,AND(F44=B44,E44&gt;C44)),1,0)),0)</f>
      </c>
      <c r="C54" s="14" t="str">
        <f>IF(OR(COUNTA(B5:C9,E5:F9)&gt;0,D5="X",D5="x",D6="X",D6="x",D7="X",D7="x",D8="X",D8="x",D9="X",D9="x",OR(D4="X",D4="x")),IF(OR(OR(D4="X",D4="x"),AND(B4=F4,C4=E4)),0,IF(OR(B4&lt;F4,AND(B4=F4,C4&lt;E4)),1,0)),0)+IF(OR(COUNTA(B13:C17,E13:F17)&gt;0,D13="X",D13="x",D14="X",D14="x",D15="X",D15="x",D16="X",D16="x",D17="X",D17="x",OR(D12="X",D12="x")),IF(OR(OR(D12="X",D12="x"),AND(B12=F12,C12=E12)),0,IF(OR(B12&lt;F12,AND(B12=F12,C12&lt;E12)),1,0)),0)+IF(OR(COUNTA(B45:C49,E45:F49)&gt;0,D45="X",D45="x",D46="X",D46="x",D47="X",D47="x",D48="X",D48="x",D49="X",D49="x",OR(D44="X",D44="x")),IF(OR(OR(D44="X",D44="x"),AND(B44=F44,C44=E44)),0,IF(OR(F44&lt;B44,AND(F44=B44,E44&lt;C44)),1,0)),0)</f>
      </c>
      <c r="D54" s="14" t="str">
        <f>IF(OR(COUNTA(B5:C9,E5:F9)&gt;0,D5="X",D5="x",D6="X",D6="x",D7="X",D7="x",D8="X",D8="x",D9="X",D9="x",OR(D4="X",D4="x")),IF(OR(OR(D4="X",D4="x"),AND(B4=F4,C4=E4)),1,0),0)+IF(OR(COUNTA(B13:C17,E13:F17)&gt;0,D13="X",D13="x",D14="X",D14="x",D15="X",D15="x",D16="X",D16="x",D17="X",D17="x",OR(D12="X",D12="x")),IF(OR(OR(D12="X",D12="x"),AND(B12=F12,C12=E12)),1,0),0)+IF(OR(COUNTA(B45:C49,E45:F49)&gt;0,D45="X",D45="x",D46="X",D46="x",D47="X",D47="x",D48="X",D48="x",D49="X",D49="x",OR(D44="X",D44="x")),IF(OR(OR(D44="X",D44="x"),AND(B44=F44,C44=E44)),1,0),0)</f>
      </c>
      <c r="G54" s="18" t="str">
        <f>RANK(U54,$U$53:$U$56)+COUNTIF($U$52:U53,U54)</f>
      </c>
      <c r="I54" s="14" t="str">
        <f>'data'!$B$11</f>
      </c>
      <c r="J54" s="14" t="str">
        <f>IF(OR(COUNTA(J5:K9,M5:N9)&gt;0,L5="X",L5="x",L6="X",L6="x",L7="X",L7="x",L8="X",L8="x",L9="X",L9="x",OR(L4="X",L4="x")),IF(OR(OR(L4="X",L4="x"),AND(J4=N4,K4=M4)),0,IF(OR(J4&gt;N4,AND(J4=N4,K4&gt;M4)),1,0)),0)+IF(OR(COUNTA(J21:K25,M21:N25)&gt;0,L21="X",L21="x",L22="X",L22="x",L23="X",L23="x",L24="X",L24="x",L25="X",L25="x",OR(L20="X",L20="x")),IF(OR(OR(L20="X",L20="x"),AND(J20=N20,K20=M20)),0,IF(OR(N20&gt;J20,AND(N20=J20,M20&gt;K20)),1,0)),0)</f>
      </c>
      <c r="K54" s="14" t="str">
        <f>IF(OR(COUNTA(J5:K9,M5:N9)&gt;0,L5="X",L5="x",L6="X",L6="x",L7="X",L7="x",L8="X",L8="x",L9="X",L9="x",OR(L4="X",L4="x")),IF(OR(OR(L4="X",L4="x"),AND(J4=N4,K4=M4)),0,IF(OR(J4&lt;N4,AND(J4=N4,K4&lt;M4)),1,0)),0)+IF(OR(COUNTA(J21:K25,M21:N25)&gt;0,L21="X",L21="x",L22="X",L22="x",L23="X",L23="x",L24="X",L24="x",L25="X",L25="x",OR(L20="X",L20="x")),IF(OR(OR(L20="X",L20="x"),AND(J20=N20,K20=M20)),0,IF(OR(N20&lt;J20,AND(N20=J20,M20&lt;K20)),1,0)),0)</f>
      </c>
      <c r="L54" s="14" t="str">
        <f>IF(OR(COUNTA(J5:K9,M5:N9)&gt;0,L5="X",L5="x",L6="X",L6="x",L7="X",L7="x",L8="X",L8="x",L9="X",L9="x",OR(L4="X",L4="x")),IF(OR(OR(L4="X",L4="x"),AND(J4=N4,K4=M4)),1,0),0)+IF(OR(COUNTA(J21:K25,M21:N25)&gt;0,L21="X",L21="x",L22="X",L22="x",L23="X",L23="x",L24="X",L24="x",L25="X",L25="x",OR(L20="X",L20="x")),IF(OR(OR(L20="X",L20="x"),AND(J20=N20,K20=M20)),1,0),0)</f>
      </c>
      <c r="O54" s="18" t="str">
        <f>RANK(AC54,$AC$53:$AC$55)+COUNTIF($AC$52:AC53,AC54)</f>
      </c>
      <c r="U54" t="str">
        <f>(B54*1000000000)-(C54*10000000)+(D54*100000)+(B60*1000)-(C60*100)+(D60*10)+(E60*1)-(F60*0.01)</f>
      </c>
      <c r="AC54" t="str">
        <f>(J54*1000000000)-(K54*10000000)+(L54*100000)+(J59*1000)-(K59*100)+(L59*10)+(M59*1)-(N59*0.01)</f>
      </c>
    </row>
    <row r="55">
      <c r="A55" s="14" t="str">
        <f>'data'!$B$5</f>
      </c>
      <c r="B55" s="14" t="str">
        <f>IF(OR(COUNTA(B13:C17,E13:F17)&gt;0,D13="X",D13="x",D14="X",D14="x",D15="X",D15="x",D16="X",D16="x",D17="X",D17="x",OR(D12="X",D12="x")),IF(OR(OR(D12="X",D12="x"),AND(B12=F12,C12=E12)),0,IF(OR(F12&gt;B12,AND(F12=B12,E12&gt;C12)),1,0)),0)+IF(OR(COUNTA(B21:C25,E21:F25)&gt;0,D21="X",D21="x",D22="X",D22="x",D23="X",D23="x",D24="X",D24="x",D25="X",D25="x",OR(D20="X",D20="x")),IF(OR(OR(D20="X",D20="x"),AND(B20=F20,C20=E20)),0,IF(OR(F20&gt;B20,AND(F20=B20,E20&gt;C20)),1,0)),0)+IF(OR(COUNTA(B37:C41,E37:F41)&gt;0,D37="X",D37="x",D38="X",D38="x",D39="X",D39="x",D40="X",D40="x",D41="X",D41="x",OR(D36="X",D36="x")),IF(OR(OR(D36="X",D36="x"),AND(B36=F36,C36=E36)),0,IF(OR(B36&gt;F36,AND(B36=F36,C36&gt;E36)),1,0)),0)</f>
      </c>
      <c r="C55" s="14" t="str">
        <f>IF(OR(COUNTA(B13:C17,E13:F17)&gt;0,D13="X",D13="x",D14="X",D14="x",D15="X",D15="x",D16="X",D16="x",D17="X",D17="x",OR(D12="X",D12="x")),IF(OR(OR(D12="X",D12="x"),AND(B12=F12,C12=E12)),0,IF(OR(F12&lt;B12,AND(F12=B12,E12&lt;C12)),1,0)),0)+IF(OR(COUNTA(B21:C25,E21:F25)&gt;0,D21="X",D21="x",D22="X",D22="x",D23="X",D23="x",D24="X",D24="x",D25="X",D25="x",OR(D20="X",D20="x")),IF(OR(OR(D20="X",D20="x"),AND(B20=F20,C20=E20)),0,IF(OR(F20&lt;B20,AND(F20=B20,E20&lt;C20)),1,0)),0)+IF(OR(COUNTA(B37:C41,E37:F41)&gt;0,D37="X",D37="x",D38="X",D38="x",D39="X",D39="x",D40="X",D40="x",D41="X",D41="x",OR(D36="X",D36="x")),IF(OR(OR(D36="X",D36="x"),AND(B36=F36,C36=E36)),0,IF(OR(B36&lt;F36,AND(B36=F36,C36&lt;E36)),1,0)),0)</f>
      </c>
      <c r="D55" s="14" t="str">
        <f>IF(OR(COUNTA(B13:C17,E13:F17)&gt;0,D13="X",D13="x",D14="X",D14="x",D15="X",D15="x",D16="X",D16="x",D17="X",D17="x",OR(D12="X",D12="x")),IF(OR(OR(D12="X",D12="x"),AND(B12=F12,C12=E12)),1,0),0)+IF(OR(COUNTA(B21:C25,E21:F25)&gt;0,D21="X",D21="x",D22="X",D22="x",D23="X",D23="x",D24="X",D24="x",D25="X",D25="x",OR(D20="X",D20="x")),IF(OR(OR(D20="X",D20="x"),AND(B20=F20,C20=E20)),1,0),0)+IF(OR(COUNTA(B37:C41,E37:F41)&gt;0,D37="X",D37="x",D38="X",D38="x",D39="X",D39="x",D40="X",D40="x",D41="X",D41="x",OR(D36="X",D36="x")),IF(OR(OR(D36="X",D36="x"),AND(B36=F36,C36=E36)),1,0),0)</f>
      </c>
      <c r="G55" s="18" t="str">
        <f>RANK(U55,$U$53:$U$56)+COUNTIF($U$52:U54,U55)</f>
      </c>
      <c r="I55" s="14" t="str">
        <f>'data'!$B$12</f>
      </c>
      <c r="J55" s="14" t="str">
        <f>IF(OR(COUNTA(J13:K17,M13:N17)&gt;0,L13="X",L13="x",L14="X",L14="x",L15="X",L15="x",L16="X",L16="x",L17="X",L17="x",OR(L12="X",L12="x")),IF(OR(OR(L12="X",L12="x"),AND(J12=N12,K12=M12)),0,IF(OR(J12&gt;N12,AND(J12=N12,K12&gt;M12)),1,0)),0)+IF(OR(COUNTA(J21:K25,M21:N25)&gt;0,L21="X",L21="x",L22="X",L22="x",L23="X",L23="x",L24="X",L24="x",L25="X",L25="x",OR(L20="X",L20="x")),IF(OR(OR(L20="X",L20="x"),AND(J20=N20,K20=M20)),0,IF(OR(J20&gt;N20,AND(J20=N20,K20&gt;M20)),1,0)),0)</f>
      </c>
      <c r="K55" s="14" t="str">
        <f>IF(OR(COUNTA(J13:K17,M13:N17)&gt;0,L13="X",L13="x",L14="X",L14="x",L15="X",L15="x",L16="X",L16="x",L17="X",L17="x",OR(L12="X",L12="x")),IF(OR(OR(L12="X",L12="x"),AND(J12=N12,K12=M12)),0,IF(OR(J12&lt;N12,AND(J12=N12,K12&lt;M12)),1,0)),0)+IF(OR(COUNTA(J21:K25,M21:N25)&gt;0,L21="X",L21="x",L22="X",L22="x",L23="X",L23="x",L24="X",L24="x",L25="X",L25="x",OR(L20="X",L20="x")),IF(OR(OR(L20="X",L20="x"),AND(J20=N20,K20=M20)),0,IF(OR(J20&lt;N20,AND(J20=N20,K20&lt;M20)),1,0)),0)</f>
      </c>
      <c r="L55" s="14" t="str">
        <f>IF(OR(COUNTA(J13:K17,M13:N17)&gt;0,L13="X",L13="x",L14="X",L14="x",L15="X",L15="x",L16="X",L16="x",L17="X",L17="x",OR(L12="X",L12="x")),IF(OR(OR(L12="X",L12="x"),AND(J12=N12,K12=M12)),1,0),0)+IF(OR(COUNTA(J21:K25,M21:N25)&gt;0,L21="X",L21="x",L22="X",L22="x",L23="X",L23="x",L24="X",L24="x",L25="X",L25="x",OR(L20="X",L20="x")),IF(OR(OR(L20="X",L20="x"),AND(J20=N20,K20=M20)),1,0),0)</f>
      </c>
      <c r="O55" s="18" t="str">
        <f>RANK(AC55,$AC$53:$AC$55)+COUNTIF($AC$52:AC54,AC55)</f>
      </c>
      <c r="U55" t="str">
        <f>(B55*1000000000)-(C55*10000000)+(D55*100000)+(B61*1000)-(C61*100)+(D61*10)+(E61*1)-(F61*0.01)</f>
      </c>
      <c r="AC55" t="str">
        <f>(J55*1000000000)-(K55*10000000)+(L55*100000)+(J60*1000)-(K60*100)+(L60*10)+(M60*1)-(N60*0.01)</f>
      </c>
    </row>
    <row r="56">
      <c r="A56" s="14" t="str">
        <f>'data'!$B$6</f>
      </c>
      <c r="B56" s="14" t="str">
        <f>IF(OR(COUNTA(B21:C25,E21:F25)&gt;0,D21="X",D21="x",D22="X",D22="x",D23="X",D23="x",D24="X",D24="x",D25="X",D25="x",OR(D20="X",D20="x")),IF(OR(OR(D20="X",D20="x"),AND(B20=F20,C20=E20)),0,IF(OR(B20&gt;F20,AND(B20=F20,C20&gt;E20)),1,0)),0)+IF(OR(COUNTA(B29:C33,E29:F33)&gt;0,D29="X",D29="x",D30="X",D30="x",D31="X",D31="x",D32="X",D32="x",D33="X",D33="x",OR(D28="X",D28="x")),IF(OR(OR(D28="X",D28="x"),AND(B28=F28,C28=E28)),0,IF(OR(B28&gt;F28,AND(B28=F28,C28&gt;E28)),1,0)),0)+IF(OR(COUNTA(B45:C49,E45:F49)&gt;0,D45="X",D45="x",D46="X",D46="x",D47="X",D47="x",D48="X",D48="x",D49="X",D49="x",OR(D44="X",D44="x")),IF(OR(OR(D44="X",D44="x"),AND(B44=F44,C44=E44)),0,IF(OR(B44&gt;F44,AND(B44=F44,C44&gt;E44)),1,0)),0)</f>
      </c>
      <c r="C56" s="14" t="str">
        <f>IF(OR(COUNTA(B21:C25,E21:F25)&gt;0,D21="X",D21="x",D22="X",D22="x",D23="X",D23="x",D24="X",D24="x",D25="X",D25="x",OR(D20="X",D20="x")),IF(OR(OR(D20="X",D20="x"),AND(B20=F20,C20=E20)),0,IF(OR(B20&lt;F20,AND(B20=F20,C20&lt;E20)),1,0)),0)+IF(OR(COUNTA(B29:C33,E29:F33)&gt;0,D29="X",D29="x",D30="X",D30="x",D31="X",D31="x",D32="X",D32="x",D33="X",D33="x",OR(D28="X",D28="x")),IF(OR(OR(D28="X",D28="x"),AND(B28=F28,C28=E28)),0,IF(OR(B28&lt;F28,AND(B28=F28,C28&lt;E28)),1,0)),0)+IF(OR(COUNTA(B45:C49,E45:F49)&gt;0,D45="X",D45="x",D46="X",D46="x",D47="X",D47="x",D48="X",D48="x",D49="X",D49="x",OR(D44="X",D44="x")),IF(OR(OR(D44="X",D44="x"),AND(B44=F44,C44=E44)),0,IF(OR(B44&lt;F44,AND(B44=F44,C44&lt;E44)),1,0)),0)</f>
      </c>
      <c r="D56" s="14" t="str">
        <f>IF(OR(COUNTA(B21:C25,E21:F25)&gt;0,D21="X",D21="x",D22="X",D22="x",D23="X",D23="x",D24="X",D24="x",D25="X",D25="x",OR(D20="X",D20="x")),IF(OR(OR(D20="X",D20="x"),AND(B20=F20,C20=E20)),1,0),0)+IF(OR(COUNTA(B29:C33,E29:F33)&gt;0,D29="X",D29="x",D30="X",D30="x",D31="X",D31="x",D32="X",D32="x",D33="X",D33="x",OR(D28="X",D28="x")),IF(OR(OR(D28="X",D28="x"),AND(B28=F28,C28=E28)),1,0),0)+IF(OR(COUNTA(B45:C49,E45:F49)&gt;0,D45="X",D45="x",D46="X",D46="x",D47="X",D47="x",D48="X",D48="x",D49="X",D49="x",OR(D44="X",D44="x")),IF(OR(OR(D44="X",D44="x"),AND(B44=F44,C44=E44)),1,0),0)</f>
      </c>
      <c r="G56" s="18" t="str">
        <f>RANK(U56,$U$53:$U$56)+COUNTIF($U$52:U55,U56)</f>
      </c>
      <c r="U56" t="str">
        <f>(B56*1000000000)-(C56*10000000)+(D56*100000)+(B62*1000)-(C62*100)+(D62*10)+(E62*1)-(F62*0.01)</f>
      </c>
    </row>
    <row r="57">
      <c r="I57" s="13"/>
      <c r="J57" s="13" t="s">
        <v>43</v>
      </c>
      <c r="K57" s="13" t="s">
        <v>44</v>
      </c>
      <c r="L57" s="13" t="s">
        <v>45</v>
      </c>
      <c r="M57" s="13" t="s">
        <v>46</v>
      </c>
      <c r="N57" s="13" t="s">
        <v>47</v>
      </c>
    </row>
    <row r="58">
      <c r="A58" s="13"/>
      <c r="B58" s="13" t="s">
        <v>43</v>
      </c>
      <c r="C58" s="13" t="s">
        <v>44</v>
      </c>
      <c r="D58" s="13" t="s">
        <v>45</v>
      </c>
      <c r="E58" s="13" t="s">
        <v>46</v>
      </c>
      <c r="F58" s="13" t="s">
        <v>47</v>
      </c>
      <c r="I58" s="14" t="str">
        <f>'data'!$B$10</f>
      </c>
      <c r="J58" s="14" t="str">
        <f>IF(OR(COUNTA(J5:K9,M5:N9)&gt;0,OR(L4="X",L4="x"),UPPER(L5)="X",UPPER(L6)="X",UPPER(L7)="X",UPPER(L8)="X",UPPER(L9)="X"),N4,0)+IF(OR(COUNTA(J13:K17,M13:N17)&gt;0,OR(L12="X",L12="x"),UPPER(L13)="X",UPPER(L14)="X",UPPER(L15)="X",UPPER(L16)="X",UPPER(L17)="X"),N12,0)</f>
      </c>
      <c r="K58" s="14" t="str">
        <f>IF(OR(COUNTA(J5:K9,M5:N9)&gt;0,OR(L4="X",L4="x"),UPPER(L5)="X",UPPER(L6)="X",UPPER(L7)="X",UPPER(L8)="X",UPPER(L9)="X"),J4,0)+IF(OR(COUNTA(J13:K17,M13:N17)&gt;0,OR(L12="X",L12="x"),UPPER(L13)="X",UPPER(L14)="X",UPPER(L15)="X",UPPER(L16)="X",UPPER(L17)="X"),J12,0)</f>
      </c>
      <c r="L58" s="14" t="str">
        <f>IF(OR(COUNTA(J5:K9,M5:N9)&gt;0,OR(L4="X",L4="x"),UPPER(L5)="X",UPPER(L6)="X",UPPER(L7)="X",UPPER(L8)="X",UPPER(L9)="X"),(IF(OR(L5="X",L5="x",AND(COUNTA(J5,K5,M5,N5)&gt;0,(LEN(SUBSTITUTE(SUBSTITUTE(SUBSTITUTE(J5," ",""),"0",""),"-",""))+LEN(SUBSTITUTE(SUBSTITUTE(SUBSTITUTE(K5," ",""),"0",""),"-","")))=(LEN(SUBSTITUTE(SUBSTITUTE(SUBSTITUTE(M5," ",""),"0",""),"-",""))+LEN(SUBSTITUTE(SUBSTITUTE(SUBSTITUTE(N5," ",""),"0",""),"-",""))))),1,0)+IF(OR(L6="X",L6="x",AND(COUNTA(J6,K6,M6,N6)&gt;0,(LEN(SUBSTITUTE(SUBSTITUTE(SUBSTITUTE(J6," ",""),"0",""),"-",""))+LEN(SUBSTITUTE(SUBSTITUTE(SUBSTITUTE(K6," ",""),"0",""),"-","")))=(LEN(SUBSTITUTE(SUBSTITUTE(SUBSTITUTE(M6," ",""),"0",""),"-",""))+LEN(SUBSTITUTE(SUBSTITUTE(SUBSTITUTE(N6," ",""),"0",""),"-",""))))),1,0)+IF(OR(L7="X",L7="x",AND(COUNTA(J7,K7,M7,N7)&gt;0,(LEN(SUBSTITUTE(SUBSTITUTE(SUBSTITUTE(J7," ",""),"0",""),"-",""))+LEN(SUBSTITUTE(SUBSTITUTE(SUBSTITUTE(K7," ",""),"0",""),"-","")))=(LEN(SUBSTITUTE(SUBSTITUTE(SUBSTITUTE(M7," ",""),"0",""),"-",""))+LEN(SUBSTITUTE(SUBSTITUTE(SUBSTITUTE(N7," ",""),"0",""),"-",""))))),1,0)+IF(OR(L8="X",L8="x",AND(COUNTA(J8,K8,M8,N8)&gt;0,(LEN(SUBSTITUTE(SUBSTITUTE(SUBSTITUTE(J8," ",""),"0",""),"-",""))+LEN(SUBSTITUTE(SUBSTITUTE(SUBSTITUTE(K8," ",""),"0",""),"-","")))=(LEN(SUBSTITUTE(SUBSTITUTE(SUBSTITUTE(M8," ",""),"0",""),"-",""))+LEN(SUBSTITUTE(SUBSTITUTE(SUBSTITUTE(N8," ",""),"0",""),"-",""))))),1,0)+IF(OR(L9="X",L9="x",AND(COUNTA(J9,K9,M9,N9)&gt;0,(LEN(SUBSTITUTE(SUBSTITUTE(SUBSTITUTE(J9," ",""),"0",""),"-",""))+LEN(SUBSTITUTE(SUBSTITUTE(SUBSTITUTE(K9," ",""),"0",""),"-","")))=(LEN(SUBSTITUTE(SUBSTITUTE(SUBSTITUTE(M9," ",""),"0",""),"-",""))+LEN(SUBSTITUTE(SUBSTITUTE(SUBSTITUTE(N9," ",""),"0",""),"-",""))))),1,0)),0)+IF(OR(COUNTA(J13:K17,M13:N17)&gt;0,OR(L12="X",L12="x"),UPPER(L13)="X",UPPER(L14)="X",UPPER(L15)="X",UPPER(L16)="X",UPPER(L17)="X"),(IF(OR(L13="X",L13="x",AND(COUNTA(J13,K13,M13,N13)&gt;0,(LEN(SUBSTITUTE(SUBSTITUTE(SUBSTITUTE(J13," ",""),"0",""),"-",""))+LEN(SUBSTITUTE(SUBSTITUTE(SUBSTITUTE(K13," ",""),"0",""),"-","")))=(LEN(SUBSTITUTE(SUBSTITUTE(SUBSTITUTE(M13," ",""),"0",""),"-",""))+LEN(SUBSTITUTE(SUBSTITUTE(SUBSTITUTE(N13," ",""),"0",""),"-",""))))),1,0)+IF(OR(L14="X",L14="x",AND(COUNTA(J14,K14,M14,N14)&gt;0,(LEN(SUBSTITUTE(SUBSTITUTE(SUBSTITUTE(J14," ",""),"0",""),"-",""))+LEN(SUBSTITUTE(SUBSTITUTE(SUBSTITUTE(K14," ",""),"0",""),"-","")))=(LEN(SUBSTITUTE(SUBSTITUTE(SUBSTITUTE(M14," ",""),"0",""),"-",""))+LEN(SUBSTITUTE(SUBSTITUTE(SUBSTITUTE(N14," ",""),"0",""),"-",""))))),1,0)+IF(OR(L15="X",L15="x",AND(COUNTA(J15,K15,M15,N15)&gt;0,(LEN(SUBSTITUTE(SUBSTITUTE(SUBSTITUTE(J15," ",""),"0",""),"-",""))+LEN(SUBSTITUTE(SUBSTITUTE(SUBSTITUTE(K15," ",""),"0",""),"-","")))=(LEN(SUBSTITUTE(SUBSTITUTE(SUBSTITUTE(M15," ",""),"0",""),"-",""))+LEN(SUBSTITUTE(SUBSTITUTE(SUBSTITUTE(N15," ",""),"0",""),"-",""))))),1,0)+IF(OR(L16="X",L16="x",AND(COUNTA(J16,K16,M16,N16)&gt;0,(LEN(SUBSTITUTE(SUBSTITUTE(SUBSTITUTE(J16," ",""),"0",""),"-",""))+LEN(SUBSTITUTE(SUBSTITUTE(SUBSTITUTE(K16," ",""),"0",""),"-","")))=(LEN(SUBSTITUTE(SUBSTITUTE(SUBSTITUTE(M16," ",""),"0",""),"-",""))+LEN(SUBSTITUTE(SUBSTITUTE(SUBSTITUTE(N16," ",""),"0",""),"-",""))))),1,0)+IF(OR(L17="X",L17="x",AND(COUNTA(J17,K17,M17,N17)&gt;0,(LEN(SUBSTITUTE(SUBSTITUTE(SUBSTITUTE(J17," ",""),"0",""),"-",""))+LEN(SUBSTITUTE(SUBSTITUTE(SUBSTITUTE(K17," ",""),"0",""),"-","")))=(LEN(SUBSTITUTE(SUBSTITUTE(SUBSTITUTE(M17," ",""),"0",""),"-",""))+LEN(SUBSTITUTE(SUBSTITUTE(SUBSTITUTE(N17," ",""),"0",""),"-",""))))),1,0)),0)</f>
      </c>
      <c r="M58" s="14" t="str">
        <f>M4+M12</f>
      </c>
      <c r="N58" s="14" t="str">
        <f>K4+K12</f>
      </c>
    </row>
    <row r="59">
      <c r="A59" s="14" t="str">
        <f>'data'!$B$3</f>
      </c>
      <c r="B59" s="14" t="str">
        <f>IF(OR(COUNTA(B5:C9,E5:F9)&gt;0,OR(D4="X",D4="x"),UPPER(D5)="X",UPPER(D6)="X",UPPER(D7)="X",UPPER(D8)="X",UPPER(D9)="X"),F4,0)+IF(OR(COUNTA(B29:C33,E29:F33)&gt;0,OR(D28="X",D28="x"),UPPER(D29)="X",UPPER(D30)="X",UPPER(D31)="X",UPPER(D32)="X",UPPER(D33)="X"),F28,0)+IF(OR(COUNTA(B37:C41,E37:F41)&gt;0,OR(D36="X",D36="x"),UPPER(D37)="X",UPPER(D38)="X",UPPER(D39)="X",UPPER(D40)="X",UPPER(D41)="X"),F36,0)</f>
      </c>
      <c r="C59" s="14" t="str">
        <f>IF(OR(COUNTA(B5:C9,E5:F9)&gt;0,OR(D4="X",D4="x"),UPPER(D5)="X",UPPER(D6)="X",UPPER(D7)="X",UPPER(D8)="X",UPPER(D9)="X"),B4,0)+IF(OR(COUNTA(B29:C33,E29:F33)&gt;0,OR(D28="X",D28="x"),UPPER(D29)="X",UPPER(D30)="X",UPPER(D31)="X",UPPER(D32)="X",UPPER(D33)="X"),B28,0)+IF(OR(COUNTA(B37:C41,E37:F41)&gt;0,OR(D36="X",D36="x"),UPPER(D37)="X",UPPER(D38)="X",UPPER(D39)="X",UPPER(D40)="X",UPPER(D41)="X"),B36,0)</f>
      </c>
      <c r="D59" s="14" t="str">
        <f>IF(OR(COUNTA(B5:C9,E5:F9)&gt;0,OR(D4="X",D4="x"),UPPER(D5)="X",UPPER(D6)="X",UPPER(D7)="X",UPPER(D8)="X",UPPER(D9)="X"),(IF(OR(D5="X",D5="x",AND(COUNTA(B5,C5,E5,F5)&gt;0,(LEN(SUBSTITUTE(SUBSTITUTE(SUBSTITUTE(B5," ",""),"0",""),"-",""))+LEN(SUBSTITUTE(SUBSTITUTE(SUBSTITUTE(C5," ",""),"0",""),"-","")))=(LEN(SUBSTITUTE(SUBSTITUTE(SUBSTITUTE(E5," ",""),"0",""),"-",""))+LEN(SUBSTITUTE(SUBSTITUTE(SUBSTITUTE(F5," ",""),"0",""),"-",""))))),1,0)+IF(OR(D6="X",D6="x",AND(COUNTA(B6,C6,E6,F6)&gt;0,(LEN(SUBSTITUTE(SUBSTITUTE(SUBSTITUTE(B6," ",""),"0",""),"-",""))+LEN(SUBSTITUTE(SUBSTITUTE(SUBSTITUTE(C6," ",""),"0",""),"-","")))=(LEN(SUBSTITUTE(SUBSTITUTE(SUBSTITUTE(E6," ",""),"0",""),"-",""))+LEN(SUBSTITUTE(SUBSTITUTE(SUBSTITUTE(F6," ",""),"0",""),"-",""))))),1,0)+IF(OR(D7="X",D7="x",AND(COUNTA(B7,C7,E7,F7)&gt;0,(LEN(SUBSTITUTE(SUBSTITUTE(SUBSTITUTE(B7," ",""),"0",""),"-",""))+LEN(SUBSTITUTE(SUBSTITUTE(SUBSTITUTE(C7," ",""),"0",""),"-","")))=(LEN(SUBSTITUTE(SUBSTITUTE(SUBSTITUTE(E7," ",""),"0",""),"-",""))+LEN(SUBSTITUTE(SUBSTITUTE(SUBSTITUTE(F7," ",""),"0",""),"-",""))))),1,0)+IF(OR(D8="X",D8="x",AND(COUNTA(B8,C8,E8,F8)&gt;0,(LEN(SUBSTITUTE(SUBSTITUTE(SUBSTITUTE(B8," ",""),"0",""),"-",""))+LEN(SUBSTITUTE(SUBSTITUTE(SUBSTITUTE(C8," ",""),"0",""),"-","")))=(LEN(SUBSTITUTE(SUBSTITUTE(SUBSTITUTE(E8," ",""),"0",""),"-",""))+LEN(SUBSTITUTE(SUBSTITUTE(SUBSTITUTE(F8," ",""),"0",""),"-",""))))),1,0)+IF(OR(D9="X",D9="x",AND(COUNTA(B9,C9,E9,F9)&gt;0,(LEN(SUBSTITUTE(SUBSTITUTE(SUBSTITUTE(B9," ",""),"0",""),"-",""))+LEN(SUBSTITUTE(SUBSTITUTE(SUBSTITUTE(C9," ",""),"0",""),"-","")))=(LEN(SUBSTITUTE(SUBSTITUTE(SUBSTITUTE(E9," ",""),"0",""),"-",""))+LEN(SUBSTITUTE(SUBSTITUTE(SUBSTITUTE(F9," ",""),"0",""),"-",""))))),1,0)),0)+IF(OR(COUNTA(B29:C33,E29:F33)&gt;0,OR(D28="X",D28="x"),UPPER(D29)="X",UPPER(D30)="X",UPPER(D31)="X",UPPER(D32)="X",UPPER(D33)="X"),(IF(OR(D29="X",D29="x",AND(COUNTA(B29,C29,E29,F29)&gt;0,(LEN(SUBSTITUTE(SUBSTITUTE(SUBSTITUTE(B29," ",""),"0",""),"-",""))+LEN(SUBSTITUTE(SUBSTITUTE(SUBSTITUTE(C29," ",""),"0",""),"-","")))=(LEN(SUBSTITUTE(SUBSTITUTE(SUBSTITUTE(E29," ",""),"0",""),"-",""))+LEN(SUBSTITUTE(SUBSTITUTE(SUBSTITUTE(F29," ",""),"0",""),"-",""))))),1,0)+IF(OR(D30="X",D30="x",AND(COUNTA(B30,C30,E30,F30)&gt;0,(LEN(SUBSTITUTE(SUBSTITUTE(SUBSTITUTE(B30," ",""),"0",""),"-",""))+LEN(SUBSTITUTE(SUBSTITUTE(SUBSTITUTE(C30," ",""),"0",""),"-","")))=(LEN(SUBSTITUTE(SUBSTITUTE(SUBSTITUTE(E30," ",""),"0",""),"-",""))+LEN(SUBSTITUTE(SUBSTITUTE(SUBSTITUTE(F30," ",""),"0",""),"-",""))))),1,0)+IF(OR(D31="X",D31="x",AND(COUNTA(B31,C31,E31,F31)&gt;0,(LEN(SUBSTITUTE(SUBSTITUTE(SUBSTITUTE(B31," ",""),"0",""),"-",""))+LEN(SUBSTITUTE(SUBSTITUTE(SUBSTITUTE(C31," ",""),"0",""),"-","")))=(LEN(SUBSTITUTE(SUBSTITUTE(SUBSTITUTE(E31," ",""),"0",""),"-",""))+LEN(SUBSTITUTE(SUBSTITUTE(SUBSTITUTE(F31," ",""),"0",""),"-",""))))),1,0)+IF(OR(D32="X",D32="x",AND(COUNTA(B32,C32,E32,F32)&gt;0,(LEN(SUBSTITUTE(SUBSTITUTE(SUBSTITUTE(B32," ",""),"0",""),"-",""))+LEN(SUBSTITUTE(SUBSTITUTE(SUBSTITUTE(C32," ",""),"0",""),"-","")))=(LEN(SUBSTITUTE(SUBSTITUTE(SUBSTITUTE(E32," ",""),"0",""),"-",""))+LEN(SUBSTITUTE(SUBSTITUTE(SUBSTITUTE(F32," ",""),"0",""),"-",""))))),1,0)+IF(OR(D33="X",D33="x",AND(COUNTA(B33,C33,E33,F33)&gt;0,(LEN(SUBSTITUTE(SUBSTITUTE(SUBSTITUTE(B33," ",""),"0",""),"-",""))+LEN(SUBSTITUTE(SUBSTITUTE(SUBSTITUTE(C33," ",""),"0",""),"-","")))=(LEN(SUBSTITUTE(SUBSTITUTE(SUBSTITUTE(E33," ",""),"0",""),"-",""))+LEN(SUBSTITUTE(SUBSTITUTE(SUBSTITUTE(F33," ",""),"0",""),"-",""))))),1,0)),0)+IF(OR(COUNTA(B37:C41,E37:F41)&gt;0,OR(D36="X",D36="x"),UPPER(D37)="X",UPPER(D38)="X",UPPER(D39)="X",UPPER(D40)="X",UPPER(D41)="X"),(IF(OR(D37="X",D37="x",AND(COUNTA(B37,C37,E37,F37)&gt;0,(LEN(SUBSTITUTE(SUBSTITUTE(SUBSTITUTE(B37," ",""),"0",""),"-",""))+LEN(SUBSTITUTE(SUBSTITUTE(SUBSTITUTE(C37," ",""),"0",""),"-","")))=(LEN(SUBSTITUTE(SUBSTITUTE(SUBSTITUTE(E37," ",""),"0",""),"-",""))+LEN(SUBSTITUTE(SUBSTITUTE(SUBSTITUTE(F37," ",""),"0",""),"-",""))))),1,0)+IF(OR(D38="X",D38="x",AND(COUNTA(B38,C38,E38,F38)&gt;0,(LEN(SUBSTITUTE(SUBSTITUTE(SUBSTITUTE(B38," ",""),"0",""),"-",""))+LEN(SUBSTITUTE(SUBSTITUTE(SUBSTITUTE(C38," ",""),"0",""),"-","")))=(LEN(SUBSTITUTE(SUBSTITUTE(SUBSTITUTE(E38," ",""),"0",""),"-",""))+LEN(SUBSTITUTE(SUBSTITUTE(SUBSTITUTE(F38," ",""),"0",""),"-",""))))),1,0)+IF(OR(D39="X",D39="x",AND(COUNTA(B39,C39,E39,F39)&gt;0,(LEN(SUBSTITUTE(SUBSTITUTE(SUBSTITUTE(B39," ",""),"0",""),"-",""))+LEN(SUBSTITUTE(SUBSTITUTE(SUBSTITUTE(C39," ",""),"0",""),"-","")))=(LEN(SUBSTITUTE(SUBSTITUTE(SUBSTITUTE(E39," ",""),"0",""),"-",""))+LEN(SUBSTITUTE(SUBSTITUTE(SUBSTITUTE(F39," ",""),"0",""),"-",""))))),1,0)+IF(OR(D40="X",D40="x",AND(COUNTA(B40,C40,E40,F40)&gt;0,(LEN(SUBSTITUTE(SUBSTITUTE(SUBSTITUTE(B40," ",""),"0",""),"-",""))+LEN(SUBSTITUTE(SUBSTITUTE(SUBSTITUTE(C40," ",""),"0",""),"-","")))=(LEN(SUBSTITUTE(SUBSTITUTE(SUBSTITUTE(E40," ",""),"0",""),"-",""))+LEN(SUBSTITUTE(SUBSTITUTE(SUBSTITUTE(F40," ",""),"0",""),"-",""))))),1,0)+IF(OR(D41="X",D41="x",AND(COUNTA(B41,C41,E41,F41)&gt;0,(LEN(SUBSTITUTE(SUBSTITUTE(SUBSTITUTE(B41," ",""),"0",""),"-",""))+LEN(SUBSTITUTE(SUBSTITUTE(SUBSTITUTE(C41," ",""),"0",""),"-","")))=(LEN(SUBSTITUTE(SUBSTITUTE(SUBSTITUTE(E41," ",""),"0",""),"-",""))+LEN(SUBSTITUTE(SUBSTITUTE(SUBSTITUTE(F41," ",""),"0",""),"-",""))))),1,0)),0)</f>
      </c>
      <c r="E59" s="14" t="str">
        <f>E4+E28+E36</f>
      </c>
      <c r="F59" s="14" t="str">
        <f>C4+C28+C36</f>
      </c>
      <c r="I59" s="14" t="str">
        <f>'data'!$B$11</f>
      </c>
      <c r="J59" s="14" t="str">
        <f>IF(OR(COUNTA(J5:K9,M5:N9)&gt;0,OR(L4="X",L4="x"),UPPER(L5)="X",UPPER(L6)="X",UPPER(L7)="X",UPPER(L8)="X",UPPER(L9)="X"),J4,0)+IF(OR(COUNTA(J21:K25,M21:N25)&gt;0,OR(L20="X",L20="x"),UPPER(L21)="X",UPPER(L22)="X",UPPER(L23)="X",UPPER(L24)="X",UPPER(L25)="X"),N20,0)</f>
      </c>
      <c r="K59" s="14" t="str">
        <f>IF(OR(COUNTA(J5:K9,M5:N9)&gt;0,OR(L4="X",L4="x"),UPPER(L5)="X",UPPER(L6)="X",UPPER(L7)="X",UPPER(L8)="X",UPPER(L9)="X"),N4,0)+IF(OR(COUNTA(J21:K25,M21:N25)&gt;0,OR(L20="X",L20="x"),UPPER(L21)="X",UPPER(L22)="X",UPPER(L23)="X",UPPER(L24)="X",UPPER(L25)="X"),J20,0)</f>
      </c>
      <c r="L59" s="14" t="str">
        <f>IF(OR(COUNTA(J5:K9,M5:N9)&gt;0,OR(L4="X",L4="x"),UPPER(L5)="X",UPPER(L6)="X",UPPER(L7)="X",UPPER(L8)="X",UPPER(L9)="X"),(IF(OR(L5="X",L5="x",AND(COUNTA(J5,K5,M5,N5)&gt;0,(LEN(SUBSTITUTE(SUBSTITUTE(SUBSTITUTE(J5," ",""),"0",""),"-",""))+LEN(SUBSTITUTE(SUBSTITUTE(SUBSTITUTE(K5," ",""),"0",""),"-","")))=(LEN(SUBSTITUTE(SUBSTITUTE(SUBSTITUTE(M5," ",""),"0",""),"-",""))+LEN(SUBSTITUTE(SUBSTITUTE(SUBSTITUTE(N5," ",""),"0",""),"-",""))))),1,0)+IF(OR(L6="X",L6="x",AND(COUNTA(J6,K6,M6,N6)&gt;0,(LEN(SUBSTITUTE(SUBSTITUTE(SUBSTITUTE(J6," ",""),"0",""),"-",""))+LEN(SUBSTITUTE(SUBSTITUTE(SUBSTITUTE(K6," ",""),"0",""),"-","")))=(LEN(SUBSTITUTE(SUBSTITUTE(SUBSTITUTE(M6," ",""),"0",""),"-",""))+LEN(SUBSTITUTE(SUBSTITUTE(SUBSTITUTE(N6," ",""),"0",""),"-",""))))),1,0)+IF(OR(L7="X",L7="x",AND(COUNTA(J7,K7,M7,N7)&gt;0,(LEN(SUBSTITUTE(SUBSTITUTE(SUBSTITUTE(J7," ",""),"0",""),"-",""))+LEN(SUBSTITUTE(SUBSTITUTE(SUBSTITUTE(K7," ",""),"0",""),"-","")))=(LEN(SUBSTITUTE(SUBSTITUTE(SUBSTITUTE(M7," ",""),"0",""),"-",""))+LEN(SUBSTITUTE(SUBSTITUTE(SUBSTITUTE(N7," ",""),"0",""),"-",""))))),1,0)+IF(OR(L8="X",L8="x",AND(COUNTA(J8,K8,M8,N8)&gt;0,(LEN(SUBSTITUTE(SUBSTITUTE(SUBSTITUTE(J8," ",""),"0",""),"-",""))+LEN(SUBSTITUTE(SUBSTITUTE(SUBSTITUTE(K8," ",""),"0",""),"-","")))=(LEN(SUBSTITUTE(SUBSTITUTE(SUBSTITUTE(M8," ",""),"0",""),"-",""))+LEN(SUBSTITUTE(SUBSTITUTE(SUBSTITUTE(N8," ",""),"0",""),"-",""))))),1,0)+IF(OR(L9="X",L9="x",AND(COUNTA(J9,K9,M9,N9)&gt;0,(LEN(SUBSTITUTE(SUBSTITUTE(SUBSTITUTE(J9," ",""),"0",""),"-",""))+LEN(SUBSTITUTE(SUBSTITUTE(SUBSTITUTE(K9," ",""),"0",""),"-","")))=(LEN(SUBSTITUTE(SUBSTITUTE(SUBSTITUTE(M9," ",""),"0",""),"-",""))+LEN(SUBSTITUTE(SUBSTITUTE(SUBSTITUTE(N9," ",""),"0",""),"-",""))))),1,0)),0)+IF(OR(COUNTA(J21:K25,M21:N25)&gt;0,OR(L20="X",L20="x"),UPPER(L21)="X",UPPER(L22)="X",UPPER(L23)="X",UPPER(L24)="X",UPPER(L25)="X"),(IF(OR(L21="X",L21="x",AND(COUNTA(J21,K21,M21,N21)&gt;0,(LEN(SUBSTITUTE(SUBSTITUTE(SUBSTITUTE(J21," ",""),"0",""),"-",""))+LEN(SUBSTITUTE(SUBSTITUTE(SUBSTITUTE(K21," ",""),"0",""),"-","")))=(LEN(SUBSTITUTE(SUBSTITUTE(SUBSTITUTE(M21," ",""),"0",""),"-",""))+LEN(SUBSTITUTE(SUBSTITUTE(SUBSTITUTE(N21," ",""),"0",""),"-",""))))),1,0)+IF(OR(L22="X",L22="x",AND(COUNTA(J22,K22,M22,N22)&gt;0,(LEN(SUBSTITUTE(SUBSTITUTE(SUBSTITUTE(J22," ",""),"0",""),"-",""))+LEN(SUBSTITUTE(SUBSTITUTE(SUBSTITUTE(K22," ",""),"0",""),"-","")))=(LEN(SUBSTITUTE(SUBSTITUTE(SUBSTITUTE(M22," ",""),"0",""),"-",""))+LEN(SUBSTITUTE(SUBSTITUTE(SUBSTITUTE(N22," ",""),"0",""),"-",""))))),1,0)+IF(OR(L23="X",L23="x",AND(COUNTA(J23,K23,M23,N23)&gt;0,(LEN(SUBSTITUTE(SUBSTITUTE(SUBSTITUTE(J23," ",""),"0",""),"-",""))+LEN(SUBSTITUTE(SUBSTITUTE(SUBSTITUTE(K23," ",""),"0",""),"-","")))=(LEN(SUBSTITUTE(SUBSTITUTE(SUBSTITUTE(M23," ",""),"0",""),"-",""))+LEN(SUBSTITUTE(SUBSTITUTE(SUBSTITUTE(N23," ",""),"0",""),"-",""))))),1,0)+IF(OR(L24="X",L24="x",AND(COUNTA(J24,K24,M24,N24)&gt;0,(LEN(SUBSTITUTE(SUBSTITUTE(SUBSTITUTE(J24," ",""),"0",""),"-",""))+LEN(SUBSTITUTE(SUBSTITUTE(SUBSTITUTE(K24," ",""),"0",""),"-","")))=(LEN(SUBSTITUTE(SUBSTITUTE(SUBSTITUTE(M24," ",""),"0",""),"-",""))+LEN(SUBSTITUTE(SUBSTITUTE(SUBSTITUTE(N24," ",""),"0",""),"-",""))))),1,0)+IF(OR(L25="X",L25="x",AND(COUNTA(J25,K25,M25,N25)&gt;0,(LEN(SUBSTITUTE(SUBSTITUTE(SUBSTITUTE(J25," ",""),"0",""),"-",""))+LEN(SUBSTITUTE(SUBSTITUTE(SUBSTITUTE(K25," ",""),"0",""),"-","")))=(LEN(SUBSTITUTE(SUBSTITUTE(SUBSTITUTE(M25," ",""),"0",""),"-",""))+LEN(SUBSTITUTE(SUBSTITUTE(SUBSTITUTE(N25," ",""),"0",""),"-",""))))),1,0)),0)</f>
      </c>
      <c r="M59" s="14" t="str">
        <f>K4+M20</f>
      </c>
      <c r="N59" s="14" t="str">
        <f>M4+K20</f>
      </c>
    </row>
    <row r="60">
      <c r="A60" s="14" t="str">
        <f>'data'!$B$4</f>
      </c>
      <c r="B60" s="14" t="str">
        <f>IF(OR(COUNTA(B5:C9,E5:F9)&gt;0,OR(D4="X",D4="x"),UPPER(D5)="X",UPPER(D6)="X",UPPER(D7)="X",UPPER(D8)="X",UPPER(D9)="X"),B4,0)+IF(OR(COUNTA(B13:C17,E13:F17)&gt;0,OR(D12="X",D12="x"),UPPER(D13)="X",UPPER(D14)="X",UPPER(D15)="X",UPPER(D16)="X",UPPER(D17)="X"),B12,0)+IF(OR(COUNTA(B45:C49,E45:F49)&gt;0,OR(D44="X",D44="x"),UPPER(D45)="X",UPPER(D46)="X",UPPER(D47)="X",UPPER(D48)="X",UPPER(D49)="X"),F44,0)</f>
      </c>
      <c r="C60" s="14" t="str">
        <f>IF(OR(COUNTA(B5:C9,E5:F9)&gt;0,OR(D4="X",D4="x"),UPPER(D5)="X",UPPER(D6)="X",UPPER(D7)="X",UPPER(D8)="X",UPPER(D9)="X"),F4,0)+IF(OR(COUNTA(B13:C17,E13:F17)&gt;0,OR(D12="X",D12="x"),UPPER(D13)="X",UPPER(D14)="X",UPPER(D15)="X",UPPER(D16)="X",UPPER(D17)="X"),F12,0)+IF(OR(COUNTA(B45:C49,E45:F49)&gt;0,OR(D44="X",D44="x"),UPPER(D45)="X",UPPER(D46)="X",UPPER(D47)="X",UPPER(D48)="X",UPPER(D49)="X"),B44,0)</f>
      </c>
      <c r="D60" s="14" t="str">
        <f>IF(OR(COUNTA(B5:C9,E5:F9)&gt;0,OR(D4="X",D4="x"),UPPER(D5)="X",UPPER(D6)="X",UPPER(D7)="X",UPPER(D8)="X",UPPER(D9)="X"),(IF(OR(D5="X",D5="x",AND(COUNTA(B5,C5,E5,F5)&gt;0,(LEN(SUBSTITUTE(SUBSTITUTE(SUBSTITUTE(B5," ",""),"0",""),"-",""))+LEN(SUBSTITUTE(SUBSTITUTE(SUBSTITUTE(C5," ",""),"0",""),"-","")))=(LEN(SUBSTITUTE(SUBSTITUTE(SUBSTITUTE(E5," ",""),"0",""),"-",""))+LEN(SUBSTITUTE(SUBSTITUTE(SUBSTITUTE(F5," ",""),"0",""),"-",""))))),1,0)+IF(OR(D6="X",D6="x",AND(COUNTA(B6,C6,E6,F6)&gt;0,(LEN(SUBSTITUTE(SUBSTITUTE(SUBSTITUTE(B6," ",""),"0",""),"-",""))+LEN(SUBSTITUTE(SUBSTITUTE(SUBSTITUTE(C6," ",""),"0",""),"-","")))=(LEN(SUBSTITUTE(SUBSTITUTE(SUBSTITUTE(E6," ",""),"0",""),"-",""))+LEN(SUBSTITUTE(SUBSTITUTE(SUBSTITUTE(F6," ",""),"0",""),"-",""))))),1,0)+IF(OR(D7="X",D7="x",AND(COUNTA(B7,C7,E7,F7)&gt;0,(LEN(SUBSTITUTE(SUBSTITUTE(SUBSTITUTE(B7," ",""),"0",""),"-",""))+LEN(SUBSTITUTE(SUBSTITUTE(SUBSTITUTE(C7," ",""),"0",""),"-","")))=(LEN(SUBSTITUTE(SUBSTITUTE(SUBSTITUTE(E7," ",""),"0",""),"-",""))+LEN(SUBSTITUTE(SUBSTITUTE(SUBSTITUTE(F7," ",""),"0",""),"-",""))))),1,0)+IF(OR(D8="X",D8="x",AND(COUNTA(B8,C8,E8,F8)&gt;0,(LEN(SUBSTITUTE(SUBSTITUTE(SUBSTITUTE(B8," ",""),"0",""),"-",""))+LEN(SUBSTITUTE(SUBSTITUTE(SUBSTITUTE(C8," ",""),"0",""),"-","")))=(LEN(SUBSTITUTE(SUBSTITUTE(SUBSTITUTE(E8," ",""),"0",""),"-",""))+LEN(SUBSTITUTE(SUBSTITUTE(SUBSTITUTE(F8," ",""),"0",""),"-",""))))),1,0)+IF(OR(D9="X",D9="x",AND(COUNTA(B9,C9,E9,F9)&gt;0,(LEN(SUBSTITUTE(SUBSTITUTE(SUBSTITUTE(B9," ",""),"0",""),"-",""))+LEN(SUBSTITUTE(SUBSTITUTE(SUBSTITUTE(C9," ",""),"0",""),"-","")))=(LEN(SUBSTITUTE(SUBSTITUTE(SUBSTITUTE(E9," ",""),"0",""),"-",""))+LEN(SUBSTITUTE(SUBSTITUTE(SUBSTITUTE(F9," ",""),"0",""),"-",""))))),1,0)),0)+IF(OR(COUNTA(B13:C17,E13:F17)&gt;0,OR(D12="X",D12="x"),UPPER(D13)="X",UPPER(D14)="X",UPPER(D15)="X",UPPER(D16)="X",UPPER(D17)="X"),(IF(OR(D13="X",D13="x",AND(COUNTA(B13,C13,E13,F13)&gt;0,(LEN(SUBSTITUTE(SUBSTITUTE(SUBSTITUTE(B13," ",""),"0",""),"-",""))+LEN(SUBSTITUTE(SUBSTITUTE(SUBSTITUTE(C13," ",""),"0",""),"-","")))=(LEN(SUBSTITUTE(SUBSTITUTE(SUBSTITUTE(E13," ",""),"0",""),"-",""))+LEN(SUBSTITUTE(SUBSTITUTE(SUBSTITUTE(F13," ",""),"0",""),"-",""))))),1,0)+IF(OR(D14="X",D14="x",AND(COUNTA(B14,C14,E14,F14)&gt;0,(LEN(SUBSTITUTE(SUBSTITUTE(SUBSTITUTE(B14," ",""),"0",""),"-",""))+LEN(SUBSTITUTE(SUBSTITUTE(SUBSTITUTE(C14," ",""),"0",""),"-","")))=(LEN(SUBSTITUTE(SUBSTITUTE(SUBSTITUTE(E14," ",""),"0",""),"-",""))+LEN(SUBSTITUTE(SUBSTITUTE(SUBSTITUTE(F14," ",""),"0",""),"-",""))))),1,0)+IF(OR(D15="X",D15="x",AND(COUNTA(B15,C15,E15,F15)&gt;0,(LEN(SUBSTITUTE(SUBSTITUTE(SUBSTITUTE(B15," ",""),"0",""),"-",""))+LEN(SUBSTITUTE(SUBSTITUTE(SUBSTITUTE(C15," ",""),"0",""),"-","")))=(LEN(SUBSTITUTE(SUBSTITUTE(SUBSTITUTE(E15," ",""),"0",""),"-",""))+LEN(SUBSTITUTE(SUBSTITUTE(SUBSTITUTE(F15," ",""),"0",""),"-",""))))),1,0)+IF(OR(D16="X",D16="x",AND(COUNTA(B16,C16,E16,F16)&gt;0,(LEN(SUBSTITUTE(SUBSTITUTE(SUBSTITUTE(B16," ",""),"0",""),"-",""))+LEN(SUBSTITUTE(SUBSTITUTE(SUBSTITUTE(C16," ",""),"0",""),"-","")))=(LEN(SUBSTITUTE(SUBSTITUTE(SUBSTITUTE(E16," ",""),"0",""),"-",""))+LEN(SUBSTITUTE(SUBSTITUTE(SUBSTITUTE(F16," ",""),"0",""),"-",""))))),1,0)+IF(OR(D17="X",D17="x",AND(COUNTA(B17,C17,E17,F17)&gt;0,(LEN(SUBSTITUTE(SUBSTITUTE(SUBSTITUTE(B17," ",""),"0",""),"-",""))+LEN(SUBSTITUTE(SUBSTITUTE(SUBSTITUTE(C17," ",""),"0",""),"-","")))=(LEN(SUBSTITUTE(SUBSTITUTE(SUBSTITUTE(E17," ",""),"0",""),"-",""))+LEN(SUBSTITUTE(SUBSTITUTE(SUBSTITUTE(F17," ",""),"0",""),"-",""))))),1,0)),0)+IF(OR(COUNTA(B45:C49,E45:F49)&gt;0,OR(D44="X",D44="x"),UPPER(D45)="X",UPPER(D46)="X",UPPER(D47)="X",UPPER(D48)="X",UPPER(D49)="X"),(IF(OR(D45="X",D45="x",AND(COUNTA(B45,C45,E45,F45)&gt;0,(LEN(SUBSTITUTE(SUBSTITUTE(SUBSTITUTE(B45," ",""),"0",""),"-",""))+LEN(SUBSTITUTE(SUBSTITUTE(SUBSTITUTE(C45," ",""),"0",""),"-","")))=(LEN(SUBSTITUTE(SUBSTITUTE(SUBSTITUTE(E45," ",""),"0",""),"-",""))+LEN(SUBSTITUTE(SUBSTITUTE(SUBSTITUTE(F45," ",""),"0",""),"-",""))))),1,0)+IF(OR(D46="X",D46="x",AND(COUNTA(B46,C46,E46,F46)&gt;0,(LEN(SUBSTITUTE(SUBSTITUTE(SUBSTITUTE(B46," ",""),"0",""),"-",""))+LEN(SUBSTITUTE(SUBSTITUTE(SUBSTITUTE(C46," ",""),"0",""),"-","")))=(LEN(SUBSTITUTE(SUBSTITUTE(SUBSTITUTE(E46," ",""),"0",""),"-",""))+LEN(SUBSTITUTE(SUBSTITUTE(SUBSTITUTE(F46," ",""),"0",""),"-",""))))),1,0)+IF(OR(D47="X",D47="x",AND(COUNTA(B47,C47,E47,F47)&gt;0,(LEN(SUBSTITUTE(SUBSTITUTE(SUBSTITUTE(B47," ",""),"0",""),"-",""))+LEN(SUBSTITUTE(SUBSTITUTE(SUBSTITUTE(C47," ",""),"0",""),"-","")))=(LEN(SUBSTITUTE(SUBSTITUTE(SUBSTITUTE(E47," ",""),"0",""),"-",""))+LEN(SUBSTITUTE(SUBSTITUTE(SUBSTITUTE(F47," ",""),"0",""),"-",""))))),1,0)+IF(OR(D48="X",D48="x",AND(COUNTA(B48,C48,E48,F48)&gt;0,(LEN(SUBSTITUTE(SUBSTITUTE(SUBSTITUTE(B48," ",""),"0",""),"-",""))+LEN(SUBSTITUTE(SUBSTITUTE(SUBSTITUTE(C48," ",""),"0",""),"-","")))=(LEN(SUBSTITUTE(SUBSTITUTE(SUBSTITUTE(E48," ",""),"0",""),"-",""))+LEN(SUBSTITUTE(SUBSTITUTE(SUBSTITUTE(F48," ",""),"0",""),"-",""))))),1,0)+IF(OR(D49="X",D49="x",AND(COUNTA(B49,C49,E49,F49)&gt;0,(LEN(SUBSTITUTE(SUBSTITUTE(SUBSTITUTE(B49," ",""),"0",""),"-",""))+LEN(SUBSTITUTE(SUBSTITUTE(SUBSTITUTE(C49," ",""),"0",""),"-","")))=(LEN(SUBSTITUTE(SUBSTITUTE(SUBSTITUTE(E49," ",""),"0",""),"-",""))+LEN(SUBSTITUTE(SUBSTITUTE(SUBSTITUTE(F49," ",""),"0",""),"-",""))))),1,0)),0)</f>
      </c>
      <c r="E60" s="14" t="str">
        <f>C4+C12+E44</f>
      </c>
      <c r="F60" s="14" t="str">
        <f>E4+E12+C44</f>
      </c>
      <c r="I60" s="14" t="str">
        <f>'data'!$B$12</f>
      </c>
      <c r="J60" s="14" t="str">
        <f>IF(OR(COUNTA(J13:K17,M13:N17)&gt;0,OR(L12="X",L12="x"),UPPER(L13)="X",UPPER(L14)="X",UPPER(L15)="X",UPPER(L16)="X",UPPER(L17)="X"),J12,0)+IF(OR(COUNTA(J21:K25,M21:N25)&gt;0,OR(L20="X",L20="x"),UPPER(L21)="X",UPPER(L22)="X",UPPER(L23)="X",UPPER(L24)="X",UPPER(L25)="X"),J20,0)</f>
      </c>
      <c r="K60" s="14" t="str">
        <f>IF(OR(COUNTA(J13:K17,M13:N17)&gt;0,OR(L12="X",L12="x"),UPPER(L13)="X",UPPER(L14)="X",UPPER(L15)="X",UPPER(L16)="X",UPPER(L17)="X"),N12,0)+IF(OR(COUNTA(J21:K25,M21:N25)&gt;0,OR(L20="X",L20="x"),UPPER(L21)="X",UPPER(L22)="X",UPPER(L23)="X",UPPER(L24)="X",UPPER(L25)="X"),N20,0)</f>
      </c>
      <c r="L60" s="14" t="str">
        <f>IF(OR(COUNTA(J13:K17,M13:N17)&gt;0,OR(L12="X",L12="x"),UPPER(L13)="X",UPPER(L14)="X",UPPER(L15)="X",UPPER(L16)="X",UPPER(L17)="X"),(IF(OR(L13="X",L13="x",AND(COUNTA(J13,K13,M13,N13)&gt;0,(LEN(SUBSTITUTE(SUBSTITUTE(SUBSTITUTE(J13," ",""),"0",""),"-",""))+LEN(SUBSTITUTE(SUBSTITUTE(SUBSTITUTE(K13," ",""),"0",""),"-","")))=(LEN(SUBSTITUTE(SUBSTITUTE(SUBSTITUTE(M13," ",""),"0",""),"-",""))+LEN(SUBSTITUTE(SUBSTITUTE(SUBSTITUTE(N13," ",""),"0",""),"-",""))))),1,0)+IF(OR(L14="X",L14="x",AND(COUNTA(J14,K14,M14,N14)&gt;0,(LEN(SUBSTITUTE(SUBSTITUTE(SUBSTITUTE(J14," ",""),"0",""),"-",""))+LEN(SUBSTITUTE(SUBSTITUTE(SUBSTITUTE(K14," ",""),"0",""),"-","")))=(LEN(SUBSTITUTE(SUBSTITUTE(SUBSTITUTE(M14," ",""),"0",""),"-",""))+LEN(SUBSTITUTE(SUBSTITUTE(SUBSTITUTE(N14," ",""),"0",""),"-",""))))),1,0)+IF(OR(L15="X",L15="x",AND(COUNTA(J15,K15,M15,N15)&gt;0,(LEN(SUBSTITUTE(SUBSTITUTE(SUBSTITUTE(J15," ",""),"0",""),"-",""))+LEN(SUBSTITUTE(SUBSTITUTE(SUBSTITUTE(K15," ",""),"0",""),"-","")))=(LEN(SUBSTITUTE(SUBSTITUTE(SUBSTITUTE(M15," ",""),"0",""),"-",""))+LEN(SUBSTITUTE(SUBSTITUTE(SUBSTITUTE(N15," ",""),"0",""),"-",""))))),1,0)+IF(OR(L16="X",L16="x",AND(COUNTA(J16,K16,M16,N16)&gt;0,(LEN(SUBSTITUTE(SUBSTITUTE(SUBSTITUTE(J16," ",""),"0",""),"-",""))+LEN(SUBSTITUTE(SUBSTITUTE(SUBSTITUTE(K16," ",""),"0",""),"-","")))=(LEN(SUBSTITUTE(SUBSTITUTE(SUBSTITUTE(M16," ",""),"0",""),"-",""))+LEN(SUBSTITUTE(SUBSTITUTE(SUBSTITUTE(N16," ",""),"0",""),"-",""))))),1,0)+IF(OR(L17="X",L17="x",AND(COUNTA(J17,K17,M17,N17)&gt;0,(LEN(SUBSTITUTE(SUBSTITUTE(SUBSTITUTE(J17," ",""),"0",""),"-",""))+LEN(SUBSTITUTE(SUBSTITUTE(SUBSTITUTE(K17," ",""),"0",""),"-","")))=(LEN(SUBSTITUTE(SUBSTITUTE(SUBSTITUTE(M17," ",""),"0",""),"-",""))+LEN(SUBSTITUTE(SUBSTITUTE(SUBSTITUTE(N17," ",""),"0",""),"-",""))))),1,0)),0)+IF(OR(COUNTA(J21:K25,M21:N25)&gt;0,OR(L20="X",L20="x"),UPPER(L21)="X",UPPER(L22)="X",UPPER(L23)="X",UPPER(L24)="X",UPPER(L25)="X"),(IF(OR(L21="X",L21="x",AND(COUNTA(J21,K21,M21,N21)&gt;0,(LEN(SUBSTITUTE(SUBSTITUTE(SUBSTITUTE(J21," ",""),"0",""),"-",""))+LEN(SUBSTITUTE(SUBSTITUTE(SUBSTITUTE(K21," ",""),"0",""),"-","")))=(LEN(SUBSTITUTE(SUBSTITUTE(SUBSTITUTE(M21," ",""),"0",""),"-",""))+LEN(SUBSTITUTE(SUBSTITUTE(SUBSTITUTE(N21," ",""),"0",""),"-",""))))),1,0)+IF(OR(L22="X",L22="x",AND(COUNTA(J22,K22,M22,N22)&gt;0,(LEN(SUBSTITUTE(SUBSTITUTE(SUBSTITUTE(J22," ",""),"0",""),"-",""))+LEN(SUBSTITUTE(SUBSTITUTE(SUBSTITUTE(K22," ",""),"0",""),"-","")))=(LEN(SUBSTITUTE(SUBSTITUTE(SUBSTITUTE(M22," ",""),"0",""),"-",""))+LEN(SUBSTITUTE(SUBSTITUTE(SUBSTITUTE(N22," ",""),"0",""),"-",""))))),1,0)+IF(OR(L23="X",L23="x",AND(COUNTA(J23,K23,M23,N23)&gt;0,(LEN(SUBSTITUTE(SUBSTITUTE(SUBSTITUTE(J23," ",""),"0",""),"-",""))+LEN(SUBSTITUTE(SUBSTITUTE(SUBSTITUTE(K23," ",""),"0",""),"-","")))=(LEN(SUBSTITUTE(SUBSTITUTE(SUBSTITUTE(M23," ",""),"0",""),"-",""))+LEN(SUBSTITUTE(SUBSTITUTE(SUBSTITUTE(N23," ",""),"0",""),"-",""))))),1,0)+IF(OR(L24="X",L24="x",AND(COUNTA(J24,K24,M24,N24)&gt;0,(LEN(SUBSTITUTE(SUBSTITUTE(SUBSTITUTE(J24," ",""),"0",""),"-",""))+LEN(SUBSTITUTE(SUBSTITUTE(SUBSTITUTE(K24," ",""),"0",""),"-","")))=(LEN(SUBSTITUTE(SUBSTITUTE(SUBSTITUTE(M24," ",""),"0",""),"-",""))+LEN(SUBSTITUTE(SUBSTITUTE(SUBSTITUTE(N24," ",""),"0",""),"-",""))))),1,0)+IF(OR(L25="X",L25="x",AND(COUNTA(J25,K25,M25,N25)&gt;0,(LEN(SUBSTITUTE(SUBSTITUTE(SUBSTITUTE(J25," ",""),"0",""),"-",""))+LEN(SUBSTITUTE(SUBSTITUTE(SUBSTITUTE(K25," ",""),"0",""),"-","")))=(LEN(SUBSTITUTE(SUBSTITUTE(SUBSTITUTE(M25," ",""),"0",""),"-",""))+LEN(SUBSTITUTE(SUBSTITUTE(SUBSTITUTE(N25," ",""),"0",""),"-",""))))),1,0)),0)</f>
      </c>
      <c r="M60" s="14" t="str">
        <f>K12+K20</f>
      </c>
      <c r="N60" s="14" t="str">
        <f>M12+M20</f>
      </c>
    </row>
    <row r="61">
      <c r="A61" s="14" t="str">
        <f>'data'!$B$5</f>
      </c>
      <c r="B61" s="14" t="str">
        <f>IF(OR(COUNTA(B13:C17,E13:F17)&gt;0,OR(D12="X",D12="x"),UPPER(D13)="X",UPPER(D14)="X",UPPER(D15)="X",UPPER(D16)="X",UPPER(D17)="X"),F12,0)+IF(OR(COUNTA(B21:C25,E21:F25)&gt;0,OR(D20="X",D20="x"),UPPER(D21)="X",UPPER(D22)="X",UPPER(D23)="X",UPPER(D24)="X",UPPER(D25)="X"),F20,0)+IF(OR(COUNTA(B37:C41,E37:F41)&gt;0,OR(D36="X",D36="x"),UPPER(D37)="X",UPPER(D38)="X",UPPER(D39)="X",UPPER(D40)="X",UPPER(D41)="X"),B36,0)</f>
      </c>
      <c r="C61" s="14" t="str">
        <f>IF(OR(COUNTA(B13:C17,E13:F17)&gt;0,OR(D12="X",D12="x"),UPPER(D13)="X",UPPER(D14)="X",UPPER(D15)="X",UPPER(D16)="X",UPPER(D17)="X"),B12,0)+IF(OR(COUNTA(B21:C25,E21:F25)&gt;0,OR(D20="X",D20="x"),UPPER(D21)="X",UPPER(D22)="X",UPPER(D23)="X",UPPER(D24)="X",UPPER(D25)="X"),B20,0)+IF(OR(COUNTA(B37:C41,E37:F41)&gt;0,OR(D36="X",D36="x"),UPPER(D37)="X",UPPER(D38)="X",UPPER(D39)="X",UPPER(D40)="X",UPPER(D41)="X"),F36,0)</f>
      </c>
      <c r="D61" s="14" t="str">
        <f>IF(OR(COUNTA(B13:C17,E13:F17)&gt;0,OR(D12="X",D12="x"),UPPER(D13)="X",UPPER(D14)="X",UPPER(D15)="X",UPPER(D16)="X",UPPER(D17)="X"),(IF(OR(D13="X",D13="x",AND(COUNTA(B13,C13,E13,F13)&gt;0,(LEN(SUBSTITUTE(SUBSTITUTE(SUBSTITUTE(B13," ",""),"0",""),"-",""))+LEN(SUBSTITUTE(SUBSTITUTE(SUBSTITUTE(C13," ",""),"0",""),"-","")))=(LEN(SUBSTITUTE(SUBSTITUTE(SUBSTITUTE(E13," ",""),"0",""),"-",""))+LEN(SUBSTITUTE(SUBSTITUTE(SUBSTITUTE(F13," ",""),"0",""),"-",""))))),1,0)+IF(OR(D14="X",D14="x",AND(COUNTA(B14,C14,E14,F14)&gt;0,(LEN(SUBSTITUTE(SUBSTITUTE(SUBSTITUTE(B14," ",""),"0",""),"-",""))+LEN(SUBSTITUTE(SUBSTITUTE(SUBSTITUTE(C14," ",""),"0",""),"-","")))=(LEN(SUBSTITUTE(SUBSTITUTE(SUBSTITUTE(E14," ",""),"0",""),"-",""))+LEN(SUBSTITUTE(SUBSTITUTE(SUBSTITUTE(F14," ",""),"0",""),"-",""))))),1,0)+IF(OR(D15="X",D15="x",AND(COUNTA(B15,C15,E15,F15)&gt;0,(LEN(SUBSTITUTE(SUBSTITUTE(SUBSTITUTE(B15," ",""),"0",""),"-",""))+LEN(SUBSTITUTE(SUBSTITUTE(SUBSTITUTE(C15," ",""),"0",""),"-","")))=(LEN(SUBSTITUTE(SUBSTITUTE(SUBSTITUTE(E15," ",""),"0",""),"-",""))+LEN(SUBSTITUTE(SUBSTITUTE(SUBSTITUTE(F15," ",""),"0",""),"-",""))))),1,0)+IF(OR(D16="X",D16="x",AND(COUNTA(B16,C16,E16,F16)&gt;0,(LEN(SUBSTITUTE(SUBSTITUTE(SUBSTITUTE(B16," ",""),"0",""),"-",""))+LEN(SUBSTITUTE(SUBSTITUTE(SUBSTITUTE(C16," ",""),"0",""),"-","")))=(LEN(SUBSTITUTE(SUBSTITUTE(SUBSTITUTE(E16," ",""),"0",""),"-",""))+LEN(SUBSTITUTE(SUBSTITUTE(SUBSTITUTE(F16," ",""),"0",""),"-",""))))),1,0)+IF(OR(D17="X",D17="x",AND(COUNTA(B17,C17,E17,F17)&gt;0,(LEN(SUBSTITUTE(SUBSTITUTE(SUBSTITUTE(B17," ",""),"0",""),"-",""))+LEN(SUBSTITUTE(SUBSTITUTE(SUBSTITUTE(C17," ",""),"0",""),"-","")))=(LEN(SUBSTITUTE(SUBSTITUTE(SUBSTITUTE(E17," ",""),"0",""),"-",""))+LEN(SUBSTITUTE(SUBSTITUTE(SUBSTITUTE(F17," ",""),"0",""),"-",""))))),1,0)),0)+IF(OR(COUNTA(B21:C25,E21:F25)&gt;0,OR(D20="X",D20="x"),UPPER(D21)="X",UPPER(D22)="X",UPPER(D23)="X",UPPER(D24)="X",UPPER(D25)="X"),(IF(OR(D21="X",D21="x",AND(COUNTA(B21,C21,E21,F21)&gt;0,(LEN(SUBSTITUTE(SUBSTITUTE(SUBSTITUTE(B21," ",""),"0",""),"-",""))+LEN(SUBSTITUTE(SUBSTITUTE(SUBSTITUTE(C21," ",""),"0",""),"-","")))=(LEN(SUBSTITUTE(SUBSTITUTE(SUBSTITUTE(E21," ",""),"0",""),"-",""))+LEN(SUBSTITUTE(SUBSTITUTE(SUBSTITUTE(F21," ",""),"0",""),"-",""))))),1,0)+IF(OR(D22="X",D22="x",AND(COUNTA(B22,C22,E22,F22)&gt;0,(LEN(SUBSTITUTE(SUBSTITUTE(SUBSTITUTE(B22," ",""),"0",""),"-",""))+LEN(SUBSTITUTE(SUBSTITUTE(SUBSTITUTE(C22," ",""),"0",""),"-","")))=(LEN(SUBSTITUTE(SUBSTITUTE(SUBSTITUTE(E22," ",""),"0",""),"-",""))+LEN(SUBSTITUTE(SUBSTITUTE(SUBSTITUTE(F22," ",""),"0",""),"-",""))))),1,0)+IF(OR(D23="X",D23="x",AND(COUNTA(B23,C23,E23,F23)&gt;0,(LEN(SUBSTITUTE(SUBSTITUTE(SUBSTITUTE(B23," ",""),"0",""),"-",""))+LEN(SUBSTITUTE(SUBSTITUTE(SUBSTITUTE(C23," ",""),"0",""),"-","")))=(LEN(SUBSTITUTE(SUBSTITUTE(SUBSTITUTE(E23," ",""),"0",""),"-",""))+LEN(SUBSTITUTE(SUBSTITUTE(SUBSTITUTE(F23," ",""),"0",""),"-",""))))),1,0)+IF(OR(D24="X",D24="x",AND(COUNTA(B24,C24,E24,F24)&gt;0,(LEN(SUBSTITUTE(SUBSTITUTE(SUBSTITUTE(B24," ",""),"0",""),"-",""))+LEN(SUBSTITUTE(SUBSTITUTE(SUBSTITUTE(C24," ",""),"0",""),"-","")))=(LEN(SUBSTITUTE(SUBSTITUTE(SUBSTITUTE(E24," ",""),"0",""),"-",""))+LEN(SUBSTITUTE(SUBSTITUTE(SUBSTITUTE(F24," ",""),"0",""),"-",""))))),1,0)+IF(OR(D25="X",D25="x",AND(COUNTA(B25,C25,E25,F25)&gt;0,(LEN(SUBSTITUTE(SUBSTITUTE(SUBSTITUTE(B25," ",""),"0",""),"-",""))+LEN(SUBSTITUTE(SUBSTITUTE(SUBSTITUTE(C25," ",""),"0",""),"-","")))=(LEN(SUBSTITUTE(SUBSTITUTE(SUBSTITUTE(E25," ",""),"0",""),"-",""))+LEN(SUBSTITUTE(SUBSTITUTE(SUBSTITUTE(F25," ",""),"0",""),"-",""))))),1,0)),0)+IF(OR(COUNTA(B37:C41,E37:F41)&gt;0,OR(D36="X",D36="x"),UPPER(D37)="X",UPPER(D38)="X",UPPER(D39)="X",UPPER(D40)="X",UPPER(D41)="X"),(IF(OR(D37="X",D37="x",AND(COUNTA(B37,C37,E37,F37)&gt;0,(LEN(SUBSTITUTE(SUBSTITUTE(SUBSTITUTE(B37," ",""),"0",""),"-",""))+LEN(SUBSTITUTE(SUBSTITUTE(SUBSTITUTE(C37," ",""),"0",""),"-","")))=(LEN(SUBSTITUTE(SUBSTITUTE(SUBSTITUTE(E37," ",""),"0",""),"-",""))+LEN(SUBSTITUTE(SUBSTITUTE(SUBSTITUTE(F37," ",""),"0",""),"-",""))))),1,0)+IF(OR(D38="X",D38="x",AND(COUNTA(B38,C38,E38,F38)&gt;0,(LEN(SUBSTITUTE(SUBSTITUTE(SUBSTITUTE(B38," ",""),"0",""),"-",""))+LEN(SUBSTITUTE(SUBSTITUTE(SUBSTITUTE(C38," ",""),"0",""),"-","")))=(LEN(SUBSTITUTE(SUBSTITUTE(SUBSTITUTE(E38," ",""),"0",""),"-",""))+LEN(SUBSTITUTE(SUBSTITUTE(SUBSTITUTE(F38," ",""),"0",""),"-",""))))),1,0)+IF(OR(D39="X",D39="x",AND(COUNTA(B39,C39,E39,F39)&gt;0,(LEN(SUBSTITUTE(SUBSTITUTE(SUBSTITUTE(B39," ",""),"0",""),"-",""))+LEN(SUBSTITUTE(SUBSTITUTE(SUBSTITUTE(C39," ",""),"0",""),"-","")))=(LEN(SUBSTITUTE(SUBSTITUTE(SUBSTITUTE(E39," ",""),"0",""),"-",""))+LEN(SUBSTITUTE(SUBSTITUTE(SUBSTITUTE(F39," ",""),"0",""),"-",""))))),1,0)+IF(OR(D40="X",D40="x",AND(COUNTA(B40,C40,E40,F40)&gt;0,(LEN(SUBSTITUTE(SUBSTITUTE(SUBSTITUTE(B40," ",""),"0",""),"-",""))+LEN(SUBSTITUTE(SUBSTITUTE(SUBSTITUTE(C40," ",""),"0",""),"-","")))=(LEN(SUBSTITUTE(SUBSTITUTE(SUBSTITUTE(E40," ",""),"0",""),"-",""))+LEN(SUBSTITUTE(SUBSTITUTE(SUBSTITUTE(F40," ",""),"0",""),"-",""))))),1,0)+IF(OR(D41="X",D41="x",AND(COUNTA(B41,C41,E41,F41)&gt;0,(LEN(SUBSTITUTE(SUBSTITUTE(SUBSTITUTE(B41," ",""),"0",""),"-",""))+LEN(SUBSTITUTE(SUBSTITUTE(SUBSTITUTE(C41," ",""),"0",""),"-","")))=(LEN(SUBSTITUTE(SUBSTITUTE(SUBSTITUTE(E41," ",""),"0",""),"-",""))+LEN(SUBSTITUTE(SUBSTITUTE(SUBSTITUTE(F41," ",""),"0",""),"-",""))))),1,0)),0)</f>
      </c>
      <c r="E61" s="14" t="str">
        <f>E12+E20+C36</f>
      </c>
      <c r="F61" s="14" t="str">
        <f>C12+C20+E36</f>
      </c>
    </row>
    <row r="62">
      <c r="A62" s="14" t="str">
        <f>'data'!$B$6</f>
      </c>
      <c r="B62" s="14" t="str">
        <f>IF(OR(COUNTA(B21:C25,E21:F25)&gt;0,OR(D20="X",D20="x"),UPPER(D21)="X",UPPER(D22)="X",UPPER(D23)="X",UPPER(D24)="X",UPPER(D25)="X"),B20,0)+IF(OR(COUNTA(B29:C33,E29:F33)&gt;0,OR(D28="X",D28="x"),UPPER(D29)="X",UPPER(D30)="X",UPPER(D31)="X",UPPER(D32)="X",UPPER(D33)="X"),B28,0)+IF(OR(COUNTA(B45:C49,E45:F49)&gt;0,OR(D44="X",D44="x"),UPPER(D45)="X",UPPER(D46)="X",UPPER(D47)="X",UPPER(D48)="X",UPPER(D49)="X"),B44,0)</f>
      </c>
      <c r="C62" s="14" t="str">
        <f>IF(OR(COUNTA(B21:C25,E21:F25)&gt;0,OR(D20="X",D20="x"),UPPER(D21)="X",UPPER(D22)="X",UPPER(D23)="X",UPPER(D24)="X",UPPER(D25)="X"),F20,0)+IF(OR(COUNTA(B29:C33,E29:F33)&gt;0,OR(D28="X",D28="x"),UPPER(D29)="X",UPPER(D30)="X",UPPER(D31)="X",UPPER(D32)="X",UPPER(D33)="X"),F28,0)+IF(OR(COUNTA(B45:C49,E45:F49)&gt;0,OR(D44="X",D44="x"),UPPER(D45)="X",UPPER(D46)="X",UPPER(D47)="X",UPPER(D48)="X",UPPER(D49)="X"),F44,0)</f>
      </c>
      <c r="D62" s="14" t="str">
        <f>IF(OR(COUNTA(B21:C25,E21:F25)&gt;0,OR(D20="X",D20="x"),UPPER(D21)="X",UPPER(D22)="X",UPPER(D23)="X",UPPER(D24)="X",UPPER(D25)="X"),(IF(OR(D21="X",D21="x",AND(COUNTA(B21,C21,E21,F21)&gt;0,(LEN(SUBSTITUTE(SUBSTITUTE(SUBSTITUTE(B21," ",""),"0",""),"-",""))+LEN(SUBSTITUTE(SUBSTITUTE(SUBSTITUTE(C21," ",""),"0",""),"-","")))=(LEN(SUBSTITUTE(SUBSTITUTE(SUBSTITUTE(E21," ",""),"0",""),"-",""))+LEN(SUBSTITUTE(SUBSTITUTE(SUBSTITUTE(F21," ",""),"0",""),"-",""))))),1,0)+IF(OR(D22="X",D22="x",AND(COUNTA(B22,C22,E22,F22)&gt;0,(LEN(SUBSTITUTE(SUBSTITUTE(SUBSTITUTE(B22," ",""),"0",""),"-",""))+LEN(SUBSTITUTE(SUBSTITUTE(SUBSTITUTE(C22," ",""),"0",""),"-","")))=(LEN(SUBSTITUTE(SUBSTITUTE(SUBSTITUTE(E22," ",""),"0",""),"-",""))+LEN(SUBSTITUTE(SUBSTITUTE(SUBSTITUTE(F22," ",""),"0",""),"-",""))))),1,0)+IF(OR(D23="X",D23="x",AND(COUNTA(B23,C23,E23,F23)&gt;0,(LEN(SUBSTITUTE(SUBSTITUTE(SUBSTITUTE(B23," ",""),"0",""),"-",""))+LEN(SUBSTITUTE(SUBSTITUTE(SUBSTITUTE(C23," ",""),"0",""),"-","")))=(LEN(SUBSTITUTE(SUBSTITUTE(SUBSTITUTE(E23," ",""),"0",""),"-",""))+LEN(SUBSTITUTE(SUBSTITUTE(SUBSTITUTE(F23," ",""),"0",""),"-",""))))),1,0)+IF(OR(D24="X",D24="x",AND(COUNTA(B24,C24,E24,F24)&gt;0,(LEN(SUBSTITUTE(SUBSTITUTE(SUBSTITUTE(B24," ",""),"0",""),"-",""))+LEN(SUBSTITUTE(SUBSTITUTE(SUBSTITUTE(C24," ",""),"0",""),"-","")))=(LEN(SUBSTITUTE(SUBSTITUTE(SUBSTITUTE(E24," ",""),"0",""),"-",""))+LEN(SUBSTITUTE(SUBSTITUTE(SUBSTITUTE(F24," ",""),"0",""),"-",""))))),1,0)+IF(OR(D25="X",D25="x",AND(COUNTA(B25,C25,E25,F25)&gt;0,(LEN(SUBSTITUTE(SUBSTITUTE(SUBSTITUTE(B25," ",""),"0",""),"-",""))+LEN(SUBSTITUTE(SUBSTITUTE(SUBSTITUTE(C25," ",""),"0",""),"-","")))=(LEN(SUBSTITUTE(SUBSTITUTE(SUBSTITUTE(E25," ",""),"0",""),"-",""))+LEN(SUBSTITUTE(SUBSTITUTE(SUBSTITUTE(F25," ",""),"0",""),"-",""))))),1,0)),0)+IF(OR(COUNTA(B29:C33,E29:F33)&gt;0,OR(D28="X",D28="x"),UPPER(D29)="X",UPPER(D30)="X",UPPER(D31)="X",UPPER(D32)="X",UPPER(D33)="X"),(IF(OR(D29="X",D29="x",AND(COUNTA(B29,C29,E29,F29)&gt;0,(LEN(SUBSTITUTE(SUBSTITUTE(SUBSTITUTE(B29," ",""),"0",""),"-",""))+LEN(SUBSTITUTE(SUBSTITUTE(SUBSTITUTE(C29," ",""),"0",""),"-","")))=(LEN(SUBSTITUTE(SUBSTITUTE(SUBSTITUTE(E29," ",""),"0",""),"-",""))+LEN(SUBSTITUTE(SUBSTITUTE(SUBSTITUTE(F29," ",""),"0",""),"-",""))))),1,0)+IF(OR(D30="X",D30="x",AND(COUNTA(B30,C30,E30,F30)&gt;0,(LEN(SUBSTITUTE(SUBSTITUTE(SUBSTITUTE(B30," ",""),"0",""),"-",""))+LEN(SUBSTITUTE(SUBSTITUTE(SUBSTITUTE(C30," ",""),"0",""),"-","")))=(LEN(SUBSTITUTE(SUBSTITUTE(SUBSTITUTE(E30," ",""),"0",""),"-",""))+LEN(SUBSTITUTE(SUBSTITUTE(SUBSTITUTE(F30," ",""),"0",""),"-",""))))),1,0)+IF(OR(D31="X",D31="x",AND(COUNTA(B31,C31,E31,F31)&gt;0,(LEN(SUBSTITUTE(SUBSTITUTE(SUBSTITUTE(B31," ",""),"0",""),"-",""))+LEN(SUBSTITUTE(SUBSTITUTE(SUBSTITUTE(C31," ",""),"0",""),"-","")))=(LEN(SUBSTITUTE(SUBSTITUTE(SUBSTITUTE(E31," ",""),"0",""),"-",""))+LEN(SUBSTITUTE(SUBSTITUTE(SUBSTITUTE(F31," ",""),"0",""),"-",""))))),1,0)+IF(OR(D32="X",D32="x",AND(COUNTA(B32,C32,E32,F32)&gt;0,(LEN(SUBSTITUTE(SUBSTITUTE(SUBSTITUTE(B32," ",""),"0",""),"-",""))+LEN(SUBSTITUTE(SUBSTITUTE(SUBSTITUTE(C32," ",""),"0",""),"-","")))=(LEN(SUBSTITUTE(SUBSTITUTE(SUBSTITUTE(E32," ",""),"0",""),"-",""))+LEN(SUBSTITUTE(SUBSTITUTE(SUBSTITUTE(F32," ",""),"0",""),"-",""))))),1,0)+IF(OR(D33="X",D33="x",AND(COUNTA(B33,C33,E33,F33)&gt;0,(LEN(SUBSTITUTE(SUBSTITUTE(SUBSTITUTE(B33," ",""),"0",""),"-",""))+LEN(SUBSTITUTE(SUBSTITUTE(SUBSTITUTE(C33," ",""),"0",""),"-","")))=(LEN(SUBSTITUTE(SUBSTITUTE(SUBSTITUTE(E33," ",""),"0",""),"-",""))+LEN(SUBSTITUTE(SUBSTITUTE(SUBSTITUTE(F33," ",""),"0",""),"-",""))))),1,0)),0)+IF(OR(COUNTA(B45:C49,E45:F49)&gt;0,OR(D44="X",D44="x"),UPPER(D45)="X",UPPER(D46)="X",UPPER(D47)="X",UPPER(D48)="X",UPPER(D49)="X"),(IF(OR(D45="X",D45="x",AND(COUNTA(B45,C45,E45,F45)&gt;0,(LEN(SUBSTITUTE(SUBSTITUTE(SUBSTITUTE(B45," ",""),"0",""),"-",""))+LEN(SUBSTITUTE(SUBSTITUTE(SUBSTITUTE(C45," ",""),"0",""),"-","")))=(LEN(SUBSTITUTE(SUBSTITUTE(SUBSTITUTE(E45," ",""),"0",""),"-",""))+LEN(SUBSTITUTE(SUBSTITUTE(SUBSTITUTE(F45," ",""),"0",""),"-",""))))),1,0)+IF(OR(D46="X",D46="x",AND(COUNTA(B46,C46,E46,F46)&gt;0,(LEN(SUBSTITUTE(SUBSTITUTE(SUBSTITUTE(B46," ",""),"0",""),"-",""))+LEN(SUBSTITUTE(SUBSTITUTE(SUBSTITUTE(C46," ",""),"0",""),"-","")))=(LEN(SUBSTITUTE(SUBSTITUTE(SUBSTITUTE(E46," ",""),"0",""),"-",""))+LEN(SUBSTITUTE(SUBSTITUTE(SUBSTITUTE(F46," ",""),"0",""),"-",""))))),1,0)+IF(OR(D47="X",D47="x",AND(COUNTA(B47,C47,E47,F47)&gt;0,(LEN(SUBSTITUTE(SUBSTITUTE(SUBSTITUTE(B47," ",""),"0",""),"-",""))+LEN(SUBSTITUTE(SUBSTITUTE(SUBSTITUTE(C47," ",""),"0",""),"-","")))=(LEN(SUBSTITUTE(SUBSTITUTE(SUBSTITUTE(E47," ",""),"0",""),"-",""))+LEN(SUBSTITUTE(SUBSTITUTE(SUBSTITUTE(F47," ",""),"0",""),"-",""))))),1,0)+IF(OR(D48="X",D48="x",AND(COUNTA(B48,C48,E48,F48)&gt;0,(LEN(SUBSTITUTE(SUBSTITUTE(SUBSTITUTE(B48," ",""),"0",""),"-",""))+LEN(SUBSTITUTE(SUBSTITUTE(SUBSTITUTE(C48," ",""),"0",""),"-","")))=(LEN(SUBSTITUTE(SUBSTITUTE(SUBSTITUTE(E48," ",""),"0",""),"-",""))+LEN(SUBSTITUTE(SUBSTITUTE(SUBSTITUTE(F48," ",""),"0",""),"-",""))))),1,0)+IF(OR(D49="X",D49="x",AND(COUNTA(B49,C49,E49,F49)&gt;0,(LEN(SUBSTITUTE(SUBSTITUTE(SUBSTITUTE(B49," ",""),"0",""),"-",""))+LEN(SUBSTITUTE(SUBSTITUTE(SUBSTITUTE(C49," ",""),"0",""),"-","")))=(LEN(SUBSTITUTE(SUBSTITUTE(SUBSTITUTE(E49," ",""),"0",""),"-",""))+LEN(SUBSTITUTE(SUBSTITUTE(SUBSTITUTE(F49," ",""),"0",""),"-",""))))),1,0)),0)</f>
      </c>
      <c r="E62" s="14" t="str">
        <f>C20+C28+C44</f>
      </c>
      <c r="F62" s="14" t="str">
        <f>E20+E28+E44</f>
      </c>
    </row>
    <row r="63">
      <c r="N63" s="13"/>
      <c r="O63" s="13" t="s">
        <v>48</v>
      </c>
    </row>
    <row r="64">
      <c r="N64" t="s">
        <v>49</v>
      </c>
      <c r="O64" s="19" t="str">
        <f>IFERROR(INDEX($I$53:$I$60, MATCH(1, $O$53:$O$60, 0)), "-")</f>
      </c>
    </row>
    <row r="65">
      <c r="F65" s="13"/>
      <c r="G65" s="13" t="s">
        <v>48</v>
      </c>
      <c r="N65" t="s">
        <v>50</v>
      </c>
      <c r="O65" s="19" t="str">
        <f>IFERROR(INDEX($I$53:$I$60, MATCH(2, $O$53:$O$60, 0)), "-")</f>
      </c>
    </row>
    <row r="66">
      <c r="F66" t="s">
        <v>49</v>
      </c>
      <c r="G66" s="19" t="str">
        <f>IFERROR(INDEX($A$53:$A$62, MATCH(1, $G$53:$G$62, 0)), "-")</f>
      </c>
      <c r="N66" t="s">
        <v>51</v>
      </c>
      <c r="O66" s="19" t="str">
        <f>IFERROR(INDEX($I$53:$I$60, MATCH(3, $O$53:$O$60, 0)), "-")</f>
      </c>
    </row>
    <row r="67">
      <c r="F67" t="s">
        <v>50</v>
      </c>
      <c r="G67" s="19" t="str">
        <f>IFERROR(INDEX($A$53:$A$62, MATCH(2, $G$53:$G$62, 0)), "-")</f>
      </c>
    </row>
    <row r="68">
      <c r="F68" t="s">
        <v>51</v>
      </c>
      <c r="G68" s="19" t="str">
        <f>IFERROR(INDEX($A$53:$A$62, MATCH(3, $G$53:$G$62, 0)), "-")</f>
      </c>
    </row>
    <row r="69">
      <c r="A69" s="13" t="str">
        <f>'data'!$A$9</f>
      </c>
      <c r="B69" s="13"/>
      <c r="C69" s="13"/>
      <c r="D69" s="13"/>
      <c r="E69" s="13"/>
      <c r="F69" s="13"/>
      <c r="G69" s="13"/>
    </row>
    <row r="70">
      <c r="A70" s="17" t="s">
        <v>35</v>
      </c>
      <c r="B70" s="14"/>
      <c r="C70" s="14"/>
      <c r="D70" s="14" t="s">
        <v>36</v>
      </c>
      <c r="E70" s="14"/>
      <c r="F70" s="14"/>
      <c r="G70" s="16" t="s">
        <v>37</v>
      </c>
    </row>
    <row r="71">
      <c r="A71" s="14" t="str">
        <f>'data'!$B$8</f>
      </c>
      <c r="B71" s="14" t="str">
        <f>SUMPRODUCT((UPPER(D72:D76)&lt;&gt;"X")*((LEN(SUBSTITUTE(SUBSTITUTE(SUBSTITUTE(B72:B76," ",""),"0",""),"-",""))+LEN(SUBSTITUTE(SUBSTITUTE(SUBSTITUTE(C72:C76," ",""),"0",""),"-","")))&gt;(LEN(SUBSTITUTE(SUBSTITUTE(SUBSTITUTE(E72:E76," ",""),"0",""),"-",""))+LEN(SUBSTITUTE(SUBSTITUTE(SUBSTITUTE(F72:F76," ",""),"0",""),"-",""))))*1)</f>
      </c>
      <c r="C71" s="14" t="str">
        <f>SUMPRODUCT(LEN(SUBSTITUTE(SUBSTITUTE(SUBSTITUTE(B72:B76," ",""),"0",""),"-",""))+LEN(SUBSTITUTE(SUBSTITUTE(SUBSTITUTE(C72:C76," ",""),"0",""),"-","")))</f>
      </c>
      <c r="D71" s="18"/>
      <c r="E71" s="14" t="str">
        <f>SUMPRODUCT(LEN(SUBSTITUTE(SUBSTITUTE(SUBSTITUTE(E72:E76," ",""),"0",""),"-",""))+LEN(SUBSTITUTE(SUBSTITUTE(SUBSTITUTE(F72:F76," ",""),"0",""),"-","")))</f>
      </c>
      <c r="F71" s="14" t="str">
        <f>SUMPRODUCT((UPPER(D72:D76)&lt;&gt;"X")*((LEN(SUBSTITUTE(SUBSTITUTE(SUBSTITUTE(E72:E76," ",""),"0",""),"-",""))+LEN(SUBSTITUTE(SUBSTITUTE(SUBSTITUTE(F72:F76," ",""),"0",""),"-","")))&gt;(LEN(SUBSTITUTE(SUBSTITUTE(SUBSTITUTE(B72:B76," ",""),"0",""),"-",""))+LEN(SUBSTITUTE(SUBSTITUTE(SUBSTITUTE(C72:C76," ",""),"0",""),"-",""))))*1)</f>
      </c>
      <c r="G71" s="14" t="str">
        <f>'data'!$B$7</f>
      </c>
    </row>
    <row r="72">
      <c r="A72" s="14">
        <v>1</v>
      </c>
      <c r="B72" s="18"/>
      <c r="C72" s="18"/>
      <c r="D72" s="18"/>
      <c r="E72" s="18"/>
      <c r="F72" s="18"/>
      <c r="G72" s="14">
        <v>1</v>
      </c>
    </row>
    <row r="73">
      <c r="A73" s="14">
        <v>2</v>
      </c>
      <c r="B73" s="18"/>
      <c r="C73" s="18"/>
      <c r="D73" s="18"/>
      <c r="E73" s="18"/>
      <c r="F73" s="18"/>
      <c r="G73" s="14">
        <v>2</v>
      </c>
    </row>
    <row r="74">
      <c r="A74" s="14">
        <v>3</v>
      </c>
      <c r="B74" s="18"/>
      <c r="C74" s="18"/>
      <c r="D74" s="18"/>
      <c r="E74" s="18"/>
      <c r="F74" s="18"/>
      <c r="G74" s="14">
        <v>3</v>
      </c>
    </row>
    <row r="75">
      <c r="A75" s="14">
        <v>4</v>
      </c>
      <c r="B75" s="18"/>
      <c r="C75" s="18"/>
      <c r="D75" s="18"/>
      <c r="E75" s="18"/>
      <c r="F75" s="18"/>
      <c r="G75" s="14">
        <v>4</v>
      </c>
    </row>
    <row r="76">
      <c r="A76" s="14">
        <v>5</v>
      </c>
      <c r="B76" s="18"/>
      <c r="C76" s="18"/>
      <c r="D76" s="18"/>
      <c r="E76" s="18"/>
      <c r="F76" s="18"/>
      <c r="G76" s="14">
        <v>5</v>
      </c>
    </row>
    <row r="78">
      <c r="A78" s="17" t="s">
        <v>35</v>
      </c>
      <c r="B78" s="14"/>
      <c r="C78" s="14"/>
      <c r="D78" s="14" t="s">
        <v>36</v>
      </c>
      <c r="E78" s="14"/>
      <c r="F78" s="14"/>
      <c r="G78" s="16" t="s">
        <v>37</v>
      </c>
    </row>
    <row r="79">
      <c r="A79" s="14" t="str">
        <f>'data'!$B$9</f>
      </c>
      <c r="B79" s="14" t="str">
        <f>SUMPRODUCT((UPPER(D80:D84)&lt;&gt;"X")*((LEN(SUBSTITUTE(SUBSTITUTE(SUBSTITUTE(B80:B84," ",""),"0",""),"-",""))+LEN(SUBSTITUTE(SUBSTITUTE(SUBSTITUTE(C80:C84," ",""),"0",""),"-","")))&gt;(LEN(SUBSTITUTE(SUBSTITUTE(SUBSTITUTE(E80:E84," ",""),"0",""),"-",""))+LEN(SUBSTITUTE(SUBSTITUTE(SUBSTITUTE(F80:F84," ",""),"0",""),"-",""))))*1)</f>
      </c>
      <c r="C79" s="14" t="str">
        <f>SUMPRODUCT(LEN(SUBSTITUTE(SUBSTITUTE(SUBSTITUTE(B80:B84," ",""),"0",""),"-",""))+LEN(SUBSTITUTE(SUBSTITUTE(SUBSTITUTE(C80:C84," ",""),"0",""),"-","")))</f>
      </c>
      <c r="D79" s="18"/>
      <c r="E79" s="14" t="str">
        <f>SUMPRODUCT(LEN(SUBSTITUTE(SUBSTITUTE(SUBSTITUTE(E80:E84," ",""),"0",""),"-",""))+LEN(SUBSTITUTE(SUBSTITUTE(SUBSTITUTE(F80:F84," ",""),"0",""),"-","")))</f>
      </c>
      <c r="F79" s="14" t="str">
        <f>SUMPRODUCT((UPPER(D80:D84)&lt;&gt;"X")*((LEN(SUBSTITUTE(SUBSTITUTE(SUBSTITUTE(E80:E84," ",""),"0",""),"-",""))+LEN(SUBSTITUTE(SUBSTITUTE(SUBSTITUTE(F80:F84," ",""),"0",""),"-","")))&gt;(LEN(SUBSTITUTE(SUBSTITUTE(SUBSTITUTE(B80:B84," ",""),"0",""),"-",""))+LEN(SUBSTITUTE(SUBSTITUTE(SUBSTITUTE(C80:C84," ",""),"0",""),"-",""))))*1)</f>
      </c>
      <c r="G79" s="14" t="str">
        <f>'data'!$B$7</f>
      </c>
    </row>
    <row r="80">
      <c r="A80" s="14">
        <v>1</v>
      </c>
      <c r="B80" s="18"/>
      <c r="C80" s="18"/>
      <c r="D80" s="18"/>
      <c r="E80" s="18"/>
      <c r="F80" s="18"/>
      <c r="G80" s="14">
        <v>1</v>
      </c>
    </row>
    <row r="81">
      <c r="A81" s="14">
        <v>2</v>
      </c>
      <c r="B81" s="18"/>
      <c r="C81" s="18"/>
      <c r="D81" s="18"/>
      <c r="E81" s="18"/>
      <c r="F81" s="18"/>
      <c r="G81" s="14">
        <v>2</v>
      </c>
    </row>
    <row r="82">
      <c r="A82" s="14">
        <v>3</v>
      </c>
      <c r="B82" s="18"/>
      <c r="C82" s="18"/>
      <c r="D82" s="18"/>
      <c r="E82" s="18"/>
      <c r="F82" s="18"/>
      <c r="G82" s="14">
        <v>3</v>
      </c>
    </row>
    <row r="83">
      <c r="A83" s="14">
        <v>4</v>
      </c>
      <c r="B83" s="18"/>
      <c r="C83" s="18"/>
      <c r="D83" s="18"/>
      <c r="E83" s="18"/>
      <c r="F83" s="18"/>
      <c r="G83" s="14">
        <v>4</v>
      </c>
    </row>
    <row r="84">
      <c r="A84" s="14">
        <v>5</v>
      </c>
      <c r="B84" s="18"/>
      <c r="C84" s="18"/>
      <c r="D84" s="18"/>
      <c r="E84" s="18"/>
      <c r="F84" s="18"/>
      <c r="G84" s="14">
        <v>5</v>
      </c>
    </row>
    <row r="86">
      <c r="A86" s="17" t="s">
        <v>35</v>
      </c>
      <c r="B86" s="14"/>
      <c r="C86" s="14"/>
      <c r="D86" s="14" t="s">
        <v>36</v>
      </c>
      <c r="E86" s="14"/>
      <c r="F86" s="14"/>
      <c r="G86" s="16" t="s">
        <v>37</v>
      </c>
    </row>
    <row r="87">
      <c r="A87" s="14" t="str">
        <f>'data'!$B$9</f>
      </c>
      <c r="B87" s="14" t="str">
        <f>SUMPRODUCT((UPPER(D88:D92)&lt;&gt;"X")*((LEN(SUBSTITUTE(SUBSTITUTE(SUBSTITUTE(B88:B92," ",""),"0",""),"-",""))+LEN(SUBSTITUTE(SUBSTITUTE(SUBSTITUTE(C88:C92," ",""),"0",""),"-","")))&gt;(LEN(SUBSTITUTE(SUBSTITUTE(SUBSTITUTE(E88:E92," ",""),"0",""),"-",""))+LEN(SUBSTITUTE(SUBSTITUTE(SUBSTITUTE(F88:F92," ",""),"0",""),"-",""))))*1)</f>
      </c>
      <c r="C87" s="14" t="str">
        <f>SUMPRODUCT(LEN(SUBSTITUTE(SUBSTITUTE(SUBSTITUTE(B88:B92," ",""),"0",""),"-",""))+LEN(SUBSTITUTE(SUBSTITUTE(SUBSTITUTE(C88:C92," ",""),"0",""),"-","")))</f>
      </c>
      <c r="D87" s="18"/>
      <c r="E87" s="14" t="str">
        <f>SUMPRODUCT(LEN(SUBSTITUTE(SUBSTITUTE(SUBSTITUTE(E88:E92," ",""),"0",""),"-",""))+LEN(SUBSTITUTE(SUBSTITUTE(SUBSTITUTE(F88:F92," ",""),"0",""),"-","")))</f>
      </c>
      <c r="F87" s="14" t="str">
        <f>SUMPRODUCT((UPPER(D88:D92)&lt;&gt;"X")*((LEN(SUBSTITUTE(SUBSTITUTE(SUBSTITUTE(E88:E92," ",""),"0",""),"-",""))+LEN(SUBSTITUTE(SUBSTITUTE(SUBSTITUTE(F88:F92," ",""),"0",""),"-","")))&gt;(LEN(SUBSTITUTE(SUBSTITUTE(SUBSTITUTE(B88:B92," ",""),"0",""),"-",""))+LEN(SUBSTITUTE(SUBSTITUTE(SUBSTITUTE(C88:C92," ",""),"0",""),"-",""))))*1)</f>
      </c>
      <c r="G87" s="14" t="str">
        <f>'data'!$B$8</f>
      </c>
    </row>
    <row r="88">
      <c r="A88" s="14">
        <v>1</v>
      </c>
      <c r="B88" s="18"/>
      <c r="C88" s="18"/>
      <c r="D88" s="18"/>
      <c r="E88" s="18"/>
      <c r="F88" s="18"/>
      <c r="G88" s="14">
        <v>1</v>
      </c>
    </row>
    <row r="89">
      <c r="A89" s="14">
        <v>2</v>
      </c>
      <c r="B89" s="18"/>
      <c r="C89" s="18"/>
      <c r="D89" s="18"/>
      <c r="E89" s="18"/>
      <c r="F89" s="18"/>
      <c r="G89" s="14">
        <v>2</v>
      </c>
    </row>
    <row r="90">
      <c r="A90" s="14">
        <v>3</v>
      </c>
      <c r="B90" s="18"/>
      <c r="C90" s="18"/>
      <c r="D90" s="18"/>
      <c r="E90" s="18"/>
      <c r="F90" s="18"/>
      <c r="G90" s="14">
        <v>3</v>
      </c>
    </row>
    <row r="91">
      <c r="A91" s="14">
        <v>4</v>
      </c>
      <c r="B91" s="18"/>
      <c r="C91" s="18"/>
      <c r="D91" s="18"/>
      <c r="E91" s="18"/>
      <c r="F91" s="18"/>
      <c r="G91" s="14">
        <v>4</v>
      </c>
    </row>
    <row r="92">
      <c r="A92" s="14">
        <v>5</v>
      </c>
      <c r="B92" s="18"/>
      <c r="C92" s="18"/>
      <c r="D92" s="18"/>
      <c r="E92" s="18"/>
      <c r="F92" s="18"/>
      <c r="G92" s="14">
        <v>5</v>
      </c>
    </row>
    <row r="95">
      <c r="A95" s="13" t="s">
        <v>38</v>
      </c>
      <c r="B95" s="13" t="s">
        <v>39</v>
      </c>
      <c r="C95" s="13" t="s">
        <v>40</v>
      </c>
      <c r="D95" s="13" t="s">
        <v>41</v>
      </c>
      <c r="E95" s="13"/>
      <c r="F95" s="13"/>
      <c r="G95" s="13" t="s">
        <v>42</v>
      </c>
    </row>
    <row r="96">
      <c r="A96" s="14" t="str">
        <f>'data'!$B$7</f>
      </c>
      <c r="B96" s="14" t="str">
        <f>IF(OR(COUNTA(B72:C76,E72:F76)&gt;0,D72="X",D72="x",D73="X",D73="x",D74="X",D74="x",D75="X",D75="x",D76="X",D76="x",OR(D71="X",D71="x")),IF(OR(OR(D71="X",D71="x"),AND(B71=F71,C71=E71)),0,IF(OR(F71&gt;B71,AND(F71=B71,E71&gt;C71)),1,0)),0)+IF(OR(COUNTA(B80:C84,E80:F84)&gt;0,D80="X",D80="x",D81="X",D81="x",D82="X",D82="x",D83="X",D83="x",D84="X",D84="x",OR(D79="X",D79="x")),IF(OR(OR(D79="X",D79="x"),AND(B79=F79,C79=E79)),0,IF(OR(F79&gt;B79,AND(F79=B79,E79&gt;C79)),1,0)),0)</f>
      </c>
      <c r="C96" s="14" t="str">
        <f>IF(OR(COUNTA(B72:C76,E72:F76)&gt;0,D72="X",D72="x",D73="X",D73="x",D74="X",D74="x",D75="X",D75="x",D76="X",D76="x",OR(D71="X",D71="x")),IF(OR(OR(D71="X",D71="x"),AND(B71=F71,C71=E71)),0,IF(OR(F71&lt;B71,AND(F71=B71,E71&lt;C71)),1,0)),0)+IF(OR(COUNTA(B80:C84,E80:F84)&gt;0,D80="X",D80="x",D81="X",D81="x",D82="X",D82="x",D83="X",D83="x",D84="X",D84="x",OR(D79="X",D79="x")),IF(OR(OR(D79="X",D79="x"),AND(B79=F79,C79=E79)),0,IF(OR(F79&lt;B79,AND(F79=B79,E79&lt;C79)),1,0)),0)</f>
      </c>
      <c r="D96" s="14" t="str">
        <f>IF(OR(COUNTA(B72:C76,E72:F76)&gt;0,D72="X",D72="x",D73="X",D73="x",D74="X",D74="x",D75="X",D75="x",D76="X",D76="x",OR(D71="X",D71="x")),IF(OR(OR(D71="X",D71="x"),AND(B71=F71,C71=E71)),1,0),0)+IF(OR(COUNTA(B80:C84,E80:F84)&gt;0,D80="X",D80="x",D81="X",D81="x",D82="X",D82="x",D83="X",D83="x",D84="X",D84="x",OR(D79="X",D79="x")),IF(OR(OR(D79="X",D79="x"),AND(B79=F79,C79=E79)),1,0),0)</f>
      </c>
      <c r="G96" s="18" t="str">
        <f>RANK(U96,$U$96:$U$98)+COUNTIF($U$95:U95,U96)</f>
      </c>
      <c r="U96" t="str">
        <f>(B96*1000000000)-(C96*10000000)+(D96*100000)+(B101*1000)-(C101*100)+(D101*10)+(E101*1)-(F101*0.01)</f>
      </c>
    </row>
    <row r="97">
      <c r="A97" s="14" t="str">
        <f>'data'!$B$8</f>
      </c>
      <c r="B97" s="14" t="str">
        <f>IF(OR(COUNTA(B72:C76,E72:F76)&gt;0,D72="X",D72="x",D73="X",D73="x",D74="X",D74="x",D75="X",D75="x",D76="X",D76="x",OR(D71="X",D71="x")),IF(OR(OR(D71="X",D71="x"),AND(B71=F71,C71=E71)),0,IF(OR(B71&gt;F71,AND(B71=F71,C71&gt;E71)),1,0)),0)+IF(OR(COUNTA(B88:C92,E88:F92)&gt;0,D88="X",D88="x",D89="X",D89="x",D90="X",D90="x",D91="X",D91="x",D92="X",D92="x",OR(D87="X",D87="x")),IF(OR(OR(D87="X",D87="x"),AND(B87=F87,C87=E87)),0,IF(OR(F87&gt;B87,AND(F87=B87,E87&gt;C87)),1,0)),0)</f>
      </c>
      <c r="C97" s="14" t="str">
        <f>IF(OR(COUNTA(B72:C76,E72:F76)&gt;0,D72="X",D72="x",D73="X",D73="x",D74="X",D74="x",D75="X",D75="x",D76="X",D76="x",OR(D71="X",D71="x")),IF(OR(OR(D71="X",D71="x"),AND(B71=F71,C71=E71)),0,IF(OR(B71&lt;F71,AND(B71=F71,C71&lt;E71)),1,0)),0)+IF(OR(COUNTA(B88:C92,E88:F92)&gt;0,D88="X",D88="x",D89="X",D89="x",D90="X",D90="x",D91="X",D91="x",D92="X",D92="x",OR(D87="X",D87="x")),IF(OR(OR(D87="X",D87="x"),AND(B87=F87,C87=E87)),0,IF(OR(F87&lt;B87,AND(F87=B87,E87&lt;C87)),1,0)),0)</f>
      </c>
      <c r="D97" s="14" t="str">
        <f>IF(OR(COUNTA(B72:C76,E72:F76)&gt;0,D72="X",D72="x",D73="X",D73="x",D74="X",D74="x",D75="X",D75="x",D76="X",D76="x",OR(D71="X",D71="x")),IF(OR(OR(D71="X",D71="x"),AND(B71=F71,C71=E71)),1,0),0)+IF(OR(COUNTA(B88:C92,E88:F92)&gt;0,D88="X",D88="x",D89="X",D89="x",D90="X",D90="x",D91="X",D91="x",D92="X",D92="x",OR(D87="X",D87="x")),IF(OR(OR(D87="X",D87="x"),AND(B87=F87,C87=E87)),1,0),0)</f>
      </c>
      <c r="G97" s="18" t="str">
        <f>RANK(U97,$U$96:$U$98)+COUNTIF($U$95:U96,U97)</f>
      </c>
      <c r="U97" t="str">
        <f>(B97*1000000000)-(C97*10000000)+(D97*100000)+(B102*1000)-(C102*100)+(D102*10)+(E102*1)-(F102*0.01)</f>
      </c>
    </row>
    <row r="98">
      <c r="A98" s="14" t="str">
        <f>'data'!$B$9</f>
      </c>
      <c r="B98" s="14" t="str">
        <f>IF(OR(COUNTA(B80:C84,E80:F84)&gt;0,D80="X",D80="x",D81="X",D81="x",D82="X",D82="x",D83="X",D83="x",D84="X",D84="x",OR(D79="X",D79="x")),IF(OR(OR(D79="X",D79="x"),AND(B79=F79,C79=E79)),0,IF(OR(B79&gt;F79,AND(B79=F79,C79&gt;E79)),1,0)),0)+IF(OR(COUNTA(B88:C92,E88:F92)&gt;0,D88="X",D88="x",D89="X",D89="x",D90="X",D90="x",D91="X",D91="x",D92="X",D92="x",OR(D87="X",D87="x")),IF(OR(OR(D87="X",D87="x"),AND(B87=F87,C87=E87)),0,IF(OR(B87&gt;F87,AND(B87=F87,C87&gt;E87)),1,0)),0)</f>
      </c>
      <c r="C98" s="14" t="str">
        <f>IF(OR(COUNTA(B80:C84,E80:F84)&gt;0,D80="X",D80="x",D81="X",D81="x",D82="X",D82="x",D83="X",D83="x",D84="X",D84="x",OR(D79="X",D79="x")),IF(OR(OR(D79="X",D79="x"),AND(B79=F79,C79=E79)),0,IF(OR(B79&lt;F79,AND(B79=F79,C79&lt;E79)),1,0)),0)+IF(OR(COUNTA(B88:C92,E88:F92)&gt;0,D88="X",D88="x",D89="X",D89="x",D90="X",D90="x",D91="X",D91="x",D92="X",D92="x",OR(D87="X",D87="x")),IF(OR(OR(D87="X",D87="x"),AND(B87=F87,C87=E87)),0,IF(OR(B87&lt;F87,AND(B87=F87,C87&lt;E87)),1,0)),0)</f>
      </c>
      <c r="D98" s="14" t="str">
        <f>IF(OR(COUNTA(B80:C84,E80:F84)&gt;0,D80="X",D80="x",D81="X",D81="x",D82="X",D82="x",D83="X",D83="x",D84="X",D84="x",OR(D79="X",D79="x")),IF(OR(OR(D79="X",D79="x"),AND(B79=F79,C79=E79)),1,0),0)+IF(OR(COUNTA(B88:C92,E88:F92)&gt;0,D88="X",D88="x",D89="X",D89="x",D90="X",D90="x",D91="X",D91="x",D92="X",D92="x",OR(D87="X",D87="x")),IF(OR(OR(D87="X",D87="x"),AND(B87=F87,C87=E87)),1,0),0)</f>
      </c>
      <c r="G98" s="18" t="str">
        <f>RANK(U98,$U$96:$U$98)+COUNTIF($U$95:U97,U98)</f>
      </c>
      <c r="U98" t="str">
        <f>(B98*1000000000)-(C98*10000000)+(D98*100000)+(B103*1000)-(C103*100)+(D103*10)+(E103*1)-(F103*0.01)</f>
      </c>
    </row>
    <row r="100">
      <c r="A100" s="13"/>
      <c r="B100" s="13" t="s">
        <v>43</v>
      </c>
      <c r="C100" s="13" t="s">
        <v>44</v>
      </c>
      <c r="D100" s="13" t="s">
        <v>45</v>
      </c>
      <c r="E100" s="13" t="s">
        <v>46</v>
      </c>
      <c r="F100" s="13" t="s">
        <v>47</v>
      </c>
    </row>
    <row r="101">
      <c r="A101" s="14" t="str">
        <f>'data'!$B$7</f>
      </c>
      <c r="B101" s="14" t="str">
        <f>IF(OR(COUNTA(B72:C76,E72:F76)&gt;0,OR(D71="X",D71="x"),UPPER(D72)="X",UPPER(D73)="X",UPPER(D74)="X",UPPER(D75)="X",UPPER(D76)="X"),F71,0)+IF(OR(COUNTA(B80:C84,E80:F84)&gt;0,OR(D79="X",D79="x"),UPPER(D80)="X",UPPER(D81)="X",UPPER(D82)="X",UPPER(D83)="X",UPPER(D84)="X"),F79,0)</f>
      </c>
      <c r="C101" s="14" t="str">
        <f>IF(OR(COUNTA(B72:C76,E72:F76)&gt;0,OR(D71="X",D71="x"),UPPER(D72)="X",UPPER(D73)="X",UPPER(D74)="X",UPPER(D75)="X",UPPER(D76)="X"),B71,0)+IF(OR(COUNTA(B80:C84,E80:F84)&gt;0,OR(D79="X",D79="x"),UPPER(D80)="X",UPPER(D81)="X",UPPER(D82)="X",UPPER(D83)="X",UPPER(D84)="X"),B79,0)</f>
      </c>
      <c r="D101" s="14" t="str">
        <f>IF(OR(COUNTA(B72:C76,E72:F76)&gt;0,OR(D71="X",D71="x"),UPPER(D72)="X",UPPER(D73)="X",UPPER(D74)="X",UPPER(D75)="X",UPPER(D76)="X"),(IF(OR(D72="X",D72="x",AND(COUNTA(B72,C72,E72,F72)&gt;0,(LEN(SUBSTITUTE(SUBSTITUTE(SUBSTITUTE(B72," ",""),"0",""),"-",""))+LEN(SUBSTITUTE(SUBSTITUTE(SUBSTITUTE(C72," ",""),"0",""),"-","")))=(LEN(SUBSTITUTE(SUBSTITUTE(SUBSTITUTE(E72," ",""),"0",""),"-",""))+LEN(SUBSTITUTE(SUBSTITUTE(SUBSTITUTE(F72," ",""),"0",""),"-",""))))),1,0)+IF(OR(D73="X",D73="x",AND(COUNTA(B73,C73,E73,F73)&gt;0,(LEN(SUBSTITUTE(SUBSTITUTE(SUBSTITUTE(B73," ",""),"0",""),"-",""))+LEN(SUBSTITUTE(SUBSTITUTE(SUBSTITUTE(C73," ",""),"0",""),"-","")))=(LEN(SUBSTITUTE(SUBSTITUTE(SUBSTITUTE(E73," ",""),"0",""),"-",""))+LEN(SUBSTITUTE(SUBSTITUTE(SUBSTITUTE(F73," ",""),"0",""),"-",""))))),1,0)+IF(OR(D74="X",D74="x",AND(COUNTA(B74,C74,E74,F74)&gt;0,(LEN(SUBSTITUTE(SUBSTITUTE(SUBSTITUTE(B74," ",""),"0",""),"-",""))+LEN(SUBSTITUTE(SUBSTITUTE(SUBSTITUTE(C74," ",""),"0",""),"-","")))=(LEN(SUBSTITUTE(SUBSTITUTE(SUBSTITUTE(E74," ",""),"0",""),"-",""))+LEN(SUBSTITUTE(SUBSTITUTE(SUBSTITUTE(F74," ",""),"0",""),"-",""))))),1,0)+IF(OR(D75="X",D75="x",AND(COUNTA(B75,C75,E75,F75)&gt;0,(LEN(SUBSTITUTE(SUBSTITUTE(SUBSTITUTE(B75," ",""),"0",""),"-",""))+LEN(SUBSTITUTE(SUBSTITUTE(SUBSTITUTE(C75," ",""),"0",""),"-","")))=(LEN(SUBSTITUTE(SUBSTITUTE(SUBSTITUTE(E75," ",""),"0",""),"-",""))+LEN(SUBSTITUTE(SUBSTITUTE(SUBSTITUTE(F75," ",""),"0",""),"-",""))))),1,0)+IF(OR(D76="X",D76="x",AND(COUNTA(B76,C76,E76,F76)&gt;0,(LEN(SUBSTITUTE(SUBSTITUTE(SUBSTITUTE(B76," ",""),"0",""),"-",""))+LEN(SUBSTITUTE(SUBSTITUTE(SUBSTITUTE(C76," ",""),"0",""),"-","")))=(LEN(SUBSTITUTE(SUBSTITUTE(SUBSTITUTE(E76," ",""),"0",""),"-",""))+LEN(SUBSTITUTE(SUBSTITUTE(SUBSTITUTE(F76," ",""),"0",""),"-",""))))),1,0)),0)+IF(OR(COUNTA(B80:C84,E80:F84)&gt;0,OR(D79="X",D79="x"),UPPER(D80)="X",UPPER(D81)="X",UPPER(D82)="X",UPPER(D83)="X",UPPER(D84)="X"),(IF(OR(D80="X",D80="x",AND(COUNTA(B80,C80,E80,F80)&gt;0,(LEN(SUBSTITUTE(SUBSTITUTE(SUBSTITUTE(B80," ",""),"0",""),"-",""))+LEN(SUBSTITUTE(SUBSTITUTE(SUBSTITUTE(C80," ",""),"0",""),"-","")))=(LEN(SUBSTITUTE(SUBSTITUTE(SUBSTITUTE(E80," ",""),"0",""),"-",""))+LEN(SUBSTITUTE(SUBSTITUTE(SUBSTITUTE(F80," ",""),"0",""),"-",""))))),1,0)+IF(OR(D81="X",D81="x",AND(COUNTA(B81,C81,E81,F81)&gt;0,(LEN(SUBSTITUTE(SUBSTITUTE(SUBSTITUTE(B81," ",""),"0",""),"-",""))+LEN(SUBSTITUTE(SUBSTITUTE(SUBSTITUTE(C81," ",""),"0",""),"-","")))=(LEN(SUBSTITUTE(SUBSTITUTE(SUBSTITUTE(E81," ",""),"0",""),"-",""))+LEN(SUBSTITUTE(SUBSTITUTE(SUBSTITUTE(F81," ",""),"0",""),"-",""))))),1,0)+IF(OR(D82="X",D82="x",AND(COUNTA(B82,C82,E82,F82)&gt;0,(LEN(SUBSTITUTE(SUBSTITUTE(SUBSTITUTE(B82," ",""),"0",""),"-",""))+LEN(SUBSTITUTE(SUBSTITUTE(SUBSTITUTE(C82," ",""),"0",""),"-","")))=(LEN(SUBSTITUTE(SUBSTITUTE(SUBSTITUTE(E82," ",""),"0",""),"-",""))+LEN(SUBSTITUTE(SUBSTITUTE(SUBSTITUTE(F82," ",""),"0",""),"-",""))))),1,0)+IF(OR(D83="X",D83="x",AND(COUNTA(B83,C83,E83,F83)&gt;0,(LEN(SUBSTITUTE(SUBSTITUTE(SUBSTITUTE(B83," ",""),"0",""),"-",""))+LEN(SUBSTITUTE(SUBSTITUTE(SUBSTITUTE(C83," ",""),"0",""),"-","")))=(LEN(SUBSTITUTE(SUBSTITUTE(SUBSTITUTE(E83," ",""),"0",""),"-",""))+LEN(SUBSTITUTE(SUBSTITUTE(SUBSTITUTE(F83," ",""),"0",""),"-",""))))),1,0)+IF(OR(D84="X",D84="x",AND(COUNTA(B84,C84,E84,F84)&gt;0,(LEN(SUBSTITUTE(SUBSTITUTE(SUBSTITUTE(B84," ",""),"0",""),"-",""))+LEN(SUBSTITUTE(SUBSTITUTE(SUBSTITUTE(C84," ",""),"0",""),"-","")))=(LEN(SUBSTITUTE(SUBSTITUTE(SUBSTITUTE(E84," ",""),"0",""),"-",""))+LEN(SUBSTITUTE(SUBSTITUTE(SUBSTITUTE(F84," ",""),"0",""),"-",""))))),1,0)),0)</f>
      </c>
      <c r="E101" s="14" t="str">
        <f>E71+E79</f>
      </c>
      <c r="F101" s="14" t="str">
        <f>C71+C79</f>
      </c>
    </row>
    <row r="102">
      <c r="A102" s="14" t="str">
        <f>'data'!$B$8</f>
      </c>
      <c r="B102" s="14" t="str">
        <f>IF(OR(COUNTA(B72:C76,E72:F76)&gt;0,OR(D71="X",D71="x"),UPPER(D72)="X",UPPER(D73)="X",UPPER(D74)="X",UPPER(D75)="X",UPPER(D76)="X"),B71,0)+IF(OR(COUNTA(B88:C92,E88:F92)&gt;0,OR(D87="X",D87="x"),UPPER(D88)="X",UPPER(D89)="X",UPPER(D90)="X",UPPER(D91)="X",UPPER(D92)="X"),F87,0)</f>
      </c>
      <c r="C102" s="14" t="str">
        <f>IF(OR(COUNTA(B72:C76,E72:F76)&gt;0,OR(D71="X",D71="x"),UPPER(D72)="X",UPPER(D73)="X",UPPER(D74)="X",UPPER(D75)="X",UPPER(D76)="X"),F71,0)+IF(OR(COUNTA(B88:C92,E88:F92)&gt;0,OR(D87="X",D87="x"),UPPER(D88)="X",UPPER(D89)="X",UPPER(D90)="X",UPPER(D91)="X",UPPER(D92)="X"),B87,0)</f>
      </c>
      <c r="D102" s="14" t="str">
        <f>IF(OR(COUNTA(B72:C76,E72:F76)&gt;0,OR(D71="X",D71="x"),UPPER(D72)="X",UPPER(D73)="X",UPPER(D74)="X",UPPER(D75)="X",UPPER(D76)="X"),(IF(OR(D72="X",D72="x",AND(COUNTA(B72,C72,E72,F72)&gt;0,(LEN(SUBSTITUTE(SUBSTITUTE(SUBSTITUTE(B72," ",""),"0",""),"-",""))+LEN(SUBSTITUTE(SUBSTITUTE(SUBSTITUTE(C72," ",""),"0",""),"-","")))=(LEN(SUBSTITUTE(SUBSTITUTE(SUBSTITUTE(E72," ",""),"0",""),"-",""))+LEN(SUBSTITUTE(SUBSTITUTE(SUBSTITUTE(F72," ",""),"0",""),"-",""))))),1,0)+IF(OR(D73="X",D73="x",AND(COUNTA(B73,C73,E73,F73)&gt;0,(LEN(SUBSTITUTE(SUBSTITUTE(SUBSTITUTE(B73," ",""),"0",""),"-",""))+LEN(SUBSTITUTE(SUBSTITUTE(SUBSTITUTE(C73," ",""),"0",""),"-","")))=(LEN(SUBSTITUTE(SUBSTITUTE(SUBSTITUTE(E73," ",""),"0",""),"-",""))+LEN(SUBSTITUTE(SUBSTITUTE(SUBSTITUTE(F73," ",""),"0",""),"-",""))))),1,0)+IF(OR(D74="X",D74="x",AND(COUNTA(B74,C74,E74,F74)&gt;0,(LEN(SUBSTITUTE(SUBSTITUTE(SUBSTITUTE(B74," ",""),"0",""),"-",""))+LEN(SUBSTITUTE(SUBSTITUTE(SUBSTITUTE(C74," ",""),"0",""),"-","")))=(LEN(SUBSTITUTE(SUBSTITUTE(SUBSTITUTE(E74," ",""),"0",""),"-",""))+LEN(SUBSTITUTE(SUBSTITUTE(SUBSTITUTE(F74," ",""),"0",""),"-",""))))),1,0)+IF(OR(D75="X",D75="x",AND(COUNTA(B75,C75,E75,F75)&gt;0,(LEN(SUBSTITUTE(SUBSTITUTE(SUBSTITUTE(B75," ",""),"0",""),"-",""))+LEN(SUBSTITUTE(SUBSTITUTE(SUBSTITUTE(C75," ",""),"0",""),"-","")))=(LEN(SUBSTITUTE(SUBSTITUTE(SUBSTITUTE(E75," ",""),"0",""),"-",""))+LEN(SUBSTITUTE(SUBSTITUTE(SUBSTITUTE(F75," ",""),"0",""),"-",""))))),1,0)+IF(OR(D76="X",D76="x",AND(COUNTA(B76,C76,E76,F76)&gt;0,(LEN(SUBSTITUTE(SUBSTITUTE(SUBSTITUTE(B76," ",""),"0",""),"-",""))+LEN(SUBSTITUTE(SUBSTITUTE(SUBSTITUTE(C76," ",""),"0",""),"-","")))=(LEN(SUBSTITUTE(SUBSTITUTE(SUBSTITUTE(E76," ",""),"0",""),"-",""))+LEN(SUBSTITUTE(SUBSTITUTE(SUBSTITUTE(F76," ",""),"0",""),"-",""))))),1,0)),0)+IF(OR(COUNTA(B88:C92,E88:F92)&gt;0,OR(D87="X",D87="x"),UPPER(D88)="X",UPPER(D89)="X",UPPER(D90)="X",UPPER(D91)="X",UPPER(D92)="X"),(IF(OR(D88="X",D88="x",AND(COUNTA(B88,C88,E88,F88)&gt;0,(LEN(SUBSTITUTE(SUBSTITUTE(SUBSTITUTE(B88," ",""),"0",""),"-",""))+LEN(SUBSTITUTE(SUBSTITUTE(SUBSTITUTE(C88," ",""),"0",""),"-","")))=(LEN(SUBSTITUTE(SUBSTITUTE(SUBSTITUTE(E88," ",""),"0",""),"-",""))+LEN(SUBSTITUTE(SUBSTITUTE(SUBSTITUTE(F88," ",""),"0",""),"-",""))))),1,0)+IF(OR(D89="X",D89="x",AND(COUNTA(B89,C89,E89,F89)&gt;0,(LEN(SUBSTITUTE(SUBSTITUTE(SUBSTITUTE(B89," ",""),"0",""),"-",""))+LEN(SUBSTITUTE(SUBSTITUTE(SUBSTITUTE(C89," ",""),"0",""),"-","")))=(LEN(SUBSTITUTE(SUBSTITUTE(SUBSTITUTE(E89," ",""),"0",""),"-",""))+LEN(SUBSTITUTE(SUBSTITUTE(SUBSTITUTE(F89," ",""),"0",""),"-",""))))),1,0)+IF(OR(D90="X",D90="x",AND(COUNTA(B90,C90,E90,F90)&gt;0,(LEN(SUBSTITUTE(SUBSTITUTE(SUBSTITUTE(B90," ",""),"0",""),"-",""))+LEN(SUBSTITUTE(SUBSTITUTE(SUBSTITUTE(C90," ",""),"0",""),"-","")))=(LEN(SUBSTITUTE(SUBSTITUTE(SUBSTITUTE(E90," ",""),"0",""),"-",""))+LEN(SUBSTITUTE(SUBSTITUTE(SUBSTITUTE(F90," ",""),"0",""),"-",""))))),1,0)+IF(OR(D91="X",D91="x",AND(COUNTA(B91,C91,E91,F91)&gt;0,(LEN(SUBSTITUTE(SUBSTITUTE(SUBSTITUTE(B91," ",""),"0",""),"-",""))+LEN(SUBSTITUTE(SUBSTITUTE(SUBSTITUTE(C91," ",""),"0",""),"-","")))=(LEN(SUBSTITUTE(SUBSTITUTE(SUBSTITUTE(E91," ",""),"0",""),"-",""))+LEN(SUBSTITUTE(SUBSTITUTE(SUBSTITUTE(F91," ",""),"0",""),"-",""))))),1,0)+IF(OR(D92="X",D92="x",AND(COUNTA(B92,C92,E92,F92)&gt;0,(LEN(SUBSTITUTE(SUBSTITUTE(SUBSTITUTE(B92," ",""),"0",""),"-",""))+LEN(SUBSTITUTE(SUBSTITUTE(SUBSTITUTE(C92," ",""),"0",""),"-","")))=(LEN(SUBSTITUTE(SUBSTITUTE(SUBSTITUTE(E92," ",""),"0",""),"-",""))+LEN(SUBSTITUTE(SUBSTITUTE(SUBSTITUTE(F92," ",""),"0",""),"-",""))))),1,0)),0)</f>
      </c>
      <c r="E102" s="14" t="str">
        <f>C71+E87</f>
      </c>
      <c r="F102" s="14" t="str">
        <f>E71+C87</f>
      </c>
    </row>
    <row r="103">
      <c r="A103" s="14" t="str">
        <f>'data'!$B$9</f>
      </c>
      <c r="B103" s="14" t="str">
        <f>IF(OR(COUNTA(B80:C84,E80:F84)&gt;0,OR(D79="X",D79="x"),UPPER(D80)="X",UPPER(D81)="X",UPPER(D82)="X",UPPER(D83)="X",UPPER(D84)="X"),B79,0)+IF(OR(COUNTA(B88:C92,E88:F92)&gt;0,OR(D87="X",D87="x"),UPPER(D88)="X",UPPER(D89)="X",UPPER(D90)="X",UPPER(D91)="X",UPPER(D92)="X"),B87,0)</f>
      </c>
      <c r="C103" s="14" t="str">
        <f>IF(OR(COUNTA(B80:C84,E80:F84)&gt;0,OR(D79="X",D79="x"),UPPER(D80)="X",UPPER(D81)="X",UPPER(D82)="X",UPPER(D83)="X",UPPER(D84)="X"),F79,0)+IF(OR(COUNTA(B88:C92,E88:F92)&gt;0,OR(D87="X",D87="x"),UPPER(D88)="X",UPPER(D89)="X",UPPER(D90)="X",UPPER(D91)="X",UPPER(D92)="X"),F87,0)</f>
      </c>
      <c r="D103" s="14" t="str">
        <f>IF(OR(COUNTA(B80:C84,E80:F84)&gt;0,OR(D79="X",D79="x"),UPPER(D80)="X",UPPER(D81)="X",UPPER(D82)="X",UPPER(D83)="X",UPPER(D84)="X"),(IF(OR(D80="X",D80="x",AND(COUNTA(B80,C80,E80,F80)&gt;0,(LEN(SUBSTITUTE(SUBSTITUTE(SUBSTITUTE(B80," ",""),"0",""),"-",""))+LEN(SUBSTITUTE(SUBSTITUTE(SUBSTITUTE(C80," ",""),"0",""),"-","")))=(LEN(SUBSTITUTE(SUBSTITUTE(SUBSTITUTE(E80," ",""),"0",""),"-",""))+LEN(SUBSTITUTE(SUBSTITUTE(SUBSTITUTE(F80," ",""),"0",""),"-",""))))),1,0)+IF(OR(D81="X",D81="x",AND(COUNTA(B81,C81,E81,F81)&gt;0,(LEN(SUBSTITUTE(SUBSTITUTE(SUBSTITUTE(B81," ",""),"0",""),"-",""))+LEN(SUBSTITUTE(SUBSTITUTE(SUBSTITUTE(C81," ",""),"0",""),"-","")))=(LEN(SUBSTITUTE(SUBSTITUTE(SUBSTITUTE(E81," ",""),"0",""),"-",""))+LEN(SUBSTITUTE(SUBSTITUTE(SUBSTITUTE(F81," ",""),"0",""),"-",""))))),1,0)+IF(OR(D82="X",D82="x",AND(COUNTA(B82,C82,E82,F82)&gt;0,(LEN(SUBSTITUTE(SUBSTITUTE(SUBSTITUTE(B82," ",""),"0",""),"-",""))+LEN(SUBSTITUTE(SUBSTITUTE(SUBSTITUTE(C82," ",""),"0",""),"-","")))=(LEN(SUBSTITUTE(SUBSTITUTE(SUBSTITUTE(E82," ",""),"0",""),"-",""))+LEN(SUBSTITUTE(SUBSTITUTE(SUBSTITUTE(F82," ",""),"0",""),"-",""))))),1,0)+IF(OR(D83="X",D83="x",AND(COUNTA(B83,C83,E83,F83)&gt;0,(LEN(SUBSTITUTE(SUBSTITUTE(SUBSTITUTE(B83," ",""),"0",""),"-",""))+LEN(SUBSTITUTE(SUBSTITUTE(SUBSTITUTE(C83," ",""),"0",""),"-","")))=(LEN(SUBSTITUTE(SUBSTITUTE(SUBSTITUTE(E83," ",""),"0",""),"-",""))+LEN(SUBSTITUTE(SUBSTITUTE(SUBSTITUTE(F83," ",""),"0",""),"-",""))))),1,0)+IF(OR(D84="X",D84="x",AND(COUNTA(B84,C84,E84,F84)&gt;0,(LEN(SUBSTITUTE(SUBSTITUTE(SUBSTITUTE(B84," ",""),"0",""),"-",""))+LEN(SUBSTITUTE(SUBSTITUTE(SUBSTITUTE(C84," ",""),"0",""),"-","")))=(LEN(SUBSTITUTE(SUBSTITUTE(SUBSTITUTE(E84," ",""),"0",""),"-",""))+LEN(SUBSTITUTE(SUBSTITUTE(SUBSTITUTE(F84," ",""),"0",""),"-",""))))),1,0)),0)+IF(OR(COUNTA(B88:C92,E88:F92)&gt;0,OR(D87="X",D87="x"),UPPER(D88)="X",UPPER(D89)="X",UPPER(D90)="X",UPPER(D91)="X",UPPER(D92)="X"),(IF(OR(D88="X",D88="x",AND(COUNTA(B88,C88,E88,F88)&gt;0,(LEN(SUBSTITUTE(SUBSTITUTE(SUBSTITUTE(B88," ",""),"0",""),"-",""))+LEN(SUBSTITUTE(SUBSTITUTE(SUBSTITUTE(C88," ",""),"0",""),"-","")))=(LEN(SUBSTITUTE(SUBSTITUTE(SUBSTITUTE(E88," ",""),"0",""),"-",""))+LEN(SUBSTITUTE(SUBSTITUTE(SUBSTITUTE(F88," ",""),"0",""),"-",""))))),1,0)+IF(OR(D89="X",D89="x",AND(COUNTA(B89,C89,E89,F89)&gt;0,(LEN(SUBSTITUTE(SUBSTITUTE(SUBSTITUTE(B89," ",""),"0",""),"-",""))+LEN(SUBSTITUTE(SUBSTITUTE(SUBSTITUTE(C89," ",""),"0",""),"-","")))=(LEN(SUBSTITUTE(SUBSTITUTE(SUBSTITUTE(E89," ",""),"0",""),"-",""))+LEN(SUBSTITUTE(SUBSTITUTE(SUBSTITUTE(F89," ",""),"0",""),"-",""))))),1,0)+IF(OR(D90="X",D90="x",AND(COUNTA(B90,C90,E90,F90)&gt;0,(LEN(SUBSTITUTE(SUBSTITUTE(SUBSTITUTE(B90," ",""),"0",""),"-",""))+LEN(SUBSTITUTE(SUBSTITUTE(SUBSTITUTE(C90," ",""),"0",""),"-","")))=(LEN(SUBSTITUTE(SUBSTITUTE(SUBSTITUTE(E90," ",""),"0",""),"-",""))+LEN(SUBSTITUTE(SUBSTITUTE(SUBSTITUTE(F90," ",""),"0",""),"-",""))))),1,0)+IF(OR(D91="X",D91="x",AND(COUNTA(B91,C91,E91,F91)&gt;0,(LEN(SUBSTITUTE(SUBSTITUTE(SUBSTITUTE(B91," ",""),"0",""),"-",""))+LEN(SUBSTITUTE(SUBSTITUTE(SUBSTITUTE(C91," ",""),"0",""),"-","")))=(LEN(SUBSTITUTE(SUBSTITUTE(SUBSTITUTE(E91," ",""),"0",""),"-",""))+LEN(SUBSTITUTE(SUBSTITUTE(SUBSTITUTE(F91," ",""),"0",""),"-",""))))),1,0)+IF(OR(D92="X",D92="x",AND(COUNTA(B92,C92,E92,F92)&gt;0,(LEN(SUBSTITUTE(SUBSTITUTE(SUBSTITUTE(B92," ",""),"0",""),"-",""))+LEN(SUBSTITUTE(SUBSTITUTE(SUBSTITUTE(C92," ",""),"0",""),"-","")))=(LEN(SUBSTITUTE(SUBSTITUTE(SUBSTITUTE(E92," ",""),"0",""),"-",""))+LEN(SUBSTITUTE(SUBSTITUTE(SUBSTITUTE(F92," ",""),"0",""),"-",""))))),1,0)),0)</f>
      </c>
      <c r="E103" s="14" t="str">
        <f>C79+C87</f>
      </c>
      <c r="F103" s="14" t="str">
        <f>E79+E87</f>
      </c>
    </row>
    <row r="106">
      <c r="F106" s="13"/>
      <c r="G106" s="13" t="s">
        <v>48</v>
      </c>
    </row>
    <row r="107">
      <c r="F107" t="s">
        <v>49</v>
      </c>
      <c r="G107" s="19" t="str">
        <f>IFERROR(INDEX($A$96:$A$103, MATCH(1, $G$96:$G$103, 0)), "-")</f>
      </c>
    </row>
    <row r="108">
      <c r="F108" t="s">
        <v>50</v>
      </c>
      <c r="G108" s="19" t="str">
        <f>IFERROR(INDEX($A$96:$A$103, MATCH(2, $G$96:$G$103, 0)), "-")</f>
      </c>
    </row>
    <row r="109">
      <c r="F109" t="s">
        <v>51</v>
      </c>
      <c r="G109" s="19" t="str">
        <f>IFERROR(INDEX($A$96:$A$103, MATCH(3, $G$96:$G$103, 0)), "-")</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5">
    <mergeCell ref="A1:G1"/>
    <mergeCell ref="I1:O1"/>
    <mergeCell ref="A2:G2"/>
    <mergeCell ref="I2:O2"/>
    <mergeCell ref="A69:G69"/>
  </mergeCells>
  <printOptions horizontalCentered="true" verticalCentered="true"/>
  <pageSetup fitToHeight="0" fitToWidth="2" orientation="portrait" pageOrder="downThenOver" paperSize="9"/>
  <rowBreaks count="3" manualBreakCount="3">
    <brk id="1" max="16383" man="true"/>
    <brk id="44" max="16383" man="true"/>
    <brk id="68" max="16383" man="true"/>
  </rowBreaks>
  <colBreaks count="1" manualBreakCount="1">
    <brk id="8" max="1048575" man="true"/>
  </colBreaks>
</worksheet>
</file>

<file path=xl/worksheets/sheet5.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0"/>
    <col customWidth="true" max="14" min="10" width="5"/>
    <col customWidth="true" max="15" min="15" width="30"/>
    <col customWidth="true" max="16" min="16" width="5"/>
    <col customWidth="true" max="20" min="17" width="10.83"/>
  </cols>
  <sheetData>
    <row r="1">
      <c r="A1" s="13" t="s">
        <v>33</v>
      </c>
      <c r="B1" s="13"/>
      <c r="C1" s="13"/>
      <c r="D1" s="13"/>
      <c r="E1" s="13"/>
      <c r="F1" s="13"/>
      <c r="G1" s="13"/>
      <c r="I1" s="13" t="s">
        <v>34</v>
      </c>
      <c r="J1" s="13"/>
      <c r="K1" s="13"/>
      <c r="L1" s="13"/>
      <c r="M1" s="13"/>
      <c r="N1" s="13"/>
      <c r="O1" s="13"/>
    </row>
    <row r="2">
      <c r="A2" s="13" t="s">
        <v>63</v>
      </c>
      <c r="B2" s="13"/>
      <c r="C2" s="13"/>
      <c r="D2" s="13"/>
      <c r="E2" s="13"/>
      <c r="F2" s="13"/>
      <c r="G2" s="13"/>
      <c r="I2" s="13" t="s">
        <v>65</v>
      </c>
      <c r="J2" s="13"/>
      <c r="K2" s="13"/>
      <c r="L2" s="13"/>
      <c r="M2" s="13"/>
      <c r="N2" s="13"/>
      <c r="O2" s="13"/>
    </row>
    <row r="3">
      <c r="A3" s="17" t="s">
        <v>35</v>
      </c>
      <c r="D3" s="14" t="s">
        <v>36</v>
      </c>
      <c r="G3" s="16" t="s">
        <v>37</v>
      </c>
      <c r="I3" s="17" t="s">
        <v>35</v>
      </c>
      <c r="L3" s="14" t="s">
        <v>36</v>
      </c>
      <c r="O3" s="16" t="s">
        <v>37</v>
      </c>
    </row>
    <row r="4">
      <c r="A4" s="14" t="str">
        <f>CONCATENATE("Pool B-2nd ",'Pool Matches'!G108)</f>
      </c>
      <c r="B4" s="14"/>
      <c r="C4" s="14"/>
      <c r="D4" s="18"/>
      <c r="E4" s="14"/>
      <c r="F4" s="14"/>
      <c r="G4" s="14" t="str">
        <f>CONCATENATE("Pool C-1st ",'Pool Matches'!O64)</f>
      </c>
      <c r="I4" s="14" t="str">
        <f>CONCATENATE("Pool C-2nd ",'Pool Matches'!O65)</f>
      </c>
      <c r="J4" s="14"/>
      <c r="K4" s="14"/>
      <c r="L4" s="18"/>
      <c r="M4" s="14"/>
      <c r="N4" s="14"/>
      <c r="O4" s="14" t="str">
        <f>CONCATENATE("Pool A-2nd ",'Pool Matches'!G67)</f>
      </c>
    </row>
    <row r="5">
      <c r="A5" s="14">
        <v>1</v>
      </c>
      <c r="B5" s="18"/>
      <c r="C5" s="18"/>
      <c r="D5" s="18"/>
      <c r="E5" s="18"/>
      <c r="F5" s="18"/>
      <c r="G5" s="14">
        <v>1</v>
      </c>
      <c r="I5" s="14">
        <v>1</v>
      </c>
      <c r="J5" s="18"/>
      <c r="K5" s="18"/>
      <c r="L5" s="18"/>
      <c r="M5" s="18"/>
      <c r="N5" s="18"/>
      <c r="O5" s="14">
        <v>1</v>
      </c>
    </row>
    <row r="6">
      <c r="A6" s="14">
        <v>2</v>
      </c>
      <c r="B6" s="18"/>
      <c r="C6" s="18"/>
      <c r="D6" s="18"/>
      <c r="E6" s="18"/>
      <c r="F6" s="18"/>
      <c r="G6" s="14">
        <v>2</v>
      </c>
      <c r="I6" s="14">
        <v>2</v>
      </c>
      <c r="J6" s="18"/>
      <c r="K6" s="18"/>
      <c r="L6" s="18"/>
      <c r="M6" s="18"/>
      <c r="N6" s="18"/>
      <c r="O6" s="14">
        <v>2</v>
      </c>
    </row>
    <row r="7">
      <c r="A7" s="14">
        <v>3</v>
      </c>
      <c r="B7" s="18"/>
      <c r="C7" s="18"/>
      <c r="D7" s="18"/>
      <c r="E7" s="18"/>
      <c r="F7" s="18"/>
      <c r="G7" s="14">
        <v>3</v>
      </c>
      <c r="I7" s="14">
        <v>3</v>
      </c>
      <c r="J7" s="18"/>
      <c r="K7" s="18"/>
      <c r="L7" s="18"/>
      <c r="M7" s="18"/>
      <c r="N7" s="18"/>
      <c r="O7" s="14">
        <v>3</v>
      </c>
    </row>
    <row r="8">
      <c r="A8" s="14">
        <v>4</v>
      </c>
      <c r="B8" s="18"/>
      <c r="C8" s="18"/>
      <c r="D8" s="18"/>
      <c r="E8" s="18"/>
      <c r="F8" s="18"/>
      <c r="G8" s="14">
        <v>4</v>
      </c>
      <c r="I8" s="14">
        <v>4</v>
      </c>
      <c r="J8" s="18"/>
      <c r="K8" s="18"/>
      <c r="L8" s="18"/>
      <c r="M8" s="18"/>
      <c r="N8" s="18"/>
      <c r="O8" s="14">
        <v>4</v>
      </c>
    </row>
    <row r="9">
      <c r="A9" s="14">
        <v>5</v>
      </c>
      <c r="B9" s="18"/>
      <c r="C9" s="18"/>
      <c r="D9" s="18"/>
      <c r="E9" s="18"/>
      <c r="F9" s="18"/>
      <c r="G9" s="14">
        <v>5</v>
      </c>
      <c r="I9" s="14">
        <v>5</v>
      </c>
      <c r="J9" s="18"/>
      <c r="K9" s="18"/>
      <c r="L9" s="18"/>
      <c r="M9" s="18"/>
      <c r="N9" s="18"/>
      <c r="O9" s="14">
        <v>5</v>
      </c>
    </row>
    <row r="11">
      <c r="A11" s="14" t="str">
        <f>CONCATENATE("Pool B-2nd ",'Pool Matches'!G108)</f>
      </c>
      <c r="B11" s="14" t="s">
        <v>43</v>
      </c>
      <c r="C11" s="14" t="s">
        <v>46</v>
      </c>
      <c r="D11" s="14"/>
      <c r="E11" s="14" t="s">
        <v>46</v>
      </c>
      <c r="F11" s="14" t="s">
        <v>43</v>
      </c>
      <c r="G11" s="14" t="str">
        <f>CONCATENATE("Pool C-1st ",'Pool Matches'!O64)</f>
      </c>
      <c r="I11" s="14" t="str">
        <f>CONCATENATE("Pool C-2nd ",'Pool Matches'!O65)</f>
      </c>
      <c r="J11" s="14" t="s">
        <v>43</v>
      </c>
      <c r="K11" s="14" t="s">
        <v>46</v>
      </c>
      <c r="L11" s="14"/>
      <c r="M11" s="14" t="s">
        <v>46</v>
      </c>
      <c r="N11" s="14" t="s">
        <v>43</v>
      </c>
      <c r="O11" s="14" t="str">
        <f>CONCATENATE("Pool A-2nd ",'Pool Matches'!G67)</f>
      </c>
    </row>
    <row r="12">
      <c r="A12" s="14" t="s">
        <v>64</v>
      </c>
      <c r="B12" s="14" t="str">
        <f>SUMPRODUCT((UPPER(D5:D9)&lt;&gt;"X")*((LEN(SUBSTITUTE(SUBSTITUTE(SUBSTITUTE(B5:B9," ",""),"0",""),"-",""))+LEN(SUBSTITUTE(SUBSTITUTE(SUBSTITUTE(C5:C9," ",""),"0",""),"-","")))&gt;(LEN(SUBSTITUTE(SUBSTITUTE(SUBSTITUTE(E5:E9," ",""),"0",""),"-",""))+LEN(SUBSTITUTE(SUBSTITUTE(SUBSTITUTE(F5:F9," ",""),"0",""),"-",""))))*1)</f>
      </c>
      <c r="C12" s="14" t="str">
        <f>SUMPRODUCT(LEN(SUBSTITUTE(SUBSTITUTE(SUBSTITUTE(B5:B9," ",""),"0",""),"-",""))+LEN(SUBSTITUTE(SUBSTITUTE(SUBSTITUTE(C5:C9," ",""),"0",""),"-","")))</f>
      </c>
      <c r="D12" s="14"/>
      <c r="E12" s="14" t="str">
        <f>SUMPRODUCT(LEN(SUBSTITUTE(SUBSTITUTE(SUBSTITUTE(E5:E9," ",""),"0",""),"-",""))+LEN(SUBSTITUTE(SUBSTITUTE(SUBSTITUTE(F5:F9," ",""),"0",""),"-","")))</f>
      </c>
      <c r="F12" s="14" t="str">
        <f>SUMPRODUCT((UPPER(D5:D9)&lt;&gt;"X")*((LEN(SUBSTITUTE(SUBSTITUTE(SUBSTITUTE(E5:E9," ",""),"0",""),"-",""))+LEN(SUBSTITUTE(SUBSTITUTE(SUBSTITUTE(F5:F9," ",""),"0",""),"-","")))&gt;(LEN(SUBSTITUTE(SUBSTITUTE(SUBSTITUTE(B5:B9," ",""),"0",""),"-",""))+LEN(SUBSTITUTE(SUBSTITUTE(SUBSTITUTE(C5:C9," ",""),"0",""),"-",""))))*1)</f>
      </c>
      <c r="G12" s="14" t="s">
        <v>64</v>
      </c>
      <c r="I12" s="14" t="s">
        <v>64</v>
      </c>
      <c r="J12" s="14" t="str">
        <f>SUMPRODUCT((UPPER(L5:L9)&lt;&gt;"X")*((LEN(SUBSTITUTE(SUBSTITUTE(SUBSTITUTE(J5:J9," ",""),"0",""),"-",""))+LEN(SUBSTITUTE(SUBSTITUTE(SUBSTITUTE(K5:K9," ",""),"0",""),"-","")))&gt;(LEN(SUBSTITUTE(SUBSTITUTE(SUBSTITUTE(M5:M9," ",""),"0",""),"-",""))+LEN(SUBSTITUTE(SUBSTITUTE(SUBSTITUTE(N5:N9," ",""),"0",""),"-",""))))*1)</f>
      </c>
      <c r="K12" s="14" t="str">
        <f>SUMPRODUCT(LEN(SUBSTITUTE(SUBSTITUTE(SUBSTITUTE(J5:J9," ",""),"0",""),"-",""))+LEN(SUBSTITUTE(SUBSTITUTE(SUBSTITUTE(K5:K9," ",""),"0",""),"-","")))</f>
      </c>
      <c r="L12" s="14"/>
      <c r="M12" s="14" t="str">
        <f>SUMPRODUCT(LEN(SUBSTITUTE(SUBSTITUTE(SUBSTITUTE(M5:M9," ",""),"0",""),"-",""))+LEN(SUBSTITUTE(SUBSTITUTE(SUBSTITUTE(N5:N9," ",""),"0",""),"-","")))</f>
      </c>
      <c r="N12" s="14" t="str">
        <f>SUMPRODUCT((UPPER(L5:L9)&lt;&gt;"X")*((LEN(SUBSTITUTE(SUBSTITUTE(SUBSTITUTE(M5:M9," ",""),"0",""),"-",""))+LEN(SUBSTITUTE(SUBSTITUTE(SUBSTITUTE(N5:N9," ",""),"0",""),"-","")))&gt;(LEN(SUBSTITUTE(SUBSTITUTE(SUBSTITUTE(J5:J9," ",""),"0",""),"-",""))+LEN(SUBSTITUTE(SUBSTITUTE(SUBSTITUTE(K5:K9," ",""),"0",""),"-",""))))*1)</f>
      </c>
      <c r="O12" s="14" t="s">
        <v>64</v>
      </c>
    </row>
    <row r="15">
      <c r="F15" t="s">
        <v>49</v>
      </c>
      <c r="G15" s="19"/>
      <c r="N15" t="s">
        <v>49</v>
      </c>
      <c r="O15" s="19"/>
    </row>
    <row r="16">
      <c r="F16" t="s">
        <v>50</v>
      </c>
      <c r="G16" s="19"/>
      <c r="N16" t="s">
        <v>50</v>
      </c>
      <c r="O16" s="19"/>
    </row>
    <row r="23">
      <c r="A23" s="13" t="s">
        <v>66</v>
      </c>
      <c r="B23" s="13"/>
      <c r="C23" s="13"/>
      <c r="D23" s="13"/>
      <c r="E23" s="13"/>
      <c r="F23" s="13"/>
      <c r="G23" s="13"/>
      <c r="I23" s="13" t="s">
        <v>67</v>
      </c>
      <c r="J23" s="13"/>
      <c r="K23" s="13"/>
      <c r="L23" s="13"/>
      <c r="M23" s="13"/>
      <c r="N23" s="13"/>
      <c r="O23" s="13"/>
    </row>
    <row r="24">
      <c r="A24" s="17" t="s">
        <v>35</v>
      </c>
      <c r="D24" s="14" t="s">
        <v>36</v>
      </c>
      <c r="G24" s="16" t="s">
        <v>37</v>
      </c>
      <c r="I24" s="17" t="s">
        <v>35</v>
      </c>
      <c r="L24" s="14" t="s">
        <v>36</v>
      </c>
      <c r="O24" s="16" t="s">
        <v>37</v>
      </c>
    </row>
    <row r="25">
      <c r="A25" s="14" t="str">
        <f>CONCATENATE("M 1 ",G15)</f>
      </c>
      <c r="B25" s="14"/>
      <c r="C25" s="14"/>
      <c r="D25" s="18"/>
      <c r="E25" s="14"/>
      <c r="F25" s="14"/>
      <c r="G25" s="14" t="str">
        <f>CONCATENATE("Pool A-1st ",'Pool Matches'!G66)</f>
      </c>
      <c r="I25" s="14" t="str">
        <f>CONCATENATE("M 2 ",O15)</f>
      </c>
      <c r="J25" s="14"/>
      <c r="K25" s="14"/>
      <c r="L25" s="18"/>
      <c r="M25" s="14"/>
      <c r="N25" s="14"/>
      <c r="O25" s="14" t="str">
        <f>CONCATENATE("Pool B-1st ",'Pool Matches'!G107)</f>
      </c>
    </row>
    <row r="26">
      <c r="A26" s="14">
        <v>1</v>
      </c>
      <c r="B26" s="18"/>
      <c r="C26" s="18"/>
      <c r="D26" s="18"/>
      <c r="E26" s="18"/>
      <c r="F26" s="18"/>
      <c r="G26" s="14">
        <v>1</v>
      </c>
      <c r="I26" s="14">
        <v>1</v>
      </c>
      <c r="J26" s="18"/>
      <c r="K26" s="18"/>
      <c r="L26" s="18"/>
      <c r="M26" s="18"/>
      <c r="N26" s="18"/>
      <c r="O26" s="14">
        <v>1</v>
      </c>
    </row>
    <row r="27">
      <c r="A27" s="14">
        <v>2</v>
      </c>
      <c r="B27" s="18"/>
      <c r="C27" s="18"/>
      <c r="D27" s="18"/>
      <c r="E27" s="18"/>
      <c r="F27" s="18"/>
      <c r="G27" s="14">
        <v>2</v>
      </c>
      <c r="I27" s="14">
        <v>2</v>
      </c>
      <c r="J27" s="18"/>
      <c r="K27" s="18"/>
      <c r="L27" s="18"/>
      <c r="M27" s="18"/>
      <c r="N27" s="18"/>
      <c r="O27" s="14">
        <v>2</v>
      </c>
    </row>
    <row r="28">
      <c r="A28" s="14">
        <v>3</v>
      </c>
      <c r="B28" s="18"/>
      <c r="C28" s="18"/>
      <c r="D28" s="18"/>
      <c r="E28" s="18"/>
      <c r="F28" s="18"/>
      <c r="G28" s="14">
        <v>3</v>
      </c>
      <c r="I28" s="14">
        <v>3</v>
      </c>
      <c r="J28" s="18"/>
      <c r="K28" s="18"/>
      <c r="L28" s="18"/>
      <c r="M28" s="18"/>
      <c r="N28" s="18"/>
      <c r="O28" s="14">
        <v>3</v>
      </c>
    </row>
    <row r="29">
      <c r="A29" s="14">
        <v>4</v>
      </c>
      <c r="B29" s="18"/>
      <c r="C29" s="18"/>
      <c r="D29" s="18"/>
      <c r="E29" s="18"/>
      <c r="F29" s="18"/>
      <c r="G29" s="14">
        <v>4</v>
      </c>
      <c r="I29" s="14">
        <v>4</v>
      </c>
      <c r="J29" s="18"/>
      <c r="K29" s="18"/>
      <c r="L29" s="18"/>
      <c r="M29" s="18"/>
      <c r="N29" s="18"/>
      <c r="O29" s="14">
        <v>4</v>
      </c>
    </row>
    <row r="30">
      <c r="A30" s="14">
        <v>5</v>
      </c>
      <c r="B30" s="18"/>
      <c r="C30" s="18"/>
      <c r="D30" s="18"/>
      <c r="E30" s="18"/>
      <c r="F30" s="18"/>
      <c r="G30" s="14">
        <v>5</v>
      </c>
      <c r="I30" s="14">
        <v>5</v>
      </c>
      <c r="J30" s="18"/>
      <c r="K30" s="18"/>
      <c r="L30" s="18"/>
      <c r="M30" s="18"/>
      <c r="N30" s="18"/>
      <c r="O30" s="14">
        <v>5</v>
      </c>
    </row>
    <row r="32">
      <c r="A32" s="14" t="str">
        <f>CONCATENATE("M 1 ",G15)</f>
      </c>
      <c r="B32" s="14" t="s">
        <v>43</v>
      </c>
      <c r="C32" s="14" t="s">
        <v>46</v>
      </c>
      <c r="D32" s="14"/>
      <c r="E32" s="14" t="s">
        <v>46</v>
      </c>
      <c r="F32" s="14" t="s">
        <v>43</v>
      </c>
      <c r="G32" s="14" t="str">
        <f>CONCATENATE("Pool A-1st ",'Pool Matches'!G66)</f>
      </c>
      <c r="I32" s="14" t="str">
        <f>CONCATENATE("M 2 ",O15)</f>
      </c>
      <c r="J32" s="14" t="s">
        <v>43</v>
      </c>
      <c r="K32" s="14" t="s">
        <v>46</v>
      </c>
      <c r="L32" s="14"/>
      <c r="M32" s="14" t="s">
        <v>46</v>
      </c>
      <c r="N32" s="14" t="s">
        <v>43</v>
      </c>
      <c r="O32" s="14" t="str">
        <f>CONCATENATE("Pool B-1st ",'Pool Matches'!G107)</f>
      </c>
    </row>
    <row r="33">
      <c r="A33" s="14" t="s">
        <v>64</v>
      </c>
      <c r="B33" s="14" t="str">
        <f>SUMPRODUCT((UPPER(D26:D30)&lt;&gt;"X")*((LEN(SUBSTITUTE(SUBSTITUTE(SUBSTITUTE(B26:B30," ",""),"0",""),"-",""))+LEN(SUBSTITUTE(SUBSTITUTE(SUBSTITUTE(C26:C30," ",""),"0",""),"-","")))&gt;(LEN(SUBSTITUTE(SUBSTITUTE(SUBSTITUTE(E26:E30," ",""),"0",""),"-",""))+LEN(SUBSTITUTE(SUBSTITUTE(SUBSTITUTE(F26:F30," ",""),"0",""),"-",""))))*1)</f>
      </c>
      <c r="C33" s="14" t="str">
        <f>SUMPRODUCT(LEN(SUBSTITUTE(SUBSTITUTE(SUBSTITUTE(B26:B30," ",""),"0",""),"-",""))+LEN(SUBSTITUTE(SUBSTITUTE(SUBSTITUTE(C26:C30," ",""),"0",""),"-","")))</f>
      </c>
      <c r="D33" s="14"/>
      <c r="E33" s="14" t="str">
        <f>SUMPRODUCT(LEN(SUBSTITUTE(SUBSTITUTE(SUBSTITUTE(E26:E30," ",""),"0",""),"-",""))+LEN(SUBSTITUTE(SUBSTITUTE(SUBSTITUTE(F26:F30," ",""),"0",""),"-","")))</f>
      </c>
      <c r="F33" s="14" t="str">
        <f>SUMPRODUCT((UPPER(D26:D30)&lt;&gt;"X")*((LEN(SUBSTITUTE(SUBSTITUTE(SUBSTITUTE(E26:E30," ",""),"0",""),"-",""))+LEN(SUBSTITUTE(SUBSTITUTE(SUBSTITUTE(F26:F30," ",""),"0",""),"-","")))&gt;(LEN(SUBSTITUTE(SUBSTITUTE(SUBSTITUTE(B26:B30," ",""),"0",""),"-",""))+LEN(SUBSTITUTE(SUBSTITUTE(SUBSTITUTE(C26:C30," ",""),"0",""),"-",""))))*1)</f>
      </c>
      <c r="G33" s="14" t="s">
        <v>64</v>
      </c>
      <c r="I33" s="14" t="s">
        <v>64</v>
      </c>
      <c r="J33" s="14" t="str">
        <f>SUMPRODUCT((UPPER(L26:L30)&lt;&gt;"X")*((LEN(SUBSTITUTE(SUBSTITUTE(SUBSTITUTE(J26:J30," ",""),"0",""),"-",""))+LEN(SUBSTITUTE(SUBSTITUTE(SUBSTITUTE(K26:K30," ",""),"0",""),"-","")))&gt;(LEN(SUBSTITUTE(SUBSTITUTE(SUBSTITUTE(M26:M30," ",""),"0",""),"-",""))+LEN(SUBSTITUTE(SUBSTITUTE(SUBSTITUTE(N26:N30," ",""),"0",""),"-",""))))*1)</f>
      </c>
      <c r="K33" s="14" t="str">
        <f>SUMPRODUCT(LEN(SUBSTITUTE(SUBSTITUTE(SUBSTITUTE(J26:J30," ",""),"0",""),"-",""))+LEN(SUBSTITUTE(SUBSTITUTE(SUBSTITUTE(K26:K30," ",""),"0",""),"-","")))</f>
      </c>
      <c r="L33" s="14"/>
      <c r="M33" s="14" t="str">
        <f>SUMPRODUCT(LEN(SUBSTITUTE(SUBSTITUTE(SUBSTITUTE(M26:M30," ",""),"0",""),"-",""))+LEN(SUBSTITUTE(SUBSTITUTE(SUBSTITUTE(N26:N30," ",""),"0",""),"-","")))</f>
      </c>
      <c r="N33" s="14" t="str">
        <f>SUMPRODUCT((UPPER(L26:L30)&lt;&gt;"X")*((LEN(SUBSTITUTE(SUBSTITUTE(SUBSTITUTE(M26:M30," ",""),"0",""),"-",""))+LEN(SUBSTITUTE(SUBSTITUTE(SUBSTITUTE(N26:N30," ",""),"0",""),"-","")))&gt;(LEN(SUBSTITUTE(SUBSTITUTE(SUBSTITUTE(J26:J30," ",""),"0",""),"-",""))+LEN(SUBSTITUTE(SUBSTITUTE(SUBSTITUTE(K26:K30," ",""),"0",""),"-",""))))*1)</f>
      </c>
      <c r="O33" s="14" t="s">
        <v>64</v>
      </c>
    </row>
    <row r="36">
      <c r="F36" t="s">
        <v>49</v>
      </c>
      <c r="G36" s="19"/>
      <c r="N36" t="s">
        <v>49</v>
      </c>
      <c r="O36" s="19"/>
    </row>
    <row r="37">
      <c r="F37" t="s">
        <v>50</v>
      </c>
      <c r="G37" s="19"/>
      <c r="N37" t="s">
        <v>50</v>
      </c>
      <c r="O37" s="19"/>
    </row>
    <row r="44">
      <c r="A44" s="13" t="s">
        <v>68</v>
      </c>
      <c r="B44" s="13"/>
      <c r="C44" s="13"/>
      <c r="D44" s="13"/>
      <c r="E44" s="13"/>
      <c r="F44" s="13"/>
      <c r="G44" s="13"/>
    </row>
    <row r="45">
      <c r="A45" s="17" t="s">
        <v>35</v>
      </c>
      <c r="D45" s="14" t="s">
        <v>36</v>
      </c>
      <c r="G45" s="16" t="s">
        <v>37</v>
      </c>
    </row>
    <row r="46">
      <c r="A46" s="14" t="str">
        <f>CONCATENATE("M 4 ",O36)</f>
      </c>
      <c r="B46" s="14"/>
      <c r="C46" s="14"/>
      <c r="D46" s="18"/>
      <c r="E46" s="14"/>
      <c r="F46" s="14"/>
      <c r="G46" s="14" t="str">
        <f>CONCATENATE("M 3 ",G36)</f>
      </c>
    </row>
    <row r="47">
      <c r="A47" s="14">
        <v>1</v>
      </c>
      <c r="B47" s="18"/>
      <c r="C47" s="18"/>
      <c r="D47" s="18"/>
      <c r="E47" s="18"/>
      <c r="F47" s="18"/>
      <c r="G47" s="14">
        <v>1</v>
      </c>
    </row>
    <row r="48">
      <c r="A48" s="14">
        <v>2</v>
      </c>
      <c r="B48" s="18"/>
      <c r="C48" s="18"/>
      <c r="D48" s="18"/>
      <c r="E48" s="18"/>
      <c r="F48" s="18"/>
      <c r="G48" s="14">
        <v>2</v>
      </c>
    </row>
    <row r="49">
      <c r="A49" s="14">
        <v>3</v>
      </c>
      <c r="B49" s="18"/>
      <c r="C49" s="18"/>
      <c r="D49" s="18"/>
      <c r="E49" s="18"/>
      <c r="F49" s="18"/>
      <c r="G49" s="14">
        <v>3</v>
      </c>
    </row>
    <row r="50">
      <c r="A50" s="14">
        <v>4</v>
      </c>
      <c r="B50" s="18"/>
      <c r="C50" s="18"/>
      <c r="D50" s="18"/>
      <c r="E50" s="18"/>
      <c r="F50" s="18"/>
      <c r="G50" s="14">
        <v>4</v>
      </c>
    </row>
    <row r="51">
      <c r="A51" s="14">
        <v>5</v>
      </c>
      <c r="B51" s="18"/>
      <c r="C51" s="18"/>
      <c r="D51" s="18"/>
      <c r="E51" s="18"/>
      <c r="F51" s="18"/>
      <c r="G51" s="14">
        <v>5</v>
      </c>
    </row>
    <row r="53">
      <c r="A53" s="14" t="str">
        <f>CONCATENATE("M 4 ",O36)</f>
      </c>
      <c r="B53" s="14" t="s">
        <v>43</v>
      </c>
      <c r="C53" s="14" t="s">
        <v>46</v>
      </c>
      <c r="D53" s="14"/>
      <c r="E53" s="14" t="s">
        <v>46</v>
      </c>
      <c r="F53" s="14" t="s">
        <v>43</v>
      </c>
      <c r="G53" s="14" t="str">
        <f>CONCATENATE("M 3 ",G36)</f>
      </c>
    </row>
    <row r="54">
      <c r="A54" s="14" t="s">
        <v>64</v>
      </c>
      <c r="B54" s="14" t="str">
        <f>SUMPRODUCT((UPPER(D47:D51)&lt;&gt;"X")*((LEN(SUBSTITUTE(SUBSTITUTE(SUBSTITUTE(B47:B51," ",""),"0",""),"-",""))+LEN(SUBSTITUTE(SUBSTITUTE(SUBSTITUTE(C47:C51," ",""),"0",""),"-","")))&gt;(LEN(SUBSTITUTE(SUBSTITUTE(SUBSTITUTE(E47:E51," ",""),"0",""),"-",""))+LEN(SUBSTITUTE(SUBSTITUTE(SUBSTITUTE(F47:F51," ",""),"0",""),"-",""))))*1)</f>
      </c>
      <c r="C54" s="14" t="str">
        <f>SUMPRODUCT(LEN(SUBSTITUTE(SUBSTITUTE(SUBSTITUTE(B47:B51," ",""),"0",""),"-",""))+LEN(SUBSTITUTE(SUBSTITUTE(SUBSTITUTE(C47:C51," ",""),"0",""),"-","")))</f>
      </c>
      <c r="D54" s="14"/>
      <c r="E54" s="14" t="str">
        <f>SUMPRODUCT(LEN(SUBSTITUTE(SUBSTITUTE(SUBSTITUTE(E47:E51," ",""),"0",""),"-",""))+LEN(SUBSTITUTE(SUBSTITUTE(SUBSTITUTE(F47:F51," ",""),"0",""),"-","")))</f>
      </c>
      <c r="F54" s="14" t="str">
        <f>SUMPRODUCT((UPPER(D47:D51)&lt;&gt;"X")*((LEN(SUBSTITUTE(SUBSTITUTE(SUBSTITUTE(E47:E51," ",""),"0",""),"-",""))+LEN(SUBSTITUTE(SUBSTITUTE(SUBSTITUTE(F47:F51," ",""),"0",""),"-","")))&gt;(LEN(SUBSTITUTE(SUBSTITUTE(SUBSTITUTE(B47:B51," ",""),"0",""),"-",""))+LEN(SUBSTITUTE(SUBSTITUTE(SUBSTITUTE(C47:C51," ",""),"0",""),"-",""))))*1)</f>
      </c>
      <c r="G54" s="14" t="s">
        <v>64</v>
      </c>
    </row>
    <row r="57">
      <c r="F57" t="s">
        <v>49</v>
      </c>
      <c r="G57" s="19"/>
    </row>
    <row r="58">
      <c r="F58" t="s">
        <v>50</v>
      </c>
      <c r="G58" s="19"/>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7">
    <mergeCell ref="A1:G1"/>
    <mergeCell ref="I1:O1"/>
    <mergeCell ref="A2:G2"/>
    <mergeCell ref="I2:O2"/>
    <mergeCell ref="A23:G23"/>
    <mergeCell ref="I23:O23"/>
    <mergeCell ref="A44:G44"/>
  </mergeCells>
  <printOptions horizontalCentered="true" verticalCentered="true"/>
  <pageSetup fitToHeight="0" fitToWidth="2" orientation="portrait" pageOrder="downThenOver" paperSize="9"/>
  <rowBreaks count="1" manualBreakCount="1">
    <brk id="43" max="16383" man="true"/>
  </rowBreaks>
  <colBreaks count="1" manualBreakCount="1">
    <brk id="8" max="1048575" man="true"/>
  </colBreaks>
</worksheet>
</file>

<file path=xl/worksheets/sheet8.xml><?xml version="1.0" encoding="utf-8"?>
<worksheet xmlns="http://schemas.openxmlformats.org/spreadsheetml/2006/main">
  <dimension ref="A1"/>
  <sheetViews>
    <sheetView workbookViewId="0"/>
  </sheetViews>
  <cols>
    <col customWidth="true" max="1" min="1" width="25"/>
    <col customWidth="true" max="2" min="2" width="10"/>
    <col customWidth="true" max="26" min="3" width="3.5"/>
  </cols>
  <sheetData>
    <row r="1">
      <c r="A1" s="13" t="str">
        <f>IF(data!$B$1="","Shiaijo A",data!$B$1&amp;" - Shiaijo A")</f>
      </c>
      <c r="B1" s="13"/>
      <c r="C1" s="13"/>
      <c r="D1" s="13"/>
      <c r="E1" s="13"/>
      <c r="F1" s="13"/>
      <c r="G1" s="13"/>
      <c r="H1" s="13"/>
      <c r="I1" s="13"/>
      <c r="J1" s="13"/>
      <c r="K1" s="13"/>
      <c r="L1" s="13"/>
      <c r="M1" s="13"/>
      <c r="N1" s="13"/>
      <c r="O1" s="13"/>
      <c r="P1" s="13"/>
    </row>
    <row r="4">
      <c r="A4" s="24" t="str">
        <f>'data'!$A$6</f>
      </c>
    </row>
    <row r="5">
      <c r="A5" s="25" t="str">
        <f>"1. " &amp; data!$B$3</f>
      </c>
    </row>
    <row r="6">
      <c r="A6" s="26" t="str">
        <f>"2. " &amp; data!$B$4</f>
      </c>
      <c r="E6" s="23" t="str">
        <f>CONCATENATE("Pool A-1st ",'Pool Matches'!G66)</f>
      </c>
    </row>
    <row r="7">
      <c r="A7" s="26" t="str">
        <f>"3. " &amp; data!$B$5</f>
      </c>
      <c r="F7" s="22"/>
      <c r="G7" s="20"/>
    </row>
    <row r="8">
      <c r="A8" s="27" t="str">
        <f>"4. " &amp; data!$B$6</f>
      </c>
      <c r="G8" s="21">
        <v>3</v>
      </c>
    </row>
    <row r="9">
      <c r="A9" s="22"/>
      <c r="C9" s="23" t="str">
        <f>CONCATENATE("Pool C-1st ",'Pool Matches'!O64)</f>
      </c>
      <c r="G9" s="20"/>
    </row>
    <row r="10">
      <c r="A10" s="24" t="str">
        <f>'data'!$A$9</f>
      </c>
      <c r="D10" s="22"/>
      <c r="E10" s="21">
        <v>1</v>
      </c>
      <c r="F10" s="15"/>
      <c r="G10" s="20"/>
    </row>
    <row r="11">
      <c r="A11" s="25" t="str">
        <f>"1. " &amp; data!$B$7</f>
      </c>
      <c r="C11" s="23" t="str">
        <f>CONCATENATE("Pool B-2nd ",'Pool Matches'!G108)</f>
      </c>
      <c r="D11" s="15"/>
      <c r="E11" s="20"/>
    </row>
    <row r="12">
      <c r="A12" s="26" t="str">
        <f>"2. " &amp; data!$B$8</f>
      </c>
    </row>
    <row r="13">
      <c r="A13" s="27" t="str">
        <f>"3. " &amp; data!$B$9</f>
      </c>
    </row>
    <row r="14">
      <c r="A14"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P1"/>
  </mergeCells>
  <printOptions horizontalCentered="true" verticalCentered="true"/>
  <pageSetup orientation="portrait" paperSize="9"/>
</worksheet>
</file>

<file path=xl/worksheets/sheet9.xml><?xml version="1.0" encoding="utf-8"?>
<worksheet xmlns="http://schemas.openxmlformats.org/spreadsheetml/2006/main">
  <dimension ref="A1"/>
  <sheetViews>
    <sheetView workbookViewId="0"/>
  </sheetViews>
  <cols>
    <col customWidth="true" max="1" min="1" width="25"/>
    <col customWidth="true" max="2" min="2" width="10"/>
    <col customWidth="true" max="26" min="3" width="3.5"/>
  </cols>
  <sheetData>
    <row r="1">
      <c r="A1" s="13" t="str">
        <f>IF(data!$B$1="","Shiaijo B",data!$B$1&amp;" - Shiaijo B")</f>
      </c>
      <c r="B1" s="13"/>
      <c r="C1" s="13"/>
      <c r="D1" s="13"/>
      <c r="E1" s="13"/>
      <c r="F1" s="13"/>
      <c r="G1" s="13"/>
      <c r="H1" s="13"/>
      <c r="I1" s="13"/>
      <c r="J1" s="13"/>
      <c r="K1" s="13"/>
      <c r="L1" s="13"/>
      <c r="M1" s="13"/>
      <c r="N1" s="13"/>
      <c r="O1" s="13"/>
      <c r="P1" s="13"/>
    </row>
    <row r="4">
      <c r="A4" s="24" t="str">
        <f>'data'!$A$12</f>
      </c>
    </row>
    <row r="5">
      <c r="A5" s="25" t="str">
        <f>"1. " &amp; data!$B$10</f>
      </c>
    </row>
    <row r="6">
      <c r="A6" s="26" t="str">
        <f>"2. " &amp; data!$B$11</f>
      </c>
      <c r="E6" s="23" t="str">
        <f>CONCATENATE("Pool B-1st ",'Pool Matches'!G107)</f>
      </c>
    </row>
    <row r="7">
      <c r="A7" s="27" t="str">
        <f>"3. " &amp; data!$B$12</f>
      </c>
      <c r="F7" s="22"/>
      <c r="G7" s="20"/>
    </row>
    <row r="8">
      <c r="A8" s="22"/>
      <c r="G8" s="21">
        <v>4</v>
      </c>
    </row>
    <row r="9">
      <c r="C9" s="23" t="str">
        <f>CONCATENATE("Pool A-2nd ",'Pool Matches'!G67)</f>
      </c>
      <c r="G9" s="20"/>
    </row>
    <row r="10">
      <c r="D10" s="22"/>
      <c r="E10" s="21">
        <v>2</v>
      </c>
      <c r="F10" s="15"/>
      <c r="G10" s="20"/>
    </row>
    <row r="11">
      <c r="C11" s="23" t="str">
        <f>CONCATENATE("Pool C-2nd ",'Pool Matches'!O65)</f>
      </c>
      <c r="D11" s="15"/>
      <c r="E11" s="20"/>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P1"/>
  </mergeCells>
  <printOptions horizontalCentered="true" verticalCentered="true"/>
  <pageSetup orientation="portrait" paperSize="9"/>
</worksheet>
</file>

<file path=xl/worksheets/sheet10.xml><?xml version="1.0" encoding="utf-8"?>
<worksheet xmlns="http://schemas.openxmlformats.org/spreadsheetml/2006/main">
  <dimension ref="A1"/>
  <sheetViews>
    <sheetView workbookViewId="0"/>
  </sheetViews>
  <cols>
    <col customWidth="true" max="1" min="1" width="30"/>
    <col customWidth="true" max="2" min="2" width="160"/>
  </cols>
  <sheetData>
    <row r="1" ht="270" customHeight="true">
      <c r="A1" s="28" t="s">
        <v>53</v>
      </c>
      <c r="B1" s="29" t="str">
        <f>'data'!$B$3</f>
      </c>
    </row>
    <row r="2" ht="270" customHeight="true">
      <c r="A2" s="28" t="s">
        <v>54</v>
      </c>
      <c r="B2" s="29" t="str">
        <f>'data'!$B$4</f>
      </c>
    </row>
    <row r="3" ht="270" customHeight="true">
      <c r="A3" s="28" t="s">
        <v>55</v>
      </c>
      <c r="B3" s="29" t="str">
        <f>'data'!$B$5</f>
      </c>
    </row>
    <row r="4" ht="270" customHeight="true">
      <c r="A4" s="28" t="s">
        <v>56</v>
      </c>
      <c r="B4" s="29" t="str">
        <f>'data'!$B$6</f>
      </c>
    </row>
    <row r="5" ht="270" customHeight="true">
      <c r="A5" s="28" t="s">
        <v>57</v>
      </c>
      <c r="B5" s="29" t="str">
        <f>'data'!$B$7</f>
      </c>
    </row>
    <row r="6" ht="270" customHeight="true">
      <c r="A6" s="28" t="s">
        <v>58</v>
      </c>
      <c r="B6" s="29" t="str">
        <f>'data'!$B$8</f>
      </c>
    </row>
    <row r="7" ht="270" customHeight="true">
      <c r="A7" s="28" t="s">
        <v>59</v>
      </c>
      <c r="B7" s="29" t="str">
        <f>'data'!$B$9</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2" manualBreakCount="2">
    <brk id="3" max="16383" man="true"/>
    <brk id="6" max="16383" man="true"/>
  </rowBreaks>
  <colBreaks/>
</worksheet>
</file>

<file path=xl/worksheets/sheet11.xml><?xml version="1.0" encoding="utf-8"?>
<worksheet xmlns="http://schemas.openxmlformats.org/spreadsheetml/2006/main">
  <dimension ref="A1"/>
  <sheetViews>
    <sheetView workbookViewId="0"/>
  </sheetViews>
  <cols>
    <col customWidth="true" max="1" min="1" width="30"/>
    <col customWidth="true" max="2" min="2" width="160"/>
  </cols>
  <sheetData>
    <row r="1" ht="270" customHeight="true">
      <c r="A1" s="28" t="s">
        <v>60</v>
      </c>
      <c r="B1" s="29" t="str">
        <f>'data'!$B$10</f>
      </c>
    </row>
    <row r="2" ht="270" customHeight="true">
      <c r="A2" s="28" t="s">
        <v>61</v>
      </c>
      <c r="B2" s="29" t="str">
        <f>'data'!$B$11</f>
      </c>
    </row>
    <row r="3" ht="270" customHeight="true">
      <c r="A3" s="28" t="s">
        <v>62</v>
      </c>
      <c r="B3" s="29" t="str">
        <f>'data'!$B$12</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1" manualBreakCount="1">
    <brk id="3" max="16383" man="true"/>
  </rowBreaks>
  <colBreaks/>
</worksheet>
</file>

<file path=xl/worksheets/sheet12.xml><?xml version="1.0" encoding="utf-8"?>
<worksheet xmlns="http://schemas.openxmlformats.org/spreadsheetml/2006/main">
  <dimension ref="A1"/>
  <sheetViews>
    <sheetView tabSelected="true" workbookViewId="0"/>
  </sheetViews>
  <cols>
    <col customWidth="true" max="1" min="1" width="90"/>
  </cols>
  <sheetData>
    <row r="1" ht="390" customHeight="true">
      <c r="A1" s="30" t="s">
        <v>53</v>
      </c>
    </row>
    <row r="2" ht="390" customHeight="true">
      <c r="A2" s="30" t="s">
        <v>53</v>
      </c>
    </row>
    <row r="3" ht="390" customHeight="true">
      <c r="A3" s="30" t="s">
        <v>54</v>
      </c>
    </row>
    <row r="4" ht="390" customHeight="true">
      <c r="A4" s="30" t="s">
        <v>54</v>
      </c>
    </row>
    <row r="5" ht="390" customHeight="true">
      <c r="A5" s="30" t="s">
        <v>55</v>
      </c>
    </row>
    <row r="6" ht="390" customHeight="true">
      <c r="A6" s="30" t="s">
        <v>55</v>
      </c>
    </row>
    <row r="7" ht="390" customHeight="true">
      <c r="A7" s="30" t="s">
        <v>56</v>
      </c>
    </row>
    <row r="8" ht="390" customHeight="true">
      <c r="A8" s="30" t="s">
        <v>56</v>
      </c>
    </row>
    <row r="9" ht="390" customHeight="true">
      <c r="A9" s="30" t="s">
        <v>57</v>
      </c>
    </row>
    <row r="10" ht="390" customHeight="true">
      <c r="A10" s="30" t="s">
        <v>57</v>
      </c>
    </row>
    <row r="11" ht="390" customHeight="true">
      <c r="A11" s="30" t="s">
        <v>58</v>
      </c>
    </row>
    <row r="12" ht="390" customHeight="true">
      <c r="A12" s="30" t="s">
        <v>58</v>
      </c>
    </row>
    <row r="13" ht="390" customHeight="true">
      <c r="A13" s="30" t="s">
        <v>59</v>
      </c>
    </row>
    <row r="14" ht="390" customHeight="true">
      <c r="A14" s="30" t="s">
        <v>59</v>
      </c>
    </row>
    <row r="15" ht="390" customHeight="true">
      <c r="A15" s="30" t="s">
        <v>60</v>
      </c>
    </row>
    <row r="16" ht="390" customHeight="true">
      <c r="A16" s="30" t="s">
        <v>60</v>
      </c>
    </row>
    <row r="17" ht="390" customHeight="true">
      <c r="A17" s="30" t="s">
        <v>61</v>
      </c>
    </row>
    <row r="18" ht="390" customHeight="true">
      <c r="A18" s="30" t="s">
        <v>61</v>
      </c>
    </row>
    <row r="19" ht="390" customHeight="true">
      <c r="A19" s="30" t="s">
        <v>62</v>
      </c>
    </row>
    <row r="20" ht="390" customHeight="true">
      <c r="A20" s="30" t="s">
        <v>62</v>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portrait" paperSize="9"/>
  <rowBreaks count="10" manualBreakCount="10">
    <brk id="2" max="16383" man="true"/>
    <brk id="4" max="16383" man="true"/>
    <brk id="6" max="16383" man="true"/>
    <brk id="8" max="16383" man="true"/>
    <brk id="10" max="16383" man="true"/>
    <brk id="12" max="16383" man="true"/>
    <brk id="14" max="16383" man="true"/>
    <brk id="16" max="16383" man="true"/>
    <brk id="18" max="16383" man="true"/>
    <brk id="20" max="16383" man="true"/>
  </rowBreaks>
  <colBreaks/>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