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<sst xmlns="http://schemas.openxmlformats.org/spreadsheetml/2006/main" count="414" uniqueCount="414">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</sst>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'data'!$B$50</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'data'!$B$51</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'data'!$B$51</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SUMPRODUCT((UPPER(D58:D62)&lt;&gt;"X")*((LEN(SUBSTITUTE(SUBSTITUTE(SUBSTITUTE(B58:B62," ",""),"0",""),"-",""))+LEN(SUBSTITUTE(SUBSTITUTE(SUBSTITUTE(C58:C62," ",""),"0",""),"-","")))&gt;(LEN(SUBSTITUTE(SUBSTITUTE(SUBSTITUTE(E58:E62," ",""),"0",""),"-",""))+LEN(SUBSTITUTE(SUBSTITUTE(SUBSTITUTE(F58:F62," ",""),"0",""),"-",""))))*1)</f>
      </c>
      <c r="C57" s="14" t="str">
        <f>SUMPRODUCT(LEN(SUBSTITUTE(SUBSTITUTE(SUBSTITUTE(B58:B62," ",""),"0",""),"-",""))+LEN(SUBSTITUTE(SUBSTITUTE(SUBSTITUTE(C58:C62," ",""),"0",""),"-","")))</f>
      </c>
      <c r="D57" s="18"/>
      <c r="E57" s="14" t="str">
        <f>SUMPRODUCT(LEN(SUBSTITUTE(SUBSTITUTE(SUBSTITUTE(E58:E62," ",""),"0",""),"-",""))+LEN(SUBSTITUTE(SUBSTITUTE(SUBSTITUTE(F58:F62," ",""),"0",""),"-","")))</f>
      </c>
      <c r="F57" s="14" t="str">
        <f>SUMPRODUCT((UPPER(D58:D62)&lt;&gt;"X")*((LEN(SUBSTITUTE(SUBSTITUTE(SUBSTITUTE(E58:E62," ",""),"0",""),"-",""))+LEN(SUBSTITUTE(SUBSTITUTE(SUBSTITUTE(F58:F62," ",""),"0",""),"-","")))&gt;(LEN(SUBSTITUTE(SUBSTITUTE(SUBSTITUTE(B58:B62," ",""),"0",""),"-",""))+LEN(SUBSTITUTE(SUBSTITUTE(SUBSTITUTE(C58:C62," ",""),"0",""),"-",""))))*1)</f>
      </c>
      <c r="G57" s="14" t="str">
        <f>'data'!$B$7</f>
      </c>
      <c r="I57" s="14" t="str">
        <f>'data'!$B$53</f>
      </c>
      <c r="J57" s="14" t="str">
        <f>SUMPRODUCT((UPPER(L58:L62)&lt;&gt;"X")*((LEN(SUBSTITUTE(SUBSTITUTE(SUBSTITUTE(J58:J62," ",""),"0",""),"-",""))+LEN(SUBSTITUTE(SUBSTITUTE(SUBSTITUTE(K58:K62," ",""),"0",""),"-","")))&gt;(LEN(SUBSTITUTE(SUBSTITUTE(SUBSTITUTE(M58:M62," ",""),"0",""),"-",""))+LEN(SUBSTITUTE(SUBSTITUTE(SUBSTITUTE(N58:N62," ",""),"0",""),"-",""))))*1)</f>
      </c>
      <c r="K57" s="14" t="str">
        <f>SUMPRODUCT(LEN(SUBSTITUTE(SUBSTITUTE(SUBSTITUTE(J58:J62," ",""),"0",""),"-",""))+LEN(SUBSTITUTE(SUBSTITUTE(SUBSTITUTE(K58:K62," ",""),"0",""),"-","")))</f>
      </c>
      <c r="L57" s="18"/>
      <c r="M57" s="14" t="str">
        <f>SUMPRODUCT(LEN(SUBSTITUTE(SUBSTITUTE(SUBSTITUTE(M58:M62," ",""),"0",""),"-",""))+LEN(SUBSTITUTE(SUBSTITUTE(SUBSTITUTE(N58:N62," ",""),"0",""),"-","")))</f>
      </c>
      <c r="N57" s="14" t="str">
        <f>SUMPRODUCT((UPPER(L58:L62)&lt;&gt;"X")*((LEN(SUBSTITUTE(SUBSTITUTE(SUBSTITUTE(M58:M62," ",""),"0",""),"-",""))+LEN(SUBSTITUTE(SUBSTITUTE(SUBSTITUTE(N58:N62," ",""),"0",""),"-","")))&gt;(LEN(SUBSTITUTE(SUBSTITUTE(SUBSTITUTE(J58:J62," ",""),"0",""),"-",""))+LEN(SUBSTITUTE(SUBSTITUTE(SUBSTITUTE(K58:K62," ",""),"0",""),"-",""))))*1)</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SUMPRODUCT((UPPER(D66:D70)&lt;&gt;"X")*((LEN(SUBSTITUTE(SUBSTITUTE(SUBSTITUTE(B66:B70," ",""),"0",""),"-",""))+LEN(SUBSTITUTE(SUBSTITUTE(SUBSTITUTE(C66:C70," ",""),"0",""),"-","")))&gt;(LEN(SUBSTITUTE(SUBSTITUTE(SUBSTITUTE(E66:E70," ",""),"0",""),"-",""))+LEN(SUBSTITUTE(SUBSTITUTE(SUBSTITUTE(F66:F70," ",""),"0",""),"-",""))))*1)</f>
      </c>
      <c r="C65" s="14" t="str">
        <f>SUMPRODUCT(LEN(SUBSTITUTE(SUBSTITUTE(SUBSTITUTE(B66:B70," ",""),"0",""),"-",""))+LEN(SUBSTITUTE(SUBSTITUTE(SUBSTITUTE(C66:C70," ",""),"0",""),"-","")))</f>
      </c>
      <c r="D65" s="18"/>
      <c r="E65" s="14" t="str">
        <f>SUMPRODUCT(LEN(SUBSTITUTE(SUBSTITUTE(SUBSTITUTE(E66:E70," ",""),"0",""),"-",""))+LEN(SUBSTITUTE(SUBSTITUTE(SUBSTITUTE(F66:F70," ",""),"0",""),"-","")))</f>
      </c>
      <c r="F65" s="14" t="str">
        <f>SUMPRODUCT((UPPER(D66:D70)&lt;&gt;"X")*((LEN(SUBSTITUTE(SUBSTITUTE(SUBSTITUTE(E66:E70," ",""),"0",""),"-",""))+LEN(SUBSTITUTE(SUBSTITUTE(SUBSTITUTE(F66:F70," ",""),"0",""),"-","")))&gt;(LEN(SUBSTITUTE(SUBSTITUTE(SUBSTITUTE(B66:B70," ",""),"0",""),"-",""))+LEN(SUBSTITUTE(SUBSTITUTE(SUBSTITUTE(C66:C70," ",""),"0",""),"-",""))))*1)</f>
      </c>
      <c r="G65" s="14" t="str">
        <f>'data'!$B$7</f>
      </c>
      <c r="I65" s="14" t="str">
        <f>'data'!$B$54</f>
      </c>
      <c r="J65" s="14" t="str">
        <f>SUMPRODUCT((UPPER(L66:L70)&lt;&gt;"X")*((LEN(SUBSTITUTE(SUBSTITUTE(SUBSTITUTE(J66:J70," ",""),"0",""),"-",""))+LEN(SUBSTITUTE(SUBSTITUTE(SUBSTITUTE(K66:K70," ",""),"0",""),"-","")))&gt;(LEN(SUBSTITUTE(SUBSTITUTE(SUBSTITUTE(M66:M70," ",""),"0",""),"-",""))+LEN(SUBSTITUTE(SUBSTITUTE(SUBSTITUTE(N66:N70," ",""),"0",""),"-",""))))*1)</f>
      </c>
      <c r="K65" s="14" t="str">
        <f>SUMPRODUCT(LEN(SUBSTITUTE(SUBSTITUTE(SUBSTITUTE(J66:J70," ",""),"0",""),"-",""))+LEN(SUBSTITUTE(SUBSTITUTE(SUBSTITUTE(K66:K70," ",""),"0",""),"-","")))</f>
      </c>
      <c r="L65" s="18"/>
      <c r="M65" s="14" t="str">
        <f>SUMPRODUCT(LEN(SUBSTITUTE(SUBSTITUTE(SUBSTITUTE(M66:M70," ",""),"0",""),"-",""))+LEN(SUBSTITUTE(SUBSTITUTE(SUBSTITUTE(N66:N70," ",""),"0",""),"-","")))</f>
      </c>
      <c r="N65" s="14" t="str">
        <f>SUMPRODUCT((UPPER(L66:L70)&lt;&gt;"X")*((LEN(SUBSTITUTE(SUBSTITUTE(SUBSTITUTE(M66:M70," ",""),"0",""),"-",""))+LEN(SUBSTITUTE(SUBSTITUTE(SUBSTITUTE(N66:N70," ",""),"0",""),"-","")))&gt;(LEN(SUBSTITUTE(SUBSTITUTE(SUBSTITUTE(J66:J70," ",""),"0",""),"-",""))+LEN(SUBSTITUTE(SUBSTITUTE(SUBSTITUTE(K66:K70," ",""),"0",""),"-",""))))*1)</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SUMPRODUCT((UPPER(D74:D78)&lt;&gt;"X")*((LEN(SUBSTITUTE(SUBSTITUTE(SUBSTITUTE(B74:B78," ",""),"0",""),"-",""))+LEN(SUBSTITUTE(SUBSTITUTE(SUBSTITUTE(C74:C78," ",""),"0",""),"-","")))&gt;(LEN(SUBSTITUTE(SUBSTITUTE(SUBSTITUTE(E74:E78," ",""),"0",""),"-",""))+LEN(SUBSTITUTE(SUBSTITUTE(SUBSTITUTE(F74:F78," ",""),"0",""),"-",""))))*1)</f>
      </c>
      <c r="C73" s="14" t="str">
        <f>SUMPRODUCT(LEN(SUBSTITUTE(SUBSTITUTE(SUBSTITUTE(B74:B78," ",""),"0",""),"-",""))+LEN(SUBSTITUTE(SUBSTITUTE(SUBSTITUTE(C74:C78," ",""),"0",""),"-","")))</f>
      </c>
      <c r="D73" s="18"/>
      <c r="E73" s="14" t="str">
        <f>SUMPRODUCT(LEN(SUBSTITUTE(SUBSTITUTE(SUBSTITUTE(E74:E78," ",""),"0",""),"-",""))+LEN(SUBSTITUTE(SUBSTITUTE(SUBSTITUTE(F74:F78," ",""),"0",""),"-","")))</f>
      </c>
      <c r="F73" s="14" t="str">
        <f>SUMPRODUCT((UPPER(D74:D78)&lt;&gt;"X")*((LEN(SUBSTITUTE(SUBSTITUTE(SUBSTITUTE(E74:E78," ",""),"0",""),"-",""))+LEN(SUBSTITUTE(SUBSTITUTE(SUBSTITUTE(F74:F78," ",""),"0",""),"-","")))&gt;(LEN(SUBSTITUTE(SUBSTITUTE(SUBSTITUTE(B74:B78," ",""),"0",""),"-",""))+LEN(SUBSTITUTE(SUBSTITUTE(SUBSTITUTE(C74:C78," ",""),"0",""),"-",""))))*1)</f>
      </c>
      <c r="G73" s="14" t="str">
        <f>'data'!$B$8</f>
      </c>
      <c r="I73" s="14" t="str">
        <f>'data'!$B$54</f>
      </c>
      <c r="J73" s="14" t="str">
        <f>SUMPRODUCT((UPPER(L74:L78)&lt;&gt;"X")*((LEN(SUBSTITUTE(SUBSTITUTE(SUBSTITUTE(J74:J78," ",""),"0",""),"-",""))+LEN(SUBSTITUTE(SUBSTITUTE(SUBSTITUTE(K74:K78," ",""),"0",""),"-","")))&gt;(LEN(SUBSTITUTE(SUBSTITUTE(SUBSTITUTE(M74:M78," ",""),"0",""),"-",""))+LEN(SUBSTITUTE(SUBSTITUTE(SUBSTITUTE(N74:N78," ",""),"0",""),"-",""))))*1)</f>
      </c>
      <c r="K73" s="14" t="str">
        <f>SUMPRODUCT(LEN(SUBSTITUTE(SUBSTITUTE(SUBSTITUTE(J74:J78," ",""),"0",""),"-",""))+LEN(SUBSTITUTE(SUBSTITUTE(SUBSTITUTE(K74:K78," ",""),"0",""),"-","")))</f>
      </c>
      <c r="L73" s="18"/>
      <c r="M73" s="14" t="str">
        <f>SUMPRODUCT(LEN(SUBSTITUTE(SUBSTITUTE(SUBSTITUTE(M74:M78," ",""),"0",""),"-",""))+LEN(SUBSTITUTE(SUBSTITUTE(SUBSTITUTE(N74:N78," ",""),"0",""),"-","")))</f>
      </c>
      <c r="N73" s="14" t="str">
        <f>SUMPRODUCT((UPPER(L74:L78)&lt;&gt;"X")*((LEN(SUBSTITUTE(SUBSTITUTE(SUBSTITUTE(M74:M78," ",""),"0",""),"-",""))+LEN(SUBSTITUTE(SUBSTITUTE(SUBSTITUTE(N74:N78," ",""),"0",""),"-","")))&gt;(LEN(SUBSTITUTE(SUBSTITUTE(SUBSTITUTE(J74:J78," ",""),"0",""),"-",""))+LEN(SUBSTITUTE(SUBSTITUTE(SUBSTITUTE(K74:K78," ",""),"0",""),"-",""))))*1)</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SUMPRODUCT((UPPER(D101:D105)&lt;&gt;"X")*((LEN(SUBSTITUTE(SUBSTITUTE(SUBSTITUTE(B101:B105," ",""),"0",""),"-",""))+LEN(SUBSTITUTE(SUBSTITUTE(SUBSTITUTE(C101:C105," ",""),"0",""),"-","")))&gt;(LEN(SUBSTITUTE(SUBSTITUTE(SUBSTITUTE(E101:E105," ",""),"0",""),"-",""))+LEN(SUBSTITUTE(SUBSTITUTE(SUBSTITUTE(F101:F105," ",""),"0",""),"-",""))))*1)</f>
      </c>
      <c r="C100" s="14" t="str">
        <f>SUMPRODUCT(LEN(SUBSTITUTE(SUBSTITUTE(SUBSTITUTE(B101:B105," ",""),"0",""),"-",""))+LEN(SUBSTITUTE(SUBSTITUTE(SUBSTITUTE(C101:C105," ",""),"0",""),"-","")))</f>
      </c>
      <c r="D100" s="18"/>
      <c r="E100" s="14" t="str">
        <f>SUMPRODUCT(LEN(SUBSTITUTE(SUBSTITUTE(SUBSTITUTE(E101:E105," ",""),"0",""),"-",""))+LEN(SUBSTITUTE(SUBSTITUTE(SUBSTITUTE(F101:F105," ",""),"0",""),"-","")))</f>
      </c>
      <c r="F100" s="14" t="str">
        <f>SUMPRODUCT((UPPER(D101:D105)&lt;&gt;"X")*((LEN(SUBSTITUTE(SUBSTITUTE(SUBSTITUTE(E101:E105," ",""),"0",""),"-",""))+LEN(SUBSTITUTE(SUBSTITUTE(SUBSTITUTE(F101:F105," ",""),"0",""),"-","")))&gt;(LEN(SUBSTITUTE(SUBSTITUTE(SUBSTITUTE(B101:B105," ",""),"0",""),"-",""))+LEN(SUBSTITUTE(SUBSTITUTE(SUBSTITUTE(C101:C105," ",""),"0",""),"-",""))))*1)</f>
      </c>
      <c r="G100" s="14" t="str">
        <f>'data'!$B$10</f>
      </c>
      <c r="I100" s="14" t="str">
        <f>'data'!$B$56</f>
      </c>
      <c r="J100" s="14" t="str">
        <f>SUMPRODUCT((UPPER(L101:L105)&lt;&gt;"X")*((LEN(SUBSTITUTE(SUBSTITUTE(SUBSTITUTE(J101:J105," ",""),"0",""),"-",""))+LEN(SUBSTITUTE(SUBSTITUTE(SUBSTITUTE(K101:K105," ",""),"0",""),"-","")))&gt;(LEN(SUBSTITUTE(SUBSTITUTE(SUBSTITUTE(M101:M105," ",""),"0",""),"-",""))+LEN(SUBSTITUTE(SUBSTITUTE(SUBSTITUTE(N101:N105," ",""),"0",""),"-",""))))*1)</f>
      </c>
      <c r="K100" s="14" t="str">
        <f>SUMPRODUCT(LEN(SUBSTITUTE(SUBSTITUTE(SUBSTITUTE(J101:J105," ",""),"0",""),"-",""))+LEN(SUBSTITUTE(SUBSTITUTE(SUBSTITUTE(K101:K105," ",""),"0",""),"-","")))</f>
      </c>
      <c r="L100" s="18"/>
      <c r="M100" s="14" t="str">
        <f>SUMPRODUCT(LEN(SUBSTITUTE(SUBSTITUTE(SUBSTITUTE(M101:M105," ",""),"0",""),"-",""))+LEN(SUBSTITUTE(SUBSTITUTE(SUBSTITUTE(N101:N105," ",""),"0",""),"-","")))</f>
      </c>
      <c r="N100" s="14" t="str">
        <f>SUMPRODUCT((UPPER(L101:L105)&lt;&gt;"X")*((LEN(SUBSTITUTE(SUBSTITUTE(SUBSTITUTE(M101:M105," ",""),"0",""),"-",""))+LEN(SUBSTITUTE(SUBSTITUTE(SUBSTITUTE(N101:N105," ",""),"0",""),"-","")))&gt;(LEN(SUBSTITUTE(SUBSTITUTE(SUBSTITUTE(J101:J105," ",""),"0",""),"-",""))+LEN(SUBSTITUTE(SUBSTITUTE(SUBSTITUTE(K101:K105," ",""),"0",""),"-",""))))*1)</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SUMPRODUCT((UPPER(D109:D113)&lt;&gt;"X")*((LEN(SUBSTITUTE(SUBSTITUTE(SUBSTITUTE(B109:B113," ",""),"0",""),"-",""))+LEN(SUBSTITUTE(SUBSTITUTE(SUBSTITUTE(C109:C113," ",""),"0",""),"-","")))&gt;(LEN(SUBSTITUTE(SUBSTITUTE(SUBSTITUTE(E109:E113," ",""),"0",""),"-",""))+LEN(SUBSTITUTE(SUBSTITUTE(SUBSTITUTE(F109:F113," ",""),"0",""),"-",""))))*1)</f>
      </c>
      <c r="C108" s="14" t="str">
        <f>SUMPRODUCT(LEN(SUBSTITUTE(SUBSTITUTE(SUBSTITUTE(B109:B113," ",""),"0",""),"-",""))+LEN(SUBSTITUTE(SUBSTITUTE(SUBSTITUTE(C109:C113," ",""),"0",""),"-","")))</f>
      </c>
      <c r="D108" s="18"/>
      <c r="E108" s="14" t="str">
        <f>SUMPRODUCT(LEN(SUBSTITUTE(SUBSTITUTE(SUBSTITUTE(E109:E113," ",""),"0",""),"-",""))+LEN(SUBSTITUTE(SUBSTITUTE(SUBSTITUTE(F109:F113," ",""),"0",""),"-","")))</f>
      </c>
      <c r="F108" s="14" t="str">
        <f>SUMPRODUCT((UPPER(D109:D113)&lt;&gt;"X")*((LEN(SUBSTITUTE(SUBSTITUTE(SUBSTITUTE(E109:E113," ",""),"0",""),"-",""))+LEN(SUBSTITUTE(SUBSTITUTE(SUBSTITUTE(F109:F113," ",""),"0",""),"-","")))&gt;(LEN(SUBSTITUTE(SUBSTITUTE(SUBSTITUTE(B109:B113," ",""),"0",""),"-",""))+LEN(SUBSTITUTE(SUBSTITUTE(SUBSTITUTE(C109:C113," ",""),"0",""),"-",""))))*1)</f>
      </c>
      <c r="G108" s="14" t="str">
        <f>'data'!$B$10</f>
      </c>
      <c r="I108" s="14" t="str">
        <f>'data'!$B$57</f>
      </c>
      <c r="J108" s="14" t="str">
        <f>SUMPRODUCT((UPPER(L109:L113)&lt;&gt;"X")*((LEN(SUBSTITUTE(SUBSTITUTE(SUBSTITUTE(J109:J113," ",""),"0",""),"-",""))+LEN(SUBSTITUTE(SUBSTITUTE(SUBSTITUTE(K109:K113," ",""),"0",""),"-","")))&gt;(LEN(SUBSTITUTE(SUBSTITUTE(SUBSTITUTE(M109:M113," ",""),"0",""),"-",""))+LEN(SUBSTITUTE(SUBSTITUTE(SUBSTITUTE(N109:N113," ",""),"0",""),"-",""))))*1)</f>
      </c>
      <c r="K108" s="14" t="str">
        <f>SUMPRODUCT(LEN(SUBSTITUTE(SUBSTITUTE(SUBSTITUTE(J109:J113," ",""),"0",""),"-",""))+LEN(SUBSTITUTE(SUBSTITUTE(SUBSTITUTE(K109:K113," ",""),"0",""),"-","")))</f>
      </c>
      <c r="L108" s="18"/>
      <c r="M108" s="14" t="str">
        <f>SUMPRODUCT(LEN(SUBSTITUTE(SUBSTITUTE(SUBSTITUTE(M109:M113," ",""),"0",""),"-",""))+LEN(SUBSTITUTE(SUBSTITUTE(SUBSTITUTE(N109:N113," ",""),"0",""),"-","")))</f>
      </c>
      <c r="N108" s="14" t="str">
        <f>SUMPRODUCT((UPPER(L109:L113)&lt;&gt;"X")*((LEN(SUBSTITUTE(SUBSTITUTE(SUBSTITUTE(M109:M113," ",""),"0",""),"-",""))+LEN(SUBSTITUTE(SUBSTITUTE(SUBSTITUTE(N109:N113," ",""),"0",""),"-","")))&gt;(LEN(SUBSTITUTE(SUBSTITUTE(SUBSTITUTE(J109:J113," ",""),"0",""),"-",""))+LEN(SUBSTITUTE(SUBSTITUTE(SUBSTITUTE(K109:K113," ",""),"0",""),"-",""))))*1)</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SUMPRODUCT((UPPER(D117:D121)&lt;&gt;"X")*((LEN(SUBSTITUTE(SUBSTITUTE(SUBSTITUTE(B117:B121," ",""),"0",""),"-",""))+LEN(SUBSTITUTE(SUBSTITUTE(SUBSTITUTE(C117:C121," ",""),"0",""),"-","")))&gt;(LEN(SUBSTITUTE(SUBSTITUTE(SUBSTITUTE(E117:E121," ",""),"0",""),"-",""))+LEN(SUBSTITUTE(SUBSTITUTE(SUBSTITUTE(F117:F121," ",""),"0",""),"-",""))))*1)</f>
      </c>
      <c r="C116" s="14" t="str">
        <f>SUMPRODUCT(LEN(SUBSTITUTE(SUBSTITUTE(SUBSTITUTE(B117:B121," ",""),"0",""),"-",""))+LEN(SUBSTITUTE(SUBSTITUTE(SUBSTITUTE(C117:C121," ",""),"0",""),"-","")))</f>
      </c>
      <c r="D116" s="18"/>
      <c r="E116" s="14" t="str">
        <f>SUMPRODUCT(LEN(SUBSTITUTE(SUBSTITUTE(SUBSTITUTE(E117:E121," ",""),"0",""),"-",""))+LEN(SUBSTITUTE(SUBSTITUTE(SUBSTITUTE(F117:F121," ",""),"0",""),"-","")))</f>
      </c>
      <c r="F116" s="14" t="str">
        <f>SUMPRODUCT((UPPER(D117:D121)&lt;&gt;"X")*((LEN(SUBSTITUTE(SUBSTITUTE(SUBSTITUTE(E117:E121," ",""),"0",""),"-",""))+LEN(SUBSTITUTE(SUBSTITUTE(SUBSTITUTE(F117:F121," ",""),"0",""),"-","")))&gt;(LEN(SUBSTITUTE(SUBSTITUTE(SUBSTITUTE(B117:B121," ",""),"0",""),"-",""))+LEN(SUBSTITUTE(SUBSTITUTE(SUBSTITUTE(C117:C121," ",""),"0",""),"-",""))))*1)</f>
      </c>
      <c r="G116" s="14" t="str">
        <f>'data'!$B$11</f>
      </c>
      <c r="I116" s="14" t="str">
        <f>'data'!$B$57</f>
      </c>
      <c r="J116" s="14" t="str">
        <f>SUMPRODUCT((UPPER(L117:L121)&lt;&gt;"X")*((LEN(SUBSTITUTE(SUBSTITUTE(SUBSTITUTE(J117:J121," ",""),"0",""),"-",""))+LEN(SUBSTITUTE(SUBSTITUTE(SUBSTITUTE(K117:K121," ",""),"0",""),"-","")))&gt;(LEN(SUBSTITUTE(SUBSTITUTE(SUBSTITUTE(M117:M121," ",""),"0",""),"-",""))+LEN(SUBSTITUTE(SUBSTITUTE(SUBSTITUTE(N117:N121," ",""),"0",""),"-",""))))*1)</f>
      </c>
      <c r="K116" s="14" t="str">
        <f>SUMPRODUCT(LEN(SUBSTITUTE(SUBSTITUTE(SUBSTITUTE(J117:J121," ",""),"0",""),"-",""))+LEN(SUBSTITUTE(SUBSTITUTE(SUBSTITUTE(K117:K121," ",""),"0",""),"-","")))</f>
      </c>
      <c r="L116" s="18"/>
      <c r="M116" s="14" t="str">
        <f>SUMPRODUCT(LEN(SUBSTITUTE(SUBSTITUTE(SUBSTITUTE(M117:M121," ",""),"0",""),"-",""))+LEN(SUBSTITUTE(SUBSTITUTE(SUBSTITUTE(N117:N121," ",""),"0",""),"-","")))</f>
      </c>
      <c r="N116" s="14" t="str">
        <f>SUMPRODUCT((UPPER(L117:L121)&lt;&gt;"X")*((LEN(SUBSTITUTE(SUBSTITUTE(SUBSTITUTE(M117:M121," ",""),"0",""),"-",""))+LEN(SUBSTITUTE(SUBSTITUTE(SUBSTITUTE(N117:N121," ",""),"0",""),"-","")))&gt;(LEN(SUBSTITUTE(SUBSTITUTE(SUBSTITUTE(J117:J121," ",""),"0",""),"-",""))+LEN(SUBSTITUTE(SUBSTITUTE(SUBSTITUTE(K117:K121," ",""),"0",""),"-",""))))*1)</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SUMPRODUCT((UPPER(D144:D148)&lt;&gt;"X")*((LEN(SUBSTITUTE(SUBSTITUTE(SUBSTITUTE(B144:B148," ",""),"0",""),"-",""))+LEN(SUBSTITUTE(SUBSTITUTE(SUBSTITUTE(C144:C148," ",""),"0",""),"-","")))&gt;(LEN(SUBSTITUTE(SUBSTITUTE(SUBSTITUTE(E144:E148," ",""),"0",""),"-",""))+LEN(SUBSTITUTE(SUBSTITUTE(SUBSTITUTE(F144:F148," ",""),"0",""),"-",""))))*1)</f>
      </c>
      <c r="C143" s="14" t="str">
        <f>SUMPRODUCT(LEN(SUBSTITUTE(SUBSTITUTE(SUBSTITUTE(B144:B148," ",""),"0",""),"-",""))+LEN(SUBSTITUTE(SUBSTITUTE(SUBSTITUTE(C144:C148," ",""),"0",""),"-","")))</f>
      </c>
      <c r="D143" s="18"/>
      <c r="E143" s="14" t="str">
        <f>SUMPRODUCT(LEN(SUBSTITUTE(SUBSTITUTE(SUBSTITUTE(E144:E148," ",""),"0",""),"-",""))+LEN(SUBSTITUTE(SUBSTITUTE(SUBSTITUTE(F144:F148," ",""),"0",""),"-","")))</f>
      </c>
      <c r="F143" s="14" t="str">
        <f>SUMPRODUCT((UPPER(D144:D148)&lt;&gt;"X")*((LEN(SUBSTITUTE(SUBSTITUTE(SUBSTITUTE(E144:E148," ",""),"0",""),"-",""))+LEN(SUBSTITUTE(SUBSTITUTE(SUBSTITUTE(F144:F148," ",""),"0",""),"-","")))&gt;(LEN(SUBSTITUTE(SUBSTITUTE(SUBSTITUTE(B144:B148," ",""),"0",""),"-",""))+LEN(SUBSTITUTE(SUBSTITUTE(SUBSTITUTE(C144:C148," ",""),"0",""),"-",""))))*1)</f>
      </c>
      <c r="G143" s="14" t="str">
        <f>'data'!$B$13</f>
      </c>
      <c r="I143" s="14" t="str">
        <f>'data'!$B$59</f>
      </c>
      <c r="J143" s="14" t="str">
        <f>SUMPRODUCT((UPPER(L144:L148)&lt;&gt;"X")*((LEN(SUBSTITUTE(SUBSTITUTE(SUBSTITUTE(J144:J148," ",""),"0",""),"-",""))+LEN(SUBSTITUTE(SUBSTITUTE(SUBSTITUTE(K144:K148," ",""),"0",""),"-","")))&gt;(LEN(SUBSTITUTE(SUBSTITUTE(SUBSTITUTE(M144:M148," ",""),"0",""),"-",""))+LEN(SUBSTITUTE(SUBSTITUTE(SUBSTITUTE(N144:N148," ",""),"0",""),"-",""))))*1)</f>
      </c>
      <c r="K143" s="14" t="str">
        <f>SUMPRODUCT(LEN(SUBSTITUTE(SUBSTITUTE(SUBSTITUTE(J144:J148," ",""),"0",""),"-",""))+LEN(SUBSTITUTE(SUBSTITUTE(SUBSTITUTE(K144:K148," ",""),"0",""),"-","")))</f>
      </c>
      <c r="L143" s="18"/>
      <c r="M143" s="14" t="str">
        <f>SUMPRODUCT(LEN(SUBSTITUTE(SUBSTITUTE(SUBSTITUTE(M144:M148," ",""),"0",""),"-",""))+LEN(SUBSTITUTE(SUBSTITUTE(SUBSTITUTE(N144:N148," ",""),"0",""),"-","")))</f>
      </c>
      <c r="N143" s="14" t="str">
        <f>SUMPRODUCT((UPPER(L144:L148)&lt;&gt;"X")*((LEN(SUBSTITUTE(SUBSTITUTE(SUBSTITUTE(M144:M148," ",""),"0",""),"-",""))+LEN(SUBSTITUTE(SUBSTITUTE(SUBSTITUTE(N144:N148," ",""),"0",""),"-","")))&gt;(LEN(SUBSTITUTE(SUBSTITUTE(SUBSTITUTE(J144:J148," ",""),"0",""),"-",""))+LEN(SUBSTITUTE(SUBSTITUTE(SUBSTITUTE(K144:K148," ",""),"0",""),"-",""))))*1)</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SUMPRODUCT((UPPER(D152:D156)&lt;&gt;"X")*((LEN(SUBSTITUTE(SUBSTITUTE(SUBSTITUTE(B152:B156," ",""),"0",""),"-",""))+LEN(SUBSTITUTE(SUBSTITUTE(SUBSTITUTE(C152:C156," ",""),"0",""),"-","")))&gt;(LEN(SUBSTITUTE(SUBSTITUTE(SUBSTITUTE(E152:E156," ",""),"0",""),"-",""))+LEN(SUBSTITUTE(SUBSTITUTE(SUBSTITUTE(F152:F156," ",""),"0",""),"-",""))))*1)</f>
      </c>
      <c r="C151" s="14" t="str">
        <f>SUMPRODUCT(LEN(SUBSTITUTE(SUBSTITUTE(SUBSTITUTE(B152:B156," ",""),"0",""),"-",""))+LEN(SUBSTITUTE(SUBSTITUTE(SUBSTITUTE(C152:C156," ",""),"0",""),"-","")))</f>
      </c>
      <c r="D151" s="18"/>
      <c r="E151" s="14" t="str">
        <f>SUMPRODUCT(LEN(SUBSTITUTE(SUBSTITUTE(SUBSTITUTE(E152:E156," ",""),"0",""),"-",""))+LEN(SUBSTITUTE(SUBSTITUTE(SUBSTITUTE(F152:F156," ",""),"0",""),"-","")))</f>
      </c>
      <c r="F151" s="14" t="str">
        <f>SUMPRODUCT((UPPER(D152:D156)&lt;&gt;"X")*((LEN(SUBSTITUTE(SUBSTITUTE(SUBSTITUTE(E152:E156," ",""),"0",""),"-",""))+LEN(SUBSTITUTE(SUBSTITUTE(SUBSTITUTE(F152:F156," ",""),"0",""),"-","")))&gt;(LEN(SUBSTITUTE(SUBSTITUTE(SUBSTITUTE(B152:B156," ",""),"0",""),"-",""))+LEN(SUBSTITUTE(SUBSTITUTE(SUBSTITUTE(C152:C156," ",""),"0",""),"-",""))))*1)</f>
      </c>
      <c r="G151" s="14" t="str">
        <f>'data'!$B$13</f>
      </c>
      <c r="I151" s="14" t="str">
        <f>'data'!$B$60</f>
      </c>
      <c r="J151" s="14" t="str">
        <f>SUMPRODUCT((UPPER(L152:L156)&lt;&gt;"X")*((LEN(SUBSTITUTE(SUBSTITUTE(SUBSTITUTE(J152:J156," ",""),"0",""),"-",""))+LEN(SUBSTITUTE(SUBSTITUTE(SUBSTITUTE(K152:K156," ",""),"0",""),"-","")))&gt;(LEN(SUBSTITUTE(SUBSTITUTE(SUBSTITUTE(M152:M156," ",""),"0",""),"-",""))+LEN(SUBSTITUTE(SUBSTITUTE(SUBSTITUTE(N152:N156," ",""),"0",""),"-",""))))*1)</f>
      </c>
      <c r="K151" s="14" t="str">
        <f>SUMPRODUCT(LEN(SUBSTITUTE(SUBSTITUTE(SUBSTITUTE(J152:J156," ",""),"0",""),"-",""))+LEN(SUBSTITUTE(SUBSTITUTE(SUBSTITUTE(K152:K156," ",""),"0",""),"-","")))</f>
      </c>
      <c r="L151" s="18"/>
      <c r="M151" s="14" t="str">
        <f>SUMPRODUCT(LEN(SUBSTITUTE(SUBSTITUTE(SUBSTITUTE(M152:M156," ",""),"0",""),"-",""))+LEN(SUBSTITUTE(SUBSTITUTE(SUBSTITUTE(N152:N156," ",""),"0",""),"-","")))</f>
      </c>
      <c r="N151" s="14" t="str">
        <f>SUMPRODUCT((UPPER(L152:L156)&lt;&gt;"X")*((LEN(SUBSTITUTE(SUBSTITUTE(SUBSTITUTE(M152:M156," ",""),"0",""),"-",""))+LEN(SUBSTITUTE(SUBSTITUTE(SUBSTITUTE(N152:N156," ",""),"0",""),"-","")))&gt;(LEN(SUBSTITUTE(SUBSTITUTE(SUBSTITUTE(J152:J156," ",""),"0",""),"-",""))+LEN(SUBSTITUTE(SUBSTITUTE(SUBSTITUTE(K152:K156," ",""),"0",""),"-",""))))*1)</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SUMPRODUCT((UPPER(D160:D164)&lt;&gt;"X")*((LEN(SUBSTITUTE(SUBSTITUTE(SUBSTITUTE(B160:B164," ",""),"0",""),"-",""))+LEN(SUBSTITUTE(SUBSTITUTE(SUBSTITUTE(C160:C164," ",""),"0",""),"-","")))&gt;(LEN(SUBSTITUTE(SUBSTITUTE(SUBSTITUTE(E160:E164," ",""),"0",""),"-",""))+LEN(SUBSTITUTE(SUBSTITUTE(SUBSTITUTE(F160:F164," ",""),"0",""),"-",""))))*1)</f>
      </c>
      <c r="C159" s="14" t="str">
        <f>SUMPRODUCT(LEN(SUBSTITUTE(SUBSTITUTE(SUBSTITUTE(B160:B164," ",""),"0",""),"-",""))+LEN(SUBSTITUTE(SUBSTITUTE(SUBSTITUTE(C160:C164," ",""),"0",""),"-","")))</f>
      </c>
      <c r="D159" s="18"/>
      <c r="E159" s="14" t="str">
        <f>SUMPRODUCT(LEN(SUBSTITUTE(SUBSTITUTE(SUBSTITUTE(E160:E164," ",""),"0",""),"-",""))+LEN(SUBSTITUTE(SUBSTITUTE(SUBSTITUTE(F160:F164," ",""),"0",""),"-","")))</f>
      </c>
      <c r="F159" s="14" t="str">
        <f>SUMPRODUCT((UPPER(D160:D164)&lt;&gt;"X")*((LEN(SUBSTITUTE(SUBSTITUTE(SUBSTITUTE(E160:E164," ",""),"0",""),"-",""))+LEN(SUBSTITUTE(SUBSTITUTE(SUBSTITUTE(F160:F164," ",""),"0",""),"-","")))&gt;(LEN(SUBSTITUTE(SUBSTITUTE(SUBSTITUTE(B160:B164," ",""),"0",""),"-",""))+LEN(SUBSTITUTE(SUBSTITUTE(SUBSTITUTE(C160:C164," ",""),"0",""),"-",""))))*1)</f>
      </c>
      <c r="G159" s="14" t="str">
        <f>'data'!$B$14</f>
      </c>
      <c r="I159" s="14" t="str">
        <f>'data'!$B$60</f>
      </c>
      <c r="J159" s="14" t="str">
        <f>SUMPRODUCT((UPPER(L160:L164)&lt;&gt;"X")*((LEN(SUBSTITUTE(SUBSTITUTE(SUBSTITUTE(J160:J164," ",""),"0",""),"-",""))+LEN(SUBSTITUTE(SUBSTITUTE(SUBSTITUTE(K160:K164," ",""),"0",""),"-","")))&gt;(LEN(SUBSTITUTE(SUBSTITUTE(SUBSTITUTE(M160:M164," ",""),"0",""),"-",""))+LEN(SUBSTITUTE(SUBSTITUTE(SUBSTITUTE(N160:N164," ",""),"0",""),"-",""))))*1)</f>
      </c>
      <c r="K159" s="14" t="str">
        <f>SUMPRODUCT(LEN(SUBSTITUTE(SUBSTITUTE(SUBSTITUTE(J160:J164," ",""),"0",""),"-",""))+LEN(SUBSTITUTE(SUBSTITUTE(SUBSTITUTE(K160:K164," ",""),"0",""),"-","")))</f>
      </c>
      <c r="L159" s="18"/>
      <c r="M159" s="14" t="str">
        <f>SUMPRODUCT(LEN(SUBSTITUTE(SUBSTITUTE(SUBSTITUTE(M160:M164," ",""),"0",""),"-",""))+LEN(SUBSTITUTE(SUBSTITUTE(SUBSTITUTE(N160:N164," ",""),"0",""),"-","")))</f>
      </c>
      <c r="N159" s="14" t="str">
        <f>SUMPRODUCT((UPPER(L160:L164)&lt;&gt;"X")*((LEN(SUBSTITUTE(SUBSTITUTE(SUBSTITUTE(M160:M164," ",""),"0",""),"-",""))+LEN(SUBSTITUTE(SUBSTITUTE(SUBSTITUTE(N160:N164," ",""),"0",""),"-","")))&gt;(LEN(SUBSTITUTE(SUBSTITUTE(SUBSTITUTE(J160:J164," ",""),"0",""),"-",""))+LEN(SUBSTITUTE(SUBSTITUTE(SUBSTITUTE(K160:K164," ",""),"0",""),"-",""))))*1)</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SUMPRODUCT((UPPER(D187:D191)&lt;&gt;"X")*((LEN(SUBSTITUTE(SUBSTITUTE(SUBSTITUTE(B187:B191," ",""),"0",""),"-",""))+LEN(SUBSTITUTE(SUBSTITUTE(SUBSTITUTE(C187:C191," ",""),"0",""),"-","")))&gt;(LEN(SUBSTITUTE(SUBSTITUTE(SUBSTITUTE(E187:E191," ",""),"0",""),"-",""))+LEN(SUBSTITUTE(SUBSTITUTE(SUBSTITUTE(F187:F191," ",""),"0",""),"-",""))))*1)</f>
      </c>
      <c r="C186" s="14" t="str">
        <f>SUMPRODUCT(LEN(SUBSTITUTE(SUBSTITUTE(SUBSTITUTE(B187:B191," ",""),"0",""),"-",""))+LEN(SUBSTITUTE(SUBSTITUTE(SUBSTITUTE(C187:C191," ",""),"0",""),"-","")))</f>
      </c>
      <c r="D186" s="18"/>
      <c r="E186" s="14" t="str">
        <f>SUMPRODUCT(LEN(SUBSTITUTE(SUBSTITUTE(SUBSTITUTE(E187:E191," ",""),"0",""),"-",""))+LEN(SUBSTITUTE(SUBSTITUTE(SUBSTITUTE(F187:F191," ",""),"0",""),"-","")))</f>
      </c>
      <c r="F186" s="14" t="str">
        <f>SUMPRODUCT((UPPER(D187:D191)&lt;&gt;"X")*((LEN(SUBSTITUTE(SUBSTITUTE(SUBSTITUTE(E187:E191," ",""),"0",""),"-",""))+LEN(SUBSTITUTE(SUBSTITUTE(SUBSTITUTE(F187:F191," ",""),"0",""),"-","")))&gt;(LEN(SUBSTITUTE(SUBSTITUTE(SUBSTITUTE(B187:B191," ",""),"0",""),"-",""))+LEN(SUBSTITUTE(SUBSTITUTE(SUBSTITUTE(C187:C191," ",""),"0",""),"-",""))))*1)</f>
      </c>
      <c r="G186" s="14" t="str">
        <f>'data'!$B$16</f>
      </c>
      <c r="I186" s="14" t="str">
        <f>'data'!$B$62</f>
      </c>
      <c r="J186" s="14" t="str">
        <f>SUMPRODUCT((UPPER(L187:L191)&lt;&gt;"X")*((LEN(SUBSTITUTE(SUBSTITUTE(SUBSTITUTE(J187:J191," ",""),"0",""),"-",""))+LEN(SUBSTITUTE(SUBSTITUTE(SUBSTITUTE(K187:K191," ",""),"0",""),"-","")))&gt;(LEN(SUBSTITUTE(SUBSTITUTE(SUBSTITUTE(M187:M191," ",""),"0",""),"-",""))+LEN(SUBSTITUTE(SUBSTITUTE(SUBSTITUTE(N187:N191," ",""),"0",""),"-",""))))*1)</f>
      </c>
      <c r="K186" s="14" t="str">
        <f>SUMPRODUCT(LEN(SUBSTITUTE(SUBSTITUTE(SUBSTITUTE(J187:J191," ",""),"0",""),"-",""))+LEN(SUBSTITUTE(SUBSTITUTE(SUBSTITUTE(K187:K191," ",""),"0",""),"-","")))</f>
      </c>
      <c r="L186" s="18"/>
      <c r="M186" s="14" t="str">
        <f>SUMPRODUCT(LEN(SUBSTITUTE(SUBSTITUTE(SUBSTITUTE(M187:M191," ",""),"0",""),"-",""))+LEN(SUBSTITUTE(SUBSTITUTE(SUBSTITUTE(N187:N191," ",""),"0",""),"-","")))</f>
      </c>
      <c r="N186" s="14" t="str">
        <f>SUMPRODUCT((UPPER(L187:L191)&lt;&gt;"X")*((LEN(SUBSTITUTE(SUBSTITUTE(SUBSTITUTE(M187:M191," ",""),"0",""),"-",""))+LEN(SUBSTITUTE(SUBSTITUTE(SUBSTITUTE(N187:N191," ",""),"0",""),"-","")))&gt;(LEN(SUBSTITUTE(SUBSTITUTE(SUBSTITUTE(J187:J191," ",""),"0",""),"-",""))+LEN(SUBSTITUTE(SUBSTITUTE(SUBSTITUTE(K187:K191," ",""),"0",""),"-",""))))*1)</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SUMPRODUCT((UPPER(D195:D199)&lt;&gt;"X")*((LEN(SUBSTITUTE(SUBSTITUTE(SUBSTITUTE(B195:B199," ",""),"0",""),"-",""))+LEN(SUBSTITUTE(SUBSTITUTE(SUBSTITUTE(C195:C199," ",""),"0",""),"-","")))&gt;(LEN(SUBSTITUTE(SUBSTITUTE(SUBSTITUTE(E195:E199," ",""),"0",""),"-",""))+LEN(SUBSTITUTE(SUBSTITUTE(SUBSTITUTE(F195:F199," ",""),"0",""),"-",""))))*1)</f>
      </c>
      <c r="C194" s="14" t="str">
        <f>SUMPRODUCT(LEN(SUBSTITUTE(SUBSTITUTE(SUBSTITUTE(B195:B199," ",""),"0",""),"-",""))+LEN(SUBSTITUTE(SUBSTITUTE(SUBSTITUTE(C195:C199," ",""),"0",""),"-","")))</f>
      </c>
      <c r="D194" s="18"/>
      <c r="E194" s="14" t="str">
        <f>SUMPRODUCT(LEN(SUBSTITUTE(SUBSTITUTE(SUBSTITUTE(E195:E199," ",""),"0",""),"-",""))+LEN(SUBSTITUTE(SUBSTITUTE(SUBSTITUTE(F195:F199," ",""),"0",""),"-","")))</f>
      </c>
      <c r="F194" s="14" t="str">
        <f>SUMPRODUCT((UPPER(D195:D199)&lt;&gt;"X")*((LEN(SUBSTITUTE(SUBSTITUTE(SUBSTITUTE(E195:E199," ",""),"0",""),"-",""))+LEN(SUBSTITUTE(SUBSTITUTE(SUBSTITUTE(F195:F199," ",""),"0",""),"-","")))&gt;(LEN(SUBSTITUTE(SUBSTITUTE(SUBSTITUTE(B195:B199," ",""),"0",""),"-",""))+LEN(SUBSTITUTE(SUBSTITUTE(SUBSTITUTE(C195:C199," ",""),"0",""),"-",""))))*1)</f>
      </c>
      <c r="G194" s="14" t="str">
        <f>'data'!$B$16</f>
      </c>
      <c r="I194" s="14" t="str">
        <f>'data'!$B$63</f>
      </c>
      <c r="J194" s="14" t="str">
        <f>SUMPRODUCT((UPPER(L195:L199)&lt;&gt;"X")*((LEN(SUBSTITUTE(SUBSTITUTE(SUBSTITUTE(J195:J199," ",""),"0",""),"-",""))+LEN(SUBSTITUTE(SUBSTITUTE(SUBSTITUTE(K195:K199," ",""),"0",""),"-","")))&gt;(LEN(SUBSTITUTE(SUBSTITUTE(SUBSTITUTE(M195:M199," ",""),"0",""),"-",""))+LEN(SUBSTITUTE(SUBSTITUTE(SUBSTITUTE(N195:N199," ",""),"0",""),"-",""))))*1)</f>
      </c>
      <c r="K194" s="14" t="str">
        <f>SUMPRODUCT(LEN(SUBSTITUTE(SUBSTITUTE(SUBSTITUTE(J195:J199," ",""),"0",""),"-",""))+LEN(SUBSTITUTE(SUBSTITUTE(SUBSTITUTE(K195:K199," ",""),"0",""),"-","")))</f>
      </c>
      <c r="L194" s="18"/>
      <c r="M194" s="14" t="str">
        <f>SUMPRODUCT(LEN(SUBSTITUTE(SUBSTITUTE(SUBSTITUTE(M195:M199," ",""),"0",""),"-",""))+LEN(SUBSTITUTE(SUBSTITUTE(SUBSTITUTE(N195:N199," ",""),"0",""),"-","")))</f>
      </c>
      <c r="N194" s="14" t="str">
        <f>SUMPRODUCT((UPPER(L195:L199)&lt;&gt;"X")*((LEN(SUBSTITUTE(SUBSTITUTE(SUBSTITUTE(M195:M199," ",""),"0",""),"-",""))+LEN(SUBSTITUTE(SUBSTITUTE(SUBSTITUTE(N195:N199," ",""),"0",""),"-","")))&gt;(LEN(SUBSTITUTE(SUBSTITUTE(SUBSTITUTE(J195:J199," ",""),"0",""),"-",""))+LEN(SUBSTITUTE(SUBSTITUTE(SUBSTITUTE(K195:K199," ",""),"0",""),"-",""))))*1)</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SUMPRODUCT((UPPER(D203:D207)&lt;&gt;"X")*((LEN(SUBSTITUTE(SUBSTITUTE(SUBSTITUTE(B203:B207," ",""),"0",""),"-",""))+LEN(SUBSTITUTE(SUBSTITUTE(SUBSTITUTE(C203:C207," ",""),"0",""),"-","")))&gt;(LEN(SUBSTITUTE(SUBSTITUTE(SUBSTITUTE(E203:E207," ",""),"0",""),"-",""))+LEN(SUBSTITUTE(SUBSTITUTE(SUBSTITUTE(F203:F207," ",""),"0",""),"-",""))))*1)</f>
      </c>
      <c r="C202" s="14" t="str">
        <f>SUMPRODUCT(LEN(SUBSTITUTE(SUBSTITUTE(SUBSTITUTE(B203:B207," ",""),"0",""),"-",""))+LEN(SUBSTITUTE(SUBSTITUTE(SUBSTITUTE(C203:C207," ",""),"0",""),"-","")))</f>
      </c>
      <c r="D202" s="18"/>
      <c r="E202" s="14" t="str">
        <f>SUMPRODUCT(LEN(SUBSTITUTE(SUBSTITUTE(SUBSTITUTE(E203:E207," ",""),"0",""),"-",""))+LEN(SUBSTITUTE(SUBSTITUTE(SUBSTITUTE(F203:F207," ",""),"0",""),"-","")))</f>
      </c>
      <c r="F202" s="14" t="str">
        <f>SUMPRODUCT((UPPER(D203:D207)&lt;&gt;"X")*((LEN(SUBSTITUTE(SUBSTITUTE(SUBSTITUTE(E203:E207," ",""),"0",""),"-",""))+LEN(SUBSTITUTE(SUBSTITUTE(SUBSTITUTE(F203:F207," ",""),"0",""),"-","")))&gt;(LEN(SUBSTITUTE(SUBSTITUTE(SUBSTITUTE(B203:B207," ",""),"0",""),"-",""))+LEN(SUBSTITUTE(SUBSTITUTE(SUBSTITUTE(C203:C207," ",""),"0",""),"-",""))))*1)</f>
      </c>
      <c r="G202" s="14" t="str">
        <f>'data'!$B$17</f>
      </c>
      <c r="I202" s="14" t="str">
        <f>'data'!$B$63</f>
      </c>
      <c r="J202" s="14" t="str">
        <f>SUMPRODUCT((UPPER(L203:L207)&lt;&gt;"X")*((LEN(SUBSTITUTE(SUBSTITUTE(SUBSTITUTE(J203:J207," ",""),"0",""),"-",""))+LEN(SUBSTITUTE(SUBSTITUTE(SUBSTITUTE(K203:K207," ",""),"0",""),"-","")))&gt;(LEN(SUBSTITUTE(SUBSTITUTE(SUBSTITUTE(M203:M207," ",""),"0",""),"-",""))+LEN(SUBSTITUTE(SUBSTITUTE(SUBSTITUTE(N203:N207," ",""),"0",""),"-",""))))*1)</f>
      </c>
      <c r="K202" s="14" t="str">
        <f>SUMPRODUCT(LEN(SUBSTITUTE(SUBSTITUTE(SUBSTITUTE(J203:J207," ",""),"0",""),"-",""))+LEN(SUBSTITUTE(SUBSTITUTE(SUBSTITUTE(K203:K207," ",""),"0",""),"-","")))</f>
      </c>
      <c r="L202" s="18"/>
      <c r="M202" s="14" t="str">
        <f>SUMPRODUCT(LEN(SUBSTITUTE(SUBSTITUTE(SUBSTITUTE(M203:M207," ",""),"0",""),"-",""))+LEN(SUBSTITUTE(SUBSTITUTE(SUBSTITUTE(N203:N207," ",""),"0",""),"-","")))</f>
      </c>
      <c r="N202" s="14" t="str">
        <f>SUMPRODUCT((UPPER(L203:L207)&lt;&gt;"X")*((LEN(SUBSTITUTE(SUBSTITUTE(SUBSTITUTE(M203:M207," ",""),"0",""),"-",""))+LEN(SUBSTITUTE(SUBSTITUTE(SUBSTITUTE(N203:N207," ",""),"0",""),"-","")))&gt;(LEN(SUBSTITUTE(SUBSTITUTE(SUBSTITUTE(J203:J207," ",""),"0",""),"-",""))+LEN(SUBSTITUTE(SUBSTITUTE(SUBSTITUTE(K203:K207," ",""),"0",""),"-",""))))*1)</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SUMPRODUCT((UPPER(D230:D234)&lt;&gt;"X")*((LEN(SUBSTITUTE(SUBSTITUTE(SUBSTITUTE(B230:B234," ",""),"0",""),"-",""))+LEN(SUBSTITUTE(SUBSTITUTE(SUBSTITUTE(C230:C234," ",""),"0",""),"-","")))&gt;(LEN(SUBSTITUTE(SUBSTITUTE(SUBSTITUTE(E230:E234," ",""),"0",""),"-",""))+LEN(SUBSTITUTE(SUBSTITUTE(SUBSTITUTE(F230:F234," ",""),"0",""),"-",""))))*1)</f>
      </c>
      <c r="C229" s="14" t="str">
        <f>SUMPRODUCT(LEN(SUBSTITUTE(SUBSTITUTE(SUBSTITUTE(B230:B234," ",""),"0",""),"-",""))+LEN(SUBSTITUTE(SUBSTITUTE(SUBSTITUTE(C230:C234," ",""),"0",""),"-","")))</f>
      </c>
      <c r="D229" s="18"/>
      <c r="E229" s="14" t="str">
        <f>SUMPRODUCT(LEN(SUBSTITUTE(SUBSTITUTE(SUBSTITUTE(E230:E234," ",""),"0",""),"-",""))+LEN(SUBSTITUTE(SUBSTITUTE(SUBSTITUTE(F230:F234," ",""),"0",""),"-","")))</f>
      </c>
      <c r="F229" s="14" t="str">
        <f>SUMPRODUCT((UPPER(D230:D234)&lt;&gt;"X")*((LEN(SUBSTITUTE(SUBSTITUTE(SUBSTITUTE(E230:E234," ",""),"0",""),"-",""))+LEN(SUBSTITUTE(SUBSTITUTE(SUBSTITUTE(F230:F234," ",""),"0",""),"-","")))&gt;(LEN(SUBSTITUTE(SUBSTITUTE(SUBSTITUTE(B230:B234," ",""),"0",""),"-",""))+LEN(SUBSTITUTE(SUBSTITUTE(SUBSTITUTE(C230:C234," ",""),"0",""),"-",""))))*1)</f>
      </c>
      <c r="G229" s="14" t="str">
        <f>'data'!$B$19</f>
      </c>
      <c r="I229" s="14" t="str">
        <f>'data'!$B$65</f>
      </c>
      <c r="J229" s="14" t="str">
        <f>SUMPRODUCT((UPPER(L230:L234)&lt;&gt;"X")*((LEN(SUBSTITUTE(SUBSTITUTE(SUBSTITUTE(J230:J234," ",""),"0",""),"-",""))+LEN(SUBSTITUTE(SUBSTITUTE(SUBSTITUTE(K230:K234," ",""),"0",""),"-","")))&gt;(LEN(SUBSTITUTE(SUBSTITUTE(SUBSTITUTE(M230:M234," ",""),"0",""),"-",""))+LEN(SUBSTITUTE(SUBSTITUTE(SUBSTITUTE(N230:N234," ",""),"0",""),"-",""))))*1)</f>
      </c>
      <c r="K229" s="14" t="str">
        <f>SUMPRODUCT(LEN(SUBSTITUTE(SUBSTITUTE(SUBSTITUTE(J230:J234," ",""),"0",""),"-",""))+LEN(SUBSTITUTE(SUBSTITUTE(SUBSTITUTE(K230:K234," ",""),"0",""),"-","")))</f>
      </c>
      <c r="L229" s="18"/>
      <c r="M229" s="14" t="str">
        <f>SUMPRODUCT(LEN(SUBSTITUTE(SUBSTITUTE(SUBSTITUTE(M230:M234," ",""),"0",""),"-",""))+LEN(SUBSTITUTE(SUBSTITUTE(SUBSTITUTE(N230:N234," ",""),"0",""),"-","")))</f>
      </c>
      <c r="N229" s="14" t="str">
        <f>SUMPRODUCT((UPPER(L230:L234)&lt;&gt;"X")*((LEN(SUBSTITUTE(SUBSTITUTE(SUBSTITUTE(M230:M234," ",""),"0",""),"-",""))+LEN(SUBSTITUTE(SUBSTITUTE(SUBSTITUTE(N230:N234," ",""),"0",""),"-","")))&gt;(LEN(SUBSTITUTE(SUBSTITUTE(SUBSTITUTE(J230:J234," ",""),"0",""),"-",""))+LEN(SUBSTITUTE(SUBSTITUTE(SUBSTITUTE(K230:K234," ",""),"0",""),"-",""))))*1)</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SUMPRODUCT((UPPER(D238:D242)&lt;&gt;"X")*((LEN(SUBSTITUTE(SUBSTITUTE(SUBSTITUTE(B238:B242," ",""),"0",""),"-",""))+LEN(SUBSTITUTE(SUBSTITUTE(SUBSTITUTE(C238:C242," ",""),"0",""),"-","")))&gt;(LEN(SUBSTITUTE(SUBSTITUTE(SUBSTITUTE(E238:E242," ",""),"0",""),"-",""))+LEN(SUBSTITUTE(SUBSTITUTE(SUBSTITUTE(F238:F242," ",""),"0",""),"-",""))))*1)</f>
      </c>
      <c r="C237" s="14" t="str">
        <f>SUMPRODUCT(LEN(SUBSTITUTE(SUBSTITUTE(SUBSTITUTE(B238:B242," ",""),"0",""),"-",""))+LEN(SUBSTITUTE(SUBSTITUTE(SUBSTITUTE(C238:C242," ",""),"0",""),"-","")))</f>
      </c>
      <c r="D237" s="18"/>
      <c r="E237" s="14" t="str">
        <f>SUMPRODUCT(LEN(SUBSTITUTE(SUBSTITUTE(SUBSTITUTE(E238:E242," ",""),"0",""),"-",""))+LEN(SUBSTITUTE(SUBSTITUTE(SUBSTITUTE(F238:F242," ",""),"0",""),"-","")))</f>
      </c>
      <c r="F237" s="14" t="str">
        <f>SUMPRODUCT((UPPER(D238:D242)&lt;&gt;"X")*((LEN(SUBSTITUTE(SUBSTITUTE(SUBSTITUTE(E238:E242," ",""),"0",""),"-",""))+LEN(SUBSTITUTE(SUBSTITUTE(SUBSTITUTE(F238:F242," ",""),"0",""),"-","")))&gt;(LEN(SUBSTITUTE(SUBSTITUTE(SUBSTITUTE(B238:B242," ",""),"0",""),"-",""))+LEN(SUBSTITUTE(SUBSTITUTE(SUBSTITUTE(C238:C242," ",""),"0",""),"-",""))))*1)</f>
      </c>
      <c r="G237" s="14" t="str">
        <f>'data'!$B$19</f>
      </c>
      <c r="I237" s="14" t="str">
        <f>'data'!$B$66</f>
      </c>
      <c r="J237" s="14" t="str">
        <f>SUMPRODUCT((UPPER(L238:L242)&lt;&gt;"X")*((LEN(SUBSTITUTE(SUBSTITUTE(SUBSTITUTE(J238:J242," ",""),"0",""),"-",""))+LEN(SUBSTITUTE(SUBSTITUTE(SUBSTITUTE(K238:K242," ",""),"0",""),"-","")))&gt;(LEN(SUBSTITUTE(SUBSTITUTE(SUBSTITUTE(M238:M242," ",""),"0",""),"-",""))+LEN(SUBSTITUTE(SUBSTITUTE(SUBSTITUTE(N238:N242," ",""),"0",""),"-",""))))*1)</f>
      </c>
      <c r="K237" s="14" t="str">
        <f>SUMPRODUCT(LEN(SUBSTITUTE(SUBSTITUTE(SUBSTITUTE(J238:J242," ",""),"0",""),"-",""))+LEN(SUBSTITUTE(SUBSTITUTE(SUBSTITUTE(K238:K242," ",""),"0",""),"-","")))</f>
      </c>
      <c r="L237" s="18"/>
      <c r="M237" s="14" t="str">
        <f>SUMPRODUCT(LEN(SUBSTITUTE(SUBSTITUTE(SUBSTITUTE(M238:M242," ",""),"0",""),"-",""))+LEN(SUBSTITUTE(SUBSTITUTE(SUBSTITUTE(N238:N242," ",""),"0",""),"-","")))</f>
      </c>
      <c r="N237" s="14" t="str">
        <f>SUMPRODUCT((UPPER(L238:L242)&lt;&gt;"X")*((LEN(SUBSTITUTE(SUBSTITUTE(SUBSTITUTE(M238:M242," ",""),"0",""),"-",""))+LEN(SUBSTITUTE(SUBSTITUTE(SUBSTITUTE(N238:N242," ",""),"0",""),"-","")))&gt;(LEN(SUBSTITUTE(SUBSTITUTE(SUBSTITUTE(J238:J242," ",""),"0",""),"-",""))+LEN(SUBSTITUTE(SUBSTITUTE(SUBSTITUTE(K238:K242," ",""),"0",""),"-",""))))*1)</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SUMPRODUCT((UPPER(D246:D250)&lt;&gt;"X")*((LEN(SUBSTITUTE(SUBSTITUTE(SUBSTITUTE(B246:B250," ",""),"0",""),"-",""))+LEN(SUBSTITUTE(SUBSTITUTE(SUBSTITUTE(C246:C250," ",""),"0",""),"-","")))&gt;(LEN(SUBSTITUTE(SUBSTITUTE(SUBSTITUTE(E246:E250," ",""),"0",""),"-",""))+LEN(SUBSTITUTE(SUBSTITUTE(SUBSTITUTE(F246:F250," ",""),"0",""),"-",""))))*1)</f>
      </c>
      <c r="C245" s="14" t="str">
        <f>SUMPRODUCT(LEN(SUBSTITUTE(SUBSTITUTE(SUBSTITUTE(B246:B250," ",""),"0",""),"-",""))+LEN(SUBSTITUTE(SUBSTITUTE(SUBSTITUTE(C246:C250," ",""),"0",""),"-","")))</f>
      </c>
      <c r="D245" s="18"/>
      <c r="E245" s="14" t="str">
        <f>SUMPRODUCT(LEN(SUBSTITUTE(SUBSTITUTE(SUBSTITUTE(E246:E250," ",""),"0",""),"-",""))+LEN(SUBSTITUTE(SUBSTITUTE(SUBSTITUTE(F246:F250," ",""),"0",""),"-","")))</f>
      </c>
      <c r="F245" s="14" t="str">
        <f>SUMPRODUCT((UPPER(D246:D250)&lt;&gt;"X")*((LEN(SUBSTITUTE(SUBSTITUTE(SUBSTITUTE(E246:E250," ",""),"0",""),"-",""))+LEN(SUBSTITUTE(SUBSTITUTE(SUBSTITUTE(F246:F250," ",""),"0",""),"-","")))&gt;(LEN(SUBSTITUTE(SUBSTITUTE(SUBSTITUTE(B246:B250," ",""),"0",""),"-",""))+LEN(SUBSTITUTE(SUBSTITUTE(SUBSTITUTE(C246:C250," ",""),"0",""),"-",""))))*1)</f>
      </c>
      <c r="G245" s="14" t="str">
        <f>'data'!$B$20</f>
      </c>
      <c r="I245" s="14" t="str">
        <f>'data'!$B$66</f>
      </c>
      <c r="J245" s="14" t="str">
        <f>SUMPRODUCT((UPPER(L246:L250)&lt;&gt;"X")*((LEN(SUBSTITUTE(SUBSTITUTE(SUBSTITUTE(J246:J250," ",""),"0",""),"-",""))+LEN(SUBSTITUTE(SUBSTITUTE(SUBSTITUTE(K246:K250," ",""),"0",""),"-","")))&gt;(LEN(SUBSTITUTE(SUBSTITUTE(SUBSTITUTE(M246:M250," ",""),"0",""),"-",""))+LEN(SUBSTITUTE(SUBSTITUTE(SUBSTITUTE(N246:N250," ",""),"0",""),"-",""))))*1)</f>
      </c>
      <c r="K245" s="14" t="str">
        <f>SUMPRODUCT(LEN(SUBSTITUTE(SUBSTITUTE(SUBSTITUTE(J246:J250," ",""),"0",""),"-",""))+LEN(SUBSTITUTE(SUBSTITUTE(SUBSTITUTE(K246:K250," ",""),"0",""),"-","")))</f>
      </c>
      <c r="L245" s="18"/>
      <c r="M245" s="14" t="str">
        <f>SUMPRODUCT(LEN(SUBSTITUTE(SUBSTITUTE(SUBSTITUTE(M246:M250," ",""),"0",""),"-",""))+LEN(SUBSTITUTE(SUBSTITUTE(SUBSTITUTE(N246:N250," ",""),"0",""),"-","")))</f>
      </c>
      <c r="N245" s="14" t="str">
        <f>SUMPRODUCT((UPPER(L246:L250)&lt;&gt;"X")*((LEN(SUBSTITUTE(SUBSTITUTE(SUBSTITUTE(M246:M250," ",""),"0",""),"-",""))+LEN(SUBSTITUTE(SUBSTITUTE(SUBSTITUTE(N246:N250," ",""),"0",""),"-","")))&gt;(LEN(SUBSTITUTE(SUBSTITUTE(SUBSTITUTE(J246:J250," ",""),"0",""),"-",""))+LEN(SUBSTITUTE(SUBSTITUTE(SUBSTITUTE(K246:K250," ",""),"0",""),"-",""))))*1)</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SUMPRODUCT((UPPER(D273:D277)&lt;&gt;"X")*((LEN(SUBSTITUTE(SUBSTITUTE(SUBSTITUTE(B273:B277," ",""),"0",""),"-",""))+LEN(SUBSTITUTE(SUBSTITUTE(SUBSTITUTE(C273:C277," ",""),"0",""),"-","")))&gt;(LEN(SUBSTITUTE(SUBSTITUTE(SUBSTITUTE(E273:E277," ",""),"0",""),"-",""))+LEN(SUBSTITUTE(SUBSTITUTE(SUBSTITUTE(F273:F277," ",""),"0",""),"-",""))))*1)</f>
      </c>
      <c r="C272" s="14" t="str">
        <f>SUMPRODUCT(LEN(SUBSTITUTE(SUBSTITUTE(SUBSTITUTE(B273:B277," ",""),"0",""),"-",""))+LEN(SUBSTITUTE(SUBSTITUTE(SUBSTITUTE(C273:C277," ",""),"0",""),"-","")))</f>
      </c>
      <c r="D272" s="18"/>
      <c r="E272" s="14" t="str">
        <f>SUMPRODUCT(LEN(SUBSTITUTE(SUBSTITUTE(SUBSTITUTE(E273:E277," ",""),"0",""),"-",""))+LEN(SUBSTITUTE(SUBSTITUTE(SUBSTITUTE(F273:F277," ",""),"0",""),"-","")))</f>
      </c>
      <c r="F272" s="14" t="str">
        <f>SUMPRODUCT((UPPER(D273:D277)&lt;&gt;"X")*((LEN(SUBSTITUTE(SUBSTITUTE(SUBSTITUTE(E273:E277," ",""),"0",""),"-",""))+LEN(SUBSTITUTE(SUBSTITUTE(SUBSTITUTE(F273:F277," ",""),"0",""),"-","")))&gt;(LEN(SUBSTITUTE(SUBSTITUTE(SUBSTITUTE(B273:B277," ",""),"0",""),"-",""))+LEN(SUBSTITUTE(SUBSTITUTE(SUBSTITUTE(C273:C277," ",""),"0",""),"-",""))))*1)</f>
      </c>
      <c r="G272" s="14" t="str">
        <f>'data'!$B$22</f>
      </c>
      <c r="I272" s="14" t="str">
        <f>'data'!$B$68</f>
      </c>
      <c r="J272" s="14" t="str">
        <f>SUMPRODUCT((UPPER(L273:L277)&lt;&gt;"X")*((LEN(SUBSTITUTE(SUBSTITUTE(SUBSTITUTE(J273:J277," ",""),"0",""),"-",""))+LEN(SUBSTITUTE(SUBSTITUTE(SUBSTITUTE(K273:K277," ",""),"0",""),"-","")))&gt;(LEN(SUBSTITUTE(SUBSTITUTE(SUBSTITUTE(M273:M277," ",""),"0",""),"-",""))+LEN(SUBSTITUTE(SUBSTITUTE(SUBSTITUTE(N273:N277," ",""),"0",""),"-",""))))*1)</f>
      </c>
      <c r="K272" s="14" t="str">
        <f>SUMPRODUCT(LEN(SUBSTITUTE(SUBSTITUTE(SUBSTITUTE(J273:J277," ",""),"0",""),"-",""))+LEN(SUBSTITUTE(SUBSTITUTE(SUBSTITUTE(K273:K277," ",""),"0",""),"-","")))</f>
      </c>
      <c r="L272" s="18"/>
      <c r="M272" s="14" t="str">
        <f>SUMPRODUCT(LEN(SUBSTITUTE(SUBSTITUTE(SUBSTITUTE(M273:M277," ",""),"0",""),"-",""))+LEN(SUBSTITUTE(SUBSTITUTE(SUBSTITUTE(N273:N277," ",""),"0",""),"-","")))</f>
      </c>
      <c r="N272" s="14" t="str">
        <f>SUMPRODUCT((UPPER(L273:L277)&lt;&gt;"X")*((LEN(SUBSTITUTE(SUBSTITUTE(SUBSTITUTE(M273:M277," ",""),"0",""),"-",""))+LEN(SUBSTITUTE(SUBSTITUTE(SUBSTITUTE(N273:N277," ",""),"0",""),"-","")))&gt;(LEN(SUBSTITUTE(SUBSTITUTE(SUBSTITUTE(J273:J277," ",""),"0",""),"-",""))+LEN(SUBSTITUTE(SUBSTITUTE(SUBSTITUTE(K273:K277," ",""),"0",""),"-",""))))*1)</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SUMPRODUCT((UPPER(D281:D285)&lt;&gt;"X")*((LEN(SUBSTITUTE(SUBSTITUTE(SUBSTITUTE(B281:B285," ",""),"0",""),"-",""))+LEN(SUBSTITUTE(SUBSTITUTE(SUBSTITUTE(C281:C285," ",""),"0",""),"-","")))&gt;(LEN(SUBSTITUTE(SUBSTITUTE(SUBSTITUTE(E281:E285," ",""),"0",""),"-",""))+LEN(SUBSTITUTE(SUBSTITUTE(SUBSTITUTE(F281:F285," ",""),"0",""),"-",""))))*1)</f>
      </c>
      <c r="C280" s="14" t="str">
        <f>SUMPRODUCT(LEN(SUBSTITUTE(SUBSTITUTE(SUBSTITUTE(B281:B285," ",""),"0",""),"-",""))+LEN(SUBSTITUTE(SUBSTITUTE(SUBSTITUTE(C281:C285," ",""),"0",""),"-","")))</f>
      </c>
      <c r="D280" s="18"/>
      <c r="E280" s="14" t="str">
        <f>SUMPRODUCT(LEN(SUBSTITUTE(SUBSTITUTE(SUBSTITUTE(E281:E285," ",""),"0",""),"-",""))+LEN(SUBSTITUTE(SUBSTITUTE(SUBSTITUTE(F281:F285," ",""),"0",""),"-","")))</f>
      </c>
      <c r="F280" s="14" t="str">
        <f>SUMPRODUCT((UPPER(D281:D285)&lt;&gt;"X")*((LEN(SUBSTITUTE(SUBSTITUTE(SUBSTITUTE(E281:E285," ",""),"0",""),"-",""))+LEN(SUBSTITUTE(SUBSTITUTE(SUBSTITUTE(F281:F285," ",""),"0",""),"-","")))&gt;(LEN(SUBSTITUTE(SUBSTITUTE(SUBSTITUTE(B281:B285," ",""),"0",""),"-",""))+LEN(SUBSTITUTE(SUBSTITUTE(SUBSTITUTE(C281:C285," ",""),"0",""),"-",""))))*1)</f>
      </c>
      <c r="G280" s="14" t="str">
        <f>'data'!$B$22</f>
      </c>
      <c r="I280" s="14" t="str">
        <f>'data'!$B$69</f>
      </c>
      <c r="J280" s="14" t="str">
        <f>SUMPRODUCT((UPPER(L281:L285)&lt;&gt;"X")*((LEN(SUBSTITUTE(SUBSTITUTE(SUBSTITUTE(J281:J285," ",""),"0",""),"-",""))+LEN(SUBSTITUTE(SUBSTITUTE(SUBSTITUTE(K281:K285," ",""),"0",""),"-","")))&gt;(LEN(SUBSTITUTE(SUBSTITUTE(SUBSTITUTE(M281:M285," ",""),"0",""),"-",""))+LEN(SUBSTITUTE(SUBSTITUTE(SUBSTITUTE(N281:N285," ",""),"0",""),"-",""))))*1)</f>
      </c>
      <c r="K280" s="14" t="str">
        <f>SUMPRODUCT(LEN(SUBSTITUTE(SUBSTITUTE(SUBSTITUTE(J281:J285," ",""),"0",""),"-",""))+LEN(SUBSTITUTE(SUBSTITUTE(SUBSTITUTE(K281:K285," ",""),"0",""),"-","")))</f>
      </c>
      <c r="L280" s="18"/>
      <c r="M280" s="14" t="str">
        <f>SUMPRODUCT(LEN(SUBSTITUTE(SUBSTITUTE(SUBSTITUTE(M281:M285," ",""),"0",""),"-",""))+LEN(SUBSTITUTE(SUBSTITUTE(SUBSTITUTE(N281:N285," ",""),"0",""),"-","")))</f>
      </c>
      <c r="N280" s="14" t="str">
        <f>SUMPRODUCT((UPPER(L281:L285)&lt;&gt;"X")*((LEN(SUBSTITUTE(SUBSTITUTE(SUBSTITUTE(M281:M285," ",""),"0",""),"-",""))+LEN(SUBSTITUTE(SUBSTITUTE(SUBSTITUTE(N281:N285," ",""),"0",""),"-","")))&gt;(LEN(SUBSTITUTE(SUBSTITUTE(SUBSTITUTE(J281:J285," ",""),"0",""),"-",""))+LEN(SUBSTITUTE(SUBSTITUTE(SUBSTITUTE(K281:K285," ",""),"0",""),"-",""))))*1)</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SUMPRODUCT((UPPER(D289:D293)&lt;&gt;"X")*((LEN(SUBSTITUTE(SUBSTITUTE(SUBSTITUTE(B289:B293," ",""),"0",""),"-",""))+LEN(SUBSTITUTE(SUBSTITUTE(SUBSTITUTE(C289:C293," ",""),"0",""),"-","")))&gt;(LEN(SUBSTITUTE(SUBSTITUTE(SUBSTITUTE(E289:E293," ",""),"0",""),"-",""))+LEN(SUBSTITUTE(SUBSTITUTE(SUBSTITUTE(F289:F293," ",""),"0",""),"-",""))))*1)</f>
      </c>
      <c r="C288" s="14" t="str">
        <f>SUMPRODUCT(LEN(SUBSTITUTE(SUBSTITUTE(SUBSTITUTE(B289:B293," ",""),"0",""),"-",""))+LEN(SUBSTITUTE(SUBSTITUTE(SUBSTITUTE(C289:C293," ",""),"0",""),"-","")))</f>
      </c>
      <c r="D288" s="18"/>
      <c r="E288" s="14" t="str">
        <f>SUMPRODUCT(LEN(SUBSTITUTE(SUBSTITUTE(SUBSTITUTE(E289:E293," ",""),"0",""),"-",""))+LEN(SUBSTITUTE(SUBSTITUTE(SUBSTITUTE(F289:F293," ",""),"0",""),"-","")))</f>
      </c>
      <c r="F288" s="14" t="str">
        <f>SUMPRODUCT((UPPER(D289:D293)&lt;&gt;"X")*((LEN(SUBSTITUTE(SUBSTITUTE(SUBSTITUTE(E289:E293," ",""),"0",""),"-",""))+LEN(SUBSTITUTE(SUBSTITUTE(SUBSTITUTE(F289:F293," ",""),"0",""),"-","")))&gt;(LEN(SUBSTITUTE(SUBSTITUTE(SUBSTITUTE(B289:B293," ",""),"0",""),"-",""))+LEN(SUBSTITUTE(SUBSTITUTE(SUBSTITUTE(C289:C293," ",""),"0",""),"-",""))))*1)</f>
      </c>
      <c r="G288" s="14" t="str">
        <f>'data'!$B$23</f>
      </c>
      <c r="I288" s="14" t="str">
        <f>'data'!$B$69</f>
      </c>
      <c r="J288" s="14" t="str">
        <f>SUMPRODUCT((UPPER(L289:L293)&lt;&gt;"X")*((LEN(SUBSTITUTE(SUBSTITUTE(SUBSTITUTE(J289:J293," ",""),"0",""),"-",""))+LEN(SUBSTITUTE(SUBSTITUTE(SUBSTITUTE(K289:K293," ",""),"0",""),"-","")))&gt;(LEN(SUBSTITUTE(SUBSTITUTE(SUBSTITUTE(M289:M293," ",""),"0",""),"-",""))+LEN(SUBSTITUTE(SUBSTITUTE(SUBSTITUTE(N289:N293," ",""),"0",""),"-",""))))*1)</f>
      </c>
      <c r="K288" s="14" t="str">
        <f>SUMPRODUCT(LEN(SUBSTITUTE(SUBSTITUTE(SUBSTITUTE(J289:J293," ",""),"0",""),"-",""))+LEN(SUBSTITUTE(SUBSTITUTE(SUBSTITUTE(K289:K293," ",""),"0",""),"-","")))</f>
      </c>
      <c r="L288" s="18"/>
      <c r="M288" s="14" t="str">
        <f>SUMPRODUCT(LEN(SUBSTITUTE(SUBSTITUTE(SUBSTITUTE(M289:M293," ",""),"0",""),"-",""))+LEN(SUBSTITUTE(SUBSTITUTE(SUBSTITUTE(N289:N293," ",""),"0",""),"-","")))</f>
      </c>
      <c r="N288" s="14" t="str">
        <f>SUMPRODUCT((UPPER(L289:L293)&lt;&gt;"X")*((LEN(SUBSTITUTE(SUBSTITUTE(SUBSTITUTE(M289:M293," ",""),"0",""),"-",""))+LEN(SUBSTITUTE(SUBSTITUTE(SUBSTITUTE(N289:N293," ",""),"0",""),"-","")))&gt;(LEN(SUBSTITUTE(SUBSTITUTE(SUBSTITUTE(J289:J293," ",""),"0",""),"-",""))+LEN(SUBSTITUTE(SUBSTITUTE(SUBSTITUTE(K289:K293," ",""),"0",""),"-",""))))*1)</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SUMPRODUCT((UPPER(D316:D320)&lt;&gt;"X")*((LEN(SUBSTITUTE(SUBSTITUTE(SUBSTITUTE(B316:B320," ",""),"0",""),"-",""))+LEN(SUBSTITUTE(SUBSTITUTE(SUBSTITUTE(C316:C320," ",""),"0",""),"-","")))&gt;(LEN(SUBSTITUTE(SUBSTITUTE(SUBSTITUTE(E316:E320," ",""),"0",""),"-",""))+LEN(SUBSTITUTE(SUBSTITUTE(SUBSTITUTE(F316:F320," ",""),"0",""),"-",""))))*1)</f>
      </c>
      <c r="C315" s="14" t="str">
        <f>SUMPRODUCT(LEN(SUBSTITUTE(SUBSTITUTE(SUBSTITUTE(B316:B320," ",""),"0",""),"-",""))+LEN(SUBSTITUTE(SUBSTITUTE(SUBSTITUTE(C316:C320," ",""),"0",""),"-","")))</f>
      </c>
      <c r="D315" s="18"/>
      <c r="E315" s="14" t="str">
        <f>SUMPRODUCT(LEN(SUBSTITUTE(SUBSTITUTE(SUBSTITUTE(E316:E320," ",""),"0",""),"-",""))+LEN(SUBSTITUTE(SUBSTITUTE(SUBSTITUTE(F316:F320," ",""),"0",""),"-","")))</f>
      </c>
      <c r="F315" s="14" t="str">
        <f>SUMPRODUCT((UPPER(D316:D320)&lt;&gt;"X")*((LEN(SUBSTITUTE(SUBSTITUTE(SUBSTITUTE(E316:E320," ",""),"0",""),"-",""))+LEN(SUBSTITUTE(SUBSTITUTE(SUBSTITUTE(F316:F320," ",""),"0",""),"-","")))&gt;(LEN(SUBSTITUTE(SUBSTITUTE(SUBSTITUTE(B316:B320," ",""),"0",""),"-",""))+LEN(SUBSTITUTE(SUBSTITUTE(SUBSTITUTE(C316:C320," ",""),"0",""),"-",""))))*1)</f>
      </c>
      <c r="G315" s="14" t="str">
        <f>'data'!$B$25</f>
      </c>
      <c r="I315" s="14" t="str">
        <f>'data'!$B$71</f>
      </c>
      <c r="J315" s="14" t="str">
        <f>SUMPRODUCT((UPPER(L316:L320)&lt;&gt;"X")*((LEN(SUBSTITUTE(SUBSTITUTE(SUBSTITUTE(J316:J320," ",""),"0",""),"-",""))+LEN(SUBSTITUTE(SUBSTITUTE(SUBSTITUTE(K316:K320," ",""),"0",""),"-","")))&gt;(LEN(SUBSTITUTE(SUBSTITUTE(SUBSTITUTE(M316:M320," ",""),"0",""),"-",""))+LEN(SUBSTITUTE(SUBSTITUTE(SUBSTITUTE(N316:N320," ",""),"0",""),"-",""))))*1)</f>
      </c>
      <c r="K315" s="14" t="str">
        <f>SUMPRODUCT(LEN(SUBSTITUTE(SUBSTITUTE(SUBSTITUTE(J316:J320," ",""),"0",""),"-",""))+LEN(SUBSTITUTE(SUBSTITUTE(SUBSTITUTE(K316:K320," ",""),"0",""),"-","")))</f>
      </c>
      <c r="L315" s="18"/>
      <c r="M315" s="14" t="str">
        <f>SUMPRODUCT(LEN(SUBSTITUTE(SUBSTITUTE(SUBSTITUTE(M316:M320," ",""),"0",""),"-",""))+LEN(SUBSTITUTE(SUBSTITUTE(SUBSTITUTE(N316:N320," ",""),"0",""),"-","")))</f>
      </c>
      <c r="N315" s="14" t="str">
        <f>SUMPRODUCT((UPPER(L316:L320)&lt;&gt;"X")*((LEN(SUBSTITUTE(SUBSTITUTE(SUBSTITUTE(M316:M320," ",""),"0",""),"-",""))+LEN(SUBSTITUTE(SUBSTITUTE(SUBSTITUTE(N316:N320," ",""),"0",""),"-","")))&gt;(LEN(SUBSTITUTE(SUBSTITUTE(SUBSTITUTE(J316:J320," ",""),"0",""),"-",""))+LEN(SUBSTITUTE(SUBSTITUTE(SUBSTITUTE(K316:K320," ",""),"0",""),"-",""))))*1)</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SUMPRODUCT((UPPER(D324:D328)&lt;&gt;"X")*((LEN(SUBSTITUTE(SUBSTITUTE(SUBSTITUTE(B324:B328," ",""),"0",""),"-",""))+LEN(SUBSTITUTE(SUBSTITUTE(SUBSTITUTE(C324:C328," ",""),"0",""),"-","")))&gt;(LEN(SUBSTITUTE(SUBSTITUTE(SUBSTITUTE(E324:E328," ",""),"0",""),"-",""))+LEN(SUBSTITUTE(SUBSTITUTE(SUBSTITUTE(F324:F328," ",""),"0",""),"-",""))))*1)</f>
      </c>
      <c r="C323" s="14" t="str">
        <f>SUMPRODUCT(LEN(SUBSTITUTE(SUBSTITUTE(SUBSTITUTE(B324:B328," ",""),"0",""),"-",""))+LEN(SUBSTITUTE(SUBSTITUTE(SUBSTITUTE(C324:C328," ",""),"0",""),"-","")))</f>
      </c>
      <c r="D323" s="18"/>
      <c r="E323" s="14" t="str">
        <f>SUMPRODUCT(LEN(SUBSTITUTE(SUBSTITUTE(SUBSTITUTE(E324:E328," ",""),"0",""),"-",""))+LEN(SUBSTITUTE(SUBSTITUTE(SUBSTITUTE(F324:F328," ",""),"0",""),"-","")))</f>
      </c>
      <c r="F323" s="14" t="str">
        <f>SUMPRODUCT((UPPER(D324:D328)&lt;&gt;"X")*((LEN(SUBSTITUTE(SUBSTITUTE(SUBSTITUTE(E324:E328," ",""),"0",""),"-",""))+LEN(SUBSTITUTE(SUBSTITUTE(SUBSTITUTE(F324:F328," ",""),"0",""),"-","")))&gt;(LEN(SUBSTITUTE(SUBSTITUTE(SUBSTITUTE(B324:B328," ",""),"0",""),"-",""))+LEN(SUBSTITUTE(SUBSTITUTE(SUBSTITUTE(C324:C328," ",""),"0",""),"-",""))))*1)</f>
      </c>
      <c r="G323" s="14" t="str">
        <f>'data'!$B$25</f>
      </c>
      <c r="I323" s="14" t="str">
        <f>'data'!$B$72</f>
      </c>
      <c r="J323" s="14" t="str">
        <f>SUMPRODUCT((UPPER(L324:L328)&lt;&gt;"X")*((LEN(SUBSTITUTE(SUBSTITUTE(SUBSTITUTE(J324:J328," ",""),"0",""),"-",""))+LEN(SUBSTITUTE(SUBSTITUTE(SUBSTITUTE(K324:K328," ",""),"0",""),"-","")))&gt;(LEN(SUBSTITUTE(SUBSTITUTE(SUBSTITUTE(M324:M328," ",""),"0",""),"-",""))+LEN(SUBSTITUTE(SUBSTITUTE(SUBSTITUTE(N324:N328," ",""),"0",""),"-",""))))*1)</f>
      </c>
      <c r="K323" s="14" t="str">
        <f>SUMPRODUCT(LEN(SUBSTITUTE(SUBSTITUTE(SUBSTITUTE(J324:J328," ",""),"0",""),"-",""))+LEN(SUBSTITUTE(SUBSTITUTE(SUBSTITUTE(K324:K328," ",""),"0",""),"-","")))</f>
      </c>
      <c r="L323" s="18"/>
      <c r="M323" s="14" t="str">
        <f>SUMPRODUCT(LEN(SUBSTITUTE(SUBSTITUTE(SUBSTITUTE(M324:M328," ",""),"0",""),"-",""))+LEN(SUBSTITUTE(SUBSTITUTE(SUBSTITUTE(N324:N328," ",""),"0",""),"-","")))</f>
      </c>
      <c r="N323" s="14" t="str">
        <f>SUMPRODUCT((UPPER(L324:L328)&lt;&gt;"X")*((LEN(SUBSTITUTE(SUBSTITUTE(SUBSTITUTE(M324:M328," ",""),"0",""),"-",""))+LEN(SUBSTITUTE(SUBSTITUTE(SUBSTITUTE(N324:N328," ",""),"0",""),"-","")))&gt;(LEN(SUBSTITUTE(SUBSTITUTE(SUBSTITUTE(J324:J328," ",""),"0",""),"-",""))+LEN(SUBSTITUTE(SUBSTITUTE(SUBSTITUTE(K324:K328," ",""),"0",""),"-",""))))*1)</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SUMPRODUCT((UPPER(D332:D336)&lt;&gt;"X")*((LEN(SUBSTITUTE(SUBSTITUTE(SUBSTITUTE(B332:B336," ",""),"0",""),"-",""))+LEN(SUBSTITUTE(SUBSTITUTE(SUBSTITUTE(C332:C336," ",""),"0",""),"-","")))&gt;(LEN(SUBSTITUTE(SUBSTITUTE(SUBSTITUTE(E332:E336," ",""),"0",""),"-",""))+LEN(SUBSTITUTE(SUBSTITUTE(SUBSTITUTE(F332:F336," ",""),"0",""),"-",""))))*1)</f>
      </c>
      <c r="C331" s="14" t="str">
        <f>SUMPRODUCT(LEN(SUBSTITUTE(SUBSTITUTE(SUBSTITUTE(B332:B336," ",""),"0",""),"-",""))+LEN(SUBSTITUTE(SUBSTITUTE(SUBSTITUTE(C332:C336," ",""),"0",""),"-","")))</f>
      </c>
      <c r="D331" s="18"/>
      <c r="E331" s="14" t="str">
        <f>SUMPRODUCT(LEN(SUBSTITUTE(SUBSTITUTE(SUBSTITUTE(E332:E336," ",""),"0",""),"-",""))+LEN(SUBSTITUTE(SUBSTITUTE(SUBSTITUTE(F332:F336," ",""),"0",""),"-","")))</f>
      </c>
      <c r="F331" s="14" t="str">
        <f>SUMPRODUCT((UPPER(D332:D336)&lt;&gt;"X")*((LEN(SUBSTITUTE(SUBSTITUTE(SUBSTITUTE(E332:E336," ",""),"0",""),"-",""))+LEN(SUBSTITUTE(SUBSTITUTE(SUBSTITUTE(F332:F336," ",""),"0",""),"-","")))&gt;(LEN(SUBSTITUTE(SUBSTITUTE(SUBSTITUTE(B332:B336," ",""),"0",""),"-",""))+LEN(SUBSTITUTE(SUBSTITUTE(SUBSTITUTE(C332:C336," ",""),"0",""),"-",""))))*1)</f>
      </c>
      <c r="G331" s="14" t="str">
        <f>'data'!$B$26</f>
      </c>
      <c r="I331" s="14" t="str">
        <f>'data'!$B$72</f>
      </c>
      <c r="J331" s="14" t="str">
        <f>SUMPRODUCT((UPPER(L332:L336)&lt;&gt;"X")*((LEN(SUBSTITUTE(SUBSTITUTE(SUBSTITUTE(J332:J336," ",""),"0",""),"-",""))+LEN(SUBSTITUTE(SUBSTITUTE(SUBSTITUTE(K332:K336," ",""),"0",""),"-","")))&gt;(LEN(SUBSTITUTE(SUBSTITUTE(SUBSTITUTE(M332:M336," ",""),"0",""),"-",""))+LEN(SUBSTITUTE(SUBSTITUTE(SUBSTITUTE(N332:N336," ",""),"0",""),"-",""))))*1)</f>
      </c>
      <c r="K331" s="14" t="str">
        <f>SUMPRODUCT(LEN(SUBSTITUTE(SUBSTITUTE(SUBSTITUTE(J332:J336," ",""),"0",""),"-",""))+LEN(SUBSTITUTE(SUBSTITUTE(SUBSTITUTE(K332:K336," ",""),"0",""),"-","")))</f>
      </c>
      <c r="L331" s="18"/>
      <c r="M331" s="14" t="str">
        <f>SUMPRODUCT(LEN(SUBSTITUTE(SUBSTITUTE(SUBSTITUTE(M332:M336," ",""),"0",""),"-",""))+LEN(SUBSTITUTE(SUBSTITUTE(SUBSTITUTE(N332:N336," ",""),"0",""),"-","")))</f>
      </c>
      <c r="N331" s="14" t="str">
        <f>SUMPRODUCT((UPPER(L332:L336)&lt;&gt;"X")*((LEN(SUBSTITUTE(SUBSTITUTE(SUBSTITUTE(M332:M336," ",""),"0",""),"-",""))+LEN(SUBSTITUTE(SUBSTITUTE(SUBSTITUTE(N332:N336," ",""),"0",""),"-","")))&gt;(LEN(SUBSTITUTE(SUBSTITUTE(SUBSTITUTE(J332:J336," ",""),"0",""),"-",""))+LEN(SUBSTITUTE(SUBSTITUTE(SUBSTITUTE(K332:K336," ",""),"0",""),"-",""))))*1)</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SUMPRODUCT((UPPER(D359:D363)&lt;&gt;"X")*((LEN(SUBSTITUTE(SUBSTITUTE(SUBSTITUTE(B359:B363," ",""),"0",""),"-",""))+LEN(SUBSTITUTE(SUBSTITUTE(SUBSTITUTE(C359:C363," ",""),"0",""),"-","")))&gt;(LEN(SUBSTITUTE(SUBSTITUTE(SUBSTITUTE(E359:E363," ",""),"0",""),"-",""))+LEN(SUBSTITUTE(SUBSTITUTE(SUBSTITUTE(F359:F363," ",""),"0",""),"-",""))))*1)</f>
      </c>
      <c r="C358" s="14" t="str">
        <f>SUMPRODUCT(LEN(SUBSTITUTE(SUBSTITUTE(SUBSTITUTE(B359:B363," ",""),"0",""),"-",""))+LEN(SUBSTITUTE(SUBSTITUTE(SUBSTITUTE(C359:C363," ",""),"0",""),"-","")))</f>
      </c>
      <c r="D358" s="18"/>
      <c r="E358" s="14" t="str">
        <f>SUMPRODUCT(LEN(SUBSTITUTE(SUBSTITUTE(SUBSTITUTE(E359:E363," ",""),"0",""),"-",""))+LEN(SUBSTITUTE(SUBSTITUTE(SUBSTITUTE(F359:F363," ",""),"0",""),"-","")))</f>
      </c>
      <c r="F358" s="14" t="str">
        <f>SUMPRODUCT((UPPER(D359:D363)&lt;&gt;"X")*((LEN(SUBSTITUTE(SUBSTITUTE(SUBSTITUTE(E359:E363," ",""),"0",""),"-",""))+LEN(SUBSTITUTE(SUBSTITUTE(SUBSTITUTE(F359:F363," ",""),"0",""),"-","")))&gt;(LEN(SUBSTITUTE(SUBSTITUTE(SUBSTITUTE(B359:B363," ",""),"0",""),"-",""))+LEN(SUBSTITUTE(SUBSTITUTE(SUBSTITUTE(C359:C363," ",""),"0",""),"-",""))))*1)</f>
      </c>
      <c r="G358" s="14" t="str">
        <f>'data'!$B$28</f>
      </c>
      <c r="I358" s="14" t="str">
        <f>'data'!$B$74</f>
      </c>
      <c r="J358" s="14" t="str">
        <f>SUMPRODUCT((UPPER(L359:L363)&lt;&gt;"X")*((LEN(SUBSTITUTE(SUBSTITUTE(SUBSTITUTE(J359:J363," ",""),"0",""),"-",""))+LEN(SUBSTITUTE(SUBSTITUTE(SUBSTITUTE(K359:K363," ",""),"0",""),"-","")))&gt;(LEN(SUBSTITUTE(SUBSTITUTE(SUBSTITUTE(M359:M363," ",""),"0",""),"-",""))+LEN(SUBSTITUTE(SUBSTITUTE(SUBSTITUTE(N359:N363," ",""),"0",""),"-",""))))*1)</f>
      </c>
      <c r="K358" s="14" t="str">
        <f>SUMPRODUCT(LEN(SUBSTITUTE(SUBSTITUTE(SUBSTITUTE(J359:J363," ",""),"0",""),"-",""))+LEN(SUBSTITUTE(SUBSTITUTE(SUBSTITUTE(K359:K363," ",""),"0",""),"-","")))</f>
      </c>
      <c r="L358" s="18"/>
      <c r="M358" s="14" t="str">
        <f>SUMPRODUCT(LEN(SUBSTITUTE(SUBSTITUTE(SUBSTITUTE(M359:M363," ",""),"0",""),"-",""))+LEN(SUBSTITUTE(SUBSTITUTE(SUBSTITUTE(N359:N363," ",""),"0",""),"-","")))</f>
      </c>
      <c r="N358" s="14" t="str">
        <f>SUMPRODUCT((UPPER(L359:L363)&lt;&gt;"X")*((LEN(SUBSTITUTE(SUBSTITUTE(SUBSTITUTE(M359:M363," ",""),"0",""),"-",""))+LEN(SUBSTITUTE(SUBSTITUTE(SUBSTITUTE(N359:N363," ",""),"0",""),"-","")))&gt;(LEN(SUBSTITUTE(SUBSTITUTE(SUBSTITUTE(J359:J363," ",""),"0",""),"-",""))+LEN(SUBSTITUTE(SUBSTITUTE(SUBSTITUTE(K359:K363," ",""),"0",""),"-",""))))*1)</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SUMPRODUCT((UPPER(D367:D371)&lt;&gt;"X")*((LEN(SUBSTITUTE(SUBSTITUTE(SUBSTITUTE(B367:B371," ",""),"0",""),"-",""))+LEN(SUBSTITUTE(SUBSTITUTE(SUBSTITUTE(C367:C371," ",""),"0",""),"-","")))&gt;(LEN(SUBSTITUTE(SUBSTITUTE(SUBSTITUTE(E367:E371," ",""),"0",""),"-",""))+LEN(SUBSTITUTE(SUBSTITUTE(SUBSTITUTE(F367:F371," ",""),"0",""),"-",""))))*1)</f>
      </c>
      <c r="C366" s="14" t="str">
        <f>SUMPRODUCT(LEN(SUBSTITUTE(SUBSTITUTE(SUBSTITUTE(B367:B371," ",""),"0",""),"-",""))+LEN(SUBSTITUTE(SUBSTITUTE(SUBSTITUTE(C367:C371," ",""),"0",""),"-","")))</f>
      </c>
      <c r="D366" s="18"/>
      <c r="E366" s="14" t="str">
        <f>SUMPRODUCT(LEN(SUBSTITUTE(SUBSTITUTE(SUBSTITUTE(E367:E371," ",""),"0",""),"-",""))+LEN(SUBSTITUTE(SUBSTITUTE(SUBSTITUTE(F367:F371," ",""),"0",""),"-","")))</f>
      </c>
      <c r="F366" s="14" t="str">
        <f>SUMPRODUCT((UPPER(D367:D371)&lt;&gt;"X")*((LEN(SUBSTITUTE(SUBSTITUTE(SUBSTITUTE(E367:E371," ",""),"0",""),"-",""))+LEN(SUBSTITUTE(SUBSTITUTE(SUBSTITUTE(F367:F371," ",""),"0",""),"-","")))&gt;(LEN(SUBSTITUTE(SUBSTITUTE(SUBSTITUTE(B367:B371," ",""),"0",""),"-",""))+LEN(SUBSTITUTE(SUBSTITUTE(SUBSTITUTE(C367:C371," ",""),"0",""),"-",""))))*1)</f>
      </c>
      <c r="G366" s="14" t="str">
        <f>'data'!$B$28</f>
      </c>
      <c r="I366" s="14" t="str">
        <f>'data'!$B$75</f>
      </c>
      <c r="J366" s="14" t="str">
        <f>SUMPRODUCT((UPPER(L367:L371)&lt;&gt;"X")*((LEN(SUBSTITUTE(SUBSTITUTE(SUBSTITUTE(J367:J371," ",""),"0",""),"-",""))+LEN(SUBSTITUTE(SUBSTITUTE(SUBSTITUTE(K367:K371," ",""),"0",""),"-","")))&gt;(LEN(SUBSTITUTE(SUBSTITUTE(SUBSTITUTE(M367:M371," ",""),"0",""),"-",""))+LEN(SUBSTITUTE(SUBSTITUTE(SUBSTITUTE(N367:N371," ",""),"0",""),"-",""))))*1)</f>
      </c>
      <c r="K366" s="14" t="str">
        <f>SUMPRODUCT(LEN(SUBSTITUTE(SUBSTITUTE(SUBSTITUTE(J367:J371," ",""),"0",""),"-",""))+LEN(SUBSTITUTE(SUBSTITUTE(SUBSTITUTE(K367:K371," ",""),"0",""),"-","")))</f>
      </c>
      <c r="L366" s="18"/>
      <c r="M366" s="14" t="str">
        <f>SUMPRODUCT(LEN(SUBSTITUTE(SUBSTITUTE(SUBSTITUTE(M367:M371," ",""),"0",""),"-",""))+LEN(SUBSTITUTE(SUBSTITUTE(SUBSTITUTE(N367:N371," ",""),"0",""),"-","")))</f>
      </c>
      <c r="N366" s="14" t="str">
        <f>SUMPRODUCT((UPPER(L367:L371)&lt;&gt;"X")*((LEN(SUBSTITUTE(SUBSTITUTE(SUBSTITUTE(M367:M371," ",""),"0",""),"-",""))+LEN(SUBSTITUTE(SUBSTITUTE(SUBSTITUTE(N367:N371," ",""),"0",""),"-","")))&gt;(LEN(SUBSTITUTE(SUBSTITUTE(SUBSTITUTE(J367:J371," ",""),"0",""),"-",""))+LEN(SUBSTITUTE(SUBSTITUTE(SUBSTITUTE(K367:K371," ",""),"0",""),"-",""))))*1)</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SUMPRODUCT((UPPER(D375:D379)&lt;&gt;"X")*((LEN(SUBSTITUTE(SUBSTITUTE(SUBSTITUTE(B375:B379," ",""),"0",""),"-",""))+LEN(SUBSTITUTE(SUBSTITUTE(SUBSTITUTE(C375:C379," ",""),"0",""),"-","")))&gt;(LEN(SUBSTITUTE(SUBSTITUTE(SUBSTITUTE(E375:E379," ",""),"0",""),"-",""))+LEN(SUBSTITUTE(SUBSTITUTE(SUBSTITUTE(F375:F379," ",""),"0",""),"-",""))))*1)</f>
      </c>
      <c r="C374" s="14" t="str">
        <f>SUMPRODUCT(LEN(SUBSTITUTE(SUBSTITUTE(SUBSTITUTE(B375:B379," ",""),"0",""),"-",""))+LEN(SUBSTITUTE(SUBSTITUTE(SUBSTITUTE(C375:C379," ",""),"0",""),"-","")))</f>
      </c>
      <c r="D374" s="18"/>
      <c r="E374" s="14" t="str">
        <f>SUMPRODUCT(LEN(SUBSTITUTE(SUBSTITUTE(SUBSTITUTE(E375:E379," ",""),"0",""),"-",""))+LEN(SUBSTITUTE(SUBSTITUTE(SUBSTITUTE(F375:F379," ",""),"0",""),"-","")))</f>
      </c>
      <c r="F374" s="14" t="str">
        <f>SUMPRODUCT((UPPER(D375:D379)&lt;&gt;"X")*((LEN(SUBSTITUTE(SUBSTITUTE(SUBSTITUTE(E375:E379," ",""),"0",""),"-",""))+LEN(SUBSTITUTE(SUBSTITUTE(SUBSTITUTE(F375:F379," ",""),"0",""),"-","")))&gt;(LEN(SUBSTITUTE(SUBSTITUTE(SUBSTITUTE(B375:B379," ",""),"0",""),"-",""))+LEN(SUBSTITUTE(SUBSTITUTE(SUBSTITUTE(C375:C379," ",""),"0",""),"-",""))))*1)</f>
      </c>
      <c r="G374" s="14" t="str">
        <f>'data'!$B$29</f>
      </c>
      <c r="I374" s="14" t="str">
        <f>'data'!$B$75</f>
      </c>
      <c r="J374" s="14" t="str">
        <f>SUMPRODUCT((UPPER(L375:L379)&lt;&gt;"X")*((LEN(SUBSTITUTE(SUBSTITUTE(SUBSTITUTE(J375:J379," ",""),"0",""),"-",""))+LEN(SUBSTITUTE(SUBSTITUTE(SUBSTITUTE(K375:K379," ",""),"0",""),"-","")))&gt;(LEN(SUBSTITUTE(SUBSTITUTE(SUBSTITUTE(M375:M379," ",""),"0",""),"-",""))+LEN(SUBSTITUTE(SUBSTITUTE(SUBSTITUTE(N375:N379," ",""),"0",""),"-",""))))*1)</f>
      </c>
      <c r="K374" s="14" t="str">
        <f>SUMPRODUCT(LEN(SUBSTITUTE(SUBSTITUTE(SUBSTITUTE(J375:J379," ",""),"0",""),"-",""))+LEN(SUBSTITUTE(SUBSTITUTE(SUBSTITUTE(K375:K379," ",""),"0",""),"-","")))</f>
      </c>
      <c r="L374" s="18"/>
      <c r="M374" s="14" t="str">
        <f>SUMPRODUCT(LEN(SUBSTITUTE(SUBSTITUTE(SUBSTITUTE(M375:M379," ",""),"0",""),"-",""))+LEN(SUBSTITUTE(SUBSTITUTE(SUBSTITUTE(N375:N379," ",""),"0",""),"-","")))</f>
      </c>
      <c r="N374" s="14" t="str">
        <f>SUMPRODUCT((UPPER(L375:L379)&lt;&gt;"X")*((LEN(SUBSTITUTE(SUBSTITUTE(SUBSTITUTE(M375:M379," ",""),"0",""),"-",""))+LEN(SUBSTITUTE(SUBSTITUTE(SUBSTITUTE(N375:N379," ",""),"0",""),"-","")))&gt;(LEN(SUBSTITUTE(SUBSTITUTE(SUBSTITUTE(J375:J379," ",""),"0",""),"-",""))+LEN(SUBSTITUTE(SUBSTITUTE(SUBSTITUTE(K375:K379," ",""),"0",""),"-",""))))*1)</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SUMPRODUCT((UPPER(D402:D406)&lt;&gt;"X")*((LEN(SUBSTITUTE(SUBSTITUTE(SUBSTITUTE(B402:B406," ",""),"0",""),"-",""))+LEN(SUBSTITUTE(SUBSTITUTE(SUBSTITUTE(C402:C406," ",""),"0",""),"-","")))&gt;(LEN(SUBSTITUTE(SUBSTITUTE(SUBSTITUTE(E402:E406," ",""),"0",""),"-",""))+LEN(SUBSTITUTE(SUBSTITUTE(SUBSTITUTE(F402:F406," ",""),"0",""),"-",""))))*1)</f>
      </c>
      <c r="C401" s="14" t="str">
        <f>SUMPRODUCT(LEN(SUBSTITUTE(SUBSTITUTE(SUBSTITUTE(B402:B406," ",""),"0",""),"-",""))+LEN(SUBSTITUTE(SUBSTITUTE(SUBSTITUTE(C402:C406," ",""),"0",""),"-","")))</f>
      </c>
      <c r="D401" s="18"/>
      <c r="E401" s="14" t="str">
        <f>SUMPRODUCT(LEN(SUBSTITUTE(SUBSTITUTE(SUBSTITUTE(E402:E406," ",""),"0",""),"-",""))+LEN(SUBSTITUTE(SUBSTITUTE(SUBSTITUTE(F402:F406," ",""),"0",""),"-","")))</f>
      </c>
      <c r="F401" s="14" t="str">
        <f>SUMPRODUCT((UPPER(D402:D406)&lt;&gt;"X")*((LEN(SUBSTITUTE(SUBSTITUTE(SUBSTITUTE(E402:E406," ",""),"0",""),"-",""))+LEN(SUBSTITUTE(SUBSTITUTE(SUBSTITUTE(F402:F406," ",""),"0",""),"-","")))&gt;(LEN(SUBSTITUTE(SUBSTITUTE(SUBSTITUTE(B402:B406," ",""),"0",""),"-",""))+LEN(SUBSTITUTE(SUBSTITUTE(SUBSTITUTE(C402:C406," ",""),"0",""),"-",""))))*1)</f>
      </c>
      <c r="G401" s="14" t="str">
        <f>'data'!$B$31</f>
      </c>
      <c r="I401" s="14" t="str">
        <f>'data'!$B$77</f>
      </c>
      <c r="J401" s="14" t="str">
        <f>SUMPRODUCT((UPPER(L402:L406)&lt;&gt;"X")*((LEN(SUBSTITUTE(SUBSTITUTE(SUBSTITUTE(J402:J406," ",""),"0",""),"-",""))+LEN(SUBSTITUTE(SUBSTITUTE(SUBSTITUTE(K402:K406," ",""),"0",""),"-","")))&gt;(LEN(SUBSTITUTE(SUBSTITUTE(SUBSTITUTE(M402:M406," ",""),"0",""),"-",""))+LEN(SUBSTITUTE(SUBSTITUTE(SUBSTITUTE(N402:N406," ",""),"0",""),"-",""))))*1)</f>
      </c>
      <c r="K401" s="14" t="str">
        <f>SUMPRODUCT(LEN(SUBSTITUTE(SUBSTITUTE(SUBSTITUTE(J402:J406," ",""),"0",""),"-",""))+LEN(SUBSTITUTE(SUBSTITUTE(SUBSTITUTE(K402:K406," ",""),"0",""),"-","")))</f>
      </c>
      <c r="L401" s="18"/>
      <c r="M401" s="14" t="str">
        <f>SUMPRODUCT(LEN(SUBSTITUTE(SUBSTITUTE(SUBSTITUTE(M402:M406," ",""),"0",""),"-",""))+LEN(SUBSTITUTE(SUBSTITUTE(SUBSTITUTE(N402:N406," ",""),"0",""),"-","")))</f>
      </c>
      <c r="N401" s="14" t="str">
        <f>SUMPRODUCT((UPPER(L402:L406)&lt;&gt;"X")*((LEN(SUBSTITUTE(SUBSTITUTE(SUBSTITUTE(M402:M406," ",""),"0",""),"-",""))+LEN(SUBSTITUTE(SUBSTITUTE(SUBSTITUTE(N402:N406," ",""),"0",""),"-","")))&gt;(LEN(SUBSTITUTE(SUBSTITUTE(SUBSTITUTE(J402:J406," ",""),"0",""),"-",""))+LEN(SUBSTITUTE(SUBSTITUTE(SUBSTITUTE(K402:K406," ",""),"0",""),"-",""))))*1)</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SUMPRODUCT((UPPER(D410:D414)&lt;&gt;"X")*((LEN(SUBSTITUTE(SUBSTITUTE(SUBSTITUTE(B410:B414," ",""),"0",""),"-",""))+LEN(SUBSTITUTE(SUBSTITUTE(SUBSTITUTE(C410:C414," ",""),"0",""),"-","")))&gt;(LEN(SUBSTITUTE(SUBSTITUTE(SUBSTITUTE(E410:E414," ",""),"0",""),"-",""))+LEN(SUBSTITUTE(SUBSTITUTE(SUBSTITUTE(F410:F414," ",""),"0",""),"-",""))))*1)</f>
      </c>
      <c r="C409" s="14" t="str">
        <f>SUMPRODUCT(LEN(SUBSTITUTE(SUBSTITUTE(SUBSTITUTE(B410:B414," ",""),"0",""),"-",""))+LEN(SUBSTITUTE(SUBSTITUTE(SUBSTITUTE(C410:C414," ",""),"0",""),"-","")))</f>
      </c>
      <c r="D409" s="18"/>
      <c r="E409" s="14" t="str">
        <f>SUMPRODUCT(LEN(SUBSTITUTE(SUBSTITUTE(SUBSTITUTE(E410:E414," ",""),"0",""),"-",""))+LEN(SUBSTITUTE(SUBSTITUTE(SUBSTITUTE(F410:F414," ",""),"0",""),"-","")))</f>
      </c>
      <c r="F409" s="14" t="str">
        <f>SUMPRODUCT((UPPER(D410:D414)&lt;&gt;"X")*((LEN(SUBSTITUTE(SUBSTITUTE(SUBSTITUTE(E410:E414," ",""),"0",""),"-",""))+LEN(SUBSTITUTE(SUBSTITUTE(SUBSTITUTE(F410:F414," ",""),"0",""),"-","")))&gt;(LEN(SUBSTITUTE(SUBSTITUTE(SUBSTITUTE(B410:B414," ",""),"0",""),"-",""))+LEN(SUBSTITUTE(SUBSTITUTE(SUBSTITUTE(C410:C414," ",""),"0",""),"-",""))))*1)</f>
      </c>
      <c r="G409" s="14" t="str">
        <f>'data'!$B$31</f>
      </c>
      <c r="I409" s="14" t="str">
        <f>'data'!$B$78</f>
      </c>
      <c r="J409" s="14" t="str">
        <f>SUMPRODUCT((UPPER(L410:L414)&lt;&gt;"X")*((LEN(SUBSTITUTE(SUBSTITUTE(SUBSTITUTE(J410:J414," ",""),"0",""),"-",""))+LEN(SUBSTITUTE(SUBSTITUTE(SUBSTITUTE(K410:K414," ",""),"0",""),"-","")))&gt;(LEN(SUBSTITUTE(SUBSTITUTE(SUBSTITUTE(M410:M414," ",""),"0",""),"-",""))+LEN(SUBSTITUTE(SUBSTITUTE(SUBSTITUTE(N410:N414," ",""),"0",""),"-",""))))*1)</f>
      </c>
      <c r="K409" s="14" t="str">
        <f>SUMPRODUCT(LEN(SUBSTITUTE(SUBSTITUTE(SUBSTITUTE(J410:J414," ",""),"0",""),"-",""))+LEN(SUBSTITUTE(SUBSTITUTE(SUBSTITUTE(K410:K414," ",""),"0",""),"-","")))</f>
      </c>
      <c r="L409" s="18"/>
      <c r="M409" s="14" t="str">
        <f>SUMPRODUCT(LEN(SUBSTITUTE(SUBSTITUTE(SUBSTITUTE(M410:M414," ",""),"0",""),"-",""))+LEN(SUBSTITUTE(SUBSTITUTE(SUBSTITUTE(N410:N414," ",""),"0",""),"-","")))</f>
      </c>
      <c r="N409" s="14" t="str">
        <f>SUMPRODUCT((UPPER(L410:L414)&lt;&gt;"X")*((LEN(SUBSTITUTE(SUBSTITUTE(SUBSTITUTE(M410:M414," ",""),"0",""),"-",""))+LEN(SUBSTITUTE(SUBSTITUTE(SUBSTITUTE(N410:N414," ",""),"0",""),"-","")))&gt;(LEN(SUBSTITUTE(SUBSTITUTE(SUBSTITUTE(J410:J414," ",""),"0",""),"-",""))+LEN(SUBSTITUTE(SUBSTITUTE(SUBSTITUTE(K410:K414," ",""),"0",""),"-",""))))*1)</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SUMPRODUCT((UPPER(D418:D422)&lt;&gt;"X")*((LEN(SUBSTITUTE(SUBSTITUTE(SUBSTITUTE(B418:B422," ",""),"0",""),"-",""))+LEN(SUBSTITUTE(SUBSTITUTE(SUBSTITUTE(C418:C422," ",""),"0",""),"-","")))&gt;(LEN(SUBSTITUTE(SUBSTITUTE(SUBSTITUTE(E418:E422," ",""),"0",""),"-",""))+LEN(SUBSTITUTE(SUBSTITUTE(SUBSTITUTE(F418:F422," ",""),"0",""),"-",""))))*1)</f>
      </c>
      <c r="C417" s="14" t="str">
        <f>SUMPRODUCT(LEN(SUBSTITUTE(SUBSTITUTE(SUBSTITUTE(B418:B422," ",""),"0",""),"-",""))+LEN(SUBSTITUTE(SUBSTITUTE(SUBSTITUTE(C418:C422," ",""),"0",""),"-","")))</f>
      </c>
      <c r="D417" s="18"/>
      <c r="E417" s="14" t="str">
        <f>SUMPRODUCT(LEN(SUBSTITUTE(SUBSTITUTE(SUBSTITUTE(E418:E422," ",""),"0",""),"-",""))+LEN(SUBSTITUTE(SUBSTITUTE(SUBSTITUTE(F418:F422," ",""),"0",""),"-","")))</f>
      </c>
      <c r="F417" s="14" t="str">
        <f>SUMPRODUCT((UPPER(D418:D422)&lt;&gt;"X")*((LEN(SUBSTITUTE(SUBSTITUTE(SUBSTITUTE(E418:E422," ",""),"0",""),"-",""))+LEN(SUBSTITUTE(SUBSTITUTE(SUBSTITUTE(F418:F422," ",""),"0",""),"-","")))&gt;(LEN(SUBSTITUTE(SUBSTITUTE(SUBSTITUTE(B418:B422," ",""),"0",""),"-",""))+LEN(SUBSTITUTE(SUBSTITUTE(SUBSTITUTE(C418:C422," ",""),"0",""),"-",""))))*1)</f>
      </c>
      <c r="G417" s="14" t="str">
        <f>'data'!$B$32</f>
      </c>
      <c r="I417" s="14" t="str">
        <f>'data'!$B$78</f>
      </c>
      <c r="J417" s="14" t="str">
        <f>SUMPRODUCT((UPPER(L418:L422)&lt;&gt;"X")*((LEN(SUBSTITUTE(SUBSTITUTE(SUBSTITUTE(J418:J422," ",""),"0",""),"-",""))+LEN(SUBSTITUTE(SUBSTITUTE(SUBSTITUTE(K418:K422," ",""),"0",""),"-","")))&gt;(LEN(SUBSTITUTE(SUBSTITUTE(SUBSTITUTE(M418:M422," ",""),"0",""),"-",""))+LEN(SUBSTITUTE(SUBSTITUTE(SUBSTITUTE(N418:N422," ",""),"0",""),"-",""))))*1)</f>
      </c>
      <c r="K417" s="14" t="str">
        <f>SUMPRODUCT(LEN(SUBSTITUTE(SUBSTITUTE(SUBSTITUTE(J418:J422," ",""),"0",""),"-",""))+LEN(SUBSTITUTE(SUBSTITUTE(SUBSTITUTE(K418:K422," ",""),"0",""),"-","")))</f>
      </c>
      <c r="L417" s="18"/>
      <c r="M417" s="14" t="str">
        <f>SUMPRODUCT(LEN(SUBSTITUTE(SUBSTITUTE(SUBSTITUTE(M418:M422," ",""),"0",""),"-",""))+LEN(SUBSTITUTE(SUBSTITUTE(SUBSTITUTE(N418:N422," ",""),"0",""),"-","")))</f>
      </c>
      <c r="N417" s="14" t="str">
        <f>SUMPRODUCT((UPPER(L418:L422)&lt;&gt;"X")*((LEN(SUBSTITUTE(SUBSTITUTE(SUBSTITUTE(M418:M422," ",""),"0",""),"-",""))+LEN(SUBSTITUTE(SUBSTITUTE(SUBSTITUTE(N418:N422," ",""),"0",""),"-","")))&gt;(LEN(SUBSTITUTE(SUBSTITUTE(SUBSTITUTE(J418:J422," ",""),"0",""),"-",""))+LEN(SUBSTITUTE(SUBSTITUTE(SUBSTITUTE(K418:K422," ",""),"0",""),"-",""))))*1)</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SUMPRODUCT((UPPER(D445:D449)&lt;&gt;"X")*((LEN(SUBSTITUTE(SUBSTITUTE(SUBSTITUTE(B445:B449," ",""),"0",""),"-",""))+LEN(SUBSTITUTE(SUBSTITUTE(SUBSTITUTE(C445:C449," ",""),"0",""),"-","")))&gt;(LEN(SUBSTITUTE(SUBSTITUTE(SUBSTITUTE(E445:E449," ",""),"0",""),"-",""))+LEN(SUBSTITUTE(SUBSTITUTE(SUBSTITUTE(F445:F449," ",""),"0",""),"-",""))))*1)</f>
      </c>
      <c r="C444" s="14" t="str">
        <f>SUMPRODUCT(LEN(SUBSTITUTE(SUBSTITUTE(SUBSTITUTE(B445:B449," ",""),"0",""),"-",""))+LEN(SUBSTITUTE(SUBSTITUTE(SUBSTITUTE(C445:C449," ",""),"0",""),"-","")))</f>
      </c>
      <c r="D444" s="18"/>
      <c r="E444" s="14" t="str">
        <f>SUMPRODUCT(LEN(SUBSTITUTE(SUBSTITUTE(SUBSTITUTE(E445:E449," ",""),"0",""),"-",""))+LEN(SUBSTITUTE(SUBSTITUTE(SUBSTITUTE(F445:F449," ",""),"0",""),"-","")))</f>
      </c>
      <c r="F444" s="14" t="str">
        <f>SUMPRODUCT((UPPER(D445:D449)&lt;&gt;"X")*((LEN(SUBSTITUTE(SUBSTITUTE(SUBSTITUTE(E445:E449," ",""),"0",""),"-",""))+LEN(SUBSTITUTE(SUBSTITUTE(SUBSTITUTE(F445:F449," ",""),"0",""),"-","")))&gt;(LEN(SUBSTITUTE(SUBSTITUTE(SUBSTITUTE(B445:B449," ",""),"0",""),"-",""))+LEN(SUBSTITUTE(SUBSTITUTE(SUBSTITUTE(C445:C449," ",""),"0",""),"-",""))))*1)</f>
      </c>
      <c r="G444" s="14" t="str">
        <f>'data'!$B$34</f>
      </c>
      <c r="I444" s="14" t="str">
        <f>'data'!$B$80</f>
      </c>
      <c r="J444" s="14" t="str">
        <f>SUMPRODUCT((UPPER(L445:L449)&lt;&gt;"X")*((LEN(SUBSTITUTE(SUBSTITUTE(SUBSTITUTE(J445:J449," ",""),"0",""),"-",""))+LEN(SUBSTITUTE(SUBSTITUTE(SUBSTITUTE(K445:K449," ",""),"0",""),"-","")))&gt;(LEN(SUBSTITUTE(SUBSTITUTE(SUBSTITUTE(M445:M449," ",""),"0",""),"-",""))+LEN(SUBSTITUTE(SUBSTITUTE(SUBSTITUTE(N445:N449," ",""),"0",""),"-",""))))*1)</f>
      </c>
      <c r="K444" s="14" t="str">
        <f>SUMPRODUCT(LEN(SUBSTITUTE(SUBSTITUTE(SUBSTITUTE(J445:J449," ",""),"0",""),"-",""))+LEN(SUBSTITUTE(SUBSTITUTE(SUBSTITUTE(K445:K449," ",""),"0",""),"-","")))</f>
      </c>
      <c r="L444" s="18"/>
      <c r="M444" s="14" t="str">
        <f>SUMPRODUCT(LEN(SUBSTITUTE(SUBSTITUTE(SUBSTITUTE(M445:M449," ",""),"0",""),"-",""))+LEN(SUBSTITUTE(SUBSTITUTE(SUBSTITUTE(N445:N449," ",""),"0",""),"-","")))</f>
      </c>
      <c r="N444" s="14" t="str">
        <f>SUMPRODUCT((UPPER(L445:L449)&lt;&gt;"X")*((LEN(SUBSTITUTE(SUBSTITUTE(SUBSTITUTE(M445:M449," ",""),"0",""),"-",""))+LEN(SUBSTITUTE(SUBSTITUTE(SUBSTITUTE(N445:N449," ",""),"0",""),"-","")))&gt;(LEN(SUBSTITUTE(SUBSTITUTE(SUBSTITUTE(J445:J449," ",""),"0",""),"-",""))+LEN(SUBSTITUTE(SUBSTITUTE(SUBSTITUTE(K445:K449," ",""),"0",""),"-",""))))*1)</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SUMPRODUCT((UPPER(D453:D457)&lt;&gt;"X")*((LEN(SUBSTITUTE(SUBSTITUTE(SUBSTITUTE(B453:B457," ",""),"0",""),"-",""))+LEN(SUBSTITUTE(SUBSTITUTE(SUBSTITUTE(C453:C457," ",""),"0",""),"-","")))&gt;(LEN(SUBSTITUTE(SUBSTITUTE(SUBSTITUTE(E453:E457," ",""),"0",""),"-",""))+LEN(SUBSTITUTE(SUBSTITUTE(SUBSTITUTE(F453:F457," ",""),"0",""),"-",""))))*1)</f>
      </c>
      <c r="C452" s="14" t="str">
        <f>SUMPRODUCT(LEN(SUBSTITUTE(SUBSTITUTE(SUBSTITUTE(B453:B457," ",""),"0",""),"-",""))+LEN(SUBSTITUTE(SUBSTITUTE(SUBSTITUTE(C453:C457," ",""),"0",""),"-","")))</f>
      </c>
      <c r="D452" s="18"/>
      <c r="E452" s="14" t="str">
        <f>SUMPRODUCT(LEN(SUBSTITUTE(SUBSTITUTE(SUBSTITUTE(E453:E457," ",""),"0",""),"-",""))+LEN(SUBSTITUTE(SUBSTITUTE(SUBSTITUTE(F453:F457," ",""),"0",""),"-","")))</f>
      </c>
      <c r="F452" s="14" t="str">
        <f>SUMPRODUCT((UPPER(D453:D457)&lt;&gt;"X")*((LEN(SUBSTITUTE(SUBSTITUTE(SUBSTITUTE(E453:E457," ",""),"0",""),"-",""))+LEN(SUBSTITUTE(SUBSTITUTE(SUBSTITUTE(F453:F457," ",""),"0",""),"-","")))&gt;(LEN(SUBSTITUTE(SUBSTITUTE(SUBSTITUTE(B453:B457," ",""),"0",""),"-",""))+LEN(SUBSTITUTE(SUBSTITUTE(SUBSTITUTE(C453:C457," ",""),"0",""),"-",""))))*1)</f>
      </c>
      <c r="G452" s="14" t="str">
        <f>'data'!$B$34</f>
      </c>
      <c r="I452" s="14" t="str">
        <f>'data'!$B$81</f>
      </c>
      <c r="J452" s="14" t="str">
        <f>SUMPRODUCT((UPPER(L453:L457)&lt;&gt;"X")*((LEN(SUBSTITUTE(SUBSTITUTE(SUBSTITUTE(J453:J457," ",""),"0",""),"-",""))+LEN(SUBSTITUTE(SUBSTITUTE(SUBSTITUTE(K453:K457," ",""),"0",""),"-","")))&gt;(LEN(SUBSTITUTE(SUBSTITUTE(SUBSTITUTE(M453:M457," ",""),"0",""),"-",""))+LEN(SUBSTITUTE(SUBSTITUTE(SUBSTITUTE(N453:N457," ",""),"0",""),"-",""))))*1)</f>
      </c>
      <c r="K452" s="14" t="str">
        <f>SUMPRODUCT(LEN(SUBSTITUTE(SUBSTITUTE(SUBSTITUTE(J453:J457," ",""),"0",""),"-",""))+LEN(SUBSTITUTE(SUBSTITUTE(SUBSTITUTE(K453:K457," ",""),"0",""),"-","")))</f>
      </c>
      <c r="L452" s="18"/>
      <c r="M452" s="14" t="str">
        <f>SUMPRODUCT(LEN(SUBSTITUTE(SUBSTITUTE(SUBSTITUTE(M453:M457," ",""),"0",""),"-",""))+LEN(SUBSTITUTE(SUBSTITUTE(SUBSTITUTE(N453:N457," ",""),"0",""),"-","")))</f>
      </c>
      <c r="N452" s="14" t="str">
        <f>SUMPRODUCT((UPPER(L453:L457)&lt;&gt;"X")*((LEN(SUBSTITUTE(SUBSTITUTE(SUBSTITUTE(M453:M457," ",""),"0",""),"-",""))+LEN(SUBSTITUTE(SUBSTITUTE(SUBSTITUTE(N453:N457," ",""),"0",""),"-","")))&gt;(LEN(SUBSTITUTE(SUBSTITUTE(SUBSTITUTE(J453:J457," ",""),"0",""),"-",""))+LEN(SUBSTITUTE(SUBSTITUTE(SUBSTITUTE(K453:K457," ",""),"0",""),"-",""))))*1)</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SUMPRODUCT((UPPER(D461:D465)&lt;&gt;"X")*((LEN(SUBSTITUTE(SUBSTITUTE(SUBSTITUTE(B461:B465," ",""),"0",""),"-",""))+LEN(SUBSTITUTE(SUBSTITUTE(SUBSTITUTE(C461:C465," ",""),"0",""),"-","")))&gt;(LEN(SUBSTITUTE(SUBSTITUTE(SUBSTITUTE(E461:E465," ",""),"0",""),"-",""))+LEN(SUBSTITUTE(SUBSTITUTE(SUBSTITUTE(F461:F465," ",""),"0",""),"-",""))))*1)</f>
      </c>
      <c r="C460" s="14" t="str">
        <f>SUMPRODUCT(LEN(SUBSTITUTE(SUBSTITUTE(SUBSTITUTE(B461:B465," ",""),"0",""),"-",""))+LEN(SUBSTITUTE(SUBSTITUTE(SUBSTITUTE(C461:C465," ",""),"0",""),"-","")))</f>
      </c>
      <c r="D460" s="18"/>
      <c r="E460" s="14" t="str">
        <f>SUMPRODUCT(LEN(SUBSTITUTE(SUBSTITUTE(SUBSTITUTE(E461:E465," ",""),"0",""),"-",""))+LEN(SUBSTITUTE(SUBSTITUTE(SUBSTITUTE(F461:F465," ",""),"0",""),"-","")))</f>
      </c>
      <c r="F460" s="14" t="str">
        <f>SUMPRODUCT((UPPER(D461:D465)&lt;&gt;"X")*((LEN(SUBSTITUTE(SUBSTITUTE(SUBSTITUTE(E461:E465," ",""),"0",""),"-",""))+LEN(SUBSTITUTE(SUBSTITUTE(SUBSTITUTE(F461:F465," ",""),"0",""),"-","")))&gt;(LEN(SUBSTITUTE(SUBSTITUTE(SUBSTITUTE(B461:B465," ",""),"0",""),"-",""))+LEN(SUBSTITUTE(SUBSTITUTE(SUBSTITUTE(C461:C465," ",""),"0",""),"-",""))))*1)</f>
      </c>
      <c r="G460" s="14" t="str">
        <f>'data'!$B$35</f>
      </c>
      <c r="I460" s="14" t="str">
        <f>'data'!$B$81</f>
      </c>
      <c r="J460" s="14" t="str">
        <f>SUMPRODUCT((UPPER(L461:L465)&lt;&gt;"X")*((LEN(SUBSTITUTE(SUBSTITUTE(SUBSTITUTE(J461:J465," ",""),"0",""),"-",""))+LEN(SUBSTITUTE(SUBSTITUTE(SUBSTITUTE(K461:K465," ",""),"0",""),"-","")))&gt;(LEN(SUBSTITUTE(SUBSTITUTE(SUBSTITUTE(M461:M465," ",""),"0",""),"-",""))+LEN(SUBSTITUTE(SUBSTITUTE(SUBSTITUTE(N461:N465," ",""),"0",""),"-",""))))*1)</f>
      </c>
      <c r="K460" s="14" t="str">
        <f>SUMPRODUCT(LEN(SUBSTITUTE(SUBSTITUTE(SUBSTITUTE(J461:J465," ",""),"0",""),"-",""))+LEN(SUBSTITUTE(SUBSTITUTE(SUBSTITUTE(K461:K465," ",""),"0",""),"-","")))</f>
      </c>
      <c r="L460" s="18"/>
      <c r="M460" s="14" t="str">
        <f>SUMPRODUCT(LEN(SUBSTITUTE(SUBSTITUTE(SUBSTITUTE(M461:M465," ",""),"0",""),"-",""))+LEN(SUBSTITUTE(SUBSTITUTE(SUBSTITUTE(N461:N465," ",""),"0",""),"-","")))</f>
      </c>
      <c r="N460" s="14" t="str">
        <f>SUMPRODUCT((UPPER(L461:L465)&lt;&gt;"X")*((LEN(SUBSTITUTE(SUBSTITUTE(SUBSTITUTE(M461:M465," ",""),"0",""),"-",""))+LEN(SUBSTITUTE(SUBSTITUTE(SUBSTITUTE(N461:N465," ",""),"0",""),"-","")))&gt;(LEN(SUBSTITUTE(SUBSTITUTE(SUBSTITUTE(J461:J465," ",""),"0",""),"-",""))+LEN(SUBSTITUTE(SUBSTITUTE(SUBSTITUTE(K461:K465," ",""),"0",""),"-",""))))*1)</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SUMPRODUCT((UPPER(D488:D492)&lt;&gt;"X")*((LEN(SUBSTITUTE(SUBSTITUTE(SUBSTITUTE(B488:B492," ",""),"0",""),"-",""))+LEN(SUBSTITUTE(SUBSTITUTE(SUBSTITUTE(C488:C492," ",""),"0",""),"-","")))&gt;(LEN(SUBSTITUTE(SUBSTITUTE(SUBSTITUTE(E488:E492," ",""),"0",""),"-",""))+LEN(SUBSTITUTE(SUBSTITUTE(SUBSTITUTE(F488:F492," ",""),"0",""),"-",""))))*1)</f>
      </c>
      <c r="C487" s="14" t="str">
        <f>SUMPRODUCT(LEN(SUBSTITUTE(SUBSTITUTE(SUBSTITUTE(B488:B492," ",""),"0",""),"-",""))+LEN(SUBSTITUTE(SUBSTITUTE(SUBSTITUTE(C488:C492," ",""),"0",""),"-","")))</f>
      </c>
      <c r="D487" s="18"/>
      <c r="E487" s="14" t="str">
        <f>SUMPRODUCT(LEN(SUBSTITUTE(SUBSTITUTE(SUBSTITUTE(E488:E492," ",""),"0",""),"-",""))+LEN(SUBSTITUTE(SUBSTITUTE(SUBSTITUTE(F488:F492," ",""),"0",""),"-","")))</f>
      </c>
      <c r="F487" s="14" t="str">
        <f>SUMPRODUCT((UPPER(D488:D492)&lt;&gt;"X")*((LEN(SUBSTITUTE(SUBSTITUTE(SUBSTITUTE(E488:E492," ",""),"0",""),"-",""))+LEN(SUBSTITUTE(SUBSTITUTE(SUBSTITUTE(F488:F492," ",""),"0",""),"-","")))&gt;(LEN(SUBSTITUTE(SUBSTITUTE(SUBSTITUTE(B488:B492," ",""),"0",""),"-",""))+LEN(SUBSTITUTE(SUBSTITUTE(SUBSTITUTE(C488:C492," ",""),"0",""),"-",""))))*1)</f>
      </c>
      <c r="G487" s="14" t="str">
        <f>'data'!$B$37</f>
      </c>
      <c r="I487" s="14" t="str">
        <f>'data'!$B$83</f>
      </c>
      <c r="J487" s="14" t="str">
        <f>SUMPRODUCT((UPPER(L488:L492)&lt;&gt;"X")*((LEN(SUBSTITUTE(SUBSTITUTE(SUBSTITUTE(J488:J492," ",""),"0",""),"-",""))+LEN(SUBSTITUTE(SUBSTITUTE(SUBSTITUTE(K488:K492," ",""),"0",""),"-","")))&gt;(LEN(SUBSTITUTE(SUBSTITUTE(SUBSTITUTE(M488:M492," ",""),"0",""),"-",""))+LEN(SUBSTITUTE(SUBSTITUTE(SUBSTITUTE(N488:N492," ",""),"0",""),"-",""))))*1)</f>
      </c>
      <c r="K487" s="14" t="str">
        <f>SUMPRODUCT(LEN(SUBSTITUTE(SUBSTITUTE(SUBSTITUTE(J488:J492," ",""),"0",""),"-",""))+LEN(SUBSTITUTE(SUBSTITUTE(SUBSTITUTE(K488:K492," ",""),"0",""),"-","")))</f>
      </c>
      <c r="L487" s="18"/>
      <c r="M487" s="14" t="str">
        <f>SUMPRODUCT(LEN(SUBSTITUTE(SUBSTITUTE(SUBSTITUTE(M488:M492," ",""),"0",""),"-",""))+LEN(SUBSTITUTE(SUBSTITUTE(SUBSTITUTE(N488:N492," ",""),"0",""),"-","")))</f>
      </c>
      <c r="N487" s="14" t="str">
        <f>SUMPRODUCT((UPPER(L488:L492)&lt;&gt;"X")*((LEN(SUBSTITUTE(SUBSTITUTE(SUBSTITUTE(M488:M492," ",""),"0",""),"-",""))+LEN(SUBSTITUTE(SUBSTITUTE(SUBSTITUTE(N488:N492," ",""),"0",""),"-","")))&gt;(LEN(SUBSTITUTE(SUBSTITUTE(SUBSTITUTE(J488:J492," ",""),"0",""),"-",""))+LEN(SUBSTITUTE(SUBSTITUTE(SUBSTITUTE(K488:K492," ",""),"0",""),"-",""))))*1)</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SUMPRODUCT((UPPER(D496:D500)&lt;&gt;"X")*((LEN(SUBSTITUTE(SUBSTITUTE(SUBSTITUTE(B496:B500," ",""),"0",""),"-",""))+LEN(SUBSTITUTE(SUBSTITUTE(SUBSTITUTE(C496:C500," ",""),"0",""),"-","")))&gt;(LEN(SUBSTITUTE(SUBSTITUTE(SUBSTITUTE(E496:E500," ",""),"0",""),"-",""))+LEN(SUBSTITUTE(SUBSTITUTE(SUBSTITUTE(F496:F500," ",""),"0",""),"-",""))))*1)</f>
      </c>
      <c r="C495" s="14" t="str">
        <f>SUMPRODUCT(LEN(SUBSTITUTE(SUBSTITUTE(SUBSTITUTE(B496:B500," ",""),"0",""),"-",""))+LEN(SUBSTITUTE(SUBSTITUTE(SUBSTITUTE(C496:C500," ",""),"0",""),"-","")))</f>
      </c>
      <c r="D495" s="18"/>
      <c r="E495" s="14" t="str">
        <f>SUMPRODUCT(LEN(SUBSTITUTE(SUBSTITUTE(SUBSTITUTE(E496:E500," ",""),"0",""),"-",""))+LEN(SUBSTITUTE(SUBSTITUTE(SUBSTITUTE(F496:F500," ",""),"0",""),"-","")))</f>
      </c>
      <c r="F495" s="14" t="str">
        <f>SUMPRODUCT((UPPER(D496:D500)&lt;&gt;"X")*((LEN(SUBSTITUTE(SUBSTITUTE(SUBSTITUTE(E496:E500," ",""),"0",""),"-",""))+LEN(SUBSTITUTE(SUBSTITUTE(SUBSTITUTE(F496:F500," ",""),"0",""),"-","")))&gt;(LEN(SUBSTITUTE(SUBSTITUTE(SUBSTITUTE(B496:B500," ",""),"0",""),"-",""))+LEN(SUBSTITUTE(SUBSTITUTE(SUBSTITUTE(C496:C500," ",""),"0",""),"-",""))))*1)</f>
      </c>
      <c r="G495" s="14" t="str">
        <f>'data'!$B$37</f>
      </c>
      <c r="I495" s="14" t="str">
        <f>'data'!$B$84</f>
      </c>
      <c r="J495" s="14" t="str">
        <f>SUMPRODUCT((UPPER(L496:L500)&lt;&gt;"X")*((LEN(SUBSTITUTE(SUBSTITUTE(SUBSTITUTE(J496:J500," ",""),"0",""),"-",""))+LEN(SUBSTITUTE(SUBSTITUTE(SUBSTITUTE(K496:K500," ",""),"0",""),"-","")))&gt;(LEN(SUBSTITUTE(SUBSTITUTE(SUBSTITUTE(M496:M500," ",""),"0",""),"-",""))+LEN(SUBSTITUTE(SUBSTITUTE(SUBSTITUTE(N496:N500," ",""),"0",""),"-",""))))*1)</f>
      </c>
      <c r="K495" s="14" t="str">
        <f>SUMPRODUCT(LEN(SUBSTITUTE(SUBSTITUTE(SUBSTITUTE(J496:J500," ",""),"0",""),"-",""))+LEN(SUBSTITUTE(SUBSTITUTE(SUBSTITUTE(K496:K500," ",""),"0",""),"-","")))</f>
      </c>
      <c r="L495" s="18"/>
      <c r="M495" s="14" t="str">
        <f>SUMPRODUCT(LEN(SUBSTITUTE(SUBSTITUTE(SUBSTITUTE(M496:M500," ",""),"0",""),"-",""))+LEN(SUBSTITUTE(SUBSTITUTE(SUBSTITUTE(N496:N500," ",""),"0",""),"-","")))</f>
      </c>
      <c r="N495" s="14" t="str">
        <f>SUMPRODUCT((UPPER(L496:L500)&lt;&gt;"X")*((LEN(SUBSTITUTE(SUBSTITUTE(SUBSTITUTE(M496:M500," ",""),"0",""),"-",""))+LEN(SUBSTITUTE(SUBSTITUTE(SUBSTITUTE(N496:N500," ",""),"0",""),"-","")))&gt;(LEN(SUBSTITUTE(SUBSTITUTE(SUBSTITUTE(J496:J500," ",""),"0",""),"-",""))+LEN(SUBSTITUTE(SUBSTITUTE(SUBSTITUTE(K496:K500," ",""),"0",""),"-",""))))*1)</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SUMPRODUCT((UPPER(D504:D508)&lt;&gt;"X")*((LEN(SUBSTITUTE(SUBSTITUTE(SUBSTITUTE(B504:B508," ",""),"0",""),"-",""))+LEN(SUBSTITUTE(SUBSTITUTE(SUBSTITUTE(C504:C508," ",""),"0",""),"-","")))&gt;(LEN(SUBSTITUTE(SUBSTITUTE(SUBSTITUTE(E504:E508," ",""),"0",""),"-",""))+LEN(SUBSTITUTE(SUBSTITUTE(SUBSTITUTE(F504:F508," ",""),"0",""),"-",""))))*1)</f>
      </c>
      <c r="C503" s="14" t="str">
        <f>SUMPRODUCT(LEN(SUBSTITUTE(SUBSTITUTE(SUBSTITUTE(B504:B508," ",""),"0",""),"-",""))+LEN(SUBSTITUTE(SUBSTITUTE(SUBSTITUTE(C504:C508," ",""),"0",""),"-","")))</f>
      </c>
      <c r="D503" s="18"/>
      <c r="E503" s="14" t="str">
        <f>SUMPRODUCT(LEN(SUBSTITUTE(SUBSTITUTE(SUBSTITUTE(E504:E508," ",""),"0",""),"-",""))+LEN(SUBSTITUTE(SUBSTITUTE(SUBSTITUTE(F504:F508," ",""),"0",""),"-","")))</f>
      </c>
      <c r="F503" s="14" t="str">
        <f>SUMPRODUCT((UPPER(D504:D508)&lt;&gt;"X")*((LEN(SUBSTITUTE(SUBSTITUTE(SUBSTITUTE(E504:E508," ",""),"0",""),"-",""))+LEN(SUBSTITUTE(SUBSTITUTE(SUBSTITUTE(F504:F508," ",""),"0",""),"-","")))&gt;(LEN(SUBSTITUTE(SUBSTITUTE(SUBSTITUTE(B504:B508," ",""),"0",""),"-",""))+LEN(SUBSTITUTE(SUBSTITUTE(SUBSTITUTE(C504:C508," ",""),"0",""),"-",""))))*1)</f>
      </c>
      <c r="G503" s="14" t="str">
        <f>'data'!$B$38</f>
      </c>
      <c r="I503" s="14" t="str">
        <f>'data'!$B$84</f>
      </c>
      <c r="J503" s="14" t="str">
        <f>SUMPRODUCT((UPPER(L504:L508)&lt;&gt;"X")*((LEN(SUBSTITUTE(SUBSTITUTE(SUBSTITUTE(J504:J508," ",""),"0",""),"-",""))+LEN(SUBSTITUTE(SUBSTITUTE(SUBSTITUTE(K504:K508," ",""),"0",""),"-","")))&gt;(LEN(SUBSTITUTE(SUBSTITUTE(SUBSTITUTE(M504:M508," ",""),"0",""),"-",""))+LEN(SUBSTITUTE(SUBSTITUTE(SUBSTITUTE(N504:N508," ",""),"0",""),"-",""))))*1)</f>
      </c>
      <c r="K503" s="14" t="str">
        <f>SUMPRODUCT(LEN(SUBSTITUTE(SUBSTITUTE(SUBSTITUTE(J504:J508," ",""),"0",""),"-",""))+LEN(SUBSTITUTE(SUBSTITUTE(SUBSTITUTE(K504:K508," ",""),"0",""),"-","")))</f>
      </c>
      <c r="L503" s="18"/>
      <c r="M503" s="14" t="str">
        <f>SUMPRODUCT(LEN(SUBSTITUTE(SUBSTITUTE(SUBSTITUTE(M504:M508," ",""),"0",""),"-",""))+LEN(SUBSTITUTE(SUBSTITUTE(SUBSTITUTE(N504:N508," ",""),"0",""),"-","")))</f>
      </c>
      <c r="N503" s="14" t="str">
        <f>SUMPRODUCT((UPPER(L504:L508)&lt;&gt;"X")*((LEN(SUBSTITUTE(SUBSTITUTE(SUBSTITUTE(M504:M508," ",""),"0",""),"-",""))+LEN(SUBSTITUTE(SUBSTITUTE(SUBSTITUTE(N504:N508," ",""),"0",""),"-","")))&gt;(LEN(SUBSTITUTE(SUBSTITUTE(SUBSTITUTE(J504:J508," ",""),"0",""),"-",""))+LEN(SUBSTITUTE(SUBSTITUTE(SUBSTITUTE(K504:K508," ",""),"0",""),"-",""))))*1)</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SUMPRODUCT((UPPER(D531:D535)&lt;&gt;"X")*((LEN(SUBSTITUTE(SUBSTITUTE(SUBSTITUTE(B531:B535," ",""),"0",""),"-",""))+LEN(SUBSTITUTE(SUBSTITUTE(SUBSTITUTE(C531:C535," ",""),"0",""),"-","")))&gt;(LEN(SUBSTITUTE(SUBSTITUTE(SUBSTITUTE(E531:E535," ",""),"0",""),"-",""))+LEN(SUBSTITUTE(SUBSTITUTE(SUBSTITUTE(F531:F535," ",""),"0",""),"-",""))))*1)</f>
      </c>
      <c r="C530" s="14" t="str">
        <f>SUMPRODUCT(LEN(SUBSTITUTE(SUBSTITUTE(SUBSTITUTE(B531:B535," ",""),"0",""),"-",""))+LEN(SUBSTITUTE(SUBSTITUTE(SUBSTITUTE(C531:C535," ",""),"0",""),"-","")))</f>
      </c>
      <c r="D530" s="18"/>
      <c r="E530" s="14" t="str">
        <f>SUMPRODUCT(LEN(SUBSTITUTE(SUBSTITUTE(SUBSTITUTE(E531:E535," ",""),"0",""),"-",""))+LEN(SUBSTITUTE(SUBSTITUTE(SUBSTITUTE(F531:F535," ",""),"0",""),"-","")))</f>
      </c>
      <c r="F530" s="14" t="str">
        <f>SUMPRODUCT((UPPER(D531:D535)&lt;&gt;"X")*((LEN(SUBSTITUTE(SUBSTITUTE(SUBSTITUTE(E531:E535," ",""),"0",""),"-",""))+LEN(SUBSTITUTE(SUBSTITUTE(SUBSTITUTE(F531:F535," ",""),"0",""),"-","")))&gt;(LEN(SUBSTITUTE(SUBSTITUTE(SUBSTITUTE(B531:B535," ",""),"0",""),"-",""))+LEN(SUBSTITUTE(SUBSTITUTE(SUBSTITUTE(C531:C535," ",""),"0",""),"-",""))))*1)</f>
      </c>
      <c r="G530" s="14" t="str">
        <f>'data'!$B$40</f>
      </c>
      <c r="I530" s="14" t="str">
        <f>'data'!$B$86</f>
      </c>
      <c r="J530" s="14" t="str">
        <f>SUMPRODUCT((UPPER(L531:L535)&lt;&gt;"X")*((LEN(SUBSTITUTE(SUBSTITUTE(SUBSTITUTE(J531:J535," ",""),"0",""),"-",""))+LEN(SUBSTITUTE(SUBSTITUTE(SUBSTITUTE(K531:K535," ",""),"0",""),"-","")))&gt;(LEN(SUBSTITUTE(SUBSTITUTE(SUBSTITUTE(M531:M535," ",""),"0",""),"-",""))+LEN(SUBSTITUTE(SUBSTITUTE(SUBSTITUTE(N531:N535," ",""),"0",""),"-",""))))*1)</f>
      </c>
      <c r="K530" s="14" t="str">
        <f>SUMPRODUCT(LEN(SUBSTITUTE(SUBSTITUTE(SUBSTITUTE(J531:J535," ",""),"0",""),"-",""))+LEN(SUBSTITUTE(SUBSTITUTE(SUBSTITUTE(K531:K535," ",""),"0",""),"-","")))</f>
      </c>
      <c r="L530" s="18"/>
      <c r="M530" s="14" t="str">
        <f>SUMPRODUCT(LEN(SUBSTITUTE(SUBSTITUTE(SUBSTITUTE(M531:M535," ",""),"0",""),"-",""))+LEN(SUBSTITUTE(SUBSTITUTE(SUBSTITUTE(N531:N535," ",""),"0",""),"-","")))</f>
      </c>
      <c r="N530" s="14" t="str">
        <f>SUMPRODUCT((UPPER(L531:L535)&lt;&gt;"X")*((LEN(SUBSTITUTE(SUBSTITUTE(SUBSTITUTE(M531:M535," ",""),"0",""),"-",""))+LEN(SUBSTITUTE(SUBSTITUTE(SUBSTITUTE(N531:N535," ",""),"0",""),"-","")))&gt;(LEN(SUBSTITUTE(SUBSTITUTE(SUBSTITUTE(J531:J535," ",""),"0",""),"-",""))+LEN(SUBSTITUTE(SUBSTITUTE(SUBSTITUTE(K531:K535," ",""),"0",""),"-",""))))*1)</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SUMPRODUCT((UPPER(D539:D543)&lt;&gt;"X")*((LEN(SUBSTITUTE(SUBSTITUTE(SUBSTITUTE(B539:B543," ",""),"0",""),"-",""))+LEN(SUBSTITUTE(SUBSTITUTE(SUBSTITUTE(C539:C543," ",""),"0",""),"-","")))&gt;(LEN(SUBSTITUTE(SUBSTITUTE(SUBSTITUTE(E539:E543," ",""),"0",""),"-",""))+LEN(SUBSTITUTE(SUBSTITUTE(SUBSTITUTE(F539:F543," ",""),"0",""),"-",""))))*1)</f>
      </c>
      <c r="C538" s="14" t="str">
        <f>SUMPRODUCT(LEN(SUBSTITUTE(SUBSTITUTE(SUBSTITUTE(B539:B543," ",""),"0",""),"-",""))+LEN(SUBSTITUTE(SUBSTITUTE(SUBSTITUTE(C539:C543," ",""),"0",""),"-","")))</f>
      </c>
      <c r="D538" s="18"/>
      <c r="E538" s="14" t="str">
        <f>SUMPRODUCT(LEN(SUBSTITUTE(SUBSTITUTE(SUBSTITUTE(E539:E543," ",""),"0",""),"-",""))+LEN(SUBSTITUTE(SUBSTITUTE(SUBSTITUTE(F539:F543," ",""),"0",""),"-","")))</f>
      </c>
      <c r="F538" s="14" t="str">
        <f>SUMPRODUCT((UPPER(D539:D543)&lt;&gt;"X")*((LEN(SUBSTITUTE(SUBSTITUTE(SUBSTITUTE(E539:E543," ",""),"0",""),"-",""))+LEN(SUBSTITUTE(SUBSTITUTE(SUBSTITUTE(F539:F543," ",""),"0",""),"-","")))&gt;(LEN(SUBSTITUTE(SUBSTITUTE(SUBSTITUTE(B539:B543," ",""),"0",""),"-",""))+LEN(SUBSTITUTE(SUBSTITUTE(SUBSTITUTE(C539:C543," ",""),"0",""),"-",""))))*1)</f>
      </c>
      <c r="G538" s="14" t="str">
        <f>'data'!$B$40</f>
      </c>
      <c r="I538" s="14" t="str">
        <f>'data'!$B$87</f>
      </c>
      <c r="J538" s="14" t="str">
        <f>SUMPRODUCT((UPPER(L539:L543)&lt;&gt;"X")*((LEN(SUBSTITUTE(SUBSTITUTE(SUBSTITUTE(J539:J543," ",""),"0",""),"-",""))+LEN(SUBSTITUTE(SUBSTITUTE(SUBSTITUTE(K539:K543," ",""),"0",""),"-","")))&gt;(LEN(SUBSTITUTE(SUBSTITUTE(SUBSTITUTE(M539:M543," ",""),"0",""),"-",""))+LEN(SUBSTITUTE(SUBSTITUTE(SUBSTITUTE(N539:N543," ",""),"0",""),"-",""))))*1)</f>
      </c>
      <c r="K538" s="14" t="str">
        <f>SUMPRODUCT(LEN(SUBSTITUTE(SUBSTITUTE(SUBSTITUTE(J539:J543," ",""),"0",""),"-",""))+LEN(SUBSTITUTE(SUBSTITUTE(SUBSTITUTE(K539:K543," ",""),"0",""),"-","")))</f>
      </c>
      <c r="L538" s="18"/>
      <c r="M538" s="14" t="str">
        <f>SUMPRODUCT(LEN(SUBSTITUTE(SUBSTITUTE(SUBSTITUTE(M539:M543," ",""),"0",""),"-",""))+LEN(SUBSTITUTE(SUBSTITUTE(SUBSTITUTE(N539:N543," ",""),"0",""),"-","")))</f>
      </c>
      <c r="N538" s="14" t="str">
        <f>SUMPRODUCT((UPPER(L539:L543)&lt;&gt;"X")*((LEN(SUBSTITUTE(SUBSTITUTE(SUBSTITUTE(M539:M543," ",""),"0",""),"-",""))+LEN(SUBSTITUTE(SUBSTITUTE(SUBSTITUTE(N539:N543," ",""),"0",""),"-","")))&gt;(LEN(SUBSTITUTE(SUBSTITUTE(SUBSTITUTE(J539:J543," ",""),"0",""),"-",""))+LEN(SUBSTITUTE(SUBSTITUTE(SUBSTITUTE(K539:K543," ",""),"0",""),"-",""))))*1)</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SUMPRODUCT((UPPER(D547:D551)&lt;&gt;"X")*((LEN(SUBSTITUTE(SUBSTITUTE(SUBSTITUTE(B547:B551," ",""),"0",""),"-",""))+LEN(SUBSTITUTE(SUBSTITUTE(SUBSTITUTE(C547:C551," ",""),"0",""),"-","")))&gt;(LEN(SUBSTITUTE(SUBSTITUTE(SUBSTITUTE(E547:E551," ",""),"0",""),"-",""))+LEN(SUBSTITUTE(SUBSTITUTE(SUBSTITUTE(F547:F551," ",""),"0",""),"-",""))))*1)</f>
      </c>
      <c r="C546" s="14" t="str">
        <f>SUMPRODUCT(LEN(SUBSTITUTE(SUBSTITUTE(SUBSTITUTE(B547:B551," ",""),"0",""),"-",""))+LEN(SUBSTITUTE(SUBSTITUTE(SUBSTITUTE(C547:C551," ",""),"0",""),"-","")))</f>
      </c>
      <c r="D546" s="18"/>
      <c r="E546" s="14" t="str">
        <f>SUMPRODUCT(LEN(SUBSTITUTE(SUBSTITUTE(SUBSTITUTE(E547:E551," ",""),"0",""),"-",""))+LEN(SUBSTITUTE(SUBSTITUTE(SUBSTITUTE(F547:F551," ",""),"0",""),"-","")))</f>
      </c>
      <c r="F546" s="14" t="str">
        <f>SUMPRODUCT((UPPER(D547:D551)&lt;&gt;"X")*((LEN(SUBSTITUTE(SUBSTITUTE(SUBSTITUTE(E547:E551," ",""),"0",""),"-",""))+LEN(SUBSTITUTE(SUBSTITUTE(SUBSTITUTE(F547:F551," ",""),"0",""),"-","")))&gt;(LEN(SUBSTITUTE(SUBSTITUTE(SUBSTITUTE(B547:B551," ",""),"0",""),"-",""))+LEN(SUBSTITUTE(SUBSTITUTE(SUBSTITUTE(C547:C551," ",""),"0",""),"-",""))))*1)</f>
      </c>
      <c r="G546" s="14" t="str">
        <f>'data'!$B$41</f>
      </c>
      <c r="I546" s="14" t="str">
        <f>'data'!$B$87</f>
      </c>
      <c r="J546" s="14" t="str">
        <f>SUMPRODUCT((UPPER(L547:L551)&lt;&gt;"X")*((LEN(SUBSTITUTE(SUBSTITUTE(SUBSTITUTE(J547:J551," ",""),"0",""),"-",""))+LEN(SUBSTITUTE(SUBSTITUTE(SUBSTITUTE(K547:K551," ",""),"0",""),"-","")))&gt;(LEN(SUBSTITUTE(SUBSTITUTE(SUBSTITUTE(M547:M551," ",""),"0",""),"-",""))+LEN(SUBSTITUTE(SUBSTITUTE(SUBSTITUTE(N547:N551," ",""),"0",""),"-",""))))*1)</f>
      </c>
      <c r="K546" s="14" t="str">
        <f>SUMPRODUCT(LEN(SUBSTITUTE(SUBSTITUTE(SUBSTITUTE(J547:J551," ",""),"0",""),"-",""))+LEN(SUBSTITUTE(SUBSTITUTE(SUBSTITUTE(K547:K551," ",""),"0",""),"-","")))</f>
      </c>
      <c r="L546" s="18"/>
      <c r="M546" s="14" t="str">
        <f>SUMPRODUCT(LEN(SUBSTITUTE(SUBSTITUTE(SUBSTITUTE(M547:M551," ",""),"0",""),"-",""))+LEN(SUBSTITUTE(SUBSTITUTE(SUBSTITUTE(N547:N551," ",""),"0",""),"-","")))</f>
      </c>
      <c r="N546" s="14" t="str">
        <f>SUMPRODUCT((UPPER(L547:L551)&lt;&gt;"X")*((LEN(SUBSTITUTE(SUBSTITUTE(SUBSTITUTE(M547:M551," ",""),"0",""),"-",""))+LEN(SUBSTITUTE(SUBSTITUTE(SUBSTITUTE(N547:N551," ",""),"0",""),"-","")))&gt;(LEN(SUBSTITUTE(SUBSTITUTE(SUBSTITUTE(J547:J551," ",""),"0",""),"-",""))+LEN(SUBSTITUTE(SUBSTITUTE(SUBSTITUTE(K547:K551," ",""),"0",""),"-",""))))*1)</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SUMPRODUCT((UPPER(D574:D578)&lt;&gt;"X")*((LEN(SUBSTITUTE(SUBSTITUTE(SUBSTITUTE(B574:B578," ",""),"0",""),"-",""))+LEN(SUBSTITUTE(SUBSTITUTE(SUBSTITUTE(C574:C578," ",""),"0",""),"-","")))&gt;(LEN(SUBSTITUTE(SUBSTITUTE(SUBSTITUTE(E574:E578," ",""),"0",""),"-",""))+LEN(SUBSTITUTE(SUBSTITUTE(SUBSTITUTE(F574:F578," ",""),"0",""),"-",""))))*1)</f>
      </c>
      <c r="C573" s="14" t="str">
        <f>SUMPRODUCT(LEN(SUBSTITUTE(SUBSTITUTE(SUBSTITUTE(B574:B578," ",""),"0",""),"-",""))+LEN(SUBSTITUTE(SUBSTITUTE(SUBSTITUTE(C574:C578," ",""),"0",""),"-","")))</f>
      </c>
      <c r="D573" s="18"/>
      <c r="E573" s="14" t="str">
        <f>SUMPRODUCT(LEN(SUBSTITUTE(SUBSTITUTE(SUBSTITUTE(E574:E578," ",""),"0",""),"-",""))+LEN(SUBSTITUTE(SUBSTITUTE(SUBSTITUTE(F574:F578," ",""),"0",""),"-","")))</f>
      </c>
      <c r="F573" s="14" t="str">
        <f>SUMPRODUCT((UPPER(D574:D578)&lt;&gt;"X")*((LEN(SUBSTITUTE(SUBSTITUTE(SUBSTITUTE(E574:E578," ",""),"0",""),"-",""))+LEN(SUBSTITUTE(SUBSTITUTE(SUBSTITUTE(F574:F578," ",""),"0",""),"-","")))&gt;(LEN(SUBSTITUTE(SUBSTITUTE(SUBSTITUTE(B574:B578," ",""),"0",""),"-",""))+LEN(SUBSTITUTE(SUBSTITUTE(SUBSTITUTE(C574:C578," ",""),"0",""),"-",""))))*1)</f>
      </c>
      <c r="G573" s="14" t="str">
        <f>'data'!$B$43</f>
      </c>
      <c r="I573" s="14" t="str">
        <f>'data'!$B$89</f>
      </c>
      <c r="J573" s="14" t="str">
        <f>SUMPRODUCT((UPPER(L574:L578)&lt;&gt;"X")*((LEN(SUBSTITUTE(SUBSTITUTE(SUBSTITUTE(J574:J578," ",""),"0",""),"-",""))+LEN(SUBSTITUTE(SUBSTITUTE(SUBSTITUTE(K574:K578," ",""),"0",""),"-","")))&gt;(LEN(SUBSTITUTE(SUBSTITUTE(SUBSTITUTE(M574:M578," ",""),"0",""),"-",""))+LEN(SUBSTITUTE(SUBSTITUTE(SUBSTITUTE(N574:N578," ",""),"0",""),"-",""))))*1)</f>
      </c>
      <c r="K573" s="14" t="str">
        <f>SUMPRODUCT(LEN(SUBSTITUTE(SUBSTITUTE(SUBSTITUTE(J574:J578," ",""),"0",""),"-",""))+LEN(SUBSTITUTE(SUBSTITUTE(SUBSTITUTE(K574:K578," ",""),"0",""),"-","")))</f>
      </c>
      <c r="L573" s="18"/>
      <c r="M573" s="14" t="str">
        <f>SUMPRODUCT(LEN(SUBSTITUTE(SUBSTITUTE(SUBSTITUTE(M574:M578," ",""),"0",""),"-",""))+LEN(SUBSTITUTE(SUBSTITUTE(SUBSTITUTE(N574:N578," ",""),"0",""),"-","")))</f>
      </c>
      <c r="N573" s="14" t="str">
        <f>SUMPRODUCT((UPPER(L574:L578)&lt;&gt;"X")*((LEN(SUBSTITUTE(SUBSTITUTE(SUBSTITUTE(M574:M578," ",""),"0",""),"-",""))+LEN(SUBSTITUTE(SUBSTITUTE(SUBSTITUTE(N574:N578," ",""),"0",""),"-","")))&gt;(LEN(SUBSTITUTE(SUBSTITUTE(SUBSTITUTE(J574:J578," ",""),"0",""),"-",""))+LEN(SUBSTITUTE(SUBSTITUTE(SUBSTITUTE(K574:K578," ",""),"0",""),"-",""))))*1)</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SUMPRODUCT((UPPER(D582:D586)&lt;&gt;"X")*((LEN(SUBSTITUTE(SUBSTITUTE(SUBSTITUTE(B582:B586," ",""),"0",""),"-",""))+LEN(SUBSTITUTE(SUBSTITUTE(SUBSTITUTE(C582:C586," ",""),"0",""),"-","")))&gt;(LEN(SUBSTITUTE(SUBSTITUTE(SUBSTITUTE(E582:E586," ",""),"0",""),"-",""))+LEN(SUBSTITUTE(SUBSTITUTE(SUBSTITUTE(F582:F586," ",""),"0",""),"-",""))))*1)</f>
      </c>
      <c r="C581" s="14" t="str">
        <f>SUMPRODUCT(LEN(SUBSTITUTE(SUBSTITUTE(SUBSTITUTE(B582:B586," ",""),"0",""),"-",""))+LEN(SUBSTITUTE(SUBSTITUTE(SUBSTITUTE(C582:C586," ",""),"0",""),"-","")))</f>
      </c>
      <c r="D581" s="18"/>
      <c r="E581" s="14" t="str">
        <f>SUMPRODUCT(LEN(SUBSTITUTE(SUBSTITUTE(SUBSTITUTE(E582:E586," ",""),"0",""),"-",""))+LEN(SUBSTITUTE(SUBSTITUTE(SUBSTITUTE(F582:F586," ",""),"0",""),"-","")))</f>
      </c>
      <c r="F581" s="14" t="str">
        <f>SUMPRODUCT((UPPER(D582:D586)&lt;&gt;"X")*((LEN(SUBSTITUTE(SUBSTITUTE(SUBSTITUTE(E582:E586," ",""),"0",""),"-",""))+LEN(SUBSTITUTE(SUBSTITUTE(SUBSTITUTE(F582:F586," ",""),"0",""),"-","")))&gt;(LEN(SUBSTITUTE(SUBSTITUTE(SUBSTITUTE(B582:B586," ",""),"0",""),"-",""))+LEN(SUBSTITUTE(SUBSTITUTE(SUBSTITUTE(C582:C586," ",""),"0",""),"-",""))))*1)</f>
      </c>
      <c r="G581" s="14" t="str">
        <f>'data'!$B$43</f>
      </c>
      <c r="I581" s="14" t="str">
        <f>'data'!$B$90</f>
      </c>
      <c r="J581" s="14" t="str">
        <f>SUMPRODUCT((UPPER(L582:L586)&lt;&gt;"X")*((LEN(SUBSTITUTE(SUBSTITUTE(SUBSTITUTE(J582:J586," ",""),"0",""),"-",""))+LEN(SUBSTITUTE(SUBSTITUTE(SUBSTITUTE(K582:K586," ",""),"0",""),"-","")))&gt;(LEN(SUBSTITUTE(SUBSTITUTE(SUBSTITUTE(M582:M586," ",""),"0",""),"-",""))+LEN(SUBSTITUTE(SUBSTITUTE(SUBSTITUTE(N582:N586," ",""),"0",""),"-",""))))*1)</f>
      </c>
      <c r="K581" s="14" t="str">
        <f>SUMPRODUCT(LEN(SUBSTITUTE(SUBSTITUTE(SUBSTITUTE(J582:J586," ",""),"0",""),"-",""))+LEN(SUBSTITUTE(SUBSTITUTE(SUBSTITUTE(K582:K586," ",""),"0",""),"-","")))</f>
      </c>
      <c r="L581" s="18"/>
      <c r="M581" s="14" t="str">
        <f>SUMPRODUCT(LEN(SUBSTITUTE(SUBSTITUTE(SUBSTITUTE(M582:M586," ",""),"0",""),"-",""))+LEN(SUBSTITUTE(SUBSTITUTE(SUBSTITUTE(N582:N586," ",""),"0",""),"-","")))</f>
      </c>
      <c r="N581" s="14" t="str">
        <f>SUMPRODUCT((UPPER(L582:L586)&lt;&gt;"X")*((LEN(SUBSTITUTE(SUBSTITUTE(SUBSTITUTE(M582:M586," ",""),"0",""),"-",""))+LEN(SUBSTITUTE(SUBSTITUTE(SUBSTITUTE(N582:N586," ",""),"0",""),"-","")))&gt;(LEN(SUBSTITUTE(SUBSTITUTE(SUBSTITUTE(J582:J586," ",""),"0",""),"-",""))+LEN(SUBSTITUTE(SUBSTITUTE(SUBSTITUTE(K582:K586," ",""),"0",""),"-",""))))*1)</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SUMPRODUCT((UPPER(D590:D594)&lt;&gt;"X")*((LEN(SUBSTITUTE(SUBSTITUTE(SUBSTITUTE(B590:B594," ",""),"0",""),"-",""))+LEN(SUBSTITUTE(SUBSTITUTE(SUBSTITUTE(C590:C594," ",""),"0",""),"-","")))&gt;(LEN(SUBSTITUTE(SUBSTITUTE(SUBSTITUTE(E590:E594," ",""),"0",""),"-",""))+LEN(SUBSTITUTE(SUBSTITUTE(SUBSTITUTE(F590:F594," ",""),"0",""),"-",""))))*1)</f>
      </c>
      <c r="C589" s="14" t="str">
        <f>SUMPRODUCT(LEN(SUBSTITUTE(SUBSTITUTE(SUBSTITUTE(B590:B594," ",""),"0",""),"-",""))+LEN(SUBSTITUTE(SUBSTITUTE(SUBSTITUTE(C590:C594," ",""),"0",""),"-","")))</f>
      </c>
      <c r="D589" s="18"/>
      <c r="E589" s="14" t="str">
        <f>SUMPRODUCT(LEN(SUBSTITUTE(SUBSTITUTE(SUBSTITUTE(E590:E594," ",""),"0",""),"-",""))+LEN(SUBSTITUTE(SUBSTITUTE(SUBSTITUTE(F590:F594," ",""),"0",""),"-","")))</f>
      </c>
      <c r="F589" s="14" t="str">
        <f>SUMPRODUCT((UPPER(D590:D594)&lt;&gt;"X")*((LEN(SUBSTITUTE(SUBSTITUTE(SUBSTITUTE(E590:E594," ",""),"0",""),"-",""))+LEN(SUBSTITUTE(SUBSTITUTE(SUBSTITUTE(F590:F594," ",""),"0",""),"-","")))&gt;(LEN(SUBSTITUTE(SUBSTITUTE(SUBSTITUTE(B590:B594," ",""),"0",""),"-",""))+LEN(SUBSTITUTE(SUBSTITUTE(SUBSTITUTE(C590:C594," ",""),"0",""),"-",""))))*1)</f>
      </c>
      <c r="G589" s="14" t="str">
        <f>'data'!$B$44</f>
      </c>
      <c r="I589" s="14" t="str">
        <f>'data'!$B$90</f>
      </c>
      <c r="J589" s="14" t="str">
        <f>SUMPRODUCT((UPPER(L590:L594)&lt;&gt;"X")*((LEN(SUBSTITUTE(SUBSTITUTE(SUBSTITUTE(J590:J594," ",""),"0",""),"-",""))+LEN(SUBSTITUTE(SUBSTITUTE(SUBSTITUTE(K590:K594," ",""),"0",""),"-","")))&gt;(LEN(SUBSTITUTE(SUBSTITUTE(SUBSTITUTE(M590:M594," ",""),"0",""),"-",""))+LEN(SUBSTITUTE(SUBSTITUTE(SUBSTITUTE(N590:N594," ",""),"0",""),"-",""))))*1)</f>
      </c>
      <c r="K589" s="14" t="str">
        <f>SUMPRODUCT(LEN(SUBSTITUTE(SUBSTITUTE(SUBSTITUTE(J590:J594," ",""),"0",""),"-",""))+LEN(SUBSTITUTE(SUBSTITUTE(SUBSTITUTE(K590:K594," ",""),"0",""),"-","")))</f>
      </c>
      <c r="L589" s="18"/>
      <c r="M589" s="14" t="str">
        <f>SUMPRODUCT(LEN(SUBSTITUTE(SUBSTITUTE(SUBSTITUTE(M590:M594," ",""),"0",""),"-",""))+LEN(SUBSTITUTE(SUBSTITUTE(SUBSTITUTE(N590:N594," ",""),"0",""),"-","")))</f>
      </c>
      <c r="N589" s="14" t="str">
        <f>SUMPRODUCT((UPPER(L590:L594)&lt;&gt;"X")*((LEN(SUBSTITUTE(SUBSTITUTE(SUBSTITUTE(M590:M594," ",""),"0",""),"-",""))+LEN(SUBSTITUTE(SUBSTITUTE(SUBSTITUTE(N590:N594," ",""),"0",""),"-","")))&gt;(LEN(SUBSTITUTE(SUBSTITUTE(SUBSTITUTE(J590:J594," ",""),"0",""),"-",""))+LEN(SUBSTITUTE(SUBSTITUTE(SUBSTITUTE(K590:K594," ",""),"0",""),"-",""))))*1)</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SUMPRODUCT((UPPER(D617:D621)&lt;&gt;"X")*((LEN(SUBSTITUTE(SUBSTITUTE(SUBSTITUTE(B617:B621," ",""),"0",""),"-",""))+LEN(SUBSTITUTE(SUBSTITUTE(SUBSTITUTE(C617:C621," ",""),"0",""),"-","")))&gt;(LEN(SUBSTITUTE(SUBSTITUTE(SUBSTITUTE(E617:E621," ",""),"0",""),"-",""))+LEN(SUBSTITUTE(SUBSTITUTE(SUBSTITUTE(F617:F621," ",""),"0",""),"-",""))))*1)</f>
      </c>
      <c r="C616" s="14" t="str">
        <f>SUMPRODUCT(LEN(SUBSTITUTE(SUBSTITUTE(SUBSTITUTE(B617:B621," ",""),"0",""),"-",""))+LEN(SUBSTITUTE(SUBSTITUTE(SUBSTITUTE(C617:C621," ",""),"0",""),"-","")))</f>
      </c>
      <c r="D616" s="18"/>
      <c r="E616" s="14" t="str">
        <f>SUMPRODUCT(LEN(SUBSTITUTE(SUBSTITUTE(SUBSTITUTE(E617:E621," ",""),"0",""),"-",""))+LEN(SUBSTITUTE(SUBSTITUTE(SUBSTITUTE(F617:F621," ",""),"0",""),"-","")))</f>
      </c>
      <c r="F616" s="14" t="str">
        <f>SUMPRODUCT((UPPER(D617:D621)&lt;&gt;"X")*((LEN(SUBSTITUTE(SUBSTITUTE(SUBSTITUTE(E617:E621," ",""),"0",""),"-",""))+LEN(SUBSTITUTE(SUBSTITUTE(SUBSTITUTE(F617:F621," ",""),"0",""),"-","")))&gt;(LEN(SUBSTITUTE(SUBSTITUTE(SUBSTITUTE(B617:B621," ",""),"0",""),"-",""))+LEN(SUBSTITUTE(SUBSTITUTE(SUBSTITUTE(C617:C621," ",""),"0",""),"-",""))))*1)</f>
      </c>
      <c r="G616" s="14" t="str">
        <f>'data'!$B$46</f>
      </c>
      <c r="I616" s="14" t="str">
        <f>'data'!$B$92</f>
      </c>
      <c r="J616" s="14" t="str">
        <f>SUMPRODUCT((UPPER(L617:L621)&lt;&gt;"X")*((LEN(SUBSTITUTE(SUBSTITUTE(SUBSTITUTE(J617:J621," ",""),"0",""),"-",""))+LEN(SUBSTITUTE(SUBSTITUTE(SUBSTITUTE(K617:K621," ",""),"0",""),"-","")))&gt;(LEN(SUBSTITUTE(SUBSTITUTE(SUBSTITUTE(M617:M621," ",""),"0",""),"-",""))+LEN(SUBSTITUTE(SUBSTITUTE(SUBSTITUTE(N617:N621," ",""),"0",""),"-",""))))*1)</f>
      </c>
      <c r="K616" s="14" t="str">
        <f>SUMPRODUCT(LEN(SUBSTITUTE(SUBSTITUTE(SUBSTITUTE(J617:J621," ",""),"0",""),"-",""))+LEN(SUBSTITUTE(SUBSTITUTE(SUBSTITUTE(K617:K621," ",""),"0",""),"-","")))</f>
      </c>
      <c r="L616" s="18"/>
      <c r="M616" s="14" t="str">
        <f>SUMPRODUCT(LEN(SUBSTITUTE(SUBSTITUTE(SUBSTITUTE(M617:M621," ",""),"0",""),"-",""))+LEN(SUBSTITUTE(SUBSTITUTE(SUBSTITUTE(N617:N621," ",""),"0",""),"-","")))</f>
      </c>
      <c r="N616" s="14" t="str">
        <f>SUMPRODUCT((UPPER(L617:L621)&lt;&gt;"X")*((LEN(SUBSTITUTE(SUBSTITUTE(SUBSTITUTE(M617:M621," ",""),"0",""),"-",""))+LEN(SUBSTITUTE(SUBSTITUTE(SUBSTITUTE(N617:N621," ",""),"0",""),"-","")))&gt;(LEN(SUBSTITUTE(SUBSTITUTE(SUBSTITUTE(J617:J621," ",""),"0",""),"-",""))+LEN(SUBSTITUTE(SUBSTITUTE(SUBSTITUTE(K617:K621," ",""),"0",""),"-",""))))*1)</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SUMPRODUCT((UPPER(D625:D629)&lt;&gt;"X")*((LEN(SUBSTITUTE(SUBSTITUTE(SUBSTITUTE(B625:B629," ",""),"0",""),"-",""))+LEN(SUBSTITUTE(SUBSTITUTE(SUBSTITUTE(C625:C629," ",""),"0",""),"-","")))&gt;(LEN(SUBSTITUTE(SUBSTITUTE(SUBSTITUTE(E625:E629," ",""),"0",""),"-",""))+LEN(SUBSTITUTE(SUBSTITUTE(SUBSTITUTE(F625:F629," ",""),"0",""),"-",""))))*1)</f>
      </c>
      <c r="C624" s="14" t="str">
        <f>SUMPRODUCT(LEN(SUBSTITUTE(SUBSTITUTE(SUBSTITUTE(B625:B629," ",""),"0",""),"-",""))+LEN(SUBSTITUTE(SUBSTITUTE(SUBSTITUTE(C625:C629," ",""),"0",""),"-","")))</f>
      </c>
      <c r="D624" s="18"/>
      <c r="E624" s="14" t="str">
        <f>SUMPRODUCT(LEN(SUBSTITUTE(SUBSTITUTE(SUBSTITUTE(E625:E629," ",""),"0",""),"-",""))+LEN(SUBSTITUTE(SUBSTITUTE(SUBSTITUTE(F625:F629," ",""),"0",""),"-","")))</f>
      </c>
      <c r="F624" s="14" t="str">
        <f>SUMPRODUCT((UPPER(D625:D629)&lt;&gt;"X")*((LEN(SUBSTITUTE(SUBSTITUTE(SUBSTITUTE(E625:E629," ",""),"0",""),"-",""))+LEN(SUBSTITUTE(SUBSTITUTE(SUBSTITUTE(F625:F629," ",""),"0",""),"-","")))&gt;(LEN(SUBSTITUTE(SUBSTITUTE(SUBSTITUTE(B625:B629," ",""),"0",""),"-",""))+LEN(SUBSTITUTE(SUBSTITUTE(SUBSTITUTE(C625:C629," ",""),"0",""),"-",""))))*1)</f>
      </c>
      <c r="G624" s="14" t="str">
        <f>'data'!$B$46</f>
      </c>
      <c r="I624" s="14" t="str">
        <f>'data'!$B$93</f>
      </c>
      <c r="J624" s="14" t="str">
        <f>SUMPRODUCT((UPPER(L625:L629)&lt;&gt;"X")*((LEN(SUBSTITUTE(SUBSTITUTE(SUBSTITUTE(J625:J629," ",""),"0",""),"-",""))+LEN(SUBSTITUTE(SUBSTITUTE(SUBSTITUTE(K625:K629," ",""),"0",""),"-","")))&gt;(LEN(SUBSTITUTE(SUBSTITUTE(SUBSTITUTE(M625:M629," ",""),"0",""),"-",""))+LEN(SUBSTITUTE(SUBSTITUTE(SUBSTITUTE(N625:N629," ",""),"0",""),"-",""))))*1)</f>
      </c>
      <c r="K624" s="14" t="str">
        <f>SUMPRODUCT(LEN(SUBSTITUTE(SUBSTITUTE(SUBSTITUTE(J625:J629," ",""),"0",""),"-",""))+LEN(SUBSTITUTE(SUBSTITUTE(SUBSTITUTE(K625:K629," ",""),"0",""),"-","")))</f>
      </c>
      <c r="L624" s="18"/>
      <c r="M624" s="14" t="str">
        <f>SUMPRODUCT(LEN(SUBSTITUTE(SUBSTITUTE(SUBSTITUTE(M625:M629," ",""),"0",""),"-",""))+LEN(SUBSTITUTE(SUBSTITUTE(SUBSTITUTE(N625:N629," ",""),"0",""),"-","")))</f>
      </c>
      <c r="N624" s="14" t="str">
        <f>SUMPRODUCT((UPPER(L625:L629)&lt;&gt;"X")*((LEN(SUBSTITUTE(SUBSTITUTE(SUBSTITUTE(M625:M629," ",""),"0",""),"-",""))+LEN(SUBSTITUTE(SUBSTITUTE(SUBSTITUTE(N625:N629," ",""),"0",""),"-","")))&gt;(LEN(SUBSTITUTE(SUBSTITUTE(SUBSTITUTE(J625:J629," ",""),"0",""),"-",""))+LEN(SUBSTITUTE(SUBSTITUTE(SUBSTITUTE(K625:K629," ",""),"0",""),"-",""))))*1)</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SUMPRODUCT((UPPER(D633:D637)&lt;&gt;"X")*((LEN(SUBSTITUTE(SUBSTITUTE(SUBSTITUTE(B633:B637," ",""),"0",""),"-",""))+LEN(SUBSTITUTE(SUBSTITUTE(SUBSTITUTE(C633:C637," ",""),"0",""),"-","")))&gt;(LEN(SUBSTITUTE(SUBSTITUTE(SUBSTITUTE(E633:E637," ",""),"0",""),"-",""))+LEN(SUBSTITUTE(SUBSTITUTE(SUBSTITUTE(F633:F637," ",""),"0",""),"-",""))))*1)</f>
      </c>
      <c r="C632" s="14" t="str">
        <f>SUMPRODUCT(LEN(SUBSTITUTE(SUBSTITUTE(SUBSTITUTE(B633:B637," ",""),"0",""),"-",""))+LEN(SUBSTITUTE(SUBSTITUTE(SUBSTITUTE(C633:C637," ",""),"0",""),"-","")))</f>
      </c>
      <c r="D632" s="18"/>
      <c r="E632" s="14" t="str">
        <f>SUMPRODUCT(LEN(SUBSTITUTE(SUBSTITUTE(SUBSTITUTE(E633:E637," ",""),"0",""),"-",""))+LEN(SUBSTITUTE(SUBSTITUTE(SUBSTITUTE(F633:F637," ",""),"0",""),"-","")))</f>
      </c>
      <c r="F632" s="14" t="str">
        <f>SUMPRODUCT((UPPER(D633:D637)&lt;&gt;"X")*((LEN(SUBSTITUTE(SUBSTITUTE(SUBSTITUTE(E633:E637," ",""),"0",""),"-",""))+LEN(SUBSTITUTE(SUBSTITUTE(SUBSTITUTE(F633:F637," ",""),"0",""),"-","")))&gt;(LEN(SUBSTITUTE(SUBSTITUTE(SUBSTITUTE(B633:B637," ",""),"0",""),"-",""))+LEN(SUBSTITUTE(SUBSTITUTE(SUBSTITUTE(C633:C637," ",""),"0",""),"-",""))))*1)</f>
      </c>
      <c r="G632" s="14" t="str">
        <f>'data'!$B$47</f>
      </c>
      <c r="I632" s="14" t="str">
        <f>'data'!$B$93</f>
      </c>
      <c r="J632" s="14" t="str">
        <f>SUMPRODUCT((UPPER(L633:L637)&lt;&gt;"X")*((LEN(SUBSTITUTE(SUBSTITUTE(SUBSTITUTE(J633:J637," ",""),"0",""),"-",""))+LEN(SUBSTITUTE(SUBSTITUTE(SUBSTITUTE(K633:K637," ",""),"0",""),"-","")))&gt;(LEN(SUBSTITUTE(SUBSTITUTE(SUBSTITUTE(M633:M637," ",""),"0",""),"-",""))+LEN(SUBSTITUTE(SUBSTITUTE(SUBSTITUTE(N633:N637," ",""),"0",""),"-",""))))*1)</f>
      </c>
      <c r="K632" s="14" t="str">
        <f>SUMPRODUCT(LEN(SUBSTITUTE(SUBSTITUTE(SUBSTITUTE(J633:J637," ",""),"0",""),"-",""))+LEN(SUBSTITUTE(SUBSTITUTE(SUBSTITUTE(K633:K637," ",""),"0",""),"-","")))</f>
      </c>
      <c r="L632" s="18"/>
      <c r="M632" s="14" t="str">
        <f>SUMPRODUCT(LEN(SUBSTITUTE(SUBSTITUTE(SUBSTITUTE(M633:M637," ",""),"0",""),"-",""))+LEN(SUBSTITUTE(SUBSTITUTE(SUBSTITUTE(N633:N637," ",""),"0",""),"-","")))</f>
      </c>
      <c r="N632" s="14" t="str">
        <f>SUMPRODUCT((UPPER(L633:L637)&lt;&gt;"X")*((LEN(SUBSTITUTE(SUBSTITUTE(SUBSTITUTE(M633:M637," ",""),"0",""),"-",""))+LEN(SUBSTITUTE(SUBSTITUTE(SUBSTITUTE(N633:N637," ",""),"0",""),"-","")))&gt;(LEN(SUBSTITUTE(SUBSTITUTE(SUBSTITUTE(J633:J637," ",""),"0",""),"-",""))+LEN(SUBSTITUTE(SUBSTITUTE(SUBSTITUTE(K633:K637," ",""),"0",""),"-",""))))*1)</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SUMPRODUCT((UPPER(D234:D238)&lt;&gt;"X")*((LEN(SUBSTITUTE(SUBSTITUTE(SUBSTITUTE(B234:B238," ",""),"0",""),"-",""))+LEN(SUBSTITUTE(SUBSTITUTE(SUBSTITUTE(C234:C238," ",""),"0",""),"-","")))&gt;(LEN(SUBSTITUTE(SUBSTITUTE(SUBSTITUTE(E234:E238," ",""),"0",""),"-",""))+LEN(SUBSTITUTE(SUBSTITUTE(SUBSTITUTE(F234:F238," ",""),"0",""),"-",""))))*1)</f>
      </c>
      <c r="C241" s="14" t="str">
        <f>SUMPRODUCT(LEN(SUBSTITUTE(SUBSTITUTE(SUBSTITUTE(B234:B238," ",""),"0",""),"-",""))+LEN(SUBSTITUTE(SUBSTITUTE(SUBSTITUTE(C234:C238," ",""),"0",""),"-","")))</f>
      </c>
      <c r="D241" s="14"/>
      <c r="E241" s="14" t="str">
        <f>SUMPRODUCT(LEN(SUBSTITUTE(SUBSTITUTE(SUBSTITUTE(E234:E238," ",""),"0",""),"-",""))+LEN(SUBSTITUTE(SUBSTITUTE(SUBSTITUTE(F234:F238," ",""),"0",""),"-","")))</f>
      </c>
      <c r="F241" s="14" t="str">
        <f>SUMPRODUCT((UPPER(D234:D238)&lt;&gt;"X")*((LEN(SUBSTITUTE(SUBSTITUTE(SUBSTITUTE(E234:E238," ",""),"0",""),"-",""))+LEN(SUBSTITUTE(SUBSTITUTE(SUBSTITUTE(F234:F238," ",""),"0",""),"-","")))&gt;(LEN(SUBSTITUTE(SUBSTITUTE(SUBSTITUTE(B234:B238," ",""),"0",""),"-",""))+LEN(SUBSTITUTE(SUBSTITUTE(SUBSTITUTE(C234:C238," ",""),"0",""),"-",""))))*1)</f>
      </c>
      <c r="G241" s="14" t="s">
        <v>348</v>
      </c>
      <c r="I241" s="14" t="s">
        <v>348</v>
      </c>
      <c r="J241" s="14" t="str">
        <f>SUMPRODUCT((UPPER(L234:L238)&lt;&gt;"X")*((LEN(SUBSTITUTE(SUBSTITUTE(SUBSTITUTE(J234:J238," ",""),"0",""),"-",""))+LEN(SUBSTITUTE(SUBSTITUTE(SUBSTITUTE(K234:K238," ",""),"0",""),"-","")))&gt;(LEN(SUBSTITUTE(SUBSTITUTE(SUBSTITUTE(M234:M238," ",""),"0",""),"-",""))+LEN(SUBSTITUTE(SUBSTITUTE(SUBSTITUTE(N234:N238," ",""),"0",""),"-",""))))*1)</f>
      </c>
      <c r="K241" s="14" t="str">
        <f>SUMPRODUCT(LEN(SUBSTITUTE(SUBSTITUTE(SUBSTITUTE(J234:J238," ",""),"0",""),"-",""))+LEN(SUBSTITUTE(SUBSTITUTE(SUBSTITUTE(K234:K238," ",""),"0",""),"-","")))</f>
      </c>
      <c r="L241" s="14"/>
      <c r="M241" s="14" t="str">
        <f>SUMPRODUCT(LEN(SUBSTITUTE(SUBSTITUTE(SUBSTITUTE(M234:M238," ",""),"0",""),"-",""))+LEN(SUBSTITUTE(SUBSTITUTE(SUBSTITUTE(N234:N238," ",""),"0",""),"-","")))</f>
      </c>
      <c r="N241" s="14" t="str">
        <f>SUMPRODUCT((UPPER(L234:L238)&lt;&gt;"X")*((LEN(SUBSTITUTE(SUBSTITUTE(SUBSTITUTE(M234:M238," ",""),"0",""),"-",""))+LEN(SUBSTITUTE(SUBSTITUTE(SUBSTITUTE(N234:N238," ",""),"0",""),"-","")))&gt;(LEN(SUBSTITUTE(SUBSTITUTE(SUBSTITUTE(J234:J238," ",""),"0",""),"-",""))+LEN(SUBSTITUTE(SUBSTITUTE(SUBSTITUTE(K234:K238," ",""),"0",""),"-",""))))*1)</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SUMPRODUCT((UPPER(D367:D371)&lt;&gt;"X")*((LEN(SUBSTITUTE(SUBSTITUTE(SUBSTITUTE(B367:B371," ",""),"0",""),"-",""))+LEN(SUBSTITUTE(SUBSTITUTE(SUBSTITUTE(C367:C371," ",""),"0",""),"-","")))&gt;(LEN(SUBSTITUTE(SUBSTITUTE(SUBSTITUTE(E367:E371," ",""),"0",""),"-",""))+LEN(SUBSTITUTE(SUBSTITUTE(SUBSTITUTE(F367:F371," ",""),"0",""),"-",""))))*1)</f>
      </c>
      <c r="C374" s="14" t="str">
        <f>SUMPRODUCT(LEN(SUBSTITUTE(SUBSTITUTE(SUBSTITUTE(B367:B371," ",""),"0",""),"-",""))+LEN(SUBSTITUTE(SUBSTITUTE(SUBSTITUTE(C367:C371," ",""),"0",""),"-","")))</f>
      </c>
      <c r="D374" s="14"/>
      <c r="E374" s="14" t="str">
        <f>SUMPRODUCT(LEN(SUBSTITUTE(SUBSTITUTE(SUBSTITUTE(E367:E371," ",""),"0",""),"-",""))+LEN(SUBSTITUTE(SUBSTITUTE(SUBSTITUTE(F367:F371," ",""),"0",""),"-","")))</f>
      </c>
      <c r="F374" s="14" t="str">
        <f>SUMPRODUCT((UPPER(D367:D371)&lt;&gt;"X")*((LEN(SUBSTITUTE(SUBSTITUTE(SUBSTITUTE(E367:E371," ",""),"0",""),"-",""))+LEN(SUBSTITUTE(SUBSTITUTE(SUBSTITUTE(F367:F371," ",""),"0",""),"-","")))&gt;(LEN(SUBSTITUTE(SUBSTITUTE(SUBSTITUTE(B367:B371," ",""),"0",""),"-",""))+LEN(SUBSTITUTE(SUBSTITUTE(SUBSTITUTE(C367:C371," ",""),"0",""),"-",""))))*1)</f>
      </c>
      <c r="G374" s="14" t="s">
        <v>348</v>
      </c>
      <c r="I374" s="14" t="s">
        <v>348</v>
      </c>
      <c r="J374" s="14" t="str">
        <f>SUMPRODUCT((UPPER(L367:L371)&lt;&gt;"X")*((LEN(SUBSTITUTE(SUBSTITUTE(SUBSTITUTE(J367:J371," ",""),"0",""),"-",""))+LEN(SUBSTITUTE(SUBSTITUTE(SUBSTITUTE(K367:K371," ",""),"0",""),"-","")))&gt;(LEN(SUBSTITUTE(SUBSTITUTE(SUBSTITUTE(M367:M371," ",""),"0",""),"-",""))+LEN(SUBSTITUTE(SUBSTITUTE(SUBSTITUTE(N367:N371," ",""),"0",""),"-",""))))*1)</f>
      </c>
      <c r="K374" s="14" t="str">
        <f>SUMPRODUCT(LEN(SUBSTITUTE(SUBSTITUTE(SUBSTITUTE(J367:J371," ",""),"0",""),"-",""))+LEN(SUBSTITUTE(SUBSTITUTE(SUBSTITUTE(K367:K371," ",""),"0",""),"-","")))</f>
      </c>
      <c r="L374" s="14"/>
      <c r="M374" s="14" t="str">
        <f>SUMPRODUCT(LEN(SUBSTITUTE(SUBSTITUTE(SUBSTITUTE(M367:M371," ",""),"0",""),"-",""))+LEN(SUBSTITUTE(SUBSTITUTE(SUBSTITUTE(N367:N371," ",""),"0",""),"-","")))</f>
      </c>
      <c r="N374" s="14" t="str">
        <f>SUMPRODUCT((UPPER(L367:L371)&lt;&gt;"X")*((LEN(SUBSTITUTE(SUBSTITUTE(SUBSTITUTE(M367:M371," ",""),"0",""),"-",""))+LEN(SUBSTITUTE(SUBSTITUTE(SUBSTITUTE(N367:N371," ",""),"0",""),"-","")))&gt;(LEN(SUBSTITUTE(SUBSTITUTE(SUBSTITUTE(J367:J371," ",""),"0",""),"-",""))+LEN(SUBSTITUTE(SUBSTITUTE(SUBSTITUTE(K367:K371," ",""),"0",""),"-",""))))*1)</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SUMPRODUCT((UPPER(D436:D440)&lt;&gt;"X")*((LEN(SUBSTITUTE(SUBSTITUTE(SUBSTITUTE(B436:B440," ",""),"0",""),"-",""))+LEN(SUBSTITUTE(SUBSTITUTE(SUBSTITUTE(C436:C440," ",""),"0",""),"-","")))&gt;(LEN(SUBSTITUTE(SUBSTITUTE(SUBSTITUTE(E436:E440," ",""),"0",""),"-",""))+LEN(SUBSTITUTE(SUBSTITUTE(SUBSTITUTE(F436:F440," ",""),"0",""),"-",""))))*1)</f>
      </c>
      <c r="C443" s="14" t="str">
        <f>SUMPRODUCT(LEN(SUBSTITUTE(SUBSTITUTE(SUBSTITUTE(B436:B440," ",""),"0",""),"-",""))+LEN(SUBSTITUTE(SUBSTITUTE(SUBSTITUTE(C436:C440," ",""),"0",""),"-","")))</f>
      </c>
      <c r="D443" s="14"/>
      <c r="E443" s="14" t="str">
        <f>SUMPRODUCT(LEN(SUBSTITUTE(SUBSTITUTE(SUBSTITUTE(E436:E440," ",""),"0",""),"-",""))+LEN(SUBSTITUTE(SUBSTITUTE(SUBSTITUTE(F436:F440," ",""),"0",""),"-","")))</f>
      </c>
      <c r="F443" s="14" t="str">
        <f>SUMPRODUCT((UPPER(D436:D440)&lt;&gt;"X")*((LEN(SUBSTITUTE(SUBSTITUTE(SUBSTITUTE(E436:E440," ",""),"0",""),"-",""))+LEN(SUBSTITUTE(SUBSTITUTE(SUBSTITUTE(F436:F440," ",""),"0",""),"-","")))&gt;(LEN(SUBSTITUTE(SUBSTITUTE(SUBSTITUTE(B436:B440," ",""),"0",""),"-",""))+LEN(SUBSTITUTE(SUBSTITUTE(SUBSTITUTE(C436:C440," ",""),"0",""),"-",""))))*1)</f>
      </c>
      <c r="G443" s="14" t="s">
        <v>348</v>
      </c>
      <c r="I443" s="14" t="s">
        <v>348</v>
      </c>
      <c r="J443" s="14" t="str">
        <f>SUMPRODUCT((UPPER(L436:L440)&lt;&gt;"X")*((LEN(SUBSTITUTE(SUBSTITUTE(SUBSTITUTE(J436:J440," ",""),"0",""),"-",""))+LEN(SUBSTITUTE(SUBSTITUTE(SUBSTITUTE(K436:K440," ",""),"0",""),"-","")))&gt;(LEN(SUBSTITUTE(SUBSTITUTE(SUBSTITUTE(M436:M440," ",""),"0",""),"-",""))+LEN(SUBSTITUTE(SUBSTITUTE(SUBSTITUTE(N436:N440," ",""),"0",""),"-",""))))*1)</f>
      </c>
      <c r="K443" s="14" t="str">
        <f>SUMPRODUCT(LEN(SUBSTITUTE(SUBSTITUTE(SUBSTITUTE(J436:J440," ",""),"0",""),"-",""))+LEN(SUBSTITUTE(SUBSTITUTE(SUBSTITUTE(K436:K440," ",""),"0",""),"-","")))</f>
      </c>
      <c r="L443" s="14"/>
      <c r="M443" s="14" t="str">
        <f>SUMPRODUCT(LEN(SUBSTITUTE(SUBSTITUTE(SUBSTITUTE(M436:M440," ",""),"0",""),"-",""))+LEN(SUBSTITUTE(SUBSTITUTE(SUBSTITUTE(N436:N440," ",""),"0",""),"-","")))</f>
      </c>
      <c r="N443" s="14" t="str">
        <f>SUMPRODUCT((UPPER(L436:L440)&lt;&gt;"X")*((LEN(SUBSTITUTE(SUBSTITUTE(SUBSTITUTE(M436:M440," ",""),"0",""),"-",""))+LEN(SUBSTITUTE(SUBSTITUTE(SUBSTITUTE(N436:N440," ",""),"0",""),"-","")))&gt;(LEN(SUBSTITUTE(SUBSTITUTE(SUBSTITUTE(J436:J440," ",""),"0",""),"-",""))+LEN(SUBSTITUTE(SUBSTITUTE(SUBSTITUTE(K436:K440," ",""),"0",""),"-",""))))*1)</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SUMPRODUCT((UPPER(D473:D477)&lt;&gt;"X")*((LEN(SUBSTITUTE(SUBSTITUTE(SUBSTITUTE(B473:B477," ",""),"0",""),"-",""))+LEN(SUBSTITUTE(SUBSTITUTE(SUBSTITUTE(C473:C477," ",""),"0",""),"-","")))&gt;(LEN(SUBSTITUTE(SUBSTITUTE(SUBSTITUTE(E473:E477," ",""),"0",""),"-",""))+LEN(SUBSTITUTE(SUBSTITUTE(SUBSTITUTE(F473:F477," ",""),"0",""),"-",""))))*1)</f>
      </c>
      <c r="C480" s="14" t="str">
        <f>SUMPRODUCT(LEN(SUBSTITUTE(SUBSTITUTE(SUBSTITUTE(B473:B477," ",""),"0",""),"-",""))+LEN(SUBSTITUTE(SUBSTITUTE(SUBSTITUTE(C473:C477," ",""),"0",""),"-","")))</f>
      </c>
      <c r="D480" s="14"/>
      <c r="E480" s="14" t="str">
        <f>SUMPRODUCT(LEN(SUBSTITUTE(SUBSTITUTE(SUBSTITUTE(E473:E477," ",""),"0",""),"-",""))+LEN(SUBSTITUTE(SUBSTITUTE(SUBSTITUTE(F473:F477," ",""),"0",""),"-","")))</f>
      </c>
      <c r="F480" s="14" t="str">
        <f>SUMPRODUCT((UPPER(D473:D477)&lt;&gt;"X")*((LEN(SUBSTITUTE(SUBSTITUTE(SUBSTITUTE(E473:E477," ",""),"0",""),"-",""))+LEN(SUBSTITUTE(SUBSTITUTE(SUBSTITUTE(F473:F477," ",""),"0",""),"-","")))&gt;(LEN(SUBSTITUTE(SUBSTITUTE(SUBSTITUTE(B473:B477," ",""),"0",""),"-",""))+LEN(SUBSTITUTE(SUBSTITUTE(SUBSTITUTE(C473:C477," ",""),"0",""),"-",""))))*1)</f>
      </c>
      <c r="G480" s="14" t="s">
        <v>348</v>
      </c>
      <c r="I480" s="14" t="s">
        <v>348</v>
      </c>
      <c r="J480" s="14" t="str">
        <f>SUMPRODUCT((UPPER(L473:L477)&lt;&gt;"X")*((LEN(SUBSTITUTE(SUBSTITUTE(SUBSTITUTE(J473:J477," ",""),"0",""),"-",""))+LEN(SUBSTITUTE(SUBSTITUTE(SUBSTITUTE(K473:K477," ",""),"0",""),"-","")))&gt;(LEN(SUBSTITUTE(SUBSTITUTE(SUBSTITUTE(M473:M477," ",""),"0",""),"-",""))+LEN(SUBSTITUTE(SUBSTITUTE(SUBSTITUTE(N473:N477," ",""),"0",""),"-",""))))*1)</f>
      </c>
      <c r="K480" s="14" t="str">
        <f>SUMPRODUCT(LEN(SUBSTITUTE(SUBSTITUTE(SUBSTITUTE(J473:J477," ",""),"0",""),"-",""))+LEN(SUBSTITUTE(SUBSTITUTE(SUBSTITUTE(K473:K477," ",""),"0",""),"-","")))</f>
      </c>
      <c r="L480" s="14"/>
      <c r="M480" s="14" t="str">
        <f>SUMPRODUCT(LEN(SUBSTITUTE(SUBSTITUTE(SUBSTITUTE(M473:M477," ",""),"0",""),"-",""))+LEN(SUBSTITUTE(SUBSTITUTE(SUBSTITUTE(N473:N477," ",""),"0",""),"-","")))</f>
      </c>
      <c r="N480" s="14" t="str">
        <f>SUMPRODUCT((UPPER(L473:L477)&lt;&gt;"X")*((LEN(SUBSTITUTE(SUBSTITUTE(SUBSTITUTE(M473:M477," ",""),"0",""),"-",""))+LEN(SUBSTITUTE(SUBSTITUTE(SUBSTITUTE(N473:N477," ",""),"0",""),"-","")))&gt;(LEN(SUBSTITUTE(SUBSTITUTE(SUBSTITUTE(J473:J477," ",""),"0",""),"-",""))+LEN(SUBSTITUTE(SUBSTITUTE(SUBSTITUTE(K473:K477," ",""),"0",""),"-",""))))*1)</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SUMPRODUCT((UPPER(D494:D498)&lt;&gt;"X")*((LEN(SUBSTITUTE(SUBSTITUTE(SUBSTITUTE(B494:B498," ",""),"0",""),"-",""))+LEN(SUBSTITUTE(SUBSTITUTE(SUBSTITUTE(C494:C498," ",""),"0",""),"-","")))&gt;(LEN(SUBSTITUTE(SUBSTITUTE(SUBSTITUTE(E494:E498," ",""),"0",""),"-",""))+LEN(SUBSTITUTE(SUBSTITUTE(SUBSTITUTE(F494:F498," ",""),"0",""),"-",""))))*1)</f>
      </c>
      <c r="C501" s="14" t="str">
        <f>SUMPRODUCT(LEN(SUBSTITUTE(SUBSTITUTE(SUBSTITUTE(B494:B498," ",""),"0",""),"-",""))+LEN(SUBSTITUTE(SUBSTITUTE(SUBSTITUTE(C494:C498," ",""),"0",""),"-","")))</f>
      </c>
      <c r="D501" s="14"/>
      <c r="E501" s="14" t="str">
        <f>SUMPRODUCT(LEN(SUBSTITUTE(SUBSTITUTE(SUBSTITUTE(E494:E498," ",""),"0",""),"-",""))+LEN(SUBSTITUTE(SUBSTITUTE(SUBSTITUTE(F494:F498," ",""),"0",""),"-","")))</f>
      </c>
      <c r="F501" s="14" t="str">
        <f>SUMPRODUCT((UPPER(D494:D498)&lt;&gt;"X")*((LEN(SUBSTITUTE(SUBSTITUTE(SUBSTITUTE(E494:E498," ",""),"0",""),"-",""))+LEN(SUBSTITUTE(SUBSTITUTE(SUBSTITUTE(F494:F498," ",""),"0",""),"-","")))&gt;(LEN(SUBSTITUTE(SUBSTITUTE(SUBSTITUTE(B494:B498," ",""),"0",""),"-",""))+LEN(SUBSTITUTE(SUBSTITUTE(SUBSTITUTE(C494:C498," ",""),"0",""),"-",""))))*1)</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