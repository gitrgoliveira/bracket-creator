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<sst xmlns="http://schemas.openxmlformats.org/spreadsheetml/2006/main" count="414" uniqueCount="414">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</sst>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'data'!$B$7</f>
      </c>
      <c r="I57" s="14" t="str">
        <f>'data'!$B$53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'data'!$B$7</f>
      </c>
      <c r="I65" s="14" t="str">
        <f>'data'!$B$54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'data'!$B$8</f>
      </c>
      <c r="I73" s="14" t="str">
        <f>'data'!$B$54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'data'!$B$10</f>
      </c>
      <c r="I100" s="14" t="str">
        <f>'data'!$B$56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'data'!$B$10</f>
      </c>
      <c r="I108" s="14" t="str">
        <f>'data'!$B$57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'data'!$B$11</f>
      </c>
      <c r="I116" s="14" t="str">
        <f>'data'!$B$57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'data'!$B$13</f>
      </c>
      <c r="I143" s="14" t="str">
        <f>'data'!$B$59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'data'!$B$13</f>
      </c>
      <c r="I151" s="14" t="str">
        <f>'data'!$B$60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'data'!$B$14</f>
      </c>
      <c r="I159" s="14" t="str">
        <f>'data'!$B$60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'data'!$B$16</f>
      </c>
      <c r="I186" s="14" t="str">
        <f>'data'!$B$62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'data'!$B$16</f>
      </c>
      <c r="I194" s="14" t="str">
        <f>'data'!$B$63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'data'!$B$17</f>
      </c>
      <c r="I202" s="14" t="str">
        <f>'data'!$B$63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'data'!$B$19</f>
      </c>
      <c r="I229" s="14" t="str">
        <f>'data'!$B$65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'data'!$B$19</f>
      </c>
      <c r="I237" s="14" t="str">
        <f>'data'!$B$66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'data'!$B$20</f>
      </c>
      <c r="I245" s="14" t="str">
        <f>'data'!$B$66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'data'!$B$22</f>
      </c>
      <c r="I272" s="14" t="str">
        <f>'data'!$B$68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'data'!$B$22</f>
      </c>
      <c r="I280" s="14" t="str">
        <f>'data'!$B$69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'data'!$B$23</f>
      </c>
      <c r="I288" s="14" t="str">
        <f>'data'!$B$69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'data'!$B$25</f>
      </c>
      <c r="I315" s="14" t="str">
        <f>'data'!$B$71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'data'!$B$25</f>
      </c>
      <c r="I323" s="14" t="str">
        <f>'data'!$B$72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'data'!$B$26</f>
      </c>
      <c r="I331" s="14" t="str">
        <f>'data'!$B$72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'data'!$B$28</f>
      </c>
      <c r="I358" s="14" t="str">
        <f>'data'!$B$74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'data'!$B$28</f>
      </c>
      <c r="I366" s="14" t="str">
        <f>'data'!$B$75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'data'!$B$29</f>
      </c>
      <c r="I374" s="14" t="str">
        <f>'data'!$B$75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'data'!$B$31</f>
      </c>
      <c r="I401" s="14" t="str">
        <f>'data'!$B$77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'data'!$B$31</f>
      </c>
      <c r="I409" s="14" t="str">
        <f>'data'!$B$78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'data'!$B$32</f>
      </c>
      <c r="I417" s="14" t="str">
        <f>'data'!$B$78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'data'!$B$34</f>
      </c>
      <c r="I444" s="14" t="str">
        <f>'data'!$B$80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'data'!$B$34</f>
      </c>
      <c r="I452" s="14" t="str">
        <f>'data'!$B$81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'data'!$B$35</f>
      </c>
      <c r="I460" s="14" t="str">
        <f>'data'!$B$81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'data'!$B$37</f>
      </c>
      <c r="I487" s="14" t="str">
        <f>'data'!$B$83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'data'!$B$37</f>
      </c>
      <c r="I495" s="14" t="str">
        <f>'data'!$B$84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'data'!$B$38</f>
      </c>
      <c r="I503" s="14" t="str">
        <f>'data'!$B$84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'data'!$B$40</f>
      </c>
      <c r="I530" s="14" t="str">
        <f>'data'!$B$86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'data'!$B$40</f>
      </c>
      <c r="I538" s="14" t="str">
        <f>'data'!$B$87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'data'!$B$41</f>
      </c>
      <c r="I546" s="14" t="str">
        <f>'data'!$B$87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'data'!$B$43</f>
      </c>
      <c r="I573" s="14" t="str">
        <f>'data'!$B$89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'data'!$B$43</f>
      </c>
      <c r="I581" s="14" t="str">
        <f>'data'!$B$90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'data'!$B$44</f>
      </c>
      <c r="I589" s="14" t="str">
        <f>'data'!$B$90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'data'!$B$46</f>
      </c>
      <c r="I616" s="14" t="str">
        <f>'data'!$B$92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'data'!$B$46</f>
      </c>
      <c r="I624" s="14" t="str">
        <f>'data'!$B$93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'data'!$B$47</f>
      </c>
      <c r="I632" s="14" t="str">
        <f>'data'!$B$93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246</v>
      </c>
      <c r="C11" s="14" t="s">
        <v>249</v>
      </c>
      <c r="D11" s="14"/>
      <c r="E11" s="14" t="s">
        <v>249</v>
      </c>
      <c r="F11" s="14" t="s">
        <v>246</v>
      </c>
      <c r="G11" s="14" t="str">
        <f>CONCATENATE("Pool A-1st ",'Pool Matches'!G50)</f>
      </c>
      <c r="I11" s="14" t="str">
        <f>CONCATENATE("Pool A-2nd ",'Pool Matches'!G51)</f>
      </c>
      <c r="J11" s="14" t="s">
        <v>246</v>
      </c>
      <c r="K11" s="14" t="s">
        <v>249</v>
      </c>
      <c r="L11" s="14"/>
      <c r="M11" s="14" t="s">
        <v>249</v>
      </c>
      <c r="N11" s="14" t="s">
        <v>246</v>
      </c>
      <c r="O11" s="14" t="str">
        <f>CONCATENATE("Pool P-1st ",'Pool Matches'!O48)</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246</v>
      </c>
      <c r="C27" s="14" t="s">
        <v>249</v>
      </c>
      <c r="D27" s="14"/>
      <c r="E27" s="14" t="s">
        <v>249</v>
      </c>
      <c r="F27" s="14" t="s">
        <v>246</v>
      </c>
      <c r="G27" s="14" t="str">
        <f>CONCATENATE("Pool B-1st ",'Pool Matches'!G93)</f>
      </c>
      <c r="I27" s="14" t="str">
        <f>CONCATENATE("Pool B-2nd ",'Pool Matches'!G94)</f>
      </c>
      <c r="J27" s="14" t="s">
        <v>246</v>
      </c>
      <c r="K27" s="14" t="s">
        <v>249</v>
      </c>
      <c r="L27" s="14"/>
      <c r="M27" s="14" t="s">
        <v>249</v>
      </c>
      <c r="N27" s="14" t="s">
        <v>246</v>
      </c>
      <c r="O27" s="14" t="str">
        <f>CONCATENATE("Pool Q-1st ",'Pool Matches'!O93)</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246</v>
      </c>
      <c r="C43" s="14" t="s">
        <v>249</v>
      </c>
      <c r="D43" s="14"/>
      <c r="E43" s="14" t="s">
        <v>249</v>
      </c>
      <c r="F43" s="14" t="s">
        <v>246</v>
      </c>
      <c r="G43" s="14" t="str">
        <f>CONCATENATE("Pool C-1st ",'Pool Matches'!G136)</f>
      </c>
      <c r="I43" s="14" t="str">
        <f>CONCATENATE("Pool C-2nd ",'Pool Matches'!G137)</f>
      </c>
      <c r="J43" s="14" t="s">
        <v>246</v>
      </c>
      <c r="K43" s="14" t="s">
        <v>249</v>
      </c>
      <c r="L43" s="14"/>
      <c r="M43" s="14" t="s">
        <v>249</v>
      </c>
      <c r="N43" s="14" t="s">
        <v>246</v>
      </c>
      <c r="O43" s="14" t="str">
        <f>CONCATENATE("Pool R-1st ",'Pool Matches'!O136)</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246</v>
      </c>
      <c r="C59" s="14" t="s">
        <v>249</v>
      </c>
      <c r="D59" s="14"/>
      <c r="E59" s="14" t="s">
        <v>249</v>
      </c>
      <c r="F59" s="14" t="s">
        <v>246</v>
      </c>
      <c r="G59" s="14" t="str">
        <f>CONCATENATE("Pool D-1st ",'Pool Matches'!G179)</f>
      </c>
      <c r="I59" s="14" t="str">
        <f>CONCATENATE("Pool D-2nd ",'Pool Matches'!G180)</f>
      </c>
      <c r="J59" s="14" t="s">
        <v>246</v>
      </c>
      <c r="K59" s="14" t="s">
        <v>249</v>
      </c>
      <c r="L59" s="14"/>
      <c r="M59" s="14" t="s">
        <v>249</v>
      </c>
      <c r="N59" s="14" t="s">
        <v>246</v>
      </c>
      <c r="O59" s="14" t="str">
        <f>CONCATENATE("Pool S-1st ",'Pool Matches'!O179)</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246</v>
      </c>
      <c r="C75" s="14" t="s">
        <v>249</v>
      </c>
      <c r="D75" s="14"/>
      <c r="E75" s="14" t="s">
        <v>249</v>
      </c>
      <c r="F75" s="14" t="s">
        <v>246</v>
      </c>
      <c r="G75" s="14" t="str">
        <f>CONCATENATE("Pool E-1st ",'Pool Matches'!G222)</f>
      </c>
      <c r="I75" s="14" t="str">
        <f>CONCATENATE("Pool E-2nd ",'Pool Matches'!G223)</f>
      </c>
      <c r="J75" s="14" t="s">
        <v>246</v>
      </c>
      <c r="K75" s="14" t="s">
        <v>249</v>
      </c>
      <c r="L75" s="14"/>
      <c r="M75" s="14" t="s">
        <v>249</v>
      </c>
      <c r="N75" s="14" t="s">
        <v>246</v>
      </c>
      <c r="O75" s="14" t="str">
        <f>CONCATENATE("Pool T-1st ",'Pool Matches'!O222)</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246</v>
      </c>
      <c r="C91" s="14" t="s">
        <v>249</v>
      </c>
      <c r="D91" s="14"/>
      <c r="E91" s="14" t="s">
        <v>249</v>
      </c>
      <c r="F91" s="14" t="s">
        <v>246</v>
      </c>
      <c r="G91" s="14" t="str">
        <f>CONCATENATE("Pool F-1st ",'Pool Matches'!G265)</f>
      </c>
      <c r="I91" s="14" t="str">
        <f>CONCATENATE("Pool F-2nd ",'Pool Matches'!G266)</f>
      </c>
      <c r="J91" s="14" t="s">
        <v>246</v>
      </c>
      <c r="K91" s="14" t="s">
        <v>249</v>
      </c>
      <c r="L91" s="14"/>
      <c r="M91" s="14" t="s">
        <v>249</v>
      </c>
      <c r="N91" s="14" t="s">
        <v>246</v>
      </c>
      <c r="O91" s="14" t="str">
        <f>CONCATENATE("Pool U-1st ",'Pool Matches'!O265)</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246</v>
      </c>
      <c r="C107" s="14" t="s">
        <v>249</v>
      </c>
      <c r="D107" s="14"/>
      <c r="E107" s="14" t="s">
        <v>249</v>
      </c>
      <c r="F107" s="14" t="s">
        <v>246</v>
      </c>
      <c r="G107" s="14" t="str">
        <f>CONCATENATE("Pool G-1st ",'Pool Matches'!G308)</f>
      </c>
      <c r="I107" s="14" t="str">
        <f>CONCATENATE("Pool G-2nd ",'Pool Matches'!G309)</f>
      </c>
      <c r="J107" s="14" t="s">
        <v>246</v>
      </c>
      <c r="K107" s="14" t="s">
        <v>249</v>
      </c>
      <c r="L107" s="14"/>
      <c r="M107" s="14" t="s">
        <v>249</v>
      </c>
      <c r="N107" s="14" t="s">
        <v>246</v>
      </c>
      <c r="O107" s="14" t="str">
        <f>CONCATENATE("Pool V-1st ",'Pool Matches'!O308)</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246</v>
      </c>
      <c r="C123" s="14" t="s">
        <v>249</v>
      </c>
      <c r="D123" s="14"/>
      <c r="E123" s="14" t="s">
        <v>249</v>
      </c>
      <c r="F123" s="14" t="s">
        <v>246</v>
      </c>
      <c r="G123" s="14" t="str">
        <f>CONCATENATE("Pool H-1st ",'Pool Matches'!G351)</f>
      </c>
      <c r="I123" s="14" t="str">
        <f>CONCATENATE("Pool H-2nd ",'Pool Matches'!G352)</f>
      </c>
      <c r="J123" s="14" t="s">
        <v>246</v>
      </c>
      <c r="K123" s="14" t="s">
        <v>249</v>
      </c>
      <c r="L123" s="14"/>
      <c r="M123" s="14" t="s">
        <v>249</v>
      </c>
      <c r="N123" s="14" t="s">
        <v>246</v>
      </c>
      <c r="O123" s="14" t="str">
        <f>CONCATENATE("Pool W-1st ",'Pool Matches'!O351)</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246</v>
      </c>
      <c r="C139" s="14" t="s">
        <v>249</v>
      </c>
      <c r="D139" s="14"/>
      <c r="E139" s="14" t="s">
        <v>249</v>
      </c>
      <c r="F139" s="14" t="s">
        <v>246</v>
      </c>
      <c r="G139" s="14" t="str">
        <f>CONCATENATE("Pool I-1st ",'Pool Matches'!G394)</f>
      </c>
      <c r="I139" s="14" t="str">
        <f>CONCATENATE("Pool I-2nd ",'Pool Matches'!G395)</f>
      </c>
      <c r="J139" s="14" t="s">
        <v>246</v>
      </c>
      <c r="K139" s="14" t="s">
        <v>249</v>
      </c>
      <c r="L139" s="14"/>
      <c r="M139" s="14" t="s">
        <v>249</v>
      </c>
      <c r="N139" s="14" t="s">
        <v>246</v>
      </c>
      <c r="O139" s="14" t="str">
        <f>CONCATENATE("Pool X-1st ",'Pool Matches'!O394)</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246</v>
      </c>
      <c r="C155" s="14" t="s">
        <v>249</v>
      </c>
      <c r="D155" s="14"/>
      <c r="E155" s="14" t="s">
        <v>249</v>
      </c>
      <c r="F155" s="14" t="s">
        <v>246</v>
      </c>
      <c r="G155" s="14" t="str">
        <f>CONCATENATE("Pool J-1st ",'Pool Matches'!G437)</f>
      </c>
      <c r="I155" s="14" t="str">
        <f>CONCATENATE("Pool J-2nd ",'Pool Matches'!G438)</f>
      </c>
      <c r="J155" s="14" t="s">
        <v>246</v>
      </c>
      <c r="K155" s="14" t="s">
        <v>249</v>
      </c>
      <c r="L155" s="14"/>
      <c r="M155" s="14" t="s">
        <v>249</v>
      </c>
      <c r="N155" s="14" t="s">
        <v>246</v>
      </c>
      <c r="O155" s="14" t="str">
        <f>CONCATENATE("Pool Y-1st ",'Pool Matches'!O437)</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246</v>
      </c>
      <c r="C171" s="14" t="s">
        <v>249</v>
      </c>
      <c r="D171" s="14"/>
      <c r="E171" s="14" t="s">
        <v>249</v>
      </c>
      <c r="F171" s="14" t="s">
        <v>246</v>
      </c>
      <c r="G171" s="14" t="str">
        <f>CONCATENATE("Pool K-1st ",'Pool Matches'!G480)</f>
      </c>
      <c r="I171" s="14" t="str">
        <f>CONCATENATE("Pool K-2nd ",'Pool Matches'!G481)</f>
      </c>
      <c r="J171" s="14" t="s">
        <v>246</v>
      </c>
      <c r="K171" s="14" t="s">
        <v>249</v>
      </c>
      <c r="L171" s="14"/>
      <c r="M171" s="14" t="s">
        <v>249</v>
      </c>
      <c r="N171" s="14" t="s">
        <v>246</v>
      </c>
      <c r="O171" s="14" t="str">
        <f>CONCATENATE("Pool Z-1st ",'Pool Matches'!O480)</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246</v>
      </c>
      <c r="C187" s="14" t="s">
        <v>249</v>
      </c>
      <c r="D187" s="14"/>
      <c r="E187" s="14" t="s">
        <v>249</v>
      </c>
      <c r="F187" s="14" t="s">
        <v>246</v>
      </c>
      <c r="G187" s="14" t="str">
        <f>CONCATENATE("Pool L-1st ",'Pool Matches'!G523)</f>
      </c>
      <c r="I187" s="14" t="str">
        <f>CONCATENATE("Pool L-2nd ",'Pool Matches'!G524)</f>
      </c>
      <c r="J187" s="14" t="s">
        <v>246</v>
      </c>
      <c r="K187" s="14" t="s">
        <v>249</v>
      </c>
      <c r="L187" s="14"/>
      <c r="M187" s="14" t="s">
        <v>249</v>
      </c>
      <c r="N187" s="14" t="s">
        <v>246</v>
      </c>
      <c r="O187" s="14" t="str">
        <f>CONCATENATE("Pool AA-1st ",'Pool Matches'!O523)</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M-1st ",'Pool Matches'!G566)</f>
      </c>
      <c r="I203" s="14" t="str">
        <f>CONCATENATE("Pool M-2nd ",'Pool Matches'!G567)</f>
      </c>
      <c r="J203" s="14" t="s">
        <v>246</v>
      </c>
      <c r="K203" s="14" t="s">
        <v>249</v>
      </c>
      <c r="L203" s="14"/>
      <c r="M203" s="14" t="s">
        <v>249</v>
      </c>
      <c r="N203" s="14" t="s">
        <v>246</v>
      </c>
      <c r="O203" s="14" t="str">
        <f>CONCATENATE("Pool BB-1st ",'Pool Matches'!O566)</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CC-2nd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CC-1st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CC-2nd ",'Pool Matches'!O610)</f>
      </c>
      <c r="B219" s="14" t="s">
        <v>246</v>
      </c>
      <c r="C219" s="14" t="s">
        <v>249</v>
      </c>
      <c r="D219" s="14"/>
      <c r="E219" s="14" t="s">
        <v>249</v>
      </c>
      <c r="F219" s="14" t="s">
        <v>246</v>
      </c>
      <c r="G219" s="14" t="str">
        <f>CONCATENATE("Pool N-1st ",'Pool Matches'!G609)</f>
      </c>
      <c r="I219" s="14" t="str">
        <f>CONCATENATE("Pool N-2nd ",'Pool Matches'!G610)</f>
      </c>
      <c r="J219" s="14" t="s">
        <v>246</v>
      </c>
      <c r="K219" s="14" t="s">
        <v>249</v>
      </c>
      <c r="L219" s="14"/>
      <c r="M219" s="14" t="s">
        <v>249</v>
      </c>
      <c r="N219" s="14" t="s">
        <v>246</v>
      </c>
      <c r="O219" s="14" t="str">
        <f>CONCATENATE("Pool CC-1st ",'Pool Matches'!O609)</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252</v>
      </c>
      <c r="G223" s="19"/>
      <c r="N223" t="s">
        <v>252</v>
      </c>
      <c r="O223" s="19"/>
    </row>
    <row r="224">
      <c r="F224" t="s">
        <v>253</v>
      </c>
      <c r="G224" s="19"/>
      <c r="N224" t="s">
        <v>253</v>
      </c>
      <c r="O224" s="19"/>
    </row>
    <row r="226">
      <c r="A226" s="13" t="s">
        <v>376</v>
      </c>
      <c r="B226" s="13"/>
      <c r="C226" s="13"/>
      <c r="D226" s="13"/>
      <c r="E226" s="13"/>
      <c r="F226" s="13"/>
      <c r="G226" s="13"/>
      <c r="I226" s="13" t="s">
        <v>377</v>
      </c>
      <c r="J226" s="13"/>
      <c r="K226" s="13"/>
      <c r="L226" s="13"/>
      <c r="M226" s="13"/>
      <c r="N226" s="13"/>
      <c r="O226" s="13"/>
    </row>
    <row r="227">
      <c r="A227" s="17" t="s">
        <v>238</v>
      </c>
      <c r="D227" s="14" t="s">
        <v>239</v>
      </c>
      <c r="G227" s="16" t="s">
        <v>240</v>
      </c>
      <c r="I227" s="17" t="s">
        <v>238</v>
      </c>
      <c r="L227" s="14" t="s">
        <v>239</v>
      </c>
      <c r="O227" s="16" t="s">
        <v>240</v>
      </c>
    </row>
    <row r="228">
      <c r="A228" s="14" t="str">
        <f>CONCATENATE("Pool DD-2nd ",'Pool Matches'!O653)</f>
      </c>
      <c r="B228" s="14"/>
      <c r="C228" s="14"/>
      <c r="D228" s="18"/>
      <c r="E228" s="14"/>
      <c r="F228" s="14"/>
      <c r="G228" s="14" t="str">
        <f>CONCATENATE("Pool O-1st ",'Pool Matches'!G652)</f>
      </c>
      <c r="I228" s="14" t="str">
        <f>CONCATENATE("Pool O-2nd ",'Pool Matches'!G653)</f>
      </c>
      <c r="J228" s="14"/>
      <c r="K228" s="14"/>
      <c r="L228" s="18"/>
      <c r="M228" s="14"/>
      <c r="N228" s="14"/>
      <c r="O228" s="14" t="str">
        <f>CONCATENATE("Pool DD-1st ",'Pool Matches'!O652)</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Matches'!O653)</f>
      </c>
      <c r="B235" s="14" t="s">
        <v>246</v>
      </c>
      <c r="C235" s="14" t="s">
        <v>249</v>
      </c>
      <c r="D235" s="14"/>
      <c r="E235" s="14" t="s">
        <v>249</v>
      </c>
      <c r="F235" s="14" t="s">
        <v>246</v>
      </c>
      <c r="G235" s="14" t="str">
        <f>CONCATENATE("Pool O-1st ",'Pool Matches'!G652)</f>
      </c>
      <c r="I235" s="14" t="str">
        <f>CONCATENATE("Pool O-2nd ",'Pool Matches'!G653)</f>
      </c>
      <c r="J235" s="14" t="s">
        <v>246</v>
      </c>
      <c r="K235" s="14" t="s">
        <v>249</v>
      </c>
      <c r="L235" s="14"/>
      <c r="M235" s="14" t="s">
        <v>249</v>
      </c>
      <c r="N235" s="14" t="s">
        <v>246</v>
      </c>
      <c r="O235" s="14" t="str">
        <f>CONCATENATE("Pool DD-1st ",'Pool Matches'!O652)</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252</v>
      </c>
      <c r="G239" s="19"/>
      <c r="N239" t="s">
        <v>252</v>
      </c>
      <c r="O239" s="19"/>
    </row>
    <row r="240">
      <c r="F240" t="s">
        <v>253</v>
      </c>
      <c r="G240" s="19"/>
      <c r="N240" t="s">
        <v>253</v>
      </c>
      <c r="O240"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246</v>
      </c>
      <c r="C256" s="14" t="s">
        <v>249</v>
      </c>
      <c r="D256" s="14"/>
      <c r="E256" s="14" t="s">
        <v>249</v>
      </c>
      <c r="F256" s="14" t="s">
        <v>246</v>
      </c>
      <c r="G256" s="14" t="str">
        <f>CONCATENATE("M 1 ",G15)</f>
      </c>
      <c r="I256" s="14" t="str">
        <f>CONCATENATE("M 17 ",O31)</f>
      </c>
      <c r="J256" s="14" t="s">
        <v>246</v>
      </c>
      <c r="K256" s="14" t="s">
        <v>249</v>
      </c>
      <c r="L256" s="14"/>
      <c r="M256" s="14" t="s">
        <v>249</v>
      </c>
      <c r="N256" s="14" t="s">
        <v>246</v>
      </c>
      <c r="O256" s="14" t="str">
        <f>CONCATENATE("M 16 ",O15)</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246</v>
      </c>
      <c r="C272" s="14" t="s">
        <v>249</v>
      </c>
      <c r="D272" s="14"/>
      <c r="E272" s="14" t="s">
        <v>249</v>
      </c>
      <c r="F272" s="14" t="s">
        <v>246</v>
      </c>
      <c r="G272" s="14" t="str">
        <f>CONCATENATE("M 3 ",G47)</f>
      </c>
      <c r="I272" s="14" t="str">
        <f>CONCATENATE("M 19 ",O63)</f>
      </c>
      <c r="J272" s="14" t="s">
        <v>246</v>
      </c>
      <c r="K272" s="14" t="s">
        <v>249</v>
      </c>
      <c r="L272" s="14"/>
      <c r="M272" s="14" t="s">
        <v>249</v>
      </c>
      <c r="N272" s="14" t="s">
        <v>246</v>
      </c>
      <c r="O272" s="14" t="str">
        <f>CONCATENATE("M 18 ",O47)</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246</v>
      </c>
      <c r="C288" s="14" t="s">
        <v>249</v>
      </c>
      <c r="D288" s="14"/>
      <c r="E288" s="14" t="s">
        <v>249</v>
      </c>
      <c r="F288" s="14" t="s">
        <v>246</v>
      </c>
      <c r="G288" s="14" t="str">
        <f>CONCATENATE("M 5 ",G79)</f>
      </c>
      <c r="I288" s="14" t="str">
        <f>CONCATENATE("M 21 ",O95)</f>
      </c>
      <c r="J288" s="14" t="s">
        <v>246</v>
      </c>
      <c r="K288" s="14" t="s">
        <v>249</v>
      </c>
      <c r="L288" s="14"/>
      <c r="M288" s="14" t="s">
        <v>249</v>
      </c>
      <c r="N288" s="14" t="s">
        <v>246</v>
      </c>
      <c r="O288" s="14" t="str">
        <f>CONCATENATE("M 20 ",O79)</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CONCATENATE("M 7 ",G111)</f>
      </c>
      <c r="I304" s="14" t="str">
        <f>CONCATENATE("M 23 ",O127)</f>
      </c>
      <c r="J304" s="14" t="s">
        <v>246</v>
      </c>
      <c r="K304" s="14" t="s">
        <v>249</v>
      </c>
      <c r="L304" s="14"/>
      <c r="M304" s="14" t="s">
        <v>249</v>
      </c>
      <c r="N304" s="14" t="s">
        <v>246</v>
      </c>
      <c r="O304" s="14" t="str">
        <f>CONCATENATE("M 22 ",O111)</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25 ",O159)</f>
      </c>
      <c r="J313" s="14"/>
      <c r="K313" s="14"/>
      <c r="L313" s="18"/>
      <c r="M313" s="14"/>
      <c r="N313" s="14"/>
      <c r="O313" s="14" t="str">
        <f>CONCATENATE("M 24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25 ",O159)</f>
      </c>
      <c r="J320" s="14" t="s">
        <v>246</v>
      </c>
      <c r="K320" s="14" t="s">
        <v>249</v>
      </c>
      <c r="L320" s="14"/>
      <c r="M320" s="14" t="s">
        <v>249</v>
      </c>
      <c r="N320" s="14" t="s">
        <v>246</v>
      </c>
      <c r="O320" s="14" t="str">
        <f>CONCATENATE("M 24 ",O143)</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27 ",O191)</f>
      </c>
      <c r="J329" s="14"/>
      <c r="K329" s="14"/>
      <c r="L329" s="18"/>
      <c r="M329" s="14"/>
      <c r="N329" s="14"/>
      <c r="O329" s="14" t="str">
        <f>CONCATENATE("M 26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27 ",O191)</f>
      </c>
      <c r="J336" s="14" t="s">
        <v>246</v>
      </c>
      <c r="K336" s="14" t="s">
        <v>249</v>
      </c>
      <c r="L336" s="14"/>
      <c r="M336" s="14" t="s">
        <v>249</v>
      </c>
      <c r="N336" s="14" t="s">
        <v>246</v>
      </c>
      <c r="O336" s="14" t="str">
        <f>CONCATENATE("M 26 ",O175)</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29 ",O223)</f>
      </c>
      <c r="J345" s="14"/>
      <c r="K345" s="14"/>
      <c r="L345" s="18"/>
      <c r="M345" s="14"/>
      <c r="N345" s="14"/>
      <c r="O345" s="14" t="str">
        <f>CONCATENATE("M 28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29 ",O223)</f>
      </c>
      <c r="J352" s="14" t="s">
        <v>246</v>
      </c>
      <c r="K352" s="14" t="s">
        <v>249</v>
      </c>
      <c r="L352" s="14"/>
      <c r="M352" s="14" t="s">
        <v>249</v>
      </c>
      <c r="N352" s="14" t="s">
        <v>246</v>
      </c>
      <c r="O352" s="14" t="str">
        <f>CONCATENATE("M 28 ",O207)</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32 ",G276)</f>
      </c>
      <c r="B366" s="14"/>
      <c r="C366" s="14"/>
      <c r="D366" s="18"/>
      <c r="E366" s="14"/>
      <c r="F366" s="14"/>
      <c r="G366" s="14" t="str">
        <f>CONCATENATE("M 31 ",G260)</f>
      </c>
      <c r="I366" s="14" t="str">
        <f>CONCATENATE("M 39 ",O276)</f>
      </c>
      <c r="J366" s="14"/>
      <c r="K366" s="14"/>
      <c r="L366" s="18"/>
      <c r="M366" s="14"/>
      <c r="N366" s="14"/>
      <c r="O366" s="14" t="str">
        <f>CONCATENATE("M 38 ",O260)</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32 ",G276)</f>
      </c>
      <c r="B373" s="14" t="s">
        <v>246</v>
      </c>
      <c r="C373" s="14" t="s">
        <v>249</v>
      </c>
      <c r="D373" s="14"/>
      <c r="E373" s="14" t="s">
        <v>249</v>
      </c>
      <c r="F373" s="14" t="s">
        <v>246</v>
      </c>
      <c r="G373" s="14" t="str">
        <f>CONCATENATE("M 31 ",G260)</f>
      </c>
      <c r="I373" s="14" t="str">
        <f>CONCATENATE("M 39 ",O276)</f>
      </c>
      <c r="J373" s="14" t="s">
        <v>246</v>
      </c>
      <c r="K373" s="14" t="s">
        <v>249</v>
      </c>
      <c r="L373" s="14"/>
      <c r="M373" s="14" t="s">
        <v>249</v>
      </c>
      <c r="N373" s="14" t="s">
        <v>246</v>
      </c>
      <c r="O373" s="14" t="str">
        <f>CONCATENATE("M 38 ",O260)</f>
      </c>
    </row>
    <row r="374">
      <c r="A374" s="14" t="s">
        <v>348</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348</v>
      </c>
      <c r="I374" s="14" t="s">
        <v>348</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34 ",G308)</f>
      </c>
      <c r="B382" s="14"/>
      <c r="C382" s="14"/>
      <c r="D382" s="18"/>
      <c r="E382" s="14"/>
      <c r="F382" s="14"/>
      <c r="G382" s="14" t="str">
        <f>CONCATENATE("M 33 ",G292)</f>
      </c>
      <c r="I382" s="14" t="str">
        <f>CONCATENATE("M 41 ",O308)</f>
      </c>
      <c r="J382" s="14"/>
      <c r="K382" s="14"/>
      <c r="L382" s="18"/>
      <c r="M382" s="14"/>
      <c r="N382" s="14"/>
      <c r="O382" s="14" t="str">
        <f>CONCATENATE("M 40 ",O292)</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34 ",G308)</f>
      </c>
      <c r="B389" s="14" t="s">
        <v>246</v>
      </c>
      <c r="C389" s="14" t="s">
        <v>249</v>
      </c>
      <c r="D389" s="14"/>
      <c r="E389" s="14" t="s">
        <v>249</v>
      </c>
      <c r="F389" s="14" t="s">
        <v>246</v>
      </c>
      <c r="G389" s="14" t="str">
        <f>CONCATENATE("M 33 ",G292)</f>
      </c>
      <c r="I389" s="14" t="str">
        <f>CONCATENATE("M 41 ",O308)</f>
      </c>
      <c r="J389" s="14" t="s">
        <v>246</v>
      </c>
      <c r="K389" s="14" t="s">
        <v>249</v>
      </c>
      <c r="L389" s="14"/>
      <c r="M389" s="14" t="s">
        <v>249</v>
      </c>
      <c r="N389" s="14" t="s">
        <v>246</v>
      </c>
      <c r="O389" s="14" t="str">
        <f>CONCATENATE("M 40 ",O292)</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36 ",G340)</f>
      </c>
      <c r="B398" s="14"/>
      <c r="C398" s="14"/>
      <c r="D398" s="18"/>
      <c r="E398" s="14"/>
      <c r="F398" s="14"/>
      <c r="G398" s="14" t="str">
        <f>CONCATENATE("M 35 ",G324)</f>
      </c>
      <c r="I398" s="14" t="str">
        <f>CONCATENATE("M 43 ",O340)</f>
      </c>
      <c r="J398" s="14"/>
      <c r="K398" s="14"/>
      <c r="L398" s="18"/>
      <c r="M398" s="14"/>
      <c r="N398" s="14"/>
      <c r="O398" s="14" t="str">
        <f>CONCATENATE("M 42 ",O324)</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36 ",G340)</f>
      </c>
      <c r="B405" s="14" t="s">
        <v>246</v>
      </c>
      <c r="C405" s="14" t="s">
        <v>249</v>
      </c>
      <c r="D405" s="14"/>
      <c r="E405" s="14" t="s">
        <v>249</v>
      </c>
      <c r="F405" s="14" t="s">
        <v>246</v>
      </c>
      <c r="G405" s="14" t="str">
        <f>CONCATENATE("M 35 ",G324)</f>
      </c>
      <c r="I405" s="14" t="str">
        <f>CONCATENATE("M 43 ",O340)</f>
      </c>
      <c r="J405" s="14" t="s">
        <v>246</v>
      </c>
      <c r="K405" s="14" t="s">
        <v>249</v>
      </c>
      <c r="L405" s="14"/>
      <c r="M405" s="14" t="s">
        <v>249</v>
      </c>
      <c r="N405" s="14" t="s">
        <v>246</v>
      </c>
      <c r="O405" s="14" t="str">
        <f>CONCATENATE("M 42 ",O324)</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15 ",G239)</f>
      </c>
      <c r="B414" s="14"/>
      <c r="C414" s="14"/>
      <c r="D414" s="18"/>
      <c r="E414" s="14"/>
      <c r="F414" s="14"/>
      <c r="G414" s="14" t="str">
        <f>CONCATENATE("M 37 ",G356)</f>
      </c>
      <c r="I414" s="14" t="str">
        <f>CONCATENATE("M 30 ",O239)</f>
      </c>
      <c r="J414" s="14"/>
      <c r="K414" s="14"/>
      <c r="L414" s="18"/>
      <c r="M414" s="14"/>
      <c r="N414" s="14"/>
      <c r="O414" s="14" t="str">
        <f>CONCATENATE("M 44 ",O356)</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15 ",G239)</f>
      </c>
      <c r="B421" s="14" t="s">
        <v>246</v>
      </c>
      <c r="C421" s="14" t="s">
        <v>249</v>
      </c>
      <c r="D421" s="14"/>
      <c r="E421" s="14" t="s">
        <v>249</v>
      </c>
      <c r="F421" s="14" t="s">
        <v>246</v>
      </c>
      <c r="G421" s="14" t="str">
        <f>CONCATENATE("M 37 ",G356)</f>
      </c>
      <c r="I421" s="14" t="str">
        <f>CONCATENATE("M 30 ",O239)</f>
      </c>
      <c r="J421" s="14" t="s">
        <v>246</v>
      </c>
      <c r="K421" s="14" t="s">
        <v>249</v>
      </c>
      <c r="L421" s="14"/>
      <c r="M421" s="14" t="s">
        <v>249</v>
      </c>
      <c r="N421" s="14" t="s">
        <v>246</v>
      </c>
      <c r="O421" s="14" t="str">
        <f>CONCATENATE("M 44 ",O356)</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348</v>
      </c>
      <c r="I443" s="14" t="s">
        <v>348</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348</v>
      </c>
      <c r="I480" s="14" t="s">
        <v>348</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25"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c r="C5" s="23" t="str">
        <f>CONCATENATE("Pool A-1st ",'Pool Matches'!G50)</f>
      </c>
    </row>
    <row r="6">
      <c r="A6" s="26" t="str">
        <f>"2. " &amp; data!$B$4</f>
      </c>
      <c r="D6" s="22"/>
      <c r="E6" s="21">
        <v>1</v>
      </c>
    </row>
    <row r="7">
      <c r="A7" s="26" t="str">
        <f>"3. " &amp; data!$B$5</f>
      </c>
      <c r="C7" s="23" t="str">
        <f>CONCATENATE("Pool P-2nd ",'Pool Matches'!O49)</f>
      </c>
      <c r="D7" s="15"/>
      <c r="E7" s="20"/>
      <c r="F7" s="22"/>
      <c r="G7" s="20"/>
    </row>
    <row r="8">
      <c r="A8" s="27" t="str">
        <f>"4. " &amp; data!$B$6</f>
      </c>
      <c r="G8" s="21">
        <v>31</v>
      </c>
    </row>
    <row r="9">
      <c r="A9" s="22"/>
      <c r="C9" s="23" t="str">
        <f>CONCATENATE("Pool B-1st ",'Pool Matches'!G93)</f>
      </c>
      <c r="G9" s="20"/>
      <c r="H9" s="22"/>
      <c r="I9" s="20"/>
    </row>
    <row r="10">
      <c r="A10" s="24" t="str">
        <f>'data'!$A$9</f>
      </c>
      <c r="D10" s="22"/>
      <c r="E10" s="21">
        <v>2</v>
      </c>
      <c r="F10" s="15"/>
      <c r="G10" s="20"/>
      <c r="I10" s="20"/>
    </row>
    <row r="11">
      <c r="A11" s="25" t="str">
        <f>"1. " &amp; data!$B$7</f>
      </c>
      <c r="C11" s="23" t="str">
        <f>CONCATENATE("Pool Q-2nd ",'Pool Matches'!O94)</f>
      </c>
      <c r="D11" s="15"/>
      <c r="E11" s="20"/>
      <c r="I11" s="20"/>
    </row>
    <row r="12">
      <c r="A12" s="26" t="str">
        <f>"2. " &amp; data!$B$8</f>
      </c>
      <c r="I12" s="21">
        <v>45</v>
      </c>
    </row>
    <row r="13">
      <c r="A13" s="27" t="str">
        <f>"3. " &amp; 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"1. " &amp; data!$B$10</f>
      </c>
      <c r="G16" s="21">
        <v>32</v>
      </c>
      <c r="H16" s="15"/>
      <c r="I16" s="20"/>
      <c r="K16" s="20"/>
    </row>
    <row r="17">
      <c r="A17" s="26" t="str">
        <f>"2. " &amp; data!$B$11</f>
      </c>
      <c r="C17" s="23" t="str">
        <f>CONCATENATE("Pool D-1st ",'Pool Matches'!G179)</f>
      </c>
      <c r="G17" s="20"/>
      <c r="K17" s="20"/>
    </row>
    <row r="18">
      <c r="A18" s="27" t="str">
        <f>"3. " &amp; data!$B$12</f>
      </c>
      <c r="D18" s="22"/>
      <c r="E18" s="21">
        <v>4</v>
      </c>
      <c r="F18" s="15"/>
      <c r="G18" s="20"/>
      <c r="K18" s="20"/>
    </row>
    <row r="19">
      <c r="A19" s="22"/>
      <c r="C19" s="23" t="str">
        <f>CONCATENATE("Pool S-2nd ",'Pool Matches'!O180)</f>
      </c>
      <c r="D19" s="15"/>
      <c r="E19" s="20"/>
      <c r="K19" s="20"/>
    </row>
    <row r="20">
      <c r="A20" s="24" t="str">
        <f>'data'!$A$15</f>
      </c>
      <c r="K20" s="21">
        <v>53</v>
      </c>
    </row>
    <row r="21">
      <c r="A21" s="25" t="str">
        <f>"1. " &amp; data!$B$13</f>
      </c>
      <c r="C21" s="23" t="str">
        <f>CONCATENATE("Pool E-1st ",'Pool Matches'!G222)</f>
      </c>
      <c r="K21" s="20"/>
    </row>
    <row r="22">
      <c r="A22" s="26" t="str">
        <f>"2. " &amp; data!$B$14</f>
      </c>
      <c r="D22" s="22"/>
      <c r="E22" s="21">
        <v>5</v>
      </c>
      <c r="K22" s="20"/>
    </row>
    <row r="23">
      <c r="A23" s="27" t="str">
        <f>"3. " &amp; data!$B$15</f>
      </c>
      <c r="C23" s="23" t="str">
        <f>CONCATENATE("Pool T-2nd ",'Pool Matches'!O223)</f>
      </c>
      <c r="D23" s="15"/>
      <c r="E23" s="20"/>
      <c r="F23" s="22"/>
      <c r="G23" s="20"/>
      <c r="K23" s="20"/>
    </row>
    <row r="24">
      <c r="A24" s="22"/>
      <c r="G24" s="21">
        <v>33</v>
      </c>
      <c r="K24" s="20"/>
    </row>
    <row r="25">
      <c r="A25" s="24" t="str">
        <f>'data'!$A$18</f>
      </c>
      <c r="C25" s="23" t="str">
        <f>CONCATENATE("Pool F-1st ",'Pool Matches'!G265)</f>
      </c>
      <c r="G25" s="20"/>
      <c r="H25" s="22"/>
      <c r="I25" s="20"/>
      <c r="K25" s="20"/>
    </row>
    <row r="26">
      <c r="A26" s="25" t="str">
        <f>"1. " &amp; data!$B$16</f>
      </c>
      <c r="D26" s="22"/>
      <c r="E26" s="21">
        <v>6</v>
      </c>
      <c r="F26" s="15"/>
      <c r="G26" s="20"/>
      <c r="I26" s="20"/>
      <c r="K26" s="20"/>
    </row>
    <row r="27">
      <c r="A27" s="26" t="str">
        <f>"2. " &amp; data!$B$17</f>
      </c>
      <c r="C27" s="23" t="str">
        <f>CONCATENATE("Pool U-2nd ",'Pool Matches'!O266)</f>
      </c>
      <c r="D27" s="15"/>
      <c r="E27" s="20"/>
      <c r="I27" s="20"/>
      <c r="K27" s="20"/>
    </row>
    <row r="28">
      <c r="A28" s="27" t="str">
        <f>"3. " &amp; data!$B$18</f>
      </c>
      <c r="I28" s="21">
        <v>46</v>
      </c>
      <c r="J28" s="15"/>
      <c r="K28" s="20"/>
    </row>
    <row r="29">
      <c r="A29" s="22"/>
      <c r="C29" s="23" t="str">
        <f>CONCATENATE("Pool G-1st ",'Pool Matches'!G308)</f>
      </c>
      <c r="I29" s="20"/>
    </row>
    <row r="30">
      <c r="A30" s="24" t="str">
        <f>'data'!$A$21</f>
      </c>
      <c r="D30" s="22"/>
      <c r="E30" s="21">
        <v>7</v>
      </c>
      <c r="I30" s="20"/>
    </row>
    <row r="31">
      <c r="A31" s="25" t="str">
        <f>"1. " &amp; data!$B$19</f>
      </c>
      <c r="C31" s="23" t="str">
        <f>CONCATENATE("Pool V-2nd ",'Pool Matches'!O309)</f>
      </c>
      <c r="D31" s="15"/>
      <c r="E31" s="20"/>
      <c r="F31" s="22"/>
      <c r="G31" s="20"/>
      <c r="I31" s="20"/>
    </row>
    <row r="32">
      <c r="A32" s="26" t="str">
        <f>"2. " &amp; data!$B$20</f>
      </c>
      <c r="G32" s="21">
        <v>34</v>
      </c>
      <c r="H32" s="15"/>
      <c r="I32" s="20"/>
    </row>
    <row r="33">
      <c r="A33" s="27" t="str">
        <f>"3. " &amp; 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c r="C5" s="23" t="str">
        <f>CONCATENATE("Pool I-1st ",'Pool Matches'!G394)</f>
      </c>
    </row>
    <row r="6">
      <c r="A6" s="26" t="str">
        <f>"2. " &amp; data!$B$29</f>
      </c>
      <c r="D6" s="22"/>
      <c r="E6" s="21">
        <v>9</v>
      </c>
    </row>
    <row r="7">
      <c r="A7" s="27" t="str">
        <f>"3. " &amp; data!$B$30</f>
      </c>
      <c r="C7" s="23" t="str">
        <f>CONCATENATE("Pool X-2nd ",'Pool Matches'!O395)</f>
      </c>
      <c r="D7" s="15"/>
      <c r="E7" s="20"/>
      <c r="F7" s="22"/>
      <c r="G7" s="20"/>
    </row>
    <row r="8">
      <c r="A8" s="22"/>
      <c r="G8" s="21">
        <v>35</v>
      </c>
    </row>
    <row r="9">
      <c r="A9" s="24" t="str">
        <f>'data'!$A$33</f>
      </c>
      <c r="C9" s="23" t="str">
        <f>CONCATENATE("Pool J-1st ",'Pool Matches'!G437)</f>
      </c>
      <c r="G9" s="20"/>
      <c r="H9" s="22"/>
      <c r="I9" s="20"/>
    </row>
    <row r="10">
      <c r="A10" s="25" t="str">
        <f>"1. " &amp; data!$B$31</f>
      </c>
      <c r="D10" s="22"/>
      <c r="E10" s="21">
        <v>10</v>
      </c>
      <c r="F10" s="15"/>
      <c r="G10" s="20"/>
      <c r="I10" s="20"/>
    </row>
    <row r="11">
      <c r="A11" s="26" t="str">
        <f>"2. " &amp; data!$B$32</f>
      </c>
      <c r="C11" s="23" t="str">
        <f>CONCATENATE("Pool Y-2nd ",'Pool Matches'!O438)</f>
      </c>
      <c r="D11" s="15"/>
      <c r="E11" s="20"/>
      <c r="I11" s="20"/>
    </row>
    <row r="12">
      <c r="A12" s="27" t="str">
        <f>"3. " &amp; data!$B$33</f>
      </c>
      <c r="I12" s="21">
        <v>47</v>
      </c>
    </row>
    <row r="13">
      <c r="A13" s="22"/>
      <c r="C13" s="23" t="str">
        <f>CONCATENATE("Pool K-1st ",'Pool Matches'!G480)</f>
      </c>
      <c r="I13" s="20"/>
      <c r="J13" s="22"/>
      <c r="K13" s="20"/>
    </row>
    <row r="14">
      <c r="A14" s="24" t="str">
        <f>'data'!$A$36</f>
      </c>
      <c r="D14" s="22"/>
      <c r="E14" s="21">
        <v>11</v>
      </c>
      <c r="I14" s="20"/>
      <c r="K14" s="20"/>
    </row>
    <row r="15">
      <c r="A15" s="25" t="str">
        <f>"1. " &amp; data!$B$34</f>
      </c>
      <c r="C15" s="23" t="str">
        <f>CONCATENATE("Pool Z-2nd ",'Pool Matches'!O481)</f>
      </c>
      <c r="D15" s="15"/>
      <c r="E15" s="20"/>
      <c r="F15" s="22"/>
      <c r="G15" s="20"/>
      <c r="I15" s="20"/>
      <c r="K15" s="20"/>
    </row>
    <row r="16">
      <c r="A16" s="26" t="str">
        <f>"2. " &amp; data!$B$35</f>
      </c>
      <c r="G16" s="21">
        <v>36</v>
      </c>
      <c r="H16" s="15"/>
      <c r="I16" s="20"/>
      <c r="K16" s="20"/>
    </row>
    <row r="17">
      <c r="A17" s="27" t="str">
        <f>"3. " &amp; 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"1. " &amp; data!$B$37</f>
      </c>
      <c r="K20" s="21">
        <v>54</v>
      </c>
    </row>
    <row r="21">
      <c r="A21" s="26" t="str">
        <f>"2. " &amp; data!$B$38</f>
      </c>
      <c r="C21" s="23" t="str">
        <f>CONCATENATE("Pool M-1st ",'Pool Matches'!G566)</f>
      </c>
      <c r="K21" s="20"/>
    </row>
    <row r="22">
      <c r="A22" s="27" t="str">
        <f>"3. " &amp; data!$B$39</f>
      </c>
      <c r="D22" s="22"/>
      <c r="E22" s="21">
        <v>13</v>
      </c>
      <c r="K22" s="20"/>
    </row>
    <row r="23">
      <c r="A23" s="22"/>
      <c r="C23" s="23" t="str">
        <f>CONCATENATE("Pool BB-2nd ",'Pool Matches'!O567)</f>
      </c>
      <c r="D23" s="15"/>
      <c r="E23" s="20"/>
      <c r="F23" s="22"/>
      <c r="G23" s="20"/>
      <c r="K23" s="20"/>
    </row>
    <row r="24">
      <c r="A24" s="24" t="str">
        <f>'data'!$A$42</f>
      </c>
      <c r="G24" s="21">
        <v>37</v>
      </c>
      <c r="K24" s="20"/>
    </row>
    <row r="25">
      <c r="A25" s="25" t="str">
        <f>"1. " &amp; data!$B$40</f>
      </c>
      <c r="C25" s="23" t="str">
        <f>CONCATENATE("Pool N-1st ",'Pool Matches'!G609)</f>
      </c>
      <c r="G25" s="20"/>
      <c r="H25" s="22"/>
      <c r="I25" s="20"/>
      <c r="K25" s="20"/>
    </row>
    <row r="26">
      <c r="A26" s="26" t="str">
        <f>"2. " &amp; data!$B$41</f>
      </c>
      <c r="D26" s="22"/>
      <c r="E26" s="21">
        <v>14</v>
      </c>
      <c r="F26" s="15"/>
      <c r="G26" s="20"/>
      <c r="I26" s="20"/>
      <c r="K26" s="20"/>
    </row>
    <row r="27">
      <c r="A27" s="27" t="str">
        <f>"3. " &amp; data!$B$42</f>
      </c>
      <c r="C27" s="23" t="str">
        <f>CONCATENATE("Pool CC-2nd ",'Pool Matches'!O610)</f>
      </c>
      <c r="D27" s="15"/>
      <c r="E27" s="20"/>
      <c r="I27" s="20"/>
      <c r="K27" s="20"/>
    </row>
    <row r="28">
      <c r="A28" s="22"/>
      <c r="I28" s="21">
        <v>48</v>
      </c>
      <c r="J28" s="15"/>
      <c r="K28" s="20"/>
    </row>
    <row r="29">
      <c r="A29" s="24" t="str">
        <f>'data'!$A$45</f>
      </c>
      <c r="C29" s="23" t="str">
        <f>CONCATENATE("Pool O-1st ",'Pool Matches'!G652)</f>
      </c>
      <c r="I29" s="20"/>
    </row>
    <row r="30">
      <c r="A30" s="25" t="str">
        <f>"1. " &amp; data!$B$43</f>
      </c>
      <c r="D30" s="22"/>
      <c r="E30" s="21">
        <v>15</v>
      </c>
      <c r="I30" s="20"/>
    </row>
    <row r="31">
      <c r="A31" s="26" t="str">
        <f>"2. " &amp; data!$B$44</f>
      </c>
      <c r="C31" s="23" t="str">
        <f>CONCATENATE("Pool DD-2nd ",'Pool Matches'!O653)</f>
      </c>
      <c r="D31" s="15"/>
      <c r="E31" s="20"/>
      <c r="I31" s="20"/>
    </row>
    <row r="32">
      <c r="A32" s="27" t="str">
        <f>"3. " &amp; data!$B$45</f>
      </c>
      <c r="H32" s="15"/>
      <c r="I32" s="20"/>
    </row>
    <row r="33">
      <c r="A33" s="22"/>
    </row>
    <row r="34">
      <c r="A34" s="24" t="str">
        <f>'data'!$A$48</f>
      </c>
    </row>
    <row r="35">
      <c r="A35" s="25" t="str">
        <f>"1. " &amp; data!$B$46</f>
      </c>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c r="C5" s="23" t="str">
        <f>CONCATENATE("Pool P-1st ",'Pool Matches'!O48)</f>
      </c>
    </row>
    <row r="6">
      <c r="A6" s="26" t="str">
        <f>"2. " &amp; data!$B$50</f>
      </c>
      <c r="D6" s="22"/>
      <c r="E6" s="21">
        <v>16</v>
      </c>
    </row>
    <row r="7">
      <c r="A7" s="27" t="str">
        <f>"3. " &amp; data!$B$51</f>
      </c>
      <c r="C7" s="23" t="str">
        <f>CONCATENATE("Pool A-2nd ",'Pool Matches'!G51)</f>
      </c>
      <c r="D7" s="15"/>
      <c r="E7" s="20"/>
      <c r="F7" s="22"/>
      <c r="G7" s="20"/>
    </row>
    <row r="8">
      <c r="A8" s="22"/>
      <c r="G8" s="21">
        <v>38</v>
      </c>
    </row>
    <row r="9">
      <c r="A9" s="24" t="str">
        <f>'data'!$A$54</f>
      </c>
      <c r="C9" s="23" t="str">
        <f>CONCATENATE("Pool Q-1st ",'Pool Matches'!O93)</f>
      </c>
      <c r="G9" s="20"/>
      <c r="H9" s="22"/>
      <c r="I9" s="20"/>
    </row>
    <row r="10">
      <c r="A10" s="25" t="str">
        <f>"1. " &amp; data!$B$52</f>
      </c>
      <c r="D10" s="22"/>
      <c r="E10" s="21">
        <v>17</v>
      </c>
      <c r="F10" s="15"/>
      <c r="G10" s="20"/>
      <c r="I10" s="20"/>
    </row>
    <row r="11">
      <c r="A11" s="26" t="str">
        <f>"2. " &amp; data!$B$53</f>
      </c>
      <c r="C11" s="23" t="str">
        <f>CONCATENATE("Pool B-2nd ",'Pool Matches'!G94)</f>
      </c>
      <c r="D11" s="15"/>
      <c r="E11" s="20"/>
      <c r="I11" s="20"/>
    </row>
    <row r="12">
      <c r="A12" s="27" t="str">
        <f>"3. " &amp; data!$B$54</f>
      </c>
      <c r="I12" s="21">
        <v>49</v>
      </c>
    </row>
    <row r="13">
      <c r="A13" s="22"/>
      <c r="C13" s="23" t="str">
        <f>CONCATENATE("Pool R-1st ",'Pool Matches'!O136)</f>
      </c>
      <c r="I13" s="20"/>
      <c r="J13" s="22"/>
      <c r="K13" s="20"/>
    </row>
    <row r="14">
      <c r="A14" s="24" t="str">
        <f>'data'!$A$57</f>
      </c>
      <c r="D14" s="22"/>
      <c r="E14" s="21">
        <v>18</v>
      </c>
      <c r="I14" s="20"/>
      <c r="K14" s="20"/>
    </row>
    <row r="15">
      <c r="A15" s="25" t="str">
        <f>"1. " &amp; data!$B$55</f>
      </c>
      <c r="C15" s="23" t="str">
        <f>CONCATENATE("Pool C-2nd ",'Pool Matches'!G137)</f>
      </c>
      <c r="D15" s="15"/>
      <c r="E15" s="20"/>
      <c r="F15" s="22"/>
      <c r="G15" s="20"/>
      <c r="I15" s="20"/>
      <c r="K15" s="20"/>
    </row>
    <row r="16">
      <c r="A16" s="26" t="str">
        <f>"2. " &amp; data!$B$56</f>
      </c>
      <c r="G16" s="21">
        <v>39</v>
      </c>
      <c r="H16" s="15"/>
      <c r="I16" s="20"/>
      <c r="K16" s="20"/>
    </row>
    <row r="17">
      <c r="A17" s="27" t="str">
        <f>"3. " &amp; data!$B$57</f>
      </c>
      <c r="C17" s="23" t="str">
        <f>CONCATENATE("Pool S-1st ",'Pool Matches'!O179)</f>
      </c>
      <c r="G17" s="20"/>
      <c r="K17" s="20"/>
    </row>
    <row r="18">
      <c r="A18" s="22"/>
      <c r="D18" s="22"/>
      <c r="E18" s="21">
        <v>19</v>
      </c>
      <c r="F18" s="15"/>
      <c r="G18" s="20"/>
      <c r="K18" s="20"/>
    </row>
    <row r="19">
      <c r="A19" s="24" t="str">
        <f>'data'!$A$60</f>
      </c>
      <c r="C19" s="23" t="str">
        <f>CONCATENATE("Pool D-2nd ",'Pool Matches'!G180)</f>
      </c>
      <c r="D19" s="15"/>
      <c r="E19" s="20"/>
      <c r="K19" s="20"/>
    </row>
    <row r="20">
      <c r="A20" s="25" t="str">
        <f>"1. " &amp; data!$B$58</f>
      </c>
      <c r="K20" s="21">
        <v>55</v>
      </c>
    </row>
    <row r="21">
      <c r="A21" s="26" t="str">
        <f>"2. " &amp; data!$B$59</f>
      </c>
      <c r="C21" s="23" t="str">
        <f>CONCATENATE("Pool T-1st ",'Pool Matches'!O222)</f>
      </c>
      <c r="K21" s="20"/>
    </row>
    <row r="22">
      <c r="A22" s="27" t="str">
        <f>"3. " &amp; data!$B$60</f>
      </c>
      <c r="D22" s="22"/>
      <c r="E22" s="21">
        <v>20</v>
      </c>
      <c r="K22" s="20"/>
    </row>
    <row r="23">
      <c r="A23" s="22"/>
      <c r="C23" s="23" t="str">
        <f>CONCATENATE("Pool E-2nd ",'Pool Matches'!G223)</f>
      </c>
      <c r="D23" s="15"/>
      <c r="E23" s="20"/>
      <c r="F23" s="22"/>
      <c r="G23" s="20"/>
      <c r="K23" s="20"/>
    </row>
    <row r="24">
      <c r="A24" s="24" t="str">
        <f>'data'!$A$63</f>
      </c>
      <c r="G24" s="21">
        <v>40</v>
      </c>
      <c r="K24" s="20"/>
    </row>
    <row r="25">
      <c r="A25" s="25" t="str">
        <f>"1. " &amp; data!$B$61</f>
      </c>
      <c r="C25" s="23" t="str">
        <f>CONCATENATE("Pool U-1st ",'Pool Matches'!O265)</f>
      </c>
      <c r="G25" s="20"/>
      <c r="H25" s="22"/>
      <c r="I25" s="20"/>
      <c r="K25" s="20"/>
    </row>
    <row r="26">
      <c r="A26" s="26" t="str">
        <f>"2. " &amp; data!$B$62</f>
      </c>
      <c r="D26" s="22"/>
      <c r="E26" s="21">
        <v>21</v>
      </c>
      <c r="F26" s="15"/>
      <c r="G26" s="20"/>
      <c r="I26" s="20"/>
      <c r="K26" s="20"/>
    </row>
    <row r="27">
      <c r="A27" s="27" t="str">
        <f>"3. " &amp; 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"1. " &amp; data!$B$64</f>
      </c>
      <c r="D30" s="22"/>
      <c r="E30" s="21">
        <v>22</v>
      </c>
      <c r="I30" s="20"/>
    </row>
    <row r="31">
      <c r="A31" s="26" t="str">
        <f>"2. " &amp; data!$B$65</f>
      </c>
      <c r="C31" s="23" t="str">
        <f>CONCATENATE("Pool G-2nd ",'Pool Matches'!G309)</f>
      </c>
      <c r="D31" s="15"/>
      <c r="E31" s="20"/>
      <c r="F31" s="22"/>
      <c r="G31" s="20"/>
      <c r="I31" s="20"/>
    </row>
    <row r="32">
      <c r="A32" s="27" t="str">
        <f>"3. " &amp; data!$B$66</f>
      </c>
      <c r="G32" s="21">
        <v>41</v>
      </c>
      <c r="H32" s="15"/>
      <c r="I32" s="20"/>
    </row>
    <row r="33">
      <c r="A33" s="22"/>
      <c r="C33" s="23" t="str">
        <f>CONCATENATE("Pool W-1st ",'Pool Matches'!O351)</f>
      </c>
      <c r="G33" s="20"/>
    </row>
    <row r="34">
      <c r="A34" s="24" t="str">
        <f>'data'!$A$69</f>
      </c>
      <c r="D34" s="22"/>
      <c r="E34" s="21">
        <v>23</v>
      </c>
      <c r="F34" s="15"/>
      <c r="G34" s="20"/>
    </row>
    <row r="35">
      <c r="A35" s="25" t="str">
        <f>"1. " &amp; data!$B$67</f>
      </c>
      <c r="C35" s="23" t="str">
        <f>CONCATENATE("Pool H-2nd ",'Pool Matches'!G352)</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c r="C5" s="23" t="str">
        <f>CONCATENATE("Pool X-1st ",'Pool Matches'!O394)</f>
      </c>
    </row>
    <row r="6">
      <c r="A6" s="26" t="str">
        <f>"2. " &amp; data!$B$74</f>
      </c>
      <c r="D6" s="22"/>
      <c r="E6" s="21">
        <v>24</v>
      </c>
    </row>
    <row r="7">
      <c r="A7" s="27" t="str">
        <f>"3. " &amp; data!$B$75</f>
      </c>
      <c r="C7" s="23" t="str">
        <f>CONCATENATE("Pool I-2nd ",'Pool Matches'!G395)</f>
      </c>
      <c r="D7" s="15"/>
      <c r="E7" s="20"/>
      <c r="F7" s="22"/>
      <c r="G7" s="20"/>
    </row>
    <row r="8">
      <c r="A8" s="22"/>
      <c r="G8" s="21">
        <v>42</v>
      </c>
    </row>
    <row r="9">
      <c r="A9" s="24" t="str">
        <f>'data'!$A$78</f>
      </c>
      <c r="C9" s="23" t="str">
        <f>CONCATENATE("Pool Y-1st ",'Pool Matches'!O437)</f>
      </c>
      <c r="G9" s="20"/>
      <c r="H9" s="22"/>
      <c r="I9" s="20"/>
    </row>
    <row r="10">
      <c r="A10" s="25" t="str">
        <f>"1. " &amp; data!$B$76</f>
      </c>
      <c r="D10" s="22"/>
      <c r="E10" s="21">
        <v>25</v>
      </c>
      <c r="F10" s="15"/>
      <c r="G10" s="20"/>
      <c r="I10" s="20"/>
    </row>
    <row r="11">
      <c r="A11" s="26" t="str">
        <f>"2. " &amp; data!$B$77</f>
      </c>
      <c r="C11" s="23" t="str">
        <f>CONCATENATE("Pool J-2nd ",'Pool Matches'!G438)</f>
      </c>
      <c r="D11" s="15"/>
      <c r="E11" s="20"/>
      <c r="I11" s="20"/>
    </row>
    <row r="12">
      <c r="A12" s="27" t="str">
        <f>"3. " &amp; data!$B$78</f>
      </c>
      <c r="I12" s="21">
        <v>51</v>
      </c>
    </row>
    <row r="13">
      <c r="A13" s="22"/>
      <c r="C13" s="23" t="str">
        <f>CONCATENATE("Pool Z-1st ",'Pool Matches'!O480)</f>
      </c>
      <c r="I13" s="20"/>
      <c r="J13" s="22"/>
      <c r="K13" s="20"/>
    </row>
    <row r="14">
      <c r="A14" s="24" t="str">
        <f>'data'!$A$81</f>
      </c>
      <c r="D14" s="22"/>
      <c r="E14" s="21">
        <v>26</v>
      </c>
      <c r="I14" s="20"/>
      <c r="K14" s="20"/>
    </row>
    <row r="15">
      <c r="A15" s="25" t="str">
        <f>"1. " &amp; data!$B$79</f>
      </c>
      <c r="C15" s="23" t="str">
        <f>CONCATENATE("Pool K-2nd ",'Pool Matches'!G481)</f>
      </c>
      <c r="D15" s="15"/>
      <c r="E15" s="20"/>
      <c r="F15" s="22"/>
      <c r="G15" s="20"/>
      <c r="I15" s="20"/>
      <c r="K15" s="20"/>
    </row>
    <row r="16">
      <c r="A16" s="26" t="str">
        <f>"2. " &amp; data!$B$80</f>
      </c>
      <c r="G16" s="21">
        <v>43</v>
      </c>
      <c r="H16" s="15"/>
      <c r="I16" s="20"/>
      <c r="K16" s="20"/>
    </row>
    <row r="17">
      <c r="A17" s="27" t="str">
        <f>"3. " &amp; data!$B$81</f>
      </c>
      <c r="C17" s="23" t="str">
        <f>CONCATENATE("Pool AA-1st ",'Pool Matches'!O523)</f>
      </c>
      <c r="G17" s="20"/>
      <c r="K17" s="20"/>
    </row>
    <row r="18">
      <c r="A18" s="22"/>
      <c r="D18" s="22"/>
      <c r="E18" s="21">
        <v>27</v>
      </c>
      <c r="F18" s="15"/>
      <c r="G18" s="20"/>
      <c r="K18" s="20"/>
    </row>
    <row r="19">
      <c r="A19" s="24" t="str">
        <f>'data'!$A$84</f>
      </c>
      <c r="C19" s="23" t="str">
        <f>CONCATENATE("Pool L-2nd ",'Pool Matches'!G524)</f>
      </c>
      <c r="D19" s="15"/>
      <c r="E19" s="20"/>
      <c r="K19" s="20"/>
    </row>
    <row r="20">
      <c r="A20" s="25" t="str">
        <f>"1. " &amp; data!$B$82</f>
      </c>
      <c r="K20" s="21">
        <v>56</v>
      </c>
    </row>
    <row r="21">
      <c r="A21" s="26" t="str">
        <f>"2. " &amp; data!$B$83</f>
      </c>
      <c r="C21" s="23" t="str">
        <f>CONCATENATE("Pool BB-1st ",'Pool Matches'!O566)</f>
      </c>
      <c r="K21" s="20"/>
    </row>
    <row r="22">
      <c r="A22" s="27" t="str">
        <f>"3. " &amp; data!$B$84</f>
      </c>
      <c r="D22" s="22"/>
      <c r="E22" s="21">
        <v>28</v>
      </c>
      <c r="K22" s="20"/>
    </row>
    <row r="23">
      <c r="A23" s="22"/>
      <c r="C23" s="23" t="str">
        <f>CONCATENATE("Pool M-2nd ",'Pool Matches'!G567)</f>
      </c>
      <c r="D23" s="15"/>
      <c r="E23" s="20"/>
      <c r="F23" s="22"/>
      <c r="G23" s="20"/>
      <c r="K23" s="20"/>
    </row>
    <row r="24">
      <c r="A24" s="24" t="str">
        <f>'data'!$A$87</f>
      </c>
      <c r="G24" s="21">
        <v>44</v>
      </c>
      <c r="K24" s="20"/>
    </row>
    <row r="25">
      <c r="A25" s="25" t="str">
        <f>"1. " &amp; data!$B$85</f>
      </c>
      <c r="C25" s="23" t="str">
        <f>CONCATENATE("Pool CC-1st ",'Pool Matches'!O609)</f>
      </c>
      <c r="G25" s="20"/>
      <c r="H25" s="22"/>
      <c r="I25" s="20"/>
      <c r="K25" s="20"/>
    </row>
    <row r="26">
      <c r="A26" s="26" t="str">
        <f>"2. " &amp; data!$B$86</f>
      </c>
      <c r="D26" s="22"/>
      <c r="E26" s="21">
        <v>29</v>
      </c>
      <c r="F26" s="15"/>
      <c r="G26" s="20"/>
      <c r="I26" s="20"/>
      <c r="K26" s="20"/>
    </row>
    <row r="27">
      <c r="A27" s="27" t="str">
        <f>"3. " &amp; data!$B$87</f>
      </c>
      <c r="C27" s="23" t="str">
        <f>CONCATENATE("Pool N-2nd ",'Pool Matches'!G610)</f>
      </c>
      <c r="D27" s="15"/>
      <c r="E27" s="20"/>
      <c r="I27" s="20"/>
      <c r="K27" s="20"/>
    </row>
    <row r="28">
      <c r="A28" s="22"/>
      <c r="I28" s="21">
        <v>52</v>
      </c>
      <c r="J28" s="15"/>
      <c r="K28" s="20"/>
    </row>
    <row r="29">
      <c r="A29" s="24" t="str">
        <f>'data'!$A$90</f>
      </c>
      <c r="C29" s="23" t="str">
        <f>CONCATENATE("Pool DD-1st ",'Pool Matches'!O652)</f>
      </c>
      <c r="I29" s="20"/>
    </row>
    <row r="30">
      <c r="A30" s="25" t="str">
        <f>"1. " &amp; data!$B$88</f>
      </c>
      <c r="D30" s="22"/>
      <c r="E30" s="21">
        <v>30</v>
      </c>
      <c r="I30" s="20"/>
    </row>
    <row r="31">
      <c r="A31" s="26" t="str">
        <f>"2. " &amp; data!$B$89</f>
      </c>
      <c r="C31" s="23" t="str">
        <f>CONCATENATE("Pool O-2nd ",'Pool Matches'!G653)</f>
      </c>
      <c r="D31" s="15"/>
      <c r="E31" s="20"/>
      <c r="I31" s="20"/>
    </row>
    <row r="32">
      <c r="A32" s="27" t="str">
        <f>"3. " &amp; data!$B$90</f>
      </c>
      <c r="H32" s="15"/>
      <c r="I32" s="20"/>
    </row>
    <row r="33">
      <c r="A33" s="22"/>
    </row>
    <row r="34">
      <c r="A34" s="24" t="str">
        <f>'data'!$A$93</f>
      </c>
    </row>
    <row r="35">
      <c r="A35" s="25" t="str">
        <f>"1. " &amp; data!$B$91</f>
      </c>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