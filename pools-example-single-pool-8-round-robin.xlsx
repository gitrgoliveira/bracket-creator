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7"/>
  </bookViews>
  <sheets>
    <sheet name="data" sheetId="1" r:id="rId1"/>
    <sheet name="Time Estimator" sheetId="2" r:id="rId4"/>
    <sheet name="Pool Draw" sheetId="3" r:id="rId5"/>
    <sheet name="Pool Matches" sheetId="4" r:id="rId6"/>
    <sheet name="Elimination Matches" sheetId="5" r:id="rId7"/>
    <sheet name="Tree 1" sheetId="8" r:id="rId11"/>
    <sheet name="Names to Print A" sheetId="9" r:id="rId12"/>
    <sheet name="Tags" sheetId="10" r:id="rId13"/>
  </sheets>
  <definedNames>
    <definedName localSheetId="2" name="_xlnm.Print_Area">'Pool Draw'!$B$2:$F$16</definedName>
    <definedName localSheetId="3" name="_xlnm.Print_Area">'Pool Matches'!$A$1:$H$53</definedName>
    <definedName localSheetId="5" name="_xlnm.Print_Area">'Tree 1'!$A$1:$E$13</definedName>
    <definedName localSheetId="6" name="_xlnm.Print_Area">'Names to Print A'!$A$1:$B$8</definedName>
    <definedName localSheetId="7" name="_xlnm.Print_Area">'Tags'!$A$1:$A$16</definedName>
    <definedName localSheetId="4" name="_xlnm.Print_Area">'Elimination Matches'!$A$1:$H$14</definedName>
  </definedNames>
  <calcPr calcId="122211"/>
</workbook>
</file>

<file path=xl/sharedStrings.xml><?xml version="1.0" encoding="utf-8"?>
<sst xmlns="http://schemas.openxmlformats.org/spreadsheetml/2006/main" count="69" uniqueCount="69">
  <si>
    <t>Number of pools</t>
  </si>
  <si>
    <t>Team size</t>
  </si>
  <si>
    <t>Matches per pool</t>
  </si>
  <si>
    <t>Time per match</t>
  </si>
  <si>
    <t>Total time for matches</t>
  </si>
  <si>
    <t>Padding time for rotation</t>
  </si>
  <si>
    <t>Time for breaks</t>
  </si>
  <si>
    <t>Total Time</t>
  </si>
  <si>
    <t>Number of Elimination Matches</t>
  </si>
  <si>
    <t>Title prefix:</t>
  </si>
  <si>
    <t/>
  </si>
  <si>
    <t>Pool</t>
  </si>
  <si>
    <t>Player Name</t>
  </si>
  <si>
    <t>Player Dojo</t>
  </si>
  <si>
    <t>Player Number</t>
  </si>
  <si>
    <t>Metadata</t>
  </si>
  <si>
    <t>Pool A</t>
  </si>
  <si>
    <t>Kevin Clark</t>
  </si>
  <si>
    <t>Team Alpha</t>
  </si>
  <si>
    <t>K1</t>
  </si>
  <si>
    <t>Luke Rodriguez</t>
  </si>
  <si>
    <t>Team Beta</t>
  </si>
  <si>
    <t>K2</t>
  </si>
  <si>
    <t>Michael Lewis</t>
  </si>
  <si>
    <t>Team Gamma</t>
  </si>
  <si>
    <t>K3</t>
  </si>
  <si>
    <t>Nathan Lee</t>
  </si>
  <si>
    <t>Team Delta</t>
  </si>
  <si>
    <t>K4</t>
  </si>
  <si>
    <t>Oliver Walker</t>
  </si>
  <si>
    <t>Team Epsilon</t>
  </si>
  <si>
    <t>K5</t>
  </si>
  <si>
    <t>Paul Hall</t>
  </si>
  <si>
    <t>Team Zeta</t>
  </si>
  <si>
    <t>K6</t>
  </si>
  <si>
    <t>Quentin Allen</t>
  </si>
  <si>
    <t>Team Eta</t>
  </si>
  <si>
    <t>K7</t>
  </si>
  <si>
    <t>Robert Young</t>
  </si>
  <si>
    <t>Team Theta</t>
  </si>
  <si>
    <t>K8</t>
  </si>
  <si>
    <t>Shiaijo A</t>
  </si>
  <si>
    <t>White</t>
  </si>
  <si>
    <t>vs</t>
  </si>
  <si>
    <t>Red</t>
  </si>
  <si>
    <t>Results</t>
  </si>
  <si>
    <t>W</t>
  </si>
  <si>
    <t>L</t>
  </si>
  <si>
    <t>T</t>
  </si>
  <si>
    <t>PW</t>
  </si>
  <si>
    <t>PL</t>
  </si>
  <si>
    <t>Rank</t>
  </si>
  <si>
    <t>Ranking</t>
  </si>
  <si>
    <t>1.</t>
  </si>
  <si>
    <t>2.</t>
  </si>
  <si>
    <t>3.</t>
  </si>
  <si>
    <t>4.</t>
  </si>
  <si>
    <t>5.</t>
  </si>
  <si>
    <t>6.</t>
  </si>
  <si>
    <t>7.</t>
  </si>
  <si>
    <t>8.</t>
  </si>
  <si>
    <t>Round 1 - Match 1</t>
  </si>
  <si>
    <t>Tournament Summary</t>
  </si>
  <si>
    <t>Total Pool Time</t>
  </si>
  <si>
    <t>Total Elimination Time</t>
  </si>
  <si>
    <t>Grand Total (Sequential)</t>
  </si>
  <si>
    <t>Grand Total (Parallel across Courts)</t>
  </si>
  <si>
    <t>Start Time:</t>
  </si>
  <si>
    <t>Estimated Finish Time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</si>
</sst>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F400]h:mm:ss\ AM/PM"/>
    <numFmt numFmtId="165" formatCode="[h]:mm:ss"/>
  </numFmts>
  <fonts count="13">
    <font>
      <sz val="11"/>
      <color theme="1"/>
      <name val="Calibri"/>
      <family val="2"/>
    </font>
    <font>
      <b val="1"/>
      <sz val="12"/>
      <color rgb="FF000000"/>
      <name val="Calibri"/>
      <family val="2"/>
    </font>
    <font>
      <sz val="12"/>
      <color rgb="FF000000"/>
      <name val="Calibri"/>
      <family val="2"/>
    </font>
    <font>
      <b val="1"/>
      <u val="single"/>
      <sz val="16"/>
      <color/>
      <name val="Calibri"/>
      <family val="2"/>
    </font>
    <font>
      <b val="1"/>
      <u val="single"/>
      <sz val="12"/>
      <color/>
      <name val="Calibri"/>
      <family val="2"/>
    </font>
    <font>
      <sz val="12"/>
      <color/>
      <name val="Calibri"/>
      <family val="2"/>
    </font>
    <font>
      <b val="1"/>
      <sz val="28"/>
      <color rgb="FF000000"/>
      <name val="Calibri"/>
      <family val="2"/>
    </font>
    <font>
      <b val="1"/>
      <sz val="72"/>
      <color rgb="FF000000"/>
      <name val="Calibri"/>
      <family val="2"/>
    </font>
    <font>
      <b val="1"/>
      <i val="1"/>
      <sz val="12"/>
      <color/>
      <name val="Calibri"/>
      <family val="2"/>
    </font>
    <font>
      <b val="1"/>
      <sz val="12"/>
      <color rgb="FFFFFFFF"/>
      <name val="Calibri"/>
      <family val="2"/>
    </font>
    <font>
      <b val="1"/>
      <sz val="100"/>
      <color rgb="FF000000"/>
      <name val="Calibri"/>
      <family val="2"/>
    </font>
    <font>
      <sz val="110"/>
      <color rgb="FF000000"/>
      <name val="Calibri"/>
      <family val="2"/>
    </font>
    <font>
      <b val="1"/>
      <sz val="250"/>
      <color/>
      <name val="Calibri"/>
      <family val="2"/>
    </font>
  </fonts>
  <fills count="6">
    <fill>
      <patternFill patternType="none"/>
    </fill>
    <fill>
      <patternFill patternType="gray125"/>
    </fill>
    <fill>
      <patternFill patternType="solid">
        <fgColor rgb="FFC0C0C0"/>
      </patternFill>
    </fill>
    <fill>
      <patternFill patternType="solid">
        <fgColor rgb="FFEFEFEF"/>
      </patternFill>
    </fill>
    <fill>
      <patternFill patternType="solid">
        <fgColor rgb="FFFF0000"/>
      </patternFill>
    </fill>
    <fill>
      <patternFill patternType="solid">
        <fgColor rgb="FFFFFFFF"/>
      </patternFill>
    </fill>
  </fills>
  <borders count="10">
    <border>
      <left/>
      <right/>
      <top/>
      <bottom/>
      <diagonal/>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bottom style="medium">
        <color rgb="FF000000"/>
      </bottom>
    </border>
    <border>
      <left style="medium">
        <color rgb="FF000000"/>
      </left>
    </border>
    <border>
      <left style="medium">
        <color rgb="FF000000"/>
      </left>
      <bottom style="medium">
        <color rgb="FF000000"/>
      </bottom>
    </border>
    <border>
      <top style="medium">
        <color rgb="FF000000"/>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numFmtId="0" fontId="0" fillId="0" borderId="0"/>
  </cellStyleXfs>
  <cellXfs count="34">
    <xf numFmtId="0" fontId="0" fillId="0" borderId="0" xfId="0"/>
    <xf numFmtId="0" fontId="1" fillId="0" borderId="0" xfId="0" applyFont="true" applyAlignment="true">
      <alignment horizontal="center" vertical="center" wrapText="true"/>
    </xf>
    <xf numFmtId="0" fontId="2" fillId="0" borderId="0" xfId="0" applyFont="true" applyAlignment="true">
      <alignment vertical="center" wrapText="true"/>
    </xf>
    <xf numFmtId="164" fontId="2" fillId="0" borderId="0" xfId="0" applyNumberFormat="true" applyFont="true" applyAlignment="true">
      <alignment vertical="center" wrapText="true"/>
    </xf>
    <xf numFmtId="0" fontId="2" fillId="0" borderId="0" xfId="0" applyFont="true" applyAlignment="true">
      <alignment horizontal="center" vertical="center" wrapText="true"/>
    </xf>
    <xf numFmtId="0" fontId="3" fillId="0" borderId="0" xfId="0" applyFont="true" applyAlignment="true">
      <alignment horizontal="center"/>
    </xf>
    <xf numFmtId="0" fontId="3" fillId="0" borderId="0" xfId="0" applyFont="true" applyAlignment="false">
      <alignment/>
    </xf>
    <xf numFmtId="0" fontId="4" fillId="0" borderId="0" xfId="0" applyFont="true" applyAlignment="true">
      <alignment horizontal="center"/>
    </xf>
    <xf numFmtId="0" fontId="5" fillId="0" borderId="0" xfId="0" applyFont="true" applyAlignment="false">
      <alignment/>
    </xf>
    <xf numFmtId="0" fontId="6" fillId="0" borderId="0" xfId="0" applyFont="true" applyAlignment="true">
      <alignment horizontal="center" vertical="center"/>
    </xf>
    <xf numFmtId="0" fontId="7" fillId="0" borderId="0" xfId="0" applyFont="true" applyAlignment="true">
      <alignment horizontal="center" vertical="center"/>
    </xf>
    <xf numFmtId="0" fontId="8" fillId="2" borderId="1" xfId="0" applyFont="true" applyFill="true" applyBorder="true" applyAlignment="true">
      <alignment horizontal="right"/>
    </xf>
    <xf numFmtId="0" fontId="5" fillId="0" borderId="1" xfId="0" applyFont="true" applyBorder="true" applyAlignment="false">
      <alignment/>
    </xf>
    <xf numFmtId="0" fontId="1" fillId="0" borderId="1" xfId="0" applyFont="true" applyBorder="true" applyAlignment="true">
      <alignment horizontal="center" vertical="center"/>
    </xf>
    <xf numFmtId="0" fontId="2" fillId="3" borderId="2" xfId="0" applyFont="true" applyFill="true" applyBorder="true" applyAlignment="true">
      <alignment horizontal="center"/>
    </xf>
    <xf numFmtId="0" fontId="0" fillId="0" borderId="3" xfId="0" applyBorder="true" applyAlignment="false">
      <alignment/>
    </xf>
    <xf numFmtId="0" fontId="9" fillId="4" borderId="2" xfId="0" applyFont="true" applyFill="true" applyBorder="true" applyAlignment="true">
      <alignment horizontal="center"/>
    </xf>
    <xf numFmtId="0" fontId="1" fillId="5" borderId="2" xfId="0" applyFont="true" applyFill="true" applyBorder="true" applyAlignment="true">
      <alignment horizontal="center"/>
    </xf>
    <xf numFmtId="0" fontId="2" fillId="0" borderId="2" xfId="0" applyFont="true" applyBorder="true" applyAlignment="true" applyProtection="true">
      <alignment horizontal="center"/>
      <protection hidden="false" locked="false"/>
    </xf>
    <xf numFmtId="0" fontId="0" fillId="0" borderId="3" xfId="0" applyBorder="true" applyAlignment="false" applyProtection="true">
      <alignment/>
      <protection hidden="false" locked="false"/>
    </xf>
    <xf numFmtId="0" fontId="0" fillId="0" borderId="4" xfId="0" applyBorder="true" applyAlignment="false">
      <alignment/>
    </xf>
    <xf numFmtId="0" fontId="2" fillId="0" borderId="5" xfId="0" applyFont="true" applyBorder="true" applyAlignment="true">
      <alignment horizontal="left"/>
    </xf>
    <xf numFmtId="0" fontId="0" fillId="0" borderId="6" xfId="0" applyBorder="true" applyAlignment="false">
      <alignment/>
    </xf>
    <xf numFmtId="0" fontId="1" fillId="0" borderId="3" xfId="0" applyFont="true" applyBorder="true" applyAlignment="true">
      <alignment horizontal="right" vertical="center"/>
    </xf>
    <xf numFmtId="0" fontId="1" fillId="3" borderId="0" xfId="0" applyFont="true" applyFill="true" applyAlignment="false">
      <alignment/>
    </xf>
    <xf numFmtId="0" fontId="2" fillId="0" borderId="7" xfId="0" applyFont="true" applyBorder="true" applyAlignment="false">
      <alignment/>
    </xf>
    <xf numFmtId="0" fontId="2" fillId="0" borderId="8" xfId="0" applyFont="true" applyBorder="true" applyAlignment="false">
      <alignment/>
    </xf>
    <xf numFmtId="0" fontId="2" fillId="0" borderId="9" xfId="0" applyFont="true" applyBorder="true" applyAlignment="false">
      <alignment/>
    </xf>
    <xf numFmtId="0" fontId="10" fillId="0" borderId="1" xfId="0" applyFont="true" applyBorder="true" applyAlignment="true">
      <alignment horizontal="center" shrinkToFit="true" vertical="center"/>
    </xf>
    <xf numFmtId="0" fontId="11" fillId="0" borderId="1" xfId="0" applyFont="true" applyBorder="true" applyAlignment="true">
      <alignment horizontal="center" shrinkToFit="true" vertical="center"/>
    </xf>
    <xf numFmtId="0" fontId="12" fillId="0" borderId="0" xfId="0" applyFont="true" applyAlignment="true">
      <alignment horizontal="center" shrinkToFit="true" vertical="top"/>
    </xf>
    <xf numFmtId="165" fontId="2" fillId="0" borderId="2" xfId="0" applyNumberFormat="true" applyFont="true" applyBorder="true" applyAlignment="true">
      <alignment horizontal="center"/>
    </xf>
    <xf numFmtId="0" fontId="2" fillId="0" borderId="2" xfId="0" applyFont="true" applyBorder="true" applyAlignment="true">
      <alignment horizontal="center"/>
    </xf>
    <xf numFmtId="20" fontId="2" fillId="0" borderId="2" xfId="0" applyNumberFormat="true" applyFont="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10" Target="/xl/sharedStrings.xml" Type="http://schemas.openxmlformats.org/officeDocument/2006/relationships/sharedStrings"></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true"/>
  </sheetPr>
  <dimension ref="A1"/>
  <sheetViews>
    <sheetView workbookViewId="0"/>
  </sheetViews>
  <sheetFormatPr defaultRowHeight="15"/>
  <cols>
    <col customWidth="true" max="1" min="1" width="9"/>
    <col customWidth="true" max="3" min="2" width="20"/>
    <col customWidth="true" max="26" min="4" width="12"/>
  </cols>
  <sheetData>
    <row r="1">
      <c r="A1" t="s">
        <v>9</v>
      </c>
      <c r="B1" t="s">
        <v>10</v>
      </c>
    </row>
    <row r="2">
      <c r="A2" t="s">
        <v>11</v>
      </c>
      <c r="B2" t="s">
        <v>12</v>
      </c>
      <c r="C2" t="s">
        <v>13</v>
      </c>
      <c r="D2" t="s">
        <v>14</v>
      </c>
      <c r="E2" t="s">
        <v>15</v>
      </c>
    </row>
    <row r="3">
      <c r="A3" t="s">
        <v>16</v>
      </c>
      <c r="B3" t="s">
        <v>17</v>
      </c>
      <c r="C3" t="s">
        <v>18</v>
      </c>
      <c r="D3" t="s">
        <v>19</v>
      </c>
    </row>
    <row r="4">
      <c r="A4" t="s">
        <v>16</v>
      </c>
      <c r="B4" t="s">
        <v>20</v>
      </c>
      <c r="C4" t="s">
        <v>21</v>
      </c>
      <c r="D4" t="s">
        <v>22</v>
      </c>
    </row>
    <row r="5">
      <c r="A5" t="s">
        <v>16</v>
      </c>
      <c r="B5" t="s">
        <v>23</v>
      </c>
      <c r="C5" t="s">
        <v>24</v>
      </c>
      <c r="D5" t="s">
        <v>25</v>
      </c>
    </row>
    <row r="6">
      <c r="A6" t="s">
        <v>16</v>
      </c>
      <c r="B6" t="s">
        <v>26</v>
      </c>
      <c r="C6" t="s">
        <v>27</v>
      </c>
      <c r="D6" t="s">
        <v>28</v>
      </c>
    </row>
    <row r="7">
      <c r="A7" t="s">
        <v>16</v>
      </c>
      <c r="B7" t="s">
        <v>29</v>
      </c>
      <c r="C7" t="s">
        <v>30</v>
      </c>
      <c r="D7" t="s">
        <v>31</v>
      </c>
    </row>
    <row r="8">
      <c r="A8" t="s">
        <v>16</v>
      </c>
      <c r="B8" t="s">
        <v>32</v>
      </c>
      <c r="C8" t="s">
        <v>33</v>
      </c>
      <c r="D8" t="s">
        <v>34</v>
      </c>
    </row>
    <row r="9">
      <c r="A9" t="s">
        <v>16</v>
      </c>
      <c r="B9" t="s">
        <v>35</v>
      </c>
      <c r="C9" t="s">
        <v>36</v>
      </c>
      <c r="D9" t="s">
        <v>37</v>
      </c>
    </row>
    <row r="10">
      <c r="A10" t="s">
        <v>16</v>
      </c>
      <c r="B10" t="s">
        <v>38</v>
      </c>
      <c r="C10" t="s">
        <v>39</v>
      </c>
      <c r="D10" t="s">
        <v>40</v>
      </c>
    </row>
  </sheetData>
  <printOptions horizontalCentered="true" verticalCentered="true"/>
  <pageSetup fitToHeight="0" fitToWidth="1" orientation="portrait" paperSize="9"/>
</worksheet>
</file>

<file path=xl/worksheets/sheet2.xml><?xml version="1.0" encoding="utf-8"?>
<worksheet xmlns="http://schemas.openxmlformats.org/spreadsheetml/2006/main">
  <dimension ref="A1"/>
  <sheetViews>
    <sheetView workbookViewId="0"/>
  </sheetViews>
  <cols>
    <col customWidth="true" max="1" min="1" width="21.83"/>
    <col customWidth="true" max="3" min="2" width="10"/>
    <col customWidth="true" max="4" min="4" width="14.66"/>
    <col customWidth="true" max="5" min="5" width="17"/>
    <col customWidth="true" max="7" min="6" width="13.16"/>
    <col customWidth="true" max="8" min="8" width="10"/>
  </cols>
  <sheetData>
    <row r="1" ht="51" customHeight="true">
      <c r="A1" s="1" t="s">
        <v>0</v>
      </c>
      <c r="B1" s="1" t="s">
        <v>1</v>
      </c>
      <c r="C1" s="1" t="s">
        <v>2</v>
      </c>
      <c r="D1" s="1" t="s">
        <v>3</v>
      </c>
      <c r="E1" s="1" t="s">
        <v>4</v>
      </c>
      <c r="F1" s="1" t="s">
        <v>5</v>
      </c>
      <c r="G1" s="1" t="s">
        <v>6</v>
      </c>
      <c r="H1" s="1" t="s">
        <v>7</v>
      </c>
    </row>
    <row r="2" ht="16" customHeight="true">
      <c r="A2" s="2">
        <v>1</v>
      </c>
      <c r="B2" s="2">
        <v>1</v>
      </c>
      <c r="C2" s="2">
        <v>28</v>
      </c>
      <c r="D2" s="3">
        <v>0.00208333333333333</v>
      </c>
      <c r="E2" s="3" t="str">
        <f>(A2*B2*C2*D2)</f>
      </c>
      <c r="F2" s="3">
        <v>0.000347222222222222</v>
      </c>
      <c r="G2" s="3">
        <v>0.0208333333333333</v>
      </c>
      <c r="H2" s="31" t="str">
        <f>C2*I2+J2</f>
      </c>
    </row>
    <row r="3" ht="16" customHeight="true">
      <c r="A3" s="2">
        <v>0</v>
      </c>
      <c r="B3" s="2">
        <v>0</v>
      </c>
      <c r="C3" s="2">
        <v>0</v>
      </c>
      <c r="D3" s="3">
        <v>0.00208333333333333</v>
      </c>
      <c r="E3" s="3" t="str">
        <f>(A3*B3*C3*D3)</f>
      </c>
      <c r="F3" s="3">
        <v>0.000347222222222222</v>
      </c>
      <c r="G3" s="3">
        <v>0.0208333333333333</v>
      </c>
      <c r="H3" s="3" t="str">
        <f>E3+(A3*C3*F3)+G3</f>
      </c>
    </row>
    <row r="4" ht="16" customHeight="true">
      <c r="A4" s="4"/>
      <c r="B4" s="4"/>
      <c r="C4" s="4"/>
      <c r="D4" s="4"/>
      <c r="E4" s="4"/>
      <c r="F4" s="4"/>
      <c r="G4" s="4"/>
      <c r="H4" s="4"/>
    </row>
    <row r="5" ht="16" customHeight="true">
      <c r="A5" s="4"/>
      <c r="B5" s="4"/>
      <c r="C5" s="4"/>
      <c r="D5" s="4"/>
      <c r="E5" s="4"/>
      <c r="F5" s="4"/>
      <c r="G5" s="4"/>
      <c r="H5" s="4"/>
    </row>
    <row r="6" ht="16" customHeight="true">
      <c r="A6" s="4"/>
      <c r="B6" s="4"/>
      <c r="C6" s="4"/>
      <c r="D6" s="4"/>
      <c r="E6" s="4"/>
      <c r="F6" s="4"/>
      <c r="G6" s="4"/>
      <c r="H6" s="4"/>
    </row>
    <row r="7" ht="51" customHeight="true">
      <c r="A7" s="1" t="s">
        <v>8</v>
      </c>
      <c r="B7" s="1" t="s">
        <v>1</v>
      </c>
      <c r="C7" s="1"/>
      <c r="D7" s="1" t="s">
        <v>3</v>
      </c>
      <c r="E7" s="1" t="s">
        <v>4</v>
      </c>
      <c r="F7" s="1" t="s">
        <v>5</v>
      </c>
      <c r="G7" s="1" t="s">
        <v>6</v>
      </c>
      <c r="H7" s="1" t="s">
        <v>7</v>
      </c>
    </row>
    <row r="8" ht="16" customHeight="true">
      <c r="A8" s="2">
        <v>1</v>
      </c>
      <c r="B8" s="2">
        <v>1</v>
      </c>
      <c r="C8" s="2"/>
      <c r="D8" s="3">
        <v>0.00277777777777777</v>
      </c>
      <c r="E8" s="3" t="str">
        <f>(A8*B8*D8)</f>
      </c>
      <c r="F8" s="3">
        <v>0.000347222222222222</v>
      </c>
      <c r="G8" s="3">
        <v>0.0208333333333333</v>
      </c>
      <c r="H8" s="31" t="str">
        <f>E8+(A8*F8)+G8</f>
      </c>
    </row>
    <row r="9" ht="16" customHeight="true">
      <c r="A9" s="4"/>
      <c r="B9" s="4"/>
      <c r="C9" s="4"/>
      <c r="D9" s="4"/>
      <c r="E9" s="4"/>
      <c r="F9" s="4"/>
      <c r="G9" s="4"/>
      <c r="H9" s="4"/>
    </row>
    <row r="10" ht="16" customHeight="true">
      <c r="A10" s="4"/>
      <c r="B10" s="4"/>
      <c r="C10" s="4"/>
      <c r="D10" s="4"/>
      <c r="E10" s="4"/>
      <c r="F10" s="4"/>
      <c r="G10" s="4"/>
      <c r="H10" s="4"/>
    </row>
    <row r="11" ht="16" customHeight="true">
      <c r="A11" s="4"/>
      <c r="B11" s="4"/>
      <c r="C11" s="4"/>
      <c r="D11" s="4"/>
      <c r="E11" s="4"/>
      <c r="F11" s="4"/>
      <c r="G11" s="4"/>
      <c r="H11" s="4"/>
    </row>
    <row r="13">
      <c r="E13" s="13" t="s">
        <v>62</v>
      </c>
      <c r="F13" s="13"/>
      <c r="G13" s="13"/>
      <c r="H13" s="13"/>
    </row>
    <row r="14">
      <c r="A14">
        <v>1</v>
      </c>
      <c r="E14" s="32" t="s">
        <v>63</v>
      </c>
      <c r="F14" s="32"/>
      <c r="G14" s="32"/>
      <c r="H14" s="31" t="str">
        <f>H2</f>
      </c>
    </row>
    <row r="15">
      <c r="E15" s="32" t="s">
        <v>64</v>
      </c>
      <c r="F15" s="32"/>
      <c r="G15" s="32"/>
      <c r="H15" s="31" t="str">
        <f>H8</f>
      </c>
    </row>
    <row r="16">
      <c r="E16" s="32" t="s">
        <v>65</v>
      </c>
      <c r="F16" s="32"/>
      <c r="G16" s="32"/>
      <c r="H16" s="31" t="str">
        <f>H14+H15</f>
      </c>
    </row>
    <row r="17">
      <c r="E17" s="32" t="s">
        <v>66</v>
      </c>
      <c r="F17" s="32"/>
      <c r="G17" s="32"/>
      <c r="H17" s="31" t="str">
        <f>H16/A14</f>
      </c>
    </row>
    <row r="18">
      <c r="E18" s="13" t="s">
        <v>67</v>
      </c>
      <c r="F18" s="13"/>
      <c r="G18" s="13"/>
      <c r="H18" s="33">
        <v>0.375</v>
      </c>
    </row>
    <row r="19">
      <c r="E19" s="13" t="s">
        <v>68</v>
      </c>
      <c r="F19" s="13"/>
      <c r="G19" s="13"/>
      <c r="H19" s="33" t="str">
        <f>H18+H17</f>
      </c>
    </row>
  </sheetData>
  <mergeCells count="1">
    <mergeCell ref="E13:H13"/>
  </mergeCells>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8.83"/>
    <col customWidth="true" max="2" min="2" width="30"/>
    <col customWidth="true" max="3" min="3" width="8.83"/>
    <col customWidth="true" max="5" min="5" width="8.83"/>
    <col customWidth="true" max="7" min="7" width="8.83"/>
  </cols>
  <sheetData>
    <row r="1" ht="17" customHeight="true"/>
    <row r="2" ht="20" customHeight="true">
      <c r="A2" s="6"/>
      <c r="B2" s="5" t="str">
        <f>IF(data!$B$1="","Tournament Pools",data!$B$1&amp;" - Tournament Pools")</f>
      </c>
      <c r="G2" s="6"/>
    </row>
    <row r="3" ht="17" customHeight="true">
      <c r="A3" s="7"/>
      <c r="B3" s="7"/>
      <c r="C3" s="7"/>
      <c r="D3" s="7"/>
      <c r="E3" s="7"/>
      <c r="F3" s="7"/>
      <c r="G3" s="7"/>
      <c r="H3" s="7"/>
    </row>
    <row r="4" ht="17" customHeight="true">
      <c r="A4" s="8"/>
      <c r="B4" s="8"/>
      <c r="C4" s="8"/>
      <c r="D4" s="8"/>
      <c r="E4" s="8"/>
      <c r="F4" s="8"/>
      <c r="G4" s="8"/>
      <c r="H4" s="8"/>
    </row>
    <row r="5" ht="17" customHeight="true">
      <c r="B5" s="11" t="str">
        <f>'data'!$A$10</f>
      </c>
    </row>
    <row r="6" ht="17" customHeight="true">
      <c r="B6" s="12" t="str">
        <f>data!$D$3&amp;" "&amp;data!$B$3</f>
      </c>
    </row>
    <row r="7" ht="17" customHeight="true">
      <c r="B7" s="12" t="str">
        <f>data!$D$4&amp;" "&amp;data!$B$4</f>
      </c>
    </row>
    <row r="8">
      <c r="B8" s="12" t="str">
        <f>data!$D$5&amp;" "&amp;data!$B$5</f>
      </c>
    </row>
    <row r="9">
      <c r="B9" s="12" t="str">
        <f>data!$D$6&amp;" "&amp;data!$B$6</f>
      </c>
    </row>
    <row r="10">
      <c r="B10" s="12" t="str">
        <f>data!$D$7&amp;" "&amp;data!$B$7</f>
      </c>
    </row>
    <row r="11">
      <c r="B11" s="12" t="str">
        <f>data!$D$8&amp;" "&amp;data!$B$8</f>
      </c>
    </row>
    <row r="12">
      <c r="B12" s="12" t="str">
        <f>data!$D$9&amp;" "&amp;data!$B$9</f>
      </c>
    </row>
    <row r="13">
      <c r="B13" s="12" t="str">
        <f>data!$D$10&amp;" "&amp;data!$B$10</f>
      </c>
    </row>
  </sheetData>
  <mergeCells count="1">
    <mergeCell ref="B2:F2"/>
  </mergeCells>
  <printOptions horizontalCentered="true" verticalCentered="true"/>
  <pageSetup fitToHeight="0" fitToWidth="1" orientation="portrait" paperSize="9"/>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 customWidth="true" hidden="true" max="21" min="21" width="9.140625"/>
  </cols>
  <sheetData>
    <row r="1">
      <c r="A1" s="13" t="s">
        <v>41</v>
      </c>
      <c r="B1" s="13"/>
      <c r="C1" s="13"/>
      <c r="D1" s="13"/>
      <c r="E1" s="13"/>
      <c r="F1" s="13"/>
      <c r="G1" s="13"/>
    </row>
    <row r="2">
      <c r="A2" s="13" t="str">
        <f>'data'!$A$10</f>
      </c>
      <c r="B2" s="13"/>
      <c r="C2" s="13"/>
      <c r="D2" s="13"/>
      <c r="E2" s="13"/>
      <c r="F2" s="13"/>
      <c r="G2" s="13"/>
    </row>
    <row r="3">
      <c r="A3" s="17" t="s">
        <v>42</v>
      </c>
      <c r="D3" s="14" t="s">
        <v>43</v>
      </c>
      <c r="G3" s="16" t="s">
        <v>44</v>
      </c>
    </row>
    <row r="4">
      <c r="A4" s="14" t="str">
        <f>data!$D$4&amp;" "&amp;data!$B$4</f>
      </c>
      <c r="B4" s="18"/>
      <c r="C4" s="18"/>
      <c r="D4" s="18"/>
      <c r="E4" s="18"/>
      <c r="F4" s="18"/>
      <c r="G4" s="14" t="str">
        <f>data!$D$3&amp;" "&amp;data!$B$3</f>
      </c>
    </row>
    <row r="5">
      <c r="A5" s="14" t="str">
        <f>data!$D$4&amp;" "&amp;data!$B$4</f>
      </c>
      <c r="B5" s="18"/>
      <c r="C5" s="18"/>
      <c r="D5" s="18"/>
      <c r="E5" s="18"/>
      <c r="F5" s="18"/>
      <c r="G5" s="14" t="str">
        <f>data!$D$5&amp;" "&amp;data!$B$5</f>
      </c>
    </row>
    <row r="6">
      <c r="A6" s="14" t="str">
        <f>data!$D$6&amp;" "&amp;data!$B$6</f>
      </c>
      <c r="B6" s="18"/>
      <c r="C6" s="18"/>
      <c r="D6" s="18"/>
      <c r="E6" s="18"/>
      <c r="F6" s="18"/>
      <c r="G6" s="14" t="str">
        <f>data!$D$5&amp;" "&amp;data!$B$5</f>
      </c>
    </row>
    <row r="7">
      <c r="A7" s="14" t="str">
        <f>data!$D$6&amp;" "&amp;data!$B$6</f>
      </c>
      <c r="B7" s="18"/>
      <c r="C7" s="18"/>
      <c r="D7" s="18"/>
      <c r="E7" s="18"/>
      <c r="F7" s="18"/>
      <c r="G7" s="14" t="str">
        <f>data!$D$7&amp;" "&amp;data!$B$7</f>
      </c>
    </row>
    <row r="8">
      <c r="A8" s="14" t="str">
        <f>data!$D$8&amp;" "&amp;data!$B$8</f>
      </c>
      <c r="B8" s="18"/>
      <c r="C8" s="18"/>
      <c r="D8" s="18"/>
      <c r="E8" s="18"/>
      <c r="F8" s="18"/>
      <c r="G8" s="14" t="str">
        <f>data!$D$7&amp;" "&amp;data!$B$7</f>
      </c>
    </row>
    <row r="9">
      <c r="A9" s="14" t="str">
        <f>data!$D$8&amp;" "&amp;data!$B$8</f>
      </c>
      <c r="B9" s="18"/>
      <c r="C9" s="18"/>
      <c r="D9" s="18"/>
      <c r="E9" s="18"/>
      <c r="F9" s="18"/>
      <c r="G9" s="14" t="str">
        <f>data!$D$9&amp;" "&amp;data!$B$9</f>
      </c>
    </row>
    <row r="10">
      <c r="A10" s="14" t="str">
        <f>data!$D$10&amp;" "&amp;data!$B$10</f>
      </c>
      <c r="B10" s="18"/>
      <c r="C10" s="18"/>
      <c r="D10" s="18"/>
      <c r="E10" s="18"/>
      <c r="F10" s="18"/>
      <c r="G10" s="14" t="str">
        <f>data!$D$9&amp;" "&amp;data!$B$9</f>
      </c>
    </row>
    <row r="11">
      <c r="A11" s="14" t="str">
        <f>data!$D$5&amp;" "&amp;data!$B$5</f>
      </c>
      <c r="B11" s="18"/>
      <c r="C11" s="18"/>
      <c r="D11" s="18"/>
      <c r="E11" s="18"/>
      <c r="F11" s="18"/>
      <c r="G11" s="14" t="str">
        <f>data!$D$3&amp;" "&amp;data!$B$3</f>
      </c>
    </row>
    <row r="12">
      <c r="A12" s="14" t="str">
        <f>data!$D$6&amp;" "&amp;data!$B$6</f>
      </c>
      <c r="B12" s="18"/>
      <c r="C12" s="18"/>
      <c r="D12" s="18"/>
      <c r="E12" s="18"/>
      <c r="F12" s="18"/>
      <c r="G12" s="14" t="str">
        <f>data!$D$4&amp;" "&amp;data!$B$4</f>
      </c>
    </row>
    <row r="13">
      <c r="A13" s="14" t="str">
        <f>data!$D$7&amp;" "&amp;data!$B$7</f>
      </c>
      <c r="B13" s="18"/>
      <c r="C13" s="18"/>
      <c r="D13" s="18"/>
      <c r="E13" s="18"/>
      <c r="F13" s="18"/>
      <c r="G13" s="14" t="str">
        <f>data!$D$5&amp;" "&amp;data!$B$5</f>
      </c>
    </row>
    <row r="14">
      <c r="A14" s="14" t="str">
        <f>data!$D$8&amp;" "&amp;data!$B$8</f>
      </c>
      <c r="B14" s="18"/>
      <c r="C14" s="18"/>
      <c r="D14" s="18"/>
      <c r="E14" s="18"/>
      <c r="F14" s="18"/>
      <c r="G14" s="14" t="str">
        <f>data!$D$6&amp;" "&amp;data!$B$6</f>
      </c>
    </row>
    <row r="15">
      <c r="A15" s="14" t="str">
        <f>data!$D$9&amp;" "&amp;data!$B$9</f>
      </c>
      <c r="B15" s="18"/>
      <c r="C15" s="18"/>
      <c r="D15" s="18"/>
      <c r="E15" s="18"/>
      <c r="F15" s="18"/>
      <c r="G15" s="14" t="str">
        <f>data!$D$7&amp;" "&amp;data!$B$7</f>
      </c>
    </row>
    <row r="16">
      <c r="A16" s="14" t="str">
        <f>data!$D$10&amp;" "&amp;data!$B$10</f>
      </c>
      <c r="B16" s="18"/>
      <c r="C16" s="18"/>
      <c r="D16" s="18"/>
      <c r="E16" s="18"/>
      <c r="F16" s="18"/>
      <c r="G16" s="14" t="str">
        <f>data!$D$8&amp;" "&amp;data!$B$8</f>
      </c>
    </row>
    <row r="17">
      <c r="A17" s="14" t="str">
        <f>data!$D$6&amp;" "&amp;data!$B$6</f>
      </c>
      <c r="B17" s="18"/>
      <c r="C17" s="18"/>
      <c r="D17" s="18"/>
      <c r="E17" s="18"/>
      <c r="F17" s="18"/>
      <c r="G17" s="14" t="str">
        <f>data!$D$3&amp;" "&amp;data!$B$3</f>
      </c>
    </row>
    <row r="18">
      <c r="A18" s="14" t="str">
        <f>data!$D$7&amp;" "&amp;data!$B$7</f>
      </c>
      <c r="B18" s="18"/>
      <c r="C18" s="18"/>
      <c r="D18" s="18"/>
      <c r="E18" s="18"/>
      <c r="F18" s="18"/>
      <c r="G18" s="14" t="str">
        <f>data!$D$4&amp;" "&amp;data!$B$4</f>
      </c>
    </row>
    <row r="19">
      <c r="A19" s="14" t="str">
        <f>data!$D$8&amp;" "&amp;data!$B$8</f>
      </c>
      <c r="B19" s="18"/>
      <c r="C19" s="18"/>
      <c r="D19" s="18"/>
      <c r="E19" s="18"/>
      <c r="F19" s="18"/>
      <c r="G19" s="14" t="str">
        <f>data!$D$5&amp;" "&amp;data!$B$5</f>
      </c>
    </row>
    <row r="20">
      <c r="A20" s="14" t="str">
        <f>data!$D$9&amp;" "&amp;data!$B$9</f>
      </c>
      <c r="B20" s="18"/>
      <c r="C20" s="18"/>
      <c r="D20" s="18"/>
      <c r="E20" s="18"/>
      <c r="F20" s="18"/>
      <c r="G20" s="14" t="str">
        <f>data!$D$6&amp;" "&amp;data!$B$6</f>
      </c>
    </row>
    <row r="21">
      <c r="A21" s="14" t="str">
        <f>data!$D$10&amp;" "&amp;data!$B$10</f>
      </c>
      <c r="B21" s="18"/>
      <c r="C21" s="18"/>
      <c r="D21" s="18"/>
      <c r="E21" s="18"/>
      <c r="F21" s="18"/>
      <c r="G21" s="14" t="str">
        <f>data!$D$7&amp;" "&amp;data!$B$7</f>
      </c>
    </row>
    <row r="22">
      <c r="A22" s="14" t="str">
        <f>data!$D$3&amp;" "&amp;data!$B$3</f>
      </c>
      <c r="B22" s="18"/>
      <c r="C22" s="18"/>
      <c r="D22" s="18"/>
      <c r="E22" s="18"/>
      <c r="F22" s="18"/>
      <c r="G22" s="14" t="str">
        <f>data!$D$7&amp;" "&amp;data!$B$7</f>
      </c>
    </row>
    <row r="23">
      <c r="A23" s="14" t="str">
        <f>data!$D$8&amp;" "&amp;data!$B$8</f>
      </c>
      <c r="B23" s="18"/>
      <c r="C23" s="18"/>
      <c r="D23" s="18"/>
      <c r="E23" s="18"/>
      <c r="F23" s="18"/>
      <c r="G23" s="14" t="str">
        <f>data!$D$4&amp;" "&amp;data!$B$4</f>
      </c>
    </row>
    <row r="24">
      <c r="A24" s="14" t="str">
        <f>data!$D$9&amp;" "&amp;data!$B$9</f>
      </c>
      <c r="B24" s="18"/>
      <c r="C24" s="18"/>
      <c r="D24" s="18"/>
      <c r="E24" s="18"/>
      <c r="F24" s="18"/>
      <c r="G24" s="14" t="str">
        <f>data!$D$5&amp;" "&amp;data!$B$5</f>
      </c>
    </row>
    <row r="25">
      <c r="A25" s="14" t="str">
        <f>data!$D$10&amp;" "&amp;data!$B$10</f>
      </c>
      <c r="B25" s="18"/>
      <c r="C25" s="18"/>
      <c r="D25" s="18"/>
      <c r="E25" s="18"/>
      <c r="F25" s="18"/>
      <c r="G25" s="14" t="str">
        <f>data!$D$6&amp;" "&amp;data!$B$6</f>
      </c>
    </row>
    <row r="26">
      <c r="A26" s="14" t="str">
        <f>data!$D$8&amp;" "&amp;data!$B$8</f>
      </c>
      <c r="B26" s="18"/>
      <c r="C26" s="18"/>
      <c r="D26" s="18"/>
      <c r="E26" s="18"/>
      <c r="F26" s="18"/>
      <c r="G26" s="14" t="str">
        <f>data!$D$3&amp;" "&amp;data!$B$3</f>
      </c>
    </row>
    <row r="27">
      <c r="A27" s="14" t="str">
        <f>data!$D$9&amp;" "&amp;data!$B$9</f>
      </c>
      <c r="B27" s="18"/>
      <c r="C27" s="18"/>
      <c r="D27" s="18"/>
      <c r="E27" s="18"/>
      <c r="F27" s="18"/>
      <c r="G27" s="14" t="str">
        <f>data!$D$4&amp;" "&amp;data!$B$4</f>
      </c>
    </row>
    <row r="28">
      <c r="A28" s="14" t="str">
        <f>data!$D$10&amp;" "&amp;data!$B$10</f>
      </c>
      <c r="B28" s="18"/>
      <c r="C28" s="18"/>
      <c r="D28" s="18"/>
      <c r="E28" s="18"/>
      <c r="F28" s="18"/>
      <c r="G28" s="14" t="str">
        <f>data!$D$5&amp;" "&amp;data!$B$5</f>
      </c>
    </row>
    <row r="29">
      <c r="A29" s="14" t="str">
        <f>data!$D$9&amp;" "&amp;data!$B$9</f>
      </c>
      <c r="B29" s="18"/>
      <c r="C29" s="18"/>
      <c r="D29" s="18"/>
      <c r="E29" s="18"/>
      <c r="F29" s="18"/>
      <c r="G29" s="14" t="str">
        <f>data!$D$3&amp;" "&amp;data!$B$3</f>
      </c>
    </row>
    <row r="30">
      <c r="A30" s="14" t="str">
        <f>data!$D$10&amp;" "&amp;data!$B$10</f>
      </c>
      <c r="B30" s="18"/>
      <c r="C30" s="18"/>
      <c r="D30" s="18"/>
      <c r="E30" s="18"/>
      <c r="F30" s="18"/>
      <c r="G30" s="14" t="str">
        <f>data!$D$4&amp;" "&amp;data!$B$4</f>
      </c>
    </row>
    <row r="31">
      <c r="A31" s="14" t="str">
        <f>data!$D$10&amp;" "&amp;data!$B$10</f>
      </c>
      <c r="B31" s="18"/>
      <c r="C31" s="18"/>
      <c r="D31" s="18"/>
      <c r="E31" s="18"/>
      <c r="F31" s="18"/>
      <c r="G31" s="14" t="str">
        <f>data!$D$3&amp;" "&amp;data!$B$3</f>
      </c>
    </row>
    <row r="33">
      <c r="A33" s="13" t="s">
        <v>45</v>
      </c>
      <c r="B33" s="13" t="s">
        <v>46</v>
      </c>
      <c r="C33" s="13" t="s">
        <v>47</v>
      </c>
      <c r="D33" s="13" t="s">
        <v>48</v>
      </c>
      <c r="E33" s="13" t="s">
        <v>49</v>
      </c>
      <c r="F33" s="13" t="s">
        <v>50</v>
      </c>
      <c r="G33" s="13" t="s">
        <v>51</v>
      </c>
    </row>
    <row r="34">
      <c r="A34" s="14" t="str">
        <f>data!$D$3&amp;" "&amp;data!$B$3</f>
      </c>
      <c r="B34"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",""),"0",""),"-",""))&gt;LEN(SUBSTITUTE(SUBSTITUTE(SUBSTITUTE(B4," ",""),"0",""),"-",""))+LEN(SUBSTITUTE(SUBSTITUTE(SUBSTITUTE(C4," ",""),"0",""),"-","")))*1),0)+IF(OR(COUNTA(B11,C11,E11,F11)&gt;0,OR(D11="X",D11="x")),IF(OR(D11="X",D11="x",AND(OR(COUNTA(B11,C11,E11,F11)&gt;0,OR(D11="X",D11="x")),(LEN(SUBSTITUTE(SUBSTITUTE(SUBSTITUTE(B11," ",""),"0",""),"-",""))+LEN(SUBSTITUTE(SUBSTITUTE(SUBSTITUTE(C11," ",""),"0",""),"-","")))=(LEN(SUBSTITUTE(SUBSTITUTE(SUBSTITUTE(E11," ",""),"0",""),"-",""))+LEN(SUBSTITUTE(SUBSTITUTE(SUBSTITUTE(F11," ",""),"0",""),"-",""))))),0,(LEN(SUBSTITUTE(SUBSTITUTE(SUBSTITUTE(E11," ",""),"0",""),"-",""))+LEN(SUBSTITUTE(SUBSTITUTE(SUBSTITUTE(F11," ",""),"0",""),"-",""))&gt;LEN(SUBSTITUTE(SUBSTITUTE(SUBSTITUTE(B11," ",""),"0",""),"-",""))+LEN(SUBSTITUTE(SUBSTITUTE(SUBSTITUTE(C11," ",""),"0",""),"-","")))*1),0)+IF(OR(COUNTA(B17,C17,E17,F17)&gt;0,OR(D17="X",D17="x")),IF(OR(D17="X",D17="x",AND(OR(COUNTA(B17,C17,E17,F17)&gt;0,OR(D17="X",D17="x")),(LEN(SUBSTITUTE(SUBSTITUTE(SUBSTITUTE(B17," ",""),"0",""),"-",""))+LEN(SUBSTITUTE(SUBSTITUTE(SUBSTITUTE(C17," ",""),"0",""),"-","")))=(LEN(SUBSTITUTE(SUBSTITUTE(SUBSTITUTE(E17," ",""),"0",""),"-",""))+LEN(SUBSTITUTE(SUBSTITUTE(SUBSTITUTE(F17," ",""),"0",""),"-",""))))),0,(LEN(SUBSTITUTE(SUBSTITUTE(SUBSTITUTE(E17," ",""),"0",""),"-",""))+LEN(SUBSTITUTE(SUBSTITUTE(SUBSTITUTE(F17," ",""),"0",""),"-",""))&gt;LEN(SUBSTITUTE(SUBSTITUTE(SUBSTITUTE(B17," ",""),"0",""),"-",""))+LEN(SUBSTITUTE(SUBSTITUTE(SUBSTITUTE(C17," ",""),"0",""),"-","")))*1),0)+IF(OR(COUNTA(B22,C22,E22,F22)&gt;0,OR(D22="X",D22="x")),IF(OR(D22="X",D22="x",AND(OR(COUNTA(B22,C22,E22,F22)&gt;0,OR(D22="X",D22="x")),(LEN(SUBSTITUTE(SUBSTITUTE(SUBSTITUTE(B22," ",""),"0",""),"-",""))+LEN(SUBSTITUTE(SUBSTITUTE(SUBSTITUTE(C22," ",""),"0",""),"-","")))=(LEN(SUBSTITUTE(SUBSTITUTE(SUBSTITUTE(E22," ",""),"0",""),"-",""))+LEN(SUBSTITUTE(SUBSTITUTE(SUBSTITUTE(F22," ",""),"0",""),"-",""))))),0,(LEN(SUBSTITUTE(SUBSTITUTE(SUBSTITUTE(B22," ",""),"0",""),"-",""))+LEN(SUBSTITUTE(SUBSTITUTE(SUBSTITUTE(C22," ",""),"0",""),"-",""))&gt;LEN(SUBSTITUTE(SUBSTITUTE(SUBSTITUTE(E22," ",""),"0",""),"-",""))+LEN(SUBSTITUTE(SUBSTITUTE(SUBSTITUTE(F22," ",""),"0",""),"-","")))*1),0)+IF(OR(COUNTA(B26,C26,E26,F26)&gt;0,OR(D26="X",D26="x")),IF(OR(D26="X",D26="x",AND(OR(COUNTA(B26,C26,E26,F26)&gt;0,OR(D26="X",D26="x")),(LEN(SUBSTITUTE(SUBSTITUTE(SUBSTITUTE(B26," ",""),"0",""),"-",""))+LEN(SUBSTITUTE(SUBSTITUTE(SUBSTITUTE(C26," ",""),"0",""),"-","")))=(LEN(SUBSTITUTE(SUBSTITUTE(SUBSTITUTE(E26," ",""),"0",""),"-",""))+LEN(SUBSTITUTE(SUBSTITUTE(SUBSTITUTE(F26," ",""),"0",""),"-",""))))),0,(LEN(SUBSTITUTE(SUBSTITUTE(SUBSTITUTE(E26," ",""),"0",""),"-",""))+LEN(SUBSTITUTE(SUBSTITUTE(SUBSTITUTE(F26," ",""),"0",""),"-",""))&gt;LEN(SUBSTITUTE(SUBSTITUTE(SUBSTITUTE(B26," ",""),"0",""),"-",""))+LEN(SUBSTITUTE(SUBSTITUTE(SUBSTITUTE(C26," ",""),"0",""),"-","")))*1),0)+IF(OR(COUNTA(B29,C29,E29,F29)&gt;0,OR(D29="X",D29="x")),IF(OR(D29="X",D29="x",AND(OR(COUNTA(B29,C29,E29,F29)&gt;0,OR(D29="X",D29="x")),(LEN(SUBSTITUTE(SUBSTITUTE(SUBSTITUTE(B29," ",""),"0",""),"-",""))+LEN(SUBSTITUTE(SUBSTITUTE(SUBSTITUTE(C29," ",""),"0",""),"-","")))=(LEN(SUBSTITUTE(SUBSTITUTE(SUBSTITUTE(E29," ",""),"0",""),"-",""))+LEN(SUBSTITUTE(SUBSTITUTE(SUBSTITUTE(F29," ",""),"0",""),"-",""))))),0,(LEN(SUBSTITUTE(SUBSTITUTE(SUBSTITUTE(E29," ",""),"0",""),"-",""))+LEN(SUBSTITUTE(SUBSTITUTE(SUBSTITUTE(F29," ",""),"0",""),"-",""))&gt;LEN(SUBSTITUTE(SUBSTITUTE(SUBSTITUTE(B29," ",""),"0",""),"-",""))+LEN(SUBSTITUTE(SUBSTITUTE(SUBSTITUTE(C29," ",""),"0",""),"-","")))*1),0)+IF(OR(COUNTA(B31,C31,E31,F31)&gt;0,OR(D31="X",D31="x")),IF(OR(D31="X",D31="x",AND(OR(COUNTA(B31,C31,E31,F31)&gt;0,OR(D31="X",D31="x")),(LEN(SUBSTITUTE(SUBSTITUTE(SUBSTITUTE(B31," ",""),"0",""),"-",""))+LEN(SUBSTITUTE(SUBSTITUTE(SUBSTITUTE(C31," ",""),"0",""),"-","")))=(LEN(SUBSTITUTE(SUBSTITUTE(SUBSTITUTE(E31," ",""),"0",""),"-",""))+LEN(SUBSTITUTE(SUBSTITUTE(SUBSTITUTE(F31," ",""),"0",""),"-",""))))),0,(LEN(SUBSTITUTE(SUBSTITUTE(SUBSTITUTE(E31," ",""),"0",""),"-",""))+LEN(SUBSTITUTE(SUBSTITUTE(SUBSTITUTE(F31," ",""),"0",""),"-",""))&gt;LEN(SUBSTITUTE(SUBSTITUTE(SUBSTITUTE(B31," ",""),"0",""),"-",""))+LEN(SUBSTITUTE(SUBSTITUTE(SUBSTITUTE(C31," ",""),"0",""),"-","")))*1),0)</f>
      </c>
      <c r="C34" s="14" t="str">
        <f>IF(OR(COUNTA(B4,C4,E4,F4)&gt;0,OR(D4="X",D4="x")),IF(OR(D4="X",D4="x",AND(OR(COUNTA(B4,C4,E4,F4)&gt;0,OR(D4="X",D4="x")),(LEN(SUBSTITUTE(SUBSTITUTE(SUBSTITUTE(B4," ",""),"0",""),"-",""))+LEN(SUBSTITUTE(SUBSTITUTE(SUBSTITUTE(C4," ",""),"0",""),"-","")))=(LEN(SUBSTITUTE(SUBSTITUTE(SUBSTITUTE(E4," ",""),"0",""),"-",""))+LEN(SUBSTITUTE(SUBSTITUTE(SUBSTITUTE(F4," ",""),"0",""),"-",""))))),0,(LEN(SUBSTITUTE(SUBSTITUTE(SUBSTITUTE(E4," ",""),"0",""),"-",""))+LEN(SUBSTITUTE(SUBSTITUTE(SUBSTITUTE(F4," ",""),"0",""),"-",""))&lt;LEN(SUBSTITUTE(SUBSTITUTE(SUBSTITUTE(B4," ",""),"0",""),"-",""))+LEN(SUBSTITUTE(SUBSTITUTE(SUBSTITUTE(C4," ",""),"0",""),"-","")))*1),0)+IF(OR(COUNTA(B11,C11,E11,F11)&gt;0,OR(D11="X",D11="x")),IF(OR(D11="X",D11="x",AND(OR(COUNTA(B11,C11,E11,F11)&gt;0,OR(D11="X",D11="x")),(LEN(SUBSTITUTE(SUBSTITUTE(SUBSTITUTE(B11," ",""),"0",""),"-",""))+LEN(SUBSTITUTE(SUBSTITUTE(SUBSTITUTE(C11," ",""),"0",""),"-","")))=(LEN(SUBSTITUTE(SUBSTITUTE(SUBSTITUTE(E11," ",""),"0",""),"-",""))+LEN(SUBSTITUTE(SUBSTITUTE(SUBSTITUTE(F11," ",""),"0",""),"-",""))))),0,(LEN(SUBSTITUTE(SUBSTITUTE(SUBSTITUTE(E11," ",""),"0",""),"-",""))+LEN(SUBSTITUTE(SUBSTITUTE(SUBSTITUTE(F11," ",""),"0",""),"-",""))&lt;LEN(SUBSTITUTE(SUBSTITUTE(SUBSTITUTE(B11," ",""),"0",""),"-",""))+LEN(SUBSTITUTE(SUBSTITUTE(SUBSTITUTE(C11," ",""),"0",""),"-","")))*1),0)+IF(OR(COUNTA(B17,C17,E17,F17)&gt;0,OR(D17="X",D17="x")),IF(OR(D17="X",D17="x",AND(OR(COUNTA(B17,C17,E17,F17)&gt;0,OR(D17="X",D17="x")),(LEN(SUBSTITUTE(SUBSTITUTE(SUBSTITUTE(B17," ",""),"0",""),"-",""))+LEN(SUBSTITUTE(SUBSTITUTE(SUBSTITUTE(C17," ",""),"0",""),"-","")))=(LEN(SUBSTITUTE(SUBSTITUTE(SUBSTITUTE(E17," ",""),"0",""),"-",""))+LEN(SUBSTITUTE(SUBSTITUTE(SUBSTITUTE(F17," ",""),"0",""),"-",""))))),0,(LEN(SUBSTITUTE(SUBSTITUTE(SUBSTITUTE(E17," ",""),"0",""),"-",""))+LEN(SUBSTITUTE(SUBSTITUTE(SUBSTITUTE(F17," ",""),"0",""),"-",""))&lt;LEN(SUBSTITUTE(SUBSTITUTE(SUBSTITUTE(B17," ",""),"0",""),"-",""))+LEN(SUBSTITUTE(SUBSTITUTE(SUBSTITUTE(C17," ",""),"0",""),"-","")))*1),0)+IF(OR(COUNTA(B22,C22,E22,F22)&gt;0,OR(D22="X",D22="x")),IF(OR(D22="X",D22="x",AND(OR(COUNTA(B22,C22,E22,F22)&gt;0,OR(D22="X",D22="x")),(LEN(SUBSTITUTE(SUBSTITUTE(SUBSTITUTE(B22," ",""),"0",""),"-",""))+LEN(SUBSTITUTE(SUBSTITUTE(SUBSTITUTE(C22," ",""),"0",""),"-","")))=(LEN(SUBSTITUTE(SUBSTITUTE(SUBSTITUTE(E22," ",""),"0",""),"-",""))+LEN(SUBSTITUTE(SUBSTITUTE(SUBSTITUTE(F22," ",""),"0",""),"-",""))))),0,(LEN(SUBSTITUTE(SUBSTITUTE(SUBSTITUTE(B22," ",""),"0",""),"-",""))+LEN(SUBSTITUTE(SUBSTITUTE(SUBSTITUTE(C22," ",""),"0",""),"-",""))&lt;LEN(SUBSTITUTE(SUBSTITUTE(SUBSTITUTE(E22," ",""),"0",""),"-",""))+LEN(SUBSTITUTE(SUBSTITUTE(SUBSTITUTE(F22," ",""),"0",""),"-","")))*1),0)+IF(OR(COUNTA(B26,C26,E26,F26)&gt;0,OR(D26="X",D26="x")),IF(OR(D26="X",D26="x",AND(OR(COUNTA(B26,C26,E26,F26)&gt;0,OR(D26="X",D26="x")),(LEN(SUBSTITUTE(SUBSTITUTE(SUBSTITUTE(B26," ",""),"0",""),"-",""))+LEN(SUBSTITUTE(SUBSTITUTE(SUBSTITUTE(C26," ",""),"0",""),"-","")))=(LEN(SUBSTITUTE(SUBSTITUTE(SUBSTITUTE(E26," ",""),"0",""),"-",""))+LEN(SUBSTITUTE(SUBSTITUTE(SUBSTITUTE(F26," ",""),"0",""),"-",""))))),0,(LEN(SUBSTITUTE(SUBSTITUTE(SUBSTITUTE(E26," ",""),"0",""),"-",""))+LEN(SUBSTITUTE(SUBSTITUTE(SUBSTITUTE(F26," ",""),"0",""),"-",""))&lt;LEN(SUBSTITUTE(SUBSTITUTE(SUBSTITUTE(B26," ",""),"0",""),"-",""))+LEN(SUBSTITUTE(SUBSTITUTE(SUBSTITUTE(C26," ",""),"0",""),"-","")))*1),0)+IF(OR(COUNTA(B29,C29,E29,F29)&gt;0,OR(D29="X",D29="x")),IF(OR(D29="X",D29="x",AND(OR(COUNTA(B29,C29,E29,F29)&gt;0,OR(D29="X",D29="x")),(LEN(SUBSTITUTE(SUBSTITUTE(SUBSTITUTE(B29," ",""),"0",""),"-",""))+LEN(SUBSTITUTE(SUBSTITUTE(SUBSTITUTE(C29," ",""),"0",""),"-","")))=(LEN(SUBSTITUTE(SUBSTITUTE(SUBSTITUTE(E29," ",""),"0",""),"-",""))+LEN(SUBSTITUTE(SUBSTITUTE(SUBSTITUTE(F29," ",""),"0",""),"-",""))))),0,(LEN(SUBSTITUTE(SUBSTITUTE(SUBSTITUTE(E29," ",""),"0",""),"-",""))+LEN(SUBSTITUTE(SUBSTITUTE(SUBSTITUTE(F29," ",""),"0",""),"-",""))&lt;LEN(SUBSTITUTE(SUBSTITUTE(SUBSTITUTE(B29," ",""),"0",""),"-",""))+LEN(SUBSTITUTE(SUBSTITUTE(SUBSTITUTE(C29," ",""),"0",""),"-","")))*1),0)+IF(OR(COUNTA(B31,C31,E31,F31)&gt;0,OR(D31="X",D31="x")),IF(OR(D31="X",D31="x",AND(OR(COUNTA(B31,C31,E31,F31)&gt;0,OR(D31="X",D31="x")),(LEN(SUBSTITUTE(SUBSTITUTE(SUBSTITUTE(B31," ",""),"0",""),"-",""))+LEN(SUBSTITUTE(SUBSTITUTE(SUBSTITUTE(C31," ",""),"0",""),"-","")))=(LEN(SUBSTITUTE(SUBSTITUTE(SUBSTITUTE(E31," ",""),"0",""),"-",""))+LEN(SUBSTITUTE(SUBSTITUTE(SUBSTITUTE(F31," ",""),"0",""),"-",""))))),0,(LEN(SUBSTITUTE(SUBSTITUTE(SUBSTITUTE(E31," ",""),"0",""),"-",""))+LEN(SUBSTITUTE(SUBSTITUTE(SUBSTITUTE(F31," ",""),"0",""),"-",""))&lt;LEN(SUBSTITUTE(SUBSTITUTE(SUBSTITUTE(B31," ",""),"0",""),"-",""))+LEN(SUBSTITUTE(SUBSTITUTE(SUBSTITUTE(C31," ",""),"0",""),"-","")))*1),0)</f>
      </c>
      <c r="D34" s="14" t="str">
        <f>IF(OR(COUNTA(B4,C4,E4,F4)&gt;0,OR(D4="X",D4="x")),IF(OR(D4="X",D4="x",AND(OR(COUNTA(B4,C4,E4,F4)&gt;0,OR(D4="X",D4="x")),(LEN(SUBSTITUTE(SUBSTITUTE(SUBSTITUTE(B4," ",""),"0",""),"-",""))+LEN(SUBSTITUTE(SUBSTITUTE(SUBSTITUTE(C4," ",""),"0",""),"-","")))=(LEN(SUBSTITUTE(SUBSTITUTE(SUBSTITUTE(E4," ",""),"0",""),"-",""))+LEN(SUBSTITUTE(SUBSTITUTE(SUBSTITUTE(F4," ",""),"0",""),"-",""))))),1,0),0)+IF(OR(COUNTA(B11,C11,E11,F11)&gt;0,OR(D11="X",D11="x")),IF(OR(D11="X",D11="x",AND(OR(COUNTA(B11,C11,E11,F11)&gt;0,OR(D11="X",D11="x")),(LEN(SUBSTITUTE(SUBSTITUTE(SUBSTITUTE(B11," ",""),"0",""),"-",""))+LEN(SUBSTITUTE(SUBSTITUTE(SUBSTITUTE(C11," ",""),"0",""),"-","")))=(LEN(SUBSTITUTE(SUBSTITUTE(SUBSTITUTE(E11," ",""),"0",""),"-",""))+LEN(SUBSTITUTE(SUBSTITUTE(SUBSTITUTE(F11," ",""),"0",""),"-",""))))),1,0),0)+IF(OR(COUNTA(B17,C17,E17,F17)&gt;0,OR(D17="X",D17="x")),IF(OR(D17="X",D17="x",AND(OR(COUNTA(B17,C17,E17,F17)&gt;0,OR(D17="X",D17="x")),(LEN(SUBSTITUTE(SUBSTITUTE(SUBSTITUTE(B17," ",""),"0",""),"-",""))+LEN(SUBSTITUTE(SUBSTITUTE(SUBSTITUTE(C17," ",""),"0",""),"-","")))=(LEN(SUBSTITUTE(SUBSTITUTE(SUBSTITUTE(E17," ",""),"0",""),"-",""))+LEN(SUBSTITUTE(SUBSTITUTE(SUBSTITUTE(F17," ",""),"0",""),"-",""))))),1,0),0)+IF(OR(COUNTA(B22,C22,E22,F22)&gt;0,OR(D22="X",D22="x")),IF(OR(D22="X",D22="x",AND(OR(COUNTA(B22,C22,E22,F22)&gt;0,OR(D22="X",D22="x")),(LEN(SUBSTITUTE(SUBSTITUTE(SUBSTITUTE(B22," ",""),"0",""),"-",""))+LEN(SUBSTITUTE(SUBSTITUTE(SUBSTITUTE(C22," ",""),"0",""),"-","")))=(LEN(SUBSTITUTE(SUBSTITUTE(SUBSTITUTE(E22," ",""),"0",""),"-",""))+LEN(SUBSTITUTE(SUBSTITUTE(SUBSTITUTE(F22," ",""),"0",""),"-",""))))),1,0),0)+IF(OR(COUNTA(B26,C26,E26,F26)&gt;0,OR(D26="X",D26="x")),IF(OR(D26="X",D26="x",AND(OR(COUNTA(B26,C26,E26,F26)&gt;0,OR(D26="X",D26="x")),(LEN(SUBSTITUTE(SUBSTITUTE(SUBSTITUTE(B26," ",""),"0",""),"-",""))+LEN(SUBSTITUTE(SUBSTITUTE(SUBSTITUTE(C26," ",""),"0",""),"-","")))=(LEN(SUBSTITUTE(SUBSTITUTE(SUBSTITUTE(E26," ",""),"0",""),"-",""))+LEN(SUBSTITUTE(SUBSTITUTE(SUBSTITUTE(F26," ",""),"0",""),"-",""))))),1,0),0)+IF(OR(COUNTA(B29,C29,E29,F29)&gt;0,OR(D29="X",D29="x")),IF(OR(D29="X",D29="x",AND(OR(COUNTA(B29,C29,E29,F29)&gt;0,OR(D29="X",D29="x")),(LEN(SUBSTITUTE(SUBSTITUTE(SUBSTITUTE(B29," ",""),"0",""),"-",""))+LEN(SUBSTITUTE(SUBSTITUTE(SUBSTITUTE(C29," ",""),"0",""),"-","")))=(LEN(SUBSTITUTE(SUBSTITUTE(SUBSTITUTE(E29," ",""),"0",""),"-",""))+LEN(SUBSTITUTE(SUBSTITUTE(SUBSTITUTE(F29," ",""),"0",""),"-",""))))),1,0),0)+IF(OR(COUNTA(B31,C31,E31,F31)&gt;0,OR(D31="X",D31="x")),IF(OR(D31="X",D31="x",AND(OR(COUNTA(B31,C31,E31,F31)&gt;0,OR(D31="X",D31="x")),(LEN(SUBSTITUTE(SUBSTITUTE(SUBSTITUTE(B31," ",""),"0",""),"-",""))+LEN(SUBSTITUTE(SUBSTITUTE(SUBSTITUTE(C31," ",""),"0",""),"-","")))=(LEN(SUBSTITUTE(SUBSTITUTE(SUBSTITUTE(E31," ",""),"0",""),"-",""))+LEN(SUBSTITUTE(SUBSTITUTE(SUBSTITUTE(F31," ",""),"0",""),"-",""))))),1,0),0)</f>
      </c>
      <c r="E34" s="14" t="str">
        <f>LEN(SUBSTITUTE(SUBSTITUTE(SUBSTITUTE(E4," ",""),"0",""),"-",""))+LEN(SUBSTITUTE(SUBSTITUTE(SUBSTITUTE(F4," ",""),"0",""),"-",""))+LEN(SUBSTITUTE(SUBSTITUTE(SUBSTITUTE(E11," ",""),"0",""),"-",""))+LEN(SUBSTITUTE(SUBSTITUTE(SUBSTITUTE(F11," ",""),"0",""),"-",""))+LEN(SUBSTITUTE(SUBSTITUTE(SUBSTITUTE(E17," ",""),"0",""),"-",""))+LEN(SUBSTITUTE(SUBSTITUTE(SUBSTITUTE(F17," ",""),"0",""),"-",""))+LEN(SUBSTITUTE(SUBSTITUTE(SUBSTITUTE(B22," ",""),"0",""),"-",""))+LEN(SUBSTITUTE(SUBSTITUTE(SUBSTITUTE(C22," ",""),"0",""),"-",""))+LEN(SUBSTITUTE(SUBSTITUTE(SUBSTITUTE(E26," ",""),"0",""),"-",""))+LEN(SUBSTITUTE(SUBSTITUTE(SUBSTITUTE(F26," ",""),"0",""),"-",""))+LEN(SUBSTITUTE(SUBSTITUTE(SUBSTITUTE(E29," ",""),"0",""),"-",""))+LEN(SUBSTITUTE(SUBSTITUTE(SUBSTITUTE(F29," ",""),"0",""),"-",""))+LEN(SUBSTITUTE(SUBSTITUTE(SUBSTITUTE(E31," ",""),"0",""),"-",""))+LEN(SUBSTITUTE(SUBSTITUTE(SUBSTITUTE(F31," ",""),"0",""),"-",""))</f>
      </c>
      <c r="F34" s="14" t="str">
        <f>LEN(SUBSTITUTE(SUBSTITUTE(SUBSTITUTE(B4," ",""),"0",""),"-",""))+LEN(SUBSTITUTE(SUBSTITUTE(SUBSTITUTE(C4," ",""),"0",""),"-",""))+LEN(SUBSTITUTE(SUBSTITUTE(SUBSTITUTE(B11," ",""),"0",""),"-",""))+LEN(SUBSTITUTE(SUBSTITUTE(SUBSTITUTE(C11," ",""),"0",""),"-",""))+LEN(SUBSTITUTE(SUBSTITUTE(SUBSTITUTE(B17," ",""),"0",""),"-",""))+LEN(SUBSTITUTE(SUBSTITUTE(SUBSTITUTE(C17," ",""),"0",""),"-",""))+LEN(SUBSTITUTE(SUBSTITUTE(SUBSTITUTE(E22," ",""),"0",""),"-",""))+LEN(SUBSTITUTE(SUBSTITUTE(SUBSTITUTE(F22," ",""),"0",""),"-",""))+LEN(SUBSTITUTE(SUBSTITUTE(SUBSTITUTE(B26," ",""),"0",""),"-",""))+LEN(SUBSTITUTE(SUBSTITUTE(SUBSTITUTE(C26," ",""),"0",""),"-",""))+LEN(SUBSTITUTE(SUBSTITUTE(SUBSTITUTE(B29," ",""),"0",""),"-",""))+LEN(SUBSTITUTE(SUBSTITUTE(SUBSTITUTE(C29," ",""),"0",""),"-",""))+LEN(SUBSTITUTE(SUBSTITUTE(SUBSTITUTE(B31," ",""),"0",""),"-",""))+LEN(SUBSTITUTE(SUBSTITUTE(SUBSTITUTE(C31," ",""),"0",""),"-",""))</f>
      </c>
      <c r="G34" s="18" t="str">
        <f>RANK(U34,$U$34:$U$41)+COUNTIF($U$33:U33,U34)</f>
      </c>
      <c r="U34" t="str">
        <f>(B34*1000000)-(C34*10000)+(D34*100)+(E34*1)-(F34*0.01)</f>
      </c>
    </row>
    <row r="35">
      <c r="A35" s="14" t="str">
        <f>data!$D$4&amp;" "&amp;data!$B$4</f>
      </c>
      <c r="B35"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",""),"0",""),"-",""))&gt;LEN(SUBSTITUTE(SUBSTITUTE(SUBSTITUTE(E4," ",""),"0",""),"-",""))+LEN(SUBSTITUTE(SUBSTITUTE(SUBSTITUTE(F4," ",""),"0",""),"-","")))*1),0)+IF(OR(COUNTA(B5,C5,E5,F5)&gt;0,OR(D5="X",D5="x")),IF(OR(D5="X",D5="x",AND(OR(COUNTA(B5,C5,E5,F5)&gt;0,OR(D5="X",D5="x")),(LEN(SUBSTITUTE(SUBSTITUTE(SUBSTITUTE(B5,"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",""),"0",""),"-",""))&gt;LEN(SUBSTITUTE(SUBSTITUTE(SUBSTITUTE(E5," ",""),"0",""),"-",""))+LEN(SUBSTITUTE(SUBSTITUTE(SUBSTITUTE(F5," ",""),"0",""),"-","")))*1),0)+IF(OR(COUNTA(B12,C12,E12,F12)&gt;0,OR(D12="X",D12="x")),IF(OR(D12="X",D12="x",AND(OR(COUNTA(B12,C12,E12,F12)&gt;0,OR(D12="X",D12="x")),(LEN(SUBSTITUTE(SUBSTITUTE(SUBSTITUTE(B12," ",""),"0",""),"-",""))+LEN(SUBSTITUTE(SUBSTITUTE(SUBSTITUTE(C12," ",""),"0",""),"-","")))=(LEN(SUBSTITUTE(SUBSTITUTE(SUBSTITUTE(E12," ",""),"0",""),"-",""))+LEN(SUBSTITUTE(SUBSTITUTE(SUBSTITUTE(F12," ",""),"0",""),"-",""))))),0,(LEN(SUBSTITUTE(SUBSTITUTE(SUBSTITUTE(E12," ",""),"0",""),"-",""))+LEN(SUBSTITUTE(SUBSTITUTE(SUBSTITUTE(F12," ",""),"0",""),"-",""))&gt;LEN(SUBSTITUTE(SUBSTITUTE(SUBSTITUTE(B12," ",""),"0",""),"-",""))+LEN(SUBSTITUTE(SUBSTITUTE(SUBSTITUTE(C12," ",""),"0",""),"-","")))*1),0)+IF(OR(COUNTA(B18,C18,E18,F18)&gt;0,OR(D18="X",D18="x")),IF(OR(D18="X",D18="x",AND(OR(COUNTA(B18,C18,E18,F18)&gt;0,OR(D18="X",D18="x")),(LEN(SUBSTITUTE(SUBSTITUTE(SUBSTITUTE(B18," ",""),"0",""),"-",""))+LEN(SUBSTITUTE(SUBSTITUTE(SUBSTITUTE(C18," ",""),"0",""),"-","")))=(LEN(SUBSTITUTE(SUBSTITUTE(SUBSTITUTE(E18," ",""),"0",""),"-",""))+LEN(SUBSTITUTE(SUBSTITUTE(SUBSTITUTE(F18," ",""),"0",""),"-",""))))),0,(LEN(SUBSTITUTE(SUBSTITUTE(SUBSTITUTE(E18," ",""),"0",""),"-",""))+LEN(SUBSTITUTE(SUBSTITUTE(SUBSTITUTE(F18," ",""),"0",""),"-",""))&gt;LEN(SUBSTITUTE(SUBSTITUTE(SUBSTITUTE(B18," ",""),"0",""),"-",""))+LEN(SUBSTITUTE(SUBSTITUTE(SUBSTITUTE(C18," ",""),"0",""),"-","")))*1),0)+IF(OR(COUNTA(B23,C23,E23,F23)&gt;0,OR(D23="X",D23="x")),IF(OR(D23="X",D23="x",AND(OR(COUNTA(B23,C23,E23,F23)&gt;0,OR(D23="X",D23="x")),(LEN(SUBSTITUTE(SUBSTITUTE(SUBSTITUTE(B23," ",""),"0",""),"-",""))+LEN(SUBSTITUTE(SUBSTITUTE(SUBSTITUTE(C23," ",""),"0",""),"-","")))=(LEN(SUBSTITUTE(SUBSTITUTE(SUBSTITUTE(E23," ",""),"0",""),"-",""))+LEN(SUBSTITUTE(SUBSTITUTE(SUBSTITUTE(F23," ",""),"0",""),"-",""))))),0,(LEN(SUBSTITUTE(SUBSTITUTE(SUBSTITUTE(E23," ",""),"0",""),"-",""))+LEN(SUBSTITUTE(SUBSTITUTE(SUBSTITUTE(F23," ",""),"0",""),"-",""))&gt;LEN(SUBSTITUTE(SUBSTITUTE(SUBSTITUTE(B23," ",""),"0",""),"-",""))+LEN(SUBSTITUTE(SUBSTITUTE(SUBSTITUTE(C23," ",""),"0",""),"-","")))*1),0)+IF(OR(COUNTA(B27,C27,E27,F27)&gt;0,OR(D27="X",D27="x")),IF(OR(D27="X",D27="x",AND(OR(COUNTA(B27,C27,E27,F27)&gt;0,OR(D27="X",D27="x")),(LEN(SUBSTITUTE(SUBSTITUTE(SUBSTITUTE(B27," ",""),"0",""),"-",""))+LEN(SUBSTITUTE(SUBSTITUTE(SUBSTITUTE(C27," ",""),"0",""),"-","")))=(LEN(SUBSTITUTE(SUBSTITUTE(SUBSTITUTE(E27," ",""),"0",""),"-",""))+LEN(SUBSTITUTE(SUBSTITUTE(SUBSTITUTE(F27," ",""),"0",""),"-",""))))),0,(LEN(SUBSTITUTE(SUBSTITUTE(SUBSTITUTE(E27," ",""),"0",""),"-",""))+LEN(SUBSTITUTE(SUBSTITUTE(SUBSTITUTE(F27," ",""),"0",""),"-",""))&gt;LEN(SUBSTITUTE(SUBSTITUTE(SUBSTITUTE(B27," ",""),"0",""),"-",""))+LEN(SUBSTITUTE(SUBSTITUTE(SUBSTITUTE(C27," ",""),"0",""),"-","")))*1),0)+IF(OR(COUNTA(B30,C30,E30,F30)&gt;0,OR(D30="X",D30="x")),IF(OR(D30="X",D30="x",AND(OR(COUNTA(B30,C30,E30,F30)&gt;0,OR(D30="X",D30="x")),(LEN(SUBSTITUTE(SUBSTITUTE(SUBSTITUTE(B30," ",""),"0",""),"-",""))+LEN(SUBSTITUTE(SUBSTITUTE(SUBSTITUTE(C30," ",""),"0",""),"-","")))=(LEN(SUBSTITUTE(SUBSTITUTE(SUBSTITUTE(E30," ",""),"0",""),"-",""))+LEN(SUBSTITUTE(SUBSTITUTE(SUBSTITUTE(F30," ",""),"0",""),"-",""))))),0,(LEN(SUBSTITUTE(SUBSTITUTE(SUBSTITUTE(E30," ",""),"0",""),"-",""))+LEN(SUBSTITUTE(SUBSTITUTE(SUBSTITUTE(F30," ",""),"0",""),"-",""))&gt;LEN(SUBSTITUTE(SUBSTITUTE(SUBSTITUTE(B30," ",""),"0",""),"-",""))+LEN(SUBSTITUTE(SUBSTITUTE(SUBSTITUTE(C30," ",""),"0",""),"-","")))*1),0)</f>
      </c>
      <c r="C35" s="14" t="str">
        <f>IF(OR(COUNTA(B4,C4,E4,F4)&gt;0,OR(D4="X",D4="x")),IF(OR(D4="X",D4="x",AND(OR(COUNTA(B4,C4,E4,F4)&gt;0,OR(D4="X",D4="x")),(LEN(SUBSTITUTE(SUBSTITUTE(SUBSTITUTE(B4," ",""),"0",""),"-",""))+LEN(SUBSTITUTE(SUBSTITUTE(SUBSTITUTE(C4," ",""),"0",""),"-","")))=(LEN(SUBSTITUTE(SUBSTITUTE(SUBSTITUTE(E4," ",""),"0",""),"-",""))+LEN(SUBSTITUTE(SUBSTITUTE(SUBSTITUTE(F4," ",""),"0",""),"-",""))))),0,(LEN(SUBSTITUTE(SUBSTITUTE(SUBSTITUTE(B4," ",""),"0",""),"-",""))+LEN(SUBSTITUTE(SUBSTITUTE(SUBSTITUTE(C4," ",""),"0",""),"-",""))&lt;LEN(SUBSTITUTE(SUBSTITUTE(SUBSTITUTE(E4," ",""),"0",""),"-",""))+LEN(SUBSTITUTE(SUBSTITUTE(SUBSTITUTE(F4," ",""),"0",""),"-","")))*1),0)+IF(OR(COUNTA(B5,C5,E5,F5)&gt;0,OR(D5="X",D5="x")),IF(OR(D5="X",D5="x",AND(OR(COUNTA(B5,C5,E5,F5)&gt;0,OR(D5="X",D5="x")),(LEN(SUBSTITUTE(SUBSTITUTE(SUBSTITUTE(B5," ",""),"0",""),"-",""))+LEN(SUBSTITUTE(SUBSTITUTE(SUBSTITUTE(C5," ",""),"0",""),"-","")))=(LEN(SUBSTITUTE(SUBSTITUTE(SUBSTITUTE(E5," ",""),"0",""),"-",""))+LEN(SUBSTITUTE(SUBSTITUTE(SUBSTITUTE(F5," ",""),"0",""),"-",""))))),0,(LEN(SUBSTITUTE(SUBSTITUTE(SUBSTITUTE(B5," ",""),"0",""),"-",""))+LEN(SUBSTITUTE(SUBSTITUTE(SUBSTITUTE(C5," ",""),"0",""),"-",""))&lt;LEN(SUBSTITUTE(SUBSTITUTE(SUBSTITUTE(E5," ",""),"0",""),"-",""))+LEN(SUBSTITUTE(SUBSTITUTE(SUBSTITUTE(F5," ",""),"0",""),"-","")))*1),0)+IF(OR(COUNTA(B12,C12,E12,F12)&gt;0,OR(D12="X",D12="x")),IF(OR(D12="X",D12="x",AND(OR(COUNTA(B12,C12,E12,F12)&gt;0,OR(D12="X",D12="x")),(LEN(SUBSTITUTE(SUBSTITUTE(SUBSTITUTE(B12," ",""),"0",""),"-",""))+LEN(SUBSTITUTE(SUBSTITUTE(SUBSTITUTE(C12," ",""),"0",""),"-","")))=(LEN(SUBSTITUTE(SUBSTITUTE(SUBSTITUTE(E12," ",""),"0",""),"-",""))+LEN(SUBSTITUTE(SUBSTITUTE(SUBSTITUTE(F12," ",""),"0",""),"-",""))))),0,(LEN(SUBSTITUTE(SUBSTITUTE(SUBSTITUTE(E12," ",""),"0",""),"-",""))+LEN(SUBSTITUTE(SUBSTITUTE(SUBSTITUTE(F12," ",""),"0",""),"-",""))&lt;LEN(SUBSTITUTE(SUBSTITUTE(SUBSTITUTE(B12," ",""),"0",""),"-",""))+LEN(SUBSTITUTE(SUBSTITUTE(SUBSTITUTE(C12," ",""),"0",""),"-","")))*1),0)+IF(OR(COUNTA(B18,C18,E18,F18)&gt;0,OR(D18="X",D18="x")),IF(OR(D18="X",D18="x",AND(OR(COUNTA(B18,C18,E18,F18)&gt;0,OR(D18="X",D18="x")),(LEN(SUBSTITUTE(SUBSTITUTE(SUBSTITUTE(B18," ",""),"0",""),"-",""))+LEN(SUBSTITUTE(SUBSTITUTE(SUBSTITUTE(C18," ",""),"0",""),"-","")))=(LEN(SUBSTITUTE(SUBSTITUTE(SUBSTITUTE(E18," ",""),"0",""),"-",""))+LEN(SUBSTITUTE(SUBSTITUTE(SUBSTITUTE(F18," ",""),"0",""),"-",""))))),0,(LEN(SUBSTITUTE(SUBSTITUTE(SUBSTITUTE(E18," ",""),"0",""),"-",""))+LEN(SUBSTITUTE(SUBSTITUTE(SUBSTITUTE(F18," ",""),"0",""),"-",""))&lt;LEN(SUBSTITUTE(SUBSTITUTE(SUBSTITUTE(B18," ",""),"0",""),"-",""))+LEN(SUBSTITUTE(SUBSTITUTE(SUBSTITUTE(C18," ",""),"0",""),"-","")))*1),0)+IF(OR(COUNTA(B23,C23,E23,F23)&gt;0,OR(D23="X",D23="x")),IF(OR(D23="X",D23="x",AND(OR(COUNTA(B23,C23,E23,F23)&gt;0,OR(D23="X",D23="x")),(LEN(SUBSTITUTE(SUBSTITUTE(SUBSTITUTE(B23," ",""),"0",""),"-",""))+LEN(SUBSTITUTE(SUBSTITUTE(SUBSTITUTE(C23," ",""),"0",""),"-","")))=(LEN(SUBSTITUTE(SUBSTITUTE(SUBSTITUTE(E23," ",""),"0",""),"-",""))+LEN(SUBSTITUTE(SUBSTITUTE(SUBSTITUTE(F23," ",""),"0",""),"-",""))))),0,(LEN(SUBSTITUTE(SUBSTITUTE(SUBSTITUTE(E23," ",""),"0",""),"-",""))+LEN(SUBSTITUTE(SUBSTITUTE(SUBSTITUTE(F23," ",""),"0",""),"-",""))&lt;LEN(SUBSTITUTE(SUBSTITUTE(SUBSTITUTE(B23," ",""),"0",""),"-",""))+LEN(SUBSTITUTE(SUBSTITUTE(SUBSTITUTE(C23," ",""),"0",""),"-","")))*1),0)+IF(OR(COUNTA(B27,C27,E27,F27)&gt;0,OR(D27="X",D27="x")),IF(OR(D27="X",D27="x",AND(OR(COUNTA(B27,C27,E27,F27)&gt;0,OR(D27="X",D27="x")),(LEN(SUBSTITUTE(SUBSTITUTE(SUBSTITUTE(B27," ",""),"0",""),"-",""))+LEN(SUBSTITUTE(SUBSTITUTE(SUBSTITUTE(C27," ",""),"0",""),"-","")))=(LEN(SUBSTITUTE(SUBSTITUTE(SUBSTITUTE(E27," ",""),"0",""),"-",""))+LEN(SUBSTITUTE(SUBSTITUTE(SUBSTITUTE(F27," ",""),"0",""),"-",""))))),0,(LEN(SUBSTITUTE(SUBSTITUTE(SUBSTITUTE(E27," ",""),"0",""),"-",""))+LEN(SUBSTITUTE(SUBSTITUTE(SUBSTITUTE(F27," ",""),"0",""),"-",""))&lt;LEN(SUBSTITUTE(SUBSTITUTE(SUBSTITUTE(B27," ",""),"0",""),"-",""))+LEN(SUBSTITUTE(SUBSTITUTE(SUBSTITUTE(C27," ",""),"0",""),"-","")))*1),0)+IF(OR(COUNTA(B30,C30,E30,F30)&gt;0,OR(D30="X",D30="x")),IF(OR(D30="X",D30="x",AND(OR(COUNTA(B30,C30,E30,F30)&gt;0,OR(D30="X",D30="x")),(LEN(SUBSTITUTE(SUBSTITUTE(SUBSTITUTE(B30," ",""),"0",""),"-",""))+LEN(SUBSTITUTE(SUBSTITUTE(SUBSTITUTE(C30," ",""),"0",""),"-","")))=(LEN(SUBSTITUTE(SUBSTITUTE(SUBSTITUTE(E30," ",""),"0",""),"-",""))+LEN(SUBSTITUTE(SUBSTITUTE(SUBSTITUTE(F30," ",""),"0",""),"-",""))))),0,(LEN(SUBSTITUTE(SUBSTITUTE(SUBSTITUTE(E30," ",""),"0",""),"-",""))+LEN(SUBSTITUTE(SUBSTITUTE(SUBSTITUTE(F30," ",""),"0",""),"-",""))&lt;LEN(SUBSTITUTE(SUBSTITUTE(SUBSTITUTE(B30," ",""),"0",""),"-",""))+LEN(SUBSTITUTE(SUBSTITUTE(SUBSTITUTE(C30," ",""),"0",""),"-","")))*1),0)</f>
      </c>
      <c r="D35" s="14" t="str">
        <f>IF(OR(COUNTA(B4,C4,E4,F4)&gt;0,OR(D4="X",D4="x")),IF(OR(D4="X",D4="x",AND(OR(COUNTA(B4,C4,E4,F4)&gt;0,OR(D4="X",D4="x")),(LEN(SUBSTITUTE(SUBSTITUTE(SUBSTITUTE(B4," ",""),"0",""),"-",""))+LEN(SUBSTITUTE(SUBSTITUTE(SUBSTITUTE(C4," ",""),"0",""),"-","")))=(LEN(SUBSTITUTE(SUBSTITUTE(SUBSTITUTE(E4," ",""),"0",""),"-",""))+LEN(SUBSTITUTE(SUBSTITUTE(SUBSTITUTE(F4," ",""),"0",""),"-",""))))),1,0),0)+IF(OR(COUNTA(B5,C5,E5,F5)&gt;0,OR(D5="X",D5="x")),IF(OR(D5="X",D5="x",AND(OR(COUNTA(B5,C5,E5,F5)&gt;0,OR(D5="X",D5="x")),(LEN(SUBSTITUTE(SUBSTITUTE(SUBSTITUTE(B5," ",""),"0",""),"-",""))+LEN(SUBSTITUTE(SUBSTITUTE(SUBSTITUTE(C5," ",""),"0",""),"-","")))=(LEN(SUBSTITUTE(SUBSTITUTE(SUBSTITUTE(E5," ",""),"0",""),"-",""))+LEN(SUBSTITUTE(SUBSTITUTE(SUBSTITUTE(F5," ",""),"0",""),"-",""))))),1,0),0)+IF(OR(COUNTA(B12,C12,E12,F12)&gt;0,OR(D12="X",D12="x")),IF(OR(D12="X",D12="x",AND(OR(COUNTA(B12,C12,E12,F12)&gt;0,OR(D12="X",D12="x")),(LEN(SUBSTITUTE(SUBSTITUTE(SUBSTITUTE(B12," ",""),"0",""),"-",""))+LEN(SUBSTITUTE(SUBSTITUTE(SUBSTITUTE(C12," ",""),"0",""),"-","")))=(LEN(SUBSTITUTE(SUBSTITUTE(SUBSTITUTE(E12," ",""),"0",""),"-",""))+LEN(SUBSTITUTE(SUBSTITUTE(SUBSTITUTE(F12," ",""),"0",""),"-",""))))),1,0),0)+IF(OR(COUNTA(B18,C18,E18,F18)&gt;0,OR(D18="X",D18="x")),IF(OR(D18="X",D18="x",AND(OR(COUNTA(B18,C18,E18,F18)&gt;0,OR(D18="X",D18="x")),(LEN(SUBSTITUTE(SUBSTITUTE(SUBSTITUTE(B18," ",""),"0",""),"-",""))+LEN(SUBSTITUTE(SUBSTITUTE(SUBSTITUTE(C18," ",""),"0",""),"-","")))=(LEN(SUBSTITUTE(SUBSTITUTE(SUBSTITUTE(E18," ",""),"0",""),"-",""))+LEN(SUBSTITUTE(SUBSTITUTE(SUBSTITUTE(F18," ",""),"0",""),"-",""))))),1,0),0)+IF(OR(COUNTA(B23,C23,E23,F23)&gt;0,OR(D23="X",D23="x")),IF(OR(D23="X",D23="x",AND(OR(COUNTA(B23,C23,E23,F23)&gt;0,OR(D23="X",D23="x")),(LEN(SUBSTITUTE(SUBSTITUTE(SUBSTITUTE(B23," ",""),"0",""),"-",""))+LEN(SUBSTITUTE(SUBSTITUTE(SUBSTITUTE(C23," ",""),"0",""),"-","")))=(LEN(SUBSTITUTE(SUBSTITUTE(SUBSTITUTE(E23," ",""),"0",""),"-",""))+LEN(SUBSTITUTE(SUBSTITUTE(SUBSTITUTE(F23," ",""),"0",""),"-",""))))),1,0),0)+IF(OR(COUNTA(B27,C27,E27,F27)&gt;0,OR(D27="X",D27="x")),IF(OR(D27="X",D27="x",AND(OR(COUNTA(B27,C27,E27,F27)&gt;0,OR(D27="X",D27="x")),(LEN(SUBSTITUTE(SUBSTITUTE(SUBSTITUTE(B27," ",""),"0",""),"-",""))+LEN(SUBSTITUTE(SUBSTITUTE(SUBSTITUTE(C27," ",""),"0",""),"-","")))=(LEN(SUBSTITUTE(SUBSTITUTE(SUBSTITUTE(E27," ",""),"0",""),"-",""))+LEN(SUBSTITUTE(SUBSTITUTE(SUBSTITUTE(F27," ",""),"0",""),"-",""))))),1,0),0)+IF(OR(COUNTA(B30,C30,E30,F30)&gt;0,OR(D30="X",D30="x")),IF(OR(D30="X",D30="x",AND(OR(COUNTA(B30,C30,E30,F30)&gt;0,OR(D30="X",D30="x")),(LEN(SUBSTITUTE(SUBSTITUTE(SUBSTITUTE(B30," ",""),"0",""),"-",""))+LEN(SUBSTITUTE(SUBSTITUTE(SUBSTITUTE(C30," ",""),"0",""),"-","")))=(LEN(SUBSTITUTE(SUBSTITUTE(SUBSTITUTE(E30," ",""),"0",""),"-",""))+LEN(SUBSTITUTE(SUBSTITUTE(SUBSTITUTE(F30," ",""),"0",""),"-",""))))),1,0),0)</f>
      </c>
      <c r="E35" s="14" t="str">
        <f>LEN(SUBSTITUTE(SUBSTITUTE(SUBSTITUTE(B4," ",""),"0",""),"-",""))+LEN(SUBSTITUTE(SUBSTITUTE(SUBSTITUTE(C4," ",""),"0",""),"-",""))+LEN(SUBSTITUTE(SUBSTITUTE(SUBSTITUTE(B5," ",""),"0",""),"-",""))+LEN(SUBSTITUTE(SUBSTITUTE(SUBSTITUTE(C5," ",""),"0",""),"-",""))+LEN(SUBSTITUTE(SUBSTITUTE(SUBSTITUTE(E12," ",""),"0",""),"-",""))+LEN(SUBSTITUTE(SUBSTITUTE(SUBSTITUTE(F12," ",""),"0",""),"-",""))+LEN(SUBSTITUTE(SUBSTITUTE(SUBSTITUTE(E18," ",""),"0",""),"-",""))+LEN(SUBSTITUTE(SUBSTITUTE(SUBSTITUTE(F18," ",""),"0",""),"-",""))+LEN(SUBSTITUTE(SUBSTITUTE(SUBSTITUTE(E23," ",""),"0",""),"-",""))+LEN(SUBSTITUTE(SUBSTITUTE(SUBSTITUTE(F23," ",""),"0",""),"-",""))+LEN(SUBSTITUTE(SUBSTITUTE(SUBSTITUTE(E27," ",""),"0",""),"-",""))+LEN(SUBSTITUTE(SUBSTITUTE(SUBSTITUTE(F27," ",""),"0",""),"-",""))+LEN(SUBSTITUTE(SUBSTITUTE(SUBSTITUTE(E30," ",""),"0",""),"-",""))+LEN(SUBSTITUTE(SUBSTITUTE(SUBSTITUTE(F30," ",""),"0",""),"-",""))</f>
      </c>
      <c r="F35" s="14" t="str">
        <f>LEN(SUBSTITUTE(SUBSTITUTE(SUBSTITUTE(E4," ",""),"0",""),"-",""))+LEN(SUBSTITUTE(SUBSTITUTE(SUBSTITUTE(F4," ",""),"0",""),"-",""))+LEN(SUBSTITUTE(SUBSTITUTE(SUBSTITUTE(E5," ",""),"0",""),"-",""))+LEN(SUBSTITUTE(SUBSTITUTE(SUBSTITUTE(F5," ",""),"0",""),"-",""))+LEN(SUBSTITUTE(SUBSTITUTE(SUBSTITUTE(B12," ",""),"0",""),"-",""))+LEN(SUBSTITUTE(SUBSTITUTE(SUBSTITUTE(C12," ",""),"0",""),"-",""))+LEN(SUBSTITUTE(SUBSTITUTE(SUBSTITUTE(B18," ",""),"0",""),"-",""))+LEN(SUBSTITUTE(SUBSTITUTE(SUBSTITUTE(C18," ",""),"0",""),"-",""))+LEN(SUBSTITUTE(SUBSTITUTE(SUBSTITUTE(B23," ",""),"0",""),"-",""))+LEN(SUBSTITUTE(SUBSTITUTE(SUBSTITUTE(C23," ",""),"0",""),"-",""))+LEN(SUBSTITUTE(SUBSTITUTE(SUBSTITUTE(B27," ",""),"0",""),"-",""))+LEN(SUBSTITUTE(SUBSTITUTE(SUBSTITUTE(C27," ",""),"0",""),"-",""))+LEN(SUBSTITUTE(SUBSTITUTE(SUBSTITUTE(B30," ",""),"0",""),"-",""))+LEN(SUBSTITUTE(SUBSTITUTE(SUBSTITUTE(C30," ",""),"0",""),"-",""))</f>
      </c>
      <c r="G35" s="18" t="str">
        <f>RANK(U35,$U$34:$U$41)+COUNTIF($U$33:U34,U35)</f>
      </c>
      <c r="U35" t="str">
        <f>(B35*1000000)-(C35*10000)+(D35*100)+(E35*1)-(F35*0.01)</f>
      </c>
    </row>
    <row r="36">
      <c r="A36" s="14" t="str">
        <f>data!$D$5&amp;" "&amp;data!$B$5</f>
      </c>
      <c r="B36" s="14" t="str">
        <f>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",""),"0",""),"-",""))&gt;LEN(SUBSTITUTE(SUBSTITUTE(SUBSTITUTE(B5," ",""),"0",""),"-",""))+LEN(SUBSTITUTE(SUBSTITUTE(SUBSTITUTE(C5,"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",""),"0",""),"-",""))&gt;LEN(SUBSTITUTE(SUBSTITUTE(SUBSTITUTE(B6," ",""),"0",""),"-",""))+LEN(SUBSTITUTE(SUBSTITUTE(SUBSTITUTE(C6," ",""),"0",""),"-","")))*1),0)+IF(OR(COUNTA(B11,C11,E11,F11)&gt;0,OR(D11="X",D11="x")),IF(OR(D11="X",D11="x",AND(OR(COUNTA(B11,C11,E11,F11)&gt;0,OR(D11="X",D11="x")),(LEN(SUBSTITUTE(SUBSTITUTE(SUBSTITUTE(B11," ",""),"0",""),"-",""))+LEN(SUBSTITUTE(SUBSTITUTE(SUBSTITUTE(C11," ",""),"0",""),"-","")))=(LEN(SUBSTITUTE(SUBSTITUTE(SUBSTITUTE(E11," ",""),"0",""),"-",""))+LEN(SUBSTITUTE(SUBSTITUTE(SUBSTITUTE(F11," ",""),"0",""),"-",""))))),0,(LEN(SUBSTITUTE(SUBSTITUTE(SUBSTITUTE(B11," ",""),"0",""),"-",""))+LEN(SUBSTITUTE(SUBSTITUTE(SUBSTITUTE(C11," ",""),"0",""),"-",""))&gt;LEN(SUBSTITUTE(SUBSTITUTE(SUBSTITUTE(E11," ",""),"0",""),"-",""))+LEN(SUBSTITUTE(SUBSTITUTE(SUBSTITUTE(F11," ",""),"0",""),"-","")))*1),0)+IF(OR(COUNTA(B13,C13,E13,F13)&gt;0,OR(D13="X",D13="x")),IF(OR(D13="X",D13="x",AND(OR(COUNTA(B13,C13,E13,F13)&gt;0,OR(D13="X",D13="x")),(LEN(SUBSTITUTE(SUBSTITUTE(SUBSTITUTE(B13," ",""),"0",""),"-",""))+LEN(SUBSTITUTE(SUBSTITUTE(SUBSTITUTE(C13," ",""),"0",""),"-","")))=(LEN(SUBSTITUTE(SUBSTITUTE(SUBSTITUTE(E13," ",""),"0",""),"-",""))+LEN(SUBSTITUTE(SUBSTITUTE(SUBSTITUTE(F13," ",""),"0",""),"-",""))))),0,(LEN(SUBSTITUTE(SUBSTITUTE(SUBSTITUTE(E13," ",""),"0",""),"-",""))+LEN(SUBSTITUTE(SUBSTITUTE(SUBSTITUTE(F13," ",""),"0",""),"-",""))&gt;LEN(SUBSTITUTE(SUBSTITUTE(SUBSTITUTE(B13," ",""),"0",""),"-",""))+LEN(SUBSTITUTE(SUBSTITUTE(SUBSTITUTE(C13," ",""),"0",""),"-","")))*1),0)+IF(OR(COUNTA(B19,C19,E19,F19)&gt;0,OR(D19="X",D19="x")),IF(OR(D19="X",D19="x",AND(OR(COUNTA(B19,C19,E19,F19)&gt;0,OR(D19="X",D19="x")),(LEN(SUBSTITUTE(SUBSTITUTE(SUBSTITUTE(B19," ",""),"0",""),"-",""))+LEN(SUBSTITUTE(SUBSTITUTE(SUBSTITUTE(C19," ",""),"0",""),"-","")))=(LEN(SUBSTITUTE(SUBSTITUTE(SUBSTITUTE(E19," ",""),"0",""),"-",""))+LEN(SUBSTITUTE(SUBSTITUTE(SUBSTITUTE(F19," ",""),"0",""),"-",""))))),0,(LEN(SUBSTITUTE(SUBSTITUTE(SUBSTITUTE(E19," ",""),"0",""),"-",""))+LEN(SUBSTITUTE(SUBSTITUTE(SUBSTITUTE(F19," ",""),"0",""),"-",""))&gt;LEN(SUBSTITUTE(SUBSTITUTE(SUBSTITUTE(B19," ",""),"0",""),"-",""))+LEN(SUBSTITUTE(SUBSTITUTE(SUBSTITUTE(C19," ",""),"0",""),"-","")))*1),0)+IF(OR(COUNTA(B24,C24,E24,F24)&gt;0,OR(D24="X",D24="x")),IF(OR(D24="X",D24="x",AND(OR(COUNTA(B24,C24,E24,F24)&gt;0,OR(D24="X",D24="x")),(LEN(SUBSTITUTE(SUBSTITUTE(SUBSTITUTE(B24," ",""),"0",""),"-",""))+LEN(SUBSTITUTE(SUBSTITUTE(SUBSTITUTE(C24," ",""),"0",""),"-","")))=(LEN(SUBSTITUTE(SUBSTITUTE(SUBSTITUTE(E24," ",""),"0",""),"-",""))+LEN(SUBSTITUTE(SUBSTITUTE(SUBSTITUTE(F24," ",""),"0",""),"-",""))))),0,(LEN(SUBSTITUTE(SUBSTITUTE(SUBSTITUTE(E24," ",""),"0",""),"-",""))+LEN(SUBSTITUTE(SUBSTITUTE(SUBSTITUTE(F24," ",""),"0",""),"-",""))&gt;LEN(SUBSTITUTE(SUBSTITUTE(SUBSTITUTE(B24," ",""),"0",""),"-",""))+LEN(SUBSTITUTE(SUBSTITUTE(SUBSTITUTE(C24," ",""),"0",""),"-","")))*1),0)+IF(OR(COUNTA(B28,C28,E28,F28)&gt;0,OR(D28="X",D28="x")),IF(OR(D28="X",D28="x",AND(OR(COUNTA(B28,C28,E28,F28)&gt;0,OR(D28="X",D28="x")),(LEN(SUBSTITUTE(SUBSTITUTE(SUBSTITUTE(B28," ",""),"0",""),"-",""))+LEN(SUBSTITUTE(SUBSTITUTE(SUBSTITUTE(C28," ",""),"0",""),"-","")))=(LEN(SUBSTITUTE(SUBSTITUTE(SUBSTITUTE(E28," ",""),"0",""),"-",""))+LEN(SUBSTITUTE(SUBSTITUTE(SUBSTITUTE(F28," ",""),"0",""),"-",""))))),0,(LEN(SUBSTITUTE(SUBSTITUTE(SUBSTITUTE(E28," ",""),"0",""),"-",""))+LEN(SUBSTITUTE(SUBSTITUTE(SUBSTITUTE(F28," ",""),"0",""),"-",""))&gt;LEN(SUBSTITUTE(SUBSTITUTE(SUBSTITUTE(B28," ",""),"0",""),"-",""))+LEN(SUBSTITUTE(SUBSTITUTE(SUBSTITUTE(C28," ",""),"0",""),"-","")))*1),0)</f>
      </c>
      <c r="C36" s="14" t="str">
        <f>IF(OR(COUNTA(B5,C5,E5,F5)&gt;0,OR(D5="X",D5="x")),IF(OR(D5="X",D5="x",AND(OR(COUNTA(B5,C5,E5,F5)&gt;0,OR(D5="X",D5="x")),(LEN(SUBSTITUTE(SUBSTITUTE(SUBSTITUTE(B5," ",""),"0",""),"-",""))+LEN(SUBSTITUTE(SUBSTITUTE(SUBSTITUTE(C5," ",""),"0",""),"-","")))=(LEN(SUBSTITUTE(SUBSTITUTE(SUBSTITUTE(E5," ",""),"0",""),"-",""))+LEN(SUBSTITUTE(SUBSTITUTE(SUBSTITUTE(F5," ",""),"0",""),"-",""))))),0,(LEN(SUBSTITUTE(SUBSTITUTE(SUBSTITUTE(E5," ",""),"0",""),"-",""))+LEN(SUBSTITUTE(SUBSTITUTE(SUBSTITUTE(F5," ",""),"0",""),"-",""))&lt;LEN(SUBSTITUTE(SUBSTITUTE(SUBSTITUTE(B5," ",""),"0",""),"-",""))+LEN(SUBSTITUTE(SUBSTITUTE(SUBSTITUTE(C5," ",""),"0",""),"-","")))*1),0)+IF(OR(COUNTA(B6,C6,E6,F6)&gt;0,OR(D6="X",D6="x")),IF(OR(D6="X",D6="x",AND(OR(COUNTA(B6,C6,E6,F6)&gt;0,OR(D6="X",D6="x")),(LEN(SUBSTITUTE(SUBSTITUTE(SUBSTITUTE(B6," ",""),"0",""),"-",""))+LEN(SUBSTITUTE(SUBSTITUTE(SUBSTITUTE(C6," ",""),"0",""),"-","")))=(LEN(SUBSTITUTE(SUBSTITUTE(SUBSTITUTE(E6," ",""),"0",""),"-",""))+LEN(SUBSTITUTE(SUBSTITUTE(SUBSTITUTE(F6," ",""),"0",""),"-",""))))),0,(LEN(SUBSTITUTE(SUBSTITUTE(SUBSTITUTE(E6," ",""),"0",""),"-",""))+LEN(SUBSTITUTE(SUBSTITUTE(SUBSTITUTE(F6," ",""),"0",""),"-",""))&lt;LEN(SUBSTITUTE(SUBSTITUTE(SUBSTITUTE(B6," ",""),"0",""),"-",""))+LEN(SUBSTITUTE(SUBSTITUTE(SUBSTITUTE(C6," ",""),"0",""),"-","")))*1),0)+IF(OR(COUNTA(B11,C11,E11,F11)&gt;0,OR(D11="X",D11="x")),IF(OR(D11="X",D11="x",AND(OR(COUNTA(B11,C11,E11,F11)&gt;0,OR(D11="X",D11="x")),(LEN(SUBSTITUTE(SUBSTITUTE(SUBSTITUTE(B11," ",""),"0",""),"-",""))+LEN(SUBSTITUTE(SUBSTITUTE(SUBSTITUTE(C11," ",""),"0",""),"-","")))=(LEN(SUBSTITUTE(SUBSTITUTE(SUBSTITUTE(E11," ",""),"0",""),"-",""))+LEN(SUBSTITUTE(SUBSTITUTE(SUBSTITUTE(F11," ",""),"0",""),"-",""))))),0,(LEN(SUBSTITUTE(SUBSTITUTE(SUBSTITUTE(B11," ",""),"0",""),"-",""))+LEN(SUBSTITUTE(SUBSTITUTE(SUBSTITUTE(C11," ",""),"0",""),"-",""))&lt;LEN(SUBSTITUTE(SUBSTITUTE(SUBSTITUTE(E11," ",""),"0",""),"-",""))+LEN(SUBSTITUTE(SUBSTITUTE(SUBSTITUTE(F11," ",""),"0",""),"-","")))*1),0)+IF(OR(COUNTA(B13,C13,E13,F13)&gt;0,OR(D13="X",D13="x")),IF(OR(D13="X",D13="x",AND(OR(COUNTA(B13,C13,E13,F13)&gt;0,OR(D13="X",D13="x")),(LEN(SUBSTITUTE(SUBSTITUTE(SUBSTITUTE(B13," ",""),"0",""),"-",""))+LEN(SUBSTITUTE(SUBSTITUTE(SUBSTITUTE(C13," ",""),"0",""),"-","")))=(LEN(SUBSTITUTE(SUBSTITUTE(SUBSTITUTE(E13," ",""),"0",""),"-",""))+LEN(SUBSTITUTE(SUBSTITUTE(SUBSTITUTE(F13," ",""),"0",""),"-",""))))),0,(LEN(SUBSTITUTE(SUBSTITUTE(SUBSTITUTE(E13," ",""),"0",""),"-",""))+LEN(SUBSTITUTE(SUBSTITUTE(SUBSTITUTE(F13," ",""),"0",""),"-",""))&lt;LEN(SUBSTITUTE(SUBSTITUTE(SUBSTITUTE(B13," ",""),"0",""),"-",""))+LEN(SUBSTITUTE(SUBSTITUTE(SUBSTITUTE(C13," ",""),"0",""),"-","")))*1),0)+IF(OR(COUNTA(B19,C19,E19,F19)&gt;0,OR(D19="X",D19="x")),IF(OR(D19="X",D19="x",AND(OR(COUNTA(B19,C19,E19,F19)&gt;0,OR(D19="X",D19="x")),(LEN(SUBSTITUTE(SUBSTITUTE(SUBSTITUTE(B19," ",""),"0",""),"-",""))+LEN(SUBSTITUTE(SUBSTITUTE(SUBSTITUTE(C19," ",""),"0",""),"-","")))=(LEN(SUBSTITUTE(SUBSTITUTE(SUBSTITUTE(E19," ",""),"0",""),"-",""))+LEN(SUBSTITUTE(SUBSTITUTE(SUBSTITUTE(F19," ",""),"0",""),"-",""))))),0,(LEN(SUBSTITUTE(SUBSTITUTE(SUBSTITUTE(E19," ",""),"0",""),"-",""))+LEN(SUBSTITUTE(SUBSTITUTE(SUBSTITUTE(F19," ",""),"0",""),"-",""))&lt;LEN(SUBSTITUTE(SUBSTITUTE(SUBSTITUTE(B19," ",""),"0",""),"-",""))+LEN(SUBSTITUTE(SUBSTITUTE(SUBSTITUTE(C19," ",""),"0",""),"-","")))*1),0)+IF(OR(COUNTA(B24,C24,E24,F24)&gt;0,OR(D24="X",D24="x")),IF(OR(D24="X",D24="x",AND(OR(COUNTA(B24,C24,E24,F24)&gt;0,OR(D24="X",D24="x")),(LEN(SUBSTITUTE(SUBSTITUTE(SUBSTITUTE(B24," ",""),"0",""),"-",""))+LEN(SUBSTITUTE(SUBSTITUTE(SUBSTITUTE(C24," ",""),"0",""),"-","")))=(LEN(SUBSTITUTE(SUBSTITUTE(SUBSTITUTE(E24," ",""),"0",""),"-",""))+LEN(SUBSTITUTE(SUBSTITUTE(SUBSTITUTE(F24," ",""),"0",""),"-",""))))),0,(LEN(SUBSTITUTE(SUBSTITUTE(SUBSTITUTE(E24," ",""),"0",""),"-",""))+LEN(SUBSTITUTE(SUBSTITUTE(SUBSTITUTE(F24," ",""),"0",""),"-",""))&lt;LEN(SUBSTITUTE(SUBSTITUTE(SUBSTITUTE(B24," ",""),"0",""),"-",""))+LEN(SUBSTITUTE(SUBSTITUTE(SUBSTITUTE(C24," ",""),"0",""),"-","")))*1),0)+IF(OR(COUNTA(B28,C28,E28,F28)&gt;0,OR(D28="X",D28="x")),IF(OR(D28="X",D28="x",AND(OR(COUNTA(B28,C28,E28,F28)&gt;0,OR(D28="X",D28="x")),(LEN(SUBSTITUTE(SUBSTITUTE(SUBSTITUTE(B28," ",""),"0",""),"-",""))+LEN(SUBSTITUTE(SUBSTITUTE(SUBSTITUTE(C28," ",""),"0",""),"-","")))=(LEN(SUBSTITUTE(SUBSTITUTE(SUBSTITUTE(E28," ",""),"0",""),"-",""))+LEN(SUBSTITUTE(SUBSTITUTE(SUBSTITUTE(F28," ",""),"0",""),"-",""))))),0,(LEN(SUBSTITUTE(SUBSTITUTE(SUBSTITUTE(E28," ",""),"0",""),"-",""))+LEN(SUBSTITUTE(SUBSTITUTE(SUBSTITUTE(F28," ",""),"0",""),"-",""))&lt;LEN(SUBSTITUTE(SUBSTITUTE(SUBSTITUTE(B28," ",""),"0",""),"-",""))+LEN(SUBSTITUTE(SUBSTITUTE(SUBSTITUTE(C28," ",""),"0",""),"-","")))*1),0)</f>
      </c>
      <c r="D36" s="14" t="str">
        <f>IF(OR(COUNTA(B5,C5,E5,F5)&gt;0,OR(D5="X",D5="x")),IF(OR(D5="X",D5="x",AND(OR(COUNTA(B5,C5,E5,F5)&gt;0,OR(D5="X",D5="x")),(LEN(SUBSTITUTE(SUBSTITUTE(SUBSTITUTE(B5," ",""),"0",""),"-",""))+LEN(SUBSTITUTE(SUBSTITUTE(SUBSTITUTE(C5," ",""),"0",""),"-","")))=(LEN(SUBSTITUTE(SUBSTITUTE(SUBSTITUTE(E5," ",""),"0",""),"-",""))+LEN(SUBSTITUTE(SUBSTITUTE(SUBSTITUTE(F5," ",""),"0",""),"-",""))))),1,0),0)+IF(OR(COUNTA(B6,C6,E6,F6)&gt;0,OR(D6="X",D6="x")),IF(OR(D6="X",D6="x",AND(OR(COUNTA(B6,C6,E6,F6)&gt;0,OR(D6="X",D6="x")),(LEN(SUBSTITUTE(SUBSTITUTE(SUBSTITUTE(B6," ",""),"0",""),"-",""))+LEN(SUBSTITUTE(SUBSTITUTE(SUBSTITUTE(C6," ",""),"0",""),"-","")))=(LEN(SUBSTITUTE(SUBSTITUTE(SUBSTITUTE(E6," ",""),"0",""),"-",""))+LEN(SUBSTITUTE(SUBSTITUTE(SUBSTITUTE(F6," ",""),"0",""),"-",""))))),1,0),0)+IF(OR(COUNTA(B11,C11,E11,F11)&gt;0,OR(D11="X",D11="x")),IF(OR(D11="X",D11="x",AND(OR(COUNTA(B11,C11,E11,F11)&gt;0,OR(D11="X",D11="x")),(LEN(SUBSTITUTE(SUBSTITUTE(SUBSTITUTE(B11," ",""),"0",""),"-",""))+LEN(SUBSTITUTE(SUBSTITUTE(SUBSTITUTE(C11," ",""),"0",""),"-","")))=(LEN(SUBSTITUTE(SUBSTITUTE(SUBSTITUTE(E11," ",""),"0",""),"-",""))+LEN(SUBSTITUTE(SUBSTITUTE(SUBSTITUTE(F11," ",""),"0",""),"-",""))))),1,0),0)+IF(OR(COUNTA(B13,C13,E13,F13)&gt;0,OR(D13="X",D13="x")),IF(OR(D13="X",D13="x",AND(OR(COUNTA(B13,C13,E13,F13)&gt;0,OR(D13="X",D13="x")),(LEN(SUBSTITUTE(SUBSTITUTE(SUBSTITUTE(B13," ",""),"0",""),"-",""))+LEN(SUBSTITUTE(SUBSTITUTE(SUBSTITUTE(C13," ",""),"0",""),"-","")))=(LEN(SUBSTITUTE(SUBSTITUTE(SUBSTITUTE(E13," ",""),"0",""),"-",""))+LEN(SUBSTITUTE(SUBSTITUTE(SUBSTITUTE(F13," ",""),"0",""),"-",""))))),1,0),0)+IF(OR(COUNTA(B19,C19,E19,F19)&gt;0,OR(D19="X",D19="x")),IF(OR(D19="X",D19="x",AND(OR(COUNTA(B19,C19,E19,F19)&gt;0,OR(D19="X",D19="x")),(LEN(SUBSTITUTE(SUBSTITUTE(SUBSTITUTE(B19," ",""),"0",""),"-",""))+LEN(SUBSTITUTE(SUBSTITUTE(SUBSTITUTE(C19," ",""),"0",""),"-","")))=(LEN(SUBSTITUTE(SUBSTITUTE(SUBSTITUTE(E19," ",""),"0",""),"-",""))+LEN(SUBSTITUTE(SUBSTITUTE(SUBSTITUTE(F19," ",""),"0",""),"-",""))))),1,0),0)+IF(OR(COUNTA(B24,C24,E24,F24)&gt;0,OR(D24="X",D24="x")),IF(OR(D24="X",D24="x",AND(OR(COUNTA(B24,C24,E24,F24)&gt;0,OR(D24="X",D24="x")),(LEN(SUBSTITUTE(SUBSTITUTE(SUBSTITUTE(B24," ",""),"0",""),"-",""))+LEN(SUBSTITUTE(SUBSTITUTE(SUBSTITUTE(C24," ",""),"0",""),"-","")))=(LEN(SUBSTITUTE(SUBSTITUTE(SUBSTITUTE(E24," ",""),"0",""),"-",""))+LEN(SUBSTITUTE(SUBSTITUTE(SUBSTITUTE(F24," ",""),"0",""),"-",""))))),1,0),0)+IF(OR(COUNTA(B28,C28,E28,F28)&gt;0,OR(D28="X",D28="x")),IF(OR(D28="X",D28="x",AND(OR(COUNTA(B28,C28,E28,F28)&gt;0,OR(D28="X",D28="x")),(LEN(SUBSTITUTE(SUBSTITUTE(SUBSTITUTE(B28," ",""),"0",""),"-",""))+LEN(SUBSTITUTE(SUBSTITUTE(SUBSTITUTE(C28," ",""),"0",""),"-","")))=(LEN(SUBSTITUTE(SUBSTITUTE(SUBSTITUTE(E28," ",""),"0",""),"-",""))+LEN(SUBSTITUTE(SUBSTITUTE(SUBSTITUTE(F28," ",""),"0",""),"-",""))))),1,0),0)</f>
      </c>
      <c r="E36" s="14" t="str">
        <f>LEN(SUBSTITUTE(SUBSTITUTE(SUBSTITUTE(E5," ",""),"0",""),"-",""))+LEN(SUBSTITUTE(SUBSTITUTE(SUBSTITUTE(F5," ",""),"0",""),"-",""))+LEN(SUBSTITUTE(SUBSTITUTE(SUBSTITUTE(E6," ",""),"0",""),"-",""))+LEN(SUBSTITUTE(SUBSTITUTE(SUBSTITUTE(F6," ",""),"0",""),"-",""))+LEN(SUBSTITUTE(SUBSTITUTE(SUBSTITUTE(B11," ",""),"0",""),"-",""))+LEN(SUBSTITUTE(SUBSTITUTE(SUBSTITUTE(C11," ",""),"0",""),"-",""))+LEN(SUBSTITUTE(SUBSTITUTE(SUBSTITUTE(E13," ",""),"0",""),"-",""))+LEN(SUBSTITUTE(SUBSTITUTE(SUBSTITUTE(F13," ",""),"0",""),"-",""))+LEN(SUBSTITUTE(SUBSTITUTE(SUBSTITUTE(E19," ",""),"0",""),"-",""))+LEN(SUBSTITUTE(SUBSTITUTE(SUBSTITUTE(F19," ",""),"0",""),"-",""))+LEN(SUBSTITUTE(SUBSTITUTE(SUBSTITUTE(E24," ",""),"0",""),"-",""))+LEN(SUBSTITUTE(SUBSTITUTE(SUBSTITUTE(F24," ",""),"0",""),"-",""))+LEN(SUBSTITUTE(SUBSTITUTE(SUBSTITUTE(E28," ",""),"0",""),"-",""))+LEN(SUBSTITUTE(SUBSTITUTE(SUBSTITUTE(F28," ",""),"0",""),"-",""))</f>
      </c>
      <c r="F36" s="14" t="str">
        <f>LEN(SUBSTITUTE(SUBSTITUTE(SUBSTITUTE(B5," ",""),"0",""),"-",""))+LEN(SUBSTITUTE(SUBSTITUTE(SUBSTITUTE(C5," ",""),"0",""),"-",""))+LEN(SUBSTITUTE(SUBSTITUTE(SUBSTITUTE(B6," ",""),"0",""),"-",""))+LEN(SUBSTITUTE(SUBSTITUTE(SUBSTITUTE(C6," ",""),"0",""),"-",""))+LEN(SUBSTITUTE(SUBSTITUTE(SUBSTITUTE(E11," ",""),"0",""),"-",""))+LEN(SUBSTITUTE(SUBSTITUTE(SUBSTITUTE(F11," ",""),"0",""),"-",""))+LEN(SUBSTITUTE(SUBSTITUTE(SUBSTITUTE(B13," ",""),"0",""),"-",""))+LEN(SUBSTITUTE(SUBSTITUTE(SUBSTITUTE(C13," ",""),"0",""),"-",""))+LEN(SUBSTITUTE(SUBSTITUTE(SUBSTITUTE(B19," ",""),"0",""),"-",""))+LEN(SUBSTITUTE(SUBSTITUTE(SUBSTITUTE(C19," ",""),"0",""),"-",""))+LEN(SUBSTITUTE(SUBSTITUTE(SUBSTITUTE(B24," ",""),"0",""),"-",""))+LEN(SUBSTITUTE(SUBSTITUTE(SUBSTITUTE(C24," ",""),"0",""),"-",""))+LEN(SUBSTITUTE(SUBSTITUTE(SUBSTITUTE(B28," ",""),"0",""),"-",""))+LEN(SUBSTITUTE(SUBSTITUTE(SUBSTITUTE(C28," ",""),"0",""),"-",""))</f>
      </c>
      <c r="G36" s="18" t="str">
        <f>RANK(U36,$U$34:$U$41)+COUNTIF($U$33:U35,U36)</f>
      </c>
      <c r="U36" t="str">
        <f>(B36*1000000)-(C36*10000)+(D36*100)+(E36*1)-(F36*0.01)</f>
      </c>
    </row>
    <row r="37">
      <c r="A37" s="14" t="str">
        <f>data!$D$6&amp;" "&amp;data!$B$6</f>
      </c>
      <c r="B37" s="14" t="str">
        <f>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",""),"0",""),"-",""))&gt;LEN(SUBSTITUTE(SUBSTITUTE(SUBSTITUTE(E6," ",""),"0",""),"-",""))+LEN(SUBSTITUTE(SUBSTITUTE(SUBSTITUTE(F6," ",""),"0",""),"-","")))*1),0)+IF(OR(COUNTA(B7,C7,E7,F7)&gt;0,OR(D7="X",D7="x")),IF(OR(D7="X",D7="x",AND(OR(COUNTA(B7,C7,E7,F7)&gt;0,OR(D7="X",D7="x")),(LEN(SUBSTITUTE(SUBSTITUTE(SUBSTITUTE(B7," ",""),"0",""),"-",""))+LEN(SUBSTITUTE(SUBSTITUTE(SUBSTITUTE(C7," ",""),"0",""),"-","")))=(LEN(SUBSTITUTE(SUBSTITUTE(SUBSTITUTE(E7," ",""),"0",""),"-",""))+LEN(SUBSTITUTE(SUBSTITUTE(SUBSTITUTE(F7," ",""),"0",""),"-",""))))),0,(LEN(SUBSTITUTE(SUBSTITUTE(SUBSTITUTE(B7," ",""),"0",""),"-",""))+LEN(SUBSTITUTE(SUBSTITUTE(SUBSTITUTE(C7," ",""),"0",""),"-",""))&gt;LEN(SUBSTITUTE(SUBSTITUTE(SUBSTITUTE(E7," ",""),"0",""),"-",""))+LEN(SUBSTITUTE(SUBSTITUTE(SUBSTITUTE(F7," ",""),"0",""),"-","")))*1),0)+IF(OR(COUNTA(B12,C12,E12,F12)&gt;0,OR(D12="X",D12="x")),IF(OR(D12="X",D12="x",AND(OR(COUNTA(B12,C12,E12,F12)&gt;0,OR(D12="X",D12="x")),(LEN(SUBSTITUTE(SUBSTITUTE(SUBSTITUTE(B12," ",""),"0",""),"-",""))+LEN(SUBSTITUTE(SUBSTITUTE(SUBSTITUTE(C12," ",""),"0",""),"-","")))=(LEN(SUBSTITUTE(SUBSTITUTE(SUBSTITUTE(E12," ",""),"0",""),"-",""))+LEN(SUBSTITUTE(SUBSTITUTE(SUBSTITUTE(F12," ",""),"0",""),"-",""))))),0,(LEN(SUBSTITUTE(SUBSTITUTE(SUBSTITUTE(B12," ",""),"0",""),"-",""))+LEN(SUBSTITUTE(SUBSTITUTE(SUBSTITUTE(C12," ",""),"0",""),"-",""))&gt;LEN(SUBSTITUTE(SUBSTITUTE(SUBSTITUTE(E12," ",""),"0",""),"-",""))+LEN(SUBSTITUTE(SUBSTITUTE(SUBSTITUTE(F12," ",""),"0",""),"-","")))*1),0)+IF(OR(COUNTA(B14,C14,E14,F14)&gt;0,OR(D14="X",D14="x")),IF(OR(D14="X",D14="x",AND(OR(COUNTA(B14,C14,E14,F14)&gt;0,OR(D14="X",D14="x")),(LEN(SUBSTITUTE(SUBSTITUTE(SUBSTITUTE(B14," ",""),"0",""),"-",""))+LEN(SUBSTITUTE(SUBSTITUTE(SUBSTITUTE(C14," ",""),"0",""),"-","")))=(LEN(SUBSTITUTE(SUBSTITUTE(SUBSTITUTE(E14," ",""),"0",""),"-",""))+LEN(SUBSTITUTE(SUBSTITUTE(SUBSTITUTE(F14," ",""),"0",""),"-",""))))),0,(LEN(SUBSTITUTE(SUBSTITUTE(SUBSTITUTE(E14," ",""),"0",""),"-",""))+LEN(SUBSTITUTE(SUBSTITUTE(SUBSTITUTE(F14," ",""),"0",""),"-",""))&gt;LEN(SUBSTITUTE(SUBSTITUTE(SUBSTITUTE(B14," ",""),"0",""),"-",""))+LEN(SUBSTITUTE(SUBSTITUTE(SUBSTITUTE(C14," ",""),"0",""),"-","")))*1),0)+IF(OR(COUNTA(B17,C17,E17,F17)&gt;0,OR(D17="X",D17="x")),IF(OR(D17="X",D17="x",AND(OR(COUNTA(B17,C17,E17,F17)&gt;0,OR(D17="X",D17="x")),(LEN(SUBSTITUTE(SUBSTITUTE(SUBSTITUTE(B17," ",""),"0",""),"-",""))+LEN(SUBSTITUTE(SUBSTITUTE(SUBSTITUTE(C17," ",""),"0",""),"-","")))=(LEN(SUBSTITUTE(SUBSTITUTE(SUBSTITUTE(E17," ",""),"0",""),"-",""))+LEN(SUBSTITUTE(SUBSTITUTE(SUBSTITUTE(F17," ",""),"0",""),"-",""))))),0,(LEN(SUBSTITUTE(SUBSTITUTE(SUBSTITUTE(B17," ",""),"0",""),"-",""))+LEN(SUBSTITUTE(SUBSTITUTE(SUBSTITUTE(C17," ",""),"0",""),"-",""))&gt;LEN(SUBSTITUTE(SUBSTITUTE(SUBSTITUTE(E17," ",""),"0",""),"-",""))+LEN(SUBSTITUTE(SUBSTITUTE(SUBSTITUTE(F17," ",""),"0",""),"-","")))*1),0)+IF(OR(COUNTA(B20,C20,E20,F20)&gt;0,OR(D20="X",D20="x")),IF(OR(D20="X",D20="x",AND(OR(COUNTA(B20,C20,E20,F20)&gt;0,OR(D20="X",D20="x")),(LEN(SUBSTITUTE(SUBSTITUTE(SUBSTITUTE(B20," ",""),"0",""),"-",""))+LEN(SUBSTITUTE(SUBSTITUTE(SUBSTITUTE(C20," ",""),"0",""),"-","")))=(LEN(SUBSTITUTE(SUBSTITUTE(SUBSTITUTE(E20," ",""),"0",""),"-",""))+LEN(SUBSTITUTE(SUBSTITUTE(SUBSTITUTE(F20," ",""),"0",""),"-",""))))),0,(LEN(SUBSTITUTE(SUBSTITUTE(SUBSTITUTE(E20," ",""),"0",""),"-",""))+LEN(SUBSTITUTE(SUBSTITUTE(SUBSTITUTE(F20," ",""),"0",""),"-",""))&gt;LEN(SUBSTITUTE(SUBSTITUTE(SUBSTITUTE(B20," ",""),"0",""),"-",""))+LEN(SUBSTITUTE(SUBSTITUTE(SUBSTITUTE(C20," ",""),"0",""),"-","")))*1),0)+IF(OR(COUNTA(B25,C25,E25,F25)&gt;0,OR(D25="X",D25="x")),IF(OR(D25="X",D25="x",AND(OR(COUNTA(B25,C25,E25,F25)&gt;0,OR(D25="X",D25="x")),(LEN(SUBSTITUTE(SUBSTITUTE(SUBSTITUTE(B25," ",""),"0",""),"-",""))+LEN(SUBSTITUTE(SUBSTITUTE(SUBSTITUTE(C25," ",""),"0",""),"-","")))=(LEN(SUBSTITUTE(SUBSTITUTE(SUBSTITUTE(E25," ",""),"0",""),"-",""))+LEN(SUBSTITUTE(SUBSTITUTE(SUBSTITUTE(F25," ",""),"0",""),"-",""))))),0,(LEN(SUBSTITUTE(SUBSTITUTE(SUBSTITUTE(E25," ",""),"0",""),"-",""))+LEN(SUBSTITUTE(SUBSTITUTE(SUBSTITUTE(F25," ",""),"0",""),"-",""))&gt;LEN(SUBSTITUTE(SUBSTITUTE(SUBSTITUTE(B25," ",""),"0",""),"-",""))+LEN(SUBSTITUTE(SUBSTITUTE(SUBSTITUTE(C25," ",""),"0",""),"-","")))*1),0)</f>
      </c>
      <c r="C37" s="14" t="str">
        <f>IF(OR(COUNTA(B6,C6,E6,F6)&gt;0,OR(D6="X",D6="x")),IF(OR(D6="X",D6="x",AND(OR(COUNTA(B6,C6,E6,F6)&gt;0,OR(D6="X",D6="x")),(LEN(SUBSTITUTE(SUBSTITUTE(SUBSTITUTE(B6," ",""),"0",""),"-",""))+LEN(SUBSTITUTE(SUBSTITUTE(SUBSTITUTE(C6," ",""),"0",""),"-","")))=(LEN(SUBSTITUTE(SUBSTITUTE(SUBSTITUTE(E6," ",""),"0",""),"-",""))+LEN(SUBSTITUTE(SUBSTITUTE(SUBSTITUTE(F6," ",""),"0",""),"-",""))))),0,(LEN(SUBSTITUTE(SUBSTITUTE(SUBSTITUTE(B6," ",""),"0",""),"-",""))+LEN(SUBSTITUTE(SUBSTITUTE(SUBSTITUTE(C6," ",""),"0",""),"-",""))&lt;LEN(SUBSTITUTE(SUBSTITUTE(SUBSTITUTE(E6," ",""),"0",""),"-",""))+LEN(SUBSTITUTE(SUBSTITUTE(SUBSTITUTE(F6," ",""),"0",""),"-","")))*1),0)+IF(OR(COUNTA(B7,C7,E7,F7)&gt;0,OR(D7="X",D7="x")),IF(OR(D7="X",D7="x",AND(OR(COUNTA(B7,C7,E7,F7)&gt;0,OR(D7="X",D7="x")),(LEN(SUBSTITUTE(SUBSTITUTE(SUBSTITUTE(B7," ",""),"0",""),"-",""))+LEN(SUBSTITUTE(SUBSTITUTE(SUBSTITUTE(C7," ",""),"0",""),"-","")))=(LEN(SUBSTITUTE(SUBSTITUTE(SUBSTITUTE(E7," ",""),"0",""),"-",""))+LEN(SUBSTITUTE(SUBSTITUTE(SUBSTITUTE(F7," ",""),"0",""),"-",""))))),0,(LEN(SUBSTITUTE(SUBSTITUTE(SUBSTITUTE(B7," ",""),"0",""),"-",""))+LEN(SUBSTITUTE(SUBSTITUTE(SUBSTITUTE(C7," ",""),"0",""),"-",""))&lt;LEN(SUBSTITUTE(SUBSTITUTE(SUBSTITUTE(E7," ",""),"0",""),"-",""))+LEN(SUBSTITUTE(SUBSTITUTE(SUBSTITUTE(F7," ",""),"0",""),"-","")))*1),0)+IF(OR(COUNTA(B12,C12,E12,F12)&gt;0,OR(D12="X",D12="x")),IF(OR(D12="X",D12="x",AND(OR(COUNTA(B12,C12,E12,F12)&gt;0,OR(D12="X",D12="x")),(LEN(SUBSTITUTE(SUBSTITUTE(SUBSTITUTE(B12," ",""),"0",""),"-",""))+LEN(SUBSTITUTE(SUBSTITUTE(SUBSTITUTE(C12," ",""),"0",""),"-","")))=(LEN(SUBSTITUTE(SUBSTITUTE(SUBSTITUTE(E12," ",""),"0",""),"-",""))+LEN(SUBSTITUTE(SUBSTITUTE(SUBSTITUTE(F12," ",""),"0",""),"-",""))))),0,(LEN(SUBSTITUTE(SUBSTITUTE(SUBSTITUTE(B12," ",""),"0",""),"-",""))+LEN(SUBSTITUTE(SUBSTITUTE(SUBSTITUTE(C12," ",""),"0",""),"-",""))&lt;LEN(SUBSTITUTE(SUBSTITUTE(SUBSTITUTE(E12," ",""),"0",""),"-",""))+LEN(SUBSTITUTE(SUBSTITUTE(SUBSTITUTE(F12," ",""),"0",""),"-","")))*1),0)+IF(OR(COUNTA(B14,C14,E14,F14)&gt;0,OR(D14="X",D14="x")),IF(OR(D14="X",D14="x",AND(OR(COUNTA(B14,C14,E14,F14)&gt;0,OR(D14="X",D14="x")),(LEN(SUBSTITUTE(SUBSTITUTE(SUBSTITUTE(B14," ",""),"0",""),"-",""))+LEN(SUBSTITUTE(SUBSTITUTE(SUBSTITUTE(C14," ",""),"0",""),"-","")))=(LEN(SUBSTITUTE(SUBSTITUTE(SUBSTITUTE(E14," ",""),"0",""),"-",""))+LEN(SUBSTITUTE(SUBSTITUTE(SUBSTITUTE(F14," ",""),"0",""),"-",""))))),0,(LEN(SUBSTITUTE(SUBSTITUTE(SUBSTITUTE(E14," ",""),"0",""),"-",""))+LEN(SUBSTITUTE(SUBSTITUTE(SUBSTITUTE(F14," ",""),"0",""),"-",""))&lt;LEN(SUBSTITUTE(SUBSTITUTE(SUBSTITUTE(B14," ",""),"0",""),"-",""))+LEN(SUBSTITUTE(SUBSTITUTE(SUBSTITUTE(C14," ",""),"0",""),"-","")))*1),0)+IF(OR(COUNTA(B17,C17,E17,F17)&gt;0,OR(D17="X",D17="x")),IF(OR(D17="X",D17="x",AND(OR(COUNTA(B17,C17,E17,F17)&gt;0,OR(D17="X",D17="x")),(LEN(SUBSTITUTE(SUBSTITUTE(SUBSTITUTE(B17," ",""),"0",""),"-",""))+LEN(SUBSTITUTE(SUBSTITUTE(SUBSTITUTE(C17," ",""),"0",""),"-","")))=(LEN(SUBSTITUTE(SUBSTITUTE(SUBSTITUTE(E17," ",""),"0",""),"-",""))+LEN(SUBSTITUTE(SUBSTITUTE(SUBSTITUTE(F17," ",""),"0",""),"-",""))))),0,(LEN(SUBSTITUTE(SUBSTITUTE(SUBSTITUTE(B17," ",""),"0",""),"-",""))+LEN(SUBSTITUTE(SUBSTITUTE(SUBSTITUTE(C17," ",""),"0",""),"-",""))&lt;LEN(SUBSTITUTE(SUBSTITUTE(SUBSTITUTE(E17," ",""),"0",""),"-",""))+LEN(SUBSTITUTE(SUBSTITUTE(SUBSTITUTE(F17," ",""),"0",""),"-","")))*1),0)+IF(OR(COUNTA(B20,C20,E20,F20)&gt;0,OR(D20="X",D20="x")),IF(OR(D20="X",D20="x",AND(OR(COUNTA(B20,C20,E20,F20)&gt;0,OR(D20="X",D20="x")),(LEN(SUBSTITUTE(SUBSTITUTE(SUBSTITUTE(B20," ",""),"0",""),"-",""))+LEN(SUBSTITUTE(SUBSTITUTE(SUBSTITUTE(C20," ",""),"0",""),"-","")))=(LEN(SUBSTITUTE(SUBSTITUTE(SUBSTITUTE(E20," ",""),"0",""),"-",""))+LEN(SUBSTITUTE(SUBSTITUTE(SUBSTITUTE(F20," ",""),"0",""),"-",""))))),0,(LEN(SUBSTITUTE(SUBSTITUTE(SUBSTITUTE(E20," ",""),"0",""),"-",""))+LEN(SUBSTITUTE(SUBSTITUTE(SUBSTITUTE(F20," ",""),"0",""),"-",""))&lt;LEN(SUBSTITUTE(SUBSTITUTE(SUBSTITUTE(B20," ",""),"0",""),"-",""))+LEN(SUBSTITUTE(SUBSTITUTE(SUBSTITUTE(C20," ",""),"0",""),"-","")))*1),0)+IF(OR(COUNTA(B25,C25,E25,F25)&gt;0,OR(D25="X",D25="x")),IF(OR(D25="X",D25="x",AND(OR(COUNTA(B25,C25,E25,F25)&gt;0,OR(D25="X",D25="x")),(LEN(SUBSTITUTE(SUBSTITUTE(SUBSTITUTE(B25," ",""),"0",""),"-",""))+LEN(SUBSTITUTE(SUBSTITUTE(SUBSTITUTE(C25," ",""),"0",""),"-","")))=(LEN(SUBSTITUTE(SUBSTITUTE(SUBSTITUTE(E25," ",""),"0",""),"-",""))+LEN(SUBSTITUTE(SUBSTITUTE(SUBSTITUTE(F25," ",""),"0",""),"-",""))))),0,(LEN(SUBSTITUTE(SUBSTITUTE(SUBSTITUTE(E25," ",""),"0",""),"-",""))+LEN(SUBSTITUTE(SUBSTITUTE(SUBSTITUTE(F25," ",""),"0",""),"-",""))&lt;LEN(SUBSTITUTE(SUBSTITUTE(SUBSTITUTE(B25," ",""),"0",""),"-",""))+LEN(SUBSTITUTE(SUBSTITUTE(SUBSTITUTE(C25," ",""),"0",""),"-","")))*1),0)</f>
      </c>
      <c r="D37" s="14" t="str">
        <f>IF(OR(COUNTA(B6,C6,E6,F6)&gt;0,OR(D6="X",D6="x")),IF(OR(D6="X",D6="x",AND(OR(COUNTA(B6,C6,E6,F6)&gt;0,OR(D6="X",D6="x")),(LEN(SUBSTITUTE(SUBSTITUTE(SUBSTITUTE(B6," ",""),"0",""),"-",""))+LEN(SUBSTITUTE(SUBSTITUTE(SUBSTITUTE(C6," ",""),"0",""),"-","")))=(LEN(SUBSTITUTE(SUBSTITUTE(SUBSTITUTE(E6," ",""),"0",""),"-",""))+LEN(SUBSTITUTE(SUBSTITUTE(SUBSTITUTE(F6," ",""),"0",""),"-",""))))),1,0),0)+IF(OR(COUNTA(B7,C7,E7,F7)&gt;0,OR(D7="X",D7="x")),IF(OR(D7="X",D7="x",AND(OR(COUNTA(B7,C7,E7,F7)&gt;0,OR(D7="X",D7="x")),(LEN(SUBSTITUTE(SUBSTITUTE(SUBSTITUTE(B7," ",""),"0",""),"-",""))+LEN(SUBSTITUTE(SUBSTITUTE(SUBSTITUTE(C7," ",""),"0",""),"-","")))=(LEN(SUBSTITUTE(SUBSTITUTE(SUBSTITUTE(E7," ",""),"0",""),"-",""))+LEN(SUBSTITUTE(SUBSTITUTE(SUBSTITUTE(F7," ",""),"0",""),"-",""))))),1,0),0)+IF(OR(COUNTA(B12,C12,E12,F12)&gt;0,OR(D12="X",D12="x")),IF(OR(D12="X",D12="x",AND(OR(COUNTA(B12,C12,E12,F12)&gt;0,OR(D12="X",D12="x")),(LEN(SUBSTITUTE(SUBSTITUTE(SUBSTITUTE(B12," ",""),"0",""),"-",""))+LEN(SUBSTITUTE(SUBSTITUTE(SUBSTITUTE(C12," ",""),"0",""),"-","")))=(LEN(SUBSTITUTE(SUBSTITUTE(SUBSTITUTE(E12," ",""),"0",""),"-",""))+LEN(SUBSTITUTE(SUBSTITUTE(SUBSTITUTE(F12," ",""),"0",""),"-",""))))),1,0),0)+IF(OR(COUNTA(B14,C14,E14,F14)&gt;0,OR(D14="X",D14="x")),IF(OR(D14="X",D14="x",AND(OR(COUNTA(B14,C14,E14,F14)&gt;0,OR(D14="X",D14="x")),(LEN(SUBSTITUTE(SUBSTITUTE(SUBSTITUTE(B14," ",""),"0",""),"-",""))+LEN(SUBSTITUTE(SUBSTITUTE(SUBSTITUTE(C14," ",""),"0",""),"-","")))=(LEN(SUBSTITUTE(SUBSTITUTE(SUBSTITUTE(E14," ",""),"0",""),"-",""))+LEN(SUBSTITUTE(SUBSTITUTE(SUBSTITUTE(F14," ",""),"0",""),"-",""))))),1,0),0)+IF(OR(COUNTA(B17,C17,E17,F17)&gt;0,OR(D17="X",D17="x")),IF(OR(D17="X",D17="x",AND(OR(COUNTA(B17,C17,E17,F17)&gt;0,OR(D17="X",D17="x")),(LEN(SUBSTITUTE(SUBSTITUTE(SUBSTITUTE(B17," ",""),"0",""),"-",""))+LEN(SUBSTITUTE(SUBSTITUTE(SUBSTITUTE(C17," ",""),"0",""),"-","")))=(LEN(SUBSTITUTE(SUBSTITUTE(SUBSTITUTE(E17," ",""),"0",""),"-",""))+LEN(SUBSTITUTE(SUBSTITUTE(SUBSTITUTE(F17," ",""),"0",""),"-",""))))),1,0),0)+IF(OR(COUNTA(B20,C20,E20,F20)&gt;0,OR(D20="X",D20="x")),IF(OR(D20="X",D20="x",AND(OR(COUNTA(B20,C20,E20,F20)&gt;0,OR(D20="X",D20="x")),(LEN(SUBSTITUTE(SUBSTITUTE(SUBSTITUTE(B20," ",""),"0",""),"-",""))+LEN(SUBSTITUTE(SUBSTITUTE(SUBSTITUTE(C20," ",""),"0",""),"-","")))=(LEN(SUBSTITUTE(SUBSTITUTE(SUBSTITUTE(E20," ",""),"0",""),"-",""))+LEN(SUBSTITUTE(SUBSTITUTE(SUBSTITUTE(F20," ",""),"0",""),"-",""))))),1,0),0)+IF(OR(COUNTA(B25,C25,E25,F25)&gt;0,OR(D25="X",D25="x")),IF(OR(D25="X",D25="x",AND(OR(COUNTA(B25,C25,E25,F25)&gt;0,OR(D25="X",D25="x")),(LEN(SUBSTITUTE(SUBSTITUTE(SUBSTITUTE(B25," ",""),"0",""),"-",""))+LEN(SUBSTITUTE(SUBSTITUTE(SUBSTITUTE(C25," ",""),"0",""),"-","")))=(LEN(SUBSTITUTE(SUBSTITUTE(SUBSTITUTE(E25," ",""),"0",""),"-",""))+LEN(SUBSTITUTE(SUBSTITUTE(SUBSTITUTE(F25," ",""),"0",""),"-",""))))),1,0),0)</f>
      </c>
      <c r="E37" s="14" t="str">
        <f>LEN(SUBSTITUTE(SUBSTITUTE(SUBSTITUTE(B6," ",""),"0",""),"-",""))+LEN(SUBSTITUTE(SUBSTITUTE(SUBSTITUTE(C6," ",""),"0",""),"-",""))+LEN(SUBSTITUTE(SUBSTITUTE(SUBSTITUTE(B7," ",""),"0",""),"-",""))+LEN(SUBSTITUTE(SUBSTITUTE(SUBSTITUTE(C7," ",""),"0",""),"-",""))+LEN(SUBSTITUTE(SUBSTITUTE(SUBSTITUTE(B12," ",""),"0",""),"-",""))+LEN(SUBSTITUTE(SUBSTITUTE(SUBSTITUTE(C12," ",""),"0",""),"-",""))+LEN(SUBSTITUTE(SUBSTITUTE(SUBSTITUTE(E14," ",""),"0",""),"-",""))+LEN(SUBSTITUTE(SUBSTITUTE(SUBSTITUTE(F14," ",""),"0",""),"-",""))+LEN(SUBSTITUTE(SUBSTITUTE(SUBSTITUTE(B17," ",""),"0",""),"-",""))+LEN(SUBSTITUTE(SUBSTITUTE(SUBSTITUTE(C17," ",""),"0",""),"-",""))+LEN(SUBSTITUTE(SUBSTITUTE(SUBSTITUTE(E20," ",""),"0",""),"-",""))+LEN(SUBSTITUTE(SUBSTITUTE(SUBSTITUTE(F20," ",""),"0",""),"-",""))+LEN(SUBSTITUTE(SUBSTITUTE(SUBSTITUTE(E25," ",""),"0",""),"-",""))+LEN(SUBSTITUTE(SUBSTITUTE(SUBSTITUTE(F25," ",""),"0",""),"-",""))</f>
      </c>
      <c r="F37" s="14" t="str">
        <f>LEN(SUBSTITUTE(SUBSTITUTE(SUBSTITUTE(E6," ",""),"0",""),"-",""))+LEN(SUBSTITUTE(SUBSTITUTE(SUBSTITUTE(F6," ",""),"0",""),"-",""))+LEN(SUBSTITUTE(SUBSTITUTE(SUBSTITUTE(E7," ",""),"0",""),"-",""))+LEN(SUBSTITUTE(SUBSTITUTE(SUBSTITUTE(F7," ",""),"0",""),"-",""))+LEN(SUBSTITUTE(SUBSTITUTE(SUBSTITUTE(E12," ",""),"0",""),"-",""))+LEN(SUBSTITUTE(SUBSTITUTE(SUBSTITUTE(F12," ",""),"0",""),"-",""))+LEN(SUBSTITUTE(SUBSTITUTE(SUBSTITUTE(B14," ",""),"0",""),"-",""))+LEN(SUBSTITUTE(SUBSTITUTE(SUBSTITUTE(C14," ",""),"0",""),"-",""))+LEN(SUBSTITUTE(SUBSTITUTE(SUBSTITUTE(E17," ",""),"0",""),"-",""))+LEN(SUBSTITUTE(SUBSTITUTE(SUBSTITUTE(F17," ",""),"0",""),"-",""))+LEN(SUBSTITUTE(SUBSTITUTE(SUBSTITUTE(B20," ",""),"0",""),"-",""))+LEN(SUBSTITUTE(SUBSTITUTE(SUBSTITUTE(C20," ",""),"0",""),"-",""))+LEN(SUBSTITUTE(SUBSTITUTE(SUBSTITUTE(B25," ",""),"0",""),"-",""))+LEN(SUBSTITUTE(SUBSTITUTE(SUBSTITUTE(C25," ",""),"0",""),"-",""))</f>
      </c>
      <c r="G37" s="18" t="str">
        <f>RANK(U37,$U$34:$U$41)+COUNTIF($U$33:U36,U37)</f>
      </c>
      <c r="U37" t="str">
        <f>(B37*1000000)-(C37*10000)+(D37*100)+(E37*1)-(F37*0.01)</f>
      </c>
    </row>
    <row r="38">
      <c r="A38" s="14" t="str">
        <f>data!$D$7&amp;" "&amp;data!$B$7</f>
      </c>
      <c r="B38" s="14" t="str">
        <f>IF(OR(COUNTA(B7,C7,E7,F7)&gt;0,OR(D7="X",D7="x")),IF(OR(D7="X",D7="x",AND(OR(COUNTA(B7,C7,E7,F7)&gt;0,OR(D7="X",D7="x")),(LEN(SUBSTITUTE(SUBSTITUTE(SUBSTITUTE(B7," ",""),"0",""),"-",""))+LEN(SUBSTITUTE(SUBSTITUTE(SUBSTITUTE(C7," ",""),"0",""),"-","")))=(LEN(SUBSTITUTE(SUBSTITUTE(SUBSTITUTE(E7," ",""),"0",""),"-",""))+LEN(SUBSTITUTE(SUBSTITUTE(SUBSTITUTE(F7," ",""),"0",""),"-",""))))),0,(LEN(SUBSTITUTE(SUBSTITUTE(SUBSTITUTE(E7," ",""),"0",""),"-",""))+LEN(SUBSTITUTE(SUBSTITUTE(SUBSTITUTE(F7," ",""),"0",""),"-",""))&gt;LEN(SUBSTITUTE(SUBSTITUTE(SUBSTITUTE(B7," ",""),"0",""),"-",""))+LEN(SUBSTITUTE(SUBSTITUTE(SUBSTITUTE(C7," ",""),"0",""),"-","")))*1),0)+IF(OR(COUNTA(B8,C8,E8,F8)&gt;0,OR(D8="X",D8="x")),IF(OR(D8="X",D8="x",AND(OR(COUNTA(B8,C8,E8,F8)&gt;0,OR(D8="X",D8="x")),(LEN(SUBSTITUTE(SUBSTITUTE(SUBSTITUTE(B8," ",""),"0",""),"-",""))+LEN(SUBSTITUTE(SUBSTITUTE(SUBSTITUTE(C8," ",""),"0",""),"-","")))=(LEN(SUBSTITUTE(SUBSTITUTE(SUBSTITUTE(E8," ",""),"0",""),"-",""))+LEN(SUBSTITUTE(SUBSTITUTE(SUBSTITUTE(F8," ",""),"0",""),"-",""))))),0,(LEN(SUBSTITUTE(SUBSTITUTE(SUBSTITUTE(E8," ",""),"0",""),"-",""))+LEN(SUBSTITUTE(SUBSTITUTE(SUBSTITUTE(F8," ",""),"0",""),"-",""))&gt;LEN(SUBSTITUTE(SUBSTITUTE(SUBSTITUTE(B8," ",""),"0",""),"-",""))+LEN(SUBSTITUTE(SUBSTITUTE(SUBSTITUTE(C8," ",""),"0",""),"-","")))*1),0)+IF(OR(COUNTA(B13,C13,E13,F13)&gt;0,OR(D13="X",D13="x")),IF(OR(D13="X",D13="x",AND(OR(COUNTA(B13,C13,E13,F13)&gt;0,OR(D13="X",D13="x")),(LEN(SUBSTITUTE(SUBSTITUTE(SUBSTITUTE(B13," ",""),"0",""),"-",""))+LEN(SUBSTITUTE(SUBSTITUTE(SUBSTITUTE(C13," ",""),"0",""),"-","")))=(LEN(SUBSTITUTE(SUBSTITUTE(SUBSTITUTE(E13," ",""),"0",""),"-",""))+LEN(SUBSTITUTE(SUBSTITUTE(SUBSTITUTE(F13," ",""),"0",""),"-",""))))),0,(LEN(SUBSTITUTE(SUBSTITUTE(SUBSTITUTE(B13," ",""),"0",""),"-",""))+LEN(SUBSTITUTE(SUBSTITUTE(SUBSTITUTE(C13," ",""),"0",""),"-",""))&gt;LEN(SUBSTITUTE(SUBSTITUTE(SUBSTITUTE(E13," ",""),"0",""),"-",""))+LEN(SUBSTITUTE(SUBSTITUTE(SUBSTITUTE(F13," ",""),"0",""),"-","")))*1),0)+IF(OR(COUNTA(B15,C15,E15,F15)&gt;0,OR(D15="X",D15="x")),IF(OR(D15="X",D15="x",AND(OR(COUNTA(B15,C15,E15,F15)&gt;0,OR(D15="X",D15="x")),(LEN(SUBSTITUTE(SUBSTITUTE(SUBSTITUTE(B15," ",""),"0",""),"-",""))+LEN(SUBSTITUTE(SUBSTITUTE(SUBSTITUTE(C15," ",""),"0",""),"-","")))=(LEN(SUBSTITUTE(SUBSTITUTE(SUBSTITUTE(E15," ",""),"0",""),"-",""))+LEN(SUBSTITUTE(SUBSTITUTE(SUBSTITUTE(F15," ",""),"0",""),"-",""))))),0,(LEN(SUBSTITUTE(SUBSTITUTE(SUBSTITUTE(E15," ",""),"0",""),"-",""))+LEN(SUBSTITUTE(SUBSTITUTE(SUBSTITUTE(F15," ",""),"0",""),"-",""))&gt;LEN(SUBSTITUTE(SUBSTITUTE(SUBSTITUTE(B15," ",""),"0",""),"-",""))+LEN(SUBSTITUTE(SUBSTITUTE(SUBSTITUTE(C15," ",""),"0",""),"-","")))*1),0)+IF(OR(COUNTA(B18,C18,E18,F18)&gt;0,OR(D18="X",D18="x")),IF(OR(D18="X",D18="x",AND(OR(COUNTA(B18,C18,E18,F18)&gt;0,OR(D18="X",D18="x")),(LEN(SUBSTITUTE(SUBSTITUTE(SUBSTITUTE(B18," ",""),"0",""),"-",""))+LEN(SUBSTITUTE(SUBSTITUTE(SUBSTITUTE(C18," ",""),"0",""),"-","")))=(LEN(SUBSTITUTE(SUBSTITUTE(SUBSTITUTE(E18," ",""),"0",""),"-",""))+LEN(SUBSTITUTE(SUBSTITUTE(SUBSTITUTE(F18," ",""),"0",""),"-",""))))),0,(LEN(SUBSTITUTE(SUBSTITUTE(SUBSTITUTE(B18," ",""),"0",""),"-",""))+LEN(SUBSTITUTE(SUBSTITUTE(SUBSTITUTE(C18," ",""),"0",""),"-",""))&gt;LEN(SUBSTITUTE(SUBSTITUTE(SUBSTITUTE(E18," ",""),"0",""),"-",""))+LEN(SUBSTITUTE(SUBSTITUTE(SUBSTITUTE(F18," ",""),"0",""),"-","")))*1),0)+IF(OR(COUNTA(B21,C21,E21,F21)&gt;0,OR(D21="X",D21="x")),IF(OR(D21="X",D21="x",AND(OR(COUNTA(B21,C21,E21,F21)&gt;0,OR(D21="X",D21="x")),(LEN(SUBSTITUTE(SUBSTITUTE(SUBSTITUTE(B21," ",""),"0",""),"-",""))+LEN(SUBSTITUTE(SUBSTITUTE(SUBSTITUTE(C21," ",""),"0",""),"-","")))=(LEN(SUBSTITUTE(SUBSTITUTE(SUBSTITUTE(E21," ",""),"0",""),"-",""))+LEN(SUBSTITUTE(SUBSTITUTE(SUBSTITUTE(F21," ",""),"0",""),"-",""))))),0,(LEN(SUBSTITUTE(SUBSTITUTE(SUBSTITUTE(E21," ",""),"0",""),"-",""))+LEN(SUBSTITUTE(SUBSTITUTE(SUBSTITUTE(F21," ",""),"0",""),"-",""))&gt;LEN(SUBSTITUTE(SUBSTITUTE(SUBSTITUTE(B21," ",""),"0",""),"-",""))+LEN(SUBSTITUTE(SUBSTITUTE(SUBSTITUTE(C21," ",""),"0",""),"-","")))*1),0)+IF(OR(COUNTA(B22,C22,E22,F22)&gt;0,OR(D22="X",D22="x")),IF(OR(D22="X",D22="x",AND(OR(COUNTA(B22,C22,E22,F22)&gt;0,OR(D22="X",D22="x")),(LEN(SUBSTITUTE(SUBSTITUTE(SUBSTITUTE(B22," ",""),"0",""),"-",""))+LEN(SUBSTITUTE(SUBSTITUTE(SUBSTITUTE(C22," ",""),"0",""),"-","")))=(LEN(SUBSTITUTE(SUBSTITUTE(SUBSTITUTE(E22," ",""),"0",""),"-",""))+LEN(SUBSTITUTE(SUBSTITUTE(SUBSTITUTE(F22," ",""),"0",""),"-",""))))),0,(LEN(SUBSTITUTE(SUBSTITUTE(SUBSTITUTE(E22," ",""),"0",""),"-",""))+LEN(SUBSTITUTE(SUBSTITUTE(SUBSTITUTE(F22," ",""),"0",""),"-",""))&gt;LEN(SUBSTITUTE(SUBSTITUTE(SUBSTITUTE(B22," ",""),"0",""),"-",""))+LEN(SUBSTITUTE(SUBSTITUTE(SUBSTITUTE(C22," ",""),"0",""),"-","")))*1),0)</f>
      </c>
      <c r="C38" s="14" t="str">
        <f>IF(OR(COUNTA(B7,C7,E7,F7)&gt;0,OR(D7="X",D7="x")),IF(OR(D7="X",D7="x",AND(OR(COUNTA(B7,C7,E7,F7)&gt;0,OR(D7="X",D7="x")),(LEN(SUBSTITUTE(SUBSTITUTE(SUBSTITUTE(B7," ",""),"0",""),"-",""))+LEN(SUBSTITUTE(SUBSTITUTE(SUBSTITUTE(C7," ",""),"0",""),"-","")))=(LEN(SUBSTITUTE(SUBSTITUTE(SUBSTITUTE(E7," ",""),"0",""),"-",""))+LEN(SUBSTITUTE(SUBSTITUTE(SUBSTITUTE(F7," ",""),"0",""),"-",""))))),0,(LEN(SUBSTITUTE(SUBSTITUTE(SUBSTITUTE(E7," ",""),"0",""),"-",""))+LEN(SUBSTITUTE(SUBSTITUTE(SUBSTITUTE(F7," ",""),"0",""),"-",""))&lt;LEN(SUBSTITUTE(SUBSTITUTE(SUBSTITUTE(B7," ",""),"0",""),"-",""))+LEN(SUBSTITUTE(SUBSTITUTE(SUBSTITUTE(C7," ",""),"0",""),"-","")))*1),0)+IF(OR(COUNTA(B8,C8,E8,F8)&gt;0,OR(D8="X",D8="x")),IF(OR(D8="X",D8="x",AND(OR(COUNTA(B8,C8,E8,F8)&gt;0,OR(D8="X",D8="x")),(LEN(SUBSTITUTE(SUBSTITUTE(SUBSTITUTE(B8," ",""),"0",""),"-",""))+LEN(SUBSTITUTE(SUBSTITUTE(SUBSTITUTE(C8," ",""),"0",""),"-","")))=(LEN(SUBSTITUTE(SUBSTITUTE(SUBSTITUTE(E8," ",""),"0",""),"-",""))+LEN(SUBSTITUTE(SUBSTITUTE(SUBSTITUTE(F8," ",""),"0",""),"-",""))))),0,(LEN(SUBSTITUTE(SUBSTITUTE(SUBSTITUTE(E8," ",""),"0",""),"-",""))+LEN(SUBSTITUTE(SUBSTITUTE(SUBSTITUTE(F8," ",""),"0",""),"-",""))&lt;LEN(SUBSTITUTE(SUBSTITUTE(SUBSTITUTE(B8," ",""),"0",""),"-",""))+LEN(SUBSTITUTE(SUBSTITUTE(SUBSTITUTE(C8," ",""),"0",""),"-","")))*1),0)+IF(OR(COUNTA(B13,C13,E13,F13)&gt;0,OR(D13="X",D13="x")),IF(OR(D13="X",D13="x",AND(OR(COUNTA(B13,C13,E13,F13)&gt;0,OR(D13="X",D13="x")),(LEN(SUBSTITUTE(SUBSTITUTE(SUBSTITUTE(B13," ",""),"0",""),"-",""))+LEN(SUBSTITUTE(SUBSTITUTE(SUBSTITUTE(C13," ",""),"0",""),"-","")))=(LEN(SUBSTITUTE(SUBSTITUTE(SUBSTITUTE(E13," ",""),"0",""),"-",""))+LEN(SUBSTITUTE(SUBSTITUTE(SUBSTITUTE(F13," ",""),"0",""),"-",""))))),0,(LEN(SUBSTITUTE(SUBSTITUTE(SUBSTITUTE(B13," ",""),"0",""),"-",""))+LEN(SUBSTITUTE(SUBSTITUTE(SUBSTITUTE(C13," ",""),"0",""),"-",""))&lt;LEN(SUBSTITUTE(SUBSTITUTE(SUBSTITUTE(E13," ",""),"0",""),"-",""))+LEN(SUBSTITUTE(SUBSTITUTE(SUBSTITUTE(F13," ",""),"0",""),"-","")))*1),0)+IF(OR(COUNTA(B15,C15,E15,F15)&gt;0,OR(D15="X",D15="x")),IF(OR(D15="X",D15="x",AND(OR(COUNTA(B15,C15,E15,F15)&gt;0,OR(D15="X",D15="x")),(LEN(SUBSTITUTE(SUBSTITUTE(SUBSTITUTE(B15," ",""),"0",""),"-",""))+LEN(SUBSTITUTE(SUBSTITUTE(SUBSTITUTE(C15," ",""),"0",""),"-","")))=(LEN(SUBSTITUTE(SUBSTITUTE(SUBSTITUTE(E15," ",""),"0",""),"-",""))+LEN(SUBSTITUTE(SUBSTITUTE(SUBSTITUTE(F15," ",""),"0",""),"-",""))))),0,(LEN(SUBSTITUTE(SUBSTITUTE(SUBSTITUTE(E15," ",""),"0",""),"-",""))+LEN(SUBSTITUTE(SUBSTITUTE(SUBSTITUTE(F15," ",""),"0",""),"-",""))&lt;LEN(SUBSTITUTE(SUBSTITUTE(SUBSTITUTE(B15," ",""),"0",""),"-",""))+LEN(SUBSTITUTE(SUBSTITUTE(SUBSTITUTE(C15," ",""),"0",""),"-","")))*1),0)+IF(OR(COUNTA(B18,C18,E18,F18)&gt;0,OR(D18="X",D18="x")),IF(OR(D18="X",D18="x",AND(OR(COUNTA(B18,C18,E18,F18)&gt;0,OR(D18="X",D18="x")),(LEN(SUBSTITUTE(SUBSTITUTE(SUBSTITUTE(B18," ",""),"0",""),"-",""))+LEN(SUBSTITUTE(SUBSTITUTE(SUBSTITUTE(C18," ",""),"0",""),"-","")))=(LEN(SUBSTITUTE(SUBSTITUTE(SUBSTITUTE(E18," ",""),"0",""),"-",""))+LEN(SUBSTITUTE(SUBSTITUTE(SUBSTITUTE(F18," ",""),"0",""),"-",""))))),0,(LEN(SUBSTITUTE(SUBSTITUTE(SUBSTITUTE(B18," ",""),"0",""),"-",""))+LEN(SUBSTITUTE(SUBSTITUTE(SUBSTITUTE(C18," ",""),"0",""),"-",""))&lt;LEN(SUBSTITUTE(SUBSTITUTE(SUBSTITUTE(E18," ",""),"0",""),"-",""))+LEN(SUBSTITUTE(SUBSTITUTE(SUBSTITUTE(F18," ",""),"0",""),"-","")))*1),0)+IF(OR(COUNTA(B21,C21,E21,F21)&gt;0,OR(D21="X",D21="x")),IF(OR(D21="X",D21="x",AND(OR(COUNTA(B21,C21,E21,F21)&gt;0,OR(D21="X",D21="x")),(LEN(SUBSTITUTE(SUBSTITUTE(SUBSTITUTE(B21," ",""),"0",""),"-",""))+LEN(SUBSTITUTE(SUBSTITUTE(SUBSTITUTE(C21," ",""),"0",""),"-","")))=(LEN(SUBSTITUTE(SUBSTITUTE(SUBSTITUTE(E21," ",""),"0",""),"-",""))+LEN(SUBSTITUTE(SUBSTITUTE(SUBSTITUTE(F21," ",""),"0",""),"-",""))))),0,(LEN(SUBSTITUTE(SUBSTITUTE(SUBSTITUTE(E21," ",""),"0",""),"-",""))+LEN(SUBSTITUTE(SUBSTITUTE(SUBSTITUTE(F21," ",""),"0",""),"-",""))&lt;LEN(SUBSTITUTE(SUBSTITUTE(SUBSTITUTE(B21," ",""),"0",""),"-",""))+LEN(SUBSTITUTE(SUBSTITUTE(SUBSTITUTE(C21," ",""),"0",""),"-","")))*1),0)+IF(OR(COUNTA(B22,C22,E22,F22)&gt;0,OR(D22="X",D22="x")),IF(OR(D22="X",D22="x",AND(OR(COUNTA(B22,C22,E22,F22)&gt;0,OR(D22="X",D22="x")),(LEN(SUBSTITUTE(SUBSTITUTE(SUBSTITUTE(B22," ",""),"0",""),"-",""))+LEN(SUBSTITUTE(SUBSTITUTE(SUBSTITUTE(C22," ",""),"0",""),"-","")))=(LEN(SUBSTITUTE(SUBSTITUTE(SUBSTITUTE(E22," ",""),"0",""),"-",""))+LEN(SUBSTITUTE(SUBSTITUTE(SUBSTITUTE(F22," ",""),"0",""),"-",""))))),0,(LEN(SUBSTITUTE(SUBSTITUTE(SUBSTITUTE(E22," ",""),"0",""),"-",""))+LEN(SUBSTITUTE(SUBSTITUTE(SUBSTITUTE(F22," ",""),"0",""),"-",""))&lt;LEN(SUBSTITUTE(SUBSTITUTE(SUBSTITUTE(B22," ",""),"0",""),"-",""))+LEN(SUBSTITUTE(SUBSTITUTE(SUBSTITUTE(C22," ",""),"0",""),"-","")))*1),0)</f>
      </c>
      <c r="D38" s="14" t="str">
        <f>IF(OR(COUNTA(B7,C7,E7,F7)&gt;0,OR(D7="X",D7="x")),IF(OR(D7="X",D7="x",AND(OR(COUNTA(B7,C7,E7,F7)&gt;0,OR(D7="X",D7="x")),(LEN(SUBSTITUTE(SUBSTITUTE(SUBSTITUTE(B7," ",""),"0",""),"-",""))+LEN(SUBSTITUTE(SUBSTITUTE(SUBSTITUTE(C7," ",""),"0",""),"-","")))=(LEN(SUBSTITUTE(SUBSTITUTE(SUBSTITUTE(E7," ",""),"0",""),"-",""))+LEN(SUBSTITUTE(SUBSTITUTE(SUBSTITUTE(F7," ",""),"0",""),"-",""))))),1,0),0)+IF(OR(COUNTA(B8,C8,E8,F8)&gt;0,OR(D8="X",D8="x")),IF(OR(D8="X",D8="x",AND(OR(COUNTA(B8,C8,E8,F8)&gt;0,OR(D8="X",D8="x")),(LEN(SUBSTITUTE(SUBSTITUTE(SUBSTITUTE(B8," ",""),"0",""),"-",""))+LEN(SUBSTITUTE(SUBSTITUTE(SUBSTITUTE(C8," ",""),"0",""),"-","")))=(LEN(SUBSTITUTE(SUBSTITUTE(SUBSTITUTE(E8," ",""),"0",""),"-",""))+LEN(SUBSTITUTE(SUBSTITUTE(SUBSTITUTE(F8," ",""),"0",""),"-",""))))),1,0),0)+IF(OR(COUNTA(B13,C13,E13,F13)&gt;0,OR(D13="X",D13="x")),IF(OR(D13="X",D13="x",AND(OR(COUNTA(B13,C13,E13,F13)&gt;0,OR(D13="X",D13="x")),(LEN(SUBSTITUTE(SUBSTITUTE(SUBSTITUTE(B13," ",""),"0",""),"-",""))+LEN(SUBSTITUTE(SUBSTITUTE(SUBSTITUTE(C13," ",""),"0",""),"-","")))=(LEN(SUBSTITUTE(SUBSTITUTE(SUBSTITUTE(E13," ",""),"0",""),"-",""))+LEN(SUBSTITUTE(SUBSTITUTE(SUBSTITUTE(F13," ",""),"0",""),"-",""))))),1,0),0)+IF(OR(COUNTA(B15,C15,E15,F15)&gt;0,OR(D15="X",D15="x")),IF(OR(D15="X",D15="x",AND(OR(COUNTA(B15,C15,E15,F15)&gt;0,OR(D15="X",D15="x")),(LEN(SUBSTITUTE(SUBSTITUTE(SUBSTITUTE(B15," ",""),"0",""),"-",""))+LEN(SUBSTITUTE(SUBSTITUTE(SUBSTITUTE(C15," ",""),"0",""),"-","")))=(LEN(SUBSTITUTE(SUBSTITUTE(SUBSTITUTE(E15," ",""),"0",""),"-",""))+LEN(SUBSTITUTE(SUBSTITUTE(SUBSTITUTE(F15," ",""),"0",""),"-",""))))),1,0),0)+IF(OR(COUNTA(B18,C18,E18,F18)&gt;0,OR(D18="X",D18="x")),IF(OR(D18="X",D18="x",AND(OR(COUNTA(B18,C18,E18,F18)&gt;0,OR(D18="X",D18="x")),(LEN(SUBSTITUTE(SUBSTITUTE(SUBSTITUTE(B18," ",""),"0",""),"-",""))+LEN(SUBSTITUTE(SUBSTITUTE(SUBSTITUTE(C18," ",""),"0",""),"-","")))=(LEN(SUBSTITUTE(SUBSTITUTE(SUBSTITUTE(E18," ",""),"0",""),"-",""))+LEN(SUBSTITUTE(SUBSTITUTE(SUBSTITUTE(F18," ",""),"0",""),"-",""))))),1,0),0)+IF(OR(COUNTA(B21,C21,E21,F21)&gt;0,OR(D21="X",D21="x")),IF(OR(D21="X",D21="x",AND(OR(COUNTA(B21,C21,E21,F21)&gt;0,OR(D21="X",D21="x")),(LEN(SUBSTITUTE(SUBSTITUTE(SUBSTITUTE(B21," ",""),"0",""),"-",""))+LEN(SUBSTITUTE(SUBSTITUTE(SUBSTITUTE(C21," ",""),"0",""),"-","")))=(LEN(SUBSTITUTE(SUBSTITUTE(SUBSTITUTE(E21," ",""),"0",""),"-",""))+LEN(SUBSTITUTE(SUBSTITUTE(SUBSTITUTE(F21," ",""),"0",""),"-",""))))),1,0),0)+IF(OR(COUNTA(B22,C22,E22,F22)&gt;0,OR(D22="X",D22="x")),IF(OR(D22="X",D22="x",AND(OR(COUNTA(B22,C22,E22,F22)&gt;0,OR(D22="X",D22="x")),(LEN(SUBSTITUTE(SUBSTITUTE(SUBSTITUTE(B22," ",""),"0",""),"-",""))+LEN(SUBSTITUTE(SUBSTITUTE(SUBSTITUTE(C22," ",""),"0",""),"-","")))=(LEN(SUBSTITUTE(SUBSTITUTE(SUBSTITUTE(E22," ",""),"0",""),"-",""))+LEN(SUBSTITUTE(SUBSTITUTE(SUBSTITUTE(F22," ",""),"0",""),"-",""))))),1,0),0)</f>
      </c>
      <c r="E38" s="14" t="str">
        <f>LEN(SUBSTITUTE(SUBSTITUTE(SUBSTITUTE(E7," ",""),"0",""),"-",""))+LEN(SUBSTITUTE(SUBSTITUTE(SUBSTITUTE(F7," ",""),"0",""),"-",""))+LEN(SUBSTITUTE(SUBSTITUTE(SUBSTITUTE(E8," ",""),"0",""),"-",""))+LEN(SUBSTITUTE(SUBSTITUTE(SUBSTITUTE(F8," ",""),"0",""),"-",""))+LEN(SUBSTITUTE(SUBSTITUTE(SUBSTITUTE(B13," ",""),"0",""),"-",""))+LEN(SUBSTITUTE(SUBSTITUTE(SUBSTITUTE(C13," ",""),"0",""),"-",""))+LEN(SUBSTITUTE(SUBSTITUTE(SUBSTITUTE(E15," ",""),"0",""),"-",""))+LEN(SUBSTITUTE(SUBSTITUTE(SUBSTITUTE(F15," ",""),"0",""),"-",""))+LEN(SUBSTITUTE(SUBSTITUTE(SUBSTITUTE(B18," ",""),"0",""),"-",""))+LEN(SUBSTITUTE(SUBSTITUTE(SUBSTITUTE(C18," ",""),"0",""),"-",""))+LEN(SUBSTITUTE(SUBSTITUTE(SUBSTITUTE(E21," ",""),"0",""),"-",""))+LEN(SUBSTITUTE(SUBSTITUTE(SUBSTITUTE(F21," ",""),"0",""),"-",""))+LEN(SUBSTITUTE(SUBSTITUTE(SUBSTITUTE(E22," ",""),"0",""),"-",""))+LEN(SUBSTITUTE(SUBSTITUTE(SUBSTITUTE(F22," ",""),"0",""),"-",""))</f>
      </c>
      <c r="F38" s="14" t="str">
        <f>LEN(SUBSTITUTE(SUBSTITUTE(SUBSTITUTE(B7," ",""),"0",""),"-",""))+LEN(SUBSTITUTE(SUBSTITUTE(SUBSTITUTE(C7," ",""),"0",""),"-",""))+LEN(SUBSTITUTE(SUBSTITUTE(SUBSTITUTE(B8," ",""),"0",""),"-",""))+LEN(SUBSTITUTE(SUBSTITUTE(SUBSTITUTE(C8," ",""),"0",""),"-",""))+LEN(SUBSTITUTE(SUBSTITUTE(SUBSTITUTE(E13," ",""),"0",""),"-",""))+LEN(SUBSTITUTE(SUBSTITUTE(SUBSTITUTE(F13," ",""),"0",""),"-",""))+LEN(SUBSTITUTE(SUBSTITUTE(SUBSTITUTE(B15," ",""),"0",""),"-",""))+LEN(SUBSTITUTE(SUBSTITUTE(SUBSTITUTE(C15," ",""),"0",""),"-",""))+LEN(SUBSTITUTE(SUBSTITUTE(SUBSTITUTE(E18," ",""),"0",""),"-",""))+LEN(SUBSTITUTE(SUBSTITUTE(SUBSTITUTE(F18," ",""),"0",""),"-",""))+LEN(SUBSTITUTE(SUBSTITUTE(SUBSTITUTE(B21," ",""),"0",""),"-",""))+LEN(SUBSTITUTE(SUBSTITUTE(SUBSTITUTE(C21," ",""),"0",""),"-",""))+LEN(SUBSTITUTE(SUBSTITUTE(SUBSTITUTE(B22," ",""),"0",""),"-",""))+LEN(SUBSTITUTE(SUBSTITUTE(SUBSTITUTE(C22," ",""),"0",""),"-",""))</f>
      </c>
      <c r="G38" s="18" t="str">
        <f>RANK(U38,$U$34:$U$41)+COUNTIF($U$33:U37,U38)</f>
      </c>
      <c r="U38" t="str">
        <f>(B38*1000000)-(C38*10000)+(D38*100)+(E38*1)-(F38*0.01)</f>
      </c>
    </row>
    <row r="39">
      <c r="A39" s="14" t="str">
        <f>data!$D$8&amp;" "&amp;data!$B$8</f>
      </c>
      <c r="B39" s="14" t="str">
        <f>IF(OR(COUNTA(B8,C8,E8,F8)&gt;0,OR(D8="X",D8="x")),IF(OR(D8="X",D8="x",AND(OR(COUNTA(B8,C8,E8,F8)&gt;0,OR(D8="X",D8="x")),(LEN(SUBSTITUTE(SUBSTITUTE(SUBSTITUTE(B8," ",""),"0",""),"-",""))+LEN(SUBSTITUTE(SUBSTITUTE(SUBSTITUTE(C8," ",""),"0",""),"-","")))=(LEN(SUBSTITUTE(SUBSTITUTE(SUBSTITUTE(E8," ",""),"0",""),"-",""))+LEN(SUBSTITUTE(SUBSTITUTE(SUBSTITUTE(F8," ",""),"0",""),"-",""))))),0,(LEN(SUBSTITUTE(SUBSTITUTE(SUBSTITUTE(B8," ",""),"0",""),"-",""))+LEN(SUBSTITUTE(SUBSTITUTE(SUBSTITUTE(C8," ",""),"0",""),"-",""))&gt;LEN(SUBSTITUTE(SUBSTITUTE(SUBSTITUTE(E8," ",""),"0",""),"-",""))+LEN(SUBSTITUTE(SUBSTITUTE(SUBSTITUTE(F8," ",""),"0",""),"-","")))*1),0)+IF(OR(COUNTA(B9,C9,E9,F9)&gt;0,OR(D9="X",D9="x")),IF(OR(D9="X",D9="x",AND(OR(COUNTA(B9,C9,E9,F9)&gt;0,OR(D9="X",D9="x")),(LEN(SUBSTITUTE(SUBSTITUTE(SUBSTITUTE(B9," ",""),"0",""),"-",""))+LEN(SUBSTITUTE(SUBSTITUTE(SUBSTITUTE(C9," ",""),"0",""),"-","")))=(LEN(SUBSTITUTE(SUBSTITUTE(SUBSTITUTE(E9," ",""),"0",""),"-",""))+LEN(SUBSTITUTE(SUBSTITUTE(SUBSTITUTE(F9," ",""),"0",""),"-",""))))),0,(LEN(SUBSTITUTE(SUBSTITUTE(SUBSTITUTE(B9," ",""),"0",""),"-",""))+LEN(SUBSTITUTE(SUBSTITUTE(SUBSTITUTE(C9," ",""),"0",""),"-",""))&gt;LEN(SUBSTITUTE(SUBSTITUTE(SUBSTITUTE(E9," ",""),"0",""),"-",""))+LEN(SUBSTITUTE(SUBSTITUTE(SUBSTITUTE(F9," ",""),"0",""),"-","")))*1),0)+IF(OR(COUNTA(B14,C14,E14,F14)&gt;0,OR(D14="X",D14="x")),IF(OR(D14="X",D14="x",AND(OR(COUNTA(B14,C14,E14,F14)&gt;0,OR(D14="X",D14="x")),(LEN(SUBSTITUTE(SUBSTITUTE(SUBSTITUTE(B14," ",""),"0",""),"-",""))+LEN(SUBSTITUTE(SUBSTITUTE(SUBSTITUTE(C14," ",""),"0",""),"-","")))=(LEN(SUBSTITUTE(SUBSTITUTE(SUBSTITUTE(E14," ",""),"0",""),"-",""))+LEN(SUBSTITUTE(SUBSTITUTE(SUBSTITUTE(F14," ",""),"0",""),"-",""))))),0,(LEN(SUBSTITUTE(SUBSTITUTE(SUBSTITUTE(B14," ",""),"0",""),"-",""))+LEN(SUBSTITUTE(SUBSTITUTE(SUBSTITUTE(C14," ",""),"0",""),"-",""))&gt;LEN(SUBSTITUTE(SUBSTITUTE(SUBSTITUTE(E14," ",""),"0",""),"-",""))+LEN(SUBSTITUTE(SUBSTITUTE(SUBSTITUTE(F14," ",""),"0",""),"-","")))*1),0)+IF(OR(COUNTA(B16,C16,E16,F16)&gt;0,OR(D16="X",D16="x")),IF(OR(D16="X",D16="x",AND(OR(COUNTA(B16,C16,E16,F16)&gt;0,OR(D16="X",D16="x")),(LEN(SUBSTITUTE(SUBSTITUTE(SUBSTITUTE(B16," ",""),"0",""),"-",""))+LEN(SUBSTITUTE(SUBSTITUTE(SUBSTITUTE(C16," ",""),"0",""),"-","")))=(LEN(SUBSTITUTE(SUBSTITUTE(SUBSTITUTE(E16," ",""),"0",""),"-",""))+LEN(SUBSTITUTE(SUBSTITUTE(SUBSTITUTE(F16," ",""),"0",""),"-",""))))),0,(LEN(SUBSTITUTE(SUBSTITUTE(SUBSTITUTE(E16," ",""),"0",""),"-",""))+LEN(SUBSTITUTE(SUBSTITUTE(SUBSTITUTE(F16," ",""),"0",""),"-",""))&gt;LEN(SUBSTITUTE(SUBSTITUTE(SUBSTITUTE(B16," ",""),"0",""),"-",""))+LEN(SUBSTITUTE(SUBSTITUTE(SUBSTITUTE(C16," ",""),"0",""),"-","")))*1),0)+IF(OR(COUNTA(B19,C19,E19,F19)&gt;0,OR(D19="X",D19="x")),IF(OR(D19="X",D19="x",AND(OR(COUNTA(B19,C19,E19,F19)&gt;0,OR(D19="X",D19="x")),(LEN(SUBSTITUTE(SUBSTITUTE(SUBSTITUTE(B19," ",""),"0",""),"-",""))+LEN(SUBSTITUTE(SUBSTITUTE(SUBSTITUTE(C19," ",""),"0",""),"-","")))=(LEN(SUBSTITUTE(SUBSTITUTE(SUBSTITUTE(E19," ",""),"0",""),"-",""))+LEN(SUBSTITUTE(SUBSTITUTE(SUBSTITUTE(F19," ",""),"0",""),"-",""))))),0,(LEN(SUBSTITUTE(SUBSTITUTE(SUBSTITUTE(B19," ",""),"0",""),"-",""))+LEN(SUBSTITUTE(SUBSTITUTE(SUBSTITUTE(C19," ",""),"0",""),"-",""))&gt;LEN(SUBSTITUTE(SUBSTITUTE(SUBSTITUTE(E19," ",""),"0",""),"-",""))+LEN(SUBSTITUTE(SUBSTITUTE(SUBSTITUTE(F19," ",""),"0",""),"-","")))*1),0)+IF(OR(COUNTA(B23,C23,E23,F23)&gt;0,OR(D23="X",D23="x")),IF(OR(D23="X",D23="x",AND(OR(COUNTA(B23,C23,E23,F23)&gt;0,OR(D23="X",D23="x")),(LEN(SUBSTITUTE(SUBSTITUTE(SUBSTITUTE(B23," ",""),"0",""),"-",""))+LEN(SUBSTITUTE(SUBSTITUTE(SUBSTITUTE(C23," ",""),"0",""),"-","")))=(LEN(SUBSTITUTE(SUBSTITUTE(SUBSTITUTE(E23," ",""),"0",""),"-",""))+LEN(SUBSTITUTE(SUBSTITUTE(SUBSTITUTE(F23," ",""),"0",""),"-",""))))),0,(LEN(SUBSTITUTE(SUBSTITUTE(SUBSTITUTE(B23," ",""),"0",""),"-",""))+LEN(SUBSTITUTE(SUBSTITUTE(SUBSTITUTE(C23," ",""),"0",""),"-",""))&gt;LEN(SUBSTITUTE(SUBSTITUTE(SUBSTITUTE(E23," ",""),"0",""),"-",""))+LEN(SUBSTITUTE(SUBSTITUTE(SUBSTITUTE(F23," ",""),"0",""),"-","")))*1),0)+IF(OR(COUNTA(B26,C26,E26,F26)&gt;0,OR(D26="X",D26="x")),IF(OR(D26="X",D26="x",AND(OR(COUNTA(B26,C26,E26,F26)&gt;0,OR(D26="X",D26="x")),(LEN(SUBSTITUTE(SUBSTITUTE(SUBSTITUTE(B26," ",""),"0",""),"-",""))+LEN(SUBSTITUTE(SUBSTITUTE(SUBSTITUTE(C26," ",""),"0",""),"-","")))=(LEN(SUBSTITUTE(SUBSTITUTE(SUBSTITUTE(E26," ",""),"0",""),"-",""))+LEN(SUBSTITUTE(SUBSTITUTE(SUBSTITUTE(F26," ",""),"0",""),"-",""))))),0,(LEN(SUBSTITUTE(SUBSTITUTE(SUBSTITUTE(B26," ",""),"0",""),"-",""))+LEN(SUBSTITUTE(SUBSTITUTE(SUBSTITUTE(C26," ",""),"0",""),"-",""))&gt;LEN(SUBSTITUTE(SUBSTITUTE(SUBSTITUTE(E26," ",""),"0",""),"-",""))+LEN(SUBSTITUTE(SUBSTITUTE(SUBSTITUTE(F26," ",""),"0",""),"-","")))*1),0)</f>
      </c>
      <c r="C39" s="14" t="str">
        <f>IF(OR(COUNTA(B8,C8,E8,F8)&gt;0,OR(D8="X",D8="x")),IF(OR(D8="X",D8="x",AND(OR(COUNTA(B8,C8,E8,F8)&gt;0,OR(D8="X",D8="x")),(LEN(SUBSTITUTE(SUBSTITUTE(SUBSTITUTE(B8," ",""),"0",""),"-",""))+LEN(SUBSTITUTE(SUBSTITUTE(SUBSTITUTE(C8," ",""),"0",""),"-","")))=(LEN(SUBSTITUTE(SUBSTITUTE(SUBSTITUTE(E8," ",""),"0",""),"-",""))+LEN(SUBSTITUTE(SUBSTITUTE(SUBSTITUTE(F8," ",""),"0",""),"-",""))))),0,(LEN(SUBSTITUTE(SUBSTITUTE(SUBSTITUTE(B8," ",""),"0",""),"-",""))+LEN(SUBSTITUTE(SUBSTITUTE(SUBSTITUTE(C8," ",""),"0",""),"-",""))&lt;LEN(SUBSTITUTE(SUBSTITUTE(SUBSTITUTE(E8," ",""),"0",""),"-",""))+LEN(SUBSTITUTE(SUBSTITUTE(SUBSTITUTE(F8," ",""),"0",""),"-","")))*1),0)+IF(OR(COUNTA(B9,C9,E9,F9)&gt;0,OR(D9="X",D9="x")),IF(OR(D9="X",D9="x",AND(OR(COUNTA(B9,C9,E9,F9)&gt;0,OR(D9="X",D9="x")),(LEN(SUBSTITUTE(SUBSTITUTE(SUBSTITUTE(B9," ",""),"0",""),"-",""))+LEN(SUBSTITUTE(SUBSTITUTE(SUBSTITUTE(C9," ",""),"0",""),"-","")))=(LEN(SUBSTITUTE(SUBSTITUTE(SUBSTITUTE(E9," ",""),"0",""),"-",""))+LEN(SUBSTITUTE(SUBSTITUTE(SUBSTITUTE(F9," ",""),"0",""),"-",""))))),0,(LEN(SUBSTITUTE(SUBSTITUTE(SUBSTITUTE(B9," ",""),"0",""),"-",""))+LEN(SUBSTITUTE(SUBSTITUTE(SUBSTITUTE(C9," ",""),"0",""),"-",""))&lt;LEN(SUBSTITUTE(SUBSTITUTE(SUBSTITUTE(E9," ",""),"0",""),"-",""))+LEN(SUBSTITUTE(SUBSTITUTE(SUBSTITUTE(F9," ",""),"0",""),"-","")))*1),0)+IF(OR(COUNTA(B14,C14,E14,F14)&gt;0,OR(D14="X",D14="x")),IF(OR(D14="X",D14="x",AND(OR(COUNTA(B14,C14,E14,F14)&gt;0,OR(D14="X",D14="x")),(LEN(SUBSTITUTE(SUBSTITUTE(SUBSTITUTE(B14," ",""),"0",""),"-",""))+LEN(SUBSTITUTE(SUBSTITUTE(SUBSTITUTE(C14," ",""),"0",""),"-","")))=(LEN(SUBSTITUTE(SUBSTITUTE(SUBSTITUTE(E14," ",""),"0",""),"-",""))+LEN(SUBSTITUTE(SUBSTITUTE(SUBSTITUTE(F14," ",""),"0",""),"-",""))))),0,(LEN(SUBSTITUTE(SUBSTITUTE(SUBSTITUTE(B14," ",""),"0",""),"-",""))+LEN(SUBSTITUTE(SUBSTITUTE(SUBSTITUTE(C14," ",""),"0",""),"-",""))&lt;LEN(SUBSTITUTE(SUBSTITUTE(SUBSTITUTE(E14," ",""),"0",""),"-",""))+LEN(SUBSTITUTE(SUBSTITUTE(SUBSTITUTE(F14," ",""),"0",""),"-","")))*1),0)+IF(OR(COUNTA(B16,C16,E16,F16)&gt;0,OR(D16="X",D16="x")),IF(OR(D16="X",D16="x",AND(OR(COUNTA(B16,C16,E16,F16)&gt;0,OR(D16="X",D16="x")),(LEN(SUBSTITUTE(SUBSTITUTE(SUBSTITUTE(B16," ",""),"0",""),"-",""))+LEN(SUBSTITUTE(SUBSTITUTE(SUBSTITUTE(C16," ",""),"0",""),"-","")))=(LEN(SUBSTITUTE(SUBSTITUTE(SUBSTITUTE(E16," ",""),"0",""),"-",""))+LEN(SUBSTITUTE(SUBSTITUTE(SUBSTITUTE(F16," ",""),"0",""),"-",""))))),0,(LEN(SUBSTITUTE(SUBSTITUTE(SUBSTITUTE(E16," ",""),"0",""),"-",""))+LEN(SUBSTITUTE(SUBSTITUTE(SUBSTITUTE(F16," ",""),"0",""),"-",""))&lt;LEN(SUBSTITUTE(SUBSTITUTE(SUBSTITUTE(B16," ",""),"0",""),"-",""))+LEN(SUBSTITUTE(SUBSTITUTE(SUBSTITUTE(C16," ",""),"0",""),"-","")))*1),0)+IF(OR(COUNTA(B19,C19,E19,F19)&gt;0,OR(D19="X",D19="x")),IF(OR(D19="X",D19="x",AND(OR(COUNTA(B19,C19,E19,F19)&gt;0,OR(D19="X",D19="x")),(LEN(SUBSTITUTE(SUBSTITUTE(SUBSTITUTE(B19," ",""),"0",""),"-",""))+LEN(SUBSTITUTE(SUBSTITUTE(SUBSTITUTE(C19," ",""),"0",""),"-","")))=(LEN(SUBSTITUTE(SUBSTITUTE(SUBSTITUTE(E19," ",""),"0",""),"-",""))+LEN(SUBSTITUTE(SUBSTITUTE(SUBSTITUTE(F19," ",""),"0",""),"-",""))))),0,(LEN(SUBSTITUTE(SUBSTITUTE(SUBSTITUTE(B19," ",""),"0",""),"-",""))+LEN(SUBSTITUTE(SUBSTITUTE(SUBSTITUTE(C19," ",""),"0",""),"-",""))&lt;LEN(SUBSTITUTE(SUBSTITUTE(SUBSTITUTE(E19," ",""),"0",""),"-",""))+LEN(SUBSTITUTE(SUBSTITUTE(SUBSTITUTE(F19," ",""),"0",""),"-","")))*1),0)+IF(OR(COUNTA(B23,C23,E23,F23)&gt;0,OR(D23="X",D23="x")),IF(OR(D23="X",D23="x",AND(OR(COUNTA(B23,C23,E23,F23)&gt;0,OR(D23="X",D23="x")),(LEN(SUBSTITUTE(SUBSTITUTE(SUBSTITUTE(B23," ",""),"0",""),"-",""))+LEN(SUBSTITUTE(SUBSTITUTE(SUBSTITUTE(C23," ",""),"0",""),"-","")))=(LEN(SUBSTITUTE(SUBSTITUTE(SUBSTITUTE(E23," ",""),"0",""),"-",""))+LEN(SUBSTITUTE(SUBSTITUTE(SUBSTITUTE(F23," ",""),"0",""),"-",""))))),0,(LEN(SUBSTITUTE(SUBSTITUTE(SUBSTITUTE(B23," ",""),"0",""),"-",""))+LEN(SUBSTITUTE(SUBSTITUTE(SUBSTITUTE(C23," ",""),"0",""),"-",""))&lt;LEN(SUBSTITUTE(SUBSTITUTE(SUBSTITUTE(E23," ",""),"0",""),"-",""))+LEN(SUBSTITUTE(SUBSTITUTE(SUBSTITUTE(F23," ",""),"0",""),"-","")))*1),0)+IF(OR(COUNTA(B26,C26,E26,F26)&gt;0,OR(D26="X",D26="x")),IF(OR(D26="X",D26="x",AND(OR(COUNTA(B26,C26,E26,F26)&gt;0,OR(D26="X",D26="x")),(LEN(SUBSTITUTE(SUBSTITUTE(SUBSTITUTE(B26," ",""),"0",""),"-",""))+LEN(SUBSTITUTE(SUBSTITUTE(SUBSTITUTE(C26," ",""),"0",""),"-","")))=(LEN(SUBSTITUTE(SUBSTITUTE(SUBSTITUTE(E26," ",""),"0",""),"-",""))+LEN(SUBSTITUTE(SUBSTITUTE(SUBSTITUTE(F26," ",""),"0",""),"-",""))))),0,(LEN(SUBSTITUTE(SUBSTITUTE(SUBSTITUTE(B26," ",""),"0",""),"-",""))+LEN(SUBSTITUTE(SUBSTITUTE(SUBSTITUTE(C26," ",""),"0",""),"-",""))&lt;LEN(SUBSTITUTE(SUBSTITUTE(SUBSTITUTE(E26," ",""),"0",""),"-",""))+LEN(SUBSTITUTE(SUBSTITUTE(SUBSTITUTE(F26," ",""),"0",""),"-","")))*1),0)</f>
      </c>
      <c r="D39" s="14" t="str">
        <f>IF(OR(COUNTA(B8,C8,E8,F8)&gt;0,OR(D8="X",D8="x")),IF(OR(D8="X",D8="x",AND(OR(COUNTA(B8,C8,E8,F8)&gt;0,OR(D8="X",D8="x")),(LEN(SUBSTITUTE(SUBSTITUTE(SUBSTITUTE(B8," ",""),"0",""),"-",""))+LEN(SUBSTITUTE(SUBSTITUTE(SUBSTITUTE(C8," ",""),"0",""),"-","")))=(LEN(SUBSTITUTE(SUBSTITUTE(SUBSTITUTE(E8," ",""),"0",""),"-",""))+LEN(SUBSTITUTE(SUBSTITUTE(SUBSTITUTE(F8," ",""),"0",""),"-",""))))),1,0),0)+IF(OR(COUNTA(B9,C9,E9,F9)&gt;0,OR(D9="X",D9="x")),IF(OR(D9="X",D9="x",AND(OR(COUNTA(B9,C9,E9,F9)&gt;0,OR(D9="X",D9="x")),(LEN(SUBSTITUTE(SUBSTITUTE(SUBSTITUTE(B9," ",""),"0",""),"-",""))+LEN(SUBSTITUTE(SUBSTITUTE(SUBSTITUTE(C9," ",""),"0",""),"-","")))=(LEN(SUBSTITUTE(SUBSTITUTE(SUBSTITUTE(E9," ",""),"0",""),"-",""))+LEN(SUBSTITUTE(SUBSTITUTE(SUBSTITUTE(F9," ",""),"0",""),"-",""))))),1,0),0)+IF(OR(COUNTA(B14,C14,E14,F14)&gt;0,OR(D14="X",D14="x")),IF(OR(D14="X",D14="x",AND(OR(COUNTA(B14,C14,E14,F14)&gt;0,OR(D14="X",D14="x")),(LEN(SUBSTITUTE(SUBSTITUTE(SUBSTITUTE(B14," ",""),"0",""),"-",""))+LEN(SUBSTITUTE(SUBSTITUTE(SUBSTITUTE(C14," ",""),"0",""),"-","")))=(LEN(SUBSTITUTE(SUBSTITUTE(SUBSTITUTE(E14," ",""),"0",""),"-",""))+LEN(SUBSTITUTE(SUBSTITUTE(SUBSTITUTE(F14," ",""),"0",""),"-",""))))),1,0),0)+IF(OR(COUNTA(B16,C16,E16,F16)&gt;0,OR(D16="X",D16="x")),IF(OR(D16="X",D16="x",AND(OR(COUNTA(B16,C16,E16,F16)&gt;0,OR(D16="X",D16="x")),(LEN(SUBSTITUTE(SUBSTITUTE(SUBSTITUTE(B16," ",""),"0",""),"-",""))+LEN(SUBSTITUTE(SUBSTITUTE(SUBSTITUTE(C16," ",""),"0",""),"-","")))=(LEN(SUBSTITUTE(SUBSTITUTE(SUBSTITUTE(E16," ",""),"0",""),"-",""))+LEN(SUBSTITUTE(SUBSTITUTE(SUBSTITUTE(F16," ",""),"0",""),"-",""))))),1,0),0)+IF(OR(COUNTA(B19,C19,E19,F19)&gt;0,OR(D19="X",D19="x")),IF(OR(D19="X",D19="x",AND(OR(COUNTA(B19,C19,E19,F19)&gt;0,OR(D19="X",D19="x")),(LEN(SUBSTITUTE(SUBSTITUTE(SUBSTITUTE(B19," ",""),"0",""),"-",""))+LEN(SUBSTITUTE(SUBSTITUTE(SUBSTITUTE(C19," ",""),"0",""),"-","")))=(LEN(SUBSTITUTE(SUBSTITUTE(SUBSTITUTE(E19," ",""),"0",""),"-",""))+LEN(SUBSTITUTE(SUBSTITUTE(SUBSTITUTE(F19," ",""),"0",""),"-",""))))),1,0),0)+IF(OR(COUNTA(B23,C23,E23,F23)&gt;0,OR(D23="X",D23="x")),IF(OR(D23="X",D23="x",AND(OR(COUNTA(B23,C23,E23,F23)&gt;0,OR(D23="X",D23="x")),(LEN(SUBSTITUTE(SUBSTITUTE(SUBSTITUTE(B23," ",""),"0",""),"-",""))+LEN(SUBSTITUTE(SUBSTITUTE(SUBSTITUTE(C23," ",""),"0",""),"-","")))=(LEN(SUBSTITUTE(SUBSTITUTE(SUBSTITUTE(E23," ",""),"0",""),"-",""))+LEN(SUBSTITUTE(SUBSTITUTE(SUBSTITUTE(F23," ",""),"0",""),"-",""))))),1,0),0)+IF(OR(COUNTA(B26,C26,E26,F26)&gt;0,OR(D26="X",D26="x")),IF(OR(D26="X",D26="x",AND(OR(COUNTA(B26,C26,E26,F26)&gt;0,OR(D26="X",D26="x")),(LEN(SUBSTITUTE(SUBSTITUTE(SUBSTITUTE(B26," ",""),"0",""),"-",""))+LEN(SUBSTITUTE(SUBSTITUTE(SUBSTITUTE(C26," ",""),"0",""),"-","")))=(LEN(SUBSTITUTE(SUBSTITUTE(SUBSTITUTE(E26," ",""),"0",""),"-",""))+LEN(SUBSTITUTE(SUBSTITUTE(SUBSTITUTE(F26," ",""),"0",""),"-",""))))),1,0),0)</f>
      </c>
      <c r="E39" s="14" t="str">
        <f>LEN(SUBSTITUTE(SUBSTITUTE(SUBSTITUTE(B8," ",""),"0",""),"-",""))+LEN(SUBSTITUTE(SUBSTITUTE(SUBSTITUTE(C8," ",""),"0",""),"-",""))+LEN(SUBSTITUTE(SUBSTITUTE(SUBSTITUTE(B9," ",""),"0",""),"-",""))+LEN(SUBSTITUTE(SUBSTITUTE(SUBSTITUTE(C9," ",""),"0",""),"-",""))+LEN(SUBSTITUTE(SUBSTITUTE(SUBSTITUTE(B14," ",""),"0",""),"-",""))+LEN(SUBSTITUTE(SUBSTITUTE(SUBSTITUTE(C14," ",""),"0",""),"-",""))+LEN(SUBSTITUTE(SUBSTITUTE(SUBSTITUTE(E16," ",""),"0",""),"-",""))+LEN(SUBSTITUTE(SUBSTITUTE(SUBSTITUTE(F16," ",""),"0",""),"-",""))+LEN(SUBSTITUTE(SUBSTITUTE(SUBSTITUTE(B19," ",""),"0",""),"-",""))+LEN(SUBSTITUTE(SUBSTITUTE(SUBSTITUTE(C19," ",""),"0",""),"-",""))+LEN(SUBSTITUTE(SUBSTITUTE(SUBSTITUTE(B23," ",""),"0",""),"-",""))+LEN(SUBSTITUTE(SUBSTITUTE(SUBSTITUTE(C23," ",""),"0",""),"-",""))+LEN(SUBSTITUTE(SUBSTITUTE(SUBSTITUTE(B26," ",""),"0",""),"-",""))+LEN(SUBSTITUTE(SUBSTITUTE(SUBSTITUTE(C26," ",""),"0",""),"-",""))</f>
      </c>
      <c r="F39" s="14" t="str">
        <f>LEN(SUBSTITUTE(SUBSTITUTE(SUBSTITUTE(E8," ",""),"0",""),"-",""))+LEN(SUBSTITUTE(SUBSTITUTE(SUBSTITUTE(F8," ",""),"0",""),"-",""))+LEN(SUBSTITUTE(SUBSTITUTE(SUBSTITUTE(E9," ",""),"0",""),"-",""))+LEN(SUBSTITUTE(SUBSTITUTE(SUBSTITUTE(F9," ",""),"0",""),"-",""))+LEN(SUBSTITUTE(SUBSTITUTE(SUBSTITUTE(E14," ",""),"0",""),"-",""))+LEN(SUBSTITUTE(SUBSTITUTE(SUBSTITUTE(F14," ",""),"0",""),"-",""))+LEN(SUBSTITUTE(SUBSTITUTE(SUBSTITUTE(B16," ",""),"0",""),"-",""))+LEN(SUBSTITUTE(SUBSTITUTE(SUBSTITUTE(C16," ",""),"0",""),"-",""))+LEN(SUBSTITUTE(SUBSTITUTE(SUBSTITUTE(E19," ",""),"0",""),"-",""))+LEN(SUBSTITUTE(SUBSTITUTE(SUBSTITUTE(F19," ",""),"0",""),"-",""))+LEN(SUBSTITUTE(SUBSTITUTE(SUBSTITUTE(E23," ",""),"0",""),"-",""))+LEN(SUBSTITUTE(SUBSTITUTE(SUBSTITUTE(F23," ",""),"0",""),"-",""))+LEN(SUBSTITUTE(SUBSTITUTE(SUBSTITUTE(E26," ",""),"0",""),"-",""))+LEN(SUBSTITUTE(SUBSTITUTE(SUBSTITUTE(F26," ",""),"0",""),"-",""))</f>
      </c>
      <c r="G39" s="18" t="str">
        <f>RANK(U39,$U$34:$U$41)+COUNTIF($U$33:U38,U39)</f>
      </c>
      <c r="U39" t="str">
        <f>(B39*1000000)-(C39*10000)+(D39*100)+(E39*1)-(F39*0.01)</f>
      </c>
    </row>
    <row r="40">
      <c r="A40" s="14" t="str">
        <f>data!$D$9&amp;" "&amp;data!$B$9</f>
      </c>
      <c r="B40" s="14" t="str">
        <f>IF(OR(COUNTA(B9,C9,E9,F9)&gt;0,OR(D9="X",D9="x")),IF(OR(D9="X",D9="x",AND(OR(COUNTA(B9,C9,E9,F9)&gt;0,OR(D9="X",D9="x")),(LEN(SUBSTITUTE(SUBSTITUTE(SUBSTITUTE(B9," ",""),"0",""),"-",""))+LEN(SUBSTITUTE(SUBSTITUTE(SUBSTITUTE(C9," ",""),"0",""),"-","")))=(LEN(SUBSTITUTE(SUBSTITUTE(SUBSTITUTE(E9," ",""),"0",""),"-",""))+LEN(SUBSTITUTE(SUBSTITUTE(SUBSTITUTE(F9," ",""),"0",""),"-",""))))),0,(LEN(SUBSTITUTE(SUBSTITUTE(SUBSTITUTE(E9," ",""),"0",""),"-",""))+LEN(SUBSTITUTE(SUBSTITUTE(SUBSTITUTE(F9," ",""),"0",""),"-",""))&gt;LEN(SUBSTITUTE(SUBSTITUTE(SUBSTITUTE(B9," ",""),"0",""),"-",""))+LEN(SUBSTITUTE(SUBSTITUTE(SUBSTITUTE(C9," ",""),"0",""),"-","")))*1),0)+IF(OR(COUNTA(B10,C10,E10,F10)&gt;0,OR(D10="X",D10="x")),IF(OR(D10="X",D10="x",AND(OR(COUNTA(B10,C10,E10,F10)&gt;0,OR(D10="X",D10="x")),(LEN(SUBSTITUTE(SUBSTITUTE(SUBSTITUTE(B10," ",""),"0",""),"-",""))+LEN(SUBSTITUTE(SUBSTITUTE(SUBSTITUTE(C10," ",""),"0",""),"-","")))=(LEN(SUBSTITUTE(SUBSTITUTE(SUBSTITUTE(E10," ",""),"0",""),"-",""))+LEN(SUBSTITUTE(SUBSTITUTE(SUBSTITUTE(F10," ",""),"0",""),"-",""))))),0,(LEN(SUBSTITUTE(SUBSTITUTE(SUBSTITUTE(E10," ",""),"0",""),"-",""))+LEN(SUBSTITUTE(SUBSTITUTE(SUBSTITUTE(F10," ",""),"0",""),"-",""))&gt;LEN(SUBSTITUTE(SUBSTITUTE(SUBSTITUTE(B10," ",""),"0",""),"-",""))+LEN(SUBSTITUTE(SUBSTITUTE(SUBSTITUTE(C10," ",""),"0",""),"-","")))*1),0)+IF(OR(COUNTA(B15,C15,E15,F15)&gt;0,OR(D15="X",D15="x")),IF(OR(D15="X",D15="x",AND(OR(COUNTA(B15,C15,E15,F15)&gt;0,OR(D15="X",D15="x")),(LEN(SUBSTITUTE(SUBSTITUTE(SUBSTITUTE(B15," ",""),"0",""),"-",""))+LEN(SUBSTITUTE(SUBSTITUTE(SUBSTITUTE(C15," ",""),"0",""),"-","")))=(LEN(SUBSTITUTE(SUBSTITUTE(SUBSTITUTE(E15," ",""),"0",""),"-",""))+LEN(SUBSTITUTE(SUBSTITUTE(SUBSTITUTE(F15," ",""),"0",""),"-",""))))),0,(LEN(SUBSTITUTE(SUBSTITUTE(SUBSTITUTE(B15," ",""),"0",""),"-",""))+LEN(SUBSTITUTE(SUBSTITUTE(SUBSTITUTE(C15," ",""),"0",""),"-",""))&gt;LEN(SUBSTITUTE(SUBSTITUTE(SUBSTITUTE(E15," ",""),"0",""),"-",""))+LEN(SUBSTITUTE(SUBSTITUTE(SUBSTITUTE(F15," ",""),"0",""),"-","")))*1),0)+IF(OR(COUNTA(B20,C20,E20,F20)&gt;0,OR(D20="X",D20="x")),IF(OR(D20="X",D20="x",AND(OR(COUNTA(B20,C20,E20,F20)&gt;0,OR(D20="X",D20="x")),(LEN(SUBSTITUTE(SUBSTITUTE(SUBSTITUTE(B20," ",""),"0",""),"-",""))+LEN(SUBSTITUTE(SUBSTITUTE(SUBSTITUTE(C20," ",""),"0",""),"-","")))=(LEN(SUBSTITUTE(SUBSTITUTE(SUBSTITUTE(E20," ",""),"0",""),"-",""))+LEN(SUBSTITUTE(SUBSTITUTE(SUBSTITUTE(F20," ",""),"0",""),"-",""))))),0,(LEN(SUBSTITUTE(SUBSTITUTE(SUBSTITUTE(B20," ",""),"0",""),"-",""))+LEN(SUBSTITUTE(SUBSTITUTE(SUBSTITUTE(C20," ",""),"0",""),"-",""))&gt;LEN(SUBSTITUTE(SUBSTITUTE(SUBSTITUTE(E20," ",""),"0",""),"-",""))+LEN(SUBSTITUTE(SUBSTITUTE(SUBSTITUTE(F20," ",""),"0",""),"-","")))*1),0)+IF(OR(COUNTA(B24,C24,E24,F24)&gt;0,OR(D24="X",D24="x")),IF(OR(D24="X",D24="x",AND(OR(COUNTA(B24,C24,E24,F24)&gt;0,OR(D24="X",D24="x")),(LEN(SUBSTITUTE(SUBSTITUTE(SUBSTITUTE(B24," ",""),"0",""),"-",""))+LEN(SUBSTITUTE(SUBSTITUTE(SUBSTITUTE(C24," ",""),"0",""),"-","")))=(LEN(SUBSTITUTE(SUBSTITUTE(SUBSTITUTE(E24," ",""),"0",""),"-",""))+LEN(SUBSTITUTE(SUBSTITUTE(SUBSTITUTE(F24," ",""),"0",""),"-",""))))),0,(LEN(SUBSTITUTE(SUBSTITUTE(SUBSTITUTE(B24," ",""),"0",""),"-",""))+LEN(SUBSTITUTE(SUBSTITUTE(SUBSTITUTE(C24," ",""),"0",""),"-",""))&gt;LEN(SUBSTITUTE(SUBSTITUTE(SUBSTITUTE(E24," ",""),"0",""),"-",""))+LEN(SUBSTITUTE(SUBSTITUTE(SUBSTITUTE(F24," ",""),"0",""),"-","")))*1),0)+IF(OR(COUNTA(B27,C27,E27,F27)&gt;0,OR(D27="X",D27="x")),IF(OR(D27="X",D27="x",AND(OR(COUNTA(B27,C27,E27,F27)&gt;0,OR(D27="X",D27="x")),(LEN(SUBSTITUTE(SUBSTITUTE(SUBSTITUTE(B27," ",""),"0",""),"-",""))+LEN(SUBSTITUTE(SUBSTITUTE(SUBSTITUTE(C27," ",""),"0",""),"-","")))=(LEN(SUBSTITUTE(SUBSTITUTE(SUBSTITUTE(E27," ",""),"0",""),"-",""))+LEN(SUBSTITUTE(SUBSTITUTE(SUBSTITUTE(F27," ",""),"0",""),"-",""))))),0,(LEN(SUBSTITUTE(SUBSTITUTE(SUBSTITUTE(B27," ",""),"0",""),"-",""))+LEN(SUBSTITUTE(SUBSTITUTE(SUBSTITUTE(C27," ",""),"0",""),"-",""))&gt;LEN(SUBSTITUTE(SUBSTITUTE(SUBSTITUTE(E27," ",""),"0",""),"-",""))+LEN(SUBSTITUTE(SUBSTITUTE(SUBSTITUTE(F27," ",""),"0",""),"-","")))*1),0)+IF(OR(COUNTA(B29,C29,E29,F29)&gt;0,OR(D29="X",D29="x")),IF(OR(D29="X",D29="x",AND(OR(COUNTA(B29,C29,E29,F29)&gt;0,OR(D29="X",D29="x")),(LEN(SUBSTITUTE(SUBSTITUTE(SUBSTITUTE(B29," ",""),"0",""),"-",""))+LEN(SUBSTITUTE(SUBSTITUTE(SUBSTITUTE(C29," ",""),"0",""),"-","")))=(LEN(SUBSTITUTE(SUBSTITUTE(SUBSTITUTE(E29," ",""),"0",""),"-",""))+LEN(SUBSTITUTE(SUBSTITUTE(SUBSTITUTE(F29," ",""),"0",""),"-",""))))),0,(LEN(SUBSTITUTE(SUBSTITUTE(SUBSTITUTE(B29," ",""),"0",""),"-",""))+LEN(SUBSTITUTE(SUBSTITUTE(SUBSTITUTE(C29," ",""),"0",""),"-",""))&gt;LEN(SUBSTITUTE(SUBSTITUTE(SUBSTITUTE(E29," ",""),"0",""),"-",""))+LEN(SUBSTITUTE(SUBSTITUTE(SUBSTITUTE(F29," ",""),"0",""),"-","")))*1),0)</f>
      </c>
      <c r="C40" s="14" t="str">
        <f>IF(OR(COUNTA(B9,C9,E9,F9)&gt;0,OR(D9="X",D9="x")),IF(OR(D9="X",D9="x",AND(OR(COUNTA(B9,C9,E9,F9)&gt;0,OR(D9="X",D9="x")),(LEN(SUBSTITUTE(SUBSTITUTE(SUBSTITUTE(B9," ",""),"0",""),"-",""))+LEN(SUBSTITUTE(SUBSTITUTE(SUBSTITUTE(C9," ",""),"0",""),"-","")))=(LEN(SUBSTITUTE(SUBSTITUTE(SUBSTITUTE(E9," ",""),"0",""),"-",""))+LEN(SUBSTITUTE(SUBSTITUTE(SUBSTITUTE(F9," ",""),"0",""),"-",""))))),0,(LEN(SUBSTITUTE(SUBSTITUTE(SUBSTITUTE(E9," ",""),"0",""),"-",""))+LEN(SUBSTITUTE(SUBSTITUTE(SUBSTITUTE(F9," ",""),"0",""),"-",""))&lt;LEN(SUBSTITUTE(SUBSTITUTE(SUBSTITUTE(B9," ",""),"0",""),"-",""))+LEN(SUBSTITUTE(SUBSTITUTE(SUBSTITUTE(C9," ",""),"0",""),"-","")))*1),0)+IF(OR(COUNTA(B10,C10,E10,F10)&gt;0,OR(D10="X",D10="x")),IF(OR(D10="X",D10="x",AND(OR(COUNTA(B10,C10,E10,F10)&gt;0,OR(D10="X",D10="x")),(LEN(SUBSTITUTE(SUBSTITUTE(SUBSTITUTE(B10," ",""),"0",""),"-",""))+LEN(SUBSTITUTE(SUBSTITUTE(SUBSTITUTE(C10," ",""),"0",""),"-","")))=(LEN(SUBSTITUTE(SUBSTITUTE(SUBSTITUTE(E10," ",""),"0",""),"-",""))+LEN(SUBSTITUTE(SUBSTITUTE(SUBSTITUTE(F10," ",""),"0",""),"-",""))))),0,(LEN(SUBSTITUTE(SUBSTITUTE(SUBSTITUTE(E10," ",""),"0",""),"-",""))+LEN(SUBSTITUTE(SUBSTITUTE(SUBSTITUTE(F10," ",""),"0",""),"-",""))&lt;LEN(SUBSTITUTE(SUBSTITUTE(SUBSTITUTE(B10," ",""),"0",""),"-",""))+LEN(SUBSTITUTE(SUBSTITUTE(SUBSTITUTE(C10," ",""),"0",""),"-","")))*1),0)+IF(OR(COUNTA(B15,C15,E15,F15)&gt;0,OR(D15="X",D15="x")),IF(OR(D15="X",D15="x",AND(OR(COUNTA(B15,C15,E15,F15)&gt;0,OR(D15="X",D15="x")),(LEN(SUBSTITUTE(SUBSTITUTE(SUBSTITUTE(B15," ",""),"0",""),"-",""))+LEN(SUBSTITUTE(SUBSTITUTE(SUBSTITUTE(C15," ",""),"0",""),"-","")))=(LEN(SUBSTITUTE(SUBSTITUTE(SUBSTITUTE(E15," ",""),"0",""),"-",""))+LEN(SUBSTITUTE(SUBSTITUTE(SUBSTITUTE(F15," ",""),"0",""),"-",""))))),0,(LEN(SUBSTITUTE(SUBSTITUTE(SUBSTITUTE(B15," ",""),"0",""),"-",""))+LEN(SUBSTITUTE(SUBSTITUTE(SUBSTITUTE(C15," ",""),"0",""),"-",""))&lt;LEN(SUBSTITUTE(SUBSTITUTE(SUBSTITUTE(E15," ",""),"0",""),"-",""))+LEN(SUBSTITUTE(SUBSTITUTE(SUBSTITUTE(F15," ",""),"0",""),"-","")))*1),0)+IF(OR(COUNTA(B20,C20,E20,F20)&gt;0,OR(D20="X",D20="x")),IF(OR(D20="X",D20="x",AND(OR(COUNTA(B20,C20,E20,F20)&gt;0,OR(D20="X",D20="x")),(LEN(SUBSTITUTE(SUBSTITUTE(SUBSTITUTE(B20," ",""),"0",""),"-",""))+LEN(SUBSTITUTE(SUBSTITUTE(SUBSTITUTE(C20," ",""),"0",""),"-","")))=(LEN(SUBSTITUTE(SUBSTITUTE(SUBSTITUTE(E20," ",""),"0",""),"-",""))+LEN(SUBSTITUTE(SUBSTITUTE(SUBSTITUTE(F20," ",""),"0",""),"-",""))))),0,(LEN(SUBSTITUTE(SUBSTITUTE(SUBSTITUTE(B20," ",""),"0",""),"-",""))+LEN(SUBSTITUTE(SUBSTITUTE(SUBSTITUTE(C20," ",""),"0",""),"-",""))&lt;LEN(SUBSTITUTE(SUBSTITUTE(SUBSTITUTE(E20," ",""),"0",""),"-",""))+LEN(SUBSTITUTE(SUBSTITUTE(SUBSTITUTE(F20," ",""),"0",""),"-","")))*1),0)+IF(OR(COUNTA(B24,C24,E24,F24)&gt;0,OR(D24="X",D24="x")),IF(OR(D24="X",D24="x",AND(OR(COUNTA(B24,C24,E24,F24)&gt;0,OR(D24="X",D24="x")),(LEN(SUBSTITUTE(SUBSTITUTE(SUBSTITUTE(B24," ",""),"0",""),"-",""))+LEN(SUBSTITUTE(SUBSTITUTE(SUBSTITUTE(C24," ",""),"0",""),"-","")))=(LEN(SUBSTITUTE(SUBSTITUTE(SUBSTITUTE(E24," ",""),"0",""),"-",""))+LEN(SUBSTITUTE(SUBSTITUTE(SUBSTITUTE(F24," ",""),"0",""),"-",""))))),0,(LEN(SUBSTITUTE(SUBSTITUTE(SUBSTITUTE(B24," ",""),"0",""),"-",""))+LEN(SUBSTITUTE(SUBSTITUTE(SUBSTITUTE(C24," ",""),"0",""),"-",""))&lt;LEN(SUBSTITUTE(SUBSTITUTE(SUBSTITUTE(E24," ",""),"0",""),"-",""))+LEN(SUBSTITUTE(SUBSTITUTE(SUBSTITUTE(F24," ",""),"0",""),"-","")))*1),0)+IF(OR(COUNTA(B27,C27,E27,F27)&gt;0,OR(D27="X",D27="x")),IF(OR(D27="X",D27="x",AND(OR(COUNTA(B27,C27,E27,F27)&gt;0,OR(D27="X",D27="x")),(LEN(SUBSTITUTE(SUBSTITUTE(SUBSTITUTE(B27," ",""),"0",""),"-",""))+LEN(SUBSTITUTE(SUBSTITUTE(SUBSTITUTE(C27," ",""),"0",""),"-","")))=(LEN(SUBSTITUTE(SUBSTITUTE(SUBSTITUTE(E27," ",""),"0",""),"-",""))+LEN(SUBSTITUTE(SUBSTITUTE(SUBSTITUTE(F27," ",""),"0",""),"-",""))))),0,(LEN(SUBSTITUTE(SUBSTITUTE(SUBSTITUTE(B27," ",""),"0",""),"-",""))+LEN(SUBSTITUTE(SUBSTITUTE(SUBSTITUTE(C27," ",""),"0",""),"-",""))&lt;LEN(SUBSTITUTE(SUBSTITUTE(SUBSTITUTE(E27," ",""),"0",""),"-",""))+LEN(SUBSTITUTE(SUBSTITUTE(SUBSTITUTE(F27," ",""),"0",""),"-","")))*1),0)+IF(OR(COUNTA(B29,C29,E29,F29)&gt;0,OR(D29="X",D29="x")),IF(OR(D29="X",D29="x",AND(OR(COUNTA(B29,C29,E29,F29)&gt;0,OR(D29="X",D29="x")),(LEN(SUBSTITUTE(SUBSTITUTE(SUBSTITUTE(B29," ",""),"0",""),"-",""))+LEN(SUBSTITUTE(SUBSTITUTE(SUBSTITUTE(C29," ",""),"0",""),"-","")))=(LEN(SUBSTITUTE(SUBSTITUTE(SUBSTITUTE(E29," ",""),"0",""),"-",""))+LEN(SUBSTITUTE(SUBSTITUTE(SUBSTITUTE(F29," ",""),"0",""),"-",""))))),0,(LEN(SUBSTITUTE(SUBSTITUTE(SUBSTITUTE(B29," ",""),"0",""),"-",""))+LEN(SUBSTITUTE(SUBSTITUTE(SUBSTITUTE(C29," ",""),"0",""),"-",""))&lt;LEN(SUBSTITUTE(SUBSTITUTE(SUBSTITUTE(E29," ",""),"0",""),"-",""))+LEN(SUBSTITUTE(SUBSTITUTE(SUBSTITUTE(F29," ",""),"0",""),"-","")))*1),0)</f>
      </c>
      <c r="D40" s="14" t="str">
        <f>IF(OR(COUNTA(B9,C9,E9,F9)&gt;0,OR(D9="X",D9="x")),IF(OR(D9="X",D9="x",AND(OR(COUNTA(B9,C9,E9,F9)&gt;0,OR(D9="X",D9="x")),(LEN(SUBSTITUTE(SUBSTITUTE(SUBSTITUTE(B9," ",""),"0",""),"-",""))+LEN(SUBSTITUTE(SUBSTITUTE(SUBSTITUTE(C9," ",""),"0",""),"-","")))=(LEN(SUBSTITUTE(SUBSTITUTE(SUBSTITUTE(E9," ",""),"0",""),"-",""))+LEN(SUBSTITUTE(SUBSTITUTE(SUBSTITUTE(F9," ",""),"0",""),"-",""))))),1,0),0)+IF(OR(COUNTA(B10,C10,E10,F10)&gt;0,OR(D10="X",D10="x")),IF(OR(D10="X",D10="x",AND(OR(COUNTA(B10,C10,E10,F10)&gt;0,OR(D10="X",D10="x")),(LEN(SUBSTITUTE(SUBSTITUTE(SUBSTITUTE(B10," ",""),"0",""),"-",""))+LEN(SUBSTITUTE(SUBSTITUTE(SUBSTITUTE(C10," ",""),"0",""),"-","")))=(LEN(SUBSTITUTE(SUBSTITUTE(SUBSTITUTE(E10," ",""),"0",""),"-",""))+LEN(SUBSTITUTE(SUBSTITUTE(SUBSTITUTE(F10," ",""),"0",""),"-",""))))),1,0),0)+IF(OR(COUNTA(B15,C15,E15,F15)&gt;0,OR(D15="X",D15="x")),IF(OR(D15="X",D15="x",AND(OR(COUNTA(B15,C15,E15,F15)&gt;0,OR(D15="X",D15="x")),(LEN(SUBSTITUTE(SUBSTITUTE(SUBSTITUTE(B15," ",""),"0",""),"-",""))+LEN(SUBSTITUTE(SUBSTITUTE(SUBSTITUTE(C15," ",""),"0",""),"-","")))=(LEN(SUBSTITUTE(SUBSTITUTE(SUBSTITUTE(E15," ",""),"0",""),"-",""))+LEN(SUBSTITUTE(SUBSTITUTE(SUBSTITUTE(F15," ",""),"0",""),"-",""))))),1,0),0)+IF(OR(COUNTA(B20,C20,E20,F20)&gt;0,OR(D20="X",D20="x")),IF(OR(D20="X",D20="x",AND(OR(COUNTA(B20,C20,E20,F20)&gt;0,OR(D20="X",D20="x")),(LEN(SUBSTITUTE(SUBSTITUTE(SUBSTITUTE(B20," ",""),"0",""),"-",""))+LEN(SUBSTITUTE(SUBSTITUTE(SUBSTITUTE(C20," ",""),"0",""),"-","")))=(LEN(SUBSTITUTE(SUBSTITUTE(SUBSTITUTE(E20," ",""),"0",""),"-",""))+LEN(SUBSTITUTE(SUBSTITUTE(SUBSTITUTE(F20," ",""),"0",""),"-",""))))),1,0),0)+IF(OR(COUNTA(B24,C24,E24,F24)&gt;0,OR(D24="X",D24="x")),IF(OR(D24="X",D24="x",AND(OR(COUNTA(B24,C24,E24,F24)&gt;0,OR(D24="X",D24="x")),(LEN(SUBSTITUTE(SUBSTITUTE(SUBSTITUTE(B24," ",""),"0",""),"-",""))+LEN(SUBSTITUTE(SUBSTITUTE(SUBSTITUTE(C24," ",""),"0",""),"-","")))=(LEN(SUBSTITUTE(SUBSTITUTE(SUBSTITUTE(E24," ",""),"0",""),"-",""))+LEN(SUBSTITUTE(SUBSTITUTE(SUBSTITUTE(F24," ",""),"0",""),"-",""))))),1,0),0)+IF(OR(COUNTA(B27,C27,E27,F27)&gt;0,OR(D27="X",D27="x")),IF(OR(D27="X",D27="x",AND(OR(COUNTA(B27,C27,E27,F27)&gt;0,OR(D27="X",D27="x")),(LEN(SUBSTITUTE(SUBSTITUTE(SUBSTITUTE(B27," ",""),"0",""),"-",""))+LEN(SUBSTITUTE(SUBSTITUTE(SUBSTITUTE(C27," ",""),"0",""),"-","")))=(LEN(SUBSTITUTE(SUBSTITUTE(SUBSTITUTE(E27," ",""),"0",""),"-",""))+LEN(SUBSTITUTE(SUBSTITUTE(SUBSTITUTE(F27," ",""),"0",""),"-",""))))),1,0),0)+IF(OR(COUNTA(B29,C29,E29,F29)&gt;0,OR(D29="X",D29="x")),IF(OR(D29="X",D29="x",AND(OR(COUNTA(B29,C29,E29,F29)&gt;0,OR(D29="X",D29="x")),(LEN(SUBSTITUTE(SUBSTITUTE(SUBSTITUTE(B29," ",""),"0",""),"-",""))+LEN(SUBSTITUTE(SUBSTITUTE(SUBSTITUTE(C29," ",""),"0",""),"-","")))=(LEN(SUBSTITUTE(SUBSTITUTE(SUBSTITUTE(E29," ",""),"0",""),"-",""))+LEN(SUBSTITUTE(SUBSTITUTE(SUBSTITUTE(F29," ",""),"0",""),"-",""))))),1,0),0)</f>
      </c>
      <c r="E40" s="14" t="str">
        <f>LEN(SUBSTITUTE(SUBSTITUTE(SUBSTITUTE(E9," ",""),"0",""),"-",""))+LEN(SUBSTITUTE(SUBSTITUTE(SUBSTITUTE(F9," ",""),"0",""),"-",""))+LEN(SUBSTITUTE(SUBSTITUTE(SUBSTITUTE(E10," ",""),"0",""),"-",""))+LEN(SUBSTITUTE(SUBSTITUTE(SUBSTITUTE(F10," ",""),"0",""),"-",""))+LEN(SUBSTITUTE(SUBSTITUTE(SUBSTITUTE(B15," ",""),"0",""),"-",""))+LEN(SUBSTITUTE(SUBSTITUTE(SUBSTITUTE(C15," ",""),"0",""),"-",""))+LEN(SUBSTITUTE(SUBSTITUTE(SUBSTITUTE(B20," ",""),"0",""),"-",""))+LEN(SUBSTITUTE(SUBSTITUTE(SUBSTITUTE(C20," ",""),"0",""),"-",""))+LEN(SUBSTITUTE(SUBSTITUTE(SUBSTITUTE(B24," ",""),"0",""),"-",""))+LEN(SUBSTITUTE(SUBSTITUTE(SUBSTITUTE(C24," ",""),"0",""),"-",""))+LEN(SUBSTITUTE(SUBSTITUTE(SUBSTITUTE(B27," ",""),"0",""),"-",""))+LEN(SUBSTITUTE(SUBSTITUTE(SUBSTITUTE(C27," ",""),"0",""),"-",""))+LEN(SUBSTITUTE(SUBSTITUTE(SUBSTITUTE(B29," ",""),"0",""),"-",""))+LEN(SUBSTITUTE(SUBSTITUTE(SUBSTITUTE(C29," ",""),"0",""),"-",""))</f>
      </c>
      <c r="F40" s="14" t="str">
        <f>LEN(SUBSTITUTE(SUBSTITUTE(SUBSTITUTE(B9," ",""),"0",""),"-",""))+LEN(SUBSTITUTE(SUBSTITUTE(SUBSTITUTE(C9," ",""),"0",""),"-",""))+LEN(SUBSTITUTE(SUBSTITUTE(SUBSTITUTE(B10," ",""),"0",""),"-",""))+LEN(SUBSTITUTE(SUBSTITUTE(SUBSTITUTE(C10," ",""),"0",""),"-",""))+LEN(SUBSTITUTE(SUBSTITUTE(SUBSTITUTE(E15," ",""),"0",""),"-",""))+LEN(SUBSTITUTE(SUBSTITUTE(SUBSTITUTE(F15," ",""),"0",""),"-",""))+LEN(SUBSTITUTE(SUBSTITUTE(SUBSTITUTE(E20," ",""),"0",""),"-",""))+LEN(SUBSTITUTE(SUBSTITUTE(SUBSTITUTE(F20," ",""),"0",""),"-",""))+LEN(SUBSTITUTE(SUBSTITUTE(SUBSTITUTE(E24," ",""),"0",""),"-",""))+LEN(SUBSTITUTE(SUBSTITUTE(SUBSTITUTE(F24," ",""),"0",""),"-",""))+LEN(SUBSTITUTE(SUBSTITUTE(SUBSTITUTE(E27," ",""),"0",""),"-",""))+LEN(SUBSTITUTE(SUBSTITUTE(SUBSTITUTE(F27," ",""),"0",""),"-",""))+LEN(SUBSTITUTE(SUBSTITUTE(SUBSTITUTE(E29," ",""),"0",""),"-",""))+LEN(SUBSTITUTE(SUBSTITUTE(SUBSTITUTE(F29," ",""),"0",""),"-",""))</f>
      </c>
      <c r="G40" s="18" t="str">
        <f>RANK(U40,$U$34:$U$41)+COUNTIF($U$33:U39,U40)</f>
      </c>
      <c r="U40" t="str">
        <f>(B40*1000000)-(C40*10000)+(D40*100)+(E40*1)-(F40*0.01)</f>
      </c>
    </row>
    <row r="41">
      <c r="A41" s="14" t="str">
        <f>data!$D$10&amp;" "&amp;data!$B$10</f>
      </c>
      <c r="B41" s="14" t="str">
        <f>IF(OR(COUNTA(B10,C10,E10,F10)&gt;0,OR(D10="X",D10="x")),IF(OR(D10="X",D10="x",AND(OR(COUNTA(B10,C10,E10,F10)&gt;0,OR(D10="X",D10="x")),(LEN(SUBSTITUTE(SUBSTITUTE(SUBSTITUTE(B10," ",""),"0",""),"-",""))+LEN(SUBSTITUTE(SUBSTITUTE(SUBSTITUTE(C10," ",""),"0",""),"-","")))=(LEN(SUBSTITUTE(SUBSTITUTE(SUBSTITUTE(E10," ",""),"0",""),"-",""))+LEN(SUBSTITUTE(SUBSTITUTE(SUBSTITUTE(F10," ",""),"0",""),"-",""))))),0,(LEN(SUBSTITUTE(SUBSTITUTE(SUBSTITUTE(B10," ",""),"0",""),"-",""))+LEN(SUBSTITUTE(SUBSTITUTE(SUBSTITUTE(C10," ",""),"0",""),"-",""))&gt;LEN(SUBSTITUTE(SUBSTITUTE(SUBSTITUTE(E10," ",""),"0",""),"-",""))+LEN(SUBSTITUTE(SUBSTITUTE(SUBSTITUTE(F10," ",""),"0",""),"-","")))*1),0)+IF(OR(COUNTA(B16,C16,E16,F16)&gt;0,OR(D16="X",D16="x")),IF(OR(D16="X",D16="x",AND(OR(COUNTA(B16,C16,E16,F16)&gt;0,OR(D16="X",D16="x")),(LEN(SUBSTITUTE(SUBSTITUTE(SUBSTITUTE(B16," ",""),"0",""),"-",""))+LEN(SUBSTITUTE(SUBSTITUTE(SUBSTITUTE(C16," ",""),"0",""),"-","")))=(LEN(SUBSTITUTE(SUBSTITUTE(SUBSTITUTE(E16," ",""),"0",""),"-",""))+LEN(SUBSTITUTE(SUBSTITUTE(SUBSTITUTE(F16," ",""),"0",""),"-",""))))),0,(LEN(SUBSTITUTE(SUBSTITUTE(SUBSTITUTE(B16," ",""),"0",""),"-",""))+LEN(SUBSTITUTE(SUBSTITUTE(SUBSTITUTE(C16," ",""),"0",""),"-",""))&gt;LEN(SUBSTITUTE(SUBSTITUTE(SUBSTITUTE(E16," ",""),"0",""),"-",""))+LEN(SUBSTITUTE(SUBSTITUTE(SUBSTITUTE(F16," ",""),"0",""),"-","")))*1),0)+IF(OR(COUNTA(B21,C21,E21,F21)&gt;0,OR(D21="X",D21="x")),IF(OR(D21="X",D21="x",AND(OR(COUNTA(B21,C21,E21,F21)&gt;0,OR(D21="X",D21="x")),(LEN(SUBSTITUTE(SUBSTITUTE(SUBSTITUTE(B21," ",""),"0",""),"-",""))+LEN(SUBSTITUTE(SUBSTITUTE(SUBSTITUTE(C21," ",""),"0",""),"-","")))=(LEN(SUBSTITUTE(SUBSTITUTE(SUBSTITUTE(E21," ",""),"0",""),"-",""))+LEN(SUBSTITUTE(SUBSTITUTE(SUBSTITUTE(F21," ",""),"0",""),"-",""))))),0,(LEN(SUBSTITUTE(SUBSTITUTE(SUBSTITUTE(B21," ",""),"0",""),"-",""))+LEN(SUBSTITUTE(SUBSTITUTE(SUBSTITUTE(C21," ",""),"0",""),"-",""))&gt;LEN(SUBSTITUTE(SUBSTITUTE(SUBSTITUTE(E21," ",""),"0",""),"-",""))+LEN(SUBSTITUTE(SUBSTITUTE(SUBSTITUTE(F21," ",""),"0",""),"-","")))*1),0)+IF(OR(COUNTA(B25,C25,E25,F25)&gt;0,OR(D25="X",D25="x")),IF(OR(D25="X",D25="x",AND(OR(COUNTA(B25,C25,E25,F25)&gt;0,OR(D25="X",D25="x")),(LEN(SUBSTITUTE(SUBSTITUTE(SUBSTITUTE(B25," ",""),"0",""),"-",""))+LEN(SUBSTITUTE(SUBSTITUTE(SUBSTITUTE(C25," ",""),"0",""),"-","")))=(LEN(SUBSTITUTE(SUBSTITUTE(SUBSTITUTE(E25," ",""),"0",""),"-",""))+LEN(SUBSTITUTE(SUBSTITUTE(SUBSTITUTE(F25," ",""),"0",""),"-",""))))),0,(LEN(SUBSTITUTE(SUBSTITUTE(SUBSTITUTE(B25," ",""),"0",""),"-",""))+LEN(SUBSTITUTE(SUBSTITUTE(SUBSTITUTE(C25," ",""),"0",""),"-",""))&gt;LEN(SUBSTITUTE(SUBSTITUTE(SUBSTITUTE(E25," ",""),"0",""),"-",""))+LEN(SUBSTITUTE(SUBSTITUTE(SUBSTITUTE(F25," ",""),"0",""),"-","")))*1),0)+IF(OR(COUNTA(B28,C28,E28,F28)&gt;0,OR(D28="X",D28="x")),IF(OR(D28="X",D28="x",AND(OR(COUNTA(B28,C28,E28,F28)&gt;0,OR(D28="X",D28="x")),(LEN(SUBSTITUTE(SUBSTITUTE(SUBSTITUTE(B28," ",""),"0",""),"-",""))+LEN(SUBSTITUTE(SUBSTITUTE(SUBSTITUTE(C28," ",""),"0",""),"-","")))=(LEN(SUBSTITUTE(SUBSTITUTE(SUBSTITUTE(E28," ",""),"0",""),"-",""))+LEN(SUBSTITUTE(SUBSTITUTE(SUBSTITUTE(F28," ",""),"0",""),"-",""))))),0,(LEN(SUBSTITUTE(SUBSTITUTE(SUBSTITUTE(B28," ",""),"0",""),"-",""))+LEN(SUBSTITUTE(SUBSTITUTE(SUBSTITUTE(C28," ",""),"0",""),"-",""))&gt;LEN(SUBSTITUTE(SUBSTITUTE(SUBSTITUTE(E28," ",""),"0",""),"-",""))+LEN(SUBSTITUTE(SUBSTITUTE(SUBSTITUTE(F28," ",""),"0",""),"-","")))*1),0)+IF(OR(COUNTA(B30,C30,E30,F30)&gt;0,OR(D30="X",D30="x")),IF(OR(D30="X",D30="x",AND(OR(COUNTA(B30,C30,E30,F30)&gt;0,OR(D30="X",D30="x")),(LEN(SUBSTITUTE(SUBSTITUTE(SUBSTITUTE(B30," ",""),"0",""),"-",""))+LEN(SUBSTITUTE(SUBSTITUTE(SUBSTITUTE(C30," ",""),"0",""),"-","")))=(LEN(SUBSTITUTE(SUBSTITUTE(SUBSTITUTE(E30," ",""),"0",""),"-",""))+LEN(SUBSTITUTE(SUBSTITUTE(SUBSTITUTE(F30," ",""),"0",""),"-",""))))),0,(LEN(SUBSTITUTE(SUBSTITUTE(SUBSTITUTE(B30," ",""),"0",""),"-",""))+LEN(SUBSTITUTE(SUBSTITUTE(SUBSTITUTE(C30," ",""),"0",""),"-",""))&gt;LEN(SUBSTITUTE(SUBSTITUTE(SUBSTITUTE(E30," ",""),"0",""),"-",""))+LEN(SUBSTITUTE(SUBSTITUTE(SUBSTITUTE(F30," ",""),"0",""),"-","")))*1),0)+IF(OR(COUNTA(B31,C31,E31,F31)&gt;0,OR(D31="X",D31="x")),IF(OR(D31="X",D31="x",AND(OR(COUNTA(B31,C31,E31,F31)&gt;0,OR(D31="X",D31="x")),(LEN(SUBSTITUTE(SUBSTITUTE(SUBSTITUTE(B31," ",""),"0",""),"-",""))+LEN(SUBSTITUTE(SUBSTITUTE(SUBSTITUTE(C31," ",""),"0",""),"-","")))=(LEN(SUBSTITUTE(SUBSTITUTE(SUBSTITUTE(E31," ",""),"0",""),"-",""))+LEN(SUBSTITUTE(SUBSTITUTE(SUBSTITUTE(F31," ",""),"0",""),"-",""))))),0,(LEN(SUBSTITUTE(SUBSTITUTE(SUBSTITUTE(B31," ",""),"0",""),"-",""))+LEN(SUBSTITUTE(SUBSTITUTE(SUBSTITUTE(C31," ",""),"0",""),"-",""))&gt;LEN(SUBSTITUTE(SUBSTITUTE(SUBSTITUTE(E31," ",""),"0",""),"-",""))+LEN(SUBSTITUTE(SUBSTITUTE(SUBSTITUTE(F31," ",""),"0",""),"-","")))*1),0)</f>
      </c>
      <c r="C41" s="14" t="str">
        <f>IF(OR(COUNTA(B10,C10,E10,F10)&gt;0,OR(D10="X",D10="x")),IF(OR(D10="X",D10="x",AND(OR(COUNTA(B10,C10,E10,F10)&gt;0,OR(D10="X",D10="x")),(LEN(SUBSTITUTE(SUBSTITUTE(SUBSTITUTE(B10," ",""),"0",""),"-",""))+LEN(SUBSTITUTE(SUBSTITUTE(SUBSTITUTE(C10," ",""),"0",""),"-","")))=(LEN(SUBSTITUTE(SUBSTITUTE(SUBSTITUTE(E10," ",""),"0",""),"-",""))+LEN(SUBSTITUTE(SUBSTITUTE(SUBSTITUTE(F10," ",""),"0",""),"-",""))))),0,(LEN(SUBSTITUTE(SUBSTITUTE(SUBSTITUTE(B10," ",""),"0",""),"-",""))+LEN(SUBSTITUTE(SUBSTITUTE(SUBSTITUTE(C10," ",""),"0",""),"-",""))&lt;LEN(SUBSTITUTE(SUBSTITUTE(SUBSTITUTE(E10," ",""),"0",""),"-",""))+LEN(SUBSTITUTE(SUBSTITUTE(SUBSTITUTE(F10," ",""),"0",""),"-","")))*1),0)+IF(OR(COUNTA(B16,C16,E16,F16)&gt;0,OR(D16="X",D16="x")),IF(OR(D16="X",D16="x",AND(OR(COUNTA(B16,C16,E16,F16)&gt;0,OR(D16="X",D16="x")),(LEN(SUBSTITUTE(SUBSTITUTE(SUBSTITUTE(B16," ",""),"0",""),"-",""))+LEN(SUBSTITUTE(SUBSTITUTE(SUBSTITUTE(C16," ",""),"0",""),"-","")))=(LEN(SUBSTITUTE(SUBSTITUTE(SUBSTITUTE(E16," ",""),"0",""),"-",""))+LEN(SUBSTITUTE(SUBSTITUTE(SUBSTITUTE(F16," ",""),"0",""),"-",""))))),0,(LEN(SUBSTITUTE(SUBSTITUTE(SUBSTITUTE(B16," ",""),"0",""),"-",""))+LEN(SUBSTITUTE(SUBSTITUTE(SUBSTITUTE(C16," ",""),"0",""),"-",""))&lt;LEN(SUBSTITUTE(SUBSTITUTE(SUBSTITUTE(E16," ",""),"0",""),"-",""))+LEN(SUBSTITUTE(SUBSTITUTE(SUBSTITUTE(F16," ",""),"0",""),"-","")))*1),0)+IF(OR(COUNTA(B21,C21,E21,F21)&gt;0,OR(D21="X",D21="x")),IF(OR(D21="X",D21="x",AND(OR(COUNTA(B21,C21,E21,F21)&gt;0,OR(D21="X",D21="x")),(LEN(SUBSTITUTE(SUBSTITUTE(SUBSTITUTE(B21," ",""),"0",""),"-",""))+LEN(SUBSTITUTE(SUBSTITUTE(SUBSTITUTE(C21," ",""),"0",""),"-","")))=(LEN(SUBSTITUTE(SUBSTITUTE(SUBSTITUTE(E21," ",""),"0",""),"-",""))+LEN(SUBSTITUTE(SUBSTITUTE(SUBSTITUTE(F21," ",""),"0",""),"-",""))))),0,(LEN(SUBSTITUTE(SUBSTITUTE(SUBSTITUTE(B21," ",""),"0",""),"-",""))+LEN(SUBSTITUTE(SUBSTITUTE(SUBSTITUTE(C21," ",""),"0",""),"-",""))&lt;LEN(SUBSTITUTE(SUBSTITUTE(SUBSTITUTE(E21," ",""),"0",""),"-",""))+LEN(SUBSTITUTE(SUBSTITUTE(SUBSTITUTE(F21," ",""),"0",""),"-","")))*1),0)+IF(OR(COUNTA(B25,C25,E25,F25)&gt;0,OR(D25="X",D25="x")),IF(OR(D25="X",D25="x",AND(OR(COUNTA(B25,C25,E25,F25)&gt;0,OR(D25="X",D25="x")),(LEN(SUBSTITUTE(SUBSTITUTE(SUBSTITUTE(B25," ",""),"0",""),"-",""))+LEN(SUBSTITUTE(SUBSTITUTE(SUBSTITUTE(C25," ",""),"0",""),"-","")))=(LEN(SUBSTITUTE(SUBSTITUTE(SUBSTITUTE(E25," ",""),"0",""),"-",""))+LEN(SUBSTITUTE(SUBSTITUTE(SUBSTITUTE(F25," ",""),"0",""),"-",""))))),0,(LEN(SUBSTITUTE(SUBSTITUTE(SUBSTITUTE(B25," ",""),"0",""),"-",""))+LEN(SUBSTITUTE(SUBSTITUTE(SUBSTITUTE(C25," ",""),"0",""),"-",""))&lt;LEN(SUBSTITUTE(SUBSTITUTE(SUBSTITUTE(E25," ",""),"0",""),"-",""))+LEN(SUBSTITUTE(SUBSTITUTE(SUBSTITUTE(F25," ",""),"0",""),"-","")))*1),0)+IF(OR(COUNTA(B28,C28,E28,F28)&gt;0,OR(D28="X",D28="x")),IF(OR(D28="X",D28="x",AND(OR(COUNTA(B28,C28,E28,F28)&gt;0,OR(D28="X",D28="x")),(LEN(SUBSTITUTE(SUBSTITUTE(SUBSTITUTE(B28," ",""),"0",""),"-",""))+LEN(SUBSTITUTE(SUBSTITUTE(SUBSTITUTE(C28," ",""),"0",""),"-","")))=(LEN(SUBSTITUTE(SUBSTITUTE(SUBSTITUTE(E28," ",""),"0",""),"-",""))+LEN(SUBSTITUTE(SUBSTITUTE(SUBSTITUTE(F28," ",""),"0",""),"-",""))))),0,(LEN(SUBSTITUTE(SUBSTITUTE(SUBSTITUTE(B28," ",""),"0",""),"-",""))+LEN(SUBSTITUTE(SUBSTITUTE(SUBSTITUTE(C28," ",""),"0",""),"-",""))&lt;LEN(SUBSTITUTE(SUBSTITUTE(SUBSTITUTE(E28," ",""),"0",""),"-",""))+LEN(SUBSTITUTE(SUBSTITUTE(SUBSTITUTE(F28," ",""),"0",""),"-","")))*1),0)+IF(OR(COUNTA(B30,C30,E30,F30)&gt;0,OR(D30="X",D30="x")),IF(OR(D30="X",D30="x",AND(OR(COUNTA(B30,C30,E30,F30)&gt;0,OR(D30="X",D30="x")),(LEN(SUBSTITUTE(SUBSTITUTE(SUBSTITUTE(B30," ",""),"0",""),"-",""))+LEN(SUBSTITUTE(SUBSTITUTE(SUBSTITUTE(C30," ",""),"0",""),"-","")))=(LEN(SUBSTITUTE(SUBSTITUTE(SUBSTITUTE(E30," ",""),"0",""),"-",""))+LEN(SUBSTITUTE(SUBSTITUTE(SUBSTITUTE(F30," ",""),"0",""),"-",""))))),0,(LEN(SUBSTITUTE(SUBSTITUTE(SUBSTITUTE(B30," ",""),"0",""),"-",""))+LEN(SUBSTITUTE(SUBSTITUTE(SUBSTITUTE(C30," ",""),"0",""),"-",""))&lt;LEN(SUBSTITUTE(SUBSTITUTE(SUBSTITUTE(E30," ",""),"0",""),"-",""))+LEN(SUBSTITUTE(SUBSTITUTE(SUBSTITUTE(F30," ",""),"0",""),"-","")))*1),0)+IF(OR(COUNTA(B31,C31,E31,F31)&gt;0,OR(D31="X",D31="x")),IF(OR(D31="X",D31="x",AND(OR(COUNTA(B31,C31,E31,F31)&gt;0,OR(D31="X",D31="x")),(LEN(SUBSTITUTE(SUBSTITUTE(SUBSTITUTE(B31," ",""),"0",""),"-",""))+LEN(SUBSTITUTE(SUBSTITUTE(SUBSTITUTE(C31," ",""),"0",""),"-","")))=(LEN(SUBSTITUTE(SUBSTITUTE(SUBSTITUTE(E31," ",""),"0",""),"-",""))+LEN(SUBSTITUTE(SUBSTITUTE(SUBSTITUTE(F31," ",""),"0",""),"-",""))))),0,(LEN(SUBSTITUTE(SUBSTITUTE(SUBSTITUTE(B31," ",""),"0",""),"-",""))+LEN(SUBSTITUTE(SUBSTITUTE(SUBSTITUTE(C31," ",""),"0",""),"-",""))&lt;LEN(SUBSTITUTE(SUBSTITUTE(SUBSTITUTE(E31," ",""),"0",""),"-",""))+LEN(SUBSTITUTE(SUBSTITUTE(SUBSTITUTE(F31," ",""),"0",""),"-","")))*1),0)</f>
      </c>
      <c r="D41" s="14" t="str">
        <f>IF(OR(COUNTA(B10,C10,E10,F10)&gt;0,OR(D10="X",D10="x")),IF(OR(D10="X",D10="x",AND(OR(COUNTA(B10,C10,E10,F10)&gt;0,OR(D10="X",D10="x")),(LEN(SUBSTITUTE(SUBSTITUTE(SUBSTITUTE(B10," ",""),"0",""),"-",""))+LEN(SUBSTITUTE(SUBSTITUTE(SUBSTITUTE(C10," ",""),"0",""),"-","")))=(LEN(SUBSTITUTE(SUBSTITUTE(SUBSTITUTE(E10," ",""),"0",""),"-",""))+LEN(SUBSTITUTE(SUBSTITUTE(SUBSTITUTE(F10," ",""),"0",""),"-",""))))),1,0),0)+IF(OR(COUNTA(B16,C16,E16,F16)&gt;0,OR(D16="X",D16="x")),IF(OR(D16="X",D16="x",AND(OR(COUNTA(B16,C16,E16,F16)&gt;0,OR(D16="X",D16="x")),(LEN(SUBSTITUTE(SUBSTITUTE(SUBSTITUTE(B16," ",""),"0",""),"-",""))+LEN(SUBSTITUTE(SUBSTITUTE(SUBSTITUTE(C16," ",""),"0",""),"-","")))=(LEN(SUBSTITUTE(SUBSTITUTE(SUBSTITUTE(E16," ",""),"0",""),"-",""))+LEN(SUBSTITUTE(SUBSTITUTE(SUBSTITUTE(F16," ",""),"0",""),"-",""))))),1,0),0)+IF(OR(COUNTA(B21,C21,E21,F21)&gt;0,OR(D21="X",D21="x")),IF(OR(D21="X",D21="x",AND(OR(COUNTA(B21,C21,E21,F21)&gt;0,OR(D21="X",D21="x")),(LEN(SUBSTITUTE(SUBSTITUTE(SUBSTITUTE(B21," ",""),"0",""),"-",""))+LEN(SUBSTITUTE(SUBSTITUTE(SUBSTITUTE(C21," ",""),"0",""),"-","")))=(LEN(SUBSTITUTE(SUBSTITUTE(SUBSTITUTE(E21," ",""),"0",""),"-",""))+LEN(SUBSTITUTE(SUBSTITUTE(SUBSTITUTE(F21," ",""),"0",""),"-",""))))),1,0),0)+IF(OR(COUNTA(B25,C25,E25,F25)&gt;0,OR(D25="X",D25="x")),IF(OR(D25="X",D25="x",AND(OR(COUNTA(B25,C25,E25,F25)&gt;0,OR(D25="X",D25="x")),(LEN(SUBSTITUTE(SUBSTITUTE(SUBSTITUTE(B25," ",""),"0",""),"-",""))+LEN(SUBSTITUTE(SUBSTITUTE(SUBSTITUTE(C25," ",""),"0",""),"-","")))=(LEN(SUBSTITUTE(SUBSTITUTE(SUBSTITUTE(E25," ",""),"0",""),"-",""))+LEN(SUBSTITUTE(SUBSTITUTE(SUBSTITUTE(F25," ",""),"0",""),"-",""))))),1,0),0)+IF(OR(COUNTA(B28,C28,E28,F28)&gt;0,OR(D28="X",D28="x")),IF(OR(D28="X",D28="x",AND(OR(COUNTA(B28,C28,E28,F28)&gt;0,OR(D28="X",D28="x")),(LEN(SUBSTITUTE(SUBSTITUTE(SUBSTITUTE(B28," ",""),"0",""),"-",""))+LEN(SUBSTITUTE(SUBSTITUTE(SUBSTITUTE(C28," ",""),"0",""),"-","")))=(LEN(SUBSTITUTE(SUBSTITUTE(SUBSTITUTE(E28," ",""),"0",""),"-",""))+LEN(SUBSTITUTE(SUBSTITUTE(SUBSTITUTE(F28," ",""),"0",""),"-",""))))),1,0),0)+IF(OR(COUNTA(B30,C30,E30,F30)&gt;0,OR(D30="X",D30="x")),IF(OR(D30="X",D30="x",AND(OR(COUNTA(B30,C30,E30,F30)&gt;0,OR(D30="X",D30="x")),(LEN(SUBSTITUTE(SUBSTITUTE(SUBSTITUTE(B30," ",""),"0",""),"-",""))+LEN(SUBSTITUTE(SUBSTITUTE(SUBSTITUTE(C30," ",""),"0",""),"-","")))=(LEN(SUBSTITUTE(SUBSTITUTE(SUBSTITUTE(E30," ",""),"0",""),"-",""))+LEN(SUBSTITUTE(SUBSTITUTE(SUBSTITUTE(F30," ",""),"0",""),"-",""))))),1,0),0)+IF(OR(COUNTA(B31,C31,E31,F31)&gt;0,OR(D31="X",D31="x")),IF(OR(D31="X",D31="x",AND(OR(COUNTA(B31,C31,E31,F31)&gt;0,OR(D31="X",D31="x")),(LEN(SUBSTITUTE(SUBSTITUTE(SUBSTITUTE(B31," ",""),"0",""),"-",""))+LEN(SUBSTITUTE(SUBSTITUTE(SUBSTITUTE(C31," ",""),"0",""),"-","")))=(LEN(SUBSTITUTE(SUBSTITUTE(SUBSTITUTE(E31," ",""),"0",""),"-",""))+LEN(SUBSTITUTE(SUBSTITUTE(SUBSTITUTE(F31," ",""),"0",""),"-",""))))),1,0),0)</f>
      </c>
      <c r="E41" s="14" t="str">
        <f>LEN(SUBSTITUTE(SUBSTITUTE(SUBSTITUTE(B10," ",""),"0",""),"-",""))+LEN(SUBSTITUTE(SUBSTITUTE(SUBSTITUTE(C10," ",""),"0",""),"-",""))+LEN(SUBSTITUTE(SUBSTITUTE(SUBSTITUTE(B16," ",""),"0",""),"-",""))+LEN(SUBSTITUTE(SUBSTITUTE(SUBSTITUTE(C16," ",""),"0",""),"-",""))+LEN(SUBSTITUTE(SUBSTITUTE(SUBSTITUTE(B21," ",""),"0",""),"-",""))+LEN(SUBSTITUTE(SUBSTITUTE(SUBSTITUTE(C21," ",""),"0",""),"-",""))+LEN(SUBSTITUTE(SUBSTITUTE(SUBSTITUTE(B25," ",""),"0",""),"-",""))+LEN(SUBSTITUTE(SUBSTITUTE(SUBSTITUTE(C25," ",""),"0",""),"-",""))+LEN(SUBSTITUTE(SUBSTITUTE(SUBSTITUTE(B28," ",""),"0",""),"-",""))+LEN(SUBSTITUTE(SUBSTITUTE(SUBSTITUTE(C28," ",""),"0",""),"-",""))+LEN(SUBSTITUTE(SUBSTITUTE(SUBSTITUTE(B30," ",""),"0",""),"-",""))+LEN(SUBSTITUTE(SUBSTITUTE(SUBSTITUTE(C30," ",""),"0",""),"-",""))+LEN(SUBSTITUTE(SUBSTITUTE(SUBSTITUTE(B31," ",""),"0",""),"-",""))+LEN(SUBSTITUTE(SUBSTITUTE(SUBSTITUTE(C31," ",""),"0",""),"-",""))</f>
      </c>
      <c r="F41" s="14" t="str">
        <f>LEN(SUBSTITUTE(SUBSTITUTE(SUBSTITUTE(E10," ",""),"0",""),"-",""))+LEN(SUBSTITUTE(SUBSTITUTE(SUBSTITUTE(F10," ",""),"0",""),"-",""))+LEN(SUBSTITUTE(SUBSTITUTE(SUBSTITUTE(E16," ",""),"0",""),"-",""))+LEN(SUBSTITUTE(SUBSTITUTE(SUBSTITUTE(F16," ",""),"0",""),"-",""))+LEN(SUBSTITUTE(SUBSTITUTE(SUBSTITUTE(E21," ",""),"0",""),"-",""))+LEN(SUBSTITUTE(SUBSTITUTE(SUBSTITUTE(F21," ",""),"0",""),"-",""))+LEN(SUBSTITUTE(SUBSTITUTE(SUBSTITUTE(E25," ",""),"0",""),"-",""))+LEN(SUBSTITUTE(SUBSTITUTE(SUBSTITUTE(F25," ",""),"0",""),"-",""))+LEN(SUBSTITUTE(SUBSTITUTE(SUBSTITUTE(E28," ",""),"0",""),"-",""))+LEN(SUBSTITUTE(SUBSTITUTE(SUBSTITUTE(F28," ",""),"0",""),"-",""))+LEN(SUBSTITUTE(SUBSTITUTE(SUBSTITUTE(E30," ",""),"0",""),"-",""))+LEN(SUBSTITUTE(SUBSTITUTE(SUBSTITUTE(F30," ",""),"0",""),"-",""))+LEN(SUBSTITUTE(SUBSTITUTE(SUBSTITUTE(E31," ",""),"0",""),"-",""))+LEN(SUBSTITUTE(SUBSTITUTE(SUBSTITUTE(F31," ",""),"0",""),"-",""))</f>
      </c>
      <c r="G41" s="18" t="str">
        <f>RANK(U41,$U$34:$U$41)+COUNTIF($U$33:U40,U41)</f>
      </c>
      <c r="U41" t="str">
        <f>(B41*1000000)-(C41*10000)+(D41*100)+(E41*1)-(F41*0.01)</f>
      </c>
    </row>
    <row r="44">
      <c r="F44" s="13"/>
      <c r="G44" s="13" t="s">
        <v>52</v>
      </c>
    </row>
    <row r="45">
      <c r="F45" t="s">
        <v>53</v>
      </c>
      <c r="G45" s="19" t="str">
        <f>IFERROR(INDEX($A$34:$A$41, MATCH(1, $G$34:$G$41, 0)), "-")</f>
      </c>
    </row>
    <row r="46">
      <c r="F46" t="s">
        <v>54</v>
      </c>
      <c r="G46" s="19" t="str">
        <f>IFERROR(INDEX($A$34:$A$41, MATCH(2, $G$34:$G$41, 0)), "-")</f>
      </c>
    </row>
    <row r="47">
      <c r="F47" t="s">
        <v>55</v>
      </c>
      <c r="G47" s="19" t="str">
        <f>IFERROR(INDEX($A$34:$A$41, MATCH(3, $G$34:$G$41, 0)), "-")</f>
      </c>
    </row>
    <row r="48">
      <c r="F48" t="s">
        <v>56</v>
      </c>
      <c r="G48" s="19" t="str">
        <f>IFERROR(INDEX($A$34:$A$41, MATCH(4, $G$34:$G$41, 0)), "-")</f>
      </c>
    </row>
    <row r="49">
      <c r="F49" t="s">
        <v>57</v>
      </c>
      <c r="G49" s="19" t="str">
        <f>IFERROR(INDEX($A$34:$A$41, MATCH(5, $G$34:$G$41, 0)), "-")</f>
      </c>
    </row>
    <row r="50">
      <c r="F50" t="s">
        <v>58</v>
      </c>
      <c r="G50" s="19" t="str">
        <f>IFERROR(INDEX($A$34:$A$41, MATCH(6, $G$34:$G$41, 0)), "-")</f>
      </c>
    </row>
    <row r="51">
      <c r="F51" t="s">
        <v>59</v>
      </c>
      <c r="G51" s="19" t="str">
        <f>IFERROR(INDEX($A$34:$A$41, MATCH(7, $G$34:$G$41, 0)), "-")</f>
      </c>
    </row>
    <row r="52">
      <c r="F52" t="s">
        <v>60</v>
      </c>
      <c r="G52" s="19" t="str">
        <f>IFERROR(INDEX($A$34:$A$41, MATCH(8, $G$34:$G$41, 0)), "-")</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
    <mergeCell ref="A1:G1"/>
    <mergeCell ref="A2:G2"/>
  </mergeCells>
  <printOptions horizontalCentered="true" verticalCentered="true"/>
  <pageSetup fitToHeight="0" fitToWidth="1" orientation="portrait" pageOrder="downThenOver" paperSize="9"/>
  <rowBreaks count="1" manualBreakCount="1">
    <brk id="31" max="16383" man="true"/>
  </rowBreaks>
  <colBreaks/>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30"/>
    <col customWidth="true" max="6" min="2" width="5"/>
    <col customWidth="true" max="7" min="7" width="30"/>
    <col customWidth="true" max="8" min="8" width="5"/>
    <col customWidth="true" max="9" min="9" width="34.83"/>
    <col customWidth="true" max="14" min="10" width="3.83"/>
    <col customWidth="true" max="15" min="15" width="34.83"/>
    <col customWidth="true" max="20" min="16" width="10.83"/>
  </cols>
  <sheetData>
    <row r="1">
      <c r="A1" s="13" t="s">
        <v>41</v>
      </c>
      <c r="B1" s="13"/>
      <c r="C1" s="13"/>
      <c r="D1" s="13"/>
      <c r="E1" s="13"/>
      <c r="F1" s="13"/>
      <c r="G1" s="13"/>
    </row>
    <row r="2">
      <c r="A2" s="13" t="s">
        <v>61</v>
      </c>
      <c r="B2" s="13"/>
      <c r="C2" s="13"/>
      <c r="D2" s="13"/>
      <c r="E2" s="13"/>
      <c r="F2" s="13"/>
      <c r="G2" s="13"/>
    </row>
    <row r="3">
      <c r="A3" s="17" t="s">
        <v>42</v>
      </c>
      <c r="D3" s="14" t="s">
        <v>43</v>
      </c>
      <c r="G3" s="16" t="s">
        <v>44</v>
      </c>
    </row>
    <row r="4">
      <c r="A4" s="14" t="str">
        <f>CONCATENATE("Pool A-2nd ",'Pool Matches'!G46)</f>
      </c>
      <c r="B4" s="18"/>
      <c r="C4" s="18"/>
      <c r="D4" s="18"/>
      <c r="E4" s="18"/>
      <c r="F4" s="18"/>
      <c r="G4" s="14" t="str">
        <f>CONCATENATE("Pool A-1st ",'Pool Matches'!G45)</f>
      </c>
    </row>
    <row r="6">
      <c r="F6" t="s">
        <v>53</v>
      </c>
      <c r="G6" s="19"/>
    </row>
    <row r="7">
      <c r="F7" t="s">
        <v>54</v>
      </c>
      <c r="G7" s="19"/>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2">
    <mergeCell ref="A1:G1"/>
    <mergeCell ref="A2:G2"/>
  </mergeCells>
  <printOptions horizontalCentered="true" verticalCentered="true"/>
  <pageSetup fitToHeight="0" fitToWidth="1" orientation="portrait" pageOrder="downThenOver" paperSize="9"/>
</worksheet>
</file>

<file path=xl/worksheets/sheet8.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1" min="1" width="25"/>
    <col customWidth="true" max="2" min="2" width="4"/>
    <col customWidth="true" max="3" min="3" width="28"/>
    <col customWidth="true" max="26" min="4" width="3.5"/>
  </cols>
  <sheetData>
    <row r="1">
      <c r="A1" s="13" t="str">
        <f>IF(data!$B$1="","Shiaijo A",data!$B$1&amp;" - Shiaijo A")</f>
      </c>
      <c r="B1" s="13"/>
      <c r="C1" s="13"/>
      <c r="D1" s="13"/>
      <c r="E1" s="13"/>
    </row>
    <row r="4">
      <c r="A4" s="24" t="str">
        <f>'data'!$A$10</f>
      </c>
    </row>
    <row r="5">
      <c r="A5" s="25" t="str">
        <f>data!$D$3&amp;" "&amp;data!$B$3</f>
      </c>
      <c r="C5" s="23" t="str">
        <f>CONCATENATE("Pool A-1st ",'Pool Matches'!G45)</f>
      </c>
    </row>
    <row r="6">
      <c r="A6" s="26" t="str">
        <f>data!$D$4&amp;" "&amp;data!$B$4</f>
      </c>
      <c r="D6" s="22"/>
      <c r="E6" s="21">
        <v>1</v>
      </c>
    </row>
    <row r="7">
      <c r="A7" s="26" t="str">
        <f>data!$D$5&amp;" "&amp;data!$B$5</f>
      </c>
      <c r="C7" s="23" t="str">
        <f>CONCATENATE("Pool A-2nd ",'Pool Matches'!G46)</f>
      </c>
      <c r="D7" s="15"/>
      <c r="E7" s="20"/>
    </row>
    <row r="8">
      <c r="A8" s="26" t="str">
        <f>data!$D$6&amp;" "&amp;data!$B$6</f>
      </c>
    </row>
    <row r="9">
      <c r="A9" s="26" t="str">
        <f>data!$D$7&amp;" "&amp;data!$B$7</f>
      </c>
    </row>
    <row r="10">
      <c r="A10" s="26" t="str">
        <f>data!$D$8&amp;" "&amp;data!$B$8</f>
      </c>
    </row>
    <row r="11">
      <c r="A11" s="26" t="str">
        <f>data!$D$9&amp;" "&amp;data!$B$9</f>
      </c>
    </row>
    <row r="12">
      <c r="A12" s="27" t="str">
        <f>data!$D$10&amp;" "&amp;data!$B$10</f>
      </c>
    </row>
    <row r="13">
      <c r="A13" s="22"/>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mergeCells count="1">
    <mergeCell ref="A1:E1"/>
  </mergeCells>
  <printOptions horizontalCentered="true" verticalCentered="true"/>
  <pageSetup fitToHeight="0" fitToWidth="1" orientation="portrait" paperSize="9"/>
</worksheet>
</file>

<file path=xl/worksheets/sheet9.xml><?xml version="1.0" encoding="utf-8"?>
<worksheet xmlns="http://schemas.openxmlformats.org/spreadsheetml/2006/main">
  <dimension ref="A1"/>
  <sheetViews>
    <sheetView workbookViewId="0"/>
  </sheetViews>
  <cols>
    <col customWidth="true" max="1" min="1" width="40"/>
    <col customWidth="true" max="2" min="2" width="140"/>
  </cols>
  <sheetData>
    <row r="1" ht="270" customHeight="true">
      <c r="A1" s="28" t="str">
        <f>'data'!$D$3</f>
      </c>
      <c r="B1" s="29" t="str">
        <f>'data'!$B$3</f>
      </c>
    </row>
    <row r="2" ht="270" customHeight="true">
      <c r="A2" s="28" t="str">
        <f>'data'!$D$4</f>
      </c>
      <c r="B2" s="29" t="str">
        <f>'data'!$B$4</f>
      </c>
    </row>
    <row r="3" ht="270" customHeight="true">
      <c r="A3" s="28" t="str">
        <f>'data'!$D$5</f>
      </c>
      <c r="B3" s="29" t="str">
        <f>'data'!$B$5</f>
      </c>
    </row>
    <row r="4" ht="270" customHeight="true">
      <c r="A4" s="28" t="str">
        <f>'data'!$D$6</f>
      </c>
      <c r="B4" s="29" t="str">
        <f>'data'!$B$6</f>
      </c>
    </row>
    <row r="5" ht="270" customHeight="true">
      <c r="A5" s="28" t="str">
        <f>'data'!$D$7</f>
      </c>
      <c r="B5" s="29" t="str">
        <f>'data'!$B$7</f>
      </c>
    </row>
    <row r="6" ht="270" customHeight="true">
      <c r="A6" s="28" t="str">
        <f>'data'!$D$8</f>
      </c>
      <c r="B6" s="29" t="str">
        <f>'data'!$B$8</f>
      </c>
    </row>
    <row r="7" ht="270" customHeight="true">
      <c r="A7" s="28" t="str">
        <f>'data'!$D$9</f>
      </c>
      <c r="B7" s="29" t="str">
        <f>'data'!$B$9</f>
      </c>
    </row>
    <row r="8" ht="270" customHeight="true">
      <c r="A8" s="28" t="str">
        <f>'data'!$D$10</f>
      </c>
      <c r="B8" s="29" t="str">
        <f>'data'!$B$10</f>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landscape" paperSize="8"/>
  <rowBreaks count="2" manualBreakCount="2">
    <brk id="3" max="16383" man="true"/>
    <brk id="6" max="16383" man="true"/>
  </rowBreaks>
  <colBreaks/>
</worksheet>
</file>

<file path=xl/worksheets/sheet10.xml><?xml version="1.0" encoding="utf-8"?>
<worksheet xmlns="http://schemas.openxmlformats.org/spreadsheetml/2006/main">
  <dimension ref="A1"/>
  <sheetViews>
    <sheetView tabSelected="true" workbookViewId="0"/>
  </sheetViews>
  <cols>
    <col customWidth="true" max="1" min="1" width="88"/>
  </cols>
  <sheetData>
    <row r="1" ht="409" customHeight="true">
      <c r="A1" s="30" t="s">
        <v>19</v>
      </c>
    </row>
    <row r="2" ht="409" customHeight="true">
      <c r="A2" s="30" t="s">
        <v>19</v>
      </c>
    </row>
    <row r="3" ht="409" customHeight="true">
      <c r="A3" s="30" t="s">
        <v>22</v>
      </c>
    </row>
    <row r="4" ht="409" customHeight="true">
      <c r="A4" s="30" t="s">
        <v>22</v>
      </c>
    </row>
    <row r="5" ht="409" customHeight="true">
      <c r="A5" s="30" t="s">
        <v>25</v>
      </c>
    </row>
    <row r="6" ht="409" customHeight="true">
      <c r="A6" s="30" t="s">
        <v>25</v>
      </c>
    </row>
    <row r="7" ht="409" customHeight="true">
      <c r="A7" s="30" t="s">
        <v>28</v>
      </c>
    </row>
    <row r="8" ht="409" customHeight="true">
      <c r="A8" s="30" t="s">
        <v>28</v>
      </c>
    </row>
    <row r="9" ht="409" customHeight="true">
      <c r="A9" s="30" t="s">
        <v>31</v>
      </c>
    </row>
    <row r="10" ht="409" customHeight="true">
      <c r="A10" s="30" t="s">
        <v>31</v>
      </c>
    </row>
    <row r="11" ht="409" customHeight="true">
      <c r="A11" s="30" t="s">
        <v>34</v>
      </c>
    </row>
    <row r="12" ht="409" customHeight="true">
      <c r="A12" s="30" t="s">
        <v>34</v>
      </c>
    </row>
    <row r="13" ht="409" customHeight="true">
      <c r="A13" s="30" t="s">
        <v>37</v>
      </c>
    </row>
    <row r="14" ht="409" customHeight="true">
      <c r="A14" s="30" t="s">
        <v>37</v>
      </c>
    </row>
    <row r="15" ht="409" customHeight="true">
      <c r="A15" s="30" t="s">
        <v>40</v>
      </c>
    </row>
    <row r="16" ht="409" customHeight="true">
      <c r="A16" s="30" t="s">
        <v>40</v>
      </c>
    </row>
  </sheetData>
  <sheetProtection sheet="true" objects="true" scenarios="true" formatCells="true" formatColumns="true" formatRows="true" insertColumns="true" insertRows="true" insertHyperlinks="true" deleteColumns="true" deleteRows="true" selectLockedCells="false" sort="true" autoFilter="true" pivotTables="true" selectUnlockedCells="false"/>
  <pageMargins left="0.1" right="0.1" top="0.1" bottom="0.1" header="0.1" footer="0.1"/>
  <pageSetup orientation="portrait" paperSize="9"/>
  <rowBreaks count="8" manualBreakCount="8">
    <brk id="2" max="16383" man="true"/>
    <brk id="4" max="16383" man="true"/>
    <brk id="6" max="16383" man="true"/>
    <brk id="8" max="16383" man="true"/>
    <brk id="10" max="16383" man="true"/>
    <brk id="12" max="16383" man="true"/>
    <brk id="14" max="16383" man="true"/>
    <brk id="16" max="16383" man="true"/>
  </rowBreaks>
  <colBrea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