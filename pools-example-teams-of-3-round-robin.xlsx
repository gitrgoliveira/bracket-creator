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5" name="_xlnm.Print_Area">'Tree 1'!$A$1:$I$19</definedName>
    <definedName localSheetId="6" name="_xlnm.Print_Area">'Names to Print A'!$A$1:$B$9</definedName>
    <definedName localSheetId="4" name="_xlnm.Print_Area">'Elimination Matches'!$A$1:$H$86</definedName>
  </definedNames>
  <calcPr calcId="122211"/>
</workbook>
</file>

<file path=xl/sharedStrings.xml><?xml version="1.0" encoding="utf-8"?>
<sst xmlns="http://schemas.openxmlformats.org/spreadsheetml/2006/main" count="70" uniqueCount="70">
  <si>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</si>
  <si>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</si>
  <si>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</si>
  <si>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</si>
  <si>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</si>
  <si>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</si>
  <si>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</si>
  <si>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</si>
  <si>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</si>
  <si>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</si>
  <si>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</si>
  <si>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</si>
  <si>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</si>
  <si>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</si>
  <si>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</si>
  <si>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</si>
  <si>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Alice Adams</t>
  </si>
  <si>
    <t>Team Alpha</t>
  </si>
  <si>
    <t>Dave Brown</t>
  </si>
  <si>
    <t>Team Bravo</t>
  </si>
  <si>
    <t>Grace Carter</t>
  </si>
  <si>
    <t>Team Charlie</t>
  </si>
  <si>
    <t>Pool B</t>
  </si>
  <si>
    <t>Bob Adams</t>
  </si>
  <si>
    <t>Eve Brown</t>
  </si>
  <si>
    <t>Henry Carter</t>
  </si>
  <si>
    <t>Pool C</t>
  </si>
  <si>
    <t>Charlie Adams</t>
  </si>
  <si>
    <t>Frank Brown</t>
  </si>
  <si>
    <t>Iris Carter</t>
  </si>
  <si>
    <t>Shiaijo A</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</si>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</sst>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22</v>
      </c>
      <c r="B6" t="s">
        <v>23</v>
      </c>
      <c r="C6" t="s">
        <v>17</v>
      </c>
    </row>
    <row r="7">
      <c r="A7" t="s">
        <v>22</v>
      </c>
      <c r="B7" t="s">
        <v>24</v>
      </c>
      <c r="C7" t="s">
        <v>19</v>
      </c>
    </row>
    <row r="8">
      <c r="A8" t="s">
        <v>22</v>
      </c>
      <c r="B8" t="s">
        <v>25</v>
      </c>
      <c r="C8" t="s">
        <v>21</v>
      </c>
    </row>
    <row r="9">
      <c r="A9" t="s">
        <v>26</v>
      </c>
      <c r="B9" t="s">
        <v>27</v>
      </c>
      <c r="C9" t="s">
        <v>17</v>
      </c>
    </row>
    <row r="10">
      <c r="A10" t="s">
        <v>26</v>
      </c>
      <c r="B10" t="s">
        <v>28</v>
      </c>
      <c r="C10" t="s">
        <v>19</v>
      </c>
    </row>
    <row r="11">
      <c r="A11" t="s">
        <v>26</v>
      </c>
      <c r="B11" t="s">
        <v>29</v>
      </c>
      <c r="C11"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63</v>
      </c>
      <c r="F13" s="13"/>
      <c r="G13" s="13"/>
      <c r="H13" s="13"/>
    </row>
    <row r="14">
      <c r="A14">
        <v>1</v>
      </c>
      <c r="E14" s="32" t="s">
        <v>64</v>
      </c>
      <c r="F14" s="32"/>
      <c r="G14" s="32"/>
      <c r="H14" s="31" t="str">
        <f>H2</f>
      </c>
    </row>
    <row r="15">
      <c r="E15" s="32" t="s">
        <v>65</v>
      </c>
      <c r="F15" s="32"/>
      <c r="G15" s="32"/>
      <c r="H15" s="31" t="str">
        <f>H8</f>
      </c>
    </row>
    <row r="16">
      <c r="E16" s="32" t="s">
        <v>66</v>
      </c>
      <c r="F16" s="32"/>
      <c r="G16" s="32"/>
      <c r="H16" s="31" t="str">
        <f>H14+H15</f>
      </c>
    </row>
    <row r="17">
      <c r="E17" s="32" t="s">
        <v>67</v>
      </c>
      <c r="F17" s="32"/>
      <c r="G17" s="32"/>
      <c r="H17" s="31" t="str">
        <f>H16/A14</f>
      </c>
    </row>
    <row r="18">
      <c r="E18" s="13" t="s">
        <v>68</v>
      </c>
      <c r="F18" s="13"/>
      <c r="G18" s="13"/>
      <c r="H18" s="33">
        <v>0.375</v>
      </c>
    </row>
    <row r="19">
      <c r="E19" s="13" t="s">
        <v>69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"1. " &amp; data!$B$3</f>
      </c>
      <c r="D6" s="12" t="str">
        <f>"1. " &amp; data!$B$6</f>
      </c>
      <c r="F6" s="12" t="str">
        <f>"1. " &amp; data!$B$9</f>
      </c>
    </row>
    <row r="7" ht="17" customHeight="true">
      <c r="B7" s="12" t="str">
        <f>"2. " &amp; data!$B$4</f>
      </c>
      <c r="D7" s="12" t="str">
        <f>"2. " &amp; data!$B$7</f>
      </c>
      <c r="F7" s="12" t="str">
        <f>"2. " &amp; data!$B$10</f>
      </c>
    </row>
    <row r="8">
      <c r="B8" s="12" t="str">
        <f>"3. " &amp; data!$B$5</f>
      </c>
      <c r="D8" s="12" t="str">
        <f>"3. " &amp; data!$B$8</f>
      </c>
      <c r="F8" s="12" t="str">
        <f>"3. " &amp; 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30</v>
      </c>
      <c r="B1" s="13"/>
      <c r="C1" s="13"/>
      <c r="D1" s="13"/>
      <c r="E1" s="13"/>
      <c r="F1" s="13"/>
      <c r="G1" s="13"/>
    </row>
    <row r="2">
      <c r="A2" s="13" t="str">
        <f>'data'!$A$5</f>
      </c>
      <c r="B2" s="13"/>
      <c r="C2" s="13"/>
      <c r="D2" s="13"/>
      <c r="E2" s="13"/>
      <c r="F2" s="13"/>
      <c r="G2" s="13"/>
    </row>
    <row r="3">
      <c r="A3" s="17" t="s">
        <v>31</v>
      </c>
      <c r="B3" s="14"/>
      <c r="C3" s="14"/>
      <c r="D3" s="14" t="s">
        <v>32</v>
      </c>
      <c r="E3" s="14"/>
      <c r="F3" s="14"/>
      <c r="G3" s="16" t="s">
        <v>33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31</v>
      </c>
      <c r="B9" s="14"/>
      <c r="C9" s="14"/>
      <c r="D9" s="14" t="s">
        <v>32</v>
      </c>
      <c r="E9" s="14"/>
      <c r="F9" s="14"/>
      <c r="G9" s="16" t="s">
        <v>33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31</v>
      </c>
      <c r="B15" s="14"/>
      <c r="C15" s="14"/>
      <c r="D15" s="14" t="s">
        <v>32</v>
      </c>
      <c r="E15" s="14"/>
      <c r="F15" s="14"/>
      <c r="G15" s="16" t="s">
        <v>33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34</v>
      </c>
      <c r="B22" s="13" t="s">
        <v>35</v>
      </c>
      <c r="C22" s="13" t="s">
        <v>36</v>
      </c>
      <c r="D22" s="13" t="s">
        <v>37</v>
      </c>
      <c r="E22" s="13"/>
      <c r="F22" s="13"/>
      <c r="G22" s="13" t="s">
        <v>38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39</v>
      </c>
      <c r="C27" s="13" t="s">
        <v>40</v>
      </c>
      <c r="D27" s="13" t="s">
        <v>41</v>
      </c>
      <c r="E27" s="13" t="s">
        <v>42</v>
      </c>
      <c r="F27" s="13" t="s">
        <v>43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44</v>
      </c>
    </row>
    <row r="34">
      <c r="F34" t="s">
        <v>45</v>
      </c>
      <c r="G34" s="19" t="str">
        <f>IFERROR(INDEX($A$23:$A$30, MATCH(1, $G$23:$G$30, 0)), "-")</f>
      </c>
    </row>
    <row r="35">
      <c r="F35" t="s">
        <v>46</v>
      </c>
      <c r="G35" s="19" t="str">
        <f>IFERROR(INDEX($A$23:$A$30, MATCH(2, $G$23:$G$30, 0)), "-")</f>
      </c>
    </row>
    <row r="36">
      <c r="F36" t="s">
        <v>47</v>
      </c>
      <c r="G36" s="19" t="str">
        <f>IFERROR(INDEX($A$23:$A$30, MATCH(3, $G$23:$G$30, 0)), "-")</f>
      </c>
    </row>
    <row r="39">
      <c r="A39" s="13" t="str">
        <f>'data'!$A$8</f>
      </c>
      <c r="B39" s="13"/>
      <c r="C39" s="13"/>
      <c r="D39" s="13"/>
      <c r="E39" s="13"/>
      <c r="F39" s="13"/>
      <c r="G39" s="13"/>
    </row>
    <row r="40">
      <c r="A40" s="17" t="s">
        <v>31</v>
      </c>
      <c r="B40" s="14"/>
      <c r="C40" s="14"/>
      <c r="D40" s="14" t="s">
        <v>32</v>
      </c>
      <c r="E40" s="14"/>
      <c r="F40" s="14"/>
      <c r="G40" s="16" t="s">
        <v>33</v>
      </c>
    </row>
    <row r="41">
      <c r="A41" s="14" t="str">
        <f>'data'!$B$7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31</v>
      </c>
      <c r="B46" s="14"/>
      <c r="C46" s="14"/>
      <c r="D46" s="14" t="s">
        <v>32</v>
      </c>
      <c r="E46" s="14"/>
      <c r="F46" s="14"/>
      <c r="G46" s="16" t="s">
        <v>33</v>
      </c>
    </row>
    <row r="47">
      <c r="A47" s="14" t="str">
        <f>'data'!$B$8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31</v>
      </c>
      <c r="B52" s="14"/>
      <c r="C52" s="14"/>
      <c r="D52" s="14" t="s">
        <v>32</v>
      </c>
      <c r="E52" s="14"/>
      <c r="F52" s="14"/>
      <c r="G52" s="16" t="s">
        <v>33</v>
      </c>
    </row>
    <row r="53">
      <c r="A53" s="14" t="str">
        <f>'data'!$B$8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34</v>
      </c>
      <c r="B59" s="13" t="s">
        <v>35</v>
      </c>
      <c r="C59" s="13" t="s">
        <v>36</v>
      </c>
      <c r="D59" s="13" t="s">
        <v>37</v>
      </c>
      <c r="E59" s="13"/>
      <c r="F59" s="13"/>
      <c r="G59" s="13" t="s">
        <v>38</v>
      </c>
    </row>
    <row r="60">
      <c r="A60" s="14" t="str">
        <f>'data'!$B$6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39</v>
      </c>
      <c r="C64" s="13" t="s">
        <v>40</v>
      </c>
      <c r="D64" s="13" t="s">
        <v>41</v>
      </c>
      <c r="E64" s="13" t="s">
        <v>42</v>
      </c>
      <c r="F64" s="13" t="s">
        <v>43</v>
      </c>
    </row>
    <row r="65">
      <c r="A65" s="14" t="str">
        <f>'data'!$B$6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44</v>
      </c>
    </row>
    <row r="71">
      <c r="F71" t="s">
        <v>45</v>
      </c>
      <c r="G71" s="19" t="str">
        <f>IFERROR(INDEX($A$60:$A$67, MATCH(1, $G$60:$G$67, 0)), "-")</f>
      </c>
    </row>
    <row r="72">
      <c r="F72" t="s">
        <v>46</v>
      </c>
      <c r="G72" s="19" t="str">
        <f>IFERROR(INDEX($A$60:$A$67, MATCH(2, $G$60:$G$67, 0)), "-")</f>
      </c>
    </row>
    <row r="73">
      <c r="F73" t="s">
        <v>47</v>
      </c>
      <c r="G73" s="19" t="str">
        <f>IFERROR(INDEX($A$60:$A$67, MATCH(3, $G$60:$G$67, 0)), "-")</f>
      </c>
    </row>
    <row r="76">
      <c r="A76" s="13" t="str">
        <f>'data'!$A$11</f>
      </c>
      <c r="B76" s="13"/>
      <c r="C76" s="13"/>
      <c r="D76" s="13"/>
      <c r="E76" s="13"/>
      <c r="F76" s="13"/>
      <c r="G76" s="13"/>
    </row>
    <row r="77">
      <c r="A77" s="17" t="s">
        <v>31</v>
      </c>
      <c r="B77" s="14"/>
      <c r="C77" s="14"/>
      <c r="D77" s="14" t="s">
        <v>32</v>
      </c>
      <c r="E77" s="14"/>
      <c r="F77" s="14"/>
      <c r="G77" s="16" t="s">
        <v>33</v>
      </c>
    </row>
    <row r="78">
      <c r="A78" s="14" t="str">
        <f>'data'!$B$10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31</v>
      </c>
      <c r="B83" s="14"/>
      <c r="C83" s="14"/>
      <c r="D83" s="14" t="s">
        <v>32</v>
      </c>
      <c r="E83" s="14"/>
      <c r="F83" s="14"/>
      <c r="G83" s="16" t="s">
        <v>33</v>
      </c>
    </row>
    <row r="84">
      <c r="A84" s="14" t="str">
        <f>'data'!$B$11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31</v>
      </c>
      <c r="B89" s="14"/>
      <c r="C89" s="14"/>
      <c r="D89" s="14" t="s">
        <v>32</v>
      </c>
      <c r="E89" s="14"/>
      <c r="F89" s="14"/>
      <c r="G89" s="16" t="s">
        <v>33</v>
      </c>
    </row>
    <row r="90">
      <c r="A90" s="14" t="str">
        <f>'data'!$B$11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34</v>
      </c>
      <c r="B96" s="13" t="s">
        <v>35</v>
      </c>
      <c r="C96" s="13" t="s">
        <v>36</v>
      </c>
      <c r="D96" s="13" t="s">
        <v>37</v>
      </c>
      <c r="E96" s="13"/>
      <c r="F96" s="13"/>
      <c r="G96" s="13" t="s">
        <v>38</v>
      </c>
    </row>
    <row r="97">
      <c r="A97" s="14" t="str">
        <f>'data'!$B$9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39</v>
      </c>
      <c r="C101" s="13" t="s">
        <v>40</v>
      </c>
      <c r="D101" s="13" t="s">
        <v>41</v>
      </c>
      <c r="E101" s="13" t="s">
        <v>42</v>
      </c>
      <c r="F101" s="13" t="s">
        <v>43</v>
      </c>
    </row>
    <row r="102">
      <c r="A102" s="14" t="str">
        <f>'data'!$B$9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44</v>
      </c>
    </row>
    <row r="108">
      <c r="F108" t="s">
        <v>45</v>
      </c>
      <c r="G108" s="19" t="str">
        <f>IFERROR(INDEX($A$97:$A$104, MATCH(1, $G$97:$G$104, 0)), "-")</f>
      </c>
    </row>
    <row r="109">
      <c r="F109" t="s">
        <v>46</v>
      </c>
      <c r="G109" s="19" t="str">
        <f>IFERROR(INDEX($A$97:$A$104, MATCH(2, $G$97:$G$104, 0)), "-")</f>
      </c>
    </row>
    <row r="110">
      <c r="F110" t="s">
        <v>47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30</v>
      </c>
      <c r="B1" s="13"/>
      <c r="C1" s="13"/>
      <c r="D1" s="13"/>
      <c r="E1" s="13"/>
      <c r="F1" s="13"/>
      <c r="G1" s="13"/>
    </row>
    <row r="2">
      <c r="A2" s="13" t="s">
        <v>57</v>
      </c>
      <c r="B2" s="13"/>
      <c r="C2" s="13"/>
      <c r="D2" s="13"/>
      <c r="E2" s="13"/>
      <c r="F2" s="13"/>
      <c r="G2" s="13"/>
    </row>
    <row r="3">
      <c r="A3" s="17" t="s">
        <v>31</v>
      </c>
      <c r="D3" s="14" t="s">
        <v>32</v>
      </c>
      <c r="G3" s="16" t="s">
        <v>33</v>
      </c>
    </row>
    <row r="4">
      <c r="A4" s="14" t="str">
        <f>CONCATENATE("Pool B-2nd ",'Pool Matches'!G72)</f>
      </c>
      <c r="B4" s="14"/>
      <c r="C4" s="14"/>
      <c r="D4" s="18"/>
      <c r="E4" s="14"/>
      <c r="F4" s="14"/>
      <c r="G4" s="14" t="str">
        <f>CONCATENATE("Pool C-1st ",'Pool Matches'!G108)</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B-2nd ",'Pool Matches'!G72)</f>
      </c>
      <c r="B9" s="14" t="s">
        <v>39</v>
      </c>
      <c r="C9" s="14" t="s">
        <v>42</v>
      </c>
      <c r="D9" s="14"/>
      <c r="E9" s="14" t="s">
        <v>42</v>
      </c>
      <c r="F9" s="14" t="s">
        <v>39</v>
      </c>
      <c r="G9" s="14" t="str">
        <f>CONCATENATE("Pool C-1st ",'Pool Matches'!G108)</f>
      </c>
    </row>
    <row r="10">
      <c r="A10" s="14" t="s">
        <v>58</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58</v>
      </c>
    </row>
    <row r="13">
      <c r="F13" t="s">
        <v>45</v>
      </c>
      <c r="G13" s="19"/>
    </row>
    <row r="14">
      <c r="F14" t="s">
        <v>46</v>
      </c>
      <c r="G14" s="19"/>
    </row>
    <row r="16">
      <c r="A16" s="13" t="s">
        <v>59</v>
      </c>
      <c r="B16" s="13"/>
      <c r="C16" s="13"/>
      <c r="D16" s="13"/>
      <c r="E16" s="13"/>
      <c r="F16" s="13"/>
      <c r="G16" s="13"/>
    </row>
    <row r="17">
      <c r="A17" s="17" t="s">
        <v>31</v>
      </c>
      <c r="D17" s="14" t="s">
        <v>32</v>
      </c>
      <c r="G17" s="16" t="s">
        <v>33</v>
      </c>
    </row>
    <row r="18">
      <c r="A18" s="14" t="str">
        <f>CONCATENATE("Pool C-2nd ",'Pool Matches'!G109)</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C-2nd ",'Pool Matches'!G109)</f>
      </c>
      <c r="B23" s="14" t="s">
        <v>39</v>
      </c>
      <c r="C23" s="14" t="s">
        <v>42</v>
      </c>
      <c r="D23" s="14"/>
      <c r="E23" s="14" t="s">
        <v>42</v>
      </c>
      <c r="F23" s="14" t="s">
        <v>39</v>
      </c>
      <c r="G23" s="14" t="str">
        <f>CONCATENATE("Pool A-2nd ",'Pool Matches'!G35)</f>
      </c>
    </row>
    <row r="24">
      <c r="A24" s="14" t="s">
        <v>58</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58</v>
      </c>
    </row>
    <row r="27">
      <c r="F27" t="s">
        <v>45</v>
      </c>
      <c r="G27" s="19"/>
    </row>
    <row r="28">
      <c r="F28" t="s">
        <v>46</v>
      </c>
      <c r="G28" s="19"/>
    </row>
    <row r="35">
      <c r="A35" s="13" t="s">
        <v>60</v>
      </c>
      <c r="B35" s="13"/>
      <c r="C35" s="13"/>
      <c r="D35" s="13"/>
      <c r="E35" s="13"/>
      <c r="F35" s="13"/>
      <c r="G35" s="13"/>
    </row>
    <row r="36">
      <c r="A36" s="17" t="s">
        <v>31</v>
      </c>
      <c r="D36" s="14" t="s">
        <v>32</v>
      </c>
      <c r="G36" s="16" t="s">
        <v>33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39</v>
      </c>
      <c r="C42" s="14" t="s">
        <v>42</v>
      </c>
      <c r="D42" s="14"/>
      <c r="E42" s="14" t="s">
        <v>42</v>
      </c>
      <c r="F42" s="14" t="s">
        <v>39</v>
      </c>
      <c r="G42" s="14" t="str">
        <f>CONCATENATE("Pool A-1st ",'Pool Matches'!G34)</f>
      </c>
    </row>
    <row r="43">
      <c r="A43" s="14" t="s">
        <v>58</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58</v>
      </c>
    </row>
    <row r="46">
      <c r="F46" t="s">
        <v>45</v>
      </c>
      <c r="G46" s="19"/>
    </row>
    <row r="47">
      <c r="F47" t="s">
        <v>46</v>
      </c>
      <c r="G47" s="19"/>
    </row>
    <row r="49">
      <c r="A49" s="13" t="s">
        <v>61</v>
      </c>
      <c r="B49" s="13"/>
      <c r="C49" s="13"/>
      <c r="D49" s="13"/>
      <c r="E49" s="13"/>
      <c r="F49" s="13"/>
      <c r="G49" s="13"/>
    </row>
    <row r="50">
      <c r="A50" s="17" t="s">
        <v>31</v>
      </c>
      <c r="D50" s="14" t="s">
        <v>32</v>
      </c>
      <c r="G50" s="16" t="s">
        <v>33</v>
      </c>
    </row>
    <row r="51">
      <c r="A51" s="14" t="str">
        <f>CONCATENATE("M 2 ",G27)</f>
      </c>
      <c r="B51" s="14"/>
      <c r="C51" s="14"/>
      <c r="D51" s="18"/>
      <c r="E51" s="14"/>
      <c r="F51" s="14"/>
      <c r="G51" s="14" t="str">
        <f>CONCATENATE("Pool B-1st ",'Pool Matches'!G71)</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39</v>
      </c>
      <c r="C56" s="14" t="s">
        <v>42</v>
      </c>
      <c r="D56" s="14"/>
      <c r="E56" s="14" t="s">
        <v>42</v>
      </c>
      <c r="F56" s="14" t="s">
        <v>39</v>
      </c>
      <c r="G56" s="14" t="str">
        <f>CONCATENATE("Pool B-1st ",'Pool Matches'!G71)</f>
      </c>
    </row>
    <row r="57">
      <c r="A57" s="14" t="s">
        <v>58</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58</v>
      </c>
    </row>
    <row r="60">
      <c r="F60" t="s">
        <v>45</v>
      </c>
      <c r="G60" s="19"/>
    </row>
    <row r="61">
      <c r="F61" t="s">
        <v>46</v>
      </c>
      <c r="G61" s="19"/>
    </row>
    <row r="68">
      <c r="A68" s="13" t="s">
        <v>62</v>
      </c>
      <c r="B68" s="13"/>
      <c r="C68" s="13"/>
      <c r="D68" s="13"/>
      <c r="E68" s="13"/>
      <c r="F68" s="13"/>
      <c r="G68" s="13"/>
    </row>
    <row r="69">
      <c r="A69" s="17" t="s">
        <v>31</v>
      </c>
      <c r="D69" s="14" t="s">
        <v>32</v>
      </c>
      <c r="G69" s="16" t="s">
        <v>33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39</v>
      </c>
      <c r="C75" s="14" t="s">
        <v>42</v>
      </c>
      <c r="D75" s="14"/>
      <c r="E75" s="14" t="s">
        <v>42</v>
      </c>
      <c r="F75" s="14" t="s">
        <v>39</v>
      </c>
      <c r="G75" s="14" t="str">
        <f>CONCATENATE("M 3 ",G46)</f>
      </c>
    </row>
    <row r="76">
      <c r="A76" s="14" t="s">
        <v>58</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58</v>
      </c>
    </row>
    <row r="79">
      <c r="F79" t="s">
        <v>45</v>
      </c>
      <c r="G79" s="19"/>
    </row>
    <row r="80">
      <c r="F80" t="s">
        <v>46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row>
    <row r="6">
      <c r="A6" s="26" t="str">
        <f>"2. " &amp; data!$B$4</f>
      </c>
      <c r="E6" s="23" t="str">
        <f>CONCATENATE("Pool A-1st ",'Pool Matches'!G34)</f>
      </c>
    </row>
    <row r="7">
      <c r="A7" s="27" t="str">
        <f>"3. " &amp; data!$B$5</f>
      </c>
      <c r="F7" s="22"/>
      <c r="G7" s="20"/>
    </row>
    <row r="8">
      <c r="A8" s="22"/>
      <c r="G8" s="21">
        <v>3</v>
      </c>
    </row>
    <row r="9">
      <c r="A9" s="24" t="str">
        <f>'data'!$A$8</f>
      </c>
      <c r="C9" s="23" t="str">
        <f>CONCATENATE("Pool C-1st ",'Pool Matches'!G108)</f>
      </c>
      <c r="G9" s="20"/>
      <c r="H9" s="22"/>
      <c r="I9" s="20"/>
    </row>
    <row r="10">
      <c r="A10" s="25" t="str">
        <f>"1. " &amp; data!$B$6</f>
      </c>
      <c r="D10" s="22"/>
      <c r="E10" s="21">
        <v>1</v>
      </c>
      <c r="F10" s="15"/>
      <c r="G10" s="20"/>
      <c r="I10" s="20"/>
    </row>
    <row r="11">
      <c r="A11" s="26" t="str">
        <f>"2. " &amp; data!$B$7</f>
      </c>
      <c r="C11" s="23" t="str">
        <f>CONCATENATE("Pool B-2nd ",'Pool Matches'!G72)</f>
      </c>
      <c r="D11" s="15"/>
      <c r="E11" s="20"/>
      <c r="I11" s="20"/>
    </row>
    <row r="12">
      <c r="A12" s="27" t="str">
        <f>"3. " &amp; data!$B$8</f>
      </c>
      <c r="I12" s="21">
        <v>5</v>
      </c>
    </row>
    <row r="13">
      <c r="A13" s="22"/>
      <c r="I13" s="20"/>
    </row>
    <row r="14">
      <c r="A14" s="24" t="str">
        <f>'data'!$A$11</f>
      </c>
      <c r="E14" s="23" t="str">
        <f>CONCATENATE("Pool B-1st ",'Pool Matches'!G71)</f>
      </c>
      <c r="I14" s="20"/>
    </row>
    <row r="15">
      <c r="A15" s="25" t="str">
        <f>"1. " &amp; data!$B$9</f>
      </c>
      <c r="F15" s="22"/>
      <c r="G15" s="20"/>
      <c r="I15" s="20"/>
    </row>
    <row r="16">
      <c r="A16" s="26" t="str">
        <f>"2. " &amp; data!$B$10</f>
      </c>
      <c r="G16" s="21">
        <v>4</v>
      </c>
      <c r="H16" s="15"/>
      <c r="I16" s="20"/>
    </row>
    <row r="17">
      <c r="A17" s="27" t="str">
        <f>"3. " &amp; data!$B$11</f>
      </c>
      <c r="C17" s="23" t="str">
        <f>CONCATENATE("Pool A-2nd ",'Pool Matches'!G35)</f>
      </c>
      <c r="G17" s="20"/>
    </row>
    <row r="18">
      <c r="A18" s="22"/>
      <c r="D18" s="22"/>
      <c r="E18" s="21">
        <v>2</v>
      </c>
      <c r="F18" s="15"/>
      <c r="G18" s="20"/>
    </row>
    <row r="19">
      <c r="C19" s="23" t="str">
        <f>CONCATENATE("Pool C-2nd ",'Pool Matches'!G109)</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48</v>
      </c>
      <c r="B1" s="29" t="str">
        <f>'data'!$B$3</f>
      </c>
    </row>
    <row r="2" ht="270" customHeight="true">
      <c r="A2" s="28" t="s">
        <v>49</v>
      </c>
      <c r="B2" s="29" t="str">
        <f>'data'!$B$4</f>
      </c>
    </row>
    <row r="3" ht="270" customHeight="true">
      <c r="A3" s="28" t="s">
        <v>50</v>
      </c>
      <c r="B3" s="29" t="str">
        <f>'data'!$B$5</f>
      </c>
    </row>
    <row r="4" ht="270" customHeight="true">
      <c r="A4" s="28" t="s">
        <v>51</v>
      </c>
      <c r="B4" s="29" t="str">
        <f>'data'!$B$6</f>
      </c>
    </row>
    <row r="5" ht="270" customHeight="true">
      <c r="A5" s="28" t="s">
        <v>52</v>
      </c>
      <c r="B5" s="29" t="str">
        <f>'data'!$B$7</f>
      </c>
    </row>
    <row r="6" ht="270" customHeight="true">
      <c r="A6" s="28" t="s">
        <v>53</v>
      </c>
      <c r="B6" s="29" t="str">
        <f>'data'!$B$8</f>
      </c>
    </row>
    <row r="7" ht="270" customHeight="true">
      <c r="A7" s="28" t="s">
        <v>54</v>
      </c>
      <c r="B7" s="29" t="str">
        <f>'data'!$B$9</f>
      </c>
    </row>
    <row r="8" ht="270" customHeight="true">
      <c r="A8" s="28" t="s">
        <v>55</v>
      </c>
      <c r="B8" s="29" t="str">
        <f>'data'!$B$10</f>
      </c>
    </row>
    <row r="9" ht="270" customHeight="true">
      <c r="A9" s="28" t="s">
        <v>56</v>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48</v>
      </c>
    </row>
    <row r="2" ht="409" customHeight="true">
      <c r="A2" s="30" t="s">
        <v>48</v>
      </c>
    </row>
    <row r="3" ht="409" customHeight="true">
      <c r="A3" s="30" t="s">
        <v>49</v>
      </c>
    </row>
    <row r="4" ht="409" customHeight="true">
      <c r="A4" s="30" t="s">
        <v>49</v>
      </c>
    </row>
    <row r="5" ht="409" customHeight="true">
      <c r="A5" s="30" t="s">
        <v>50</v>
      </c>
    </row>
    <row r="6" ht="409" customHeight="true">
      <c r="A6" s="30" t="s">
        <v>50</v>
      </c>
    </row>
    <row r="7" ht="409" customHeight="true">
      <c r="A7" s="30" t="s">
        <v>51</v>
      </c>
    </row>
    <row r="8" ht="409" customHeight="true">
      <c r="A8" s="30" t="s">
        <v>51</v>
      </c>
    </row>
    <row r="9" ht="409" customHeight="true">
      <c r="A9" s="30" t="s">
        <v>52</v>
      </c>
    </row>
    <row r="10" ht="409" customHeight="true">
      <c r="A10" s="30" t="s">
        <v>52</v>
      </c>
    </row>
    <row r="11" ht="409" customHeight="true">
      <c r="A11" s="30" t="s">
        <v>53</v>
      </c>
    </row>
    <row r="12" ht="409" customHeight="true">
      <c r="A12" s="30" t="s">
        <v>53</v>
      </c>
    </row>
    <row r="13" ht="409" customHeight="true">
      <c r="A13" s="30" t="s">
        <v>54</v>
      </c>
    </row>
    <row r="14" ht="409" customHeight="true">
      <c r="A14" s="30" t="s">
        <v>54</v>
      </c>
    </row>
    <row r="15" ht="409" customHeight="true">
      <c r="A15" s="30" t="s">
        <v>55</v>
      </c>
    </row>
    <row r="16" ht="409" customHeight="true">
      <c r="A16" s="30" t="s">
        <v>55</v>
      </c>
    </row>
    <row r="17" ht="409" customHeight="true">
      <c r="A17" s="30" t="s">
        <v>56</v>
      </c>
    </row>
    <row r="18" ht="409" customHeight="true">
      <c r="A18" s="30" t="s">
        <v>56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