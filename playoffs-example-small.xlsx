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Names to Print A" sheetId="9" r:id="rId12"/>
  </sheets>
  <definedNames>
    <definedName localSheetId="3" name="_xlnm.Print_Area">'Tree 1'!$A$1:$K$35</definedName>
    <definedName localSheetId="4" name="_xlnm.Print_Area">'Names to Print A'!$A$1:$B$10</definedName>
    <definedName localSheetId="2" name="_xlnm.Print_Area">'Elimination Matches'!$A$1:$H$165</definedName>
  </definedNames>
  <calcPr calcId="122211"/>
</workbook>
</file>

<file path=xl/sharedStrings.xml><?xml version="1.0" encoding="utf-8"?>
<sst xmlns="http://schemas.openxmlformats.org/spreadsheetml/2006/main" count="55" uniqueCount="55">
  <si>
    <t>Number of pools</t>
  </si>
  <si>
    <t>Team size</t>
  </si>
  <si>
    <t>Matches per pool</t>
  </si>
  <si>
    <t>Time per match</t>
  </si>
  <si>
    <t>Total time for matches</t>
  </si>
  <si>
    <t>Padding time for rotation</t>
  </si>
  <si>
    <t>Time for breaks</t>
  </si>
  <si>
    <t>Total Time</t>
  </si>
  <si>
    <t>Number of Elimination Matches</t>
  </si>
  <si>
    <t>Title prefix:</t>
  </si>
  <si>
    <t/>
  </si>
  <si>
    <t>Number</t>
  </si>
  <si>
    <t>Player Name</t>
  </si>
  <si>
    <t>Player Dojo</t>
  </si>
  <si>
    <t>Metadata</t>
  </si>
  <si>
    <t>Kevin Clark</t>
  </si>
  <si>
    <t>Team Alpha</t>
  </si>
  <si>
    <t>Luke Rodriguez</t>
  </si>
  <si>
    <t>Team Beta</t>
  </si>
  <si>
    <t>Michael Lewis</t>
  </si>
  <si>
    <t>Team Gamma</t>
  </si>
  <si>
    <t>Nathan Lee</t>
  </si>
  <si>
    <t>Team Delta</t>
  </si>
  <si>
    <t>Oliver Walker</t>
  </si>
  <si>
    <t>Team Epsilon</t>
  </si>
  <si>
    <t>Paul Hall</t>
  </si>
  <si>
    <t>Quentin Allen</t>
  </si>
  <si>
    <t>Robert Young</t>
  </si>
  <si>
    <t>Steven Hernandez</t>
  </si>
  <si>
    <t>Thomas King</t>
  </si>
  <si>
    <t>Shiaijo A</t>
  </si>
  <si>
    <t>Round 1 - Match 1</t>
  </si>
  <si>
    <t>White</t>
  </si>
  <si>
    <t>vs</t>
  </si>
  <si>
    <t>Red</t>
  </si>
  <si>
    <t>IV</t>
  </si>
  <si>
    <t>PW</t>
  </si>
  <si>
    <t>Victories / Points</t>
  </si>
  <si>
    <t>1.</t>
  </si>
  <si>
    <t>2.</t>
  </si>
  <si>
    <t>Round 1 - Match 2</t>
  </si>
  <si>
    <t>Round 1 - Match 3</t>
  </si>
  <si>
    <t>Round 1 - Match 4</t>
  </si>
  <si>
    <t>Round 2 - Match 5</t>
  </si>
  <si>
    <t>Round 2 - Match 6</t>
  </si>
  <si>
    <t>Round 3 - Match 7</t>
  </si>
  <si>
    <t>Round 3 - Match 8</t>
  </si>
  <si>
    <t>Round 4 - Match 9</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</si>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</sst>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vertical="center"/>
    </xf>
    <xf numFmtId="0" fontId="9" fillId="0" borderId="1" xfId="0" applyFont="true" applyBorder="true" applyAlignment="true">
      <alignment horizontal="center"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E2" t="s">
        <v>14</v>
      </c>
    </row>
    <row r="3">
      <c r="A3">
        <v>0</v>
      </c>
      <c r="B3" t="s">
        <v>15</v>
      </c>
      <c r="C3" t="s">
        <v>16</v>
      </c>
    </row>
    <row r="4">
      <c r="A4">
        <v>1</v>
      </c>
      <c r="B4" t="s">
        <v>17</v>
      </c>
      <c r="C4" t="s">
        <v>18</v>
      </c>
    </row>
    <row r="5">
      <c r="A5">
        <v>2</v>
      </c>
      <c r="B5" t="s">
        <v>19</v>
      </c>
      <c r="C5" t="s">
        <v>20</v>
      </c>
    </row>
    <row r="6">
      <c r="A6">
        <v>3</v>
      </c>
      <c r="B6" t="s">
        <v>21</v>
      </c>
      <c r="C6" t="s">
        <v>22</v>
      </c>
    </row>
    <row r="7">
      <c r="A7">
        <v>4</v>
      </c>
      <c r="B7" t="s">
        <v>23</v>
      </c>
      <c r="C7" t="s">
        <v>24</v>
      </c>
    </row>
    <row r="8">
      <c r="A8">
        <v>5</v>
      </c>
      <c r="B8" t="s">
        <v>25</v>
      </c>
      <c r="C8" t="s">
        <v>16</v>
      </c>
    </row>
    <row r="9">
      <c r="A9">
        <v>6</v>
      </c>
      <c r="B9" t="s">
        <v>26</v>
      </c>
      <c r="C9" t="s">
        <v>18</v>
      </c>
    </row>
    <row r="10">
      <c r="A10">
        <v>7</v>
      </c>
      <c r="B10" t="s">
        <v>27</v>
      </c>
      <c r="C10" t="s">
        <v>20</v>
      </c>
    </row>
    <row r="11">
      <c r="A11">
        <v>8</v>
      </c>
      <c r="B11" t="s">
        <v>28</v>
      </c>
      <c r="C11" t="s">
        <v>22</v>
      </c>
    </row>
    <row r="12">
      <c r="A12">
        <v>9</v>
      </c>
      <c r="B12" t="s">
        <v>29</v>
      </c>
      <c r="C12" t="s">
        <v>24</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5</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v>
      </c>
      <c r="B8" s="2">
        <v>5</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48</v>
      </c>
      <c r="F13" s="11"/>
      <c r="G13" s="11"/>
      <c r="H13" s="11"/>
    </row>
    <row r="14">
      <c r="A14">
        <v>1</v>
      </c>
      <c r="E14" s="25" t="s">
        <v>49</v>
      </c>
      <c r="F14" s="25"/>
      <c r="G14" s="25"/>
      <c r="H14" s="24" t="str">
        <f>H2</f>
      </c>
    </row>
    <row r="15">
      <c r="E15" s="25" t="s">
        <v>50</v>
      </c>
      <c r="F15" s="25"/>
      <c r="G15" s="25"/>
      <c r="H15" s="24" t="str">
        <f>H8</f>
      </c>
    </row>
    <row r="16">
      <c r="E16" s="25" t="s">
        <v>51</v>
      </c>
      <c r="F16" s="25"/>
      <c r="G16" s="25"/>
      <c r="H16" s="24" t="str">
        <f>H14+H15</f>
      </c>
    </row>
    <row r="17">
      <c r="E17" s="25" t="s">
        <v>52</v>
      </c>
      <c r="F17" s="25"/>
      <c r="G17" s="25"/>
      <c r="H17" s="24" t="str">
        <f>H16/A14</f>
      </c>
    </row>
    <row r="18">
      <c r="E18" s="11" t="s">
        <v>53</v>
      </c>
      <c r="F18" s="11"/>
      <c r="G18" s="11"/>
      <c r="H18" s="26">
        <v>0.375</v>
      </c>
    </row>
    <row r="19">
      <c r="E19" s="11" t="s">
        <v>54</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1" t="s">
        <v>30</v>
      </c>
      <c r="B1" s="11"/>
      <c r="C1" s="11"/>
      <c r="D1" s="11"/>
      <c r="E1" s="11"/>
      <c r="F1" s="11"/>
      <c r="G1" s="11"/>
    </row>
    <row r="2">
      <c r="A2" s="11" t="s">
        <v>31</v>
      </c>
      <c r="B2" s="11"/>
      <c r="C2" s="11"/>
      <c r="D2" s="11"/>
      <c r="E2" s="11"/>
      <c r="F2" s="11"/>
      <c r="G2" s="11"/>
    </row>
    <row r="3">
      <c r="A3" s="21" t="s">
        <v>32</v>
      </c>
      <c r="D3" s="19" t="s">
        <v>33</v>
      </c>
      <c r="G3" s="20" t="s">
        <v>34</v>
      </c>
    </row>
    <row r="4">
      <c r="A4" s="19" t="str">
        <f>'data'!$B$4</f>
      </c>
      <c r="B4" s="19"/>
      <c r="C4" s="19"/>
      <c r="D4" s="22"/>
      <c r="E4" s="19"/>
      <c r="F4" s="19"/>
      <c r="G4" s="19" t="str">
        <f>'data'!$B$3</f>
      </c>
    </row>
    <row r="5">
      <c r="A5" s="19">
        <v>1</v>
      </c>
      <c r="B5" s="22"/>
      <c r="C5" s="22"/>
      <c r="D5" s="22"/>
      <c r="E5" s="22"/>
      <c r="F5" s="22"/>
      <c r="G5" s="19">
        <v>1</v>
      </c>
    </row>
    <row r="6">
      <c r="A6" s="19">
        <v>2</v>
      </c>
      <c r="B6" s="22"/>
      <c r="C6" s="22"/>
      <c r="D6" s="22"/>
      <c r="E6" s="22"/>
      <c r="F6" s="22"/>
      <c r="G6" s="19">
        <v>2</v>
      </c>
    </row>
    <row r="7">
      <c r="A7" s="19">
        <v>3</v>
      </c>
      <c r="B7" s="22"/>
      <c r="C7" s="22"/>
      <c r="D7" s="22"/>
      <c r="E7" s="22"/>
      <c r="F7" s="22"/>
      <c r="G7" s="19">
        <v>3</v>
      </c>
    </row>
    <row r="8">
      <c r="A8" s="19">
        <v>4</v>
      </c>
      <c r="B8" s="22"/>
      <c r="C8" s="22"/>
      <c r="D8" s="22"/>
      <c r="E8" s="22"/>
      <c r="F8" s="22"/>
      <c r="G8" s="19">
        <v>4</v>
      </c>
    </row>
    <row r="9">
      <c r="A9" s="19">
        <v>5</v>
      </c>
      <c r="B9" s="22"/>
      <c r="C9" s="22"/>
      <c r="D9" s="22"/>
      <c r="E9" s="22"/>
      <c r="F9" s="22"/>
      <c r="G9" s="19">
        <v>5</v>
      </c>
    </row>
    <row r="11">
      <c r="A11" s="19" t="str">
        <f>'data'!$B$4</f>
      </c>
      <c r="B11" s="19" t="s">
        <v>35</v>
      </c>
      <c r="C11" s="19" t="s">
        <v>36</v>
      </c>
      <c r="D11" s="19"/>
      <c r="E11" s="19" t="s">
        <v>36</v>
      </c>
      <c r="F11" s="19" t="s">
        <v>35</v>
      </c>
      <c r="G11" s="19" t="str">
        <f>'data'!$B$3</f>
      </c>
    </row>
    <row r="12">
      <c r="A12" s="19" t="s">
        <v>37</v>
      </c>
      <c r="B12" s="19"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",""),"0",""),"-",""))),1,0))+IF(UPPER(D8)="X",0,IF((LEN(SUBSTITUTE(SUBSTITUTE(SUBSTITUTE(B8," ",""),"0",""),"-",""))+LEN(SUBSTITUTE(SUBSTITUTE(SUBSTITUTE(C8," ",""),"0",""),"-","")))&gt;(LEN(SUBSTITUTE(SUBSTITUTE(SUBSTITUTE(E8," ",""),"0",""),"-",""))+LEN(SUBSTITUTE(SUBSTITUTE(SUBSTITUTE(F8," ",""),"0",""),"-",""))),1,0))+IF(UPPER(D9)="X",0,IF((LEN(SUBSTITUTE(SUBSTITUTE(SUBSTITUTE(B9," ",""),"0",""),"-",""))+LEN(SUBSTITUTE(SUBSTITUTE(SUBSTITUTE(C9," ",""),"0",""),"-","")))&gt;(LEN(SUBSTITUTE(SUBSTITUTE(SUBSTITUTE(E9," ",""),"0",""),"-",""))+LEN(SUBSTITUTE(SUBSTITUTE(SUBSTITUTE(F9," ",""),"0",""),"-",""))),1,0))</f>
      </c>
      <c r="C12" s="19" t="str">
        <f>LEN(SUBSTITUTE(SUBSTITUTE(SUBSTITUTE(B5," ",""),"0",""),"-",""))+LEN(SUBSTITUTE(SUBSTITUTE(SUBSTITUTE(C5," ",""),"0",""),"-",""))+LEN(SUBSTITUTE(SUBSTITUTE(SUBSTITUTE(B6," ",""),"0",""),"-",""))+LEN(SUBSTITUTE(SUBSTITUTE(SUBSTITUTE(C6," ",""),"0",""),"-",""))+LEN(SUBSTITUTE(SUBSTITUTE(SUBSTITUTE(B7," ",""),"0",""),"-",""))+LEN(SUBSTITUTE(SUBSTITUTE(SUBSTITUTE(C7," ",""),"0",""),"-",""))+LEN(SUBSTITUTE(SUBSTITUTE(SUBSTITUTE(B8," ",""),"0",""),"-",""))+LEN(SUBSTITUTE(SUBSTITUTE(SUBSTITUTE(C8," ",""),"0",""),"-",""))+LEN(SUBSTITUTE(SUBSTITUTE(SUBSTITUTE(B9," ",""),"0",""),"-",""))+LEN(SUBSTITUTE(SUBSTITUTE(SUBSTITUTE(C9," ",""),"0",""),"-",""))</f>
      </c>
      <c r="D12" s="19"/>
      <c r="E12" s="19" t="str">
        <f>LEN(SUBSTITUTE(SUBSTITUTE(SUBSTITUTE(E5," ",""),"0",""),"-",""))+LEN(SUBSTITUTE(SUBSTITUTE(SUBSTITUTE(F5," ",""),"0",""),"-",""))+LEN(SUBSTITUTE(SUBSTITUTE(SUBSTITUTE(E6," ",""),"0",""),"-",""))+LEN(SUBSTITUTE(SUBSTITUTE(SUBSTITUTE(F6," ",""),"0",""),"-",""))+LEN(SUBSTITUTE(SUBSTITUTE(SUBSTITUTE(E7," ",""),"0",""),"-",""))+LEN(SUBSTITUTE(SUBSTITUTE(SUBSTITUTE(F7," ",""),"0",""),"-",""))+LEN(SUBSTITUTE(SUBSTITUTE(SUBSTITUTE(E8," ",""),"0",""),"-",""))+LEN(SUBSTITUTE(SUBSTITUTE(SUBSTITUTE(F8," ",""),"0",""),"-",""))+LEN(SUBSTITUTE(SUBSTITUTE(SUBSTITUTE(E9," ",""),"0",""),"-",""))+LEN(SUBSTITUTE(SUBSTITUTE(SUBSTITUTE(F9," ",""),"0",""),"-",""))</f>
      </c>
      <c r="F12" s="19"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",""),"0",""),"-",""))),1,0))+IF(UPPER(D8)="X",0,IF((LEN(SUBSTITUTE(SUBSTITUTE(SUBSTITUTE(E8," ",""),"0",""),"-",""))+LEN(SUBSTITUTE(SUBSTITUTE(SUBSTITUTE(F8," ",""),"0",""),"-","")))&gt;(LEN(SUBSTITUTE(SUBSTITUTE(SUBSTITUTE(B8," ",""),"0",""),"-",""))+LEN(SUBSTITUTE(SUBSTITUTE(SUBSTITUTE(C8," ",""),"0",""),"-",""))),1,0))+IF(UPPER(D9)="X",0,IF((LEN(SUBSTITUTE(SUBSTITUTE(SUBSTITUTE(E9," ",""),"0",""),"-",""))+LEN(SUBSTITUTE(SUBSTITUTE(SUBSTITUTE(F9," ",""),"0",""),"-","")))&gt;(LEN(SUBSTITUTE(SUBSTITUTE(SUBSTITUTE(B9," ",""),"0",""),"-",""))+LEN(SUBSTITUTE(SUBSTITUTE(SUBSTITUTE(C9," ",""),"0",""),"-",""))),1,0))</f>
      </c>
      <c r="G12" s="19" t="s">
        <v>37</v>
      </c>
    </row>
    <row r="15">
      <c r="F15" t="s">
        <v>38</v>
      </c>
      <c r="G15" s="23"/>
    </row>
    <row r="16">
      <c r="F16" t="s">
        <v>39</v>
      </c>
      <c r="G16" s="23"/>
    </row>
    <row r="18">
      <c r="A18" s="11" t="s">
        <v>40</v>
      </c>
      <c r="B18" s="11"/>
      <c r="C18" s="11"/>
      <c r="D18" s="11"/>
      <c r="E18" s="11"/>
      <c r="F18" s="11"/>
      <c r="G18" s="11"/>
    </row>
    <row r="19">
      <c r="A19" s="21" t="s">
        <v>32</v>
      </c>
      <c r="D19" s="19" t="s">
        <v>33</v>
      </c>
      <c r="G19" s="20" t="s">
        <v>34</v>
      </c>
    </row>
    <row r="20">
      <c r="A20" s="19" t="str">
        <f>'data'!$B$7</f>
      </c>
      <c r="B20" s="19"/>
      <c r="C20" s="19"/>
      <c r="D20" s="22"/>
      <c r="E20" s="19"/>
      <c r="F20" s="19"/>
      <c r="G20" s="19" t="str">
        <f>'data'!$B$6</f>
      </c>
    </row>
    <row r="21">
      <c r="A21" s="19">
        <v>1</v>
      </c>
      <c r="B21" s="22"/>
      <c r="C21" s="22"/>
      <c r="D21" s="22"/>
      <c r="E21" s="22"/>
      <c r="F21" s="22"/>
      <c r="G21" s="19">
        <v>1</v>
      </c>
    </row>
    <row r="22">
      <c r="A22" s="19">
        <v>2</v>
      </c>
      <c r="B22" s="22"/>
      <c r="C22" s="22"/>
      <c r="D22" s="22"/>
      <c r="E22" s="22"/>
      <c r="F22" s="22"/>
      <c r="G22" s="19">
        <v>2</v>
      </c>
    </row>
    <row r="23">
      <c r="A23" s="19">
        <v>3</v>
      </c>
      <c r="B23" s="22"/>
      <c r="C23" s="22"/>
      <c r="D23" s="22"/>
      <c r="E23" s="22"/>
      <c r="F23" s="22"/>
      <c r="G23" s="19">
        <v>3</v>
      </c>
    </row>
    <row r="24">
      <c r="A24" s="19">
        <v>4</v>
      </c>
      <c r="B24" s="22"/>
      <c r="C24" s="22"/>
      <c r="D24" s="22"/>
      <c r="E24" s="22"/>
      <c r="F24" s="22"/>
      <c r="G24" s="19">
        <v>4</v>
      </c>
    </row>
    <row r="25">
      <c r="A25" s="19">
        <v>5</v>
      </c>
      <c r="B25" s="22"/>
      <c r="C25" s="22"/>
      <c r="D25" s="22"/>
      <c r="E25" s="22"/>
      <c r="F25" s="22"/>
      <c r="G25" s="19">
        <v>5</v>
      </c>
    </row>
    <row r="27">
      <c r="A27" s="19" t="str">
        <f>'data'!$B$7</f>
      </c>
      <c r="B27" s="19" t="s">
        <v>35</v>
      </c>
      <c r="C27" s="19" t="s">
        <v>36</v>
      </c>
      <c r="D27" s="19"/>
      <c r="E27" s="19" t="s">
        <v>36</v>
      </c>
      <c r="F27" s="19" t="s">
        <v>35</v>
      </c>
      <c r="G27" s="19" t="str">
        <f>'data'!$B$6</f>
      </c>
    </row>
    <row r="28">
      <c r="A28" s="19" t="s">
        <v>37</v>
      </c>
      <c r="B28" s="19" t="str">
        <f>IF(UPPER(D21)="X",0,IF((LEN(SUBSTITUTE(SUBSTITUTE(SUBSTITUTE(B21," ",""),"0",""),"-",""))+LEN(SUBSTITUTE(SUBSTITUTE(SUBSTITUTE(C21," ",""),"0",""),"-","")))&gt;(LEN(SUBSTITUTE(SUBSTITUTE(SUBSTITUTE(E21," ",""),"0",""),"-",""))+LEN(SUBSTITUTE(SUBSTITUTE(SUBSTITUTE(F21," ",""),"0",""),"-",""))),1,0))+IF(UPPER(D22)="X",0,IF((LEN(SUBSTITUTE(SUBSTITUTE(SUBSTITUTE(B22," ",""),"0",""),"-",""))+LEN(SUBSTITUTE(SUBSTITUTE(SUBSTITUTE(C22," ",""),"0",""),"-","")))&gt;(LEN(SUBSTITUTE(SUBSTITUTE(SUBSTITUTE(E22," ",""),"0",""),"-",""))+LEN(SUBSTITUTE(SUBSTITUTE(SUBSTITUTE(F22," ",""),"0",""),"-",""))),1,0))+IF(UPPER(D23)="X",0,IF((LEN(SUBSTITUTE(SUBSTITUTE(SUBSTITUTE(B23," ",""),"0",""),"-",""))+LEN(SUBSTITUTE(SUBSTITUTE(SUBSTITUTE(C23," ",""),"0",""),"-","")))&gt;(LEN(SUBSTITUTE(SUBSTITUTE(SUBSTITUTE(E23," ",""),"0",""),"-",""))+LEN(SUBSTITUTE(SUBSTITUTE(SUBSTITUTE(F23," ",""),"0",""),"-",""))),1,0))+IF(UPPER(D24)="X",0,IF((LEN(SUBSTITUTE(SUBSTITUTE(SUBSTITUTE(B24," ",""),"0",""),"-",""))+LEN(SUBSTITUTE(SUBSTITUTE(SUBSTITUTE(C24," ",""),"0",""),"-","")))&gt;(LEN(SUBSTITUTE(SUBSTITUTE(SUBSTITUTE(E24," ",""),"0",""),"-",""))+LEN(SUBSTITUTE(SUBSTITUTE(SUBSTITUTE(F24," ",""),"0",""),"-",""))),1,0))+IF(UPPER(D25)="X",0,IF((LEN(SUBSTITUTE(SUBSTITUTE(SUBSTITUTE(B25," ",""),"0",""),"-",""))+LEN(SUBSTITUTE(SUBSTITUTE(SUBSTITUTE(C25," ",""),"0",""),"-","")))&gt;(LEN(SUBSTITUTE(SUBSTITUTE(SUBSTITUTE(E25," ",""),"0",""),"-",""))+LEN(SUBSTITUTE(SUBSTITUTE(SUBSTITUTE(F25," ",""),"0",""),"-",""))),1,0))</f>
      </c>
      <c r="C28" s="19" t="str">
        <f>LEN(SUBSTITUTE(SUBSTITUTE(SUBSTITUTE(B21," ",""),"0",""),"-",""))+LEN(SUBSTITUTE(SUBSTITUTE(SUBSTITUTE(C21," ",""),"0",""),"-",""))+LEN(SUBSTITUTE(SUBSTITUTE(SUBSTITUTE(B22," ",""),"0",""),"-",""))+LEN(SUBSTITUTE(SUBSTITUTE(SUBSTITUTE(C22," ",""),"0",""),"-",""))+LEN(SUBSTITUTE(SUBSTITUTE(SUBSTITUTE(B23," ",""),"0",""),"-",""))+LEN(SUBSTITUTE(SUBSTITUTE(SUBSTITUTE(C23," ",""),"0",""),"-",""))+LEN(SUBSTITUTE(SUBSTITUTE(SUBSTITUTE(B24," ",""),"0",""),"-",""))+LEN(SUBSTITUTE(SUBSTITUTE(SUBSTITUTE(C24," ",""),"0",""),"-",""))+LEN(SUBSTITUTE(SUBSTITUTE(SUBSTITUTE(B25," ",""),"0",""),"-",""))+LEN(SUBSTITUTE(SUBSTITUTE(SUBSTITUTE(C25," ",""),"0",""),"-",""))</f>
      </c>
      <c r="D28" s="19"/>
      <c r="E28" s="19" t="str">
        <f>LEN(SUBSTITUTE(SUBSTITUTE(SUBSTITUTE(E21," ",""),"0",""),"-",""))+LEN(SUBSTITUTE(SUBSTITUTE(SUBSTITUTE(F21," ",""),"0",""),"-",""))+LEN(SUBSTITUTE(SUBSTITUTE(SUBSTITUTE(E22," ",""),"0",""),"-",""))+LEN(SUBSTITUTE(SUBSTITUTE(SUBSTITUTE(F22," ",""),"0",""),"-",""))+LEN(SUBSTITUTE(SUBSTITUTE(SUBSTITUTE(E23," ",""),"0",""),"-",""))+LEN(SUBSTITUTE(SUBSTITUTE(SUBSTITUTE(F23," ",""),"0",""),"-",""))+LEN(SUBSTITUTE(SUBSTITUTE(SUBSTITUTE(E24," ",""),"0",""),"-",""))+LEN(SUBSTITUTE(SUBSTITUTE(SUBSTITUTE(F24," ",""),"0",""),"-",""))+LEN(SUBSTITUTE(SUBSTITUTE(SUBSTITUTE(E25," ",""),"0",""),"-",""))+LEN(SUBSTITUTE(SUBSTITUTE(SUBSTITUTE(F25," ",""),"0",""),"-",""))</f>
      </c>
      <c r="F28" s="19" t="str">
        <f>IF(UPPER(D21)="X",0,IF((LEN(SUBSTITUTE(SUBSTITUTE(SUBSTITUTE(E21," ",""),"0",""),"-",""))+LEN(SUBSTITUTE(SUBSTITUTE(SUBSTITUTE(F21," ",""),"0",""),"-","")))&gt;(LEN(SUBSTITUTE(SUBSTITUTE(SUBSTITUTE(B21," ",""),"0",""),"-",""))+LEN(SUBSTITUTE(SUBSTITUTE(SUBSTITUTE(C21," ",""),"0",""),"-",""))),1,0))+IF(UPPER(D22)="X",0,IF((LEN(SUBSTITUTE(SUBSTITUTE(SUBSTITUTE(E22," ",""),"0",""),"-",""))+LEN(SUBSTITUTE(SUBSTITUTE(SUBSTITUTE(F22," ",""),"0",""),"-","")))&gt;(LEN(SUBSTITUTE(SUBSTITUTE(SUBSTITUTE(B22," ",""),"0",""),"-",""))+LEN(SUBSTITUTE(SUBSTITUTE(SUBSTITUTE(C22," ",""),"0",""),"-",""))),1,0))+IF(UPPER(D23)="X",0,IF((LEN(SUBSTITUTE(SUBSTITUTE(SUBSTITUTE(E23," ",""),"0",""),"-",""))+LEN(SUBSTITUTE(SUBSTITUTE(SUBSTITUTE(F23," ",""),"0",""),"-","")))&gt;(LEN(SUBSTITUTE(SUBSTITUTE(SUBSTITUTE(B23," ",""),"0",""),"-",""))+LEN(SUBSTITUTE(SUBSTITUTE(SUBSTITUTE(C23," ",""),"0",""),"-",""))),1,0))+IF(UPPER(D24)="X",0,IF((LEN(SUBSTITUTE(SUBSTITUTE(SUBSTITUTE(E24," ",""),"0",""),"-",""))+LEN(SUBSTITUTE(SUBSTITUTE(SUBSTITUTE(F24," ",""),"0",""),"-","")))&gt;(LEN(SUBSTITUTE(SUBSTITUTE(SUBSTITUTE(B24," ",""),"0",""),"-",""))+LEN(SUBSTITUTE(SUBSTITUTE(SUBSTITUTE(C24," ",""),"0",""),"-",""))),1,0))+IF(UPPER(D25)="X",0,IF((LEN(SUBSTITUTE(SUBSTITUTE(SUBSTITUTE(E25," ",""),"0",""),"-",""))+LEN(SUBSTITUTE(SUBSTITUTE(SUBSTITUTE(F25," ",""),"0",""),"-","")))&gt;(LEN(SUBSTITUTE(SUBSTITUTE(SUBSTITUTE(B25," ",""),"0",""),"-",""))+LEN(SUBSTITUTE(SUBSTITUTE(SUBSTITUTE(C25," ",""),"0",""),"-",""))),1,0))</f>
      </c>
      <c r="G28" s="19" t="s">
        <v>37</v>
      </c>
    </row>
    <row r="31">
      <c r="F31" t="s">
        <v>38</v>
      </c>
      <c r="G31" s="23"/>
    </row>
    <row r="32">
      <c r="F32" t="s">
        <v>39</v>
      </c>
      <c r="G32" s="23"/>
    </row>
    <row r="34">
      <c r="A34" s="11" t="s">
        <v>41</v>
      </c>
      <c r="B34" s="11"/>
      <c r="C34" s="11"/>
      <c r="D34" s="11"/>
      <c r="E34" s="11"/>
      <c r="F34" s="11"/>
      <c r="G34" s="11"/>
    </row>
    <row r="35">
      <c r="A35" s="21" t="s">
        <v>32</v>
      </c>
      <c r="D35" s="19" t="s">
        <v>33</v>
      </c>
      <c r="G35" s="20" t="s">
        <v>34</v>
      </c>
    </row>
    <row r="36">
      <c r="A36" s="19" t="str">
        <f>'data'!$B$9</f>
      </c>
      <c r="B36" s="19"/>
      <c r="C36" s="19"/>
      <c r="D36" s="22"/>
      <c r="E36" s="19"/>
      <c r="F36" s="19"/>
      <c r="G36" s="19" t="str">
        <f>'data'!$B$8</f>
      </c>
    </row>
    <row r="37">
      <c r="A37" s="19">
        <v>1</v>
      </c>
      <c r="B37" s="22"/>
      <c r="C37" s="22"/>
      <c r="D37" s="22"/>
      <c r="E37" s="22"/>
      <c r="F37" s="22"/>
      <c r="G37" s="19">
        <v>1</v>
      </c>
    </row>
    <row r="38">
      <c r="A38" s="19">
        <v>2</v>
      </c>
      <c r="B38" s="22"/>
      <c r="C38" s="22"/>
      <c r="D38" s="22"/>
      <c r="E38" s="22"/>
      <c r="F38" s="22"/>
      <c r="G38" s="19">
        <v>2</v>
      </c>
    </row>
    <row r="39">
      <c r="A39" s="19">
        <v>3</v>
      </c>
      <c r="B39" s="22"/>
      <c r="C39" s="22"/>
      <c r="D39" s="22"/>
      <c r="E39" s="22"/>
      <c r="F39" s="22"/>
      <c r="G39" s="19">
        <v>3</v>
      </c>
    </row>
    <row r="40">
      <c r="A40" s="19">
        <v>4</v>
      </c>
      <c r="B40" s="22"/>
      <c r="C40" s="22"/>
      <c r="D40" s="22"/>
      <c r="E40" s="22"/>
      <c r="F40" s="22"/>
      <c r="G40" s="19">
        <v>4</v>
      </c>
    </row>
    <row r="41">
      <c r="A41" s="19">
        <v>5</v>
      </c>
      <c r="B41" s="22"/>
      <c r="C41" s="22"/>
      <c r="D41" s="22"/>
      <c r="E41" s="22"/>
      <c r="F41" s="22"/>
      <c r="G41" s="19">
        <v>5</v>
      </c>
    </row>
    <row r="43">
      <c r="A43" s="19" t="str">
        <f>'data'!$B$9</f>
      </c>
      <c r="B43" s="19" t="s">
        <v>35</v>
      </c>
      <c r="C43" s="19" t="s">
        <v>36</v>
      </c>
      <c r="D43" s="19"/>
      <c r="E43" s="19" t="s">
        <v>36</v>
      </c>
      <c r="F43" s="19" t="s">
        <v>35</v>
      </c>
      <c r="G43" s="19" t="str">
        <f>'data'!$B$8</f>
      </c>
    </row>
    <row r="44">
      <c r="A44" s="19" t="s">
        <v>37</v>
      </c>
      <c r="B44" s="19" t="str">
        <f>IF(UPPER(D37)="X",0,IF((LEN(SUBSTITUTE(SUBSTITUTE(SUBSTITUTE(B37," ",""),"0",""),"-",""))+LEN(SUBSTITUTE(SUBSTITUTE(SUBSTITUTE(C37," ",""),"0",""),"-","")))&gt;(LEN(SUBSTITUTE(SUBSTITUTE(SUBSTITUTE(E37," ",""),"0",""),"-",""))+LEN(SUBSTITUTE(SUBSTITUTE(SUBSTITUTE(F37," ",""),"0",""),"-",""))),1,0))+IF(UPPER(D38)="X",0,IF((LEN(SUBSTITUTE(SUBSTITUTE(SUBSTITUTE(B38," ",""),"0",""),"-",""))+LEN(SUBSTITUTE(SUBSTITUTE(SUBSTITUTE(C38," ",""),"0",""),"-","")))&gt;(LEN(SUBSTITUTE(SUBSTITUTE(SUBSTITUTE(E38," ",""),"0",""),"-",""))+LEN(SUBSTITUTE(SUBSTITUTE(SUBSTITUTE(F38," ",""),"0",""),"-",""))),1,0))+IF(UPPER(D39)="X",0,IF((LEN(SUBSTITUTE(SUBSTITUTE(SUBSTITUTE(B39," ",""),"0",""),"-",""))+LEN(SUBSTITUTE(SUBSTITUTE(SUBSTITUTE(C39," ",""),"0",""),"-","")))&gt;(LEN(SUBSTITUTE(SUBSTITUTE(SUBSTITUTE(E39," ",""),"0",""),"-",""))+LEN(SUBSTITUTE(SUBSTITUTE(SUBSTITUTE(F39," ",""),"0",""),"-",""))),1,0))+IF(UPPER(D40)="X",0,IF((LEN(SUBSTITUTE(SUBSTITUTE(SUBSTITUTE(B40," ",""),"0",""),"-",""))+LEN(SUBSTITUTE(SUBSTITUTE(SUBSTITUTE(C40," ",""),"0",""),"-","")))&gt;(LEN(SUBSTITUTE(SUBSTITUTE(SUBSTITUTE(E40," ",""),"0",""),"-",""))+LEN(SUBSTITUTE(SUBSTITUTE(SUBSTITUTE(F40," ",""),"0",""),"-",""))),1,0))+IF(UPPER(D41)="X",0,IF((LEN(SUBSTITUTE(SUBSTITUTE(SUBSTITUTE(B41," ",""),"0",""),"-",""))+LEN(SUBSTITUTE(SUBSTITUTE(SUBSTITUTE(C41," ",""),"0",""),"-","")))&gt;(LEN(SUBSTITUTE(SUBSTITUTE(SUBSTITUTE(E41," ",""),"0",""),"-",""))+LEN(SUBSTITUTE(SUBSTITUTE(SUBSTITUTE(F41," ",""),"0",""),"-",""))),1,0))</f>
      </c>
      <c r="C44" s="19" t="str">
        <f>LEN(SUBSTITUTE(SUBSTITUTE(SUBSTITUTE(B37," ",""),"0",""),"-",""))+LEN(SUBSTITUTE(SUBSTITUTE(SUBSTITUTE(C37," ",""),"0",""),"-",""))+LEN(SUBSTITUTE(SUBSTITUTE(SUBSTITUTE(B38," ",""),"0",""),"-",""))+LEN(SUBSTITUTE(SUBSTITUTE(SUBSTITUTE(C38," ",""),"0",""),"-",""))+LEN(SUBSTITUTE(SUBSTITUTE(SUBSTITUTE(B39," ",""),"0",""),"-",""))+LEN(SUBSTITUTE(SUBSTITUTE(SUBSTITUTE(C39," ",""),"0",""),"-",""))+LEN(SUBSTITUTE(SUBSTITUTE(SUBSTITUTE(B40," ",""),"0",""),"-",""))+LEN(SUBSTITUTE(SUBSTITUTE(SUBSTITUTE(C40," ",""),"0",""),"-",""))+LEN(SUBSTITUTE(SUBSTITUTE(SUBSTITUTE(B41," ",""),"0",""),"-",""))+LEN(SUBSTITUTE(SUBSTITUTE(SUBSTITUTE(C41," ",""),"0",""),"-",""))</f>
      </c>
      <c r="D44" s="19"/>
      <c r="E44" s="19" t="str">
        <f>LEN(SUBSTITUTE(SUBSTITUTE(SUBSTITUTE(E37," ",""),"0",""),"-",""))+LEN(SUBSTITUTE(SUBSTITUTE(SUBSTITUTE(F37," ",""),"0",""),"-",""))+LEN(SUBSTITUTE(SUBSTITUTE(SUBSTITUTE(E38," ",""),"0",""),"-",""))+LEN(SUBSTITUTE(SUBSTITUTE(SUBSTITUTE(F38," ",""),"0",""),"-",""))+LEN(SUBSTITUTE(SUBSTITUTE(SUBSTITUTE(E39," ",""),"0",""),"-",""))+LEN(SUBSTITUTE(SUBSTITUTE(SUBSTITUTE(F39," ",""),"0",""),"-",""))+LEN(SUBSTITUTE(SUBSTITUTE(SUBSTITUTE(E40," ",""),"0",""),"-",""))+LEN(SUBSTITUTE(SUBSTITUTE(SUBSTITUTE(F40," ",""),"0",""),"-",""))+LEN(SUBSTITUTE(SUBSTITUTE(SUBSTITUTE(E41," ",""),"0",""),"-",""))+LEN(SUBSTITUTE(SUBSTITUTE(SUBSTITUTE(F41," ",""),"0",""),"-",""))</f>
      </c>
      <c r="F44" s="19" t="str">
        <f>IF(UPPER(D37)="X",0,IF((LEN(SUBSTITUTE(SUBSTITUTE(SUBSTITUTE(E37," ",""),"0",""),"-",""))+LEN(SUBSTITUTE(SUBSTITUTE(SUBSTITUTE(F37," ",""),"0",""),"-","")))&gt;(LEN(SUBSTITUTE(SUBSTITUTE(SUBSTITUTE(B37," ",""),"0",""),"-",""))+LEN(SUBSTITUTE(SUBSTITUTE(SUBSTITUTE(C37," ",""),"0",""),"-",""))),1,0))+IF(UPPER(D38)="X",0,IF((LEN(SUBSTITUTE(SUBSTITUTE(SUBSTITUTE(E38," ",""),"0",""),"-",""))+LEN(SUBSTITUTE(SUBSTITUTE(SUBSTITUTE(F38," ",""),"0",""),"-","")))&gt;(LEN(SUBSTITUTE(SUBSTITUTE(SUBSTITUTE(B38," ",""),"0",""),"-",""))+LEN(SUBSTITUTE(SUBSTITUTE(SUBSTITUTE(C38," ",""),"0",""),"-",""))),1,0))+IF(UPPER(D39)="X",0,IF((LEN(SUBSTITUTE(SUBSTITUTE(SUBSTITUTE(E39," ",""),"0",""),"-",""))+LEN(SUBSTITUTE(SUBSTITUTE(SUBSTITUTE(F39," ",""),"0",""),"-","")))&gt;(LEN(SUBSTITUTE(SUBSTITUTE(SUBSTITUTE(B39," ",""),"0",""),"-",""))+LEN(SUBSTITUTE(SUBSTITUTE(SUBSTITUTE(C39," ",""),"0",""),"-",""))),1,0))+IF(UPPER(D40)="X",0,IF((LEN(SUBSTITUTE(SUBSTITUTE(SUBSTITUTE(E40," ",""),"0",""),"-",""))+LEN(SUBSTITUTE(SUBSTITUTE(SUBSTITUTE(F40," ",""),"0",""),"-","")))&gt;(LEN(SUBSTITUTE(SUBSTITUTE(SUBSTITUTE(B40," ",""),"0",""),"-",""))+LEN(SUBSTITUTE(SUBSTITUTE(SUBSTITUTE(C40," ",""),"0",""),"-",""))),1,0))+IF(UPPER(D41)="X",0,IF((LEN(SUBSTITUTE(SUBSTITUTE(SUBSTITUTE(E41," ",""),"0",""),"-",""))+LEN(SUBSTITUTE(SUBSTITUTE(SUBSTITUTE(F41," ",""),"0",""),"-","")))&gt;(LEN(SUBSTITUTE(SUBSTITUTE(SUBSTITUTE(B41," ",""),"0",""),"-",""))+LEN(SUBSTITUTE(SUBSTITUTE(SUBSTITUTE(C41," ",""),"0",""),"-",""))),1,0))</f>
      </c>
      <c r="G44" s="19" t="s">
        <v>37</v>
      </c>
    </row>
    <row r="47">
      <c r="F47" t="s">
        <v>38</v>
      </c>
      <c r="G47" s="23"/>
    </row>
    <row r="48">
      <c r="F48" t="s">
        <v>39</v>
      </c>
      <c r="G48" s="23"/>
    </row>
    <row r="50">
      <c r="A50" s="11" t="s">
        <v>42</v>
      </c>
      <c r="B50" s="11"/>
      <c r="C50" s="11"/>
      <c r="D50" s="11"/>
      <c r="E50" s="11"/>
      <c r="F50" s="11"/>
      <c r="G50" s="11"/>
    </row>
    <row r="51">
      <c r="A51" s="21" t="s">
        <v>32</v>
      </c>
      <c r="D51" s="19" t="s">
        <v>33</v>
      </c>
      <c r="G51" s="20" t="s">
        <v>34</v>
      </c>
    </row>
    <row r="52">
      <c r="A52" s="19" t="str">
        <f>'data'!$B$12</f>
      </c>
      <c r="B52" s="19"/>
      <c r="C52" s="19"/>
      <c r="D52" s="22"/>
      <c r="E52" s="19"/>
      <c r="F52" s="19"/>
      <c r="G52" s="19" t="str">
        <f>'data'!$B$11</f>
      </c>
    </row>
    <row r="53">
      <c r="A53" s="19">
        <v>1</v>
      </c>
      <c r="B53" s="22"/>
      <c r="C53" s="22"/>
      <c r="D53" s="22"/>
      <c r="E53" s="22"/>
      <c r="F53" s="22"/>
      <c r="G53" s="19">
        <v>1</v>
      </c>
    </row>
    <row r="54">
      <c r="A54" s="19">
        <v>2</v>
      </c>
      <c r="B54" s="22"/>
      <c r="C54" s="22"/>
      <c r="D54" s="22"/>
      <c r="E54" s="22"/>
      <c r="F54" s="22"/>
      <c r="G54" s="19">
        <v>2</v>
      </c>
    </row>
    <row r="55">
      <c r="A55" s="19">
        <v>3</v>
      </c>
      <c r="B55" s="22"/>
      <c r="C55" s="22"/>
      <c r="D55" s="22"/>
      <c r="E55" s="22"/>
      <c r="F55" s="22"/>
      <c r="G55" s="19">
        <v>3</v>
      </c>
    </row>
    <row r="56">
      <c r="A56" s="19">
        <v>4</v>
      </c>
      <c r="B56" s="22"/>
      <c r="C56" s="22"/>
      <c r="D56" s="22"/>
      <c r="E56" s="22"/>
      <c r="F56" s="22"/>
      <c r="G56" s="19">
        <v>4</v>
      </c>
    </row>
    <row r="57">
      <c r="A57" s="19">
        <v>5</v>
      </c>
      <c r="B57" s="22"/>
      <c r="C57" s="22"/>
      <c r="D57" s="22"/>
      <c r="E57" s="22"/>
      <c r="F57" s="22"/>
      <c r="G57" s="19">
        <v>5</v>
      </c>
    </row>
    <row r="59">
      <c r="A59" s="19" t="str">
        <f>'data'!$B$12</f>
      </c>
      <c r="B59" s="19" t="s">
        <v>35</v>
      </c>
      <c r="C59" s="19" t="s">
        <v>36</v>
      </c>
      <c r="D59" s="19"/>
      <c r="E59" s="19" t="s">
        <v>36</v>
      </c>
      <c r="F59" s="19" t="s">
        <v>35</v>
      </c>
      <c r="G59" s="19" t="str">
        <f>'data'!$B$11</f>
      </c>
    </row>
    <row r="60">
      <c r="A60" s="19" t="s">
        <v>37</v>
      </c>
      <c r="B60" s="19" t="str">
        <f>IF(UPPER(D53)="X",0,IF((LEN(SUBSTITUTE(SUBSTITUTE(SUBSTITUTE(B53," ",""),"0",""),"-",""))+LEN(SUBSTITUTE(SUBSTITUTE(SUBSTITUTE(C53," ",""),"0",""),"-","")))&gt;(LEN(SUBSTITUTE(SUBSTITUTE(SUBSTITUTE(E53," ",""),"0",""),"-",""))+LEN(SUBSTITUTE(SUBSTITUTE(SUBSTITUTE(F53," ",""),"0",""),"-",""))),1,0))+IF(UPPER(D54)="X",0,IF((LEN(SUBSTITUTE(SUBSTITUTE(SUBSTITUTE(B54," ",""),"0",""),"-",""))+LEN(SUBSTITUTE(SUBSTITUTE(SUBSTITUTE(C54," ",""),"0",""),"-","")))&gt;(LEN(SUBSTITUTE(SUBSTITUTE(SUBSTITUTE(E54," ",""),"0",""),"-",""))+LEN(SUBSTITUTE(SUBSTITUTE(SUBSTITUTE(F54," ",""),"0",""),"-",""))),1,0))+IF(UPPER(D55)="X",0,IF((LEN(SUBSTITUTE(SUBSTITUTE(SUBSTITUTE(B55," ",""),"0",""),"-",""))+LEN(SUBSTITUTE(SUBSTITUTE(SUBSTITUTE(C55," ",""),"0",""),"-","")))&gt;(LEN(SUBSTITUTE(SUBSTITUTE(SUBSTITUTE(E55," ",""),"0",""),"-",""))+LEN(SUBSTITUTE(SUBSTITUTE(SUBSTITUTE(F55," ",""),"0",""),"-",""))),1,0))+IF(UPPER(D56)="X",0,IF((LEN(SUBSTITUTE(SUBSTITUTE(SUBSTITUTE(B56," ",""),"0",""),"-",""))+LEN(SUBSTITUTE(SUBSTITUTE(SUBSTITUTE(C56," ",""),"0",""),"-","")))&gt;(LEN(SUBSTITUTE(SUBSTITUTE(SUBSTITUTE(E56," ",""),"0",""),"-",""))+LEN(SUBSTITUTE(SUBSTITUTE(SUBSTITUTE(F56," ",""),"0",""),"-",""))),1,0))+IF(UPPER(D57)="X",0,IF((LEN(SUBSTITUTE(SUBSTITUTE(SUBSTITUTE(B57," ",""),"0",""),"-",""))+LEN(SUBSTITUTE(SUBSTITUTE(SUBSTITUTE(C57," ",""),"0",""),"-","")))&gt;(LEN(SUBSTITUTE(SUBSTITUTE(SUBSTITUTE(E57," ",""),"0",""),"-",""))+LEN(SUBSTITUTE(SUBSTITUTE(SUBSTITUTE(F57," ",""),"0",""),"-",""))),1,0))</f>
      </c>
      <c r="C60" s="19" t="str">
        <f>LEN(SUBSTITUTE(SUBSTITUTE(SUBSTITUTE(B53," ",""),"0",""),"-",""))+LEN(SUBSTITUTE(SUBSTITUTE(SUBSTITUTE(C53," ",""),"0",""),"-",""))+LEN(SUBSTITUTE(SUBSTITUTE(SUBSTITUTE(B54," ",""),"0",""),"-",""))+LEN(SUBSTITUTE(SUBSTITUTE(SUBSTITUTE(C54," ",""),"0",""),"-",""))+LEN(SUBSTITUTE(SUBSTITUTE(SUBSTITUTE(B55," ",""),"0",""),"-",""))+LEN(SUBSTITUTE(SUBSTITUTE(SUBSTITUTE(C55," ",""),"0",""),"-",""))+LEN(SUBSTITUTE(SUBSTITUTE(SUBSTITUTE(B56," ",""),"0",""),"-",""))+LEN(SUBSTITUTE(SUBSTITUTE(SUBSTITUTE(C56," ",""),"0",""),"-",""))+LEN(SUBSTITUTE(SUBSTITUTE(SUBSTITUTE(B57," ",""),"0",""),"-",""))+LEN(SUBSTITUTE(SUBSTITUTE(SUBSTITUTE(C57," ",""),"0",""),"-",""))</f>
      </c>
      <c r="D60" s="19"/>
      <c r="E60" s="19" t="str">
        <f>LEN(SUBSTITUTE(SUBSTITUTE(SUBSTITUTE(E53," ",""),"0",""),"-",""))+LEN(SUBSTITUTE(SUBSTITUTE(SUBSTITUTE(F53," ",""),"0",""),"-",""))+LEN(SUBSTITUTE(SUBSTITUTE(SUBSTITUTE(E54," ",""),"0",""),"-",""))+LEN(SUBSTITUTE(SUBSTITUTE(SUBSTITUTE(F54," ",""),"0",""),"-",""))+LEN(SUBSTITUTE(SUBSTITUTE(SUBSTITUTE(E55," ",""),"0",""),"-",""))+LEN(SUBSTITUTE(SUBSTITUTE(SUBSTITUTE(F55," ",""),"0",""),"-",""))+LEN(SUBSTITUTE(SUBSTITUTE(SUBSTITUTE(E56," ",""),"0",""),"-",""))+LEN(SUBSTITUTE(SUBSTITUTE(SUBSTITUTE(F56," ",""),"0",""),"-",""))+LEN(SUBSTITUTE(SUBSTITUTE(SUBSTITUTE(E57," ",""),"0",""),"-",""))+LEN(SUBSTITUTE(SUBSTITUTE(SUBSTITUTE(F57," ",""),"0",""),"-",""))</f>
      </c>
      <c r="F60" s="19" t="str">
        <f>IF(UPPER(D53)="X",0,IF((LEN(SUBSTITUTE(SUBSTITUTE(SUBSTITUTE(E53," ",""),"0",""),"-",""))+LEN(SUBSTITUTE(SUBSTITUTE(SUBSTITUTE(F53," ",""),"0",""),"-","")))&gt;(LEN(SUBSTITUTE(SUBSTITUTE(SUBSTITUTE(B53," ",""),"0",""),"-",""))+LEN(SUBSTITUTE(SUBSTITUTE(SUBSTITUTE(C53," ",""),"0",""),"-",""))),1,0))+IF(UPPER(D54)="X",0,IF((LEN(SUBSTITUTE(SUBSTITUTE(SUBSTITUTE(E54," ",""),"0",""),"-",""))+LEN(SUBSTITUTE(SUBSTITUTE(SUBSTITUTE(F54," ",""),"0",""),"-","")))&gt;(LEN(SUBSTITUTE(SUBSTITUTE(SUBSTITUTE(B54," ",""),"0",""),"-",""))+LEN(SUBSTITUTE(SUBSTITUTE(SUBSTITUTE(C54," ",""),"0",""),"-",""))),1,0))+IF(UPPER(D55)="X",0,IF((LEN(SUBSTITUTE(SUBSTITUTE(SUBSTITUTE(E55," ",""),"0",""),"-",""))+LEN(SUBSTITUTE(SUBSTITUTE(SUBSTITUTE(F55," ",""),"0",""),"-","")))&gt;(LEN(SUBSTITUTE(SUBSTITUTE(SUBSTITUTE(B55," ",""),"0",""),"-",""))+LEN(SUBSTITUTE(SUBSTITUTE(SUBSTITUTE(C55," ",""),"0",""),"-",""))),1,0))+IF(UPPER(D56)="X",0,IF((LEN(SUBSTITUTE(SUBSTITUTE(SUBSTITUTE(E56," ",""),"0",""),"-",""))+LEN(SUBSTITUTE(SUBSTITUTE(SUBSTITUTE(F56," ",""),"0",""),"-","")))&gt;(LEN(SUBSTITUTE(SUBSTITUTE(SUBSTITUTE(B56," ",""),"0",""),"-",""))+LEN(SUBSTITUTE(SUBSTITUTE(SUBSTITUTE(C56," ",""),"0",""),"-",""))),1,0))+IF(UPPER(D57)="X",0,IF((LEN(SUBSTITUTE(SUBSTITUTE(SUBSTITUTE(E57," ",""),"0",""),"-",""))+LEN(SUBSTITUTE(SUBSTITUTE(SUBSTITUTE(F57," ",""),"0",""),"-","")))&gt;(LEN(SUBSTITUTE(SUBSTITUTE(SUBSTITUTE(B57," ",""),"0",""),"-",""))+LEN(SUBSTITUTE(SUBSTITUTE(SUBSTITUTE(C57," ",""),"0",""),"-",""))),1,0))</f>
      </c>
      <c r="G60" s="19" t="s">
        <v>37</v>
      </c>
    </row>
    <row r="63">
      <c r="F63" t="s">
        <v>38</v>
      </c>
      <c r="G63" s="23"/>
    </row>
    <row r="64">
      <c r="F64" t="s">
        <v>39</v>
      </c>
      <c r="G64" s="23"/>
    </row>
    <row r="71">
      <c r="A71" s="11" t="s">
        <v>43</v>
      </c>
      <c r="B71" s="11"/>
      <c r="C71" s="11"/>
      <c r="D71" s="11"/>
      <c r="E71" s="11"/>
      <c r="F71" s="11"/>
      <c r="G71" s="11"/>
    </row>
    <row r="72">
      <c r="A72" s="21" t="s">
        <v>32</v>
      </c>
      <c r="D72" s="19" t="s">
        <v>33</v>
      </c>
      <c r="G72" s="20" t="s">
        <v>34</v>
      </c>
    </row>
    <row r="73">
      <c r="A73" s="19" t="str">
        <f>CONCATENATE("M 2 ",G31)</f>
      </c>
      <c r="B73" s="19"/>
      <c r="C73" s="19"/>
      <c r="D73" s="22"/>
      <c r="E73" s="19"/>
      <c r="F73" s="19"/>
      <c r="G73" s="19" t="str">
        <f>'data'!$B$5</f>
      </c>
    </row>
    <row r="74">
      <c r="A74" s="19">
        <v>1</v>
      </c>
      <c r="B74" s="22"/>
      <c r="C74" s="22"/>
      <c r="D74" s="22"/>
      <c r="E74" s="22"/>
      <c r="F74" s="22"/>
      <c r="G74" s="19">
        <v>1</v>
      </c>
    </row>
    <row r="75">
      <c r="A75" s="19">
        <v>2</v>
      </c>
      <c r="B75" s="22"/>
      <c r="C75" s="22"/>
      <c r="D75" s="22"/>
      <c r="E75" s="22"/>
      <c r="F75" s="22"/>
      <c r="G75" s="19">
        <v>2</v>
      </c>
    </row>
    <row r="76">
      <c r="A76" s="19">
        <v>3</v>
      </c>
      <c r="B76" s="22"/>
      <c r="C76" s="22"/>
      <c r="D76" s="22"/>
      <c r="E76" s="22"/>
      <c r="F76" s="22"/>
      <c r="G76" s="19">
        <v>3</v>
      </c>
    </row>
    <row r="77">
      <c r="A77" s="19">
        <v>4</v>
      </c>
      <c r="B77" s="22"/>
      <c r="C77" s="22"/>
      <c r="D77" s="22"/>
      <c r="E77" s="22"/>
      <c r="F77" s="22"/>
      <c r="G77" s="19">
        <v>4</v>
      </c>
    </row>
    <row r="78">
      <c r="A78" s="19">
        <v>5</v>
      </c>
      <c r="B78" s="22"/>
      <c r="C78" s="22"/>
      <c r="D78" s="22"/>
      <c r="E78" s="22"/>
      <c r="F78" s="22"/>
      <c r="G78" s="19">
        <v>5</v>
      </c>
    </row>
    <row r="80">
      <c r="A80" s="19" t="str">
        <f>CONCATENATE("M 2 ",G31)</f>
      </c>
      <c r="B80" s="19" t="s">
        <v>35</v>
      </c>
      <c r="C80" s="19" t="s">
        <v>36</v>
      </c>
      <c r="D80" s="19"/>
      <c r="E80" s="19" t="s">
        <v>36</v>
      </c>
      <c r="F80" s="19" t="s">
        <v>35</v>
      </c>
      <c r="G80" s="19" t="str">
        <f>'data'!$B$5</f>
      </c>
    </row>
    <row r="81">
      <c r="A81" s="19" t="s">
        <v>37</v>
      </c>
      <c r="B81" s="19" t="str">
        <f>IF(UPPER(D74)="X",0,IF((LEN(SUBSTITUTE(SUBSTITUTE(SUBSTITUTE(B74," ",""),"0",""),"-",""))+LEN(SUBSTITUTE(SUBSTITUTE(SUBSTITUTE(C74," ",""),"0",""),"-","")))&gt;(LEN(SUBSTITUTE(SUBSTITUTE(SUBSTITUTE(E74," ",""),"0",""),"-",""))+LEN(SUBSTITUTE(SUBSTITUTE(SUBSTITUTE(F74," ",""),"0",""),"-",""))),1,0))+IF(UPPER(D75)="X",0,IF((LEN(SUBSTITUTE(SUBSTITUTE(SUBSTITUTE(B75," ",""),"0",""),"-",""))+LEN(SUBSTITUTE(SUBSTITUTE(SUBSTITUTE(C75," ",""),"0",""),"-","")))&gt;(LEN(SUBSTITUTE(SUBSTITUTE(SUBSTITUTE(E75," ",""),"0",""),"-",""))+LEN(SUBSTITUTE(SUBSTITUTE(SUBSTITUTE(F75," ",""),"0",""),"-",""))),1,0))+IF(UPPER(D76)="X",0,IF((LEN(SUBSTITUTE(SUBSTITUTE(SUBSTITUTE(B76," ",""),"0",""),"-",""))+LEN(SUBSTITUTE(SUBSTITUTE(SUBSTITUTE(C76," ",""),"0",""),"-","")))&gt;(LEN(SUBSTITUTE(SUBSTITUTE(SUBSTITUTE(E76," ",""),"0",""),"-",""))+LEN(SUBSTITUTE(SUBSTITUTE(SUBSTITUTE(F76," ",""),"0",""),"-",""))),1,0))+IF(UPPER(D77)="X",0,IF((LEN(SUBSTITUTE(SUBSTITUTE(SUBSTITUTE(B77," ",""),"0",""),"-",""))+LEN(SUBSTITUTE(SUBSTITUTE(SUBSTITUTE(C77," ",""),"0",""),"-","")))&gt;(LEN(SUBSTITUTE(SUBSTITUTE(SUBSTITUTE(E77," ",""),"0",""),"-",""))+LEN(SUBSTITUTE(SUBSTITUTE(SUBSTITUTE(F77," ",""),"0",""),"-",""))),1,0))+IF(UPPER(D78)="X",0,IF((LEN(SUBSTITUTE(SUBSTITUTE(SUBSTITUTE(B78," ",""),"0",""),"-",""))+LEN(SUBSTITUTE(SUBSTITUTE(SUBSTITUTE(C78," ",""),"0",""),"-","")))&gt;(LEN(SUBSTITUTE(SUBSTITUTE(SUBSTITUTE(E78," ",""),"0",""),"-",""))+LEN(SUBSTITUTE(SUBSTITUTE(SUBSTITUTE(F78," ",""),"0",""),"-",""))),1,0))</f>
      </c>
      <c r="C81" s="19" t="str">
        <f>LEN(SUBSTITUTE(SUBSTITUTE(SUBSTITUTE(B74," ",""),"0",""),"-",""))+LEN(SUBSTITUTE(SUBSTITUTE(SUBSTITUTE(C74," ",""),"0",""),"-",""))+LEN(SUBSTITUTE(SUBSTITUTE(SUBSTITUTE(B75," ",""),"0",""),"-",""))+LEN(SUBSTITUTE(SUBSTITUTE(SUBSTITUTE(C75," ",""),"0",""),"-",""))+LEN(SUBSTITUTE(SUBSTITUTE(SUBSTITUTE(B76," ",""),"0",""),"-",""))+LEN(SUBSTITUTE(SUBSTITUTE(SUBSTITUTE(C76," ",""),"0",""),"-",""))+LEN(SUBSTITUTE(SUBSTITUTE(SUBSTITUTE(B77," ",""),"0",""),"-",""))+LEN(SUBSTITUTE(SUBSTITUTE(SUBSTITUTE(C77," ",""),"0",""),"-",""))+LEN(SUBSTITUTE(SUBSTITUTE(SUBSTITUTE(B78," ",""),"0",""),"-",""))+LEN(SUBSTITUTE(SUBSTITUTE(SUBSTITUTE(C78," ",""),"0",""),"-",""))</f>
      </c>
      <c r="D81" s="19"/>
      <c r="E81" s="19" t="str">
        <f>LEN(SUBSTITUTE(SUBSTITUTE(SUBSTITUTE(E74," ",""),"0",""),"-",""))+LEN(SUBSTITUTE(SUBSTITUTE(SUBSTITUTE(F74," ",""),"0",""),"-",""))+LEN(SUBSTITUTE(SUBSTITUTE(SUBSTITUTE(E75," ",""),"0",""),"-",""))+LEN(SUBSTITUTE(SUBSTITUTE(SUBSTITUTE(F75," ",""),"0",""),"-",""))+LEN(SUBSTITUTE(SUBSTITUTE(SUBSTITUTE(E76," ",""),"0",""),"-",""))+LEN(SUBSTITUTE(SUBSTITUTE(SUBSTITUTE(F76," ",""),"0",""),"-",""))+LEN(SUBSTITUTE(SUBSTITUTE(SUBSTITUTE(E77," ",""),"0",""),"-",""))+LEN(SUBSTITUTE(SUBSTITUTE(SUBSTITUTE(F77," ",""),"0",""),"-",""))+LEN(SUBSTITUTE(SUBSTITUTE(SUBSTITUTE(E78," ",""),"0",""),"-",""))+LEN(SUBSTITUTE(SUBSTITUTE(SUBSTITUTE(F78," ",""),"0",""),"-",""))</f>
      </c>
      <c r="F81" s="19" t="str">
        <f>IF(UPPER(D74)="X",0,IF((LEN(SUBSTITUTE(SUBSTITUTE(SUBSTITUTE(E74," ",""),"0",""),"-",""))+LEN(SUBSTITUTE(SUBSTITUTE(SUBSTITUTE(F74," ",""),"0",""),"-","")))&gt;(LEN(SUBSTITUTE(SUBSTITUTE(SUBSTITUTE(B74," ",""),"0",""),"-",""))+LEN(SUBSTITUTE(SUBSTITUTE(SUBSTITUTE(C74," ",""),"0",""),"-",""))),1,0))+IF(UPPER(D75)="X",0,IF((LEN(SUBSTITUTE(SUBSTITUTE(SUBSTITUTE(E75," ",""),"0",""),"-",""))+LEN(SUBSTITUTE(SUBSTITUTE(SUBSTITUTE(F75," ",""),"0",""),"-","")))&gt;(LEN(SUBSTITUTE(SUBSTITUTE(SUBSTITUTE(B75," ",""),"0",""),"-",""))+LEN(SUBSTITUTE(SUBSTITUTE(SUBSTITUTE(C75," ",""),"0",""),"-",""))),1,0))+IF(UPPER(D76)="X",0,IF((LEN(SUBSTITUTE(SUBSTITUTE(SUBSTITUTE(E76," ",""),"0",""),"-",""))+LEN(SUBSTITUTE(SUBSTITUTE(SUBSTITUTE(F76," ",""),"0",""),"-","")))&gt;(LEN(SUBSTITUTE(SUBSTITUTE(SUBSTITUTE(B76," ",""),"0",""),"-",""))+LEN(SUBSTITUTE(SUBSTITUTE(SUBSTITUTE(C76," ",""),"0",""),"-",""))),1,0))+IF(UPPER(D77)="X",0,IF((LEN(SUBSTITUTE(SUBSTITUTE(SUBSTITUTE(E77," ",""),"0",""),"-",""))+LEN(SUBSTITUTE(SUBSTITUTE(SUBSTITUTE(F77," ",""),"0",""),"-","")))&gt;(LEN(SUBSTITUTE(SUBSTITUTE(SUBSTITUTE(B77," ",""),"0",""),"-",""))+LEN(SUBSTITUTE(SUBSTITUTE(SUBSTITUTE(C77," ",""),"0",""),"-",""))),1,0))+IF(UPPER(D78)="X",0,IF((LEN(SUBSTITUTE(SUBSTITUTE(SUBSTITUTE(E78," ",""),"0",""),"-",""))+LEN(SUBSTITUTE(SUBSTITUTE(SUBSTITUTE(F78," ",""),"0",""),"-","")))&gt;(LEN(SUBSTITUTE(SUBSTITUTE(SUBSTITUTE(B78," ",""),"0",""),"-",""))+LEN(SUBSTITUTE(SUBSTITUTE(SUBSTITUTE(C78," ",""),"0",""),"-",""))),1,0))</f>
      </c>
      <c r="G81" s="19" t="s">
        <v>37</v>
      </c>
    </row>
    <row r="84">
      <c r="F84" t="s">
        <v>38</v>
      </c>
      <c r="G84" s="23"/>
    </row>
    <row r="85">
      <c r="F85" t="s">
        <v>39</v>
      </c>
      <c r="G85" s="23"/>
    </row>
    <row r="87">
      <c r="A87" s="11" t="s">
        <v>44</v>
      </c>
      <c r="B87" s="11"/>
      <c r="C87" s="11"/>
      <c r="D87" s="11"/>
      <c r="E87" s="11"/>
      <c r="F87" s="11"/>
      <c r="G87" s="11"/>
    </row>
    <row r="88">
      <c r="A88" s="21" t="s">
        <v>32</v>
      </c>
      <c r="D88" s="19" t="s">
        <v>33</v>
      </c>
      <c r="G88" s="20" t="s">
        <v>34</v>
      </c>
    </row>
    <row r="89">
      <c r="A89" s="19" t="str">
        <f>CONCATENATE("M 4 ",G63)</f>
      </c>
      <c r="B89" s="19"/>
      <c r="C89" s="19"/>
      <c r="D89" s="22"/>
      <c r="E89" s="19"/>
      <c r="F89" s="19"/>
      <c r="G89" s="19" t="str">
        <f>'data'!$B$10</f>
      </c>
    </row>
    <row r="90">
      <c r="A90" s="19">
        <v>1</v>
      </c>
      <c r="B90" s="22"/>
      <c r="C90" s="22"/>
      <c r="D90" s="22"/>
      <c r="E90" s="22"/>
      <c r="F90" s="22"/>
      <c r="G90" s="19">
        <v>1</v>
      </c>
    </row>
    <row r="91">
      <c r="A91" s="19">
        <v>2</v>
      </c>
      <c r="B91" s="22"/>
      <c r="C91" s="22"/>
      <c r="D91" s="22"/>
      <c r="E91" s="22"/>
      <c r="F91" s="22"/>
      <c r="G91" s="19">
        <v>2</v>
      </c>
    </row>
    <row r="92">
      <c r="A92" s="19">
        <v>3</v>
      </c>
      <c r="B92" s="22"/>
      <c r="C92" s="22"/>
      <c r="D92" s="22"/>
      <c r="E92" s="22"/>
      <c r="F92" s="22"/>
      <c r="G92" s="19">
        <v>3</v>
      </c>
    </row>
    <row r="93">
      <c r="A93" s="19">
        <v>4</v>
      </c>
      <c r="B93" s="22"/>
      <c r="C93" s="22"/>
      <c r="D93" s="22"/>
      <c r="E93" s="22"/>
      <c r="F93" s="22"/>
      <c r="G93" s="19">
        <v>4</v>
      </c>
    </row>
    <row r="94">
      <c r="A94" s="19">
        <v>5</v>
      </c>
      <c r="B94" s="22"/>
      <c r="C94" s="22"/>
      <c r="D94" s="22"/>
      <c r="E94" s="22"/>
      <c r="F94" s="22"/>
      <c r="G94" s="19">
        <v>5</v>
      </c>
    </row>
    <row r="96">
      <c r="A96" s="19" t="str">
        <f>CONCATENATE("M 4 ",G63)</f>
      </c>
      <c r="B96" s="19" t="s">
        <v>35</v>
      </c>
      <c r="C96" s="19" t="s">
        <v>36</v>
      </c>
      <c r="D96" s="19"/>
      <c r="E96" s="19" t="s">
        <v>36</v>
      </c>
      <c r="F96" s="19" t="s">
        <v>35</v>
      </c>
      <c r="G96" s="19" t="str">
        <f>'data'!$B$10</f>
      </c>
    </row>
    <row r="97">
      <c r="A97" s="19" t="s">
        <v>37</v>
      </c>
      <c r="B97" s="19" t="str">
        <f>IF(UPPER(D90)="X",0,IF((LEN(SUBSTITUTE(SUBSTITUTE(SUBSTITUTE(B90," ",""),"0",""),"-",""))+LEN(SUBSTITUTE(SUBSTITUTE(SUBSTITUTE(C90," ",""),"0",""),"-","")))&gt;(LEN(SUBSTITUTE(SUBSTITUTE(SUBSTITUTE(E90," ",""),"0",""),"-",""))+LEN(SUBSTITUTE(SUBSTITUTE(SUBSTITUTE(F90," ",""),"0",""),"-",""))),1,0))+IF(UPPER(D91)="X",0,IF((LEN(SUBSTITUTE(SUBSTITUTE(SUBSTITUTE(B91," ",""),"0",""),"-",""))+LEN(SUBSTITUTE(SUBSTITUTE(SUBSTITUTE(C91," ",""),"0",""),"-","")))&gt;(LEN(SUBSTITUTE(SUBSTITUTE(SUBSTITUTE(E91," ",""),"0",""),"-",""))+LEN(SUBSTITUTE(SUBSTITUTE(SUBSTITUTE(F91," ",""),"0",""),"-",""))),1,0))+IF(UPPER(D92)="X",0,IF((LEN(SUBSTITUTE(SUBSTITUTE(SUBSTITUTE(B92," ",""),"0",""),"-",""))+LEN(SUBSTITUTE(SUBSTITUTE(SUBSTITUTE(C92," ",""),"0",""),"-","")))&gt;(LEN(SUBSTITUTE(SUBSTITUTE(SUBSTITUTE(E92," ",""),"0",""),"-",""))+LEN(SUBSTITUTE(SUBSTITUTE(SUBSTITUTE(F92," ",""),"0",""),"-",""))),1,0))+IF(UPPER(D93)="X",0,IF((LEN(SUBSTITUTE(SUBSTITUTE(SUBSTITUTE(B93," ",""),"0",""),"-",""))+LEN(SUBSTITUTE(SUBSTITUTE(SUBSTITUTE(C93," ",""),"0",""),"-","")))&gt;(LEN(SUBSTITUTE(SUBSTITUTE(SUBSTITUTE(E93," ",""),"0",""),"-",""))+LEN(SUBSTITUTE(SUBSTITUTE(SUBSTITUTE(F93," ",""),"0",""),"-",""))),1,0))+IF(UPPER(D94)="X",0,IF((LEN(SUBSTITUTE(SUBSTITUTE(SUBSTITUTE(B94," ",""),"0",""),"-",""))+LEN(SUBSTITUTE(SUBSTITUTE(SUBSTITUTE(C94," ",""),"0",""),"-","")))&gt;(LEN(SUBSTITUTE(SUBSTITUTE(SUBSTITUTE(E94," ",""),"0",""),"-",""))+LEN(SUBSTITUTE(SUBSTITUTE(SUBSTITUTE(F94," ",""),"0",""),"-",""))),1,0))</f>
      </c>
      <c r="C97" s="19" t="str">
        <f>LEN(SUBSTITUTE(SUBSTITUTE(SUBSTITUTE(B90," ",""),"0",""),"-",""))+LEN(SUBSTITUTE(SUBSTITUTE(SUBSTITUTE(C90," ",""),"0",""),"-",""))+LEN(SUBSTITUTE(SUBSTITUTE(SUBSTITUTE(B91," ",""),"0",""),"-",""))+LEN(SUBSTITUTE(SUBSTITUTE(SUBSTITUTE(C91," ",""),"0",""),"-",""))+LEN(SUBSTITUTE(SUBSTITUTE(SUBSTITUTE(B92," ",""),"0",""),"-",""))+LEN(SUBSTITUTE(SUBSTITUTE(SUBSTITUTE(C92," ",""),"0",""),"-",""))+LEN(SUBSTITUTE(SUBSTITUTE(SUBSTITUTE(B93," ",""),"0",""),"-",""))+LEN(SUBSTITUTE(SUBSTITUTE(SUBSTITUTE(C93," ",""),"0",""),"-",""))+LEN(SUBSTITUTE(SUBSTITUTE(SUBSTITUTE(B94," ",""),"0",""),"-",""))+LEN(SUBSTITUTE(SUBSTITUTE(SUBSTITUTE(C94," ",""),"0",""),"-",""))</f>
      </c>
      <c r="D97" s="19"/>
      <c r="E97" s="19" t="str">
        <f>LEN(SUBSTITUTE(SUBSTITUTE(SUBSTITUTE(E90," ",""),"0",""),"-",""))+LEN(SUBSTITUTE(SUBSTITUTE(SUBSTITUTE(F90," ",""),"0",""),"-",""))+LEN(SUBSTITUTE(SUBSTITUTE(SUBSTITUTE(E91," ",""),"0",""),"-",""))+LEN(SUBSTITUTE(SUBSTITUTE(SUBSTITUTE(F91," ",""),"0",""),"-",""))+LEN(SUBSTITUTE(SUBSTITUTE(SUBSTITUTE(E92," ",""),"0",""),"-",""))+LEN(SUBSTITUTE(SUBSTITUTE(SUBSTITUTE(F92," ",""),"0",""),"-",""))+LEN(SUBSTITUTE(SUBSTITUTE(SUBSTITUTE(E93," ",""),"0",""),"-",""))+LEN(SUBSTITUTE(SUBSTITUTE(SUBSTITUTE(F93," ",""),"0",""),"-",""))+LEN(SUBSTITUTE(SUBSTITUTE(SUBSTITUTE(E94," ",""),"0",""),"-",""))+LEN(SUBSTITUTE(SUBSTITUTE(SUBSTITUTE(F94," ",""),"0",""),"-",""))</f>
      </c>
      <c r="F97" s="19" t="str">
        <f>IF(UPPER(D90)="X",0,IF((LEN(SUBSTITUTE(SUBSTITUTE(SUBSTITUTE(E90," ",""),"0",""),"-",""))+LEN(SUBSTITUTE(SUBSTITUTE(SUBSTITUTE(F90," ",""),"0",""),"-","")))&gt;(LEN(SUBSTITUTE(SUBSTITUTE(SUBSTITUTE(B90," ",""),"0",""),"-",""))+LEN(SUBSTITUTE(SUBSTITUTE(SUBSTITUTE(C90," ",""),"0",""),"-",""))),1,0))+IF(UPPER(D91)="X",0,IF((LEN(SUBSTITUTE(SUBSTITUTE(SUBSTITUTE(E91," ",""),"0",""),"-",""))+LEN(SUBSTITUTE(SUBSTITUTE(SUBSTITUTE(F91," ",""),"0",""),"-","")))&gt;(LEN(SUBSTITUTE(SUBSTITUTE(SUBSTITUTE(B91," ",""),"0",""),"-",""))+LEN(SUBSTITUTE(SUBSTITUTE(SUBSTITUTE(C91," ",""),"0",""),"-",""))),1,0))+IF(UPPER(D92)="X",0,IF((LEN(SUBSTITUTE(SUBSTITUTE(SUBSTITUTE(E92," ",""),"0",""),"-",""))+LEN(SUBSTITUTE(SUBSTITUTE(SUBSTITUTE(F92," ",""),"0",""),"-","")))&gt;(LEN(SUBSTITUTE(SUBSTITUTE(SUBSTITUTE(B92," ",""),"0",""),"-",""))+LEN(SUBSTITUTE(SUBSTITUTE(SUBSTITUTE(C92," ",""),"0",""),"-",""))),1,0))+IF(UPPER(D93)="X",0,IF((LEN(SUBSTITUTE(SUBSTITUTE(SUBSTITUTE(E93," ",""),"0",""),"-",""))+LEN(SUBSTITUTE(SUBSTITUTE(SUBSTITUTE(F93," ",""),"0",""),"-","")))&gt;(LEN(SUBSTITUTE(SUBSTITUTE(SUBSTITUTE(B93," ",""),"0",""),"-",""))+LEN(SUBSTITUTE(SUBSTITUTE(SUBSTITUTE(C93," ",""),"0",""),"-",""))),1,0))+IF(UPPER(D94)="X",0,IF((LEN(SUBSTITUTE(SUBSTITUTE(SUBSTITUTE(E94," ",""),"0",""),"-",""))+LEN(SUBSTITUTE(SUBSTITUTE(SUBSTITUTE(F94," ",""),"0",""),"-","")))&gt;(LEN(SUBSTITUTE(SUBSTITUTE(SUBSTITUTE(B94," ",""),"0",""),"-",""))+LEN(SUBSTITUTE(SUBSTITUTE(SUBSTITUTE(C94," ",""),"0",""),"-",""))),1,0))</f>
      </c>
      <c r="G97" s="19" t="s">
        <v>37</v>
      </c>
    </row>
    <row r="100">
      <c r="F100" t="s">
        <v>38</v>
      </c>
      <c r="G100" s="23"/>
    </row>
    <row r="101">
      <c r="F101" t="s">
        <v>39</v>
      </c>
      <c r="G101" s="23"/>
    </row>
    <row r="108">
      <c r="A108" s="11" t="s">
        <v>45</v>
      </c>
      <c r="B108" s="11"/>
      <c r="C108" s="11"/>
      <c r="D108" s="11"/>
      <c r="E108" s="11"/>
      <c r="F108" s="11"/>
      <c r="G108" s="11"/>
    </row>
    <row r="109">
      <c r="A109" s="21" t="s">
        <v>32</v>
      </c>
      <c r="D109" s="19" t="s">
        <v>33</v>
      </c>
      <c r="G109" s="20" t="s">
        <v>34</v>
      </c>
    </row>
    <row r="110">
      <c r="A110" s="19" t="str">
        <f>CONCATENATE("M 5 ",G84)</f>
      </c>
      <c r="B110" s="19"/>
      <c r="C110" s="19"/>
      <c r="D110" s="22"/>
      <c r="E110" s="19"/>
      <c r="F110" s="19"/>
      <c r="G110" s="19" t="str">
        <f>CONCATENATE("M 1 ",G15)</f>
      </c>
    </row>
    <row r="111">
      <c r="A111" s="19">
        <v>1</v>
      </c>
      <c r="B111" s="22"/>
      <c r="C111" s="22"/>
      <c r="D111" s="22"/>
      <c r="E111" s="22"/>
      <c r="F111" s="22"/>
      <c r="G111" s="19">
        <v>1</v>
      </c>
    </row>
    <row r="112">
      <c r="A112" s="19">
        <v>2</v>
      </c>
      <c r="B112" s="22"/>
      <c r="C112" s="22"/>
      <c r="D112" s="22"/>
      <c r="E112" s="22"/>
      <c r="F112" s="22"/>
      <c r="G112" s="19">
        <v>2</v>
      </c>
    </row>
    <row r="113">
      <c r="A113" s="19">
        <v>3</v>
      </c>
      <c r="B113" s="22"/>
      <c r="C113" s="22"/>
      <c r="D113" s="22"/>
      <c r="E113" s="22"/>
      <c r="F113" s="22"/>
      <c r="G113" s="19">
        <v>3</v>
      </c>
    </row>
    <row r="114">
      <c r="A114" s="19">
        <v>4</v>
      </c>
      <c r="B114" s="22"/>
      <c r="C114" s="22"/>
      <c r="D114" s="22"/>
      <c r="E114" s="22"/>
      <c r="F114" s="22"/>
      <c r="G114" s="19">
        <v>4</v>
      </c>
    </row>
    <row r="115">
      <c r="A115" s="19">
        <v>5</v>
      </c>
      <c r="B115" s="22"/>
      <c r="C115" s="22"/>
      <c r="D115" s="22"/>
      <c r="E115" s="22"/>
      <c r="F115" s="22"/>
      <c r="G115" s="19">
        <v>5</v>
      </c>
    </row>
    <row r="117">
      <c r="A117" s="19" t="str">
        <f>CONCATENATE("M 5 ",G84)</f>
      </c>
      <c r="B117" s="19" t="s">
        <v>35</v>
      </c>
      <c r="C117" s="19" t="s">
        <v>36</v>
      </c>
      <c r="D117" s="19"/>
      <c r="E117" s="19" t="s">
        <v>36</v>
      </c>
      <c r="F117" s="19" t="s">
        <v>35</v>
      </c>
      <c r="G117" s="19" t="str">
        <f>CONCATENATE("M 1 ",G15)</f>
      </c>
    </row>
    <row r="118">
      <c r="A118" s="19" t="s">
        <v>37</v>
      </c>
      <c r="B118" s="19" t="str">
        <f>IF(UPPER(D111)="X",0,IF((LEN(SUBSTITUTE(SUBSTITUTE(SUBSTITUTE(B111," ",""),"0",""),"-",""))+LEN(SUBSTITUTE(SUBSTITUTE(SUBSTITUTE(C111," ",""),"0",""),"-","")))&gt;(LEN(SUBSTITUTE(SUBSTITUTE(SUBSTITUTE(E111," ",""),"0",""),"-",""))+LEN(SUBSTITUTE(SUBSTITUTE(SUBSTITUTE(F111," ",""),"0",""),"-",""))),1,0))+IF(UPPER(D112)="X",0,IF((LEN(SUBSTITUTE(SUBSTITUTE(SUBSTITUTE(B112," ",""),"0",""),"-",""))+LEN(SUBSTITUTE(SUBSTITUTE(SUBSTITUTE(C112," ",""),"0",""),"-","")))&gt;(LEN(SUBSTITUTE(SUBSTITUTE(SUBSTITUTE(E112," ",""),"0",""),"-",""))+LEN(SUBSTITUTE(SUBSTITUTE(SUBSTITUTE(F112," ",""),"0",""),"-",""))),1,0))+IF(UPPER(D113)="X",0,IF((LEN(SUBSTITUTE(SUBSTITUTE(SUBSTITUTE(B113," ",""),"0",""),"-",""))+LEN(SUBSTITUTE(SUBSTITUTE(SUBSTITUTE(C113," ",""),"0",""),"-","")))&gt;(LEN(SUBSTITUTE(SUBSTITUTE(SUBSTITUTE(E113," ",""),"0",""),"-",""))+LEN(SUBSTITUTE(SUBSTITUTE(SUBSTITUTE(F113," ",""),"0",""),"-",""))),1,0))+IF(UPPER(D114)="X",0,IF((LEN(SUBSTITUTE(SUBSTITUTE(SUBSTITUTE(B114," ",""),"0",""),"-",""))+LEN(SUBSTITUTE(SUBSTITUTE(SUBSTITUTE(C114," ",""),"0",""),"-","")))&gt;(LEN(SUBSTITUTE(SUBSTITUTE(SUBSTITUTE(E114," ",""),"0",""),"-",""))+LEN(SUBSTITUTE(SUBSTITUTE(SUBSTITUTE(F114," ",""),"0",""),"-",""))),1,0))+IF(UPPER(D115)="X",0,IF((LEN(SUBSTITUTE(SUBSTITUTE(SUBSTITUTE(B115," ",""),"0",""),"-",""))+LEN(SUBSTITUTE(SUBSTITUTE(SUBSTITUTE(C115," ",""),"0",""),"-","")))&gt;(LEN(SUBSTITUTE(SUBSTITUTE(SUBSTITUTE(E115," ",""),"0",""),"-",""))+LEN(SUBSTITUTE(SUBSTITUTE(SUBSTITUTE(F115," ",""),"0",""),"-",""))),1,0))</f>
      </c>
      <c r="C118" s="19" t="str">
        <f>LEN(SUBSTITUTE(SUBSTITUTE(SUBSTITUTE(B111," ",""),"0",""),"-",""))+LEN(SUBSTITUTE(SUBSTITUTE(SUBSTITUTE(C111," ",""),"0",""),"-",""))+LEN(SUBSTITUTE(SUBSTITUTE(SUBSTITUTE(B112," ",""),"0",""),"-",""))+LEN(SUBSTITUTE(SUBSTITUTE(SUBSTITUTE(C112," ",""),"0",""),"-",""))+LEN(SUBSTITUTE(SUBSTITUTE(SUBSTITUTE(B113," ",""),"0",""),"-",""))+LEN(SUBSTITUTE(SUBSTITUTE(SUBSTITUTE(C113," ",""),"0",""),"-",""))+LEN(SUBSTITUTE(SUBSTITUTE(SUBSTITUTE(B114," ",""),"0",""),"-",""))+LEN(SUBSTITUTE(SUBSTITUTE(SUBSTITUTE(C114," ",""),"0",""),"-",""))+LEN(SUBSTITUTE(SUBSTITUTE(SUBSTITUTE(B115," ",""),"0",""),"-",""))+LEN(SUBSTITUTE(SUBSTITUTE(SUBSTITUTE(C115," ",""),"0",""),"-",""))</f>
      </c>
      <c r="D118" s="19"/>
      <c r="E118" s="19" t="str">
        <f>LEN(SUBSTITUTE(SUBSTITUTE(SUBSTITUTE(E111," ",""),"0",""),"-",""))+LEN(SUBSTITUTE(SUBSTITUTE(SUBSTITUTE(F111," ",""),"0",""),"-",""))+LEN(SUBSTITUTE(SUBSTITUTE(SUBSTITUTE(E112," ",""),"0",""),"-",""))+LEN(SUBSTITUTE(SUBSTITUTE(SUBSTITUTE(F112," ",""),"0",""),"-",""))+LEN(SUBSTITUTE(SUBSTITUTE(SUBSTITUTE(E113," ",""),"0",""),"-",""))+LEN(SUBSTITUTE(SUBSTITUTE(SUBSTITUTE(F113," ",""),"0",""),"-",""))+LEN(SUBSTITUTE(SUBSTITUTE(SUBSTITUTE(E114," ",""),"0",""),"-",""))+LEN(SUBSTITUTE(SUBSTITUTE(SUBSTITUTE(F114," ",""),"0",""),"-",""))+LEN(SUBSTITUTE(SUBSTITUTE(SUBSTITUTE(E115," ",""),"0",""),"-",""))+LEN(SUBSTITUTE(SUBSTITUTE(SUBSTITUTE(F115," ",""),"0",""),"-",""))</f>
      </c>
      <c r="F118" s="19" t="str">
        <f>IF(UPPER(D111)="X",0,IF((LEN(SUBSTITUTE(SUBSTITUTE(SUBSTITUTE(E111," ",""),"0",""),"-",""))+LEN(SUBSTITUTE(SUBSTITUTE(SUBSTITUTE(F111," ",""),"0",""),"-","")))&gt;(LEN(SUBSTITUTE(SUBSTITUTE(SUBSTITUTE(B111," ",""),"0",""),"-",""))+LEN(SUBSTITUTE(SUBSTITUTE(SUBSTITUTE(C111," ",""),"0",""),"-",""))),1,0))+IF(UPPER(D112)="X",0,IF((LEN(SUBSTITUTE(SUBSTITUTE(SUBSTITUTE(E112," ",""),"0",""),"-",""))+LEN(SUBSTITUTE(SUBSTITUTE(SUBSTITUTE(F112," ",""),"0",""),"-","")))&gt;(LEN(SUBSTITUTE(SUBSTITUTE(SUBSTITUTE(B112," ",""),"0",""),"-",""))+LEN(SUBSTITUTE(SUBSTITUTE(SUBSTITUTE(C112," ",""),"0",""),"-",""))),1,0))+IF(UPPER(D113)="X",0,IF((LEN(SUBSTITUTE(SUBSTITUTE(SUBSTITUTE(E113," ",""),"0",""),"-",""))+LEN(SUBSTITUTE(SUBSTITUTE(SUBSTITUTE(F113," ",""),"0",""),"-","")))&gt;(LEN(SUBSTITUTE(SUBSTITUTE(SUBSTITUTE(B113," ",""),"0",""),"-",""))+LEN(SUBSTITUTE(SUBSTITUTE(SUBSTITUTE(C113," ",""),"0",""),"-",""))),1,0))+IF(UPPER(D114)="X",0,IF((LEN(SUBSTITUTE(SUBSTITUTE(SUBSTITUTE(E114," ",""),"0",""),"-",""))+LEN(SUBSTITUTE(SUBSTITUTE(SUBSTITUTE(F114," ",""),"0",""),"-","")))&gt;(LEN(SUBSTITUTE(SUBSTITUTE(SUBSTITUTE(B114," ",""),"0",""),"-",""))+LEN(SUBSTITUTE(SUBSTITUTE(SUBSTITUTE(C114," ",""),"0",""),"-",""))),1,0))+IF(UPPER(D115)="X",0,IF((LEN(SUBSTITUTE(SUBSTITUTE(SUBSTITUTE(E115," ",""),"0",""),"-",""))+LEN(SUBSTITUTE(SUBSTITUTE(SUBSTITUTE(F115," ",""),"0",""),"-","")))&gt;(LEN(SUBSTITUTE(SUBSTITUTE(SUBSTITUTE(B115," ",""),"0",""),"-",""))+LEN(SUBSTITUTE(SUBSTITUTE(SUBSTITUTE(C115," ",""),"0",""),"-",""))),1,0))</f>
      </c>
      <c r="G118" s="19" t="s">
        <v>37</v>
      </c>
    </row>
    <row r="121">
      <c r="F121" t="s">
        <v>38</v>
      </c>
      <c r="G121" s="23"/>
    </row>
    <row r="122">
      <c r="F122" t="s">
        <v>39</v>
      </c>
      <c r="G122" s="23"/>
    </row>
    <row r="124">
      <c r="A124" s="11" t="s">
        <v>46</v>
      </c>
      <c r="B124" s="11"/>
      <c r="C124" s="11"/>
      <c r="D124" s="11"/>
      <c r="E124" s="11"/>
      <c r="F124" s="11"/>
      <c r="G124" s="11"/>
    </row>
    <row r="125">
      <c r="A125" s="21" t="s">
        <v>32</v>
      </c>
      <c r="D125" s="19" t="s">
        <v>33</v>
      </c>
      <c r="G125" s="20" t="s">
        <v>34</v>
      </c>
    </row>
    <row r="126">
      <c r="A126" s="19" t="str">
        <f>CONCATENATE("M 6 ",G100)</f>
      </c>
      <c r="B126" s="19"/>
      <c r="C126" s="19"/>
      <c r="D126" s="22"/>
      <c r="E126" s="19"/>
      <c r="F126" s="19"/>
      <c r="G126" s="19" t="str">
        <f>CONCATENATE("M 3 ",G47)</f>
      </c>
    </row>
    <row r="127">
      <c r="A127" s="19">
        <v>1</v>
      </c>
      <c r="B127" s="22"/>
      <c r="C127" s="22"/>
      <c r="D127" s="22"/>
      <c r="E127" s="22"/>
      <c r="F127" s="22"/>
      <c r="G127" s="19">
        <v>1</v>
      </c>
    </row>
    <row r="128">
      <c r="A128" s="19">
        <v>2</v>
      </c>
      <c r="B128" s="22"/>
      <c r="C128" s="22"/>
      <c r="D128" s="22"/>
      <c r="E128" s="22"/>
      <c r="F128" s="22"/>
      <c r="G128" s="19">
        <v>2</v>
      </c>
    </row>
    <row r="129">
      <c r="A129" s="19">
        <v>3</v>
      </c>
      <c r="B129" s="22"/>
      <c r="C129" s="22"/>
      <c r="D129" s="22"/>
      <c r="E129" s="22"/>
      <c r="F129" s="22"/>
      <c r="G129" s="19">
        <v>3</v>
      </c>
    </row>
    <row r="130">
      <c r="A130" s="19">
        <v>4</v>
      </c>
      <c r="B130" s="22"/>
      <c r="C130" s="22"/>
      <c r="D130" s="22"/>
      <c r="E130" s="22"/>
      <c r="F130" s="22"/>
      <c r="G130" s="19">
        <v>4</v>
      </c>
    </row>
    <row r="131">
      <c r="A131" s="19">
        <v>5</v>
      </c>
      <c r="B131" s="22"/>
      <c r="C131" s="22"/>
      <c r="D131" s="22"/>
      <c r="E131" s="22"/>
      <c r="F131" s="22"/>
      <c r="G131" s="19">
        <v>5</v>
      </c>
    </row>
    <row r="133">
      <c r="A133" s="19" t="str">
        <f>CONCATENATE("M 6 ",G100)</f>
      </c>
      <c r="B133" s="19" t="s">
        <v>35</v>
      </c>
      <c r="C133" s="19" t="s">
        <v>36</v>
      </c>
      <c r="D133" s="19"/>
      <c r="E133" s="19" t="s">
        <v>36</v>
      </c>
      <c r="F133" s="19" t="s">
        <v>35</v>
      </c>
      <c r="G133" s="19" t="str">
        <f>CONCATENATE("M 3 ",G47)</f>
      </c>
    </row>
    <row r="134">
      <c r="A134" s="19" t="s">
        <v>37</v>
      </c>
      <c r="B134" s="19" t="str">
        <f>IF(UPPER(D127)="X",0,IF((LEN(SUBSTITUTE(SUBSTITUTE(SUBSTITUTE(B127," ",""),"0",""),"-",""))+LEN(SUBSTITUTE(SUBSTITUTE(SUBSTITUTE(C127," ",""),"0",""),"-","")))&gt;(LEN(SUBSTITUTE(SUBSTITUTE(SUBSTITUTE(E127," ",""),"0",""),"-",""))+LEN(SUBSTITUTE(SUBSTITUTE(SUBSTITUTE(F127," ",""),"0",""),"-",""))),1,0))+IF(UPPER(D128)="X",0,IF((LEN(SUBSTITUTE(SUBSTITUTE(SUBSTITUTE(B128," ",""),"0",""),"-",""))+LEN(SUBSTITUTE(SUBSTITUTE(SUBSTITUTE(C128," ",""),"0",""),"-","")))&gt;(LEN(SUBSTITUTE(SUBSTITUTE(SUBSTITUTE(E128," ",""),"0",""),"-",""))+LEN(SUBSTITUTE(SUBSTITUTE(SUBSTITUTE(F128," ",""),"0",""),"-",""))),1,0))+IF(UPPER(D129)="X",0,IF((LEN(SUBSTITUTE(SUBSTITUTE(SUBSTITUTE(B129," ",""),"0",""),"-",""))+LEN(SUBSTITUTE(SUBSTITUTE(SUBSTITUTE(C129," ",""),"0",""),"-","")))&gt;(LEN(SUBSTITUTE(SUBSTITUTE(SUBSTITUTE(E129," ",""),"0",""),"-",""))+LEN(SUBSTITUTE(SUBSTITUTE(SUBSTITUTE(F129," ",""),"0",""),"-",""))),1,0))+IF(UPPER(D130)="X",0,IF((LEN(SUBSTITUTE(SUBSTITUTE(SUBSTITUTE(B130," ",""),"0",""),"-",""))+LEN(SUBSTITUTE(SUBSTITUTE(SUBSTITUTE(C130," ",""),"0",""),"-","")))&gt;(LEN(SUBSTITUTE(SUBSTITUTE(SUBSTITUTE(E130," ",""),"0",""),"-",""))+LEN(SUBSTITUTE(SUBSTITUTE(SUBSTITUTE(F130," ",""),"0",""),"-",""))),1,0))+IF(UPPER(D131)="X",0,IF((LEN(SUBSTITUTE(SUBSTITUTE(SUBSTITUTE(B131," ",""),"0",""),"-",""))+LEN(SUBSTITUTE(SUBSTITUTE(SUBSTITUTE(C131," ",""),"0",""),"-","")))&gt;(LEN(SUBSTITUTE(SUBSTITUTE(SUBSTITUTE(E131," ",""),"0",""),"-",""))+LEN(SUBSTITUTE(SUBSTITUTE(SUBSTITUTE(F131," ",""),"0",""),"-",""))),1,0))</f>
      </c>
      <c r="C134" s="19" t="str">
        <f>LEN(SUBSTITUTE(SUBSTITUTE(SUBSTITUTE(B127," ",""),"0",""),"-",""))+LEN(SUBSTITUTE(SUBSTITUTE(SUBSTITUTE(C127," ",""),"0",""),"-",""))+LEN(SUBSTITUTE(SUBSTITUTE(SUBSTITUTE(B128," ",""),"0",""),"-",""))+LEN(SUBSTITUTE(SUBSTITUTE(SUBSTITUTE(C128," ",""),"0",""),"-",""))+LEN(SUBSTITUTE(SUBSTITUTE(SUBSTITUTE(B129," ",""),"0",""),"-",""))+LEN(SUBSTITUTE(SUBSTITUTE(SUBSTITUTE(C129," ",""),"0",""),"-",""))+LEN(SUBSTITUTE(SUBSTITUTE(SUBSTITUTE(B130," ",""),"0",""),"-",""))+LEN(SUBSTITUTE(SUBSTITUTE(SUBSTITUTE(C130," ",""),"0",""),"-",""))+LEN(SUBSTITUTE(SUBSTITUTE(SUBSTITUTE(B131," ",""),"0",""),"-",""))+LEN(SUBSTITUTE(SUBSTITUTE(SUBSTITUTE(C131," ",""),"0",""),"-",""))</f>
      </c>
      <c r="D134" s="19"/>
      <c r="E134" s="19" t="str">
        <f>LEN(SUBSTITUTE(SUBSTITUTE(SUBSTITUTE(E127," ",""),"0",""),"-",""))+LEN(SUBSTITUTE(SUBSTITUTE(SUBSTITUTE(F127," ",""),"0",""),"-",""))+LEN(SUBSTITUTE(SUBSTITUTE(SUBSTITUTE(E128," ",""),"0",""),"-",""))+LEN(SUBSTITUTE(SUBSTITUTE(SUBSTITUTE(F128," ",""),"0",""),"-",""))+LEN(SUBSTITUTE(SUBSTITUTE(SUBSTITUTE(E129," ",""),"0",""),"-",""))+LEN(SUBSTITUTE(SUBSTITUTE(SUBSTITUTE(F129," ",""),"0",""),"-",""))+LEN(SUBSTITUTE(SUBSTITUTE(SUBSTITUTE(E130," ",""),"0",""),"-",""))+LEN(SUBSTITUTE(SUBSTITUTE(SUBSTITUTE(F130," ",""),"0",""),"-",""))+LEN(SUBSTITUTE(SUBSTITUTE(SUBSTITUTE(E131," ",""),"0",""),"-",""))+LEN(SUBSTITUTE(SUBSTITUTE(SUBSTITUTE(F131," ",""),"0",""),"-",""))</f>
      </c>
      <c r="F134" s="19" t="str">
        <f>IF(UPPER(D127)="X",0,IF((LEN(SUBSTITUTE(SUBSTITUTE(SUBSTITUTE(E127," ",""),"0",""),"-",""))+LEN(SUBSTITUTE(SUBSTITUTE(SUBSTITUTE(F127," ",""),"0",""),"-","")))&gt;(LEN(SUBSTITUTE(SUBSTITUTE(SUBSTITUTE(B127," ",""),"0",""),"-",""))+LEN(SUBSTITUTE(SUBSTITUTE(SUBSTITUTE(C127," ",""),"0",""),"-",""))),1,0))+IF(UPPER(D128)="X",0,IF((LEN(SUBSTITUTE(SUBSTITUTE(SUBSTITUTE(E128," ",""),"0",""),"-",""))+LEN(SUBSTITUTE(SUBSTITUTE(SUBSTITUTE(F128," ",""),"0",""),"-","")))&gt;(LEN(SUBSTITUTE(SUBSTITUTE(SUBSTITUTE(B128," ",""),"0",""),"-",""))+LEN(SUBSTITUTE(SUBSTITUTE(SUBSTITUTE(C128," ",""),"0",""),"-",""))),1,0))+IF(UPPER(D129)="X",0,IF((LEN(SUBSTITUTE(SUBSTITUTE(SUBSTITUTE(E129," ",""),"0",""),"-",""))+LEN(SUBSTITUTE(SUBSTITUTE(SUBSTITUTE(F129," ",""),"0",""),"-","")))&gt;(LEN(SUBSTITUTE(SUBSTITUTE(SUBSTITUTE(B129," ",""),"0",""),"-",""))+LEN(SUBSTITUTE(SUBSTITUTE(SUBSTITUTE(C129," ",""),"0",""),"-",""))),1,0))+IF(UPPER(D130)="X",0,IF((LEN(SUBSTITUTE(SUBSTITUTE(SUBSTITUTE(E130," ",""),"0",""),"-",""))+LEN(SUBSTITUTE(SUBSTITUTE(SUBSTITUTE(F130," ",""),"0",""),"-","")))&gt;(LEN(SUBSTITUTE(SUBSTITUTE(SUBSTITUTE(B130," ",""),"0",""),"-",""))+LEN(SUBSTITUTE(SUBSTITUTE(SUBSTITUTE(C130," ",""),"0",""),"-",""))),1,0))+IF(UPPER(D131)="X",0,IF((LEN(SUBSTITUTE(SUBSTITUTE(SUBSTITUTE(E131," ",""),"0",""),"-",""))+LEN(SUBSTITUTE(SUBSTITUTE(SUBSTITUTE(F131," ",""),"0",""),"-","")))&gt;(LEN(SUBSTITUTE(SUBSTITUTE(SUBSTITUTE(B131," ",""),"0",""),"-",""))+LEN(SUBSTITUTE(SUBSTITUTE(SUBSTITUTE(C131," ",""),"0",""),"-",""))),1,0))</f>
      </c>
      <c r="G134" s="19" t="s">
        <v>37</v>
      </c>
    </row>
    <row r="137">
      <c r="F137" t="s">
        <v>38</v>
      </c>
      <c r="G137" s="23"/>
    </row>
    <row r="138">
      <c r="F138" t="s">
        <v>39</v>
      </c>
      <c r="G138" s="23"/>
    </row>
    <row r="145">
      <c r="A145" s="11" t="s">
        <v>47</v>
      </c>
      <c r="B145" s="11"/>
      <c r="C145" s="11"/>
      <c r="D145" s="11"/>
      <c r="E145" s="11"/>
      <c r="F145" s="11"/>
      <c r="G145" s="11"/>
    </row>
    <row r="146">
      <c r="A146" s="21" t="s">
        <v>32</v>
      </c>
      <c r="D146" s="19" t="s">
        <v>33</v>
      </c>
      <c r="G146" s="20" t="s">
        <v>34</v>
      </c>
    </row>
    <row r="147">
      <c r="A147" s="19" t="str">
        <f>CONCATENATE("M 8 ",G137)</f>
      </c>
      <c r="B147" s="19"/>
      <c r="C147" s="19"/>
      <c r="D147" s="22"/>
      <c r="E147" s="19"/>
      <c r="F147" s="19"/>
      <c r="G147" s="19" t="str">
        <f>CONCATENATE("M 7 ",G121)</f>
      </c>
    </row>
    <row r="148">
      <c r="A148" s="19">
        <v>1</v>
      </c>
      <c r="B148" s="22"/>
      <c r="C148" s="22"/>
      <c r="D148" s="22"/>
      <c r="E148" s="22"/>
      <c r="F148" s="22"/>
      <c r="G148" s="19">
        <v>1</v>
      </c>
    </row>
    <row r="149">
      <c r="A149" s="19">
        <v>2</v>
      </c>
      <c r="B149" s="22"/>
      <c r="C149" s="22"/>
      <c r="D149" s="22"/>
      <c r="E149" s="22"/>
      <c r="F149" s="22"/>
      <c r="G149" s="19">
        <v>2</v>
      </c>
    </row>
    <row r="150">
      <c r="A150" s="19">
        <v>3</v>
      </c>
      <c r="B150" s="22"/>
      <c r="C150" s="22"/>
      <c r="D150" s="22"/>
      <c r="E150" s="22"/>
      <c r="F150" s="22"/>
      <c r="G150" s="19">
        <v>3</v>
      </c>
    </row>
    <row r="151">
      <c r="A151" s="19">
        <v>4</v>
      </c>
      <c r="B151" s="22"/>
      <c r="C151" s="22"/>
      <c r="D151" s="22"/>
      <c r="E151" s="22"/>
      <c r="F151" s="22"/>
      <c r="G151" s="19">
        <v>4</v>
      </c>
    </row>
    <row r="152">
      <c r="A152" s="19">
        <v>5</v>
      </c>
      <c r="B152" s="22"/>
      <c r="C152" s="22"/>
      <c r="D152" s="22"/>
      <c r="E152" s="22"/>
      <c r="F152" s="22"/>
      <c r="G152" s="19">
        <v>5</v>
      </c>
    </row>
    <row r="154">
      <c r="A154" s="19" t="str">
        <f>CONCATENATE("M 8 ",G137)</f>
      </c>
      <c r="B154" s="19" t="s">
        <v>35</v>
      </c>
      <c r="C154" s="19" t="s">
        <v>36</v>
      </c>
      <c r="D154" s="19"/>
      <c r="E154" s="19" t="s">
        <v>36</v>
      </c>
      <c r="F154" s="19" t="s">
        <v>35</v>
      </c>
      <c r="G154" s="19" t="str">
        <f>CONCATENATE("M 7 ",G121)</f>
      </c>
    </row>
    <row r="155">
      <c r="A155" s="19" t="s">
        <v>37</v>
      </c>
      <c r="B155" s="19" t="str">
        <f>IF(UPPER(D148)="X",0,IF((LEN(SUBSTITUTE(SUBSTITUTE(SUBSTITUTE(B148," ",""),"0",""),"-",""))+LEN(SUBSTITUTE(SUBSTITUTE(SUBSTITUTE(C148," ",""),"0",""),"-","")))&gt;(LEN(SUBSTITUTE(SUBSTITUTE(SUBSTITUTE(E148," ",""),"0",""),"-",""))+LEN(SUBSTITUTE(SUBSTITUTE(SUBSTITUTE(F148," ",""),"0",""),"-",""))),1,0))+IF(UPPER(D149)="X",0,IF((LEN(SUBSTITUTE(SUBSTITUTE(SUBSTITUTE(B149," ",""),"0",""),"-",""))+LEN(SUBSTITUTE(SUBSTITUTE(SUBSTITUTE(C149," ",""),"0",""),"-","")))&gt;(LEN(SUBSTITUTE(SUBSTITUTE(SUBSTITUTE(E149," ",""),"0",""),"-",""))+LEN(SUBSTITUTE(SUBSTITUTE(SUBSTITUTE(F149," ",""),"0",""),"-",""))),1,0))+IF(UPPER(D150)="X",0,IF((LEN(SUBSTITUTE(SUBSTITUTE(SUBSTITUTE(B150," ",""),"0",""),"-",""))+LEN(SUBSTITUTE(SUBSTITUTE(SUBSTITUTE(C150," ",""),"0",""),"-","")))&gt;(LEN(SUBSTITUTE(SUBSTITUTE(SUBSTITUTE(E150," ",""),"0",""),"-",""))+LEN(SUBSTITUTE(SUBSTITUTE(SUBSTITUTE(F150," ",""),"0",""),"-",""))),1,0))+IF(UPPER(D151)="X",0,IF((LEN(SUBSTITUTE(SUBSTITUTE(SUBSTITUTE(B151," ",""),"0",""),"-",""))+LEN(SUBSTITUTE(SUBSTITUTE(SUBSTITUTE(C151," ",""),"0",""),"-","")))&gt;(LEN(SUBSTITUTE(SUBSTITUTE(SUBSTITUTE(E151," ",""),"0",""),"-",""))+LEN(SUBSTITUTE(SUBSTITUTE(SUBSTITUTE(F151," ",""),"0",""),"-",""))),1,0))+IF(UPPER(D152)="X",0,IF((LEN(SUBSTITUTE(SUBSTITUTE(SUBSTITUTE(B152," ",""),"0",""),"-",""))+LEN(SUBSTITUTE(SUBSTITUTE(SUBSTITUTE(C152," ",""),"0",""),"-","")))&gt;(LEN(SUBSTITUTE(SUBSTITUTE(SUBSTITUTE(E152," ",""),"0",""),"-",""))+LEN(SUBSTITUTE(SUBSTITUTE(SUBSTITUTE(F152," ",""),"0",""),"-",""))),1,0))</f>
      </c>
      <c r="C155" s="19" t="str">
        <f>LEN(SUBSTITUTE(SUBSTITUTE(SUBSTITUTE(B148," ",""),"0",""),"-",""))+LEN(SUBSTITUTE(SUBSTITUTE(SUBSTITUTE(C148," ",""),"0",""),"-",""))+LEN(SUBSTITUTE(SUBSTITUTE(SUBSTITUTE(B149," ",""),"0",""),"-",""))+LEN(SUBSTITUTE(SUBSTITUTE(SUBSTITUTE(C149," ",""),"0",""),"-",""))+LEN(SUBSTITUTE(SUBSTITUTE(SUBSTITUTE(B150," ",""),"0",""),"-",""))+LEN(SUBSTITUTE(SUBSTITUTE(SUBSTITUTE(C150," ",""),"0",""),"-",""))+LEN(SUBSTITUTE(SUBSTITUTE(SUBSTITUTE(B151," ",""),"0",""),"-",""))+LEN(SUBSTITUTE(SUBSTITUTE(SUBSTITUTE(C151," ",""),"0",""),"-",""))+LEN(SUBSTITUTE(SUBSTITUTE(SUBSTITUTE(B152," ",""),"0",""),"-",""))+LEN(SUBSTITUTE(SUBSTITUTE(SUBSTITUTE(C152," ",""),"0",""),"-",""))</f>
      </c>
      <c r="D155" s="19"/>
      <c r="E155" s="19" t="str">
        <f>LEN(SUBSTITUTE(SUBSTITUTE(SUBSTITUTE(E148," ",""),"0",""),"-",""))+LEN(SUBSTITUTE(SUBSTITUTE(SUBSTITUTE(F148," ",""),"0",""),"-",""))+LEN(SUBSTITUTE(SUBSTITUTE(SUBSTITUTE(E149," ",""),"0",""),"-",""))+LEN(SUBSTITUTE(SUBSTITUTE(SUBSTITUTE(F149," ",""),"0",""),"-",""))+LEN(SUBSTITUTE(SUBSTITUTE(SUBSTITUTE(E150," ",""),"0",""),"-",""))+LEN(SUBSTITUTE(SUBSTITUTE(SUBSTITUTE(F150," ",""),"0",""),"-",""))+LEN(SUBSTITUTE(SUBSTITUTE(SUBSTITUTE(E151," ",""),"0",""),"-",""))+LEN(SUBSTITUTE(SUBSTITUTE(SUBSTITUTE(F151," ",""),"0",""),"-",""))+LEN(SUBSTITUTE(SUBSTITUTE(SUBSTITUTE(E152," ",""),"0",""),"-",""))+LEN(SUBSTITUTE(SUBSTITUTE(SUBSTITUTE(F152," ",""),"0",""),"-",""))</f>
      </c>
      <c r="F155" s="19" t="str">
        <f>IF(UPPER(D148)="X",0,IF((LEN(SUBSTITUTE(SUBSTITUTE(SUBSTITUTE(E148," ",""),"0",""),"-",""))+LEN(SUBSTITUTE(SUBSTITUTE(SUBSTITUTE(F148," ",""),"0",""),"-","")))&gt;(LEN(SUBSTITUTE(SUBSTITUTE(SUBSTITUTE(B148," ",""),"0",""),"-",""))+LEN(SUBSTITUTE(SUBSTITUTE(SUBSTITUTE(C148," ",""),"0",""),"-",""))),1,0))+IF(UPPER(D149)="X",0,IF((LEN(SUBSTITUTE(SUBSTITUTE(SUBSTITUTE(E149," ",""),"0",""),"-",""))+LEN(SUBSTITUTE(SUBSTITUTE(SUBSTITUTE(F149," ",""),"0",""),"-","")))&gt;(LEN(SUBSTITUTE(SUBSTITUTE(SUBSTITUTE(B149," ",""),"0",""),"-",""))+LEN(SUBSTITUTE(SUBSTITUTE(SUBSTITUTE(C149," ",""),"0",""),"-",""))),1,0))+IF(UPPER(D150)="X",0,IF((LEN(SUBSTITUTE(SUBSTITUTE(SUBSTITUTE(E150," ",""),"0",""),"-",""))+LEN(SUBSTITUTE(SUBSTITUTE(SUBSTITUTE(F150," ",""),"0",""),"-","")))&gt;(LEN(SUBSTITUTE(SUBSTITUTE(SUBSTITUTE(B150," ",""),"0",""),"-",""))+LEN(SUBSTITUTE(SUBSTITUTE(SUBSTITUTE(C150," ",""),"0",""),"-",""))),1,0))+IF(UPPER(D151)="X",0,IF((LEN(SUBSTITUTE(SUBSTITUTE(SUBSTITUTE(E151," ",""),"0",""),"-",""))+LEN(SUBSTITUTE(SUBSTITUTE(SUBSTITUTE(F151," ",""),"0",""),"-","")))&gt;(LEN(SUBSTITUTE(SUBSTITUTE(SUBSTITUTE(B151," ",""),"0",""),"-",""))+LEN(SUBSTITUTE(SUBSTITUTE(SUBSTITUTE(C151," ",""),"0",""),"-",""))),1,0))+IF(UPPER(D152)="X",0,IF((LEN(SUBSTITUTE(SUBSTITUTE(SUBSTITUTE(E152," ",""),"0",""),"-",""))+LEN(SUBSTITUTE(SUBSTITUTE(SUBSTITUTE(F152," ",""),"0",""),"-","")))&gt;(LEN(SUBSTITUTE(SUBSTITUTE(SUBSTITUTE(B152," ",""),"0",""),"-",""))+LEN(SUBSTITUTE(SUBSTITUTE(SUBSTITUTE(C152," ",""),"0",""),"-",""))),1,0))</f>
      </c>
      <c r="G155" s="19" t="s">
        <v>37</v>
      </c>
    </row>
    <row r="158">
      <c r="F158" t="s">
        <v>38</v>
      </c>
      <c r="G158" s="23"/>
    </row>
    <row r="159">
      <c r="F159" t="s">
        <v>39</v>
      </c>
      <c r="G159"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0">
    <mergeCell ref="A1:G1"/>
    <mergeCell ref="A2:G2"/>
    <mergeCell ref="A18:G18"/>
    <mergeCell ref="A34:G34"/>
    <mergeCell ref="A50:G50"/>
    <mergeCell ref="A71:G71"/>
    <mergeCell ref="A87:G87"/>
    <mergeCell ref="A108:G108"/>
    <mergeCell ref="A124:G124"/>
    <mergeCell ref="A145:G145"/>
  </mergeCells>
  <printOptions horizontalCentered="true" verticalCentered="true"/>
  <pageSetup fitToHeight="0" fitToWidth="1" orientation="portrait" pageOrder="downThenOver" paperSize="9"/>
  <rowBreaks count="4" manualBreakCount="4">
    <brk id="33" max="16383" man="true"/>
    <brk id="70" max="16383" man="true"/>
    <brk id="107" max="16383" man="true"/>
    <brk id="144" max="16383" man="true"/>
  </rowBreaks>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5">
      <c r="C5" s="16" t="s">
        <v>15</v>
      </c>
    </row>
    <row r="6">
      <c r="D6" s="14"/>
      <c r="E6" s="13">
        <v>1</v>
      </c>
    </row>
    <row r="7">
      <c r="C7" s="16" t="s">
        <v>17</v>
      </c>
      <c r="D7" s="15"/>
      <c r="E7" s="12"/>
    </row>
    <row r="9">
      <c r="H9" s="14"/>
      <c r="I9" s="12"/>
    </row>
    <row r="10">
      <c r="I10" s="12"/>
    </row>
    <row r="11">
      <c r="I11" s="12"/>
    </row>
    <row r="12">
      <c r="I12" s="13">
        <v>7</v>
      </c>
    </row>
    <row r="13">
      <c r="I13" s="12"/>
      <c r="J13" s="14"/>
      <c r="K13" s="12"/>
    </row>
    <row r="14">
      <c r="C14" s="16"/>
      <c r="D14" s="16"/>
      <c r="E14" s="16" t="s">
        <v>19</v>
      </c>
      <c r="I14" s="12"/>
      <c r="K14" s="12"/>
    </row>
    <row r="15">
      <c r="F15" s="14"/>
      <c r="G15" s="12"/>
      <c r="I15" s="12"/>
      <c r="K15" s="12"/>
    </row>
    <row r="16">
      <c r="G16" s="13">
        <v>5</v>
      </c>
      <c r="H16" s="15"/>
      <c r="I16" s="12"/>
      <c r="K16" s="12"/>
    </row>
    <row r="17">
      <c r="C17" s="16" t="s">
        <v>21</v>
      </c>
      <c r="G17" s="12"/>
      <c r="K17" s="12"/>
    </row>
    <row r="18">
      <c r="D18" s="14"/>
      <c r="E18" s="13">
        <v>2</v>
      </c>
      <c r="F18" s="15"/>
      <c r="G18" s="12"/>
      <c r="K18" s="12"/>
    </row>
    <row r="19">
      <c r="C19" s="16" t="s">
        <v>23</v>
      </c>
      <c r="D19" s="15"/>
      <c r="E19" s="12"/>
      <c r="K19" s="12"/>
    </row>
    <row r="20">
      <c r="K20" s="13">
        <v>9</v>
      </c>
    </row>
    <row r="21">
      <c r="C21" s="16" t="s">
        <v>25</v>
      </c>
      <c r="K21" s="12"/>
    </row>
    <row r="22">
      <c r="D22" s="14"/>
      <c r="E22" s="13">
        <v>3</v>
      </c>
      <c r="K22" s="12"/>
    </row>
    <row r="23">
      <c r="C23" s="16" t="s">
        <v>26</v>
      </c>
      <c r="D23" s="15"/>
      <c r="E23" s="12"/>
      <c r="K23" s="12"/>
    </row>
    <row r="24">
      <c r="K24" s="12"/>
    </row>
    <row r="25">
      <c r="H25" s="14"/>
      <c r="I25" s="12"/>
      <c r="K25" s="12"/>
    </row>
    <row r="26">
      <c r="I26" s="12"/>
      <c r="K26" s="12"/>
    </row>
    <row r="27">
      <c r="I27" s="12"/>
      <c r="K27" s="12"/>
    </row>
    <row r="28">
      <c r="I28" s="13">
        <v>8</v>
      </c>
      <c r="J28" s="15"/>
      <c r="K28" s="12"/>
    </row>
    <row r="29">
      <c r="I29" s="12"/>
    </row>
    <row r="30">
      <c r="C30" s="16"/>
      <c r="D30" s="16"/>
      <c r="E30" s="16" t="s">
        <v>27</v>
      </c>
      <c r="I30" s="12"/>
    </row>
    <row r="31">
      <c r="F31" s="14"/>
      <c r="G31" s="12"/>
      <c r="I31" s="12"/>
    </row>
    <row r="32">
      <c r="G32" s="13">
        <v>6</v>
      </c>
      <c r="H32" s="15"/>
      <c r="I32" s="12"/>
    </row>
    <row r="33">
      <c r="C33" s="16" t="s">
        <v>28</v>
      </c>
      <c r="G33" s="12"/>
    </row>
    <row r="34">
      <c r="D34" s="14"/>
      <c r="E34" s="13">
        <v>4</v>
      </c>
      <c r="F34" s="15"/>
      <c r="G34" s="12"/>
    </row>
    <row r="35">
      <c r="C35" s="16" t="s">
        <v>29</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17">
        <v>0</v>
      </c>
      <c r="B1" s="18" t="str">
        <f>'data'!$B$3</f>
      </c>
    </row>
    <row r="2" ht="270" customHeight="true">
      <c r="A2" s="17">
        <v>1</v>
      </c>
      <c r="B2" s="18" t="str">
        <f>'data'!$B$4</f>
      </c>
    </row>
    <row r="3" ht="270" customHeight="true">
      <c r="A3" s="17">
        <v>2</v>
      </c>
      <c r="B3" s="18" t="str">
        <f>'data'!$B$5</f>
      </c>
    </row>
    <row r="4" ht="270" customHeight="true">
      <c r="A4" s="17">
        <v>3</v>
      </c>
      <c r="B4" s="18" t="str">
        <f>'data'!$B$6</f>
      </c>
    </row>
    <row r="5" ht="270" customHeight="true">
      <c r="A5" s="17">
        <v>4</v>
      </c>
      <c r="B5" s="18" t="str">
        <f>'data'!$B$7</f>
      </c>
    </row>
    <row r="6" ht="270" customHeight="true">
      <c r="A6" s="17">
        <v>5</v>
      </c>
      <c r="B6" s="18" t="str">
        <f>'data'!$B$8</f>
      </c>
    </row>
    <row r="7" ht="270" customHeight="true">
      <c r="A7" s="17">
        <v>6</v>
      </c>
      <c r="B7" s="18" t="str">
        <f>'data'!$B$9</f>
      </c>
    </row>
    <row r="8" ht="270" customHeight="true">
      <c r="A8" s="17">
        <v>7</v>
      </c>
      <c r="B8" s="18" t="str">
        <f>'data'!$B$10</f>
      </c>
    </row>
    <row r="9" ht="270" customHeight="true">
      <c r="A9" s="17">
        <v>8</v>
      </c>
      <c r="B9" s="18" t="str">
        <f>'data'!$B$11</f>
      </c>
    </row>
    <row r="10" ht="270" customHeight="true">
      <c r="A10" s="17">
        <v>9</v>
      </c>
      <c r="B10" s="18" t="str">
        <f>'data'!$B$12</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3" manualBreakCount="3">
    <brk id="3" max="16383" man="true"/>
    <brk id="6" max="16383" man="true"/>
    <brk id="9"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