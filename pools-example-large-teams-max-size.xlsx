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<sst xmlns="http://schemas.openxmlformats.org/spreadsheetml/2006/main" count="416" uniqueCount="416">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</sst>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'data'!$B$3</f>
      </c>
      <c r="I12" s="14" t="str">
        <f>'data'!$B$52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'data'!$B$4</f>
      </c>
      <c r="I20" s="14" t="str">
        <f>'data'!$B$52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SUMPRODUCT((UPPER(D48:D52)&lt;&gt;"X")*((LEN(SUBSTITUTE(SUBSTITUTE(SUBSTITUTE(B48:B52," ",""),"0",""),"-",""))+LEN(SUBSTITUTE(SUBSTITUTE(SUBSTITUTE(C48:C52," ",""),"0",""),"-","")))&gt;(LEN(SUBSTITUTE(SUBSTITUTE(SUBSTITUTE(E48:E52," ",""),"0",""),"-",""))+LEN(SUBSTITUTE(SUBSTITUTE(SUBSTITUTE(F48:F52," ",""),"0",""),"-",""))))*1)</f>
      </c>
      <c r="C47" s="14" t="str">
        <f>SUMPRODUCT(LEN(SUBSTITUTE(SUBSTITUTE(SUBSTITUTE(B48:B52," ",""),"0",""),"-",""))+LEN(SUBSTITUTE(SUBSTITUTE(SUBSTITUTE(C48:C52," ",""),"0",""),"-","")))</f>
      </c>
      <c r="D47" s="18"/>
      <c r="E47" s="14" t="str">
        <f>SUMPRODUCT(LEN(SUBSTITUTE(SUBSTITUTE(SUBSTITUTE(E48:E52," ",""),"0",""),"-",""))+LEN(SUBSTITUTE(SUBSTITUTE(SUBSTITUTE(F48:F52," ",""),"0",""),"-","")))</f>
      </c>
      <c r="F47" s="14" t="str">
        <f>SUMPRODUCT((UPPER(D48:D52)&lt;&gt;"X")*((LEN(SUBSTITUTE(SUBSTITUTE(SUBSTITUTE(E48:E52," ",""),"0",""),"-",""))+LEN(SUBSTITUTE(SUBSTITUTE(SUBSTITUTE(F48:F52," ",""),"0",""),"-","")))&gt;(LEN(SUBSTITUTE(SUBSTITUTE(SUBSTITUTE(B48:B52," ",""),"0",""),"-",""))+LEN(SUBSTITUTE(SUBSTITUTE(SUBSTITUTE(C48:C52," ",""),"0",""),"-",""))))*1)</f>
      </c>
      <c r="G47" s="14" t="str">
        <f>'data'!$B$6</f>
      </c>
      <c r="I47" s="14" t="str">
        <f>'data'!$B$54</f>
      </c>
      <c r="J47" s="14" t="str">
        <f>SUMPRODUCT((UPPER(L48:L52)&lt;&gt;"X")*((LEN(SUBSTITUTE(SUBSTITUTE(SUBSTITUTE(J48:J52," ",""),"0",""),"-",""))+LEN(SUBSTITUTE(SUBSTITUTE(SUBSTITUTE(K48:K52," ",""),"0",""),"-","")))&gt;(LEN(SUBSTITUTE(SUBSTITUTE(SUBSTITUTE(M48:M52," ",""),"0",""),"-",""))+LEN(SUBSTITUTE(SUBSTITUTE(SUBSTITUTE(N48:N52," ",""),"0",""),"-",""))))*1)</f>
      </c>
      <c r="K47" s="14" t="str">
        <f>SUMPRODUCT(LEN(SUBSTITUTE(SUBSTITUTE(SUBSTITUTE(J48:J52," ",""),"0",""),"-",""))+LEN(SUBSTITUTE(SUBSTITUTE(SUBSTITUTE(K48:K52," ",""),"0",""),"-","")))</f>
      </c>
      <c r="L47" s="18"/>
      <c r="M47" s="14" t="str">
        <f>SUMPRODUCT(LEN(SUBSTITUTE(SUBSTITUTE(SUBSTITUTE(M48:M52," ",""),"0",""),"-",""))+LEN(SUBSTITUTE(SUBSTITUTE(SUBSTITUTE(N48:N52," ",""),"0",""),"-","")))</f>
      </c>
      <c r="N47" s="14" t="str">
        <f>SUMPRODUCT((UPPER(L48:L52)&lt;&gt;"X")*((LEN(SUBSTITUTE(SUBSTITUTE(SUBSTITUTE(M48:M52," ",""),"0",""),"-",""))+LEN(SUBSTITUTE(SUBSTITUTE(SUBSTITUTE(N48:N52," ",""),"0",""),"-","")))&gt;(LEN(SUBSTITUTE(SUBSTITUTE(SUBSTITUTE(J48:J52," ",""),"0",""),"-",""))+LEN(SUBSTITUTE(SUBSTITUTE(SUBSTITUTE(K48:K52," ",""),"0",""),"-",""))))*1)</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SUMPRODUCT((UPPER(D56:D60)&lt;&gt;"X")*((LEN(SUBSTITUTE(SUBSTITUTE(SUBSTITUTE(B56:B60," ",""),"0",""),"-",""))+LEN(SUBSTITUTE(SUBSTITUTE(SUBSTITUTE(C56:C60," ",""),"0",""),"-","")))&gt;(LEN(SUBSTITUTE(SUBSTITUTE(SUBSTITUTE(E56:E60," ",""),"0",""),"-",""))+LEN(SUBSTITUTE(SUBSTITUTE(SUBSTITUTE(F56:F60," ",""),"0",""),"-",""))))*1)</f>
      </c>
      <c r="C55" s="14" t="str">
        <f>SUMPRODUCT(LEN(SUBSTITUTE(SUBSTITUTE(SUBSTITUTE(B56:B60," ",""),"0",""),"-",""))+LEN(SUBSTITUTE(SUBSTITUTE(SUBSTITUTE(C56:C60," ",""),"0",""),"-","")))</f>
      </c>
      <c r="D55" s="18"/>
      <c r="E55" s="14" t="str">
        <f>SUMPRODUCT(LEN(SUBSTITUTE(SUBSTITUTE(SUBSTITUTE(E56:E60," ",""),"0",""),"-",""))+LEN(SUBSTITUTE(SUBSTITUTE(SUBSTITUTE(F56:F60," ",""),"0",""),"-","")))</f>
      </c>
      <c r="F55" s="14" t="str">
        <f>SUMPRODUCT((UPPER(D56:D60)&lt;&gt;"X")*((LEN(SUBSTITUTE(SUBSTITUTE(SUBSTITUTE(E56:E60," ",""),"0",""),"-",""))+LEN(SUBSTITUTE(SUBSTITUTE(SUBSTITUTE(F56:F60," ",""),"0",""),"-","")))&gt;(LEN(SUBSTITUTE(SUBSTITUTE(SUBSTITUTE(B56:B60," ",""),"0",""),"-",""))+LEN(SUBSTITUTE(SUBSTITUTE(SUBSTITUTE(C56:C60," ",""),"0",""),"-",""))))*1)</f>
      </c>
      <c r="G55" s="14" t="str">
        <f>'data'!$B$6</f>
      </c>
      <c r="I55" s="14" t="str">
        <f>'data'!$B$55</f>
      </c>
      <c r="J55" s="14" t="str">
        <f>SUMPRODUCT((UPPER(L56:L60)&lt;&gt;"X")*((LEN(SUBSTITUTE(SUBSTITUTE(SUBSTITUTE(J56:J60," ",""),"0",""),"-",""))+LEN(SUBSTITUTE(SUBSTITUTE(SUBSTITUTE(K56:K60," ",""),"0",""),"-","")))&gt;(LEN(SUBSTITUTE(SUBSTITUTE(SUBSTITUTE(M56:M60," ",""),"0",""),"-",""))+LEN(SUBSTITUTE(SUBSTITUTE(SUBSTITUTE(N56:N60," ",""),"0",""),"-",""))))*1)</f>
      </c>
      <c r="K55" s="14" t="str">
        <f>SUMPRODUCT(LEN(SUBSTITUTE(SUBSTITUTE(SUBSTITUTE(J56:J60," ",""),"0",""),"-",""))+LEN(SUBSTITUTE(SUBSTITUTE(SUBSTITUTE(K56:K60," ",""),"0",""),"-","")))</f>
      </c>
      <c r="L55" s="18"/>
      <c r="M55" s="14" t="str">
        <f>SUMPRODUCT(LEN(SUBSTITUTE(SUBSTITUTE(SUBSTITUTE(M56:M60," ",""),"0",""),"-",""))+LEN(SUBSTITUTE(SUBSTITUTE(SUBSTITUTE(N56:N60," ",""),"0",""),"-","")))</f>
      </c>
      <c r="N55" s="14" t="str">
        <f>SUMPRODUCT((UPPER(L56:L60)&lt;&gt;"X")*((LEN(SUBSTITUTE(SUBSTITUTE(SUBSTITUTE(M56:M60," ",""),"0",""),"-",""))+LEN(SUBSTITUTE(SUBSTITUTE(SUBSTITUTE(N56:N60," ",""),"0",""),"-","")))&gt;(LEN(SUBSTITUTE(SUBSTITUTE(SUBSTITUTE(J56:J60," ",""),"0",""),"-",""))+LEN(SUBSTITUTE(SUBSTITUTE(SUBSTITUTE(K56:K60," ",""),"0",""),"-",""))))*1)</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SUMPRODUCT((UPPER(D64:D68)&lt;&gt;"X")*((LEN(SUBSTITUTE(SUBSTITUTE(SUBSTITUTE(B64:B68," ",""),"0",""),"-",""))+LEN(SUBSTITUTE(SUBSTITUTE(SUBSTITUTE(C64:C68," ",""),"0",""),"-","")))&gt;(LEN(SUBSTITUTE(SUBSTITUTE(SUBSTITUTE(E64:E68," ",""),"0",""),"-",""))+LEN(SUBSTITUTE(SUBSTITUTE(SUBSTITUTE(F64:F68," ",""),"0",""),"-",""))))*1)</f>
      </c>
      <c r="C63" s="14" t="str">
        <f>SUMPRODUCT(LEN(SUBSTITUTE(SUBSTITUTE(SUBSTITUTE(B64:B68," ",""),"0",""),"-",""))+LEN(SUBSTITUTE(SUBSTITUTE(SUBSTITUTE(C64:C68," ",""),"0",""),"-","")))</f>
      </c>
      <c r="D63" s="18"/>
      <c r="E63" s="14" t="str">
        <f>SUMPRODUCT(LEN(SUBSTITUTE(SUBSTITUTE(SUBSTITUTE(E64:E68," ",""),"0",""),"-",""))+LEN(SUBSTITUTE(SUBSTITUTE(SUBSTITUTE(F64:F68," ",""),"0",""),"-","")))</f>
      </c>
      <c r="F63" s="14" t="str">
        <f>SUMPRODUCT((UPPER(D64:D68)&lt;&gt;"X")*((LEN(SUBSTITUTE(SUBSTITUTE(SUBSTITUTE(E64:E68," ",""),"0",""),"-",""))+LEN(SUBSTITUTE(SUBSTITUTE(SUBSTITUTE(F64:F68," ",""),"0",""),"-","")))&gt;(LEN(SUBSTITUTE(SUBSTITUTE(SUBSTITUTE(B64:B68," ",""),"0",""),"-",""))+LEN(SUBSTITUTE(SUBSTITUTE(SUBSTITUTE(C64:C68," ",""),"0",""),"-",""))))*1)</f>
      </c>
      <c r="G63" s="14" t="str">
        <f>'data'!$B$7</f>
      </c>
      <c r="I63" s="14" t="str">
        <f>'data'!$B$55</f>
      </c>
      <c r="J63" s="14" t="str">
        <f>SUMPRODUCT((UPPER(L64:L68)&lt;&gt;"X")*((LEN(SUBSTITUTE(SUBSTITUTE(SUBSTITUTE(J64:J68," ",""),"0",""),"-",""))+LEN(SUBSTITUTE(SUBSTITUTE(SUBSTITUTE(K64:K68," ",""),"0",""),"-","")))&gt;(LEN(SUBSTITUTE(SUBSTITUTE(SUBSTITUTE(M64:M68," ",""),"0",""),"-",""))+LEN(SUBSTITUTE(SUBSTITUTE(SUBSTITUTE(N64:N68," ",""),"0",""),"-",""))))*1)</f>
      </c>
      <c r="K63" s="14" t="str">
        <f>SUMPRODUCT(LEN(SUBSTITUTE(SUBSTITUTE(SUBSTITUTE(J64:J68," ",""),"0",""),"-",""))+LEN(SUBSTITUTE(SUBSTITUTE(SUBSTITUTE(K64:K68," ",""),"0",""),"-","")))</f>
      </c>
      <c r="L63" s="18"/>
      <c r="M63" s="14" t="str">
        <f>SUMPRODUCT(LEN(SUBSTITUTE(SUBSTITUTE(SUBSTITUTE(M64:M68," ",""),"0",""),"-",""))+LEN(SUBSTITUTE(SUBSTITUTE(SUBSTITUTE(N64:N68," ",""),"0",""),"-","")))</f>
      </c>
      <c r="N63" s="14" t="str">
        <f>SUMPRODUCT((UPPER(L64:L68)&lt;&gt;"X")*((LEN(SUBSTITUTE(SUBSTITUTE(SUBSTITUTE(M64:M68," ",""),"0",""),"-",""))+LEN(SUBSTITUTE(SUBSTITUTE(SUBSTITUTE(N64:N68," ",""),"0",""),"-","")))&gt;(LEN(SUBSTITUTE(SUBSTITUTE(SUBSTITUTE(J64:J68," ",""),"0",""),"-",""))+LEN(SUBSTITUTE(SUBSTITUTE(SUBSTITUTE(K64:K68," ",""),"0",""),"-",""))))*1)</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SUMPRODUCT((UPPER(D91:D95)&lt;&gt;"X")*((LEN(SUBSTITUTE(SUBSTITUTE(SUBSTITUTE(B91:B95," ",""),"0",""),"-",""))+LEN(SUBSTITUTE(SUBSTITUTE(SUBSTITUTE(C91:C95," ",""),"0",""),"-","")))&gt;(LEN(SUBSTITUTE(SUBSTITUTE(SUBSTITUTE(E91:E95," ",""),"0",""),"-",""))+LEN(SUBSTITUTE(SUBSTITUTE(SUBSTITUTE(F91:F95," ",""),"0",""),"-",""))))*1)</f>
      </c>
      <c r="C90" s="14" t="str">
        <f>SUMPRODUCT(LEN(SUBSTITUTE(SUBSTITUTE(SUBSTITUTE(B91:B95," ",""),"0",""),"-",""))+LEN(SUBSTITUTE(SUBSTITUTE(SUBSTITUTE(C91:C95," ",""),"0",""),"-","")))</f>
      </c>
      <c r="D90" s="18"/>
      <c r="E90" s="14" t="str">
        <f>SUMPRODUCT(LEN(SUBSTITUTE(SUBSTITUTE(SUBSTITUTE(E91:E95," ",""),"0",""),"-",""))+LEN(SUBSTITUTE(SUBSTITUTE(SUBSTITUTE(F91:F95," ",""),"0",""),"-","")))</f>
      </c>
      <c r="F90" s="14" t="str">
        <f>SUMPRODUCT((UPPER(D91:D95)&lt;&gt;"X")*((LEN(SUBSTITUTE(SUBSTITUTE(SUBSTITUTE(E91:E95," ",""),"0",""),"-",""))+LEN(SUBSTITUTE(SUBSTITUTE(SUBSTITUTE(F91:F95," ",""),"0",""),"-","")))&gt;(LEN(SUBSTITUTE(SUBSTITUTE(SUBSTITUTE(B91:B95," ",""),"0",""),"-",""))+LEN(SUBSTITUTE(SUBSTITUTE(SUBSTITUTE(C91:C95," ",""),"0",""),"-",""))))*1)</f>
      </c>
      <c r="G90" s="14" t="str">
        <f>'data'!$B$9</f>
      </c>
      <c r="I90" s="14" t="str">
        <f>'data'!$B$57</f>
      </c>
      <c r="J90" s="14" t="str">
        <f>SUMPRODUCT((UPPER(L91:L95)&lt;&gt;"X")*((LEN(SUBSTITUTE(SUBSTITUTE(SUBSTITUTE(J91:J95," ",""),"0",""),"-",""))+LEN(SUBSTITUTE(SUBSTITUTE(SUBSTITUTE(K91:K95," ",""),"0",""),"-","")))&gt;(LEN(SUBSTITUTE(SUBSTITUTE(SUBSTITUTE(M91:M95," ",""),"0",""),"-",""))+LEN(SUBSTITUTE(SUBSTITUTE(SUBSTITUTE(N91:N95," ",""),"0",""),"-",""))))*1)</f>
      </c>
      <c r="K90" s="14" t="str">
        <f>SUMPRODUCT(LEN(SUBSTITUTE(SUBSTITUTE(SUBSTITUTE(J91:J95," ",""),"0",""),"-",""))+LEN(SUBSTITUTE(SUBSTITUTE(SUBSTITUTE(K91:K95," ",""),"0",""),"-","")))</f>
      </c>
      <c r="L90" s="18"/>
      <c r="M90" s="14" t="str">
        <f>SUMPRODUCT(LEN(SUBSTITUTE(SUBSTITUTE(SUBSTITUTE(M91:M95," ",""),"0",""),"-",""))+LEN(SUBSTITUTE(SUBSTITUTE(SUBSTITUTE(N91:N95," ",""),"0",""),"-","")))</f>
      </c>
      <c r="N90" s="14" t="str">
        <f>SUMPRODUCT((UPPER(L91:L95)&lt;&gt;"X")*((LEN(SUBSTITUTE(SUBSTITUTE(SUBSTITUTE(M91:M95," ",""),"0",""),"-",""))+LEN(SUBSTITUTE(SUBSTITUTE(SUBSTITUTE(N91:N95," ",""),"0",""),"-","")))&gt;(LEN(SUBSTITUTE(SUBSTITUTE(SUBSTITUTE(J91:J95," ",""),"0",""),"-",""))+LEN(SUBSTITUTE(SUBSTITUTE(SUBSTITUTE(K91:K95," ",""),"0",""),"-",""))))*1)</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SUMPRODUCT((UPPER(D99:D103)&lt;&gt;"X")*((LEN(SUBSTITUTE(SUBSTITUTE(SUBSTITUTE(B99:B103," ",""),"0",""),"-",""))+LEN(SUBSTITUTE(SUBSTITUTE(SUBSTITUTE(C99:C103," ",""),"0",""),"-","")))&gt;(LEN(SUBSTITUTE(SUBSTITUTE(SUBSTITUTE(E99:E103," ",""),"0",""),"-",""))+LEN(SUBSTITUTE(SUBSTITUTE(SUBSTITUTE(F99:F103," ",""),"0",""),"-",""))))*1)</f>
      </c>
      <c r="C98" s="14" t="str">
        <f>SUMPRODUCT(LEN(SUBSTITUTE(SUBSTITUTE(SUBSTITUTE(B99:B103," ",""),"0",""),"-",""))+LEN(SUBSTITUTE(SUBSTITUTE(SUBSTITUTE(C99:C103," ",""),"0",""),"-","")))</f>
      </c>
      <c r="D98" s="18"/>
      <c r="E98" s="14" t="str">
        <f>SUMPRODUCT(LEN(SUBSTITUTE(SUBSTITUTE(SUBSTITUTE(E99:E103," ",""),"0",""),"-",""))+LEN(SUBSTITUTE(SUBSTITUTE(SUBSTITUTE(F99:F103," ",""),"0",""),"-","")))</f>
      </c>
      <c r="F98" s="14" t="str">
        <f>SUMPRODUCT((UPPER(D99:D103)&lt;&gt;"X")*((LEN(SUBSTITUTE(SUBSTITUTE(SUBSTITUTE(E99:E103," ",""),"0",""),"-",""))+LEN(SUBSTITUTE(SUBSTITUTE(SUBSTITUTE(F99:F103," ",""),"0",""),"-","")))&gt;(LEN(SUBSTITUTE(SUBSTITUTE(SUBSTITUTE(B99:B103," ",""),"0",""),"-",""))+LEN(SUBSTITUTE(SUBSTITUTE(SUBSTITUTE(C99:C103," ",""),"0",""),"-",""))))*1)</f>
      </c>
      <c r="G98" s="14" t="str">
        <f>'data'!$B$9</f>
      </c>
      <c r="I98" s="14" t="str">
        <f>'data'!$B$58</f>
      </c>
      <c r="J98" s="14" t="str">
        <f>SUMPRODUCT((UPPER(L99:L103)&lt;&gt;"X")*((LEN(SUBSTITUTE(SUBSTITUTE(SUBSTITUTE(J99:J103," ",""),"0",""),"-",""))+LEN(SUBSTITUTE(SUBSTITUTE(SUBSTITUTE(K99:K103," ",""),"0",""),"-","")))&gt;(LEN(SUBSTITUTE(SUBSTITUTE(SUBSTITUTE(M99:M103," ",""),"0",""),"-",""))+LEN(SUBSTITUTE(SUBSTITUTE(SUBSTITUTE(N99:N103," ",""),"0",""),"-",""))))*1)</f>
      </c>
      <c r="K98" s="14" t="str">
        <f>SUMPRODUCT(LEN(SUBSTITUTE(SUBSTITUTE(SUBSTITUTE(J99:J103," ",""),"0",""),"-",""))+LEN(SUBSTITUTE(SUBSTITUTE(SUBSTITUTE(K99:K103," ",""),"0",""),"-","")))</f>
      </c>
      <c r="L98" s="18"/>
      <c r="M98" s="14" t="str">
        <f>SUMPRODUCT(LEN(SUBSTITUTE(SUBSTITUTE(SUBSTITUTE(M99:M103," ",""),"0",""),"-",""))+LEN(SUBSTITUTE(SUBSTITUTE(SUBSTITUTE(N99:N103," ",""),"0",""),"-","")))</f>
      </c>
      <c r="N98" s="14" t="str">
        <f>SUMPRODUCT((UPPER(L99:L103)&lt;&gt;"X")*((LEN(SUBSTITUTE(SUBSTITUTE(SUBSTITUTE(M99:M103," ",""),"0",""),"-",""))+LEN(SUBSTITUTE(SUBSTITUTE(SUBSTITUTE(N99:N103," ",""),"0",""),"-","")))&gt;(LEN(SUBSTITUTE(SUBSTITUTE(SUBSTITUTE(J99:J103," ",""),"0",""),"-",""))+LEN(SUBSTITUTE(SUBSTITUTE(SUBSTITUTE(K99:K103," ",""),"0",""),"-",""))))*1)</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SUMPRODUCT((UPPER(D107:D111)&lt;&gt;"X")*((LEN(SUBSTITUTE(SUBSTITUTE(SUBSTITUTE(B107:B111," ",""),"0",""),"-",""))+LEN(SUBSTITUTE(SUBSTITUTE(SUBSTITUTE(C107:C111," ",""),"0",""),"-","")))&gt;(LEN(SUBSTITUTE(SUBSTITUTE(SUBSTITUTE(E107:E111," ",""),"0",""),"-",""))+LEN(SUBSTITUTE(SUBSTITUTE(SUBSTITUTE(F107:F111," ",""),"0",""),"-",""))))*1)</f>
      </c>
      <c r="C106" s="14" t="str">
        <f>SUMPRODUCT(LEN(SUBSTITUTE(SUBSTITUTE(SUBSTITUTE(B107:B111," ",""),"0",""),"-",""))+LEN(SUBSTITUTE(SUBSTITUTE(SUBSTITUTE(C107:C111," ",""),"0",""),"-","")))</f>
      </c>
      <c r="D106" s="18"/>
      <c r="E106" s="14" t="str">
        <f>SUMPRODUCT(LEN(SUBSTITUTE(SUBSTITUTE(SUBSTITUTE(E107:E111," ",""),"0",""),"-",""))+LEN(SUBSTITUTE(SUBSTITUTE(SUBSTITUTE(F107:F111," ",""),"0",""),"-","")))</f>
      </c>
      <c r="F106" s="14" t="str">
        <f>SUMPRODUCT((UPPER(D107:D111)&lt;&gt;"X")*((LEN(SUBSTITUTE(SUBSTITUTE(SUBSTITUTE(E107:E111," ",""),"0",""),"-",""))+LEN(SUBSTITUTE(SUBSTITUTE(SUBSTITUTE(F107:F111," ",""),"0",""),"-","")))&gt;(LEN(SUBSTITUTE(SUBSTITUTE(SUBSTITUTE(B107:B111," ",""),"0",""),"-",""))+LEN(SUBSTITUTE(SUBSTITUTE(SUBSTITUTE(C107:C111," ",""),"0",""),"-",""))))*1)</f>
      </c>
      <c r="G106" s="14" t="str">
        <f>'data'!$B$10</f>
      </c>
      <c r="I106" s="14" t="str">
        <f>'data'!$B$58</f>
      </c>
      <c r="J106" s="14" t="str">
        <f>SUMPRODUCT((UPPER(L107:L111)&lt;&gt;"X")*((LEN(SUBSTITUTE(SUBSTITUTE(SUBSTITUTE(J107:J111," ",""),"0",""),"-",""))+LEN(SUBSTITUTE(SUBSTITUTE(SUBSTITUTE(K107:K111," ",""),"0",""),"-","")))&gt;(LEN(SUBSTITUTE(SUBSTITUTE(SUBSTITUTE(M107:M111," ",""),"0",""),"-",""))+LEN(SUBSTITUTE(SUBSTITUTE(SUBSTITUTE(N107:N111," ",""),"0",""),"-",""))))*1)</f>
      </c>
      <c r="K106" s="14" t="str">
        <f>SUMPRODUCT(LEN(SUBSTITUTE(SUBSTITUTE(SUBSTITUTE(J107:J111," ",""),"0",""),"-",""))+LEN(SUBSTITUTE(SUBSTITUTE(SUBSTITUTE(K107:K111," ",""),"0",""),"-","")))</f>
      </c>
      <c r="L106" s="18"/>
      <c r="M106" s="14" t="str">
        <f>SUMPRODUCT(LEN(SUBSTITUTE(SUBSTITUTE(SUBSTITUTE(M107:M111," ",""),"0",""),"-",""))+LEN(SUBSTITUTE(SUBSTITUTE(SUBSTITUTE(N107:N111," ",""),"0",""),"-","")))</f>
      </c>
      <c r="N106" s="14" t="str">
        <f>SUMPRODUCT((UPPER(L107:L111)&lt;&gt;"X")*((LEN(SUBSTITUTE(SUBSTITUTE(SUBSTITUTE(M107:M111," ",""),"0",""),"-",""))+LEN(SUBSTITUTE(SUBSTITUTE(SUBSTITUTE(N107:N111," ",""),"0",""),"-","")))&gt;(LEN(SUBSTITUTE(SUBSTITUTE(SUBSTITUTE(J107:J111," ",""),"0",""),"-",""))+LEN(SUBSTITUTE(SUBSTITUTE(SUBSTITUTE(K107:K111," ",""),"0",""),"-",""))))*1)</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SUMPRODUCT((UPPER(D134:D138)&lt;&gt;"X")*((LEN(SUBSTITUTE(SUBSTITUTE(SUBSTITUTE(B134:B138," ",""),"0",""),"-",""))+LEN(SUBSTITUTE(SUBSTITUTE(SUBSTITUTE(C134:C138," ",""),"0",""),"-","")))&gt;(LEN(SUBSTITUTE(SUBSTITUTE(SUBSTITUTE(E134:E138," ",""),"0",""),"-",""))+LEN(SUBSTITUTE(SUBSTITUTE(SUBSTITUTE(F134:F138," ",""),"0",""),"-",""))))*1)</f>
      </c>
      <c r="C133" s="14" t="str">
        <f>SUMPRODUCT(LEN(SUBSTITUTE(SUBSTITUTE(SUBSTITUTE(B134:B138," ",""),"0",""),"-",""))+LEN(SUBSTITUTE(SUBSTITUTE(SUBSTITUTE(C134:C138," ",""),"0",""),"-","")))</f>
      </c>
      <c r="D133" s="18"/>
      <c r="E133" s="14" t="str">
        <f>SUMPRODUCT(LEN(SUBSTITUTE(SUBSTITUTE(SUBSTITUTE(E134:E138," ",""),"0",""),"-",""))+LEN(SUBSTITUTE(SUBSTITUTE(SUBSTITUTE(F134:F138," ",""),"0",""),"-","")))</f>
      </c>
      <c r="F133" s="14" t="str">
        <f>SUMPRODUCT((UPPER(D134:D138)&lt;&gt;"X")*((LEN(SUBSTITUTE(SUBSTITUTE(SUBSTITUTE(E134:E138," ",""),"0",""),"-",""))+LEN(SUBSTITUTE(SUBSTITUTE(SUBSTITUTE(F134:F138," ",""),"0",""),"-","")))&gt;(LEN(SUBSTITUTE(SUBSTITUTE(SUBSTITUTE(B134:B138," ",""),"0",""),"-",""))+LEN(SUBSTITUTE(SUBSTITUTE(SUBSTITUTE(C134:C138," ",""),"0",""),"-",""))))*1)</f>
      </c>
      <c r="G133" s="14" t="str">
        <f>'data'!$B$12</f>
      </c>
      <c r="I133" s="14" t="str">
        <f>'data'!$B$60</f>
      </c>
      <c r="J133" s="14" t="str">
        <f>SUMPRODUCT((UPPER(L134:L138)&lt;&gt;"X")*((LEN(SUBSTITUTE(SUBSTITUTE(SUBSTITUTE(J134:J138," ",""),"0",""),"-",""))+LEN(SUBSTITUTE(SUBSTITUTE(SUBSTITUTE(K134:K138," ",""),"0",""),"-","")))&gt;(LEN(SUBSTITUTE(SUBSTITUTE(SUBSTITUTE(M134:M138," ",""),"0",""),"-",""))+LEN(SUBSTITUTE(SUBSTITUTE(SUBSTITUTE(N134:N138," ",""),"0",""),"-",""))))*1)</f>
      </c>
      <c r="K133" s="14" t="str">
        <f>SUMPRODUCT(LEN(SUBSTITUTE(SUBSTITUTE(SUBSTITUTE(J134:J138," ",""),"0",""),"-",""))+LEN(SUBSTITUTE(SUBSTITUTE(SUBSTITUTE(K134:K138," ",""),"0",""),"-","")))</f>
      </c>
      <c r="L133" s="18"/>
      <c r="M133" s="14" t="str">
        <f>SUMPRODUCT(LEN(SUBSTITUTE(SUBSTITUTE(SUBSTITUTE(M134:M138," ",""),"0",""),"-",""))+LEN(SUBSTITUTE(SUBSTITUTE(SUBSTITUTE(N134:N138," ",""),"0",""),"-","")))</f>
      </c>
      <c r="N133" s="14" t="str">
        <f>SUMPRODUCT((UPPER(L134:L138)&lt;&gt;"X")*((LEN(SUBSTITUTE(SUBSTITUTE(SUBSTITUTE(M134:M138," ",""),"0",""),"-",""))+LEN(SUBSTITUTE(SUBSTITUTE(SUBSTITUTE(N134:N138," ",""),"0",""),"-","")))&gt;(LEN(SUBSTITUTE(SUBSTITUTE(SUBSTITUTE(J134:J138," ",""),"0",""),"-",""))+LEN(SUBSTITUTE(SUBSTITUTE(SUBSTITUTE(K134:K138," ",""),"0",""),"-",""))))*1)</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SUMPRODUCT((UPPER(D142:D146)&lt;&gt;"X")*((LEN(SUBSTITUTE(SUBSTITUTE(SUBSTITUTE(B142:B146," ",""),"0",""),"-",""))+LEN(SUBSTITUTE(SUBSTITUTE(SUBSTITUTE(C142:C146," ",""),"0",""),"-","")))&gt;(LEN(SUBSTITUTE(SUBSTITUTE(SUBSTITUTE(E142:E146," ",""),"0",""),"-",""))+LEN(SUBSTITUTE(SUBSTITUTE(SUBSTITUTE(F142:F146," ",""),"0",""),"-",""))))*1)</f>
      </c>
      <c r="C141" s="14" t="str">
        <f>SUMPRODUCT(LEN(SUBSTITUTE(SUBSTITUTE(SUBSTITUTE(B142:B146," ",""),"0",""),"-",""))+LEN(SUBSTITUTE(SUBSTITUTE(SUBSTITUTE(C142:C146," ",""),"0",""),"-","")))</f>
      </c>
      <c r="D141" s="18"/>
      <c r="E141" s="14" t="str">
        <f>SUMPRODUCT(LEN(SUBSTITUTE(SUBSTITUTE(SUBSTITUTE(E142:E146," ",""),"0",""),"-",""))+LEN(SUBSTITUTE(SUBSTITUTE(SUBSTITUTE(F142:F146," ",""),"0",""),"-","")))</f>
      </c>
      <c r="F141" s="14" t="str">
        <f>SUMPRODUCT((UPPER(D142:D146)&lt;&gt;"X")*((LEN(SUBSTITUTE(SUBSTITUTE(SUBSTITUTE(E142:E146," ",""),"0",""),"-",""))+LEN(SUBSTITUTE(SUBSTITUTE(SUBSTITUTE(F142:F146," ",""),"0",""),"-","")))&gt;(LEN(SUBSTITUTE(SUBSTITUTE(SUBSTITUTE(B142:B146," ",""),"0",""),"-",""))+LEN(SUBSTITUTE(SUBSTITUTE(SUBSTITUTE(C142:C146," ",""),"0",""),"-",""))))*1)</f>
      </c>
      <c r="G141" s="14" t="str">
        <f>'data'!$B$12</f>
      </c>
      <c r="I141" s="14" t="str">
        <f>'data'!$B$61</f>
      </c>
      <c r="J141" s="14" t="str">
        <f>SUMPRODUCT((UPPER(L142:L146)&lt;&gt;"X")*((LEN(SUBSTITUTE(SUBSTITUTE(SUBSTITUTE(J142:J146," ",""),"0",""),"-",""))+LEN(SUBSTITUTE(SUBSTITUTE(SUBSTITUTE(K142:K146," ",""),"0",""),"-","")))&gt;(LEN(SUBSTITUTE(SUBSTITUTE(SUBSTITUTE(M142:M146," ",""),"0",""),"-",""))+LEN(SUBSTITUTE(SUBSTITUTE(SUBSTITUTE(N142:N146," ",""),"0",""),"-",""))))*1)</f>
      </c>
      <c r="K141" s="14" t="str">
        <f>SUMPRODUCT(LEN(SUBSTITUTE(SUBSTITUTE(SUBSTITUTE(J142:J146," ",""),"0",""),"-",""))+LEN(SUBSTITUTE(SUBSTITUTE(SUBSTITUTE(K142:K146," ",""),"0",""),"-","")))</f>
      </c>
      <c r="L141" s="18"/>
      <c r="M141" s="14" t="str">
        <f>SUMPRODUCT(LEN(SUBSTITUTE(SUBSTITUTE(SUBSTITUTE(M142:M146," ",""),"0",""),"-",""))+LEN(SUBSTITUTE(SUBSTITUTE(SUBSTITUTE(N142:N146," ",""),"0",""),"-","")))</f>
      </c>
      <c r="N141" s="14" t="str">
        <f>SUMPRODUCT((UPPER(L142:L146)&lt;&gt;"X")*((LEN(SUBSTITUTE(SUBSTITUTE(SUBSTITUTE(M142:M146," ",""),"0",""),"-",""))+LEN(SUBSTITUTE(SUBSTITUTE(SUBSTITUTE(N142:N146," ",""),"0",""),"-","")))&gt;(LEN(SUBSTITUTE(SUBSTITUTE(SUBSTITUTE(J142:J146," ",""),"0",""),"-",""))+LEN(SUBSTITUTE(SUBSTITUTE(SUBSTITUTE(K142:K146," ",""),"0",""),"-",""))))*1)</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SUMPRODUCT((UPPER(D150:D154)&lt;&gt;"X")*((LEN(SUBSTITUTE(SUBSTITUTE(SUBSTITUTE(B150:B154," ",""),"0",""),"-",""))+LEN(SUBSTITUTE(SUBSTITUTE(SUBSTITUTE(C150:C154," ",""),"0",""),"-","")))&gt;(LEN(SUBSTITUTE(SUBSTITUTE(SUBSTITUTE(E150:E154," ",""),"0",""),"-",""))+LEN(SUBSTITUTE(SUBSTITUTE(SUBSTITUTE(F150:F154," ",""),"0",""),"-",""))))*1)</f>
      </c>
      <c r="C149" s="14" t="str">
        <f>SUMPRODUCT(LEN(SUBSTITUTE(SUBSTITUTE(SUBSTITUTE(B150:B154," ",""),"0",""),"-",""))+LEN(SUBSTITUTE(SUBSTITUTE(SUBSTITUTE(C150:C154," ",""),"0",""),"-","")))</f>
      </c>
      <c r="D149" s="18"/>
      <c r="E149" s="14" t="str">
        <f>SUMPRODUCT(LEN(SUBSTITUTE(SUBSTITUTE(SUBSTITUTE(E150:E154," ",""),"0",""),"-",""))+LEN(SUBSTITUTE(SUBSTITUTE(SUBSTITUTE(F150:F154," ",""),"0",""),"-","")))</f>
      </c>
      <c r="F149" s="14" t="str">
        <f>SUMPRODUCT((UPPER(D150:D154)&lt;&gt;"X")*((LEN(SUBSTITUTE(SUBSTITUTE(SUBSTITUTE(E150:E154," ",""),"0",""),"-",""))+LEN(SUBSTITUTE(SUBSTITUTE(SUBSTITUTE(F150:F154," ",""),"0",""),"-","")))&gt;(LEN(SUBSTITUTE(SUBSTITUTE(SUBSTITUTE(B150:B154," ",""),"0",""),"-",""))+LEN(SUBSTITUTE(SUBSTITUTE(SUBSTITUTE(C150:C154," ",""),"0",""),"-",""))))*1)</f>
      </c>
      <c r="G149" s="14" t="str">
        <f>'data'!$B$13</f>
      </c>
      <c r="I149" s="14" t="str">
        <f>'data'!$B$61</f>
      </c>
      <c r="J149" s="14" t="str">
        <f>SUMPRODUCT((UPPER(L150:L154)&lt;&gt;"X")*((LEN(SUBSTITUTE(SUBSTITUTE(SUBSTITUTE(J150:J154," ",""),"0",""),"-",""))+LEN(SUBSTITUTE(SUBSTITUTE(SUBSTITUTE(K150:K154," ",""),"0",""),"-","")))&gt;(LEN(SUBSTITUTE(SUBSTITUTE(SUBSTITUTE(M150:M154," ",""),"0",""),"-",""))+LEN(SUBSTITUTE(SUBSTITUTE(SUBSTITUTE(N150:N154," ",""),"0",""),"-",""))))*1)</f>
      </c>
      <c r="K149" s="14" t="str">
        <f>SUMPRODUCT(LEN(SUBSTITUTE(SUBSTITUTE(SUBSTITUTE(J150:J154," ",""),"0",""),"-",""))+LEN(SUBSTITUTE(SUBSTITUTE(SUBSTITUTE(K150:K154," ",""),"0",""),"-","")))</f>
      </c>
      <c r="L149" s="18"/>
      <c r="M149" s="14" t="str">
        <f>SUMPRODUCT(LEN(SUBSTITUTE(SUBSTITUTE(SUBSTITUTE(M150:M154," ",""),"0",""),"-",""))+LEN(SUBSTITUTE(SUBSTITUTE(SUBSTITUTE(N150:N154," ",""),"0",""),"-","")))</f>
      </c>
      <c r="N149" s="14" t="str">
        <f>SUMPRODUCT((UPPER(L150:L154)&lt;&gt;"X")*((LEN(SUBSTITUTE(SUBSTITUTE(SUBSTITUTE(M150:M154," ",""),"0",""),"-",""))+LEN(SUBSTITUTE(SUBSTITUTE(SUBSTITUTE(N150:N154," ",""),"0",""),"-","")))&gt;(LEN(SUBSTITUTE(SUBSTITUTE(SUBSTITUTE(J150:J154," ",""),"0",""),"-",""))+LEN(SUBSTITUTE(SUBSTITUTE(SUBSTITUTE(K150:K154," ",""),"0",""),"-",""))))*1)</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SUMPRODUCT((UPPER(D177:D181)&lt;&gt;"X")*((LEN(SUBSTITUTE(SUBSTITUTE(SUBSTITUTE(B177:B181," ",""),"0",""),"-",""))+LEN(SUBSTITUTE(SUBSTITUTE(SUBSTITUTE(C177:C181," ",""),"0",""),"-","")))&gt;(LEN(SUBSTITUTE(SUBSTITUTE(SUBSTITUTE(E177:E181," ",""),"0",""),"-",""))+LEN(SUBSTITUTE(SUBSTITUTE(SUBSTITUTE(F177:F181," ",""),"0",""),"-",""))))*1)</f>
      </c>
      <c r="C176" s="14" t="str">
        <f>SUMPRODUCT(LEN(SUBSTITUTE(SUBSTITUTE(SUBSTITUTE(B177:B181," ",""),"0",""),"-",""))+LEN(SUBSTITUTE(SUBSTITUTE(SUBSTITUTE(C177:C181," ",""),"0",""),"-","")))</f>
      </c>
      <c r="D176" s="18"/>
      <c r="E176" s="14" t="str">
        <f>SUMPRODUCT(LEN(SUBSTITUTE(SUBSTITUTE(SUBSTITUTE(E177:E181," ",""),"0",""),"-",""))+LEN(SUBSTITUTE(SUBSTITUTE(SUBSTITUTE(F177:F181," ",""),"0",""),"-","")))</f>
      </c>
      <c r="F176" s="14" t="str">
        <f>SUMPRODUCT((UPPER(D177:D181)&lt;&gt;"X")*((LEN(SUBSTITUTE(SUBSTITUTE(SUBSTITUTE(E177:E181," ",""),"0",""),"-",""))+LEN(SUBSTITUTE(SUBSTITUTE(SUBSTITUTE(F177:F181," ",""),"0",""),"-","")))&gt;(LEN(SUBSTITUTE(SUBSTITUTE(SUBSTITUTE(B177:B181," ",""),"0",""),"-",""))+LEN(SUBSTITUTE(SUBSTITUTE(SUBSTITUTE(C177:C181," ",""),"0",""),"-",""))))*1)</f>
      </c>
      <c r="G176" s="14" t="str">
        <f>'data'!$B$15</f>
      </c>
      <c r="I176" s="14" t="str">
        <f>'data'!$B$63</f>
      </c>
      <c r="J176" s="14" t="str">
        <f>SUMPRODUCT((UPPER(L177:L181)&lt;&gt;"X")*((LEN(SUBSTITUTE(SUBSTITUTE(SUBSTITUTE(J177:J181," ",""),"0",""),"-",""))+LEN(SUBSTITUTE(SUBSTITUTE(SUBSTITUTE(K177:K181," ",""),"0",""),"-","")))&gt;(LEN(SUBSTITUTE(SUBSTITUTE(SUBSTITUTE(M177:M181," ",""),"0",""),"-",""))+LEN(SUBSTITUTE(SUBSTITUTE(SUBSTITUTE(N177:N181," ",""),"0",""),"-",""))))*1)</f>
      </c>
      <c r="K176" s="14" t="str">
        <f>SUMPRODUCT(LEN(SUBSTITUTE(SUBSTITUTE(SUBSTITUTE(J177:J181," ",""),"0",""),"-",""))+LEN(SUBSTITUTE(SUBSTITUTE(SUBSTITUTE(K177:K181," ",""),"0",""),"-","")))</f>
      </c>
      <c r="L176" s="18"/>
      <c r="M176" s="14" t="str">
        <f>SUMPRODUCT(LEN(SUBSTITUTE(SUBSTITUTE(SUBSTITUTE(M177:M181," ",""),"0",""),"-",""))+LEN(SUBSTITUTE(SUBSTITUTE(SUBSTITUTE(N177:N181," ",""),"0",""),"-","")))</f>
      </c>
      <c r="N176" s="14" t="str">
        <f>SUMPRODUCT((UPPER(L177:L181)&lt;&gt;"X")*((LEN(SUBSTITUTE(SUBSTITUTE(SUBSTITUTE(M177:M181," ",""),"0",""),"-",""))+LEN(SUBSTITUTE(SUBSTITUTE(SUBSTITUTE(N177:N181," ",""),"0",""),"-","")))&gt;(LEN(SUBSTITUTE(SUBSTITUTE(SUBSTITUTE(J177:J181," ",""),"0",""),"-",""))+LEN(SUBSTITUTE(SUBSTITUTE(SUBSTITUTE(K177:K181," ",""),"0",""),"-",""))))*1)</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SUMPRODUCT((UPPER(D185:D189)&lt;&gt;"X")*((LEN(SUBSTITUTE(SUBSTITUTE(SUBSTITUTE(B185:B189," ",""),"0",""),"-",""))+LEN(SUBSTITUTE(SUBSTITUTE(SUBSTITUTE(C185:C189," ",""),"0",""),"-","")))&gt;(LEN(SUBSTITUTE(SUBSTITUTE(SUBSTITUTE(E185:E189," ",""),"0",""),"-",""))+LEN(SUBSTITUTE(SUBSTITUTE(SUBSTITUTE(F185:F189," ",""),"0",""),"-",""))))*1)</f>
      </c>
      <c r="C184" s="14" t="str">
        <f>SUMPRODUCT(LEN(SUBSTITUTE(SUBSTITUTE(SUBSTITUTE(B185:B189," ",""),"0",""),"-",""))+LEN(SUBSTITUTE(SUBSTITUTE(SUBSTITUTE(C185:C189," ",""),"0",""),"-","")))</f>
      </c>
      <c r="D184" s="18"/>
      <c r="E184" s="14" t="str">
        <f>SUMPRODUCT(LEN(SUBSTITUTE(SUBSTITUTE(SUBSTITUTE(E185:E189," ",""),"0",""),"-",""))+LEN(SUBSTITUTE(SUBSTITUTE(SUBSTITUTE(F185:F189," ",""),"0",""),"-","")))</f>
      </c>
      <c r="F184" s="14" t="str">
        <f>SUMPRODUCT((UPPER(D185:D189)&lt;&gt;"X")*((LEN(SUBSTITUTE(SUBSTITUTE(SUBSTITUTE(E185:E189," ",""),"0",""),"-",""))+LEN(SUBSTITUTE(SUBSTITUTE(SUBSTITUTE(F185:F189," ",""),"0",""),"-","")))&gt;(LEN(SUBSTITUTE(SUBSTITUTE(SUBSTITUTE(B185:B189," ",""),"0",""),"-",""))+LEN(SUBSTITUTE(SUBSTITUTE(SUBSTITUTE(C185:C189," ",""),"0",""),"-",""))))*1)</f>
      </c>
      <c r="G184" s="14" t="str">
        <f>'data'!$B$15</f>
      </c>
      <c r="I184" s="14" t="str">
        <f>'data'!$B$64</f>
      </c>
      <c r="J184" s="14" t="str">
        <f>SUMPRODUCT((UPPER(L185:L189)&lt;&gt;"X")*((LEN(SUBSTITUTE(SUBSTITUTE(SUBSTITUTE(J185:J189," ",""),"0",""),"-",""))+LEN(SUBSTITUTE(SUBSTITUTE(SUBSTITUTE(K185:K189," ",""),"0",""),"-","")))&gt;(LEN(SUBSTITUTE(SUBSTITUTE(SUBSTITUTE(M185:M189," ",""),"0",""),"-",""))+LEN(SUBSTITUTE(SUBSTITUTE(SUBSTITUTE(N185:N189," ",""),"0",""),"-",""))))*1)</f>
      </c>
      <c r="K184" s="14" t="str">
        <f>SUMPRODUCT(LEN(SUBSTITUTE(SUBSTITUTE(SUBSTITUTE(J185:J189," ",""),"0",""),"-",""))+LEN(SUBSTITUTE(SUBSTITUTE(SUBSTITUTE(K185:K189," ",""),"0",""),"-","")))</f>
      </c>
      <c r="L184" s="18"/>
      <c r="M184" s="14" t="str">
        <f>SUMPRODUCT(LEN(SUBSTITUTE(SUBSTITUTE(SUBSTITUTE(M185:M189," ",""),"0",""),"-",""))+LEN(SUBSTITUTE(SUBSTITUTE(SUBSTITUTE(N185:N189," ",""),"0",""),"-","")))</f>
      </c>
      <c r="N184" s="14" t="str">
        <f>SUMPRODUCT((UPPER(L185:L189)&lt;&gt;"X")*((LEN(SUBSTITUTE(SUBSTITUTE(SUBSTITUTE(M185:M189," ",""),"0",""),"-",""))+LEN(SUBSTITUTE(SUBSTITUTE(SUBSTITUTE(N185:N189," ",""),"0",""),"-","")))&gt;(LEN(SUBSTITUTE(SUBSTITUTE(SUBSTITUTE(J185:J189," ",""),"0",""),"-",""))+LEN(SUBSTITUTE(SUBSTITUTE(SUBSTITUTE(K185:K189," ",""),"0",""),"-",""))))*1)</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SUMPRODUCT((UPPER(D193:D197)&lt;&gt;"X")*((LEN(SUBSTITUTE(SUBSTITUTE(SUBSTITUTE(B193:B197," ",""),"0",""),"-",""))+LEN(SUBSTITUTE(SUBSTITUTE(SUBSTITUTE(C193:C197," ",""),"0",""),"-","")))&gt;(LEN(SUBSTITUTE(SUBSTITUTE(SUBSTITUTE(E193:E197," ",""),"0",""),"-",""))+LEN(SUBSTITUTE(SUBSTITUTE(SUBSTITUTE(F193:F197," ",""),"0",""),"-",""))))*1)</f>
      </c>
      <c r="C192" s="14" t="str">
        <f>SUMPRODUCT(LEN(SUBSTITUTE(SUBSTITUTE(SUBSTITUTE(B193:B197," ",""),"0",""),"-",""))+LEN(SUBSTITUTE(SUBSTITUTE(SUBSTITUTE(C193:C197," ",""),"0",""),"-","")))</f>
      </c>
      <c r="D192" s="18"/>
      <c r="E192" s="14" t="str">
        <f>SUMPRODUCT(LEN(SUBSTITUTE(SUBSTITUTE(SUBSTITUTE(E193:E197," ",""),"0",""),"-",""))+LEN(SUBSTITUTE(SUBSTITUTE(SUBSTITUTE(F193:F197," ",""),"0",""),"-","")))</f>
      </c>
      <c r="F192" s="14" t="str">
        <f>SUMPRODUCT((UPPER(D193:D197)&lt;&gt;"X")*((LEN(SUBSTITUTE(SUBSTITUTE(SUBSTITUTE(E193:E197," ",""),"0",""),"-",""))+LEN(SUBSTITUTE(SUBSTITUTE(SUBSTITUTE(F193:F197," ",""),"0",""),"-","")))&gt;(LEN(SUBSTITUTE(SUBSTITUTE(SUBSTITUTE(B193:B197," ",""),"0",""),"-",""))+LEN(SUBSTITUTE(SUBSTITUTE(SUBSTITUTE(C193:C197," ",""),"0",""),"-",""))))*1)</f>
      </c>
      <c r="G192" s="14" t="str">
        <f>'data'!$B$16</f>
      </c>
      <c r="I192" s="14" t="str">
        <f>'data'!$B$64</f>
      </c>
      <c r="J192" s="14" t="str">
        <f>SUMPRODUCT((UPPER(L193:L197)&lt;&gt;"X")*((LEN(SUBSTITUTE(SUBSTITUTE(SUBSTITUTE(J193:J197," ",""),"0",""),"-",""))+LEN(SUBSTITUTE(SUBSTITUTE(SUBSTITUTE(K193:K197," ",""),"0",""),"-","")))&gt;(LEN(SUBSTITUTE(SUBSTITUTE(SUBSTITUTE(M193:M197," ",""),"0",""),"-",""))+LEN(SUBSTITUTE(SUBSTITUTE(SUBSTITUTE(N193:N197," ",""),"0",""),"-",""))))*1)</f>
      </c>
      <c r="K192" s="14" t="str">
        <f>SUMPRODUCT(LEN(SUBSTITUTE(SUBSTITUTE(SUBSTITUTE(J193:J197," ",""),"0",""),"-",""))+LEN(SUBSTITUTE(SUBSTITUTE(SUBSTITUTE(K193:K197," ",""),"0",""),"-","")))</f>
      </c>
      <c r="L192" s="18"/>
      <c r="M192" s="14" t="str">
        <f>SUMPRODUCT(LEN(SUBSTITUTE(SUBSTITUTE(SUBSTITUTE(M193:M197," ",""),"0",""),"-",""))+LEN(SUBSTITUTE(SUBSTITUTE(SUBSTITUTE(N193:N197," ",""),"0",""),"-","")))</f>
      </c>
      <c r="N192" s="14" t="str">
        <f>SUMPRODUCT((UPPER(L193:L197)&lt;&gt;"X")*((LEN(SUBSTITUTE(SUBSTITUTE(SUBSTITUTE(M193:M197," ",""),"0",""),"-",""))+LEN(SUBSTITUTE(SUBSTITUTE(SUBSTITUTE(N193:N197," ",""),"0",""),"-","")))&gt;(LEN(SUBSTITUTE(SUBSTITUTE(SUBSTITUTE(J193:J197," ",""),"0",""),"-",""))+LEN(SUBSTITUTE(SUBSTITUTE(SUBSTITUTE(K193:K197," ",""),"0",""),"-",""))))*1)</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SUMPRODUCT((UPPER(D220:D224)&lt;&gt;"X")*((LEN(SUBSTITUTE(SUBSTITUTE(SUBSTITUTE(B220:B224," ",""),"0",""),"-",""))+LEN(SUBSTITUTE(SUBSTITUTE(SUBSTITUTE(C220:C224," ",""),"0",""),"-","")))&gt;(LEN(SUBSTITUTE(SUBSTITUTE(SUBSTITUTE(E220:E224," ",""),"0",""),"-",""))+LEN(SUBSTITUTE(SUBSTITUTE(SUBSTITUTE(F220:F224," ",""),"0",""),"-",""))))*1)</f>
      </c>
      <c r="C219" s="14" t="str">
        <f>SUMPRODUCT(LEN(SUBSTITUTE(SUBSTITUTE(SUBSTITUTE(B220:B224," ",""),"0",""),"-",""))+LEN(SUBSTITUTE(SUBSTITUTE(SUBSTITUTE(C220:C224," ",""),"0",""),"-","")))</f>
      </c>
      <c r="D219" s="18"/>
      <c r="E219" s="14" t="str">
        <f>SUMPRODUCT(LEN(SUBSTITUTE(SUBSTITUTE(SUBSTITUTE(E220:E224," ",""),"0",""),"-",""))+LEN(SUBSTITUTE(SUBSTITUTE(SUBSTITUTE(F220:F224," ",""),"0",""),"-","")))</f>
      </c>
      <c r="F219" s="14" t="str">
        <f>SUMPRODUCT((UPPER(D220:D224)&lt;&gt;"X")*((LEN(SUBSTITUTE(SUBSTITUTE(SUBSTITUTE(E220:E224," ",""),"0",""),"-",""))+LEN(SUBSTITUTE(SUBSTITUTE(SUBSTITUTE(F220:F224," ",""),"0",""),"-","")))&gt;(LEN(SUBSTITUTE(SUBSTITUTE(SUBSTITUTE(B220:B224," ",""),"0",""),"-",""))+LEN(SUBSTITUTE(SUBSTITUTE(SUBSTITUTE(C220:C224," ",""),"0",""),"-",""))))*1)</f>
      </c>
      <c r="G219" s="14" t="str">
        <f>'data'!$B$18</f>
      </c>
      <c r="I219" s="14" t="str">
        <f>'data'!$B$66</f>
      </c>
      <c r="J219" s="14" t="str">
        <f>SUMPRODUCT((UPPER(L220:L224)&lt;&gt;"X")*((LEN(SUBSTITUTE(SUBSTITUTE(SUBSTITUTE(J220:J224," ",""),"0",""),"-",""))+LEN(SUBSTITUTE(SUBSTITUTE(SUBSTITUTE(K220:K224," ",""),"0",""),"-","")))&gt;(LEN(SUBSTITUTE(SUBSTITUTE(SUBSTITUTE(M220:M224," ",""),"0",""),"-",""))+LEN(SUBSTITUTE(SUBSTITUTE(SUBSTITUTE(N220:N224," ",""),"0",""),"-",""))))*1)</f>
      </c>
      <c r="K219" s="14" t="str">
        <f>SUMPRODUCT(LEN(SUBSTITUTE(SUBSTITUTE(SUBSTITUTE(J220:J224," ",""),"0",""),"-",""))+LEN(SUBSTITUTE(SUBSTITUTE(SUBSTITUTE(K220:K224," ",""),"0",""),"-","")))</f>
      </c>
      <c r="L219" s="18"/>
      <c r="M219" s="14" t="str">
        <f>SUMPRODUCT(LEN(SUBSTITUTE(SUBSTITUTE(SUBSTITUTE(M220:M224," ",""),"0",""),"-",""))+LEN(SUBSTITUTE(SUBSTITUTE(SUBSTITUTE(N220:N224," ",""),"0",""),"-","")))</f>
      </c>
      <c r="N219" s="14" t="str">
        <f>SUMPRODUCT((UPPER(L220:L224)&lt;&gt;"X")*((LEN(SUBSTITUTE(SUBSTITUTE(SUBSTITUTE(M220:M224," ",""),"0",""),"-",""))+LEN(SUBSTITUTE(SUBSTITUTE(SUBSTITUTE(N220:N224," ",""),"0",""),"-","")))&gt;(LEN(SUBSTITUTE(SUBSTITUTE(SUBSTITUTE(J220:J224," ",""),"0",""),"-",""))+LEN(SUBSTITUTE(SUBSTITUTE(SUBSTITUTE(K220:K224," ",""),"0",""),"-",""))))*1)</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SUMPRODUCT((UPPER(D228:D232)&lt;&gt;"X")*((LEN(SUBSTITUTE(SUBSTITUTE(SUBSTITUTE(B228:B232," ",""),"0",""),"-",""))+LEN(SUBSTITUTE(SUBSTITUTE(SUBSTITUTE(C228:C232," ",""),"0",""),"-","")))&gt;(LEN(SUBSTITUTE(SUBSTITUTE(SUBSTITUTE(E228:E232," ",""),"0",""),"-",""))+LEN(SUBSTITUTE(SUBSTITUTE(SUBSTITUTE(F228:F232," ",""),"0",""),"-",""))))*1)</f>
      </c>
      <c r="C227" s="14" t="str">
        <f>SUMPRODUCT(LEN(SUBSTITUTE(SUBSTITUTE(SUBSTITUTE(B228:B232," ",""),"0",""),"-",""))+LEN(SUBSTITUTE(SUBSTITUTE(SUBSTITUTE(C228:C232," ",""),"0",""),"-","")))</f>
      </c>
      <c r="D227" s="18"/>
      <c r="E227" s="14" t="str">
        <f>SUMPRODUCT(LEN(SUBSTITUTE(SUBSTITUTE(SUBSTITUTE(E228:E232," ",""),"0",""),"-",""))+LEN(SUBSTITUTE(SUBSTITUTE(SUBSTITUTE(F228:F232," ",""),"0",""),"-","")))</f>
      </c>
      <c r="F227" s="14" t="str">
        <f>SUMPRODUCT((UPPER(D228:D232)&lt;&gt;"X")*((LEN(SUBSTITUTE(SUBSTITUTE(SUBSTITUTE(E228:E232," ",""),"0",""),"-",""))+LEN(SUBSTITUTE(SUBSTITUTE(SUBSTITUTE(F228:F232," ",""),"0",""),"-","")))&gt;(LEN(SUBSTITUTE(SUBSTITUTE(SUBSTITUTE(B228:B232," ",""),"0",""),"-",""))+LEN(SUBSTITUTE(SUBSTITUTE(SUBSTITUTE(C228:C232," ",""),"0",""),"-",""))))*1)</f>
      </c>
      <c r="G227" s="14" t="str">
        <f>'data'!$B$18</f>
      </c>
      <c r="I227" s="14" t="str">
        <f>'data'!$B$67</f>
      </c>
      <c r="J227" s="14" t="str">
        <f>SUMPRODUCT((UPPER(L228:L232)&lt;&gt;"X")*((LEN(SUBSTITUTE(SUBSTITUTE(SUBSTITUTE(J228:J232," ",""),"0",""),"-",""))+LEN(SUBSTITUTE(SUBSTITUTE(SUBSTITUTE(K228:K232," ",""),"0",""),"-","")))&gt;(LEN(SUBSTITUTE(SUBSTITUTE(SUBSTITUTE(M228:M232," ",""),"0",""),"-",""))+LEN(SUBSTITUTE(SUBSTITUTE(SUBSTITUTE(N228:N232," ",""),"0",""),"-",""))))*1)</f>
      </c>
      <c r="K227" s="14" t="str">
        <f>SUMPRODUCT(LEN(SUBSTITUTE(SUBSTITUTE(SUBSTITUTE(J228:J232," ",""),"0",""),"-",""))+LEN(SUBSTITUTE(SUBSTITUTE(SUBSTITUTE(K228:K232," ",""),"0",""),"-","")))</f>
      </c>
      <c r="L227" s="18"/>
      <c r="M227" s="14" t="str">
        <f>SUMPRODUCT(LEN(SUBSTITUTE(SUBSTITUTE(SUBSTITUTE(M228:M232," ",""),"0",""),"-",""))+LEN(SUBSTITUTE(SUBSTITUTE(SUBSTITUTE(N228:N232," ",""),"0",""),"-","")))</f>
      </c>
      <c r="N227" s="14" t="str">
        <f>SUMPRODUCT((UPPER(L228:L232)&lt;&gt;"X")*((LEN(SUBSTITUTE(SUBSTITUTE(SUBSTITUTE(M228:M232," ",""),"0",""),"-",""))+LEN(SUBSTITUTE(SUBSTITUTE(SUBSTITUTE(N228:N232," ",""),"0",""),"-","")))&gt;(LEN(SUBSTITUTE(SUBSTITUTE(SUBSTITUTE(J228:J232," ",""),"0",""),"-",""))+LEN(SUBSTITUTE(SUBSTITUTE(SUBSTITUTE(K228:K232," ",""),"0",""),"-",""))))*1)</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SUMPRODUCT((UPPER(D236:D240)&lt;&gt;"X")*((LEN(SUBSTITUTE(SUBSTITUTE(SUBSTITUTE(B236:B240," ",""),"0",""),"-",""))+LEN(SUBSTITUTE(SUBSTITUTE(SUBSTITUTE(C236:C240," ",""),"0",""),"-","")))&gt;(LEN(SUBSTITUTE(SUBSTITUTE(SUBSTITUTE(E236:E240," ",""),"0",""),"-",""))+LEN(SUBSTITUTE(SUBSTITUTE(SUBSTITUTE(F236:F240," ",""),"0",""),"-",""))))*1)</f>
      </c>
      <c r="C235" s="14" t="str">
        <f>SUMPRODUCT(LEN(SUBSTITUTE(SUBSTITUTE(SUBSTITUTE(B236:B240," ",""),"0",""),"-",""))+LEN(SUBSTITUTE(SUBSTITUTE(SUBSTITUTE(C236:C240," ",""),"0",""),"-","")))</f>
      </c>
      <c r="D235" s="18"/>
      <c r="E235" s="14" t="str">
        <f>SUMPRODUCT(LEN(SUBSTITUTE(SUBSTITUTE(SUBSTITUTE(E236:E240," ",""),"0",""),"-",""))+LEN(SUBSTITUTE(SUBSTITUTE(SUBSTITUTE(F236:F240," ",""),"0",""),"-","")))</f>
      </c>
      <c r="F235" s="14" t="str">
        <f>SUMPRODUCT((UPPER(D236:D240)&lt;&gt;"X")*((LEN(SUBSTITUTE(SUBSTITUTE(SUBSTITUTE(E236:E240," ",""),"0",""),"-",""))+LEN(SUBSTITUTE(SUBSTITUTE(SUBSTITUTE(F236:F240," ",""),"0",""),"-","")))&gt;(LEN(SUBSTITUTE(SUBSTITUTE(SUBSTITUTE(B236:B240," ",""),"0",""),"-",""))+LEN(SUBSTITUTE(SUBSTITUTE(SUBSTITUTE(C236:C240," ",""),"0",""),"-",""))))*1)</f>
      </c>
      <c r="G235" s="14" t="str">
        <f>'data'!$B$19</f>
      </c>
      <c r="I235" s="14" t="str">
        <f>'data'!$B$67</f>
      </c>
      <c r="J235" s="14" t="str">
        <f>SUMPRODUCT((UPPER(L236:L240)&lt;&gt;"X")*((LEN(SUBSTITUTE(SUBSTITUTE(SUBSTITUTE(J236:J240," ",""),"0",""),"-",""))+LEN(SUBSTITUTE(SUBSTITUTE(SUBSTITUTE(K236:K240," ",""),"0",""),"-","")))&gt;(LEN(SUBSTITUTE(SUBSTITUTE(SUBSTITUTE(M236:M240," ",""),"0",""),"-",""))+LEN(SUBSTITUTE(SUBSTITUTE(SUBSTITUTE(N236:N240," ",""),"0",""),"-",""))))*1)</f>
      </c>
      <c r="K235" s="14" t="str">
        <f>SUMPRODUCT(LEN(SUBSTITUTE(SUBSTITUTE(SUBSTITUTE(J236:J240," ",""),"0",""),"-",""))+LEN(SUBSTITUTE(SUBSTITUTE(SUBSTITUTE(K236:K240," ",""),"0",""),"-","")))</f>
      </c>
      <c r="L235" s="18"/>
      <c r="M235" s="14" t="str">
        <f>SUMPRODUCT(LEN(SUBSTITUTE(SUBSTITUTE(SUBSTITUTE(M236:M240," ",""),"0",""),"-",""))+LEN(SUBSTITUTE(SUBSTITUTE(SUBSTITUTE(N236:N240," ",""),"0",""),"-","")))</f>
      </c>
      <c r="N235" s="14" t="str">
        <f>SUMPRODUCT((UPPER(L236:L240)&lt;&gt;"X")*((LEN(SUBSTITUTE(SUBSTITUTE(SUBSTITUTE(M236:M240," ",""),"0",""),"-",""))+LEN(SUBSTITUTE(SUBSTITUTE(SUBSTITUTE(N236:N240," ",""),"0",""),"-","")))&gt;(LEN(SUBSTITUTE(SUBSTITUTE(SUBSTITUTE(J236:J240," ",""),"0",""),"-",""))+LEN(SUBSTITUTE(SUBSTITUTE(SUBSTITUTE(K236:K240," ",""),"0",""),"-",""))))*1)</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SUMPRODUCT((UPPER(D263:D267)&lt;&gt;"X")*((LEN(SUBSTITUTE(SUBSTITUTE(SUBSTITUTE(B263:B267," ",""),"0",""),"-",""))+LEN(SUBSTITUTE(SUBSTITUTE(SUBSTITUTE(C263:C267," ",""),"0",""),"-","")))&gt;(LEN(SUBSTITUTE(SUBSTITUTE(SUBSTITUTE(E263:E267," ",""),"0",""),"-",""))+LEN(SUBSTITUTE(SUBSTITUTE(SUBSTITUTE(F263:F267," ",""),"0",""),"-",""))))*1)</f>
      </c>
      <c r="C262" s="14" t="str">
        <f>SUMPRODUCT(LEN(SUBSTITUTE(SUBSTITUTE(SUBSTITUTE(B263:B267," ",""),"0",""),"-",""))+LEN(SUBSTITUTE(SUBSTITUTE(SUBSTITUTE(C263:C267," ",""),"0",""),"-","")))</f>
      </c>
      <c r="D262" s="18"/>
      <c r="E262" s="14" t="str">
        <f>SUMPRODUCT(LEN(SUBSTITUTE(SUBSTITUTE(SUBSTITUTE(E263:E267," ",""),"0",""),"-",""))+LEN(SUBSTITUTE(SUBSTITUTE(SUBSTITUTE(F263:F267," ",""),"0",""),"-","")))</f>
      </c>
      <c r="F262" s="14" t="str">
        <f>SUMPRODUCT((UPPER(D263:D267)&lt;&gt;"X")*((LEN(SUBSTITUTE(SUBSTITUTE(SUBSTITUTE(E263:E267," ",""),"0",""),"-",""))+LEN(SUBSTITUTE(SUBSTITUTE(SUBSTITUTE(F263:F267," ",""),"0",""),"-","")))&gt;(LEN(SUBSTITUTE(SUBSTITUTE(SUBSTITUTE(B263:B267," ",""),"0",""),"-",""))+LEN(SUBSTITUTE(SUBSTITUTE(SUBSTITUTE(C263:C267," ",""),"0",""),"-",""))))*1)</f>
      </c>
      <c r="G262" s="14" t="str">
        <f>'data'!$B$21</f>
      </c>
      <c r="I262" s="14" t="str">
        <f>'data'!$B$69</f>
      </c>
      <c r="J262" s="14" t="str">
        <f>SUMPRODUCT((UPPER(L263:L267)&lt;&gt;"X")*((LEN(SUBSTITUTE(SUBSTITUTE(SUBSTITUTE(J263:J267," ",""),"0",""),"-",""))+LEN(SUBSTITUTE(SUBSTITUTE(SUBSTITUTE(K263:K267," ",""),"0",""),"-","")))&gt;(LEN(SUBSTITUTE(SUBSTITUTE(SUBSTITUTE(M263:M267," ",""),"0",""),"-",""))+LEN(SUBSTITUTE(SUBSTITUTE(SUBSTITUTE(N263:N267," ",""),"0",""),"-",""))))*1)</f>
      </c>
      <c r="K262" s="14" t="str">
        <f>SUMPRODUCT(LEN(SUBSTITUTE(SUBSTITUTE(SUBSTITUTE(J263:J267," ",""),"0",""),"-",""))+LEN(SUBSTITUTE(SUBSTITUTE(SUBSTITUTE(K263:K267," ",""),"0",""),"-","")))</f>
      </c>
      <c r="L262" s="18"/>
      <c r="M262" s="14" t="str">
        <f>SUMPRODUCT(LEN(SUBSTITUTE(SUBSTITUTE(SUBSTITUTE(M263:M267," ",""),"0",""),"-",""))+LEN(SUBSTITUTE(SUBSTITUTE(SUBSTITUTE(N263:N267," ",""),"0",""),"-","")))</f>
      </c>
      <c r="N262" s="14" t="str">
        <f>SUMPRODUCT((UPPER(L263:L267)&lt;&gt;"X")*((LEN(SUBSTITUTE(SUBSTITUTE(SUBSTITUTE(M263:M267," ",""),"0",""),"-",""))+LEN(SUBSTITUTE(SUBSTITUTE(SUBSTITUTE(N263:N267," ",""),"0",""),"-","")))&gt;(LEN(SUBSTITUTE(SUBSTITUTE(SUBSTITUTE(J263:J267," ",""),"0",""),"-",""))+LEN(SUBSTITUTE(SUBSTITUTE(SUBSTITUTE(K263:K267," ",""),"0",""),"-",""))))*1)</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SUMPRODUCT((UPPER(D271:D275)&lt;&gt;"X")*((LEN(SUBSTITUTE(SUBSTITUTE(SUBSTITUTE(B271:B275," ",""),"0",""),"-",""))+LEN(SUBSTITUTE(SUBSTITUTE(SUBSTITUTE(C271:C275," ",""),"0",""),"-","")))&gt;(LEN(SUBSTITUTE(SUBSTITUTE(SUBSTITUTE(E271:E275," ",""),"0",""),"-",""))+LEN(SUBSTITUTE(SUBSTITUTE(SUBSTITUTE(F271:F275," ",""),"0",""),"-",""))))*1)</f>
      </c>
      <c r="C270" s="14" t="str">
        <f>SUMPRODUCT(LEN(SUBSTITUTE(SUBSTITUTE(SUBSTITUTE(B271:B275," ",""),"0",""),"-",""))+LEN(SUBSTITUTE(SUBSTITUTE(SUBSTITUTE(C271:C275," ",""),"0",""),"-","")))</f>
      </c>
      <c r="D270" s="18"/>
      <c r="E270" s="14" t="str">
        <f>SUMPRODUCT(LEN(SUBSTITUTE(SUBSTITUTE(SUBSTITUTE(E271:E275," ",""),"0",""),"-",""))+LEN(SUBSTITUTE(SUBSTITUTE(SUBSTITUTE(F271:F275," ",""),"0",""),"-","")))</f>
      </c>
      <c r="F270" s="14" t="str">
        <f>SUMPRODUCT((UPPER(D271:D275)&lt;&gt;"X")*((LEN(SUBSTITUTE(SUBSTITUTE(SUBSTITUTE(E271:E275," ",""),"0",""),"-",""))+LEN(SUBSTITUTE(SUBSTITUTE(SUBSTITUTE(F271:F275," ",""),"0",""),"-","")))&gt;(LEN(SUBSTITUTE(SUBSTITUTE(SUBSTITUTE(B271:B275," ",""),"0",""),"-",""))+LEN(SUBSTITUTE(SUBSTITUTE(SUBSTITUTE(C271:C275," ",""),"0",""),"-",""))))*1)</f>
      </c>
      <c r="G270" s="14" t="str">
        <f>'data'!$B$21</f>
      </c>
      <c r="I270" s="14" t="str">
        <f>'data'!$B$70</f>
      </c>
      <c r="J270" s="14" t="str">
        <f>SUMPRODUCT((UPPER(L271:L275)&lt;&gt;"X")*((LEN(SUBSTITUTE(SUBSTITUTE(SUBSTITUTE(J271:J275," ",""),"0",""),"-",""))+LEN(SUBSTITUTE(SUBSTITUTE(SUBSTITUTE(K271:K275," ",""),"0",""),"-","")))&gt;(LEN(SUBSTITUTE(SUBSTITUTE(SUBSTITUTE(M271:M275," ",""),"0",""),"-",""))+LEN(SUBSTITUTE(SUBSTITUTE(SUBSTITUTE(N271:N275," ",""),"0",""),"-",""))))*1)</f>
      </c>
      <c r="K270" s="14" t="str">
        <f>SUMPRODUCT(LEN(SUBSTITUTE(SUBSTITUTE(SUBSTITUTE(J271:J275," ",""),"0",""),"-",""))+LEN(SUBSTITUTE(SUBSTITUTE(SUBSTITUTE(K271:K275," ",""),"0",""),"-","")))</f>
      </c>
      <c r="L270" s="18"/>
      <c r="M270" s="14" t="str">
        <f>SUMPRODUCT(LEN(SUBSTITUTE(SUBSTITUTE(SUBSTITUTE(M271:M275," ",""),"0",""),"-",""))+LEN(SUBSTITUTE(SUBSTITUTE(SUBSTITUTE(N271:N275," ",""),"0",""),"-","")))</f>
      </c>
      <c r="N270" s="14" t="str">
        <f>SUMPRODUCT((UPPER(L271:L275)&lt;&gt;"X")*((LEN(SUBSTITUTE(SUBSTITUTE(SUBSTITUTE(M271:M275," ",""),"0",""),"-",""))+LEN(SUBSTITUTE(SUBSTITUTE(SUBSTITUTE(N271:N275," ",""),"0",""),"-","")))&gt;(LEN(SUBSTITUTE(SUBSTITUTE(SUBSTITUTE(J271:J275," ",""),"0",""),"-",""))+LEN(SUBSTITUTE(SUBSTITUTE(SUBSTITUTE(K271:K275," ",""),"0",""),"-",""))))*1)</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SUMPRODUCT((UPPER(D279:D283)&lt;&gt;"X")*((LEN(SUBSTITUTE(SUBSTITUTE(SUBSTITUTE(B279:B283," ",""),"0",""),"-",""))+LEN(SUBSTITUTE(SUBSTITUTE(SUBSTITUTE(C279:C283," ",""),"0",""),"-","")))&gt;(LEN(SUBSTITUTE(SUBSTITUTE(SUBSTITUTE(E279:E283," ",""),"0",""),"-",""))+LEN(SUBSTITUTE(SUBSTITUTE(SUBSTITUTE(F279:F283," ",""),"0",""),"-",""))))*1)</f>
      </c>
      <c r="C278" s="14" t="str">
        <f>SUMPRODUCT(LEN(SUBSTITUTE(SUBSTITUTE(SUBSTITUTE(B279:B283," ",""),"0",""),"-",""))+LEN(SUBSTITUTE(SUBSTITUTE(SUBSTITUTE(C279:C283," ",""),"0",""),"-","")))</f>
      </c>
      <c r="D278" s="18"/>
      <c r="E278" s="14" t="str">
        <f>SUMPRODUCT(LEN(SUBSTITUTE(SUBSTITUTE(SUBSTITUTE(E279:E283," ",""),"0",""),"-",""))+LEN(SUBSTITUTE(SUBSTITUTE(SUBSTITUTE(F279:F283," ",""),"0",""),"-","")))</f>
      </c>
      <c r="F278" s="14" t="str">
        <f>SUMPRODUCT((UPPER(D279:D283)&lt;&gt;"X")*((LEN(SUBSTITUTE(SUBSTITUTE(SUBSTITUTE(E279:E283," ",""),"0",""),"-",""))+LEN(SUBSTITUTE(SUBSTITUTE(SUBSTITUTE(F279:F283," ",""),"0",""),"-","")))&gt;(LEN(SUBSTITUTE(SUBSTITUTE(SUBSTITUTE(B279:B283," ",""),"0",""),"-",""))+LEN(SUBSTITUTE(SUBSTITUTE(SUBSTITUTE(C279:C283," ",""),"0",""),"-",""))))*1)</f>
      </c>
      <c r="G278" s="14" t="str">
        <f>'data'!$B$22</f>
      </c>
      <c r="I278" s="14" t="str">
        <f>'data'!$B$70</f>
      </c>
      <c r="J278" s="14" t="str">
        <f>SUMPRODUCT((UPPER(L279:L283)&lt;&gt;"X")*((LEN(SUBSTITUTE(SUBSTITUTE(SUBSTITUTE(J279:J283," ",""),"0",""),"-",""))+LEN(SUBSTITUTE(SUBSTITUTE(SUBSTITUTE(K279:K283," ",""),"0",""),"-","")))&gt;(LEN(SUBSTITUTE(SUBSTITUTE(SUBSTITUTE(M279:M283," ",""),"0",""),"-",""))+LEN(SUBSTITUTE(SUBSTITUTE(SUBSTITUTE(N279:N283," ",""),"0",""),"-",""))))*1)</f>
      </c>
      <c r="K278" s="14" t="str">
        <f>SUMPRODUCT(LEN(SUBSTITUTE(SUBSTITUTE(SUBSTITUTE(J279:J283," ",""),"0",""),"-",""))+LEN(SUBSTITUTE(SUBSTITUTE(SUBSTITUTE(K279:K283," ",""),"0",""),"-","")))</f>
      </c>
      <c r="L278" s="18"/>
      <c r="M278" s="14" t="str">
        <f>SUMPRODUCT(LEN(SUBSTITUTE(SUBSTITUTE(SUBSTITUTE(M279:M283," ",""),"0",""),"-",""))+LEN(SUBSTITUTE(SUBSTITUTE(SUBSTITUTE(N279:N283," ",""),"0",""),"-","")))</f>
      </c>
      <c r="N278" s="14" t="str">
        <f>SUMPRODUCT((UPPER(L279:L283)&lt;&gt;"X")*((LEN(SUBSTITUTE(SUBSTITUTE(SUBSTITUTE(M279:M283," ",""),"0",""),"-",""))+LEN(SUBSTITUTE(SUBSTITUTE(SUBSTITUTE(N279:N283," ",""),"0",""),"-","")))&gt;(LEN(SUBSTITUTE(SUBSTITUTE(SUBSTITUTE(J279:J283," ",""),"0",""),"-",""))+LEN(SUBSTITUTE(SUBSTITUTE(SUBSTITUTE(K279:K283," ",""),"0",""),"-",""))))*1)</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SUMPRODUCT((UPPER(D306:D310)&lt;&gt;"X")*((LEN(SUBSTITUTE(SUBSTITUTE(SUBSTITUTE(B306:B310," ",""),"0",""),"-",""))+LEN(SUBSTITUTE(SUBSTITUTE(SUBSTITUTE(C306:C310," ",""),"0",""),"-","")))&gt;(LEN(SUBSTITUTE(SUBSTITUTE(SUBSTITUTE(E306:E310," ",""),"0",""),"-",""))+LEN(SUBSTITUTE(SUBSTITUTE(SUBSTITUTE(F306:F310," ",""),"0",""),"-",""))))*1)</f>
      </c>
      <c r="C305" s="14" t="str">
        <f>SUMPRODUCT(LEN(SUBSTITUTE(SUBSTITUTE(SUBSTITUTE(B306:B310," ",""),"0",""),"-",""))+LEN(SUBSTITUTE(SUBSTITUTE(SUBSTITUTE(C306:C310," ",""),"0",""),"-","")))</f>
      </c>
      <c r="D305" s="18"/>
      <c r="E305" s="14" t="str">
        <f>SUMPRODUCT(LEN(SUBSTITUTE(SUBSTITUTE(SUBSTITUTE(E306:E310," ",""),"0",""),"-",""))+LEN(SUBSTITUTE(SUBSTITUTE(SUBSTITUTE(F306:F310," ",""),"0",""),"-","")))</f>
      </c>
      <c r="F305" s="14" t="str">
        <f>SUMPRODUCT((UPPER(D306:D310)&lt;&gt;"X")*((LEN(SUBSTITUTE(SUBSTITUTE(SUBSTITUTE(E306:E310," ",""),"0",""),"-",""))+LEN(SUBSTITUTE(SUBSTITUTE(SUBSTITUTE(F306:F310," ",""),"0",""),"-","")))&gt;(LEN(SUBSTITUTE(SUBSTITUTE(SUBSTITUTE(B306:B310," ",""),"0",""),"-",""))+LEN(SUBSTITUTE(SUBSTITUTE(SUBSTITUTE(C306:C310," ",""),"0",""),"-",""))))*1)</f>
      </c>
      <c r="G305" s="14" t="str">
        <f>'data'!$B$24</f>
      </c>
      <c r="I305" s="14" t="str">
        <f>'data'!$B$72</f>
      </c>
      <c r="J305" s="14" t="str">
        <f>SUMPRODUCT((UPPER(L306:L310)&lt;&gt;"X")*((LEN(SUBSTITUTE(SUBSTITUTE(SUBSTITUTE(J306:J310," ",""),"0",""),"-",""))+LEN(SUBSTITUTE(SUBSTITUTE(SUBSTITUTE(K306:K310," ",""),"0",""),"-","")))&gt;(LEN(SUBSTITUTE(SUBSTITUTE(SUBSTITUTE(M306:M310," ",""),"0",""),"-",""))+LEN(SUBSTITUTE(SUBSTITUTE(SUBSTITUTE(N306:N310," ",""),"0",""),"-",""))))*1)</f>
      </c>
      <c r="K305" s="14" t="str">
        <f>SUMPRODUCT(LEN(SUBSTITUTE(SUBSTITUTE(SUBSTITUTE(J306:J310," ",""),"0",""),"-",""))+LEN(SUBSTITUTE(SUBSTITUTE(SUBSTITUTE(K306:K310," ",""),"0",""),"-","")))</f>
      </c>
      <c r="L305" s="18"/>
      <c r="M305" s="14" t="str">
        <f>SUMPRODUCT(LEN(SUBSTITUTE(SUBSTITUTE(SUBSTITUTE(M306:M310," ",""),"0",""),"-",""))+LEN(SUBSTITUTE(SUBSTITUTE(SUBSTITUTE(N306:N310," ",""),"0",""),"-","")))</f>
      </c>
      <c r="N305" s="14" t="str">
        <f>SUMPRODUCT((UPPER(L306:L310)&lt;&gt;"X")*((LEN(SUBSTITUTE(SUBSTITUTE(SUBSTITUTE(M306:M310," ",""),"0",""),"-",""))+LEN(SUBSTITUTE(SUBSTITUTE(SUBSTITUTE(N306:N310," ",""),"0",""),"-","")))&gt;(LEN(SUBSTITUTE(SUBSTITUTE(SUBSTITUTE(J306:J310," ",""),"0",""),"-",""))+LEN(SUBSTITUTE(SUBSTITUTE(SUBSTITUTE(K306:K310," ",""),"0",""),"-",""))))*1)</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SUMPRODUCT((UPPER(D314:D318)&lt;&gt;"X")*((LEN(SUBSTITUTE(SUBSTITUTE(SUBSTITUTE(B314:B318," ",""),"0",""),"-",""))+LEN(SUBSTITUTE(SUBSTITUTE(SUBSTITUTE(C314:C318," ",""),"0",""),"-","")))&gt;(LEN(SUBSTITUTE(SUBSTITUTE(SUBSTITUTE(E314:E318," ",""),"0",""),"-",""))+LEN(SUBSTITUTE(SUBSTITUTE(SUBSTITUTE(F314:F318," ",""),"0",""),"-",""))))*1)</f>
      </c>
      <c r="C313" s="14" t="str">
        <f>SUMPRODUCT(LEN(SUBSTITUTE(SUBSTITUTE(SUBSTITUTE(B314:B318," ",""),"0",""),"-",""))+LEN(SUBSTITUTE(SUBSTITUTE(SUBSTITUTE(C314:C318," ",""),"0",""),"-","")))</f>
      </c>
      <c r="D313" s="18"/>
      <c r="E313" s="14" t="str">
        <f>SUMPRODUCT(LEN(SUBSTITUTE(SUBSTITUTE(SUBSTITUTE(E314:E318," ",""),"0",""),"-",""))+LEN(SUBSTITUTE(SUBSTITUTE(SUBSTITUTE(F314:F318," ",""),"0",""),"-","")))</f>
      </c>
      <c r="F313" s="14" t="str">
        <f>SUMPRODUCT((UPPER(D314:D318)&lt;&gt;"X")*((LEN(SUBSTITUTE(SUBSTITUTE(SUBSTITUTE(E314:E318," ",""),"0",""),"-",""))+LEN(SUBSTITUTE(SUBSTITUTE(SUBSTITUTE(F314:F318," ",""),"0",""),"-","")))&gt;(LEN(SUBSTITUTE(SUBSTITUTE(SUBSTITUTE(B314:B318," ",""),"0",""),"-",""))+LEN(SUBSTITUTE(SUBSTITUTE(SUBSTITUTE(C314:C318," ",""),"0",""),"-",""))))*1)</f>
      </c>
      <c r="G313" s="14" t="str">
        <f>'data'!$B$24</f>
      </c>
      <c r="I313" s="14" t="str">
        <f>'data'!$B$73</f>
      </c>
      <c r="J313" s="14" t="str">
        <f>SUMPRODUCT((UPPER(L314:L318)&lt;&gt;"X")*((LEN(SUBSTITUTE(SUBSTITUTE(SUBSTITUTE(J314:J318," ",""),"0",""),"-",""))+LEN(SUBSTITUTE(SUBSTITUTE(SUBSTITUTE(K314:K318," ",""),"0",""),"-","")))&gt;(LEN(SUBSTITUTE(SUBSTITUTE(SUBSTITUTE(M314:M318," ",""),"0",""),"-",""))+LEN(SUBSTITUTE(SUBSTITUTE(SUBSTITUTE(N314:N318," ",""),"0",""),"-",""))))*1)</f>
      </c>
      <c r="K313" s="14" t="str">
        <f>SUMPRODUCT(LEN(SUBSTITUTE(SUBSTITUTE(SUBSTITUTE(J314:J318," ",""),"0",""),"-",""))+LEN(SUBSTITUTE(SUBSTITUTE(SUBSTITUTE(K314:K318," ",""),"0",""),"-","")))</f>
      </c>
      <c r="L313" s="18"/>
      <c r="M313" s="14" t="str">
        <f>SUMPRODUCT(LEN(SUBSTITUTE(SUBSTITUTE(SUBSTITUTE(M314:M318," ",""),"0",""),"-",""))+LEN(SUBSTITUTE(SUBSTITUTE(SUBSTITUTE(N314:N318," ",""),"0",""),"-","")))</f>
      </c>
      <c r="N313" s="14" t="str">
        <f>SUMPRODUCT((UPPER(L314:L318)&lt;&gt;"X")*((LEN(SUBSTITUTE(SUBSTITUTE(SUBSTITUTE(M314:M318," ",""),"0",""),"-",""))+LEN(SUBSTITUTE(SUBSTITUTE(SUBSTITUTE(N314:N318," ",""),"0",""),"-","")))&gt;(LEN(SUBSTITUTE(SUBSTITUTE(SUBSTITUTE(J314:J318," ",""),"0",""),"-",""))+LEN(SUBSTITUTE(SUBSTITUTE(SUBSTITUTE(K314:K318," ",""),"0",""),"-",""))))*1)</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SUMPRODUCT((UPPER(D322:D326)&lt;&gt;"X")*((LEN(SUBSTITUTE(SUBSTITUTE(SUBSTITUTE(B322:B326," ",""),"0",""),"-",""))+LEN(SUBSTITUTE(SUBSTITUTE(SUBSTITUTE(C322:C326," ",""),"0",""),"-","")))&gt;(LEN(SUBSTITUTE(SUBSTITUTE(SUBSTITUTE(E322:E326," ",""),"0",""),"-",""))+LEN(SUBSTITUTE(SUBSTITUTE(SUBSTITUTE(F322:F326," ",""),"0",""),"-",""))))*1)</f>
      </c>
      <c r="C321" s="14" t="str">
        <f>SUMPRODUCT(LEN(SUBSTITUTE(SUBSTITUTE(SUBSTITUTE(B322:B326," ",""),"0",""),"-",""))+LEN(SUBSTITUTE(SUBSTITUTE(SUBSTITUTE(C322:C326," ",""),"0",""),"-","")))</f>
      </c>
      <c r="D321" s="18"/>
      <c r="E321" s="14" t="str">
        <f>SUMPRODUCT(LEN(SUBSTITUTE(SUBSTITUTE(SUBSTITUTE(E322:E326," ",""),"0",""),"-",""))+LEN(SUBSTITUTE(SUBSTITUTE(SUBSTITUTE(F322:F326," ",""),"0",""),"-","")))</f>
      </c>
      <c r="F321" s="14" t="str">
        <f>SUMPRODUCT((UPPER(D322:D326)&lt;&gt;"X")*((LEN(SUBSTITUTE(SUBSTITUTE(SUBSTITUTE(E322:E326," ",""),"0",""),"-",""))+LEN(SUBSTITUTE(SUBSTITUTE(SUBSTITUTE(F322:F326," ",""),"0",""),"-","")))&gt;(LEN(SUBSTITUTE(SUBSTITUTE(SUBSTITUTE(B322:B326," ",""),"0",""),"-",""))+LEN(SUBSTITUTE(SUBSTITUTE(SUBSTITUTE(C322:C326," ",""),"0",""),"-",""))))*1)</f>
      </c>
      <c r="G321" s="14" t="str">
        <f>'data'!$B$25</f>
      </c>
      <c r="I321" s="14" t="str">
        <f>'data'!$B$73</f>
      </c>
      <c r="J321" s="14" t="str">
        <f>SUMPRODUCT((UPPER(L322:L326)&lt;&gt;"X")*((LEN(SUBSTITUTE(SUBSTITUTE(SUBSTITUTE(J322:J326," ",""),"0",""),"-",""))+LEN(SUBSTITUTE(SUBSTITUTE(SUBSTITUTE(K322:K326," ",""),"0",""),"-","")))&gt;(LEN(SUBSTITUTE(SUBSTITUTE(SUBSTITUTE(M322:M326," ",""),"0",""),"-",""))+LEN(SUBSTITUTE(SUBSTITUTE(SUBSTITUTE(N322:N326," ",""),"0",""),"-",""))))*1)</f>
      </c>
      <c r="K321" s="14" t="str">
        <f>SUMPRODUCT(LEN(SUBSTITUTE(SUBSTITUTE(SUBSTITUTE(J322:J326," ",""),"0",""),"-",""))+LEN(SUBSTITUTE(SUBSTITUTE(SUBSTITUTE(K322:K326," ",""),"0",""),"-","")))</f>
      </c>
      <c r="L321" s="18"/>
      <c r="M321" s="14" t="str">
        <f>SUMPRODUCT(LEN(SUBSTITUTE(SUBSTITUTE(SUBSTITUTE(M322:M326," ",""),"0",""),"-",""))+LEN(SUBSTITUTE(SUBSTITUTE(SUBSTITUTE(N322:N326," ",""),"0",""),"-","")))</f>
      </c>
      <c r="N321" s="14" t="str">
        <f>SUMPRODUCT((UPPER(L322:L326)&lt;&gt;"X")*((LEN(SUBSTITUTE(SUBSTITUTE(SUBSTITUTE(M322:M326," ",""),"0",""),"-",""))+LEN(SUBSTITUTE(SUBSTITUTE(SUBSTITUTE(N322:N326," ",""),"0",""),"-","")))&gt;(LEN(SUBSTITUTE(SUBSTITUTE(SUBSTITUTE(J322:J326," ",""),"0",""),"-",""))+LEN(SUBSTITUTE(SUBSTITUTE(SUBSTITUTE(K322:K326," ",""),"0",""),"-",""))))*1)</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SUMPRODUCT((UPPER(D349:D353)&lt;&gt;"X")*((LEN(SUBSTITUTE(SUBSTITUTE(SUBSTITUTE(B349:B353," ",""),"0",""),"-",""))+LEN(SUBSTITUTE(SUBSTITUTE(SUBSTITUTE(C349:C353," ",""),"0",""),"-","")))&gt;(LEN(SUBSTITUTE(SUBSTITUTE(SUBSTITUTE(E349:E353," ",""),"0",""),"-",""))+LEN(SUBSTITUTE(SUBSTITUTE(SUBSTITUTE(F349:F353," ",""),"0",""),"-",""))))*1)</f>
      </c>
      <c r="C348" s="14" t="str">
        <f>SUMPRODUCT(LEN(SUBSTITUTE(SUBSTITUTE(SUBSTITUTE(B349:B353," ",""),"0",""),"-",""))+LEN(SUBSTITUTE(SUBSTITUTE(SUBSTITUTE(C349:C353," ",""),"0",""),"-","")))</f>
      </c>
      <c r="D348" s="18"/>
      <c r="E348" s="14" t="str">
        <f>SUMPRODUCT(LEN(SUBSTITUTE(SUBSTITUTE(SUBSTITUTE(E349:E353," ",""),"0",""),"-",""))+LEN(SUBSTITUTE(SUBSTITUTE(SUBSTITUTE(F349:F353," ",""),"0",""),"-","")))</f>
      </c>
      <c r="F348" s="14" t="str">
        <f>SUMPRODUCT((UPPER(D349:D353)&lt;&gt;"X")*((LEN(SUBSTITUTE(SUBSTITUTE(SUBSTITUTE(E349:E353," ",""),"0",""),"-",""))+LEN(SUBSTITUTE(SUBSTITUTE(SUBSTITUTE(F349:F353," ",""),"0",""),"-","")))&gt;(LEN(SUBSTITUTE(SUBSTITUTE(SUBSTITUTE(B349:B353," ",""),"0",""),"-",""))+LEN(SUBSTITUTE(SUBSTITUTE(SUBSTITUTE(C349:C353," ",""),"0",""),"-",""))))*1)</f>
      </c>
      <c r="G348" s="14" t="str">
        <f>'data'!$B$27</f>
      </c>
      <c r="I348" s="14" t="str">
        <f>'data'!$B$75</f>
      </c>
      <c r="J348" s="14" t="str">
        <f>SUMPRODUCT((UPPER(L349:L353)&lt;&gt;"X")*((LEN(SUBSTITUTE(SUBSTITUTE(SUBSTITUTE(J349:J353," ",""),"0",""),"-",""))+LEN(SUBSTITUTE(SUBSTITUTE(SUBSTITUTE(K349:K353," ",""),"0",""),"-","")))&gt;(LEN(SUBSTITUTE(SUBSTITUTE(SUBSTITUTE(M349:M353," ",""),"0",""),"-",""))+LEN(SUBSTITUTE(SUBSTITUTE(SUBSTITUTE(N349:N353," ",""),"0",""),"-",""))))*1)</f>
      </c>
      <c r="K348" s="14" t="str">
        <f>SUMPRODUCT(LEN(SUBSTITUTE(SUBSTITUTE(SUBSTITUTE(J349:J353," ",""),"0",""),"-",""))+LEN(SUBSTITUTE(SUBSTITUTE(SUBSTITUTE(K349:K353," ",""),"0",""),"-","")))</f>
      </c>
      <c r="L348" s="18"/>
      <c r="M348" s="14" t="str">
        <f>SUMPRODUCT(LEN(SUBSTITUTE(SUBSTITUTE(SUBSTITUTE(M349:M353," ",""),"0",""),"-",""))+LEN(SUBSTITUTE(SUBSTITUTE(SUBSTITUTE(N349:N353," ",""),"0",""),"-","")))</f>
      </c>
      <c r="N348" s="14" t="str">
        <f>SUMPRODUCT((UPPER(L349:L353)&lt;&gt;"X")*((LEN(SUBSTITUTE(SUBSTITUTE(SUBSTITUTE(M349:M353," ",""),"0",""),"-",""))+LEN(SUBSTITUTE(SUBSTITUTE(SUBSTITUTE(N349:N353," ",""),"0",""),"-","")))&gt;(LEN(SUBSTITUTE(SUBSTITUTE(SUBSTITUTE(J349:J353," ",""),"0",""),"-",""))+LEN(SUBSTITUTE(SUBSTITUTE(SUBSTITUTE(K349:K353," ",""),"0",""),"-",""))))*1)</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SUMPRODUCT((UPPER(D357:D361)&lt;&gt;"X")*((LEN(SUBSTITUTE(SUBSTITUTE(SUBSTITUTE(B357:B361," ",""),"0",""),"-",""))+LEN(SUBSTITUTE(SUBSTITUTE(SUBSTITUTE(C357:C361," ",""),"0",""),"-","")))&gt;(LEN(SUBSTITUTE(SUBSTITUTE(SUBSTITUTE(E357:E361," ",""),"0",""),"-",""))+LEN(SUBSTITUTE(SUBSTITUTE(SUBSTITUTE(F357:F361," ",""),"0",""),"-",""))))*1)</f>
      </c>
      <c r="C356" s="14" t="str">
        <f>SUMPRODUCT(LEN(SUBSTITUTE(SUBSTITUTE(SUBSTITUTE(B357:B361," ",""),"0",""),"-",""))+LEN(SUBSTITUTE(SUBSTITUTE(SUBSTITUTE(C357:C361," ",""),"0",""),"-","")))</f>
      </c>
      <c r="D356" s="18"/>
      <c r="E356" s="14" t="str">
        <f>SUMPRODUCT(LEN(SUBSTITUTE(SUBSTITUTE(SUBSTITUTE(E357:E361," ",""),"0",""),"-",""))+LEN(SUBSTITUTE(SUBSTITUTE(SUBSTITUTE(F357:F361," ",""),"0",""),"-","")))</f>
      </c>
      <c r="F356" s="14" t="str">
        <f>SUMPRODUCT((UPPER(D357:D361)&lt;&gt;"X")*((LEN(SUBSTITUTE(SUBSTITUTE(SUBSTITUTE(E357:E361," ",""),"0",""),"-",""))+LEN(SUBSTITUTE(SUBSTITUTE(SUBSTITUTE(F357:F361," ",""),"0",""),"-","")))&gt;(LEN(SUBSTITUTE(SUBSTITUTE(SUBSTITUTE(B357:B361," ",""),"0",""),"-",""))+LEN(SUBSTITUTE(SUBSTITUTE(SUBSTITUTE(C357:C361," ",""),"0",""),"-",""))))*1)</f>
      </c>
      <c r="G356" s="14" t="str">
        <f>'data'!$B$27</f>
      </c>
      <c r="I356" s="14" t="str">
        <f>'data'!$B$76</f>
      </c>
      <c r="J356" s="14" t="str">
        <f>SUMPRODUCT((UPPER(L357:L361)&lt;&gt;"X")*((LEN(SUBSTITUTE(SUBSTITUTE(SUBSTITUTE(J357:J361," ",""),"0",""),"-",""))+LEN(SUBSTITUTE(SUBSTITUTE(SUBSTITUTE(K357:K361," ",""),"0",""),"-","")))&gt;(LEN(SUBSTITUTE(SUBSTITUTE(SUBSTITUTE(M357:M361," ",""),"0",""),"-",""))+LEN(SUBSTITUTE(SUBSTITUTE(SUBSTITUTE(N357:N361," ",""),"0",""),"-",""))))*1)</f>
      </c>
      <c r="K356" s="14" t="str">
        <f>SUMPRODUCT(LEN(SUBSTITUTE(SUBSTITUTE(SUBSTITUTE(J357:J361," ",""),"0",""),"-",""))+LEN(SUBSTITUTE(SUBSTITUTE(SUBSTITUTE(K357:K361," ",""),"0",""),"-","")))</f>
      </c>
      <c r="L356" s="18"/>
      <c r="M356" s="14" t="str">
        <f>SUMPRODUCT(LEN(SUBSTITUTE(SUBSTITUTE(SUBSTITUTE(M357:M361," ",""),"0",""),"-",""))+LEN(SUBSTITUTE(SUBSTITUTE(SUBSTITUTE(N357:N361," ",""),"0",""),"-","")))</f>
      </c>
      <c r="N356" s="14" t="str">
        <f>SUMPRODUCT((UPPER(L357:L361)&lt;&gt;"X")*((LEN(SUBSTITUTE(SUBSTITUTE(SUBSTITUTE(M357:M361," ",""),"0",""),"-",""))+LEN(SUBSTITUTE(SUBSTITUTE(SUBSTITUTE(N357:N361," ",""),"0",""),"-","")))&gt;(LEN(SUBSTITUTE(SUBSTITUTE(SUBSTITUTE(J357:J361," ",""),"0",""),"-",""))+LEN(SUBSTITUTE(SUBSTITUTE(SUBSTITUTE(K357:K361," ",""),"0",""),"-",""))))*1)</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SUMPRODUCT((UPPER(D365:D369)&lt;&gt;"X")*((LEN(SUBSTITUTE(SUBSTITUTE(SUBSTITUTE(B365:B369," ",""),"0",""),"-",""))+LEN(SUBSTITUTE(SUBSTITUTE(SUBSTITUTE(C365:C369," ",""),"0",""),"-","")))&gt;(LEN(SUBSTITUTE(SUBSTITUTE(SUBSTITUTE(E365:E369," ",""),"0",""),"-",""))+LEN(SUBSTITUTE(SUBSTITUTE(SUBSTITUTE(F365:F369," ",""),"0",""),"-",""))))*1)</f>
      </c>
      <c r="C364" s="14" t="str">
        <f>SUMPRODUCT(LEN(SUBSTITUTE(SUBSTITUTE(SUBSTITUTE(B365:B369," ",""),"0",""),"-",""))+LEN(SUBSTITUTE(SUBSTITUTE(SUBSTITUTE(C365:C369," ",""),"0",""),"-","")))</f>
      </c>
      <c r="D364" s="18"/>
      <c r="E364" s="14" t="str">
        <f>SUMPRODUCT(LEN(SUBSTITUTE(SUBSTITUTE(SUBSTITUTE(E365:E369," ",""),"0",""),"-",""))+LEN(SUBSTITUTE(SUBSTITUTE(SUBSTITUTE(F365:F369," ",""),"0",""),"-","")))</f>
      </c>
      <c r="F364" s="14" t="str">
        <f>SUMPRODUCT((UPPER(D365:D369)&lt;&gt;"X")*((LEN(SUBSTITUTE(SUBSTITUTE(SUBSTITUTE(E365:E369," ",""),"0",""),"-",""))+LEN(SUBSTITUTE(SUBSTITUTE(SUBSTITUTE(F365:F369," ",""),"0",""),"-","")))&gt;(LEN(SUBSTITUTE(SUBSTITUTE(SUBSTITUTE(B365:B369," ",""),"0",""),"-",""))+LEN(SUBSTITUTE(SUBSTITUTE(SUBSTITUTE(C365:C369," ",""),"0",""),"-",""))))*1)</f>
      </c>
      <c r="G364" s="14" t="str">
        <f>'data'!$B$28</f>
      </c>
      <c r="I364" s="14" t="str">
        <f>'data'!$B$76</f>
      </c>
      <c r="J364" s="14" t="str">
        <f>SUMPRODUCT((UPPER(L365:L369)&lt;&gt;"X")*((LEN(SUBSTITUTE(SUBSTITUTE(SUBSTITUTE(J365:J369," ",""),"0",""),"-",""))+LEN(SUBSTITUTE(SUBSTITUTE(SUBSTITUTE(K365:K369," ",""),"0",""),"-","")))&gt;(LEN(SUBSTITUTE(SUBSTITUTE(SUBSTITUTE(M365:M369," ",""),"0",""),"-",""))+LEN(SUBSTITUTE(SUBSTITUTE(SUBSTITUTE(N365:N369," ",""),"0",""),"-",""))))*1)</f>
      </c>
      <c r="K364" s="14" t="str">
        <f>SUMPRODUCT(LEN(SUBSTITUTE(SUBSTITUTE(SUBSTITUTE(J365:J369," ",""),"0",""),"-",""))+LEN(SUBSTITUTE(SUBSTITUTE(SUBSTITUTE(K365:K369," ",""),"0",""),"-","")))</f>
      </c>
      <c r="L364" s="18"/>
      <c r="M364" s="14" t="str">
        <f>SUMPRODUCT(LEN(SUBSTITUTE(SUBSTITUTE(SUBSTITUTE(M365:M369," ",""),"0",""),"-",""))+LEN(SUBSTITUTE(SUBSTITUTE(SUBSTITUTE(N365:N369," ",""),"0",""),"-","")))</f>
      </c>
      <c r="N364" s="14" t="str">
        <f>SUMPRODUCT((UPPER(L365:L369)&lt;&gt;"X")*((LEN(SUBSTITUTE(SUBSTITUTE(SUBSTITUTE(M365:M369," ",""),"0",""),"-",""))+LEN(SUBSTITUTE(SUBSTITUTE(SUBSTITUTE(N365:N369," ",""),"0",""),"-","")))&gt;(LEN(SUBSTITUTE(SUBSTITUTE(SUBSTITUTE(J365:J369," ",""),"0",""),"-",""))+LEN(SUBSTITUTE(SUBSTITUTE(SUBSTITUTE(K365:K369," ",""),"0",""),"-",""))))*1)</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SUMPRODUCT((UPPER(D392:D396)&lt;&gt;"X")*((LEN(SUBSTITUTE(SUBSTITUTE(SUBSTITUTE(B392:B396," ",""),"0",""),"-",""))+LEN(SUBSTITUTE(SUBSTITUTE(SUBSTITUTE(C392:C396," ",""),"0",""),"-","")))&gt;(LEN(SUBSTITUTE(SUBSTITUTE(SUBSTITUTE(E392:E396," ",""),"0",""),"-",""))+LEN(SUBSTITUTE(SUBSTITUTE(SUBSTITUTE(F392:F396," ",""),"0",""),"-",""))))*1)</f>
      </c>
      <c r="C391" s="14" t="str">
        <f>SUMPRODUCT(LEN(SUBSTITUTE(SUBSTITUTE(SUBSTITUTE(B392:B396," ",""),"0",""),"-",""))+LEN(SUBSTITUTE(SUBSTITUTE(SUBSTITUTE(C392:C396," ",""),"0",""),"-","")))</f>
      </c>
      <c r="D391" s="18"/>
      <c r="E391" s="14" t="str">
        <f>SUMPRODUCT(LEN(SUBSTITUTE(SUBSTITUTE(SUBSTITUTE(E392:E396," ",""),"0",""),"-",""))+LEN(SUBSTITUTE(SUBSTITUTE(SUBSTITUTE(F392:F396," ",""),"0",""),"-","")))</f>
      </c>
      <c r="F391" s="14" t="str">
        <f>SUMPRODUCT((UPPER(D392:D396)&lt;&gt;"X")*((LEN(SUBSTITUTE(SUBSTITUTE(SUBSTITUTE(E392:E396," ",""),"0",""),"-",""))+LEN(SUBSTITUTE(SUBSTITUTE(SUBSTITUTE(F392:F396," ",""),"0",""),"-","")))&gt;(LEN(SUBSTITUTE(SUBSTITUTE(SUBSTITUTE(B392:B396," ",""),"0",""),"-",""))+LEN(SUBSTITUTE(SUBSTITUTE(SUBSTITUTE(C392:C396," ",""),"0",""),"-",""))))*1)</f>
      </c>
      <c r="G391" s="14" t="str">
        <f>'data'!$B$30</f>
      </c>
      <c r="I391" s="14" t="str">
        <f>'data'!$B$78</f>
      </c>
      <c r="J391" s="14" t="str">
        <f>SUMPRODUCT((UPPER(L392:L396)&lt;&gt;"X")*((LEN(SUBSTITUTE(SUBSTITUTE(SUBSTITUTE(J392:J396," ",""),"0",""),"-",""))+LEN(SUBSTITUTE(SUBSTITUTE(SUBSTITUTE(K392:K396," ",""),"0",""),"-","")))&gt;(LEN(SUBSTITUTE(SUBSTITUTE(SUBSTITUTE(M392:M396," ",""),"0",""),"-",""))+LEN(SUBSTITUTE(SUBSTITUTE(SUBSTITUTE(N392:N396," ",""),"0",""),"-",""))))*1)</f>
      </c>
      <c r="K391" s="14" t="str">
        <f>SUMPRODUCT(LEN(SUBSTITUTE(SUBSTITUTE(SUBSTITUTE(J392:J396," ",""),"0",""),"-",""))+LEN(SUBSTITUTE(SUBSTITUTE(SUBSTITUTE(K392:K396," ",""),"0",""),"-","")))</f>
      </c>
      <c r="L391" s="18"/>
      <c r="M391" s="14" t="str">
        <f>SUMPRODUCT(LEN(SUBSTITUTE(SUBSTITUTE(SUBSTITUTE(M392:M396," ",""),"0",""),"-",""))+LEN(SUBSTITUTE(SUBSTITUTE(SUBSTITUTE(N392:N396," ",""),"0",""),"-","")))</f>
      </c>
      <c r="N391" s="14" t="str">
        <f>SUMPRODUCT((UPPER(L392:L396)&lt;&gt;"X")*((LEN(SUBSTITUTE(SUBSTITUTE(SUBSTITUTE(M392:M396," ",""),"0",""),"-",""))+LEN(SUBSTITUTE(SUBSTITUTE(SUBSTITUTE(N392:N396," ",""),"0",""),"-","")))&gt;(LEN(SUBSTITUTE(SUBSTITUTE(SUBSTITUTE(J392:J396," ",""),"0",""),"-",""))+LEN(SUBSTITUTE(SUBSTITUTE(SUBSTITUTE(K392:K396," ",""),"0",""),"-",""))))*1)</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SUMPRODUCT((UPPER(D400:D404)&lt;&gt;"X")*((LEN(SUBSTITUTE(SUBSTITUTE(SUBSTITUTE(B400:B404," ",""),"0",""),"-",""))+LEN(SUBSTITUTE(SUBSTITUTE(SUBSTITUTE(C400:C404," ",""),"0",""),"-","")))&gt;(LEN(SUBSTITUTE(SUBSTITUTE(SUBSTITUTE(E400:E404," ",""),"0",""),"-",""))+LEN(SUBSTITUTE(SUBSTITUTE(SUBSTITUTE(F400:F404," ",""),"0",""),"-",""))))*1)</f>
      </c>
      <c r="C399" s="14" t="str">
        <f>SUMPRODUCT(LEN(SUBSTITUTE(SUBSTITUTE(SUBSTITUTE(B400:B404," ",""),"0",""),"-",""))+LEN(SUBSTITUTE(SUBSTITUTE(SUBSTITUTE(C400:C404," ",""),"0",""),"-","")))</f>
      </c>
      <c r="D399" s="18"/>
      <c r="E399" s="14" t="str">
        <f>SUMPRODUCT(LEN(SUBSTITUTE(SUBSTITUTE(SUBSTITUTE(E400:E404," ",""),"0",""),"-",""))+LEN(SUBSTITUTE(SUBSTITUTE(SUBSTITUTE(F400:F404," ",""),"0",""),"-","")))</f>
      </c>
      <c r="F399" s="14" t="str">
        <f>SUMPRODUCT((UPPER(D400:D404)&lt;&gt;"X")*((LEN(SUBSTITUTE(SUBSTITUTE(SUBSTITUTE(E400:E404," ",""),"0",""),"-",""))+LEN(SUBSTITUTE(SUBSTITUTE(SUBSTITUTE(F400:F404," ",""),"0",""),"-","")))&gt;(LEN(SUBSTITUTE(SUBSTITUTE(SUBSTITUTE(B400:B404," ",""),"0",""),"-",""))+LEN(SUBSTITUTE(SUBSTITUTE(SUBSTITUTE(C400:C404," ",""),"0",""),"-",""))))*1)</f>
      </c>
      <c r="G399" s="14" t="str">
        <f>'data'!$B$30</f>
      </c>
      <c r="I399" s="14" t="str">
        <f>'data'!$B$79</f>
      </c>
      <c r="J399" s="14" t="str">
        <f>SUMPRODUCT((UPPER(L400:L404)&lt;&gt;"X")*((LEN(SUBSTITUTE(SUBSTITUTE(SUBSTITUTE(J400:J404," ",""),"0",""),"-",""))+LEN(SUBSTITUTE(SUBSTITUTE(SUBSTITUTE(K400:K404," ",""),"0",""),"-","")))&gt;(LEN(SUBSTITUTE(SUBSTITUTE(SUBSTITUTE(M400:M404," ",""),"0",""),"-",""))+LEN(SUBSTITUTE(SUBSTITUTE(SUBSTITUTE(N400:N404," ",""),"0",""),"-",""))))*1)</f>
      </c>
      <c r="K399" s="14" t="str">
        <f>SUMPRODUCT(LEN(SUBSTITUTE(SUBSTITUTE(SUBSTITUTE(J400:J404," ",""),"0",""),"-",""))+LEN(SUBSTITUTE(SUBSTITUTE(SUBSTITUTE(K400:K404," ",""),"0",""),"-","")))</f>
      </c>
      <c r="L399" s="18"/>
      <c r="M399" s="14" t="str">
        <f>SUMPRODUCT(LEN(SUBSTITUTE(SUBSTITUTE(SUBSTITUTE(M400:M404," ",""),"0",""),"-",""))+LEN(SUBSTITUTE(SUBSTITUTE(SUBSTITUTE(N400:N404," ",""),"0",""),"-","")))</f>
      </c>
      <c r="N399" s="14" t="str">
        <f>SUMPRODUCT((UPPER(L400:L404)&lt;&gt;"X")*((LEN(SUBSTITUTE(SUBSTITUTE(SUBSTITUTE(M400:M404," ",""),"0",""),"-",""))+LEN(SUBSTITUTE(SUBSTITUTE(SUBSTITUTE(N400:N404," ",""),"0",""),"-","")))&gt;(LEN(SUBSTITUTE(SUBSTITUTE(SUBSTITUTE(J400:J404," ",""),"0",""),"-",""))+LEN(SUBSTITUTE(SUBSTITUTE(SUBSTITUTE(K400:K404," ",""),"0",""),"-",""))))*1)</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SUMPRODUCT((UPPER(D408:D412)&lt;&gt;"X")*((LEN(SUBSTITUTE(SUBSTITUTE(SUBSTITUTE(B408:B412," ",""),"0",""),"-",""))+LEN(SUBSTITUTE(SUBSTITUTE(SUBSTITUTE(C408:C412," ",""),"0",""),"-","")))&gt;(LEN(SUBSTITUTE(SUBSTITUTE(SUBSTITUTE(E408:E412," ",""),"0",""),"-",""))+LEN(SUBSTITUTE(SUBSTITUTE(SUBSTITUTE(F408:F412," ",""),"0",""),"-",""))))*1)</f>
      </c>
      <c r="C407" s="14" t="str">
        <f>SUMPRODUCT(LEN(SUBSTITUTE(SUBSTITUTE(SUBSTITUTE(B408:B412," ",""),"0",""),"-",""))+LEN(SUBSTITUTE(SUBSTITUTE(SUBSTITUTE(C408:C412," ",""),"0",""),"-","")))</f>
      </c>
      <c r="D407" s="18"/>
      <c r="E407" s="14" t="str">
        <f>SUMPRODUCT(LEN(SUBSTITUTE(SUBSTITUTE(SUBSTITUTE(E408:E412," ",""),"0",""),"-",""))+LEN(SUBSTITUTE(SUBSTITUTE(SUBSTITUTE(F408:F412," ",""),"0",""),"-","")))</f>
      </c>
      <c r="F407" s="14" t="str">
        <f>SUMPRODUCT((UPPER(D408:D412)&lt;&gt;"X")*((LEN(SUBSTITUTE(SUBSTITUTE(SUBSTITUTE(E408:E412," ",""),"0",""),"-",""))+LEN(SUBSTITUTE(SUBSTITUTE(SUBSTITUTE(F408:F412," ",""),"0",""),"-","")))&gt;(LEN(SUBSTITUTE(SUBSTITUTE(SUBSTITUTE(B408:B412," ",""),"0",""),"-",""))+LEN(SUBSTITUTE(SUBSTITUTE(SUBSTITUTE(C408:C412," ",""),"0",""),"-",""))))*1)</f>
      </c>
      <c r="G407" s="14" t="str">
        <f>'data'!$B$31</f>
      </c>
      <c r="I407" s="14" t="str">
        <f>'data'!$B$79</f>
      </c>
      <c r="J407" s="14" t="str">
        <f>SUMPRODUCT((UPPER(L408:L412)&lt;&gt;"X")*((LEN(SUBSTITUTE(SUBSTITUTE(SUBSTITUTE(J408:J412," ",""),"0",""),"-",""))+LEN(SUBSTITUTE(SUBSTITUTE(SUBSTITUTE(K408:K412," ",""),"0",""),"-","")))&gt;(LEN(SUBSTITUTE(SUBSTITUTE(SUBSTITUTE(M408:M412," ",""),"0",""),"-",""))+LEN(SUBSTITUTE(SUBSTITUTE(SUBSTITUTE(N408:N412," ",""),"0",""),"-",""))))*1)</f>
      </c>
      <c r="K407" s="14" t="str">
        <f>SUMPRODUCT(LEN(SUBSTITUTE(SUBSTITUTE(SUBSTITUTE(J408:J412," ",""),"0",""),"-",""))+LEN(SUBSTITUTE(SUBSTITUTE(SUBSTITUTE(K408:K412," ",""),"0",""),"-","")))</f>
      </c>
      <c r="L407" s="18"/>
      <c r="M407" s="14" t="str">
        <f>SUMPRODUCT(LEN(SUBSTITUTE(SUBSTITUTE(SUBSTITUTE(M408:M412," ",""),"0",""),"-",""))+LEN(SUBSTITUTE(SUBSTITUTE(SUBSTITUTE(N408:N412," ",""),"0",""),"-","")))</f>
      </c>
      <c r="N407" s="14" t="str">
        <f>SUMPRODUCT((UPPER(L408:L412)&lt;&gt;"X")*((LEN(SUBSTITUTE(SUBSTITUTE(SUBSTITUTE(M408:M412," ",""),"0",""),"-",""))+LEN(SUBSTITUTE(SUBSTITUTE(SUBSTITUTE(N408:N412," ",""),"0",""),"-","")))&gt;(LEN(SUBSTITUTE(SUBSTITUTE(SUBSTITUTE(J408:J412," ",""),"0",""),"-",""))+LEN(SUBSTITUTE(SUBSTITUTE(SUBSTITUTE(K408:K412," ",""),"0",""),"-",""))))*1)</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SUMPRODUCT((UPPER(D435:D439)&lt;&gt;"X")*((LEN(SUBSTITUTE(SUBSTITUTE(SUBSTITUTE(B435:B439," ",""),"0",""),"-",""))+LEN(SUBSTITUTE(SUBSTITUTE(SUBSTITUTE(C435:C439," ",""),"0",""),"-","")))&gt;(LEN(SUBSTITUTE(SUBSTITUTE(SUBSTITUTE(E435:E439," ",""),"0",""),"-",""))+LEN(SUBSTITUTE(SUBSTITUTE(SUBSTITUTE(F435:F439," ",""),"0",""),"-",""))))*1)</f>
      </c>
      <c r="C434" s="14" t="str">
        <f>SUMPRODUCT(LEN(SUBSTITUTE(SUBSTITUTE(SUBSTITUTE(B435:B439," ",""),"0",""),"-",""))+LEN(SUBSTITUTE(SUBSTITUTE(SUBSTITUTE(C435:C439," ",""),"0",""),"-","")))</f>
      </c>
      <c r="D434" s="18"/>
      <c r="E434" s="14" t="str">
        <f>SUMPRODUCT(LEN(SUBSTITUTE(SUBSTITUTE(SUBSTITUTE(E435:E439," ",""),"0",""),"-",""))+LEN(SUBSTITUTE(SUBSTITUTE(SUBSTITUTE(F435:F439," ",""),"0",""),"-","")))</f>
      </c>
      <c r="F434" s="14" t="str">
        <f>SUMPRODUCT((UPPER(D435:D439)&lt;&gt;"X")*((LEN(SUBSTITUTE(SUBSTITUTE(SUBSTITUTE(E435:E439," ",""),"0",""),"-",""))+LEN(SUBSTITUTE(SUBSTITUTE(SUBSTITUTE(F435:F439," ",""),"0",""),"-","")))&gt;(LEN(SUBSTITUTE(SUBSTITUTE(SUBSTITUTE(B435:B439," ",""),"0",""),"-",""))+LEN(SUBSTITUTE(SUBSTITUTE(SUBSTITUTE(C435:C439," ",""),"0",""),"-",""))))*1)</f>
      </c>
      <c r="G434" s="14" t="str">
        <f>'data'!$B$33</f>
      </c>
      <c r="I434" s="14" t="str">
        <f>'data'!$B$81</f>
      </c>
      <c r="J434" s="14" t="str">
        <f>SUMPRODUCT((UPPER(L435:L439)&lt;&gt;"X")*((LEN(SUBSTITUTE(SUBSTITUTE(SUBSTITUTE(J435:J439," ",""),"0",""),"-",""))+LEN(SUBSTITUTE(SUBSTITUTE(SUBSTITUTE(K435:K439," ",""),"0",""),"-","")))&gt;(LEN(SUBSTITUTE(SUBSTITUTE(SUBSTITUTE(M435:M439," ",""),"0",""),"-",""))+LEN(SUBSTITUTE(SUBSTITUTE(SUBSTITUTE(N435:N439," ",""),"0",""),"-",""))))*1)</f>
      </c>
      <c r="K434" s="14" t="str">
        <f>SUMPRODUCT(LEN(SUBSTITUTE(SUBSTITUTE(SUBSTITUTE(J435:J439," ",""),"0",""),"-",""))+LEN(SUBSTITUTE(SUBSTITUTE(SUBSTITUTE(K435:K439," ",""),"0",""),"-","")))</f>
      </c>
      <c r="L434" s="18"/>
      <c r="M434" s="14" t="str">
        <f>SUMPRODUCT(LEN(SUBSTITUTE(SUBSTITUTE(SUBSTITUTE(M435:M439," ",""),"0",""),"-",""))+LEN(SUBSTITUTE(SUBSTITUTE(SUBSTITUTE(N435:N439," ",""),"0",""),"-","")))</f>
      </c>
      <c r="N434" s="14" t="str">
        <f>SUMPRODUCT((UPPER(L435:L439)&lt;&gt;"X")*((LEN(SUBSTITUTE(SUBSTITUTE(SUBSTITUTE(M435:M439," ",""),"0",""),"-",""))+LEN(SUBSTITUTE(SUBSTITUTE(SUBSTITUTE(N435:N439," ",""),"0",""),"-","")))&gt;(LEN(SUBSTITUTE(SUBSTITUTE(SUBSTITUTE(J435:J439," ",""),"0",""),"-",""))+LEN(SUBSTITUTE(SUBSTITUTE(SUBSTITUTE(K435:K439," ",""),"0",""),"-",""))))*1)</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SUMPRODUCT((UPPER(D443:D447)&lt;&gt;"X")*((LEN(SUBSTITUTE(SUBSTITUTE(SUBSTITUTE(B443:B447," ",""),"0",""),"-",""))+LEN(SUBSTITUTE(SUBSTITUTE(SUBSTITUTE(C443:C447," ",""),"0",""),"-","")))&gt;(LEN(SUBSTITUTE(SUBSTITUTE(SUBSTITUTE(E443:E447," ",""),"0",""),"-",""))+LEN(SUBSTITUTE(SUBSTITUTE(SUBSTITUTE(F443:F447," ",""),"0",""),"-",""))))*1)</f>
      </c>
      <c r="C442" s="14" t="str">
        <f>SUMPRODUCT(LEN(SUBSTITUTE(SUBSTITUTE(SUBSTITUTE(B443:B447," ",""),"0",""),"-",""))+LEN(SUBSTITUTE(SUBSTITUTE(SUBSTITUTE(C443:C447," ",""),"0",""),"-","")))</f>
      </c>
      <c r="D442" s="18"/>
      <c r="E442" s="14" t="str">
        <f>SUMPRODUCT(LEN(SUBSTITUTE(SUBSTITUTE(SUBSTITUTE(E443:E447," ",""),"0",""),"-",""))+LEN(SUBSTITUTE(SUBSTITUTE(SUBSTITUTE(F443:F447," ",""),"0",""),"-","")))</f>
      </c>
      <c r="F442" s="14" t="str">
        <f>SUMPRODUCT((UPPER(D443:D447)&lt;&gt;"X")*((LEN(SUBSTITUTE(SUBSTITUTE(SUBSTITUTE(E443:E447," ",""),"0",""),"-",""))+LEN(SUBSTITUTE(SUBSTITUTE(SUBSTITUTE(F443:F447," ",""),"0",""),"-","")))&gt;(LEN(SUBSTITUTE(SUBSTITUTE(SUBSTITUTE(B443:B447," ",""),"0",""),"-",""))+LEN(SUBSTITUTE(SUBSTITUTE(SUBSTITUTE(C443:C447," ",""),"0",""),"-",""))))*1)</f>
      </c>
      <c r="G442" s="14" t="str">
        <f>'data'!$B$33</f>
      </c>
      <c r="I442" s="14" t="str">
        <f>'data'!$B$82</f>
      </c>
      <c r="J442" s="14" t="str">
        <f>SUMPRODUCT((UPPER(L443:L447)&lt;&gt;"X")*((LEN(SUBSTITUTE(SUBSTITUTE(SUBSTITUTE(J443:J447," ",""),"0",""),"-",""))+LEN(SUBSTITUTE(SUBSTITUTE(SUBSTITUTE(K443:K447," ",""),"0",""),"-","")))&gt;(LEN(SUBSTITUTE(SUBSTITUTE(SUBSTITUTE(M443:M447," ",""),"0",""),"-",""))+LEN(SUBSTITUTE(SUBSTITUTE(SUBSTITUTE(N443:N447," ",""),"0",""),"-",""))))*1)</f>
      </c>
      <c r="K442" s="14" t="str">
        <f>SUMPRODUCT(LEN(SUBSTITUTE(SUBSTITUTE(SUBSTITUTE(J443:J447," ",""),"0",""),"-",""))+LEN(SUBSTITUTE(SUBSTITUTE(SUBSTITUTE(K443:K447," ",""),"0",""),"-","")))</f>
      </c>
      <c r="L442" s="18"/>
      <c r="M442" s="14" t="str">
        <f>SUMPRODUCT(LEN(SUBSTITUTE(SUBSTITUTE(SUBSTITUTE(M443:M447," ",""),"0",""),"-",""))+LEN(SUBSTITUTE(SUBSTITUTE(SUBSTITUTE(N443:N447," ",""),"0",""),"-","")))</f>
      </c>
      <c r="N442" s="14" t="str">
        <f>SUMPRODUCT((UPPER(L443:L447)&lt;&gt;"X")*((LEN(SUBSTITUTE(SUBSTITUTE(SUBSTITUTE(M443:M447," ",""),"0",""),"-",""))+LEN(SUBSTITUTE(SUBSTITUTE(SUBSTITUTE(N443:N447," ",""),"0",""),"-","")))&gt;(LEN(SUBSTITUTE(SUBSTITUTE(SUBSTITUTE(J443:J447," ",""),"0",""),"-",""))+LEN(SUBSTITUTE(SUBSTITUTE(SUBSTITUTE(K443:K447," ",""),"0",""),"-",""))))*1)</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SUMPRODUCT((UPPER(D451:D455)&lt;&gt;"X")*((LEN(SUBSTITUTE(SUBSTITUTE(SUBSTITUTE(B451:B455," ",""),"0",""),"-",""))+LEN(SUBSTITUTE(SUBSTITUTE(SUBSTITUTE(C451:C455," ",""),"0",""),"-","")))&gt;(LEN(SUBSTITUTE(SUBSTITUTE(SUBSTITUTE(E451:E455," ",""),"0",""),"-",""))+LEN(SUBSTITUTE(SUBSTITUTE(SUBSTITUTE(F451:F455," ",""),"0",""),"-",""))))*1)</f>
      </c>
      <c r="C450" s="14" t="str">
        <f>SUMPRODUCT(LEN(SUBSTITUTE(SUBSTITUTE(SUBSTITUTE(B451:B455," ",""),"0",""),"-",""))+LEN(SUBSTITUTE(SUBSTITUTE(SUBSTITUTE(C451:C455," ",""),"0",""),"-","")))</f>
      </c>
      <c r="D450" s="18"/>
      <c r="E450" s="14" t="str">
        <f>SUMPRODUCT(LEN(SUBSTITUTE(SUBSTITUTE(SUBSTITUTE(E451:E455," ",""),"0",""),"-",""))+LEN(SUBSTITUTE(SUBSTITUTE(SUBSTITUTE(F451:F455," ",""),"0",""),"-","")))</f>
      </c>
      <c r="F450" s="14" t="str">
        <f>SUMPRODUCT((UPPER(D451:D455)&lt;&gt;"X")*((LEN(SUBSTITUTE(SUBSTITUTE(SUBSTITUTE(E451:E455," ",""),"0",""),"-",""))+LEN(SUBSTITUTE(SUBSTITUTE(SUBSTITUTE(F451:F455," ",""),"0",""),"-","")))&gt;(LEN(SUBSTITUTE(SUBSTITUTE(SUBSTITUTE(B451:B455," ",""),"0",""),"-",""))+LEN(SUBSTITUTE(SUBSTITUTE(SUBSTITUTE(C451:C455," ",""),"0",""),"-",""))))*1)</f>
      </c>
      <c r="G450" s="14" t="str">
        <f>'data'!$B$34</f>
      </c>
      <c r="I450" s="14" t="str">
        <f>'data'!$B$82</f>
      </c>
      <c r="J450" s="14" t="str">
        <f>SUMPRODUCT((UPPER(L451:L455)&lt;&gt;"X")*((LEN(SUBSTITUTE(SUBSTITUTE(SUBSTITUTE(J451:J455," ",""),"0",""),"-",""))+LEN(SUBSTITUTE(SUBSTITUTE(SUBSTITUTE(K451:K455," ",""),"0",""),"-","")))&gt;(LEN(SUBSTITUTE(SUBSTITUTE(SUBSTITUTE(M451:M455," ",""),"0",""),"-",""))+LEN(SUBSTITUTE(SUBSTITUTE(SUBSTITUTE(N451:N455," ",""),"0",""),"-",""))))*1)</f>
      </c>
      <c r="K450" s="14" t="str">
        <f>SUMPRODUCT(LEN(SUBSTITUTE(SUBSTITUTE(SUBSTITUTE(J451:J455," ",""),"0",""),"-",""))+LEN(SUBSTITUTE(SUBSTITUTE(SUBSTITUTE(K451:K455," ",""),"0",""),"-","")))</f>
      </c>
      <c r="L450" s="18"/>
      <c r="M450" s="14" t="str">
        <f>SUMPRODUCT(LEN(SUBSTITUTE(SUBSTITUTE(SUBSTITUTE(M451:M455," ",""),"0",""),"-",""))+LEN(SUBSTITUTE(SUBSTITUTE(SUBSTITUTE(N451:N455," ",""),"0",""),"-","")))</f>
      </c>
      <c r="N450" s="14" t="str">
        <f>SUMPRODUCT((UPPER(L451:L455)&lt;&gt;"X")*((LEN(SUBSTITUTE(SUBSTITUTE(SUBSTITUTE(M451:M455," ",""),"0",""),"-",""))+LEN(SUBSTITUTE(SUBSTITUTE(SUBSTITUTE(N451:N455," ",""),"0",""),"-","")))&gt;(LEN(SUBSTITUTE(SUBSTITUTE(SUBSTITUTE(J451:J455," ",""),"0",""),"-",""))+LEN(SUBSTITUTE(SUBSTITUTE(SUBSTITUTE(K451:K455," ",""),"0",""),"-",""))))*1)</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SUMPRODUCT((UPPER(D478:D482)&lt;&gt;"X")*((LEN(SUBSTITUTE(SUBSTITUTE(SUBSTITUTE(B478:B482," ",""),"0",""),"-",""))+LEN(SUBSTITUTE(SUBSTITUTE(SUBSTITUTE(C478:C482," ",""),"0",""),"-","")))&gt;(LEN(SUBSTITUTE(SUBSTITUTE(SUBSTITUTE(E478:E482," ",""),"0",""),"-",""))+LEN(SUBSTITUTE(SUBSTITUTE(SUBSTITUTE(F478:F482," ",""),"0",""),"-",""))))*1)</f>
      </c>
      <c r="C477" s="14" t="str">
        <f>SUMPRODUCT(LEN(SUBSTITUTE(SUBSTITUTE(SUBSTITUTE(B478:B482," ",""),"0",""),"-",""))+LEN(SUBSTITUTE(SUBSTITUTE(SUBSTITUTE(C478:C482," ",""),"0",""),"-","")))</f>
      </c>
      <c r="D477" s="18"/>
      <c r="E477" s="14" t="str">
        <f>SUMPRODUCT(LEN(SUBSTITUTE(SUBSTITUTE(SUBSTITUTE(E478:E482," ",""),"0",""),"-",""))+LEN(SUBSTITUTE(SUBSTITUTE(SUBSTITUTE(F478:F482," ",""),"0",""),"-","")))</f>
      </c>
      <c r="F477" s="14" t="str">
        <f>SUMPRODUCT((UPPER(D478:D482)&lt;&gt;"X")*((LEN(SUBSTITUTE(SUBSTITUTE(SUBSTITUTE(E478:E482," ",""),"0",""),"-",""))+LEN(SUBSTITUTE(SUBSTITUTE(SUBSTITUTE(F478:F482," ",""),"0",""),"-","")))&gt;(LEN(SUBSTITUTE(SUBSTITUTE(SUBSTITUTE(B478:B482," ",""),"0",""),"-",""))+LEN(SUBSTITUTE(SUBSTITUTE(SUBSTITUTE(C478:C482," ",""),"0",""),"-",""))))*1)</f>
      </c>
      <c r="G477" s="14" t="str">
        <f>'data'!$B$36</f>
      </c>
      <c r="I477" s="14" t="str">
        <f>'data'!$B$84</f>
      </c>
      <c r="J477" s="14" t="str">
        <f>SUMPRODUCT((UPPER(L478:L482)&lt;&gt;"X")*((LEN(SUBSTITUTE(SUBSTITUTE(SUBSTITUTE(J478:J482," ",""),"0",""),"-",""))+LEN(SUBSTITUTE(SUBSTITUTE(SUBSTITUTE(K478:K482," ",""),"0",""),"-","")))&gt;(LEN(SUBSTITUTE(SUBSTITUTE(SUBSTITUTE(M478:M482," ",""),"0",""),"-",""))+LEN(SUBSTITUTE(SUBSTITUTE(SUBSTITUTE(N478:N482," ",""),"0",""),"-",""))))*1)</f>
      </c>
      <c r="K477" s="14" t="str">
        <f>SUMPRODUCT(LEN(SUBSTITUTE(SUBSTITUTE(SUBSTITUTE(J478:J482," ",""),"0",""),"-",""))+LEN(SUBSTITUTE(SUBSTITUTE(SUBSTITUTE(K478:K482," ",""),"0",""),"-","")))</f>
      </c>
      <c r="L477" s="18"/>
      <c r="M477" s="14" t="str">
        <f>SUMPRODUCT(LEN(SUBSTITUTE(SUBSTITUTE(SUBSTITUTE(M478:M482," ",""),"0",""),"-",""))+LEN(SUBSTITUTE(SUBSTITUTE(SUBSTITUTE(N478:N482," ",""),"0",""),"-","")))</f>
      </c>
      <c r="N477" s="14" t="str">
        <f>SUMPRODUCT((UPPER(L478:L482)&lt;&gt;"X")*((LEN(SUBSTITUTE(SUBSTITUTE(SUBSTITUTE(M478:M482," ",""),"0",""),"-",""))+LEN(SUBSTITUTE(SUBSTITUTE(SUBSTITUTE(N478:N482," ",""),"0",""),"-","")))&gt;(LEN(SUBSTITUTE(SUBSTITUTE(SUBSTITUTE(J478:J482," ",""),"0",""),"-",""))+LEN(SUBSTITUTE(SUBSTITUTE(SUBSTITUTE(K478:K482," ",""),"0",""),"-",""))))*1)</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SUMPRODUCT((UPPER(D486:D490)&lt;&gt;"X")*((LEN(SUBSTITUTE(SUBSTITUTE(SUBSTITUTE(B486:B490," ",""),"0",""),"-",""))+LEN(SUBSTITUTE(SUBSTITUTE(SUBSTITUTE(C486:C490," ",""),"0",""),"-","")))&gt;(LEN(SUBSTITUTE(SUBSTITUTE(SUBSTITUTE(E486:E490," ",""),"0",""),"-",""))+LEN(SUBSTITUTE(SUBSTITUTE(SUBSTITUTE(F486:F490," ",""),"0",""),"-",""))))*1)</f>
      </c>
      <c r="C485" s="14" t="str">
        <f>SUMPRODUCT(LEN(SUBSTITUTE(SUBSTITUTE(SUBSTITUTE(B486:B490," ",""),"0",""),"-",""))+LEN(SUBSTITUTE(SUBSTITUTE(SUBSTITUTE(C486:C490," ",""),"0",""),"-","")))</f>
      </c>
      <c r="D485" s="18"/>
      <c r="E485" s="14" t="str">
        <f>SUMPRODUCT(LEN(SUBSTITUTE(SUBSTITUTE(SUBSTITUTE(E486:E490," ",""),"0",""),"-",""))+LEN(SUBSTITUTE(SUBSTITUTE(SUBSTITUTE(F486:F490," ",""),"0",""),"-","")))</f>
      </c>
      <c r="F485" s="14" t="str">
        <f>SUMPRODUCT((UPPER(D486:D490)&lt;&gt;"X")*((LEN(SUBSTITUTE(SUBSTITUTE(SUBSTITUTE(E486:E490," ",""),"0",""),"-",""))+LEN(SUBSTITUTE(SUBSTITUTE(SUBSTITUTE(F486:F490," ",""),"0",""),"-","")))&gt;(LEN(SUBSTITUTE(SUBSTITUTE(SUBSTITUTE(B486:B490," ",""),"0",""),"-",""))+LEN(SUBSTITUTE(SUBSTITUTE(SUBSTITUTE(C486:C490," ",""),"0",""),"-",""))))*1)</f>
      </c>
      <c r="G485" s="14" t="str">
        <f>'data'!$B$36</f>
      </c>
      <c r="I485" s="14" t="str">
        <f>'data'!$B$85</f>
      </c>
      <c r="J485" s="14" t="str">
        <f>SUMPRODUCT((UPPER(L486:L490)&lt;&gt;"X")*((LEN(SUBSTITUTE(SUBSTITUTE(SUBSTITUTE(J486:J490," ",""),"0",""),"-",""))+LEN(SUBSTITUTE(SUBSTITUTE(SUBSTITUTE(K486:K490," ",""),"0",""),"-","")))&gt;(LEN(SUBSTITUTE(SUBSTITUTE(SUBSTITUTE(M486:M490," ",""),"0",""),"-",""))+LEN(SUBSTITUTE(SUBSTITUTE(SUBSTITUTE(N486:N490," ",""),"0",""),"-",""))))*1)</f>
      </c>
      <c r="K485" s="14" t="str">
        <f>SUMPRODUCT(LEN(SUBSTITUTE(SUBSTITUTE(SUBSTITUTE(J486:J490," ",""),"0",""),"-",""))+LEN(SUBSTITUTE(SUBSTITUTE(SUBSTITUTE(K486:K490," ",""),"0",""),"-","")))</f>
      </c>
      <c r="L485" s="18"/>
      <c r="M485" s="14" t="str">
        <f>SUMPRODUCT(LEN(SUBSTITUTE(SUBSTITUTE(SUBSTITUTE(M486:M490," ",""),"0",""),"-",""))+LEN(SUBSTITUTE(SUBSTITUTE(SUBSTITUTE(N486:N490," ",""),"0",""),"-","")))</f>
      </c>
      <c r="N485" s="14" t="str">
        <f>SUMPRODUCT((UPPER(L486:L490)&lt;&gt;"X")*((LEN(SUBSTITUTE(SUBSTITUTE(SUBSTITUTE(M486:M490," ",""),"0",""),"-",""))+LEN(SUBSTITUTE(SUBSTITUTE(SUBSTITUTE(N486:N490," ",""),"0",""),"-","")))&gt;(LEN(SUBSTITUTE(SUBSTITUTE(SUBSTITUTE(J486:J490," ",""),"0",""),"-",""))+LEN(SUBSTITUTE(SUBSTITUTE(SUBSTITUTE(K486:K490," ",""),"0",""),"-",""))))*1)</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SUMPRODUCT((UPPER(D494:D498)&lt;&gt;"X")*((LEN(SUBSTITUTE(SUBSTITUTE(SUBSTITUTE(B494:B498," ",""),"0",""),"-",""))+LEN(SUBSTITUTE(SUBSTITUTE(SUBSTITUTE(C494:C498," ",""),"0",""),"-","")))&gt;(LEN(SUBSTITUTE(SUBSTITUTE(SUBSTITUTE(E494:E498," ",""),"0",""),"-",""))+LEN(SUBSTITUTE(SUBSTITUTE(SUBSTITUTE(F494:F498," ",""),"0",""),"-",""))))*1)</f>
      </c>
      <c r="C493" s="14" t="str">
        <f>SUMPRODUCT(LEN(SUBSTITUTE(SUBSTITUTE(SUBSTITUTE(B494:B498," ",""),"0",""),"-",""))+LEN(SUBSTITUTE(SUBSTITUTE(SUBSTITUTE(C494:C498," ",""),"0",""),"-","")))</f>
      </c>
      <c r="D493" s="18"/>
      <c r="E493" s="14" t="str">
        <f>SUMPRODUCT(LEN(SUBSTITUTE(SUBSTITUTE(SUBSTITUTE(E494:E498," ",""),"0",""),"-",""))+LEN(SUBSTITUTE(SUBSTITUTE(SUBSTITUTE(F494:F498," ",""),"0",""),"-","")))</f>
      </c>
      <c r="F493" s="14" t="str">
        <f>SUMPRODUCT((UPPER(D494:D498)&lt;&gt;"X")*((LEN(SUBSTITUTE(SUBSTITUTE(SUBSTITUTE(E494:E498," ",""),"0",""),"-",""))+LEN(SUBSTITUTE(SUBSTITUTE(SUBSTITUTE(F494:F498," ",""),"0",""),"-","")))&gt;(LEN(SUBSTITUTE(SUBSTITUTE(SUBSTITUTE(B494:B498," ",""),"0",""),"-",""))+LEN(SUBSTITUTE(SUBSTITUTE(SUBSTITUTE(C494:C498," ",""),"0",""),"-",""))))*1)</f>
      </c>
      <c r="G493" s="14" t="str">
        <f>'data'!$B$37</f>
      </c>
      <c r="I493" s="14" t="str">
        <f>'data'!$B$85</f>
      </c>
      <c r="J493" s="14" t="str">
        <f>SUMPRODUCT((UPPER(L494:L498)&lt;&gt;"X")*((LEN(SUBSTITUTE(SUBSTITUTE(SUBSTITUTE(J494:J498," ",""),"0",""),"-",""))+LEN(SUBSTITUTE(SUBSTITUTE(SUBSTITUTE(K494:K498," ",""),"0",""),"-","")))&gt;(LEN(SUBSTITUTE(SUBSTITUTE(SUBSTITUTE(M494:M498," ",""),"0",""),"-",""))+LEN(SUBSTITUTE(SUBSTITUTE(SUBSTITUTE(N494:N498," ",""),"0",""),"-",""))))*1)</f>
      </c>
      <c r="K493" s="14" t="str">
        <f>SUMPRODUCT(LEN(SUBSTITUTE(SUBSTITUTE(SUBSTITUTE(J494:J498," ",""),"0",""),"-",""))+LEN(SUBSTITUTE(SUBSTITUTE(SUBSTITUTE(K494:K498," ",""),"0",""),"-","")))</f>
      </c>
      <c r="L493" s="18"/>
      <c r="M493" s="14" t="str">
        <f>SUMPRODUCT(LEN(SUBSTITUTE(SUBSTITUTE(SUBSTITUTE(M494:M498," ",""),"0",""),"-",""))+LEN(SUBSTITUTE(SUBSTITUTE(SUBSTITUTE(N494:N498," ",""),"0",""),"-","")))</f>
      </c>
      <c r="N493" s="14" t="str">
        <f>SUMPRODUCT((UPPER(L494:L498)&lt;&gt;"X")*((LEN(SUBSTITUTE(SUBSTITUTE(SUBSTITUTE(M494:M498," ",""),"0",""),"-",""))+LEN(SUBSTITUTE(SUBSTITUTE(SUBSTITUTE(N494:N498," ",""),"0",""),"-","")))&gt;(LEN(SUBSTITUTE(SUBSTITUTE(SUBSTITUTE(J494:J498," ",""),"0",""),"-",""))+LEN(SUBSTITUTE(SUBSTITUTE(SUBSTITUTE(K494:K498," ",""),"0",""),"-",""))))*1)</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SUMPRODUCT((UPPER(D521:D525)&lt;&gt;"X")*((LEN(SUBSTITUTE(SUBSTITUTE(SUBSTITUTE(B521:B525," ",""),"0",""),"-",""))+LEN(SUBSTITUTE(SUBSTITUTE(SUBSTITUTE(C521:C525," ",""),"0",""),"-","")))&gt;(LEN(SUBSTITUTE(SUBSTITUTE(SUBSTITUTE(E521:E525," ",""),"0",""),"-",""))+LEN(SUBSTITUTE(SUBSTITUTE(SUBSTITUTE(F521:F525," ",""),"0",""),"-",""))))*1)</f>
      </c>
      <c r="C520" s="14" t="str">
        <f>SUMPRODUCT(LEN(SUBSTITUTE(SUBSTITUTE(SUBSTITUTE(B521:B525," ",""),"0",""),"-",""))+LEN(SUBSTITUTE(SUBSTITUTE(SUBSTITUTE(C521:C525," ",""),"0",""),"-","")))</f>
      </c>
      <c r="D520" s="18"/>
      <c r="E520" s="14" t="str">
        <f>SUMPRODUCT(LEN(SUBSTITUTE(SUBSTITUTE(SUBSTITUTE(E521:E525," ",""),"0",""),"-",""))+LEN(SUBSTITUTE(SUBSTITUTE(SUBSTITUTE(F521:F525," ",""),"0",""),"-","")))</f>
      </c>
      <c r="F520" s="14" t="str">
        <f>SUMPRODUCT((UPPER(D521:D525)&lt;&gt;"X")*((LEN(SUBSTITUTE(SUBSTITUTE(SUBSTITUTE(E521:E525," ",""),"0",""),"-",""))+LEN(SUBSTITUTE(SUBSTITUTE(SUBSTITUTE(F521:F525," ",""),"0",""),"-","")))&gt;(LEN(SUBSTITUTE(SUBSTITUTE(SUBSTITUTE(B521:B525," ",""),"0",""),"-",""))+LEN(SUBSTITUTE(SUBSTITUTE(SUBSTITUTE(C521:C525," ",""),"0",""),"-",""))))*1)</f>
      </c>
      <c r="G520" s="14" t="str">
        <f>'data'!$B$39</f>
      </c>
      <c r="I520" s="14" t="str">
        <f>'data'!$B$87</f>
      </c>
      <c r="J520" s="14" t="str">
        <f>SUMPRODUCT((UPPER(L521:L525)&lt;&gt;"X")*((LEN(SUBSTITUTE(SUBSTITUTE(SUBSTITUTE(J521:J525," ",""),"0",""),"-",""))+LEN(SUBSTITUTE(SUBSTITUTE(SUBSTITUTE(K521:K525," ",""),"0",""),"-","")))&gt;(LEN(SUBSTITUTE(SUBSTITUTE(SUBSTITUTE(M521:M525," ",""),"0",""),"-",""))+LEN(SUBSTITUTE(SUBSTITUTE(SUBSTITUTE(N521:N525," ",""),"0",""),"-",""))))*1)</f>
      </c>
      <c r="K520" s="14" t="str">
        <f>SUMPRODUCT(LEN(SUBSTITUTE(SUBSTITUTE(SUBSTITUTE(J521:J525," ",""),"0",""),"-",""))+LEN(SUBSTITUTE(SUBSTITUTE(SUBSTITUTE(K521:K525," ",""),"0",""),"-","")))</f>
      </c>
      <c r="L520" s="18"/>
      <c r="M520" s="14" t="str">
        <f>SUMPRODUCT(LEN(SUBSTITUTE(SUBSTITUTE(SUBSTITUTE(M521:M525," ",""),"0",""),"-",""))+LEN(SUBSTITUTE(SUBSTITUTE(SUBSTITUTE(N521:N525," ",""),"0",""),"-","")))</f>
      </c>
      <c r="N520" s="14" t="str">
        <f>SUMPRODUCT((UPPER(L521:L525)&lt;&gt;"X")*((LEN(SUBSTITUTE(SUBSTITUTE(SUBSTITUTE(M521:M525," ",""),"0",""),"-",""))+LEN(SUBSTITUTE(SUBSTITUTE(SUBSTITUTE(N521:N525," ",""),"0",""),"-","")))&gt;(LEN(SUBSTITUTE(SUBSTITUTE(SUBSTITUTE(J521:J525," ",""),"0",""),"-",""))+LEN(SUBSTITUTE(SUBSTITUTE(SUBSTITUTE(K521:K525," ",""),"0",""),"-",""))))*1)</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SUMPRODUCT((UPPER(D529:D533)&lt;&gt;"X")*((LEN(SUBSTITUTE(SUBSTITUTE(SUBSTITUTE(B529:B533," ",""),"0",""),"-",""))+LEN(SUBSTITUTE(SUBSTITUTE(SUBSTITUTE(C529:C533," ",""),"0",""),"-","")))&gt;(LEN(SUBSTITUTE(SUBSTITUTE(SUBSTITUTE(E529:E533," ",""),"0",""),"-",""))+LEN(SUBSTITUTE(SUBSTITUTE(SUBSTITUTE(F529:F533," ",""),"0",""),"-",""))))*1)</f>
      </c>
      <c r="C528" s="14" t="str">
        <f>SUMPRODUCT(LEN(SUBSTITUTE(SUBSTITUTE(SUBSTITUTE(B529:B533," ",""),"0",""),"-",""))+LEN(SUBSTITUTE(SUBSTITUTE(SUBSTITUTE(C529:C533," ",""),"0",""),"-","")))</f>
      </c>
      <c r="D528" s="18"/>
      <c r="E528" s="14" t="str">
        <f>SUMPRODUCT(LEN(SUBSTITUTE(SUBSTITUTE(SUBSTITUTE(E529:E533," ",""),"0",""),"-",""))+LEN(SUBSTITUTE(SUBSTITUTE(SUBSTITUTE(F529:F533," ",""),"0",""),"-","")))</f>
      </c>
      <c r="F528" s="14" t="str">
        <f>SUMPRODUCT((UPPER(D529:D533)&lt;&gt;"X")*((LEN(SUBSTITUTE(SUBSTITUTE(SUBSTITUTE(E529:E533," ",""),"0",""),"-",""))+LEN(SUBSTITUTE(SUBSTITUTE(SUBSTITUTE(F529:F533," ",""),"0",""),"-","")))&gt;(LEN(SUBSTITUTE(SUBSTITUTE(SUBSTITUTE(B529:B533," ",""),"0",""),"-",""))+LEN(SUBSTITUTE(SUBSTITUTE(SUBSTITUTE(C529:C533," ",""),"0",""),"-",""))))*1)</f>
      </c>
      <c r="G528" s="14" t="str">
        <f>'data'!$B$39</f>
      </c>
      <c r="I528" s="14" t="str">
        <f>'data'!$B$88</f>
      </c>
      <c r="J528" s="14" t="str">
        <f>SUMPRODUCT((UPPER(L529:L533)&lt;&gt;"X")*((LEN(SUBSTITUTE(SUBSTITUTE(SUBSTITUTE(J529:J533," ",""),"0",""),"-",""))+LEN(SUBSTITUTE(SUBSTITUTE(SUBSTITUTE(K529:K533," ",""),"0",""),"-","")))&gt;(LEN(SUBSTITUTE(SUBSTITUTE(SUBSTITUTE(M529:M533," ",""),"0",""),"-",""))+LEN(SUBSTITUTE(SUBSTITUTE(SUBSTITUTE(N529:N533," ",""),"0",""),"-",""))))*1)</f>
      </c>
      <c r="K528" s="14" t="str">
        <f>SUMPRODUCT(LEN(SUBSTITUTE(SUBSTITUTE(SUBSTITUTE(J529:J533," ",""),"0",""),"-",""))+LEN(SUBSTITUTE(SUBSTITUTE(SUBSTITUTE(K529:K533," ",""),"0",""),"-","")))</f>
      </c>
      <c r="L528" s="18"/>
      <c r="M528" s="14" t="str">
        <f>SUMPRODUCT(LEN(SUBSTITUTE(SUBSTITUTE(SUBSTITUTE(M529:M533," ",""),"0",""),"-",""))+LEN(SUBSTITUTE(SUBSTITUTE(SUBSTITUTE(N529:N533," ",""),"0",""),"-","")))</f>
      </c>
      <c r="N528" s="14" t="str">
        <f>SUMPRODUCT((UPPER(L529:L533)&lt;&gt;"X")*((LEN(SUBSTITUTE(SUBSTITUTE(SUBSTITUTE(M529:M533," ",""),"0",""),"-",""))+LEN(SUBSTITUTE(SUBSTITUTE(SUBSTITUTE(N529:N533," ",""),"0",""),"-","")))&gt;(LEN(SUBSTITUTE(SUBSTITUTE(SUBSTITUTE(J529:J533," ",""),"0",""),"-",""))+LEN(SUBSTITUTE(SUBSTITUTE(SUBSTITUTE(K529:K533," ",""),"0",""),"-",""))))*1)</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SUMPRODUCT((UPPER(D537:D541)&lt;&gt;"X")*((LEN(SUBSTITUTE(SUBSTITUTE(SUBSTITUTE(B537:B541," ",""),"0",""),"-",""))+LEN(SUBSTITUTE(SUBSTITUTE(SUBSTITUTE(C537:C541," ",""),"0",""),"-","")))&gt;(LEN(SUBSTITUTE(SUBSTITUTE(SUBSTITUTE(E537:E541," ",""),"0",""),"-",""))+LEN(SUBSTITUTE(SUBSTITUTE(SUBSTITUTE(F537:F541," ",""),"0",""),"-",""))))*1)</f>
      </c>
      <c r="C536" s="14" t="str">
        <f>SUMPRODUCT(LEN(SUBSTITUTE(SUBSTITUTE(SUBSTITUTE(B537:B541," ",""),"0",""),"-",""))+LEN(SUBSTITUTE(SUBSTITUTE(SUBSTITUTE(C537:C541," ",""),"0",""),"-","")))</f>
      </c>
      <c r="D536" s="18"/>
      <c r="E536" s="14" t="str">
        <f>SUMPRODUCT(LEN(SUBSTITUTE(SUBSTITUTE(SUBSTITUTE(E537:E541," ",""),"0",""),"-",""))+LEN(SUBSTITUTE(SUBSTITUTE(SUBSTITUTE(F537:F541," ",""),"0",""),"-","")))</f>
      </c>
      <c r="F536" s="14" t="str">
        <f>SUMPRODUCT((UPPER(D537:D541)&lt;&gt;"X")*((LEN(SUBSTITUTE(SUBSTITUTE(SUBSTITUTE(E537:E541," ",""),"0",""),"-",""))+LEN(SUBSTITUTE(SUBSTITUTE(SUBSTITUTE(F537:F541," ",""),"0",""),"-","")))&gt;(LEN(SUBSTITUTE(SUBSTITUTE(SUBSTITUTE(B537:B541," ",""),"0",""),"-",""))+LEN(SUBSTITUTE(SUBSTITUTE(SUBSTITUTE(C537:C541," ",""),"0",""),"-",""))))*1)</f>
      </c>
      <c r="G536" s="14" t="str">
        <f>'data'!$B$40</f>
      </c>
      <c r="I536" s="14" t="str">
        <f>'data'!$B$88</f>
      </c>
      <c r="J536" s="14" t="str">
        <f>SUMPRODUCT((UPPER(L537:L541)&lt;&gt;"X")*((LEN(SUBSTITUTE(SUBSTITUTE(SUBSTITUTE(J537:J541," ",""),"0",""),"-",""))+LEN(SUBSTITUTE(SUBSTITUTE(SUBSTITUTE(K537:K541," ",""),"0",""),"-","")))&gt;(LEN(SUBSTITUTE(SUBSTITUTE(SUBSTITUTE(M537:M541," ",""),"0",""),"-",""))+LEN(SUBSTITUTE(SUBSTITUTE(SUBSTITUTE(N537:N541," ",""),"0",""),"-",""))))*1)</f>
      </c>
      <c r="K536" s="14" t="str">
        <f>SUMPRODUCT(LEN(SUBSTITUTE(SUBSTITUTE(SUBSTITUTE(J537:J541," ",""),"0",""),"-",""))+LEN(SUBSTITUTE(SUBSTITUTE(SUBSTITUTE(K537:K541," ",""),"0",""),"-","")))</f>
      </c>
      <c r="L536" s="18"/>
      <c r="M536" s="14" t="str">
        <f>SUMPRODUCT(LEN(SUBSTITUTE(SUBSTITUTE(SUBSTITUTE(M537:M541," ",""),"0",""),"-",""))+LEN(SUBSTITUTE(SUBSTITUTE(SUBSTITUTE(N537:N541," ",""),"0",""),"-","")))</f>
      </c>
      <c r="N536" s="14" t="str">
        <f>SUMPRODUCT((UPPER(L537:L541)&lt;&gt;"X")*((LEN(SUBSTITUTE(SUBSTITUTE(SUBSTITUTE(M537:M541," ",""),"0",""),"-",""))+LEN(SUBSTITUTE(SUBSTITUTE(SUBSTITUTE(N537:N541," ",""),"0",""),"-","")))&gt;(LEN(SUBSTITUTE(SUBSTITUTE(SUBSTITUTE(J537:J541," ",""),"0",""),"-",""))+LEN(SUBSTITUTE(SUBSTITUTE(SUBSTITUTE(K537:K541," ",""),"0",""),"-",""))))*1)</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SUMPRODUCT((UPPER(D564:D568)&lt;&gt;"X")*((LEN(SUBSTITUTE(SUBSTITUTE(SUBSTITUTE(B564:B568," ",""),"0",""),"-",""))+LEN(SUBSTITUTE(SUBSTITUTE(SUBSTITUTE(C564:C568," ",""),"0",""),"-","")))&gt;(LEN(SUBSTITUTE(SUBSTITUTE(SUBSTITUTE(E564:E568," ",""),"0",""),"-",""))+LEN(SUBSTITUTE(SUBSTITUTE(SUBSTITUTE(F564:F568," ",""),"0",""),"-",""))))*1)</f>
      </c>
      <c r="C563" s="14" t="str">
        <f>SUMPRODUCT(LEN(SUBSTITUTE(SUBSTITUTE(SUBSTITUTE(B564:B568," ",""),"0",""),"-",""))+LEN(SUBSTITUTE(SUBSTITUTE(SUBSTITUTE(C564:C568," ",""),"0",""),"-","")))</f>
      </c>
      <c r="D563" s="18"/>
      <c r="E563" s="14" t="str">
        <f>SUMPRODUCT(LEN(SUBSTITUTE(SUBSTITUTE(SUBSTITUTE(E564:E568," ",""),"0",""),"-",""))+LEN(SUBSTITUTE(SUBSTITUTE(SUBSTITUTE(F564:F568," ",""),"0",""),"-","")))</f>
      </c>
      <c r="F563" s="14" t="str">
        <f>SUMPRODUCT((UPPER(D564:D568)&lt;&gt;"X")*((LEN(SUBSTITUTE(SUBSTITUTE(SUBSTITUTE(E564:E568," ",""),"0",""),"-",""))+LEN(SUBSTITUTE(SUBSTITUTE(SUBSTITUTE(F564:F568," ",""),"0",""),"-","")))&gt;(LEN(SUBSTITUTE(SUBSTITUTE(SUBSTITUTE(B564:B568," ",""),"0",""),"-",""))+LEN(SUBSTITUTE(SUBSTITUTE(SUBSTITUTE(C564:C568," ",""),"0",""),"-",""))))*1)</f>
      </c>
      <c r="G563" s="14" t="str">
        <f>'data'!$B$42</f>
      </c>
      <c r="I563" s="14" t="str">
        <f>'data'!$B$90</f>
      </c>
      <c r="J563" s="14" t="str">
        <f>SUMPRODUCT((UPPER(L564:L568)&lt;&gt;"X")*((LEN(SUBSTITUTE(SUBSTITUTE(SUBSTITUTE(J564:J568," ",""),"0",""),"-",""))+LEN(SUBSTITUTE(SUBSTITUTE(SUBSTITUTE(K564:K568," ",""),"0",""),"-","")))&gt;(LEN(SUBSTITUTE(SUBSTITUTE(SUBSTITUTE(M564:M568," ",""),"0",""),"-",""))+LEN(SUBSTITUTE(SUBSTITUTE(SUBSTITUTE(N564:N568," ",""),"0",""),"-",""))))*1)</f>
      </c>
      <c r="K563" s="14" t="str">
        <f>SUMPRODUCT(LEN(SUBSTITUTE(SUBSTITUTE(SUBSTITUTE(J564:J568," ",""),"0",""),"-",""))+LEN(SUBSTITUTE(SUBSTITUTE(SUBSTITUTE(K564:K568," ",""),"0",""),"-","")))</f>
      </c>
      <c r="L563" s="18"/>
      <c r="M563" s="14" t="str">
        <f>SUMPRODUCT(LEN(SUBSTITUTE(SUBSTITUTE(SUBSTITUTE(M564:M568," ",""),"0",""),"-",""))+LEN(SUBSTITUTE(SUBSTITUTE(SUBSTITUTE(N564:N568," ",""),"0",""),"-","")))</f>
      </c>
      <c r="N563" s="14" t="str">
        <f>SUMPRODUCT((UPPER(L564:L568)&lt;&gt;"X")*((LEN(SUBSTITUTE(SUBSTITUTE(SUBSTITUTE(M564:M568," ",""),"0",""),"-",""))+LEN(SUBSTITUTE(SUBSTITUTE(SUBSTITUTE(N564:N568," ",""),"0",""),"-","")))&gt;(LEN(SUBSTITUTE(SUBSTITUTE(SUBSTITUTE(J564:J568," ",""),"0",""),"-",""))+LEN(SUBSTITUTE(SUBSTITUTE(SUBSTITUTE(K564:K568," ",""),"0",""),"-",""))))*1)</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SUMPRODUCT((UPPER(D572:D576)&lt;&gt;"X")*((LEN(SUBSTITUTE(SUBSTITUTE(SUBSTITUTE(B572:B576," ",""),"0",""),"-",""))+LEN(SUBSTITUTE(SUBSTITUTE(SUBSTITUTE(C572:C576," ",""),"0",""),"-","")))&gt;(LEN(SUBSTITUTE(SUBSTITUTE(SUBSTITUTE(E572:E576," ",""),"0",""),"-",""))+LEN(SUBSTITUTE(SUBSTITUTE(SUBSTITUTE(F572:F576," ",""),"0",""),"-",""))))*1)</f>
      </c>
      <c r="C571" s="14" t="str">
        <f>SUMPRODUCT(LEN(SUBSTITUTE(SUBSTITUTE(SUBSTITUTE(B572:B576," ",""),"0",""),"-",""))+LEN(SUBSTITUTE(SUBSTITUTE(SUBSTITUTE(C572:C576," ",""),"0",""),"-","")))</f>
      </c>
      <c r="D571" s="18"/>
      <c r="E571" s="14" t="str">
        <f>SUMPRODUCT(LEN(SUBSTITUTE(SUBSTITUTE(SUBSTITUTE(E572:E576," ",""),"0",""),"-",""))+LEN(SUBSTITUTE(SUBSTITUTE(SUBSTITUTE(F572:F576," ",""),"0",""),"-","")))</f>
      </c>
      <c r="F571" s="14" t="str">
        <f>SUMPRODUCT((UPPER(D572:D576)&lt;&gt;"X")*((LEN(SUBSTITUTE(SUBSTITUTE(SUBSTITUTE(E572:E576," ",""),"0",""),"-",""))+LEN(SUBSTITUTE(SUBSTITUTE(SUBSTITUTE(F572:F576," ",""),"0",""),"-","")))&gt;(LEN(SUBSTITUTE(SUBSTITUTE(SUBSTITUTE(B572:B576," ",""),"0",""),"-",""))+LEN(SUBSTITUTE(SUBSTITUTE(SUBSTITUTE(C572:C576," ",""),"0",""),"-",""))))*1)</f>
      </c>
      <c r="G571" s="14" t="str">
        <f>'data'!$B$42</f>
      </c>
      <c r="I571" s="14" t="str">
        <f>'data'!$B$91</f>
      </c>
      <c r="J571" s="14" t="str">
        <f>SUMPRODUCT((UPPER(L572:L576)&lt;&gt;"X")*((LEN(SUBSTITUTE(SUBSTITUTE(SUBSTITUTE(J572:J576," ",""),"0",""),"-",""))+LEN(SUBSTITUTE(SUBSTITUTE(SUBSTITUTE(K572:K576," ",""),"0",""),"-","")))&gt;(LEN(SUBSTITUTE(SUBSTITUTE(SUBSTITUTE(M572:M576," ",""),"0",""),"-",""))+LEN(SUBSTITUTE(SUBSTITUTE(SUBSTITUTE(N572:N576," ",""),"0",""),"-",""))))*1)</f>
      </c>
      <c r="K571" s="14" t="str">
        <f>SUMPRODUCT(LEN(SUBSTITUTE(SUBSTITUTE(SUBSTITUTE(J572:J576," ",""),"0",""),"-",""))+LEN(SUBSTITUTE(SUBSTITUTE(SUBSTITUTE(K572:K576," ",""),"0",""),"-","")))</f>
      </c>
      <c r="L571" s="18"/>
      <c r="M571" s="14" t="str">
        <f>SUMPRODUCT(LEN(SUBSTITUTE(SUBSTITUTE(SUBSTITUTE(M572:M576," ",""),"0",""),"-",""))+LEN(SUBSTITUTE(SUBSTITUTE(SUBSTITUTE(N572:N576," ",""),"0",""),"-","")))</f>
      </c>
      <c r="N571" s="14" t="str">
        <f>SUMPRODUCT((UPPER(L572:L576)&lt;&gt;"X")*((LEN(SUBSTITUTE(SUBSTITUTE(SUBSTITUTE(M572:M576," ",""),"0",""),"-",""))+LEN(SUBSTITUTE(SUBSTITUTE(SUBSTITUTE(N572:N576," ",""),"0",""),"-","")))&gt;(LEN(SUBSTITUTE(SUBSTITUTE(SUBSTITUTE(J572:J576," ",""),"0",""),"-",""))+LEN(SUBSTITUTE(SUBSTITUTE(SUBSTITUTE(K572:K576," ",""),"0",""),"-",""))))*1)</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SUMPRODUCT((UPPER(D580:D584)&lt;&gt;"X")*((LEN(SUBSTITUTE(SUBSTITUTE(SUBSTITUTE(B580:B584," ",""),"0",""),"-",""))+LEN(SUBSTITUTE(SUBSTITUTE(SUBSTITUTE(C580:C584," ",""),"0",""),"-","")))&gt;(LEN(SUBSTITUTE(SUBSTITUTE(SUBSTITUTE(E580:E584," ",""),"0",""),"-",""))+LEN(SUBSTITUTE(SUBSTITUTE(SUBSTITUTE(F580:F584," ",""),"0",""),"-",""))))*1)</f>
      </c>
      <c r="C579" s="14" t="str">
        <f>SUMPRODUCT(LEN(SUBSTITUTE(SUBSTITUTE(SUBSTITUTE(B580:B584," ",""),"0",""),"-",""))+LEN(SUBSTITUTE(SUBSTITUTE(SUBSTITUTE(C580:C584," ",""),"0",""),"-","")))</f>
      </c>
      <c r="D579" s="18"/>
      <c r="E579" s="14" t="str">
        <f>SUMPRODUCT(LEN(SUBSTITUTE(SUBSTITUTE(SUBSTITUTE(E580:E584," ",""),"0",""),"-",""))+LEN(SUBSTITUTE(SUBSTITUTE(SUBSTITUTE(F580:F584," ",""),"0",""),"-","")))</f>
      </c>
      <c r="F579" s="14" t="str">
        <f>SUMPRODUCT((UPPER(D580:D584)&lt;&gt;"X")*((LEN(SUBSTITUTE(SUBSTITUTE(SUBSTITUTE(E580:E584," ",""),"0",""),"-",""))+LEN(SUBSTITUTE(SUBSTITUTE(SUBSTITUTE(F580:F584," ",""),"0",""),"-","")))&gt;(LEN(SUBSTITUTE(SUBSTITUTE(SUBSTITUTE(B580:B584," ",""),"0",""),"-",""))+LEN(SUBSTITUTE(SUBSTITUTE(SUBSTITUTE(C580:C584," ",""),"0",""),"-",""))))*1)</f>
      </c>
      <c r="G579" s="14" t="str">
        <f>'data'!$B$43</f>
      </c>
      <c r="I579" s="14" t="str">
        <f>'data'!$B$91</f>
      </c>
      <c r="J579" s="14" t="str">
        <f>SUMPRODUCT((UPPER(L580:L584)&lt;&gt;"X")*((LEN(SUBSTITUTE(SUBSTITUTE(SUBSTITUTE(J580:J584," ",""),"0",""),"-",""))+LEN(SUBSTITUTE(SUBSTITUTE(SUBSTITUTE(K580:K584," ",""),"0",""),"-","")))&gt;(LEN(SUBSTITUTE(SUBSTITUTE(SUBSTITUTE(M580:M584," ",""),"0",""),"-",""))+LEN(SUBSTITUTE(SUBSTITUTE(SUBSTITUTE(N580:N584," ",""),"0",""),"-",""))))*1)</f>
      </c>
      <c r="K579" s="14" t="str">
        <f>SUMPRODUCT(LEN(SUBSTITUTE(SUBSTITUTE(SUBSTITUTE(J580:J584," ",""),"0",""),"-",""))+LEN(SUBSTITUTE(SUBSTITUTE(SUBSTITUTE(K580:K584," ",""),"0",""),"-","")))</f>
      </c>
      <c r="L579" s="18"/>
      <c r="M579" s="14" t="str">
        <f>SUMPRODUCT(LEN(SUBSTITUTE(SUBSTITUTE(SUBSTITUTE(M580:M584," ",""),"0",""),"-",""))+LEN(SUBSTITUTE(SUBSTITUTE(SUBSTITUTE(N580:N584," ",""),"0",""),"-","")))</f>
      </c>
      <c r="N579" s="14" t="str">
        <f>SUMPRODUCT((UPPER(L580:L584)&lt;&gt;"X")*((LEN(SUBSTITUTE(SUBSTITUTE(SUBSTITUTE(M580:M584," ",""),"0",""),"-",""))+LEN(SUBSTITUTE(SUBSTITUTE(SUBSTITUTE(N580:N584," ",""),"0",""),"-","")))&gt;(LEN(SUBSTITUTE(SUBSTITUTE(SUBSTITUTE(J580:J584," ",""),"0",""),"-",""))+LEN(SUBSTITUTE(SUBSTITUTE(SUBSTITUTE(K580:K584," ",""),"0",""),"-",""))))*1)</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SUMPRODUCT((UPPER(D607:D611)&lt;&gt;"X")*((LEN(SUBSTITUTE(SUBSTITUTE(SUBSTITUTE(B607:B611," ",""),"0",""),"-",""))+LEN(SUBSTITUTE(SUBSTITUTE(SUBSTITUTE(C607:C611," ",""),"0",""),"-","")))&gt;(LEN(SUBSTITUTE(SUBSTITUTE(SUBSTITUTE(E607:E611," ",""),"0",""),"-",""))+LEN(SUBSTITUTE(SUBSTITUTE(SUBSTITUTE(F607:F611," ",""),"0",""),"-",""))))*1)</f>
      </c>
      <c r="C606" s="14" t="str">
        <f>SUMPRODUCT(LEN(SUBSTITUTE(SUBSTITUTE(SUBSTITUTE(B607:B611," ",""),"0",""),"-",""))+LEN(SUBSTITUTE(SUBSTITUTE(SUBSTITUTE(C607:C611," ",""),"0",""),"-","")))</f>
      </c>
      <c r="D606" s="18"/>
      <c r="E606" s="14" t="str">
        <f>SUMPRODUCT(LEN(SUBSTITUTE(SUBSTITUTE(SUBSTITUTE(E607:E611," ",""),"0",""),"-",""))+LEN(SUBSTITUTE(SUBSTITUTE(SUBSTITUTE(F607:F611," ",""),"0",""),"-","")))</f>
      </c>
      <c r="F606" s="14" t="str">
        <f>SUMPRODUCT((UPPER(D607:D611)&lt;&gt;"X")*((LEN(SUBSTITUTE(SUBSTITUTE(SUBSTITUTE(E607:E611," ",""),"0",""),"-",""))+LEN(SUBSTITUTE(SUBSTITUTE(SUBSTITUTE(F607:F611," ",""),"0",""),"-","")))&gt;(LEN(SUBSTITUTE(SUBSTITUTE(SUBSTITUTE(B607:B611," ",""),"0",""),"-",""))+LEN(SUBSTITUTE(SUBSTITUTE(SUBSTITUTE(C607:C611," ",""),"0",""),"-",""))))*1)</f>
      </c>
      <c r="G606" s="14" t="str">
        <f>'data'!$B$45</f>
      </c>
      <c r="I606" s="14" t="str">
        <f>'data'!$B$93</f>
      </c>
      <c r="J606" s="14" t="str">
        <f>SUMPRODUCT((UPPER(L607:L611)&lt;&gt;"X")*((LEN(SUBSTITUTE(SUBSTITUTE(SUBSTITUTE(J607:J611," ",""),"0",""),"-",""))+LEN(SUBSTITUTE(SUBSTITUTE(SUBSTITUTE(K607:K611," ",""),"0",""),"-","")))&gt;(LEN(SUBSTITUTE(SUBSTITUTE(SUBSTITUTE(M607:M611," ",""),"0",""),"-",""))+LEN(SUBSTITUTE(SUBSTITUTE(SUBSTITUTE(N607:N611," ",""),"0",""),"-",""))))*1)</f>
      </c>
      <c r="K606" s="14" t="str">
        <f>SUMPRODUCT(LEN(SUBSTITUTE(SUBSTITUTE(SUBSTITUTE(J607:J611," ",""),"0",""),"-",""))+LEN(SUBSTITUTE(SUBSTITUTE(SUBSTITUTE(K607:K611," ",""),"0",""),"-","")))</f>
      </c>
      <c r="L606" s="18"/>
      <c r="M606" s="14" t="str">
        <f>SUMPRODUCT(LEN(SUBSTITUTE(SUBSTITUTE(SUBSTITUTE(M607:M611," ",""),"0",""),"-",""))+LEN(SUBSTITUTE(SUBSTITUTE(SUBSTITUTE(N607:N611," ",""),"0",""),"-","")))</f>
      </c>
      <c r="N606" s="14" t="str">
        <f>SUMPRODUCT((UPPER(L607:L611)&lt;&gt;"X")*((LEN(SUBSTITUTE(SUBSTITUTE(SUBSTITUTE(M607:M611," ",""),"0",""),"-",""))+LEN(SUBSTITUTE(SUBSTITUTE(SUBSTITUTE(N607:N611," ",""),"0",""),"-","")))&gt;(LEN(SUBSTITUTE(SUBSTITUTE(SUBSTITUTE(J607:J611," ",""),"0",""),"-",""))+LEN(SUBSTITUTE(SUBSTITUTE(SUBSTITUTE(K607:K611," ",""),"0",""),"-",""))))*1)</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SUMPRODUCT((UPPER(D615:D619)&lt;&gt;"X")*((LEN(SUBSTITUTE(SUBSTITUTE(SUBSTITUTE(B615:B619," ",""),"0",""),"-",""))+LEN(SUBSTITUTE(SUBSTITUTE(SUBSTITUTE(C615:C619," ",""),"0",""),"-","")))&gt;(LEN(SUBSTITUTE(SUBSTITUTE(SUBSTITUTE(E615:E619," ",""),"0",""),"-",""))+LEN(SUBSTITUTE(SUBSTITUTE(SUBSTITUTE(F615:F619," ",""),"0",""),"-",""))))*1)</f>
      </c>
      <c r="C614" s="14" t="str">
        <f>SUMPRODUCT(LEN(SUBSTITUTE(SUBSTITUTE(SUBSTITUTE(B615:B619," ",""),"0",""),"-",""))+LEN(SUBSTITUTE(SUBSTITUTE(SUBSTITUTE(C615:C619," ",""),"0",""),"-","")))</f>
      </c>
      <c r="D614" s="18"/>
      <c r="E614" s="14" t="str">
        <f>SUMPRODUCT(LEN(SUBSTITUTE(SUBSTITUTE(SUBSTITUTE(E615:E619," ",""),"0",""),"-",""))+LEN(SUBSTITUTE(SUBSTITUTE(SUBSTITUTE(F615:F619," ",""),"0",""),"-","")))</f>
      </c>
      <c r="F614" s="14" t="str">
        <f>SUMPRODUCT((UPPER(D615:D619)&lt;&gt;"X")*((LEN(SUBSTITUTE(SUBSTITUTE(SUBSTITUTE(E615:E619," ",""),"0",""),"-",""))+LEN(SUBSTITUTE(SUBSTITUTE(SUBSTITUTE(F615:F619," ",""),"0",""),"-","")))&gt;(LEN(SUBSTITUTE(SUBSTITUTE(SUBSTITUTE(B615:B619," ",""),"0",""),"-",""))+LEN(SUBSTITUTE(SUBSTITUTE(SUBSTITUTE(C615:C619," ",""),"0",""),"-",""))))*1)</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SUMPRODUCT((UPPER(D623:D627)&lt;&gt;"X")*((LEN(SUBSTITUTE(SUBSTITUTE(SUBSTITUTE(B623:B627," ",""),"0",""),"-",""))+LEN(SUBSTITUTE(SUBSTITUTE(SUBSTITUTE(C623:C627," ",""),"0",""),"-","")))&gt;(LEN(SUBSTITUTE(SUBSTITUTE(SUBSTITUTE(E623:E627," ",""),"0",""),"-",""))+LEN(SUBSTITUTE(SUBSTITUTE(SUBSTITUTE(F623:F627," ",""),"0",""),"-",""))))*1)</f>
      </c>
      <c r="C622" s="14" t="str">
        <f>SUMPRODUCT(LEN(SUBSTITUTE(SUBSTITUTE(SUBSTITUTE(B623:B627," ",""),"0",""),"-",""))+LEN(SUBSTITUTE(SUBSTITUTE(SUBSTITUTE(C623:C627," ",""),"0",""),"-","")))</f>
      </c>
      <c r="D622" s="18"/>
      <c r="E622" s="14" t="str">
        <f>SUMPRODUCT(LEN(SUBSTITUTE(SUBSTITUTE(SUBSTITUTE(E623:E627," ",""),"0",""),"-",""))+LEN(SUBSTITUTE(SUBSTITUTE(SUBSTITUTE(F623:F627," ",""),"0",""),"-","")))</f>
      </c>
      <c r="F622" s="14" t="str">
        <f>SUMPRODUCT((UPPER(D623:D627)&lt;&gt;"X")*((LEN(SUBSTITUTE(SUBSTITUTE(SUBSTITUTE(E623:E627," ",""),"0",""),"-",""))+LEN(SUBSTITUTE(SUBSTITUTE(SUBSTITUTE(F623:F627," ",""),"0",""),"-","")))&gt;(LEN(SUBSTITUTE(SUBSTITUTE(SUBSTITUTE(B623:B627," ",""),"0",""),"-",""))+LEN(SUBSTITUTE(SUBSTITUTE(SUBSTITUTE(C623:C627," ",""),"0",""),"-",""))))*1)</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SUMPRODUCT((UPPER(D650:D654)&lt;&gt;"X")*((LEN(SUBSTITUTE(SUBSTITUTE(SUBSTITUTE(B650:B654," ",""),"0",""),"-",""))+LEN(SUBSTITUTE(SUBSTITUTE(SUBSTITUTE(C650:C654," ",""),"0",""),"-","")))&gt;(LEN(SUBSTITUTE(SUBSTITUTE(SUBSTITUTE(E650:E654," ",""),"0",""),"-",""))+LEN(SUBSTITUTE(SUBSTITUTE(SUBSTITUTE(F650:F654," ",""),"0",""),"-",""))))*1)</f>
      </c>
      <c r="C649" s="14" t="str">
        <f>SUMPRODUCT(LEN(SUBSTITUTE(SUBSTITUTE(SUBSTITUTE(B650:B654," ",""),"0",""),"-",""))+LEN(SUBSTITUTE(SUBSTITUTE(SUBSTITUTE(C650:C654," ",""),"0",""),"-","")))</f>
      </c>
      <c r="D649" s="18"/>
      <c r="E649" s="14" t="str">
        <f>SUMPRODUCT(LEN(SUBSTITUTE(SUBSTITUTE(SUBSTITUTE(E650:E654," ",""),"0",""),"-",""))+LEN(SUBSTITUTE(SUBSTITUTE(SUBSTITUTE(F650:F654," ",""),"0",""),"-","")))</f>
      </c>
      <c r="F649" s="14" t="str">
        <f>SUMPRODUCT((UPPER(D650:D654)&lt;&gt;"X")*((LEN(SUBSTITUTE(SUBSTITUTE(SUBSTITUTE(E650:E654," ",""),"0",""),"-",""))+LEN(SUBSTITUTE(SUBSTITUTE(SUBSTITUTE(F650:F654," ",""),"0",""),"-","")))&gt;(LEN(SUBSTITUTE(SUBSTITUTE(SUBSTITUTE(B650:B654," ",""),"0",""),"-",""))+LEN(SUBSTITUTE(SUBSTITUTE(SUBSTITUTE(C650:C654," ",""),"0",""),"-",""))))*1)</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Matches'!G87)</f>
      </c>
      <c r="B4" s="14"/>
      <c r="C4" s="14"/>
      <c r="D4" s="18"/>
      <c r="E4" s="14"/>
      <c r="F4" s="14"/>
      <c r="G4" s="14" t="str">
        <f>CONCATENATE("Pool C-1st ",'Pool Matches'!G129)</f>
      </c>
      <c r="I4" s="14" t="str">
        <f>CONCATENATE("Pool C-2nd ",'Pool Matches'!G130)</f>
      </c>
      <c r="J4" s="14"/>
      <c r="K4" s="14"/>
      <c r="L4" s="18"/>
      <c r="M4" s="14"/>
      <c r="N4" s="14"/>
      <c r="O4" s="14" t="str">
        <f>CONCATENATE("Pool A-2nd ",'Pool Matches'!G44)</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Matches'!G87)</f>
      </c>
      <c r="B11" s="14" t="s">
        <v>247</v>
      </c>
      <c r="C11" s="14" t="s">
        <v>250</v>
      </c>
      <c r="D11" s="14"/>
      <c r="E11" s="14" t="s">
        <v>250</v>
      </c>
      <c r="F11" s="14" t="s">
        <v>247</v>
      </c>
      <c r="G11" s="14" t="str">
        <f>CONCATENATE("Pool C-1st ",'Pool Matches'!G129)</f>
      </c>
      <c r="I11" s="14" t="str">
        <f>CONCATENATE("Pool C-2nd ",'Pool Matches'!G130)</f>
      </c>
      <c r="J11" s="14" t="s">
        <v>247</v>
      </c>
      <c r="K11" s="14" t="s">
        <v>250</v>
      </c>
      <c r="L11" s="14"/>
      <c r="M11" s="14" t="s">
        <v>250</v>
      </c>
      <c r="N11" s="14" t="s">
        <v>247</v>
      </c>
      <c r="O11" s="14" t="str">
        <f>CONCATENATE("Pool A-2nd ",'Pool Matches'!G44)</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Matches'!G173)</f>
      </c>
      <c r="B20" s="14"/>
      <c r="C20" s="14"/>
      <c r="D20" s="18"/>
      <c r="E20" s="14"/>
      <c r="F20" s="14"/>
      <c r="G20" s="14" t="str">
        <f>CONCATENATE("Pool E-1st ",'Pool Matches'!G215)</f>
      </c>
      <c r="I20" s="14" t="str">
        <f>CONCATENATE("Pool E-2nd ",'Pool Matches'!G216)</f>
      </c>
      <c r="J20" s="14"/>
      <c r="K20" s="14"/>
      <c r="L20" s="18"/>
      <c r="M20" s="14"/>
      <c r="N20" s="14"/>
      <c r="O20" s="14" t="str">
        <f>CONCATENATE("Pool D-1st ",'Pool Matches'!G172)</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Matches'!G173)</f>
      </c>
      <c r="B27" s="14" t="s">
        <v>247</v>
      </c>
      <c r="C27" s="14" t="s">
        <v>250</v>
      </c>
      <c r="D27" s="14"/>
      <c r="E27" s="14" t="s">
        <v>250</v>
      </c>
      <c r="F27" s="14" t="s">
        <v>247</v>
      </c>
      <c r="G27" s="14" t="str">
        <f>CONCATENATE("Pool E-1st ",'Pool Matches'!G215)</f>
      </c>
      <c r="I27" s="14" t="str">
        <f>CONCATENATE("Pool E-2nd ",'Pool Matches'!G216)</f>
      </c>
      <c r="J27" s="14" t="s">
        <v>247</v>
      </c>
      <c r="K27" s="14" t="s">
        <v>250</v>
      </c>
      <c r="L27" s="14"/>
      <c r="M27" s="14" t="s">
        <v>250</v>
      </c>
      <c r="N27" s="14" t="s">
        <v>247</v>
      </c>
      <c r="O27" s="14" t="str">
        <f>CONCATENATE("Pool D-1st ",'Pool Matches'!G172)</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Matches'!G259)</f>
      </c>
      <c r="B36" s="14"/>
      <c r="C36" s="14"/>
      <c r="D36" s="18"/>
      <c r="E36" s="14"/>
      <c r="F36" s="14"/>
      <c r="G36" s="14" t="str">
        <f>CONCATENATE("Pool G-1st ",'Pool Matches'!G301)</f>
      </c>
      <c r="I36" s="14" t="str">
        <f>CONCATENATE("Pool G-2nd ",'Pool Matches'!G302)</f>
      </c>
      <c r="J36" s="14"/>
      <c r="K36" s="14"/>
      <c r="L36" s="18"/>
      <c r="M36" s="14"/>
      <c r="N36" s="14"/>
      <c r="O36" s="14" t="str">
        <f>CONCATENATE("Pool F-1st ",'Pool Matches'!G258)</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Matches'!G259)</f>
      </c>
      <c r="B43" s="14" t="s">
        <v>247</v>
      </c>
      <c r="C43" s="14" t="s">
        <v>250</v>
      </c>
      <c r="D43" s="14"/>
      <c r="E43" s="14" t="s">
        <v>250</v>
      </c>
      <c r="F43" s="14" t="s">
        <v>247</v>
      </c>
      <c r="G43" s="14" t="str">
        <f>CONCATENATE("Pool G-1st ",'Pool Matches'!G301)</f>
      </c>
      <c r="I43" s="14" t="str">
        <f>CONCATENATE("Pool G-2nd ",'Pool Matches'!G302)</f>
      </c>
      <c r="J43" s="14" t="s">
        <v>247</v>
      </c>
      <c r="K43" s="14" t="s">
        <v>250</v>
      </c>
      <c r="L43" s="14"/>
      <c r="M43" s="14" t="s">
        <v>250</v>
      </c>
      <c r="N43" s="14" t="s">
        <v>247</v>
      </c>
      <c r="O43" s="14" t="str">
        <f>CONCATENATE("Pool F-1st ",'Pool Matches'!G258)</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Matches'!G345)</f>
      </c>
      <c r="B52" s="14"/>
      <c r="C52" s="14"/>
      <c r="D52" s="18"/>
      <c r="E52" s="14"/>
      <c r="F52" s="14"/>
      <c r="G52" s="14" t="str">
        <f>CONCATENATE("Pool I-1st ",'Pool Matches'!G387)</f>
      </c>
      <c r="I52" s="14" t="str">
        <f>CONCATENATE("Pool I-2nd ",'Pool Matches'!G388)</f>
      </c>
      <c r="J52" s="14"/>
      <c r="K52" s="14"/>
      <c r="L52" s="18"/>
      <c r="M52" s="14"/>
      <c r="N52" s="14"/>
      <c r="O52" s="14" t="str">
        <f>CONCATENATE("Pool H-1st ",'Pool Matches'!G344)</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Matches'!G345)</f>
      </c>
      <c r="B59" s="14" t="s">
        <v>247</v>
      </c>
      <c r="C59" s="14" t="s">
        <v>250</v>
      </c>
      <c r="D59" s="14"/>
      <c r="E59" s="14" t="s">
        <v>250</v>
      </c>
      <c r="F59" s="14" t="s">
        <v>247</v>
      </c>
      <c r="G59" s="14" t="str">
        <f>CONCATENATE("Pool I-1st ",'Pool Matches'!G387)</f>
      </c>
      <c r="I59" s="14" t="str">
        <f>CONCATENATE("Pool I-2nd ",'Pool Matches'!G388)</f>
      </c>
      <c r="J59" s="14" t="s">
        <v>247</v>
      </c>
      <c r="K59" s="14" t="s">
        <v>250</v>
      </c>
      <c r="L59" s="14"/>
      <c r="M59" s="14" t="s">
        <v>250</v>
      </c>
      <c r="N59" s="14" t="s">
        <v>247</v>
      </c>
      <c r="O59" s="14" t="str">
        <f>CONCATENATE("Pool H-1st ",'Pool Matches'!G344)</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Matches'!G431)</f>
      </c>
      <c r="B68" s="14"/>
      <c r="C68" s="14"/>
      <c r="D68" s="18"/>
      <c r="E68" s="14"/>
      <c r="F68" s="14"/>
      <c r="G68" s="14" t="str">
        <f>CONCATENATE("Pool K-1st ",'Pool Matches'!G473)</f>
      </c>
      <c r="I68" s="14" t="str">
        <f>CONCATENATE("Pool K-2nd ",'Pool Matches'!G474)</f>
      </c>
      <c r="J68" s="14"/>
      <c r="K68" s="14"/>
      <c r="L68" s="18"/>
      <c r="M68" s="14"/>
      <c r="N68" s="14"/>
      <c r="O68" s="14" t="str">
        <f>CONCATENATE("Pool J-1st ",'Pool Matches'!G430)</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Matches'!G431)</f>
      </c>
      <c r="B75" s="14" t="s">
        <v>247</v>
      </c>
      <c r="C75" s="14" t="s">
        <v>250</v>
      </c>
      <c r="D75" s="14"/>
      <c r="E75" s="14" t="s">
        <v>250</v>
      </c>
      <c r="F75" s="14" t="s">
        <v>247</v>
      </c>
      <c r="G75" s="14" t="str">
        <f>CONCATENATE("Pool K-1st ",'Pool Matches'!G473)</f>
      </c>
      <c r="I75" s="14" t="str">
        <f>CONCATENATE("Pool K-2nd ",'Pool Matches'!G474)</f>
      </c>
      <c r="J75" s="14" t="s">
        <v>247</v>
      </c>
      <c r="K75" s="14" t="s">
        <v>250</v>
      </c>
      <c r="L75" s="14"/>
      <c r="M75" s="14" t="s">
        <v>250</v>
      </c>
      <c r="N75" s="14" t="s">
        <v>247</v>
      </c>
      <c r="O75" s="14" t="str">
        <f>CONCATENATE("Pool J-1st ",'Pool Matches'!G430)</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Matches'!G517)</f>
      </c>
      <c r="B84" s="14"/>
      <c r="C84" s="14"/>
      <c r="D84" s="18"/>
      <c r="E84" s="14"/>
      <c r="F84" s="14"/>
      <c r="G84" s="14" t="str">
        <f>CONCATENATE("Pool M-1st ",'Pool Matches'!G559)</f>
      </c>
      <c r="I84" s="14" t="str">
        <f>CONCATENATE("Pool M-2nd ",'Pool Matches'!G560)</f>
      </c>
      <c r="J84" s="14"/>
      <c r="K84" s="14"/>
      <c r="L84" s="18"/>
      <c r="M84" s="14"/>
      <c r="N84" s="14"/>
      <c r="O84" s="14" t="str">
        <f>CONCATENATE("Pool L-1st ",'Pool Matches'!G516)</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Matches'!G517)</f>
      </c>
      <c r="B91" s="14" t="s">
        <v>247</v>
      </c>
      <c r="C91" s="14" t="s">
        <v>250</v>
      </c>
      <c r="D91" s="14"/>
      <c r="E91" s="14" t="s">
        <v>250</v>
      </c>
      <c r="F91" s="14" t="s">
        <v>247</v>
      </c>
      <c r="G91" s="14" t="str">
        <f>CONCATENATE("Pool M-1st ",'Pool Matches'!G559)</f>
      </c>
      <c r="I91" s="14" t="str">
        <f>CONCATENATE("Pool M-2nd ",'Pool Matches'!G560)</f>
      </c>
      <c r="J91" s="14" t="s">
        <v>247</v>
      </c>
      <c r="K91" s="14" t="s">
        <v>250</v>
      </c>
      <c r="L91" s="14"/>
      <c r="M91" s="14" t="s">
        <v>250</v>
      </c>
      <c r="N91" s="14" t="s">
        <v>247</v>
      </c>
      <c r="O91" s="14" t="str">
        <f>CONCATENATE("Pool L-1st ",'Pool Matches'!G516)</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Matches'!G603)</f>
      </c>
      <c r="B100" s="14"/>
      <c r="C100" s="14"/>
      <c r="D100" s="18"/>
      <c r="E100" s="14"/>
      <c r="F100" s="14"/>
      <c r="G100" s="14" t="str">
        <f>CONCATENATE("Pool O-1st ",'Pool Matches'!G645)</f>
      </c>
      <c r="I100" s="14" t="str">
        <f>CONCATENATE("Pool O-2nd ",'Pool Matches'!G646)</f>
      </c>
      <c r="J100" s="14"/>
      <c r="K100" s="14"/>
      <c r="L100" s="18"/>
      <c r="M100" s="14"/>
      <c r="N100" s="14"/>
      <c r="O100" s="14" t="str">
        <f>CONCATENATE("Pool N-1st ",'Pool Matches'!G602)</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Matches'!G603)</f>
      </c>
      <c r="B107" s="14" t="s">
        <v>247</v>
      </c>
      <c r="C107" s="14" t="s">
        <v>250</v>
      </c>
      <c r="D107" s="14"/>
      <c r="E107" s="14" t="s">
        <v>250</v>
      </c>
      <c r="F107" s="14" t="s">
        <v>247</v>
      </c>
      <c r="G107" s="14" t="str">
        <f>CONCATENATE("Pool O-1st ",'Pool Matches'!G645)</f>
      </c>
      <c r="I107" s="14" t="str">
        <f>CONCATENATE("Pool O-2nd ",'Pool Matches'!G646)</f>
      </c>
      <c r="J107" s="14" t="s">
        <v>247</v>
      </c>
      <c r="K107" s="14" t="s">
        <v>250</v>
      </c>
      <c r="L107" s="14"/>
      <c r="M107" s="14" t="s">
        <v>250</v>
      </c>
      <c r="N107" s="14" t="s">
        <v>247</v>
      </c>
      <c r="O107" s="14" t="str">
        <f>CONCATENATE("Pool N-1st ",'Pool Matches'!G602)</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Matches'!G670)</f>
      </c>
      <c r="B116" s="14"/>
      <c r="C116" s="14"/>
      <c r="D116" s="18"/>
      <c r="E116" s="14"/>
      <c r="F116" s="14"/>
      <c r="G116" s="14" t="str">
        <f>CONCATENATE("Pool Q-1st ",'Pool Matches'!O43)</f>
      </c>
      <c r="I116" s="14" t="str">
        <f>CONCATENATE("Pool Q-2nd ",'Pool Matches'!O44)</f>
      </c>
      <c r="J116" s="14"/>
      <c r="K116" s="14"/>
      <c r="L116" s="18"/>
      <c r="M116" s="14"/>
      <c r="N116" s="14"/>
      <c r="O116" s="14" t="str">
        <f>CONCATENATE("Pool P-1st ",'Pool Matches'!G669)</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Matches'!G670)</f>
      </c>
      <c r="B123" s="14" t="s">
        <v>247</v>
      </c>
      <c r="C123" s="14" t="s">
        <v>250</v>
      </c>
      <c r="D123" s="14"/>
      <c r="E123" s="14" t="s">
        <v>250</v>
      </c>
      <c r="F123" s="14" t="s">
        <v>247</v>
      </c>
      <c r="G123" s="14" t="str">
        <f>CONCATENATE("Pool Q-1st ",'Pool Matches'!O43)</f>
      </c>
      <c r="I123" s="14" t="str">
        <f>CONCATENATE("Pool Q-2nd ",'Pool Matches'!O44)</f>
      </c>
      <c r="J123" s="14" t="s">
        <v>247</v>
      </c>
      <c r="K123" s="14" t="s">
        <v>250</v>
      </c>
      <c r="L123" s="14"/>
      <c r="M123" s="14" t="s">
        <v>250</v>
      </c>
      <c r="N123" s="14" t="s">
        <v>247</v>
      </c>
      <c r="O123" s="14" t="str">
        <f>CONCATENATE("Pool P-1st ",'Pool Matches'!G669)</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Matches'!O87)</f>
      </c>
      <c r="B132" s="14"/>
      <c r="C132" s="14"/>
      <c r="D132" s="18"/>
      <c r="E132" s="14"/>
      <c r="F132" s="14"/>
      <c r="G132" s="14" t="str">
        <f>CONCATENATE("Pool S-1st ",'Pool Matches'!O129)</f>
      </c>
      <c r="I132" s="14" t="str">
        <f>CONCATENATE("Pool S-2nd ",'Pool Matches'!O130)</f>
      </c>
      <c r="J132" s="14"/>
      <c r="K132" s="14"/>
      <c r="L132" s="18"/>
      <c r="M132" s="14"/>
      <c r="N132" s="14"/>
      <c r="O132" s="14" t="str">
        <f>CONCATENATE("Pool R-1st ",'Pool Matches'!O86)</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Matches'!O87)</f>
      </c>
      <c r="B139" s="14" t="s">
        <v>247</v>
      </c>
      <c r="C139" s="14" t="s">
        <v>250</v>
      </c>
      <c r="D139" s="14"/>
      <c r="E139" s="14" t="s">
        <v>250</v>
      </c>
      <c r="F139" s="14" t="s">
        <v>247</v>
      </c>
      <c r="G139" s="14" t="str">
        <f>CONCATENATE("Pool S-1st ",'Pool Matches'!O129)</f>
      </c>
      <c r="I139" s="14" t="str">
        <f>CONCATENATE("Pool S-2nd ",'Pool Matches'!O130)</f>
      </c>
      <c r="J139" s="14" t="s">
        <v>247</v>
      </c>
      <c r="K139" s="14" t="s">
        <v>250</v>
      </c>
      <c r="L139" s="14"/>
      <c r="M139" s="14" t="s">
        <v>250</v>
      </c>
      <c r="N139" s="14" t="s">
        <v>247</v>
      </c>
      <c r="O139" s="14" t="str">
        <f>CONCATENATE("Pool R-1st ",'Pool Matches'!O86)</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Matches'!O173)</f>
      </c>
      <c r="B148" s="14"/>
      <c r="C148" s="14"/>
      <c r="D148" s="18"/>
      <c r="E148" s="14"/>
      <c r="F148" s="14"/>
      <c r="G148" s="14" t="str">
        <f>CONCATENATE("Pool U-1st ",'Pool Matches'!O215)</f>
      </c>
      <c r="I148" s="14" t="str">
        <f>CONCATENATE("Pool U-2nd ",'Pool Matches'!O216)</f>
      </c>
      <c r="J148" s="14"/>
      <c r="K148" s="14"/>
      <c r="L148" s="18"/>
      <c r="M148" s="14"/>
      <c r="N148" s="14"/>
      <c r="O148" s="14" t="str">
        <f>CONCATENATE("Pool T-1st ",'Pool Matches'!O172)</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Matches'!O173)</f>
      </c>
      <c r="B155" s="14" t="s">
        <v>247</v>
      </c>
      <c r="C155" s="14" t="s">
        <v>250</v>
      </c>
      <c r="D155" s="14"/>
      <c r="E155" s="14" t="s">
        <v>250</v>
      </c>
      <c r="F155" s="14" t="s">
        <v>247</v>
      </c>
      <c r="G155" s="14" t="str">
        <f>CONCATENATE("Pool U-1st ",'Pool Matches'!O215)</f>
      </c>
      <c r="I155" s="14" t="str">
        <f>CONCATENATE("Pool U-2nd ",'Pool Matches'!O216)</f>
      </c>
      <c r="J155" s="14" t="s">
        <v>247</v>
      </c>
      <c r="K155" s="14" t="s">
        <v>250</v>
      </c>
      <c r="L155" s="14"/>
      <c r="M155" s="14" t="s">
        <v>250</v>
      </c>
      <c r="N155" s="14" t="s">
        <v>247</v>
      </c>
      <c r="O155" s="14" t="str">
        <f>CONCATENATE("Pool T-1st ",'Pool Matches'!O172)</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Matches'!O259)</f>
      </c>
      <c r="B164" s="14"/>
      <c r="C164" s="14"/>
      <c r="D164" s="18"/>
      <c r="E164" s="14"/>
      <c r="F164" s="14"/>
      <c r="G164" s="14" t="str">
        <f>CONCATENATE("Pool W-1st ",'Pool Matches'!O301)</f>
      </c>
      <c r="I164" s="14" t="str">
        <f>CONCATENATE("Pool W-2nd ",'Pool Matches'!O302)</f>
      </c>
      <c r="J164" s="14"/>
      <c r="K164" s="14"/>
      <c r="L164" s="18"/>
      <c r="M164" s="14"/>
      <c r="N164" s="14"/>
      <c r="O164" s="14" t="str">
        <f>CONCATENATE("Pool V-1st ",'Pool Matches'!O258)</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Matches'!O259)</f>
      </c>
      <c r="B171" s="14" t="s">
        <v>247</v>
      </c>
      <c r="C171" s="14" t="s">
        <v>250</v>
      </c>
      <c r="D171" s="14"/>
      <c r="E171" s="14" t="s">
        <v>250</v>
      </c>
      <c r="F171" s="14" t="s">
        <v>247</v>
      </c>
      <c r="G171" s="14" t="str">
        <f>CONCATENATE("Pool W-1st ",'Pool Matches'!O301)</f>
      </c>
      <c r="I171" s="14" t="str">
        <f>CONCATENATE("Pool W-2nd ",'Pool Matches'!O302)</f>
      </c>
      <c r="J171" s="14" t="s">
        <v>247</v>
      </c>
      <c r="K171" s="14" t="s">
        <v>250</v>
      </c>
      <c r="L171" s="14"/>
      <c r="M171" s="14" t="s">
        <v>250</v>
      </c>
      <c r="N171" s="14" t="s">
        <v>247</v>
      </c>
      <c r="O171" s="14" t="str">
        <f>CONCATENATE("Pool V-1st ",'Pool Matches'!O258)</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Matches'!O345)</f>
      </c>
      <c r="B180" s="14"/>
      <c r="C180" s="14"/>
      <c r="D180" s="18"/>
      <c r="E180" s="14"/>
      <c r="F180" s="14"/>
      <c r="G180" s="14" t="str">
        <f>CONCATENATE("Pool Y-1st ",'Pool Matches'!O387)</f>
      </c>
      <c r="I180" s="14" t="str">
        <f>CONCATENATE("Pool Y-2nd ",'Pool Matches'!O388)</f>
      </c>
      <c r="J180" s="14"/>
      <c r="K180" s="14"/>
      <c r="L180" s="18"/>
      <c r="M180" s="14"/>
      <c r="N180" s="14"/>
      <c r="O180" s="14" t="str">
        <f>CONCATENATE("Pool X-1st ",'Pool Matches'!O344)</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Matches'!O345)</f>
      </c>
      <c r="B187" s="14" t="s">
        <v>247</v>
      </c>
      <c r="C187" s="14" t="s">
        <v>250</v>
      </c>
      <c r="D187" s="14"/>
      <c r="E187" s="14" t="s">
        <v>250</v>
      </c>
      <c r="F187" s="14" t="s">
        <v>247</v>
      </c>
      <c r="G187" s="14" t="str">
        <f>CONCATENATE("Pool Y-1st ",'Pool Matches'!O387)</f>
      </c>
      <c r="I187" s="14" t="str">
        <f>CONCATENATE("Pool Y-2nd ",'Pool Matches'!O388)</f>
      </c>
      <c r="J187" s="14" t="s">
        <v>247</v>
      </c>
      <c r="K187" s="14" t="s">
        <v>250</v>
      </c>
      <c r="L187" s="14"/>
      <c r="M187" s="14" t="s">
        <v>250</v>
      </c>
      <c r="N187" s="14" t="s">
        <v>247</v>
      </c>
      <c r="O187" s="14" t="str">
        <f>CONCATENATE("Pool X-1st ",'Pool Matches'!O344)</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Matches'!O431)</f>
      </c>
      <c r="B196" s="14"/>
      <c r="C196" s="14"/>
      <c r="D196" s="18"/>
      <c r="E196" s="14"/>
      <c r="F196" s="14"/>
      <c r="G196" s="14" t="str">
        <f>CONCATENATE("Pool AA-1st ",'Pool Matches'!O473)</f>
      </c>
      <c r="I196" s="14" t="str">
        <f>CONCATENATE("Pool AA-2nd ",'Pool Matches'!O474)</f>
      </c>
      <c r="J196" s="14"/>
      <c r="K196" s="14"/>
      <c r="L196" s="18"/>
      <c r="M196" s="14"/>
      <c r="N196" s="14"/>
      <c r="O196" s="14" t="str">
        <f>CONCATENATE("Pool Z-1st ",'Pool Matches'!O430)</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Matches'!O431)</f>
      </c>
      <c r="B203" s="14" t="s">
        <v>247</v>
      </c>
      <c r="C203" s="14" t="s">
        <v>250</v>
      </c>
      <c r="D203" s="14"/>
      <c r="E203" s="14" t="s">
        <v>250</v>
      </c>
      <c r="F203" s="14" t="s">
        <v>247</v>
      </c>
      <c r="G203" s="14" t="str">
        <f>CONCATENATE("Pool AA-1st ",'Pool Matches'!O473)</f>
      </c>
      <c r="I203" s="14" t="str">
        <f>CONCATENATE("Pool AA-2nd ",'Pool Matches'!O474)</f>
      </c>
      <c r="J203" s="14" t="s">
        <v>247</v>
      </c>
      <c r="K203" s="14" t="s">
        <v>250</v>
      </c>
      <c r="L203" s="14"/>
      <c r="M203" s="14" t="s">
        <v>250</v>
      </c>
      <c r="N203" s="14" t="s">
        <v>247</v>
      </c>
      <c r="O203" s="14" t="str">
        <f>CONCATENATE("Pool Z-1st ",'Pool Matches'!O430)</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Matches'!O517)</f>
      </c>
      <c r="B212" s="14"/>
      <c r="C212" s="14"/>
      <c r="D212" s="18"/>
      <c r="E212" s="14"/>
      <c r="F212" s="14"/>
      <c r="G212" s="14" t="str">
        <f>CONCATENATE("Pool CC-1st ",'Pool Matches'!O559)</f>
      </c>
      <c r="I212" s="14" t="str">
        <f>CONCATENATE("Pool CC-2nd ",'Pool Matches'!O560)</f>
      </c>
      <c r="J212" s="14"/>
      <c r="K212" s="14"/>
      <c r="L212" s="18"/>
      <c r="M212" s="14"/>
      <c r="N212" s="14"/>
      <c r="O212" s="14" t="str">
        <f>CONCATENATE("Pool BB-1st ",'Pool Matches'!O516)</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Matches'!O517)</f>
      </c>
      <c r="B219" s="14" t="s">
        <v>247</v>
      </c>
      <c r="C219" s="14" t="s">
        <v>250</v>
      </c>
      <c r="D219" s="14"/>
      <c r="E219" s="14" t="s">
        <v>250</v>
      </c>
      <c r="F219" s="14" t="s">
        <v>247</v>
      </c>
      <c r="G219" s="14" t="str">
        <f>CONCATENATE("Pool CC-1st ",'Pool Matches'!O559)</f>
      </c>
      <c r="I219" s="14" t="str">
        <f>CONCATENATE("Pool CC-2nd ",'Pool Matches'!O560)</f>
      </c>
      <c r="J219" s="14" t="s">
        <v>247</v>
      </c>
      <c r="K219" s="14" t="s">
        <v>250</v>
      </c>
      <c r="L219" s="14"/>
      <c r="M219" s="14" t="s">
        <v>250</v>
      </c>
      <c r="N219" s="14" t="s">
        <v>247</v>
      </c>
      <c r="O219" s="14" t="str">
        <f>CONCATENATE("Pool BB-1st ",'Pool Matches'!O516)</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Matches'!O603)</f>
      </c>
      <c r="B228" s="14"/>
      <c r="C228" s="14"/>
      <c r="D228" s="18"/>
      <c r="E228" s="14"/>
      <c r="F228" s="14"/>
      <c r="G228" s="14" t="str">
        <f>CONCATENATE("Pool EE-1st ",'Pool Matches'!O642)</f>
      </c>
      <c r="I228" s="14" t="str">
        <f>CONCATENATE("Pool EE-2nd ",'Pool Matches'!O643)</f>
      </c>
      <c r="J228" s="14"/>
      <c r="K228" s="14"/>
      <c r="L228" s="18"/>
      <c r="M228" s="14"/>
      <c r="N228" s="14"/>
      <c r="O228" s="14" t="str">
        <f>CONCATENATE("Pool DD-1st ",'Pool Matches'!O602)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Matches'!O603)</f>
      </c>
      <c r="B235" s="14" t="s">
        <v>247</v>
      </c>
      <c r="C235" s="14" t="s">
        <v>250</v>
      </c>
      <c r="D235" s="14"/>
      <c r="E235" s="14" t="s">
        <v>250</v>
      </c>
      <c r="F235" s="14" t="s">
        <v>247</v>
      </c>
      <c r="G235" s="14" t="str">
        <f>CONCATENATE("Pool EE-1st ",'Pool Matches'!O642)</f>
      </c>
      <c r="I235" s="14" t="str">
        <f>CONCATENATE("Pool EE-2nd ",'Pool Matches'!O643)</f>
      </c>
      <c r="J235" s="14" t="s">
        <v>247</v>
      </c>
      <c r="K235" s="14" t="s">
        <v>250</v>
      </c>
      <c r="L235" s="14"/>
      <c r="M235" s="14" t="s">
        <v>250</v>
      </c>
      <c r="N235" s="14" t="s">
        <v>247</v>
      </c>
      <c r="O235" s="14" t="str">
        <f>CONCATENATE("Pool DD-1st ",'Pool Matches'!O602)</f>
      </c>
    </row>
    <row r="236">
      <c r="A236" s="14" t="s">
        <v>348</v>
      </c>
      <c r="B236" s="14" t="str">
        <f>SUMPRODUCT((UPPER(D229:D233)&lt;&gt;"X")*((LEN(SUBSTITUTE(SUBSTITUTE(SUBSTITUTE(B229:B233," ",""),"0",""),"-",""))+LEN(SUBSTITUTE(SUBSTITUTE(SUBSTITUTE(C229:C233," ",""),"0",""),"-","")))&gt;(LEN(SUBSTITUTE(SUBSTITUTE(SUBSTITUTE(E229:E233," ",""),"0",""),"-",""))+LEN(SUBSTITUTE(SUBSTITUTE(SUBSTITUTE(F229:F233," ",""),"0",""),"-",""))))*1)</f>
      </c>
      <c r="C236" s="14" t="str">
        <f>SUMPRODUCT(LEN(SUBSTITUTE(SUBSTITUTE(SUBSTITUTE(B229:B233," ",""),"0",""),"-",""))+LEN(SUBSTITUTE(SUBSTITUTE(SUBSTITUTE(C229:C233," ",""),"0",""),"-","")))</f>
      </c>
      <c r="D236" s="14"/>
      <c r="E236" s="14" t="str">
        <f>SUMPRODUCT(LEN(SUBSTITUTE(SUBSTITUTE(SUBSTITUTE(E229:E233," ",""),"0",""),"-",""))+LEN(SUBSTITUTE(SUBSTITUTE(SUBSTITUTE(F229:F233," ",""),"0",""),"-","")))</f>
      </c>
      <c r="F236" s="14" t="str">
        <f>SUMPRODUCT((UPPER(D229:D233)&lt;&gt;"X")*((LEN(SUBSTITUTE(SUBSTITUTE(SUBSTITUTE(E229:E233," ",""),"0",""),"-",""))+LEN(SUBSTITUTE(SUBSTITUTE(SUBSTITUTE(F229:F233," ",""),"0",""),"-","")))&gt;(LEN(SUBSTITUTE(SUBSTITUTE(SUBSTITUTE(B229:B233," ",""),"0",""),"-",""))+LEN(SUBSTITUTE(SUBSTITUTE(SUBSTITUTE(C229:C233," ",""),"0",""),"-",""))))*1)</f>
      </c>
      <c r="G236" s="14" t="s">
        <v>348</v>
      </c>
      <c r="I236" s="14" t="s">
        <v>348</v>
      </c>
      <c r="J236" s="14" t="str">
        <f>SUMPRODUCT((UPPER(L229:L233)&lt;&gt;"X")*((LEN(SUBSTITUTE(SUBSTITUTE(SUBSTITUTE(J229:J233," ",""),"0",""),"-",""))+LEN(SUBSTITUTE(SUBSTITUTE(SUBSTITUTE(K229:K233," ",""),"0",""),"-","")))&gt;(LEN(SUBSTITUTE(SUBSTITUTE(SUBSTITUTE(M229:M233," ",""),"0",""),"-",""))+LEN(SUBSTITUTE(SUBSTITUTE(SUBSTITUTE(N229:N233," ",""),"0",""),"-",""))))*1)</f>
      </c>
      <c r="K236" s="14" t="str">
        <f>SUMPRODUCT(LEN(SUBSTITUTE(SUBSTITUTE(SUBSTITUTE(J229:J233," ",""),"0",""),"-",""))+LEN(SUBSTITUTE(SUBSTITUTE(SUBSTITUTE(K229:K233," ",""),"0",""),"-","")))</f>
      </c>
      <c r="L236" s="14"/>
      <c r="M236" s="14" t="str">
        <f>SUMPRODUCT(LEN(SUBSTITUTE(SUBSTITUTE(SUBSTITUTE(M229:M233," ",""),"0",""),"-",""))+LEN(SUBSTITUTE(SUBSTITUTE(SUBSTITUTE(N229:N233," ",""),"0",""),"-","")))</f>
      </c>
      <c r="N236" s="14" t="str">
        <f>SUMPRODUCT((UPPER(L229:L233)&lt;&gt;"X")*((LEN(SUBSTITUTE(SUBSTITUTE(SUBSTITUTE(M229:M233," ",""),"0",""),"-",""))+LEN(SUBSTITUTE(SUBSTITUTE(SUBSTITUTE(N229:N233," ",""),"0",""),"-","")))&gt;(LEN(SUBSTITUTE(SUBSTITUTE(SUBSTITUTE(J229:J233," ",""),"0",""),"-",""))+LEN(SUBSTITUTE(SUBSTITUTE(SUBSTITUTE(K229:K233," ",""),"0",""),"-",""))))*1)</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Matches'!G43)</f>
      </c>
      <c r="I249" s="14" t="str">
        <f>CONCATENATE("M 16 ",O15)</f>
      </c>
      <c r="J249" s="14"/>
      <c r="K249" s="14"/>
      <c r="L249" s="18"/>
      <c r="M249" s="14"/>
      <c r="N249" s="14"/>
      <c r="O249" s="14" t="str">
        <f>CONCATENATE("Pool B-1st ",'Pool Matches'!G86)</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Matches'!G43)</f>
      </c>
      <c r="I256" s="14" t="str">
        <f>CONCATENATE("M 16 ",O15)</f>
      </c>
      <c r="J256" s="14" t="s">
        <v>247</v>
      </c>
      <c r="K256" s="14" t="s">
        <v>250</v>
      </c>
      <c r="L256" s="14"/>
      <c r="M256" s="14" t="s">
        <v>250</v>
      </c>
      <c r="N256" s="14" t="s">
        <v>247</v>
      </c>
      <c r="O256" s="14" t="str">
        <f>CONCATENATE("Pool B-1st ",'Pool Matches'!G86)</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SUMPRODUCT((UPPER(D362:D366)&lt;&gt;"X")*((LEN(SUBSTITUTE(SUBSTITUTE(SUBSTITUTE(B362:B366," ",""),"0",""),"-",""))+LEN(SUBSTITUTE(SUBSTITUTE(SUBSTITUTE(C362:C366," ",""),"0",""),"-","")))&gt;(LEN(SUBSTITUTE(SUBSTITUTE(SUBSTITUTE(E362:E366," ",""),"0",""),"-",""))+LEN(SUBSTITUTE(SUBSTITUTE(SUBSTITUTE(F362:F366," ",""),"0",""),"-",""))))*1)</f>
      </c>
      <c r="C369" s="14" t="str">
        <f>SUMPRODUCT(LEN(SUBSTITUTE(SUBSTITUTE(SUBSTITUTE(B362:B366," ",""),"0",""),"-",""))+LEN(SUBSTITUTE(SUBSTITUTE(SUBSTITUTE(C362:C366," ",""),"0",""),"-","")))</f>
      </c>
      <c r="D369" s="14"/>
      <c r="E369" s="14" t="str">
        <f>SUMPRODUCT(LEN(SUBSTITUTE(SUBSTITUTE(SUBSTITUTE(E362:E366," ",""),"0",""),"-",""))+LEN(SUBSTITUTE(SUBSTITUTE(SUBSTITUTE(F362:F366," ",""),"0",""),"-","")))</f>
      </c>
      <c r="F369" s="14" t="str">
        <f>SUMPRODUCT((UPPER(D362:D366)&lt;&gt;"X")*((LEN(SUBSTITUTE(SUBSTITUTE(SUBSTITUTE(E362:E366," ",""),"0",""),"-",""))+LEN(SUBSTITUTE(SUBSTITUTE(SUBSTITUTE(F362:F366," ",""),"0",""),"-","")))&gt;(LEN(SUBSTITUTE(SUBSTITUTE(SUBSTITUTE(B362:B366," ",""),"0",""),"-",""))+LEN(SUBSTITUTE(SUBSTITUTE(SUBSTITUTE(C362:C366," ",""),"0",""),"-",""))))*1)</f>
      </c>
      <c r="G369" s="14" t="s">
        <v>348</v>
      </c>
      <c r="I369" s="14" t="s">
        <v>348</v>
      </c>
      <c r="J369" s="14" t="str">
        <f>SUMPRODUCT((UPPER(L362:L366)&lt;&gt;"X")*((LEN(SUBSTITUTE(SUBSTITUTE(SUBSTITUTE(J362:J366," ",""),"0",""),"-",""))+LEN(SUBSTITUTE(SUBSTITUTE(SUBSTITUTE(K362:K366," ",""),"0",""),"-","")))&gt;(LEN(SUBSTITUTE(SUBSTITUTE(SUBSTITUTE(M362:M366," ",""),"0",""),"-",""))+LEN(SUBSTITUTE(SUBSTITUTE(SUBSTITUTE(N362:N366," ",""),"0",""),"-",""))))*1)</f>
      </c>
      <c r="K369" s="14" t="str">
        <f>SUMPRODUCT(LEN(SUBSTITUTE(SUBSTITUTE(SUBSTITUTE(J362:J366," ",""),"0",""),"-",""))+LEN(SUBSTITUTE(SUBSTITUTE(SUBSTITUTE(K362:K366," ",""),"0",""),"-","")))</f>
      </c>
      <c r="L369" s="14"/>
      <c r="M369" s="14" t="str">
        <f>SUMPRODUCT(LEN(SUBSTITUTE(SUBSTITUTE(SUBSTITUTE(M362:M366," ",""),"0",""),"-",""))+LEN(SUBSTITUTE(SUBSTITUTE(SUBSTITUTE(N362:N366," ",""),"0",""),"-","")))</f>
      </c>
      <c r="N369" s="14" t="str">
        <f>SUMPRODUCT((UPPER(L362:L366)&lt;&gt;"X")*((LEN(SUBSTITUTE(SUBSTITUTE(SUBSTITUTE(M362:M366," ",""),"0",""),"-",""))+LEN(SUBSTITUTE(SUBSTITUTE(SUBSTITUTE(N362:N366," ",""),"0",""),"-","")))&gt;(LEN(SUBSTITUTE(SUBSTITUTE(SUBSTITUTE(J362:J366," ",""),"0",""),"-",""))+LEN(SUBSTITUTE(SUBSTITUTE(SUBSTITUTE(K362:K366," ",""),"0",""),"-",""))))*1)</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SUMPRODUCT((UPPER(D431:D435)&lt;&gt;"X")*((LEN(SUBSTITUTE(SUBSTITUTE(SUBSTITUTE(B431:B435," ",""),"0",""),"-",""))+LEN(SUBSTITUTE(SUBSTITUTE(SUBSTITUTE(C431:C435," ",""),"0",""),"-","")))&gt;(LEN(SUBSTITUTE(SUBSTITUTE(SUBSTITUTE(E431:E435," ",""),"0",""),"-",""))+LEN(SUBSTITUTE(SUBSTITUTE(SUBSTITUTE(F431:F435," ",""),"0",""),"-",""))))*1)</f>
      </c>
      <c r="C438" s="14" t="str">
        <f>SUMPRODUCT(LEN(SUBSTITUTE(SUBSTITUTE(SUBSTITUTE(B431:B435," ",""),"0",""),"-",""))+LEN(SUBSTITUTE(SUBSTITUTE(SUBSTITUTE(C431:C435," ",""),"0",""),"-","")))</f>
      </c>
      <c r="D438" s="14"/>
      <c r="E438" s="14" t="str">
        <f>SUMPRODUCT(LEN(SUBSTITUTE(SUBSTITUTE(SUBSTITUTE(E431:E435," ",""),"0",""),"-",""))+LEN(SUBSTITUTE(SUBSTITUTE(SUBSTITUTE(F431:F435," ",""),"0",""),"-","")))</f>
      </c>
      <c r="F438" s="14" t="str">
        <f>SUMPRODUCT((UPPER(D431:D435)&lt;&gt;"X")*((LEN(SUBSTITUTE(SUBSTITUTE(SUBSTITUTE(E431:E435," ",""),"0",""),"-",""))+LEN(SUBSTITUTE(SUBSTITUTE(SUBSTITUTE(F431:F435," ",""),"0",""),"-","")))&gt;(LEN(SUBSTITUTE(SUBSTITUTE(SUBSTITUTE(B431:B435," ",""),"0",""),"-",""))+LEN(SUBSTITUTE(SUBSTITUTE(SUBSTITUTE(C431:C435," ",""),"0",""),"-",""))))*1)</f>
      </c>
      <c r="G438" s="14" t="s">
        <v>348</v>
      </c>
      <c r="I438" s="14" t="s">
        <v>348</v>
      </c>
      <c r="J438" s="14" t="str">
        <f>SUMPRODUCT((UPPER(L431:L435)&lt;&gt;"X")*((LEN(SUBSTITUTE(SUBSTITUTE(SUBSTITUTE(J431:J435," ",""),"0",""),"-",""))+LEN(SUBSTITUTE(SUBSTITUTE(SUBSTITUTE(K431:K435," ",""),"0",""),"-","")))&gt;(LEN(SUBSTITUTE(SUBSTITUTE(SUBSTITUTE(M431:M435," ",""),"0",""),"-",""))+LEN(SUBSTITUTE(SUBSTITUTE(SUBSTITUTE(N431:N435," ",""),"0",""),"-",""))))*1)</f>
      </c>
      <c r="K438" s="14" t="str">
        <f>SUMPRODUCT(LEN(SUBSTITUTE(SUBSTITUTE(SUBSTITUTE(J431:J435," ",""),"0",""),"-",""))+LEN(SUBSTITUTE(SUBSTITUTE(SUBSTITUTE(K431:K435," ",""),"0",""),"-","")))</f>
      </c>
      <c r="L438" s="14"/>
      <c r="M438" s="14" t="str">
        <f>SUMPRODUCT(LEN(SUBSTITUTE(SUBSTITUTE(SUBSTITUTE(M431:M435," ",""),"0",""),"-",""))+LEN(SUBSTITUTE(SUBSTITUTE(SUBSTITUTE(N431:N435," ",""),"0",""),"-","")))</f>
      </c>
      <c r="N438" s="14" t="str">
        <f>SUMPRODUCT((UPPER(L431:L435)&lt;&gt;"X")*((LEN(SUBSTITUTE(SUBSTITUTE(SUBSTITUTE(M431:M435," ",""),"0",""),"-",""))+LEN(SUBSTITUTE(SUBSTITUTE(SUBSTITUTE(N431:N435," ",""),"0",""),"-","")))&gt;(LEN(SUBSTITUTE(SUBSTITUTE(SUBSTITUTE(J431:J435," ",""),"0",""),"-",""))+LEN(SUBSTITUTE(SUBSTITUTE(SUBSTITUTE(K431:K435," ",""),"0",""),"-",""))))*1)</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SUMPRODUCT((UPPER(D468:D472)&lt;&gt;"X")*((LEN(SUBSTITUTE(SUBSTITUTE(SUBSTITUTE(B468:B472," ",""),"0",""),"-",""))+LEN(SUBSTITUTE(SUBSTITUTE(SUBSTITUTE(C468:C472," ",""),"0",""),"-","")))&gt;(LEN(SUBSTITUTE(SUBSTITUTE(SUBSTITUTE(E468:E472," ",""),"0",""),"-",""))+LEN(SUBSTITUTE(SUBSTITUTE(SUBSTITUTE(F468:F472," ",""),"0",""),"-",""))))*1)</f>
      </c>
      <c r="C475" s="14" t="str">
        <f>SUMPRODUCT(LEN(SUBSTITUTE(SUBSTITUTE(SUBSTITUTE(B468:B472," ",""),"0",""),"-",""))+LEN(SUBSTITUTE(SUBSTITUTE(SUBSTITUTE(C468:C472," ",""),"0",""),"-","")))</f>
      </c>
      <c r="D475" s="14"/>
      <c r="E475" s="14" t="str">
        <f>SUMPRODUCT(LEN(SUBSTITUTE(SUBSTITUTE(SUBSTITUTE(E468:E472," ",""),"0",""),"-",""))+LEN(SUBSTITUTE(SUBSTITUTE(SUBSTITUTE(F468:F472," ",""),"0",""),"-","")))</f>
      </c>
      <c r="F475" s="14" t="str">
        <f>SUMPRODUCT((UPPER(D468:D472)&lt;&gt;"X")*((LEN(SUBSTITUTE(SUBSTITUTE(SUBSTITUTE(E468:E472," ",""),"0",""),"-",""))+LEN(SUBSTITUTE(SUBSTITUTE(SUBSTITUTE(F468:F472," ",""),"0",""),"-","")))&gt;(LEN(SUBSTITUTE(SUBSTITUTE(SUBSTITUTE(B468:B472," ",""),"0",""),"-",""))+LEN(SUBSTITUTE(SUBSTITUTE(SUBSTITUTE(C468:C472," ",""),"0",""),"-",""))))*1)</f>
      </c>
      <c r="G475" s="14" t="s">
        <v>348</v>
      </c>
      <c r="I475" s="14" t="s">
        <v>348</v>
      </c>
      <c r="J475" s="14" t="str">
        <f>SUMPRODUCT((UPPER(L468:L472)&lt;&gt;"X")*((LEN(SUBSTITUTE(SUBSTITUTE(SUBSTITUTE(J468:J472," ",""),"0",""),"-",""))+LEN(SUBSTITUTE(SUBSTITUTE(SUBSTITUTE(K468:K472," ",""),"0",""),"-","")))&gt;(LEN(SUBSTITUTE(SUBSTITUTE(SUBSTITUTE(M468:M472," ",""),"0",""),"-",""))+LEN(SUBSTITUTE(SUBSTITUTE(SUBSTITUTE(N468:N472," ",""),"0",""),"-",""))))*1)</f>
      </c>
      <c r="K475" s="14" t="str">
        <f>SUMPRODUCT(LEN(SUBSTITUTE(SUBSTITUTE(SUBSTITUTE(J468:J472," ",""),"0",""),"-",""))+LEN(SUBSTITUTE(SUBSTITUTE(SUBSTITUTE(K468:K472," ",""),"0",""),"-","")))</f>
      </c>
      <c r="L475" s="14"/>
      <c r="M475" s="14" t="str">
        <f>SUMPRODUCT(LEN(SUBSTITUTE(SUBSTITUTE(SUBSTITUTE(M468:M472," ",""),"0",""),"-",""))+LEN(SUBSTITUTE(SUBSTITUTE(SUBSTITUTE(N468:N472," ",""),"0",""),"-","")))</f>
      </c>
      <c r="N475" s="14" t="str">
        <f>SUMPRODUCT((UPPER(L468:L472)&lt;&gt;"X")*((LEN(SUBSTITUTE(SUBSTITUTE(SUBSTITUTE(M468:M472," ",""),"0",""),"-",""))+LEN(SUBSTITUTE(SUBSTITUTE(SUBSTITUTE(N468:N472," ",""),"0",""),"-","")))&gt;(LEN(SUBSTITUTE(SUBSTITUTE(SUBSTITUTE(J468:J472," ",""),"0",""),"-",""))+LEN(SUBSTITUTE(SUBSTITUTE(SUBSTITUTE(K468:K472," ",""),"0",""),"-",""))))*1)</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SUMPRODUCT((UPPER(D489:D493)&lt;&gt;"X")*((LEN(SUBSTITUTE(SUBSTITUTE(SUBSTITUTE(B489:B493," ",""),"0",""),"-",""))+LEN(SUBSTITUTE(SUBSTITUTE(SUBSTITUTE(C489:C493," ",""),"0",""),"-","")))&gt;(LEN(SUBSTITUTE(SUBSTITUTE(SUBSTITUTE(E489:E493," ",""),"0",""),"-",""))+LEN(SUBSTITUTE(SUBSTITUTE(SUBSTITUTE(F489:F493," ",""),"0",""),"-",""))))*1)</f>
      </c>
      <c r="C496" s="14" t="str">
        <f>SUMPRODUCT(LEN(SUBSTITUTE(SUBSTITUTE(SUBSTITUTE(B489:B493," ",""),"0",""),"-",""))+LEN(SUBSTITUTE(SUBSTITUTE(SUBSTITUTE(C489:C493," ",""),"0",""),"-","")))</f>
      </c>
      <c r="D496" s="14"/>
      <c r="E496" s="14" t="str">
        <f>SUMPRODUCT(LEN(SUBSTITUTE(SUBSTITUTE(SUBSTITUTE(E489:E493," ",""),"0",""),"-",""))+LEN(SUBSTITUTE(SUBSTITUTE(SUBSTITUTE(F489:F493," ",""),"0",""),"-","")))</f>
      </c>
      <c r="F496" s="14" t="str">
        <f>SUMPRODUCT((UPPER(D489:D493)&lt;&gt;"X")*((LEN(SUBSTITUTE(SUBSTITUTE(SUBSTITUTE(E489:E493," ",""),"0",""),"-",""))+LEN(SUBSTITUTE(SUBSTITUTE(SUBSTITUTE(F489:F493," ",""),"0",""),"-","")))&gt;(LEN(SUBSTITUTE(SUBSTITUTE(SUBSTITUTE(B489:B493," ",""),"0",""),"-",""))+LEN(SUBSTITUTE(SUBSTITUTE(SUBSTITUTE(C489:C493," ",""),"0",""),"-",""))))*1)</f>
      </c>
      <c r="G496" s="14" t="s">
        <v>348</v>
      </c>
      <c r="I496" s="14" t="s">
        <v>348</v>
      </c>
      <c r="J496" s="14" t="str">
        <f>SUMPRODUCT((UPPER(L489:L493)&lt;&gt;"X")*((LEN(SUBSTITUTE(SUBSTITUTE(SUBSTITUTE(J489:J493," ",""),"0",""),"-",""))+LEN(SUBSTITUTE(SUBSTITUTE(SUBSTITUTE(K489:K493," ",""),"0",""),"-","")))&gt;(LEN(SUBSTITUTE(SUBSTITUTE(SUBSTITUTE(M489:M493," ",""),"0",""),"-",""))+LEN(SUBSTITUTE(SUBSTITUTE(SUBSTITUTE(N489:N493," ",""),"0",""),"-",""))))*1)</f>
      </c>
      <c r="K496" s="14" t="str">
        <f>SUMPRODUCT(LEN(SUBSTITUTE(SUBSTITUTE(SUBSTITUTE(J489:J493," ",""),"0",""),"-",""))+LEN(SUBSTITUTE(SUBSTITUTE(SUBSTITUTE(K489:K493," ",""),"0",""),"-","")))</f>
      </c>
      <c r="L496" s="14"/>
      <c r="M496" s="14" t="str">
        <f>SUMPRODUCT(LEN(SUBSTITUTE(SUBSTITUTE(SUBSTITUTE(M489:M493," ",""),"0",""),"-",""))+LEN(SUBSTITUTE(SUBSTITUTE(SUBSTITUTE(N489:N493," ",""),"0",""),"-","")))</f>
      </c>
      <c r="N496" s="14" t="str">
        <f>SUMPRODUCT((UPPER(L489:L493)&lt;&gt;"X")*((LEN(SUBSTITUTE(SUBSTITUTE(SUBSTITUTE(M489:M493," ",""),"0",""),"-",""))+LEN(SUBSTITUTE(SUBSTITUTE(SUBSTITUTE(N489:N493," ",""),"0",""),"-","")))&gt;(LEN(SUBSTITUTE(SUBSTITUTE(SUBSTITUTE(J489:J493," ",""),"0",""),"-",""))+LEN(SUBSTITUTE(SUBSTITUTE(SUBSTITUTE(K489:K493," ",""),"0",""),"-",""))))*1)</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SUMPRODUCT((UPPER(D510:D514)&lt;&gt;"X")*((LEN(SUBSTITUTE(SUBSTITUTE(SUBSTITUTE(B510:B514," ",""),"0",""),"-",""))+LEN(SUBSTITUTE(SUBSTITUTE(SUBSTITUTE(C510:C514," ",""),"0",""),"-","")))&gt;(LEN(SUBSTITUTE(SUBSTITUTE(SUBSTITUTE(E510:E514," ",""),"0",""),"-",""))+LEN(SUBSTITUTE(SUBSTITUTE(SUBSTITUTE(F510:F514," ",""),"0",""),"-",""))))*1)</f>
      </c>
      <c r="C517" s="14" t="str">
        <f>SUMPRODUCT(LEN(SUBSTITUTE(SUBSTITUTE(SUBSTITUTE(B510:B514," ",""),"0",""),"-",""))+LEN(SUBSTITUTE(SUBSTITUTE(SUBSTITUTE(C510:C514," ",""),"0",""),"-","")))</f>
      </c>
      <c r="D517" s="14"/>
      <c r="E517" s="14" t="str">
        <f>SUMPRODUCT(LEN(SUBSTITUTE(SUBSTITUTE(SUBSTITUTE(E510:E514," ",""),"0",""),"-",""))+LEN(SUBSTITUTE(SUBSTITUTE(SUBSTITUTE(F510:F514," ",""),"0",""),"-","")))</f>
      </c>
      <c r="F517" s="14" t="str">
        <f>SUMPRODUCT((UPPER(D510:D514)&lt;&gt;"X")*((LEN(SUBSTITUTE(SUBSTITUTE(SUBSTITUTE(E510:E514," ",""),"0",""),"-",""))+LEN(SUBSTITUTE(SUBSTITUTE(SUBSTITUTE(F510:F514," ",""),"0",""),"-","")))&gt;(LEN(SUBSTITUTE(SUBSTITUTE(SUBSTITUTE(B510:B514," ",""),"0",""),"-",""))+LEN(SUBSTITUTE(SUBSTITUTE(SUBSTITUTE(C510:C514," ",""),"0",""),"-",""))))*1)</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Matches'!G43)</f>
      </c>
    </row>
    <row r="7">
      <c r="A7" s="27" t="str">
        <f>"3. " &amp; data!$B$5</f>
      </c>
      <c r="F7" s="22"/>
      <c r="G7" s="20"/>
    </row>
    <row r="8">
      <c r="A8" s="22"/>
      <c r="G8" s="21">
        <v>31</v>
      </c>
    </row>
    <row r="9">
      <c r="A9" s="24" t="str">
        <f>'data'!$A$8</f>
      </c>
      <c r="C9" s="23" t="str">
        <f>CONCATENATE("Pool C-1st ",'Pool Matches'!G129)</f>
      </c>
      <c r="G9" s="20"/>
      <c r="H9" s="22"/>
      <c r="I9" s="20"/>
    </row>
    <row r="10">
      <c r="A10" s="25" t="str">
        <f>"1. " &amp; data!$B$6</f>
      </c>
      <c r="D10" s="22"/>
      <c r="E10" s="21">
        <v>1</v>
      </c>
      <c r="F10" s="15"/>
      <c r="G10" s="20"/>
      <c r="I10" s="20"/>
    </row>
    <row r="11">
      <c r="A11" s="26" t="str">
        <f>"2. " &amp; data!$B$7</f>
      </c>
      <c r="C11" s="23" t="str">
        <f>CONCATENATE("Pool B-2nd ",'Pool Matches'!G87)</f>
      </c>
      <c r="D11" s="15"/>
      <c r="E11" s="20"/>
      <c r="I11" s="20"/>
    </row>
    <row r="12">
      <c r="A12" s="27" t="str">
        <f>"3. " &amp; data!$B$8</f>
      </c>
      <c r="I12" s="21">
        <v>47</v>
      </c>
    </row>
    <row r="13">
      <c r="A13" s="22"/>
      <c r="C13" s="23" t="str">
        <f>CONCATENATE("Pool E-1st ",'Pool Matches'!G215)</f>
      </c>
      <c r="I13" s="20"/>
      <c r="J13" s="22"/>
      <c r="K13" s="20"/>
    </row>
    <row r="14">
      <c r="A14" s="24" t="str">
        <f>'data'!$A$11</f>
      </c>
      <c r="D14" s="22"/>
      <c r="E14" s="21">
        <v>2</v>
      </c>
      <c r="I14" s="20"/>
      <c r="K14" s="20"/>
    </row>
    <row r="15">
      <c r="A15" s="25" t="str">
        <f>"1. " &amp; data!$B$9</f>
      </c>
      <c r="C15" s="23" t="str">
        <f>CONCATENATE("Pool D-2nd ",'Pool Matches'!G173)</f>
      </c>
      <c r="D15" s="15"/>
      <c r="E15" s="20"/>
      <c r="F15" s="22"/>
      <c r="G15" s="20"/>
      <c r="I15" s="20"/>
      <c r="K15" s="20"/>
    </row>
    <row r="16">
      <c r="A16" s="26" t="str">
        <f>"2. " &amp; data!$B$10</f>
      </c>
      <c r="G16" s="21">
        <v>32</v>
      </c>
      <c r="H16" s="15"/>
      <c r="I16" s="20"/>
      <c r="K16" s="20"/>
    </row>
    <row r="17">
      <c r="A17" s="27" t="str">
        <f>"3. " &amp; data!$B$11</f>
      </c>
      <c r="C17" s="23" t="str">
        <f>CONCATENATE("Pool G-1st ",'Pool Matches'!G301)</f>
      </c>
      <c r="G17" s="20"/>
      <c r="K17" s="20"/>
    </row>
    <row r="18">
      <c r="A18" s="22"/>
      <c r="D18" s="22"/>
      <c r="E18" s="21">
        <v>3</v>
      </c>
      <c r="F18" s="15"/>
      <c r="G18" s="20"/>
      <c r="K18" s="20"/>
    </row>
    <row r="19">
      <c r="A19" s="24" t="str">
        <f>'data'!$A$14</f>
      </c>
      <c r="C19" s="23" t="str">
        <f>CONCATENATE("Pool F-2nd ",'Pool Matches'!G259)</f>
      </c>
      <c r="D19" s="15"/>
      <c r="E19" s="20"/>
      <c r="K19" s="20"/>
    </row>
    <row r="20">
      <c r="A20" s="25" t="str">
        <f>"1. " &amp; data!$B$12</f>
      </c>
      <c r="K20" s="21">
        <v>55</v>
      </c>
    </row>
    <row r="21">
      <c r="A21" s="26" t="str">
        <f>"2. " &amp; data!$B$13</f>
      </c>
      <c r="C21" s="23" t="str">
        <f>CONCATENATE("Pool I-1st ",'Pool Matches'!G387)</f>
      </c>
      <c r="K21" s="20"/>
    </row>
    <row r="22">
      <c r="A22" s="27" t="str">
        <f>"3. " &amp; data!$B$14</f>
      </c>
      <c r="D22" s="22"/>
      <c r="E22" s="21">
        <v>4</v>
      </c>
      <c r="K22" s="20"/>
    </row>
    <row r="23">
      <c r="A23" s="22"/>
      <c r="C23" s="23" t="str">
        <f>CONCATENATE("Pool H-2nd ",'Pool Matches'!G345)</f>
      </c>
      <c r="D23" s="15"/>
      <c r="E23" s="20"/>
      <c r="F23" s="22"/>
      <c r="G23" s="20"/>
      <c r="K23" s="20"/>
    </row>
    <row r="24">
      <c r="A24" s="24" t="str">
        <f>'data'!$A$17</f>
      </c>
      <c r="G24" s="21">
        <v>33</v>
      </c>
      <c r="K24" s="20"/>
    </row>
    <row r="25">
      <c r="A25" s="25" t="str">
        <f>"1. " &amp; data!$B$15</f>
      </c>
      <c r="C25" s="23" t="str">
        <f>CONCATENATE("Pool K-1st ",'Pool Matches'!G473)</f>
      </c>
      <c r="G25" s="20"/>
      <c r="H25" s="22"/>
      <c r="I25" s="20"/>
      <c r="K25" s="20"/>
    </row>
    <row r="26">
      <c r="A26" s="26" t="str">
        <f>"2. " &amp; data!$B$16</f>
      </c>
      <c r="D26" s="22"/>
      <c r="E26" s="21">
        <v>5</v>
      </c>
      <c r="F26" s="15"/>
      <c r="G26" s="20"/>
      <c r="I26" s="20"/>
      <c r="K26" s="20"/>
    </row>
    <row r="27">
      <c r="A27" s="27" t="str">
        <f>"3. " &amp; data!$B$17</f>
      </c>
      <c r="C27" s="23" t="str">
        <f>CONCATENATE("Pool J-2nd ",'Pool Matches'!G431)</f>
      </c>
      <c r="D27" s="15"/>
      <c r="E27" s="20"/>
      <c r="I27" s="20"/>
      <c r="K27" s="20"/>
    </row>
    <row r="28">
      <c r="A28" s="22"/>
      <c r="I28" s="21">
        <v>48</v>
      </c>
      <c r="J28" s="15"/>
      <c r="K28" s="20"/>
    </row>
    <row r="29">
      <c r="A29" s="24" t="str">
        <f>'data'!$A$20</f>
      </c>
      <c r="C29" s="23" t="str">
        <f>CONCATENATE("Pool M-1st ",'Pool Matches'!G559)</f>
      </c>
      <c r="I29" s="20"/>
    </row>
    <row r="30">
      <c r="A30" s="25" t="str">
        <f>"1. " &amp; data!$B$18</f>
      </c>
      <c r="D30" s="22"/>
      <c r="E30" s="21">
        <v>6</v>
      </c>
      <c r="I30" s="20"/>
    </row>
    <row r="31">
      <c r="A31" s="26" t="str">
        <f>"2. " &amp; data!$B$19</f>
      </c>
      <c r="C31" s="23" t="str">
        <f>CONCATENATE("Pool L-2nd ",'Pool Matches'!G517)</f>
      </c>
      <c r="D31" s="15"/>
      <c r="E31" s="20"/>
      <c r="F31" s="22"/>
      <c r="G31" s="20"/>
      <c r="I31" s="20"/>
    </row>
    <row r="32">
      <c r="A32" s="27" t="str">
        <f>"3. " &amp; data!$B$20</f>
      </c>
      <c r="G32" s="21">
        <v>34</v>
      </c>
      <c r="H32" s="15"/>
      <c r="I32" s="20"/>
    </row>
    <row r="33">
      <c r="A33" s="22"/>
      <c r="C33" s="23" t="str">
        <f>CONCATENATE("Pool O-1st ",'Pool Matches'!G645)</f>
      </c>
      <c r="G33" s="20"/>
    </row>
    <row r="34">
      <c r="A34" s="24" t="str">
        <f>'data'!$A$23</f>
      </c>
      <c r="D34" s="22"/>
      <c r="E34" s="21">
        <v>7</v>
      </c>
      <c r="F34" s="15"/>
      <c r="G34" s="20"/>
    </row>
    <row r="35">
      <c r="A35" s="25" t="str">
        <f>"1. " &amp; data!$B$21</f>
      </c>
      <c r="C35" s="23" t="str">
        <f>CONCATENATE("Pool N-2nd ",'Pool Matches'!G603)</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Matches'!O43)</f>
      </c>
    </row>
    <row r="6">
      <c r="A6" s="26" t="str">
        <f>"2. " &amp; data!$B$28</f>
      </c>
      <c r="D6" s="22"/>
      <c r="E6" s="21">
        <v>8</v>
      </c>
    </row>
    <row r="7">
      <c r="A7" s="27" t="str">
        <f>"3. " &amp; data!$B$29</f>
      </c>
      <c r="C7" s="23" t="str">
        <f>CONCATENATE("Pool P-2nd ",'Pool Matches'!G670)</f>
      </c>
      <c r="D7" s="15"/>
      <c r="E7" s="20"/>
      <c r="F7" s="22"/>
      <c r="G7" s="20"/>
    </row>
    <row r="8">
      <c r="A8" s="22"/>
      <c r="G8" s="21">
        <v>35</v>
      </c>
    </row>
    <row r="9">
      <c r="A9" s="24" t="str">
        <f>'data'!$A$32</f>
      </c>
      <c r="C9" s="23" t="str">
        <f>CONCATENATE("Pool S-1st ",'Pool Matches'!O129)</f>
      </c>
      <c r="G9" s="20"/>
      <c r="H9" s="22"/>
      <c r="I9" s="20"/>
    </row>
    <row r="10">
      <c r="A10" s="25" t="str">
        <f>"1. " &amp; data!$B$30</f>
      </c>
      <c r="D10" s="22"/>
      <c r="E10" s="21">
        <v>9</v>
      </c>
      <c r="F10" s="15"/>
      <c r="G10" s="20"/>
      <c r="I10" s="20"/>
    </row>
    <row r="11">
      <c r="A11" s="26" t="str">
        <f>"2. " &amp; data!$B$31</f>
      </c>
      <c r="C11" s="23" t="str">
        <f>CONCATENATE("Pool R-2nd ",'Pool Matches'!O87)</f>
      </c>
      <c r="D11" s="15"/>
      <c r="E11" s="20"/>
      <c r="I11" s="20"/>
    </row>
    <row r="12">
      <c r="A12" s="27" t="str">
        <f>"3. " &amp; data!$B$32</f>
      </c>
      <c r="I12" s="21">
        <v>49</v>
      </c>
    </row>
    <row r="13">
      <c r="A13" s="22"/>
      <c r="C13" s="23" t="str">
        <f>CONCATENATE("Pool U-1st ",'Pool Matches'!O215)</f>
      </c>
      <c r="I13" s="20"/>
      <c r="J13" s="22"/>
      <c r="K13" s="20"/>
    </row>
    <row r="14">
      <c r="A14" s="24" t="str">
        <f>'data'!$A$35</f>
      </c>
      <c r="D14" s="22"/>
      <c r="E14" s="21">
        <v>10</v>
      </c>
      <c r="I14" s="20"/>
      <c r="K14" s="20"/>
    </row>
    <row r="15">
      <c r="A15" s="25" t="str">
        <f>"1. " &amp; data!$B$33</f>
      </c>
      <c r="C15" s="23" t="str">
        <f>CONCATENATE("Pool T-2nd ",'Pool Matches'!O173)</f>
      </c>
      <c r="D15" s="15"/>
      <c r="E15" s="20"/>
      <c r="F15" s="22"/>
      <c r="G15" s="20"/>
      <c r="I15" s="20"/>
      <c r="K15" s="20"/>
    </row>
    <row r="16">
      <c r="A16" s="26" t="str">
        <f>"2. " &amp; data!$B$34</f>
      </c>
      <c r="G16" s="21">
        <v>36</v>
      </c>
      <c r="H16" s="15"/>
      <c r="I16" s="20"/>
      <c r="K16" s="20"/>
    </row>
    <row r="17">
      <c r="A17" s="27" t="str">
        <f>"3. " &amp; data!$B$35</f>
      </c>
      <c r="C17" s="23" t="str">
        <f>CONCATENATE("Pool W-1st ",'Pool Matches'!O301)</f>
      </c>
      <c r="G17" s="20"/>
      <c r="K17" s="20"/>
    </row>
    <row r="18">
      <c r="A18" s="22"/>
      <c r="D18" s="22"/>
      <c r="E18" s="21">
        <v>11</v>
      </c>
      <c r="F18" s="15"/>
      <c r="G18" s="20"/>
      <c r="K18" s="20"/>
    </row>
    <row r="19">
      <c r="A19" s="24" t="str">
        <f>'data'!$A$38</f>
      </c>
      <c r="C19" s="23" t="str">
        <f>CONCATENATE("Pool V-2nd ",'Pool Matches'!O259)</f>
      </c>
      <c r="D19" s="15"/>
      <c r="E19" s="20"/>
      <c r="K19" s="20"/>
    </row>
    <row r="20">
      <c r="A20" s="25" t="str">
        <f>"1. " &amp; data!$B$36</f>
      </c>
      <c r="K20" s="21">
        <v>56</v>
      </c>
    </row>
    <row r="21">
      <c r="A21" s="26" t="str">
        <f>"2. " &amp; data!$B$37</f>
      </c>
      <c r="C21" s="23" t="str">
        <f>CONCATENATE("Pool Y-1st ",'Pool Matches'!O387)</f>
      </c>
      <c r="K21" s="20"/>
    </row>
    <row r="22">
      <c r="A22" s="27" t="str">
        <f>"3. " &amp; data!$B$38</f>
      </c>
      <c r="D22" s="22"/>
      <c r="E22" s="21">
        <v>12</v>
      </c>
      <c r="K22" s="20"/>
    </row>
    <row r="23">
      <c r="A23" s="22"/>
      <c r="C23" s="23" t="str">
        <f>CONCATENATE("Pool X-2nd ",'Pool Matches'!O345)</f>
      </c>
      <c r="D23" s="15"/>
      <c r="E23" s="20"/>
      <c r="F23" s="22"/>
      <c r="G23" s="20"/>
      <c r="K23" s="20"/>
    </row>
    <row r="24">
      <c r="A24" s="24" t="str">
        <f>'data'!$A$41</f>
      </c>
      <c r="G24" s="21">
        <v>37</v>
      </c>
      <c r="K24" s="20"/>
    </row>
    <row r="25">
      <c r="A25" s="25" t="str">
        <f>"1. " &amp; data!$B$39</f>
      </c>
      <c r="C25" s="23" t="str">
        <f>CONCATENATE("Pool AA-1st ",'Pool Matches'!O473)</f>
      </c>
      <c r="G25" s="20"/>
      <c r="H25" s="22"/>
      <c r="I25" s="20"/>
      <c r="K25" s="20"/>
    </row>
    <row r="26">
      <c r="A26" s="26" t="str">
        <f>"2. " &amp; data!$B$40</f>
      </c>
      <c r="D26" s="22"/>
      <c r="E26" s="21">
        <v>13</v>
      </c>
      <c r="F26" s="15"/>
      <c r="G26" s="20"/>
      <c r="I26" s="20"/>
      <c r="K26" s="20"/>
    </row>
    <row r="27">
      <c r="A27" s="27" t="str">
        <f>"3. " &amp; data!$B$41</f>
      </c>
      <c r="C27" s="23" t="str">
        <f>CONCATENATE("Pool Z-2nd ",'Pool Matches'!O431)</f>
      </c>
      <c r="D27" s="15"/>
      <c r="E27" s="20"/>
      <c r="I27" s="20"/>
      <c r="K27" s="20"/>
    </row>
    <row r="28">
      <c r="A28" s="22"/>
      <c r="I28" s="21">
        <v>50</v>
      </c>
      <c r="J28" s="15"/>
      <c r="K28" s="20"/>
    </row>
    <row r="29">
      <c r="A29" s="24" t="str">
        <f>'data'!$A$44</f>
      </c>
      <c r="C29" s="23" t="str">
        <f>CONCATENATE("Pool CC-1st ",'Pool Matches'!O559)</f>
      </c>
      <c r="I29" s="20"/>
    </row>
    <row r="30">
      <c r="A30" s="25" t="str">
        <f>"1. " &amp; data!$B$42</f>
      </c>
      <c r="D30" s="22"/>
      <c r="E30" s="21">
        <v>14</v>
      </c>
      <c r="I30" s="20"/>
    </row>
    <row r="31">
      <c r="A31" s="26" t="str">
        <f>"2. " &amp; data!$B$43</f>
      </c>
      <c r="C31" s="23" t="str">
        <f>CONCATENATE("Pool BB-2nd ",'Pool Matches'!O517)</f>
      </c>
      <c r="D31" s="15"/>
      <c r="E31" s="20"/>
      <c r="F31" s="22"/>
      <c r="G31" s="20"/>
      <c r="I31" s="20"/>
    </row>
    <row r="32">
      <c r="A32" s="27" t="str">
        <f>"3. " &amp; data!$B$44</f>
      </c>
      <c r="G32" s="21">
        <v>38</v>
      </c>
      <c r="H32" s="15"/>
      <c r="I32" s="20"/>
    </row>
    <row r="33">
      <c r="A33" s="22"/>
      <c r="C33" s="23" t="str">
        <f>CONCATENATE("Pool EE-1st ",'Pool Matches'!O642)</f>
      </c>
      <c r="G33" s="20"/>
    </row>
    <row r="34">
      <c r="A34" s="24" t="str">
        <f>'data'!$A$47</f>
      </c>
      <c r="D34" s="22"/>
      <c r="E34" s="21">
        <v>15</v>
      </c>
      <c r="F34" s="15"/>
      <c r="G34" s="20"/>
    </row>
    <row r="35">
      <c r="A35" s="25" t="str">
        <f>"1. " &amp; data!$B$45</f>
      </c>
      <c r="C35" s="23" t="str">
        <f>CONCATENATE("Pool DD-2nd ",'Pool Matches'!O603)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Matches'!G86)</f>
      </c>
    </row>
    <row r="7">
      <c r="A7" s="27" t="str">
        <f>"3. " &amp; data!$B$52</f>
      </c>
      <c r="F7" s="22"/>
      <c r="G7" s="20"/>
    </row>
    <row r="8">
      <c r="A8" s="22"/>
      <c r="G8" s="21">
        <v>39</v>
      </c>
    </row>
    <row r="9">
      <c r="A9" s="24" t="str">
        <f>'data'!$A$55</f>
      </c>
      <c r="C9" s="23" t="str">
        <f>CONCATENATE("Pool A-2nd ",'Pool Matches'!G44)</f>
      </c>
      <c r="G9" s="20"/>
      <c r="H9" s="22"/>
      <c r="I9" s="20"/>
    </row>
    <row r="10">
      <c r="A10" s="25" t="str">
        <f>"1. " &amp; data!$B$53</f>
      </c>
      <c r="D10" s="22"/>
      <c r="E10" s="21">
        <v>16</v>
      </c>
      <c r="F10" s="15"/>
      <c r="G10" s="20"/>
      <c r="I10" s="20"/>
    </row>
    <row r="11">
      <c r="A11" s="26" t="str">
        <f>"2. " &amp; data!$B$54</f>
      </c>
      <c r="C11" s="23" t="str">
        <f>CONCATENATE("Pool C-2nd ",'Pool Matches'!G130)</f>
      </c>
      <c r="D11" s="15"/>
      <c r="E11" s="20"/>
      <c r="I11" s="20"/>
    </row>
    <row r="12">
      <c r="A12" s="27" t="str">
        <f>"3. " &amp; data!$B$55</f>
      </c>
      <c r="I12" s="21">
        <v>51</v>
      </c>
    </row>
    <row r="13">
      <c r="A13" s="22"/>
      <c r="C13" s="23" t="str">
        <f>CONCATENATE("Pool D-1st ",'Pool Matches'!G172)</f>
      </c>
      <c r="I13" s="20"/>
      <c r="J13" s="22"/>
      <c r="K13" s="20"/>
    </row>
    <row r="14">
      <c r="A14" s="24" t="str">
        <f>'data'!$A$58</f>
      </c>
      <c r="D14" s="22"/>
      <c r="E14" s="21">
        <v>17</v>
      </c>
      <c r="I14" s="20"/>
      <c r="K14" s="20"/>
    </row>
    <row r="15">
      <c r="A15" s="25" t="str">
        <f>"1. " &amp; data!$B$56</f>
      </c>
      <c r="C15" s="23" t="str">
        <f>CONCATENATE("Pool E-2nd ",'Pool Matches'!G216)</f>
      </c>
      <c r="D15" s="15"/>
      <c r="E15" s="20"/>
      <c r="F15" s="22"/>
      <c r="G15" s="20"/>
      <c r="I15" s="20"/>
      <c r="K15" s="20"/>
    </row>
    <row r="16">
      <c r="A16" s="26" t="str">
        <f>"2. " &amp; data!$B$57</f>
      </c>
      <c r="G16" s="21">
        <v>40</v>
      </c>
      <c r="H16" s="15"/>
      <c r="I16" s="20"/>
      <c r="K16" s="20"/>
    </row>
    <row r="17">
      <c r="A17" s="27" t="str">
        <f>"3. " &amp; data!$B$58</f>
      </c>
      <c r="C17" s="23" t="str">
        <f>CONCATENATE("Pool F-1st ",'Pool Matches'!G258)</f>
      </c>
      <c r="G17" s="20"/>
      <c r="K17" s="20"/>
    </row>
    <row r="18">
      <c r="A18" s="22"/>
      <c r="D18" s="22"/>
      <c r="E18" s="21">
        <v>18</v>
      </c>
      <c r="F18" s="15"/>
      <c r="G18" s="20"/>
      <c r="K18" s="20"/>
    </row>
    <row r="19">
      <c r="A19" s="24" t="str">
        <f>'data'!$A$61</f>
      </c>
      <c r="C19" s="23" t="str">
        <f>CONCATENATE("Pool G-2nd ",'Pool Matches'!G302)</f>
      </c>
      <c r="D19" s="15"/>
      <c r="E19" s="20"/>
      <c r="K19" s="20"/>
    </row>
    <row r="20">
      <c r="A20" s="25" t="str">
        <f>"1. " &amp; data!$B$59</f>
      </c>
      <c r="K20" s="21">
        <v>57</v>
      </c>
    </row>
    <row r="21">
      <c r="A21" s="26" t="str">
        <f>"2. " &amp; data!$B$60</f>
      </c>
      <c r="C21" s="23" t="str">
        <f>CONCATENATE("Pool H-1st ",'Pool Matches'!G344)</f>
      </c>
      <c r="K21" s="20"/>
    </row>
    <row r="22">
      <c r="A22" s="27" t="str">
        <f>"3. " &amp; data!$B$61</f>
      </c>
      <c r="D22" s="22"/>
      <c r="E22" s="21">
        <v>19</v>
      </c>
      <c r="K22" s="20"/>
    </row>
    <row r="23">
      <c r="A23" s="22"/>
      <c r="C23" s="23" t="str">
        <f>CONCATENATE("Pool I-2nd ",'Pool Matches'!G388)</f>
      </c>
      <c r="D23" s="15"/>
      <c r="E23" s="20"/>
      <c r="F23" s="22"/>
      <c r="G23" s="20"/>
      <c r="K23" s="20"/>
    </row>
    <row r="24">
      <c r="A24" s="24" t="str">
        <f>'data'!$A$64</f>
      </c>
      <c r="G24" s="21">
        <v>41</v>
      </c>
      <c r="K24" s="20"/>
    </row>
    <row r="25">
      <c r="A25" s="25" t="str">
        <f>"1. " &amp; data!$B$62</f>
      </c>
      <c r="C25" s="23" t="str">
        <f>CONCATENATE("Pool J-1st ",'Pool Matches'!G430)</f>
      </c>
      <c r="G25" s="20"/>
      <c r="H25" s="22"/>
      <c r="I25" s="20"/>
      <c r="K25" s="20"/>
    </row>
    <row r="26">
      <c r="A26" s="26" t="str">
        <f>"2. " &amp; data!$B$63</f>
      </c>
      <c r="D26" s="22"/>
      <c r="E26" s="21">
        <v>20</v>
      </c>
      <c r="F26" s="15"/>
      <c r="G26" s="20"/>
      <c r="I26" s="20"/>
      <c r="K26" s="20"/>
    </row>
    <row r="27">
      <c r="A27" s="27" t="str">
        <f>"3. " &amp; data!$B$64</f>
      </c>
      <c r="C27" s="23" t="str">
        <f>CONCATENATE("Pool K-2nd ",'Pool Matches'!G474)</f>
      </c>
      <c r="D27" s="15"/>
      <c r="E27" s="20"/>
      <c r="I27" s="20"/>
      <c r="K27" s="20"/>
    </row>
    <row r="28">
      <c r="A28" s="22"/>
      <c r="I28" s="21">
        <v>52</v>
      </c>
      <c r="J28" s="15"/>
      <c r="K28" s="20"/>
    </row>
    <row r="29">
      <c r="A29" s="24" t="str">
        <f>'data'!$A$67</f>
      </c>
      <c r="C29" s="23" t="str">
        <f>CONCATENATE("Pool L-1st ",'Pool Matches'!G516)</f>
      </c>
      <c r="I29" s="20"/>
    </row>
    <row r="30">
      <c r="A30" s="25" t="str">
        <f>"1. " &amp; data!$B$65</f>
      </c>
      <c r="D30" s="22"/>
      <c r="E30" s="21">
        <v>21</v>
      </c>
      <c r="I30" s="20"/>
    </row>
    <row r="31">
      <c r="A31" s="26" t="str">
        <f>"2. " &amp; data!$B$66</f>
      </c>
      <c r="C31" s="23" t="str">
        <f>CONCATENATE("Pool M-2nd ",'Pool Matches'!G560)</f>
      </c>
      <c r="D31" s="15"/>
      <c r="E31" s="20"/>
      <c r="F31" s="22"/>
      <c r="G31" s="20"/>
      <c r="I31" s="20"/>
    </row>
    <row r="32">
      <c r="A32" s="27" t="str">
        <f>"3. " &amp; data!$B$67</f>
      </c>
      <c r="G32" s="21">
        <v>42</v>
      </c>
      <c r="H32" s="15"/>
      <c r="I32" s="20"/>
    </row>
    <row r="33">
      <c r="A33" s="22"/>
      <c r="C33" s="23" t="str">
        <f>CONCATENATE("Pool N-1st ",'Pool Matches'!G602)</f>
      </c>
      <c r="G33" s="20"/>
    </row>
    <row r="34">
      <c r="A34" s="24" t="str">
        <f>'data'!$A$70</f>
      </c>
      <c r="D34" s="22"/>
      <c r="E34" s="21">
        <v>22</v>
      </c>
      <c r="F34" s="15"/>
      <c r="G34" s="20"/>
    </row>
    <row r="35">
      <c r="A35" s="25" t="str">
        <f>"1. " &amp; data!$B$68</f>
      </c>
      <c r="C35" s="23" t="str">
        <f>CONCATENATE("Pool O-2nd ",'Pool Matches'!G646)</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Matches'!G669)</f>
      </c>
    </row>
    <row r="6">
      <c r="A6" s="26" t="str">
        <f>"2. " &amp; data!$B$75</f>
      </c>
      <c r="D6" s="22"/>
      <c r="E6" s="21">
        <v>23</v>
      </c>
    </row>
    <row r="7">
      <c r="A7" s="27" t="str">
        <f>"3. " &amp; data!$B$76</f>
      </c>
      <c r="C7" s="23" t="str">
        <f>CONCATENATE("Pool Q-2nd ",'Pool Matches'!O44)</f>
      </c>
      <c r="D7" s="15"/>
      <c r="E7" s="20"/>
      <c r="F7" s="22"/>
      <c r="G7" s="20"/>
    </row>
    <row r="8">
      <c r="A8" s="22"/>
      <c r="G8" s="21">
        <v>43</v>
      </c>
    </row>
    <row r="9">
      <c r="A9" s="24" t="str">
        <f>'data'!$A$79</f>
      </c>
      <c r="C9" s="23" t="str">
        <f>CONCATENATE("Pool R-1st ",'Pool Matches'!O86)</f>
      </c>
      <c r="G9" s="20"/>
      <c r="H9" s="22"/>
      <c r="I9" s="20"/>
    </row>
    <row r="10">
      <c r="A10" s="25" t="str">
        <f>"1. " &amp; data!$B$77</f>
      </c>
      <c r="D10" s="22"/>
      <c r="E10" s="21">
        <v>24</v>
      </c>
      <c r="F10" s="15"/>
      <c r="G10" s="20"/>
      <c r="I10" s="20"/>
    </row>
    <row r="11">
      <c r="A11" s="26" t="str">
        <f>"2. " &amp; data!$B$78</f>
      </c>
      <c r="C11" s="23" t="str">
        <f>CONCATENATE("Pool S-2nd ",'Pool Matches'!O130)</f>
      </c>
      <c r="D11" s="15"/>
      <c r="E11" s="20"/>
      <c r="I11" s="20"/>
    </row>
    <row r="12">
      <c r="A12" s="27" t="str">
        <f>"3. " &amp; data!$B$79</f>
      </c>
      <c r="I12" s="21">
        <v>53</v>
      </c>
    </row>
    <row r="13">
      <c r="A13" s="22"/>
      <c r="C13" s="23" t="str">
        <f>CONCATENATE("Pool T-1st ",'Pool Matches'!O172)</f>
      </c>
      <c r="I13" s="20"/>
      <c r="J13" s="22"/>
      <c r="K13" s="20"/>
    </row>
    <row r="14">
      <c r="A14" s="24" t="str">
        <f>'data'!$A$82</f>
      </c>
      <c r="D14" s="22"/>
      <c r="E14" s="21">
        <v>25</v>
      </c>
      <c r="I14" s="20"/>
      <c r="K14" s="20"/>
    </row>
    <row r="15">
      <c r="A15" s="25" t="str">
        <f>"1. " &amp; data!$B$80</f>
      </c>
      <c r="C15" s="23" t="str">
        <f>CONCATENATE("Pool U-2nd ",'Pool Matches'!O216)</f>
      </c>
      <c r="D15" s="15"/>
      <c r="E15" s="20"/>
      <c r="F15" s="22"/>
      <c r="G15" s="20"/>
      <c r="I15" s="20"/>
      <c r="K15" s="20"/>
    </row>
    <row r="16">
      <c r="A16" s="26" t="str">
        <f>"2. " &amp; data!$B$81</f>
      </c>
      <c r="G16" s="21">
        <v>44</v>
      </c>
      <c r="H16" s="15"/>
      <c r="I16" s="20"/>
      <c r="K16" s="20"/>
    </row>
    <row r="17">
      <c r="A17" s="27" t="str">
        <f>"3. " &amp; data!$B$82</f>
      </c>
      <c r="C17" s="23" t="str">
        <f>CONCATENATE("Pool V-1st ",'Pool Matches'!O258)</f>
      </c>
      <c r="G17" s="20"/>
      <c r="K17" s="20"/>
    </row>
    <row r="18">
      <c r="A18" s="22"/>
      <c r="D18" s="22"/>
      <c r="E18" s="21">
        <v>26</v>
      </c>
      <c r="F18" s="15"/>
      <c r="G18" s="20"/>
      <c r="K18" s="20"/>
    </row>
    <row r="19">
      <c r="A19" s="24" t="str">
        <f>'data'!$A$85</f>
      </c>
      <c r="C19" s="23" t="str">
        <f>CONCATENATE("Pool W-2nd ",'Pool Matches'!O302)</f>
      </c>
      <c r="D19" s="15"/>
      <c r="E19" s="20"/>
      <c r="K19" s="20"/>
    </row>
    <row r="20">
      <c r="A20" s="25" t="str">
        <f>"1. " &amp; data!$B$83</f>
      </c>
      <c r="K20" s="21">
        <v>58</v>
      </c>
    </row>
    <row r="21">
      <c r="A21" s="26" t="str">
        <f>"2. " &amp; data!$B$84</f>
      </c>
      <c r="C21" s="23" t="str">
        <f>CONCATENATE("Pool X-1st ",'Pool Matches'!O344)</f>
      </c>
      <c r="K21" s="20"/>
    </row>
    <row r="22">
      <c r="A22" s="27" t="str">
        <f>"3. " &amp; data!$B$85</f>
      </c>
      <c r="D22" s="22"/>
      <c r="E22" s="21">
        <v>27</v>
      </c>
      <c r="K22" s="20"/>
    </row>
    <row r="23">
      <c r="A23" s="22"/>
      <c r="C23" s="23" t="str">
        <f>CONCATENATE("Pool Y-2nd ",'Pool Matches'!O388)</f>
      </c>
      <c r="D23" s="15"/>
      <c r="E23" s="20"/>
      <c r="F23" s="22"/>
      <c r="G23" s="20"/>
      <c r="K23" s="20"/>
    </row>
    <row r="24">
      <c r="A24" s="24" t="str">
        <f>'data'!$A$88</f>
      </c>
      <c r="G24" s="21">
        <v>45</v>
      </c>
      <c r="K24" s="20"/>
    </row>
    <row r="25">
      <c r="A25" s="25" t="str">
        <f>"1. " &amp; data!$B$86</f>
      </c>
      <c r="C25" s="23" t="str">
        <f>CONCATENATE("Pool Z-1st ",'Pool Matches'!O430)</f>
      </c>
      <c r="G25" s="20"/>
      <c r="H25" s="22"/>
      <c r="I25" s="20"/>
      <c r="K25" s="20"/>
    </row>
    <row r="26">
      <c r="A26" s="26" t="str">
        <f>"2. " &amp; data!$B$87</f>
      </c>
      <c r="D26" s="22"/>
      <c r="E26" s="21">
        <v>28</v>
      </c>
      <c r="F26" s="15"/>
      <c r="G26" s="20"/>
      <c r="I26" s="20"/>
      <c r="K26" s="20"/>
    </row>
    <row r="27">
      <c r="A27" s="27" t="str">
        <f>"3. " &amp; data!$B$88</f>
      </c>
      <c r="C27" s="23" t="str">
        <f>CONCATENATE("Pool AA-2nd ",'Pool Matches'!O474)</f>
      </c>
      <c r="D27" s="15"/>
      <c r="E27" s="20"/>
      <c r="I27" s="20"/>
      <c r="K27" s="20"/>
    </row>
    <row r="28">
      <c r="A28" s="22"/>
      <c r="I28" s="21">
        <v>54</v>
      </c>
      <c r="J28" s="15"/>
      <c r="K28" s="20"/>
    </row>
    <row r="29">
      <c r="A29" s="24" t="str">
        <f>'data'!$A$91</f>
      </c>
      <c r="C29" s="23" t="str">
        <f>CONCATENATE("Pool BB-1st ",'Pool Matches'!O516)</f>
      </c>
      <c r="I29" s="20"/>
    </row>
    <row r="30">
      <c r="A30" s="25" t="str">
        <f>"1. " &amp; data!$B$89</f>
      </c>
      <c r="D30" s="22"/>
      <c r="E30" s="21">
        <v>29</v>
      </c>
      <c r="I30" s="20"/>
    </row>
    <row r="31">
      <c r="A31" s="26" t="str">
        <f>"2. " &amp; data!$B$90</f>
      </c>
      <c r="C31" s="23" t="str">
        <f>CONCATENATE("Pool CC-2nd ",'Pool Matches'!O560)</f>
      </c>
      <c r="D31" s="15"/>
      <c r="E31" s="20"/>
      <c r="F31" s="22"/>
      <c r="G31" s="20"/>
      <c r="I31" s="20"/>
    </row>
    <row r="32">
      <c r="A32" s="27" t="str">
        <f>"3. " &amp; data!$B$91</f>
      </c>
      <c r="G32" s="21">
        <v>46</v>
      </c>
      <c r="H32" s="15"/>
      <c r="I32" s="20"/>
    </row>
    <row r="33">
      <c r="A33" s="22"/>
      <c r="C33" s="23" t="str">
        <f>CONCATENATE("Pool DD-1st ",'Pool Matches'!O602)</f>
      </c>
      <c r="G33" s="20"/>
    </row>
    <row r="34">
      <c r="A34" s="24" t="str">
        <f>'data'!$A$93</f>
      </c>
      <c r="D34" s="22"/>
      <c r="E34" s="21">
        <v>30</v>
      </c>
      <c r="F34" s="15"/>
      <c r="G34" s="20"/>
    </row>
    <row r="35">
      <c r="A35" s="25" t="str">
        <f>"1. " &amp; data!$B$92</f>
      </c>
      <c r="C35" s="23" t="str">
        <f>CONCATENATE("Pool EE-2nd ",'Pool Matches'!O643)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