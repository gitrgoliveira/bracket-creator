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<sst xmlns="http://schemas.openxmlformats.org/spreadsheetml/2006/main" count="76" uniqueCount="76">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</sst>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SUMPRODUCT((UPPER(D5:D9)&lt;&gt;"X")*((LEN(SUBSTITUTE(SUBSTITUTE(SUBSTITUTE(B5:B9," ",""),"0",""),"-",""))+LEN(SUBSTITUTE(SUBSTITUTE(SUBSTITUTE(C5:C9," ",""),"0",""),"-","")))&gt;(LEN(SUBSTITUTE(SUBSTITUTE(SUBSTITUTE(E5:E9," ",""),"0",""),"-",""))+LEN(SUBSTITUTE(SUBSTITUTE(SUBSTITUTE(F5:F9," ",""),"0",""),"-",""))))*1)</f>
      </c>
      <c r="C4" s="14" t="str">
        <f>SUMPRODUCT(LEN(SUBSTITUTE(SUBSTITUTE(SUBSTITUTE(B5:B9," ",""),"0",""),"-",""))+LEN(SUBSTITUTE(SUBSTITUTE(SUBSTITUTE(C5:C9," ",""),"0",""),"-","")))</f>
      </c>
      <c r="D4" s="18"/>
      <c r="E4" s="14" t="str">
        <f>SUMPRODUCT(LEN(SUBSTITUTE(SUBSTITUTE(SUBSTITUTE(E5:E9," ",""),"0",""),"-",""))+LEN(SUBSTITUTE(SUBSTITUTE(SUBSTITUTE(F5:F9," ",""),"0",""),"-","")))</f>
      </c>
      <c r="F4" s="14" t="str">
        <f>SUMPRODUCT((UPPER(D5:D9)&lt;&gt;"X")*((LEN(SUBSTITUTE(SUBSTITUTE(SUBSTITUTE(E5:E9," ",""),"0",""),"-",""))+LEN(SUBSTITUTE(SUBSTITUTE(SUBSTITUTE(F5:F9," ",""),"0",""),"-","")))&gt;(LEN(SUBSTITUTE(SUBSTITUTE(SUBSTITUTE(B5:B9," ",""),"0",""),"-",""))+LEN(SUBSTITUTE(SUBSTITUTE(SUBSTITUTE(C5:C9," ",""),"0",""),"-",""))))*1)</f>
      </c>
      <c r="G4" s="14" t="str">
        <f>'data'!$B$3</f>
      </c>
      <c r="I4" s="14" t="str">
        <f>'data'!$B$11</f>
      </c>
      <c r="J4" s="14" t="str">
        <f>SUMPRODUCT((UPPER(L5:L9)&lt;&gt;"X")*((LEN(SUBSTITUTE(SUBSTITUTE(SUBSTITUTE(J5:J9," ",""),"0",""),"-",""))+LEN(SUBSTITUTE(SUBSTITUTE(SUBSTITUTE(K5:K9," ",""),"0",""),"-","")))&gt;(LEN(SUBSTITUTE(SUBSTITUTE(SUBSTITUTE(M5:M9," ",""),"0",""),"-",""))+LEN(SUBSTITUTE(SUBSTITUTE(SUBSTITUTE(N5:N9," ",""),"0",""),"-",""))))*1)</f>
      </c>
      <c r="K4" s="14" t="str">
        <f>SUMPRODUCT(LEN(SUBSTITUTE(SUBSTITUTE(SUBSTITUTE(J5:J9," ",""),"0",""),"-",""))+LEN(SUBSTITUTE(SUBSTITUTE(SUBSTITUTE(K5:K9," ",""),"0",""),"-","")))</f>
      </c>
      <c r="L4" s="18"/>
      <c r="M4" s="14" t="str">
        <f>SUMPRODUCT(LEN(SUBSTITUTE(SUBSTITUTE(SUBSTITUTE(M5:M9," ",""),"0",""),"-",""))+LEN(SUBSTITUTE(SUBSTITUTE(SUBSTITUTE(N5:N9," ",""),"0",""),"-","")))</f>
      </c>
      <c r="N4" s="14" t="str">
        <f>SUMPRODUCT((UPPER(L5:L9)&lt;&gt;"X")*((LEN(SUBSTITUTE(SUBSTITUTE(SUBSTITUTE(M5:M9," ",""),"0",""),"-",""))+LEN(SUBSTITUTE(SUBSTITUTE(SUBSTITUTE(N5:N9," ",""),"0",""),"-","")))&gt;(LEN(SUBSTITUTE(SUBSTITUTE(SUBSTITUTE(J5:J9," ",""),"0",""),"-",""))+LEN(SUBSTITUTE(SUBSTITUTE(SUBSTITUTE(K5:K9," ",""),"0",""),"-",""))))*1)</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SUMPRODUCT((UPPER(D13:D17)&lt;&gt;"X")*((LEN(SUBSTITUTE(SUBSTITUTE(SUBSTITUTE(B13:B17," ",""),"0",""),"-",""))+LEN(SUBSTITUTE(SUBSTITUTE(SUBSTITUTE(C13:C17," ",""),"0",""),"-","")))&gt;(LEN(SUBSTITUTE(SUBSTITUTE(SUBSTITUTE(E13:E17," ",""),"0",""),"-",""))+LEN(SUBSTITUTE(SUBSTITUTE(SUBSTITUTE(F13:F17," ",""),"0",""),"-",""))))*1)</f>
      </c>
      <c r="C12" s="14" t="str">
        <f>SUMPRODUCT(LEN(SUBSTITUTE(SUBSTITUTE(SUBSTITUTE(B13:B17," ",""),"0",""),"-",""))+LEN(SUBSTITUTE(SUBSTITUTE(SUBSTITUTE(C13:C17," ",""),"0",""),"-","")))</f>
      </c>
      <c r="D12" s="18"/>
      <c r="E12" s="14" t="str">
        <f>SUMPRODUCT(LEN(SUBSTITUTE(SUBSTITUTE(SUBSTITUTE(E13:E17," ",""),"0",""),"-",""))+LEN(SUBSTITUTE(SUBSTITUTE(SUBSTITUTE(F13:F17," ",""),"0",""),"-","")))</f>
      </c>
      <c r="F12" s="14" t="str">
        <f>SUMPRODUCT((UPPER(D13:D17)&lt;&gt;"X")*((LEN(SUBSTITUTE(SUBSTITUTE(SUBSTITUTE(E13:E17," ",""),"0",""),"-",""))+LEN(SUBSTITUTE(SUBSTITUTE(SUBSTITUTE(F13:F17," ",""),"0",""),"-","")))&gt;(LEN(SUBSTITUTE(SUBSTITUTE(SUBSTITUTE(B13:B17," ",""),"0",""),"-",""))+LEN(SUBSTITUTE(SUBSTITUTE(SUBSTITUTE(C13:C17," ",""),"0",""),"-",""))))*1)</f>
      </c>
      <c r="G12" s="14" t="str">
        <f>'data'!$B$5</f>
      </c>
      <c r="I12" s="14" t="str">
        <f>'data'!$B$12</f>
      </c>
      <c r="J12" s="14" t="str">
        <f>SUMPRODUCT((UPPER(L13:L17)&lt;&gt;"X")*((LEN(SUBSTITUTE(SUBSTITUTE(SUBSTITUTE(J13:J17," ",""),"0",""),"-",""))+LEN(SUBSTITUTE(SUBSTITUTE(SUBSTITUTE(K13:K17," ",""),"0",""),"-","")))&gt;(LEN(SUBSTITUTE(SUBSTITUTE(SUBSTITUTE(M13:M17," ",""),"0",""),"-",""))+LEN(SUBSTITUTE(SUBSTITUTE(SUBSTITUTE(N13:N17," ",""),"0",""),"-",""))))*1)</f>
      </c>
      <c r="K12" s="14" t="str">
        <f>SUMPRODUCT(LEN(SUBSTITUTE(SUBSTITUTE(SUBSTITUTE(J13:J17," ",""),"0",""),"-",""))+LEN(SUBSTITUTE(SUBSTITUTE(SUBSTITUTE(K13:K17," ",""),"0",""),"-","")))</f>
      </c>
      <c r="L12" s="18"/>
      <c r="M12" s="14" t="str">
        <f>SUMPRODUCT(LEN(SUBSTITUTE(SUBSTITUTE(SUBSTITUTE(M13:M17," ",""),"0",""),"-",""))+LEN(SUBSTITUTE(SUBSTITUTE(SUBSTITUTE(N13:N17," ",""),"0",""),"-","")))</f>
      </c>
      <c r="N12" s="14" t="str">
        <f>SUMPRODUCT((UPPER(L13:L17)&lt;&gt;"X")*((LEN(SUBSTITUTE(SUBSTITUTE(SUBSTITUTE(M13:M17," ",""),"0",""),"-",""))+LEN(SUBSTITUTE(SUBSTITUTE(SUBSTITUTE(N13:N17," ",""),"0",""),"-","")))&gt;(LEN(SUBSTITUTE(SUBSTITUTE(SUBSTITUTE(J13:J17," ",""),"0",""),"-",""))+LEN(SUBSTITUTE(SUBSTITUTE(SUBSTITUTE(K13:K17," ",""),"0",""),"-",""))))*1)</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SUMPRODUCT((UPPER(D21:D25)&lt;&gt;"X")*((LEN(SUBSTITUTE(SUBSTITUTE(SUBSTITUTE(B21:B25," ",""),"0",""),"-",""))+LEN(SUBSTITUTE(SUBSTITUTE(SUBSTITUTE(C21:C25," ",""),"0",""),"-","")))&gt;(LEN(SUBSTITUTE(SUBSTITUTE(SUBSTITUTE(E21:E25," ",""),"0",""),"-",""))+LEN(SUBSTITUTE(SUBSTITUTE(SUBSTITUTE(F21:F25," ",""),"0",""),"-",""))))*1)</f>
      </c>
      <c r="C20" s="14" t="str">
        <f>SUMPRODUCT(LEN(SUBSTITUTE(SUBSTITUTE(SUBSTITUTE(B21:B25," ",""),"0",""),"-",""))+LEN(SUBSTITUTE(SUBSTITUTE(SUBSTITUTE(C21:C25," ",""),"0",""),"-","")))</f>
      </c>
      <c r="D20" s="18"/>
      <c r="E20" s="14" t="str">
        <f>SUMPRODUCT(LEN(SUBSTITUTE(SUBSTITUTE(SUBSTITUTE(E21:E25," ",""),"0",""),"-",""))+LEN(SUBSTITUTE(SUBSTITUTE(SUBSTITUTE(F21:F25," ",""),"0",""),"-","")))</f>
      </c>
      <c r="F20" s="14" t="str">
        <f>SUMPRODUCT((UPPER(D21:D25)&lt;&gt;"X")*((LEN(SUBSTITUTE(SUBSTITUTE(SUBSTITUTE(E21:E25," ",""),"0",""),"-",""))+LEN(SUBSTITUTE(SUBSTITUTE(SUBSTITUTE(F21:F25," ",""),"0",""),"-","")))&gt;(LEN(SUBSTITUTE(SUBSTITUTE(SUBSTITUTE(B21:B25," ",""),"0",""),"-",""))+LEN(SUBSTITUTE(SUBSTITUTE(SUBSTITUTE(C21:C25," ",""),"0",""),"-",""))))*1)</f>
      </c>
      <c r="G20" s="14" t="str">
        <f>'data'!$B$5</f>
      </c>
      <c r="I20" s="14" t="str">
        <f>'data'!$B$12</f>
      </c>
      <c r="J20" s="14" t="str">
        <f>SUMPRODUCT((UPPER(L21:L25)&lt;&gt;"X")*((LEN(SUBSTITUTE(SUBSTITUTE(SUBSTITUTE(J21:J25," ",""),"0",""),"-",""))+LEN(SUBSTITUTE(SUBSTITUTE(SUBSTITUTE(K21:K25," ",""),"0",""),"-","")))&gt;(LEN(SUBSTITUTE(SUBSTITUTE(SUBSTITUTE(M21:M25," ",""),"0",""),"-",""))+LEN(SUBSTITUTE(SUBSTITUTE(SUBSTITUTE(N21:N25," ",""),"0",""),"-",""))))*1)</f>
      </c>
      <c r="K20" s="14" t="str">
        <f>SUMPRODUCT(LEN(SUBSTITUTE(SUBSTITUTE(SUBSTITUTE(J21:J25," ",""),"0",""),"-",""))+LEN(SUBSTITUTE(SUBSTITUTE(SUBSTITUTE(K21:K25," ",""),"0",""),"-","")))</f>
      </c>
      <c r="L20" s="18"/>
      <c r="M20" s="14" t="str">
        <f>SUMPRODUCT(LEN(SUBSTITUTE(SUBSTITUTE(SUBSTITUTE(M21:M25," ",""),"0",""),"-",""))+LEN(SUBSTITUTE(SUBSTITUTE(SUBSTITUTE(N21:N25," ",""),"0",""),"-","")))</f>
      </c>
      <c r="N20" s="14" t="str">
        <f>SUMPRODUCT((UPPER(L21:L25)&lt;&gt;"X")*((LEN(SUBSTITUTE(SUBSTITUTE(SUBSTITUTE(M21:M25," ",""),"0",""),"-",""))+LEN(SUBSTITUTE(SUBSTITUTE(SUBSTITUTE(N21:N25," ",""),"0",""),"-","")))&gt;(LEN(SUBSTITUTE(SUBSTITUTE(SUBSTITUTE(J21:J25," ",""),"0",""),"-",""))+LEN(SUBSTITUTE(SUBSTITUTE(SUBSTITUTE(K21:K25," ",""),"0",""),"-",""))))*1)</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SUMPRODUCT((UPPER(D29:D33)&lt;&gt;"X")*((LEN(SUBSTITUTE(SUBSTITUTE(SUBSTITUTE(B29:B33," ",""),"0",""),"-",""))+LEN(SUBSTITUTE(SUBSTITUTE(SUBSTITUTE(C29:C33," ",""),"0",""),"-","")))&gt;(LEN(SUBSTITUTE(SUBSTITUTE(SUBSTITUTE(E29:E33," ",""),"0",""),"-",""))+LEN(SUBSTITUTE(SUBSTITUTE(SUBSTITUTE(F29:F33," ",""),"0",""),"-",""))))*1)</f>
      </c>
      <c r="C28" s="14" t="str">
        <f>SUMPRODUCT(LEN(SUBSTITUTE(SUBSTITUTE(SUBSTITUTE(B29:B33," ",""),"0",""),"-",""))+LEN(SUBSTITUTE(SUBSTITUTE(SUBSTITUTE(C29:C33," ",""),"0",""),"-","")))</f>
      </c>
      <c r="D28" s="18"/>
      <c r="E28" s="14" t="str">
        <f>SUMPRODUCT(LEN(SUBSTITUTE(SUBSTITUTE(SUBSTITUTE(E29:E33," ",""),"0",""),"-",""))+LEN(SUBSTITUTE(SUBSTITUTE(SUBSTITUTE(F29:F33," ",""),"0",""),"-","")))</f>
      </c>
      <c r="F28" s="14" t="str">
        <f>SUMPRODUCT((UPPER(D29:D33)&lt;&gt;"X")*((LEN(SUBSTITUTE(SUBSTITUTE(SUBSTITUTE(E29:E33," ",""),"0",""),"-",""))+LEN(SUBSTITUTE(SUBSTITUTE(SUBSTITUTE(F29:F33," ",""),"0",""),"-","")))&gt;(LEN(SUBSTITUTE(SUBSTITUTE(SUBSTITUTE(B29:B33," ",""),"0",""),"-",""))+LEN(SUBSTITUTE(SUBSTITUTE(SUBSTITUTE(C29:C33," ",""),"0",""),"-",""))))*1)</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SUMPRODUCT((UPPER(D37:D41)&lt;&gt;"X")*((LEN(SUBSTITUTE(SUBSTITUTE(SUBSTITUTE(B37:B41," ",""),"0",""),"-",""))+LEN(SUBSTITUTE(SUBSTITUTE(SUBSTITUTE(C37:C41," ",""),"0",""),"-","")))&gt;(LEN(SUBSTITUTE(SUBSTITUTE(SUBSTITUTE(E37:E41," ",""),"0",""),"-",""))+LEN(SUBSTITUTE(SUBSTITUTE(SUBSTITUTE(F37:F41," ",""),"0",""),"-",""))))*1)</f>
      </c>
      <c r="C36" s="14" t="str">
        <f>SUMPRODUCT(LEN(SUBSTITUTE(SUBSTITUTE(SUBSTITUTE(B37:B41," ",""),"0",""),"-",""))+LEN(SUBSTITUTE(SUBSTITUTE(SUBSTITUTE(C37:C41," ",""),"0",""),"-","")))</f>
      </c>
      <c r="D36" s="18"/>
      <c r="E36" s="14" t="str">
        <f>SUMPRODUCT(LEN(SUBSTITUTE(SUBSTITUTE(SUBSTITUTE(E37:E41," ",""),"0",""),"-",""))+LEN(SUBSTITUTE(SUBSTITUTE(SUBSTITUTE(F37:F41," ",""),"0",""),"-","")))</f>
      </c>
      <c r="F36" s="14" t="str">
        <f>SUMPRODUCT((UPPER(D37:D41)&lt;&gt;"X")*((LEN(SUBSTITUTE(SUBSTITUTE(SUBSTITUTE(E37:E41," ",""),"0",""),"-",""))+LEN(SUBSTITUTE(SUBSTITUTE(SUBSTITUTE(F37:F41," ",""),"0",""),"-","")))&gt;(LEN(SUBSTITUTE(SUBSTITUTE(SUBSTITUTE(B37:B41," ",""),"0",""),"-",""))+LEN(SUBSTITUTE(SUBSTITUTE(SUBSTITUTE(C37:C41," ",""),"0",""),"-",""))))*1)</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SUMPRODUCT((UPPER(D45:D49)&lt;&gt;"X")*((LEN(SUBSTITUTE(SUBSTITUTE(SUBSTITUTE(B45:B49," ",""),"0",""),"-",""))+LEN(SUBSTITUTE(SUBSTITUTE(SUBSTITUTE(C45:C49," ",""),"0",""),"-","")))&gt;(LEN(SUBSTITUTE(SUBSTITUTE(SUBSTITUTE(E45:E49," ",""),"0",""),"-",""))+LEN(SUBSTITUTE(SUBSTITUTE(SUBSTITUTE(F45:F49," ",""),"0",""),"-",""))))*1)</f>
      </c>
      <c r="C44" s="14" t="str">
        <f>SUMPRODUCT(LEN(SUBSTITUTE(SUBSTITUTE(SUBSTITUTE(B45:B49," ",""),"0",""),"-",""))+LEN(SUBSTITUTE(SUBSTITUTE(SUBSTITUTE(C45:C49," ",""),"0",""),"-","")))</f>
      </c>
      <c r="D44" s="18"/>
      <c r="E44" s="14" t="str">
        <f>SUMPRODUCT(LEN(SUBSTITUTE(SUBSTITUTE(SUBSTITUTE(E45:E49," ",""),"0",""),"-",""))+LEN(SUBSTITUTE(SUBSTITUTE(SUBSTITUTE(F45:F49," ",""),"0",""),"-","")))</f>
      </c>
      <c r="F44" s="14" t="str">
        <f>SUMPRODUCT((UPPER(D45:D49)&lt;&gt;"X")*((LEN(SUBSTITUTE(SUBSTITUTE(SUBSTITUTE(E45:E49," ",""),"0",""),"-",""))+LEN(SUBSTITUTE(SUBSTITUTE(SUBSTITUTE(F45:F49," ",""),"0",""),"-","")))&gt;(LEN(SUBSTITUTE(SUBSTITUTE(SUBSTITUTE(B45:B49," ",""),"0",""),"-",""))+LEN(SUBSTITUTE(SUBSTITUTE(SUBSTITUTE(C45:C49," ",""),"0",""),"-",""))))*1)</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SUMPRODUCT((UPPER(D72:D76)&lt;&gt;"X")*((LEN(SUBSTITUTE(SUBSTITUTE(SUBSTITUTE(B72:B76," ",""),"0",""),"-",""))+LEN(SUBSTITUTE(SUBSTITUTE(SUBSTITUTE(C72:C76," ",""),"0",""),"-","")))&gt;(LEN(SUBSTITUTE(SUBSTITUTE(SUBSTITUTE(E72:E76," ",""),"0",""),"-",""))+LEN(SUBSTITUTE(SUBSTITUTE(SUBSTITUTE(F72:F76," ",""),"0",""),"-",""))))*1)</f>
      </c>
      <c r="C71" s="14" t="str">
        <f>SUMPRODUCT(LEN(SUBSTITUTE(SUBSTITUTE(SUBSTITUTE(B72:B76," ",""),"0",""),"-",""))+LEN(SUBSTITUTE(SUBSTITUTE(SUBSTITUTE(C72:C76," ",""),"0",""),"-","")))</f>
      </c>
      <c r="D71" s="18"/>
      <c r="E71" s="14" t="str">
        <f>SUMPRODUCT(LEN(SUBSTITUTE(SUBSTITUTE(SUBSTITUTE(E72:E76," ",""),"0",""),"-",""))+LEN(SUBSTITUTE(SUBSTITUTE(SUBSTITUTE(F72:F76," ",""),"0",""),"-","")))</f>
      </c>
      <c r="F71" s="14" t="str">
        <f>SUMPRODUCT((UPPER(D72:D76)&lt;&gt;"X")*((LEN(SUBSTITUTE(SUBSTITUTE(SUBSTITUTE(E72:E76," ",""),"0",""),"-",""))+LEN(SUBSTITUTE(SUBSTITUTE(SUBSTITUTE(F72:F76," ",""),"0",""),"-","")))&gt;(LEN(SUBSTITUTE(SUBSTITUTE(SUBSTITUTE(B72:B76," ",""),"0",""),"-",""))+LEN(SUBSTITUTE(SUBSTITUTE(SUBSTITUTE(C72:C76," ",""),"0",""),"-",""))))*1)</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SUMPRODUCT((UPPER(D80:D84)&lt;&gt;"X")*((LEN(SUBSTITUTE(SUBSTITUTE(SUBSTITUTE(B80:B84," ",""),"0",""),"-",""))+LEN(SUBSTITUTE(SUBSTITUTE(SUBSTITUTE(C80:C84," ",""),"0",""),"-","")))&gt;(LEN(SUBSTITUTE(SUBSTITUTE(SUBSTITUTE(E80:E84," ",""),"0",""),"-",""))+LEN(SUBSTITUTE(SUBSTITUTE(SUBSTITUTE(F80:F84," ",""),"0",""),"-",""))))*1)</f>
      </c>
      <c r="C79" s="14" t="str">
        <f>SUMPRODUCT(LEN(SUBSTITUTE(SUBSTITUTE(SUBSTITUTE(B80:B84," ",""),"0",""),"-",""))+LEN(SUBSTITUTE(SUBSTITUTE(SUBSTITUTE(C80:C84," ",""),"0",""),"-","")))</f>
      </c>
      <c r="D79" s="18"/>
      <c r="E79" s="14" t="str">
        <f>SUMPRODUCT(LEN(SUBSTITUTE(SUBSTITUTE(SUBSTITUTE(E80:E84," ",""),"0",""),"-",""))+LEN(SUBSTITUTE(SUBSTITUTE(SUBSTITUTE(F80:F84," ",""),"0",""),"-","")))</f>
      </c>
      <c r="F79" s="14" t="str">
        <f>SUMPRODUCT((UPPER(D80:D84)&lt;&gt;"X")*((LEN(SUBSTITUTE(SUBSTITUTE(SUBSTITUTE(E80:E84," ",""),"0",""),"-",""))+LEN(SUBSTITUTE(SUBSTITUTE(SUBSTITUTE(F80:F84," ",""),"0",""),"-","")))&gt;(LEN(SUBSTITUTE(SUBSTITUTE(SUBSTITUTE(B80:B84," ",""),"0",""),"-",""))+LEN(SUBSTITUTE(SUBSTITUTE(SUBSTITUTE(C80:C84," ",""),"0",""),"-",""))))*1)</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SUMPRODUCT((UPPER(D88:D92)&lt;&gt;"X")*((LEN(SUBSTITUTE(SUBSTITUTE(SUBSTITUTE(B88:B92," ",""),"0",""),"-",""))+LEN(SUBSTITUTE(SUBSTITUTE(SUBSTITUTE(C88:C92," ",""),"0",""),"-","")))&gt;(LEN(SUBSTITUTE(SUBSTITUTE(SUBSTITUTE(E88:E92," ",""),"0",""),"-",""))+LEN(SUBSTITUTE(SUBSTITUTE(SUBSTITUTE(F88:F92," ",""),"0",""),"-",""))))*1)</f>
      </c>
      <c r="C87" s="14" t="str">
        <f>SUMPRODUCT(LEN(SUBSTITUTE(SUBSTITUTE(SUBSTITUTE(B88:B92," ",""),"0",""),"-",""))+LEN(SUBSTITUTE(SUBSTITUTE(SUBSTITUTE(C88:C92," ",""),"0",""),"-","")))</f>
      </c>
      <c r="D87" s="18"/>
      <c r="E87" s="14" t="str">
        <f>SUMPRODUCT(LEN(SUBSTITUTE(SUBSTITUTE(SUBSTITUTE(E88:E92," ",""),"0",""),"-",""))+LEN(SUBSTITUTE(SUBSTITUTE(SUBSTITUTE(F88:F92," ",""),"0",""),"-","")))</f>
      </c>
      <c r="F87" s="14" t="str">
        <f>SUMPRODUCT((UPPER(D88:D92)&lt;&gt;"X")*((LEN(SUBSTITUTE(SUBSTITUTE(SUBSTITUTE(E88:E92," ",""),"0",""),"-",""))+LEN(SUBSTITUTE(SUBSTITUTE(SUBSTITUTE(F88:F92," ",""),"0",""),"-","")))&gt;(LEN(SUBSTITUTE(SUBSTITUTE(SUBSTITUTE(B88:B92," ",""),"0",""),"-",""))+LEN(SUBSTITUTE(SUBSTITUTE(SUBSTITUTE(C88:C92," ",""),"0",""),"-",""))))*1)</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B-2nd ",'Pool Matches'!G111)</f>
      </c>
      <c r="B4" s="14"/>
      <c r="C4" s="14"/>
      <c r="D4" s="18"/>
      <c r="E4" s="14"/>
      <c r="F4" s="14"/>
      <c r="G4" s="14" t="str">
        <f>CONCATENATE("Pool C-1st ",'Pool Matches'!O67)</f>
      </c>
      <c r="I4" s="14" t="str">
        <f>CONCATENATE("Pool C-2nd ",'Pool Matches'!O68)</f>
      </c>
      <c r="J4" s="14"/>
      <c r="K4" s="14"/>
      <c r="L4" s="18"/>
      <c r="M4" s="14"/>
      <c r="N4" s="14"/>
      <c r="O4" s="14" t="str">
        <f>CONCATENATE("Pool A-2nd ",'Pool Matches'!G71)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Matches'!G111)</f>
      </c>
      <c r="B11" s="14" t="s">
        <v>43</v>
      </c>
      <c r="C11" s="14" t="s">
        <v>46</v>
      </c>
      <c r="D11" s="14"/>
      <c r="E11" s="14" t="s">
        <v>46</v>
      </c>
      <c r="F11" s="14" t="s">
        <v>43</v>
      </c>
      <c r="G11" s="14" t="str">
        <f>CONCATENATE("Pool C-1st ",'Pool Matches'!O67)</f>
      </c>
      <c r="I11" s="14" t="str">
        <f>CONCATENATE("Pool C-2nd ",'Pool Matches'!O68)</f>
      </c>
      <c r="J11" s="14" t="s">
        <v>43</v>
      </c>
      <c r="K11" s="14" t="s">
        <v>46</v>
      </c>
      <c r="L11" s="14"/>
      <c r="M11" s="14" t="s">
        <v>46</v>
      </c>
      <c r="N11" s="14" t="s">
        <v>43</v>
      </c>
      <c r="O11" s="14" t="str">
        <f>CONCATENATE("Pool A-2nd ",'Pool Matches'!G71)</f>
      </c>
    </row>
    <row r="12">
      <c r="A12" s="14" t="s">
        <v>64</v>
      </c>
      <c r="B12" s="14" t="str">
        <f>SUMPRODUCT((UPPER(D5:D9)&lt;&gt;"X")*((LEN(SUBSTITUTE(SUBSTITUTE(SUBSTITUTE(B5:B9," ",""),"0",""),"-",""))+LEN(SUBSTITUTE(SUBSTITUTE(SUBSTITUTE(C5:C9," ",""),"0",""),"-","")))&gt;(LEN(SUBSTITUTE(SUBSTITUTE(SUBSTITUTE(E5:E9," ",""),"0",""),"-",""))+LEN(SUBSTITUTE(SUBSTITUTE(SUBSTITUTE(F5:F9," ",""),"0",""),"-",""))))*1)</f>
      </c>
      <c r="C12" s="14" t="str">
        <f>SUMPRODUCT(LEN(SUBSTITUTE(SUBSTITUTE(SUBSTITUTE(B5:B9," ",""),"0",""),"-",""))+LEN(SUBSTITUTE(SUBSTITUTE(SUBSTITUTE(C5:C9," ",""),"0",""),"-","")))</f>
      </c>
      <c r="D12" s="14"/>
      <c r="E12" s="14" t="str">
        <f>SUMPRODUCT(LEN(SUBSTITUTE(SUBSTITUTE(SUBSTITUTE(E5:E9," ",""),"0",""),"-",""))+LEN(SUBSTITUTE(SUBSTITUTE(SUBSTITUTE(F5:F9," ",""),"0",""),"-","")))</f>
      </c>
      <c r="F12" s="14" t="str">
        <f>SUMPRODUCT((UPPER(D5:D9)&lt;&gt;"X")*((LEN(SUBSTITUTE(SUBSTITUTE(SUBSTITUTE(E5:E9," ",""),"0",""),"-",""))+LEN(SUBSTITUTE(SUBSTITUTE(SUBSTITUTE(F5:F9," ",""),"0",""),"-","")))&gt;(LEN(SUBSTITUTE(SUBSTITUTE(SUBSTITUTE(B5:B9," ",""),"0",""),"-",""))+LEN(SUBSTITUTE(SUBSTITUTE(SUBSTITUTE(C5:C9," ",""),"0",""),"-",""))))*1)</f>
      </c>
      <c r="G12" s="14" t="s">
        <v>64</v>
      </c>
      <c r="I12" s="14" t="s">
        <v>64</v>
      </c>
      <c r="J12" s="14" t="str">
        <f>SUMPRODUCT((UPPER(L5:L9)&lt;&gt;"X")*((LEN(SUBSTITUTE(SUBSTITUTE(SUBSTITUTE(J5:J9," ",""),"0",""),"-",""))+LEN(SUBSTITUTE(SUBSTITUTE(SUBSTITUTE(K5:K9," ",""),"0",""),"-","")))&gt;(LEN(SUBSTITUTE(SUBSTITUTE(SUBSTITUTE(M5:M9," ",""),"0",""),"-",""))+LEN(SUBSTITUTE(SUBSTITUTE(SUBSTITUTE(N5:N9," ",""),"0",""),"-",""))))*1)</f>
      </c>
      <c r="K12" s="14" t="str">
        <f>SUMPRODUCT(LEN(SUBSTITUTE(SUBSTITUTE(SUBSTITUTE(J5:J9," ",""),"0",""),"-",""))+LEN(SUBSTITUTE(SUBSTITUTE(SUBSTITUTE(K5:K9," ",""),"0",""),"-","")))</f>
      </c>
      <c r="L12" s="14"/>
      <c r="M12" s="14" t="str">
        <f>SUMPRODUCT(LEN(SUBSTITUTE(SUBSTITUTE(SUBSTITUTE(M5:M9," ",""),"0",""),"-",""))+LEN(SUBSTITUTE(SUBSTITUTE(SUBSTITUTE(N5:N9," ",""),"0",""),"-","")))</f>
      </c>
      <c r="N12" s="14" t="str">
        <f>SUMPRODUCT((UPPER(L5:L9)&lt;&gt;"X")*((LEN(SUBSTITUTE(SUBSTITUTE(SUBSTITUTE(M5:M9," ",""),"0",""),"-",""))+LEN(SUBSTITUTE(SUBSTITUTE(SUBSTITUTE(N5:N9," ",""),"0",""),"-","")))&gt;(LEN(SUBSTITUTE(SUBSTITUTE(SUBSTITUTE(J5:J9," ",""),"0",""),"-",""))+LEN(SUBSTITUTE(SUBSTITUTE(SUBSTITUTE(K5:K9," ",""),"0",""),"-",""))))*1)</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Matches'!G70)</f>
      </c>
      <c r="I25" s="14" t="str">
        <f>CONCATENATE("M 2 ",O15)</f>
      </c>
      <c r="J25" s="14"/>
      <c r="K25" s="14"/>
      <c r="L25" s="18"/>
      <c r="M25" s="14"/>
      <c r="N25" s="14"/>
      <c r="O25" s="14" t="str">
        <f>CONCATENATE("Pool B-1st ",'Pool Matches'!G110)</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Matches'!G70)</f>
      </c>
      <c r="I32" s="14" t="str">
        <f>CONCATENATE("M 2 ",O15)</f>
      </c>
      <c r="J32" s="14" t="s">
        <v>43</v>
      </c>
      <c r="K32" s="14" t="s">
        <v>46</v>
      </c>
      <c r="L32" s="14"/>
      <c r="M32" s="14" t="s">
        <v>46</v>
      </c>
      <c r="N32" s="14" t="s">
        <v>43</v>
      </c>
      <c r="O32" s="14" t="str">
        <f>CONCATENATE("Pool B-1st ",'Pool Matches'!G110)</f>
      </c>
    </row>
    <row r="33">
      <c r="A33" s="14" t="s">
        <v>64</v>
      </c>
      <c r="B33" s="14" t="str">
        <f>SUMPRODUCT((UPPER(D26:D30)&lt;&gt;"X")*((LEN(SUBSTITUTE(SUBSTITUTE(SUBSTITUTE(B26:B30," ",""),"0",""),"-",""))+LEN(SUBSTITUTE(SUBSTITUTE(SUBSTITUTE(C26:C30," ",""),"0",""),"-","")))&gt;(LEN(SUBSTITUTE(SUBSTITUTE(SUBSTITUTE(E26:E30," ",""),"0",""),"-",""))+LEN(SUBSTITUTE(SUBSTITUTE(SUBSTITUTE(F26:F30," ",""),"0",""),"-",""))))*1)</f>
      </c>
      <c r="C33" s="14" t="str">
        <f>SUMPRODUCT(LEN(SUBSTITUTE(SUBSTITUTE(SUBSTITUTE(B26:B30," ",""),"0",""),"-",""))+LEN(SUBSTITUTE(SUBSTITUTE(SUBSTITUTE(C26:C30," ",""),"0",""),"-","")))</f>
      </c>
      <c r="D33" s="14"/>
      <c r="E33" s="14" t="str">
        <f>SUMPRODUCT(LEN(SUBSTITUTE(SUBSTITUTE(SUBSTITUTE(E26:E30," ",""),"0",""),"-",""))+LEN(SUBSTITUTE(SUBSTITUTE(SUBSTITUTE(F26:F30," ",""),"0",""),"-","")))</f>
      </c>
      <c r="F33" s="14" t="str">
        <f>SUMPRODUCT((UPPER(D26:D30)&lt;&gt;"X")*((LEN(SUBSTITUTE(SUBSTITUTE(SUBSTITUTE(E26:E30," ",""),"0",""),"-",""))+LEN(SUBSTITUTE(SUBSTITUTE(SUBSTITUTE(F26:F30," ",""),"0",""),"-","")))&gt;(LEN(SUBSTITUTE(SUBSTITUTE(SUBSTITUTE(B26:B30," ",""),"0",""),"-",""))+LEN(SUBSTITUTE(SUBSTITUTE(SUBSTITUTE(C26:C30," ",""),"0",""),"-",""))))*1)</f>
      </c>
      <c r="G33" s="14" t="s">
        <v>64</v>
      </c>
      <c r="I33" s="14" t="s">
        <v>64</v>
      </c>
      <c r="J33" s="14" t="str">
        <f>SUMPRODUCT((UPPER(L26:L30)&lt;&gt;"X")*((LEN(SUBSTITUTE(SUBSTITUTE(SUBSTITUTE(J26:J30," ",""),"0",""),"-",""))+LEN(SUBSTITUTE(SUBSTITUTE(SUBSTITUTE(K26:K30," ",""),"0",""),"-","")))&gt;(LEN(SUBSTITUTE(SUBSTITUTE(SUBSTITUTE(M26:M30," ",""),"0",""),"-",""))+LEN(SUBSTITUTE(SUBSTITUTE(SUBSTITUTE(N26:N30," ",""),"0",""),"-",""))))*1)</f>
      </c>
      <c r="K33" s="14" t="str">
        <f>SUMPRODUCT(LEN(SUBSTITUTE(SUBSTITUTE(SUBSTITUTE(J26:J30," ",""),"0",""),"-",""))+LEN(SUBSTITUTE(SUBSTITUTE(SUBSTITUTE(K26:K30," ",""),"0",""),"-","")))</f>
      </c>
      <c r="L33" s="14"/>
      <c r="M33" s="14" t="str">
        <f>SUMPRODUCT(LEN(SUBSTITUTE(SUBSTITUTE(SUBSTITUTE(M26:M30," ",""),"0",""),"-",""))+LEN(SUBSTITUTE(SUBSTITUTE(SUBSTITUTE(N26:N30," ",""),"0",""),"-","")))</f>
      </c>
      <c r="N33" s="14" t="str">
        <f>SUMPRODUCT((UPPER(L26:L30)&lt;&gt;"X")*((LEN(SUBSTITUTE(SUBSTITUTE(SUBSTITUTE(M26:M30," ",""),"0",""),"-",""))+LEN(SUBSTITUTE(SUBSTITUTE(SUBSTITUTE(N26:N30," ",""),"0",""),"-","")))&gt;(LEN(SUBSTITUTE(SUBSTITUTE(SUBSTITUTE(J26:J30," ",""),"0",""),"-",""))+LEN(SUBSTITUTE(SUBSTITUTE(SUBSTITUTE(K26:K30," ",""),"0",""),"-",""))))*1)</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SUMPRODUCT((UPPER(D47:D51)&lt;&gt;"X")*((LEN(SUBSTITUTE(SUBSTITUTE(SUBSTITUTE(B47:B51," ",""),"0",""),"-",""))+LEN(SUBSTITUTE(SUBSTITUTE(SUBSTITUTE(C47:C51," ",""),"0",""),"-","")))&gt;(LEN(SUBSTITUTE(SUBSTITUTE(SUBSTITUTE(E47:E51," ",""),"0",""),"-",""))+LEN(SUBSTITUTE(SUBSTITUTE(SUBSTITUTE(F47:F51," ",""),"0",""),"-",""))))*1)</f>
      </c>
      <c r="C54" s="14" t="str">
        <f>SUMPRODUCT(LEN(SUBSTITUTE(SUBSTITUTE(SUBSTITUTE(B47:B51," ",""),"0",""),"-",""))+LEN(SUBSTITUTE(SUBSTITUTE(SUBSTITUTE(C47:C51," ",""),"0",""),"-","")))</f>
      </c>
      <c r="D54" s="14"/>
      <c r="E54" s="14" t="str">
        <f>SUMPRODUCT(LEN(SUBSTITUTE(SUBSTITUTE(SUBSTITUTE(E47:E51," ",""),"0",""),"-",""))+LEN(SUBSTITUTE(SUBSTITUTE(SUBSTITUTE(F47:F51," ",""),"0",""),"-","")))</f>
      </c>
      <c r="F54" s="14" t="str">
        <f>SUMPRODUCT((UPPER(D47:D51)&lt;&gt;"X")*((LEN(SUBSTITUTE(SUBSTITUTE(SUBSTITUTE(E47:E51," ",""),"0",""),"-",""))+LEN(SUBSTITUTE(SUBSTITUTE(SUBSTITUTE(F47:F51," ",""),"0",""),"-","")))&gt;(LEN(SUBSTITUTE(SUBSTITUTE(SUBSTITUTE(B47:B51," ",""),"0",""),"-",""))+LEN(SUBSTITUTE(SUBSTITUTE(SUBSTITUTE(C47:C51," ",""),"0",""),"-",""))))*1)</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Matches'!G70)</f>
      </c>
    </row>
    <row r="7">
      <c r="A7" s="26" t="str">
        <f>"3. " &amp; data!$B$5</f>
      </c>
      <c r="F7" s="22"/>
      <c r="G7" s="20"/>
    </row>
    <row r="8">
      <c r="A8" s="27" t="str">
        <f>"4. " &amp; data!$B$6</f>
      </c>
      <c r="G8" s="21">
        <v>3</v>
      </c>
    </row>
    <row r="9">
      <c r="A9" s="22"/>
      <c r="C9" s="23" t="str">
        <f>CONCATENATE("Pool C-1st ",'Pool Matches'!O67)</f>
      </c>
      <c r="G9" s="20"/>
    </row>
    <row r="10">
      <c r="A10" s="24" t="str">
        <f>'data'!$A$9</f>
      </c>
      <c r="D10" s="22"/>
      <c r="E10" s="21">
        <v>1</v>
      </c>
      <c r="F10" s="15"/>
      <c r="G10" s="20"/>
    </row>
    <row r="11">
      <c r="A11" s="25" t="str">
        <f>"1. " &amp; data!$B$7</f>
      </c>
      <c r="C11" s="23" t="str">
        <f>CONCATENATE("Pool B-2nd ",'Pool Matches'!G111)</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'data'!$A$12</f>
      </c>
    </row>
    <row r="5">
      <c r="A5" s="25" t="str">
        <f>"1. " &amp; data!$B$10</f>
      </c>
    </row>
    <row r="6">
      <c r="A6" s="26" t="str">
        <f>"2. " &amp; data!$B$11</f>
      </c>
      <c r="E6" s="23" t="str">
        <f>CONCATENATE("Pool B-1st ",'Pool Matches'!G110)</f>
      </c>
    </row>
    <row r="7">
      <c r="A7" s="27" t="str">
        <f>"3. " &amp; data!$B$12</f>
      </c>
      <c r="F7" s="22"/>
      <c r="G7" s="20"/>
    </row>
    <row r="8">
      <c r="A8" s="22"/>
      <c r="G8" s="21">
        <v>4</v>
      </c>
    </row>
    <row r="9">
      <c r="C9" s="23" t="str">
        <f>CONCATENATE("Pool A-2nd ",'Pool Matches'!G71)</f>
      </c>
      <c r="G9" s="20"/>
    </row>
    <row r="10">
      <c r="D10" s="22"/>
      <c r="E10" s="21">
        <v>2</v>
      </c>
      <c r="F10" s="15"/>
      <c r="G10" s="20"/>
    </row>
    <row r="11">
      <c r="C11" s="23" t="str">
        <f>CONCATENATE("Pool C-2nd ",'Pool Matches'!O68)</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53</v>
      </c>
    </row>
    <row r="2" ht="390" customHeight="true">
      <c r="A2" s="30" t="s">
        <v>53</v>
      </c>
    </row>
    <row r="3" ht="390" customHeight="true">
      <c r="A3" s="30" t="s">
        <v>54</v>
      </c>
    </row>
    <row r="4" ht="390" customHeight="true">
      <c r="A4" s="30" t="s">
        <v>54</v>
      </c>
    </row>
    <row r="5" ht="390" customHeight="true">
      <c r="A5" s="30" t="s">
        <v>55</v>
      </c>
    </row>
    <row r="6" ht="390" customHeight="true">
      <c r="A6" s="30" t="s">
        <v>55</v>
      </c>
    </row>
    <row r="7" ht="390" customHeight="true">
      <c r="A7" s="30" t="s">
        <v>56</v>
      </c>
    </row>
    <row r="8" ht="390" customHeight="true">
      <c r="A8" s="30" t="s">
        <v>56</v>
      </c>
    </row>
    <row r="9" ht="390" customHeight="true">
      <c r="A9" s="30" t="s">
        <v>57</v>
      </c>
    </row>
    <row r="10" ht="390" customHeight="true">
      <c r="A10" s="30" t="s">
        <v>57</v>
      </c>
    </row>
    <row r="11" ht="390" customHeight="true">
      <c r="A11" s="30" t="s">
        <v>58</v>
      </c>
    </row>
    <row r="12" ht="390" customHeight="true">
      <c r="A12" s="30" t="s">
        <v>58</v>
      </c>
    </row>
    <row r="13" ht="390" customHeight="true">
      <c r="A13" s="30" t="s">
        <v>59</v>
      </c>
    </row>
    <row r="14" ht="390" customHeight="true">
      <c r="A14" s="30" t="s">
        <v>59</v>
      </c>
    </row>
    <row r="15" ht="390" customHeight="true">
      <c r="A15" s="30" t="s">
        <v>60</v>
      </c>
    </row>
    <row r="16" ht="390" customHeight="true">
      <c r="A16" s="30" t="s">
        <v>60</v>
      </c>
    </row>
    <row r="17" ht="390" customHeight="true">
      <c r="A17" s="30" t="s">
        <v>61</v>
      </c>
    </row>
    <row r="18" ht="390" customHeight="true">
      <c r="A18" s="30" t="s">
        <v>61</v>
      </c>
    </row>
    <row r="19" ht="390" customHeight="true">
      <c r="A19" s="30" t="s">
        <v>62</v>
      </c>
    </row>
    <row r="20" ht="390"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