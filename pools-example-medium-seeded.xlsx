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<sst xmlns="http://schemas.openxmlformats.org/spreadsheetml/2006/main" count="154" uniqueCount="154">
  <si>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</si>
  <si>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</si>
  <si>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</si>
  <si>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</si>
  <si>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</si>
  <si>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</si>
  <si>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</si>
  <si>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</si>
  <si>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</si>
  <si>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</si>
  <si>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</si>
  <si>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</si>
  <si>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</si>
  <si>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</si>
  <si>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</si>
  <si>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</si>
  <si>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</si>
  <si>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</si>
  <si>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</si>
  <si>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</si>
  <si>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Gandalf The Grey</t>
  </si>
  <si>
    <t>Team Eta</t>
  </si>
  <si>
    <t>GANDALF</t>
  </si>
  <si>
    <t>Petyr Baelish</t>
  </si>
  <si>
    <t>Team Pi</t>
  </si>
  <si>
    <t>BAELISH</t>
  </si>
  <si>
    <t>Pool B</t>
  </si>
  <si>
    <t>Katniss Everdeen</t>
  </si>
  <si>
    <t>Team Mu</t>
  </si>
  <si>
    <t>EVERDEEN</t>
  </si>
  <si>
    <t>Jon Snow</t>
  </si>
  <si>
    <t>Team Kappa</t>
  </si>
  <si>
    <t>SNOW</t>
  </si>
  <si>
    <t>Quirinus Quirrell</t>
  </si>
  <si>
    <t>Team Rho</t>
  </si>
  <si>
    <t>QUIRRELL</t>
  </si>
  <si>
    <t>Pool C</t>
  </si>
  <si>
    <t>Ygritte</t>
  </si>
  <si>
    <t>Team Alpha</t>
  </si>
  <si>
    <t>YGRITTE</t>
  </si>
  <si>
    <t>Moby Dick</t>
  </si>
  <si>
    <t>Team Nu</t>
  </si>
  <si>
    <t>DICK</t>
  </si>
  <si>
    <t>Samwise Gamgee</t>
  </si>
  <si>
    <t>Team Tau</t>
  </si>
  <si>
    <t>GAMGEE</t>
  </si>
  <si>
    <t>Pool D</t>
  </si>
  <si>
    <t>Eddard Stark</t>
  </si>
  <si>
    <t>Team Epsilon</t>
  </si>
  <si>
    <t>STARK</t>
  </si>
  <si>
    <t>Othello</t>
  </si>
  <si>
    <t>Team Omicron</t>
  </si>
  <si>
    <t>OTHELLO</t>
  </si>
  <si>
    <t>Tyrion Lannister</t>
  </si>
  <si>
    <t>Team Upsilon</t>
  </si>
  <si>
    <t>Pool E</t>
  </si>
  <si>
    <t>Daenerys Targaryen</t>
  </si>
  <si>
    <t>Team Delta</t>
  </si>
  <si>
    <t>TARGARYEN</t>
  </si>
  <si>
    <t>Inigo Montoya</t>
  </si>
  <si>
    <t>Team Iota</t>
  </si>
  <si>
    <t>MONTOYA</t>
  </si>
  <si>
    <t>Willy Wonka</t>
  </si>
  <si>
    <t>Team Psi</t>
  </si>
  <si>
    <t>WONKA</t>
  </si>
  <si>
    <t>Pool F</t>
  </si>
  <si>
    <t>Legolas Greenleaf</t>
  </si>
  <si>
    <t>GREENLEAF</t>
  </si>
  <si>
    <t>Team Lambda</t>
  </si>
  <si>
    <t>Ron Weasley</t>
  </si>
  <si>
    <t>Team Sigma</t>
  </si>
  <si>
    <t>WEASLEY</t>
  </si>
  <si>
    <t>Pool G</t>
  </si>
  <si>
    <t>Voldemort</t>
  </si>
  <si>
    <t>Team Chi</t>
  </si>
  <si>
    <t>VOLDEMORT</t>
  </si>
  <si>
    <t>Xaro Xhoan Daxos</t>
  </si>
  <si>
    <t>Team Omega</t>
  </si>
  <si>
    <t>DAXOS</t>
  </si>
  <si>
    <t>Hermione Granger</t>
  </si>
  <si>
    <t>Team Theta</t>
  </si>
  <si>
    <t>GRANGER</t>
  </si>
  <si>
    <t>Pool H</t>
  </si>
  <si>
    <t>Frodo Baggins</t>
  </si>
  <si>
    <t>Team Zeta</t>
  </si>
  <si>
    <t>BAGGINS</t>
  </si>
  <si>
    <t>Ulysses</t>
  </si>
  <si>
    <t>Team Phi</t>
  </si>
  <si>
    <t>ULYSSES</t>
  </si>
  <si>
    <t>Neville Longbottom</t>
  </si>
  <si>
    <t>Team Xi</t>
  </si>
  <si>
    <t>LONGBOTTOM</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</si>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</sst>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0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51</v>
      </c>
      <c r="D13" t="s">
        <v>52</v>
      </c>
    </row>
    <row r="14">
      <c r="A14" t="s">
        <v>46</v>
      </c>
      <c r="B14" t="s">
        <v>53</v>
      </c>
      <c r="C14" t="s">
        <v>54</v>
      </c>
      <c r="D14" t="s">
        <v>19</v>
      </c>
    </row>
    <row r="15">
      <c r="A15" t="s">
        <v>55</v>
      </c>
      <c r="B15" t="s">
        <v>56</v>
      </c>
      <c r="C15" t="s">
        <v>57</v>
      </c>
      <c r="D15" t="s">
        <v>58</v>
      </c>
    </row>
    <row r="16">
      <c r="A16" t="s">
        <v>55</v>
      </c>
      <c r="B16" t="s">
        <v>59</v>
      </c>
      <c r="C16" t="s">
        <v>60</v>
      </c>
      <c r="D16" t="s">
        <v>61</v>
      </c>
    </row>
    <row r="17">
      <c r="A17" t="s">
        <v>55</v>
      </c>
      <c r="B17" t="s">
        <v>62</v>
      </c>
      <c r="C17" t="s">
        <v>63</v>
      </c>
      <c r="D17" t="s">
        <v>64</v>
      </c>
    </row>
    <row r="18">
      <c r="A18" t="s">
        <v>65</v>
      </c>
      <c r="B18" t="s">
        <v>66</v>
      </c>
      <c r="C18" t="s">
        <v>28</v>
      </c>
      <c r="D18" t="s">
        <v>67</v>
      </c>
    </row>
    <row r="19">
      <c r="A19" t="s">
        <v>65</v>
      </c>
      <c r="B19" t="s">
        <v>27</v>
      </c>
      <c r="C19" t="s">
        <v>68</v>
      </c>
      <c r="D19" t="s">
        <v>29</v>
      </c>
    </row>
    <row r="20">
      <c r="A20" t="s">
        <v>65</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Matches'!G33)</f>
      </c>
      <c r="B4" s="18"/>
      <c r="C4" s="18"/>
      <c r="D4" s="18"/>
      <c r="E4" s="18"/>
      <c r="F4" s="18"/>
      <c r="G4" s="14" t="str">
        <f>CONCATENATE("Pool A-1st ",'Pool Matches'!G15)</f>
      </c>
      <c r="I4" s="14" t="str">
        <f>CONCATENATE("Pool A-2nd ",'Pool Matches'!G16)</f>
      </c>
      <c r="J4" s="18"/>
      <c r="K4" s="18"/>
      <c r="L4" s="18"/>
      <c r="M4" s="18"/>
      <c r="N4" s="18"/>
      <c r="O4" s="14" t="str">
        <f>CONCATENATE("Pool B-1st ",'Pool Matches'!G32)</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Matches'!G67)</f>
      </c>
      <c r="B12" s="18"/>
      <c r="C12" s="18"/>
      <c r="D12" s="18"/>
      <c r="E12" s="18"/>
      <c r="F12" s="18"/>
      <c r="G12" s="14" t="str">
        <f>CONCATENATE("Pool C-1st ",'Pool Matches'!G49)</f>
      </c>
      <c r="I12" s="14" t="str">
        <f>CONCATENATE("Pool C-2nd ",'Pool Matches'!G50)</f>
      </c>
      <c r="J12" s="18"/>
      <c r="K12" s="18"/>
      <c r="L12" s="18"/>
      <c r="M12" s="18"/>
      <c r="N12" s="18"/>
      <c r="O12" s="14" t="str">
        <f>CONCATENATE("Pool D-1st ",'Pool Matches'!G66)</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Matches'!O33)</f>
      </c>
      <c r="B20" s="18"/>
      <c r="C20" s="18"/>
      <c r="D20" s="18"/>
      <c r="E20" s="18"/>
      <c r="F20" s="18"/>
      <c r="G20" s="14" t="str">
        <f>CONCATENATE("Pool E-1st ",'Pool Matches'!O15)</f>
      </c>
      <c r="I20" s="14" t="str">
        <f>CONCATENATE("Pool E-2nd ",'Pool Matches'!O16)</f>
      </c>
      <c r="J20" s="18"/>
      <c r="K20" s="18"/>
      <c r="L20" s="18"/>
      <c r="M20" s="18"/>
      <c r="N20" s="18"/>
      <c r="O20" s="14" t="str">
        <f>CONCATENATE("Pool F-1st ",'Pool Matches'!O32)</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G-1st ",'Pool Matches'!O49)</f>
      </c>
      <c r="I28" s="14" t="str">
        <f>CONCATENATE("Pool G-2nd ",'Pool Matches'!O50)</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B-2nd ",'Pool Matches'!G33)</f>
      </c>
      <c r="D7" s="15"/>
      <c r="E7" s="20"/>
      <c r="F7" s="22"/>
      <c r="G7" s="20"/>
    </row>
    <row r="8">
      <c r="A8" s="22"/>
      <c r="G8" s="21">
        <v>9</v>
      </c>
    </row>
    <row r="9">
      <c r="A9" s="24" t="str">
        <f>'data'!$A$8</f>
      </c>
      <c r="C9" s="23" t="str">
        <f>CONCATENATE("Pool C-1st ",'Pool Matches'!G49)</f>
      </c>
      <c r="G9" s="20"/>
      <c r="H9" s="22"/>
      <c r="I9" s="20"/>
    </row>
    <row r="10">
      <c r="A10" s="25" t="str">
        <f>"1. " &amp; data!$B$6</f>
      </c>
      <c r="D10" s="22"/>
      <c r="E10" s="21">
        <v>2</v>
      </c>
      <c r="F10" s="15"/>
      <c r="G10" s="20"/>
      <c r="I10" s="20"/>
    </row>
    <row r="11">
      <c r="A11" s="26" t="str">
        <f>"2. " &amp; data!$B$7</f>
      </c>
      <c r="C11" s="23" t="str">
        <f>CONCATENATE("Pool D-2nd ",'Pool Matches'!G67)</f>
      </c>
      <c r="D11" s="15"/>
      <c r="E11" s="20"/>
      <c r="I11" s="20"/>
    </row>
    <row r="12">
      <c r="A12" s="27" t="str">
        <f>"3. " &amp; data!$B$8</f>
      </c>
      <c r="I12" s="21">
        <v>13</v>
      </c>
    </row>
    <row r="13">
      <c r="A13" s="22"/>
      <c r="C13" s="23" t="str">
        <f>CONCATENATE("Pool E-1st ",'Pool Matches'!O15)</f>
      </c>
      <c r="I13" s="20"/>
    </row>
    <row r="14">
      <c r="A14" s="24" t="str">
        <f>'data'!$A$11</f>
      </c>
      <c r="D14" s="22"/>
      <c r="E14" s="21">
        <v>3</v>
      </c>
      <c r="I14" s="20"/>
    </row>
    <row r="15">
      <c r="A15" s="25" t="str">
        <f>"1. " &amp; data!$B$9</f>
      </c>
      <c r="C15" s="23" t="str">
        <f>CONCATENATE("Pool F-2nd ",'Pool Matches'!O33)</f>
      </c>
      <c r="D15" s="15"/>
      <c r="E15" s="20"/>
      <c r="F15" s="22"/>
      <c r="G15" s="20"/>
      <c r="I15" s="20"/>
    </row>
    <row r="16">
      <c r="A16" s="26" t="str">
        <f>"2. " &amp; data!$B$10</f>
      </c>
      <c r="G16" s="21">
        <v>10</v>
      </c>
      <c r="H16" s="15"/>
      <c r="I16" s="20"/>
    </row>
    <row r="17">
      <c r="A17" s="27" t="str">
        <f>"3. " &amp; data!$B$11</f>
      </c>
      <c r="C17" s="23" t="str">
        <f>CONCATENATE("Pool G-1st ",'Pool Matches'!O49)</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'data'!$A$17</f>
      </c>
    </row>
    <row r="5">
      <c r="A5" s="25" t="str">
        <f>"1. " &amp; data!$B$15</f>
      </c>
      <c r="C5" s="23" t="str">
        <f>CONCATENATE("Pool B-1st ",'Pool Matches'!G32)</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D-1st ",'Pool Matches'!G66)</f>
      </c>
      <c r="G9" s="20"/>
      <c r="H9" s="22"/>
      <c r="I9" s="20"/>
    </row>
    <row r="10">
      <c r="A10" s="25" t="str">
        <f>"1. " &amp; data!$B$18</f>
      </c>
      <c r="D10" s="22"/>
      <c r="E10" s="21">
        <v>6</v>
      </c>
      <c r="F10" s="15"/>
      <c r="G10" s="20"/>
      <c r="I10" s="20"/>
    </row>
    <row r="11">
      <c r="A11" s="26" t="str">
        <f>"2. " &amp; data!$B$19</f>
      </c>
      <c r="C11" s="23" t="str">
        <f>CONCATENATE("Pool C-2nd ",'Pool Matches'!G50)</f>
      </c>
      <c r="D11" s="15"/>
      <c r="E11" s="20"/>
      <c r="I11" s="20"/>
    </row>
    <row r="12">
      <c r="A12" s="27" t="str">
        <f>"3. " &amp; data!$B$20</f>
      </c>
      <c r="I12" s="21">
        <v>14</v>
      </c>
    </row>
    <row r="13">
      <c r="A13" s="22"/>
      <c r="C13" s="23" t="str">
        <f>CONCATENATE("Pool F-1st ",'Pool Matches'!O32)</f>
      </c>
      <c r="I13" s="20"/>
    </row>
    <row r="14">
      <c r="A14" s="24" t="str">
        <f>'data'!$A$23</f>
      </c>
      <c r="D14" s="22"/>
      <c r="E14" s="21">
        <v>7</v>
      </c>
      <c r="I14" s="20"/>
    </row>
    <row r="15">
      <c r="A15" s="25" t="str">
        <f>"1. " &amp; data!$B$21</f>
      </c>
      <c r="C15" s="23" t="str">
        <f>CONCATENATE("Pool E-2nd ",'Pool Matches'!O16)</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G-2nd ",'Pool Matches'!O50)</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409" customHeight="true">
      <c r="A1" s="30" t="s">
        <v>108</v>
      </c>
    </row>
    <row r="2" ht="409" customHeight="true">
      <c r="A2" s="30" t="s">
        <v>108</v>
      </c>
    </row>
    <row r="3" ht="409" customHeight="true">
      <c r="A3" s="30" t="s">
        <v>109</v>
      </c>
    </row>
    <row r="4" ht="409" customHeight="true">
      <c r="A4" s="30" t="s">
        <v>109</v>
      </c>
    </row>
    <row r="5" ht="409" customHeight="true">
      <c r="A5" s="30" t="s">
        <v>110</v>
      </c>
    </row>
    <row r="6" ht="409" customHeight="true">
      <c r="A6" s="30" t="s">
        <v>110</v>
      </c>
    </row>
    <row r="7" ht="409" customHeight="true">
      <c r="A7" s="30" t="s">
        <v>111</v>
      </c>
    </row>
    <row r="8" ht="409" customHeight="true">
      <c r="A8" s="30" t="s">
        <v>111</v>
      </c>
    </row>
    <row r="9" ht="409" customHeight="true">
      <c r="A9" s="30" t="s">
        <v>112</v>
      </c>
    </row>
    <row r="10" ht="409" customHeight="true">
      <c r="A10" s="30" t="s">
        <v>112</v>
      </c>
    </row>
    <row r="11" ht="409" customHeight="true">
      <c r="A11" s="30" t="s">
        <v>113</v>
      </c>
    </row>
    <row r="12" ht="409" customHeight="true">
      <c r="A12" s="30" t="s">
        <v>113</v>
      </c>
    </row>
    <row r="13" ht="409" customHeight="true">
      <c r="A13" s="30" t="s">
        <v>114</v>
      </c>
    </row>
    <row r="14" ht="409" customHeight="true">
      <c r="A14" s="30" t="s">
        <v>114</v>
      </c>
    </row>
    <row r="15" ht="409" customHeight="true">
      <c r="A15" s="30" t="s">
        <v>115</v>
      </c>
    </row>
    <row r="16" ht="409" customHeight="true">
      <c r="A16" s="30" t="s">
        <v>115</v>
      </c>
    </row>
    <row r="17" ht="409" customHeight="true">
      <c r="A17" s="30" t="s">
        <v>116</v>
      </c>
    </row>
    <row r="18" ht="409" customHeight="true">
      <c r="A18" s="30" t="s">
        <v>116</v>
      </c>
    </row>
    <row r="19" ht="409" customHeight="true">
      <c r="A19" s="30" t="s">
        <v>117</v>
      </c>
    </row>
    <row r="20" ht="409" customHeight="true">
      <c r="A20" s="30" t="s">
        <v>117</v>
      </c>
    </row>
    <row r="21" ht="409" customHeight="true">
      <c r="A21" s="30" t="s">
        <v>118</v>
      </c>
    </row>
    <row r="22" ht="409" customHeight="true">
      <c r="A22" s="30" t="s">
        <v>118</v>
      </c>
    </row>
    <row r="23" ht="409" customHeight="true">
      <c r="A23" s="30" t="s">
        <v>119</v>
      </c>
    </row>
    <row r="24" ht="409" customHeight="true">
      <c r="A24" s="30" t="s">
        <v>119</v>
      </c>
    </row>
    <row r="25" ht="409" customHeight="true">
      <c r="A25" s="30" t="s">
        <v>120</v>
      </c>
    </row>
    <row r="26" ht="409" customHeight="true">
      <c r="A26" s="30" t="s">
        <v>120</v>
      </c>
    </row>
    <row r="27" ht="409" customHeight="true">
      <c r="A27" s="30" t="s">
        <v>121</v>
      </c>
    </row>
    <row r="28" ht="409" customHeight="true">
      <c r="A28" s="30" t="s">
        <v>121</v>
      </c>
    </row>
    <row r="29" ht="409" customHeight="true">
      <c r="A29" s="30" t="s">
        <v>122</v>
      </c>
    </row>
    <row r="30" ht="409" customHeight="true">
      <c r="A30" s="30" t="s">
        <v>122</v>
      </c>
    </row>
    <row r="31" ht="409" customHeight="true">
      <c r="A31" s="30" t="s">
        <v>123</v>
      </c>
    </row>
    <row r="32" ht="409" customHeight="true">
      <c r="A32" s="30" t="s">
        <v>123</v>
      </c>
    </row>
    <row r="33" ht="409" customHeight="true">
      <c r="A33" s="30" t="s">
        <v>124</v>
      </c>
    </row>
    <row r="34" ht="409" customHeight="true">
      <c r="A34" s="30" t="s">
        <v>124</v>
      </c>
    </row>
    <row r="35" ht="409" customHeight="true">
      <c r="A35" s="30" t="s">
        <v>125</v>
      </c>
    </row>
    <row r="36" ht="409" customHeight="true">
      <c r="A36" s="30" t="s">
        <v>125</v>
      </c>
    </row>
    <row r="37" ht="409" customHeight="true">
      <c r="A37" s="30" t="s">
        <v>126</v>
      </c>
    </row>
    <row r="38" ht="409" customHeight="true">
      <c r="A38" s="30" t="s">
        <v>126</v>
      </c>
    </row>
    <row r="39" ht="409" customHeight="true">
      <c r="A39" s="30" t="s">
        <v>127</v>
      </c>
    </row>
    <row r="40" ht="409" customHeight="true">
      <c r="A40" s="30" t="s">
        <v>127</v>
      </c>
    </row>
    <row r="41" ht="409" customHeight="true">
      <c r="A41" s="30" t="s">
        <v>128</v>
      </c>
    </row>
    <row r="42" ht="409" customHeight="true">
      <c r="A42" s="30" t="s">
        <v>128</v>
      </c>
    </row>
    <row r="43" ht="409" customHeight="true">
      <c r="A43" s="30" t="s">
        <v>129</v>
      </c>
    </row>
    <row r="44" ht="409" customHeight="true">
      <c r="A44" s="30" t="s">
        <v>129</v>
      </c>
    </row>
    <row r="45" ht="409" customHeight="true">
      <c r="A45" s="30" t="s">
        <v>130</v>
      </c>
    </row>
    <row r="46" ht="409" customHeight="true">
      <c r="A46" s="30" t="s">
        <v>130</v>
      </c>
    </row>
    <row r="47" ht="409" customHeight="true">
      <c r="A47" s="30" t="s">
        <v>131</v>
      </c>
    </row>
    <row r="48" ht="409"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