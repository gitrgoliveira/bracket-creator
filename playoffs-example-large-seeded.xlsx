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<sst xmlns="http://schemas.openxmlformats.org/spreadsheetml/2006/main" count="310" uniqueCount="310">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</sst>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'data'!$B$38</f>
      </c>
      <c r="B4" s="22"/>
      <c r="C4" s="22"/>
      <c r="D4" s="22"/>
      <c r="E4" s="22"/>
      <c r="F4" s="22"/>
      <c r="G4" s="19" t="str">
        <f>'data'!$B$37</f>
      </c>
      <c r="I4" s="19" t="str">
        <f>'data'!$B$54</f>
      </c>
      <c r="J4" s="22"/>
      <c r="K4" s="22"/>
      <c r="L4" s="22"/>
      <c r="M4" s="22"/>
      <c r="N4" s="22"/>
      <c r="O4" s="19" t="str">
        <f>'data'!$B$53</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'data'!$B$41</f>
      </c>
      <c r="B12" s="22"/>
      <c r="C12" s="22"/>
      <c r="D12" s="22"/>
      <c r="E12" s="22"/>
      <c r="F12" s="22"/>
      <c r="G12" s="19" t="str">
        <f>'data'!$B$40</f>
      </c>
      <c r="I12" s="19" t="str">
        <f>'data'!$B$57</f>
      </c>
      <c r="J12" s="22"/>
      <c r="K12" s="22"/>
      <c r="L12" s="22"/>
      <c r="M12" s="22"/>
      <c r="N12" s="22"/>
      <c r="O12" s="19" t="str">
        <f>'data'!$B$56</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'data'!$B$16</f>
      </c>
      <c r="B20" s="22"/>
      <c r="C20" s="22"/>
      <c r="D20" s="22"/>
      <c r="E20" s="22"/>
      <c r="F20" s="22"/>
      <c r="G20" s="19" t="str">
        <f>'data'!$B$43</f>
      </c>
      <c r="I20" s="19" t="str">
        <f>'data'!$B$60</f>
      </c>
      <c r="J20" s="22"/>
      <c r="K20" s="22"/>
      <c r="L20" s="22"/>
      <c r="M20" s="22"/>
      <c r="N20" s="22"/>
      <c r="O20" s="19" t="str">
        <f>'data'!$B$81</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'data'!$B$21</f>
      </c>
      <c r="B28" s="22"/>
      <c r="C28" s="22"/>
      <c r="D28" s="22"/>
      <c r="E28" s="22"/>
      <c r="F28" s="22"/>
      <c r="G28" s="19" t="str">
        <f>'data'!$B$20</f>
      </c>
      <c r="I28" s="19" t="str">
        <f>'data'!$B$63</f>
      </c>
      <c r="J28" s="22"/>
      <c r="K28" s="22"/>
      <c r="L28" s="22"/>
      <c r="M28" s="22"/>
      <c r="N28" s="22"/>
      <c r="O28" s="19" t="str">
        <f>'data'!$B$62</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'data'!$B$24</f>
      </c>
      <c r="B36" s="22"/>
      <c r="C36" s="22"/>
      <c r="D36" s="22"/>
      <c r="E36" s="22"/>
      <c r="F36" s="22"/>
      <c r="G36" s="19" t="str">
        <f>'data'!$B$23</f>
      </c>
      <c r="I36" s="19" t="str">
        <f>'data'!$B$66</f>
      </c>
      <c r="J36" s="22"/>
      <c r="K36" s="22"/>
      <c r="L36" s="22"/>
      <c r="M36" s="22"/>
      <c r="N36" s="22"/>
      <c r="O36" s="19" t="str">
        <f>'data'!$B$65</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'data'!$B$27</f>
      </c>
      <c r="B44" s="22"/>
      <c r="C44" s="22"/>
      <c r="D44" s="22"/>
      <c r="E44" s="22"/>
      <c r="F44" s="22"/>
      <c r="G44" s="19" t="str">
        <f>'data'!$B$26</f>
      </c>
      <c r="I44" s="19" t="str">
        <f>'data'!$B$4</f>
      </c>
      <c r="J44" s="22"/>
      <c r="K44" s="22"/>
      <c r="L44" s="22"/>
      <c r="M44" s="22"/>
      <c r="N44" s="22"/>
      <c r="O44" s="19" t="str">
        <f>'data'!$B$68</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'data'!$B$32</f>
      </c>
      <c r="B52" s="22"/>
      <c r="C52" s="22"/>
      <c r="D52" s="22"/>
      <c r="E52" s="22"/>
      <c r="F52" s="22"/>
      <c r="G52" s="19" t="str">
        <f>'data'!$B$31</f>
      </c>
      <c r="I52" s="19" t="str">
        <f>'data'!$B$88</f>
      </c>
      <c r="J52" s="22"/>
      <c r="K52" s="22"/>
      <c r="L52" s="22"/>
      <c r="M52" s="22"/>
      <c r="N52" s="22"/>
      <c r="O52" s="19" t="str">
        <f>'data'!$B$74</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'data'!$B$35</f>
      </c>
      <c r="B60" s="22"/>
      <c r="C60" s="22"/>
      <c r="D60" s="22"/>
      <c r="E60" s="22"/>
      <c r="F60" s="22"/>
      <c r="G60" s="19" t="str">
        <f>'data'!$B$5</f>
      </c>
      <c r="I60" s="19" t="str">
        <f>'data'!$B$76</f>
      </c>
      <c r="J60" s="22"/>
      <c r="K60" s="22"/>
      <c r="L60" s="22"/>
      <c r="M60" s="22"/>
      <c r="N60" s="22"/>
      <c r="O60" s="19" t="str">
        <f>'data'!$B$75</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'data'!$B$6</f>
      </c>
      <c r="B68" s="22"/>
      <c r="C68" s="22"/>
      <c r="D68" s="22"/>
      <c r="E68" s="22"/>
      <c r="F68" s="22"/>
      <c r="G68" s="19" t="str">
        <f>'data'!$B$37</f>
      </c>
      <c r="I68" s="19" t="str">
        <f>'data'!$B$79</f>
      </c>
      <c r="J68" s="22"/>
      <c r="K68" s="22"/>
      <c r="L68" s="22"/>
      <c r="M68" s="22"/>
      <c r="N68" s="22"/>
      <c r="O68" s="19" t="str">
        <f>'data'!$B$78</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'data'!$B$40</f>
      </c>
      <c r="B76" s="22"/>
      <c r="C76" s="22"/>
      <c r="D76" s="22"/>
      <c r="E76" s="22"/>
      <c r="F76" s="22"/>
      <c r="G76" s="19" t="str">
        <f>'data'!$B$39</f>
      </c>
      <c r="I76" s="19" t="str">
        <f>'data'!$B$82</f>
      </c>
      <c r="J76" s="22"/>
      <c r="K76" s="22"/>
      <c r="L76" s="22"/>
      <c r="M76" s="22"/>
      <c r="N76" s="22"/>
      <c r="O76" s="19" t="str">
        <f>'data'!$B$81</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'data'!$B$43</f>
      </c>
      <c r="B84" s="22"/>
      <c r="C84" s="22"/>
      <c r="D84" s="22"/>
      <c r="E84" s="22"/>
      <c r="F84" s="22"/>
      <c r="G84" s="19" t="str">
        <f>'data'!$B$42</f>
      </c>
      <c r="I84" s="19" t="str">
        <f>'data'!$B$85</f>
      </c>
      <c r="J84" s="22"/>
      <c r="K84" s="22"/>
      <c r="L84" s="22"/>
      <c r="M84" s="22"/>
      <c r="N84" s="22"/>
      <c r="O84" s="19" t="str">
        <f>'data'!$B$84</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'data'!$B$46</f>
      </c>
      <c r="B92" s="22"/>
      <c r="C92" s="22"/>
      <c r="D92" s="22"/>
      <c r="E92" s="22"/>
      <c r="F92" s="22"/>
      <c r="G92" s="19" t="str">
        <f>'data'!$B$45</f>
      </c>
      <c r="I92" s="19" t="str">
        <f>'data'!$B$88</f>
      </c>
      <c r="J92" s="22"/>
      <c r="K92" s="22"/>
      <c r="L92" s="22"/>
      <c r="M92" s="22"/>
      <c r="N92" s="22"/>
      <c r="O92" s="19" t="str">
        <f>'data'!$B$87</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'data'!$B$49</f>
      </c>
      <c r="B100" s="22"/>
      <c r="C100" s="22"/>
      <c r="D100" s="22"/>
      <c r="E100" s="22"/>
      <c r="F100" s="22"/>
      <c r="G100" s="19" t="str">
        <f>'data'!$B$48</f>
      </c>
      <c r="I100" s="19" t="str">
        <f>'data'!$B$91</f>
      </c>
      <c r="J100" s="22"/>
      <c r="K100" s="22"/>
      <c r="L100" s="22"/>
      <c r="M100" s="22"/>
      <c r="N100" s="22"/>
      <c r="O100" s="19" t="str">
        <f>'data'!$B$90</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'data'!$B$5</f>
      </c>
      <c r="J108" s="22"/>
      <c r="K108" s="22"/>
      <c r="L108" s="22"/>
      <c r="M108" s="22"/>
      <c r="N108" s="22"/>
      <c r="O108" s="19" t="str">
        <f>'data'!$B$93</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'data'!$B$35</f>
      </c>
      <c r="B121" s="22"/>
      <c r="C121" s="22"/>
      <c r="D121" s="22"/>
      <c r="E121" s="22"/>
      <c r="F121" s="22"/>
      <c r="G121" s="19" t="str">
        <f>'data'!$B$32</f>
      </c>
      <c r="I121" s="19" t="str">
        <f>'data'!$B$51</f>
      </c>
      <c r="J121" s="22"/>
      <c r="K121" s="22"/>
      <c r="L121" s="22"/>
      <c r="M121" s="22"/>
      <c r="N121" s="22"/>
      <c r="O121" s="19" t="str">
        <f>'data'!$B$50</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'data'!$B$36</f>
      </c>
      <c r="I129" s="19" t="str">
        <f>CONCATENATE("M 14 ",O6)</f>
      </c>
      <c r="J129" s="22"/>
      <c r="K129" s="22"/>
      <c r="L129" s="22"/>
      <c r="M129" s="22"/>
      <c r="N129" s="22"/>
      <c r="O129" s="19" t="str">
        <f>'data'!$B$52</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'data'!$B$39</f>
      </c>
      <c r="I137" s="19" t="str">
        <f>CONCATENATE("M 15 ",O14)</f>
      </c>
      <c r="J137" s="22"/>
      <c r="K137" s="22"/>
      <c r="L137" s="22"/>
      <c r="M137" s="22"/>
      <c r="N137" s="22"/>
      <c r="O137" s="19" t="str">
        <f>'data'!$B$55</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'data'!$B$42</f>
      </c>
      <c r="I145" s="19" t="str">
        <f>CONCATENATE("M 16 ",O22)</f>
      </c>
      <c r="J145" s="22"/>
      <c r="K145" s="22"/>
      <c r="L145" s="22"/>
      <c r="M145" s="22"/>
      <c r="N145" s="22"/>
      <c r="O145" s="19" t="str">
        <f>'data'!$B$58</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'data'!$B$18</f>
      </c>
      <c r="B153" s="22"/>
      <c r="C153" s="22"/>
      <c r="D153" s="22"/>
      <c r="E153" s="22"/>
      <c r="F153" s="22"/>
      <c r="G153" s="19" t="str">
        <f>'data'!$B$17</f>
      </c>
      <c r="I153" s="19" t="str">
        <f>CONCATENATE("M 17 ",O30)</f>
      </c>
      <c r="J153" s="22"/>
      <c r="K153" s="22"/>
      <c r="L153" s="22"/>
      <c r="M153" s="22"/>
      <c r="N153" s="22"/>
      <c r="O153" s="19" t="str">
        <f>'data'!$B$61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'data'!$B$30</f>
      </c>
      <c r="I161" s="19" t="str">
        <f>CONCATENATE("M 18 ",O38)</f>
      </c>
      <c r="J161" s="22"/>
      <c r="K161" s="22"/>
      <c r="L161" s="22"/>
      <c r="M161" s="22"/>
      <c r="N161" s="22"/>
      <c r="O161" s="19" t="str">
        <f>'data'!$B$64</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'data'!$B$22</f>
      </c>
      <c r="I169" s="19" t="str">
        <f>CONCATENATE("M 19 ",O46)</f>
      </c>
      <c r="J169" s="22"/>
      <c r="K169" s="22"/>
      <c r="L169" s="22"/>
      <c r="M169" s="22"/>
      <c r="N169" s="22"/>
      <c r="O169" s="19" t="str">
        <f>'data'!$B$67</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'data'!$B$25</f>
      </c>
      <c r="I177" s="19" t="str">
        <f>CONCATENATE("M 20 ",O54)</f>
      </c>
      <c r="J177" s="22"/>
      <c r="K177" s="22"/>
      <c r="L177" s="22"/>
      <c r="M177" s="22"/>
      <c r="N177" s="22"/>
      <c r="O177" s="19" t="str">
        <f>'data'!$B$69</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'data'!$B$29</f>
      </c>
      <c r="B185" s="22"/>
      <c r="C185" s="22"/>
      <c r="D185" s="22"/>
      <c r="E185" s="22"/>
      <c r="F185" s="22"/>
      <c r="G185" s="19" t="str">
        <f>'data'!$B$28</f>
      </c>
      <c r="I185" s="19" t="str">
        <f>'data'!$B$73</f>
      </c>
      <c r="J185" s="22"/>
      <c r="K185" s="22"/>
      <c r="L185" s="22"/>
      <c r="M185" s="22"/>
      <c r="N185" s="22"/>
      <c r="O185" s="19" t="str">
        <f>'data'!$B$72</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'data'!$B$30</f>
      </c>
      <c r="I193" s="19" t="str">
        <f>CONCATENATE("M 21 ",O62)</f>
      </c>
      <c r="J193" s="22"/>
      <c r="K193" s="22"/>
      <c r="L193" s="22"/>
      <c r="M193" s="22"/>
      <c r="N193" s="22"/>
      <c r="O193" s="19" t="str">
        <f>'data'!$B$74</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'data'!$B$4</f>
      </c>
      <c r="I201" s="19" t="str">
        <f>CONCATENATE("M 22 ",O70)</f>
      </c>
      <c r="J201" s="22"/>
      <c r="K201" s="22"/>
      <c r="L201" s="22"/>
      <c r="M201" s="22"/>
      <c r="N201" s="22"/>
      <c r="O201" s="19" t="str">
        <f>'data'!$B$77</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'data'!$B$36</f>
      </c>
      <c r="I209" s="19" t="str">
        <f>CONCATENATE("M 23 ",O78)</f>
      </c>
      <c r="J209" s="22"/>
      <c r="K209" s="22"/>
      <c r="L209" s="22"/>
      <c r="M209" s="22"/>
      <c r="N209" s="22"/>
      <c r="O209" s="19" t="str">
        <f>'data'!$B$80</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'data'!$B$38</f>
      </c>
      <c r="I217" s="19" t="str">
        <f>CONCATENATE("M 24 ",O86)</f>
      </c>
      <c r="J217" s="22"/>
      <c r="K217" s="22"/>
      <c r="L217" s="22"/>
      <c r="M217" s="22"/>
      <c r="N217" s="22"/>
      <c r="O217" s="19" t="str">
        <f>'data'!$B$83</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'data'!$B$41</f>
      </c>
      <c r="I225" s="19" t="str">
        <f>CONCATENATE("M 25 ",O94)</f>
      </c>
      <c r="J225" s="22"/>
      <c r="K225" s="22"/>
      <c r="L225" s="22"/>
      <c r="M225" s="22"/>
      <c r="N225" s="22"/>
      <c r="O225" s="19" t="str">
        <f>'data'!$B$86</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'data'!$B$44</f>
      </c>
      <c r="I233" s="19" t="str">
        <f>CONCATENATE("M 26 ",O102)</f>
      </c>
      <c r="J233" s="22"/>
      <c r="K233" s="22"/>
      <c r="L233" s="22"/>
      <c r="M233" s="22"/>
      <c r="N233" s="22"/>
      <c r="O233" s="19" t="str">
        <f>'data'!$B$89</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'data'!$B$47</f>
      </c>
      <c r="I241" s="19" t="str">
        <f>CONCATENATE("M 27 ",O110)</f>
      </c>
      <c r="J241" s="22"/>
      <c r="K241" s="22"/>
      <c r="L241" s="22"/>
      <c r="M241" s="22"/>
      <c r="N241" s="22"/>
      <c r="O241" s="19" t="str">
        <f>'data'!$B$92</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28</v>
      </c>
    </row>
    <row r="9">
      <c r="G9" s="12"/>
      <c r="H9" s="14"/>
      <c r="I9" s="12"/>
    </row>
    <row r="10">
      <c r="C10" s="16"/>
      <c r="D10" s="16"/>
      <c r="E10" s="16" t="s">
        <v>30</v>
      </c>
      <c r="F10" s="15"/>
      <c r="G10" s="12"/>
      <c r="I10" s="12"/>
    </row>
    <row r="11">
      <c r="I11" s="12"/>
    </row>
    <row r="12">
      <c r="I12" s="13">
        <v>60</v>
      </c>
    </row>
    <row r="13">
      <c r="I13" s="12"/>
      <c r="J13" s="14"/>
      <c r="K13" s="12"/>
    </row>
    <row r="14">
      <c r="C14" s="16"/>
      <c r="D14" s="16"/>
      <c r="E14" s="16" t="s">
        <v>32</v>
      </c>
      <c r="I14" s="12"/>
      <c r="K14" s="12"/>
    </row>
    <row r="15">
      <c r="F15" s="14"/>
      <c r="G15" s="12"/>
      <c r="I15" s="12"/>
      <c r="K15" s="12"/>
    </row>
    <row r="16">
      <c r="G16" s="13">
        <v>29</v>
      </c>
      <c r="H16" s="15"/>
      <c r="I16" s="12"/>
      <c r="K16" s="12"/>
    </row>
    <row r="17">
      <c r="C17" s="16" t="s">
        <v>34</v>
      </c>
      <c r="G17" s="12"/>
      <c r="K17" s="12"/>
    </row>
    <row r="18">
      <c r="D18" s="14"/>
      <c r="E18" s="13">
        <v>1</v>
      </c>
      <c r="F18" s="15"/>
      <c r="G18" s="12"/>
      <c r="K18" s="12"/>
    </row>
    <row r="19">
      <c r="C19" s="16" t="s">
        <v>36</v>
      </c>
      <c r="D19" s="15"/>
      <c r="E19" s="12"/>
      <c r="K19" s="12"/>
    </row>
    <row r="20">
      <c r="K20" s="13">
        <v>76</v>
      </c>
    </row>
    <row r="21">
      <c r="K21" s="12"/>
    </row>
    <row r="22">
      <c r="C22" s="16"/>
      <c r="D22" s="16"/>
      <c r="E22" s="16" t="s">
        <v>38</v>
      </c>
      <c r="K22" s="12"/>
    </row>
    <row r="23">
      <c r="F23" s="14"/>
      <c r="G23" s="12"/>
      <c r="K23" s="12"/>
    </row>
    <row r="24">
      <c r="G24" s="13">
        <v>30</v>
      </c>
      <c r="K24" s="12"/>
    </row>
    <row r="25">
      <c r="C25" s="16" t="s">
        <v>40</v>
      </c>
      <c r="G25" s="12"/>
      <c r="H25" s="14"/>
      <c r="I25" s="12"/>
      <c r="K25" s="12"/>
    </row>
    <row r="26">
      <c r="D26" s="14"/>
      <c r="E26" s="13">
        <v>2</v>
      </c>
      <c r="F26" s="15"/>
      <c r="G26" s="12"/>
      <c r="I26" s="12"/>
      <c r="K26" s="12"/>
    </row>
    <row r="27">
      <c r="C27" s="16" t="s">
        <v>42</v>
      </c>
      <c r="D27" s="15"/>
      <c r="E27" s="12"/>
      <c r="I27" s="12"/>
      <c r="K27" s="12"/>
    </row>
    <row r="28">
      <c r="I28" s="13">
        <v>61</v>
      </c>
      <c r="J28" s="15"/>
      <c r="K28" s="12"/>
    </row>
    <row r="29">
      <c r="I29" s="12"/>
    </row>
    <row r="30">
      <c r="C30" s="16"/>
      <c r="D30" s="16"/>
      <c r="E30" s="16" t="s">
        <v>44</v>
      </c>
      <c r="I30" s="12"/>
    </row>
    <row r="31">
      <c r="F31" s="14"/>
      <c r="G31" s="12"/>
      <c r="I31" s="12"/>
    </row>
    <row r="32">
      <c r="G32" s="13">
        <v>31</v>
      </c>
      <c r="H32" s="15"/>
      <c r="I32" s="12"/>
    </row>
    <row r="33">
      <c r="C33" s="16" t="s">
        <v>46</v>
      </c>
      <c r="G33" s="12"/>
    </row>
    <row r="34">
      <c r="D34" s="14"/>
      <c r="E34" s="13">
        <v>3</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50</v>
      </c>
    </row>
    <row r="7">
      <c r="F7" s="14"/>
      <c r="G7" s="12"/>
    </row>
    <row r="8">
      <c r="G8" s="13">
        <v>32</v>
      </c>
    </row>
    <row r="9">
      <c r="G9" s="12"/>
      <c r="H9" s="14"/>
      <c r="I9" s="12"/>
    </row>
    <row r="10">
      <c r="C10" s="16"/>
      <c r="D10" s="16"/>
      <c r="E10" s="16" t="s">
        <v>52</v>
      </c>
      <c r="F10" s="15"/>
      <c r="G10" s="12"/>
      <c r="I10" s="12"/>
    </row>
    <row r="11">
      <c r="I11" s="12"/>
    </row>
    <row r="12">
      <c r="I12" s="13">
        <v>62</v>
      </c>
    </row>
    <row r="13">
      <c r="I13" s="12"/>
      <c r="J13" s="14"/>
      <c r="K13" s="12"/>
    </row>
    <row r="14">
      <c r="C14" s="16"/>
      <c r="D14" s="16"/>
      <c r="E14" s="16" t="s">
        <v>54</v>
      </c>
      <c r="I14" s="12"/>
      <c r="K14" s="12"/>
    </row>
    <row r="15">
      <c r="F15" s="14"/>
      <c r="G15" s="12"/>
      <c r="I15" s="12"/>
      <c r="K15" s="12"/>
    </row>
    <row r="16">
      <c r="G16" s="13">
        <v>33</v>
      </c>
      <c r="H16" s="15"/>
      <c r="I16" s="12"/>
      <c r="K16" s="12"/>
    </row>
    <row r="17">
      <c r="C17" s="16" t="s">
        <v>56</v>
      </c>
      <c r="G17" s="12"/>
      <c r="K17" s="12"/>
    </row>
    <row r="18">
      <c r="D18" s="14"/>
      <c r="E18" s="13">
        <v>4</v>
      </c>
      <c r="F18" s="15"/>
      <c r="G18" s="12"/>
      <c r="K18" s="12"/>
    </row>
    <row r="19">
      <c r="C19" s="16" t="s">
        <v>58</v>
      </c>
      <c r="D19" s="15"/>
      <c r="E19" s="12"/>
      <c r="K19" s="12"/>
    </row>
    <row r="20">
      <c r="K20" s="13">
        <v>77</v>
      </c>
    </row>
    <row r="21">
      <c r="K21" s="12"/>
    </row>
    <row r="22">
      <c r="C22" s="16"/>
      <c r="D22" s="16"/>
      <c r="E22" s="16" t="s">
        <v>60</v>
      </c>
      <c r="K22" s="12"/>
    </row>
    <row r="23">
      <c r="F23" s="14"/>
      <c r="G23" s="12"/>
      <c r="K23" s="12"/>
    </row>
    <row r="24">
      <c r="G24" s="13">
        <v>34</v>
      </c>
      <c r="K24" s="12"/>
    </row>
    <row r="25">
      <c r="C25" s="16" t="s">
        <v>62</v>
      </c>
      <c r="G25" s="12"/>
      <c r="H25" s="14"/>
      <c r="I25" s="12"/>
      <c r="K25" s="12"/>
    </row>
    <row r="26">
      <c r="D26" s="14"/>
      <c r="E26" s="13">
        <v>5</v>
      </c>
      <c r="F26" s="15"/>
      <c r="G26" s="12"/>
      <c r="I26" s="12"/>
      <c r="K26" s="12"/>
    </row>
    <row r="27">
      <c r="C27" s="16" t="s">
        <v>65</v>
      </c>
      <c r="D27" s="15"/>
      <c r="E27" s="12"/>
      <c r="I27" s="12"/>
      <c r="K27" s="12"/>
    </row>
    <row r="28">
      <c r="I28" s="13">
        <v>63</v>
      </c>
      <c r="J28" s="15"/>
      <c r="K28" s="12"/>
    </row>
    <row r="29">
      <c r="I29" s="12"/>
    </row>
    <row r="30">
      <c r="C30" s="16"/>
      <c r="D30" s="16"/>
      <c r="E30" s="16" t="s">
        <v>68</v>
      </c>
      <c r="I30" s="12"/>
    </row>
    <row r="31">
      <c r="F31" s="14"/>
      <c r="G31" s="12"/>
      <c r="I31" s="12"/>
    </row>
    <row r="32">
      <c r="G32" s="13">
        <v>35</v>
      </c>
      <c r="H32" s="15"/>
      <c r="I32" s="12"/>
    </row>
    <row r="33">
      <c r="C33" s="16" t="s">
        <v>71</v>
      </c>
      <c r="G33" s="12"/>
    </row>
    <row r="34">
      <c r="D34" s="14"/>
      <c r="E34" s="13">
        <v>6</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77</v>
      </c>
    </row>
    <row r="7">
      <c r="F7" s="14"/>
      <c r="G7" s="12"/>
    </row>
    <row r="8">
      <c r="G8" s="13">
        <v>36</v>
      </c>
    </row>
    <row r="9">
      <c r="G9" s="12"/>
      <c r="H9" s="14"/>
      <c r="I9" s="12"/>
    </row>
    <row r="10">
      <c r="C10" s="16"/>
      <c r="D10" s="16"/>
      <c r="E10" s="16" t="s">
        <v>79</v>
      </c>
      <c r="F10" s="15"/>
      <c r="G10" s="12"/>
      <c r="I10" s="12"/>
    </row>
    <row r="11">
      <c r="I11" s="12"/>
    </row>
    <row r="12">
      <c r="I12" s="13">
        <v>64</v>
      </c>
    </row>
    <row r="13">
      <c r="I13" s="12"/>
      <c r="J13" s="14"/>
      <c r="K13" s="12"/>
    </row>
    <row r="14">
      <c r="C14" s="16"/>
      <c r="D14" s="16"/>
      <c r="E14" s="16" t="s">
        <v>54</v>
      </c>
      <c r="I14" s="12"/>
      <c r="K14" s="12"/>
    </row>
    <row r="15">
      <c r="F15" s="14"/>
      <c r="G15" s="12"/>
      <c r="I15" s="12"/>
      <c r="K15" s="12"/>
    </row>
    <row r="16">
      <c r="G16" s="13">
        <v>37</v>
      </c>
      <c r="H16" s="15"/>
      <c r="I16" s="12"/>
      <c r="K16" s="12"/>
    </row>
    <row r="17">
      <c r="C17" s="16" t="s">
        <v>82</v>
      </c>
      <c r="G17" s="12"/>
      <c r="K17" s="12"/>
    </row>
    <row r="18">
      <c r="D18" s="14"/>
      <c r="E18" s="13">
        <v>7</v>
      </c>
      <c r="F18" s="15"/>
      <c r="G18" s="12"/>
      <c r="K18" s="12"/>
    </row>
    <row r="19">
      <c r="C19" s="16" t="s">
        <v>18</v>
      </c>
      <c r="D19" s="15"/>
      <c r="E19" s="12"/>
      <c r="K19" s="12"/>
    </row>
    <row r="20">
      <c r="K20" s="13">
        <v>78</v>
      </c>
    </row>
    <row r="21">
      <c r="K21" s="12"/>
    </row>
    <row r="22">
      <c r="C22" s="16"/>
      <c r="D22" s="16"/>
      <c r="E22" s="16" t="s">
        <v>21</v>
      </c>
      <c r="K22" s="12"/>
    </row>
    <row r="23">
      <c r="F23" s="14"/>
      <c r="G23" s="12"/>
      <c r="K23" s="12"/>
    </row>
    <row r="24">
      <c r="G24" s="13">
        <v>38</v>
      </c>
      <c r="K24" s="12"/>
    </row>
    <row r="25">
      <c r="C25" s="16" t="s">
        <v>24</v>
      </c>
      <c r="G25" s="12"/>
      <c r="H25" s="14"/>
      <c r="I25" s="12"/>
      <c r="K25" s="12"/>
    </row>
    <row r="26">
      <c r="D26" s="14"/>
      <c r="E26" s="13">
        <v>8</v>
      </c>
      <c r="F26" s="15"/>
      <c r="G26" s="12"/>
      <c r="I26" s="12"/>
      <c r="K26" s="12"/>
    </row>
    <row r="27">
      <c r="C27" s="16" t="s">
        <v>30</v>
      </c>
      <c r="D27" s="15"/>
      <c r="E27" s="12"/>
      <c r="I27" s="12"/>
      <c r="K27" s="12"/>
    </row>
    <row r="28">
      <c r="I28" s="13">
        <v>65</v>
      </c>
      <c r="J28" s="15"/>
      <c r="K28" s="12"/>
    </row>
    <row r="29">
      <c r="I29" s="12"/>
    </row>
    <row r="30">
      <c r="C30" s="16"/>
      <c r="D30" s="16"/>
      <c r="E30" s="16" t="s">
        <v>32</v>
      </c>
      <c r="I30" s="12"/>
    </row>
    <row r="31">
      <c r="F31" s="14"/>
      <c r="G31" s="12"/>
      <c r="I31" s="12"/>
    </row>
    <row r="32">
      <c r="G32" s="13">
        <v>39</v>
      </c>
      <c r="H32" s="15"/>
      <c r="I32" s="12"/>
    </row>
    <row r="33">
      <c r="C33" s="16" t="s">
        <v>34</v>
      </c>
      <c r="G33" s="12"/>
    </row>
    <row r="34">
      <c r="D34" s="14"/>
      <c r="E34" s="13">
        <v>9</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36</v>
      </c>
    </row>
    <row r="7">
      <c r="F7" s="14"/>
      <c r="G7" s="12"/>
    </row>
    <row r="8">
      <c r="G8" s="13">
        <v>40</v>
      </c>
    </row>
    <row r="9">
      <c r="C9" s="16" t="s">
        <v>38</v>
      </c>
      <c r="G9" s="12"/>
      <c r="H9" s="14"/>
      <c r="I9" s="12"/>
    </row>
    <row r="10">
      <c r="D10" s="14"/>
      <c r="E10" s="13">
        <v>10</v>
      </c>
      <c r="F10" s="15"/>
      <c r="G10" s="12"/>
      <c r="I10" s="12"/>
    </row>
    <row r="11">
      <c r="C11" s="16" t="s">
        <v>40</v>
      </c>
      <c r="D11" s="15"/>
      <c r="E11" s="12"/>
      <c r="I11" s="12"/>
    </row>
    <row r="12">
      <c r="I12" s="13">
        <v>66</v>
      </c>
    </row>
    <row r="13">
      <c r="I13" s="12"/>
      <c r="J13" s="14"/>
      <c r="K13" s="12"/>
    </row>
    <row r="14">
      <c r="C14" s="16"/>
      <c r="D14" s="16"/>
      <c r="E14" s="16" t="s">
        <v>42</v>
      </c>
      <c r="I14" s="12"/>
      <c r="K14" s="12"/>
    </row>
    <row r="15">
      <c r="F15" s="14"/>
      <c r="G15" s="12"/>
      <c r="I15" s="12"/>
      <c r="K15" s="12"/>
    </row>
    <row r="16">
      <c r="G16" s="13">
        <v>41</v>
      </c>
      <c r="H16" s="15"/>
      <c r="I16" s="12"/>
      <c r="K16" s="12"/>
    </row>
    <row r="17">
      <c r="C17" s="16" t="s">
        <v>44</v>
      </c>
      <c r="G17" s="12"/>
      <c r="K17" s="12"/>
    </row>
    <row r="18">
      <c r="D18" s="14"/>
      <c r="E18" s="13">
        <v>11</v>
      </c>
      <c r="F18" s="15"/>
      <c r="G18" s="12"/>
      <c r="K18" s="12"/>
    </row>
    <row r="19">
      <c r="C19" s="16" t="s">
        <v>46</v>
      </c>
      <c r="D19" s="15"/>
      <c r="E19" s="12"/>
      <c r="K19" s="12"/>
    </row>
    <row r="20">
      <c r="K20" s="13">
        <v>79</v>
      </c>
    </row>
    <row r="21">
      <c r="K21" s="12"/>
    </row>
    <row r="22">
      <c r="C22" s="16"/>
      <c r="D22" s="16"/>
      <c r="E22" s="16" t="s">
        <v>96</v>
      </c>
      <c r="K22" s="12"/>
    </row>
    <row r="23">
      <c r="F23" s="14"/>
      <c r="G23" s="12"/>
      <c r="K23" s="12"/>
    </row>
    <row r="24">
      <c r="G24" s="13">
        <v>42</v>
      </c>
      <c r="K24" s="12"/>
    </row>
    <row r="25">
      <c r="C25" s="16" t="s">
        <v>98</v>
      </c>
      <c r="G25" s="12"/>
      <c r="H25" s="14"/>
      <c r="I25" s="12"/>
      <c r="K25" s="12"/>
    </row>
    <row r="26">
      <c r="D26" s="14"/>
      <c r="E26" s="13">
        <v>12</v>
      </c>
      <c r="F26" s="15"/>
      <c r="G26" s="12"/>
      <c r="I26" s="12"/>
      <c r="K26" s="12"/>
    </row>
    <row r="27">
      <c r="C27" s="16" t="s">
        <v>100</v>
      </c>
      <c r="D27" s="15"/>
      <c r="E27" s="12"/>
      <c r="I27" s="12"/>
      <c r="K27" s="12"/>
    </row>
    <row r="28">
      <c r="I28" s="13">
        <v>67</v>
      </c>
      <c r="J28" s="15"/>
      <c r="K28" s="12"/>
    </row>
    <row r="29">
      <c r="I29" s="12"/>
    </row>
    <row r="30">
      <c r="C30" s="16"/>
      <c r="D30" s="16"/>
      <c r="E30" s="16" t="s">
        <v>102</v>
      </c>
      <c r="I30" s="12"/>
    </row>
    <row r="31">
      <c r="F31" s="14"/>
      <c r="G31" s="12"/>
      <c r="I31" s="12"/>
    </row>
    <row r="32">
      <c r="G32" s="13">
        <v>43</v>
      </c>
      <c r="H32" s="15"/>
      <c r="I32" s="12"/>
    </row>
    <row r="33">
      <c r="C33" s="16" t="s">
        <v>104</v>
      </c>
      <c r="G33" s="12"/>
    </row>
    <row r="34">
      <c r="D34" s="14"/>
      <c r="E34" s="13">
        <v>13</v>
      </c>
      <c r="F34" s="15"/>
      <c r="G34" s="12"/>
    </row>
    <row r="35">
      <c r="C35" s="16" t="s">
        <v>106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108</v>
      </c>
    </row>
    <row r="7">
      <c r="F7" s="14"/>
      <c r="G7" s="12"/>
    </row>
    <row r="8">
      <c r="G8" s="13">
        <v>44</v>
      </c>
    </row>
    <row r="9">
      <c r="G9" s="12"/>
      <c r="H9" s="14"/>
      <c r="I9" s="12"/>
    </row>
    <row r="10">
      <c r="C10" s="16"/>
      <c r="D10" s="16"/>
      <c r="E10" s="16" t="s">
        <v>110</v>
      </c>
      <c r="F10" s="15"/>
      <c r="G10" s="12"/>
      <c r="I10" s="12"/>
    </row>
    <row r="11">
      <c r="I11" s="12"/>
    </row>
    <row r="12">
      <c r="I12" s="13">
        <v>68</v>
      </c>
    </row>
    <row r="13">
      <c r="I13" s="12"/>
      <c r="J13" s="14"/>
      <c r="K13" s="12"/>
    </row>
    <row r="14">
      <c r="C14" s="16"/>
      <c r="D14" s="16"/>
      <c r="E14" s="16" t="s">
        <v>112</v>
      </c>
      <c r="I14" s="12"/>
      <c r="K14" s="12"/>
    </row>
    <row r="15">
      <c r="F15" s="14"/>
      <c r="G15" s="12"/>
      <c r="I15" s="12"/>
      <c r="K15" s="12"/>
    </row>
    <row r="16">
      <c r="G16" s="13">
        <v>45</v>
      </c>
      <c r="H16" s="15"/>
      <c r="I16" s="12"/>
      <c r="K16" s="12"/>
    </row>
    <row r="17">
      <c r="C17" s="16" t="s">
        <v>114</v>
      </c>
      <c r="G17" s="12"/>
      <c r="K17" s="12"/>
    </row>
    <row r="18">
      <c r="D18" s="14"/>
      <c r="E18" s="13">
        <v>14</v>
      </c>
      <c r="F18" s="15"/>
      <c r="G18" s="12"/>
      <c r="K18" s="12"/>
    </row>
    <row r="19">
      <c r="C19" s="16" t="s">
        <v>117</v>
      </c>
      <c r="D19" s="15"/>
      <c r="E19" s="12"/>
      <c r="K19" s="12"/>
    </row>
    <row r="20">
      <c r="K20" s="13">
        <v>80</v>
      </c>
    </row>
    <row r="21">
      <c r="K21" s="12"/>
    </row>
    <row r="22">
      <c r="C22" s="16"/>
      <c r="D22" s="16"/>
      <c r="E22" s="16" t="s">
        <v>120</v>
      </c>
      <c r="K22" s="12"/>
    </row>
    <row r="23">
      <c r="F23" s="14"/>
      <c r="G23" s="12"/>
      <c r="K23" s="12"/>
    </row>
    <row r="24">
      <c r="G24" s="13">
        <v>46</v>
      </c>
      <c r="K24" s="12"/>
    </row>
    <row r="25">
      <c r="C25" s="16" t="s">
        <v>123</v>
      </c>
      <c r="G25" s="12"/>
      <c r="H25" s="14"/>
      <c r="I25" s="12"/>
      <c r="K25" s="12"/>
    </row>
    <row r="26">
      <c r="D26" s="14"/>
      <c r="E26" s="13">
        <v>15</v>
      </c>
      <c r="F26" s="15"/>
      <c r="G26" s="12"/>
      <c r="I26" s="12"/>
      <c r="K26" s="12"/>
    </row>
    <row r="27">
      <c r="C27" s="16" t="s">
        <v>126</v>
      </c>
      <c r="D27" s="15"/>
      <c r="E27" s="12"/>
      <c r="I27" s="12"/>
      <c r="K27" s="12"/>
    </row>
    <row r="28">
      <c r="I28" s="13">
        <v>69</v>
      </c>
      <c r="J28" s="15"/>
      <c r="K28" s="12"/>
    </row>
    <row r="29">
      <c r="I29" s="12"/>
    </row>
    <row r="30">
      <c r="C30" s="16"/>
      <c r="D30" s="16"/>
      <c r="E30" s="16" t="s">
        <v>129</v>
      </c>
      <c r="I30" s="12"/>
    </row>
    <row r="31">
      <c r="F31" s="14"/>
      <c r="G31" s="12"/>
      <c r="I31" s="12"/>
    </row>
    <row r="32">
      <c r="G32" s="13">
        <v>47</v>
      </c>
      <c r="H32" s="15"/>
      <c r="I32" s="12"/>
    </row>
    <row r="33">
      <c r="C33" s="16" t="s">
        <v>132</v>
      </c>
      <c r="G33" s="12"/>
    </row>
    <row r="34">
      <c r="D34" s="14"/>
      <c r="E34" s="13">
        <v>16</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138</v>
      </c>
    </row>
    <row r="7">
      <c r="F7" s="14"/>
      <c r="G7" s="12"/>
    </row>
    <row r="8">
      <c r="G8" s="13">
        <v>48</v>
      </c>
    </row>
    <row r="9">
      <c r="C9" s="16" t="s">
        <v>141</v>
      </c>
      <c r="G9" s="12"/>
      <c r="H9" s="14"/>
      <c r="I9" s="12"/>
    </row>
    <row r="10">
      <c r="D10" s="14"/>
      <c r="E10" s="13">
        <v>17</v>
      </c>
      <c r="F10" s="15"/>
      <c r="G10" s="12"/>
      <c r="I10" s="12"/>
    </row>
    <row r="11">
      <c r="C11" s="16" t="s">
        <v>144</v>
      </c>
      <c r="D11" s="15"/>
      <c r="E11" s="12"/>
      <c r="I11" s="12"/>
    </row>
    <row r="12">
      <c r="I12" s="13">
        <v>70</v>
      </c>
    </row>
    <row r="13">
      <c r="I13" s="12"/>
      <c r="J13" s="14"/>
      <c r="K13" s="12"/>
    </row>
    <row r="14">
      <c r="C14" s="16"/>
      <c r="D14" s="16"/>
      <c r="E14" s="16" t="s">
        <v>147</v>
      </c>
      <c r="I14" s="12"/>
      <c r="K14" s="12"/>
    </row>
    <row r="15">
      <c r="F15" s="14"/>
      <c r="G15" s="12"/>
      <c r="I15" s="12"/>
      <c r="K15" s="12"/>
    </row>
    <row r="16">
      <c r="G16" s="13">
        <v>49</v>
      </c>
      <c r="H16" s="15"/>
      <c r="I16" s="12"/>
      <c r="K16" s="12"/>
    </row>
    <row r="17">
      <c r="C17" s="16" t="s">
        <v>150</v>
      </c>
      <c r="G17" s="12"/>
      <c r="K17" s="12"/>
    </row>
    <row r="18">
      <c r="D18" s="14"/>
      <c r="E18" s="13">
        <v>18</v>
      </c>
      <c r="F18" s="15"/>
      <c r="G18" s="12"/>
      <c r="K18" s="12"/>
    </row>
    <row r="19">
      <c r="C19" s="16" t="s">
        <v>153</v>
      </c>
      <c r="D19" s="15"/>
      <c r="E19" s="12"/>
      <c r="K19" s="12"/>
    </row>
    <row r="20">
      <c r="K20" s="13">
        <v>81</v>
      </c>
    </row>
    <row r="21">
      <c r="K21" s="12"/>
    </row>
    <row r="22">
      <c r="C22" s="16"/>
      <c r="D22" s="16"/>
      <c r="E22" s="16" t="s">
        <v>156</v>
      </c>
      <c r="K22" s="12"/>
    </row>
    <row r="23">
      <c r="F23" s="14"/>
      <c r="G23" s="12"/>
      <c r="K23" s="12"/>
    </row>
    <row r="24">
      <c r="G24" s="13">
        <v>50</v>
      </c>
      <c r="K24" s="12"/>
    </row>
    <row r="25">
      <c r="C25" s="16" t="s">
        <v>158</v>
      </c>
      <c r="G25" s="12"/>
      <c r="H25" s="14"/>
      <c r="I25" s="12"/>
      <c r="K25" s="12"/>
    </row>
    <row r="26">
      <c r="D26" s="14"/>
      <c r="E26" s="13">
        <v>19</v>
      </c>
      <c r="F26" s="15"/>
      <c r="G26" s="12"/>
      <c r="I26" s="12"/>
      <c r="K26" s="12"/>
    </row>
    <row r="27">
      <c r="C27" s="16" t="s">
        <v>21</v>
      </c>
      <c r="D27" s="15"/>
      <c r="E27" s="12"/>
      <c r="I27" s="12"/>
      <c r="K27" s="12"/>
    </row>
    <row r="28">
      <c r="I28" s="13">
        <v>71</v>
      </c>
      <c r="J28" s="15"/>
      <c r="K28" s="12"/>
    </row>
    <row r="29">
      <c r="I29" s="12"/>
    </row>
    <row r="30">
      <c r="C30" s="16"/>
      <c r="D30" s="16"/>
      <c r="E30" s="16" t="s">
        <v>160</v>
      </c>
      <c r="I30" s="12"/>
    </row>
    <row r="31">
      <c r="F31" s="14"/>
      <c r="G31" s="12"/>
      <c r="I31" s="12"/>
    </row>
    <row r="32">
      <c r="G32" s="13">
        <v>51</v>
      </c>
      <c r="H32" s="15"/>
      <c r="I32" s="12"/>
    </row>
    <row r="33">
      <c r="C33" s="16" t="s">
        <v>162</v>
      </c>
      <c r="G33" s="12"/>
    </row>
    <row r="34">
      <c r="D34" s="14"/>
      <c r="E34" s="13">
        <v>20</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166</v>
      </c>
    </row>
    <row r="7">
      <c r="F7" s="14"/>
      <c r="G7" s="12"/>
    </row>
    <row r="8">
      <c r="G8" s="13">
        <v>52</v>
      </c>
    </row>
    <row r="9">
      <c r="G9" s="12"/>
      <c r="H9" s="14"/>
      <c r="I9" s="12"/>
    </row>
    <row r="10">
      <c r="C10" s="16"/>
      <c r="D10" s="16"/>
      <c r="E10" s="16" t="s">
        <v>168</v>
      </c>
      <c r="F10" s="15"/>
      <c r="G10" s="12"/>
      <c r="I10" s="12"/>
    </row>
    <row r="11">
      <c r="I11" s="12"/>
    </row>
    <row r="12">
      <c r="I12" s="13">
        <v>72</v>
      </c>
    </row>
    <row r="13">
      <c r="I13" s="12"/>
      <c r="J13" s="14"/>
      <c r="K13" s="12"/>
    </row>
    <row r="14">
      <c r="C14" s="16"/>
      <c r="D14" s="16"/>
      <c r="E14" s="16" t="s">
        <v>162</v>
      </c>
      <c r="I14" s="12"/>
      <c r="K14" s="12"/>
    </row>
    <row r="15">
      <c r="F15" s="14"/>
      <c r="G15" s="12"/>
      <c r="I15" s="12"/>
      <c r="K15" s="12"/>
    </row>
    <row r="16">
      <c r="G16" s="13">
        <v>53</v>
      </c>
      <c r="H16" s="15"/>
      <c r="I16" s="12"/>
      <c r="K16" s="12"/>
    </row>
    <row r="17">
      <c r="C17" s="16" t="s">
        <v>171</v>
      </c>
      <c r="G17" s="12"/>
      <c r="K17" s="12"/>
    </row>
    <row r="18">
      <c r="D18" s="14"/>
      <c r="E18" s="13">
        <v>21</v>
      </c>
      <c r="F18" s="15"/>
      <c r="G18" s="12"/>
      <c r="K18" s="12"/>
    </row>
    <row r="19">
      <c r="C19" s="16" t="s">
        <v>173</v>
      </c>
      <c r="D19" s="15"/>
      <c r="E19" s="12"/>
      <c r="K19" s="12"/>
    </row>
    <row r="20">
      <c r="K20" s="13">
        <v>82</v>
      </c>
    </row>
    <row r="21">
      <c r="K21" s="12"/>
    </row>
    <row r="22">
      <c r="C22" s="16"/>
      <c r="D22" s="16"/>
      <c r="E22" s="16" t="s">
        <v>175</v>
      </c>
      <c r="K22" s="12"/>
    </row>
    <row r="23">
      <c r="F23" s="14"/>
      <c r="G23" s="12"/>
      <c r="K23" s="12"/>
    </row>
    <row r="24">
      <c r="G24" s="13">
        <v>54</v>
      </c>
      <c r="K24" s="12"/>
    </row>
    <row r="25">
      <c r="C25" s="16" t="s">
        <v>177</v>
      </c>
      <c r="G25" s="12"/>
      <c r="H25" s="14"/>
      <c r="I25" s="12"/>
      <c r="K25" s="12"/>
    </row>
    <row r="26">
      <c r="D26" s="14"/>
      <c r="E26" s="13">
        <v>22</v>
      </c>
      <c r="F26" s="15"/>
      <c r="G26" s="12"/>
      <c r="I26" s="12"/>
      <c r="K26" s="12"/>
    </row>
    <row r="27">
      <c r="C27" s="16" t="s">
        <v>179</v>
      </c>
      <c r="D27" s="15"/>
      <c r="E27" s="12"/>
      <c r="I27" s="12"/>
      <c r="K27" s="12"/>
    </row>
    <row r="28">
      <c r="I28" s="13">
        <v>73</v>
      </c>
      <c r="J28" s="15"/>
      <c r="K28" s="12"/>
    </row>
    <row r="29">
      <c r="I29" s="12"/>
    </row>
    <row r="30">
      <c r="C30" s="16"/>
      <c r="D30" s="16"/>
      <c r="E30" s="16" t="s">
        <v>181</v>
      </c>
      <c r="I30" s="12"/>
    </row>
    <row r="31">
      <c r="F31" s="14"/>
      <c r="G31" s="12"/>
      <c r="I31" s="12"/>
    </row>
    <row r="32">
      <c r="G32" s="13">
        <v>55</v>
      </c>
      <c r="H32" s="15"/>
      <c r="I32" s="12"/>
    </row>
    <row r="33">
      <c r="C33" s="16" t="s">
        <v>132</v>
      </c>
      <c r="G33" s="12"/>
    </row>
    <row r="34">
      <c r="D34" s="14"/>
      <c r="E34" s="13">
        <v>23</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186</v>
      </c>
    </row>
    <row r="7">
      <c r="F7" s="14"/>
      <c r="G7" s="12"/>
    </row>
    <row r="8">
      <c r="G8" s="13">
        <v>56</v>
      </c>
    </row>
    <row r="9">
      <c r="C9" s="16" t="s">
        <v>188</v>
      </c>
      <c r="G9" s="12"/>
      <c r="H9" s="14"/>
      <c r="I9" s="12"/>
    </row>
    <row r="10">
      <c r="D10" s="14"/>
      <c r="E10" s="13">
        <v>24</v>
      </c>
      <c r="F10" s="15"/>
      <c r="G10" s="12"/>
      <c r="I10" s="12"/>
    </row>
    <row r="11">
      <c r="C11" s="16" t="s">
        <v>190</v>
      </c>
      <c r="D11" s="15"/>
      <c r="E11" s="12"/>
      <c r="I11" s="12"/>
    </row>
    <row r="12">
      <c r="I12" s="13">
        <v>74</v>
      </c>
    </row>
    <row r="13">
      <c r="I13" s="12"/>
      <c r="J13" s="14"/>
      <c r="K13" s="12"/>
    </row>
    <row r="14">
      <c r="C14" s="16"/>
      <c r="D14" s="16"/>
      <c r="E14" s="16" t="s">
        <v>192</v>
      </c>
      <c r="I14" s="12"/>
      <c r="K14" s="12"/>
    </row>
    <row r="15">
      <c r="F15" s="14"/>
      <c r="G15" s="12"/>
      <c r="I15" s="12"/>
      <c r="K15" s="12"/>
    </row>
    <row r="16">
      <c r="G16" s="13">
        <v>57</v>
      </c>
      <c r="H16" s="15"/>
      <c r="I16" s="12"/>
      <c r="K16" s="12"/>
    </row>
    <row r="17">
      <c r="C17" s="16" t="s">
        <v>194</v>
      </c>
      <c r="G17" s="12"/>
      <c r="K17" s="12"/>
    </row>
    <row r="18">
      <c r="D18" s="14"/>
      <c r="E18" s="13">
        <v>25</v>
      </c>
      <c r="F18" s="15"/>
      <c r="G18" s="12"/>
      <c r="K18" s="12"/>
    </row>
    <row r="19">
      <c r="C19" s="16" t="s">
        <v>164</v>
      </c>
      <c r="D19" s="15"/>
      <c r="E19" s="12"/>
      <c r="K19" s="12"/>
    </row>
    <row r="20">
      <c r="K20" s="13">
        <v>83</v>
      </c>
    </row>
    <row r="21">
      <c r="K21" s="12"/>
    </row>
    <row r="22">
      <c r="C22" s="16"/>
      <c r="D22" s="16"/>
      <c r="E22" s="16" t="s">
        <v>197</v>
      </c>
      <c r="K22" s="12"/>
    </row>
    <row r="23">
      <c r="F23" s="14"/>
      <c r="G23" s="12"/>
      <c r="K23" s="12"/>
    </row>
    <row r="24">
      <c r="G24" s="13">
        <v>58</v>
      </c>
      <c r="K24" s="12"/>
    </row>
    <row r="25">
      <c r="C25" s="16" t="s">
        <v>199</v>
      </c>
      <c r="G25" s="12"/>
      <c r="H25" s="14"/>
      <c r="I25" s="12"/>
      <c r="K25" s="12"/>
    </row>
    <row r="26">
      <c r="D26" s="14"/>
      <c r="E26" s="13">
        <v>26</v>
      </c>
      <c r="F26" s="15"/>
      <c r="G26" s="12"/>
      <c r="I26" s="12"/>
      <c r="K26" s="12"/>
    </row>
    <row r="27">
      <c r="C27" s="16" t="s">
        <v>201</v>
      </c>
      <c r="D27" s="15"/>
      <c r="E27" s="12"/>
      <c r="I27" s="12"/>
      <c r="K27" s="12"/>
    </row>
    <row r="28">
      <c r="I28" s="13">
        <v>75</v>
      </c>
      <c r="J28" s="15"/>
      <c r="K28" s="12"/>
    </row>
    <row r="29">
      <c r="I29" s="12"/>
    </row>
    <row r="30">
      <c r="C30" s="16"/>
      <c r="D30" s="16"/>
      <c r="E30" s="16" t="s">
        <v>203</v>
      </c>
      <c r="I30" s="12"/>
    </row>
    <row r="31">
      <c r="F31" s="14"/>
      <c r="G31" s="12"/>
      <c r="I31" s="12"/>
    </row>
    <row r="32">
      <c r="G32" s="13">
        <v>59</v>
      </c>
      <c r="H32" s="15"/>
      <c r="I32" s="12"/>
    </row>
    <row r="33">
      <c r="C33" s="16" t="s">
        <v>205</v>
      </c>
      <c r="G33" s="12"/>
    </row>
    <row r="34">
      <c r="D34" s="14"/>
      <c r="E34" s="13">
        <v>27</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67</v>
      </c>
      <c r="B21" s="18" t="str">
        <f>'data'!D70</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76</v>
      </c>
      <c r="B30" s="18" t="str">
        <f>'data'!D79</f>
      </c>
    </row>
    <row r="31" ht="270" customHeight="true">
      <c r="A31" s="17">
        <v>77</v>
      </c>
      <c r="B31" s="18" t="str">
        <f>'data'!D80</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82</v>
      </c>
      <c r="B36" s="18" t="str">
        <f>'data'!D85</f>
      </c>
    </row>
    <row r="37" ht="270" customHeight="true">
      <c r="A37" s="17">
        <v>83</v>
      </c>
      <c r="B37" s="18" t="str">
        <f>'data'!D86</f>
      </c>
    </row>
    <row r="38" ht="270" customHeight="true">
      <c r="A38" s="17">
        <v>84</v>
      </c>
      <c r="B38" s="18" t="str">
        <f>'data'!D87</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