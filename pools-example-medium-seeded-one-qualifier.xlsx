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9"/>
  </bookViews>
  <sheets>
    <sheet name="data" sheetId="1" r:id="rId1"/>
    <sheet name="Time Estimator" sheetId="2" r:id="rId4"/>
    <sheet name="Pool Draw" sheetId="3" r:id="rId5"/>
    <sheet name="Pool Matches" sheetId="4" r:id="rId6"/>
    <sheet name="Elimination Matches" sheetId="5" r:id="rId7"/>
    <sheet name="Tree 1" sheetId="8" r:id="rId11"/>
    <sheet name="Tree 2" sheetId="9" r:id="rId12"/>
    <sheet name="Names to Print A" sheetId="10" r:id="rId13"/>
    <sheet name="Names to Print B" sheetId="11" r:id="rId14"/>
    <sheet name="Tags" sheetId="12" r:id="rId15"/>
  </sheets>
  <definedNames>
    <definedName localSheetId="2" name="_xlnm.Print_Area">'Pool Draw'!$B$2:$F$21</definedName>
    <definedName localSheetId="3" name="_xlnm.Print_Area">'Pool Matches'!$A$1:$P$67</definedName>
    <definedName localSheetId="5" name="_xlnm.Print_Area">'Tree 1'!$A$1:$G$23</definedName>
    <definedName localSheetId="6" name="_xlnm.Print_Area">'Tree 2'!$A$1:$E$17</definedName>
    <definedName localSheetId="7" name="_xlnm.Print_Area">'Names to Print A'!$A$1:$B$14</definedName>
    <definedName localSheetId="8" name="_xlnm.Print_Area">'Names to Print B'!$A$1:$B$10</definedName>
    <definedName localSheetId="9" name="_xlnm.Print_Area">'Tags'!$A$1:$A$48</definedName>
    <definedName localSheetId="4" name="_xlnm.Print_Area">'Elimination Matches'!$A$1:$P$40</definedName>
  </definedNames>
  <calcPr calcId="122211"/>
</workbook>
</file>

<file path=xl/sharedStrings.xml><?xml version="1.0" encoding="utf-8"?>
<sst xmlns="http://schemas.openxmlformats.org/spreadsheetml/2006/main" count="143" uniqueCount="143">
  <si>
    <t>Number of pools</t>
  </si>
  <si>
    <t>Team size</t>
  </si>
  <si>
    <t>Matches per pool</t>
  </si>
  <si>
    <t>Time per match</t>
  </si>
  <si>
    <t>Total time for matches</t>
  </si>
  <si>
    <t>Padding time for rotation</t>
  </si>
  <si>
    <t>Time for breaks</t>
  </si>
  <si>
    <t>Total Time</t>
  </si>
  <si>
    <t>Number of Elimination Matches</t>
  </si>
  <si>
    <t>Title prefix:</t>
  </si>
  <si>
    <t/>
  </si>
  <si>
    <t>Pool</t>
  </si>
  <si>
    <t>Player Name</t>
  </si>
  <si>
    <t>Player Dojo</t>
  </si>
  <si>
    <t>Display Name</t>
  </si>
  <si>
    <t>Player Number</t>
  </si>
  <si>
    <t>Metadata</t>
  </si>
  <si>
    <t>Pool A</t>
  </si>
  <si>
    <t>Cersei Lannister</t>
  </si>
  <si>
    <t>Team Gamma</t>
  </si>
  <si>
    <t>LANNISTER</t>
  </si>
  <si>
    <t>K1</t>
  </si>
  <si>
    <t>Hermione Granger</t>
  </si>
  <si>
    <t>Team Theta</t>
  </si>
  <si>
    <t>GRANGER</t>
  </si>
  <si>
    <t>K2</t>
  </si>
  <si>
    <t>Moby Dick</t>
  </si>
  <si>
    <t>Team Nu</t>
  </si>
  <si>
    <t>DICK</t>
  </si>
  <si>
    <t>K3</t>
  </si>
  <si>
    <t>Quirinus Quirrell</t>
  </si>
  <si>
    <t>Team Rho</t>
  </si>
  <si>
    <t>QUIRRELL</t>
  </si>
  <si>
    <t>K4</t>
  </si>
  <si>
    <t>Voldemort</t>
  </si>
  <si>
    <t>Team Chi</t>
  </si>
  <si>
    <t>VOLDEMORT</t>
  </si>
  <si>
    <t>K5</t>
  </si>
  <si>
    <t>Pool B</t>
  </si>
  <si>
    <t>Gandalf The Grey</t>
  </si>
  <si>
    <t>Team Eta</t>
  </si>
  <si>
    <t>GANDALF</t>
  </si>
  <si>
    <t>K6</t>
  </si>
  <si>
    <t>Jon Snow</t>
  </si>
  <si>
    <t>Team Kappa</t>
  </si>
  <si>
    <t>SNOW</t>
  </si>
  <si>
    <t>K7</t>
  </si>
  <si>
    <t>Neville Longbottom</t>
  </si>
  <si>
    <t>Team Xi</t>
  </si>
  <si>
    <t>LONGBOTTOM</t>
  </si>
  <si>
    <t>K8</t>
  </si>
  <si>
    <t>Samwise Gamgee</t>
  </si>
  <si>
    <t>Team Tau</t>
  </si>
  <si>
    <t>GAMGEE</t>
  </si>
  <si>
    <t>K9</t>
  </si>
  <si>
    <t>Xaro Xhoan Daxos</t>
  </si>
  <si>
    <t>Team Omega</t>
  </si>
  <si>
    <t>DAXOS</t>
  </si>
  <si>
    <t>K10</t>
  </si>
  <si>
    <t>Pool C</t>
  </si>
  <si>
    <t>Eddard Stark</t>
  </si>
  <si>
    <t>Team Epsilon</t>
  </si>
  <si>
    <t>STARK</t>
  </si>
  <si>
    <t>K11</t>
  </si>
  <si>
    <t>Katniss Everdeen</t>
  </si>
  <si>
    <t>Team Mu</t>
  </si>
  <si>
    <t>EVERDEEN</t>
  </si>
  <si>
    <t>K12</t>
  </si>
  <si>
    <t>Petyr Baelish</t>
  </si>
  <si>
    <t>Team Pi</t>
  </si>
  <si>
    <t>BAELISH</t>
  </si>
  <si>
    <t>K13</t>
  </si>
  <si>
    <t>Ulysses</t>
  </si>
  <si>
    <t>Team Phi</t>
  </si>
  <si>
    <t>ULYSSES</t>
  </si>
  <si>
    <t>K14</t>
  </si>
  <si>
    <t>Pool D</t>
  </si>
  <si>
    <t>Daenerys Targaryen</t>
  </si>
  <si>
    <t>Team Delta</t>
  </si>
  <si>
    <t>TARGARYEN</t>
  </si>
  <si>
    <t>K15</t>
  </si>
  <si>
    <t>Inigo Montoya</t>
  </si>
  <si>
    <t>Team Iota</t>
  </si>
  <si>
    <t>MONTOYA</t>
  </si>
  <si>
    <t>K16</t>
  </si>
  <si>
    <t>Legolas Greenleaf</t>
  </si>
  <si>
    <t>GREENLEAF</t>
  </si>
  <si>
    <t>K17</t>
  </si>
  <si>
    <t>Ron Weasley</t>
  </si>
  <si>
    <t>Team Sigma</t>
  </si>
  <si>
    <t>WEASLEY</t>
  </si>
  <si>
    <t>K18</t>
  </si>
  <si>
    <t>Willy Wonka</t>
  </si>
  <si>
    <t>Team Psi</t>
  </si>
  <si>
    <t>WONKA</t>
  </si>
  <si>
    <t>K19</t>
  </si>
  <si>
    <t>Pool E</t>
  </si>
  <si>
    <t>Frodo Baggins</t>
  </si>
  <si>
    <t>Team Zeta</t>
  </si>
  <si>
    <t>BAGGINS</t>
  </si>
  <si>
    <t>K20</t>
  </si>
  <si>
    <t>Team Lambda</t>
  </si>
  <si>
    <t>K21</t>
  </si>
  <si>
    <t>Othello</t>
  </si>
  <si>
    <t>Team Omicron</t>
  </si>
  <si>
    <t>OTHELLO</t>
  </si>
  <si>
    <t>K22</t>
  </si>
  <si>
    <t>Tyrion Lannister</t>
  </si>
  <si>
    <t>Team Upsilon</t>
  </si>
  <si>
    <t>K23</t>
  </si>
  <si>
    <t>Ygritte</t>
  </si>
  <si>
    <t>Team Alpha</t>
  </si>
  <si>
    <t>YGRITTE</t>
  </si>
  <si>
    <t>K24</t>
  </si>
  <si>
    <t>Shiaijo A</t>
  </si>
  <si>
    <t>Shiaijo B</t>
  </si>
  <si>
    <t>White</t>
  </si>
  <si>
    <t>vs</t>
  </si>
  <si>
    <t>Red</t>
  </si>
  <si>
    <t>Results</t>
  </si>
  <si>
    <t>W</t>
  </si>
  <si>
    <t>L</t>
  </si>
  <si>
    <t>T</t>
  </si>
  <si>
    <t>PW</t>
  </si>
  <si>
    <t>PL</t>
  </si>
  <si>
    <t>Rank</t>
  </si>
  <si>
    <t>Ranking</t>
  </si>
  <si>
    <t>1.</t>
  </si>
  <si>
    <t>2.</t>
  </si>
  <si>
    <t>3.</t>
  </si>
  <si>
    <t>4.</t>
  </si>
  <si>
    <t>5.</t>
  </si>
  <si>
    <t>Round 1 - Match 1</t>
  </si>
  <si>
    <t>Round 2 - Match 2</t>
  </si>
  <si>
    <t>Round 2 - Match 3</t>
  </si>
  <si>
    <t>Round 3 - Match 4</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</si>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</sst>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3">
    <font>
      <sz val="11"/>
      <color theme="1"/>
      <name val="Calibri"/>
      <family val="2"/>
    </font>
    <font>
      <b val="1"/>
      <sz val="12"/>
      <color rgb="FF000000"/>
      <name val="Calibri"/>
      <family val="2"/>
    </font>
    <font>
      <sz val="12"/>
      <color rgb="FF000000"/>
      <name val="Calibri"/>
      <family val="2"/>
    </font>
    <font>
      <b val="1"/>
      <u val="single"/>
      <sz val="16"/>
      <color/>
      <name val="Calibri"/>
      <family val="2"/>
    </font>
    <font>
      <b val="1"/>
      <u val="single"/>
      <sz val="12"/>
      <color/>
      <name val="Calibri"/>
      <family val="2"/>
    </font>
    <font>
      <sz val="12"/>
      <color/>
      <name val="Calibri"/>
      <family val="2"/>
    </font>
    <font>
      <b val="1"/>
      <sz val="28"/>
      <color rgb="FF000000"/>
      <name val="Calibri"/>
      <family val="2"/>
    </font>
    <font>
      <b val="1"/>
      <sz val="72"/>
      <color rgb="FF000000"/>
      <name val="Calibri"/>
      <family val="2"/>
    </font>
    <font>
      <b val="1"/>
      <i val="1"/>
      <sz val="12"/>
      <color/>
      <name val="Calibri"/>
      <family val="2"/>
    </font>
    <font>
      <b val="1"/>
      <sz val="12"/>
      <color rgb="FFFFFFFF"/>
      <name val="Calibri"/>
      <family val="2"/>
    </font>
    <font>
      <b val="1"/>
      <sz val="100"/>
      <color rgb="FF000000"/>
      <name val="Calibri"/>
      <family val="2"/>
    </font>
    <font>
      <sz val="110"/>
      <color rgb="FF000000"/>
      <name val="Calibri"/>
      <family val="2"/>
    </font>
    <font>
      <b val="1"/>
      <sz val="250"/>
      <color/>
      <name val="Calibri"/>
      <family val="2"/>
    </font>
  </fonts>
  <fills count="6">
    <fill>
      <patternFill patternType="none"/>
    </fill>
    <fill>
      <patternFill patternType="gray125"/>
    </fill>
    <fill>
      <patternFill patternType="solid">
        <fgColor rgb="FFC0C0C0"/>
      </patternFill>
    </fill>
    <fill>
      <patternFill patternType="solid">
        <fgColor rgb="FFEFEFEF"/>
      </patternFill>
    </fill>
    <fill>
      <patternFill patternType="solid">
        <fgColor rgb="FFFF0000"/>
      </patternFill>
    </fill>
    <fill>
      <patternFill patternType="solid">
        <fgColor rgb="FFFFFFFF"/>
      </patternFill>
    </fill>
  </fills>
  <borders count="10">
    <border>
      <left/>
      <right/>
      <top/>
      <bottom/>
      <diagonal/>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border>
    <border>
      <left style="medium">
        <color rgb="FF000000"/>
      </left>
      <bottom style="medium">
        <color rgb="FF000000"/>
      </bottom>
    </border>
    <border>
      <top style="medium">
        <color rgb="FF000000"/>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numFmtId="0" fontId="0" fillId="0" borderId="0"/>
  </cellStyleXfs>
  <cellXfs count="34">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8" fillId="2" borderId="1" xfId="0" applyFont="true" applyFill="true" applyBorder="true" applyAlignment="true">
      <alignment horizontal="right"/>
    </xf>
    <xf numFmtId="0" fontId="5" fillId="0" borderId="1" xfId="0" applyFont="true" applyBorder="true" applyAlignment="false">
      <alignment/>
    </xf>
    <xf numFmtId="0" fontId="1" fillId="0" borderId="1" xfId="0" applyFont="true" applyBorder="true" applyAlignment="true">
      <alignment horizontal="center" vertical="center"/>
    </xf>
    <xf numFmtId="0" fontId="2" fillId="3" borderId="2" xfId="0" applyFont="true" applyFill="true" applyBorder="true" applyAlignment="true">
      <alignment horizontal="center"/>
    </xf>
    <xf numFmtId="0" fontId="0" fillId="0" borderId="3" xfId="0" applyBorder="true" applyAlignment="false">
      <alignment/>
    </xf>
    <xf numFmtId="0" fontId="9" fillId="4" borderId="2" xfId="0" applyFont="true" applyFill="true" applyBorder="true" applyAlignment="true">
      <alignment horizontal="center"/>
    </xf>
    <xf numFmtId="0" fontId="1" fillId="5" borderId="2" xfId="0" applyFont="true" applyFill="true" applyBorder="true" applyAlignment="true">
      <alignment horizontal="center"/>
    </xf>
    <xf numFmtId="0" fontId="2" fillId="0" borderId="2" xfId="0" applyFont="true" applyBorder="true" applyAlignment="true" applyProtection="true">
      <alignment horizontal="center"/>
      <protection hidden="false" locked="false"/>
    </xf>
    <xf numFmtId="0" fontId="0" fillId="0" borderId="3" xfId="0" applyBorder="true" applyAlignment="false" applyProtection="true">
      <alignment/>
      <protection hidden="false" locked="false"/>
    </xf>
    <xf numFmtId="0" fontId="0" fillId="0" borderId="4" xfId="0" applyBorder="true" applyAlignment="false">
      <alignment/>
    </xf>
    <xf numFmtId="0" fontId="2" fillId="0" borderId="5" xfId="0" applyFont="true" applyBorder="true" applyAlignment="true">
      <alignment horizontal="left"/>
    </xf>
    <xf numFmtId="0" fontId="0" fillId="0" borderId="6" xfId="0" applyBorder="true" applyAlignment="false">
      <alignment/>
    </xf>
    <xf numFmtId="0" fontId="1" fillId="0" borderId="3" xfId="0" applyFont="true" applyBorder="true" applyAlignment="true">
      <alignment horizontal="right" vertical="center"/>
    </xf>
    <xf numFmtId="0" fontId="1" fillId="3" borderId="0" xfId="0" applyFont="true" applyFill="true" applyAlignment="false">
      <alignment/>
    </xf>
    <xf numFmtId="0" fontId="2" fillId="0" borderId="7" xfId="0" applyFont="true" applyBorder="true" applyAlignment="false">
      <alignment/>
    </xf>
    <xf numFmtId="0" fontId="2" fillId="0" borderId="8" xfId="0" applyFont="true" applyBorder="true" applyAlignment="false">
      <alignment/>
    </xf>
    <xf numFmtId="0" fontId="2" fillId="0" borderId="9" xfId="0" applyFont="true" applyBorder="true" applyAlignment="false">
      <alignment/>
    </xf>
    <xf numFmtId="0" fontId="10" fillId="0" borderId="1" xfId="0" applyFont="true" applyBorder="true" applyAlignment="true">
      <alignment horizontal="center" shrinkToFit="true" vertical="center"/>
    </xf>
    <xf numFmtId="0" fontId="11" fillId="0" borderId="1" xfId="0" applyFont="true" applyBorder="true" applyAlignment="true">
      <alignment horizontal="center" shrinkToFit="true" vertical="center"/>
    </xf>
    <xf numFmtId="0" fontId="12" fillId="0" borderId="0" xfId="0" applyFont="true" applyAlignment="true">
      <alignment horizontal="center" shrinkToFit="true" vertical="top"/>
    </xf>
    <xf numFmtId="165" fontId="2" fillId="0" borderId="2" xfId="0" applyNumberFormat="true" applyFont="true" applyBorder="true" applyAlignment="true">
      <alignment horizontal="center"/>
    </xf>
    <xf numFmtId="0" fontId="2" fillId="0" borderId="2" xfId="0" applyFont="true" applyBorder="true" applyAlignment="true">
      <alignment horizontal="center"/>
    </xf>
    <xf numFmtId="20" fontId="2" fillId="0" borderId="2"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c r="F2" t="s">
        <v>16</v>
      </c>
    </row>
    <row r="3">
      <c r="A3" t="s">
        <v>17</v>
      </c>
      <c r="B3" t="s">
        <v>18</v>
      </c>
      <c r="C3" t="s">
        <v>19</v>
      </c>
      <c r="D3" t="s">
        <v>20</v>
      </c>
      <c r="E3" t="s">
        <v>21</v>
      </c>
    </row>
    <row r="4">
      <c r="A4" t="s">
        <v>17</v>
      </c>
      <c r="B4" t="s">
        <v>22</v>
      </c>
      <c r="C4" t="s">
        <v>23</v>
      </c>
      <c r="D4" t="s">
        <v>24</v>
      </c>
      <c r="E4" t="s">
        <v>25</v>
      </c>
    </row>
    <row r="5">
      <c r="A5" t="s">
        <v>17</v>
      </c>
      <c r="B5" t="s">
        <v>26</v>
      </c>
      <c r="C5" t="s">
        <v>27</v>
      </c>
      <c r="D5" t="s">
        <v>28</v>
      </c>
      <c r="E5" t="s">
        <v>29</v>
      </c>
    </row>
    <row r="6">
      <c r="A6" t="s">
        <v>17</v>
      </c>
      <c r="B6" t="s">
        <v>30</v>
      </c>
      <c r="C6" t="s">
        <v>31</v>
      </c>
      <c r="D6" t="s">
        <v>32</v>
      </c>
      <c r="E6" t="s">
        <v>33</v>
      </c>
    </row>
    <row r="7">
      <c r="A7" t="s">
        <v>17</v>
      </c>
      <c r="B7" t="s">
        <v>34</v>
      </c>
      <c r="C7" t="s">
        <v>35</v>
      </c>
      <c r="D7" t="s">
        <v>36</v>
      </c>
      <c r="E7" t="s">
        <v>37</v>
      </c>
    </row>
    <row r="8">
      <c r="A8" t="s">
        <v>38</v>
      </c>
      <c r="B8" t="s">
        <v>39</v>
      </c>
      <c r="C8" t="s">
        <v>40</v>
      </c>
      <c r="D8" t="s">
        <v>41</v>
      </c>
      <c r="E8" t="s">
        <v>42</v>
      </c>
    </row>
    <row r="9">
      <c r="A9" t="s">
        <v>38</v>
      </c>
      <c r="B9" t="s">
        <v>43</v>
      </c>
      <c r="C9" t="s">
        <v>44</v>
      </c>
      <c r="D9" t="s">
        <v>45</v>
      </c>
      <c r="E9" t="s">
        <v>46</v>
      </c>
    </row>
    <row r="10">
      <c r="A10" t="s">
        <v>38</v>
      </c>
      <c r="B10" t="s">
        <v>47</v>
      </c>
      <c r="C10" t="s">
        <v>48</v>
      </c>
      <c r="D10" t="s">
        <v>49</v>
      </c>
      <c r="E10" t="s">
        <v>50</v>
      </c>
    </row>
    <row r="11">
      <c r="A11" t="s">
        <v>38</v>
      </c>
      <c r="B11" t="s">
        <v>51</v>
      </c>
      <c r="C11" t="s">
        <v>52</v>
      </c>
      <c r="D11" t="s">
        <v>53</v>
      </c>
      <c r="E11" t="s">
        <v>54</v>
      </c>
    </row>
    <row r="12">
      <c r="A12" t="s">
        <v>38</v>
      </c>
      <c r="B12" t="s">
        <v>55</v>
      </c>
      <c r="C12" t="s">
        <v>56</v>
      </c>
      <c r="D12" t="s">
        <v>57</v>
      </c>
      <c r="E12" t="s">
        <v>58</v>
      </c>
    </row>
    <row r="13">
      <c r="A13" t="s">
        <v>59</v>
      </c>
      <c r="B13" t="s">
        <v>60</v>
      </c>
      <c r="C13" t="s">
        <v>61</v>
      </c>
      <c r="D13" t="s">
        <v>62</v>
      </c>
      <c r="E13" t="s">
        <v>63</v>
      </c>
    </row>
    <row r="14">
      <c r="A14" t="s">
        <v>59</v>
      </c>
      <c r="B14" t="s">
        <v>64</v>
      </c>
      <c r="C14" t="s">
        <v>65</v>
      </c>
      <c r="D14" t="s">
        <v>66</v>
      </c>
      <c r="E14" t="s">
        <v>67</v>
      </c>
    </row>
    <row r="15">
      <c r="A15" t="s">
        <v>59</v>
      </c>
      <c r="B15" t="s">
        <v>68</v>
      </c>
      <c r="C15" t="s">
        <v>69</v>
      </c>
      <c r="D15" t="s">
        <v>70</v>
      </c>
      <c r="E15" t="s">
        <v>71</v>
      </c>
    </row>
    <row r="16">
      <c r="A16" t="s">
        <v>59</v>
      </c>
      <c r="B16" t="s">
        <v>72</v>
      </c>
      <c r="C16" t="s">
        <v>73</v>
      </c>
      <c r="D16" t="s">
        <v>74</v>
      </c>
      <c r="E16" t="s">
        <v>75</v>
      </c>
    </row>
    <row r="17">
      <c r="A17" t="s">
        <v>76</v>
      </c>
      <c r="B17" t="s">
        <v>77</v>
      </c>
      <c r="C17" t="s">
        <v>78</v>
      </c>
      <c r="D17" t="s">
        <v>79</v>
      </c>
      <c r="E17" t="s">
        <v>80</v>
      </c>
    </row>
    <row r="18">
      <c r="A18" t="s">
        <v>76</v>
      </c>
      <c r="B18" t="s">
        <v>81</v>
      </c>
      <c r="C18" t="s">
        <v>82</v>
      </c>
      <c r="D18" t="s">
        <v>83</v>
      </c>
      <c r="E18" t="s">
        <v>84</v>
      </c>
    </row>
    <row r="19">
      <c r="A19" t="s">
        <v>76</v>
      </c>
      <c r="B19" t="s">
        <v>85</v>
      </c>
      <c r="C19" t="s">
        <v>65</v>
      </c>
      <c r="D19" t="s">
        <v>86</v>
      </c>
      <c r="E19" t="s">
        <v>87</v>
      </c>
    </row>
    <row r="20">
      <c r="A20" t="s">
        <v>76</v>
      </c>
      <c r="B20" t="s">
        <v>88</v>
      </c>
      <c r="C20" t="s">
        <v>89</v>
      </c>
      <c r="D20" t="s">
        <v>90</v>
      </c>
      <c r="E20" t="s">
        <v>91</v>
      </c>
    </row>
    <row r="21">
      <c r="A21" t="s">
        <v>76</v>
      </c>
      <c r="B21" t="s">
        <v>92</v>
      </c>
      <c r="C21" t="s">
        <v>93</v>
      </c>
      <c r="D21" t="s">
        <v>94</v>
      </c>
      <c r="E21" t="s">
        <v>95</v>
      </c>
    </row>
    <row r="22">
      <c r="A22" t="s">
        <v>96</v>
      </c>
      <c r="B22" t="s">
        <v>97</v>
      </c>
      <c r="C22" t="s">
        <v>98</v>
      </c>
      <c r="D22" t="s">
        <v>99</v>
      </c>
      <c r="E22" t="s">
        <v>100</v>
      </c>
    </row>
    <row r="23">
      <c r="A23" t="s">
        <v>96</v>
      </c>
      <c r="B23" t="s">
        <v>64</v>
      </c>
      <c r="C23" t="s">
        <v>101</v>
      </c>
      <c r="D23" t="s">
        <v>66</v>
      </c>
      <c r="E23" t="s">
        <v>102</v>
      </c>
    </row>
    <row r="24">
      <c r="A24" t="s">
        <v>96</v>
      </c>
      <c r="B24" t="s">
        <v>103</v>
      </c>
      <c r="C24" t="s">
        <v>104</v>
      </c>
      <c r="D24" t="s">
        <v>105</v>
      </c>
      <c r="E24" t="s">
        <v>106</v>
      </c>
    </row>
    <row r="25">
      <c r="A25" t="s">
        <v>96</v>
      </c>
      <c r="B25" t="s">
        <v>107</v>
      </c>
      <c r="C25" t="s">
        <v>108</v>
      </c>
      <c r="D25" t="s">
        <v>20</v>
      </c>
      <c r="E25" t="s">
        <v>109</v>
      </c>
    </row>
    <row r="26">
      <c r="A26" t="s">
        <v>96</v>
      </c>
      <c r="B26" t="s">
        <v>110</v>
      </c>
      <c r="C26" t="s">
        <v>111</v>
      </c>
      <c r="D26" t="s">
        <v>112</v>
      </c>
      <c r="E26" t="s">
        <v>113</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5</v>
      </c>
      <c r="B2" s="2">
        <v>1</v>
      </c>
      <c r="C2" s="2">
        <v>24</v>
      </c>
      <c r="D2" s="3">
        <v>0.00208333333333333</v>
      </c>
      <c r="E2" s="3" t="str">
        <f>(A2*B2*C2*D2)</f>
      </c>
      <c r="F2" s="3">
        <v>0.000347222222222222</v>
      </c>
      <c r="G2" s="3">
        <v>0.0208333333333333</v>
      </c>
      <c r="H2" s="31" t="str">
        <f>C2*I2+J2</f>
      </c>
    </row>
    <row r="3" ht="16" customHeight="true">
      <c r="A3" s="2">
        <v>0</v>
      </c>
      <c r="B3" s="2">
        <v>0</v>
      </c>
      <c r="C3" s="2">
        <v>0</v>
      </c>
      <c r="D3" s="3">
        <v>0.00208333333333333</v>
      </c>
      <c r="E3" s="3" t="str">
        <f>(A3*B3*C3*D3)</f>
      </c>
      <c r="F3" s="3">
        <v>0.000347222222222222</v>
      </c>
      <c r="G3" s="3">
        <v>0.0208333333333333</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4</v>
      </c>
      <c r="B8" s="2">
        <v>1</v>
      </c>
      <c r="C8" s="2"/>
      <c r="D8" s="3">
        <v>0.00277777777777777</v>
      </c>
      <c r="E8" s="3" t="str">
        <f>(A8*B8*D8)</f>
      </c>
      <c r="F8" s="3">
        <v>0.000347222222222222</v>
      </c>
      <c r="G8" s="3">
        <v>0.0208333333333333</v>
      </c>
      <c r="H8" s="31"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3" t="s">
        <v>136</v>
      </c>
      <c r="F13" s="13"/>
      <c r="G13" s="13"/>
      <c r="H13" s="13"/>
    </row>
    <row r="14">
      <c r="A14">
        <v>2</v>
      </c>
      <c r="E14" s="32" t="s">
        <v>137</v>
      </c>
      <c r="F14" s="32"/>
      <c r="G14" s="32"/>
      <c r="H14" s="31" t="str">
        <f>H2</f>
      </c>
    </row>
    <row r="15">
      <c r="E15" s="32" t="s">
        <v>138</v>
      </c>
      <c r="F15" s="32"/>
      <c r="G15" s="32"/>
      <c r="H15" s="31" t="str">
        <f>H8</f>
      </c>
    </row>
    <row r="16">
      <c r="E16" s="32" t="s">
        <v>139</v>
      </c>
      <c r="F16" s="32"/>
      <c r="G16" s="32"/>
      <c r="H16" s="31" t="str">
        <f>H14+H15</f>
      </c>
    </row>
    <row r="17">
      <c r="E17" s="32" t="s">
        <v>140</v>
      </c>
      <c r="F17" s="32"/>
      <c r="G17" s="32"/>
      <c r="H17" s="31" t="str">
        <f>H16/A14</f>
      </c>
    </row>
    <row r="18">
      <c r="E18" s="13" t="s">
        <v>141</v>
      </c>
      <c r="F18" s="13"/>
      <c r="G18" s="13"/>
      <c r="H18" s="33">
        <v>0.375</v>
      </c>
    </row>
    <row r="19">
      <c r="E19" s="13" t="s">
        <v>142</v>
      </c>
      <c r="F19" s="13"/>
      <c r="G19" s="13"/>
      <c r="H19" s="33" t="str">
        <f>H18+H17</f>
      </c>
    </row>
  </sheetData>
  <mergeCells count="1">
    <mergeCell ref="E13:H13"/>
  </mergeCells>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8.83"/>
    <col customWidth="true" max="2" min="2" width="30"/>
    <col customWidth="true" max="3" min="3" width="8.83"/>
    <col customWidth="true" max="4" min="4" width="30"/>
    <col customWidth="true" max="5" min="5" width="8.83"/>
    <col customWidth="true" max="6" min="6" width="30"/>
    <col customWidth="true" max="7" min="7" width="8.83"/>
  </cols>
  <sheetData>
    <row r="1" ht="17" customHeight="true"/>
    <row r="2" ht="20" customHeight="true">
      <c r="A2" s="6"/>
      <c r="B2" s="5" t="str">
        <f>IF(data!$B$1="","Tournament Pools",data!$B$1&amp;" - Tournament Pools")</f>
      </c>
      <c r="G2" s="6"/>
    </row>
    <row r="3" ht="17" customHeight="true">
      <c r="A3" s="7"/>
      <c r="B3" s="7"/>
      <c r="C3" s="7"/>
      <c r="D3" s="7"/>
      <c r="E3" s="7"/>
      <c r="F3" s="7"/>
      <c r="G3" s="7"/>
      <c r="H3" s="7"/>
    </row>
    <row r="4" ht="17" customHeight="true">
      <c r="A4" s="8"/>
      <c r="B4" s="8"/>
      <c r="C4" s="8"/>
      <c r="D4" s="8"/>
      <c r="E4" s="8"/>
      <c r="F4" s="8"/>
      <c r="G4" s="8"/>
      <c r="H4" s="8"/>
    </row>
    <row r="5" ht="17" customHeight="true">
      <c r="B5" s="11" t="str">
        <f>'data'!$A$7</f>
      </c>
      <c r="D5" s="11" t="str">
        <f>'data'!$A$16</f>
      </c>
      <c r="F5" s="11" t="str">
        <f>'data'!$A$26</f>
      </c>
    </row>
    <row r="6" ht="17" customHeight="true">
      <c r="B6" s="12" t="str">
        <f>data!$E$3&amp;" "&amp;data!$B$3</f>
      </c>
      <c r="D6" s="12" t="str">
        <f>data!$E$13&amp;" "&amp;data!$B$13</f>
      </c>
      <c r="F6" s="12" t="str">
        <f>data!$E$22&amp;" "&amp;data!$B$22</f>
      </c>
    </row>
    <row r="7" ht="17" customHeight="true">
      <c r="B7" s="12" t="str">
        <f>data!$E$4&amp;" "&amp;data!$B$4</f>
      </c>
      <c r="D7" s="12" t="str">
        <f>data!$E$14&amp;" "&amp;data!$B$14</f>
      </c>
      <c r="F7" s="12" t="str">
        <f>data!$E$23&amp;" "&amp;data!$B$23</f>
      </c>
    </row>
    <row r="8">
      <c r="B8" s="12" t="str">
        <f>data!$E$5&amp;" "&amp;data!$B$5</f>
      </c>
      <c r="D8" s="12" t="str">
        <f>data!$E$15&amp;" "&amp;data!$B$15</f>
      </c>
      <c r="F8" s="12" t="str">
        <f>data!$E$24&amp;" "&amp;data!$B$24</f>
      </c>
    </row>
    <row r="9">
      <c r="B9" s="12" t="str">
        <f>data!$E$6&amp;" "&amp;data!$B$6</f>
      </c>
      <c r="D9" s="12" t="str">
        <f>data!$E$16&amp;" "&amp;data!$B$16</f>
      </c>
      <c r="F9" s="12" t="str">
        <f>data!$E$25&amp;" "&amp;data!$B$25</f>
      </c>
    </row>
    <row r="10">
      <c r="B10" s="12" t="str">
        <f>data!$E$7&amp;" "&amp;data!$B$7</f>
      </c>
      <c r="F10" s="12" t="str">
        <f>data!$E$26&amp;" "&amp;data!$B$26</f>
      </c>
    </row>
    <row r="12">
      <c r="D12" s="11" t="str">
        <f>'data'!$A$21</f>
      </c>
    </row>
    <row r="13">
      <c r="B13" s="11" t="str">
        <f>'data'!$A$12</f>
      </c>
      <c r="D13" s="12" t="str">
        <f>data!$E$17&amp;" "&amp;data!$B$17</f>
      </c>
    </row>
    <row r="14">
      <c r="B14" s="12" t="str">
        <f>data!$E$8&amp;" "&amp;data!$B$8</f>
      </c>
      <c r="D14" s="12" t="str">
        <f>data!$E$18&amp;" "&amp;data!$B$18</f>
      </c>
    </row>
    <row r="15">
      <c r="B15" s="12" t="str">
        <f>data!$E$9&amp;" "&amp;data!$B$9</f>
      </c>
      <c r="D15" s="12" t="str">
        <f>data!$E$19&amp;" "&amp;data!$B$19</f>
      </c>
    </row>
    <row r="16">
      <c r="B16" s="12" t="str">
        <f>data!$E$10&amp;" "&amp;data!$B$10</f>
      </c>
      <c r="D16" s="12" t="str">
        <f>data!$E$20&amp;" "&amp;data!$B$20</f>
      </c>
    </row>
    <row r="17">
      <c r="B17" s="12" t="str">
        <f>data!$E$11&amp;" "&amp;data!$B$11</f>
      </c>
      <c r="D17" s="12" t="str">
        <f>data!$E$21&amp;" "&amp;data!$B$21</f>
      </c>
    </row>
    <row r="18">
      <c r="B18" s="12" t="str">
        <f>data!$E$12&amp;" "&amp;data!$B$12</f>
      </c>
    </row>
  </sheetData>
  <mergeCells count="1">
    <mergeCell ref="B2:F2"/>
  </mergeCells>
  <printOptions horizontalCentered="true" verticalCentered="true"/>
  <pageSetup fitToHeight="0" fitToWidth="1"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 customWidth="true" hidden="true" max="21" min="21" width="9.140625"/>
    <col customWidth="true" hidden="true" max="29" min="29" width="9.140625"/>
  </cols>
  <sheetData>
    <row r="1">
      <c r="A1" s="13" t="s">
        <v>114</v>
      </c>
      <c r="B1" s="13"/>
      <c r="C1" s="13"/>
      <c r="D1" s="13"/>
      <c r="E1" s="13"/>
      <c r="F1" s="13"/>
      <c r="G1" s="13"/>
      <c r="I1" s="13" t="s">
        <v>115</v>
      </c>
      <c r="J1" s="13"/>
      <c r="K1" s="13"/>
      <c r="L1" s="13"/>
      <c r="M1" s="13"/>
      <c r="N1" s="13"/>
      <c r="O1" s="13"/>
    </row>
    <row r="2">
      <c r="A2" s="13" t="str">
        <f>'data'!$A$7</f>
      </c>
      <c r="B2" s="13"/>
      <c r="C2" s="13"/>
      <c r="D2" s="13"/>
      <c r="E2" s="13"/>
      <c r="F2" s="13"/>
      <c r="G2" s="13"/>
      <c r="I2" s="13" t="str">
        <f>'data'!$A$21</f>
      </c>
      <c r="J2" s="13"/>
      <c r="K2" s="13"/>
      <c r="L2" s="13"/>
      <c r="M2" s="13"/>
      <c r="N2" s="13"/>
      <c r="O2" s="13"/>
    </row>
    <row r="3">
      <c r="A3" s="17" t="s">
        <v>116</v>
      </c>
      <c r="D3" s="14" t="s">
        <v>117</v>
      </c>
      <c r="G3" s="16" t="s">
        <v>118</v>
      </c>
      <c r="I3" s="17" t="s">
        <v>116</v>
      </c>
      <c r="L3" s="14" t="s">
        <v>117</v>
      </c>
      <c r="O3" s="16" t="s">
        <v>118</v>
      </c>
    </row>
    <row r="4">
      <c r="A4" s="14" t="str">
        <f>data!$E$4&amp;" "&amp;data!$B$4</f>
      </c>
      <c r="B4" s="18"/>
      <c r="C4" s="18"/>
      <c r="D4" s="18"/>
      <c r="E4" s="18"/>
      <c r="F4" s="18"/>
      <c r="G4" s="14" t="str">
        <f>data!$E$3&amp;" "&amp;data!$B$3</f>
      </c>
      <c r="I4" s="14" t="str">
        <f>data!$E$18&amp;" "&amp;data!$B$18</f>
      </c>
      <c r="J4" s="18"/>
      <c r="K4" s="18"/>
      <c r="L4" s="18"/>
      <c r="M4" s="18"/>
      <c r="N4" s="18"/>
      <c r="O4" s="14" t="str">
        <f>data!$E$17&amp;" "&amp;data!$B$17</f>
      </c>
    </row>
    <row r="5">
      <c r="A5" s="14" t="str">
        <f>data!$E$4&amp;" "&amp;data!$B$4</f>
      </c>
      <c r="B5" s="18"/>
      <c r="C5" s="18"/>
      <c r="D5" s="18"/>
      <c r="E5" s="18"/>
      <c r="F5" s="18"/>
      <c r="G5" s="14" t="str">
        <f>data!$E$5&amp;" "&amp;data!$B$5</f>
      </c>
      <c r="I5" s="14" t="str">
        <f>data!$E$18&amp;" "&amp;data!$B$18</f>
      </c>
      <c r="J5" s="18"/>
      <c r="K5" s="18"/>
      <c r="L5" s="18"/>
      <c r="M5" s="18"/>
      <c r="N5" s="18"/>
      <c r="O5" s="14" t="str">
        <f>data!$E$19&amp;" "&amp;data!$B$19</f>
      </c>
    </row>
    <row r="6">
      <c r="A6" s="14" t="str">
        <f>data!$E$6&amp;" "&amp;data!$B$6</f>
      </c>
      <c r="B6" s="18"/>
      <c r="C6" s="18"/>
      <c r="D6" s="18"/>
      <c r="E6" s="18"/>
      <c r="F6" s="18"/>
      <c r="G6" s="14" t="str">
        <f>data!$E$5&amp;" "&amp;data!$B$5</f>
      </c>
      <c r="I6" s="14" t="str">
        <f>data!$E$20&amp;" "&amp;data!$B$20</f>
      </c>
      <c r="J6" s="18"/>
      <c r="K6" s="18"/>
      <c r="L6" s="18"/>
      <c r="M6" s="18"/>
      <c r="N6" s="18"/>
      <c r="O6" s="14" t="str">
        <f>data!$E$19&amp;" "&amp;data!$B$19</f>
      </c>
    </row>
    <row r="7">
      <c r="A7" s="14" t="str">
        <f>data!$E$6&amp;" "&amp;data!$B$6</f>
      </c>
      <c r="B7" s="18"/>
      <c r="C7" s="18"/>
      <c r="D7" s="18"/>
      <c r="E7" s="18"/>
      <c r="F7" s="18"/>
      <c r="G7" s="14" t="str">
        <f>data!$E$7&amp;" "&amp;data!$B$7</f>
      </c>
      <c r="I7" s="14" t="str">
        <f>data!$E$20&amp;" "&amp;data!$B$20</f>
      </c>
      <c r="J7" s="18"/>
      <c r="K7" s="18"/>
      <c r="L7" s="18"/>
      <c r="M7" s="18"/>
      <c r="N7" s="18"/>
      <c r="O7" s="14" t="str">
        <f>data!$E$21&amp;" "&amp;data!$B$21</f>
      </c>
    </row>
    <row r="8">
      <c r="A8" s="14" t="str">
        <f>data!$E$3&amp;" "&amp;data!$B$3</f>
      </c>
      <c r="B8" s="18"/>
      <c r="C8" s="18"/>
      <c r="D8" s="18"/>
      <c r="E8" s="18"/>
      <c r="F8" s="18"/>
      <c r="G8" s="14" t="str">
        <f>data!$E$7&amp;" "&amp;data!$B$7</f>
      </c>
      <c r="I8" s="14" t="str">
        <f>data!$E$17&amp;" "&amp;data!$B$17</f>
      </c>
      <c r="J8" s="18"/>
      <c r="K8" s="18"/>
      <c r="L8" s="18"/>
      <c r="M8" s="18"/>
      <c r="N8" s="18"/>
      <c r="O8" s="14" t="str">
        <f>data!$E$21&amp;" "&amp;data!$B$21</f>
      </c>
    </row>
    <row r="10">
      <c r="A10" s="13" t="s">
        <v>119</v>
      </c>
      <c r="B10" s="13" t="s">
        <v>120</v>
      </c>
      <c r="C10" s="13" t="s">
        <v>121</v>
      </c>
      <c r="D10" s="13" t="s">
        <v>122</v>
      </c>
      <c r="E10" s="13" t="s">
        <v>123</v>
      </c>
      <c r="F10" s="13" t="s">
        <v>124</v>
      </c>
      <c r="G10" s="13" t="s">
        <v>125</v>
      </c>
      <c r="I10" s="13" t="s">
        <v>119</v>
      </c>
      <c r="J10" s="13" t="s">
        <v>120</v>
      </c>
      <c r="K10" s="13" t="s">
        <v>121</v>
      </c>
      <c r="L10" s="13" t="s">
        <v>122</v>
      </c>
      <c r="M10" s="13" t="s">
        <v>123</v>
      </c>
      <c r="N10" s="13" t="s">
        <v>124</v>
      </c>
      <c r="O10" s="13" t="s">
        <v>125</v>
      </c>
    </row>
    <row r="11">
      <c r="A11" s="14" t="str">
        <f>data!$E$3&amp;" "&amp;data!$B$3</f>
      </c>
      <c r="B11" s="14" t="str">
        <f>IF(OR(COUNTA(B4,C4,E4,F4)&gt;0,OR(D4="X",D4="x")),IF(OR(D4="X",D4="x",AND(OR(COUNTA(B4,C4,E4,F4)&gt;0,OR(D4="X",D4="x")),(LEN(SUBSTITUTE(SUBSTITUTE(SUBSTITUTE(B4," ",""),"0",""),"-",""))+LEN(SUBSTITUTE(SUBSTITUTE(SUBSTITUTE(C4," ",""),"0",""),"-","")))=(LEN(SUBSTITUTE(SUBSTITUTE(SUBSTITUTE(E4," ",""),"0",""),"-",""))+LEN(SUBSTITUTE(SUBSTITUTE(SUBSTITUTE(F4," ",""),"0",""),"-",""))))),0,(LEN(SUBSTITUTE(SUBSTITUTE(SUBSTITUTE(E4," ",""),"0",""),"-",""))+LEN(SUBSTITUTE(SUBSTITUTE(SUBSTITUTE(F4," ",""),"0",""),"-",""))&gt;LEN(SUBSTITUTE(SUBSTITUTE(SUBSTITUTE(B4," ",""),"0",""),"-",""))+LEN(SUBSTITUTE(SUBSTITUTE(SUBSTITUTE(C4," ",""),"0",""),"-","")))*1),0)+IF(OR(COUNTA(B8,C8,E8,F8)&gt;0,OR(D8="X",D8="x")),IF(OR(D8="X",D8="x",AND(OR(COUNTA(B8,C8,E8,F8)&gt;0,OR(D8="X",D8="x")),(LEN(SUBSTITUTE(SUBSTITUTE(SUBSTITUTE(B8," ",""),"0",""),"-",""))+LEN(SUBSTITUTE(SUBSTITUTE(SUBSTITUTE(C8," ",""),"0",""),"-","")))=(LEN(SUBSTITUTE(SUBSTITUTE(SUBSTITUTE(E8," ",""),"0",""),"-",""))+LEN(SUBSTITUTE(SUBSTITUTE(SUBSTITUTE(F8," ",""),"0",""),"-",""))))),0,(LEN(SUBSTITUTE(SUBSTITUTE(SUBSTITUTE(B8," ",""),"0",""),"-",""))+LEN(SUBSTITUTE(SUBSTITUTE(SUBSTITUTE(C8," ",""),"0",""),"-",""))&gt;LEN(SUBSTITUTE(SUBSTITUTE(SUBSTITUTE(E8," ",""),"0",""),"-",""))+LEN(SUBSTITUTE(SUBSTITUTE(SUBSTITUTE(F8," ",""),"0",""),"-","")))*1),0)</f>
      </c>
      <c r="C11" s="14" t="str">
        <f>IF(OR(COUNTA(B4,C4,E4,F4)&gt;0,OR(D4="X",D4="x")),IF(OR(D4="X",D4="x",AND(OR(COUNTA(B4,C4,E4,F4)&gt;0,OR(D4="X",D4="x")),(LEN(SUBSTITUTE(SUBSTITUTE(SUBSTITUTE(B4," ",""),"0",""),"-",""))+LEN(SUBSTITUTE(SUBSTITUTE(SUBSTITUTE(C4," ",""),"0",""),"-","")))=(LEN(SUBSTITUTE(SUBSTITUTE(SUBSTITUTE(E4," ",""),"0",""),"-",""))+LEN(SUBSTITUTE(SUBSTITUTE(SUBSTITUTE(F4," ",""),"0",""),"-",""))))),0,(LEN(SUBSTITUTE(SUBSTITUTE(SUBSTITUTE(E4," ",""),"0",""),"-",""))+LEN(SUBSTITUTE(SUBSTITUTE(SUBSTITUTE(F4," ",""),"0",""),"-",""))&lt;LEN(SUBSTITUTE(SUBSTITUTE(SUBSTITUTE(B4," ",""),"0",""),"-",""))+LEN(SUBSTITUTE(SUBSTITUTE(SUBSTITUTE(C4," ",""),"0",""),"-","")))*1),0)+IF(OR(COUNTA(B8,C8,E8,F8)&gt;0,OR(D8="X",D8="x")),IF(OR(D8="X",D8="x",AND(OR(COUNTA(B8,C8,E8,F8)&gt;0,OR(D8="X",D8="x")),(LEN(SUBSTITUTE(SUBSTITUTE(SUBSTITUTE(B8," ",""),"0",""),"-",""))+LEN(SUBSTITUTE(SUBSTITUTE(SUBSTITUTE(C8," ",""),"0",""),"-","")))=(LEN(SUBSTITUTE(SUBSTITUTE(SUBSTITUTE(E8," ",""),"0",""),"-",""))+LEN(SUBSTITUTE(SUBSTITUTE(SUBSTITUTE(F8," ",""),"0",""),"-",""))))),0,(LEN(SUBSTITUTE(SUBSTITUTE(SUBSTITUTE(B8," ",""),"0",""),"-",""))+LEN(SUBSTITUTE(SUBSTITUTE(SUBSTITUTE(C8," ",""),"0",""),"-",""))&lt;LEN(SUBSTITUTE(SUBSTITUTE(SUBSTITUTE(E8," ",""),"0",""),"-",""))+LEN(SUBSTITUTE(SUBSTITUTE(SUBSTITUTE(F8," ",""),"0",""),"-","")))*1),0)</f>
      </c>
      <c r="D11" s="14" t="str">
        <f>IF(OR(COUNTA(B4,C4,E4,F4)&gt;0,OR(D4="X",D4="x")),IF(OR(D4="X",D4="x",AND(OR(COUNTA(B4,C4,E4,F4)&gt;0,OR(D4="X",D4="x")),(LEN(SUBSTITUTE(SUBSTITUTE(SUBSTITUTE(B4," ",""),"0",""),"-",""))+LEN(SUBSTITUTE(SUBSTITUTE(SUBSTITUTE(C4," ",""),"0",""),"-","")))=(LEN(SUBSTITUTE(SUBSTITUTE(SUBSTITUTE(E4," ",""),"0",""),"-",""))+LEN(SUBSTITUTE(SUBSTITUTE(SUBSTITUTE(F4," ",""),"0",""),"-",""))))),1,0),0)+IF(OR(COUNTA(B8,C8,E8,F8)&gt;0,OR(D8="X",D8="x")),IF(OR(D8="X",D8="x",AND(OR(COUNTA(B8,C8,E8,F8)&gt;0,OR(D8="X",D8="x")),(LEN(SUBSTITUTE(SUBSTITUTE(SUBSTITUTE(B8," ",""),"0",""),"-",""))+LEN(SUBSTITUTE(SUBSTITUTE(SUBSTITUTE(C8," ",""),"0",""),"-","")))=(LEN(SUBSTITUTE(SUBSTITUTE(SUBSTITUTE(E8," ",""),"0",""),"-",""))+LEN(SUBSTITUTE(SUBSTITUTE(SUBSTITUTE(F8," ",""),"0",""),"-",""))))),1,0),0)</f>
      </c>
      <c r="E11" s="14" t="str">
        <f>LEN(SUBSTITUTE(SUBSTITUTE(SUBSTITUTE(E4," ",""),"0",""),"-",""))+LEN(SUBSTITUTE(SUBSTITUTE(SUBSTITUTE(F4," ",""),"0",""),"-",""))+LEN(SUBSTITUTE(SUBSTITUTE(SUBSTITUTE(B8," ",""),"0",""),"-",""))+LEN(SUBSTITUTE(SUBSTITUTE(SUBSTITUTE(C8," ",""),"0",""),"-",""))</f>
      </c>
      <c r="F11" s="14" t="str">
        <f>LEN(SUBSTITUTE(SUBSTITUTE(SUBSTITUTE(B4," ",""),"0",""),"-",""))+LEN(SUBSTITUTE(SUBSTITUTE(SUBSTITUTE(C4," ",""),"0",""),"-",""))+LEN(SUBSTITUTE(SUBSTITUTE(SUBSTITUTE(E8," ",""),"0",""),"-",""))+LEN(SUBSTITUTE(SUBSTITUTE(SUBSTITUTE(F8," ",""),"0",""),"-",""))</f>
      </c>
      <c r="G11" s="18" t="str">
        <f>RANK(U11,$U$11:$U$15)+COUNTIF($U$10:U10,U11)</f>
      </c>
      <c r="I11" s="14" t="str">
        <f>data!$E$17&amp;" "&amp;data!$B$17</f>
      </c>
      <c r="J11" s="14" t="str">
        <f>IF(OR(COUNTA(J4,K4,M4,N4)&gt;0,OR(L4="X",L4="x")),IF(OR(L4="X",L4="x",AND(OR(COUNTA(J4,K4,M4,N4)&gt;0,OR(L4="X",L4="x")),(LEN(SUBSTITUTE(SUBSTITUTE(SUBSTITUTE(J4," ",""),"0",""),"-",""))+LEN(SUBSTITUTE(SUBSTITUTE(SUBSTITUTE(K4," ",""),"0",""),"-","")))=(LEN(SUBSTITUTE(SUBSTITUTE(SUBSTITUTE(M4," ",""),"0",""),"-",""))+LEN(SUBSTITUTE(SUBSTITUTE(SUBSTITUTE(N4," ",""),"0",""),"-",""))))),0,(LEN(SUBSTITUTE(SUBSTITUTE(SUBSTITUTE(M4," ",""),"0",""),"-",""))+LEN(SUBSTITUTE(SUBSTITUTE(SUBSTITUTE(N4," ",""),"0",""),"-",""))&gt;LEN(SUBSTITUTE(SUBSTITUTE(SUBSTITUTE(J4," ",""),"0",""),"-",""))+LEN(SUBSTITUTE(SUBSTITUTE(SUBSTITUTE(K4," ",""),"0",""),"-","")))*1),0)+IF(OR(COUNTA(J8,K8,M8,N8)&gt;0,OR(L8="X",L8="x")),IF(OR(L8="X",L8="x",AND(OR(COUNTA(J8,K8,M8,N8)&gt;0,OR(L8="X",L8="x")),(LEN(SUBSTITUTE(SUBSTITUTE(SUBSTITUTE(J8," ",""),"0",""),"-",""))+LEN(SUBSTITUTE(SUBSTITUTE(SUBSTITUTE(K8," ",""),"0",""),"-","")))=(LEN(SUBSTITUTE(SUBSTITUTE(SUBSTITUTE(M8," ",""),"0",""),"-",""))+LEN(SUBSTITUTE(SUBSTITUTE(SUBSTITUTE(N8," ",""),"0",""),"-",""))))),0,(LEN(SUBSTITUTE(SUBSTITUTE(SUBSTITUTE(J8," ",""),"0",""),"-",""))+LEN(SUBSTITUTE(SUBSTITUTE(SUBSTITUTE(K8," ",""),"0",""),"-",""))&gt;LEN(SUBSTITUTE(SUBSTITUTE(SUBSTITUTE(M8," ",""),"0",""),"-",""))+LEN(SUBSTITUTE(SUBSTITUTE(SUBSTITUTE(N8," ",""),"0",""),"-","")))*1),0)</f>
      </c>
      <c r="K11" s="14" t="str">
        <f>IF(OR(COUNTA(J4,K4,M4,N4)&gt;0,OR(L4="X",L4="x")),IF(OR(L4="X",L4="x",AND(OR(COUNTA(J4,K4,M4,N4)&gt;0,OR(L4="X",L4="x")),(LEN(SUBSTITUTE(SUBSTITUTE(SUBSTITUTE(J4," ",""),"0",""),"-",""))+LEN(SUBSTITUTE(SUBSTITUTE(SUBSTITUTE(K4," ",""),"0",""),"-","")))=(LEN(SUBSTITUTE(SUBSTITUTE(SUBSTITUTE(M4," ",""),"0",""),"-",""))+LEN(SUBSTITUTE(SUBSTITUTE(SUBSTITUTE(N4," ",""),"0",""),"-",""))))),0,(LEN(SUBSTITUTE(SUBSTITUTE(SUBSTITUTE(M4," ",""),"0",""),"-",""))+LEN(SUBSTITUTE(SUBSTITUTE(SUBSTITUTE(N4," ",""),"0",""),"-",""))&lt;LEN(SUBSTITUTE(SUBSTITUTE(SUBSTITUTE(J4," ",""),"0",""),"-",""))+LEN(SUBSTITUTE(SUBSTITUTE(SUBSTITUTE(K4," ",""),"0",""),"-","")))*1),0)+IF(OR(COUNTA(J8,K8,M8,N8)&gt;0,OR(L8="X",L8="x")),IF(OR(L8="X",L8="x",AND(OR(COUNTA(J8,K8,M8,N8)&gt;0,OR(L8="X",L8="x")),(LEN(SUBSTITUTE(SUBSTITUTE(SUBSTITUTE(J8," ",""),"0",""),"-",""))+LEN(SUBSTITUTE(SUBSTITUTE(SUBSTITUTE(K8," ",""),"0",""),"-","")))=(LEN(SUBSTITUTE(SUBSTITUTE(SUBSTITUTE(M8," ",""),"0",""),"-",""))+LEN(SUBSTITUTE(SUBSTITUTE(SUBSTITUTE(N8," ",""),"0",""),"-",""))))),0,(LEN(SUBSTITUTE(SUBSTITUTE(SUBSTITUTE(J8," ",""),"0",""),"-",""))+LEN(SUBSTITUTE(SUBSTITUTE(SUBSTITUTE(K8," ",""),"0",""),"-",""))&lt;LEN(SUBSTITUTE(SUBSTITUTE(SUBSTITUTE(M8," ",""),"0",""),"-",""))+LEN(SUBSTITUTE(SUBSTITUTE(SUBSTITUTE(N8," ",""),"0",""),"-","")))*1),0)</f>
      </c>
      <c r="L11" s="14" t="str">
        <f>IF(OR(COUNTA(J4,K4,M4,N4)&gt;0,OR(L4="X",L4="x")),IF(OR(L4="X",L4="x",AND(OR(COUNTA(J4,K4,M4,N4)&gt;0,OR(L4="X",L4="x")),(LEN(SUBSTITUTE(SUBSTITUTE(SUBSTITUTE(J4," ",""),"0",""),"-",""))+LEN(SUBSTITUTE(SUBSTITUTE(SUBSTITUTE(K4," ",""),"0",""),"-","")))=(LEN(SUBSTITUTE(SUBSTITUTE(SUBSTITUTE(M4," ",""),"0",""),"-",""))+LEN(SUBSTITUTE(SUBSTITUTE(SUBSTITUTE(N4," ",""),"0",""),"-",""))))),1,0),0)+IF(OR(COUNTA(J8,K8,M8,N8)&gt;0,OR(L8="X",L8="x")),IF(OR(L8="X",L8="x",AND(OR(COUNTA(J8,K8,M8,N8)&gt;0,OR(L8="X",L8="x")),(LEN(SUBSTITUTE(SUBSTITUTE(SUBSTITUTE(J8," ",""),"0",""),"-",""))+LEN(SUBSTITUTE(SUBSTITUTE(SUBSTITUTE(K8," ",""),"0",""),"-","")))=(LEN(SUBSTITUTE(SUBSTITUTE(SUBSTITUTE(M8," ",""),"0",""),"-",""))+LEN(SUBSTITUTE(SUBSTITUTE(SUBSTITUTE(N8," ",""),"0",""),"-",""))))),1,0),0)</f>
      </c>
      <c r="M11" s="14" t="str">
        <f>LEN(SUBSTITUTE(SUBSTITUTE(SUBSTITUTE(M4," ",""),"0",""),"-",""))+LEN(SUBSTITUTE(SUBSTITUTE(SUBSTITUTE(N4," ",""),"0",""),"-",""))+LEN(SUBSTITUTE(SUBSTITUTE(SUBSTITUTE(J8," ",""),"0",""),"-",""))+LEN(SUBSTITUTE(SUBSTITUTE(SUBSTITUTE(K8," ",""),"0",""),"-",""))</f>
      </c>
      <c r="N11" s="14" t="str">
        <f>LEN(SUBSTITUTE(SUBSTITUTE(SUBSTITUTE(J4," ",""),"0",""),"-",""))+LEN(SUBSTITUTE(SUBSTITUTE(SUBSTITUTE(K4," ",""),"0",""),"-",""))+LEN(SUBSTITUTE(SUBSTITUTE(SUBSTITUTE(M8," ",""),"0",""),"-",""))+LEN(SUBSTITUTE(SUBSTITUTE(SUBSTITUTE(N8," ",""),"0",""),"-",""))</f>
      </c>
      <c r="O11" s="18" t="str">
        <f>RANK(AC11,$AC$11:$AC$15)+COUNTIF($AC$10:AC10,AC11)</f>
      </c>
      <c r="U11" t="str">
        <f>(B11*1000000)-(C11*10000)+(D11*100)+(E11*1)-(F11*0.01)</f>
      </c>
      <c r="AC11" t="str">
        <f>(J11*1000000)-(K11*10000)+(L11*100)+(M11*1)-(N11*0.01)</f>
      </c>
    </row>
    <row r="12">
      <c r="A12" s="14" t="str">
        <f>data!$E$4&amp;" "&amp;data!$B$4</f>
      </c>
      <c r="B12" s="14" t="str">
        <f>IF(OR(COUNTA(B4,C4,E4,F4)&gt;0,OR(D4="X",D4="x")),IF(OR(D4="X",D4="x",AND(OR(COUNTA(B4,C4,E4,F4)&gt;0,OR(D4="X",D4="x")),(LEN(SUBSTITUTE(SUBSTITUTE(SUBSTITUTE(B4," ",""),"0",""),"-",""))+LEN(SUBSTITUTE(SUBSTITUTE(SUBSTITUTE(C4," ",""),"0",""),"-","")))=(LEN(SUBSTITUTE(SUBSTITUTE(SUBSTITUTE(E4," ",""),"0",""),"-",""))+LEN(SUBSTITUTE(SUBSTITUTE(SUBSTITUTE(F4," ",""),"0",""),"-",""))))),0,(LEN(SUBSTITUTE(SUBSTITUTE(SUBSTITUTE(B4," ",""),"0",""),"-",""))+LEN(SUBSTITUTE(SUBSTITUTE(SUBSTITUTE(C4," ",""),"0",""),"-",""))&gt;LEN(SUBSTITUTE(SUBSTITUTE(SUBSTITUTE(E4," ",""),"0",""),"-",""))+LEN(SUBSTITUTE(SUBSTITUTE(SUBSTITUTE(F4," ",""),"0",""),"-","")))*1),0)+IF(OR(COUNTA(B5,C5,E5,F5)&gt;0,OR(D5="X",D5="x")),IF(OR(D5="X",D5="x",AND(OR(COUNTA(B5,C5,E5,F5)&gt;0,OR(D5="X",D5="x")),(LEN(SUBSTITUTE(SUBSTITUTE(SUBSTITUTE(B5," ",""),"0",""),"-",""))+LEN(SUBSTITUTE(SUBSTITUTE(SUBSTITUTE(C5," ",""),"0",""),"-","")))=(LEN(SUBSTITUTE(SUBSTITUTE(SUBSTITUTE(E5," ",""),"0",""),"-",""))+LEN(SUBSTITUTE(SUBSTITUTE(SUBSTITUTE(F5," ",""),"0",""),"-",""))))),0,(LEN(SUBSTITUTE(SUBSTITUTE(SUBSTITUTE(B5," ",""),"0",""),"-",""))+LEN(SUBSTITUTE(SUBSTITUTE(SUBSTITUTE(C5," ",""),"0",""),"-",""))&gt;LEN(SUBSTITUTE(SUBSTITUTE(SUBSTITUTE(E5," ",""),"0",""),"-",""))+LEN(SUBSTITUTE(SUBSTITUTE(SUBSTITUTE(F5," ",""),"0",""),"-","")))*1),0)</f>
      </c>
      <c r="C12" s="14" t="str">
        <f>IF(OR(COUNTA(B4,C4,E4,F4)&gt;0,OR(D4="X",D4="x")),IF(OR(D4="X",D4="x",AND(OR(COUNTA(B4,C4,E4,F4)&gt;0,OR(D4="X",D4="x")),(LEN(SUBSTITUTE(SUBSTITUTE(SUBSTITUTE(B4," ",""),"0",""),"-",""))+LEN(SUBSTITUTE(SUBSTITUTE(SUBSTITUTE(C4," ",""),"0",""),"-","")))=(LEN(SUBSTITUTE(SUBSTITUTE(SUBSTITUTE(E4," ",""),"0",""),"-",""))+LEN(SUBSTITUTE(SUBSTITUTE(SUBSTITUTE(F4," ",""),"0",""),"-",""))))),0,(LEN(SUBSTITUTE(SUBSTITUTE(SUBSTITUTE(B4," ",""),"0",""),"-",""))+LEN(SUBSTITUTE(SUBSTITUTE(SUBSTITUTE(C4," ",""),"0",""),"-",""))&lt;LEN(SUBSTITUTE(SUBSTITUTE(SUBSTITUTE(E4," ",""),"0",""),"-",""))+LEN(SUBSTITUTE(SUBSTITUTE(SUBSTITUTE(F4," ",""),"0",""),"-","")))*1),0)+IF(OR(COUNTA(B5,C5,E5,F5)&gt;0,OR(D5="X",D5="x")),IF(OR(D5="X",D5="x",AND(OR(COUNTA(B5,C5,E5,F5)&gt;0,OR(D5="X",D5="x")),(LEN(SUBSTITUTE(SUBSTITUTE(SUBSTITUTE(B5," ",""),"0",""),"-",""))+LEN(SUBSTITUTE(SUBSTITUTE(SUBSTITUTE(C5," ",""),"0",""),"-","")))=(LEN(SUBSTITUTE(SUBSTITUTE(SUBSTITUTE(E5," ",""),"0",""),"-",""))+LEN(SUBSTITUTE(SUBSTITUTE(SUBSTITUTE(F5," ",""),"0",""),"-",""))))),0,(LEN(SUBSTITUTE(SUBSTITUTE(SUBSTITUTE(B5," ",""),"0",""),"-",""))+LEN(SUBSTITUTE(SUBSTITUTE(SUBSTITUTE(C5," ",""),"0",""),"-",""))&lt;LEN(SUBSTITUTE(SUBSTITUTE(SUBSTITUTE(E5," ",""),"0",""),"-",""))+LEN(SUBSTITUTE(SUBSTITUTE(SUBSTITUTE(F5," ",""),"0",""),"-","")))*1),0)</f>
      </c>
      <c r="D12" s="14" t="str">
        <f>IF(OR(COUNTA(B4,C4,E4,F4)&gt;0,OR(D4="X",D4="x")),IF(OR(D4="X",D4="x",AND(OR(COUNTA(B4,C4,E4,F4)&gt;0,OR(D4="X",D4="x")),(LEN(SUBSTITUTE(SUBSTITUTE(SUBSTITUTE(B4," ",""),"0",""),"-",""))+LEN(SUBSTITUTE(SUBSTITUTE(SUBSTITUTE(C4," ",""),"0",""),"-","")))=(LEN(SUBSTITUTE(SUBSTITUTE(SUBSTITUTE(E4," ",""),"0",""),"-",""))+LEN(SUBSTITUTE(SUBSTITUTE(SUBSTITUTE(F4," ",""),"0",""),"-",""))))),1,0),0)+IF(OR(COUNTA(B5,C5,E5,F5)&gt;0,OR(D5="X",D5="x")),IF(OR(D5="X",D5="x",AND(OR(COUNTA(B5,C5,E5,F5)&gt;0,OR(D5="X",D5="x")),(LEN(SUBSTITUTE(SUBSTITUTE(SUBSTITUTE(B5," ",""),"0",""),"-",""))+LEN(SUBSTITUTE(SUBSTITUTE(SUBSTITUTE(C5," ",""),"0",""),"-","")))=(LEN(SUBSTITUTE(SUBSTITUTE(SUBSTITUTE(E5," ",""),"0",""),"-",""))+LEN(SUBSTITUTE(SUBSTITUTE(SUBSTITUTE(F5," ",""),"0",""),"-",""))))),1,0),0)</f>
      </c>
      <c r="E12" s="14" t="str">
        <f>LEN(SUBSTITUTE(SUBSTITUTE(SUBSTITUTE(B4," ",""),"0",""),"-",""))+LEN(SUBSTITUTE(SUBSTITUTE(SUBSTITUTE(C4," ",""),"0",""),"-",""))+LEN(SUBSTITUTE(SUBSTITUTE(SUBSTITUTE(B5," ",""),"0",""),"-",""))+LEN(SUBSTITUTE(SUBSTITUTE(SUBSTITUTE(C5," ",""),"0",""),"-",""))</f>
      </c>
      <c r="F12" s="14" t="str">
        <f>LEN(SUBSTITUTE(SUBSTITUTE(SUBSTITUTE(E4," ",""),"0",""),"-",""))+LEN(SUBSTITUTE(SUBSTITUTE(SUBSTITUTE(F4," ",""),"0",""),"-",""))+LEN(SUBSTITUTE(SUBSTITUTE(SUBSTITUTE(E5," ",""),"0",""),"-",""))+LEN(SUBSTITUTE(SUBSTITUTE(SUBSTITUTE(F5," ",""),"0",""),"-",""))</f>
      </c>
      <c r="G12" s="18" t="str">
        <f>RANK(U12,$U$11:$U$15)+COUNTIF($U$10:U11,U12)</f>
      </c>
      <c r="I12" s="14" t="str">
        <f>data!$E$18&amp;" "&amp;data!$B$18</f>
      </c>
      <c r="J12" s="14" t="str">
        <f>IF(OR(COUNTA(J4,K4,M4,N4)&gt;0,OR(L4="X",L4="x")),IF(OR(L4="X",L4="x",AND(OR(COUNTA(J4,K4,M4,N4)&gt;0,OR(L4="X",L4="x")),(LEN(SUBSTITUTE(SUBSTITUTE(SUBSTITUTE(J4," ",""),"0",""),"-",""))+LEN(SUBSTITUTE(SUBSTITUTE(SUBSTITUTE(K4," ",""),"0",""),"-","")))=(LEN(SUBSTITUTE(SUBSTITUTE(SUBSTITUTE(M4," ",""),"0",""),"-",""))+LEN(SUBSTITUTE(SUBSTITUTE(SUBSTITUTE(N4," ",""),"0",""),"-",""))))),0,(LEN(SUBSTITUTE(SUBSTITUTE(SUBSTITUTE(J4," ",""),"0",""),"-",""))+LEN(SUBSTITUTE(SUBSTITUTE(SUBSTITUTE(K4," ",""),"0",""),"-",""))&gt;LEN(SUBSTITUTE(SUBSTITUTE(SUBSTITUTE(M4," ",""),"0",""),"-",""))+LEN(SUBSTITUTE(SUBSTITUTE(SUBSTITUTE(N4," ",""),"0",""),"-","")))*1),0)+IF(OR(COUNTA(J5,K5,M5,N5)&gt;0,OR(L5="X",L5="x")),IF(OR(L5="X",L5="x",AND(OR(COUNTA(J5,K5,M5,N5)&gt;0,OR(L5="X",L5="x")),(LEN(SUBSTITUTE(SUBSTITUTE(SUBSTITUTE(J5," ",""),"0",""),"-",""))+LEN(SUBSTITUTE(SUBSTITUTE(SUBSTITUTE(K5," ",""),"0",""),"-","")))=(LEN(SUBSTITUTE(SUBSTITUTE(SUBSTITUTE(M5," ",""),"0",""),"-",""))+LEN(SUBSTITUTE(SUBSTITUTE(SUBSTITUTE(N5," ",""),"0",""),"-",""))))),0,(LEN(SUBSTITUTE(SUBSTITUTE(SUBSTITUTE(J5," ",""),"0",""),"-",""))+LEN(SUBSTITUTE(SUBSTITUTE(SUBSTITUTE(K5," ",""),"0",""),"-",""))&gt;LEN(SUBSTITUTE(SUBSTITUTE(SUBSTITUTE(M5," ",""),"0",""),"-",""))+LEN(SUBSTITUTE(SUBSTITUTE(SUBSTITUTE(N5," ",""),"0",""),"-","")))*1),0)</f>
      </c>
      <c r="K12" s="14" t="str">
        <f>IF(OR(COUNTA(J4,K4,M4,N4)&gt;0,OR(L4="X",L4="x")),IF(OR(L4="X",L4="x",AND(OR(COUNTA(J4,K4,M4,N4)&gt;0,OR(L4="X",L4="x")),(LEN(SUBSTITUTE(SUBSTITUTE(SUBSTITUTE(J4," ",""),"0",""),"-",""))+LEN(SUBSTITUTE(SUBSTITUTE(SUBSTITUTE(K4," ",""),"0",""),"-","")))=(LEN(SUBSTITUTE(SUBSTITUTE(SUBSTITUTE(M4," ",""),"0",""),"-",""))+LEN(SUBSTITUTE(SUBSTITUTE(SUBSTITUTE(N4," ",""),"0",""),"-",""))))),0,(LEN(SUBSTITUTE(SUBSTITUTE(SUBSTITUTE(J4," ",""),"0",""),"-",""))+LEN(SUBSTITUTE(SUBSTITUTE(SUBSTITUTE(K4," ",""),"0",""),"-",""))&lt;LEN(SUBSTITUTE(SUBSTITUTE(SUBSTITUTE(M4," ",""),"0",""),"-",""))+LEN(SUBSTITUTE(SUBSTITUTE(SUBSTITUTE(N4," ",""),"0",""),"-","")))*1),0)+IF(OR(COUNTA(J5,K5,M5,N5)&gt;0,OR(L5="X",L5="x")),IF(OR(L5="X",L5="x",AND(OR(COUNTA(J5,K5,M5,N5)&gt;0,OR(L5="X",L5="x")),(LEN(SUBSTITUTE(SUBSTITUTE(SUBSTITUTE(J5," ",""),"0",""),"-",""))+LEN(SUBSTITUTE(SUBSTITUTE(SUBSTITUTE(K5," ",""),"0",""),"-","")))=(LEN(SUBSTITUTE(SUBSTITUTE(SUBSTITUTE(M5," ",""),"0",""),"-",""))+LEN(SUBSTITUTE(SUBSTITUTE(SUBSTITUTE(N5," ",""),"0",""),"-",""))))),0,(LEN(SUBSTITUTE(SUBSTITUTE(SUBSTITUTE(J5," ",""),"0",""),"-",""))+LEN(SUBSTITUTE(SUBSTITUTE(SUBSTITUTE(K5," ",""),"0",""),"-",""))&lt;LEN(SUBSTITUTE(SUBSTITUTE(SUBSTITUTE(M5," ",""),"0",""),"-",""))+LEN(SUBSTITUTE(SUBSTITUTE(SUBSTITUTE(N5," ",""),"0",""),"-","")))*1),0)</f>
      </c>
      <c r="L12" s="14" t="str">
        <f>IF(OR(COUNTA(J4,K4,M4,N4)&gt;0,OR(L4="X",L4="x")),IF(OR(L4="X",L4="x",AND(OR(COUNTA(J4,K4,M4,N4)&gt;0,OR(L4="X",L4="x")),(LEN(SUBSTITUTE(SUBSTITUTE(SUBSTITUTE(J4," ",""),"0",""),"-",""))+LEN(SUBSTITUTE(SUBSTITUTE(SUBSTITUTE(K4," ",""),"0",""),"-","")))=(LEN(SUBSTITUTE(SUBSTITUTE(SUBSTITUTE(M4," ",""),"0",""),"-",""))+LEN(SUBSTITUTE(SUBSTITUTE(SUBSTITUTE(N4," ",""),"0",""),"-",""))))),1,0),0)+IF(OR(COUNTA(J5,K5,M5,N5)&gt;0,OR(L5="X",L5="x")),IF(OR(L5="X",L5="x",AND(OR(COUNTA(J5,K5,M5,N5)&gt;0,OR(L5="X",L5="x")),(LEN(SUBSTITUTE(SUBSTITUTE(SUBSTITUTE(J5," ",""),"0",""),"-",""))+LEN(SUBSTITUTE(SUBSTITUTE(SUBSTITUTE(K5," ",""),"0",""),"-","")))=(LEN(SUBSTITUTE(SUBSTITUTE(SUBSTITUTE(M5," ",""),"0",""),"-",""))+LEN(SUBSTITUTE(SUBSTITUTE(SUBSTITUTE(N5," ",""),"0",""),"-",""))))),1,0),0)</f>
      </c>
      <c r="M12" s="14" t="str">
        <f>LEN(SUBSTITUTE(SUBSTITUTE(SUBSTITUTE(J4," ",""),"0",""),"-",""))+LEN(SUBSTITUTE(SUBSTITUTE(SUBSTITUTE(K4," ",""),"0",""),"-",""))+LEN(SUBSTITUTE(SUBSTITUTE(SUBSTITUTE(J5," ",""),"0",""),"-",""))+LEN(SUBSTITUTE(SUBSTITUTE(SUBSTITUTE(K5," ",""),"0",""),"-",""))</f>
      </c>
      <c r="N12" s="14" t="str">
        <f>LEN(SUBSTITUTE(SUBSTITUTE(SUBSTITUTE(M4," ",""),"0",""),"-",""))+LEN(SUBSTITUTE(SUBSTITUTE(SUBSTITUTE(N4," ",""),"0",""),"-",""))+LEN(SUBSTITUTE(SUBSTITUTE(SUBSTITUTE(M5," ",""),"0",""),"-",""))+LEN(SUBSTITUTE(SUBSTITUTE(SUBSTITUTE(N5," ",""),"0",""),"-",""))</f>
      </c>
      <c r="O12" s="18" t="str">
        <f>RANK(AC12,$AC$11:$AC$15)+COUNTIF($AC$10:AC11,AC12)</f>
      </c>
      <c r="U12" t="str">
        <f>(B12*1000000)-(C12*10000)+(D12*100)+(E12*1)-(F12*0.01)</f>
      </c>
      <c r="AC12" t="str">
        <f>(J12*1000000)-(K12*10000)+(L12*100)+(M12*1)-(N12*0.01)</f>
      </c>
    </row>
    <row r="13">
      <c r="A13" s="14" t="str">
        <f>data!$E$5&amp;" "&amp;data!$B$5</f>
      </c>
      <c r="B13" s="14" t="str">
        <f>IF(OR(COUNTA(B5,C5,E5,F5)&gt;0,OR(D5="X",D5="x")),IF(OR(D5="X",D5="x",AND(OR(COUNTA(B5,C5,E5,F5)&gt;0,OR(D5="X",D5="x")),(LEN(SUBSTITUTE(SUBSTITUTE(SUBSTITUTE(B5," ",""),"0",""),"-",""))+LEN(SUBSTITUTE(SUBSTITUTE(SUBSTITUTE(C5," ",""),"0",""),"-","")))=(LEN(SUBSTITUTE(SUBSTITUTE(SUBSTITUTE(E5," ",""),"0",""),"-",""))+LEN(SUBSTITUTE(SUBSTITUTE(SUBSTITUTE(F5," ",""),"0",""),"-",""))))),0,(LEN(SUBSTITUTE(SUBSTITUTE(SUBSTITUTE(E5," ",""),"0",""),"-",""))+LEN(SUBSTITUTE(SUBSTITUTE(SUBSTITUTE(F5," ",""),"0",""),"-",""))&gt;LEN(SUBSTITUTE(SUBSTITUTE(SUBSTITUTE(B5," ",""),"0",""),"-",""))+LEN(SUBSTITUTE(SUBSTITUTE(SUBSTITUTE(C5," ",""),"0",""),"-","")))*1),0)+IF(OR(COUNTA(B6,C6,E6,F6)&gt;0,OR(D6="X",D6="x")),IF(OR(D6="X",D6="x",AND(OR(COUNTA(B6,C6,E6,F6)&gt;0,OR(D6="X",D6="x")),(LEN(SUBSTITUTE(SUBSTITUTE(SUBSTITUTE(B6," ",""),"0",""),"-",""))+LEN(SUBSTITUTE(SUBSTITUTE(SUBSTITUTE(C6," ",""),"0",""),"-","")))=(LEN(SUBSTITUTE(SUBSTITUTE(SUBSTITUTE(E6," ",""),"0",""),"-",""))+LEN(SUBSTITUTE(SUBSTITUTE(SUBSTITUTE(F6," ",""),"0",""),"-",""))))),0,(LEN(SUBSTITUTE(SUBSTITUTE(SUBSTITUTE(E6," ",""),"0",""),"-",""))+LEN(SUBSTITUTE(SUBSTITUTE(SUBSTITUTE(F6," ",""),"0",""),"-",""))&gt;LEN(SUBSTITUTE(SUBSTITUTE(SUBSTITUTE(B6," ",""),"0",""),"-",""))+LEN(SUBSTITUTE(SUBSTITUTE(SUBSTITUTE(C6," ",""),"0",""),"-","")))*1),0)</f>
      </c>
      <c r="C13" s="14" t="str">
        <f>IF(OR(COUNTA(B5,C5,E5,F5)&gt;0,OR(D5="X",D5="x")),IF(OR(D5="X",D5="x",AND(OR(COUNTA(B5,C5,E5,F5)&gt;0,OR(D5="X",D5="x")),(LEN(SUBSTITUTE(SUBSTITUTE(SUBSTITUTE(B5," ",""),"0",""),"-",""))+LEN(SUBSTITUTE(SUBSTITUTE(SUBSTITUTE(C5," ",""),"0",""),"-","")))=(LEN(SUBSTITUTE(SUBSTITUTE(SUBSTITUTE(E5," ",""),"0",""),"-",""))+LEN(SUBSTITUTE(SUBSTITUTE(SUBSTITUTE(F5," ",""),"0",""),"-",""))))),0,(LEN(SUBSTITUTE(SUBSTITUTE(SUBSTITUTE(E5," ",""),"0",""),"-",""))+LEN(SUBSTITUTE(SUBSTITUTE(SUBSTITUTE(F5," ",""),"0",""),"-",""))&lt;LEN(SUBSTITUTE(SUBSTITUTE(SUBSTITUTE(B5," ",""),"0",""),"-",""))+LEN(SUBSTITUTE(SUBSTITUTE(SUBSTITUTE(C5," ",""),"0",""),"-","")))*1),0)+IF(OR(COUNTA(B6,C6,E6,F6)&gt;0,OR(D6="X",D6="x")),IF(OR(D6="X",D6="x",AND(OR(COUNTA(B6,C6,E6,F6)&gt;0,OR(D6="X",D6="x")),(LEN(SUBSTITUTE(SUBSTITUTE(SUBSTITUTE(B6," ",""),"0",""),"-",""))+LEN(SUBSTITUTE(SUBSTITUTE(SUBSTITUTE(C6," ",""),"0",""),"-","")))=(LEN(SUBSTITUTE(SUBSTITUTE(SUBSTITUTE(E6," ",""),"0",""),"-",""))+LEN(SUBSTITUTE(SUBSTITUTE(SUBSTITUTE(F6," ",""),"0",""),"-",""))))),0,(LEN(SUBSTITUTE(SUBSTITUTE(SUBSTITUTE(E6," ",""),"0",""),"-",""))+LEN(SUBSTITUTE(SUBSTITUTE(SUBSTITUTE(F6," ",""),"0",""),"-",""))&lt;LEN(SUBSTITUTE(SUBSTITUTE(SUBSTITUTE(B6," ",""),"0",""),"-",""))+LEN(SUBSTITUTE(SUBSTITUTE(SUBSTITUTE(C6," ",""),"0",""),"-","")))*1),0)</f>
      </c>
      <c r="D13" s="14" t="str">
        <f>IF(OR(COUNTA(B5,C5,E5,F5)&gt;0,OR(D5="X",D5="x")),IF(OR(D5="X",D5="x",AND(OR(COUNTA(B5,C5,E5,F5)&gt;0,OR(D5="X",D5="x")),(LEN(SUBSTITUTE(SUBSTITUTE(SUBSTITUTE(B5," ",""),"0",""),"-",""))+LEN(SUBSTITUTE(SUBSTITUTE(SUBSTITUTE(C5," ",""),"0",""),"-","")))=(LEN(SUBSTITUTE(SUBSTITUTE(SUBSTITUTE(E5," ",""),"0",""),"-",""))+LEN(SUBSTITUTE(SUBSTITUTE(SUBSTITUTE(F5," ",""),"0",""),"-",""))))),1,0),0)+IF(OR(COUNTA(B6,C6,E6,F6)&gt;0,OR(D6="X",D6="x")),IF(OR(D6="X",D6="x",AND(OR(COUNTA(B6,C6,E6,F6)&gt;0,OR(D6="X",D6="x")),(LEN(SUBSTITUTE(SUBSTITUTE(SUBSTITUTE(B6," ",""),"0",""),"-",""))+LEN(SUBSTITUTE(SUBSTITUTE(SUBSTITUTE(C6," ",""),"0",""),"-","")))=(LEN(SUBSTITUTE(SUBSTITUTE(SUBSTITUTE(E6," ",""),"0",""),"-",""))+LEN(SUBSTITUTE(SUBSTITUTE(SUBSTITUTE(F6," ",""),"0",""),"-",""))))),1,0),0)</f>
      </c>
      <c r="E13" s="14" t="str">
        <f>LEN(SUBSTITUTE(SUBSTITUTE(SUBSTITUTE(E5," ",""),"0",""),"-",""))+LEN(SUBSTITUTE(SUBSTITUTE(SUBSTITUTE(F5," ",""),"0",""),"-",""))+LEN(SUBSTITUTE(SUBSTITUTE(SUBSTITUTE(E6," ",""),"0",""),"-",""))+LEN(SUBSTITUTE(SUBSTITUTE(SUBSTITUTE(F6," ",""),"0",""),"-",""))</f>
      </c>
      <c r="F13" s="14" t="str">
        <f>LEN(SUBSTITUTE(SUBSTITUTE(SUBSTITUTE(B5," ",""),"0",""),"-",""))+LEN(SUBSTITUTE(SUBSTITUTE(SUBSTITUTE(C5," ",""),"0",""),"-",""))+LEN(SUBSTITUTE(SUBSTITUTE(SUBSTITUTE(B6," ",""),"0",""),"-",""))+LEN(SUBSTITUTE(SUBSTITUTE(SUBSTITUTE(C6," ",""),"0",""),"-",""))</f>
      </c>
      <c r="G13" s="18" t="str">
        <f>RANK(U13,$U$11:$U$15)+COUNTIF($U$10:U12,U13)</f>
      </c>
      <c r="I13" s="14" t="str">
        <f>data!$E$19&amp;" "&amp;data!$B$19</f>
      </c>
      <c r="J13" s="14" t="str">
        <f>IF(OR(COUNTA(J5,K5,M5,N5)&gt;0,OR(L5="X",L5="x")),IF(OR(L5="X",L5="x",AND(OR(COUNTA(J5,K5,M5,N5)&gt;0,OR(L5="X",L5="x")),(LEN(SUBSTITUTE(SUBSTITUTE(SUBSTITUTE(J5," ",""),"0",""),"-",""))+LEN(SUBSTITUTE(SUBSTITUTE(SUBSTITUTE(K5," ",""),"0",""),"-","")))=(LEN(SUBSTITUTE(SUBSTITUTE(SUBSTITUTE(M5," ",""),"0",""),"-",""))+LEN(SUBSTITUTE(SUBSTITUTE(SUBSTITUTE(N5," ",""),"0",""),"-",""))))),0,(LEN(SUBSTITUTE(SUBSTITUTE(SUBSTITUTE(M5," ",""),"0",""),"-",""))+LEN(SUBSTITUTE(SUBSTITUTE(SUBSTITUTE(N5," ",""),"0",""),"-",""))&gt;LEN(SUBSTITUTE(SUBSTITUTE(SUBSTITUTE(J5," ",""),"0",""),"-",""))+LEN(SUBSTITUTE(SUBSTITUTE(SUBSTITUTE(K5," ",""),"0",""),"-","")))*1),0)+IF(OR(COUNTA(J6,K6,M6,N6)&gt;0,OR(L6="X",L6="x")),IF(OR(L6="X",L6="x",AND(OR(COUNTA(J6,K6,M6,N6)&gt;0,OR(L6="X",L6="x")),(LEN(SUBSTITUTE(SUBSTITUTE(SUBSTITUTE(J6," ",""),"0",""),"-",""))+LEN(SUBSTITUTE(SUBSTITUTE(SUBSTITUTE(K6," ",""),"0",""),"-","")))=(LEN(SUBSTITUTE(SUBSTITUTE(SUBSTITUTE(M6," ",""),"0",""),"-",""))+LEN(SUBSTITUTE(SUBSTITUTE(SUBSTITUTE(N6," ",""),"0",""),"-",""))))),0,(LEN(SUBSTITUTE(SUBSTITUTE(SUBSTITUTE(M6," ",""),"0",""),"-",""))+LEN(SUBSTITUTE(SUBSTITUTE(SUBSTITUTE(N6," ",""),"0",""),"-",""))&gt;LEN(SUBSTITUTE(SUBSTITUTE(SUBSTITUTE(J6," ",""),"0",""),"-",""))+LEN(SUBSTITUTE(SUBSTITUTE(SUBSTITUTE(K6," ",""),"0",""),"-","")))*1),0)</f>
      </c>
      <c r="K13" s="14" t="str">
        <f>IF(OR(COUNTA(J5,K5,M5,N5)&gt;0,OR(L5="X",L5="x")),IF(OR(L5="X",L5="x",AND(OR(COUNTA(J5,K5,M5,N5)&gt;0,OR(L5="X",L5="x")),(LEN(SUBSTITUTE(SUBSTITUTE(SUBSTITUTE(J5," ",""),"0",""),"-",""))+LEN(SUBSTITUTE(SUBSTITUTE(SUBSTITUTE(K5," ",""),"0",""),"-","")))=(LEN(SUBSTITUTE(SUBSTITUTE(SUBSTITUTE(M5," ",""),"0",""),"-",""))+LEN(SUBSTITUTE(SUBSTITUTE(SUBSTITUTE(N5," ",""),"0",""),"-",""))))),0,(LEN(SUBSTITUTE(SUBSTITUTE(SUBSTITUTE(M5," ",""),"0",""),"-",""))+LEN(SUBSTITUTE(SUBSTITUTE(SUBSTITUTE(N5," ",""),"0",""),"-",""))&lt;LEN(SUBSTITUTE(SUBSTITUTE(SUBSTITUTE(J5," ",""),"0",""),"-",""))+LEN(SUBSTITUTE(SUBSTITUTE(SUBSTITUTE(K5," ",""),"0",""),"-","")))*1),0)+IF(OR(COUNTA(J6,K6,M6,N6)&gt;0,OR(L6="X",L6="x")),IF(OR(L6="X",L6="x",AND(OR(COUNTA(J6,K6,M6,N6)&gt;0,OR(L6="X",L6="x")),(LEN(SUBSTITUTE(SUBSTITUTE(SUBSTITUTE(J6," ",""),"0",""),"-",""))+LEN(SUBSTITUTE(SUBSTITUTE(SUBSTITUTE(K6," ",""),"0",""),"-","")))=(LEN(SUBSTITUTE(SUBSTITUTE(SUBSTITUTE(M6," ",""),"0",""),"-",""))+LEN(SUBSTITUTE(SUBSTITUTE(SUBSTITUTE(N6," ",""),"0",""),"-",""))))),0,(LEN(SUBSTITUTE(SUBSTITUTE(SUBSTITUTE(M6," ",""),"0",""),"-",""))+LEN(SUBSTITUTE(SUBSTITUTE(SUBSTITUTE(N6," ",""),"0",""),"-",""))&lt;LEN(SUBSTITUTE(SUBSTITUTE(SUBSTITUTE(J6," ",""),"0",""),"-",""))+LEN(SUBSTITUTE(SUBSTITUTE(SUBSTITUTE(K6," ",""),"0",""),"-","")))*1),0)</f>
      </c>
      <c r="L13" s="14" t="str">
        <f>IF(OR(COUNTA(J5,K5,M5,N5)&gt;0,OR(L5="X",L5="x")),IF(OR(L5="X",L5="x",AND(OR(COUNTA(J5,K5,M5,N5)&gt;0,OR(L5="X",L5="x")),(LEN(SUBSTITUTE(SUBSTITUTE(SUBSTITUTE(J5," ",""),"0",""),"-",""))+LEN(SUBSTITUTE(SUBSTITUTE(SUBSTITUTE(K5," ",""),"0",""),"-","")))=(LEN(SUBSTITUTE(SUBSTITUTE(SUBSTITUTE(M5," ",""),"0",""),"-",""))+LEN(SUBSTITUTE(SUBSTITUTE(SUBSTITUTE(N5," ",""),"0",""),"-",""))))),1,0),0)+IF(OR(COUNTA(J6,K6,M6,N6)&gt;0,OR(L6="X",L6="x")),IF(OR(L6="X",L6="x",AND(OR(COUNTA(J6,K6,M6,N6)&gt;0,OR(L6="X",L6="x")),(LEN(SUBSTITUTE(SUBSTITUTE(SUBSTITUTE(J6," ",""),"0",""),"-",""))+LEN(SUBSTITUTE(SUBSTITUTE(SUBSTITUTE(K6," ",""),"0",""),"-","")))=(LEN(SUBSTITUTE(SUBSTITUTE(SUBSTITUTE(M6," ",""),"0",""),"-",""))+LEN(SUBSTITUTE(SUBSTITUTE(SUBSTITUTE(N6," ",""),"0",""),"-",""))))),1,0),0)</f>
      </c>
      <c r="M13" s="14" t="str">
        <f>LEN(SUBSTITUTE(SUBSTITUTE(SUBSTITUTE(M5," ",""),"0",""),"-",""))+LEN(SUBSTITUTE(SUBSTITUTE(SUBSTITUTE(N5," ",""),"0",""),"-",""))+LEN(SUBSTITUTE(SUBSTITUTE(SUBSTITUTE(M6," ",""),"0",""),"-",""))+LEN(SUBSTITUTE(SUBSTITUTE(SUBSTITUTE(N6," ",""),"0",""),"-",""))</f>
      </c>
      <c r="N13" s="14" t="str">
        <f>LEN(SUBSTITUTE(SUBSTITUTE(SUBSTITUTE(J5," ",""),"0",""),"-",""))+LEN(SUBSTITUTE(SUBSTITUTE(SUBSTITUTE(K5," ",""),"0",""),"-",""))+LEN(SUBSTITUTE(SUBSTITUTE(SUBSTITUTE(J6," ",""),"0",""),"-",""))+LEN(SUBSTITUTE(SUBSTITUTE(SUBSTITUTE(K6," ",""),"0",""),"-",""))</f>
      </c>
      <c r="O13" s="18" t="str">
        <f>RANK(AC13,$AC$11:$AC$15)+COUNTIF($AC$10:AC12,AC13)</f>
      </c>
      <c r="U13" t="str">
        <f>(B13*1000000)-(C13*10000)+(D13*100)+(E13*1)-(F13*0.01)</f>
      </c>
      <c r="AC13" t="str">
        <f>(J13*1000000)-(K13*10000)+(L13*100)+(M13*1)-(N13*0.01)</f>
      </c>
    </row>
    <row r="14">
      <c r="A14" s="14" t="str">
        <f>data!$E$6&amp;" "&amp;data!$B$6</f>
      </c>
      <c r="B14" s="14" t="str">
        <f>IF(OR(COUNTA(B6,C6,E6,F6)&gt;0,OR(D6="X",D6="x")),IF(OR(D6="X",D6="x",AND(OR(COUNTA(B6,C6,E6,F6)&gt;0,OR(D6="X",D6="x")),(LEN(SUBSTITUTE(SUBSTITUTE(SUBSTITUTE(B6," ",""),"0",""),"-",""))+LEN(SUBSTITUTE(SUBSTITUTE(SUBSTITUTE(C6," ",""),"0",""),"-","")))=(LEN(SUBSTITUTE(SUBSTITUTE(SUBSTITUTE(E6," ",""),"0",""),"-",""))+LEN(SUBSTITUTE(SUBSTITUTE(SUBSTITUTE(F6," ",""),"0",""),"-",""))))),0,(LEN(SUBSTITUTE(SUBSTITUTE(SUBSTITUTE(B6," ",""),"0",""),"-",""))+LEN(SUBSTITUTE(SUBSTITUTE(SUBSTITUTE(C6," ",""),"0",""),"-",""))&gt;LEN(SUBSTITUTE(SUBSTITUTE(SUBSTITUTE(E6," ",""),"0",""),"-",""))+LEN(SUBSTITUTE(SUBSTITUTE(SUBSTITUTE(F6," ",""),"0",""),"-","")))*1),0)+IF(OR(COUNTA(B7,C7,E7,F7)&gt;0,OR(D7="X",D7="x")),IF(OR(D7="X",D7="x",AND(OR(COUNTA(B7,C7,E7,F7)&gt;0,OR(D7="X",D7="x")),(LEN(SUBSTITUTE(SUBSTITUTE(SUBSTITUTE(B7," ",""),"0",""),"-",""))+LEN(SUBSTITUTE(SUBSTITUTE(SUBSTITUTE(C7," ",""),"0",""),"-","")))=(LEN(SUBSTITUTE(SUBSTITUTE(SUBSTITUTE(E7," ",""),"0",""),"-",""))+LEN(SUBSTITUTE(SUBSTITUTE(SUBSTITUTE(F7," ",""),"0",""),"-",""))))),0,(LEN(SUBSTITUTE(SUBSTITUTE(SUBSTITUTE(B7," ",""),"0",""),"-",""))+LEN(SUBSTITUTE(SUBSTITUTE(SUBSTITUTE(C7," ",""),"0",""),"-",""))&gt;LEN(SUBSTITUTE(SUBSTITUTE(SUBSTITUTE(E7," ",""),"0",""),"-",""))+LEN(SUBSTITUTE(SUBSTITUTE(SUBSTITUTE(F7," ",""),"0",""),"-","")))*1),0)</f>
      </c>
      <c r="C14" s="14" t="str">
        <f>IF(OR(COUNTA(B6,C6,E6,F6)&gt;0,OR(D6="X",D6="x")),IF(OR(D6="X",D6="x",AND(OR(COUNTA(B6,C6,E6,F6)&gt;0,OR(D6="X",D6="x")),(LEN(SUBSTITUTE(SUBSTITUTE(SUBSTITUTE(B6," ",""),"0",""),"-",""))+LEN(SUBSTITUTE(SUBSTITUTE(SUBSTITUTE(C6," ",""),"0",""),"-","")))=(LEN(SUBSTITUTE(SUBSTITUTE(SUBSTITUTE(E6," ",""),"0",""),"-",""))+LEN(SUBSTITUTE(SUBSTITUTE(SUBSTITUTE(F6," ",""),"0",""),"-",""))))),0,(LEN(SUBSTITUTE(SUBSTITUTE(SUBSTITUTE(B6," ",""),"0",""),"-",""))+LEN(SUBSTITUTE(SUBSTITUTE(SUBSTITUTE(C6," ",""),"0",""),"-",""))&lt;LEN(SUBSTITUTE(SUBSTITUTE(SUBSTITUTE(E6," ",""),"0",""),"-",""))+LEN(SUBSTITUTE(SUBSTITUTE(SUBSTITUTE(F6," ",""),"0",""),"-","")))*1),0)+IF(OR(COUNTA(B7,C7,E7,F7)&gt;0,OR(D7="X",D7="x")),IF(OR(D7="X",D7="x",AND(OR(COUNTA(B7,C7,E7,F7)&gt;0,OR(D7="X",D7="x")),(LEN(SUBSTITUTE(SUBSTITUTE(SUBSTITUTE(B7," ",""),"0",""),"-",""))+LEN(SUBSTITUTE(SUBSTITUTE(SUBSTITUTE(C7," ",""),"0",""),"-","")))=(LEN(SUBSTITUTE(SUBSTITUTE(SUBSTITUTE(E7," ",""),"0",""),"-",""))+LEN(SUBSTITUTE(SUBSTITUTE(SUBSTITUTE(F7," ",""),"0",""),"-",""))))),0,(LEN(SUBSTITUTE(SUBSTITUTE(SUBSTITUTE(B7," ",""),"0",""),"-",""))+LEN(SUBSTITUTE(SUBSTITUTE(SUBSTITUTE(C7," ",""),"0",""),"-",""))&lt;LEN(SUBSTITUTE(SUBSTITUTE(SUBSTITUTE(E7," ",""),"0",""),"-",""))+LEN(SUBSTITUTE(SUBSTITUTE(SUBSTITUTE(F7," ",""),"0",""),"-","")))*1),0)</f>
      </c>
      <c r="D14" s="14" t="str">
        <f>IF(OR(COUNTA(B6,C6,E6,F6)&gt;0,OR(D6="X",D6="x")),IF(OR(D6="X",D6="x",AND(OR(COUNTA(B6,C6,E6,F6)&gt;0,OR(D6="X",D6="x")),(LEN(SUBSTITUTE(SUBSTITUTE(SUBSTITUTE(B6," ",""),"0",""),"-",""))+LEN(SUBSTITUTE(SUBSTITUTE(SUBSTITUTE(C6," ",""),"0",""),"-","")))=(LEN(SUBSTITUTE(SUBSTITUTE(SUBSTITUTE(E6," ",""),"0",""),"-",""))+LEN(SUBSTITUTE(SUBSTITUTE(SUBSTITUTE(F6," ",""),"0",""),"-",""))))),1,0),0)+IF(OR(COUNTA(B7,C7,E7,F7)&gt;0,OR(D7="X",D7="x")),IF(OR(D7="X",D7="x",AND(OR(COUNTA(B7,C7,E7,F7)&gt;0,OR(D7="X",D7="x")),(LEN(SUBSTITUTE(SUBSTITUTE(SUBSTITUTE(B7," ",""),"0",""),"-",""))+LEN(SUBSTITUTE(SUBSTITUTE(SUBSTITUTE(C7," ",""),"0",""),"-","")))=(LEN(SUBSTITUTE(SUBSTITUTE(SUBSTITUTE(E7," ",""),"0",""),"-",""))+LEN(SUBSTITUTE(SUBSTITUTE(SUBSTITUTE(F7," ",""),"0",""),"-",""))))),1,0),0)</f>
      </c>
      <c r="E14" s="14" t="str">
        <f>LEN(SUBSTITUTE(SUBSTITUTE(SUBSTITUTE(B6," ",""),"0",""),"-",""))+LEN(SUBSTITUTE(SUBSTITUTE(SUBSTITUTE(C6," ",""),"0",""),"-",""))+LEN(SUBSTITUTE(SUBSTITUTE(SUBSTITUTE(B7," ",""),"0",""),"-",""))+LEN(SUBSTITUTE(SUBSTITUTE(SUBSTITUTE(C7," ",""),"0",""),"-",""))</f>
      </c>
      <c r="F14" s="14" t="str">
        <f>LEN(SUBSTITUTE(SUBSTITUTE(SUBSTITUTE(E6," ",""),"0",""),"-",""))+LEN(SUBSTITUTE(SUBSTITUTE(SUBSTITUTE(F6," ",""),"0",""),"-",""))+LEN(SUBSTITUTE(SUBSTITUTE(SUBSTITUTE(E7," ",""),"0",""),"-",""))+LEN(SUBSTITUTE(SUBSTITUTE(SUBSTITUTE(F7," ",""),"0",""),"-",""))</f>
      </c>
      <c r="G14" s="18" t="str">
        <f>RANK(U14,$U$11:$U$15)+COUNTIF($U$10:U13,U14)</f>
      </c>
      <c r="I14" s="14" t="str">
        <f>data!$E$20&amp;" "&amp;data!$B$20</f>
      </c>
      <c r="J14" s="14" t="str">
        <f>IF(OR(COUNTA(J6,K6,M6,N6)&gt;0,OR(L6="X",L6="x")),IF(OR(L6="X",L6="x",AND(OR(COUNTA(J6,K6,M6,N6)&gt;0,OR(L6="X",L6="x")),(LEN(SUBSTITUTE(SUBSTITUTE(SUBSTITUTE(J6," ",""),"0",""),"-",""))+LEN(SUBSTITUTE(SUBSTITUTE(SUBSTITUTE(K6," ",""),"0",""),"-","")))=(LEN(SUBSTITUTE(SUBSTITUTE(SUBSTITUTE(M6," ",""),"0",""),"-",""))+LEN(SUBSTITUTE(SUBSTITUTE(SUBSTITUTE(N6," ",""),"0",""),"-",""))))),0,(LEN(SUBSTITUTE(SUBSTITUTE(SUBSTITUTE(J6," ",""),"0",""),"-",""))+LEN(SUBSTITUTE(SUBSTITUTE(SUBSTITUTE(K6," ",""),"0",""),"-",""))&gt;LEN(SUBSTITUTE(SUBSTITUTE(SUBSTITUTE(M6," ",""),"0",""),"-",""))+LEN(SUBSTITUTE(SUBSTITUTE(SUBSTITUTE(N6," ",""),"0",""),"-","")))*1),0)+IF(OR(COUNTA(J7,K7,M7,N7)&gt;0,OR(L7="X",L7="x")),IF(OR(L7="X",L7="x",AND(OR(COUNTA(J7,K7,M7,N7)&gt;0,OR(L7="X",L7="x")),(LEN(SUBSTITUTE(SUBSTITUTE(SUBSTITUTE(J7," ",""),"0",""),"-",""))+LEN(SUBSTITUTE(SUBSTITUTE(SUBSTITUTE(K7," ",""),"0",""),"-","")))=(LEN(SUBSTITUTE(SUBSTITUTE(SUBSTITUTE(M7," ",""),"0",""),"-",""))+LEN(SUBSTITUTE(SUBSTITUTE(SUBSTITUTE(N7," ",""),"0",""),"-",""))))),0,(LEN(SUBSTITUTE(SUBSTITUTE(SUBSTITUTE(J7," ",""),"0",""),"-",""))+LEN(SUBSTITUTE(SUBSTITUTE(SUBSTITUTE(K7," ",""),"0",""),"-",""))&gt;LEN(SUBSTITUTE(SUBSTITUTE(SUBSTITUTE(M7," ",""),"0",""),"-",""))+LEN(SUBSTITUTE(SUBSTITUTE(SUBSTITUTE(N7," ",""),"0",""),"-","")))*1),0)</f>
      </c>
      <c r="K14" s="14" t="str">
        <f>IF(OR(COUNTA(J6,K6,M6,N6)&gt;0,OR(L6="X",L6="x")),IF(OR(L6="X",L6="x",AND(OR(COUNTA(J6,K6,M6,N6)&gt;0,OR(L6="X",L6="x")),(LEN(SUBSTITUTE(SUBSTITUTE(SUBSTITUTE(J6," ",""),"0",""),"-",""))+LEN(SUBSTITUTE(SUBSTITUTE(SUBSTITUTE(K6," ",""),"0",""),"-","")))=(LEN(SUBSTITUTE(SUBSTITUTE(SUBSTITUTE(M6," ",""),"0",""),"-",""))+LEN(SUBSTITUTE(SUBSTITUTE(SUBSTITUTE(N6," ",""),"0",""),"-",""))))),0,(LEN(SUBSTITUTE(SUBSTITUTE(SUBSTITUTE(J6," ",""),"0",""),"-",""))+LEN(SUBSTITUTE(SUBSTITUTE(SUBSTITUTE(K6," ",""),"0",""),"-",""))&lt;LEN(SUBSTITUTE(SUBSTITUTE(SUBSTITUTE(M6," ",""),"0",""),"-",""))+LEN(SUBSTITUTE(SUBSTITUTE(SUBSTITUTE(N6," ",""),"0",""),"-","")))*1),0)+IF(OR(COUNTA(J7,K7,M7,N7)&gt;0,OR(L7="X",L7="x")),IF(OR(L7="X",L7="x",AND(OR(COUNTA(J7,K7,M7,N7)&gt;0,OR(L7="X",L7="x")),(LEN(SUBSTITUTE(SUBSTITUTE(SUBSTITUTE(J7," ",""),"0",""),"-",""))+LEN(SUBSTITUTE(SUBSTITUTE(SUBSTITUTE(K7," ",""),"0",""),"-","")))=(LEN(SUBSTITUTE(SUBSTITUTE(SUBSTITUTE(M7," ",""),"0",""),"-",""))+LEN(SUBSTITUTE(SUBSTITUTE(SUBSTITUTE(N7," ",""),"0",""),"-",""))))),0,(LEN(SUBSTITUTE(SUBSTITUTE(SUBSTITUTE(J7," ",""),"0",""),"-",""))+LEN(SUBSTITUTE(SUBSTITUTE(SUBSTITUTE(K7," ",""),"0",""),"-",""))&lt;LEN(SUBSTITUTE(SUBSTITUTE(SUBSTITUTE(M7," ",""),"0",""),"-",""))+LEN(SUBSTITUTE(SUBSTITUTE(SUBSTITUTE(N7," ",""),"0",""),"-","")))*1),0)</f>
      </c>
      <c r="L14" s="14" t="str">
        <f>IF(OR(COUNTA(J6,K6,M6,N6)&gt;0,OR(L6="X",L6="x")),IF(OR(L6="X",L6="x",AND(OR(COUNTA(J6,K6,M6,N6)&gt;0,OR(L6="X",L6="x")),(LEN(SUBSTITUTE(SUBSTITUTE(SUBSTITUTE(J6," ",""),"0",""),"-",""))+LEN(SUBSTITUTE(SUBSTITUTE(SUBSTITUTE(K6," ",""),"0",""),"-","")))=(LEN(SUBSTITUTE(SUBSTITUTE(SUBSTITUTE(M6," ",""),"0",""),"-",""))+LEN(SUBSTITUTE(SUBSTITUTE(SUBSTITUTE(N6," ",""),"0",""),"-",""))))),1,0),0)+IF(OR(COUNTA(J7,K7,M7,N7)&gt;0,OR(L7="X",L7="x")),IF(OR(L7="X",L7="x",AND(OR(COUNTA(J7,K7,M7,N7)&gt;0,OR(L7="X",L7="x")),(LEN(SUBSTITUTE(SUBSTITUTE(SUBSTITUTE(J7," ",""),"0",""),"-",""))+LEN(SUBSTITUTE(SUBSTITUTE(SUBSTITUTE(K7," ",""),"0",""),"-","")))=(LEN(SUBSTITUTE(SUBSTITUTE(SUBSTITUTE(M7," ",""),"0",""),"-",""))+LEN(SUBSTITUTE(SUBSTITUTE(SUBSTITUTE(N7," ",""),"0",""),"-",""))))),1,0),0)</f>
      </c>
      <c r="M14" s="14" t="str">
        <f>LEN(SUBSTITUTE(SUBSTITUTE(SUBSTITUTE(J6," ",""),"0",""),"-",""))+LEN(SUBSTITUTE(SUBSTITUTE(SUBSTITUTE(K6," ",""),"0",""),"-",""))+LEN(SUBSTITUTE(SUBSTITUTE(SUBSTITUTE(J7," ",""),"0",""),"-",""))+LEN(SUBSTITUTE(SUBSTITUTE(SUBSTITUTE(K7," ",""),"0",""),"-",""))</f>
      </c>
      <c r="N14" s="14" t="str">
        <f>LEN(SUBSTITUTE(SUBSTITUTE(SUBSTITUTE(M6," ",""),"0",""),"-",""))+LEN(SUBSTITUTE(SUBSTITUTE(SUBSTITUTE(N6," ",""),"0",""),"-",""))+LEN(SUBSTITUTE(SUBSTITUTE(SUBSTITUTE(M7," ",""),"0",""),"-",""))+LEN(SUBSTITUTE(SUBSTITUTE(SUBSTITUTE(N7," ",""),"0",""),"-",""))</f>
      </c>
      <c r="O14" s="18" t="str">
        <f>RANK(AC14,$AC$11:$AC$15)+COUNTIF($AC$10:AC13,AC14)</f>
      </c>
      <c r="U14" t="str">
        <f>(B14*1000000)-(C14*10000)+(D14*100)+(E14*1)-(F14*0.01)</f>
      </c>
      <c r="AC14" t="str">
        <f>(J14*1000000)-(K14*10000)+(L14*100)+(M14*1)-(N14*0.01)</f>
      </c>
    </row>
    <row r="15">
      <c r="A15" s="14" t="str">
        <f>data!$E$7&amp;" "&amp;data!$B$7</f>
      </c>
      <c r="B15" s="14" t="str">
        <f>IF(OR(COUNTA(B7,C7,E7,F7)&gt;0,OR(D7="X",D7="x")),IF(OR(D7="X",D7="x",AND(OR(COUNTA(B7,C7,E7,F7)&gt;0,OR(D7="X",D7="x")),(LEN(SUBSTITUTE(SUBSTITUTE(SUBSTITUTE(B7," ",""),"0",""),"-",""))+LEN(SUBSTITUTE(SUBSTITUTE(SUBSTITUTE(C7," ",""),"0",""),"-","")))=(LEN(SUBSTITUTE(SUBSTITUTE(SUBSTITUTE(E7," ",""),"0",""),"-",""))+LEN(SUBSTITUTE(SUBSTITUTE(SUBSTITUTE(F7," ",""),"0",""),"-",""))))),0,(LEN(SUBSTITUTE(SUBSTITUTE(SUBSTITUTE(E7," ",""),"0",""),"-",""))+LEN(SUBSTITUTE(SUBSTITUTE(SUBSTITUTE(F7," ",""),"0",""),"-",""))&gt;LEN(SUBSTITUTE(SUBSTITUTE(SUBSTITUTE(B7," ",""),"0",""),"-",""))+LEN(SUBSTITUTE(SUBSTITUTE(SUBSTITUTE(C7," ",""),"0",""),"-","")))*1),0)+IF(OR(COUNTA(B8,C8,E8,F8)&gt;0,OR(D8="X",D8="x")),IF(OR(D8="X",D8="x",AND(OR(COUNTA(B8,C8,E8,F8)&gt;0,OR(D8="X",D8="x")),(LEN(SUBSTITUTE(SUBSTITUTE(SUBSTITUTE(B8," ",""),"0",""),"-",""))+LEN(SUBSTITUTE(SUBSTITUTE(SUBSTITUTE(C8," ",""),"0",""),"-","")))=(LEN(SUBSTITUTE(SUBSTITUTE(SUBSTITUTE(E8," ",""),"0",""),"-",""))+LEN(SUBSTITUTE(SUBSTITUTE(SUBSTITUTE(F8," ",""),"0",""),"-",""))))),0,(LEN(SUBSTITUTE(SUBSTITUTE(SUBSTITUTE(E8," ",""),"0",""),"-",""))+LEN(SUBSTITUTE(SUBSTITUTE(SUBSTITUTE(F8," ",""),"0",""),"-",""))&gt;LEN(SUBSTITUTE(SUBSTITUTE(SUBSTITUTE(B8," ",""),"0",""),"-",""))+LEN(SUBSTITUTE(SUBSTITUTE(SUBSTITUTE(C8," ",""),"0",""),"-","")))*1),0)</f>
      </c>
      <c r="C15" s="14" t="str">
        <f>IF(OR(COUNTA(B7,C7,E7,F7)&gt;0,OR(D7="X",D7="x")),IF(OR(D7="X",D7="x",AND(OR(COUNTA(B7,C7,E7,F7)&gt;0,OR(D7="X",D7="x")),(LEN(SUBSTITUTE(SUBSTITUTE(SUBSTITUTE(B7," ",""),"0",""),"-",""))+LEN(SUBSTITUTE(SUBSTITUTE(SUBSTITUTE(C7," ",""),"0",""),"-","")))=(LEN(SUBSTITUTE(SUBSTITUTE(SUBSTITUTE(E7," ",""),"0",""),"-",""))+LEN(SUBSTITUTE(SUBSTITUTE(SUBSTITUTE(F7," ",""),"0",""),"-",""))))),0,(LEN(SUBSTITUTE(SUBSTITUTE(SUBSTITUTE(E7," ",""),"0",""),"-",""))+LEN(SUBSTITUTE(SUBSTITUTE(SUBSTITUTE(F7," ",""),"0",""),"-",""))&lt;LEN(SUBSTITUTE(SUBSTITUTE(SUBSTITUTE(B7," ",""),"0",""),"-",""))+LEN(SUBSTITUTE(SUBSTITUTE(SUBSTITUTE(C7," ",""),"0",""),"-","")))*1),0)+IF(OR(COUNTA(B8,C8,E8,F8)&gt;0,OR(D8="X",D8="x")),IF(OR(D8="X",D8="x",AND(OR(COUNTA(B8,C8,E8,F8)&gt;0,OR(D8="X",D8="x")),(LEN(SUBSTITUTE(SUBSTITUTE(SUBSTITUTE(B8," ",""),"0",""),"-",""))+LEN(SUBSTITUTE(SUBSTITUTE(SUBSTITUTE(C8," ",""),"0",""),"-","")))=(LEN(SUBSTITUTE(SUBSTITUTE(SUBSTITUTE(E8," ",""),"0",""),"-",""))+LEN(SUBSTITUTE(SUBSTITUTE(SUBSTITUTE(F8," ",""),"0",""),"-",""))))),0,(LEN(SUBSTITUTE(SUBSTITUTE(SUBSTITUTE(E8," ",""),"0",""),"-",""))+LEN(SUBSTITUTE(SUBSTITUTE(SUBSTITUTE(F8," ",""),"0",""),"-",""))&lt;LEN(SUBSTITUTE(SUBSTITUTE(SUBSTITUTE(B8," ",""),"0",""),"-",""))+LEN(SUBSTITUTE(SUBSTITUTE(SUBSTITUTE(C8," ",""),"0",""),"-","")))*1),0)</f>
      </c>
      <c r="D15" s="14" t="str">
        <f>IF(OR(COUNTA(B7,C7,E7,F7)&gt;0,OR(D7="X",D7="x")),IF(OR(D7="X",D7="x",AND(OR(COUNTA(B7,C7,E7,F7)&gt;0,OR(D7="X",D7="x")),(LEN(SUBSTITUTE(SUBSTITUTE(SUBSTITUTE(B7," ",""),"0",""),"-",""))+LEN(SUBSTITUTE(SUBSTITUTE(SUBSTITUTE(C7," ",""),"0",""),"-","")))=(LEN(SUBSTITUTE(SUBSTITUTE(SUBSTITUTE(E7," ",""),"0",""),"-",""))+LEN(SUBSTITUTE(SUBSTITUTE(SUBSTITUTE(F7," ",""),"0",""),"-",""))))),1,0),0)+IF(OR(COUNTA(B8,C8,E8,F8)&gt;0,OR(D8="X",D8="x")),IF(OR(D8="X",D8="x",AND(OR(COUNTA(B8,C8,E8,F8)&gt;0,OR(D8="X",D8="x")),(LEN(SUBSTITUTE(SUBSTITUTE(SUBSTITUTE(B8," ",""),"0",""),"-",""))+LEN(SUBSTITUTE(SUBSTITUTE(SUBSTITUTE(C8," ",""),"0",""),"-","")))=(LEN(SUBSTITUTE(SUBSTITUTE(SUBSTITUTE(E8," ",""),"0",""),"-",""))+LEN(SUBSTITUTE(SUBSTITUTE(SUBSTITUTE(F8," ",""),"0",""),"-",""))))),1,0),0)</f>
      </c>
      <c r="E15" s="14" t="str">
        <f>LEN(SUBSTITUTE(SUBSTITUTE(SUBSTITUTE(E7," ",""),"0",""),"-",""))+LEN(SUBSTITUTE(SUBSTITUTE(SUBSTITUTE(F7," ",""),"0",""),"-",""))+LEN(SUBSTITUTE(SUBSTITUTE(SUBSTITUTE(E8," ",""),"0",""),"-",""))+LEN(SUBSTITUTE(SUBSTITUTE(SUBSTITUTE(F8," ",""),"0",""),"-",""))</f>
      </c>
      <c r="F15" s="14" t="str">
        <f>LEN(SUBSTITUTE(SUBSTITUTE(SUBSTITUTE(B7," ",""),"0",""),"-",""))+LEN(SUBSTITUTE(SUBSTITUTE(SUBSTITUTE(C7," ",""),"0",""),"-",""))+LEN(SUBSTITUTE(SUBSTITUTE(SUBSTITUTE(B8," ",""),"0",""),"-",""))+LEN(SUBSTITUTE(SUBSTITUTE(SUBSTITUTE(C8," ",""),"0",""),"-",""))</f>
      </c>
      <c r="G15" s="18" t="str">
        <f>RANK(U15,$U$11:$U$15)+COUNTIF($U$10:U14,U15)</f>
      </c>
      <c r="I15" s="14" t="str">
        <f>data!$E$21&amp;" "&amp;data!$B$21</f>
      </c>
      <c r="J15" s="14" t="str">
        <f>IF(OR(COUNTA(J7,K7,M7,N7)&gt;0,OR(L7="X",L7="x")),IF(OR(L7="X",L7="x",AND(OR(COUNTA(J7,K7,M7,N7)&gt;0,OR(L7="X",L7="x")),(LEN(SUBSTITUTE(SUBSTITUTE(SUBSTITUTE(J7," ",""),"0",""),"-",""))+LEN(SUBSTITUTE(SUBSTITUTE(SUBSTITUTE(K7," ",""),"0",""),"-","")))=(LEN(SUBSTITUTE(SUBSTITUTE(SUBSTITUTE(M7," ",""),"0",""),"-",""))+LEN(SUBSTITUTE(SUBSTITUTE(SUBSTITUTE(N7," ",""),"0",""),"-",""))))),0,(LEN(SUBSTITUTE(SUBSTITUTE(SUBSTITUTE(M7," ",""),"0",""),"-",""))+LEN(SUBSTITUTE(SUBSTITUTE(SUBSTITUTE(N7," ",""),"0",""),"-",""))&gt;LEN(SUBSTITUTE(SUBSTITUTE(SUBSTITUTE(J7," ",""),"0",""),"-",""))+LEN(SUBSTITUTE(SUBSTITUTE(SUBSTITUTE(K7," ",""),"0",""),"-","")))*1),0)+IF(OR(COUNTA(J8,K8,M8,N8)&gt;0,OR(L8="X",L8="x")),IF(OR(L8="X",L8="x",AND(OR(COUNTA(J8,K8,M8,N8)&gt;0,OR(L8="X",L8="x")),(LEN(SUBSTITUTE(SUBSTITUTE(SUBSTITUTE(J8," ",""),"0",""),"-",""))+LEN(SUBSTITUTE(SUBSTITUTE(SUBSTITUTE(K8," ",""),"0",""),"-","")))=(LEN(SUBSTITUTE(SUBSTITUTE(SUBSTITUTE(M8," ",""),"0",""),"-",""))+LEN(SUBSTITUTE(SUBSTITUTE(SUBSTITUTE(N8," ",""),"0",""),"-",""))))),0,(LEN(SUBSTITUTE(SUBSTITUTE(SUBSTITUTE(M8," ",""),"0",""),"-",""))+LEN(SUBSTITUTE(SUBSTITUTE(SUBSTITUTE(N8," ",""),"0",""),"-",""))&gt;LEN(SUBSTITUTE(SUBSTITUTE(SUBSTITUTE(J8," ",""),"0",""),"-",""))+LEN(SUBSTITUTE(SUBSTITUTE(SUBSTITUTE(K8," ",""),"0",""),"-","")))*1),0)</f>
      </c>
      <c r="K15" s="14" t="str">
        <f>IF(OR(COUNTA(J7,K7,M7,N7)&gt;0,OR(L7="X",L7="x")),IF(OR(L7="X",L7="x",AND(OR(COUNTA(J7,K7,M7,N7)&gt;0,OR(L7="X",L7="x")),(LEN(SUBSTITUTE(SUBSTITUTE(SUBSTITUTE(J7," ",""),"0",""),"-",""))+LEN(SUBSTITUTE(SUBSTITUTE(SUBSTITUTE(K7," ",""),"0",""),"-","")))=(LEN(SUBSTITUTE(SUBSTITUTE(SUBSTITUTE(M7," ",""),"0",""),"-",""))+LEN(SUBSTITUTE(SUBSTITUTE(SUBSTITUTE(N7," ",""),"0",""),"-",""))))),0,(LEN(SUBSTITUTE(SUBSTITUTE(SUBSTITUTE(M7," ",""),"0",""),"-",""))+LEN(SUBSTITUTE(SUBSTITUTE(SUBSTITUTE(N7," ",""),"0",""),"-",""))&lt;LEN(SUBSTITUTE(SUBSTITUTE(SUBSTITUTE(J7," ",""),"0",""),"-",""))+LEN(SUBSTITUTE(SUBSTITUTE(SUBSTITUTE(K7," ",""),"0",""),"-","")))*1),0)+IF(OR(COUNTA(J8,K8,M8,N8)&gt;0,OR(L8="X",L8="x")),IF(OR(L8="X",L8="x",AND(OR(COUNTA(J8,K8,M8,N8)&gt;0,OR(L8="X",L8="x")),(LEN(SUBSTITUTE(SUBSTITUTE(SUBSTITUTE(J8," ",""),"0",""),"-",""))+LEN(SUBSTITUTE(SUBSTITUTE(SUBSTITUTE(K8," ",""),"0",""),"-","")))=(LEN(SUBSTITUTE(SUBSTITUTE(SUBSTITUTE(M8," ",""),"0",""),"-",""))+LEN(SUBSTITUTE(SUBSTITUTE(SUBSTITUTE(N8," ",""),"0",""),"-",""))))),0,(LEN(SUBSTITUTE(SUBSTITUTE(SUBSTITUTE(M8," ",""),"0",""),"-",""))+LEN(SUBSTITUTE(SUBSTITUTE(SUBSTITUTE(N8," ",""),"0",""),"-",""))&lt;LEN(SUBSTITUTE(SUBSTITUTE(SUBSTITUTE(J8," ",""),"0",""),"-",""))+LEN(SUBSTITUTE(SUBSTITUTE(SUBSTITUTE(K8," ",""),"0",""),"-","")))*1),0)</f>
      </c>
      <c r="L15" s="14" t="str">
        <f>IF(OR(COUNTA(J7,K7,M7,N7)&gt;0,OR(L7="X",L7="x")),IF(OR(L7="X",L7="x",AND(OR(COUNTA(J7,K7,M7,N7)&gt;0,OR(L7="X",L7="x")),(LEN(SUBSTITUTE(SUBSTITUTE(SUBSTITUTE(J7," ",""),"0",""),"-",""))+LEN(SUBSTITUTE(SUBSTITUTE(SUBSTITUTE(K7," ",""),"0",""),"-","")))=(LEN(SUBSTITUTE(SUBSTITUTE(SUBSTITUTE(M7," ",""),"0",""),"-",""))+LEN(SUBSTITUTE(SUBSTITUTE(SUBSTITUTE(N7," ",""),"0",""),"-",""))))),1,0),0)+IF(OR(COUNTA(J8,K8,M8,N8)&gt;0,OR(L8="X",L8="x")),IF(OR(L8="X",L8="x",AND(OR(COUNTA(J8,K8,M8,N8)&gt;0,OR(L8="X",L8="x")),(LEN(SUBSTITUTE(SUBSTITUTE(SUBSTITUTE(J8," ",""),"0",""),"-",""))+LEN(SUBSTITUTE(SUBSTITUTE(SUBSTITUTE(K8," ",""),"0",""),"-","")))=(LEN(SUBSTITUTE(SUBSTITUTE(SUBSTITUTE(M8," ",""),"0",""),"-",""))+LEN(SUBSTITUTE(SUBSTITUTE(SUBSTITUTE(N8," ",""),"0",""),"-",""))))),1,0),0)</f>
      </c>
      <c r="M15" s="14" t="str">
        <f>LEN(SUBSTITUTE(SUBSTITUTE(SUBSTITUTE(M7," ",""),"0",""),"-",""))+LEN(SUBSTITUTE(SUBSTITUTE(SUBSTITUTE(N7," ",""),"0",""),"-",""))+LEN(SUBSTITUTE(SUBSTITUTE(SUBSTITUTE(M8," ",""),"0",""),"-",""))+LEN(SUBSTITUTE(SUBSTITUTE(SUBSTITUTE(N8," ",""),"0",""),"-",""))</f>
      </c>
      <c r="N15" s="14" t="str">
        <f>LEN(SUBSTITUTE(SUBSTITUTE(SUBSTITUTE(J7," ",""),"0",""),"-",""))+LEN(SUBSTITUTE(SUBSTITUTE(SUBSTITUTE(K7," ",""),"0",""),"-",""))+LEN(SUBSTITUTE(SUBSTITUTE(SUBSTITUTE(J8," ",""),"0",""),"-",""))+LEN(SUBSTITUTE(SUBSTITUTE(SUBSTITUTE(K8," ",""),"0",""),"-",""))</f>
      </c>
      <c r="O15" s="18" t="str">
        <f>RANK(AC15,$AC$11:$AC$15)+COUNTIF($AC$10:AC14,AC15)</f>
      </c>
      <c r="U15" t="str">
        <f>(B15*1000000)-(C15*10000)+(D15*100)+(E15*1)-(F15*0.01)</f>
      </c>
      <c r="AC15" t="str">
        <f>(J15*1000000)-(K15*10000)+(L15*100)+(M15*1)-(N15*0.01)</f>
      </c>
    </row>
    <row r="18">
      <c r="F18" s="13"/>
      <c r="G18" s="13" t="s">
        <v>126</v>
      </c>
      <c r="N18" s="13"/>
      <c r="O18" s="13" t="s">
        <v>126</v>
      </c>
    </row>
    <row r="19">
      <c r="F19" t="s">
        <v>127</v>
      </c>
      <c r="G19" s="19" t="str">
        <f>IFERROR(INDEX($A$11:$A$15, MATCH(1, $G$11:$G$15, 0)), "-")</f>
      </c>
      <c r="N19" t="s">
        <v>127</v>
      </c>
      <c r="O19" s="19" t="str">
        <f>IFERROR(INDEX($I$11:$I$15, MATCH(1, $O$11:$O$15, 0)), "-")</f>
      </c>
    </row>
    <row r="20">
      <c r="F20" t="s">
        <v>128</v>
      </c>
      <c r="G20" s="19" t="str">
        <f>IFERROR(INDEX($A$11:$A$15, MATCH(2, $G$11:$G$15, 0)), "-")</f>
      </c>
      <c r="N20" t="s">
        <v>128</v>
      </c>
      <c r="O20" s="19" t="str">
        <f>IFERROR(INDEX($I$11:$I$15, MATCH(2, $O$11:$O$15, 0)), "-")</f>
      </c>
    </row>
    <row r="21">
      <c r="F21" t="s">
        <v>129</v>
      </c>
      <c r="G21" s="19" t="str">
        <f>IFERROR(INDEX($A$11:$A$15, MATCH(3, $G$11:$G$15, 0)), "-")</f>
      </c>
      <c r="N21" t="s">
        <v>129</v>
      </c>
      <c r="O21" s="19" t="str">
        <f>IFERROR(INDEX($I$11:$I$15, MATCH(3, $O$11:$O$15, 0)), "-")</f>
      </c>
    </row>
    <row r="22">
      <c r="F22" t="s">
        <v>130</v>
      </c>
      <c r="G22" s="19" t="str">
        <f>IFERROR(INDEX($A$11:$A$15, MATCH(4, $G$11:$G$15, 0)), "-")</f>
      </c>
      <c r="N22" t="s">
        <v>130</v>
      </c>
      <c r="O22" s="19" t="str">
        <f>IFERROR(INDEX($I$11:$I$15, MATCH(4, $O$11:$O$15, 0)), "-")</f>
      </c>
    </row>
    <row r="23">
      <c r="F23" t="s">
        <v>131</v>
      </c>
      <c r="G23" s="19" t="str">
        <f>IFERROR(INDEX($A$11:$A$15, MATCH(5, $G$11:$G$15, 0)), "-")</f>
      </c>
      <c r="N23" t="s">
        <v>131</v>
      </c>
      <c r="O23" s="19" t="str">
        <f>IFERROR(INDEX($I$11:$I$15, MATCH(5, $O$11:$O$15, 0)), "-")</f>
      </c>
    </row>
    <row r="25">
      <c r="A25" s="13" t="str">
        <f>'data'!$A$12</f>
      </c>
      <c r="B25" s="13"/>
      <c r="C25" s="13"/>
      <c r="D25" s="13"/>
      <c r="E25" s="13"/>
      <c r="F25" s="13"/>
      <c r="G25" s="13"/>
      <c r="I25" s="13" t="str">
        <f>'data'!$A$26</f>
      </c>
      <c r="J25" s="13"/>
      <c r="K25" s="13"/>
      <c r="L25" s="13"/>
      <c r="M25" s="13"/>
      <c r="N25" s="13"/>
      <c r="O25" s="13"/>
    </row>
    <row r="26">
      <c r="A26" s="17" t="s">
        <v>116</v>
      </c>
      <c r="D26" s="14" t="s">
        <v>117</v>
      </c>
      <c r="G26" s="16" t="s">
        <v>118</v>
      </c>
      <c r="I26" s="17" t="s">
        <v>116</v>
      </c>
      <c r="L26" s="14" t="s">
        <v>117</v>
      </c>
      <c r="O26" s="16" t="s">
        <v>118</v>
      </c>
    </row>
    <row r="27">
      <c r="A27" s="14" t="str">
        <f>data!$E$9&amp;" "&amp;data!$B$9</f>
      </c>
      <c r="B27" s="18"/>
      <c r="C27" s="18"/>
      <c r="D27" s="18"/>
      <c r="E27" s="18"/>
      <c r="F27" s="18"/>
      <c r="G27" s="14" t="str">
        <f>data!$E$8&amp;" "&amp;data!$B$8</f>
      </c>
      <c r="I27" s="14" t="str">
        <f>data!$E$23&amp;" "&amp;data!$B$23</f>
      </c>
      <c r="J27" s="18"/>
      <c r="K27" s="18"/>
      <c r="L27" s="18"/>
      <c r="M27" s="18"/>
      <c r="N27" s="18"/>
      <c r="O27" s="14" t="str">
        <f>data!$E$22&amp;" "&amp;data!$B$22</f>
      </c>
    </row>
    <row r="28">
      <c r="A28" s="14" t="str">
        <f>data!$E$9&amp;" "&amp;data!$B$9</f>
      </c>
      <c r="B28" s="18"/>
      <c r="C28" s="18"/>
      <c r="D28" s="18"/>
      <c r="E28" s="18"/>
      <c r="F28" s="18"/>
      <c r="G28" s="14" t="str">
        <f>data!$E$10&amp;" "&amp;data!$B$10</f>
      </c>
      <c r="I28" s="14" t="str">
        <f>data!$E$23&amp;" "&amp;data!$B$23</f>
      </c>
      <c r="J28" s="18"/>
      <c r="K28" s="18"/>
      <c r="L28" s="18"/>
      <c r="M28" s="18"/>
      <c r="N28" s="18"/>
      <c r="O28" s="14" t="str">
        <f>data!$E$24&amp;" "&amp;data!$B$24</f>
      </c>
    </row>
    <row r="29">
      <c r="A29" s="14" t="str">
        <f>data!$E$11&amp;" "&amp;data!$B$11</f>
      </c>
      <c r="B29" s="18"/>
      <c r="C29" s="18"/>
      <c r="D29" s="18"/>
      <c r="E29" s="18"/>
      <c r="F29" s="18"/>
      <c r="G29" s="14" t="str">
        <f>data!$E$10&amp;" "&amp;data!$B$10</f>
      </c>
      <c r="I29" s="14" t="str">
        <f>data!$E$25&amp;" "&amp;data!$B$25</f>
      </c>
      <c r="J29" s="18"/>
      <c r="K29" s="18"/>
      <c r="L29" s="18"/>
      <c r="M29" s="18"/>
      <c r="N29" s="18"/>
      <c r="O29" s="14" t="str">
        <f>data!$E$24&amp;" "&amp;data!$B$24</f>
      </c>
    </row>
    <row r="30">
      <c r="A30" s="14" t="str">
        <f>data!$E$11&amp;" "&amp;data!$B$11</f>
      </c>
      <c r="B30" s="18"/>
      <c r="C30" s="18"/>
      <c r="D30" s="18"/>
      <c r="E30" s="18"/>
      <c r="F30" s="18"/>
      <c r="G30" s="14" t="str">
        <f>data!$E$12&amp;" "&amp;data!$B$12</f>
      </c>
      <c r="I30" s="14" t="str">
        <f>data!$E$25&amp;" "&amp;data!$B$25</f>
      </c>
      <c r="J30" s="18"/>
      <c r="K30" s="18"/>
      <c r="L30" s="18"/>
      <c r="M30" s="18"/>
      <c r="N30" s="18"/>
      <c r="O30" s="14" t="str">
        <f>data!$E$26&amp;" "&amp;data!$B$26</f>
      </c>
    </row>
    <row r="31">
      <c r="A31" s="14" t="str">
        <f>data!$E$8&amp;" "&amp;data!$B$8</f>
      </c>
      <c r="B31" s="18"/>
      <c r="C31" s="18"/>
      <c r="D31" s="18"/>
      <c r="E31" s="18"/>
      <c r="F31" s="18"/>
      <c r="G31" s="14" t="str">
        <f>data!$E$12&amp;" "&amp;data!$B$12</f>
      </c>
      <c r="I31" s="14" t="str">
        <f>data!$E$22&amp;" "&amp;data!$B$22</f>
      </c>
      <c r="J31" s="18"/>
      <c r="K31" s="18"/>
      <c r="L31" s="18"/>
      <c r="M31" s="18"/>
      <c r="N31" s="18"/>
      <c r="O31" s="14" t="str">
        <f>data!$E$26&amp;" "&amp;data!$B$26</f>
      </c>
    </row>
    <row r="33">
      <c r="A33" s="13" t="s">
        <v>119</v>
      </c>
      <c r="B33" s="13" t="s">
        <v>120</v>
      </c>
      <c r="C33" s="13" t="s">
        <v>121</v>
      </c>
      <c r="D33" s="13" t="s">
        <v>122</v>
      </c>
      <c r="E33" s="13" t="s">
        <v>123</v>
      </c>
      <c r="F33" s="13" t="s">
        <v>124</v>
      </c>
      <c r="G33" s="13" t="s">
        <v>125</v>
      </c>
      <c r="I33" s="13" t="s">
        <v>119</v>
      </c>
      <c r="J33" s="13" t="s">
        <v>120</v>
      </c>
      <c r="K33" s="13" t="s">
        <v>121</v>
      </c>
      <c r="L33" s="13" t="s">
        <v>122</v>
      </c>
      <c r="M33" s="13" t="s">
        <v>123</v>
      </c>
      <c r="N33" s="13" t="s">
        <v>124</v>
      </c>
      <c r="O33" s="13" t="s">
        <v>125</v>
      </c>
    </row>
    <row r="34">
      <c r="A34" s="14" t="str">
        <f>data!$E$8&amp;" "&amp;data!$B$8</f>
      </c>
      <c r="B34" s="14" t="str">
        <f>IF(OR(COUNTA(B27,C27,E27,F27)&gt;0,OR(D27="X",D27="x")),IF(OR(D27="X",D27="x",AND(OR(COUNTA(B27,C27,E27,F27)&gt;0,OR(D27="X",D27="x")),(LEN(SUBSTITUTE(SUBSTITUTE(SUBSTITUTE(B27," ",""),"0",""),"-",""))+LEN(SUBSTITUTE(SUBSTITUTE(SUBSTITUTE(C27," ",""),"0",""),"-","")))=(LEN(SUBSTITUTE(SUBSTITUTE(SUBSTITUTE(E27," ",""),"0",""),"-",""))+LEN(SUBSTITUTE(SUBSTITUTE(SUBSTITUTE(F27," ",""),"0",""),"-",""))))),0,(LEN(SUBSTITUTE(SUBSTITUTE(SUBSTITUTE(E27," ",""),"0",""),"-",""))+LEN(SUBSTITUTE(SUBSTITUTE(SUBSTITUTE(F27," ",""),"0",""),"-",""))&gt;LEN(SUBSTITUTE(SUBSTITUTE(SUBSTITUTE(B27," ",""),"0",""),"-",""))+LEN(SUBSTITUTE(SUBSTITUTE(SUBSTITUTE(C27," ",""),"0",""),"-","")))*1),0)+IF(OR(COUNTA(B31,C31,E31,F31)&gt;0,OR(D31="X",D31="x")),IF(OR(D31="X",D31="x",AND(OR(COUNTA(B31,C31,E31,F31)&gt;0,OR(D31="X",D31="x")),(LEN(SUBSTITUTE(SUBSTITUTE(SUBSTITUTE(B31," ",""),"0",""),"-",""))+LEN(SUBSTITUTE(SUBSTITUTE(SUBSTITUTE(C31," ",""),"0",""),"-","")))=(LEN(SUBSTITUTE(SUBSTITUTE(SUBSTITUTE(E31," ",""),"0",""),"-",""))+LEN(SUBSTITUTE(SUBSTITUTE(SUBSTITUTE(F31," ",""),"0",""),"-",""))))),0,(LEN(SUBSTITUTE(SUBSTITUTE(SUBSTITUTE(B31," ",""),"0",""),"-",""))+LEN(SUBSTITUTE(SUBSTITUTE(SUBSTITUTE(C31," ",""),"0",""),"-",""))&gt;LEN(SUBSTITUTE(SUBSTITUTE(SUBSTITUTE(E31," ",""),"0",""),"-",""))+LEN(SUBSTITUTE(SUBSTITUTE(SUBSTITUTE(F31," ",""),"0",""),"-","")))*1),0)</f>
      </c>
      <c r="C34" s="14" t="str">
        <f>IF(OR(COUNTA(B27,C27,E27,F27)&gt;0,OR(D27="X",D27="x")),IF(OR(D27="X",D27="x",AND(OR(COUNTA(B27,C27,E27,F27)&gt;0,OR(D27="X",D27="x")),(LEN(SUBSTITUTE(SUBSTITUTE(SUBSTITUTE(B27," ",""),"0",""),"-",""))+LEN(SUBSTITUTE(SUBSTITUTE(SUBSTITUTE(C27," ",""),"0",""),"-","")))=(LEN(SUBSTITUTE(SUBSTITUTE(SUBSTITUTE(E27," ",""),"0",""),"-",""))+LEN(SUBSTITUTE(SUBSTITUTE(SUBSTITUTE(F27," ",""),"0",""),"-",""))))),0,(LEN(SUBSTITUTE(SUBSTITUTE(SUBSTITUTE(E27," ",""),"0",""),"-",""))+LEN(SUBSTITUTE(SUBSTITUTE(SUBSTITUTE(F27," ",""),"0",""),"-",""))&lt;LEN(SUBSTITUTE(SUBSTITUTE(SUBSTITUTE(B27," ",""),"0",""),"-",""))+LEN(SUBSTITUTE(SUBSTITUTE(SUBSTITUTE(C27," ",""),"0",""),"-","")))*1),0)+IF(OR(COUNTA(B31,C31,E31,F31)&gt;0,OR(D31="X",D31="x")),IF(OR(D31="X",D31="x",AND(OR(COUNTA(B31,C31,E31,F31)&gt;0,OR(D31="X",D31="x")),(LEN(SUBSTITUTE(SUBSTITUTE(SUBSTITUTE(B31," ",""),"0",""),"-",""))+LEN(SUBSTITUTE(SUBSTITUTE(SUBSTITUTE(C31," ",""),"0",""),"-","")))=(LEN(SUBSTITUTE(SUBSTITUTE(SUBSTITUTE(E31," ",""),"0",""),"-",""))+LEN(SUBSTITUTE(SUBSTITUTE(SUBSTITUTE(F31," ",""),"0",""),"-",""))))),0,(LEN(SUBSTITUTE(SUBSTITUTE(SUBSTITUTE(B31," ",""),"0",""),"-",""))+LEN(SUBSTITUTE(SUBSTITUTE(SUBSTITUTE(C31," ",""),"0",""),"-",""))&lt;LEN(SUBSTITUTE(SUBSTITUTE(SUBSTITUTE(E31," ",""),"0",""),"-",""))+LEN(SUBSTITUTE(SUBSTITUTE(SUBSTITUTE(F31," ",""),"0",""),"-","")))*1),0)</f>
      </c>
      <c r="D34" s="14" t="str">
        <f>IF(OR(COUNTA(B27,C27,E27,F27)&gt;0,OR(D27="X",D27="x")),IF(OR(D27="X",D27="x",AND(OR(COUNTA(B27,C27,E27,F27)&gt;0,OR(D27="X",D27="x")),(LEN(SUBSTITUTE(SUBSTITUTE(SUBSTITUTE(B27," ",""),"0",""),"-",""))+LEN(SUBSTITUTE(SUBSTITUTE(SUBSTITUTE(C27," ",""),"0",""),"-","")))=(LEN(SUBSTITUTE(SUBSTITUTE(SUBSTITUTE(E27," ",""),"0",""),"-",""))+LEN(SUBSTITUTE(SUBSTITUTE(SUBSTITUTE(F27," ",""),"0",""),"-",""))))),1,0),0)+IF(OR(COUNTA(B31,C31,E31,F31)&gt;0,OR(D31="X",D31="x")),IF(OR(D31="X",D31="x",AND(OR(COUNTA(B31,C31,E31,F31)&gt;0,OR(D31="X",D31="x")),(LEN(SUBSTITUTE(SUBSTITUTE(SUBSTITUTE(B31," ",""),"0",""),"-",""))+LEN(SUBSTITUTE(SUBSTITUTE(SUBSTITUTE(C31," ",""),"0",""),"-","")))=(LEN(SUBSTITUTE(SUBSTITUTE(SUBSTITUTE(E31," ",""),"0",""),"-",""))+LEN(SUBSTITUTE(SUBSTITUTE(SUBSTITUTE(F31," ",""),"0",""),"-",""))))),1,0),0)</f>
      </c>
      <c r="E34" s="14" t="str">
        <f>LEN(SUBSTITUTE(SUBSTITUTE(SUBSTITUTE(E27," ",""),"0",""),"-",""))+LEN(SUBSTITUTE(SUBSTITUTE(SUBSTITUTE(F27," ",""),"0",""),"-",""))+LEN(SUBSTITUTE(SUBSTITUTE(SUBSTITUTE(B31," ",""),"0",""),"-",""))+LEN(SUBSTITUTE(SUBSTITUTE(SUBSTITUTE(C31," ",""),"0",""),"-",""))</f>
      </c>
      <c r="F34" s="14" t="str">
        <f>LEN(SUBSTITUTE(SUBSTITUTE(SUBSTITUTE(B27," ",""),"0",""),"-",""))+LEN(SUBSTITUTE(SUBSTITUTE(SUBSTITUTE(C27," ",""),"0",""),"-",""))+LEN(SUBSTITUTE(SUBSTITUTE(SUBSTITUTE(E31," ",""),"0",""),"-",""))+LEN(SUBSTITUTE(SUBSTITUTE(SUBSTITUTE(F31," ",""),"0",""),"-",""))</f>
      </c>
      <c r="G34" s="18" t="str">
        <f>RANK(U34,$U$34:$U$38)+COUNTIF($U$33:U33,U34)</f>
      </c>
      <c r="I34" s="14" t="str">
        <f>data!$E$22&amp;" "&amp;data!$B$22</f>
      </c>
      <c r="J34" s="14" t="str">
        <f>IF(OR(COUNTA(J27,K27,M27,N27)&gt;0,OR(L27="X",L27="x")),IF(OR(L27="X",L27="x",AND(OR(COUNTA(J27,K27,M27,N27)&gt;0,OR(L27="X",L27="x")),(LEN(SUBSTITUTE(SUBSTITUTE(SUBSTITUTE(J27," ",""),"0",""),"-",""))+LEN(SUBSTITUTE(SUBSTITUTE(SUBSTITUTE(K27," ",""),"0",""),"-","")))=(LEN(SUBSTITUTE(SUBSTITUTE(SUBSTITUTE(M27," ",""),"0",""),"-",""))+LEN(SUBSTITUTE(SUBSTITUTE(SUBSTITUTE(N27," ",""),"0",""),"-",""))))),0,(LEN(SUBSTITUTE(SUBSTITUTE(SUBSTITUTE(M27," ",""),"0",""),"-",""))+LEN(SUBSTITUTE(SUBSTITUTE(SUBSTITUTE(N27," ",""),"0",""),"-",""))&gt;LEN(SUBSTITUTE(SUBSTITUTE(SUBSTITUTE(J27," ",""),"0",""),"-",""))+LEN(SUBSTITUTE(SUBSTITUTE(SUBSTITUTE(K27," ",""),"0",""),"-","")))*1),0)+IF(OR(COUNTA(J31,K31,M31,N31)&gt;0,OR(L31="X",L31="x")),IF(OR(L31="X",L31="x",AND(OR(COUNTA(J31,K31,M31,N31)&gt;0,OR(L31="X",L31="x")),(LEN(SUBSTITUTE(SUBSTITUTE(SUBSTITUTE(J31," ",""),"0",""),"-",""))+LEN(SUBSTITUTE(SUBSTITUTE(SUBSTITUTE(K31," ",""),"0",""),"-","")))=(LEN(SUBSTITUTE(SUBSTITUTE(SUBSTITUTE(M31," ",""),"0",""),"-",""))+LEN(SUBSTITUTE(SUBSTITUTE(SUBSTITUTE(N31," ",""),"0",""),"-",""))))),0,(LEN(SUBSTITUTE(SUBSTITUTE(SUBSTITUTE(J31," ",""),"0",""),"-",""))+LEN(SUBSTITUTE(SUBSTITUTE(SUBSTITUTE(K31," ",""),"0",""),"-",""))&gt;LEN(SUBSTITUTE(SUBSTITUTE(SUBSTITUTE(M31," ",""),"0",""),"-",""))+LEN(SUBSTITUTE(SUBSTITUTE(SUBSTITUTE(N31," ",""),"0",""),"-","")))*1),0)</f>
      </c>
      <c r="K34" s="14" t="str">
        <f>IF(OR(COUNTA(J27,K27,M27,N27)&gt;0,OR(L27="X",L27="x")),IF(OR(L27="X",L27="x",AND(OR(COUNTA(J27,K27,M27,N27)&gt;0,OR(L27="X",L27="x")),(LEN(SUBSTITUTE(SUBSTITUTE(SUBSTITUTE(J27," ",""),"0",""),"-",""))+LEN(SUBSTITUTE(SUBSTITUTE(SUBSTITUTE(K27," ",""),"0",""),"-","")))=(LEN(SUBSTITUTE(SUBSTITUTE(SUBSTITUTE(M27," ",""),"0",""),"-",""))+LEN(SUBSTITUTE(SUBSTITUTE(SUBSTITUTE(N27," ",""),"0",""),"-",""))))),0,(LEN(SUBSTITUTE(SUBSTITUTE(SUBSTITUTE(M27," ",""),"0",""),"-",""))+LEN(SUBSTITUTE(SUBSTITUTE(SUBSTITUTE(N27," ",""),"0",""),"-",""))&lt;LEN(SUBSTITUTE(SUBSTITUTE(SUBSTITUTE(J27," ",""),"0",""),"-",""))+LEN(SUBSTITUTE(SUBSTITUTE(SUBSTITUTE(K27," ",""),"0",""),"-","")))*1),0)+IF(OR(COUNTA(J31,K31,M31,N31)&gt;0,OR(L31="X",L31="x")),IF(OR(L31="X",L31="x",AND(OR(COUNTA(J31,K31,M31,N31)&gt;0,OR(L31="X",L31="x")),(LEN(SUBSTITUTE(SUBSTITUTE(SUBSTITUTE(J31," ",""),"0",""),"-",""))+LEN(SUBSTITUTE(SUBSTITUTE(SUBSTITUTE(K31," ",""),"0",""),"-","")))=(LEN(SUBSTITUTE(SUBSTITUTE(SUBSTITUTE(M31," ",""),"0",""),"-",""))+LEN(SUBSTITUTE(SUBSTITUTE(SUBSTITUTE(N31," ",""),"0",""),"-",""))))),0,(LEN(SUBSTITUTE(SUBSTITUTE(SUBSTITUTE(J31," ",""),"0",""),"-",""))+LEN(SUBSTITUTE(SUBSTITUTE(SUBSTITUTE(K31," ",""),"0",""),"-",""))&lt;LEN(SUBSTITUTE(SUBSTITUTE(SUBSTITUTE(M31," ",""),"0",""),"-",""))+LEN(SUBSTITUTE(SUBSTITUTE(SUBSTITUTE(N31," ",""),"0",""),"-","")))*1),0)</f>
      </c>
      <c r="L34" s="14" t="str">
        <f>IF(OR(COUNTA(J27,K27,M27,N27)&gt;0,OR(L27="X",L27="x")),IF(OR(L27="X",L27="x",AND(OR(COUNTA(J27,K27,M27,N27)&gt;0,OR(L27="X",L27="x")),(LEN(SUBSTITUTE(SUBSTITUTE(SUBSTITUTE(J27," ",""),"0",""),"-",""))+LEN(SUBSTITUTE(SUBSTITUTE(SUBSTITUTE(K27," ",""),"0",""),"-","")))=(LEN(SUBSTITUTE(SUBSTITUTE(SUBSTITUTE(M27," ",""),"0",""),"-",""))+LEN(SUBSTITUTE(SUBSTITUTE(SUBSTITUTE(N27," ",""),"0",""),"-",""))))),1,0),0)+IF(OR(COUNTA(J31,K31,M31,N31)&gt;0,OR(L31="X",L31="x")),IF(OR(L31="X",L31="x",AND(OR(COUNTA(J31,K31,M31,N31)&gt;0,OR(L31="X",L31="x")),(LEN(SUBSTITUTE(SUBSTITUTE(SUBSTITUTE(J31," ",""),"0",""),"-",""))+LEN(SUBSTITUTE(SUBSTITUTE(SUBSTITUTE(K31," ",""),"0",""),"-","")))=(LEN(SUBSTITUTE(SUBSTITUTE(SUBSTITUTE(M31," ",""),"0",""),"-",""))+LEN(SUBSTITUTE(SUBSTITUTE(SUBSTITUTE(N31," ",""),"0",""),"-",""))))),1,0),0)</f>
      </c>
      <c r="M34" s="14" t="str">
        <f>LEN(SUBSTITUTE(SUBSTITUTE(SUBSTITUTE(M27," ",""),"0",""),"-",""))+LEN(SUBSTITUTE(SUBSTITUTE(SUBSTITUTE(N27," ",""),"0",""),"-",""))+LEN(SUBSTITUTE(SUBSTITUTE(SUBSTITUTE(J31," ",""),"0",""),"-",""))+LEN(SUBSTITUTE(SUBSTITUTE(SUBSTITUTE(K31," ",""),"0",""),"-",""))</f>
      </c>
      <c r="N34" s="14" t="str">
        <f>LEN(SUBSTITUTE(SUBSTITUTE(SUBSTITUTE(J27," ",""),"0",""),"-",""))+LEN(SUBSTITUTE(SUBSTITUTE(SUBSTITUTE(K27," ",""),"0",""),"-",""))+LEN(SUBSTITUTE(SUBSTITUTE(SUBSTITUTE(M31," ",""),"0",""),"-",""))+LEN(SUBSTITUTE(SUBSTITUTE(SUBSTITUTE(N31," ",""),"0",""),"-",""))</f>
      </c>
      <c r="O34" s="18" t="str">
        <f>RANK(AC34,$AC$34:$AC$38)+COUNTIF($AC$33:AC33,AC34)</f>
      </c>
      <c r="U34" t="str">
        <f>(B34*1000000)-(C34*10000)+(D34*100)+(E34*1)-(F34*0.01)</f>
      </c>
      <c r="AC34" t="str">
        <f>(J34*1000000)-(K34*10000)+(L34*100)+(M34*1)-(N34*0.01)</f>
      </c>
    </row>
    <row r="35">
      <c r="A35" s="14" t="str">
        <f>data!$E$9&amp;" "&amp;data!$B$9</f>
      </c>
      <c r="B35" s="14" t="str">
        <f>IF(OR(COUNTA(B27,C27,E27,F27)&gt;0,OR(D27="X",D27="x")),IF(OR(D27="X",D27="x",AND(OR(COUNTA(B27,C27,E27,F27)&gt;0,OR(D27="X",D27="x")),(LEN(SUBSTITUTE(SUBSTITUTE(SUBSTITUTE(B27," ",""),"0",""),"-",""))+LEN(SUBSTITUTE(SUBSTITUTE(SUBSTITUTE(C27," ",""),"0",""),"-","")))=(LEN(SUBSTITUTE(SUBSTITUTE(SUBSTITUTE(E27," ",""),"0",""),"-",""))+LEN(SUBSTITUTE(SUBSTITUTE(SUBSTITUTE(F27," ",""),"0",""),"-",""))))),0,(LEN(SUBSTITUTE(SUBSTITUTE(SUBSTITUTE(B27," ",""),"0",""),"-",""))+LEN(SUBSTITUTE(SUBSTITUTE(SUBSTITUTE(C27," ",""),"0",""),"-",""))&gt;LEN(SUBSTITUTE(SUBSTITUTE(SUBSTITUTE(E27," ",""),"0",""),"-",""))+LEN(SUBSTITUTE(SUBSTITUTE(SUBSTITUTE(F27," ",""),"0",""),"-","")))*1),0)+IF(OR(COUNTA(B28,C28,E28,F28)&gt;0,OR(D28="X",D28="x")),IF(OR(D28="X",D28="x",AND(OR(COUNTA(B28,C28,E28,F28)&gt;0,OR(D28="X",D28="x")),(LEN(SUBSTITUTE(SUBSTITUTE(SUBSTITUTE(B28," ",""),"0",""),"-",""))+LEN(SUBSTITUTE(SUBSTITUTE(SUBSTITUTE(C28," ",""),"0",""),"-","")))=(LEN(SUBSTITUTE(SUBSTITUTE(SUBSTITUTE(E28," ",""),"0",""),"-",""))+LEN(SUBSTITUTE(SUBSTITUTE(SUBSTITUTE(F28," ",""),"0",""),"-",""))))),0,(LEN(SUBSTITUTE(SUBSTITUTE(SUBSTITUTE(B28," ",""),"0",""),"-",""))+LEN(SUBSTITUTE(SUBSTITUTE(SUBSTITUTE(C28," ",""),"0",""),"-",""))&gt;LEN(SUBSTITUTE(SUBSTITUTE(SUBSTITUTE(E28," ",""),"0",""),"-",""))+LEN(SUBSTITUTE(SUBSTITUTE(SUBSTITUTE(F28," ",""),"0",""),"-","")))*1),0)</f>
      </c>
      <c r="C35" s="14" t="str">
        <f>IF(OR(COUNTA(B27,C27,E27,F27)&gt;0,OR(D27="X",D27="x")),IF(OR(D27="X",D27="x",AND(OR(COUNTA(B27,C27,E27,F27)&gt;0,OR(D27="X",D27="x")),(LEN(SUBSTITUTE(SUBSTITUTE(SUBSTITUTE(B27," ",""),"0",""),"-",""))+LEN(SUBSTITUTE(SUBSTITUTE(SUBSTITUTE(C27," ",""),"0",""),"-","")))=(LEN(SUBSTITUTE(SUBSTITUTE(SUBSTITUTE(E27," ",""),"0",""),"-",""))+LEN(SUBSTITUTE(SUBSTITUTE(SUBSTITUTE(F27," ",""),"0",""),"-",""))))),0,(LEN(SUBSTITUTE(SUBSTITUTE(SUBSTITUTE(B27," ",""),"0",""),"-",""))+LEN(SUBSTITUTE(SUBSTITUTE(SUBSTITUTE(C27," ",""),"0",""),"-",""))&lt;LEN(SUBSTITUTE(SUBSTITUTE(SUBSTITUTE(E27," ",""),"0",""),"-",""))+LEN(SUBSTITUTE(SUBSTITUTE(SUBSTITUTE(F27," ",""),"0",""),"-","")))*1),0)+IF(OR(COUNTA(B28,C28,E28,F28)&gt;0,OR(D28="X",D28="x")),IF(OR(D28="X",D28="x",AND(OR(COUNTA(B28,C28,E28,F28)&gt;0,OR(D28="X",D28="x")),(LEN(SUBSTITUTE(SUBSTITUTE(SUBSTITUTE(B28," ",""),"0",""),"-",""))+LEN(SUBSTITUTE(SUBSTITUTE(SUBSTITUTE(C28," ",""),"0",""),"-","")))=(LEN(SUBSTITUTE(SUBSTITUTE(SUBSTITUTE(E28," ",""),"0",""),"-",""))+LEN(SUBSTITUTE(SUBSTITUTE(SUBSTITUTE(F28," ",""),"0",""),"-",""))))),0,(LEN(SUBSTITUTE(SUBSTITUTE(SUBSTITUTE(B28," ",""),"0",""),"-",""))+LEN(SUBSTITUTE(SUBSTITUTE(SUBSTITUTE(C28," ",""),"0",""),"-",""))&lt;LEN(SUBSTITUTE(SUBSTITUTE(SUBSTITUTE(E28," ",""),"0",""),"-",""))+LEN(SUBSTITUTE(SUBSTITUTE(SUBSTITUTE(F28," ",""),"0",""),"-","")))*1),0)</f>
      </c>
      <c r="D35" s="14" t="str">
        <f>IF(OR(COUNTA(B27,C27,E27,F27)&gt;0,OR(D27="X",D27="x")),IF(OR(D27="X",D27="x",AND(OR(COUNTA(B27,C27,E27,F27)&gt;0,OR(D27="X",D27="x")),(LEN(SUBSTITUTE(SUBSTITUTE(SUBSTITUTE(B27," ",""),"0",""),"-",""))+LEN(SUBSTITUTE(SUBSTITUTE(SUBSTITUTE(C27," ",""),"0",""),"-","")))=(LEN(SUBSTITUTE(SUBSTITUTE(SUBSTITUTE(E27," ",""),"0",""),"-",""))+LEN(SUBSTITUTE(SUBSTITUTE(SUBSTITUTE(F27," ",""),"0",""),"-",""))))),1,0),0)+IF(OR(COUNTA(B28,C28,E28,F28)&gt;0,OR(D28="X",D28="x")),IF(OR(D28="X",D28="x",AND(OR(COUNTA(B28,C28,E28,F28)&gt;0,OR(D28="X",D28="x")),(LEN(SUBSTITUTE(SUBSTITUTE(SUBSTITUTE(B28," ",""),"0",""),"-",""))+LEN(SUBSTITUTE(SUBSTITUTE(SUBSTITUTE(C28," ",""),"0",""),"-","")))=(LEN(SUBSTITUTE(SUBSTITUTE(SUBSTITUTE(E28," ",""),"0",""),"-",""))+LEN(SUBSTITUTE(SUBSTITUTE(SUBSTITUTE(F28," ",""),"0",""),"-",""))))),1,0),0)</f>
      </c>
      <c r="E35" s="14" t="str">
        <f>LEN(SUBSTITUTE(SUBSTITUTE(SUBSTITUTE(B27," ",""),"0",""),"-",""))+LEN(SUBSTITUTE(SUBSTITUTE(SUBSTITUTE(C27," ",""),"0",""),"-",""))+LEN(SUBSTITUTE(SUBSTITUTE(SUBSTITUTE(B28," ",""),"0",""),"-",""))+LEN(SUBSTITUTE(SUBSTITUTE(SUBSTITUTE(C28," ",""),"0",""),"-",""))</f>
      </c>
      <c r="F35" s="14" t="str">
        <f>LEN(SUBSTITUTE(SUBSTITUTE(SUBSTITUTE(E27," ",""),"0",""),"-",""))+LEN(SUBSTITUTE(SUBSTITUTE(SUBSTITUTE(F27," ",""),"0",""),"-",""))+LEN(SUBSTITUTE(SUBSTITUTE(SUBSTITUTE(E28," ",""),"0",""),"-",""))+LEN(SUBSTITUTE(SUBSTITUTE(SUBSTITUTE(F28," ",""),"0",""),"-",""))</f>
      </c>
      <c r="G35" s="18" t="str">
        <f>RANK(U35,$U$34:$U$38)+COUNTIF($U$33:U34,U35)</f>
      </c>
      <c r="I35" s="14" t="str">
        <f>data!$E$23&amp;" "&amp;data!$B$23</f>
      </c>
      <c r="J35" s="14" t="str">
        <f>IF(OR(COUNTA(J27,K27,M27,N27)&gt;0,OR(L27="X",L27="x")),IF(OR(L27="X",L27="x",AND(OR(COUNTA(J27,K27,M27,N27)&gt;0,OR(L27="X",L27="x")),(LEN(SUBSTITUTE(SUBSTITUTE(SUBSTITUTE(J27," ",""),"0",""),"-",""))+LEN(SUBSTITUTE(SUBSTITUTE(SUBSTITUTE(K27," ",""),"0",""),"-","")))=(LEN(SUBSTITUTE(SUBSTITUTE(SUBSTITUTE(M27," ",""),"0",""),"-",""))+LEN(SUBSTITUTE(SUBSTITUTE(SUBSTITUTE(N27," ",""),"0",""),"-",""))))),0,(LEN(SUBSTITUTE(SUBSTITUTE(SUBSTITUTE(J27," ",""),"0",""),"-",""))+LEN(SUBSTITUTE(SUBSTITUTE(SUBSTITUTE(K27," ",""),"0",""),"-",""))&gt;LEN(SUBSTITUTE(SUBSTITUTE(SUBSTITUTE(M27," ",""),"0",""),"-",""))+LEN(SUBSTITUTE(SUBSTITUTE(SUBSTITUTE(N27," ",""),"0",""),"-","")))*1),0)+IF(OR(COUNTA(J28,K28,M28,N28)&gt;0,OR(L28="X",L28="x")),IF(OR(L28="X",L28="x",AND(OR(COUNTA(J28,K28,M28,N28)&gt;0,OR(L28="X",L28="x")),(LEN(SUBSTITUTE(SUBSTITUTE(SUBSTITUTE(J28," ",""),"0",""),"-",""))+LEN(SUBSTITUTE(SUBSTITUTE(SUBSTITUTE(K28," ",""),"0",""),"-","")))=(LEN(SUBSTITUTE(SUBSTITUTE(SUBSTITUTE(M28," ",""),"0",""),"-",""))+LEN(SUBSTITUTE(SUBSTITUTE(SUBSTITUTE(N28," ",""),"0",""),"-",""))))),0,(LEN(SUBSTITUTE(SUBSTITUTE(SUBSTITUTE(J28," ",""),"0",""),"-",""))+LEN(SUBSTITUTE(SUBSTITUTE(SUBSTITUTE(K28," ",""),"0",""),"-",""))&gt;LEN(SUBSTITUTE(SUBSTITUTE(SUBSTITUTE(M28," ",""),"0",""),"-",""))+LEN(SUBSTITUTE(SUBSTITUTE(SUBSTITUTE(N28," ",""),"0",""),"-","")))*1),0)</f>
      </c>
      <c r="K35" s="14" t="str">
        <f>IF(OR(COUNTA(J27,K27,M27,N27)&gt;0,OR(L27="X",L27="x")),IF(OR(L27="X",L27="x",AND(OR(COUNTA(J27,K27,M27,N27)&gt;0,OR(L27="X",L27="x")),(LEN(SUBSTITUTE(SUBSTITUTE(SUBSTITUTE(J27," ",""),"0",""),"-",""))+LEN(SUBSTITUTE(SUBSTITUTE(SUBSTITUTE(K27," ",""),"0",""),"-","")))=(LEN(SUBSTITUTE(SUBSTITUTE(SUBSTITUTE(M27," ",""),"0",""),"-",""))+LEN(SUBSTITUTE(SUBSTITUTE(SUBSTITUTE(N27," ",""),"0",""),"-",""))))),0,(LEN(SUBSTITUTE(SUBSTITUTE(SUBSTITUTE(J27," ",""),"0",""),"-",""))+LEN(SUBSTITUTE(SUBSTITUTE(SUBSTITUTE(K27," ",""),"0",""),"-",""))&lt;LEN(SUBSTITUTE(SUBSTITUTE(SUBSTITUTE(M27," ",""),"0",""),"-",""))+LEN(SUBSTITUTE(SUBSTITUTE(SUBSTITUTE(N27," ",""),"0",""),"-","")))*1),0)+IF(OR(COUNTA(J28,K28,M28,N28)&gt;0,OR(L28="X",L28="x")),IF(OR(L28="X",L28="x",AND(OR(COUNTA(J28,K28,M28,N28)&gt;0,OR(L28="X",L28="x")),(LEN(SUBSTITUTE(SUBSTITUTE(SUBSTITUTE(J28," ",""),"0",""),"-",""))+LEN(SUBSTITUTE(SUBSTITUTE(SUBSTITUTE(K28," ",""),"0",""),"-","")))=(LEN(SUBSTITUTE(SUBSTITUTE(SUBSTITUTE(M28," ",""),"0",""),"-",""))+LEN(SUBSTITUTE(SUBSTITUTE(SUBSTITUTE(N28," ",""),"0",""),"-",""))))),0,(LEN(SUBSTITUTE(SUBSTITUTE(SUBSTITUTE(J28," ",""),"0",""),"-",""))+LEN(SUBSTITUTE(SUBSTITUTE(SUBSTITUTE(K28," ",""),"0",""),"-",""))&lt;LEN(SUBSTITUTE(SUBSTITUTE(SUBSTITUTE(M28," ",""),"0",""),"-",""))+LEN(SUBSTITUTE(SUBSTITUTE(SUBSTITUTE(N28," ",""),"0",""),"-","")))*1),0)</f>
      </c>
      <c r="L35" s="14" t="str">
        <f>IF(OR(COUNTA(J27,K27,M27,N27)&gt;0,OR(L27="X",L27="x")),IF(OR(L27="X",L27="x",AND(OR(COUNTA(J27,K27,M27,N27)&gt;0,OR(L27="X",L27="x")),(LEN(SUBSTITUTE(SUBSTITUTE(SUBSTITUTE(J27," ",""),"0",""),"-",""))+LEN(SUBSTITUTE(SUBSTITUTE(SUBSTITUTE(K27," ",""),"0",""),"-","")))=(LEN(SUBSTITUTE(SUBSTITUTE(SUBSTITUTE(M27," ",""),"0",""),"-",""))+LEN(SUBSTITUTE(SUBSTITUTE(SUBSTITUTE(N27," ",""),"0",""),"-",""))))),1,0),0)+IF(OR(COUNTA(J28,K28,M28,N28)&gt;0,OR(L28="X",L28="x")),IF(OR(L28="X",L28="x",AND(OR(COUNTA(J28,K28,M28,N28)&gt;0,OR(L28="X",L28="x")),(LEN(SUBSTITUTE(SUBSTITUTE(SUBSTITUTE(J28," ",""),"0",""),"-",""))+LEN(SUBSTITUTE(SUBSTITUTE(SUBSTITUTE(K28," ",""),"0",""),"-","")))=(LEN(SUBSTITUTE(SUBSTITUTE(SUBSTITUTE(M28," ",""),"0",""),"-",""))+LEN(SUBSTITUTE(SUBSTITUTE(SUBSTITUTE(N28," ",""),"0",""),"-",""))))),1,0),0)</f>
      </c>
      <c r="M35" s="14" t="str">
        <f>LEN(SUBSTITUTE(SUBSTITUTE(SUBSTITUTE(J27," ",""),"0",""),"-",""))+LEN(SUBSTITUTE(SUBSTITUTE(SUBSTITUTE(K27," ",""),"0",""),"-",""))+LEN(SUBSTITUTE(SUBSTITUTE(SUBSTITUTE(J28," ",""),"0",""),"-",""))+LEN(SUBSTITUTE(SUBSTITUTE(SUBSTITUTE(K28," ",""),"0",""),"-",""))</f>
      </c>
      <c r="N35" s="14" t="str">
        <f>LEN(SUBSTITUTE(SUBSTITUTE(SUBSTITUTE(M27," ",""),"0",""),"-",""))+LEN(SUBSTITUTE(SUBSTITUTE(SUBSTITUTE(N27," ",""),"0",""),"-",""))+LEN(SUBSTITUTE(SUBSTITUTE(SUBSTITUTE(M28," ",""),"0",""),"-",""))+LEN(SUBSTITUTE(SUBSTITUTE(SUBSTITUTE(N28," ",""),"0",""),"-",""))</f>
      </c>
      <c r="O35" s="18" t="str">
        <f>RANK(AC35,$AC$34:$AC$38)+COUNTIF($AC$33:AC34,AC35)</f>
      </c>
      <c r="U35" t="str">
        <f>(B35*1000000)-(C35*10000)+(D35*100)+(E35*1)-(F35*0.01)</f>
      </c>
      <c r="AC35" t="str">
        <f>(J35*1000000)-(K35*10000)+(L35*100)+(M35*1)-(N35*0.01)</f>
      </c>
    </row>
    <row r="36">
      <c r="A36" s="14" t="str">
        <f>data!$E$10&amp;" "&amp;data!$B$10</f>
      </c>
      <c r="B36" s="14" t="str">
        <f>IF(OR(COUNTA(B28,C28,E28,F28)&gt;0,OR(D28="X",D28="x")),IF(OR(D28="X",D28="x",AND(OR(COUNTA(B28,C28,E28,F28)&gt;0,OR(D28="X",D28="x")),(LEN(SUBSTITUTE(SUBSTITUTE(SUBSTITUTE(B28," ",""),"0",""),"-",""))+LEN(SUBSTITUTE(SUBSTITUTE(SUBSTITUTE(C28," ",""),"0",""),"-","")))=(LEN(SUBSTITUTE(SUBSTITUTE(SUBSTITUTE(E28," ",""),"0",""),"-",""))+LEN(SUBSTITUTE(SUBSTITUTE(SUBSTITUTE(F28," ",""),"0",""),"-",""))))),0,(LEN(SUBSTITUTE(SUBSTITUTE(SUBSTITUTE(E28," ",""),"0",""),"-",""))+LEN(SUBSTITUTE(SUBSTITUTE(SUBSTITUTE(F28," ",""),"0",""),"-",""))&gt;LEN(SUBSTITUTE(SUBSTITUTE(SUBSTITUTE(B28," ",""),"0",""),"-",""))+LEN(SUBSTITUTE(SUBSTITUTE(SUBSTITUTE(C28," ",""),"0",""),"-","")))*1),0)+IF(OR(COUNTA(B29,C29,E29,F29)&gt;0,OR(D29="X",D29="x")),IF(OR(D29="X",D29="x",AND(OR(COUNTA(B29,C29,E29,F29)&gt;0,OR(D29="X",D29="x")),(LEN(SUBSTITUTE(SUBSTITUTE(SUBSTITUTE(B29," ",""),"0",""),"-",""))+LEN(SUBSTITUTE(SUBSTITUTE(SUBSTITUTE(C29," ",""),"0",""),"-","")))=(LEN(SUBSTITUTE(SUBSTITUTE(SUBSTITUTE(E29," ",""),"0",""),"-",""))+LEN(SUBSTITUTE(SUBSTITUTE(SUBSTITUTE(F29," ",""),"0",""),"-",""))))),0,(LEN(SUBSTITUTE(SUBSTITUTE(SUBSTITUTE(E29," ",""),"0",""),"-",""))+LEN(SUBSTITUTE(SUBSTITUTE(SUBSTITUTE(F29," ",""),"0",""),"-",""))&gt;LEN(SUBSTITUTE(SUBSTITUTE(SUBSTITUTE(B29," ",""),"0",""),"-",""))+LEN(SUBSTITUTE(SUBSTITUTE(SUBSTITUTE(C29," ",""),"0",""),"-","")))*1),0)</f>
      </c>
      <c r="C36" s="14" t="str">
        <f>IF(OR(COUNTA(B28,C28,E28,F28)&gt;0,OR(D28="X",D28="x")),IF(OR(D28="X",D28="x",AND(OR(COUNTA(B28,C28,E28,F28)&gt;0,OR(D28="X",D28="x")),(LEN(SUBSTITUTE(SUBSTITUTE(SUBSTITUTE(B28," ",""),"0",""),"-",""))+LEN(SUBSTITUTE(SUBSTITUTE(SUBSTITUTE(C28," ",""),"0",""),"-","")))=(LEN(SUBSTITUTE(SUBSTITUTE(SUBSTITUTE(E28," ",""),"0",""),"-",""))+LEN(SUBSTITUTE(SUBSTITUTE(SUBSTITUTE(F28," ",""),"0",""),"-",""))))),0,(LEN(SUBSTITUTE(SUBSTITUTE(SUBSTITUTE(E28," ",""),"0",""),"-",""))+LEN(SUBSTITUTE(SUBSTITUTE(SUBSTITUTE(F28," ",""),"0",""),"-",""))&lt;LEN(SUBSTITUTE(SUBSTITUTE(SUBSTITUTE(B28," ",""),"0",""),"-",""))+LEN(SUBSTITUTE(SUBSTITUTE(SUBSTITUTE(C28," ",""),"0",""),"-","")))*1),0)+IF(OR(COUNTA(B29,C29,E29,F29)&gt;0,OR(D29="X",D29="x")),IF(OR(D29="X",D29="x",AND(OR(COUNTA(B29,C29,E29,F29)&gt;0,OR(D29="X",D29="x")),(LEN(SUBSTITUTE(SUBSTITUTE(SUBSTITUTE(B29," ",""),"0",""),"-",""))+LEN(SUBSTITUTE(SUBSTITUTE(SUBSTITUTE(C29," ",""),"0",""),"-","")))=(LEN(SUBSTITUTE(SUBSTITUTE(SUBSTITUTE(E29," ",""),"0",""),"-",""))+LEN(SUBSTITUTE(SUBSTITUTE(SUBSTITUTE(F29," ",""),"0",""),"-",""))))),0,(LEN(SUBSTITUTE(SUBSTITUTE(SUBSTITUTE(E29," ",""),"0",""),"-",""))+LEN(SUBSTITUTE(SUBSTITUTE(SUBSTITUTE(F29," ",""),"0",""),"-",""))&lt;LEN(SUBSTITUTE(SUBSTITUTE(SUBSTITUTE(B29," ",""),"0",""),"-",""))+LEN(SUBSTITUTE(SUBSTITUTE(SUBSTITUTE(C29," ",""),"0",""),"-","")))*1),0)</f>
      </c>
      <c r="D36" s="14" t="str">
        <f>IF(OR(COUNTA(B28,C28,E28,F28)&gt;0,OR(D28="X",D28="x")),IF(OR(D28="X",D28="x",AND(OR(COUNTA(B28,C28,E28,F28)&gt;0,OR(D28="X",D28="x")),(LEN(SUBSTITUTE(SUBSTITUTE(SUBSTITUTE(B28," ",""),"0",""),"-",""))+LEN(SUBSTITUTE(SUBSTITUTE(SUBSTITUTE(C28," ",""),"0",""),"-","")))=(LEN(SUBSTITUTE(SUBSTITUTE(SUBSTITUTE(E28," ",""),"0",""),"-",""))+LEN(SUBSTITUTE(SUBSTITUTE(SUBSTITUTE(F28," ",""),"0",""),"-",""))))),1,0),0)+IF(OR(COUNTA(B29,C29,E29,F29)&gt;0,OR(D29="X",D29="x")),IF(OR(D29="X",D29="x",AND(OR(COUNTA(B29,C29,E29,F29)&gt;0,OR(D29="X",D29="x")),(LEN(SUBSTITUTE(SUBSTITUTE(SUBSTITUTE(B29," ",""),"0",""),"-",""))+LEN(SUBSTITUTE(SUBSTITUTE(SUBSTITUTE(C29," ",""),"0",""),"-","")))=(LEN(SUBSTITUTE(SUBSTITUTE(SUBSTITUTE(E29," ",""),"0",""),"-",""))+LEN(SUBSTITUTE(SUBSTITUTE(SUBSTITUTE(F29," ",""),"0",""),"-",""))))),1,0),0)</f>
      </c>
      <c r="E36" s="14" t="str">
        <f>LEN(SUBSTITUTE(SUBSTITUTE(SUBSTITUTE(E28," ",""),"0",""),"-",""))+LEN(SUBSTITUTE(SUBSTITUTE(SUBSTITUTE(F28," ",""),"0",""),"-",""))+LEN(SUBSTITUTE(SUBSTITUTE(SUBSTITUTE(E29," ",""),"0",""),"-",""))+LEN(SUBSTITUTE(SUBSTITUTE(SUBSTITUTE(F29," ",""),"0",""),"-",""))</f>
      </c>
      <c r="F36" s="14" t="str">
        <f>LEN(SUBSTITUTE(SUBSTITUTE(SUBSTITUTE(B28," ",""),"0",""),"-",""))+LEN(SUBSTITUTE(SUBSTITUTE(SUBSTITUTE(C28," ",""),"0",""),"-",""))+LEN(SUBSTITUTE(SUBSTITUTE(SUBSTITUTE(B29," ",""),"0",""),"-",""))+LEN(SUBSTITUTE(SUBSTITUTE(SUBSTITUTE(C29," ",""),"0",""),"-",""))</f>
      </c>
      <c r="G36" s="18" t="str">
        <f>RANK(U36,$U$34:$U$38)+COUNTIF($U$33:U35,U36)</f>
      </c>
      <c r="I36" s="14" t="str">
        <f>data!$E$24&amp;" "&amp;data!$B$24</f>
      </c>
      <c r="J36" s="14" t="str">
        <f>IF(OR(COUNTA(J28,K28,M28,N28)&gt;0,OR(L28="X",L28="x")),IF(OR(L28="X",L28="x",AND(OR(COUNTA(J28,K28,M28,N28)&gt;0,OR(L28="X",L28="x")),(LEN(SUBSTITUTE(SUBSTITUTE(SUBSTITUTE(J28," ",""),"0",""),"-",""))+LEN(SUBSTITUTE(SUBSTITUTE(SUBSTITUTE(K28," ",""),"0",""),"-","")))=(LEN(SUBSTITUTE(SUBSTITUTE(SUBSTITUTE(M28," ",""),"0",""),"-",""))+LEN(SUBSTITUTE(SUBSTITUTE(SUBSTITUTE(N28," ",""),"0",""),"-",""))))),0,(LEN(SUBSTITUTE(SUBSTITUTE(SUBSTITUTE(M28," ",""),"0",""),"-",""))+LEN(SUBSTITUTE(SUBSTITUTE(SUBSTITUTE(N28," ",""),"0",""),"-",""))&gt;LEN(SUBSTITUTE(SUBSTITUTE(SUBSTITUTE(J28," ",""),"0",""),"-",""))+LEN(SUBSTITUTE(SUBSTITUTE(SUBSTITUTE(K28," ",""),"0",""),"-","")))*1),0)+IF(OR(COUNTA(J29,K29,M29,N29)&gt;0,OR(L29="X",L29="x")),IF(OR(L29="X",L29="x",AND(OR(COUNTA(J29,K29,M29,N29)&gt;0,OR(L29="X",L29="x")),(LEN(SUBSTITUTE(SUBSTITUTE(SUBSTITUTE(J29," ",""),"0",""),"-",""))+LEN(SUBSTITUTE(SUBSTITUTE(SUBSTITUTE(K29," ",""),"0",""),"-","")))=(LEN(SUBSTITUTE(SUBSTITUTE(SUBSTITUTE(M29," ",""),"0",""),"-",""))+LEN(SUBSTITUTE(SUBSTITUTE(SUBSTITUTE(N29," ",""),"0",""),"-",""))))),0,(LEN(SUBSTITUTE(SUBSTITUTE(SUBSTITUTE(M29," ",""),"0",""),"-",""))+LEN(SUBSTITUTE(SUBSTITUTE(SUBSTITUTE(N29," ",""),"0",""),"-",""))&gt;LEN(SUBSTITUTE(SUBSTITUTE(SUBSTITUTE(J29," ",""),"0",""),"-",""))+LEN(SUBSTITUTE(SUBSTITUTE(SUBSTITUTE(K29," ",""),"0",""),"-","")))*1),0)</f>
      </c>
      <c r="K36" s="14" t="str">
        <f>IF(OR(COUNTA(J28,K28,M28,N28)&gt;0,OR(L28="X",L28="x")),IF(OR(L28="X",L28="x",AND(OR(COUNTA(J28,K28,M28,N28)&gt;0,OR(L28="X",L28="x")),(LEN(SUBSTITUTE(SUBSTITUTE(SUBSTITUTE(J28," ",""),"0",""),"-",""))+LEN(SUBSTITUTE(SUBSTITUTE(SUBSTITUTE(K28," ",""),"0",""),"-","")))=(LEN(SUBSTITUTE(SUBSTITUTE(SUBSTITUTE(M28," ",""),"0",""),"-",""))+LEN(SUBSTITUTE(SUBSTITUTE(SUBSTITUTE(N28," ",""),"0",""),"-",""))))),0,(LEN(SUBSTITUTE(SUBSTITUTE(SUBSTITUTE(M28," ",""),"0",""),"-",""))+LEN(SUBSTITUTE(SUBSTITUTE(SUBSTITUTE(N28," ",""),"0",""),"-",""))&lt;LEN(SUBSTITUTE(SUBSTITUTE(SUBSTITUTE(J28," ",""),"0",""),"-",""))+LEN(SUBSTITUTE(SUBSTITUTE(SUBSTITUTE(K28," ",""),"0",""),"-","")))*1),0)+IF(OR(COUNTA(J29,K29,M29,N29)&gt;0,OR(L29="X",L29="x")),IF(OR(L29="X",L29="x",AND(OR(COUNTA(J29,K29,M29,N29)&gt;0,OR(L29="X",L29="x")),(LEN(SUBSTITUTE(SUBSTITUTE(SUBSTITUTE(J29," ",""),"0",""),"-",""))+LEN(SUBSTITUTE(SUBSTITUTE(SUBSTITUTE(K29," ",""),"0",""),"-","")))=(LEN(SUBSTITUTE(SUBSTITUTE(SUBSTITUTE(M29," ",""),"0",""),"-",""))+LEN(SUBSTITUTE(SUBSTITUTE(SUBSTITUTE(N29," ",""),"0",""),"-",""))))),0,(LEN(SUBSTITUTE(SUBSTITUTE(SUBSTITUTE(M29," ",""),"0",""),"-",""))+LEN(SUBSTITUTE(SUBSTITUTE(SUBSTITUTE(N29," ",""),"0",""),"-",""))&lt;LEN(SUBSTITUTE(SUBSTITUTE(SUBSTITUTE(J29," ",""),"0",""),"-",""))+LEN(SUBSTITUTE(SUBSTITUTE(SUBSTITUTE(K29," ",""),"0",""),"-","")))*1),0)</f>
      </c>
      <c r="L36" s="14" t="str">
        <f>IF(OR(COUNTA(J28,K28,M28,N28)&gt;0,OR(L28="X",L28="x")),IF(OR(L28="X",L28="x",AND(OR(COUNTA(J28,K28,M28,N28)&gt;0,OR(L28="X",L28="x")),(LEN(SUBSTITUTE(SUBSTITUTE(SUBSTITUTE(J28," ",""),"0",""),"-",""))+LEN(SUBSTITUTE(SUBSTITUTE(SUBSTITUTE(K28," ",""),"0",""),"-","")))=(LEN(SUBSTITUTE(SUBSTITUTE(SUBSTITUTE(M28," ",""),"0",""),"-",""))+LEN(SUBSTITUTE(SUBSTITUTE(SUBSTITUTE(N28," ",""),"0",""),"-",""))))),1,0),0)+IF(OR(COUNTA(J29,K29,M29,N29)&gt;0,OR(L29="X",L29="x")),IF(OR(L29="X",L29="x",AND(OR(COUNTA(J29,K29,M29,N29)&gt;0,OR(L29="X",L29="x")),(LEN(SUBSTITUTE(SUBSTITUTE(SUBSTITUTE(J29," ",""),"0",""),"-",""))+LEN(SUBSTITUTE(SUBSTITUTE(SUBSTITUTE(K29," ",""),"0",""),"-","")))=(LEN(SUBSTITUTE(SUBSTITUTE(SUBSTITUTE(M29," ",""),"0",""),"-",""))+LEN(SUBSTITUTE(SUBSTITUTE(SUBSTITUTE(N29," ",""),"0",""),"-",""))))),1,0),0)</f>
      </c>
      <c r="M36" s="14" t="str">
        <f>LEN(SUBSTITUTE(SUBSTITUTE(SUBSTITUTE(M28," ",""),"0",""),"-",""))+LEN(SUBSTITUTE(SUBSTITUTE(SUBSTITUTE(N28," ",""),"0",""),"-",""))+LEN(SUBSTITUTE(SUBSTITUTE(SUBSTITUTE(M29," ",""),"0",""),"-",""))+LEN(SUBSTITUTE(SUBSTITUTE(SUBSTITUTE(N29," ",""),"0",""),"-",""))</f>
      </c>
      <c r="N36" s="14" t="str">
        <f>LEN(SUBSTITUTE(SUBSTITUTE(SUBSTITUTE(J28," ",""),"0",""),"-",""))+LEN(SUBSTITUTE(SUBSTITUTE(SUBSTITUTE(K28," ",""),"0",""),"-",""))+LEN(SUBSTITUTE(SUBSTITUTE(SUBSTITUTE(J29," ",""),"0",""),"-",""))+LEN(SUBSTITUTE(SUBSTITUTE(SUBSTITUTE(K29," ",""),"0",""),"-",""))</f>
      </c>
      <c r="O36" s="18" t="str">
        <f>RANK(AC36,$AC$34:$AC$38)+COUNTIF($AC$33:AC35,AC36)</f>
      </c>
      <c r="U36" t="str">
        <f>(B36*1000000)-(C36*10000)+(D36*100)+(E36*1)-(F36*0.01)</f>
      </c>
      <c r="AC36" t="str">
        <f>(J36*1000000)-(K36*10000)+(L36*100)+(M36*1)-(N36*0.01)</f>
      </c>
    </row>
    <row r="37">
      <c r="A37" s="14" t="str">
        <f>data!$E$11&amp;" "&amp;data!$B$11</f>
      </c>
      <c r="B37" s="14" t="str">
        <f>IF(OR(COUNTA(B29,C29,E29,F29)&gt;0,OR(D29="X",D29="x")),IF(OR(D29="X",D29="x",AND(OR(COUNTA(B29,C29,E29,F29)&gt;0,OR(D29="X",D29="x")),(LEN(SUBSTITUTE(SUBSTITUTE(SUBSTITUTE(B29," ",""),"0",""),"-",""))+LEN(SUBSTITUTE(SUBSTITUTE(SUBSTITUTE(C29," ",""),"0",""),"-","")))=(LEN(SUBSTITUTE(SUBSTITUTE(SUBSTITUTE(E29," ",""),"0",""),"-",""))+LEN(SUBSTITUTE(SUBSTITUTE(SUBSTITUTE(F29," ",""),"0",""),"-",""))))),0,(LEN(SUBSTITUTE(SUBSTITUTE(SUBSTITUTE(B29," ",""),"0",""),"-",""))+LEN(SUBSTITUTE(SUBSTITUTE(SUBSTITUTE(C29," ",""),"0",""),"-",""))&gt;LEN(SUBSTITUTE(SUBSTITUTE(SUBSTITUTE(E29," ",""),"0",""),"-",""))+LEN(SUBSTITUTE(SUBSTITUTE(SUBSTITUTE(F29," ",""),"0",""),"-","")))*1),0)+IF(OR(COUNTA(B30,C30,E30,F30)&gt;0,OR(D30="X",D30="x")),IF(OR(D30="X",D30="x",AND(OR(COUNTA(B30,C30,E30,F30)&gt;0,OR(D30="X",D30="x")),(LEN(SUBSTITUTE(SUBSTITUTE(SUBSTITUTE(B30," ",""),"0",""),"-",""))+LEN(SUBSTITUTE(SUBSTITUTE(SUBSTITUTE(C30," ",""),"0",""),"-","")))=(LEN(SUBSTITUTE(SUBSTITUTE(SUBSTITUTE(E30," ",""),"0",""),"-",""))+LEN(SUBSTITUTE(SUBSTITUTE(SUBSTITUTE(F30," ",""),"0",""),"-",""))))),0,(LEN(SUBSTITUTE(SUBSTITUTE(SUBSTITUTE(B30," ",""),"0",""),"-",""))+LEN(SUBSTITUTE(SUBSTITUTE(SUBSTITUTE(C30," ",""),"0",""),"-",""))&gt;LEN(SUBSTITUTE(SUBSTITUTE(SUBSTITUTE(E30," ",""),"0",""),"-",""))+LEN(SUBSTITUTE(SUBSTITUTE(SUBSTITUTE(F30," ",""),"0",""),"-","")))*1),0)</f>
      </c>
      <c r="C37" s="14" t="str">
        <f>IF(OR(COUNTA(B29,C29,E29,F29)&gt;0,OR(D29="X",D29="x")),IF(OR(D29="X",D29="x",AND(OR(COUNTA(B29,C29,E29,F29)&gt;0,OR(D29="X",D29="x")),(LEN(SUBSTITUTE(SUBSTITUTE(SUBSTITUTE(B29," ",""),"0",""),"-",""))+LEN(SUBSTITUTE(SUBSTITUTE(SUBSTITUTE(C29," ",""),"0",""),"-","")))=(LEN(SUBSTITUTE(SUBSTITUTE(SUBSTITUTE(E29," ",""),"0",""),"-",""))+LEN(SUBSTITUTE(SUBSTITUTE(SUBSTITUTE(F29," ",""),"0",""),"-",""))))),0,(LEN(SUBSTITUTE(SUBSTITUTE(SUBSTITUTE(B29," ",""),"0",""),"-",""))+LEN(SUBSTITUTE(SUBSTITUTE(SUBSTITUTE(C29," ",""),"0",""),"-",""))&lt;LEN(SUBSTITUTE(SUBSTITUTE(SUBSTITUTE(E29," ",""),"0",""),"-",""))+LEN(SUBSTITUTE(SUBSTITUTE(SUBSTITUTE(F29," ",""),"0",""),"-","")))*1),0)+IF(OR(COUNTA(B30,C30,E30,F30)&gt;0,OR(D30="X",D30="x")),IF(OR(D30="X",D30="x",AND(OR(COUNTA(B30,C30,E30,F30)&gt;0,OR(D30="X",D30="x")),(LEN(SUBSTITUTE(SUBSTITUTE(SUBSTITUTE(B30," ",""),"0",""),"-",""))+LEN(SUBSTITUTE(SUBSTITUTE(SUBSTITUTE(C30," ",""),"0",""),"-","")))=(LEN(SUBSTITUTE(SUBSTITUTE(SUBSTITUTE(E30," ",""),"0",""),"-",""))+LEN(SUBSTITUTE(SUBSTITUTE(SUBSTITUTE(F30," ",""),"0",""),"-",""))))),0,(LEN(SUBSTITUTE(SUBSTITUTE(SUBSTITUTE(B30," ",""),"0",""),"-",""))+LEN(SUBSTITUTE(SUBSTITUTE(SUBSTITUTE(C30," ",""),"0",""),"-",""))&lt;LEN(SUBSTITUTE(SUBSTITUTE(SUBSTITUTE(E30," ",""),"0",""),"-",""))+LEN(SUBSTITUTE(SUBSTITUTE(SUBSTITUTE(F30," ",""),"0",""),"-","")))*1),0)</f>
      </c>
      <c r="D37" s="14" t="str">
        <f>IF(OR(COUNTA(B29,C29,E29,F29)&gt;0,OR(D29="X",D29="x")),IF(OR(D29="X",D29="x",AND(OR(COUNTA(B29,C29,E29,F29)&gt;0,OR(D29="X",D29="x")),(LEN(SUBSTITUTE(SUBSTITUTE(SUBSTITUTE(B29," ",""),"0",""),"-",""))+LEN(SUBSTITUTE(SUBSTITUTE(SUBSTITUTE(C29," ",""),"0",""),"-","")))=(LEN(SUBSTITUTE(SUBSTITUTE(SUBSTITUTE(E29," ",""),"0",""),"-",""))+LEN(SUBSTITUTE(SUBSTITUTE(SUBSTITUTE(F29," ",""),"0",""),"-",""))))),1,0),0)+IF(OR(COUNTA(B30,C30,E30,F30)&gt;0,OR(D30="X",D30="x")),IF(OR(D30="X",D30="x",AND(OR(COUNTA(B30,C30,E30,F30)&gt;0,OR(D30="X",D30="x")),(LEN(SUBSTITUTE(SUBSTITUTE(SUBSTITUTE(B30," ",""),"0",""),"-",""))+LEN(SUBSTITUTE(SUBSTITUTE(SUBSTITUTE(C30," ",""),"0",""),"-","")))=(LEN(SUBSTITUTE(SUBSTITUTE(SUBSTITUTE(E30," ",""),"0",""),"-",""))+LEN(SUBSTITUTE(SUBSTITUTE(SUBSTITUTE(F30," ",""),"0",""),"-",""))))),1,0),0)</f>
      </c>
      <c r="E37" s="14" t="str">
        <f>LEN(SUBSTITUTE(SUBSTITUTE(SUBSTITUTE(B29," ",""),"0",""),"-",""))+LEN(SUBSTITUTE(SUBSTITUTE(SUBSTITUTE(C29," ",""),"0",""),"-",""))+LEN(SUBSTITUTE(SUBSTITUTE(SUBSTITUTE(B30," ",""),"0",""),"-",""))+LEN(SUBSTITUTE(SUBSTITUTE(SUBSTITUTE(C30," ",""),"0",""),"-",""))</f>
      </c>
      <c r="F37" s="14" t="str">
        <f>LEN(SUBSTITUTE(SUBSTITUTE(SUBSTITUTE(E29," ",""),"0",""),"-",""))+LEN(SUBSTITUTE(SUBSTITUTE(SUBSTITUTE(F29," ",""),"0",""),"-",""))+LEN(SUBSTITUTE(SUBSTITUTE(SUBSTITUTE(E30," ",""),"0",""),"-",""))+LEN(SUBSTITUTE(SUBSTITUTE(SUBSTITUTE(F30," ",""),"0",""),"-",""))</f>
      </c>
      <c r="G37" s="18" t="str">
        <f>RANK(U37,$U$34:$U$38)+COUNTIF($U$33:U36,U37)</f>
      </c>
      <c r="I37" s="14" t="str">
        <f>data!$E$25&amp;" "&amp;data!$B$25</f>
      </c>
      <c r="J37" s="14" t="str">
        <f>IF(OR(COUNTA(J29,K29,M29,N29)&gt;0,OR(L29="X",L29="x")),IF(OR(L29="X",L29="x",AND(OR(COUNTA(J29,K29,M29,N29)&gt;0,OR(L29="X",L29="x")),(LEN(SUBSTITUTE(SUBSTITUTE(SUBSTITUTE(J29," ",""),"0",""),"-",""))+LEN(SUBSTITUTE(SUBSTITUTE(SUBSTITUTE(K29," ",""),"0",""),"-","")))=(LEN(SUBSTITUTE(SUBSTITUTE(SUBSTITUTE(M29," ",""),"0",""),"-",""))+LEN(SUBSTITUTE(SUBSTITUTE(SUBSTITUTE(N29," ",""),"0",""),"-",""))))),0,(LEN(SUBSTITUTE(SUBSTITUTE(SUBSTITUTE(J29," ",""),"0",""),"-",""))+LEN(SUBSTITUTE(SUBSTITUTE(SUBSTITUTE(K29," ",""),"0",""),"-",""))&gt;LEN(SUBSTITUTE(SUBSTITUTE(SUBSTITUTE(M29," ",""),"0",""),"-",""))+LEN(SUBSTITUTE(SUBSTITUTE(SUBSTITUTE(N29," ",""),"0",""),"-","")))*1),0)+IF(OR(COUNTA(J30,K30,M30,N30)&gt;0,OR(L30="X",L30="x")),IF(OR(L30="X",L30="x",AND(OR(COUNTA(J30,K30,M30,N30)&gt;0,OR(L30="X",L30="x")),(LEN(SUBSTITUTE(SUBSTITUTE(SUBSTITUTE(J30," ",""),"0",""),"-",""))+LEN(SUBSTITUTE(SUBSTITUTE(SUBSTITUTE(K30," ",""),"0",""),"-","")))=(LEN(SUBSTITUTE(SUBSTITUTE(SUBSTITUTE(M30," ",""),"0",""),"-",""))+LEN(SUBSTITUTE(SUBSTITUTE(SUBSTITUTE(N30," ",""),"0",""),"-",""))))),0,(LEN(SUBSTITUTE(SUBSTITUTE(SUBSTITUTE(J30," ",""),"0",""),"-",""))+LEN(SUBSTITUTE(SUBSTITUTE(SUBSTITUTE(K30," ",""),"0",""),"-",""))&gt;LEN(SUBSTITUTE(SUBSTITUTE(SUBSTITUTE(M30," ",""),"0",""),"-",""))+LEN(SUBSTITUTE(SUBSTITUTE(SUBSTITUTE(N30," ",""),"0",""),"-","")))*1),0)</f>
      </c>
      <c r="K37" s="14" t="str">
        <f>IF(OR(COUNTA(J29,K29,M29,N29)&gt;0,OR(L29="X",L29="x")),IF(OR(L29="X",L29="x",AND(OR(COUNTA(J29,K29,M29,N29)&gt;0,OR(L29="X",L29="x")),(LEN(SUBSTITUTE(SUBSTITUTE(SUBSTITUTE(J29," ",""),"0",""),"-",""))+LEN(SUBSTITUTE(SUBSTITUTE(SUBSTITUTE(K29," ",""),"0",""),"-","")))=(LEN(SUBSTITUTE(SUBSTITUTE(SUBSTITUTE(M29," ",""),"0",""),"-",""))+LEN(SUBSTITUTE(SUBSTITUTE(SUBSTITUTE(N29," ",""),"0",""),"-",""))))),0,(LEN(SUBSTITUTE(SUBSTITUTE(SUBSTITUTE(J29," ",""),"0",""),"-",""))+LEN(SUBSTITUTE(SUBSTITUTE(SUBSTITUTE(K29," ",""),"0",""),"-",""))&lt;LEN(SUBSTITUTE(SUBSTITUTE(SUBSTITUTE(M29," ",""),"0",""),"-",""))+LEN(SUBSTITUTE(SUBSTITUTE(SUBSTITUTE(N29," ",""),"0",""),"-","")))*1),0)+IF(OR(COUNTA(J30,K30,M30,N30)&gt;0,OR(L30="X",L30="x")),IF(OR(L30="X",L30="x",AND(OR(COUNTA(J30,K30,M30,N30)&gt;0,OR(L30="X",L30="x")),(LEN(SUBSTITUTE(SUBSTITUTE(SUBSTITUTE(J30," ",""),"0",""),"-",""))+LEN(SUBSTITUTE(SUBSTITUTE(SUBSTITUTE(K30," ",""),"0",""),"-","")))=(LEN(SUBSTITUTE(SUBSTITUTE(SUBSTITUTE(M30," ",""),"0",""),"-",""))+LEN(SUBSTITUTE(SUBSTITUTE(SUBSTITUTE(N30," ",""),"0",""),"-",""))))),0,(LEN(SUBSTITUTE(SUBSTITUTE(SUBSTITUTE(J30," ",""),"0",""),"-",""))+LEN(SUBSTITUTE(SUBSTITUTE(SUBSTITUTE(K30," ",""),"0",""),"-",""))&lt;LEN(SUBSTITUTE(SUBSTITUTE(SUBSTITUTE(M30," ",""),"0",""),"-",""))+LEN(SUBSTITUTE(SUBSTITUTE(SUBSTITUTE(N30," ",""),"0",""),"-","")))*1),0)</f>
      </c>
      <c r="L37" s="14" t="str">
        <f>IF(OR(COUNTA(J29,K29,M29,N29)&gt;0,OR(L29="X",L29="x")),IF(OR(L29="X",L29="x",AND(OR(COUNTA(J29,K29,M29,N29)&gt;0,OR(L29="X",L29="x")),(LEN(SUBSTITUTE(SUBSTITUTE(SUBSTITUTE(J29," ",""),"0",""),"-",""))+LEN(SUBSTITUTE(SUBSTITUTE(SUBSTITUTE(K29," ",""),"0",""),"-","")))=(LEN(SUBSTITUTE(SUBSTITUTE(SUBSTITUTE(M29," ",""),"0",""),"-",""))+LEN(SUBSTITUTE(SUBSTITUTE(SUBSTITUTE(N29," ",""),"0",""),"-",""))))),1,0),0)+IF(OR(COUNTA(J30,K30,M30,N30)&gt;0,OR(L30="X",L30="x")),IF(OR(L30="X",L30="x",AND(OR(COUNTA(J30,K30,M30,N30)&gt;0,OR(L30="X",L30="x")),(LEN(SUBSTITUTE(SUBSTITUTE(SUBSTITUTE(J30," ",""),"0",""),"-",""))+LEN(SUBSTITUTE(SUBSTITUTE(SUBSTITUTE(K30," ",""),"0",""),"-","")))=(LEN(SUBSTITUTE(SUBSTITUTE(SUBSTITUTE(M30," ",""),"0",""),"-",""))+LEN(SUBSTITUTE(SUBSTITUTE(SUBSTITUTE(N30," ",""),"0",""),"-",""))))),1,0),0)</f>
      </c>
      <c r="M37" s="14" t="str">
        <f>LEN(SUBSTITUTE(SUBSTITUTE(SUBSTITUTE(J29," ",""),"0",""),"-",""))+LEN(SUBSTITUTE(SUBSTITUTE(SUBSTITUTE(K29," ",""),"0",""),"-",""))+LEN(SUBSTITUTE(SUBSTITUTE(SUBSTITUTE(J30," ",""),"0",""),"-",""))+LEN(SUBSTITUTE(SUBSTITUTE(SUBSTITUTE(K30," ",""),"0",""),"-",""))</f>
      </c>
      <c r="N37" s="14" t="str">
        <f>LEN(SUBSTITUTE(SUBSTITUTE(SUBSTITUTE(M29," ",""),"0",""),"-",""))+LEN(SUBSTITUTE(SUBSTITUTE(SUBSTITUTE(N29," ",""),"0",""),"-",""))+LEN(SUBSTITUTE(SUBSTITUTE(SUBSTITUTE(M30," ",""),"0",""),"-",""))+LEN(SUBSTITUTE(SUBSTITUTE(SUBSTITUTE(N30," ",""),"0",""),"-",""))</f>
      </c>
      <c r="O37" s="18" t="str">
        <f>RANK(AC37,$AC$34:$AC$38)+COUNTIF($AC$33:AC36,AC37)</f>
      </c>
      <c r="U37" t="str">
        <f>(B37*1000000)-(C37*10000)+(D37*100)+(E37*1)-(F37*0.01)</f>
      </c>
      <c r="AC37" t="str">
        <f>(J37*1000000)-(K37*10000)+(L37*100)+(M37*1)-(N37*0.01)</f>
      </c>
    </row>
    <row r="38">
      <c r="A38" s="14" t="str">
        <f>data!$E$12&amp;" "&amp;data!$B$12</f>
      </c>
      <c r="B38" s="14" t="str">
        <f>IF(OR(COUNTA(B30,C30,E30,F30)&gt;0,OR(D30="X",D30="x")),IF(OR(D30="X",D30="x",AND(OR(COUNTA(B30,C30,E30,F30)&gt;0,OR(D30="X",D30="x")),(LEN(SUBSTITUTE(SUBSTITUTE(SUBSTITUTE(B30," ",""),"0",""),"-",""))+LEN(SUBSTITUTE(SUBSTITUTE(SUBSTITUTE(C30," ",""),"0",""),"-","")))=(LEN(SUBSTITUTE(SUBSTITUTE(SUBSTITUTE(E30," ",""),"0",""),"-",""))+LEN(SUBSTITUTE(SUBSTITUTE(SUBSTITUTE(F30," ",""),"0",""),"-",""))))),0,(LEN(SUBSTITUTE(SUBSTITUTE(SUBSTITUTE(E30," ",""),"0",""),"-",""))+LEN(SUBSTITUTE(SUBSTITUTE(SUBSTITUTE(F30," ",""),"0",""),"-",""))&gt;LEN(SUBSTITUTE(SUBSTITUTE(SUBSTITUTE(B30," ",""),"0",""),"-",""))+LEN(SUBSTITUTE(SUBSTITUTE(SUBSTITUTE(C30," ",""),"0",""),"-","")))*1),0)+IF(OR(COUNTA(B31,C31,E31,F31)&gt;0,OR(D31="X",D31="x")),IF(OR(D31="X",D31="x",AND(OR(COUNTA(B31,C31,E31,F31)&gt;0,OR(D31="X",D31="x")),(LEN(SUBSTITUTE(SUBSTITUTE(SUBSTITUTE(B31," ",""),"0",""),"-",""))+LEN(SUBSTITUTE(SUBSTITUTE(SUBSTITUTE(C31," ",""),"0",""),"-","")))=(LEN(SUBSTITUTE(SUBSTITUTE(SUBSTITUTE(E31," ",""),"0",""),"-",""))+LEN(SUBSTITUTE(SUBSTITUTE(SUBSTITUTE(F31," ",""),"0",""),"-",""))))),0,(LEN(SUBSTITUTE(SUBSTITUTE(SUBSTITUTE(E31," ",""),"0",""),"-",""))+LEN(SUBSTITUTE(SUBSTITUTE(SUBSTITUTE(F31," ",""),"0",""),"-",""))&gt;LEN(SUBSTITUTE(SUBSTITUTE(SUBSTITUTE(B31," ",""),"0",""),"-",""))+LEN(SUBSTITUTE(SUBSTITUTE(SUBSTITUTE(C31," ",""),"0",""),"-","")))*1),0)</f>
      </c>
      <c r="C38" s="14" t="str">
        <f>IF(OR(COUNTA(B30,C30,E30,F30)&gt;0,OR(D30="X",D30="x")),IF(OR(D30="X",D30="x",AND(OR(COUNTA(B30,C30,E30,F30)&gt;0,OR(D30="X",D30="x")),(LEN(SUBSTITUTE(SUBSTITUTE(SUBSTITUTE(B30," ",""),"0",""),"-",""))+LEN(SUBSTITUTE(SUBSTITUTE(SUBSTITUTE(C30," ",""),"0",""),"-","")))=(LEN(SUBSTITUTE(SUBSTITUTE(SUBSTITUTE(E30," ",""),"0",""),"-",""))+LEN(SUBSTITUTE(SUBSTITUTE(SUBSTITUTE(F30," ",""),"0",""),"-",""))))),0,(LEN(SUBSTITUTE(SUBSTITUTE(SUBSTITUTE(E30," ",""),"0",""),"-",""))+LEN(SUBSTITUTE(SUBSTITUTE(SUBSTITUTE(F30," ",""),"0",""),"-",""))&lt;LEN(SUBSTITUTE(SUBSTITUTE(SUBSTITUTE(B30," ",""),"0",""),"-",""))+LEN(SUBSTITUTE(SUBSTITUTE(SUBSTITUTE(C30," ",""),"0",""),"-","")))*1),0)+IF(OR(COUNTA(B31,C31,E31,F31)&gt;0,OR(D31="X",D31="x")),IF(OR(D31="X",D31="x",AND(OR(COUNTA(B31,C31,E31,F31)&gt;0,OR(D31="X",D31="x")),(LEN(SUBSTITUTE(SUBSTITUTE(SUBSTITUTE(B31," ",""),"0",""),"-",""))+LEN(SUBSTITUTE(SUBSTITUTE(SUBSTITUTE(C31," ",""),"0",""),"-","")))=(LEN(SUBSTITUTE(SUBSTITUTE(SUBSTITUTE(E31," ",""),"0",""),"-",""))+LEN(SUBSTITUTE(SUBSTITUTE(SUBSTITUTE(F31," ",""),"0",""),"-",""))))),0,(LEN(SUBSTITUTE(SUBSTITUTE(SUBSTITUTE(E31," ",""),"0",""),"-",""))+LEN(SUBSTITUTE(SUBSTITUTE(SUBSTITUTE(F31," ",""),"0",""),"-",""))&lt;LEN(SUBSTITUTE(SUBSTITUTE(SUBSTITUTE(B31," ",""),"0",""),"-",""))+LEN(SUBSTITUTE(SUBSTITUTE(SUBSTITUTE(C31," ",""),"0",""),"-","")))*1),0)</f>
      </c>
      <c r="D38" s="14" t="str">
        <f>IF(OR(COUNTA(B30,C30,E30,F30)&gt;0,OR(D30="X",D30="x")),IF(OR(D30="X",D30="x",AND(OR(COUNTA(B30,C30,E30,F30)&gt;0,OR(D30="X",D30="x")),(LEN(SUBSTITUTE(SUBSTITUTE(SUBSTITUTE(B30," ",""),"0",""),"-",""))+LEN(SUBSTITUTE(SUBSTITUTE(SUBSTITUTE(C30," ",""),"0",""),"-","")))=(LEN(SUBSTITUTE(SUBSTITUTE(SUBSTITUTE(E30," ",""),"0",""),"-",""))+LEN(SUBSTITUTE(SUBSTITUTE(SUBSTITUTE(F30," ",""),"0",""),"-",""))))),1,0),0)+IF(OR(COUNTA(B31,C31,E31,F31)&gt;0,OR(D31="X",D31="x")),IF(OR(D31="X",D31="x",AND(OR(COUNTA(B31,C31,E31,F31)&gt;0,OR(D31="X",D31="x")),(LEN(SUBSTITUTE(SUBSTITUTE(SUBSTITUTE(B31," ",""),"0",""),"-",""))+LEN(SUBSTITUTE(SUBSTITUTE(SUBSTITUTE(C31," ",""),"0",""),"-","")))=(LEN(SUBSTITUTE(SUBSTITUTE(SUBSTITUTE(E31," ",""),"0",""),"-",""))+LEN(SUBSTITUTE(SUBSTITUTE(SUBSTITUTE(F31," ",""),"0",""),"-",""))))),1,0),0)</f>
      </c>
      <c r="E38" s="14" t="str">
        <f>LEN(SUBSTITUTE(SUBSTITUTE(SUBSTITUTE(E30," ",""),"0",""),"-",""))+LEN(SUBSTITUTE(SUBSTITUTE(SUBSTITUTE(F30," ",""),"0",""),"-",""))+LEN(SUBSTITUTE(SUBSTITUTE(SUBSTITUTE(E31," ",""),"0",""),"-",""))+LEN(SUBSTITUTE(SUBSTITUTE(SUBSTITUTE(F31," ",""),"0",""),"-",""))</f>
      </c>
      <c r="F38" s="14" t="str">
        <f>LEN(SUBSTITUTE(SUBSTITUTE(SUBSTITUTE(B30," ",""),"0",""),"-",""))+LEN(SUBSTITUTE(SUBSTITUTE(SUBSTITUTE(C30," ",""),"0",""),"-",""))+LEN(SUBSTITUTE(SUBSTITUTE(SUBSTITUTE(B31," ",""),"0",""),"-",""))+LEN(SUBSTITUTE(SUBSTITUTE(SUBSTITUTE(C31," ",""),"0",""),"-",""))</f>
      </c>
      <c r="G38" s="18" t="str">
        <f>RANK(U38,$U$34:$U$38)+COUNTIF($U$33:U37,U38)</f>
      </c>
      <c r="I38" s="14" t="str">
        <f>data!$E$26&amp;" "&amp;data!$B$26</f>
      </c>
      <c r="J38" s="14" t="str">
        <f>IF(OR(COUNTA(J30,K30,M30,N30)&gt;0,OR(L30="X",L30="x")),IF(OR(L30="X",L30="x",AND(OR(COUNTA(J30,K30,M30,N30)&gt;0,OR(L30="X",L30="x")),(LEN(SUBSTITUTE(SUBSTITUTE(SUBSTITUTE(J30," ",""),"0",""),"-",""))+LEN(SUBSTITUTE(SUBSTITUTE(SUBSTITUTE(K30," ",""),"0",""),"-","")))=(LEN(SUBSTITUTE(SUBSTITUTE(SUBSTITUTE(M30," ",""),"0",""),"-",""))+LEN(SUBSTITUTE(SUBSTITUTE(SUBSTITUTE(N30," ",""),"0",""),"-",""))))),0,(LEN(SUBSTITUTE(SUBSTITUTE(SUBSTITUTE(M30," ",""),"0",""),"-",""))+LEN(SUBSTITUTE(SUBSTITUTE(SUBSTITUTE(N30," ",""),"0",""),"-",""))&gt;LEN(SUBSTITUTE(SUBSTITUTE(SUBSTITUTE(J30," ",""),"0",""),"-",""))+LEN(SUBSTITUTE(SUBSTITUTE(SUBSTITUTE(K30," ",""),"0",""),"-","")))*1),0)+IF(OR(COUNTA(J31,K31,M31,N31)&gt;0,OR(L31="X",L31="x")),IF(OR(L31="X",L31="x",AND(OR(COUNTA(J31,K31,M31,N31)&gt;0,OR(L31="X",L31="x")),(LEN(SUBSTITUTE(SUBSTITUTE(SUBSTITUTE(J31," ",""),"0",""),"-",""))+LEN(SUBSTITUTE(SUBSTITUTE(SUBSTITUTE(K31," ",""),"0",""),"-","")))=(LEN(SUBSTITUTE(SUBSTITUTE(SUBSTITUTE(M31," ",""),"0",""),"-",""))+LEN(SUBSTITUTE(SUBSTITUTE(SUBSTITUTE(N31," ",""),"0",""),"-",""))))),0,(LEN(SUBSTITUTE(SUBSTITUTE(SUBSTITUTE(M31," ",""),"0",""),"-",""))+LEN(SUBSTITUTE(SUBSTITUTE(SUBSTITUTE(N31," ",""),"0",""),"-",""))&gt;LEN(SUBSTITUTE(SUBSTITUTE(SUBSTITUTE(J31," ",""),"0",""),"-",""))+LEN(SUBSTITUTE(SUBSTITUTE(SUBSTITUTE(K31," ",""),"0",""),"-","")))*1),0)</f>
      </c>
      <c r="K38" s="14" t="str">
        <f>IF(OR(COUNTA(J30,K30,M30,N30)&gt;0,OR(L30="X",L30="x")),IF(OR(L30="X",L30="x",AND(OR(COUNTA(J30,K30,M30,N30)&gt;0,OR(L30="X",L30="x")),(LEN(SUBSTITUTE(SUBSTITUTE(SUBSTITUTE(J30," ",""),"0",""),"-",""))+LEN(SUBSTITUTE(SUBSTITUTE(SUBSTITUTE(K30," ",""),"0",""),"-","")))=(LEN(SUBSTITUTE(SUBSTITUTE(SUBSTITUTE(M30," ",""),"0",""),"-",""))+LEN(SUBSTITUTE(SUBSTITUTE(SUBSTITUTE(N30," ",""),"0",""),"-",""))))),0,(LEN(SUBSTITUTE(SUBSTITUTE(SUBSTITUTE(M30," ",""),"0",""),"-",""))+LEN(SUBSTITUTE(SUBSTITUTE(SUBSTITUTE(N30," ",""),"0",""),"-",""))&lt;LEN(SUBSTITUTE(SUBSTITUTE(SUBSTITUTE(J30," ",""),"0",""),"-",""))+LEN(SUBSTITUTE(SUBSTITUTE(SUBSTITUTE(K30," ",""),"0",""),"-","")))*1),0)+IF(OR(COUNTA(J31,K31,M31,N31)&gt;0,OR(L31="X",L31="x")),IF(OR(L31="X",L31="x",AND(OR(COUNTA(J31,K31,M31,N31)&gt;0,OR(L31="X",L31="x")),(LEN(SUBSTITUTE(SUBSTITUTE(SUBSTITUTE(J31," ",""),"0",""),"-",""))+LEN(SUBSTITUTE(SUBSTITUTE(SUBSTITUTE(K31," ",""),"0",""),"-","")))=(LEN(SUBSTITUTE(SUBSTITUTE(SUBSTITUTE(M31," ",""),"0",""),"-",""))+LEN(SUBSTITUTE(SUBSTITUTE(SUBSTITUTE(N31," ",""),"0",""),"-",""))))),0,(LEN(SUBSTITUTE(SUBSTITUTE(SUBSTITUTE(M31," ",""),"0",""),"-",""))+LEN(SUBSTITUTE(SUBSTITUTE(SUBSTITUTE(N31," ",""),"0",""),"-",""))&lt;LEN(SUBSTITUTE(SUBSTITUTE(SUBSTITUTE(J31," ",""),"0",""),"-",""))+LEN(SUBSTITUTE(SUBSTITUTE(SUBSTITUTE(K31," ",""),"0",""),"-","")))*1),0)</f>
      </c>
      <c r="L38" s="14" t="str">
        <f>IF(OR(COUNTA(J30,K30,M30,N30)&gt;0,OR(L30="X",L30="x")),IF(OR(L30="X",L30="x",AND(OR(COUNTA(J30,K30,M30,N30)&gt;0,OR(L30="X",L30="x")),(LEN(SUBSTITUTE(SUBSTITUTE(SUBSTITUTE(J30," ",""),"0",""),"-",""))+LEN(SUBSTITUTE(SUBSTITUTE(SUBSTITUTE(K30," ",""),"0",""),"-","")))=(LEN(SUBSTITUTE(SUBSTITUTE(SUBSTITUTE(M30," ",""),"0",""),"-",""))+LEN(SUBSTITUTE(SUBSTITUTE(SUBSTITUTE(N30," ",""),"0",""),"-",""))))),1,0),0)+IF(OR(COUNTA(J31,K31,M31,N31)&gt;0,OR(L31="X",L31="x")),IF(OR(L31="X",L31="x",AND(OR(COUNTA(J31,K31,M31,N31)&gt;0,OR(L31="X",L31="x")),(LEN(SUBSTITUTE(SUBSTITUTE(SUBSTITUTE(J31," ",""),"0",""),"-",""))+LEN(SUBSTITUTE(SUBSTITUTE(SUBSTITUTE(K31," ",""),"0",""),"-","")))=(LEN(SUBSTITUTE(SUBSTITUTE(SUBSTITUTE(M31," ",""),"0",""),"-",""))+LEN(SUBSTITUTE(SUBSTITUTE(SUBSTITUTE(N31," ",""),"0",""),"-",""))))),1,0),0)</f>
      </c>
      <c r="M38" s="14" t="str">
        <f>LEN(SUBSTITUTE(SUBSTITUTE(SUBSTITUTE(M30," ",""),"0",""),"-",""))+LEN(SUBSTITUTE(SUBSTITUTE(SUBSTITUTE(N30," ",""),"0",""),"-",""))+LEN(SUBSTITUTE(SUBSTITUTE(SUBSTITUTE(M31," ",""),"0",""),"-",""))+LEN(SUBSTITUTE(SUBSTITUTE(SUBSTITUTE(N31," ",""),"0",""),"-",""))</f>
      </c>
      <c r="N38" s="14" t="str">
        <f>LEN(SUBSTITUTE(SUBSTITUTE(SUBSTITUTE(J30," ",""),"0",""),"-",""))+LEN(SUBSTITUTE(SUBSTITUTE(SUBSTITUTE(K30," ",""),"0",""),"-",""))+LEN(SUBSTITUTE(SUBSTITUTE(SUBSTITUTE(J31," ",""),"0",""),"-",""))+LEN(SUBSTITUTE(SUBSTITUTE(SUBSTITUTE(K31," ",""),"0",""),"-",""))</f>
      </c>
      <c r="O38" s="18" t="str">
        <f>RANK(AC38,$AC$34:$AC$38)+COUNTIF($AC$33:AC37,AC38)</f>
      </c>
      <c r="U38" t="str">
        <f>(B38*1000000)-(C38*10000)+(D38*100)+(E38*1)-(F38*0.01)</f>
      </c>
      <c r="AC38" t="str">
        <f>(J38*1000000)-(K38*10000)+(L38*100)+(M38*1)-(N38*0.01)</f>
      </c>
    </row>
    <row r="41">
      <c r="F41" s="13"/>
      <c r="G41" s="13" t="s">
        <v>126</v>
      </c>
      <c r="N41" s="13"/>
      <c r="O41" s="13" t="s">
        <v>126</v>
      </c>
    </row>
    <row r="42">
      <c r="F42" t="s">
        <v>127</v>
      </c>
      <c r="G42" s="19" t="str">
        <f>IFERROR(INDEX($A$34:$A$38, MATCH(1, $G$34:$G$38, 0)), "-")</f>
      </c>
      <c r="N42" t="s">
        <v>127</v>
      </c>
      <c r="O42" s="19" t="str">
        <f>IFERROR(INDEX($I$34:$I$38, MATCH(1, $O$34:$O$38, 0)), "-")</f>
      </c>
    </row>
    <row r="43">
      <c r="F43" t="s">
        <v>128</v>
      </c>
      <c r="G43" s="19" t="str">
        <f>IFERROR(INDEX($A$34:$A$38, MATCH(2, $G$34:$G$38, 0)), "-")</f>
      </c>
      <c r="N43" t="s">
        <v>128</v>
      </c>
      <c r="O43" s="19" t="str">
        <f>IFERROR(INDEX($I$34:$I$38, MATCH(2, $O$34:$O$38, 0)), "-")</f>
      </c>
    </row>
    <row r="44">
      <c r="F44" t="s">
        <v>129</v>
      </c>
      <c r="G44" s="19" t="str">
        <f>IFERROR(INDEX($A$34:$A$38, MATCH(3, $G$34:$G$38, 0)), "-")</f>
      </c>
      <c r="N44" t="s">
        <v>129</v>
      </c>
      <c r="O44" s="19" t="str">
        <f>IFERROR(INDEX($I$34:$I$38, MATCH(3, $O$34:$O$38, 0)), "-")</f>
      </c>
    </row>
    <row r="45">
      <c r="F45" t="s">
        <v>130</v>
      </c>
      <c r="G45" s="19" t="str">
        <f>IFERROR(INDEX($A$34:$A$38, MATCH(4, $G$34:$G$38, 0)), "-")</f>
      </c>
      <c r="N45" t="s">
        <v>130</v>
      </c>
      <c r="O45" s="19" t="str">
        <f>IFERROR(INDEX($I$34:$I$38, MATCH(4, $O$34:$O$38, 0)), "-")</f>
      </c>
    </row>
    <row r="46">
      <c r="F46" t="s">
        <v>131</v>
      </c>
      <c r="G46" s="19" t="str">
        <f>IFERROR(INDEX($A$34:$A$38, MATCH(5, $G$34:$G$38, 0)), "-")</f>
      </c>
      <c r="N46" t="s">
        <v>131</v>
      </c>
      <c r="O46" s="19" t="str">
        <f>IFERROR(INDEX($I$34:$I$38, MATCH(5, $O$34:$O$38, 0)), "-")</f>
      </c>
    </row>
    <row r="48">
      <c r="A48" s="13" t="str">
        <f>'data'!$A$16</f>
      </c>
      <c r="B48" s="13"/>
      <c r="C48" s="13"/>
      <c r="D48" s="13"/>
      <c r="E48" s="13"/>
      <c r="F48" s="13"/>
      <c r="G48" s="13"/>
    </row>
    <row r="49">
      <c r="A49" s="17" t="s">
        <v>116</v>
      </c>
      <c r="D49" s="14" t="s">
        <v>117</v>
      </c>
      <c r="G49" s="16" t="s">
        <v>118</v>
      </c>
    </row>
    <row r="50">
      <c r="A50" s="14" t="str">
        <f>data!$E$14&amp;" "&amp;data!$B$14</f>
      </c>
      <c r="B50" s="18"/>
      <c r="C50" s="18"/>
      <c r="D50" s="18"/>
      <c r="E50" s="18"/>
      <c r="F50" s="18"/>
      <c r="G50" s="14" t="str">
        <f>data!$E$13&amp;" "&amp;data!$B$13</f>
      </c>
    </row>
    <row r="51">
      <c r="A51" s="14" t="str">
        <f>data!$E$14&amp;" "&amp;data!$B$14</f>
      </c>
      <c r="B51" s="18"/>
      <c r="C51" s="18"/>
      <c r="D51" s="18"/>
      <c r="E51" s="18"/>
      <c r="F51" s="18"/>
      <c r="G51" s="14" t="str">
        <f>data!$E$15&amp;" "&amp;data!$B$15</f>
      </c>
    </row>
    <row r="52">
      <c r="A52" s="14" t="str">
        <f>data!$E$16&amp;" "&amp;data!$B$16</f>
      </c>
      <c r="B52" s="18"/>
      <c r="C52" s="18"/>
      <c r="D52" s="18"/>
      <c r="E52" s="18"/>
      <c r="F52" s="18"/>
      <c r="G52" s="14" t="str">
        <f>data!$E$15&amp;" "&amp;data!$B$15</f>
      </c>
    </row>
    <row r="53">
      <c r="A53" s="14" t="str">
        <f>data!$E$16&amp;" "&amp;data!$B$16</f>
      </c>
      <c r="B53" s="18"/>
      <c r="C53" s="18"/>
      <c r="D53" s="18"/>
      <c r="E53" s="18"/>
      <c r="F53" s="18"/>
      <c r="G53" s="14" t="str">
        <f>data!$E$13&amp;" "&amp;data!$B$13</f>
      </c>
    </row>
    <row r="55">
      <c r="A55" s="13" t="s">
        <v>119</v>
      </c>
      <c r="B55" s="13" t="s">
        <v>120</v>
      </c>
      <c r="C55" s="13" t="s">
        <v>121</v>
      </c>
      <c r="D55" s="13" t="s">
        <v>122</v>
      </c>
      <c r="E55" s="13" t="s">
        <v>123</v>
      </c>
      <c r="F55" s="13" t="s">
        <v>124</v>
      </c>
      <c r="G55" s="13" t="s">
        <v>125</v>
      </c>
    </row>
    <row r="56">
      <c r="A56" s="14" t="str">
        <f>data!$E$13&amp;" "&amp;data!$B$13</f>
      </c>
      <c r="B56" s="14" t="str">
        <f>IF(OR(COUNTA(B50,C50,E50,F50)&gt;0,OR(D50="X",D50="x")),IF(OR(D50="X",D50="x",AND(OR(COUNTA(B50,C50,E50,F50)&gt;0,OR(D50="X",D50="x")),(LEN(SUBSTITUTE(SUBSTITUTE(SUBSTITUTE(B50," ",""),"0",""),"-",""))+LEN(SUBSTITUTE(SUBSTITUTE(SUBSTITUTE(C50," ",""),"0",""),"-","")))=(LEN(SUBSTITUTE(SUBSTITUTE(SUBSTITUTE(E50," ",""),"0",""),"-",""))+LEN(SUBSTITUTE(SUBSTITUTE(SUBSTITUTE(F50," ",""),"0",""),"-",""))))),0,(LEN(SUBSTITUTE(SUBSTITUTE(SUBSTITUTE(E50," ",""),"0",""),"-",""))+LEN(SUBSTITUTE(SUBSTITUTE(SUBSTITUTE(F50," ",""),"0",""),"-",""))&gt;LEN(SUBSTITUTE(SUBSTITUTE(SUBSTITUTE(B50," ",""),"0",""),"-",""))+LEN(SUBSTITUTE(SUBSTITUTE(SUBSTITUTE(C50," ",""),"0",""),"-","")))*1),0)+IF(OR(COUNTA(B53,C53,E53,F53)&gt;0,OR(D53="X",D53="x")),IF(OR(D53="X",D53="x",AND(OR(COUNTA(B53,C53,E53,F53)&gt;0,OR(D53="X",D53="x")),(LEN(SUBSTITUTE(SUBSTITUTE(SUBSTITUTE(B53," ",""),"0",""),"-",""))+LEN(SUBSTITUTE(SUBSTITUTE(SUBSTITUTE(C53," ",""),"0",""),"-","")))=(LEN(SUBSTITUTE(SUBSTITUTE(SUBSTITUTE(E53," ",""),"0",""),"-",""))+LEN(SUBSTITUTE(SUBSTITUTE(SUBSTITUTE(F53," ",""),"0",""),"-",""))))),0,(LEN(SUBSTITUTE(SUBSTITUTE(SUBSTITUTE(E53," ",""),"0",""),"-",""))+LEN(SUBSTITUTE(SUBSTITUTE(SUBSTITUTE(F53," ",""),"0",""),"-",""))&gt;LEN(SUBSTITUTE(SUBSTITUTE(SUBSTITUTE(B53," ",""),"0",""),"-",""))+LEN(SUBSTITUTE(SUBSTITUTE(SUBSTITUTE(C53," ",""),"0",""),"-","")))*1),0)</f>
      </c>
      <c r="C56" s="14" t="str">
        <f>IF(OR(COUNTA(B50,C50,E50,F50)&gt;0,OR(D50="X",D50="x")),IF(OR(D50="X",D50="x",AND(OR(COUNTA(B50,C50,E50,F50)&gt;0,OR(D50="X",D50="x")),(LEN(SUBSTITUTE(SUBSTITUTE(SUBSTITUTE(B50," ",""),"0",""),"-",""))+LEN(SUBSTITUTE(SUBSTITUTE(SUBSTITUTE(C50," ",""),"0",""),"-","")))=(LEN(SUBSTITUTE(SUBSTITUTE(SUBSTITUTE(E50," ",""),"0",""),"-",""))+LEN(SUBSTITUTE(SUBSTITUTE(SUBSTITUTE(F50," ",""),"0",""),"-",""))))),0,(LEN(SUBSTITUTE(SUBSTITUTE(SUBSTITUTE(E50," ",""),"0",""),"-",""))+LEN(SUBSTITUTE(SUBSTITUTE(SUBSTITUTE(F50," ",""),"0",""),"-",""))&lt;LEN(SUBSTITUTE(SUBSTITUTE(SUBSTITUTE(B50," ",""),"0",""),"-",""))+LEN(SUBSTITUTE(SUBSTITUTE(SUBSTITUTE(C50," ",""),"0",""),"-","")))*1),0)+IF(OR(COUNTA(B53,C53,E53,F53)&gt;0,OR(D53="X",D53="x")),IF(OR(D53="X",D53="x",AND(OR(COUNTA(B53,C53,E53,F53)&gt;0,OR(D53="X",D53="x")),(LEN(SUBSTITUTE(SUBSTITUTE(SUBSTITUTE(B53," ",""),"0",""),"-",""))+LEN(SUBSTITUTE(SUBSTITUTE(SUBSTITUTE(C53," ",""),"0",""),"-","")))=(LEN(SUBSTITUTE(SUBSTITUTE(SUBSTITUTE(E53," ",""),"0",""),"-",""))+LEN(SUBSTITUTE(SUBSTITUTE(SUBSTITUTE(F53," ",""),"0",""),"-",""))))),0,(LEN(SUBSTITUTE(SUBSTITUTE(SUBSTITUTE(E53," ",""),"0",""),"-",""))+LEN(SUBSTITUTE(SUBSTITUTE(SUBSTITUTE(F53," ",""),"0",""),"-",""))&lt;LEN(SUBSTITUTE(SUBSTITUTE(SUBSTITUTE(B53," ",""),"0",""),"-",""))+LEN(SUBSTITUTE(SUBSTITUTE(SUBSTITUTE(C53," ",""),"0",""),"-","")))*1),0)</f>
      </c>
      <c r="D56" s="14" t="str">
        <f>IF(OR(COUNTA(B50,C50,E50,F50)&gt;0,OR(D50="X",D50="x")),IF(OR(D50="X",D50="x",AND(OR(COUNTA(B50,C50,E50,F50)&gt;0,OR(D50="X",D50="x")),(LEN(SUBSTITUTE(SUBSTITUTE(SUBSTITUTE(B50," ",""),"0",""),"-",""))+LEN(SUBSTITUTE(SUBSTITUTE(SUBSTITUTE(C50," ",""),"0",""),"-","")))=(LEN(SUBSTITUTE(SUBSTITUTE(SUBSTITUTE(E50," ",""),"0",""),"-",""))+LEN(SUBSTITUTE(SUBSTITUTE(SUBSTITUTE(F50," ",""),"0",""),"-",""))))),1,0),0)+IF(OR(COUNTA(B53,C53,E53,F53)&gt;0,OR(D53="X",D53="x")),IF(OR(D53="X",D53="x",AND(OR(COUNTA(B53,C53,E53,F53)&gt;0,OR(D53="X",D53="x")),(LEN(SUBSTITUTE(SUBSTITUTE(SUBSTITUTE(B53," ",""),"0",""),"-",""))+LEN(SUBSTITUTE(SUBSTITUTE(SUBSTITUTE(C53," ",""),"0",""),"-","")))=(LEN(SUBSTITUTE(SUBSTITUTE(SUBSTITUTE(E53," ",""),"0",""),"-",""))+LEN(SUBSTITUTE(SUBSTITUTE(SUBSTITUTE(F53," ",""),"0",""),"-",""))))),1,0),0)</f>
      </c>
      <c r="E56" s="14" t="str">
        <f>LEN(SUBSTITUTE(SUBSTITUTE(SUBSTITUTE(E50," ",""),"0",""),"-",""))+LEN(SUBSTITUTE(SUBSTITUTE(SUBSTITUTE(F50," ",""),"0",""),"-",""))+LEN(SUBSTITUTE(SUBSTITUTE(SUBSTITUTE(E53," ",""),"0",""),"-",""))+LEN(SUBSTITUTE(SUBSTITUTE(SUBSTITUTE(F53," ",""),"0",""),"-",""))</f>
      </c>
      <c r="F56" s="14" t="str">
        <f>LEN(SUBSTITUTE(SUBSTITUTE(SUBSTITUTE(B50," ",""),"0",""),"-",""))+LEN(SUBSTITUTE(SUBSTITUTE(SUBSTITUTE(C50," ",""),"0",""),"-",""))+LEN(SUBSTITUTE(SUBSTITUTE(SUBSTITUTE(B53," ",""),"0",""),"-",""))+LEN(SUBSTITUTE(SUBSTITUTE(SUBSTITUTE(C53," ",""),"0",""),"-",""))</f>
      </c>
      <c r="G56" s="18" t="str">
        <f>RANK(U56,$U$56:$U$59)+COUNTIF($U$55:U55,U56)</f>
      </c>
      <c r="U56" t="str">
        <f>(B56*1000000)-(C56*10000)+(D56*100)+(E56*1)-(F56*0.01)</f>
      </c>
    </row>
    <row r="57">
      <c r="A57" s="14" t="str">
        <f>data!$E$14&amp;" "&amp;data!$B$14</f>
      </c>
      <c r="B57" s="14" t="str">
        <f>IF(OR(COUNTA(B50,C50,E50,F50)&gt;0,OR(D50="X",D50="x")),IF(OR(D50="X",D50="x",AND(OR(COUNTA(B50,C50,E50,F50)&gt;0,OR(D50="X",D50="x")),(LEN(SUBSTITUTE(SUBSTITUTE(SUBSTITUTE(B50," ",""),"0",""),"-",""))+LEN(SUBSTITUTE(SUBSTITUTE(SUBSTITUTE(C50," ",""),"0",""),"-","")))=(LEN(SUBSTITUTE(SUBSTITUTE(SUBSTITUTE(E50," ",""),"0",""),"-",""))+LEN(SUBSTITUTE(SUBSTITUTE(SUBSTITUTE(F50," ",""),"0",""),"-",""))))),0,(LEN(SUBSTITUTE(SUBSTITUTE(SUBSTITUTE(B50," ",""),"0",""),"-",""))+LEN(SUBSTITUTE(SUBSTITUTE(SUBSTITUTE(C50," ",""),"0",""),"-",""))&gt;LEN(SUBSTITUTE(SUBSTITUTE(SUBSTITUTE(E50," ",""),"0",""),"-",""))+LEN(SUBSTITUTE(SUBSTITUTE(SUBSTITUTE(F50," ",""),"0",""),"-","")))*1),0)+IF(OR(COUNTA(B51,C51,E51,F51)&gt;0,OR(D51="X",D51="x")),IF(OR(D51="X",D51="x",AND(OR(COUNTA(B51,C51,E51,F51)&gt;0,OR(D51="X",D51="x")),(LEN(SUBSTITUTE(SUBSTITUTE(SUBSTITUTE(B51," ",""),"0",""),"-",""))+LEN(SUBSTITUTE(SUBSTITUTE(SUBSTITUTE(C51," ",""),"0",""),"-","")))=(LEN(SUBSTITUTE(SUBSTITUTE(SUBSTITUTE(E51," ",""),"0",""),"-",""))+LEN(SUBSTITUTE(SUBSTITUTE(SUBSTITUTE(F51," ",""),"0",""),"-",""))))),0,(LEN(SUBSTITUTE(SUBSTITUTE(SUBSTITUTE(B51," ",""),"0",""),"-",""))+LEN(SUBSTITUTE(SUBSTITUTE(SUBSTITUTE(C51," ",""),"0",""),"-",""))&gt;LEN(SUBSTITUTE(SUBSTITUTE(SUBSTITUTE(E51," ",""),"0",""),"-",""))+LEN(SUBSTITUTE(SUBSTITUTE(SUBSTITUTE(F51," ",""),"0",""),"-","")))*1),0)</f>
      </c>
      <c r="C57" s="14" t="str">
        <f>IF(OR(COUNTA(B50,C50,E50,F50)&gt;0,OR(D50="X",D50="x")),IF(OR(D50="X",D50="x",AND(OR(COUNTA(B50,C50,E50,F50)&gt;0,OR(D50="X",D50="x")),(LEN(SUBSTITUTE(SUBSTITUTE(SUBSTITUTE(B50," ",""),"0",""),"-",""))+LEN(SUBSTITUTE(SUBSTITUTE(SUBSTITUTE(C50," ",""),"0",""),"-","")))=(LEN(SUBSTITUTE(SUBSTITUTE(SUBSTITUTE(E50," ",""),"0",""),"-",""))+LEN(SUBSTITUTE(SUBSTITUTE(SUBSTITUTE(F50," ",""),"0",""),"-",""))))),0,(LEN(SUBSTITUTE(SUBSTITUTE(SUBSTITUTE(B50," ",""),"0",""),"-",""))+LEN(SUBSTITUTE(SUBSTITUTE(SUBSTITUTE(C50," ",""),"0",""),"-",""))&lt;LEN(SUBSTITUTE(SUBSTITUTE(SUBSTITUTE(E50," ",""),"0",""),"-",""))+LEN(SUBSTITUTE(SUBSTITUTE(SUBSTITUTE(F50," ",""),"0",""),"-","")))*1),0)+IF(OR(COUNTA(B51,C51,E51,F51)&gt;0,OR(D51="X",D51="x")),IF(OR(D51="X",D51="x",AND(OR(COUNTA(B51,C51,E51,F51)&gt;0,OR(D51="X",D51="x")),(LEN(SUBSTITUTE(SUBSTITUTE(SUBSTITUTE(B51," ",""),"0",""),"-",""))+LEN(SUBSTITUTE(SUBSTITUTE(SUBSTITUTE(C51," ",""),"0",""),"-","")))=(LEN(SUBSTITUTE(SUBSTITUTE(SUBSTITUTE(E51," ",""),"0",""),"-",""))+LEN(SUBSTITUTE(SUBSTITUTE(SUBSTITUTE(F51," ",""),"0",""),"-",""))))),0,(LEN(SUBSTITUTE(SUBSTITUTE(SUBSTITUTE(B51," ",""),"0",""),"-",""))+LEN(SUBSTITUTE(SUBSTITUTE(SUBSTITUTE(C51," ",""),"0",""),"-",""))&lt;LEN(SUBSTITUTE(SUBSTITUTE(SUBSTITUTE(E51," ",""),"0",""),"-",""))+LEN(SUBSTITUTE(SUBSTITUTE(SUBSTITUTE(F51," ",""),"0",""),"-","")))*1),0)</f>
      </c>
      <c r="D57" s="14" t="str">
        <f>IF(OR(COUNTA(B50,C50,E50,F50)&gt;0,OR(D50="X",D50="x")),IF(OR(D50="X",D50="x",AND(OR(COUNTA(B50,C50,E50,F50)&gt;0,OR(D50="X",D50="x")),(LEN(SUBSTITUTE(SUBSTITUTE(SUBSTITUTE(B50," ",""),"0",""),"-",""))+LEN(SUBSTITUTE(SUBSTITUTE(SUBSTITUTE(C50," ",""),"0",""),"-","")))=(LEN(SUBSTITUTE(SUBSTITUTE(SUBSTITUTE(E50," ",""),"0",""),"-",""))+LEN(SUBSTITUTE(SUBSTITUTE(SUBSTITUTE(F50," ",""),"0",""),"-",""))))),1,0),0)+IF(OR(COUNTA(B51,C51,E51,F51)&gt;0,OR(D51="X",D51="x")),IF(OR(D51="X",D51="x",AND(OR(COUNTA(B51,C51,E51,F51)&gt;0,OR(D51="X",D51="x")),(LEN(SUBSTITUTE(SUBSTITUTE(SUBSTITUTE(B51," ",""),"0",""),"-",""))+LEN(SUBSTITUTE(SUBSTITUTE(SUBSTITUTE(C51," ",""),"0",""),"-","")))=(LEN(SUBSTITUTE(SUBSTITUTE(SUBSTITUTE(E51," ",""),"0",""),"-",""))+LEN(SUBSTITUTE(SUBSTITUTE(SUBSTITUTE(F51," ",""),"0",""),"-",""))))),1,0),0)</f>
      </c>
      <c r="E57" s="14" t="str">
        <f>LEN(SUBSTITUTE(SUBSTITUTE(SUBSTITUTE(B50," ",""),"0",""),"-",""))+LEN(SUBSTITUTE(SUBSTITUTE(SUBSTITUTE(C50," ",""),"0",""),"-",""))+LEN(SUBSTITUTE(SUBSTITUTE(SUBSTITUTE(B51," ",""),"0",""),"-",""))+LEN(SUBSTITUTE(SUBSTITUTE(SUBSTITUTE(C51," ",""),"0",""),"-",""))</f>
      </c>
      <c r="F57" s="14" t="str">
        <f>LEN(SUBSTITUTE(SUBSTITUTE(SUBSTITUTE(E50," ",""),"0",""),"-",""))+LEN(SUBSTITUTE(SUBSTITUTE(SUBSTITUTE(F50," ",""),"0",""),"-",""))+LEN(SUBSTITUTE(SUBSTITUTE(SUBSTITUTE(E51," ",""),"0",""),"-",""))+LEN(SUBSTITUTE(SUBSTITUTE(SUBSTITUTE(F51," ",""),"0",""),"-",""))</f>
      </c>
      <c r="G57" s="18" t="str">
        <f>RANK(U57,$U$56:$U$59)+COUNTIF($U$55:U56,U57)</f>
      </c>
      <c r="U57" t="str">
        <f>(B57*1000000)-(C57*10000)+(D57*100)+(E57*1)-(F57*0.01)</f>
      </c>
    </row>
    <row r="58">
      <c r="A58" s="14" t="str">
        <f>data!$E$15&amp;" "&amp;data!$B$15</f>
      </c>
      <c r="B58" s="14" t="str">
        <f>IF(OR(COUNTA(B51,C51,E51,F51)&gt;0,OR(D51="X",D51="x")),IF(OR(D51="X",D51="x",AND(OR(COUNTA(B51,C51,E51,F51)&gt;0,OR(D51="X",D51="x")),(LEN(SUBSTITUTE(SUBSTITUTE(SUBSTITUTE(B51," ",""),"0",""),"-",""))+LEN(SUBSTITUTE(SUBSTITUTE(SUBSTITUTE(C51," ",""),"0",""),"-","")))=(LEN(SUBSTITUTE(SUBSTITUTE(SUBSTITUTE(E51," ",""),"0",""),"-",""))+LEN(SUBSTITUTE(SUBSTITUTE(SUBSTITUTE(F51," ",""),"0",""),"-",""))))),0,(LEN(SUBSTITUTE(SUBSTITUTE(SUBSTITUTE(E51," ",""),"0",""),"-",""))+LEN(SUBSTITUTE(SUBSTITUTE(SUBSTITUTE(F51," ",""),"0",""),"-",""))&gt;LEN(SUBSTITUTE(SUBSTITUTE(SUBSTITUTE(B51," ",""),"0",""),"-",""))+LEN(SUBSTITUTE(SUBSTITUTE(SUBSTITUTE(C51," ",""),"0",""),"-","")))*1),0)+IF(OR(COUNTA(B52,C52,E52,F52)&gt;0,OR(D52="X",D52="x")),IF(OR(D52="X",D52="x",AND(OR(COUNTA(B52,C52,E52,F52)&gt;0,OR(D52="X",D52="x")),(LEN(SUBSTITUTE(SUBSTITUTE(SUBSTITUTE(B52," ",""),"0",""),"-",""))+LEN(SUBSTITUTE(SUBSTITUTE(SUBSTITUTE(C52," ",""),"0",""),"-","")))=(LEN(SUBSTITUTE(SUBSTITUTE(SUBSTITUTE(E52," ",""),"0",""),"-",""))+LEN(SUBSTITUTE(SUBSTITUTE(SUBSTITUTE(F52," ",""),"0",""),"-",""))))),0,(LEN(SUBSTITUTE(SUBSTITUTE(SUBSTITUTE(E52," ",""),"0",""),"-",""))+LEN(SUBSTITUTE(SUBSTITUTE(SUBSTITUTE(F52," ",""),"0",""),"-",""))&gt;LEN(SUBSTITUTE(SUBSTITUTE(SUBSTITUTE(B52," ",""),"0",""),"-",""))+LEN(SUBSTITUTE(SUBSTITUTE(SUBSTITUTE(C52," ",""),"0",""),"-","")))*1),0)</f>
      </c>
      <c r="C58" s="14" t="str">
        <f>IF(OR(COUNTA(B51,C51,E51,F51)&gt;0,OR(D51="X",D51="x")),IF(OR(D51="X",D51="x",AND(OR(COUNTA(B51,C51,E51,F51)&gt;0,OR(D51="X",D51="x")),(LEN(SUBSTITUTE(SUBSTITUTE(SUBSTITUTE(B51," ",""),"0",""),"-",""))+LEN(SUBSTITUTE(SUBSTITUTE(SUBSTITUTE(C51," ",""),"0",""),"-","")))=(LEN(SUBSTITUTE(SUBSTITUTE(SUBSTITUTE(E51," ",""),"0",""),"-",""))+LEN(SUBSTITUTE(SUBSTITUTE(SUBSTITUTE(F51," ",""),"0",""),"-",""))))),0,(LEN(SUBSTITUTE(SUBSTITUTE(SUBSTITUTE(E51," ",""),"0",""),"-",""))+LEN(SUBSTITUTE(SUBSTITUTE(SUBSTITUTE(F51," ",""),"0",""),"-",""))&lt;LEN(SUBSTITUTE(SUBSTITUTE(SUBSTITUTE(B51," ",""),"0",""),"-",""))+LEN(SUBSTITUTE(SUBSTITUTE(SUBSTITUTE(C51," ",""),"0",""),"-","")))*1),0)+IF(OR(COUNTA(B52,C52,E52,F52)&gt;0,OR(D52="X",D52="x")),IF(OR(D52="X",D52="x",AND(OR(COUNTA(B52,C52,E52,F52)&gt;0,OR(D52="X",D52="x")),(LEN(SUBSTITUTE(SUBSTITUTE(SUBSTITUTE(B52," ",""),"0",""),"-",""))+LEN(SUBSTITUTE(SUBSTITUTE(SUBSTITUTE(C52," ",""),"0",""),"-","")))=(LEN(SUBSTITUTE(SUBSTITUTE(SUBSTITUTE(E52," ",""),"0",""),"-",""))+LEN(SUBSTITUTE(SUBSTITUTE(SUBSTITUTE(F52," ",""),"0",""),"-",""))))),0,(LEN(SUBSTITUTE(SUBSTITUTE(SUBSTITUTE(E52," ",""),"0",""),"-",""))+LEN(SUBSTITUTE(SUBSTITUTE(SUBSTITUTE(F52," ",""),"0",""),"-",""))&lt;LEN(SUBSTITUTE(SUBSTITUTE(SUBSTITUTE(B52," ",""),"0",""),"-",""))+LEN(SUBSTITUTE(SUBSTITUTE(SUBSTITUTE(C52," ",""),"0",""),"-","")))*1),0)</f>
      </c>
      <c r="D58" s="14" t="str">
        <f>IF(OR(COUNTA(B51,C51,E51,F51)&gt;0,OR(D51="X",D51="x")),IF(OR(D51="X",D51="x",AND(OR(COUNTA(B51,C51,E51,F51)&gt;0,OR(D51="X",D51="x")),(LEN(SUBSTITUTE(SUBSTITUTE(SUBSTITUTE(B51," ",""),"0",""),"-",""))+LEN(SUBSTITUTE(SUBSTITUTE(SUBSTITUTE(C51," ",""),"0",""),"-","")))=(LEN(SUBSTITUTE(SUBSTITUTE(SUBSTITUTE(E51," ",""),"0",""),"-",""))+LEN(SUBSTITUTE(SUBSTITUTE(SUBSTITUTE(F51," ",""),"0",""),"-",""))))),1,0),0)+IF(OR(COUNTA(B52,C52,E52,F52)&gt;0,OR(D52="X",D52="x")),IF(OR(D52="X",D52="x",AND(OR(COUNTA(B52,C52,E52,F52)&gt;0,OR(D52="X",D52="x")),(LEN(SUBSTITUTE(SUBSTITUTE(SUBSTITUTE(B52," ",""),"0",""),"-",""))+LEN(SUBSTITUTE(SUBSTITUTE(SUBSTITUTE(C52," ",""),"0",""),"-","")))=(LEN(SUBSTITUTE(SUBSTITUTE(SUBSTITUTE(E52," ",""),"0",""),"-",""))+LEN(SUBSTITUTE(SUBSTITUTE(SUBSTITUTE(F52," ",""),"0",""),"-",""))))),1,0),0)</f>
      </c>
      <c r="E58" s="14" t="str">
        <f>LEN(SUBSTITUTE(SUBSTITUTE(SUBSTITUTE(E51," ",""),"0",""),"-",""))+LEN(SUBSTITUTE(SUBSTITUTE(SUBSTITUTE(F51," ",""),"0",""),"-",""))+LEN(SUBSTITUTE(SUBSTITUTE(SUBSTITUTE(E52," ",""),"0",""),"-",""))+LEN(SUBSTITUTE(SUBSTITUTE(SUBSTITUTE(F52," ",""),"0",""),"-",""))</f>
      </c>
      <c r="F58" s="14" t="str">
        <f>LEN(SUBSTITUTE(SUBSTITUTE(SUBSTITUTE(B51," ",""),"0",""),"-",""))+LEN(SUBSTITUTE(SUBSTITUTE(SUBSTITUTE(C51," ",""),"0",""),"-",""))+LEN(SUBSTITUTE(SUBSTITUTE(SUBSTITUTE(B52," ",""),"0",""),"-",""))+LEN(SUBSTITUTE(SUBSTITUTE(SUBSTITUTE(C52," ",""),"0",""),"-",""))</f>
      </c>
      <c r="G58" s="18" t="str">
        <f>RANK(U58,$U$56:$U$59)+COUNTIF($U$55:U57,U58)</f>
      </c>
      <c r="U58" t="str">
        <f>(B58*1000000)-(C58*10000)+(D58*100)+(E58*1)-(F58*0.01)</f>
      </c>
    </row>
    <row r="59">
      <c r="A59" s="14" t="str">
        <f>data!$E$16&amp;" "&amp;data!$B$16</f>
      </c>
      <c r="B59" s="14" t="str">
        <f>IF(OR(COUNTA(B52,C52,E52,F52)&gt;0,OR(D52="X",D52="x")),IF(OR(D52="X",D52="x",AND(OR(COUNTA(B52,C52,E52,F52)&gt;0,OR(D52="X",D52="x")),(LEN(SUBSTITUTE(SUBSTITUTE(SUBSTITUTE(B52," ",""),"0",""),"-",""))+LEN(SUBSTITUTE(SUBSTITUTE(SUBSTITUTE(C52," ",""),"0",""),"-","")))=(LEN(SUBSTITUTE(SUBSTITUTE(SUBSTITUTE(E52," ",""),"0",""),"-",""))+LEN(SUBSTITUTE(SUBSTITUTE(SUBSTITUTE(F52," ",""),"0",""),"-",""))))),0,(LEN(SUBSTITUTE(SUBSTITUTE(SUBSTITUTE(B52," ",""),"0",""),"-",""))+LEN(SUBSTITUTE(SUBSTITUTE(SUBSTITUTE(C52," ",""),"0",""),"-",""))&gt;LEN(SUBSTITUTE(SUBSTITUTE(SUBSTITUTE(E52," ",""),"0",""),"-",""))+LEN(SUBSTITUTE(SUBSTITUTE(SUBSTITUTE(F52," ",""),"0",""),"-","")))*1),0)+IF(OR(COUNTA(B53,C53,E53,F53)&gt;0,OR(D53="X",D53="x")),IF(OR(D53="X",D53="x",AND(OR(COUNTA(B53,C53,E53,F53)&gt;0,OR(D53="X",D53="x")),(LEN(SUBSTITUTE(SUBSTITUTE(SUBSTITUTE(B53," ",""),"0",""),"-",""))+LEN(SUBSTITUTE(SUBSTITUTE(SUBSTITUTE(C53," ",""),"0",""),"-","")))=(LEN(SUBSTITUTE(SUBSTITUTE(SUBSTITUTE(E53," ",""),"0",""),"-",""))+LEN(SUBSTITUTE(SUBSTITUTE(SUBSTITUTE(F53," ",""),"0",""),"-",""))))),0,(LEN(SUBSTITUTE(SUBSTITUTE(SUBSTITUTE(B53," ",""),"0",""),"-",""))+LEN(SUBSTITUTE(SUBSTITUTE(SUBSTITUTE(C53," ",""),"0",""),"-",""))&gt;LEN(SUBSTITUTE(SUBSTITUTE(SUBSTITUTE(E53," ",""),"0",""),"-",""))+LEN(SUBSTITUTE(SUBSTITUTE(SUBSTITUTE(F53," ",""),"0",""),"-","")))*1),0)</f>
      </c>
      <c r="C59" s="14" t="str">
        <f>IF(OR(COUNTA(B52,C52,E52,F52)&gt;0,OR(D52="X",D52="x")),IF(OR(D52="X",D52="x",AND(OR(COUNTA(B52,C52,E52,F52)&gt;0,OR(D52="X",D52="x")),(LEN(SUBSTITUTE(SUBSTITUTE(SUBSTITUTE(B52," ",""),"0",""),"-",""))+LEN(SUBSTITUTE(SUBSTITUTE(SUBSTITUTE(C52," ",""),"0",""),"-","")))=(LEN(SUBSTITUTE(SUBSTITUTE(SUBSTITUTE(E52," ",""),"0",""),"-",""))+LEN(SUBSTITUTE(SUBSTITUTE(SUBSTITUTE(F52," ",""),"0",""),"-",""))))),0,(LEN(SUBSTITUTE(SUBSTITUTE(SUBSTITUTE(B52," ",""),"0",""),"-",""))+LEN(SUBSTITUTE(SUBSTITUTE(SUBSTITUTE(C52," ",""),"0",""),"-",""))&lt;LEN(SUBSTITUTE(SUBSTITUTE(SUBSTITUTE(E52," ",""),"0",""),"-",""))+LEN(SUBSTITUTE(SUBSTITUTE(SUBSTITUTE(F52," ",""),"0",""),"-","")))*1),0)+IF(OR(COUNTA(B53,C53,E53,F53)&gt;0,OR(D53="X",D53="x")),IF(OR(D53="X",D53="x",AND(OR(COUNTA(B53,C53,E53,F53)&gt;0,OR(D53="X",D53="x")),(LEN(SUBSTITUTE(SUBSTITUTE(SUBSTITUTE(B53," ",""),"0",""),"-",""))+LEN(SUBSTITUTE(SUBSTITUTE(SUBSTITUTE(C53," ",""),"0",""),"-","")))=(LEN(SUBSTITUTE(SUBSTITUTE(SUBSTITUTE(E53," ",""),"0",""),"-",""))+LEN(SUBSTITUTE(SUBSTITUTE(SUBSTITUTE(F53," ",""),"0",""),"-",""))))),0,(LEN(SUBSTITUTE(SUBSTITUTE(SUBSTITUTE(B53," ",""),"0",""),"-",""))+LEN(SUBSTITUTE(SUBSTITUTE(SUBSTITUTE(C53," ",""),"0",""),"-",""))&lt;LEN(SUBSTITUTE(SUBSTITUTE(SUBSTITUTE(E53," ",""),"0",""),"-",""))+LEN(SUBSTITUTE(SUBSTITUTE(SUBSTITUTE(F53," ",""),"0",""),"-","")))*1),0)</f>
      </c>
      <c r="D59" s="14" t="str">
        <f>IF(OR(COUNTA(B52,C52,E52,F52)&gt;0,OR(D52="X",D52="x")),IF(OR(D52="X",D52="x",AND(OR(COUNTA(B52,C52,E52,F52)&gt;0,OR(D52="X",D52="x")),(LEN(SUBSTITUTE(SUBSTITUTE(SUBSTITUTE(B52," ",""),"0",""),"-",""))+LEN(SUBSTITUTE(SUBSTITUTE(SUBSTITUTE(C52," ",""),"0",""),"-","")))=(LEN(SUBSTITUTE(SUBSTITUTE(SUBSTITUTE(E52," ",""),"0",""),"-",""))+LEN(SUBSTITUTE(SUBSTITUTE(SUBSTITUTE(F52," ",""),"0",""),"-",""))))),1,0),0)+IF(OR(COUNTA(B53,C53,E53,F53)&gt;0,OR(D53="X",D53="x")),IF(OR(D53="X",D53="x",AND(OR(COUNTA(B53,C53,E53,F53)&gt;0,OR(D53="X",D53="x")),(LEN(SUBSTITUTE(SUBSTITUTE(SUBSTITUTE(B53," ",""),"0",""),"-",""))+LEN(SUBSTITUTE(SUBSTITUTE(SUBSTITUTE(C53," ",""),"0",""),"-","")))=(LEN(SUBSTITUTE(SUBSTITUTE(SUBSTITUTE(E53," ",""),"0",""),"-",""))+LEN(SUBSTITUTE(SUBSTITUTE(SUBSTITUTE(F53," ",""),"0",""),"-",""))))),1,0),0)</f>
      </c>
      <c r="E59" s="14" t="str">
        <f>LEN(SUBSTITUTE(SUBSTITUTE(SUBSTITUTE(B52," ",""),"0",""),"-",""))+LEN(SUBSTITUTE(SUBSTITUTE(SUBSTITUTE(C52," ",""),"0",""),"-",""))+LEN(SUBSTITUTE(SUBSTITUTE(SUBSTITUTE(B53," ",""),"0",""),"-",""))+LEN(SUBSTITUTE(SUBSTITUTE(SUBSTITUTE(C53," ",""),"0",""),"-",""))</f>
      </c>
      <c r="F59" s="14" t="str">
        <f>LEN(SUBSTITUTE(SUBSTITUTE(SUBSTITUTE(E52," ",""),"0",""),"-",""))+LEN(SUBSTITUTE(SUBSTITUTE(SUBSTITUTE(F52," ",""),"0",""),"-",""))+LEN(SUBSTITUTE(SUBSTITUTE(SUBSTITUTE(E53," ",""),"0",""),"-",""))+LEN(SUBSTITUTE(SUBSTITUTE(SUBSTITUTE(F53," ",""),"0",""),"-",""))</f>
      </c>
      <c r="G59" s="18" t="str">
        <f>RANK(U59,$U$56:$U$59)+COUNTIF($U$55:U58,U59)</f>
      </c>
      <c r="U59" t="str">
        <f>(B59*1000000)-(C59*10000)+(D59*100)+(E59*1)-(F59*0.01)</f>
      </c>
    </row>
    <row r="62">
      <c r="F62" s="13"/>
      <c r="G62" s="13" t="s">
        <v>126</v>
      </c>
    </row>
    <row r="63">
      <c r="F63" t="s">
        <v>127</v>
      </c>
      <c r="G63" s="19" t="str">
        <f>IFERROR(INDEX($A$56:$A$59, MATCH(1, $G$56:$G$59, 0)), "-")</f>
      </c>
    </row>
    <row r="64">
      <c r="F64" t="s">
        <v>128</v>
      </c>
      <c r="G64" s="19" t="str">
        <f>IFERROR(INDEX($A$56:$A$59, MATCH(2, $G$56:$G$59, 0)), "-")</f>
      </c>
    </row>
    <row r="65">
      <c r="F65" t="s">
        <v>129</v>
      </c>
      <c r="G65" s="19" t="str">
        <f>IFERROR(INDEX($A$56:$A$59, MATCH(3, $G$56:$G$59, 0)), "-")</f>
      </c>
    </row>
    <row r="66">
      <c r="F66" t="s">
        <v>130</v>
      </c>
      <c r="G66" s="19" t="str">
        <f>IFERROR(INDEX($A$56:$A$59, MATCH(4, $G$56:$G$59, 0)), "-")</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7">
    <mergeCell ref="A1:G1"/>
    <mergeCell ref="I1:O1"/>
    <mergeCell ref="A2:G2"/>
    <mergeCell ref="I2:O2"/>
    <mergeCell ref="A25:G25"/>
    <mergeCell ref="I25:O25"/>
    <mergeCell ref="A48:G48"/>
  </mergeCells>
  <printOptions horizontalCentered="true" verticalCentered="true"/>
  <pageSetup fitToHeight="0" fitToWidth="2" orientation="portrait" pageOrder="downThenOver" paperSize="9"/>
  <rowBreaks count="1" manualBreakCount="1">
    <brk id="24" max="16383" man="true"/>
  </rowBreaks>
  <colBreaks count="1" manualBreakCount="1">
    <brk id="8" max="1048575" man="true"/>
  </colBreaks>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s>
  <sheetData>
    <row r="1">
      <c r="A1" s="13" t="s">
        <v>114</v>
      </c>
      <c r="B1" s="13"/>
      <c r="C1" s="13"/>
      <c r="D1" s="13"/>
      <c r="E1" s="13"/>
      <c r="F1" s="13"/>
      <c r="G1" s="13"/>
      <c r="I1" s="13" t="s">
        <v>115</v>
      </c>
      <c r="J1" s="13"/>
      <c r="K1" s="13"/>
      <c r="L1" s="13"/>
      <c r="M1" s="13"/>
      <c r="N1" s="13"/>
      <c r="O1" s="13"/>
    </row>
    <row r="2">
      <c r="A2" s="13" t="s">
        <v>132</v>
      </c>
      <c r="B2" s="13"/>
      <c r="C2" s="13"/>
      <c r="D2" s="13"/>
      <c r="E2" s="13"/>
      <c r="F2" s="13"/>
      <c r="G2" s="13"/>
    </row>
    <row r="3">
      <c r="A3" s="17" t="s">
        <v>116</v>
      </c>
      <c r="D3" s="14" t="s">
        <v>117</v>
      </c>
      <c r="G3" s="16" t="s">
        <v>118</v>
      </c>
    </row>
    <row r="4">
      <c r="A4" s="14" t="str">
        <f>CONCATENATE("Pool C-1st ",'Pool Matches'!G63)</f>
      </c>
      <c r="B4" s="18"/>
      <c r="C4" s="18"/>
      <c r="D4" s="18"/>
      <c r="E4" s="18"/>
      <c r="F4" s="18"/>
      <c r="G4" s="14" t="str">
        <f>CONCATENATE("Pool B-1st ",'Pool Matches'!G42)</f>
      </c>
    </row>
    <row r="6">
      <c r="F6" t="s">
        <v>127</v>
      </c>
      <c r="G6" s="19"/>
    </row>
    <row r="7">
      <c r="F7" t="s">
        <v>128</v>
      </c>
      <c r="G7" s="19"/>
    </row>
    <row r="15">
      <c r="A15" s="13" t="s">
        <v>133</v>
      </c>
      <c r="B15" s="13"/>
      <c r="C15" s="13"/>
      <c r="D15" s="13"/>
      <c r="E15" s="13"/>
      <c r="F15" s="13"/>
      <c r="G15" s="13"/>
      <c r="I15" s="13" t="s">
        <v>134</v>
      </c>
      <c r="J15" s="13"/>
      <c r="K15" s="13"/>
      <c r="L15" s="13"/>
      <c r="M15" s="13"/>
      <c r="N15" s="13"/>
      <c r="O15" s="13"/>
    </row>
    <row r="16">
      <c r="A16" s="17" t="s">
        <v>116</v>
      </c>
      <c r="D16" s="14" t="s">
        <v>117</v>
      </c>
      <c r="G16" s="16" t="s">
        <v>118</v>
      </c>
      <c r="I16" s="17" t="s">
        <v>116</v>
      </c>
      <c r="L16" s="14" t="s">
        <v>117</v>
      </c>
      <c r="O16" s="16" t="s">
        <v>118</v>
      </c>
    </row>
    <row r="17">
      <c r="A17" s="14" t="str">
        <f>CONCATENATE("M 1 ",G6)</f>
      </c>
      <c r="B17" s="18"/>
      <c r="C17" s="18"/>
      <c r="D17" s="18"/>
      <c r="E17" s="18"/>
      <c r="F17" s="18"/>
      <c r="G17" s="14" t="str">
        <f>CONCATENATE("Pool A-1st ",'Pool Matches'!G19)</f>
      </c>
      <c r="I17" s="14" t="str">
        <f>CONCATENATE("Pool E-1st ",'Pool Matches'!O42)</f>
      </c>
      <c r="J17" s="18"/>
      <c r="K17" s="18"/>
      <c r="L17" s="18"/>
      <c r="M17" s="18"/>
      <c r="N17" s="18"/>
      <c r="O17" s="14" t="str">
        <f>CONCATENATE("Pool D-1st ",'Pool Matches'!O19)</f>
      </c>
    </row>
    <row r="19">
      <c r="F19" t="s">
        <v>127</v>
      </c>
      <c r="G19" s="19"/>
      <c r="N19" t="s">
        <v>127</v>
      </c>
      <c r="O19" s="19"/>
    </row>
    <row r="20">
      <c r="F20" t="s">
        <v>128</v>
      </c>
      <c r="G20" s="19"/>
      <c r="N20" t="s">
        <v>128</v>
      </c>
      <c r="O20" s="19"/>
    </row>
    <row r="28">
      <c r="A28" s="13" t="s">
        <v>135</v>
      </c>
      <c r="B28" s="13"/>
      <c r="C28" s="13"/>
      <c r="D28" s="13"/>
      <c r="E28" s="13"/>
      <c r="F28" s="13"/>
      <c r="G28" s="13"/>
    </row>
    <row r="29">
      <c r="A29" s="17" t="s">
        <v>116</v>
      </c>
      <c r="D29" s="14" t="s">
        <v>117</v>
      </c>
      <c r="G29" s="16" t="s">
        <v>118</v>
      </c>
    </row>
    <row r="30">
      <c r="A30" s="14" t="str">
        <f>CONCATENATE("M 3 ",O19)</f>
      </c>
      <c r="B30" s="18"/>
      <c r="C30" s="18"/>
      <c r="D30" s="18"/>
      <c r="E30" s="18"/>
      <c r="F30" s="18"/>
      <c r="G30" s="14" t="str">
        <f>CONCATENATE("M 2 ",G19)</f>
      </c>
    </row>
    <row r="32">
      <c r="F32" t="s">
        <v>127</v>
      </c>
      <c r="G32" s="19"/>
    </row>
    <row r="33">
      <c r="F33" t="s">
        <v>128</v>
      </c>
      <c r="G33" s="19"/>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6">
    <mergeCell ref="A1:G1"/>
    <mergeCell ref="I1:O1"/>
    <mergeCell ref="A2:G2"/>
    <mergeCell ref="A15:G15"/>
    <mergeCell ref="I15:O15"/>
    <mergeCell ref="A28:G28"/>
  </mergeCells>
  <printOptions horizontalCentered="true" verticalCentered="true"/>
  <pageSetup fitToHeight="0" fitToWidth="2" orientation="portrait" pageOrder="downThenOver" paperSize="9"/>
  <rowBreaks/>
  <colBreaks count="1" manualBreakCount="1">
    <brk id="8" max="1048575" man="true"/>
  </colBreaks>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A",data!$B$1&amp;" - Shiaijo A")</f>
      </c>
      <c r="B1" s="13"/>
      <c r="C1" s="13"/>
      <c r="D1" s="13"/>
      <c r="E1" s="13"/>
      <c r="F1" s="13"/>
      <c r="G1" s="13"/>
    </row>
    <row r="4">
      <c r="A4" s="24" t="str">
        <f>'data'!$A$7</f>
      </c>
    </row>
    <row r="5">
      <c r="A5" s="25" t="str">
        <f>data!$E$3&amp;" "&amp;data!$B$3</f>
      </c>
    </row>
    <row r="6">
      <c r="A6" s="26" t="str">
        <f>data!$E$4&amp;" "&amp;data!$B$4</f>
      </c>
      <c r="C6" s="23"/>
      <c r="D6" s="23"/>
      <c r="E6" s="23" t="str">
        <f>CONCATENATE("Pool A-1st ",'Pool Matches'!G19)</f>
      </c>
    </row>
    <row r="7">
      <c r="A7" s="26" t="str">
        <f>data!$E$5&amp;" "&amp;data!$B$5</f>
      </c>
      <c r="F7" s="22"/>
      <c r="G7" s="20"/>
    </row>
    <row r="8">
      <c r="A8" s="26" t="str">
        <f>data!$E$6&amp;" "&amp;data!$B$6</f>
      </c>
      <c r="G8" s="21">
        <v>2</v>
      </c>
    </row>
    <row r="9">
      <c r="A9" s="27" t="str">
        <f>data!$E$7&amp;" "&amp;data!$B$7</f>
      </c>
      <c r="C9" s="23" t="str">
        <f>CONCATENATE("Pool B-1st ",'Pool Matches'!G42)</f>
      </c>
      <c r="G9" s="20"/>
    </row>
    <row r="10">
      <c r="A10" s="22"/>
      <c r="D10" s="22"/>
      <c r="E10" s="21">
        <v>1</v>
      </c>
      <c r="F10" s="15"/>
      <c r="G10" s="20"/>
    </row>
    <row r="11">
      <c r="A11" s="24" t="str">
        <f>'data'!$A$12</f>
      </c>
      <c r="C11" s="23" t="str">
        <f>CONCATENATE("Pool C-1st ",'Pool Matches'!G63)</f>
      </c>
      <c r="D11" s="15"/>
      <c r="E11" s="20"/>
    </row>
    <row r="12">
      <c r="A12" s="25" t="str">
        <f>data!$E$8&amp;" "&amp;data!$B$8</f>
      </c>
    </row>
    <row r="13">
      <c r="A13" s="26" t="str">
        <f>data!$E$9&amp;" "&amp;data!$B$9</f>
      </c>
    </row>
    <row r="14">
      <c r="A14" s="26" t="str">
        <f>data!$E$10&amp;" "&amp;data!$B$10</f>
      </c>
    </row>
    <row r="15">
      <c r="A15" s="26" t="str">
        <f>data!$E$11&amp;" "&amp;data!$B$11</f>
      </c>
    </row>
    <row r="16">
      <c r="A16" s="27" t="str">
        <f>data!$E$12&amp;" "&amp;data!$B$12</f>
      </c>
    </row>
    <row r="17">
      <c r="A17" s="22"/>
    </row>
    <row r="18">
      <c r="A18" s="24" t="str">
        <f>'data'!$A$16</f>
      </c>
    </row>
    <row r="19">
      <c r="A19" s="25" t="str">
        <f>data!$E$13&amp;" "&amp;data!$B$13</f>
      </c>
    </row>
    <row r="20">
      <c r="A20" s="26" t="str">
        <f>data!$E$14&amp;" "&amp;data!$B$14</f>
      </c>
    </row>
    <row r="21">
      <c r="A21" s="26" t="str">
        <f>data!$E$15&amp;" "&amp;data!$B$15</f>
      </c>
    </row>
    <row r="22">
      <c r="A22" s="27" t="str">
        <f>data!$E$16&amp;" "&amp;data!$B$16</f>
      </c>
    </row>
    <row r="23">
      <c r="A23"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G1"/>
  </mergeCells>
  <printOptions horizontalCentered="true" verticalCentered="true"/>
  <pageSetup fitToHeight="0" fitToWidth="1" orientation="portrait" paperSize="9"/>
</worksheet>
</file>

<file path=xl/worksheets/sheet9.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B",data!$B$1&amp;" - Shiaijo B")</f>
      </c>
      <c r="B1" s="13"/>
      <c r="C1" s="13"/>
      <c r="D1" s="13"/>
      <c r="E1" s="13"/>
    </row>
    <row r="4">
      <c r="A4" s="24" t="str">
        <f>'data'!$A$21</f>
      </c>
    </row>
    <row r="5">
      <c r="A5" s="25" t="str">
        <f>data!$E$17&amp;" "&amp;data!$B$17</f>
      </c>
      <c r="C5" s="23" t="str">
        <f>CONCATENATE("Pool D-1st ",'Pool Matches'!O19)</f>
      </c>
    </row>
    <row r="6">
      <c r="A6" s="26" t="str">
        <f>data!$E$18&amp;" "&amp;data!$B$18</f>
      </c>
      <c r="D6" s="22"/>
      <c r="E6" s="21">
        <v>3</v>
      </c>
    </row>
    <row r="7">
      <c r="A7" s="26" t="str">
        <f>data!$E$19&amp;" "&amp;data!$B$19</f>
      </c>
      <c r="C7" s="23" t="str">
        <f>CONCATENATE("Pool E-1st ",'Pool Matches'!O42)</f>
      </c>
      <c r="D7" s="15"/>
      <c r="E7" s="20"/>
    </row>
    <row r="8">
      <c r="A8" s="26" t="str">
        <f>data!$E$20&amp;" "&amp;data!$B$20</f>
      </c>
    </row>
    <row r="9">
      <c r="A9" s="27" t="str">
        <f>data!$E$21&amp;" "&amp;data!$B$21</f>
      </c>
    </row>
    <row r="10">
      <c r="A10" s="22"/>
    </row>
    <row r="11">
      <c r="A11" s="24" t="str">
        <f>'data'!$A$26</f>
      </c>
    </row>
    <row r="12">
      <c r="A12" s="25" t="str">
        <f>data!$E$22&amp;" "&amp;data!$B$22</f>
      </c>
    </row>
    <row r="13">
      <c r="A13" s="26" t="str">
        <f>data!$E$23&amp;" "&amp;data!$B$23</f>
      </c>
    </row>
    <row r="14">
      <c r="A14" s="26" t="str">
        <f>data!$E$24&amp;" "&amp;data!$B$24</f>
      </c>
    </row>
    <row r="15">
      <c r="A15" s="26" t="str">
        <f>data!$E$25&amp;" "&amp;data!$B$25</f>
      </c>
    </row>
    <row r="16">
      <c r="A16" s="27" t="str">
        <f>data!$E$26&amp;" "&amp;data!$B$26</f>
      </c>
    </row>
    <row r="17">
      <c r="A17"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E1"/>
  </mergeCells>
  <printOptions horizontalCentered="true" verticalCentered="true"/>
  <pageSetup fitToHeight="0" fitToWidth="1" orientation="portrait" paperSize="9"/>
</worksheet>
</file>

<file path=xl/worksheets/sheet10.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28" t="str">
        <f>'data'!$E$3</f>
      </c>
      <c r="B1" s="29" t="str">
        <f>'data'!D3</f>
      </c>
    </row>
    <row r="2" ht="270" customHeight="true">
      <c r="A2" s="28" t="str">
        <f>'data'!$E$4</f>
      </c>
      <c r="B2" s="29" t="str">
        <f>'data'!D4</f>
      </c>
    </row>
    <row r="3" ht="270" customHeight="true">
      <c r="A3" s="28" t="str">
        <f>'data'!$E$5</f>
      </c>
      <c r="B3" s="29" t="str">
        <f>'data'!D5</f>
      </c>
    </row>
    <row r="4" ht="270" customHeight="true">
      <c r="A4" s="28" t="str">
        <f>'data'!$E$6</f>
      </c>
      <c r="B4" s="29" t="str">
        <f>'data'!D6</f>
      </c>
    </row>
    <row r="5" ht="270" customHeight="true">
      <c r="A5" s="28" t="str">
        <f>'data'!$E$7</f>
      </c>
      <c r="B5" s="29" t="str">
        <f>'data'!D7</f>
      </c>
    </row>
    <row r="6" ht="270" customHeight="true">
      <c r="A6" s="28" t="str">
        <f>'data'!$E$8</f>
      </c>
      <c r="B6" s="29" t="str">
        <f>'data'!D8</f>
      </c>
    </row>
    <row r="7" ht="270" customHeight="true">
      <c r="A7" s="28" t="str">
        <f>'data'!$E$9</f>
      </c>
      <c r="B7" s="29" t="str">
        <f>'data'!D9</f>
      </c>
    </row>
    <row r="8" ht="270" customHeight="true">
      <c r="A8" s="28" t="str">
        <f>'data'!$E$10</f>
      </c>
      <c r="B8" s="29" t="str">
        <f>'data'!D10</f>
      </c>
    </row>
    <row r="9" ht="270" customHeight="true">
      <c r="A9" s="28" t="str">
        <f>'data'!$E$11</f>
      </c>
      <c r="B9" s="29" t="str">
        <f>'data'!D11</f>
      </c>
    </row>
    <row r="10" ht="270" customHeight="true">
      <c r="A10" s="28" t="str">
        <f>'data'!$E$12</f>
      </c>
      <c r="B10" s="29" t="str">
        <f>'data'!D12</f>
      </c>
    </row>
    <row r="11" ht="270" customHeight="true">
      <c r="A11" s="28" t="str">
        <f>'data'!$E$13</f>
      </c>
      <c r="B11" s="29" t="str">
        <f>'data'!D13</f>
      </c>
    </row>
    <row r="12" ht="270" customHeight="true">
      <c r="A12" s="28" t="str">
        <f>'data'!$E$14</f>
      </c>
      <c r="B12" s="29" t="str">
        <f>'data'!D14</f>
      </c>
    </row>
    <row r="13" ht="270" customHeight="true">
      <c r="A13" s="28" t="str">
        <f>'data'!$E$15</f>
      </c>
      <c r="B13" s="29" t="str">
        <f>'data'!D15</f>
      </c>
    </row>
    <row r="14" ht="270" customHeight="true">
      <c r="A14" s="28" t="str">
        <f>'data'!$E$16</f>
      </c>
      <c r="B14" s="29" t="str">
        <f>'data'!D16</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4" manualBreakCount="4">
    <brk id="3" max="16383" man="true"/>
    <brk id="6" max="16383" man="true"/>
    <brk id="9" max="16383" man="true"/>
    <brk id="12" max="16383" man="true"/>
  </rowBreaks>
  <colBreaks/>
</worksheet>
</file>

<file path=xl/worksheets/sheet11.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28" t="str">
        <f>'data'!$E$17</f>
      </c>
      <c r="B1" s="29" t="str">
        <f>'data'!D17</f>
      </c>
    </row>
    <row r="2" ht="270" customHeight="true">
      <c r="A2" s="28" t="str">
        <f>'data'!$E$18</f>
      </c>
      <c r="B2" s="29" t="str">
        <f>'data'!D18</f>
      </c>
    </row>
    <row r="3" ht="270" customHeight="true">
      <c r="A3" s="28" t="str">
        <f>'data'!$E$19</f>
      </c>
      <c r="B3" s="29" t="str">
        <f>'data'!D19</f>
      </c>
    </row>
    <row r="4" ht="270" customHeight="true">
      <c r="A4" s="28" t="str">
        <f>'data'!$E$20</f>
      </c>
      <c r="B4" s="29" t="str">
        <f>'data'!D20</f>
      </c>
    </row>
    <row r="5" ht="270" customHeight="true">
      <c r="A5" s="28" t="str">
        <f>'data'!$E$21</f>
      </c>
      <c r="B5" s="29" t="str">
        <f>'data'!D21</f>
      </c>
    </row>
    <row r="6" ht="270" customHeight="true">
      <c r="A6" s="28" t="str">
        <f>'data'!$E$22</f>
      </c>
      <c r="B6" s="29" t="str">
        <f>'data'!D22</f>
      </c>
    </row>
    <row r="7" ht="270" customHeight="true">
      <c r="A7" s="28" t="str">
        <f>'data'!$E$23</f>
      </c>
      <c r="B7" s="29" t="str">
        <f>'data'!D23</f>
      </c>
    </row>
    <row r="8" ht="270" customHeight="true">
      <c r="A8" s="28" t="str">
        <f>'data'!$E$24</f>
      </c>
      <c r="B8" s="29" t="str">
        <f>'data'!D24</f>
      </c>
    </row>
    <row r="9" ht="270" customHeight="true">
      <c r="A9" s="28" t="str">
        <f>'data'!$E$25</f>
      </c>
      <c r="B9" s="29" t="str">
        <f>'data'!D25</f>
      </c>
    </row>
    <row r="10" ht="270" customHeight="true">
      <c r="A10" s="28" t="str">
        <f>'data'!$E$26</f>
      </c>
      <c r="B10" s="29" t="str">
        <f>'data'!D26</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3" manualBreakCount="3">
    <brk id="3" max="16383" man="true"/>
    <brk id="6" max="16383" man="true"/>
    <brk id="9" max="16383" man="true"/>
  </rowBreaks>
  <colBreaks/>
</worksheet>
</file>

<file path=xl/worksheets/sheet12.xml><?xml version="1.0" encoding="utf-8"?>
<worksheet xmlns="http://schemas.openxmlformats.org/spreadsheetml/2006/main">
  <dimension ref="A1"/>
  <sheetViews>
    <sheetView tabSelected="true" workbookViewId="0"/>
  </sheetViews>
  <cols>
    <col customWidth="true" max="1" min="1" width="88"/>
  </cols>
  <sheetData>
    <row r="1" ht="409" customHeight="true">
      <c r="A1" s="30" t="s">
        <v>21</v>
      </c>
    </row>
    <row r="2" ht="409" customHeight="true">
      <c r="A2" s="30" t="s">
        <v>21</v>
      </c>
    </row>
    <row r="3" ht="409" customHeight="true">
      <c r="A3" s="30" t="s">
        <v>25</v>
      </c>
    </row>
    <row r="4" ht="409" customHeight="true">
      <c r="A4" s="30" t="s">
        <v>25</v>
      </c>
    </row>
    <row r="5" ht="409" customHeight="true">
      <c r="A5" s="30" t="s">
        <v>29</v>
      </c>
    </row>
    <row r="6" ht="409" customHeight="true">
      <c r="A6" s="30" t="s">
        <v>29</v>
      </c>
    </row>
    <row r="7" ht="409" customHeight="true">
      <c r="A7" s="30" t="s">
        <v>33</v>
      </c>
    </row>
    <row r="8" ht="409" customHeight="true">
      <c r="A8" s="30" t="s">
        <v>33</v>
      </c>
    </row>
    <row r="9" ht="409" customHeight="true">
      <c r="A9" s="30" t="s">
        <v>37</v>
      </c>
    </row>
    <row r="10" ht="409" customHeight="true">
      <c r="A10" s="30" t="s">
        <v>37</v>
      </c>
    </row>
    <row r="11" ht="409" customHeight="true">
      <c r="A11" s="30" t="s">
        <v>42</v>
      </c>
    </row>
    <row r="12" ht="409" customHeight="true">
      <c r="A12" s="30" t="s">
        <v>42</v>
      </c>
    </row>
    <row r="13" ht="409" customHeight="true">
      <c r="A13" s="30" t="s">
        <v>46</v>
      </c>
    </row>
    <row r="14" ht="409" customHeight="true">
      <c r="A14" s="30" t="s">
        <v>46</v>
      </c>
    </row>
    <row r="15" ht="409" customHeight="true">
      <c r="A15" s="30" t="s">
        <v>50</v>
      </c>
    </row>
    <row r="16" ht="409" customHeight="true">
      <c r="A16" s="30" t="s">
        <v>50</v>
      </c>
    </row>
    <row r="17" ht="409" customHeight="true">
      <c r="A17" s="30" t="s">
        <v>54</v>
      </c>
    </row>
    <row r="18" ht="409" customHeight="true">
      <c r="A18" s="30" t="s">
        <v>54</v>
      </c>
    </row>
    <row r="19" ht="409" customHeight="true">
      <c r="A19" s="30" t="s">
        <v>58</v>
      </c>
    </row>
    <row r="20" ht="409" customHeight="true">
      <c r="A20" s="30" t="s">
        <v>58</v>
      </c>
    </row>
    <row r="21" ht="409" customHeight="true">
      <c r="A21" s="30" t="s">
        <v>63</v>
      </c>
    </row>
    <row r="22" ht="409" customHeight="true">
      <c r="A22" s="30" t="s">
        <v>63</v>
      </c>
    </row>
    <row r="23" ht="409" customHeight="true">
      <c r="A23" s="30" t="s">
        <v>67</v>
      </c>
    </row>
    <row r="24" ht="409" customHeight="true">
      <c r="A24" s="30" t="s">
        <v>67</v>
      </c>
    </row>
    <row r="25" ht="409" customHeight="true">
      <c r="A25" s="30" t="s">
        <v>71</v>
      </c>
    </row>
    <row r="26" ht="409" customHeight="true">
      <c r="A26" s="30" t="s">
        <v>71</v>
      </c>
    </row>
    <row r="27" ht="409" customHeight="true">
      <c r="A27" s="30" t="s">
        <v>75</v>
      </c>
    </row>
    <row r="28" ht="409" customHeight="true">
      <c r="A28" s="30" t="s">
        <v>75</v>
      </c>
    </row>
    <row r="29" ht="409" customHeight="true">
      <c r="A29" s="30" t="s">
        <v>80</v>
      </c>
    </row>
    <row r="30" ht="409" customHeight="true">
      <c r="A30" s="30" t="s">
        <v>80</v>
      </c>
    </row>
    <row r="31" ht="409" customHeight="true">
      <c r="A31" s="30" t="s">
        <v>84</v>
      </c>
    </row>
    <row r="32" ht="409" customHeight="true">
      <c r="A32" s="30" t="s">
        <v>84</v>
      </c>
    </row>
    <row r="33" ht="409" customHeight="true">
      <c r="A33" s="30" t="s">
        <v>87</v>
      </c>
    </row>
    <row r="34" ht="409" customHeight="true">
      <c r="A34" s="30" t="s">
        <v>87</v>
      </c>
    </row>
    <row r="35" ht="409" customHeight="true">
      <c r="A35" s="30" t="s">
        <v>91</v>
      </c>
    </row>
    <row r="36" ht="409" customHeight="true">
      <c r="A36" s="30" t="s">
        <v>91</v>
      </c>
    </row>
    <row r="37" ht="409" customHeight="true">
      <c r="A37" s="30" t="s">
        <v>95</v>
      </c>
    </row>
    <row r="38" ht="409" customHeight="true">
      <c r="A38" s="30" t="s">
        <v>95</v>
      </c>
    </row>
    <row r="39" ht="409" customHeight="true">
      <c r="A39" s="30" t="s">
        <v>100</v>
      </c>
    </row>
    <row r="40" ht="409" customHeight="true">
      <c r="A40" s="30" t="s">
        <v>100</v>
      </c>
    </row>
    <row r="41" ht="409" customHeight="true">
      <c r="A41" s="30" t="s">
        <v>102</v>
      </c>
    </row>
    <row r="42" ht="409" customHeight="true">
      <c r="A42" s="30" t="s">
        <v>102</v>
      </c>
    </row>
    <row r="43" ht="409" customHeight="true">
      <c r="A43" s="30" t="s">
        <v>106</v>
      </c>
    </row>
    <row r="44" ht="409" customHeight="true">
      <c r="A44" s="30" t="s">
        <v>106</v>
      </c>
    </row>
    <row r="45" ht="409" customHeight="true">
      <c r="A45" s="30" t="s">
        <v>109</v>
      </c>
    </row>
    <row r="46" ht="409" customHeight="true">
      <c r="A46" s="30" t="s">
        <v>109</v>
      </c>
    </row>
    <row r="47" ht="409" customHeight="true">
      <c r="A47" s="30" t="s">
        <v>113</v>
      </c>
    </row>
    <row r="48" ht="409" customHeight="true">
      <c r="A48" s="30" t="s">
        <v>113</v>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portrait" paperSize="9"/>
  <rowBreaks count="24" manualBreakCount="24">
    <brk id="2" max="16383" man="true"/>
    <brk id="4" max="16383" man="true"/>
    <brk id="6" max="16383" man="true"/>
    <brk id="8" max="16383" man="true"/>
    <brk id="10" max="16383" man="true"/>
    <brk id="12" max="16383" man="true"/>
    <brk id="14" max="16383" man="true"/>
    <brk id="16" max="16383" man="true"/>
    <brk id="18" max="16383" man="true"/>
    <brk id="20" max="16383" man="true"/>
    <brk id="22" max="16383" man="true"/>
    <brk id="24" max="16383" man="true"/>
    <brk id="26" max="16383" man="true"/>
    <brk id="28" max="16383" man="true"/>
    <brk id="30" max="16383" man="true"/>
    <brk id="32" max="16383" man="true"/>
    <brk id="34" max="16383" man="true"/>
    <brk id="36" max="16383" man="true"/>
    <brk id="38" max="16383" man="true"/>
    <brk id="40" max="16383" man="true"/>
    <brk id="42" max="16383" man="true"/>
    <brk id="44" max="16383" man="true"/>
    <brk id="46" max="16383" man="true"/>
    <brk id="48"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