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Matches'!$A$1:$P$113</definedName>
    <definedName localSheetId="5" name="_xlnm.Print_Area">'Tree 1'!$A$1:$G$14</definedName>
    <definedName localSheetId="6" name="_xlnm.Print_Area">'Tree 2'!$A$1:$G$11</definedName>
    <definedName localSheetId="7" name="_xlnm.Print_Area">'Names to Print A'!$A$1:$B$7</definedName>
    <definedName localSheetId="8" name="_xlnm.Print_Area">'Names to Print B'!$A$1:$B$3</definedName>
    <definedName localSheetId="9" name="_xlnm.Print_Area">'Tags'!$A$1:$A$20</definedName>
    <definedName localSheetId="4" name="_xlnm.Print_Area">'Elimination Matches'!$A$1:$P$64</definedName>
  </definedNames>
  <calcPr calcId="122211"/>
</workbook>
</file>

<file path=xl/sharedStrings.xml><?xml version="1.0" encoding="utf-8"?>
<sst xmlns="http://schemas.openxmlformats.org/spreadsheetml/2006/main" count="77" uniqueCount="77">
  <si>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</si>
  <si>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</si>
  <si>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</si>
  <si>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</si>
  <si>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</si>
  <si>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</si>
  <si>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</si>
  <si>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</si>
  <si>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</si>
  <si>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</si>
  <si>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</si>
  <si>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</si>
  <si>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</si>
  <si>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</si>
  <si>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</si>
  <si>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</si>
  <si>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</si>
  <si>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</si>
  <si>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</si>
  <si>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</si>
  <si>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Nathan Lee</t>
  </si>
  <si>
    <t>Team Delta</t>
  </si>
  <si>
    <t>K2</t>
  </si>
  <si>
    <t>Quentin Allen</t>
  </si>
  <si>
    <t>Team Beta</t>
  </si>
  <si>
    <t>K3</t>
  </si>
  <si>
    <t>Robert Young</t>
  </si>
  <si>
    <t>Team Gamma</t>
  </si>
  <si>
    <t>K4</t>
  </si>
  <si>
    <t>Pool B</t>
  </si>
  <si>
    <t>Michael Lewis</t>
  </si>
  <si>
    <t>K5</t>
  </si>
  <si>
    <t>Steven Hernandez</t>
  </si>
  <si>
    <t>K6</t>
  </si>
  <si>
    <t>Thomas King</t>
  </si>
  <si>
    <t>Team Epsilon</t>
  </si>
  <si>
    <t>K7</t>
  </si>
  <si>
    <t>Pool C</t>
  </si>
  <si>
    <t>Luke Rodriguez</t>
  </si>
  <si>
    <t>K8</t>
  </si>
  <si>
    <t>Oliver Walker</t>
  </si>
  <si>
    <t>K9</t>
  </si>
  <si>
    <t>Paul Hall</t>
  </si>
  <si>
    <t>K10</t>
  </si>
  <si>
    <t>Shiaijo A</t>
  </si>
  <si>
    <t>Shiaijo B</t>
  </si>
  <si>
    <t>White</t>
  </si>
  <si>
    <t>vs</t>
  </si>
  <si>
    <t>Red</t>
  </si>
  <si>
    <t>Team Results</t>
  </si>
  <si>
    <t>W</t>
  </si>
  <si>
    <t>L</t>
  </si>
  <si>
    <t>T</t>
  </si>
  <si>
    <t>Rank</t>
  </si>
  <si>
    <t>IV</t>
  </si>
  <si>
    <t>IL</t>
  </si>
  <si>
    <t>IT</t>
  </si>
  <si>
    <t>PW</t>
  </si>
  <si>
    <t>PL</t>
  </si>
  <si>
    <t>Ranking</t>
  </si>
  <si>
    <t>1.</t>
  </si>
  <si>
    <t>2.</t>
  </si>
  <si>
    <t>3.</t>
  </si>
  <si>
    <t>4.</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</si>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</sst>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sz val="11"/>
      <color theme="1"/>
      <name val="Calibri"/>
      <family val="2"/>
    </font>
    <font>
      <b val="1"/>
      <sz val="12"/>
      <color rgb="FF000000"/>
      <name val="Calibri"/>
      <family val="2"/>
    </font>
    <font>
      <sz val="12"/>
      <color rgb="FF000000"/>
      <name val="Calibri"/>
      <family val="2"/>
    </font>
    <font>
      <b val="1"/>
      <u val="single"/>
      <sz val="16"/>
      <color/>
      <name val="Calibri"/>
      <family val="2"/>
    </font>
    <font>
      <b val="1"/>
      <u val="single"/>
      <sz val="12"/>
      <color/>
      <name val="Calibri"/>
      <family val="2"/>
    </font>
    <font>
      <sz val="12"/>
      <color/>
      <name val="Calibri"/>
      <family val="2"/>
    </font>
    <font>
      <b val="1"/>
      <sz val="28"/>
      <color rgb="FF000000"/>
      <name val="Calibri"/>
      <family val="2"/>
    </font>
    <font>
      <b val="1"/>
      <sz val="72"/>
      <color rgb="FF000000"/>
      <name val="Calibri"/>
      <family val="2"/>
    </font>
    <font>
      <b val="1"/>
      <i val="1"/>
      <sz val="12"/>
      <color/>
      <name val="Calibri"/>
      <family val="2"/>
    </font>
    <font>
      <b val="1"/>
      <sz val="12"/>
      <color rgb="FFFFFFFF"/>
      <name val="Calibri"/>
      <family val="2"/>
    </font>
    <font>
      <b val="1"/>
      <sz val="100"/>
      <color rgb="FF000000"/>
      <name val="Calibri"/>
      <family val="2"/>
    </font>
    <font>
      <sz val="110"/>
      <color rgb="FF000000"/>
      <name val="Calibri"/>
      <family val="2"/>
    </font>
    <font>
      <b val="1"/>
      <sz val="250"/>
      <color/>
      <name val="Calibri"/>
      <family val="2"/>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27</v>
      </c>
      <c r="D7" t="s">
        <v>31</v>
      </c>
    </row>
    <row r="8">
      <c r="A8" t="s">
        <v>29</v>
      </c>
      <c r="B8" t="s">
        <v>32</v>
      </c>
      <c r="C8" t="s">
        <v>21</v>
      </c>
      <c r="D8" t="s">
        <v>33</v>
      </c>
    </row>
    <row r="9">
      <c r="A9" t="s">
        <v>29</v>
      </c>
      <c r="B9" t="s">
        <v>34</v>
      </c>
      <c r="C9" t="s">
        <v>35</v>
      </c>
      <c r="D9" t="s">
        <v>36</v>
      </c>
    </row>
    <row r="10">
      <c r="A10" t="s">
        <v>37</v>
      </c>
      <c r="B10" t="s">
        <v>38</v>
      </c>
      <c r="C10" t="s">
        <v>24</v>
      </c>
      <c r="D10" t="s">
        <v>39</v>
      </c>
    </row>
    <row r="11">
      <c r="A11" t="s">
        <v>37</v>
      </c>
      <c r="B11" t="s">
        <v>40</v>
      </c>
      <c r="C11" t="s">
        <v>35</v>
      </c>
      <c r="D11" t="s">
        <v>41</v>
      </c>
    </row>
    <row r="12">
      <c r="A12" t="s">
        <v>37</v>
      </c>
      <c r="B12" t="s">
        <v>42</v>
      </c>
      <c r="C12" t="s">
        <v>18</v>
      </c>
      <c r="D12" t="s">
        <v>43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v>
      </c>
      <c r="E2" s="3" t="str">
        <f>(A2*B2*C2*D2)</f>
      </c>
      <c r="F2" s="3">
        <v>0.000347222222222222</v>
      </c>
      <c r="G2" s="3">
        <v>0.0208333333333333</v>
      </c>
      <c r="H2" s="31" t="str">
        <f>C2*I2+J2</f>
      </c>
    </row>
    <row r="3" ht="16" customHeight="true">
      <c r="A3" s="2">
        <v>0</v>
      </c>
      <c r="B3" s="2">
        <v>0</v>
      </c>
      <c r="C3" s="2">
        <v>0</v>
      </c>
      <c r="D3" s="3">
        <v>0.00208333333333333</v>
      </c>
      <c r="E3" s="3" t="str">
        <f>(A3*B3*C3*D3)</f>
      </c>
      <c r="F3" s="3">
        <v>0.000347222222222222</v>
      </c>
      <c r="G3" s="3">
        <v>0.0208333333333333</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v>
      </c>
      <c r="E8" s="3" t="str">
        <f>(A8*B8*D8)</f>
      </c>
      <c r="F8" s="3">
        <v>0.000347222222222222</v>
      </c>
      <c r="G8" s="3">
        <v>0.0208333333333333</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70</v>
      </c>
      <c r="F13" s="13"/>
      <c r="G13" s="13"/>
      <c r="H13" s="13"/>
    </row>
    <row r="14">
      <c r="A14">
        <v>2</v>
      </c>
      <c r="E14" s="32" t="s">
        <v>71</v>
      </c>
      <c r="F14" s="32"/>
      <c r="G14" s="32"/>
      <c r="H14" s="31" t="str">
        <f>H2</f>
      </c>
    </row>
    <row r="15">
      <c r="E15" s="32" t="s">
        <v>72</v>
      </c>
      <c r="F15" s="32"/>
      <c r="G15" s="32"/>
      <c r="H15" s="31" t="str">
        <f>H8</f>
      </c>
    </row>
    <row r="16">
      <c r="E16" s="32" t="s">
        <v>73</v>
      </c>
      <c r="F16" s="32"/>
      <c r="G16" s="32"/>
      <c r="H16" s="31" t="str">
        <f>H14+H15</f>
      </c>
    </row>
    <row r="17">
      <c r="E17" s="32" t="s">
        <v>74</v>
      </c>
      <c r="F17" s="32"/>
      <c r="G17" s="32"/>
      <c r="H17" s="31" t="str">
        <f>H16/A14</f>
      </c>
    </row>
    <row r="18">
      <c r="E18" s="13" t="s">
        <v>75</v>
      </c>
      <c r="F18" s="13"/>
      <c r="G18" s="13"/>
      <c r="H18" s="33">
        <v>0.375</v>
      </c>
    </row>
    <row r="19">
      <c r="E19" s="13" t="s">
        <v>76</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data!$D$3&amp;" "&amp;data!$B$3</f>
      </c>
      <c r="D6" s="12" t="str">
        <f>data!$D$7&amp;" "&amp;data!$B$7</f>
      </c>
      <c r="F6" s="12" t="str">
        <f>data!$D$10&amp;" "&amp;data!$B$10</f>
      </c>
    </row>
    <row r="7" ht="17" customHeight="true">
      <c r="B7" s="12" t="str">
        <f>data!$D$4&amp;" "&amp;data!$B$4</f>
      </c>
      <c r="D7" s="12" t="str">
        <f>data!$D$8&amp;" "&amp;data!$B$8</f>
      </c>
      <c r="F7" s="12" t="str">
        <f>data!$D$11&amp;" "&amp;data!$B$11</f>
      </c>
    </row>
    <row r="8">
      <c r="B8" s="12" t="str">
        <f>data!$D$5&amp;" "&amp;data!$B$5</f>
      </c>
      <c r="D8" s="12" t="str">
        <f>data!$D$9&amp;" "&amp;data!$B$9</f>
      </c>
      <c r="F8" s="12" t="str">
        <f>data!$D$12&amp;" "&amp;data!$B$12</f>
      </c>
    </row>
    <row r="9">
      <c r="B9" s="12" t="str">
        <f>data!$D$6&amp;" "&amp;data!$B$6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44</v>
      </c>
      <c r="B1" s="13"/>
      <c r="C1" s="13"/>
      <c r="D1" s="13"/>
      <c r="E1" s="13"/>
      <c r="F1" s="13"/>
      <c r="G1" s="13"/>
      <c r="I1" s="13" t="s">
        <v>45</v>
      </c>
      <c r="J1" s="13"/>
      <c r="K1" s="13"/>
      <c r="L1" s="13"/>
      <c r="M1" s="13"/>
      <c r="N1" s="13"/>
      <c r="O1" s="13"/>
    </row>
    <row r="2">
      <c r="A2" s="13" t="str">
        <f>'data'!$A$6</f>
      </c>
      <c r="B2" s="13"/>
      <c r="C2" s="13"/>
      <c r="D2" s="13"/>
      <c r="E2" s="13"/>
      <c r="F2" s="13"/>
      <c r="G2" s="13"/>
      <c r="I2" s="13" t="str">
        <f>'data'!$A$12</f>
      </c>
      <c r="J2" s="13"/>
      <c r="K2" s="13"/>
      <c r="L2" s="13"/>
      <c r="M2" s="13"/>
      <c r="N2" s="13"/>
      <c r="O2" s="13"/>
    </row>
    <row r="3">
      <c r="A3" s="17" t="s">
        <v>46</v>
      </c>
      <c r="B3" s="14"/>
      <c r="C3" s="14"/>
      <c r="D3" s="14" t="s">
        <v>47</v>
      </c>
      <c r="E3" s="14"/>
      <c r="F3" s="14"/>
      <c r="G3" s="16" t="s">
        <v>48</v>
      </c>
      <c r="I3" s="17" t="s">
        <v>46</v>
      </c>
      <c r="J3" s="14"/>
      <c r="K3" s="14"/>
      <c r="L3" s="14" t="s">
        <v>47</v>
      </c>
      <c r="M3" s="14"/>
      <c r="N3" s="14"/>
      <c r="O3" s="16" t="s">
        <v>48</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data!$D$3&amp;" "&amp;data!$B$3</f>
      </c>
      <c r="I4" s="14" t="str">
        <f>data!$D$11&amp;" "&amp;data!$B$11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data!$D$10&amp;" "&amp;data!$B$10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46</v>
      </c>
      <c r="B11" s="14"/>
      <c r="C11" s="14"/>
      <c r="D11" s="14" t="s">
        <v>47</v>
      </c>
      <c r="E11" s="14"/>
      <c r="F11" s="14"/>
      <c r="G11" s="16" t="s">
        <v>48</v>
      </c>
      <c r="I11" s="17" t="s">
        <v>46</v>
      </c>
      <c r="J11" s="14"/>
      <c r="K11" s="14"/>
      <c r="L11" s="14" t="s">
        <v>47</v>
      </c>
      <c r="M11" s="14"/>
      <c r="N11" s="14"/>
      <c r="O11" s="16" t="s">
        <v>48</v>
      </c>
    </row>
    <row r="12">
      <c r="A12" s="14" t="str">
        <f>data!$D$4&amp;" "&amp;data!$B$4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data!$D$5&amp;" "&amp;data!$B$5</f>
      </c>
      <c r="I12" s="14" t="str">
        <f>data!$D$12&amp;" "&amp;data!$B$12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data!$D$10&amp;" "&amp;data!$B$10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46</v>
      </c>
      <c r="B19" s="14"/>
      <c r="C19" s="14"/>
      <c r="D19" s="14" t="s">
        <v>47</v>
      </c>
      <c r="E19" s="14"/>
      <c r="F19" s="14"/>
      <c r="G19" s="16" t="s">
        <v>48</v>
      </c>
      <c r="I19" s="17" t="s">
        <v>46</v>
      </c>
      <c r="J19" s="14"/>
      <c r="K19" s="14"/>
      <c r="L19" s="14" t="s">
        <v>47</v>
      </c>
      <c r="M19" s="14"/>
      <c r="N19" s="14"/>
      <c r="O19" s="16" t="s">
        <v>48</v>
      </c>
    </row>
    <row r="20">
      <c r="A20" s="14" t="str">
        <f>data!$D$6&amp;" "&amp;data!$B$6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data!$D$5&amp;" "&amp;data!$B$5</f>
      </c>
      <c r="I20" s="14" t="str">
        <f>data!$D$12&amp;" "&amp;data!$B$12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data!$D$11&amp;" "&amp;data!$B$11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46</v>
      </c>
      <c r="B27" s="14"/>
      <c r="C27" s="14"/>
      <c r="D27" s="14" t="s">
        <v>47</v>
      </c>
      <c r="E27" s="14"/>
      <c r="F27" s="14"/>
      <c r="G27" s="16" t="s">
        <v>48</v>
      </c>
    </row>
    <row r="28">
      <c r="A28" s="14" t="str">
        <f>data!$D$6&amp;" "&amp;data!$B$6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data!$D$3&amp;" "&amp;data!$B$3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46</v>
      </c>
      <c r="B35" s="14"/>
      <c r="C35" s="14"/>
      <c r="D35" s="14" t="s">
        <v>47</v>
      </c>
      <c r="E35" s="14"/>
      <c r="F35" s="14"/>
      <c r="G35" s="16" t="s">
        <v>48</v>
      </c>
    </row>
    <row r="36">
      <c r="A36" s="14" t="str">
        <f>data!$D$5&amp;" "&amp;data!$B$5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data!$D$3&amp;" "&amp;data!$B$3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46</v>
      </c>
      <c r="B43" s="14"/>
      <c r="C43" s="14"/>
      <c r="D43" s="14" t="s">
        <v>47</v>
      </c>
      <c r="E43" s="14"/>
      <c r="F43" s="14"/>
      <c r="G43" s="16" t="s">
        <v>48</v>
      </c>
    </row>
    <row r="44">
      <c r="A44" s="14" t="str">
        <f>data!$D$6&amp;" "&amp;data!$B$6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data!$D$4&amp;" "&amp;data!$B$4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49</v>
      </c>
      <c r="B52" s="13" t="s">
        <v>50</v>
      </c>
      <c r="C52" s="13" t="s">
        <v>51</v>
      </c>
      <c r="D52" s="13" t="s">
        <v>52</v>
      </c>
      <c r="E52" s="13"/>
      <c r="F52" s="13"/>
      <c r="G52" s="13" t="s">
        <v>53</v>
      </c>
      <c r="I52" s="13" t="s">
        <v>49</v>
      </c>
      <c r="J52" s="13" t="s">
        <v>50</v>
      </c>
      <c r="K52" s="13" t="s">
        <v>51</v>
      </c>
      <c r="L52" s="13" t="s">
        <v>52</v>
      </c>
      <c r="M52" s="13"/>
      <c r="N52" s="13"/>
      <c r="O52" s="13" t="s">
        <v>53</v>
      </c>
    </row>
    <row r="53">
      <c r="A53" s="14" t="str">
        <f>data!$D$3&amp;" "&amp;data!$B$3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data!$D$10&amp;" "&amp;data!$B$10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data!$D$4&amp;" "&amp;data!$B$4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data!$D$11&amp;" "&amp;data!$B$11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data!$D$5&amp;" "&amp;data!$B$5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data!$D$12&amp;" "&amp;data!$B$12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data!$D$6&amp;" "&amp;data!$B$6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54</v>
      </c>
      <c r="K57" s="13" t="s">
        <v>55</v>
      </c>
      <c r="L57" s="13" t="s">
        <v>56</v>
      </c>
      <c r="M57" s="13" t="s">
        <v>57</v>
      </c>
      <c r="N57" s="13" t="s">
        <v>58</v>
      </c>
    </row>
    <row r="58">
      <c r="A58" s="13"/>
      <c r="B58" s="13" t="s">
        <v>54</v>
      </c>
      <c r="C58" s="13" t="s">
        <v>55</v>
      </c>
      <c r="D58" s="13" t="s">
        <v>56</v>
      </c>
      <c r="E58" s="13" t="s">
        <v>57</v>
      </c>
      <c r="F58" s="13" t="s">
        <v>58</v>
      </c>
      <c r="I58" s="14" t="str">
        <f>data!$D$10&amp;" "&amp;data!$B$10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data!$D$3&amp;" "&amp;data!$B$3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data!$D$11&amp;" "&amp;data!$B$11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data!$D$4&amp;" "&amp;data!$B$4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data!$D$12&amp;" "&amp;data!$B$12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data!$D$5&amp;" "&amp;data!$B$5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data!$D$6&amp;" "&amp;data!$B$6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59</v>
      </c>
    </row>
    <row r="64">
      <c r="N64" t="s">
        <v>60</v>
      </c>
      <c r="O64" s="19" t="str">
        <f>IFERROR(INDEX($I$53:$I$60, MATCH(1, $O$53:$O$60, 0)), "-")</f>
      </c>
    </row>
    <row r="65">
      <c r="F65" s="13"/>
      <c r="G65" s="13" t="s">
        <v>59</v>
      </c>
      <c r="N65" t="s">
        <v>61</v>
      </c>
      <c r="O65" s="19" t="str">
        <f>IFERROR(INDEX($I$53:$I$60, MATCH(2, $O$53:$O$60, 0)), "-")</f>
      </c>
    </row>
    <row r="66">
      <c r="F66" t="s">
        <v>60</v>
      </c>
      <c r="G66" s="19" t="str">
        <f>IFERROR(INDEX($A$53:$A$62, MATCH(1, $G$53:$G$62, 0)), "-")</f>
      </c>
      <c r="N66" t="s">
        <v>62</v>
      </c>
      <c r="O66" s="19" t="str">
        <f>IFERROR(INDEX($I$53:$I$60, MATCH(3, $O$53:$O$60, 0)), "-")</f>
      </c>
    </row>
    <row r="67">
      <c r="F67" t="s">
        <v>61</v>
      </c>
      <c r="G67" s="19" t="str">
        <f>IFERROR(INDEX($A$53:$A$62, MATCH(2, $G$53:$G$62, 0)), "-")</f>
      </c>
    </row>
    <row r="68">
      <c r="F68" t="s">
        <v>62</v>
      </c>
      <c r="G68" s="19" t="str">
        <f>IFERROR(INDEX($A$53:$A$62, MATCH(3, $G$53:$G$62, 0)), "-")</f>
      </c>
    </row>
    <row r="69">
      <c r="F69" t="s">
        <v>63</v>
      </c>
      <c r="G69" s="19" t="str">
        <f>IFERROR(INDEX($A$53:$A$62, MATCH(4, $G$53:$G$62, 0)), "-")</f>
      </c>
    </row>
    <row r="71">
      <c r="A71" s="13" t="str">
        <f>'data'!$A$9</f>
      </c>
      <c r="B71" s="13"/>
      <c r="C71" s="13"/>
      <c r="D71" s="13"/>
      <c r="E71" s="13"/>
      <c r="F71" s="13"/>
      <c r="G71" s="13"/>
    </row>
    <row r="72">
      <c r="A72" s="17" t="s">
        <v>46</v>
      </c>
      <c r="B72" s="14"/>
      <c r="C72" s="14"/>
      <c r="D72" s="14" t="s">
        <v>47</v>
      </c>
      <c r="E72" s="14"/>
      <c r="F72" s="14"/>
      <c r="G72" s="16" t="s">
        <v>48</v>
      </c>
    </row>
    <row r="73">
      <c r="A73" s="14" t="str">
        <f>data!$D$8&amp;" "&amp;data!$B$8</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data!$D$7&amp;" "&amp;data!$B$7</f>
      </c>
    </row>
    <row r="74">
      <c r="A74" s="14">
        <v>1</v>
      </c>
      <c r="B74" s="18"/>
      <c r="C74" s="18"/>
      <c r="D74" s="18"/>
      <c r="E74" s="18"/>
      <c r="F74" s="18"/>
      <c r="G74" s="14">
        <v>1</v>
      </c>
    </row>
    <row r="75">
      <c r="A75" s="14">
        <v>2</v>
      </c>
      <c r="B75" s="18"/>
      <c r="C75" s="18"/>
      <c r="D75" s="18"/>
      <c r="E75" s="18"/>
      <c r="F75" s="18"/>
      <c r="G75" s="14">
        <v>2</v>
      </c>
    </row>
    <row r="76">
      <c r="A76" s="14">
        <v>3</v>
      </c>
      <c r="B76" s="18"/>
      <c r="C76" s="18"/>
      <c r="D76" s="18"/>
      <c r="E76" s="18"/>
      <c r="F76" s="18"/>
      <c r="G76" s="14">
        <v>3</v>
      </c>
    </row>
    <row r="77">
      <c r="A77" s="14">
        <v>4</v>
      </c>
      <c r="B77" s="18"/>
      <c r="C77" s="18"/>
      <c r="D77" s="18"/>
      <c r="E77" s="18"/>
      <c r="F77" s="18"/>
      <c r="G77" s="14">
        <v>4</v>
      </c>
    </row>
    <row r="78">
      <c r="A78" s="14">
        <v>5</v>
      </c>
      <c r="B78" s="18"/>
      <c r="C78" s="18"/>
      <c r="D78" s="18"/>
      <c r="E78" s="18"/>
      <c r="F78" s="18"/>
      <c r="G78" s="14">
        <v>5</v>
      </c>
    </row>
    <row r="80">
      <c r="A80" s="17" t="s">
        <v>46</v>
      </c>
      <c r="B80" s="14"/>
      <c r="C80" s="14"/>
      <c r="D80" s="14" t="s">
        <v>47</v>
      </c>
      <c r="E80" s="14"/>
      <c r="F80" s="14"/>
      <c r="G80" s="16" t="s">
        <v>48</v>
      </c>
    </row>
    <row r="81">
      <c r="A81" s="14" t="str">
        <f>data!$D$9&amp;" "&amp;data!$B$9</f>
      </c>
      <c r="B81" s="14" t="str">
        <f>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f>
      </c>
      <c r="C81" s="14" t="str">
        <f>LEN(SUBSTITUTE(SUBSTITUTE(SUBSTITUTE(B82," ",""),"0",""),"-",""))+LEN(SUBSTITUTE(SUBSTITUTE(SUBSTITUTE(C82," ",""),"0",""),"-",""))+LEN(SUBSTITUTE(SUBSTITUTE(SUBSTITUTE(B83," ",""),"0",""),"-",""))+LEN(SUBSTITUTE(SUBSTITUTE(SUBSTITUTE(C83," ",""),"0",""),"-",""))+LEN(SUBSTITUTE(SUBSTITUTE(SUBSTITUTE(B84," ",""),"0",""),"-",""))+LEN(SUBSTITUTE(SUBSTITUTE(SUBSTITUTE(C84," ",""),"0",""),"-",""))+LEN(SUBSTITUTE(SUBSTITUTE(SUBSTITUTE(B85," ",""),"0",""),"-",""))+LEN(SUBSTITUTE(SUBSTITUTE(SUBSTITUTE(C85," ",""),"0",""),"-",""))+LEN(SUBSTITUTE(SUBSTITUTE(SUBSTITUTE(B86," ",""),"0",""),"-",""))+LEN(SUBSTITUTE(SUBSTITUTE(SUBSTITUTE(C86," ",""),"0",""),"-",""))</f>
      </c>
      <c r="D81" s="18"/>
      <c r="E81" s="14" t="str">
        <f>LEN(SUBSTITUTE(SUBSTITUTE(SUBSTITUTE(E82," ",""),"0",""),"-",""))+LEN(SUBSTITUTE(SUBSTITUTE(SUBSTITUTE(F82," ",""),"0",""),"-",""))+LEN(SUBSTITUTE(SUBSTITUTE(SUBSTITUTE(E83," ",""),"0",""),"-",""))+LEN(SUBSTITUTE(SUBSTITUTE(SUBSTITUTE(F83," ",""),"0",""),"-",""))+LEN(SUBSTITUTE(SUBSTITUTE(SUBSTITUTE(E84," ",""),"0",""),"-",""))+LEN(SUBSTITUTE(SUBSTITUTE(SUBSTITUTE(F84," ",""),"0",""),"-",""))+LEN(SUBSTITUTE(SUBSTITUTE(SUBSTITUTE(E85," ",""),"0",""),"-",""))+LEN(SUBSTITUTE(SUBSTITUTE(SUBSTITUTE(F85," ",""),"0",""),"-",""))+LEN(SUBSTITUTE(SUBSTITUTE(SUBSTITUTE(E86," ",""),"0",""),"-",""))+LEN(SUBSTITUTE(SUBSTITUTE(SUBSTITUTE(F86," ",""),"0",""),"-",""))</f>
      </c>
      <c r="F81" s="14" t="str">
        <f>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f>
      </c>
      <c r="G81" s="14" t="str">
        <f>data!$D$7&amp;" "&amp;data!$B$7</f>
      </c>
    </row>
    <row r="82">
      <c r="A82" s="14">
        <v>1</v>
      </c>
      <c r="B82" s="18"/>
      <c r="C82" s="18"/>
      <c r="D82" s="18"/>
      <c r="E82" s="18"/>
      <c r="F82" s="18"/>
      <c r="G82" s="14">
        <v>1</v>
      </c>
    </row>
    <row r="83">
      <c r="A83" s="14">
        <v>2</v>
      </c>
      <c r="B83" s="18"/>
      <c r="C83" s="18"/>
      <c r="D83" s="18"/>
      <c r="E83" s="18"/>
      <c r="F83" s="18"/>
      <c r="G83" s="14">
        <v>2</v>
      </c>
    </row>
    <row r="84">
      <c r="A84" s="14">
        <v>3</v>
      </c>
      <c r="B84" s="18"/>
      <c r="C84" s="18"/>
      <c r="D84" s="18"/>
      <c r="E84" s="18"/>
      <c r="F84" s="18"/>
      <c r="G84" s="14">
        <v>3</v>
      </c>
    </row>
    <row r="85">
      <c r="A85" s="14">
        <v>4</v>
      </c>
      <c r="B85" s="18"/>
      <c r="C85" s="18"/>
      <c r="D85" s="18"/>
      <c r="E85" s="18"/>
      <c r="F85" s="18"/>
      <c r="G85" s="14">
        <v>4</v>
      </c>
    </row>
    <row r="86">
      <c r="A86" s="14">
        <v>5</v>
      </c>
      <c r="B86" s="18"/>
      <c r="C86" s="18"/>
      <c r="D86" s="18"/>
      <c r="E86" s="18"/>
      <c r="F86" s="18"/>
      <c r="G86" s="14">
        <v>5</v>
      </c>
    </row>
    <row r="88">
      <c r="A88" s="17" t="s">
        <v>46</v>
      </c>
      <c r="B88" s="14"/>
      <c r="C88" s="14"/>
      <c r="D88" s="14" t="s">
        <v>47</v>
      </c>
      <c r="E88" s="14"/>
      <c r="F88" s="14"/>
      <c r="G88" s="16" t="s">
        <v>48</v>
      </c>
    </row>
    <row r="89">
      <c r="A89" s="14" t="str">
        <f>data!$D$9&amp;" "&amp;data!$B$9</f>
      </c>
      <c r="B89" s="14" t="str">
        <f>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f>
      </c>
      <c r="C89" s="14" t="str">
        <f>LEN(SUBSTITUTE(SUBSTITUTE(SUBSTITUTE(B90," ",""),"0",""),"-",""))+LEN(SUBSTITUTE(SUBSTITUTE(SUBSTITUTE(C90," ",""),"0",""),"-",""))+LEN(SUBSTITUTE(SUBSTITUTE(SUBSTITUTE(B91,"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f>
      </c>
      <c r="D89" s="18"/>
      <c r="E89" s="14" t="str">
        <f>LEN(SUBSTITUTE(SUBSTITUTE(SUBSTITUTE(E90," ",""),"0",""),"-",""))+LEN(SUBSTITUTE(SUBSTITUTE(SUBSTITUTE(F90," ",""),"0",""),"-",""))+LEN(SUBSTITUTE(SUBSTITUTE(SUBSTITUTE(E91,"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f>
      </c>
      <c r="F89" s="14" t="str">
        <f>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f>
      </c>
      <c r="G89" s="14" t="str">
        <f>data!$D$8&amp;" "&amp;data!$B$8</f>
      </c>
    </row>
    <row r="90">
      <c r="A90" s="14">
        <v>1</v>
      </c>
      <c r="B90" s="18"/>
      <c r="C90" s="18"/>
      <c r="D90" s="18"/>
      <c r="E90" s="18"/>
      <c r="F90" s="18"/>
      <c r="G90" s="14">
        <v>1</v>
      </c>
    </row>
    <row r="91">
      <c r="A91" s="14">
        <v>2</v>
      </c>
      <c r="B91" s="18"/>
      <c r="C91" s="18"/>
      <c r="D91" s="18"/>
      <c r="E91" s="18"/>
      <c r="F91" s="18"/>
      <c r="G91" s="14">
        <v>2</v>
      </c>
    </row>
    <row r="92">
      <c r="A92" s="14">
        <v>3</v>
      </c>
      <c r="B92" s="18"/>
      <c r="C92" s="18"/>
      <c r="D92" s="18"/>
      <c r="E92" s="18"/>
      <c r="F92" s="18"/>
      <c r="G92" s="14">
        <v>3</v>
      </c>
    </row>
    <row r="93">
      <c r="A93" s="14">
        <v>4</v>
      </c>
      <c r="B93" s="18"/>
      <c r="C93" s="18"/>
      <c r="D93" s="18"/>
      <c r="E93" s="18"/>
      <c r="F93" s="18"/>
      <c r="G93" s="14">
        <v>4</v>
      </c>
    </row>
    <row r="94">
      <c r="A94" s="14">
        <v>5</v>
      </c>
      <c r="B94" s="18"/>
      <c r="C94" s="18"/>
      <c r="D94" s="18"/>
      <c r="E94" s="18"/>
      <c r="F94" s="18"/>
      <c r="G94" s="14">
        <v>5</v>
      </c>
    </row>
    <row r="97">
      <c r="A97" s="13" t="s">
        <v>49</v>
      </c>
      <c r="B97" s="13" t="s">
        <v>50</v>
      </c>
      <c r="C97" s="13" t="s">
        <v>51</v>
      </c>
      <c r="D97" s="13" t="s">
        <v>52</v>
      </c>
      <c r="E97" s="13"/>
      <c r="F97" s="13"/>
      <c r="G97" s="13" t="s">
        <v>53</v>
      </c>
    </row>
    <row r="98">
      <c r="A98" s="14" t="str">
        <f>data!$D$7&amp;" "&amp;data!$B$7</f>
      </c>
      <c r="B98" s="14" t="str">
        <f>IF(OR(COUNTA(B74:C78,E74:F78)&gt;0,D74="X",D74="x",D75="X",D75="x",D76="X",D76="x",D77="X",D77="x",D78="X",D78="x",OR(D73="X",D73="x")),IF(OR(OR(D73="X",D73="x"),AND(B73=F73,C73=E73)),0,IF(OR(F73&gt;B73,AND(F73=B73,E73&gt;C73)),1,0)),0)+IF(OR(COUNTA(B82:C86,E82:F86)&gt;0,D82="X",D82="x",D83="X",D83="x",D84="X",D84="x",D85="X",D85="x",D86="X",D86="x",OR(D81="X",D81="x")),IF(OR(OR(D81="X",D81="x"),AND(B81=F81,C81=E81)),0,IF(OR(F81&gt;B81,AND(F81=B81,E81&gt;C81)),1,0)),0)</f>
      </c>
      <c r="C98" s="14" t="str">
        <f>IF(OR(COUNTA(B74:C78,E74:F78)&gt;0,D74="X",D74="x",D75="X",D75="x",D76="X",D76="x",D77="X",D77="x",D78="X",D78="x",OR(D73="X",D73="x")),IF(OR(OR(D73="X",D73="x"),AND(B73=F73,C73=E73)),0,IF(OR(F73&lt;B73,AND(F73=B73,E73&lt;C73)),1,0)),0)+IF(OR(COUNTA(B82:C86,E82:F86)&gt;0,D82="X",D82="x",D83="X",D83="x",D84="X",D84="x",D85="X",D85="x",D86="X",D86="x",OR(D81="X",D81="x")),IF(OR(OR(D81="X",D81="x"),AND(B81=F81,C81=E81)),0,IF(OR(F81&lt;B81,AND(F81=B81,E81&lt;C81)),1,0)),0)</f>
      </c>
      <c r="D98" s="14" t="str">
        <f>IF(OR(COUNTA(B74:C78,E74:F78)&gt;0,D74="X",D74="x",D75="X",D75="x",D76="X",D76="x",D77="X",D77="x",D78="X",D78="x",OR(D73="X",D73="x")),IF(OR(OR(D73="X",D73="x"),AND(B73=F73,C73=E73)),1,0),0)+IF(OR(COUNTA(B82:C86,E82:F86)&gt;0,D82="X",D82="x",D83="X",D83="x",D84="X",D84="x",D85="X",D85="x",D86="X",D86="x",OR(D81="X",D81="x")),IF(OR(OR(D81="X",D81="x"),AND(B81=F81,C81=E81)),1,0),0)</f>
      </c>
      <c r="G98" s="18" t="str">
        <f>RANK(U98,$U$98:$U$100)+COUNTIF($U$97:U97,U98)</f>
      </c>
      <c r="U98" t="str">
        <f>(B98*1000000000)-(C98*10000000)+(D98*100000)+(B103*1000)-(C103*100)+(D103*10)+(E103*1)-(F103*0.01)</f>
      </c>
    </row>
    <row r="99">
      <c r="A99" s="14" t="str">
        <f>data!$D$8&amp;" "&amp;data!$B$8</f>
      </c>
      <c r="B99" s="14" t="str">
        <f>IF(OR(COUNTA(B74:C78,E74:F78)&gt;0,D74="X",D74="x",D75="X",D75="x",D76="X",D76="x",D77="X",D77="x",D78="X",D78="x",OR(D73="X",D73="x")),IF(OR(OR(D73="X",D73="x"),AND(B73=F73,C73=E73)),0,IF(OR(B73&gt;F73,AND(B73=F73,C73&gt;E73)),1,0)),0)+IF(OR(COUNTA(B90:C94,E90:F94)&gt;0,D90="X",D90="x",D91="X",D91="x",D92="X",D92="x",D93="X",D93="x",D94="X",D94="x",OR(D89="X",D89="x")),IF(OR(OR(D89="X",D89="x"),AND(B89=F89,C89=E89)),0,IF(OR(F89&gt;B89,AND(F89=B89,E89&gt;C89)),1,0)),0)</f>
      </c>
      <c r="C99" s="14" t="str">
        <f>IF(OR(COUNTA(B74:C78,E74:F78)&gt;0,D74="X",D74="x",D75="X",D75="x",D76="X",D76="x",D77="X",D77="x",D78="X",D78="x",OR(D73="X",D73="x")),IF(OR(OR(D73="X",D73="x"),AND(B73=F73,C73=E73)),0,IF(OR(B73&lt;F73,AND(B73=F73,C73&lt;E73)),1,0)),0)+IF(OR(COUNTA(B90:C94,E90:F94)&gt;0,D90="X",D90="x",D91="X",D91="x",D92="X",D92="x",D93="X",D93="x",D94="X",D94="x",OR(D89="X",D89="x")),IF(OR(OR(D89="X",D89="x"),AND(B89=F89,C89=E89)),0,IF(OR(F89&lt;B89,AND(F89=B89,E89&lt;C89)),1,0)),0)</f>
      </c>
      <c r="D99" s="14" t="str">
        <f>IF(OR(COUNTA(B74:C78,E74:F78)&gt;0,D74="X",D74="x",D75="X",D75="x",D76="X",D76="x",D77="X",D77="x",D78="X",D78="x",OR(D73="X",D73="x")),IF(OR(OR(D73="X",D73="x"),AND(B73=F73,C73=E73)),1,0),0)+IF(OR(COUNTA(B90:C94,E90:F94)&gt;0,D90="X",D90="x",D91="X",D91="x",D92="X",D92="x",D93="X",D93="x",D94="X",D94="x",OR(D89="X",D89="x")),IF(OR(OR(D89="X",D89="x"),AND(B89=F89,C89=E89)),1,0),0)</f>
      </c>
      <c r="G99" s="18" t="str">
        <f>RANK(U99,$U$98:$U$100)+COUNTIF($U$97:U98,U99)</f>
      </c>
      <c r="U99" t="str">
        <f>(B99*1000000000)-(C99*10000000)+(D99*100000)+(B104*1000)-(C104*100)+(D104*10)+(E104*1)-(F104*0.01)</f>
      </c>
    </row>
    <row r="100">
      <c r="A100" s="14" t="str">
        <f>data!$D$9&amp;" "&amp;data!$B$9</f>
      </c>
      <c r="B100" s="14" t="str">
        <f>IF(OR(COUNTA(B82:C86,E82:F86)&gt;0,D82="X",D82="x",D83="X",D83="x",D84="X",D84="x",D85="X",D85="x",D86="X",D86="x",OR(D81="X",D81="x")),IF(OR(OR(D81="X",D81="x"),AND(B81=F81,C81=E81)),0,IF(OR(B81&gt;F81,AND(B81=F81,C81&gt;E81)),1,0)),0)+IF(OR(COUNTA(B90:C94,E90:F94)&gt;0,D90="X",D90="x",D91="X",D91="x",D92="X",D92="x",D93="X",D93="x",D94="X",D94="x",OR(D89="X",D89="x")),IF(OR(OR(D89="X",D89="x"),AND(B89=F89,C89=E89)),0,IF(OR(B89&gt;F89,AND(B89=F89,C89&gt;E89)),1,0)),0)</f>
      </c>
      <c r="C100" s="14" t="str">
        <f>IF(OR(COUNTA(B82:C86,E82:F86)&gt;0,D82="X",D82="x",D83="X",D83="x",D84="X",D84="x",D85="X",D85="x",D86="X",D86="x",OR(D81="X",D81="x")),IF(OR(OR(D81="X",D81="x"),AND(B81=F81,C81=E81)),0,IF(OR(B81&lt;F81,AND(B81=F81,C81&lt;E81)),1,0)),0)+IF(OR(COUNTA(B90:C94,E90:F94)&gt;0,D90="X",D90="x",D91="X",D91="x",D92="X",D92="x",D93="X",D93="x",D94="X",D94="x",OR(D89="X",D89="x")),IF(OR(OR(D89="X",D89="x"),AND(B89=F89,C89=E89)),0,IF(OR(B89&lt;F89,AND(B89=F89,C89&lt;E89)),1,0)),0)</f>
      </c>
      <c r="D100" s="14" t="str">
        <f>IF(OR(COUNTA(B82:C86,E82:F86)&gt;0,D82="X",D82="x",D83="X",D83="x",D84="X",D84="x",D85="X",D85="x",D86="X",D86="x",OR(D81="X",D81="x")),IF(OR(OR(D81="X",D81="x"),AND(B81=F81,C81=E81)),1,0),0)+IF(OR(COUNTA(B90:C94,E90:F94)&gt;0,D90="X",D90="x",D91="X",D91="x",D92="X",D92="x",D93="X",D93="x",D94="X",D94="x",OR(D89="X",D89="x")),IF(OR(OR(D89="X",D89="x"),AND(B89=F89,C89=E89)),1,0),0)</f>
      </c>
      <c r="G100" s="18" t="str">
        <f>RANK(U100,$U$98:$U$100)+COUNTIF($U$97:U99,U100)</f>
      </c>
      <c r="U100" t="str">
        <f>(B100*1000000000)-(C100*10000000)+(D100*100000)+(B105*1000)-(C105*100)+(D105*10)+(E105*1)-(F105*0.01)</f>
      </c>
    </row>
    <row r="102">
      <c r="A102" s="13"/>
      <c r="B102" s="13" t="s">
        <v>54</v>
      </c>
      <c r="C102" s="13" t="s">
        <v>55</v>
      </c>
      <c r="D102" s="13" t="s">
        <v>56</v>
      </c>
      <c r="E102" s="13" t="s">
        <v>57</v>
      </c>
      <c r="F102" s="13" t="s">
        <v>58</v>
      </c>
    </row>
    <row r="103">
      <c r="A103" s="14" t="str">
        <f>data!$D$7&amp;" "&amp;data!$B$7</f>
      </c>
      <c r="B103" s="14" t="str">
        <f>IF(OR(COUNTA(B74:C78,E74:F78)&gt;0,OR(D73="X",D73="x"),UPPER(D74)="X",UPPER(D75)="X",UPPER(D76)="X",UPPER(D77)="X",UPPER(D78)="X"),F73,0)+IF(OR(COUNTA(B82:C86,E82:F86)&gt;0,OR(D81="X",D81="x"),UPPER(D82)="X",UPPER(D83)="X",UPPER(D84)="X",UPPER(D85)="X",UPPER(D86)="X"),F81,0)</f>
      </c>
      <c r="C103" s="14" t="str">
        <f>IF(OR(COUNTA(B74:C78,E74:F78)&gt;0,OR(D73="X",D73="x"),UPPER(D74)="X",UPPER(D75)="X",UPPER(D76)="X",UPPER(D77)="X",UPPER(D78)="X"),B73,0)+IF(OR(COUNTA(B82:C86,E82:F86)&gt;0,OR(D81="X",D81="x"),UPPER(D82)="X",UPPER(D83)="X",UPPER(D84)="X",UPPER(D85)="X",UPPER(D86)="X"),B81,0)</f>
      </c>
      <c r="D103" s="14" t="str">
        <f>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",""),"0",""),"-",""))))),1,0)),0)+IF(OR(COUNTA(B82:C86,E82:F86)&gt;0,OR(D81="X",D81="x"),UPPER(D82)="X",UPPER(D83)="X",UPPER(D84)="X",UPPER(D85)="X",UPPER(D86)="X"),(IF(OR(D82="X",D82="x",AND(COUNTA(B82,C82,E82,F82)&gt;0,(LEN(SUBSTITUTE(SUBSTITUTE(SUBSTITUTE(B82,"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",""),"0",""),"-",""))))),1,0)),0)</f>
      </c>
      <c r="E103" s="14" t="str">
        <f>E73+E81</f>
      </c>
      <c r="F103" s="14" t="str">
        <f>C73+C81</f>
      </c>
    </row>
    <row r="104">
      <c r="A104" s="14" t="str">
        <f>data!$D$8&amp;" "&amp;data!$B$8</f>
      </c>
      <c r="B104" s="14" t="str">
        <f>IF(OR(COUNTA(B74:C78,E74:F78)&gt;0,OR(D73="X",D73="x"),UPPER(D74)="X",UPPER(D75)="X",UPPER(D76)="X",UPPER(D77)="X",UPPER(D78)="X"),B73,0)+IF(OR(COUNTA(B90:C94,E90:F94)&gt;0,OR(D89="X",D89="x"),UPPER(D90)="X",UPPER(D91)="X",UPPER(D92)="X",UPPER(D93)="X",UPPER(D94)="X"),F89,0)</f>
      </c>
      <c r="C104" s="14" t="str">
        <f>IF(OR(COUNTA(B74:C78,E74:F78)&gt;0,OR(D73="X",D73="x"),UPPER(D74)="X",UPPER(D75)="X",UPPER(D76)="X",UPPER(D77)="X",UPPER(D78)="X"),F73,0)+IF(OR(COUNTA(B90:C94,E90:F94)&gt;0,OR(D89="X",D89="x"),UPPER(D90)="X",UPPER(D91)="X",UPPER(D92)="X",UPPER(D93)="X",UPPER(D94)="X"),B89,0)</f>
      </c>
      <c r="D104" s="14" t="str">
        <f>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",""),"0",""),"-",""))))),1,0)),0)+IF(OR(COUNTA(B90:C94,E90:F94)&gt;0,OR(D89="X",D89="x"),UPPER(D90)="X",UPPER(D91)="X",UPPER(D92)="X",UPPER(D93)="X",UPPER(D94)="X"),(IF(OR(D90="X",D90="x",AND(COUNTA(B90,C90,E90,F90)&gt;0,(LEN(SUBSTITUTE(SUBSTITUTE(SUBSTITUTE(B90,"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",""),"0",""),"-",""))))),1,0)),0)</f>
      </c>
      <c r="E104" s="14" t="str">
        <f>C73+E89</f>
      </c>
      <c r="F104" s="14" t="str">
        <f>E73+C89</f>
      </c>
    </row>
    <row r="105">
      <c r="A105" s="14" t="str">
        <f>data!$D$9&amp;" "&amp;data!$B$9</f>
      </c>
      <c r="B105" s="14" t="str">
        <f>IF(OR(COUNTA(B82:C86,E82:F86)&gt;0,OR(D81="X",D81="x"),UPPER(D82)="X",UPPER(D83)="X",UPPER(D84)="X",UPPER(D85)="X",UPPER(D86)="X"),B81,0)+IF(OR(COUNTA(B90:C94,E90:F94)&gt;0,OR(D89="X",D89="x"),UPPER(D90)="X",UPPER(D91)="X",UPPER(D92)="X",UPPER(D93)="X",UPPER(D94)="X"),B89,0)</f>
      </c>
      <c r="C105" s="14" t="str">
        <f>IF(OR(COUNTA(B82:C86,E82:F86)&gt;0,OR(D81="X",D81="x"),UPPER(D82)="X",UPPER(D83)="X",UPPER(D84)="X",UPPER(D85)="X",UPPER(D86)="X"),F81,0)+IF(OR(COUNTA(B90:C94,E90:F94)&gt;0,OR(D89="X",D89="x"),UPPER(D90)="X",UPPER(D91)="X",UPPER(D92)="X",UPPER(D93)="X",UPPER(D94)="X"),F89,0)</f>
      </c>
      <c r="D105" s="14" t="str">
        <f>IF(OR(COUNTA(B82:C86,E82:F86)&gt;0,OR(D81="X",D81="x"),UPPER(D82)="X",UPPER(D83)="X",UPPER(D84)="X",UPPER(D85)="X",UPPER(D86)="X"),(IF(OR(D82="X",D82="x",AND(COUNTA(B82,C82,E82,F82)&gt;0,(LEN(SUBSTITUTE(SUBSTITUTE(SUBSTITUTE(B82,"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",""),"0",""),"-",""))))),1,0)),0)+IF(OR(COUNTA(B90:C94,E90:F94)&gt;0,OR(D89="X",D89="x"),UPPER(D90)="X",UPPER(D91)="X",UPPER(D92)="X",UPPER(D93)="X",UPPER(D94)="X"),(IF(OR(D90="X",D90="x",AND(COUNTA(B90,C90,E90,F90)&gt;0,(LEN(SUBSTITUTE(SUBSTITUTE(SUBSTITUTE(B90,"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",""),"0",""),"-",""))))),1,0)),0)</f>
      </c>
      <c r="E105" s="14" t="str">
        <f>C81+C89</f>
      </c>
      <c r="F105" s="14" t="str">
        <f>E81+E89</f>
      </c>
    </row>
    <row r="108">
      <c r="F108" s="13"/>
      <c r="G108" s="13" t="s">
        <v>59</v>
      </c>
    </row>
    <row r="109">
      <c r="F109" t="s">
        <v>60</v>
      </c>
      <c r="G109" s="19" t="str">
        <f>IFERROR(INDEX($A$98:$A$105, MATCH(1, $G$98:$G$105, 0)), "-")</f>
      </c>
    </row>
    <row r="110">
      <c r="F110" t="s">
        <v>61</v>
      </c>
      <c r="G110" s="19" t="str">
        <f>IFERROR(INDEX($A$98:$A$105, MATCH(2, $G$98:$G$105, 0)), "-")</f>
      </c>
    </row>
    <row r="111">
      <c r="F111" t="s">
        <v>62</v>
      </c>
      <c r="G111" s="19" t="str">
        <f>IFERROR(INDEX($A$98:$A$105, MATCH(3, $G$98:$G$105,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71:G71"/>
  </mergeCells>
  <printOptions horizontalCentered="true" verticalCentered="true"/>
  <pageSetup fitToHeight="0" fitToWidth="2" orientation="portrait" pageOrder="downThenOver" paperSize="9"/>
  <rowBreaks count="2" manualBreakCount="2">
    <brk id="42" max="16383" man="true"/>
    <brk id="70"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44</v>
      </c>
      <c r="B1" s="13"/>
      <c r="C1" s="13"/>
      <c r="D1" s="13"/>
      <c r="E1" s="13"/>
      <c r="F1" s="13"/>
      <c r="G1" s="13"/>
      <c r="I1" s="13" t="s">
        <v>45</v>
      </c>
      <c r="J1" s="13"/>
      <c r="K1" s="13"/>
      <c r="L1" s="13"/>
      <c r="M1" s="13"/>
      <c r="N1" s="13"/>
      <c r="O1" s="13"/>
    </row>
    <row r="2">
      <c r="A2" s="13" t="s">
        <v>64</v>
      </c>
      <c r="B2" s="13"/>
      <c r="C2" s="13"/>
      <c r="D2" s="13"/>
      <c r="E2" s="13"/>
      <c r="F2" s="13"/>
      <c r="G2" s="13"/>
      <c r="I2" s="13" t="s">
        <v>66</v>
      </c>
      <c r="J2" s="13"/>
      <c r="K2" s="13"/>
      <c r="L2" s="13"/>
      <c r="M2" s="13"/>
      <c r="N2" s="13"/>
      <c r="O2" s="13"/>
    </row>
    <row r="3">
      <c r="A3" s="17" t="s">
        <v>46</v>
      </c>
      <c r="D3" s="14" t="s">
        <v>47</v>
      </c>
      <c r="G3" s="16" t="s">
        <v>48</v>
      </c>
      <c r="I3" s="17" t="s">
        <v>46</v>
      </c>
      <c r="L3" s="14" t="s">
        <v>47</v>
      </c>
      <c r="O3" s="16" t="s">
        <v>48</v>
      </c>
    </row>
    <row r="4">
      <c r="A4" s="14" t="str">
        <f>CONCATENATE("Pool C-2nd ",'Pool Matches'!O65)</f>
      </c>
      <c r="B4" s="14"/>
      <c r="C4" s="14"/>
      <c r="D4" s="18"/>
      <c r="E4" s="14"/>
      <c r="F4" s="14"/>
      <c r="G4" s="14" t="str">
        <f>CONCATENATE("Pool B-1st ",'Pool Matches'!G109)</f>
      </c>
      <c r="I4" s="14" t="str">
        <f>CONCATENATE("Pool B-2nd ",'Pool Matches'!G110)</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C-2nd ",'Pool Matches'!O65)</f>
      </c>
      <c r="B11" s="14" t="s">
        <v>54</v>
      </c>
      <c r="C11" s="14" t="s">
        <v>57</v>
      </c>
      <c r="D11" s="14"/>
      <c r="E11" s="14" t="s">
        <v>57</v>
      </c>
      <c r="F11" s="14" t="s">
        <v>54</v>
      </c>
      <c r="G11" s="14" t="str">
        <f>CONCATENATE("Pool B-1st ",'Pool Matches'!G109)</f>
      </c>
      <c r="I11" s="14" t="str">
        <f>CONCATENATE("Pool B-2nd ",'Pool Matches'!G110)</f>
      </c>
      <c r="J11" s="14" t="s">
        <v>54</v>
      </c>
      <c r="K11" s="14" t="s">
        <v>57</v>
      </c>
      <c r="L11" s="14"/>
      <c r="M11" s="14" t="s">
        <v>57</v>
      </c>
      <c r="N11" s="14" t="s">
        <v>54</v>
      </c>
      <c r="O11" s="14" t="str">
        <f>CONCATENATE("Pool A-2nd ",'Pool Matches'!G67)</f>
      </c>
    </row>
    <row r="12">
      <c r="A12" s="14" t="s">
        <v>65</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65</v>
      </c>
      <c r="I12" s="14" t="s">
        <v>65</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65</v>
      </c>
    </row>
    <row r="15">
      <c r="F15" t="s">
        <v>60</v>
      </c>
      <c r="G15" s="19"/>
      <c r="N15" t="s">
        <v>60</v>
      </c>
      <c r="O15" s="19"/>
    </row>
    <row r="16">
      <c r="F16" t="s">
        <v>61</v>
      </c>
      <c r="G16" s="19"/>
      <c r="N16" t="s">
        <v>61</v>
      </c>
      <c r="O16" s="19"/>
    </row>
    <row r="23">
      <c r="A23" s="13" t="s">
        <v>67</v>
      </c>
      <c r="B23" s="13"/>
      <c r="C23" s="13"/>
      <c r="D23" s="13"/>
      <c r="E23" s="13"/>
      <c r="F23" s="13"/>
      <c r="G23" s="13"/>
      <c r="I23" s="13" t="s">
        <v>68</v>
      </c>
      <c r="J23" s="13"/>
      <c r="K23" s="13"/>
      <c r="L23" s="13"/>
      <c r="M23" s="13"/>
      <c r="N23" s="13"/>
      <c r="O23" s="13"/>
    </row>
    <row r="24">
      <c r="A24" s="17" t="s">
        <v>46</v>
      </c>
      <c r="D24" s="14" t="s">
        <v>47</v>
      </c>
      <c r="G24" s="16" t="s">
        <v>48</v>
      </c>
      <c r="I24" s="17" t="s">
        <v>46</v>
      </c>
      <c r="L24" s="14" t="s">
        <v>47</v>
      </c>
      <c r="O24" s="16" t="s">
        <v>48</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C-1st ",'Pool Matches'!O64)</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54</v>
      </c>
      <c r="C32" s="14" t="s">
        <v>57</v>
      </c>
      <c r="D32" s="14"/>
      <c r="E32" s="14" t="s">
        <v>57</v>
      </c>
      <c r="F32" s="14" t="s">
        <v>54</v>
      </c>
      <c r="G32" s="14" t="str">
        <f>CONCATENATE("Pool A-1st ",'Pool Matches'!G66)</f>
      </c>
      <c r="I32" s="14" t="str">
        <f>CONCATENATE("M 2 ",O15)</f>
      </c>
      <c r="J32" s="14" t="s">
        <v>54</v>
      </c>
      <c r="K32" s="14" t="s">
        <v>57</v>
      </c>
      <c r="L32" s="14"/>
      <c r="M32" s="14" t="s">
        <v>57</v>
      </c>
      <c r="N32" s="14" t="s">
        <v>54</v>
      </c>
      <c r="O32" s="14" t="str">
        <f>CONCATENATE("Pool C-1st ",'Pool Matches'!O64)</f>
      </c>
    </row>
    <row r="33">
      <c r="A33" s="14" t="s">
        <v>65</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65</v>
      </c>
      <c r="I33" s="14" t="s">
        <v>65</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65</v>
      </c>
    </row>
    <row r="36">
      <c r="F36" t="s">
        <v>60</v>
      </c>
      <c r="G36" s="19"/>
      <c r="N36" t="s">
        <v>60</v>
      </c>
      <c r="O36" s="19"/>
    </row>
    <row r="37">
      <c r="F37" t="s">
        <v>61</v>
      </c>
      <c r="G37" s="19"/>
      <c r="N37" t="s">
        <v>61</v>
      </c>
      <c r="O37" s="19"/>
    </row>
    <row r="44">
      <c r="A44" s="13" t="s">
        <v>69</v>
      </c>
      <c r="B44" s="13"/>
      <c r="C44" s="13"/>
      <c r="D44" s="13"/>
      <c r="E44" s="13"/>
      <c r="F44" s="13"/>
      <c r="G44" s="13"/>
    </row>
    <row r="45">
      <c r="A45" s="17" t="s">
        <v>46</v>
      </c>
      <c r="D45" s="14" t="s">
        <v>47</v>
      </c>
      <c r="G45" s="16" t="s">
        <v>48</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54</v>
      </c>
      <c r="C53" s="14" t="s">
        <v>57</v>
      </c>
      <c r="D53" s="14"/>
      <c r="E53" s="14" t="s">
        <v>57</v>
      </c>
      <c r="F53" s="14" t="s">
        <v>54</v>
      </c>
      <c r="G53" s="14" t="str">
        <f>CONCATENATE("M 3 ",G36)</f>
      </c>
    </row>
    <row r="54">
      <c r="A54" s="14" t="s">
        <v>65</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65</v>
      </c>
    </row>
    <row r="57">
      <c r="F57" t="s">
        <v>60</v>
      </c>
      <c r="G57" s="19"/>
    </row>
    <row r="58">
      <c r="F58" t="s">
        <v>61</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'data'!$A$6</f>
      </c>
    </row>
    <row r="5">
      <c r="A5" s="25" t="str">
        <f>data!$D$3&amp;" "&amp;data!$B$3</f>
      </c>
    </row>
    <row r="6">
      <c r="A6" s="26" t="str">
        <f>data!$D$4&amp;" "&amp;data!$B$4</f>
      </c>
      <c r="C6" s="23"/>
      <c r="D6" s="23"/>
      <c r="E6" s="23" t="str">
        <f>CONCATENATE("Pool A-1st ",'Pool Matches'!G66)</f>
      </c>
    </row>
    <row r="7">
      <c r="A7" s="26" t="str">
        <f>data!$D$5&amp;" "&amp;data!$B$5</f>
      </c>
      <c r="F7" s="22"/>
      <c r="G7" s="20"/>
    </row>
    <row r="8">
      <c r="A8" s="27" t="str">
        <f>data!$D$6&amp;" "&amp;data!$B$6</f>
      </c>
      <c r="G8" s="21">
        <v>3</v>
      </c>
    </row>
    <row r="9">
      <c r="A9" s="22"/>
      <c r="C9" s="23" t="str">
        <f>CONCATENATE("Pool B-1st ",'Pool Matches'!G109)</f>
      </c>
      <c r="G9" s="20"/>
    </row>
    <row r="10">
      <c r="A10" s="24" t="str">
        <f>'data'!$A$9</f>
      </c>
      <c r="D10" s="22"/>
      <c r="E10" s="21">
        <v>1</v>
      </c>
      <c r="F10" s="15"/>
      <c r="G10" s="20"/>
    </row>
    <row r="11">
      <c r="A11" s="25" t="str">
        <f>data!$D$7&amp;" "&amp;data!$B$7</f>
      </c>
      <c r="C11" s="23" t="str">
        <f>CONCATENATE("Pool C-2nd ",'Pool Matches'!O65)</f>
      </c>
      <c r="D11" s="15"/>
      <c r="E11" s="20"/>
    </row>
    <row r="12">
      <c r="A12" s="26" t="str">
        <f>data!$D$8&amp;" "&amp;data!$B$8</f>
      </c>
    </row>
    <row r="13">
      <c r="A13" s="27" t="str">
        <f>data!$D$9&amp;" "&amp;data!$B$9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row>
    <row r="4">
      <c r="A4" s="24" t="str">
        <f>'data'!$A$12</f>
      </c>
    </row>
    <row r="5">
      <c r="A5" s="25" t="str">
        <f>data!$D$10&amp;" "&amp;data!$B$10</f>
      </c>
    </row>
    <row r="6">
      <c r="A6" s="26" t="str">
        <f>data!$D$11&amp;" "&amp;data!$B$11</f>
      </c>
      <c r="C6" s="23"/>
      <c r="D6" s="23"/>
      <c r="E6" s="23" t="str">
        <f>CONCATENATE("Pool C-1st ",'Pool Matches'!O64)</f>
      </c>
    </row>
    <row r="7">
      <c r="A7" s="27" t="str">
        <f>data!$D$12&amp;" "&amp;data!$B$12</f>
      </c>
      <c r="F7" s="22"/>
      <c r="G7" s="20"/>
    </row>
    <row r="8">
      <c r="A8" s="22"/>
      <c r="G8" s="21">
        <v>4</v>
      </c>
    </row>
    <row r="9">
      <c r="C9" s="23" t="str">
        <f>CONCATENATE("Pool A-2nd ",'Pool Matches'!G67)</f>
      </c>
      <c r="G9" s="20"/>
    </row>
    <row r="10">
      <c r="D10" s="22"/>
      <c r="E10" s="21">
        <v>2</v>
      </c>
      <c r="F10" s="15"/>
      <c r="G10" s="20"/>
    </row>
    <row r="11">
      <c r="C11" s="23" t="str">
        <f>CONCATENATE("Pool B-2nd ",'Pool Matches'!G110)</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'data'!$D$10</f>
      </c>
      <c r="B1" s="29" t="str">
        <f>'data'!$B$10</f>
      </c>
    </row>
    <row r="2" ht="270" customHeight="true">
      <c r="A2" s="28" t="str">
        <f>'data'!$D$11</f>
      </c>
      <c r="B2" s="29" t="str">
        <f>'data'!$B$11</f>
      </c>
    </row>
    <row r="3" ht="270" customHeight="true">
      <c r="A3" s="28" t="str">
        <f>'data'!$D$12</f>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33</v>
      </c>
    </row>
    <row r="12" ht="409" customHeight="true">
      <c r="A12" s="30" t="s">
        <v>33</v>
      </c>
    </row>
    <row r="13" ht="409" customHeight="true">
      <c r="A13" s="30" t="s">
        <v>36</v>
      </c>
    </row>
    <row r="14" ht="409" customHeight="true">
      <c r="A14" s="30" t="s">
        <v>36</v>
      </c>
    </row>
    <row r="15" ht="409" customHeight="true">
      <c r="A15" s="30" t="s">
        <v>39</v>
      </c>
    </row>
    <row r="16" ht="409" customHeight="true">
      <c r="A16" s="30" t="s">
        <v>39</v>
      </c>
    </row>
    <row r="17" ht="409" customHeight="true">
      <c r="A17" s="30" t="s">
        <v>41</v>
      </c>
    </row>
    <row r="18" ht="409" customHeight="true">
      <c r="A18" s="30" t="s">
        <v>41</v>
      </c>
    </row>
    <row r="19" ht="409" customHeight="true">
      <c r="A19" s="30" t="s">
        <v>43</v>
      </c>
    </row>
    <row r="20" ht="409" customHeight="true">
      <c r="A20" s="30" t="s">
        <v>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