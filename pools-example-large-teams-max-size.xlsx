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1"/>
  </bookViews>
  <sheets>
    <sheet name="data" sheetId="1" r:id="rId1"/>
    <sheet name="Time Estimator" sheetId="2" r:id="rId4"/>
    <sheet name="Pool Draw" sheetId="3" r:id="rId5"/>
    <sheet name="Pool Matches" sheetId="4" r:id="rId6"/>
    <sheet name="Elimination Matches" sheetId="5" r:id="rId7"/>
    <sheet name="Tree 1" sheetId="8" r:id="rId11"/>
    <sheet name="Tree 2" sheetId="9" r:id="rId12"/>
    <sheet name="Tree 3" sheetId="10" r:id="rId13"/>
    <sheet name="Tree 4" sheetId="11" r:id="rId14"/>
    <sheet name="Names to Print A" sheetId="12" r:id="rId15"/>
    <sheet name="Names to Print B" sheetId="13" r:id="rId16"/>
    <sheet name="Tags" sheetId="14" r:id="rId17"/>
  </sheets>
  <definedNames>
    <definedName localSheetId="2" name="_xlnm.Print_Area">'Pool Draw'!$B$2:$F$71</definedName>
    <definedName localSheetId="3" name="_xlnm.Print_Area">'Pool Matches'!$A$1:$P$672</definedName>
    <definedName localSheetId="5" name="_xlnm.Print_Area">'Tree 1'!$A$1:$K$43</definedName>
    <definedName localSheetId="6" name="_xlnm.Print_Area">'Tree 2'!$A$1:$K$42</definedName>
    <definedName localSheetId="7" name="_xlnm.Print_Area">'Tree 3'!$A$1:$K$43</definedName>
    <definedName localSheetId="8" name="_xlnm.Print_Area">'Tree 4'!$A$1:$K$37</definedName>
    <definedName localSheetId="9" name="_xlnm.Print_Area">'Names to Print A'!$A$1:$B$47</definedName>
    <definedName localSheetId="10" name="_xlnm.Print_Area">'Names to Print B'!$A$1:$B$44</definedName>
    <definedName localSheetId="11" name="_xlnm.Print_Area">'Tags'!$A$1:$A$182</definedName>
    <definedName localSheetId="4" name="_xlnm.Print_Area">'Elimination Matches'!$A$1:$P$527</definedName>
  </definedNames>
  <calcPr calcId="122211"/>
</workbook>
</file>

<file path=xl/sharedStrings.xml><?xml version="1.0" encoding="utf-8"?>
<sst xmlns="http://schemas.openxmlformats.org/spreadsheetml/2006/main" count="417" uniqueCount="417">
  <si>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</si>
  <si>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</si>
  <si>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</si>
  <si>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</si>
  <si>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</si>
  <si>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</si>
  <si>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</si>
  <si>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</si>
  <si>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</si>
  <si>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</si>
  <si>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</si>
  <si>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</si>
  <si>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</si>
  <si>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</si>
  <si>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Display Name</t>
  </si>
  <si>
    <t>Player Number</t>
  </si>
  <si>
    <t>Metadata</t>
  </si>
  <si>
    <t>Pool A</t>
  </si>
  <si>
    <t>Oliver Walker</t>
  </si>
  <si>
    <t>Team Epsilon</t>
  </si>
  <si>
    <t>WALKER</t>
  </si>
  <si>
    <t>K1</t>
  </si>
  <si>
    <t>Fyodor Dostoevsky</t>
  </si>
  <si>
    <t>Team Zeta</t>
  </si>
  <si>
    <t>DOSTOEVSKY</t>
  </si>
  <si>
    <t>K2</t>
  </si>
  <si>
    <t>Samwise Gamgee</t>
  </si>
  <si>
    <t>Team Tau</t>
  </si>
  <si>
    <t>GAMGEE</t>
  </si>
  <si>
    <t>K3</t>
  </si>
  <si>
    <t>Pool B</t>
  </si>
  <si>
    <t>Michael Lewis</t>
  </si>
  <si>
    <t>Team Gamma</t>
  </si>
  <si>
    <t>LEWIS</t>
  </si>
  <si>
    <t>K4</t>
  </si>
  <si>
    <t>Bram Stoker</t>
  </si>
  <si>
    <t>Team Beta</t>
  </si>
  <si>
    <t>STOKER</t>
  </si>
  <si>
    <t>K5</t>
  </si>
  <si>
    <t>Kaden Martin</t>
  </si>
  <si>
    <t>Team Alpha</t>
  </si>
  <si>
    <t>MARTIN</t>
  </si>
  <si>
    <t>K6</t>
  </si>
  <si>
    <t>Pool C</t>
  </si>
  <si>
    <t>Isaac White</t>
  </si>
  <si>
    <t>Team Iota</t>
  </si>
  <si>
    <t>WHITE</t>
  </si>
  <si>
    <t>K7</t>
  </si>
  <si>
    <t>Nolan Clark</t>
  </si>
  <si>
    <t>Team Delta</t>
  </si>
  <si>
    <t>CLARK</t>
  </si>
  <si>
    <t>K8</t>
  </si>
  <si>
    <t>Petyr Baelish</t>
  </si>
  <si>
    <t>Team Pi</t>
  </si>
  <si>
    <t>BAELISH</t>
  </si>
  <si>
    <t>K9</t>
  </si>
  <si>
    <t>Pool D</t>
  </si>
  <si>
    <t>Gabriel Thomas</t>
  </si>
  <si>
    <t>Team Eta</t>
  </si>
  <si>
    <t>THOMAS</t>
  </si>
  <si>
    <t>K10</t>
  </si>
  <si>
    <t>Kevin Clark</t>
  </si>
  <si>
    <t>K11</t>
  </si>
  <si>
    <t>Tyrion Lannister</t>
  </si>
  <si>
    <t>Team Upsilon</t>
  </si>
  <si>
    <t>LANNISTER</t>
  </si>
  <si>
    <t>K12</t>
  </si>
  <si>
    <t>Pool E</t>
  </si>
  <si>
    <t>Victor Lopez</t>
  </si>
  <si>
    <t>LOPEZ</t>
  </si>
  <si>
    <t>K13</t>
  </si>
  <si>
    <t>Jane Austen</t>
  </si>
  <si>
    <t>Team Kappa</t>
  </si>
  <si>
    <t>AUSTEN</t>
  </si>
  <si>
    <t>K14</t>
  </si>
  <si>
    <t>Charles Dickens</t>
  </si>
  <si>
    <t>DICKENS</t>
  </si>
  <si>
    <t>K15</t>
  </si>
  <si>
    <t>Pool F</t>
  </si>
  <si>
    <t>Quirinus Quirrell</t>
  </si>
  <si>
    <t>Team Rho</t>
  </si>
  <si>
    <t>QUIRRELL</t>
  </si>
  <si>
    <t>K16</t>
  </si>
  <si>
    <t>Mary Shelley</t>
  </si>
  <si>
    <t>Team Nu</t>
  </si>
  <si>
    <t>SHELLEY</t>
  </si>
  <si>
    <t>K17</t>
  </si>
  <si>
    <t>Yann Martel</t>
  </si>
  <si>
    <t>MARTEL</t>
  </si>
  <si>
    <t>K18</t>
  </si>
  <si>
    <t>Pool G</t>
  </si>
  <si>
    <t>Xavier Scott</t>
  </si>
  <si>
    <t>SCOTT</t>
  </si>
  <si>
    <t>K19</t>
  </si>
  <si>
    <t>Emily Bronte</t>
  </si>
  <si>
    <t>BRONTE</t>
  </si>
  <si>
    <t>K20</t>
  </si>
  <si>
    <t>Othello</t>
  </si>
  <si>
    <t>Team Omicron</t>
  </si>
  <si>
    <t>OTHELLO</t>
  </si>
  <si>
    <t>K21</t>
  </si>
  <si>
    <t>Pool H</t>
  </si>
  <si>
    <t>Ryan Hall</t>
  </si>
  <si>
    <t>Team Theta</t>
  </si>
  <si>
    <t>HALL</t>
  </si>
  <si>
    <t>K22</t>
  </si>
  <si>
    <t>Katniss Everdeen</t>
  </si>
  <si>
    <t>Team Lambda</t>
  </si>
  <si>
    <t>EVERDEEN</t>
  </si>
  <si>
    <t>K23</t>
  </si>
  <si>
    <t>Ygritte</t>
  </si>
  <si>
    <t>YGRITTE</t>
  </si>
  <si>
    <t>K24</t>
  </si>
  <si>
    <t>Pool I</t>
  </si>
  <si>
    <t>Quentin Allen</t>
  </si>
  <si>
    <t>ALLEN</t>
  </si>
  <si>
    <t>K25</t>
  </si>
  <si>
    <t>Parker Lewis</t>
  </si>
  <si>
    <t>K26</t>
  </si>
  <si>
    <t>Steven Hernandez</t>
  </si>
  <si>
    <t>HERNANDEZ</t>
  </si>
  <si>
    <t>K27</t>
  </si>
  <si>
    <t>Pool J</t>
  </si>
  <si>
    <t>William Hill</t>
  </si>
  <si>
    <t>HILL</t>
  </si>
  <si>
    <t>K28</t>
  </si>
  <si>
    <t>Virginia Woolf</t>
  </si>
  <si>
    <t>Team Chi</t>
  </si>
  <si>
    <t>WOOLF</t>
  </si>
  <si>
    <t>K29</t>
  </si>
  <si>
    <t>Ron Weasley</t>
  </si>
  <si>
    <t>Team Sigma</t>
  </si>
  <si>
    <t>WEASLEY</t>
  </si>
  <si>
    <t>K30</t>
  </si>
  <si>
    <t>Pool K</t>
  </si>
  <si>
    <t>Herman Melville</t>
  </si>
  <si>
    <t>MELVILLE</t>
  </si>
  <si>
    <t>K31</t>
  </si>
  <si>
    <t>Tristan Young</t>
  </si>
  <si>
    <t>YOUNG</t>
  </si>
  <si>
    <t>K32</t>
  </si>
  <si>
    <t>Legolas Greenleaf</t>
  </si>
  <si>
    <t>Team Mu</t>
  </si>
  <si>
    <t>GREENLEAF</t>
  </si>
  <si>
    <t>K33</t>
  </si>
  <si>
    <t>Pool L</t>
  </si>
  <si>
    <t>Owen Rodriguez</t>
  </si>
  <si>
    <t>RODRIGUEZ</t>
  </si>
  <si>
    <t>K34</t>
  </si>
  <si>
    <t>Ulysses Hernandez</t>
  </si>
  <si>
    <t>K35</t>
  </si>
  <si>
    <t>Willy Wonka</t>
  </si>
  <si>
    <t>Team Psi</t>
  </si>
  <si>
    <t>WONKA</t>
  </si>
  <si>
    <t>K36</t>
  </si>
  <si>
    <t>Pool M</t>
  </si>
  <si>
    <t>Dylan Moore</t>
  </si>
  <si>
    <t>MOORE</t>
  </si>
  <si>
    <t>K37</t>
  </si>
  <si>
    <t>Yosef Green</t>
  </si>
  <si>
    <t>GREEN</t>
  </si>
  <si>
    <t>K38</t>
  </si>
  <si>
    <t>Neville Longbottom</t>
  </si>
  <si>
    <t>Team Xi</t>
  </si>
  <si>
    <t>LONGBOTTOM</t>
  </si>
  <si>
    <t>K39</t>
  </si>
  <si>
    <t>Pool N</t>
  </si>
  <si>
    <t>Mason Martinez</t>
  </si>
  <si>
    <t>MARTINEZ</t>
  </si>
  <si>
    <t>K40</t>
  </si>
  <si>
    <t>George Orwell</t>
  </si>
  <si>
    <t>ORWELL</t>
  </si>
  <si>
    <t>K41</t>
  </si>
  <si>
    <t>Uriel Wright</t>
  </si>
  <si>
    <t>WRIGHT</t>
  </si>
  <si>
    <t>K42</t>
  </si>
  <si>
    <t>Pool O</t>
  </si>
  <si>
    <t>Liam Thompson</t>
  </si>
  <si>
    <t>THOMPSON</t>
  </si>
  <si>
    <t>K43</t>
  </si>
  <si>
    <t>Daniel Defoe</t>
  </si>
  <si>
    <t>DEFOE</t>
  </si>
  <si>
    <t>K44</t>
  </si>
  <si>
    <t>Xaro Xhoan Daxos</t>
  </si>
  <si>
    <t>Team Omega</t>
  </si>
  <si>
    <t>DAXOS</t>
  </si>
  <si>
    <t>K45</t>
  </si>
  <si>
    <t>Pool P</t>
  </si>
  <si>
    <t>Isaac Asimov</t>
  </si>
  <si>
    <t>ASIMOV</t>
  </si>
  <si>
    <t>K46</t>
  </si>
  <si>
    <t>Ursula K Le Guin</t>
  </si>
  <si>
    <t>Team Phi</t>
  </si>
  <si>
    <t>LE GUIN</t>
  </si>
  <si>
    <t>K47</t>
  </si>
  <si>
    <t>Pool Q</t>
  </si>
  <si>
    <t>Xavier Herbert</t>
  </si>
  <si>
    <t>HERBERT</t>
  </si>
  <si>
    <t>K48</t>
  </si>
  <si>
    <t>Lewis Carroll</t>
  </si>
  <si>
    <t>CARROLL</t>
  </si>
  <si>
    <t>K49</t>
  </si>
  <si>
    <t>William Shakespeare</t>
  </si>
  <si>
    <t>SHAKESPEARE</t>
  </si>
  <si>
    <t>K50</t>
  </si>
  <si>
    <t>Pool R</t>
  </si>
  <si>
    <t>Nathan Lee</t>
  </si>
  <si>
    <t>LEE</t>
  </si>
  <si>
    <t>K51</t>
  </si>
  <si>
    <t>Ray Bradbury</t>
  </si>
  <si>
    <t>BRADBURY</t>
  </si>
  <si>
    <t>K52</t>
  </si>
  <si>
    <t>Aaron Thompson</t>
  </si>
  <si>
    <t>K53</t>
  </si>
  <si>
    <t>Pool S</t>
  </si>
  <si>
    <t>Finn Anderson</t>
  </si>
  <si>
    <t>ANDERSON</t>
  </si>
  <si>
    <t>K54</t>
  </si>
  <si>
    <t>Luke Rodriguez</t>
  </si>
  <si>
    <t>K55</t>
  </si>
  <si>
    <t>Elijah Taylor</t>
  </si>
  <si>
    <t>TAYLOR</t>
  </si>
  <si>
    <t>K56</t>
  </si>
  <si>
    <t>Pool T</t>
  </si>
  <si>
    <t>Daenerys Targaryen</t>
  </si>
  <si>
    <t>TARGARYEN</t>
  </si>
  <si>
    <t>K57</t>
  </si>
  <si>
    <t>William Wright</t>
  </si>
  <si>
    <t>K58</t>
  </si>
  <si>
    <t>Ulysses</t>
  </si>
  <si>
    <t>ULYSSES</t>
  </si>
  <si>
    <t>K59</t>
  </si>
  <si>
    <t>Pool U</t>
  </si>
  <si>
    <t>Paul Hall</t>
  </si>
  <si>
    <t>K60</t>
  </si>
  <si>
    <t>Quinn Walker</t>
  </si>
  <si>
    <t>K61</t>
  </si>
  <si>
    <t>Voldemort</t>
  </si>
  <si>
    <t>VOLDEMORT</t>
  </si>
  <si>
    <t>K62</t>
  </si>
  <si>
    <t>Pool V</t>
  </si>
  <si>
    <t>Thomas King</t>
  </si>
  <si>
    <t>KING</t>
  </si>
  <si>
    <t>K63</t>
  </si>
  <si>
    <t>Xavier Lopez</t>
  </si>
  <si>
    <t>K64</t>
  </si>
  <si>
    <t>Hermione Granger</t>
  </si>
  <si>
    <t>GRANGER</t>
  </si>
  <si>
    <t>K65</t>
  </si>
  <si>
    <t>Pool W</t>
  </si>
  <si>
    <t>Robert Young</t>
  </si>
  <si>
    <t>K66</t>
  </si>
  <si>
    <t>Vincent King</t>
  </si>
  <si>
    <t>K67</t>
  </si>
  <si>
    <t>Albus Dumbledore</t>
  </si>
  <si>
    <t>DUMBLEDORE</t>
  </si>
  <si>
    <t>K68</t>
  </si>
  <si>
    <t>Pool X</t>
  </si>
  <si>
    <t>Jackson Harris</t>
  </si>
  <si>
    <t>HARRIS</t>
  </si>
  <si>
    <t>K69</t>
  </si>
  <si>
    <t>Nathaniel Hawthorne</t>
  </si>
  <si>
    <t>HAWTHORNE</t>
  </si>
  <si>
    <t>K70</t>
  </si>
  <si>
    <t>Inigo Montoya</t>
  </si>
  <si>
    <t>MONTOYA</t>
  </si>
  <si>
    <t>K71</t>
  </si>
  <si>
    <t>Pool Y</t>
  </si>
  <si>
    <t>Sebastian Allen</t>
  </si>
  <si>
    <t>K72</t>
  </si>
  <si>
    <t>Jon Snow</t>
  </si>
  <si>
    <t>SNOW</t>
  </si>
  <si>
    <t>K73</t>
  </si>
  <si>
    <t>Hudson Jackson</t>
  </si>
  <si>
    <t>JACKSON</t>
  </si>
  <si>
    <t>K74</t>
  </si>
  <si>
    <t>Pool Z</t>
  </si>
  <si>
    <t>Caleb Wilson</t>
  </si>
  <si>
    <t>WILSON</t>
  </si>
  <si>
    <t>K75</t>
  </si>
  <si>
    <t>Oscar Wilde</t>
  </si>
  <si>
    <t>WILDE</t>
  </si>
  <si>
    <t>K76</t>
  </si>
  <si>
    <t>Gandalf The Grey</t>
  </si>
  <si>
    <t>GANDALF</t>
  </si>
  <si>
    <t>K77</t>
  </si>
  <si>
    <t>Pool AA</t>
  </si>
  <si>
    <t>Benjamin Evans</t>
  </si>
  <si>
    <t>EVANS</t>
  </si>
  <si>
    <t>K78</t>
  </si>
  <si>
    <t>Philip K Dick</t>
  </si>
  <si>
    <t>DICK</t>
  </si>
  <si>
    <t>K79</t>
  </si>
  <si>
    <t>Frodo Baggins</t>
  </si>
  <si>
    <t>BAGGINS</t>
  </si>
  <si>
    <t>K80</t>
  </si>
  <si>
    <t>Pool AB</t>
  </si>
  <si>
    <t>Moby Dick</t>
  </si>
  <si>
    <t>K81</t>
  </si>
  <si>
    <t>Quentin Blake</t>
  </si>
  <si>
    <t>BLAKE</t>
  </si>
  <si>
    <t>K82</t>
  </si>
  <si>
    <t>Eddard Stark</t>
  </si>
  <si>
    <t>STARK</t>
  </si>
  <si>
    <t>K83</t>
  </si>
  <si>
    <t>Pool AC</t>
  </si>
  <si>
    <t>Arthur Conan</t>
  </si>
  <si>
    <t>CONAN</t>
  </si>
  <si>
    <t>K84</t>
  </si>
  <si>
    <t>Yosef Hill</t>
  </si>
  <si>
    <t>K85</t>
  </si>
  <si>
    <t>Bilbo Baggins</t>
  </si>
  <si>
    <t>K86</t>
  </si>
  <si>
    <t>Pool AD</t>
  </si>
  <si>
    <t>Kurt Vonnegut</t>
  </si>
  <si>
    <t>VONNEGUT</t>
  </si>
  <si>
    <t>K87</t>
  </si>
  <si>
    <t>Sylvia Plath</t>
  </si>
  <si>
    <t>PLATH</t>
  </si>
  <si>
    <t>K88</t>
  </si>
  <si>
    <t>Cersei Lannister</t>
  </si>
  <si>
    <t>K89</t>
  </si>
  <si>
    <t>Pool AE</t>
  </si>
  <si>
    <t>Zachary Adams</t>
  </si>
  <si>
    <t>ADAMS</t>
  </si>
  <si>
    <t>K90</t>
  </si>
  <si>
    <t>Thomas Hardy</t>
  </si>
  <si>
    <t>HARDY</t>
  </si>
  <si>
    <t>K91</t>
  </si>
  <si>
    <t>Shiaijo A</t>
  </si>
  <si>
    <t>Shiaijo B</t>
  </si>
  <si>
    <t>White</t>
  </si>
  <si>
    <t>vs</t>
  </si>
  <si>
    <t>Red</t>
  </si>
  <si>
    <t>Team Results</t>
  </si>
  <si>
    <t>W</t>
  </si>
  <si>
    <t>L</t>
  </si>
  <si>
    <t>T</t>
  </si>
  <si>
    <t>Rank</t>
  </si>
  <si>
    <t>IV</t>
  </si>
  <si>
    <t>IL</t>
  </si>
  <si>
    <t>IT</t>
  </si>
  <si>
    <t>PW</t>
  </si>
  <si>
    <t>PL</t>
  </si>
  <si>
    <t>Ranking</t>
  </si>
  <si>
    <t>1.</t>
  </si>
  <si>
    <t>2.</t>
  </si>
  <si>
    <t>3.</t>
  </si>
  <si>
    <t>Round 1 - Match 1</t>
  </si>
  <si>
    <t>Victories / Points</t>
  </si>
  <si>
    <t>Round 1 - Match 16</t>
  </si>
  <si>
    <t>Round 1 - Match 2</t>
  </si>
  <si>
    <t>Round 1 - Match 17</t>
  </si>
  <si>
    <t>Round 1 - Match 3</t>
  </si>
  <si>
    <t>Round 1 - Match 18</t>
  </si>
  <si>
    <t>Round 1 - Match 4</t>
  </si>
  <si>
    <t>Round 1 - Match 19</t>
  </si>
  <si>
    <t>Round 1 - Match 5</t>
  </si>
  <si>
    <t>Round 1 - Match 20</t>
  </si>
  <si>
    <t>Round 1 - Match 6</t>
  </si>
  <si>
    <t>Round 1 - Match 21</t>
  </si>
  <si>
    <t>Round 1 - Match 7</t>
  </si>
  <si>
    <t>Round 1 - Match 22</t>
  </si>
  <si>
    <t>Round 1 - Match 8</t>
  </si>
  <si>
    <t>Round 1 - Match 23</t>
  </si>
  <si>
    <t>Round 1 - Match 9</t>
  </si>
  <si>
    <t>Round 1 - Match 24</t>
  </si>
  <si>
    <t>Round 1 - Match 10</t>
  </si>
  <si>
    <t>Round 1 - Match 25</t>
  </si>
  <si>
    <t>Round 1 - Match 11</t>
  </si>
  <si>
    <t>Round 1 - Match 26</t>
  </si>
  <si>
    <t>Round 1 - Match 12</t>
  </si>
  <si>
    <t>Round 1 - Match 27</t>
  </si>
  <si>
    <t>Round 1 - Match 13</t>
  </si>
  <si>
    <t>Round 1 - Match 28</t>
  </si>
  <si>
    <t>Round 1 - Match 14</t>
  </si>
  <si>
    <t>Round 1 - Match 29</t>
  </si>
  <si>
    <t>Round 1 - Match 15</t>
  </si>
  <si>
    <t>Round 1 - Match 30</t>
  </si>
  <si>
    <t>Round 2 - Match 31</t>
  </si>
  <si>
    <t>Round 2 - Match 39</t>
  </si>
  <si>
    <t>Round 2 - Match 32</t>
  </si>
  <si>
    <t>Round 2 - Match 40</t>
  </si>
  <si>
    <t>Round 2 - Match 33</t>
  </si>
  <si>
    <t>Round 2 - Match 41</t>
  </si>
  <si>
    <t>Round 2 - Match 34</t>
  </si>
  <si>
    <t>Round 2 - Match 42</t>
  </si>
  <si>
    <t>Round 2 - Match 35</t>
  </si>
  <si>
    <t>Round 2 - Match 43</t>
  </si>
  <si>
    <t>Round 2 - Match 36</t>
  </si>
  <si>
    <t>Round 2 - Match 44</t>
  </si>
  <si>
    <t>Round 2 - Match 37</t>
  </si>
  <si>
    <t>Round 2 - Match 45</t>
  </si>
  <si>
    <t>Round 2 - Match 38</t>
  </si>
  <si>
    <t>Round 2 - Match 46</t>
  </si>
  <si>
    <t>Round 3 - Match 47</t>
  </si>
  <si>
    <t>Round 3 - Match 51</t>
  </si>
  <si>
    <t>Round 3 - Match 48</t>
  </si>
  <si>
    <t>Round 3 - Match 52</t>
  </si>
  <si>
    <t>Round 3 - Match 49</t>
  </si>
  <si>
    <t>Round 3 - Match 53</t>
  </si>
  <si>
    <t>Round 3 - Match 50</t>
  </si>
  <si>
    <t>Round 3 - Match 54</t>
  </si>
  <si>
    <t>Round 4 - Match 55</t>
  </si>
  <si>
    <t>Round 4 - Match 57</t>
  </si>
  <si>
    <t>Round 4 - Match 56</t>
  </si>
  <si>
    <t>Round 4 - Match 58</t>
  </si>
  <si>
    <t>Round 5 - Match 59</t>
  </si>
  <si>
    <t>Round 5 - Match 60</t>
  </si>
  <si>
    <t>Round 6 - Match 61</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</si>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</sst>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i val="1"/>
      <sz val="12"/>
      <color/>
      <name val="Calibri"/>
      <family val="2"/>
    </font>
    <font>
      <b val="1"/>
      <sz val="12"/>
      <color rgb="FFFFFFFF"/>
      <name val="Calibri"/>
      <family val="2"/>
    </font>
    <font>
      <b val="1"/>
      <sz val="100"/>
      <color rgb="FF000000"/>
      <name val="Calibri"/>
      <family val="2"/>
    </font>
    <font>
      <sz val="110"/>
      <color rgb="FF000000"/>
      <name val="Calibri"/>
      <family val="2"/>
    </font>
    <font>
      <b val="1"/>
      <sz val="250"/>
      <color/>
      <name val="Calibri"/>
      <family val="2"/>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t="s">
        <v>17</v>
      </c>
      <c r="B3" t="s">
        <v>18</v>
      </c>
      <c r="C3" t="s">
        <v>19</v>
      </c>
      <c r="D3" t="s">
        <v>20</v>
      </c>
      <c r="E3" t="s">
        <v>21</v>
      </c>
    </row>
    <row r="4">
      <c r="A4" t="s">
        <v>17</v>
      </c>
      <c r="B4" t="s">
        <v>22</v>
      </c>
      <c r="C4" t="s">
        <v>23</v>
      </c>
      <c r="D4" t="s">
        <v>24</v>
      </c>
      <c r="E4" t="s">
        <v>25</v>
      </c>
    </row>
    <row r="5">
      <c r="A5" t="s">
        <v>17</v>
      </c>
      <c r="B5" t="s">
        <v>26</v>
      </c>
      <c r="C5" t="s">
        <v>27</v>
      </c>
      <c r="D5" t="s">
        <v>28</v>
      </c>
      <c r="E5" t="s">
        <v>29</v>
      </c>
    </row>
    <row r="6">
      <c r="A6" t="s">
        <v>30</v>
      </c>
      <c r="B6" t="s">
        <v>31</v>
      </c>
      <c r="C6" t="s">
        <v>32</v>
      </c>
      <c r="D6" t="s">
        <v>33</v>
      </c>
      <c r="E6" t="s">
        <v>34</v>
      </c>
    </row>
    <row r="7">
      <c r="A7" t="s">
        <v>30</v>
      </c>
      <c r="B7" t="s">
        <v>35</v>
      </c>
      <c r="C7" t="s">
        <v>36</v>
      </c>
      <c r="D7" t="s">
        <v>37</v>
      </c>
      <c r="E7" t="s">
        <v>38</v>
      </c>
    </row>
    <row r="8">
      <c r="A8" t="s">
        <v>30</v>
      </c>
      <c r="B8" t="s">
        <v>39</v>
      </c>
      <c r="C8" t="s">
        <v>40</v>
      </c>
      <c r="D8" t="s">
        <v>41</v>
      </c>
      <c r="E8" t="s">
        <v>42</v>
      </c>
    </row>
    <row r="9">
      <c r="A9" t="s">
        <v>43</v>
      </c>
      <c r="B9" t="s">
        <v>44</v>
      </c>
      <c r="C9" t="s">
        <v>45</v>
      </c>
      <c r="D9" t="s">
        <v>46</v>
      </c>
      <c r="E9" t="s">
        <v>47</v>
      </c>
    </row>
    <row r="10">
      <c r="A10" t="s">
        <v>43</v>
      </c>
      <c r="B10" t="s">
        <v>48</v>
      </c>
      <c r="C10" t="s">
        <v>49</v>
      </c>
      <c r="D10" t="s">
        <v>50</v>
      </c>
      <c r="E10" t="s">
        <v>51</v>
      </c>
    </row>
    <row r="11">
      <c r="A11" t="s">
        <v>43</v>
      </c>
      <c r="B11" t="s">
        <v>52</v>
      </c>
      <c r="C11" t="s">
        <v>53</v>
      </c>
      <c r="D11" t="s">
        <v>54</v>
      </c>
      <c r="E11" t="s">
        <v>55</v>
      </c>
    </row>
    <row r="12">
      <c r="A12" t="s">
        <v>56</v>
      </c>
      <c r="B12" t="s">
        <v>57</v>
      </c>
      <c r="C12" t="s">
        <v>58</v>
      </c>
      <c r="D12" t="s">
        <v>59</v>
      </c>
      <c r="E12" t="s">
        <v>60</v>
      </c>
    </row>
    <row r="13">
      <c r="A13" t="s">
        <v>56</v>
      </c>
      <c r="B13" t="s">
        <v>61</v>
      </c>
      <c r="C13" t="s">
        <v>40</v>
      </c>
      <c r="D13" t="s">
        <v>50</v>
      </c>
      <c r="E13" t="s">
        <v>62</v>
      </c>
    </row>
    <row r="14">
      <c r="A14" t="s">
        <v>56</v>
      </c>
      <c r="B14" t="s">
        <v>63</v>
      </c>
      <c r="C14" t="s">
        <v>64</v>
      </c>
      <c r="D14" t="s">
        <v>65</v>
      </c>
      <c r="E14" t="s">
        <v>66</v>
      </c>
    </row>
    <row r="15">
      <c r="A15" t="s">
        <v>67</v>
      </c>
      <c r="B15" t="s">
        <v>68</v>
      </c>
      <c r="C15" t="s">
        <v>36</v>
      </c>
      <c r="D15" t="s">
        <v>69</v>
      </c>
      <c r="E15" t="s">
        <v>70</v>
      </c>
    </row>
    <row r="16">
      <c r="A16" t="s">
        <v>67</v>
      </c>
      <c r="B16" t="s">
        <v>71</v>
      </c>
      <c r="C16" t="s">
        <v>72</v>
      </c>
      <c r="D16" t="s">
        <v>73</v>
      </c>
      <c r="E16" t="s">
        <v>74</v>
      </c>
    </row>
    <row r="17">
      <c r="A17" t="s">
        <v>67</v>
      </c>
      <c r="B17" t="s">
        <v>75</v>
      </c>
      <c r="C17" t="s">
        <v>32</v>
      </c>
      <c r="D17" t="s">
        <v>76</v>
      </c>
      <c r="E17" t="s">
        <v>77</v>
      </c>
    </row>
    <row r="18">
      <c r="A18" t="s">
        <v>78</v>
      </c>
      <c r="B18" t="s">
        <v>79</v>
      </c>
      <c r="C18" t="s">
        <v>80</v>
      </c>
      <c r="D18" t="s">
        <v>81</v>
      </c>
      <c r="E18" t="s">
        <v>82</v>
      </c>
    </row>
    <row r="19">
      <c r="A19" t="s">
        <v>78</v>
      </c>
      <c r="B19" t="s">
        <v>83</v>
      </c>
      <c r="C19" t="s">
        <v>84</v>
      </c>
      <c r="D19" t="s">
        <v>85</v>
      </c>
      <c r="E19" t="s">
        <v>86</v>
      </c>
    </row>
    <row r="20">
      <c r="A20" t="s">
        <v>78</v>
      </c>
      <c r="B20" t="s">
        <v>87</v>
      </c>
      <c r="C20" t="s">
        <v>40</v>
      </c>
      <c r="D20" t="s">
        <v>88</v>
      </c>
      <c r="E20" t="s">
        <v>89</v>
      </c>
    </row>
    <row r="21">
      <c r="A21" t="s">
        <v>90</v>
      </c>
      <c r="B21" t="s">
        <v>91</v>
      </c>
      <c r="C21" t="s">
        <v>49</v>
      </c>
      <c r="D21" t="s">
        <v>92</v>
      </c>
      <c r="E21" t="s">
        <v>93</v>
      </c>
    </row>
    <row r="22">
      <c r="A22" t="s">
        <v>90</v>
      </c>
      <c r="B22" t="s">
        <v>94</v>
      </c>
      <c r="C22" t="s">
        <v>19</v>
      </c>
      <c r="D22" t="s">
        <v>95</v>
      </c>
      <c r="E22" t="s">
        <v>96</v>
      </c>
    </row>
    <row r="23">
      <c r="A23" t="s">
        <v>90</v>
      </c>
      <c r="B23" t="s">
        <v>97</v>
      </c>
      <c r="C23" t="s">
        <v>98</v>
      </c>
      <c r="D23" t="s">
        <v>99</v>
      </c>
      <c r="E23" t="s">
        <v>100</v>
      </c>
    </row>
    <row r="24">
      <c r="A24" t="s">
        <v>101</v>
      </c>
      <c r="B24" t="s">
        <v>102</v>
      </c>
      <c r="C24" t="s">
        <v>103</v>
      </c>
      <c r="D24" t="s">
        <v>104</v>
      </c>
      <c r="E24" t="s">
        <v>105</v>
      </c>
    </row>
    <row r="25">
      <c r="A25" t="s">
        <v>101</v>
      </c>
      <c r="B25" t="s">
        <v>106</v>
      </c>
      <c r="C25" t="s">
        <v>107</v>
      </c>
      <c r="D25" t="s">
        <v>108</v>
      </c>
      <c r="E25" t="s">
        <v>109</v>
      </c>
    </row>
    <row r="26">
      <c r="A26" t="s">
        <v>101</v>
      </c>
      <c r="B26" t="s">
        <v>110</v>
      </c>
      <c r="C26" t="s">
        <v>40</v>
      </c>
      <c r="D26" t="s">
        <v>111</v>
      </c>
      <c r="E26" t="s">
        <v>112</v>
      </c>
    </row>
    <row r="27">
      <c r="A27" t="s">
        <v>113</v>
      </c>
      <c r="B27" t="s">
        <v>114</v>
      </c>
      <c r="C27" t="s">
        <v>36</v>
      </c>
      <c r="D27" t="s">
        <v>115</v>
      </c>
      <c r="E27" t="s">
        <v>116</v>
      </c>
    </row>
    <row r="28">
      <c r="A28" t="s">
        <v>113</v>
      </c>
      <c r="B28" t="s">
        <v>117</v>
      </c>
      <c r="C28" t="s">
        <v>23</v>
      </c>
      <c r="D28" t="s">
        <v>33</v>
      </c>
      <c r="E28" t="s">
        <v>118</v>
      </c>
    </row>
    <row r="29">
      <c r="A29" t="s">
        <v>113</v>
      </c>
      <c r="B29" t="s">
        <v>119</v>
      </c>
      <c r="C29" t="s">
        <v>49</v>
      </c>
      <c r="D29" t="s">
        <v>120</v>
      </c>
      <c r="E29" t="s">
        <v>121</v>
      </c>
    </row>
    <row r="30">
      <c r="A30" t="s">
        <v>122</v>
      </c>
      <c r="B30" t="s">
        <v>123</v>
      </c>
      <c r="C30" t="s">
        <v>32</v>
      </c>
      <c r="D30" t="s">
        <v>124</v>
      </c>
      <c r="E30" t="s">
        <v>125</v>
      </c>
    </row>
    <row r="31">
      <c r="A31" t="s">
        <v>122</v>
      </c>
      <c r="B31" t="s">
        <v>126</v>
      </c>
      <c r="C31" t="s">
        <v>127</v>
      </c>
      <c r="D31" t="s">
        <v>128</v>
      </c>
      <c r="E31" t="s">
        <v>129</v>
      </c>
    </row>
    <row r="32">
      <c r="A32" t="s">
        <v>122</v>
      </c>
      <c r="B32" t="s">
        <v>130</v>
      </c>
      <c r="C32" t="s">
        <v>131</v>
      </c>
      <c r="D32" t="s">
        <v>132</v>
      </c>
      <c r="E32" t="s">
        <v>133</v>
      </c>
    </row>
    <row r="33">
      <c r="A33" t="s">
        <v>134</v>
      </c>
      <c r="B33" t="s">
        <v>135</v>
      </c>
      <c r="C33" t="s">
        <v>103</v>
      </c>
      <c r="D33" t="s">
        <v>136</v>
      </c>
      <c r="E33" t="s">
        <v>137</v>
      </c>
    </row>
    <row r="34">
      <c r="A34" t="s">
        <v>134</v>
      </c>
      <c r="B34" t="s">
        <v>138</v>
      </c>
      <c r="C34" t="s">
        <v>72</v>
      </c>
      <c r="D34" t="s">
        <v>139</v>
      </c>
      <c r="E34" t="s">
        <v>140</v>
      </c>
    </row>
    <row r="35">
      <c r="A35" t="s">
        <v>134</v>
      </c>
      <c r="B35" t="s">
        <v>141</v>
      </c>
      <c r="C35" t="s">
        <v>142</v>
      </c>
      <c r="D35" t="s">
        <v>143</v>
      </c>
      <c r="E35" t="s">
        <v>144</v>
      </c>
    </row>
    <row r="36">
      <c r="A36" t="s">
        <v>145</v>
      </c>
      <c r="B36" t="s">
        <v>146</v>
      </c>
      <c r="C36" t="s">
        <v>19</v>
      </c>
      <c r="D36" t="s">
        <v>147</v>
      </c>
      <c r="E36" t="s">
        <v>148</v>
      </c>
    </row>
    <row r="37">
      <c r="A37" t="s">
        <v>145</v>
      </c>
      <c r="B37" t="s">
        <v>149</v>
      </c>
      <c r="C37" t="s">
        <v>40</v>
      </c>
      <c r="D37" t="s">
        <v>120</v>
      </c>
      <c r="E37" t="s">
        <v>150</v>
      </c>
    </row>
    <row r="38">
      <c r="A38" t="s">
        <v>145</v>
      </c>
      <c r="B38" t="s">
        <v>151</v>
      </c>
      <c r="C38" t="s">
        <v>152</v>
      </c>
      <c r="D38" t="s">
        <v>153</v>
      </c>
      <c r="E38" t="s">
        <v>154</v>
      </c>
    </row>
    <row r="39">
      <c r="A39" t="s">
        <v>155</v>
      </c>
      <c r="B39" t="s">
        <v>156</v>
      </c>
      <c r="C39" t="s">
        <v>49</v>
      </c>
      <c r="D39" t="s">
        <v>157</v>
      </c>
      <c r="E39" t="s">
        <v>158</v>
      </c>
    </row>
    <row r="40">
      <c r="A40" t="s">
        <v>155</v>
      </c>
      <c r="B40" t="s">
        <v>159</v>
      </c>
      <c r="C40" t="s">
        <v>19</v>
      </c>
      <c r="D40" t="s">
        <v>160</v>
      </c>
      <c r="E40" t="s">
        <v>161</v>
      </c>
    </row>
    <row r="41">
      <c r="A41" t="s">
        <v>155</v>
      </c>
      <c r="B41" t="s">
        <v>162</v>
      </c>
      <c r="C41" t="s">
        <v>163</v>
      </c>
      <c r="D41" t="s">
        <v>164</v>
      </c>
      <c r="E41" t="s">
        <v>165</v>
      </c>
    </row>
    <row r="42">
      <c r="A42" t="s">
        <v>166</v>
      </c>
      <c r="B42" t="s">
        <v>167</v>
      </c>
      <c r="C42" t="s">
        <v>32</v>
      </c>
      <c r="D42" t="s">
        <v>168</v>
      </c>
      <c r="E42" t="s">
        <v>169</v>
      </c>
    </row>
    <row r="43">
      <c r="A43" t="s">
        <v>166</v>
      </c>
      <c r="B43" t="s">
        <v>170</v>
      </c>
      <c r="C43" t="s">
        <v>58</v>
      </c>
      <c r="D43" t="s">
        <v>171</v>
      </c>
      <c r="E43" t="s">
        <v>172</v>
      </c>
    </row>
    <row r="44">
      <c r="A44" t="s">
        <v>166</v>
      </c>
      <c r="B44" t="s">
        <v>173</v>
      </c>
      <c r="C44" t="s">
        <v>40</v>
      </c>
      <c r="D44" t="s">
        <v>174</v>
      </c>
      <c r="E44" t="s">
        <v>175</v>
      </c>
    </row>
    <row r="45">
      <c r="A45" t="s">
        <v>176</v>
      </c>
      <c r="B45" t="s">
        <v>177</v>
      </c>
      <c r="C45" t="s">
        <v>36</v>
      </c>
      <c r="D45" t="s">
        <v>178</v>
      </c>
      <c r="E45" t="s">
        <v>179</v>
      </c>
    </row>
    <row r="46">
      <c r="A46" t="s">
        <v>176</v>
      </c>
      <c r="B46" t="s">
        <v>180</v>
      </c>
      <c r="C46" t="s">
        <v>49</v>
      </c>
      <c r="D46" t="s">
        <v>181</v>
      </c>
      <c r="E46" t="s">
        <v>182</v>
      </c>
    </row>
    <row r="47">
      <c r="A47" t="s">
        <v>176</v>
      </c>
      <c r="B47" t="s">
        <v>183</v>
      </c>
      <c r="C47" t="s">
        <v>184</v>
      </c>
      <c r="D47" t="s">
        <v>185</v>
      </c>
      <c r="E47" t="s">
        <v>186</v>
      </c>
    </row>
    <row r="48">
      <c r="A48" t="s">
        <v>187</v>
      </c>
      <c r="B48" t="s">
        <v>188</v>
      </c>
      <c r="C48" t="s">
        <v>45</v>
      </c>
      <c r="D48" t="s">
        <v>189</v>
      </c>
      <c r="E48" t="s">
        <v>190</v>
      </c>
    </row>
    <row r="49">
      <c r="A49" t="s">
        <v>187</v>
      </c>
      <c r="B49" t="s">
        <v>191</v>
      </c>
      <c r="C49" t="s">
        <v>192</v>
      </c>
      <c r="D49" t="s">
        <v>193</v>
      </c>
      <c r="E49" t="s">
        <v>194</v>
      </c>
    </row>
    <row r="50">
      <c r="A50" t="s">
        <v>195</v>
      </c>
      <c r="B50" t="s">
        <v>196</v>
      </c>
      <c r="C50" t="s">
        <v>184</v>
      </c>
      <c r="D50" t="s">
        <v>197</v>
      </c>
      <c r="E50" t="s">
        <v>198</v>
      </c>
    </row>
    <row r="51">
      <c r="A51" t="s">
        <v>195</v>
      </c>
      <c r="B51" t="s">
        <v>199</v>
      </c>
      <c r="C51" t="s">
        <v>142</v>
      </c>
      <c r="D51" t="s">
        <v>200</v>
      </c>
      <c r="E51" t="s">
        <v>201</v>
      </c>
    </row>
    <row r="52">
      <c r="A52" t="s">
        <v>195</v>
      </c>
      <c r="B52" t="s">
        <v>202</v>
      </c>
      <c r="C52" t="s">
        <v>152</v>
      </c>
      <c r="D52" t="s">
        <v>203</v>
      </c>
      <c r="E52" t="s">
        <v>204</v>
      </c>
    </row>
    <row r="53">
      <c r="A53" t="s">
        <v>205</v>
      </c>
      <c r="B53" t="s">
        <v>206</v>
      </c>
      <c r="C53" t="s">
        <v>49</v>
      </c>
      <c r="D53" t="s">
        <v>207</v>
      </c>
      <c r="E53" t="s">
        <v>208</v>
      </c>
    </row>
    <row r="54">
      <c r="A54" t="s">
        <v>205</v>
      </c>
      <c r="B54" t="s">
        <v>209</v>
      </c>
      <c r="C54" t="s">
        <v>131</v>
      </c>
      <c r="D54" t="s">
        <v>210</v>
      </c>
      <c r="E54" t="s">
        <v>211</v>
      </c>
    </row>
    <row r="55">
      <c r="A55" t="s">
        <v>205</v>
      </c>
      <c r="B55" t="s">
        <v>212</v>
      </c>
      <c r="C55" t="s">
        <v>40</v>
      </c>
      <c r="D55" t="s">
        <v>178</v>
      </c>
      <c r="E55" t="s">
        <v>213</v>
      </c>
    </row>
    <row r="56">
      <c r="A56" t="s">
        <v>214</v>
      </c>
      <c r="B56" t="s">
        <v>215</v>
      </c>
      <c r="C56" t="s">
        <v>23</v>
      </c>
      <c r="D56" t="s">
        <v>216</v>
      </c>
      <c r="E56" t="s">
        <v>217</v>
      </c>
    </row>
    <row r="57">
      <c r="A57" t="s">
        <v>214</v>
      </c>
      <c r="B57" t="s">
        <v>218</v>
      </c>
      <c r="C57" t="s">
        <v>36</v>
      </c>
      <c r="D57" t="s">
        <v>147</v>
      </c>
      <c r="E57" t="s">
        <v>219</v>
      </c>
    </row>
    <row r="58">
      <c r="A58" t="s">
        <v>214</v>
      </c>
      <c r="B58" t="s">
        <v>220</v>
      </c>
      <c r="C58" t="s">
        <v>19</v>
      </c>
      <c r="D58" t="s">
        <v>221</v>
      </c>
      <c r="E58" t="s">
        <v>222</v>
      </c>
    </row>
    <row r="59">
      <c r="A59" t="s">
        <v>223</v>
      </c>
      <c r="B59" t="s">
        <v>224</v>
      </c>
      <c r="C59" t="s">
        <v>49</v>
      </c>
      <c r="D59" t="s">
        <v>225</v>
      </c>
      <c r="E59" t="s">
        <v>226</v>
      </c>
    </row>
    <row r="60">
      <c r="A60" t="s">
        <v>223</v>
      </c>
      <c r="B60" t="s">
        <v>227</v>
      </c>
      <c r="C60" t="s">
        <v>32</v>
      </c>
      <c r="D60" t="s">
        <v>174</v>
      </c>
      <c r="E60" t="s">
        <v>228</v>
      </c>
    </row>
    <row r="61">
      <c r="A61" t="s">
        <v>223</v>
      </c>
      <c r="B61" t="s">
        <v>229</v>
      </c>
      <c r="C61" t="s">
        <v>192</v>
      </c>
      <c r="D61" t="s">
        <v>230</v>
      </c>
      <c r="E61" t="s">
        <v>231</v>
      </c>
    </row>
    <row r="62">
      <c r="A62" t="s">
        <v>232</v>
      </c>
      <c r="B62" t="s">
        <v>233</v>
      </c>
      <c r="C62" t="s">
        <v>40</v>
      </c>
      <c r="D62" t="s">
        <v>104</v>
      </c>
      <c r="E62" t="s">
        <v>234</v>
      </c>
    </row>
    <row r="63">
      <c r="A63" t="s">
        <v>232</v>
      </c>
      <c r="B63" t="s">
        <v>235</v>
      </c>
      <c r="C63" t="s">
        <v>58</v>
      </c>
      <c r="D63" t="s">
        <v>20</v>
      </c>
      <c r="E63" t="s">
        <v>236</v>
      </c>
    </row>
    <row r="64">
      <c r="A64" t="s">
        <v>232</v>
      </c>
      <c r="B64" t="s">
        <v>237</v>
      </c>
      <c r="C64" t="s">
        <v>127</v>
      </c>
      <c r="D64" t="s">
        <v>238</v>
      </c>
      <c r="E64" t="s">
        <v>239</v>
      </c>
    </row>
    <row r="65">
      <c r="A65" t="s">
        <v>240</v>
      </c>
      <c r="B65" t="s">
        <v>241</v>
      </c>
      <c r="C65" t="s">
        <v>19</v>
      </c>
      <c r="D65" t="s">
        <v>242</v>
      </c>
      <c r="E65" t="s">
        <v>243</v>
      </c>
    </row>
    <row r="66">
      <c r="A66" t="s">
        <v>240</v>
      </c>
      <c r="B66" t="s">
        <v>244</v>
      </c>
      <c r="C66" t="s">
        <v>49</v>
      </c>
      <c r="D66" t="s">
        <v>69</v>
      </c>
      <c r="E66" t="s">
        <v>245</v>
      </c>
    </row>
    <row r="67">
      <c r="A67" t="s">
        <v>240</v>
      </c>
      <c r="B67" t="s">
        <v>246</v>
      </c>
      <c r="C67" t="s">
        <v>103</v>
      </c>
      <c r="D67" t="s">
        <v>247</v>
      </c>
      <c r="E67" t="s">
        <v>248</v>
      </c>
    </row>
    <row r="68">
      <c r="A68" t="s">
        <v>249</v>
      </c>
      <c r="B68" t="s">
        <v>250</v>
      </c>
      <c r="C68" t="s">
        <v>32</v>
      </c>
      <c r="D68" t="s">
        <v>139</v>
      </c>
      <c r="E68" t="s">
        <v>251</v>
      </c>
    </row>
    <row r="69">
      <c r="A69" t="s">
        <v>249</v>
      </c>
      <c r="B69" t="s">
        <v>252</v>
      </c>
      <c r="C69" t="s">
        <v>36</v>
      </c>
      <c r="D69" t="s">
        <v>242</v>
      </c>
      <c r="E69" t="s">
        <v>253</v>
      </c>
    </row>
    <row r="70">
      <c r="A70" t="s">
        <v>249</v>
      </c>
      <c r="B70" t="s">
        <v>254</v>
      </c>
      <c r="C70" t="s">
        <v>40</v>
      </c>
      <c r="D70" t="s">
        <v>255</v>
      </c>
      <c r="E70" t="s">
        <v>256</v>
      </c>
    </row>
    <row r="71">
      <c r="A71" t="s">
        <v>257</v>
      </c>
      <c r="B71" t="s">
        <v>258</v>
      </c>
      <c r="C71" t="s">
        <v>72</v>
      </c>
      <c r="D71" t="s">
        <v>259</v>
      </c>
      <c r="E71" t="s">
        <v>260</v>
      </c>
    </row>
    <row r="72">
      <c r="A72" t="s">
        <v>257</v>
      </c>
      <c r="B72" t="s">
        <v>261</v>
      </c>
      <c r="C72" t="s">
        <v>163</v>
      </c>
      <c r="D72" t="s">
        <v>262</v>
      </c>
      <c r="E72" t="s">
        <v>263</v>
      </c>
    </row>
    <row r="73">
      <c r="A73" t="s">
        <v>257</v>
      </c>
      <c r="B73" t="s">
        <v>264</v>
      </c>
      <c r="C73" t="s">
        <v>45</v>
      </c>
      <c r="D73" t="s">
        <v>265</v>
      </c>
      <c r="E73" t="s">
        <v>266</v>
      </c>
    </row>
    <row r="74">
      <c r="A74" t="s">
        <v>267</v>
      </c>
      <c r="B74" t="s">
        <v>268</v>
      </c>
      <c r="C74" t="s">
        <v>45</v>
      </c>
      <c r="D74" t="s">
        <v>115</v>
      </c>
      <c r="E74" t="s">
        <v>269</v>
      </c>
    </row>
    <row r="75">
      <c r="A75" t="s">
        <v>267</v>
      </c>
      <c r="B75" t="s">
        <v>270</v>
      </c>
      <c r="C75" t="s">
        <v>72</v>
      </c>
      <c r="D75" t="s">
        <v>271</v>
      </c>
      <c r="E75" t="s">
        <v>272</v>
      </c>
    </row>
    <row r="76">
      <c r="A76" t="s">
        <v>267</v>
      </c>
      <c r="B76" t="s">
        <v>273</v>
      </c>
      <c r="C76" t="s">
        <v>103</v>
      </c>
      <c r="D76" t="s">
        <v>274</v>
      </c>
      <c r="E76" t="s">
        <v>275</v>
      </c>
    </row>
    <row r="77">
      <c r="A77" t="s">
        <v>276</v>
      </c>
      <c r="B77" t="s">
        <v>277</v>
      </c>
      <c r="C77" t="s">
        <v>32</v>
      </c>
      <c r="D77" t="s">
        <v>278</v>
      </c>
      <c r="E77" t="s">
        <v>279</v>
      </c>
    </row>
    <row r="78">
      <c r="A78" t="s">
        <v>276</v>
      </c>
      <c r="B78" t="s">
        <v>280</v>
      </c>
      <c r="C78" t="s">
        <v>98</v>
      </c>
      <c r="D78" t="s">
        <v>281</v>
      </c>
      <c r="E78" t="s">
        <v>282</v>
      </c>
    </row>
    <row r="79">
      <c r="A79" t="s">
        <v>276</v>
      </c>
      <c r="B79" t="s">
        <v>283</v>
      </c>
      <c r="C79" t="s">
        <v>58</v>
      </c>
      <c r="D79" t="s">
        <v>284</v>
      </c>
      <c r="E79" t="s">
        <v>285</v>
      </c>
    </row>
    <row r="80">
      <c r="A80" t="s">
        <v>286</v>
      </c>
      <c r="B80" t="s">
        <v>287</v>
      </c>
      <c r="C80" t="s">
        <v>36</v>
      </c>
      <c r="D80" t="s">
        <v>288</v>
      </c>
      <c r="E80" t="s">
        <v>289</v>
      </c>
    </row>
    <row r="81">
      <c r="A81" t="s">
        <v>286</v>
      </c>
      <c r="B81" t="s">
        <v>290</v>
      </c>
      <c r="C81" t="s">
        <v>53</v>
      </c>
      <c r="D81" t="s">
        <v>291</v>
      </c>
      <c r="E81" t="s">
        <v>292</v>
      </c>
    </row>
    <row r="82">
      <c r="A82" t="s">
        <v>286</v>
      </c>
      <c r="B82" t="s">
        <v>293</v>
      </c>
      <c r="C82" t="s">
        <v>23</v>
      </c>
      <c r="D82" t="s">
        <v>294</v>
      </c>
      <c r="E82" t="s">
        <v>295</v>
      </c>
    </row>
    <row r="83">
      <c r="A83" t="s">
        <v>296</v>
      </c>
      <c r="B83" t="s">
        <v>297</v>
      </c>
      <c r="C83" t="s">
        <v>84</v>
      </c>
      <c r="D83" t="s">
        <v>291</v>
      </c>
      <c r="E83" t="s">
        <v>298</v>
      </c>
    </row>
    <row r="84">
      <c r="A84" t="s">
        <v>296</v>
      </c>
      <c r="B84" t="s">
        <v>299</v>
      </c>
      <c r="C84" t="s">
        <v>80</v>
      </c>
      <c r="D84" t="s">
        <v>300</v>
      </c>
      <c r="E84" t="s">
        <v>301</v>
      </c>
    </row>
    <row r="85">
      <c r="A85" t="s">
        <v>296</v>
      </c>
      <c r="B85" t="s">
        <v>302</v>
      </c>
      <c r="C85" t="s">
        <v>19</v>
      </c>
      <c r="D85" t="s">
        <v>303</v>
      </c>
      <c r="E85" t="s">
        <v>304</v>
      </c>
    </row>
    <row r="86">
      <c r="A86" t="s">
        <v>305</v>
      </c>
      <c r="B86" t="s">
        <v>306</v>
      </c>
      <c r="C86" t="s">
        <v>40</v>
      </c>
      <c r="D86" t="s">
        <v>307</v>
      </c>
      <c r="E86" t="s">
        <v>308</v>
      </c>
    </row>
    <row r="87">
      <c r="A87" t="s">
        <v>305</v>
      </c>
      <c r="B87" t="s">
        <v>309</v>
      </c>
      <c r="C87" t="s">
        <v>19</v>
      </c>
      <c r="D87" t="s">
        <v>124</v>
      </c>
      <c r="E87" t="s">
        <v>310</v>
      </c>
    </row>
    <row r="88">
      <c r="A88" t="s">
        <v>305</v>
      </c>
      <c r="B88" t="s">
        <v>311</v>
      </c>
      <c r="C88" t="s">
        <v>36</v>
      </c>
      <c r="D88" t="s">
        <v>294</v>
      </c>
      <c r="E88" t="s">
        <v>312</v>
      </c>
    </row>
    <row r="89">
      <c r="A89" t="s">
        <v>313</v>
      </c>
      <c r="B89" t="s">
        <v>314</v>
      </c>
      <c r="C89" t="s">
        <v>107</v>
      </c>
      <c r="D89" t="s">
        <v>315</v>
      </c>
      <c r="E89" t="s">
        <v>316</v>
      </c>
    </row>
    <row r="90">
      <c r="A90" t="s">
        <v>313</v>
      </c>
      <c r="B90" t="s">
        <v>317</v>
      </c>
      <c r="C90" t="s">
        <v>27</v>
      </c>
      <c r="D90" t="s">
        <v>318</v>
      </c>
      <c r="E90" t="s">
        <v>319</v>
      </c>
    </row>
    <row r="91">
      <c r="A91" t="s">
        <v>313</v>
      </c>
      <c r="B91" t="s">
        <v>320</v>
      </c>
      <c r="C91" t="s">
        <v>32</v>
      </c>
      <c r="D91" t="s">
        <v>65</v>
      </c>
      <c r="E91" t="s">
        <v>321</v>
      </c>
    </row>
    <row r="92">
      <c r="A92" t="s">
        <v>322</v>
      </c>
      <c r="B92" t="s">
        <v>323</v>
      </c>
      <c r="C92" t="s">
        <v>40</v>
      </c>
      <c r="D92" t="s">
        <v>324</v>
      </c>
      <c r="E92" t="s">
        <v>325</v>
      </c>
    </row>
    <row r="93">
      <c r="A93" t="s">
        <v>322</v>
      </c>
      <c r="B93" t="s">
        <v>326</v>
      </c>
      <c r="C93" t="s">
        <v>64</v>
      </c>
      <c r="D93" t="s">
        <v>327</v>
      </c>
      <c r="E93" t="s">
        <v>328</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31</v>
      </c>
      <c r="B2" s="2">
        <v>5</v>
      </c>
      <c r="C2" s="2">
        <v>89</v>
      </c>
      <c r="D2" s="3">
        <v>0.00208333333333333</v>
      </c>
      <c r="E2" s="3" t="str">
        <f>(A2*B2*C2*D2)</f>
      </c>
      <c r="F2" s="3">
        <v>0.000347222222222222</v>
      </c>
      <c r="G2" s="3">
        <v>0.0208333333333333</v>
      </c>
      <c r="H2" s="31"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61</v>
      </c>
      <c r="B8" s="2">
        <v>5</v>
      </c>
      <c r="C8" s="2"/>
      <c r="D8" s="3">
        <v>0.00277777777777777</v>
      </c>
      <c r="E8" s="3" t="str">
        <f>(A8*B8*D8)</f>
      </c>
      <c r="F8" s="3">
        <v>0.000347222222222222</v>
      </c>
      <c r="G8" s="3">
        <v>0.0208333333333333</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410</v>
      </c>
      <c r="F13" s="13"/>
      <c r="G13" s="13"/>
      <c r="H13" s="13"/>
    </row>
    <row r="14">
      <c r="A14">
        <v>2</v>
      </c>
      <c r="E14" s="32" t="s">
        <v>411</v>
      </c>
      <c r="F14" s="32"/>
      <c r="G14" s="32"/>
      <c r="H14" s="31" t="str">
        <f>H2</f>
      </c>
    </row>
    <row r="15">
      <c r="E15" s="32" t="s">
        <v>412</v>
      </c>
      <c r="F15" s="32"/>
      <c r="G15" s="32"/>
      <c r="H15" s="31" t="str">
        <f>H8</f>
      </c>
    </row>
    <row r="16">
      <c r="E16" s="32" t="s">
        <v>413</v>
      </c>
      <c r="F16" s="32"/>
      <c r="G16" s="32"/>
      <c r="H16" s="31" t="str">
        <f>H14+H15</f>
      </c>
    </row>
    <row r="17">
      <c r="E17" s="32" t="s">
        <v>414</v>
      </c>
      <c r="F17" s="32"/>
      <c r="G17" s="32"/>
      <c r="H17" s="31" t="str">
        <f>H16/A14</f>
      </c>
    </row>
    <row r="18">
      <c r="E18" s="13" t="s">
        <v>415</v>
      </c>
      <c r="F18" s="13"/>
      <c r="G18" s="13"/>
      <c r="H18" s="33">
        <v>0.375</v>
      </c>
    </row>
    <row r="19">
      <c r="E19" s="13" t="s">
        <v>416</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6" min="6" width="30"/>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'data'!$A$5</f>
      </c>
      <c r="D5" s="11" t="str">
        <f>'data'!$A$38</f>
      </c>
      <c r="F5" s="11" t="str">
        <f>'data'!$A$67</f>
      </c>
    </row>
    <row r="6" ht="17" customHeight="true">
      <c r="B6" s="12" t="str">
        <f>data!$E$3&amp;" "&amp;data!$B$3</f>
      </c>
      <c r="D6" s="12" t="str">
        <f>data!$E$36&amp;" "&amp;data!$B$36</f>
      </c>
      <c r="F6" s="12" t="str">
        <f>data!$E$65&amp;" "&amp;data!$B$65</f>
      </c>
    </row>
    <row r="7" ht="17" customHeight="true">
      <c r="B7" s="12" t="str">
        <f>data!$E$4&amp;" "&amp;data!$B$4</f>
      </c>
      <c r="D7" s="12" t="str">
        <f>data!$E$37&amp;" "&amp;data!$B$37</f>
      </c>
      <c r="F7" s="12" t="str">
        <f>data!$E$66&amp;" "&amp;data!$B$66</f>
      </c>
    </row>
    <row r="8">
      <c r="B8" s="12" t="str">
        <f>data!$E$5&amp;" "&amp;data!$B$5</f>
      </c>
      <c r="D8" s="12" t="str">
        <f>data!$E$38&amp;" "&amp;data!$B$38</f>
      </c>
      <c r="F8" s="12" t="str">
        <f>data!$E$67&amp;" "&amp;data!$B$67</f>
      </c>
    </row>
    <row r="11">
      <c r="B11" s="11" t="str">
        <f>'data'!$A$8</f>
      </c>
      <c r="D11" s="11" t="str">
        <f>'data'!$A$41</f>
      </c>
      <c r="F11" s="11" t="str">
        <f>'data'!$A$70</f>
      </c>
    </row>
    <row r="12">
      <c r="B12" s="12" t="str">
        <f>data!$E$6&amp;" "&amp;data!$B$6</f>
      </c>
      <c r="D12" s="12" t="str">
        <f>data!$E$39&amp;" "&amp;data!$B$39</f>
      </c>
      <c r="F12" s="12" t="str">
        <f>data!$E$68&amp;" "&amp;data!$B$68</f>
      </c>
    </row>
    <row r="13">
      <c r="B13" s="12" t="str">
        <f>data!$E$7&amp;" "&amp;data!$B$7</f>
      </c>
      <c r="D13" s="12" t="str">
        <f>data!$E$40&amp;" "&amp;data!$B$40</f>
      </c>
      <c r="F13" s="12" t="str">
        <f>data!$E$69&amp;" "&amp;data!$B$69</f>
      </c>
    </row>
    <row r="14">
      <c r="B14" s="12" t="str">
        <f>data!$E$8&amp;" "&amp;data!$B$8</f>
      </c>
      <c r="D14" s="12" t="str">
        <f>data!$E$41&amp;" "&amp;data!$B$41</f>
      </c>
      <c r="F14" s="12" t="str">
        <f>data!$E$70&amp;" "&amp;data!$B$70</f>
      </c>
    </row>
    <row r="17">
      <c r="B17" s="11" t="str">
        <f>'data'!$A$11</f>
      </c>
      <c r="D17" s="11" t="str">
        <f>'data'!$A$44</f>
      </c>
      <c r="F17" s="11" t="str">
        <f>'data'!$A$73</f>
      </c>
    </row>
    <row r="18">
      <c r="B18" s="12" t="str">
        <f>data!$E$9&amp;" "&amp;data!$B$9</f>
      </c>
      <c r="D18" s="12" t="str">
        <f>data!$E$42&amp;" "&amp;data!$B$42</f>
      </c>
      <c r="F18" s="12" t="str">
        <f>data!$E$71&amp;" "&amp;data!$B$71</f>
      </c>
    </row>
    <row r="19">
      <c r="B19" s="12" t="str">
        <f>data!$E$10&amp;" "&amp;data!$B$10</f>
      </c>
      <c r="D19" s="12" t="str">
        <f>data!$E$43&amp;" "&amp;data!$B$43</f>
      </c>
      <c r="F19" s="12" t="str">
        <f>data!$E$72&amp;" "&amp;data!$B$72</f>
      </c>
    </row>
    <row r="20">
      <c r="B20" s="12" t="str">
        <f>data!$E$11&amp;" "&amp;data!$B$11</f>
      </c>
      <c r="D20" s="12" t="str">
        <f>data!$E$44&amp;" "&amp;data!$B$44</f>
      </c>
      <c r="F20" s="12" t="str">
        <f>data!$E$73&amp;" "&amp;data!$B$73</f>
      </c>
    </row>
    <row r="23">
      <c r="B23" s="11" t="str">
        <f>'data'!$A$14</f>
      </c>
      <c r="D23" s="11" t="str">
        <f>'data'!$A$47</f>
      </c>
      <c r="F23" s="11" t="str">
        <f>'data'!$A$76</f>
      </c>
    </row>
    <row r="24">
      <c r="B24" s="12" t="str">
        <f>data!$E$12&amp;" "&amp;data!$B$12</f>
      </c>
      <c r="D24" s="12" t="str">
        <f>data!$E$45&amp;" "&amp;data!$B$45</f>
      </c>
      <c r="F24" s="12" t="str">
        <f>data!$E$74&amp;" "&amp;data!$B$74</f>
      </c>
    </row>
    <row r="25">
      <c r="B25" s="12" t="str">
        <f>data!$E$13&amp;" "&amp;data!$B$13</f>
      </c>
      <c r="D25" s="12" t="str">
        <f>data!$E$46&amp;" "&amp;data!$B$46</f>
      </c>
      <c r="F25" s="12" t="str">
        <f>data!$E$75&amp;" "&amp;data!$B$75</f>
      </c>
    </row>
    <row r="26">
      <c r="B26" s="12" t="str">
        <f>data!$E$14&amp;" "&amp;data!$B$14</f>
      </c>
      <c r="D26" s="12" t="str">
        <f>data!$E$47&amp;" "&amp;data!$B$47</f>
      </c>
      <c r="F26" s="12" t="str">
        <f>data!$E$76&amp;" "&amp;data!$B$76</f>
      </c>
    </row>
    <row r="29">
      <c r="B29" s="11" t="str">
        <f>'data'!$A$17</f>
      </c>
      <c r="D29" s="11" t="str">
        <f>'data'!$A$49</f>
      </c>
      <c r="F29" s="11" t="str">
        <f>'data'!$A$79</f>
      </c>
    </row>
    <row r="30">
      <c r="B30" s="12" t="str">
        <f>data!$E$15&amp;" "&amp;data!$B$15</f>
      </c>
      <c r="D30" s="12" t="str">
        <f>data!$E$48&amp;" "&amp;data!$B$48</f>
      </c>
      <c r="F30" s="12" t="str">
        <f>data!$E$77&amp;" "&amp;data!$B$77</f>
      </c>
    </row>
    <row r="31">
      <c r="B31" s="12" t="str">
        <f>data!$E$16&amp;" "&amp;data!$B$16</f>
      </c>
      <c r="D31" s="12" t="str">
        <f>data!$E$49&amp;" "&amp;data!$B$49</f>
      </c>
      <c r="F31" s="12" t="str">
        <f>data!$E$78&amp;" "&amp;data!$B$78</f>
      </c>
    </row>
    <row r="32">
      <c r="B32" s="12" t="str">
        <f>data!$E$17&amp;" "&amp;data!$B$17</f>
      </c>
      <c r="F32" s="12" t="str">
        <f>data!$E$79&amp;" "&amp;data!$B$79</f>
      </c>
    </row>
    <row r="34">
      <c r="D34" s="11" t="str">
        <f>'data'!$A$52</f>
      </c>
    </row>
    <row r="35">
      <c r="B35" s="11" t="str">
        <f>'data'!$A$20</f>
      </c>
      <c r="D35" s="12" t="str">
        <f>data!$E$50&amp;" "&amp;data!$B$50</f>
      </c>
      <c r="F35" s="11" t="str">
        <f>'data'!$A$82</f>
      </c>
    </row>
    <row r="36">
      <c r="B36" s="12" t="str">
        <f>data!$E$18&amp;" "&amp;data!$B$18</f>
      </c>
      <c r="D36" s="12" t="str">
        <f>data!$E$51&amp;" "&amp;data!$B$51</f>
      </c>
      <c r="F36" s="12" t="str">
        <f>data!$E$80&amp;" "&amp;data!$B$80</f>
      </c>
    </row>
    <row r="37">
      <c r="B37" s="12" t="str">
        <f>data!$E$19&amp;" "&amp;data!$B$19</f>
      </c>
      <c r="D37" s="12" t="str">
        <f>data!$E$52&amp;" "&amp;data!$B$52</f>
      </c>
      <c r="F37" s="12" t="str">
        <f>data!$E$81&amp;" "&amp;data!$B$81</f>
      </c>
    </row>
    <row r="38">
      <c r="B38" s="12" t="str">
        <f>data!$E$20&amp;" "&amp;data!$B$20</f>
      </c>
      <c r="F38" s="12" t="str">
        <f>data!$E$82&amp;" "&amp;data!$B$82</f>
      </c>
    </row>
    <row r="40">
      <c r="D40" s="11" t="str">
        <f>'data'!$A$55</f>
      </c>
    </row>
    <row r="41">
      <c r="B41" s="11" t="str">
        <f>'data'!$A$23</f>
      </c>
      <c r="D41" s="12" t="str">
        <f>data!$E$53&amp;" "&amp;data!$B$53</f>
      </c>
      <c r="F41" s="11" t="str">
        <f>'data'!$A$85</f>
      </c>
    </row>
    <row r="42">
      <c r="B42" s="12" t="str">
        <f>data!$E$21&amp;" "&amp;data!$B$21</f>
      </c>
      <c r="D42" s="12" t="str">
        <f>data!$E$54&amp;" "&amp;data!$B$54</f>
      </c>
      <c r="F42" s="12" t="str">
        <f>data!$E$83&amp;" "&amp;data!$B$83</f>
      </c>
    </row>
    <row r="43">
      <c r="B43" s="12" t="str">
        <f>data!$E$22&amp;" "&amp;data!$B$22</f>
      </c>
      <c r="D43" s="12" t="str">
        <f>data!$E$55&amp;" "&amp;data!$B$55</f>
      </c>
      <c r="F43" s="12" t="str">
        <f>data!$E$84&amp;" "&amp;data!$B$84</f>
      </c>
    </row>
    <row r="44">
      <c r="B44" s="12" t="str">
        <f>data!$E$23&amp;" "&amp;data!$B$23</f>
      </c>
      <c r="F44" s="12" t="str">
        <f>data!$E$85&amp;" "&amp;data!$B$85</f>
      </c>
    </row>
    <row r="46">
      <c r="D46" s="11" t="str">
        <f>'data'!$A$58</f>
      </c>
    </row>
    <row r="47">
      <c r="B47" s="11" t="str">
        <f>'data'!$A$26</f>
      </c>
      <c r="D47" s="12" t="str">
        <f>data!$E$56&amp;" "&amp;data!$B$56</f>
      </c>
      <c r="F47" s="11" t="str">
        <f>'data'!$A$88</f>
      </c>
    </row>
    <row r="48">
      <c r="B48" s="12" t="str">
        <f>data!$E$24&amp;" "&amp;data!$B$24</f>
      </c>
      <c r="D48" s="12" t="str">
        <f>data!$E$57&amp;" "&amp;data!$B$57</f>
      </c>
      <c r="F48" s="12" t="str">
        <f>data!$E$86&amp;" "&amp;data!$B$86</f>
      </c>
    </row>
    <row r="49">
      <c r="B49" s="12" t="str">
        <f>data!$E$25&amp;" "&amp;data!$B$25</f>
      </c>
      <c r="D49" s="12" t="str">
        <f>data!$E$58&amp;" "&amp;data!$B$58</f>
      </c>
      <c r="F49" s="12" t="str">
        <f>data!$E$87&amp;" "&amp;data!$B$87</f>
      </c>
    </row>
    <row r="50">
      <c r="B50" s="12" t="str">
        <f>data!$E$26&amp;" "&amp;data!$B$26</f>
      </c>
      <c r="F50" s="12" t="str">
        <f>data!$E$88&amp;" "&amp;data!$B$88</f>
      </c>
    </row>
    <row r="52">
      <c r="D52" s="11" t="str">
        <f>'data'!$A$61</f>
      </c>
    </row>
    <row r="53">
      <c r="B53" s="11" t="str">
        <f>'data'!$A$29</f>
      </c>
      <c r="D53" s="12" t="str">
        <f>data!$E$59&amp;" "&amp;data!$B$59</f>
      </c>
      <c r="F53" s="11" t="str">
        <f>'data'!$A$91</f>
      </c>
    </row>
    <row r="54">
      <c r="B54" s="12" t="str">
        <f>data!$E$27&amp;" "&amp;data!$B$27</f>
      </c>
      <c r="D54" s="12" t="str">
        <f>data!$E$60&amp;" "&amp;data!$B$60</f>
      </c>
      <c r="F54" s="12" t="str">
        <f>data!$E$89&amp;" "&amp;data!$B$89</f>
      </c>
    </row>
    <row r="55">
      <c r="B55" s="12" t="str">
        <f>data!$E$28&amp;" "&amp;data!$B$28</f>
      </c>
      <c r="D55" s="12" t="str">
        <f>data!$E$61&amp;" "&amp;data!$B$61</f>
      </c>
      <c r="F55" s="12" t="str">
        <f>data!$E$90&amp;" "&amp;data!$B$90</f>
      </c>
    </row>
    <row r="56">
      <c r="B56" s="12" t="str">
        <f>data!$E$29&amp;" "&amp;data!$B$29</f>
      </c>
      <c r="F56" s="12" t="str">
        <f>data!$E$91&amp;" "&amp;data!$B$91</f>
      </c>
    </row>
    <row r="58">
      <c r="D58" s="11" t="str">
        <f>'data'!$A$64</f>
      </c>
    </row>
    <row r="59">
      <c r="B59" s="11" t="str">
        <f>'data'!$A$32</f>
      </c>
      <c r="D59" s="12" t="str">
        <f>data!$E$62&amp;" "&amp;data!$B$62</f>
      </c>
      <c r="F59" s="11" t="str">
        <f>'data'!$A$93</f>
      </c>
    </row>
    <row r="60">
      <c r="B60" s="12" t="str">
        <f>data!$E$30&amp;" "&amp;data!$B$30</f>
      </c>
      <c r="D60" s="12" t="str">
        <f>data!$E$63&amp;" "&amp;data!$B$63</f>
      </c>
      <c r="F60" s="12" t="str">
        <f>data!$E$92&amp;" "&amp;data!$B$92</f>
      </c>
    </row>
    <row r="61">
      <c r="B61" s="12" t="str">
        <f>data!$E$31&amp;" "&amp;data!$B$31</f>
      </c>
      <c r="D61" s="12" t="str">
        <f>data!$E$64&amp;" "&amp;data!$B$64</f>
      </c>
      <c r="F61" s="12" t="str">
        <f>data!$E$93&amp;" "&amp;data!$B$93</f>
      </c>
    </row>
    <row r="62">
      <c r="B62" s="12" t="str">
        <f>data!$E$32&amp;" "&amp;data!$B$32</f>
      </c>
    </row>
    <row r="65">
      <c r="B65" s="11" t="str">
        <f>'data'!$A$35</f>
      </c>
    </row>
    <row r="66">
      <c r="B66" s="12" t="str">
        <f>data!$E$33&amp;" "&amp;data!$B$33</f>
      </c>
    </row>
    <row r="67">
      <c r="B67" s="12" t="str">
        <f>data!$E$34&amp;" "&amp;data!$B$34</f>
      </c>
    </row>
    <row r="68">
      <c r="B68" s="12" t="str">
        <f>data!$E$35&amp;" "&amp;data!$B$35</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 customWidth="true" hidden="true" max="21" min="21" width="9.140625"/>
    <col customWidth="true" hidden="true" max="29" min="29" width="9.140625"/>
  </cols>
  <sheetData>
    <row r="1">
      <c r="A1" s="13" t="s">
        <v>329</v>
      </c>
      <c r="B1" s="13"/>
      <c r="C1" s="13"/>
      <c r="D1" s="13"/>
      <c r="E1" s="13"/>
      <c r="F1" s="13"/>
      <c r="G1" s="13"/>
      <c r="I1" s="13" t="s">
        <v>330</v>
      </c>
      <c r="J1" s="13"/>
      <c r="K1" s="13"/>
      <c r="L1" s="13"/>
      <c r="M1" s="13"/>
      <c r="N1" s="13"/>
      <c r="O1" s="13"/>
    </row>
    <row r="2">
      <c r="A2" s="13" t="str">
        <f>'data'!$A$5</f>
      </c>
      <c r="B2" s="13"/>
      <c r="C2" s="13"/>
      <c r="D2" s="13"/>
      <c r="E2" s="13"/>
      <c r="F2" s="13"/>
      <c r="G2" s="13"/>
      <c r="I2" s="13" t="str">
        <f>'data'!$A$52</f>
      </c>
      <c r="J2" s="13"/>
      <c r="K2" s="13"/>
      <c r="L2" s="13"/>
      <c r="M2" s="13"/>
      <c r="N2" s="13"/>
      <c r="O2" s="13"/>
    </row>
    <row r="3">
      <c r="A3" s="17" t="s">
        <v>331</v>
      </c>
      <c r="B3" s="14"/>
      <c r="C3" s="14"/>
      <c r="D3" s="14" t="s">
        <v>332</v>
      </c>
      <c r="E3" s="14"/>
      <c r="F3" s="14"/>
      <c r="G3" s="16" t="s">
        <v>333</v>
      </c>
      <c r="I3" s="17" t="s">
        <v>331</v>
      </c>
      <c r="J3" s="14"/>
      <c r="K3" s="14"/>
      <c r="L3" s="14" t="s">
        <v>332</v>
      </c>
      <c r="M3" s="14"/>
      <c r="N3" s="14"/>
      <c r="O3" s="16" t="s">
        <v>333</v>
      </c>
    </row>
    <row r="4">
      <c r="A4" s="14" t="str">
        <f>data!$E$4&amp;" "&amp;data!$B$4</f>
      </c>
      <c r="B4" s="14"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",""),"0",""),"-",""))),1,0))+IF(UPPER(D8)="X",0,IF((LEN(SUBSTITUTE(SUBSTITUTE(SUBSTITUTE(B8," ",""),"0",""),"-",""))+LEN(SUBSTITUTE(SUBSTITUTE(SUBSTITUTE(C8," ",""),"0",""),"-","")))&gt;(LEN(SUBSTITUTE(SUBSTITUTE(SUBSTITUTE(E8," ",""),"0",""),"-",""))+LEN(SUBSTITUTE(SUBSTITUTE(SUBSTITUTE(F8," ",""),"0",""),"-",""))),1,0))+IF(UPPER(D9)="X",0,IF((LEN(SUBSTITUTE(SUBSTITUTE(SUBSTITUTE(B9," ",""),"0",""),"-",""))+LEN(SUBSTITUTE(SUBSTITUTE(SUBSTITUTE(C9," ",""),"0",""),"-","")))&gt;(LEN(SUBSTITUTE(SUBSTITUTE(SUBSTITUTE(E9," ",""),"0",""),"-",""))+LEN(SUBSTITUTE(SUBSTITUTE(SUBSTITUTE(F9," ",""),"0",""),"-",""))),1,0))</f>
      </c>
      <c r="C4" s="14" t="str">
        <f>LEN(SUBSTITUTE(SUBSTITUTE(SUBSTITUTE(B5," ",""),"0",""),"-",""))+LEN(SUBSTITUTE(SUBSTITUTE(SUBSTITUTE(C5," ",""),"0",""),"-",""))+LEN(SUBSTITUTE(SUBSTITUTE(SUBSTITUTE(B6," ",""),"0",""),"-",""))+LEN(SUBSTITUTE(SUBSTITUTE(SUBSTITUTE(C6," ",""),"0",""),"-",""))+LEN(SUBSTITUTE(SUBSTITUTE(SUBSTITUTE(B7," ",""),"0",""),"-",""))+LEN(SUBSTITUTE(SUBSTITUTE(SUBSTITUTE(C7," ",""),"0",""),"-",""))+LEN(SUBSTITUTE(SUBSTITUTE(SUBSTITUTE(B8," ",""),"0",""),"-",""))+LEN(SUBSTITUTE(SUBSTITUTE(SUBSTITUTE(C8," ",""),"0",""),"-",""))+LEN(SUBSTITUTE(SUBSTITUTE(SUBSTITUTE(B9," ",""),"0",""),"-",""))+LEN(SUBSTITUTE(SUBSTITUTE(SUBSTITUTE(C9," ",""),"0",""),"-",""))</f>
      </c>
      <c r="D4" s="18"/>
      <c r="E4" s="14" t="str">
        <f>LEN(SUBSTITUTE(SUBSTITUTE(SUBSTITUTE(E5," ",""),"0",""),"-",""))+LEN(SUBSTITUTE(SUBSTITUTE(SUBSTITUTE(F5," ",""),"0",""),"-",""))+LEN(SUBSTITUTE(SUBSTITUTE(SUBSTITUTE(E6," ",""),"0",""),"-",""))+LEN(SUBSTITUTE(SUBSTITUTE(SUBSTITUTE(F6," ",""),"0",""),"-",""))+LEN(SUBSTITUTE(SUBSTITUTE(SUBSTITUTE(E7," ",""),"0",""),"-",""))+LEN(SUBSTITUTE(SUBSTITUTE(SUBSTITUTE(F7," ",""),"0",""),"-",""))+LEN(SUBSTITUTE(SUBSTITUTE(SUBSTITUTE(E8," ",""),"0",""),"-",""))+LEN(SUBSTITUTE(SUBSTITUTE(SUBSTITUTE(F8," ",""),"0",""),"-",""))+LEN(SUBSTITUTE(SUBSTITUTE(SUBSTITUTE(E9," ",""),"0",""),"-",""))+LEN(SUBSTITUTE(SUBSTITUTE(SUBSTITUTE(F9," ",""),"0",""),"-",""))</f>
      </c>
      <c r="F4" s="14"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",""),"0",""),"-",""))),1,0))+IF(UPPER(D8)="X",0,IF((LEN(SUBSTITUTE(SUBSTITUTE(SUBSTITUTE(E8," ",""),"0",""),"-",""))+LEN(SUBSTITUTE(SUBSTITUTE(SUBSTITUTE(F8," ",""),"0",""),"-","")))&gt;(LEN(SUBSTITUTE(SUBSTITUTE(SUBSTITUTE(B8," ",""),"0",""),"-",""))+LEN(SUBSTITUTE(SUBSTITUTE(SUBSTITUTE(C8," ",""),"0",""),"-",""))),1,0))+IF(UPPER(D9)="X",0,IF((LEN(SUBSTITUTE(SUBSTITUTE(SUBSTITUTE(E9," ",""),"0",""),"-",""))+LEN(SUBSTITUTE(SUBSTITUTE(SUBSTITUTE(F9," ",""),"0",""),"-","")))&gt;(LEN(SUBSTITUTE(SUBSTITUTE(SUBSTITUTE(B9," ",""),"0",""),"-",""))+LEN(SUBSTITUTE(SUBSTITUTE(SUBSTITUTE(C9," ",""),"0",""),"-",""))),1,0))</f>
      </c>
      <c r="G4" s="14" t="str">
        <f>data!$E$3&amp;" "&amp;data!$B$3</f>
      </c>
      <c r="I4" s="14" t="str">
        <f>data!$E$51&amp;" "&amp;data!$B$51</f>
      </c>
      <c r="J4" s="14" t="str">
        <f>IF(UPPER(L5)="X",0,IF((LEN(SUBSTITUTE(SUBSTITUTE(SUBSTITUTE(J5," ",""),"0",""),"-",""))+LEN(SUBSTITUTE(SUBSTITUTE(SUBSTITUTE(K5," ",""),"0",""),"-","")))&gt;(LEN(SUBSTITUTE(SUBSTITUTE(SUBSTITUTE(M5," ",""),"0",""),"-",""))+LEN(SUBSTITUTE(SUBSTITUTE(SUBSTITUTE(N5," ",""),"0",""),"-",""))),1,0))+IF(UPPER(L6)="X",0,IF((LEN(SUBSTITUTE(SUBSTITUTE(SUBSTITUTE(J6," ",""),"0",""),"-",""))+LEN(SUBSTITUTE(SUBSTITUTE(SUBSTITUTE(K6," ",""),"0",""),"-","")))&gt;(LEN(SUBSTITUTE(SUBSTITUTE(SUBSTITUTE(M6," ",""),"0",""),"-",""))+LEN(SUBSTITUTE(SUBSTITUTE(SUBSTITUTE(N6," ",""),"0",""),"-",""))),1,0))+IF(UPPER(L7)="X",0,IF((LEN(SUBSTITUTE(SUBSTITUTE(SUBSTITUTE(J7," ",""),"0",""),"-",""))+LEN(SUBSTITUTE(SUBSTITUTE(SUBSTITUTE(K7," ",""),"0",""),"-","")))&gt;(LEN(SUBSTITUTE(SUBSTITUTE(SUBSTITUTE(M7," ",""),"0",""),"-",""))+LEN(SUBSTITUTE(SUBSTITUTE(SUBSTITUTE(N7," ",""),"0",""),"-",""))),1,0))+IF(UPPER(L8)="X",0,IF((LEN(SUBSTITUTE(SUBSTITUTE(SUBSTITUTE(J8," ",""),"0",""),"-",""))+LEN(SUBSTITUTE(SUBSTITUTE(SUBSTITUTE(K8," ",""),"0",""),"-","")))&gt;(LEN(SUBSTITUTE(SUBSTITUTE(SUBSTITUTE(M8," ",""),"0",""),"-",""))+LEN(SUBSTITUTE(SUBSTITUTE(SUBSTITUTE(N8," ",""),"0",""),"-",""))),1,0))+IF(UPPER(L9)="X",0,IF((LEN(SUBSTITUTE(SUBSTITUTE(SUBSTITUTE(J9," ",""),"0",""),"-",""))+LEN(SUBSTITUTE(SUBSTITUTE(SUBSTITUTE(K9," ",""),"0",""),"-","")))&gt;(LEN(SUBSTITUTE(SUBSTITUTE(SUBSTITUTE(M9," ",""),"0",""),"-",""))+LEN(SUBSTITUTE(SUBSTITUTE(SUBSTITUTE(N9," ",""),"0",""),"-",""))),1,0))</f>
      </c>
      <c r="K4" s="14" t="str">
        <f>LEN(SUBSTITUTE(SUBSTITUTE(SUBSTITUTE(J5," ",""),"0",""),"-",""))+LEN(SUBSTITUTE(SUBSTITUTE(SUBSTITUTE(K5," ",""),"0",""),"-",""))+LEN(SUBSTITUTE(SUBSTITUTE(SUBSTITUTE(J6," ",""),"0",""),"-",""))+LEN(SUBSTITUTE(SUBSTITUTE(SUBSTITUTE(K6," ",""),"0",""),"-",""))+LEN(SUBSTITUTE(SUBSTITUTE(SUBSTITUTE(J7," ",""),"0",""),"-",""))+LEN(SUBSTITUTE(SUBSTITUTE(SUBSTITUTE(K7," ",""),"0",""),"-",""))+LEN(SUBSTITUTE(SUBSTITUTE(SUBSTITUTE(J8," ",""),"0",""),"-",""))+LEN(SUBSTITUTE(SUBSTITUTE(SUBSTITUTE(K8," ",""),"0",""),"-",""))+LEN(SUBSTITUTE(SUBSTITUTE(SUBSTITUTE(J9," ",""),"0",""),"-",""))+LEN(SUBSTITUTE(SUBSTITUTE(SUBSTITUTE(K9," ",""),"0",""),"-",""))</f>
      </c>
      <c r="L4" s="18"/>
      <c r="M4" s="14" t="str">
        <f>LEN(SUBSTITUTE(SUBSTITUTE(SUBSTITUTE(M5," ",""),"0",""),"-",""))+LEN(SUBSTITUTE(SUBSTITUTE(SUBSTITUTE(N5," ",""),"0",""),"-",""))+LEN(SUBSTITUTE(SUBSTITUTE(SUBSTITUTE(M6," ",""),"0",""),"-",""))+LEN(SUBSTITUTE(SUBSTITUTE(SUBSTITUTE(N6," ",""),"0",""),"-",""))+LEN(SUBSTITUTE(SUBSTITUTE(SUBSTITUTE(M7," ",""),"0",""),"-",""))+LEN(SUBSTITUTE(SUBSTITUTE(SUBSTITUTE(N7," ",""),"0",""),"-",""))+LEN(SUBSTITUTE(SUBSTITUTE(SUBSTITUTE(M8," ",""),"0",""),"-",""))+LEN(SUBSTITUTE(SUBSTITUTE(SUBSTITUTE(N8," ",""),"0",""),"-",""))+LEN(SUBSTITUTE(SUBSTITUTE(SUBSTITUTE(M9," ",""),"0",""),"-",""))+LEN(SUBSTITUTE(SUBSTITUTE(SUBSTITUTE(N9," ",""),"0",""),"-",""))</f>
      </c>
      <c r="N4" s="14" t="str">
        <f>IF(UPPER(L5)="X",0,IF((LEN(SUBSTITUTE(SUBSTITUTE(SUBSTITUTE(M5," ",""),"0",""),"-",""))+LEN(SUBSTITUTE(SUBSTITUTE(SUBSTITUTE(N5," ",""),"0",""),"-","")))&gt;(LEN(SUBSTITUTE(SUBSTITUTE(SUBSTITUTE(J5," ",""),"0",""),"-",""))+LEN(SUBSTITUTE(SUBSTITUTE(SUBSTITUTE(K5," ",""),"0",""),"-",""))),1,0))+IF(UPPER(L6)="X",0,IF((LEN(SUBSTITUTE(SUBSTITUTE(SUBSTITUTE(M6," ",""),"0",""),"-",""))+LEN(SUBSTITUTE(SUBSTITUTE(SUBSTITUTE(N6," ",""),"0",""),"-","")))&gt;(LEN(SUBSTITUTE(SUBSTITUTE(SUBSTITUTE(J6," ",""),"0",""),"-",""))+LEN(SUBSTITUTE(SUBSTITUTE(SUBSTITUTE(K6," ",""),"0",""),"-",""))),1,0))+IF(UPPER(L7)="X",0,IF((LEN(SUBSTITUTE(SUBSTITUTE(SUBSTITUTE(M7," ",""),"0",""),"-",""))+LEN(SUBSTITUTE(SUBSTITUTE(SUBSTITUTE(N7," ",""),"0",""),"-","")))&gt;(LEN(SUBSTITUTE(SUBSTITUTE(SUBSTITUTE(J7," ",""),"0",""),"-",""))+LEN(SUBSTITUTE(SUBSTITUTE(SUBSTITUTE(K7," ",""),"0",""),"-",""))),1,0))+IF(UPPER(L8)="X",0,IF((LEN(SUBSTITUTE(SUBSTITUTE(SUBSTITUTE(M8," ",""),"0",""),"-",""))+LEN(SUBSTITUTE(SUBSTITUTE(SUBSTITUTE(N8," ",""),"0",""),"-","")))&gt;(LEN(SUBSTITUTE(SUBSTITUTE(SUBSTITUTE(J8," ",""),"0",""),"-",""))+LEN(SUBSTITUTE(SUBSTITUTE(SUBSTITUTE(K8," ",""),"0",""),"-",""))),1,0))+IF(UPPER(L9)="X",0,IF((LEN(SUBSTITUTE(SUBSTITUTE(SUBSTITUTE(M9," ",""),"0",""),"-",""))+LEN(SUBSTITUTE(SUBSTITUTE(SUBSTITUTE(N9," ",""),"0",""),"-","")))&gt;(LEN(SUBSTITUTE(SUBSTITUTE(SUBSTITUTE(J9," ",""),"0",""),"-",""))+LEN(SUBSTITUTE(SUBSTITUTE(SUBSTITUTE(K9," ",""),"0",""),"-",""))),1,0))</f>
      </c>
      <c r="O4" s="14" t="str">
        <f>data!$E$50&amp;" "&amp;data!$B$50</f>
      </c>
    </row>
    <row r="5">
      <c r="A5" s="14">
        <v>1</v>
      </c>
      <c r="B5" s="18"/>
      <c r="C5" s="18"/>
      <c r="D5" s="18"/>
      <c r="E5" s="18"/>
      <c r="F5" s="18"/>
      <c r="G5" s="14">
        <v>1</v>
      </c>
      <c r="I5" s="14">
        <v>1</v>
      </c>
      <c r="J5" s="18"/>
      <c r="K5" s="18"/>
      <c r="L5" s="18"/>
      <c r="M5" s="18"/>
      <c r="N5" s="18"/>
      <c r="O5" s="14">
        <v>1</v>
      </c>
    </row>
    <row r="6">
      <c r="A6" s="14">
        <v>2</v>
      </c>
      <c r="B6" s="18"/>
      <c r="C6" s="18"/>
      <c r="D6" s="18"/>
      <c r="E6" s="18"/>
      <c r="F6" s="18"/>
      <c r="G6" s="14">
        <v>2</v>
      </c>
      <c r="I6" s="14">
        <v>2</v>
      </c>
      <c r="J6" s="18"/>
      <c r="K6" s="18"/>
      <c r="L6" s="18"/>
      <c r="M6" s="18"/>
      <c r="N6" s="18"/>
      <c r="O6" s="14">
        <v>2</v>
      </c>
    </row>
    <row r="7">
      <c r="A7" s="14">
        <v>3</v>
      </c>
      <c r="B7" s="18"/>
      <c r="C7" s="18"/>
      <c r="D7" s="18"/>
      <c r="E7" s="18"/>
      <c r="F7" s="18"/>
      <c r="G7" s="14">
        <v>3</v>
      </c>
      <c r="I7" s="14">
        <v>3</v>
      </c>
      <c r="J7" s="18"/>
      <c r="K7" s="18"/>
      <c r="L7" s="18"/>
      <c r="M7" s="18"/>
      <c r="N7" s="18"/>
      <c r="O7" s="14">
        <v>3</v>
      </c>
    </row>
    <row r="8">
      <c r="A8" s="14">
        <v>4</v>
      </c>
      <c r="B8" s="18"/>
      <c r="C8" s="18"/>
      <c r="D8" s="18"/>
      <c r="E8" s="18"/>
      <c r="F8" s="18"/>
      <c r="G8" s="14">
        <v>4</v>
      </c>
      <c r="I8" s="14">
        <v>4</v>
      </c>
      <c r="J8" s="18"/>
      <c r="K8" s="18"/>
      <c r="L8" s="18"/>
      <c r="M8" s="18"/>
      <c r="N8" s="18"/>
      <c r="O8" s="14">
        <v>4</v>
      </c>
    </row>
    <row r="9">
      <c r="A9" s="14">
        <v>5</v>
      </c>
      <c r="B9" s="18"/>
      <c r="C9" s="18"/>
      <c r="D9" s="18"/>
      <c r="E9" s="18"/>
      <c r="F9" s="18"/>
      <c r="G9" s="14">
        <v>5</v>
      </c>
      <c r="I9" s="14">
        <v>5</v>
      </c>
      <c r="J9" s="18"/>
      <c r="K9" s="18"/>
      <c r="L9" s="18"/>
      <c r="M9" s="18"/>
      <c r="N9" s="18"/>
      <c r="O9" s="14">
        <v>5</v>
      </c>
    </row>
    <row r="11">
      <c r="A11" s="17" t="s">
        <v>331</v>
      </c>
      <c r="B11" s="14"/>
      <c r="C11" s="14"/>
      <c r="D11" s="14" t="s">
        <v>332</v>
      </c>
      <c r="E11" s="14"/>
      <c r="F11" s="14"/>
      <c r="G11" s="16" t="s">
        <v>333</v>
      </c>
      <c r="I11" s="17" t="s">
        <v>331</v>
      </c>
      <c r="J11" s="14"/>
      <c r="K11" s="14"/>
      <c r="L11" s="14" t="s">
        <v>332</v>
      </c>
      <c r="M11" s="14"/>
      <c r="N11" s="14"/>
      <c r="O11" s="16" t="s">
        <v>333</v>
      </c>
    </row>
    <row r="12">
      <c r="A12" s="14" t="str">
        <f>data!$E$5&amp;" "&amp;data!$B$5</f>
      </c>
      <c r="B12" s="14" t="str">
        <f>IF(UPPER(D13)="X",0,IF((LEN(SUBSTITUTE(SUBSTITUTE(SUBSTITUTE(B13," ",""),"0",""),"-",""))+LEN(SUBSTITUTE(SUBSTITUTE(SUBSTITUTE(C13," ",""),"0",""),"-","")))&gt;(LEN(SUBSTITUTE(SUBSTITUTE(SUBSTITUTE(E13," ",""),"0",""),"-",""))+LEN(SUBSTITUTE(SUBSTITUTE(SUBSTITUTE(F13," ",""),"0",""),"-",""))),1,0))+IF(UPPER(D14)="X",0,IF((LEN(SUBSTITUTE(SUBSTITUTE(SUBSTITUTE(B14," ",""),"0",""),"-",""))+LEN(SUBSTITUTE(SUBSTITUTE(SUBSTITUTE(C14," ",""),"0",""),"-","")))&gt;(LEN(SUBSTITUTE(SUBSTITUTE(SUBSTITUTE(E14," ",""),"0",""),"-",""))+LEN(SUBSTITUTE(SUBSTITUTE(SUBSTITUTE(F14," ",""),"0",""),"-",""))),1,0))+IF(UPPER(D15)="X",0,IF((LEN(SUBSTITUTE(SUBSTITUTE(SUBSTITUTE(B15," ",""),"0",""),"-",""))+LEN(SUBSTITUTE(SUBSTITUTE(SUBSTITUTE(C15," ",""),"0",""),"-","")))&gt;(LEN(SUBSTITUTE(SUBSTITUTE(SUBSTITUTE(E15," ",""),"0",""),"-",""))+LEN(SUBSTITUTE(SUBSTITUTE(SUBSTITUTE(F15," ",""),"0",""),"-",""))),1,0))+IF(UPPER(D16)="X",0,IF((LEN(SUBSTITUTE(SUBSTITUTE(SUBSTITUTE(B16," ",""),"0",""),"-",""))+LEN(SUBSTITUTE(SUBSTITUTE(SUBSTITUTE(C16," ",""),"0",""),"-","")))&gt;(LEN(SUBSTITUTE(SUBSTITUTE(SUBSTITUTE(E16," ",""),"0",""),"-",""))+LEN(SUBSTITUTE(SUBSTITUTE(SUBSTITUTE(F16," ",""),"0",""),"-",""))),1,0))+IF(UPPER(D17)="X",0,IF((LEN(SUBSTITUTE(SUBSTITUTE(SUBSTITUTE(B17," ",""),"0",""),"-",""))+LEN(SUBSTITUTE(SUBSTITUTE(SUBSTITUTE(C17," ",""),"0",""),"-","")))&gt;(LEN(SUBSTITUTE(SUBSTITUTE(SUBSTITUTE(E17," ",""),"0",""),"-",""))+LEN(SUBSTITUTE(SUBSTITUTE(SUBSTITUTE(F17," ",""),"0",""),"-",""))),1,0))</f>
      </c>
      <c r="C12" s="14" t="str">
        <f>LEN(SUBSTITUTE(SUBSTITUTE(SUBSTITUTE(B13," ",""),"0",""),"-",""))+LEN(SUBSTITUTE(SUBSTITUTE(SUBSTITUTE(C13," ",""),"0",""),"-",""))+LEN(SUBSTITUTE(SUBSTITUTE(SUBSTITUTE(B14," ",""),"0",""),"-",""))+LEN(SUBSTITUTE(SUBSTITUTE(SUBSTITUTE(C14," ",""),"0",""),"-",""))+LEN(SUBSTITUTE(SUBSTITUTE(SUBSTITUTE(B15," ",""),"0",""),"-",""))+LEN(SUBSTITUTE(SUBSTITUTE(SUBSTITUTE(C15," ",""),"0",""),"-",""))+LEN(SUBSTITUTE(SUBSTITUTE(SUBSTITUTE(B16," ",""),"0",""),"-",""))+LEN(SUBSTITUTE(SUBSTITUTE(SUBSTITUTE(C16," ",""),"0",""),"-",""))+LEN(SUBSTITUTE(SUBSTITUTE(SUBSTITUTE(B17," ",""),"0",""),"-",""))+LEN(SUBSTITUTE(SUBSTITUTE(SUBSTITUTE(C17," ",""),"0",""),"-",""))</f>
      </c>
      <c r="D12" s="18"/>
      <c r="E12" s="14" t="str">
        <f>LEN(SUBSTITUTE(SUBSTITUTE(SUBSTITUTE(E13," ",""),"0",""),"-",""))+LEN(SUBSTITUTE(SUBSTITUTE(SUBSTITUTE(F13," ",""),"0",""),"-",""))+LEN(SUBSTITUTE(SUBSTITUTE(SUBSTITUTE(E14," ",""),"0",""),"-",""))+LEN(SUBSTITUTE(SUBSTITUTE(SUBSTITUTE(F14," ",""),"0",""),"-",""))+LEN(SUBSTITUTE(SUBSTITUTE(SUBSTITUTE(E15," ",""),"0",""),"-",""))+LEN(SUBSTITUTE(SUBSTITUTE(SUBSTITUTE(F15," ",""),"0",""),"-",""))+LEN(SUBSTITUTE(SUBSTITUTE(SUBSTITUTE(E16," ",""),"0",""),"-",""))+LEN(SUBSTITUTE(SUBSTITUTE(SUBSTITUTE(F16," ",""),"0",""),"-",""))+LEN(SUBSTITUTE(SUBSTITUTE(SUBSTITUTE(E17," ",""),"0",""),"-",""))+LEN(SUBSTITUTE(SUBSTITUTE(SUBSTITUTE(F17," ",""),"0",""),"-",""))</f>
      </c>
      <c r="F12" s="14" t="str">
        <f>IF(UPPER(D13)="X",0,IF((LEN(SUBSTITUTE(SUBSTITUTE(SUBSTITUTE(E13," ",""),"0",""),"-",""))+LEN(SUBSTITUTE(SUBSTITUTE(SUBSTITUTE(F13," ",""),"0",""),"-","")))&gt;(LEN(SUBSTITUTE(SUBSTITUTE(SUBSTITUTE(B13," ",""),"0",""),"-",""))+LEN(SUBSTITUTE(SUBSTITUTE(SUBSTITUTE(C13," ",""),"0",""),"-",""))),1,0))+IF(UPPER(D14)="X",0,IF((LEN(SUBSTITUTE(SUBSTITUTE(SUBSTITUTE(E14," ",""),"0",""),"-",""))+LEN(SUBSTITUTE(SUBSTITUTE(SUBSTITUTE(F14," ",""),"0",""),"-","")))&gt;(LEN(SUBSTITUTE(SUBSTITUTE(SUBSTITUTE(B14," ",""),"0",""),"-",""))+LEN(SUBSTITUTE(SUBSTITUTE(SUBSTITUTE(C14," ",""),"0",""),"-",""))),1,0))+IF(UPPER(D15)="X",0,IF((LEN(SUBSTITUTE(SUBSTITUTE(SUBSTITUTE(E15," ",""),"0",""),"-",""))+LEN(SUBSTITUTE(SUBSTITUTE(SUBSTITUTE(F15," ",""),"0",""),"-","")))&gt;(LEN(SUBSTITUTE(SUBSTITUTE(SUBSTITUTE(B15," ",""),"0",""),"-",""))+LEN(SUBSTITUTE(SUBSTITUTE(SUBSTITUTE(C15," ",""),"0",""),"-",""))),1,0))+IF(UPPER(D16)="X",0,IF((LEN(SUBSTITUTE(SUBSTITUTE(SUBSTITUTE(E16," ",""),"0",""),"-",""))+LEN(SUBSTITUTE(SUBSTITUTE(SUBSTITUTE(F16," ",""),"0",""),"-","")))&gt;(LEN(SUBSTITUTE(SUBSTITUTE(SUBSTITUTE(B16," ",""),"0",""),"-",""))+LEN(SUBSTITUTE(SUBSTITUTE(SUBSTITUTE(C16," ",""),"0",""),"-",""))),1,0))+IF(UPPER(D17)="X",0,IF((LEN(SUBSTITUTE(SUBSTITUTE(SUBSTITUTE(E17," ",""),"0",""),"-",""))+LEN(SUBSTITUTE(SUBSTITUTE(SUBSTITUTE(F17," ",""),"0",""),"-","")))&gt;(LEN(SUBSTITUTE(SUBSTITUTE(SUBSTITUTE(B17," ",""),"0",""),"-",""))+LEN(SUBSTITUTE(SUBSTITUTE(SUBSTITUTE(C17," ",""),"0",""),"-",""))),1,0))</f>
      </c>
      <c r="G12" s="14" t="str">
        <f>data!$E$3&amp;" "&amp;data!$B$3</f>
      </c>
      <c r="I12" s="14" t="str">
        <f>data!$E$52&amp;" "&amp;data!$B$52</f>
      </c>
      <c r="J12" s="14" t="str">
        <f>IF(UPPER(L13)="X",0,IF((LEN(SUBSTITUTE(SUBSTITUTE(SUBSTITUTE(J13," ",""),"0",""),"-",""))+LEN(SUBSTITUTE(SUBSTITUTE(SUBSTITUTE(K13," ",""),"0",""),"-","")))&gt;(LEN(SUBSTITUTE(SUBSTITUTE(SUBSTITUTE(M13," ",""),"0",""),"-",""))+LEN(SUBSTITUTE(SUBSTITUTE(SUBSTITUTE(N13," ",""),"0",""),"-",""))),1,0))+IF(UPPER(L14)="X",0,IF((LEN(SUBSTITUTE(SUBSTITUTE(SUBSTITUTE(J14," ",""),"0",""),"-",""))+LEN(SUBSTITUTE(SUBSTITUTE(SUBSTITUTE(K14," ",""),"0",""),"-","")))&gt;(LEN(SUBSTITUTE(SUBSTITUTE(SUBSTITUTE(M14," ",""),"0",""),"-",""))+LEN(SUBSTITUTE(SUBSTITUTE(SUBSTITUTE(N14," ",""),"0",""),"-",""))),1,0))+IF(UPPER(L15)="X",0,IF((LEN(SUBSTITUTE(SUBSTITUTE(SUBSTITUTE(J15," ",""),"0",""),"-",""))+LEN(SUBSTITUTE(SUBSTITUTE(SUBSTITUTE(K15," ",""),"0",""),"-","")))&gt;(LEN(SUBSTITUTE(SUBSTITUTE(SUBSTITUTE(M15," ",""),"0",""),"-",""))+LEN(SUBSTITUTE(SUBSTITUTE(SUBSTITUTE(N15," ",""),"0",""),"-",""))),1,0))+IF(UPPER(L16)="X",0,IF((LEN(SUBSTITUTE(SUBSTITUTE(SUBSTITUTE(J16," ",""),"0",""),"-",""))+LEN(SUBSTITUTE(SUBSTITUTE(SUBSTITUTE(K16," ",""),"0",""),"-","")))&gt;(LEN(SUBSTITUTE(SUBSTITUTE(SUBSTITUTE(M16," ",""),"0",""),"-",""))+LEN(SUBSTITUTE(SUBSTITUTE(SUBSTITUTE(N16," ",""),"0",""),"-",""))),1,0))+IF(UPPER(L17)="X",0,IF((LEN(SUBSTITUTE(SUBSTITUTE(SUBSTITUTE(J17," ",""),"0",""),"-",""))+LEN(SUBSTITUTE(SUBSTITUTE(SUBSTITUTE(K17," ",""),"0",""),"-","")))&gt;(LEN(SUBSTITUTE(SUBSTITUTE(SUBSTITUTE(M17," ",""),"0",""),"-",""))+LEN(SUBSTITUTE(SUBSTITUTE(SUBSTITUTE(N17," ",""),"0",""),"-",""))),1,0))</f>
      </c>
      <c r="K12" s="14" t="str">
        <f>LEN(SUBSTITUTE(SUBSTITUTE(SUBSTITUTE(J13," ",""),"0",""),"-",""))+LEN(SUBSTITUTE(SUBSTITUTE(SUBSTITUTE(K13," ",""),"0",""),"-",""))+LEN(SUBSTITUTE(SUBSTITUTE(SUBSTITUTE(J14," ",""),"0",""),"-",""))+LEN(SUBSTITUTE(SUBSTITUTE(SUBSTITUTE(K14," ",""),"0",""),"-",""))+LEN(SUBSTITUTE(SUBSTITUTE(SUBSTITUTE(J15," ",""),"0",""),"-",""))+LEN(SUBSTITUTE(SUBSTITUTE(SUBSTITUTE(K15," ",""),"0",""),"-",""))+LEN(SUBSTITUTE(SUBSTITUTE(SUBSTITUTE(J16," ",""),"0",""),"-",""))+LEN(SUBSTITUTE(SUBSTITUTE(SUBSTITUTE(K16," ",""),"0",""),"-",""))+LEN(SUBSTITUTE(SUBSTITUTE(SUBSTITUTE(J17," ",""),"0",""),"-",""))+LEN(SUBSTITUTE(SUBSTITUTE(SUBSTITUTE(K17," ",""),"0",""),"-",""))</f>
      </c>
      <c r="L12" s="18"/>
      <c r="M12" s="14" t="str">
        <f>LEN(SUBSTITUTE(SUBSTITUTE(SUBSTITUTE(M13," ",""),"0",""),"-",""))+LEN(SUBSTITUTE(SUBSTITUTE(SUBSTITUTE(N13," ",""),"0",""),"-",""))+LEN(SUBSTITUTE(SUBSTITUTE(SUBSTITUTE(M14," ",""),"0",""),"-",""))+LEN(SUBSTITUTE(SUBSTITUTE(SUBSTITUTE(N14," ",""),"0",""),"-",""))+LEN(SUBSTITUTE(SUBSTITUTE(SUBSTITUTE(M15," ",""),"0",""),"-",""))+LEN(SUBSTITUTE(SUBSTITUTE(SUBSTITUTE(N15," ",""),"0",""),"-",""))+LEN(SUBSTITUTE(SUBSTITUTE(SUBSTITUTE(M16," ",""),"0",""),"-",""))+LEN(SUBSTITUTE(SUBSTITUTE(SUBSTITUTE(N16," ",""),"0",""),"-",""))+LEN(SUBSTITUTE(SUBSTITUTE(SUBSTITUTE(M17," ",""),"0",""),"-",""))+LEN(SUBSTITUTE(SUBSTITUTE(SUBSTITUTE(N17," ",""),"0",""),"-",""))</f>
      </c>
      <c r="N12" s="14" t="str">
        <f>IF(UPPER(L13)="X",0,IF((LEN(SUBSTITUTE(SUBSTITUTE(SUBSTITUTE(M13," ",""),"0",""),"-",""))+LEN(SUBSTITUTE(SUBSTITUTE(SUBSTITUTE(N13," ",""),"0",""),"-","")))&gt;(LEN(SUBSTITUTE(SUBSTITUTE(SUBSTITUTE(J13," ",""),"0",""),"-",""))+LEN(SUBSTITUTE(SUBSTITUTE(SUBSTITUTE(K13," ",""),"0",""),"-",""))),1,0))+IF(UPPER(L14)="X",0,IF((LEN(SUBSTITUTE(SUBSTITUTE(SUBSTITUTE(M14," ",""),"0",""),"-",""))+LEN(SUBSTITUTE(SUBSTITUTE(SUBSTITUTE(N14," ",""),"0",""),"-","")))&gt;(LEN(SUBSTITUTE(SUBSTITUTE(SUBSTITUTE(J14," ",""),"0",""),"-",""))+LEN(SUBSTITUTE(SUBSTITUTE(SUBSTITUTE(K14," ",""),"0",""),"-",""))),1,0))+IF(UPPER(L15)="X",0,IF((LEN(SUBSTITUTE(SUBSTITUTE(SUBSTITUTE(M15," ",""),"0",""),"-",""))+LEN(SUBSTITUTE(SUBSTITUTE(SUBSTITUTE(N15," ",""),"0",""),"-","")))&gt;(LEN(SUBSTITUTE(SUBSTITUTE(SUBSTITUTE(J15," ",""),"0",""),"-",""))+LEN(SUBSTITUTE(SUBSTITUTE(SUBSTITUTE(K15," ",""),"0",""),"-",""))),1,0))+IF(UPPER(L16)="X",0,IF((LEN(SUBSTITUTE(SUBSTITUTE(SUBSTITUTE(M16," ",""),"0",""),"-",""))+LEN(SUBSTITUTE(SUBSTITUTE(SUBSTITUTE(N16," ",""),"0",""),"-","")))&gt;(LEN(SUBSTITUTE(SUBSTITUTE(SUBSTITUTE(J16," ",""),"0",""),"-",""))+LEN(SUBSTITUTE(SUBSTITUTE(SUBSTITUTE(K16," ",""),"0",""),"-",""))),1,0))+IF(UPPER(L17)="X",0,IF((LEN(SUBSTITUTE(SUBSTITUTE(SUBSTITUTE(M17," ",""),"0",""),"-",""))+LEN(SUBSTITUTE(SUBSTITUTE(SUBSTITUTE(N17," ",""),"0",""),"-","")))&gt;(LEN(SUBSTITUTE(SUBSTITUTE(SUBSTITUTE(J17," ",""),"0",""),"-",""))+LEN(SUBSTITUTE(SUBSTITUTE(SUBSTITUTE(K17," ",""),"0",""),"-",""))),1,0))</f>
      </c>
      <c r="O12" s="14" t="str">
        <f>data!$E$50&amp;" "&amp;data!$B$50</f>
      </c>
    </row>
    <row r="13">
      <c r="A13" s="14">
        <v>1</v>
      </c>
      <c r="B13" s="18"/>
      <c r="C13" s="18"/>
      <c r="D13" s="18"/>
      <c r="E13" s="18"/>
      <c r="F13" s="18"/>
      <c r="G13" s="14">
        <v>1</v>
      </c>
      <c r="I13" s="14">
        <v>1</v>
      </c>
      <c r="J13" s="18"/>
      <c r="K13" s="18"/>
      <c r="L13" s="18"/>
      <c r="M13" s="18"/>
      <c r="N13" s="18"/>
      <c r="O13" s="14">
        <v>1</v>
      </c>
    </row>
    <row r="14">
      <c r="A14" s="14">
        <v>2</v>
      </c>
      <c r="B14" s="18"/>
      <c r="C14" s="18"/>
      <c r="D14" s="18"/>
      <c r="E14" s="18"/>
      <c r="F14" s="18"/>
      <c r="G14" s="14">
        <v>2</v>
      </c>
      <c r="I14" s="14">
        <v>2</v>
      </c>
      <c r="J14" s="18"/>
      <c r="K14" s="18"/>
      <c r="L14" s="18"/>
      <c r="M14" s="18"/>
      <c r="N14" s="18"/>
      <c r="O14" s="14">
        <v>2</v>
      </c>
    </row>
    <row r="15">
      <c r="A15" s="14">
        <v>3</v>
      </c>
      <c r="B15" s="18"/>
      <c r="C15" s="18"/>
      <c r="D15" s="18"/>
      <c r="E15" s="18"/>
      <c r="F15" s="18"/>
      <c r="G15" s="14">
        <v>3</v>
      </c>
      <c r="I15" s="14">
        <v>3</v>
      </c>
      <c r="J15" s="18"/>
      <c r="K15" s="18"/>
      <c r="L15" s="18"/>
      <c r="M15" s="18"/>
      <c r="N15" s="18"/>
      <c r="O15" s="14">
        <v>3</v>
      </c>
    </row>
    <row r="16">
      <c r="A16" s="14">
        <v>4</v>
      </c>
      <c r="B16" s="18"/>
      <c r="C16" s="18"/>
      <c r="D16" s="18"/>
      <c r="E16" s="18"/>
      <c r="F16" s="18"/>
      <c r="G16" s="14">
        <v>4</v>
      </c>
      <c r="I16" s="14">
        <v>4</v>
      </c>
      <c r="J16" s="18"/>
      <c r="K16" s="18"/>
      <c r="L16" s="18"/>
      <c r="M16" s="18"/>
      <c r="N16" s="18"/>
      <c r="O16" s="14">
        <v>4</v>
      </c>
    </row>
    <row r="17">
      <c r="A17" s="14">
        <v>5</v>
      </c>
      <c r="B17" s="18"/>
      <c r="C17" s="18"/>
      <c r="D17" s="18"/>
      <c r="E17" s="18"/>
      <c r="F17" s="18"/>
      <c r="G17" s="14">
        <v>5</v>
      </c>
      <c r="I17" s="14">
        <v>5</v>
      </c>
      <c r="J17" s="18"/>
      <c r="K17" s="18"/>
      <c r="L17" s="18"/>
      <c r="M17" s="18"/>
      <c r="N17" s="18"/>
      <c r="O17" s="14">
        <v>5</v>
      </c>
    </row>
    <row r="19">
      <c r="A19" s="17" t="s">
        <v>331</v>
      </c>
      <c r="B19" s="14"/>
      <c r="C19" s="14"/>
      <c r="D19" s="14" t="s">
        <v>332</v>
      </c>
      <c r="E19" s="14"/>
      <c r="F19" s="14"/>
      <c r="G19" s="16" t="s">
        <v>333</v>
      </c>
      <c r="I19" s="17" t="s">
        <v>331</v>
      </c>
      <c r="J19" s="14"/>
      <c r="K19" s="14"/>
      <c r="L19" s="14" t="s">
        <v>332</v>
      </c>
      <c r="M19" s="14"/>
      <c r="N19" s="14"/>
      <c r="O19" s="16" t="s">
        <v>333</v>
      </c>
    </row>
    <row r="20">
      <c r="A20" s="14" t="str">
        <f>data!$E$5&amp;" "&amp;data!$B$5</f>
      </c>
      <c r="B20" s="14" t="str">
        <f>IF(UPPER(D21)="X",0,IF((LEN(SUBSTITUTE(SUBSTITUTE(SUBSTITUTE(B21," ",""),"0",""),"-",""))+LEN(SUBSTITUTE(SUBSTITUTE(SUBSTITUTE(C21," ",""),"0",""),"-","")))&gt;(LEN(SUBSTITUTE(SUBSTITUTE(SUBSTITUTE(E21," ",""),"0",""),"-",""))+LEN(SUBSTITUTE(SUBSTITUTE(SUBSTITUTE(F21," ",""),"0",""),"-",""))),1,0))+IF(UPPER(D22)="X",0,IF((LEN(SUBSTITUTE(SUBSTITUTE(SUBSTITUTE(B22," ",""),"0",""),"-",""))+LEN(SUBSTITUTE(SUBSTITUTE(SUBSTITUTE(C22," ",""),"0",""),"-","")))&gt;(LEN(SUBSTITUTE(SUBSTITUTE(SUBSTITUTE(E22," ",""),"0",""),"-",""))+LEN(SUBSTITUTE(SUBSTITUTE(SUBSTITUTE(F22," ",""),"0",""),"-",""))),1,0))+IF(UPPER(D23)="X",0,IF((LEN(SUBSTITUTE(SUBSTITUTE(SUBSTITUTE(B23," ",""),"0",""),"-",""))+LEN(SUBSTITUTE(SUBSTITUTE(SUBSTITUTE(C23," ",""),"0",""),"-","")))&gt;(LEN(SUBSTITUTE(SUBSTITUTE(SUBSTITUTE(E23," ",""),"0",""),"-",""))+LEN(SUBSTITUTE(SUBSTITUTE(SUBSTITUTE(F23," ",""),"0",""),"-",""))),1,0))+IF(UPPER(D24)="X",0,IF((LEN(SUBSTITUTE(SUBSTITUTE(SUBSTITUTE(B24," ",""),"0",""),"-",""))+LEN(SUBSTITUTE(SUBSTITUTE(SUBSTITUTE(C24," ",""),"0",""),"-","")))&gt;(LEN(SUBSTITUTE(SUBSTITUTE(SUBSTITUTE(E24," ",""),"0",""),"-",""))+LEN(SUBSTITUTE(SUBSTITUTE(SUBSTITUTE(F24," ",""),"0",""),"-",""))),1,0))+IF(UPPER(D25)="X",0,IF((LEN(SUBSTITUTE(SUBSTITUTE(SUBSTITUTE(B25," ",""),"0",""),"-",""))+LEN(SUBSTITUTE(SUBSTITUTE(SUBSTITUTE(C25," ",""),"0",""),"-","")))&gt;(LEN(SUBSTITUTE(SUBSTITUTE(SUBSTITUTE(E25," ",""),"0",""),"-",""))+LEN(SUBSTITUTE(SUBSTITUTE(SUBSTITUTE(F25," ",""),"0",""),"-",""))),1,0))</f>
      </c>
      <c r="C20" s="14" t="str">
        <f>LEN(SUBSTITUTE(SUBSTITUTE(SUBSTITUTE(B21," ",""),"0",""),"-",""))+LEN(SUBSTITUTE(SUBSTITUTE(SUBSTITUTE(C21," ",""),"0",""),"-",""))+LEN(SUBSTITUTE(SUBSTITUTE(SUBSTITUTE(B22," ",""),"0",""),"-",""))+LEN(SUBSTITUTE(SUBSTITUTE(SUBSTITUTE(C22," ",""),"0",""),"-",""))+LEN(SUBSTITUTE(SUBSTITUTE(SUBSTITUTE(B23," ",""),"0",""),"-",""))+LEN(SUBSTITUTE(SUBSTITUTE(SUBSTITUTE(C23," ",""),"0",""),"-",""))+LEN(SUBSTITUTE(SUBSTITUTE(SUBSTITUTE(B24," ",""),"0",""),"-",""))+LEN(SUBSTITUTE(SUBSTITUTE(SUBSTITUTE(C24," ",""),"0",""),"-",""))+LEN(SUBSTITUTE(SUBSTITUTE(SUBSTITUTE(B25," ",""),"0",""),"-",""))+LEN(SUBSTITUTE(SUBSTITUTE(SUBSTITUTE(C25," ",""),"0",""),"-",""))</f>
      </c>
      <c r="D20" s="18"/>
      <c r="E20" s="14" t="str">
        <f>LEN(SUBSTITUTE(SUBSTITUTE(SUBSTITUTE(E21," ",""),"0",""),"-",""))+LEN(SUBSTITUTE(SUBSTITUTE(SUBSTITUTE(F21," ",""),"0",""),"-",""))+LEN(SUBSTITUTE(SUBSTITUTE(SUBSTITUTE(E22," ",""),"0",""),"-",""))+LEN(SUBSTITUTE(SUBSTITUTE(SUBSTITUTE(F22," ",""),"0",""),"-",""))+LEN(SUBSTITUTE(SUBSTITUTE(SUBSTITUTE(E23," ",""),"0",""),"-",""))+LEN(SUBSTITUTE(SUBSTITUTE(SUBSTITUTE(F23," ",""),"0",""),"-",""))+LEN(SUBSTITUTE(SUBSTITUTE(SUBSTITUTE(E24," ",""),"0",""),"-",""))+LEN(SUBSTITUTE(SUBSTITUTE(SUBSTITUTE(F24," ",""),"0",""),"-",""))+LEN(SUBSTITUTE(SUBSTITUTE(SUBSTITUTE(E25," ",""),"0",""),"-",""))+LEN(SUBSTITUTE(SUBSTITUTE(SUBSTITUTE(F25," ",""),"0",""),"-",""))</f>
      </c>
      <c r="F20" s="14" t="str">
        <f>IF(UPPER(D21)="X",0,IF((LEN(SUBSTITUTE(SUBSTITUTE(SUBSTITUTE(E21," ",""),"0",""),"-",""))+LEN(SUBSTITUTE(SUBSTITUTE(SUBSTITUTE(F21," ",""),"0",""),"-","")))&gt;(LEN(SUBSTITUTE(SUBSTITUTE(SUBSTITUTE(B21," ",""),"0",""),"-",""))+LEN(SUBSTITUTE(SUBSTITUTE(SUBSTITUTE(C21," ",""),"0",""),"-",""))),1,0))+IF(UPPER(D22)="X",0,IF((LEN(SUBSTITUTE(SUBSTITUTE(SUBSTITUTE(E22," ",""),"0",""),"-",""))+LEN(SUBSTITUTE(SUBSTITUTE(SUBSTITUTE(F22," ",""),"0",""),"-","")))&gt;(LEN(SUBSTITUTE(SUBSTITUTE(SUBSTITUTE(B22," ",""),"0",""),"-",""))+LEN(SUBSTITUTE(SUBSTITUTE(SUBSTITUTE(C22," ",""),"0",""),"-",""))),1,0))+IF(UPPER(D23)="X",0,IF((LEN(SUBSTITUTE(SUBSTITUTE(SUBSTITUTE(E23," ",""),"0",""),"-",""))+LEN(SUBSTITUTE(SUBSTITUTE(SUBSTITUTE(F23," ",""),"0",""),"-","")))&gt;(LEN(SUBSTITUTE(SUBSTITUTE(SUBSTITUTE(B23," ",""),"0",""),"-",""))+LEN(SUBSTITUTE(SUBSTITUTE(SUBSTITUTE(C23," ",""),"0",""),"-",""))),1,0))+IF(UPPER(D24)="X",0,IF((LEN(SUBSTITUTE(SUBSTITUTE(SUBSTITUTE(E24," ",""),"0",""),"-",""))+LEN(SUBSTITUTE(SUBSTITUTE(SUBSTITUTE(F24," ",""),"0",""),"-","")))&gt;(LEN(SUBSTITUTE(SUBSTITUTE(SUBSTITUTE(B24," ",""),"0",""),"-",""))+LEN(SUBSTITUTE(SUBSTITUTE(SUBSTITUTE(C24," ",""),"0",""),"-",""))),1,0))+IF(UPPER(D25)="X",0,IF((LEN(SUBSTITUTE(SUBSTITUTE(SUBSTITUTE(E25," ",""),"0",""),"-",""))+LEN(SUBSTITUTE(SUBSTITUTE(SUBSTITUTE(F25," ",""),"0",""),"-","")))&gt;(LEN(SUBSTITUTE(SUBSTITUTE(SUBSTITUTE(B25," ",""),"0",""),"-",""))+LEN(SUBSTITUTE(SUBSTITUTE(SUBSTITUTE(C25," ",""),"0",""),"-",""))),1,0))</f>
      </c>
      <c r="G20" s="14" t="str">
        <f>data!$E$4&amp;" "&amp;data!$B$4</f>
      </c>
      <c r="I20" s="14" t="str">
        <f>data!$E$52&amp;" "&amp;data!$B$52</f>
      </c>
      <c r="J20" s="14" t="str">
        <f>IF(UPPER(L21)="X",0,IF((LEN(SUBSTITUTE(SUBSTITUTE(SUBSTITUTE(J21," ",""),"0",""),"-",""))+LEN(SUBSTITUTE(SUBSTITUTE(SUBSTITUTE(K21," ",""),"0",""),"-","")))&gt;(LEN(SUBSTITUTE(SUBSTITUTE(SUBSTITUTE(M21," ",""),"0",""),"-",""))+LEN(SUBSTITUTE(SUBSTITUTE(SUBSTITUTE(N21," ",""),"0",""),"-",""))),1,0))+IF(UPPER(L22)="X",0,IF((LEN(SUBSTITUTE(SUBSTITUTE(SUBSTITUTE(J22," ",""),"0",""),"-",""))+LEN(SUBSTITUTE(SUBSTITUTE(SUBSTITUTE(K22," ",""),"0",""),"-","")))&gt;(LEN(SUBSTITUTE(SUBSTITUTE(SUBSTITUTE(M22," ",""),"0",""),"-",""))+LEN(SUBSTITUTE(SUBSTITUTE(SUBSTITUTE(N22," ",""),"0",""),"-",""))),1,0))+IF(UPPER(L23)="X",0,IF((LEN(SUBSTITUTE(SUBSTITUTE(SUBSTITUTE(J23," ",""),"0",""),"-",""))+LEN(SUBSTITUTE(SUBSTITUTE(SUBSTITUTE(K23," ",""),"0",""),"-","")))&gt;(LEN(SUBSTITUTE(SUBSTITUTE(SUBSTITUTE(M23," ",""),"0",""),"-",""))+LEN(SUBSTITUTE(SUBSTITUTE(SUBSTITUTE(N23," ",""),"0",""),"-",""))),1,0))+IF(UPPER(L24)="X",0,IF((LEN(SUBSTITUTE(SUBSTITUTE(SUBSTITUTE(J24," ",""),"0",""),"-",""))+LEN(SUBSTITUTE(SUBSTITUTE(SUBSTITUTE(K24," ",""),"0",""),"-","")))&gt;(LEN(SUBSTITUTE(SUBSTITUTE(SUBSTITUTE(M24," ",""),"0",""),"-",""))+LEN(SUBSTITUTE(SUBSTITUTE(SUBSTITUTE(N24," ",""),"0",""),"-",""))),1,0))+IF(UPPER(L25)="X",0,IF((LEN(SUBSTITUTE(SUBSTITUTE(SUBSTITUTE(J25," ",""),"0",""),"-",""))+LEN(SUBSTITUTE(SUBSTITUTE(SUBSTITUTE(K25," ",""),"0",""),"-","")))&gt;(LEN(SUBSTITUTE(SUBSTITUTE(SUBSTITUTE(M25," ",""),"0",""),"-",""))+LEN(SUBSTITUTE(SUBSTITUTE(SUBSTITUTE(N25," ",""),"0",""),"-",""))),1,0))</f>
      </c>
      <c r="K20" s="14" t="str">
        <f>LEN(SUBSTITUTE(SUBSTITUTE(SUBSTITUTE(J21," ",""),"0",""),"-",""))+LEN(SUBSTITUTE(SUBSTITUTE(SUBSTITUTE(K21," ",""),"0",""),"-",""))+LEN(SUBSTITUTE(SUBSTITUTE(SUBSTITUTE(J22," ",""),"0",""),"-",""))+LEN(SUBSTITUTE(SUBSTITUTE(SUBSTITUTE(K22," ",""),"0",""),"-",""))+LEN(SUBSTITUTE(SUBSTITUTE(SUBSTITUTE(J23," ",""),"0",""),"-",""))+LEN(SUBSTITUTE(SUBSTITUTE(SUBSTITUTE(K23," ",""),"0",""),"-",""))+LEN(SUBSTITUTE(SUBSTITUTE(SUBSTITUTE(J24," ",""),"0",""),"-",""))+LEN(SUBSTITUTE(SUBSTITUTE(SUBSTITUTE(K24," ",""),"0",""),"-",""))+LEN(SUBSTITUTE(SUBSTITUTE(SUBSTITUTE(J25," ",""),"0",""),"-",""))+LEN(SUBSTITUTE(SUBSTITUTE(SUBSTITUTE(K25," ",""),"0",""),"-",""))</f>
      </c>
      <c r="L20" s="18"/>
      <c r="M20" s="14" t="str">
        <f>LEN(SUBSTITUTE(SUBSTITUTE(SUBSTITUTE(M21," ",""),"0",""),"-",""))+LEN(SUBSTITUTE(SUBSTITUTE(SUBSTITUTE(N21," ",""),"0",""),"-",""))+LEN(SUBSTITUTE(SUBSTITUTE(SUBSTITUTE(M22," ",""),"0",""),"-",""))+LEN(SUBSTITUTE(SUBSTITUTE(SUBSTITUTE(N22," ",""),"0",""),"-",""))+LEN(SUBSTITUTE(SUBSTITUTE(SUBSTITUTE(M23," ",""),"0",""),"-",""))+LEN(SUBSTITUTE(SUBSTITUTE(SUBSTITUTE(N23," ",""),"0",""),"-",""))+LEN(SUBSTITUTE(SUBSTITUTE(SUBSTITUTE(M24," ",""),"0",""),"-",""))+LEN(SUBSTITUTE(SUBSTITUTE(SUBSTITUTE(N24," ",""),"0",""),"-",""))+LEN(SUBSTITUTE(SUBSTITUTE(SUBSTITUTE(M25," ",""),"0",""),"-",""))+LEN(SUBSTITUTE(SUBSTITUTE(SUBSTITUTE(N25," ",""),"0",""),"-",""))</f>
      </c>
      <c r="N20" s="14" t="str">
        <f>IF(UPPER(L21)="X",0,IF((LEN(SUBSTITUTE(SUBSTITUTE(SUBSTITUTE(M21," ",""),"0",""),"-",""))+LEN(SUBSTITUTE(SUBSTITUTE(SUBSTITUTE(N21," ",""),"0",""),"-","")))&gt;(LEN(SUBSTITUTE(SUBSTITUTE(SUBSTITUTE(J21," ",""),"0",""),"-",""))+LEN(SUBSTITUTE(SUBSTITUTE(SUBSTITUTE(K21," ",""),"0",""),"-",""))),1,0))+IF(UPPER(L22)="X",0,IF((LEN(SUBSTITUTE(SUBSTITUTE(SUBSTITUTE(M22," ",""),"0",""),"-",""))+LEN(SUBSTITUTE(SUBSTITUTE(SUBSTITUTE(N22," ",""),"0",""),"-","")))&gt;(LEN(SUBSTITUTE(SUBSTITUTE(SUBSTITUTE(J22," ",""),"0",""),"-",""))+LEN(SUBSTITUTE(SUBSTITUTE(SUBSTITUTE(K22," ",""),"0",""),"-",""))),1,0))+IF(UPPER(L23)="X",0,IF((LEN(SUBSTITUTE(SUBSTITUTE(SUBSTITUTE(M23," ",""),"0",""),"-",""))+LEN(SUBSTITUTE(SUBSTITUTE(SUBSTITUTE(N23," ",""),"0",""),"-","")))&gt;(LEN(SUBSTITUTE(SUBSTITUTE(SUBSTITUTE(J23," ",""),"0",""),"-",""))+LEN(SUBSTITUTE(SUBSTITUTE(SUBSTITUTE(K23," ",""),"0",""),"-",""))),1,0))+IF(UPPER(L24)="X",0,IF((LEN(SUBSTITUTE(SUBSTITUTE(SUBSTITUTE(M24," ",""),"0",""),"-",""))+LEN(SUBSTITUTE(SUBSTITUTE(SUBSTITUTE(N24," ",""),"0",""),"-","")))&gt;(LEN(SUBSTITUTE(SUBSTITUTE(SUBSTITUTE(J24," ",""),"0",""),"-",""))+LEN(SUBSTITUTE(SUBSTITUTE(SUBSTITUTE(K24," ",""),"0",""),"-",""))),1,0))+IF(UPPER(L25)="X",0,IF((LEN(SUBSTITUTE(SUBSTITUTE(SUBSTITUTE(M25," ",""),"0",""),"-",""))+LEN(SUBSTITUTE(SUBSTITUTE(SUBSTITUTE(N25," ",""),"0",""),"-","")))&gt;(LEN(SUBSTITUTE(SUBSTITUTE(SUBSTITUTE(J25," ",""),"0",""),"-",""))+LEN(SUBSTITUTE(SUBSTITUTE(SUBSTITUTE(K25," ",""),"0",""),"-",""))),1,0))</f>
      </c>
      <c r="O20" s="14" t="str">
        <f>data!$E$51&amp;" "&amp;data!$B$51</f>
      </c>
    </row>
    <row r="21">
      <c r="A21" s="14">
        <v>1</v>
      </c>
      <c r="B21" s="18"/>
      <c r="C21" s="18"/>
      <c r="D21" s="18"/>
      <c r="E21" s="18"/>
      <c r="F21" s="18"/>
      <c r="G21" s="14">
        <v>1</v>
      </c>
      <c r="I21" s="14">
        <v>1</v>
      </c>
      <c r="J21" s="18"/>
      <c r="K21" s="18"/>
      <c r="L21" s="18"/>
      <c r="M21" s="18"/>
      <c r="N21" s="18"/>
      <c r="O21" s="14">
        <v>1</v>
      </c>
    </row>
    <row r="22">
      <c r="A22" s="14">
        <v>2</v>
      </c>
      <c r="B22" s="18"/>
      <c r="C22" s="18"/>
      <c r="D22" s="18"/>
      <c r="E22" s="18"/>
      <c r="F22" s="18"/>
      <c r="G22" s="14">
        <v>2</v>
      </c>
      <c r="I22" s="14">
        <v>2</v>
      </c>
      <c r="J22" s="18"/>
      <c r="K22" s="18"/>
      <c r="L22" s="18"/>
      <c r="M22" s="18"/>
      <c r="N22" s="18"/>
      <c r="O22" s="14">
        <v>2</v>
      </c>
    </row>
    <row r="23">
      <c r="A23" s="14">
        <v>3</v>
      </c>
      <c r="B23" s="18"/>
      <c r="C23" s="18"/>
      <c r="D23" s="18"/>
      <c r="E23" s="18"/>
      <c r="F23" s="18"/>
      <c r="G23" s="14">
        <v>3</v>
      </c>
      <c r="I23" s="14">
        <v>3</v>
      </c>
      <c r="J23" s="18"/>
      <c r="K23" s="18"/>
      <c r="L23" s="18"/>
      <c r="M23" s="18"/>
      <c r="N23" s="18"/>
      <c r="O23" s="14">
        <v>3</v>
      </c>
    </row>
    <row r="24">
      <c r="A24" s="14">
        <v>4</v>
      </c>
      <c r="B24" s="18"/>
      <c r="C24" s="18"/>
      <c r="D24" s="18"/>
      <c r="E24" s="18"/>
      <c r="F24" s="18"/>
      <c r="G24" s="14">
        <v>4</v>
      </c>
      <c r="I24" s="14">
        <v>4</v>
      </c>
      <c r="J24" s="18"/>
      <c r="K24" s="18"/>
      <c r="L24" s="18"/>
      <c r="M24" s="18"/>
      <c r="N24" s="18"/>
      <c r="O24" s="14">
        <v>4</v>
      </c>
    </row>
    <row r="25">
      <c r="A25" s="14">
        <v>5</v>
      </c>
      <c r="B25" s="18"/>
      <c r="C25" s="18"/>
      <c r="D25" s="18"/>
      <c r="E25" s="18"/>
      <c r="F25" s="18"/>
      <c r="G25" s="14">
        <v>5</v>
      </c>
      <c r="I25" s="14">
        <v>5</v>
      </c>
      <c r="J25" s="18"/>
      <c r="K25" s="18"/>
      <c r="L25" s="18"/>
      <c r="M25" s="18"/>
      <c r="N25" s="18"/>
      <c r="O25" s="14">
        <v>5</v>
      </c>
    </row>
    <row r="28">
      <c r="A28" s="13" t="s">
        <v>334</v>
      </c>
      <c r="B28" s="13" t="s">
        <v>335</v>
      </c>
      <c r="C28" s="13" t="s">
        <v>336</v>
      </c>
      <c r="D28" s="13" t="s">
        <v>337</v>
      </c>
      <c r="E28" s="13"/>
      <c r="F28" s="13"/>
      <c r="G28" s="13" t="s">
        <v>338</v>
      </c>
      <c r="I28" s="13" t="s">
        <v>334</v>
      </c>
      <c r="J28" s="13" t="s">
        <v>335</v>
      </c>
      <c r="K28" s="13" t="s">
        <v>336</v>
      </c>
      <c r="L28" s="13" t="s">
        <v>337</v>
      </c>
      <c r="M28" s="13"/>
      <c r="N28" s="13"/>
      <c r="O28" s="13" t="s">
        <v>338</v>
      </c>
    </row>
    <row r="29">
      <c r="A29" s="14" t="str">
        <f>data!$E$3&amp;" "&amp;data!$B$3</f>
      </c>
      <c r="B29" s="14" t="str">
        <f>IF(OR(COUNTA(B5:C9,E5:F9)&gt;0,D5="X",D5="x",D6="X",D6="x",D7="X",D7="x",D8="X",D8="x",D9="X",D9="x",OR(D4="X",D4="x")),IF(OR(OR(D4="X",D4="x"),AND(B4=F4,C4=E4)),0,IF(OR(F4&gt;B4,AND(F4=B4,E4&gt;C4)),1,0)),0)+IF(OR(COUNTA(B13:C17,E13:F17)&gt;0,D13="X",D13="x",D14="X",D14="x",D15="X",D15="x",D16="X",D16="x",D17="X",D17="x",OR(D12="X",D12="x")),IF(OR(OR(D12="X",D12="x"),AND(B12=F12,C12=E12)),0,IF(OR(F12&gt;B12,AND(F12=B12,E12&gt;C12)),1,0)),0)</f>
      </c>
      <c r="C29" s="14" t="str">
        <f>IF(OR(COUNTA(B5:C9,E5:F9)&gt;0,D5="X",D5="x",D6="X",D6="x",D7="X",D7="x",D8="X",D8="x",D9="X",D9="x",OR(D4="X",D4="x")),IF(OR(OR(D4="X",D4="x"),AND(B4=F4,C4=E4)),0,IF(OR(F4&lt;B4,AND(F4=B4,E4&lt;C4)),1,0)),0)+IF(OR(COUNTA(B13:C17,E13:F17)&gt;0,D13="X",D13="x",D14="X",D14="x",D15="X",D15="x",D16="X",D16="x",D17="X",D17="x",OR(D12="X",D12="x")),IF(OR(OR(D12="X",D12="x"),AND(B12=F12,C12=E12)),0,IF(OR(F12&lt;B12,AND(F12=B12,E12&lt;C12)),1,0)),0)</f>
      </c>
      <c r="D29" s="14" t="str">
        <f>IF(OR(COUNTA(B5:C9,E5:F9)&gt;0,D5="X",D5="x",D6="X",D6="x",D7="X",D7="x",D8="X",D8="x",D9="X",D9="x",OR(D4="X",D4="x")),IF(OR(OR(D4="X",D4="x"),AND(B4=F4,C4=E4)),1,0),0)+IF(OR(COUNTA(B13:C17,E13:F17)&gt;0,D13="X",D13="x",D14="X",D14="x",D15="X",D15="x",D16="X",D16="x",D17="X",D17="x",OR(D12="X",D12="x")),IF(OR(OR(D12="X",D12="x"),AND(B12=F12,C12=E12)),1,0),0)</f>
      </c>
      <c r="G29" s="18" t="str">
        <f>RANK(U29,$U$29:$U$31)+COUNTIF($U$28:U28,U29)</f>
      </c>
      <c r="I29" s="14" t="str">
        <f>data!$E$50&amp;" "&amp;data!$B$50</f>
      </c>
      <c r="J29" s="14" t="str">
        <f>IF(OR(COUNTA(J5:K9,M5:N9)&gt;0,L5="X",L5="x",L6="X",L6="x",L7="X",L7="x",L8="X",L8="x",L9="X",L9="x",OR(L4="X",L4="x")),IF(OR(OR(L4="X",L4="x"),AND(J4=N4,K4=M4)),0,IF(OR(N4&gt;J4,AND(N4=J4,M4&gt;K4)),1,0)),0)+IF(OR(COUNTA(J13:K17,M13:N17)&gt;0,L13="X",L13="x",L14="X",L14="x",L15="X",L15="x",L16="X",L16="x",L17="X",L17="x",OR(L12="X",L12="x")),IF(OR(OR(L12="X",L12="x"),AND(J12=N12,K12=M12)),0,IF(OR(N12&gt;J12,AND(N12=J12,M12&gt;K12)),1,0)),0)</f>
      </c>
      <c r="K29" s="14" t="str">
        <f>IF(OR(COUNTA(J5:K9,M5:N9)&gt;0,L5="X",L5="x",L6="X",L6="x",L7="X",L7="x",L8="X",L8="x",L9="X",L9="x",OR(L4="X",L4="x")),IF(OR(OR(L4="X",L4="x"),AND(J4=N4,K4=M4)),0,IF(OR(N4&lt;J4,AND(N4=J4,M4&lt;K4)),1,0)),0)+IF(OR(COUNTA(J13:K17,M13:N17)&gt;0,L13="X",L13="x",L14="X",L14="x",L15="X",L15="x",L16="X",L16="x",L17="X",L17="x",OR(L12="X",L12="x")),IF(OR(OR(L12="X",L12="x"),AND(J12=N12,K12=M12)),0,IF(OR(N12&lt;J12,AND(N12=J12,M12&lt;K12)),1,0)),0)</f>
      </c>
      <c r="L29" s="14" t="str">
        <f>IF(OR(COUNTA(J5:K9,M5:N9)&gt;0,L5="X",L5="x",L6="X",L6="x",L7="X",L7="x",L8="X",L8="x",L9="X",L9="x",OR(L4="X",L4="x")),IF(OR(OR(L4="X",L4="x"),AND(J4=N4,K4=M4)),1,0),0)+IF(OR(COUNTA(J13:K17,M13:N17)&gt;0,L13="X",L13="x",L14="X",L14="x",L15="X",L15="x",L16="X",L16="x",L17="X",L17="x",OR(L12="X",L12="x")),IF(OR(OR(L12="X",L12="x"),AND(J12=N12,K12=M12)),1,0),0)</f>
      </c>
      <c r="O29" s="18" t="str">
        <f>RANK(AC29,$AC$29:$AC$31)+COUNTIF($AC$28:AC28,AC29)</f>
      </c>
      <c r="U29" t="str">
        <f>(B29*1000000000)-(C29*10000000)+(D29*100000)+(B34*1000)-(C34*100)+(D34*10)+(E34*1)-(F34*0.01)</f>
      </c>
      <c r="AC29" t="str">
        <f>(J29*1000000000)-(K29*10000000)+(L29*100000)+(J34*1000)-(K34*100)+(L34*10)+(M34*1)-(N34*0.01)</f>
      </c>
    </row>
    <row r="30">
      <c r="A30" s="14" t="str">
        <f>data!$E$4&amp;" "&amp;data!$B$4</f>
      </c>
      <c r="B30" s="14" t="str">
        <f>IF(OR(COUNTA(B5:C9,E5:F9)&gt;0,D5="X",D5="x",D6="X",D6="x",D7="X",D7="x",D8="X",D8="x",D9="X",D9="x",OR(D4="X",D4="x")),IF(OR(OR(D4="X",D4="x"),AND(B4=F4,C4=E4)),0,IF(OR(B4&gt;F4,AND(B4=F4,C4&gt;E4)),1,0)),0)+IF(OR(COUNTA(B21:C25,E21:F25)&gt;0,D21="X",D21="x",D22="X",D22="x",D23="X",D23="x",D24="X",D24="x",D25="X",D25="x",OR(D20="X",D20="x")),IF(OR(OR(D20="X",D20="x"),AND(B20=F20,C20=E20)),0,IF(OR(F20&gt;B20,AND(F20=B20,E20&gt;C20)),1,0)),0)</f>
      </c>
      <c r="C30" s="14" t="str">
        <f>IF(OR(COUNTA(B5:C9,E5:F9)&gt;0,D5="X",D5="x",D6="X",D6="x",D7="X",D7="x",D8="X",D8="x",D9="X",D9="x",OR(D4="X",D4="x")),IF(OR(OR(D4="X",D4="x"),AND(B4=F4,C4=E4)),0,IF(OR(B4&lt;F4,AND(B4=F4,C4&lt;E4)),1,0)),0)+IF(OR(COUNTA(B21:C25,E21:F25)&gt;0,D21="X",D21="x",D22="X",D22="x",D23="X",D23="x",D24="X",D24="x",D25="X",D25="x",OR(D20="X",D20="x")),IF(OR(OR(D20="X",D20="x"),AND(B20=F20,C20=E20)),0,IF(OR(F20&lt;B20,AND(F20=B20,E20&lt;C20)),1,0)),0)</f>
      </c>
      <c r="D30" s="14" t="str">
        <f>IF(OR(COUNTA(B5:C9,E5:F9)&gt;0,D5="X",D5="x",D6="X",D6="x",D7="X",D7="x",D8="X",D8="x",D9="X",D9="x",OR(D4="X",D4="x")),IF(OR(OR(D4="X",D4="x"),AND(B4=F4,C4=E4)),1,0),0)+IF(OR(COUNTA(B21:C25,E21:F25)&gt;0,D21="X",D21="x",D22="X",D22="x",D23="X",D23="x",D24="X",D24="x",D25="X",D25="x",OR(D20="X",D20="x")),IF(OR(OR(D20="X",D20="x"),AND(B20=F20,C20=E20)),1,0),0)</f>
      </c>
      <c r="G30" s="18" t="str">
        <f>RANK(U30,$U$29:$U$31)+COUNTIF($U$28:U29,U30)</f>
      </c>
      <c r="I30" s="14" t="str">
        <f>data!$E$51&amp;" "&amp;data!$B$51</f>
      </c>
      <c r="J30" s="14" t="str">
        <f>IF(OR(COUNTA(J5:K9,M5:N9)&gt;0,L5="X",L5="x",L6="X",L6="x",L7="X",L7="x",L8="X",L8="x",L9="X",L9="x",OR(L4="X",L4="x")),IF(OR(OR(L4="X",L4="x"),AND(J4=N4,K4=M4)),0,IF(OR(J4&gt;N4,AND(J4=N4,K4&gt;M4)),1,0)),0)+IF(OR(COUNTA(J21:K25,M21:N25)&gt;0,L21="X",L21="x",L22="X",L22="x",L23="X",L23="x",L24="X",L24="x",L25="X",L25="x",OR(L20="X",L20="x")),IF(OR(OR(L20="X",L20="x"),AND(J20=N20,K20=M20)),0,IF(OR(N20&gt;J20,AND(N20=J20,M20&gt;K20)),1,0)),0)</f>
      </c>
      <c r="K30" s="14" t="str">
        <f>IF(OR(COUNTA(J5:K9,M5:N9)&gt;0,L5="X",L5="x",L6="X",L6="x",L7="X",L7="x",L8="X",L8="x",L9="X",L9="x",OR(L4="X",L4="x")),IF(OR(OR(L4="X",L4="x"),AND(J4=N4,K4=M4)),0,IF(OR(J4&lt;N4,AND(J4=N4,K4&lt;M4)),1,0)),0)+IF(OR(COUNTA(J21:K25,M21:N25)&gt;0,L21="X",L21="x",L22="X",L22="x",L23="X",L23="x",L24="X",L24="x",L25="X",L25="x",OR(L20="X",L20="x")),IF(OR(OR(L20="X",L20="x"),AND(J20=N20,K20=M20)),0,IF(OR(N20&lt;J20,AND(N20=J20,M20&lt;K20)),1,0)),0)</f>
      </c>
      <c r="L30" s="14" t="str">
        <f>IF(OR(COUNTA(J5:K9,M5:N9)&gt;0,L5="X",L5="x",L6="X",L6="x",L7="X",L7="x",L8="X",L8="x",L9="X",L9="x",OR(L4="X",L4="x")),IF(OR(OR(L4="X",L4="x"),AND(J4=N4,K4=M4)),1,0),0)+IF(OR(COUNTA(J21:K25,M21:N25)&gt;0,L21="X",L21="x",L22="X",L22="x",L23="X",L23="x",L24="X",L24="x",L25="X",L25="x",OR(L20="X",L20="x")),IF(OR(OR(L20="X",L20="x"),AND(J20=N20,K20=M20)),1,0),0)</f>
      </c>
      <c r="O30" s="18" t="str">
        <f>RANK(AC30,$AC$29:$AC$31)+COUNTIF($AC$28:AC29,AC30)</f>
      </c>
      <c r="U30" t="str">
        <f>(B30*1000000000)-(C30*10000000)+(D30*100000)+(B35*1000)-(C35*100)+(D35*10)+(E35*1)-(F35*0.01)</f>
      </c>
      <c r="AC30" t="str">
        <f>(J30*1000000000)-(K30*10000000)+(L30*100000)+(J35*1000)-(K35*100)+(L35*10)+(M35*1)-(N35*0.01)</f>
      </c>
    </row>
    <row r="31">
      <c r="A31" s="14" t="str">
        <f>data!$E$5&amp;" "&amp;data!$B$5</f>
      </c>
      <c r="B31" s="14" t="str">
        <f>IF(OR(COUNTA(B13:C17,E13:F17)&gt;0,D13="X",D13="x",D14="X",D14="x",D15="X",D15="x",D16="X",D16="x",D17="X",D17="x",OR(D12="X",D12="x")),IF(OR(OR(D12="X",D12="x"),AND(B12=F12,C12=E12)),0,IF(OR(B12&gt;F12,AND(B12=F12,C12&gt;E12)),1,0)),0)+IF(OR(COUNTA(B21:C25,E21:F25)&gt;0,D21="X",D21="x",D22="X",D22="x",D23="X",D23="x",D24="X",D24="x",D25="X",D25="x",OR(D20="X",D20="x")),IF(OR(OR(D20="X",D20="x"),AND(B20=F20,C20=E20)),0,IF(OR(B20&gt;F20,AND(B20=F20,C20&gt;E20)),1,0)),0)</f>
      </c>
      <c r="C31" s="14" t="str">
        <f>IF(OR(COUNTA(B13:C17,E13:F17)&gt;0,D13="X",D13="x",D14="X",D14="x",D15="X",D15="x",D16="X",D16="x",D17="X",D17="x",OR(D12="X",D12="x")),IF(OR(OR(D12="X",D12="x"),AND(B12=F12,C12=E12)),0,IF(OR(B12&lt;F12,AND(B12=F12,C12&lt;E12)),1,0)),0)+IF(OR(COUNTA(B21:C25,E21:F25)&gt;0,D21="X",D21="x",D22="X",D22="x",D23="X",D23="x",D24="X",D24="x",D25="X",D25="x",OR(D20="X",D20="x")),IF(OR(OR(D20="X",D20="x"),AND(B20=F20,C20=E20)),0,IF(OR(B20&lt;F20,AND(B20=F20,C20&lt;E20)),1,0)),0)</f>
      </c>
      <c r="D31" s="14" t="str">
        <f>IF(OR(COUNTA(B13:C17,E13:F17)&gt;0,D13="X",D13="x",D14="X",D14="x",D15="X",D15="x",D16="X",D16="x",D17="X",D17="x",OR(D12="X",D12="x")),IF(OR(OR(D12="X",D12="x"),AND(B12=F12,C12=E12)),1,0),0)+IF(OR(COUNTA(B21:C25,E21:F25)&gt;0,D21="X",D21="x",D22="X",D22="x",D23="X",D23="x",D24="X",D24="x",D25="X",D25="x",OR(D20="X",D20="x")),IF(OR(OR(D20="X",D20="x"),AND(B20=F20,C20=E20)),1,0),0)</f>
      </c>
      <c r="G31" s="18" t="str">
        <f>RANK(U31,$U$29:$U$31)+COUNTIF($U$28:U30,U31)</f>
      </c>
      <c r="I31" s="14" t="str">
        <f>data!$E$52&amp;" "&amp;data!$B$52</f>
      </c>
      <c r="J31" s="14" t="str">
        <f>IF(OR(COUNTA(J13:K17,M13:N17)&gt;0,L13="X",L13="x",L14="X",L14="x",L15="X",L15="x",L16="X",L16="x",L17="X",L17="x",OR(L12="X",L12="x")),IF(OR(OR(L12="X",L12="x"),AND(J12=N12,K12=M12)),0,IF(OR(J12&gt;N12,AND(J12=N12,K12&gt;M12)),1,0)),0)+IF(OR(COUNTA(J21:K25,M21:N25)&gt;0,L21="X",L21="x",L22="X",L22="x",L23="X",L23="x",L24="X",L24="x",L25="X",L25="x",OR(L20="X",L20="x")),IF(OR(OR(L20="X",L20="x"),AND(J20=N20,K20=M20)),0,IF(OR(J20&gt;N20,AND(J20=N20,K20&gt;M20)),1,0)),0)</f>
      </c>
      <c r="K31" s="14" t="str">
        <f>IF(OR(COUNTA(J13:K17,M13:N17)&gt;0,L13="X",L13="x",L14="X",L14="x",L15="X",L15="x",L16="X",L16="x",L17="X",L17="x",OR(L12="X",L12="x")),IF(OR(OR(L12="X",L12="x"),AND(J12=N12,K12=M12)),0,IF(OR(J12&lt;N12,AND(J12=N12,K12&lt;M12)),1,0)),0)+IF(OR(COUNTA(J21:K25,M21:N25)&gt;0,L21="X",L21="x",L22="X",L22="x",L23="X",L23="x",L24="X",L24="x",L25="X",L25="x",OR(L20="X",L20="x")),IF(OR(OR(L20="X",L20="x"),AND(J20=N20,K20=M20)),0,IF(OR(J20&lt;N20,AND(J20=N20,K20&lt;M20)),1,0)),0)</f>
      </c>
      <c r="L31" s="14" t="str">
        <f>IF(OR(COUNTA(J13:K17,M13:N17)&gt;0,L13="X",L13="x",L14="X",L14="x",L15="X",L15="x",L16="X",L16="x",L17="X",L17="x",OR(L12="X",L12="x")),IF(OR(OR(L12="X",L12="x"),AND(J12=N12,K12=M12)),1,0),0)+IF(OR(COUNTA(J21:K25,M21:N25)&gt;0,L21="X",L21="x",L22="X",L22="x",L23="X",L23="x",L24="X",L24="x",L25="X",L25="x",OR(L20="X",L20="x")),IF(OR(OR(L20="X",L20="x"),AND(J20=N20,K20=M20)),1,0),0)</f>
      </c>
      <c r="O31" s="18" t="str">
        <f>RANK(AC31,$AC$29:$AC$31)+COUNTIF($AC$28:AC30,AC31)</f>
      </c>
      <c r="U31" t="str">
        <f>(B31*1000000000)-(C31*10000000)+(D31*100000)+(B36*1000)-(C36*100)+(D36*10)+(E36*1)-(F36*0.01)</f>
      </c>
      <c r="AC31" t="str">
        <f>(J31*1000000000)-(K31*10000000)+(L31*100000)+(J36*1000)-(K36*100)+(L36*10)+(M36*1)-(N36*0.01)</f>
      </c>
    </row>
    <row r="33">
      <c r="A33" s="13"/>
      <c r="B33" s="13" t="s">
        <v>339</v>
      </c>
      <c r="C33" s="13" t="s">
        <v>340</v>
      </c>
      <c r="D33" s="13" t="s">
        <v>341</v>
      </c>
      <c r="E33" s="13" t="s">
        <v>342</v>
      </c>
      <c r="F33" s="13" t="s">
        <v>343</v>
      </c>
      <c r="I33" s="13"/>
      <c r="J33" s="13" t="s">
        <v>339</v>
      </c>
      <c r="K33" s="13" t="s">
        <v>340</v>
      </c>
      <c r="L33" s="13" t="s">
        <v>341</v>
      </c>
      <c r="M33" s="13" t="s">
        <v>342</v>
      </c>
      <c r="N33" s="13" t="s">
        <v>343</v>
      </c>
    </row>
    <row r="34">
      <c r="A34" s="14" t="str">
        <f>data!$E$3&amp;" "&amp;data!$B$3</f>
      </c>
      <c r="B34" s="14" t="str">
        <f>IF(OR(COUNTA(B5:C9,E5:F9)&gt;0,OR(D4="X",D4="x"),UPPER(D5)="X",UPPER(D6)="X",UPPER(D7)="X",UPPER(D8)="X",UPPER(D9)="X"),F4,0)+IF(OR(COUNTA(B13:C17,E13:F17)&gt;0,OR(D12="X",D12="x"),UPPER(D13)="X",UPPER(D14)="X",UPPER(D15)="X",UPPER(D16)="X",UPPER(D17)="X"),F12,0)</f>
      </c>
      <c r="C34" s="14" t="str">
        <f>IF(OR(COUNTA(B5:C9,E5:F9)&gt;0,OR(D4="X",D4="x"),UPPER(D5)="X",UPPER(D6)="X",UPPER(D7)="X",UPPER(D8)="X",UPPER(D9)="X"),B4,0)+IF(OR(COUNTA(B13:C17,E13:F17)&gt;0,OR(D12="X",D12="x"),UPPER(D13)="X",UPPER(D14)="X",UPPER(D15)="X",UPPER(D16)="X",UPPER(D17)="X"),B12,0)</f>
      </c>
      <c r="D34" s="14" t="str">
        <f>IF(OR(COUNTA(B5:C9,E5:F9)&gt;0,OR(D4="X",D4="x"),UPPER(D5)="X",UPPER(D6)="X",UPPER(D7)="X",UPPER(D8)="X",UPPER(D9)="X"),(IF(OR(D5="X",D5="x",AND(COUNTA(B5,C5,E5,F5)&gt;0,(LEN(SUBSTITUTE(SUBSTITUTE(SUBSTITUTE(B5," ",""),"0",""),"-",""))+LEN(SUBSTITUTE(SUBSTITUTE(SUBSTITUTE(C5," ",""),"0",""),"-","")))=(LEN(SUBSTITUTE(SUBSTITUTE(SUBSTITUTE(E5," ",""),"0",""),"-",""))+LEN(SUBSTITUTE(SUBSTITUTE(SUBSTITUTE(F5," ",""),"0",""),"-",""))))),1,0)+IF(OR(D6="X",D6="x",AND(COUNTA(B6,C6,E6,F6)&gt;0,(LEN(SUBSTITUTE(SUBSTITUTE(SUBSTITUTE(B6," ",""),"0",""),"-",""))+LEN(SUBSTITUTE(SUBSTITUTE(SUBSTITUTE(C6," ",""),"0",""),"-","")))=(LEN(SUBSTITUTE(SUBSTITUTE(SUBSTITUTE(E6," ",""),"0",""),"-",""))+LEN(SUBSTITUTE(SUBSTITUTE(SUBSTITUTE(F6," ",""),"0",""),"-",""))))),1,0)+IF(OR(D7="X",D7="x",AND(COUNTA(B7,C7,E7,F7)&gt;0,(LEN(SUBSTITUTE(SUBSTITUTE(SUBSTITUTE(B7," ",""),"0",""),"-",""))+LEN(SUBSTITUTE(SUBSTITUTE(SUBSTITUTE(C7," ",""),"0",""),"-","")))=(LEN(SUBSTITUTE(SUBSTITUTE(SUBSTITUTE(E7," ",""),"0",""),"-",""))+LEN(SUBSTITUTE(SUBSTITUTE(SUBSTITUTE(F7," ",""),"0",""),"-",""))))),1,0)+IF(OR(D8="X",D8="x",AND(COUNTA(B8,C8,E8,F8)&gt;0,(LEN(SUBSTITUTE(SUBSTITUTE(SUBSTITUTE(B8," ",""),"0",""),"-",""))+LEN(SUBSTITUTE(SUBSTITUTE(SUBSTITUTE(C8," ",""),"0",""),"-","")))=(LEN(SUBSTITUTE(SUBSTITUTE(SUBSTITUTE(E8," ",""),"0",""),"-",""))+LEN(SUBSTITUTE(SUBSTITUTE(SUBSTITUTE(F8," ",""),"0",""),"-",""))))),1,0)+IF(OR(D9="X",D9="x",AND(COUNTA(B9,C9,E9,F9)&gt;0,(LEN(SUBSTITUTE(SUBSTITUTE(SUBSTITUTE(B9," ",""),"0",""),"-",""))+LEN(SUBSTITUTE(SUBSTITUTE(SUBSTITUTE(C9," ",""),"0",""),"-","")))=(LEN(SUBSTITUTE(SUBSTITUTE(SUBSTITUTE(E9," ",""),"0",""),"-",""))+LEN(SUBSTITUTE(SUBSTITUTE(SUBSTITUTE(F9," ",""),"0",""),"-",""))))),1,0)),0)+IF(OR(COUNTA(B13:C17,E13:F17)&gt;0,OR(D12="X",D12="x"),UPPER(D13)="X",UPPER(D14)="X",UPPER(D15)="X",UPPER(D16)="X",UPPER(D17)="X"),(IF(OR(D13="X",D13="x",AND(COUNTA(B13,C13,E13,F13)&gt;0,(LEN(SUBSTITUTE(SUBSTITUTE(SUBSTITUTE(B13," ",""),"0",""),"-",""))+LEN(SUBSTITUTE(SUBSTITUTE(SUBSTITUTE(C13," ",""),"0",""),"-","")))=(LEN(SUBSTITUTE(SUBSTITUTE(SUBSTITUTE(E13," ",""),"0",""),"-",""))+LEN(SUBSTITUTE(SUBSTITUTE(SUBSTITUTE(F13," ",""),"0",""),"-",""))))),1,0)+IF(OR(D14="X",D14="x",AND(COUNTA(B14,C14,E14,F14)&gt;0,(LEN(SUBSTITUTE(SUBSTITUTE(SUBSTITUTE(B14," ",""),"0",""),"-",""))+LEN(SUBSTITUTE(SUBSTITUTE(SUBSTITUTE(C14," ",""),"0",""),"-","")))=(LEN(SUBSTITUTE(SUBSTITUTE(SUBSTITUTE(E14," ",""),"0",""),"-",""))+LEN(SUBSTITUTE(SUBSTITUTE(SUBSTITUTE(F14," ",""),"0",""),"-",""))))),1,0)+IF(OR(D15="X",D15="x",AND(COUNTA(B15,C15,E15,F15)&gt;0,(LEN(SUBSTITUTE(SUBSTITUTE(SUBSTITUTE(B15," ",""),"0",""),"-",""))+LEN(SUBSTITUTE(SUBSTITUTE(SUBSTITUTE(C15," ",""),"0",""),"-","")))=(LEN(SUBSTITUTE(SUBSTITUTE(SUBSTITUTE(E15," ",""),"0",""),"-",""))+LEN(SUBSTITUTE(SUBSTITUTE(SUBSTITUTE(F15," ",""),"0",""),"-",""))))),1,0)+IF(OR(D16="X",D16="x",AND(COUNTA(B16,C16,E16,F16)&gt;0,(LEN(SUBSTITUTE(SUBSTITUTE(SUBSTITUTE(B16," ",""),"0",""),"-",""))+LEN(SUBSTITUTE(SUBSTITUTE(SUBSTITUTE(C16," ",""),"0",""),"-","")))=(LEN(SUBSTITUTE(SUBSTITUTE(SUBSTITUTE(E16," ",""),"0",""),"-",""))+LEN(SUBSTITUTE(SUBSTITUTE(SUBSTITUTE(F16," ",""),"0",""),"-",""))))),1,0)+IF(OR(D17="X",D17="x",AND(COUNTA(B17,C17,E17,F17)&gt;0,(LEN(SUBSTITUTE(SUBSTITUTE(SUBSTITUTE(B17," ",""),"0",""),"-",""))+LEN(SUBSTITUTE(SUBSTITUTE(SUBSTITUTE(C17," ",""),"0",""),"-","")))=(LEN(SUBSTITUTE(SUBSTITUTE(SUBSTITUTE(E17," ",""),"0",""),"-",""))+LEN(SUBSTITUTE(SUBSTITUTE(SUBSTITUTE(F17," ",""),"0",""),"-",""))))),1,0)),0)</f>
      </c>
      <c r="E34" s="14" t="str">
        <f>E4+E12</f>
      </c>
      <c r="F34" s="14" t="str">
        <f>C4+C12</f>
      </c>
      <c r="I34" s="14" t="str">
        <f>data!$E$50&amp;" "&amp;data!$B$50</f>
      </c>
      <c r="J34" s="14" t="str">
        <f>IF(OR(COUNTA(J5:K9,M5:N9)&gt;0,OR(L4="X",L4="x"),UPPER(L5)="X",UPPER(L6)="X",UPPER(L7)="X",UPPER(L8)="X",UPPER(L9)="X"),N4,0)+IF(OR(COUNTA(J13:K17,M13:N17)&gt;0,OR(L12="X",L12="x"),UPPER(L13)="X",UPPER(L14)="X",UPPER(L15)="X",UPPER(L16)="X",UPPER(L17)="X"),N12,0)</f>
      </c>
      <c r="K34" s="14" t="str">
        <f>IF(OR(COUNTA(J5:K9,M5:N9)&gt;0,OR(L4="X",L4="x"),UPPER(L5)="X",UPPER(L6)="X",UPPER(L7)="X",UPPER(L8)="X",UPPER(L9)="X"),J4,0)+IF(OR(COUNTA(J13:K17,M13:N17)&gt;0,OR(L12="X",L12="x"),UPPER(L13)="X",UPPER(L14)="X",UPPER(L15)="X",UPPER(L16)="X",UPPER(L17)="X"),J12,0)</f>
      </c>
      <c r="L34" s="14" t="str">
        <f>IF(OR(COUNTA(J5:K9,M5:N9)&gt;0,OR(L4="X",L4="x"),UPPER(L5)="X",UPPER(L6)="X",UPPER(L7)="X",UPPER(L8)="X",UPPER(L9)="X"),(IF(OR(L5="X",L5="x",AND(COUNTA(J5,K5,M5,N5)&gt;0,(LEN(SUBSTITUTE(SUBSTITUTE(SUBSTITUTE(J5," ",""),"0",""),"-",""))+LEN(SUBSTITUTE(SUBSTITUTE(SUBSTITUTE(K5," ",""),"0",""),"-","")))=(LEN(SUBSTITUTE(SUBSTITUTE(SUBSTITUTE(M5," ",""),"0",""),"-",""))+LEN(SUBSTITUTE(SUBSTITUTE(SUBSTITUTE(N5," ",""),"0",""),"-",""))))),1,0)+IF(OR(L6="X",L6="x",AND(COUNTA(J6,K6,M6,N6)&gt;0,(LEN(SUBSTITUTE(SUBSTITUTE(SUBSTITUTE(J6," ",""),"0",""),"-",""))+LEN(SUBSTITUTE(SUBSTITUTE(SUBSTITUTE(K6," ",""),"0",""),"-","")))=(LEN(SUBSTITUTE(SUBSTITUTE(SUBSTITUTE(M6," ",""),"0",""),"-",""))+LEN(SUBSTITUTE(SUBSTITUTE(SUBSTITUTE(N6," ",""),"0",""),"-",""))))),1,0)+IF(OR(L7="X",L7="x",AND(COUNTA(J7,K7,M7,N7)&gt;0,(LEN(SUBSTITUTE(SUBSTITUTE(SUBSTITUTE(J7," ",""),"0",""),"-",""))+LEN(SUBSTITUTE(SUBSTITUTE(SUBSTITUTE(K7," ",""),"0",""),"-","")))=(LEN(SUBSTITUTE(SUBSTITUTE(SUBSTITUTE(M7," ",""),"0",""),"-",""))+LEN(SUBSTITUTE(SUBSTITUTE(SUBSTITUTE(N7," ",""),"0",""),"-",""))))),1,0)+IF(OR(L8="X",L8="x",AND(COUNTA(J8,K8,M8,N8)&gt;0,(LEN(SUBSTITUTE(SUBSTITUTE(SUBSTITUTE(J8," ",""),"0",""),"-",""))+LEN(SUBSTITUTE(SUBSTITUTE(SUBSTITUTE(K8," ",""),"0",""),"-","")))=(LEN(SUBSTITUTE(SUBSTITUTE(SUBSTITUTE(M8," ",""),"0",""),"-",""))+LEN(SUBSTITUTE(SUBSTITUTE(SUBSTITUTE(N8," ",""),"0",""),"-",""))))),1,0)+IF(OR(L9="X",L9="x",AND(COUNTA(J9,K9,M9,N9)&gt;0,(LEN(SUBSTITUTE(SUBSTITUTE(SUBSTITUTE(J9," ",""),"0",""),"-",""))+LEN(SUBSTITUTE(SUBSTITUTE(SUBSTITUTE(K9," ",""),"0",""),"-","")))=(LEN(SUBSTITUTE(SUBSTITUTE(SUBSTITUTE(M9," ",""),"0",""),"-",""))+LEN(SUBSTITUTE(SUBSTITUTE(SUBSTITUTE(N9," ",""),"0",""),"-",""))))),1,0)),0)+IF(OR(COUNTA(J13:K17,M13:N17)&gt;0,OR(L12="X",L12="x"),UPPER(L13)="X",UPPER(L14)="X",UPPER(L15)="X",UPPER(L16)="X",UPPER(L17)="X"),(IF(OR(L13="X",L13="x",AND(COUNTA(J13,K13,M13,N13)&gt;0,(LEN(SUBSTITUTE(SUBSTITUTE(SUBSTITUTE(J13," ",""),"0",""),"-",""))+LEN(SUBSTITUTE(SUBSTITUTE(SUBSTITUTE(K13," ",""),"0",""),"-","")))=(LEN(SUBSTITUTE(SUBSTITUTE(SUBSTITUTE(M13," ",""),"0",""),"-",""))+LEN(SUBSTITUTE(SUBSTITUTE(SUBSTITUTE(N13," ",""),"0",""),"-",""))))),1,0)+IF(OR(L14="X",L14="x",AND(COUNTA(J14,K14,M14,N14)&gt;0,(LEN(SUBSTITUTE(SUBSTITUTE(SUBSTITUTE(J14," ",""),"0",""),"-",""))+LEN(SUBSTITUTE(SUBSTITUTE(SUBSTITUTE(K14," ",""),"0",""),"-","")))=(LEN(SUBSTITUTE(SUBSTITUTE(SUBSTITUTE(M14," ",""),"0",""),"-",""))+LEN(SUBSTITUTE(SUBSTITUTE(SUBSTITUTE(N14," ",""),"0",""),"-",""))))),1,0)+IF(OR(L15="X",L15="x",AND(COUNTA(J15,K15,M15,N15)&gt;0,(LEN(SUBSTITUTE(SUBSTITUTE(SUBSTITUTE(J15," ",""),"0",""),"-",""))+LEN(SUBSTITUTE(SUBSTITUTE(SUBSTITUTE(K15," ",""),"0",""),"-","")))=(LEN(SUBSTITUTE(SUBSTITUTE(SUBSTITUTE(M15," ",""),"0",""),"-",""))+LEN(SUBSTITUTE(SUBSTITUTE(SUBSTITUTE(N15," ",""),"0",""),"-",""))))),1,0)+IF(OR(L16="X",L16="x",AND(COUNTA(J16,K16,M16,N16)&gt;0,(LEN(SUBSTITUTE(SUBSTITUTE(SUBSTITUTE(J16," ",""),"0",""),"-",""))+LEN(SUBSTITUTE(SUBSTITUTE(SUBSTITUTE(K16," ",""),"0",""),"-","")))=(LEN(SUBSTITUTE(SUBSTITUTE(SUBSTITUTE(M16," ",""),"0",""),"-",""))+LEN(SUBSTITUTE(SUBSTITUTE(SUBSTITUTE(N16," ",""),"0",""),"-",""))))),1,0)+IF(OR(L17="X",L17="x",AND(COUNTA(J17,K17,M17,N17)&gt;0,(LEN(SUBSTITUTE(SUBSTITUTE(SUBSTITUTE(J17," ",""),"0",""),"-",""))+LEN(SUBSTITUTE(SUBSTITUTE(SUBSTITUTE(K17," ",""),"0",""),"-","")))=(LEN(SUBSTITUTE(SUBSTITUTE(SUBSTITUTE(M17," ",""),"0",""),"-",""))+LEN(SUBSTITUTE(SUBSTITUTE(SUBSTITUTE(N17," ",""),"0",""),"-",""))))),1,0)),0)</f>
      </c>
      <c r="M34" s="14" t="str">
        <f>M4+M12</f>
      </c>
      <c r="N34" s="14" t="str">
        <f>K4+K12</f>
      </c>
    </row>
    <row r="35">
      <c r="A35" s="14" t="str">
        <f>data!$E$4&amp;" "&amp;data!$B$4</f>
      </c>
      <c r="B35" s="14" t="str">
        <f>IF(OR(COUNTA(B5:C9,E5:F9)&gt;0,OR(D4="X",D4="x"),UPPER(D5)="X",UPPER(D6)="X",UPPER(D7)="X",UPPER(D8)="X",UPPER(D9)="X"),B4,0)+IF(OR(COUNTA(B21:C25,E21:F25)&gt;0,OR(D20="X",D20="x"),UPPER(D21)="X",UPPER(D22)="X",UPPER(D23)="X",UPPER(D24)="X",UPPER(D25)="X"),F20,0)</f>
      </c>
      <c r="C35" s="14" t="str">
        <f>IF(OR(COUNTA(B5:C9,E5:F9)&gt;0,OR(D4="X",D4="x"),UPPER(D5)="X",UPPER(D6)="X",UPPER(D7)="X",UPPER(D8)="X",UPPER(D9)="X"),F4,0)+IF(OR(COUNTA(B21:C25,E21:F25)&gt;0,OR(D20="X",D20="x"),UPPER(D21)="X",UPPER(D22)="X",UPPER(D23)="X",UPPER(D24)="X",UPPER(D25)="X"),B20,0)</f>
      </c>
      <c r="D35" s="14" t="str">
        <f>IF(OR(COUNTA(B5:C9,E5:F9)&gt;0,OR(D4="X",D4="x"),UPPER(D5)="X",UPPER(D6)="X",UPPER(D7)="X",UPPER(D8)="X",UPPER(D9)="X"),(IF(OR(D5="X",D5="x",AND(COUNTA(B5,C5,E5,F5)&gt;0,(LEN(SUBSTITUTE(SUBSTITUTE(SUBSTITUTE(B5," ",""),"0",""),"-",""))+LEN(SUBSTITUTE(SUBSTITUTE(SUBSTITUTE(C5," ",""),"0",""),"-","")))=(LEN(SUBSTITUTE(SUBSTITUTE(SUBSTITUTE(E5," ",""),"0",""),"-",""))+LEN(SUBSTITUTE(SUBSTITUTE(SUBSTITUTE(F5," ",""),"0",""),"-",""))))),1,0)+IF(OR(D6="X",D6="x",AND(COUNTA(B6,C6,E6,F6)&gt;0,(LEN(SUBSTITUTE(SUBSTITUTE(SUBSTITUTE(B6," ",""),"0",""),"-",""))+LEN(SUBSTITUTE(SUBSTITUTE(SUBSTITUTE(C6," ",""),"0",""),"-","")))=(LEN(SUBSTITUTE(SUBSTITUTE(SUBSTITUTE(E6," ",""),"0",""),"-",""))+LEN(SUBSTITUTE(SUBSTITUTE(SUBSTITUTE(F6," ",""),"0",""),"-",""))))),1,0)+IF(OR(D7="X",D7="x",AND(COUNTA(B7,C7,E7,F7)&gt;0,(LEN(SUBSTITUTE(SUBSTITUTE(SUBSTITUTE(B7," ",""),"0",""),"-",""))+LEN(SUBSTITUTE(SUBSTITUTE(SUBSTITUTE(C7," ",""),"0",""),"-","")))=(LEN(SUBSTITUTE(SUBSTITUTE(SUBSTITUTE(E7," ",""),"0",""),"-",""))+LEN(SUBSTITUTE(SUBSTITUTE(SUBSTITUTE(F7," ",""),"0",""),"-",""))))),1,0)+IF(OR(D8="X",D8="x",AND(COUNTA(B8,C8,E8,F8)&gt;0,(LEN(SUBSTITUTE(SUBSTITUTE(SUBSTITUTE(B8," ",""),"0",""),"-",""))+LEN(SUBSTITUTE(SUBSTITUTE(SUBSTITUTE(C8," ",""),"0",""),"-","")))=(LEN(SUBSTITUTE(SUBSTITUTE(SUBSTITUTE(E8," ",""),"0",""),"-",""))+LEN(SUBSTITUTE(SUBSTITUTE(SUBSTITUTE(F8," ",""),"0",""),"-",""))))),1,0)+IF(OR(D9="X",D9="x",AND(COUNTA(B9,C9,E9,F9)&gt;0,(LEN(SUBSTITUTE(SUBSTITUTE(SUBSTITUTE(B9," ",""),"0",""),"-",""))+LEN(SUBSTITUTE(SUBSTITUTE(SUBSTITUTE(C9," ",""),"0",""),"-","")))=(LEN(SUBSTITUTE(SUBSTITUTE(SUBSTITUTE(E9," ",""),"0",""),"-",""))+LEN(SUBSTITUTE(SUBSTITUTE(SUBSTITUTE(F9," ",""),"0",""),"-",""))))),1,0)),0)+IF(OR(COUNTA(B21:C25,E21:F25)&gt;0,OR(D20="X",D20="x"),UPPER(D21)="X",UPPER(D22)="X",UPPER(D23)="X",UPPER(D24)="X",UPPER(D25)="X"),(IF(OR(D21="X",D21="x",AND(COUNTA(B21,C21,E21,F21)&gt;0,(LEN(SUBSTITUTE(SUBSTITUTE(SUBSTITUTE(B21," ",""),"0",""),"-",""))+LEN(SUBSTITUTE(SUBSTITUTE(SUBSTITUTE(C21," ",""),"0",""),"-","")))=(LEN(SUBSTITUTE(SUBSTITUTE(SUBSTITUTE(E21," ",""),"0",""),"-",""))+LEN(SUBSTITUTE(SUBSTITUTE(SUBSTITUTE(F21," ",""),"0",""),"-",""))))),1,0)+IF(OR(D22="X",D22="x",AND(COUNTA(B22,C22,E22,F22)&gt;0,(LEN(SUBSTITUTE(SUBSTITUTE(SUBSTITUTE(B22," ",""),"0",""),"-",""))+LEN(SUBSTITUTE(SUBSTITUTE(SUBSTITUTE(C22," ",""),"0",""),"-","")))=(LEN(SUBSTITUTE(SUBSTITUTE(SUBSTITUTE(E22," ",""),"0",""),"-",""))+LEN(SUBSTITUTE(SUBSTITUTE(SUBSTITUTE(F22," ",""),"0",""),"-",""))))),1,0)+IF(OR(D23="X",D23="x",AND(COUNTA(B23,C23,E23,F23)&gt;0,(LEN(SUBSTITUTE(SUBSTITUTE(SUBSTITUTE(B23," ",""),"0",""),"-",""))+LEN(SUBSTITUTE(SUBSTITUTE(SUBSTITUTE(C23," ",""),"0",""),"-","")))=(LEN(SUBSTITUTE(SUBSTITUTE(SUBSTITUTE(E23," ",""),"0",""),"-",""))+LEN(SUBSTITUTE(SUBSTITUTE(SUBSTITUTE(F23," ",""),"0",""),"-",""))))),1,0)+IF(OR(D24="X",D24="x",AND(COUNTA(B24,C24,E24,F24)&gt;0,(LEN(SUBSTITUTE(SUBSTITUTE(SUBSTITUTE(B24," ",""),"0",""),"-",""))+LEN(SUBSTITUTE(SUBSTITUTE(SUBSTITUTE(C24," ",""),"0",""),"-","")))=(LEN(SUBSTITUTE(SUBSTITUTE(SUBSTITUTE(E24," ",""),"0",""),"-",""))+LEN(SUBSTITUTE(SUBSTITUTE(SUBSTITUTE(F24," ",""),"0",""),"-",""))))),1,0)+IF(OR(D25="X",D25="x",AND(COUNTA(B25,C25,E25,F25)&gt;0,(LEN(SUBSTITUTE(SUBSTITUTE(SUBSTITUTE(B25," ",""),"0",""),"-",""))+LEN(SUBSTITUTE(SUBSTITUTE(SUBSTITUTE(C25," ",""),"0",""),"-","")))=(LEN(SUBSTITUTE(SUBSTITUTE(SUBSTITUTE(E25," ",""),"0",""),"-",""))+LEN(SUBSTITUTE(SUBSTITUTE(SUBSTITUTE(F25," ",""),"0",""),"-",""))))),1,0)),0)</f>
      </c>
      <c r="E35" s="14" t="str">
        <f>C4+E20</f>
      </c>
      <c r="F35" s="14" t="str">
        <f>E4+C20</f>
      </c>
      <c r="I35" s="14" t="str">
        <f>data!$E$51&amp;" "&amp;data!$B$51</f>
      </c>
      <c r="J35" s="14" t="str">
        <f>IF(OR(COUNTA(J5:K9,M5:N9)&gt;0,OR(L4="X",L4="x"),UPPER(L5)="X",UPPER(L6)="X",UPPER(L7)="X",UPPER(L8)="X",UPPER(L9)="X"),J4,0)+IF(OR(COUNTA(J21:K25,M21:N25)&gt;0,OR(L20="X",L20="x"),UPPER(L21)="X",UPPER(L22)="X",UPPER(L23)="X",UPPER(L24)="X",UPPER(L25)="X"),N20,0)</f>
      </c>
      <c r="K35" s="14" t="str">
        <f>IF(OR(COUNTA(J5:K9,M5:N9)&gt;0,OR(L4="X",L4="x"),UPPER(L5)="X",UPPER(L6)="X",UPPER(L7)="X",UPPER(L8)="X",UPPER(L9)="X"),N4,0)+IF(OR(COUNTA(J21:K25,M21:N25)&gt;0,OR(L20="X",L20="x"),UPPER(L21)="X",UPPER(L22)="X",UPPER(L23)="X",UPPER(L24)="X",UPPER(L25)="X"),J20,0)</f>
      </c>
      <c r="L35" s="14" t="str">
        <f>IF(OR(COUNTA(J5:K9,M5:N9)&gt;0,OR(L4="X",L4="x"),UPPER(L5)="X",UPPER(L6)="X",UPPER(L7)="X",UPPER(L8)="X",UPPER(L9)="X"),(IF(OR(L5="X",L5="x",AND(COUNTA(J5,K5,M5,N5)&gt;0,(LEN(SUBSTITUTE(SUBSTITUTE(SUBSTITUTE(J5," ",""),"0",""),"-",""))+LEN(SUBSTITUTE(SUBSTITUTE(SUBSTITUTE(K5," ",""),"0",""),"-","")))=(LEN(SUBSTITUTE(SUBSTITUTE(SUBSTITUTE(M5," ",""),"0",""),"-",""))+LEN(SUBSTITUTE(SUBSTITUTE(SUBSTITUTE(N5," ",""),"0",""),"-",""))))),1,0)+IF(OR(L6="X",L6="x",AND(COUNTA(J6,K6,M6,N6)&gt;0,(LEN(SUBSTITUTE(SUBSTITUTE(SUBSTITUTE(J6," ",""),"0",""),"-",""))+LEN(SUBSTITUTE(SUBSTITUTE(SUBSTITUTE(K6," ",""),"0",""),"-","")))=(LEN(SUBSTITUTE(SUBSTITUTE(SUBSTITUTE(M6," ",""),"0",""),"-",""))+LEN(SUBSTITUTE(SUBSTITUTE(SUBSTITUTE(N6," ",""),"0",""),"-",""))))),1,0)+IF(OR(L7="X",L7="x",AND(COUNTA(J7,K7,M7,N7)&gt;0,(LEN(SUBSTITUTE(SUBSTITUTE(SUBSTITUTE(J7," ",""),"0",""),"-",""))+LEN(SUBSTITUTE(SUBSTITUTE(SUBSTITUTE(K7," ",""),"0",""),"-","")))=(LEN(SUBSTITUTE(SUBSTITUTE(SUBSTITUTE(M7," ",""),"0",""),"-",""))+LEN(SUBSTITUTE(SUBSTITUTE(SUBSTITUTE(N7," ",""),"0",""),"-",""))))),1,0)+IF(OR(L8="X",L8="x",AND(COUNTA(J8,K8,M8,N8)&gt;0,(LEN(SUBSTITUTE(SUBSTITUTE(SUBSTITUTE(J8," ",""),"0",""),"-",""))+LEN(SUBSTITUTE(SUBSTITUTE(SUBSTITUTE(K8," ",""),"0",""),"-","")))=(LEN(SUBSTITUTE(SUBSTITUTE(SUBSTITUTE(M8," ",""),"0",""),"-",""))+LEN(SUBSTITUTE(SUBSTITUTE(SUBSTITUTE(N8," ",""),"0",""),"-",""))))),1,0)+IF(OR(L9="X",L9="x",AND(COUNTA(J9,K9,M9,N9)&gt;0,(LEN(SUBSTITUTE(SUBSTITUTE(SUBSTITUTE(J9," ",""),"0",""),"-",""))+LEN(SUBSTITUTE(SUBSTITUTE(SUBSTITUTE(K9," ",""),"0",""),"-","")))=(LEN(SUBSTITUTE(SUBSTITUTE(SUBSTITUTE(M9," ",""),"0",""),"-",""))+LEN(SUBSTITUTE(SUBSTITUTE(SUBSTITUTE(N9," ",""),"0",""),"-",""))))),1,0)),0)+IF(OR(COUNTA(J21:K25,M21:N25)&gt;0,OR(L20="X",L20="x"),UPPER(L21)="X",UPPER(L22)="X",UPPER(L23)="X",UPPER(L24)="X",UPPER(L25)="X"),(IF(OR(L21="X",L21="x",AND(COUNTA(J21,K21,M21,N21)&gt;0,(LEN(SUBSTITUTE(SUBSTITUTE(SUBSTITUTE(J21," ",""),"0",""),"-",""))+LEN(SUBSTITUTE(SUBSTITUTE(SUBSTITUTE(K21," ",""),"0",""),"-","")))=(LEN(SUBSTITUTE(SUBSTITUTE(SUBSTITUTE(M21," ",""),"0",""),"-",""))+LEN(SUBSTITUTE(SUBSTITUTE(SUBSTITUTE(N21," ",""),"0",""),"-",""))))),1,0)+IF(OR(L22="X",L22="x",AND(COUNTA(J22,K22,M22,N22)&gt;0,(LEN(SUBSTITUTE(SUBSTITUTE(SUBSTITUTE(J22," ",""),"0",""),"-",""))+LEN(SUBSTITUTE(SUBSTITUTE(SUBSTITUTE(K22," ",""),"0",""),"-","")))=(LEN(SUBSTITUTE(SUBSTITUTE(SUBSTITUTE(M22," ",""),"0",""),"-",""))+LEN(SUBSTITUTE(SUBSTITUTE(SUBSTITUTE(N22," ",""),"0",""),"-",""))))),1,0)+IF(OR(L23="X",L23="x",AND(COUNTA(J23,K23,M23,N23)&gt;0,(LEN(SUBSTITUTE(SUBSTITUTE(SUBSTITUTE(J23," ",""),"0",""),"-",""))+LEN(SUBSTITUTE(SUBSTITUTE(SUBSTITUTE(K23," ",""),"0",""),"-","")))=(LEN(SUBSTITUTE(SUBSTITUTE(SUBSTITUTE(M23," ",""),"0",""),"-",""))+LEN(SUBSTITUTE(SUBSTITUTE(SUBSTITUTE(N23," ",""),"0",""),"-",""))))),1,0)+IF(OR(L24="X",L24="x",AND(COUNTA(J24,K24,M24,N24)&gt;0,(LEN(SUBSTITUTE(SUBSTITUTE(SUBSTITUTE(J24," ",""),"0",""),"-",""))+LEN(SUBSTITUTE(SUBSTITUTE(SUBSTITUTE(K24," ",""),"0",""),"-","")))=(LEN(SUBSTITUTE(SUBSTITUTE(SUBSTITUTE(M24," ",""),"0",""),"-",""))+LEN(SUBSTITUTE(SUBSTITUTE(SUBSTITUTE(N24," ",""),"0",""),"-",""))))),1,0)+IF(OR(L25="X",L25="x",AND(COUNTA(J25,K25,M25,N25)&gt;0,(LEN(SUBSTITUTE(SUBSTITUTE(SUBSTITUTE(J25," ",""),"0",""),"-",""))+LEN(SUBSTITUTE(SUBSTITUTE(SUBSTITUTE(K25," ",""),"0",""),"-","")))=(LEN(SUBSTITUTE(SUBSTITUTE(SUBSTITUTE(M25," ",""),"0",""),"-",""))+LEN(SUBSTITUTE(SUBSTITUTE(SUBSTITUTE(N25," ",""),"0",""),"-",""))))),1,0)),0)</f>
      </c>
      <c r="M35" s="14" t="str">
        <f>K4+M20</f>
      </c>
      <c r="N35" s="14" t="str">
        <f>M4+K20</f>
      </c>
    </row>
    <row r="36">
      <c r="A36" s="14" t="str">
        <f>data!$E$5&amp;" "&amp;data!$B$5</f>
      </c>
      <c r="B36" s="14" t="str">
        <f>IF(OR(COUNTA(B13:C17,E13:F17)&gt;0,OR(D12="X",D12="x"),UPPER(D13)="X",UPPER(D14)="X",UPPER(D15)="X",UPPER(D16)="X",UPPER(D17)="X"),B12,0)+IF(OR(COUNTA(B21:C25,E21:F25)&gt;0,OR(D20="X",D20="x"),UPPER(D21)="X",UPPER(D22)="X",UPPER(D23)="X",UPPER(D24)="X",UPPER(D25)="X"),B20,0)</f>
      </c>
      <c r="C36" s="14" t="str">
        <f>IF(OR(COUNTA(B13:C17,E13:F17)&gt;0,OR(D12="X",D12="x"),UPPER(D13)="X",UPPER(D14)="X",UPPER(D15)="X",UPPER(D16)="X",UPPER(D17)="X"),F12,0)+IF(OR(COUNTA(B21:C25,E21:F25)&gt;0,OR(D20="X",D20="x"),UPPER(D21)="X",UPPER(D22)="X",UPPER(D23)="X",UPPER(D24)="X",UPPER(D25)="X"),F20,0)</f>
      </c>
      <c r="D36" s="14" t="str">
        <f>IF(OR(COUNTA(B13:C17,E13:F17)&gt;0,OR(D12="X",D12="x"),UPPER(D13)="X",UPPER(D14)="X",UPPER(D15)="X",UPPER(D16)="X",UPPER(D17)="X"),(IF(OR(D13="X",D13="x",AND(COUNTA(B13,C13,E13,F13)&gt;0,(LEN(SUBSTITUTE(SUBSTITUTE(SUBSTITUTE(B13," ",""),"0",""),"-",""))+LEN(SUBSTITUTE(SUBSTITUTE(SUBSTITUTE(C13," ",""),"0",""),"-","")))=(LEN(SUBSTITUTE(SUBSTITUTE(SUBSTITUTE(E13," ",""),"0",""),"-",""))+LEN(SUBSTITUTE(SUBSTITUTE(SUBSTITUTE(F13," ",""),"0",""),"-",""))))),1,0)+IF(OR(D14="X",D14="x",AND(COUNTA(B14,C14,E14,F14)&gt;0,(LEN(SUBSTITUTE(SUBSTITUTE(SUBSTITUTE(B14," ",""),"0",""),"-",""))+LEN(SUBSTITUTE(SUBSTITUTE(SUBSTITUTE(C14," ",""),"0",""),"-","")))=(LEN(SUBSTITUTE(SUBSTITUTE(SUBSTITUTE(E14," ",""),"0",""),"-",""))+LEN(SUBSTITUTE(SUBSTITUTE(SUBSTITUTE(F14," ",""),"0",""),"-",""))))),1,0)+IF(OR(D15="X",D15="x",AND(COUNTA(B15,C15,E15,F15)&gt;0,(LEN(SUBSTITUTE(SUBSTITUTE(SUBSTITUTE(B15," ",""),"0",""),"-",""))+LEN(SUBSTITUTE(SUBSTITUTE(SUBSTITUTE(C15," ",""),"0",""),"-","")))=(LEN(SUBSTITUTE(SUBSTITUTE(SUBSTITUTE(E15," ",""),"0",""),"-",""))+LEN(SUBSTITUTE(SUBSTITUTE(SUBSTITUTE(F15," ",""),"0",""),"-",""))))),1,0)+IF(OR(D16="X",D16="x",AND(COUNTA(B16,C16,E16,F16)&gt;0,(LEN(SUBSTITUTE(SUBSTITUTE(SUBSTITUTE(B16," ",""),"0",""),"-",""))+LEN(SUBSTITUTE(SUBSTITUTE(SUBSTITUTE(C16," ",""),"0",""),"-","")))=(LEN(SUBSTITUTE(SUBSTITUTE(SUBSTITUTE(E16," ",""),"0",""),"-",""))+LEN(SUBSTITUTE(SUBSTITUTE(SUBSTITUTE(F16," ",""),"0",""),"-",""))))),1,0)+IF(OR(D17="X",D17="x",AND(COUNTA(B17,C17,E17,F17)&gt;0,(LEN(SUBSTITUTE(SUBSTITUTE(SUBSTITUTE(B17," ",""),"0",""),"-",""))+LEN(SUBSTITUTE(SUBSTITUTE(SUBSTITUTE(C17," ",""),"0",""),"-","")))=(LEN(SUBSTITUTE(SUBSTITUTE(SUBSTITUTE(E17," ",""),"0",""),"-",""))+LEN(SUBSTITUTE(SUBSTITUTE(SUBSTITUTE(F17," ",""),"0",""),"-",""))))),1,0)),0)+IF(OR(COUNTA(B21:C25,E21:F25)&gt;0,OR(D20="X",D20="x"),UPPER(D21)="X",UPPER(D22)="X",UPPER(D23)="X",UPPER(D24)="X",UPPER(D25)="X"),(IF(OR(D21="X",D21="x",AND(COUNTA(B21,C21,E21,F21)&gt;0,(LEN(SUBSTITUTE(SUBSTITUTE(SUBSTITUTE(B21," ",""),"0",""),"-",""))+LEN(SUBSTITUTE(SUBSTITUTE(SUBSTITUTE(C21," ",""),"0",""),"-","")))=(LEN(SUBSTITUTE(SUBSTITUTE(SUBSTITUTE(E21," ",""),"0",""),"-",""))+LEN(SUBSTITUTE(SUBSTITUTE(SUBSTITUTE(F21," ",""),"0",""),"-",""))))),1,0)+IF(OR(D22="X",D22="x",AND(COUNTA(B22,C22,E22,F22)&gt;0,(LEN(SUBSTITUTE(SUBSTITUTE(SUBSTITUTE(B22," ",""),"0",""),"-",""))+LEN(SUBSTITUTE(SUBSTITUTE(SUBSTITUTE(C22," ",""),"0",""),"-","")))=(LEN(SUBSTITUTE(SUBSTITUTE(SUBSTITUTE(E22," ",""),"0",""),"-",""))+LEN(SUBSTITUTE(SUBSTITUTE(SUBSTITUTE(F22," ",""),"0",""),"-",""))))),1,0)+IF(OR(D23="X",D23="x",AND(COUNTA(B23,C23,E23,F23)&gt;0,(LEN(SUBSTITUTE(SUBSTITUTE(SUBSTITUTE(B23," ",""),"0",""),"-",""))+LEN(SUBSTITUTE(SUBSTITUTE(SUBSTITUTE(C23," ",""),"0",""),"-","")))=(LEN(SUBSTITUTE(SUBSTITUTE(SUBSTITUTE(E23," ",""),"0",""),"-",""))+LEN(SUBSTITUTE(SUBSTITUTE(SUBSTITUTE(F23," ",""),"0",""),"-",""))))),1,0)+IF(OR(D24="X",D24="x",AND(COUNTA(B24,C24,E24,F24)&gt;0,(LEN(SUBSTITUTE(SUBSTITUTE(SUBSTITUTE(B24," ",""),"0",""),"-",""))+LEN(SUBSTITUTE(SUBSTITUTE(SUBSTITUTE(C24," ",""),"0",""),"-","")))=(LEN(SUBSTITUTE(SUBSTITUTE(SUBSTITUTE(E24," ",""),"0",""),"-",""))+LEN(SUBSTITUTE(SUBSTITUTE(SUBSTITUTE(F24," ",""),"0",""),"-",""))))),1,0)+IF(OR(D25="X",D25="x",AND(COUNTA(B25,C25,E25,F25)&gt;0,(LEN(SUBSTITUTE(SUBSTITUTE(SUBSTITUTE(B25," ",""),"0",""),"-",""))+LEN(SUBSTITUTE(SUBSTITUTE(SUBSTITUTE(C25," ",""),"0",""),"-","")))=(LEN(SUBSTITUTE(SUBSTITUTE(SUBSTITUTE(E25," ",""),"0",""),"-",""))+LEN(SUBSTITUTE(SUBSTITUTE(SUBSTITUTE(F25," ",""),"0",""),"-",""))))),1,0)),0)</f>
      </c>
      <c r="E36" s="14" t="str">
        <f>C12+C20</f>
      </c>
      <c r="F36" s="14" t="str">
        <f>E12+E20</f>
      </c>
      <c r="I36" s="14" t="str">
        <f>data!$E$52&amp;" "&amp;data!$B$52</f>
      </c>
      <c r="J36" s="14" t="str">
        <f>IF(OR(COUNTA(J13:K17,M13:N17)&gt;0,OR(L12="X",L12="x"),UPPER(L13)="X",UPPER(L14)="X",UPPER(L15)="X",UPPER(L16)="X",UPPER(L17)="X"),J12,0)+IF(OR(COUNTA(J21:K25,M21:N25)&gt;0,OR(L20="X",L20="x"),UPPER(L21)="X",UPPER(L22)="X",UPPER(L23)="X",UPPER(L24)="X",UPPER(L25)="X"),J20,0)</f>
      </c>
      <c r="K36" s="14" t="str">
        <f>IF(OR(COUNTA(J13:K17,M13:N17)&gt;0,OR(L12="X",L12="x"),UPPER(L13)="X",UPPER(L14)="X",UPPER(L15)="X",UPPER(L16)="X",UPPER(L17)="X"),N12,0)+IF(OR(COUNTA(J21:K25,M21:N25)&gt;0,OR(L20="X",L20="x"),UPPER(L21)="X",UPPER(L22)="X",UPPER(L23)="X",UPPER(L24)="X",UPPER(L25)="X"),N20,0)</f>
      </c>
      <c r="L36" s="14" t="str">
        <f>IF(OR(COUNTA(J13:K17,M13:N17)&gt;0,OR(L12="X",L12="x"),UPPER(L13)="X",UPPER(L14)="X",UPPER(L15)="X",UPPER(L16)="X",UPPER(L17)="X"),(IF(OR(L13="X",L13="x",AND(COUNTA(J13,K13,M13,N13)&gt;0,(LEN(SUBSTITUTE(SUBSTITUTE(SUBSTITUTE(J13," ",""),"0",""),"-",""))+LEN(SUBSTITUTE(SUBSTITUTE(SUBSTITUTE(K13," ",""),"0",""),"-","")))=(LEN(SUBSTITUTE(SUBSTITUTE(SUBSTITUTE(M13," ",""),"0",""),"-",""))+LEN(SUBSTITUTE(SUBSTITUTE(SUBSTITUTE(N13," ",""),"0",""),"-",""))))),1,0)+IF(OR(L14="X",L14="x",AND(COUNTA(J14,K14,M14,N14)&gt;0,(LEN(SUBSTITUTE(SUBSTITUTE(SUBSTITUTE(J14," ",""),"0",""),"-",""))+LEN(SUBSTITUTE(SUBSTITUTE(SUBSTITUTE(K14," ",""),"0",""),"-","")))=(LEN(SUBSTITUTE(SUBSTITUTE(SUBSTITUTE(M14," ",""),"0",""),"-",""))+LEN(SUBSTITUTE(SUBSTITUTE(SUBSTITUTE(N14," ",""),"0",""),"-",""))))),1,0)+IF(OR(L15="X",L15="x",AND(COUNTA(J15,K15,M15,N15)&gt;0,(LEN(SUBSTITUTE(SUBSTITUTE(SUBSTITUTE(J15," ",""),"0",""),"-",""))+LEN(SUBSTITUTE(SUBSTITUTE(SUBSTITUTE(K15," ",""),"0",""),"-","")))=(LEN(SUBSTITUTE(SUBSTITUTE(SUBSTITUTE(M15," ",""),"0",""),"-",""))+LEN(SUBSTITUTE(SUBSTITUTE(SUBSTITUTE(N15," ",""),"0",""),"-",""))))),1,0)+IF(OR(L16="X",L16="x",AND(COUNTA(J16,K16,M16,N16)&gt;0,(LEN(SUBSTITUTE(SUBSTITUTE(SUBSTITUTE(J16," ",""),"0",""),"-",""))+LEN(SUBSTITUTE(SUBSTITUTE(SUBSTITUTE(K16," ",""),"0",""),"-","")))=(LEN(SUBSTITUTE(SUBSTITUTE(SUBSTITUTE(M16," ",""),"0",""),"-",""))+LEN(SUBSTITUTE(SUBSTITUTE(SUBSTITUTE(N16," ",""),"0",""),"-",""))))),1,0)+IF(OR(L17="X",L17="x",AND(COUNTA(J17,K17,M17,N17)&gt;0,(LEN(SUBSTITUTE(SUBSTITUTE(SUBSTITUTE(J17," ",""),"0",""),"-",""))+LEN(SUBSTITUTE(SUBSTITUTE(SUBSTITUTE(K17," ",""),"0",""),"-","")))=(LEN(SUBSTITUTE(SUBSTITUTE(SUBSTITUTE(M17," ",""),"0",""),"-",""))+LEN(SUBSTITUTE(SUBSTITUTE(SUBSTITUTE(N17," ",""),"0",""),"-",""))))),1,0)),0)+IF(OR(COUNTA(J21:K25,M21:N25)&gt;0,OR(L20="X",L20="x"),UPPER(L21)="X",UPPER(L22)="X",UPPER(L23)="X",UPPER(L24)="X",UPPER(L25)="X"),(IF(OR(L21="X",L21="x",AND(COUNTA(J21,K21,M21,N21)&gt;0,(LEN(SUBSTITUTE(SUBSTITUTE(SUBSTITUTE(J21," ",""),"0",""),"-",""))+LEN(SUBSTITUTE(SUBSTITUTE(SUBSTITUTE(K21," ",""),"0",""),"-","")))=(LEN(SUBSTITUTE(SUBSTITUTE(SUBSTITUTE(M21," ",""),"0",""),"-",""))+LEN(SUBSTITUTE(SUBSTITUTE(SUBSTITUTE(N21," ",""),"0",""),"-",""))))),1,0)+IF(OR(L22="X",L22="x",AND(COUNTA(J22,K22,M22,N22)&gt;0,(LEN(SUBSTITUTE(SUBSTITUTE(SUBSTITUTE(J22," ",""),"0",""),"-",""))+LEN(SUBSTITUTE(SUBSTITUTE(SUBSTITUTE(K22," ",""),"0",""),"-","")))=(LEN(SUBSTITUTE(SUBSTITUTE(SUBSTITUTE(M22," ",""),"0",""),"-",""))+LEN(SUBSTITUTE(SUBSTITUTE(SUBSTITUTE(N22," ",""),"0",""),"-",""))))),1,0)+IF(OR(L23="X",L23="x",AND(COUNTA(J23,K23,M23,N23)&gt;0,(LEN(SUBSTITUTE(SUBSTITUTE(SUBSTITUTE(J23," ",""),"0",""),"-",""))+LEN(SUBSTITUTE(SUBSTITUTE(SUBSTITUTE(K23," ",""),"0",""),"-","")))=(LEN(SUBSTITUTE(SUBSTITUTE(SUBSTITUTE(M23," ",""),"0",""),"-",""))+LEN(SUBSTITUTE(SUBSTITUTE(SUBSTITUTE(N23," ",""),"0",""),"-",""))))),1,0)+IF(OR(L24="X",L24="x",AND(COUNTA(J24,K24,M24,N24)&gt;0,(LEN(SUBSTITUTE(SUBSTITUTE(SUBSTITUTE(J24," ",""),"0",""),"-",""))+LEN(SUBSTITUTE(SUBSTITUTE(SUBSTITUTE(K24," ",""),"0",""),"-","")))=(LEN(SUBSTITUTE(SUBSTITUTE(SUBSTITUTE(M24," ",""),"0",""),"-",""))+LEN(SUBSTITUTE(SUBSTITUTE(SUBSTITUTE(N24," ",""),"0",""),"-",""))))),1,0)+IF(OR(L25="X",L25="x",AND(COUNTA(J25,K25,M25,N25)&gt;0,(LEN(SUBSTITUTE(SUBSTITUTE(SUBSTITUTE(J25," ",""),"0",""),"-",""))+LEN(SUBSTITUTE(SUBSTITUTE(SUBSTITUTE(K25," ",""),"0",""),"-","")))=(LEN(SUBSTITUTE(SUBSTITUTE(SUBSTITUTE(M25," ",""),"0",""),"-",""))+LEN(SUBSTITUTE(SUBSTITUTE(SUBSTITUTE(N25," ",""),"0",""),"-",""))))),1,0)),0)</f>
      </c>
      <c r="M36" s="14" t="str">
        <f>K12+K20</f>
      </c>
      <c r="N36" s="14" t="str">
        <f>M12+M20</f>
      </c>
    </row>
    <row r="39">
      <c r="F39" s="13"/>
      <c r="G39" s="13" t="s">
        <v>344</v>
      </c>
      <c r="N39" s="13"/>
      <c r="O39" s="13" t="s">
        <v>344</v>
      </c>
    </row>
    <row r="40">
      <c r="F40" t="s">
        <v>345</v>
      </c>
      <c r="G40" s="19" t="str">
        <f>IFERROR(INDEX($A$29:$A$36, MATCH(1, $G$29:$G$36, 0)), "-")</f>
      </c>
      <c r="N40" t="s">
        <v>345</v>
      </c>
      <c r="O40" s="19" t="str">
        <f>IFERROR(INDEX($I$29:$I$36, MATCH(1, $O$29:$O$36, 0)), "-")</f>
      </c>
    </row>
    <row r="41">
      <c r="F41" t="s">
        <v>346</v>
      </c>
      <c r="G41" s="19" t="str">
        <f>IFERROR(INDEX($A$29:$A$36, MATCH(2, $G$29:$G$36, 0)), "-")</f>
      </c>
      <c r="N41" t="s">
        <v>346</v>
      </c>
      <c r="O41" s="19" t="str">
        <f>IFERROR(INDEX($I$29:$I$36, MATCH(2, $O$29:$O$36, 0)), "-")</f>
      </c>
    </row>
    <row r="42">
      <c r="F42" t="s">
        <v>347</v>
      </c>
      <c r="G42" s="19" t="str">
        <f>IFERROR(INDEX($A$29:$A$36, MATCH(3, $G$29:$G$36, 0)), "-")</f>
      </c>
      <c r="N42" t="s">
        <v>347</v>
      </c>
      <c r="O42" s="19" t="str">
        <f>IFERROR(INDEX($I$29:$I$36, MATCH(3, $O$29:$O$36, 0)), "-")</f>
      </c>
    </row>
    <row r="45">
      <c r="A45" s="13" t="str">
        <f>'data'!$A$8</f>
      </c>
      <c r="B45" s="13"/>
      <c r="C45" s="13"/>
      <c r="D45" s="13"/>
      <c r="E45" s="13"/>
      <c r="F45" s="13"/>
      <c r="G45" s="13"/>
      <c r="I45" s="13" t="str">
        <f>'data'!$A$55</f>
      </c>
      <c r="J45" s="13"/>
      <c r="K45" s="13"/>
      <c r="L45" s="13"/>
      <c r="M45" s="13"/>
      <c r="N45" s="13"/>
      <c r="O45" s="13"/>
    </row>
    <row r="46">
      <c r="A46" s="17" t="s">
        <v>331</v>
      </c>
      <c r="B46" s="14"/>
      <c r="C46" s="14"/>
      <c r="D46" s="14" t="s">
        <v>332</v>
      </c>
      <c r="E46" s="14"/>
      <c r="F46" s="14"/>
      <c r="G46" s="16" t="s">
        <v>333</v>
      </c>
      <c r="I46" s="17" t="s">
        <v>331</v>
      </c>
      <c r="J46" s="14"/>
      <c r="K46" s="14"/>
      <c r="L46" s="14" t="s">
        <v>332</v>
      </c>
      <c r="M46" s="14"/>
      <c r="N46" s="14"/>
      <c r="O46" s="16" t="s">
        <v>333</v>
      </c>
    </row>
    <row r="47">
      <c r="A47" s="14" t="str">
        <f>data!$E$7&amp;" "&amp;data!$B$7</f>
      </c>
      <c r="B47" s="14" t="str">
        <f>IF(UPPER(D48)="X",0,IF((LEN(SUBSTITUTE(SUBSTITUTE(SUBSTITUTE(B48," ",""),"0",""),"-",""))+LEN(SUBSTITUTE(SUBSTITUTE(SUBSTITUTE(C48," ",""),"0",""),"-","")))&gt;(LEN(SUBSTITUTE(SUBSTITUTE(SUBSTITUTE(E48," ",""),"0",""),"-",""))+LEN(SUBSTITUTE(SUBSTITUTE(SUBSTITUTE(F48," ",""),"0",""),"-",""))),1,0))+IF(UPPER(D49)="X",0,IF((LEN(SUBSTITUTE(SUBSTITUTE(SUBSTITUTE(B49," ",""),"0",""),"-",""))+LEN(SUBSTITUTE(SUBSTITUTE(SUBSTITUTE(C49," ",""),"0",""),"-","")))&gt;(LEN(SUBSTITUTE(SUBSTITUTE(SUBSTITUTE(E49," ",""),"0",""),"-",""))+LEN(SUBSTITUTE(SUBSTITUTE(SUBSTITUTE(F49," ",""),"0",""),"-",""))),1,0))+IF(UPPER(D50)="X",0,IF((LEN(SUBSTITUTE(SUBSTITUTE(SUBSTITUTE(B50," ",""),"0",""),"-",""))+LEN(SUBSTITUTE(SUBSTITUTE(SUBSTITUTE(C50," ",""),"0",""),"-","")))&gt;(LEN(SUBSTITUTE(SUBSTITUTE(SUBSTITUTE(E50," ",""),"0",""),"-",""))+LEN(SUBSTITUTE(SUBSTITUTE(SUBSTITUTE(F50," ",""),"0",""),"-",""))),1,0))+IF(UPPER(D51)="X",0,IF((LEN(SUBSTITUTE(SUBSTITUTE(SUBSTITUTE(B51," ",""),"0",""),"-",""))+LEN(SUBSTITUTE(SUBSTITUTE(SUBSTITUTE(C51," ",""),"0",""),"-","")))&gt;(LEN(SUBSTITUTE(SUBSTITUTE(SUBSTITUTE(E51," ",""),"0",""),"-",""))+LEN(SUBSTITUTE(SUBSTITUTE(SUBSTITUTE(F51," ",""),"0",""),"-",""))),1,0))+IF(UPPER(D52)="X",0,IF((LEN(SUBSTITUTE(SUBSTITUTE(SUBSTITUTE(B52," ",""),"0",""),"-",""))+LEN(SUBSTITUTE(SUBSTITUTE(SUBSTITUTE(C52," ",""),"0",""),"-","")))&gt;(LEN(SUBSTITUTE(SUBSTITUTE(SUBSTITUTE(E52," ",""),"0",""),"-",""))+LEN(SUBSTITUTE(SUBSTITUTE(SUBSTITUTE(F52," ",""),"0",""),"-",""))),1,0))</f>
      </c>
      <c r="C47" s="14" t="str">
        <f>LEN(SUBSTITUTE(SUBSTITUTE(SUBSTITUTE(B48," ",""),"0",""),"-",""))+LEN(SUBSTITUTE(SUBSTITUTE(SUBSTITUTE(C48," ",""),"0",""),"-",""))+LEN(SUBSTITUTE(SUBSTITUTE(SUBSTITUTE(B49," ",""),"0",""),"-",""))+LEN(SUBSTITUTE(SUBSTITUTE(SUBSTITUTE(C49," ",""),"0",""),"-",""))+LEN(SUBSTITUTE(SUBSTITUTE(SUBSTITUTE(B50," ",""),"0",""),"-",""))+LEN(SUBSTITUTE(SUBSTITUTE(SUBSTITUTE(C50," ",""),"0",""),"-",""))+LEN(SUBSTITUTE(SUBSTITUTE(SUBSTITUTE(B51," ",""),"0",""),"-",""))+LEN(SUBSTITUTE(SUBSTITUTE(SUBSTITUTE(C51," ",""),"0",""),"-",""))+LEN(SUBSTITUTE(SUBSTITUTE(SUBSTITUTE(B52," ",""),"0",""),"-",""))+LEN(SUBSTITUTE(SUBSTITUTE(SUBSTITUTE(C52," ",""),"0",""),"-",""))</f>
      </c>
      <c r="D47" s="18"/>
      <c r="E47" s="14" t="str">
        <f>LEN(SUBSTITUTE(SUBSTITUTE(SUBSTITUTE(E48," ",""),"0",""),"-",""))+LEN(SUBSTITUTE(SUBSTITUTE(SUBSTITUTE(F48," ",""),"0",""),"-",""))+LEN(SUBSTITUTE(SUBSTITUTE(SUBSTITUTE(E49," ",""),"0",""),"-",""))+LEN(SUBSTITUTE(SUBSTITUTE(SUBSTITUTE(F49," ",""),"0",""),"-",""))+LEN(SUBSTITUTE(SUBSTITUTE(SUBSTITUTE(E50," ",""),"0",""),"-",""))+LEN(SUBSTITUTE(SUBSTITUTE(SUBSTITUTE(F50," ",""),"0",""),"-",""))+LEN(SUBSTITUTE(SUBSTITUTE(SUBSTITUTE(E51," ",""),"0",""),"-",""))+LEN(SUBSTITUTE(SUBSTITUTE(SUBSTITUTE(F51," ",""),"0",""),"-",""))+LEN(SUBSTITUTE(SUBSTITUTE(SUBSTITUTE(E52," ",""),"0",""),"-",""))+LEN(SUBSTITUTE(SUBSTITUTE(SUBSTITUTE(F52," ",""),"0",""),"-",""))</f>
      </c>
      <c r="F47" s="14" t="str">
        <f>IF(UPPER(D48)="X",0,IF((LEN(SUBSTITUTE(SUBSTITUTE(SUBSTITUTE(E48," ",""),"0",""),"-",""))+LEN(SUBSTITUTE(SUBSTITUTE(SUBSTITUTE(F48," ",""),"0",""),"-","")))&gt;(LEN(SUBSTITUTE(SUBSTITUTE(SUBSTITUTE(B48," ",""),"0",""),"-",""))+LEN(SUBSTITUTE(SUBSTITUTE(SUBSTITUTE(C48," ",""),"0",""),"-",""))),1,0))+IF(UPPER(D49)="X",0,IF((LEN(SUBSTITUTE(SUBSTITUTE(SUBSTITUTE(E49," ",""),"0",""),"-",""))+LEN(SUBSTITUTE(SUBSTITUTE(SUBSTITUTE(F49," ",""),"0",""),"-","")))&gt;(LEN(SUBSTITUTE(SUBSTITUTE(SUBSTITUTE(B49," ",""),"0",""),"-",""))+LEN(SUBSTITUTE(SUBSTITUTE(SUBSTITUTE(C49," ",""),"0",""),"-",""))),1,0))+IF(UPPER(D50)="X",0,IF((LEN(SUBSTITUTE(SUBSTITUTE(SUBSTITUTE(E50," ",""),"0",""),"-",""))+LEN(SUBSTITUTE(SUBSTITUTE(SUBSTITUTE(F50," ",""),"0",""),"-","")))&gt;(LEN(SUBSTITUTE(SUBSTITUTE(SUBSTITUTE(B50," ",""),"0",""),"-",""))+LEN(SUBSTITUTE(SUBSTITUTE(SUBSTITUTE(C50," ",""),"0",""),"-",""))),1,0))+IF(UPPER(D51)="X",0,IF((LEN(SUBSTITUTE(SUBSTITUTE(SUBSTITUTE(E51," ",""),"0",""),"-",""))+LEN(SUBSTITUTE(SUBSTITUTE(SUBSTITUTE(F51," ",""),"0",""),"-","")))&gt;(LEN(SUBSTITUTE(SUBSTITUTE(SUBSTITUTE(B51," ",""),"0",""),"-",""))+LEN(SUBSTITUTE(SUBSTITUTE(SUBSTITUTE(C51," ",""),"0",""),"-",""))),1,0))+IF(UPPER(D52)="X",0,IF((LEN(SUBSTITUTE(SUBSTITUTE(SUBSTITUTE(E52," ",""),"0",""),"-",""))+LEN(SUBSTITUTE(SUBSTITUTE(SUBSTITUTE(F52," ",""),"0",""),"-","")))&gt;(LEN(SUBSTITUTE(SUBSTITUTE(SUBSTITUTE(B52," ",""),"0",""),"-",""))+LEN(SUBSTITUTE(SUBSTITUTE(SUBSTITUTE(C52," ",""),"0",""),"-",""))),1,0))</f>
      </c>
      <c r="G47" s="14" t="str">
        <f>data!$E$6&amp;" "&amp;data!$B$6</f>
      </c>
      <c r="I47" s="14" t="str">
        <f>data!$E$54&amp;" "&amp;data!$B$54</f>
      </c>
      <c r="J47" s="14" t="str">
        <f>IF(UPPER(L48)="X",0,IF((LEN(SUBSTITUTE(SUBSTITUTE(SUBSTITUTE(J48," ",""),"0",""),"-",""))+LEN(SUBSTITUTE(SUBSTITUTE(SUBSTITUTE(K48," ",""),"0",""),"-","")))&gt;(LEN(SUBSTITUTE(SUBSTITUTE(SUBSTITUTE(M48," ",""),"0",""),"-",""))+LEN(SUBSTITUTE(SUBSTITUTE(SUBSTITUTE(N48," ",""),"0",""),"-",""))),1,0))+IF(UPPER(L49)="X",0,IF((LEN(SUBSTITUTE(SUBSTITUTE(SUBSTITUTE(J49," ",""),"0",""),"-",""))+LEN(SUBSTITUTE(SUBSTITUTE(SUBSTITUTE(K49," ",""),"0",""),"-","")))&gt;(LEN(SUBSTITUTE(SUBSTITUTE(SUBSTITUTE(M49," ",""),"0",""),"-",""))+LEN(SUBSTITUTE(SUBSTITUTE(SUBSTITUTE(N49," ",""),"0",""),"-",""))),1,0))+IF(UPPER(L50)="X",0,IF((LEN(SUBSTITUTE(SUBSTITUTE(SUBSTITUTE(J50," ",""),"0",""),"-",""))+LEN(SUBSTITUTE(SUBSTITUTE(SUBSTITUTE(K50," ",""),"0",""),"-","")))&gt;(LEN(SUBSTITUTE(SUBSTITUTE(SUBSTITUTE(M50," ",""),"0",""),"-",""))+LEN(SUBSTITUTE(SUBSTITUTE(SUBSTITUTE(N50," ",""),"0",""),"-",""))),1,0))+IF(UPPER(L51)="X",0,IF((LEN(SUBSTITUTE(SUBSTITUTE(SUBSTITUTE(J51," ",""),"0",""),"-",""))+LEN(SUBSTITUTE(SUBSTITUTE(SUBSTITUTE(K51," ",""),"0",""),"-","")))&gt;(LEN(SUBSTITUTE(SUBSTITUTE(SUBSTITUTE(M51," ",""),"0",""),"-",""))+LEN(SUBSTITUTE(SUBSTITUTE(SUBSTITUTE(N51," ",""),"0",""),"-",""))),1,0))+IF(UPPER(L52)="X",0,IF((LEN(SUBSTITUTE(SUBSTITUTE(SUBSTITUTE(J52," ",""),"0",""),"-",""))+LEN(SUBSTITUTE(SUBSTITUTE(SUBSTITUTE(K52," ",""),"0",""),"-","")))&gt;(LEN(SUBSTITUTE(SUBSTITUTE(SUBSTITUTE(M52," ",""),"0",""),"-",""))+LEN(SUBSTITUTE(SUBSTITUTE(SUBSTITUTE(N52," ",""),"0",""),"-",""))),1,0))</f>
      </c>
      <c r="K47" s="14" t="str">
        <f>LEN(SUBSTITUTE(SUBSTITUTE(SUBSTITUTE(J48," ",""),"0",""),"-",""))+LEN(SUBSTITUTE(SUBSTITUTE(SUBSTITUTE(K48," ",""),"0",""),"-",""))+LEN(SUBSTITUTE(SUBSTITUTE(SUBSTITUTE(J49," ",""),"0",""),"-",""))+LEN(SUBSTITUTE(SUBSTITUTE(SUBSTITUTE(K49," ",""),"0",""),"-",""))+LEN(SUBSTITUTE(SUBSTITUTE(SUBSTITUTE(J50," ",""),"0",""),"-",""))+LEN(SUBSTITUTE(SUBSTITUTE(SUBSTITUTE(K50," ",""),"0",""),"-",""))+LEN(SUBSTITUTE(SUBSTITUTE(SUBSTITUTE(J51," ",""),"0",""),"-",""))+LEN(SUBSTITUTE(SUBSTITUTE(SUBSTITUTE(K51," ",""),"0",""),"-",""))+LEN(SUBSTITUTE(SUBSTITUTE(SUBSTITUTE(J52," ",""),"0",""),"-",""))+LEN(SUBSTITUTE(SUBSTITUTE(SUBSTITUTE(K52," ",""),"0",""),"-",""))</f>
      </c>
      <c r="L47" s="18"/>
      <c r="M47" s="14" t="str">
        <f>LEN(SUBSTITUTE(SUBSTITUTE(SUBSTITUTE(M48," ",""),"0",""),"-",""))+LEN(SUBSTITUTE(SUBSTITUTE(SUBSTITUTE(N48," ",""),"0",""),"-",""))+LEN(SUBSTITUTE(SUBSTITUTE(SUBSTITUTE(M49," ",""),"0",""),"-",""))+LEN(SUBSTITUTE(SUBSTITUTE(SUBSTITUTE(N49," ",""),"0",""),"-",""))+LEN(SUBSTITUTE(SUBSTITUTE(SUBSTITUTE(M50," ",""),"0",""),"-",""))+LEN(SUBSTITUTE(SUBSTITUTE(SUBSTITUTE(N50," ",""),"0",""),"-",""))+LEN(SUBSTITUTE(SUBSTITUTE(SUBSTITUTE(M51," ",""),"0",""),"-",""))+LEN(SUBSTITUTE(SUBSTITUTE(SUBSTITUTE(N51," ",""),"0",""),"-",""))+LEN(SUBSTITUTE(SUBSTITUTE(SUBSTITUTE(M52," ",""),"0",""),"-",""))+LEN(SUBSTITUTE(SUBSTITUTE(SUBSTITUTE(N52," ",""),"0",""),"-",""))</f>
      </c>
      <c r="N47" s="14" t="str">
        <f>IF(UPPER(L48)="X",0,IF((LEN(SUBSTITUTE(SUBSTITUTE(SUBSTITUTE(M48," ",""),"0",""),"-",""))+LEN(SUBSTITUTE(SUBSTITUTE(SUBSTITUTE(N48," ",""),"0",""),"-","")))&gt;(LEN(SUBSTITUTE(SUBSTITUTE(SUBSTITUTE(J48," ",""),"0",""),"-",""))+LEN(SUBSTITUTE(SUBSTITUTE(SUBSTITUTE(K48," ",""),"0",""),"-",""))),1,0))+IF(UPPER(L49)="X",0,IF((LEN(SUBSTITUTE(SUBSTITUTE(SUBSTITUTE(M49," ",""),"0",""),"-",""))+LEN(SUBSTITUTE(SUBSTITUTE(SUBSTITUTE(N49," ",""),"0",""),"-","")))&gt;(LEN(SUBSTITUTE(SUBSTITUTE(SUBSTITUTE(J49," ",""),"0",""),"-",""))+LEN(SUBSTITUTE(SUBSTITUTE(SUBSTITUTE(K49," ",""),"0",""),"-",""))),1,0))+IF(UPPER(L50)="X",0,IF((LEN(SUBSTITUTE(SUBSTITUTE(SUBSTITUTE(M50," ",""),"0",""),"-",""))+LEN(SUBSTITUTE(SUBSTITUTE(SUBSTITUTE(N50," ",""),"0",""),"-","")))&gt;(LEN(SUBSTITUTE(SUBSTITUTE(SUBSTITUTE(J50," ",""),"0",""),"-",""))+LEN(SUBSTITUTE(SUBSTITUTE(SUBSTITUTE(K50," ",""),"0",""),"-",""))),1,0))+IF(UPPER(L51)="X",0,IF((LEN(SUBSTITUTE(SUBSTITUTE(SUBSTITUTE(M51," ",""),"0",""),"-",""))+LEN(SUBSTITUTE(SUBSTITUTE(SUBSTITUTE(N51," ",""),"0",""),"-","")))&gt;(LEN(SUBSTITUTE(SUBSTITUTE(SUBSTITUTE(J51," ",""),"0",""),"-",""))+LEN(SUBSTITUTE(SUBSTITUTE(SUBSTITUTE(K51," ",""),"0",""),"-",""))),1,0))+IF(UPPER(L52)="X",0,IF((LEN(SUBSTITUTE(SUBSTITUTE(SUBSTITUTE(M52," ",""),"0",""),"-",""))+LEN(SUBSTITUTE(SUBSTITUTE(SUBSTITUTE(N52," ",""),"0",""),"-","")))&gt;(LEN(SUBSTITUTE(SUBSTITUTE(SUBSTITUTE(J52," ",""),"0",""),"-",""))+LEN(SUBSTITUTE(SUBSTITUTE(SUBSTITUTE(K52," ",""),"0",""),"-",""))),1,0))</f>
      </c>
      <c r="O47" s="14" t="str">
        <f>data!$E$53&amp;" "&amp;data!$B$53</f>
      </c>
    </row>
    <row r="48">
      <c r="A48" s="14">
        <v>1</v>
      </c>
      <c r="B48" s="18"/>
      <c r="C48" s="18"/>
      <c r="D48" s="18"/>
      <c r="E48" s="18"/>
      <c r="F48" s="18"/>
      <c r="G48" s="14">
        <v>1</v>
      </c>
      <c r="I48" s="14">
        <v>1</v>
      </c>
      <c r="J48" s="18"/>
      <c r="K48" s="18"/>
      <c r="L48" s="18"/>
      <c r="M48" s="18"/>
      <c r="N48" s="18"/>
      <c r="O48" s="14">
        <v>1</v>
      </c>
    </row>
    <row r="49">
      <c r="A49" s="14">
        <v>2</v>
      </c>
      <c r="B49" s="18"/>
      <c r="C49" s="18"/>
      <c r="D49" s="18"/>
      <c r="E49" s="18"/>
      <c r="F49" s="18"/>
      <c r="G49" s="14">
        <v>2</v>
      </c>
      <c r="I49" s="14">
        <v>2</v>
      </c>
      <c r="J49" s="18"/>
      <c r="K49" s="18"/>
      <c r="L49" s="18"/>
      <c r="M49" s="18"/>
      <c r="N49" s="18"/>
      <c r="O49" s="14">
        <v>2</v>
      </c>
    </row>
    <row r="50">
      <c r="A50" s="14">
        <v>3</v>
      </c>
      <c r="B50" s="18"/>
      <c r="C50" s="18"/>
      <c r="D50" s="18"/>
      <c r="E50" s="18"/>
      <c r="F50" s="18"/>
      <c r="G50" s="14">
        <v>3</v>
      </c>
      <c r="I50" s="14">
        <v>3</v>
      </c>
      <c r="J50" s="18"/>
      <c r="K50" s="18"/>
      <c r="L50" s="18"/>
      <c r="M50" s="18"/>
      <c r="N50" s="18"/>
      <c r="O50" s="14">
        <v>3</v>
      </c>
    </row>
    <row r="51">
      <c r="A51" s="14">
        <v>4</v>
      </c>
      <c r="B51" s="18"/>
      <c r="C51" s="18"/>
      <c r="D51" s="18"/>
      <c r="E51" s="18"/>
      <c r="F51" s="18"/>
      <c r="G51" s="14">
        <v>4</v>
      </c>
      <c r="I51" s="14">
        <v>4</v>
      </c>
      <c r="J51" s="18"/>
      <c r="K51" s="18"/>
      <c r="L51" s="18"/>
      <c r="M51" s="18"/>
      <c r="N51" s="18"/>
      <c r="O51" s="14">
        <v>4</v>
      </c>
    </row>
    <row r="52">
      <c r="A52" s="14">
        <v>5</v>
      </c>
      <c r="B52" s="18"/>
      <c r="C52" s="18"/>
      <c r="D52" s="18"/>
      <c r="E52" s="18"/>
      <c r="F52" s="18"/>
      <c r="G52" s="14">
        <v>5</v>
      </c>
      <c r="I52" s="14">
        <v>5</v>
      </c>
      <c r="J52" s="18"/>
      <c r="K52" s="18"/>
      <c r="L52" s="18"/>
      <c r="M52" s="18"/>
      <c r="N52" s="18"/>
      <c r="O52" s="14">
        <v>5</v>
      </c>
    </row>
    <row r="54">
      <c r="A54" s="17" t="s">
        <v>331</v>
      </c>
      <c r="B54" s="14"/>
      <c r="C54" s="14"/>
      <c r="D54" s="14" t="s">
        <v>332</v>
      </c>
      <c r="E54" s="14"/>
      <c r="F54" s="14"/>
      <c r="G54" s="16" t="s">
        <v>333</v>
      </c>
      <c r="I54" s="17" t="s">
        <v>331</v>
      </c>
      <c r="J54" s="14"/>
      <c r="K54" s="14"/>
      <c r="L54" s="14" t="s">
        <v>332</v>
      </c>
      <c r="M54" s="14"/>
      <c r="N54" s="14"/>
      <c r="O54" s="16" t="s">
        <v>333</v>
      </c>
    </row>
    <row r="55">
      <c r="A55" s="14" t="str">
        <f>data!$E$8&amp;" "&amp;data!$B$8</f>
      </c>
      <c r="B55" s="14" t="str">
        <f>IF(UPPER(D56)="X",0,IF((LEN(SUBSTITUTE(SUBSTITUTE(SUBSTITUTE(B56," ",""),"0",""),"-",""))+LEN(SUBSTITUTE(SUBSTITUTE(SUBSTITUTE(C56," ",""),"0",""),"-","")))&gt;(LEN(SUBSTITUTE(SUBSTITUTE(SUBSTITUTE(E56," ",""),"0",""),"-",""))+LEN(SUBSTITUTE(SUBSTITUTE(SUBSTITUTE(F56," ",""),"0",""),"-",""))),1,0))+IF(UPPER(D57)="X",0,IF((LEN(SUBSTITUTE(SUBSTITUTE(SUBSTITUTE(B57," ",""),"0",""),"-",""))+LEN(SUBSTITUTE(SUBSTITUTE(SUBSTITUTE(C57," ",""),"0",""),"-","")))&gt;(LEN(SUBSTITUTE(SUBSTITUTE(SUBSTITUTE(E57," ",""),"0",""),"-",""))+LEN(SUBSTITUTE(SUBSTITUTE(SUBSTITUTE(F57," ",""),"0",""),"-",""))),1,0))+IF(UPPER(D58)="X",0,IF((LEN(SUBSTITUTE(SUBSTITUTE(SUBSTITUTE(B58," ",""),"0",""),"-",""))+LEN(SUBSTITUTE(SUBSTITUTE(SUBSTITUTE(C58," ",""),"0",""),"-","")))&gt;(LEN(SUBSTITUTE(SUBSTITUTE(SUBSTITUTE(E58," ",""),"0",""),"-",""))+LEN(SUBSTITUTE(SUBSTITUTE(SUBSTITUTE(F58," ",""),"0",""),"-",""))),1,0))+IF(UPPER(D59)="X",0,IF((LEN(SUBSTITUTE(SUBSTITUTE(SUBSTITUTE(B59," ",""),"0",""),"-",""))+LEN(SUBSTITUTE(SUBSTITUTE(SUBSTITUTE(C59," ",""),"0",""),"-","")))&gt;(LEN(SUBSTITUTE(SUBSTITUTE(SUBSTITUTE(E59," ",""),"0",""),"-",""))+LEN(SUBSTITUTE(SUBSTITUTE(SUBSTITUTE(F59," ",""),"0",""),"-",""))),1,0))+IF(UPPER(D60)="X",0,IF((LEN(SUBSTITUTE(SUBSTITUTE(SUBSTITUTE(B60," ",""),"0",""),"-",""))+LEN(SUBSTITUTE(SUBSTITUTE(SUBSTITUTE(C60," ",""),"0",""),"-","")))&gt;(LEN(SUBSTITUTE(SUBSTITUTE(SUBSTITUTE(E60," ",""),"0",""),"-",""))+LEN(SUBSTITUTE(SUBSTITUTE(SUBSTITUTE(F60," ",""),"0",""),"-",""))),1,0))</f>
      </c>
      <c r="C55" s="14" t="str">
        <f>LEN(SUBSTITUTE(SUBSTITUTE(SUBSTITUTE(B56," ",""),"0",""),"-",""))+LEN(SUBSTITUTE(SUBSTITUTE(SUBSTITUTE(C56," ",""),"0",""),"-",""))+LEN(SUBSTITUTE(SUBSTITUTE(SUBSTITUTE(B57," ",""),"0",""),"-",""))+LEN(SUBSTITUTE(SUBSTITUTE(SUBSTITUTE(C57," ",""),"0",""),"-",""))+LEN(SUBSTITUTE(SUBSTITUTE(SUBSTITUTE(B58," ",""),"0",""),"-",""))+LEN(SUBSTITUTE(SUBSTITUTE(SUBSTITUTE(C58," ",""),"0",""),"-",""))+LEN(SUBSTITUTE(SUBSTITUTE(SUBSTITUTE(B59," ",""),"0",""),"-",""))+LEN(SUBSTITUTE(SUBSTITUTE(SUBSTITUTE(C59," ",""),"0",""),"-",""))+LEN(SUBSTITUTE(SUBSTITUTE(SUBSTITUTE(B60," ",""),"0",""),"-",""))+LEN(SUBSTITUTE(SUBSTITUTE(SUBSTITUTE(C60," ",""),"0",""),"-",""))</f>
      </c>
      <c r="D55" s="18"/>
      <c r="E55" s="14" t="str">
        <f>LEN(SUBSTITUTE(SUBSTITUTE(SUBSTITUTE(E56," ",""),"0",""),"-",""))+LEN(SUBSTITUTE(SUBSTITUTE(SUBSTITUTE(F56," ",""),"0",""),"-",""))+LEN(SUBSTITUTE(SUBSTITUTE(SUBSTITUTE(E57," ",""),"0",""),"-",""))+LEN(SUBSTITUTE(SUBSTITUTE(SUBSTITUTE(F57," ",""),"0",""),"-",""))+LEN(SUBSTITUTE(SUBSTITUTE(SUBSTITUTE(E58," ",""),"0",""),"-",""))+LEN(SUBSTITUTE(SUBSTITUTE(SUBSTITUTE(F58," ",""),"0",""),"-",""))+LEN(SUBSTITUTE(SUBSTITUTE(SUBSTITUTE(E59," ",""),"0",""),"-",""))+LEN(SUBSTITUTE(SUBSTITUTE(SUBSTITUTE(F59," ",""),"0",""),"-",""))+LEN(SUBSTITUTE(SUBSTITUTE(SUBSTITUTE(E60," ",""),"0",""),"-",""))+LEN(SUBSTITUTE(SUBSTITUTE(SUBSTITUTE(F60," ",""),"0",""),"-",""))</f>
      </c>
      <c r="F55" s="14" t="str">
        <f>IF(UPPER(D56)="X",0,IF((LEN(SUBSTITUTE(SUBSTITUTE(SUBSTITUTE(E56," ",""),"0",""),"-",""))+LEN(SUBSTITUTE(SUBSTITUTE(SUBSTITUTE(F56," ",""),"0",""),"-","")))&gt;(LEN(SUBSTITUTE(SUBSTITUTE(SUBSTITUTE(B56," ",""),"0",""),"-",""))+LEN(SUBSTITUTE(SUBSTITUTE(SUBSTITUTE(C56," ",""),"0",""),"-",""))),1,0))+IF(UPPER(D57)="X",0,IF((LEN(SUBSTITUTE(SUBSTITUTE(SUBSTITUTE(E57," ",""),"0",""),"-",""))+LEN(SUBSTITUTE(SUBSTITUTE(SUBSTITUTE(F57," ",""),"0",""),"-","")))&gt;(LEN(SUBSTITUTE(SUBSTITUTE(SUBSTITUTE(B57," ",""),"0",""),"-",""))+LEN(SUBSTITUTE(SUBSTITUTE(SUBSTITUTE(C57," ",""),"0",""),"-",""))),1,0))+IF(UPPER(D58)="X",0,IF((LEN(SUBSTITUTE(SUBSTITUTE(SUBSTITUTE(E58," ",""),"0",""),"-",""))+LEN(SUBSTITUTE(SUBSTITUTE(SUBSTITUTE(F58," ",""),"0",""),"-","")))&gt;(LEN(SUBSTITUTE(SUBSTITUTE(SUBSTITUTE(B58," ",""),"0",""),"-",""))+LEN(SUBSTITUTE(SUBSTITUTE(SUBSTITUTE(C58," ",""),"0",""),"-",""))),1,0))+IF(UPPER(D59)="X",0,IF((LEN(SUBSTITUTE(SUBSTITUTE(SUBSTITUTE(E59," ",""),"0",""),"-",""))+LEN(SUBSTITUTE(SUBSTITUTE(SUBSTITUTE(F59," ",""),"0",""),"-","")))&gt;(LEN(SUBSTITUTE(SUBSTITUTE(SUBSTITUTE(B59," ",""),"0",""),"-",""))+LEN(SUBSTITUTE(SUBSTITUTE(SUBSTITUTE(C59," ",""),"0",""),"-",""))),1,0))+IF(UPPER(D60)="X",0,IF((LEN(SUBSTITUTE(SUBSTITUTE(SUBSTITUTE(E60," ",""),"0",""),"-",""))+LEN(SUBSTITUTE(SUBSTITUTE(SUBSTITUTE(F60," ",""),"0",""),"-","")))&gt;(LEN(SUBSTITUTE(SUBSTITUTE(SUBSTITUTE(B60," ",""),"0",""),"-",""))+LEN(SUBSTITUTE(SUBSTITUTE(SUBSTITUTE(C60," ",""),"0",""),"-",""))),1,0))</f>
      </c>
      <c r="G55" s="14" t="str">
        <f>data!$E$6&amp;" "&amp;data!$B$6</f>
      </c>
      <c r="I55" s="14" t="str">
        <f>data!$E$55&amp;" "&amp;data!$B$55</f>
      </c>
      <c r="J55" s="14" t="str">
        <f>IF(UPPER(L56)="X",0,IF((LEN(SUBSTITUTE(SUBSTITUTE(SUBSTITUTE(J56," ",""),"0",""),"-",""))+LEN(SUBSTITUTE(SUBSTITUTE(SUBSTITUTE(K56," ",""),"0",""),"-","")))&gt;(LEN(SUBSTITUTE(SUBSTITUTE(SUBSTITUTE(M56," ",""),"0",""),"-",""))+LEN(SUBSTITUTE(SUBSTITUTE(SUBSTITUTE(N56," ",""),"0",""),"-",""))),1,0))+IF(UPPER(L57)="X",0,IF((LEN(SUBSTITUTE(SUBSTITUTE(SUBSTITUTE(J57," ",""),"0",""),"-",""))+LEN(SUBSTITUTE(SUBSTITUTE(SUBSTITUTE(K57," ",""),"0",""),"-","")))&gt;(LEN(SUBSTITUTE(SUBSTITUTE(SUBSTITUTE(M57," ",""),"0",""),"-",""))+LEN(SUBSTITUTE(SUBSTITUTE(SUBSTITUTE(N57," ",""),"0",""),"-",""))),1,0))+IF(UPPER(L58)="X",0,IF((LEN(SUBSTITUTE(SUBSTITUTE(SUBSTITUTE(J58," ",""),"0",""),"-",""))+LEN(SUBSTITUTE(SUBSTITUTE(SUBSTITUTE(K58," ",""),"0",""),"-","")))&gt;(LEN(SUBSTITUTE(SUBSTITUTE(SUBSTITUTE(M58," ",""),"0",""),"-",""))+LEN(SUBSTITUTE(SUBSTITUTE(SUBSTITUTE(N58," ",""),"0",""),"-",""))),1,0))+IF(UPPER(L59)="X",0,IF((LEN(SUBSTITUTE(SUBSTITUTE(SUBSTITUTE(J59," ",""),"0",""),"-",""))+LEN(SUBSTITUTE(SUBSTITUTE(SUBSTITUTE(K59," ",""),"0",""),"-","")))&gt;(LEN(SUBSTITUTE(SUBSTITUTE(SUBSTITUTE(M59," ",""),"0",""),"-",""))+LEN(SUBSTITUTE(SUBSTITUTE(SUBSTITUTE(N59," ",""),"0",""),"-",""))),1,0))+IF(UPPER(L60)="X",0,IF((LEN(SUBSTITUTE(SUBSTITUTE(SUBSTITUTE(J60," ",""),"0",""),"-",""))+LEN(SUBSTITUTE(SUBSTITUTE(SUBSTITUTE(K60," ",""),"0",""),"-","")))&gt;(LEN(SUBSTITUTE(SUBSTITUTE(SUBSTITUTE(M60," ",""),"0",""),"-",""))+LEN(SUBSTITUTE(SUBSTITUTE(SUBSTITUTE(N60," ",""),"0",""),"-",""))),1,0))</f>
      </c>
      <c r="K55" s="14" t="str">
        <f>LEN(SUBSTITUTE(SUBSTITUTE(SUBSTITUTE(J56," ",""),"0",""),"-",""))+LEN(SUBSTITUTE(SUBSTITUTE(SUBSTITUTE(K56," ",""),"0",""),"-",""))+LEN(SUBSTITUTE(SUBSTITUTE(SUBSTITUTE(J57," ",""),"0",""),"-",""))+LEN(SUBSTITUTE(SUBSTITUTE(SUBSTITUTE(K57," ",""),"0",""),"-",""))+LEN(SUBSTITUTE(SUBSTITUTE(SUBSTITUTE(J58," ",""),"0",""),"-",""))+LEN(SUBSTITUTE(SUBSTITUTE(SUBSTITUTE(K58," ",""),"0",""),"-",""))+LEN(SUBSTITUTE(SUBSTITUTE(SUBSTITUTE(J59," ",""),"0",""),"-",""))+LEN(SUBSTITUTE(SUBSTITUTE(SUBSTITUTE(K59," ",""),"0",""),"-",""))+LEN(SUBSTITUTE(SUBSTITUTE(SUBSTITUTE(J60," ",""),"0",""),"-",""))+LEN(SUBSTITUTE(SUBSTITUTE(SUBSTITUTE(K60," ",""),"0",""),"-",""))</f>
      </c>
      <c r="L55" s="18"/>
      <c r="M55" s="14" t="str">
        <f>LEN(SUBSTITUTE(SUBSTITUTE(SUBSTITUTE(M56," ",""),"0",""),"-",""))+LEN(SUBSTITUTE(SUBSTITUTE(SUBSTITUTE(N56," ",""),"0",""),"-",""))+LEN(SUBSTITUTE(SUBSTITUTE(SUBSTITUTE(M57," ",""),"0",""),"-",""))+LEN(SUBSTITUTE(SUBSTITUTE(SUBSTITUTE(N57," ",""),"0",""),"-",""))+LEN(SUBSTITUTE(SUBSTITUTE(SUBSTITUTE(M58," ",""),"0",""),"-",""))+LEN(SUBSTITUTE(SUBSTITUTE(SUBSTITUTE(N58," ",""),"0",""),"-",""))+LEN(SUBSTITUTE(SUBSTITUTE(SUBSTITUTE(M59," ",""),"0",""),"-",""))+LEN(SUBSTITUTE(SUBSTITUTE(SUBSTITUTE(N59," ",""),"0",""),"-",""))+LEN(SUBSTITUTE(SUBSTITUTE(SUBSTITUTE(M60," ",""),"0",""),"-",""))+LEN(SUBSTITUTE(SUBSTITUTE(SUBSTITUTE(N60," ",""),"0",""),"-",""))</f>
      </c>
      <c r="N55" s="14" t="str">
        <f>IF(UPPER(L56)="X",0,IF((LEN(SUBSTITUTE(SUBSTITUTE(SUBSTITUTE(M56," ",""),"0",""),"-",""))+LEN(SUBSTITUTE(SUBSTITUTE(SUBSTITUTE(N56," ",""),"0",""),"-","")))&gt;(LEN(SUBSTITUTE(SUBSTITUTE(SUBSTITUTE(J56," ",""),"0",""),"-",""))+LEN(SUBSTITUTE(SUBSTITUTE(SUBSTITUTE(K56," ",""),"0",""),"-",""))),1,0))+IF(UPPER(L57)="X",0,IF((LEN(SUBSTITUTE(SUBSTITUTE(SUBSTITUTE(M57," ",""),"0",""),"-",""))+LEN(SUBSTITUTE(SUBSTITUTE(SUBSTITUTE(N57," ",""),"0",""),"-","")))&gt;(LEN(SUBSTITUTE(SUBSTITUTE(SUBSTITUTE(J57," ",""),"0",""),"-",""))+LEN(SUBSTITUTE(SUBSTITUTE(SUBSTITUTE(K57," ",""),"0",""),"-",""))),1,0))+IF(UPPER(L58)="X",0,IF((LEN(SUBSTITUTE(SUBSTITUTE(SUBSTITUTE(M58," ",""),"0",""),"-",""))+LEN(SUBSTITUTE(SUBSTITUTE(SUBSTITUTE(N58," ",""),"0",""),"-","")))&gt;(LEN(SUBSTITUTE(SUBSTITUTE(SUBSTITUTE(J58," ",""),"0",""),"-",""))+LEN(SUBSTITUTE(SUBSTITUTE(SUBSTITUTE(K58," ",""),"0",""),"-",""))),1,0))+IF(UPPER(L59)="X",0,IF((LEN(SUBSTITUTE(SUBSTITUTE(SUBSTITUTE(M59," ",""),"0",""),"-",""))+LEN(SUBSTITUTE(SUBSTITUTE(SUBSTITUTE(N59," ",""),"0",""),"-","")))&gt;(LEN(SUBSTITUTE(SUBSTITUTE(SUBSTITUTE(J59," ",""),"0",""),"-",""))+LEN(SUBSTITUTE(SUBSTITUTE(SUBSTITUTE(K59," ",""),"0",""),"-",""))),1,0))+IF(UPPER(L60)="X",0,IF((LEN(SUBSTITUTE(SUBSTITUTE(SUBSTITUTE(M60," ",""),"0",""),"-",""))+LEN(SUBSTITUTE(SUBSTITUTE(SUBSTITUTE(N60," ",""),"0",""),"-","")))&gt;(LEN(SUBSTITUTE(SUBSTITUTE(SUBSTITUTE(J60," ",""),"0",""),"-",""))+LEN(SUBSTITUTE(SUBSTITUTE(SUBSTITUTE(K60," ",""),"0",""),"-",""))),1,0))</f>
      </c>
      <c r="O55" s="14" t="str">
        <f>data!$E$53&amp;" "&amp;data!$B$53</f>
      </c>
    </row>
    <row r="56">
      <c r="A56" s="14">
        <v>1</v>
      </c>
      <c r="B56" s="18"/>
      <c r="C56" s="18"/>
      <c r="D56" s="18"/>
      <c r="E56" s="18"/>
      <c r="F56" s="18"/>
      <c r="G56" s="14">
        <v>1</v>
      </c>
      <c r="I56" s="14">
        <v>1</v>
      </c>
      <c r="J56" s="18"/>
      <c r="K56" s="18"/>
      <c r="L56" s="18"/>
      <c r="M56" s="18"/>
      <c r="N56" s="18"/>
      <c r="O56" s="14">
        <v>1</v>
      </c>
    </row>
    <row r="57">
      <c r="A57" s="14">
        <v>2</v>
      </c>
      <c r="B57" s="18"/>
      <c r="C57" s="18"/>
      <c r="D57" s="18"/>
      <c r="E57" s="18"/>
      <c r="F57" s="18"/>
      <c r="G57" s="14">
        <v>2</v>
      </c>
      <c r="I57" s="14">
        <v>2</v>
      </c>
      <c r="J57" s="18"/>
      <c r="K57" s="18"/>
      <c r="L57" s="18"/>
      <c r="M57" s="18"/>
      <c r="N57" s="18"/>
      <c r="O57" s="14">
        <v>2</v>
      </c>
    </row>
    <row r="58">
      <c r="A58" s="14">
        <v>3</v>
      </c>
      <c r="B58" s="18"/>
      <c r="C58" s="18"/>
      <c r="D58" s="18"/>
      <c r="E58" s="18"/>
      <c r="F58" s="18"/>
      <c r="G58" s="14">
        <v>3</v>
      </c>
      <c r="I58" s="14">
        <v>3</v>
      </c>
      <c r="J58" s="18"/>
      <c r="K58" s="18"/>
      <c r="L58" s="18"/>
      <c r="M58" s="18"/>
      <c r="N58" s="18"/>
      <c r="O58" s="14">
        <v>3</v>
      </c>
    </row>
    <row r="59">
      <c r="A59" s="14">
        <v>4</v>
      </c>
      <c r="B59" s="18"/>
      <c r="C59" s="18"/>
      <c r="D59" s="18"/>
      <c r="E59" s="18"/>
      <c r="F59" s="18"/>
      <c r="G59" s="14">
        <v>4</v>
      </c>
      <c r="I59" s="14">
        <v>4</v>
      </c>
      <c r="J59" s="18"/>
      <c r="K59" s="18"/>
      <c r="L59" s="18"/>
      <c r="M59" s="18"/>
      <c r="N59" s="18"/>
      <c r="O59" s="14">
        <v>4</v>
      </c>
    </row>
    <row r="60">
      <c r="A60" s="14">
        <v>5</v>
      </c>
      <c r="B60" s="18"/>
      <c r="C60" s="18"/>
      <c r="D60" s="18"/>
      <c r="E60" s="18"/>
      <c r="F60" s="18"/>
      <c r="G60" s="14">
        <v>5</v>
      </c>
      <c r="I60" s="14">
        <v>5</v>
      </c>
      <c r="J60" s="18"/>
      <c r="K60" s="18"/>
      <c r="L60" s="18"/>
      <c r="M60" s="18"/>
      <c r="N60" s="18"/>
      <c r="O60" s="14">
        <v>5</v>
      </c>
    </row>
    <row r="62">
      <c r="A62" s="17" t="s">
        <v>331</v>
      </c>
      <c r="B62" s="14"/>
      <c r="C62" s="14"/>
      <c r="D62" s="14" t="s">
        <v>332</v>
      </c>
      <c r="E62" s="14"/>
      <c r="F62" s="14"/>
      <c r="G62" s="16" t="s">
        <v>333</v>
      </c>
      <c r="I62" s="17" t="s">
        <v>331</v>
      </c>
      <c r="J62" s="14"/>
      <c r="K62" s="14"/>
      <c r="L62" s="14" t="s">
        <v>332</v>
      </c>
      <c r="M62" s="14"/>
      <c r="N62" s="14"/>
      <c r="O62" s="16" t="s">
        <v>333</v>
      </c>
    </row>
    <row r="63">
      <c r="A63" s="14" t="str">
        <f>data!$E$8&amp;" "&amp;data!$B$8</f>
      </c>
      <c r="B63" s="14" t="str">
        <f>IF(UPPER(D64)="X",0,IF((LEN(SUBSTITUTE(SUBSTITUTE(SUBSTITUTE(B64," ",""),"0",""),"-",""))+LEN(SUBSTITUTE(SUBSTITUTE(SUBSTITUTE(C64," ",""),"0",""),"-","")))&gt;(LEN(SUBSTITUTE(SUBSTITUTE(SUBSTITUTE(E64," ",""),"0",""),"-",""))+LEN(SUBSTITUTE(SUBSTITUTE(SUBSTITUTE(F64," ",""),"0",""),"-",""))),1,0))+IF(UPPER(D65)="X",0,IF((LEN(SUBSTITUTE(SUBSTITUTE(SUBSTITUTE(B65," ",""),"0",""),"-",""))+LEN(SUBSTITUTE(SUBSTITUTE(SUBSTITUTE(C65," ",""),"0",""),"-","")))&gt;(LEN(SUBSTITUTE(SUBSTITUTE(SUBSTITUTE(E65," ",""),"0",""),"-",""))+LEN(SUBSTITUTE(SUBSTITUTE(SUBSTITUTE(F65," ",""),"0",""),"-",""))),1,0))+IF(UPPER(D66)="X",0,IF((LEN(SUBSTITUTE(SUBSTITUTE(SUBSTITUTE(B66," ",""),"0",""),"-",""))+LEN(SUBSTITUTE(SUBSTITUTE(SUBSTITUTE(C66," ",""),"0",""),"-","")))&gt;(LEN(SUBSTITUTE(SUBSTITUTE(SUBSTITUTE(E66," ",""),"0",""),"-",""))+LEN(SUBSTITUTE(SUBSTITUTE(SUBSTITUTE(F66," ",""),"0",""),"-",""))),1,0))+IF(UPPER(D67)="X",0,IF((LEN(SUBSTITUTE(SUBSTITUTE(SUBSTITUTE(B67," ",""),"0",""),"-",""))+LEN(SUBSTITUTE(SUBSTITUTE(SUBSTITUTE(C67," ",""),"0",""),"-","")))&gt;(LEN(SUBSTITUTE(SUBSTITUTE(SUBSTITUTE(E67," ",""),"0",""),"-",""))+LEN(SUBSTITUTE(SUBSTITUTE(SUBSTITUTE(F67," ",""),"0",""),"-",""))),1,0))+IF(UPPER(D68)="X",0,IF((LEN(SUBSTITUTE(SUBSTITUTE(SUBSTITUTE(B68," ",""),"0",""),"-",""))+LEN(SUBSTITUTE(SUBSTITUTE(SUBSTITUTE(C68," ",""),"0",""),"-","")))&gt;(LEN(SUBSTITUTE(SUBSTITUTE(SUBSTITUTE(E68," ",""),"0",""),"-",""))+LEN(SUBSTITUTE(SUBSTITUTE(SUBSTITUTE(F68," ",""),"0",""),"-",""))),1,0))</f>
      </c>
      <c r="C63" s="14" t="str">
        <f>LEN(SUBSTITUTE(SUBSTITUTE(SUBSTITUTE(B64," ",""),"0",""),"-",""))+LEN(SUBSTITUTE(SUBSTITUTE(SUBSTITUTE(C64," ",""),"0",""),"-",""))+LEN(SUBSTITUTE(SUBSTITUTE(SUBSTITUTE(B65," ",""),"0",""),"-",""))+LEN(SUBSTITUTE(SUBSTITUTE(SUBSTITUTE(C65," ",""),"0",""),"-",""))+LEN(SUBSTITUTE(SUBSTITUTE(SUBSTITUTE(B66," ",""),"0",""),"-",""))+LEN(SUBSTITUTE(SUBSTITUTE(SUBSTITUTE(C66," ",""),"0",""),"-",""))+LEN(SUBSTITUTE(SUBSTITUTE(SUBSTITUTE(B67," ",""),"0",""),"-",""))+LEN(SUBSTITUTE(SUBSTITUTE(SUBSTITUTE(C67," ",""),"0",""),"-",""))+LEN(SUBSTITUTE(SUBSTITUTE(SUBSTITUTE(B68," ",""),"0",""),"-",""))+LEN(SUBSTITUTE(SUBSTITUTE(SUBSTITUTE(C68," ",""),"0",""),"-",""))</f>
      </c>
      <c r="D63" s="18"/>
      <c r="E63" s="14" t="str">
        <f>LEN(SUBSTITUTE(SUBSTITUTE(SUBSTITUTE(E64," ",""),"0",""),"-",""))+LEN(SUBSTITUTE(SUBSTITUTE(SUBSTITUTE(F64," ",""),"0",""),"-",""))+LEN(SUBSTITUTE(SUBSTITUTE(SUBSTITUTE(E65," ",""),"0",""),"-",""))+LEN(SUBSTITUTE(SUBSTITUTE(SUBSTITUTE(F65," ",""),"0",""),"-",""))+LEN(SUBSTITUTE(SUBSTITUTE(SUBSTITUTE(E66," ",""),"0",""),"-",""))+LEN(SUBSTITUTE(SUBSTITUTE(SUBSTITUTE(F66," ",""),"0",""),"-",""))+LEN(SUBSTITUTE(SUBSTITUTE(SUBSTITUTE(E67," ",""),"0",""),"-",""))+LEN(SUBSTITUTE(SUBSTITUTE(SUBSTITUTE(F67," ",""),"0",""),"-",""))+LEN(SUBSTITUTE(SUBSTITUTE(SUBSTITUTE(E68," ",""),"0",""),"-",""))+LEN(SUBSTITUTE(SUBSTITUTE(SUBSTITUTE(F68," ",""),"0",""),"-",""))</f>
      </c>
      <c r="F63" s="14" t="str">
        <f>IF(UPPER(D64)="X",0,IF((LEN(SUBSTITUTE(SUBSTITUTE(SUBSTITUTE(E64," ",""),"0",""),"-",""))+LEN(SUBSTITUTE(SUBSTITUTE(SUBSTITUTE(F64," ",""),"0",""),"-","")))&gt;(LEN(SUBSTITUTE(SUBSTITUTE(SUBSTITUTE(B64," ",""),"0",""),"-",""))+LEN(SUBSTITUTE(SUBSTITUTE(SUBSTITUTE(C64," ",""),"0",""),"-",""))),1,0))+IF(UPPER(D65)="X",0,IF((LEN(SUBSTITUTE(SUBSTITUTE(SUBSTITUTE(E65," ",""),"0",""),"-",""))+LEN(SUBSTITUTE(SUBSTITUTE(SUBSTITUTE(F65," ",""),"0",""),"-","")))&gt;(LEN(SUBSTITUTE(SUBSTITUTE(SUBSTITUTE(B65," ",""),"0",""),"-",""))+LEN(SUBSTITUTE(SUBSTITUTE(SUBSTITUTE(C65," ",""),"0",""),"-",""))),1,0))+IF(UPPER(D66)="X",0,IF((LEN(SUBSTITUTE(SUBSTITUTE(SUBSTITUTE(E66," ",""),"0",""),"-",""))+LEN(SUBSTITUTE(SUBSTITUTE(SUBSTITUTE(F66," ",""),"0",""),"-","")))&gt;(LEN(SUBSTITUTE(SUBSTITUTE(SUBSTITUTE(B66," ",""),"0",""),"-",""))+LEN(SUBSTITUTE(SUBSTITUTE(SUBSTITUTE(C66," ",""),"0",""),"-",""))),1,0))+IF(UPPER(D67)="X",0,IF((LEN(SUBSTITUTE(SUBSTITUTE(SUBSTITUTE(E67," ",""),"0",""),"-",""))+LEN(SUBSTITUTE(SUBSTITUTE(SUBSTITUTE(F67," ",""),"0",""),"-","")))&gt;(LEN(SUBSTITUTE(SUBSTITUTE(SUBSTITUTE(B67," ",""),"0",""),"-",""))+LEN(SUBSTITUTE(SUBSTITUTE(SUBSTITUTE(C67," ",""),"0",""),"-",""))),1,0))+IF(UPPER(D68)="X",0,IF((LEN(SUBSTITUTE(SUBSTITUTE(SUBSTITUTE(E68," ",""),"0",""),"-",""))+LEN(SUBSTITUTE(SUBSTITUTE(SUBSTITUTE(F68," ",""),"0",""),"-","")))&gt;(LEN(SUBSTITUTE(SUBSTITUTE(SUBSTITUTE(B68," ",""),"0",""),"-",""))+LEN(SUBSTITUTE(SUBSTITUTE(SUBSTITUTE(C68," ",""),"0",""),"-",""))),1,0))</f>
      </c>
      <c r="G63" s="14" t="str">
        <f>data!$E$7&amp;" "&amp;data!$B$7</f>
      </c>
      <c r="I63" s="14" t="str">
        <f>data!$E$55&amp;" "&amp;data!$B$55</f>
      </c>
      <c r="J63" s="14" t="str">
        <f>IF(UPPER(L64)="X",0,IF((LEN(SUBSTITUTE(SUBSTITUTE(SUBSTITUTE(J64," ",""),"0",""),"-",""))+LEN(SUBSTITUTE(SUBSTITUTE(SUBSTITUTE(K64," ",""),"0",""),"-","")))&gt;(LEN(SUBSTITUTE(SUBSTITUTE(SUBSTITUTE(M64," ",""),"0",""),"-",""))+LEN(SUBSTITUTE(SUBSTITUTE(SUBSTITUTE(N64," ",""),"0",""),"-",""))),1,0))+IF(UPPER(L65)="X",0,IF((LEN(SUBSTITUTE(SUBSTITUTE(SUBSTITUTE(J65," ",""),"0",""),"-",""))+LEN(SUBSTITUTE(SUBSTITUTE(SUBSTITUTE(K65," ",""),"0",""),"-","")))&gt;(LEN(SUBSTITUTE(SUBSTITUTE(SUBSTITUTE(M65," ",""),"0",""),"-",""))+LEN(SUBSTITUTE(SUBSTITUTE(SUBSTITUTE(N65," ",""),"0",""),"-",""))),1,0))+IF(UPPER(L66)="X",0,IF((LEN(SUBSTITUTE(SUBSTITUTE(SUBSTITUTE(J66," ",""),"0",""),"-",""))+LEN(SUBSTITUTE(SUBSTITUTE(SUBSTITUTE(K66," ",""),"0",""),"-","")))&gt;(LEN(SUBSTITUTE(SUBSTITUTE(SUBSTITUTE(M66," ",""),"0",""),"-",""))+LEN(SUBSTITUTE(SUBSTITUTE(SUBSTITUTE(N66," ",""),"0",""),"-",""))),1,0))+IF(UPPER(L67)="X",0,IF((LEN(SUBSTITUTE(SUBSTITUTE(SUBSTITUTE(J67," ",""),"0",""),"-",""))+LEN(SUBSTITUTE(SUBSTITUTE(SUBSTITUTE(K67," ",""),"0",""),"-","")))&gt;(LEN(SUBSTITUTE(SUBSTITUTE(SUBSTITUTE(M67," ",""),"0",""),"-",""))+LEN(SUBSTITUTE(SUBSTITUTE(SUBSTITUTE(N67," ",""),"0",""),"-",""))),1,0))+IF(UPPER(L68)="X",0,IF((LEN(SUBSTITUTE(SUBSTITUTE(SUBSTITUTE(J68," ",""),"0",""),"-",""))+LEN(SUBSTITUTE(SUBSTITUTE(SUBSTITUTE(K68," ",""),"0",""),"-","")))&gt;(LEN(SUBSTITUTE(SUBSTITUTE(SUBSTITUTE(M68," ",""),"0",""),"-",""))+LEN(SUBSTITUTE(SUBSTITUTE(SUBSTITUTE(N68," ",""),"0",""),"-",""))),1,0))</f>
      </c>
      <c r="K63" s="14" t="str">
        <f>LEN(SUBSTITUTE(SUBSTITUTE(SUBSTITUTE(J64," ",""),"0",""),"-",""))+LEN(SUBSTITUTE(SUBSTITUTE(SUBSTITUTE(K64," ",""),"0",""),"-",""))+LEN(SUBSTITUTE(SUBSTITUTE(SUBSTITUTE(J65," ",""),"0",""),"-",""))+LEN(SUBSTITUTE(SUBSTITUTE(SUBSTITUTE(K65," ",""),"0",""),"-",""))+LEN(SUBSTITUTE(SUBSTITUTE(SUBSTITUTE(J66," ",""),"0",""),"-",""))+LEN(SUBSTITUTE(SUBSTITUTE(SUBSTITUTE(K66," ",""),"0",""),"-",""))+LEN(SUBSTITUTE(SUBSTITUTE(SUBSTITUTE(J67," ",""),"0",""),"-",""))+LEN(SUBSTITUTE(SUBSTITUTE(SUBSTITUTE(K67," ",""),"0",""),"-",""))+LEN(SUBSTITUTE(SUBSTITUTE(SUBSTITUTE(J68," ",""),"0",""),"-",""))+LEN(SUBSTITUTE(SUBSTITUTE(SUBSTITUTE(K68," ",""),"0",""),"-",""))</f>
      </c>
      <c r="L63" s="18"/>
      <c r="M63" s="14" t="str">
        <f>LEN(SUBSTITUTE(SUBSTITUTE(SUBSTITUTE(M64," ",""),"0",""),"-",""))+LEN(SUBSTITUTE(SUBSTITUTE(SUBSTITUTE(N64," ",""),"0",""),"-",""))+LEN(SUBSTITUTE(SUBSTITUTE(SUBSTITUTE(M65," ",""),"0",""),"-",""))+LEN(SUBSTITUTE(SUBSTITUTE(SUBSTITUTE(N65," ",""),"0",""),"-",""))+LEN(SUBSTITUTE(SUBSTITUTE(SUBSTITUTE(M66," ",""),"0",""),"-",""))+LEN(SUBSTITUTE(SUBSTITUTE(SUBSTITUTE(N66," ",""),"0",""),"-",""))+LEN(SUBSTITUTE(SUBSTITUTE(SUBSTITUTE(M67," ",""),"0",""),"-",""))+LEN(SUBSTITUTE(SUBSTITUTE(SUBSTITUTE(N67," ",""),"0",""),"-",""))+LEN(SUBSTITUTE(SUBSTITUTE(SUBSTITUTE(M68," ",""),"0",""),"-",""))+LEN(SUBSTITUTE(SUBSTITUTE(SUBSTITUTE(N68," ",""),"0",""),"-",""))</f>
      </c>
      <c r="N63" s="14" t="str">
        <f>IF(UPPER(L64)="X",0,IF((LEN(SUBSTITUTE(SUBSTITUTE(SUBSTITUTE(M64," ",""),"0",""),"-",""))+LEN(SUBSTITUTE(SUBSTITUTE(SUBSTITUTE(N64," ",""),"0",""),"-","")))&gt;(LEN(SUBSTITUTE(SUBSTITUTE(SUBSTITUTE(J64," ",""),"0",""),"-",""))+LEN(SUBSTITUTE(SUBSTITUTE(SUBSTITUTE(K64," ",""),"0",""),"-",""))),1,0))+IF(UPPER(L65)="X",0,IF((LEN(SUBSTITUTE(SUBSTITUTE(SUBSTITUTE(M65," ",""),"0",""),"-",""))+LEN(SUBSTITUTE(SUBSTITUTE(SUBSTITUTE(N65," ",""),"0",""),"-","")))&gt;(LEN(SUBSTITUTE(SUBSTITUTE(SUBSTITUTE(J65," ",""),"0",""),"-",""))+LEN(SUBSTITUTE(SUBSTITUTE(SUBSTITUTE(K65," ",""),"0",""),"-",""))),1,0))+IF(UPPER(L66)="X",0,IF((LEN(SUBSTITUTE(SUBSTITUTE(SUBSTITUTE(M66," ",""),"0",""),"-",""))+LEN(SUBSTITUTE(SUBSTITUTE(SUBSTITUTE(N66," ",""),"0",""),"-","")))&gt;(LEN(SUBSTITUTE(SUBSTITUTE(SUBSTITUTE(J66," ",""),"0",""),"-",""))+LEN(SUBSTITUTE(SUBSTITUTE(SUBSTITUTE(K66," ",""),"0",""),"-",""))),1,0))+IF(UPPER(L67)="X",0,IF((LEN(SUBSTITUTE(SUBSTITUTE(SUBSTITUTE(M67," ",""),"0",""),"-",""))+LEN(SUBSTITUTE(SUBSTITUTE(SUBSTITUTE(N67," ",""),"0",""),"-","")))&gt;(LEN(SUBSTITUTE(SUBSTITUTE(SUBSTITUTE(J67," ",""),"0",""),"-",""))+LEN(SUBSTITUTE(SUBSTITUTE(SUBSTITUTE(K67," ",""),"0",""),"-",""))),1,0))+IF(UPPER(L68)="X",0,IF((LEN(SUBSTITUTE(SUBSTITUTE(SUBSTITUTE(M68," ",""),"0",""),"-",""))+LEN(SUBSTITUTE(SUBSTITUTE(SUBSTITUTE(N68," ",""),"0",""),"-","")))&gt;(LEN(SUBSTITUTE(SUBSTITUTE(SUBSTITUTE(J68," ",""),"0",""),"-",""))+LEN(SUBSTITUTE(SUBSTITUTE(SUBSTITUTE(K68," ",""),"0",""),"-",""))),1,0))</f>
      </c>
      <c r="O63" s="14" t="str">
        <f>data!$E$54&amp;" "&amp;data!$B$54</f>
      </c>
    </row>
    <row r="64">
      <c r="A64" s="14">
        <v>1</v>
      </c>
      <c r="B64" s="18"/>
      <c r="C64" s="18"/>
      <c r="D64" s="18"/>
      <c r="E64" s="18"/>
      <c r="F64" s="18"/>
      <c r="G64" s="14">
        <v>1</v>
      </c>
      <c r="I64" s="14">
        <v>1</v>
      </c>
      <c r="J64" s="18"/>
      <c r="K64" s="18"/>
      <c r="L64" s="18"/>
      <c r="M64" s="18"/>
      <c r="N64" s="18"/>
      <c r="O64" s="14">
        <v>1</v>
      </c>
    </row>
    <row r="65">
      <c r="A65" s="14">
        <v>2</v>
      </c>
      <c r="B65" s="18"/>
      <c r="C65" s="18"/>
      <c r="D65" s="18"/>
      <c r="E65" s="18"/>
      <c r="F65" s="18"/>
      <c r="G65" s="14">
        <v>2</v>
      </c>
      <c r="I65" s="14">
        <v>2</v>
      </c>
      <c r="J65" s="18"/>
      <c r="K65" s="18"/>
      <c r="L65" s="18"/>
      <c r="M65" s="18"/>
      <c r="N65" s="18"/>
      <c r="O65" s="14">
        <v>2</v>
      </c>
    </row>
    <row r="66">
      <c r="A66" s="14">
        <v>3</v>
      </c>
      <c r="B66" s="18"/>
      <c r="C66" s="18"/>
      <c r="D66" s="18"/>
      <c r="E66" s="18"/>
      <c r="F66" s="18"/>
      <c r="G66" s="14">
        <v>3</v>
      </c>
      <c r="I66" s="14">
        <v>3</v>
      </c>
      <c r="J66" s="18"/>
      <c r="K66" s="18"/>
      <c r="L66" s="18"/>
      <c r="M66" s="18"/>
      <c r="N66" s="18"/>
      <c r="O66" s="14">
        <v>3</v>
      </c>
    </row>
    <row r="67">
      <c r="A67" s="14">
        <v>4</v>
      </c>
      <c r="B67" s="18"/>
      <c r="C67" s="18"/>
      <c r="D67" s="18"/>
      <c r="E67" s="18"/>
      <c r="F67" s="18"/>
      <c r="G67" s="14">
        <v>4</v>
      </c>
      <c r="I67" s="14">
        <v>4</v>
      </c>
      <c r="J67" s="18"/>
      <c r="K67" s="18"/>
      <c r="L67" s="18"/>
      <c r="M67" s="18"/>
      <c r="N67" s="18"/>
      <c r="O67" s="14">
        <v>4</v>
      </c>
    </row>
    <row r="68">
      <c r="A68" s="14">
        <v>5</v>
      </c>
      <c r="B68" s="18"/>
      <c r="C68" s="18"/>
      <c r="D68" s="18"/>
      <c r="E68" s="18"/>
      <c r="F68" s="18"/>
      <c r="G68" s="14">
        <v>5</v>
      </c>
      <c r="I68" s="14">
        <v>5</v>
      </c>
      <c r="J68" s="18"/>
      <c r="K68" s="18"/>
      <c r="L68" s="18"/>
      <c r="M68" s="18"/>
      <c r="N68" s="18"/>
      <c r="O68" s="14">
        <v>5</v>
      </c>
    </row>
    <row r="71">
      <c r="A71" s="13" t="s">
        <v>334</v>
      </c>
      <c r="B71" s="13" t="s">
        <v>335</v>
      </c>
      <c r="C71" s="13" t="s">
        <v>336</v>
      </c>
      <c r="D71" s="13" t="s">
        <v>337</v>
      </c>
      <c r="E71" s="13"/>
      <c r="F71" s="13"/>
      <c r="G71" s="13" t="s">
        <v>338</v>
      </c>
      <c r="I71" s="13" t="s">
        <v>334</v>
      </c>
      <c r="J71" s="13" t="s">
        <v>335</v>
      </c>
      <c r="K71" s="13" t="s">
        <v>336</v>
      </c>
      <c r="L71" s="13" t="s">
        <v>337</v>
      </c>
      <c r="M71" s="13"/>
      <c r="N71" s="13"/>
      <c r="O71" s="13" t="s">
        <v>338</v>
      </c>
    </row>
    <row r="72">
      <c r="A72" s="14" t="str">
        <f>data!$E$6&amp;" "&amp;data!$B$6</f>
      </c>
      <c r="B72" s="14" t="str">
        <f>IF(OR(COUNTA(B48:C52,E48:F52)&gt;0,D48="X",D48="x",D49="X",D49="x",D50="X",D50="x",D51="X",D51="x",D52="X",D52="x",OR(D47="X",D47="x")),IF(OR(OR(D47="X",D47="x"),AND(B47=F47,C47=E47)),0,IF(OR(F47&gt;B47,AND(F47=B47,E47&gt;C47)),1,0)),0)+IF(OR(COUNTA(B56:C60,E56:F60)&gt;0,D56="X",D56="x",D57="X",D57="x",D58="X",D58="x",D59="X",D59="x",D60="X",D60="x",OR(D55="X",D55="x")),IF(OR(OR(D55="X",D55="x"),AND(B55=F55,C55=E55)),0,IF(OR(F55&gt;B55,AND(F55=B55,E55&gt;C55)),1,0)),0)</f>
      </c>
      <c r="C72" s="14" t="str">
        <f>IF(OR(COUNTA(B48:C52,E48:F52)&gt;0,D48="X",D48="x",D49="X",D49="x",D50="X",D50="x",D51="X",D51="x",D52="X",D52="x",OR(D47="X",D47="x")),IF(OR(OR(D47="X",D47="x"),AND(B47=F47,C47=E47)),0,IF(OR(F47&lt;B47,AND(F47=B47,E47&lt;C47)),1,0)),0)+IF(OR(COUNTA(B56:C60,E56:F60)&gt;0,D56="X",D56="x",D57="X",D57="x",D58="X",D58="x",D59="X",D59="x",D60="X",D60="x",OR(D55="X",D55="x")),IF(OR(OR(D55="X",D55="x"),AND(B55=F55,C55=E55)),0,IF(OR(F55&lt;B55,AND(F55=B55,E55&lt;C55)),1,0)),0)</f>
      </c>
      <c r="D72" s="14" t="str">
        <f>IF(OR(COUNTA(B48:C52,E48:F52)&gt;0,D48="X",D48="x",D49="X",D49="x",D50="X",D50="x",D51="X",D51="x",D52="X",D52="x",OR(D47="X",D47="x")),IF(OR(OR(D47="X",D47="x"),AND(B47=F47,C47=E47)),1,0),0)+IF(OR(COUNTA(B56:C60,E56:F60)&gt;0,D56="X",D56="x",D57="X",D57="x",D58="X",D58="x",D59="X",D59="x",D60="X",D60="x",OR(D55="X",D55="x")),IF(OR(OR(D55="X",D55="x"),AND(B55=F55,C55=E55)),1,0),0)</f>
      </c>
      <c r="G72" s="18" t="str">
        <f>RANK(U72,$U$72:$U$74)+COUNTIF($U$71:U71,U72)</f>
      </c>
      <c r="I72" s="14" t="str">
        <f>data!$E$53&amp;" "&amp;data!$B$53</f>
      </c>
      <c r="J72" s="14" t="str">
        <f>IF(OR(COUNTA(J48:K52,M48:N52)&gt;0,L48="X",L48="x",L49="X",L49="x",L50="X",L50="x",L51="X",L51="x",L52="X",L52="x",OR(L47="X",L47="x")),IF(OR(OR(L47="X",L47="x"),AND(J47=N47,K47=M47)),0,IF(OR(N47&gt;J47,AND(N47=J47,M47&gt;K47)),1,0)),0)+IF(OR(COUNTA(J56:K60,M56:N60)&gt;0,L56="X",L56="x",L57="X",L57="x",L58="X",L58="x",L59="X",L59="x",L60="X",L60="x",OR(L55="X",L55="x")),IF(OR(OR(L55="X",L55="x"),AND(J55=N55,K55=M55)),0,IF(OR(N55&gt;J55,AND(N55=J55,M55&gt;K55)),1,0)),0)</f>
      </c>
      <c r="K72" s="14" t="str">
        <f>IF(OR(COUNTA(J48:K52,M48:N52)&gt;0,L48="X",L48="x",L49="X",L49="x",L50="X",L50="x",L51="X",L51="x",L52="X",L52="x",OR(L47="X",L47="x")),IF(OR(OR(L47="X",L47="x"),AND(J47=N47,K47=M47)),0,IF(OR(N47&lt;J47,AND(N47=J47,M47&lt;K47)),1,0)),0)+IF(OR(COUNTA(J56:K60,M56:N60)&gt;0,L56="X",L56="x",L57="X",L57="x",L58="X",L58="x",L59="X",L59="x",L60="X",L60="x",OR(L55="X",L55="x")),IF(OR(OR(L55="X",L55="x"),AND(J55=N55,K55=M55)),0,IF(OR(N55&lt;J55,AND(N55=J55,M55&lt;K55)),1,0)),0)</f>
      </c>
      <c r="L72" s="14" t="str">
        <f>IF(OR(COUNTA(J48:K52,M48:N52)&gt;0,L48="X",L48="x",L49="X",L49="x",L50="X",L50="x",L51="X",L51="x",L52="X",L52="x",OR(L47="X",L47="x")),IF(OR(OR(L47="X",L47="x"),AND(J47=N47,K47=M47)),1,0),0)+IF(OR(COUNTA(J56:K60,M56:N60)&gt;0,L56="X",L56="x",L57="X",L57="x",L58="X",L58="x",L59="X",L59="x",L60="X",L60="x",OR(L55="X",L55="x")),IF(OR(OR(L55="X",L55="x"),AND(J55=N55,K55=M55)),1,0),0)</f>
      </c>
      <c r="O72" s="18" t="str">
        <f>RANK(AC72,$AC$72:$AC$74)+COUNTIF($AC$71:AC71,AC72)</f>
      </c>
      <c r="U72" t="str">
        <f>(B72*1000000000)-(C72*10000000)+(D72*100000)+(B77*1000)-(C77*100)+(D77*10)+(E77*1)-(F77*0.01)</f>
      </c>
      <c r="AC72" t="str">
        <f>(J72*1000000000)-(K72*10000000)+(L72*100000)+(J77*1000)-(K77*100)+(L77*10)+(M77*1)-(N77*0.01)</f>
      </c>
    </row>
    <row r="73">
      <c r="A73" s="14" t="str">
        <f>data!$E$7&amp;" "&amp;data!$B$7</f>
      </c>
      <c r="B73" s="14" t="str">
        <f>IF(OR(COUNTA(B48:C52,E48:F52)&gt;0,D48="X",D48="x",D49="X",D49="x",D50="X",D50="x",D51="X",D51="x",D52="X",D52="x",OR(D47="X",D47="x")),IF(OR(OR(D47="X",D47="x"),AND(B47=F47,C47=E47)),0,IF(OR(B47&gt;F47,AND(B47=F47,C47&gt;E47)),1,0)),0)+IF(OR(COUNTA(B64:C68,E64:F68)&gt;0,D64="X",D64="x",D65="X",D65="x",D66="X",D66="x",D67="X",D67="x",D68="X",D68="x",OR(D63="X",D63="x")),IF(OR(OR(D63="X",D63="x"),AND(B63=F63,C63=E63)),0,IF(OR(F63&gt;B63,AND(F63=B63,E63&gt;C63)),1,0)),0)</f>
      </c>
      <c r="C73" s="14" t="str">
        <f>IF(OR(COUNTA(B48:C52,E48:F52)&gt;0,D48="X",D48="x",D49="X",D49="x",D50="X",D50="x",D51="X",D51="x",D52="X",D52="x",OR(D47="X",D47="x")),IF(OR(OR(D47="X",D47="x"),AND(B47=F47,C47=E47)),0,IF(OR(B47&lt;F47,AND(B47=F47,C47&lt;E47)),1,0)),0)+IF(OR(COUNTA(B64:C68,E64:F68)&gt;0,D64="X",D64="x",D65="X",D65="x",D66="X",D66="x",D67="X",D67="x",D68="X",D68="x",OR(D63="X",D63="x")),IF(OR(OR(D63="X",D63="x"),AND(B63=F63,C63=E63)),0,IF(OR(F63&lt;B63,AND(F63=B63,E63&lt;C63)),1,0)),0)</f>
      </c>
      <c r="D73" s="14" t="str">
        <f>IF(OR(COUNTA(B48:C52,E48:F52)&gt;0,D48="X",D48="x",D49="X",D49="x",D50="X",D50="x",D51="X",D51="x",D52="X",D52="x",OR(D47="X",D47="x")),IF(OR(OR(D47="X",D47="x"),AND(B47=F47,C47=E47)),1,0),0)+IF(OR(COUNTA(B64:C68,E64:F68)&gt;0,D64="X",D64="x",D65="X",D65="x",D66="X",D66="x",D67="X",D67="x",D68="X",D68="x",OR(D63="X",D63="x")),IF(OR(OR(D63="X",D63="x"),AND(B63=F63,C63=E63)),1,0),0)</f>
      </c>
      <c r="G73" s="18" t="str">
        <f>RANK(U73,$U$72:$U$74)+COUNTIF($U$71:U72,U73)</f>
      </c>
      <c r="I73" s="14" t="str">
        <f>data!$E$54&amp;" "&amp;data!$B$54</f>
      </c>
      <c r="J73" s="14" t="str">
        <f>IF(OR(COUNTA(J48:K52,M48:N52)&gt;0,L48="X",L48="x",L49="X",L49="x",L50="X",L50="x",L51="X",L51="x",L52="X",L52="x",OR(L47="X",L47="x")),IF(OR(OR(L47="X",L47="x"),AND(J47=N47,K47=M47)),0,IF(OR(J47&gt;N47,AND(J47=N47,K47&gt;M47)),1,0)),0)+IF(OR(COUNTA(J64:K68,M64:N68)&gt;0,L64="X",L64="x",L65="X",L65="x",L66="X",L66="x",L67="X",L67="x",L68="X",L68="x",OR(L63="X",L63="x")),IF(OR(OR(L63="X",L63="x"),AND(J63=N63,K63=M63)),0,IF(OR(N63&gt;J63,AND(N63=J63,M63&gt;K63)),1,0)),0)</f>
      </c>
      <c r="K73" s="14" t="str">
        <f>IF(OR(COUNTA(J48:K52,M48:N52)&gt;0,L48="X",L48="x",L49="X",L49="x",L50="X",L50="x",L51="X",L51="x",L52="X",L52="x",OR(L47="X",L47="x")),IF(OR(OR(L47="X",L47="x"),AND(J47=N47,K47=M47)),0,IF(OR(J47&lt;N47,AND(J47=N47,K47&lt;M47)),1,0)),0)+IF(OR(COUNTA(J64:K68,M64:N68)&gt;0,L64="X",L64="x",L65="X",L65="x",L66="X",L66="x",L67="X",L67="x",L68="X",L68="x",OR(L63="X",L63="x")),IF(OR(OR(L63="X",L63="x"),AND(J63=N63,K63=M63)),0,IF(OR(N63&lt;J63,AND(N63=J63,M63&lt;K63)),1,0)),0)</f>
      </c>
      <c r="L73" s="14" t="str">
        <f>IF(OR(COUNTA(J48:K52,M48:N52)&gt;0,L48="X",L48="x",L49="X",L49="x",L50="X",L50="x",L51="X",L51="x",L52="X",L52="x",OR(L47="X",L47="x")),IF(OR(OR(L47="X",L47="x"),AND(J47=N47,K47=M47)),1,0),0)+IF(OR(COUNTA(J64:K68,M64:N68)&gt;0,L64="X",L64="x",L65="X",L65="x",L66="X",L66="x",L67="X",L67="x",L68="X",L68="x",OR(L63="X",L63="x")),IF(OR(OR(L63="X",L63="x"),AND(J63=N63,K63=M63)),1,0),0)</f>
      </c>
      <c r="O73" s="18" t="str">
        <f>RANK(AC73,$AC$72:$AC$74)+COUNTIF($AC$71:AC72,AC73)</f>
      </c>
      <c r="U73" t="str">
        <f>(B73*1000000000)-(C73*10000000)+(D73*100000)+(B78*1000)-(C78*100)+(D78*10)+(E78*1)-(F78*0.01)</f>
      </c>
      <c r="AC73" t="str">
        <f>(J73*1000000000)-(K73*10000000)+(L73*100000)+(J78*1000)-(K78*100)+(L78*10)+(M78*1)-(N78*0.01)</f>
      </c>
    </row>
    <row r="74">
      <c r="A74" s="14" t="str">
        <f>data!$E$8&amp;" "&amp;data!$B$8</f>
      </c>
      <c r="B74" s="14" t="str">
        <f>IF(OR(COUNTA(B56:C60,E56:F60)&gt;0,D56="X",D56="x",D57="X",D57="x",D58="X",D58="x",D59="X",D59="x",D60="X",D60="x",OR(D55="X",D55="x")),IF(OR(OR(D55="X",D55="x"),AND(B55=F55,C55=E55)),0,IF(OR(B55&gt;F55,AND(B55=F55,C55&gt;E55)),1,0)),0)+IF(OR(COUNTA(B64:C68,E64:F68)&gt;0,D64="X",D64="x",D65="X",D65="x",D66="X",D66="x",D67="X",D67="x",D68="X",D68="x",OR(D63="X",D63="x")),IF(OR(OR(D63="X",D63="x"),AND(B63=F63,C63=E63)),0,IF(OR(B63&gt;F63,AND(B63=F63,C63&gt;E63)),1,0)),0)</f>
      </c>
      <c r="C74" s="14" t="str">
        <f>IF(OR(COUNTA(B56:C60,E56:F60)&gt;0,D56="X",D56="x",D57="X",D57="x",D58="X",D58="x",D59="X",D59="x",D60="X",D60="x",OR(D55="X",D55="x")),IF(OR(OR(D55="X",D55="x"),AND(B55=F55,C55=E55)),0,IF(OR(B55&lt;F55,AND(B55=F55,C55&lt;E55)),1,0)),0)+IF(OR(COUNTA(B64:C68,E64:F68)&gt;0,D64="X",D64="x",D65="X",D65="x",D66="X",D66="x",D67="X",D67="x",D68="X",D68="x",OR(D63="X",D63="x")),IF(OR(OR(D63="X",D63="x"),AND(B63=F63,C63=E63)),0,IF(OR(B63&lt;F63,AND(B63=F63,C63&lt;E63)),1,0)),0)</f>
      </c>
      <c r="D74" s="14" t="str">
        <f>IF(OR(COUNTA(B56:C60,E56:F60)&gt;0,D56="X",D56="x",D57="X",D57="x",D58="X",D58="x",D59="X",D59="x",D60="X",D60="x",OR(D55="X",D55="x")),IF(OR(OR(D55="X",D55="x"),AND(B55=F55,C55=E55)),1,0),0)+IF(OR(COUNTA(B64:C68,E64:F68)&gt;0,D64="X",D64="x",D65="X",D65="x",D66="X",D66="x",D67="X",D67="x",D68="X",D68="x",OR(D63="X",D63="x")),IF(OR(OR(D63="X",D63="x"),AND(B63=F63,C63=E63)),1,0),0)</f>
      </c>
      <c r="G74" s="18" t="str">
        <f>RANK(U74,$U$72:$U$74)+COUNTIF($U$71:U73,U74)</f>
      </c>
      <c r="I74" s="14" t="str">
        <f>data!$E$55&amp;" "&amp;data!$B$55</f>
      </c>
      <c r="J74" s="14" t="str">
        <f>IF(OR(COUNTA(J56:K60,M56:N60)&gt;0,L56="X",L56="x",L57="X",L57="x",L58="X",L58="x",L59="X",L59="x",L60="X",L60="x",OR(L55="X",L55="x")),IF(OR(OR(L55="X",L55="x"),AND(J55=N55,K55=M55)),0,IF(OR(J55&gt;N55,AND(J55=N55,K55&gt;M55)),1,0)),0)+IF(OR(COUNTA(J64:K68,M64:N68)&gt;0,L64="X",L64="x",L65="X",L65="x",L66="X",L66="x",L67="X",L67="x",L68="X",L68="x",OR(L63="X",L63="x")),IF(OR(OR(L63="X",L63="x"),AND(J63=N63,K63=M63)),0,IF(OR(J63&gt;N63,AND(J63=N63,K63&gt;M63)),1,0)),0)</f>
      </c>
      <c r="K74" s="14" t="str">
        <f>IF(OR(COUNTA(J56:K60,M56:N60)&gt;0,L56="X",L56="x",L57="X",L57="x",L58="X",L58="x",L59="X",L59="x",L60="X",L60="x",OR(L55="X",L55="x")),IF(OR(OR(L55="X",L55="x"),AND(J55=N55,K55=M55)),0,IF(OR(J55&lt;N55,AND(J55=N55,K55&lt;M55)),1,0)),0)+IF(OR(COUNTA(J64:K68,M64:N68)&gt;0,L64="X",L64="x",L65="X",L65="x",L66="X",L66="x",L67="X",L67="x",L68="X",L68="x",OR(L63="X",L63="x")),IF(OR(OR(L63="X",L63="x"),AND(J63=N63,K63=M63)),0,IF(OR(J63&lt;N63,AND(J63=N63,K63&lt;M63)),1,0)),0)</f>
      </c>
      <c r="L74" s="14" t="str">
        <f>IF(OR(COUNTA(J56:K60,M56:N60)&gt;0,L56="X",L56="x",L57="X",L57="x",L58="X",L58="x",L59="X",L59="x",L60="X",L60="x",OR(L55="X",L55="x")),IF(OR(OR(L55="X",L55="x"),AND(J55=N55,K55=M55)),1,0),0)+IF(OR(COUNTA(J64:K68,M64:N68)&gt;0,L64="X",L64="x",L65="X",L65="x",L66="X",L66="x",L67="X",L67="x",L68="X",L68="x",OR(L63="X",L63="x")),IF(OR(OR(L63="X",L63="x"),AND(J63=N63,K63=M63)),1,0),0)</f>
      </c>
      <c r="O74" s="18" t="str">
        <f>RANK(AC74,$AC$72:$AC$74)+COUNTIF($AC$71:AC73,AC74)</f>
      </c>
      <c r="U74" t="str">
        <f>(B74*1000000000)-(C74*10000000)+(D74*100000)+(B79*1000)-(C79*100)+(D79*10)+(E79*1)-(F79*0.01)</f>
      </c>
      <c r="AC74" t="str">
        <f>(J74*1000000000)-(K74*10000000)+(L74*100000)+(J79*1000)-(K79*100)+(L79*10)+(M79*1)-(N79*0.01)</f>
      </c>
    </row>
    <row r="76">
      <c r="A76" s="13"/>
      <c r="B76" s="13" t="s">
        <v>339</v>
      </c>
      <c r="C76" s="13" t="s">
        <v>340</v>
      </c>
      <c r="D76" s="13" t="s">
        <v>341</v>
      </c>
      <c r="E76" s="13" t="s">
        <v>342</v>
      </c>
      <c r="F76" s="13" t="s">
        <v>343</v>
      </c>
      <c r="I76" s="13"/>
      <c r="J76" s="13" t="s">
        <v>339</v>
      </c>
      <c r="K76" s="13" t="s">
        <v>340</v>
      </c>
      <c r="L76" s="13" t="s">
        <v>341</v>
      </c>
      <c r="M76" s="13" t="s">
        <v>342</v>
      </c>
      <c r="N76" s="13" t="s">
        <v>343</v>
      </c>
    </row>
    <row r="77">
      <c r="A77" s="14" t="str">
        <f>data!$E$6&amp;" "&amp;data!$B$6</f>
      </c>
      <c r="B77" s="14" t="str">
        <f>IF(OR(COUNTA(B48:C52,E48:F52)&gt;0,OR(D47="X",D47="x"),UPPER(D48)="X",UPPER(D49)="X",UPPER(D50)="X",UPPER(D51)="X",UPPER(D52)="X"),F47,0)+IF(OR(COUNTA(B56:C60,E56:F60)&gt;0,OR(D55="X",D55="x"),UPPER(D56)="X",UPPER(D57)="X",UPPER(D58)="X",UPPER(D59)="X",UPPER(D60)="X"),F55,0)</f>
      </c>
      <c r="C77" s="14" t="str">
        <f>IF(OR(COUNTA(B48:C52,E48:F52)&gt;0,OR(D47="X",D47="x"),UPPER(D48)="X",UPPER(D49)="X",UPPER(D50)="X",UPPER(D51)="X",UPPER(D52)="X"),B47,0)+IF(OR(COUNTA(B56:C60,E56:F60)&gt;0,OR(D55="X",D55="x"),UPPER(D56)="X",UPPER(D57)="X",UPPER(D58)="X",UPPER(D59)="X",UPPER(D60)="X"),B55,0)</f>
      </c>
      <c r="D77" s="14" t="str">
        <f>IF(OR(COUNTA(B48:C52,E48:F52)&gt;0,OR(D47="X",D47="x"),UPPER(D48)="X",UPPER(D49)="X",UPPER(D50)="X",UPPER(D51)="X",UPPER(D52)="X"),(IF(OR(D48="X",D48="x",AND(COUNTA(B48,C48,E48,F48)&gt;0,(LEN(SUBSTITUTE(SUBSTITUTE(SUBSTITUTE(B48," ",""),"0",""),"-",""))+LEN(SUBSTITUTE(SUBSTITUTE(SUBSTITUTE(C48," ",""),"0",""),"-","")))=(LEN(SUBSTITUTE(SUBSTITUTE(SUBSTITUTE(E48," ",""),"0",""),"-",""))+LEN(SUBSTITUTE(SUBSTITUTE(SUBSTITUTE(F48," ",""),"0",""),"-",""))))),1,0)+IF(OR(D49="X",D49="x",AND(COUNTA(B49,C49,E49,F49)&gt;0,(LEN(SUBSTITUTE(SUBSTITUTE(SUBSTITUTE(B49," ",""),"0",""),"-",""))+LEN(SUBSTITUTE(SUBSTITUTE(SUBSTITUTE(C49," ",""),"0",""),"-","")))=(LEN(SUBSTITUTE(SUBSTITUTE(SUBSTITUTE(E49," ",""),"0",""),"-",""))+LEN(SUBSTITUTE(SUBSTITUTE(SUBSTITUTE(F49," ",""),"0",""),"-",""))))),1,0)+IF(OR(D50="X",D50="x",AND(COUNTA(B50,C50,E50,F50)&gt;0,(LEN(SUBSTITUTE(SUBSTITUTE(SUBSTITUTE(B50," ",""),"0",""),"-",""))+LEN(SUBSTITUTE(SUBSTITUTE(SUBSTITUTE(C50," ",""),"0",""),"-","")))=(LEN(SUBSTITUTE(SUBSTITUTE(SUBSTITUTE(E50," ",""),"0",""),"-",""))+LEN(SUBSTITUTE(SUBSTITUTE(SUBSTITUTE(F50," ",""),"0",""),"-",""))))),1,0)+IF(OR(D51="X",D51="x",AND(COUNTA(B51,C51,E51,F51)&gt;0,(LEN(SUBSTITUTE(SUBSTITUTE(SUBSTITUTE(B51," ",""),"0",""),"-",""))+LEN(SUBSTITUTE(SUBSTITUTE(SUBSTITUTE(C51," ",""),"0",""),"-","")))=(LEN(SUBSTITUTE(SUBSTITUTE(SUBSTITUTE(E51," ",""),"0",""),"-",""))+LEN(SUBSTITUTE(SUBSTITUTE(SUBSTITUTE(F51," ",""),"0",""),"-",""))))),1,0)+IF(OR(D52="X",D52="x",AND(COUNTA(B52,C52,E52,F52)&gt;0,(LEN(SUBSTITUTE(SUBSTITUTE(SUBSTITUTE(B52," ",""),"0",""),"-",""))+LEN(SUBSTITUTE(SUBSTITUTE(SUBSTITUTE(C52," ",""),"0",""),"-","")))=(LEN(SUBSTITUTE(SUBSTITUTE(SUBSTITUTE(E52," ",""),"0",""),"-",""))+LEN(SUBSTITUTE(SUBSTITUTE(SUBSTITUTE(F52," ",""),"0",""),"-",""))))),1,0)),0)+IF(OR(COUNTA(B56:C60,E56:F60)&gt;0,OR(D55="X",D55="x"),UPPER(D56)="X",UPPER(D57)="X",UPPER(D58)="X",UPPER(D59)="X",UPPER(D60)="X"),(IF(OR(D56="X",D56="x",AND(COUNTA(B56,C56,E56,F56)&gt;0,(LEN(SUBSTITUTE(SUBSTITUTE(SUBSTITUTE(B56," ",""),"0",""),"-",""))+LEN(SUBSTITUTE(SUBSTITUTE(SUBSTITUTE(C56," ",""),"0",""),"-","")))=(LEN(SUBSTITUTE(SUBSTITUTE(SUBSTITUTE(E56," ",""),"0",""),"-",""))+LEN(SUBSTITUTE(SUBSTITUTE(SUBSTITUTE(F56," ",""),"0",""),"-",""))))),1,0)+IF(OR(D57="X",D57="x",AND(COUNTA(B57,C57,E57,F57)&gt;0,(LEN(SUBSTITUTE(SUBSTITUTE(SUBSTITUTE(B57," ",""),"0",""),"-",""))+LEN(SUBSTITUTE(SUBSTITUTE(SUBSTITUTE(C57," ",""),"0",""),"-","")))=(LEN(SUBSTITUTE(SUBSTITUTE(SUBSTITUTE(E57," ",""),"0",""),"-",""))+LEN(SUBSTITUTE(SUBSTITUTE(SUBSTITUTE(F57," ",""),"0",""),"-",""))))),1,0)+IF(OR(D58="X",D58="x",AND(COUNTA(B58,C58,E58,F58)&gt;0,(LEN(SUBSTITUTE(SUBSTITUTE(SUBSTITUTE(B58," ",""),"0",""),"-",""))+LEN(SUBSTITUTE(SUBSTITUTE(SUBSTITUTE(C58," ",""),"0",""),"-","")))=(LEN(SUBSTITUTE(SUBSTITUTE(SUBSTITUTE(E58," ",""),"0",""),"-",""))+LEN(SUBSTITUTE(SUBSTITUTE(SUBSTITUTE(F58," ",""),"0",""),"-",""))))),1,0)+IF(OR(D59="X",D59="x",AND(COUNTA(B59,C59,E59,F59)&gt;0,(LEN(SUBSTITUTE(SUBSTITUTE(SUBSTITUTE(B59," ",""),"0",""),"-",""))+LEN(SUBSTITUTE(SUBSTITUTE(SUBSTITUTE(C59," ",""),"0",""),"-","")))=(LEN(SUBSTITUTE(SUBSTITUTE(SUBSTITUTE(E59," ",""),"0",""),"-",""))+LEN(SUBSTITUTE(SUBSTITUTE(SUBSTITUTE(F59," ",""),"0",""),"-",""))))),1,0)+IF(OR(D60="X",D60="x",AND(COUNTA(B60,C60,E60,F60)&gt;0,(LEN(SUBSTITUTE(SUBSTITUTE(SUBSTITUTE(B60," ",""),"0",""),"-",""))+LEN(SUBSTITUTE(SUBSTITUTE(SUBSTITUTE(C60," ",""),"0",""),"-","")))=(LEN(SUBSTITUTE(SUBSTITUTE(SUBSTITUTE(E60," ",""),"0",""),"-",""))+LEN(SUBSTITUTE(SUBSTITUTE(SUBSTITUTE(F60," ",""),"0",""),"-",""))))),1,0)),0)</f>
      </c>
      <c r="E77" s="14" t="str">
        <f>E47+E55</f>
      </c>
      <c r="F77" s="14" t="str">
        <f>C47+C55</f>
      </c>
      <c r="I77" s="14" t="str">
        <f>data!$E$53&amp;" "&amp;data!$B$53</f>
      </c>
      <c r="J77" s="14" t="str">
        <f>IF(OR(COUNTA(J48:K52,M48:N52)&gt;0,OR(L47="X",L47="x"),UPPER(L48)="X",UPPER(L49)="X",UPPER(L50)="X",UPPER(L51)="X",UPPER(L52)="X"),N47,0)+IF(OR(COUNTA(J56:K60,M56:N60)&gt;0,OR(L55="X",L55="x"),UPPER(L56)="X",UPPER(L57)="X",UPPER(L58)="X",UPPER(L59)="X",UPPER(L60)="X"),N55,0)</f>
      </c>
      <c r="K77" s="14" t="str">
        <f>IF(OR(COUNTA(J48:K52,M48:N52)&gt;0,OR(L47="X",L47="x"),UPPER(L48)="X",UPPER(L49)="X",UPPER(L50)="X",UPPER(L51)="X",UPPER(L52)="X"),J47,0)+IF(OR(COUNTA(J56:K60,M56:N60)&gt;0,OR(L55="X",L55="x"),UPPER(L56)="X",UPPER(L57)="X",UPPER(L58)="X",UPPER(L59)="X",UPPER(L60)="X"),J55,0)</f>
      </c>
      <c r="L77" s="14" t="str">
        <f>IF(OR(COUNTA(J48:K52,M48:N52)&gt;0,OR(L47="X",L47="x"),UPPER(L48)="X",UPPER(L49)="X",UPPER(L50)="X",UPPER(L51)="X",UPPER(L52)="X"),(IF(OR(L48="X",L48="x",AND(COUNTA(J48,K48,M48,N48)&gt;0,(LEN(SUBSTITUTE(SUBSTITUTE(SUBSTITUTE(J48," ",""),"0",""),"-",""))+LEN(SUBSTITUTE(SUBSTITUTE(SUBSTITUTE(K48," ",""),"0",""),"-","")))=(LEN(SUBSTITUTE(SUBSTITUTE(SUBSTITUTE(M48," ",""),"0",""),"-",""))+LEN(SUBSTITUTE(SUBSTITUTE(SUBSTITUTE(N48," ",""),"0",""),"-",""))))),1,0)+IF(OR(L49="X",L49="x",AND(COUNTA(J49,K49,M49,N49)&gt;0,(LEN(SUBSTITUTE(SUBSTITUTE(SUBSTITUTE(J49," ",""),"0",""),"-",""))+LEN(SUBSTITUTE(SUBSTITUTE(SUBSTITUTE(K49," ",""),"0",""),"-","")))=(LEN(SUBSTITUTE(SUBSTITUTE(SUBSTITUTE(M49," ",""),"0",""),"-",""))+LEN(SUBSTITUTE(SUBSTITUTE(SUBSTITUTE(N49," ",""),"0",""),"-",""))))),1,0)+IF(OR(L50="X",L50="x",AND(COUNTA(J50,K50,M50,N50)&gt;0,(LEN(SUBSTITUTE(SUBSTITUTE(SUBSTITUTE(J50," ",""),"0",""),"-",""))+LEN(SUBSTITUTE(SUBSTITUTE(SUBSTITUTE(K50," ",""),"0",""),"-","")))=(LEN(SUBSTITUTE(SUBSTITUTE(SUBSTITUTE(M50," ",""),"0",""),"-",""))+LEN(SUBSTITUTE(SUBSTITUTE(SUBSTITUTE(N50," ",""),"0",""),"-",""))))),1,0)+IF(OR(L51="X",L51="x",AND(COUNTA(J51,K51,M51,N51)&gt;0,(LEN(SUBSTITUTE(SUBSTITUTE(SUBSTITUTE(J51," ",""),"0",""),"-",""))+LEN(SUBSTITUTE(SUBSTITUTE(SUBSTITUTE(K51," ",""),"0",""),"-","")))=(LEN(SUBSTITUTE(SUBSTITUTE(SUBSTITUTE(M51," ",""),"0",""),"-",""))+LEN(SUBSTITUTE(SUBSTITUTE(SUBSTITUTE(N51," ",""),"0",""),"-",""))))),1,0)+IF(OR(L52="X",L52="x",AND(COUNTA(J52,K52,M52,N52)&gt;0,(LEN(SUBSTITUTE(SUBSTITUTE(SUBSTITUTE(J52," ",""),"0",""),"-",""))+LEN(SUBSTITUTE(SUBSTITUTE(SUBSTITUTE(K52," ",""),"0",""),"-","")))=(LEN(SUBSTITUTE(SUBSTITUTE(SUBSTITUTE(M52," ",""),"0",""),"-",""))+LEN(SUBSTITUTE(SUBSTITUTE(SUBSTITUTE(N52," ",""),"0",""),"-",""))))),1,0)),0)+IF(OR(COUNTA(J56:K60,M56:N60)&gt;0,OR(L55="X",L55="x"),UPPER(L56)="X",UPPER(L57)="X",UPPER(L58)="X",UPPER(L59)="X",UPPER(L60)="X"),(IF(OR(L56="X",L56="x",AND(COUNTA(J56,K56,M56,N56)&gt;0,(LEN(SUBSTITUTE(SUBSTITUTE(SUBSTITUTE(J56," ",""),"0",""),"-",""))+LEN(SUBSTITUTE(SUBSTITUTE(SUBSTITUTE(K56," ",""),"0",""),"-","")))=(LEN(SUBSTITUTE(SUBSTITUTE(SUBSTITUTE(M56," ",""),"0",""),"-",""))+LEN(SUBSTITUTE(SUBSTITUTE(SUBSTITUTE(N56," ",""),"0",""),"-",""))))),1,0)+IF(OR(L57="X",L57="x",AND(COUNTA(J57,K57,M57,N57)&gt;0,(LEN(SUBSTITUTE(SUBSTITUTE(SUBSTITUTE(J57," ",""),"0",""),"-",""))+LEN(SUBSTITUTE(SUBSTITUTE(SUBSTITUTE(K57," ",""),"0",""),"-","")))=(LEN(SUBSTITUTE(SUBSTITUTE(SUBSTITUTE(M57," ",""),"0",""),"-",""))+LEN(SUBSTITUTE(SUBSTITUTE(SUBSTITUTE(N57," ",""),"0",""),"-",""))))),1,0)+IF(OR(L58="X",L58="x",AND(COUNTA(J58,K58,M58,N58)&gt;0,(LEN(SUBSTITUTE(SUBSTITUTE(SUBSTITUTE(J58," ",""),"0",""),"-",""))+LEN(SUBSTITUTE(SUBSTITUTE(SUBSTITUTE(K58," ",""),"0",""),"-","")))=(LEN(SUBSTITUTE(SUBSTITUTE(SUBSTITUTE(M58," ",""),"0",""),"-",""))+LEN(SUBSTITUTE(SUBSTITUTE(SUBSTITUTE(N58," ",""),"0",""),"-",""))))),1,0)+IF(OR(L59="X",L59="x",AND(COUNTA(J59,K59,M59,N59)&gt;0,(LEN(SUBSTITUTE(SUBSTITUTE(SUBSTITUTE(J59," ",""),"0",""),"-",""))+LEN(SUBSTITUTE(SUBSTITUTE(SUBSTITUTE(K59," ",""),"0",""),"-","")))=(LEN(SUBSTITUTE(SUBSTITUTE(SUBSTITUTE(M59," ",""),"0",""),"-",""))+LEN(SUBSTITUTE(SUBSTITUTE(SUBSTITUTE(N59," ",""),"0",""),"-",""))))),1,0)+IF(OR(L60="X",L60="x",AND(COUNTA(J60,K60,M60,N60)&gt;0,(LEN(SUBSTITUTE(SUBSTITUTE(SUBSTITUTE(J60," ",""),"0",""),"-",""))+LEN(SUBSTITUTE(SUBSTITUTE(SUBSTITUTE(K60," ",""),"0",""),"-","")))=(LEN(SUBSTITUTE(SUBSTITUTE(SUBSTITUTE(M60," ",""),"0",""),"-",""))+LEN(SUBSTITUTE(SUBSTITUTE(SUBSTITUTE(N60," ",""),"0",""),"-",""))))),1,0)),0)</f>
      </c>
      <c r="M77" s="14" t="str">
        <f>M47+M55</f>
      </c>
      <c r="N77" s="14" t="str">
        <f>K47+K55</f>
      </c>
    </row>
    <row r="78">
      <c r="A78" s="14" t="str">
        <f>data!$E$7&amp;" "&amp;data!$B$7</f>
      </c>
      <c r="B78" s="14" t="str">
        <f>IF(OR(COUNTA(B48:C52,E48:F52)&gt;0,OR(D47="X",D47="x"),UPPER(D48)="X",UPPER(D49)="X",UPPER(D50)="X",UPPER(D51)="X",UPPER(D52)="X"),B47,0)+IF(OR(COUNTA(B64:C68,E64:F68)&gt;0,OR(D63="X",D63="x"),UPPER(D64)="X",UPPER(D65)="X",UPPER(D66)="X",UPPER(D67)="X",UPPER(D68)="X"),F63,0)</f>
      </c>
      <c r="C78" s="14" t="str">
        <f>IF(OR(COUNTA(B48:C52,E48:F52)&gt;0,OR(D47="X",D47="x"),UPPER(D48)="X",UPPER(D49)="X",UPPER(D50)="X",UPPER(D51)="X",UPPER(D52)="X"),F47,0)+IF(OR(COUNTA(B64:C68,E64:F68)&gt;0,OR(D63="X",D63="x"),UPPER(D64)="X",UPPER(D65)="X",UPPER(D66)="X",UPPER(D67)="X",UPPER(D68)="X"),B63,0)</f>
      </c>
      <c r="D78" s="14" t="str">
        <f>IF(OR(COUNTA(B48:C52,E48:F52)&gt;0,OR(D47="X",D47="x"),UPPER(D48)="X",UPPER(D49)="X",UPPER(D50)="X",UPPER(D51)="X",UPPER(D52)="X"),(IF(OR(D48="X",D48="x",AND(COUNTA(B48,C48,E48,F48)&gt;0,(LEN(SUBSTITUTE(SUBSTITUTE(SUBSTITUTE(B48," ",""),"0",""),"-",""))+LEN(SUBSTITUTE(SUBSTITUTE(SUBSTITUTE(C48," ",""),"0",""),"-","")))=(LEN(SUBSTITUTE(SUBSTITUTE(SUBSTITUTE(E48," ",""),"0",""),"-",""))+LEN(SUBSTITUTE(SUBSTITUTE(SUBSTITUTE(F48," ",""),"0",""),"-",""))))),1,0)+IF(OR(D49="X",D49="x",AND(COUNTA(B49,C49,E49,F49)&gt;0,(LEN(SUBSTITUTE(SUBSTITUTE(SUBSTITUTE(B49," ",""),"0",""),"-",""))+LEN(SUBSTITUTE(SUBSTITUTE(SUBSTITUTE(C49," ",""),"0",""),"-","")))=(LEN(SUBSTITUTE(SUBSTITUTE(SUBSTITUTE(E49," ",""),"0",""),"-",""))+LEN(SUBSTITUTE(SUBSTITUTE(SUBSTITUTE(F49," ",""),"0",""),"-",""))))),1,0)+IF(OR(D50="X",D50="x",AND(COUNTA(B50,C50,E50,F50)&gt;0,(LEN(SUBSTITUTE(SUBSTITUTE(SUBSTITUTE(B50," ",""),"0",""),"-",""))+LEN(SUBSTITUTE(SUBSTITUTE(SUBSTITUTE(C50," ",""),"0",""),"-","")))=(LEN(SUBSTITUTE(SUBSTITUTE(SUBSTITUTE(E50," ",""),"0",""),"-",""))+LEN(SUBSTITUTE(SUBSTITUTE(SUBSTITUTE(F50," ",""),"0",""),"-",""))))),1,0)+IF(OR(D51="X",D51="x",AND(COUNTA(B51,C51,E51,F51)&gt;0,(LEN(SUBSTITUTE(SUBSTITUTE(SUBSTITUTE(B51," ",""),"0",""),"-",""))+LEN(SUBSTITUTE(SUBSTITUTE(SUBSTITUTE(C51," ",""),"0",""),"-","")))=(LEN(SUBSTITUTE(SUBSTITUTE(SUBSTITUTE(E51," ",""),"0",""),"-",""))+LEN(SUBSTITUTE(SUBSTITUTE(SUBSTITUTE(F51," ",""),"0",""),"-",""))))),1,0)+IF(OR(D52="X",D52="x",AND(COUNTA(B52,C52,E52,F52)&gt;0,(LEN(SUBSTITUTE(SUBSTITUTE(SUBSTITUTE(B52," ",""),"0",""),"-",""))+LEN(SUBSTITUTE(SUBSTITUTE(SUBSTITUTE(C52," ",""),"0",""),"-","")))=(LEN(SUBSTITUTE(SUBSTITUTE(SUBSTITUTE(E52," ",""),"0",""),"-",""))+LEN(SUBSTITUTE(SUBSTITUTE(SUBSTITUTE(F52," ",""),"0",""),"-",""))))),1,0)),0)+IF(OR(COUNTA(B64:C68,E64:F68)&gt;0,OR(D63="X",D63="x"),UPPER(D64)="X",UPPER(D65)="X",UPPER(D66)="X",UPPER(D67)="X",UPPER(D68)="X"),(IF(OR(D64="X",D64="x",AND(COUNTA(B64,C64,E64,F64)&gt;0,(LEN(SUBSTITUTE(SUBSTITUTE(SUBSTITUTE(B64," ",""),"0",""),"-",""))+LEN(SUBSTITUTE(SUBSTITUTE(SUBSTITUTE(C64," ",""),"0",""),"-","")))=(LEN(SUBSTITUTE(SUBSTITUTE(SUBSTITUTE(E64," ",""),"0",""),"-",""))+LEN(SUBSTITUTE(SUBSTITUTE(SUBSTITUTE(F64," ",""),"0",""),"-",""))))),1,0)+IF(OR(D65="X",D65="x",AND(COUNTA(B65,C65,E65,F65)&gt;0,(LEN(SUBSTITUTE(SUBSTITUTE(SUBSTITUTE(B65," ",""),"0",""),"-",""))+LEN(SUBSTITUTE(SUBSTITUTE(SUBSTITUTE(C65," ",""),"0",""),"-","")))=(LEN(SUBSTITUTE(SUBSTITUTE(SUBSTITUTE(E65," ",""),"0",""),"-",""))+LEN(SUBSTITUTE(SUBSTITUTE(SUBSTITUTE(F65," ",""),"0",""),"-",""))))),1,0)+IF(OR(D66="X",D66="x",AND(COUNTA(B66,C66,E66,F66)&gt;0,(LEN(SUBSTITUTE(SUBSTITUTE(SUBSTITUTE(B66," ",""),"0",""),"-",""))+LEN(SUBSTITUTE(SUBSTITUTE(SUBSTITUTE(C66," ",""),"0",""),"-","")))=(LEN(SUBSTITUTE(SUBSTITUTE(SUBSTITUTE(E66," ",""),"0",""),"-",""))+LEN(SUBSTITUTE(SUBSTITUTE(SUBSTITUTE(F66," ",""),"0",""),"-",""))))),1,0)+IF(OR(D67="X",D67="x",AND(COUNTA(B67,C67,E67,F67)&gt;0,(LEN(SUBSTITUTE(SUBSTITUTE(SUBSTITUTE(B67," ",""),"0",""),"-",""))+LEN(SUBSTITUTE(SUBSTITUTE(SUBSTITUTE(C67," ",""),"0",""),"-","")))=(LEN(SUBSTITUTE(SUBSTITUTE(SUBSTITUTE(E67," ",""),"0",""),"-",""))+LEN(SUBSTITUTE(SUBSTITUTE(SUBSTITUTE(F67," ",""),"0",""),"-",""))))),1,0)+IF(OR(D68="X",D68="x",AND(COUNTA(B68,C68,E68,F68)&gt;0,(LEN(SUBSTITUTE(SUBSTITUTE(SUBSTITUTE(B68," ",""),"0",""),"-",""))+LEN(SUBSTITUTE(SUBSTITUTE(SUBSTITUTE(C68," ",""),"0",""),"-","")))=(LEN(SUBSTITUTE(SUBSTITUTE(SUBSTITUTE(E68," ",""),"0",""),"-",""))+LEN(SUBSTITUTE(SUBSTITUTE(SUBSTITUTE(F68," ",""),"0",""),"-",""))))),1,0)),0)</f>
      </c>
      <c r="E78" s="14" t="str">
        <f>C47+E63</f>
      </c>
      <c r="F78" s="14" t="str">
        <f>E47+C63</f>
      </c>
      <c r="I78" s="14" t="str">
        <f>data!$E$54&amp;" "&amp;data!$B$54</f>
      </c>
      <c r="J78" s="14" t="str">
        <f>IF(OR(COUNTA(J48:K52,M48:N52)&gt;0,OR(L47="X",L47="x"),UPPER(L48)="X",UPPER(L49)="X",UPPER(L50)="X",UPPER(L51)="X",UPPER(L52)="X"),J47,0)+IF(OR(COUNTA(J64:K68,M64:N68)&gt;0,OR(L63="X",L63="x"),UPPER(L64)="X",UPPER(L65)="X",UPPER(L66)="X",UPPER(L67)="X",UPPER(L68)="X"),N63,0)</f>
      </c>
      <c r="K78" s="14" t="str">
        <f>IF(OR(COUNTA(J48:K52,M48:N52)&gt;0,OR(L47="X",L47="x"),UPPER(L48)="X",UPPER(L49)="X",UPPER(L50)="X",UPPER(L51)="X",UPPER(L52)="X"),N47,0)+IF(OR(COUNTA(J64:K68,M64:N68)&gt;0,OR(L63="X",L63="x"),UPPER(L64)="X",UPPER(L65)="X",UPPER(L66)="X",UPPER(L67)="X",UPPER(L68)="X"),J63,0)</f>
      </c>
      <c r="L78" s="14" t="str">
        <f>IF(OR(COUNTA(J48:K52,M48:N52)&gt;0,OR(L47="X",L47="x"),UPPER(L48)="X",UPPER(L49)="X",UPPER(L50)="X",UPPER(L51)="X",UPPER(L52)="X"),(IF(OR(L48="X",L48="x",AND(COUNTA(J48,K48,M48,N48)&gt;0,(LEN(SUBSTITUTE(SUBSTITUTE(SUBSTITUTE(J48," ",""),"0",""),"-",""))+LEN(SUBSTITUTE(SUBSTITUTE(SUBSTITUTE(K48," ",""),"0",""),"-","")))=(LEN(SUBSTITUTE(SUBSTITUTE(SUBSTITUTE(M48," ",""),"0",""),"-",""))+LEN(SUBSTITUTE(SUBSTITUTE(SUBSTITUTE(N48," ",""),"0",""),"-",""))))),1,0)+IF(OR(L49="X",L49="x",AND(COUNTA(J49,K49,M49,N49)&gt;0,(LEN(SUBSTITUTE(SUBSTITUTE(SUBSTITUTE(J49," ",""),"0",""),"-",""))+LEN(SUBSTITUTE(SUBSTITUTE(SUBSTITUTE(K49," ",""),"0",""),"-","")))=(LEN(SUBSTITUTE(SUBSTITUTE(SUBSTITUTE(M49," ",""),"0",""),"-",""))+LEN(SUBSTITUTE(SUBSTITUTE(SUBSTITUTE(N49," ",""),"0",""),"-",""))))),1,0)+IF(OR(L50="X",L50="x",AND(COUNTA(J50,K50,M50,N50)&gt;0,(LEN(SUBSTITUTE(SUBSTITUTE(SUBSTITUTE(J50," ",""),"0",""),"-",""))+LEN(SUBSTITUTE(SUBSTITUTE(SUBSTITUTE(K50," ",""),"0",""),"-","")))=(LEN(SUBSTITUTE(SUBSTITUTE(SUBSTITUTE(M50," ",""),"0",""),"-",""))+LEN(SUBSTITUTE(SUBSTITUTE(SUBSTITUTE(N50," ",""),"0",""),"-",""))))),1,0)+IF(OR(L51="X",L51="x",AND(COUNTA(J51,K51,M51,N51)&gt;0,(LEN(SUBSTITUTE(SUBSTITUTE(SUBSTITUTE(J51," ",""),"0",""),"-",""))+LEN(SUBSTITUTE(SUBSTITUTE(SUBSTITUTE(K51," ",""),"0",""),"-","")))=(LEN(SUBSTITUTE(SUBSTITUTE(SUBSTITUTE(M51," ",""),"0",""),"-",""))+LEN(SUBSTITUTE(SUBSTITUTE(SUBSTITUTE(N51," ",""),"0",""),"-",""))))),1,0)+IF(OR(L52="X",L52="x",AND(COUNTA(J52,K52,M52,N52)&gt;0,(LEN(SUBSTITUTE(SUBSTITUTE(SUBSTITUTE(J52," ",""),"0",""),"-",""))+LEN(SUBSTITUTE(SUBSTITUTE(SUBSTITUTE(K52," ",""),"0",""),"-","")))=(LEN(SUBSTITUTE(SUBSTITUTE(SUBSTITUTE(M52," ",""),"0",""),"-",""))+LEN(SUBSTITUTE(SUBSTITUTE(SUBSTITUTE(N52," ",""),"0",""),"-",""))))),1,0)),0)+IF(OR(COUNTA(J64:K68,M64:N68)&gt;0,OR(L63="X",L63="x"),UPPER(L64)="X",UPPER(L65)="X",UPPER(L66)="X",UPPER(L67)="X",UPPER(L68)="X"),(IF(OR(L64="X",L64="x",AND(COUNTA(J64,K64,M64,N64)&gt;0,(LEN(SUBSTITUTE(SUBSTITUTE(SUBSTITUTE(J64," ",""),"0",""),"-",""))+LEN(SUBSTITUTE(SUBSTITUTE(SUBSTITUTE(K64," ",""),"0",""),"-","")))=(LEN(SUBSTITUTE(SUBSTITUTE(SUBSTITUTE(M64," ",""),"0",""),"-",""))+LEN(SUBSTITUTE(SUBSTITUTE(SUBSTITUTE(N64," ",""),"0",""),"-",""))))),1,0)+IF(OR(L65="X",L65="x",AND(COUNTA(J65,K65,M65,N65)&gt;0,(LEN(SUBSTITUTE(SUBSTITUTE(SUBSTITUTE(J65," ",""),"0",""),"-",""))+LEN(SUBSTITUTE(SUBSTITUTE(SUBSTITUTE(K65," ",""),"0",""),"-","")))=(LEN(SUBSTITUTE(SUBSTITUTE(SUBSTITUTE(M65," ",""),"0",""),"-",""))+LEN(SUBSTITUTE(SUBSTITUTE(SUBSTITUTE(N65," ",""),"0",""),"-",""))))),1,0)+IF(OR(L66="X",L66="x",AND(COUNTA(J66,K66,M66,N66)&gt;0,(LEN(SUBSTITUTE(SUBSTITUTE(SUBSTITUTE(J66," ",""),"0",""),"-",""))+LEN(SUBSTITUTE(SUBSTITUTE(SUBSTITUTE(K66," ",""),"0",""),"-","")))=(LEN(SUBSTITUTE(SUBSTITUTE(SUBSTITUTE(M66," ",""),"0",""),"-",""))+LEN(SUBSTITUTE(SUBSTITUTE(SUBSTITUTE(N66," ",""),"0",""),"-",""))))),1,0)+IF(OR(L67="X",L67="x",AND(COUNTA(J67,K67,M67,N67)&gt;0,(LEN(SUBSTITUTE(SUBSTITUTE(SUBSTITUTE(J67," ",""),"0",""),"-",""))+LEN(SUBSTITUTE(SUBSTITUTE(SUBSTITUTE(K67," ",""),"0",""),"-","")))=(LEN(SUBSTITUTE(SUBSTITUTE(SUBSTITUTE(M67," ",""),"0",""),"-",""))+LEN(SUBSTITUTE(SUBSTITUTE(SUBSTITUTE(N67," ",""),"0",""),"-",""))))),1,0)+IF(OR(L68="X",L68="x",AND(COUNTA(J68,K68,M68,N68)&gt;0,(LEN(SUBSTITUTE(SUBSTITUTE(SUBSTITUTE(J68," ",""),"0",""),"-",""))+LEN(SUBSTITUTE(SUBSTITUTE(SUBSTITUTE(K68," ",""),"0",""),"-","")))=(LEN(SUBSTITUTE(SUBSTITUTE(SUBSTITUTE(M68," ",""),"0",""),"-",""))+LEN(SUBSTITUTE(SUBSTITUTE(SUBSTITUTE(N68," ",""),"0",""),"-",""))))),1,0)),0)</f>
      </c>
      <c r="M78" s="14" t="str">
        <f>K47+M63</f>
      </c>
      <c r="N78" s="14" t="str">
        <f>M47+K63</f>
      </c>
    </row>
    <row r="79">
      <c r="A79" s="14" t="str">
        <f>data!$E$8&amp;" "&amp;data!$B$8</f>
      </c>
      <c r="B79" s="14" t="str">
        <f>IF(OR(COUNTA(B56:C60,E56:F60)&gt;0,OR(D55="X",D55="x"),UPPER(D56)="X",UPPER(D57)="X",UPPER(D58)="X",UPPER(D59)="X",UPPER(D60)="X"),B55,0)+IF(OR(COUNTA(B64:C68,E64:F68)&gt;0,OR(D63="X",D63="x"),UPPER(D64)="X",UPPER(D65)="X",UPPER(D66)="X",UPPER(D67)="X",UPPER(D68)="X"),B63,0)</f>
      </c>
      <c r="C79" s="14" t="str">
        <f>IF(OR(COUNTA(B56:C60,E56:F60)&gt;0,OR(D55="X",D55="x"),UPPER(D56)="X",UPPER(D57)="X",UPPER(D58)="X",UPPER(D59)="X",UPPER(D60)="X"),F55,0)+IF(OR(COUNTA(B64:C68,E64:F68)&gt;0,OR(D63="X",D63="x"),UPPER(D64)="X",UPPER(D65)="X",UPPER(D66)="X",UPPER(D67)="X",UPPER(D68)="X"),F63,0)</f>
      </c>
      <c r="D79" s="14" t="str">
        <f>IF(OR(COUNTA(B56:C60,E56:F60)&gt;0,OR(D55="X",D55="x"),UPPER(D56)="X",UPPER(D57)="X",UPPER(D58)="X",UPPER(D59)="X",UPPER(D60)="X"),(IF(OR(D56="X",D56="x",AND(COUNTA(B56,C56,E56,F56)&gt;0,(LEN(SUBSTITUTE(SUBSTITUTE(SUBSTITUTE(B56," ",""),"0",""),"-",""))+LEN(SUBSTITUTE(SUBSTITUTE(SUBSTITUTE(C56," ",""),"0",""),"-","")))=(LEN(SUBSTITUTE(SUBSTITUTE(SUBSTITUTE(E56," ",""),"0",""),"-",""))+LEN(SUBSTITUTE(SUBSTITUTE(SUBSTITUTE(F56," ",""),"0",""),"-",""))))),1,0)+IF(OR(D57="X",D57="x",AND(COUNTA(B57,C57,E57,F57)&gt;0,(LEN(SUBSTITUTE(SUBSTITUTE(SUBSTITUTE(B57," ",""),"0",""),"-",""))+LEN(SUBSTITUTE(SUBSTITUTE(SUBSTITUTE(C57," ",""),"0",""),"-","")))=(LEN(SUBSTITUTE(SUBSTITUTE(SUBSTITUTE(E57," ",""),"0",""),"-",""))+LEN(SUBSTITUTE(SUBSTITUTE(SUBSTITUTE(F57," ",""),"0",""),"-",""))))),1,0)+IF(OR(D58="X",D58="x",AND(COUNTA(B58,C58,E58,F58)&gt;0,(LEN(SUBSTITUTE(SUBSTITUTE(SUBSTITUTE(B58," ",""),"0",""),"-",""))+LEN(SUBSTITUTE(SUBSTITUTE(SUBSTITUTE(C58," ",""),"0",""),"-","")))=(LEN(SUBSTITUTE(SUBSTITUTE(SUBSTITUTE(E58," ",""),"0",""),"-",""))+LEN(SUBSTITUTE(SUBSTITUTE(SUBSTITUTE(F58," ",""),"0",""),"-",""))))),1,0)+IF(OR(D59="X",D59="x",AND(COUNTA(B59,C59,E59,F59)&gt;0,(LEN(SUBSTITUTE(SUBSTITUTE(SUBSTITUTE(B59," ",""),"0",""),"-",""))+LEN(SUBSTITUTE(SUBSTITUTE(SUBSTITUTE(C59," ",""),"0",""),"-","")))=(LEN(SUBSTITUTE(SUBSTITUTE(SUBSTITUTE(E59," ",""),"0",""),"-",""))+LEN(SUBSTITUTE(SUBSTITUTE(SUBSTITUTE(F59," ",""),"0",""),"-",""))))),1,0)+IF(OR(D60="X",D60="x",AND(COUNTA(B60,C60,E60,F60)&gt;0,(LEN(SUBSTITUTE(SUBSTITUTE(SUBSTITUTE(B60," ",""),"0",""),"-",""))+LEN(SUBSTITUTE(SUBSTITUTE(SUBSTITUTE(C60," ",""),"0",""),"-","")))=(LEN(SUBSTITUTE(SUBSTITUTE(SUBSTITUTE(E60," ",""),"0",""),"-",""))+LEN(SUBSTITUTE(SUBSTITUTE(SUBSTITUTE(F60," ",""),"0",""),"-",""))))),1,0)),0)+IF(OR(COUNTA(B64:C68,E64:F68)&gt;0,OR(D63="X",D63="x"),UPPER(D64)="X",UPPER(D65)="X",UPPER(D66)="X",UPPER(D67)="X",UPPER(D68)="X"),(IF(OR(D64="X",D64="x",AND(COUNTA(B64,C64,E64,F64)&gt;0,(LEN(SUBSTITUTE(SUBSTITUTE(SUBSTITUTE(B64," ",""),"0",""),"-",""))+LEN(SUBSTITUTE(SUBSTITUTE(SUBSTITUTE(C64," ",""),"0",""),"-","")))=(LEN(SUBSTITUTE(SUBSTITUTE(SUBSTITUTE(E64," ",""),"0",""),"-",""))+LEN(SUBSTITUTE(SUBSTITUTE(SUBSTITUTE(F64," ",""),"0",""),"-",""))))),1,0)+IF(OR(D65="X",D65="x",AND(COUNTA(B65,C65,E65,F65)&gt;0,(LEN(SUBSTITUTE(SUBSTITUTE(SUBSTITUTE(B65," ",""),"0",""),"-",""))+LEN(SUBSTITUTE(SUBSTITUTE(SUBSTITUTE(C65," ",""),"0",""),"-","")))=(LEN(SUBSTITUTE(SUBSTITUTE(SUBSTITUTE(E65," ",""),"0",""),"-",""))+LEN(SUBSTITUTE(SUBSTITUTE(SUBSTITUTE(F65," ",""),"0",""),"-",""))))),1,0)+IF(OR(D66="X",D66="x",AND(COUNTA(B66,C66,E66,F66)&gt;0,(LEN(SUBSTITUTE(SUBSTITUTE(SUBSTITUTE(B66," ",""),"0",""),"-",""))+LEN(SUBSTITUTE(SUBSTITUTE(SUBSTITUTE(C66," ",""),"0",""),"-","")))=(LEN(SUBSTITUTE(SUBSTITUTE(SUBSTITUTE(E66," ",""),"0",""),"-",""))+LEN(SUBSTITUTE(SUBSTITUTE(SUBSTITUTE(F66," ",""),"0",""),"-",""))))),1,0)+IF(OR(D67="X",D67="x",AND(COUNTA(B67,C67,E67,F67)&gt;0,(LEN(SUBSTITUTE(SUBSTITUTE(SUBSTITUTE(B67," ",""),"0",""),"-",""))+LEN(SUBSTITUTE(SUBSTITUTE(SUBSTITUTE(C67," ",""),"0",""),"-","")))=(LEN(SUBSTITUTE(SUBSTITUTE(SUBSTITUTE(E67," ",""),"0",""),"-",""))+LEN(SUBSTITUTE(SUBSTITUTE(SUBSTITUTE(F67," ",""),"0",""),"-",""))))),1,0)+IF(OR(D68="X",D68="x",AND(COUNTA(B68,C68,E68,F68)&gt;0,(LEN(SUBSTITUTE(SUBSTITUTE(SUBSTITUTE(B68," ",""),"0",""),"-",""))+LEN(SUBSTITUTE(SUBSTITUTE(SUBSTITUTE(C68," ",""),"0",""),"-","")))=(LEN(SUBSTITUTE(SUBSTITUTE(SUBSTITUTE(E68," ",""),"0",""),"-",""))+LEN(SUBSTITUTE(SUBSTITUTE(SUBSTITUTE(F68," ",""),"0",""),"-",""))))),1,0)),0)</f>
      </c>
      <c r="E79" s="14" t="str">
        <f>C55+C63</f>
      </c>
      <c r="F79" s="14" t="str">
        <f>E55+E63</f>
      </c>
      <c r="I79" s="14" t="str">
        <f>data!$E$55&amp;" "&amp;data!$B$55</f>
      </c>
      <c r="J79" s="14" t="str">
        <f>IF(OR(COUNTA(J56:K60,M56:N60)&gt;0,OR(L55="X",L55="x"),UPPER(L56)="X",UPPER(L57)="X",UPPER(L58)="X",UPPER(L59)="X",UPPER(L60)="X"),J55,0)+IF(OR(COUNTA(J64:K68,M64:N68)&gt;0,OR(L63="X",L63="x"),UPPER(L64)="X",UPPER(L65)="X",UPPER(L66)="X",UPPER(L67)="X",UPPER(L68)="X"),J63,0)</f>
      </c>
      <c r="K79" s="14" t="str">
        <f>IF(OR(COUNTA(J56:K60,M56:N60)&gt;0,OR(L55="X",L55="x"),UPPER(L56)="X",UPPER(L57)="X",UPPER(L58)="X",UPPER(L59)="X",UPPER(L60)="X"),N55,0)+IF(OR(COUNTA(J64:K68,M64:N68)&gt;0,OR(L63="X",L63="x"),UPPER(L64)="X",UPPER(L65)="X",UPPER(L66)="X",UPPER(L67)="X",UPPER(L68)="X"),N63,0)</f>
      </c>
      <c r="L79" s="14" t="str">
        <f>IF(OR(COUNTA(J56:K60,M56:N60)&gt;0,OR(L55="X",L55="x"),UPPER(L56)="X",UPPER(L57)="X",UPPER(L58)="X",UPPER(L59)="X",UPPER(L60)="X"),(IF(OR(L56="X",L56="x",AND(COUNTA(J56,K56,M56,N56)&gt;0,(LEN(SUBSTITUTE(SUBSTITUTE(SUBSTITUTE(J56," ",""),"0",""),"-",""))+LEN(SUBSTITUTE(SUBSTITUTE(SUBSTITUTE(K56," ",""),"0",""),"-","")))=(LEN(SUBSTITUTE(SUBSTITUTE(SUBSTITUTE(M56," ",""),"0",""),"-",""))+LEN(SUBSTITUTE(SUBSTITUTE(SUBSTITUTE(N56," ",""),"0",""),"-",""))))),1,0)+IF(OR(L57="X",L57="x",AND(COUNTA(J57,K57,M57,N57)&gt;0,(LEN(SUBSTITUTE(SUBSTITUTE(SUBSTITUTE(J57," ",""),"0",""),"-",""))+LEN(SUBSTITUTE(SUBSTITUTE(SUBSTITUTE(K57," ",""),"0",""),"-","")))=(LEN(SUBSTITUTE(SUBSTITUTE(SUBSTITUTE(M57," ",""),"0",""),"-",""))+LEN(SUBSTITUTE(SUBSTITUTE(SUBSTITUTE(N57," ",""),"0",""),"-",""))))),1,0)+IF(OR(L58="X",L58="x",AND(COUNTA(J58,K58,M58,N58)&gt;0,(LEN(SUBSTITUTE(SUBSTITUTE(SUBSTITUTE(J58," ",""),"0",""),"-",""))+LEN(SUBSTITUTE(SUBSTITUTE(SUBSTITUTE(K58," ",""),"0",""),"-","")))=(LEN(SUBSTITUTE(SUBSTITUTE(SUBSTITUTE(M58," ",""),"0",""),"-",""))+LEN(SUBSTITUTE(SUBSTITUTE(SUBSTITUTE(N58," ",""),"0",""),"-",""))))),1,0)+IF(OR(L59="X",L59="x",AND(COUNTA(J59,K59,M59,N59)&gt;0,(LEN(SUBSTITUTE(SUBSTITUTE(SUBSTITUTE(J59," ",""),"0",""),"-",""))+LEN(SUBSTITUTE(SUBSTITUTE(SUBSTITUTE(K59," ",""),"0",""),"-","")))=(LEN(SUBSTITUTE(SUBSTITUTE(SUBSTITUTE(M59," ",""),"0",""),"-",""))+LEN(SUBSTITUTE(SUBSTITUTE(SUBSTITUTE(N59," ",""),"0",""),"-",""))))),1,0)+IF(OR(L60="X",L60="x",AND(COUNTA(J60,K60,M60,N60)&gt;0,(LEN(SUBSTITUTE(SUBSTITUTE(SUBSTITUTE(J60," ",""),"0",""),"-",""))+LEN(SUBSTITUTE(SUBSTITUTE(SUBSTITUTE(K60," ",""),"0",""),"-","")))=(LEN(SUBSTITUTE(SUBSTITUTE(SUBSTITUTE(M60," ",""),"0",""),"-",""))+LEN(SUBSTITUTE(SUBSTITUTE(SUBSTITUTE(N60," ",""),"0",""),"-",""))))),1,0)),0)+IF(OR(COUNTA(J64:K68,M64:N68)&gt;0,OR(L63="X",L63="x"),UPPER(L64)="X",UPPER(L65)="X",UPPER(L66)="X",UPPER(L67)="X",UPPER(L68)="X"),(IF(OR(L64="X",L64="x",AND(COUNTA(J64,K64,M64,N64)&gt;0,(LEN(SUBSTITUTE(SUBSTITUTE(SUBSTITUTE(J64," ",""),"0",""),"-",""))+LEN(SUBSTITUTE(SUBSTITUTE(SUBSTITUTE(K64," ",""),"0",""),"-","")))=(LEN(SUBSTITUTE(SUBSTITUTE(SUBSTITUTE(M64," ",""),"0",""),"-",""))+LEN(SUBSTITUTE(SUBSTITUTE(SUBSTITUTE(N64," ",""),"0",""),"-",""))))),1,0)+IF(OR(L65="X",L65="x",AND(COUNTA(J65,K65,M65,N65)&gt;0,(LEN(SUBSTITUTE(SUBSTITUTE(SUBSTITUTE(J65," ",""),"0",""),"-",""))+LEN(SUBSTITUTE(SUBSTITUTE(SUBSTITUTE(K65," ",""),"0",""),"-","")))=(LEN(SUBSTITUTE(SUBSTITUTE(SUBSTITUTE(M65," ",""),"0",""),"-",""))+LEN(SUBSTITUTE(SUBSTITUTE(SUBSTITUTE(N65," ",""),"0",""),"-",""))))),1,0)+IF(OR(L66="X",L66="x",AND(COUNTA(J66,K66,M66,N66)&gt;0,(LEN(SUBSTITUTE(SUBSTITUTE(SUBSTITUTE(J66," ",""),"0",""),"-",""))+LEN(SUBSTITUTE(SUBSTITUTE(SUBSTITUTE(K66," ",""),"0",""),"-","")))=(LEN(SUBSTITUTE(SUBSTITUTE(SUBSTITUTE(M66," ",""),"0",""),"-",""))+LEN(SUBSTITUTE(SUBSTITUTE(SUBSTITUTE(N66," ",""),"0",""),"-",""))))),1,0)+IF(OR(L67="X",L67="x",AND(COUNTA(J67,K67,M67,N67)&gt;0,(LEN(SUBSTITUTE(SUBSTITUTE(SUBSTITUTE(J67," ",""),"0",""),"-",""))+LEN(SUBSTITUTE(SUBSTITUTE(SUBSTITUTE(K67," ",""),"0",""),"-","")))=(LEN(SUBSTITUTE(SUBSTITUTE(SUBSTITUTE(M67," ",""),"0",""),"-",""))+LEN(SUBSTITUTE(SUBSTITUTE(SUBSTITUTE(N67," ",""),"0",""),"-",""))))),1,0)+IF(OR(L68="X",L68="x",AND(COUNTA(J68,K68,M68,N68)&gt;0,(LEN(SUBSTITUTE(SUBSTITUTE(SUBSTITUTE(J68," ",""),"0",""),"-",""))+LEN(SUBSTITUTE(SUBSTITUTE(SUBSTITUTE(K68," ",""),"0",""),"-","")))=(LEN(SUBSTITUTE(SUBSTITUTE(SUBSTITUTE(M68," ",""),"0",""),"-",""))+LEN(SUBSTITUTE(SUBSTITUTE(SUBSTITUTE(N68," ",""),"0",""),"-",""))))),1,0)),0)</f>
      </c>
      <c r="M79" s="14" t="str">
        <f>K55+K63</f>
      </c>
      <c r="N79" s="14" t="str">
        <f>M55+M63</f>
      </c>
    </row>
    <row r="82">
      <c r="F82" s="13"/>
      <c r="G82" s="13" t="s">
        <v>344</v>
      </c>
      <c r="N82" s="13"/>
      <c r="O82" s="13" t="s">
        <v>344</v>
      </c>
    </row>
    <row r="83">
      <c r="F83" t="s">
        <v>345</v>
      </c>
      <c r="G83" s="19" t="str">
        <f>IFERROR(INDEX($A$72:$A$79, MATCH(1, $G$72:$G$79, 0)), "-")</f>
      </c>
      <c r="N83" t="s">
        <v>345</v>
      </c>
      <c r="O83" s="19" t="str">
        <f>IFERROR(INDEX($I$72:$I$79, MATCH(1, $O$72:$O$79, 0)), "-")</f>
      </c>
    </row>
    <row r="84">
      <c r="F84" t="s">
        <v>346</v>
      </c>
      <c r="G84" s="19" t="str">
        <f>IFERROR(INDEX($A$72:$A$79, MATCH(2, $G$72:$G$79, 0)), "-")</f>
      </c>
      <c r="N84" t="s">
        <v>346</v>
      </c>
      <c r="O84" s="19" t="str">
        <f>IFERROR(INDEX($I$72:$I$79, MATCH(2, $O$72:$O$79, 0)), "-")</f>
      </c>
    </row>
    <row r="85">
      <c r="F85" t="s">
        <v>347</v>
      </c>
      <c r="G85" s="19" t="str">
        <f>IFERROR(INDEX($A$72:$A$79, MATCH(3, $G$72:$G$79, 0)), "-")</f>
      </c>
      <c r="N85" t="s">
        <v>347</v>
      </c>
      <c r="O85" s="19" t="str">
        <f>IFERROR(INDEX($I$72:$I$79, MATCH(3, $O$72:$O$79, 0)), "-")</f>
      </c>
    </row>
    <row r="88">
      <c r="A88" s="13" t="str">
        <f>'data'!$A$11</f>
      </c>
      <c r="B88" s="13"/>
      <c r="C88" s="13"/>
      <c r="D88" s="13"/>
      <c r="E88" s="13"/>
      <c r="F88" s="13"/>
      <c r="G88" s="13"/>
      <c r="I88" s="13" t="str">
        <f>'data'!$A$58</f>
      </c>
      <c r="J88" s="13"/>
      <c r="K88" s="13"/>
      <c r="L88" s="13"/>
      <c r="M88" s="13"/>
      <c r="N88" s="13"/>
      <c r="O88" s="13"/>
    </row>
    <row r="89">
      <c r="A89" s="17" t="s">
        <v>331</v>
      </c>
      <c r="B89" s="14"/>
      <c r="C89" s="14"/>
      <c r="D89" s="14" t="s">
        <v>332</v>
      </c>
      <c r="E89" s="14"/>
      <c r="F89" s="14"/>
      <c r="G89" s="16" t="s">
        <v>333</v>
      </c>
      <c r="I89" s="17" t="s">
        <v>331</v>
      </c>
      <c r="J89" s="14"/>
      <c r="K89" s="14"/>
      <c r="L89" s="14" t="s">
        <v>332</v>
      </c>
      <c r="M89" s="14"/>
      <c r="N89" s="14"/>
      <c r="O89" s="16" t="s">
        <v>333</v>
      </c>
    </row>
    <row r="90">
      <c r="A90" s="14" t="str">
        <f>data!$E$10&amp;" "&amp;data!$B$10</f>
      </c>
      <c r="B90" s="14" t="str">
        <f>IF(UPPER(D91)="X",0,IF((LEN(SUBSTITUTE(SUBSTITUTE(SUBSTITUTE(B91," ",""),"0",""),"-",""))+LEN(SUBSTITUTE(SUBSTITUTE(SUBSTITUTE(C91," ",""),"0",""),"-","")))&gt;(LEN(SUBSTITUTE(SUBSTITUTE(SUBSTITUTE(E91," ",""),"0",""),"-",""))+LEN(SUBSTITUTE(SUBSTITUTE(SUBSTITUTE(F91," ",""),"0",""),"-",""))),1,0))+IF(UPPER(D92)="X",0,IF((LEN(SUBSTITUTE(SUBSTITUTE(SUBSTITUTE(B92," ",""),"0",""),"-",""))+LEN(SUBSTITUTE(SUBSTITUTE(SUBSTITUTE(C92," ",""),"0",""),"-","")))&gt;(LEN(SUBSTITUTE(SUBSTITUTE(SUBSTITUTE(E92," ",""),"0",""),"-",""))+LEN(SUBSTITUTE(SUBSTITUTE(SUBSTITUTE(F92," ",""),"0",""),"-",""))),1,0))+IF(UPPER(D93)="X",0,IF((LEN(SUBSTITUTE(SUBSTITUTE(SUBSTITUTE(B93," ",""),"0",""),"-",""))+LEN(SUBSTITUTE(SUBSTITUTE(SUBSTITUTE(C93," ",""),"0",""),"-","")))&gt;(LEN(SUBSTITUTE(SUBSTITUTE(SUBSTITUTE(E93," ",""),"0",""),"-",""))+LEN(SUBSTITUTE(SUBSTITUTE(SUBSTITUTE(F93," ",""),"0",""),"-",""))),1,0))+IF(UPPER(D94)="X",0,IF((LEN(SUBSTITUTE(SUBSTITUTE(SUBSTITUTE(B94," ",""),"0",""),"-",""))+LEN(SUBSTITUTE(SUBSTITUTE(SUBSTITUTE(C94," ",""),"0",""),"-","")))&gt;(LEN(SUBSTITUTE(SUBSTITUTE(SUBSTITUTE(E94," ",""),"0",""),"-",""))+LEN(SUBSTITUTE(SUBSTITUTE(SUBSTITUTE(F94," ",""),"0",""),"-",""))),1,0))+IF(UPPER(D95)="X",0,IF((LEN(SUBSTITUTE(SUBSTITUTE(SUBSTITUTE(B95," ",""),"0",""),"-",""))+LEN(SUBSTITUTE(SUBSTITUTE(SUBSTITUTE(C95," ",""),"0",""),"-","")))&gt;(LEN(SUBSTITUTE(SUBSTITUTE(SUBSTITUTE(E95," ",""),"0",""),"-",""))+LEN(SUBSTITUTE(SUBSTITUTE(SUBSTITUTE(F95," ",""),"0",""),"-",""))),1,0))</f>
      </c>
      <c r="C90" s="14" t="str">
        <f>LEN(SUBSTITUTE(SUBSTITUTE(SUBSTITUTE(B91," ",""),"0",""),"-",""))+LEN(SUBSTITUTE(SUBSTITUTE(SUBSTITUTE(C91," ",""),"0",""),"-",""))+LEN(SUBSTITUTE(SUBSTITUTE(SUBSTITUTE(B92," ",""),"0",""),"-",""))+LEN(SUBSTITUTE(SUBSTITUTE(SUBSTITUTE(C92," ",""),"0",""),"-",""))+LEN(SUBSTITUTE(SUBSTITUTE(SUBSTITUTE(B93," ",""),"0",""),"-",""))+LEN(SUBSTITUTE(SUBSTITUTE(SUBSTITUTE(C93," ",""),"0",""),"-",""))+LEN(SUBSTITUTE(SUBSTITUTE(SUBSTITUTE(B94," ",""),"0",""),"-",""))+LEN(SUBSTITUTE(SUBSTITUTE(SUBSTITUTE(C94," ",""),"0",""),"-",""))+LEN(SUBSTITUTE(SUBSTITUTE(SUBSTITUTE(B95," ",""),"0",""),"-",""))+LEN(SUBSTITUTE(SUBSTITUTE(SUBSTITUTE(C95," ",""),"0",""),"-",""))</f>
      </c>
      <c r="D90" s="18"/>
      <c r="E90" s="14" t="str">
        <f>LEN(SUBSTITUTE(SUBSTITUTE(SUBSTITUTE(E91," ",""),"0",""),"-",""))+LEN(SUBSTITUTE(SUBSTITUTE(SUBSTITUTE(F91," ",""),"0",""),"-",""))+LEN(SUBSTITUTE(SUBSTITUTE(SUBSTITUTE(E92," ",""),"0",""),"-",""))+LEN(SUBSTITUTE(SUBSTITUTE(SUBSTITUTE(F92," ",""),"0",""),"-",""))+LEN(SUBSTITUTE(SUBSTITUTE(SUBSTITUTE(E93," ",""),"0",""),"-",""))+LEN(SUBSTITUTE(SUBSTITUTE(SUBSTITUTE(F93," ",""),"0",""),"-",""))+LEN(SUBSTITUTE(SUBSTITUTE(SUBSTITUTE(E94," ",""),"0",""),"-",""))+LEN(SUBSTITUTE(SUBSTITUTE(SUBSTITUTE(F94," ",""),"0",""),"-",""))+LEN(SUBSTITUTE(SUBSTITUTE(SUBSTITUTE(E95," ",""),"0",""),"-",""))+LEN(SUBSTITUTE(SUBSTITUTE(SUBSTITUTE(F95," ",""),"0",""),"-",""))</f>
      </c>
      <c r="F90" s="14" t="str">
        <f>IF(UPPER(D91)="X",0,IF((LEN(SUBSTITUTE(SUBSTITUTE(SUBSTITUTE(E91," ",""),"0",""),"-",""))+LEN(SUBSTITUTE(SUBSTITUTE(SUBSTITUTE(F91," ",""),"0",""),"-","")))&gt;(LEN(SUBSTITUTE(SUBSTITUTE(SUBSTITUTE(B91," ",""),"0",""),"-",""))+LEN(SUBSTITUTE(SUBSTITUTE(SUBSTITUTE(C91," ",""),"0",""),"-",""))),1,0))+IF(UPPER(D92)="X",0,IF((LEN(SUBSTITUTE(SUBSTITUTE(SUBSTITUTE(E92," ",""),"0",""),"-",""))+LEN(SUBSTITUTE(SUBSTITUTE(SUBSTITUTE(F92," ",""),"0",""),"-","")))&gt;(LEN(SUBSTITUTE(SUBSTITUTE(SUBSTITUTE(B92," ",""),"0",""),"-",""))+LEN(SUBSTITUTE(SUBSTITUTE(SUBSTITUTE(C92," ",""),"0",""),"-",""))),1,0))+IF(UPPER(D93)="X",0,IF((LEN(SUBSTITUTE(SUBSTITUTE(SUBSTITUTE(E93," ",""),"0",""),"-",""))+LEN(SUBSTITUTE(SUBSTITUTE(SUBSTITUTE(F93," ",""),"0",""),"-","")))&gt;(LEN(SUBSTITUTE(SUBSTITUTE(SUBSTITUTE(B93," ",""),"0",""),"-",""))+LEN(SUBSTITUTE(SUBSTITUTE(SUBSTITUTE(C93," ",""),"0",""),"-",""))),1,0))+IF(UPPER(D94)="X",0,IF((LEN(SUBSTITUTE(SUBSTITUTE(SUBSTITUTE(E94," ",""),"0",""),"-",""))+LEN(SUBSTITUTE(SUBSTITUTE(SUBSTITUTE(F94," ",""),"0",""),"-","")))&gt;(LEN(SUBSTITUTE(SUBSTITUTE(SUBSTITUTE(B94," ",""),"0",""),"-",""))+LEN(SUBSTITUTE(SUBSTITUTE(SUBSTITUTE(C94," ",""),"0",""),"-",""))),1,0))+IF(UPPER(D95)="X",0,IF((LEN(SUBSTITUTE(SUBSTITUTE(SUBSTITUTE(E95," ",""),"0",""),"-",""))+LEN(SUBSTITUTE(SUBSTITUTE(SUBSTITUTE(F95," ",""),"0",""),"-","")))&gt;(LEN(SUBSTITUTE(SUBSTITUTE(SUBSTITUTE(B95," ",""),"0",""),"-",""))+LEN(SUBSTITUTE(SUBSTITUTE(SUBSTITUTE(C95," ",""),"0",""),"-",""))),1,0))</f>
      </c>
      <c r="G90" s="14" t="str">
        <f>data!$E$9&amp;" "&amp;data!$B$9</f>
      </c>
      <c r="I90" s="14" t="str">
        <f>data!$E$57&amp;" "&amp;data!$B$57</f>
      </c>
      <c r="J90" s="14" t="str">
        <f>IF(UPPER(L91)="X",0,IF((LEN(SUBSTITUTE(SUBSTITUTE(SUBSTITUTE(J91," ",""),"0",""),"-",""))+LEN(SUBSTITUTE(SUBSTITUTE(SUBSTITUTE(K91," ",""),"0",""),"-","")))&gt;(LEN(SUBSTITUTE(SUBSTITUTE(SUBSTITUTE(M91," ",""),"0",""),"-",""))+LEN(SUBSTITUTE(SUBSTITUTE(SUBSTITUTE(N91," ",""),"0",""),"-",""))),1,0))+IF(UPPER(L92)="X",0,IF((LEN(SUBSTITUTE(SUBSTITUTE(SUBSTITUTE(J92," ",""),"0",""),"-",""))+LEN(SUBSTITUTE(SUBSTITUTE(SUBSTITUTE(K92," ",""),"0",""),"-","")))&gt;(LEN(SUBSTITUTE(SUBSTITUTE(SUBSTITUTE(M92," ",""),"0",""),"-",""))+LEN(SUBSTITUTE(SUBSTITUTE(SUBSTITUTE(N92," ",""),"0",""),"-",""))),1,0))+IF(UPPER(L93)="X",0,IF((LEN(SUBSTITUTE(SUBSTITUTE(SUBSTITUTE(J93," ",""),"0",""),"-",""))+LEN(SUBSTITUTE(SUBSTITUTE(SUBSTITUTE(K93," ",""),"0",""),"-","")))&gt;(LEN(SUBSTITUTE(SUBSTITUTE(SUBSTITUTE(M93," ",""),"0",""),"-",""))+LEN(SUBSTITUTE(SUBSTITUTE(SUBSTITUTE(N93," ",""),"0",""),"-",""))),1,0))+IF(UPPER(L94)="X",0,IF((LEN(SUBSTITUTE(SUBSTITUTE(SUBSTITUTE(J94," ",""),"0",""),"-",""))+LEN(SUBSTITUTE(SUBSTITUTE(SUBSTITUTE(K94," ",""),"0",""),"-","")))&gt;(LEN(SUBSTITUTE(SUBSTITUTE(SUBSTITUTE(M94," ",""),"0",""),"-",""))+LEN(SUBSTITUTE(SUBSTITUTE(SUBSTITUTE(N94," ",""),"0",""),"-",""))),1,0))+IF(UPPER(L95)="X",0,IF((LEN(SUBSTITUTE(SUBSTITUTE(SUBSTITUTE(J95," ",""),"0",""),"-",""))+LEN(SUBSTITUTE(SUBSTITUTE(SUBSTITUTE(K95," ",""),"0",""),"-","")))&gt;(LEN(SUBSTITUTE(SUBSTITUTE(SUBSTITUTE(M95," ",""),"0",""),"-",""))+LEN(SUBSTITUTE(SUBSTITUTE(SUBSTITUTE(N95," ",""),"0",""),"-",""))),1,0))</f>
      </c>
      <c r="K90" s="14" t="str">
        <f>LEN(SUBSTITUTE(SUBSTITUTE(SUBSTITUTE(J91," ",""),"0",""),"-",""))+LEN(SUBSTITUTE(SUBSTITUTE(SUBSTITUTE(K91," ",""),"0",""),"-",""))+LEN(SUBSTITUTE(SUBSTITUTE(SUBSTITUTE(J92," ",""),"0",""),"-",""))+LEN(SUBSTITUTE(SUBSTITUTE(SUBSTITUTE(K92," ",""),"0",""),"-",""))+LEN(SUBSTITUTE(SUBSTITUTE(SUBSTITUTE(J93," ",""),"0",""),"-",""))+LEN(SUBSTITUTE(SUBSTITUTE(SUBSTITUTE(K93," ",""),"0",""),"-",""))+LEN(SUBSTITUTE(SUBSTITUTE(SUBSTITUTE(J94," ",""),"0",""),"-",""))+LEN(SUBSTITUTE(SUBSTITUTE(SUBSTITUTE(K94," ",""),"0",""),"-",""))+LEN(SUBSTITUTE(SUBSTITUTE(SUBSTITUTE(J95," ",""),"0",""),"-",""))+LEN(SUBSTITUTE(SUBSTITUTE(SUBSTITUTE(K95," ",""),"0",""),"-",""))</f>
      </c>
      <c r="L90" s="18"/>
      <c r="M90" s="14" t="str">
        <f>LEN(SUBSTITUTE(SUBSTITUTE(SUBSTITUTE(M91," ",""),"0",""),"-",""))+LEN(SUBSTITUTE(SUBSTITUTE(SUBSTITUTE(N91," ",""),"0",""),"-",""))+LEN(SUBSTITUTE(SUBSTITUTE(SUBSTITUTE(M92," ",""),"0",""),"-",""))+LEN(SUBSTITUTE(SUBSTITUTE(SUBSTITUTE(N92," ",""),"0",""),"-",""))+LEN(SUBSTITUTE(SUBSTITUTE(SUBSTITUTE(M93," ",""),"0",""),"-",""))+LEN(SUBSTITUTE(SUBSTITUTE(SUBSTITUTE(N93," ",""),"0",""),"-",""))+LEN(SUBSTITUTE(SUBSTITUTE(SUBSTITUTE(M94," ",""),"0",""),"-",""))+LEN(SUBSTITUTE(SUBSTITUTE(SUBSTITUTE(N94," ",""),"0",""),"-",""))+LEN(SUBSTITUTE(SUBSTITUTE(SUBSTITUTE(M95," ",""),"0",""),"-",""))+LEN(SUBSTITUTE(SUBSTITUTE(SUBSTITUTE(N95," ",""),"0",""),"-",""))</f>
      </c>
      <c r="N90" s="14" t="str">
        <f>IF(UPPER(L91)="X",0,IF((LEN(SUBSTITUTE(SUBSTITUTE(SUBSTITUTE(M91," ",""),"0",""),"-",""))+LEN(SUBSTITUTE(SUBSTITUTE(SUBSTITUTE(N91," ",""),"0",""),"-","")))&gt;(LEN(SUBSTITUTE(SUBSTITUTE(SUBSTITUTE(J91," ",""),"0",""),"-",""))+LEN(SUBSTITUTE(SUBSTITUTE(SUBSTITUTE(K91," ",""),"0",""),"-",""))),1,0))+IF(UPPER(L92)="X",0,IF((LEN(SUBSTITUTE(SUBSTITUTE(SUBSTITUTE(M92," ",""),"0",""),"-",""))+LEN(SUBSTITUTE(SUBSTITUTE(SUBSTITUTE(N92," ",""),"0",""),"-","")))&gt;(LEN(SUBSTITUTE(SUBSTITUTE(SUBSTITUTE(J92," ",""),"0",""),"-",""))+LEN(SUBSTITUTE(SUBSTITUTE(SUBSTITUTE(K92," ",""),"0",""),"-",""))),1,0))+IF(UPPER(L93)="X",0,IF((LEN(SUBSTITUTE(SUBSTITUTE(SUBSTITUTE(M93," ",""),"0",""),"-",""))+LEN(SUBSTITUTE(SUBSTITUTE(SUBSTITUTE(N93," ",""),"0",""),"-","")))&gt;(LEN(SUBSTITUTE(SUBSTITUTE(SUBSTITUTE(J93," ",""),"0",""),"-",""))+LEN(SUBSTITUTE(SUBSTITUTE(SUBSTITUTE(K93," ",""),"0",""),"-",""))),1,0))+IF(UPPER(L94)="X",0,IF((LEN(SUBSTITUTE(SUBSTITUTE(SUBSTITUTE(M94," ",""),"0",""),"-",""))+LEN(SUBSTITUTE(SUBSTITUTE(SUBSTITUTE(N94," ",""),"0",""),"-","")))&gt;(LEN(SUBSTITUTE(SUBSTITUTE(SUBSTITUTE(J94," ",""),"0",""),"-",""))+LEN(SUBSTITUTE(SUBSTITUTE(SUBSTITUTE(K94," ",""),"0",""),"-",""))),1,0))+IF(UPPER(L95)="X",0,IF((LEN(SUBSTITUTE(SUBSTITUTE(SUBSTITUTE(M95," ",""),"0",""),"-",""))+LEN(SUBSTITUTE(SUBSTITUTE(SUBSTITUTE(N95," ",""),"0",""),"-","")))&gt;(LEN(SUBSTITUTE(SUBSTITUTE(SUBSTITUTE(J95," ",""),"0",""),"-",""))+LEN(SUBSTITUTE(SUBSTITUTE(SUBSTITUTE(K95," ",""),"0",""),"-",""))),1,0))</f>
      </c>
      <c r="O90" s="14" t="str">
        <f>data!$E$56&amp;" "&amp;data!$B$56</f>
      </c>
    </row>
    <row r="91">
      <c r="A91" s="14">
        <v>1</v>
      </c>
      <c r="B91" s="18"/>
      <c r="C91" s="18"/>
      <c r="D91" s="18"/>
      <c r="E91" s="18"/>
      <c r="F91" s="18"/>
      <c r="G91" s="14">
        <v>1</v>
      </c>
      <c r="I91" s="14">
        <v>1</v>
      </c>
      <c r="J91" s="18"/>
      <c r="K91" s="18"/>
      <c r="L91" s="18"/>
      <c r="M91" s="18"/>
      <c r="N91" s="18"/>
      <c r="O91" s="14">
        <v>1</v>
      </c>
    </row>
    <row r="92">
      <c r="A92" s="14">
        <v>2</v>
      </c>
      <c r="B92" s="18"/>
      <c r="C92" s="18"/>
      <c r="D92" s="18"/>
      <c r="E92" s="18"/>
      <c r="F92" s="18"/>
      <c r="G92" s="14">
        <v>2</v>
      </c>
      <c r="I92" s="14">
        <v>2</v>
      </c>
      <c r="J92" s="18"/>
      <c r="K92" s="18"/>
      <c r="L92" s="18"/>
      <c r="M92" s="18"/>
      <c r="N92" s="18"/>
      <c r="O92" s="14">
        <v>2</v>
      </c>
    </row>
    <row r="93">
      <c r="A93" s="14">
        <v>3</v>
      </c>
      <c r="B93" s="18"/>
      <c r="C93" s="18"/>
      <c r="D93" s="18"/>
      <c r="E93" s="18"/>
      <c r="F93" s="18"/>
      <c r="G93" s="14">
        <v>3</v>
      </c>
      <c r="I93" s="14">
        <v>3</v>
      </c>
      <c r="J93" s="18"/>
      <c r="K93" s="18"/>
      <c r="L93" s="18"/>
      <c r="M93" s="18"/>
      <c r="N93" s="18"/>
      <c r="O93" s="14">
        <v>3</v>
      </c>
    </row>
    <row r="94">
      <c r="A94" s="14">
        <v>4</v>
      </c>
      <c r="B94" s="18"/>
      <c r="C94" s="18"/>
      <c r="D94" s="18"/>
      <c r="E94" s="18"/>
      <c r="F94" s="18"/>
      <c r="G94" s="14">
        <v>4</v>
      </c>
      <c r="I94" s="14">
        <v>4</v>
      </c>
      <c r="J94" s="18"/>
      <c r="K94" s="18"/>
      <c r="L94" s="18"/>
      <c r="M94" s="18"/>
      <c r="N94" s="18"/>
      <c r="O94" s="14">
        <v>4</v>
      </c>
    </row>
    <row r="95">
      <c r="A95" s="14">
        <v>5</v>
      </c>
      <c r="B95" s="18"/>
      <c r="C95" s="18"/>
      <c r="D95" s="18"/>
      <c r="E95" s="18"/>
      <c r="F95" s="18"/>
      <c r="G95" s="14">
        <v>5</v>
      </c>
      <c r="I95" s="14">
        <v>5</v>
      </c>
      <c r="J95" s="18"/>
      <c r="K95" s="18"/>
      <c r="L95" s="18"/>
      <c r="M95" s="18"/>
      <c r="N95" s="18"/>
      <c r="O95" s="14">
        <v>5</v>
      </c>
    </row>
    <row r="97">
      <c r="A97" s="17" t="s">
        <v>331</v>
      </c>
      <c r="B97" s="14"/>
      <c r="C97" s="14"/>
      <c r="D97" s="14" t="s">
        <v>332</v>
      </c>
      <c r="E97" s="14"/>
      <c r="F97" s="14"/>
      <c r="G97" s="16" t="s">
        <v>333</v>
      </c>
      <c r="I97" s="17" t="s">
        <v>331</v>
      </c>
      <c r="J97" s="14"/>
      <c r="K97" s="14"/>
      <c r="L97" s="14" t="s">
        <v>332</v>
      </c>
      <c r="M97" s="14"/>
      <c r="N97" s="14"/>
      <c r="O97" s="16" t="s">
        <v>333</v>
      </c>
    </row>
    <row r="98">
      <c r="A98" s="14" t="str">
        <f>data!$E$11&amp;" "&amp;data!$B$11</f>
      </c>
      <c r="B98" s="14" t="str">
        <f>IF(UPPER(D99)="X",0,IF((LEN(SUBSTITUTE(SUBSTITUTE(SUBSTITUTE(B99," ",""),"0",""),"-",""))+LEN(SUBSTITUTE(SUBSTITUTE(SUBSTITUTE(C99," ",""),"0",""),"-","")))&gt;(LEN(SUBSTITUTE(SUBSTITUTE(SUBSTITUTE(E99," ",""),"0",""),"-",""))+LEN(SUBSTITUTE(SUBSTITUTE(SUBSTITUTE(F99," ",""),"0",""),"-",""))),1,0))+IF(UPPER(D100)="X",0,IF((LEN(SUBSTITUTE(SUBSTITUTE(SUBSTITUTE(B100," ",""),"0",""),"-",""))+LEN(SUBSTITUTE(SUBSTITUTE(SUBSTITUTE(C100," ",""),"0",""),"-","")))&gt;(LEN(SUBSTITUTE(SUBSTITUTE(SUBSTITUTE(E100," ",""),"0",""),"-",""))+LEN(SUBSTITUTE(SUBSTITUTE(SUBSTITUTE(F100," ",""),"0",""),"-",""))),1,0))+IF(UPPER(D101)="X",0,IF((LEN(SUBSTITUTE(SUBSTITUTE(SUBSTITUTE(B101," ",""),"0",""),"-",""))+LEN(SUBSTITUTE(SUBSTITUTE(SUBSTITUTE(C101," ",""),"0",""),"-","")))&gt;(LEN(SUBSTITUTE(SUBSTITUTE(SUBSTITUTE(E101," ",""),"0",""),"-",""))+LEN(SUBSTITUTE(SUBSTITUTE(SUBSTITUTE(F101," ",""),"0",""),"-",""))),1,0))+IF(UPPER(D102)="X",0,IF((LEN(SUBSTITUTE(SUBSTITUTE(SUBSTITUTE(B102," ",""),"0",""),"-",""))+LEN(SUBSTITUTE(SUBSTITUTE(SUBSTITUTE(C102," ",""),"0",""),"-","")))&gt;(LEN(SUBSTITUTE(SUBSTITUTE(SUBSTITUTE(E102," ",""),"0",""),"-",""))+LEN(SUBSTITUTE(SUBSTITUTE(SUBSTITUTE(F102," ",""),"0",""),"-",""))),1,0))+IF(UPPER(D103)="X",0,IF((LEN(SUBSTITUTE(SUBSTITUTE(SUBSTITUTE(B103," ",""),"0",""),"-",""))+LEN(SUBSTITUTE(SUBSTITUTE(SUBSTITUTE(C103," ",""),"0",""),"-","")))&gt;(LEN(SUBSTITUTE(SUBSTITUTE(SUBSTITUTE(E103," ",""),"0",""),"-",""))+LEN(SUBSTITUTE(SUBSTITUTE(SUBSTITUTE(F103," ",""),"0",""),"-",""))),1,0))</f>
      </c>
      <c r="C98" s="14" t="str">
        <f>LEN(SUBSTITUTE(SUBSTITUTE(SUBSTITUTE(B99," ",""),"0",""),"-",""))+LEN(SUBSTITUTE(SUBSTITUTE(SUBSTITUTE(C99," ",""),"0",""),"-",""))+LEN(SUBSTITUTE(SUBSTITUTE(SUBSTITUTE(B100," ",""),"0",""),"-",""))+LEN(SUBSTITUTE(SUBSTITUTE(SUBSTITUTE(C100," ",""),"0",""),"-",""))+LEN(SUBSTITUTE(SUBSTITUTE(SUBSTITUTE(B101," ",""),"0",""),"-",""))+LEN(SUBSTITUTE(SUBSTITUTE(SUBSTITUTE(C101," ",""),"0",""),"-",""))+LEN(SUBSTITUTE(SUBSTITUTE(SUBSTITUTE(B102," ",""),"0",""),"-",""))+LEN(SUBSTITUTE(SUBSTITUTE(SUBSTITUTE(C102," ",""),"0",""),"-",""))+LEN(SUBSTITUTE(SUBSTITUTE(SUBSTITUTE(B103," ",""),"0",""),"-",""))+LEN(SUBSTITUTE(SUBSTITUTE(SUBSTITUTE(C103," ",""),"0",""),"-",""))</f>
      </c>
      <c r="D98" s="18"/>
      <c r="E98" s="14" t="str">
        <f>LEN(SUBSTITUTE(SUBSTITUTE(SUBSTITUTE(E99," ",""),"0",""),"-",""))+LEN(SUBSTITUTE(SUBSTITUTE(SUBSTITUTE(F99," ",""),"0",""),"-",""))+LEN(SUBSTITUTE(SUBSTITUTE(SUBSTITUTE(E100," ",""),"0",""),"-",""))+LEN(SUBSTITUTE(SUBSTITUTE(SUBSTITUTE(F100," ",""),"0",""),"-",""))+LEN(SUBSTITUTE(SUBSTITUTE(SUBSTITUTE(E101," ",""),"0",""),"-",""))+LEN(SUBSTITUTE(SUBSTITUTE(SUBSTITUTE(F101," ",""),"0",""),"-",""))+LEN(SUBSTITUTE(SUBSTITUTE(SUBSTITUTE(E102," ",""),"0",""),"-",""))+LEN(SUBSTITUTE(SUBSTITUTE(SUBSTITUTE(F102," ",""),"0",""),"-",""))+LEN(SUBSTITUTE(SUBSTITUTE(SUBSTITUTE(E103," ",""),"0",""),"-",""))+LEN(SUBSTITUTE(SUBSTITUTE(SUBSTITUTE(F103," ",""),"0",""),"-",""))</f>
      </c>
      <c r="F98" s="14" t="str">
        <f>IF(UPPER(D99)="X",0,IF((LEN(SUBSTITUTE(SUBSTITUTE(SUBSTITUTE(E99," ",""),"0",""),"-",""))+LEN(SUBSTITUTE(SUBSTITUTE(SUBSTITUTE(F99," ",""),"0",""),"-","")))&gt;(LEN(SUBSTITUTE(SUBSTITUTE(SUBSTITUTE(B99," ",""),"0",""),"-",""))+LEN(SUBSTITUTE(SUBSTITUTE(SUBSTITUTE(C99," ",""),"0",""),"-",""))),1,0))+IF(UPPER(D100)="X",0,IF((LEN(SUBSTITUTE(SUBSTITUTE(SUBSTITUTE(E100," ",""),"0",""),"-",""))+LEN(SUBSTITUTE(SUBSTITUTE(SUBSTITUTE(F100," ",""),"0",""),"-","")))&gt;(LEN(SUBSTITUTE(SUBSTITUTE(SUBSTITUTE(B100," ",""),"0",""),"-",""))+LEN(SUBSTITUTE(SUBSTITUTE(SUBSTITUTE(C100," ",""),"0",""),"-",""))),1,0))+IF(UPPER(D101)="X",0,IF((LEN(SUBSTITUTE(SUBSTITUTE(SUBSTITUTE(E101," ",""),"0",""),"-",""))+LEN(SUBSTITUTE(SUBSTITUTE(SUBSTITUTE(F101," ",""),"0",""),"-","")))&gt;(LEN(SUBSTITUTE(SUBSTITUTE(SUBSTITUTE(B101," ",""),"0",""),"-",""))+LEN(SUBSTITUTE(SUBSTITUTE(SUBSTITUTE(C101," ",""),"0",""),"-",""))),1,0))+IF(UPPER(D102)="X",0,IF((LEN(SUBSTITUTE(SUBSTITUTE(SUBSTITUTE(E102," ",""),"0",""),"-",""))+LEN(SUBSTITUTE(SUBSTITUTE(SUBSTITUTE(F102," ",""),"0",""),"-","")))&gt;(LEN(SUBSTITUTE(SUBSTITUTE(SUBSTITUTE(B102," ",""),"0",""),"-",""))+LEN(SUBSTITUTE(SUBSTITUTE(SUBSTITUTE(C102," ",""),"0",""),"-",""))),1,0))+IF(UPPER(D103)="X",0,IF((LEN(SUBSTITUTE(SUBSTITUTE(SUBSTITUTE(E103," ",""),"0",""),"-",""))+LEN(SUBSTITUTE(SUBSTITUTE(SUBSTITUTE(F103," ",""),"0",""),"-","")))&gt;(LEN(SUBSTITUTE(SUBSTITUTE(SUBSTITUTE(B103," ",""),"0",""),"-",""))+LEN(SUBSTITUTE(SUBSTITUTE(SUBSTITUTE(C103," ",""),"0",""),"-",""))),1,0))</f>
      </c>
      <c r="G98" s="14" t="str">
        <f>data!$E$9&amp;" "&amp;data!$B$9</f>
      </c>
      <c r="I98" s="14" t="str">
        <f>data!$E$58&amp;" "&amp;data!$B$58</f>
      </c>
      <c r="J98" s="14" t="str">
        <f>IF(UPPER(L99)="X",0,IF((LEN(SUBSTITUTE(SUBSTITUTE(SUBSTITUTE(J99," ",""),"0",""),"-",""))+LEN(SUBSTITUTE(SUBSTITUTE(SUBSTITUTE(K99," ",""),"0",""),"-","")))&gt;(LEN(SUBSTITUTE(SUBSTITUTE(SUBSTITUTE(M99," ",""),"0",""),"-",""))+LEN(SUBSTITUTE(SUBSTITUTE(SUBSTITUTE(N99," ",""),"0",""),"-",""))),1,0))+IF(UPPER(L100)="X",0,IF((LEN(SUBSTITUTE(SUBSTITUTE(SUBSTITUTE(J100," ",""),"0",""),"-",""))+LEN(SUBSTITUTE(SUBSTITUTE(SUBSTITUTE(K100," ",""),"0",""),"-","")))&gt;(LEN(SUBSTITUTE(SUBSTITUTE(SUBSTITUTE(M100," ",""),"0",""),"-",""))+LEN(SUBSTITUTE(SUBSTITUTE(SUBSTITUTE(N100," ",""),"0",""),"-",""))),1,0))+IF(UPPER(L101)="X",0,IF((LEN(SUBSTITUTE(SUBSTITUTE(SUBSTITUTE(J101," ",""),"0",""),"-",""))+LEN(SUBSTITUTE(SUBSTITUTE(SUBSTITUTE(K101," ",""),"0",""),"-","")))&gt;(LEN(SUBSTITUTE(SUBSTITUTE(SUBSTITUTE(M101," ",""),"0",""),"-",""))+LEN(SUBSTITUTE(SUBSTITUTE(SUBSTITUTE(N101," ",""),"0",""),"-",""))),1,0))+IF(UPPER(L102)="X",0,IF((LEN(SUBSTITUTE(SUBSTITUTE(SUBSTITUTE(J102," ",""),"0",""),"-",""))+LEN(SUBSTITUTE(SUBSTITUTE(SUBSTITUTE(K102," ",""),"0",""),"-","")))&gt;(LEN(SUBSTITUTE(SUBSTITUTE(SUBSTITUTE(M102," ",""),"0",""),"-",""))+LEN(SUBSTITUTE(SUBSTITUTE(SUBSTITUTE(N102," ",""),"0",""),"-",""))),1,0))+IF(UPPER(L103)="X",0,IF((LEN(SUBSTITUTE(SUBSTITUTE(SUBSTITUTE(J103," ",""),"0",""),"-",""))+LEN(SUBSTITUTE(SUBSTITUTE(SUBSTITUTE(K103," ",""),"0",""),"-","")))&gt;(LEN(SUBSTITUTE(SUBSTITUTE(SUBSTITUTE(M103," ",""),"0",""),"-",""))+LEN(SUBSTITUTE(SUBSTITUTE(SUBSTITUTE(N103," ",""),"0",""),"-",""))),1,0))</f>
      </c>
      <c r="K98" s="14" t="str">
        <f>LEN(SUBSTITUTE(SUBSTITUTE(SUBSTITUTE(J99," ",""),"0",""),"-",""))+LEN(SUBSTITUTE(SUBSTITUTE(SUBSTITUTE(K99," ",""),"0",""),"-",""))+LEN(SUBSTITUTE(SUBSTITUTE(SUBSTITUTE(J100," ",""),"0",""),"-",""))+LEN(SUBSTITUTE(SUBSTITUTE(SUBSTITUTE(K100," ",""),"0",""),"-",""))+LEN(SUBSTITUTE(SUBSTITUTE(SUBSTITUTE(J101," ",""),"0",""),"-",""))+LEN(SUBSTITUTE(SUBSTITUTE(SUBSTITUTE(K101," ",""),"0",""),"-",""))+LEN(SUBSTITUTE(SUBSTITUTE(SUBSTITUTE(J102," ",""),"0",""),"-",""))+LEN(SUBSTITUTE(SUBSTITUTE(SUBSTITUTE(K102," ",""),"0",""),"-",""))+LEN(SUBSTITUTE(SUBSTITUTE(SUBSTITUTE(J103," ",""),"0",""),"-",""))+LEN(SUBSTITUTE(SUBSTITUTE(SUBSTITUTE(K103," ",""),"0",""),"-",""))</f>
      </c>
      <c r="L98" s="18"/>
      <c r="M98" s="14" t="str">
        <f>LEN(SUBSTITUTE(SUBSTITUTE(SUBSTITUTE(M99," ",""),"0",""),"-",""))+LEN(SUBSTITUTE(SUBSTITUTE(SUBSTITUTE(N99," ",""),"0",""),"-",""))+LEN(SUBSTITUTE(SUBSTITUTE(SUBSTITUTE(M100," ",""),"0",""),"-",""))+LEN(SUBSTITUTE(SUBSTITUTE(SUBSTITUTE(N100," ",""),"0",""),"-",""))+LEN(SUBSTITUTE(SUBSTITUTE(SUBSTITUTE(M101," ",""),"0",""),"-",""))+LEN(SUBSTITUTE(SUBSTITUTE(SUBSTITUTE(N101," ",""),"0",""),"-",""))+LEN(SUBSTITUTE(SUBSTITUTE(SUBSTITUTE(M102," ",""),"0",""),"-",""))+LEN(SUBSTITUTE(SUBSTITUTE(SUBSTITUTE(N102," ",""),"0",""),"-",""))+LEN(SUBSTITUTE(SUBSTITUTE(SUBSTITUTE(M103," ",""),"0",""),"-",""))+LEN(SUBSTITUTE(SUBSTITUTE(SUBSTITUTE(N103," ",""),"0",""),"-",""))</f>
      </c>
      <c r="N98" s="14" t="str">
        <f>IF(UPPER(L99)="X",0,IF((LEN(SUBSTITUTE(SUBSTITUTE(SUBSTITUTE(M99," ",""),"0",""),"-",""))+LEN(SUBSTITUTE(SUBSTITUTE(SUBSTITUTE(N99," ",""),"0",""),"-","")))&gt;(LEN(SUBSTITUTE(SUBSTITUTE(SUBSTITUTE(J99," ",""),"0",""),"-",""))+LEN(SUBSTITUTE(SUBSTITUTE(SUBSTITUTE(K99," ",""),"0",""),"-",""))),1,0))+IF(UPPER(L100)="X",0,IF((LEN(SUBSTITUTE(SUBSTITUTE(SUBSTITUTE(M100," ",""),"0",""),"-",""))+LEN(SUBSTITUTE(SUBSTITUTE(SUBSTITUTE(N100," ",""),"0",""),"-","")))&gt;(LEN(SUBSTITUTE(SUBSTITUTE(SUBSTITUTE(J100," ",""),"0",""),"-",""))+LEN(SUBSTITUTE(SUBSTITUTE(SUBSTITUTE(K100," ",""),"0",""),"-",""))),1,0))+IF(UPPER(L101)="X",0,IF((LEN(SUBSTITUTE(SUBSTITUTE(SUBSTITUTE(M101," ",""),"0",""),"-",""))+LEN(SUBSTITUTE(SUBSTITUTE(SUBSTITUTE(N101," ",""),"0",""),"-","")))&gt;(LEN(SUBSTITUTE(SUBSTITUTE(SUBSTITUTE(J101," ",""),"0",""),"-",""))+LEN(SUBSTITUTE(SUBSTITUTE(SUBSTITUTE(K101," ",""),"0",""),"-",""))),1,0))+IF(UPPER(L102)="X",0,IF((LEN(SUBSTITUTE(SUBSTITUTE(SUBSTITUTE(M102," ",""),"0",""),"-",""))+LEN(SUBSTITUTE(SUBSTITUTE(SUBSTITUTE(N102," ",""),"0",""),"-","")))&gt;(LEN(SUBSTITUTE(SUBSTITUTE(SUBSTITUTE(J102," ",""),"0",""),"-",""))+LEN(SUBSTITUTE(SUBSTITUTE(SUBSTITUTE(K102," ",""),"0",""),"-",""))),1,0))+IF(UPPER(L103)="X",0,IF((LEN(SUBSTITUTE(SUBSTITUTE(SUBSTITUTE(M103," ",""),"0",""),"-",""))+LEN(SUBSTITUTE(SUBSTITUTE(SUBSTITUTE(N103," ",""),"0",""),"-","")))&gt;(LEN(SUBSTITUTE(SUBSTITUTE(SUBSTITUTE(J103," ",""),"0",""),"-",""))+LEN(SUBSTITUTE(SUBSTITUTE(SUBSTITUTE(K103," ",""),"0",""),"-",""))),1,0))</f>
      </c>
      <c r="O98" s="14" t="str">
        <f>data!$E$56&amp;" "&amp;data!$B$56</f>
      </c>
    </row>
    <row r="99">
      <c r="A99" s="14">
        <v>1</v>
      </c>
      <c r="B99" s="18"/>
      <c r="C99" s="18"/>
      <c r="D99" s="18"/>
      <c r="E99" s="18"/>
      <c r="F99" s="18"/>
      <c r="G99" s="14">
        <v>1</v>
      </c>
      <c r="I99" s="14">
        <v>1</v>
      </c>
      <c r="J99" s="18"/>
      <c r="K99" s="18"/>
      <c r="L99" s="18"/>
      <c r="M99" s="18"/>
      <c r="N99" s="18"/>
      <c r="O99" s="14">
        <v>1</v>
      </c>
    </row>
    <row r="100">
      <c r="A100" s="14">
        <v>2</v>
      </c>
      <c r="B100" s="18"/>
      <c r="C100" s="18"/>
      <c r="D100" s="18"/>
      <c r="E100" s="18"/>
      <c r="F100" s="18"/>
      <c r="G100" s="14">
        <v>2</v>
      </c>
      <c r="I100" s="14">
        <v>2</v>
      </c>
      <c r="J100" s="18"/>
      <c r="K100" s="18"/>
      <c r="L100" s="18"/>
      <c r="M100" s="18"/>
      <c r="N100" s="18"/>
      <c r="O100" s="14">
        <v>2</v>
      </c>
    </row>
    <row r="101">
      <c r="A101" s="14">
        <v>3</v>
      </c>
      <c r="B101" s="18"/>
      <c r="C101" s="18"/>
      <c r="D101" s="18"/>
      <c r="E101" s="18"/>
      <c r="F101" s="18"/>
      <c r="G101" s="14">
        <v>3</v>
      </c>
      <c r="I101" s="14">
        <v>3</v>
      </c>
      <c r="J101" s="18"/>
      <c r="K101" s="18"/>
      <c r="L101" s="18"/>
      <c r="M101" s="18"/>
      <c r="N101" s="18"/>
      <c r="O101" s="14">
        <v>3</v>
      </c>
    </row>
    <row r="102">
      <c r="A102" s="14">
        <v>4</v>
      </c>
      <c r="B102" s="18"/>
      <c r="C102" s="18"/>
      <c r="D102" s="18"/>
      <c r="E102" s="18"/>
      <c r="F102" s="18"/>
      <c r="G102" s="14">
        <v>4</v>
      </c>
      <c r="I102" s="14">
        <v>4</v>
      </c>
      <c r="J102" s="18"/>
      <c r="K102" s="18"/>
      <c r="L102" s="18"/>
      <c r="M102" s="18"/>
      <c r="N102" s="18"/>
      <c r="O102" s="14">
        <v>4</v>
      </c>
    </row>
    <row r="103">
      <c r="A103" s="14">
        <v>5</v>
      </c>
      <c r="B103" s="18"/>
      <c r="C103" s="18"/>
      <c r="D103" s="18"/>
      <c r="E103" s="18"/>
      <c r="F103" s="18"/>
      <c r="G103" s="14">
        <v>5</v>
      </c>
      <c r="I103" s="14">
        <v>5</v>
      </c>
      <c r="J103" s="18"/>
      <c r="K103" s="18"/>
      <c r="L103" s="18"/>
      <c r="M103" s="18"/>
      <c r="N103" s="18"/>
      <c r="O103" s="14">
        <v>5</v>
      </c>
    </row>
    <row r="105">
      <c r="A105" s="17" t="s">
        <v>331</v>
      </c>
      <c r="B105" s="14"/>
      <c r="C105" s="14"/>
      <c r="D105" s="14" t="s">
        <v>332</v>
      </c>
      <c r="E105" s="14"/>
      <c r="F105" s="14"/>
      <c r="G105" s="16" t="s">
        <v>333</v>
      </c>
      <c r="I105" s="17" t="s">
        <v>331</v>
      </c>
      <c r="J105" s="14"/>
      <c r="K105" s="14"/>
      <c r="L105" s="14" t="s">
        <v>332</v>
      </c>
      <c r="M105" s="14"/>
      <c r="N105" s="14"/>
      <c r="O105" s="16" t="s">
        <v>333</v>
      </c>
    </row>
    <row r="106">
      <c r="A106" s="14" t="str">
        <f>data!$E$11&amp;" "&amp;data!$B$11</f>
      </c>
      <c r="B106" s="14" t="str">
        <f>IF(UPPER(D107)="X",0,IF((LEN(SUBSTITUTE(SUBSTITUTE(SUBSTITUTE(B107," ",""),"0",""),"-",""))+LEN(SUBSTITUTE(SUBSTITUTE(SUBSTITUTE(C107," ",""),"0",""),"-","")))&gt;(LEN(SUBSTITUTE(SUBSTITUTE(SUBSTITUTE(E107," ",""),"0",""),"-",""))+LEN(SUBSTITUTE(SUBSTITUTE(SUBSTITUTE(F107," ",""),"0",""),"-",""))),1,0))+IF(UPPER(D108)="X",0,IF((LEN(SUBSTITUTE(SUBSTITUTE(SUBSTITUTE(B108," ",""),"0",""),"-",""))+LEN(SUBSTITUTE(SUBSTITUTE(SUBSTITUTE(C108," ",""),"0",""),"-","")))&gt;(LEN(SUBSTITUTE(SUBSTITUTE(SUBSTITUTE(E108," ",""),"0",""),"-",""))+LEN(SUBSTITUTE(SUBSTITUTE(SUBSTITUTE(F108," ",""),"0",""),"-",""))),1,0))+IF(UPPER(D109)="X",0,IF((LEN(SUBSTITUTE(SUBSTITUTE(SUBSTITUTE(B109," ",""),"0",""),"-",""))+LEN(SUBSTITUTE(SUBSTITUTE(SUBSTITUTE(C109," ",""),"0",""),"-","")))&gt;(LEN(SUBSTITUTE(SUBSTITUTE(SUBSTITUTE(E109," ",""),"0",""),"-",""))+LEN(SUBSTITUTE(SUBSTITUTE(SUBSTITUTE(F109," ",""),"0",""),"-",""))),1,0))+IF(UPPER(D110)="X",0,IF((LEN(SUBSTITUTE(SUBSTITUTE(SUBSTITUTE(B110," ",""),"0",""),"-",""))+LEN(SUBSTITUTE(SUBSTITUTE(SUBSTITUTE(C110," ",""),"0",""),"-","")))&gt;(LEN(SUBSTITUTE(SUBSTITUTE(SUBSTITUTE(E110," ",""),"0",""),"-",""))+LEN(SUBSTITUTE(SUBSTITUTE(SUBSTITUTE(F110," ",""),"0",""),"-",""))),1,0))+IF(UPPER(D111)="X",0,IF((LEN(SUBSTITUTE(SUBSTITUTE(SUBSTITUTE(B111," ",""),"0",""),"-",""))+LEN(SUBSTITUTE(SUBSTITUTE(SUBSTITUTE(C111," ",""),"0",""),"-","")))&gt;(LEN(SUBSTITUTE(SUBSTITUTE(SUBSTITUTE(E111," ",""),"0",""),"-",""))+LEN(SUBSTITUTE(SUBSTITUTE(SUBSTITUTE(F111," ",""),"0",""),"-",""))),1,0))</f>
      </c>
      <c r="C106" s="14" t="str">
        <f>LEN(SUBSTITUTE(SUBSTITUTE(SUBSTITUTE(B107," ",""),"0",""),"-",""))+LEN(SUBSTITUTE(SUBSTITUTE(SUBSTITUTE(C107," ",""),"0",""),"-",""))+LEN(SUBSTITUTE(SUBSTITUTE(SUBSTITUTE(B108," ",""),"0",""),"-",""))+LEN(SUBSTITUTE(SUBSTITUTE(SUBSTITUTE(C108," ",""),"0",""),"-",""))+LEN(SUBSTITUTE(SUBSTITUTE(SUBSTITUTE(B109," ",""),"0",""),"-",""))+LEN(SUBSTITUTE(SUBSTITUTE(SUBSTITUTE(C109," ",""),"0",""),"-",""))+LEN(SUBSTITUTE(SUBSTITUTE(SUBSTITUTE(B110," ",""),"0",""),"-",""))+LEN(SUBSTITUTE(SUBSTITUTE(SUBSTITUTE(C110," ",""),"0",""),"-",""))+LEN(SUBSTITUTE(SUBSTITUTE(SUBSTITUTE(B111," ",""),"0",""),"-",""))+LEN(SUBSTITUTE(SUBSTITUTE(SUBSTITUTE(C111," ",""),"0",""),"-",""))</f>
      </c>
      <c r="D106" s="18"/>
      <c r="E106" s="14" t="str">
        <f>LEN(SUBSTITUTE(SUBSTITUTE(SUBSTITUTE(E107," ",""),"0",""),"-",""))+LEN(SUBSTITUTE(SUBSTITUTE(SUBSTITUTE(F107," ",""),"0",""),"-",""))+LEN(SUBSTITUTE(SUBSTITUTE(SUBSTITUTE(E108," ",""),"0",""),"-",""))+LEN(SUBSTITUTE(SUBSTITUTE(SUBSTITUTE(F108," ",""),"0",""),"-",""))+LEN(SUBSTITUTE(SUBSTITUTE(SUBSTITUTE(E109," ",""),"0",""),"-",""))+LEN(SUBSTITUTE(SUBSTITUTE(SUBSTITUTE(F109," ",""),"0",""),"-",""))+LEN(SUBSTITUTE(SUBSTITUTE(SUBSTITUTE(E110," ",""),"0",""),"-",""))+LEN(SUBSTITUTE(SUBSTITUTE(SUBSTITUTE(F110," ",""),"0",""),"-",""))+LEN(SUBSTITUTE(SUBSTITUTE(SUBSTITUTE(E111," ",""),"0",""),"-",""))+LEN(SUBSTITUTE(SUBSTITUTE(SUBSTITUTE(F111," ",""),"0",""),"-",""))</f>
      </c>
      <c r="F106" s="14" t="str">
        <f>IF(UPPER(D107)="X",0,IF((LEN(SUBSTITUTE(SUBSTITUTE(SUBSTITUTE(E107," ",""),"0",""),"-",""))+LEN(SUBSTITUTE(SUBSTITUTE(SUBSTITUTE(F107," ",""),"0",""),"-","")))&gt;(LEN(SUBSTITUTE(SUBSTITUTE(SUBSTITUTE(B107," ",""),"0",""),"-",""))+LEN(SUBSTITUTE(SUBSTITUTE(SUBSTITUTE(C107," ",""),"0",""),"-",""))),1,0))+IF(UPPER(D108)="X",0,IF((LEN(SUBSTITUTE(SUBSTITUTE(SUBSTITUTE(E108," ",""),"0",""),"-",""))+LEN(SUBSTITUTE(SUBSTITUTE(SUBSTITUTE(F108," ",""),"0",""),"-","")))&gt;(LEN(SUBSTITUTE(SUBSTITUTE(SUBSTITUTE(B108," ",""),"0",""),"-",""))+LEN(SUBSTITUTE(SUBSTITUTE(SUBSTITUTE(C108," ",""),"0",""),"-",""))),1,0))+IF(UPPER(D109)="X",0,IF((LEN(SUBSTITUTE(SUBSTITUTE(SUBSTITUTE(E109," ",""),"0",""),"-",""))+LEN(SUBSTITUTE(SUBSTITUTE(SUBSTITUTE(F109," ",""),"0",""),"-","")))&gt;(LEN(SUBSTITUTE(SUBSTITUTE(SUBSTITUTE(B109," ",""),"0",""),"-",""))+LEN(SUBSTITUTE(SUBSTITUTE(SUBSTITUTE(C109," ",""),"0",""),"-",""))),1,0))+IF(UPPER(D110)="X",0,IF((LEN(SUBSTITUTE(SUBSTITUTE(SUBSTITUTE(E110," ",""),"0",""),"-",""))+LEN(SUBSTITUTE(SUBSTITUTE(SUBSTITUTE(F110," ",""),"0",""),"-","")))&gt;(LEN(SUBSTITUTE(SUBSTITUTE(SUBSTITUTE(B110," ",""),"0",""),"-",""))+LEN(SUBSTITUTE(SUBSTITUTE(SUBSTITUTE(C110," ",""),"0",""),"-",""))),1,0))+IF(UPPER(D111)="X",0,IF((LEN(SUBSTITUTE(SUBSTITUTE(SUBSTITUTE(E111," ",""),"0",""),"-",""))+LEN(SUBSTITUTE(SUBSTITUTE(SUBSTITUTE(F111," ",""),"0",""),"-","")))&gt;(LEN(SUBSTITUTE(SUBSTITUTE(SUBSTITUTE(B111," ",""),"0",""),"-",""))+LEN(SUBSTITUTE(SUBSTITUTE(SUBSTITUTE(C111," ",""),"0",""),"-",""))),1,0))</f>
      </c>
      <c r="G106" s="14" t="str">
        <f>data!$E$10&amp;" "&amp;data!$B$10</f>
      </c>
      <c r="I106" s="14" t="str">
        <f>data!$E$58&amp;" "&amp;data!$B$58</f>
      </c>
      <c r="J106" s="14" t="str">
        <f>IF(UPPER(L107)="X",0,IF((LEN(SUBSTITUTE(SUBSTITUTE(SUBSTITUTE(J107," ",""),"0",""),"-",""))+LEN(SUBSTITUTE(SUBSTITUTE(SUBSTITUTE(K107," ",""),"0",""),"-","")))&gt;(LEN(SUBSTITUTE(SUBSTITUTE(SUBSTITUTE(M107," ",""),"0",""),"-",""))+LEN(SUBSTITUTE(SUBSTITUTE(SUBSTITUTE(N107," ",""),"0",""),"-",""))),1,0))+IF(UPPER(L108)="X",0,IF((LEN(SUBSTITUTE(SUBSTITUTE(SUBSTITUTE(J108," ",""),"0",""),"-",""))+LEN(SUBSTITUTE(SUBSTITUTE(SUBSTITUTE(K108," ",""),"0",""),"-","")))&gt;(LEN(SUBSTITUTE(SUBSTITUTE(SUBSTITUTE(M108," ",""),"0",""),"-",""))+LEN(SUBSTITUTE(SUBSTITUTE(SUBSTITUTE(N108," ",""),"0",""),"-",""))),1,0))+IF(UPPER(L109)="X",0,IF((LEN(SUBSTITUTE(SUBSTITUTE(SUBSTITUTE(J109," ",""),"0",""),"-",""))+LEN(SUBSTITUTE(SUBSTITUTE(SUBSTITUTE(K109," ",""),"0",""),"-","")))&gt;(LEN(SUBSTITUTE(SUBSTITUTE(SUBSTITUTE(M109," ",""),"0",""),"-",""))+LEN(SUBSTITUTE(SUBSTITUTE(SUBSTITUTE(N109," ",""),"0",""),"-",""))),1,0))+IF(UPPER(L110)="X",0,IF((LEN(SUBSTITUTE(SUBSTITUTE(SUBSTITUTE(J110," ",""),"0",""),"-",""))+LEN(SUBSTITUTE(SUBSTITUTE(SUBSTITUTE(K110," ",""),"0",""),"-","")))&gt;(LEN(SUBSTITUTE(SUBSTITUTE(SUBSTITUTE(M110," ",""),"0",""),"-",""))+LEN(SUBSTITUTE(SUBSTITUTE(SUBSTITUTE(N110," ",""),"0",""),"-",""))),1,0))+IF(UPPER(L111)="X",0,IF((LEN(SUBSTITUTE(SUBSTITUTE(SUBSTITUTE(J111," ",""),"0",""),"-",""))+LEN(SUBSTITUTE(SUBSTITUTE(SUBSTITUTE(K111," ",""),"0",""),"-","")))&gt;(LEN(SUBSTITUTE(SUBSTITUTE(SUBSTITUTE(M111," ",""),"0",""),"-",""))+LEN(SUBSTITUTE(SUBSTITUTE(SUBSTITUTE(N111," ",""),"0",""),"-",""))),1,0))</f>
      </c>
      <c r="K106" s="14" t="str">
        <f>LEN(SUBSTITUTE(SUBSTITUTE(SUBSTITUTE(J107," ",""),"0",""),"-",""))+LEN(SUBSTITUTE(SUBSTITUTE(SUBSTITUTE(K107," ",""),"0",""),"-",""))+LEN(SUBSTITUTE(SUBSTITUTE(SUBSTITUTE(J108," ",""),"0",""),"-",""))+LEN(SUBSTITUTE(SUBSTITUTE(SUBSTITUTE(K108," ",""),"0",""),"-",""))+LEN(SUBSTITUTE(SUBSTITUTE(SUBSTITUTE(J109," ",""),"0",""),"-",""))+LEN(SUBSTITUTE(SUBSTITUTE(SUBSTITUTE(K109," ",""),"0",""),"-",""))+LEN(SUBSTITUTE(SUBSTITUTE(SUBSTITUTE(J110," ",""),"0",""),"-",""))+LEN(SUBSTITUTE(SUBSTITUTE(SUBSTITUTE(K110," ",""),"0",""),"-",""))+LEN(SUBSTITUTE(SUBSTITUTE(SUBSTITUTE(J111," ",""),"0",""),"-",""))+LEN(SUBSTITUTE(SUBSTITUTE(SUBSTITUTE(K111," ",""),"0",""),"-",""))</f>
      </c>
      <c r="L106" s="18"/>
      <c r="M106" s="14" t="str">
        <f>LEN(SUBSTITUTE(SUBSTITUTE(SUBSTITUTE(M107," ",""),"0",""),"-",""))+LEN(SUBSTITUTE(SUBSTITUTE(SUBSTITUTE(N107," ",""),"0",""),"-",""))+LEN(SUBSTITUTE(SUBSTITUTE(SUBSTITUTE(M108," ",""),"0",""),"-",""))+LEN(SUBSTITUTE(SUBSTITUTE(SUBSTITUTE(N108," ",""),"0",""),"-",""))+LEN(SUBSTITUTE(SUBSTITUTE(SUBSTITUTE(M109," ",""),"0",""),"-",""))+LEN(SUBSTITUTE(SUBSTITUTE(SUBSTITUTE(N109," ",""),"0",""),"-",""))+LEN(SUBSTITUTE(SUBSTITUTE(SUBSTITUTE(M110," ",""),"0",""),"-",""))+LEN(SUBSTITUTE(SUBSTITUTE(SUBSTITUTE(N110," ",""),"0",""),"-",""))+LEN(SUBSTITUTE(SUBSTITUTE(SUBSTITUTE(M111," ",""),"0",""),"-",""))+LEN(SUBSTITUTE(SUBSTITUTE(SUBSTITUTE(N111," ",""),"0",""),"-",""))</f>
      </c>
      <c r="N106" s="14" t="str">
        <f>IF(UPPER(L107)="X",0,IF((LEN(SUBSTITUTE(SUBSTITUTE(SUBSTITUTE(M107," ",""),"0",""),"-",""))+LEN(SUBSTITUTE(SUBSTITUTE(SUBSTITUTE(N107," ",""),"0",""),"-","")))&gt;(LEN(SUBSTITUTE(SUBSTITUTE(SUBSTITUTE(J107," ",""),"0",""),"-",""))+LEN(SUBSTITUTE(SUBSTITUTE(SUBSTITUTE(K107," ",""),"0",""),"-",""))),1,0))+IF(UPPER(L108)="X",0,IF((LEN(SUBSTITUTE(SUBSTITUTE(SUBSTITUTE(M108," ",""),"0",""),"-",""))+LEN(SUBSTITUTE(SUBSTITUTE(SUBSTITUTE(N108," ",""),"0",""),"-","")))&gt;(LEN(SUBSTITUTE(SUBSTITUTE(SUBSTITUTE(J108," ",""),"0",""),"-",""))+LEN(SUBSTITUTE(SUBSTITUTE(SUBSTITUTE(K108," ",""),"0",""),"-",""))),1,0))+IF(UPPER(L109)="X",0,IF((LEN(SUBSTITUTE(SUBSTITUTE(SUBSTITUTE(M109," ",""),"0",""),"-",""))+LEN(SUBSTITUTE(SUBSTITUTE(SUBSTITUTE(N109," ",""),"0",""),"-","")))&gt;(LEN(SUBSTITUTE(SUBSTITUTE(SUBSTITUTE(J109," ",""),"0",""),"-",""))+LEN(SUBSTITUTE(SUBSTITUTE(SUBSTITUTE(K109," ",""),"0",""),"-",""))),1,0))+IF(UPPER(L110)="X",0,IF((LEN(SUBSTITUTE(SUBSTITUTE(SUBSTITUTE(M110," ",""),"0",""),"-",""))+LEN(SUBSTITUTE(SUBSTITUTE(SUBSTITUTE(N110," ",""),"0",""),"-","")))&gt;(LEN(SUBSTITUTE(SUBSTITUTE(SUBSTITUTE(J110," ",""),"0",""),"-",""))+LEN(SUBSTITUTE(SUBSTITUTE(SUBSTITUTE(K110," ",""),"0",""),"-",""))),1,0))+IF(UPPER(L111)="X",0,IF((LEN(SUBSTITUTE(SUBSTITUTE(SUBSTITUTE(M111," ",""),"0",""),"-",""))+LEN(SUBSTITUTE(SUBSTITUTE(SUBSTITUTE(N111," ",""),"0",""),"-","")))&gt;(LEN(SUBSTITUTE(SUBSTITUTE(SUBSTITUTE(J111," ",""),"0",""),"-",""))+LEN(SUBSTITUTE(SUBSTITUTE(SUBSTITUTE(K111," ",""),"0",""),"-",""))),1,0))</f>
      </c>
      <c r="O106" s="14" t="str">
        <f>data!$E$57&amp;" "&amp;data!$B$57</f>
      </c>
    </row>
    <row r="107">
      <c r="A107" s="14">
        <v>1</v>
      </c>
      <c r="B107" s="18"/>
      <c r="C107" s="18"/>
      <c r="D107" s="18"/>
      <c r="E107" s="18"/>
      <c r="F107" s="18"/>
      <c r="G107" s="14">
        <v>1</v>
      </c>
      <c r="I107" s="14">
        <v>1</v>
      </c>
      <c r="J107" s="18"/>
      <c r="K107" s="18"/>
      <c r="L107" s="18"/>
      <c r="M107" s="18"/>
      <c r="N107" s="18"/>
      <c r="O107" s="14">
        <v>1</v>
      </c>
    </row>
    <row r="108">
      <c r="A108" s="14">
        <v>2</v>
      </c>
      <c r="B108" s="18"/>
      <c r="C108" s="18"/>
      <c r="D108" s="18"/>
      <c r="E108" s="18"/>
      <c r="F108" s="18"/>
      <c r="G108" s="14">
        <v>2</v>
      </c>
      <c r="I108" s="14">
        <v>2</v>
      </c>
      <c r="J108" s="18"/>
      <c r="K108" s="18"/>
      <c r="L108" s="18"/>
      <c r="M108" s="18"/>
      <c r="N108" s="18"/>
      <c r="O108" s="14">
        <v>2</v>
      </c>
    </row>
    <row r="109">
      <c r="A109" s="14">
        <v>3</v>
      </c>
      <c r="B109" s="18"/>
      <c r="C109" s="18"/>
      <c r="D109" s="18"/>
      <c r="E109" s="18"/>
      <c r="F109" s="18"/>
      <c r="G109" s="14">
        <v>3</v>
      </c>
      <c r="I109" s="14">
        <v>3</v>
      </c>
      <c r="J109" s="18"/>
      <c r="K109" s="18"/>
      <c r="L109" s="18"/>
      <c r="M109" s="18"/>
      <c r="N109" s="18"/>
      <c r="O109" s="14">
        <v>3</v>
      </c>
    </row>
    <row r="110">
      <c r="A110" s="14">
        <v>4</v>
      </c>
      <c r="B110" s="18"/>
      <c r="C110" s="18"/>
      <c r="D110" s="18"/>
      <c r="E110" s="18"/>
      <c r="F110" s="18"/>
      <c r="G110" s="14">
        <v>4</v>
      </c>
      <c r="I110" s="14">
        <v>4</v>
      </c>
      <c r="J110" s="18"/>
      <c r="K110" s="18"/>
      <c r="L110" s="18"/>
      <c r="M110" s="18"/>
      <c r="N110" s="18"/>
      <c r="O110" s="14">
        <v>4</v>
      </c>
    </row>
    <row r="111">
      <c r="A111" s="14">
        <v>5</v>
      </c>
      <c r="B111" s="18"/>
      <c r="C111" s="18"/>
      <c r="D111" s="18"/>
      <c r="E111" s="18"/>
      <c r="F111" s="18"/>
      <c r="G111" s="14">
        <v>5</v>
      </c>
      <c r="I111" s="14">
        <v>5</v>
      </c>
      <c r="J111" s="18"/>
      <c r="K111" s="18"/>
      <c r="L111" s="18"/>
      <c r="M111" s="18"/>
      <c r="N111" s="18"/>
      <c r="O111" s="14">
        <v>5</v>
      </c>
    </row>
    <row r="114">
      <c r="A114" s="13" t="s">
        <v>334</v>
      </c>
      <c r="B114" s="13" t="s">
        <v>335</v>
      </c>
      <c r="C114" s="13" t="s">
        <v>336</v>
      </c>
      <c r="D114" s="13" t="s">
        <v>337</v>
      </c>
      <c r="E114" s="13"/>
      <c r="F114" s="13"/>
      <c r="G114" s="13" t="s">
        <v>338</v>
      </c>
      <c r="I114" s="13" t="s">
        <v>334</v>
      </c>
      <c r="J114" s="13" t="s">
        <v>335</v>
      </c>
      <c r="K114" s="13" t="s">
        <v>336</v>
      </c>
      <c r="L114" s="13" t="s">
        <v>337</v>
      </c>
      <c r="M114" s="13"/>
      <c r="N114" s="13"/>
      <c r="O114" s="13" t="s">
        <v>338</v>
      </c>
    </row>
    <row r="115">
      <c r="A115" s="14" t="str">
        <f>data!$E$9&amp;" "&amp;data!$B$9</f>
      </c>
      <c r="B115" s="14" t="str">
        <f>IF(OR(COUNTA(B91:C95,E91:F95)&gt;0,D91="X",D91="x",D92="X",D92="x",D93="X",D93="x",D94="X",D94="x",D95="X",D95="x",OR(D90="X",D90="x")),IF(OR(OR(D90="X",D90="x"),AND(B90=F90,C90=E90)),0,IF(OR(F90&gt;B90,AND(F90=B90,E90&gt;C90)),1,0)),0)+IF(OR(COUNTA(B99:C103,E99:F103)&gt;0,D99="X",D99="x",D100="X",D100="x",D101="X",D101="x",D102="X",D102="x",D103="X",D103="x",OR(D98="X",D98="x")),IF(OR(OR(D98="X",D98="x"),AND(B98=F98,C98=E98)),0,IF(OR(F98&gt;B98,AND(F98=B98,E98&gt;C98)),1,0)),0)</f>
      </c>
      <c r="C115" s="14" t="str">
        <f>IF(OR(COUNTA(B91:C95,E91:F95)&gt;0,D91="X",D91="x",D92="X",D92="x",D93="X",D93="x",D94="X",D94="x",D95="X",D95="x",OR(D90="X",D90="x")),IF(OR(OR(D90="X",D90="x"),AND(B90=F90,C90=E90)),0,IF(OR(F90&lt;B90,AND(F90=B90,E90&lt;C90)),1,0)),0)+IF(OR(COUNTA(B99:C103,E99:F103)&gt;0,D99="X",D99="x",D100="X",D100="x",D101="X",D101="x",D102="X",D102="x",D103="X",D103="x",OR(D98="X",D98="x")),IF(OR(OR(D98="X",D98="x"),AND(B98=F98,C98=E98)),0,IF(OR(F98&lt;B98,AND(F98=B98,E98&lt;C98)),1,0)),0)</f>
      </c>
      <c r="D115" s="14" t="str">
        <f>IF(OR(COUNTA(B91:C95,E91:F95)&gt;0,D91="X",D91="x",D92="X",D92="x",D93="X",D93="x",D94="X",D94="x",D95="X",D95="x",OR(D90="X",D90="x")),IF(OR(OR(D90="X",D90="x"),AND(B90=F90,C90=E90)),1,0),0)+IF(OR(COUNTA(B99:C103,E99:F103)&gt;0,D99="X",D99="x",D100="X",D100="x",D101="X",D101="x",D102="X",D102="x",D103="X",D103="x",OR(D98="X",D98="x")),IF(OR(OR(D98="X",D98="x"),AND(B98=F98,C98=E98)),1,0),0)</f>
      </c>
      <c r="G115" s="18" t="str">
        <f>RANK(U115,$U$115:$U$117)+COUNTIF($U$114:U114,U115)</f>
      </c>
      <c r="I115" s="14" t="str">
        <f>data!$E$56&amp;" "&amp;data!$B$56</f>
      </c>
      <c r="J115" s="14" t="str">
        <f>IF(OR(COUNTA(J91:K95,M91:N95)&gt;0,L91="X",L91="x",L92="X",L92="x",L93="X",L93="x",L94="X",L94="x",L95="X",L95="x",OR(L90="X",L90="x")),IF(OR(OR(L90="X",L90="x"),AND(J90=N90,K90=M90)),0,IF(OR(N90&gt;J90,AND(N90=J90,M90&gt;K90)),1,0)),0)+IF(OR(COUNTA(J99:K103,M99:N103)&gt;0,L99="X",L99="x",L100="X",L100="x",L101="X",L101="x",L102="X",L102="x",L103="X",L103="x",OR(L98="X",L98="x")),IF(OR(OR(L98="X",L98="x"),AND(J98=N98,K98=M98)),0,IF(OR(N98&gt;J98,AND(N98=J98,M98&gt;K98)),1,0)),0)</f>
      </c>
      <c r="K115" s="14" t="str">
        <f>IF(OR(COUNTA(J91:K95,M91:N95)&gt;0,L91="X",L91="x",L92="X",L92="x",L93="X",L93="x",L94="X",L94="x",L95="X",L95="x",OR(L90="X",L90="x")),IF(OR(OR(L90="X",L90="x"),AND(J90=N90,K90=M90)),0,IF(OR(N90&lt;J90,AND(N90=J90,M90&lt;K90)),1,0)),0)+IF(OR(COUNTA(J99:K103,M99:N103)&gt;0,L99="X",L99="x",L100="X",L100="x",L101="X",L101="x",L102="X",L102="x",L103="X",L103="x",OR(L98="X",L98="x")),IF(OR(OR(L98="X",L98="x"),AND(J98=N98,K98=M98)),0,IF(OR(N98&lt;J98,AND(N98=J98,M98&lt;K98)),1,0)),0)</f>
      </c>
      <c r="L115" s="14" t="str">
        <f>IF(OR(COUNTA(J91:K95,M91:N95)&gt;0,L91="X",L91="x",L92="X",L92="x",L93="X",L93="x",L94="X",L94="x",L95="X",L95="x",OR(L90="X",L90="x")),IF(OR(OR(L90="X",L90="x"),AND(J90=N90,K90=M90)),1,0),0)+IF(OR(COUNTA(J99:K103,M99:N103)&gt;0,L99="X",L99="x",L100="X",L100="x",L101="X",L101="x",L102="X",L102="x",L103="X",L103="x",OR(L98="X",L98="x")),IF(OR(OR(L98="X",L98="x"),AND(J98=N98,K98=M98)),1,0),0)</f>
      </c>
      <c r="O115" s="18" t="str">
        <f>RANK(AC115,$AC$115:$AC$117)+COUNTIF($AC$114:AC114,AC115)</f>
      </c>
      <c r="U115" t="str">
        <f>(B115*1000000000)-(C115*10000000)+(D115*100000)+(B120*1000)-(C120*100)+(D120*10)+(E120*1)-(F120*0.01)</f>
      </c>
      <c r="AC115" t="str">
        <f>(J115*1000000000)-(K115*10000000)+(L115*100000)+(J120*1000)-(K120*100)+(L120*10)+(M120*1)-(N120*0.01)</f>
      </c>
    </row>
    <row r="116">
      <c r="A116" s="14" t="str">
        <f>data!$E$10&amp;" "&amp;data!$B$10</f>
      </c>
      <c r="B116" s="14" t="str">
        <f>IF(OR(COUNTA(B91:C95,E91:F95)&gt;0,D91="X",D91="x",D92="X",D92="x",D93="X",D93="x",D94="X",D94="x",D95="X",D95="x",OR(D90="X",D90="x")),IF(OR(OR(D90="X",D90="x"),AND(B90=F90,C90=E90)),0,IF(OR(B90&gt;F90,AND(B90=F90,C90&gt;E90)),1,0)),0)+IF(OR(COUNTA(B107:C111,E107:F111)&gt;0,D107="X",D107="x",D108="X",D108="x",D109="X",D109="x",D110="X",D110="x",D111="X",D111="x",OR(D106="X",D106="x")),IF(OR(OR(D106="X",D106="x"),AND(B106=F106,C106=E106)),0,IF(OR(F106&gt;B106,AND(F106=B106,E106&gt;C106)),1,0)),0)</f>
      </c>
      <c r="C116" s="14" t="str">
        <f>IF(OR(COUNTA(B91:C95,E91:F95)&gt;0,D91="X",D91="x",D92="X",D92="x",D93="X",D93="x",D94="X",D94="x",D95="X",D95="x",OR(D90="X",D90="x")),IF(OR(OR(D90="X",D90="x"),AND(B90=F90,C90=E90)),0,IF(OR(B90&lt;F90,AND(B90=F90,C90&lt;E90)),1,0)),0)+IF(OR(COUNTA(B107:C111,E107:F111)&gt;0,D107="X",D107="x",D108="X",D108="x",D109="X",D109="x",D110="X",D110="x",D111="X",D111="x",OR(D106="X",D106="x")),IF(OR(OR(D106="X",D106="x"),AND(B106=F106,C106=E106)),0,IF(OR(F106&lt;B106,AND(F106=B106,E106&lt;C106)),1,0)),0)</f>
      </c>
      <c r="D116" s="14" t="str">
        <f>IF(OR(COUNTA(B91:C95,E91:F95)&gt;0,D91="X",D91="x",D92="X",D92="x",D93="X",D93="x",D94="X",D94="x",D95="X",D95="x",OR(D90="X",D90="x")),IF(OR(OR(D90="X",D90="x"),AND(B90=F90,C90=E90)),1,0),0)+IF(OR(COUNTA(B107:C111,E107:F111)&gt;0,D107="X",D107="x",D108="X",D108="x",D109="X",D109="x",D110="X",D110="x",D111="X",D111="x",OR(D106="X",D106="x")),IF(OR(OR(D106="X",D106="x"),AND(B106=F106,C106=E106)),1,0),0)</f>
      </c>
      <c r="G116" s="18" t="str">
        <f>RANK(U116,$U$115:$U$117)+COUNTIF($U$114:U115,U116)</f>
      </c>
      <c r="I116" s="14" t="str">
        <f>data!$E$57&amp;" "&amp;data!$B$57</f>
      </c>
      <c r="J116" s="14" t="str">
        <f>IF(OR(COUNTA(J91:K95,M91:N95)&gt;0,L91="X",L91="x",L92="X",L92="x",L93="X",L93="x",L94="X",L94="x",L95="X",L95="x",OR(L90="X",L90="x")),IF(OR(OR(L90="X",L90="x"),AND(J90=N90,K90=M90)),0,IF(OR(J90&gt;N90,AND(J90=N90,K90&gt;M90)),1,0)),0)+IF(OR(COUNTA(J107:K111,M107:N111)&gt;0,L107="X",L107="x",L108="X",L108="x",L109="X",L109="x",L110="X",L110="x",L111="X",L111="x",OR(L106="X",L106="x")),IF(OR(OR(L106="X",L106="x"),AND(J106=N106,K106=M106)),0,IF(OR(N106&gt;J106,AND(N106=J106,M106&gt;K106)),1,0)),0)</f>
      </c>
      <c r="K116" s="14" t="str">
        <f>IF(OR(COUNTA(J91:K95,M91:N95)&gt;0,L91="X",L91="x",L92="X",L92="x",L93="X",L93="x",L94="X",L94="x",L95="X",L95="x",OR(L90="X",L90="x")),IF(OR(OR(L90="X",L90="x"),AND(J90=N90,K90=M90)),0,IF(OR(J90&lt;N90,AND(J90=N90,K90&lt;M90)),1,0)),0)+IF(OR(COUNTA(J107:K111,M107:N111)&gt;0,L107="X",L107="x",L108="X",L108="x",L109="X",L109="x",L110="X",L110="x",L111="X",L111="x",OR(L106="X",L106="x")),IF(OR(OR(L106="X",L106="x"),AND(J106=N106,K106=M106)),0,IF(OR(N106&lt;J106,AND(N106=J106,M106&lt;K106)),1,0)),0)</f>
      </c>
      <c r="L116" s="14" t="str">
        <f>IF(OR(COUNTA(J91:K95,M91:N95)&gt;0,L91="X",L91="x",L92="X",L92="x",L93="X",L93="x",L94="X",L94="x",L95="X",L95="x",OR(L90="X",L90="x")),IF(OR(OR(L90="X",L90="x"),AND(J90=N90,K90=M90)),1,0),0)+IF(OR(COUNTA(J107:K111,M107:N111)&gt;0,L107="X",L107="x",L108="X",L108="x",L109="X",L109="x",L110="X",L110="x",L111="X",L111="x",OR(L106="X",L106="x")),IF(OR(OR(L106="X",L106="x"),AND(J106=N106,K106=M106)),1,0),0)</f>
      </c>
      <c r="O116" s="18" t="str">
        <f>RANK(AC116,$AC$115:$AC$117)+COUNTIF($AC$114:AC115,AC116)</f>
      </c>
      <c r="U116" t="str">
        <f>(B116*1000000000)-(C116*10000000)+(D116*100000)+(B121*1000)-(C121*100)+(D121*10)+(E121*1)-(F121*0.01)</f>
      </c>
      <c r="AC116" t="str">
        <f>(J116*1000000000)-(K116*10000000)+(L116*100000)+(J121*1000)-(K121*100)+(L121*10)+(M121*1)-(N121*0.01)</f>
      </c>
    </row>
    <row r="117">
      <c r="A117" s="14" t="str">
        <f>data!$E$11&amp;" "&amp;data!$B$11</f>
      </c>
      <c r="B117" s="14" t="str">
        <f>IF(OR(COUNTA(B99:C103,E99:F103)&gt;0,D99="X",D99="x",D100="X",D100="x",D101="X",D101="x",D102="X",D102="x",D103="X",D103="x",OR(D98="X",D98="x")),IF(OR(OR(D98="X",D98="x"),AND(B98=F98,C98=E98)),0,IF(OR(B98&gt;F98,AND(B98=F98,C98&gt;E98)),1,0)),0)+IF(OR(COUNTA(B107:C111,E107:F111)&gt;0,D107="X",D107="x",D108="X",D108="x",D109="X",D109="x",D110="X",D110="x",D111="X",D111="x",OR(D106="X",D106="x")),IF(OR(OR(D106="X",D106="x"),AND(B106=F106,C106=E106)),0,IF(OR(B106&gt;F106,AND(B106=F106,C106&gt;E106)),1,0)),0)</f>
      </c>
      <c r="C117" s="14" t="str">
        <f>IF(OR(COUNTA(B99:C103,E99:F103)&gt;0,D99="X",D99="x",D100="X",D100="x",D101="X",D101="x",D102="X",D102="x",D103="X",D103="x",OR(D98="X",D98="x")),IF(OR(OR(D98="X",D98="x"),AND(B98=F98,C98=E98)),0,IF(OR(B98&lt;F98,AND(B98=F98,C98&lt;E98)),1,0)),0)+IF(OR(COUNTA(B107:C111,E107:F111)&gt;0,D107="X",D107="x",D108="X",D108="x",D109="X",D109="x",D110="X",D110="x",D111="X",D111="x",OR(D106="X",D106="x")),IF(OR(OR(D106="X",D106="x"),AND(B106=F106,C106=E106)),0,IF(OR(B106&lt;F106,AND(B106=F106,C106&lt;E106)),1,0)),0)</f>
      </c>
      <c r="D117" s="14" t="str">
        <f>IF(OR(COUNTA(B99:C103,E99:F103)&gt;0,D99="X",D99="x",D100="X",D100="x",D101="X",D101="x",D102="X",D102="x",D103="X",D103="x",OR(D98="X",D98="x")),IF(OR(OR(D98="X",D98="x"),AND(B98=F98,C98=E98)),1,0),0)+IF(OR(COUNTA(B107:C111,E107:F111)&gt;0,D107="X",D107="x",D108="X",D108="x",D109="X",D109="x",D110="X",D110="x",D111="X",D111="x",OR(D106="X",D106="x")),IF(OR(OR(D106="X",D106="x"),AND(B106=F106,C106=E106)),1,0),0)</f>
      </c>
      <c r="G117" s="18" t="str">
        <f>RANK(U117,$U$115:$U$117)+COUNTIF($U$114:U116,U117)</f>
      </c>
      <c r="I117" s="14" t="str">
        <f>data!$E$58&amp;" "&amp;data!$B$58</f>
      </c>
      <c r="J117" s="14" t="str">
        <f>IF(OR(COUNTA(J99:K103,M99:N103)&gt;0,L99="X",L99="x",L100="X",L100="x",L101="X",L101="x",L102="X",L102="x",L103="X",L103="x",OR(L98="X",L98="x")),IF(OR(OR(L98="X",L98="x"),AND(J98=N98,K98=M98)),0,IF(OR(J98&gt;N98,AND(J98=N98,K98&gt;M98)),1,0)),0)+IF(OR(COUNTA(J107:K111,M107:N111)&gt;0,L107="X",L107="x",L108="X",L108="x",L109="X",L109="x",L110="X",L110="x",L111="X",L111="x",OR(L106="X",L106="x")),IF(OR(OR(L106="X",L106="x"),AND(J106=N106,K106=M106)),0,IF(OR(J106&gt;N106,AND(J106=N106,K106&gt;M106)),1,0)),0)</f>
      </c>
      <c r="K117" s="14" t="str">
        <f>IF(OR(COUNTA(J99:K103,M99:N103)&gt;0,L99="X",L99="x",L100="X",L100="x",L101="X",L101="x",L102="X",L102="x",L103="X",L103="x",OR(L98="X",L98="x")),IF(OR(OR(L98="X",L98="x"),AND(J98=N98,K98=M98)),0,IF(OR(J98&lt;N98,AND(J98=N98,K98&lt;M98)),1,0)),0)+IF(OR(COUNTA(J107:K111,M107:N111)&gt;0,L107="X",L107="x",L108="X",L108="x",L109="X",L109="x",L110="X",L110="x",L111="X",L111="x",OR(L106="X",L106="x")),IF(OR(OR(L106="X",L106="x"),AND(J106=N106,K106=M106)),0,IF(OR(J106&lt;N106,AND(J106=N106,K106&lt;M106)),1,0)),0)</f>
      </c>
      <c r="L117" s="14" t="str">
        <f>IF(OR(COUNTA(J99:K103,M99:N103)&gt;0,L99="X",L99="x",L100="X",L100="x",L101="X",L101="x",L102="X",L102="x",L103="X",L103="x",OR(L98="X",L98="x")),IF(OR(OR(L98="X",L98="x"),AND(J98=N98,K98=M98)),1,0),0)+IF(OR(COUNTA(J107:K111,M107:N111)&gt;0,L107="X",L107="x",L108="X",L108="x",L109="X",L109="x",L110="X",L110="x",L111="X",L111="x",OR(L106="X",L106="x")),IF(OR(OR(L106="X",L106="x"),AND(J106=N106,K106=M106)),1,0),0)</f>
      </c>
      <c r="O117" s="18" t="str">
        <f>RANK(AC117,$AC$115:$AC$117)+COUNTIF($AC$114:AC116,AC117)</f>
      </c>
      <c r="U117" t="str">
        <f>(B117*1000000000)-(C117*10000000)+(D117*100000)+(B122*1000)-(C122*100)+(D122*10)+(E122*1)-(F122*0.01)</f>
      </c>
      <c r="AC117" t="str">
        <f>(J117*1000000000)-(K117*10000000)+(L117*100000)+(J122*1000)-(K122*100)+(L122*10)+(M122*1)-(N122*0.01)</f>
      </c>
    </row>
    <row r="119">
      <c r="A119" s="13"/>
      <c r="B119" s="13" t="s">
        <v>339</v>
      </c>
      <c r="C119" s="13" t="s">
        <v>340</v>
      </c>
      <c r="D119" s="13" t="s">
        <v>341</v>
      </c>
      <c r="E119" s="13" t="s">
        <v>342</v>
      </c>
      <c r="F119" s="13" t="s">
        <v>343</v>
      </c>
      <c r="I119" s="13"/>
      <c r="J119" s="13" t="s">
        <v>339</v>
      </c>
      <c r="K119" s="13" t="s">
        <v>340</v>
      </c>
      <c r="L119" s="13" t="s">
        <v>341</v>
      </c>
      <c r="M119" s="13" t="s">
        <v>342</v>
      </c>
      <c r="N119" s="13" t="s">
        <v>343</v>
      </c>
    </row>
    <row r="120">
      <c r="A120" s="14" t="str">
        <f>data!$E$9&amp;" "&amp;data!$B$9</f>
      </c>
      <c r="B120" s="14" t="str">
        <f>IF(OR(COUNTA(B91:C95,E91:F95)&gt;0,OR(D90="X",D90="x"),UPPER(D91)="X",UPPER(D92)="X",UPPER(D93)="X",UPPER(D94)="X",UPPER(D95)="X"),F90,0)+IF(OR(COUNTA(B99:C103,E99:F103)&gt;0,OR(D98="X",D98="x"),UPPER(D99)="X",UPPER(D100)="X",UPPER(D101)="X",UPPER(D102)="X",UPPER(D103)="X"),F98,0)</f>
      </c>
      <c r="C120" s="14" t="str">
        <f>IF(OR(COUNTA(B91:C95,E91:F95)&gt;0,OR(D90="X",D90="x"),UPPER(D91)="X",UPPER(D92)="X",UPPER(D93)="X",UPPER(D94)="X",UPPER(D95)="X"),B90,0)+IF(OR(COUNTA(B99:C103,E99:F103)&gt;0,OR(D98="X",D98="x"),UPPER(D99)="X",UPPER(D100)="X",UPPER(D101)="X",UPPER(D102)="X",UPPER(D103)="X"),B98,0)</f>
      </c>
      <c r="D120" s="14" t="str">
        <f>IF(OR(COUNTA(B91:C95,E91:F95)&gt;0,OR(D90="X",D90="x"),UPPER(D91)="X",UPPER(D92)="X",UPPER(D93)="X",UPPER(D94)="X",UPPER(D95)="X"),(IF(OR(D91="X",D91="x",AND(COUNTA(B91,C91,E91,F91)&gt;0,(LEN(SUBSTITUTE(SUBSTITUTE(SUBSTITUTE(B91," ",""),"0",""),"-",""))+LEN(SUBSTITUTE(SUBSTITUTE(SUBSTITUTE(C91," ",""),"0",""),"-","")))=(LEN(SUBSTITUTE(SUBSTITUTE(SUBSTITUTE(E91," ",""),"0",""),"-",""))+LEN(SUBSTITUTE(SUBSTITUTE(SUBSTITUTE(F91," ",""),"0",""),"-",""))))),1,0)+IF(OR(D92="X",D92="x",AND(COUNTA(B92,C92,E92,F92)&gt;0,(LEN(SUBSTITUTE(SUBSTITUTE(SUBSTITUTE(B92," ",""),"0",""),"-",""))+LEN(SUBSTITUTE(SUBSTITUTE(SUBSTITUTE(C92," ",""),"0",""),"-","")))=(LEN(SUBSTITUTE(SUBSTITUTE(SUBSTITUTE(E92," ",""),"0",""),"-",""))+LEN(SUBSTITUTE(SUBSTITUTE(SUBSTITUTE(F92," ",""),"0",""),"-",""))))),1,0)+IF(OR(D93="X",D93="x",AND(COUNTA(B93,C93,E93,F93)&gt;0,(LEN(SUBSTITUTE(SUBSTITUTE(SUBSTITUTE(B93," ",""),"0",""),"-",""))+LEN(SUBSTITUTE(SUBSTITUTE(SUBSTITUTE(C93," ",""),"0",""),"-","")))=(LEN(SUBSTITUTE(SUBSTITUTE(SUBSTITUTE(E93," ",""),"0",""),"-",""))+LEN(SUBSTITUTE(SUBSTITUTE(SUBSTITUTE(F93," ",""),"0",""),"-",""))))),1,0)+IF(OR(D94="X",D94="x",AND(COUNTA(B94,C94,E94,F94)&gt;0,(LEN(SUBSTITUTE(SUBSTITUTE(SUBSTITUTE(B94," ",""),"0",""),"-",""))+LEN(SUBSTITUTE(SUBSTITUTE(SUBSTITUTE(C94," ",""),"0",""),"-","")))=(LEN(SUBSTITUTE(SUBSTITUTE(SUBSTITUTE(E94," ",""),"0",""),"-",""))+LEN(SUBSTITUTE(SUBSTITUTE(SUBSTITUTE(F94," ",""),"0",""),"-",""))))),1,0)+IF(OR(D95="X",D95="x",AND(COUNTA(B95,C95,E95,F95)&gt;0,(LEN(SUBSTITUTE(SUBSTITUTE(SUBSTITUTE(B95," ",""),"0",""),"-",""))+LEN(SUBSTITUTE(SUBSTITUTE(SUBSTITUTE(C95," ",""),"0",""),"-","")))=(LEN(SUBSTITUTE(SUBSTITUTE(SUBSTITUTE(E95," ",""),"0",""),"-",""))+LEN(SUBSTITUTE(SUBSTITUTE(SUBSTITUTE(F95," ",""),"0",""),"-",""))))),1,0)),0)+IF(OR(COUNTA(B99:C103,E99:F103)&gt;0,OR(D98="X",D98="x"),UPPER(D99)="X",UPPER(D100)="X",UPPER(D101)="X",UPPER(D102)="X",UPPER(D103)="X"),(IF(OR(D99="X",D99="x",AND(COUNTA(B99,C99,E99,F99)&gt;0,(LEN(SUBSTITUTE(SUBSTITUTE(SUBSTITUTE(B99," ",""),"0",""),"-",""))+LEN(SUBSTITUTE(SUBSTITUTE(SUBSTITUTE(C99," ",""),"0",""),"-","")))=(LEN(SUBSTITUTE(SUBSTITUTE(SUBSTITUTE(E99," ",""),"0",""),"-",""))+LEN(SUBSTITUTE(SUBSTITUTE(SUBSTITUTE(F99," ",""),"0",""),"-",""))))),1,0)+IF(OR(D100="X",D100="x",AND(COUNTA(B100,C100,E100,F100)&gt;0,(LEN(SUBSTITUTE(SUBSTITUTE(SUBSTITUTE(B100," ",""),"0",""),"-",""))+LEN(SUBSTITUTE(SUBSTITUTE(SUBSTITUTE(C100," ",""),"0",""),"-","")))=(LEN(SUBSTITUTE(SUBSTITUTE(SUBSTITUTE(E100," ",""),"0",""),"-",""))+LEN(SUBSTITUTE(SUBSTITUTE(SUBSTITUTE(F100," ",""),"0",""),"-",""))))),1,0)+IF(OR(D101="X",D101="x",AND(COUNTA(B101,C101,E101,F101)&gt;0,(LEN(SUBSTITUTE(SUBSTITUTE(SUBSTITUTE(B101," ",""),"0",""),"-",""))+LEN(SUBSTITUTE(SUBSTITUTE(SUBSTITUTE(C101," ",""),"0",""),"-","")))=(LEN(SUBSTITUTE(SUBSTITUTE(SUBSTITUTE(E101," ",""),"0",""),"-",""))+LEN(SUBSTITUTE(SUBSTITUTE(SUBSTITUTE(F101," ",""),"0",""),"-",""))))),1,0)+IF(OR(D102="X",D102="x",AND(COUNTA(B102,C102,E102,F102)&gt;0,(LEN(SUBSTITUTE(SUBSTITUTE(SUBSTITUTE(B102," ",""),"0",""),"-",""))+LEN(SUBSTITUTE(SUBSTITUTE(SUBSTITUTE(C102," ",""),"0",""),"-","")))=(LEN(SUBSTITUTE(SUBSTITUTE(SUBSTITUTE(E102," ",""),"0",""),"-",""))+LEN(SUBSTITUTE(SUBSTITUTE(SUBSTITUTE(F102," ",""),"0",""),"-",""))))),1,0)+IF(OR(D103="X",D103="x",AND(COUNTA(B103,C103,E103,F103)&gt;0,(LEN(SUBSTITUTE(SUBSTITUTE(SUBSTITUTE(B103," ",""),"0",""),"-",""))+LEN(SUBSTITUTE(SUBSTITUTE(SUBSTITUTE(C103," ",""),"0",""),"-","")))=(LEN(SUBSTITUTE(SUBSTITUTE(SUBSTITUTE(E103," ",""),"0",""),"-",""))+LEN(SUBSTITUTE(SUBSTITUTE(SUBSTITUTE(F103," ",""),"0",""),"-",""))))),1,0)),0)</f>
      </c>
      <c r="E120" s="14" t="str">
        <f>E90+E98</f>
      </c>
      <c r="F120" s="14" t="str">
        <f>C90+C98</f>
      </c>
      <c r="I120" s="14" t="str">
        <f>data!$E$56&amp;" "&amp;data!$B$56</f>
      </c>
      <c r="J120" s="14" t="str">
        <f>IF(OR(COUNTA(J91:K95,M91:N95)&gt;0,OR(L90="X",L90="x"),UPPER(L91)="X",UPPER(L92)="X",UPPER(L93)="X",UPPER(L94)="X",UPPER(L95)="X"),N90,0)+IF(OR(COUNTA(J99:K103,M99:N103)&gt;0,OR(L98="X",L98="x"),UPPER(L99)="X",UPPER(L100)="X",UPPER(L101)="X",UPPER(L102)="X",UPPER(L103)="X"),N98,0)</f>
      </c>
      <c r="K120" s="14" t="str">
        <f>IF(OR(COUNTA(J91:K95,M91:N95)&gt;0,OR(L90="X",L90="x"),UPPER(L91)="X",UPPER(L92)="X",UPPER(L93)="X",UPPER(L94)="X",UPPER(L95)="X"),J90,0)+IF(OR(COUNTA(J99:K103,M99:N103)&gt;0,OR(L98="X",L98="x"),UPPER(L99)="X",UPPER(L100)="X",UPPER(L101)="X",UPPER(L102)="X",UPPER(L103)="X"),J98,0)</f>
      </c>
      <c r="L120" s="14" t="str">
        <f>IF(OR(COUNTA(J91:K95,M91:N95)&gt;0,OR(L90="X",L90="x"),UPPER(L91)="X",UPPER(L92)="X",UPPER(L93)="X",UPPER(L94)="X",UPPER(L95)="X"),(IF(OR(L91="X",L91="x",AND(COUNTA(J91,K91,M91,N91)&gt;0,(LEN(SUBSTITUTE(SUBSTITUTE(SUBSTITUTE(J91," ",""),"0",""),"-",""))+LEN(SUBSTITUTE(SUBSTITUTE(SUBSTITUTE(K91," ",""),"0",""),"-","")))=(LEN(SUBSTITUTE(SUBSTITUTE(SUBSTITUTE(M91," ",""),"0",""),"-",""))+LEN(SUBSTITUTE(SUBSTITUTE(SUBSTITUTE(N91," ",""),"0",""),"-",""))))),1,0)+IF(OR(L92="X",L92="x",AND(COUNTA(J92,K92,M92,N92)&gt;0,(LEN(SUBSTITUTE(SUBSTITUTE(SUBSTITUTE(J92," ",""),"0",""),"-",""))+LEN(SUBSTITUTE(SUBSTITUTE(SUBSTITUTE(K92," ",""),"0",""),"-","")))=(LEN(SUBSTITUTE(SUBSTITUTE(SUBSTITUTE(M92," ",""),"0",""),"-",""))+LEN(SUBSTITUTE(SUBSTITUTE(SUBSTITUTE(N92," ",""),"0",""),"-",""))))),1,0)+IF(OR(L93="X",L93="x",AND(COUNTA(J93,K93,M93,N93)&gt;0,(LEN(SUBSTITUTE(SUBSTITUTE(SUBSTITUTE(J93," ",""),"0",""),"-",""))+LEN(SUBSTITUTE(SUBSTITUTE(SUBSTITUTE(K93," ",""),"0",""),"-","")))=(LEN(SUBSTITUTE(SUBSTITUTE(SUBSTITUTE(M93," ",""),"0",""),"-",""))+LEN(SUBSTITUTE(SUBSTITUTE(SUBSTITUTE(N93," ",""),"0",""),"-",""))))),1,0)+IF(OR(L94="X",L94="x",AND(COUNTA(J94,K94,M94,N94)&gt;0,(LEN(SUBSTITUTE(SUBSTITUTE(SUBSTITUTE(J94," ",""),"0",""),"-",""))+LEN(SUBSTITUTE(SUBSTITUTE(SUBSTITUTE(K94," ",""),"0",""),"-","")))=(LEN(SUBSTITUTE(SUBSTITUTE(SUBSTITUTE(M94," ",""),"0",""),"-",""))+LEN(SUBSTITUTE(SUBSTITUTE(SUBSTITUTE(N94," ",""),"0",""),"-",""))))),1,0)+IF(OR(L95="X",L95="x",AND(COUNTA(J95,K95,M95,N95)&gt;0,(LEN(SUBSTITUTE(SUBSTITUTE(SUBSTITUTE(J95," ",""),"0",""),"-",""))+LEN(SUBSTITUTE(SUBSTITUTE(SUBSTITUTE(K95," ",""),"0",""),"-","")))=(LEN(SUBSTITUTE(SUBSTITUTE(SUBSTITUTE(M95," ",""),"0",""),"-",""))+LEN(SUBSTITUTE(SUBSTITUTE(SUBSTITUTE(N95," ",""),"0",""),"-",""))))),1,0)),0)+IF(OR(COUNTA(J99:K103,M99:N103)&gt;0,OR(L98="X",L98="x"),UPPER(L99)="X",UPPER(L100)="X",UPPER(L101)="X",UPPER(L102)="X",UPPER(L103)="X"),(IF(OR(L99="X",L99="x",AND(COUNTA(J99,K99,M99,N99)&gt;0,(LEN(SUBSTITUTE(SUBSTITUTE(SUBSTITUTE(J99," ",""),"0",""),"-",""))+LEN(SUBSTITUTE(SUBSTITUTE(SUBSTITUTE(K99," ",""),"0",""),"-","")))=(LEN(SUBSTITUTE(SUBSTITUTE(SUBSTITUTE(M99," ",""),"0",""),"-",""))+LEN(SUBSTITUTE(SUBSTITUTE(SUBSTITUTE(N99," ",""),"0",""),"-",""))))),1,0)+IF(OR(L100="X",L100="x",AND(COUNTA(J100,K100,M100,N100)&gt;0,(LEN(SUBSTITUTE(SUBSTITUTE(SUBSTITUTE(J100," ",""),"0",""),"-",""))+LEN(SUBSTITUTE(SUBSTITUTE(SUBSTITUTE(K100," ",""),"0",""),"-","")))=(LEN(SUBSTITUTE(SUBSTITUTE(SUBSTITUTE(M100," ",""),"0",""),"-",""))+LEN(SUBSTITUTE(SUBSTITUTE(SUBSTITUTE(N100," ",""),"0",""),"-",""))))),1,0)+IF(OR(L101="X",L101="x",AND(COUNTA(J101,K101,M101,N101)&gt;0,(LEN(SUBSTITUTE(SUBSTITUTE(SUBSTITUTE(J101," ",""),"0",""),"-",""))+LEN(SUBSTITUTE(SUBSTITUTE(SUBSTITUTE(K101," ",""),"0",""),"-","")))=(LEN(SUBSTITUTE(SUBSTITUTE(SUBSTITUTE(M101," ",""),"0",""),"-",""))+LEN(SUBSTITUTE(SUBSTITUTE(SUBSTITUTE(N101," ",""),"0",""),"-",""))))),1,0)+IF(OR(L102="X",L102="x",AND(COUNTA(J102,K102,M102,N102)&gt;0,(LEN(SUBSTITUTE(SUBSTITUTE(SUBSTITUTE(J102," ",""),"0",""),"-",""))+LEN(SUBSTITUTE(SUBSTITUTE(SUBSTITUTE(K102," ",""),"0",""),"-","")))=(LEN(SUBSTITUTE(SUBSTITUTE(SUBSTITUTE(M102," ",""),"0",""),"-",""))+LEN(SUBSTITUTE(SUBSTITUTE(SUBSTITUTE(N102," ",""),"0",""),"-",""))))),1,0)+IF(OR(L103="X",L103="x",AND(COUNTA(J103,K103,M103,N103)&gt;0,(LEN(SUBSTITUTE(SUBSTITUTE(SUBSTITUTE(J103," ",""),"0",""),"-",""))+LEN(SUBSTITUTE(SUBSTITUTE(SUBSTITUTE(K103," ",""),"0",""),"-","")))=(LEN(SUBSTITUTE(SUBSTITUTE(SUBSTITUTE(M103," ",""),"0",""),"-",""))+LEN(SUBSTITUTE(SUBSTITUTE(SUBSTITUTE(N103," ",""),"0",""),"-",""))))),1,0)),0)</f>
      </c>
      <c r="M120" s="14" t="str">
        <f>M90+M98</f>
      </c>
      <c r="N120" s="14" t="str">
        <f>K90+K98</f>
      </c>
    </row>
    <row r="121">
      <c r="A121" s="14" t="str">
        <f>data!$E$10&amp;" "&amp;data!$B$10</f>
      </c>
      <c r="B121" s="14" t="str">
        <f>IF(OR(COUNTA(B91:C95,E91:F95)&gt;0,OR(D90="X",D90="x"),UPPER(D91)="X",UPPER(D92)="X",UPPER(D93)="X",UPPER(D94)="X",UPPER(D95)="X"),B90,0)+IF(OR(COUNTA(B107:C111,E107:F111)&gt;0,OR(D106="X",D106="x"),UPPER(D107)="X",UPPER(D108)="X",UPPER(D109)="X",UPPER(D110)="X",UPPER(D111)="X"),F106,0)</f>
      </c>
      <c r="C121" s="14" t="str">
        <f>IF(OR(COUNTA(B91:C95,E91:F95)&gt;0,OR(D90="X",D90="x"),UPPER(D91)="X",UPPER(D92)="X",UPPER(D93)="X",UPPER(D94)="X",UPPER(D95)="X"),F90,0)+IF(OR(COUNTA(B107:C111,E107:F111)&gt;0,OR(D106="X",D106="x"),UPPER(D107)="X",UPPER(D108)="X",UPPER(D109)="X",UPPER(D110)="X",UPPER(D111)="X"),B106,0)</f>
      </c>
      <c r="D121" s="14" t="str">
        <f>IF(OR(COUNTA(B91:C95,E91:F95)&gt;0,OR(D90="X",D90="x"),UPPER(D91)="X",UPPER(D92)="X",UPPER(D93)="X",UPPER(D94)="X",UPPER(D95)="X"),(IF(OR(D91="X",D91="x",AND(COUNTA(B91,C91,E91,F91)&gt;0,(LEN(SUBSTITUTE(SUBSTITUTE(SUBSTITUTE(B91," ",""),"0",""),"-",""))+LEN(SUBSTITUTE(SUBSTITUTE(SUBSTITUTE(C91," ",""),"0",""),"-","")))=(LEN(SUBSTITUTE(SUBSTITUTE(SUBSTITUTE(E91," ",""),"0",""),"-",""))+LEN(SUBSTITUTE(SUBSTITUTE(SUBSTITUTE(F91," ",""),"0",""),"-",""))))),1,0)+IF(OR(D92="X",D92="x",AND(COUNTA(B92,C92,E92,F92)&gt;0,(LEN(SUBSTITUTE(SUBSTITUTE(SUBSTITUTE(B92," ",""),"0",""),"-",""))+LEN(SUBSTITUTE(SUBSTITUTE(SUBSTITUTE(C92," ",""),"0",""),"-","")))=(LEN(SUBSTITUTE(SUBSTITUTE(SUBSTITUTE(E92," ",""),"0",""),"-",""))+LEN(SUBSTITUTE(SUBSTITUTE(SUBSTITUTE(F92," ",""),"0",""),"-",""))))),1,0)+IF(OR(D93="X",D93="x",AND(COUNTA(B93,C93,E93,F93)&gt;0,(LEN(SUBSTITUTE(SUBSTITUTE(SUBSTITUTE(B93," ",""),"0",""),"-",""))+LEN(SUBSTITUTE(SUBSTITUTE(SUBSTITUTE(C93," ",""),"0",""),"-","")))=(LEN(SUBSTITUTE(SUBSTITUTE(SUBSTITUTE(E93," ",""),"0",""),"-",""))+LEN(SUBSTITUTE(SUBSTITUTE(SUBSTITUTE(F93," ",""),"0",""),"-",""))))),1,0)+IF(OR(D94="X",D94="x",AND(COUNTA(B94,C94,E94,F94)&gt;0,(LEN(SUBSTITUTE(SUBSTITUTE(SUBSTITUTE(B94," ",""),"0",""),"-",""))+LEN(SUBSTITUTE(SUBSTITUTE(SUBSTITUTE(C94," ",""),"0",""),"-","")))=(LEN(SUBSTITUTE(SUBSTITUTE(SUBSTITUTE(E94," ",""),"0",""),"-",""))+LEN(SUBSTITUTE(SUBSTITUTE(SUBSTITUTE(F94," ",""),"0",""),"-",""))))),1,0)+IF(OR(D95="X",D95="x",AND(COUNTA(B95,C95,E95,F95)&gt;0,(LEN(SUBSTITUTE(SUBSTITUTE(SUBSTITUTE(B95," ",""),"0",""),"-",""))+LEN(SUBSTITUTE(SUBSTITUTE(SUBSTITUTE(C95," ",""),"0",""),"-","")))=(LEN(SUBSTITUTE(SUBSTITUTE(SUBSTITUTE(E95," ",""),"0",""),"-",""))+LEN(SUBSTITUTE(SUBSTITUTE(SUBSTITUTE(F95," ",""),"0",""),"-",""))))),1,0)),0)+IF(OR(COUNTA(B107:C111,E107:F111)&gt;0,OR(D106="X",D106="x"),UPPER(D107)="X",UPPER(D108)="X",UPPER(D109)="X",UPPER(D110)="X",UPPER(D111)="X"),(IF(OR(D107="X",D107="x",AND(COUNTA(B107,C107,E107,F107)&gt;0,(LEN(SUBSTITUTE(SUBSTITUTE(SUBSTITUTE(B107," ",""),"0",""),"-",""))+LEN(SUBSTITUTE(SUBSTITUTE(SUBSTITUTE(C107," ",""),"0",""),"-","")))=(LEN(SUBSTITUTE(SUBSTITUTE(SUBSTITUTE(E107," ",""),"0",""),"-",""))+LEN(SUBSTITUTE(SUBSTITUTE(SUBSTITUTE(F107," ",""),"0",""),"-",""))))),1,0)+IF(OR(D108="X",D108="x",AND(COUNTA(B108,C108,E108,F108)&gt;0,(LEN(SUBSTITUTE(SUBSTITUTE(SUBSTITUTE(B108," ",""),"0",""),"-",""))+LEN(SUBSTITUTE(SUBSTITUTE(SUBSTITUTE(C108," ",""),"0",""),"-","")))=(LEN(SUBSTITUTE(SUBSTITUTE(SUBSTITUTE(E108," ",""),"0",""),"-",""))+LEN(SUBSTITUTE(SUBSTITUTE(SUBSTITUTE(F108," ",""),"0",""),"-",""))))),1,0)+IF(OR(D109="X",D109="x",AND(COUNTA(B109,C109,E109,F109)&gt;0,(LEN(SUBSTITUTE(SUBSTITUTE(SUBSTITUTE(B109," ",""),"0",""),"-",""))+LEN(SUBSTITUTE(SUBSTITUTE(SUBSTITUTE(C109," ",""),"0",""),"-","")))=(LEN(SUBSTITUTE(SUBSTITUTE(SUBSTITUTE(E109," ",""),"0",""),"-",""))+LEN(SUBSTITUTE(SUBSTITUTE(SUBSTITUTE(F109," ",""),"0",""),"-",""))))),1,0)+IF(OR(D110="X",D110="x",AND(COUNTA(B110,C110,E110,F110)&gt;0,(LEN(SUBSTITUTE(SUBSTITUTE(SUBSTITUTE(B110," ",""),"0",""),"-",""))+LEN(SUBSTITUTE(SUBSTITUTE(SUBSTITUTE(C110," ",""),"0",""),"-","")))=(LEN(SUBSTITUTE(SUBSTITUTE(SUBSTITUTE(E110," ",""),"0",""),"-",""))+LEN(SUBSTITUTE(SUBSTITUTE(SUBSTITUTE(F110," ",""),"0",""),"-",""))))),1,0)+IF(OR(D111="X",D111="x",AND(COUNTA(B111,C111,E111,F111)&gt;0,(LEN(SUBSTITUTE(SUBSTITUTE(SUBSTITUTE(B111," ",""),"0",""),"-",""))+LEN(SUBSTITUTE(SUBSTITUTE(SUBSTITUTE(C111," ",""),"0",""),"-","")))=(LEN(SUBSTITUTE(SUBSTITUTE(SUBSTITUTE(E111," ",""),"0",""),"-",""))+LEN(SUBSTITUTE(SUBSTITUTE(SUBSTITUTE(F111," ",""),"0",""),"-",""))))),1,0)),0)</f>
      </c>
      <c r="E121" s="14" t="str">
        <f>C90+E106</f>
      </c>
      <c r="F121" s="14" t="str">
        <f>E90+C106</f>
      </c>
      <c r="I121" s="14" t="str">
        <f>data!$E$57&amp;" "&amp;data!$B$57</f>
      </c>
      <c r="J121" s="14" t="str">
        <f>IF(OR(COUNTA(J91:K95,M91:N95)&gt;0,OR(L90="X",L90="x"),UPPER(L91)="X",UPPER(L92)="X",UPPER(L93)="X",UPPER(L94)="X",UPPER(L95)="X"),J90,0)+IF(OR(COUNTA(J107:K111,M107:N111)&gt;0,OR(L106="X",L106="x"),UPPER(L107)="X",UPPER(L108)="X",UPPER(L109)="X",UPPER(L110)="X",UPPER(L111)="X"),N106,0)</f>
      </c>
      <c r="K121" s="14" t="str">
        <f>IF(OR(COUNTA(J91:K95,M91:N95)&gt;0,OR(L90="X",L90="x"),UPPER(L91)="X",UPPER(L92)="X",UPPER(L93)="X",UPPER(L94)="X",UPPER(L95)="X"),N90,0)+IF(OR(COUNTA(J107:K111,M107:N111)&gt;0,OR(L106="X",L106="x"),UPPER(L107)="X",UPPER(L108)="X",UPPER(L109)="X",UPPER(L110)="X",UPPER(L111)="X"),J106,0)</f>
      </c>
      <c r="L121" s="14" t="str">
        <f>IF(OR(COUNTA(J91:K95,M91:N95)&gt;0,OR(L90="X",L90="x"),UPPER(L91)="X",UPPER(L92)="X",UPPER(L93)="X",UPPER(L94)="X",UPPER(L95)="X"),(IF(OR(L91="X",L91="x",AND(COUNTA(J91,K91,M91,N91)&gt;0,(LEN(SUBSTITUTE(SUBSTITUTE(SUBSTITUTE(J91," ",""),"0",""),"-",""))+LEN(SUBSTITUTE(SUBSTITUTE(SUBSTITUTE(K91," ",""),"0",""),"-","")))=(LEN(SUBSTITUTE(SUBSTITUTE(SUBSTITUTE(M91," ",""),"0",""),"-",""))+LEN(SUBSTITUTE(SUBSTITUTE(SUBSTITUTE(N91," ",""),"0",""),"-",""))))),1,0)+IF(OR(L92="X",L92="x",AND(COUNTA(J92,K92,M92,N92)&gt;0,(LEN(SUBSTITUTE(SUBSTITUTE(SUBSTITUTE(J92," ",""),"0",""),"-",""))+LEN(SUBSTITUTE(SUBSTITUTE(SUBSTITUTE(K92," ",""),"0",""),"-","")))=(LEN(SUBSTITUTE(SUBSTITUTE(SUBSTITUTE(M92," ",""),"0",""),"-",""))+LEN(SUBSTITUTE(SUBSTITUTE(SUBSTITUTE(N92," ",""),"0",""),"-",""))))),1,0)+IF(OR(L93="X",L93="x",AND(COUNTA(J93,K93,M93,N93)&gt;0,(LEN(SUBSTITUTE(SUBSTITUTE(SUBSTITUTE(J93," ",""),"0",""),"-",""))+LEN(SUBSTITUTE(SUBSTITUTE(SUBSTITUTE(K93," ",""),"0",""),"-","")))=(LEN(SUBSTITUTE(SUBSTITUTE(SUBSTITUTE(M93," ",""),"0",""),"-",""))+LEN(SUBSTITUTE(SUBSTITUTE(SUBSTITUTE(N93," ",""),"0",""),"-",""))))),1,0)+IF(OR(L94="X",L94="x",AND(COUNTA(J94,K94,M94,N94)&gt;0,(LEN(SUBSTITUTE(SUBSTITUTE(SUBSTITUTE(J94," ",""),"0",""),"-",""))+LEN(SUBSTITUTE(SUBSTITUTE(SUBSTITUTE(K94," ",""),"0",""),"-","")))=(LEN(SUBSTITUTE(SUBSTITUTE(SUBSTITUTE(M94," ",""),"0",""),"-",""))+LEN(SUBSTITUTE(SUBSTITUTE(SUBSTITUTE(N94," ",""),"0",""),"-",""))))),1,0)+IF(OR(L95="X",L95="x",AND(COUNTA(J95,K95,M95,N95)&gt;0,(LEN(SUBSTITUTE(SUBSTITUTE(SUBSTITUTE(J95," ",""),"0",""),"-",""))+LEN(SUBSTITUTE(SUBSTITUTE(SUBSTITUTE(K95," ",""),"0",""),"-","")))=(LEN(SUBSTITUTE(SUBSTITUTE(SUBSTITUTE(M95," ",""),"0",""),"-",""))+LEN(SUBSTITUTE(SUBSTITUTE(SUBSTITUTE(N95," ",""),"0",""),"-",""))))),1,0)),0)+IF(OR(COUNTA(J107:K111,M107:N111)&gt;0,OR(L106="X",L106="x"),UPPER(L107)="X",UPPER(L108)="X",UPPER(L109)="X",UPPER(L110)="X",UPPER(L111)="X"),(IF(OR(L107="X",L107="x",AND(COUNTA(J107,K107,M107,N107)&gt;0,(LEN(SUBSTITUTE(SUBSTITUTE(SUBSTITUTE(J107," ",""),"0",""),"-",""))+LEN(SUBSTITUTE(SUBSTITUTE(SUBSTITUTE(K107," ",""),"0",""),"-","")))=(LEN(SUBSTITUTE(SUBSTITUTE(SUBSTITUTE(M107," ",""),"0",""),"-",""))+LEN(SUBSTITUTE(SUBSTITUTE(SUBSTITUTE(N107," ",""),"0",""),"-",""))))),1,0)+IF(OR(L108="X",L108="x",AND(COUNTA(J108,K108,M108,N108)&gt;0,(LEN(SUBSTITUTE(SUBSTITUTE(SUBSTITUTE(J108," ",""),"0",""),"-",""))+LEN(SUBSTITUTE(SUBSTITUTE(SUBSTITUTE(K108," ",""),"0",""),"-","")))=(LEN(SUBSTITUTE(SUBSTITUTE(SUBSTITUTE(M108," ",""),"0",""),"-",""))+LEN(SUBSTITUTE(SUBSTITUTE(SUBSTITUTE(N108," ",""),"0",""),"-",""))))),1,0)+IF(OR(L109="X",L109="x",AND(COUNTA(J109,K109,M109,N109)&gt;0,(LEN(SUBSTITUTE(SUBSTITUTE(SUBSTITUTE(J109," ",""),"0",""),"-",""))+LEN(SUBSTITUTE(SUBSTITUTE(SUBSTITUTE(K109," ",""),"0",""),"-","")))=(LEN(SUBSTITUTE(SUBSTITUTE(SUBSTITUTE(M109," ",""),"0",""),"-",""))+LEN(SUBSTITUTE(SUBSTITUTE(SUBSTITUTE(N109," ",""),"0",""),"-",""))))),1,0)+IF(OR(L110="X",L110="x",AND(COUNTA(J110,K110,M110,N110)&gt;0,(LEN(SUBSTITUTE(SUBSTITUTE(SUBSTITUTE(J110," ",""),"0",""),"-",""))+LEN(SUBSTITUTE(SUBSTITUTE(SUBSTITUTE(K110," ",""),"0",""),"-","")))=(LEN(SUBSTITUTE(SUBSTITUTE(SUBSTITUTE(M110," ",""),"0",""),"-",""))+LEN(SUBSTITUTE(SUBSTITUTE(SUBSTITUTE(N110," ",""),"0",""),"-",""))))),1,0)+IF(OR(L111="X",L111="x",AND(COUNTA(J111,K111,M111,N111)&gt;0,(LEN(SUBSTITUTE(SUBSTITUTE(SUBSTITUTE(J111," ",""),"0",""),"-",""))+LEN(SUBSTITUTE(SUBSTITUTE(SUBSTITUTE(K111," ",""),"0",""),"-","")))=(LEN(SUBSTITUTE(SUBSTITUTE(SUBSTITUTE(M111," ",""),"0",""),"-",""))+LEN(SUBSTITUTE(SUBSTITUTE(SUBSTITUTE(N111," ",""),"0",""),"-",""))))),1,0)),0)</f>
      </c>
      <c r="M121" s="14" t="str">
        <f>K90+M106</f>
      </c>
      <c r="N121" s="14" t="str">
        <f>M90+K106</f>
      </c>
    </row>
    <row r="122">
      <c r="A122" s="14" t="str">
        <f>data!$E$11&amp;" "&amp;data!$B$11</f>
      </c>
      <c r="B122" s="14" t="str">
        <f>IF(OR(COUNTA(B99:C103,E99:F103)&gt;0,OR(D98="X",D98="x"),UPPER(D99)="X",UPPER(D100)="X",UPPER(D101)="X",UPPER(D102)="X",UPPER(D103)="X"),B98,0)+IF(OR(COUNTA(B107:C111,E107:F111)&gt;0,OR(D106="X",D106="x"),UPPER(D107)="X",UPPER(D108)="X",UPPER(D109)="X",UPPER(D110)="X",UPPER(D111)="X"),B106,0)</f>
      </c>
      <c r="C122" s="14" t="str">
        <f>IF(OR(COUNTA(B99:C103,E99:F103)&gt;0,OR(D98="X",D98="x"),UPPER(D99)="X",UPPER(D100)="X",UPPER(D101)="X",UPPER(D102)="X",UPPER(D103)="X"),F98,0)+IF(OR(COUNTA(B107:C111,E107:F111)&gt;0,OR(D106="X",D106="x"),UPPER(D107)="X",UPPER(D108)="X",UPPER(D109)="X",UPPER(D110)="X",UPPER(D111)="X"),F106,0)</f>
      </c>
      <c r="D122" s="14" t="str">
        <f>IF(OR(COUNTA(B99:C103,E99:F103)&gt;0,OR(D98="X",D98="x"),UPPER(D99)="X",UPPER(D100)="X",UPPER(D101)="X",UPPER(D102)="X",UPPER(D103)="X"),(IF(OR(D99="X",D99="x",AND(COUNTA(B99,C99,E99,F99)&gt;0,(LEN(SUBSTITUTE(SUBSTITUTE(SUBSTITUTE(B99," ",""),"0",""),"-",""))+LEN(SUBSTITUTE(SUBSTITUTE(SUBSTITUTE(C99," ",""),"0",""),"-","")))=(LEN(SUBSTITUTE(SUBSTITUTE(SUBSTITUTE(E99," ",""),"0",""),"-",""))+LEN(SUBSTITUTE(SUBSTITUTE(SUBSTITUTE(F99," ",""),"0",""),"-",""))))),1,0)+IF(OR(D100="X",D100="x",AND(COUNTA(B100,C100,E100,F100)&gt;0,(LEN(SUBSTITUTE(SUBSTITUTE(SUBSTITUTE(B100," ",""),"0",""),"-",""))+LEN(SUBSTITUTE(SUBSTITUTE(SUBSTITUTE(C100," ",""),"0",""),"-","")))=(LEN(SUBSTITUTE(SUBSTITUTE(SUBSTITUTE(E100," ",""),"0",""),"-",""))+LEN(SUBSTITUTE(SUBSTITUTE(SUBSTITUTE(F100," ",""),"0",""),"-",""))))),1,0)+IF(OR(D101="X",D101="x",AND(COUNTA(B101,C101,E101,F101)&gt;0,(LEN(SUBSTITUTE(SUBSTITUTE(SUBSTITUTE(B101," ",""),"0",""),"-",""))+LEN(SUBSTITUTE(SUBSTITUTE(SUBSTITUTE(C101," ",""),"0",""),"-","")))=(LEN(SUBSTITUTE(SUBSTITUTE(SUBSTITUTE(E101," ",""),"0",""),"-",""))+LEN(SUBSTITUTE(SUBSTITUTE(SUBSTITUTE(F101," ",""),"0",""),"-",""))))),1,0)+IF(OR(D102="X",D102="x",AND(COUNTA(B102,C102,E102,F102)&gt;0,(LEN(SUBSTITUTE(SUBSTITUTE(SUBSTITUTE(B102," ",""),"0",""),"-",""))+LEN(SUBSTITUTE(SUBSTITUTE(SUBSTITUTE(C102," ",""),"0",""),"-","")))=(LEN(SUBSTITUTE(SUBSTITUTE(SUBSTITUTE(E102," ",""),"0",""),"-",""))+LEN(SUBSTITUTE(SUBSTITUTE(SUBSTITUTE(F102," ",""),"0",""),"-",""))))),1,0)+IF(OR(D103="X",D103="x",AND(COUNTA(B103,C103,E103,F103)&gt;0,(LEN(SUBSTITUTE(SUBSTITUTE(SUBSTITUTE(B103," ",""),"0",""),"-",""))+LEN(SUBSTITUTE(SUBSTITUTE(SUBSTITUTE(C103," ",""),"0",""),"-","")))=(LEN(SUBSTITUTE(SUBSTITUTE(SUBSTITUTE(E103," ",""),"0",""),"-",""))+LEN(SUBSTITUTE(SUBSTITUTE(SUBSTITUTE(F103," ",""),"0",""),"-",""))))),1,0)),0)+IF(OR(COUNTA(B107:C111,E107:F111)&gt;0,OR(D106="X",D106="x"),UPPER(D107)="X",UPPER(D108)="X",UPPER(D109)="X",UPPER(D110)="X",UPPER(D111)="X"),(IF(OR(D107="X",D107="x",AND(COUNTA(B107,C107,E107,F107)&gt;0,(LEN(SUBSTITUTE(SUBSTITUTE(SUBSTITUTE(B107," ",""),"0",""),"-",""))+LEN(SUBSTITUTE(SUBSTITUTE(SUBSTITUTE(C107," ",""),"0",""),"-","")))=(LEN(SUBSTITUTE(SUBSTITUTE(SUBSTITUTE(E107," ",""),"0",""),"-",""))+LEN(SUBSTITUTE(SUBSTITUTE(SUBSTITUTE(F107," ",""),"0",""),"-",""))))),1,0)+IF(OR(D108="X",D108="x",AND(COUNTA(B108,C108,E108,F108)&gt;0,(LEN(SUBSTITUTE(SUBSTITUTE(SUBSTITUTE(B108," ",""),"0",""),"-",""))+LEN(SUBSTITUTE(SUBSTITUTE(SUBSTITUTE(C108," ",""),"0",""),"-","")))=(LEN(SUBSTITUTE(SUBSTITUTE(SUBSTITUTE(E108," ",""),"0",""),"-",""))+LEN(SUBSTITUTE(SUBSTITUTE(SUBSTITUTE(F108," ",""),"0",""),"-",""))))),1,0)+IF(OR(D109="X",D109="x",AND(COUNTA(B109,C109,E109,F109)&gt;0,(LEN(SUBSTITUTE(SUBSTITUTE(SUBSTITUTE(B109," ",""),"0",""),"-",""))+LEN(SUBSTITUTE(SUBSTITUTE(SUBSTITUTE(C109," ",""),"0",""),"-","")))=(LEN(SUBSTITUTE(SUBSTITUTE(SUBSTITUTE(E109," ",""),"0",""),"-",""))+LEN(SUBSTITUTE(SUBSTITUTE(SUBSTITUTE(F109," ",""),"0",""),"-",""))))),1,0)+IF(OR(D110="X",D110="x",AND(COUNTA(B110,C110,E110,F110)&gt;0,(LEN(SUBSTITUTE(SUBSTITUTE(SUBSTITUTE(B110," ",""),"0",""),"-",""))+LEN(SUBSTITUTE(SUBSTITUTE(SUBSTITUTE(C110," ",""),"0",""),"-","")))=(LEN(SUBSTITUTE(SUBSTITUTE(SUBSTITUTE(E110," ",""),"0",""),"-",""))+LEN(SUBSTITUTE(SUBSTITUTE(SUBSTITUTE(F110," ",""),"0",""),"-",""))))),1,0)+IF(OR(D111="X",D111="x",AND(COUNTA(B111,C111,E111,F111)&gt;0,(LEN(SUBSTITUTE(SUBSTITUTE(SUBSTITUTE(B111," ",""),"0",""),"-",""))+LEN(SUBSTITUTE(SUBSTITUTE(SUBSTITUTE(C111," ",""),"0",""),"-","")))=(LEN(SUBSTITUTE(SUBSTITUTE(SUBSTITUTE(E111," ",""),"0",""),"-",""))+LEN(SUBSTITUTE(SUBSTITUTE(SUBSTITUTE(F111," ",""),"0",""),"-",""))))),1,0)),0)</f>
      </c>
      <c r="E122" s="14" t="str">
        <f>C98+C106</f>
      </c>
      <c r="F122" s="14" t="str">
        <f>E98+E106</f>
      </c>
      <c r="I122" s="14" t="str">
        <f>data!$E$58&amp;" "&amp;data!$B$58</f>
      </c>
      <c r="J122" s="14" t="str">
        <f>IF(OR(COUNTA(J99:K103,M99:N103)&gt;0,OR(L98="X",L98="x"),UPPER(L99)="X",UPPER(L100)="X",UPPER(L101)="X",UPPER(L102)="X",UPPER(L103)="X"),J98,0)+IF(OR(COUNTA(J107:K111,M107:N111)&gt;0,OR(L106="X",L106="x"),UPPER(L107)="X",UPPER(L108)="X",UPPER(L109)="X",UPPER(L110)="X",UPPER(L111)="X"),J106,0)</f>
      </c>
      <c r="K122" s="14" t="str">
        <f>IF(OR(COUNTA(J99:K103,M99:N103)&gt;0,OR(L98="X",L98="x"),UPPER(L99)="X",UPPER(L100)="X",UPPER(L101)="X",UPPER(L102)="X",UPPER(L103)="X"),N98,0)+IF(OR(COUNTA(J107:K111,M107:N111)&gt;0,OR(L106="X",L106="x"),UPPER(L107)="X",UPPER(L108)="X",UPPER(L109)="X",UPPER(L110)="X",UPPER(L111)="X"),N106,0)</f>
      </c>
      <c r="L122" s="14" t="str">
        <f>IF(OR(COUNTA(J99:K103,M99:N103)&gt;0,OR(L98="X",L98="x"),UPPER(L99)="X",UPPER(L100)="X",UPPER(L101)="X",UPPER(L102)="X",UPPER(L103)="X"),(IF(OR(L99="X",L99="x",AND(COUNTA(J99,K99,M99,N99)&gt;0,(LEN(SUBSTITUTE(SUBSTITUTE(SUBSTITUTE(J99," ",""),"0",""),"-",""))+LEN(SUBSTITUTE(SUBSTITUTE(SUBSTITUTE(K99," ",""),"0",""),"-","")))=(LEN(SUBSTITUTE(SUBSTITUTE(SUBSTITUTE(M99," ",""),"0",""),"-",""))+LEN(SUBSTITUTE(SUBSTITUTE(SUBSTITUTE(N99," ",""),"0",""),"-",""))))),1,0)+IF(OR(L100="X",L100="x",AND(COUNTA(J100,K100,M100,N100)&gt;0,(LEN(SUBSTITUTE(SUBSTITUTE(SUBSTITUTE(J100," ",""),"0",""),"-",""))+LEN(SUBSTITUTE(SUBSTITUTE(SUBSTITUTE(K100," ",""),"0",""),"-","")))=(LEN(SUBSTITUTE(SUBSTITUTE(SUBSTITUTE(M100," ",""),"0",""),"-",""))+LEN(SUBSTITUTE(SUBSTITUTE(SUBSTITUTE(N100," ",""),"0",""),"-",""))))),1,0)+IF(OR(L101="X",L101="x",AND(COUNTA(J101,K101,M101,N101)&gt;0,(LEN(SUBSTITUTE(SUBSTITUTE(SUBSTITUTE(J101," ",""),"0",""),"-",""))+LEN(SUBSTITUTE(SUBSTITUTE(SUBSTITUTE(K101," ",""),"0",""),"-","")))=(LEN(SUBSTITUTE(SUBSTITUTE(SUBSTITUTE(M101," ",""),"0",""),"-",""))+LEN(SUBSTITUTE(SUBSTITUTE(SUBSTITUTE(N101," ",""),"0",""),"-",""))))),1,0)+IF(OR(L102="X",L102="x",AND(COUNTA(J102,K102,M102,N102)&gt;0,(LEN(SUBSTITUTE(SUBSTITUTE(SUBSTITUTE(J102," ",""),"0",""),"-",""))+LEN(SUBSTITUTE(SUBSTITUTE(SUBSTITUTE(K102," ",""),"0",""),"-","")))=(LEN(SUBSTITUTE(SUBSTITUTE(SUBSTITUTE(M102," ",""),"0",""),"-",""))+LEN(SUBSTITUTE(SUBSTITUTE(SUBSTITUTE(N102," ",""),"0",""),"-",""))))),1,0)+IF(OR(L103="X",L103="x",AND(COUNTA(J103,K103,M103,N103)&gt;0,(LEN(SUBSTITUTE(SUBSTITUTE(SUBSTITUTE(J103," ",""),"0",""),"-",""))+LEN(SUBSTITUTE(SUBSTITUTE(SUBSTITUTE(K103," ",""),"0",""),"-","")))=(LEN(SUBSTITUTE(SUBSTITUTE(SUBSTITUTE(M103," ",""),"0",""),"-",""))+LEN(SUBSTITUTE(SUBSTITUTE(SUBSTITUTE(N103," ",""),"0",""),"-",""))))),1,0)),0)+IF(OR(COUNTA(J107:K111,M107:N111)&gt;0,OR(L106="X",L106="x"),UPPER(L107)="X",UPPER(L108)="X",UPPER(L109)="X",UPPER(L110)="X",UPPER(L111)="X"),(IF(OR(L107="X",L107="x",AND(COUNTA(J107,K107,M107,N107)&gt;0,(LEN(SUBSTITUTE(SUBSTITUTE(SUBSTITUTE(J107," ",""),"0",""),"-",""))+LEN(SUBSTITUTE(SUBSTITUTE(SUBSTITUTE(K107," ",""),"0",""),"-","")))=(LEN(SUBSTITUTE(SUBSTITUTE(SUBSTITUTE(M107," ",""),"0",""),"-",""))+LEN(SUBSTITUTE(SUBSTITUTE(SUBSTITUTE(N107," ",""),"0",""),"-",""))))),1,0)+IF(OR(L108="X",L108="x",AND(COUNTA(J108,K108,M108,N108)&gt;0,(LEN(SUBSTITUTE(SUBSTITUTE(SUBSTITUTE(J108," ",""),"0",""),"-",""))+LEN(SUBSTITUTE(SUBSTITUTE(SUBSTITUTE(K108," ",""),"0",""),"-","")))=(LEN(SUBSTITUTE(SUBSTITUTE(SUBSTITUTE(M108," ",""),"0",""),"-",""))+LEN(SUBSTITUTE(SUBSTITUTE(SUBSTITUTE(N108," ",""),"0",""),"-",""))))),1,0)+IF(OR(L109="X",L109="x",AND(COUNTA(J109,K109,M109,N109)&gt;0,(LEN(SUBSTITUTE(SUBSTITUTE(SUBSTITUTE(J109," ",""),"0",""),"-",""))+LEN(SUBSTITUTE(SUBSTITUTE(SUBSTITUTE(K109," ",""),"0",""),"-","")))=(LEN(SUBSTITUTE(SUBSTITUTE(SUBSTITUTE(M109," ",""),"0",""),"-",""))+LEN(SUBSTITUTE(SUBSTITUTE(SUBSTITUTE(N109," ",""),"0",""),"-",""))))),1,0)+IF(OR(L110="X",L110="x",AND(COUNTA(J110,K110,M110,N110)&gt;0,(LEN(SUBSTITUTE(SUBSTITUTE(SUBSTITUTE(J110," ",""),"0",""),"-",""))+LEN(SUBSTITUTE(SUBSTITUTE(SUBSTITUTE(K110," ",""),"0",""),"-","")))=(LEN(SUBSTITUTE(SUBSTITUTE(SUBSTITUTE(M110," ",""),"0",""),"-",""))+LEN(SUBSTITUTE(SUBSTITUTE(SUBSTITUTE(N110," ",""),"0",""),"-",""))))),1,0)+IF(OR(L111="X",L111="x",AND(COUNTA(J111,K111,M111,N111)&gt;0,(LEN(SUBSTITUTE(SUBSTITUTE(SUBSTITUTE(J111," ",""),"0",""),"-",""))+LEN(SUBSTITUTE(SUBSTITUTE(SUBSTITUTE(K111," ",""),"0",""),"-","")))=(LEN(SUBSTITUTE(SUBSTITUTE(SUBSTITUTE(M111," ",""),"0",""),"-",""))+LEN(SUBSTITUTE(SUBSTITUTE(SUBSTITUTE(N111," ",""),"0",""),"-",""))))),1,0)),0)</f>
      </c>
      <c r="M122" s="14" t="str">
        <f>K98+K106</f>
      </c>
      <c r="N122" s="14" t="str">
        <f>M98+M106</f>
      </c>
    </row>
    <row r="125">
      <c r="F125" s="13"/>
      <c r="G125" s="13" t="s">
        <v>344</v>
      </c>
      <c r="N125" s="13"/>
      <c r="O125" s="13" t="s">
        <v>344</v>
      </c>
    </row>
    <row r="126">
      <c r="F126" t="s">
        <v>345</v>
      </c>
      <c r="G126" s="19" t="str">
        <f>IFERROR(INDEX($A$115:$A$122, MATCH(1, $G$115:$G$122, 0)), "-")</f>
      </c>
      <c r="N126" t="s">
        <v>345</v>
      </c>
      <c r="O126" s="19" t="str">
        <f>IFERROR(INDEX($I$115:$I$122, MATCH(1, $O$115:$O$122, 0)), "-")</f>
      </c>
    </row>
    <row r="127">
      <c r="F127" t="s">
        <v>346</v>
      </c>
      <c r="G127" s="19" t="str">
        <f>IFERROR(INDEX($A$115:$A$122, MATCH(2, $G$115:$G$122, 0)), "-")</f>
      </c>
      <c r="N127" t="s">
        <v>346</v>
      </c>
      <c r="O127" s="19" t="str">
        <f>IFERROR(INDEX($I$115:$I$122, MATCH(2, $O$115:$O$122, 0)), "-")</f>
      </c>
    </row>
    <row r="128">
      <c r="F128" t="s">
        <v>347</v>
      </c>
      <c r="G128" s="19" t="str">
        <f>IFERROR(INDEX($A$115:$A$122, MATCH(3, $G$115:$G$122, 0)), "-")</f>
      </c>
      <c r="N128" t="s">
        <v>347</v>
      </c>
      <c r="O128" s="19" t="str">
        <f>IFERROR(INDEX($I$115:$I$122, MATCH(3, $O$115:$O$122, 0)), "-")</f>
      </c>
    </row>
    <row r="131">
      <c r="A131" s="13" t="str">
        <f>'data'!$A$14</f>
      </c>
      <c r="B131" s="13"/>
      <c r="C131" s="13"/>
      <c r="D131" s="13"/>
      <c r="E131" s="13"/>
      <c r="F131" s="13"/>
      <c r="G131" s="13"/>
      <c r="I131" s="13" t="str">
        <f>'data'!$A$61</f>
      </c>
      <c r="J131" s="13"/>
      <c r="K131" s="13"/>
      <c r="L131" s="13"/>
      <c r="M131" s="13"/>
      <c r="N131" s="13"/>
      <c r="O131" s="13"/>
    </row>
    <row r="132">
      <c r="A132" s="17" t="s">
        <v>331</v>
      </c>
      <c r="B132" s="14"/>
      <c r="C132" s="14"/>
      <c r="D132" s="14" t="s">
        <v>332</v>
      </c>
      <c r="E132" s="14"/>
      <c r="F132" s="14"/>
      <c r="G132" s="16" t="s">
        <v>333</v>
      </c>
      <c r="I132" s="17" t="s">
        <v>331</v>
      </c>
      <c r="J132" s="14"/>
      <c r="K132" s="14"/>
      <c r="L132" s="14" t="s">
        <v>332</v>
      </c>
      <c r="M132" s="14"/>
      <c r="N132" s="14"/>
      <c r="O132" s="16" t="s">
        <v>333</v>
      </c>
    </row>
    <row r="133">
      <c r="A133" s="14" t="str">
        <f>data!$E$13&amp;" "&amp;data!$B$13</f>
      </c>
      <c r="B133" s="14" t="str">
        <f>IF(UPPER(D134)="X",0,IF((LEN(SUBSTITUTE(SUBSTITUTE(SUBSTITUTE(B134," ",""),"0",""),"-",""))+LEN(SUBSTITUTE(SUBSTITUTE(SUBSTITUTE(C134," ",""),"0",""),"-","")))&gt;(LEN(SUBSTITUTE(SUBSTITUTE(SUBSTITUTE(E134," ",""),"0",""),"-",""))+LEN(SUBSTITUTE(SUBSTITUTE(SUBSTITUTE(F134," ",""),"0",""),"-",""))),1,0))+IF(UPPER(D135)="X",0,IF((LEN(SUBSTITUTE(SUBSTITUTE(SUBSTITUTE(B135," ",""),"0",""),"-",""))+LEN(SUBSTITUTE(SUBSTITUTE(SUBSTITUTE(C135," ",""),"0",""),"-","")))&gt;(LEN(SUBSTITUTE(SUBSTITUTE(SUBSTITUTE(E135," ",""),"0",""),"-",""))+LEN(SUBSTITUTE(SUBSTITUTE(SUBSTITUTE(F135," ",""),"0",""),"-",""))),1,0))+IF(UPPER(D136)="X",0,IF((LEN(SUBSTITUTE(SUBSTITUTE(SUBSTITUTE(B136," ",""),"0",""),"-",""))+LEN(SUBSTITUTE(SUBSTITUTE(SUBSTITUTE(C136," ",""),"0",""),"-","")))&gt;(LEN(SUBSTITUTE(SUBSTITUTE(SUBSTITUTE(E136," ",""),"0",""),"-",""))+LEN(SUBSTITUTE(SUBSTITUTE(SUBSTITUTE(F136," ",""),"0",""),"-",""))),1,0))+IF(UPPER(D137)="X",0,IF((LEN(SUBSTITUTE(SUBSTITUTE(SUBSTITUTE(B137," ",""),"0",""),"-",""))+LEN(SUBSTITUTE(SUBSTITUTE(SUBSTITUTE(C137," ",""),"0",""),"-","")))&gt;(LEN(SUBSTITUTE(SUBSTITUTE(SUBSTITUTE(E137," ",""),"0",""),"-",""))+LEN(SUBSTITUTE(SUBSTITUTE(SUBSTITUTE(F137," ",""),"0",""),"-",""))),1,0))+IF(UPPER(D138)="X",0,IF((LEN(SUBSTITUTE(SUBSTITUTE(SUBSTITUTE(B138," ",""),"0",""),"-",""))+LEN(SUBSTITUTE(SUBSTITUTE(SUBSTITUTE(C138," ",""),"0",""),"-","")))&gt;(LEN(SUBSTITUTE(SUBSTITUTE(SUBSTITUTE(E138," ",""),"0",""),"-",""))+LEN(SUBSTITUTE(SUBSTITUTE(SUBSTITUTE(F138," ",""),"0",""),"-",""))),1,0))</f>
      </c>
      <c r="C133" s="14" t="str">
        <f>LEN(SUBSTITUTE(SUBSTITUTE(SUBSTITUTE(B134," ",""),"0",""),"-",""))+LEN(SUBSTITUTE(SUBSTITUTE(SUBSTITUTE(C134," ",""),"0",""),"-",""))+LEN(SUBSTITUTE(SUBSTITUTE(SUBSTITUTE(B135," ",""),"0",""),"-",""))+LEN(SUBSTITUTE(SUBSTITUTE(SUBSTITUTE(C135," ",""),"0",""),"-",""))+LEN(SUBSTITUTE(SUBSTITUTE(SUBSTITUTE(B136," ",""),"0",""),"-",""))+LEN(SUBSTITUTE(SUBSTITUTE(SUBSTITUTE(C136," ",""),"0",""),"-",""))+LEN(SUBSTITUTE(SUBSTITUTE(SUBSTITUTE(B137," ",""),"0",""),"-",""))+LEN(SUBSTITUTE(SUBSTITUTE(SUBSTITUTE(C137," ",""),"0",""),"-",""))+LEN(SUBSTITUTE(SUBSTITUTE(SUBSTITUTE(B138," ",""),"0",""),"-",""))+LEN(SUBSTITUTE(SUBSTITUTE(SUBSTITUTE(C138," ",""),"0",""),"-",""))</f>
      </c>
      <c r="D133" s="18"/>
      <c r="E133" s="14" t="str">
        <f>LEN(SUBSTITUTE(SUBSTITUTE(SUBSTITUTE(E134," ",""),"0",""),"-",""))+LEN(SUBSTITUTE(SUBSTITUTE(SUBSTITUTE(F134," ",""),"0",""),"-",""))+LEN(SUBSTITUTE(SUBSTITUTE(SUBSTITUTE(E135," ",""),"0",""),"-",""))+LEN(SUBSTITUTE(SUBSTITUTE(SUBSTITUTE(F135," ",""),"0",""),"-",""))+LEN(SUBSTITUTE(SUBSTITUTE(SUBSTITUTE(E136," ",""),"0",""),"-",""))+LEN(SUBSTITUTE(SUBSTITUTE(SUBSTITUTE(F136," ",""),"0",""),"-",""))+LEN(SUBSTITUTE(SUBSTITUTE(SUBSTITUTE(E137," ",""),"0",""),"-",""))+LEN(SUBSTITUTE(SUBSTITUTE(SUBSTITUTE(F137," ",""),"0",""),"-",""))+LEN(SUBSTITUTE(SUBSTITUTE(SUBSTITUTE(E138," ",""),"0",""),"-",""))+LEN(SUBSTITUTE(SUBSTITUTE(SUBSTITUTE(F138," ",""),"0",""),"-",""))</f>
      </c>
      <c r="F133" s="14" t="str">
        <f>IF(UPPER(D134)="X",0,IF((LEN(SUBSTITUTE(SUBSTITUTE(SUBSTITUTE(E134," ",""),"0",""),"-",""))+LEN(SUBSTITUTE(SUBSTITUTE(SUBSTITUTE(F134," ",""),"0",""),"-","")))&gt;(LEN(SUBSTITUTE(SUBSTITUTE(SUBSTITUTE(B134," ",""),"0",""),"-",""))+LEN(SUBSTITUTE(SUBSTITUTE(SUBSTITUTE(C134," ",""),"0",""),"-",""))),1,0))+IF(UPPER(D135)="X",0,IF((LEN(SUBSTITUTE(SUBSTITUTE(SUBSTITUTE(E135," ",""),"0",""),"-",""))+LEN(SUBSTITUTE(SUBSTITUTE(SUBSTITUTE(F135," ",""),"0",""),"-","")))&gt;(LEN(SUBSTITUTE(SUBSTITUTE(SUBSTITUTE(B135," ",""),"0",""),"-",""))+LEN(SUBSTITUTE(SUBSTITUTE(SUBSTITUTE(C135," ",""),"0",""),"-",""))),1,0))+IF(UPPER(D136)="X",0,IF((LEN(SUBSTITUTE(SUBSTITUTE(SUBSTITUTE(E136," ",""),"0",""),"-",""))+LEN(SUBSTITUTE(SUBSTITUTE(SUBSTITUTE(F136," ",""),"0",""),"-","")))&gt;(LEN(SUBSTITUTE(SUBSTITUTE(SUBSTITUTE(B136," ",""),"0",""),"-",""))+LEN(SUBSTITUTE(SUBSTITUTE(SUBSTITUTE(C136," ",""),"0",""),"-",""))),1,0))+IF(UPPER(D137)="X",0,IF((LEN(SUBSTITUTE(SUBSTITUTE(SUBSTITUTE(E137," ",""),"0",""),"-",""))+LEN(SUBSTITUTE(SUBSTITUTE(SUBSTITUTE(F137," ",""),"0",""),"-","")))&gt;(LEN(SUBSTITUTE(SUBSTITUTE(SUBSTITUTE(B137," ",""),"0",""),"-",""))+LEN(SUBSTITUTE(SUBSTITUTE(SUBSTITUTE(C137," ",""),"0",""),"-",""))),1,0))+IF(UPPER(D138)="X",0,IF((LEN(SUBSTITUTE(SUBSTITUTE(SUBSTITUTE(E138," ",""),"0",""),"-",""))+LEN(SUBSTITUTE(SUBSTITUTE(SUBSTITUTE(F138," ",""),"0",""),"-","")))&gt;(LEN(SUBSTITUTE(SUBSTITUTE(SUBSTITUTE(B138," ",""),"0",""),"-",""))+LEN(SUBSTITUTE(SUBSTITUTE(SUBSTITUTE(C138," ",""),"0",""),"-",""))),1,0))</f>
      </c>
      <c r="G133" s="14" t="str">
        <f>data!$E$12&amp;" "&amp;data!$B$12</f>
      </c>
      <c r="I133" s="14" t="str">
        <f>data!$E$60&amp;" "&amp;data!$B$60</f>
      </c>
      <c r="J133" s="14" t="str">
        <f>IF(UPPER(L134)="X",0,IF((LEN(SUBSTITUTE(SUBSTITUTE(SUBSTITUTE(J134," ",""),"0",""),"-",""))+LEN(SUBSTITUTE(SUBSTITUTE(SUBSTITUTE(K134," ",""),"0",""),"-","")))&gt;(LEN(SUBSTITUTE(SUBSTITUTE(SUBSTITUTE(M134," ",""),"0",""),"-",""))+LEN(SUBSTITUTE(SUBSTITUTE(SUBSTITUTE(N134," ",""),"0",""),"-",""))),1,0))+IF(UPPER(L135)="X",0,IF((LEN(SUBSTITUTE(SUBSTITUTE(SUBSTITUTE(J135," ",""),"0",""),"-",""))+LEN(SUBSTITUTE(SUBSTITUTE(SUBSTITUTE(K135," ",""),"0",""),"-","")))&gt;(LEN(SUBSTITUTE(SUBSTITUTE(SUBSTITUTE(M135," ",""),"0",""),"-",""))+LEN(SUBSTITUTE(SUBSTITUTE(SUBSTITUTE(N135," ",""),"0",""),"-",""))),1,0))+IF(UPPER(L136)="X",0,IF((LEN(SUBSTITUTE(SUBSTITUTE(SUBSTITUTE(J136," ",""),"0",""),"-",""))+LEN(SUBSTITUTE(SUBSTITUTE(SUBSTITUTE(K136," ",""),"0",""),"-","")))&gt;(LEN(SUBSTITUTE(SUBSTITUTE(SUBSTITUTE(M136," ",""),"0",""),"-",""))+LEN(SUBSTITUTE(SUBSTITUTE(SUBSTITUTE(N136," ",""),"0",""),"-",""))),1,0))+IF(UPPER(L137)="X",0,IF((LEN(SUBSTITUTE(SUBSTITUTE(SUBSTITUTE(J137," ",""),"0",""),"-",""))+LEN(SUBSTITUTE(SUBSTITUTE(SUBSTITUTE(K137," ",""),"0",""),"-","")))&gt;(LEN(SUBSTITUTE(SUBSTITUTE(SUBSTITUTE(M137," ",""),"0",""),"-",""))+LEN(SUBSTITUTE(SUBSTITUTE(SUBSTITUTE(N137," ",""),"0",""),"-",""))),1,0))+IF(UPPER(L138)="X",0,IF((LEN(SUBSTITUTE(SUBSTITUTE(SUBSTITUTE(J138," ",""),"0",""),"-",""))+LEN(SUBSTITUTE(SUBSTITUTE(SUBSTITUTE(K138," ",""),"0",""),"-","")))&gt;(LEN(SUBSTITUTE(SUBSTITUTE(SUBSTITUTE(M138," ",""),"0",""),"-",""))+LEN(SUBSTITUTE(SUBSTITUTE(SUBSTITUTE(N138," ",""),"0",""),"-",""))),1,0))</f>
      </c>
      <c r="K133" s="14" t="str">
        <f>LEN(SUBSTITUTE(SUBSTITUTE(SUBSTITUTE(J134," ",""),"0",""),"-",""))+LEN(SUBSTITUTE(SUBSTITUTE(SUBSTITUTE(K134," ",""),"0",""),"-",""))+LEN(SUBSTITUTE(SUBSTITUTE(SUBSTITUTE(J135," ",""),"0",""),"-",""))+LEN(SUBSTITUTE(SUBSTITUTE(SUBSTITUTE(K135," ",""),"0",""),"-",""))+LEN(SUBSTITUTE(SUBSTITUTE(SUBSTITUTE(J136," ",""),"0",""),"-",""))+LEN(SUBSTITUTE(SUBSTITUTE(SUBSTITUTE(K136," ",""),"0",""),"-",""))+LEN(SUBSTITUTE(SUBSTITUTE(SUBSTITUTE(J137," ",""),"0",""),"-",""))+LEN(SUBSTITUTE(SUBSTITUTE(SUBSTITUTE(K137," ",""),"0",""),"-",""))+LEN(SUBSTITUTE(SUBSTITUTE(SUBSTITUTE(J138," ",""),"0",""),"-",""))+LEN(SUBSTITUTE(SUBSTITUTE(SUBSTITUTE(K138," ",""),"0",""),"-",""))</f>
      </c>
      <c r="L133" s="18"/>
      <c r="M133" s="14" t="str">
        <f>LEN(SUBSTITUTE(SUBSTITUTE(SUBSTITUTE(M134," ",""),"0",""),"-",""))+LEN(SUBSTITUTE(SUBSTITUTE(SUBSTITUTE(N134," ",""),"0",""),"-",""))+LEN(SUBSTITUTE(SUBSTITUTE(SUBSTITUTE(M135," ",""),"0",""),"-",""))+LEN(SUBSTITUTE(SUBSTITUTE(SUBSTITUTE(N135," ",""),"0",""),"-",""))+LEN(SUBSTITUTE(SUBSTITUTE(SUBSTITUTE(M136," ",""),"0",""),"-",""))+LEN(SUBSTITUTE(SUBSTITUTE(SUBSTITUTE(N136," ",""),"0",""),"-",""))+LEN(SUBSTITUTE(SUBSTITUTE(SUBSTITUTE(M137," ",""),"0",""),"-",""))+LEN(SUBSTITUTE(SUBSTITUTE(SUBSTITUTE(N137," ",""),"0",""),"-",""))+LEN(SUBSTITUTE(SUBSTITUTE(SUBSTITUTE(M138," ",""),"0",""),"-",""))+LEN(SUBSTITUTE(SUBSTITUTE(SUBSTITUTE(N138," ",""),"0",""),"-",""))</f>
      </c>
      <c r="N133" s="14" t="str">
        <f>IF(UPPER(L134)="X",0,IF((LEN(SUBSTITUTE(SUBSTITUTE(SUBSTITUTE(M134," ",""),"0",""),"-",""))+LEN(SUBSTITUTE(SUBSTITUTE(SUBSTITUTE(N134," ",""),"0",""),"-","")))&gt;(LEN(SUBSTITUTE(SUBSTITUTE(SUBSTITUTE(J134," ",""),"0",""),"-",""))+LEN(SUBSTITUTE(SUBSTITUTE(SUBSTITUTE(K134," ",""),"0",""),"-",""))),1,0))+IF(UPPER(L135)="X",0,IF((LEN(SUBSTITUTE(SUBSTITUTE(SUBSTITUTE(M135," ",""),"0",""),"-",""))+LEN(SUBSTITUTE(SUBSTITUTE(SUBSTITUTE(N135," ",""),"0",""),"-","")))&gt;(LEN(SUBSTITUTE(SUBSTITUTE(SUBSTITUTE(J135," ",""),"0",""),"-",""))+LEN(SUBSTITUTE(SUBSTITUTE(SUBSTITUTE(K135," ",""),"0",""),"-",""))),1,0))+IF(UPPER(L136)="X",0,IF((LEN(SUBSTITUTE(SUBSTITUTE(SUBSTITUTE(M136," ",""),"0",""),"-",""))+LEN(SUBSTITUTE(SUBSTITUTE(SUBSTITUTE(N136," ",""),"0",""),"-","")))&gt;(LEN(SUBSTITUTE(SUBSTITUTE(SUBSTITUTE(J136," ",""),"0",""),"-",""))+LEN(SUBSTITUTE(SUBSTITUTE(SUBSTITUTE(K136," ",""),"0",""),"-",""))),1,0))+IF(UPPER(L137)="X",0,IF((LEN(SUBSTITUTE(SUBSTITUTE(SUBSTITUTE(M137," ",""),"0",""),"-",""))+LEN(SUBSTITUTE(SUBSTITUTE(SUBSTITUTE(N137," ",""),"0",""),"-","")))&gt;(LEN(SUBSTITUTE(SUBSTITUTE(SUBSTITUTE(J137," ",""),"0",""),"-",""))+LEN(SUBSTITUTE(SUBSTITUTE(SUBSTITUTE(K137," ",""),"0",""),"-",""))),1,0))+IF(UPPER(L138)="X",0,IF((LEN(SUBSTITUTE(SUBSTITUTE(SUBSTITUTE(M138," ",""),"0",""),"-",""))+LEN(SUBSTITUTE(SUBSTITUTE(SUBSTITUTE(N138," ",""),"0",""),"-","")))&gt;(LEN(SUBSTITUTE(SUBSTITUTE(SUBSTITUTE(J138," ",""),"0",""),"-",""))+LEN(SUBSTITUTE(SUBSTITUTE(SUBSTITUTE(K138," ",""),"0",""),"-",""))),1,0))</f>
      </c>
      <c r="O133" s="14" t="str">
        <f>data!$E$59&amp;" "&amp;data!$B$59</f>
      </c>
    </row>
    <row r="134">
      <c r="A134" s="14">
        <v>1</v>
      </c>
      <c r="B134" s="18"/>
      <c r="C134" s="18"/>
      <c r="D134" s="18"/>
      <c r="E134" s="18"/>
      <c r="F134" s="18"/>
      <c r="G134" s="14">
        <v>1</v>
      </c>
      <c r="I134" s="14">
        <v>1</v>
      </c>
      <c r="J134" s="18"/>
      <c r="K134" s="18"/>
      <c r="L134" s="18"/>
      <c r="M134" s="18"/>
      <c r="N134" s="18"/>
      <c r="O134" s="14">
        <v>1</v>
      </c>
    </row>
    <row r="135">
      <c r="A135" s="14">
        <v>2</v>
      </c>
      <c r="B135" s="18"/>
      <c r="C135" s="18"/>
      <c r="D135" s="18"/>
      <c r="E135" s="18"/>
      <c r="F135" s="18"/>
      <c r="G135" s="14">
        <v>2</v>
      </c>
      <c r="I135" s="14">
        <v>2</v>
      </c>
      <c r="J135" s="18"/>
      <c r="K135" s="18"/>
      <c r="L135" s="18"/>
      <c r="M135" s="18"/>
      <c r="N135" s="18"/>
      <c r="O135" s="14">
        <v>2</v>
      </c>
    </row>
    <row r="136">
      <c r="A136" s="14">
        <v>3</v>
      </c>
      <c r="B136" s="18"/>
      <c r="C136" s="18"/>
      <c r="D136" s="18"/>
      <c r="E136" s="18"/>
      <c r="F136" s="18"/>
      <c r="G136" s="14">
        <v>3</v>
      </c>
      <c r="I136" s="14">
        <v>3</v>
      </c>
      <c r="J136" s="18"/>
      <c r="K136" s="18"/>
      <c r="L136" s="18"/>
      <c r="M136" s="18"/>
      <c r="N136" s="18"/>
      <c r="O136" s="14">
        <v>3</v>
      </c>
    </row>
    <row r="137">
      <c r="A137" s="14">
        <v>4</v>
      </c>
      <c r="B137" s="18"/>
      <c r="C137" s="18"/>
      <c r="D137" s="18"/>
      <c r="E137" s="18"/>
      <c r="F137" s="18"/>
      <c r="G137" s="14">
        <v>4</v>
      </c>
      <c r="I137" s="14">
        <v>4</v>
      </c>
      <c r="J137" s="18"/>
      <c r="K137" s="18"/>
      <c r="L137" s="18"/>
      <c r="M137" s="18"/>
      <c r="N137" s="18"/>
      <c r="O137" s="14">
        <v>4</v>
      </c>
    </row>
    <row r="138">
      <c r="A138" s="14">
        <v>5</v>
      </c>
      <c r="B138" s="18"/>
      <c r="C138" s="18"/>
      <c r="D138" s="18"/>
      <c r="E138" s="18"/>
      <c r="F138" s="18"/>
      <c r="G138" s="14">
        <v>5</v>
      </c>
      <c r="I138" s="14">
        <v>5</v>
      </c>
      <c r="J138" s="18"/>
      <c r="K138" s="18"/>
      <c r="L138" s="18"/>
      <c r="M138" s="18"/>
      <c r="N138" s="18"/>
      <c r="O138" s="14">
        <v>5</v>
      </c>
    </row>
    <row r="140">
      <c r="A140" s="17" t="s">
        <v>331</v>
      </c>
      <c r="B140" s="14"/>
      <c r="C140" s="14"/>
      <c r="D140" s="14" t="s">
        <v>332</v>
      </c>
      <c r="E140" s="14"/>
      <c r="F140" s="14"/>
      <c r="G140" s="16" t="s">
        <v>333</v>
      </c>
      <c r="I140" s="17" t="s">
        <v>331</v>
      </c>
      <c r="J140" s="14"/>
      <c r="K140" s="14"/>
      <c r="L140" s="14" t="s">
        <v>332</v>
      </c>
      <c r="M140" s="14"/>
      <c r="N140" s="14"/>
      <c r="O140" s="16" t="s">
        <v>333</v>
      </c>
    </row>
    <row r="141">
      <c r="A141" s="14" t="str">
        <f>data!$E$14&amp;" "&amp;data!$B$14</f>
      </c>
      <c r="B141" s="14" t="str">
        <f>IF(UPPER(D142)="X",0,IF((LEN(SUBSTITUTE(SUBSTITUTE(SUBSTITUTE(B142," ",""),"0",""),"-",""))+LEN(SUBSTITUTE(SUBSTITUTE(SUBSTITUTE(C142," ",""),"0",""),"-","")))&gt;(LEN(SUBSTITUTE(SUBSTITUTE(SUBSTITUTE(E142," ",""),"0",""),"-",""))+LEN(SUBSTITUTE(SUBSTITUTE(SUBSTITUTE(F142," ",""),"0",""),"-",""))),1,0))+IF(UPPER(D143)="X",0,IF((LEN(SUBSTITUTE(SUBSTITUTE(SUBSTITUTE(B143," ",""),"0",""),"-",""))+LEN(SUBSTITUTE(SUBSTITUTE(SUBSTITUTE(C143," ",""),"0",""),"-","")))&gt;(LEN(SUBSTITUTE(SUBSTITUTE(SUBSTITUTE(E143," ",""),"0",""),"-",""))+LEN(SUBSTITUTE(SUBSTITUTE(SUBSTITUTE(F143," ",""),"0",""),"-",""))),1,0))+IF(UPPER(D144)="X",0,IF((LEN(SUBSTITUTE(SUBSTITUTE(SUBSTITUTE(B144," ",""),"0",""),"-",""))+LEN(SUBSTITUTE(SUBSTITUTE(SUBSTITUTE(C144," ",""),"0",""),"-","")))&gt;(LEN(SUBSTITUTE(SUBSTITUTE(SUBSTITUTE(E144," ",""),"0",""),"-",""))+LEN(SUBSTITUTE(SUBSTITUTE(SUBSTITUTE(F144," ",""),"0",""),"-",""))),1,0))+IF(UPPER(D145)="X",0,IF((LEN(SUBSTITUTE(SUBSTITUTE(SUBSTITUTE(B145," ",""),"0",""),"-",""))+LEN(SUBSTITUTE(SUBSTITUTE(SUBSTITUTE(C145," ",""),"0",""),"-","")))&gt;(LEN(SUBSTITUTE(SUBSTITUTE(SUBSTITUTE(E145," ",""),"0",""),"-",""))+LEN(SUBSTITUTE(SUBSTITUTE(SUBSTITUTE(F145," ",""),"0",""),"-",""))),1,0))+IF(UPPER(D146)="X",0,IF((LEN(SUBSTITUTE(SUBSTITUTE(SUBSTITUTE(B146," ",""),"0",""),"-",""))+LEN(SUBSTITUTE(SUBSTITUTE(SUBSTITUTE(C146," ",""),"0",""),"-","")))&gt;(LEN(SUBSTITUTE(SUBSTITUTE(SUBSTITUTE(E146," ",""),"0",""),"-",""))+LEN(SUBSTITUTE(SUBSTITUTE(SUBSTITUTE(F146," ",""),"0",""),"-",""))),1,0))</f>
      </c>
      <c r="C141" s="14" t="str">
        <f>LEN(SUBSTITUTE(SUBSTITUTE(SUBSTITUTE(B142," ",""),"0",""),"-",""))+LEN(SUBSTITUTE(SUBSTITUTE(SUBSTITUTE(C142," ",""),"0",""),"-",""))+LEN(SUBSTITUTE(SUBSTITUTE(SUBSTITUTE(B143," ",""),"0",""),"-",""))+LEN(SUBSTITUTE(SUBSTITUTE(SUBSTITUTE(C143," ",""),"0",""),"-",""))+LEN(SUBSTITUTE(SUBSTITUTE(SUBSTITUTE(B144," ",""),"0",""),"-",""))+LEN(SUBSTITUTE(SUBSTITUTE(SUBSTITUTE(C144," ",""),"0",""),"-",""))+LEN(SUBSTITUTE(SUBSTITUTE(SUBSTITUTE(B145," ",""),"0",""),"-",""))+LEN(SUBSTITUTE(SUBSTITUTE(SUBSTITUTE(C145," ",""),"0",""),"-",""))+LEN(SUBSTITUTE(SUBSTITUTE(SUBSTITUTE(B146," ",""),"0",""),"-",""))+LEN(SUBSTITUTE(SUBSTITUTE(SUBSTITUTE(C146," ",""),"0",""),"-",""))</f>
      </c>
      <c r="D141" s="18"/>
      <c r="E141" s="14" t="str">
        <f>LEN(SUBSTITUTE(SUBSTITUTE(SUBSTITUTE(E142," ",""),"0",""),"-",""))+LEN(SUBSTITUTE(SUBSTITUTE(SUBSTITUTE(F142," ",""),"0",""),"-",""))+LEN(SUBSTITUTE(SUBSTITUTE(SUBSTITUTE(E143," ",""),"0",""),"-",""))+LEN(SUBSTITUTE(SUBSTITUTE(SUBSTITUTE(F143," ",""),"0",""),"-",""))+LEN(SUBSTITUTE(SUBSTITUTE(SUBSTITUTE(E144," ",""),"0",""),"-",""))+LEN(SUBSTITUTE(SUBSTITUTE(SUBSTITUTE(F144," ",""),"0",""),"-",""))+LEN(SUBSTITUTE(SUBSTITUTE(SUBSTITUTE(E145," ",""),"0",""),"-",""))+LEN(SUBSTITUTE(SUBSTITUTE(SUBSTITUTE(F145," ",""),"0",""),"-",""))+LEN(SUBSTITUTE(SUBSTITUTE(SUBSTITUTE(E146," ",""),"0",""),"-",""))+LEN(SUBSTITUTE(SUBSTITUTE(SUBSTITUTE(F146," ",""),"0",""),"-",""))</f>
      </c>
      <c r="F141" s="14" t="str">
        <f>IF(UPPER(D142)="X",0,IF((LEN(SUBSTITUTE(SUBSTITUTE(SUBSTITUTE(E142," ",""),"0",""),"-",""))+LEN(SUBSTITUTE(SUBSTITUTE(SUBSTITUTE(F142," ",""),"0",""),"-","")))&gt;(LEN(SUBSTITUTE(SUBSTITUTE(SUBSTITUTE(B142," ",""),"0",""),"-",""))+LEN(SUBSTITUTE(SUBSTITUTE(SUBSTITUTE(C142," ",""),"0",""),"-",""))),1,0))+IF(UPPER(D143)="X",0,IF((LEN(SUBSTITUTE(SUBSTITUTE(SUBSTITUTE(E143," ",""),"0",""),"-",""))+LEN(SUBSTITUTE(SUBSTITUTE(SUBSTITUTE(F143," ",""),"0",""),"-","")))&gt;(LEN(SUBSTITUTE(SUBSTITUTE(SUBSTITUTE(B143," ",""),"0",""),"-",""))+LEN(SUBSTITUTE(SUBSTITUTE(SUBSTITUTE(C143," ",""),"0",""),"-",""))),1,0))+IF(UPPER(D144)="X",0,IF((LEN(SUBSTITUTE(SUBSTITUTE(SUBSTITUTE(E144," ",""),"0",""),"-",""))+LEN(SUBSTITUTE(SUBSTITUTE(SUBSTITUTE(F144," ",""),"0",""),"-","")))&gt;(LEN(SUBSTITUTE(SUBSTITUTE(SUBSTITUTE(B144," ",""),"0",""),"-",""))+LEN(SUBSTITUTE(SUBSTITUTE(SUBSTITUTE(C144," ",""),"0",""),"-",""))),1,0))+IF(UPPER(D145)="X",0,IF((LEN(SUBSTITUTE(SUBSTITUTE(SUBSTITUTE(E145," ",""),"0",""),"-",""))+LEN(SUBSTITUTE(SUBSTITUTE(SUBSTITUTE(F145," ",""),"0",""),"-","")))&gt;(LEN(SUBSTITUTE(SUBSTITUTE(SUBSTITUTE(B145," ",""),"0",""),"-",""))+LEN(SUBSTITUTE(SUBSTITUTE(SUBSTITUTE(C145," ",""),"0",""),"-",""))),1,0))+IF(UPPER(D146)="X",0,IF((LEN(SUBSTITUTE(SUBSTITUTE(SUBSTITUTE(E146," ",""),"0",""),"-",""))+LEN(SUBSTITUTE(SUBSTITUTE(SUBSTITUTE(F146," ",""),"0",""),"-","")))&gt;(LEN(SUBSTITUTE(SUBSTITUTE(SUBSTITUTE(B146," ",""),"0",""),"-",""))+LEN(SUBSTITUTE(SUBSTITUTE(SUBSTITUTE(C146," ",""),"0",""),"-",""))),1,0))</f>
      </c>
      <c r="G141" s="14" t="str">
        <f>data!$E$12&amp;" "&amp;data!$B$12</f>
      </c>
      <c r="I141" s="14" t="str">
        <f>data!$E$61&amp;" "&amp;data!$B$61</f>
      </c>
      <c r="J141" s="14" t="str">
        <f>IF(UPPER(L142)="X",0,IF((LEN(SUBSTITUTE(SUBSTITUTE(SUBSTITUTE(J142," ",""),"0",""),"-",""))+LEN(SUBSTITUTE(SUBSTITUTE(SUBSTITUTE(K142," ",""),"0",""),"-","")))&gt;(LEN(SUBSTITUTE(SUBSTITUTE(SUBSTITUTE(M142," ",""),"0",""),"-",""))+LEN(SUBSTITUTE(SUBSTITUTE(SUBSTITUTE(N142," ",""),"0",""),"-",""))),1,0))+IF(UPPER(L143)="X",0,IF((LEN(SUBSTITUTE(SUBSTITUTE(SUBSTITUTE(J143," ",""),"0",""),"-",""))+LEN(SUBSTITUTE(SUBSTITUTE(SUBSTITUTE(K143," ",""),"0",""),"-","")))&gt;(LEN(SUBSTITUTE(SUBSTITUTE(SUBSTITUTE(M143," ",""),"0",""),"-",""))+LEN(SUBSTITUTE(SUBSTITUTE(SUBSTITUTE(N143," ",""),"0",""),"-",""))),1,0))+IF(UPPER(L144)="X",0,IF((LEN(SUBSTITUTE(SUBSTITUTE(SUBSTITUTE(J144," ",""),"0",""),"-",""))+LEN(SUBSTITUTE(SUBSTITUTE(SUBSTITUTE(K144," ",""),"0",""),"-","")))&gt;(LEN(SUBSTITUTE(SUBSTITUTE(SUBSTITUTE(M144," ",""),"0",""),"-",""))+LEN(SUBSTITUTE(SUBSTITUTE(SUBSTITUTE(N144," ",""),"0",""),"-",""))),1,0))+IF(UPPER(L145)="X",0,IF((LEN(SUBSTITUTE(SUBSTITUTE(SUBSTITUTE(J145," ",""),"0",""),"-",""))+LEN(SUBSTITUTE(SUBSTITUTE(SUBSTITUTE(K145," ",""),"0",""),"-","")))&gt;(LEN(SUBSTITUTE(SUBSTITUTE(SUBSTITUTE(M145," ",""),"0",""),"-",""))+LEN(SUBSTITUTE(SUBSTITUTE(SUBSTITUTE(N145," ",""),"0",""),"-",""))),1,0))+IF(UPPER(L146)="X",0,IF((LEN(SUBSTITUTE(SUBSTITUTE(SUBSTITUTE(J146," ",""),"0",""),"-",""))+LEN(SUBSTITUTE(SUBSTITUTE(SUBSTITUTE(K146," ",""),"0",""),"-","")))&gt;(LEN(SUBSTITUTE(SUBSTITUTE(SUBSTITUTE(M146," ",""),"0",""),"-",""))+LEN(SUBSTITUTE(SUBSTITUTE(SUBSTITUTE(N146," ",""),"0",""),"-",""))),1,0))</f>
      </c>
      <c r="K141" s="14" t="str">
        <f>LEN(SUBSTITUTE(SUBSTITUTE(SUBSTITUTE(J142," ",""),"0",""),"-",""))+LEN(SUBSTITUTE(SUBSTITUTE(SUBSTITUTE(K142," ",""),"0",""),"-",""))+LEN(SUBSTITUTE(SUBSTITUTE(SUBSTITUTE(J143," ",""),"0",""),"-",""))+LEN(SUBSTITUTE(SUBSTITUTE(SUBSTITUTE(K143," ",""),"0",""),"-",""))+LEN(SUBSTITUTE(SUBSTITUTE(SUBSTITUTE(J144," ",""),"0",""),"-",""))+LEN(SUBSTITUTE(SUBSTITUTE(SUBSTITUTE(K144," ",""),"0",""),"-",""))+LEN(SUBSTITUTE(SUBSTITUTE(SUBSTITUTE(J145," ",""),"0",""),"-",""))+LEN(SUBSTITUTE(SUBSTITUTE(SUBSTITUTE(K145," ",""),"0",""),"-",""))+LEN(SUBSTITUTE(SUBSTITUTE(SUBSTITUTE(J146," ",""),"0",""),"-",""))+LEN(SUBSTITUTE(SUBSTITUTE(SUBSTITUTE(K146," ",""),"0",""),"-",""))</f>
      </c>
      <c r="L141" s="18"/>
      <c r="M141" s="14" t="str">
        <f>LEN(SUBSTITUTE(SUBSTITUTE(SUBSTITUTE(M142," ",""),"0",""),"-",""))+LEN(SUBSTITUTE(SUBSTITUTE(SUBSTITUTE(N142," ",""),"0",""),"-",""))+LEN(SUBSTITUTE(SUBSTITUTE(SUBSTITUTE(M143," ",""),"0",""),"-",""))+LEN(SUBSTITUTE(SUBSTITUTE(SUBSTITUTE(N143," ",""),"0",""),"-",""))+LEN(SUBSTITUTE(SUBSTITUTE(SUBSTITUTE(M144," ",""),"0",""),"-",""))+LEN(SUBSTITUTE(SUBSTITUTE(SUBSTITUTE(N144," ",""),"0",""),"-",""))+LEN(SUBSTITUTE(SUBSTITUTE(SUBSTITUTE(M145," ",""),"0",""),"-",""))+LEN(SUBSTITUTE(SUBSTITUTE(SUBSTITUTE(N145," ",""),"0",""),"-",""))+LEN(SUBSTITUTE(SUBSTITUTE(SUBSTITUTE(M146," ",""),"0",""),"-",""))+LEN(SUBSTITUTE(SUBSTITUTE(SUBSTITUTE(N146," ",""),"0",""),"-",""))</f>
      </c>
      <c r="N141" s="14" t="str">
        <f>IF(UPPER(L142)="X",0,IF((LEN(SUBSTITUTE(SUBSTITUTE(SUBSTITUTE(M142," ",""),"0",""),"-",""))+LEN(SUBSTITUTE(SUBSTITUTE(SUBSTITUTE(N142," ",""),"0",""),"-","")))&gt;(LEN(SUBSTITUTE(SUBSTITUTE(SUBSTITUTE(J142," ",""),"0",""),"-",""))+LEN(SUBSTITUTE(SUBSTITUTE(SUBSTITUTE(K142," ",""),"0",""),"-",""))),1,0))+IF(UPPER(L143)="X",0,IF((LEN(SUBSTITUTE(SUBSTITUTE(SUBSTITUTE(M143," ",""),"0",""),"-",""))+LEN(SUBSTITUTE(SUBSTITUTE(SUBSTITUTE(N143," ",""),"0",""),"-","")))&gt;(LEN(SUBSTITUTE(SUBSTITUTE(SUBSTITUTE(J143," ",""),"0",""),"-",""))+LEN(SUBSTITUTE(SUBSTITUTE(SUBSTITUTE(K143," ",""),"0",""),"-",""))),1,0))+IF(UPPER(L144)="X",0,IF((LEN(SUBSTITUTE(SUBSTITUTE(SUBSTITUTE(M144," ",""),"0",""),"-",""))+LEN(SUBSTITUTE(SUBSTITUTE(SUBSTITUTE(N144," ",""),"0",""),"-","")))&gt;(LEN(SUBSTITUTE(SUBSTITUTE(SUBSTITUTE(J144," ",""),"0",""),"-",""))+LEN(SUBSTITUTE(SUBSTITUTE(SUBSTITUTE(K144," ",""),"0",""),"-",""))),1,0))+IF(UPPER(L145)="X",0,IF((LEN(SUBSTITUTE(SUBSTITUTE(SUBSTITUTE(M145," ",""),"0",""),"-",""))+LEN(SUBSTITUTE(SUBSTITUTE(SUBSTITUTE(N145," ",""),"0",""),"-","")))&gt;(LEN(SUBSTITUTE(SUBSTITUTE(SUBSTITUTE(J145," ",""),"0",""),"-",""))+LEN(SUBSTITUTE(SUBSTITUTE(SUBSTITUTE(K145," ",""),"0",""),"-",""))),1,0))+IF(UPPER(L146)="X",0,IF((LEN(SUBSTITUTE(SUBSTITUTE(SUBSTITUTE(M146," ",""),"0",""),"-",""))+LEN(SUBSTITUTE(SUBSTITUTE(SUBSTITUTE(N146," ",""),"0",""),"-","")))&gt;(LEN(SUBSTITUTE(SUBSTITUTE(SUBSTITUTE(J146," ",""),"0",""),"-",""))+LEN(SUBSTITUTE(SUBSTITUTE(SUBSTITUTE(K146," ",""),"0",""),"-",""))),1,0))</f>
      </c>
      <c r="O141" s="14" t="str">
        <f>data!$E$59&amp;" "&amp;data!$B$59</f>
      </c>
    </row>
    <row r="142">
      <c r="A142" s="14">
        <v>1</v>
      </c>
      <c r="B142" s="18"/>
      <c r="C142" s="18"/>
      <c r="D142" s="18"/>
      <c r="E142" s="18"/>
      <c r="F142" s="18"/>
      <c r="G142" s="14">
        <v>1</v>
      </c>
      <c r="I142" s="14">
        <v>1</v>
      </c>
      <c r="J142" s="18"/>
      <c r="K142" s="18"/>
      <c r="L142" s="18"/>
      <c r="M142" s="18"/>
      <c r="N142" s="18"/>
      <c r="O142" s="14">
        <v>1</v>
      </c>
    </row>
    <row r="143">
      <c r="A143" s="14">
        <v>2</v>
      </c>
      <c r="B143" s="18"/>
      <c r="C143" s="18"/>
      <c r="D143" s="18"/>
      <c r="E143" s="18"/>
      <c r="F143" s="18"/>
      <c r="G143" s="14">
        <v>2</v>
      </c>
      <c r="I143" s="14">
        <v>2</v>
      </c>
      <c r="J143" s="18"/>
      <c r="K143" s="18"/>
      <c r="L143" s="18"/>
      <c r="M143" s="18"/>
      <c r="N143" s="18"/>
      <c r="O143" s="14">
        <v>2</v>
      </c>
    </row>
    <row r="144">
      <c r="A144" s="14">
        <v>3</v>
      </c>
      <c r="B144" s="18"/>
      <c r="C144" s="18"/>
      <c r="D144" s="18"/>
      <c r="E144" s="18"/>
      <c r="F144" s="18"/>
      <c r="G144" s="14">
        <v>3</v>
      </c>
      <c r="I144" s="14">
        <v>3</v>
      </c>
      <c r="J144" s="18"/>
      <c r="K144" s="18"/>
      <c r="L144" s="18"/>
      <c r="M144" s="18"/>
      <c r="N144" s="18"/>
      <c r="O144" s="14">
        <v>3</v>
      </c>
    </row>
    <row r="145">
      <c r="A145" s="14">
        <v>4</v>
      </c>
      <c r="B145" s="18"/>
      <c r="C145" s="18"/>
      <c r="D145" s="18"/>
      <c r="E145" s="18"/>
      <c r="F145" s="18"/>
      <c r="G145" s="14">
        <v>4</v>
      </c>
      <c r="I145" s="14">
        <v>4</v>
      </c>
      <c r="J145" s="18"/>
      <c r="K145" s="18"/>
      <c r="L145" s="18"/>
      <c r="M145" s="18"/>
      <c r="N145" s="18"/>
      <c r="O145" s="14">
        <v>4</v>
      </c>
    </row>
    <row r="146">
      <c r="A146" s="14">
        <v>5</v>
      </c>
      <c r="B146" s="18"/>
      <c r="C146" s="18"/>
      <c r="D146" s="18"/>
      <c r="E146" s="18"/>
      <c r="F146" s="18"/>
      <c r="G146" s="14">
        <v>5</v>
      </c>
      <c r="I146" s="14">
        <v>5</v>
      </c>
      <c r="J146" s="18"/>
      <c r="K146" s="18"/>
      <c r="L146" s="18"/>
      <c r="M146" s="18"/>
      <c r="N146" s="18"/>
      <c r="O146" s="14">
        <v>5</v>
      </c>
    </row>
    <row r="148">
      <c r="A148" s="17" t="s">
        <v>331</v>
      </c>
      <c r="B148" s="14"/>
      <c r="C148" s="14"/>
      <c r="D148" s="14" t="s">
        <v>332</v>
      </c>
      <c r="E148" s="14"/>
      <c r="F148" s="14"/>
      <c r="G148" s="16" t="s">
        <v>333</v>
      </c>
      <c r="I148" s="17" t="s">
        <v>331</v>
      </c>
      <c r="J148" s="14"/>
      <c r="K148" s="14"/>
      <c r="L148" s="14" t="s">
        <v>332</v>
      </c>
      <c r="M148" s="14"/>
      <c r="N148" s="14"/>
      <c r="O148" s="16" t="s">
        <v>333</v>
      </c>
    </row>
    <row r="149">
      <c r="A149" s="14" t="str">
        <f>data!$E$14&amp;" "&amp;data!$B$14</f>
      </c>
      <c r="B149" s="14" t="str">
        <f>IF(UPPER(D150)="X",0,IF((LEN(SUBSTITUTE(SUBSTITUTE(SUBSTITUTE(B150," ",""),"0",""),"-",""))+LEN(SUBSTITUTE(SUBSTITUTE(SUBSTITUTE(C150," ",""),"0",""),"-","")))&gt;(LEN(SUBSTITUTE(SUBSTITUTE(SUBSTITUTE(E150," ",""),"0",""),"-",""))+LEN(SUBSTITUTE(SUBSTITUTE(SUBSTITUTE(F150," ",""),"0",""),"-",""))),1,0))+IF(UPPER(D151)="X",0,IF((LEN(SUBSTITUTE(SUBSTITUTE(SUBSTITUTE(B151," ",""),"0",""),"-",""))+LEN(SUBSTITUTE(SUBSTITUTE(SUBSTITUTE(C151," ",""),"0",""),"-","")))&gt;(LEN(SUBSTITUTE(SUBSTITUTE(SUBSTITUTE(E151," ",""),"0",""),"-",""))+LEN(SUBSTITUTE(SUBSTITUTE(SUBSTITUTE(F151," ",""),"0",""),"-",""))),1,0))+IF(UPPER(D152)="X",0,IF((LEN(SUBSTITUTE(SUBSTITUTE(SUBSTITUTE(B152," ",""),"0",""),"-",""))+LEN(SUBSTITUTE(SUBSTITUTE(SUBSTITUTE(C152," ",""),"0",""),"-","")))&gt;(LEN(SUBSTITUTE(SUBSTITUTE(SUBSTITUTE(E152," ",""),"0",""),"-",""))+LEN(SUBSTITUTE(SUBSTITUTE(SUBSTITUTE(F152," ",""),"0",""),"-",""))),1,0))+IF(UPPER(D153)="X",0,IF((LEN(SUBSTITUTE(SUBSTITUTE(SUBSTITUTE(B153," ",""),"0",""),"-",""))+LEN(SUBSTITUTE(SUBSTITUTE(SUBSTITUTE(C153," ",""),"0",""),"-","")))&gt;(LEN(SUBSTITUTE(SUBSTITUTE(SUBSTITUTE(E153," ",""),"0",""),"-",""))+LEN(SUBSTITUTE(SUBSTITUTE(SUBSTITUTE(F153," ",""),"0",""),"-",""))),1,0))+IF(UPPER(D154)="X",0,IF((LEN(SUBSTITUTE(SUBSTITUTE(SUBSTITUTE(B154," ",""),"0",""),"-",""))+LEN(SUBSTITUTE(SUBSTITUTE(SUBSTITUTE(C154," ",""),"0",""),"-","")))&gt;(LEN(SUBSTITUTE(SUBSTITUTE(SUBSTITUTE(E154," ",""),"0",""),"-",""))+LEN(SUBSTITUTE(SUBSTITUTE(SUBSTITUTE(F154," ",""),"0",""),"-",""))),1,0))</f>
      </c>
      <c r="C149" s="14" t="str">
        <f>LEN(SUBSTITUTE(SUBSTITUTE(SUBSTITUTE(B150," ",""),"0",""),"-",""))+LEN(SUBSTITUTE(SUBSTITUTE(SUBSTITUTE(C150," ",""),"0",""),"-",""))+LEN(SUBSTITUTE(SUBSTITUTE(SUBSTITUTE(B151," ",""),"0",""),"-",""))+LEN(SUBSTITUTE(SUBSTITUTE(SUBSTITUTE(C151," ",""),"0",""),"-",""))+LEN(SUBSTITUTE(SUBSTITUTE(SUBSTITUTE(B152," ",""),"0",""),"-",""))+LEN(SUBSTITUTE(SUBSTITUTE(SUBSTITUTE(C152," ",""),"0",""),"-",""))+LEN(SUBSTITUTE(SUBSTITUTE(SUBSTITUTE(B153," ",""),"0",""),"-",""))+LEN(SUBSTITUTE(SUBSTITUTE(SUBSTITUTE(C153," ",""),"0",""),"-",""))+LEN(SUBSTITUTE(SUBSTITUTE(SUBSTITUTE(B154," ",""),"0",""),"-",""))+LEN(SUBSTITUTE(SUBSTITUTE(SUBSTITUTE(C154," ",""),"0",""),"-",""))</f>
      </c>
      <c r="D149" s="18"/>
      <c r="E149" s="14" t="str">
        <f>LEN(SUBSTITUTE(SUBSTITUTE(SUBSTITUTE(E150," ",""),"0",""),"-",""))+LEN(SUBSTITUTE(SUBSTITUTE(SUBSTITUTE(F150," ",""),"0",""),"-",""))+LEN(SUBSTITUTE(SUBSTITUTE(SUBSTITUTE(E151," ",""),"0",""),"-",""))+LEN(SUBSTITUTE(SUBSTITUTE(SUBSTITUTE(F151," ",""),"0",""),"-",""))+LEN(SUBSTITUTE(SUBSTITUTE(SUBSTITUTE(E152," ",""),"0",""),"-",""))+LEN(SUBSTITUTE(SUBSTITUTE(SUBSTITUTE(F152," ",""),"0",""),"-",""))+LEN(SUBSTITUTE(SUBSTITUTE(SUBSTITUTE(E153," ",""),"0",""),"-",""))+LEN(SUBSTITUTE(SUBSTITUTE(SUBSTITUTE(F153," ",""),"0",""),"-",""))+LEN(SUBSTITUTE(SUBSTITUTE(SUBSTITUTE(E154," ",""),"0",""),"-",""))+LEN(SUBSTITUTE(SUBSTITUTE(SUBSTITUTE(F154," ",""),"0",""),"-",""))</f>
      </c>
      <c r="F149" s="14" t="str">
        <f>IF(UPPER(D150)="X",0,IF((LEN(SUBSTITUTE(SUBSTITUTE(SUBSTITUTE(E150," ",""),"0",""),"-",""))+LEN(SUBSTITUTE(SUBSTITUTE(SUBSTITUTE(F150," ",""),"0",""),"-","")))&gt;(LEN(SUBSTITUTE(SUBSTITUTE(SUBSTITUTE(B150," ",""),"0",""),"-",""))+LEN(SUBSTITUTE(SUBSTITUTE(SUBSTITUTE(C150," ",""),"0",""),"-",""))),1,0))+IF(UPPER(D151)="X",0,IF((LEN(SUBSTITUTE(SUBSTITUTE(SUBSTITUTE(E151," ",""),"0",""),"-",""))+LEN(SUBSTITUTE(SUBSTITUTE(SUBSTITUTE(F151," ",""),"0",""),"-","")))&gt;(LEN(SUBSTITUTE(SUBSTITUTE(SUBSTITUTE(B151," ",""),"0",""),"-",""))+LEN(SUBSTITUTE(SUBSTITUTE(SUBSTITUTE(C151," ",""),"0",""),"-",""))),1,0))+IF(UPPER(D152)="X",0,IF((LEN(SUBSTITUTE(SUBSTITUTE(SUBSTITUTE(E152," ",""),"0",""),"-",""))+LEN(SUBSTITUTE(SUBSTITUTE(SUBSTITUTE(F152," ",""),"0",""),"-","")))&gt;(LEN(SUBSTITUTE(SUBSTITUTE(SUBSTITUTE(B152," ",""),"0",""),"-",""))+LEN(SUBSTITUTE(SUBSTITUTE(SUBSTITUTE(C152," ",""),"0",""),"-",""))),1,0))+IF(UPPER(D153)="X",0,IF((LEN(SUBSTITUTE(SUBSTITUTE(SUBSTITUTE(E153," ",""),"0",""),"-",""))+LEN(SUBSTITUTE(SUBSTITUTE(SUBSTITUTE(F153," ",""),"0",""),"-","")))&gt;(LEN(SUBSTITUTE(SUBSTITUTE(SUBSTITUTE(B153," ",""),"0",""),"-",""))+LEN(SUBSTITUTE(SUBSTITUTE(SUBSTITUTE(C153," ",""),"0",""),"-",""))),1,0))+IF(UPPER(D154)="X",0,IF((LEN(SUBSTITUTE(SUBSTITUTE(SUBSTITUTE(E154," ",""),"0",""),"-",""))+LEN(SUBSTITUTE(SUBSTITUTE(SUBSTITUTE(F154," ",""),"0",""),"-","")))&gt;(LEN(SUBSTITUTE(SUBSTITUTE(SUBSTITUTE(B154," ",""),"0",""),"-",""))+LEN(SUBSTITUTE(SUBSTITUTE(SUBSTITUTE(C154," ",""),"0",""),"-",""))),1,0))</f>
      </c>
      <c r="G149" s="14" t="str">
        <f>data!$E$13&amp;" "&amp;data!$B$13</f>
      </c>
      <c r="I149" s="14" t="str">
        <f>data!$E$61&amp;" "&amp;data!$B$61</f>
      </c>
      <c r="J149" s="14" t="str">
        <f>IF(UPPER(L150)="X",0,IF((LEN(SUBSTITUTE(SUBSTITUTE(SUBSTITUTE(J150," ",""),"0",""),"-",""))+LEN(SUBSTITUTE(SUBSTITUTE(SUBSTITUTE(K150," ",""),"0",""),"-","")))&gt;(LEN(SUBSTITUTE(SUBSTITUTE(SUBSTITUTE(M150," ",""),"0",""),"-",""))+LEN(SUBSTITUTE(SUBSTITUTE(SUBSTITUTE(N150," ",""),"0",""),"-",""))),1,0))+IF(UPPER(L151)="X",0,IF((LEN(SUBSTITUTE(SUBSTITUTE(SUBSTITUTE(J151," ",""),"0",""),"-",""))+LEN(SUBSTITUTE(SUBSTITUTE(SUBSTITUTE(K151," ",""),"0",""),"-","")))&gt;(LEN(SUBSTITUTE(SUBSTITUTE(SUBSTITUTE(M151," ",""),"0",""),"-",""))+LEN(SUBSTITUTE(SUBSTITUTE(SUBSTITUTE(N151," ",""),"0",""),"-",""))),1,0))+IF(UPPER(L152)="X",0,IF((LEN(SUBSTITUTE(SUBSTITUTE(SUBSTITUTE(J152," ",""),"0",""),"-",""))+LEN(SUBSTITUTE(SUBSTITUTE(SUBSTITUTE(K152," ",""),"0",""),"-","")))&gt;(LEN(SUBSTITUTE(SUBSTITUTE(SUBSTITUTE(M152," ",""),"0",""),"-",""))+LEN(SUBSTITUTE(SUBSTITUTE(SUBSTITUTE(N152," ",""),"0",""),"-",""))),1,0))+IF(UPPER(L153)="X",0,IF((LEN(SUBSTITUTE(SUBSTITUTE(SUBSTITUTE(J153," ",""),"0",""),"-",""))+LEN(SUBSTITUTE(SUBSTITUTE(SUBSTITUTE(K153," ",""),"0",""),"-","")))&gt;(LEN(SUBSTITUTE(SUBSTITUTE(SUBSTITUTE(M153," ",""),"0",""),"-",""))+LEN(SUBSTITUTE(SUBSTITUTE(SUBSTITUTE(N153," ",""),"0",""),"-",""))),1,0))+IF(UPPER(L154)="X",0,IF((LEN(SUBSTITUTE(SUBSTITUTE(SUBSTITUTE(J154," ",""),"0",""),"-",""))+LEN(SUBSTITUTE(SUBSTITUTE(SUBSTITUTE(K154," ",""),"0",""),"-","")))&gt;(LEN(SUBSTITUTE(SUBSTITUTE(SUBSTITUTE(M154," ",""),"0",""),"-",""))+LEN(SUBSTITUTE(SUBSTITUTE(SUBSTITUTE(N154," ",""),"0",""),"-",""))),1,0))</f>
      </c>
      <c r="K149" s="14" t="str">
        <f>LEN(SUBSTITUTE(SUBSTITUTE(SUBSTITUTE(J150," ",""),"0",""),"-",""))+LEN(SUBSTITUTE(SUBSTITUTE(SUBSTITUTE(K150," ",""),"0",""),"-",""))+LEN(SUBSTITUTE(SUBSTITUTE(SUBSTITUTE(J151," ",""),"0",""),"-",""))+LEN(SUBSTITUTE(SUBSTITUTE(SUBSTITUTE(K151," ",""),"0",""),"-",""))+LEN(SUBSTITUTE(SUBSTITUTE(SUBSTITUTE(J152," ",""),"0",""),"-",""))+LEN(SUBSTITUTE(SUBSTITUTE(SUBSTITUTE(K152," ",""),"0",""),"-",""))+LEN(SUBSTITUTE(SUBSTITUTE(SUBSTITUTE(J153," ",""),"0",""),"-",""))+LEN(SUBSTITUTE(SUBSTITUTE(SUBSTITUTE(K153," ",""),"0",""),"-",""))+LEN(SUBSTITUTE(SUBSTITUTE(SUBSTITUTE(J154," ",""),"0",""),"-",""))+LEN(SUBSTITUTE(SUBSTITUTE(SUBSTITUTE(K154," ",""),"0",""),"-",""))</f>
      </c>
      <c r="L149" s="18"/>
      <c r="M149" s="14" t="str">
        <f>LEN(SUBSTITUTE(SUBSTITUTE(SUBSTITUTE(M150," ",""),"0",""),"-",""))+LEN(SUBSTITUTE(SUBSTITUTE(SUBSTITUTE(N150," ",""),"0",""),"-",""))+LEN(SUBSTITUTE(SUBSTITUTE(SUBSTITUTE(M151," ",""),"0",""),"-",""))+LEN(SUBSTITUTE(SUBSTITUTE(SUBSTITUTE(N151," ",""),"0",""),"-",""))+LEN(SUBSTITUTE(SUBSTITUTE(SUBSTITUTE(M152," ",""),"0",""),"-",""))+LEN(SUBSTITUTE(SUBSTITUTE(SUBSTITUTE(N152," ",""),"0",""),"-",""))+LEN(SUBSTITUTE(SUBSTITUTE(SUBSTITUTE(M153," ",""),"0",""),"-",""))+LEN(SUBSTITUTE(SUBSTITUTE(SUBSTITUTE(N153," ",""),"0",""),"-",""))+LEN(SUBSTITUTE(SUBSTITUTE(SUBSTITUTE(M154," ",""),"0",""),"-",""))+LEN(SUBSTITUTE(SUBSTITUTE(SUBSTITUTE(N154," ",""),"0",""),"-",""))</f>
      </c>
      <c r="N149" s="14" t="str">
        <f>IF(UPPER(L150)="X",0,IF((LEN(SUBSTITUTE(SUBSTITUTE(SUBSTITUTE(M150," ",""),"0",""),"-",""))+LEN(SUBSTITUTE(SUBSTITUTE(SUBSTITUTE(N150," ",""),"0",""),"-","")))&gt;(LEN(SUBSTITUTE(SUBSTITUTE(SUBSTITUTE(J150," ",""),"0",""),"-",""))+LEN(SUBSTITUTE(SUBSTITUTE(SUBSTITUTE(K150," ",""),"0",""),"-",""))),1,0))+IF(UPPER(L151)="X",0,IF((LEN(SUBSTITUTE(SUBSTITUTE(SUBSTITUTE(M151," ",""),"0",""),"-",""))+LEN(SUBSTITUTE(SUBSTITUTE(SUBSTITUTE(N151," ",""),"0",""),"-","")))&gt;(LEN(SUBSTITUTE(SUBSTITUTE(SUBSTITUTE(J151," ",""),"0",""),"-",""))+LEN(SUBSTITUTE(SUBSTITUTE(SUBSTITUTE(K151," ",""),"0",""),"-",""))),1,0))+IF(UPPER(L152)="X",0,IF((LEN(SUBSTITUTE(SUBSTITUTE(SUBSTITUTE(M152," ",""),"0",""),"-",""))+LEN(SUBSTITUTE(SUBSTITUTE(SUBSTITUTE(N152," ",""),"0",""),"-","")))&gt;(LEN(SUBSTITUTE(SUBSTITUTE(SUBSTITUTE(J152," ",""),"0",""),"-",""))+LEN(SUBSTITUTE(SUBSTITUTE(SUBSTITUTE(K152," ",""),"0",""),"-",""))),1,0))+IF(UPPER(L153)="X",0,IF((LEN(SUBSTITUTE(SUBSTITUTE(SUBSTITUTE(M153," ",""),"0",""),"-",""))+LEN(SUBSTITUTE(SUBSTITUTE(SUBSTITUTE(N153," ",""),"0",""),"-","")))&gt;(LEN(SUBSTITUTE(SUBSTITUTE(SUBSTITUTE(J153," ",""),"0",""),"-",""))+LEN(SUBSTITUTE(SUBSTITUTE(SUBSTITUTE(K153," ",""),"0",""),"-",""))),1,0))+IF(UPPER(L154)="X",0,IF((LEN(SUBSTITUTE(SUBSTITUTE(SUBSTITUTE(M154," ",""),"0",""),"-",""))+LEN(SUBSTITUTE(SUBSTITUTE(SUBSTITUTE(N154," ",""),"0",""),"-","")))&gt;(LEN(SUBSTITUTE(SUBSTITUTE(SUBSTITUTE(J154," ",""),"0",""),"-",""))+LEN(SUBSTITUTE(SUBSTITUTE(SUBSTITUTE(K154," ",""),"0",""),"-",""))),1,0))</f>
      </c>
      <c r="O149" s="14" t="str">
        <f>data!$E$60&amp;" "&amp;data!$B$60</f>
      </c>
    </row>
    <row r="150">
      <c r="A150" s="14">
        <v>1</v>
      </c>
      <c r="B150" s="18"/>
      <c r="C150" s="18"/>
      <c r="D150" s="18"/>
      <c r="E150" s="18"/>
      <c r="F150" s="18"/>
      <c r="G150" s="14">
        <v>1</v>
      </c>
      <c r="I150" s="14">
        <v>1</v>
      </c>
      <c r="J150" s="18"/>
      <c r="K150" s="18"/>
      <c r="L150" s="18"/>
      <c r="M150" s="18"/>
      <c r="N150" s="18"/>
      <c r="O150" s="14">
        <v>1</v>
      </c>
    </row>
    <row r="151">
      <c r="A151" s="14">
        <v>2</v>
      </c>
      <c r="B151" s="18"/>
      <c r="C151" s="18"/>
      <c r="D151" s="18"/>
      <c r="E151" s="18"/>
      <c r="F151" s="18"/>
      <c r="G151" s="14">
        <v>2</v>
      </c>
      <c r="I151" s="14">
        <v>2</v>
      </c>
      <c r="J151" s="18"/>
      <c r="K151" s="18"/>
      <c r="L151" s="18"/>
      <c r="M151" s="18"/>
      <c r="N151" s="18"/>
      <c r="O151" s="14">
        <v>2</v>
      </c>
    </row>
    <row r="152">
      <c r="A152" s="14">
        <v>3</v>
      </c>
      <c r="B152" s="18"/>
      <c r="C152" s="18"/>
      <c r="D152" s="18"/>
      <c r="E152" s="18"/>
      <c r="F152" s="18"/>
      <c r="G152" s="14">
        <v>3</v>
      </c>
      <c r="I152" s="14">
        <v>3</v>
      </c>
      <c r="J152" s="18"/>
      <c r="K152" s="18"/>
      <c r="L152" s="18"/>
      <c r="M152" s="18"/>
      <c r="N152" s="18"/>
      <c r="O152" s="14">
        <v>3</v>
      </c>
    </row>
    <row r="153">
      <c r="A153" s="14">
        <v>4</v>
      </c>
      <c r="B153" s="18"/>
      <c r="C153" s="18"/>
      <c r="D153" s="18"/>
      <c r="E153" s="18"/>
      <c r="F153" s="18"/>
      <c r="G153" s="14">
        <v>4</v>
      </c>
      <c r="I153" s="14">
        <v>4</v>
      </c>
      <c r="J153" s="18"/>
      <c r="K153" s="18"/>
      <c r="L153" s="18"/>
      <c r="M153" s="18"/>
      <c r="N153" s="18"/>
      <c r="O153" s="14">
        <v>4</v>
      </c>
    </row>
    <row r="154">
      <c r="A154" s="14">
        <v>5</v>
      </c>
      <c r="B154" s="18"/>
      <c r="C154" s="18"/>
      <c r="D154" s="18"/>
      <c r="E154" s="18"/>
      <c r="F154" s="18"/>
      <c r="G154" s="14">
        <v>5</v>
      </c>
      <c r="I154" s="14">
        <v>5</v>
      </c>
      <c r="J154" s="18"/>
      <c r="K154" s="18"/>
      <c r="L154" s="18"/>
      <c r="M154" s="18"/>
      <c r="N154" s="18"/>
      <c r="O154" s="14">
        <v>5</v>
      </c>
    </row>
    <row r="157">
      <c r="A157" s="13" t="s">
        <v>334</v>
      </c>
      <c r="B157" s="13" t="s">
        <v>335</v>
      </c>
      <c r="C157" s="13" t="s">
        <v>336</v>
      </c>
      <c r="D157" s="13" t="s">
        <v>337</v>
      </c>
      <c r="E157" s="13"/>
      <c r="F157" s="13"/>
      <c r="G157" s="13" t="s">
        <v>338</v>
      </c>
      <c r="I157" s="13" t="s">
        <v>334</v>
      </c>
      <c r="J157" s="13" t="s">
        <v>335</v>
      </c>
      <c r="K157" s="13" t="s">
        <v>336</v>
      </c>
      <c r="L157" s="13" t="s">
        <v>337</v>
      </c>
      <c r="M157" s="13"/>
      <c r="N157" s="13"/>
      <c r="O157" s="13" t="s">
        <v>338</v>
      </c>
    </row>
    <row r="158">
      <c r="A158" s="14" t="str">
        <f>data!$E$12&amp;" "&amp;data!$B$12</f>
      </c>
      <c r="B158" s="14" t="str">
        <f>IF(OR(COUNTA(B134:C138,E134:F138)&gt;0,D134="X",D134="x",D135="X",D135="x",D136="X",D136="x",D137="X",D137="x",D138="X",D138="x",OR(D133="X",D133="x")),IF(OR(OR(D133="X",D133="x"),AND(B133=F133,C133=E133)),0,IF(OR(F133&gt;B133,AND(F133=B133,E133&gt;C133)),1,0)),0)+IF(OR(COUNTA(B142:C146,E142:F146)&gt;0,D142="X",D142="x",D143="X",D143="x",D144="X",D144="x",D145="X",D145="x",D146="X",D146="x",OR(D141="X",D141="x")),IF(OR(OR(D141="X",D141="x"),AND(B141=F141,C141=E141)),0,IF(OR(F141&gt;B141,AND(F141=B141,E141&gt;C141)),1,0)),0)</f>
      </c>
      <c r="C158" s="14" t="str">
        <f>IF(OR(COUNTA(B134:C138,E134:F138)&gt;0,D134="X",D134="x",D135="X",D135="x",D136="X",D136="x",D137="X",D137="x",D138="X",D138="x",OR(D133="X",D133="x")),IF(OR(OR(D133="X",D133="x"),AND(B133=F133,C133=E133)),0,IF(OR(F133&lt;B133,AND(F133=B133,E133&lt;C133)),1,0)),0)+IF(OR(COUNTA(B142:C146,E142:F146)&gt;0,D142="X",D142="x",D143="X",D143="x",D144="X",D144="x",D145="X",D145="x",D146="X",D146="x",OR(D141="X",D141="x")),IF(OR(OR(D141="X",D141="x"),AND(B141=F141,C141=E141)),0,IF(OR(F141&lt;B141,AND(F141=B141,E141&lt;C141)),1,0)),0)</f>
      </c>
      <c r="D158" s="14" t="str">
        <f>IF(OR(COUNTA(B134:C138,E134:F138)&gt;0,D134="X",D134="x",D135="X",D135="x",D136="X",D136="x",D137="X",D137="x",D138="X",D138="x",OR(D133="X",D133="x")),IF(OR(OR(D133="X",D133="x"),AND(B133=F133,C133=E133)),1,0),0)+IF(OR(COUNTA(B142:C146,E142:F146)&gt;0,D142="X",D142="x",D143="X",D143="x",D144="X",D144="x",D145="X",D145="x",D146="X",D146="x",OR(D141="X",D141="x")),IF(OR(OR(D141="X",D141="x"),AND(B141=F141,C141=E141)),1,0),0)</f>
      </c>
      <c r="G158" s="18" t="str">
        <f>RANK(U158,$U$158:$U$160)+COUNTIF($U$157:U157,U158)</f>
      </c>
      <c r="I158" s="14" t="str">
        <f>data!$E$59&amp;" "&amp;data!$B$59</f>
      </c>
      <c r="J158" s="14" t="str">
        <f>IF(OR(COUNTA(J134:K138,M134:N138)&gt;0,L134="X",L134="x",L135="X",L135="x",L136="X",L136="x",L137="X",L137="x",L138="X",L138="x",OR(L133="X",L133="x")),IF(OR(OR(L133="X",L133="x"),AND(J133=N133,K133=M133)),0,IF(OR(N133&gt;J133,AND(N133=J133,M133&gt;K133)),1,0)),0)+IF(OR(COUNTA(J142:K146,M142:N146)&gt;0,L142="X",L142="x",L143="X",L143="x",L144="X",L144="x",L145="X",L145="x",L146="X",L146="x",OR(L141="X",L141="x")),IF(OR(OR(L141="X",L141="x"),AND(J141=N141,K141=M141)),0,IF(OR(N141&gt;J141,AND(N141=J141,M141&gt;K141)),1,0)),0)</f>
      </c>
      <c r="K158" s="14" t="str">
        <f>IF(OR(COUNTA(J134:K138,M134:N138)&gt;0,L134="X",L134="x",L135="X",L135="x",L136="X",L136="x",L137="X",L137="x",L138="X",L138="x",OR(L133="X",L133="x")),IF(OR(OR(L133="X",L133="x"),AND(J133=N133,K133=M133)),0,IF(OR(N133&lt;J133,AND(N133=J133,M133&lt;K133)),1,0)),0)+IF(OR(COUNTA(J142:K146,M142:N146)&gt;0,L142="X",L142="x",L143="X",L143="x",L144="X",L144="x",L145="X",L145="x",L146="X",L146="x",OR(L141="X",L141="x")),IF(OR(OR(L141="X",L141="x"),AND(J141=N141,K141=M141)),0,IF(OR(N141&lt;J141,AND(N141=J141,M141&lt;K141)),1,0)),0)</f>
      </c>
      <c r="L158" s="14" t="str">
        <f>IF(OR(COUNTA(J134:K138,M134:N138)&gt;0,L134="X",L134="x",L135="X",L135="x",L136="X",L136="x",L137="X",L137="x",L138="X",L138="x",OR(L133="X",L133="x")),IF(OR(OR(L133="X",L133="x"),AND(J133=N133,K133=M133)),1,0),0)+IF(OR(COUNTA(J142:K146,M142:N146)&gt;0,L142="X",L142="x",L143="X",L143="x",L144="X",L144="x",L145="X",L145="x",L146="X",L146="x",OR(L141="X",L141="x")),IF(OR(OR(L141="X",L141="x"),AND(J141=N141,K141=M141)),1,0),0)</f>
      </c>
      <c r="O158" s="18" t="str">
        <f>RANK(AC158,$AC$158:$AC$160)+COUNTIF($AC$157:AC157,AC158)</f>
      </c>
      <c r="U158" t="str">
        <f>(B158*1000000000)-(C158*10000000)+(D158*100000)+(B163*1000)-(C163*100)+(D163*10)+(E163*1)-(F163*0.01)</f>
      </c>
      <c r="AC158" t="str">
        <f>(J158*1000000000)-(K158*10000000)+(L158*100000)+(J163*1000)-(K163*100)+(L163*10)+(M163*1)-(N163*0.01)</f>
      </c>
    </row>
    <row r="159">
      <c r="A159" s="14" t="str">
        <f>data!$E$13&amp;" "&amp;data!$B$13</f>
      </c>
      <c r="B159" s="14" t="str">
        <f>IF(OR(COUNTA(B134:C138,E134:F138)&gt;0,D134="X",D134="x",D135="X",D135="x",D136="X",D136="x",D137="X",D137="x",D138="X",D138="x",OR(D133="X",D133="x")),IF(OR(OR(D133="X",D133="x"),AND(B133=F133,C133=E133)),0,IF(OR(B133&gt;F133,AND(B133=F133,C133&gt;E133)),1,0)),0)+IF(OR(COUNTA(B150:C154,E150:F154)&gt;0,D150="X",D150="x",D151="X",D151="x",D152="X",D152="x",D153="X",D153="x",D154="X",D154="x",OR(D149="X",D149="x")),IF(OR(OR(D149="X",D149="x"),AND(B149=F149,C149=E149)),0,IF(OR(F149&gt;B149,AND(F149=B149,E149&gt;C149)),1,0)),0)</f>
      </c>
      <c r="C159" s="14" t="str">
        <f>IF(OR(COUNTA(B134:C138,E134:F138)&gt;0,D134="X",D134="x",D135="X",D135="x",D136="X",D136="x",D137="X",D137="x",D138="X",D138="x",OR(D133="X",D133="x")),IF(OR(OR(D133="X",D133="x"),AND(B133=F133,C133=E133)),0,IF(OR(B133&lt;F133,AND(B133=F133,C133&lt;E133)),1,0)),0)+IF(OR(COUNTA(B150:C154,E150:F154)&gt;0,D150="X",D150="x",D151="X",D151="x",D152="X",D152="x",D153="X",D153="x",D154="X",D154="x",OR(D149="X",D149="x")),IF(OR(OR(D149="X",D149="x"),AND(B149=F149,C149=E149)),0,IF(OR(F149&lt;B149,AND(F149=B149,E149&lt;C149)),1,0)),0)</f>
      </c>
      <c r="D159" s="14" t="str">
        <f>IF(OR(COUNTA(B134:C138,E134:F138)&gt;0,D134="X",D134="x",D135="X",D135="x",D136="X",D136="x",D137="X",D137="x",D138="X",D138="x",OR(D133="X",D133="x")),IF(OR(OR(D133="X",D133="x"),AND(B133=F133,C133=E133)),1,0),0)+IF(OR(COUNTA(B150:C154,E150:F154)&gt;0,D150="X",D150="x",D151="X",D151="x",D152="X",D152="x",D153="X",D153="x",D154="X",D154="x",OR(D149="X",D149="x")),IF(OR(OR(D149="X",D149="x"),AND(B149=F149,C149=E149)),1,0),0)</f>
      </c>
      <c r="G159" s="18" t="str">
        <f>RANK(U159,$U$158:$U$160)+COUNTIF($U$157:U158,U159)</f>
      </c>
      <c r="I159" s="14" t="str">
        <f>data!$E$60&amp;" "&amp;data!$B$60</f>
      </c>
      <c r="J159" s="14" t="str">
        <f>IF(OR(COUNTA(J134:K138,M134:N138)&gt;0,L134="X",L134="x",L135="X",L135="x",L136="X",L136="x",L137="X",L137="x",L138="X",L138="x",OR(L133="X",L133="x")),IF(OR(OR(L133="X",L133="x"),AND(J133=N133,K133=M133)),0,IF(OR(J133&gt;N133,AND(J133=N133,K133&gt;M133)),1,0)),0)+IF(OR(COUNTA(J150:K154,M150:N154)&gt;0,L150="X",L150="x",L151="X",L151="x",L152="X",L152="x",L153="X",L153="x",L154="X",L154="x",OR(L149="X",L149="x")),IF(OR(OR(L149="X",L149="x"),AND(J149=N149,K149=M149)),0,IF(OR(N149&gt;J149,AND(N149=J149,M149&gt;K149)),1,0)),0)</f>
      </c>
      <c r="K159" s="14" t="str">
        <f>IF(OR(COUNTA(J134:K138,M134:N138)&gt;0,L134="X",L134="x",L135="X",L135="x",L136="X",L136="x",L137="X",L137="x",L138="X",L138="x",OR(L133="X",L133="x")),IF(OR(OR(L133="X",L133="x"),AND(J133=N133,K133=M133)),0,IF(OR(J133&lt;N133,AND(J133=N133,K133&lt;M133)),1,0)),0)+IF(OR(COUNTA(J150:K154,M150:N154)&gt;0,L150="X",L150="x",L151="X",L151="x",L152="X",L152="x",L153="X",L153="x",L154="X",L154="x",OR(L149="X",L149="x")),IF(OR(OR(L149="X",L149="x"),AND(J149=N149,K149=M149)),0,IF(OR(N149&lt;J149,AND(N149=J149,M149&lt;K149)),1,0)),0)</f>
      </c>
      <c r="L159" s="14" t="str">
        <f>IF(OR(COUNTA(J134:K138,M134:N138)&gt;0,L134="X",L134="x",L135="X",L135="x",L136="X",L136="x",L137="X",L137="x",L138="X",L138="x",OR(L133="X",L133="x")),IF(OR(OR(L133="X",L133="x"),AND(J133=N133,K133=M133)),1,0),0)+IF(OR(COUNTA(J150:K154,M150:N154)&gt;0,L150="X",L150="x",L151="X",L151="x",L152="X",L152="x",L153="X",L153="x",L154="X",L154="x",OR(L149="X",L149="x")),IF(OR(OR(L149="X",L149="x"),AND(J149=N149,K149=M149)),1,0),0)</f>
      </c>
      <c r="O159" s="18" t="str">
        <f>RANK(AC159,$AC$158:$AC$160)+COUNTIF($AC$157:AC158,AC159)</f>
      </c>
      <c r="U159" t="str">
        <f>(B159*1000000000)-(C159*10000000)+(D159*100000)+(B164*1000)-(C164*100)+(D164*10)+(E164*1)-(F164*0.01)</f>
      </c>
      <c r="AC159" t="str">
        <f>(J159*1000000000)-(K159*10000000)+(L159*100000)+(J164*1000)-(K164*100)+(L164*10)+(M164*1)-(N164*0.01)</f>
      </c>
    </row>
    <row r="160">
      <c r="A160" s="14" t="str">
        <f>data!$E$14&amp;" "&amp;data!$B$14</f>
      </c>
      <c r="B160" s="14" t="str">
        <f>IF(OR(COUNTA(B142:C146,E142:F146)&gt;0,D142="X",D142="x",D143="X",D143="x",D144="X",D144="x",D145="X",D145="x",D146="X",D146="x",OR(D141="X",D141="x")),IF(OR(OR(D141="X",D141="x"),AND(B141=F141,C141=E141)),0,IF(OR(B141&gt;F141,AND(B141=F141,C141&gt;E141)),1,0)),0)+IF(OR(COUNTA(B150:C154,E150:F154)&gt;0,D150="X",D150="x",D151="X",D151="x",D152="X",D152="x",D153="X",D153="x",D154="X",D154="x",OR(D149="X",D149="x")),IF(OR(OR(D149="X",D149="x"),AND(B149=F149,C149=E149)),0,IF(OR(B149&gt;F149,AND(B149=F149,C149&gt;E149)),1,0)),0)</f>
      </c>
      <c r="C160" s="14" t="str">
        <f>IF(OR(COUNTA(B142:C146,E142:F146)&gt;0,D142="X",D142="x",D143="X",D143="x",D144="X",D144="x",D145="X",D145="x",D146="X",D146="x",OR(D141="X",D141="x")),IF(OR(OR(D141="X",D141="x"),AND(B141=F141,C141=E141)),0,IF(OR(B141&lt;F141,AND(B141=F141,C141&lt;E141)),1,0)),0)+IF(OR(COUNTA(B150:C154,E150:F154)&gt;0,D150="X",D150="x",D151="X",D151="x",D152="X",D152="x",D153="X",D153="x",D154="X",D154="x",OR(D149="X",D149="x")),IF(OR(OR(D149="X",D149="x"),AND(B149=F149,C149=E149)),0,IF(OR(B149&lt;F149,AND(B149=F149,C149&lt;E149)),1,0)),0)</f>
      </c>
      <c r="D160" s="14" t="str">
        <f>IF(OR(COUNTA(B142:C146,E142:F146)&gt;0,D142="X",D142="x",D143="X",D143="x",D144="X",D144="x",D145="X",D145="x",D146="X",D146="x",OR(D141="X",D141="x")),IF(OR(OR(D141="X",D141="x"),AND(B141=F141,C141=E141)),1,0),0)+IF(OR(COUNTA(B150:C154,E150:F154)&gt;0,D150="X",D150="x",D151="X",D151="x",D152="X",D152="x",D153="X",D153="x",D154="X",D154="x",OR(D149="X",D149="x")),IF(OR(OR(D149="X",D149="x"),AND(B149=F149,C149=E149)),1,0),0)</f>
      </c>
      <c r="G160" s="18" t="str">
        <f>RANK(U160,$U$158:$U$160)+COUNTIF($U$157:U159,U160)</f>
      </c>
      <c r="I160" s="14" t="str">
        <f>data!$E$61&amp;" "&amp;data!$B$61</f>
      </c>
      <c r="J160" s="14" t="str">
        <f>IF(OR(COUNTA(J142:K146,M142:N146)&gt;0,L142="X",L142="x",L143="X",L143="x",L144="X",L144="x",L145="X",L145="x",L146="X",L146="x",OR(L141="X",L141="x")),IF(OR(OR(L141="X",L141="x"),AND(J141=N141,K141=M141)),0,IF(OR(J141&gt;N141,AND(J141=N141,K141&gt;M141)),1,0)),0)+IF(OR(COUNTA(J150:K154,M150:N154)&gt;0,L150="X",L150="x",L151="X",L151="x",L152="X",L152="x",L153="X",L153="x",L154="X",L154="x",OR(L149="X",L149="x")),IF(OR(OR(L149="X",L149="x"),AND(J149=N149,K149=M149)),0,IF(OR(J149&gt;N149,AND(J149=N149,K149&gt;M149)),1,0)),0)</f>
      </c>
      <c r="K160" s="14" t="str">
        <f>IF(OR(COUNTA(J142:K146,M142:N146)&gt;0,L142="X",L142="x",L143="X",L143="x",L144="X",L144="x",L145="X",L145="x",L146="X",L146="x",OR(L141="X",L141="x")),IF(OR(OR(L141="X",L141="x"),AND(J141=N141,K141=M141)),0,IF(OR(J141&lt;N141,AND(J141=N141,K141&lt;M141)),1,0)),0)+IF(OR(COUNTA(J150:K154,M150:N154)&gt;0,L150="X",L150="x",L151="X",L151="x",L152="X",L152="x",L153="X",L153="x",L154="X",L154="x",OR(L149="X",L149="x")),IF(OR(OR(L149="X",L149="x"),AND(J149=N149,K149=M149)),0,IF(OR(J149&lt;N149,AND(J149=N149,K149&lt;M149)),1,0)),0)</f>
      </c>
      <c r="L160" s="14" t="str">
        <f>IF(OR(COUNTA(J142:K146,M142:N146)&gt;0,L142="X",L142="x",L143="X",L143="x",L144="X",L144="x",L145="X",L145="x",L146="X",L146="x",OR(L141="X",L141="x")),IF(OR(OR(L141="X",L141="x"),AND(J141=N141,K141=M141)),1,0),0)+IF(OR(COUNTA(J150:K154,M150:N154)&gt;0,L150="X",L150="x",L151="X",L151="x",L152="X",L152="x",L153="X",L153="x",L154="X",L154="x",OR(L149="X",L149="x")),IF(OR(OR(L149="X",L149="x"),AND(J149=N149,K149=M149)),1,0),0)</f>
      </c>
      <c r="O160" s="18" t="str">
        <f>RANK(AC160,$AC$158:$AC$160)+COUNTIF($AC$157:AC159,AC160)</f>
      </c>
      <c r="U160" t="str">
        <f>(B160*1000000000)-(C160*10000000)+(D160*100000)+(B165*1000)-(C165*100)+(D165*10)+(E165*1)-(F165*0.01)</f>
      </c>
      <c r="AC160" t="str">
        <f>(J160*1000000000)-(K160*10000000)+(L160*100000)+(J165*1000)-(K165*100)+(L165*10)+(M165*1)-(N165*0.01)</f>
      </c>
    </row>
    <row r="162">
      <c r="A162" s="13"/>
      <c r="B162" s="13" t="s">
        <v>339</v>
      </c>
      <c r="C162" s="13" t="s">
        <v>340</v>
      </c>
      <c r="D162" s="13" t="s">
        <v>341</v>
      </c>
      <c r="E162" s="13" t="s">
        <v>342</v>
      </c>
      <c r="F162" s="13" t="s">
        <v>343</v>
      </c>
      <c r="I162" s="13"/>
      <c r="J162" s="13" t="s">
        <v>339</v>
      </c>
      <c r="K162" s="13" t="s">
        <v>340</v>
      </c>
      <c r="L162" s="13" t="s">
        <v>341</v>
      </c>
      <c r="M162" s="13" t="s">
        <v>342</v>
      </c>
      <c r="N162" s="13" t="s">
        <v>343</v>
      </c>
    </row>
    <row r="163">
      <c r="A163" s="14" t="str">
        <f>data!$E$12&amp;" "&amp;data!$B$12</f>
      </c>
      <c r="B163" s="14" t="str">
        <f>IF(OR(COUNTA(B134:C138,E134:F138)&gt;0,OR(D133="X",D133="x"),UPPER(D134)="X",UPPER(D135)="X",UPPER(D136)="X",UPPER(D137)="X",UPPER(D138)="X"),F133,0)+IF(OR(COUNTA(B142:C146,E142:F146)&gt;0,OR(D141="X",D141="x"),UPPER(D142)="X",UPPER(D143)="X",UPPER(D144)="X",UPPER(D145)="X",UPPER(D146)="X"),F141,0)</f>
      </c>
      <c r="C163" s="14" t="str">
        <f>IF(OR(COUNTA(B134:C138,E134:F138)&gt;0,OR(D133="X",D133="x"),UPPER(D134)="X",UPPER(D135)="X",UPPER(D136)="X",UPPER(D137)="X",UPPER(D138)="X"),B133,0)+IF(OR(COUNTA(B142:C146,E142:F146)&gt;0,OR(D141="X",D141="x"),UPPER(D142)="X",UPPER(D143)="X",UPPER(D144)="X",UPPER(D145)="X",UPPER(D146)="X"),B141,0)</f>
      </c>
      <c r="D163" s="14" t="str">
        <f>IF(OR(COUNTA(B134:C138,E134:F138)&gt;0,OR(D133="X",D133="x"),UPPER(D134)="X",UPPER(D135)="X",UPPER(D136)="X",UPPER(D137)="X",UPPER(D138)="X"),(IF(OR(D134="X",D134="x",AND(COUNTA(B134,C134,E134,F134)&gt;0,(LEN(SUBSTITUTE(SUBSTITUTE(SUBSTITUTE(B134," ",""),"0",""),"-",""))+LEN(SUBSTITUTE(SUBSTITUTE(SUBSTITUTE(C134," ",""),"0",""),"-","")))=(LEN(SUBSTITUTE(SUBSTITUTE(SUBSTITUTE(E134," ",""),"0",""),"-",""))+LEN(SUBSTITUTE(SUBSTITUTE(SUBSTITUTE(F134," ",""),"0",""),"-",""))))),1,0)+IF(OR(D135="X",D135="x",AND(COUNTA(B135,C135,E135,F135)&gt;0,(LEN(SUBSTITUTE(SUBSTITUTE(SUBSTITUTE(B135," ",""),"0",""),"-",""))+LEN(SUBSTITUTE(SUBSTITUTE(SUBSTITUTE(C135," ",""),"0",""),"-","")))=(LEN(SUBSTITUTE(SUBSTITUTE(SUBSTITUTE(E135," ",""),"0",""),"-",""))+LEN(SUBSTITUTE(SUBSTITUTE(SUBSTITUTE(F135," ",""),"0",""),"-",""))))),1,0)+IF(OR(D136="X",D136="x",AND(COUNTA(B136,C136,E136,F136)&gt;0,(LEN(SUBSTITUTE(SUBSTITUTE(SUBSTITUTE(B136," ",""),"0",""),"-",""))+LEN(SUBSTITUTE(SUBSTITUTE(SUBSTITUTE(C136," ",""),"0",""),"-","")))=(LEN(SUBSTITUTE(SUBSTITUTE(SUBSTITUTE(E136," ",""),"0",""),"-",""))+LEN(SUBSTITUTE(SUBSTITUTE(SUBSTITUTE(F136," ",""),"0",""),"-",""))))),1,0)+IF(OR(D137="X",D137="x",AND(COUNTA(B137,C137,E137,F137)&gt;0,(LEN(SUBSTITUTE(SUBSTITUTE(SUBSTITUTE(B137," ",""),"0",""),"-",""))+LEN(SUBSTITUTE(SUBSTITUTE(SUBSTITUTE(C137," ",""),"0",""),"-","")))=(LEN(SUBSTITUTE(SUBSTITUTE(SUBSTITUTE(E137," ",""),"0",""),"-",""))+LEN(SUBSTITUTE(SUBSTITUTE(SUBSTITUTE(F137," ",""),"0",""),"-",""))))),1,0)+IF(OR(D138="X",D138="x",AND(COUNTA(B138,C138,E138,F138)&gt;0,(LEN(SUBSTITUTE(SUBSTITUTE(SUBSTITUTE(B138," ",""),"0",""),"-",""))+LEN(SUBSTITUTE(SUBSTITUTE(SUBSTITUTE(C138," ",""),"0",""),"-","")))=(LEN(SUBSTITUTE(SUBSTITUTE(SUBSTITUTE(E138," ",""),"0",""),"-",""))+LEN(SUBSTITUTE(SUBSTITUTE(SUBSTITUTE(F138," ",""),"0",""),"-",""))))),1,0)),0)+IF(OR(COUNTA(B142:C146,E142:F146)&gt;0,OR(D141="X",D141="x"),UPPER(D142)="X",UPPER(D143)="X",UPPER(D144)="X",UPPER(D145)="X",UPPER(D146)="X"),(IF(OR(D142="X",D142="x",AND(COUNTA(B142,C142,E142,F142)&gt;0,(LEN(SUBSTITUTE(SUBSTITUTE(SUBSTITUTE(B142," ",""),"0",""),"-",""))+LEN(SUBSTITUTE(SUBSTITUTE(SUBSTITUTE(C142," ",""),"0",""),"-","")))=(LEN(SUBSTITUTE(SUBSTITUTE(SUBSTITUTE(E142," ",""),"0",""),"-",""))+LEN(SUBSTITUTE(SUBSTITUTE(SUBSTITUTE(F142," ",""),"0",""),"-",""))))),1,0)+IF(OR(D143="X",D143="x",AND(COUNTA(B143,C143,E143,F143)&gt;0,(LEN(SUBSTITUTE(SUBSTITUTE(SUBSTITUTE(B143," ",""),"0",""),"-",""))+LEN(SUBSTITUTE(SUBSTITUTE(SUBSTITUTE(C143," ",""),"0",""),"-","")))=(LEN(SUBSTITUTE(SUBSTITUTE(SUBSTITUTE(E143," ",""),"0",""),"-",""))+LEN(SUBSTITUTE(SUBSTITUTE(SUBSTITUTE(F143," ",""),"0",""),"-",""))))),1,0)+IF(OR(D144="X",D144="x",AND(COUNTA(B144,C144,E144,F144)&gt;0,(LEN(SUBSTITUTE(SUBSTITUTE(SUBSTITUTE(B144," ",""),"0",""),"-",""))+LEN(SUBSTITUTE(SUBSTITUTE(SUBSTITUTE(C144," ",""),"0",""),"-","")))=(LEN(SUBSTITUTE(SUBSTITUTE(SUBSTITUTE(E144," ",""),"0",""),"-",""))+LEN(SUBSTITUTE(SUBSTITUTE(SUBSTITUTE(F144," ",""),"0",""),"-",""))))),1,0)+IF(OR(D145="X",D145="x",AND(COUNTA(B145,C145,E145,F145)&gt;0,(LEN(SUBSTITUTE(SUBSTITUTE(SUBSTITUTE(B145," ",""),"0",""),"-",""))+LEN(SUBSTITUTE(SUBSTITUTE(SUBSTITUTE(C145," ",""),"0",""),"-","")))=(LEN(SUBSTITUTE(SUBSTITUTE(SUBSTITUTE(E145," ",""),"0",""),"-",""))+LEN(SUBSTITUTE(SUBSTITUTE(SUBSTITUTE(F145," ",""),"0",""),"-",""))))),1,0)+IF(OR(D146="X",D146="x",AND(COUNTA(B146,C146,E146,F146)&gt;0,(LEN(SUBSTITUTE(SUBSTITUTE(SUBSTITUTE(B146," ",""),"0",""),"-",""))+LEN(SUBSTITUTE(SUBSTITUTE(SUBSTITUTE(C146," ",""),"0",""),"-","")))=(LEN(SUBSTITUTE(SUBSTITUTE(SUBSTITUTE(E146," ",""),"0",""),"-",""))+LEN(SUBSTITUTE(SUBSTITUTE(SUBSTITUTE(F146," ",""),"0",""),"-",""))))),1,0)),0)</f>
      </c>
      <c r="E163" s="14" t="str">
        <f>E133+E141</f>
      </c>
      <c r="F163" s="14" t="str">
        <f>C133+C141</f>
      </c>
      <c r="I163" s="14" t="str">
        <f>data!$E$59&amp;" "&amp;data!$B$59</f>
      </c>
      <c r="J163" s="14" t="str">
        <f>IF(OR(COUNTA(J134:K138,M134:N138)&gt;0,OR(L133="X",L133="x"),UPPER(L134)="X",UPPER(L135)="X",UPPER(L136)="X",UPPER(L137)="X",UPPER(L138)="X"),N133,0)+IF(OR(COUNTA(J142:K146,M142:N146)&gt;0,OR(L141="X",L141="x"),UPPER(L142)="X",UPPER(L143)="X",UPPER(L144)="X",UPPER(L145)="X",UPPER(L146)="X"),N141,0)</f>
      </c>
      <c r="K163" s="14" t="str">
        <f>IF(OR(COUNTA(J134:K138,M134:N138)&gt;0,OR(L133="X",L133="x"),UPPER(L134)="X",UPPER(L135)="X",UPPER(L136)="X",UPPER(L137)="X",UPPER(L138)="X"),J133,0)+IF(OR(COUNTA(J142:K146,M142:N146)&gt;0,OR(L141="X",L141="x"),UPPER(L142)="X",UPPER(L143)="X",UPPER(L144)="X",UPPER(L145)="X",UPPER(L146)="X"),J141,0)</f>
      </c>
      <c r="L163" s="14" t="str">
        <f>IF(OR(COUNTA(J134:K138,M134:N138)&gt;0,OR(L133="X",L133="x"),UPPER(L134)="X",UPPER(L135)="X",UPPER(L136)="X",UPPER(L137)="X",UPPER(L138)="X"),(IF(OR(L134="X",L134="x",AND(COUNTA(J134,K134,M134,N134)&gt;0,(LEN(SUBSTITUTE(SUBSTITUTE(SUBSTITUTE(J134," ",""),"0",""),"-",""))+LEN(SUBSTITUTE(SUBSTITUTE(SUBSTITUTE(K134," ",""),"0",""),"-","")))=(LEN(SUBSTITUTE(SUBSTITUTE(SUBSTITUTE(M134," ",""),"0",""),"-",""))+LEN(SUBSTITUTE(SUBSTITUTE(SUBSTITUTE(N134," ",""),"0",""),"-",""))))),1,0)+IF(OR(L135="X",L135="x",AND(COUNTA(J135,K135,M135,N135)&gt;0,(LEN(SUBSTITUTE(SUBSTITUTE(SUBSTITUTE(J135," ",""),"0",""),"-",""))+LEN(SUBSTITUTE(SUBSTITUTE(SUBSTITUTE(K135," ",""),"0",""),"-","")))=(LEN(SUBSTITUTE(SUBSTITUTE(SUBSTITUTE(M135," ",""),"0",""),"-",""))+LEN(SUBSTITUTE(SUBSTITUTE(SUBSTITUTE(N135," ",""),"0",""),"-",""))))),1,0)+IF(OR(L136="X",L136="x",AND(COUNTA(J136,K136,M136,N136)&gt;0,(LEN(SUBSTITUTE(SUBSTITUTE(SUBSTITUTE(J136," ",""),"0",""),"-",""))+LEN(SUBSTITUTE(SUBSTITUTE(SUBSTITUTE(K136," ",""),"0",""),"-","")))=(LEN(SUBSTITUTE(SUBSTITUTE(SUBSTITUTE(M136," ",""),"0",""),"-",""))+LEN(SUBSTITUTE(SUBSTITUTE(SUBSTITUTE(N136," ",""),"0",""),"-",""))))),1,0)+IF(OR(L137="X",L137="x",AND(COUNTA(J137,K137,M137,N137)&gt;0,(LEN(SUBSTITUTE(SUBSTITUTE(SUBSTITUTE(J137," ",""),"0",""),"-",""))+LEN(SUBSTITUTE(SUBSTITUTE(SUBSTITUTE(K137," ",""),"0",""),"-","")))=(LEN(SUBSTITUTE(SUBSTITUTE(SUBSTITUTE(M137," ",""),"0",""),"-",""))+LEN(SUBSTITUTE(SUBSTITUTE(SUBSTITUTE(N137," ",""),"0",""),"-",""))))),1,0)+IF(OR(L138="X",L138="x",AND(COUNTA(J138,K138,M138,N138)&gt;0,(LEN(SUBSTITUTE(SUBSTITUTE(SUBSTITUTE(J138," ",""),"0",""),"-",""))+LEN(SUBSTITUTE(SUBSTITUTE(SUBSTITUTE(K138," ",""),"0",""),"-","")))=(LEN(SUBSTITUTE(SUBSTITUTE(SUBSTITUTE(M138," ",""),"0",""),"-",""))+LEN(SUBSTITUTE(SUBSTITUTE(SUBSTITUTE(N138," ",""),"0",""),"-",""))))),1,0)),0)+IF(OR(COUNTA(J142:K146,M142:N146)&gt;0,OR(L141="X",L141="x"),UPPER(L142)="X",UPPER(L143)="X",UPPER(L144)="X",UPPER(L145)="X",UPPER(L146)="X"),(IF(OR(L142="X",L142="x",AND(COUNTA(J142,K142,M142,N142)&gt;0,(LEN(SUBSTITUTE(SUBSTITUTE(SUBSTITUTE(J142," ",""),"0",""),"-",""))+LEN(SUBSTITUTE(SUBSTITUTE(SUBSTITUTE(K142," ",""),"0",""),"-","")))=(LEN(SUBSTITUTE(SUBSTITUTE(SUBSTITUTE(M142," ",""),"0",""),"-",""))+LEN(SUBSTITUTE(SUBSTITUTE(SUBSTITUTE(N142," ",""),"0",""),"-",""))))),1,0)+IF(OR(L143="X",L143="x",AND(COUNTA(J143,K143,M143,N143)&gt;0,(LEN(SUBSTITUTE(SUBSTITUTE(SUBSTITUTE(J143," ",""),"0",""),"-",""))+LEN(SUBSTITUTE(SUBSTITUTE(SUBSTITUTE(K143," ",""),"0",""),"-","")))=(LEN(SUBSTITUTE(SUBSTITUTE(SUBSTITUTE(M143," ",""),"0",""),"-",""))+LEN(SUBSTITUTE(SUBSTITUTE(SUBSTITUTE(N143," ",""),"0",""),"-",""))))),1,0)+IF(OR(L144="X",L144="x",AND(COUNTA(J144,K144,M144,N144)&gt;0,(LEN(SUBSTITUTE(SUBSTITUTE(SUBSTITUTE(J144," ",""),"0",""),"-",""))+LEN(SUBSTITUTE(SUBSTITUTE(SUBSTITUTE(K144," ",""),"0",""),"-","")))=(LEN(SUBSTITUTE(SUBSTITUTE(SUBSTITUTE(M144," ",""),"0",""),"-",""))+LEN(SUBSTITUTE(SUBSTITUTE(SUBSTITUTE(N144," ",""),"0",""),"-",""))))),1,0)+IF(OR(L145="X",L145="x",AND(COUNTA(J145,K145,M145,N145)&gt;0,(LEN(SUBSTITUTE(SUBSTITUTE(SUBSTITUTE(J145," ",""),"0",""),"-",""))+LEN(SUBSTITUTE(SUBSTITUTE(SUBSTITUTE(K145," ",""),"0",""),"-","")))=(LEN(SUBSTITUTE(SUBSTITUTE(SUBSTITUTE(M145," ",""),"0",""),"-",""))+LEN(SUBSTITUTE(SUBSTITUTE(SUBSTITUTE(N145," ",""),"0",""),"-",""))))),1,0)+IF(OR(L146="X",L146="x",AND(COUNTA(J146,K146,M146,N146)&gt;0,(LEN(SUBSTITUTE(SUBSTITUTE(SUBSTITUTE(J146," ",""),"0",""),"-",""))+LEN(SUBSTITUTE(SUBSTITUTE(SUBSTITUTE(K146," ",""),"0",""),"-","")))=(LEN(SUBSTITUTE(SUBSTITUTE(SUBSTITUTE(M146," ",""),"0",""),"-",""))+LEN(SUBSTITUTE(SUBSTITUTE(SUBSTITUTE(N146," ",""),"0",""),"-",""))))),1,0)),0)</f>
      </c>
      <c r="M163" s="14" t="str">
        <f>M133+M141</f>
      </c>
      <c r="N163" s="14" t="str">
        <f>K133+K141</f>
      </c>
    </row>
    <row r="164">
      <c r="A164" s="14" t="str">
        <f>data!$E$13&amp;" "&amp;data!$B$13</f>
      </c>
      <c r="B164" s="14" t="str">
        <f>IF(OR(COUNTA(B134:C138,E134:F138)&gt;0,OR(D133="X",D133="x"),UPPER(D134)="X",UPPER(D135)="X",UPPER(D136)="X",UPPER(D137)="X",UPPER(D138)="X"),B133,0)+IF(OR(COUNTA(B150:C154,E150:F154)&gt;0,OR(D149="X",D149="x"),UPPER(D150)="X",UPPER(D151)="X",UPPER(D152)="X",UPPER(D153)="X",UPPER(D154)="X"),F149,0)</f>
      </c>
      <c r="C164" s="14" t="str">
        <f>IF(OR(COUNTA(B134:C138,E134:F138)&gt;0,OR(D133="X",D133="x"),UPPER(D134)="X",UPPER(D135)="X",UPPER(D136)="X",UPPER(D137)="X",UPPER(D138)="X"),F133,0)+IF(OR(COUNTA(B150:C154,E150:F154)&gt;0,OR(D149="X",D149="x"),UPPER(D150)="X",UPPER(D151)="X",UPPER(D152)="X",UPPER(D153)="X",UPPER(D154)="X"),B149,0)</f>
      </c>
      <c r="D164" s="14" t="str">
        <f>IF(OR(COUNTA(B134:C138,E134:F138)&gt;0,OR(D133="X",D133="x"),UPPER(D134)="X",UPPER(D135)="X",UPPER(D136)="X",UPPER(D137)="X",UPPER(D138)="X"),(IF(OR(D134="X",D134="x",AND(COUNTA(B134,C134,E134,F134)&gt;0,(LEN(SUBSTITUTE(SUBSTITUTE(SUBSTITUTE(B134," ",""),"0",""),"-",""))+LEN(SUBSTITUTE(SUBSTITUTE(SUBSTITUTE(C134," ",""),"0",""),"-","")))=(LEN(SUBSTITUTE(SUBSTITUTE(SUBSTITUTE(E134," ",""),"0",""),"-",""))+LEN(SUBSTITUTE(SUBSTITUTE(SUBSTITUTE(F134," ",""),"0",""),"-",""))))),1,0)+IF(OR(D135="X",D135="x",AND(COUNTA(B135,C135,E135,F135)&gt;0,(LEN(SUBSTITUTE(SUBSTITUTE(SUBSTITUTE(B135," ",""),"0",""),"-",""))+LEN(SUBSTITUTE(SUBSTITUTE(SUBSTITUTE(C135," ",""),"0",""),"-","")))=(LEN(SUBSTITUTE(SUBSTITUTE(SUBSTITUTE(E135," ",""),"0",""),"-",""))+LEN(SUBSTITUTE(SUBSTITUTE(SUBSTITUTE(F135," ",""),"0",""),"-",""))))),1,0)+IF(OR(D136="X",D136="x",AND(COUNTA(B136,C136,E136,F136)&gt;0,(LEN(SUBSTITUTE(SUBSTITUTE(SUBSTITUTE(B136," ",""),"0",""),"-",""))+LEN(SUBSTITUTE(SUBSTITUTE(SUBSTITUTE(C136," ",""),"0",""),"-","")))=(LEN(SUBSTITUTE(SUBSTITUTE(SUBSTITUTE(E136," ",""),"0",""),"-",""))+LEN(SUBSTITUTE(SUBSTITUTE(SUBSTITUTE(F136," ",""),"0",""),"-",""))))),1,0)+IF(OR(D137="X",D137="x",AND(COUNTA(B137,C137,E137,F137)&gt;0,(LEN(SUBSTITUTE(SUBSTITUTE(SUBSTITUTE(B137," ",""),"0",""),"-",""))+LEN(SUBSTITUTE(SUBSTITUTE(SUBSTITUTE(C137," ",""),"0",""),"-","")))=(LEN(SUBSTITUTE(SUBSTITUTE(SUBSTITUTE(E137," ",""),"0",""),"-",""))+LEN(SUBSTITUTE(SUBSTITUTE(SUBSTITUTE(F137," ",""),"0",""),"-",""))))),1,0)+IF(OR(D138="X",D138="x",AND(COUNTA(B138,C138,E138,F138)&gt;0,(LEN(SUBSTITUTE(SUBSTITUTE(SUBSTITUTE(B138," ",""),"0",""),"-",""))+LEN(SUBSTITUTE(SUBSTITUTE(SUBSTITUTE(C138," ",""),"0",""),"-","")))=(LEN(SUBSTITUTE(SUBSTITUTE(SUBSTITUTE(E138," ",""),"0",""),"-",""))+LEN(SUBSTITUTE(SUBSTITUTE(SUBSTITUTE(F138," ",""),"0",""),"-",""))))),1,0)),0)+IF(OR(COUNTA(B150:C154,E150:F154)&gt;0,OR(D149="X",D149="x"),UPPER(D150)="X",UPPER(D151)="X",UPPER(D152)="X",UPPER(D153)="X",UPPER(D154)="X"),(IF(OR(D150="X",D150="x",AND(COUNTA(B150,C150,E150,F150)&gt;0,(LEN(SUBSTITUTE(SUBSTITUTE(SUBSTITUTE(B150," ",""),"0",""),"-",""))+LEN(SUBSTITUTE(SUBSTITUTE(SUBSTITUTE(C150," ",""),"0",""),"-","")))=(LEN(SUBSTITUTE(SUBSTITUTE(SUBSTITUTE(E150," ",""),"0",""),"-",""))+LEN(SUBSTITUTE(SUBSTITUTE(SUBSTITUTE(F150," ",""),"0",""),"-",""))))),1,0)+IF(OR(D151="X",D151="x",AND(COUNTA(B151,C151,E151,F151)&gt;0,(LEN(SUBSTITUTE(SUBSTITUTE(SUBSTITUTE(B151," ",""),"0",""),"-",""))+LEN(SUBSTITUTE(SUBSTITUTE(SUBSTITUTE(C151," ",""),"0",""),"-","")))=(LEN(SUBSTITUTE(SUBSTITUTE(SUBSTITUTE(E151," ",""),"0",""),"-",""))+LEN(SUBSTITUTE(SUBSTITUTE(SUBSTITUTE(F151," ",""),"0",""),"-",""))))),1,0)+IF(OR(D152="X",D152="x",AND(COUNTA(B152,C152,E152,F152)&gt;0,(LEN(SUBSTITUTE(SUBSTITUTE(SUBSTITUTE(B152," ",""),"0",""),"-",""))+LEN(SUBSTITUTE(SUBSTITUTE(SUBSTITUTE(C152," ",""),"0",""),"-","")))=(LEN(SUBSTITUTE(SUBSTITUTE(SUBSTITUTE(E152," ",""),"0",""),"-",""))+LEN(SUBSTITUTE(SUBSTITUTE(SUBSTITUTE(F152," ",""),"0",""),"-",""))))),1,0)+IF(OR(D153="X",D153="x",AND(COUNTA(B153,C153,E153,F153)&gt;0,(LEN(SUBSTITUTE(SUBSTITUTE(SUBSTITUTE(B153," ",""),"0",""),"-",""))+LEN(SUBSTITUTE(SUBSTITUTE(SUBSTITUTE(C153," ",""),"0",""),"-","")))=(LEN(SUBSTITUTE(SUBSTITUTE(SUBSTITUTE(E153," ",""),"0",""),"-",""))+LEN(SUBSTITUTE(SUBSTITUTE(SUBSTITUTE(F153," ",""),"0",""),"-",""))))),1,0)+IF(OR(D154="X",D154="x",AND(COUNTA(B154,C154,E154,F154)&gt;0,(LEN(SUBSTITUTE(SUBSTITUTE(SUBSTITUTE(B154," ",""),"0",""),"-",""))+LEN(SUBSTITUTE(SUBSTITUTE(SUBSTITUTE(C154," ",""),"0",""),"-","")))=(LEN(SUBSTITUTE(SUBSTITUTE(SUBSTITUTE(E154," ",""),"0",""),"-",""))+LEN(SUBSTITUTE(SUBSTITUTE(SUBSTITUTE(F154," ",""),"0",""),"-",""))))),1,0)),0)</f>
      </c>
      <c r="E164" s="14" t="str">
        <f>C133+E149</f>
      </c>
      <c r="F164" s="14" t="str">
        <f>E133+C149</f>
      </c>
      <c r="I164" s="14" t="str">
        <f>data!$E$60&amp;" "&amp;data!$B$60</f>
      </c>
      <c r="J164" s="14" t="str">
        <f>IF(OR(COUNTA(J134:K138,M134:N138)&gt;0,OR(L133="X",L133="x"),UPPER(L134)="X",UPPER(L135)="X",UPPER(L136)="X",UPPER(L137)="X",UPPER(L138)="X"),J133,0)+IF(OR(COUNTA(J150:K154,M150:N154)&gt;0,OR(L149="X",L149="x"),UPPER(L150)="X",UPPER(L151)="X",UPPER(L152)="X",UPPER(L153)="X",UPPER(L154)="X"),N149,0)</f>
      </c>
      <c r="K164" s="14" t="str">
        <f>IF(OR(COUNTA(J134:K138,M134:N138)&gt;0,OR(L133="X",L133="x"),UPPER(L134)="X",UPPER(L135)="X",UPPER(L136)="X",UPPER(L137)="X",UPPER(L138)="X"),N133,0)+IF(OR(COUNTA(J150:K154,M150:N154)&gt;0,OR(L149="X",L149="x"),UPPER(L150)="X",UPPER(L151)="X",UPPER(L152)="X",UPPER(L153)="X",UPPER(L154)="X"),J149,0)</f>
      </c>
      <c r="L164" s="14" t="str">
        <f>IF(OR(COUNTA(J134:K138,M134:N138)&gt;0,OR(L133="X",L133="x"),UPPER(L134)="X",UPPER(L135)="X",UPPER(L136)="X",UPPER(L137)="X",UPPER(L138)="X"),(IF(OR(L134="X",L134="x",AND(COUNTA(J134,K134,M134,N134)&gt;0,(LEN(SUBSTITUTE(SUBSTITUTE(SUBSTITUTE(J134," ",""),"0",""),"-",""))+LEN(SUBSTITUTE(SUBSTITUTE(SUBSTITUTE(K134," ",""),"0",""),"-","")))=(LEN(SUBSTITUTE(SUBSTITUTE(SUBSTITUTE(M134," ",""),"0",""),"-",""))+LEN(SUBSTITUTE(SUBSTITUTE(SUBSTITUTE(N134," ",""),"0",""),"-",""))))),1,0)+IF(OR(L135="X",L135="x",AND(COUNTA(J135,K135,M135,N135)&gt;0,(LEN(SUBSTITUTE(SUBSTITUTE(SUBSTITUTE(J135," ",""),"0",""),"-",""))+LEN(SUBSTITUTE(SUBSTITUTE(SUBSTITUTE(K135," ",""),"0",""),"-","")))=(LEN(SUBSTITUTE(SUBSTITUTE(SUBSTITUTE(M135," ",""),"0",""),"-",""))+LEN(SUBSTITUTE(SUBSTITUTE(SUBSTITUTE(N135," ",""),"0",""),"-",""))))),1,0)+IF(OR(L136="X",L136="x",AND(COUNTA(J136,K136,M136,N136)&gt;0,(LEN(SUBSTITUTE(SUBSTITUTE(SUBSTITUTE(J136," ",""),"0",""),"-",""))+LEN(SUBSTITUTE(SUBSTITUTE(SUBSTITUTE(K136," ",""),"0",""),"-","")))=(LEN(SUBSTITUTE(SUBSTITUTE(SUBSTITUTE(M136," ",""),"0",""),"-",""))+LEN(SUBSTITUTE(SUBSTITUTE(SUBSTITUTE(N136," ",""),"0",""),"-",""))))),1,0)+IF(OR(L137="X",L137="x",AND(COUNTA(J137,K137,M137,N137)&gt;0,(LEN(SUBSTITUTE(SUBSTITUTE(SUBSTITUTE(J137," ",""),"0",""),"-",""))+LEN(SUBSTITUTE(SUBSTITUTE(SUBSTITUTE(K137," ",""),"0",""),"-","")))=(LEN(SUBSTITUTE(SUBSTITUTE(SUBSTITUTE(M137," ",""),"0",""),"-",""))+LEN(SUBSTITUTE(SUBSTITUTE(SUBSTITUTE(N137," ",""),"0",""),"-",""))))),1,0)+IF(OR(L138="X",L138="x",AND(COUNTA(J138,K138,M138,N138)&gt;0,(LEN(SUBSTITUTE(SUBSTITUTE(SUBSTITUTE(J138," ",""),"0",""),"-",""))+LEN(SUBSTITUTE(SUBSTITUTE(SUBSTITUTE(K138," ",""),"0",""),"-","")))=(LEN(SUBSTITUTE(SUBSTITUTE(SUBSTITUTE(M138," ",""),"0",""),"-",""))+LEN(SUBSTITUTE(SUBSTITUTE(SUBSTITUTE(N138," ",""),"0",""),"-",""))))),1,0)),0)+IF(OR(COUNTA(J150:K154,M150:N154)&gt;0,OR(L149="X",L149="x"),UPPER(L150)="X",UPPER(L151)="X",UPPER(L152)="X",UPPER(L153)="X",UPPER(L154)="X"),(IF(OR(L150="X",L150="x",AND(COUNTA(J150,K150,M150,N150)&gt;0,(LEN(SUBSTITUTE(SUBSTITUTE(SUBSTITUTE(J150," ",""),"0",""),"-",""))+LEN(SUBSTITUTE(SUBSTITUTE(SUBSTITUTE(K150," ",""),"0",""),"-","")))=(LEN(SUBSTITUTE(SUBSTITUTE(SUBSTITUTE(M150," ",""),"0",""),"-",""))+LEN(SUBSTITUTE(SUBSTITUTE(SUBSTITUTE(N150," ",""),"0",""),"-",""))))),1,0)+IF(OR(L151="X",L151="x",AND(COUNTA(J151,K151,M151,N151)&gt;0,(LEN(SUBSTITUTE(SUBSTITUTE(SUBSTITUTE(J151," ",""),"0",""),"-",""))+LEN(SUBSTITUTE(SUBSTITUTE(SUBSTITUTE(K151," ",""),"0",""),"-","")))=(LEN(SUBSTITUTE(SUBSTITUTE(SUBSTITUTE(M151," ",""),"0",""),"-",""))+LEN(SUBSTITUTE(SUBSTITUTE(SUBSTITUTE(N151," ",""),"0",""),"-",""))))),1,0)+IF(OR(L152="X",L152="x",AND(COUNTA(J152,K152,M152,N152)&gt;0,(LEN(SUBSTITUTE(SUBSTITUTE(SUBSTITUTE(J152," ",""),"0",""),"-",""))+LEN(SUBSTITUTE(SUBSTITUTE(SUBSTITUTE(K152," ",""),"0",""),"-","")))=(LEN(SUBSTITUTE(SUBSTITUTE(SUBSTITUTE(M152," ",""),"0",""),"-",""))+LEN(SUBSTITUTE(SUBSTITUTE(SUBSTITUTE(N152," ",""),"0",""),"-",""))))),1,0)+IF(OR(L153="X",L153="x",AND(COUNTA(J153,K153,M153,N153)&gt;0,(LEN(SUBSTITUTE(SUBSTITUTE(SUBSTITUTE(J153," ",""),"0",""),"-",""))+LEN(SUBSTITUTE(SUBSTITUTE(SUBSTITUTE(K153," ",""),"0",""),"-","")))=(LEN(SUBSTITUTE(SUBSTITUTE(SUBSTITUTE(M153," ",""),"0",""),"-",""))+LEN(SUBSTITUTE(SUBSTITUTE(SUBSTITUTE(N153," ",""),"0",""),"-",""))))),1,0)+IF(OR(L154="X",L154="x",AND(COUNTA(J154,K154,M154,N154)&gt;0,(LEN(SUBSTITUTE(SUBSTITUTE(SUBSTITUTE(J154," ",""),"0",""),"-",""))+LEN(SUBSTITUTE(SUBSTITUTE(SUBSTITUTE(K154," ",""),"0",""),"-","")))=(LEN(SUBSTITUTE(SUBSTITUTE(SUBSTITUTE(M154," ",""),"0",""),"-",""))+LEN(SUBSTITUTE(SUBSTITUTE(SUBSTITUTE(N154," ",""),"0",""),"-",""))))),1,0)),0)</f>
      </c>
      <c r="M164" s="14" t="str">
        <f>K133+M149</f>
      </c>
      <c r="N164" s="14" t="str">
        <f>M133+K149</f>
      </c>
    </row>
    <row r="165">
      <c r="A165" s="14" t="str">
        <f>data!$E$14&amp;" "&amp;data!$B$14</f>
      </c>
      <c r="B165" s="14" t="str">
        <f>IF(OR(COUNTA(B142:C146,E142:F146)&gt;0,OR(D141="X",D141="x"),UPPER(D142)="X",UPPER(D143)="X",UPPER(D144)="X",UPPER(D145)="X",UPPER(D146)="X"),B141,0)+IF(OR(COUNTA(B150:C154,E150:F154)&gt;0,OR(D149="X",D149="x"),UPPER(D150)="X",UPPER(D151)="X",UPPER(D152)="X",UPPER(D153)="X",UPPER(D154)="X"),B149,0)</f>
      </c>
      <c r="C165" s="14" t="str">
        <f>IF(OR(COUNTA(B142:C146,E142:F146)&gt;0,OR(D141="X",D141="x"),UPPER(D142)="X",UPPER(D143)="X",UPPER(D144)="X",UPPER(D145)="X",UPPER(D146)="X"),F141,0)+IF(OR(COUNTA(B150:C154,E150:F154)&gt;0,OR(D149="X",D149="x"),UPPER(D150)="X",UPPER(D151)="X",UPPER(D152)="X",UPPER(D153)="X",UPPER(D154)="X"),F149,0)</f>
      </c>
      <c r="D165" s="14" t="str">
        <f>IF(OR(COUNTA(B142:C146,E142:F146)&gt;0,OR(D141="X",D141="x"),UPPER(D142)="X",UPPER(D143)="X",UPPER(D144)="X",UPPER(D145)="X",UPPER(D146)="X"),(IF(OR(D142="X",D142="x",AND(COUNTA(B142,C142,E142,F142)&gt;0,(LEN(SUBSTITUTE(SUBSTITUTE(SUBSTITUTE(B142," ",""),"0",""),"-",""))+LEN(SUBSTITUTE(SUBSTITUTE(SUBSTITUTE(C142," ",""),"0",""),"-","")))=(LEN(SUBSTITUTE(SUBSTITUTE(SUBSTITUTE(E142," ",""),"0",""),"-",""))+LEN(SUBSTITUTE(SUBSTITUTE(SUBSTITUTE(F142," ",""),"0",""),"-",""))))),1,0)+IF(OR(D143="X",D143="x",AND(COUNTA(B143,C143,E143,F143)&gt;0,(LEN(SUBSTITUTE(SUBSTITUTE(SUBSTITUTE(B143," ",""),"0",""),"-",""))+LEN(SUBSTITUTE(SUBSTITUTE(SUBSTITUTE(C143," ",""),"0",""),"-","")))=(LEN(SUBSTITUTE(SUBSTITUTE(SUBSTITUTE(E143," ",""),"0",""),"-",""))+LEN(SUBSTITUTE(SUBSTITUTE(SUBSTITUTE(F143," ",""),"0",""),"-",""))))),1,0)+IF(OR(D144="X",D144="x",AND(COUNTA(B144,C144,E144,F144)&gt;0,(LEN(SUBSTITUTE(SUBSTITUTE(SUBSTITUTE(B144," ",""),"0",""),"-",""))+LEN(SUBSTITUTE(SUBSTITUTE(SUBSTITUTE(C144," ",""),"0",""),"-","")))=(LEN(SUBSTITUTE(SUBSTITUTE(SUBSTITUTE(E144," ",""),"0",""),"-",""))+LEN(SUBSTITUTE(SUBSTITUTE(SUBSTITUTE(F144," ",""),"0",""),"-",""))))),1,0)+IF(OR(D145="X",D145="x",AND(COUNTA(B145,C145,E145,F145)&gt;0,(LEN(SUBSTITUTE(SUBSTITUTE(SUBSTITUTE(B145," ",""),"0",""),"-",""))+LEN(SUBSTITUTE(SUBSTITUTE(SUBSTITUTE(C145," ",""),"0",""),"-","")))=(LEN(SUBSTITUTE(SUBSTITUTE(SUBSTITUTE(E145," ",""),"0",""),"-",""))+LEN(SUBSTITUTE(SUBSTITUTE(SUBSTITUTE(F145," ",""),"0",""),"-",""))))),1,0)+IF(OR(D146="X",D146="x",AND(COUNTA(B146,C146,E146,F146)&gt;0,(LEN(SUBSTITUTE(SUBSTITUTE(SUBSTITUTE(B146," ",""),"0",""),"-",""))+LEN(SUBSTITUTE(SUBSTITUTE(SUBSTITUTE(C146," ",""),"0",""),"-","")))=(LEN(SUBSTITUTE(SUBSTITUTE(SUBSTITUTE(E146," ",""),"0",""),"-",""))+LEN(SUBSTITUTE(SUBSTITUTE(SUBSTITUTE(F146," ",""),"0",""),"-",""))))),1,0)),0)+IF(OR(COUNTA(B150:C154,E150:F154)&gt;0,OR(D149="X",D149="x"),UPPER(D150)="X",UPPER(D151)="X",UPPER(D152)="X",UPPER(D153)="X",UPPER(D154)="X"),(IF(OR(D150="X",D150="x",AND(COUNTA(B150,C150,E150,F150)&gt;0,(LEN(SUBSTITUTE(SUBSTITUTE(SUBSTITUTE(B150," ",""),"0",""),"-",""))+LEN(SUBSTITUTE(SUBSTITUTE(SUBSTITUTE(C150," ",""),"0",""),"-","")))=(LEN(SUBSTITUTE(SUBSTITUTE(SUBSTITUTE(E150," ",""),"0",""),"-",""))+LEN(SUBSTITUTE(SUBSTITUTE(SUBSTITUTE(F150," ",""),"0",""),"-",""))))),1,0)+IF(OR(D151="X",D151="x",AND(COUNTA(B151,C151,E151,F151)&gt;0,(LEN(SUBSTITUTE(SUBSTITUTE(SUBSTITUTE(B151," ",""),"0",""),"-",""))+LEN(SUBSTITUTE(SUBSTITUTE(SUBSTITUTE(C151," ",""),"0",""),"-","")))=(LEN(SUBSTITUTE(SUBSTITUTE(SUBSTITUTE(E151," ",""),"0",""),"-",""))+LEN(SUBSTITUTE(SUBSTITUTE(SUBSTITUTE(F151," ",""),"0",""),"-",""))))),1,0)+IF(OR(D152="X",D152="x",AND(COUNTA(B152,C152,E152,F152)&gt;0,(LEN(SUBSTITUTE(SUBSTITUTE(SUBSTITUTE(B152," ",""),"0",""),"-",""))+LEN(SUBSTITUTE(SUBSTITUTE(SUBSTITUTE(C152," ",""),"0",""),"-","")))=(LEN(SUBSTITUTE(SUBSTITUTE(SUBSTITUTE(E152," ",""),"0",""),"-",""))+LEN(SUBSTITUTE(SUBSTITUTE(SUBSTITUTE(F152," ",""),"0",""),"-",""))))),1,0)+IF(OR(D153="X",D153="x",AND(COUNTA(B153,C153,E153,F153)&gt;0,(LEN(SUBSTITUTE(SUBSTITUTE(SUBSTITUTE(B153," ",""),"0",""),"-",""))+LEN(SUBSTITUTE(SUBSTITUTE(SUBSTITUTE(C153," ",""),"0",""),"-","")))=(LEN(SUBSTITUTE(SUBSTITUTE(SUBSTITUTE(E153," ",""),"0",""),"-",""))+LEN(SUBSTITUTE(SUBSTITUTE(SUBSTITUTE(F153," ",""),"0",""),"-",""))))),1,0)+IF(OR(D154="X",D154="x",AND(COUNTA(B154,C154,E154,F154)&gt;0,(LEN(SUBSTITUTE(SUBSTITUTE(SUBSTITUTE(B154," ",""),"0",""),"-",""))+LEN(SUBSTITUTE(SUBSTITUTE(SUBSTITUTE(C154," ",""),"0",""),"-","")))=(LEN(SUBSTITUTE(SUBSTITUTE(SUBSTITUTE(E154," ",""),"0",""),"-",""))+LEN(SUBSTITUTE(SUBSTITUTE(SUBSTITUTE(F154," ",""),"0",""),"-",""))))),1,0)),0)</f>
      </c>
      <c r="E165" s="14" t="str">
        <f>C141+C149</f>
      </c>
      <c r="F165" s="14" t="str">
        <f>E141+E149</f>
      </c>
      <c r="I165" s="14" t="str">
        <f>data!$E$61&amp;" "&amp;data!$B$61</f>
      </c>
      <c r="J165" s="14" t="str">
        <f>IF(OR(COUNTA(J142:K146,M142:N146)&gt;0,OR(L141="X",L141="x"),UPPER(L142)="X",UPPER(L143)="X",UPPER(L144)="X",UPPER(L145)="X",UPPER(L146)="X"),J141,0)+IF(OR(COUNTA(J150:K154,M150:N154)&gt;0,OR(L149="X",L149="x"),UPPER(L150)="X",UPPER(L151)="X",UPPER(L152)="X",UPPER(L153)="X",UPPER(L154)="X"),J149,0)</f>
      </c>
      <c r="K165" s="14" t="str">
        <f>IF(OR(COUNTA(J142:K146,M142:N146)&gt;0,OR(L141="X",L141="x"),UPPER(L142)="X",UPPER(L143)="X",UPPER(L144)="X",UPPER(L145)="X",UPPER(L146)="X"),N141,0)+IF(OR(COUNTA(J150:K154,M150:N154)&gt;0,OR(L149="X",L149="x"),UPPER(L150)="X",UPPER(L151)="X",UPPER(L152)="X",UPPER(L153)="X",UPPER(L154)="X"),N149,0)</f>
      </c>
      <c r="L165" s="14" t="str">
        <f>IF(OR(COUNTA(J142:K146,M142:N146)&gt;0,OR(L141="X",L141="x"),UPPER(L142)="X",UPPER(L143)="X",UPPER(L144)="X",UPPER(L145)="X",UPPER(L146)="X"),(IF(OR(L142="X",L142="x",AND(COUNTA(J142,K142,M142,N142)&gt;0,(LEN(SUBSTITUTE(SUBSTITUTE(SUBSTITUTE(J142," ",""),"0",""),"-",""))+LEN(SUBSTITUTE(SUBSTITUTE(SUBSTITUTE(K142," ",""),"0",""),"-","")))=(LEN(SUBSTITUTE(SUBSTITUTE(SUBSTITUTE(M142," ",""),"0",""),"-",""))+LEN(SUBSTITUTE(SUBSTITUTE(SUBSTITUTE(N142," ",""),"0",""),"-",""))))),1,0)+IF(OR(L143="X",L143="x",AND(COUNTA(J143,K143,M143,N143)&gt;0,(LEN(SUBSTITUTE(SUBSTITUTE(SUBSTITUTE(J143," ",""),"0",""),"-",""))+LEN(SUBSTITUTE(SUBSTITUTE(SUBSTITUTE(K143," ",""),"0",""),"-","")))=(LEN(SUBSTITUTE(SUBSTITUTE(SUBSTITUTE(M143," ",""),"0",""),"-",""))+LEN(SUBSTITUTE(SUBSTITUTE(SUBSTITUTE(N143," ",""),"0",""),"-",""))))),1,0)+IF(OR(L144="X",L144="x",AND(COUNTA(J144,K144,M144,N144)&gt;0,(LEN(SUBSTITUTE(SUBSTITUTE(SUBSTITUTE(J144," ",""),"0",""),"-",""))+LEN(SUBSTITUTE(SUBSTITUTE(SUBSTITUTE(K144," ",""),"0",""),"-","")))=(LEN(SUBSTITUTE(SUBSTITUTE(SUBSTITUTE(M144," ",""),"0",""),"-",""))+LEN(SUBSTITUTE(SUBSTITUTE(SUBSTITUTE(N144," ",""),"0",""),"-",""))))),1,0)+IF(OR(L145="X",L145="x",AND(COUNTA(J145,K145,M145,N145)&gt;0,(LEN(SUBSTITUTE(SUBSTITUTE(SUBSTITUTE(J145," ",""),"0",""),"-",""))+LEN(SUBSTITUTE(SUBSTITUTE(SUBSTITUTE(K145," ",""),"0",""),"-","")))=(LEN(SUBSTITUTE(SUBSTITUTE(SUBSTITUTE(M145," ",""),"0",""),"-",""))+LEN(SUBSTITUTE(SUBSTITUTE(SUBSTITUTE(N145," ",""),"0",""),"-",""))))),1,0)+IF(OR(L146="X",L146="x",AND(COUNTA(J146,K146,M146,N146)&gt;0,(LEN(SUBSTITUTE(SUBSTITUTE(SUBSTITUTE(J146," ",""),"0",""),"-",""))+LEN(SUBSTITUTE(SUBSTITUTE(SUBSTITUTE(K146," ",""),"0",""),"-","")))=(LEN(SUBSTITUTE(SUBSTITUTE(SUBSTITUTE(M146," ",""),"0",""),"-",""))+LEN(SUBSTITUTE(SUBSTITUTE(SUBSTITUTE(N146," ",""),"0",""),"-",""))))),1,0)),0)+IF(OR(COUNTA(J150:K154,M150:N154)&gt;0,OR(L149="X",L149="x"),UPPER(L150)="X",UPPER(L151)="X",UPPER(L152)="X",UPPER(L153)="X",UPPER(L154)="X"),(IF(OR(L150="X",L150="x",AND(COUNTA(J150,K150,M150,N150)&gt;0,(LEN(SUBSTITUTE(SUBSTITUTE(SUBSTITUTE(J150," ",""),"0",""),"-",""))+LEN(SUBSTITUTE(SUBSTITUTE(SUBSTITUTE(K150," ",""),"0",""),"-","")))=(LEN(SUBSTITUTE(SUBSTITUTE(SUBSTITUTE(M150," ",""),"0",""),"-",""))+LEN(SUBSTITUTE(SUBSTITUTE(SUBSTITUTE(N150," ",""),"0",""),"-",""))))),1,0)+IF(OR(L151="X",L151="x",AND(COUNTA(J151,K151,M151,N151)&gt;0,(LEN(SUBSTITUTE(SUBSTITUTE(SUBSTITUTE(J151," ",""),"0",""),"-",""))+LEN(SUBSTITUTE(SUBSTITUTE(SUBSTITUTE(K151," ",""),"0",""),"-","")))=(LEN(SUBSTITUTE(SUBSTITUTE(SUBSTITUTE(M151," ",""),"0",""),"-",""))+LEN(SUBSTITUTE(SUBSTITUTE(SUBSTITUTE(N151," ",""),"0",""),"-",""))))),1,0)+IF(OR(L152="X",L152="x",AND(COUNTA(J152,K152,M152,N152)&gt;0,(LEN(SUBSTITUTE(SUBSTITUTE(SUBSTITUTE(J152," ",""),"0",""),"-",""))+LEN(SUBSTITUTE(SUBSTITUTE(SUBSTITUTE(K152," ",""),"0",""),"-","")))=(LEN(SUBSTITUTE(SUBSTITUTE(SUBSTITUTE(M152," ",""),"0",""),"-",""))+LEN(SUBSTITUTE(SUBSTITUTE(SUBSTITUTE(N152," ",""),"0",""),"-",""))))),1,0)+IF(OR(L153="X",L153="x",AND(COUNTA(J153,K153,M153,N153)&gt;0,(LEN(SUBSTITUTE(SUBSTITUTE(SUBSTITUTE(J153," ",""),"0",""),"-",""))+LEN(SUBSTITUTE(SUBSTITUTE(SUBSTITUTE(K153," ",""),"0",""),"-","")))=(LEN(SUBSTITUTE(SUBSTITUTE(SUBSTITUTE(M153," ",""),"0",""),"-",""))+LEN(SUBSTITUTE(SUBSTITUTE(SUBSTITUTE(N153," ",""),"0",""),"-",""))))),1,0)+IF(OR(L154="X",L154="x",AND(COUNTA(J154,K154,M154,N154)&gt;0,(LEN(SUBSTITUTE(SUBSTITUTE(SUBSTITUTE(J154," ",""),"0",""),"-",""))+LEN(SUBSTITUTE(SUBSTITUTE(SUBSTITUTE(K154," ",""),"0",""),"-","")))=(LEN(SUBSTITUTE(SUBSTITUTE(SUBSTITUTE(M154," ",""),"0",""),"-",""))+LEN(SUBSTITUTE(SUBSTITUTE(SUBSTITUTE(N154," ",""),"0",""),"-",""))))),1,0)),0)</f>
      </c>
      <c r="M165" s="14" t="str">
        <f>K141+K149</f>
      </c>
      <c r="N165" s="14" t="str">
        <f>M141+M149</f>
      </c>
    </row>
    <row r="168">
      <c r="F168" s="13"/>
      <c r="G168" s="13" t="s">
        <v>344</v>
      </c>
      <c r="N168" s="13"/>
      <c r="O168" s="13" t="s">
        <v>344</v>
      </c>
    </row>
    <row r="169">
      <c r="F169" t="s">
        <v>345</v>
      </c>
      <c r="G169" s="19" t="str">
        <f>IFERROR(INDEX($A$158:$A$165, MATCH(1, $G$158:$G$165, 0)), "-")</f>
      </c>
      <c r="N169" t="s">
        <v>345</v>
      </c>
      <c r="O169" s="19" t="str">
        <f>IFERROR(INDEX($I$158:$I$165, MATCH(1, $O$158:$O$165, 0)), "-")</f>
      </c>
    </row>
    <row r="170">
      <c r="F170" t="s">
        <v>346</v>
      </c>
      <c r="G170" s="19" t="str">
        <f>IFERROR(INDEX($A$158:$A$165, MATCH(2, $G$158:$G$165, 0)), "-")</f>
      </c>
      <c r="N170" t="s">
        <v>346</v>
      </c>
      <c r="O170" s="19" t="str">
        <f>IFERROR(INDEX($I$158:$I$165, MATCH(2, $O$158:$O$165, 0)), "-")</f>
      </c>
    </row>
    <row r="171">
      <c r="F171" t="s">
        <v>347</v>
      </c>
      <c r="G171" s="19" t="str">
        <f>IFERROR(INDEX($A$158:$A$165, MATCH(3, $G$158:$G$165, 0)), "-")</f>
      </c>
      <c r="N171" t="s">
        <v>347</v>
      </c>
      <c r="O171" s="19" t="str">
        <f>IFERROR(INDEX($I$158:$I$165, MATCH(3, $O$158:$O$165, 0)), "-")</f>
      </c>
    </row>
    <row r="174">
      <c r="A174" s="13" t="str">
        <f>'data'!$A$17</f>
      </c>
      <c r="B174" s="13"/>
      <c r="C174" s="13"/>
      <c r="D174" s="13"/>
      <c r="E174" s="13"/>
      <c r="F174" s="13"/>
      <c r="G174" s="13"/>
      <c r="I174" s="13" t="str">
        <f>'data'!$A$64</f>
      </c>
      <c r="J174" s="13"/>
      <c r="K174" s="13"/>
      <c r="L174" s="13"/>
      <c r="M174" s="13"/>
      <c r="N174" s="13"/>
      <c r="O174" s="13"/>
    </row>
    <row r="175">
      <c r="A175" s="17" t="s">
        <v>331</v>
      </c>
      <c r="B175" s="14"/>
      <c r="C175" s="14"/>
      <c r="D175" s="14" t="s">
        <v>332</v>
      </c>
      <c r="E175" s="14"/>
      <c r="F175" s="14"/>
      <c r="G175" s="16" t="s">
        <v>333</v>
      </c>
      <c r="I175" s="17" t="s">
        <v>331</v>
      </c>
      <c r="J175" s="14"/>
      <c r="K175" s="14"/>
      <c r="L175" s="14" t="s">
        <v>332</v>
      </c>
      <c r="M175" s="14"/>
      <c r="N175" s="14"/>
      <c r="O175" s="16" t="s">
        <v>333</v>
      </c>
    </row>
    <row r="176">
      <c r="A176" s="14" t="str">
        <f>data!$E$16&amp;" "&amp;data!$B$16</f>
      </c>
      <c r="B176" s="14" t="str">
        <f>IF(UPPER(D177)="X",0,IF((LEN(SUBSTITUTE(SUBSTITUTE(SUBSTITUTE(B177," ",""),"0",""),"-",""))+LEN(SUBSTITUTE(SUBSTITUTE(SUBSTITUTE(C177," ",""),"0",""),"-","")))&gt;(LEN(SUBSTITUTE(SUBSTITUTE(SUBSTITUTE(E177," ",""),"0",""),"-",""))+LEN(SUBSTITUTE(SUBSTITUTE(SUBSTITUTE(F177," ",""),"0",""),"-",""))),1,0))+IF(UPPER(D178)="X",0,IF((LEN(SUBSTITUTE(SUBSTITUTE(SUBSTITUTE(B178," ",""),"0",""),"-",""))+LEN(SUBSTITUTE(SUBSTITUTE(SUBSTITUTE(C178," ",""),"0",""),"-","")))&gt;(LEN(SUBSTITUTE(SUBSTITUTE(SUBSTITUTE(E178," ",""),"0",""),"-",""))+LEN(SUBSTITUTE(SUBSTITUTE(SUBSTITUTE(F178," ",""),"0",""),"-",""))),1,0))+IF(UPPER(D179)="X",0,IF((LEN(SUBSTITUTE(SUBSTITUTE(SUBSTITUTE(B179," ",""),"0",""),"-",""))+LEN(SUBSTITUTE(SUBSTITUTE(SUBSTITUTE(C179," ",""),"0",""),"-","")))&gt;(LEN(SUBSTITUTE(SUBSTITUTE(SUBSTITUTE(E179," ",""),"0",""),"-",""))+LEN(SUBSTITUTE(SUBSTITUTE(SUBSTITUTE(F179," ",""),"0",""),"-",""))),1,0))+IF(UPPER(D180)="X",0,IF((LEN(SUBSTITUTE(SUBSTITUTE(SUBSTITUTE(B180," ",""),"0",""),"-",""))+LEN(SUBSTITUTE(SUBSTITUTE(SUBSTITUTE(C180," ",""),"0",""),"-","")))&gt;(LEN(SUBSTITUTE(SUBSTITUTE(SUBSTITUTE(E180," ",""),"0",""),"-",""))+LEN(SUBSTITUTE(SUBSTITUTE(SUBSTITUTE(F180," ",""),"0",""),"-",""))),1,0))+IF(UPPER(D181)="X",0,IF((LEN(SUBSTITUTE(SUBSTITUTE(SUBSTITUTE(B181," ",""),"0",""),"-",""))+LEN(SUBSTITUTE(SUBSTITUTE(SUBSTITUTE(C181," ",""),"0",""),"-","")))&gt;(LEN(SUBSTITUTE(SUBSTITUTE(SUBSTITUTE(E181," ",""),"0",""),"-",""))+LEN(SUBSTITUTE(SUBSTITUTE(SUBSTITUTE(F181," ",""),"0",""),"-",""))),1,0))</f>
      </c>
      <c r="C176" s="14" t="str">
        <f>LEN(SUBSTITUTE(SUBSTITUTE(SUBSTITUTE(B177," ",""),"0",""),"-",""))+LEN(SUBSTITUTE(SUBSTITUTE(SUBSTITUTE(C177," ",""),"0",""),"-",""))+LEN(SUBSTITUTE(SUBSTITUTE(SUBSTITUTE(B178," ",""),"0",""),"-",""))+LEN(SUBSTITUTE(SUBSTITUTE(SUBSTITUTE(C178," ",""),"0",""),"-",""))+LEN(SUBSTITUTE(SUBSTITUTE(SUBSTITUTE(B179," ",""),"0",""),"-",""))+LEN(SUBSTITUTE(SUBSTITUTE(SUBSTITUTE(C179," ",""),"0",""),"-",""))+LEN(SUBSTITUTE(SUBSTITUTE(SUBSTITUTE(B180," ",""),"0",""),"-",""))+LEN(SUBSTITUTE(SUBSTITUTE(SUBSTITUTE(C180," ",""),"0",""),"-",""))+LEN(SUBSTITUTE(SUBSTITUTE(SUBSTITUTE(B181," ",""),"0",""),"-",""))+LEN(SUBSTITUTE(SUBSTITUTE(SUBSTITUTE(C181," ",""),"0",""),"-",""))</f>
      </c>
      <c r="D176" s="18"/>
      <c r="E176" s="14" t="str">
        <f>LEN(SUBSTITUTE(SUBSTITUTE(SUBSTITUTE(E177," ",""),"0",""),"-",""))+LEN(SUBSTITUTE(SUBSTITUTE(SUBSTITUTE(F177," ",""),"0",""),"-",""))+LEN(SUBSTITUTE(SUBSTITUTE(SUBSTITUTE(E178," ",""),"0",""),"-",""))+LEN(SUBSTITUTE(SUBSTITUTE(SUBSTITUTE(F178," ",""),"0",""),"-",""))+LEN(SUBSTITUTE(SUBSTITUTE(SUBSTITUTE(E179," ",""),"0",""),"-",""))+LEN(SUBSTITUTE(SUBSTITUTE(SUBSTITUTE(F179," ",""),"0",""),"-",""))+LEN(SUBSTITUTE(SUBSTITUTE(SUBSTITUTE(E180," ",""),"0",""),"-",""))+LEN(SUBSTITUTE(SUBSTITUTE(SUBSTITUTE(F180," ",""),"0",""),"-",""))+LEN(SUBSTITUTE(SUBSTITUTE(SUBSTITUTE(E181," ",""),"0",""),"-",""))+LEN(SUBSTITUTE(SUBSTITUTE(SUBSTITUTE(F181," ",""),"0",""),"-",""))</f>
      </c>
      <c r="F176" s="14" t="str">
        <f>IF(UPPER(D177)="X",0,IF((LEN(SUBSTITUTE(SUBSTITUTE(SUBSTITUTE(E177," ",""),"0",""),"-",""))+LEN(SUBSTITUTE(SUBSTITUTE(SUBSTITUTE(F177," ",""),"0",""),"-","")))&gt;(LEN(SUBSTITUTE(SUBSTITUTE(SUBSTITUTE(B177," ",""),"0",""),"-",""))+LEN(SUBSTITUTE(SUBSTITUTE(SUBSTITUTE(C177," ",""),"0",""),"-",""))),1,0))+IF(UPPER(D178)="X",0,IF((LEN(SUBSTITUTE(SUBSTITUTE(SUBSTITUTE(E178," ",""),"0",""),"-",""))+LEN(SUBSTITUTE(SUBSTITUTE(SUBSTITUTE(F178," ",""),"0",""),"-","")))&gt;(LEN(SUBSTITUTE(SUBSTITUTE(SUBSTITUTE(B178," ",""),"0",""),"-",""))+LEN(SUBSTITUTE(SUBSTITUTE(SUBSTITUTE(C178," ",""),"0",""),"-",""))),1,0))+IF(UPPER(D179)="X",0,IF((LEN(SUBSTITUTE(SUBSTITUTE(SUBSTITUTE(E179," ",""),"0",""),"-",""))+LEN(SUBSTITUTE(SUBSTITUTE(SUBSTITUTE(F179," ",""),"0",""),"-","")))&gt;(LEN(SUBSTITUTE(SUBSTITUTE(SUBSTITUTE(B179," ",""),"0",""),"-",""))+LEN(SUBSTITUTE(SUBSTITUTE(SUBSTITUTE(C179," ",""),"0",""),"-",""))),1,0))+IF(UPPER(D180)="X",0,IF((LEN(SUBSTITUTE(SUBSTITUTE(SUBSTITUTE(E180," ",""),"0",""),"-",""))+LEN(SUBSTITUTE(SUBSTITUTE(SUBSTITUTE(F180," ",""),"0",""),"-","")))&gt;(LEN(SUBSTITUTE(SUBSTITUTE(SUBSTITUTE(B180," ",""),"0",""),"-",""))+LEN(SUBSTITUTE(SUBSTITUTE(SUBSTITUTE(C180," ",""),"0",""),"-",""))),1,0))+IF(UPPER(D181)="X",0,IF((LEN(SUBSTITUTE(SUBSTITUTE(SUBSTITUTE(E181," ",""),"0",""),"-",""))+LEN(SUBSTITUTE(SUBSTITUTE(SUBSTITUTE(F181," ",""),"0",""),"-","")))&gt;(LEN(SUBSTITUTE(SUBSTITUTE(SUBSTITUTE(B181," ",""),"0",""),"-",""))+LEN(SUBSTITUTE(SUBSTITUTE(SUBSTITUTE(C181," ",""),"0",""),"-",""))),1,0))</f>
      </c>
      <c r="G176" s="14" t="str">
        <f>data!$E$15&amp;" "&amp;data!$B$15</f>
      </c>
      <c r="I176" s="14" t="str">
        <f>data!$E$63&amp;" "&amp;data!$B$63</f>
      </c>
      <c r="J176" s="14" t="str">
        <f>IF(UPPER(L177)="X",0,IF((LEN(SUBSTITUTE(SUBSTITUTE(SUBSTITUTE(J177," ",""),"0",""),"-",""))+LEN(SUBSTITUTE(SUBSTITUTE(SUBSTITUTE(K177," ",""),"0",""),"-","")))&gt;(LEN(SUBSTITUTE(SUBSTITUTE(SUBSTITUTE(M177," ",""),"0",""),"-",""))+LEN(SUBSTITUTE(SUBSTITUTE(SUBSTITUTE(N177," ",""),"0",""),"-",""))),1,0))+IF(UPPER(L178)="X",0,IF((LEN(SUBSTITUTE(SUBSTITUTE(SUBSTITUTE(J178," ",""),"0",""),"-",""))+LEN(SUBSTITUTE(SUBSTITUTE(SUBSTITUTE(K178," ",""),"0",""),"-","")))&gt;(LEN(SUBSTITUTE(SUBSTITUTE(SUBSTITUTE(M178," ",""),"0",""),"-",""))+LEN(SUBSTITUTE(SUBSTITUTE(SUBSTITUTE(N178," ",""),"0",""),"-",""))),1,0))+IF(UPPER(L179)="X",0,IF((LEN(SUBSTITUTE(SUBSTITUTE(SUBSTITUTE(J179," ",""),"0",""),"-",""))+LEN(SUBSTITUTE(SUBSTITUTE(SUBSTITUTE(K179," ",""),"0",""),"-","")))&gt;(LEN(SUBSTITUTE(SUBSTITUTE(SUBSTITUTE(M179," ",""),"0",""),"-",""))+LEN(SUBSTITUTE(SUBSTITUTE(SUBSTITUTE(N179," ",""),"0",""),"-",""))),1,0))+IF(UPPER(L180)="X",0,IF((LEN(SUBSTITUTE(SUBSTITUTE(SUBSTITUTE(J180," ",""),"0",""),"-",""))+LEN(SUBSTITUTE(SUBSTITUTE(SUBSTITUTE(K180," ",""),"0",""),"-","")))&gt;(LEN(SUBSTITUTE(SUBSTITUTE(SUBSTITUTE(M180," ",""),"0",""),"-",""))+LEN(SUBSTITUTE(SUBSTITUTE(SUBSTITUTE(N180," ",""),"0",""),"-",""))),1,0))+IF(UPPER(L181)="X",0,IF((LEN(SUBSTITUTE(SUBSTITUTE(SUBSTITUTE(J181," ",""),"0",""),"-",""))+LEN(SUBSTITUTE(SUBSTITUTE(SUBSTITUTE(K181," ",""),"0",""),"-","")))&gt;(LEN(SUBSTITUTE(SUBSTITUTE(SUBSTITUTE(M181," ",""),"0",""),"-",""))+LEN(SUBSTITUTE(SUBSTITUTE(SUBSTITUTE(N181," ",""),"0",""),"-",""))),1,0))</f>
      </c>
      <c r="K176" s="14" t="str">
        <f>LEN(SUBSTITUTE(SUBSTITUTE(SUBSTITUTE(J177," ",""),"0",""),"-",""))+LEN(SUBSTITUTE(SUBSTITUTE(SUBSTITUTE(K177," ",""),"0",""),"-",""))+LEN(SUBSTITUTE(SUBSTITUTE(SUBSTITUTE(J178," ",""),"0",""),"-",""))+LEN(SUBSTITUTE(SUBSTITUTE(SUBSTITUTE(K178," ",""),"0",""),"-",""))+LEN(SUBSTITUTE(SUBSTITUTE(SUBSTITUTE(J179," ",""),"0",""),"-",""))+LEN(SUBSTITUTE(SUBSTITUTE(SUBSTITUTE(K179," ",""),"0",""),"-",""))+LEN(SUBSTITUTE(SUBSTITUTE(SUBSTITUTE(J180," ",""),"0",""),"-",""))+LEN(SUBSTITUTE(SUBSTITUTE(SUBSTITUTE(K180," ",""),"0",""),"-",""))+LEN(SUBSTITUTE(SUBSTITUTE(SUBSTITUTE(J181," ",""),"0",""),"-",""))+LEN(SUBSTITUTE(SUBSTITUTE(SUBSTITUTE(K181," ",""),"0",""),"-",""))</f>
      </c>
      <c r="L176" s="18"/>
      <c r="M176" s="14" t="str">
        <f>LEN(SUBSTITUTE(SUBSTITUTE(SUBSTITUTE(M177," ",""),"0",""),"-",""))+LEN(SUBSTITUTE(SUBSTITUTE(SUBSTITUTE(N177," ",""),"0",""),"-",""))+LEN(SUBSTITUTE(SUBSTITUTE(SUBSTITUTE(M178," ",""),"0",""),"-",""))+LEN(SUBSTITUTE(SUBSTITUTE(SUBSTITUTE(N178," ",""),"0",""),"-",""))+LEN(SUBSTITUTE(SUBSTITUTE(SUBSTITUTE(M179," ",""),"0",""),"-",""))+LEN(SUBSTITUTE(SUBSTITUTE(SUBSTITUTE(N179," ",""),"0",""),"-",""))+LEN(SUBSTITUTE(SUBSTITUTE(SUBSTITUTE(M180," ",""),"0",""),"-",""))+LEN(SUBSTITUTE(SUBSTITUTE(SUBSTITUTE(N180," ",""),"0",""),"-",""))+LEN(SUBSTITUTE(SUBSTITUTE(SUBSTITUTE(M181," ",""),"0",""),"-",""))+LEN(SUBSTITUTE(SUBSTITUTE(SUBSTITUTE(N181," ",""),"0",""),"-",""))</f>
      </c>
      <c r="N176" s="14" t="str">
        <f>IF(UPPER(L177)="X",0,IF((LEN(SUBSTITUTE(SUBSTITUTE(SUBSTITUTE(M177," ",""),"0",""),"-",""))+LEN(SUBSTITUTE(SUBSTITUTE(SUBSTITUTE(N177," ",""),"0",""),"-","")))&gt;(LEN(SUBSTITUTE(SUBSTITUTE(SUBSTITUTE(J177," ",""),"0",""),"-",""))+LEN(SUBSTITUTE(SUBSTITUTE(SUBSTITUTE(K177," ",""),"0",""),"-",""))),1,0))+IF(UPPER(L178)="X",0,IF((LEN(SUBSTITUTE(SUBSTITUTE(SUBSTITUTE(M178," ",""),"0",""),"-",""))+LEN(SUBSTITUTE(SUBSTITUTE(SUBSTITUTE(N178," ",""),"0",""),"-","")))&gt;(LEN(SUBSTITUTE(SUBSTITUTE(SUBSTITUTE(J178," ",""),"0",""),"-",""))+LEN(SUBSTITUTE(SUBSTITUTE(SUBSTITUTE(K178," ",""),"0",""),"-",""))),1,0))+IF(UPPER(L179)="X",0,IF((LEN(SUBSTITUTE(SUBSTITUTE(SUBSTITUTE(M179," ",""),"0",""),"-",""))+LEN(SUBSTITUTE(SUBSTITUTE(SUBSTITUTE(N179," ",""),"0",""),"-","")))&gt;(LEN(SUBSTITUTE(SUBSTITUTE(SUBSTITUTE(J179," ",""),"0",""),"-",""))+LEN(SUBSTITUTE(SUBSTITUTE(SUBSTITUTE(K179," ",""),"0",""),"-",""))),1,0))+IF(UPPER(L180)="X",0,IF((LEN(SUBSTITUTE(SUBSTITUTE(SUBSTITUTE(M180," ",""),"0",""),"-",""))+LEN(SUBSTITUTE(SUBSTITUTE(SUBSTITUTE(N180," ",""),"0",""),"-","")))&gt;(LEN(SUBSTITUTE(SUBSTITUTE(SUBSTITUTE(J180," ",""),"0",""),"-",""))+LEN(SUBSTITUTE(SUBSTITUTE(SUBSTITUTE(K180," ",""),"0",""),"-",""))),1,0))+IF(UPPER(L181)="X",0,IF((LEN(SUBSTITUTE(SUBSTITUTE(SUBSTITUTE(M181," ",""),"0",""),"-",""))+LEN(SUBSTITUTE(SUBSTITUTE(SUBSTITUTE(N181," ",""),"0",""),"-","")))&gt;(LEN(SUBSTITUTE(SUBSTITUTE(SUBSTITUTE(J181," ",""),"0",""),"-",""))+LEN(SUBSTITUTE(SUBSTITUTE(SUBSTITUTE(K181," ",""),"0",""),"-",""))),1,0))</f>
      </c>
      <c r="O176" s="14" t="str">
        <f>data!$E$62&amp;" "&amp;data!$B$62</f>
      </c>
    </row>
    <row r="177">
      <c r="A177" s="14">
        <v>1</v>
      </c>
      <c r="B177" s="18"/>
      <c r="C177" s="18"/>
      <c r="D177" s="18"/>
      <c r="E177" s="18"/>
      <c r="F177" s="18"/>
      <c r="G177" s="14">
        <v>1</v>
      </c>
      <c r="I177" s="14">
        <v>1</v>
      </c>
      <c r="J177" s="18"/>
      <c r="K177" s="18"/>
      <c r="L177" s="18"/>
      <c r="M177" s="18"/>
      <c r="N177" s="18"/>
      <c r="O177" s="14">
        <v>1</v>
      </c>
    </row>
    <row r="178">
      <c r="A178" s="14">
        <v>2</v>
      </c>
      <c r="B178" s="18"/>
      <c r="C178" s="18"/>
      <c r="D178" s="18"/>
      <c r="E178" s="18"/>
      <c r="F178" s="18"/>
      <c r="G178" s="14">
        <v>2</v>
      </c>
      <c r="I178" s="14">
        <v>2</v>
      </c>
      <c r="J178" s="18"/>
      <c r="K178" s="18"/>
      <c r="L178" s="18"/>
      <c r="M178" s="18"/>
      <c r="N178" s="18"/>
      <c r="O178" s="14">
        <v>2</v>
      </c>
    </row>
    <row r="179">
      <c r="A179" s="14">
        <v>3</v>
      </c>
      <c r="B179" s="18"/>
      <c r="C179" s="18"/>
      <c r="D179" s="18"/>
      <c r="E179" s="18"/>
      <c r="F179" s="18"/>
      <c r="G179" s="14">
        <v>3</v>
      </c>
      <c r="I179" s="14">
        <v>3</v>
      </c>
      <c r="J179" s="18"/>
      <c r="K179" s="18"/>
      <c r="L179" s="18"/>
      <c r="M179" s="18"/>
      <c r="N179" s="18"/>
      <c r="O179" s="14">
        <v>3</v>
      </c>
    </row>
    <row r="180">
      <c r="A180" s="14">
        <v>4</v>
      </c>
      <c r="B180" s="18"/>
      <c r="C180" s="18"/>
      <c r="D180" s="18"/>
      <c r="E180" s="18"/>
      <c r="F180" s="18"/>
      <c r="G180" s="14">
        <v>4</v>
      </c>
      <c r="I180" s="14">
        <v>4</v>
      </c>
      <c r="J180" s="18"/>
      <c r="K180" s="18"/>
      <c r="L180" s="18"/>
      <c r="M180" s="18"/>
      <c r="N180" s="18"/>
      <c r="O180" s="14">
        <v>4</v>
      </c>
    </row>
    <row r="181">
      <c r="A181" s="14">
        <v>5</v>
      </c>
      <c r="B181" s="18"/>
      <c r="C181" s="18"/>
      <c r="D181" s="18"/>
      <c r="E181" s="18"/>
      <c r="F181" s="18"/>
      <c r="G181" s="14">
        <v>5</v>
      </c>
      <c r="I181" s="14">
        <v>5</v>
      </c>
      <c r="J181" s="18"/>
      <c r="K181" s="18"/>
      <c r="L181" s="18"/>
      <c r="M181" s="18"/>
      <c r="N181" s="18"/>
      <c r="O181" s="14">
        <v>5</v>
      </c>
    </row>
    <row r="183">
      <c r="A183" s="17" t="s">
        <v>331</v>
      </c>
      <c r="B183" s="14"/>
      <c r="C183" s="14"/>
      <c r="D183" s="14" t="s">
        <v>332</v>
      </c>
      <c r="E183" s="14"/>
      <c r="F183" s="14"/>
      <c r="G183" s="16" t="s">
        <v>333</v>
      </c>
      <c r="I183" s="17" t="s">
        <v>331</v>
      </c>
      <c r="J183" s="14"/>
      <c r="K183" s="14"/>
      <c r="L183" s="14" t="s">
        <v>332</v>
      </c>
      <c r="M183" s="14"/>
      <c r="N183" s="14"/>
      <c r="O183" s="16" t="s">
        <v>333</v>
      </c>
    </row>
    <row r="184">
      <c r="A184" s="14" t="str">
        <f>data!$E$17&amp;" "&amp;data!$B$17</f>
      </c>
      <c r="B184" s="14" t="str">
        <f>IF(UPPER(D185)="X",0,IF((LEN(SUBSTITUTE(SUBSTITUTE(SUBSTITUTE(B185," ",""),"0",""),"-",""))+LEN(SUBSTITUTE(SUBSTITUTE(SUBSTITUTE(C185," ",""),"0",""),"-","")))&gt;(LEN(SUBSTITUTE(SUBSTITUTE(SUBSTITUTE(E185," ",""),"0",""),"-",""))+LEN(SUBSTITUTE(SUBSTITUTE(SUBSTITUTE(F185," ",""),"0",""),"-",""))),1,0))+IF(UPPER(D186)="X",0,IF((LEN(SUBSTITUTE(SUBSTITUTE(SUBSTITUTE(B186," ",""),"0",""),"-",""))+LEN(SUBSTITUTE(SUBSTITUTE(SUBSTITUTE(C186," ",""),"0",""),"-","")))&gt;(LEN(SUBSTITUTE(SUBSTITUTE(SUBSTITUTE(E186," ",""),"0",""),"-",""))+LEN(SUBSTITUTE(SUBSTITUTE(SUBSTITUTE(F186," ",""),"0",""),"-",""))),1,0))+IF(UPPER(D187)="X",0,IF((LEN(SUBSTITUTE(SUBSTITUTE(SUBSTITUTE(B187," ",""),"0",""),"-",""))+LEN(SUBSTITUTE(SUBSTITUTE(SUBSTITUTE(C187," ",""),"0",""),"-","")))&gt;(LEN(SUBSTITUTE(SUBSTITUTE(SUBSTITUTE(E187," ",""),"0",""),"-",""))+LEN(SUBSTITUTE(SUBSTITUTE(SUBSTITUTE(F187," ",""),"0",""),"-",""))),1,0))+IF(UPPER(D188)="X",0,IF((LEN(SUBSTITUTE(SUBSTITUTE(SUBSTITUTE(B188," ",""),"0",""),"-",""))+LEN(SUBSTITUTE(SUBSTITUTE(SUBSTITUTE(C188," ",""),"0",""),"-","")))&gt;(LEN(SUBSTITUTE(SUBSTITUTE(SUBSTITUTE(E188," ",""),"0",""),"-",""))+LEN(SUBSTITUTE(SUBSTITUTE(SUBSTITUTE(F188," ",""),"0",""),"-",""))),1,0))+IF(UPPER(D189)="X",0,IF((LEN(SUBSTITUTE(SUBSTITUTE(SUBSTITUTE(B189," ",""),"0",""),"-",""))+LEN(SUBSTITUTE(SUBSTITUTE(SUBSTITUTE(C189," ",""),"0",""),"-","")))&gt;(LEN(SUBSTITUTE(SUBSTITUTE(SUBSTITUTE(E189," ",""),"0",""),"-",""))+LEN(SUBSTITUTE(SUBSTITUTE(SUBSTITUTE(F189," ",""),"0",""),"-",""))),1,0))</f>
      </c>
      <c r="C184" s="14" t="str">
        <f>LEN(SUBSTITUTE(SUBSTITUTE(SUBSTITUTE(B185," ",""),"0",""),"-",""))+LEN(SUBSTITUTE(SUBSTITUTE(SUBSTITUTE(C185," ",""),"0",""),"-",""))+LEN(SUBSTITUTE(SUBSTITUTE(SUBSTITUTE(B186," ",""),"0",""),"-",""))+LEN(SUBSTITUTE(SUBSTITUTE(SUBSTITUTE(C186," ",""),"0",""),"-",""))+LEN(SUBSTITUTE(SUBSTITUTE(SUBSTITUTE(B187," ",""),"0",""),"-",""))+LEN(SUBSTITUTE(SUBSTITUTE(SUBSTITUTE(C187," ",""),"0",""),"-",""))+LEN(SUBSTITUTE(SUBSTITUTE(SUBSTITUTE(B188," ",""),"0",""),"-",""))+LEN(SUBSTITUTE(SUBSTITUTE(SUBSTITUTE(C188," ",""),"0",""),"-",""))+LEN(SUBSTITUTE(SUBSTITUTE(SUBSTITUTE(B189," ",""),"0",""),"-",""))+LEN(SUBSTITUTE(SUBSTITUTE(SUBSTITUTE(C189," ",""),"0",""),"-",""))</f>
      </c>
      <c r="D184" s="18"/>
      <c r="E184" s="14" t="str">
        <f>LEN(SUBSTITUTE(SUBSTITUTE(SUBSTITUTE(E185," ",""),"0",""),"-",""))+LEN(SUBSTITUTE(SUBSTITUTE(SUBSTITUTE(F185," ",""),"0",""),"-",""))+LEN(SUBSTITUTE(SUBSTITUTE(SUBSTITUTE(E186," ",""),"0",""),"-",""))+LEN(SUBSTITUTE(SUBSTITUTE(SUBSTITUTE(F186," ",""),"0",""),"-",""))+LEN(SUBSTITUTE(SUBSTITUTE(SUBSTITUTE(E187," ",""),"0",""),"-",""))+LEN(SUBSTITUTE(SUBSTITUTE(SUBSTITUTE(F187," ",""),"0",""),"-",""))+LEN(SUBSTITUTE(SUBSTITUTE(SUBSTITUTE(E188," ",""),"0",""),"-",""))+LEN(SUBSTITUTE(SUBSTITUTE(SUBSTITUTE(F188," ",""),"0",""),"-",""))+LEN(SUBSTITUTE(SUBSTITUTE(SUBSTITUTE(E189," ",""),"0",""),"-",""))+LEN(SUBSTITUTE(SUBSTITUTE(SUBSTITUTE(F189," ",""),"0",""),"-",""))</f>
      </c>
      <c r="F184" s="14" t="str">
        <f>IF(UPPER(D185)="X",0,IF((LEN(SUBSTITUTE(SUBSTITUTE(SUBSTITUTE(E185," ",""),"0",""),"-",""))+LEN(SUBSTITUTE(SUBSTITUTE(SUBSTITUTE(F185," ",""),"0",""),"-","")))&gt;(LEN(SUBSTITUTE(SUBSTITUTE(SUBSTITUTE(B185," ",""),"0",""),"-",""))+LEN(SUBSTITUTE(SUBSTITUTE(SUBSTITUTE(C185," ",""),"0",""),"-",""))),1,0))+IF(UPPER(D186)="X",0,IF((LEN(SUBSTITUTE(SUBSTITUTE(SUBSTITUTE(E186," ",""),"0",""),"-",""))+LEN(SUBSTITUTE(SUBSTITUTE(SUBSTITUTE(F186," ",""),"0",""),"-","")))&gt;(LEN(SUBSTITUTE(SUBSTITUTE(SUBSTITUTE(B186," ",""),"0",""),"-",""))+LEN(SUBSTITUTE(SUBSTITUTE(SUBSTITUTE(C186," ",""),"0",""),"-",""))),1,0))+IF(UPPER(D187)="X",0,IF((LEN(SUBSTITUTE(SUBSTITUTE(SUBSTITUTE(E187," ",""),"0",""),"-",""))+LEN(SUBSTITUTE(SUBSTITUTE(SUBSTITUTE(F187," ",""),"0",""),"-","")))&gt;(LEN(SUBSTITUTE(SUBSTITUTE(SUBSTITUTE(B187," ",""),"0",""),"-",""))+LEN(SUBSTITUTE(SUBSTITUTE(SUBSTITUTE(C187," ",""),"0",""),"-",""))),1,0))+IF(UPPER(D188)="X",0,IF((LEN(SUBSTITUTE(SUBSTITUTE(SUBSTITUTE(E188," ",""),"0",""),"-",""))+LEN(SUBSTITUTE(SUBSTITUTE(SUBSTITUTE(F188," ",""),"0",""),"-","")))&gt;(LEN(SUBSTITUTE(SUBSTITUTE(SUBSTITUTE(B188," ",""),"0",""),"-",""))+LEN(SUBSTITUTE(SUBSTITUTE(SUBSTITUTE(C188," ",""),"0",""),"-",""))),1,0))+IF(UPPER(D189)="X",0,IF((LEN(SUBSTITUTE(SUBSTITUTE(SUBSTITUTE(E189," ",""),"0",""),"-",""))+LEN(SUBSTITUTE(SUBSTITUTE(SUBSTITUTE(F189," ",""),"0",""),"-","")))&gt;(LEN(SUBSTITUTE(SUBSTITUTE(SUBSTITUTE(B189," ",""),"0",""),"-",""))+LEN(SUBSTITUTE(SUBSTITUTE(SUBSTITUTE(C189," ",""),"0",""),"-",""))),1,0))</f>
      </c>
      <c r="G184" s="14" t="str">
        <f>data!$E$15&amp;" "&amp;data!$B$15</f>
      </c>
      <c r="I184" s="14" t="str">
        <f>data!$E$64&amp;" "&amp;data!$B$64</f>
      </c>
      <c r="J184" s="14" t="str">
        <f>IF(UPPER(L185)="X",0,IF((LEN(SUBSTITUTE(SUBSTITUTE(SUBSTITUTE(J185," ",""),"0",""),"-",""))+LEN(SUBSTITUTE(SUBSTITUTE(SUBSTITUTE(K185," ",""),"0",""),"-","")))&gt;(LEN(SUBSTITUTE(SUBSTITUTE(SUBSTITUTE(M185," ",""),"0",""),"-",""))+LEN(SUBSTITUTE(SUBSTITUTE(SUBSTITUTE(N185," ",""),"0",""),"-",""))),1,0))+IF(UPPER(L186)="X",0,IF((LEN(SUBSTITUTE(SUBSTITUTE(SUBSTITUTE(J186," ",""),"0",""),"-",""))+LEN(SUBSTITUTE(SUBSTITUTE(SUBSTITUTE(K186," ",""),"0",""),"-","")))&gt;(LEN(SUBSTITUTE(SUBSTITUTE(SUBSTITUTE(M186," ",""),"0",""),"-",""))+LEN(SUBSTITUTE(SUBSTITUTE(SUBSTITUTE(N186," ",""),"0",""),"-",""))),1,0))+IF(UPPER(L187)="X",0,IF((LEN(SUBSTITUTE(SUBSTITUTE(SUBSTITUTE(J187," ",""),"0",""),"-",""))+LEN(SUBSTITUTE(SUBSTITUTE(SUBSTITUTE(K187," ",""),"0",""),"-","")))&gt;(LEN(SUBSTITUTE(SUBSTITUTE(SUBSTITUTE(M187," ",""),"0",""),"-",""))+LEN(SUBSTITUTE(SUBSTITUTE(SUBSTITUTE(N187," ",""),"0",""),"-",""))),1,0))+IF(UPPER(L188)="X",0,IF((LEN(SUBSTITUTE(SUBSTITUTE(SUBSTITUTE(J188," ",""),"0",""),"-",""))+LEN(SUBSTITUTE(SUBSTITUTE(SUBSTITUTE(K188," ",""),"0",""),"-","")))&gt;(LEN(SUBSTITUTE(SUBSTITUTE(SUBSTITUTE(M188," ",""),"0",""),"-",""))+LEN(SUBSTITUTE(SUBSTITUTE(SUBSTITUTE(N188," ",""),"0",""),"-",""))),1,0))+IF(UPPER(L189)="X",0,IF((LEN(SUBSTITUTE(SUBSTITUTE(SUBSTITUTE(J189," ",""),"0",""),"-",""))+LEN(SUBSTITUTE(SUBSTITUTE(SUBSTITUTE(K189," ",""),"0",""),"-","")))&gt;(LEN(SUBSTITUTE(SUBSTITUTE(SUBSTITUTE(M189," ",""),"0",""),"-",""))+LEN(SUBSTITUTE(SUBSTITUTE(SUBSTITUTE(N189," ",""),"0",""),"-",""))),1,0))</f>
      </c>
      <c r="K184" s="14" t="str">
        <f>LEN(SUBSTITUTE(SUBSTITUTE(SUBSTITUTE(J185," ",""),"0",""),"-",""))+LEN(SUBSTITUTE(SUBSTITUTE(SUBSTITUTE(K185," ",""),"0",""),"-",""))+LEN(SUBSTITUTE(SUBSTITUTE(SUBSTITUTE(J186," ",""),"0",""),"-",""))+LEN(SUBSTITUTE(SUBSTITUTE(SUBSTITUTE(K186," ",""),"0",""),"-",""))+LEN(SUBSTITUTE(SUBSTITUTE(SUBSTITUTE(J187," ",""),"0",""),"-",""))+LEN(SUBSTITUTE(SUBSTITUTE(SUBSTITUTE(K187," ",""),"0",""),"-",""))+LEN(SUBSTITUTE(SUBSTITUTE(SUBSTITUTE(J188," ",""),"0",""),"-",""))+LEN(SUBSTITUTE(SUBSTITUTE(SUBSTITUTE(K188," ",""),"0",""),"-",""))+LEN(SUBSTITUTE(SUBSTITUTE(SUBSTITUTE(J189," ",""),"0",""),"-",""))+LEN(SUBSTITUTE(SUBSTITUTE(SUBSTITUTE(K189," ",""),"0",""),"-",""))</f>
      </c>
      <c r="L184" s="18"/>
      <c r="M184" s="14" t="str">
        <f>LEN(SUBSTITUTE(SUBSTITUTE(SUBSTITUTE(M185," ",""),"0",""),"-",""))+LEN(SUBSTITUTE(SUBSTITUTE(SUBSTITUTE(N185," ",""),"0",""),"-",""))+LEN(SUBSTITUTE(SUBSTITUTE(SUBSTITUTE(M186," ",""),"0",""),"-",""))+LEN(SUBSTITUTE(SUBSTITUTE(SUBSTITUTE(N186," ",""),"0",""),"-",""))+LEN(SUBSTITUTE(SUBSTITUTE(SUBSTITUTE(M187," ",""),"0",""),"-",""))+LEN(SUBSTITUTE(SUBSTITUTE(SUBSTITUTE(N187," ",""),"0",""),"-",""))+LEN(SUBSTITUTE(SUBSTITUTE(SUBSTITUTE(M188," ",""),"0",""),"-",""))+LEN(SUBSTITUTE(SUBSTITUTE(SUBSTITUTE(N188," ",""),"0",""),"-",""))+LEN(SUBSTITUTE(SUBSTITUTE(SUBSTITUTE(M189," ",""),"0",""),"-",""))+LEN(SUBSTITUTE(SUBSTITUTE(SUBSTITUTE(N189," ",""),"0",""),"-",""))</f>
      </c>
      <c r="N184" s="14" t="str">
        <f>IF(UPPER(L185)="X",0,IF((LEN(SUBSTITUTE(SUBSTITUTE(SUBSTITUTE(M185," ",""),"0",""),"-",""))+LEN(SUBSTITUTE(SUBSTITUTE(SUBSTITUTE(N185," ",""),"0",""),"-","")))&gt;(LEN(SUBSTITUTE(SUBSTITUTE(SUBSTITUTE(J185," ",""),"0",""),"-",""))+LEN(SUBSTITUTE(SUBSTITUTE(SUBSTITUTE(K185," ",""),"0",""),"-",""))),1,0))+IF(UPPER(L186)="X",0,IF((LEN(SUBSTITUTE(SUBSTITUTE(SUBSTITUTE(M186," ",""),"0",""),"-",""))+LEN(SUBSTITUTE(SUBSTITUTE(SUBSTITUTE(N186," ",""),"0",""),"-","")))&gt;(LEN(SUBSTITUTE(SUBSTITUTE(SUBSTITUTE(J186," ",""),"0",""),"-",""))+LEN(SUBSTITUTE(SUBSTITUTE(SUBSTITUTE(K186," ",""),"0",""),"-",""))),1,0))+IF(UPPER(L187)="X",0,IF((LEN(SUBSTITUTE(SUBSTITUTE(SUBSTITUTE(M187," ",""),"0",""),"-",""))+LEN(SUBSTITUTE(SUBSTITUTE(SUBSTITUTE(N187," ",""),"0",""),"-","")))&gt;(LEN(SUBSTITUTE(SUBSTITUTE(SUBSTITUTE(J187," ",""),"0",""),"-",""))+LEN(SUBSTITUTE(SUBSTITUTE(SUBSTITUTE(K187," ",""),"0",""),"-",""))),1,0))+IF(UPPER(L188)="X",0,IF((LEN(SUBSTITUTE(SUBSTITUTE(SUBSTITUTE(M188," ",""),"0",""),"-",""))+LEN(SUBSTITUTE(SUBSTITUTE(SUBSTITUTE(N188," ",""),"0",""),"-","")))&gt;(LEN(SUBSTITUTE(SUBSTITUTE(SUBSTITUTE(J188," ",""),"0",""),"-",""))+LEN(SUBSTITUTE(SUBSTITUTE(SUBSTITUTE(K188," ",""),"0",""),"-",""))),1,0))+IF(UPPER(L189)="X",0,IF((LEN(SUBSTITUTE(SUBSTITUTE(SUBSTITUTE(M189," ",""),"0",""),"-",""))+LEN(SUBSTITUTE(SUBSTITUTE(SUBSTITUTE(N189," ",""),"0",""),"-","")))&gt;(LEN(SUBSTITUTE(SUBSTITUTE(SUBSTITUTE(J189," ",""),"0",""),"-",""))+LEN(SUBSTITUTE(SUBSTITUTE(SUBSTITUTE(K189," ",""),"0",""),"-",""))),1,0))</f>
      </c>
      <c r="O184" s="14" t="str">
        <f>data!$E$62&amp;" "&amp;data!$B$62</f>
      </c>
    </row>
    <row r="185">
      <c r="A185" s="14">
        <v>1</v>
      </c>
      <c r="B185" s="18"/>
      <c r="C185" s="18"/>
      <c r="D185" s="18"/>
      <c r="E185" s="18"/>
      <c r="F185" s="18"/>
      <c r="G185" s="14">
        <v>1</v>
      </c>
      <c r="I185" s="14">
        <v>1</v>
      </c>
      <c r="J185" s="18"/>
      <c r="K185" s="18"/>
      <c r="L185" s="18"/>
      <c r="M185" s="18"/>
      <c r="N185" s="18"/>
      <c r="O185" s="14">
        <v>1</v>
      </c>
    </row>
    <row r="186">
      <c r="A186" s="14">
        <v>2</v>
      </c>
      <c r="B186" s="18"/>
      <c r="C186" s="18"/>
      <c r="D186" s="18"/>
      <c r="E186" s="18"/>
      <c r="F186" s="18"/>
      <c r="G186" s="14">
        <v>2</v>
      </c>
      <c r="I186" s="14">
        <v>2</v>
      </c>
      <c r="J186" s="18"/>
      <c r="K186" s="18"/>
      <c r="L186" s="18"/>
      <c r="M186" s="18"/>
      <c r="N186" s="18"/>
      <c r="O186" s="14">
        <v>2</v>
      </c>
    </row>
    <row r="187">
      <c r="A187" s="14">
        <v>3</v>
      </c>
      <c r="B187" s="18"/>
      <c r="C187" s="18"/>
      <c r="D187" s="18"/>
      <c r="E187" s="18"/>
      <c r="F187" s="18"/>
      <c r="G187" s="14">
        <v>3</v>
      </c>
      <c r="I187" s="14">
        <v>3</v>
      </c>
      <c r="J187" s="18"/>
      <c r="K187" s="18"/>
      <c r="L187" s="18"/>
      <c r="M187" s="18"/>
      <c r="N187" s="18"/>
      <c r="O187" s="14">
        <v>3</v>
      </c>
    </row>
    <row r="188">
      <c r="A188" s="14">
        <v>4</v>
      </c>
      <c r="B188" s="18"/>
      <c r="C188" s="18"/>
      <c r="D188" s="18"/>
      <c r="E188" s="18"/>
      <c r="F188" s="18"/>
      <c r="G188" s="14">
        <v>4</v>
      </c>
      <c r="I188" s="14">
        <v>4</v>
      </c>
      <c r="J188" s="18"/>
      <c r="K188" s="18"/>
      <c r="L188" s="18"/>
      <c r="M188" s="18"/>
      <c r="N188" s="18"/>
      <c r="O188" s="14">
        <v>4</v>
      </c>
    </row>
    <row r="189">
      <c r="A189" s="14">
        <v>5</v>
      </c>
      <c r="B189" s="18"/>
      <c r="C189" s="18"/>
      <c r="D189" s="18"/>
      <c r="E189" s="18"/>
      <c r="F189" s="18"/>
      <c r="G189" s="14">
        <v>5</v>
      </c>
      <c r="I189" s="14">
        <v>5</v>
      </c>
      <c r="J189" s="18"/>
      <c r="K189" s="18"/>
      <c r="L189" s="18"/>
      <c r="M189" s="18"/>
      <c r="N189" s="18"/>
      <c r="O189" s="14">
        <v>5</v>
      </c>
    </row>
    <row r="191">
      <c r="A191" s="17" t="s">
        <v>331</v>
      </c>
      <c r="B191" s="14"/>
      <c r="C191" s="14"/>
      <c r="D191" s="14" t="s">
        <v>332</v>
      </c>
      <c r="E191" s="14"/>
      <c r="F191" s="14"/>
      <c r="G191" s="16" t="s">
        <v>333</v>
      </c>
      <c r="I191" s="17" t="s">
        <v>331</v>
      </c>
      <c r="J191" s="14"/>
      <c r="K191" s="14"/>
      <c r="L191" s="14" t="s">
        <v>332</v>
      </c>
      <c r="M191" s="14"/>
      <c r="N191" s="14"/>
      <c r="O191" s="16" t="s">
        <v>333</v>
      </c>
    </row>
    <row r="192">
      <c r="A192" s="14" t="str">
        <f>data!$E$17&amp;" "&amp;data!$B$17</f>
      </c>
      <c r="B192" s="14" t="str">
        <f>IF(UPPER(D193)="X",0,IF((LEN(SUBSTITUTE(SUBSTITUTE(SUBSTITUTE(B193," ",""),"0",""),"-",""))+LEN(SUBSTITUTE(SUBSTITUTE(SUBSTITUTE(C193," ",""),"0",""),"-","")))&gt;(LEN(SUBSTITUTE(SUBSTITUTE(SUBSTITUTE(E193," ",""),"0",""),"-",""))+LEN(SUBSTITUTE(SUBSTITUTE(SUBSTITUTE(F193," ",""),"0",""),"-",""))),1,0))+IF(UPPER(D194)="X",0,IF((LEN(SUBSTITUTE(SUBSTITUTE(SUBSTITUTE(B194," ",""),"0",""),"-",""))+LEN(SUBSTITUTE(SUBSTITUTE(SUBSTITUTE(C194," ",""),"0",""),"-","")))&gt;(LEN(SUBSTITUTE(SUBSTITUTE(SUBSTITUTE(E194," ",""),"0",""),"-",""))+LEN(SUBSTITUTE(SUBSTITUTE(SUBSTITUTE(F194," ",""),"0",""),"-",""))),1,0))+IF(UPPER(D195)="X",0,IF((LEN(SUBSTITUTE(SUBSTITUTE(SUBSTITUTE(B195," ",""),"0",""),"-",""))+LEN(SUBSTITUTE(SUBSTITUTE(SUBSTITUTE(C195," ",""),"0",""),"-","")))&gt;(LEN(SUBSTITUTE(SUBSTITUTE(SUBSTITUTE(E195," ",""),"0",""),"-",""))+LEN(SUBSTITUTE(SUBSTITUTE(SUBSTITUTE(F195," ",""),"0",""),"-",""))),1,0))+IF(UPPER(D196)="X",0,IF((LEN(SUBSTITUTE(SUBSTITUTE(SUBSTITUTE(B196," ",""),"0",""),"-",""))+LEN(SUBSTITUTE(SUBSTITUTE(SUBSTITUTE(C196," ",""),"0",""),"-","")))&gt;(LEN(SUBSTITUTE(SUBSTITUTE(SUBSTITUTE(E196," ",""),"0",""),"-",""))+LEN(SUBSTITUTE(SUBSTITUTE(SUBSTITUTE(F196," ",""),"0",""),"-",""))),1,0))+IF(UPPER(D197)="X",0,IF((LEN(SUBSTITUTE(SUBSTITUTE(SUBSTITUTE(B197," ",""),"0",""),"-",""))+LEN(SUBSTITUTE(SUBSTITUTE(SUBSTITUTE(C197," ",""),"0",""),"-","")))&gt;(LEN(SUBSTITUTE(SUBSTITUTE(SUBSTITUTE(E197," ",""),"0",""),"-",""))+LEN(SUBSTITUTE(SUBSTITUTE(SUBSTITUTE(F197," ",""),"0",""),"-",""))),1,0))</f>
      </c>
      <c r="C192" s="14" t="str">
        <f>LEN(SUBSTITUTE(SUBSTITUTE(SUBSTITUTE(B193," ",""),"0",""),"-",""))+LEN(SUBSTITUTE(SUBSTITUTE(SUBSTITUTE(C193," ",""),"0",""),"-",""))+LEN(SUBSTITUTE(SUBSTITUTE(SUBSTITUTE(B194," ",""),"0",""),"-",""))+LEN(SUBSTITUTE(SUBSTITUTE(SUBSTITUTE(C194," ",""),"0",""),"-",""))+LEN(SUBSTITUTE(SUBSTITUTE(SUBSTITUTE(B195," ",""),"0",""),"-",""))+LEN(SUBSTITUTE(SUBSTITUTE(SUBSTITUTE(C195," ",""),"0",""),"-",""))+LEN(SUBSTITUTE(SUBSTITUTE(SUBSTITUTE(B196," ",""),"0",""),"-",""))+LEN(SUBSTITUTE(SUBSTITUTE(SUBSTITUTE(C196," ",""),"0",""),"-",""))+LEN(SUBSTITUTE(SUBSTITUTE(SUBSTITUTE(B197," ",""),"0",""),"-",""))+LEN(SUBSTITUTE(SUBSTITUTE(SUBSTITUTE(C197," ",""),"0",""),"-",""))</f>
      </c>
      <c r="D192" s="18"/>
      <c r="E192" s="14" t="str">
        <f>LEN(SUBSTITUTE(SUBSTITUTE(SUBSTITUTE(E193," ",""),"0",""),"-",""))+LEN(SUBSTITUTE(SUBSTITUTE(SUBSTITUTE(F193," ",""),"0",""),"-",""))+LEN(SUBSTITUTE(SUBSTITUTE(SUBSTITUTE(E194," ",""),"0",""),"-",""))+LEN(SUBSTITUTE(SUBSTITUTE(SUBSTITUTE(F194," ",""),"0",""),"-",""))+LEN(SUBSTITUTE(SUBSTITUTE(SUBSTITUTE(E195," ",""),"0",""),"-",""))+LEN(SUBSTITUTE(SUBSTITUTE(SUBSTITUTE(F195," ",""),"0",""),"-",""))+LEN(SUBSTITUTE(SUBSTITUTE(SUBSTITUTE(E196," ",""),"0",""),"-",""))+LEN(SUBSTITUTE(SUBSTITUTE(SUBSTITUTE(F196," ",""),"0",""),"-",""))+LEN(SUBSTITUTE(SUBSTITUTE(SUBSTITUTE(E197," ",""),"0",""),"-",""))+LEN(SUBSTITUTE(SUBSTITUTE(SUBSTITUTE(F197," ",""),"0",""),"-",""))</f>
      </c>
      <c r="F192" s="14" t="str">
        <f>IF(UPPER(D193)="X",0,IF((LEN(SUBSTITUTE(SUBSTITUTE(SUBSTITUTE(E193," ",""),"0",""),"-",""))+LEN(SUBSTITUTE(SUBSTITUTE(SUBSTITUTE(F193," ",""),"0",""),"-","")))&gt;(LEN(SUBSTITUTE(SUBSTITUTE(SUBSTITUTE(B193," ",""),"0",""),"-",""))+LEN(SUBSTITUTE(SUBSTITUTE(SUBSTITUTE(C193," ",""),"0",""),"-",""))),1,0))+IF(UPPER(D194)="X",0,IF((LEN(SUBSTITUTE(SUBSTITUTE(SUBSTITUTE(E194," ",""),"0",""),"-",""))+LEN(SUBSTITUTE(SUBSTITUTE(SUBSTITUTE(F194," ",""),"0",""),"-","")))&gt;(LEN(SUBSTITUTE(SUBSTITUTE(SUBSTITUTE(B194," ",""),"0",""),"-",""))+LEN(SUBSTITUTE(SUBSTITUTE(SUBSTITUTE(C194," ",""),"0",""),"-",""))),1,0))+IF(UPPER(D195)="X",0,IF((LEN(SUBSTITUTE(SUBSTITUTE(SUBSTITUTE(E195," ",""),"0",""),"-",""))+LEN(SUBSTITUTE(SUBSTITUTE(SUBSTITUTE(F195," ",""),"0",""),"-","")))&gt;(LEN(SUBSTITUTE(SUBSTITUTE(SUBSTITUTE(B195," ",""),"0",""),"-",""))+LEN(SUBSTITUTE(SUBSTITUTE(SUBSTITUTE(C195," ",""),"0",""),"-",""))),1,0))+IF(UPPER(D196)="X",0,IF((LEN(SUBSTITUTE(SUBSTITUTE(SUBSTITUTE(E196," ",""),"0",""),"-",""))+LEN(SUBSTITUTE(SUBSTITUTE(SUBSTITUTE(F196," ",""),"0",""),"-","")))&gt;(LEN(SUBSTITUTE(SUBSTITUTE(SUBSTITUTE(B196," ",""),"0",""),"-",""))+LEN(SUBSTITUTE(SUBSTITUTE(SUBSTITUTE(C196," ",""),"0",""),"-",""))),1,0))+IF(UPPER(D197)="X",0,IF((LEN(SUBSTITUTE(SUBSTITUTE(SUBSTITUTE(E197," ",""),"0",""),"-",""))+LEN(SUBSTITUTE(SUBSTITUTE(SUBSTITUTE(F197," ",""),"0",""),"-","")))&gt;(LEN(SUBSTITUTE(SUBSTITUTE(SUBSTITUTE(B197," ",""),"0",""),"-",""))+LEN(SUBSTITUTE(SUBSTITUTE(SUBSTITUTE(C197," ",""),"0",""),"-",""))),1,0))</f>
      </c>
      <c r="G192" s="14" t="str">
        <f>data!$E$16&amp;" "&amp;data!$B$16</f>
      </c>
      <c r="I192" s="14" t="str">
        <f>data!$E$64&amp;" "&amp;data!$B$64</f>
      </c>
      <c r="J192" s="14" t="str">
        <f>IF(UPPER(L193)="X",0,IF((LEN(SUBSTITUTE(SUBSTITUTE(SUBSTITUTE(J193," ",""),"0",""),"-",""))+LEN(SUBSTITUTE(SUBSTITUTE(SUBSTITUTE(K193," ",""),"0",""),"-","")))&gt;(LEN(SUBSTITUTE(SUBSTITUTE(SUBSTITUTE(M193," ",""),"0",""),"-",""))+LEN(SUBSTITUTE(SUBSTITUTE(SUBSTITUTE(N193," ",""),"0",""),"-",""))),1,0))+IF(UPPER(L194)="X",0,IF((LEN(SUBSTITUTE(SUBSTITUTE(SUBSTITUTE(J194," ",""),"0",""),"-",""))+LEN(SUBSTITUTE(SUBSTITUTE(SUBSTITUTE(K194," ",""),"0",""),"-","")))&gt;(LEN(SUBSTITUTE(SUBSTITUTE(SUBSTITUTE(M194," ",""),"0",""),"-",""))+LEN(SUBSTITUTE(SUBSTITUTE(SUBSTITUTE(N194," ",""),"0",""),"-",""))),1,0))+IF(UPPER(L195)="X",0,IF((LEN(SUBSTITUTE(SUBSTITUTE(SUBSTITUTE(J195," ",""),"0",""),"-",""))+LEN(SUBSTITUTE(SUBSTITUTE(SUBSTITUTE(K195," ",""),"0",""),"-","")))&gt;(LEN(SUBSTITUTE(SUBSTITUTE(SUBSTITUTE(M195," ",""),"0",""),"-",""))+LEN(SUBSTITUTE(SUBSTITUTE(SUBSTITUTE(N195," ",""),"0",""),"-",""))),1,0))+IF(UPPER(L196)="X",0,IF((LEN(SUBSTITUTE(SUBSTITUTE(SUBSTITUTE(J196," ",""),"0",""),"-",""))+LEN(SUBSTITUTE(SUBSTITUTE(SUBSTITUTE(K196," ",""),"0",""),"-","")))&gt;(LEN(SUBSTITUTE(SUBSTITUTE(SUBSTITUTE(M196," ",""),"0",""),"-",""))+LEN(SUBSTITUTE(SUBSTITUTE(SUBSTITUTE(N196," ",""),"0",""),"-",""))),1,0))+IF(UPPER(L197)="X",0,IF((LEN(SUBSTITUTE(SUBSTITUTE(SUBSTITUTE(J197," ",""),"0",""),"-",""))+LEN(SUBSTITUTE(SUBSTITUTE(SUBSTITUTE(K197," ",""),"0",""),"-","")))&gt;(LEN(SUBSTITUTE(SUBSTITUTE(SUBSTITUTE(M197," ",""),"0",""),"-",""))+LEN(SUBSTITUTE(SUBSTITUTE(SUBSTITUTE(N197," ",""),"0",""),"-",""))),1,0))</f>
      </c>
      <c r="K192" s="14" t="str">
        <f>LEN(SUBSTITUTE(SUBSTITUTE(SUBSTITUTE(J193," ",""),"0",""),"-",""))+LEN(SUBSTITUTE(SUBSTITUTE(SUBSTITUTE(K193," ",""),"0",""),"-",""))+LEN(SUBSTITUTE(SUBSTITUTE(SUBSTITUTE(J194," ",""),"0",""),"-",""))+LEN(SUBSTITUTE(SUBSTITUTE(SUBSTITUTE(K194," ",""),"0",""),"-",""))+LEN(SUBSTITUTE(SUBSTITUTE(SUBSTITUTE(J195," ",""),"0",""),"-",""))+LEN(SUBSTITUTE(SUBSTITUTE(SUBSTITUTE(K195," ",""),"0",""),"-",""))+LEN(SUBSTITUTE(SUBSTITUTE(SUBSTITUTE(J196," ",""),"0",""),"-",""))+LEN(SUBSTITUTE(SUBSTITUTE(SUBSTITUTE(K196," ",""),"0",""),"-",""))+LEN(SUBSTITUTE(SUBSTITUTE(SUBSTITUTE(J197," ",""),"0",""),"-",""))+LEN(SUBSTITUTE(SUBSTITUTE(SUBSTITUTE(K197," ",""),"0",""),"-",""))</f>
      </c>
      <c r="L192" s="18"/>
      <c r="M192" s="14" t="str">
        <f>LEN(SUBSTITUTE(SUBSTITUTE(SUBSTITUTE(M193," ",""),"0",""),"-",""))+LEN(SUBSTITUTE(SUBSTITUTE(SUBSTITUTE(N193," ",""),"0",""),"-",""))+LEN(SUBSTITUTE(SUBSTITUTE(SUBSTITUTE(M194," ",""),"0",""),"-",""))+LEN(SUBSTITUTE(SUBSTITUTE(SUBSTITUTE(N194," ",""),"0",""),"-",""))+LEN(SUBSTITUTE(SUBSTITUTE(SUBSTITUTE(M195," ",""),"0",""),"-",""))+LEN(SUBSTITUTE(SUBSTITUTE(SUBSTITUTE(N195," ",""),"0",""),"-",""))+LEN(SUBSTITUTE(SUBSTITUTE(SUBSTITUTE(M196," ",""),"0",""),"-",""))+LEN(SUBSTITUTE(SUBSTITUTE(SUBSTITUTE(N196," ",""),"0",""),"-",""))+LEN(SUBSTITUTE(SUBSTITUTE(SUBSTITUTE(M197," ",""),"0",""),"-",""))+LEN(SUBSTITUTE(SUBSTITUTE(SUBSTITUTE(N197," ",""),"0",""),"-",""))</f>
      </c>
      <c r="N192" s="14" t="str">
        <f>IF(UPPER(L193)="X",0,IF((LEN(SUBSTITUTE(SUBSTITUTE(SUBSTITUTE(M193," ",""),"0",""),"-",""))+LEN(SUBSTITUTE(SUBSTITUTE(SUBSTITUTE(N193," ",""),"0",""),"-","")))&gt;(LEN(SUBSTITUTE(SUBSTITUTE(SUBSTITUTE(J193," ",""),"0",""),"-",""))+LEN(SUBSTITUTE(SUBSTITUTE(SUBSTITUTE(K193," ",""),"0",""),"-",""))),1,0))+IF(UPPER(L194)="X",0,IF((LEN(SUBSTITUTE(SUBSTITUTE(SUBSTITUTE(M194," ",""),"0",""),"-",""))+LEN(SUBSTITUTE(SUBSTITUTE(SUBSTITUTE(N194," ",""),"0",""),"-","")))&gt;(LEN(SUBSTITUTE(SUBSTITUTE(SUBSTITUTE(J194," ",""),"0",""),"-",""))+LEN(SUBSTITUTE(SUBSTITUTE(SUBSTITUTE(K194," ",""),"0",""),"-",""))),1,0))+IF(UPPER(L195)="X",0,IF((LEN(SUBSTITUTE(SUBSTITUTE(SUBSTITUTE(M195," ",""),"0",""),"-",""))+LEN(SUBSTITUTE(SUBSTITUTE(SUBSTITUTE(N195," ",""),"0",""),"-","")))&gt;(LEN(SUBSTITUTE(SUBSTITUTE(SUBSTITUTE(J195," ",""),"0",""),"-",""))+LEN(SUBSTITUTE(SUBSTITUTE(SUBSTITUTE(K195," ",""),"0",""),"-",""))),1,0))+IF(UPPER(L196)="X",0,IF((LEN(SUBSTITUTE(SUBSTITUTE(SUBSTITUTE(M196," ",""),"0",""),"-",""))+LEN(SUBSTITUTE(SUBSTITUTE(SUBSTITUTE(N196," ",""),"0",""),"-","")))&gt;(LEN(SUBSTITUTE(SUBSTITUTE(SUBSTITUTE(J196," ",""),"0",""),"-",""))+LEN(SUBSTITUTE(SUBSTITUTE(SUBSTITUTE(K196," ",""),"0",""),"-",""))),1,0))+IF(UPPER(L197)="X",0,IF((LEN(SUBSTITUTE(SUBSTITUTE(SUBSTITUTE(M197," ",""),"0",""),"-",""))+LEN(SUBSTITUTE(SUBSTITUTE(SUBSTITUTE(N197," ",""),"0",""),"-","")))&gt;(LEN(SUBSTITUTE(SUBSTITUTE(SUBSTITUTE(J197," ",""),"0",""),"-",""))+LEN(SUBSTITUTE(SUBSTITUTE(SUBSTITUTE(K197," ",""),"0",""),"-",""))),1,0))</f>
      </c>
      <c r="O192" s="14" t="str">
        <f>data!$E$63&amp;" "&amp;data!$B$63</f>
      </c>
    </row>
    <row r="193">
      <c r="A193" s="14">
        <v>1</v>
      </c>
      <c r="B193" s="18"/>
      <c r="C193" s="18"/>
      <c r="D193" s="18"/>
      <c r="E193" s="18"/>
      <c r="F193" s="18"/>
      <c r="G193" s="14">
        <v>1</v>
      </c>
      <c r="I193" s="14">
        <v>1</v>
      </c>
      <c r="J193" s="18"/>
      <c r="K193" s="18"/>
      <c r="L193" s="18"/>
      <c r="M193" s="18"/>
      <c r="N193" s="18"/>
      <c r="O193" s="14">
        <v>1</v>
      </c>
    </row>
    <row r="194">
      <c r="A194" s="14">
        <v>2</v>
      </c>
      <c r="B194" s="18"/>
      <c r="C194" s="18"/>
      <c r="D194" s="18"/>
      <c r="E194" s="18"/>
      <c r="F194" s="18"/>
      <c r="G194" s="14">
        <v>2</v>
      </c>
      <c r="I194" s="14">
        <v>2</v>
      </c>
      <c r="J194" s="18"/>
      <c r="K194" s="18"/>
      <c r="L194" s="18"/>
      <c r="M194" s="18"/>
      <c r="N194" s="18"/>
      <c r="O194" s="14">
        <v>2</v>
      </c>
    </row>
    <row r="195">
      <c r="A195" s="14">
        <v>3</v>
      </c>
      <c r="B195" s="18"/>
      <c r="C195" s="18"/>
      <c r="D195" s="18"/>
      <c r="E195" s="18"/>
      <c r="F195" s="18"/>
      <c r="G195" s="14">
        <v>3</v>
      </c>
      <c r="I195" s="14">
        <v>3</v>
      </c>
      <c r="J195" s="18"/>
      <c r="K195" s="18"/>
      <c r="L195" s="18"/>
      <c r="M195" s="18"/>
      <c r="N195" s="18"/>
      <c r="O195" s="14">
        <v>3</v>
      </c>
    </row>
    <row r="196">
      <c r="A196" s="14">
        <v>4</v>
      </c>
      <c r="B196" s="18"/>
      <c r="C196" s="18"/>
      <c r="D196" s="18"/>
      <c r="E196" s="18"/>
      <c r="F196" s="18"/>
      <c r="G196" s="14">
        <v>4</v>
      </c>
      <c r="I196" s="14">
        <v>4</v>
      </c>
      <c r="J196" s="18"/>
      <c r="K196" s="18"/>
      <c r="L196" s="18"/>
      <c r="M196" s="18"/>
      <c r="N196" s="18"/>
      <c r="O196" s="14">
        <v>4</v>
      </c>
    </row>
    <row r="197">
      <c r="A197" s="14">
        <v>5</v>
      </c>
      <c r="B197" s="18"/>
      <c r="C197" s="18"/>
      <c r="D197" s="18"/>
      <c r="E197" s="18"/>
      <c r="F197" s="18"/>
      <c r="G197" s="14">
        <v>5</v>
      </c>
      <c r="I197" s="14">
        <v>5</v>
      </c>
      <c r="J197" s="18"/>
      <c r="K197" s="18"/>
      <c r="L197" s="18"/>
      <c r="M197" s="18"/>
      <c r="N197" s="18"/>
      <c r="O197" s="14">
        <v>5</v>
      </c>
    </row>
    <row r="200">
      <c r="A200" s="13" t="s">
        <v>334</v>
      </c>
      <c r="B200" s="13" t="s">
        <v>335</v>
      </c>
      <c r="C200" s="13" t="s">
        <v>336</v>
      </c>
      <c r="D200" s="13" t="s">
        <v>337</v>
      </c>
      <c r="E200" s="13"/>
      <c r="F200" s="13"/>
      <c r="G200" s="13" t="s">
        <v>338</v>
      </c>
      <c r="I200" s="13" t="s">
        <v>334</v>
      </c>
      <c r="J200" s="13" t="s">
        <v>335</v>
      </c>
      <c r="K200" s="13" t="s">
        <v>336</v>
      </c>
      <c r="L200" s="13" t="s">
        <v>337</v>
      </c>
      <c r="M200" s="13"/>
      <c r="N200" s="13"/>
      <c r="O200" s="13" t="s">
        <v>338</v>
      </c>
    </row>
    <row r="201">
      <c r="A201" s="14" t="str">
        <f>data!$E$15&amp;" "&amp;data!$B$15</f>
      </c>
      <c r="B201" s="14" t="str">
        <f>IF(OR(COUNTA(B177:C181,E177:F181)&gt;0,D177="X",D177="x",D178="X",D178="x",D179="X",D179="x",D180="X",D180="x",D181="X",D181="x",OR(D176="X",D176="x")),IF(OR(OR(D176="X",D176="x"),AND(B176=F176,C176=E176)),0,IF(OR(F176&gt;B176,AND(F176=B176,E176&gt;C176)),1,0)),0)+IF(OR(COUNTA(B185:C189,E185:F189)&gt;0,D185="X",D185="x",D186="X",D186="x",D187="X",D187="x",D188="X",D188="x",D189="X",D189="x",OR(D184="X",D184="x")),IF(OR(OR(D184="X",D184="x"),AND(B184=F184,C184=E184)),0,IF(OR(F184&gt;B184,AND(F184=B184,E184&gt;C184)),1,0)),0)</f>
      </c>
      <c r="C201" s="14" t="str">
        <f>IF(OR(COUNTA(B177:C181,E177:F181)&gt;0,D177="X",D177="x",D178="X",D178="x",D179="X",D179="x",D180="X",D180="x",D181="X",D181="x",OR(D176="X",D176="x")),IF(OR(OR(D176="X",D176="x"),AND(B176=F176,C176=E176)),0,IF(OR(F176&lt;B176,AND(F176=B176,E176&lt;C176)),1,0)),0)+IF(OR(COUNTA(B185:C189,E185:F189)&gt;0,D185="X",D185="x",D186="X",D186="x",D187="X",D187="x",D188="X",D188="x",D189="X",D189="x",OR(D184="X",D184="x")),IF(OR(OR(D184="X",D184="x"),AND(B184=F184,C184=E184)),0,IF(OR(F184&lt;B184,AND(F184=B184,E184&lt;C184)),1,0)),0)</f>
      </c>
      <c r="D201" s="14" t="str">
        <f>IF(OR(COUNTA(B177:C181,E177:F181)&gt;0,D177="X",D177="x",D178="X",D178="x",D179="X",D179="x",D180="X",D180="x",D181="X",D181="x",OR(D176="X",D176="x")),IF(OR(OR(D176="X",D176="x"),AND(B176=F176,C176=E176)),1,0),0)+IF(OR(COUNTA(B185:C189,E185:F189)&gt;0,D185="X",D185="x",D186="X",D186="x",D187="X",D187="x",D188="X",D188="x",D189="X",D189="x",OR(D184="X",D184="x")),IF(OR(OR(D184="X",D184="x"),AND(B184=F184,C184=E184)),1,0),0)</f>
      </c>
      <c r="G201" s="18" t="str">
        <f>RANK(U201,$U$201:$U$203)+COUNTIF($U$200:U200,U201)</f>
      </c>
      <c r="I201" s="14" t="str">
        <f>data!$E$62&amp;" "&amp;data!$B$62</f>
      </c>
      <c r="J201" s="14" t="str">
        <f>IF(OR(COUNTA(J177:K181,M177:N181)&gt;0,L177="X",L177="x",L178="X",L178="x",L179="X",L179="x",L180="X",L180="x",L181="X",L181="x",OR(L176="X",L176="x")),IF(OR(OR(L176="X",L176="x"),AND(J176=N176,K176=M176)),0,IF(OR(N176&gt;J176,AND(N176=J176,M176&gt;K176)),1,0)),0)+IF(OR(COUNTA(J185:K189,M185:N189)&gt;0,L185="X",L185="x",L186="X",L186="x",L187="X",L187="x",L188="X",L188="x",L189="X",L189="x",OR(L184="X",L184="x")),IF(OR(OR(L184="X",L184="x"),AND(J184=N184,K184=M184)),0,IF(OR(N184&gt;J184,AND(N184=J184,M184&gt;K184)),1,0)),0)</f>
      </c>
      <c r="K201" s="14" t="str">
        <f>IF(OR(COUNTA(J177:K181,M177:N181)&gt;0,L177="X",L177="x",L178="X",L178="x",L179="X",L179="x",L180="X",L180="x",L181="X",L181="x",OR(L176="X",L176="x")),IF(OR(OR(L176="X",L176="x"),AND(J176=N176,K176=M176)),0,IF(OR(N176&lt;J176,AND(N176=J176,M176&lt;K176)),1,0)),0)+IF(OR(COUNTA(J185:K189,M185:N189)&gt;0,L185="X",L185="x",L186="X",L186="x",L187="X",L187="x",L188="X",L188="x",L189="X",L189="x",OR(L184="X",L184="x")),IF(OR(OR(L184="X",L184="x"),AND(J184=N184,K184=M184)),0,IF(OR(N184&lt;J184,AND(N184=J184,M184&lt;K184)),1,0)),0)</f>
      </c>
      <c r="L201" s="14" t="str">
        <f>IF(OR(COUNTA(J177:K181,M177:N181)&gt;0,L177="X",L177="x",L178="X",L178="x",L179="X",L179="x",L180="X",L180="x",L181="X",L181="x",OR(L176="X",L176="x")),IF(OR(OR(L176="X",L176="x"),AND(J176=N176,K176=M176)),1,0),0)+IF(OR(COUNTA(J185:K189,M185:N189)&gt;0,L185="X",L185="x",L186="X",L186="x",L187="X",L187="x",L188="X",L188="x",L189="X",L189="x",OR(L184="X",L184="x")),IF(OR(OR(L184="X",L184="x"),AND(J184=N184,K184=M184)),1,0),0)</f>
      </c>
      <c r="O201" s="18" t="str">
        <f>RANK(AC201,$AC$201:$AC$203)+COUNTIF($AC$200:AC200,AC201)</f>
      </c>
      <c r="U201" t="str">
        <f>(B201*1000000000)-(C201*10000000)+(D201*100000)+(B206*1000)-(C206*100)+(D206*10)+(E206*1)-(F206*0.01)</f>
      </c>
      <c r="AC201" t="str">
        <f>(J201*1000000000)-(K201*10000000)+(L201*100000)+(J206*1000)-(K206*100)+(L206*10)+(M206*1)-(N206*0.01)</f>
      </c>
    </row>
    <row r="202">
      <c r="A202" s="14" t="str">
        <f>data!$E$16&amp;" "&amp;data!$B$16</f>
      </c>
      <c r="B202" s="14" t="str">
        <f>IF(OR(COUNTA(B177:C181,E177:F181)&gt;0,D177="X",D177="x",D178="X",D178="x",D179="X",D179="x",D180="X",D180="x",D181="X",D181="x",OR(D176="X",D176="x")),IF(OR(OR(D176="X",D176="x"),AND(B176=F176,C176=E176)),0,IF(OR(B176&gt;F176,AND(B176=F176,C176&gt;E176)),1,0)),0)+IF(OR(COUNTA(B193:C197,E193:F197)&gt;0,D193="X",D193="x",D194="X",D194="x",D195="X",D195="x",D196="X",D196="x",D197="X",D197="x",OR(D192="X",D192="x")),IF(OR(OR(D192="X",D192="x"),AND(B192=F192,C192=E192)),0,IF(OR(F192&gt;B192,AND(F192=B192,E192&gt;C192)),1,0)),0)</f>
      </c>
      <c r="C202" s="14" t="str">
        <f>IF(OR(COUNTA(B177:C181,E177:F181)&gt;0,D177="X",D177="x",D178="X",D178="x",D179="X",D179="x",D180="X",D180="x",D181="X",D181="x",OR(D176="X",D176="x")),IF(OR(OR(D176="X",D176="x"),AND(B176=F176,C176=E176)),0,IF(OR(B176&lt;F176,AND(B176=F176,C176&lt;E176)),1,0)),0)+IF(OR(COUNTA(B193:C197,E193:F197)&gt;0,D193="X",D193="x",D194="X",D194="x",D195="X",D195="x",D196="X",D196="x",D197="X",D197="x",OR(D192="X",D192="x")),IF(OR(OR(D192="X",D192="x"),AND(B192=F192,C192=E192)),0,IF(OR(F192&lt;B192,AND(F192=B192,E192&lt;C192)),1,0)),0)</f>
      </c>
      <c r="D202" s="14" t="str">
        <f>IF(OR(COUNTA(B177:C181,E177:F181)&gt;0,D177="X",D177="x",D178="X",D178="x",D179="X",D179="x",D180="X",D180="x",D181="X",D181="x",OR(D176="X",D176="x")),IF(OR(OR(D176="X",D176="x"),AND(B176=F176,C176=E176)),1,0),0)+IF(OR(COUNTA(B193:C197,E193:F197)&gt;0,D193="X",D193="x",D194="X",D194="x",D195="X",D195="x",D196="X",D196="x",D197="X",D197="x",OR(D192="X",D192="x")),IF(OR(OR(D192="X",D192="x"),AND(B192=F192,C192=E192)),1,0),0)</f>
      </c>
      <c r="G202" s="18" t="str">
        <f>RANK(U202,$U$201:$U$203)+COUNTIF($U$200:U201,U202)</f>
      </c>
      <c r="I202" s="14" t="str">
        <f>data!$E$63&amp;" "&amp;data!$B$63</f>
      </c>
      <c r="J202" s="14" t="str">
        <f>IF(OR(COUNTA(J177:K181,M177:N181)&gt;0,L177="X",L177="x",L178="X",L178="x",L179="X",L179="x",L180="X",L180="x",L181="X",L181="x",OR(L176="X",L176="x")),IF(OR(OR(L176="X",L176="x"),AND(J176=N176,K176=M176)),0,IF(OR(J176&gt;N176,AND(J176=N176,K176&gt;M176)),1,0)),0)+IF(OR(COUNTA(J193:K197,M193:N197)&gt;0,L193="X",L193="x",L194="X",L194="x",L195="X",L195="x",L196="X",L196="x",L197="X",L197="x",OR(L192="X",L192="x")),IF(OR(OR(L192="X",L192="x"),AND(J192=N192,K192=M192)),0,IF(OR(N192&gt;J192,AND(N192=J192,M192&gt;K192)),1,0)),0)</f>
      </c>
      <c r="K202" s="14" t="str">
        <f>IF(OR(COUNTA(J177:K181,M177:N181)&gt;0,L177="X",L177="x",L178="X",L178="x",L179="X",L179="x",L180="X",L180="x",L181="X",L181="x",OR(L176="X",L176="x")),IF(OR(OR(L176="X",L176="x"),AND(J176=N176,K176=M176)),0,IF(OR(J176&lt;N176,AND(J176=N176,K176&lt;M176)),1,0)),0)+IF(OR(COUNTA(J193:K197,M193:N197)&gt;0,L193="X",L193="x",L194="X",L194="x",L195="X",L195="x",L196="X",L196="x",L197="X",L197="x",OR(L192="X",L192="x")),IF(OR(OR(L192="X",L192="x"),AND(J192=N192,K192=M192)),0,IF(OR(N192&lt;J192,AND(N192=J192,M192&lt;K192)),1,0)),0)</f>
      </c>
      <c r="L202" s="14" t="str">
        <f>IF(OR(COUNTA(J177:K181,M177:N181)&gt;0,L177="X",L177="x",L178="X",L178="x",L179="X",L179="x",L180="X",L180="x",L181="X",L181="x",OR(L176="X",L176="x")),IF(OR(OR(L176="X",L176="x"),AND(J176=N176,K176=M176)),1,0),0)+IF(OR(COUNTA(J193:K197,M193:N197)&gt;0,L193="X",L193="x",L194="X",L194="x",L195="X",L195="x",L196="X",L196="x",L197="X",L197="x",OR(L192="X",L192="x")),IF(OR(OR(L192="X",L192="x"),AND(J192=N192,K192=M192)),1,0),0)</f>
      </c>
      <c r="O202" s="18" t="str">
        <f>RANK(AC202,$AC$201:$AC$203)+COUNTIF($AC$200:AC201,AC202)</f>
      </c>
      <c r="U202" t="str">
        <f>(B202*1000000000)-(C202*10000000)+(D202*100000)+(B207*1000)-(C207*100)+(D207*10)+(E207*1)-(F207*0.01)</f>
      </c>
      <c r="AC202" t="str">
        <f>(J202*1000000000)-(K202*10000000)+(L202*100000)+(J207*1000)-(K207*100)+(L207*10)+(M207*1)-(N207*0.01)</f>
      </c>
    </row>
    <row r="203">
      <c r="A203" s="14" t="str">
        <f>data!$E$17&amp;" "&amp;data!$B$17</f>
      </c>
      <c r="B203" s="14" t="str">
        <f>IF(OR(COUNTA(B185:C189,E185:F189)&gt;0,D185="X",D185="x",D186="X",D186="x",D187="X",D187="x",D188="X",D188="x",D189="X",D189="x",OR(D184="X",D184="x")),IF(OR(OR(D184="X",D184="x"),AND(B184=F184,C184=E184)),0,IF(OR(B184&gt;F184,AND(B184=F184,C184&gt;E184)),1,0)),0)+IF(OR(COUNTA(B193:C197,E193:F197)&gt;0,D193="X",D193="x",D194="X",D194="x",D195="X",D195="x",D196="X",D196="x",D197="X",D197="x",OR(D192="X",D192="x")),IF(OR(OR(D192="X",D192="x"),AND(B192=F192,C192=E192)),0,IF(OR(B192&gt;F192,AND(B192=F192,C192&gt;E192)),1,0)),0)</f>
      </c>
      <c r="C203" s="14" t="str">
        <f>IF(OR(COUNTA(B185:C189,E185:F189)&gt;0,D185="X",D185="x",D186="X",D186="x",D187="X",D187="x",D188="X",D188="x",D189="X",D189="x",OR(D184="X",D184="x")),IF(OR(OR(D184="X",D184="x"),AND(B184=F184,C184=E184)),0,IF(OR(B184&lt;F184,AND(B184=F184,C184&lt;E184)),1,0)),0)+IF(OR(COUNTA(B193:C197,E193:F197)&gt;0,D193="X",D193="x",D194="X",D194="x",D195="X",D195="x",D196="X",D196="x",D197="X",D197="x",OR(D192="X",D192="x")),IF(OR(OR(D192="X",D192="x"),AND(B192=F192,C192=E192)),0,IF(OR(B192&lt;F192,AND(B192=F192,C192&lt;E192)),1,0)),0)</f>
      </c>
      <c r="D203" s="14" t="str">
        <f>IF(OR(COUNTA(B185:C189,E185:F189)&gt;0,D185="X",D185="x",D186="X",D186="x",D187="X",D187="x",D188="X",D188="x",D189="X",D189="x",OR(D184="X",D184="x")),IF(OR(OR(D184="X",D184="x"),AND(B184=F184,C184=E184)),1,0),0)+IF(OR(COUNTA(B193:C197,E193:F197)&gt;0,D193="X",D193="x",D194="X",D194="x",D195="X",D195="x",D196="X",D196="x",D197="X",D197="x",OR(D192="X",D192="x")),IF(OR(OR(D192="X",D192="x"),AND(B192=F192,C192=E192)),1,0),0)</f>
      </c>
      <c r="G203" s="18" t="str">
        <f>RANK(U203,$U$201:$U$203)+COUNTIF($U$200:U202,U203)</f>
      </c>
      <c r="I203" s="14" t="str">
        <f>data!$E$64&amp;" "&amp;data!$B$64</f>
      </c>
      <c r="J203" s="14" t="str">
        <f>IF(OR(COUNTA(J185:K189,M185:N189)&gt;0,L185="X",L185="x",L186="X",L186="x",L187="X",L187="x",L188="X",L188="x",L189="X",L189="x",OR(L184="X",L184="x")),IF(OR(OR(L184="X",L184="x"),AND(J184=N184,K184=M184)),0,IF(OR(J184&gt;N184,AND(J184=N184,K184&gt;M184)),1,0)),0)+IF(OR(COUNTA(J193:K197,M193:N197)&gt;0,L193="X",L193="x",L194="X",L194="x",L195="X",L195="x",L196="X",L196="x",L197="X",L197="x",OR(L192="X",L192="x")),IF(OR(OR(L192="X",L192="x"),AND(J192=N192,K192=M192)),0,IF(OR(J192&gt;N192,AND(J192=N192,K192&gt;M192)),1,0)),0)</f>
      </c>
      <c r="K203" s="14" t="str">
        <f>IF(OR(COUNTA(J185:K189,M185:N189)&gt;0,L185="X",L185="x",L186="X",L186="x",L187="X",L187="x",L188="X",L188="x",L189="X",L189="x",OR(L184="X",L184="x")),IF(OR(OR(L184="X",L184="x"),AND(J184=N184,K184=M184)),0,IF(OR(J184&lt;N184,AND(J184=N184,K184&lt;M184)),1,0)),0)+IF(OR(COUNTA(J193:K197,M193:N197)&gt;0,L193="X",L193="x",L194="X",L194="x",L195="X",L195="x",L196="X",L196="x",L197="X",L197="x",OR(L192="X",L192="x")),IF(OR(OR(L192="X",L192="x"),AND(J192=N192,K192=M192)),0,IF(OR(J192&lt;N192,AND(J192=N192,K192&lt;M192)),1,0)),0)</f>
      </c>
      <c r="L203" s="14" t="str">
        <f>IF(OR(COUNTA(J185:K189,M185:N189)&gt;0,L185="X",L185="x",L186="X",L186="x",L187="X",L187="x",L188="X",L188="x",L189="X",L189="x",OR(L184="X",L184="x")),IF(OR(OR(L184="X",L184="x"),AND(J184=N184,K184=M184)),1,0),0)+IF(OR(COUNTA(J193:K197,M193:N197)&gt;0,L193="X",L193="x",L194="X",L194="x",L195="X",L195="x",L196="X",L196="x",L197="X",L197="x",OR(L192="X",L192="x")),IF(OR(OR(L192="X",L192="x"),AND(J192=N192,K192=M192)),1,0),0)</f>
      </c>
      <c r="O203" s="18" t="str">
        <f>RANK(AC203,$AC$201:$AC$203)+COUNTIF($AC$200:AC202,AC203)</f>
      </c>
      <c r="U203" t="str">
        <f>(B203*1000000000)-(C203*10000000)+(D203*100000)+(B208*1000)-(C208*100)+(D208*10)+(E208*1)-(F208*0.01)</f>
      </c>
      <c r="AC203" t="str">
        <f>(J203*1000000000)-(K203*10000000)+(L203*100000)+(J208*1000)-(K208*100)+(L208*10)+(M208*1)-(N208*0.01)</f>
      </c>
    </row>
    <row r="205">
      <c r="A205" s="13"/>
      <c r="B205" s="13" t="s">
        <v>339</v>
      </c>
      <c r="C205" s="13" t="s">
        <v>340</v>
      </c>
      <c r="D205" s="13" t="s">
        <v>341</v>
      </c>
      <c r="E205" s="13" t="s">
        <v>342</v>
      </c>
      <c r="F205" s="13" t="s">
        <v>343</v>
      </c>
      <c r="I205" s="13"/>
      <c r="J205" s="13" t="s">
        <v>339</v>
      </c>
      <c r="K205" s="13" t="s">
        <v>340</v>
      </c>
      <c r="L205" s="13" t="s">
        <v>341</v>
      </c>
      <c r="M205" s="13" t="s">
        <v>342</v>
      </c>
      <c r="N205" s="13" t="s">
        <v>343</v>
      </c>
    </row>
    <row r="206">
      <c r="A206" s="14" t="str">
        <f>data!$E$15&amp;" "&amp;data!$B$15</f>
      </c>
      <c r="B206" s="14" t="str">
        <f>IF(OR(COUNTA(B177:C181,E177:F181)&gt;0,OR(D176="X",D176="x"),UPPER(D177)="X",UPPER(D178)="X",UPPER(D179)="X",UPPER(D180)="X",UPPER(D181)="X"),F176,0)+IF(OR(COUNTA(B185:C189,E185:F189)&gt;0,OR(D184="X",D184="x"),UPPER(D185)="X",UPPER(D186)="X",UPPER(D187)="X",UPPER(D188)="X",UPPER(D189)="X"),F184,0)</f>
      </c>
      <c r="C206" s="14" t="str">
        <f>IF(OR(COUNTA(B177:C181,E177:F181)&gt;0,OR(D176="X",D176="x"),UPPER(D177)="X",UPPER(D178)="X",UPPER(D179)="X",UPPER(D180)="X",UPPER(D181)="X"),B176,0)+IF(OR(COUNTA(B185:C189,E185:F189)&gt;0,OR(D184="X",D184="x"),UPPER(D185)="X",UPPER(D186)="X",UPPER(D187)="X",UPPER(D188)="X",UPPER(D189)="X"),B184,0)</f>
      </c>
      <c r="D206" s="14" t="str">
        <f>IF(OR(COUNTA(B177:C181,E177:F181)&gt;0,OR(D176="X",D176="x"),UPPER(D177)="X",UPPER(D178)="X",UPPER(D179)="X",UPPER(D180)="X",UPPER(D181)="X"),(IF(OR(D177="X",D177="x",AND(COUNTA(B177,C177,E177,F177)&gt;0,(LEN(SUBSTITUTE(SUBSTITUTE(SUBSTITUTE(B177," ",""),"0",""),"-",""))+LEN(SUBSTITUTE(SUBSTITUTE(SUBSTITUTE(C177," ",""),"0",""),"-","")))=(LEN(SUBSTITUTE(SUBSTITUTE(SUBSTITUTE(E177," ",""),"0",""),"-",""))+LEN(SUBSTITUTE(SUBSTITUTE(SUBSTITUTE(F177," ",""),"0",""),"-",""))))),1,0)+IF(OR(D178="X",D178="x",AND(COUNTA(B178,C178,E178,F178)&gt;0,(LEN(SUBSTITUTE(SUBSTITUTE(SUBSTITUTE(B178," ",""),"0",""),"-",""))+LEN(SUBSTITUTE(SUBSTITUTE(SUBSTITUTE(C178," ",""),"0",""),"-","")))=(LEN(SUBSTITUTE(SUBSTITUTE(SUBSTITUTE(E178," ",""),"0",""),"-",""))+LEN(SUBSTITUTE(SUBSTITUTE(SUBSTITUTE(F178," ",""),"0",""),"-",""))))),1,0)+IF(OR(D179="X",D179="x",AND(COUNTA(B179,C179,E179,F179)&gt;0,(LEN(SUBSTITUTE(SUBSTITUTE(SUBSTITUTE(B179," ",""),"0",""),"-",""))+LEN(SUBSTITUTE(SUBSTITUTE(SUBSTITUTE(C179," ",""),"0",""),"-","")))=(LEN(SUBSTITUTE(SUBSTITUTE(SUBSTITUTE(E179," ",""),"0",""),"-",""))+LEN(SUBSTITUTE(SUBSTITUTE(SUBSTITUTE(F179," ",""),"0",""),"-",""))))),1,0)+IF(OR(D180="X",D180="x",AND(COUNTA(B180,C180,E180,F180)&gt;0,(LEN(SUBSTITUTE(SUBSTITUTE(SUBSTITUTE(B180," ",""),"0",""),"-",""))+LEN(SUBSTITUTE(SUBSTITUTE(SUBSTITUTE(C180," ",""),"0",""),"-","")))=(LEN(SUBSTITUTE(SUBSTITUTE(SUBSTITUTE(E180," ",""),"0",""),"-",""))+LEN(SUBSTITUTE(SUBSTITUTE(SUBSTITUTE(F180," ",""),"0",""),"-",""))))),1,0)+IF(OR(D181="X",D181="x",AND(COUNTA(B181,C181,E181,F181)&gt;0,(LEN(SUBSTITUTE(SUBSTITUTE(SUBSTITUTE(B181," ",""),"0",""),"-",""))+LEN(SUBSTITUTE(SUBSTITUTE(SUBSTITUTE(C181," ",""),"0",""),"-","")))=(LEN(SUBSTITUTE(SUBSTITUTE(SUBSTITUTE(E181," ",""),"0",""),"-",""))+LEN(SUBSTITUTE(SUBSTITUTE(SUBSTITUTE(F181," ",""),"0",""),"-",""))))),1,0)),0)+IF(OR(COUNTA(B185:C189,E185:F189)&gt;0,OR(D184="X",D184="x"),UPPER(D185)="X",UPPER(D186)="X",UPPER(D187)="X",UPPER(D188)="X",UPPER(D189)="X"),(IF(OR(D185="X",D185="x",AND(COUNTA(B185,C185,E185,F185)&gt;0,(LEN(SUBSTITUTE(SUBSTITUTE(SUBSTITUTE(B185," ",""),"0",""),"-",""))+LEN(SUBSTITUTE(SUBSTITUTE(SUBSTITUTE(C185," ",""),"0",""),"-","")))=(LEN(SUBSTITUTE(SUBSTITUTE(SUBSTITUTE(E185," ",""),"0",""),"-",""))+LEN(SUBSTITUTE(SUBSTITUTE(SUBSTITUTE(F185," ",""),"0",""),"-",""))))),1,0)+IF(OR(D186="X",D186="x",AND(COUNTA(B186,C186,E186,F186)&gt;0,(LEN(SUBSTITUTE(SUBSTITUTE(SUBSTITUTE(B186," ",""),"0",""),"-",""))+LEN(SUBSTITUTE(SUBSTITUTE(SUBSTITUTE(C186," ",""),"0",""),"-","")))=(LEN(SUBSTITUTE(SUBSTITUTE(SUBSTITUTE(E186," ",""),"0",""),"-",""))+LEN(SUBSTITUTE(SUBSTITUTE(SUBSTITUTE(F186," ",""),"0",""),"-",""))))),1,0)+IF(OR(D187="X",D187="x",AND(COUNTA(B187,C187,E187,F187)&gt;0,(LEN(SUBSTITUTE(SUBSTITUTE(SUBSTITUTE(B187," ",""),"0",""),"-",""))+LEN(SUBSTITUTE(SUBSTITUTE(SUBSTITUTE(C187," ",""),"0",""),"-","")))=(LEN(SUBSTITUTE(SUBSTITUTE(SUBSTITUTE(E187," ",""),"0",""),"-",""))+LEN(SUBSTITUTE(SUBSTITUTE(SUBSTITUTE(F187," ",""),"0",""),"-",""))))),1,0)+IF(OR(D188="X",D188="x",AND(COUNTA(B188,C188,E188,F188)&gt;0,(LEN(SUBSTITUTE(SUBSTITUTE(SUBSTITUTE(B188," ",""),"0",""),"-",""))+LEN(SUBSTITUTE(SUBSTITUTE(SUBSTITUTE(C188," ",""),"0",""),"-","")))=(LEN(SUBSTITUTE(SUBSTITUTE(SUBSTITUTE(E188," ",""),"0",""),"-",""))+LEN(SUBSTITUTE(SUBSTITUTE(SUBSTITUTE(F188," ",""),"0",""),"-",""))))),1,0)+IF(OR(D189="X",D189="x",AND(COUNTA(B189,C189,E189,F189)&gt;0,(LEN(SUBSTITUTE(SUBSTITUTE(SUBSTITUTE(B189," ",""),"0",""),"-",""))+LEN(SUBSTITUTE(SUBSTITUTE(SUBSTITUTE(C189," ",""),"0",""),"-","")))=(LEN(SUBSTITUTE(SUBSTITUTE(SUBSTITUTE(E189," ",""),"0",""),"-",""))+LEN(SUBSTITUTE(SUBSTITUTE(SUBSTITUTE(F189," ",""),"0",""),"-",""))))),1,0)),0)</f>
      </c>
      <c r="E206" s="14" t="str">
        <f>E176+E184</f>
      </c>
      <c r="F206" s="14" t="str">
        <f>C176+C184</f>
      </c>
      <c r="I206" s="14" t="str">
        <f>data!$E$62&amp;" "&amp;data!$B$62</f>
      </c>
      <c r="J206" s="14" t="str">
        <f>IF(OR(COUNTA(J177:K181,M177:N181)&gt;0,OR(L176="X",L176="x"),UPPER(L177)="X",UPPER(L178)="X",UPPER(L179)="X",UPPER(L180)="X",UPPER(L181)="X"),N176,0)+IF(OR(COUNTA(J185:K189,M185:N189)&gt;0,OR(L184="X",L184="x"),UPPER(L185)="X",UPPER(L186)="X",UPPER(L187)="X",UPPER(L188)="X",UPPER(L189)="X"),N184,0)</f>
      </c>
      <c r="K206" s="14" t="str">
        <f>IF(OR(COUNTA(J177:K181,M177:N181)&gt;0,OR(L176="X",L176="x"),UPPER(L177)="X",UPPER(L178)="X",UPPER(L179)="X",UPPER(L180)="X",UPPER(L181)="X"),J176,0)+IF(OR(COUNTA(J185:K189,M185:N189)&gt;0,OR(L184="X",L184="x"),UPPER(L185)="X",UPPER(L186)="X",UPPER(L187)="X",UPPER(L188)="X",UPPER(L189)="X"),J184,0)</f>
      </c>
      <c r="L206" s="14" t="str">
        <f>IF(OR(COUNTA(J177:K181,M177:N181)&gt;0,OR(L176="X",L176="x"),UPPER(L177)="X",UPPER(L178)="X",UPPER(L179)="X",UPPER(L180)="X",UPPER(L181)="X"),(IF(OR(L177="X",L177="x",AND(COUNTA(J177,K177,M177,N177)&gt;0,(LEN(SUBSTITUTE(SUBSTITUTE(SUBSTITUTE(J177," ",""),"0",""),"-",""))+LEN(SUBSTITUTE(SUBSTITUTE(SUBSTITUTE(K177," ",""),"0",""),"-","")))=(LEN(SUBSTITUTE(SUBSTITUTE(SUBSTITUTE(M177," ",""),"0",""),"-",""))+LEN(SUBSTITUTE(SUBSTITUTE(SUBSTITUTE(N177," ",""),"0",""),"-",""))))),1,0)+IF(OR(L178="X",L178="x",AND(COUNTA(J178,K178,M178,N178)&gt;0,(LEN(SUBSTITUTE(SUBSTITUTE(SUBSTITUTE(J178," ",""),"0",""),"-",""))+LEN(SUBSTITUTE(SUBSTITUTE(SUBSTITUTE(K178," ",""),"0",""),"-","")))=(LEN(SUBSTITUTE(SUBSTITUTE(SUBSTITUTE(M178," ",""),"0",""),"-",""))+LEN(SUBSTITUTE(SUBSTITUTE(SUBSTITUTE(N178," ",""),"0",""),"-",""))))),1,0)+IF(OR(L179="X",L179="x",AND(COUNTA(J179,K179,M179,N179)&gt;0,(LEN(SUBSTITUTE(SUBSTITUTE(SUBSTITUTE(J179," ",""),"0",""),"-",""))+LEN(SUBSTITUTE(SUBSTITUTE(SUBSTITUTE(K179," ",""),"0",""),"-","")))=(LEN(SUBSTITUTE(SUBSTITUTE(SUBSTITUTE(M179," ",""),"0",""),"-",""))+LEN(SUBSTITUTE(SUBSTITUTE(SUBSTITUTE(N179," ",""),"0",""),"-",""))))),1,0)+IF(OR(L180="X",L180="x",AND(COUNTA(J180,K180,M180,N180)&gt;0,(LEN(SUBSTITUTE(SUBSTITUTE(SUBSTITUTE(J180," ",""),"0",""),"-",""))+LEN(SUBSTITUTE(SUBSTITUTE(SUBSTITUTE(K180," ",""),"0",""),"-","")))=(LEN(SUBSTITUTE(SUBSTITUTE(SUBSTITUTE(M180," ",""),"0",""),"-",""))+LEN(SUBSTITUTE(SUBSTITUTE(SUBSTITUTE(N180," ",""),"0",""),"-",""))))),1,0)+IF(OR(L181="X",L181="x",AND(COUNTA(J181,K181,M181,N181)&gt;0,(LEN(SUBSTITUTE(SUBSTITUTE(SUBSTITUTE(J181," ",""),"0",""),"-",""))+LEN(SUBSTITUTE(SUBSTITUTE(SUBSTITUTE(K181," ",""),"0",""),"-","")))=(LEN(SUBSTITUTE(SUBSTITUTE(SUBSTITUTE(M181," ",""),"0",""),"-",""))+LEN(SUBSTITUTE(SUBSTITUTE(SUBSTITUTE(N181," ",""),"0",""),"-",""))))),1,0)),0)+IF(OR(COUNTA(J185:K189,M185:N189)&gt;0,OR(L184="X",L184="x"),UPPER(L185)="X",UPPER(L186)="X",UPPER(L187)="X",UPPER(L188)="X",UPPER(L189)="X"),(IF(OR(L185="X",L185="x",AND(COUNTA(J185,K185,M185,N185)&gt;0,(LEN(SUBSTITUTE(SUBSTITUTE(SUBSTITUTE(J185," ",""),"0",""),"-",""))+LEN(SUBSTITUTE(SUBSTITUTE(SUBSTITUTE(K185," ",""),"0",""),"-","")))=(LEN(SUBSTITUTE(SUBSTITUTE(SUBSTITUTE(M185," ",""),"0",""),"-",""))+LEN(SUBSTITUTE(SUBSTITUTE(SUBSTITUTE(N185," ",""),"0",""),"-",""))))),1,0)+IF(OR(L186="X",L186="x",AND(COUNTA(J186,K186,M186,N186)&gt;0,(LEN(SUBSTITUTE(SUBSTITUTE(SUBSTITUTE(J186," ",""),"0",""),"-",""))+LEN(SUBSTITUTE(SUBSTITUTE(SUBSTITUTE(K186," ",""),"0",""),"-","")))=(LEN(SUBSTITUTE(SUBSTITUTE(SUBSTITUTE(M186," ",""),"0",""),"-",""))+LEN(SUBSTITUTE(SUBSTITUTE(SUBSTITUTE(N186," ",""),"0",""),"-",""))))),1,0)+IF(OR(L187="X",L187="x",AND(COUNTA(J187,K187,M187,N187)&gt;0,(LEN(SUBSTITUTE(SUBSTITUTE(SUBSTITUTE(J187," ",""),"0",""),"-",""))+LEN(SUBSTITUTE(SUBSTITUTE(SUBSTITUTE(K187," ",""),"0",""),"-","")))=(LEN(SUBSTITUTE(SUBSTITUTE(SUBSTITUTE(M187," ",""),"0",""),"-",""))+LEN(SUBSTITUTE(SUBSTITUTE(SUBSTITUTE(N187," ",""),"0",""),"-",""))))),1,0)+IF(OR(L188="X",L188="x",AND(COUNTA(J188,K188,M188,N188)&gt;0,(LEN(SUBSTITUTE(SUBSTITUTE(SUBSTITUTE(J188," ",""),"0",""),"-",""))+LEN(SUBSTITUTE(SUBSTITUTE(SUBSTITUTE(K188," ",""),"0",""),"-","")))=(LEN(SUBSTITUTE(SUBSTITUTE(SUBSTITUTE(M188," ",""),"0",""),"-",""))+LEN(SUBSTITUTE(SUBSTITUTE(SUBSTITUTE(N188," ",""),"0",""),"-",""))))),1,0)+IF(OR(L189="X",L189="x",AND(COUNTA(J189,K189,M189,N189)&gt;0,(LEN(SUBSTITUTE(SUBSTITUTE(SUBSTITUTE(J189," ",""),"0",""),"-",""))+LEN(SUBSTITUTE(SUBSTITUTE(SUBSTITUTE(K189," ",""),"0",""),"-","")))=(LEN(SUBSTITUTE(SUBSTITUTE(SUBSTITUTE(M189," ",""),"0",""),"-",""))+LEN(SUBSTITUTE(SUBSTITUTE(SUBSTITUTE(N189," ",""),"0",""),"-",""))))),1,0)),0)</f>
      </c>
      <c r="M206" s="14" t="str">
        <f>M176+M184</f>
      </c>
      <c r="N206" s="14" t="str">
        <f>K176+K184</f>
      </c>
    </row>
    <row r="207">
      <c r="A207" s="14" t="str">
        <f>data!$E$16&amp;" "&amp;data!$B$16</f>
      </c>
      <c r="B207" s="14" t="str">
        <f>IF(OR(COUNTA(B177:C181,E177:F181)&gt;0,OR(D176="X",D176="x"),UPPER(D177)="X",UPPER(D178)="X",UPPER(D179)="X",UPPER(D180)="X",UPPER(D181)="X"),B176,0)+IF(OR(COUNTA(B193:C197,E193:F197)&gt;0,OR(D192="X",D192="x"),UPPER(D193)="X",UPPER(D194)="X",UPPER(D195)="X",UPPER(D196)="X",UPPER(D197)="X"),F192,0)</f>
      </c>
      <c r="C207" s="14" t="str">
        <f>IF(OR(COUNTA(B177:C181,E177:F181)&gt;0,OR(D176="X",D176="x"),UPPER(D177)="X",UPPER(D178)="X",UPPER(D179)="X",UPPER(D180)="X",UPPER(D181)="X"),F176,0)+IF(OR(COUNTA(B193:C197,E193:F197)&gt;0,OR(D192="X",D192="x"),UPPER(D193)="X",UPPER(D194)="X",UPPER(D195)="X",UPPER(D196)="X",UPPER(D197)="X"),B192,0)</f>
      </c>
      <c r="D207" s="14" t="str">
        <f>IF(OR(COUNTA(B177:C181,E177:F181)&gt;0,OR(D176="X",D176="x"),UPPER(D177)="X",UPPER(D178)="X",UPPER(D179)="X",UPPER(D180)="X",UPPER(D181)="X"),(IF(OR(D177="X",D177="x",AND(COUNTA(B177,C177,E177,F177)&gt;0,(LEN(SUBSTITUTE(SUBSTITUTE(SUBSTITUTE(B177," ",""),"0",""),"-",""))+LEN(SUBSTITUTE(SUBSTITUTE(SUBSTITUTE(C177," ",""),"0",""),"-","")))=(LEN(SUBSTITUTE(SUBSTITUTE(SUBSTITUTE(E177," ",""),"0",""),"-",""))+LEN(SUBSTITUTE(SUBSTITUTE(SUBSTITUTE(F177," ",""),"0",""),"-",""))))),1,0)+IF(OR(D178="X",D178="x",AND(COUNTA(B178,C178,E178,F178)&gt;0,(LEN(SUBSTITUTE(SUBSTITUTE(SUBSTITUTE(B178," ",""),"0",""),"-",""))+LEN(SUBSTITUTE(SUBSTITUTE(SUBSTITUTE(C178," ",""),"0",""),"-","")))=(LEN(SUBSTITUTE(SUBSTITUTE(SUBSTITUTE(E178," ",""),"0",""),"-",""))+LEN(SUBSTITUTE(SUBSTITUTE(SUBSTITUTE(F178," ",""),"0",""),"-",""))))),1,0)+IF(OR(D179="X",D179="x",AND(COUNTA(B179,C179,E179,F179)&gt;0,(LEN(SUBSTITUTE(SUBSTITUTE(SUBSTITUTE(B179," ",""),"0",""),"-",""))+LEN(SUBSTITUTE(SUBSTITUTE(SUBSTITUTE(C179," ",""),"0",""),"-","")))=(LEN(SUBSTITUTE(SUBSTITUTE(SUBSTITUTE(E179," ",""),"0",""),"-",""))+LEN(SUBSTITUTE(SUBSTITUTE(SUBSTITUTE(F179," ",""),"0",""),"-",""))))),1,0)+IF(OR(D180="X",D180="x",AND(COUNTA(B180,C180,E180,F180)&gt;0,(LEN(SUBSTITUTE(SUBSTITUTE(SUBSTITUTE(B180," ",""),"0",""),"-",""))+LEN(SUBSTITUTE(SUBSTITUTE(SUBSTITUTE(C180," ",""),"0",""),"-","")))=(LEN(SUBSTITUTE(SUBSTITUTE(SUBSTITUTE(E180," ",""),"0",""),"-",""))+LEN(SUBSTITUTE(SUBSTITUTE(SUBSTITUTE(F180," ",""),"0",""),"-",""))))),1,0)+IF(OR(D181="X",D181="x",AND(COUNTA(B181,C181,E181,F181)&gt;0,(LEN(SUBSTITUTE(SUBSTITUTE(SUBSTITUTE(B181," ",""),"0",""),"-",""))+LEN(SUBSTITUTE(SUBSTITUTE(SUBSTITUTE(C181," ",""),"0",""),"-","")))=(LEN(SUBSTITUTE(SUBSTITUTE(SUBSTITUTE(E181," ",""),"0",""),"-",""))+LEN(SUBSTITUTE(SUBSTITUTE(SUBSTITUTE(F181," ",""),"0",""),"-",""))))),1,0)),0)+IF(OR(COUNTA(B193:C197,E193:F197)&gt;0,OR(D192="X",D192="x"),UPPER(D193)="X",UPPER(D194)="X",UPPER(D195)="X",UPPER(D196)="X",UPPER(D197)="X"),(IF(OR(D193="X",D193="x",AND(COUNTA(B193,C193,E193,F193)&gt;0,(LEN(SUBSTITUTE(SUBSTITUTE(SUBSTITUTE(B193," ",""),"0",""),"-",""))+LEN(SUBSTITUTE(SUBSTITUTE(SUBSTITUTE(C193," ",""),"0",""),"-","")))=(LEN(SUBSTITUTE(SUBSTITUTE(SUBSTITUTE(E193," ",""),"0",""),"-",""))+LEN(SUBSTITUTE(SUBSTITUTE(SUBSTITUTE(F193," ",""),"0",""),"-",""))))),1,0)+IF(OR(D194="X",D194="x",AND(COUNTA(B194,C194,E194,F194)&gt;0,(LEN(SUBSTITUTE(SUBSTITUTE(SUBSTITUTE(B194," ",""),"0",""),"-",""))+LEN(SUBSTITUTE(SUBSTITUTE(SUBSTITUTE(C194," ",""),"0",""),"-","")))=(LEN(SUBSTITUTE(SUBSTITUTE(SUBSTITUTE(E194," ",""),"0",""),"-",""))+LEN(SUBSTITUTE(SUBSTITUTE(SUBSTITUTE(F194," ",""),"0",""),"-",""))))),1,0)+IF(OR(D195="X",D195="x",AND(COUNTA(B195,C195,E195,F195)&gt;0,(LEN(SUBSTITUTE(SUBSTITUTE(SUBSTITUTE(B195," ",""),"0",""),"-",""))+LEN(SUBSTITUTE(SUBSTITUTE(SUBSTITUTE(C195," ",""),"0",""),"-","")))=(LEN(SUBSTITUTE(SUBSTITUTE(SUBSTITUTE(E195," ",""),"0",""),"-",""))+LEN(SUBSTITUTE(SUBSTITUTE(SUBSTITUTE(F195," ",""),"0",""),"-",""))))),1,0)+IF(OR(D196="X",D196="x",AND(COUNTA(B196,C196,E196,F196)&gt;0,(LEN(SUBSTITUTE(SUBSTITUTE(SUBSTITUTE(B196," ",""),"0",""),"-",""))+LEN(SUBSTITUTE(SUBSTITUTE(SUBSTITUTE(C196," ",""),"0",""),"-","")))=(LEN(SUBSTITUTE(SUBSTITUTE(SUBSTITUTE(E196," ",""),"0",""),"-",""))+LEN(SUBSTITUTE(SUBSTITUTE(SUBSTITUTE(F196," ",""),"0",""),"-",""))))),1,0)+IF(OR(D197="X",D197="x",AND(COUNTA(B197,C197,E197,F197)&gt;0,(LEN(SUBSTITUTE(SUBSTITUTE(SUBSTITUTE(B197," ",""),"0",""),"-",""))+LEN(SUBSTITUTE(SUBSTITUTE(SUBSTITUTE(C197," ",""),"0",""),"-","")))=(LEN(SUBSTITUTE(SUBSTITUTE(SUBSTITUTE(E197," ",""),"0",""),"-",""))+LEN(SUBSTITUTE(SUBSTITUTE(SUBSTITUTE(F197," ",""),"0",""),"-",""))))),1,0)),0)</f>
      </c>
      <c r="E207" s="14" t="str">
        <f>C176+E192</f>
      </c>
      <c r="F207" s="14" t="str">
        <f>E176+C192</f>
      </c>
      <c r="I207" s="14" t="str">
        <f>data!$E$63&amp;" "&amp;data!$B$63</f>
      </c>
      <c r="J207" s="14" t="str">
        <f>IF(OR(COUNTA(J177:K181,M177:N181)&gt;0,OR(L176="X",L176="x"),UPPER(L177)="X",UPPER(L178)="X",UPPER(L179)="X",UPPER(L180)="X",UPPER(L181)="X"),J176,0)+IF(OR(COUNTA(J193:K197,M193:N197)&gt;0,OR(L192="X",L192="x"),UPPER(L193)="X",UPPER(L194)="X",UPPER(L195)="X",UPPER(L196)="X",UPPER(L197)="X"),N192,0)</f>
      </c>
      <c r="K207" s="14" t="str">
        <f>IF(OR(COUNTA(J177:K181,M177:N181)&gt;0,OR(L176="X",L176="x"),UPPER(L177)="X",UPPER(L178)="X",UPPER(L179)="X",UPPER(L180)="X",UPPER(L181)="X"),N176,0)+IF(OR(COUNTA(J193:K197,M193:N197)&gt;0,OR(L192="X",L192="x"),UPPER(L193)="X",UPPER(L194)="X",UPPER(L195)="X",UPPER(L196)="X",UPPER(L197)="X"),J192,0)</f>
      </c>
      <c r="L207" s="14" t="str">
        <f>IF(OR(COUNTA(J177:K181,M177:N181)&gt;0,OR(L176="X",L176="x"),UPPER(L177)="X",UPPER(L178)="X",UPPER(L179)="X",UPPER(L180)="X",UPPER(L181)="X"),(IF(OR(L177="X",L177="x",AND(COUNTA(J177,K177,M177,N177)&gt;0,(LEN(SUBSTITUTE(SUBSTITUTE(SUBSTITUTE(J177," ",""),"0",""),"-",""))+LEN(SUBSTITUTE(SUBSTITUTE(SUBSTITUTE(K177," ",""),"0",""),"-","")))=(LEN(SUBSTITUTE(SUBSTITUTE(SUBSTITUTE(M177," ",""),"0",""),"-",""))+LEN(SUBSTITUTE(SUBSTITUTE(SUBSTITUTE(N177," ",""),"0",""),"-",""))))),1,0)+IF(OR(L178="X",L178="x",AND(COUNTA(J178,K178,M178,N178)&gt;0,(LEN(SUBSTITUTE(SUBSTITUTE(SUBSTITUTE(J178," ",""),"0",""),"-",""))+LEN(SUBSTITUTE(SUBSTITUTE(SUBSTITUTE(K178," ",""),"0",""),"-","")))=(LEN(SUBSTITUTE(SUBSTITUTE(SUBSTITUTE(M178," ",""),"0",""),"-",""))+LEN(SUBSTITUTE(SUBSTITUTE(SUBSTITUTE(N178," ",""),"0",""),"-",""))))),1,0)+IF(OR(L179="X",L179="x",AND(COUNTA(J179,K179,M179,N179)&gt;0,(LEN(SUBSTITUTE(SUBSTITUTE(SUBSTITUTE(J179," ",""),"0",""),"-",""))+LEN(SUBSTITUTE(SUBSTITUTE(SUBSTITUTE(K179," ",""),"0",""),"-","")))=(LEN(SUBSTITUTE(SUBSTITUTE(SUBSTITUTE(M179," ",""),"0",""),"-",""))+LEN(SUBSTITUTE(SUBSTITUTE(SUBSTITUTE(N179," ",""),"0",""),"-",""))))),1,0)+IF(OR(L180="X",L180="x",AND(COUNTA(J180,K180,M180,N180)&gt;0,(LEN(SUBSTITUTE(SUBSTITUTE(SUBSTITUTE(J180," ",""),"0",""),"-",""))+LEN(SUBSTITUTE(SUBSTITUTE(SUBSTITUTE(K180," ",""),"0",""),"-","")))=(LEN(SUBSTITUTE(SUBSTITUTE(SUBSTITUTE(M180," ",""),"0",""),"-",""))+LEN(SUBSTITUTE(SUBSTITUTE(SUBSTITUTE(N180," ",""),"0",""),"-",""))))),1,0)+IF(OR(L181="X",L181="x",AND(COUNTA(J181,K181,M181,N181)&gt;0,(LEN(SUBSTITUTE(SUBSTITUTE(SUBSTITUTE(J181," ",""),"0",""),"-",""))+LEN(SUBSTITUTE(SUBSTITUTE(SUBSTITUTE(K181," ",""),"0",""),"-","")))=(LEN(SUBSTITUTE(SUBSTITUTE(SUBSTITUTE(M181," ",""),"0",""),"-",""))+LEN(SUBSTITUTE(SUBSTITUTE(SUBSTITUTE(N181," ",""),"0",""),"-",""))))),1,0)),0)+IF(OR(COUNTA(J193:K197,M193:N197)&gt;0,OR(L192="X",L192="x"),UPPER(L193)="X",UPPER(L194)="X",UPPER(L195)="X",UPPER(L196)="X",UPPER(L197)="X"),(IF(OR(L193="X",L193="x",AND(COUNTA(J193,K193,M193,N193)&gt;0,(LEN(SUBSTITUTE(SUBSTITUTE(SUBSTITUTE(J193," ",""),"0",""),"-",""))+LEN(SUBSTITUTE(SUBSTITUTE(SUBSTITUTE(K193," ",""),"0",""),"-","")))=(LEN(SUBSTITUTE(SUBSTITUTE(SUBSTITUTE(M193," ",""),"0",""),"-",""))+LEN(SUBSTITUTE(SUBSTITUTE(SUBSTITUTE(N193," ",""),"0",""),"-",""))))),1,0)+IF(OR(L194="X",L194="x",AND(COUNTA(J194,K194,M194,N194)&gt;0,(LEN(SUBSTITUTE(SUBSTITUTE(SUBSTITUTE(J194," ",""),"0",""),"-",""))+LEN(SUBSTITUTE(SUBSTITUTE(SUBSTITUTE(K194," ",""),"0",""),"-","")))=(LEN(SUBSTITUTE(SUBSTITUTE(SUBSTITUTE(M194," ",""),"0",""),"-",""))+LEN(SUBSTITUTE(SUBSTITUTE(SUBSTITUTE(N194," ",""),"0",""),"-",""))))),1,0)+IF(OR(L195="X",L195="x",AND(COUNTA(J195,K195,M195,N195)&gt;0,(LEN(SUBSTITUTE(SUBSTITUTE(SUBSTITUTE(J195," ",""),"0",""),"-",""))+LEN(SUBSTITUTE(SUBSTITUTE(SUBSTITUTE(K195," ",""),"0",""),"-","")))=(LEN(SUBSTITUTE(SUBSTITUTE(SUBSTITUTE(M195," ",""),"0",""),"-",""))+LEN(SUBSTITUTE(SUBSTITUTE(SUBSTITUTE(N195," ",""),"0",""),"-",""))))),1,0)+IF(OR(L196="X",L196="x",AND(COUNTA(J196,K196,M196,N196)&gt;0,(LEN(SUBSTITUTE(SUBSTITUTE(SUBSTITUTE(J196," ",""),"0",""),"-",""))+LEN(SUBSTITUTE(SUBSTITUTE(SUBSTITUTE(K196," ",""),"0",""),"-","")))=(LEN(SUBSTITUTE(SUBSTITUTE(SUBSTITUTE(M196," ",""),"0",""),"-",""))+LEN(SUBSTITUTE(SUBSTITUTE(SUBSTITUTE(N196," ",""),"0",""),"-",""))))),1,0)+IF(OR(L197="X",L197="x",AND(COUNTA(J197,K197,M197,N197)&gt;0,(LEN(SUBSTITUTE(SUBSTITUTE(SUBSTITUTE(J197," ",""),"0",""),"-",""))+LEN(SUBSTITUTE(SUBSTITUTE(SUBSTITUTE(K197," ",""),"0",""),"-","")))=(LEN(SUBSTITUTE(SUBSTITUTE(SUBSTITUTE(M197," ",""),"0",""),"-",""))+LEN(SUBSTITUTE(SUBSTITUTE(SUBSTITUTE(N197," ",""),"0",""),"-",""))))),1,0)),0)</f>
      </c>
      <c r="M207" s="14" t="str">
        <f>K176+M192</f>
      </c>
      <c r="N207" s="14" t="str">
        <f>M176+K192</f>
      </c>
    </row>
    <row r="208">
      <c r="A208" s="14" t="str">
        <f>data!$E$17&amp;" "&amp;data!$B$17</f>
      </c>
      <c r="B208" s="14" t="str">
        <f>IF(OR(COUNTA(B185:C189,E185:F189)&gt;0,OR(D184="X",D184="x"),UPPER(D185)="X",UPPER(D186)="X",UPPER(D187)="X",UPPER(D188)="X",UPPER(D189)="X"),B184,0)+IF(OR(COUNTA(B193:C197,E193:F197)&gt;0,OR(D192="X",D192="x"),UPPER(D193)="X",UPPER(D194)="X",UPPER(D195)="X",UPPER(D196)="X",UPPER(D197)="X"),B192,0)</f>
      </c>
      <c r="C208" s="14" t="str">
        <f>IF(OR(COUNTA(B185:C189,E185:F189)&gt;0,OR(D184="X",D184="x"),UPPER(D185)="X",UPPER(D186)="X",UPPER(D187)="X",UPPER(D188)="X",UPPER(D189)="X"),F184,0)+IF(OR(COUNTA(B193:C197,E193:F197)&gt;0,OR(D192="X",D192="x"),UPPER(D193)="X",UPPER(D194)="X",UPPER(D195)="X",UPPER(D196)="X",UPPER(D197)="X"),F192,0)</f>
      </c>
      <c r="D208" s="14" t="str">
        <f>IF(OR(COUNTA(B185:C189,E185:F189)&gt;0,OR(D184="X",D184="x"),UPPER(D185)="X",UPPER(D186)="X",UPPER(D187)="X",UPPER(D188)="X",UPPER(D189)="X"),(IF(OR(D185="X",D185="x",AND(COUNTA(B185,C185,E185,F185)&gt;0,(LEN(SUBSTITUTE(SUBSTITUTE(SUBSTITUTE(B185," ",""),"0",""),"-",""))+LEN(SUBSTITUTE(SUBSTITUTE(SUBSTITUTE(C185," ",""),"0",""),"-","")))=(LEN(SUBSTITUTE(SUBSTITUTE(SUBSTITUTE(E185," ",""),"0",""),"-",""))+LEN(SUBSTITUTE(SUBSTITUTE(SUBSTITUTE(F185," ",""),"0",""),"-",""))))),1,0)+IF(OR(D186="X",D186="x",AND(COUNTA(B186,C186,E186,F186)&gt;0,(LEN(SUBSTITUTE(SUBSTITUTE(SUBSTITUTE(B186," ",""),"0",""),"-",""))+LEN(SUBSTITUTE(SUBSTITUTE(SUBSTITUTE(C186," ",""),"0",""),"-","")))=(LEN(SUBSTITUTE(SUBSTITUTE(SUBSTITUTE(E186," ",""),"0",""),"-",""))+LEN(SUBSTITUTE(SUBSTITUTE(SUBSTITUTE(F186," ",""),"0",""),"-",""))))),1,0)+IF(OR(D187="X",D187="x",AND(COUNTA(B187,C187,E187,F187)&gt;0,(LEN(SUBSTITUTE(SUBSTITUTE(SUBSTITUTE(B187," ",""),"0",""),"-",""))+LEN(SUBSTITUTE(SUBSTITUTE(SUBSTITUTE(C187," ",""),"0",""),"-","")))=(LEN(SUBSTITUTE(SUBSTITUTE(SUBSTITUTE(E187," ",""),"0",""),"-",""))+LEN(SUBSTITUTE(SUBSTITUTE(SUBSTITUTE(F187," ",""),"0",""),"-",""))))),1,0)+IF(OR(D188="X",D188="x",AND(COUNTA(B188,C188,E188,F188)&gt;0,(LEN(SUBSTITUTE(SUBSTITUTE(SUBSTITUTE(B188," ",""),"0",""),"-",""))+LEN(SUBSTITUTE(SUBSTITUTE(SUBSTITUTE(C188," ",""),"0",""),"-","")))=(LEN(SUBSTITUTE(SUBSTITUTE(SUBSTITUTE(E188," ",""),"0",""),"-",""))+LEN(SUBSTITUTE(SUBSTITUTE(SUBSTITUTE(F188," ",""),"0",""),"-",""))))),1,0)+IF(OR(D189="X",D189="x",AND(COUNTA(B189,C189,E189,F189)&gt;0,(LEN(SUBSTITUTE(SUBSTITUTE(SUBSTITUTE(B189," ",""),"0",""),"-",""))+LEN(SUBSTITUTE(SUBSTITUTE(SUBSTITUTE(C189," ",""),"0",""),"-","")))=(LEN(SUBSTITUTE(SUBSTITUTE(SUBSTITUTE(E189," ",""),"0",""),"-",""))+LEN(SUBSTITUTE(SUBSTITUTE(SUBSTITUTE(F189," ",""),"0",""),"-",""))))),1,0)),0)+IF(OR(COUNTA(B193:C197,E193:F197)&gt;0,OR(D192="X",D192="x"),UPPER(D193)="X",UPPER(D194)="X",UPPER(D195)="X",UPPER(D196)="X",UPPER(D197)="X"),(IF(OR(D193="X",D193="x",AND(COUNTA(B193,C193,E193,F193)&gt;0,(LEN(SUBSTITUTE(SUBSTITUTE(SUBSTITUTE(B193," ",""),"0",""),"-",""))+LEN(SUBSTITUTE(SUBSTITUTE(SUBSTITUTE(C193," ",""),"0",""),"-","")))=(LEN(SUBSTITUTE(SUBSTITUTE(SUBSTITUTE(E193," ",""),"0",""),"-",""))+LEN(SUBSTITUTE(SUBSTITUTE(SUBSTITUTE(F193," ",""),"0",""),"-",""))))),1,0)+IF(OR(D194="X",D194="x",AND(COUNTA(B194,C194,E194,F194)&gt;0,(LEN(SUBSTITUTE(SUBSTITUTE(SUBSTITUTE(B194," ",""),"0",""),"-",""))+LEN(SUBSTITUTE(SUBSTITUTE(SUBSTITUTE(C194," ",""),"0",""),"-","")))=(LEN(SUBSTITUTE(SUBSTITUTE(SUBSTITUTE(E194," ",""),"0",""),"-",""))+LEN(SUBSTITUTE(SUBSTITUTE(SUBSTITUTE(F194," ",""),"0",""),"-",""))))),1,0)+IF(OR(D195="X",D195="x",AND(COUNTA(B195,C195,E195,F195)&gt;0,(LEN(SUBSTITUTE(SUBSTITUTE(SUBSTITUTE(B195," ",""),"0",""),"-",""))+LEN(SUBSTITUTE(SUBSTITUTE(SUBSTITUTE(C195," ",""),"0",""),"-","")))=(LEN(SUBSTITUTE(SUBSTITUTE(SUBSTITUTE(E195," ",""),"0",""),"-",""))+LEN(SUBSTITUTE(SUBSTITUTE(SUBSTITUTE(F195," ",""),"0",""),"-",""))))),1,0)+IF(OR(D196="X",D196="x",AND(COUNTA(B196,C196,E196,F196)&gt;0,(LEN(SUBSTITUTE(SUBSTITUTE(SUBSTITUTE(B196," ",""),"0",""),"-",""))+LEN(SUBSTITUTE(SUBSTITUTE(SUBSTITUTE(C196," ",""),"0",""),"-","")))=(LEN(SUBSTITUTE(SUBSTITUTE(SUBSTITUTE(E196," ",""),"0",""),"-",""))+LEN(SUBSTITUTE(SUBSTITUTE(SUBSTITUTE(F196," ",""),"0",""),"-",""))))),1,0)+IF(OR(D197="X",D197="x",AND(COUNTA(B197,C197,E197,F197)&gt;0,(LEN(SUBSTITUTE(SUBSTITUTE(SUBSTITUTE(B197," ",""),"0",""),"-",""))+LEN(SUBSTITUTE(SUBSTITUTE(SUBSTITUTE(C197," ",""),"0",""),"-","")))=(LEN(SUBSTITUTE(SUBSTITUTE(SUBSTITUTE(E197," ",""),"0",""),"-",""))+LEN(SUBSTITUTE(SUBSTITUTE(SUBSTITUTE(F197," ",""),"0",""),"-",""))))),1,0)),0)</f>
      </c>
      <c r="E208" s="14" t="str">
        <f>C184+C192</f>
      </c>
      <c r="F208" s="14" t="str">
        <f>E184+E192</f>
      </c>
      <c r="I208" s="14" t="str">
        <f>data!$E$64&amp;" "&amp;data!$B$64</f>
      </c>
      <c r="J208" s="14" t="str">
        <f>IF(OR(COUNTA(J185:K189,M185:N189)&gt;0,OR(L184="X",L184="x"),UPPER(L185)="X",UPPER(L186)="X",UPPER(L187)="X",UPPER(L188)="X",UPPER(L189)="X"),J184,0)+IF(OR(COUNTA(J193:K197,M193:N197)&gt;0,OR(L192="X",L192="x"),UPPER(L193)="X",UPPER(L194)="X",UPPER(L195)="X",UPPER(L196)="X",UPPER(L197)="X"),J192,0)</f>
      </c>
      <c r="K208" s="14" t="str">
        <f>IF(OR(COUNTA(J185:K189,M185:N189)&gt;0,OR(L184="X",L184="x"),UPPER(L185)="X",UPPER(L186)="X",UPPER(L187)="X",UPPER(L188)="X",UPPER(L189)="X"),N184,0)+IF(OR(COUNTA(J193:K197,M193:N197)&gt;0,OR(L192="X",L192="x"),UPPER(L193)="X",UPPER(L194)="X",UPPER(L195)="X",UPPER(L196)="X",UPPER(L197)="X"),N192,0)</f>
      </c>
      <c r="L208" s="14" t="str">
        <f>IF(OR(COUNTA(J185:K189,M185:N189)&gt;0,OR(L184="X",L184="x"),UPPER(L185)="X",UPPER(L186)="X",UPPER(L187)="X",UPPER(L188)="X",UPPER(L189)="X"),(IF(OR(L185="X",L185="x",AND(COUNTA(J185,K185,M185,N185)&gt;0,(LEN(SUBSTITUTE(SUBSTITUTE(SUBSTITUTE(J185," ",""),"0",""),"-",""))+LEN(SUBSTITUTE(SUBSTITUTE(SUBSTITUTE(K185," ",""),"0",""),"-","")))=(LEN(SUBSTITUTE(SUBSTITUTE(SUBSTITUTE(M185," ",""),"0",""),"-",""))+LEN(SUBSTITUTE(SUBSTITUTE(SUBSTITUTE(N185," ",""),"0",""),"-",""))))),1,0)+IF(OR(L186="X",L186="x",AND(COUNTA(J186,K186,M186,N186)&gt;0,(LEN(SUBSTITUTE(SUBSTITUTE(SUBSTITUTE(J186," ",""),"0",""),"-",""))+LEN(SUBSTITUTE(SUBSTITUTE(SUBSTITUTE(K186," ",""),"0",""),"-","")))=(LEN(SUBSTITUTE(SUBSTITUTE(SUBSTITUTE(M186," ",""),"0",""),"-",""))+LEN(SUBSTITUTE(SUBSTITUTE(SUBSTITUTE(N186," ",""),"0",""),"-",""))))),1,0)+IF(OR(L187="X",L187="x",AND(COUNTA(J187,K187,M187,N187)&gt;0,(LEN(SUBSTITUTE(SUBSTITUTE(SUBSTITUTE(J187," ",""),"0",""),"-",""))+LEN(SUBSTITUTE(SUBSTITUTE(SUBSTITUTE(K187," ",""),"0",""),"-","")))=(LEN(SUBSTITUTE(SUBSTITUTE(SUBSTITUTE(M187," ",""),"0",""),"-",""))+LEN(SUBSTITUTE(SUBSTITUTE(SUBSTITUTE(N187," ",""),"0",""),"-",""))))),1,0)+IF(OR(L188="X",L188="x",AND(COUNTA(J188,K188,M188,N188)&gt;0,(LEN(SUBSTITUTE(SUBSTITUTE(SUBSTITUTE(J188," ",""),"0",""),"-",""))+LEN(SUBSTITUTE(SUBSTITUTE(SUBSTITUTE(K188," ",""),"0",""),"-","")))=(LEN(SUBSTITUTE(SUBSTITUTE(SUBSTITUTE(M188," ",""),"0",""),"-",""))+LEN(SUBSTITUTE(SUBSTITUTE(SUBSTITUTE(N188," ",""),"0",""),"-",""))))),1,0)+IF(OR(L189="X",L189="x",AND(COUNTA(J189,K189,M189,N189)&gt;0,(LEN(SUBSTITUTE(SUBSTITUTE(SUBSTITUTE(J189," ",""),"0",""),"-",""))+LEN(SUBSTITUTE(SUBSTITUTE(SUBSTITUTE(K189," ",""),"0",""),"-","")))=(LEN(SUBSTITUTE(SUBSTITUTE(SUBSTITUTE(M189," ",""),"0",""),"-",""))+LEN(SUBSTITUTE(SUBSTITUTE(SUBSTITUTE(N189," ",""),"0",""),"-",""))))),1,0)),0)+IF(OR(COUNTA(J193:K197,M193:N197)&gt;0,OR(L192="X",L192="x"),UPPER(L193)="X",UPPER(L194)="X",UPPER(L195)="X",UPPER(L196)="X",UPPER(L197)="X"),(IF(OR(L193="X",L193="x",AND(COUNTA(J193,K193,M193,N193)&gt;0,(LEN(SUBSTITUTE(SUBSTITUTE(SUBSTITUTE(J193," ",""),"0",""),"-",""))+LEN(SUBSTITUTE(SUBSTITUTE(SUBSTITUTE(K193," ",""),"0",""),"-","")))=(LEN(SUBSTITUTE(SUBSTITUTE(SUBSTITUTE(M193," ",""),"0",""),"-",""))+LEN(SUBSTITUTE(SUBSTITUTE(SUBSTITUTE(N193," ",""),"0",""),"-",""))))),1,0)+IF(OR(L194="X",L194="x",AND(COUNTA(J194,K194,M194,N194)&gt;0,(LEN(SUBSTITUTE(SUBSTITUTE(SUBSTITUTE(J194," ",""),"0",""),"-",""))+LEN(SUBSTITUTE(SUBSTITUTE(SUBSTITUTE(K194," ",""),"0",""),"-","")))=(LEN(SUBSTITUTE(SUBSTITUTE(SUBSTITUTE(M194," ",""),"0",""),"-",""))+LEN(SUBSTITUTE(SUBSTITUTE(SUBSTITUTE(N194," ",""),"0",""),"-",""))))),1,0)+IF(OR(L195="X",L195="x",AND(COUNTA(J195,K195,M195,N195)&gt;0,(LEN(SUBSTITUTE(SUBSTITUTE(SUBSTITUTE(J195," ",""),"0",""),"-",""))+LEN(SUBSTITUTE(SUBSTITUTE(SUBSTITUTE(K195," ",""),"0",""),"-","")))=(LEN(SUBSTITUTE(SUBSTITUTE(SUBSTITUTE(M195," ",""),"0",""),"-",""))+LEN(SUBSTITUTE(SUBSTITUTE(SUBSTITUTE(N195," ",""),"0",""),"-",""))))),1,0)+IF(OR(L196="X",L196="x",AND(COUNTA(J196,K196,M196,N196)&gt;0,(LEN(SUBSTITUTE(SUBSTITUTE(SUBSTITUTE(J196," ",""),"0",""),"-",""))+LEN(SUBSTITUTE(SUBSTITUTE(SUBSTITUTE(K196," ",""),"0",""),"-","")))=(LEN(SUBSTITUTE(SUBSTITUTE(SUBSTITUTE(M196," ",""),"0",""),"-",""))+LEN(SUBSTITUTE(SUBSTITUTE(SUBSTITUTE(N196," ",""),"0",""),"-",""))))),1,0)+IF(OR(L197="X",L197="x",AND(COUNTA(J197,K197,M197,N197)&gt;0,(LEN(SUBSTITUTE(SUBSTITUTE(SUBSTITUTE(J197," ",""),"0",""),"-",""))+LEN(SUBSTITUTE(SUBSTITUTE(SUBSTITUTE(K197," ",""),"0",""),"-","")))=(LEN(SUBSTITUTE(SUBSTITUTE(SUBSTITUTE(M197," ",""),"0",""),"-",""))+LEN(SUBSTITUTE(SUBSTITUTE(SUBSTITUTE(N197," ",""),"0",""),"-",""))))),1,0)),0)</f>
      </c>
      <c r="M208" s="14" t="str">
        <f>K184+K192</f>
      </c>
      <c r="N208" s="14" t="str">
        <f>M184+M192</f>
      </c>
    </row>
    <row r="211">
      <c r="F211" s="13"/>
      <c r="G211" s="13" t="s">
        <v>344</v>
      </c>
      <c r="N211" s="13"/>
      <c r="O211" s="13" t="s">
        <v>344</v>
      </c>
    </row>
    <row r="212">
      <c r="F212" t="s">
        <v>345</v>
      </c>
      <c r="G212" s="19" t="str">
        <f>IFERROR(INDEX($A$201:$A$208, MATCH(1, $G$201:$G$208, 0)), "-")</f>
      </c>
      <c r="N212" t="s">
        <v>345</v>
      </c>
      <c r="O212" s="19" t="str">
        <f>IFERROR(INDEX($I$201:$I$208, MATCH(1, $O$201:$O$208, 0)), "-")</f>
      </c>
    </row>
    <row r="213">
      <c r="F213" t="s">
        <v>346</v>
      </c>
      <c r="G213" s="19" t="str">
        <f>IFERROR(INDEX($A$201:$A$208, MATCH(2, $G$201:$G$208, 0)), "-")</f>
      </c>
      <c r="N213" t="s">
        <v>346</v>
      </c>
      <c r="O213" s="19" t="str">
        <f>IFERROR(INDEX($I$201:$I$208, MATCH(2, $O$201:$O$208, 0)), "-")</f>
      </c>
    </row>
    <row r="214">
      <c r="F214" t="s">
        <v>347</v>
      </c>
      <c r="G214" s="19" t="str">
        <f>IFERROR(INDEX($A$201:$A$208, MATCH(3, $G$201:$G$208, 0)), "-")</f>
      </c>
      <c r="N214" t="s">
        <v>347</v>
      </c>
      <c r="O214" s="19" t="str">
        <f>IFERROR(INDEX($I$201:$I$208, MATCH(3, $O$201:$O$208, 0)), "-")</f>
      </c>
    </row>
    <row r="217">
      <c r="A217" s="13" t="str">
        <f>'data'!$A$20</f>
      </c>
      <c r="B217" s="13"/>
      <c r="C217" s="13"/>
      <c r="D217" s="13"/>
      <c r="E217" s="13"/>
      <c r="F217" s="13"/>
      <c r="G217" s="13"/>
      <c r="I217" s="13" t="str">
        <f>'data'!$A$67</f>
      </c>
      <c r="J217" s="13"/>
      <c r="K217" s="13"/>
      <c r="L217" s="13"/>
      <c r="M217" s="13"/>
      <c r="N217" s="13"/>
      <c r="O217" s="13"/>
    </row>
    <row r="218">
      <c r="A218" s="17" t="s">
        <v>331</v>
      </c>
      <c r="B218" s="14"/>
      <c r="C218" s="14"/>
      <c r="D218" s="14" t="s">
        <v>332</v>
      </c>
      <c r="E218" s="14"/>
      <c r="F218" s="14"/>
      <c r="G218" s="16" t="s">
        <v>333</v>
      </c>
      <c r="I218" s="17" t="s">
        <v>331</v>
      </c>
      <c r="J218" s="14"/>
      <c r="K218" s="14"/>
      <c r="L218" s="14" t="s">
        <v>332</v>
      </c>
      <c r="M218" s="14"/>
      <c r="N218" s="14"/>
      <c r="O218" s="16" t="s">
        <v>333</v>
      </c>
    </row>
    <row r="219">
      <c r="A219" s="14" t="str">
        <f>data!$E$19&amp;" "&amp;data!$B$19</f>
      </c>
      <c r="B219" s="14" t="str">
        <f>IF(UPPER(D220)="X",0,IF((LEN(SUBSTITUTE(SUBSTITUTE(SUBSTITUTE(B220," ",""),"0",""),"-",""))+LEN(SUBSTITUTE(SUBSTITUTE(SUBSTITUTE(C220," ",""),"0",""),"-","")))&gt;(LEN(SUBSTITUTE(SUBSTITUTE(SUBSTITUTE(E220," ",""),"0",""),"-",""))+LEN(SUBSTITUTE(SUBSTITUTE(SUBSTITUTE(F220," ",""),"0",""),"-",""))),1,0))+IF(UPPER(D221)="X",0,IF((LEN(SUBSTITUTE(SUBSTITUTE(SUBSTITUTE(B221," ",""),"0",""),"-",""))+LEN(SUBSTITUTE(SUBSTITUTE(SUBSTITUTE(C221," ",""),"0",""),"-","")))&gt;(LEN(SUBSTITUTE(SUBSTITUTE(SUBSTITUTE(E221," ",""),"0",""),"-",""))+LEN(SUBSTITUTE(SUBSTITUTE(SUBSTITUTE(F221," ",""),"0",""),"-",""))),1,0))+IF(UPPER(D222)="X",0,IF((LEN(SUBSTITUTE(SUBSTITUTE(SUBSTITUTE(B222," ",""),"0",""),"-",""))+LEN(SUBSTITUTE(SUBSTITUTE(SUBSTITUTE(C222," ",""),"0",""),"-","")))&gt;(LEN(SUBSTITUTE(SUBSTITUTE(SUBSTITUTE(E222," ",""),"0",""),"-",""))+LEN(SUBSTITUTE(SUBSTITUTE(SUBSTITUTE(F222," ",""),"0",""),"-",""))),1,0))+IF(UPPER(D223)="X",0,IF((LEN(SUBSTITUTE(SUBSTITUTE(SUBSTITUTE(B223," ",""),"0",""),"-",""))+LEN(SUBSTITUTE(SUBSTITUTE(SUBSTITUTE(C223," ",""),"0",""),"-","")))&gt;(LEN(SUBSTITUTE(SUBSTITUTE(SUBSTITUTE(E223," ",""),"0",""),"-",""))+LEN(SUBSTITUTE(SUBSTITUTE(SUBSTITUTE(F223," ",""),"0",""),"-",""))),1,0))+IF(UPPER(D224)="X",0,IF((LEN(SUBSTITUTE(SUBSTITUTE(SUBSTITUTE(B224," ",""),"0",""),"-",""))+LEN(SUBSTITUTE(SUBSTITUTE(SUBSTITUTE(C224," ",""),"0",""),"-","")))&gt;(LEN(SUBSTITUTE(SUBSTITUTE(SUBSTITUTE(E224," ",""),"0",""),"-",""))+LEN(SUBSTITUTE(SUBSTITUTE(SUBSTITUTE(F224," ",""),"0",""),"-",""))),1,0))</f>
      </c>
      <c r="C219" s="14" t="str">
        <f>LEN(SUBSTITUTE(SUBSTITUTE(SUBSTITUTE(B220," ",""),"0",""),"-",""))+LEN(SUBSTITUTE(SUBSTITUTE(SUBSTITUTE(C220," ",""),"0",""),"-",""))+LEN(SUBSTITUTE(SUBSTITUTE(SUBSTITUTE(B221," ",""),"0",""),"-",""))+LEN(SUBSTITUTE(SUBSTITUTE(SUBSTITUTE(C221," ",""),"0",""),"-",""))+LEN(SUBSTITUTE(SUBSTITUTE(SUBSTITUTE(B222," ",""),"0",""),"-",""))+LEN(SUBSTITUTE(SUBSTITUTE(SUBSTITUTE(C222," ",""),"0",""),"-",""))+LEN(SUBSTITUTE(SUBSTITUTE(SUBSTITUTE(B223," ",""),"0",""),"-",""))+LEN(SUBSTITUTE(SUBSTITUTE(SUBSTITUTE(C223," ",""),"0",""),"-",""))+LEN(SUBSTITUTE(SUBSTITUTE(SUBSTITUTE(B224," ",""),"0",""),"-",""))+LEN(SUBSTITUTE(SUBSTITUTE(SUBSTITUTE(C224," ",""),"0",""),"-",""))</f>
      </c>
      <c r="D219" s="18"/>
      <c r="E219" s="14" t="str">
        <f>LEN(SUBSTITUTE(SUBSTITUTE(SUBSTITUTE(E220," ",""),"0",""),"-",""))+LEN(SUBSTITUTE(SUBSTITUTE(SUBSTITUTE(F220," ",""),"0",""),"-",""))+LEN(SUBSTITUTE(SUBSTITUTE(SUBSTITUTE(E221," ",""),"0",""),"-",""))+LEN(SUBSTITUTE(SUBSTITUTE(SUBSTITUTE(F221," ",""),"0",""),"-",""))+LEN(SUBSTITUTE(SUBSTITUTE(SUBSTITUTE(E222," ",""),"0",""),"-",""))+LEN(SUBSTITUTE(SUBSTITUTE(SUBSTITUTE(F222," ",""),"0",""),"-",""))+LEN(SUBSTITUTE(SUBSTITUTE(SUBSTITUTE(E223," ",""),"0",""),"-",""))+LEN(SUBSTITUTE(SUBSTITUTE(SUBSTITUTE(F223," ",""),"0",""),"-",""))+LEN(SUBSTITUTE(SUBSTITUTE(SUBSTITUTE(E224," ",""),"0",""),"-",""))+LEN(SUBSTITUTE(SUBSTITUTE(SUBSTITUTE(F224," ",""),"0",""),"-",""))</f>
      </c>
      <c r="F219" s="14" t="str">
        <f>IF(UPPER(D220)="X",0,IF((LEN(SUBSTITUTE(SUBSTITUTE(SUBSTITUTE(E220," ",""),"0",""),"-",""))+LEN(SUBSTITUTE(SUBSTITUTE(SUBSTITUTE(F220," ",""),"0",""),"-","")))&gt;(LEN(SUBSTITUTE(SUBSTITUTE(SUBSTITUTE(B220," ",""),"0",""),"-",""))+LEN(SUBSTITUTE(SUBSTITUTE(SUBSTITUTE(C220," ",""),"0",""),"-",""))),1,0))+IF(UPPER(D221)="X",0,IF((LEN(SUBSTITUTE(SUBSTITUTE(SUBSTITUTE(E221," ",""),"0",""),"-",""))+LEN(SUBSTITUTE(SUBSTITUTE(SUBSTITUTE(F221," ",""),"0",""),"-","")))&gt;(LEN(SUBSTITUTE(SUBSTITUTE(SUBSTITUTE(B221," ",""),"0",""),"-",""))+LEN(SUBSTITUTE(SUBSTITUTE(SUBSTITUTE(C221," ",""),"0",""),"-",""))),1,0))+IF(UPPER(D222)="X",0,IF((LEN(SUBSTITUTE(SUBSTITUTE(SUBSTITUTE(E222," ",""),"0",""),"-",""))+LEN(SUBSTITUTE(SUBSTITUTE(SUBSTITUTE(F222," ",""),"0",""),"-","")))&gt;(LEN(SUBSTITUTE(SUBSTITUTE(SUBSTITUTE(B222," ",""),"0",""),"-",""))+LEN(SUBSTITUTE(SUBSTITUTE(SUBSTITUTE(C222," ",""),"0",""),"-",""))),1,0))+IF(UPPER(D223)="X",0,IF((LEN(SUBSTITUTE(SUBSTITUTE(SUBSTITUTE(E223," ",""),"0",""),"-",""))+LEN(SUBSTITUTE(SUBSTITUTE(SUBSTITUTE(F223," ",""),"0",""),"-","")))&gt;(LEN(SUBSTITUTE(SUBSTITUTE(SUBSTITUTE(B223," ",""),"0",""),"-",""))+LEN(SUBSTITUTE(SUBSTITUTE(SUBSTITUTE(C223," ",""),"0",""),"-",""))),1,0))+IF(UPPER(D224)="X",0,IF((LEN(SUBSTITUTE(SUBSTITUTE(SUBSTITUTE(E224," ",""),"0",""),"-",""))+LEN(SUBSTITUTE(SUBSTITUTE(SUBSTITUTE(F224," ",""),"0",""),"-","")))&gt;(LEN(SUBSTITUTE(SUBSTITUTE(SUBSTITUTE(B224," ",""),"0",""),"-",""))+LEN(SUBSTITUTE(SUBSTITUTE(SUBSTITUTE(C224," ",""),"0",""),"-",""))),1,0))</f>
      </c>
      <c r="G219" s="14" t="str">
        <f>data!$E$18&amp;" "&amp;data!$B$18</f>
      </c>
      <c r="I219" s="14" t="str">
        <f>data!$E$66&amp;" "&amp;data!$B$66</f>
      </c>
      <c r="J219" s="14" t="str">
        <f>IF(UPPER(L220)="X",0,IF((LEN(SUBSTITUTE(SUBSTITUTE(SUBSTITUTE(J220," ",""),"0",""),"-",""))+LEN(SUBSTITUTE(SUBSTITUTE(SUBSTITUTE(K220," ",""),"0",""),"-","")))&gt;(LEN(SUBSTITUTE(SUBSTITUTE(SUBSTITUTE(M220," ",""),"0",""),"-",""))+LEN(SUBSTITUTE(SUBSTITUTE(SUBSTITUTE(N220," ",""),"0",""),"-",""))),1,0))+IF(UPPER(L221)="X",0,IF((LEN(SUBSTITUTE(SUBSTITUTE(SUBSTITUTE(J221," ",""),"0",""),"-",""))+LEN(SUBSTITUTE(SUBSTITUTE(SUBSTITUTE(K221," ",""),"0",""),"-","")))&gt;(LEN(SUBSTITUTE(SUBSTITUTE(SUBSTITUTE(M221," ",""),"0",""),"-",""))+LEN(SUBSTITUTE(SUBSTITUTE(SUBSTITUTE(N221," ",""),"0",""),"-",""))),1,0))+IF(UPPER(L222)="X",0,IF((LEN(SUBSTITUTE(SUBSTITUTE(SUBSTITUTE(J222," ",""),"0",""),"-",""))+LEN(SUBSTITUTE(SUBSTITUTE(SUBSTITUTE(K222," ",""),"0",""),"-","")))&gt;(LEN(SUBSTITUTE(SUBSTITUTE(SUBSTITUTE(M222," ",""),"0",""),"-",""))+LEN(SUBSTITUTE(SUBSTITUTE(SUBSTITUTE(N222," ",""),"0",""),"-",""))),1,0))+IF(UPPER(L223)="X",0,IF((LEN(SUBSTITUTE(SUBSTITUTE(SUBSTITUTE(J223," ",""),"0",""),"-",""))+LEN(SUBSTITUTE(SUBSTITUTE(SUBSTITUTE(K223," ",""),"0",""),"-","")))&gt;(LEN(SUBSTITUTE(SUBSTITUTE(SUBSTITUTE(M223," ",""),"0",""),"-",""))+LEN(SUBSTITUTE(SUBSTITUTE(SUBSTITUTE(N223," ",""),"0",""),"-",""))),1,0))+IF(UPPER(L224)="X",0,IF((LEN(SUBSTITUTE(SUBSTITUTE(SUBSTITUTE(J224," ",""),"0",""),"-",""))+LEN(SUBSTITUTE(SUBSTITUTE(SUBSTITUTE(K224," ",""),"0",""),"-","")))&gt;(LEN(SUBSTITUTE(SUBSTITUTE(SUBSTITUTE(M224," ",""),"0",""),"-",""))+LEN(SUBSTITUTE(SUBSTITUTE(SUBSTITUTE(N224," ",""),"0",""),"-",""))),1,0))</f>
      </c>
      <c r="K219" s="14" t="str">
        <f>LEN(SUBSTITUTE(SUBSTITUTE(SUBSTITUTE(J220," ",""),"0",""),"-",""))+LEN(SUBSTITUTE(SUBSTITUTE(SUBSTITUTE(K220," ",""),"0",""),"-",""))+LEN(SUBSTITUTE(SUBSTITUTE(SUBSTITUTE(J221," ",""),"0",""),"-",""))+LEN(SUBSTITUTE(SUBSTITUTE(SUBSTITUTE(K221," ",""),"0",""),"-",""))+LEN(SUBSTITUTE(SUBSTITUTE(SUBSTITUTE(J222," ",""),"0",""),"-",""))+LEN(SUBSTITUTE(SUBSTITUTE(SUBSTITUTE(K222," ",""),"0",""),"-",""))+LEN(SUBSTITUTE(SUBSTITUTE(SUBSTITUTE(J223," ",""),"0",""),"-",""))+LEN(SUBSTITUTE(SUBSTITUTE(SUBSTITUTE(K223," ",""),"0",""),"-",""))+LEN(SUBSTITUTE(SUBSTITUTE(SUBSTITUTE(J224," ",""),"0",""),"-",""))+LEN(SUBSTITUTE(SUBSTITUTE(SUBSTITUTE(K224," ",""),"0",""),"-",""))</f>
      </c>
      <c r="L219" s="18"/>
      <c r="M219" s="14" t="str">
        <f>LEN(SUBSTITUTE(SUBSTITUTE(SUBSTITUTE(M220," ",""),"0",""),"-",""))+LEN(SUBSTITUTE(SUBSTITUTE(SUBSTITUTE(N220," ",""),"0",""),"-",""))+LEN(SUBSTITUTE(SUBSTITUTE(SUBSTITUTE(M221," ",""),"0",""),"-",""))+LEN(SUBSTITUTE(SUBSTITUTE(SUBSTITUTE(N221," ",""),"0",""),"-",""))+LEN(SUBSTITUTE(SUBSTITUTE(SUBSTITUTE(M222," ",""),"0",""),"-",""))+LEN(SUBSTITUTE(SUBSTITUTE(SUBSTITUTE(N222," ",""),"0",""),"-",""))+LEN(SUBSTITUTE(SUBSTITUTE(SUBSTITUTE(M223," ",""),"0",""),"-",""))+LEN(SUBSTITUTE(SUBSTITUTE(SUBSTITUTE(N223," ",""),"0",""),"-",""))+LEN(SUBSTITUTE(SUBSTITUTE(SUBSTITUTE(M224," ",""),"0",""),"-",""))+LEN(SUBSTITUTE(SUBSTITUTE(SUBSTITUTE(N224," ",""),"0",""),"-",""))</f>
      </c>
      <c r="N219" s="14" t="str">
        <f>IF(UPPER(L220)="X",0,IF((LEN(SUBSTITUTE(SUBSTITUTE(SUBSTITUTE(M220," ",""),"0",""),"-",""))+LEN(SUBSTITUTE(SUBSTITUTE(SUBSTITUTE(N220," ",""),"0",""),"-","")))&gt;(LEN(SUBSTITUTE(SUBSTITUTE(SUBSTITUTE(J220," ",""),"0",""),"-",""))+LEN(SUBSTITUTE(SUBSTITUTE(SUBSTITUTE(K220," ",""),"0",""),"-",""))),1,0))+IF(UPPER(L221)="X",0,IF((LEN(SUBSTITUTE(SUBSTITUTE(SUBSTITUTE(M221," ",""),"0",""),"-",""))+LEN(SUBSTITUTE(SUBSTITUTE(SUBSTITUTE(N221," ",""),"0",""),"-","")))&gt;(LEN(SUBSTITUTE(SUBSTITUTE(SUBSTITUTE(J221," ",""),"0",""),"-",""))+LEN(SUBSTITUTE(SUBSTITUTE(SUBSTITUTE(K221," ",""),"0",""),"-",""))),1,0))+IF(UPPER(L222)="X",0,IF((LEN(SUBSTITUTE(SUBSTITUTE(SUBSTITUTE(M222," ",""),"0",""),"-",""))+LEN(SUBSTITUTE(SUBSTITUTE(SUBSTITUTE(N222," ",""),"0",""),"-","")))&gt;(LEN(SUBSTITUTE(SUBSTITUTE(SUBSTITUTE(J222," ",""),"0",""),"-",""))+LEN(SUBSTITUTE(SUBSTITUTE(SUBSTITUTE(K222," ",""),"0",""),"-",""))),1,0))+IF(UPPER(L223)="X",0,IF((LEN(SUBSTITUTE(SUBSTITUTE(SUBSTITUTE(M223," ",""),"0",""),"-",""))+LEN(SUBSTITUTE(SUBSTITUTE(SUBSTITUTE(N223," ",""),"0",""),"-","")))&gt;(LEN(SUBSTITUTE(SUBSTITUTE(SUBSTITUTE(J223," ",""),"0",""),"-",""))+LEN(SUBSTITUTE(SUBSTITUTE(SUBSTITUTE(K223," ",""),"0",""),"-",""))),1,0))+IF(UPPER(L224)="X",0,IF((LEN(SUBSTITUTE(SUBSTITUTE(SUBSTITUTE(M224," ",""),"0",""),"-",""))+LEN(SUBSTITUTE(SUBSTITUTE(SUBSTITUTE(N224," ",""),"0",""),"-","")))&gt;(LEN(SUBSTITUTE(SUBSTITUTE(SUBSTITUTE(J224," ",""),"0",""),"-",""))+LEN(SUBSTITUTE(SUBSTITUTE(SUBSTITUTE(K224," ",""),"0",""),"-",""))),1,0))</f>
      </c>
      <c r="O219" s="14" t="str">
        <f>data!$E$65&amp;" "&amp;data!$B$65</f>
      </c>
    </row>
    <row r="220">
      <c r="A220" s="14">
        <v>1</v>
      </c>
      <c r="B220" s="18"/>
      <c r="C220" s="18"/>
      <c r="D220" s="18"/>
      <c r="E220" s="18"/>
      <c r="F220" s="18"/>
      <c r="G220" s="14">
        <v>1</v>
      </c>
      <c r="I220" s="14">
        <v>1</v>
      </c>
      <c r="J220" s="18"/>
      <c r="K220" s="18"/>
      <c r="L220" s="18"/>
      <c r="M220" s="18"/>
      <c r="N220" s="18"/>
      <c r="O220" s="14">
        <v>1</v>
      </c>
    </row>
    <row r="221">
      <c r="A221" s="14">
        <v>2</v>
      </c>
      <c r="B221" s="18"/>
      <c r="C221" s="18"/>
      <c r="D221" s="18"/>
      <c r="E221" s="18"/>
      <c r="F221" s="18"/>
      <c r="G221" s="14">
        <v>2</v>
      </c>
      <c r="I221" s="14">
        <v>2</v>
      </c>
      <c r="J221" s="18"/>
      <c r="K221" s="18"/>
      <c r="L221" s="18"/>
      <c r="M221" s="18"/>
      <c r="N221" s="18"/>
      <c r="O221" s="14">
        <v>2</v>
      </c>
    </row>
    <row r="222">
      <c r="A222" s="14">
        <v>3</v>
      </c>
      <c r="B222" s="18"/>
      <c r="C222" s="18"/>
      <c r="D222" s="18"/>
      <c r="E222" s="18"/>
      <c r="F222" s="18"/>
      <c r="G222" s="14">
        <v>3</v>
      </c>
      <c r="I222" s="14">
        <v>3</v>
      </c>
      <c r="J222" s="18"/>
      <c r="K222" s="18"/>
      <c r="L222" s="18"/>
      <c r="M222" s="18"/>
      <c r="N222" s="18"/>
      <c r="O222" s="14">
        <v>3</v>
      </c>
    </row>
    <row r="223">
      <c r="A223" s="14">
        <v>4</v>
      </c>
      <c r="B223" s="18"/>
      <c r="C223" s="18"/>
      <c r="D223" s="18"/>
      <c r="E223" s="18"/>
      <c r="F223" s="18"/>
      <c r="G223" s="14">
        <v>4</v>
      </c>
      <c r="I223" s="14">
        <v>4</v>
      </c>
      <c r="J223" s="18"/>
      <c r="K223" s="18"/>
      <c r="L223" s="18"/>
      <c r="M223" s="18"/>
      <c r="N223" s="18"/>
      <c r="O223" s="14">
        <v>4</v>
      </c>
    </row>
    <row r="224">
      <c r="A224" s="14">
        <v>5</v>
      </c>
      <c r="B224" s="18"/>
      <c r="C224" s="18"/>
      <c r="D224" s="18"/>
      <c r="E224" s="18"/>
      <c r="F224" s="18"/>
      <c r="G224" s="14">
        <v>5</v>
      </c>
      <c r="I224" s="14">
        <v>5</v>
      </c>
      <c r="J224" s="18"/>
      <c r="K224" s="18"/>
      <c r="L224" s="18"/>
      <c r="M224" s="18"/>
      <c r="N224" s="18"/>
      <c r="O224" s="14">
        <v>5</v>
      </c>
    </row>
    <row r="226">
      <c r="A226" s="17" t="s">
        <v>331</v>
      </c>
      <c r="B226" s="14"/>
      <c r="C226" s="14"/>
      <c r="D226" s="14" t="s">
        <v>332</v>
      </c>
      <c r="E226" s="14"/>
      <c r="F226" s="14"/>
      <c r="G226" s="16" t="s">
        <v>333</v>
      </c>
      <c r="I226" s="17" t="s">
        <v>331</v>
      </c>
      <c r="J226" s="14"/>
      <c r="K226" s="14"/>
      <c r="L226" s="14" t="s">
        <v>332</v>
      </c>
      <c r="M226" s="14"/>
      <c r="N226" s="14"/>
      <c r="O226" s="16" t="s">
        <v>333</v>
      </c>
    </row>
    <row r="227">
      <c r="A227" s="14" t="str">
        <f>data!$E$20&amp;" "&amp;data!$B$20</f>
      </c>
      <c r="B227" s="14" t="str">
        <f>IF(UPPER(D228)="X",0,IF((LEN(SUBSTITUTE(SUBSTITUTE(SUBSTITUTE(B228," ",""),"0",""),"-",""))+LEN(SUBSTITUTE(SUBSTITUTE(SUBSTITUTE(C228," ",""),"0",""),"-","")))&gt;(LEN(SUBSTITUTE(SUBSTITUTE(SUBSTITUTE(E228," ",""),"0",""),"-",""))+LEN(SUBSTITUTE(SUBSTITUTE(SUBSTITUTE(F228," ",""),"0",""),"-",""))),1,0))+IF(UPPER(D229)="X",0,IF((LEN(SUBSTITUTE(SUBSTITUTE(SUBSTITUTE(B229," ",""),"0",""),"-",""))+LEN(SUBSTITUTE(SUBSTITUTE(SUBSTITUTE(C229," ",""),"0",""),"-","")))&gt;(LEN(SUBSTITUTE(SUBSTITUTE(SUBSTITUTE(E229," ",""),"0",""),"-",""))+LEN(SUBSTITUTE(SUBSTITUTE(SUBSTITUTE(F229," ",""),"0",""),"-",""))),1,0))+IF(UPPER(D230)="X",0,IF((LEN(SUBSTITUTE(SUBSTITUTE(SUBSTITUTE(B230," ",""),"0",""),"-",""))+LEN(SUBSTITUTE(SUBSTITUTE(SUBSTITUTE(C230," ",""),"0",""),"-","")))&gt;(LEN(SUBSTITUTE(SUBSTITUTE(SUBSTITUTE(E230," ",""),"0",""),"-",""))+LEN(SUBSTITUTE(SUBSTITUTE(SUBSTITUTE(F230," ",""),"0",""),"-",""))),1,0))+IF(UPPER(D231)="X",0,IF((LEN(SUBSTITUTE(SUBSTITUTE(SUBSTITUTE(B231," ",""),"0",""),"-",""))+LEN(SUBSTITUTE(SUBSTITUTE(SUBSTITUTE(C231," ",""),"0",""),"-","")))&gt;(LEN(SUBSTITUTE(SUBSTITUTE(SUBSTITUTE(E231," ",""),"0",""),"-",""))+LEN(SUBSTITUTE(SUBSTITUTE(SUBSTITUTE(F231," ",""),"0",""),"-",""))),1,0))+IF(UPPER(D232)="X",0,IF((LEN(SUBSTITUTE(SUBSTITUTE(SUBSTITUTE(B232," ",""),"0",""),"-",""))+LEN(SUBSTITUTE(SUBSTITUTE(SUBSTITUTE(C232," ",""),"0",""),"-","")))&gt;(LEN(SUBSTITUTE(SUBSTITUTE(SUBSTITUTE(E232," ",""),"0",""),"-",""))+LEN(SUBSTITUTE(SUBSTITUTE(SUBSTITUTE(F232," ",""),"0",""),"-",""))),1,0))</f>
      </c>
      <c r="C227" s="14" t="str">
        <f>LEN(SUBSTITUTE(SUBSTITUTE(SUBSTITUTE(B228," ",""),"0",""),"-",""))+LEN(SUBSTITUTE(SUBSTITUTE(SUBSTITUTE(C228," ",""),"0",""),"-",""))+LEN(SUBSTITUTE(SUBSTITUTE(SUBSTITUTE(B229," ",""),"0",""),"-",""))+LEN(SUBSTITUTE(SUBSTITUTE(SUBSTITUTE(C229," ",""),"0",""),"-",""))+LEN(SUBSTITUTE(SUBSTITUTE(SUBSTITUTE(B230," ",""),"0",""),"-",""))+LEN(SUBSTITUTE(SUBSTITUTE(SUBSTITUTE(C230," ",""),"0",""),"-",""))+LEN(SUBSTITUTE(SUBSTITUTE(SUBSTITUTE(B231," ",""),"0",""),"-",""))+LEN(SUBSTITUTE(SUBSTITUTE(SUBSTITUTE(C231," ",""),"0",""),"-",""))+LEN(SUBSTITUTE(SUBSTITUTE(SUBSTITUTE(B232," ",""),"0",""),"-",""))+LEN(SUBSTITUTE(SUBSTITUTE(SUBSTITUTE(C232," ",""),"0",""),"-",""))</f>
      </c>
      <c r="D227" s="18"/>
      <c r="E227" s="14" t="str">
        <f>LEN(SUBSTITUTE(SUBSTITUTE(SUBSTITUTE(E228," ",""),"0",""),"-",""))+LEN(SUBSTITUTE(SUBSTITUTE(SUBSTITUTE(F228," ",""),"0",""),"-",""))+LEN(SUBSTITUTE(SUBSTITUTE(SUBSTITUTE(E229," ",""),"0",""),"-",""))+LEN(SUBSTITUTE(SUBSTITUTE(SUBSTITUTE(F229," ",""),"0",""),"-",""))+LEN(SUBSTITUTE(SUBSTITUTE(SUBSTITUTE(E230," ",""),"0",""),"-",""))+LEN(SUBSTITUTE(SUBSTITUTE(SUBSTITUTE(F230," ",""),"0",""),"-",""))+LEN(SUBSTITUTE(SUBSTITUTE(SUBSTITUTE(E231," ",""),"0",""),"-",""))+LEN(SUBSTITUTE(SUBSTITUTE(SUBSTITUTE(F231," ",""),"0",""),"-",""))+LEN(SUBSTITUTE(SUBSTITUTE(SUBSTITUTE(E232," ",""),"0",""),"-",""))+LEN(SUBSTITUTE(SUBSTITUTE(SUBSTITUTE(F232," ",""),"0",""),"-",""))</f>
      </c>
      <c r="F227" s="14" t="str">
        <f>IF(UPPER(D228)="X",0,IF((LEN(SUBSTITUTE(SUBSTITUTE(SUBSTITUTE(E228," ",""),"0",""),"-",""))+LEN(SUBSTITUTE(SUBSTITUTE(SUBSTITUTE(F228," ",""),"0",""),"-","")))&gt;(LEN(SUBSTITUTE(SUBSTITUTE(SUBSTITUTE(B228," ",""),"0",""),"-",""))+LEN(SUBSTITUTE(SUBSTITUTE(SUBSTITUTE(C228," ",""),"0",""),"-",""))),1,0))+IF(UPPER(D229)="X",0,IF((LEN(SUBSTITUTE(SUBSTITUTE(SUBSTITUTE(E229," ",""),"0",""),"-",""))+LEN(SUBSTITUTE(SUBSTITUTE(SUBSTITUTE(F229," ",""),"0",""),"-","")))&gt;(LEN(SUBSTITUTE(SUBSTITUTE(SUBSTITUTE(B229," ",""),"0",""),"-",""))+LEN(SUBSTITUTE(SUBSTITUTE(SUBSTITUTE(C229," ",""),"0",""),"-",""))),1,0))+IF(UPPER(D230)="X",0,IF((LEN(SUBSTITUTE(SUBSTITUTE(SUBSTITUTE(E230," ",""),"0",""),"-",""))+LEN(SUBSTITUTE(SUBSTITUTE(SUBSTITUTE(F230," ",""),"0",""),"-","")))&gt;(LEN(SUBSTITUTE(SUBSTITUTE(SUBSTITUTE(B230," ",""),"0",""),"-",""))+LEN(SUBSTITUTE(SUBSTITUTE(SUBSTITUTE(C230," ",""),"0",""),"-",""))),1,0))+IF(UPPER(D231)="X",0,IF((LEN(SUBSTITUTE(SUBSTITUTE(SUBSTITUTE(E231," ",""),"0",""),"-",""))+LEN(SUBSTITUTE(SUBSTITUTE(SUBSTITUTE(F231," ",""),"0",""),"-","")))&gt;(LEN(SUBSTITUTE(SUBSTITUTE(SUBSTITUTE(B231," ",""),"0",""),"-",""))+LEN(SUBSTITUTE(SUBSTITUTE(SUBSTITUTE(C231," ",""),"0",""),"-",""))),1,0))+IF(UPPER(D232)="X",0,IF((LEN(SUBSTITUTE(SUBSTITUTE(SUBSTITUTE(E232," ",""),"0",""),"-",""))+LEN(SUBSTITUTE(SUBSTITUTE(SUBSTITUTE(F232," ",""),"0",""),"-","")))&gt;(LEN(SUBSTITUTE(SUBSTITUTE(SUBSTITUTE(B232," ",""),"0",""),"-",""))+LEN(SUBSTITUTE(SUBSTITUTE(SUBSTITUTE(C232," ",""),"0",""),"-",""))),1,0))</f>
      </c>
      <c r="G227" s="14" t="str">
        <f>data!$E$18&amp;" "&amp;data!$B$18</f>
      </c>
      <c r="I227" s="14" t="str">
        <f>data!$E$67&amp;" "&amp;data!$B$67</f>
      </c>
      <c r="J227" s="14" t="str">
        <f>IF(UPPER(L228)="X",0,IF((LEN(SUBSTITUTE(SUBSTITUTE(SUBSTITUTE(J228," ",""),"0",""),"-",""))+LEN(SUBSTITUTE(SUBSTITUTE(SUBSTITUTE(K228," ",""),"0",""),"-","")))&gt;(LEN(SUBSTITUTE(SUBSTITUTE(SUBSTITUTE(M228," ",""),"0",""),"-",""))+LEN(SUBSTITUTE(SUBSTITUTE(SUBSTITUTE(N228," ",""),"0",""),"-",""))),1,0))+IF(UPPER(L229)="X",0,IF((LEN(SUBSTITUTE(SUBSTITUTE(SUBSTITUTE(J229," ",""),"0",""),"-",""))+LEN(SUBSTITUTE(SUBSTITUTE(SUBSTITUTE(K229," ",""),"0",""),"-","")))&gt;(LEN(SUBSTITUTE(SUBSTITUTE(SUBSTITUTE(M229," ",""),"0",""),"-",""))+LEN(SUBSTITUTE(SUBSTITUTE(SUBSTITUTE(N229," ",""),"0",""),"-",""))),1,0))+IF(UPPER(L230)="X",0,IF((LEN(SUBSTITUTE(SUBSTITUTE(SUBSTITUTE(J230," ",""),"0",""),"-",""))+LEN(SUBSTITUTE(SUBSTITUTE(SUBSTITUTE(K230," ",""),"0",""),"-","")))&gt;(LEN(SUBSTITUTE(SUBSTITUTE(SUBSTITUTE(M230," ",""),"0",""),"-",""))+LEN(SUBSTITUTE(SUBSTITUTE(SUBSTITUTE(N230," ",""),"0",""),"-",""))),1,0))+IF(UPPER(L231)="X",0,IF((LEN(SUBSTITUTE(SUBSTITUTE(SUBSTITUTE(J231," ",""),"0",""),"-",""))+LEN(SUBSTITUTE(SUBSTITUTE(SUBSTITUTE(K231," ",""),"0",""),"-","")))&gt;(LEN(SUBSTITUTE(SUBSTITUTE(SUBSTITUTE(M231," ",""),"0",""),"-",""))+LEN(SUBSTITUTE(SUBSTITUTE(SUBSTITUTE(N231," ",""),"0",""),"-",""))),1,0))+IF(UPPER(L232)="X",0,IF((LEN(SUBSTITUTE(SUBSTITUTE(SUBSTITUTE(J232," ",""),"0",""),"-",""))+LEN(SUBSTITUTE(SUBSTITUTE(SUBSTITUTE(K232," ",""),"0",""),"-","")))&gt;(LEN(SUBSTITUTE(SUBSTITUTE(SUBSTITUTE(M232," ",""),"0",""),"-",""))+LEN(SUBSTITUTE(SUBSTITUTE(SUBSTITUTE(N232," ",""),"0",""),"-",""))),1,0))</f>
      </c>
      <c r="K227" s="14" t="str">
        <f>LEN(SUBSTITUTE(SUBSTITUTE(SUBSTITUTE(J228," ",""),"0",""),"-",""))+LEN(SUBSTITUTE(SUBSTITUTE(SUBSTITUTE(K228," ",""),"0",""),"-",""))+LEN(SUBSTITUTE(SUBSTITUTE(SUBSTITUTE(J229," ",""),"0",""),"-",""))+LEN(SUBSTITUTE(SUBSTITUTE(SUBSTITUTE(K229," ",""),"0",""),"-",""))+LEN(SUBSTITUTE(SUBSTITUTE(SUBSTITUTE(J230," ",""),"0",""),"-",""))+LEN(SUBSTITUTE(SUBSTITUTE(SUBSTITUTE(K230," ",""),"0",""),"-",""))+LEN(SUBSTITUTE(SUBSTITUTE(SUBSTITUTE(J231," ",""),"0",""),"-",""))+LEN(SUBSTITUTE(SUBSTITUTE(SUBSTITUTE(K231," ",""),"0",""),"-",""))+LEN(SUBSTITUTE(SUBSTITUTE(SUBSTITUTE(J232," ",""),"0",""),"-",""))+LEN(SUBSTITUTE(SUBSTITUTE(SUBSTITUTE(K232," ",""),"0",""),"-",""))</f>
      </c>
      <c r="L227" s="18"/>
      <c r="M227" s="14" t="str">
        <f>LEN(SUBSTITUTE(SUBSTITUTE(SUBSTITUTE(M228," ",""),"0",""),"-",""))+LEN(SUBSTITUTE(SUBSTITUTE(SUBSTITUTE(N228," ",""),"0",""),"-",""))+LEN(SUBSTITUTE(SUBSTITUTE(SUBSTITUTE(M229," ",""),"0",""),"-",""))+LEN(SUBSTITUTE(SUBSTITUTE(SUBSTITUTE(N229," ",""),"0",""),"-",""))+LEN(SUBSTITUTE(SUBSTITUTE(SUBSTITUTE(M230," ",""),"0",""),"-",""))+LEN(SUBSTITUTE(SUBSTITUTE(SUBSTITUTE(N230," ",""),"0",""),"-",""))+LEN(SUBSTITUTE(SUBSTITUTE(SUBSTITUTE(M231," ",""),"0",""),"-",""))+LEN(SUBSTITUTE(SUBSTITUTE(SUBSTITUTE(N231," ",""),"0",""),"-",""))+LEN(SUBSTITUTE(SUBSTITUTE(SUBSTITUTE(M232," ",""),"0",""),"-",""))+LEN(SUBSTITUTE(SUBSTITUTE(SUBSTITUTE(N232," ",""),"0",""),"-",""))</f>
      </c>
      <c r="N227" s="14" t="str">
        <f>IF(UPPER(L228)="X",0,IF((LEN(SUBSTITUTE(SUBSTITUTE(SUBSTITUTE(M228," ",""),"0",""),"-",""))+LEN(SUBSTITUTE(SUBSTITUTE(SUBSTITUTE(N228," ",""),"0",""),"-","")))&gt;(LEN(SUBSTITUTE(SUBSTITUTE(SUBSTITUTE(J228," ",""),"0",""),"-",""))+LEN(SUBSTITUTE(SUBSTITUTE(SUBSTITUTE(K228," ",""),"0",""),"-",""))),1,0))+IF(UPPER(L229)="X",0,IF((LEN(SUBSTITUTE(SUBSTITUTE(SUBSTITUTE(M229," ",""),"0",""),"-",""))+LEN(SUBSTITUTE(SUBSTITUTE(SUBSTITUTE(N229," ",""),"0",""),"-","")))&gt;(LEN(SUBSTITUTE(SUBSTITUTE(SUBSTITUTE(J229," ",""),"0",""),"-",""))+LEN(SUBSTITUTE(SUBSTITUTE(SUBSTITUTE(K229," ",""),"0",""),"-",""))),1,0))+IF(UPPER(L230)="X",0,IF((LEN(SUBSTITUTE(SUBSTITUTE(SUBSTITUTE(M230," ",""),"0",""),"-",""))+LEN(SUBSTITUTE(SUBSTITUTE(SUBSTITUTE(N230," ",""),"0",""),"-","")))&gt;(LEN(SUBSTITUTE(SUBSTITUTE(SUBSTITUTE(J230," ",""),"0",""),"-",""))+LEN(SUBSTITUTE(SUBSTITUTE(SUBSTITUTE(K230," ",""),"0",""),"-",""))),1,0))+IF(UPPER(L231)="X",0,IF((LEN(SUBSTITUTE(SUBSTITUTE(SUBSTITUTE(M231," ",""),"0",""),"-",""))+LEN(SUBSTITUTE(SUBSTITUTE(SUBSTITUTE(N231," ",""),"0",""),"-","")))&gt;(LEN(SUBSTITUTE(SUBSTITUTE(SUBSTITUTE(J231," ",""),"0",""),"-",""))+LEN(SUBSTITUTE(SUBSTITUTE(SUBSTITUTE(K231," ",""),"0",""),"-",""))),1,0))+IF(UPPER(L232)="X",0,IF((LEN(SUBSTITUTE(SUBSTITUTE(SUBSTITUTE(M232," ",""),"0",""),"-",""))+LEN(SUBSTITUTE(SUBSTITUTE(SUBSTITUTE(N232," ",""),"0",""),"-","")))&gt;(LEN(SUBSTITUTE(SUBSTITUTE(SUBSTITUTE(J232," ",""),"0",""),"-",""))+LEN(SUBSTITUTE(SUBSTITUTE(SUBSTITUTE(K232," ",""),"0",""),"-",""))),1,0))</f>
      </c>
      <c r="O227" s="14" t="str">
        <f>data!$E$65&amp;" "&amp;data!$B$65</f>
      </c>
    </row>
    <row r="228">
      <c r="A228" s="14">
        <v>1</v>
      </c>
      <c r="B228" s="18"/>
      <c r="C228" s="18"/>
      <c r="D228" s="18"/>
      <c r="E228" s="18"/>
      <c r="F228" s="18"/>
      <c r="G228" s="14">
        <v>1</v>
      </c>
      <c r="I228" s="14">
        <v>1</v>
      </c>
      <c r="J228" s="18"/>
      <c r="K228" s="18"/>
      <c r="L228" s="18"/>
      <c r="M228" s="18"/>
      <c r="N228" s="18"/>
      <c r="O228" s="14">
        <v>1</v>
      </c>
    </row>
    <row r="229">
      <c r="A229" s="14">
        <v>2</v>
      </c>
      <c r="B229" s="18"/>
      <c r="C229" s="18"/>
      <c r="D229" s="18"/>
      <c r="E229" s="18"/>
      <c r="F229" s="18"/>
      <c r="G229" s="14">
        <v>2</v>
      </c>
      <c r="I229" s="14">
        <v>2</v>
      </c>
      <c r="J229" s="18"/>
      <c r="K229" s="18"/>
      <c r="L229" s="18"/>
      <c r="M229" s="18"/>
      <c r="N229" s="18"/>
      <c r="O229" s="14">
        <v>2</v>
      </c>
    </row>
    <row r="230">
      <c r="A230" s="14">
        <v>3</v>
      </c>
      <c r="B230" s="18"/>
      <c r="C230" s="18"/>
      <c r="D230" s="18"/>
      <c r="E230" s="18"/>
      <c r="F230" s="18"/>
      <c r="G230" s="14">
        <v>3</v>
      </c>
      <c r="I230" s="14">
        <v>3</v>
      </c>
      <c r="J230" s="18"/>
      <c r="K230" s="18"/>
      <c r="L230" s="18"/>
      <c r="M230" s="18"/>
      <c r="N230" s="18"/>
      <c r="O230" s="14">
        <v>3</v>
      </c>
    </row>
    <row r="231">
      <c r="A231" s="14">
        <v>4</v>
      </c>
      <c r="B231" s="18"/>
      <c r="C231" s="18"/>
      <c r="D231" s="18"/>
      <c r="E231" s="18"/>
      <c r="F231" s="18"/>
      <c r="G231" s="14">
        <v>4</v>
      </c>
      <c r="I231" s="14">
        <v>4</v>
      </c>
      <c r="J231" s="18"/>
      <c r="K231" s="18"/>
      <c r="L231" s="18"/>
      <c r="M231" s="18"/>
      <c r="N231" s="18"/>
      <c r="O231" s="14">
        <v>4</v>
      </c>
    </row>
    <row r="232">
      <c r="A232" s="14">
        <v>5</v>
      </c>
      <c r="B232" s="18"/>
      <c r="C232" s="18"/>
      <c r="D232" s="18"/>
      <c r="E232" s="18"/>
      <c r="F232" s="18"/>
      <c r="G232" s="14">
        <v>5</v>
      </c>
      <c r="I232" s="14">
        <v>5</v>
      </c>
      <c r="J232" s="18"/>
      <c r="K232" s="18"/>
      <c r="L232" s="18"/>
      <c r="M232" s="18"/>
      <c r="N232" s="18"/>
      <c r="O232" s="14">
        <v>5</v>
      </c>
    </row>
    <row r="234">
      <c r="A234" s="17" t="s">
        <v>331</v>
      </c>
      <c r="B234" s="14"/>
      <c r="C234" s="14"/>
      <c r="D234" s="14" t="s">
        <v>332</v>
      </c>
      <c r="E234" s="14"/>
      <c r="F234" s="14"/>
      <c r="G234" s="16" t="s">
        <v>333</v>
      </c>
      <c r="I234" s="17" t="s">
        <v>331</v>
      </c>
      <c r="J234" s="14"/>
      <c r="K234" s="14"/>
      <c r="L234" s="14" t="s">
        <v>332</v>
      </c>
      <c r="M234" s="14"/>
      <c r="N234" s="14"/>
      <c r="O234" s="16" t="s">
        <v>333</v>
      </c>
    </row>
    <row r="235">
      <c r="A235" s="14" t="str">
        <f>data!$E$20&amp;" "&amp;data!$B$20</f>
      </c>
      <c r="B235" s="14" t="str">
        <f>IF(UPPER(D236)="X",0,IF((LEN(SUBSTITUTE(SUBSTITUTE(SUBSTITUTE(B236," ",""),"0",""),"-",""))+LEN(SUBSTITUTE(SUBSTITUTE(SUBSTITUTE(C236," ",""),"0",""),"-","")))&gt;(LEN(SUBSTITUTE(SUBSTITUTE(SUBSTITUTE(E236," ",""),"0",""),"-",""))+LEN(SUBSTITUTE(SUBSTITUTE(SUBSTITUTE(F236," ",""),"0",""),"-",""))),1,0))+IF(UPPER(D237)="X",0,IF((LEN(SUBSTITUTE(SUBSTITUTE(SUBSTITUTE(B237," ",""),"0",""),"-",""))+LEN(SUBSTITUTE(SUBSTITUTE(SUBSTITUTE(C237," ",""),"0",""),"-","")))&gt;(LEN(SUBSTITUTE(SUBSTITUTE(SUBSTITUTE(E237," ",""),"0",""),"-",""))+LEN(SUBSTITUTE(SUBSTITUTE(SUBSTITUTE(F237," ",""),"0",""),"-",""))),1,0))+IF(UPPER(D238)="X",0,IF((LEN(SUBSTITUTE(SUBSTITUTE(SUBSTITUTE(B238," ",""),"0",""),"-",""))+LEN(SUBSTITUTE(SUBSTITUTE(SUBSTITUTE(C238," ",""),"0",""),"-","")))&gt;(LEN(SUBSTITUTE(SUBSTITUTE(SUBSTITUTE(E238," ",""),"0",""),"-",""))+LEN(SUBSTITUTE(SUBSTITUTE(SUBSTITUTE(F238," ",""),"0",""),"-",""))),1,0))+IF(UPPER(D239)="X",0,IF((LEN(SUBSTITUTE(SUBSTITUTE(SUBSTITUTE(B239," ",""),"0",""),"-",""))+LEN(SUBSTITUTE(SUBSTITUTE(SUBSTITUTE(C239," ",""),"0",""),"-","")))&gt;(LEN(SUBSTITUTE(SUBSTITUTE(SUBSTITUTE(E239," ",""),"0",""),"-",""))+LEN(SUBSTITUTE(SUBSTITUTE(SUBSTITUTE(F239," ",""),"0",""),"-",""))),1,0))+IF(UPPER(D240)="X",0,IF((LEN(SUBSTITUTE(SUBSTITUTE(SUBSTITUTE(B240," ",""),"0",""),"-",""))+LEN(SUBSTITUTE(SUBSTITUTE(SUBSTITUTE(C240," ",""),"0",""),"-","")))&gt;(LEN(SUBSTITUTE(SUBSTITUTE(SUBSTITUTE(E240," ",""),"0",""),"-",""))+LEN(SUBSTITUTE(SUBSTITUTE(SUBSTITUTE(F240," ",""),"0",""),"-",""))),1,0))</f>
      </c>
      <c r="C235" s="14" t="str">
        <f>LEN(SUBSTITUTE(SUBSTITUTE(SUBSTITUTE(B236," ",""),"0",""),"-",""))+LEN(SUBSTITUTE(SUBSTITUTE(SUBSTITUTE(C236," ",""),"0",""),"-",""))+LEN(SUBSTITUTE(SUBSTITUTE(SUBSTITUTE(B237," ",""),"0",""),"-",""))+LEN(SUBSTITUTE(SUBSTITUTE(SUBSTITUTE(C237," ",""),"0",""),"-",""))+LEN(SUBSTITUTE(SUBSTITUTE(SUBSTITUTE(B238," ",""),"0",""),"-",""))+LEN(SUBSTITUTE(SUBSTITUTE(SUBSTITUTE(C238," ",""),"0",""),"-",""))+LEN(SUBSTITUTE(SUBSTITUTE(SUBSTITUTE(B239," ",""),"0",""),"-",""))+LEN(SUBSTITUTE(SUBSTITUTE(SUBSTITUTE(C239," ",""),"0",""),"-",""))+LEN(SUBSTITUTE(SUBSTITUTE(SUBSTITUTE(B240," ",""),"0",""),"-",""))+LEN(SUBSTITUTE(SUBSTITUTE(SUBSTITUTE(C240," ",""),"0",""),"-",""))</f>
      </c>
      <c r="D235" s="18"/>
      <c r="E235" s="14" t="str">
        <f>LEN(SUBSTITUTE(SUBSTITUTE(SUBSTITUTE(E236," ",""),"0",""),"-",""))+LEN(SUBSTITUTE(SUBSTITUTE(SUBSTITUTE(F236," ",""),"0",""),"-",""))+LEN(SUBSTITUTE(SUBSTITUTE(SUBSTITUTE(E237," ",""),"0",""),"-",""))+LEN(SUBSTITUTE(SUBSTITUTE(SUBSTITUTE(F237," ",""),"0",""),"-",""))+LEN(SUBSTITUTE(SUBSTITUTE(SUBSTITUTE(E238," ",""),"0",""),"-",""))+LEN(SUBSTITUTE(SUBSTITUTE(SUBSTITUTE(F238," ",""),"0",""),"-",""))+LEN(SUBSTITUTE(SUBSTITUTE(SUBSTITUTE(E239," ",""),"0",""),"-",""))+LEN(SUBSTITUTE(SUBSTITUTE(SUBSTITUTE(F239," ",""),"0",""),"-",""))+LEN(SUBSTITUTE(SUBSTITUTE(SUBSTITUTE(E240," ",""),"0",""),"-",""))+LEN(SUBSTITUTE(SUBSTITUTE(SUBSTITUTE(F240," ",""),"0",""),"-",""))</f>
      </c>
      <c r="F235" s="14" t="str">
        <f>IF(UPPER(D236)="X",0,IF((LEN(SUBSTITUTE(SUBSTITUTE(SUBSTITUTE(E236," ",""),"0",""),"-",""))+LEN(SUBSTITUTE(SUBSTITUTE(SUBSTITUTE(F236," ",""),"0",""),"-","")))&gt;(LEN(SUBSTITUTE(SUBSTITUTE(SUBSTITUTE(B236," ",""),"0",""),"-",""))+LEN(SUBSTITUTE(SUBSTITUTE(SUBSTITUTE(C236," ",""),"0",""),"-",""))),1,0))+IF(UPPER(D237)="X",0,IF((LEN(SUBSTITUTE(SUBSTITUTE(SUBSTITUTE(E237," ",""),"0",""),"-",""))+LEN(SUBSTITUTE(SUBSTITUTE(SUBSTITUTE(F237," ",""),"0",""),"-","")))&gt;(LEN(SUBSTITUTE(SUBSTITUTE(SUBSTITUTE(B237," ",""),"0",""),"-",""))+LEN(SUBSTITUTE(SUBSTITUTE(SUBSTITUTE(C237," ",""),"0",""),"-",""))),1,0))+IF(UPPER(D238)="X",0,IF((LEN(SUBSTITUTE(SUBSTITUTE(SUBSTITUTE(E238," ",""),"0",""),"-",""))+LEN(SUBSTITUTE(SUBSTITUTE(SUBSTITUTE(F238," ",""),"0",""),"-","")))&gt;(LEN(SUBSTITUTE(SUBSTITUTE(SUBSTITUTE(B238," ",""),"0",""),"-",""))+LEN(SUBSTITUTE(SUBSTITUTE(SUBSTITUTE(C238," ",""),"0",""),"-",""))),1,0))+IF(UPPER(D239)="X",0,IF((LEN(SUBSTITUTE(SUBSTITUTE(SUBSTITUTE(E239," ",""),"0",""),"-",""))+LEN(SUBSTITUTE(SUBSTITUTE(SUBSTITUTE(F239," ",""),"0",""),"-","")))&gt;(LEN(SUBSTITUTE(SUBSTITUTE(SUBSTITUTE(B239," ",""),"0",""),"-",""))+LEN(SUBSTITUTE(SUBSTITUTE(SUBSTITUTE(C239," ",""),"0",""),"-",""))),1,0))+IF(UPPER(D240)="X",0,IF((LEN(SUBSTITUTE(SUBSTITUTE(SUBSTITUTE(E240," ",""),"0",""),"-",""))+LEN(SUBSTITUTE(SUBSTITUTE(SUBSTITUTE(F240," ",""),"0",""),"-","")))&gt;(LEN(SUBSTITUTE(SUBSTITUTE(SUBSTITUTE(B240," ",""),"0",""),"-",""))+LEN(SUBSTITUTE(SUBSTITUTE(SUBSTITUTE(C240," ",""),"0",""),"-",""))),1,0))</f>
      </c>
      <c r="G235" s="14" t="str">
        <f>data!$E$19&amp;" "&amp;data!$B$19</f>
      </c>
      <c r="I235" s="14" t="str">
        <f>data!$E$67&amp;" "&amp;data!$B$67</f>
      </c>
      <c r="J235" s="14" t="str">
        <f>IF(UPPER(L236)="X",0,IF((LEN(SUBSTITUTE(SUBSTITUTE(SUBSTITUTE(J236," ",""),"0",""),"-",""))+LEN(SUBSTITUTE(SUBSTITUTE(SUBSTITUTE(K236," ",""),"0",""),"-","")))&gt;(LEN(SUBSTITUTE(SUBSTITUTE(SUBSTITUTE(M236," ",""),"0",""),"-",""))+LEN(SUBSTITUTE(SUBSTITUTE(SUBSTITUTE(N236," ",""),"0",""),"-",""))),1,0))+IF(UPPER(L237)="X",0,IF((LEN(SUBSTITUTE(SUBSTITUTE(SUBSTITUTE(J237," ",""),"0",""),"-",""))+LEN(SUBSTITUTE(SUBSTITUTE(SUBSTITUTE(K237," ",""),"0",""),"-","")))&gt;(LEN(SUBSTITUTE(SUBSTITUTE(SUBSTITUTE(M237," ",""),"0",""),"-",""))+LEN(SUBSTITUTE(SUBSTITUTE(SUBSTITUTE(N237," ",""),"0",""),"-",""))),1,0))+IF(UPPER(L238)="X",0,IF((LEN(SUBSTITUTE(SUBSTITUTE(SUBSTITUTE(J238," ",""),"0",""),"-",""))+LEN(SUBSTITUTE(SUBSTITUTE(SUBSTITUTE(K238," ",""),"0",""),"-","")))&gt;(LEN(SUBSTITUTE(SUBSTITUTE(SUBSTITUTE(M238," ",""),"0",""),"-",""))+LEN(SUBSTITUTE(SUBSTITUTE(SUBSTITUTE(N238," ",""),"0",""),"-",""))),1,0))+IF(UPPER(L239)="X",0,IF((LEN(SUBSTITUTE(SUBSTITUTE(SUBSTITUTE(J239," ",""),"0",""),"-",""))+LEN(SUBSTITUTE(SUBSTITUTE(SUBSTITUTE(K239," ",""),"0",""),"-","")))&gt;(LEN(SUBSTITUTE(SUBSTITUTE(SUBSTITUTE(M239," ",""),"0",""),"-",""))+LEN(SUBSTITUTE(SUBSTITUTE(SUBSTITUTE(N239," ",""),"0",""),"-",""))),1,0))+IF(UPPER(L240)="X",0,IF((LEN(SUBSTITUTE(SUBSTITUTE(SUBSTITUTE(J240," ",""),"0",""),"-",""))+LEN(SUBSTITUTE(SUBSTITUTE(SUBSTITUTE(K240," ",""),"0",""),"-","")))&gt;(LEN(SUBSTITUTE(SUBSTITUTE(SUBSTITUTE(M240," ",""),"0",""),"-",""))+LEN(SUBSTITUTE(SUBSTITUTE(SUBSTITUTE(N240," ",""),"0",""),"-",""))),1,0))</f>
      </c>
      <c r="K235" s="14" t="str">
        <f>LEN(SUBSTITUTE(SUBSTITUTE(SUBSTITUTE(J236," ",""),"0",""),"-",""))+LEN(SUBSTITUTE(SUBSTITUTE(SUBSTITUTE(K236," ",""),"0",""),"-",""))+LEN(SUBSTITUTE(SUBSTITUTE(SUBSTITUTE(J237," ",""),"0",""),"-",""))+LEN(SUBSTITUTE(SUBSTITUTE(SUBSTITUTE(K237," ",""),"0",""),"-",""))+LEN(SUBSTITUTE(SUBSTITUTE(SUBSTITUTE(J238," ",""),"0",""),"-",""))+LEN(SUBSTITUTE(SUBSTITUTE(SUBSTITUTE(K238," ",""),"0",""),"-",""))+LEN(SUBSTITUTE(SUBSTITUTE(SUBSTITUTE(J239," ",""),"0",""),"-",""))+LEN(SUBSTITUTE(SUBSTITUTE(SUBSTITUTE(K239," ",""),"0",""),"-",""))+LEN(SUBSTITUTE(SUBSTITUTE(SUBSTITUTE(J240," ",""),"0",""),"-",""))+LEN(SUBSTITUTE(SUBSTITUTE(SUBSTITUTE(K240," ",""),"0",""),"-",""))</f>
      </c>
      <c r="L235" s="18"/>
      <c r="M235" s="14" t="str">
        <f>LEN(SUBSTITUTE(SUBSTITUTE(SUBSTITUTE(M236," ",""),"0",""),"-",""))+LEN(SUBSTITUTE(SUBSTITUTE(SUBSTITUTE(N236," ",""),"0",""),"-",""))+LEN(SUBSTITUTE(SUBSTITUTE(SUBSTITUTE(M237," ",""),"0",""),"-",""))+LEN(SUBSTITUTE(SUBSTITUTE(SUBSTITUTE(N237," ",""),"0",""),"-",""))+LEN(SUBSTITUTE(SUBSTITUTE(SUBSTITUTE(M238," ",""),"0",""),"-",""))+LEN(SUBSTITUTE(SUBSTITUTE(SUBSTITUTE(N238," ",""),"0",""),"-",""))+LEN(SUBSTITUTE(SUBSTITUTE(SUBSTITUTE(M239," ",""),"0",""),"-",""))+LEN(SUBSTITUTE(SUBSTITUTE(SUBSTITUTE(N239," ",""),"0",""),"-",""))+LEN(SUBSTITUTE(SUBSTITUTE(SUBSTITUTE(M240," ",""),"0",""),"-",""))+LEN(SUBSTITUTE(SUBSTITUTE(SUBSTITUTE(N240," ",""),"0",""),"-",""))</f>
      </c>
      <c r="N235" s="14" t="str">
        <f>IF(UPPER(L236)="X",0,IF((LEN(SUBSTITUTE(SUBSTITUTE(SUBSTITUTE(M236," ",""),"0",""),"-",""))+LEN(SUBSTITUTE(SUBSTITUTE(SUBSTITUTE(N236," ",""),"0",""),"-","")))&gt;(LEN(SUBSTITUTE(SUBSTITUTE(SUBSTITUTE(J236," ",""),"0",""),"-",""))+LEN(SUBSTITUTE(SUBSTITUTE(SUBSTITUTE(K236," ",""),"0",""),"-",""))),1,0))+IF(UPPER(L237)="X",0,IF((LEN(SUBSTITUTE(SUBSTITUTE(SUBSTITUTE(M237," ",""),"0",""),"-",""))+LEN(SUBSTITUTE(SUBSTITUTE(SUBSTITUTE(N237," ",""),"0",""),"-","")))&gt;(LEN(SUBSTITUTE(SUBSTITUTE(SUBSTITUTE(J237," ",""),"0",""),"-",""))+LEN(SUBSTITUTE(SUBSTITUTE(SUBSTITUTE(K237," ",""),"0",""),"-",""))),1,0))+IF(UPPER(L238)="X",0,IF((LEN(SUBSTITUTE(SUBSTITUTE(SUBSTITUTE(M238," ",""),"0",""),"-",""))+LEN(SUBSTITUTE(SUBSTITUTE(SUBSTITUTE(N238," ",""),"0",""),"-","")))&gt;(LEN(SUBSTITUTE(SUBSTITUTE(SUBSTITUTE(J238," ",""),"0",""),"-",""))+LEN(SUBSTITUTE(SUBSTITUTE(SUBSTITUTE(K238," ",""),"0",""),"-",""))),1,0))+IF(UPPER(L239)="X",0,IF((LEN(SUBSTITUTE(SUBSTITUTE(SUBSTITUTE(M239," ",""),"0",""),"-",""))+LEN(SUBSTITUTE(SUBSTITUTE(SUBSTITUTE(N239," ",""),"0",""),"-","")))&gt;(LEN(SUBSTITUTE(SUBSTITUTE(SUBSTITUTE(J239," ",""),"0",""),"-",""))+LEN(SUBSTITUTE(SUBSTITUTE(SUBSTITUTE(K239," ",""),"0",""),"-",""))),1,0))+IF(UPPER(L240)="X",0,IF((LEN(SUBSTITUTE(SUBSTITUTE(SUBSTITUTE(M240," ",""),"0",""),"-",""))+LEN(SUBSTITUTE(SUBSTITUTE(SUBSTITUTE(N240," ",""),"0",""),"-","")))&gt;(LEN(SUBSTITUTE(SUBSTITUTE(SUBSTITUTE(J240," ",""),"0",""),"-",""))+LEN(SUBSTITUTE(SUBSTITUTE(SUBSTITUTE(K240," ",""),"0",""),"-",""))),1,0))</f>
      </c>
      <c r="O235" s="14" t="str">
        <f>data!$E$66&amp;" "&amp;data!$B$66</f>
      </c>
    </row>
    <row r="236">
      <c r="A236" s="14">
        <v>1</v>
      </c>
      <c r="B236" s="18"/>
      <c r="C236" s="18"/>
      <c r="D236" s="18"/>
      <c r="E236" s="18"/>
      <c r="F236" s="18"/>
      <c r="G236" s="14">
        <v>1</v>
      </c>
      <c r="I236" s="14">
        <v>1</v>
      </c>
      <c r="J236" s="18"/>
      <c r="K236" s="18"/>
      <c r="L236" s="18"/>
      <c r="M236" s="18"/>
      <c r="N236" s="18"/>
      <c r="O236" s="14">
        <v>1</v>
      </c>
    </row>
    <row r="237">
      <c r="A237" s="14">
        <v>2</v>
      </c>
      <c r="B237" s="18"/>
      <c r="C237" s="18"/>
      <c r="D237" s="18"/>
      <c r="E237" s="18"/>
      <c r="F237" s="18"/>
      <c r="G237" s="14">
        <v>2</v>
      </c>
      <c r="I237" s="14">
        <v>2</v>
      </c>
      <c r="J237" s="18"/>
      <c r="K237" s="18"/>
      <c r="L237" s="18"/>
      <c r="M237" s="18"/>
      <c r="N237" s="18"/>
      <c r="O237" s="14">
        <v>2</v>
      </c>
    </row>
    <row r="238">
      <c r="A238" s="14">
        <v>3</v>
      </c>
      <c r="B238" s="18"/>
      <c r="C238" s="18"/>
      <c r="D238" s="18"/>
      <c r="E238" s="18"/>
      <c r="F238" s="18"/>
      <c r="G238" s="14">
        <v>3</v>
      </c>
      <c r="I238" s="14">
        <v>3</v>
      </c>
      <c r="J238" s="18"/>
      <c r="K238" s="18"/>
      <c r="L238" s="18"/>
      <c r="M238" s="18"/>
      <c r="N238" s="18"/>
      <c r="O238" s="14">
        <v>3</v>
      </c>
    </row>
    <row r="239">
      <c r="A239" s="14">
        <v>4</v>
      </c>
      <c r="B239" s="18"/>
      <c r="C239" s="18"/>
      <c r="D239" s="18"/>
      <c r="E239" s="18"/>
      <c r="F239" s="18"/>
      <c r="G239" s="14">
        <v>4</v>
      </c>
      <c r="I239" s="14">
        <v>4</v>
      </c>
      <c r="J239" s="18"/>
      <c r="K239" s="18"/>
      <c r="L239" s="18"/>
      <c r="M239" s="18"/>
      <c r="N239" s="18"/>
      <c r="O239" s="14">
        <v>4</v>
      </c>
    </row>
    <row r="240">
      <c r="A240" s="14">
        <v>5</v>
      </c>
      <c r="B240" s="18"/>
      <c r="C240" s="18"/>
      <c r="D240" s="18"/>
      <c r="E240" s="18"/>
      <c r="F240" s="18"/>
      <c r="G240" s="14">
        <v>5</v>
      </c>
      <c r="I240" s="14">
        <v>5</v>
      </c>
      <c r="J240" s="18"/>
      <c r="K240" s="18"/>
      <c r="L240" s="18"/>
      <c r="M240" s="18"/>
      <c r="N240" s="18"/>
      <c r="O240" s="14">
        <v>5</v>
      </c>
    </row>
    <row r="243">
      <c r="A243" s="13" t="s">
        <v>334</v>
      </c>
      <c r="B243" s="13" t="s">
        <v>335</v>
      </c>
      <c r="C243" s="13" t="s">
        <v>336</v>
      </c>
      <c r="D243" s="13" t="s">
        <v>337</v>
      </c>
      <c r="E243" s="13"/>
      <c r="F243" s="13"/>
      <c r="G243" s="13" t="s">
        <v>338</v>
      </c>
      <c r="I243" s="13" t="s">
        <v>334</v>
      </c>
      <c r="J243" s="13" t="s">
        <v>335</v>
      </c>
      <c r="K243" s="13" t="s">
        <v>336</v>
      </c>
      <c r="L243" s="13" t="s">
        <v>337</v>
      </c>
      <c r="M243" s="13"/>
      <c r="N243" s="13"/>
      <c r="O243" s="13" t="s">
        <v>338</v>
      </c>
    </row>
    <row r="244">
      <c r="A244" s="14" t="str">
        <f>data!$E$18&amp;" "&amp;data!$B$18</f>
      </c>
      <c r="B244" s="14" t="str">
        <f>IF(OR(COUNTA(B220:C224,E220:F224)&gt;0,D220="X",D220="x",D221="X",D221="x",D222="X",D222="x",D223="X",D223="x",D224="X",D224="x",OR(D219="X",D219="x")),IF(OR(OR(D219="X",D219="x"),AND(B219=F219,C219=E219)),0,IF(OR(F219&gt;B219,AND(F219=B219,E219&gt;C219)),1,0)),0)+IF(OR(COUNTA(B228:C232,E228:F232)&gt;0,D228="X",D228="x",D229="X",D229="x",D230="X",D230="x",D231="X",D231="x",D232="X",D232="x",OR(D227="X",D227="x")),IF(OR(OR(D227="X",D227="x"),AND(B227=F227,C227=E227)),0,IF(OR(F227&gt;B227,AND(F227=B227,E227&gt;C227)),1,0)),0)</f>
      </c>
      <c r="C244" s="14" t="str">
        <f>IF(OR(COUNTA(B220:C224,E220:F224)&gt;0,D220="X",D220="x",D221="X",D221="x",D222="X",D222="x",D223="X",D223="x",D224="X",D224="x",OR(D219="X",D219="x")),IF(OR(OR(D219="X",D219="x"),AND(B219=F219,C219=E219)),0,IF(OR(F219&lt;B219,AND(F219=B219,E219&lt;C219)),1,0)),0)+IF(OR(COUNTA(B228:C232,E228:F232)&gt;0,D228="X",D228="x",D229="X",D229="x",D230="X",D230="x",D231="X",D231="x",D232="X",D232="x",OR(D227="X",D227="x")),IF(OR(OR(D227="X",D227="x"),AND(B227=F227,C227=E227)),0,IF(OR(F227&lt;B227,AND(F227=B227,E227&lt;C227)),1,0)),0)</f>
      </c>
      <c r="D244" s="14" t="str">
        <f>IF(OR(COUNTA(B220:C224,E220:F224)&gt;0,D220="X",D220="x",D221="X",D221="x",D222="X",D222="x",D223="X",D223="x",D224="X",D224="x",OR(D219="X",D219="x")),IF(OR(OR(D219="X",D219="x"),AND(B219=F219,C219=E219)),1,0),0)+IF(OR(COUNTA(B228:C232,E228:F232)&gt;0,D228="X",D228="x",D229="X",D229="x",D230="X",D230="x",D231="X",D231="x",D232="X",D232="x",OR(D227="X",D227="x")),IF(OR(OR(D227="X",D227="x"),AND(B227=F227,C227=E227)),1,0),0)</f>
      </c>
      <c r="G244" s="18" t="str">
        <f>RANK(U244,$U$244:$U$246)+COUNTIF($U$243:U243,U244)</f>
      </c>
      <c r="I244" s="14" t="str">
        <f>data!$E$65&amp;" "&amp;data!$B$65</f>
      </c>
      <c r="J244" s="14" t="str">
        <f>IF(OR(COUNTA(J220:K224,M220:N224)&gt;0,L220="X",L220="x",L221="X",L221="x",L222="X",L222="x",L223="X",L223="x",L224="X",L224="x",OR(L219="X",L219="x")),IF(OR(OR(L219="X",L219="x"),AND(J219=N219,K219=M219)),0,IF(OR(N219&gt;J219,AND(N219=J219,M219&gt;K219)),1,0)),0)+IF(OR(COUNTA(J228:K232,M228:N232)&gt;0,L228="X",L228="x",L229="X",L229="x",L230="X",L230="x",L231="X",L231="x",L232="X",L232="x",OR(L227="X",L227="x")),IF(OR(OR(L227="X",L227="x"),AND(J227=N227,K227=M227)),0,IF(OR(N227&gt;J227,AND(N227=J227,M227&gt;K227)),1,0)),0)</f>
      </c>
      <c r="K244" s="14" t="str">
        <f>IF(OR(COUNTA(J220:K224,M220:N224)&gt;0,L220="X",L220="x",L221="X",L221="x",L222="X",L222="x",L223="X",L223="x",L224="X",L224="x",OR(L219="X",L219="x")),IF(OR(OR(L219="X",L219="x"),AND(J219=N219,K219=M219)),0,IF(OR(N219&lt;J219,AND(N219=J219,M219&lt;K219)),1,0)),0)+IF(OR(COUNTA(J228:K232,M228:N232)&gt;0,L228="X",L228="x",L229="X",L229="x",L230="X",L230="x",L231="X",L231="x",L232="X",L232="x",OR(L227="X",L227="x")),IF(OR(OR(L227="X",L227="x"),AND(J227=N227,K227=M227)),0,IF(OR(N227&lt;J227,AND(N227=J227,M227&lt;K227)),1,0)),0)</f>
      </c>
      <c r="L244" s="14" t="str">
        <f>IF(OR(COUNTA(J220:K224,M220:N224)&gt;0,L220="X",L220="x",L221="X",L221="x",L222="X",L222="x",L223="X",L223="x",L224="X",L224="x",OR(L219="X",L219="x")),IF(OR(OR(L219="X",L219="x"),AND(J219=N219,K219=M219)),1,0),0)+IF(OR(COUNTA(J228:K232,M228:N232)&gt;0,L228="X",L228="x",L229="X",L229="x",L230="X",L230="x",L231="X",L231="x",L232="X",L232="x",OR(L227="X",L227="x")),IF(OR(OR(L227="X",L227="x"),AND(J227=N227,K227=M227)),1,0),0)</f>
      </c>
      <c r="O244" s="18" t="str">
        <f>RANK(AC244,$AC$244:$AC$246)+COUNTIF($AC$243:AC243,AC244)</f>
      </c>
      <c r="U244" t="str">
        <f>(B244*1000000000)-(C244*10000000)+(D244*100000)+(B249*1000)-(C249*100)+(D249*10)+(E249*1)-(F249*0.01)</f>
      </c>
      <c r="AC244" t="str">
        <f>(J244*1000000000)-(K244*10000000)+(L244*100000)+(J249*1000)-(K249*100)+(L249*10)+(M249*1)-(N249*0.01)</f>
      </c>
    </row>
    <row r="245">
      <c r="A245" s="14" t="str">
        <f>data!$E$19&amp;" "&amp;data!$B$19</f>
      </c>
      <c r="B245" s="14" t="str">
        <f>IF(OR(COUNTA(B220:C224,E220:F224)&gt;0,D220="X",D220="x",D221="X",D221="x",D222="X",D222="x",D223="X",D223="x",D224="X",D224="x",OR(D219="X",D219="x")),IF(OR(OR(D219="X",D219="x"),AND(B219=F219,C219=E219)),0,IF(OR(B219&gt;F219,AND(B219=F219,C219&gt;E219)),1,0)),0)+IF(OR(COUNTA(B236:C240,E236:F240)&gt;0,D236="X",D236="x",D237="X",D237="x",D238="X",D238="x",D239="X",D239="x",D240="X",D240="x",OR(D235="X",D235="x")),IF(OR(OR(D235="X",D235="x"),AND(B235=F235,C235=E235)),0,IF(OR(F235&gt;B235,AND(F235=B235,E235&gt;C235)),1,0)),0)</f>
      </c>
      <c r="C245" s="14" t="str">
        <f>IF(OR(COUNTA(B220:C224,E220:F224)&gt;0,D220="X",D220="x",D221="X",D221="x",D222="X",D222="x",D223="X",D223="x",D224="X",D224="x",OR(D219="X",D219="x")),IF(OR(OR(D219="X",D219="x"),AND(B219=F219,C219=E219)),0,IF(OR(B219&lt;F219,AND(B219=F219,C219&lt;E219)),1,0)),0)+IF(OR(COUNTA(B236:C240,E236:F240)&gt;0,D236="X",D236="x",D237="X",D237="x",D238="X",D238="x",D239="X",D239="x",D240="X",D240="x",OR(D235="X",D235="x")),IF(OR(OR(D235="X",D235="x"),AND(B235=F235,C235=E235)),0,IF(OR(F235&lt;B235,AND(F235=B235,E235&lt;C235)),1,0)),0)</f>
      </c>
      <c r="D245" s="14" t="str">
        <f>IF(OR(COUNTA(B220:C224,E220:F224)&gt;0,D220="X",D220="x",D221="X",D221="x",D222="X",D222="x",D223="X",D223="x",D224="X",D224="x",OR(D219="X",D219="x")),IF(OR(OR(D219="X",D219="x"),AND(B219=F219,C219=E219)),1,0),0)+IF(OR(COUNTA(B236:C240,E236:F240)&gt;0,D236="X",D236="x",D237="X",D237="x",D238="X",D238="x",D239="X",D239="x",D240="X",D240="x",OR(D235="X",D235="x")),IF(OR(OR(D235="X",D235="x"),AND(B235=F235,C235=E235)),1,0),0)</f>
      </c>
      <c r="G245" s="18" t="str">
        <f>RANK(U245,$U$244:$U$246)+COUNTIF($U$243:U244,U245)</f>
      </c>
      <c r="I245" s="14" t="str">
        <f>data!$E$66&amp;" "&amp;data!$B$66</f>
      </c>
      <c r="J245" s="14" t="str">
        <f>IF(OR(COUNTA(J220:K224,M220:N224)&gt;0,L220="X",L220="x",L221="X",L221="x",L222="X",L222="x",L223="X",L223="x",L224="X",L224="x",OR(L219="X",L219="x")),IF(OR(OR(L219="X",L219="x"),AND(J219=N219,K219=M219)),0,IF(OR(J219&gt;N219,AND(J219=N219,K219&gt;M219)),1,0)),0)+IF(OR(COUNTA(J236:K240,M236:N240)&gt;0,L236="X",L236="x",L237="X",L237="x",L238="X",L238="x",L239="X",L239="x",L240="X",L240="x",OR(L235="X",L235="x")),IF(OR(OR(L235="X",L235="x"),AND(J235=N235,K235=M235)),0,IF(OR(N235&gt;J235,AND(N235=J235,M235&gt;K235)),1,0)),0)</f>
      </c>
      <c r="K245" s="14" t="str">
        <f>IF(OR(COUNTA(J220:K224,M220:N224)&gt;0,L220="X",L220="x",L221="X",L221="x",L222="X",L222="x",L223="X",L223="x",L224="X",L224="x",OR(L219="X",L219="x")),IF(OR(OR(L219="X",L219="x"),AND(J219=N219,K219=M219)),0,IF(OR(J219&lt;N219,AND(J219=N219,K219&lt;M219)),1,0)),0)+IF(OR(COUNTA(J236:K240,M236:N240)&gt;0,L236="X",L236="x",L237="X",L237="x",L238="X",L238="x",L239="X",L239="x",L240="X",L240="x",OR(L235="X",L235="x")),IF(OR(OR(L235="X",L235="x"),AND(J235=N235,K235=M235)),0,IF(OR(N235&lt;J235,AND(N235=J235,M235&lt;K235)),1,0)),0)</f>
      </c>
      <c r="L245" s="14" t="str">
        <f>IF(OR(COUNTA(J220:K224,M220:N224)&gt;0,L220="X",L220="x",L221="X",L221="x",L222="X",L222="x",L223="X",L223="x",L224="X",L224="x",OR(L219="X",L219="x")),IF(OR(OR(L219="X",L219="x"),AND(J219=N219,K219=M219)),1,0),0)+IF(OR(COUNTA(J236:K240,M236:N240)&gt;0,L236="X",L236="x",L237="X",L237="x",L238="X",L238="x",L239="X",L239="x",L240="X",L240="x",OR(L235="X",L235="x")),IF(OR(OR(L235="X",L235="x"),AND(J235=N235,K235=M235)),1,0),0)</f>
      </c>
      <c r="O245" s="18" t="str">
        <f>RANK(AC245,$AC$244:$AC$246)+COUNTIF($AC$243:AC244,AC245)</f>
      </c>
      <c r="U245" t="str">
        <f>(B245*1000000000)-(C245*10000000)+(D245*100000)+(B250*1000)-(C250*100)+(D250*10)+(E250*1)-(F250*0.01)</f>
      </c>
      <c r="AC245" t="str">
        <f>(J245*1000000000)-(K245*10000000)+(L245*100000)+(J250*1000)-(K250*100)+(L250*10)+(M250*1)-(N250*0.01)</f>
      </c>
    </row>
    <row r="246">
      <c r="A246" s="14" t="str">
        <f>data!$E$20&amp;" "&amp;data!$B$20</f>
      </c>
      <c r="B246" s="14" t="str">
        <f>IF(OR(COUNTA(B228:C232,E228:F232)&gt;0,D228="X",D228="x",D229="X",D229="x",D230="X",D230="x",D231="X",D231="x",D232="X",D232="x",OR(D227="X",D227="x")),IF(OR(OR(D227="X",D227="x"),AND(B227=F227,C227=E227)),0,IF(OR(B227&gt;F227,AND(B227=F227,C227&gt;E227)),1,0)),0)+IF(OR(COUNTA(B236:C240,E236:F240)&gt;0,D236="X",D236="x",D237="X",D237="x",D238="X",D238="x",D239="X",D239="x",D240="X",D240="x",OR(D235="X",D235="x")),IF(OR(OR(D235="X",D235="x"),AND(B235=F235,C235=E235)),0,IF(OR(B235&gt;F235,AND(B235=F235,C235&gt;E235)),1,0)),0)</f>
      </c>
      <c r="C246" s="14" t="str">
        <f>IF(OR(COUNTA(B228:C232,E228:F232)&gt;0,D228="X",D228="x",D229="X",D229="x",D230="X",D230="x",D231="X",D231="x",D232="X",D232="x",OR(D227="X",D227="x")),IF(OR(OR(D227="X",D227="x"),AND(B227=F227,C227=E227)),0,IF(OR(B227&lt;F227,AND(B227=F227,C227&lt;E227)),1,0)),0)+IF(OR(COUNTA(B236:C240,E236:F240)&gt;0,D236="X",D236="x",D237="X",D237="x",D238="X",D238="x",D239="X",D239="x",D240="X",D240="x",OR(D235="X",D235="x")),IF(OR(OR(D235="X",D235="x"),AND(B235=F235,C235=E235)),0,IF(OR(B235&lt;F235,AND(B235=F235,C235&lt;E235)),1,0)),0)</f>
      </c>
      <c r="D246" s="14" t="str">
        <f>IF(OR(COUNTA(B228:C232,E228:F232)&gt;0,D228="X",D228="x",D229="X",D229="x",D230="X",D230="x",D231="X",D231="x",D232="X",D232="x",OR(D227="X",D227="x")),IF(OR(OR(D227="X",D227="x"),AND(B227=F227,C227=E227)),1,0),0)+IF(OR(COUNTA(B236:C240,E236:F240)&gt;0,D236="X",D236="x",D237="X",D237="x",D238="X",D238="x",D239="X",D239="x",D240="X",D240="x",OR(D235="X",D235="x")),IF(OR(OR(D235="X",D235="x"),AND(B235=F235,C235=E235)),1,0),0)</f>
      </c>
      <c r="G246" s="18" t="str">
        <f>RANK(U246,$U$244:$U$246)+COUNTIF($U$243:U245,U246)</f>
      </c>
      <c r="I246" s="14" t="str">
        <f>data!$E$67&amp;" "&amp;data!$B$67</f>
      </c>
      <c r="J246" s="14" t="str">
        <f>IF(OR(COUNTA(J228:K232,M228:N232)&gt;0,L228="X",L228="x",L229="X",L229="x",L230="X",L230="x",L231="X",L231="x",L232="X",L232="x",OR(L227="X",L227="x")),IF(OR(OR(L227="X",L227="x"),AND(J227=N227,K227=M227)),0,IF(OR(J227&gt;N227,AND(J227=N227,K227&gt;M227)),1,0)),0)+IF(OR(COUNTA(J236:K240,M236:N240)&gt;0,L236="X",L236="x",L237="X",L237="x",L238="X",L238="x",L239="X",L239="x",L240="X",L240="x",OR(L235="X",L235="x")),IF(OR(OR(L235="X",L235="x"),AND(J235=N235,K235=M235)),0,IF(OR(J235&gt;N235,AND(J235=N235,K235&gt;M235)),1,0)),0)</f>
      </c>
      <c r="K246" s="14" t="str">
        <f>IF(OR(COUNTA(J228:K232,M228:N232)&gt;0,L228="X",L228="x",L229="X",L229="x",L230="X",L230="x",L231="X",L231="x",L232="X",L232="x",OR(L227="X",L227="x")),IF(OR(OR(L227="X",L227="x"),AND(J227=N227,K227=M227)),0,IF(OR(J227&lt;N227,AND(J227=N227,K227&lt;M227)),1,0)),0)+IF(OR(COUNTA(J236:K240,M236:N240)&gt;0,L236="X",L236="x",L237="X",L237="x",L238="X",L238="x",L239="X",L239="x",L240="X",L240="x",OR(L235="X",L235="x")),IF(OR(OR(L235="X",L235="x"),AND(J235=N235,K235=M235)),0,IF(OR(J235&lt;N235,AND(J235=N235,K235&lt;M235)),1,0)),0)</f>
      </c>
      <c r="L246" s="14" t="str">
        <f>IF(OR(COUNTA(J228:K232,M228:N232)&gt;0,L228="X",L228="x",L229="X",L229="x",L230="X",L230="x",L231="X",L231="x",L232="X",L232="x",OR(L227="X",L227="x")),IF(OR(OR(L227="X",L227="x"),AND(J227=N227,K227=M227)),1,0),0)+IF(OR(COUNTA(J236:K240,M236:N240)&gt;0,L236="X",L236="x",L237="X",L237="x",L238="X",L238="x",L239="X",L239="x",L240="X",L240="x",OR(L235="X",L235="x")),IF(OR(OR(L235="X",L235="x"),AND(J235=N235,K235=M235)),1,0),0)</f>
      </c>
      <c r="O246" s="18" t="str">
        <f>RANK(AC246,$AC$244:$AC$246)+COUNTIF($AC$243:AC245,AC246)</f>
      </c>
      <c r="U246" t="str">
        <f>(B246*1000000000)-(C246*10000000)+(D246*100000)+(B251*1000)-(C251*100)+(D251*10)+(E251*1)-(F251*0.01)</f>
      </c>
      <c r="AC246" t="str">
        <f>(J246*1000000000)-(K246*10000000)+(L246*100000)+(J251*1000)-(K251*100)+(L251*10)+(M251*1)-(N251*0.01)</f>
      </c>
    </row>
    <row r="248">
      <c r="A248" s="13"/>
      <c r="B248" s="13" t="s">
        <v>339</v>
      </c>
      <c r="C248" s="13" t="s">
        <v>340</v>
      </c>
      <c r="D248" s="13" t="s">
        <v>341</v>
      </c>
      <c r="E248" s="13" t="s">
        <v>342</v>
      </c>
      <c r="F248" s="13" t="s">
        <v>343</v>
      </c>
      <c r="I248" s="13"/>
      <c r="J248" s="13" t="s">
        <v>339</v>
      </c>
      <c r="K248" s="13" t="s">
        <v>340</v>
      </c>
      <c r="L248" s="13" t="s">
        <v>341</v>
      </c>
      <c r="M248" s="13" t="s">
        <v>342</v>
      </c>
      <c r="N248" s="13" t="s">
        <v>343</v>
      </c>
    </row>
    <row r="249">
      <c r="A249" s="14" t="str">
        <f>data!$E$18&amp;" "&amp;data!$B$18</f>
      </c>
      <c r="B249" s="14" t="str">
        <f>IF(OR(COUNTA(B220:C224,E220:F224)&gt;0,OR(D219="X",D219="x"),UPPER(D220)="X",UPPER(D221)="X",UPPER(D222)="X",UPPER(D223)="X",UPPER(D224)="X"),F219,0)+IF(OR(COUNTA(B228:C232,E228:F232)&gt;0,OR(D227="X",D227="x"),UPPER(D228)="X",UPPER(D229)="X",UPPER(D230)="X",UPPER(D231)="X",UPPER(D232)="X"),F227,0)</f>
      </c>
      <c r="C249" s="14" t="str">
        <f>IF(OR(COUNTA(B220:C224,E220:F224)&gt;0,OR(D219="X",D219="x"),UPPER(D220)="X",UPPER(D221)="X",UPPER(D222)="X",UPPER(D223)="X",UPPER(D224)="X"),B219,0)+IF(OR(COUNTA(B228:C232,E228:F232)&gt;0,OR(D227="X",D227="x"),UPPER(D228)="X",UPPER(D229)="X",UPPER(D230)="X",UPPER(D231)="X",UPPER(D232)="X"),B227,0)</f>
      </c>
      <c r="D249" s="14" t="str">
        <f>IF(OR(COUNTA(B220:C224,E220:F224)&gt;0,OR(D219="X",D219="x"),UPPER(D220)="X",UPPER(D221)="X",UPPER(D222)="X",UPPER(D223)="X",UPPER(D224)="X"),(IF(OR(D220="X",D220="x",AND(COUNTA(B220,C220,E220,F220)&gt;0,(LEN(SUBSTITUTE(SUBSTITUTE(SUBSTITUTE(B220," ",""),"0",""),"-",""))+LEN(SUBSTITUTE(SUBSTITUTE(SUBSTITUTE(C220," ",""),"0",""),"-","")))=(LEN(SUBSTITUTE(SUBSTITUTE(SUBSTITUTE(E220," ",""),"0",""),"-",""))+LEN(SUBSTITUTE(SUBSTITUTE(SUBSTITUTE(F220," ",""),"0",""),"-",""))))),1,0)+IF(OR(D221="X",D221="x",AND(COUNTA(B221,C221,E221,F221)&gt;0,(LEN(SUBSTITUTE(SUBSTITUTE(SUBSTITUTE(B221," ",""),"0",""),"-",""))+LEN(SUBSTITUTE(SUBSTITUTE(SUBSTITUTE(C221," ",""),"0",""),"-","")))=(LEN(SUBSTITUTE(SUBSTITUTE(SUBSTITUTE(E221," ",""),"0",""),"-",""))+LEN(SUBSTITUTE(SUBSTITUTE(SUBSTITUTE(F221," ",""),"0",""),"-",""))))),1,0)+IF(OR(D222="X",D222="x",AND(COUNTA(B222,C222,E222,F222)&gt;0,(LEN(SUBSTITUTE(SUBSTITUTE(SUBSTITUTE(B222," ",""),"0",""),"-",""))+LEN(SUBSTITUTE(SUBSTITUTE(SUBSTITUTE(C222," ",""),"0",""),"-","")))=(LEN(SUBSTITUTE(SUBSTITUTE(SUBSTITUTE(E222," ",""),"0",""),"-",""))+LEN(SUBSTITUTE(SUBSTITUTE(SUBSTITUTE(F222," ",""),"0",""),"-",""))))),1,0)+IF(OR(D223="X",D223="x",AND(COUNTA(B223,C223,E223,F223)&gt;0,(LEN(SUBSTITUTE(SUBSTITUTE(SUBSTITUTE(B223," ",""),"0",""),"-",""))+LEN(SUBSTITUTE(SUBSTITUTE(SUBSTITUTE(C223," ",""),"0",""),"-","")))=(LEN(SUBSTITUTE(SUBSTITUTE(SUBSTITUTE(E223," ",""),"0",""),"-",""))+LEN(SUBSTITUTE(SUBSTITUTE(SUBSTITUTE(F223," ",""),"0",""),"-",""))))),1,0)+IF(OR(D224="X",D224="x",AND(COUNTA(B224,C224,E224,F224)&gt;0,(LEN(SUBSTITUTE(SUBSTITUTE(SUBSTITUTE(B224," ",""),"0",""),"-",""))+LEN(SUBSTITUTE(SUBSTITUTE(SUBSTITUTE(C224," ",""),"0",""),"-","")))=(LEN(SUBSTITUTE(SUBSTITUTE(SUBSTITUTE(E224," ",""),"0",""),"-",""))+LEN(SUBSTITUTE(SUBSTITUTE(SUBSTITUTE(F224," ",""),"0",""),"-",""))))),1,0)),0)+IF(OR(COUNTA(B228:C232,E228:F232)&gt;0,OR(D227="X",D227="x"),UPPER(D228)="X",UPPER(D229)="X",UPPER(D230)="X",UPPER(D231)="X",UPPER(D232)="X"),(IF(OR(D228="X",D228="x",AND(COUNTA(B228,C228,E228,F228)&gt;0,(LEN(SUBSTITUTE(SUBSTITUTE(SUBSTITUTE(B228," ",""),"0",""),"-",""))+LEN(SUBSTITUTE(SUBSTITUTE(SUBSTITUTE(C228," ",""),"0",""),"-","")))=(LEN(SUBSTITUTE(SUBSTITUTE(SUBSTITUTE(E228," ",""),"0",""),"-",""))+LEN(SUBSTITUTE(SUBSTITUTE(SUBSTITUTE(F228," ",""),"0",""),"-",""))))),1,0)+IF(OR(D229="X",D229="x",AND(COUNTA(B229,C229,E229,F229)&gt;0,(LEN(SUBSTITUTE(SUBSTITUTE(SUBSTITUTE(B229," ",""),"0",""),"-",""))+LEN(SUBSTITUTE(SUBSTITUTE(SUBSTITUTE(C229," ",""),"0",""),"-","")))=(LEN(SUBSTITUTE(SUBSTITUTE(SUBSTITUTE(E229," ",""),"0",""),"-",""))+LEN(SUBSTITUTE(SUBSTITUTE(SUBSTITUTE(F229," ",""),"0",""),"-",""))))),1,0)+IF(OR(D230="X",D230="x",AND(COUNTA(B230,C230,E230,F230)&gt;0,(LEN(SUBSTITUTE(SUBSTITUTE(SUBSTITUTE(B230," ",""),"0",""),"-",""))+LEN(SUBSTITUTE(SUBSTITUTE(SUBSTITUTE(C230," ",""),"0",""),"-","")))=(LEN(SUBSTITUTE(SUBSTITUTE(SUBSTITUTE(E230," ",""),"0",""),"-",""))+LEN(SUBSTITUTE(SUBSTITUTE(SUBSTITUTE(F230," ",""),"0",""),"-",""))))),1,0)+IF(OR(D231="X",D231="x",AND(COUNTA(B231,C231,E231,F231)&gt;0,(LEN(SUBSTITUTE(SUBSTITUTE(SUBSTITUTE(B231," ",""),"0",""),"-",""))+LEN(SUBSTITUTE(SUBSTITUTE(SUBSTITUTE(C231," ",""),"0",""),"-","")))=(LEN(SUBSTITUTE(SUBSTITUTE(SUBSTITUTE(E231," ",""),"0",""),"-",""))+LEN(SUBSTITUTE(SUBSTITUTE(SUBSTITUTE(F231," ",""),"0",""),"-",""))))),1,0)+IF(OR(D232="X",D232="x",AND(COUNTA(B232,C232,E232,F232)&gt;0,(LEN(SUBSTITUTE(SUBSTITUTE(SUBSTITUTE(B232," ",""),"0",""),"-",""))+LEN(SUBSTITUTE(SUBSTITUTE(SUBSTITUTE(C232," ",""),"0",""),"-","")))=(LEN(SUBSTITUTE(SUBSTITUTE(SUBSTITUTE(E232," ",""),"0",""),"-",""))+LEN(SUBSTITUTE(SUBSTITUTE(SUBSTITUTE(F232," ",""),"0",""),"-",""))))),1,0)),0)</f>
      </c>
      <c r="E249" s="14" t="str">
        <f>E219+E227</f>
      </c>
      <c r="F249" s="14" t="str">
        <f>C219+C227</f>
      </c>
      <c r="I249" s="14" t="str">
        <f>data!$E$65&amp;" "&amp;data!$B$65</f>
      </c>
      <c r="J249" s="14" t="str">
        <f>IF(OR(COUNTA(J220:K224,M220:N224)&gt;0,OR(L219="X",L219="x"),UPPER(L220)="X",UPPER(L221)="X",UPPER(L222)="X",UPPER(L223)="X",UPPER(L224)="X"),N219,0)+IF(OR(COUNTA(J228:K232,M228:N232)&gt;0,OR(L227="X",L227="x"),UPPER(L228)="X",UPPER(L229)="X",UPPER(L230)="X",UPPER(L231)="X",UPPER(L232)="X"),N227,0)</f>
      </c>
      <c r="K249" s="14" t="str">
        <f>IF(OR(COUNTA(J220:K224,M220:N224)&gt;0,OR(L219="X",L219="x"),UPPER(L220)="X",UPPER(L221)="X",UPPER(L222)="X",UPPER(L223)="X",UPPER(L224)="X"),J219,0)+IF(OR(COUNTA(J228:K232,M228:N232)&gt;0,OR(L227="X",L227="x"),UPPER(L228)="X",UPPER(L229)="X",UPPER(L230)="X",UPPER(L231)="X",UPPER(L232)="X"),J227,0)</f>
      </c>
      <c r="L249" s="14" t="str">
        <f>IF(OR(COUNTA(J220:K224,M220:N224)&gt;0,OR(L219="X",L219="x"),UPPER(L220)="X",UPPER(L221)="X",UPPER(L222)="X",UPPER(L223)="X",UPPER(L224)="X"),(IF(OR(L220="X",L220="x",AND(COUNTA(J220,K220,M220,N220)&gt;0,(LEN(SUBSTITUTE(SUBSTITUTE(SUBSTITUTE(J220," ",""),"0",""),"-",""))+LEN(SUBSTITUTE(SUBSTITUTE(SUBSTITUTE(K220," ",""),"0",""),"-","")))=(LEN(SUBSTITUTE(SUBSTITUTE(SUBSTITUTE(M220," ",""),"0",""),"-",""))+LEN(SUBSTITUTE(SUBSTITUTE(SUBSTITUTE(N220," ",""),"0",""),"-",""))))),1,0)+IF(OR(L221="X",L221="x",AND(COUNTA(J221,K221,M221,N221)&gt;0,(LEN(SUBSTITUTE(SUBSTITUTE(SUBSTITUTE(J221," ",""),"0",""),"-",""))+LEN(SUBSTITUTE(SUBSTITUTE(SUBSTITUTE(K221," ",""),"0",""),"-","")))=(LEN(SUBSTITUTE(SUBSTITUTE(SUBSTITUTE(M221," ",""),"0",""),"-",""))+LEN(SUBSTITUTE(SUBSTITUTE(SUBSTITUTE(N221," ",""),"0",""),"-",""))))),1,0)+IF(OR(L222="X",L222="x",AND(COUNTA(J222,K222,M222,N222)&gt;0,(LEN(SUBSTITUTE(SUBSTITUTE(SUBSTITUTE(J222," ",""),"0",""),"-",""))+LEN(SUBSTITUTE(SUBSTITUTE(SUBSTITUTE(K222," ",""),"0",""),"-","")))=(LEN(SUBSTITUTE(SUBSTITUTE(SUBSTITUTE(M222," ",""),"0",""),"-",""))+LEN(SUBSTITUTE(SUBSTITUTE(SUBSTITUTE(N222," ",""),"0",""),"-",""))))),1,0)+IF(OR(L223="X",L223="x",AND(COUNTA(J223,K223,M223,N223)&gt;0,(LEN(SUBSTITUTE(SUBSTITUTE(SUBSTITUTE(J223," ",""),"0",""),"-",""))+LEN(SUBSTITUTE(SUBSTITUTE(SUBSTITUTE(K223," ",""),"0",""),"-","")))=(LEN(SUBSTITUTE(SUBSTITUTE(SUBSTITUTE(M223," ",""),"0",""),"-",""))+LEN(SUBSTITUTE(SUBSTITUTE(SUBSTITUTE(N223," ",""),"0",""),"-",""))))),1,0)+IF(OR(L224="X",L224="x",AND(COUNTA(J224,K224,M224,N224)&gt;0,(LEN(SUBSTITUTE(SUBSTITUTE(SUBSTITUTE(J224," ",""),"0",""),"-",""))+LEN(SUBSTITUTE(SUBSTITUTE(SUBSTITUTE(K224," ",""),"0",""),"-","")))=(LEN(SUBSTITUTE(SUBSTITUTE(SUBSTITUTE(M224," ",""),"0",""),"-",""))+LEN(SUBSTITUTE(SUBSTITUTE(SUBSTITUTE(N224," ",""),"0",""),"-",""))))),1,0)),0)+IF(OR(COUNTA(J228:K232,M228:N232)&gt;0,OR(L227="X",L227="x"),UPPER(L228)="X",UPPER(L229)="X",UPPER(L230)="X",UPPER(L231)="X",UPPER(L232)="X"),(IF(OR(L228="X",L228="x",AND(COUNTA(J228,K228,M228,N228)&gt;0,(LEN(SUBSTITUTE(SUBSTITUTE(SUBSTITUTE(J228," ",""),"0",""),"-",""))+LEN(SUBSTITUTE(SUBSTITUTE(SUBSTITUTE(K228," ",""),"0",""),"-","")))=(LEN(SUBSTITUTE(SUBSTITUTE(SUBSTITUTE(M228," ",""),"0",""),"-",""))+LEN(SUBSTITUTE(SUBSTITUTE(SUBSTITUTE(N228," ",""),"0",""),"-",""))))),1,0)+IF(OR(L229="X",L229="x",AND(COUNTA(J229,K229,M229,N229)&gt;0,(LEN(SUBSTITUTE(SUBSTITUTE(SUBSTITUTE(J229," ",""),"0",""),"-",""))+LEN(SUBSTITUTE(SUBSTITUTE(SUBSTITUTE(K229," ",""),"0",""),"-","")))=(LEN(SUBSTITUTE(SUBSTITUTE(SUBSTITUTE(M229," ",""),"0",""),"-",""))+LEN(SUBSTITUTE(SUBSTITUTE(SUBSTITUTE(N229," ",""),"0",""),"-",""))))),1,0)+IF(OR(L230="X",L230="x",AND(COUNTA(J230,K230,M230,N230)&gt;0,(LEN(SUBSTITUTE(SUBSTITUTE(SUBSTITUTE(J230," ",""),"0",""),"-",""))+LEN(SUBSTITUTE(SUBSTITUTE(SUBSTITUTE(K230," ",""),"0",""),"-","")))=(LEN(SUBSTITUTE(SUBSTITUTE(SUBSTITUTE(M230," ",""),"0",""),"-",""))+LEN(SUBSTITUTE(SUBSTITUTE(SUBSTITUTE(N230," ",""),"0",""),"-",""))))),1,0)+IF(OR(L231="X",L231="x",AND(COUNTA(J231,K231,M231,N231)&gt;0,(LEN(SUBSTITUTE(SUBSTITUTE(SUBSTITUTE(J231," ",""),"0",""),"-",""))+LEN(SUBSTITUTE(SUBSTITUTE(SUBSTITUTE(K231," ",""),"0",""),"-","")))=(LEN(SUBSTITUTE(SUBSTITUTE(SUBSTITUTE(M231," ",""),"0",""),"-",""))+LEN(SUBSTITUTE(SUBSTITUTE(SUBSTITUTE(N231," ",""),"0",""),"-",""))))),1,0)+IF(OR(L232="X",L232="x",AND(COUNTA(J232,K232,M232,N232)&gt;0,(LEN(SUBSTITUTE(SUBSTITUTE(SUBSTITUTE(J232," ",""),"0",""),"-",""))+LEN(SUBSTITUTE(SUBSTITUTE(SUBSTITUTE(K232," ",""),"0",""),"-","")))=(LEN(SUBSTITUTE(SUBSTITUTE(SUBSTITUTE(M232," ",""),"0",""),"-",""))+LEN(SUBSTITUTE(SUBSTITUTE(SUBSTITUTE(N232," ",""),"0",""),"-",""))))),1,0)),0)</f>
      </c>
      <c r="M249" s="14" t="str">
        <f>M219+M227</f>
      </c>
      <c r="N249" s="14" t="str">
        <f>K219+K227</f>
      </c>
    </row>
    <row r="250">
      <c r="A250" s="14" t="str">
        <f>data!$E$19&amp;" "&amp;data!$B$19</f>
      </c>
      <c r="B250" s="14" t="str">
        <f>IF(OR(COUNTA(B220:C224,E220:F224)&gt;0,OR(D219="X",D219="x"),UPPER(D220)="X",UPPER(D221)="X",UPPER(D222)="X",UPPER(D223)="X",UPPER(D224)="X"),B219,0)+IF(OR(COUNTA(B236:C240,E236:F240)&gt;0,OR(D235="X",D235="x"),UPPER(D236)="X",UPPER(D237)="X",UPPER(D238)="X",UPPER(D239)="X",UPPER(D240)="X"),F235,0)</f>
      </c>
      <c r="C250" s="14" t="str">
        <f>IF(OR(COUNTA(B220:C224,E220:F224)&gt;0,OR(D219="X",D219="x"),UPPER(D220)="X",UPPER(D221)="X",UPPER(D222)="X",UPPER(D223)="X",UPPER(D224)="X"),F219,0)+IF(OR(COUNTA(B236:C240,E236:F240)&gt;0,OR(D235="X",D235="x"),UPPER(D236)="X",UPPER(D237)="X",UPPER(D238)="X",UPPER(D239)="X",UPPER(D240)="X"),B235,0)</f>
      </c>
      <c r="D250" s="14" t="str">
        <f>IF(OR(COUNTA(B220:C224,E220:F224)&gt;0,OR(D219="X",D219="x"),UPPER(D220)="X",UPPER(D221)="X",UPPER(D222)="X",UPPER(D223)="X",UPPER(D224)="X"),(IF(OR(D220="X",D220="x",AND(COUNTA(B220,C220,E220,F220)&gt;0,(LEN(SUBSTITUTE(SUBSTITUTE(SUBSTITUTE(B220," ",""),"0",""),"-",""))+LEN(SUBSTITUTE(SUBSTITUTE(SUBSTITUTE(C220," ",""),"0",""),"-","")))=(LEN(SUBSTITUTE(SUBSTITUTE(SUBSTITUTE(E220," ",""),"0",""),"-",""))+LEN(SUBSTITUTE(SUBSTITUTE(SUBSTITUTE(F220," ",""),"0",""),"-",""))))),1,0)+IF(OR(D221="X",D221="x",AND(COUNTA(B221,C221,E221,F221)&gt;0,(LEN(SUBSTITUTE(SUBSTITUTE(SUBSTITUTE(B221," ",""),"0",""),"-",""))+LEN(SUBSTITUTE(SUBSTITUTE(SUBSTITUTE(C221," ",""),"0",""),"-","")))=(LEN(SUBSTITUTE(SUBSTITUTE(SUBSTITUTE(E221," ",""),"0",""),"-",""))+LEN(SUBSTITUTE(SUBSTITUTE(SUBSTITUTE(F221," ",""),"0",""),"-",""))))),1,0)+IF(OR(D222="X",D222="x",AND(COUNTA(B222,C222,E222,F222)&gt;0,(LEN(SUBSTITUTE(SUBSTITUTE(SUBSTITUTE(B222," ",""),"0",""),"-",""))+LEN(SUBSTITUTE(SUBSTITUTE(SUBSTITUTE(C222," ",""),"0",""),"-","")))=(LEN(SUBSTITUTE(SUBSTITUTE(SUBSTITUTE(E222," ",""),"0",""),"-",""))+LEN(SUBSTITUTE(SUBSTITUTE(SUBSTITUTE(F222," ",""),"0",""),"-",""))))),1,0)+IF(OR(D223="X",D223="x",AND(COUNTA(B223,C223,E223,F223)&gt;0,(LEN(SUBSTITUTE(SUBSTITUTE(SUBSTITUTE(B223," ",""),"0",""),"-",""))+LEN(SUBSTITUTE(SUBSTITUTE(SUBSTITUTE(C223," ",""),"0",""),"-","")))=(LEN(SUBSTITUTE(SUBSTITUTE(SUBSTITUTE(E223," ",""),"0",""),"-",""))+LEN(SUBSTITUTE(SUBSTITUTE(SUBSTITUTE(F223," ",""),"0",""),"-",""))))),1,0)+IF(OR(D224="X",D224="x",AND(COUNTA(B224,C224,E224,F224)&gt;0,(LEN(SUBSTITUTE(SUBSTITUTE(SUBSTITUTE(B224," ",""),"0",""),"-",""))+LEN(SUBSTITUTE(SUBSTITUTE(SUBSTITUTE(C224," ",""),"0",""),"-","")))=(LEN(SUBSTITUTE(SUBSTITUTE(SUBSTITUTE(E224," ",""),"0",""),"-",""))+LEN(SUBSTITUTE(SUBSTITUTE(SUBSTITUTE(F224," ",""),"0",""),"-",""))))),1,0)),0)+IF(OR(COUNTA(B236:C240,E236:F240)&gt;0,OR(D235="X",D235="x"),UPPER(D236)="X",UPPER(D237)="X",UPPER(D238)="X",UPPER(D239)="X",UPPER(D240)="X"),(IF(OR(D236="X",D236="x",AND(COUNTA(B236,C236,E236,F236)&gt;0,(LEN(SUBSTITUTE(SUBSTITUTE(SUBSTITUTE(B236," ",""),"0",""),"-",""))+LEN(SUBSTITUTE(SUBSTITUTE(SUBSTITUTE(C236," ",""),"0",""),"-","")))=(LEN(SUBSTITUTE(SUBSTITUTE(SUBSTITUTE(E236," ",""),"0",""),"-",""))+LEN(SUBSTITUTE(SUBSTITUTE(SUBSTITUTE(F236," ",""),"0",""),"-",""))))),1,0)+IF(OR(D237="X",D237="x",AND(COUNTA(B237,C237,E237,F237)&gt;0,(LEN(SUBSTITUTE(SUBSTITUTE(SUBSTITUTE(B237," ",""),"0",""),"-",""))+LEN(SUBSTITUTE(SUBSTITUTE(SUBSTITUTE(C237," ",""),"0",""),"-","")))=(LEN(SUBSTITUTE(SUBSTITUTE(SUBSTITUTE(E237," ",""),"0",""),"-",""))+LEN(SUBSTITUTE(SUBSTITUTE(SUBSTITUTE(F237," ",""),"0",""),"-",""))))),1,0)+IF(OR(D238="X",D238="x",AND(COUNTA(B238,C238,E238,F238)&gt;0,(LEN(SUBSTITUTE(SUBSTITUTE(SUBSTITUTE(B238," ",""),"0",""),"-",""))+LEN(SUBSTITUTE(SUBSTITUTE(SUBSTITUTE(C238," ",""),"0",""),"-","")))=(LEN(SUBSTITUTE(SUBSTITUTE(SUBSTITUTE(E238," ",""),"0",""),"-",""))+LEN(SUBSTITUTE(SUBSTITUTE(SUBSTITUTE(F238," ",""),"0",""),"-",""))))),1,0)+IF(OR(D239="X",D239="x",AND(COUNTA(B239,C239,E239,F239)&gt;0,(LEN(SUBSTITUTE(SUBSTITUTE(SUBSTITUTE(B239," ",""),"0",""),"-",""))+LEN(SUBSTITUTE(SUBSTITUTE(SUBSTITUTE(C239," ",""),"0",""),"-","")))=(LEN(SUBSTITUTE(SUBSTITUTE(SUBSTITUTE(E239," ",""),"0",""),"-",""))+LEN(SUBSTITUTE(SUBSTITUTE(SUBSTITUTE(F239," ",""),"0",""),"-",""))))),1,0)+IF(OR(D240="X",D240="x",AND(COUNTA(B240,C240,E240,F240)&gt;0,(LEN(SUBSTITUTE(SUBSTITUTE(SUBSTITUTE(B240," ",""),"0",""),"-",""))+LEN(SUBSTITUTE(SUBSTITUTE(SUBSTITUTE(C240," ",""),"0",""),"-","")))=(LEN(SUBSTITUTE(SUBSTITUTE(SUBSTITUTE(E240," ",""),"0",""),"-",""))+LEN(SUBSTITUTE(SUBSTITUTE(SUBSTITUTE(F240," ",""),"0",""),"-",""))))),1,0)),0)</f>
      </c>
      <c r="E250" s="14" t="str">
        <f>C219+E235</f>
      </c>
      <c r="F250" s="14" t="str">
        <f>E219+C235</f>
      </c>
      <c r="I250" s="14" t="str">
        <f>data!$E$66&amp;" "&amp;data!$B$66</f>
      </c>
      <c r="J250" s="14" t="str">
        <f>IF(OR(COUNTA(J220:K224,M220:N224)&gt;0,OR(L219="X",L219="x"),UPPER(L220)="X",UPPER(L221)="X",UPPER(L222)="X",UPPER(L223)="X",UPPER(L224)="X"),J219,0)+IF(OR(COUNTA(J236:K240,M236:N240)&gt;0,OR(L235="X",L235="x"),UPPER(L236)="X",UPPER(L237)="X",UPPER(L238)="X",UPPER(L239)="X",UPPER(L240)="X"),N235,0)</f>
      </c>
      <c r="K250" s="14" t="str">
        <f>IF(OR(COUNTA(J220:K224,M220:N224)&gt;0,OR(L219="X",L219="x"),UPPER(L220)="X",UPPER(L221)="X",UPPER(L222)="X",UPPER(L223)="X",UPPER(L224)="X"),N219,0)+IF(OR(COUNTA(J236:K240,M236:N240)&gt;0,OR(L235="X",L235="x"),UPPER(L236)="X",UPPER(L237)="X",UPPER(L238)="X",UPPER(L239)="X",UPPER(L240)="X"),J235,0)</f>
      </c>
      <c r="L250" s="14" t="str">
        <f>IF(OR(COUNTA(J220:K224,M220:N224)&gt;0,OR(L219="X",L219="x"),UPPER(L220)="X",UPPER(L221)="X",UPPER(L222)="X",UPPER(L223)="X",UPPER(L224)="X"),(IF(OR(L220="X",L220="x",AND(COUNTA(J220,K220,M220,N220)&gt;0,(LEN(SUBSTITUTE(SUBSTITUTE(SUBSTITUTE(J220," ",""),"0",""),"-",""))+LEN(SUBSTITUTE(SUBSTITUTE(SUBSTITUTE(K220," ",""),"0",""),"-","")))=(LEN(SUBSTITUTE(SUBSTITUTE(SUBSTITUTE(M220," ",""),"0",""),"-",""))+LEN(SUBSTITUTE(SUBSTITUTE(SUBSTITUTE(N220," ",""),"0",""),"-",""))))),1,0)+IF(OR(L221="X",L221="x",AND(COUNTA(J221,K221,M221,N221)&gt;0,(LEN(SUBSTITUTE(SUBSTITUTE(SUBSTITUTE(J221," ",""),"0",""),"-",""))+LEN(SUBSTITUTE(SUBSTITUTE(SUBSTITUTE(K221," ",""),"0",""),"-","")))=(LEN(SUBSTITUTE(SUBSTITUTE(SUBSTITUTE(M221," ",""),"0",""),"-",""))+LEN(SUBSTITUTE(SUBSTITUTE(SUBSTITUTE(N221," ",""),"0",""),"-",""))))),1,0)+IF(OR(L222="X",L222="x",AND(COUNTA(J222,K222,M222,N222)&gt;0,(LEN(SUBSTITUTE(SUBSTITUTE(SUBSTITUTE(J222," ",""),"0",""),"-",""))+LEN(SUBSTITUTE(SUBSTITUTE(SUBSTITUTE(K222," ",""),"0",""),"-","")))=(LEN(SUBSTITUTE(SUBSTITUTE(SUBSTITUTE(M222," ",""),"0",""),"-",""))+LEN(SUBSTITUTE(SUBSTITUTE(SUBSTITUTE(N222," ",""),"0",""),"-",""))))),1,0)+IF(OR(L223="X",L223="x",AND(COUNTA(J223,K223,M223,N223)&gt;0,(LEN(SUBSTITUTE(SUBSTITUTE(SUBSTITUTE(J223," ",""),"0",""),"-",""))+LEN(SUBSTITUTE(SUBSTITUTE(SUBSTITUTE(K223," ",""),"0",""),"-","")))=(LEN(SUBSTITUTE(SUBSTITUTE(SUBSTITUTE(M223," ",""),"0",""),"-",""))+LEN(SUBSTITUTE(SUBSTITUTE(SUBSTITUTE(N223," ",""),"0",""),"-",""))))),1,0)+IF(OR(L224="X",L224="x",AND(COUNTA(J224,K224,M224,N224)&gt;0,(LEN(SUBSTITUTE(SUBSTITUTE(SUBSTITUTE(J224," ",""),"0",""),"-",""))+LEN(SUBSTITUTE(SUBSTITUTE(SUBSTITUTE(K224," ",""),"0",""),"-","")))=(LEN(SUBSTITUTE(SUBSTITUTE(SUBSTITUTE(M224," ",""),"0",""),"-",""))+LEN(SUBSTITUTE(SUBSTITUTE(SUBSTITUTE(N224," ",""),"0",""),"-",""))))),1,0)),0)+IF(OR(COUNTA(J236:K240,M236:N240)&gt;0,OR(L235="X",L235="x"),UPPER(L236)="X",UPPER(L237)="X",UPPER(L238)="X",UPPER(L239)="X",UPPER(L240)="X"),(IF(OR(L236="X",L236="x",AND(COUNTA(J236,K236,M236,N236)&gt;0,(LEN(SUBSTITUTE(SUBSTITUTE(SUBSTITUTE(J236," ",""),"0",""),"-",""))+LEN(SUBSTITUTE(SUBSTITUTE(SUBSTITUTE(K236," ",""),"0",""),"-","")))=(LEN(SUBSTITUTE(SUBSTITUTE(SUBSTITUTE(M236," ",""),"0",""),"-",""))+LEN(SUBSTITUTE(SUBSTITUTE(SUBSTITUTE(N236," ",""),"0",""),"-",""))))),1,0)+IF(OR(L237="X",L237="x",AND(COUNTA(J237,K237,M237,N237)&gt;0,(LEN(SUBSTITUTE(SUBSTITUTE(SUBSTITUTE(J237," ",""),"0",""),"-",""))+LEN(SUBSTITUTE(SUBSTITUTE(SUBSTITUTE(K237," ",""),"0",""),"-","")))=(LEN(SUBSTITUTE(SUBSTITUTE(SUBSTITUTE(M237," ",""),"0",""),"-",""))+LEN(SUBSTITUTE(SUBSTITUTE(SUBSTITUTE(N237," ",""),"0",""),"-",""))))),1,0)+IF(OR(L238="X",L238="x",AND(COUNTA(J238,K238,M238,N238)&gt;0,(LEN(SUBSTITUTE(SUBSTITUTE(SUBSTITUTE(J238," ",""),"0",""),"-",""))+LEN(SUBSTITUTE(SUBSTITUTE(SUBSTITUTE(K238," ",""),"0",""),"-","")))=(LEN(SUBSTITUTE(SUBSTITUTE(SUBSTITUTE(M238," ",""),"0",""),"-",""))+LEN(SUBSTITUTE(SUBSTITUTE(SUBSTITUTE(N238," ",""),"0",""),"-",""))))),1,0)+IF(OR(L239="X",L239="x",AND(COUNTA(J239,K239,M239,N239)&gt;0,(LEN(SUBSTITUTE(SUBSTITUTE(SUBSTITUTE(J239," ",""),"0",""),"-",""))+LEN(SUBSTITUTE(SUBSTITUTE(SUBSTITUTE(K239," ",""),"0",""),"-","")))=(LEN(SUBSTITUTE(SUBSTITUTE(SUBSTITUTE(M239," ",""),"0",""),"-",""))+LEN(SUBSTITUTE(SUBSTITUTE(SUBSTITUTE(N239," ",""),"0",""),"-",""))))),1,0)+IF(OR(L240="X",L240="x",AND(COUNTA(J240,K240,M240,N240)&gt;0,(LEN(SUBSTITUTE(SUBSTITUTE(SUBSTITUTE(J240," ",""),"0",""),"-",""))+LEN(SUBSTITUTE(SUBSTITUTE(SUBSTITUTE(K240," ",""),"0",""),"-","")))=(LEN(SUBSTITUTE(SUBSTITUTE(SUBSTITUTE(M240," ",""),"0",""),"-",""))+LEN(SUBSTITUTE(SUBSTITUTE(SUBSTITUTE(N240," ",""),"0",""),"-",""))))),1,0)),0)</f>
      </c>
      <c r="M250" s="14" t="str">
        <f>K219+M235</f>
      </c>
      <c r="N250" s="14" t="str">
        <f>M219+K235</f>
      </c>
    </row>
    <row r="251">
      <c r="A251" s="14" t="str">
        <f>data!$E$20&amp;" "&amp;data!$B$20</f>
      </c>
      <c r="B251" s="14" t="str">
        <f>IF(OR(COUNTA(B228:C232,E228:F232)&gt;0,OR(D227="X",D227="x"),UPPER(D228)="X",UPPER(D229)="X",UPPER(D230)="X",UPPER(D231)="X",UPPER(D232)="X"),B227,0)+IF(OR(COUNTA(B236:C240,E236:F240)&gt;0,OR(D235="X",D235="x"),UPPER(D236)="X",UPPER(D237)="X",UPPER(D238)="X",UPPER(D239)="X",UPPER(D240)="X"),B235,0)</f>
      </c>
      <c r="C251" s="14" t="str">
        <f>IF(OR(COUNTA(B228:C232,E228:F232)&gt;0,OR(D227="X",D227="x"),UPPER(D228)="X",UPPER(D229)="X",UPPER(D230)="X",UPPER(D231)="X",UPPER(D232)="X"),F227,0)+IF(OR(COUNTA(B236:C240,E236:F240)&gt;0,OR(D235="X",D235="x"),UPPER(D236)="X",UPPER(D237)="X",UPPER(D238)="X",UPPER(D239)="X",UPPER(D240)="X"),F235,0)</f>
      </c>
      <c r="D251" s="14" t="str">
        <f>IF(OR(COUNTA(B228:C232,E228:F232)&gt;0,OR(D227="X",D227="x"),UPPER(D228)="X",UPPER(D229)="X",UPPER(D230)="X",UPPER(D231)="X",UPPER(D232)="X"),(IF(OR(D228="X",D228="x",AND(COUNTA(B228,C228,E228,F228)&gt;0,(LEN(SUBSTITUTE(SUBSTITUTE(SUBSTITUTE(B228," ",""),"0",""),"-",""))+LEN(SUBSTITUTE(SUBSTITUTE(SUBSTITUTE(C228," ",""),"0",""),"-","")))=(LEN(SUBSTITUTE(SUBSTITUTE(SUBSTITUTE(E228," ",""),"0",""),"-",""))+LEN(SUBSTITUTE(SUBSTITUTE(SUBSTITUTE(F228," ",""),"0",""),"-",""))))),1,0)+IF(OR(D229="X",D229="x",AND(COUNTA(B229,C229,E229,F229)&gt;0,(LEN(SUBSTITUTE(SUBSTITUTE(SUBSTITUTE(B229," ",""),"0",""),"-",""))+LEN(SUBSTITUTE(SUBSTITUTE(SUBSTITUTE(C229," ",""),"0",""),"-","")))=(LEN(SUBSTITUTE(SUBSTITUTE(SUBSTITUTE(E229," ",""),"0",""),"-",""))+LEN(SUBSTITUTE(SUBSTITUTE(SUBSTITUTE(F229," ",""),"0",""),"-",""))))),1,0)+IF(OR(D230="X",D230="x",AND(COUNTA(B230,C230,E230,F230)&gt;0,(LEN(SUBSTITUTE(SUBSTITUTE(SUBSTITUTE(B230," ",""),"0",""),"-",""))+LEN(SUBSTITUTE(SUBSTITUTE(SUBSTITUTE(C230," ",""),"0",""),"-","")))=(LEN(SUBSTITUTE(SUBSTITUTE(SUBSTITUTE(E230," ",""),"0",""),"-",""))+LEN(SUBSTITUTE(SUBSTITUTE(SUBSTITUTE(F230," ",""),"0",""),"-",""))))),1,0)+IF(OR(D231="X",D231="x",AND(COUNTA(B231,C231,E231,F231)&gt;0,(LEN(SUBSTITUTE(SUBSTITUTE(SUBSTITUTE(B231," ",""),"0",""),"-",""))+LEN(SUBSTITUTE(SUBSTITUTE(SUBSTITUTE(C231," ",""),"0",""),"-","")))=(LEN(SUBSTITUTE(SUBSTITUTE(SUBSTITUTE(E231," ",""),"0",""),"-",""))+LEN(SUBSTITUTE(SUBSTITUTE(SUBSTITUTE(F231," ",""),"0",""),"-",""))))),1,0)+IF(OR(D232="X",D232="x",AND(COUNTA(B232,C232,E232,F232)&gt;0,(LEN(SUBSTITUTE(SUBSTITUTE(SUBSTITUTE(B232," ",""),"0",""),"-",""))+LEN(SUBSTITUTE(SUBSTITUTE(SUBSTITUTE(C232," ",""),"0",""),"-","")))=(LEN(SUBSTITUTE(SUBSTITUTE(SUBSTITUTE(E232," ",""),"0",""),"-",""))+LEN(SUBSTITUTE(SUBSTITUTE(SUBSTITUTE(F232," ",""),"0",""),"-",""))))),1,0)),0)+IF(OR(COUNTA(B236:C240,E236:F240)&gt;0,OR(D235="X",D235="x"),UPPER(D236)="X",UPPER(D237)="X",UPPER(D238)="X",UPPER(D239)="X",UPPER(D240)="X"),(IF(OR(D236="X",D236="x",AND(COUNTA(B236,C236,E236,F236)&gt;0,(LEN(SUBSTITUTE(SUBSTITUTE(SUBSTITUTE(B236," ",""),"0",""),"-",""))+LEN(SUBSTITUTE(SUBSTITUTE(SUBSTITUTE(C236," ",""),"0",""),"-","")))=(LEN(SUBSTITUTE(SUBSTITUTE(SUBSTITUTE(E236," ",""),"0",""),"-",""))+LEN(SUBSTITUTE(SUBSTITUTE(SUBSTITUTE(F236," ",""),"0",""),"-",""))))),1,0)+IF(OR(D237="X",D237="x",AND(COUNTA(B237,C237,E237,F237)&gt;0,(LEN(SUBSTITUTE(SUBSTITUTE(SUBSTITUTE(B237," ",""),"0",""),"-",""))+LEN(SUBSTITUTE(SUBSTITUTE(SUBSTITUTE(C237," ",""),"0",""),"-","")))=(LEN(SUBSTITUTE(SUBSTITUTE(SUBSTITUTE(E237," ",""),"0",""),"-",""))+LEN(SUBSTITUTE(SUBSTITUTE(SUBSTITUTE(F237," ",""),"0",""),"-",""))))),1,0)+IF(OR(D238="X",D238="x",AND(COUNTA(B238,C238,E238,F238)&gt;0,(LEN(SUBSTITUTE(SUBSTITUTE(SUBSTITUTE(B238," ",""),"0",""),"-",""))+LEN(SUBSTITUTE(SUBSTITUTE(SUBSTITUTE(C238," ",""),"0",""),"-","")))=(LEN(SUBSTITUTE(SUBSTITUTE(SUBSTITUTE(E238," ",""),"0",""),"-",""))+LEN(SUBSTITUTE(SUBSTITUTE(SUBSTITUTE(F238," ",""),"0",""),"-",""))))),1,0)+IF(OR(D239="X",D239="x",AND(COUNTA(B239,C239,E239,F239)&gt;0,(LEN(SUBSTITUTE(SUBSTITUTE(SUBSTITUTE(B239," ",""),"0",""),"-",""))+LEN(SUBSTITUTE(SUBSTITUTE(SUBSTITUTE(C239," ",""),"0",""),"-","")))=(LEN(SUBSTITUTE(SUBSTITUTE(SUBSTITUTE(E239," ",""),"0",""),"-",""))+LEN(SUBSTITUTE(SUBSTITUTE(SUBSTITUTE(F239," ",""),"0",""),"-",""))))),1,0)+IF(OR(D240="X",D240="x",AND(COUNTA(B240,C240,E240,F240)&gt;0,(LEN(SUBSTITUTE(SUBSTITUTE(SUBSTITUTE(B240," ",""),"0",""),"-",""))+LEN(SUBSTITUTE(SUBSTITUTE(SUBSTITUTE(C240," ",""),"0",""),"-","")))=(LEN(SUBSTITUTE(SUBSTITUTE(SUBSTITUTE(E240," ",""),"0",""),"-",""))+LEN(SUBSTITUTE(SUBSTITUTE(SUBSTITUTE(F240," ",""),"0",""),"-",""))))),1,0)),0)</f>
      </c>
      <c r="E251" s="14" t="str">
        <f>C227+C235</f>
      </c>
      <c r="F251" s="14" t="str">
        <f>E227+E235</f>
      </c>
      <c r="I251" s="14" t="str">
        <f>data!$E$67&amp;" "&amp;data!$B$67</f>
      </c>
      <c r="J251" s="14" t="str">
        <f>IF(OR(COUNTA(J228:K232,M228:N232)&gt;0,OR(L227="X",L227="x"),UPPER(L228)="X",UPPER(L229)="X",UPPER(L230)="X",UPPER(L231)="X",UPPER(L232)="X"),J227,0)+IF(OR(COUNTA(J236:K240,M236:N240)&gt;0,OR(L235="X",L235="x"),UPPER(L236)="X",UPPER(L237)="X",UPPER(L238)="X",UPPER(L239)="X",UPPER(L240)="X"),J235,0)</f>
      </c>
      <c r="K251" s="14" t="str">
        <f>IF(OR(COUNTA(J228:K232,M228:N232)&gt;0,OR(L227="X",L227="x"),UPPER(L228)="X",UPPER(L229)="X",UPPER(L230)="X",UPPER(L231)="X",UPPER(L232)="X"),N227,0)+IF(OR(COUNTA(J236:K240,M236:N240)&gt;0,OR(L235="X",L235="x"),UPPER(L236)="X",UPPER(L237)="X",UPPER(L238)="X",UPPER(L239)="X",UPPER(L240)="X"),N235,0)</f>
      </c>
      <c r="L251" s="14" t="str">
        <f>IF(OR(COUNTA(J228:K232,M228:N232)&gt;0,OR(L227="X",L227="x"),UPPER(L228)="X",UPPER(L229)="X",UPPER(L230)="X",UPPER(L231)="X",UPPER(L232)="X"),(IF(OR(L228="X",L228="x",AND(COUNTA(J228,K228,M228,N228)&gt;0,(LEN(SUBSTITUTE(SUBSTITUTE(SUBSTITUTE(J228," ",""),"0",""),"-",""))+LEN(SUBSTITUTE(SUBSTITUTE(SUBSTITUTE(K228," ",""),"0",""),"-","")))=(LEN(SUBSTITUTE(SUBSTITUTE(SUBSTITUTE(M228," ",""),"0",""),"-",""))+LEN(SUBSTITUTE(SUBSTITUTE(SUBSTITUTE(N228," ",""),"0",""),"-",""))))),1,0)+IF(OR(L229="X",L229="x",AND(COUNTA(J229,K229,M229,N229)&gt;0,(LEN(SUBSTITUTE(SUBSTITUTE(SUBSTITUTE(J229," ",""),"0",""),"-",""))+LEN(SUBSTITUTE(SUBSTITUTE(SUBSTITUTE(K229," ",""),"0",""),"-","")))=(LEN(SUBSTITUTE(SUBSTITUTE(SUBSTITUTE(M229," ",""),"0",""),"-",""))+LEN(SUBSTITUTE(SUBSTITUTE(SUBSTITUTE(N229," ",""),"0",""),"-",""))))),1,0)+IF(OR(L230="X",L230="x",AND(COUNTA(J230,K230,M230,N230)&gt;0,(LEN(SUBSTITUTE(SUBSTITUTE(SUBSTITUTE(J230," ",""),"0",""),"-",""))+LEN(SUBSTITUTE(SUBSTITUTE(SUBSTITUTE(K230," ",""),"0",""),"-","")))=(LEN(SUBSTITUTE(SUBSTITUTE(SUBSTITUTE(M230," ",""),"0",""),"-",""))+LEN(SUBSTITUTE(SUBSTITUTE(SUBSTITUTE(N230," ",""),"0",""),"-",""))))),1,0)+IF(OR(L231="X",L231="x",AND(COUNTA(J231,K231,M231,N231)&gt;0,(LEN(SUBSTITUTE(SUBSTITUTE(SUBSTITUTE(J231," ",""),"0",""),"-",""))+LEN(SUBSTITUTE(SUBSTITUTE(SUBSTITUTE(K231," ",""),"0",""),"-","")))=(LEN(SUBSTITUTE(SUBSTITUTE(SUBSTITUTE(M231," ",""),"0",""),"-",""))+LEN(SUBSTITUTE(SUBSTITUTE(SUBSTITUTE(N231," ",""),"0",""),"-",""))))),1,0)+IF(OR(L232="X",L232="x",AND(COUNTA(J232,K232,M232,N232)&gt;0,(LEN(SUBSTITUTE(SUBSTITUTE(SUBSTITUTE(J232," ",""),"0",""),"-",""))+LEN(SUBSTITUTE(SUBSTITUTE(SUBSTITUTE(K232," ",""),"0",""),"-","")))=(LEN(SUBSTITUTE(SUBSTITUTE(SUBSTITUTE(M232," ",""),"0",""),"-",""))+LEN(SUBSTITUTE(SUBSTITUTE(SUBSTITUTE(N232," ",""),"0",""),"-",""))))),1,0)),0)+IF(OR(COUNTA(J236:K240,M236:N240)&gt;0,OR(L235="X",L235="x"),UPPER(L236)="X",UPPER(L237)="X",UPPER(L238)="X",UPPER(L239)="X",UPPER(L240)="X"),(IF(OR(L236="X",L236="x",AND(COUNTA(J236,K236,M236,N236)&gt;0,(LEN(SUBSTITUTE(SUBSTITUTE(SUBSTITUTE(J236," ",""),"0",""),"-",""))+LEN(SUBSTITUTE(SUBSTITUTE(SUBSTITUTE(K236," ",""),"0",""),"-","")))=(LEN(SUBSTITUTE(SUBSTITUTE(SUBSTITUTE(M236," ",""),"0",""),"-",""))+LEN(SUBSTITUTE(SUBSTITUTE(SUBSTITUTE(N236," ",""),"0",""),"-",""))))),1,0)+IF(OR(L237="X",L237="x",AND(COUNTA(J237,K237,M237,N237)&gt;0,(LEN(SUBSTITUTE(SUBSTITUTE(SUBSTITUTE(J237," ",""),"0",""),"-",""))+LEN(SUBSTITUTE(SUBSTITUTE(SUBSTITUTE(K237," ",""),"0",""),"-","")))=(LEN(SUBSTITUTE(SUBSTITUTE(SUBSTITUTE(M237," ",""),"0",""),"-",""))+LEN(SUBSTITUTE(SUBSTITUTE(SUBSTITUTE(N237," ",""),"0",""),"-",""))))),1,0)+IF(OR(L238="X",L238="x",AND(COUNTA(J238,K238,M238,N238)&gt;0,(LEN(SUBSTITUTE(SUBSTITUTE(SUBSTITUTE(J238," ",""),"0",""),"-",""))+LEN(SUBSTITUTE(SUBSTITUTE(SUBSTITUTE(K238," ",""),"0",""),"-","")))=(LEN(SUBSTITUTE(SUBSTITUTE(SUBSTITUTE(M238," ",""),"0",""),"-",""))+LEN(SUBSTITUTE(SUBSTITUTE(SUBSTITUTE(N238," ",""),"0",""),"-",""))))),1,0)+IF(OR(L239="X",L239="x",AND(COUNTA(J239,K239,M239,N239)&gt;0,(LEN(SUBSTITUTE(SUBSTITUTE(SUBSTITUTE(J239," ",""),"0",""),"-",""))+LEN(SUBSTITUTE(SUBSTITUTE(SUBSTITUTE(K239," ",""),"0",""),"-","")))=(LEN(SUBSTITUTE(SUBSTITUTE(SUBSTITUTE(M239," ",""),"0",""),"-",""))+LEN(SUBSTITUTE(SUBSTITUTE(SUBSTITUTE(N239," ",""),"0",""),"-",""))))),1,0)+IF(OR(L240="X",L240="x",AND(COUNTA(J240,K240,M240,N240)&gt;0,(LEN(SUBSTITUTE(SUBSTITUTE(SUBSTITUTE(J240," ",""),"0",""),"-",""))+LEN(SUBSTITUTE(SUBSTITUTE(SUBSTITUTE(K240," ",""),"0",""),"-","")))=(LEN(SUBSTITUTE(SUBSTITUTE(SUBSTITUTE(M240," ",""),"0",""),"-",""))+LEN(SUBSTITUTE(SUBSTITUTE(SUBSTITUTE(N240," ",""),"0",""),"-",""))))),1,0)),0)</f>
      </c>
      <c r="M251" s="14" t="str">
        <f>K227+K235</f>
      </c>
      <c r="N251" s="14" t="str">
        <f>M227+M235</f>
      </c>
    </row>
    <row r="254">
      <c r="F254" s="13"/>
      <c r="G254" s="13" t="s">
        <v>344</v>
      </c>
      <c r="N254" s="13"/>
      <c r="O254" s="13" t="s">
        <v>344</v>
      </c>
    </row>
    <row r="255">
      <c r="F255" t="s">
        <v>345</v>
      </c>
      <c r="G255" s="19" t="str">
        <f>IFERROR(INDEX($A$244:$A$251, MATCH(1, $G$244:$G$251, 0)), "-")</f>
      </c>
      <c r="N255" t="s">
        <v>345</v>
      </c>
      <c r="O255" s="19" t="str">
        <f>IFERROR(INDEX($I$244:$I$251, MATCH(1, $O$244:$O$251, 0)), "-")</f>
      </c>
    </row>
    <row r="256">
      <c r="F256" t="s">
        <v>346</v>
      </c>
      <c r="G256" s="19" t="str">
        <f>IFERROR(INDEX($A$244:$A$251, MATCH(2, $G$244:$G$251, 0)), "-")</f>
      </c>
      <c r="N256" t="s">
        <v>346</v>
      </c>
      <c r="O256" s="19" t="str">
        <f>IFERROR(INDEX($I$244:$I$251, MATCH(2, $O$244:$O$251, 0)), "-")</f>
      </c>
    </row>
    <row r="257">
      <c r="F257" t="s">
        <v>347</v>
      </c>
      <c r="G257" s="19" t="str">
        <f>IFERROR(INDEX($A$244:$A$251, MATCH(3, $G$244:$G$251, 0)), "-")</f>
      </c>
      <c r="N257" t="s">
        <v>347</v>
      </c>
      <c r="O257" s="19" t="str">
        <f>IFERROR(INDEX($I$244:$I$251, MATCH(3, $O$244:$O$251, 0)), "-")</f>
      </c>
    </row>
    <row r="260">
      <c r="A260" s="13" t="str">
        <f>'data'!$A$23</f>
      </c>
      <c r="B260" s="13"/>
      <c r="C260" s="13"/>
      <c r="D260" s="13"/>
      <c r="E260" s="13"/>
      <c r="F260" s="13"/>
      <c r="G260" s="13"/>
      <c r="I260" s="13" t="str">
        <f>'data'!$A$70</f>
      </c>
      <c r="J260" s="13"/>
      <c r="K260" s="13"/>
      <c r="L260" s="13"/>
      <c r="M260" s="13"/>
      <c r="N260" s="13"/>
      <c r="O260" s="13"/>
    </row>
    <row r="261">
      <c r="A261" s="17" t="s">
        <v>331</v>
      </c>
      <c r="B261" s="14"/>
      <c r="C261" s="14"/>
      <c r="D261" s="14" t="s">
        <v>332</v>
      </c>
      <c r="E261" s="14"/>
      <c r="F261" s="14"/>
      <c r="G261" s="16" t="s">
        <v>333</v>
      </c>
      <c r="I261" s="17" t="s">
        <v>331</v>
      </c>
      <c r="J261" s="14"/>
      <c r="K261" s="14"/>
      <c r="L261" s="14" t="s">
        <v>332</v>
      </c>
      <c r="M261" s="14"/>
      <c r="N261" s="14"/>
      <c r="O261" s="16" t="s">
        <v>333</v>
      </c>
    </row>
    <row r="262">
      <c r="A262" s="14" t="str">
        <f>data!$E$22&amp;" "&amp;data!$B$22</f>
      </c>
      <c r="B262" s="14" t="str">
        <f>IF(UPPER(D263)="X",0,IF((LEN(SUBSTITUTE(SUBSTITUTE(SUBSTITUTE(B263," ",""),"0",""),"-",""))+LEN(SUBSTITUTE(SUBSTITUTE(SUBSTITUTE(C263," ",""),"0",""),"-","")))&gt;(LEN(SUBSTITUTE(SUBSTITUTE(SUBSTITUTE(E263," ",""),"0",""),"-",""))+LEN(SUBSTITUTE(SUBSTITUTE(SUBSTITUTE(F263," ",""),"0",""),"-",""))),1,0))+IF(UPPER(D264)="X",0,IF((LEN(SUBSTITUTE(SUBSTITUTE(SUBSTITUTE(B264," ",""),"0",""),"-",""))+LEN(SUBSTITUTE(SUBSTITUTE(SUBSTITUTE(C264," ",""),"0",""),"-","")))&gt;(LEN(SUBSTITUTE(SUBSTITUTE(SUBSTITUTE(E264," ",""),"0",""),"-",""))+LEN(SUBSTITUTE(SUBSTITUTE(SUBSTITUTE(F264," ",""),"0",""),"-",""))),1,0))+IF(UPPER(D265)="X",0,IF((LEN(SUBSTITUTE(SUBSTITUTE(SUBSTITUTE(B265," ",""),"0",""),"-",""))+LEN(SUBSTITUTE(SUBSTITUTE(SUBSTITUTE(C265," ",""),"0",""),"-","")))&gt;(LEN(SUBSTITUTE(SUBSTITUTE(SUBSTITUTE(E265," ",""),"0",""),"-",""))+LEN(SUBSTITUTE(SUBSTITUTE(SUBSTITUTE(F265," ",""),"0",""),"-",""))),1,0))+IF(UPPER(D266)="X",0,IF((LEN(SUBSTITUTE(SUBSTITUTE(SUBSTITUTE(B266," ",""),"0",""),"-",""))+LEN(SUBSTITUTE(SUBSTITUTE(SUBSTITUTE(C266," ",""),"0",""),"-","")))&gt;(LEN(SUBSTITUTE(SUBSTITUTE(SUBSTITUTE(E266," ",""),"0",""),"-",""))+LEN(SUBSTITUTE(SUBSTITUTE(SUBSTITUTE(F266," ",""),"0",""),"-",""))),1,0))+IF(UPPER(D267)="X",0,IF((LEN(SUBSTITUTE(SUBSTITUTE(SUBSTITUTE(B267," ",""),"0",""),"-",""))+LEN(SUBSTITUTE(SUBSTITUTE(SUBSTITUTE(C267," ",""),"0",""),"-","")))&gt;(LEN(SUBSTITUTE(SUBSTITUTE(SUBSTITUTE(E267," ",""),"0",""),"-",""))+LEN(SUBSTITUTE(SUBSTITUTE(SUBSTITUTE(F267," ",""),"0",""),"-",""))),1,0))</f>
      </c>
      <c r="C262" s="14" t="str">
        <f>LEN(SUBSTITUTE(SUBSTITUTE(SUBSTITUTE(B263," ",""),"0",""),"-",""))+LEN(SUBSTITUTE(SUBSTITUTE(SUBSTITUTE(C263," ",""),"0",""),"-",""))+LEN(SUBSTITUTE(SUBSTITUTE(SUBSTITUTE(B264," ",""),"0",""),"-",""))+LEN(SUBSTITUTE(SUBSTITUTE(SUBSTITUTE(C264," ",""),"0",""),"-",""))+LEN(SUBSTITUTE(SUBSTITUTE(SUBSTITUTE(B265," ",""),"0",""),"-",""))+LEN(SUBSTITUTE(SUBSTITUTE(SUBSTITUTE(C265," ",""),"0",""),"-",""))+LEN(SUBSTITUTE(SUBSTITUTE(SUBSTITUTE(B266," ",""),"0",""),"-",""))+LEN(SUBSTITUTE(SUBSTITUTE(SUBSTITUTE(C266," ",""),"0",""),"-",""))+LEN(SUBSTITUTE(SUBSTITUTE(SUBSTITUTE(B267," ",""),"0",""),"-",""))+LEN(SUBSTITUTE(SUBSTITUTE(SUBSTITUTE(C267," ",""),"0",""),"-",""))</f>
      </c>
      <c r="D262" s="18"/>
      <c r="E262" s="14" t="str">
        <f>LEN(SUBSTITUTE(SUBSTITUTE(SUBSTITUTE(E263," ",""),"0",""),"-",""))+LEN(SUBSTITUTE(SUBSTITUTE(SUBSTITUTE(F263," ",""),"0",""),"-",""))+LEN(SUBSTITUTE(SUBSTITUTE(SUBSTITUTE(E264," ",""),"0",""),"-",""))+LEN(SUBSTITUTE(SUBSTITUTE(SUBSTITUTE(F264," ",""),"0",""),"-",""))+LEN(SUBSTITUTE(SUBSTITUTE(SUBSTITUTE(E265," ",""),"0",""),"-",""))+LEN(SUBSTITUTE(SUBSTITUTE(SUBSTITUTE(F265," ",""),"0",""),"-",""))+LEN(SUBSTITUTE(SUBSTITUTE(SUBSTITUTE(E266," ",""),"0",""),"-",""))+LEN(SUBSTITUTE(SUBSTITUTE(SUBSTITUTE(F266," ",""),"0",""),"-",""))+LEN(SUBSTITUTE(SUBSTITUTE(SUBSTITUTE(E267," ",""),"0",""),"-",""))+LEN(SUBSTITUTE(SUBSTITUTE(SUBSTITUTE(F267," ",""),"0",""),"-",""))</f>
      </c>
      <c r="F262" s="14" t="str">
        <f>IF(UPPER(D263)="X",0,IF((LEN(SUBSTITUTE(SUBSTITUTE(SUBSTITUTE(E263," ",""),"0",""),"-",""))+LEN(SUBSTITUTE(SUBSTITUTE(SUBSTITUTE(F263," ",""),"0",""),"-","")))&gt;(LEN(SUBSTITUTE(SUBSTITUTE(SUBSTITUTE(B263," ",""),"0",""),"-",""))+LEN(SUBSTITUTE(SUBSTITUTE(SUBSTITUTE(C263," ",""),"0",""),"-",""))),1,0))+IF(UPPER(D264)="X",0,IF((LEN(SUBSTITUTE(SUBSTITUTE(SUBSTITUTE(E264," ",""),"0",""),"-",""))+LEN(SUBSTITUTE(SUBSTITUTE(SUBSTITUTE(F264," ",""),"0",""),"-","")))&gt;(LEN(SUBSTITUTE(SUBSTITUTE(SUBSTITUTE(B264," ",""),"0",""),"-",""))+LEN(SUBSTITUTE(SUBSTITUTE(SUBSTITUTE(C264," ",""),"0",""),"-",""))),1,0))+IF(UPPER(D265)="X",0,IF((LEN(SUBSTITUTE(SUBSTITUTE(SUBSTITUTE(E265," ",""),"0",""),"-",""))+LEN(SUBSTITUTE(SUBSTITUTE(SUBSTITUTE(F265," ",""),"0",""),"-","")))&gt;(LEN(SUBSTITUTE(SUBSTITUTE(SUBSTITUTE(B265," ",""),"0",""),"-",""))+LEN(SUBSTITUTE(SUBSTITUTE(SUBSTITUTE(C265," ",""),"0",""),"-",""))),1,0))+IF(UPPER(D266)="X",0,IF((LEN(SUBSTITUTE(SUBSTITUTE(SUBSTITUTE(E266," ",""),"0",""),"-",""))+LEN(SUBSTITUTE(SUBSTITUTE(SUBSTITUTE(F266," ",""),"0",""),"-","")))&gt;(LEN(SUBSTITUTE(SUBSTITUTE(SUBSTITUTE(B266," ",""),"0",""),"-",""))+LEN(SUBSTITUTE(SUBSTITUTE(SUBSTITUTE(C266," ",""),"0",""),"-",""))),1,0))+IF(UPPER(D267)="X",0,IF((LEN(SUBSTITUTE(SUBSTITUTE(SUBSTITUTE(E267," ",""),"0",""),"-",""))+LEN(SUBSTITUTE(SUBSTITUTE(SUBSTITUTE(F267," ",""),"0",""),"-","")))&gt;(LEN(SUBSTITUTE(SUBSTITUTE(SUBSTITUTE(B267," ",""),"0",""),"-",""))+LEN(SUBSTITUTE(SUBSTITUTE(SUBSTITUTE(C267," ",""),"0",""),"-",""))),1,0))</f>
      </c>
      <c r="G262" s="14" t="str">
        <f>data!$E$21&amp;" "&amp;data!$B$21</f>
      </c>
      <c r="I262" s="14" t="str">
        <f>data!$E$69&amp;" "&amp;data!$B$69</f>
      </c>
      <c r="J262" s="14" t="str">
        <f>IF(UPPER(L263)="X",0,IF((LEN(SUBSTITUTE(SUBSTITUTE(SUBSTITUTE(J263," ",""),"0",""),"-",""))+LEN(SUBSTITUTE(SUBSTITUTE(SUBSTITUTE(K263," ",""),"0",""),"-","")))&gt;(LEN(SUBSTITUTE(SUBSTITUTE(SUBSTITUTE(M263," ",""),"0",""),"-",""))+LEN(SUBSTITUTE(SUBSTITUTE(SUBSTITUTE(N263," ",""),"0",""),"-",""))),1,0))+IF(UPPER(L264)="X",0,IF((LEN(SUBSTITUTE(SUBSTITUTE(SUBSTITUTE(J264," ",""),"0",""),"-",""))+LEN(SUBSTITUTE(SUBSTITUTE(SUBSTITUTE(K264," ",""),"0",""),"-","")))&gt;(LEN(SUBSTITUTE(SUBSTITUTE(SUBSTITUTE(M264," ",""),"0",""),"-",""))+LEN(SUBSTITUTE(SUBSTITUTE(SUBSTITUTE(N264," ",""),"0",""),"-",""))),1,0))+IF(UPPER(L265)="X",0,IF((LEN(SUBSTITUTE(SUBSTITUTE(SUBSTITUTE(J265," ",""),"0",""),"-",""))+LEN(SUBSTITUTE(SUBSTITUTE(SUBSTITUTE(K265," ",""),"0",""),"-","")))&gt;(LEN(SUBSTITUTE(SUBSTITUTE(SUBSTITUTE(M265," ",""),"0",""),"-",""))+LEN(SUBSTITUTE(SUBSTITUTE(SUBSTITUTE(N265," ",""),"0",""),"-",""))),1,0))+IF(UPPER(L266)="X",0,IF((LEN(SUBSTITUTE(SUBSTITUTE(SUBSTITUTE(J266," ",""),"0",""),"-",""))+LEN(SUBSTITUTE(SUBSTITUTE(SUBSTITUTE(K266," ",""),"0",""),"-","")))&gt;(LEN(SUBSTITUTE(SUBSTITUTE(SUBSTITUTE(M266," ",""),"0",""),"-",""))+LEN(SUBSTITUTE(SUBSTITUTE(SUBSTITUTE(N266," ",""),"0",""),"-",""))),1,0))+IF(UPPER(L267)="X",0,IF((LEN(SUBSTITUTE(SUBSTITUTE(SUBSTITUTE(J267," ",""),"0",""),"-",""))+LEN(SUBSTITUTE(SUBSTITUTE(SUBSTITUTE(K267," ",""),"0",""),"-","")))&gt;(LEN(SUBSTITUTE(SUBSTITUTE(SUBSTITUTE(M267," ",""),"0",""),"-",""))+LEN(SUBSTITUTE(SUBSTITUTE(SUBSTITUTE(N267," ",""),"0",""),"-",""))),1,0))</f>
      </c>
      <c r="K262" s="14" t="str">
        <f>LEN(SUBSTITUTE(SUBSTITUTE(SUBSTITUTE(J263," ",""),"0",""),"-",""))+LEN(SUBSTITUTE(SUBSTITUTE(SUBSTITUTE(K263," ",""),"0",""),"-",""))+LEN(SUBSTITUTE(SUBSTITUTE(SUBSTITUTE(J264," ",""),"0",""),"-",""))+LEN(SUBSTITUTE(SUBSTITUTE(SUBSTITUTE(K264," ",""),"0",""),"-",""))+LEN(SUBSTITUTE(SUBSTITUTE(SUBSTITUTE(J265," ",""),"0",""),"-",""))+LEN(SUBSTITUTE(SUBSTITUTE(SUBSTITUTE(K265," ",""),"0",""),"-",""))+LEN(SUBSTITUTE(SUBSTITUTE(SUBSTITUTE(J266," ",""),"0",""),"-",""))+LEN(SUBSTITUTE(SUBSTITUTE(SUBSTITUTE(K266," ",""),"0",""),"-",""))+LEN(SUBSTITUTE(SUBSTITUTE(SUBSTITUTE(J267," ",""),"0",""),"-",""))+LEN(SUBSTITUTE(SUBSTITUTE(SUBSTITUTE(K267," ",""),"0",""),"-",""))</f>
      </c>
      <c r="L262" s="18"/>
      <c r="M262" s="14" t="str">
        <f>LEN(SUBSTITUTE(SUBSTITUTE(SUBSTITUTE(M263," ",""),"0",""),"-",""))+LEN(SUBSTITUTE(SUBSTITUTE(SUBSTITUTE(N263," ",""),"0",""),"-",""))+LEN(SUBSTITUTE(SUBSTITUTE(SUBSTITUTE(M264," ",""),"0",""),"-",""))+LEN(SUBSTITUTE(SUBSTITUTE(SUBSTITUTE(N264," ",""),"0",""),"-",""))+LEN(SUBSTITUTE(SUBSTITUTE(SUBSTITUTE(M265," ",""),"0",""),"-",""))+LEN(SUBSTITUTE(SUBSTITUTE(SUBSTITUTE(N265," ",""),"0",""),"-",""))+LEN(SUBSTITUTE(SUBSTITUTE(SUBSTITUTE(M266," ",""),"0",""),"-",""))+LEN(SUBSTITUTE(SUBSTITUTE(SUBSTITUTE(N266," ",""),"0",""),"-",""))+LEN(SUBSTITUTE(SUBSTITUTE(SUBSTITUTE(M267," ",""),"0",""),"-",""))+LEN(SUBSTITUTE(SUBSTITUTE(SUBSTITUTE(N267," ",""),"0",""),"-",""))</f>
      </c>
      <c r="N262" s="14" t="str">
        <f>IF(UPPER(L263)="X",0,IF((LEN(SUBSTITUTE(SUBSTITUTE(SUBSTITUTE(M263," ",""),"0",""),"-",""))+LEN(SUBSTITUTE(SUBSTITUTE(SUBSTITUTE(N263," ",""),"0",""),"-","")))&gt;(LEN(SUBSTITUTE(SUBSTITUTE(SUBSTITUTE(J263," ",""),"0",""),"-",""))+LEN(SUBSTITUTE(SUBSTITUTE(SUBSTITUTE(K263," ",""),"0",""),"-",""))),1,0))+IF(UPPER(L264)="X",0,IF((LEN(SUBSTITUTE(SUBSTITUTE(SUBSTITUTE(M264," ",""),"0",""),"-",""))+LEN(SUBSTITUTE(SUBSTITUTE(SUBSTITUTE(N264," ",""),"0",""),"-","")))&gt;(LEN(SUBSTITUTE(SUBSTITUTE(SUBSTITUTE(J264," ",""),"0",""),"-",""))+LEN(SUBSTITUTE(SUBSTITUTE(SUBSTITUTE(K264," ",""),"0",""),"-",""))),1,0))+IF(UPPER(L265)="X",0,IF((LEN(SUBSTITUTE(SUBSTITUTE(SUBSTITUTE(M265," ",""),"0",""),"-",""))+LEN(SUBSTITUTE(SUBSTITUTE(SUBSTITUTE(N265," ",""),"0",""),"-","")))&gt;(LEN(SUBSTITUTE(SUBSTITUTE(SUBSTITUTE(J265," ",""),"0",""),"-",""))+LEN(SUBSTITUTE(SUBSTITUTE(SUBSTITUTE(K265," ",""),"0",""),"-",""))),1,0))+IF(UPPER(L266)="X",0,IF((LEN(SUBSTITUTE(SUBSTITUTE(SUBSTITUTE(M266," ",""),"0",""),"-",""))+LEN(SUBSTITUTE(SUBSTITUTE(SUBSTITUTE(N266," ",""),"0",""),"-","")))&gt;(LEN(SUBSTITUTE(SUBSTITUTE(SUBSTITUTE(J266," ",""),"0",""),"-",""))+LEN(SUBSTITUTE(SUBSTITUTE(SUBSTITUTE(K266," ",""),"0",""),"-",""))),1,0))+IF(UPPER(L267)="X",0,IF((LEN(SUBSTITUTE(SUBSTITUTE(SUBSTITUTE(M267," ",""),"0",""),"-",""))+LEN(SUBSTITUTE(SUBSTITUTE(SUBSTITUTE(N267," ",""),"0",""),"-","")))&gt;(LEN(SUBSTITUTE(SUBSTITUTE(SUBSTITUTE(J267," ",""),"0",""),"-",""))+LEN(SUBSTITUTE(SUBSTITUTE(SUBSTITUTE(K267," ",""),"0",""),"-",""))),1,0))</f>
      </c>
      <c r="O262" s="14" t="str">
        <f>data!$E$68&amp;" "&amp;data!$B$68</f>
      </c>
    </row>
    <row r="263">
      <c r="A263" s="14">
        <v>1</v>
      </c>
      <c r="B263" s="18"/>
      <c r="C263" s="18"/>
      <c r="D263" s="18"/>
      <c r="E263" s="18"/>
      <c r="F263" s="18"/>
      <c r="G263" s="14">
        <v>1</v>
      </c>
      <c r="I263" s="14">
        <v>1</v>
      </c>
      <c r="J263" s="18"/>
      <c r="K263" s="18"/>
      <c r="L263" s="18"/>
      <c r="M263" s="18"/>
      <c r="N263" s="18"/>
      <c r="O263" s="14">
        <v>1</v>
      </c>
    </row>
    <row r="264">
      <c r="A264" s="14">
        <v>2</v>
      </c>
      <c r="B264" s="18"/>
      <c r="C264" s="18"/>
      <c r="D264" s="18"/>
      <c r="E264" s="18"/>
      <c r="F264" s="18"/>
      <c r="G264" s="14">
        <v>2</v>
      </c>
      <c r="I264" s="14">
        <v>2</v>
      </c>
      <c r="J264" s="18"/>
      <c r="K264" s="18"/>
      <c r="L264" s="18"/>
      <c r="M264" s="18"/>
      <c r="N264" s="18"/>
      <c r="O264" s="14">
        <v>2</v>
      </c>
    </row>
    <row r="265">
      <c r="A265" s="14">
        <v>3</v>
      </c>
      <c r="B265" s="18"/>
      <c r="C265" s="18"/>
      <c r="D265" s="18"/>
      <c r="E265" s="18"/>
      <c r="F265" s="18"/>
      <c r="G265" s="14">
        <v>3</v>
      </c>
      <c r="I265" s="14">
        <v>3</v>
      </c>
      <c r="J265" s="18"/>
      <c r="K265" s="18"/>
      <c r="L265" s="18"/>
      <c r="M265" s="18"/>
      <c r="N265" s="18"/>
      <c r="O265" s="14">
        <v>3</v>
      </c>
    </row>
    <row r="266">
      <c r="A266" s="14">
        <v>4</v>
      </c>
      <c r="B266" s="18"/>
      <c r="C266" s="18"/>
      <c r="D266" s="18"/>
      <c r="E266" s="18"/>
      <c r="F266" s="18"/>
      <c r="G266" s="14">
        <v>4</v>
      </c>
      <c r="I266" s="14">
        <v>4</v>
      </c>
      <c r="J266" s="18"/>
      <c r="K266" s="18"/>
      <c r="L266" s="18"/>
      <c r="M266" s="18"/>
      <c r="N266" s="18"/>
      <c r="O266" s="14">
        <v>4</v>
      </c>
    </row>
    <row r="267">
      <c r="A267" s="14">
        <v>5</v>
      </c>
      <c r="B267" s="18"/>
      <c r="C267" s="18"/>
      <c r="D267" s="18"/>
      <c r="E267" s="18"/>
      <c r="F267" s="18"/>
      <c r="G267" s="14">
        <v>5</v>
      </c>
      <c r="I267" s="14">
        <v>5</v>
      </c>
      <c r="J267" s="18"/>
      <c r="K267" s="18"/>
      <c r="L267" s="18"/>
      <c r="M267" s="18"/>
      <c r="N267" s="18"/>
      <c r="O267" s="14">
        <v>5</v>
      </c>
    </row>
    <row r="269">
      <c r="A269" s="17" t="s">
        <v>331</v>
      </c>
      <c r="B269" s="14"/>
      <c r="C269" s="14"/>
      <c r="D269" s="14" t="s">
        <v>332</v>
      </c>
      <c r="E269" s="14"/>
      <c r="F269" s="14"/>
      <c r="G269" s="16" t="s">
        <v>333</v>
      </c>
      <c r="I269" s="17" t="s">
        <v>331</v>
      </c>
      <c r="J269" s="14"/>
      <c r="K269" s="14"/>
      <c r="L269" s="14" t="s">
        <v>332</v>
      </c>
      <c r="M269" s="14"/>
      <c r="N269" s="14"/>
      <c r="O269" s="16" t="s">
        <v>333</v>
      </c>
    </row>
    <row r="270">
      <c r="A270" s="14" t="str">
        <f>data!$E$23&amp;" "&amp;data!$B$23</f>
      </c>
      <c r="B270" s="14" t="str">
        <f>IF(UPPER(D271)="X",0,IF((LEN(SUBSTITUTE(SUBSTITUTE(SUBSTITUTE(B271," ",""),"0",""),"-",""))+LEN(SUBSTITUTE(SUBSTITUTE(SUBSTITUTE(C271," ",""),"0",""),"-","")))&gt;(LEN(SUBSTITUTE(SUBSTITUTE(SUBSTITUTE(E271," ",""),"0",""),"-",""))+LEN(SUBSTITUTE(SUBSTITUTE(SUBSTITUTE(F271," ",""),"0",""),"-",""))),1,0))+IF(UPPER(D272)="X",0,IF((LEN(SUBSTITUTE(SUBSTITUTE(SUBSTITUTE(B272," ",""),"0",""),"-",""))+LEN(SUBSTITUTE(SUBSTITUTE(SUBSTITUTE(C272," ",""),"0",""),"-","")))&gt;(LEN(SUBSTITUTE(SUBSTITUTE(SUBSTITUTE(E272," ",""),"0",""),"-",""))+LEN(SUBSTITUTE(SUBSTITUTE(SUBSTITUTE(F272," ",""),"0",""),"-",""))),1,0))+IF(UPPER(D273)="X",0,IF((LEN(SUBSTITUTE(SUBSTITUTE(SUBSTITUTE(B273," ",""),"0",""),"-",""))+LEN(SUBSTITUTE(SUBSTITUTE(SUBSTITUTE(C273," ",""),"0",""),"-","")))&gt;(LEN(SUBSTITUTE(SUBSTITUTE(SUBSTITUTE(E273," ",""),"0",""),"-",""))+LEN(SUBSTITUTE(SUBSTITUTE(SUBSTITUTE(F273," ",""),"0",""),"-",""))),1,0))+IF(UPPER(D274)="X",0,IF((LEN(SUBSTITUTE(SUBSTITUTE(SUBSTITUTE(B274," ",""),"0",""),"-",""))+LEN(SUBSTITUTE(SUBSTITUTE(SUBSTITUTE(C274," ",""),"0",""),"-","")))&gt;(LEN(SUBSTITUTE(SUBSTITUTE(SUBSTITUTE(E274," ",""),"0",""),"-",""))+LEN(SUBSTITUTE(SUBSTITUTE(SUBSTITUTE(F274," ",""),"0",""),"-",""))),1,0))+IF(UPPER(D275)="X",0,IF((LEN(SUBSTITUTE(SUBSTITUTE(SUBSTITUTE(B275," ",""),"0",""),"-",""))+LEN(SUBSTITUTE(SUBSTITUTE(SUBSTITUTE(C275," ",""),"0",""),"-","")))&gt;(LEN(SUBSTITUTE(SUBSTITUTE(SUBSTITUTE(E275," ",""),"0",""),"-",""))+LEN(SUBSTITUTE(SUBSTITUTE(SUBSTITUTE(F275," ",""),"0",""),"-",""))),1,0))</f>
      </c>
      <c r="C270" s="14" t="str">
        <f>LEN(SUBSTITUTE(SUBSTITUTE(SUBSTITUTE(B271," ",""),"0",""),"-",""))+LEN(SUBSTITUTE(SUBSTITUTE(SUBSTITUTE(C271," ",""),"0",""),"-",""))+LEN(SUBSTITUTE(SUBSTITUTE(SUBSTITUTE(B272," ",""),"0",""),"-",""))+LEN(SUBSTITUTE(SUBSTITUTE(SUBSTITUTE(C272," ",""),"0",""),"-",""))+LEN(SUBSTITUTE(SUBSTITUTE(SUBSTITUTE(B273," ",""),"0",""),"-",""))+LEN(SUBSTITUTE(SUBSTITUTE(SUBSTITUTE(C273," ",""),"0",""),"-",""))+LEN(SUBSTITUTE(SUBSTITUTE(SUBSTITUTE(B274," ",""),"0",""),"-",""))+LEN(SUBSTITUTE(SUBSTITUTE(SUBSTITUTE(C274," ",""),"0",""),"-",""))+LEN(SUBSTITUTE(SUBSTITUTE(SUBSTITUTE(B275," ",""),"0",""),"-",""))+LEN(SUBSTITUTE(SUBSTITUTE(SUBSTITUTE(C275," ",""),"0",""),"-",""))</f>
      </c>
      <c r="D270" s="18"/>
      <c r="E270" s="14" t="str">
        <f>LEN(SUBSTITUTE(SUBSTITUTE(SUBSTITUTE(E271," ",""),"0",""),"-",""))+LEN(SUBSTITUTE(SUBSTITUTE(SUBSTITUTE(F271," ",""),"0",""),"-",""))+LEN(SUBSTITUTE(SUBSTITUTE(SUBSTITUTE(E272," ",""),"0",""),"-",""))+LEN(SUBSTITUTE(SUBSTITUTE(SUBSTITUTE(F272," ",""),"0",""),"-",""))+LEN(SUBSTITUTE(SUBSTITUTE(SUBSTITUTE(E273," ",""),"0",""),"-",""))+LEN(SUBSTITUTE(SUBSTITUTE(SUBSTITUTE(F273," ",""),"0",""),"-",""))+LEN(SUBSTITUTE(SUBSTITUTE(SUBSTITUTE(E274," ",""),"0",""),"-",""))+LEN(SUBSTITUTE(SUBSTITUTE(SUBSTITUTE(F274," ",""),"0",""),"-",""))+LEN(SUBSTITUTE(SUBSTITUTE(SUBSTITUTE(E275," ",""),"0",""),"-",""))+LEN(SUBSTITUTE(SUBSTITUTE(SUBSTITUTE(F275," ",""),"0",""),"-",""))</f>
      </c>
      <c r="F270" s="14" t="str">
        <f>IF(UPPER(D271)="X",0,IF((LEN(SUBSTITUTE(SUBSTITUTE(SUBSTITUTE(E271," ",""),"0",""),"-",""))+LEN(SUBSTITUTE(SUBSTITUTE(SUBSTITUTE(F271," ",""),"0",""),"-","")))&gt;(LEN(SUBSTITUTE(SUBSTITUTE(SUBSTITUTE(B271," ",""),"0",""),"-",""))+LEN(SUBSTITUTE(SUBSTITUTE(SUBSTITUTE(C271," ",""),"0",""),"-",""))),1,0))+IF(UPPER(D272)="X",0,IF((LEN(SUBSTITUTE(SUBSTITUTE(SUBSTITUTE(E272," ",""),"0",""),"-",""))+LEN(SUBSTITUTE(SUBSTITUTE(SUBSTITUTE(F272," ",""),"0",""),"-","")))&gt;(LEN(SUBSTITUTE(SUBSTITUTE(SUBSTITUTE(B272," ",""),"0",""),"-",""))+LEN(SUBSTITUTE(SUBSTITUTE(SUBSTITUTE(C272," ",""),"0",""),"-",""))),1,0))+IF(UPPER(D273)="X",0,IF((LEN(SUBSTITUTE(SUBSTITUTE(SUBSTITUTE(E273," ",""),"0",""),"-",""))+LEN(SUBSTITUTE(SUBSTITUTE(SUBSTITUTE(F273," ",""),"0",""),"-","")))&gt;(LEN(SUBSTITUTE(SUBSTITUTE(SUBSTITUTE(B273," ",""),"0",""),"-",""))+LEN(SUBSTITUTE(SUBSTITUTE(SUBSTITUTE(C273," ",""),"0",""),"-",""))),1,0))+IF(UPPER(D274)="X",0,IF((LEN(SUBSTITUTE(SUBSTITUTE(SUBSTITUTE(E274," ",""),"0",""),"-",""))+LEN(SUBSTITUTE(SUBSTITUTE(SUBSTITUTE(F274," ",""),"0",""),"-","")))&gt;(LEN(SUBSTITUTE(SUBSTITUTE(SUBSTITUTE(B274," ",""),"0",""),"-",""))+LEN(SUBSTITUTE(SUBSTITUTE(SUBSTITUTE(C274," ",""),"0",""),"-",""))),1,0))+IF(UPPER(D275)="X",0,IF((LEN(SUBSTITUTE(SUBSTITUTE(SUBSTITUTE(E275," ",""),"0",""),"-",""))+LEN(SUBSTITUTE(SUBSTITUTE(SUBSTITUTE(F275," ",""),"0",""),"-","")))&gt;(LEN(SUBSTITUTE(SUBSTITUTE(SUBSTITUTE(B275," ",""),"0",""),"-",""))+LEN(SUBSTITUTE(SUBSTITUTE(SUBSTITUTE(C275," ",""),"0",""),"-",""))),1,0))</f>
      </c>
      <c r="G270" s="14" t="str">
        <f>data!$E$21&amp;" "&amp;data!$B$21</f>
      </c>
      <c r="I270" s="14" t="str">
        <f>data!$E$70&amp;" "&amp;data!$B$70</f>
      </c>
      <c r="J270" s="14" t="str">
        <f>IF(UPPER(L271)="X",0,IF((LEN(SUBSTITUTE(SUBSTITUTE(SUBSTITUTE(J271," ",""),"0",""),"-",""))+LEN(SUBSTITUTE(SUBSTITUTE(SUBSTITUTE(K271," ",""),"0",""),"-","")))&gt;(LEN(SUBSTITUTE(SUBSTITUTE(SUBSTITUTE(M271," ",""),"0",""),"-",""))+LEN(SUBSTITUTE(SUBSTITUTE(SUBSTITUTE(N271," ",""),"0",""),"-",""))),1,0))+IF(UPPER(L272)="X",0,IF((LEN(SUBSTITUTE(SUBSTITUTE(SUBSTITUTE(J272," ",""),"0",""),"-",""))+LEN(SUBSTITUTE(SUBSTITUTE(SUBSTITUTE(K272," ",""),"0",""),"-","")))&gt;(LEN(SUBSTITUTE(SUBSTITUTE(SUBSTITUTE(M272," ",""),"0",""),"-",""))+LEN(SUBSTITUTE(SUBSTITUTE(SUBSTITUTE(N272," ",""),"0",""),"-",""))),1,0))+IF(UPPER(L273)="X",0,IF((LEN(SUBSTITUTE(SUBSTITUTE(SUBSTITUTE(J273," ",""),"0",""),"-",""))+LEN(SUBSTITUTE(SUBSTITUTE(SUBSTITUTE(K273," ",""),"0",""),"-","")))&gt;(LEN(SUBSTITUTE(SUBSTITUTE(SUBSTITUTE(M273," ",""),"0",""),"-",""))+LEN(SUBSTITUTE(SUBSTITUTE(SUBSTITUTE(N273," ",""),"0",""),"-",""))),1,0))+IF(UPPER(L274)="X",0,IF((LEN(SUBSTITUTE(SUBSTITUTE(SUBSTITUTE(J274," ",""),"0",""),"-",""))+LEN(SUBSTITUTE(SUBSTITUTE(SUBSTITUTE(K274," ",""),"0",""),"-","")))&gt;(LEN(SUBSTITUTE(SUBSTITUTE(SUBSTITUTE(M274," ",""),"0",""),"-",""))+LEN(SUBSTITUTE(SUBSTITUTE(SUBSTITUTE(N274," ",""),"0",""),"-",""))),1,0))+IF(UPPER(L275)="X",0,IF((LEN(SUBSTITUTE(SUBSTITUTE(SUBSTITUTE(J275," ",""),"0",""),"-",""))+LEN(SUBSTITUTE(SUBSTITUTE(SUBSTITUTE(K275," ",""),"0",""),"-","")))&gt;(LEN(SUBSTITUTE(SUBSTITUTE(SUBSTITUTE(M275," ",""),"0",""),"-",""))+LEN(SUBSTITUTE(SUBSTITUTE(SUBSTITUTE(N275," ",""),"0",""),"-",""))),1,0))</f>
      </c>
      <c r="K270" s="14" t="str">
        <f>LEN(SUBSTITUTE(SUBSTITUTE(SUBSTITUTE(J271," ",""),"0",""),"-",""))+LEN(SUBSTITUTE(SUBSTITUTE(SUBSTITUTE(K271," ",""),"0",""),"-",""))+LEN(SUBSTITUTE(SUBSTITUTE(SUBSTITUTE(J272," ",""),"0",""),"-",""))+LEN(SUBSTITUTE(SUBSTITUTE(SUBSTITUTE(K272," ",""),"0",""),"-",""))+LEN(SUBSTITUTE(SUBSTITUTE(SUBSTITUTE(J273," ",""),"0",""),"-",""))+LEN(SUBSTITUTE(SUBSTITUTE(SUBSTITUTE(K273," ",""),"0",""),"-",""))+LEN(SUBSTITUTE(SUBSTITUTE(SUBSTITUTE(J274," ",""),"0",""),"-",""))+LEN(SUBSTITUTE(SUBSTITUTE(SUBSTITUTE(K274," ",""),"0",""),"-",""))+LEN(SUBSTITUTE(SUBSTITUTE(SUBSTITUTE(J275," ",""),"0",""),"-",""))+LEN(SUBSTITUTE(SUBSTITUTE(SUBSTITUTE(K275," ",""),"0",""),"-",""))</f>
      </c>
      <c r="L270" s="18"/>
      <c r="M270" s="14" t="str">
        <f>LEN(SUBSTITUTE(SUBSTITUTE(SUBSTITUTE(M271," ",""),"0",""),"-",""))+LEN(SUBSTITUTE(SUBSTITUTE(SUBSTITUTE(N271," ",""),"0",""),"-",""))+LEN(SUBSTITUTE(SUBSTITUTE(SUBSTITUTE(M272," ",""),"0",""),"-",""))+LEN(SUBSTITUTE(SUBSTITUTE(SUBSTITUTE(N272," ",""),"0",""),"-",""))+LEN(SUBSTITUTE(SUBSTITUTE(SUBSTITUTE(M273," ",""),"0",""),"-",""))+LEN(SUBSTITUTE(SUBSTITUTE(SUBSTITUTE(N273," ",""),"0",""),"-",""))+LEN(SUBSTITUTE(SUBSTITUTE(SUBSTITUTE(M274," ",""),"0",""),"-",""))+LEN(SUBSTITUTE(SUBSTITUTE(SUBSTITUTE(N274," ",""),"0",""),"-",""))+LEN(SUBSTITUTE(SUBSTITUTE(SUBSTITUTE(M275," ",""),"0",""),"-",""))+LEN(SUBSTITUTE(SUBSTITUTE(SUBSTITUTE(N275," ",""),"0",""),"-",""))</f>
      </c>
      <c r="N270" s="14" t="str">
        <f>IF(UPPER(L271)="X",0,IF((LEN(SUBSTITUTE(SUBSTITUTE(SUBSTITUTE(M271," ",""),"0",""),"-",""))+LEN(SUBSTITUTE(SUBSTITUTE(SUBSTITUTE(N271," ",""),"0",""),"-","")))&gt;(LEN(SUBSTITUTE(SUBSTITUTE(SUBSTITUTE(J271," ",""),"0",""),"-",""))+LEN(SUBSTITUTE(SUBSTITUTE(SUBSTITUTE(K271," ",""),"0",""),"-",""))),1,0))+IF(UPPER(L272)="X",0,IF((LEN(SUBSTITUTE(SUBSTITUTE(SUBSTITUTE(M272," ",""),"0",""),"-",""))+LEN(SUBSTITUTE(SUBSTITUTE(SUBSTITUTE(N272," ",""),"0",""),"-","")))&gt;(LEN(SUBSTITUTE(SUBSTITUTE(SUBSTITUTE(J272," ",""),"0",""),"-",""))+LEN(SUBSTITUTE(SUBSTITUTE(SUBSTITUTE(K272," ",""),"0",""),"-",""))),1,0))+IF(UPPER(L273)="X",0,IF((LEN(SUBSTITUTE(SUBSTITUTE(SUBSTITUTE(M273," ",""),"0",""),"-",""))+LEN(SUBSTITUTE(SUBSTITUTE(SUBSTITUTE(N273," ",""),"0",""),"-","")))&gt;(LEN(SUBSTITUTE(SUBSTITUTE(SUBSTITUTE(J273," ",""),"0",""),"-",""))+LEN(SUBSTITUTE(SUBSTITUTE(SUBSTITUTE(K273," ",""),"0",""),"-",""))),1,0))+IF(UPPER(L274)="X",0,IF((LEN(SUBSTITUTE(SUBSTITUTE(SUBSTITUTE(M274," ",""),"0",""),"-",""))+LEN(SUBSTITUTE(SUBSTITUTE(SUBSTITUTE(N274," ",""),"0",""),"-","")))&gt;(LEN(SUBSTITUTE(SUBSTITUTE(SUBSTITUTE(J274," ",""),"0",""),"-",""))+LEN(SUBSTITUTE(SUBSTITUTE(SUBSTITUTE(K274," ",""),"0",""),"-",""))),1,0))+IF(UPPER(L275)="X",0,IF((LEN(SUBSTITUTE(SUBSTITUTE(SUBSTITUTE(M275," ",""),"0",""),"-",""))+LEN(SUBSTITUTE(SUBSTITUTE(SUBSTITUTE(N275," ",""),"0",""),"-","")))&gt;(LEN(SUBSTITUTE(SUBSTITUTE(SUBSTITUTE(J275," ",""),"0",""),"-",""))+LEN(SUBSTITUTE(SUBSTITUTE(SUBSTITUTE(K275," ",""),"0",""),"-",""))),1,0))</f>
      </c>
      <c r="O270" s="14" t="str">
        <f>data!$E$68&amp;" "&amp;data!$B$68</f>
      </c>
    </row>
    <row r="271">
      <c r="A271" s="14">
        <v>1</v>
      </c>
      <c r="B271" s="18"/>
      <c r="C271" s="18"/>
      <c r="D271" s="18"/>
      <c r="E271" s="18"/>
      <c r="F271" s="18"/>
      <c r="G271" s="14">
        <v>1</v>
      </c>
      <c r="I271" s="14">
        <v>1</v>
      </c>
      <c r="J271" s="18"/>
      <c r="K271" s="18"/>
      <c r="L271" s="18"/>
      <c r="M271" s="18"/>
      <c r="N271" s="18"/>
      <c r="O271" s="14">
        <v>1</v>
      </c>
    </row>
    <row r="272">
      <c r="A272" s="14">
        <v>2</v>
      </c>
      <c r="B272" s="18"/>
      <c r="C272" s="18"/>
      <c r="D272" s="18"/>
      <c r="E272" s="18"/>
      <c r="F272" s="18"/>
      <c r="G272" s="14">
        <v>2</v>
      </c>
      <c r="I272" s="14">
        <v>2</v>
      </c>
      <c r="J272" s="18"/>
      <c r="K272" s="18"/>
      <c r="L272" s="18"/>
      <c r="M272" s="18"/>
      <c r="N272" s="18"/>
      <c r="O272" s="14">
        <v>2</v>
      </c>
    </row>
    <row r="273">
      <c r="A273" s="14">
        <v>3</v>
      </c>
      <c r="B273" s="18"/>
      <c r="C273" s="18"/>
      <c r="D273" s="18"/>
      <c r="E273" s="18"/>
      <c r="F273" s="18"/>
      <c r="G273" s="14">
        <v>3</v>
      </c>
      <c r="I273" s="14">
        <v>3</v>
      </c>
      <c r="J273" s="18"/>
      <c r="K273" s="18"/>
      <c r="L273" s="18"/>
      <c r="M273" s="18"/>
      <c r="N273" s="18"/>
      <c r="O273" s="14">
        <v>3</v>
      </c>
    </row>
    <row r="274">
      <c r="A274" s="14">
        <v>4</v>
      </c>
      <c r="B274" s="18"/>
      <c r="C274" s="18"/>
      <c r="D274" s="18"/>
      <c r="E274" s="18"/>
      <c r="F274" s="18"/>
      <c r="G274" s="14">
        <v>4</v>
      </c>
      <c r="I274" s="14">
        <v>4</v>
      </c>
      <c r="J274" s="18"/>
      <c r="K274" s="18"/>
      <c r="L274" s="18"/>
      <c r="M274" s="18"/>
      <c r="N274" s="18"/>
      <c r="O274" s="14">
        <v>4</v>
      </c>
    </row>
    <row r="275">
      <c r="A275" s="14">
        <v>5</v>
      </c>
      <c r="B275" s="18"/>
      <c r="C275" s="18"/>
      <c r="D275" s="18"/>
      <c r="E275" s="18"/>
      <c r="F275" s="18"/>
      <c r="G275" s="14">
        <v>5</v>
      </c>
      <c r="I275" s="14">
        <v>5</v>
      </c>
      <c r="J275" s="18"/>
      <c r="K275" s="18"/>
      <c r="L275" s="18"/>
      <c r="M275" s="18"/>
      <c r="N275" s="18"/>
      <c r="O275" s="14">
        <v>5</v>
      </c>
    </row>
    <row r="277">
      <c r="A277" s="17" t="s">
        <v>331</v>
      </c>
      <c r="B277" s="14"/>
      <c r="C277" s="14"/>
      <c r="D277" s="14" t="s">
        <v>332</v>
      </c>
      <c r="E277" s="14"/>
      <c r="F277" s="14"/>
      <c r="G277" s="16" t="s">
        <v>333</v>
      </c>
      <c r="I277" s="17" t="s">
        <v>331</v>
      </c>
      <c r="J277" s="14"/>
      <c r="K277" s="14"/>
      <c r="L277" s="14" t="s">
        <v>332</v>
      </c>
      <c r="M277" s="14"/>
      <c r="N277" s="14"/>
      <c r="O277" s="16" t="s">
        <v>333</v>
      </c>
    </row>
    <row r="278">
      <c r="A278" s="14" t="str">
        <f>data!$E$23&amp;" "&amp;data!$B$23</f>
      </c>
      <c r="B278" s="14" t="str">
        <f>IF(UPPER(D279)="X",0,IF((LEN(SUBSTITUTE(SUBSTITUTE(SUBSTITUTE(B279," ",""),"0",""),"-",""))+LEN(SUBSTITUTE(SUBSTITUTE(SUBSTITUTE(C279," ",""),"0",""),"-","")))&gt;(LEN(SUBSTITUTE(SUBSTITUTE(SUBSTITUTE(E279," ",""),"0",""),"-",""))+LEN(SUBSTITUTE(SUBSTITUTE(SUBSTITUTE(F279," ",""),"0",""),"-",""))),1,0))+IF(UPPER(D280)="X",0,IF((LEN(SUBSTITUTE(SUBSTITUTE(SUBSTITUTE(B280," ",""),"0",""),"-",""))+LEN(SUBSTITUTE(SUBSTITUTE(SUBSTITUTE(C280," ",""),"0",""),"-","")))&gt;(LEN(SUBSTITUTE(SUBSTITUTE(SUBSTITUTE(E280," ",""),"0",""),"-",""))+LEN(SUBSTITUTE(SUBSTITUTE(SUBSTITUTE(F280," ",""),"0",""),"-",""))),1,0))+IF(UPPER(D281)="X",0,IF((LEN(SUBSTITUTE(SUBSTITUTE(SUBSTITUTE(B281," ",""),"0",""),"-",""))+LEN(SUBSTITUTE(SUBSTITUTE(SUBSTITUTE(C281," ",""),"0",""),"-","")))&gt;(LEN(SUBSTITUTE(SUBSTITUTE(SUBSTITUTE(E281," ",""),"0",""),"-",""))+LEN(SUBSTITUTE(SUBSTITUTE(SUBSTITUTE(F281," ",""),"0",""),"-",""))),1,0))+IF(UPPER(D282)="X",0,IF((LEN(SUBSTITUTE(SUBSTITUTE(SUBSTITUTE(B282," ",""),"0",""),"-",""))+LEN(SUBSTITUTE(SUBSTITUTE(SUBSTITUTE(C282," ",""),"0",""),"-","")))&gt;(LEN(SUBSTITUTE(SUBSTITUTE(SUBSTITUTE(E282," ",""),"0",""),"-",""))+LEN(SUBSTITUTE(SUBSTITUTE(SUBSTITUTE(F282," ",""),"0",""),"-",""))),1,0))+IF(UPPER(D283)="X",0,IF((LEN(SUBSTITUTE(SUBSTITUTE(SUBSTITUTE(B283," ",""),"0",""),"-",""))+LEN(SUBSTITUTE(SUBSTITUTE(SUBSTITUTE(C283," ",""),"0",""),"-","")))&gt;(LEN(SUBSTITUTE(SUBSTITUTE(SUBSTITUTE(E283," ",""),"0",""),"-",""))+LEN(SUBSTITUTE(SUBSTITUTE(SUBSTITUTE(F283," ",""),"0",""),"-",""))),1,0))</f>
      </c>
      <c r="C278" s="14" t="str">
        <f>LEN(SUBSTITUTE(SUBSTITUTE(SUBSTITUTE(B279," ",""),"0",""),"-",""))+LEN(SUBSTITUTE(SUBSTITUTE(SUBSTITUTE(C279," ",""),"0",""),"-",""))+LEN(SUBSTITUTE(SUBSTITUTE(SUBSTITUTE(B280," ",""),"0",""),"-",""))+LEN(SUBSTITUTE(SUBSTITUTE(SUBSTITUTE(C280," ",""),"0",""),"-",""))+LEN(SUBSTITUTE(SUBSTITUTE(SUBSTITUTE(B281," ",""),"0",""),"-",""))+LEN(SUBSTITUTE(SUBSTITUTE(SUBSTITUTE(C281," ",""),"0",""),"-",""))+LEN(SUBSTITUTE(SUBSTITUTE(SUBSTITUTE(B282," ",""),"0",""),"-",""))+LEN(SUBSTITUTE(SUBSTITUTE(SUBSTITUTE(C282," ",""),"0",""),"-",""))+LEN(SUBSTITUTE(SUBSTITUTE(SUBSTITUTE(B283," ",""),"0",""),"-",""))+LEN(SUBSTITUTE(SUBSTITUTE(SUBSTITUTE(C283," ",""),"0",""),"-",""))</f>
      </c>
      <c r="D278" s="18"/>
      <c r="E278" s="14" t="str">
        <f>LEN(SUBSTITUTE(SUBSTITUTE(SUBSTITUTE(E279," ",""),"0",""),"-",""))+LEN(SUBSTITUTE(SUBSTITUTE(SUBSTITUTE(F279," ",""),"0",""),"-",""))+LEN(SUBSTITUTE(SUBSTITUTE(SUBSTITUTE(E280," ",""),"0",""),"-",""))+LEN(SUBSTITUTE(SUBSTITUTE(SUBSTITUTE(F280," ",""),"0",""),"-",""))+LEN(SUBSTITUTE(SUBSTITUTE(SUBSTITUTE(E281," ",""),"0",""),"-",""))+LEN(SUBSTITUTE(SUBSTITUTE(SUBSTITUTE(F281," ",""),"0",""),"-",""))+LEN(SUBSTITUTE(SUBSTITUTE(SUBSTITUTE(E282," ",""),"0",""),"-",""))+LEN(SUBSTITUTE(SUBSTITUTE(SUBSTITUTE(F282," ",""),"0",""),"-",""))+LEN(SUBSTITUTE(SUBSTITUTE(SUBSTITUTE(E283," ",""),"0",""),"-",""))+LEN(SUBSTITUTE(SUBSTITUTE(SUBSTITUTE(F283," ",""),"0",""),"-",""))</f>
      </c>
      <c r="F278" s="14" t="str">
        <f>IF(UPPER(D279)="X",0,IF((LEN(SUBSTITUTE(SUBSTITUTE(SUBSTITUTE(E279," ",""),"0",""),"-",""))+LEN(SUBSTITUTE(SUBSTITUTE(SUBSTITUTE(F279," ",""),"0",""),"-","")))&gt;(LEN(SUBSTITUTE(SUBSTITUTE(SUBSTITUTE(B279," ",""),"0",""),"-",""))+LEN(SUBSTITUTE(SUBSTITUTE(SUBSTITUTE(C279," ",""),"0",""),"-",""))),1,0))+IF(UPPER(D280)="X",0,IF((LEN(SUBSTITUTE(SUBSTITUTE(SUBSTITUTE(E280," ",""),"0",""),"-",""))+LEN(SUBSTITUTE(SUBSTITUTE(SUBSTITUTE(F280," ",""),"0",""),"-","")))&gt;(LEN(SUBSTITUTE(SUBSTITUTE(SUBSTITUTE(B280," ",""),"0",""),"-",""))+LEN(SUBSTITUTE(SUBSTITUTE(SUBSTITUTE(C280," ",""),"0",""),"-",""))),1,0))+IF(UPPER(D281)="X",0,IF((LEN(SUBSTITUTE(SUBSTITUTE(SUBSTITUTE(E281," ",""),"0",""),"-",""))+LEN(SUBSTITUTE(SUBSTITUTE(SUBSTITUTE(F281," ",""),"0",""),"-","")))&gt;(LEN(SUBSTITUTE(SUBSTITUTE(SUBSTITUTE(B281," ",""),"0",""),"-",""))+LEN(SUBSTITUTE(SUBSTITUTE(SUBSTITUTE(C281," ",""),"0",""),"-",""))),1,0))+IF(UPPER(D282)="X",0,IF((LEN(SUBSTITUTE(SUBSTITUTE(SUBSTITUTE(E282," ",""),"0",""),"-",""))+LEN(SUBSTITUTE(SUBSTITUTE(SUBSTITUTE(F282," ",""),"0",""),"-","")))&gt;(LEN(SUBSTITUTE(SUBSTITUTE(SUBSTITUTE(B282," ",""),"0",""),"-",""))+LEN(SUBSTITUTE(SUBSTITUTE(SUBSTITUTE(C282," ",""),"0",""),"-",""))),1,0))+IF(UPPER(D283)="X",0,IF((LEN(SUBSTITUTE(SUBSTITUTE(SUBSTITUTE(E283," ",""),"0",""),"-",""))+LEN(SUBSTITUTE(SUBSTITUTE(SUBSTITUTE(F283," ",""),"0",""),"-","")))&gt;(LEN(SUBSTITUTE(SUBSTITUTE(SUBSTITUTE(B283," ",""),"0",""),"-",""))+LEN(SUBSTITUTE(SUBSTITUTE(SUBSTITUTE(C283," ",""),"0",""),"-",""))),1,0))</f>
      </c>
      <c r="G278" s="14" t="str">
        <f>data!$E$22&amp;" "&amp;data!$B$22</f>
      </c>
      <c r="I278" s="14" t="str">
        <f>data!$E$70&amp;" "&amp;data!$B$70</f>
      </c>
      <c r="J278" s="14" t="str">
        <f>IF(UPPER(L279)="X",0,IF((LEN(SUBSTITUTE(SUBSTITUTE(SUBSTITUTE(J279," ",""),"0",""),"-",""))+LEN(SUBSTITUTE(SUBSTITUTE(SUBSTITUTE(K279," ",""),"0",""),"-","")))&gt;(LEN(SUBSTITUTE(SUBSTITUTE(SUBSTITUTE(M279," ",""),"0",""),"-",""))+LEN(SUBSTITUTE(SUBSTITUTE(SUBSTITUTE(N279," ",""),"0",""),"-",""))),1,0))+IF(UPPER(L280)="X",0,IF((LEN(SUBSTITUTE(SUBSTITUTE(SUBSTITUTE(J280," ",""),"0",""),"-",""))+LEN(SUBSTITUTE(SUBSTITUTE(SUBSTITUTE(K280," ",""),"0",""),"-","")))&gt;(LEN(SUBSTITUTE(SUBSTITUTE(SUBSTITUTE(M280," ",""),"0",""),"-",""))+LEN(SUBSTITUTE(SUBSTITUTE(SUBSTITUTE(N280," ",""),"0",""),"-",""))),1,0))+IF(UPPER(L281)="X",0,IF((LEN(SUBSTITUTE(SUBSTITUTE(SUBSTITUTE(J281," ",""),"0",""),"-",""))+LEN(SUBSTITUTE(SUBSTITUTE(SUBSTITUTE(K281," ",""),"0",""),"-","")))&gt;(LEN(SUBSTITUTE(SUBSTITUTE(SUBSTITUTE(M281," ",""),"0",""),"-",""))+LEN(SUBSTITUTE(SUBSTITUTE(SUBSTITUTE(N281," ",""),"0",""),"-",""))),1,0))+IF(UPPER(L282)="X",0,IF((LEN(SUBSTITUTE(SUBSTITUTE(SUBSTITUTE(J282," ",""),"0",""),"-",""))+LEN(SUBSTITUTE(SUBSTITUTE(SUBSTITUTE(K282," ",""),"0",""),"-","")))&gt;(LEN(SUBSTITUTE(SUBSTITUTE(SUBSTITUTE(M282," ",""),"0",""),"-",""))+LEN(SUBSTITUTE(SUBSTITUTE(SUBSTITUTE(N282," ",""),"0",""),"-",""))),1,0))+IF(UPPER(L283)="X",0,IF((LEN(SUBSTITUTE(SUBSTITUTE(SUBSTITUTE(J283," ",""),"0",""),"-",""))+LEN(SUBSTITUTE(SUBSTITUTE(SUBSTITUTE(K283," ",""),"0",""),"-","")))&gt;(LEN(SUBSTITUTE(SUBSTITUTE(SUBSTITUTE(M283," ",""),"0",""),"-",""))+LEN(SUBSTITUTE(SUBSTITUTE(SUBSTITUTE(N283," ",""),"0",""),"-",""))),1,0))</f>
      </c>
      <c r="K278" s="14" t="str">
        <f>LEN(SUBSTITUTE(SUBSTITUTE(SUBSTITUTE(J279," ",""),"0",""),"-",""))+LEN(SUBSTITUTE(SUBSTITUTE(SUBSTITUTE(K279," ",""),"0",""),"-",""))+LEN(SUBSTITUTE(SUBSTITUTE(SUBSTITUTE(J280," ",""),"0",""),"-",""))+LEN(SUBSTITUTE(SUBSTITUTE(SUBSTITUTE(K280," ",""),"0",""),"-",""))+LEN(SUBSTITUTE(SUBSTITUTE(SUBSTITUTE(J281," ",""),"0",""),"-",""))+LEN(SUBSTITUTE(SUBSTITUTE(SUBSTITUTE(K281," ",""),"0",""),"-",""))+LEN(SUBSTITUTE(SUBSTITUTE(SUBSTITUTE(J282," ",""),"0",""),"-",""))+LEN(SUBSTITUTE(SUBSTITUTE(SUBSTITUTE(K282," ",""),"0",""),"-",""))+LEN(SUBSTITUTE(SUBSTITUTE(SUBSTITUTE(J283," ",""),"0",""),"-",""))+LEN(SUBSTITUTE(SUBSTITUTE(SUBSTITUTE(K283," ",""),"0",""),"-",""))</f>
      </c>
      <c r="L278" s="18"/>
      <c r="M278" s="14" t="str">
        <f>LEN(SUBSTITUTE(SUBSTITUTE(SUBSTITUTE(M279," ",""),"0",""),"-",""))+LEN(SUBSTITUTE(SUBSTITUTE(SUBSTITUTE(N279," ",""),"0",""),"-",""))+LEN(SUBSTITUTE(SUBSTITUTE(SUBSTITUTE(M280," ",""),"0",""),"-",""))+LEN(SUBSTITUTE(SUBSTITUTE(SUBSTITUTE(N280," ",""),"0",""),"-",""))+LEN(SUBSTITUTE(SUBSTITUTE(SUBSTITUTE(M281," ",""),"0",""),"-",""))+LEN(SUBSTITUTE(SUBSTITUTE(SUBSTITUTE(N281," ",""),"0",""),"-",""))+LEN(SUBSTITUTE(SUBSTITUTE(SUBSTITUTE(M282," ",""),"0",""),"-",""))+LEN(SUBSTITUTE(SUBSTITUTE(SUBSTITUTE(N282," ",""),"0",""),"-",""))+LEN(SUBSTITUTE(SUBSTITUTE(SUBSTITUTE(M283," ",""),"0",""),"-",""))+LEN(SUBSTITUTE(SUBSTITUTE(SUBSTITUTE(N283," ",""),"0",""),"-",""))</f>
      </c>
      <c r="N278" s="14" t="str">
        <f>IF(UPPER(L279)="X",0,IF((LEN(SUBSTITUTE(SUBSTITUTE(SUBSTITUTE(M279," ",""),"0",""),"-",""))+LEN(SUBSTITUTE(SUBSTITUTE(SUBSTITUTE(N279," ",""),"0",""),"-","")))&gt;(LEN(SUBSTITUTE(SUBSTITUTE(SUBSTITUTE(J279," ",""),"0",""),"-",""))+LEN(SUBSTITUTE(SUBSTITUTE(SUBSTITUTE(K279," ",""),"0",""),"-",""))),1,0))+IF(UPPER(L280)="X",0,IF((LEN(SUBSTITUTE(SUBSTITUTE(SUBSTITUTE(M280," ",""),"0",""),"-",""))+LEN(SUBSTITUTE(SUBSTITUTE(SUBSTITUTE(N280," ",""),"0",""),"-","")))&gt;(LEN(SUBSTITUTE(SUBSTITUTE(SUBSTITUTE(J280," ",""),"0",""),"-",""))+LEN(SUBSTITUTE(SUBSTITUTE(SUBSTITUTE(K280," ",""),"0",""),"-",""))),1,0))+IF(UPPER(L281)="X",0,IF((LEN(SUBSTITUTE(SUBSTITUTE(SUBSTITUTE(M281," ",""),"0",""),"-",""))+LEN(SUBSTITUTE(SUBSTITUTE(SUBSTITUTE(N281," ",""),"0",""),"-","")))&gt;(LEN(SUBSTITUTE(SUBSTITUTE(SUBSTITUTE(J281," ",""),"0",""),"-",""))+LEN(SUBSTITUTE(SUBSTITUTE(SUBSTITUTE(K281," ",""),"0",""),"-",""))),1,0))+IF(UPPER(L282)="X",0,IF((LEN(SUBSTITUTE(SUBSTITUTE(SUBSTITUTE(M282," ",""),"0",""),"-",""))+LEN(SUBSTITUTE(SUBSTITUTE(SUBSTITUTE(N282," ",""),"0",""),"-","")))&gt;(LEN(SUBSTITUTE(SUBSTITUTE(SUBSTITUTE(J282," ",""),"0",""),"-",""))+LEN(SUBSTITUTE(SUBSTITUTE(SUBSTITUTE(K282," ",""),"0",""),"-",""))),1,0))+IF(UPPER(L283)="X",0,IF((LEN(SUBSTITUTE(SUBSTITUTE(SUBSTITUTE(M283," ",""),"0",""),"-",""))+LEN(SUBSTITUTE(SUBSTITUTE(SUBSTITUTE(N283," ",""),"0",""),"-","")))&gt;(LEN(SUBSTITUTE(SUBSTITUTE(SUBSTITUTE(J283," ",""),"0",""),"-",""))+LEN(SUBSTITUTE(SUBSTITUTE(SUBSTITUTE(K283," ",""),"0",""),"-",""))),1,0))</f>
      </c>
      <c r="O278" s="14" t="str">
        <f>data!$E$69&amp;" "&amp;data!$B$69</f>
      </c>
    </row>
    <row r="279">
      <c r="A279" s="14">
        <v>1</v>
      </c>
      <c r="B279" s="18"/>
      <c r="C279" s="18"/>
      <c r="D279" s="18"/>
      <c r="E279" s="18"/>
      <c r="F279" s="18"/>
      <c r="G279" s="14">
        <v>1</v>
      </c>
      <c r="I279" s="14">
        <v>1</v>
      </c>
      <c r="J279" s="18"/>
      <c r="K279" s="18"/>
      <c r="L279" s="18"/>
      <c r="M279" s="18"/>
      <c r="N279" s="18"/>
      <c r="O279" s="14">
        <v>1</v>
      </c>
    </row>
    <row r="280">
      <c r="A280" s="14">
        <v>2</v>
      </c>
      <c r="B280" s="18"/>
      <c r="C280" s="18"/>
      <c r="D280" s="18"/>
      <c r="E280" s="18"/>
      <c r="F280" s="18"/>
      <c r="G280" s="14">
        <v>2</v>
      </c>
      <c r="I280" s="14">
        <v>2</v>
      </c>
      <c r="J280" s="18"/>
      <c r="K280" s="18"/>
      <c r="L280" s="18"/>
      <c r="M280" s="18"/>
      <c r="N280" s="18"/>
      <c r="O280" s="14">
        <v>2</v>
      </c>
    </row>
    <row r="281">
      <c r="A281" s="14">
        <v>3</v>
      </c>
      <c r="B281" s="18"/>
      <c r="C281" s="18"/>
      <c r="D281" s="18"/>
      <c r="E281" s="18"/>
      <c r="F281" s="18"/>
      <c r="G281" s="14">
        <v>3</v>
      </c>
      <c r="I281" s="14">
        <v>3</v>
      </c>
      <c r="J281" s="18"/>
      <c r="K281" s="18"/>
      <c r="L281" s="18"/>
      <c r="M281" s="18"/>
      <c r="N281" s="18"/>
      <c r="O281" s="14">
        <v>3</v>
      </c>
    </row>
    <row r="282">
      <c r="A282" s="14">
        <v>4</v>
      </c>
      <c r="B282" s="18"/>
      <c r="C282" s="18"/>
      <c r="D282" s="18"/>
      <c r="E282" s="18"/>
      <c r="F282" s="18"/>
      <c r="G282" s="14">
        <v>4</v>
      </c>
      <c r="I282" s="14">
        <v>4</v>
      </c>
      <c r="J282" s="18"/>
      <c r="K282" s="18"/>
      <c r="L282" s="18"/>
      <c r="M282" s="18"/>
      <c r="N282" s="18"/>
      <c r="O282" s="14">
        <v>4</v>
      </c>
    </row>
    <row r="283">
      <c r="A283" s="14">
        <v>5</v>
      </c>
      <c r="B283" s="18"/>
      <c r="C283" s="18"/>
      <c r="D283" s="18"/>
      <c r="E283" s="18"/>
      <c r="F283" s="18"/>
      <c r="G283" s="14">
        <v>5</v>
      </c>
      <c r="I283" s="14">
        <v>5</v>
      </c>
      <c r="J283" s="18"/>
      <c r="K283" s="18"/>
      <c r="L283" s="18"/>
      <c r="M283" s="18"/>
      <c r="N283" s="18"/>
      <c r="O283" s="14">
        <v>5</v>
      </c>
    </row>
    <row r="286">
      <c r="A286" s="13" t="s">
        <v>334</v>
      </c>
      <c r="B286" s="13" t="s">
        <v>335</v>
      </c>
      <c r="C286" s="13" t="s">
        <v>336</v>
      </c>
      <c r="D286" s="13" t="s">
        <v>337</v>
      </c>
      <c r="E286" s="13"/>
      <c r="F286" s="13"/>
      <c r="G286" s="13" t="s">
        <v>338</v>
      </c>
      <c r="I286" s="13" t="s">
        <v>334</v>
      </c>
      <c r="J286" s="13" t="s">
        <v>335</v>
      </c>
      <c r="K286" s="13" t="s">
        <v>336</v>
      </c>
      <c r="L286" s="13" t="s">
        <v>337</v>
      </c>
      <c r="M286" s="13"/>
      <c r="N286" s="13"/>
      <c r="O286" s="13" t="s">
        <v>338</v>
      </c>
    </row>
    <row r="287">
      <c r="A287" s="14" t="str">
        <f>data!$E$21&amp;" "&amp;data!$B$21</f>
      </c>
      <c r="B287" s="14" t="str">
        <f>IF(OR(COUNTA(B263:C267,E263:F267)&gt;0,D263="X",D263="x",D264="X",D264="x",D265="X",D265="x",D266="X",D266="x",D267="X",D267="x",OR(D262="X",D262="x")),IF(OR(OR(D262="X",D262="x"),AND(B262=F262,C262=E262)),0,IF(OR(F262&gt;B262,AND(F262=B262,E262&gt;C262)),1,0)),0)+IF(OR(COUNTA(B271:C275,E271:F275)&gt;0,D271="X",D271="x",D272="X",D272="x",D273="X",D273="x",D274="X",D274="x",D275="X",D275="x",OR(D270="X",D270="x")),IF(OR(OR(D270="X",D270="x"),AND(B270=F270,C270=E270)),0,IF(OR(F270&gt;B270,AND(F270=B270,E270&gt;C270)),1,0)),0)</f>
      </c>
      <c r="C287" s="14" t="str">
        <f>IF(OR(COUNTA(B263:C267,E263:F267)&gt;0,D263="X",D263="x",D264="X",D264="x",D265="X",D265="x",D266="X",D266="x",D267="X",D267="x",OR(D262="X",D262="x")),IF(OR(OR(D262="X",D262="x"),AND(B262=F262,C262=E262)),0,IF(OR(F262&lt;B262,AND(F262=B262,E262&lt;C262)),1,0)),0)+IF(OR(COUNTA(B271:C275,E271:F275)&gt;0,D271="X",D271="x",D272="X",D272="x",D273="X",D273="x",D274="X",D274="x",D275="X",D275="x",OR(D270="X",D270="x")),IF(OR(OR(D270="X",D270="x"),AND(B270=F270,C270=E270)),0,IF(OR(F270&lt;B270,AND(F270=B270,E270&lt;C270)),1,0)),0)</f>
      </c>
      <c r="D287" s="14" t="str">
        <f>IF(OR(COUNTA(B263:C267,E263:F267)&gt;0,D263="X",D263="x",D264="X",D264="x",D265="X",D265="x",D266="X",D266="x",D267="X",D267="x",OR(D262="X",D262="x")),IF(OR(OR(D262="X",D262="x"),AND(B262=F262,C262=E262)),1,0),0)+IF(OR(COUNTA(B271:C275,E271:F275)&gt;0,D271="X",D271="x",D272="X",D272="x",D273="X",D273="x",D274="X",D274="x",D275="X",D275="x",OR(D270="X",D270="x")),IF(OR(OR(D270="X",D270="x"),AND(B270=F270,C270=E270)),1,0),0)</f>
      </c>
      <c r="G287" s="18" t="str">
        <f>RANK(U287,$U$287:$U$289)+COUNTIF($U$286:U286,U287)</f>
      </c>
      <c r="I287" s="14" t="str">
        <f>data!$E$68&amp;" "&amp;data!$B$68</f>
      </c>
      <c r="J287" s="14" t="str">
        <f>IF(OR(COUNTA(J263:K267,M263:N267)&gt;0,L263="X",L263="x",L264="X",L264="x",L265="X",L265="x",L266="X",L266="x",L267="X",L267="x",OR(L262="X",L262="x")),IF(OR(OR(L262="X",L262="x"),AND(J262=N262,K262=M262)),0,IF(OR(N262&gt;J262,AND(N262=J262,M262&gt;K262)),1,0)),0)+IF(OR(COUNTA(J271:K275,M271:N275)&gt;0,L271="X",L271="x",L272="X",L272="x",L273="X",L273="x",L274="X",L274="x",L275="X",L275="x",OR(L270="X",L270="x")),IF(OR(OR(L270="X",L270="x"),AND(J270=N270,K270=M270)),0,IF(OR(N270&gt;J270,AND(N270=J270,M270&gt;K270)),1,0)),0)</f>
      </c>
      <c r="K287" s="14" t="str">
        <f>IF(OR(COUNTA(J263:K267,M263:N267)&gt;0,L263="X",L263="x",L264="X",L264="x",L265="X",L265="x",L266="X",L266="x",L267="X",L267="x",OR(L262="X",L262="x")),IF(OR(OR(L262="X",L262="x"),AND(J262=N262,K262=M262)),0,IF(OR(N262&lt;J262,AND(N262=J262,M262&lt;K262)),1,0)),0)+IF(OR(COUNTA(J271:K275,M271:N275)&gt;0,L271="X",L271="x",L272="X",L272="x",L273="X",L273="x",L274="X",L274="x",L275="X",L275="x",OR(L270="X",L270="x")),IF(OR(OR(L270="X",L270="x"),AND(J270=N270,K270=M270)),0,IF(OR(N270&lt;J270,AND(N270=J270,M270&lt;K270)),1,0)),0)</f>
      </c>
      <c r="L287" s="14" t="str">
        <f>IF(OR(COUNTA(J263:K267,M263:N267)&gt;0,L263="X",L263="x",L264="X",L264="x",L265="X",L265="x",L266="X",L266="x",L267="X",L267="x",OR(L262="X",L262="x")),IF(OR(OR(L262="X",L262="x"),AND(J262=N262,K262=M262)),1,0),0)+IF(OR(COUNTA(J271:K275,M271:N275)&gt;0,L271="X",L271="x",L272="X",L272="x",L273="X",L273="x",L274="X",L274="x",L275="X",L275="x",OR(L270="X",L270="x")),IF(OR(OR(L270="X",L270="x"),AND(J270=N270,K270=M270)),1,0),0)</f>
      </c>
      <c r="O287" s="18" t="str">
        <f>RANK(AC287,$AC$287:$AC$289)+COUNTIF($AC$286:AC286,AC287)</f>
      </c>
      <c r="U287" t="str">
        <f>(B287*1000000000)-(C287*10000000)+(D287*100000)+(B292*1000)-(C292*100)+(D292*10)+(E292*1)-(F292*0.01)</f>
      </c>
      <c r="AC287" t="str">
        <f>(J287*1000000000)-(K287*10000000)+(L287*100000)+(J292*1000)-(K292*100)+(L292*10)+(M292*1)-(N292*0.01)</f>
      </c>
    </row>
    <row r="288">
      <c r="A288" s="14" t="str">
        <f>data!$E$22&amp;" "&amp;data!$B$22</f>
      </c>
      <c r="B288" s="14" t="str">
        <f>IF(OR(COUNTA(B263:C267,E263:F267)&gt;0,D263="X",D263="x",D264="X",D264="x",D265="X",D265="x",D266="X",D266="x",D267="X",D267="x",OR(D262="X",D262="x")),IF(OR(OR(D262="X",D262="x"),AND(B262=F262,C262=E262)),0,IF(OR(B262&gt;F262,AND(B262=F262,C262&gt;E262)),1,0)),0)+IF(OR(COUNTA(B279:C283,E279:F283)&gt;0,D279="X",D279="x",D280="X",D280="x",D281="X",D281="x",D282="X",D282="x",D283="X",D283="x",OR(D278="X",D278="x")),IF(OR(OR(D278="X",D278="x"),AND(B278=F278,C278=E278)),0,IF(OR(F278&gt;B278,AND(F278=B278,E278&gt;C278)),1,0)),0)</f>
      </c>
      <c r="C288" s="14" t="str">
        <f>IF(OR(COUNTA(B263:C267,E263:F267)&gt;0,D263="X",D263="x",D264="X",D264="x",D265="X",D265="x",D266="X",D266="x",D267="X",D267="x",OR(D262="X",D262="x")),IF(OR(OR(D262="X",D262="x"),AND(B262=F262,C262=E262)),0,IF(OR(B262&lt;F262,AND(B262=F262,C262&lt;E262)),1,0)),0)+IF(OR(COUNTA(B279:C283,E279:F283)&gt;0,D279="X",D279="x",D280="X",D280="x",D281="X",D281="x",D282="X",D282="x",D283="X",D283="x",OR(D278="X",D278="x")),IF(OR(OR(D278="X",D278="x"),AND(B278=F278,C278=E278)),0,IF(OR(F278&lt;B278,AND(F278=B278,E278&lt;C278)),1,0)),0)</f>
      </c>
      <c r="D288" s="14" t="str">
        <f>IF(OR(COUNTA(B263:C267,E263:F267)&gt;0,D263="X",D263="x",D264="X",D264="x",D265="X",D265="x",D266="X",D266="x",D267="X",D267="x",OR(D262="X",D262="x")),IF(OR(OR(D262="X",D262="x"),AND(B262=F262,C262=E262)),1,0),0)+IF(OR(COUNTA(B279:C283,E279:F283)&gt;0,D279="X",D279="x",D280="X",D280="x",D281="X",D281="x",D282="X",D282="x",D283="X",D283="x",OR(D278="X",D278="x")),IF(OR(OR(D278="X",D278="x"),AND(B278=F278,C278=E278)),1,0),0)</f>
      </c>
      <c r="G288" s="18" t="str">
        <f>RANK(U288,$U$287:$U$289)+COUNTIF($U$286:U287,U288)</f>
      </c>
      <c r="I288" s="14" t="str">
        <f>data!$E$69&amp;" "&amp;data!$B$69</f>
      </c>
      <c r="J288" s="14" t="str">
        <f>IF(OR(COUNTA(J263:K267,M263:N267)&gt;0,L263="X",L263="x",L264="X",L264="x",L265="X",L265="x",L266="X",L266="x",L267="X",L267="x",OR(L262="X",L262="x")),IF(OR(OR(L262="X",L262="x"),AND(J262=N262,K262=M262)),0,IF(OR(J262&gt;N262,AND(J262=N262,K262&gt;M262)),1,0)),0)+IF(OR(COUNTA(J279:K283,M279:N283)&gt;0,L279="X",L279="x",L280="X",L280="x",L281="X",L281="x",L282="X",L282="x",L283="X",L283="x",OR(L278="X",L278="x")),IF(OR(OR(L278="X",L278="x"),AND(J278=N278,K278=M278)),0,IF(OR(N278&gt;J278,AND(N278=J278,M278&gt;K278)),1,0)),0)</f>
      </c>
      <c r="K288" s="14" t="str">
        <f>IF(OR(COUNTA(J263:K267,M263:N267)&gt;0,L263="X",L263="x",L264="X",L264="x",L265="X",L265="x",L266="X",L266="x",L267="X",L267="x",OR(L262="X",L262="x")),IF(OR(OR(L262="X",L262="x"),AND(J262=N262,K262=M262)),0,IF(OR(J262&lt;N262,AND(J262=N262,K262&lt;M262)),1,0)),0)+IF(OR(COUNTA(J279:K283,M279:N283)&gt;0,L279="X",L279="x",L280="X",L280="x",L281="X",L281="x",L282="X",L282="x",L283="X",L283="x",OR(L278="X",L278="x")),IF(OR(OR(L278="X",L278="x"),AND(J278=N278,K278=M278)),0,IF(OR(N278&lt;J278,AND(N278=J278,M278&lt;K278)),1,0)),0)</f>
      </c>
      <c r="L288" s="14" t="str">
        <f>IF(OR(COUNTA(J263:K267,M263:N267)&gt;0,L263="X",L263="x",L264="X",L264="x",L265="X",L265="x",L266="X",L266="x",L267="X",L267="x",OR(L262="X",L262="x")),IF(OR(OR(L262="X",L262="x"),AND(J262=N262,K262=M262)),1,0),0)+IF(OR(COUNTA(J279:K283,M279:N283)&gt;0,L279="X",L279="x",L280="X",L280="x",L281="X",L281="x",L282="X",L282="x",L283="X",L283="x",OR(L278="X",L278="x")),IF(OR(OR(L278="X",L278="x"),AND(J278=N278,K278=M278)),1,0),0)</f>
      </c>
      <c r="O288" s="18" t="str">
        <f>RANK(AC288,$AC$287:$AC$289)+COUNTIF($AC$286:AC287,AC288)</f>
      </c>
      <c r="U288" t="str">
        <f>(B288*1000000000)-(C288*10000000)+(D288*100000)+(B293*1000)-(C293*100)+(D293*10)+(E293*1)-(F293*0.01)</f>
      </c>
      <c r="AC288" t="str">
        <f>(J288*1000000000)-(K288*10000000)+(L288*100000)+(J293*1000)-(K293*100)+(L293*10)+(M293*1)-(N293*0.01)</f>
      </c>
    </row>
    <row r="289">
      <c r="A289" s="14" t="str">
        <f>data!$E$23&amp;" "&amp;data!$B$23</f>
      </c>
      <c r="B289" s="14" t="str">
        <f>IF(OR(COUNTA(B271:C275,E271:F275)&gt;0,D271="X",D271="x",D272="X",D272="x",D273="X",D273="x",D274="X",D274="x",D275="X",D275="x",OR(D270="X",D270="x")),IF(OR(OR(D270="X",D270="x"),AND(B270=F270,C270=E270)),0,IF(OR(B270&gt;F270,AND(B270=F270,C270&gt;E270)),1,0)),0)+IF(OR(COUNTA(B279:C283,E279:F283)&gt;0,D279="X",D279="x",D280="X",D280="x",D281="X",D281="x",D282="X",D282="x",D283="X",D283="x",OR(D278="X",D278="x")),IF(OR(OR(D278="X",D278="x"),AND(B278=F278,C278=E278)),0,IF(OR(B278&gt;F278,AND(B278=F278,C278&gt;E278)),1,0)),0)</f>
      </c>
      <c r="C289" s="14" t="str">
        <f>IF(OR(COUNTA(B271:C275,E271:F275)&gt;0,D271="X",D271="x",D272="X",D272="x",D273="X",D273="x",D274="X",D274="x",D275="X",D275="x",OR(D270="X",D270="x")),IF(OR(OR(D270="X",D270="x"),AND(B270=F270,C270=E270)),0,IF(OR(B270&lt;F270,AND(B270=F270,C270&lt;E270)),1,0)),0)+IF(OR(COUNTA(B279:C283,E279:F283)&gt;0,D279="X",D279="x",D280="X",D280="x",D281="X",D281="x",D282="X",D282="x",D283="X",D283="x",OR(D278="X",D278="x")),IF(OR(OR(D278="X",D278="x"),AND(B278=F278,C278=E278)),0,IF(OR(B278&lt;F278,AND(B278=F278,C278&lt;E278)),1,0)),0)</f>
      </c>
      <c r="D289" s="14" t="str">
        <f>IF(OR(COUNTA(B271:C275,E271:F275)&gt;0,D271="X",D271="x",D272="X",D272="x",D273="X",D273="x",D274="X",D274="x",D275="X",D275="x",OR(D270="X",D270="x")),IF(OR(OR(D270="X",D270="x"),AND(B270=F270,C270=E270)),1,0),0)+IF(OR(COUNTA(B279:C283,E279:F283)&gt;0,D279="X",D279="x",D280="X",D280="x",D281="X",D281="x",D282="X",D282="x",D283="X",D283="x",OR(D278="X",D278="x")),IF(OR(OR(D278="X",D278="x"),AND(B278=F278,C278=E278)),1,0),0)</f>
      </c>
      <c r="G289" s="18" t="str">
        <f>RANK(U289,$U$287:$U$289)+COUNTIF($U$286:U288,U289)</f>
      </c>
      <c r="I289" s="14" t="str">
        <f>data!$E$70&amp;" "&amp;data!$B$70</f>
      </c>
      <c r="J289" s="14" t="str">
        <f>IF(OR(COUNTA(J271:K275,M271:N275)&gt;0,L271="X",L271="x",L272="X",L272="x",L273="X",L273="x",L274="X",L274="x",L275="X",L275="x",OR(L270="X",L270="x")),IF(OR(OR(L270="X",L270="x"),AND(J270=N270,K270=M270)),0,IF(OR(J270&gt;N270,AND(J270=N270,K270&gt;M270)),1,0)),0)+IF(OR(COUNTA(J279:K283,M279:N283)&gt;0,L279="X",L279="x",L280="X",L280="x",L281="X",L281="x",L282="X",L282="x",L283="X",L283="x",OR(L278="X",L278="x")),IF(OR(OR(L278="X",L278="x"),AND(J278=N278,K278=M278)),0,IF(OR(J278&gt;N278,AND(J278=N278,K278&gt;M278)),1,0)),0)</f>
      </c>
      <c r="K289" s="14" t="str">
        <f>IF(OR(COUNTA(J271:K275,M271:N275)&gt;0,L271="X",L271="x",L272="X",L272="x",L273="X",L273="x",L274="X",L274="x",L275="X",L275="x",OR(L270="X",L270="x")),IF(OR(OR(L270="X",L270="x"),AND(J270=N270,K270=M270)),0,IF(OR(J270&lt;N270,AND(J270=N270,K270&lt;M270)),1,0)),0)+IF(OR(COUNTA(J279:K283,M279:N283)&gt;0,L279="X",L279="x",L280="X",L280="x",L281="X",L281="x",L282="X",L282="x",L283="X",L283="x",OR(L278="X",L278="x")),IF(OR(OR(L278="X",L278="x"),AND(J278=N278,K278=M278)),0,IF(OR(J278&lt;N278,AND(J278=N278,K278&lt;M278)),1,0)),0)</f>
      </c>
      <c r="L289" s="14" t="str">
        <f>IF(OR(COUNTA(J271:K275,M271:N275)&gt;0,L271="X",L271="x",L272="X",L272="x",L273="X",L273="x",L274="X",L274="x",L275="X",L275="x",OR(L270="X",L270="x")),IF(OR(OR(L270="X",L270="x"),AND(J270=N270,K270=M270)),1,0),0)+IF(OR(COUNTA(J279:K283,M279:N283)&gt;0,L279="X",L279="x",L280="X",L280="x",L281="X",L281="x",L282="X",L282="x",L283="X",L283="x",OR(L278="X",L278="x")),IF(OR(OR(L278="X",L278="x"),AND(J278=N278,K278=M278)),1,0),0)</f>
      </c>
      <c r="O289" s="18" t="str">
        <f>RANK(AC289,$AC$287:$AC$289)+COUNTIF($AC$286:AC288,AC289)</f>
      </c>
      <c r="U289" t="str">
        <f>(B289*1000000000)-(C289*10000000)+(D289*100000)+(B294*1000)-(C294*100)+(D294*10)+(E294*1)-(F294*0.01)</f>
      </c>
      <c r="AC289" t="str">
        <f>(J289*1000000000)-(K289*10000000)+(L289*100000)+(J294*1000)-(K294*100)+(L294*10)+(M294*1)-(N294*0.01)</f>
      </c>
    </row>
    <row r="291">
      <c r="A291" s="13"/>
      <c r="B291" s="13" t="s">
        <v>339</v>
      </c>
      <c r="C291" s="13" t="s">
        <v>340</v>
      </c>
      <c r="D291" s="13" t="s">
        <v>341</v>
      </c>
      <c r="E291" s="13" t="s">
        <v>342</v>
      </c>
      <c r="F291" s="13" t="s">
        <v>343</v>
      </c>
      <c r="I291" s="13"/>
      <c r="J291" s="13" t="s">
        <v>339</v>
      </c>
      <c r="K291" s="13" t="s">
        <v>340</v>
      </c>
      <c r="L291" s="13" t="s">
        <v>341</v>
      </c>
      <c r="M291" s="13" t="s">
        <v>342</v>
      </c>
      <c r="N291" s="13" t="s">
        <v>343</v>
      </c>
    </row>
    <row r="292">
      <c r="A292" s="14" t="str">
        <f>data!$E$21&amp;" "&amp;data!$B$21</f>
      </c>
      <c r="B292" s="14" t="str">
        <f>IF(OR(COUNTA(B263:C267,E263:F267)&gt;0,OR(D262="X",D262="x"),UPPER(D263)="X",UPPER(D264)="X",UPPER(D265)="X",UPPER(D266)="X",UPPER(D267)="X"),F262,0)+IF(OR(COUNTA(B271:C275,E271:F275)&gt;0,OR(D270="X",D270="x"),UPPER(D271)="X",UPPER(D272)="X",UPPER(D273)="X",UPPER(D274)="X",UPPER(D275)="X"),F270,0)</f>
      </c>
      <c r="C292" s="14" t="str">
        <f>IF(OR(COUNTA(B263:C267,E263:F267)&gt;0,OR(D262="X",D262="x"),UPPER(D263)="X",UPPER(D264)="X",UPPER(D265)="X",UPPER(D266)="X",UPPER(D267)="X"),B262,0)+IF(OR(COUNTA(B271:C275,E271:F275)&gt;0,OR(D270="X",D270="x"),UPPER(D271)="X",UPPER(D272)="X",UPPER(D273)="X",UPPER(D274)="X",UPPER(D275)="X"),B270,0)</f>
      </c>
      <c r="D292" s="14" t="str">
        <f>IF(OR(COUNTA(B263:C267,E263:F267)&gt;0,OR(D262="X",D262="x"),UPPER(D263)="X",UPPER(D264)="X",UPPER(D265)="X",UPPER(D266)="X",UPPER(D267)="X"),(IF(OR(D263="X",D263="x",AND(COUNTA(B263,C263,E263,F263)&gt;0,(LEN(SUBSTITUTE(SUBSTITUTE(SUBSTITUTE(B263," ",""),"0",""),"-",""))+LEN(SUBSTITUTE(SUBSTITUTE(SUBSTITUTE(C263," ",""),"0",""),"-","")))=(LEN(SUBSTITUTE(SUBSTITUTE(SUBSTITUTE(E263," ",""),"0",""),"-",""))+LEN(SUBSTITUTE(SUBSTITUTE(SUBSTITUTE(F263," ",""),"0",""),"-",""))))),1,0)+IF(OR(D264="X",D264="x",AND(COUNTA(B264,C264,E264,F264)&gt;0,(LEN(SUBSTITUTE(SUBSTITUTE(SUBSTITUTE(B264," ",""),"0",""),"-",""))+LEN(SUBSTITUTE(SUBSTITUTE(SUBSTITUTE(C264," ",""),"0",""),"-","")))=(LEN(SUBSTITUTE(SUBSTITUTE(SUBSTITUTE(E264," ",""),"0",""),"-",""))+LEN(SUBSTITUTE(SUBSTITUTE(SUBSTITUTE(F264," ",""),"0",""),"-",""))))),1,0)+IF(OR(D265="X",D265="x",AND(COUNTA(B265,C265,E265,F265)&gt;0,(LEN(SUBSTITUTE(SUBSTITUTE(SUBSTITUTE(B265," ",""),"0",""),"-",""))+LEN(SUBSTITUTE(SUBSTITUTE(SUBSTITUTE(C265," ",""),"0",""),"-","")))=(LEN(SUBSTITUTE(SUBSTITUTE(SUBSTITUTE(E265," ",""),"0",""),"-",""))+LEN(SUBSTITUTE(SUBSTITUTE(SUBSTITUTE(F265," ",""),"0",""),"-",""))))),1,0)+IF(OR(D266="X",D266="x",AND(COUNTA(B266,C266,E266,F266)&gt;0,(LEN(SUBSTITUTE(SUBSTITUTE(SUBSTITUTE(B266," ",""),"0",""),"-",""))+LEN(SUBSTITUTE(SUBSTITUTE(SUBSTITUTE(C266," ",""),"0",""),"-","")))=(LEN(SUBSTITUTE(SUBSTITUTE(SUBSTITUTE(E266," ",""),"0",""),"-",""))+LEN(SUBSTITUTE(SUBSTITUTE(SUBSTITUTE(F266," ",""),"0",""),"-",""))))),1,0)+IF(OR(D267="X",D267="x",AND(COUNTA(B267,C267,E267,F267)&gt;0,(LEN(SUBSTITUTE(SUBSTITUTE(SUBSTITUTE(B267," ",""),"0",""),"-",""))+LEN(SUBSTITUTE(SUBSTITUTE(SUBSTITUTE(C267," ",""),"0",""),"-","")))=(LEN(SUBSTITUTE(SUBSTITUTE(SUBSTITUTE(E267," ",""),"0",""),"-",""))+LEN(SUBSTITUTE(SUBSTITUTE(SUBSTITUTE(F267," ",""),"0",""),"-",""))))),1,0)),0)+IF(OR(COUNTA(B271:C275,E271:F275)&gt;0,OR(D270="X",D270="x"),UPPER(D271)="X",UPPER(D272)="X",UPPER(D273)="X",UPPER(D274)="X",UPPER(D275)="X"),(IF(OR(D271="X",D271="x",AND(COUNTA(B271,C271,E271,F271)&gt;0,(LEN(SUBSTITUTE(SUBSTITUTE(SUBSTITUTE(B271," ",""),"0",""),"-",""))+LEN(SUBSTITUTE(SUBSTITUTE(SUBSTITUTE(C271," ",""),"0",""),"-","")))=(LEN(SUBSTITUTE(SUBSTITUTE(SUBSTITUTE(E271," ",""),"0",""),"-",""))+LEN(SUBSTITUTE(SUBSTITUTE(SUBSTITUTE(F271," ",""),"0",""),"-",""))))),1,0)+IF(OR(D272="X",D272="x",AND(COUNTA(B272,C272,E272,F272)&gt;0,(LEN(SUBSTITUTE(SUBSTITUTE(SUBSTITUTE(B272," ",""),"0",""),"-",""))+LEN(SUBSTITUTE(SUBSTITUTE(SUBSTITUTE(C272," ",""),"0",""),"-","")))=(LEN(SUBSTITUTE(SUBSTITUTE(SUBSTITUTE(E272," ",""),"0",""),"-",""))+LEN(SUBSTITUTE(SUBSTITUTE(SUBSTITUTE(F272," ",""),"0",""),"-",""))))),1,0)+IF(OR(D273="X",D273="x",AND(COUNTA(B273,C273,E273,F273)&gt;0,(LEN(SUBSTITUTE(SUBSTITUTE(SUBSTITUTE(B273," ",""),"0",""),"-",""))+LEN(SUBSTITUTE(SUBSTITUTE(SUBSTITUTE(C273," ",""),"0",""),"-","")))=(LEN(SUBSTITUTE(SUBSTITUTE(SUBSTITUTE(E273," ",""),"0",""),"-",""))+LEN(SUBSTITUTE(SUBSTITUTE(SUBSTITUTE(F273," ",""),"0",""),"-",""))))),1,0)+IF(OR(D274="X",D274="x",AND(COUNTA(B274,C274,E274,F274)&gt;0,(LEN(SUBSTITUTE(SUBSTITUTE(SUBSTITUTE(B274," ",""),"0",""),"-",""))+LEN(SUBSTITUTE(SUBSTITUTE(SUBSTITUTE(C274," ",""),"0",""),"-","")))=(LEN(SUBSTITUTE(SUBSTITUTE(SUBSTITUTE(E274," ",""),"0",""),"-",""))+LEN(SUBSTITUTE(SUBSTITUTE(SUBSTITUTE(F274," ",""),"0",""),"-",""))))),1,0)+IF(OR(D275="X",D275="x",AND(COUNTA(B275,C275,E275,F275)&gt;0,(LEN(SUBSTITUTE(SUBSTITUTE(SUBSTITUTE(B275," ",""),"0",""),"-",""))+LEN(SUBSTITUTE(SUBSTITUTE(SUBSTITUTE(C275," ",""),"0",""),"-","")))=(LEN(SUBSTITUTE(SUBSTITUTE(SUBSTITUTE(E275," ",""),"0",""),"-",""))+LEN(SUBSTITUTE(SUBSTITUTE(SUBSTITUTE(F275," ",""),"0",""),"-",""))))),1,0)),0)</f>
      </c>
      <c r="E292" s="14" t="str">
        <f>E262+E270</f>
      </c>
      <c r="F292" s="14" t="str">
        <f>C262+C270</f>
      </c>
      <c r="I292" s="14" t="str">
        <f>data!$E$68&amp;" "&amp;data!$B$68</f>
      </c>
      <c r="J292" s="14" t="str">
        <f>IF(OR(COUNTA(J263:K267,M263:N267)&gt;0,OR(L262="X",L262="x"),UPPER(L263)="X",UPPER(L264)="X",UPPER(L265)="X",UPPER(L266)="X",UPPER(L267)="X"),N262,0)+IF(OR(COUNTA(J271:K275,M271:N275)&gt;0,OR(L270="X",L270="x"),UPPER(L271)="X",UPPER(L272)="X",UPPER(L273)="X",UPPER(L274)="X",UPPER(L275)="X"),N270,0)</f>
      </c>
      <c r="K292" s="14" t="str">
        <f>IF(OR(COUNTA(J263:K267,M263:N267)&gt;0,OR(L262="X",L262="x"),UPPER(L263)="X",UPPER(L264)="X",UPPER(L265)="X",UPPER(L266)="X",UPPER(L267)="X"),J262,0)+IF(OR(COUNTA(J271:K275,M271:N275)&gt;0,OR(L270="X",L270="x"),UPPER(L271)="X",UPPER(L272)="X",UPPER(L273)="X",UPPER(L274)="X",UPPER(L275)="X"),J270,0)</f>
      </c>
      <c r="L292" s="14" t="str">
        <f>IF(OR(COUNTA(J263:K267,M263:N267)&gt;0,OR(L262="X",L262="x"),UPPER(L263)="X",UPPER(L264)="X",UPPER(L265)="X",UPPER(L266)="X",UPPER(L267)="X"),(IF(OR(L263="X",L263="x",AND(COUNTA(J263,K263,M263,N263)&gt;0,(LEN(SUBSTITUTE(SUBSTITUTE(SUBSTITUTE(J263," ",""),"0",""),"-",""))+LEN(SUBSTITUTE(SUBSTITUTE(SUBSTITUTE(K263," ",""),"0",""),"-","")))=(LEN(SUBSTITUTE(SUBSTITUTE(SUBSTITUTE(M263," ",""),"0",""),"-",""))+LEN(SUBSTITUTE(SUBSTITUTE(SUBSTITUTE(N263," ",""),"0",""),"-",""))))),1,0)+IF(OR(L264="X",L264="x",AND(COUNTA(J264,K264,M264,N264)&gt;0,(LEN(SUBSTITUTE(SUBSTITUTE(SUBSTITUTE(J264," ",""),"0",""),"-",""))+LEN(SUBSTITUTE(SUBSTITUTE(SUBSTITUTE(K264," ",""),"0",""),"-","")))=(LEN(SUBSTITUTE(SUBSTITUTE(SUBSTITUTE(M264," ",""),"0",""),"-",""))+LEN(SUBSTITUTE(SUBSTITUTE(SUBSTITUTE(N264," ",""),"0",""),"-",""))))),1,0)+IF(OR(L265="X",L265="x",AND(COUNTA(J265,K265,M265,N265)&gt;0,(LEN(SUBSTITUTE(SUBSTITUTE(SUBSTITUTE(J265," ",""),"0",""),"-",""))+LEN(SUBSTITUTE(SUBSTITUTE(SUBSTITUTE(K265," ",""),"0",""),"-","")))=(LEN(SUBSTITUTE(SUBSTITUTE(SUBSTITUTE(M265," ",""),"0",""),"-",""))+LEN(SUBSTITUTE(SUBSTITUTE(SUBSTITUTE(N265," ",""),"0",""),"-",""))))),1,0)+IF(OR(L266="X",L266="x",AND(COUNTA(J266,K266,M266,N266)&gt;0,(LEN(SUBSTITUTE(SUBSTITUTE(SUBSTITUTE(J266," ",""),"0",""),"-",""))+LEN(SUBSTITUTE(SUBSTITUTE(SUBSTITUTE(K266," ",""),"0",""),"-","")))=(LEN(SUBSTITUTE(SUBSTITUTE(SUBSTITUTE(M266," ",""),"0",""),"-",""))+LEN(SUBSTITUTE(SUBSTITUTE(SUBSTITUTE(N266," ",""),"0",""),"-",""))))),1,0)+IF(OR(L267="X",L267="x",AND(COUNTA(J267,K267,M267,N267)&gt;0,(LEN(SUBSTITUTE(SUBSTITUTE(SUBSTITUTE(J267," ",""),"0",""),"-",""))+LEN(SUBSTITUTE(SUBSTITUTE(SUBSTITUTE(K267," ",""),"0",""),"-","")))=(LEN(SUBSTITUTE(SUBSTITUTE(SUBSTITUTE(M267," ",""),"0",""),"-",""))+LEN(SUBSTITUTE(SUBSTITUTE(SUBSTITUTE(N267," ",""),"0",""),"-",""))))),1,0)),0)+IF(OR(COUNTA(J271:K275,M271:N275)&gt;0,OR(L270="X",L270="x"),UPPER(L271)="X",UPPER(L272)="X",UPPER(L273)="X",UPPER(L274)="X",UPPER(L275)="X"),(IF(OR(L271="X",L271="x",AND(COUNTA(J271,K271,M271,N271)&gt;0,(LEN(SUBSTITUTE(SUBSTITUTE(SUBSTITUTE(J271," ",""),"0",""),"-",""))+LEN(SUBSTITUTE(SUBSTITUTE(SUBSTITUTE(K271," ",""),"0",""),"-","")))=(LEN(SUBSTITUTE(SUBSTITUTE(SUBSTITUTE(M271," ",""),"0",""),"-",""))+LEN(SUBSTITUTE(SUBSTITUTE(SUBSTITUTE(N271," ",""),"0",""),"-",""))))),1,0)+IF(OR(L272="X",L272="x",AND(COUNTA(J272,K272,M272,N272)&gt;0,(LEN(SUBSTITUTE(SUBSTITUTE(SUBSTITUTE(J272," ",""),"0",""),"-",""))+LEN(SUBSTITUTE(SUBSTITUTE(SUBSTITUTE(K272," ",""),"0",""),"-","")))=(LEN(SUBSTITUTE(SUBSTITUTE(SUBSTITUTE(M272," ",""),"0",""),"-",""))+LEN(SUBSTITUTE(SUBSTITUTE(SUBSTITUTE(N272," ",""),"0",""),"-",""))))),1,0)+IF(OR(L273="X",L273="x",AND(COUNTA(J273,K273,M273,N273)&gt;0,(LEN(SUBSTITUTE(SUBSTITUTE(SUBSTITUTE(J273," ",""),"0",""),"-",""))+LEN(SUBSTITUTE(SUBSTITUTE(SUBSTITUTE(K273," ",""),"0",""),"-","")))=(LEN(SUBSTITUTE(SUBSTITUTE(SUBSTITUTE(M273," ",""),"0",""),"-",""))+LEN(SUBSTITUTE(SUBSTITUTE(SUBSTITUTE(N273," ",""),"0",""),"-",""))))),1,0)+IF(OR(L274="X",L274="x",AND(COUNTA(J274,K274,M274,N274)&gt;0,(LEN(SUBSTITUTE(SUBSTITUTE(SUBSTITUTE(J274," ",""),"0",""),"-",""))+LEN(SUBSTITUTE(SUBSTITUTE(SUBSTITUTE(K274," ",""),"0",""),"-","")))=(LEN(SUBSTITUTE(SUBSTITUTE(SUBSTITUTE(M274," ",""),"0",""),"-",""))+LEN(SUBSTITUTE(SUBSTITUTE(SUBSTITUTE(N274," ",""),"0",""),"-",""))))),1,0)+IF(OR(L275="X",L275="x",AND(COUNTA(J275,K275,M275,N275)&gt;0,(LEN(SUBSTITUTE(SUBSTITUTE(SUBSTITUTE(J275," ",""),"0",""),"-",""))+LEN(SUBSTITUTE(SUBSTITUTE(SUBSTITUTE(K275," ",""),"0",""),"-","")))=(LEN(SUBSTITUTE(SUBSTITUTE(SUBSTITUTE(M275," ",""),"0",""),"-",""))+LEN(SUBSTITUTE(SUBSTITUTE(SUBSTITUTE(N275," ",""),"0",""),"-",""))))),1,0)),0)</f>
      </c>
      <c r="M292" s="14" t="str">
        <f>M262+M270</f>
      </c>
      <c r="N292" s="14" t="str">
        <f>K262+K270</f>
      </c>
    </row>
    <row r="293">
      <c r="A293" s="14" t="str">
        <f>data!$E$22&amp;" "&amp;data!$B$22</f>
      </c>
      <c r="B293" s="14" t="str">
        <f>IF(OR(COUNTA(B263:C267,E263:F267)&gt;0,OR(D262="X",D262="x"),UPPER(D263)="X",UPPER(D264)="X",UPPER(D265)="X",UPPER(D266)="X",UPPER(D267)="X"),B262,0)+IF(OR(COUNTA(B279:C283,E279:F283)&gt;0,OR(D278="X",D278="x"),UPPER(D279)="X",UPPER(D280)="X",UPPER(D281)="X",UPPER(D282)="X",UPPER(D283)="X"),F278,0)</f>
      </c>
      <c r="C293" s="14" t="str">
        <f>IF(OR(COUNTA(B263:C267,E263:F267)&gt;0,OR(D262="X",D262="x"),UPPER(D263)="X",UPPER(D264)="X",UPPER(D265)="X",UPPER(D266)="X",UPPER(D267)="X"),F262,0)+IF(OR(COUNTA(B279:C283,E279:F283)&gt;0,OR(D278="X",D278="x"),UPPER(D279)="X",UPPER(D280)="X",UPPER(D281)="X",UPPER(D282)="X",UPPER(D283)="X"),B278,0)</f>
      </c>
      <c r="D293" s="14" t="str">
        <f>IF(OR(COUNTA(B263:C267,E263:F267)&gt;0,OR(D262="X",D262="x"),UPPER(D263)="X",UPPER(D264)="X",UPPER(D265)="X",UPPER(D266)="X",UPPER(D267)="X"),(IF(OR(D263="X",D263="x",AND(COUNTA(B263,C263,E263,F263)&gt;0,(LEN(SUBSTITUTE(SUBSTITUTE(SUBSTITUTE(B263," ",""),"0",""),"-",""))+LEN(SUBSTITUTE(SUBSTITUTE(SUBSTITUTE(C263," ",""),"0",""),"-","")))=(LEN(SUBSTITUTE(SUBSTITUTE(SUBSTITUTE(E263," ",""),"0",""),"-",""))+LEN(SUBSTITUTE(SUBSTITUTE(SUBSTITUTE(F263," ",""),"0",""),"-",""))))),1,0)+IF(OR(D264="X",D264="x",AND(COUNTA(B264,C264,E264,F264)&gt;0,(LEN(SUBSTITUTE(SUBSTITUTE(SUBSTITUTE(B264," ",""),"0",""),"-",""))+LEN(SUBSTITUTE(SUBSTITUTE(SUBSTITUTE(C264," ",""),"0",""),"-","")))=(LEN(SUBSTITUTE(SUBSTITUTE(SUBSTITUTE(E264," ",""),"0",""),"-",""))+LEN(SUBSTITUTE(SUBSTITUTE(SUBSTITUTE(F264," ",""),"0",""),"-",""))))),1,0)+IF(OR(D265="X",D265="x",AND(COUNTA(B265,C265,E265,F265)&gt;0,(LEN(SUBSTITUTE(SUBSTITUTE(SUBSTITUTE(B265," ",""),"0",""),"-",""))+LEN(SUBSTITUTE(SUBSTITUTE(SUBSTITUTE(C265," ",""),"0",""),"-","")))=(LEN(SUBSTITUTE(SUBSTITUTE(SUBSTITUTE(E265," ",""),"0",""),"-",""))+LEN(SUBSTITUTE(SUBSTITUTE(SUBSTITUTE(F265," ",""),"0",""),"-",""))))),1,0)+IF(OR(D266="X",D266="x",AND(COUNTA(B266,C266,E266,F266)&gt;0,(LEN(SUBSTITUTE(SUBSTITUTE(SUBSTITUTE(B266," ",""),"0",""),"-",""))+LEN(SUBSTITUTE(SUBSTITUTE(SUBSTITUTE(C266," ",""),"0",""),"-","")))=(LEN(SUBSTITUTE(SUBSTITUTE(SUBSTITUTE(E266," ",""),"0",""),"-",""))+LEN(SUBSTITUTE(SUBSTITUTE(SUBSTITUTE(F266," ",""),"0",""),"-",""))))),1,0)+IF(OR(D267="X",D267="x",AND(COUNTA(B267,C267,E267,F267)&gt;0,(LEN(SUBSTITUTE(SUBSTITUTE(SUBSTITUTE(B267," ",""),"0",""),"-",""))+LEN(SUBSTITUTE(SUBSTITUTE(SUBSTITUTE(C267," ",""),"0",""),"-","")))=(LEN(SUBSTITUTE(SUBSTITUTE(SUBSTITUTE(E267," ",""),"0",""),"-",""))+LEN(SUBSTITUTE(SUBSTITUTE(SUBSTITUTE(F267," ",""),"0",""),"-",""))))),1,0)),0)+IF(OR(COUNTA(B279:C283,E279:F283)&gt;0,OR(D278="X",D278="x"),UPPER(D279)="X",UPPER(D280)="X",UPPER(D281)="X",UPPER(D282)="X",UPPER(D283)="X"),(IF(OR(D279="X",D279="x",AND(COUNTA(B279,C279,E279,F279)&gt;0,(LEN(SUBSTITUTE(SUBSTITUTE(SUBSTITUTE(B279," ",""),"0",""),"-",""))+LEN(SUBSTITUTE(SUBSTITUTE(SUBSTITUTE(C279," ",""),"0",""),"-","")))=(LEN(SUBSTITUTE(SUBSTITUTE(SUBSTITUTE(E279," ",""),"0",""),"-",""))+LEN(SUBSTITUTE(SUBSTITUTE(SUBSTITUTE(F279," ",""),"0",""),"-",""))))),1,0)+IF(OR(D280="X",D280="x",AND(COUNTA(B280,C280,E280,F280)&gt;0,(LEN(SUBSTITUTE(SUBSTITUTE(SUBSTITUTE(B280," ",""),"0",""),"-",""))+LEN(SUBSTITUTE(SUBSTITUTE(SUBSTITUTE(C280," ",""),"0",""),"-","")))=(LEN(SUBSTITUTE(SUBSTITUTE(SUBSTITUTE(E280," ",""),"0",""),"-",""))+LEN(SUBSTITUTE(SUBSTITUTE(SUBSTITUTE(F280," ",""),"0",""),"-",""))))),1,0)+IF(OR(D281="X",D281="x",AND(COUNTA(B281,C281,E281,F281)&gt;0,(LEN(SUBSTITUTE(SUBSTITUTE(SUBSTITUTE(B281," ",""),"0",""),"-",""))+LEN(SUBSTITUTE(SUBSTITUTE(SUBSTITUTE(C281," ",""),"0",""),"-","")))=(LEN(SUBSTITUTE(SUBSTITUTE(SUBSTITUTE(E281," ",""),"0",""),"-",""))+LEN(SUBSTITUTE(SUBSTITUTE(SUBSTITUTE(F281," ",""),"0",""),"-",""))))),1,0)+IF(OR(D282="X",D282="x",AND(COUNTA(B282,C282,E282,F282)&gt;0,(LEN(SUBSTITUTE(SUBSTITUTE(SUBSTITUTE(B282," ",""),"0",""),"-",""))+LEN(SUBSTITUTE(SUBSTITUTE(SUBSTITUTE(C282," ",""),"0",""),"-","")))=(LEN(SUBSTITUTE(SUBSTITUTE(SUBSTITUTE(E282," ",""),"0",""),"-",""))+LEN(SUBSTITUTE(SUBSTITUTE(SUBSTITUTE(F282," ",""),"0",""),"-",""))))),1,0)+IF(OR(D283="X",D283="x",AND(COUNTA(B283,C283,E283,F283)&gt;0,(LEN(SUBSTITUTE(SUBSTITUTE(SUBSTITUTE(B283," ",""),"0",""),"-",""))+LEN(SUBSTITUTE(SUBSTITUTE(SUBSTITUTE(C283," ",""),"0",""),"-","")))=(LEN(SUBSTITUTE(SUBSTITUTE(SUBSTITUTE(E283," ",""),"0",""),"-",""))+LEN(SUBSTITUTE(SUBSTITUTE(SUBSTITUTE(F283," ",""),"0",""),"-",""))))),1,0)),0)</f>
      </c>
      <c r="E293" s="14" t="str">
        <f>C262+E278</f>
      </c>
      <c r="F293" s="14" t="str">
        <f>E262+C278</f>
      </c>
      <c r="I293" s="14" t="str">
        <f>data!$E$69&amp;" "&amp;data!$B$69</f>
      </c>
      <c r="J293" s="14" t="str">
        <f>IF(OR(COUNTA(J263:K267,M263:N267)&gt;0,OR(L262="X",L262="x"),UPPER(L263)="X",UPPER(L264)="X",UPPER(L265)="X",UPPER(L266)="X",UPPER(L267)="X"),J262,0)+IF(OR(COUNTA(J279:K283,M279:N283)&gt;0,OR(L278="X",L278="x"),UPPER(L279)="X",UPPER(L280)="X",UPPER(L281)="X",UPPER(L282)="X",UPPER(L283)="X"),N278,0)</f>
      </c>
      <c r="K293" s="14" t="str">
        <f>IF(OR(COUNTA(J263:K267,M263:N267)&gt;0,OR(L262="X",L262="x"),UPPER(L263)="X",UPPER(L264)="X",UPPER(L265)="X",UPPER(L266)="X",UPPER(L267)="X"),N262,0)+IF(OR(COUNTA(J279:K283,M279:N283)&gt;0,OR(L278="X",L278="x"),UPPER(L279)="X",UPPER(L280)="X",UPPER(L281)="X",UPPER(L282)="X",UPPER(L283)="X"),J278,0)</f>
      </c>
      <c r="L293" s="14" t="str">
        <f>IF(OR(COUNTA(J263:K267,M263:N267)&gt;0,OR(L262="X",L262="x"),UPPER(L263)="X",UPPER(L264)="X",UPPER(L265)="X",UPPER(L266)="X",UPPER(L267)="X"),(IF(OR(L263="X",L263="x",AND(COUNTA(J263,K263,M263,N263)&gt;0,(LEN(SUBSTITUTE(SUBSTITUTE(SUBSTITUTE(J263," ",""),"0",""),"-",""))+LEN(SUBSTITUTE(SUBSTITUTE(SUBSTITUTE(K263," ",""),"0",""),"-","")))=(LEN(SUBSTITUTE(SUBSTITUTE(SUBSTITUTE(M263," ",""),"0",""),"-",""))+LEN(SUBSTITUTE(SUBSTITUTE(SUBSTITUTE(N263," ",""),"0",""),"-",""))))),1,0)+IF(OR(L264="X",L264="x",AND(COUNTA(J264,K264,M264,N264)&gt;0,(LEN(SUBSTITUTE(SUBSTITUTE(SUBSTITUTE(J264," ",""),"0",""),"-",""))+LEN(SUBSTITUTE(SUBSTITUTE(SUBSTITUTE(K264," ",""),"0",""),"-","")))=(LEN(SUBSTITUTE(SUBSTITUTE(SUBSTITUTE(M264," ",""),"0",""),"-",""))+LEN(SUBSTITUTE(SUBSTITUTE(SUBSTITUTE(N264," ",""),"0",""),"-",""))))),1,0)+IF(OR(L265="X",L265="x",AND(COUNTA(J265,K265,M265,N265)&gt;0,(LEN(SUBSTITUTE(SUBSTITUTE(SUBSTITUTE(J265," ",""),"0",""),"-",""))+LEN(SUBSTITUTE(SUBSTITUTE(SUBSTITUTE(K265," ",""),"0",""),"-","")))=(LEN(SUBSTITUTE(SUBSTITUTE(SUBSTITUTE(M265," ",""),"0",""),"-",""))+LEN(SUBSTITUTE(SUBSTITUTE(SUBSTITUTE(N265," ",""),"0",""),"-",""))))),1,0)+IF(OR(L266="X",L266="x",AND(COUNTA(J266,K266,M266,N266)&gt;0,(LEN(SUBSTITUTE(SUBSTITUTE(SUBSTITUTE(J266," ",""),"0",""),"-",""))+LEN(SUBSTITUTE(SUBSTITUTE(SUBSTITUTE(K266," ",""),"0",""),"-","")))=(LEN(SUBSTITUTE(SUBSTITUTE(SUBSTITUTE(M266," ",""),"0",""),"-",""))+LEN(SUBSTITUTE(SUBSTITUTE(SUBSTITUTE(N266," ",""),"0",""),"-",""))))),1,0)+IF(OR(L267="X",L267="x",AND(COUNTA(J267,K267,M267,N267)&gt;0,(LEN(SUBSTITUTE(SUBSTITUTE(SUBSTITUTE(J267," ",""),"0",""),"-",""))+LEN(SUBSTITUTE(SUBSTITUTE(SUBSTITUTE(K267," ",""),"0",""),"-","")))=(LEN(SUBSTITUTE(SUBSTITUTE(SUBSTITUTE(M267," ",""),"0",""),"-",""))+LEN(SUBSTITUTE(SUBSTITUTE(SUBSTITUTE(N267," ",""),"0",""),"-",""))))),1,0)),0)+IF(OR(COUNTA(J279:K283,M279:N283)&gt;0,OR(L278="X",L278="x"),UPPER(L279)="X",UPPER(L280)="X",UPPER(L281)="X",UPPER(L282)="X",UPPER(L283)="X"),(IF(OR(L279="X",L279="x",AND(COUNTA(J279,K279,M279,N279)&gt;0,(LEN(SUBSTITUTE(SUBSTITUTE(SUBSTITUTE(J279," ",""),"0",""),"-",""))+LEN(SUBSTITUTE(SUBSTITUTE(SUBSTITUTE(K279," ",""),"0",""),"-","")))=(LEN(SUBSTITUTE(SUBSTITUTE(SUBSTITUTE(M279," ",""),"0",""),"-",""))+LEN(SUBSTITUTE(SUBSTITUTE(SUBSTITUTE(N279," ",""),"0",""),"-",""))))),1,0)+IF(OR(L280="X",L280="x",AND(COUNTA(J280,K280,M280,N280)&gt;0,(LEN(SUBSTITUTE(SUBSTITUTE(SUBSTITUTE(J280," ",""),"0",""),"-",""))+LEN(SUBSTITUTE(SUBSTITUTE(SUBSTITUTE(K280," ",""),"0",""),"-","")))=(LEN(SUBSTITUTE(SUBSTITUTE(SUBSTITUTE(M280," ",""),"0",""),"-",""))+LEN(SUBSTITUTE(SUBSTITUTE(SUBSTITUTE(N280," ",""),"0",""),"-",""))))),1,0)+IF(OR(L281="X",L281="x",AND(COUNTA(J281,K281,M281,N281)&gt;0,(LEN(SUBSTITUTE(SUBSTITUTE(SUBSTITUTE(J281," ",""),"0",""),"-",""))+LEN(SUBSTITUTE(SUBSTITUTE(SUBSTITUTE(K281," ",""),"0",""),"-","")))=(LEN(SUBSTITUTE(SUBSTITUTE(SUBSTITUTE(M281," ",""),"0",""),"-",""))+LEN(SUBSTITUTE(SUBSTITUTE(SUBSTITUTE(N281," ",""),"0",""),"-",""))))),1,0)+IF(OR(L282="X",L282="x",AND(COUNTA(J282,K282,M282,N282)&gt;0,(LEN(SUBSTITUTE(SUBSTITUTE(SUBSTITUTE(J282," ",""),"0",""),"-",""))+LEN(SUBSTITUTE(SUBSTITUTE(SUBSTITUTE(K282," ",""),"0",""),"-","")))=(LEN(SUBSTITUTE(SUBSTITUTE(SUBSTITUTE(M282," ",""),"0",""),"-",""))+LEN(SUBSTITUTE(SUBSTITUTE(SUBSTITUTE(N282," ",""),"0",""),"-",""))))),1,0)+IF(OR(L283="X",L283="x",AND(COUNTA(J283,K283,M283,N283)&gt;0,(LEN(SUBSTITUTE(SUBSTITUTE(SUBSTITUTE(J283," ",""),"0",""),"-",""))+LEN(SUBSTITUTE(SUBSTITUTE(SUBSTITUTE(K283," ",""),"0",""),"-","")))=(LEN(SUBSTITUTE(SUBSTITUTE(SUBSTITUTE(M283," ",""),"0",""),"-",""))+LEN(SUBSTITUTE(SUBSTITUTE(SUBSTITUTE(N283," ",""),"0",""),"-",""))))),1,0)),0)</f>
      </c>
      <c r="M293" s="14" t="str">
        <f>K262+M278</f>
      </c>
      <c r="N293" s="14" t="str">
        <f>M262+K278</f>
      </c>
    </row>
    <row r="294">
      <c r="A294" s="14" t="str">
        <f>data!$E$23&amp;" "&amp;data!$B$23</f>
      </c>
      <c r="B294" s="14" t="str">
        <f>IF(OR(COUNTA(B271:C275,E271:F275)&gt;0,OR(D270="X",D270="x"),UPPER(D271)="X",UPPER(D272)="X",UPPER(D273)="X",UPPER(D274)="X",UPPER(D275)="X"),B270,0)+IF(OR(COUNTA(B279:C283,E279:F283)&gt;0,OR(D278="X",D278="x"),UPPER(D279)="X",UPPER(D280)="X",UPPER(D281)="X",UPPER(D282)="X",UPPER(D283)="X"),B278,0)</f>
      </c>
      <c r="C294" s="14" t="str">
        <f>IF(OR(COUNTA(B271:C275,E271:F275)&gt;0,OR(D270="X",D270="x"),UPPER(D271)="X",UPPER(D272)="X",UPPER(D273)="X",UPPER(D274)="X",UPPER(D275)="X"),F270,0)+IF(OR(COUNTA(B279:C283,E279:F283)&gt;0,OR(D278="X",D278="x"),UPPER(D279)="X",UPPER(D280)="X",UPPER(D281)="X",UPPER(D282)="X",UPPER(D283)="X"),F278,0)</f>
      </c>
      <c r="D294" s="14" t="str">
        <f>IF(OR(COUNTA(B271:C275,E271:F275)&gt;0,OR(D270="X",D270="x"),UPPER(D271)="X",UPPER(D272)="X",UPPER(D273)="X",UPPER(D274)="X",UPPER(D275)="X"),(IF(OR(D271="X",D271="x",AND(COUNTA(B271,C271,E271,F271)&gt;0,(LEN(SUBSTITUTE(SUBSTITUTE(SUBSTITUTE(B271," ",""),"0",""),"-",""))+LEN(SUBSTITUTE(SUBSTITUTE(SUBSTITUTE(C271," ",""),"0",""),"-","")))=(LEN(SUBSTITUTE(SUBSTITUTE(SUBSTITUTE(E271," ",""),"0",""),"-",""))+LEN(SUBSTITUTE(SUBSTITUTE(SUBSTITUTE(F271," ",""),"0",""),"-",""))))),1,0)+IF(OR(D272="X",D272="x",AND(COUNTA(B272,C272,E272,F272)&gt;0,(LEN(SUBSTITUTE(SUBSTITUTE(SUBSTITUTE(B272," ",""),"0",""),"-",""))+LEN(SUBSTITUTE(SUBSTITUTE(SUBSTITUTE(C272," ",""),"0",""),"-","")))=(LEN(SUBSTITUTE(SUBSTITUTE(SUBSTITUTE(E272," ",""),"0",""),"-",""))+LEN(SUBSTITUTE(SUBSTITUTE(SUBSTITUTE(F272," ",""),"0",""),"-",""))))),1,0)+IF(OR(D273="X",D273="x",AND(COUNTA(B273,C273,E273,F273)&gt;0,(LEN(SUBSTITUTE(SUBSTITUTE(SUBSTITUTE(B273," ",""),"0",""),"-",""))+LEN(SUBSTITUTE(SUBSTITUTE(SUBSTITUTE(C273," ",""),"0",""),"-","")))=(LEN(SUBSTITUTE(SUBSTITUTE(SUBSTITUTE(E273," ",""),"0",""),"-",""))+LEN(SUBSTITUTE(SUBSTITUTE(SUBSTITUTE(F273," ",""),"0",""),"-",""))))),1,0)+IF(OR(D274="X",D274="x",AND(COUNTA(B274,C274,E274,F274)&gt;0,(LEN(SUBSTITUTE(SUBSTITUTE(SUBSTITUTE(B274," ",""),"0",""),"-",""))+LEN(SUBSTITUTE(SUBSTITUTE(SUBSTITUTE(C274," ",""),"0",""),"-","")))=(LEN(SUBSTITUTE(SUBSTITUTE(SUBSTITUTE(E274," ",""),"0",""),"-",""))+LEN(SUBSTITUTE(SUBSTITUTE(SUBSTITUTE(F274," ",""),"0",""),"-",""))))),1,0)+IF(OR(D275="X",D275="x",AND(COUNTA(B275,C275,E275,F275)&gt;0,(LEN(SUBSTITUTE(SUBSTITUTE(SUBSTITUTE(B275," ",""),"0",""),"-",""))+LEN(SUBSTITUTE(SUBSTITUTE(SUBSTITUTE(C275," ",""),"0",""),"-","")))=(LEN(SUBSTITUTE(SUBSTITUTE(SUBSTITUTE(E275," ",""),"0",""),"-",""))+LEN(SUBSTITUTE(SUBSTITUTE(SUBSTITUTE(F275," ",""),"0",""),"-",""))))),1,0)),0)+IF(OR(COUNTA(B279:C283,E279:F283)&gt;0,OR(D278="X",D278="x"),UPPER(D279)="X",UPPER(D280)="X",UPPER(D281)="X",UPPER(D282)="X",UPPER(D283)="X"),(IF(OR(D279="X",D279="x",AND(COUNTA(B279,C279,E279,F279)&gt;0,(LEN(SUBSTITUTE(SUBSTITUTE(SUBSTITUTE(B279," ",""),"0",""),"-",""))+LEN(SUBSTITUTE(SUBSTITUTE(SUBSTITUTE(C279," ",""),"0",""),"-","")))=(LEN(SUBSTITUTE(SUBSTITUTE(SUBSTITUTE(E279," ",""),"0",""),"-",""))+LEN(SUBSTITUTE(SUBSTITUTE(SUBSTITUTE(F279," ",""),"0",""),"-",""))))),1,0)+IF(OR(D280="X",D280="x",AND(COUNTA(B280,C280,E280,F280)&gt;0,(LEN(SUBSTITUTE(SUBSTITUTE(SUBSTITUTE(B280," ",""),"0",""),"-",""))+LEN(SUBSTITUTE(SUBSTITUTE(SUBSTITUTE(C280," ",""),"0",""),"-","")))=(LEN(SUBSTITUTE(SUBSTITUTE(SUBSTITUTE(E280," ",""),"0",""),"-",""))+LEN(SUBSTITUTE(SUBSTITUTE(SUBSTITUTE(F280," ",""),"0",""),"-",""))))),1,0)+IF(OR(D281="X",D281="x",AND(COUNTA(B281,C281,E281,F281)&gt;0,(LEN(SUBSTITUTE(SUBSTITUTE(SUBSTITUTE(B281," ",""),"0",""),"-",""))+LEN(SUBSTITUTE(SUBSTITUTE(SUBSTITUTE(C281," ",""),"0",""),"-","")))=(LEN(SUBSTITUTE(SUBSTITUTE(SUBSTITUTE(E281," ",""),"0",""),"-",""))+LEN(SUBSTITUTE(SUBSTITUTE(SUBSTITUTE(F281," ",""),"0",""),"-",""))))),1,0)+IF(OR(D282="X",D282="x",AND(COUNTA(B282,C282,E282,F282)&gt;0,(LEN(SUBSTITUTE(SUBSTITUTE(SUBSTITUTE(B282," ",""),"0",""),"-",""))+LEN(SUBSTITUTE(SUBSTITUTE(SUBSTITUTE(C282," ",""),"0",""),"-","")))=(LEN(SUBSTITUTE(SUBSTITUTE(SUBSTITUTE(E282," ",""),"0",""),"-",""))+LEN(SUBSTITUTE(SUBSTITUTE(SUBSTITUTE(F282," ",""),"0",""),"-",""))))),1,0)+IF(OR(D283="X",D283="x",AND(COUNTA(B283,C283,E283,F283)&gt;0,(LEN(SUBSTITUTE(SUBSTITUTE(SUBSTITUTE(B283," ",""),"0",""),"-",""))+LEN(SUBSTITUTE(SUBSTITUTE(SUBSTITUTE(C283," ",""),"0",""),"-","")))=(LEN(SUBSTITUTE(SUBSTITUTE(SUBSTITUTE(E283," ",""),"0",""),"-",""))+LEN(SUBSTITUTE(SUBSTITUTE(SUBSTITUTE(F283," ",""),"0",""),"-",""))))),1,0)),0)</f>
      </c>
      <c r="E294" s="14" t="str">
        <f>C270+C278</f>
      </c>
      <c r="F294" s="14" t="str">
        <f>E270+E278</f>
      </c>
      <c r="I294" s="14" t="str">
        <f>data!$E$70&amp;" "&amp;data!$B$70</f>
      </c>
      <c r="J294" s="14" t="str">
        <f>IF(OR(COUNTA(J271:K275,M271:N275)&gt;0,OR(L270="X",L270="x"),UPPER(L271)="X",UPPER(L272)="X",UPPER(L273)="X",UPPER(L274)="X",UPPER(L275)="X"),J270,0)+IF(OR(COUNTA(J279:K283,M279:N283)&gt;0,OR(L278="X",L278="x"),UPPER(L279)="X",UPPER(L280)="X",UPPER(L281)="X",UPPER(L282)="X",UPPER(L283)="X"),J278,0)</f>
      </c>
      <c r="K294" s="14" t="str">
        <f>IF(OR(COUNTA(J271:K275,M271:N275)&gt;0,OR(L270="X",L270="x"),UPPER(L271)="X",UPPER(L272)="X",UPPER(L273)="X",UPPER(L274)="X",UPPER(L275)="X"),N270,0)+IF(OR(COUNTA(J279:K283,M279:N283)&gt;0,OR(L278="X",L278="x"),UPPER(L279)="X",UPPER(L280)="X",UPPER(L281)="X",UPPER(L282)="X",UPPER(L283)="X"),N278,0)</f>
      </c>
      <c r="L294" s="14" t="str">
        <f>IF(OR(COUNTA(J271:K275,M271:N275)&gt;0,OR(L270="X",L270="x"),UPPER(L271)="X",UPPER(L272)="X",UPPER(L273)="X",UPPER(L274)="X",UPPER(L275)="X"),(IF(OR(L271="X",L271="x",AND(COUNTA(J271,K271,M271,N271)&gt;0,(LEN(SUBSTITUTE(SUBSTITUTE(SUBSTITUTE(J271," ",""),"0",""),"-",""))+LEN(SUBSTITUTE(SUBSTITUTE(SUBSTITUTE(K271," ",""),"0",""),"-","")))=(LEN(SUBSTITUTE(SUBSTITUTE(SUBSTITUTE(M271," ",""),"0",""),"-",""))+LEN(SUBSTITUTE(SUBSTITUTE(SUBSTITUTE(N271," ",""),"0",""),"-",""))))),1,0)+IF(OR(L272="X",L272="x",AND(COUNTA(J272,K272,M272,N272)&gt;0,(LEN(SUBSTITUTE(SUBSTITUTE(SUBSTITUTE(J272," ",""),"0",""),"-",""))+LEN(SUBSTITUTE(SUBSTITUTE(SUBSTITUTE(K272," ",""),"0",""),"-","")))=(LEN(SUBSTITUTE(SUBSTITUTE(SUBSTITUTE(M272," ",""),"0",""),"-",""))+LEN(SUBSTITUTE(SUBSTITUTE(SUBSTITUTE(N272," ",""),"0",""),"-",""))))),1,0)+IF(OR(L273="X",L273="x",AND(COUNTA(J273,K273,M273,N273)&gt;0,(LEN(SUBSTITUTE(SUBSTITUTE(SUBSTITUTE(J273," ",""),"0",""),"-",""))+LEN(SUBSTITUTE(SUBSTITUTE(SUBSTITUTE(K273," ",""),"0",""),"-","")))=(LEN(SUBSTITUTE(SUBSTITUTE(SUBSTITUTE(M273," ",""),"0",""),"-",""))+LEN(SUBSTITUTE(SUBSTITUTE(SUBSTITUTE(N273," ",""),"0",""),"-",""))))),1,0)+IF(OR(L274="X",L274="x",AND(COUNTA(J274,K274,M274,N274)&gt;0,(LEN(SUBSTITUTE(SUBSTITUTE(SUBSTITUTE(J274," ",""),"0",""),"-",""))+LEN(SUBSTITUTE(SUBSTITUTE(SUBSTITUTE(K274," ",""),"0",""),"-","")))=(LEN(SUBSTITUTE(SUBSTITUTE(SUBSTITUTE(M274," ",""),"0",""),"-",""))+LEN(SUBSTITUTE(SUBSTITUTE(SUBSTITUTE(N274," ",""),"0",""),"-",""))))),1,0)+IF(OR(L275="X",L275="x",AND(COUNTA(J275,K275,M275,N275)&gt;0,(LEN(SUBSTITUTE(SUBSTITUTE(SUBSTITUTE(J275," ",""),"0",""),"-",""))+LEN(SUBSTITUTE(SUBSTITUTE(SUBSTITUTE(K275," ",""),"0",""),"-","")))=(LEN(SUBSTITUTE(SUBSTITUTE(SUBSTITUTE(M275," ",""),"0",""),"-",""))+LEN(SUBSTITUTE(SUBSTITUTE(SUBSTITUTE(N275," ",""),"0",""),"-",""))))),1,0)),0)+IF(OR(COUNTA(J279:K283,M279:N283)&gt;0,OR(L278="X",L278="x"),UPPER(L279)="X",UPPER(L280)="X",UPPER(L281)="X",UPPER(L282)="X",UPPER(L283)="X"),(IF(OR(L279="X",L279="x",AND(COUNTA(J279,K279,M279,N279)&gt;0,(LEN(SUBSTITUTE(SUBSTITUTE(SUBSTITUTE(J279," ",""),"0",""),"-",""))+LEN(SUBSTITUTE(SUBSTITUTE(SUBSTITUTE(K279," ",""),"0",""),"-","")))=(LEN(SUBSTITUTE(SUBSTITUTE(SUBSTITUTE(M279," ",""),"0",""),"-",""))+LEN(SUBSTITUTE(SUBSTITUTE(SUBSTITUTE(N279," ",""),"0",""),"-",""))))),1,0)+IF(OR(L280="X",L280="x",AND(COUNTA(J280,K280,M280,N280)&gt;0,(LEN(SUBSTITUTE(SUBSTITUTE(SUBSTITUTE(J280," ",""),"0",""),"-",""))+LEN(SUBSTITUTE(SUBSTITUTE(SUBSTITUTE(K280," ",""),"0",""),"-","")))=(LEN(SUBSTITUTE(SUBSTITUTE(SUBSTITUTE(M280," ",""),"0",""),"-",""))+LEN(SUBSTITUTE(SUBSTITUTE(SUBSTITUTE(N280," ",""),"0",""),"-",""))))),1,0)+IF(OR(L281="X",L281="x",AND(COUNTA(J281,K281,M281,N281)&gt;0,(LEN(SUBSTITUTE(SUBSTITUTE(SUBSTITUTE(J281," ",""),"0",""),"-",""))+LEN(SUBSTITUTE(SUBSTITUTE(SUBSTITUTE(K281," ",""),"0",""),"-","")))=(LEN(SUBSTITUTE(SUBSTITUTE(SUBSTITUTE(M281," ",""),"0",""),"-",""))+LEN(SUBSTITUTE(SUBSTITUTE(SUBSTITUTE(N281," ",""),"0",""),"-",""))))),1,0)+IF(OR(L282="X",L282="x",AND(COUNTA(J282,K282,M282,N282)&gt;0,(LEN(SUBSTITUTE(SUBSTITUTE(SUBSTITUTE(J282," ",""),"0",""),"-",""))+LEN(SUBSTITUTE(SUBSTITUTE(SUBSTITUTE(K282," ",""),"0",""),"-","")))=(LEN(SUBSTITUTE(SUBSTITUTE(SUBSTITUTE(M282," ",""),"0",""),"-",""))+LEN(SUBSTITUTE(SUBSTITUTE(SUBSTITUTE(N282," ",""),"0",""),"-",""))))),1,0)+IF(OR(L283="X",L283="x",AND(COUNTA(J283,K283,M283,N283)&gt;0,(LEN(SUBSTITUTE(SUBSTITUTE(SUBSTITUTE(J283," ",""),"0",""),"-",""))+LEN(SUBSTITUTE(SUBSTITUTE(SUBSTITUTE(K283," ",""),"0",""),"-","")))=(LEN(SUBSTITUTE(SUBSTITUTE(SUBSTITUTE(M283," ",""),"0",""),"-",""))+LEN(SUBSTITUTE(SUBSTITUTE(SUBSTITUTE(N283," ",""),"0",""),"-",""))))),1,0)),0)</f>
      </c>
      <c r="M294" s="14" t="str">
        <f>K270+K278</f>
      </c>
      <c r="N294" s="14" t="str">
        <f>M270+M278</f>
      </c>
    </row>
    <row r="297">
      <c r="F297" s="13"/>
      <c r="G297" s="13" t="s">
        <v>344</v>
      </c>
      <c r="N297" s="13"/>
      <c r="O297" s="13" t="s">
        <v>344</v>
      </c>
    </row>
    <row r="298">
      <c r="F298" t="s">
        <v>345</v>
      </c>
      <c r="G298" s="19" t="str">
        <f>IFERROR(INDEX($A$287:$A$294, MATCH(1, $G$287:$G$294, 0)), "-")</f>
      </c>
      <c r="N298" t="s">
        <v>345</v>
      </c>
      <c r="O298" s="19" t="str">
        <f>IFERROR(INDEX($I$287:$I$294, MATCH(1, $O$287:$O$294, 0)), "-")</f>
      </c>
    </row>
    <row r="299">
      <c r="F299" t="s">
        <v>346</v>
      </c>
      <c r="G299" s="19" t="str">
        <f>IFERROR(INDEX($A$287:$A$294, MATCH(2, $G$287:$G$294, 0)), "-")</f>
      </c>
      <c r="N299" t="s">
        <v>346</v>
      </c>
      <c r="O299" s="19" t="str">
        <f>IFERROR(INDEX($I$287:$I$294, MATCH(2, $O$287:$O$294, 0)), "-")</f>
      </c>
    </row>
    <row r="300">
      <c r="F300" t="s">
        <v>347</v>
      </c>
      <c r="G300" s="19" t="str">
        <f>IFERROR(INDEX($A$287:$A$294, MATCH(3, $G$287:$G$294, 0)), "-")</f>
      </c>
      <c r="N300" t="s">
        <v>347</v>
      </c>
      <c r="O300" s="19" t="str">
        <f>IFERROR(INDEX($I$287:$I$294, MATCH(3, $O$287:$O$294, 0)), "-")</f>
      </c>
    </row>
    <row r="303">
      <c r="A303" s="13" t="str">
        <f>'data'!$A$26</f>
      </c>
      <c r="B303" s="13"/>
      <c r="C303" s="13"/>
      <c r="D303" s="13"/>
      <c r="E303" s="13"/>
      <c r="F303" s="13"/>
      <c r="G303" s="13"/>
      <c r="I303" s="13" t="str">
        <f>'data'!$A$73</f>
      </c>
      <c r="J303" s="13"/>
      <c r="K303" s="13"/>
      <c r="L303" s="13"/>
      <c r="M303" s="13"/>
      <c r="N303" s="13"/>
      <c r="O303" s="13"/>
    </row>
    <row r="304">
      <c r="A304" s="17" t="s">
        <v>331</v>
      </c>
      <c r="B304" s="14"/>
      <c r="C304" s="14"/>
      <c r="D304" s="14" t="s">
        <v>332</v>
      </c>
      <c r="E304" s="14"/>
      <c r="F304" s="14"/>
      <c r="G304" s="16" t="s">
        <v>333</v>
      </c>
      <c r="I304" s="17" t="s">
        <v>331</v>
      </c>
      <c r="J304" s="14"/>
      <c r="K304" s="14"/>
      <c r="L304" s="14" t="s">
        <v>332</v>
      </c>
      <c r="M304" s="14"/>
      <c r="N304" s="14"/>
      <c r="O304" s="16" t="s">
        <v>333</v>
      </c>
    </row>
    <row r="305">
      <c r="A305" s="14" t="str">
        <f>data!$E$25&amp;" "&amp;data!$B$25</f>
      </c>
      <c r="B305" s="14" t="str">
        <f>IF(UPPER(D306)="X",0,IF((LEN(SUBSTITUTE(SUBSTITUTE(SUBSTITUTE(B306," ",""),"0",""),"-",""))+LEN(SUBSTITUTE(SUBSTITUTE(SUBSTITUTE(C306," ",""),"0",""),"-","")))&gt;(LEN(SUBSTITUTE(SUBSTITUTE(SUBSTITUTE(E306," ",""),"0",""),"-",""))+LEN(SUBSTITUTE(SUBSTITUTE(SUBSTITUTE(F306," ",""),"0",""),"-",""))),1,0))+IF(UPPER(D307)="X",0,IF((LEN(SUBSTITUTE(SUBSTITUTE(SUBSTITUTE(B307," ",""),"0",""),"-",""))+LEN(SUBSTITUTE(SUBSTITUTE(SUBSTITUTE(C307," ",""),"0",""),"-","")))&gt;(LEN(SUBSTITUTE(SUBSTITUTE(SUBSTITUTE(E307," ",""),"0",""),"-",""))+LEN(SUBSTITUTE(SUBSTITUTE(SUBSTITUTE(F307," ",""),"0",""),"-",""))),1,0))+IF(UPPER(D308)="X",0,IF((LEN(SUBSTITUTE(SUBSTITUTE(SUBSTITUTE(B308," ",""),"0",""),"-",""))+LEN(SUBSTITUTE(SUBSTITUTE(SUBSTITUTE(C308," ",""),"0",""),"-","")))&gt;(LEN(SUBSTITUTE(SUBSTITUTE(SUBSTITUTE(E308," ",""),"0",""),"-",""))+LEN(SUBSTITUTE(SUBSTITUTE(SUBSTITUTE(F308," ",""),"0",""),"-",""))),1,0))+IF(UPPER(D309)="X",0,IF((LEN(SUBSTITUTE(SUBSTITUTE(SUBSTITUTE(B309," ",""),"0",""),"-",""))+LEN(SUBSTITUTE(SUBSTITUTE(SUBSTITUTE(C309," ",""),"0",""),"-","")))&gt;(LEN(SUBSTITUTE(SUBSTITUTE(SUBSTITUTE(E309," ",""),"0",""),"-",""))+LEN(SUBSTITUTE(SUBSTITUTE(SUBSTITUTE(F309," ",""),"0",""),"-",""))),1,0))+IF(UPPER(D310)="X",0,IF((LEN(SUBSTITUTE(SUBSTITUTE(SUBSTITUTE(B310," ",""),"0",""),"-",""))+LEN(SUBSTITUTE(SUBSTITUTE(SUBSTITUTE(C310," ",""),"0",""),"-","")))&gt;(LEN(SUBSTITUTE(SUBSTITUTE(SUBSTITUTE(E310," ",""),"0",""),"-",""))+LEN(SUBSTITUTE(SUBSTITUTE(SUBSTITUTE(F310," ",""),"0",""),"-",""))),1,0))</f>
      </c>
      <c r="C305" s="14" t="str">
        <f>LEN(SUBSTITUTE(SUBSTITUTE(SUBSTITUTE(B306," ",""),"0",""),"-",""))+LEN(SUBSTITUTE(SUBSTITUTE(SUBSTITUTE(C306," ",""),"0",""),"-",""))+LEN(SUBSTITUTE(SUBSTITUTE(SUBSTITUTE(B307," ",""),"0",""),"-",""))+LEN(SUBSTITUTE(SUBSTITUTE(SUBSTITUTE(C307," ",""),"0",""),"-",""))+LEN(SUBSTITUTE(SUBSTITUTE(SUBSTITUTE(B308," ",""),"0",""),"-",""))+LEN(SUBSTITUTE(SUBSTITUTE(SUBSTITUTE(C308," ",""),"0",""),"-",""))+LEN(SUBSTITUTE(SUBSTITUTE(SUBSTITUTE(B309," ",""),"0",""),"-",""))+LEN(SUBSTITUTE(SUBSTITUTE(SUBSTITUTE(C309," ",""),"0",""),"-",""))+LEN(SUBSTITUTE(SUBSTITUTE(SUBSTITUTE(B310," ",""),"0",""),"-",""))+LEN(SUBSTITUTE(SUBSTITUTE(SUBSTITUTE(C310," ",""),"0",""),"-",""))</f>
      </c>
      <c r="D305" s="18"/>
      <c r="E305" s="14" t="str">
        <f>LEN(SUBSTITUTE(SUBSTITUTE(SUBSTITUTE(E306," ",""),"0",""),"-",""))+LEN(SUBSTITUTE(SUBSTITUTE(SUBSTITUTE(F306," ",""),"0",""),"-",""))+LEN(SUBSTITUTE(SUBSTITUTE(SUBSTITUTE(E307," ",""),"0",""),"-",""))+LEN(SUBSTITUTE(SUBSTITUTE(SUBSTITUTE(F307," ",""),"0",""),"-",""))+LEN(SUBSTITUTE(SUBSTITUTE(SUBSTITUTE(E308," ",""),"0",""),"-",""))+LEN(SUBSTITUTE(SUBSTITUTE(SUBSTITUTE(F308," ",""),"0",""),"-",""))+LEN(SUBSTITUTE(SUBSTITUTE(SUBSTITUTE(E309," ",""),"0",""),"-",""))+LEN(SUBSTITUTE(SUBSTITUTE(SUBSTITUTE(F309," ",""),"0",""),"-",""))+LEN(SUBSTITUTE(SUBSTITUTE(SUBSTITUTE(E310," ",""),"0",""),"-",""))+LEN(SUBSTITUTE(SUBSTITUTE(SUBSTITUTE(F310," ",""),"0",""),"-",""))</f>
      </c>
      <c r="F305" s="14" t="str">
        <f>IF(UPPER(D306)="X",0,IF((LEN(SUBSTITUTE(SUBSTITUTE(SUBSTITUTE(E306," ",""),"0",""),"-",""))+LEN(SUBSTITUTE(SUBSTITUTE(SUBSTITUTE(F306," ",""),"0",""),"-","")))&gt;(LEN(SUBSTITUTE(SUBSTITUTE(SUBSTITUTE(B306," ",""),"0",""),"-",""))+LEN(SUBSTITUTE(SUBSTITUTE(SUBSTITUTE(C306," ",""),"0",""),"-",""))),1,0))+IF(UPPER(D307)="X",0,IF((LEN(SUBSTITUTE(SUBSTITUTE(SUBSTITUTE(E307," ",""),"0",""),"-",""))+LEN(SUBSTITUTE(SUBSTITUTE(SUBSTITUTE(F307," ",""),"0",""),"-","")))&gt;(LEN(SUBSTITUTE(SUBSTITUTE(SUBSTITUTE(B307," ",""),"0",""),"-",""))+LEN(SUBSTITUTE(SUBSTITUTE(SUBSTITUTE(C307," ",""),"0",""),"-",""))),1,0))+IF(UPPER(D308)="X",0,IF((LEN(SUBSTITUTE(SUBSTITUTE(SUBSTITUTE(E308," ",""),"0",""),"-",""))+LEN(SUBSTITUTE(SUBSTITUTE(SUBSTITUTE(F308," ",""),"0",""),"-","")))&gt;(LEN(SUBSTITUTE(SUBSTITUTE(SUBSTITUTE(B308," ",""),"0",""),"-",""))+LEN(SUBSTITUTE(SUBSTITUTE(SUBSTITUTE(C308," ",""),"0",""),"-",""))),1,0))+IF(UPPER(D309)="X",0,IF((LEN(SUBSTITUTE(SUBSTITUTE(SUBSTITUTE(E309," ",""),"0",""),"-",""))+LEN(SUBSTITUTE(SUBSTITUTE(SUBSTITUTE(F309," ",""),"0",""),"-","")))&gt;(LEN(SUBSTITUTE(SUBSTITUTE(SUBSTITUTE(B309," ",""),"0",""),"-",""))+LEN(SUBSTITUTE(SUBSTITUTE(SUBSTITUTE(C309," ",""),"0",""),"-",""))),1,0))+IF(UPPER(D310)="X",0,IF((LEN(SUBSTITUTE(SUBSTITUTE(SUBSTITUTE(E310," ",""),"0",""),"-",""))+LEN(SUBSTITUTE(SUBSTITUTE(SUBSTITUTE(F310," ",""),"0",""),"-","")))&gt;(LEN(SUBSTITUTE(SUBSTITUTE(SUBSTITUTE(B310," ",""),"0",""),"-",""))+LEN(SUBSTITUTE(SUBSTITUTE(SUBSTITUTE(C310," ",""),"0",""),"-",""))),1,0))</f>
      </c>
      <c r="G305" s="14" t="str">
        <f>data!$E$24&amp;" "&amp;data!$B$24</f>
      </c>
      <c r="I305" s="14" t="str">
        <f>data!$E$72&amp;" "&amp;data!$B$72</f>
      </c>
      <c r="J305" s="14" t="str">
        <f>IF(UPPER(L306)="X",0,IF((LEN(SUBSTITUTE(SUBSTITUTE(SUBSTITUTE(J306," ",""),"0",""),"-",""))+LEN(SUBSTITUTE(SUBSTITUTE(SUBSTITUTE(K306," ",""),"0",""),"-","")))&gt;(LEN(SUBSTITUTE(SUBSTITUTE(SUBSTITUTE(M306," ",""),"0",""),"-",""))+LEN(SUBSTITUTE(SUBSTITUTE(SUBSTITUTE(N306," ",""),"0",""),"-",""))),1,0))+IF(UPPER(L307)="X",0,IF((LEN(SUBSTITUTE(SUBSTITUTE(SUBSTITUTE(J307," ",""),"0",""),"-",""))+LEN(SUBSTITUTE(SUBSTITUTE(SUBSTITUTE(K307," ",""),"0",""),"-","")))&gt;(LEN(SUBSTITUTE(SUBSTITUTE(SUBSTITUTE(M307," ",""),"0",""),"-",""))+LEN(SUBSTITUTE(SUBSTITUTE(SUBSTITUTE(N307," ",""),"0",""),"-",""))),1,0))+IF(UPPER(L308)="X",0,IF((LEN(SUBSTITUTE(SUBSTITUTE(SUBSTITUTE(J308," ",""),"0",""),"-",""))+LEN(SUBSTITUTE(SUBSTITUTE(SUBSTITUTE(K308," ",""),"0",""),"-","")))&gt;(LEN(SUBSTITUTE(SUBSTITUTE(SUBSTITUTE(M308," ",""),"0",""),"-",""))+LEN(SUBSTITUTE(SUBSTITUTE(SUBSTITUTE(N308," ",""),"0",""),"-",""))),1,0))+IF(UPPER(L309)="X",0,IF((LEN(SUBSTITUTE(SUBSTITUTE(SUBSTITUTE(J309," ",""),"0",""),"-",""))+LEN(SUBSTITUTE(SUBSTITUTE(SUBSTITUTE(K309," ",""),"0",""),"-","")))&gt;(LEN(SUBSTITUTE(SUBSTITUTE(SUBSTITUTE(M309," ",""),"0",""),"-",""))+LEN(SUBSTITUTE(SUBSTITUTE(SUBSTITUTE(N309," ",""),"0",""),"-",""))),1,0))+IF(UPPER(L310)="X",0,IF((LEN(SUBSTITUTE(SUBSTITUTE(SUBSTITUTE(J310," ",""),"0",""),"-",""))+LEN(SUBSTITUTE(SUBSTITUTE(SUBSTITUTE(K310," ",""),"0",""),"-","")))&gt;(LEN(SUBSTITUTE(SUBSTITUTE(SUBSTITUTE(M310," ",""),"0",""),"-",""))+LEN(SUBSTITUTE(SUBSTITUTE(SUBSTITUTE(N310," ",""),"0",""),"-",""))),1,0))</f>
      </c>
      <c r="K305" s="14" t="str">
        <f>LEN(SUBSTITUTE(SUBSTITUTE(SUBSTITUTE(J306," ",""),"0",""),"-",""))+LEN(SUBSTITUTE(SUBSTITUTE(SUBSTITUTE(K306," ",""),"0",""),"-",""))+LEN(SUBSTITUTE(SUBSTITUTE(SUBSTITUTE(J307," ",""),"0",""),"-",""))+LEN(SUBSTITUTE(SUBSTITUTE(SUBSTITUTE(K307," ",""),"0",""),"-",""))+LEN(SUBSTITUTE(SUBSTITUTE(SUBSTITUTE(J308," ",""),"0",""),"-",""))+LEN(SUBSTITUTE(SUBSTITUTE(SUBSTITUTE(K308," ",""),"0",""),"-",""))+LEN(SUBSTITUTE(SUBSTITUTE(SUBSTITUTE(J309," ",""),"0",""),"-",""))+LEN(SUBSTITUTE(SUBSTITUTE(SUBSTITUTE(K309," ",""),"0",""),"-",""))+LEN(SUBSTITUTE(SUBSTITUTE(SUBSTITUTE(J310," ",""),"0",""),"-",""))+LEN(SUBSTITUTE(SUBSTITUTE(SUBSTITUTE(K310," ",""),"0",""),"-",""))</f>
      </c>
      <c r="L305" s="18"/>
      <c r="M305" s="14" t="str">
        <f>LEN(SUBSTITUTE(SUBSTITUTE(SUBSTITUTE(M306," ",""),"0",""),"-",""))+LEN(SUBSTITUTE(SUBSTITUTE(SUBSTITUTE(N306," ",""),"0",""),"-",""))+LEN(SUBSTITUTE(SUBSTITUTE(SUBSTITUTE(M307," ",""),"0",""),"-",""))+LEN(SUBSTITUTE(SUBSTITUTE(SUBSTITUTE(N307," ",""),"0",""),"-",""))+LEN(SUBSTITUTE(SUBSTITUTE(SUBSTITUTE(M308," ",""),"0",""),"-",""))+LEN(SUBSTITUTE(SUBSTITUTE(SUBSTITUTE(N308," ",""),"0",""),"-",""))+LEN(SUBSTITUTE(SUBSTITUTE(SUBSTITUTE(M309," ",""),"0",""),"-",""))+LEN(SUBSTITUTE(SUBSTITUTE(SUBSTITUTE(N309," ",""),"0",""),"-",""))+LEN(SUBSTITUTE(SUBSTITUTE(SUBSTITUTE(M310," ",""),"0",""),"-",""))+LEN(SUBSTITUTE(SUBSTITUTE(SUBSTITUTE(N310," ",""),"0",""),"-",""))</f>
      </c>
      <c r="N305" s="14" t="str">
        <f>IF(UPPER(L306)="X",0,IF((LEN(SUBSTITUTE(SUBSTITUTE(SUBSTITUTE(M306," ",""),"0",""),"-",""))+LEN(SUBSTITUTE(SUBSTITUTE(SUBSTITUTE(N306," ",""),"0",""),"-","")))&gt;(LEN(SUBSTITUTE(SUBSTITUTE(SUBSTITUTE(J306," ",""),"0",""),"-",""))+LEN(SUBSTITUTE(SUBSTITUTE(SUBSTITUTE(K306," ",""),"0",""),"-",""))),1,0))+IF(UPPER(L307)="X",0,IF((LEN(SUBSTITUTE(SUBSTITUTE(SUBSTITUTE(M307," ",""),"0",""),"-",""))+LEN(SUBSTITUTE(SUBSTITUTE(SUBSTITUTE(N307," ",""),"0",""),"-","")))&gt;(LEN(SUBSTITUTE(SUBSTITUTE(SUBSTITUTE(J307," ",""),"0",""),"-",""))+LEN(SUBSTITUTE(SUBSTITUTE(SUBSTITUTE(K307," ",""),"0",""),"-",""))),1,0))+IF(UPPER(L308)="X",0,IF((LEN(SUBSTITUTE(SUBSTITUTE(SUBSTITUTE(M308," ",""),"0",""),"-",""))+LEN(SUBSTITUTE(SUBSTITUTE(SUBSTITUTE(N308," ",""),"0",""),"-","")))&gt;(LEN(SUBSTITUTE(SUBSTITUTE(SUBSTITUTE(J308," ",""),"0",""),"-",""))+LEN(SUBSTITUTE(SUBSTITUTE(SUBSTITUTE(K308," ",""),"0",""),"-",""))),1,0))+IF(UPPER(L309)="X",0,IF((LEN(SUBSTITUTE(SUBSTITUTE(SUBSTITUTE(M309," ",""),"0",""),"-",""))+LEN(SUBSTITUTE(SUBSTITUTE(SUBSTITUTE(N309," ",""),"0",""),"-","")))&gt;(LEN(SUBSTITUTE(SUBSTITUTE(SUBSTITUTE(J309," ",""),"0",""),"-",""))+LEN(SUBSTITUTE(SUBSTITUTE(SUBSTITUTE(K309," ",""),"0",""),"-",""))),1,0))+IF(UPPER(L310)="X",0,IF((LEN(SUBSTITUTE(SUBSTITUTE(SUBSTITUTE(M310," ",""),"0",""),"-",""))+LEN(SUBSTITUTE(SUBSTITUTE(SUBSTITUTE(N310," ",""),"0",""),"-","")))&gt;(LEN(SUBSTITUTE(SUBSTITUTE(SUBSTITUTE(J310," ",""),"0",""),"-",""))+LEN(SUBSTITUTE(SUBSTITUTE(SUBSTITUTE(K310," ",""),"0",""),"-",""))),1,0))</f>
      </c>
      <c r="O305" s="14" t="str">
        <f>data!$E$71&amp;" "&amp;data!$B$71</f>
      </c>
    </row>
    <row r="306">
      <c r="A306" s="14">
        <v>1</v>
      </c>
      <c r="B306" s="18"/>
      <c r="C306" s="18"/>
      <c r="D306" s="18"/>
      <c r="E306" s="18"/>
      <c r="F306" s="18"/>
      <c r="G306" s="14">
        <v>1</v>
      </c>
      <c r="I306" s="14">
        <v>1</v>
      </c>
      <c r="J306" s="18"/>
      <c r="K306" s="18"/>
      <c r="L306" s="18"/>
      <c r="M306" s="18"/>
      <c r="N306" s="18"/>
      <c r="O306" s="14">
        <v>1</v>
      </c>
    </row>
    <row r="307">
      <c r="A307" s="14">
        <v>2</v>
      </c>
      <c r="B307" s="18"/>
      <c r="C307" s="18"/>
      <c r="D307" s="18"/>
      <c r="E307" s="18"/>
      <c r="F307" s="18"/>
      <c r="G307" s="14">
        <v>2</v>
      </c>
      <c r="I307" s="14">
        <v>2</v>
      </c>
      <c r="J307" s="18"/>
      <c r="K307" s="18"/>
      <c r="L307" s="18"/>
      <c r="M307" s="18"/>
      <c r="N307" s="18"/>
      <c r="O307" s="14">
        <v>2</v>
      </c>
    </row>
    <row r="308">
      <c r="A308" s="14">
        <v>3</v>
      </c>
      <c r="B308" s="18"/>
      <c r="C308" s="18"/>
      <c r="D308" s="18"/>
      <c r="E308" s="18"/>
      <c r="F308" s="18"/>
      <c r="G308" s="14">
        <v>3</v>
      </c>
      <c r="I308" s="14">
        <v>3</v>
      </c>
      <c r="J308" s="18"/>
      <c r="K308" s="18"/>
      <c r="L308" s="18"/>
      <c r="M308" s="18"/>
      <c r="N308" s="18"/>
      <c r="O308" s="14">
        <v>3</v>
      </c>
    </row>
    <row r="309">
      <c r="A309" s="14">
        <v>4</v>
      </c>
      <c r="B309" s="18"/>
      <c r="C309" s="18"/>
      <c r="D309" s="18"/>
      <c r="E309" s="18"/>
      <c r="F309" s="18"/>
      <c r="G309" s="14">
        <v>4</v>
      </c>
      <c r="I309" s="14">
        <v>4</v>
      </c>
      <c r="J309" s="18"/>
      <c r="K309" s="18"/>
      <c r="L309" s="18"/>
      <c r="M309" s="18"/>
      <c r="N309" s="18"/>
      <c r="O309" s="14">
        <v>4</v>
      </c>
    </row>
    <row r="310">
      <c r="A310" s="14">
        <v>5</v>
      </c>
      <c r="B310" s="18"/>
      <c r="C310" s="18"/>
      <c r="D310" s="18"/>
      <c r="E310" s="18"/>
      <c r="F310" s="18"/>
      <c r="G310" s="14">
        <v>5</v>
      </c>
      <c r="I310" s="14">
        <v>5</v>
      </c>
      <c r="J310" s="18"/>
      <c r="K310" s="18"/>
      <c r="L310" s="18"/>
      <c r="M310" s="18"/>
      <c r="N310" s="18"/>
      <c r="O310" s="14">
        <v>5</v>
      </c>
    </row>
    <row r="312">
      <c r="A312" s="17" t="s">
        <v>331</v>
      </c>
      <c r="B312" s="14"/>
      <c r="C312" s="14"/>
      <c r="D312" s="14" t="s">
        <v>332</v>
      </c>
      <c r="E312" s="14"/>
      <c r="F312" s="14"/>
      <c r="G312" s="16" t="s">
        <v>333</v>
      </c>
      <c r="I312" s="17" t="s">
        <v>331</v>
      </c>
      <c r="J312" s="14"/>
      <c r="K312" s="14"/>
      <c r="L312" s="14" t="s">
        <v>332</v>
      </c>
      <c r="M312" s="14"/>
      <c r="N312" s="14"/>
      <c r="O312" s="16" t="s">
        <v>333</v>
      </c>
    </row>
    <row r="313">
      <c r="A313" s="14" t="str">
        <f>data!$E$26&amp;" "&amp;data!$B$26</f>
      </c>
      <c r="B313" s="14" t="str">
        <f>IF(UPPER(D314)="X",0,IF((LEN(SUBSTITUTE(SUBSTITUTE(SUBSTITUTE(B314," ",""),"0",""),"-",""))+LEN(SUBSTITUTE(SUBSTITUTE(SUBSTITUTE(C314," ",""),"0",""),"-","")))&gt;(LEN(SUBSTITUTE(SUBSTITUTE(SUBSTITUTE(E314," ",""),"0",""),"-",""))+LEN(SUBSTITUTE(SUBSTITUTE(SUBSTITUTE(F314," ",""),"0",""),"-",""))),1,0))+IF(UPPER(D315)="X",0,IF((LEN(SUBSTITUTE(SUBSTITUTE(SUBSTITUTE(B315," ",""),"0",""),"-",""))+LEN(SUBSTITUTE(SUBSTITUTE(SUBSTITUTE(C315," ",""),"0",""),"-","")))&gt;(LEN(SUBSTITUTE(SUBSTITUTE(SUBSTITUTE(E315," ",""),"0",""),"-",""))+LEN(SUBSTITUTE(SUBSTITUTE(SUBSTITUTE(F315," ",""),"0",""),"-",""))),1,0))+IF(UPPER(D316)="X",0,IF((LEN(SUBSTITUTE(SUBSTITUTE(SUBSTITUTE(B316," ",""),"0",""),"-",""))+LEN(SUBSTITUTE(SUBSTITUTE(SUBSTITUTE(C316," ",""),"0",""),"-","")))&gt;(LEN(SUBSTITUTE(SUBSTITUTE(SUBSTITUTE(E316," ",""),"0",""),"-",""))+LEN(SUBSTITUTE(SUBSTITUTE(SUBSTITUTE(F316," ",""),"0",""),"-",""))),1,0))+IF(UPPER(D317)="X",0,IF((LEN(SUBSTITUTE(SUBSTITUTE(SUBSTITUTE(B317," ",""),"0",""),"-",""))+LEN(SUBSTITUTE(SUBSTITUTE(SUBSTITUTE(C317," ",""),"0",""),"-","")))&gt;(LEN(SUBSTITUTE(SUBSTITUTE(SUBSTITUTE(E317," ",""),"0",""),"-",""))+LEN(SUBSTITUTE(SUBSTITUTE(SUBSTITUTE(F317," ",""),"0",""),"-",""))),1,0))+IF(UPPER(D318)="X",0,IF((LEN(SUBSTITUTE(SUBSTITUTE(SUBSTITUTE(B318," ",""),"0",""),"-",""))+LEN(SUBSTITUTE(SUBSTITUTE(SUBSTITUTE(C318," ",""),"0",""),"-","")))&gt;(LEN(SUBSTITUTE(SUBSTITUTE(SUBSTITUTE(E318," ",""),"0",""),"-",""))+LEN(SUBSTITUTE(SUBSTITUTE(SUBSTITUTE(F318," ",""),"0",""),"-",""))),1,0))</f>
      </c>
      <c r="C313" s="14" t="str">
        <f>LEN(SUBSTITUTE(SUBSTITUTE(SUBSTITUTE(B314," ",""),"0",""),"-",""))+LEN(SUBSTITUTE(SUBSTITUTE(SUBSTITUTE(C314," ",""),"0",""),"-",""))+LEN(SUBSTITUTE(SUBSTITUTE(SUBSTITUTE(B315," ",""),"0",""),"-",""))+LEN(SUBSTITUTE(SUBSTITUTE(SUBSTITUTE(C315," ",""),"0",""),"-",""))+LEN(SUBSTITUTE(SUBSTITUTE(SUBSTITUTE(B316," ",""),"0",""),"-",""))+LEN(SUBSTITUTE(SUBSTITUTE(SUBSTITUTE(C316," ",""),"0",""),"-",""))+LEN(SUBSTITUTE(SUBSTITUTE(SUBSTITUTE(B317," ",""),"0",""),"-",""))+LEN(SUBSTITUTE(SUBSTITUTE(SUBSTITUTE(C317," ",""),"0",""),"-",""))+LEN(SUBSTITUTE(SUBSTITUTE(SUBSTITUTE(B318," ",""),"0",""),"-",""))+LEN(SUBSTITUTE(SUBSTITUTE(SUBSTITUTE(C318," ",""),"0",""),"-",""))</f>
      </c>
      <c r="D313" s="18"/>
      <c r="E313" s="14" t="str">
        <f>LEN(SUBSTITUTE(SUBSTITUTE(SUBSTITUTE(E314," ",""),"0",""),"-",""))+LEN(SUBSTITUTE(SUBSTITUTE(SUBSTITUTE(F314," ",""),"0",""),"-",""))+LEN(SUBSTITUTE(SUBSTITUTE(SUBSTITUTE(E315," ",""),"0",""),"-",""))+LEN(SUBSTITUTE(SUBSTITUTE(SUBSTITUTE(F315," ",""),"0",""),"-",""))+LEN(SUBSTITUTE(SUBSTITUTE(SUBSTITUTE(E316," ",""),"0",""),"-",""))+LEN(SUBSTITUTE(SUBSTITUTE(SUBSTITUTE(F316," ",""),"0",""),"-",""))+LEN(SUBSTITUTE(SUBSTITUTE(SUBSTITUTE(E317," ",""),"0",""),"-",""))+LEN(SUBSTITUTE(SUBSTITUTE(SUBSTITUTE(F317," ",""),"0",""),"-",""))+LEN(SUBSTITUTE(SUBSTITUTE(SUBSTITUTE(E318," ",""),"0",""),"-",""))+LEN(SUBSTITUTE(SUBSTITUTE(SUBSTITUTE(F318," ",""),"0",""),"-",""))</f>
      </c>
      <c r="F313" s="14" t="str">
        <f>IF(UPPER(D314)="X",0,IF((LEN(SUBSTITUTE(SUBSTITUTE(SUBSTITUTE(E314," ",""),"0",""),"-",""))+LEN(SUBSTITUTE(SUBSTITUTE(SUBSTITUTE(F314," ",""),"0",""),"-","")))&gt;(LEN(SUBSTITUTE(SUBSTITUTE(SUBSTITUTE(B314," ",""),"0",""),"-",""))+LEN(SUBSTITUTE(SUBSTITUTE(SUBSTITUTE(C314," ",""),"0",""),"-",""))),1,0))+IF(UPPER(D315)="X",0,IF((LEN(SUBSTITUTE(SUBSTITUTE(SUBSTITUTE(E315," ",""),"0",""),"-",""))+LEN(SUBSTITUTE(SUBSTITUTE(SUBSTITUTE(F315," ",""),"0",""),"-","")))&gt;(LEN(SUBSTITUTE(SUBSTITUTE(SUBSTITUTE(B315," ",""),"0",""),"-",""))+LEN(SUBSTITUTE(SUBSTITUTE(SUBSTITUTE(C315," ",""),"0",""),"-",""))),1,0))+IF(UPPER(D316)="X",0,IF((LEN(SUBSTITUTE(SUBSTITUTE(SUBSTITUTE(E316," ",""),"0",""),"-",""))+LEN(SUBSTITUTE(SUBSTITUTE(SUBSTITUTE(F316," ",""),"0",""),"-","")))&gt;(LEN(SUBSTITUTE(SUBSTITUTE(SUBSTITUTE(B316," ",""),"0",""),"-",""))+LEN(SUBSTITUTE(SUBSTITUTE(SUBSTITUTE(C316," ",""),"0",""),"-",""))),1,0))+IF(UPPER(D317)="X",0,IF((LEN(SUBSTITUTE(SUBSTITUTE(SUBSTITUTE(E317," ",""),"0",""),"-",""))+LEN(SUBSTITUTE(SUBSTITUTE(SUBSTITUTE(F317," ",""),"0",""),"-","")))&gt;(LEN(SUBSTITUTE(SUBSTITUTE(SUBSTITUTE(B317," ",""),"0",""),"-",""))+LEN(SUBSTITUTE(SUBSTITUTE(SUBSTITUTE(C317," ",""),"0",""),"-",""))),1,0))+IF(UPPER(D318)="X",0,IF((LEN(SUBSTITUTE(SUBSTITUTE(SUBSTITUTE(E318," ",""),"0",""),"-",""))+LEN(SUBSTITUTE(SUBSTITUTE(SUBSTITUTE(F318," ",""),"0",""),"-","")))&gt;(LEN(SUBSTITUTE(SUBSTITUTE(SUBSTITUTE(B318," ",""),"0",""),"-",""))+LEN(SUBSTITUTE(SUBSTITUTE(SUBSTITUTE(C318," ",""),"0",""),"-",""))),1,0))</f>
      </c>
      <c r="G313" s="14" t="str">
        <f>data!$E$24&amp;" "&amp;data!$B$24</f>
      </c>
      <c r="I313" s="14" t="str">
        <f>data!$E$73&amp;" "&amp;data!$B$73</f>
      </c>
      <c r="J313" s="14" t="str">
        <f>IF(UPPER(L314)="X",0,IF((LEN(SUBSTITUTE(SUBSTITUTE(SUBSTITUTE(J314," ",""),"0",""),"-",""))+LEN(SUBSTITUTE(SUBSTITUTE(SUBSTITUTE(K314," ",""),"0",""),"-","")))&gt;(LEN(SUBSTITUTE(SUBSTITUTE(SUBSTITUTE(M314," ",""),"0",""),"-",""))+LEN(SUBSTITUTE(SUBSTITUTE(SUBSTITUTE(N314," ",""),"0",""),"-",""))),1,0))+IF(UPPER(L315)="X",0,IF((LEN(SUBSTITUTE(SUBSTITUTE(SUBSTITUTE(J315," ",""),"0",""),"-",""))+LEN(SUBSTITUTE(SUBSTITUTE(SUBSTITUTE(K315," ",""),"0",""),"-","")))&gt;(LEN(SUBSTITUTE(SUBSTITUTE(SUBSTITUTE(M315," ",""),"0",""),"-",""))+LEN(SUBSTITUTE(SUBSTITUTE(SUBSTITUTE(N315," ",""),"0",""),"-",""))),1,0))+IF(UPPER(L316)="X",0,IF((LEN(SUBSTITUTE(SUBSTITUTE(SUBSTITUTE(J316," ",""),"0",""),"-",""))+LEN(SUBSTITUTE(SUBSTITUTE(SUBSTITUTE(K316," ",""),"0",""),"-","")))&gt;(LEN(SUBSTITUTE(SUBSTITUTE(SUBSTITUTE(M316," ",""),"0",""),"-",""))+LEN(SUBSTITUTE(SUBSTITUTE(SUBSTITUTE(N316," ",""),"0",""),"-",""))),1,0))+IF(UPPER(L317)="X",0,IF((LEN(SUBSTITUTE(SUBSTITUTE(SUBSTITUTE(J317," ",""),"0",""),"-",""))+LEN(SUBSTITUTE(SUBSTITUTE(SUBSTITUTE(K317," ",""),"0",""),"-","")))&gt;(LEN(SUBSTITUTE(SUBSTITUTE(SUBSTITUTE(M317," ",""),"0",""),"-",""))+LEN(SUBSTITUTE(SUBSTITUTE(SUBSTITUTE(N317," ",""),"0",""),"-",""))),1,0))+IF(UPPER(L318)="X",0,IF((LEN(SUBSTITUTE(SUBSTITUTE(SUBSTITUTE(J318," ",""),"0",""),"-",""))+LEN(SUBSTITUTE(SUBSTITUTE(SUBSTITUTE(K318," ",""),"0",""),"-","")))&gt;(LEN(SUBSTITUTE(SUBSTITUTE(SUBSTITUTE(M318," ",""),"0",""),"-",""))+LEN(SUBSTITUTE(SUBSTITUTE(SUBSTITUTE(N318," ",""),"0",""),"-",""))),1,0))</f>
      </c>
      <c r="K313" s="14" t="str">
        <f>LEN(SUBSTITUTE(SUBSTITUTE(SUBSTITUTE(J314," ",""),"0",""),"-",""))+LEN(SUBSTITUTE(SUBSTITUTE(SUBSTITUTE(K314," ",""),"0",""),"-",""))+LEN(SUBSTITUTE(SUBSTITUTE(SUBSTITUTE(J315," ",""),"0",""),"-",""))+LEN(SUBSTITUTE(SUBSTITUTE(SUBSTITUTE(K315," ",""),"0",""),"-",""))+LEN(SUBSTITUTE(SUBSTITUTE(SUBSTITUTE(J316," ",""),"0",""),"-",""))+LEN(SUBSTITUTE(SUBSTITUTE(SUBSTITUTE(K316," ",""),"0",""),"-",""))+LEN(SUBSTITUTE(SUBSTITUTE(SUBSTITUTE(J317," ",""),"0",""),"-",""))+LEN(SUBSTITUTE(SUBSTITUTE(SUBSTITUTE(K317," ",""),"0",""),"-",""))+LEN(SUBSTITUTE(SUBSTITUTE(SUBSTITUTE(J318," ",""),"0",""),"-",""))+LEN(SUBSTITUTE(SUBSTITUTE(SUBSTITUTE(K318," ",""),"0",""),"-",""))</f>
      </c>
      <c r="L313" s="18"/>
      <c r="M313" s="14" t="str">
        <f>LEN(SUBSTITUTE(SUBSTITUTE(SUBSTITUTE(M314," ",""),"0",""),"-",""))+LEN(SUBSTITUTE(SUBSTITUTE(SUBSTITUTE(N314," ",""),"0",""),"-",""))+LEN(SUBSTITUTE(SUBSTITUTE(SUBSTITUTE(M315," ",""),"0",""),"-",""))+LEN(SUBSTITUTE(SUBSTITUTE(SUBSTITUTE(N315," ",""),"0",""),"-",""))+LEN(SUBSTITUTE(SUBSTITUTE(SUBSTITUTE(M316," ",""),"0",""),"-",""))+LEN(SUBSTITUTE(SUBSTITUTE(SUBSTITUTE(N316," ",""),"0",""),"-",""))+LEN(SUBSTITUTE(SUBSTITUTE(SUBSTITUTE(M317," ",""),"0",""),"-",""))+LEN(SUBSTITUTE(SUBSTITUTE(SUBSTITUTE(N317," ",""),"0",""),"-",""))+LEN(SUBSTITUTE(SUBSTITUTE(SUBSTITUTE(M318," ",""),"0",""),"-",""))+LEN(SUBSTITUTE(SUBSTITUTE(SUBSTITUTE(N318," ",""),"0",""),"-",""))</f>
      </c>
      <c r="N313" s="14" t="str">
        <f>IF(UPPER(L314)="X",0,IF((LEN(SUBSTITUTE(SUBSTITUTE(SUBSTITUTE(M314," ",""),"0",""),"-",""))+LEN(SUBSTITUTE(SUBSTITUTE(SUBSTITUTE(N314," ",""),"0",""),"-","")))&gt;(LEN(SUBSTITUTE(SUBSTITUTE(SUBSTITUTE(J314," ",""),"0",""),"-",""))+LEN(SUBSTITUTE(SUBSTITUTE(SUBSTITUTE(K314," ",""),"0",""),"-",""))),1,0))+IF(UPPER(L315)="X",0,IF((LEN(SUBSTITUTE(SUBSTITUTE(SUBSTITUTE(M315," ",""),"0",""),"-",""))+LEN(SUBSTITUTE(SUBSTITUTE(SUBSTITUTE(N315," ",""),"0",""),"-","")))&gt;(LEN(SUBSTITUTE(SUBSTITUTE(SUBSTITUTE(J315," ",""),"0",""),"-",""))+LEN(SUBSTITUTE(SUBSTITUTE(SUBSTITUTE(K315," ",""),"0",""),"-",""))),1,0))+IF(UPPER(L316)="X",0,IF((LEN(SUBSTITUTE(SUBSTITUTE(SUBSTITUTE(M316," ",""),"0",""),"-",""))+LEN(SUBSTITUTE(SUBSTITUTE(SUBSTITUTE(N316," ",""),"0",""),"-","")))&gt;(LEN(SUBSTITUTE(SUBSTITUTE(SUBSTITUTE(J316," ",""),"0",""),"-",""))+LEN(SUBSTITUTE(SUBSTITUTE(SUBSTITUTE(K316," ",""),"0",""),"-",""))),1,0))+IF(UPPER(L317)="X",0,IF((LEN(SUBSTITUTE(SUBSTITUTE(SUBSTITUTE(M317," ",""),"0",""),"-",""))+LEN(SUBSTITUTE(SUBSTITUTE(SUBSTITUTE(N317," ",""),"0",""),"-","")))&gt;(LEN(SUBSTITUTE(SUBSTITUTE(SUBSTITUTE(J317," ",""),"0",""),"-",""))+LEN(SUBSTITUTE(SUBSTITUTE(SUBSTITUTE(K317," ",""),"0",""),"-",""))),1,0))+IF(UPPER(L318)="X",0,IF((LEN(SUBSTITUTE(SUBSTITUTE(SUBSTITUTE(M318," ",""),"0",""),"-",""))+LEN(SUBSTITUTE(SUBSTITUTE(SUBSTITUTE(N318," ",""),"0",""),"-","")))&gt;(LEN(SUBSTITUTE(SUBSTITUTE(SUBSTITUTE(J318," ",""),"0",""),"-",""))+LEN(SUBSTITUTE(SUBSTITUTE(SUBSTITUTE(K318," ",""),"0",""),"-",""))),1,0))</f>
      </c>
      <c r="O313" s="14" t="str">
        <f>data!$E$71&amp;" "&amp;data!$B$71</f>
      </c>
    </row>
    <row r="314">
      <c r="A314" s="14">
        <v>1</v>
      </c>
      <c r="B314" s="18"/>
      <c r="C314" s="18"/>
      <c r="D314" s="18"/>
      <c r="E314" s="18"/>
      <c r="F314" s="18"/>
      <c r="G314" s="14">
        <v>1</v>
      </c>
      <c r="I314" s="14">
        <v>1</v>
      </c>
      <c r="J314" s="18"/>
      <c r="K314" s="18"/>
      <c r="L314" s="18"/>
      <c r="M314" s="18"/>
      <c r="N314" s="18"/>
      <c r="O314" s="14">
        <v>1</v>
      </c>
    </row>
    <row r="315">
      <c r="A315" s="14">
        <v>2</v>
      </c>
      <c r="B315" s="18"/>
      <c r="C315" s="18"/>
      <c r="D315" s="18"/>
      <c r="E315" s="18"/>
      <c r="F315" s="18"/>
      <c r="G315" s="14">
        <v>2</v>
      </c>
      <c r="I315" s="14">
        <v>2</v>
      </c>
      <c r="J315" s="18"/>
      <c r="K315" s="18"/>
      <c r="L315" s="18"/>
      <c r="M315" s="18"/>
      <c r="N315" s="18"/>
      <c r="O315" s="14">
        <v>2</v>
      </c>
    </row>
    <row r="316">
      <c r="A316" s="14">
        <v>3</v>
      </c>
      <c r="B316" s="18"/>
      <c r="C316" s="18"/>
      <c r="D316" s="18"/>
      <c r="E316" s="18"/>
      <c r="F316" s="18"/>
      <c r="G316" s="14">
        <v>3</v>
      </c>
      <c r="I316" s="14">
        <v>3</v>
      </c>
      <c r="J316" s="18"/>
      <c r="K316" s="18"/>
      <c r="L316" s="18"/>
      <c r="M316" s="18"/>
      <c r="N316" s="18"/>
      <c r="O316" s="14">
        <v>3</v>
      </c>
    </row>
    <row r="317">
      <c r="A317" s="14">
        <v>4</v>
      </c>
      <c r="B317" s="18"/>
      <c r="C317" s="18"/>
      <c r="D317" s="18"/>
      <c r="E317" s="18"/>
      <c r="F317" s="18"/>
      <c r="G317" s="14">
        <v>4</v>
      </c>
      <c r="I317" s="14">
        <v>4</v>
      </c>
      <c r="J317" s="18"/>
      <c r="K317" s="18"/>
      <c r="L317" s="18"/>
      <c r="M317" s="18"/>
      <c r="N317" s="18"/>
      <c r="O317" s="14">
        <v>4</v>
      </c>
    </row>
    <row r="318">
      <c r="A318" s="14">
        <v>5</v>
      </c>
      <c r="B318" s="18"/>
      <c r="C318" s="18"/>
      <c r="D318" s="18"/>
      <c r="E318" s="18"/>
      <c r="F318" s="18"/>
      <c r="G318" s="14">
        <v>5</v>
      </c>
      <c r="I318" s="14">
        <v>5</v>
      </c>
      <c r="J318" s="18"/>
      <c r="K318" s="18"/>
      <c r="L318" s="18"/>
      <c r="M318" s="18"/>
      <c r="N318" s="18"/>
      <c r="O318" s="14">
        <v>5</v>
      </c>
    </row>
    <row r="320">
      <c r="A320" s="17" t="s">
        <v>331</v>
      </c>
      <c r="B320" s="14"/>
      <c r="C320" s="14"/>
      <c r="D320" s="14" t="s">
        <v>332</v>
      </c>
      <c r="E320" s="14"/>
      <c r="F320" s="14"/>
      <c r="G320" s="16" t="s">
        <v>333</v>
      </c>
      <c r="I320" s="17" t="s">
        <v>331</v>
      </c>
      <c r="J320" s="14"/>
      <c r="K320" s="14"/>
      <c r="L320" s="14" t="s">
        <v>332</v>
      </c>
      <c r="M320" s="14"/>
      <c r="N320" s="14"/>
      <c r="O320" s="16" t="s">
        <v>333</v>
      </c>
    </row>
    <row r="321">
      <c r="A321" s="14" t="str">
        <f>data!$E$26&amp;" "&amp;data!$B$26</f>
      </c>
      <c r="B321" s="14" t="str">
        <f>IF(UPPER(D322)="X",0,IF((LEN(SUBSTITUTE(SUBSTITUTE(SUBSTITUTE(B322," ",""),"0",""),"-",""))+LEN(SUBSTITUTE(SUBSTITUTE(SUBSTITUTE(C322," ",""),"0",""),"-","")))&gt;(LEN(SUBSTITUTE(SUBSTITUTE(SUBSTITUTE(E322," ",""),"0",""),"-",""))+LEN(SUBSTITUTE(SUBSTITUTE(SUBSTITUTE(F322," ",""),"0",""),"-",""))),1,0))+IF(UPPER(D323)="X",0,IF((LEN(SUBSTITUTE(SUBSTITUTE(SUBSTITUTE(B323," ",""),"0",""),"-",""))+LEN(SUBSTITUTE(SUBSTITUTE(SUBSTITUTE(C323," ",""),"0",""),"-","")))&gt;(LEN(SUBSTITUTE(SUBSTITUTE(SUBSTITUTE(E323," ",""),"0",""),"-",""))+LEN(SUBSTITUTE(SUBSTITUTE(SUBSTITUTE(F323," ",""),"0",""),"-",""))),1,0))+IF(UPPER(D324)="X",0,IF((LEN(SUBSTITUTE(SUBSTITUTE(SUBSTITUTE(B324," ",""),"0",""),"-",""))+LEN(SUBSTITUTE(SUBSTITUTE(SUBSTITUTE(C324," ",""),"0",""),"-","")))&gt;(LEN(SUBSTITUTE(SUBSTITUTE(SUBSTITUTE(E324," ",""),"0",""),"-",""))+LEN(SUBSTITUTE(SUBSTITUTE(SUBSTITUTE(F324," ",""),"0",""),"-",""))),1,0))+IF(UPPER(D325)="X",0,IF((LEN(SUBSTITUTE(SUBSTITUTE(SUBSTITUTE(B325," ",""),"0",""),"-",""))+LEN(SUBSTITUTE(SUBSTITUTE(SUBSTITUTE(C325," ",""),"0",""),"-","")))&gt;(LEN(SUBSTITUTE(SUBSTITUTE(SUBSTITUTE(E325," ",""),"0",""),"-",""))+LEN(SUBSTITUTE(SUBSTITUTE(SUBSTITUTE(F325," ",""),"0",""),"-",""))),1,0))+IF(UPPER(D326)="X",0,IF((LEN(SUBSTITUTE(SUBSTITUTE(SUBSTITUTE(B326," ",""),"0",""),"-",""))+LEN(SUBSTITUTE(SUBSTITUTE(SUBSTITUTE(C326," ",""),"0",""),"-","")))&gt;(LEN(SUBSTITUTE(SUBSTITUTE(SUBSTITUTE(E326," ",""),"0",""),"-",""))+LEN(SUBSTITUTE(SUBSTITUTE(SUBSTITUTE(F326," ",""),"0",""),"-",""))),1,0))</f>
      </c>
      <c r="C321" s="14" t="str">
        <f>LEN(SUBSTITUTE(SUBSTITUTE(SUBSTITUTE(B322," ",""),"0",""),"-",""))+LEN(SUBSTITUTE(SUBSTITUTE(SUBSTITUTE(C322," ",""),"0",""),"-",""))+LEN(SUBSTITUTE(SUBSTITUTE(SUBSTITUTE(B323," ",""),"0",""),"-",""))+LEN(SUBSTITUTE(SUBSTITUTE(SUBSTITUTE(C323," ",""),"0",""),"-",""))+LEN(SUBSTITUTE(SUBSTITUTE(SUBSTITUTE(B324," ",""),"0",""),"-",""))+LEN(SUBSTITUTE(SUBSTITUTE(SUBSTITUTE(C324," ",""),"0",""),"-",""))+LEN(SUBSTITUTE(SUBSTITUTE(SUBSTITUTE(B325," ",""),"0",""),"-",""))+LEN(SUBSTITUTE(SUBSTITUTE(SUBSTITUTE(C325," ",""),"0",""),"-",""))+LEN(SUBSTITUTE(SUBSTITUTE(SUBSTITUTE(B326," ",""),"0",""),"-",""))+LEN(SUBSTITUTE(SUBSTITUTE(SUBSTITUTE(C326," ",""),"0",""),"-",""))</f>
      </c>
      <c r="D321" s="18"/>
      <c r="E321" s="14" t="str">
        <f>LEN(SUBSTITUTE(SUBSTITUTE(SUBSTITUTE(E322," ",""),"0",""),"-",""))+LEN(SUBSTITUTE(SUBSTITUTE(SUBSTITUTE(F322," ",""),"0",""),"-",""))+LEN(SUBSTITUTE(SUBSTITUTE(SUBSTITUTE(E323," ",""),"0",""),"-",""))+LEN(SUBSTITUTE(SUBSTITUTE(SUBSTITUTE(F323," ",""),"0",""),"-",""))+LEN(SUBSTITUTE(SUBSTITUTE(SUBSTITUTE(E324," ",""),"0",""),"-",""))+LEN(SUBSTITUTE(SUBSTITUTE(SUBSTITUTE(F324," ",""),"0",""),"-",""))+LEN(SUBSTITUTE(SUBSTITUTE(SUBSTITUTE(E325," ",""),"0",""),"-",""))+LEN(SUBSTITUTE(SUBSTITUTE(SUBSTITUTE(F325," ",""),"0",""),"-",""))+LEN(SUBSTITUTE(SUBSTITUTE(SUBSTITUTE(E326," ",""),"0",""),"-",""))+LEN(SUBSTITUTE(SUBSTITUTE(SUBSTITUTE(F326," ",""),"0",""),"-",""))</f>
      </c>
      <c r="F321" s="14" t="str">
        <f>IF(UPPER(D322)="X",0,IF((LEN(SUBSTITUTE(SUBSTITUTE(SUBSTITUTE(E322," ",""),"0",""),"-",""))+LEN(SUBSTITUTE(SUBSTITUTE(SUBSTITUTE(F322," ",""),"0",""),"-","")))&gt;(LEN(SUBSTITUTE(SUBSTITUTE(SUBSTITUTE(B322," ",""),"0",""),"-",""))+LEN(SUBSTITUTE(SUBSTITUTE(SUBSTITUTE(C322," ",""),"0",""),"-",""))),1,0))+IF(UPPER(D323)="X",0,IF((LEN(SUBSTITUTE(SUBSTITUTE(SUBSTITUTE(E323," ",""),"0",""),"-",""))+LEN(SUBSTITUTE(SUBSTITUTE(SUBSTITUTE(F323," ",""),"0",""),"-","")))&gt;(LEN(SUBSTITUTE(SUBSTITUTE(SUBSTITUTE(B323," ",""),"0",""),"-",""))+LEN(SUBSTITUTE(SUBSTITUTE(SUBSTITUTE(C323," ",""),"0",""),"-",""))),1,0))+IF(UPPER(D324)="X",0,IF((LEN(SUBSTITUTE(SUBSTITUTE(SUBSTITUTE(E324," ",""),"0",""),"-",""))+LEN(SUBSTITUTE(SUBSTITUTE(SUBSTITUTE(F324," ",""),"0",""),"-","")))&gt;(LEN(SUBSTITUTE(SUBSTITUTE(SUBSTITUTE(B324," ",""),"0",""),"-",""))+LEN(SUBSTITUTE(SUBSTITUTE(SUBSTITUTE(C324," ",""),"0",""),"-",""))),1,0))+IF(UPPER(D325)="X",0,IF((LEN(SUBSTITUTE(SUBSTITUTE(SUBSTITUTE(E325," ",""),"0",""),"-",""))+LEN(SUBSTITUTE(SUBSTITUTE(SUBSTITUTE(F325," ",""),"0",""),"-","")))&gt;(LEN(SUBSTITUTE(SUBSTITUTE(SUBSTITUTE(B325," ",""),"0",""),"-",""))+LEN(SUBSTITUTE(SUBSTITUTE(SUBSTITUTE(C325," ",""),"0",""),"-",""))),1,0))+IF(UPPER(D326)="X",0,IF((LEN(SUBSTITUTE(SUBSTITUTE(SUBSTITUTE(E326," ",""),"0",""),"-",""))+LEN(SUBSTITUTE(SUBSTITUTE(SUBSTITUTE(F326," ",""),"0",""),"-","")))&gt;(LEN(SUBSTITUTE(SUBSTITUTE(SUBSTITUTE(B326," ",""),"0",""),"-",""))+LEN(SUBSTITUTE(SUBSTITUTE(SUBSTITUTE(C326," ",""),"0",""),"-",""))),1,0))</f>
      </c>
      <c r="G321" s="14" t="str">
        <f>data!$E$25&amp;" "&amp;data!$B$25</f>
      </c>
      <c r="I321" s="14" t="str">
        <f>data!$E$73&amp;" "&amp;data!$B$73</f>
      </c>
      <c r="J321" s="14" t="str">
        <f>IF(UPPER(L322)="X",0,IF((LEN(SUBSTITUTE(SUBSTITUTE(SUBSTITUTE(J322," ",""),"0",""),"-",""))+LEN(SUBSTITUTE(SUBSTITUTE(SUBSTITUTE(K322," ",""),"0",""),"-","")))&gt;(LEN(SUBSTITUTE(SUBSTITUTE(SUBSTITUTE(M322," ",""),"0",""),"-",""))+LEN(SUBSTITUTE(SUBSTITUTE(SUBSTITUTE(N322," ",""),"0",""),"-",""))),1,0))+IF(UPPER(L323)="X",0,IF((LEN(SUBSTITUTE(SUBSTITUTE(SUBSTITUTE(J323," ",""),"0",""),"-",""))+LEN(SUBSTITUTE(SUBSTITUTE(SUBSTITUTE(K323," ",""),"0",""),"-","")))&gt;(LEN(SUBSTITUTE(SUBSTITUTE(SUBSTITUTE(M323," ",""),"0",""),"-",""))+LEN(SUBSTITUTE(SUBSTITUTE(SUBSTITUTE(N323," ",""),"0",""),"-",""))),1,0))+IF(UPPER(L324)="X",0,IF((LEN(SUBSTITUTE(SUBSTITUTE(SUBSTITUTE(J324," ",""),"0",""),"-",""))+LEN(SUBSTITUTE(SUBSTITUTE(SUBSTITUTE(K324," ",""),"0",""),"-","")))&gt;(LEN(SUBSTITUTE(SUBSTITUTE(SUBSTITUTE(M324," ",""),"0",""),"-",""))+LEN(SUBSTITUTE(SUBSTITUTE(SUBSTITUTE(N324," ",""),"0",""),"-",""))),1,0))+IF(UPPER(L325)="X",0,IF((LEN(SUBSTITUTE(SUBSTITUTE(SUBSTITUTE(J325," ",""),"0",""),"-",""))+LEN(SUBSTITUTE(SUBSTITUTE(SUBSTITUTE(K325," ",""),"0",""),"-","")))&gt;(LEN(SUBSTITUTE(SUBSTITUTE(SUBSTITUTE(M325," ",""),"0",""),"-",""))+LEN(SUBSTITUTE(SUBSTITUTE(SUBSTITUTE(N325," ",""),"0",""),"-",""))),1,0))+IF(UPPER(L326)="X",0,IF((LEN(SUBSTITUTE(SUBSTITUTE(SUBSTITUTE(J326," ",""),"0",""),"-",""))+LEN(SUBSTITUTE(SUBSTITUTE(SUBSTITUTE(K326," ",""),"0",""),"-","")))&gt;(LEN(SUBSTITUTE(SUBSTITUTE(SUBSTITUTE(M326," ",""),"0",""),"-",""))+LEN(SUBSTITUTE(SUBSTITUTE(SUBSTITUTE(N326," ",""),"0",""),"-",""))),1,0))</f>
      </c>
      <c r="K321" s="14" t="str">
        <f>LEN(SUBSTITUTE(SUBSTITUTE(SUBSTITUTE(J322," ",""),"0",""),"-",""))+LEN(SUBSTITUTE(SUBSTITUTE(SUBSTITUTE(K322," ",""),"0",""),"-",""))+LEN(SUBSTITUTE(SUBSTITUTE(SUBSTITUTE(J323," ",""),"0",""),"-",""))+LEN(SUBSTITUTE(SUBSTITUTE(SUBSTITUTE(K323," ",""),"0",""),"-",""))+LEN(SUBSTITUTE(SUBSTITUTE(SUBSTITUTE(J324," ",""),"0",""),"-",""))+LEN(SUBSTITUTE(SUBSTITUTE(SUBSTITUTE(K324," ",""),"0",""),"-",""))+LEN(SUBSTITUTE(SUBSTITUTE(SUBSTITUTE(J325," ",""),"0",""),"-",""))+LEN(SUBSTITUTE(SUBSTITUTE(SUBSTITUTE(K325," ",""),"0",""),"-",""))+LEN(SUBSTITUTE(SUBSTITUTE(SUBSTITUTE(J326," ",""),"0",""),"-",""))+LEN(SUBSTITUTE(SUBSTITUTE(SUBSTITUTE(K326," ",""),"0",""),"-",""))</f>
      </c>
      <c r="L321" s="18"/>
      <c r="M321" s="14" t="str">
        <f>LEN(SUBSTITUTE(SUBSTITUTE(SUBSTITUTE(M322," ",""),"0",""),"-",""))+LEN(SUBSTITUTE(SUBSTITUTE(SUBSTITUTE(N322," ",""),"0",""),"-",""))+LEN(SUBSTITUTE(SUBSTITUTE(SUBSTITUTE(M323," ",""),"0",""),"-",""))+LEN(SUBSTITUTE(SUBSTITUTE(SUBSTITUTE(N323," ",""),"0",""),"-",""))+LEN(SUBSTITUTE(SUBSTITUTE(SUBSTITUTE(M324," ",""),"0",""),"-",""))+LEN(SUBSTITUTE(SUBSTITUTE(SUBSTITUTE(N324," ",""),"0",""),"-",""))+LEN(SUBSTITUTE(SUBSTITUTE(SUBSTITUTE(M325," ",""),"0",""),"-",""))+LEN(SUBSTITUTE(SUBSTITUTE(SUBSTITUTE(N325," ",""),"0",""),"-",""))+LEN(SUBSTITUTE(SUBSTITUTE(SUBSTITUTE(M326," ",""),"0",""),"-",""))+LEN(SUBSTITUTE(SUBSTITUTE(SUBSTITUTE(N326," ",""),"0",""),"-",""))</f>
      </c>
      <c r="N321" s="14" t="str">
        <f>IF(UPPER(L322)="X",0,IF((LEN(SUBSTITUTE(SUBSTITUTE(SUBSTITUTE(M322," ",""),"0",""),"-",""))+LEN(SUBSTITUTE(SUBSTITUTE(SUBSTITUTE(N322," ",""),"0",""),"-","")))&gt;(LEN(SUBSTITUTE(SUBSTITUTE(SUBSTITUTE(J322," ",""),"0",""),"-",""))+LEN(SUBSTITUTE(SUBSTITUTE(SUBSTITUTE(K322," ",""),"0",""),"-",""))),1,0))+IF(UPPER(L323)="X",0,IF((LEN(SUBSTITUTE(SUBSTITUTE(SUBSTITUTE(M323," ",""),"0",""),"-",""))+LEN(SUBSTITUTE(SUBSTITUTE(SUBSTITUTE(N323," ",""),"0",""),"-","")))&gt;(LEN(SUBSTITUTE(SUBSTITUTE(SUBSTITUTE(J323," ",""),"0",""),"-",""))+LEN(SUBSTITUTE(SUBSTITUTE(SUBSTITUTE(K323," ",""),"0",""),"-",""))),1,0))+IF(UPPER(L324)="X",0,IF((LEN(SUBSTITUTE(SUBSTITUTE(SUBSTITUTE(M324," ",""),"0",""),"-",""))+LEN(SUBSTITUTE(SUBSTITUTE(SUBSTITUTE(N324," ",""),"0",""),"-","")))&gt;(LEN(SUBSTITUTE(SUBSTITUTE(SUBSTITUTE(J324," ",""),"0",""),"-",""))+LEN(SUBSTITUTE(SUBSTITUTE(SUBSTITUTE(K324," ",""),"0",""),"-",""))),1,0))+IF(UPPER(L325)="X",0,IF((LEN(SUBSTITUTE(SUBSTITUTE(SUBSTITUTE(M325," ",""),"0",""),"-",""))+LEN(SUBSTITUTE(SUBSTITUTE(SUBSTITUTE(N325," ",""),"0",""),"-","")))&gt;(LEN(SUBSTITUTE(SUBSTITUTE(SUBSTITUTE(J325," ",""),"0",""),"-",""))+LEN(SUBSTITUTE(SUBSTITUTE(SUBSTITUTE(K325," ",""),"0",""),"-",""))),1,0))+IF(UPPER(L326)="X",0,IF((LEN(SUBSTITUTE(SUBSTITUTE(SUBSTITUTE(M326," ",""),"0",""),"-",""))+LEN(SUBSTITUTE(SUBSTITUTE(SUBSTITUTE(N326," ",""),"0",""),"-","")))&gt;(LEN(SUBSTITUTE(SUBSTITUTE(SUBSTITUTE(J326," ",""),"0",""),"-",""))+LEN(SUBSTITUTE(SUBSTITUTE(SUBSTITUTE(K326," ",""),"0",""),"-",""))),1,0))</f>
      </c>
      <c r="O321" s="14" t="str">
        <f>data!$E$72&amp;" "&amp;data!$B$72</f>
      </c>
    </row>
    <row r="322">
      <c r="A322" s="14">
        <v>1</v>
      </c>
      <c r="B322" s="18"/>
      <c r="C322" s="18"/>
      <c r="D322" s="18"/>
      <c r="E322" s="18"/>
      <c r="F322" s="18"/>
      <c r="G322" s="14">
        <v>1</v>
      </c>
      <c r="I322" s="14">
        <v>1</v>
      </c>
      <c r="J322" s="18"/>
      <c r="K322" s="18"/>
      <c r="L322" s="18"/>
      <c r="M322" s="18"/>
      <c r="N322" s="18"/>
      <c r="O322" s="14">
        <v>1</v>
      </c>
    </row>
    <row r="323">
      <c r="A323" s="14">
        <v>2</v>
      </c>
      <c r="B323" s="18"/>
      <c r="C323" s="18"/>
      <c r="D323" s="18"/>
      <c r="E323" s="18"/>
      <c r="F323" s="18"/>
      <c r="G323" s="14">
        <v>2</v>
      </c>
      <c r="I323" s="14">
        <v>2</v>
      </c>
      <c r="J323" s="18"/>
      <c r="K323" s="18"/>
      <c r="L323" s="18"/>
      <c r="M323" s="18"/>
      <c r="N323" s="18"/>
      <c r="O323" s="14">
        <v>2</v>
      </c>
    </row>
    <row r="324">
      <c r="A324" s="14">
        <v>3</v>
      </c>
      <c r="B324" s="18"/>
      <c r="C324" s="18"/>
      <c r="D324" s="18"/>
      <c r="E324" s="18"/>
      <c r="F324" s="18"/>
      <c r="G324" s="14">
        <v>3</v>
      </c>
      <c r="I324" s="14">
        <v>3</v>
      </c>
      <c r="J324" s="18"/>
      <c r="K324" s="18"/>
      <c r="L324" s="18"/>
      <c r="M324" s="18"/>
      <c r="N324" s="18"/>
      <c r="O324" s="14">
        <v>3</v>
      </c>
    </row>
    <row r="325">
      <c r="A325" s="14">
        <v>4</v>
      </c>
      <c r="B325" s="18"/>
      <c r="C325" s="18"/>
      <c r="D325" s="18"/>
      <c r="E325" s="18"/>
      <c r="F325" s="18"/>
      <c r="G325" s="14">
        <v>4</v>
      </c>
      <c r="I325" s="14">
        <v>4</v>
      </c>
      <c r="J325" s="18"/>
      <c r="K325" s="18"/>
      <c r="L325" s="18"/>
      <c r="M325" s="18"/>
      <c r="N325" s="18"/>
      <c r="O325" s="14">
        <v>4</v>
      </c>
    </row>
    <row r="326">
      <c r="A326" s="14">
        <v>5</v>
      </c>
      <c r="B326" s="18"/>
      <c r="C326" s="18"/>
      <c r="D326" s="18"/>
      <c r="E326" s="18"/>
      <c r="F326" s="18"/>
      <c r="G326" s="14">
        <v>5</v>
      </c>
      <c r="I326" s="14">
        <v>5</v>
      </c>
      <c r="J326" s="18"/>
      <c r="K326" s="18"/>
      <c r="L326" s="18"/>
      <c r="M326" s="18"/>
      <c r="N326" s="18"/>
      <c r="O326" s="14">
        <v>5</v>
      </c>
    </row>
    <row r="329">
      <c r="A329" s="13" t="s">
        <v>334</v>
      </c>
      <c r="B329" s="13" t="s">
        <v>335</v>
      </c>
      <c r="C329" s="13" t="s">
        <v>336</v>
      </c>
      <c r="D329" s="13" t="s">
        <v>337</v>
      </c>
      <c r="E329" s="13"/>
      <c r="F329" s="13"/>
      <c r="G329" s="13" t="s">
        <v>338</v>
      </c>
      <c r="I329" s="13" t="s">
        <v>334</v>
      </c>
      <c r="J329" s="13" t="s">
        <v>335</v>
      </c>
      <c r="K329" s="13" t="s">
        <v>336</v>
      </c>
      <c r="L329" s="13" t="s">
        <v>337</v>
      </c>
      <c r="M329" s="13"/>
      <c r="N329" s="13"/>
      <c r="O329" s="13" t="s">
        <v>338</v>
      </c>
    </row>
    <row r="330">
      <c r="A330" s="14" t="str">
        <f>data!$E$24&amp;" "&amp;data!$B$24</f>
      </c>
      <c r="B330" s="14" t="str">
        <f>IF(OR(COUNTA(B306:C310,E306:F310)&gt;0,D306="X",D306="x",D307="X",D307="x",D308="X",D308="x",D309="X",D309="x",D310="X",D310="x",OR(D305="X",D305="x")),IF(OR(OR(D305="X",D305="x"),AND(B305=F305,C305=E305)),0,IF(OR(F305&gt;B305,AND(F305=B305,E305&gt;C305)),1,0)),0)+IF(OR(COUNTA(B314:C318,E314:F318)&gt;0,D314="X",D314="x",D315="X",D315="x",D316="X",D316="x",D317="X",D317="x",D318="X",D318="x",OR(D313="X",D313="x")),IF(OR(OR(D313="X",D313="x"),AND(B313=F313,C313=E313)),0,IF(OR(F313&gt;B313,AND(F313=B313,E313&gt;C313)),1,0)),0)</f>
      </c>
      <c r="C330" s="14" t="str">
        <f>IF(OR(COUNTA(B306:C310,E306:F310)&gt;0,D306="X",D306="x",D307="X",D307="x",D308="X",D308="x",D309="X",D309="x",D310="X",D310="x",OR(D305="X",D305="x")),IF(OR(OR(D305="X",D305="x"),AND(B305=F305,C305=E305)),0,IF(OR(F305&lt;B305,AND(F305=B305,E305&lt;C305)),1,0)),0)+IF(OR(COUNTA(B314:C318,E314:F318)&gt;0,D314="X",D314="x",D315="X",D315="x",D316="X",D316="x",D317="X",D317="x",D318="X",D318="x",OR(D313="X",D313="x")),IF(OR(OR(D313="X",D313="x"),AND(B313=F313,C313=E313)),0,IF(OR(F313&lt;B313,AND(F313=B313,E313&lt;C313)),1,0)),0)</f>
      </c>
      <c r="D330" s="14" t="str">
        <f>IF(OR(COUNTA(B306:C310,E306:F310)&gt;0,D306="X",D306="x",D307="X",D307="x",D308="X",D308="x",D309="X",D309="x",D310="X",D310="x",OR(D305="X",D305="x")),IF(OR(OR(D305="X",D305="x"),AND(B305=F305,C305=E305)),1,0),0)+IF(OR(COUNTA(B314:C318,E314:F318)&gt;0,D314="X",D314="x",D315="X",D315="x",D316="X",D316="x",D317="X",D317="x",D318="X",D318="x",OR(D313="X",D313="x")),IF(OR(OR(D313="X",D313="x"),AND(B313=F313,C313=E313)),1,0),0)</f>
      </c>
      <c r="G330" s="18" t="str">
        <f>RANK(U330,$U$330:$U$332)+COUNTIF($U$329:U329,U330)</f>
      </c>
      <c r="I330" s="14" t="str">
        <f>data!$E$71&amp;" "&amp;data!$B$71</f>
      </c>
      <c r="J330" s="14" t="str">
        <f>IF(OR(COUNTA(J306:K310,M306:N310)&gt;0,L306="X",L306="x",L307="X",L307="x",L308="X",L308="x",L309="X",L309="x",L310="X",L310="x",OR(L305="X",L305="x")),IF(OR(OR(L305="X",L305="x"),AND(J305=N305,K305=M305)),0,IF(OR(N305&gt;J305,AND(N305=J305,M305&gt;K305)),1,0)),0)+IF(OR(COUNTA(J314:K318,M314:N318)&gt;0,L314="X",L314="x",L315="X",L315="x",L316="X",L316="x",L317="X",L317="x",L318="X",L318="x",OR(L313="X",L313="x")),IF(OR(OR(L313="X",L313="x"),AND(J313=N313,K313=M313)),0,IF(OR(N313&gt;J313,AND(N313=J313,M313&gt;K313)),1,0)),0)</f>
      </c>
      <c r="K330" s="14" t="str">
        <f>IF(OR(COUNTA(J306:K310,M306:N310)&gt;0,L306="X",L306="x",L307="X",L307="x",L308="X",L308="x",L309="X",L309="x",L310="X",L310="x",OR(L305="X",L305="x")),IF(OR(OR(L305="X",L305="x"),AND(J305=N305,K305=M305)),0,IF(OR(N305&lt;J305,AND(N305=J305,M305&lt;K305)),1,0)),0)+IF(OR(COUNTA(J314:K318,M314:N318)&gt;0,L314="X",L314="x",L315="X",L315="x",L316="X",L316="x",L317="X",L317="x",L318="X",L318="x",OR(L313="X",L313="x")),IF(OR(OR(L313="X",L313="x"),AND(J313=N313,K313=M313)),0,IF(OR(N313&lt;J313,AND(N313=J313,M313&lt;K313)),1,0)),0)</f>
      </c>
      <c r="L330" s="14" t="str">
        <f>IF(OR(COUNTA(J306:K310,M306:N310)&gt;0,L306="X",L306="x",L307="X",L307="x",L308="X",L308="x",L309="X",L309="x",L310="X",L310="x",OR(L305="X",L305="x")),IF(OR(OR(L305="X",L305="x"),AND(J305=N305,K305=M305)),1,0),0)+IF(OR(COUNTA(J314:K318,M314:N318)&gt;0,L314="X",L314="x",L315="X",L315="x",L316="X",L316="x",L317="X",L317="x",L318="X",L318="x",OR(L313="X",L313="x")),IF(OR(OR(L313="X",L313="x"),AND(J313=N313,K313=M313)),1,0),0)</f>
      </c>
      <c r="O330" s="18" t="str">
        <f>RANK(AC330,$AC$330:$AC$332)+COUNTIF($AC$329:AC329,AC330)</f>
      </c>
      <c r="U330" t="str">
        <f>(B330*1000000000)-(C330*10000000)+(D330*100000)+(B335*1000)-(C335*100)+(D335*10)+(E335*1)-(F335*0.01)</f>
      </c>
      <c r="AC330" t="str">
        <f>(J330*1000000000)-(K330*10000000)+(L330*100000)+(J335*1000)-(K335*100)+(L335*10)+(M335*1)-(N335*0.01)</f>
      </c>
    </row>
    <row r="331">
      <c r="A331" s="14" t="str">
        <f>data!$E$25&amp;" "&amp;data!$B$25</f>
      </c>
      <c r="B331" s="14" t="str">
        <f>IF(OR(COUNTA(B306:C310,E306:F310)&gt;0,D306="X",D306="x",D307="X",D307="x",D308="X",D308="x",D309="X",D309="x",D310="X",D310="x",OR(D305="X",D305="x")),IF(OR(OR(D305="X",D305="x"),AND(B305=F305,C305=E305)),0,IF(OR(B305&gt;F305,AND(B305=F305,C305&gt;E305)),1,0)),0)+IF(OR(COUNTA(B322:C326,E322:F326)&gt;0,D322="X",D322="x",D323="X",D323="x",D324="X",D324="x",D325="X",D325="x",D326="X",D326="x",OR(D321="X",D321="x")),IF(OR(OR(D321="X",D321="x"),AND(B321=F321,C321=E321)),0,IF(OR(F321&gt;B321,AND(F321=B321,E321&gt;C321)),1,0)),0)</f>
      </c>
      <c r="C331" s="14" t="str">
        <f>IF(OR(COUNTA(B306:C310,E306:F310)&gt;0,D306="X",D306="x",D307="X",D307="x",D308="X",D308="x",D309="X",D309="x",D310="X",D310="x",OR(D305="X",D305="x")),IF(OR(OR(D305="X",D305="x"),AND(B305=F305,C305=E305)),0,IF(OR(B305&lt;F305,AND(B305=F305,C305&lt;E305)),1,0)),0)+IF(OR(COUNTA(B322:C326,E322:F326)&gt;0,D322="X",D322="x",D323="X",D323="x",D324="X",D324="x",D325="X",D325="x",D326="X",D326="x",OR(D321="X",D321="x")),IF(OR(OR(D321="X",D321="x"),AND(B321=F321,C321=E321)),0,IF(OR(F321&lt;B321,AND(F321=B321,E321&lt;C321)),1,0)),0)</f>
      </c>
      <c r="D331" s="14" t="str">
        <f>IF(OR(COUNTA(B306:C310,E306:F310)&gt;0,D306="X",D306="x",D307="X",D307="x",D308="X",D308="x",D309="X",D309="x",D310="X",D310="x",OR(D305="X",D305="x")),IF(OR(OR(D305="X",D305="x"),AND(B305=F305,C305=E305)),1,0),0)+IF(OR(COUNTA(B322:C326,E322:F326)&gt;0,D322="X",D322="x",D323="X",D323="x",D324="X",D324="x",D325="X",D325="x",D326="X",D326="x",OR(D321="X",D321="x")),IF(OR(OR(D321="X",D321="x"),AND(B321=F321,C321=E321)),1,0),0)</f>
      </c>
      <c r="G331" s="18" t="str">
        <f>RANK(U331,$U$330:$U$332)+COUNTIF($U$329:U330,U331)</f>
      </c>
      <c r="I331" s="14" t="str">
        <f>data!$E$72&amp;" "&amp;data!$B$72</f>
      </c>
      <c r="J331" s="14" t="str">
        <f>IF(OR(COUNTA(J306:K310,M306:N310)&gt;0,L306="X",L306="x",L307="X",L307="x",L308="X",L308="x",L309="X",L309="x",L310="X",L310="x",OR(L305="X",L305="x")),IF(OR(OR(L305="X",L305="x"),AND(J305=N305,K305=M305)),0,IF(OR(J305&gt;N305,AND(J305=N305,K305&gt;M305)),1,0)),0)+IF(OR(COUNTA(J322:K326,M322:N326)&gt;0,L322="X",L322="x",L323="X",L323="x",L324="X",L324="x",L325="X",L325="x",L326="X",L326="x",OR(L321="X",L321="x")),IF(OR(OR(L321="X",L321="x"),AND(J321=N321,K321=M321)),0,IF(OR(N321&gt;J321,AND(N321=J321,M321&gt;K321)),1,0)),0)</f>
      </c>
      <c r="K331" s="14" t="str">
        <f>IF(OR(COUNTA(J306:K310,M306:N310)&gt;0,L306="X",L306="x",L307="X",L307="x",L308="X",L308="x",L309="X",L309="x",L310="X",L310="x",OR(L305="X",L305="x")),IF(OR(OR(L305="X",L305="x"),AND(J305=N305,K305=M305)),0,IF(OR(J305&lt;N305,AND(J305=N305,K305&lt;M305)),1,0)),0)+IF(OR(COUNTA(J322:K326,M322:N326)&gt;0,L322="X",L322="x",L323="X",L323="x",L324="X",L324="x",L325="X",L325="x",L326="X",L326="x",OR(L321="X",L321="x")),IF(OR(OR(L321="X",L321="x"),AND(J321=N321,K321=M321)),0,IF(OR(N321&lt;J321,AND(N321=J321,M321&lt;K321)),1,0)),0)</f>
      </c>
      <c r="L331" s="14" t="str">
        <f>IF(OR(COUNTA(J306:K310,M306:N310)&gt;0,L306="X",L306="x",L307="X",L307="x",L308="X",L308="x",L309="X",L309="x",L310="X",L310="x",OR(L305="X",L305="x")),IF(OR(OR(L305="X",L305="x"),AND(J305=N305,K305=M305)),1,0),0)+IF(OR(COUNTA(J322:K326,M322:N326)&gt;0,L322="X",L322="x",L323="X",L323="x",L324="X",L324="x",L325="X",L325="x",L326="X",L326="x",OR(L321="X",L321="x")),IF(OR(OR(L321="X",L321="x"),AND(J321=N321,K321=M321)),1,0),0)</f>
      </c>
      <c r="O331" s="18" t="str">
        <f>RANK(AC331,$AC$330:$AC$332)+COUNTIF($AC$329:AC330,AC331)</f>
      </c>
      <c r="U331" t="str">
        <f>(B331*1000000000)-(C331*10000000)+(D331*100000)+(B336*1000)-(C336*100)+(D336*10)+(E336*1)-(F336*0.01)</f>
      </c>
      <c r="AC331" t="str">
        <f>(J331*1000000000)-(K331*10000000)+(L331*100000)+(J336*1000)-(K336*100)+(L336*10)+(M336*1)-(N336*0.01)</f>
      </c>
    </row>
    <row r="332">
      <c r="A332" s="14" t="str">
        <f>data!$E$26&amp;" "&amp;data!$B$26</f>
      </c>
      <c r="B332" s="14" t="str">
        <f>IF(OR(COUNTA(B314:C318,E314:F318)&gt;0,D314="X",D314="x",D315="X",D315="x",D316="X",D316="x",D317="X",D317="x",D318="X",D318="x",OR(D313="X",D313="x")),IF(OR(OR(D313="X",D313="x"),AND(B313=F313,C313=E313)),0,IF(OR(B313&gt;F313,AND(B313=F313,C313&gt;E313)),1,0)),0)+IF(OR(COUNTA(B322:C326,E322:F326)&gt;0,D322="X",D322="x",D323="X",D323="x",D324="X",D324="x",D325="X",D325="x",D326="X",D326="x",OR(D321="X",D321="x")),IF(OR(OR(D321="X",D321="x"),AND(B321=F321,C321=E321)),0,IF(OR(B321&gt;F321,AND(B321=F321,C321&gt;E321)),1,0)),0)</f>
      </c>
      <c r="C332" s="14" t="str">
        <f>IF(OR(COUNTA(B314:C318,E314:F318)&gt;0,D314="X",D314="x",D315="X",D315="x",D316="X",D316="x",D317="X",D317="x",D318="X",D318="x",OR(D313="X",D313="x")),IF(OR(OR(D313="X",D313="x"),AND(B313=F313,C313=E313)),0,IF(OR(B313&lt;F313,AND(B313=F313,C313&lt;E313)),1,0)),0)+IF(OR(COUNTA(B322:C326,E322:F326)&gt;0,D322="X",D322="x",D323="X",D323="x",D324="X",D324="x",D325="X",D325="x",D326="X",D326="x",OR(D321="X",D321="x")),IF(OR(OR(D321="X",D321="x"),AND(B321=F321,C321=E321)),0,IF(OR(B321&lt;F321,AND(B321=F321,C321&lt;E321)),1,0)),0)</f>
      </c>
      <c r="D332" s="14" t="str">
        <f>IF(OR(COUNTA(B314:C318,E314:F318)&gt;0,D314="X",D314="x",D315="X",D315="x",D316="X",D316="x",D317="X",D317="x",D318="X",D318="x",OR(D313="X",D313="x")),IF(OR(OR(D313="X",D313="x"),AND(B313=F313,C313=E313)),1,0),0)+IF(OR(COUNTA(B322:C326,E322:F326)&gt;0,D322="X",D322="x",D323="X",D323="x",D324="X",D324="x",D325="X",D325="x",D326="X",D326="x",OR(D321="X",D321="x")),IF(OR(OR(D321="X",D321="x"),AND(B321=F321,C321=E321)),1,0),0)</f>
      </c>
      <c r="G332" s="18" t="str">
        <f>RANK(U332,$U$330:$U$332)+COUNTIF($U$329:U331,U332)</f>
      </c>
      <c r="I332" s="14" t="str">
        <f>data!$E$73&amp;" "&amp;data!$B$73</f>
      </c>
      <c r="J332" s="14" t="str">
        <f>IF(OR(COUNTA(J314:K318,M314:N318)&gt;0,L314="X",L314="x",L315="X",L315="x",L316="X",L316="x",L317="X",L317="x",L318="X",L318="x",OR(L313="X",L313="x")),IF(OR(OR(L313="X",L313="x"),AND(J313=N313,K313=M313)),0,IF(OR(J313&gt;N313,AND(J313=N313,K313&gt;M313)),1,0)),0)+IF(OR(COUNTA(J322:K326,M322:N326)&gt;0,L322="X",L322="x",L323="X",L323="x",L324="X",L324="x",L325="X",L325="x",L326="X",L326="x",OR(L321="X",L321="x")),IF(OR(OR(L321="X",L321="x"),AND(J321=N321,K321=M321)),0,IF(OR(J321&gt;N321,AND(J321=N321,K321&gt;M321)),1,0)),0)</f>
      </c>
      <c r="K332" s="14" t="str">
        <f>IF(OR(COUNTA(J314:K318,M314:N318)&gt;0,L314="X",L314="x",L315="X",L315="x",L316="X",L316="x",L317="X",L317="x",L318="X",L318="x",OR(L313="X",L313="x")),IF(OR(OR(L313="X",L313="x"),AND(J313=N313,K313=M313)),0,IF(OR(J313&lt;N313,AND(J313=N313,K313&lt;M313)),1,0)),0)+IF(OR(COUNTA(J322:K326,M322:N326)&gt;0,L322="X",L322="x",L323="X",L323="x",L324="X",L324="x",L325="X",L325="x",L326="X",L326="x",OR(L321="X",L321="x")),IF(OR(OR(L321="X",L321="x"),AND(J321=N321,K321=M321)),0,IF(OR(J321&lt;N321,AND(J321=N321,K321&lt;M321)),1,0)),0)</f>
      </c>
      <c r="L332" s="14" t="str">
        <f>IF(OR(COUNTA(J314:K318,M314:N318)&gt;0,L314="X",L314="x",L315="X",L315="x",L316="X",L316="x",L317="X",L317="x",L318="X",L318="x",OR(L313="X",L313="x")),IF(OR(OR(L313="X",L313="x"),AND(J313=N313,K313=M313)),1,0),0)+IF(OR(COUNTA(J322:K326,M322:N326)&gt;0,L322="X",L322="x",L323="X",L323="x",L324="X",L324="x",L325="X",L325="x",L326="X",L326="x",OR(L321="X",L321="x")),IF(OR(OR(L321="X",L321="x"),AND(J321=N321,K321=M321)),1,0),0)</f>
      </c>
      <c r="O332" s="18" t="str">
        <f>RANK(AC332,$AC$330:$AC$332)+COUNTIF($AC$329:AC331,AC332)</f>
      </c>
      <c r="U332" t="str">
        <f>(B332*1000000000)-(C332*10000000)+(D332*100000)+(B337*1000)-(C337*100)+(D337*10)+(E337*1)-(F337*0.01)</f>
      </c>
      <c r="AC332" t="str">
        <f>(J332*1000000000)-(K332*10000000)+(L332*100000)+(J337*1000)-(K337*100)+(L337*10)+(M337*1)-(N337*0.01)</f>
      </c>
    </row>
    <row r="334">
      <c r="A334" s="13"/>
      <c r="B334" s="13" t="s">
        <v>339</v>
      </c>
      <c r="C334" s="13" t="s">
        <v>340</v>
      </c>
      <c r="D334" s="13" t="s">
        <v>341</v>
      </c>
      <c r="E334" s="13" t="s">
        <v>342</v>
      </c>
      <c r="F334" s="13" t="s">
        <v>343</v>
      </c>
      <c r="I334" s="13"/>
      <c r="J334" s="13" t="s">
        <v>339</v>
      </c>
      <c r="K334" s="13" t="s">
        <v>340</v>
      </c>
      <c r="L334" s="13" t="s">
        <v>341</v>
      </c>
      <c r="M334" s="13" t="s">
        <v>342</v>
      </c>
      <c r="N334" s="13" t="s">
        <v>343</v>
      </c>
    </row>
    <row r="335">
      <c r="A335" s="14" t="str">
        <f>data!$E$24&amp;" "&amp;data!$B$24</f>
      </c>
      <c r="B335" s="14" t="str">
        <f>IF(OR(COUNTA(B306:C310,E306:F310)&gt;0,OR(D305="X",D305="x"),UPPER(D306)="X",UPPER(D307)="X",UPPER(D308)="X",UPPER(D309)="X",UPPER(D310)="X"),F305,0)+IF(OR(COUNTA(B314:C318,E314:F318)&gt;0,OR(D313="X",D313="x"),UPPER(D314)="X",UPPER(D315)="X",UPPER(D316)="X",UPPER(D317)="X",UPPER(D318)="X"),F313,0)</f>
      </c>
      <c r="C335" s="14" t="str">
        <f>IF(OR(COUNTA(B306:C310,E306:F310)&gt;0,OR(D305="X",D305="x"),UPPER(D306)="X",UPPER(D307)="X",UPPER(D308)="X",UPPER(D309)="X",UPPER(D310)="X"),B305,0)+IF(OR(COUNTA(B314:C318,E314:F318)&gt;0,OR(D313="X",D313="x"),UPPER(D314)="X",UPPER(D315)="X",UPPER(D316)="X",UPPER(D317)="X",UPPER(D318)="X"),B313,0)</f>
      </c>
      <c r="D335" s="14" t="str">
        <f>IF(OR(COUNTA(B306:C310,E306:F310)&gt;0,OR(D305="X",D305="x"),UPPER(D306)="X",UPPER(D307)="X",UPPER(D308)="X",UPPER(D309)="X",UPPER(D310)="X"),(IF(OR(D306="X",D306="x",AND(COUNTA(B306,C306,E306,F306)&gt;0,(LEN(SUBSTITUTE(SUBSTITUTE(SUBSTITUTE(B306," ",""),"0",""),"-",""))+LEN(SUBSTITUTE(SUBSTITUTE(SUBSTITUTE(C306," ",""),"0",""),"-","")))=(LEN(SUBSTITUTE(SUBSTITUTE(SUBSTITUTE(E306," ",""),"0",""),"-",""))+LEN(SUBSTITUTE(SUBSTITUTE(SUBSTITUTE(F306," ",""),"0",""),"-",""))))),1,0)+IF(OR(D307="X",D307="x",AND(COUNTA(B307,C307,E307,F307)&gt;0,(LEN(SUBSTITUTE(SUBSTITUTE(SUBSTITUTE(B307," ",""),"0",""),"-",""))+LEN(SUBSTITUTE(SUBSTITUTE(SUBSTITUTE(C307," ",""),"0",""),"-","")))=(LEN(SUBSTITUTE(SUBSTITUTE(SUBSTITUTE(E307," ",""),"0",""),"-",""))+LEN(SUBSTITUTE(SUBSTITUTE(SUBSTITUTE(F307," ",""),"0",""),"-",""))))),1,0)+IF(OR(D308="X",D308="x",AND(COUNTA(B308,C308,E308,F308)&gt;0,(LEN(SUBSTITUTE(SUBSTITUTE(SUBSTITUTE(B308," ",""),"0",""),"-",""))+LEN(SUBSTITUTE(SUBSTITUTE(SUBSTITUTE(C308," ",""),"0",""),"-","")))=(LEN(SUBSTITUTE(SUBSTITUTE(SUBSTITUTE(E308," ",""),"0",""),"-",""))+LEN(SUBSTITUTE(SUBSTITUTE(SUBSTITUTE(F308," ",""),"0",""),"-",""))))),1,0)+IF(OR(D309="X",D309="x",AND(COUNTA(B309,C309,E309,F309)&gt;0,(LEN(SUBSTITUTE(SUBSTITUTE(SUBSTITUTE(B309," ",""),"0",""),"-",""))+LEN(SUBSTITUTE(SUBSTITUTE(SUBSTITUTE(C309," ",""),"0",""),"-","")))=(LEN(SUBSTITUTE(SUBSTITUTE(SUBSTITUTE(E309," ",""),"0",""),"-",""))+LEN(SUBSTITUTE(SUBSTITUTE(SUBSTITUTE(F309," ",""),"0",""),"-",""))))),1,0)+IF(OR(D310="X",D310="x",AND(COUNTA(B310,C310,E310,F310)&gt;0,(LEN(SUBSTITUTE(SUBSTITUTE(SUBSTITUTE(B310," ",""),"0",""),"-",""))+LEN(SUBSTITUTE(SUBSTITUTE(SUBSTITUTE(C310," ",""),"0",""),"-","")))=(LEN(SUBSTITUTE(SUBSTITUTE(SUBSTITUTE(E310," ",""),"0",""),"-",""))+LEN(SUBSTITUTE(SUBSTITUTE(SUBSTITUTE(F310," ",""),"0",""),"-",""))))),1,0)),0)+IF(OR(COUNTA(B314:C318,E314:F318)&gt;0,OR(D313="X",D313="x"),UPPER(D314)="X",UPPER(D315)="X",UPPER(D316)="X",UPPER(D317)="X",UPPER(D318)="X"),(IF(OR(D314="X",D314="x",AND(COUNTA(B314,C314,E314,F314)&gt;0,(LEN(SUBSTITUTE(SUBSTITUTE(SUBSTITUTE(B314," ",""),"0",""),"-",""))+LEN(SUBSTITUTE(SUBSTITUTE(SUBSTITUTE(C314," ",""),"0",""),"-","")))=(LEN(SUBSTITUTE(SUBSTITUTE(SUBSTITUTE(E314," ",""),"0",""),"-",""))+LEN(SUBSTITUTE(SUBSTITUTE(SUBSTITUTE(F314," ",""),"0",""),"-",""))))),1,0)+IF(OR(D315="X",D315="x",AND(COUNTA(B315,C315,E315,F315)&gt;0,(LEN(SUBSTITUTE(SUBSTITUTE(SUBSTITUTE(B315," ",""),"0",""),"-",""))+LEN(SUBSTITUTE(SUBSTITUTE(SUBSTITUTE(C315," ",""),"0",""),"-","")))=(LEN(SUBSTITUTE(SUBSTITUTE(SUBSTITUTE(E315," ",""),"0",""),"-",""))+LEN(SUBSTITUTE(SUBSTITUTE(SUBSTITUTE(F315," ",""),"0",""),"-",""))))),1,0)+IF(OR(D316="X",D316="x",AND(COUNTA(B316,C316,E316,F316)&gt;0,(LEN(SUBSTITUTE(SUBSTITUTE(SUBSTITUTE(B316," ",""),"0",""),"-",""))+LEN(SUBSTITUTE(SUBSTITUTE(SUBSTITUTE(C316," ",""),"0",""),"-","")))=(LEN(SUBSTITUTE(SUBSTITUTE(SUBSTITUTE(E316," ",""),"0",""),"-",""))+LEN(SUBSTITUTE(SUBSTITUTE(SUBSTITUTE(F316," ",""),"0",""),"-",""))))),1,0)+IF(OR(D317="X",D317="x",AND(COUNTA(B317,C317,E317,F317)&gt;0,(LEN(SUBSTITUTE(SUBSTITUTE(SUBSTITUTE(B317," ",""),"0",""),"-",""))+LEN(SUBSTITUTE(SUBSTITUTE(SUBSTITUTE(C317," ",""),"0",""),"-","")))=(LEN(SUBSTITUTE(SUBSTITUTE(SUBSTITUTE(E317," ",""),"0",""),"-",""))+LEN(SUBSTITUTE(SUBSTITUTE(SUBSTITUTE(F317," ",""),"0",""),"-",""))))),1,0)+IF(OR(D318="X",D318="x",AND(COUNTA(B318,C318,E318,F318)&gt;0,(LEN(SUBSTITUTE(SUBSTITUTE(SUBSTITUTE(B318," ",""),"0",""),"-",""))+LEN(SUBSTITUTE(SUBSTITUTE(SUBSTITUTE(C318," ",""),"0",""),"-","")))=(LEN(SUBSTITUTE(SUBSTITUTE(SUBSTITUTE(E318," ",""),"0",""),"-",""))+LEN(SUBSTITUTE(SUBSTITUTE(SUBSTITUTE(F318," ",""),"0",""),"-",""))))),1,0)),0)</f>
      </c>
      <c r="E335" s="14" t="str">
        <f>E305+E313</f>
      </c>
      <c r="F335" s="14" t="str">
        <f>C305+C313</f>
      </c>
      <c r="I335" s="14" t="str">
        <f>data!$E$71&amp;" "&amp;data!$B$71</f>
      </c>
      <c r="J335" s="14" t="str">
        <f>IF(OR(COUNTA(J306:K310,M306:N310)&gt;0,OR(L305="X",L305="x"),UPPER(L306)="X",UPPER(L307)="X",UPPER(L308)="X",UPPER(L309)="X",UPPER(L310)="X"),N305,0)+IF(OR(COUNTA(J314:K318,M314:N318)&gt;0,OR(L313="X",L313="x"),UPPER(L314)="X",UPPER(L315)="X",UPPER(L316)="X",UPPER(L317)="X",UPPER(L318)="X"),N313,0)</f>
      </c>
      <c r="K335" s="14" t="str">
        <f>IF(OR(COUNTA(J306:K310,M306:N310)&gt;0,OR(L305="X",L305="x"),UPPER(L306)="X",UPPER(L307)="X",UPPER(L308)="X",UPPER(L309)="X",UPPER(L310)="X"),J305,0)+IF(OR(COUNTA(J314:K318,M314:N318)&gt;0,OR(L313="X",L313="x"),UPPER(L314)="X",UPPER(L315)="X",UPPER(L316)="X",UPPER(L317)="X",UPPER(L318)="X"),J313,0)</f>
      </c>
      <c r="L335" s="14" t="str">
        <f>IF(OR(COUNTA(J306:K310,M306:N310)&gt;0,OR(L305="X",L305="x"),UPPER(L306)="X",UPPER(L307)="X",UPPER(L308)="X",UPPER(L309)="X",UPPER(L310)="X"),(IF(OR(L306="X",L306="x",AND(COUNTA(J306,K306,M306,N306)&gt;0,(LEN(SUBSTITUTE(SUBSTITUTE(SUBSTITUTE(J306," ",""),"0",""),"-",""))+LEN(SUBSTITUTE(SUBSTITUTE(SUBSTITUTE(K306," ",""),"0",""),"-","")))=(LEN(SUBSTITUTE(SUBSTITUTE(SUBSTITUTE(M306," ",""),"0",""),"-",""))+LEN(SUBSTITUTE(SUBSTITUTE(SUBSTITUTE(N306," ",""),"0",""),"-",""))))),1,0)+IF(OR(L307="X",L307="x",AND(COUNTA(J307,K307,M307,N307)&gt;0,(LEN(SUBSTITUTE(SUBSTITUTE(SUBSTITUTE(J307," ",""),"0",""),"-",""))+LEN(SUBSTITUTE(SUBSTITUTE(SUBSTITUTE(K307," ",""),"0",""),"-","")))=(LEN(SUBSTITUTE(SUBSTITUTE(SUBSTITUTE(M307," ",""),"0",""),"-",""))+LEN(SUBSTITUTE(SUBSTITUTE(SUBSTITUTE(N307," ",""),"0",""),"-",""))))),1,0)+IF(OR(L308="X",L308="x",AND(COUNTA(J308,K308,M308,N308)&gt;0,(LEN(SUBSTITUTE(SUBSTITUTE(SUBSTITUTE(J308," ",""),"0",""),"-",""))+LEN(SUBSTITUTE(SUBSTITUTE(SUBSTITUTE(K308," ",""),"0",""),"-","")))=(LEN(SUBSTITUTE(SUBSTITUTE(SUBSTITUTE(M308," ",""),"0",""),"-",""))+LEN(SUBSTITUTE(SUBSTITUTE(SUBSTITUTE(N308," ",""),"0",""),"-",""))))),1,0)+IF(OR(L309="X",L309="x",AND(COUNTA(J309,K309,M309,N309)&gt;0,(LEN(SUBSTITUTE(SUBSTITUTE(SUBSTITUTE(J309," ",""),"0",""),"-",""))+LEN(SUBSTITUTE(SUBSTITUTE(SUBSTITUTE(K309," ",""),"0",""),"-","")))=(LEN(SUBSTITUTE(SUBSTITUTE(SUBSTITUTE(M309," ",""),"0",""),"-",""))+LEN(SUBSTITUTE(SUBSTITUTE(SUBSTITUTE(N309," ",""),"0",""),"-",""))))),1,0)+IF(OR(L310="X",L310="x",AND(COUNTA(J310,K310,M310,N310)&gt;0,(LEN(SUBSTITUTE(SUBSTITUTE(SUBSTITUTE(J310," ",""),"0",""),"-",""))+LEN(SUBSTITUTE(SUBSTITUTE(SUBSTITUTE(K310," ",""),"0",""),"-","")))=(LEN(SUBSTITUTE(SUBSTITUTE(SUBSTITUTE(M310," ",""),"0",""),"-",""))+LEN(SUBSTITUTE(SUBSTITUTE(SUBSTITUTE(N310," ",""),"0",""),"-",""))))),1,0)),0)+IF(OR(COUNTA(J314:K318,M314:N318)&gt;0,OR(L313="X",L313="x"),UPPER(L314)="X",UPPER(L315)="X",UPPER(L316)="X",UPPER(L317)="X",UPPER(L318)="X"),(IF(OR(L314="X",L314="x",AND(COUNTA(J314,K314,M314,N314)&gt;0,(LEN(SUBSTITUTE(SUBSTITUTE(SUBSTITUTE(J314," ",""),"0",""),"-",""))+LEN(SUBSTITUTE(SUBSTITUTE(SUBSTITUTE(K314," ",""),"0",""),"-","")))=(LEN(SUBSTITUTE(SUBSTITUTE(SUBSTITUTE(M314," ",""),"0",""),"-",""))+LEN(SUBSTITUTE(SUBSTITUTE(SUBSTITUTE(N314," ",""),"0",""),"-",""))))),1,0)+IF(OR(L315="X",L315="x",AND(COUNTA(J315,K315,M315,N315)&gt;0,(LEN(SUBSTITUTE(SUBSTITUTE(SUBSTITUTE(J315," ",""),"0",""),"-",""))+LEN(SUBSTITUTE(SUBSTITUTE(SUBSTITUTE(K315," ",""),"0",""),"-","")))=(LEN(SUBSTITUTE(SUBSTITUTE(SUBSTITUTE(M315," ",""),"0",""),"-",""))+LEN(SUBSTITUTE(SUBSTITUTE(SUBSTITUTE(N315," ",""),"0",""),"-",""))))),1,0)+IF(OR(L316="X",L316="x",AND(COUNTA(J316,K316,M316,N316)&gt;0,(LEN(SUBSTITUTE(SUBSTITUTE(SUBSTITUTE(J316," ",""),"0",""),"-",""))+LEN(SUBSTITUTE(SUBSTITUTE(SUBSTITUTE(K316," ",""),"0",""),"-","")))=(LEN(SUBSTITUTE(SUBSTITUTE(SUBSTITUTE(M316," ",""),"0",""),"-",""))+LEN(SUBSTITUTE(SUBSTITUTE(SUBSTITUTE(N316," ",""),"0",""),"-",""))))),1,0)+IF(OR(L317="X",L317="x",AND(COUNTA(J317,K317,M317,N317)&gt;0,(LEN(SUBSTITUTE(SUBSTITUTE(SUBSTITUTE(J317," ",""),"0",""),"-",""))+LEN(SUBSTITUTE(SUBSTITUTE(SUBSTITUTE(K317," ",""),"0",""),"-","")))=(LEN(SUBSTITUTE(SUBSTITUTE(SUBSTITUTE(M317," ",""),"0",""),"-",""))+LEN(SUBSTITUTE(SUBSTITUTE(SUBSTITUTE(N317," ",""),"0",""),"-",""))))),1,0)+IF(OR(L318="X",L318="x",AND(COUNTA(J318,K318,M318,N318)&gt;0,(LEN(SUBSTITUTE(SUBSTITUTE(SUBSTITUTE(J318," ",""),"0",""),"-",""))+LEN(SUBSTITUTE(SUBSTITUTE(SUBSTITUTE(K318," ",""),"0",""),"-","")))=(LEN(SUBSTITUTE(SUBSTITUTE(SUBSTITUTE(M318," ",""),"0",""),"-",""))+LEN(SUBSTITUTE(SUBSTITUTE(SUBSTITUTE(N318," ",""),"0",""),"-",""))))),1,0)),0)</f>
      </c>
      <c r="M335" s="14" t="str">
        <f>M305+M313</f>
      </c>
      <c r="N335" s="14" t="str">
        <f>K305+K313</f>
      </c>
    </row>
    <row r="336">
      <c r="A336" s="14" t="str">
        <f>data!$E$25&amp;" "&amp;data!$B$25</f>
      </c>
      <c r="B336" s="14" t="str">
        <f>IF(OR(COUNTA(B306:C310,E306:F310)&gt;0,OR(D305="X",D305="x"),UPPER(D306)="X",UPPER(D307)="X",UPPER(D308)="X",UPPER(D309)="X",UPPER(D310)="X"),B305,0)+IF(OR(COUNTA(B322:C326,E322:F326)&gt;0,OR(D321="X",D321="x"),UPPER(D322)="X",UPPER(D323)="X",UPPER(D324)="X",UPPER(D325)="X",UPPER(D326)="X"),F321,0)</f>
      </c>
      <c r="C336" s="14" t="str">
        <f>IF(OR(COUNTA(B306:C310,E306:F310)&gt;0,OR(D305="X",D305="x"),UPPER(D306)="X",UPPER(D307)="X",UPPER(D308)="X",UPPER(D309)="X",UPPER(D310)="X"),F305,0)+IF(OR(COUNTA(B322:C326,E322:F326)&gt;0,OR(D321="X",D321="x"),UPPER(D322)="X",UPPER(D323)="X",UPPER(D324)="X",UPPER(D325)="X",UPPER(D326)="X"),B321,0)</f>
      </c>
      <c r="D336" s="14" t="str">
        <f>IF(OR(COUNTA(B306:C310,E306:F310)&gt;0,OR(D305="X",D305="x"),UPPER(D306)="X",UPPER(D307)="X",UPPER(D308)="X",UPPER(D309)="X",UPPER(D310)="X"),(IF(OR(D306="X",D306="x",AND(COUNTA(B306,C306,E306,F306)&gt;0,(LEN(SUBSTITUTE(SUBSTITUTE(SUBSTITUTE(B306," ",""),"0",""),"-",""))+LEN(SUBSTITUTE(SUBSTITUTE(SUBSTITUTE(C306," ",""),"0",""),"-","")))=(LEN(SUBSTITUTE(SUBSTITUTE(SUBSTITUTE(E306," ",""),"0",""),"-",""))+LEN(SUBSTITUTE(SUBSTITUTE(SUBSTITUTE(F306," ",""),"0",""),"-",""))))),1,0)+IF(OR(D307="X",D307="x",AND(COUNTA(B307,C307,E307,F307)&gt;0,(LEN(SUBSTITUTE(SUBSTITUTE(SUBSTITUTE(B307," ",""),"0",""),"-",""))+LEN(SUBSTITUTE(SUBSTITUTE(SUBSTITUTE(C307," ",""),"0",""),"-","")))=(LEN(SUBSTITUTE(SUBSTITUTE(SUBSTITUTE(E307," ",""),"0",""),"-",""))+LEN(SUBSTITUTE(SUBSTITUTE(SUBSTITUTE(F307," ",""),"0",""),"-",""))))),1,0)+IF(OR(D308="X",D308="x",AND(COUNTA(B308,C308,E308,F308)&gt;0,(LEN(SUBSTITUTE(SUBSTITUTE(SUBSTITUTE(B308," ",""),"0",""),"-",""))+LEN(SUBSTITUTE(SUBSTITUTE(SUBSTITUTE(C308," ",""),"0",""),"-","")))=(LEN(SUBSTITUTE(SUBSTITUTE(SUBSTITUTE(E308," ",""),"0",""),"-",""))+LEN(SUBSTITUTE(SUBSTITUTE(SUBSTITUTE(F308," ",""),"0",""),"-",""))))),1,0)+IF(OR(D309="X",D309="x",AND(COUNTA(B309,C309,E309,F309)&gt;0,(LEN(SUBSTITUTE(SUBSTITUTE(SUBSTITUTE(B309," ",""),"0",""),"-",""))+LEN(SUBSTITUTE(SUBSTITUTE(SUBSTITUTE(C309," ",""),"0",""),"-","")))=(LEN(SUBSTITUTE(SUBSTITUTE(SUBSTITUTE(E309," ",""),"0",""),"-",""))+LEN(SUBSTITUTE(SUBSTITUTE(SUBSTITUTE(F309," ",""),"0",""),"-",""))))),1,0)+IF(OR(D310="X",D310="x",AND(COUNTA(B310,C310,E310,F310)&gt;0,(LEN(SUBSTITUTE(SUBSTITUTE(SUBSTITUTE(B310," ",""),"0",""),"-",""))+LEN(SUBSTITUTE(SUBSTITUTE(SUBSTITUTE(C310," ",""),"0",""),"-","")))=(LEN(SUBSTITUTE(SUBSTITUTE(SUBSTITUTE(E310," ",""),"0",""),"-",""))+LEN(SUBSTITUTE(SUBSTITUTE(SUBSTITUTE(F310," ",""),"0",""),"-",""))))),1,0)),0)+IF(OR(COUNTA(B322:C326,E322:F326)&gt;0,OR(D321="X",D321="x"),UPPER(D322)="X",UPPER(D323)="X",UPPER(D324)="X",UPPER(D325)="X",UPPER(D326)="X"),(IF(OR(D322="X",D322="x",AND(COUNTA(B322,C322,E322,F322)&gt;0,(LEN(SUBSTITUTE(SUBSTITUTE(SUBSTITUTE(B322," ",""),"0",""),"-",""))+LEN(SUBSTITUTE(SUBSTITUTE(SUBSTITUTE(C322," ",""),"0",""),"-","")))=(LEN(SUBSTITUTE(SUBSTITUTE(SUBSTITUTE(E322," ",""),"0",""),"-",""))+LEN(SUBSTITUTE(SUBSTITUTE(SUBSTITUTE(F322," ",""),"0",""),"-",""))))),1,0)+IF(OR(D323="X",D323="x",AND(COUNTA(B323,C323,E323,F323)&gt;0,(LEN(SUBSTITUTE(SUBSTITUTE(SUBSTITUTE(B323," ",""),"0",""),"-",""))+LEN(SUBSTITUTE(SUBSTITUTE(SUBSTITUTE(C323," ",""),"0",""),"-","")))=(LEN(SUBSTITUTE(SUBSTITUTE(SUBSTITUTE(E323," ",""),"0",""),"-",""))+LEN(SUBSTITUTE(SUBSTITUTE(SUBSTITUTE(F323," ",""),"0",""),"-",""))))),1,0)+IF(OR(D324="X",D324="x",AND(COUNTA(B324,C324,E324,F324)&gt;0,(LEN(SUBSTITUTE(SUBSTITUTE(SUBSTITUTE(B324," ",""),"0",""),"-",""))+LEN(SUBSTITUTE(SUBSTITUTE(SUBSTITUTE(C324," ",""),"0",""),"-","")))=(LEN(SUBSTITUTE(SUBSTITUTE(SUBSTITUTE(E324," ",""),"0",""),"-",""))+LEN(SUBSTITUTE(SUBSTITUTE(SUBSTITUTE(F324," ",""),"0",""),"-",""))))),1,0)+IF(OR(D325="X",D325="x",AND(COUNTA(B325,C325,E325,F325)&gt;0,(LEN(SUBSTITUTE(SUBSTITUTE(SUBSTITUTE(B325," ",""),"0",""),"-",""))+LEN(SUBSTITUTE(SUBSTITUTE(SUBSTITUTE(C325," ",""),"0",""),"-","")))=(LEN(SUBSTITUTE(SUBSTITUTE(SUBSTITUTE(E325," ",""),"0",""),"-",""))+LEN(SUBSTITUTE(SUBSTITUTE(SUBSTITUTE(F325," ",""),"0",""),"-",""))))),1,0)+IF(OR(D326="X",D326="x",AND(COUNTA(B326,C326,E326,F326)&gt;0,(LEN(SUBSTITUTE(SUBSTITUTE(SUBSTITUTE(B326," ",""),"0",""),"-",""))+LEN(SUBSTITUTE(SUBSTITUTE(SUBSTITUTE(C326," ",""),"0",""),"-","")))=(LEN(SUBSTITUTE(SUBSTITUTE(SUBSTITUTE(E326," ",""),"0",""),"-",""))+LEN(SUBSTITUTE(SUBSTITUTE(SUBSTITUTE(F326," ",""),"0",""),"-",""))))),1,0)),0)</f>
      </c>
      <c r="E336" s="14" t="str">
        <f>C305+E321</f>
      </c>
      <c r="F336" s="14" t="str">
        <f>E305+C321</f>
      </c>
      <c r="I336" s="14" t="str">
        <f>data!$E$72&amp;" "&amp;data!$B$72</f>
      </c>
      <c r="J336" s="14" t="str">
        <f>IF(OR(COUNTA(J306:K310,M306:N310)&gt;0,OR(L305="X",L305="x"),UPPER(L306)="X",UPPER(L307)="X",UPPER(L308)="X",UPPER(L309)="X",UPPER(L310)="X"),J305,0)+IF(OR(COUNTA(J322:K326,M322:N326)&gt;0,OR(L321="X",L321="x"),UPPER(L322)="X",UPPER(L323)="X",UPPER(L324)="X",UPPER(L325)="X",UPPER(L326)="X"),N321,0)</f>
      </c>
      <c r="K336" s="14" t="str">
        <f>IF(OR(COUNTA(J306:K310,M306:N310)&gt;0,OR(L305="X",L305="x"),UPPER(L306)="X",UPPER(L307)="X",UPPER(L308)="X",UPPER(L309)="X",UPPER(L310)="X"),N305,0)+IF(OR(COUNTA(J322:K326,M322:N326)&gt;0,OR(L321="X",L321="x"),UPPER(L322)="X",UPPER(L323)="X",UPPER(L324)="X",UPPER(L325)="X",UPPER(L326)="X"),J321,0)</f>
      </c>
      <c r="L336" s="14" t="str">
        <f>IF(OR(COUNTA(J306:K310,M306:N310)&gt;0,OR(L305="X",L305="x"),UPPER(L306)="X",UPPER(L307)="X",UPPER(L308)="X",UPPER(L309)="X",UPPER(L310)="X"),(IF(OR(L306="X",L306="x",AND(COUNTA(J306,K306,M306,N306)&gt;0,(LEN(SUBSTITUTE(SUBSTITUTE(SUBSTITUTE(J306," ",""),"0",""),"-",""))+LEN(SUBSTITUTE(SUBSTITUTE(SUBSTITUTE(K306," ",""),"0",""),"-","")))=(LEN(SUBSTITUTE(SUBSTITUTE(SUBSTITUTE(M306," ",""),"0",""),"-",""))+LEN(SUBSTITUTE(SUBSTITUTE(SUBSTITUTE(N306," ",""),"0",""),"-",""))))),1,0)+IF(OR(L307="X",L307="x",AND(COUNTA(J307,K307,M307,N307)&gt;0,(LEN(SUBSTITUTE(SUBSTITUTE(SUBSTITUTE(J307," ",""),"0",""),"-",""))+LEN(SUBSTITUTE(SUBSTITUTE(SUBSTITUTE(K307," ",""),"0",""),"-","")))=(LEN(SUBSTITUTE(SUBSTITUTE(SUBSTITUTE(M307," ",""),"0",""),"-",""))+LEN(SUBSTITUTE(SUBSTITUTE(SUBSTITUTE(N307," ",""),"0",""),"-",""))))),1,0)+IF(OR(L308="X",L308="x",AND(COUNTA(J308,K308,M308,N308)&gt;0,(LEN(SUBSTITUTE(SUBSTITUTE(SUBSTITUTE(J308," ",""),"0",""),"-",""))+LEN(SUBSTITUTE(SUBSTITUTE(SUBSTITUTE(K308," ",""),"0",""),"-","")))=(LEN(SUBSTITUTE(SUBSTITUTE(SUBSTITUTE(M308," ",""),"0",""),"-",""))+LEN(SUBSTITUTE(SUBSTITUTE(SUBSTITUTE(N308," ",""),"0",""),"-",""))))),1,0)+IF(OR(L309="X",L309="x",AND(COUNTA(J309,K309,M309,N309)&gt;0,(LEN(SUBSTITUTE(SUBSTITUTE(SUBSTITUTE(J309," ",""),"0",""),"-",""))+LEN(SUBSTITUTE(SUBSTITUTE(SUBSTITUTE(K309," ",""),"0",""),"-","")))=(LEN(SUBSTITUTE(SUBSTITUTE(SUBSTITUTE(M309," ",""),"0",""),"-",""))+LEN(SUBSTITUTE(SUBSTITUTE(SUBSTITUTE(N309," ",""),"0",""),"-",""))))),1,0)+IF(OR(L310="X",L310="x",AND(COUNTA(J310,K310,M310,N310)&gt;0,(LEN(SUBSTITUTE(SUBSTITUTE(SUBSTITUTE(J310," ",""),"0",""),"-",""))+LEN(SUBSTITUTE(SUBSTITUTE(SUBSTITUTE(K310," ",""),"0",""),"-","")))=(LEN(SUBSTITUTE(SUBSTITUTE(SUBSTITUTE(M310," ",""),"0",""),"-",""))+LEN(SUBSTITUTE(SUBSTITUTE(SUBSTITUTE(N310," ",""),"0",""),"-",""))))),1,0)),0)+IF(OR(COUNTA(J322:K326,M322:N326)&gt;0,OR(L321="X",L321="x"),UPPER(L322)="X",UPPER(L323)="X",UPPER(L324)="X",UPPER(L325)="X",UPPER(L326)="X"),(IF(OR(L322="X",L322="x",AND(COUNTA(J322,K322,M322,N322)&gt;0,(LEN(SUBSTITUTE(SUBSTITUTE(SUBSTITUTE(J322," ",""),"0",""),"-",""))+LEN(SUBSTITUTE(SUBSTITUTE(SUBSTITUTE(K322," ",""),"0",""),"-","")))=(LEN(SUBSTITUTE(SUBSTITUTE(SUBSTITUTE(M322," ",""),"0",""),"-",""))+LEN(SUBSTITUTE(SUBSTITUTE(SUBSTITUTE(N322," ",""),"0",""),"-",""))))),1,0)+IF(OR(L323="X",L323="x",AND(COUNTA(J323,K323,M323,N323)&gt;0,(LEN(SUBSTITUTE(SUBSTITUTE(SUBSTITUTE(J323," ",""),"0",""),"-",""))+LEN(SUBSTITUTE(SUBSTITUTE(SUBSTITUTE(K323," ",""),"0",""),"-","")))=(LEN(SUBSTITUTE(SUBSTITUTE(SUBSTITUTE(M323," ",""),"0",""),"-",""))+LEN(SUBSTITUTE(SUBSTITUTE(SUBSTITUTE(N323," ",""),"0",""),"-",""))))),1,0)+IF(OR(L324="X",L324="x",AND(COUNTA(J324,K324,M324,N324)&gt;0,(LEN(SUBSTITUTE(SUBSTITUTE(SUBSTITUTE(J324," ",""),"0",""),"-",""))+LEN(SUBSTITUTE(SUBSTITUTE(SUBSTITUTE(K324," ",""),"0",""),"-","")))=(LEN(SUBSTITUTE(SUBSTITUTE(SUBSTITUTE(M324," ",""),"0",""),"-",""))+LEN(SUBSTITUTE(SUBSTITUTE(SUBSTITUTE(N324," ",""),"0",""),"-",""))))),1,0)+IF(OR(L325="X",L325="x",AND(COUNTA(J325,K325,M325,N325)&gt;0,(LEN(SUBSTITUTE(SUBSTITUTE(SUBSTITUTE(J325," ",""),"0",""),"-",""))+LEN(SUBSTITUTE(SUBSTITUTE(SUBSTITUTE(K325," ",""),"0",""),"-","")))=(LEN(SUBSTITUTE(SUBSTITUTE(SUBSTITUTE(M325," ",""),"0",""),"-",""))+LEN(SUBSTITUTE(SUBSTITUTE(SUBSTITUTE(N325," ",""),"0",""),"-",""))))),1,0)+IF(OR(L326="X",L326="x",AND(COUNTA(J326,K326,M326,N326)&gt;0,(LEN(SUBSTITUTE(SUBSTITUTE(SUBSTITUTE(J326," ",""),"0",""),"-",""))+LEN(SUBSTITUTE(SUBSTITUTE(SUBSTITUTE(K326," ",""),"0",""),"-","")))=(LEN(SUBSTITUTE(SUBSTITUTE(SUBSTITUTE(M326," ",""),"0",""),"-",""))+LEN(SUBSTITUTE(SUBSTITUTE(SUBSTITUTE(N326," ",""),"0",""),"-",""))))),1,0)),0)</f>
      </c>
      <c r="M336" s="14" t="str">
        <f>K305+M321</f>
      </c>
      <c r="N336" s="14" t="str">
        <f>M305+K321</f>
      </c>
    </row>
    <row r="337">
      <c r="A337" s="14" t="str">
        <f>data!$E$26&amp;" "&amp;data!$B$26</f>
      </c>
      <c r="B337" s="14" t="str">
        <f>IF(OR(COUNTA(B314:C318,E314:F318)&gt;0,OR(D313="X",D313="x"),UPPER(D314)="X",UPPER(D315)="X",UPPER(D316)="X",UPPER(D317)="X",UPPER(D318)="X"),B313,0)+IF(OR(COUNTA(B322:C326,E322:F326)&gt;0,OR(D321="X",D321="x"),UPPER(D322)="X",UPPER(D323)="X",UPPER(D324)="X",UPPER(D325)="X",UPPER(D326)="X"),B321,0)</f>
      </c>
      <c r="C337" s="14" t="str">
        <f>IF(OR(COUNTA(B314:C318,E314:F318)&gt;0,OR(D313="X",D313="x"),UPPER(D314)="X",UPPER(D315)="X",UPPER(D316)="X",UPPER(D317)="X",UPPER(D318)="X"),F313,0)+IF(OR(COUNTA(B322:C326,E322:F326)&gt;0,OR(D321="X",D321="x"),UPPER(D322)="X",UPPER(D323)="X",UPPER(D324)="X",UPPER(D325)="X",UPPER(D326)="X"),F321,0)</f>
      </c>
      <c r="D337" s="14" t="str">
        <f>IF(OR(COUNTA(B314:C318,E314:F318)&gt;0,OR(D313="X",D313="x"),UPPER(D314)="X",UPPER(D315)="X",UPPER(D316)="X",UPPER(D317)="X",UPPER(D318)="X"),(IF(OR(D314="X",D314="x",AND(COUNTA(B314,C314,E314,F314)&gt;0,(LEN(SUBSTITUTE(SUBSTITUTE(SUBSTITUTE(B314," ",""),"0",""),"-",""))+LEN(SUBSTITUTE(SUBSTITUTE(SUBSTITUTE(C314," ",""),"0",""),"-","")))=(LEN(SUBSTITUTE(SUBSTITUTE(SUBSTITUTE(E314," ",""),"0",""),"-",""))+LEN(SUBSTITUTE(SUBSTITUTE(SUBSTITUTE(F314," ",""),"0",""),"-",""))))),1,0)+IF(OR(D315="X",D315="x",AND(COUNTA(B315,C315,E315,F315)&gt;0,(LEN(SUBSTITUTE(SUBSTITUTE(SUBSTITUTE(B315," ",""),"0",""),"-",""))+LEN(SUBSTITUTE(SUBSTITUTE(SUBSTITUTE(C315," ",""),"0",""),"-","")))=(LEN(SUBSTITUTE(SUBSTITUTE(SUBSTITUTE(E315," ",""),"0",""),"-",""))+LEN(SUBSTITUTE(SUBSTITUTE(SUBSTITUTE(F315," ",""),"0",""),"-",""))))),1,0)+IF(OR(D316="X",D316="x",AND(COUNTA(B316,C316,E316,F316)&gt;0,(LEN(SUBSTITUTE(SUBSTITUTE(SUBSTITUTE(B316," ",""),"0",""),"-",""))+LEN(SUBSTITUTE(SUBSTITUTE(SUBSTITUTE(C316," ",""),"0",""),"-","")))=(LEN(SUBSTITUTE(SUBSTITUTE(SUBSTITUTE(E316," ",""),"0",""),"-",""))+LEN(SUBSTITUTE(SUBSTITUTE(SUBSTITUTE(F316," ",""),"0",""),"-",""))))),1,0)+IF(OR(D317="X",D317="x",AND(COUNTA(B317,C317,E317,F317)&gt;0,(LEN(SUBSTITUTE(SUBSTITUTE(SUBSTITUTE(B317," ",""),"0",""),"-",""))+LEN(SUBSTITUTE(SUBSTITUTE(SUBSTITUTE(C317," ",""),"0",""),"-","")))=(LEN(SUBSTITUTE(SUBSTITUTE(SUBSTITUTE(E317," ",""),"0",""),"-",""))+LEN(SUBSTITUTE(SUBSTITUTE(SUBSTITUTE(F317," ",""),"0",""),"-",""))))),1,0)+IF(OR(D318="X",D318="x",AND(COUNTA(B318,C318,E318,F318)&gt;0,(LEN(SUBSTITUTE(SUBSTITUTE(SUBSTITUTE(B318," ",""),"0",""),"-",""))+LEN(SUBSTITUTE(SUBSTITUTE(SUBSTITUTE(C318," ",""),"0",""),"-","")))=(LEN(SUBSTITUTE(SUBSTITUTE(SUBSTITUTE(E318," ",""),"0",""),"-",""))+LEN(SUBSTITUTE(SUBSTITUTE(SUBSTITUTE(F318," ",""),"0",""),"-",""))))),1,0)),0)+IF(OR(COUNTA(B322:C326,E322:F326)&gt;0,OR(D321="X",D321="x"),UPPER(D322)="X",UPPER(D323)="X",UPPER(D324)="X",UPPER(D325)="X",UPPER(D326)="X"),(IF(OR(D322="X",D322="x",AND(COUNTA(B322,C322,E322,F322)&gt;0,(LEN(SUBSTITUTE(SUBSTITUTE(SUBSTITUTE(B322," ",""),"0",""),"-",""))+LEN(SUBSTITUTE(SUBSTITUTE(SUBSTITUTE(C322," ",""),"0",""),"-","")))=(LEN(SUBSTITUTE(SUBSTITUTE(SUBSTITUTE(E322," ",""),"0",""),"-",""))+LEN(SUBSTITUTE(SUBSTITUTE(SUBSTITUTE(F322," ",""),"0",""),"-",""))))),1,0)+IF(OR(D323="X",D323="x",AND(COUNTA(B323,C323,E323,F323)&gt;0,(LEN(SUBSTITUTE(SUBSTITUTE(SUBSTITUTE(B323," ",""),"0",""),"-",""))+LEN(SUBSTITUTE(SUBSTITUTE(SUBSTITUTE(C323," ",""),"0",""),"-","")))=(LEN(SUBSTITUTE(SUBSTITUTE(SUBSTITUTE(E323," ",""),"0",""),"-",""))+LEN(SUBSTITUTE(SUBSTITUTE(SUBSTITUTE(F323," ",""),"0",""),"-",""))))),1,0)+IF(OR(D324="X",D324="x",AND(COUNTA(B324,C324,E324,F324)&gt;0,(LEN(SUBSTITUTE(SUBSTITUTE(SUBSTITUTE(B324," ",""),"0",""),"-",""))+LEN(SUBSTITUTE(SUBSTITUTE(SUBSTITUTE(C324," ",""),"0",""),"-","")))=(LEN(SUBSTITUTE(SUBSTITUTE(SUBSTITUTE(E324," ",""),"0",""),"-",""))+LEN(SUBSTITUTE(SUBSTITUTE(SUBSTITUTE(F324," ",""),"0",""),"-",""))))),1,0)+IF(OR(D325="X",D325="x",AND(COUNTA(B325,C325,E325,F325)&gt;0,(LEN(SUBSTITUTE(SUBSTITUTE(SUBSTITUTE(B325," ",""),"0",""),"-",""))+LEN(SUBSTITUTE(SUBSTITUTE(SUBSTITUTE(C325," ",""),"0",""),"-","")))=(LEN(SUBSTITUTE(SUBSTITUTE(SUBSTITUTE(E325," ",""),"0",""),"-",""))+LEN(SUBSTITUTE(SUBSTITUTE(SUBSTITUTE(F325," ",""),"0",""),"-",""))))),1,0)+IF(OR(D326="X",D326="x",AND(COUNTA(B326,C326,E326,F326)&gt;0,(LEN(SUBSTITUTE(SUBSTITUTE(SUBSTITUTE(B326," ",""),"0",""),"-",""))+LEN(SUBSTITUTE(SUBSTITUTE(SUBSTITUTE(C326," ",""),"0",""),"-","")))=(LEN(SUBSTITUTE(SUBSTITUTE(SUBSTITUTE(E326," ",""),"0",""),"-",""))+LEN(SUBSTITUTE(SUBSTITUTE(SUBSTITUTE(F326," ",""),"0",""),"-",""))))),1,0)),0)</f>
      </c>
      <c r="E337" s="14" t="str">
        <f>C313+C321</f>
      </c>
      <c r="F337" s="14" t="str">
        <f>E313+E321</f>
      </c>
      <c r="I337" s="14" t="str">
        <f>data!$E$73&amp;" "&amp;data!$B$73</f>
      </c>
      <c r="J337" s="14" t="str">
        <f>IF(OR(COUNTA(J314:K318,M314:N318)&gt;0,OR(L313="X",L313="x"),UPPER(L314)="X",UPPER(L315)="X",UPPER(L316)="X",UPPER(L317)="X",UPPER(L318)="X"),J313,0)+IF(OR(COUNTA(J322:K326,M322:N326)&gt;0,OR(L321="X",L321="x"),UPPER(L322)="X",UPPER(L323)="X",UPPER(L324)="X",UPPER(L325)="X",UPPER(L326)="X"),J321,0)</f>
      </c>
      <c r="K337" s="14" t="str">
        <f>IF(OR(COUNTA(J314:K318,M314:N318)&gt;0,OR(L313="X",L313="x"),UPPER(L314)="X",UPPER(L315)="X",UPPER(L316)="X",UPPER(L317)="X",UPPER(L318)="X"),N313,0)+IF(OR(COUNTA(J322:K326,M322:N326)&gt;0,OR(L321="X",L321="x"),UPPER(L322)="X",UPPER(L323)="X",UPPER(L324)="X",UPPER(L325)="X",UPPER(L326)="X"),N321,0)</f>
      </c>
      <c r="L337" s="14" t="str">
        <f>IF(OR(COUNTA(J314:K318,M314:N318)&gt;0,OR(L313="X",L313="x"),UPPER(L314)="X",UPPER(L315)="X",UPPER(L316)="X",UPPER(L317)="X",UPPER(L318)="X"),(IF(OR(L314="X",L314="x",AND(COUNTA(J314,K314,M314,N314)&gt;0,(LEN(SUBSTITUTE(SUBSTITUTE(SUBSTITUTE(J314," ",""),"0",""),"-",""))+LEN(SUBSTITUTE(SUBSTITUTE(SUBSTITUTE(K314," ",""),"0",""),"-","")))=(LEN(SUBSTITUTE(SUBSTITUTE(SUBSTITUTE(M314," ",""),"0",""),"-",""))+LEN(SUBSTITUTE(SUBSTITUTE(SUBSTITUTE(N314," ",""),"0",""),"-",""))))),1,0)+IF(OR(L315="X",L315="x",AND(COUNTA(J315,K315,M315,N315)&gt;0,(LEN(SUBSTITUTE(SUBSTITUTE(SUBSTITUTE(J315," ",""),"0",""),"-",""))+LEN(SUBSTITUTE(SUBSTITUTE(SUBSTITUTE(K315," ",""),"0",""),"-","")))=(LEN(SUBSTITUTE(SUBSTITUTE(SUBSTITUTE(M315," ",""),"0",""),"-",""))+LEN(SUBSTITUTE(SUBSTITUTE(SUBSTITUTE(N315," ",""),"0",""),"-",""))))),1,0)+IF(OR(L316="X",L316="x",AND(COUNTA(J316,K316,M316,N316)&gt;0,(LEN(SUBSTITUTE(SUBSTITUTE(SUBSTITUTE(J316," ",""),"0",""),"-",""))+LEN(SUBSTITUTE(SUBSTITUTE(SUBSTITUTE(K316," ",""),"0",""),"-","")))=(LEN(SUBSTITUTE(SUBSTITUTE(SUBSTITUTE(M316," ",""),"0",""),"-",""))+LEN(SUBSTITUTE(SUBSTITUTE(SUBSTITUTE(N316," ",""),"0",""),"-",""))))),1,0)+IF(OR(L317="X",L317="x",AND(COUNTA(J317,K317,M317,N317)&gt;0,(LEN(SUBSTITUTE(SUBSTITUTE(SUBSTITUTE(J317," ",""),"0",""),"-",""))+LEN(SUBSTITUTE(SUBSTITUTE(SUBSTITUTE(K317," ",""),"0",""),"-","")))=(LEN(SUBSTITUTE(SUBSTITUTE(SUBSTITUTE(M317," ",""),"0",""),"-",""))+LEN(SUBSTITUTE(SUBSTITUTE(SUBSTITUTE(N317," ",""),"0",""),"-",""))))),1,0)+IF(OR(L318="X",L318="x",AND(COUNTA(J318,K318,M318,N318)&gt;0,(LEN(SUBSTITUTE(SUBSTITUTE(SUBSTITUTE(J318," ",""),"0",""),"-",""))+LEN(SUBSTITUTE(SUBSTITUTE(SUBSTITUTE(K318," ",""),"0",""),"-","")))=(LEN(SUBSTITUTE(SUBSTITUTE(SUBSTITUTE(M318," ",""),"0",""),"-",""))+LEN(SUBSTITUTE(SUBSTITUTE(SUBSTITUTE(N318," ",""),"0",""),"-",""))))),1,0)),0)+IF(OR(COUNTA(J322:K326,M322:N326)&gt;0,OR(L321="X",L321="x"),UPPER(L322)="X",UPPER(L323)="X",UPPER(L324)="X",UPPER(L325)="X",UPPER(L326)="X"),(IF(OR(L322="X",L322="x",AND(COUNTA(J322,K322,M322,N322)&gt;0,(LEN(SUBSTITUTE(SUBSTITUTE(SUBSTITUTE(J322," ",""),"0",""),"-",""))+LEN(SUBSTITUTE(SUBSTITUTE(SUBSTITUTE(K322," ",""),"0",""),"-","")))=(LEN(SUBSTITUTE(SUBSTITUTE(SUBSTITUTE(M322," ",""),"0",""),"-",""))+LEN(SUBSTITUTE(SUBSTITUTE(SUBSTITUTE(N322," ",""),"0",""),"-",""))))),1,0)+IF(OR(L323="X",L323="x",AND(COUNTA(J323,K323,M323,N323)&gt;0,(LEN(SUBSTITUTE(SUBSTITUTE(SUBSTITUTE(J323," ",""),"0",""),"-",""))+LEN(SUBSTITUTE(SUBSTITUTE(SUBSTITUTE(K323," ",""),"0",""),"-","")))=(LEN(SUBSTITUTE(SUBSTITUTE(SUBSTITUTE(M323," ",""),"0",""),"-",""))+LEN(SUBSTITUTE(SUBSTITUTE(SUBSTITUTE(N323," ",""),"0",""),"-",""))))),1,0)+IF(OR(L324="X",L324="x",AND(COUNTA(J324,K324,M324,N324)&gt;0,(LEN(SUBSTITUTE(SUBSTITUTE(SUBSTITUTE(J324," ",""),"0",""),"-",""))+LEN(SUBSTITUTE(SUBSTITUTE(SUBSTITUTE(K324," ",""),"0",""),"-","")))=(LEN(SUBSTITUTE(SUBSTITUTE(SUBSTITUTE(M324," ",""),"0",""),"-",""))+LEN(SUBSTITUTE(SUBSTITUTE(SUBSTITUTE(N324," ",""),"0",""),"-",""))))),1,0)+IF(OR(L325="X",L325="x",AND(COUNTA(J325,K325,M325,N325)&gt;0,(LEN(SUBSTITUTE(SUBSTITUTE(SUBSTITUTE(J325," ",""),"0",""),"-",""))+LEN(SUBSTITUTE(SUBSTITUTE(SUBSTITUTE(K325," ",""),"0",""),"-","")))=(LEN(SUBSTITUTE(SUBSTITUTE(SUBSTITUTE(M325," ",""),"0",""),"-",""))+LEN(SUBSTITUTE(SUBSTITUTE(SUBSTITUTE(N325," ",""),"0",""),"-",""))))),1,0)+IF(OR(L326="X",L326="x",AND(COUNTA(J326,K326,M326,N326)&gt;0,(LEN(SUBSTITUTE(SUBSTITUTE(SUBSTITUTE(J326," ",""),"0",""),"-",""))+LEN(SUBSTITUTE(SUBSTITUTE(SUBSTITUTE(K326," ",""),"0",""),"-","")))=(LEN(SUBSTITUTE(SUBSTITUTE(SUBSTITUTE(M326," ",""),"0",""),"-",""))+LEN(SUBSTITUTE(SUBSTITUTE(SUBSTITUTE(N326," ",""),"0",""),"-",""))))),1,0)),0)</f>
      </c>
      <c r="M337" s="14" t="str">
        <f>K313+K321</f>
      </c>
      <c r="N337" s="14" t="str">
        <f>M313+M321</f>
      </c>
    </row>
    <row r="340">
      <c r="F340" s="13"/>
      <c r="G340" s="13" t="s">
        <v>344</v>
      </c>
      <c r="N340" s="13"/>
      <c r="O340" s="13" t="s">
        <v>344</v>
      </c>
    </row>
    <row r="341">
      <c r="F341" t="s">
        <v>345</v>
      </c>
      <c r="G341" s="19" t="str">
        <f>IFERROR(INDEX($A$330:$A$337, MATCH(1, $G$330:$G$337, 0)), "-")</f>
      </c>
      <c r="N341" t="s">
        <v>345</v>
      </c>
      <c r="O341" s="19" t="str">
        <f>IFERROR(INDEX($I$330:$I$337, MATCH(1, $O$330:$O$337, 0)), "-")</f>
      </c>
    </row>
    <row r="342">
      <c r="F342" t="s">
        <v>346</v>
      </c>
      <c r="G342" s="19" t="str">
        <f>IFERROR(INDEX($A$330:$A$337, MATCH(2, $G$330:$G$337, 0)), "-")</f>
      </c>
      <c r="N342" t="s">
        <v>346</v>
      </c>
      <c r="O342" s="19" t="str">
        <f>IFERROR(INDEX($I$330:$I$337, MATCH(2, $O$330:$O$337, 0)), "-")</f>
      </c>
    </row>
    <row r="343">
      <c r="F343" t="s">
        <v>347</v>
      </c>
      <c r="G343" s="19" t="str">
        <f>IFERROR(INDEX($A$330:$A$337, MATCH(3, $G$330:$G$337, 0)), "-")</f>
      </c>
      <c r="N343" t="s">
        <v>347</v>
      </c>
      <c r="O343" s="19" t="str">
        <f>IFERROR(INDEX($I$330:$I$337, MATCH(3, $O$330:$O$337, 0)), "-")</f>
      </c>
    </row>
    <row r="346">
      <c r="A346" s="13" t="str">
        <f>'data'!$A$29</f>
      </c>
      <c r="B346" s="13"/>
      <c r="C346" s="13"/>
      <c r="D346" s="13"/>
      <c r="E346" s="13"/>
      <c r="F346" s="13"/>
      <c r="G346" s="13"/>
      <c r="I346" s="13" t="str">
        <f>'data'!$A$76</f>
      </c>
      <c r="J346" s="13"/>
      <c r="K346" s="13"/>
      <c r="L346" s="13"/>
      <c r="M346" s="13"/>
      <c r="N346" s="13"/>
      <c r="O346" s="13"/>
    </row>
    <row r="347">
      <c r="A347" s="17" t="s">
        <v>331</v>
      </c>
      <c r="B347" s="14"/>
      <c r="C347" s="14"/>
      <c r="D347" s="14" t="s">
        <v>332</v>
      </c>
      <c r="E347" s="14"/>
      <c r="F347" s="14"/>
      <c r="G347" s="16" t="s">
        <v>333</v>
      </c>
      <c r="I347" s="17" t="s">
        <v>331</v>
      </c>
      <c r="J347" s="14"/>
      <c r="K347" s="14"/>
      <c r="L347" s="14" t="s">
        <v>332</v>
      </c>
      <c r="M347" s="14"/>
      <c r="N347" s="14"/>
      <c r="O347" s="16" t="s">
        <v>333</v>
      </c>
    </row>
    <row r="348">
      <c r="A348" s="14" t="str">
        <f>data!$E$28&amp;" "&amp;data!$B$28</f>
      </c>
      <c r="B348" s="14" t="str">
        <f>IF(UPPER(D349)="X",0,IF((LEN(SUBSTITUTE(SUBSTITUTE(SUBSTITUTE(B349," ",""),"0",""),"-",""))+LEN(SUBSTITUTE(SUBSTITUTE(SUBSTITUTE(C349," ",""),"0",""),"-","")))&gt;(LEN(SUBSTITUTE(SUBSTITUTE(SUBSTITUTE(E349," ",""),"0",""),"-",""))+LEN(SUBSTITUTE(SUBSTITUTE(SUBSTITUTE(F349," ",""),"0",""),"-",""))),1,0))+IF(UPPER(D350)="X",0,IF((LEN(SUBSTITUTE(SUBSTITUTE(SUBSTITUTE(B350," ",""),"0",""),"-",""))+LEN(SUBSTITUTE(SUBSTITUTE(SUBSTITUTE(C350," ",""),"0",""),"-","")))&gt;(LEN(SUBSTITUTE(SUBSTITUTE(SUBSTITUTE(E350," ",""),"0",""),"-",""))+LEN(SUBSTITUTE(SUBSTITUTE(SUBSTITUTE(F350," ",""),"0",""),"-",""))),1,0))+IF(UPPER(D351)="X",0,IF((LEN(SUBSTITUTE(SUBSTITUTE(SUBSTITUTE(B351," ",""),"0",""),"-",""))+LEN(SUBSTITUTE(SUBSTITUTE(SUBSTITUTE(C351," ",""),"0",""),"-","")))&gt;(LEN(SUBSTITUTE(SUBSTITUTE(SUBSTITUTE(E351," ",""),"0",""),"-",""))+LEN(SUBSTITUTE(SUBSTITUTE(SUBSTITUTE(F351," ",""),"0",""),"-",""))),1,0))+IF(UPPER(D352)="X",0,IF((LEN(SUBSTITUTE(SUBSTITUTE(SUBSTITUTE(B352," ",""),"0",""),"-",""))+LEN(SUBSTITUTE(SUBSTITUTE(SUBSTITUTE(C352," ",""),"0",""),"-","")))&gt;(LEN(SUBSTITUTE(SUBSTITUTE(SUBSTITUTE(E352," ",""),"0",""),"-",""))+LEN(SUBSTITUTE(SUBSTITUTE(SUBSTITUTE(F352," ",""),"0",""),"-",""))),1,0))+IF(UPPER(D353)="X",0,IF((LEN(SUBSTITUTE(SUBSTITUTE(SUBSTITUTE(B353," ",""),"0",""),"-",""))+LEN(SUBSTITUTE(SUBSTITUTE(SUBSTITUTE(C353," ",""),"0",""),"-","")))&gt;(LEN(SUBSTITUTE(SUBSTITUTE(SUBSTITUTE(E353," ",""),"0",""),"-",""))+LEN(SUBSTITUTE(SUBSTITUTE(SUBSTITUTE(F353," ",""),"0",""),"-",""))),1,0))</f>
      </c>
      <c r="C348" s="14" t="str">
        <f>LEN(SUBSTITUTE(SUBSTITUTE(SUBSTITUTE(B349," ",""),"0",""),"-",""))+LEN(SUBSTITUTE(SUBSTITUTE(SUBSTITUTE(C349," ",""),"0",""),"-",""))+LEN(SUBSTITUTE(SUBSTITUTE(SUBSTITUTE(B350," ",""),"0",""),"-",""))+LEN(SUBSTITUTE(SUBSTITUTE(SUBSTITUTE(C350," ",""),"0",""),"-",""))+LEN(SUBSTITUTE(SUBSTITUTE(SUBSTITUTE(B351," ",""),"0",""),"-",""))+LEN(SUBSTITUTE(SUBSTITUTE(SUBSTITUTE(C351," ",""),"0",""),"-",""))+LEN(SUBSTITUTE(SUBSTITUTE(SUBSTITUTE(B352," ",""),"0",""),"-",""))+LEN(SUBSTITUTE(SUBSTITUTE(SUBSTITUTE(C352," ",""),"0",""),"-",""))+LEN(SUBSTITUTE(SUBSTITUTE(SUBSTITUTE(B353," ",""),"0",""),"-",""))+LEN(SUBSTITUTE(SUBSTITUTE(SUBSTITUTE(C353," ",""),"0",""),"-",""))</f>
      </c>
      <c r="D348" s="18"/>
      <c r="E348" s="14" t="str">
        <f>LEN(SUBSTITUTE(SUBSTITUTE(SUBSTITUTE(E349," ",""),"0",""),"-",""))+LEN(SUBSTITUTE(SUBSTITUTE(SUBSTITUTE(F349," ",""),"0",""),"-",""))+LEN(SUBSTITUTE(SUBSTITUTE(SUBSTITUTE(E350," ",""),"0",""),"-",""))+LEN(SUBSTITUTE(SUBSTITUTE(SUBSTITUTE(F350," ",""),"0",""),"-",""))+LEN(SUBSTITUTE(SUBSTITUTE(SUBSTITUTE(E351," ",""),"0",""),"-",""))+LEN(SUBSTITUTE(SUBSTITUTE(SUBSTITUTE(F351," ",""),"0",""),"-",""))+LEN(SUBSTITUTE(SUBSTITUTE(SUBSTITUTE(E352," ",""),"0",""),"-",""))+LEN(SUBSTITUTE(SUBSTITUTE(SUBSTITUTE(F352," ",""),"0",""),"-",""))+LEN(SUBSTITUTE(SUBSTITUTE(SUBSTITUTE(E353," ",""),"0",""),"-",""))+LEN(SUBSTITUTE(SUBSTITUTE(SUBSTITUTE(F353," ",""),"0",""),"-",""))</f>
      </c>
      <c r="F348" s="14" t="str">
        <f>IF(UPPER(D349)="X",0,IF((LEN(SUBSTITUTE(SUBSTITUTE(SUBSTITUTE(E349," ",""),"0",""),"-",""))+LEN(SUBSTITUTE(SUBSTITUTE(SUBSTITUTE(F349," ",""),"0",""),"-","")))&gt;(LEN(SUBSTITUTE(SUBSTITUTE(SUBSTITUTE(B349," ",""),"0",""),"-",""))+LEN(SUBSTITUTE(SUBSTITUTE(SUBSTITUTE(C349," ",""),"0",""),"-",""))),1,0))+IF(UPPER(D350)="X",0,IF((LEN(SUBSTITUTE(SUBSTITUTE(SUBSTITUTE(E350," ",""),"0",""),"-",""))+LEN(SUBSTITUTE(SUBSTITUTE(SUBSTITUTE(F350," ",""),"0",""),"-","")))&gt;(LEN(SUBSTITUTE(SUBSTITUTE(SUBSTITUTE(B350," ",""),"0",""),"-",""))+LEN(SUBSTITUTE(SUBSTITUTE(SUBSTITUTE(C350," ",""),"0",""),"-",""))),1,0))+IF(UPPER(D351)="X",0,IF((LEN(SUBSTITUTE(SUBSTITUTE(SUBSTITUTE(E351," ",""),"0",""),"-",""))+LEN(SUBSTITUTE(SUBSTITUTE(SUBSTITUTE(F351," ",""),"0",""),"-","")))&gt;(LEN(SUBSTITUTE(SUBSTITUTE(SUBSTITUTE(B351," ",""),"0",""),"-",""))+LEN(SUBSTITUTE(SUBSTITUTE(SUBSTITUTE(C351," ",""),"0",""),"-",""))),1,0))+IF(UPPER(D352)="X",0,IF((LEN(SUBSTITUTE(SUBSTITUTE(SUBSTITUTE(E352," ",""),"0",""),"-",""))+LEN(SUBSTITUTE(SUBSTITUTE(SUBSTITUTE(F352," ",""),"0",""),"-","")))&gt;(LEN(SUBSTITUTE(SUBSTITUTE(SUBSTITUTE(B352," ",""),"0",""),"-",""))+LEN(SUBSTITUTE(SUBSTITUTE(SUBSTITUTE(C352," ",""),"0",""),"-",""))),1,0))+IF(UPPER(D353)="X",0,IF((LEN(SUBSTITUTE(SUBSTITUTE(SUBSTITUTE(E353," ",""),"0",""),"-",""))+LEN(SUBSTITUTE(SUBSTITUTE(SUBSTITUTE(F353," ",""),"0",""),"-","")))&gt;(LEN(SUBSTITUTE(SUBSTITUTE(SUBSTITUTE(B353," ",""),"0",""),"-",""))+LEN(SUBSTITUTE(SUBSTITUTE(SUBSTITUTE(C353," ",""),"0",""),"-",""))),1,0))</f>
      </c>
      <c r="G348" s="14" t="str">
        <f>data!$E$27&amp;" "&amp;data!$B$27</f>
      </c>
      <c r="I348" s="14" t="str">
        <f>data!$E$75&amp;" "&amp;data!$B$75</f>
      </c>
      <c r="J348" s="14" t="str">
        <f>IF(UPPER(L349)="X",0,IF((LEN(SUBSTITUTE(SUBSTITUTE(SUBSTITUTE(J349," ",""),"0",""),"-",""))+LEN(SUBSTITUTE(SUBSTITUTE(SUBSTITUTE(K349," ",""),"0",""),"-","")))&gt;(LEN(SUBSTITUTE(SUBSTITUTE(SUBSTITUTE(M349," ",""),"0",""),"-",""))+LEN(SUBSTITUTE(SUBSTITUTE(SUBSTITUTE(N349," ",""),"0",""),"-",""))),1,0))+IF(UPPER(L350)="X",0,IF((LEN(SUBSTITUTE(SUBSTITUTE(SUBSTITUTE(J350," ",""),"0",""),"-",""))+LEN(SUBSTITUTE(SUBSTITUTE(SUBSTITUTE(K350," ",""),"0",""),"-","")))&gt;(LEN(SUBSTITUTE(SUBSTITUTE(SUBSTITUTE(M350," ",""),"0",""),"-",""))+LEN(SUBSTITUTE(SUBSTITUTE(SUBSTITUTE(N350," ",""),"0",""),"-",""))),1,0))+IF(UPPER(L351)="X",0,IF((LEN(SUBSTITUTE(SUBSTITUTE(SUBSTITUTE(J351," ",""),"0",""),"-",""))+LEN(SUBSTITUTE(SUBSTITUTE(SUBSTITUTE(K351," ",""),"0",""),"-","")))&gt;(LEN(SUBSTITUTE(SUBSTITUTE(SUBSTITUTE(M351," ",""),"0",""),"-",""))+LEN(SUBSTITUTE(SUBSTITUTE(SUBSTITUTE(N351," ",""),"0",""),"-",""))),1,0))+IF(UPPER(L352)="X",0,IF((LEN(SUBSTITUTE(SUBSTITUTE(SUBSTITUTE(J352," ",""),"0",""),"-",""))+LEN(SUBSTITUTE(SUBSTITUTE(SUBSTITUTE(K352," ",""),"0",""),"-","")))&gt;(LEN(SUBSTITUTE(SUBSTITUTE(SUBSTITUTE(M352," ",""),"0",""),"-",""))+LEN(SUBSTITUTE(SUBSTITUTE(SUBSTITUTE(N352," ",""),"0",""),"-",""))),1,0))+IF(UPPER(L353)="X",0,IF((LEN(SUBSTITUTE(SUBSTITUTE(SUBSTITUTE(J353," ",""),"0",""),"-",""))+LEN(SUBSTITUTE(SUBSTITUTE(SUBSTITUTE(K353," ",""),"0",""),"-","")))&gt;(LEN(SUBSTITUTE(SUBSTITUTE(SUBSTITUTE(M353," ",""),"0",""),"-",""))+LEN(SUBSTITUTE(SUBSTITUTE(SUBSTITUTE(N353," ",""),"0",""),"-",""))),1,0))</f>
      </c>
      <c r="K348" s="14" t="str">
        <f>LEN(SUBSTITUTE(SUBSTITUTE(SUBSTITUTE(J349," ",""),"0",""),"-",""))+LEN(SUBSTITUTE(SUBSTITUTE(SUBSTITUTE(K349," ",""),"0",""),"-",""))+LEN(SUBSTITUTE(SUBSTITUTE(SUBSTITUTE(J350," ",""),"0",""),"-",""))+LEN(SUBSTITUTE(SUBSTITUTE(SUBSTITUTE(K350," ",""),"0",""),"-",""))+LEN(SUBSTITUTE(SUBSTITUTE(SUBSTITUTE(J351," ",""),"0",""),"-",""))+LEN(SUBSTITUTE(SUBSTITUTE(SUBSTITUTE(K351," ",""),"0",""),"-",""))+LEN(SUBSTITUTE(SUBSTITUTE(SUBSTITUTE(J352," ",""),"0",""),"-",""))+LEN(SUBSTITUTE(SUBSTITUTE(SUBSTITUTE(K352," ",""),"0",""),"-",""))+LEN(SUBSTITUTE(SUBSTITUTE(SUBSTITUTE(J353," ",""),"0",""),"-",""))+LEN(SUBSTITUTE(SUBSTITUTE(SUBSTITUTE(K353," ",""),"0",""),"-",""))</f>
      </c>
      <c r="L348" s="18"/>
      <c r="M348" s="14" t="str">
        <f>LEN(SUBSTITUTE(SUBSTITUTE(SUBSTITUTE(M349," ",""),"0",""),"-",""))+LEN(SUBSTITUTE(SUBSTITUTE(SUBSTITUTE(N349," ",""),"0",""),"-",""))+LEN(SUBSTITUTE(SUBSTITUTE(SUBSTITUTE(M350," ",""),"0",""),"-",""))+LEN(SUBSTITUTE(SUBSTITUTE(SUBSTITUTE(N350," ",""),"0",""),"-",""))+LEN(SUBSTITUTE(SUBSTITUTE(SUBSTITUTE(M351," ",""),"0",""),"-",""))+LEN(SUBSTITUTE(SUBSTITUTE(SUBSTITUTE(N351," ",""),"0",""),"-",""))+LEN(SUBSTITUTE(SUBSTITUTE(SUBSTITUTE(M352," ",""),"0",""),"-",""))+LEN(SUBSTITUTE(SUBSTITUTE(SUBSTITUTE(N352," ",""),"0",""),"-",""))+LEN(SUBSTITUTE(SUBSTITUTE(SUBSTITUTE(M353," ",""),"0",""),"-",""))+LEN(SUBSTITUTE(SUBSTITUTE(SUBSTITUTE(N353," ",""),"0",""),"-",""))</f>
      </c>
      <c r="N348" s="14" t="str">
        <f>IF(UPPER(L349)="X",0,IF((LEN(SUBSTITUTE(SUBSTITUTE(SUBSTITUTE(M349," ",""),"0",""),"-",""))+LEN(SUBSTITUTE(SUBSTITUTE(SUBSTITUTE(N349," ",""),"0",""),"-","")))&gt;(LEN(SUBSTITUTE(SUBSTITUTE(SUBSTITUTE(J349," ",""),"0",""),"-",""))+LEN(SUBSTITUTE(SUBSTITUTE(SUBSTITUTE(K349," ",""),"0",""),"-",""))),1,0))+IF(UPPER(L350)="X",0,IF((LEN(SUBSTITUTE(SUBSTITUTE(SUBSTITUTE(M350," ",""),"0",""),"-",""))+LEN(SUBSTITUTE(SUBSTITUTE(SUBSTITUTE(N350," ",""),"0",""),"-","")))&gt;(LEN(SUBSTITUTE(SUBSTITUTE(SUBSTITUTE(J350," ",""),"0",""),"-",""))+LEN(SUBSTITUTE(SUBSTITUTE(SUBSTITUTE(K350," ",""),"0",""),"-",""))),1,0))+IF(UPPER(L351)="X",0,IF((LEN(SUBSTITUTE(SUBSTITUTE(SUBSTITUTE(M351," ",""),"0",""),"-",""))+LEN(SUBSTITUTE(SUBSTITUTE(SUBSTITUTE(N351," ",""),"0",""),"-","")))&gt;(LEN(SUBSTITUTE(SUBSTITUTE(SUBSTITUTE(J351," ",""),"0",""),"-",""))+LEN(SUBSTITUTE(SUBSTITUTE(SUBSTITUTE(K351," ",""),"0",""),"-",""))),1,0))+IF(UPPER(L352)="X",0,IF((LEN(SUBSTITUTE(SUBSTITUTE(SUBSTITUTE(M352," ",""),"0",""),"-",""))+LEN(SUBSTITUTE(SUBSTITUTE(SUBSTITUTE(N352," ",""),"0",""),"-","")))&gt;(LEN(SUBSTITUTE(SUBSTITUTE(SUBSTITUTE(J352," ",""),"0",""),"-",""))+LEN(SUBSTITUTE(SUBSTITUTE(SUBSTITUTE(K352," ",""),"0",""),"-",""))),1,0))+IF(UPPER(L353)="X",0,IF((LEN(SUBSTITUTE(SUBSTITUTE(SUBSTITUTE(M353," ",""),"0",""),"-",""))+LEN(SUBSTITUTE(SUBSTITUTE(SUBSTITUTE(N353," ",""),"0",""),"-","")))&gt;(LEN(SUBSTITUTE(SUBSTITUTE(SUBSTITUTE(J353," ",""),"0",""),"-",""))+LEN(SUBSTITUTE(SUBSTITUTE(SUBSTITUTE(K353," ",""),"0",""),"-",""))),1,0))</f>
      </c>
      <c r="O348" s="14" t="str">
        <f>data!$E$74&amp;" "&amp;data!$B$74</f>
      </c>
    </row>
    <row r="349">
      <c r="A349" s="14">
        <v>1</v>
      </c>
      <c r="B349" s="18"/>
      <c r="C349" s="18"/>
      <c r="D349" s="18"/>
      <c r="E349" s="18"/>
      <c r="F349" s="18"/>
      <c r="G349" s="14">
        <v>1</v>
      </c>
      <c r="I349" s="14">
        <v>1</v>
      </c>
      <c r="J349" s="18"/>
      <c r="K349" s="18"/>
      <c r="L349" s="18"/>
      <c r="M349" s="18"/>
      <c r="N349" s="18"/>
      <c r="O349" s="14">
        <v>1</v>
      </c>
    </row>
    <row r="350">
      <c r="A350" s="14">
        <v>2</v>
      </c>
      <c r="B350" s="18"/>
      <c r="C350" s="18"/>
      <c r="D350" s="18"/>
      <c r="E350" s="18"/>
      <c r="F350" s="18"/>
      <c r="G350" s="14">
        <v>2</v>
      </c>
      <c r="I350" s="14">
        <v>2</v>
      </c>
      <c r="J350" s="18"/>
      <c r="K350" s="18"/>
      <c r="L350" s="18"/>
      <c r="M350" s="18"/>
      <c r="N350" s="18"/>
      <c r="O350" s="14">
        <v>2</v>
      </c>
    </row>
    <row r="351">
      <c r="A351" s="14">
        <v>3</v>
      </c>
      <c r="B351" s="18"/>
      <c r="C351" s="18"/>
      <c r="D351" s="18"/>
      <c r="E351" s="18"/>
      <c r="F351" s="18"/>
      <c r="G351" s="14">
        <v>3</v>
      </c>
      <c r="I351" s="14">
        <v>3</v>
      </c>
      <c r="J351" s="18"/>
      <c r="K351" s="18"/>
      <c r="L351" s="18"/>
      <c r="M351" s="18"/>
      <c r="N351" s="18"/>
      <c r="O351" s="14">
        <v>3</v>
      </c>
    </row>
    <row r="352">
      <c r="A352" s="14">
        <v>4</v>
      </c>
      <c r="B352" s="18"/>
      <c r="C352" s="18"/>
      <c r="D352" s="18"/>
      <c r="E352" s="18"/>
      <c r="F352" s="18"/>
      <c r="G352" s="14">
        <v>4</v>
      </c>
      <c r="I352" s="14">
        <v>4</v>
      </c>
      <c r="J352" s="18"/>
      <c r="K352" s="18"/>
      <c r="L352" s="18"/>
      <c r="M352" s="18"/>
      <c r="N352" s="18"/>
      <c r="O352" s="14">
        <v>4</v>
      </c>
    </row>
    <row r="353">
      <c r="A353" s="14">
        <v>5</v>
      </c>
      <c r="B353" s="18"/>
      <c r="C353" s="18"/>
      <c r="D353" s="18"/>
      <c r="E353" s="18"/>
      <c r="F353" s="18"/>
      <c r="G353" s="14">
        <v>5</v>
      </c>
      <c r="I353" s="14">
        <v>5</v>
      </c>
      <c r="J353" s="18"/>
      <c r="K353" s="18"/>
      <c r="L353" s="18"/>
      <c r="M353" s="18"/>
      <c r="N353" s="18"/>
      <c r="O353" s="14">
        <v>5</v>
      </c>
    </row>
    <row r="355">
      <c r="A355" s="17" t="s">
        <v>331</v>
      </c>
      <c r="B355" s="14"/>
      <c r="C355" s="14"/>
      <c r="D355" s="14" t="s">
        <v>332</v>
      </c>
      <c r="E355" s="14"/>
      <c r="F355" s="14"/>
      <c r="G355" s="16" t="s">
        <v>333</v>
      </c>
      <c r="I355" s="17" t="s">
        <v>331</v>
      </c>
      <c r="J355" s="14"/>
      <c r="K355" s="14"/>
      <c r="L355" s="14" t="s">
        <v>332</v>
      </c>
      <c r="M355" s="14"/>
      <c r="N355" s="14"/>
      <c r="O355" s="16" t="s">
        <v>333</v>
      </c>
    </row>
    <row r="356">
      <c r="A356" s="14" t="str">
        <f>data!$E$29&amp;" "&amp;data!$B$29</f>
      </c>
      <c r="B356" s="14" t="str">
        <f>IF(UPPER(D357)="X",0,IF((LEN(SUBSTITUTE(SUBSTITUTE(SUBSTITUTE(B357," ",""),"0",""),"-",""))+LEN(SUBSTITUTE(SUBSTITUTE(SUBSTITUTE(C357," ",""),"0",""),"-","")))&gt;(LEN(SUBSTITUTE(SUBSTITUTE(SUBSTITUTE(E357," ",""),"0",""),"-",""))+LEN(SUBSTITUTE(SUBSTITUTE(SUBSTITUTE(F357," ",""),"0",""),"-",""))),1,0))+IF(UPPER(D358)="X",0,IF((LEN(SUBSTITUTE(SUBSTITUTE(SUBSTITUTE(B358," ",""),"0",""),"-",""))+LEN(SUBSTITUTE(SUBSTITUTE(SUBSTITUTE(C358," ",""),"0",""),"-","")))&gt;(LEN(SUBSTITUTE(SUBSTITUTE(SUBSTITUTE(E358," ",""),"0",""),"-",""))+LEN(SUBSTITUTE(SUBSTITUTE(SUBSTITUTE(F358," ",""),"0",""),"-",""))),1,0))+IF(UPPER(D359)="X",0,IF((LEN(SUBSTITUTE(SUBSTITUTE(SUBSTITUTE(B359," ",""),"0",""),"-",""))+LEN(SUBSTITUTE(SUBSTITUTE(SUBSTITUTE(C359," ",""),"0",""),"-","")))&gt;(LEN(SUBSTITUTE(SUBSTITUTE(SUBSTITUTE(E359," ",""),"0",""),"-",""))+LEN(SUBSTITUTE(SUBSTITUTE(SUBSTITUTE(F359," ",""),"0",""),"-",""))),1,0))+IF(UPPER(D360)="X",0,IF((LEN(SUBSTITUTE(SUBSTITUTE(SUBSTITUTE(B360," ",""),"0",""),"-",""))+LEN(SUBSTITUTE(SUBSTITUTE(SUBSTITUTE(C360," ",""),"0",""),"-","")))&gt;(LEN(SUBSTITUTE(SUBSTITUTE(SUBSTITUTE(E360," ",""),"0",""),"-",""))+LEN(SUBSTITUTE(SUBSTITUTE(SUBSTITUTE(F360," ",""),"0",""),"-",""))),1,0))+IF(UPPER(D361)="X",0,IF((LEN(SUBSTITUTE(SUBSTITUTE(SUBSTITUTE(B361," ",""),"0",""),"-",""))+LEN(SUBSTITUTE(SUBSTITUTE(SUBSTITUTE(C361," ",""),"0",""),"-","")))&gt;(LEN(SUBSTITUTE(SUBSTITUTE(SUBSTITUTE(E361," ",""),"0",""),"-",""))+LEN(SUBSTITUTE(SUBSTITUTE(SUBSTITUTE(F361," ",""),"0",""),"-",""))),1,0))</f>
      </c>
      <c r="C356" s="14" t="str">
        <f>LEN(SUBSTITUTE(SUBSTITUTE(SUBSTITUTE(B357," ",""),"0",""),"-",""))+LEN(SUBSTITUTE(SUBSTITUTE(SUBSTITUTE(C357," ",""),"0",""),"-",""))+LEN(SUBSTITUTE(SUBSTITUTE(SUBSTITUTE(B358," ",""),"0",""),"-",""))+LEN(SUBSTITUTE(SUBSTITUTE(SUBSTITUTE(C358," ",""),"0",""),"-",""))+LEN(SUBSTITUTE(SUBSTITUTE(SUBSTITUTE(B359," ",""),"0",""),"-",""))+LEN(SUBSTITUTE(SUBSTITUTE(SUBSTITUTE(C359," ",""),"0",""),"-",""))+LEN(SUBSTITUTE(SUBSTITUTE(SUBSTITUTE(B360," ",""),"0",""),"-",""))+LEN(SUBSTITUTE(SUBSTITUTE(SUBSTITUTE(C360," ",""),"0",""),"-",""))+LEN(SUBSTITUTE(SUBSTITUTE(SUBSTITUTE(B361," ",""),"0",""),"-",""))+LEN(SUBSTITUTE(SUBSTITUTE(SUBSTITUTE(C361," ",""),"0",""),"-",""))</f>
      </c>
      <c r="D356" s="18"/>
      <c r="E356" s="14" t="str">
        <f>LEN(SUBSTITUTE(SUBSTITUTE(SUBSTITUTE(E357," ",""),"0",""),"-",""))+LEN(SUBSTITUTE(SUBSTITUTE(SUBSTITUTE(F357," ",""),"0",""),"-",""))+LEN(SUBSTITUTE(SUBSTITUTE(SUBSTITUTE(E358," ",""),"0",""),"-",""))+LEN(SUBSTITUTE(SUBSTITUTE(SUBSTITUTE(F358," ",""),"0",""),"-",""))+LEN(SUBSTITUTE(SUBSTITUTE(SUBSTITUTE(E359," ",""),"0",""),"-",""))+LEN(SUBSTITUTE(SUBSTITUTE(SUBSTITUTE(F359," ",""),"0",""),"-",""))+LEN(SUBSTITUTE(SUBSTITUTE(SUBSTITUTE(E360," ",""),"0",""),"-",""))+LEN(SUBSTITUTE(SUBSTITUTE(SUBSTITUTE(F360," ",""),"0",""),"-",""))+LEN(SUBSTITUTE(SUBSTITUTE(SUBSTITUTE(E361," ",""),"0",""),"-",""))+LEN(SUBSTITUTE(SUBSTITUTE(SUBSTITUTE(F361," ",""),"0",""),"-",""))</f>
      </c>
      <c r="F356" s="14" t="str">
        <f>IF(UPPER(D357)="X",0,IF((LEN(SUBSTITUTE(SUBSTITUTE(SUBSTITUTE(E357," ",""),"0",""),"-",""))+LEN(SUBSTITUTE(SUBSTITUTE(SUBSTITUTE(F357," ",""),"0",""),"-","")))&gt;(LEN(SUBSTITUTE(SUBSTITUTE(SUBSTITUTE(B357," ",""),"0",""),"-",""))+LEN(SUBSTITUTE(SUBSTITUTE(SUBSTITUTE(C357," ",""),"0",""),"-",""))),1,0))+IF(UPPER(D358)="X",0,IF((LEN(SUBSTITUTE(SUBSTITUTE(SUBSTITUTE(E358," ",""),"0",""),"-",""))+LEN(SUBSTITUTE(SUBSTITUTE(SUBSTITUTE(F358," ",""),"0",""),"-","")))&gt;(LEN(SUBSTITUTE(SUBSTITUTE(SUBSTITUTE(B358," ",""),"0",""),"-",""))+LEN(SUBSTITUTE(SUBSTITUTE(SUBSTITUTE(C358," ",""),"0",""),"-",""))),1,0))+IF(UPPER(D359)="X",0,IF((LEN(SUBSTITUTE(SUBSTITUTE(SUBSTITUTE(E359," ",""),"0",""),"-",""))+LEN(SUBSTITUTE(SUBSTITUTE(SUBSTITUTE(F359," ",""),"0",""),"-","")))&gt;(LEN(SUBSTITUTE(SUBSTITUTE(SUBSTITUTE(B359," ",""),"0",""),"-",""))+LEN(SUBSTITUTE(SUBSTITUTE(SUBSTITUTE(C359," ",""),"0",""),"-",""))),1,0))+IF(UPPER(D360)="X",0,IF((LEN(SUBSTITUTE(SUBSTITUTE(SUBSTITUTE(E360," ",""),"0",""),"-",""))+LEN(SUBSTITUTE(SUBSTITUTE(SUBSTITUTE(F360," ",""),"0",""),"-","")))&gt;(LEN(SUBSTITUTE(SUBSTITUTE(SUBSTITUTE(B360," ",""),"0",""),"-",""))+LEN(SUBSTITUTE(SUBSTITUTE(SUBSTITUTE(C360," ",""),"0",""),"-",""))),1,0))+IF(UPPER(D361)="X",0,IF((LEN(SUBSTITUTE(SUBSTITUTE(SUBSTITUTE(E361," ",""),"0",""),"-",""))+LEN(SUBSTITUTE(SUBSTITUTE(SUBSTITUTE(F361," ",""),"0",""),"-","")))&gt;(LEN(SUBSTITUTE(SUBSTITUTE(SUBSTITUTE(B361," ",""),"0",""),"-",""))+LEN(SUBSTITUTE(SUBSTITUTE(SUBSTITUTE(C361," ",""),"0",""),"-",""))),1,0))</f>
      </c>
      <c r="G356" s="14" t="str">
        <f>data!$E$27&amp;" "&amp;data!$B$27</f>
      </c>
      <c r="I356" s="14" t="str">
        <f>data!$E$76&amp;" "&amp;data!$B$76</f>
      </c>
      <c r="J356" s="14" t="str">
        <f>IF(UPPER(L357)="X",0,IF((LEN(SUBSTITUTE(SUBSTITUTE(SUBSTITUTE(J357," ",""),"0",""),"-",""))+LEN(SUBSTITUTE(SUBSTITUTE(SUBSTITUTE(K357," ",""),"0",""),"-","")))&gt;(LEN(SUBSTITUTE(SUBSTITUTE(SUBSTITUTE(M357," ",""),"0",""),"-",""))+LEN(SUBSTITUTE(SUBSTITUTE(SUBSTITUTE(N357," ",""),"0",""),"-",""))),1,0))+IF(UPPER(L358)="X",0,IF((LEN(SUBSTITUTE(SUBSTITUTE(SUBSTITUTE(J358," ",""),"0",""),"-",""))+LEN(SUBSTITUTE(SUBSTITUTE(SUBSTITUTE(K358," ",""),"0",""),"-","")))&gt;(LEN(SUBSTITUTE(SUBSTITUTE(SUBSTITUTE(M358," ",""),"0",""),"-",""))+LEN(SUBSTITUTE(SUBSTITUTE(SUBSTITUTE(N358," ",""),"0",""),"-",""))),1,0))+IF(UPPER(L359)="X",0,IF((LEN(SUBSTITUTE(SUBSTITUTE(SUBSTITUTE(J359," ",""),"0",""),"-",""))+LEN(SUBSTITUTE(SUBSTITUTE(SUBSTITUTE(K359," ",""),"0",""),"-","")))&gt;(LEN(SUBSTITUTE(SUBSTITUTE(SUBSTITUTE(M359," ",""),"0",""),"-",""))+LEN(SUBSTITUTE(SUBSTITUTE(SUBSTITUTE(N359," ",""),"0",""),"-",""))),1,0))+IF(UPPER(L360)="X",0,IF((LEN(SUBSTITUTE(SUBSTITUTE(SUBSTITUTE(J360," ",""),"0",""),"-",""))+LEN(SUBSTITUTE(SUBSTITUTE(SUBSTITUTE(K360," ",""),"0",""),"-","")))&gt;(LEN(SUBSTITUTE(SUBSTITUTE(SUBSTITUTE(M360," ",""),"0",""),"-",""))+LEN(SUBSTITUTE(SUBSTITUTE(SUBSTITUTE(N360," ",""),"0",""),"-",""))),1,0))+IF(UPPER(L361)="X",0,IF((LEN(SUBSTITUTE(SUBSTITUTE(SUBSTITUTE(J361," ",""),"0",""),"-",""))+LEN(SUBSTITUTE(SUBSTITUTE(SUBSTITUTE(K361," ",""),"0",""),"-","")))&gt;(LEN(SUBSTITUTE(SUBSTITUTE(SUBSTITUTE(M361," ",""),"0",""),"-",""))+LEN(SUBSTITUTE(SUBSTITUTE(SUBSTITUTE(N361," ",""),"0",""),"-",""))),1,0))</f>
      </c>
      <c r="K356" s="14" t="str">
        <f>LEN(SUBSTITUTE(SUBSTITUTE(SUBSTITUTE(J357," ",""),"0",""),"-",""))+LEN(SUBSTITUTE(SUBSTITUTE(SUBSTITUTE(K357," ",""),"0",""),"-",""))+LEN(SUBSTITUTE(SUBSTITUTE(SUBSTITUTE(J358," ",""),"0",""),"-",""))+LEN(SUBSTITUTE(SUBSTITUTE(SUBSTITUTE(K358," ",""),"0",""),"-",""))+LEN(SUBSTITUTE(SUBSTITUTE(SUBSTITUTE(J359," ",""),"0",""),"-",""))+LEN(SUBSTITUTE(SUBSTITUTE(SUBSTITUTE(K359," ",""),"0",""),"-",""))+LEN(SUBSTITUTE(SUBSTITUTE(SUBSTITUTE(J360," ",""),"0",""),"-",""))+LEN(SUBSTITUTE(SUBSTITUTE(SUBSTITUTE(K360," ",""),"0",""),"-",""))+LEN(SUBSTITUTE(SUBSTITUTE(SUBSTITUTE(J361," ",""),"0",""),"-",""))+LEN(SUBSTITUTE(SUBSTITUTE(SUBSTITUTE(K361," ",""),"0",""),"-",""))</f>
      </c>
      <c r="L356" s="18"/>
      <c r="M356" s="14" t="str">
        <f>LEN(SUBSTITUTE(SUBSTITUTE(SUBSTITUTE(M357," ",""),"0",""),"-",""))+LEN(SUBSTITUTE(SUBSTITUTE(SUBSTITUTE(N357," ",""),"0",""),"-",""))+LEN(SUBSTITUTE(SUBSTITUTE(SUBSTITUTE(M358," ",""),"0",""),"-",""))+LEN(SUBSTITUTE(SUBSTITUTE(SUBSTITUTE(N358," ",""),"0",""),"-",""))+LEN(SUBSTITUTE(SUBSTITUTE(SUBSTITUTE(M359," ",""),"0",""),"-",""))+LEN(SUBSTITUTE(SUBSTITUTE(SUBSTITUTE(N359," ",""),"0",""),"-",""))+LEN(SUBSTITUTE(SUBSTITUTE(SUBSTITUTE(M360," ",""),"0",""),"-",""))+LEN(SUBSTITUTE(SUBSTITUTE(SUBSTITUTE(N360," ",""),"0",""),"-",""))+LEN(SUBSTITUTE(SUBSTITUTE(SUBSTITUTE(M361," ",""),"0",""),"-",""))+LEN(SUBSTITUTE(SUBSTITUTE(SUBSTITUTE(N361," ",""),"0",""),"-",""))</f>
      </c>
      <c r="N356" s="14" t="str">
        <f>IF(UPPER(L357)="X",0,IF((LEN(SUBSTITUTE(SUBSTITUTE(SUBSTITUTE(M357," ",""),"0",""),"-",""))+LEN(SUBSTITUTE(SUBSTITUTE(SUBSTITUTE(N357," ",""),"0",""),"-","")))&gt;(LEN(SUBSTITUTE(SUBSTITUTE(SUBSTITUTE(J357," ",""),"0",""),"-",""))+LEN(SUBSTITUTE(SUBSTITUTE(SUBSTITUTE(K357," ",""),"0",""),"-",""))),1,0))+IF(UPPER(L358)="X",0,IF((LEN(SUBSTITUTE(SUBSTITUTE(SUBSTITUTE(M358," ",""),"0",""),"-",""))+LEN(SUBSTITUTE(SUBSTITUTE(SUBSTITUTE(N358," ",""),"0",""),"-","")))&gt;(LEN(SUBSTITUTE(SUBSTITUTE(SUBSTITUTE(J358," ",""),"0",""),"-",""))+LEN(SUBSTITUTE(SUBSTITUTE(SUBSTITUTE(K358," ",""),"0",""),"-",""))),1,0))+IF(UPPER(L359)="X",0,IF((LEN(SUBSTITUTE(SUBSTITUTE(SUBSTITUTE(M359," ",""),"0",""),"-",""))+LEN(SUBSTITUTE(SUBSTITUTE(SUBSTITUTE(N359," ",""),"0",""),"-","")))&gt;(LEN(SUBSTITUTE(SUBSTITUTE(SUBSTITUTE(J359," ",""),"0",""),"-",""))+LEN(SUBSTITUTE(SUBSTITUTE(SUBSTITUTE(K359," ",""),"0",""),"-",""))),1,0))+IF(UPPER(L360)="X",0,IF((LEN(SUBSTITUTE(SUBSTITUTE(SUBSTITUTE(M360," ",""),"0",""),"-",""))+LEN(SUBSTITUTE(SUBSTITUTE(SUBSTITUTE(N360," ",""),"0",""),"-","")))&gt;(LEN(SUBSTITUTE(SUBSTITUTE(SUBSTITUTE(J360," ",""),"0",""),"-",""))+LEN(SUBSTITUTE(SUBSTITUTE(SUBSTITUTE(K360," ",""),"0",""),"-",""))),1,0))+IF(UPPER(L361)="X",0,IF((LEN(SUBSTITUTE(SUBSTITUTE(SUBSTITUTE(M361," ",""),"0",""),"-",""))+LEN(SUBSTITUTE(SUBSTITUTE(SUBSTITUTE(N361," ",""),"0",""),"-","")))&gt;(LEN(SUBSTITUTE(SUBSTITUTE(SUBSTITUTE(J361," ",""),"0",""),"-",""))+LEN(SUBSTITUTE(SUBSTITUTE(SUBSTITUTE(K361," ",""),"0",""),"-",""))),1,0))</f>
      </c>
      <c r="O356" s="14" t="str">
        <f>data!$E$74&amp;" "&amp;data!$B$74</f>
      </c>
    </row>
    <row r="357">
      <c r="A357" s="14">
        <v>1</v>
      </c>
      <c r="B357" s="18"/>
      <c r="C357" s="18"/>
      <c r="D357" s="18"/>
      <c r="E357" s="18"/>
      <c r="F357" s="18"/>
      <c r="G357" s="14">
        <v>1</v>
      </c>
      <c r="I357" s="14">
        <v>1</v>
      </c>
      <c r="J357" s="18"/>
      <c r="K357" s="18"/>
      <c r="L357" s="18"/>
      <c r="M357" s="18"/>
      <c r="N357" s="18"/>
      <c r="O357" s="14">
        <v>1</v>
      </c>
    </row>
    <row r="358">
      <c r="A358" s="14">
        <v>2</v>
      </c>
      <c r="B358" s="18"/>
      <c r="C358" s="18"/>
      <c r="D358" s="18"/>
      <c r="E358" s="18"/>
      <c r="F358" s="18"/>
      <c r="G358" s="14">
        <v>2</v>
      </c>
      <c r="I358" s="14">
        <v>2</v>
      </c>
      <c r="J358" s="18"/>
      <c r="K358" s="18"/>
      <c r="L358" s="18"/>
      <c r="M358" s="18"/>
      <c r="N358" s="18"/>
      <c r="O358" s="14">
        <v>2</v>
      </c>
    </row>
    <row r="359">
      <c r="A359" s="14">
        <v>3</v>
      </c>
      <c r="B359" s="18"/>
      <c r="C359" s="18"/>
      <c r="D359" s="18"/>
      <c r="E359" s="18"/>
      <c r="F359" s="18"/>
      <c r="G359" s="14">
        <v>3</v>
      </c>
      <c r="I359" s="14">
        <v>3</v>
      </c>
      <c r="J359" s="18"/>
      <c r="K359" s="18"/>
      <c r="L359" s="18"/>
      <c r="M359" s="18"/>
      <c r="N359" s="18"/>
      <c r="O359" s="14">
        <v>3</v>
      </c>
    </row>
    <row r="360">
      <c r="A360" s="14">
        <v>4</v>
      </c>
      <c r="B360" s="18"/>
      <c r="C360" s="18"/>
      <c r="D360" s="18"/>
      <c r="E360" s="18"/>
      <c r="F360" s="18"/>
      <c r="G360" s="14">
        <v>4</v>
      </c>
      <c r="I360" s="14">
        <v>4</v>
      </c>
      <c r="J360" s="18"/>
      <c r="K360" s="18"/>
      <c r="L360" s="18"/>
      <c r="M360" s="18"/>
      <c r="N360" s="18"/>
      <c r="O360" s="14">
        <v>4</v>
      </c>
    </row>
    <row r="361">
      <c r="A361" s="14">
        <v>5</v>
      </c>
      <c r="B361" s="18"/>
      <c r="C361" s="18"/>
      <c r="D361" s="18"/>
      <c r="E361" s="18"/>
      <c r="F361" s="18"/>
      <c r="G361" s="14">
        <v>5</v>
      </c>
      <c r="I361" s="14">
        <v>5</v>
      </c>
      <c r="J361" s="18"/>
      <c r="K361" s="18"/>
      <c r="L361" s="18"/>
      <c r="M361" s="18"/>
      <c r="N361" s="18"/>
      <c r="O361" s="14">
        <v>5</v>
      </c>
    </row>
    <row r="363">
      <c r="A363" s="17" t="s">
        <v>331</v>
      </c>
      <c r="B363" s="14"/>
      <c r="C363" s="14"/>
      <c r="D363" s="14" t="s">
        <v>332</v>
      </c>
      <c r="E363" s="14"/>
      <c r="F363" s="14"/>
      <c r="G363" s="16" t="s">
        <v>333</v>
      </c>
      <c r="I363" s="17" t="s">
        <v>331</v>
      </c>
      <c r="J363" s="14"/>
      <c r="K363" s="14"/>
      <c r="L363" s="14" t="s">
        <v>332</v>
      </c>
      <c r="M363" s="14"/>
      <c r="N363" s="14"/>
      <c r="O363" s="16" t="s">
        <v>333</v>
      </c>
    </row>
    <row r="364">
      <c r="A364" s="14" t="str">
        <f>data!$E$29&amp;" "&amp;data!$B$29</f>
      </c>
      <c r="B364" s="14" t="str">
        <f>IF(UPPER(D365)="X",0,IF((LEN(SUBSTITUTE(SUBSTITUTE(SUBSTITUTE(B365," ",""),"0",""),"-",""))+LEN(SUBSTITUTE(SUBSTITUTE(SUBSTITUTE(C365," ",""),"0",""),"-","")))&gt;(LEN(SUBSTITUTE(SUBSTITUTE(SUBSTITUTE(E365," ",""),"0",""),"-",""))+LEN(SUBSTITUTE(SUBSTITUTE(SUBSTITUTE(F365," ",""),"0",""),"-",""))),1,0))+IF(UPPER(D366)="X",0,IF((LEN(SUBSTITUTE(SUBSTITUTE(SUBSTITUTE(B366," ",""),"0",""),"-",""))+LEN(SUBSTITUTE(SUBSTITUTE(SUBSTITUTE(C366," ",""),"0",""),"-","")))&gt;(LEN(SUBSTITUTE(SUBSTITUTE(SUBSTITUTE(E366," ",""),"0",""),"-",""))+LEN(SUBSTITUTE(SUBSTITUTE(SUBSTITUTE(F366," ",""),"0",""),"-",""))),1,0))+IF(UPPER(D367)="X",0,IF((LEN(SUBSTITUTE(SUBSTITUTE(SUBSTITUTE(B367," ",""),"0",""),"-",""))+LEN(SUBSTITUTE(SUBSTITUTE(SUBSTITUTE(C367," ",""),"0",""),"-","")))&gt;(LEN(SUBSTITUTE(SUBSTITUTE(SUBSTITUTE(E367," ",""),"0",""),"-",""))+LEN(SUBSTITUTE(SUBSTITUTE(SUBSTITUTE(F367," ",""),"0",""),"-",""))),1,0))+IF(UPPER(D368)="X",0,IF((LEN(SUBSTITUTE(SUBSTITUTE(SUBSTITUTE(B368," ",""),"0",""),"-",""))+LEN(SUBSTITUTE(SUBSTITUTE(SUBSTITUTE(C368," ",""),"0",""),"-","")))&gt;(LEN(SUBSTITUTE(SUBSTITUTE(SUBSTITUTE(E368," ",""),"0",""),"-",""))+LEN(SUBSTITUTE(SUBSTITUTE(SUBSTITUTE(F368," ",""),"0",""),"-",""))),1,0))+IF(UPPER(D369)="X",0,IF((LEN(SUBSTITUTE(SUBSTITUTE(SUBSTITUTE(B369," ",""),"0",""),"-",""))+LEN(SUBSTITUTE(SUBSTITUTE(SUBSTITUTE(C369," ",""),"0",""),"-","")))&gt;(LEN(SUBSTITUTE(SUBSTITUTE(SUBSTITUTE(E369," ",""),"0",""),"-",""))+LEN(SUBSTITUTE(SUBSTITUTE(SUBSTITUTE(F369," ",""),"0",""),"-",""))),1,0))</f>
      </c>
      <c r="C364" s="14" t="str">
        <f>LEN(SUBSTITUTE(SUBSTITUTE(SUBSTITUTE(B365," ",""),"0",""),"-",""))+LEN(SUBSTITUTE(SUBSTITUTE(SUBSTITUTE(C365," ",""),"0",""),"-",""))+LEN(SUBSTITUTE(SUBSTITUTE(SUBSTITUTE(B366," ",""),"0",""),"-",""))+LEN(SUBSTITUTE(SUBSTITUTE(SUBSTITUTE(C366," ",""),"0",""),"-",""))+LEN(SUBSTITUTE(SUBSTITUTE(SUBSTITUTE(B367," ",""),"0",""),"-",""))+LEN(SUBSTITUTE(SUBSTITUTE(SUBSTITUTE(C367," ",""),"0",""),"-",""))+LEN(SUBSTITUTE(SUBSTITUTE(SUBSTITUTE(B368," ",""),"0",""),"-",""))+LEN(SUBSTITUTE(SUBSTITUTE(SUBSTITUTE(C368," ",""),"0",""),"-",""))+LEN(SUBSTITUTE(SUBSTITUTE(SUBSTITUTE(B369," ",""),"0",""),"-",""))+LEN(SUBSTITUTE(SUBSTITUTE(SUBSTITUTE(C369," ",""),"0",""),"-",""))</f>
      </c>
      <c r="D364" s="18"/>
      <c r="E364" s="14" t="str">
        <f>LEN(SUBSTITUTE(SUBSTITUTE(SUBSTITUTE(E365," ",""),"0",""),"-",""))+LEN(SUBSTITUTE(SUBSTITUTE(SUBSTITUTE(F365," ",""),"0",""),"-",""))+LEN(SUBSTITUTE(SUBSTITUTE(SUBSTITUTE(E366," ",""),"0",""),"-",""))+LEN(SUBSTITUTE(SUBSTITUTE(SUBSTITUTE(F366," ",""),"0",""),"-",""))+LEN(SUBSTITUTE(SUBSTITUTE(SUBSTITUTE(E367," ",""),"0",""),"-",""))+LEN(SUBSTITUTE(SUBSTITUTE(SUBSTITUTE(F367," ",""),"0",""),"-",""))+LEN(SUBSTITUTE(SUBSTITUTE(SUBSTITUTE(E368," ",""),"0",""),"-",""))+LEN(SUBSTITUTE(SUBSTITUTE(SUBSTITUTE(F368," ",""),"0",""),"-",""))+LEN(SUBSTITUTE(SUBSTITUTE(SUBSTITUTE(E369," ",""),"0",""),"-",""))+LEN(SUBSTITUTE(SUBSTITUTE(SUBSTITUTE(F369," ",""),"0",""),"-",""))</f>
      </c>
      <c r="F364" s="14" t="str">
        <f>IF(UPPER(D365)="X",0,IF((LEN(SUBSTITUTE(SUBSTITUTE(SUBSTITUTE(E365," ",""),"0",""),"-",""))+LEN(SUBSTITUTE(SUBSTITUTE(SUBSTITUTE(F365," ",""),"0",""),"-","")))&gt;(LEN(SUBSTITUTE(SUBSTITUTE(SUBSTITUTE(B365," ",""),"0",""),"-",""))+LEN(SUBSTITUTE(SUBSTITUTE(SUBSTITUTE(C365," ",""),"0",""),"-",""))),1,0))+IF(UPPER(D366)="X",0,IF((LEN(SUBSTITUTE(SUBSTITUTE(SUBSTITUTE(E366," ",""),"0",""),"-",""))+LEN(SUBSTITUTE(SUBSTITUTE(SUBSTITUTE(F366," ",""),"0",""),"-","")))&gt;(LEN(SUBSTITUTE(SUBSTITUTE(SUBSTITUTE(B366," ",""),"0",""),"-",""))+LEN(SUBSTITUTE(SUBSTITUTE(SUBSTITUTE(C366," ",""),"0",""),"-",""))),1,0))+IF(UPPER(D367)="X",0,IF((LEN(SUBSTITUTE(SUBSTITUTE(SUBSTITUTE(E367," ",""),"0",""),"-",""))+LEN(SUBSTITUTE(SUBSTITUTE(SUBSTITUTE(F367," ",""),"0",""),"-","")))&gt;(LEN(SUBSTITUTE(SUBSTITUTE(SUBSTITUTE(B367," ",""),"0",""),"-",""))+LEN(SUBSTITUTE(SUBSTITUTE(SUBSTITUTE(C367," ",""),"0",""),"-",""))),1,0))+IF(UPPER(D368)="X",0,IF((LEN(SUBSTITUTE(SUBSTITUTE(SUBSTITUTE(E368," ",""),"0",""),"-",""))+LEN(SUBSTITUTE(SUBSTITUTE(SUBSTITUTE(F368," ",""),"0",""),"-","")))&gt;(LEN(SUBSTITUTE(SUBSTITUTE(SUBSTITUTE(B368," ",""),"0",""),"-",""))+LEN(SUBSTITUTE(SUBSTITUTE(SUBSTITUTE(C368," ",""),"0",""),"-",""))),1,0))+IF(UPPER(D369)="X",0,IF((LEN(SUBSTITUTE(SUBSTITUTE(SUBSTITUTE(E369," ",""),"0",""),"-",""))+LEN(SUBSTITUTE(SUBSTITUTE(SUBSTITUTE(F369," ",""),"0",""),"-","")))&gt;(LEN(SUBSTITUTE(SUBSTITUTE(SUBSTITUTE(B369," ",""),"0",""),"-",""))+LEN(SUBSTITUTE(SUBSTITUTE(SUBSTITUTE(C369," ",""),"0",""),"-",""))),1,0))</f>
      </c>
      <c r="G364" s="14" t="str">
        <f>data!$E$28&amp;" "&amp;data!$B$28</f>
      </c>
      <c r="I364" s="14" t="str">
        <f>data!$E$76&amp;" "&amp;data!$B$76</f>
      </c>
      <c r="J364" s="14" t="str">
        <f>IF(UPPER(L365)="X",0,IF((LEN(SUBSTITUTE(SUBSTITUTE(SUBSTITUTE(J365," ",""),"0",""),"-",""))+LEN(SUBSTITUTE(SUBSTITUTE(SUBSTITUTE(K365," ",""),"0",""),"-","")))&gt;(LEN(SUBSTITUTE(SUBSTITUTE(SUBSTITUTE(M365," ",""),"0",""),"-",""))+LEN(SUBSTITUTE(SUBSTITUTE(SUBSTITUTE(N365," ",""),"0",""),"-",""))),1,0))+IF(UPPER(L366)="X",0,IF((LEN(SUBSTITUTE(SUBSTITUTE(SUBSTITUTE(J366," ",""),"0",""),"-",""))+LEN(SUBSTITUTE(SUBSTITUTE(SUBSTITUTE(K366," ",""),"0",""),"-","")))&gt;(LEN(SUBSTITUTE(SUBSTITUTE(SUBSTITUTE(M366," ",""),"0",""),"-",""))+LEN(SUBSTITUTE(SUBSTITUTE(SUBSTITUTE(N366," ",""),"0",""),"-",""))),1,0))+IF(UPPER(L367)="X",0,IF((LEN(SUBSTITUTE(SUBSTITUTE(SUBSTITUTE(J367," ",""),"0",""),"-",""))+LEN(SUBSTITUTE(SUBSTITUTE(SUBSTITUTE(K367," ",""),"0",""),"-","")))&gt;(LEN(SUBSTITUTE(SUBSTITUTE(SUBSTITUTE(M367," ",""),"0",""),"-",""))+LEN(SUBSTITUTE(SUBSTITUTE(SUBSTITUTE(N367," ",""),"0",""),"-",""))),1,0))+IF(UPPER(L368)="X",0,IF((LEN(SUBSTITUTE(SUBSTITUTE(SUBSTITUTE(J368," ",""),"0",""),"-",""))+LEN(SUBSTITUTE(SUBSTITUTE(SUBSTITUTE(K368," ",""),"0",""),"-","")))&gt;(LEN(SUBSTITUTE(SUBSTITUTE(SUBSTITUTE(M368," ",""),"0",""),"-",""))+LEN(SUBSTITUTE(SUBSTITUTE(SUBSTITUTE(N368," ",""),"0",""),"-",""))),1,0))+IF(UPPER(L369)="X",0,IF((LEN(SUBSTITUTE(SUBSTITUTE(SUBSTITUTE(J369," ",""),"0",""),"-",""))+LEN(SUBSTITUTE(SUBSTITUTE(SUBSTITUTE(K369," ",""),"0",""),"-","")))&gt;(LEN(SUBSTITUTE(SUBSTITUTE(SUBSTITUTE(M369," ",""),"0",""),"-",""))+LEN(SUBSTITUTE(SUBSTITUTE(SUBSTITUTE(N369," ",""),"0",""),"-",""))),1,0))</f>
      </c>
      <c r="K364" s="14" t="str">
        <f>LEN(SUBSTITUTE(SUBSTITUTE(SUBSTITUTE(J365," ",""),"0",""),"-",""))+LEN(SUBSTITUTE(SUBSTITUTE(SUBSTITUTE(K365," ",""),"0",""),"-",""))+LEN(SUBSTITUTE(SUBSTITUTE(SUBSTITUTE(J366," ",""),"0",""),"-",""))+LEN(SUBSTITUTE(SUBSTITUTE(SUBSTITUTE(K366," ",""),"0",""),"-",""))+LEN(SUBSTITUTE(SUBSTITUTE(SUBSTITUTE(J367," ",""),"0",""),"-",""))+LEN(SUBSTITUTE(SUBSTITUTE(SUBSTITUTE(K367," ",""),"0",""),"-",""))+LEN(SUBSTITUTE(SUBSTITUTE(SUBSTITUTE(J368," ",""),"0",""),"-",""))+LEN(SUBSTITUTE(SUBSTITUTE(SUBSTITUTE(K368," ",""),"0",""),"-",""))+LEN(SUBSTITUTE(SUBSTITUTE(SUBSTITUTE(J369," ",""),"0",""),"-",""))+LEN(SUBSTITUTE(SUBSTITUTE(SUBSTITUTE(K369," ",""),"0",""),"-",""))</f>
      </c>
      <c r="L364" s="18"/>
      <c r="M364" s="14" t="str">
        <f>LEN(SUBSTITUTE(SUBSTITUTE(SUBSTITUTE(M365," ",""),"0",""),"-",""))+LEN(SUBSTITUTE(SUBSTITUTE(SUBSTITUTE(N365," ",""),"0",""),"-",""))+LEN(SUBSTITUTE(SUBSTITUTE(SUBSTITUTE(M366," ",""),"0",""),"-",""))+LEN(SUBSTITUTE(SUBSTITUTE(SUBSTITUTE(N366," ",""),"0",""),"-",""))+LEN(SUBSTITUTE(SUBSTITUTE(SUBSTITUTE(M367," ",""),"0",""),"-",""))+LEN(SUBSTITUTE(SUBSTITUTE(SUBSTITUTE(N367," ",""),"0",""),"-",""))+LEN(SUBSTITUTE(SUBSTITUTE(SUBSTITUTE(M368," ",""),"0",""),"-",""))+LEN(SUBSTITUTE(SUBSTITUTE(SUBSTITUTE(N368," ",""),"0",""),"-",""))+LEN(SUBSTITUTE(SUBSTITUTE(SUBSTITUTE(M369," ",""),"0",""),"-",""))+LEN(SUBSTITUTE(SUBSTITUTE(SUBSTITUTE(N369," ",""),"0",""),"-",""))</f>
      </c>
      <c r="N364" s="14" t="str">
        <f>IF(UPPER(L365)="X",0,IF((LEN(SUBSTITUTE(SUBSTITUTE(SUBSTITUTE(M365," ",""),"0",""),"-",""))+LEN(SUBSTITUTE(SUBSTITUTE(SUBSTITUTE(N365," ",""),"0",""),"-","")))&gt;(LEN(SUBSTITUTE(SUBSTITUTE(SUBSTITUTE(J365," ",""),"0",""),"-",""))+LEN(SUBSTITUTE(SUBSTITUTE(SUBSTITUTE(K365," ",""),"0",""),"-",""))),1,0))+IF(UPPER(L366)="X",0,IF((LEN(SUBSTITUTE(SUBSTITUTE(SUBSTITUTE(M366," ",""),"0",""),"-",""))+LEN(SUBSTITUTE(SUBSTITUTE(SUBSTITUTE(N366," ",""),"0",""),"-","")))&gt;(LEN(SUBSTITUTE(SUBSTITUTE(SUBSTITUTE(J366," ",""),"0",""),"-",""))+LEN(SUBSTITUTE(SUBSTITUTE(SUBSTITUTE(K366," ",""),"0",""),"-",""))),1,0))+IF(UPPER(L367)="X",0,IF((LEN(SUBSTITUTE(SUBSTITUTE(SUBSTITUTE(M367," ",""),"0",""),"-",""))+LEN(SUBSTITUTE(SUBSTITUTE(SUBSTITUTE(N367," ",""),"0",""),"-","")))&gt;(LEN(SUBSTITUTE(SUBSTITUTE(SUBSTITUTE(J367," ",""),"0",""),"-",""))+LEN(SUBSTITUTE(SUBSTITUTE(SUBSTITUTE(K367," ",""),"0",""),"-",""))),1,0))+IF(UPPER(L368)="X",0,IF((LEN(SUBSTITUTE(SUBSTITUTE(SUBSTITUTE(M368," ",""),"0",""),"-",""))+LEN(SUBSTITUTE(SUBSTITUTE(SUBSTITUTE(N368," ",""),"0",""),"-","")))&gt;(LEN(SUBSTITUTE(SUBSTITUTE(SUBSTITUTE(J368," ",""),"0",""),"-",""))+LEN(SUBSTITUTE(SUBSTITUTE(SUBSTITUTE(K368," ",""),"0",""),"-",""))),1,0))+IF(UPPER(L369)="X",0,IF((LEN(SUBSTITUTE(SUBSTITUTE(SUBSTITUTE(M369," ",""),"0",""),"-",""))+LEN(SUBSTITUTE(SUBSTITUTE(SUBSTITUTE(N369," ",""),"0",""),"-","")))&gt;(LEN(SUBSTITUTE(SUBSTITUTE(SUBSTITUTE(J369," ",""),"0",""),"-",""))+LEN(SUBSTITUTE(SUBSTITUTE(SUBSTITUTE(K369," ",""),"0",""),"-",""))),1,0))</f>
      </c>
      <c r="O364" s="14" t="str">
        <f>data!$E$75&amp;" "&amp;data!$B$75</f>
      </c>
    </row>
    <row r="365">
      <c r="A365" s="14">
        <v>1</v>
      </c>
      <c r="B365" s="18"/>
      <c r="C365" s="18"/>
      <c r="D365" s="18"/>
      <c r="E365" s="18"/>
      <c r="F365" s="18"/>
      <c r="G365" s="14">
        <v>1</v>
      </c>
      <c r="I365" s="14">
        <v>1</v>
      </c>
      <c r="J365" s="18"/>
      <c r="K365" s="18"/>
      <c r="L365" s="18"/>
      <c r="M365" s="18"/>
      <c r="N365" s="18"/>
      <c r="O365" s="14">
        <v>1</v>
      </c>
    </row>
    <row r="366">
      <c r="A366" s="14">
        <v>2</v>
      </c>
      <c r="B366" s="18"/>
      <c r="C366" s="18"/>
      <c r="D366" s="18"/>
      <c r="E366" s="18"/>
      <c r="F366" s="18"/>
      <c r="G366" s="14">
        <v>2</v>
      </c>
      <c r="I366" s="14">
        <v>2</v>
      </c>
      <c r="J366" s="18"/>
      <c r="K366" s="18"/>
      <c r="L366" s="18"/>
      <c r="M366" s="18"/>
      <c r="N366" s="18"/>
      <c r="O366" s="14">
        <v>2</v>
      </c>
    </row>
    <row r="367">
      <c r="A367" s="14">
        <v>3</v>
      </c>
      <c r="B367" s="18"/>
      <c r="C367" s="18"/>
      <c r="D367" s="18"/>
      <c r="E367" s="18"/>
      <c r="F367" s="18"/>
      <c r="G367" s="14">
        <v>3</v>
      </c>
      <c r="I367" s="14">
        <v>3</v>
      </c>
      <c r="J367" s="18"/>
      <c r="K367" s="18"/>
      <c r="L367" s="18"/>
      <c r="M367" s="18"/>
      <c r="N367" s="18"/>
      <c r="O367" s="14">
        <v>3</v>
      </c>
    </row>
    <row r="368">
      <c r="A368" s="14">
        <v>4</v>
      </c>
      <c r="B368" s="18"/>
      <c r="C368" s="18"/>
      <c r="D368" s="18"/>
      <c r="E368" s="18"/>
      <c r="F368" s="18"/>
      <c r="G368" s="14">
        <v>4</v>
      </c>
      <c r="I368" s="14">
        <v>4</v>
      </c>
      <c r="J368" s="18"/>
      <c r="K368" s="18"/>
      <c r="L368" s="18"/>
      <c r="M368" s="18"/>
      <c r="N368" s="18"/>
      <c r="O368" s="14">
        <v>4</v>
      </c>
    </row>
    <row r="369">
      <c r="A369" s="14">
        <v>5</v>
      </c>
      <c r="B369" s="18"/>
      <c r="C369" s="18"/>
      <c r="D369" s="18"/>
      <c r="E369" s="18"/>
      <c r="F369" s="18"/>
      <c r="G369" s="14">
        <v>5</v>
      </c>
      <c r="I369" s="14">
        <v>5</v>
      </c>
      <c r="J369" s="18"/>
      <c r="K369" s="18"/>
      <c r="L369" s="18"/>
      <c r="M369" s="18"/>
      <c r="N369" s="18"/>
      <c r="O369" s="14">
        <v>5</v>
      </c>
    </row>
    <row r="372">
      <c r="A372" s="13" t="s">
        <v>334</v>
      </c>
      <c r="B372" s="13" t="s">
        <v>335</v>
      </c>
      <c r="C372" s="13" t="s">
        <v>336</v>
      </c>
      <c r="D372" s="13" t="s">
        <v>337</v>
      </c>
      <c r="E372" s="13"/>
      <c r="F372" s="13"/>
      <c r="G372" s="13" t="s">
        <v>338</v>
      </c>
      <c r="I372" s="13" t="s">
        <v>334</v>
      </c>
      <c r="J372" s="13" t="s">
        <v>335</v>
      </c>
      <c r="K372" s="13" t="s">
        <v>336</v>
      </c>
      <c r="L372" s="13" t="s">
        <v>337</v>
      </c>
      <c r="M372" s="13"/>
      <c r="N372" s="13"/>
      <c r="O372" s="13" t="s">
        <v>338</v>
      </c>
    </row>
    <row r="373">
      <c r="A373" s="14" t="str">
        <f>data!$E$27&amp;" "&amp;data!$B$27</f>
      </c>
      <c r="B373" s="14" t="str">
        <f>IF(OR(COUNTA(B349:C353,E349:F353)&gt;0,D349="X",D349="x",D350="X",D350="x",D351="X",D351="x",D352="X",D352="x",D353="X",D353="x",OR(D348="X",D348="x")),IF(OR(OR(D348="X",D348="x"),AND(B348=F348,C348=E348)),0,IF(OR(F348&gt;B348,AND(F348=B348,E348&gt;C348)),1,0)),0)+IF(OR(COUNTA(B357:C361,E357:F361)&gt;0,D357="X",D357="x",D358="X",D358="x",D359="X",D359="x",D360="X",D360="x",D361="X",D361="x",OR(D356="X",D356="x")),IF(OR(OR(D356="X",D356="x"),AND(B356=F356,C356=E356)),0,IF(OR(F356&gt;B356,AND(F356=B356,E356&gt;C356)),1,0)),0)</f>
      </c>
      <c r="C373" s="14" t="str">
        <f>IF(OR(COUNTA(B349:C353,E349:F353)&gt;0,D349="X",D349="x",D350="X",D350="x",D351="X",D351="x",D352="X",D352="x",D353="X",D353="x",OR(D348="X",D348="x")),IF(OR(OR(D348="X",D348="x"),AND(B348=F348,C348=E348)),0,IF(OR(F348&lt;B348,AND(F348=B348,E348&lt;C348)),1,0)),0)+IF(OR(COUNTA(B357:C361,E357:F361)&gt;0,D357="X",D357="x",D358="X",D358="x",D359="X",D359="x",D360="X",D360="x",D361="X",D361="x",OR(D356="X",D356="x")),IF(OR(OR(D356="X",D356="x"),AND(B356=F356,C356=E356)),0,IF(OR(F356&lt;B356,AND(F356=B356,E356&lt;C356)),1,0)),0)</f>
      </c>
      <c r="D373" s="14" t="str">
        <f>IF(OR(COUNTA(B349:C353,E349:F353)&gt;0,D349="X",D349="x",D350="X",D350="x",D351="X",D351="x",D352="X",D352="x",D353="X",D353="x",OR(D348="X",D348="x")),IF(OR(OR(D348="X",D348="x"),AND(B348=F348,C348=E348)),1,0),0)+IF(OR(COUNTA(B357:C361,E357:F361)&gt;0,D357="X",D357="x",D358="X",D358="x",D359="X",D359="x",D360="X",D360="x",D361="X",D361="x",OR(D356="X",D356="x")),IF(OR(OR(D356="X",D356="x"),AND(B356=F356,C356=E356)),1,0),0)</f>
      </c>
      <c r="G373" s="18" t="str">
        <f>RANK(U373,$U$373:$U$375)+COUNTIF($U$372:U372,U373)</f>
      </c>
      <c r="I373" s="14" t="str">
        <f>data!$E$74&amp;" "&amp;data!$B$74</f>
      </c>
      <c r="J373" s="14" t="str">
        <f>IF(OR(COUNTA(J349:K353,M349:N353)&gt;0,L349="X",L349="x",L350="X",L350="x",L351="X",L351="x",L352="X",L352="x",L353="X",L353="x",OR(L348="X",L348="x")),IF(OR(OR(L348="X",L348="x"),AND(J348=N348,K348=M348)),0,IF(OR(N348&gt;J348,AND(N348=J348,M348&gt;K348)),1,0)),0)+IF(OR(COUNTA(J357:K361,M357:N361)&gt;0,L357="X",L357="x",L358="X",L358="x",L359="X",L359="x",L360="X",L360="x",L361="X",L361="x",OR(L356="X",L356="x")),IF(OR(OR(L356="X",L356="x"),AND(J356=N356,K356=M356)),0,IF(OR(N356&gt;J356,AND(N356=J356,M356&gt;K356)),1,0)),0)</f>
      </c>
      <c r="K373" s="14" t="str">
        <f>IF(OR(COUNTA(J349:K353,M349:N353)&gt;0,L349="X",L349="x",L350="X",L350="x",L351="X",L351="x",L352="X",L352="x",L353="X",L353="x",OR(L348="X",L348="x")),IF(OR(OR(L348="X",L348="x"),AND(J348=N348,K348=M348)),0,IF(OR(N348&lt;J348,AND(N348=J348,M348&lt;K348)),1,0)),0)+IF(OR(COUNTA(J357:K361,M357:N361)&gt;0,L357="X",L357="x",L358="X",L358="x",L359="X",L359="x",L360="X",L360="x",L361="X",L361="x",OR(L356="X",L356="x")),IF(OR(OR(L356="X",L356="x"),AND(J356=N356,K356=M356)),0,IF(OR(N356&lt;J356,AND(N356=J356,M356&lt;K356)),1,0)),0)</f>
      </c>
      <c r="L373" s="14" t="str">
        <f>IF(OR(COUNTA(J349:K353,M349:N353)&gt;0,L349="X",L349="x",L350="X",L350="x",L351="X",L351="x",L352="X",L352="x",L353="X",L353="x",OR(L348="X",L348="x")),IF(OR(OR(L348="X",L348="x"),AND(J348=N348,K348=M348)),1,0),0)+IF(OR(COUNTA(J357:K361,M357:N361)&gt;0,L357="X",L357="x",L358="X",L358="x",L359="X",L359="x",L360="X",L360="x",L361="X",L361="x",OR(L356="X",L356="x")),IF(OR(OR(L356="X",L356="x"),AND(J356=N356,K356=M356)),1,0),0)</f>
      </c>
      <c r="O373" s="18" t="str">
        <f>RANK(AC373,$AC$373:$AC$375)+COUNTIF($AC$372:AC372,AC373)</f>
      </c>
      <c r="U373" t="str">
        <f>(B373*1000000000)-(C373*10000000)+(D373*100000)+(B378*1000)-(C378*100)+(D378*10)+(E378*1)-(F378*0.01)</f>
      </c>
      <c r="AC373" t="str">
        <f>(J373*1000000000)-(K373*10000000)+(L373*100000)+(J378*1000)-(K378*100)+(L378*10)+(M378*1)-(N378*0.01)</f>
      </c>
    </row>
    <row r="374">
      <c r="A374" s="14" t="str">
        <f>data!$E$28&amp;" "&amp;data!$B$28</f>
      </c>
      <c r="B374" s="14" t="str">
        <f>IF(OR(COUNTA(B349:C353,E349:F353)&gt;0,D349="X",D349="x",D350="X",D350="x",D351="X",D351="x",D352="X",D352="x",D353="X",D353="x",OR(D348="X",D348="x")),IF(OR(OR(D348="X",D348="x"),AND(B348=F348,C348=E348)),0,IF(OR(B348&gt;F348,AND(B348=F348,C348&gt;E348)),1,0)),0)+IF(OR(COUNTA(B365:C369,E365:F369)&gt;0,D365="X",D365="x",D366="X",D366="x",D367="X",D367="x",D368="X",D368="x",D369="X",D369="x",OR(D364="X",D364="x")),IF(OR(OR(D364="X",D364="x"),AND(B364=F364,C364=E364)),0,IF(OR(F364&gt;B364,AND(F364=B364,E364&gt;C364)),1,0)),0)</f>
      </c>
      <c r="C374" s="14" t="str">
        <f>IF(OR(COUNTA(B349:C353,E349:F353)&gt;0,D349="X",D349="x",D350="X",D350="x",D351="X",D351="x",D352="X",D352="x",D353="X",D353="x",OR(D348="X",D348="x")),IF(OR(OR(D348="X",D348="x"),AND(B348=F348,C348=E348)),0,IF(OR(B348&lt;F348,AND(B348=F348,C348&lt;E348)),1,0)),0)+IF(OR(COUNTA(B365:C369,E365:F369)&gt;0,D365="X",D365="x",D366="X",D366="x",D367="X",D367="x",D368="X",D368="x",D369="X",D369="x",OR(D364="X",D364="x")),IF(OR(OR(D364="X",D364="x"),AND(B364=F364,C364=E364)),0,IF(OR(F364&lt;B364,AND(F364=B364,E364&lt;C364)),1,0)),0)</f>
      </c>
      <c r="D374" s="14" t="str">
        <f>IF(OR(COUNTA(B349:C353,E349:F353)&gt;0,D349="X",D349="x",D350="X",D350="x",D351="X",D351="x",D352="X",D352="x",D353="X",D353="x",OR(D348="X",D348="x")),IF(OR(OR(D348="X",D348="x"),AND(B348=F348,C348=E348)),1,0),0)+IF(OR(COUNTA(B365:C369,E365:F369)&gt;0,D365="X",D365="x",D366="X",D366="x",D367="X",D367="x",D368="X",D368="x",D369="X",D369="x",OR(D364="X",D364="x")),IF(OR(OR(D364="X",D364="x"),AND(B364=F364,C364=E364)),1,0),0)</f>
      </c>
      <c r="G374" s="18" t="str">
        <f>RANK(U374,$U$373:$U$375)+COUNTIF($U$372:U373,U374)</f>
      </c>
      <c r="I374" s="14" t="str">
        <f>data!$E$75&amp;" "&amp;data!$B$75</f>
      </c>
      <c r="J374" s="14" t="str">
        <f>IF(OR(COUNTA(J349:K353,M349:N353)&gt;0,L349="X",L349="x",L350="X",L350="x",L351="X",L351="x",L352="X",L352="x",L353="X",L353="x",OR(L348="X",L348="x")),IF(OR(OR(L348="X",L348="x"),AND(J348=N348,K348=M348)),0,IF(OR(J348&gt;N348,AND(J348=N348,K348&gt;M348)),1,0)),0)+IF(OR(COUNTA(J365:K369,M365:N369)&gt;0,L365="X",L365="x",L366="X",L366="x",L367="X",L367="x",L368="X",L368="x",L369="X",L369="x",OR(L364="X",L364="x")),IF(OR(OR(L364="X",L364="x"),AND(J364=N364,K364=M364)),0,IF(OR(N364&gt;J364,AND(N364=J364,M364&gt;K364)),1,0)),0)</f>
      </c>
      <c r="K374" s="14" t="str">
        <f>IF(OR(COUNTA(J349:K353,M349:N353)&gt;0,L349="X",L349="x",L350="X",L350="x",L351="X",L351="x",L352="X",L352="x",L353="X",L353="x",OR(L348="X",L348="x")),IF(OR(OR(L348="X",L348="x"),AND(J348=N348,K348=M348)),0,IF(OR(J348&lt;N348,AND(J348=N348,K348&lt;M348)),1,0)),0)+IF(OR(COUNTA(J365:K369,M365:N369)&gt;0,L365="X",L365="x",L366="X",L366="x",L367="X",L367="x",L368="X",L368="x",L369="X",L369="x",OR(L364="X",L364="x")),IF(OR(OR(L364="X",L364="x"),AND(J364=N364,K364=M364)),0,IF(OR(N364&lt;J364,AND(N364=J364,M364&lt;K364)),1,0)),0)</f>
      </c>
      <c r="L374" s="14" t="str">
        <f>IF(OR(COUNTA(J349:K353,M349:N353)&gt;0,L349="X",L349="x",L350="X",L350="x",L351="X",L351="x",L352="X",L352="x",L353="X",L353="x",OR(L348="X",L348="x")),IF(OR(OR(L348="X",L348="x"),AND(J348=N348,K348=M348)),1,0),0)+IF(OR(COUNTA(J365:K369,M365:N369)&gt;0,L365="X",L365="x",L366="X",L366="x",L367="X",L367="x",L368="X",L368="x",L369="X",L369="x",OR(L364="X",L364="x")),IF(OR(OR(L364="X",L364="x"),AND(J364=N364,K364=M364)),1,0),0)</f>
      </c>
      <c r="O374" s="18" t="str">
        <f>RANK(AC374,$AC$373:$AC$375)+COUNTIF($AC$372:AC373,AC374)</f>
      </c>
      <c r="U374" t="str">
        <f>(B374*1000000000)-(C374*10000000)+(D374*100000)+(B379*1000)-(C379*100)+(D379*10)+(E379*1)-(F379*0.01)</f>
      </c>
      <c r="AC374" t="str">
        <f>(J374*1000000000)-(K374*10000000)+(L374*100000)+(J379*1000)-(K379*100)+(L379*10)+(M379*1)-(N379*0.01)</f>
      </c>
    </row>
    <row r="375">
      <c r="A375" s="14" t="str">
        <f>data!$E$29&amp;" "&amp;data!$B$29</f>
      </c>
      <c r="B375" s="14" t="str">
        <f>IF(OR(COUNTA(B357:C361,E357:F361)&gt;0,D357="X",D357="x",D358="X",D358="x",D359="X",D359="x",D360="X",D360="x",D361="X",D361="x",OR(D356="X",D356="x")),IF(OR(OR(D356="X",D356="x"),AND(B356=F356,C356=E356)),0,IF(OR(B356&gt;F356,AND(B356=F356,C356&gt;E356)),1,0)),0)+IF(OR(COUNTA(B365:C369,E365:F369)&gt;0,D365="X",D365="x",D366="X",D366="x",D367="X",D367="x",D368="X",D368="x",D369="X",D369="x",OR(D364="X",D364="x")),IF(OR(OR(D364="X",D364="x"),AND(B364=F364,C364=E364)),0,IF(OR(B364&gt;F364,AND(B364=F364,C364&gt;E364)),1,0)),0)</f>
      </c>
      <c r="C375" s="14" t="str">
        <f>IF(OR(COUNTA(B357:C361,E357:F361)&gt;0,D357="X",D357="x",D358="X",D358="x",D359="X",D359="x",D360="X",D360="x",D361="X",D361="x",OR(D356="X",D356="x")),IF(OR(OR(D356="X",D356="x"),AND(B356=F356,C356=E356)),0,IF(OR(B356&lt;F356,AND(B356=F356,C356&lt;E356)),1,0)),0)+IF(OR(COUNTA(B365:C369,E365:F369)&gt;0,D365="X",D365="x",D366="X",D366="x",D367="X",D367="x",D368="X",D368="x",D369="X",D369="x",OR(D364="X",D364="x")),IF(OR(OR(D364="X",D364="x"),AND(B364=F364,C364=E364)),0,IF(OR(B364&lt;F364,AND(B364=F364,C364&lt;E364)),1,0)),0)</f>
      </c>
      <c r="D375" s="14" t="str">
        <f>IF(OR(COUNTA(B357:C361,E357:F361)&gt;0,D357="X",D357="x",D358="X",D358="x",D359="X",D359="x",D360="X",D360="x",D361="X",D361="x",OR(D356="X",D356="x")),IF(OR(OR(D356="X",D356="x"),AND(B356=F356,C356=E356)),1,0),0)+IF(OR(COUNTA(B365:C369,E365:F369)&gt;0,D365="X",D365="x",D366="X",D366="x",D367="X",D367="x",D368="X",D368="x",D369="X",D369="x",OR(D364="X",D364="x")),IF(OR(OR(D364="X",D364="x"),AND(B364=F364,C364=E364)),1,0),0)</f>
      </c>
      <c r="G375" s="18" t="str">
        <f>RANK(U375,$U$373:$U$375)+COUNTIF($U$372:U374,U375)</f>
      </c>
      <c r="I375" s="14" t="str">
        <f>data!$E$76&amp;" "&amp;data!$B$76</f>
      </c>
      <c r="J375" s="14" t="str">
        <f>IF(OR(COUNTA(J357:K361,M357:N361)&gt;0,L357="X",L357="x",L358="X",L358="x",L359="X",L359="x",L360="X",L360="x",L361="X",L361="x",OR(L356="X",L356="x")),IF(OR(OR(L356="X",L356="x"),AND(J356=N356,K356=M356)),0,IF(OR(J356&gt;N356,AND(J356=N356,K356&gt;M356)),1,0)),0)+IF(OR(COUNTA(J365:K369,M365:N369)&gt;0,L365="X",L365="x",L366="X",L366="x",L367="X",L367="x",L368="X",L368="x",L369="X",L369="x",OR(L364="X",L364="x")),IF(OR(OR(L364="X",L364="x"),AND(J364=N364,K364=M364)),0,IF(OR(J364&gt;N364,AND(J364=N364,K364&gt;M364)),1,0)),0)</f>
      </c>
      <c r="K375" s="14" t="str">
        <f>IF(OR(COUNTA(J357:K361,M357:N361)&gt;0,L357="X",L357="x",L358="X",L358="x",L359="X",L359="x",L360="X",L360="x",L361="X",L361="x",OR(L356="X",L356="x")),IF(OR(OR(L356="X",L356="x"),AND(J356=N356,K356=M356)),0,IF(OR(J356&lt;N356,AND(J356=N356,K356&lt;M356)),1,0)),0)+IF(OR(COUNTA(J365:K369,M365:N369)&gt;0,L365="X",L365="x",L366="X",L366="x",L367="X",L367="x",L368="X",L368="x",L369="X",L369="x",OR(L364="X",L364="x")),IF(OR(OR(L364="X",L364="x"),AND(J364=N364,K364=M364)),0,IF(OR(J364&lt;N364,AND(J364=N364,K364&lt;M364)),1,0)),0)</f>
      </c>
      <c r="L375" s="14" t="str">
        <f>IF(OR(COUNTA(J357:K361,M357:N361)&gt;0,L357="X",L357="x",L358="X",L358="x",L359="X",L359="x",L360="X",L360="x",L361="X",L361="x",OR(L356="X",L356="x")),IF(OR(OR(L356="X",L356="x"),AND(J356=N356,K356=M356)),1,0),0)+IF(OR(COUNTA(J365:K369,M365:N369)&gt;0,L365="X",L365="x",L366="X",L366="x",L367="X",L367="x",L368="X",L368="x",L369="X",L369="x",OR(L364="X",L364="x")),IF(OR(OR(L364="X",L364="x"),AND(J364=N364,K364=M364)),1,0),0)</f>
      </c>
      <c r="O375" s="18" t="str">
        <f>RANK(AC375,$AC$373:$AC$375)+COUNTIF($AC$372:AC374,AC375)</f>
      </c>
      <c r="U375" t="str">
        <f>(B375*1000000000)-(C375*10000000)+(D375*100000)+(B380*1000)-(C380*100)+(D380*10)+(E380*1)-(F380*0.01)</f>
      </c>
      <c r="AC375" t="str">
        <f>(J375*1000000000)-(K375*10000000)+(L375*100000)+(J380*1000)-(K380*100)+(L380*10)+(M380*1)-(N380*0.01)</f>
      </c>
    </row>
    <row r="377">
      <c r="A377" s="13"/>
      <c r="B377" s="13" t="s">
        <v>339</v>
      </c>
      <c r="C377" s="13" t="s">
        <v>340</v>
      </c>
      <c r="D377" s="13" t="s">
        <v>341</v>
      </c>
      <c r="E377" s="13" t="s">
        <v>342</v>
      </c>
      <c r="F377" s="13" t="s">
        <v>343</v>
      </c>
      <c r="I377" s="13"/>
      <c r="J377" s="13" t="s">
        <v>339</v>
      </c>
      <c r="K377" s="13" t="s">
        <v>340</v>
      </c>
      <c r="L377" s="13" t="s">
        <v>341</v>
      </c>
      <c r="M377" s="13" t="s">
        <v>342</v>
      </c>
      <c r="N377" s="13" t="s">
        <v>343</v>
      </c>
    </row>
    <row r="378">
      <c r="A378" s="14" t="str">
        <f>data!$E$27&amp;" "&amp;data!$B$27</f>
      </c>
      <c r="B378" s="14" t="str">
        <f>IF(OR(COUNTA(B349:C353,E349:F353)&gt;0,OR(D348="X",D348="x"),UPPER(D349)="X",UPPER(D350)="X",UPPER(D351)="X",UPPER(D352)="X",UPPER(D353)="X"),F348,0)+IF(OR(COUNTA(B357:C361,E357:F361)&gt;0,OR(D356="X",D356="x"),UPPER(D357)="X",UPPER(D358)="X",UPPER(D359)="X",UPPER(D360)="X",UPPER(D361)="X"),F356,0)</f>
      </c>
      <c r="C378" s="14" t="str">
        <f>IF(OR(COUNTA(B349:C353,E349:F353)&gt;0,OR(D348="X",D348="x"),UPPER(D349)="X",UPPER(D350)="X",UPPER(D351)="X",UPPER(D352)="X",UPPER(D353)="X"),B348,0)+IF(OR(COUNTA(B357:C361,E357:F361)&gt;0,OR(D356="X",D356="x"),UPPER(D357)="X",UPPER(D358)="X",UPPER(D359)="X",UPPER(D360)="X",UPPER(D361)="X"),B356,0)</f>
      </c>
      <c r="D378" s="14" t="str">
        <f>IF(OR(COUNTA(B349:C353,E349:F353)&gt;0,OR(D348="X",D348="x"),UPPER(D349)="X",UPPER(D350)="X",UPPER(D351)="X",UPPER(D352)="X",UPPER(D353)="X"),(IF(OR(D349="X",D349="x",AND(COUNTA(B349,C349,E349,F349)&gt;0,(LEN(SUBSTITUTE(SUBSTITUTE(SUBSTITUTE(B349," ",""),"0",""),"-",""))+LEN(SUBSTITUTE(SUBSTITUTE(SUBSTITUTE(C349," ",""),"0",""),"-","")))=(LEN(SUBSTITUTE(SUBSTITUTE(SUBSTITUTE(E349," ",""),"0",""),"-",""))+LEN(SUBSTITUTE(SUBSTITUTE(SUBSTITUTE(F349," ",""),"0",""),"-",""))))),1,0)+IF(OR(D350="X",D350="x",AND(COUNTA(B350,C350,E350,F350)&gt;0,(LEN(SUBSTITUTE(SUBSTITUTE(SUBSTITUTE(B350," ",""),"0",""),"-",""))+LEN(SUBSTITUTE(SUBSTITUTE(SUBSTITUTE(C350," ",""),"0",""),"-","")))=(LEN(SUBSTITUTE(SUBSTITUTE(SUBSTITUTE(E350," ",""),"0",""),"-",""))+LEN(SUBSTITUTE(SUBSTITUTE(SUBSTITUTE(F350," ",""),"0",""),"-",""))))),1,0)+IF(OR(D351="X",D351="x",AND(COUNTA(B351,C351,E351,F351)&gt;0,(LEN(SUBSTITUTE(SUBSTITUTE(SUBSTITUTE(B351," ",""),"0",""),"-",""))+LEN(SUBSTITUTE(SUBSTITUTE(SUBSTITUTE(C351," ",""),"0",""),"-","")))=(LEN(SUBSTITUTE(SUBSTITUTE(SUBSTITUTE(E351," ",""),"0",""),"-",""))+LEN(SUBSTITUTE(SUBSTITUTE(SUBSTITUTE(F351," ",""),"0",""),"-",""))))),1,0)+IF(OR(D352="X",D352="x",AND(COUNTA(B352,C352,E352,F352)&gt;0,(LEN(SUBSTITUTE(SUBSTITUTE(SUBSTITUTE(B352," ",""),"0",""),"-",""))+LEN(SUBSTITUTE(SUBSTITUTE(SUBSTITUTE(C352," ",""),"0",""),"-","")))=(LEN(SUBSTITUTE(SUBSTITUTE(SUBSTITUTE(E352," ",""),"0",""),"-",""))+LEN(SUBSTITUTE(SUBSTITUTE(SUBSTITUTE(F352," ",""),"0",""),"-",""))))),1,0)+IF(OR(D353="X",D353="x",AND(COUNTA(B353,C353,E353,F353)&gt;0,(LEN(SUBSTITUTE(SUBSTITUTE(SUBSTITUTE(B353," ",""),"0",""),"-",""))+LEN(SUBSTITUTE(SUBSTITUTE(SUBSTITUTE(C353," ",""),"0",""),"-","")))=(LEN(SUBSTITUTE(SUBSTITUTE(SUBSTITUTE(E353," ",""),"0",""),"-",""))+LEN(SUBSTITUTE(SUBSTITUTE(SUBSTITUTE(F353," ",""),"0",""),"-",""))))),1,0)),0)+IF(OR(COUNTA(B357:C361,E357:F361)&gt;0,OR(D356="X",D356="x"),UPPER(D357)="X",UPPER(D358)="X",UPPER(D359)="X",UPPER(D360)="X",UPPER(D361)="X"),(IF(OR(D357="X",D357="x",AND(COUNTA(B357,C357,E357,F357)&gt;0,(LEN(SUBSTITUTE(SUBSTITUTE(SUBSTITUTE(B357," ",""),"0",""),"-",""))+LEN(SUBSTITUTE(SUBSTITUTE(SUBSTITUTE(C357," ",""),"0",""),"-","")))=(LEN(SUBSTITUTE(SUBSTITUTE(SUBSTITUTE(E357," ",""),"0",""),"-",""))+LEN(SUBSTITUTE(SUBSTITUTE(SUBSTITUTE(F357," ",""),"0",""),"-",""))))),1,0)+IF(OR(D358="X",D358="x",AND(COUNTA(B358,C358,E358,F358)&gt;0,(LEN(SUBSTITUTE(SUBSTITUTE(SUBSTITUTE(B358," ",""),"0",""),"-",""))+LEN(SUBSTITUTE(SUBSTITUTE(SUBSTITUTE(C358," ",""),"0",""),"-","")))=(LEN(SUBSTITUTE(SUBSTITUTE(SUBSTITUTE(E358," ",""),"0",""),"-",""))+LEN(SUBSTITUTE(SUBSTITUTE(SUBSTITUTE(F358," ",""),"0",""),"-",""))))),1,0)+IF(OR(D359="X",D359="x",AND(COUNTA(B359,C359,E359,F359)&gt;0,(LEN(SUBSTITUTE(SUBSTITUTE(SUBSTITUTE(B359," ",""),"0",""),"-",""))+LEN(SUBSTITUTE(SUBSTITUTE(SUBSTITUTE(C359," ",""),"0",""),"-","")))=(LEN(SUBSTITUTE(SUBSTITUTE(SUBSTITUTE(E359," ",""),"0",""),"-",""))+LEN(SUBSTITUTE(SUBSTITUTE(SUBSTITUTE(F359," ",""),"0",""),"-",""))))),1,0)+IF(OR(D360="X",D360="x",AND(COUNTA(B360,C360,E360,F360)&gt;0,(LEN(SUBSTITUTE(SUBSTITUTE(SUBSTITUTE(B360," ",""),"0",""),"-",""))+LEN(SUBSTITUTE(SUBSTITUTE(SUBSTITUTE(C360," ",""),"0",""),"-","")))=(LEN(SUBSTITUTE(SUBSTITUTE(SUBSTITUTE(E360," ",""),"0",""),"-",""))+LEN(SUBSTITUTE(SUBSTITUTE(SUBSTITUTE(F360," ",""),"0",""),"-",""))))),1,0)+IF(OR(D361="X",D361="x",AND(COUNTA(B361,C361,E361,F361)&gt;0,(LEN(SUBSTITUTE(SUBSTITUTE(SUBSTITUTE(B361," ",""),"0",""),"-",""))+LEN(SUBSTITUTE(SUBSTITUTE(SUBSTITUTE(C361," ",""),"0",""),"-","")))=(LEN(SUBSTITUTE(SUBSTITUTE(SUBSTITUTE(E361," ",""),"0",""),"-",""))+LEN(SUBSTITUTE(SUBSTITUTE(SUBSTITUTE(F361," ",""),"0",""),"-",""))))),1,0)),0)</f>
      </c>
      <c r="E378" s="14" t="str">
        <f>E348+E356</f>
      </c>
      <c r="F378" s="14" t="str">
        <f>C348+C356</f>
      </c>
      <c r="I378" s="14" t="str">
        <f>data!$E$74&amp;" "&amp;data!$B$74</f>
      </c>
      <c r="J378" s="14" t="str">
        <f>IF(OR(COUNTA(J349:K353,M349:N353)&gt;0,OR(L348="X",L348="x"),UPPER(L349)="X",UPPER(L350)="X",UPPER(L351)="X",UPPER(L352)="X",UPPER(L353)="X"),N348,0)+IF(OR(COUNTA(J357:K361,M357:N361)&gt;0,OR(L356="X",L356="x"),UPPER(L357)="X",UPPER(L358)="X",UPPER(L359)="X",UPPER(L360)="X",UPPER(L361)="X"),N356,0)</f>
      </c>
      <c r="K378" s="14" t="str">
        <f>IF(OR(COUNTA(J349:K353,M349:N353)&gt;0,OR(L348="X",L348="x"),UPPER(L349)="X",UPPER(L350)="X",UPPER(L351)="X",UPPER(L352)="X",UPPER(L353)="X"),J348,0)+IF(OR(COUNTA(J357:K361,M357:N361)&gt;0,OR(L356="X",L356="x"),UPPER(L357)="X",UPPER(L358)="X",UPPER(L359)="X",UPPER(L360)="X",UPPER(L361)="X"),J356,0)</f>
      </c>
      <c r="L378" s="14" t="str">
        <f>IF(OR(COUNTA(J349:K353,M349:N353)&gt;0,OR(L348="X",L348="x"),UPPER(L349)="X",UPPER(L350)="X",UPPER(L351)="X",UPPER(L352)="X",UPPER(L353)="X"),(IF(OR(L349="X",L349="x",AND(COUNTA(J349,K349,M349,N349)&gt;0,(LEN(SUBSTITUTE(SUBSTITUTE(SUBSTITUTE(J349," ",""),"0",""),"-",""))+LEN(SUBSTITUTE(SUBSTITUTE(SUBSTITUTE(K349," ",""),"0",""),"-","")))=(LEN(SUBSTITUTE(SUBSTITUTE(SUBSTITUTE(M349," ",""),"0",""),"-",""))+LEN(SUBSTITUTE(SUBSTITUTE(SUBSTITUTE(N349," ",""),"0",""),"-",""))))),1,0)+IF(OR(L350="X",L350="x",AND(COUNTA(J350,K350,M350,N350)&gt;0,(LEN(SUBSTITUTE(SUBSTITUTE(SUBSTITUTE(J350," ",""),"0",""),"-",""))+LEN(SUBSTITUTE(SUBSTITUTE(SUBSTITUTE(K350," ",""),"0",""),"-","")))=(LEN(SUBSTITUTE(SUBSTITUTE(SUBSTITUTE(M350," ",""),"0",""),"-",""))+LEN(SUBSTITUTE(SUBSTITUTE(SUBSTITUTE(N350," ",""),"0",""),"-",""))))),1,0)+IF(OR(L351="X",L351="x",AND(COUNTA(J351,K351,M351,N351)&gt;0,(LEN(SUBSTITUTE(SUBSTITUTE(SUBSTITUTE(J351," ",""),"0",""),"-",""))+LEN(SUBSTITUTE(SUBSTITUTE(SUBSTITUTE(K351," ",""),"0",""),"-","")))=(LEN(SUBSTITUTE(SUBSTITUTE(SUBSTITUTE(M351," ",""),"0",""),"-",""))+LEN(SUBSTITUTE(SUBSTITUTE(SUBSTITUTE(N351," ",""),"0",""),"-",""))))),1,0)+IF(OR(L352="X",L352="x",AND(COUNTA(J352,K352,M352,N352)&gt;0,(LEN(SUBSTITUTE(SUBSTITUTE(SUBSTITUTE(J352," ",""),"0",""),"-",""))+LEN(SUBSTITUTE(SUBSTITUTE(SUBSTITUTE(K352," ",""),"0",""),"-","")))=(LEN(SUBSTITUTE(SUBSTITUTE(SUBSTITUTE(M352," ",""),"0",""),"-",""))+LEN(SUBSTITUTE(SUBSTITUTE(SUBSTITUTE(N352," ",""),"0",""),"-",""))))),1,0)+IF(OR(L353="X",L353="x",AND(COUNTA(J353,K353,M353,N353)&gt;0,(LEN(SUBSTITUTE(SUBSTITUTE(SUBSTITUTE(J353," ",""),"0",""),"-",""))+LEN(SUBSTITUTE(SUBSTITUTE(SUBSTITUTE(K353," ",""),"0",""),"-","")))=(LEN(SUBSTITUTE(SUBSTITUTE(SUBSTITUTE(M353," ",""),"0",""),"-",""))+LEN(SUBSTITUTE(SUBSTITUTE(SUBSTITUTE(N353," ",""),"0",""),"-",""))))),1,0)),0)+IF(OR(COUNTA(J357:K361,M357:N361)&gt;0,OR(L356="X",L356="x"),UPPER(L357)="X",UPPER(L358)="X",UPPER(L359)="X",UPPER(L360)="X",UPPER(L361)="X"),(IF(OR(L357="X",L357="x",AND(COUNTA(J357,K357,M357,N357)&gt;0,(LEN(SUBSTITUTE(SUBSTITUTE(SUBSTITUTE(J357," ",""),"0",""),"-",""))+LEN(SUBSTITUTE(SUBSTITUTE(SUBSTITUTE(K357," ",""),"0",""),"-","")))=(LEN(SUBSTITUTE(SUBSTITUTE(SUBSTITUTE(M357," ",""),"0",""),"-",""))+LEN(SUBSTITUTE(SUBSTITUTE(SUBSTITUTE(N357," ",""),"0",""),"-",""))))),1,0)+IF(OR(L358="X",L358="x",AND(COUNTA(J358,K358,M358,N358)&gt;0,(LEN(SUBSTITUTE(SUBSTITUTE(SUBSTITUTE(J358," ",""),"0",""),"-",""))+LEN(SUBSTITUTE(SUBSTITUTE(SUBSTITUTE(K358," ",""),"0",""),"-","")))=(LEN(SUBSTITUTE(SUBSTITUTE(SUBSTITUTE(M358," ",""),"0",""),"-",""))+LEN(SUBSTITUTE(SUBSTITUTE(SUBSTITUTE(N358," ",""),"0",""),"-",""))))),1,0)+IF(OR(L359="X",L359="x",AND(COUNTA(J359,K359,M359,N359)&gt;0,(LEN(SUBSTITUTE(SUBSTITUTE(SUBSTITUTE(J359," ",""),"0",""),"-",""))+LEN(SUBSTITUTE(SUBSTITUTE(SUBSTITUTE(K359," ",""),"0",""),"-","")))=(LEN(SUBSTITUTE(SUBSTITUTE(SUBSTITUTE(M359," ",""),"0",""),"-",""))+LEN(SUBSTITUTE(SUBSTITUTE(SUBSTITUTE(N359," ",""),"0",""),"-",""))))),1,0)+IF(OR(L360="X",L360="x",AND(COUNTA(J360,K360,M360,N360)&gt;0,(LEN(SUBSTITUTE(SUBSTITUTE(SUBSTITUTE(J360," ",""),"0",""),"-",""))+LEN(SUBSTITUTE(SUBSTITUTE(SUBSTITUTE(K360," ",""),"0",""),"-","")))=(LEN(SUBSTITUTE(SUBSTITUTE(SUBSTITUTE(M360," ",""),"0",""),"-",""))+LEN(SUBSTITUTE(SUBSTITUTE(SUBSTITUTE(N360," ",""),"0",""),"-",""))))),1,0)+IF(OR(L361="X",L361="x",AND(COUNTA(J361,K361,M361,N361)&gt;0,(LEN(SUBSTITUTE(SUBSTITUTE(SUBSTITUTE(J361," ",""),"0",""),"-",""))+LEN(SUBSTITUTE(SUBSTITUTE(SUBSTITUTE(K361," ",""),"0",""),"-","")))=(LEN(SUBSTITUTE(SUBSTITUTE(SUBSTITUTE(M361," ",""),"0",""),"-",""))+LEN(SUBSTITUTE(SUBSTITUTE(SUBSTITUTE(N361," ",""),"0",""),"-",""))))),1,0)),0)</f>
      </c>
      <c r="M378" s="14" t="str">
        <f>M348+M356</f>
      </c>
      <c r="N378" s="14" t="str">
        <f>K348+K356</f>
      </c>
    </row>
    <row r="379">
      <c r="A379" s="14" t="str">
        <f>data!$E$28&amp;" "&amp;data!$B$28</f>
      </c>
      <c r="B379" s="14" t="str">
        <f>IF(OR(COUNTA(B349:C353,E349:F353)&gt;0,OR(D348="X",D348="x"),UPPER(D349)="X",UPPER(D350)="X",UPPER(D351)="X",UPPER(D352)="X",UPPER(D353)="X"),B348,0)+IF(OR(COUNTA(B365:C369,E365:F369)&gt;0,OR(D364="X",D364="x"),UPPER(D365)="X",UPPER(D366)="X",UPPER(D367)="X",UPPER(D368)="X",UPPER(D369)="X"),F364,0)</f>
      </c>
      <c r="C379" s="14" t="str">
        <f>IF(OR(COUNTA(B349:C353,E349:F353)&gt;0,OR(D348="X",D348="x"),UPPER(D349)="X",UPPER(D350)="X",UPPER(D351)="X",UPPER(D352)="X",UPPER(D353)="X"),F348,0)+IF(OR(COUNTA(B365:C369,E365:F369)&gt;0,OR(D364="X",D364="x"),UPPER(D365)="X",UPPER(D366)="X",UPPER(D367)="X",UPPER(D368)="X",UPPER(D369)="X"),B364,0)</f>
      </c>
      <c r="D379" s="14" t="str">
        <f>IF(OR(COUNTA(B349:C353,E349:F353)&gt;0,OR(D348="X",D348="x"),UPPER(D349)="X",UPPER(D350)="X",UPPER(D351)="X",UPPER(D352)="X",UPPER(D353)="X"),(IF(OR(D349="X",D349="x",AND(COUNTA(B349,C349,E349,F349)&gt;0,(LEN(SUBSTITUTE(SUBSTITUTE(SUBSTITUTE(B349," ",""),"0",""),"-",""))+LEN(SUBSTITUTE(SUBSTITUTE(SUBSTITUTE(C349," ",""),"0",""),"-","")))=(LEN(SUBSTITUTE(SUBSTITUTE(SUBSTITUTE(E349," ",""),"0",""),"-",""))+LEN(SUBSTITUTE(SUBSTITUTE(SUBSTITUTE(F349," ",""),"0",""),"-",""))))),1,0)+IF(OR(D350="X",D350="x",AND(COUNTA(B350,C350,E350,F350)&gt;0,(LEN(SUBSTITUTE(SUBSTITUTE(SUBSTITUTE(B350," ",""),"0",""),"-",""))+LEN(SUBSTITUTE(SUBSTITUTE(SUBSTITUTE(C350," ",""),"0",""),"-","")))=(LEN(SUBSTITUTE(SUBSTITUTE(SUBSTITUTE(E350," ",""),"0",""),"-",""))+LEN(SUBSTITUTE(SUBSTITUTE(SUBSTITUTE(F350," ",""),"0",""),"-",""))))),1,0)+IF(OR(D351="X",D351="x",AND(COUNTA(B351,C351,E351,F351)&gt;0,(LEN(SUBSTITUTE(SUBSTITUTE(SUBSTITUTE(B351," ",""),"0",""),"-",""))+LEN(SUBSTITUTE(SUBSTITUTE(SUBSTITUTE(C351," ",""),"0",""),"-","")))=(LEN(SUBSTITUTE(SUBSTITUTE(SUBSTITUTE(E351," ",""),"0",""),"-",""))+LEN(SUBSTITUTE(SUBSTITUTE(SUBSTITUTE(F351," ",""),"0",""),"-",""))))),1,0)+IF(OR(D352="X",D352="x",AND(COUNTA(B352,C352,E352,F352)&gt;0,(LEN(SUBSTITUTE(SUBSTITUTE(SUBSTITUTE(B352," ",""),"0",""),"-",""))+LEN(SUBSTITUTE(SUBSTITUTE(SUBSTITUTE(C352," ",""),"0",""),"-","")))=(LEN(SUBSTITUTE(SUBSTITUTE(SUBSTITUTE(E352," ",""),"0",""),"-",""))+LEN(SUBSTITUTE(SUBSTITUTE(SUBSTITUTE(F352," ",""),"0",""),"-",""))))),1,0)+IF(OR(D353="X",D353="x",AND(COUNTA(B353,C353,E353,F353)&gt;0,(LEN(SUBSTITUTE(SUBSTITUTE(SUBSTITUTE(B353," ",""),"0",""),"-",""))+LEN(SUBSTITUTE(SUBSTITUTE(SUBSTITUTE(C353," ",""),"0",""),"-","")))=(LEN(SUBSTITUTE(SUBSTITUTE(SUBSTITUTE(E353," ",""),"0",""),"-",""))+LEN(SUBSTITUTE(SUBSTITUTE(SUBSTITUTE(F353," ",""),"0",""),"-",""))))),1,0)),0)+IF(OR(COUNTA(B365:C369,E365:F369)&gt;0,OR(D364="X",D364="x"),UPPER(D365)="X",UPPER(D366)="X",UPPER(D367)="X",UPPER(D368)="X",UPPER(D369)="X"),(IF(OR(D365="X",D365="x",AND(COUNTA(B365,C365,E365,F365)&gt;0,(LEN(SUBSTITUTE(SUBSTITUTE(SUBSTITUTE(B365," ",""),"0",""),"-",""))+LEN(SUBSTITUTE(SUBSTITUTE(SUBSTITUTE(C365," ",""),"0",""),"-","")))=(LEN(SUBSTITUTE(SUBSTITUTE(SUBSTITUTE(E365," ",""),"0",""),"-",""))+LEN(SUBSTITUTE(SUBSTITUTE(SUBSTITUTE(F365," ",""),"0",""),"-",""))))),1,0)+IF(OR(D366="X",D366="x",AND(COUNTA(B366,C366,E366,F366)&gt;0,(LEN(SUBSTITUTE(SUBSTITUTE(SUBSTITUTE(B366," ",""),"0",""),"-",""))+LEN(SUBSTITUTE(SUBSTITUTE(SUBSTITUTE(C366," ",""),"0",""),"-","")))=(LEN(SUBSTITUTE(SUBSTITUTE(SUBSTITUTE(E366," ",""),"0",""),"-",""))+LEN(SUBSTITUTE(SUBSTITUTE(SUBSTITUTE(F366," ",""),"0",""),"-",""))))),1,0)+IF(OR(D367="X",D367="x",AND(COUNTA(B367,C367,E367,F367)&gt;0,(LEN(SUBSTITUTE(SUBSTITUTE(SUBSTITUTE(B367," ",""),"0",""),"-",""))+LEN(SUBSTITUTE(SUBSTITUTE(SUBSTITUTE(C367," ",""),"0",""),"-","")))=(LEN(SUBSTITUTE(SUBSTITUTE(SUBSTITUTE(E367," ",""),"0",""),"-",""))+LEN(SUBSTITUTE(SUBSTITUTE(SUBSTITUTE(F367," ",""),"0",""),"-",""))))),1,0)+IF(OR(D368="X",D368="x",AND(COUNTA(B368,C368,E368,F368)&gt;0,(LEN(SUBSTITUTE(SUBSTITUTE(SUBSTITUTE(B368," ",""),"0",""),"-",""))+LEN(SUBSTITUTE(SUBSTITUTE(SUBSTITUTE(C368," ",""),"0",""),"-","")))=(LEN(SUBSTITUTE(SUBSTITUTE(SUBSTITUTE(E368," ",""),"0",""),"-",""))+LEN(SUBSTITUTE(SUBSTITUTE(SUBSTITUTE(F368," ",""),"0",""),"-",""))))),1,0)+IF(OR(D369="X",D369="x",AND(COUNTA(B369,C369,E369,F369)&gt;0,(LEN(SUBSTITUTE(SUBSTITUTE(SUBSTITUTE(B369," ",""),"0",""),"-",""))+LEN(SUBSTITUTE(SUBSTITUTE(SUBSTITUTE(C369," ",""),"0",""),"-","")))=(LEN(SUBSTITUTE(SUBSTITUTE(SUBSTITUTE(E369," ",""),"0",""),"-",""))+LEN(SUBSTITUTE(SUBSTITUTE(SUBSTITUTE(F369," ",""),"0",""),"-",""))))),1,0)),0)</f>
      </c>
      <c r="E379" s="14" t="str">
        <f>C348+E364</f>
      </c>
      <c r="F379" s="14" t="str">
        <f>E348+C364</f>
      </c>
      <c r="I379" s="14" t="str">
        <f>data!$E$75&amp;" "&amp;data!$B$75</f>
      </c>
      <c r="J379" s="14" t="str">
        <f>IF(OR(COUNTA(J349:K353,M349:N353)&gt;0,OR(L348="X",L348="x"),UPPER(L349)="X",UPPER(L350)="X",UPPER(L351)="X",UPPER(L352)="X",UPPER(L353)="X"),J348,0)+IF(OR(COUNTA(J365:K369,M365:N369)&gt;0,OR(L364="X",L364="x"),UPPER(L365)="X",UPPER(L366)="X",UPPER(L367)="X",UPPER(L368)="X",UPPER(L369)="X"),N364,0)</f>
      </c>
      <c r="K379" s="14" t="str">
        <f>IF(OR(COUNTA(J349:K353,M349:N353)&gt;0,OR(L348="X",L348="x"),UPPER(L349)="X",UPPER(L350)="X",UPPER(L351)="X",UPPER(L352)="X",UPPER(L353)="X"),N348,0)+IF(OR(COUNTA(J365:K369,M365:N369)&gt;0,OR(L364="X",L364="x"),UPPER(L365)="X",UPPER(L366)="X",UPPER(L367)="X",UPPER(L368)="X",UPPER(L369)="X"),J364,0)</f>
      </c>
      <c r="L379" s="14" t="str">
        <f>IF(OR(COUNTA(J349:K353,M349:N353)&gt;0,OR(L348="X",L348="x"),UPPER(L349)="X",UPPER(L350)="X",UPPER(L351)="X",UPPER(L352)="X",UPPER(L353)="X"),(IF(OR(L349="X",L349="x",AND(COUNTA(J349,K349,M349,N349)&gt;0,(LEN(SUBSTITUTE(SUBSTITUTE(SUBSTITUTE(J349," ",""),"0",""),"-",""))+LEN(SUBSTITUTE(SUBSTITUTE(SUBSTITUTE(K349," ",""),"0",""),"-","")))=(LEN(SUBSTITUTE(SUBSTITUTE(SUBSTITUTE(M349," ",""),"0",""),"-",""))+LEN(SUBSTITUTE(SUBSTITUTE(SUBSTITUTE(N349," ",""),"0",""),"-",""))))),1,0)+IF(OR(L350="X",L350="x",AND(COUNTA(J350,K350,M350,N350)&gt;0,(LEN(SUBSTITUTE(SUBSTITUTE(SUBSTITUTE(J350," ",""),"0",""),"-",""))+LEN(SUBSTITUTE(SUBSTITUTE(SUBSTITUTE(K350," ",""),"0",""),"-","")))=(LEN(SUBSTITUTE(SUBSTITUTE(SUBSTITUTE(M350," ",""),"0",""),"-",""))+LEN(SUBSTITUTE(SUBSTITUTE(SUBSTITUTE(N350," ",""),"0",""),"-",""))))),1,0)+IF(OR(L351="X",L351="x",AND(COUNTA(J351,K351,M351,N351)&gt;0,(LEN(SUBSTITUTE(SUBSTITUTE(SUBSTITUTE(J351," ",""),"0",""),"-",""))+LEN(SUBSTITUTE(SUBSTITUTE(SUBSTITUTE(K351," ",""),"0",""),"-","")))=(LEN(SUBSTITUTE(SUBSTITUTE(SUBSTITUTE(M351," ",""),"0",""),"-",""))+LEN(SUBSTITUTE(SUBSTITUTE(SUBSTITUTE(N351," ",""),"0",""),"-",""))))),1,0)+IF(OR(L352="X",L352="x",AND(COUNTA(J352,K352,M352,N352)&gt;0,(LEN(SUBSTITUTE(SUBSTITUTE(SUBSTITUTE(J352," ",""),"0",""),"-",""))+LEN(SUBSTITUTE(SUBSTITUTE(SUBSTITUTE(K352," ",""),"0",""),"-","")))=(LEN(SUBSTITUTE(SUBSTITUTE(SUBSTITUTE(M352," ",""),"0",""),"-",""))+LEN(SUBSTITUTE(SUBSTITUTE(SUBSTITUTE(N352," ",""),"0",""),"-",""))))),1,0)+IF(OR(L353="X",L353="x",AND(COUNTA(J353,K353,M353,N353)&gt;0,(LEN(SUBSTITUTE(SUBSTITUTE(SUBSTITUTE(J353," ",""),"0",""),"-",""))+LEN(SUBSTITUTE(SUBSTITUTE(SUBSTITUTE(K353," ",""),"0",""),"-","")))=(LEN(SUBSTITUTE(SUBSTITUTE(SUBSTITUTE(M353," ",""),"0",""),"-",""))+LEN(SUBSTITUTE(SUBSTITUTE(SUBSTITUTE(N353," ",""),"0",""),"-",""))))),1,0)),0)+IF(OR(COUNTA(J365:K369,M365:N369)&gt;0,OR(L364="X",L364="x"),UPPER(L365)="X",UPPER(L366)="X",UPPER(L367)="X",UPPER(L368)="X",UPPER(L369)="X"),(IF(OR(L365="X",L365="x",AND(COUNTA(J365,K365,M365,N365)&gt;0,(LEN(SUBSTITUTE(SUBSTITUTE(SUBSTITUTE(J365," ",""),"0",""),"-",""))+LEN(SUBSTITUTE(SUBSTITUTE(SUBSTITUTE(K365," ",""),"0",""),"-","")))=(LEN(SUBSTITUTE(SUBSTITUTE(SUBSTITUTE(M365," ",""),"0",""),"-",""))+LEN(SUBSTITUTE(SUBSTITUTE(SUBSTITUTE(N365," ",""),"0",""),"-",""))))),1,0)+IF(OR(L366="X",L366="x",AND(COUNTA(J366,K366,M366,N366)&gt;0,(LEN(SUBSTITUTE(SUBSTITUTE(SUBSTITUTE(J366," ",""),"0",""),"-",""))+LEN(SUBSTITUTE(SUBSTITUTE(SUBSTITUTE(K366," ",""),"0",""),"-","")))=(LEN(SUBSTITUTE(SUBSTITUTE(SUBSTITUTE(M366," ",""),"0",""),"-",""))+LEN(SUBSTITUTE(SUBSTITUTE(SUBSTITUTE(N366," ",""),"0",""),"-",""))))),1,0)+IF(OR(L367="X",L367="x",AND(COUNTA(J367,K367,M367,N367)&gt;0,(LEN(SUBSTITUTE(SUBSTITUTE(SUBSTITUTE(J367," ",""),"0",""),"-",""))+LEN(SUBSTITUTE(SUBSTITUTE(SUBSTITUTE(K367," ",""),"0",""),"-","")))=(LEN(SUBSTITUTE(SUBSTITUTE(SUBSTITUTE(M367," ",""),"0",""),"-",""))+LEN(SUBSTITUTE(SUBSTITUTE(SUBSTITUTE(N367," ",""),"0",""),"-",""))))),1,0)+IF(OR(L368="X",L368="x",AND(COUNTA(J368,K368,M368,N368)&gt;0,(LEN(SUBSTITUTE(SUBSTITUTE(SUBSTITUTE(J368," ",""),"0",""),"-",""))+LEN(SUBSTITUTE(SUBSTITUTE(SUBSTITUTE(K368," ",""),"0",""),"-","")))=(LEN(SUBSTITUTE(SUBSTITUTE(SUBSTITUTE(M368," ",""),"0",""),"-",""))+LEN(SUBSTITUTE(SUBSTITUTE(SUBSTITUTE(N368," ",""),"0",""),"-",""))))),1,0)+IF(OR(L369="X",L369="x",AND(COUNTA(J369,K369,M369,N369)&gt;0,(LEN(SUBSTITUTE(SUBSTITUTE(SUBSTITUTE(J369," ",""),"0",""),"-",""))+LEN(SUBSTITUTE(SUBSTITUTE(SUBSTITUTE(K369," ",""),"0",""),"-","")))=(LEN(SUBSTITUTE(SUBSTITUTE(SUBSTITUTE(M369," ",""),"0",""),"-",""))+LEN(SUBSTITUTE(SUBSTITUTE(SUBSTITUTE(N369," ",""),"0",""),"-",""))))),1,0)),0)</f>
      </c>
      <c r="M379" s="14" t="str">
        <f>K348+M364</f>
      </c>
      <c r="N379" s="14" t="str">
        <f>M348+K364</f>
      </c>
    </row>
    <row r="380">
      <c r="A380" s="14" t="str">
        <f>data!$E$29&amp;" "&amp;data!$B$29</f>
      </c>
      <c r="B380" s="14" t="str">
        <f>IF(OR(COUNTA(B357:C361,E357:F361)&gt;0,OR(D356="X",D356="x"),UPPER(D357)="X",UPPER(D358)="X",UPPER(D359)="X",UPPER(D360)="X",UPPER(D361)="X"),B356,0)+IF(OR(COUNTA(B365:C369,E365:F369)&gt;0,OR(D364="X",D364="x"),UPPER(D365)="X",UPPER(D366)="X",UPPER(D367)="X",UPPER(D368)="X",UPPER(D369)="X"),B364,0)</f>
      </c>
      <c r="C380" s="14" t="str">
        <f>IF(OR(COUNTA(B357:C361,E357:F361)&gt;0,OR(D356="X",D356="x"),UPPER(D357)="X",UPPER(D358)="X",UPPER(D359)="X",UPPER(D360)="X",UPPER(D361)="X"),F356,0)+IF(OR(COUNTA(B365:C369,E365:F369)&gt;0,OR(D364="X",D364="x"),UPPER(D365)="X",UPPER(D366)="X",UPPER(D367)="X",UPPER(D368)="X",UPPER(D369)="X"),F364,0)</f>
      </c>
      <c r="D380" s="14" t="str">
        <f>IF(OR(COUNTA(B357:C361,E357:F361)&gt;0,OR(D356="X",D356="x"),UPPER(D357)="X",UPPER(D358)="X",UPPER(D359)="X",UPPER(D360)="X",UPPER(D361)="X"),(IF(OR(D357="X",D357="x",AND(COUNTA(B357,C357,E357,F357)&gt;0,(LEN(SUBSTITUTE(SUBSTITUTE(SUBSTITUTE(B357," ",""),"0",""),"-",""))+LEN(SUBSTITUTE(SUBSTITUTE(SUBSTITUTE(C357," ",""),"0",""),"-","")))=(LEN(SUBSTITUTE(SUBSTITUTE(SUBSTITUTE(E357," ",""),"0",""),"-",""))+LEN(SUBSTITUTE(SUBSTITUTE(SUBSTITUTE(F357," ",""),"0",""),"-",""))))),1,0)+IF(OR(D358="X",D358="x",AND(COUNTA(B358,C358,E358,F358)&gt;0,(LEN(SUBSTITUTE(SUBSTITUTE(SUBSTITUTE(B358," ",""),"0",""),"-",""))+LEN(SUBSTITUTE(SUBSTITUTE(SUBSTITUTE(C358," ",""),"0",""),"-","")))=(LEN(SUBSTITUTE(SUBSTITUTE(SUBSTITUTE(E358," ",""),"0",""),"-",""))+LEN(SUBSTITUTE(SUBSTITUTE(SUBSTITUTE(F358," ",""),"0",""),"-",""))))),1,0)+IF(OR(D359="X",D359="x",AND(COUNTA(B359,C359,E359,F359)&gt;0,(LEN(SUBSTITUTE(SUBSTITUTE(SUBSTITUTE(B359," ",""),"0",""),"-",""))+LEN(SUBSTITUTE(SUBSTITUTE(SUBSTITUTE(C359," ",""),"0",""),"-","")))=(LEN(SUBSTITUTE(SUBSTITUTE(SUBSTITUTE(E359," ",""),"0",""),"-",""))+LEN(SUBSTITUTE(SUBSTITUTE(SUBSTITUTE(F359," ",""),"0",""),"-",""))))),1,0)+IF(OR(D360="X",D360="x",AND(COUNTA(B360,C360,E360,F360)&gt;0,(LEN(SUBSTITUTE(SUBSTITUTE(SUBSTITUTE(B360," ",""),"0",""),"-",""))+LEN(SUBSTITUTE(SUBSTITUTE(SUBSTITUTE(C360," ",""),"0",""),"-","")))=(LEN(SUBSTITUTE(SUBSTITUTE(SUBSTITUTE(E360," ",""),"0",""),"-",""))+LEN(SUBSTITUTE(SUBSTITUTE(SUBSTITUTE(F360," ",""),"0",""),"-",""))))),1,0)+IF(OR(D361="X",D361="x",AND(COUNTA(B361,C361,E361,F361)&gt;0,(LEN(SUBSTITUTE(SUBSTITUTE(SUBSTITUTE(B361," ",""),"0",""),"-",""))+LEN(SUBSTITUTE(SUBSTITUTE(SUBSTITUTE(C361," ",""),"0",""),"-","")))=(LEN(SUBSTITUTE(SUBSTITUTE(SUBSTITUTE(E361," ",""),"0",""),"-",""))+LEN(SUBSTITUTE(SUBSTITUTE(SUBSTITUTE(F361," ",""),"0",""),"-",""))))),1,0)),0)+IF(OR(COUNTA(B365:C369,E365:F369)&gt;0,OR(D364="X",D364="x"),UPPER(D365)="X",UPPER(D366)="X",UPPER(D367)="X",UPPER(D368)="X",UPPER(D369)="X"),(IF(OR(D365="X",D365="x",AND(COUNTA(B365,C365,E365,F365)&gt;0,(LEN(SUBSTITUTE(SUBSTITUTE(SUBSTITUTE(B365," ",""),"0",""),"-",""))+LEN(SUBSTITUTE(SUBSTITUTE(SUBSTITUTE(C365," ",""),"0",""),"-","")))=(LEN(SUBSTITUTE(SUBSTITUTE(SUBSTITUTE(E365," ",""),"0",""),"-",""))+LEN(SUBSTITUTE(SUBSTITUTE(SUBSTITUTE(F365," ",""),"0",""),"-",""))))),1,0)+IF(OR(D366="X",D366="x",AND(COUNTA(B366,C366,E366,F366)&gt;0,(LEN(SUBSTITUTE(SUBSTITUTE(SUBSTITUTE(B366," ",""),"0",""),"-",""))+LEN(SUBSTITUTE(SUBSTITUTE(SUBSTITUTE(C366," ",""),"0",""),"-","")))=(LEN(SUBSTITUTE(SUBSTITUTE(SUBSTITUTE(E366," ",""),"0",""),"-",""))+LEN(SUBSTITUTE(SUBSTITUTE(SUBSTITUTE(F366," ",""),"0",""),"-",""))))),1,0)+IF(OR(D367="X",D367="x",AND(COUNTA(B367,C367,E367,F367)&gt;0,(LEN(SUBSTITUTE(SUBSTITUTE(SUBSTITUTE(B367," ",""),"0",""),"-",""))+LEN(SUBSTITUTE(SUBSTITUTE(SUBSTITUTE(C367," ",""),"0",""),"-","")))=(LEN(SUBSTITUTE(SUBSTITUTE(SUBSTITUTE(E367," ",""),"0",""),"-",""))+LEN(SUBSTITUTE(SUBSTITUTE(SUBSTITUTE(F367," ",""),"0",""),"-",""))))),1,0)+IF(OR(D368="X",D368="x",AND(COUNTA(B368,C368,E368,F368)&gt;0,(LEN(SUBSTITUTE(SUBSTITUTE(SUBSTITUTE(B368," ",""),"0",""),"-",""))+LEN(SUBSTITUTE(SUBSTITUTE(SUBSTITUTE(C368," ",""),"0",""),"-","")))=(LEN(SUBSTITUTE(SUBSTITUTE(SUBSTITUTE(E368," ",""),"0",""),"-",""))+LEN(SUBSTITUTE(SUBSTITUTE(SUBSTITUTE(F368," ",""),"0",""),"-",""))))),1,0)+IF(OR(D369="X",D369="x",AND(COUNTA(B369,C369,E369,F369)&gt;0,(LEN(SUBSTITUTE(SUBSTITUTE(SUBSTITUTE(B369," ",""),"0",""),"-",""))+LEN(SUBSTITUTE(SUBSTITUTE(SUBSTITUTE(C369," ",""),"0",""),"-","")))=(LEN(SUBSTITUTE(SUBSTITUTE(SUBSTITUTE(E369," ",""),"0",""),"-",""))+LEN(SUBSTITUTE(SUBSTITUTE(SUBSTITUTE(F369," ",""),"0",""),"-",""))))),1,0)),0)</f>
      </c>
      <c r="E380" s="14" t="str">
        <f>C356+C364</f>
      </c>
      <c r="F380" s="14" t="str">
        <f>E356+E364</f>
      </c>
      <c r="I380" s="14" t="str">
        <f>data!$E$76&amp;" "&amp;data!$B$76</f>
      </c>
      <c r="J380" s="14" t="str">
        <f>IF(OR(COUNTA(J357:K361,M357:N361)&gt;0,OR(L356="X",L356="x"),UPPER(L357)="X",UPPER(L358)="X",UPPER(L359)="X",UPPER(L360)="X",UPPER(L361)="X"),J356,0)+IF(OR(COUNTA(J365:K369,M365:N369)&gt;0,OR(L364="X",L364="x"),UPPER(L365)="X",UPPER(L366)="X",UPPER(L367)="X",UPPER(L368)="X",UPPER(L369)="X"),J364,0)</f>
      </c>
      <c r="K380" s="14" t="str">
        <f>IF(OR(COUNTA(J357:K361,M357:N361)&gt;0,OR(L356="X",L356="x"),UPPER(L357)="X",UPPER(L358)="X",UPPER(L359)="X",UPPER(L360)="X",UPPER(L361)="X"),N356,0)+IF(OR(COUNTA(J365:K369,M365:N369)&gt;0,OR(L364="X",L364="x"),UPPER(L365)="X",UPPER(L366)="X",UPPER(L367)="X",UPPER(L368)="X",UPPER(L369)="X"),N364,0)</f>
      </c>
      <c r="L380" s="14" t="str">
        <f>IF(OR(COUNTA(J357:K361,M357:N361)&gt;0,OR(L356="X",L356="x"),UPPER(L357)="X",UPPER(L358)="X",UPPER(L359)="X",UPPER(L360)="X",UPPER(L361)="X"),(IF(OR(L357="X",L357="x",AND(COUNTA(J357,K357,M357,N357)&gt;0,(LEN(SUBSTITUTE(SUBSTITUTE(SUBSTITUTE(J357," ",""),"0",""),"-",""))+LEN(SUBSTITUTE(SUBSTITUTE(SUBSTITUTE(K357," ",""),"0",""),"-","")))=(LEN(SUBSTITUTE(SUBSTITUTE(SUBSTITUTE(M357," ",""),"0",""),"-",""))+LEN(SUBSTITUTE(SUBSTITUTE(SUBSTITUTE(N357," ",""),"0",""),"-",""))))),1,0)+IF(OR(L358="X",L358="x",AND(COUNTA(J358,K358,M358,N358)&gt;0,(LEN(SUBSTITUTE(SUBSTITUTE(SUBSTITUTE(J358," ",""),"0",""),"-",""))+LEN(SUBSTITUTE(SUBSTITUTE(SUBSTITUTE(K358," ",""),"0",""),"-","")))=(LEN(SUBSTITUTE(SUBSTITUTE(SUBSTITUTE(M358," ",""),"0",""),"-",""))+LEN(SUBSTITUTE(SUBSTITUTE(SUBSTITUTE(N358," ",""),"0",""),"-",""))))),1,0)+IF(OR(L359="X",L359="x",AND(COUNTA(J359,K359,M359,N359)&gt;0,(LEN(SUBSTITUTE(SUBSTITUTE(SUBSTITUTE(J359," ",""),"0",""),"-",""))+LEN(SUBSTITUTE(SUBSTITUTE(SUBSTITUTE(K359," ",""),"0",""),"-","")))=(LEN(SUBSTITUTE(SUBSTITUTE(SUBSTITUTE(M359," ",""),"0",""),"-",""))+LEN(SUBSTITUTE(SUBSTITUTE(SUBSTITUTE(N359," ",""),"0",""),"-",""))))),1,0)+IF(OR(L360="X",L360="x",AND(COUNTA(J360,K360,M360,N360)&gt;0,(LEN(SUBSTITUTE(SUBSTITUTE(SUBSTITUTE(J360," ",""),"0",""),"-",""))+LEN(SUBSTITUTE(SUBSTITUTE(SUBSTITUTE(K360," ",""),"0",""),"-","")))=(LEN(SUBSTITUTE(SUBSTITUTE(SUBSTITUTE(M360," ",""),"0",""),"-",""))+LEN(SUBSTITUTE(SUBSTITUTE(SUBSTITUTE(N360," ",""),"0",""),"-",""))))),1,0)+IF(OR(L361="X",L361="x",AND(COUNTA(J361,K361,M361,N361)&gt;0,(LEN(SUBSTITUTE(SUBSTITUTE(SUBSTITUTE(J361," ",""),"0",""),"-",""))+LEN(SUBSTITUTE(SUBSTITUTE(SUBSTITUTE(K361," ",""),"0",""),"-","")))=(LEN(SUBSTITUTE(SUBSTITUTE(SUBSTITUTE(M361," ",""),"0",""),"-",""))+LEN(SUBSTITUTE(SUBSTITUTE(SUBSTITUTE(N361," ",""),"0",""),"-",""))))),1,0)),0)+IF(OR(COUNTA(J365:K369,M365:N369)&gt;0,OR(L364="X",L364="x"),UPPER(L365)="X",UPPER(L366)="X",UPPER(L367)="X",UPPER(L368)="X",UPPER(L369)="X"),(IF(OR(L365="X",L365="x",AND(COUNTA(J365,K365,M365,N365)&gt;0,(LEN(SUBSTITUTE(SUBSTITUTE(SUBSTITUTE(J365," ",""),"0",""),"-",""))+LEN(SUBSTITUTE(SUBSTITUTE(SUBSTITUTE(K365," ",""),"0",""),"-","")))=(LEN(SUBSTITUTE(SUBSTITUTE(SUBSTITUTE(M365," ",""),"0",""),"-",""))+LEN(SUBSTITUTE(SUBSTITUTE(SUBSTITUTE(N365," ",""),"0",""),"-",""))))),1,0)+IF(OR(L366="X",L366="x",AND(COUNTA(J366,K366,M366,N366)&gt;0,(LEN(SUBSTITUTE(SUBSTITUTE(SUBSTITUTE(J366," ",""),"0",""),"-",""))+LEN(SUBSTITUTE(SUBSTITUTE(SUBSTITUTE(K366," ",""),"0",""),"-","")))=(LEN(SUBSTITUTE(SUBSTITUTE(SUBSTITUTE(M366," ",""),"0",""),"-",""))+LEN(SUBSTITUTE(SUBSTITUTE(SUBSTITUTE(N366," ",""),"0",""),"-",""))))),1,0)+IF(OR(L367="X",L367="x",AND(COUNTA(J367,K367,M367,N367)&gt;0,(LEN(SUBSTITUTE(SUBSTITUTE(SUBSTITUTE(J367," ",""),"0",""),"-",""))+LEN(SUBSTITUTE(SUBSTITUTE(SUBSTITUTE(K367," ",""),"0",""),"-","")))=(LEN(SUBSTITUTE(SUBSTITUTE(SUBSTITUTE(M367," ",""),"0",""),"-",""))+LEN(SUBSTITUTE(SUBSTITUTE(SUBSTITUTE(N367," ",""),"0",""),"-",""))))),1,0)+IF(OR(L368="X",L368="x",AND(COUNTA(J368,K368,M368,N368)&gt;0,(LEN(SUBSTITUTE(SUBSTITUTE(SUBSTITUTE(J368," ",""),"0",""),"-",""))+LEN(SUBSTITUTE(SUBSTITUTE(SUBSTITUTE(K368," ",""),"0",""),"-","")))=(LEN(SUBSTITUTE(SUBSTITUTE(SUBSTITUTE(M368," ",""),"0",""),"-",""))+LEN(SUBSTITUTE(SUBSTITUTE(SUBSTITUTE(N368," ",""),"0",""),"-",""))))),1,0)+IF(OR(L369="X",L369="x",AND(COUNTA(J369,K369,M369,N369)&gt;0,(LEN(SUBSTITUTE(SUBSTITUTE(SUBSTITUTE(J369," ",""),"0",""),"-",""))+LEN(SUBSTITUTE(SUBSTITUTE(SUBSTITUTE(K369," ",""),"0",""),"-","")))=(LEN(SUBSTITUTE(SUBSTITUTE(SUBSTITUTE(M369," ",""),"0",""),"-",""))+LEN(SUBSTITUTE(SUBSTITUTE(SUBSTITUTE(N369," ",""),"0",""),"-",""))))),1,0)),0)</f>
      </c>
      <c r="M380" s="14" t="str">
        <f>K356+K364</f>
      </c>
      <c r="N380" s="14" t="str">
        <f>M356+M364</f>
      </c>
    </row>
    <row r="383">
      <c r="F383" s="13"/>
      <c r="G383" s="13" t="s">
        <v>344</v>
      </c>
      <c r="N383" s="13"/>
      <c r="O383" s="13" t="s">
        <v>344</v>
      </c>
    </row>
    <row r="384">
      <c r="F384" t="s">
        <v>345</v>
      </c>
      <c r="G384" s="19" t="str">
        <f>IFERROR(INDEX($A$373:$A$380, MATCH(1, $G$373:$G$380, 0)), "-")</f>
      </c>
      <c r="N384" t="s">
        <v>345</v>
      </c>
      <c r="O384" s="19" t="str">
        <f>IFERROR(INDEX($I$373:$I$380, MATCH(1, $O$373:$O$380, 0)), "-")</f>
      </c>
    </row>
    <row r="385">
      <c r="F385" t="s">
        <v>346</v>
      </c>
      <c r="G385" s="19" t="str">
        <f>IFERROR(INDEX($A$373:$A$380, MATCH(2, $G$373:$G$380, 0)), "-")</f>
      </c>
      <c r="N385" t="s">
        <v>346</v>
      </c>
      <c r="O385" s="19" t="str">
        <f>IFERROR(INDEX($I$373:$I$380, MATCH(2, $O$373:$O$380, 0)), "-")</f>
      </c>
    </row>
    <row r="386">
      <c r="F386" t="s">
        <v>347</v>
      </c>
      <c r="G386" s="19" t="str">
        <f>IFERROR(INDEX($A$373:$A$380, MATCH(3, $G$373:$G$380, 0)), "-")</f>
      </c>
      <c r="N386" t="s">
        <v>347</v>
      </c>
      <c r="O386" s="19" t="str">
        <f>IFERROR(INDEX($I$373:$I$380, MATCH(3, $O$373:$O$380, 0)), "-")</f>
      </c>
    </row>
    <row r="389">
      <c r="A389" s="13" t="str">
        <f>'data'!$A$32</f>
      </c>
      <c r="B389" s="13"/>
      <c r="C389" s="13"/>
      <c r="D389" s="13"/>
      <c r="E389" s="13"/>
      <c r="F389" s="13"/>
      <c r="G389" s="13"/>
      <c r="I389" s="13" t="str">
        <f>'data'!$A$79</f>
      </c>
      <c r="J389" s="13"/>
      <c r="K389" s="13"/>
      <c r="L389" s="13"/>
      <c r="M389" s="13"/>
      <c r="N389" s="13"/>
      <c r="O389" s="13"/>
    </row>
    <row r="390">
      <c r="A390" s="17" t="s">
        <v>331</v>
      </c>
      <c r="B390" s="14"/>
      <c r="C390" s="14"/>
      <c r="D390" s="14" t="s">
        <v>332</v>
      </c>
      <c r="E390" s="14"/>
      <c r="F390" s="14"/>
      <c r="G390" s="16" t="s">
        <v>333</v>
      </c>
      <c r="I390" s="17" t="s">
        <v>331</v>
      </c>
      <c r="J390" s="14"/>
      <c r="K390" s="14"/>
      <c r="L390" s="14" t="s">
        <v>332</v>
      </c>
      <c r="M390" s="14"/>
      <c r="N390" s="14"/>
      <c r="O390" s="16" t="s">
        <v>333</v>
      </c>
    </row>
    <row r="391">
      <c r="A391" s="14" t="str">
        <f>data!$E$31&amp;" "&amp;data!$B$31</f>
      </c>
      <c r="B391" s="14" t="str">
        <f>IF(UPPER(D392)="X",0,IF((LEN(SUBSTITUTE(SUBSTITUTE(SUBSTITUTE(B392," ",""),"0",""),"-",""))+LEN(SUBSTITUTE(SUBSTITUTE(SUBSTITUTE(C392," ",""),"0",""),"-","")))&gt;(LEN(SUBSTITUTE(SUBSTITUTE(SUBSTITUTE(E392," ",""),"0",""),"-",""))+LEN(SUBSTITUTE(SUBSTITUTE(SUBSTITUTE(F392," ",""),"0",""),"-",""))),1,0))+IF(UPPER(D393)="X",0,IF((LEN(SUBSTITUTE(SUBSTITUTE(SUBSTITUTE(B393," ",""),"0",""),"-",""))+LEN(SUBSTITUTE(SUBSTITUTE(SUBSTITUTE(C393," ",""),"0",""),"-","")))&gt;(LEN(SUBSTITUTE(SUBSTITUTE(SUBSTITUTE(E393," ",""),"0",""),"-",""))+LEN(SUBSTITUTE(SUBSTITUTE(SUBSTITUTE(F393," ",""),"0",""),"-",""))),1,0))+IF(UPPER(D394)="X",0,IF((LEN(SUBSTITUTE(SUBSTITUTE(SUBSTITUTE(B394," ",""),"0",""),"-",""))+LEN(SUBSTITUTE(SUBSTITUTE(SUBSTITUTE(C394," ",""),"0",""),"-","")))&gt;(LEN(SUBSTITUTE(SUBSTITUTE(SUBSTITUTE(E394," ",""),"0",""),"-",""))+LEN(SUBSTITUTE(SUBSTITUTE(SUBSTITUTE(F394," ",""),"0",""),"-",""))),1,0))+IF(UPPER(D395)="X",0,IF((LEN(SUBSTITUTE(SUBSTITUTE(SUBSTITUTE(B395," ",""),"0",""),"-",""))+LEN(SUBSTITUTE(SUBSTITUTE(SUBSTITUTE(C395," ",""),"0",""),"-","")))&gt;(LEN(SUBSTITUTE(SUBSTITUTE(SUBSTITUTE(E395," ",""),"0",""),"-",""))+LEN(SUBSTITUTE(SUBSTITUTE(SUBSTITUTE(F395," ",""),"0",""),"-",""))),1,0))+IF(UPPER(D396)="X",0,IF((LEN(SUBSTITUTE(SUBSTITUTE(SUBSTITUTE(B396," ",""),"0",""),"-",""))+LEN(SUBSTITUTE(SUBSTITUTE(SUBSTITUTE(C396," ",""),"0",""),"-","")))&gt;(LEN(SUBSTITUTE(SUBSTITUTE(SUBSTITUTE(E396," ",""),"0",""),"-",""))+LEN(SUBSTITUTE(SUBSTITUTE(SUBSTITUTE(F396," ",""),"0",""),"-",""))),1,0))</f>
      </c>
      <c r="C391" s="14" t="str">
        <f>LEN(SUBSTITUTE(SUBSTITUTE(SUBSTITUTE(B392," ",""),"0",""),"-",""))+LEN(SUBSTITUTE(SUBSTITUTE(SUBSTITUTE(C392," ",""),"0",""),"-",""))+LEN(SUBSTITUTE(SUBSTITUTE(SUBSTITUTE(B393," ",""),"0",""),"-",""))+LEN(SUBSTITUTE(SUBSTITUTE(SUBSTITUTE(C393," ",""),"0",""),"-",""))+LEN(SUBSTITUTE(SUBSTITUTE(SUBSTITUTE(B394," ",""),"0",""),"-",""))+LEN(SUBSTITUTE(SUBSTITUTE(SUBSTITUTE(C394," ",""),"0",""),"-",""))+LEN(SUBSTITUTE(SUBSTITUTE(SUBSTITUTE(B395," ",""),"0",""),"-",""))+LEN(SUBSTITUTE(SUBSTITUTE(SUBSTITUTE(C395," ",""),"0",""),"-",""))+LEN(SUBSTITUTE(SUBSTITUTE(SUBSTITUTE(B396," ",""),"0",""),"-",""))+LEN(SUBSTITUTE(SUBSTITUTE(SUBSTITUTE(C396," ",""),"0",""),"-",""))</f>
      </c>
      <c r="D391" s="18"/>
      <c r="E391" s="14" t="str">
        <f>LEN(SUBSTITUTE(SUBSTITUTE(SUBSTITUTE(E392," ",""),"0",""),"-",""))+LEN(SUBSTITUTE(SUBSTITUTE(SUBSTITUTE(F392," ",""),"0",""),"-",""))+LEN(SUBSTITUTE(SUBSTITUTE(SUBSTITUTE(E393," ",""),"0",""),"-",""))+LEN(SUBSTITUTE(SUBSTITUTE(SUBSTITUTE(F393," ",""),"0",""),"-",""))+LEN(SUBSTITUTE(SUBSTITUTE(SUBSTITUTE(E394," ",""),"0",""),"-",""))+LEN(SUBSTITUTE(SUBSTITUTE(SUBSTITUTE(F394," ",""),"0",""),"-",""))+LEN(SUBSTITUTE(SUBSTITUTE(SUBSTITUTE(E395," ",""),"0",""),"-",""))+LEN(SUBSTITUTE(SUBSTITUTE(SUBSTITUTE(F395," ",""),"0",""),"-",""))+LEN(SUBSTITUTE(SUBSTITUTE(SUBSTITUTE(E396," ",""),"0",""),"-",""))+LEN(SUBSTITUTE(SUBSTITUTE(SUBSTITUTE(F396," ",""),"0",""),"-",""))</f>
      </c>
      <c r="F391" s="14" t="str">
        <f>IF(UPPER(D392)="X",0,IF((LEN(SUBSTITUTE(SUBSTITUTE(SUBSTITUTE(E392," ",""),"0",""),"-",""))+LEN(SUBSTITUTE(SUBSTITUTE(SUBSTITUTE(F392," ",""),"0",""),"-","")))&gt;(LEN(SUBSTITUTE(SUBSTITUTE(SUBSTITUTE(B392," ",""),"0",""),"-",""))+LEN(SUBSTITUTE(SUBSTITUTE(SUBSTITUTE(C392," ",""),"0",""),"-",""))),1,0))+IF(UPPER(D393)="X",0,IF((LEN(SUBSTITUTE(SUBSTITUTE(SUBSTITUTE(E393," ",""),"0",""),"-",""))+LEN(SUBSTITUTE(SUBSTITUTE(SUBSTITUTE(F393," ",""),"0",""),"-","")))&gt;(LEN(SUBSTITUTE(SUBSTITUTE(SUBSTITUTE(B393," ",""),"0",""),"-",""))+LEN(SUBSTITUTE(SUBSTITUTE(SUBSTITUTE(C393," ",""),"0",""),"-",""))),1,0))+IF(UPPER(D394)="X",0,IF((LEN(SUBSTITUTE(SUBSTITUTE(SUBSTITUTE(E394," ",""),"0",""),"-",""))+LEN(SUBSTITUTE(SUBSTITUTE(SUBSTITUTE(F394," ",""),"0",""),"-","")))&gt;(LEN(SUBSTITUTE(SUBSTITUTE(SUBSTITUTE(B394," ",""),"0",""),"-",""))+LEN(SUBSTITUTE(SUBSTITUTE(SUBSTITUTE(C394," ",""),"0",""),"-",""))),1,0))+IF(UPPER(D395)="X",0,IF((LEN(SUBSTITUTE(SUBSTITUTE(SUBSTITUTE(E395," ",""),"0",""),"-",""))+LEN(SUBSTITUTE(SUBSTITUTE(SUBSTITUTE(F395," ",""),"0",""),"-","")))&gt;(LEN(SUBSTITUTE(SUBSTITUTE(SUBSTITUTE(B395," ",""),"0",""),"-",""))+LEN(SUBSTITUTE(SUBSTITUTE(SUBSTITUTE(C395," ",""),"0",""),"-",""))),1,0))+IF(UPPER(D396)="X",0,IF((LEN(SUBSTITUTE(SUBSTITUTE(SUBSTITUTE(E396," ",""),"0",""),"-",""))+LEN(SUBSTITUTE(SUBSTITUTE(SUBSTITUTE(F396," ",""),"0",""),"-","")))&gt;(LEN(SUBSTITUTE(SUBSTITUTE(SUBSTITUTE(B396," ",""),"0",""),"-",""))+LEN(SUBSTITUTE(SUBSTITUTE(SUBSTITUTE(C396," ",""),"0",""),"-",""))),1,0))</f>
      </c>
      <c r="G391" s="14" t="str">
        <f>data!$E$30&amp;" "&amp;data!$B$30</f>
      </c>
      <c r="I391" s="14" t="str">
        <f>data!$E$78&amp;" "&amp;data!$B$78</f>
      </c>
      <c r="J391" s="14" t="str">
        <f>IF(UPPER(L392)="X",0,IF((LEN(SUBSTITUTE(SUBSTITUTE(SUBSTITUTE(J392," ",""),"0",""),"-",""))+LEN(SUBSTITUTE(SUBSTITUTE(SUBSTITUTE(K392," ",""),"0",""),"-","")))&gt;(LEN(SUBSTITUTE(SUBSTITUTE(SUBSTITUTE(M392," ",""),"0",""),"-",""))+LEN(SUBSTITUTE(SUBSTITUTE(SUBSTITUTE(N392," ",""),"0",""),"-",""))),1,0))+IF(UPPER(L393)="X",0,IF((LEN(SUBSTITUTE(SUBSTITUTE(SUBSTITUTE(J393," ",""),"0",""),"-",""))+LEN(SUBSTITUTE(SUBSTITUTE(SUBSTITUTE(K393," ",""),"0",""),"-","")))&gt;(LEN(SUBSTITUTE(SUBSTITUTE(SUBSTITUTE(M393," ",""),"0",""),"-",""))+LEN(SUBSTITUTE(SUBSTITUTE(SUBSTITUTE(N393," ",""),"0",""),"-",""))),1,0))+IF(UPPER(L394)="X",0,IF((LEN(SUBSTITUTE(SUBSTITUTE(SUBSTITUTE(J394," ",""),"0",""),"-",""))+LEN(SUBSTITUTE(SUBSTITUTE(SUBSTITUTE(K394," ",""),"0",""),"-","")))&gt;(LEN(SUBSTITUTE(SUBSTITUTE(SUBSTITUTE(M394," ",""),"0",""),"-",""))+LEN(SUBSTITUTE(SUBSTITUTE(SUBSTITUTE(N394," ",""),"0",""),"-",""))),1,0))+IF(UPPER(L395)="X",0,IF((LEN(SUBSTITUTE(SUBSTITUTE(SUBSTITUTE(J395," ",""),"0",""),"-",""))+LEN(SUBSTITUTE(SUBSTITUTE(SUBSTITUTE(K395," ",""),"0",""),"-","")))&gt;(LEN(SUBSTITUTE(SUBSTITUTE(SUBSTITUTE(M395," ",""),"0",""),"-",""))+LEN(SUBSTITUTE(SUBSTITUTE(SUBSTITUTE(N395," ",""),"0",""),"-",""))),1,0))+IF(UPPER(L396)="X",0,IF((LEN(SUBSTITUTE(SUBSTITUTE(SUBSTITUTE(J396," ",""),"0",""),"-",""))+LEN(SUBSTITUTE(SUBSTITUTE(SUBSTITUTE(K396," ",""),"0",""),"-","")))&gt;(LEN(SUBSTITUTE(SUBSTITUTE(SUBSTITUTE(M396," ",""),"0",""),"-",""))+LEN(SUBSTITUTE(SUBSTITUTE(SUBSTITUTE(N396," ",""),"0",""),"-",""))),1,0))</f>
      </c>
      <c r="K391" s="14" t="str">
        <f>LEN(SUBSTITUTE(SUBSTITUTE(SUBSTITUTE(J392," ",""),"0",""),"-",""))+LEN(SUBSTITUTE(SUBSTITUTE(SUBSTITUTE(K392," ",""),"0",""),"-",""))+LEN(SUBSTITUTE(SUBSTITUTE(SUBSTITUTE(J393," ",""),"0",""),"-",""))+LEN(SUBSTITUTE(SUBSTITUTE(SUBSTITUTE(K393," ",""),"0",""),"-",""))+LEN(SUBSTITUTE(SUBSTITUTE(SUBSTITUTE(J394," ",""),"0",""),"-",""))+LEN(SUBSTITUTE(SUBSTITUTE(SUBSTITUTE(K394," ",""),"0",""),"-",""))+LEN(SUBSTITUTE(SUBSTITUTE(SUBSTITUTE(J395," ",""),"0",""),"-",""))+LEN(SUBSTITUTE(SUBSTITUTE(SUBSTITUTE(K395," ",""),"0",""),"-",""))+LEN(SUBSTITUTE(SUBSTITUTE(SUBSTITUTE(J396," ",""),"0",""),"-",""))+LEN(SUBSTITUTE(SUBSTITUTE(SUBSTITUTE(K396," ",""),"0",""),"-",""))</f>
      </c>
      <c r="L391" s="18"/>
      <c r="M391" s="14" t="str">
        <f>LEN(SUBSTITUTE(SUBSTITUTE(SUBSTITUTE(M392," ",""),"0",""),"-",""))+LEN(SUBSTITUTE(SUBSTITUTE(SUBSTITUTE(N392," ",""),"0",""),"-",""))+LEN(SUBSTITUTE(SUBSTITUTE(SUBSTITUTE(M393," ",""),"0",""),"-",""))+LEN(SUBSTITUTE(SUBSTITUTE(SUBSTITUTE(N393," ",""),"0",""),"-",""))+LEN(SUBSTITUTE(SUBSTITUTE(SUBSTITUTE(M394," ",""),"0",""),"-",""))+LEN(SUBSTITUTE(SUBSTITUTE(SUBSTITUTE(N394," ",""),"0",""),"-",""))+LEN(SUBSTITUTE(SUBSTITUTE(SUBSTITUTE(M395," ",""),"0",""),"-",""))+LEN(SUBSTITUTE(SUBSTITUTE(SUBSTITUTE(N395," ",""),"0",""),"-",""))+LEN(SUBSTITUTE(SUBSTITUTE(SUBSTITUTE(M396," ",""),"0",""),"-",""))+LEN(SUBSTITUTE(SUBSTITUTE(SUBSTITUTE(N396," ",""),"0",""),"-",""))</f>
      </c>
      <c r="N391" s="14" t="str">
        <f>IF(UPPER(L392)="X",0,IF((LEN(SUBSTITUTE(SUBSTITUTE(SUBSTITUTE(M392," ",""),"0",""),"-",""))+LEN(SUBSTITUTE(SUBSTITUTE(SUBSTITUTE(N392," ",""),"0",""),"-","")))&gt;(LEN(SUBSTITUTE(SUBSTITUTE(SUBSTITUTE(J392," ",""),"0",""),"-",""))+LEN(SUBSTITUTE(SUBSTITUTE(SUBSTITUTE(K392," ",""),"0",""),"-",""))),1,0))+IF(UPPER(L393)="X",0,IF((LEN(SUBSTITUTE(SUBSTITUTE(SUBSTITUTE(M393," ",""),"0",""),"-",""))+LEN(SUBSTITUTE(SUBSTITUTE(SUBSTITUTE(N393," ",""),"0",""),"-","")))&gt;(LEN(SUBSTITUTE(SUBSTITUTE(SUBSTITUTE(J393," ",""),"0",""),"-",""))+LEN(SUBSTITUTE(SUBSTITUTE(SUBSTITUTE(K393," ",""),"0",""),"-",""))),1,0))+IF(UPPER(L394)="X",0,IF((LEN(SUBSTITUTE(SUBSTITUTE(SUBSTITUTE(M394," ",""),"0",""),"-",""))+LEN(SUBSTITUTE(SUBSTITUTE(SUBSTITUTE(N394," ",""),"0",""),"-","")))&gt;(LEN(SUBSTITUTE(SUBSTITUTE(SUBSTITUTE(J394," ",""),"0",""),"-",""))+LEN(SUBSTITUTE(SUBSTITUTE(SUBSTITUTE(K394," ",""),"0",""),"-",""))),1,0))+IF(UPPER(L395)="X",0,IF((LEN(SUBSTITUTE(SUBSTITUTE(SUBSTITUTE(M395," ",""),"0",""),"-",""))+LEN(SUBSTITUTE(SUBSTITUTE(SUBSTITUTE(N395," ",""),"0",""),"-","")))&gt;(LEN(SUBSTITUTE(SUBSTITUTE(SUBSTITUTE(J395," ",""),"0",""),"-",""))+LEN(SUBSTITUTE(SUBSTITUTE(SUBSTITUTE(K395," ",""),"0",""),"-",""))),1,0))+IF(UPPER(L396)="X",0,IF((LEN(SUBSTITUTE(SUBSTITUTE(SUBSTITUTE(M396," ",""),"0",""),"-",""))+LEN(SUBSTITUTE(SUBSTITUTE(SUBSTITUTE(N396," ",""),"0",""),"-","")))&gt;(LEN(SUBSTITUTE(SUBSTITUTE(SUBSTITUTE(J396," ",""),"0",""),"-",""))+LEN(SUBSTITUTE(SUBSTITUTE(SUBSTITUTE(K396," ",""),"0",""),"-",""))),1,0))</f>
      </c>
      <c r="O391" s="14" t="str">
        <f>data!$E$77&amp;" "&amp;data!$B$77</f>
      </c>
    </row>
    <row r="392">
      <c r="A392" s="14">
        <v>1</v>
      </c>
      <c r="B392" s="18"/>
      <c r="C392" s="18"/>
      <c r="D392" s="18"/>
      <c r="E392" s="18"/>
      <c r="F392" s="18"/>
      <c r="G392" s="14">
        <v>1</v>
      </c>
      <c r="I392" s="14">
        <v>1</v>
      </c>
      <c r="J392" s="18"/>
      <c r="K392" s="18"/>
      <c r="L392" s="18"/>
      <c r="M392" s="18"/>
      <c r="N392" s="18"/>
      <c r="O392" s="14">
        <v>1</v>
      </c>
    </row>
    <row r="393">
      <c r="A393" s="14">
        <v>2</v>
      </c>
      <c r="B393" s="18"/>
      <c r="C393" s="18"/>
      <c r="D393" s="18"/>
      <c r="E393" s="18"/>
      <c r="F393" s="18"/>
      <c r="G393" s="14">
        <v>2</v>
      </c>
      <c r="I393" s="14">
        <v>2</v>
      </c>
      <c r="J393" s="18"/>
      <c r="K393" s="18"/>
      <c r="L393" s="18"/>
      <c r="M393" s="18"/>
      <c r="N393" s="18"/>
      <c r="O393" s="14">
        <v>2</v>
      </c>
    </row>
    <row r="394">
      <c r="A394" s="14">
        <v>3</v>
      </c>
      <c r="B394" s="18"/>
      <c r="C394" s="18"/>
      <c r="D394" s="18"/>
      <c r="E394" s="18"/>
      <c r="F394" s="18"/>
      <c r="G394" s="14">
        <v>3</v>
      </c>
      <c r="I394" s="14">
        <v>3</v>
      </c>
      <c r="J394" s="18"/>
      <c r="K394" s="18"/>
      <c r="L394" s="18"/>
      <c r="M394" s="18"/>
      <c r="N394" s="18"/>
      <c r="O394" s="14">
        <v>3</v>
      </c>
    </row>
    <row r="395">
      <c r="A395" s="14">
        <v>4</v>
      </c>
      <c r="B395" s="18"/>
      <c r="C395" s="18"/>
      <c r="D395" s="18"/>
      <c r="E395" s="18"/>
      <c r="F395" s="18"/>
      <c r="G395" s="14">
        <v>4</v>
      </c>
      <c r="I395" s="14">
        <v>4</v>
      </c>
      <c r="J395" s="18"/>
      <c r="K395" s="18"/>
      <c r="L395" s="18"/>
      <c r="M395" s="18"/>
      <c r="N395" s="18"/>
      <c r="O395" s="14">
        <v>4</v>
      </c>
    </row>
    <row r="396">
      <c r="A396" s="14">
        <v>5</v>
      </c>
      <c r="B396" s="18"/>
      <c r="C396" s="18"/>
      <c r="D396" s="18"/>
      <c r="E396" s="18"/>
      <c r="F396" s="18"/>
      <c r="G396" s="14">
        <v>5</v>
      </c>
      <c r="I396" s="14">
        <v>5</v>
      </c>
      <c r="J396" s="18"/>
      <c r="K396" s="18"/>
      <c r="L396" s="18"/>
      <c r="M396" s="18"/>
      <c r="N396" s="18"/>
      <c r="O396" s="14">
        <v>5</v>
      </c>
    </row>
    <row r="398">
      <c r="A398" s="17" t="s">
        <v>331</v>
      </c>
      <c r="B398" s="14"/>
      <c r="C398" s="14"/>
      <c r="D398" s="14" t="s">
        <v>332</v>
      </c>
      <c r="E398" s="14"/>
      <c r="F398" s="14"/>
      <c r="G398" s="16" t="s">
        <v>333</v>
      </c>
      <c r="I398" s="17" t="s">
        <v>331</v>
      </c>
      <c r="J398" s="14"/>
      <c r="K398" s="14"/>
      <c r="L398" s="14" t="s">
        <v>332</v>
      </c>
      <c r="M398" s="14"/>
      <c r="N398" s="14"/>
      <c r="O398" s="16" t="s">
        <v>333</v>
      </c>
    </row>
    <row r="399">
      <c r="A399" s="14" t="str">
        <f>data!$E$32&amp;" "&amp;data!$B$32</f>
      </c>
      <c r="B399" s="14" t="str">
        <f>IF(UPPER(D400)="X",0,IF((LEN(SUBSTITUTE(SUBSTITUTE(SUBSTITUTE(B400," ",""),"0",""),"-",""))+LEN(SUBSTITUTE(SUBSTITUTE(SUBSTITUTE(C400," ",""),"0",""),"-","")))&gt;(LEN(SUBSTITUTE(SUBSTITUTE(SUBSTITUTE(E400," ",""),"0",""),"-",""))+LEN(SUBSTITUTE(SUBSTITUTE(SUBSTITUTE(F400," ",""),"0",""),"-",""))),1,0))+IF(UPPER(D401)="X",0,IF((LEN(SUBSTITUTE(SUBSTITUTE(SUBSTITUTE(B401," ",""),"0",""),"-",""))+LEN(SUBSTITUTE(SUBSTITUTE(SUBSTITUTE(C401," ",""),"0",""),"-","")))&gt;(LEN(SUBSTITUTE(SUBSTITUTE(SUBSTITUTE(E401," ",""),"0",""),"-",""))+LEN(SUBSTITUTE(SUBSTITUTE(SUBSTITUTE(F401," ",""),"0",""),"-",""))),1,0))+IF(UPPER(D402)="X",0,IF((LEN(SUBSTITUTE(SUBSTITUTE(SUBSTITUTE(B402," ",""),"0",""),"-",""))+LEN(SUBSTITUTE(SUBSTITUTE(SUBSTITUTE(C402," ",""),"0",""),"-","")))&gt;(LEN(SUBSTITUTE(SUBSTITUTE(SUBSTITUTE(E402," ",""),"0",""),"-",""))+LEN(SUBSTITUTE(SUBSTITUTE(SUBSTITUTE(F402," ",""),"0",""),"-",""))),1,0))+IF(UPPER(D403)="X",0,IF((LEN(SUBSTITUTE(SUBSTITUTE(SUBSTITUTE(B403," ",""),"0",""),"-",""))+LEN(SUBSTITUTE(SUBSTITUTE(SUBSTITUTE(C403," ",""),"0",""),"-","")))&gt;(LEN(SUBSTITUTE(SUBSTITUTE(SUBSTITUTE(E403," ",""),"0",""),"-",""))+LEN(SUBSTITUTE(SUBSTITUTE(SUBSTITUTE(F403," ",""),"0",""),"-",""))),1,0))+IF(UPPER(D404)="X",0,IF((LEN(SUBSTITUTE(SUBSTITUTE(SUBSTITUTE(B404," ",""),"0",""),"-",""))+LEN(SUBSTITUTE(SUBSTITUTE(SUBSTITUTE(C404," ",""),"0",""),"-","")))&gt;(LEN(SUBSTITUTE(SUBSTITUTE(SUBSTITUTE(E404," ",""),"0",""),"-",""))+LEN(SUBSTITUTE(SUBSTITUTE(SUBSTITUTE(F404," ",""),"0",""),"-",""))),1,0))</f>
      </c>
      <c r="C399" s="14" t="str">
        <f>LEN(SUBSTITUTE(SUBSTITUTE(SUBSTITUTE(B400," ",""),"0",""),"-",""))+LEN(SUBSTITUTE(SUBSTITUTE(SUBSTITUTE(C400," ",""),"0",""),"-",""))+LEN(SUBSTITUTE(SUBSTITUTE(SUBSTITUTE(B401," ",""),"0",""),"-",""))+LEN(SUBSTITUTE(SUBSTITUTE(SUBSTITUTE(C401," ",""),"0",""),"-",""))+LEN(SUBSTITUTE(SUBSTITUTE(SUBSTITUTE(B402," ",""),"0",""),"-",""))+LEN(SUBSTITUTE(SUBSTITUTE(SUBSTITUTE(C402," ",""),"0",""),"-",""))+LEN(SUBSTITUTE(SUBSTITUTE(SUBSTITUTE(B403," ",""),"0",""),"-",""))+LEN(SUBSTITUTE(SUBSTITUTE(SUBSTITUTE(C403," ",""),"0",""),"-",""))+LEN(SUBSTITUTE(SUBSTITUTE(SUBSTITUTE(B404," ",""),"0",""),"-",""))+LEN(SUBSTITUTE(SUBSTITUTE(SUBSTITUTE(C404," ",""),"0",""),"-",""))</f>
      </c>
      <c r="D399" s="18"/>
      <c r="E399" s="14" t="str">
        <f>LEN(SUBSTITUTE(SUBSTITUTE(SUBSTITUTE(E400," ",""),"0",""),"-",""))+LEN(SUBSTITUTE(SUBSTITUTE(SUBSTITUTE(F400," ",""),"0",""),"-",""))+LEN(SUBSTITUTE(SUBSTITUTE(SUBSTITUTE(E401," ",""),"0",""),"-",""))+LEN(SUBSTITUTE(SUBSTITUTE(SUBSTITUTE(F401," ",""),"0",""),"-",""))+LEN(SUBSTITUTE(SUBSTITUTE(SUBSTITUTE(E402," ",""),"0",""),"-",""))+LEN(SUBSTITUTE(SUBSTITUTE(SUBSTITUTE(F402," ",""),"0",""),"-",""))+LEN(SUBSTITUTE(SUBSTITUTE(SUBSTITUTE(E403," ",""),"0",""),"-",""))+LEN(SUBSTITUTE(SUBSTITUTE(SUBSTITUTE(F403," ",""),"0",""),"-",""))+LEN(SUBSTITUTE(SUBSTITUTE(SUBSTITUTE(E404," ",""),"0",""),"-",""))+LEN(SUBSTITUTE(SUBSTITUTE(SUBSTITUTE(F404," ",""),"0",""),"-",""))</f>
      </c>
      <c r="F399" s="14" t="str">
        <f>IF(UPPER(D400)="X",0,IF((LEN(SUBSTITUTE(SUBSTITUTE(SUBSTITUTE(E400," ",""),"0",""),"-",""))+LEN(SUBSTITUTE(SUBSTITUTE(SUBSTITUTE(F400," ",""),"0",""),"-","")))&gt;(LEN(SUBSTITUTE(SUBSTITUTE(SUBSTITUTE(B400," ",""),"0",""),"-",""))+LEN(SUBSTITUTE(SUBSTITUTE(SUBSTITUTE(C400," ",""),"0",""),"-",""))),1,0))+IF(UPPER(D401)="X",0,IF((LEN(SUBSTITUTE(SUBSTITUTE(SUBSTITUTE(E401," ",""),"0",""),"-",""))+LEN(SUBSTITUTE(SUBSTITUTE(SUBSTITUTE(F401," ",""),"0",""),"-","")))&gt;(LEN(SUBSTITUTE(SUBSTITUTE(SUBSTITUTE(B401," ",""),"0",""),"-",""))+LEN(SUBSTITUTE(SUBSTITUTE(SUBSTITUTE(C401," ",""),"0",""),"-",""))),1,0))+IF(UPPER(D402)="X",0,IF((LEN(SUBSTITUTE(SUBSTITUTE(SUBSTITUTE(E402," ",""),"0",""),"-",""))+LEN(SUBSTITUTE(SUBSTITUTE(SUBSTITUTE(F402," ",""),"0",""),"-","")))&gt;(LEN(SUBSTITUTE(SUBSTITUTE(SUBSTITUTE(B402," ",""),"0",""),"-",""))+LEN(SUBSTITUTE(SUBSTITUTE(SUBSTITUTE(C402," ",""),"0",""),"-",""))),1,0))+IF(UPPER(D403)="X",0,IF((LEN(SUBSTITUTE(SUBSTITUTE(SUBSTITUTE(E403," ",""),"0",""),"-",""))+LEN(SUBSTITUTE(SUBSTITUTE(SUBSTITUTE(F403," ",""),"0",""),"-","")))&gt;(LEN(SUBSTITUTE(SUBSTITUTE(SUBSTITUTE(B403," ",""),"0",""),"-",""))+LEN(SUBSTITUTE(SUBSTITUTE(SUBSTITUTE(C403," ",""),"0",""),"-",""))),1,0))+IF(UPPER(D404)="X",0,IF((LEN(SUBSTITUTE(SUBSTITUTE(SUBSTITUTE(E404," ",""),"0",""),"-",""))+LEN(SUBSTITUTE(SUBSTITUTE(SUBSTITUTE(F404," ",""),"0",""),"-","")))&gt;(LEN(SUBSTITUTE(SUBSTITUTE(SUBSTITUTE(B404," ",""),"0",""),"-",""))+LEN(SUBSTITUTE(SUBSTITUTE(SUBSTITUTE(C404," ",""),"0",""),"-",""))),1,0))</f>
      </c>
      <c r="G399" s="14" t="str">
        <f>data!$E$30&amp;" "&amp;data!$B$30</f>
      </c>
      <c r="I399" s="14" t="str">
        <f>data!$E$79&amp;" "&amp;data!$B$79</f>
      </c>
      <c r="J399" s="14" t="str">
        <f>IF(UPPER(L400)="X",0,IF((LEN(SUBSTITUTE(SUBSTITUTE(SUBSTITUTE(J400," ",""),"0",""),"-",""))+LEN(SUBSTITUTE(SUBSTITUTE(SUBSTITUTE(K400," ",""),"0",""),"-","")))&gt;(LEN(SUBSTITUTE(SUBSTITUTE(SUBSTITUTE(M400," ",""),"0",""),"-",""))+LEN(SUBSTITUTE(SUBSTITUTE(SUBSTITUTE(N400," ",""),"0",""),"-",""))),1,0))+IF(UPPER(L401)="X",0,IF((LEN(SUBSTITUTE(SUBSTITUTE(SUBSTITUTE(J401," ",""),"0",""),"-",""))+LEN(SUBSTITUTE(SUBSTITUTE(SUBSTITUTE(K401," ",""),"0",""),"-","")))&gt;(LEN(SUBSTITUTE(SUBSTITUTE(SUBSTITUTE(M401," ",""),"0",""),"-",""))+LEN(SUBSTITUTE(SUBSTITUTE(SUBSTITUTE(N401," ",""),"0",""),"-",""))),1,0))+IF(UPPER(L402)="X",0,IF((LEN(SUBSTITUTE(SUBSTITUTE(SUBSTITUTE(J402," ",""),"0",""),"-",""))+LEN(SUBSTITUTE(SUBSTITUTE(SUBSTITUTE(K402," ",""),"0",""),"-","")))&gt;(LEN(SUBSTITUTE(SUBSTITUTE(SUBSTITUTE(M402," ",""),"0",""),"-",""))+LEN(SUBSTITUTE(SUBSTITUTE(SUBSTITUTE(N402," ",""),"0",""),"-",""))),1,0))+IF(UPPER(L403)="X",0,IF((LEN(SUBSTITUTE(SUBSTITUTE(SUBSTITUTE(J403," ",""),"0",""),"-",""))+LEN(SUBSTITUTE(SUBSTITUTE(SUBSTITUTE(K403," ",""),"0",""),"-","")))&gt;(LEN(SUBSTITUTE(SUBSTITUTE(SUBSTITUTE(M403," ",""),"0",""),"-",""))+LEN(SUBSTITUTE(SUBSTITUTE(SUBSTITUTE(N403," ",""),"0",""),"-",""))),1,0))+IF(UPPER(L404)="X",0,IF((LEN(SUBSTITUTE(SUBSTITUTE(SUBSTITUTE(J404," ",""),"0",""),"-",""))+LEN(SUBSTITUTE(SUBSTITUTE(SUBSTITUTE(K404," ",""),"0",""),"-","")))&gt;(LEN(SUBSTITUTE(SUBSTITUTE(SUBSTITUTE(M404," ",""),"0",""),"-",""))+LEN(SUBSTITUTE(SUBSTITUTE(SUBSTITUTE(N404," ",""),"0",""),"-",""))),1,0))</f>
      </c>
      <c r="K399" s="14" t="str">
        <f>LEN(SUBSTITUTE(SUBSTITUTE(SUBSTITUTE(J400," ",""),"0",""),"-",""))+LEN(SUBSTITUTE(SUBSTITUTE(SUBSTITUTE(K400," ",""),"0",""),"-",""))+LEN(SUBSTITUTE(SUBSTITUTE(SUBSTITUTE(J401," ",""),"0",""),"-",""))+LEN(SUBSTITUTE(SUBSTITUTE(SUBSTITUTE(K401," ",""),"0",""),"-",""))+LEN(SUBSTITUTE(SUBSTITUTE(SUBSTITUTE(J402," ",""),"0",""),"-",""))+LEN(SUBSTITUTE(SUBSTITUTE(SUBSTITUTE(K402," ",""),"0",""),"-",""))+LEN(SUBSTITUTE(SUBSTITUTE(SUBSTITUTE(J403," ",""),"0",""),"-",""))+LEN(SUBSTITUTE(SUBSTITUTE(SUBSTITUTE(K403," ",""),"0",""),"-",""))+LEN(SUBSTITUTE(SUBSTITUTE(SUBSTITUTE(J404," ",""),"0",""),"-",""))+LEN(SUBSTITUTE(SUBSTITUTE(SUBSTITUTE(K404," ",""),"0",""),"-",""))</f>
      </c>
      <c r="L399" s="18"/>
      <c r="M399" s="14" t="str">
        <f>LEN(SUBSTITUTE(SUBSTITUTE(SUBSTITUTE(M400," ",""),"0",""),"-",""))+LEN(SUBSTITUTE(SUBSTITUTE(SUBSTITUTE(N400," ",""),"0",""),"-",""))+LEN(SUBSTITUTE(SUBSTITUTE(SUBSTITUTE(M401," ",""),"0",""),"-",""))+LEN(SUBSTITUTE(SUBSTITUTE(SUBSTITUTE(N401," ",""),"0",""),"-",""))+LEN(SUBSTITUTE(SUBSTITUTE(SUBSTITUTE(M402," ",""),"0",""),"-",""))+LEN(SUBSTITUTE(SUBSTITUTE(SUBSTITUTE(N402," ",""),"0",""),"-",""))+LEN(SUBSTITUTE(SUBSTITUTE(SUBSTITUTE(M403," ",""),"0",""),"-",""))+LEN(SUBSTITUTE(SUBSTITUTE(SUBSTITUTE(N403," ",""),"0",""),"-",""))+LEN(SUBSTITUTE(SUBSTITUTE(SUBSTITUTE(M404," ",""),"0",""),"-",""))+LEN(SUBSTITUTE(SUBSTITUTE(SUBSTITUTE(N404," ",""),"0",""),"-",""))</f>
      </c>
      <c r="N399" s="14" t="str">
        <f>IF(UPPER(L400)="X",0,IF((LEN(SUBSTITUTE(SUBSTITUTE(SUBSTITUTE(M400," ",""),"0",""),"-",""))+LEN(SUBSTITUTE(SUBSTITUTE(SUBSTITUTE(N400," ",""),"0",""),"-","")))&gt;(LEN(SUBSTITUTE(SUBSTITUTE(SUBSTITUTE(J400," ",""),"0",""),"-",""))+LEN(SUBSTITUTE(SUBSTITUTE(SUBSTITUTE(K400," ",""),"0",""),"-",""))),1,0))+IF(UPPER(L401)="X",0,IF((LEN(SUBSTITUTE(SUBSTITUTE(SUBSTITUTE(M401," ",""),"0",""),"-",""))+LEN(SUBSTITUTE(SUBSTITUTE(SUBSTITUTE(N401," ",""),"0",""),"-","")))&gt;(LEN(SUBSTITUTE(SUBSTITUTE(SUBSTITUTE(J401," ",""),"0",""),"-",""))+LEN(SUBSTITUTE(SUBSTITUTE(SUBSTITUTE(K401," ",""),"0",""),"-",""))),1,0))+IF(UPPER(L402)="X",0,IF((LEN(SUBSTITUTE(SUBSTITUTE(SUBSTITUTE(M402," ",""),"0",""),"-",""))+LEN(SUBSTITUTE(SUBSTITUTE(SUBSTITUTE(N402," ",""),"0",""),"-","")))&gt;(LEN(SUBSTITUTE(SUBSTITUTE(SUBSTITUTE(J402," ",""),"0",""),"-",""))+LEN(SUBSTITUTE(SUBSTITUTE(SUBSTITUTE(K402," ",""),"0",""),"-",""))),1,0))+IF(UPPER(L403)="X",0,IF((LEN(SUBSTITUTE(SUBSTITUTE(SUBSTITUTE(M403," ",""),"0",""),"-",""))+LEN(SUBSTITUTE(SUBSTITUTE(SUBSTITUTE(N403," ",""),"0",""),"-","")))&gt;(LEN(SUBSTITUTE(SUBSTITUTE(SUBSTITUTE(J403," ",""),"0",""),"-",""))+LEN(SUBSTITUTE(SUBSTITUTE(SUBSTITUTE(K403," ",""),"0",""),"-",""))),1,0))+IF(UPPER(L404)="X",0,IF((LEN(SUBSTITUTE(SUBSTITUTE(SUBSTITUTE(M404," ",""),"0",""),"-",""))+LEN(SUBSTITUTE(SUBSTITUTE(SUBSTITUTE(N404," ",""),"0",""),"-","")))&gt;(LEN(SUBSTITUTE(SUBSTITUTE(SUBSTITUTE(J404," ",""),"0",""),"-",""))+LEN(SUBSTITUTE(SUBSTITUTE(SUBSTITUTE(K404," ",""),"0",""),"-",""))),1,0))</f>
      </c>
      <c r="O399" s="14" t="str">
        <f>data!$E$77&amp;" "&amp;data!$B$77</f>
      </c>
    </row>
    <row r="400">
      <c r="A400" s="14">
        <v>1</v>
      </c>
      <c r="B400" s="18"/>
      <c r="C400" s="18"/>
      <c r="D400" s="18"/>
      <c r="E400" s="18"/>
      <c r="F400" s="18"/>
      <c r="G400" s="14">
        <v>1</v>
      </c>
      <c r="I400" s="14">
        <v>1</v>
      </c>
      <c r="J400" s="18"/>
      <c r="K400" s="18"/>
      <c r="L400" s="18"/>
      <c r="M400" s="18"/>
      <c r="N400" s="18"/>
      <c r="O400" s="14">
        <v>1</v>
      </c>
    </row>
    <row r="401">
      <c r="A401" s="14">
        <v>2</v>
      </c>
      <c r="B401" s="18"/>
      <c r="C401" s="18"/>
      <c r="D401" s="18"/>
      <c r="E401" s="18"/>
      <c r="F401" s="18"/>
      <c r="G401" s="14">
        <v>2</v>
      </c>
      <c r="I401" s="14">
        <v>2</v>
      </c>
      <c r="J401" s="18"/>
      <c r="K401" s="18"/>
      <c r="L401" s="18"/>
      <c r="M401" s="18"/>
      <c r="N401" s="18"/>
      <c r="O401" s="14">
        <v>2</v>
      </c>
    </row>
    <row r="402">
      <c r="A402" s="14">
        <v>3</v>
      </c>
      <c r="B402" s="18"/>
      <c r="C402" s="18"/>
      <c r="D402" s="18"/>
      <c r="E402" s="18"/>
      <c r="F402" s="18"/>
      <c r="G402" s="14">
        <v>3</v>
      </c>
      <c r="I402" s="14">
        <v>3</v>
      </c>
      <c r="J402" s="18"/>
      <c r="K402" s="18"/>
      <c r="L402" s="18"/>
      <c r="M402" s="18"/>
      <c r="N402" s="18"/>
      <c r="O402" s="14">
        <v>3</v>
      </c>
    </row>
    <row r="403">
      <c r="A403" s="14">
        <v>4</v>
      </c>
      <c r="B403" s="18"/>
      <c r="C403" s="18"/>
      <c r="D403" s="18"/>
      <c r="E403" s="18"/>
      <c r="F403" s="18"/>
      <c r="G403" s="14">
        <v>4</v>
      </c>
      <c r="I403" s="14">
        <v>4</v>
      </c>
      <c r="J403" s="18"/>
      <c r="K403" s="18"/>
      <c r="L403" s="18"/>
      <c r="M403" s="18"/>
      <c r="N403" s="18"/>
      <c r="O403" s="14">
        <v>4</v>
      </c>
    </row>
    <row r="404">
      <c r="A404" s="14">
        <v>5</v>
      </c>
      <c r="B404" s="18"/>
      <c r="C404" s="18"/>
      <c r="D404" s="18"/>
      <c r="E404" s="18"/>
      <c r="F404" s="18"/>
      <c r="G404" s="14">
        <v>5</v>
      </c>
      <c r="I404" s="14">
        <v>5</v>
      </c>
      <c r="J404" s="18"/>
      <c r="K404" s="18"/>
      <c r="L404" s="18"/>
      <c r="M404" s="18"/>
      <c r="N404" s="18"/>
      <c r="O404" s="14">
        <v>5</v>
      </c>
    </row>
    <row r="406">
      <c r="A406" s="17" t="s">
        <v>331</v>
      </c>
      <c r="B406" s="14"/>
      <c r="C406" s="14"/>
      <c r="D406" s="14" t="s">
        <v>332</v>
      </c>
      <c r="E406" s="14"/>
      <c r="F406" s="14"/>
      <c r="G406" s="16" t="s">
        <v>333</v>
      </c>
      <c r="I406" s="17" t="s">
        <v>331</v>
      </c>
      <c r="J406" s="14"/>
      <c r="K406" s="14"/>
      <c r="L406" s="14" t="s">
        <v>332</v>
      </c>
      <c r="M406" s="14"/>
      <c r="N406" s="14"/>
      <c r="O406" s="16" t="s">
        <v>333</v>
      </c>
    </row>
    <row r="407">
      <c r="A407" s="14" t="str">
        <f>data!$E$32&amp;" "&amp;data!$B$32</f>
      </c>
      <c r="B407" s="14" t="str">
        <f>IF(UPPER(D408)="X",0,IF((LEN(SUBSTITUTE(SUBSTITUTE(SUBSTITUTE(B408," ",""),"0",""),"-",""))+LEN(SUBSTITUTE(SUBSTITUTE(SUBSTITUTE(C408," ",""),"0",""),"-","")))&gt;(LEN(SUBSTITUTE(SUBSTITUTE(SUBSTITUTE(E408," ",""),"0",""),"-",""))+LEN(SUBSTITUTE(SUBSTITUTE(SUBSTITUTE(F408," ",""),"0",""),"-",""))),1,0))+IF(UPPER(D409)="X",0,IF((LEN(SUBSTITUTE(SUBSTITUTE(SUBSTITUTE(B409," ",""),"0",""),"-",""))+LEN(SUBSTITUTE(SUBSTITUTE(SUBSTITUTE(C409," ",""),"0",""),"-","")))&gt;(LEN(SUBSTITUTE(SUBSTITUTE(SUBSTITUTE(E409," ",""),"0",""),"-",""))+LEN(SUBSTITUTE(SUBSTITUTE(SUBSTITUTE(F409," ",""),"0",""),"-",""))),1,0))+IF(UPPER(D410)="X",0,IF((LEN(SUBSTITUTE(SUBSTITUTE(SUBSTITUTE(B410," ",""),"0",""),"-",""))+LEN(SUBSTITUTE(SUBSTITUTE(SUBSTITUTE(C410," ",""),"0",""),"-","")))&gt;(LEN(SUBSTITUTE(SUBSTITUTE(SUBSTITUTE(E410," ",""),"0",""),"-",""))+LEN(SUBSTITUTE(SUBSTITUTE(SUBSTITUTE(F410," ",""),"0",""),"-",""))),1,0))+IF(UPPER(D411)="X",0,IF((LEN(SUBSTITUTE(SUBSTITUTE(SUBSTITUTE(B411," ",""),"0",""),"-",""))+LEN(SUBSTITUTE(SUBSTITUTE(SUBSTITUTE(C411," ",""),"0",""),"-","")))&gt;(LEN(SUBSTITUTE(SUBSTITUTE(SUBSTITUTE(E411," ",""),"0",""),"-",""))+LEN(SUBSTITUTE(SUBSTITUTE(SUBSTITUTE(F411," ",""),"0",""),"-",""))),1,0))+IF(UPPER(D412)="X",0,IF((LEN(SUBSTITUTE(SUBSTITUTE(SUBSTITUTE(B412," ",""),"0",""),"-",""))+LEN(SUBSTITUTE(SUBSTITUTE(SUBSTITUTE(C412," ",""),"0",""),"-","")))&gt;(LEN(SUBSTITUTE(SUBSTITUTE(SUBSTITUTE(E412," ",""),"0",""),"-",""))+LEN(SUBSTITUTE(SUBSTITUTE(SUBSTITUTE(F412," ",""),"0",""),"-",""))),1,0))</f>
      </c>
      <c r="C407" s="14" t="str">
        <f>LEN(SUBSTITUTE(SUBSTITUTE(SUBSTITUTE(B408," ",""),"0",""),"-",""))+LEN(SUBSTITUTE(SUBSTITUTE(SUBSTITUTE(C408," ",""),"0",""),"-",""))+LEN(SUBSTITUTE(SUBSTITUTE(SUBSTITUTE(B409," ",""),"0",""),"-",""))+LEN(SUBSTITUTE(SUBSTITUTE(SUBSTITUTE(C409," ",""),"0",""),"-",""))+LEN(SUBSTITUTE(SUBSTITUTE(SUBSTITUTE(B410," ",""),"0",""),"-",""))+LEN(SUBSTITUTE(SUBSTITUTE(SUBSTITUTE(C410," ",""),"0",""),"-",""))+LEN(SUBSTITUTE(SUBSTITUTE(SUBSTITUTE(B411," ",""),"0",""),"-",""))+LEN(SUBSTITUTE(SUBSTITUTE(SUBSTITUTE(C411," ",""),"0",""),"-",""))+LEN(SUBSTITUTE(SUBSTITUTE(SUBSTITUTE(B412," ",""),"0",""),"-",""))+LEN(SUBSTITUTE(SUBSTITUTE(SUBSTITUTE(C412," ",""),"0",""),"-",""))</f>
      </c>
      <c r="D407" s="18"/>
      <c r="E407" s="14" t="str">
        <f>LEN(SUBSTITUTE(SUBSTITUTE(SUBSTITUTE(E408," ",""),"0",""),"-",""))+LEN(SUBSTITUTE(SUBSTITUTE(SUBSTITUTE(F408," ",""),"0",""),"-",""))+LEN(SUBSTITUTE(SUBSTITUTE(SUBSTITUTE(E409," ",""),"0",""),"-",""))+LEN(SUBSTITUTE(SUBSTITUTE(SUBSTITUTE(F409," ",""),"0",""),"-",""))+LEN(SUBSTITUTE(SUBSTITUTE(SUBSTITUTE(E410," ",""),"0",""),"-",""))+LEN(SUBSTITUTE(SUBSTITUTE(SUBSTITUTE(F410," ",""),"0",""),"-",""))+LEN(SUBSTITUTE(SUBSTITUTE(SUBSTITUTE(E411," ",""),"0",""),"-",""))+LEN(SUBSTITUTE(SUBSTITUTE(SUBSTITUTE(F411," ",""),"0",""),"-",""))+LEN(SUBSTITUTE(SUBSTITUTE(SUBSTITUTE(E412," ",""),"0",""),"-",""))+LEN(SUBSTITUTE(SUBSTITUTE(SUBSTITUTE(F412," ",""),"0",""),"-",""))</f>
      </c>
      <c r="F407" s="14" t="str">
        <f>IF(UPPER(D408)="X",0,IF((LEN(SUBSTITUTE(SUBSTITUTE(SUBSTITUTE(E408," ",""),"0",""),"-",""))+LEN(SUBSTITUTE(SUBSTITUTE(SUBSTITUTE(F408," ",""),"0",""),"-","")))&gt;(LEN(SUBSTITUTE(SUBSTITUTE(SUBSTITUTE(B408," ",""),"0",""),"-",""))+LEN(SUBSTITUTE(SUBSTITUTE(SUBSTITUTE(C408," ",""),"0",""),"-",""))),1,0))+IF(UPPER(D409)="X",0,IF((LEN(SUBSTITUTE(SUBSTITUTE(SUBSTITUTE(E409," ",""),"0",""),"-",""))+LEN(SUBSTITUTE(SUBSTITUTE(SUBSTITUTE(F409," ",""),"0",""),"-","")))&gt;(LEN(SUBSTITUTE(SUBSTITUTE(SUBSTITUTE(B409," ",""),"0",""),"-",""))+LEN(SUBSTITUTE(SUBSTITUTE(SUBSTITUTE(C409," ",""),"0",""),"-",""))),1,0))+IF(UPPER(D410)="X",0,IF((LEN(SUBSTITUTE(SUBSTITUTE(SUBSTITUTE(E410," ",""),"0",""),"-",""))+LEN(SUBSTITUTE(SUBSTITUTE(SUBSTITUTE(F410," ",""),"0",""),"-","")))&gt;(LEN(SUBSTITUTE(SUBSTITUTE(SUBSTITUTE(B410," ",""),"0",""),"-",""))+LEN(SUBSTITUTE(SUBSTITUTE(SUBSTITUTE(C410," ",""),"0",""),"-",""))),1,0))+IF(UPPER(D411)="X",0,IF((LEN(SUBSTITUTE(SUBSTITUTE(SUBSTITUTE(E411," ",""),"0",""),"-",""))+LEN(SUBSTITUTE(SUBSTITUTE(SUBSTITUTE(F411," ",""),"0",""),"-","")))&gt;(LEN(SUBSTITUTE(SUBSTITUTE(SUBSTITUTE(B411," ",""),"0",""),"-",""))+LEN(SUBSTITUTE(SUBSTITUTE(SUBSTITUTE(C411," ",""),"0",""),"-",""))),1,0))+IF(UPPER(D412)="X",0,IF((LEN(SUBSTITUTE(SUBSTITUTE(SUBSTITUTE(E412," ",""),"0",""),"-",""))+LEN(SUBSTITUTE(SUBSTITUTE(SUBSTITUTE(F412," ",""),"0",""),"-","")))&gt;(LEN(SUBSTITUTE(SUBSTITUTE(SUBSTITUTE(B412," ",""),"0",""),"-",""))+LEN(SUBSTITUTE(SUBSTITUTE(SUBSTITUTE(C412," ",""),"0",""),"-",""))),1,0))</f>
      </c>
      <c r="G407" s="14" t="str">
        <f>data!$E$31&amp;" "&amp;data!$B$31</f>
      </c>
      <c r="I407" s="14" t="str">
        <f>data!$E$79&amp;" "&amp;data!$B$79</f>
      </c>
      <c r="J407" s="14" t="str">
        <f>IF(UPPER(L408)="X",0,IF((LEN(SUBSTITUTE(SUBSTITUTE(SUBSTITUTE(J408," ",""),"0",""),"-",""))+LEN(SUBSTITUTE(SUBSTITUTE(SUBSTITUTE(K408," ",""),"0",""),"-","")))&gt;(LEN(SUBSTITUTE(SUBSTITUTE(SUBSTITUTE(M408," ",""),"0",""),"-",""))+LEN(SUBSTITUTE(SUBSTITUTE(SUBSTITUTE(N408," ",""),"0",""),"-",""))),1,0))+IF(UPPER(L409)="X",0,IF((LEN(SUBSTITUTE(SUBSTITUTE(SUBSTITUTE(J409," ",""),"0",""),"-",""))+LEN(SUBSTITUTE(SUBSTITUTE(SUBSTITUTE(K409," ",""),"0",""),"-","")))&gt;(LEN(SUBSTITUTE(SUBSTITUTE(SUBSTITUTE(M409," ",""),"0",""),"-",""))+LEN(SUBSTITUTE(SUBSTITUTE(SUBSTITUTE(N409," ",""),"0",""),"-",""))),1,0))+IF(UPPER(L410)="X",0,IF((LEN(SUBSTITUTE(SUBSTITUTE(SUBSTITUTE(J410," ",""),"0",""),"-",""))+LEN(SUBSTITUTE(SUBSTITUTE(SUBSTITUTE(K410," ",""),"0",""),"-","")))&gt;(LEN(SUBSTITUTE(SUBSTITUTE(SUBSTITUTE(M410," ",""),"0",""),"-",""))+LEN(SUBSTITUTE(SUBSTITUTE(SUBSTITUTE(N410," ",""),"0",""),"-",""))),1,0))+IF(UPPER(L411)="X",0,IF((LEN(SUBSTITUTE(SUBSTITUTE(SUBSTITUTE(J411," ",""),"0",""),"-",""))+LEN(SUBSTITUTE(SUBSTITUTE(SUBSTITUTE(K411," ",""),"0",""),"-","")))&gt;(LEN(SUBSTITUTE(SUBSTITUTE(SUBSTITUTE(M411," ",""),"0",""),"-",""))+LEN(SUBSTITUTE(SUBSTITUTE(SUBSTITUTE(N411," ",""),"0",""),"-",""))),1,0))+IF(UPPER(L412)="X",0,IF((LEN(SUBSTITUTE(SUBSTITUTE(SUBSTITUTE(J412," ",""),"0",""),"-",""))+LEN(SUBSTITUTE(SUBSTITUTE(SUBSTITUTE(K412," ",""),"0",""),"-","")))&gt;(LEN(SUBSTITUTE(SUBSTITUTE(SUBSTITUTE(M412," ",""),"0",""),"-",""))+LEN(SUBSTITUTE(SUBSTITUTE(SUBSTITUTE(N412," ",""),"0",""),"-",""))),1,0))</f>
      </c>
      <c r="K407" s="14" t="str">
        <f>LEN(SUBSTITUTE(SUBSTITUTE(SUBSTITUTE(J408," ",""),"0",""),"-",""))+LEN(SUBSTITUTE(SUBSTITUTE(SUBSTITUTE(K408," ",""),"0",""),"-",""))+LEN(SUBSTITUTE(SUBSTITUTE(SUBSTITUTE(J409," ",""),"0",""),"-",""))+LEN(SUBSTITUTE(SUBSTITUTE(SUBSTITUTE(K409," ",""),"0",""),"-",""))+LEN(SUBSTITUTE(SUBSTITUTE(SUBSTITUTE(J410," ",""),"0",""),"-",""))+LEN(SUBSTITUTE(SUBSTITUTE(SUBSTITUTE(K410," ",""),"0",""),"-",""))+LEN(SUBSTITUTE(SUBSTITUTE(SUBSTITUTE(J411," ",""),"0",""),"-",""))+LEN(SUBSTITUTE(SUBSTITUTE(SUBSTITUTE(K411," ",""),"0",""),"-",""))+LEN(SUBSTITUTE(SUBSTITUTE(SUBSTITUTE(J412," ",""),"0",""),"-",""))+LEN(SUBSTITUTE(SUBSTITUTE(SUBSTITUTE(K412," ",""),"0",""),"-",""))</f>
      </c>
      <c r="L407" s="18"/>
      <c r="M407" s="14" t="str">
        <f>LEN(SUBSTITUTE(SUBSTITUTE(SUBSTITUTE(M408," ",""),"0",""),"-",""))+LEN(SUBSTITUTE(SUBSTITUTE(SUBSTITUTE(N408," ",""),"0",""),"-",""))+LEN(SUBSTITUTE(SUBSTITUTE(SUBSTITUTE(M409," ",""),"0",""),"-",""))+LEN(SUBSTITUTE(SUBSTITUTE(SUBSTITUTE(N409," ",""),"0",""),"-",""))+LEN(SUBSTITUTE(SUBSTITUTE(SUBSTITUTE(M410," ",""),"0",""),"-",""))+LEN(SUBSTITUTE(SUBSTITUTE(SUBSTITUTE(N410," ",""),"0",""),"-",""))+LEN(SUBSTITUTE(SUBSTITUTE(SUBSTITUTE(M411," ",""),"0",""),"-",""))+LEN(SUBSTITUTE(SUBSTITUTE(SUBSTITUTE(N411," ",""),"0",""),"-",""))+LEN(SUBSTITUTE(SUBSTITUTE(SUBSTITUTE(M412," ",""),"0",""),"-",""))+LEN(SUBSTITUTE(SUBSTITUTE(SUBSTITUTE(N412," ",""),"0",""),"-",""))</f>
      </c>
      <c r="N407" s="14" t="str">
        <f>IF(UPPER(L408)="X",0,IF((LEN(SUBSTITUTE(SUBSTITUTE(SUBSTITUTE(M408," ",""),"0",""),"-",""))+LEN(SUBSTITUTE(SUBSTITUTE(SUBSTITUTE(N408," ",""),"0",""),"-","")))&gt;(LEN(SUBSTITUTE(SUBSTITUTE(SUBSTITUTE(J408," ",""),"0",""),"-",""))+LEN(SUBSTITUTE(SUBSTITUTE(SUBSTITUTE(K408," ",""),"0",""),"-",""))),1,0))+IF(UPPER(L409)="X",0,IF((LEN(SUBSTITUTE(SUBSTITUTE(SUBSTITUTE(M409," ",""),"0",""),"-",""))+LEN(SUBSTITUTE(SUBSTITUTE(SUBSTITUTE(N409," ",""),"0",""),"-","")))&gt;(LEN(SUBSTITUTE(SUBSTITUTE(SUBSTITUTE(J409," ",""),"0",""),"-",""))+LEN(SUBSTITUTE(SUBSTITUTE(SUBSTITUTE(K409," ",""),"0",""),"-",""))),1,0))+IF(UPPER(L410)="X",0,IF((LEN(SUBSTITUTE(SUBSTITUTE(SUBSTITUTE(M410," ",""),"0",""),"-",""))+LEN(SUBSTITUTE(SUBSTITUTE(SUBSTITUTE(N410," ",""),"0",""),"-","")))&gt;(LEN(SUBSTITUTE(SUBSTITUTE(SUBSTITUTE(J410," ",""),"0",""),"-",""))+LEN(SUBSTITUTE(SUBSTITUTE(SUBSTITUTE(K410," ",""),"0",""),"-",""))),1,0))+IF(UPPER(L411)="X",0,IF((LEN(SUBSTITUTE(SUBSTITUTE(SUBSTITUTE(M411," ",""),"0",""),"-",""))+LEN(SUBSTITUTE(SUBSTITUTE(SUBSTITUTE(N411," ",""),"0",""),"-","")))&gt;(LEN(SUBSTITUTE(SUBSTITUTE(SUBSTITUTE(J411," ",""),"0",""),"-",""))+LEN(SUBSTITUTE(SUBSTITUTE(SUBSTITUTE(K411," ",""),"0",""),"-",""))),1,0))+IF(UPPER(L412)="X",0,IF((LEN(SUBSTITUTE(SUBSTITUTE(SUBSTITUTE(M412," ",""),"0",""),"-",""))+LEN(SUBSTITUTE(SUBSTITUTE(SUBSTITUTE(N412," ",""),"0",""),"-","")))&gt;(LEN(SUBSTITUTE(SUBSTITUTE(SUBSTITUTE(J412," ",""),"0",""),"-",""))+LEN(SUBSTITUTE(SUBSTITUTE(SUBSTITUTE(K412," ",""),"0",""),"-",""))),1,0))</f>
      </c>
      <c r="O407" s="14" t="str">
        <f>data!$E$78&amp;" "&amp;data!$B$78</f>
      </c>
    </row>
    <row r="408">
      <c r="A408" s="14">
        <v>1</v>
      </c>
      <c r="B408" s="18"/>
      <c r="C408" s="18"/>
      <c r="D408" s="18"/>
      <c r="E408" s="18"/>
      <c r="F408" s="18"/>
      <c r="G408" s="14">
        <v>1</v>
      </c>
      <c r="I408" s="14">
        <v>1</v>
      </c>
      <c r="J408" s="18"/>
      <c r="K408" s="18"/>
      <c r="L408" s="18"/>
      <c r="M408" s="18"/>
      <c r="N408" s="18"/>
      <c r="O408" s="14">
        <v>1</v>
      </c>
    </row>
    <row r="409">
      <c r="A409" s="14">
        <v>2</v>
      </c>
      <c r="B409" s="18"/>
      <c r="C409" s="18"/>
      <c r="D409" s="18"/>
      <c r="E409" s="18"/>
      <c r="F409" s="18"/>
      <c r="G409" s="14">
        <v>2</v>
      </c>
      <c r="I409" s="14">
        <v>2</v>
      </c>
      <c r="J409" s="18"/>
      <c r="K409" s="18"/>
      <c r="L409" s="18"/>
      <c r="M409" s="18"/>
      <c r="N409" s="18"/>
      <c r="O409" s="14">
        <v>2</v>
      </c>
    </row>
    <row r="410">
      <c r="A410" s="14">
        <v>3</v>
      </c>
      <c r="B410" s="18"/>
      <c r="C410" s="18"/>
      <c r="D410" s="18"/>
      <c r="E410" s="18"/>
      <c r="F410" s="18"/>
      <c r="G410" s="14">
        <v>3</v>
      </c>
      <c r="I410" s="14">
        <v>3</v>
      </c>
      <c r="J410" s="18"/>
      <c r="K410" s="18"/>
      <c r="L410" s="18"/>
      <c r="M410" s="18"/>
      <c r="N410" s="18"/>
      <c r="O410" s="14">
        <v>3</v>
      </c>
    </row>
    <row r="411">
      <c r="A411" s="14">
        <v>4</v>
      </c>
      <c r="B411" s="18"/>
      <c r="C411" s="18"/>
      <c r="D411" s="18"/>
      <c r="E411" s="18"/>
      <c r="F411" s="18"/>
      <c r="G411" s="14">
        <v>4</v>
      </c>
      <c r="I411" s="14">
        <v>4</v>
      </c>
      <c r="J411" s="18"/>
      <c r="K411" s="18"/>
      <c r="L411" s="18"/>
      <c r="M411" s="18"/>
      <c r="N411" s="18"/>
      <c r="O411" s="14">
        <v>4</v>
      </c>
    </row>
    <row r="412">
      <c r="A412" s="14">
        <v>5</v>
      </c>
      <c r="B412" s="18"/>
      <c r="C412" s="18"/>
      <c r="D412" s="18"/>
      <c r="E412" s="18"/>
      <c r="F412" s="18"/>
      <c r="G412" s="14">
        <v>5</v>
      </c>
      <c r="I412" s="14">
        <v>5</v>
      </c>
      <c r="J412" s="18"/>
      <c r="K412" s="18"/>
      <c r="L412" s="18"/>
      <c r="M412" s="18"/>
      <c r="N412" s="18"/>
      <c r="O412" s="14">
        <v>5</v>
      </c>
    </row>
    <row r="415">
      <c r="A415" s="13" t="s">
        <v>334</v>
      </c>
      <c r="B415" s="13" t="s">
        <v>335</v>
      </c>
      <c r="C415" s="13" t="s">
        <v>336</v>
      </c>
      <c r="D415" s="13" t="s">
        <v>337</v>
      </c>
      <c r="E415" s="13"/>
      <c r="F415" s="13"/>
      <c r="G415" s="13" t="s">
        <v>338</v>
      </c>
      <c r="I415" s="13" t="s">
        <v>334</v>
      </c>
      <c r="J415" s="13" t="s">
        <v>335</v>
      </c>
      <c r="K415" s="13" t="s">
        <v>336</v>
      </c>
      <c r="L415" s="13" t="s">
        <v>337</v>
      </c>
      <c r="M415" s="13"/>
      <c r="N415" s="13"/>
      <c r="O415" s="13" t="s">
        <v>338</v>
      </c>
    </row>
    <row r="416">
      <c r="A416" s="14" t="str">
        <f>data!$E$30&amp;" "&amp;data!$B$30</f>
      </c>
      <c r="B416" s="14" t="str">
        <f>IF(OR(COUNTA(B392:C396,E392:F396)&gt;0,D392="X",D392="x",D393="X",D393="x",D394="X",D394="x",D395="X",D395="x",D396="X",D396="x",OR(D391="X",D391="x")),IF(OR(OR(D391="X",D391="x"),AND(B391=F391,C391=E391)),0,IF(OR(F391&gt;B391,AND(F391=B391,E391&gt;C391)),1,0)),0)+IF(OR(COUNTA(B400:C404,E400:F404)&gt;0,D400="X",D400="x",D401="X",D401="x",D402="X",D402="x",D403="X",D403="x",D404="X",D404="x",OR(D399="X",D399="x")),IF(OR(OR(D399="X",D399="x"),AND(B399=F399,C399=E399)),0,IF(OR(F399&gt;B399,AND(F399=B399,E399&gt;C399)),1,0)),0)</f>
      </c>
      <c r="C416" s="14" t="str">
        <f>IF(OR(COUNTA(B392:C396,E392:F396)&gt;0,D392="X",D392="x",D393="X",D393="x",D394="X",D394="x",D395="X",D395="x",D396="X",D396="x",OR(D391="X",D391="x")),IF(OR(OR(D391="X",D391="x"),AND(B391=F391,C391=E391)),0,IF(OR(F391&lt;B391,AND(F391=B391,E391&lt;C391)),1,0)),0)+IF(OR(COUNTA(B400:C404,E400:F404)&gt;0,D400="X",D400="x",D401="X",D401="x",D402="X",D402="x",D403="X",D403="x",D404="X",D404="x",OR(D399="X",D399="x")),IF(OR(OR(D399="X",D399="x"),AND(B399=F399,C399=E399)),0,IF(OR(F399&lt;B399,AND(F399=B399,E399&lt;C399)),1,0)),0)</f>
      </c>
      <c r="D416" s="14" t="str">
        <f>IF(OR(COUNTA(B392:C396,E392:F396)&gt;0,D392="X",D392="x",D393="X",D393="x",D394="X",D394="x",D395="X",D395="x",D396="X",D396="x",OR(D391="X",D391="x")),IF(OR(OR(D391="X",D391="x"),AND(B391=F391,C391=E391)),1,0),0)+IF(OR(COUNTA(B400:C404,E400:F404)&gt;0,D400="X",D400="x",D401="X",D401="x",D402="X",D402="x",D403="X",D403="x",D404="X",D404="x",OR(D399="X",D399="x")),IF(OR(OR(D399="X",D399="x"),AND(B399=F399,C399=E399)),1,0),0)</f>
      </c>
      <c r="G416" s="18" t="str">
        <f>RANK(U416,$U$416:$U$418)+COUNTIF($U$415:U415,U416)</f>
      </c>
      <c r="I416" s="14" t="str">
        <f>data!$E$77&amp;" "&amp;data!$B$77</f>
      </c>
      <c r="J416" s="14" t="str">
        <f>IF(OR(COUNTA(J392:K396,M392:N396)&gt;0,L392="X",L392="x",L393="X",L393="x",L394="X",L394="x",L395="X",L395="x",L396="X",L396="x",OR(L391="X",L391="x")),IF(OR(OR(L391="X",L391="x"),AND(J391=N391,K391=M391)),0,IF(OR(N391&gt;J391,AND(N391=J391,M391&gt;K391)),1,0)),0)+IF(OR(COUNTA(J400:K404,M400:N404)&gt;0,L400="X",L400="x",L401="X",L401="x",L402="X",L402="x",L403="X",L403="x",L404="X",L404="x",OR(L399="X",L399="x")),IF(OR(OR(L399="X",L399="x"),AND(J399=N399,K399=M399)),0,IF(OR(N399&gt;J399,AND(N399=J399,M399&gt;K399)),1,0)),0)</f>
      </c>
      <c r="K416" s="14" t="str">
        <f>IF(OR(COUNTA(J392:K396,M392:N396)&gt;0,L392="X",L392="x",L393="X",L393="x",L394="X",L394="x",L395="X",L395="x",L396="X",L396="x",OR(L391="X",L391="x")),IF(OR(OR(L391="X",L391="x"),AND(J391=N391,K391=M391)),0,IF(OR(N391&lt;J391,AND(N391=J391,M391&lt;K391)),1,0)),0)+IF(OR(COUNTA(J400:K404,M400:N404)&gt;0,L400="X",L400="x",L401="X",L401="x",L402="X",L402="x",L403="X",L403="x",L404="X",L404="x",OR(L399="X",L399="x")),IF(OR(OR(L399="X",L399="x"),AND(J399=N399,K399=M399)),0,IF(OR(N399&lt;J399,AND(N399=J399,M399&lt;K399)),1,0)),0)</f>
      </c>
      <c r="L416" s="14" t="str">
        <f>IF(OR(COUNTA(J392:K396,M392:N396)&gt;0,L392="X",L392="x",L393="X",L393="x",L394="X",L394="x",L395="X",L395="x",L396="X",L396="x",OR(L391="X",L391="x")),IF(OR(OR(L391="X",L391="x"),AND(J391=N391,K391=M391)),1,0),0)+IF(OR(COUNTA(J400:K404,M400:N404)&gt;0,L400="X",L400="x",L401="X",L401="x",L402="X",L402="x",L403="X",L403="x",L404="X",L404="x",OR(L399="X",L399="x")),IF(OR(OR(L399="X",L399="x"),AND(J399=N399,K399=M399)),1,0),0)</f>
      </c>
      <c r="O416" s="18" t="str">
        <f>RANK(AC416,$AC$416:$AC$418)+COUNTIF($AC$415:AC415,AC416)</f>
      </c>
      <c r="U416" t="str">
        <f>(B416*1000000000)-(C416*10000000)+(D416*100000)+(B421*1000)-(C421*100)+(D421*10)+(E421*1)-(F421*0.01)</f>
      </c>
      <c r="AC416" t="str">
        <f>(J416*1000000000)-(K416*10000000)+(L416*100000)+(J421*1000)-(K421*100)+(L421*10)+(M421*1)-(N421*0.01)</f>
      </c>
    </row>
    <row r="417">
      <c r="A417" s="14" t="str">
        <f>data!$E$31&amp;" "&amp;data!$B$31</f>
      </c>
      <c r="B417" s="14" t="str">
        <f>IF(OR(COUNTA(B392:C396,E392:F396)&gt;0,D392="X",D392="x",D393="X",D393="x",D394="X",D394="x",D395="X",D395="x",D396="X",D396="x",OR(D391="X",D391="x")),IF(OR(OR(D391="X",D391="x"),AND(B391=F391,C391=E391)),0,IF(OR(B391&gt;F391,AND(B391=F391,C391&gt;E391)),1,0)),0)+IF(OR(COUNTA(B408:C412,E408:F412)&gt;0,D408="X",D408="x",D409="X",D409="x",D410="X",D410="x",D411="X",D411="x",D412="X",D412="x",OR(D407="X",D407="x")),IF(OR(OR(D407="X",D407="x"),AND(B407=F407,C407=E407)),0,IF(OR(F407&gt;B407,AND(F407=B407,E407&gt;C407)),1,0)),0)</f>
      </c>
      <c r="C417" s="14" t="str">
        <f>IF(OR(COUNTA(B392:C396,E392:F396)&gt;0,D392="X",D392="x",D393="X",D393="x",D394="X",D394="x",D395="X",D395="x",D396="X",D396="x",OR(D391="X",D391="x")),IF(OR(OR(D391="X",D391="x"),AND(B391=F391,C391=E391)),0,IF(OR(B391&lt;F391,AND(B391=F391,C391&lt;E391)),1,0)),0)+IF(OR(COUNTA(B408:C412,E408:F412)&gt;0,D408="X",D408="x",D409="X",D409="x",D410="X",D410="x",D411="X",D411="x",D412="X",D412="x",OR(D407="X",D407="x")),IF(OR(OR(D407="X",D407="x"),AND(B407=F407,C407=E407)),0,IF(OR(F407&lt;B407,AND(F407=B407,E407&lt;C407)),1,0)),0)</f>
      </c>
      <c r="D417" s="14" t="str">
        <f>IF(OR(COUNTA(B392:C396,E392:F396)&gt;0,D392="X",D392="x",D393="X",D393="x",D394="X",D394="x",D395="X",D395="x",D396="X",D396="x",OR(D391="X",D391="x")),IF(OR(OR(D391="X",D391="x"),AND(B391=F391,C391=E391)),1,0),0)+IF(OR(COUNTA(B408:C412,E408:F412)&gt;0,D408="X",D408="x",D409="X",D409="x",D410="X",D410="x",D411="X",D411="x",D412="X",D412="x",OR(D407="X",D407="x")),IF(OR(OR(D407="X",D407="x"),AND(B407=F407,C407=E407)),1,0),0)</f>
      </c>
      <c r="G417" s="18" t="str">
        <f>RANK(U417,$U$416:$U$418)+COUNTIF($U$415:U416,U417)</f>
      </c>
      <c r="I417" s="14" t="str">
        <f>data!$E$78&amp;" "&amp;data!$B$78</f>
      </c>
      <c r="J417" s="14" t="str">
        <f>IF(OR(COUNTA(J392:K396,M392:N396)&gt;0,L392="X",L392="x",L393="X",L393="x",L394="X",L394="x",L395="X",L395="x",L396="X",L396="x",OR(L391="X",L391="x")),IF(OR(OR(L391="X",L391="x"),AND(J391=N391,K391=M391)),0,IF(OR(J391&gt;N391,AND(J391=N391,K391&gt;M391)),1,0)),0)+IF(OR(COUNTA(J408:K412,M408:N412)&gt;0,L408="X",L408="x",L409="X",L409="x",L410="X",L410="x",L411="X",L411="x",L412="X",L412="x",OR(L407="X",L407="x")),IF(OR(OR(L407="X",L407="x"),AND(J407=N407,K407=M407)),0,IF(OR(N407&gt;J407,AND(N407=J407,M407&gt;K407)),1,0)),0)</f>
      </c>
      <c r="K417" s="14" t="str">
        <f>IF(OR(COUNTA(J392:K396,M392:N396)&gt;0,L392="X",L392="x",L393="X",L393="x",L394="X",L394="x",L395="X",L395="x",L396="X",L396="x",OR(L391="X",L391="x")),IF(OR(OR(L391="X",L391="x"),AND(J391=N391,K391=M391)),0,IF(OR(J391&lt;N391,AND(J391=N391,K391&lt;M391)),1,0)),0)+IF(OR(COUNTA(J408:K412,M408:N412)&gt;0,L408="X",L408="x",L409="X",L409="x",L410="X",L410="x",L411="X",L411="x",L412="X",L412="x",OR(L407="X",L407="x")),IF(OR(OR(L407="X",L407="x"),AND(J407=N407,K407=M407)),0,IF(OR(N407&lt;J407,AND(N407=J407,M407&lt;K407)),1,0)),0)</f>
      </c>
      <c r="L417" s="14" t="str">
        <f>IF(OR(COUNTA(J392:K396,M392:N396)&gt;0,L392="X",L392="x",L393="X",L393="x",L394="X",L394="x",L395="X",L395="x",L396="X",L396="x",OR(L391="X",L391="x")),IF(OR(OR(L391="X",L391="x"),AND(J391=N391,K391=M391)),1,0),0)+IF(OR(COUNTA(J408:K412,M408:N412)&gt;0,L408="X",L408="x",L409="X",L409="x",L410="X",L410="x",L411="X",L411="x",L412="X",L412="x",OR(L407="X",L407="x")),IF(OR(OR(L407="X",L407="x"),AND(J407=N407,K407=M407)),1,0),0)</f>
      </c>
      <c r="O417" s="18" t="str">
        <f>RANK(AC417,$AC$416:$AC$418)+COUNTIF($AC$415:AC416,AC417)</f>
      </c>
      <c r="U417" t="str">
        <f>(B417*1000000000)-(C417*10000000)+(D417*100000)+(B422*1000)-(C422*100)+(D422*10)+(E422*1)-(F422*0.01)</f>
      </c>
      <c r="AC417" t="str">
        <f>(J417*1000000000)-(K417*10000000)+(L417*100000)+(J422*1000)-(K422*100)+(L422*10)+(M422*1)-(N422*0.01)</f>
      </c>
    </row>
    <row r="418">
      <c r="A418" s="14" t="str">
        <f>data!$E$32&amp;" "&amp;data!$B$32</f>
      </c>
      <c r="B418" s="14" t="str">
        <f>IF(OR(COUNTA(B400:C404,E400:F404)&gt;0,D400="X",D400="x",D401="X",D401="x",D402="X",D402="x",D403="X",D403="x",D404="X",D404="x",OR(D399="X",D399="x")),IF(OR(OR(D399="X",D399="x"),AND(B399=F399,C399=E399)),0,IF(OR(B399&gt;F399,AND(B399=F399,C399&gt;E399)),1,0)),0)+IF(OR(COUNTA(B408:C412,E408:F412)&gt;0,D408="X",D408="x",D409="X",D409="x",D410="X",D410="x",D411="X",D411="x",D412="X",D412="x",OR(D407="X",D407="x")),IF(OR(OR(D407="X",D407="x"),AND(B407=F407,C407=E407)),0,IF(OR(B407&gt;F407,AND(B407=F407,C407&gt;E407)),1,0)),0)</f>
      </c>
      <c r="C418" s="14" t="str">
        <f>IF(OR(COUNTA(B400:C404,E400:F404)&gt;0,D400="X",D400="x",D401="X",D401="x",D402="X",D402="x",D403="X",D403="x",D404="X",D404="x",OR(D399="X",D399="x")),IF(OR(OR(D399="X",D399="x"),AND(B399=F399,C399=E399)),0,IF(OR(B399&lt;F399,AND(B399=F399,C399&lt;E399)),1,0)),0)+IF(OR(COUNTA(B408:C412,E408:F412)&gt;0,D408="X",D408="x",D409="X",D409="x",D410="X",D410="x",D411="X",D411="x",D412="X",D412="x",OR(D407="X",D407="x")),IF(OR(OR(D407="X",D407="x"),AND(B407=F407,C407=E407)),0,IF(OR(B407&lt;F407,AND(B407=F407,C407&lt;E407)),1,0)),0)</f>
      </c>
      <c r="D418" s="14" t="str">
        <f>IF(OR(COUNTA(B400:C404,E400:F404)&gt;0,D400="X",D400="x",D401="X",D401="x",D402="X",D402="x",D403="X",D403="x",D404="X",D404="x",OR(D399="X",D399="x")),IF(OR(OR(D399="X",D399="x"),AND(B399=F399,C399=E399)),1,0),0)+IF(OR(COUNTA(B408:C412,E408:F412)&gt;0,D408="X",D408="x",D409="X",D409="x",D410="X",D410="x",D411="X",D411="x",D412="X",D412="x",OR(D407="X",D407="x")),IF(OR(OR(D407="X",D407="x"),AND(B407=F407,C407=E407)),1,0),0)</f>
      </c>
      <c r="G418" s="18" t="str">
        <f>RANK(U418,$U$416:$U$418)+COUNTIF($U$415:U417,U418)</f>
      </c>
      <c r="I418" s="14" t="str">
        <f>data!$E$79&amp;" "&amp;data!$B$79</f>
      </c>
      <c r="J418" s="14" t="str">
        <f>IF(OR(COUNTA(J400:K404,M400:N404)&gt;0,L400="X",L400="x",L401="X",L401="x",L402="X",L402="x",L403="X",L403="x",L404="X",L404="x",OR(L399="X",L399="x")),IF(OR(OR(L399="X",L399="x"),AND(J399=N399,K399=M399)),0,IF(OR(J399&gt;N399,AND(J399=N399,K399&gt;M399)),1,0)),0)+IF(OR(COUNTA(J408:K412,M408:N412)&gt;0,L408="X",L408="x",L409="X",L409="x",L410="X",L410="x",L411="X",L411="x",L412="X",L412="x",OR(L407="X",L407="x")),IF(OR(OR(L407="X",L407="x"),AND(J407=N407,K407=M407)),0,IF(OR(J407&gt;N407,AND(J407=N407,K407&gt;M407)),1,0)),0)</f>
      </c>
      <c r="K418" s="14" t="str">
        <f>IF(OR(COUNTA(J400:K404,M400:N404)&gt;0,L400="X",L400="x",L401="X",L401="x",L402="X",L402="x",L403="X",L403="x",L404="X",L404="x",OR(L399="X",L399="x")),IF(OR(OR(L399="X",L399="x"),AND(J399=N399,K399=M399)),0,IF(OR(J399&lt;N399,AND(J399=N399,K399&lt;M399)),1,0)),0)+IF(OR(COUNTA(J408:K412,M408:N412)&gt;0,L408="X",L408="x",L409="X",L409="x",L410="X",L410="x",L411="X",L411="x",L412="X",L412="x",OR(L407="X",L407="x")),IF(OR(OR(L407="X",L407="x"),AND(J407=N407,K407=M407)),0,IF(OR(J407&lt;N407,AND(J407=N407,K407&lt;M407)),1,0)),0)</f>
      </c>
      <c r="L418" s="14" t="str">
        <f>IF(OR(COUNTA(J400:K404,M400:N404)&gt;0,L400="X",L400="x",L401="X",L401="x",L402="X",L402="x",L403="X",L403="x",L404="X",L404="x",OR(L399="X",L399="x")),IF(OR(OR(L399="X",L399="x"),AND(J399=N399,K399=M399)),1,0),0)+IF(OR(COUNTA(J408:K412,M408:N412)&gt;0,L408="X",L408="x",L409="X",L409="x",L410="X",L410="x",L411="X",L411="x",L412="X",L412="x",OR(L407="X",L407="x")),IF(OR(OR(L407="X",L407="x"),AND(J407=N407,K407=M407)),1,0),0)</f>
      </c>
      <c r="O418" s="18" t="str">
        <f>RANK(AC418,$AC$416:$AC$418)+COUNTIF($AC$415:AC417,AC418)</f>
      </c>
      <c r="U418" t="str">
        <f>(B418*1000000000)-(C418*10000000)+(D418*100000)+(B423*1000)-(C423*100)+(D423*10)+(E423*1)-(F423*0.01)</f>
      </c>
      <c r="AC418" t="str">
        <f>(J418*1000000000)-(K418*10000000)+(L418*100000)+(J423*1000)-(K423*100)+(L423*10)+(M423*1)-(N423*0.01)</f>
      </c>
    </row>
    <row r="420">
      <c r="A420" s="13"/>
      <c r="B420" s="13" t="s">
        <v>339</v>
      </c>
      <c r="C420" s="13" t="s">
        <v>340</v>
      </c>
      <c r="D420" s="13" t="s">
        <v>341</v>
      </c>
      <c r="E420" s="13" t="s">
        <v>342</v>
      </c>
      <c r="F420" s="13" t="s">
        <v>343</v>
      </c>
      <c r="I420" s="13"/>
      <c r="J420" s="13" t="s">
        <v>339</v>
      </c>
      <c r="K420" s="13" t="s">
        <v>340</v>
      </c>
      <c r="L420" s="13" t="s">
        <v>341</v>
      </c>
      <c r="M420" s="13" t="s">
        <v>342</v>
      </c>
      <c r="N420" s="13" t="s">
        <v>343</v>
      </c>
    </row>
    <row r="421">
      <c r="A421" s="14" t="str">
        <f>data!$E$30&amp;" "&amp;data!$B$30</f>
      </c>
      <c r="B421" s="14" t="str">
        <f>IF(OR(COUNTA(B392:C396,E392:F396)&gt;0,OR(D391="X",D391="x"),UPPER(D392)="X",UPPER(D393)="X",UPPER(D394)="X",UPPER(D395)="X",UPPER(D396)="X"),F391,0)+IF(OR(COUNTA(B400:C404,E400:F404)&gt;0,OR(D399="X",D399="x"),UPPER(D400)="X",UPPER(D401)="X",UPPER(D402)="X",UPPER(D403)="X",UPPER(D404)="X"),F399,0)</f>
      </c>
      <c r="C421" s="14" t="str">
        <f>IF(OR(COUNTA(B392:C396,E392:F396)&gt;0,OR(D391="X",D391="x"),UPPER(D392)="X",UPPER(D393)="X",UPPER(D394)="X",UPPER(D395)="X",UPPER(D396)="X"),B391,0)+IF(OR(COUNTA(B400:C404,E400:F404)&gt;0,OR(D399="X",D399="x"),UPPER(D400)="X",UPPER(D401)="X",UPPER(D402)="X",UPPER(D403)="X",UPPER(D404)="X"),B399,0)</f>
      </c>
      <c r="D421" s="14" t="str">
        <f>IF(OR(COUNTA(B392:C396,E392:F396)&gt;0,OR(D391="X",D391="x"),UPPER(D392)="X",UPPER(D393)="X",UPPER(D394)="X",UPPER(D395)="X",UPPER(D396)="X"),(IF(OR(D392="X",D392="x",AND(COUNTA(B392,C392,E392,F392)&gt;0,(LEN(SUBSTITUTE(SUBSTITUTE(SUBSTITUTE(B392," ",""),"0",""),"-",""))+LEN(SUBSTITUTE(SUBSTITUTE(SUBSTITUTE(C392," ",""),"0",""),"-","")))=(LEN(SUBSTITUTE(SUBSTITUTE(SUBSTITUTE(E392," ",""),"0",""),"-",""))+LEN(SUBSTITUTE(SUBSTITUTE(SUBSTITUTE(F392," ",""),"0",""),"-",""))))),1,0)+IF(OR(D393="X",D393="x",AND(COUNTA(B393,C393,E393,F393)&gt;0,(LEN(SUBSTITUTE(SUBSTITUTE(SUBSTITUTE(B393," ",""),"0",""),"-",""))+LEN(SUBSTITUTE(SUBSTITUTE(SUBSTITUTE(C393," ",""),"0",""),"-","")))=(LEN(SUBSTITUTE(SUBSTITUTE(SUBSTITUTE(E393," ",""),"0",""),"-",""))+LEN(SUBSTITUTE(SUBSTITUTE(SUBSTITUTE(F393," ",""),"0",""),"-",""))))),1,0)+IF(OR(D394="X",D394="x",AND(COUNTA(B394,C394,E394,F394)&gt;0,(LEN(SUBSTITUTE(SUBSTITUTE(SUBSTITUTE(B394," ",""),"0",""),"-",""))+LEN(SUBSTITUTE(SUBSTITUTE(SUBSTITUTE(C394," ",""),"0",""),"-","")))=(LEN(SUBSTITUTE(SUBSTITUTE(SUBSTITUTE(E394," ",""),"0",""),"-",""))+LEN(SUBSTITUTE(SUBSTITUTE(SUBSTITUTE(F394," ",""),"0",""),"-",""))))),1,0)+IF(OR(D395="X",D395="x",AND(COUNTA(B395,C395,E395,F395)&gt;0,(LEN(SUBSTITUTE(SUBSTITUTE(SUBSTITUTE(B395," ",""),"0",""),"-",""))+LEN(SUBSTITUTE(SUBSTITUTE(SUBSTITUTE(C395," ",""),"0",""),"-","")))=(LEN(SUBSTITUTE(SUBSTITUTE(SUBSTITUTE(E395," ",""),"0",""),"-",""))+LEN(SUBSTITUTE(SUBSTITUTE(SUBSTITUTE(F395," ",""),"0",""),"-",""))))),1,0)+IF(OR(D396="X",D396="x",AND(COUNTA(B396,C396,E396,F396)&gt;0,(LEN(SUBSTITUTE(SUBSTITUTE(SUBSTITUTE(B396," ",""),"0",""),"-",""))+LEN(SUBSTITUTE(SUBSTITUTE(SUBSTITUTE(C396," ",""),"0",""),"-","")))=(LEN(SUBSTITUTE(SUBSTITUTE(SUBSTITUTE(E396," ",""),"0",""),"-",""))+LEN(SUBSTITUTE(SUBSTITUTE(SUBSTITUTE(F396," ",""),"0",""),"-",""))))),1,0)),0)+IF(OR(COUNTA(B400:C404,E400:F404)&gt;0,OR(D399="X",D399="x"),UPPER(D400)="X",UPPER(D401)="X",UPPER(D402)="X",UPPER(D403)="X",UPPER(D404)="X"),(IF(OR(D400="X",D400="x",AND(COUNTA(B400,C400,E400,F400)&gt;0,(LEN(SUBSTITUTE(SUBSTITUTE(SUBSTITUTE(B400," ",""),"0",""),"-",""))+LEN(SUBSTITUTE(SUBSTITUTE(SUBSTITUTE(C400," ",""),"0",""),"-","")))=(LEN(SUBSTITUTE(SUBSTITUTE(SUBSTITUTE(E400," ",""),"0",""),"-",""))+LEN(SUBSTITUTE(SUBSTITUTE(SUBSTITUTE(F400," ",""),"0",""),"-",""))))),1,0)+IF(OR(D401="X",D401="x",AND(COUNTA(B401,C401,E401,F401)&gt;0,(LEN(SUBSTITUTE(SUBSTITUTE(SUBSTITUTE(B401," ",""),"0",""),"-",""))+LEN(SUBSTITUTE(SUBSTITUTE(SUBSTITUTE(C401," ",""),"0",""),"-","")))=(LEN(SUBSTITUTE(SUBSTITUTE(SUBSTITUTE(E401," ",""),"0",""),"-",""))+LEN(SUBSTITUTE(SUBSTITUTE(SUBSTITUTE(F401," ",""),"0",""),"-",""))))),1,0)+IF(OR(D402="X",D402="x",AND(COUNTA(B402,C402,E402,F402)&gt;0,(LEN(SUBSTITUTE(SUBSTITUTE(SUBSTITUTE(B402," ",""),"0",""),"-",""))+LEN(SUBSTITUTE(SUBSTITUTE(SUBSTITUTE(C402," ",""),"0",""),"-","")))=(LEN(SUBSTITUTE(SUBSTITUTE(SUBSTITUTE(E402," ",""),"0",""),"-",""))+LEN(SUBSTITUTE(SUBSTITUTE(SUBSTITUTE(F402," ",""),"0",""),"-",""))))),1,0)+IF(OR(D403="X",D403="x",AND(COUNTA(B403,C403,E403,F403)&gt;0,(LEN(SUBSTITUTE(SUBSTITUTE(SUBSTITUTE(B403," ",""),"0",""),"-",""))+LEN(SUBSTITUTE(SUBSTITUTE(SUBSTITUTE(C403," ",""),"0",""),"-","")))=(LEN(SUBSTITUTE(SUBSTITUTE(SUBSTITUTE(E403," ",""),"0",""),"-",""))+LEN(SUBSTITUTE(SUBSTITUTE(SUBSTITUTE(F403," ",""),"0",""),"-",""))))),1,0)+IF(OR(D404="X",D404="x",AND(COUNTA(B404,C404,E404,F404)&gt;0,(LEN(SUBSTITUTE(SUBSTITUTE(SUBSTITUTE(B404," ",""),"0",""),"-",""))+LEN(SUBSTITUTE(SUBSTITUTE(SUBSTITUTE(C404," ",""),"0",""),"-","")))=(LEN(SUBSTITUTE(SUBSTITUTE(SUBSTITUTE(E404," ",""),"0",""),"-",""))+LEN(SUBSTITUTE(SUBSTITUTE(SUBSTITUTE(F404," ",""),"0",""),"-",""))))),1,0)),0)</f>
      </c>
      <c r="E421" s="14" t="str">
        <f>E391+E399</f>
      </c>
      <c r="F421" s="14" t="str">
        <f>C391+C399</f>
      </c>
      <c r="I421" s="14" t="str">
        <f>data!$E$77&amp;" "&amp;data!$B$77</f>
      </c>
      <c r="J421" s="14" t="str">
        <f>IF(OR(COUNTA(J392:K396,M392:N396)&gt;0,OR(L391="X",L391="x"),UPPER(L392)="X",UPPER(L393)="X",UPPER(L394)="X",UPPER(L395)="X",UPPER(L396)="X"),N391,0)+IF(OR(COUNTA(J400:K404,M400:N404)&gt;0,OR(L399="X",L399="x"),UPPER(L400)="X",UPPER(L401)="X",UPPER(L402)="X",UPPER(L403)="X",UPPER(L404)="X"),N399,0)</f>
      </c>
      <c r="K421" s="14" t="str">
        <f>IF(OR(COUNTA(J392:K396,M392:N396)&gt;0,OR(L391="X",L391="x"),UPPER(L392)="X",UPPER(L393)="X",UPPER(L394)="X",UPPER(L395)="X",UPPER(L396)="X"),J391,0)+IF(OR(COUNTA(J400:K404,M400:N404)&gt;0,OR(L399="X",L399="x"),UPPER(L400)="X",UPPER(L401)="X",UPPER(L402)="X",UPPER(L403)="X",UPPER(L404)="X"),J399,0)</f>
      </c>
      <c r="L421" s="14" t="str">
        <f>IF(OR(COUNTA(J392:K396,M392:N396)&gt;0,OR(L391="X",L391="x"),UPPER(L392)="X",UPPER(L393)="X",UPPER(L394)="X",UPPER(L395)="X",UPPER(L396)="X"),(IF(OR(L392="X",L392="x",AND(COUNTA(J392,K392,M392,N392)&gt;0,(LEN(SUBSTITUTE(SUBSTITUTE(SUBSTITUTE(J392," ",""),"0",""),"-",""))+LEN(SUBSTITUTE(SUBSTITUTE(SUBSTITUTE(K392," ",""),"0",""),"-","")))=(LEN(SUBSTITUTE(SUBSTITUTE(SUBSTITUTE(M392," ",""),"0",""),"-",""))+LEN(SUBSTITUTE(SUBSTITUTE(SUBSTITUTE(N392," ",""),"0",""),"-",""))))),1,0)+IF(OR(L393="X",L393="x",AND(COUNTA(J393,K393,M393,N393)&gt;0,(LEN(SUBSTITUTE(SUBSTITUTE(SUBSTITUTE(J393," ",""),"0",""),"-",""))+LEN(SUBSTITUTE(SUBSTITUTE(SUBSTITUTE(K393," ",""),"0",""),"-","")))=(LEN(SUBSTITUTE(SUBSTITUTE(SUBSTITUTE(M393," ",""),"0",""),"-",""))+LEN(SUBSTITUTE(SUBSTITUTE(SUBSTITUTE(N393," ",""),"0",""),"-",""))))),1,0)+IF(OR(L394="X",L394="x",AND(COUNTA(J394,K394,M394,N394)&gt;0,(LEN(SUBSTITUTE(SUBSTITUTE(SUBSTITUTE(J394," ",""),"0",""),"-",""))+LEN(SUBSTITUTE(SUBSTITUTE(SUBSTITUTE(K394," ",""),"0",""),"-","")))=(LEN(SUBSTITUTE(SUBSTITUTE(SUBSTITUTE(M394," ",""),"0",""),"-",""))+LEN(SUBSTITUTE(SUBSTITUTE(SUBSTITUTE(N394," ",""),"0",""),"-",""))))),1,0)+IF(OR(L395="X",L395="x",AND(COUNTA(J395,K395,M395,N395)&gt;0,(LEN(SUBSTITUTE(SUBSTITUTE(SUBSTITUTE(J395," ",""),"0",""),"-",""))+LEN(SUBSTITUTE(SUBSTITUTE(SUBSTITUTE(K395," ",""),"0",""),"-","")))=(LEN(SUBSTITUTE(SUBSTITUTE(SUBSTITUTE(M395," ",""),"0",""),"-",""))+LEN(SUBSTITUTE(SUBSTITUTE(SUBSTITUTE(N395," ",""),"0",""),"-",""))))),1,0)+IF(OR(L396="X",L396="x",AND(COUNTA(J396,K396,M396,N396)&gt;0,(LEN(SUBSTITUTE(SUBSTITUTE(SUBSTITUTE(J396," ",""),"0",""),"-",""))+LEN(SUBSTITUTE(SUBSTITUTE(SUBSTITUTE(K396," ",""),"0",""),"-","")))=(LEN(SUBSTITUTE(SUBSTITUTE(SUBSTITUTE(M396," ",""),"0",""),"-",""))+LEN(SUBSTITUTE(SUBSTITUTE(SUBSTITUTE(N396," ",""),"0",""),"-",""))))),1,0)),0)+IF(OR(COUNTA(J400:K404,M400:N404)&gt;0,OR(L399="X",L399="x"),UPPER(L400)="X",UPPER(L401)="X",UPPER(L402)="X",UPPER(L403)="X",UPPER(L404)="X"),(IF(OR(L400="X",L400="x",AND(COUNTA(J400,K400,M400,N400)&gt;0,(LEN(SUBSTITUTE(SUBSTITUTE(SUBSTITUTE(J400," ",""),"0",""),"-",""))+LEN(SUBSTITUTE(SUBSTITUTE(SUBSTITUTE(K400," ",""),"0",""),"-","")))=(LEN(SUBSTITUTE(SUBSTITUTE(SUBSTITUTE(M400," ",""),"0",""),"-",""))+LEN(SUBSTITUTE(SUBSTITUTE(SUBSTITUTE(N400," ",""),"0",""),"-",""))))),1,0)+IF(OR(L401="X",L401="x",AND(COUNTA(J401,K401,M401,N401)&gt;0,(LEN(SUBSTITUTE(SUBSTITUTE(SUBSTITUTE(J401," ",""),"0",""),"-",""))+LEN(SUBSTITUTE(SUBSTITUTE(SUBSTITUTE(K401," ",""),"0",""),"-","")))=(LEN(SUBSTITUTE(SUBSTITUTE(SUBSTITUTE(M401," ",""),"0",""),"-",""))+LEN(SUBSTITUTE(SUBSTITUTE(SUBSTITUTE(N401," ",""),"0",""),"-",""))))),1,0)+IF(OR(L402="X",L402="x",AND(COUNTA(J402,K402,M402,N402)&gt;0,(LEN(SUBSTITUTE(SUBSTITUTE(SUBSTITUTE(J402," ",""),"0",""),"-",""))+LEN(SUBSTITUTE(SUBSTITUTE(SUBSTITUTE(K402," ",""),"0",""),"-","")))=(LEN(SUBSTITUTE(SUBSTITUTE(SUBSTITUTE(M402," ",""),"0",""),"-",""))+LEN(SUBSTITUTE(SUBSTITUTE(SUBSTITUTE(N402," ",""),"0",""),"-",""))))),1,0)+IF(OR(L403="X",L403="x",AND(COUNTA(J403,K403,M403,N403)&gt;0,(LEN(SUBSTITUTE(SUBSTITUTE(SUBSTITUTE(J403," ",""),"0",""),"-",""))+LEN(SUBSTITUTE(SUBSTITUTE(SUBSTITUTE(K403," ",""),"0",""),"-","")))=(LEN(SUBSTITUTE(SUBSTITUTE(SUBSTITUTE(M403," ",""),"0",""),"-",""))+LEN(SUBSTITUTE(SUBSTITUTE(SUBSTITUTE(N403," ",""),"0",""),"-",""))))),1,0)+IF(OR(L404="X",L404="x",AND(COUNTA(J404,K404,M404,N404)&gt;0,(LEN(SUBSTITUTE(SUBSTITUTE(SUBSTITUTE(J404," ",""),"0",""),"-",""))+LEN(SUBSTITUTE(SUBSTITUTE(SUBSTITUTE(K404," ",""),"0",""),"-","")))=(LEN(SUBSTITUTE(SUBSTITUTE(SUBSTITUTE(M404," ",""),"0",""),"-",""))+LEN(SUBSTITUTE(SUBSTITUTE(SUBSTITUTE(N404," ",""),"0",""),"-",""))))),1,0)),0)</f>
      </c>
      <c r="M421" s="14" t="str">
        <f>M391+M399</f>
      </c>
      <c r="N421" s="14" t="str">
        <f>K391+K399</f>
      </c>
    </row>
    <row r="422">
      <c r="A422" s="14" t="str">
        <f>data!$E$31&amp;" "&amp;data!$B$31</f>
      </c>
      <c r="B422" s="14" t="str">
        <f>IF(OR(COUNTA(B392:C396,E392:F396)&gt;0,OR(D391="X",D391="x"),UPPER(D392)="X",UPPER(D393)="X",UPPER(D394)="X",UPPER(D395)="X",UPPER(D396)="X"),B391,0)+IF(OR(COUNTA(B408:C412,E408:F412)&gt;0,OR(D407="X",D407="x"),UPPER(D408)="X",UPPER(D409)="X",UPPER(D410)="X",UPPER(D411)="X",UPPER(D412)="X"),F407,0)</f>
      </c>
      <c r="C422" s="14" t="str">
        <f>IF(OR(COUNTA(B392:C396,E392:F396)&gt;0,OR(D391="X",D391="x"),UPPER(D392)="X",UPPER(D393)="X",UPPER(D394)="X",UPPER(D395)="X",UPPER(D396)="X"),F391,0)+IF(OR(COUNTA(B408:C412,E408:F412)&gt;0,OR(D407="X",D407="x"),UPPER(D408)="X",UPPER(D409)="X",UPPER(D410)="X",UPPER(D411)="X",UPPER(D412)="X"),B407,0)</f>
      </c>
      <c r="D422" s="14" t="str">
        <f>IF(OR(COUNTA(B392:C396,E392:F396)&gt;0,OR(D391="X",D391="x"),UPPER(D392)="X",UPPER(D393)="X",UPPER(D394)="X",UPPER(D395)="X",UPPER(D396)="X"),(IF(OR(D392="X",D392="x",AND(COUNTA(B392,C392,E392,F392)&gt;0,(LEN(SUBSTITUTE(SUBSTITUTE(SUBSTITUTE(B392," ",""),"0",""),"-",""))+LEN(SUBSTITUTE(SUBSTITUTE(SUBSTITUTE(C392," ",""),"0",""),"-","")))=(LEN(SUBSTITUTE(SUBSTITUTE(SUBSTITUTE(E392," ",""),"0",""),"-",""))+LEN(SUBSTITUTE(SUBSTITUTE(SUBSTITUTE(F392," ",""),"0",""),"-",""))))),1,0)+IF(OR(D393="X",D393="x",AND(COUNTA(B393,C393,E393,F393)&gt;0,(LEN(SUBSTITUTE(SUBSTITUTE(SUBSTITUTE(B393," ",""),"0",""),"-",""))+LEN(SUBSTITUTE(SUBSTITUTE(SUBSTITUTE(C393," ",""),"0",""),"-","")))=(LEN(SUBSTITUTE(SUBSTITUTE(SUBSTITUTE(E393," ",""),"0",""),"-",""))+LEN(SUBSTITUTE(SUBSTITUTE(SUBSTITUTE(F393," ",""),"0",""),"-",""))))),1,0)+IF(OR(D394="X",D394="x",AND(COUNTA(B394,C394,E394,F394)&gt;0,(LEN(SUBSTITUTE(SUBSTITUTE(SUBSTITUTE(B394," ",""),"0",""),"-",""))+LEN(SUBSTITUTE(SUBSTITUTE(SUBSTITUTE(C394," ",""),"0",""),"-","")))=(LEN(SUBSTITUTE(SUBSTITUTE(SUBSTITUTE(E394," ",""),"0",""),"-",""))+LEN(SUBSTITUTE(SUBSTITUTE(SUBSTITUTE(F394," ",""),"0",""),"-",""))))),1,0)+IF(OR(D395="X",D395="x",AND(COUNTA(B395,C395,E395,F395)&gt;0,(LEN(SUBSTITUTE(SUBSTITUTE(SUBSTITUTE(B395," ",""),"0",""),"-",""))+LEN(SUBSTITUTE(SUBSTITUTE(SUBSTITUTE(C395," ",""),"0",""),"-","")))=(LEN(SUBSTITUTE(SUBSTITUTE(SUBSTITUTE(E395," ",""),"0",""),"-",""))+LEN(SUBSTITUTE(SUBSTITUTE(SUBSTITUTE(F395," ",""),"0",""),"-",""))))),1,0)+IF(OR(D396="X",D396="x",AND(COUNTA(B396,C396,E396,F396)&gt;0,(LEN(SUBSTITUTE(SUBSTITUTE(SUBSTITUTE(B396," ",""),"0",""),"-",""))+LEN(SUBSTITUTE(SUBSTITUTE(SUBSTITUTE(C396," ",""),"0",""),"-","")))=(LEN(SUBSTITUTE(SUBSTITUTE(SUBSTITUTE(E396," ",""),"0",""),"-",""))+LEN(SUBSTITUTE(SUBSTITUTE(SUBSTITUTE(F396," ",""),"0",""),"-",""))))),1,0)),0)+IF(OR(COUNTA(B408:C412,E408:F412)&gt;0,OR(D407="X",D407="x"),UPPER(D408)="X",UPPER(D409)="X",UPPER(D410)="X",UPPER(D411)="X",UPPER(D412)="X"),(IF(OR(D408="X",D408="x",AND(COUNTA(B408,C408,E408,F408)&gt;0,(LEN(SUBSTITUTE(SUBSTITUTE(SUBSTITUTE(B408," ",""),"0",""),"-",""))+LEN(SUBSTITUTE(SUBSTITUTE(SUBSTITUTE(C408," ",""),"0",""),"-","")))=(LEN(SUBSTITUTE(SUBSTITUTE(SUBSTITUTE(E408," ",""),"0",""),"-",""))+LEN(SUBSTITUTE(SUBSTITUTE(SUBSTITUTE(F408," ",""),"0",""),"-",""))))),1,0)+IF(OR(D409="X",D409="x",AND(COUNTA(B409,C409,E409,F409)&gt;0,(LEN(SUBSTITUTE(SUBSTITUTE(SUBSTITUTE(B409," ",""),"0",""),"-",""))+LEN(SUBSTITUTE(SUBSTITUTE(SUBSTITUTE(C409," ",""),"0",""),"-","")))=(LEN(SUBSTITUTE(SUBSTITUTE(SUBSTITUTE(E409," ",""),"0",""),"-",""))+LEN(SUBSTITUTE(SUBSTITUTE(SUBSTITUTE(F409," ",""),"0",""),"-",""))))),1,0)+IF(OR(D410="X",D410="x",AND(COUNTA(B410,C410,E410,F410)&gt;0,(LEN(SUBSTITUTE(SUBSTITUTE(SUBSTITUTE(B410," ",""),"0",""),"-",""))+LEN(SUBSTITUTE(SUBSTITUTE(SUBSTITUTE(C410," ",""),"0",""),"-","")))=(LEN(SUBSTITUTE(SUBSTITUTE(SUBSTITUTE(E410," ",""),"0",""),"-",""))+LEN(SUBSTITUTE(SUBSTITUTE(SUBSTITUTE(F410," ",""),"0",""),"-",""))))),1,0)+IF(OR(D411="X",D411="x",AND(COUNTA(B411,C411,E411,F411)&gt;0,(LEN(SUBSTITUTE(SUBSTITUTE(SUBSTITUTE(B411," ",""),"0",""),"-",""))+LEN(SUBSTITUTE(SUBSTITUTE(SUBSTITUTE(C411," ",""),"0",""),"-","")))=(LEN(SUBSTITUTE(SUBSTITUTE(SUBSTITUTE(E411," ",""),"0",""),"-",""))+LEN(SUBSTITUTE(SUBSTITUTE(SUBSTITUTE(F411," ",""),"0",""),"-",""))))),1,0)+IF(OR(D412="X",D412="x",AND(COUNTA(B412,C412,E412,F412)&gt;0,(LEN(SUBSTITUTE(SUBSTITUTE(SUBSTITUTE(B412," ",""),"0",""),"-",""))+LEN(SUBSTITUTE(SUBSTITUTE(SUBSTITUTE(C412," ",""),"0",""),"-","")))=(LEN(SUBSTITUTE(SUBSTITUTE(SUBSTITUTE(E412," ",""),"0",""),"-",""))+LEN(SUBSTITUTE(SUBSTITUTE(SUBSTITUTE(F412," ",""),"0",""),"-",""))))),1,0)),0)</f>
      </c>
      <c r="E422" s="14" t="str">
        <f>C391+E407</f>
      </c>
      <c r="F422" s="14" t="str">
        <f>E391+C407</f>
      </c>
      <c r="I422" s="14" t="str">
        <f>data!$E$78&amp;" "&amp;data!$B$78</f>
      </c>
      <c r="J422" s="14" t="str">
        <f>IF(OR(COUNTA(J392:K396,M392:N396)&gt;0,OR(L391="X",L391="x"),UPPER(L392)="X",UPPER(L393)="X",UPPER(L394)="X",UPPER(L395)="X",UPPER(L396)="X"),J391,0)+IF(OR(COUNTA(J408:K412,M408:N412)&gt;0,OR(L407="X",L407="x"),UPPER(L408)="X",UPPER(L409)="X",UPPER(L410)="X",UPPER(L411)="X",UPPER(L412)="X"),N407,0)</f>
      </c>
      <c r="K422" s="14" t="str">
        <f>IF(OR(COUNTA(J392:K396,M392:N396)&gt;0,OR(L391="X",L391="x"),UPPER(L392)="X",UPPER(L393)="X",UPPER(L394)="X",UPPER(L395)="X",UPPER(L396)="X"),N391,0)+IF(OR(COUNTA(J408:K412,M408:N412)&gt;0,OR(L407="X",L407="x"),UPPER(L408)="X",UPPER(L409)="X",UPPER(L410)="X",UPPER(L411)="X",UPPER(L412)="X"),J407,0)</f>
      </c>
      <c r="L422" s="14" t="str">
        <f>IF(OR(COUNTA(J392:K396,M392:N396)&gt;0,OR(L391="X",L391="x"),UPPER(L392)="X",UPPER(L393)="X",UPPER(L394)="X",UPPER(L395)="X",UPPER(L396)="X"),(IF(OR(L392="X",L392="x",AND(COUNTA(J392,K392,M392,N392)&gt;0,(LEN(SUBSTITUTE(SUBSTITUTE(SUBSTITUTE(J392," ",""),"0",""),"-",""))+LEN(SUBSTITUTE(SUBSTITUTE(SUBSTITUTE(K392," ",""),"0",""),"-","")))=(LEN(SUBSTITUTE(SUBSTITUTE(SUBSTITUTE(M392," ",""),"0",""),"-",""))+LEN(SUBSTITUTE(SUBSTITUTE(SUBSTITUTE(N392," ",""),"0",""),"-",""))))),1,0)+IF(OR(L393="X",L393="x",AND(COUNTA(J393,K393,M393,N393)&gt;0,(LEN(SUBSTITUTE(SUBSTITUTE(SUBSTITUTE(J393," ",""),"0",""),"-",""))+LEN(SUBSTITUTE(SUBSTITUTE(SUBSTITUTE(K393," ",""),"0",""),"-","")))=(LEN(SUBSTITUTE(SUBSTITUTE(SUBSTITUTE(M393," ",""),"0",""),"-",""))+LEN(SUBSTITUTE(SUBSTITUTE(SUBSTITUTE(N393," ",""),"0",""),"-",""))))),1,0)+IF(OR(L394="X",L394="x",AND(COUNTA(J394,K394,M394,N394)&gt;0,(LEN(SUBSTITUTE(SUBSTITUTE(SUBSTITUTE(J394," ",""),"0",""),"-",""))+LEN(SUBSTITUTE(SUBSTITUTE(SUBSTITUTE(K394," ",""),"0",""),"-","")))=(LEN(SUBSTITUTE(SUBSTITUTE(SUBSTITUTE(M394," ",""),"0",""),"-",""))+LEN(SUBSTITUTE(SUBSTITUTE(SUBSTITUTE(N394," ",""),"0",""),"-",""))))),1,0)+IF(OR(L395="X",L395="x",AND(COUNTA(J395,K395,M395,N395)&gt;0,(LEN(SUBSTITUTE(SUBSTITUTE(SUBSTITUTE(J395," ",""),"0",""),"-",""))+LEN(SUBSTITUTE(SUBSTITUTE(SUBSTITUTE(K395," ",""),"0",""),"-","")))=(LEN(SUBSTITUTE(SUBSTITUTE(SUBSTITUTE(M395," ",""),"0",""),"-",""))+LEN(SUBSTITUTE(SUBSTITUTE(SUBSTITUTE(N395," ",""),"0",""),"-",""))))),1,0)+IF(OR(L396="X",L396="x",AND(COUNTA(J396,K396,M396,N396)&gt;0,(LEN(SUBSTITUTE(SUBSTITUTE(SUBSTITUTE(J396," ",""),"0",""),"-",""))+LEN(SUBSTITUTE(SUBSTITUTE(SUBSTITUTE(K396," ",""),"0",""),"-","")))=(LEN(SUBSTITUTE(SUBSTITUTE(SUBSTITUTE(M396," ",""),"0",""),"-",""))+LEN(SUBSTITUTE(SUBSTITUTE(SUBSTITUTE(N396," ",""),"0",""),"-",""))))),1,0)),0)+IF(OR(COUNTA(J408:K412,M408:N412)&gt;0,OR(L407="X",L407="x"),UPPER(L408)="X",UPPER(L409)="X",UPPER(L410)="X",UPPER(L411)="X",UPPER(L412)="X"),(IF(OR(L408="X",L408="x",AND(COUNTA(J408,K408,M408,N408)&gt;0,(LEN(SUBSTITUTE(SUBSTITUTE(SUBSTITUTE(J408," ",""),"0",""),"-",""))+LEN(SUBSTITUTE(SUBSTITUTE(SUBSTITUTE(K408," ",""),"0",""),"-","")))=(LEN(SUBSTITUTE(SUBSTITUTE(SUBSTITUTE(M408," ",""),"0",""),"-",""))+LEN(SUBSTITUTE(SUBSTITUTE(SUBSTITUTE(N408," ",""),"0",""),"-",""))))),1,0)+IF(OR(L409="X",L409="x",AND(COUNTA(J409,K409,M409,N409)&gt;0,(LEN(SUBSTITUTE(SUBSTITUTE(SUBSTITUTE(J409," ",""),"0",""),"-",""))+LEN(SUBSTITUTE(SUBSTITUTE(SUBSTITUTE(K409," ",""),"0",""),"-","")))=(LEN(SUBSTITUTE(SUBSTITUTE(SUBSTITUTE(M409," ",""),"0",""),"-",""))+LEN(SUBSTITUTE(SUBSTITUTE(SUBSTITUTE(N409," ",""),"0",""),"-",""))))),1,0)+IF(OR(L410="X",L410="x",AND(COUNTA(J410,K410,M410,N410)&gt;0,(LEN(SUBSTITUTE(SUBSTITUTE(SUBSTITUTE(J410," ",""),"0",""),"-",""))+LEN(SUBSTITUTE(SUBSTITUTE(SUBSTITUTE(K410," ",""),"0",""),"-","")))=(LEN(SUBSTITUTE(SUBSTITUTE(SUBSTITUTE(M410," ",""),"0",""),"-",""))+LEN(SUBSTITUTE(SUBSTITUTE(SUBSTITUTE(N410," ",""),"0",""),"-",""))))),1,0)+IF(OR(L411="X",L411="x",AND(COUNTA(J411,K411,M411,N411)&gt;0,(LEN(SUBSTITUTE(SUBSTITUTE(SUBSTITUTE(J411," ",""),"0",""),"-",""))+LEN(SUBSTITUTE(SUBSTITUTE(SUBSTITUTE(K411," ",""),"0",""),"-","")))=(LEN(SUBSTITUTE(SUBSTITUTE(SUBSTITUTE(M411," ",""),"0",""),"-",""))+LEN(SUBSTITUTE(SUBSTITUTE(SUBSTITUTE(N411," ",""),"0",""),"-",""))))),1,0)+IF(OR(L412="X",L412="x",AND(COUNTA(J412,K412,M412,N412)&gt;0,(LEN(SUBSTITUTE(SUBSTITUTE(SUBSTITUTE(J412," ",""),"0",""),"-",""))+LEN(SUBSTITUTE(SUBSTITUTE(SUBSTITUTE(K412," ",""),"0",""),"-","")))=(LEN(SUBSTITUTE(SUBSTITUTE(SUBSTITUTE(M412," ",""),"0",""),"-",""))+LEN(SUBSTITUTE(SUBSTITUTE(SUBSTITUTE(N412," ",""),"0",""),"-",""))))),1,0)),0)</f>
      </c>
      <c r="M422" s="14" t="str">
        <f>K391+M407</f>
      </c>
      <c r="N422" s="14" t="str">
        <f>M391+K407</f>
      </c>
    </row>
    <row r="423">
      <c r="A423" s="14" t="str">
        <f>data!$E$32&amp;" "&amp;data!$B$32</f>
      </c>
      <c r="B423" s="14" t="str">
        <f>IF(OR(COUNTA(B400:C404,E400:F404)&gt;0,OR(D399="X",D399="x"),UPPER(D400)="X",UPPER(D401)="X",UPPER(D402)="X",UPPER(D403)="X",UPPER(D404)="X"),B399,0)+IF(OR(COUNTA(B408:C412,E408:F412)&gt;0,OR(D407="X",D407="x"),UPPER(D408)="X",UPPER(D409)="X",UPPER(D410)="X",UPPER(D411)="X",UPPER(D412)="X"),B407,0)</f>
      </c>
      <c r="C423" s="14" t="str">
        <f>IF(OR(COUNTA(B400:C404,E400:F404)&gt;0,OR(D399="X",D399="x"),UPPER(D400)="X",UPPER(D401)="X",UPPER(D402)="X",UPPER(D403)="X",UPPER(D404)="X"),F399,0)+IF(OR(COUNTA(B408:C412,E408:F412)&gt;0,OR(D407="X",D407="x"),UPPER(D408)="X",UPPER(D409)="X",UPPER(D410)="X",UPPER(D411)="X",UPPER(D412)="X"),F407,0)</f>
      </c>
      <c r="D423" s="14" t="str">
        <f>IF(OR(COUNTA(B400:C404,E400:F404)&gt;0,OR(D399="X",D399="x"),UPPER(D400)="X",UPPER(D401)="X",UPPER(D402)="X",UPPER(D403)="X",UPPER(D404)="X"),(IF(OR(D400="X",D400="x",AND(COUNTA(B400,C400,E400,F400)&gt;0,(LEN(SUBSTITUTE(SUBSTITUTE(SUBSTITUTE(B400," ",""),"0",""),"-",""))+LEN(SUBSTITUTE(SUBSTITUTE(SUBSTITUTE(C400," ",""),"0",""),"-","")))=(LEN(SUBSTITUTE(SUBSTITUTE(SUBSTITUTE(E400," ",""),"0",""),"-",""))+LEN(SUBSTITUTE(SUBSTITUTE(SUBSTITUTE(F400," ",""),"0",""),"-",""))))),1,0)+IF(OR(D401="X",D401="x",AND(COUNTA(B401,C401,E401,F401)&gt;0,(LEN(SUBSTITUTE(SUBSTITUTE(SUBSTITUTE(B401," ",""),"0",""),"-",""))+LEN(SUBSTITUTE(SUBSTITUTE(SUBSTITUTE(C401," ",""),"0",""),"-","")))=(LEN(SUBSTITUTE(SUBSTITUTE(SUBSTITUTE(E401," ",""),"0",""),"-",""))+LEN(SUBSTITUTE(SUBSTITUTE(SUBSTITUTE(F401," ",""),"0",""),"-",""))))),1,0)+IF(OR(D402="X",D402="x",AND(COUNTA(B402,C402,E402,F402)&gt;0,(LEN(SUBSTITUTE(SUBSTITUTE(SUBSTITUTE(B402," ",""),"0",""),"-",""))+LEN(SUBSTITUTE(SUBSTITUTE(SUBSTITUTE(C402," ",""),"0",""),"-","")))=(LEN(SUBSTITUTE(SUBSTITUTE(SUBSTITUTE(E402," ",""),"0",""),"-",""))+LEN(SUBSTITUTE(SUBSTITUTE(SUBSTITUTE(F402," ",""),"0",""),"-",""))))),1,0)+IF(OR(D403="X",D403="x",AND(COUNTA(B403,C403,E403,F403)&gt;0,(LEN(SUBSTITUTE(SUBSTITUTE(SUBSTITUTE(B403," ",""),"0",""),"-",""))+LEN(SUBSTITUTE(SUBSTITUTE(SUBSTITUTE(C403," ",""),"0",""),"-","")))=(LEN(SUBSTITUTE(SUBSTITUTE(SUBSTITUTE(E403," ",""),"0",""),"-",""))+LEN(SUBSTITUTE(SUBSTITUTE(SUBSTITUTE(F403," ",""),"0",""),"-",""))))),1,0)+IF(OR(D404="X",D404="x",AND(COUNTA(B404,C404,E404,F404)&gt;0,(LEN(SUBSTITUTE(SUBSTITUTE(SUBSTITUTE(B404," ",""),"0",""),"-",""))+LEN(SUBSTITUTE(SUBSTITUTE(SUBSTITUTE(C404," ",""),"0",""),"-","")))=(LEN(SUBSTITUTE(SUBSTITUTE(SUBSTITUTE(E404," ",""),"0",""),"-",""))+LEN(SUBSTITUTE(SUBSTITUTE(SUBSTITUTE(F404," ",""),"0",""),"-",""))))),1,0)),0)+IF(OR(COUNTA(B408:C412,E408:F412)&gt;0,OR(D407="X",D407="x"),UPPER(D408)="X",UPPER(D409)="X",UPPER(D410)="X",UPPER(D411)="X",UPPER(D412)="X"),(IF(OR(D408="X",D408="x",AND(COUNTA(B408,C408,E408,F408)&gt;0,(LEN(SUBSTITUTE(SUBSTITUTE(SUBSTITUTE(B408," ",""),"0",""),"-",""))+LEN(SUBSTITUTE(SUBSTITUTE(SUBSTITUTE(C408," ",""),"0",""),"-","")))=(LEN(SUBSTITUTE(SUBSTITUTE(SUBSTITUTE(E408," ",""),"0",""),"-",""))+LEN(SUBSTITUTE(SUBSTITUTE(SUBSTITUTE(F408," ",""),"0",""),"-",""))))),1,0)+IF(OR(D409="X",D409="x",AND(COUNTA(B409,C409,E409,F409)&gt;0,(LEN(SUBSTITUTE(SUBSTITUTE(SUBSTITUTE(B409," ",""),"0",""),"-",""))+LEN(SUBSTITUTE(SUBSTITUTE(SUBSTITUTE(C409," ",""),"0",""),"-","")))=(LEN(SUBSTITUTE(SUBSTITUTE(SUBSTITUTE(E409," ",""),"0",""),"-",""))+LEN(SUBSTITUTE(SUBSTITUTE(SUBSTITUTE(F409," ",""),"0",""),"-",""))))),1,0)+IF(OR(D410="X",D410="x",AND(COUNTA(B410,C410,E410,F410)&gt;0,(LEN(SUBSTITUTE(SUBSTITUTE(SUBSTITUTE(B410," ",""),"0",""),"-",""))+LEN(SUBSTITUTE(SUBSTITUTE(SUBSTITUTE(C410," ",""),"0",""),"-","")))=(LEN(SUBSTITUTE(SUBSTITUTE(SUBSTITUTE(E410," ",""),"0",""),"-",""))+LEN(SUBSTITUTE(SUBSTITUTE(SUBSTITUTE(F410," ",""),"0",""),"-",""))))),1,0)+IF(OR(D411="X",D411="x",AND(COUNTA(B411,C411,E411,F411)&gt;0,(LEN(SUBSTITUTE(SUBSTITUTE(SUBSTITUTE(B411," ",""),"0",""),"-",""))+LEN(SUBSTITUTE(SUBSTITUTE(SUBSTITUTE(C411," ",""),"0",""),"-","")))=(LEN(SUBSTITUTE(SUBSTITUTE(SUBSTITUTE(E411," ",""),"0",""),"-",""))+LEN(SUBSTITUTE(SUBSTITUTE(SUBSTITUTE(F411," ",""),"0",""),"-",""))))),1,0)+IF(OR(D412="X",D412="x",AND(COUNTA(B412,C412,E412,F412)&gt;0,(LEN(SUBSTITUTE(SUBSTITUTE(SUBSTITUTE(B412," ",""),"0",""),"-",""))+LEN(SUBSTITUTE(SUBSTITUTE(SUBSTITUTE(C412," ",""),"0",""),"-","")))=(LEN(SUBSTITUTE(SUBSTITUTE(SUBSTITUTE(E412," ",""),"0",""),"-",""))+LEN(SUBSTITUTE(SUBSTITUTE(SUBSTITUTE(F412," ",""),"0",""),"-",""))))),1,0)),0)</f>
      </c>
      <c r="E423" s="14" t="str">
        <f>C399+C407</f>
      </c>
      <c r="F423" s="14" t="str">
        <f>E399+E407</f>
      </c>
      <c r="I423" s="14" t="str">
        <f>data!$E$79&amp;" "&amp;data!$B$79</f>
      </c>
      <c r="J423" s="14" t="str">
        <f>IF(OR(COUNTA(J400:K404,M400:N404)&gt;0,OR(L399="X",L399="x"),UPPER(L400)="X",UPPER(L401)="X",UPPER(L402)="X",UPPER(L403)="X",UPPER(L404)="X"),J399,0)+IF(OR(COUNTA(J408:K412,M408:N412)&gt;0,OR(L407="X",L407="x"),UPPER(L408)="X",UPPER(L409)="X",UPPER(L410)="X",UPPER(L411)="X",UPPER(L412)="X"),J407,0)</f>
      </c>
      <c r="K423" s="14" t="str">
        <f>IF(OR(COUNTA(J400:K404,M400:N404)&gt;0,OR(L399="X",L399="x"),UPPER(L400)="X",UPPER(L401)="X",UPPER(L402)="X",UPPER(L403)="X",UPPER(L404)="X"),N399,0)+IF(OR(COUNTA(J408:K412,M408:N412)&gt;0,OR(L407="X",L407="x"),UPPER(L408)="X",UPPER(L409)="X",UPPER(L410)="X",UPPER(L411)="X",UPPER(L412)="X"),N407,0)</f>
      </c>
      <c r="L423" s="14" t="str">
        <f>IF(OR(COUNTA(J400:K404,M400:N404)&gt;0,OR(L399="X",L399="x"),UPPER(L400)="X",UPPER(L401)="X",UPPER(L402)="X",UPPER(L403)="X",UPPER(L404)="X"),(IF(OR(L400="X",L400="x",AND(COUNTA(J400,K400,M400,N400)&gt;0,(LEN(SUBSTITUTE(SUBSTITUTE(SUBSTITUTE(J400," ",""),"0",""),"-",""))+LEN(SUBSTITUTE(SUBSTITUTE(SUBSTITUTE(K400," ",""),"0",""),"-","")))=(LEN(SUBSTITUTE(SUBSTITUTE(SUBSTITUTE(M400," ",""),"0",""),"-",""))+LEN(SUBSTITUTE(SUBSTITUTE(SUBSTITUTE(N400," ",""),"0",""),"-",""))))),1,0)+IF(OR(L401="X",L401="x",AND(COUNTA(J401,K401,M401,N401)&gt;0,(LEN(SUBSTITUTE(SUBSTITUTE(SUBSTITUTE(J401," ",""),"0",""),"-",""))+LEN(SUBSTITUTE(SUBSTITUTE(SUBSTITUTE(K401," ",""),"0",""),"-","")))=(LEN(SUBSTITUTE(SUBSTITUTE(SUBSTITUTE(M401," ",""),"0",""),"-",""))+LEN(SUBSTITUTE(SUBSTITUTE(SUBSTITUTE(N401," ",""),"0",""),"-",""))))),1,0)+IF(OR(L402="X",L402="x",AND(COUNTA(J402,K402,M402,N402)&gt;0,(LEN(SUBSTITUTE(SUBSTITUTE(SUBSTITUTE(J402," ",""),"0",""),"-",""))+LEN(SUBSTITUTE(SUBSTITUTE(SUBSTITUTE(K402," ",""),"0",""),"-","")))=(LEN(SUBSTITUTE(SUBSTITUTE(SUBSTITUTE(M402," ",""),"0",""),"-",""))+LEN(SUBSTITUTE(SUBSTITUTE(SUBSTITUTE(N402," ",""),"0",""),"-",""))))),1,0)+IF(OR(L403="X",L403="x",AND(COUNTA(J403,K403,M403,N403)&gt;0,(LEN(SUBSTITUTE(SUBSTITUTE(SUBSTITUTE(J403," ",""),"0",""),"-",""))+LEN(SUBSTITUTE(SUBSTITUTE(SUBSTITUTE(K403," ",""),"0",""),"-","")))=(LEN(SUBSTITUTE(SUBSTITUTE(SUBSTITUTE(M403," ",""),"0",""),"-",""))+LEN(SUBSTITUTE(SUBSTITUTE(SUBSTITUTE(N403," ",""),"0",""),"-",""))))),1,0)+IF(OR(L404="X",L404="x",AND(COUNTA(J404,K404,M404,N404)&gt;0,(LEN(SUBSTITUTE(SUBSTITUTE(SUBSTITUTE(J404," ",""),"0",""),"-",""))+LEN(SUBSTITUTE(SUBSTITUTE(SUBSTITUTE(K404," ",""),"0",""),"-","")))=(LEN(SUBSTITUTE(SUBSTITUTE(SUBSTITUTE(M404," ",""),"0",""),"-",""))+LEN(SUBSTITUTE(SUBSTITUTE(SUBSTITUTE(N404," ",""),"0",""),"-",""))))),1,0)),0)+IF(OR(COUNTA(J408:K412,M408:N412)&gt;0,OR(L407="X",L407="x"),UPPER(L408)="X",UPPER(L409)="X",UPPER(L410)="X",UPPER(L411)="X",UPPER(L412)="X"),(IF(OR(L408="X",L408="x",AND(COUNTA(J408,K408,M408,N408)&gt;0,(LEN(SUBSTITUTE(SUBSTITUTE(SUBSTITUTE(J408," ",""),"0",""),"-",""))+LEN(SUBSTITUTE(SUBSTITUTE(SUBSTITUTE(K408," ",""),"0",""),"-","")))=(LEN(SUBSTITUTE(SUBSTITUTE(SUBSTITUTE(M408," ",""),"0",""),"-",""))+LEN(SUBSTITUTE(SUBSTITUTE(SUBSTITUTE(N408," ",""),"0",""),"-",""))))),1,0)+IF(OR(L409="X",L409="x",AND(COUNTA(J409,K409,M409,N409)&gt;0,(LEN(SUBSTITUTE(SUBSTITUTE(SUBSTITUTE(J409," ",""),"0",""),"-",""))+LEN(SUBSTITUTE(SUBSTITUTE(SUBSTITUTE(K409," ",""),"0",""),"-","")))=(LEN(SUBSTITUTE(SUBSTITUTE(SUBSTITUTE(M409," ",""),"0",""),"-",""))+LEN(SUBSTITUTE(SUBSTITUTE(SUBSTITUTE(N409," ",""),"0",""),"-",""))))),1,0)+IF(OR(L410="X",L410="x",AND(COUNTA(J410,K410,M410,N410)&gt;0,(LEN(SUBSTITUTE(SUBSTITUTE(SUBSTITUTE(J410," ",""),"0",""),"-",""))+LEN(SUBSTITUTE(SUBSTITUTE(SUBSTITUTE(K410," ",""),"0",""),"-","")))=(LEN(SUBSTITUTE(SUBSTITUTE(SUBSTITUTE(M410," ",""),"0",""),"-",""))+LEN(SUBSTITUTE(SUBSTITUTE(SUBSTITUTE(N410," ",""),"0",""),"-",""))))),1,0)+IF(OR(L411="X",L411="x",AND(COUNTA(J411,K411,M411,N411)&gt;0,(LEN(SUBSTITUTE(SUBSTITUTE(SUBSTITUTE(J411," ",""),"0",""),"-",""))+LEN(SUBSTITUTE(SUBSTITUTE(SUBSTITUTE(K411," ",""),"0",""),"-","")))=(LEN(SUBSTITUTE(SUBSTITUTE(SUBSTITUTE(M411," ",""),"0",""),"-",""))+LEN(SUBSTITUTE(SUBSTITUTE(SUBSTITUTE(N411," ",""),"0",""),"-",""))))),1,0)+IF(OR(L412="X",L412="x",AND(COUNTA(J412,K412,M412,N412)&gt;0,(LEN(SUBSTITUTE(SUBSTITUTE(SUBSTITUTE(J412," ",""),"0",""),"-",""))+LEN(SUBSTITUTE(SUBSTITUTE(SUBSTITUTE(K412," ",""),"0",""),"-","")))=(LEN(SUBSTITUTE(SUBSTITUTE(SUBSTITUTE(M412," ",""),"0",""),"-",""))+LEN(SUBSTITUTE(SUBSTITUTE(SUBSTITUTE(N412," ",""),"0",""),"-",""))))),1,0)),0)</f>
      </c>
      <c r="M423" s="14" t="str">
        <f>K399+K407</f>
      </c>
      <c r="N423" s="14" t="str">
        <f>M399+M407</f>
      </c>
    </row>
    <row r="426">
      <c r="F426" s="13"/>
      <c r="G426" s="13" t="s">
        <v>344</v>
      </c>
      <c r="N426" s="13"/>
      <c r="O426" s="13" t="s">
        <v>344</v>
      </c>
    </row>
    <row r="427">
      <c r="F427" t="s">
        <v>345</v>
      </c>
      <c r="G427" s="19" t="str">
        <f>IFERROR(INDEX($A$416:$A$423, MATCH(1, $G$416:$G$423, 0)), "-")</f>
      </c>
      <c r="N427" t="s">
        <v>345</v>
      </c>
      <c r="O427" s="19" t="str">
        <f>IFERROR(INDEX($I$416:$I$423, MATCH(1, $O$416:$O$423, 0)), "-")</f>
      </c>
    </row>
    <row r="428">
      <c r="F428" t="s">
        <v>346</v>
      </c>
      <c r="G428" s="19" t="str">
        <f>IFERROR(INDEX($A$416:$A$423, MATCH(2, $G$416:$G$423, 0)), "-")</f>
      </c>
      <c r="N428" t="s">
        <v>346</v>
      </c>
      <c r="O428" s="19" t="str">
        <f>IFERROR(INDEX($I$416:$I$423, MATCH(2, $O$416:$O$423, 0)), "-")</f>
      </c>
    </row>
    <row r="429">
      <c r="F429" t="s">
        <v>347</v>
      </c>
      <c r="G429" s="19" t="str">
        <f>IFERROR(INDEX($A$416:$A$423, MATCH(3, $G$416:$G$423, 0)), "-")</f>
      </c>
      <c r="N429" t="s">
        <v>347</v>
      </c>
      <c r="O429" s="19" t="str">
        <f>IFERROR(INDEX($I$416:$I$423, MATCH(3, $O$416:$O$423, 0)), "-")</f>
      </c>
    </row>
    <row r="432">
      <c r="A432" s="13" t="str">
        <f>'data'!$A$35</f>
      </c>
      <c r="B432" s="13"/>
      <c r="C432" s="13"/>
      <c r="D432" s="13"/>
      <c r="E432" s="13"/>
      <c r="F432" s="13"/>
      <c r="G432" s="13"/>
      <c r="I432" s="13" t="str">
        <f>'data'!$A$82</f>
      </c>
      <c r="J432" s="13"/>
      <c r="K432" s="13"/>
      <c r="L432" s="13"/>
      <c r="M432" s="13"/>
      <c r="N432" s="13"/>
      <c r="O432" s="13"/>
    </row>
    <row r="433">
      <c r="A433" s="17" t="s">
        <v>331</v>
      </c>
      <c r="B433" s="14"/>
      <c r="C433" s="14"/>
      <c r="D433" s="14" t="s">
        <v>332</v>
      </c>
      <c r="E433" s="14"/>
      <c r="F433" s="14"/>
      <c r="G433" s="16" t="s">
        <v>333</v>
      </c>
      <c r="I433" s="17" t="s">
        <v>331</v>
      </c>
      <c r="J433" s="14"/>
      <c r="K433" s="14"/>
      <c r="L433" s="14" t="s">
        <v>332</v>
      </c>
      <c r="M433" s="14"/>
      <c r="N433" s="14"/>
      <c r="O433" s="16" t="s">
        <v>333</v>
      </c>
    </row>
    <row r="434">
      <c r="A434" s="14" t="str">
        <f>data!$E$34&amp;" "&amp;data!$B$34</f>
      </c>
      <c r="B434" s="14" t="str">
        <f>IF(UPPER(D435)="X",0,IF((LEN(SUBSTITUTE(SUBSTITUTE(SUBSTITUTE(B435," ",""),"0",""),"-",""))+LEN(SUBSTITUTE(SUBSTITUTE(SUBSTITUTE(C435," ",""),"0",""),"-","")))&gt;(LEN(SUBSTITUTE(SUBSTITUTE(SUBSTITUTE(E435," ",""),"0",""),"-",""))+LEN(SUBSTITUTE(SUBSTITUTE(SUBSTITUTE(F435," ",""),"0",""),"-",""))),1,0))+IF(UPPER(D436)="X",0,IF((LEN(SUBSTITUTE(SUBSTITUTE(SUBSTITUTE(B436," ",""),"0",""),"-",""))+LEN(SUBSTITUTE(SUBSTITUTE(SUBSTITUTE(C436," ",""),"0",""),"-","")))&gt;(LEN(SUBSTITUTE(SUBSTITUTE(SUBSTITUTE(E436," ",""),"0",""),"-",""))+LEN(SUBSTITUTE(SUBSTITUTE(SUBSTITUTE(F436," ",""),"0",""),"-",""))),1,0))+IF(UPPER(D437)="X",0,IF((LEN(SUBSTITUTE(SUBSTITUTE(SUBSTITUTE(B437," ",""),"0",""),"-",""))+LEN(SUBSTITUTE(SUBSTITUTE(SUBSTITUTE(C437," ",""),"0",""),"-","")))&gt;(LEN(SUBSTITUTE(SUBSTITUTE(SUBSTITUTE(E437," ",""),"0",""),"-",""))+LEN(SUBSTITUTE(SUBSTITUTE(SUBSTITUTE(F437," ",""),"0",""),"-",""))),1,0))+IF(UPPER(D438)="X",0,IF((LEN(SUBSTITUTE(SUBSTITUTE(SUBSTITUTE(B438," ",""),"0",""),"-",""))+LEN(SUBSTITUTE(SUBSTITUTE(SUBSTITUTE(C438," ",""),"0",""),"-","")))&gt;(LEN(SUBSTITUTE(SUBSTITUTE(SUBSTITUTE(E438," ",""),"0",""),"-",""))+LEN(SUBSTITUTE(SUBSTITUTE(SUBSTITUTE(F438," ",""),"0",""),"-",""))),1,0))+IF(UPPER(D439)="X",0,IF((LEN(SUBSTITUTE(SUBSTITUTE(SUBSTITUTE(B439," ",""),"0",""),"-",""))+LEN(SUBSTITUTE(SUBSTITUTE(SUBSTITUTE(C439," ",""),"0",""),"-","")))&gt;(LEN(SUBSTITUTE(SUBSTITUTE(SUBSTITUTE(E439," ",""),"0",""),"-",""))+LEN(SUBSTITUTE(SUBSTITUTE(SUBSTITUTE(F439," ",""),"0",""),"-",""))),1,0))</f>
      </c>
      <c r="C434" s="14" t="str">
        <f>LEN(SUBSTITUTE(SUBSTITUTE(SUBSTITUTE(B435," ",""),"0",""),"-",""))+LEN(SUBSTITUTE(SUBSTITUTE(SUBSTITUTE(C435," ",""),"0",""),"-",""))+LEN(SUBSTITUTE(SUBSTITUTE(SUBSTITUTE(B436," ",""),"0",""),"-",""))+LEN(SUBSTITUTE(SUBSTITUTE(SUBSTITUTE(C436," ",""),"0",""),"-",""))+LEN(SUBSTITUTE(SUBSTITUTE(SUBSTITUTE(B437," ",""),"0",""),"-",""))+LEN(SUBSTITUTE(SUBSTITUTE(SUBSTITUTE(C437," ",""),"0",""),"-",""))+LEN(SUBSTITUTE(SUBSTITUTE(SUBSTITUTE(B438," ",""),"0",""),"-",""))+LEN(SUBSTITUTE(SUBSTITUTE(SUBSTITUTE(C438," ",""),"0",""),"-",""))+LEN(SUBSTITUTE(SUBSTITUTE(SUBSTITUTE(B439," ",""),"0",""),"-",""))+LEN(SUBSTITUTE(SUBSTITUTE(SUBSTITUTE(C439," ",""),"0",""),"-",""))</f>
      </c>
      <c r="D434" s="18"/>
      <c r="E434" s="14" t="str">
        <f>LEN(SUBSTITUTE(SUBSTITUTE(SUBSTITUTE(E435," ",""),"0",""),"-",""))+LEN(SUBSTITUTE(SUBSTITUTE(SUBSTITUTE(F435," ",""),"0",""),"-",""))+LEN(SUBSTITUTE(SUBSTITUTE(SUBSTITUTE(E436," ",""),"0",""),"-",""))+LEN(SUBSTITUTE(SUBSTITUTE(SUBSTITUTE(F436," ",""),"0",""),"-",""))+LEN(SUBSTITUTE(SUBSTITUTE(SUBSTITUTE(E437," ",""),"0",""),"-",""))+LEN(SUBSTITUTE(SUBSTITUTE(SUBSTITUTE(F437," ",""),"0",""),"-",""))+LEN(SUBSTITUTE(SUBSTITUTE(SUBSTITUTE(E438," ",""),"0",""),"-",""))+LEN(SUBSTITUTE(SUBSTITUTE(SUBSTITUTE(F438," ",""),"0",""),"-",""))+LEN(SUBSTITUTE(SUBSTITUTE(SUBSTITUTE(E439," ",""),"0",""),"-",""))+LEN(SUBSTITUTE(SUBSTITUTE(SUBSTITUTE(F439," ",""),"0",""),"-",""))</f>
      </c>
      <c r="F434" s="14" t="str">
        <f>IF(UPPER(D435)="X",0,IF((LEN(SUBSTITUTE(SUBSTITUTE(SUBSTITUTE(E435," ",""),"0",""),"-",""))+LEN(SUBSTITUTE(SUBSTITUTE(SUBSTITUTE(F435," ",""),"0",""),"-","")))&gt;(LEN(SUBSTITUTE(SUBSTITUTE(SUBSTITUTE(B435," ",""),"0",""),"-",""))+LEN(SUBSTITUTE(SUBSTITUTE(SUBSTITUTE(C435," ",""),"0",""),"-",""))),1,0))+IF(UPPER(D436)="X",0,IF((LEN(SUBSTITUTE(SUBSTITUTE(SUBSTITUTE(E436," ",""),"0",""),"-",""))+LEN(SUBSTITUTE(SUBSTITUTE(SUBSTITUTE(F436," ",""),"0",""),"-","")))&gt;(LEN(SUBSTITUTE(SUBSTITUTE(SUBSTITUTE(B436," ",""),"0",""),"-",""))+LEN(SUBSTITUTE(SUBSTITUTE(SUBSTITUTE(C436," ",""),"0",""),"-",""))),1,0))+IF(UPPER(D437)="X",0,IF((LEN(SUBSTITUTE(SUBSTITUTE(SUBSTITUTE(E437," ",""),"0",""),"-",""))+LEN(SUBSTITUTE(SUBSTITUTE(SUBSTITUTE(F437," ",""),"0",""),"-","")))&gt;(LEN(SUBSTITUTE(SUBSTITUTE(SUBSTITUTE(B437," ",""),"0",""),"-",""))+LEN(SUBSTITUTE(SUBSTITUTE(SUBSTITUTE(C437," ",""),"0",""),"-",""))),1,0))+IF(UPPER(D438)="X",0,IF((LEN(SUBSTITUTE(SUBSTITUTE(SUBSTITUTE(E438," ",""),"0",""),"-",""))+LEN(SUBSTITUTE(SUBSTITUTE(SUBSTITUTE(F438," ",""),"0",""),"-","")))&gt;(LEN(SUBSTITUTE(SUBSTITUTE(SUBSTITUTE(B438," ",""),"0",""),"-",""))+LEN(SUBSTITUTE(SUBSTITUTE(SUBSTITUTE(C438," ",""),"0",""),"-",""))),1,0))+IF(UPPER(D439)="X",0,IF((LEN(SUBSTITUTE(SUBSTITUTE(SUBSTITUTE(E439," ",""),"0",""),"-",""))+LEN(SUBSTITUTE(SUBSTITUTE(SUBSTITUTE(F439," ",""),"0",""),"-","")))&gt;(LEN(SUBSTITUTE(SUBSTITUTE(SUBSTITUTE(B439," ",""),"0",""),"-",""))+LEN(SUBSTITUTE(SUBSTITUTE(SUBSTITUTE(C439," ",""),"0",""),"-",""))),1,0))</f>
      </c>
      <c r="G434" s="14" t="str">
        <f>data!$E$33&amp;" "&amp;data!$B$33</f>
      </c>
      <c r="I434" s="14" t="str">
        <f>data!$E$81&amp;" "&amp;data!$B$81</f>
      </c>
      <c r="J434" s="14" t="str">
        <f>IF(UPPER(L435)="X",0,IF((LEN(SUBSTITUTE(SUBSTITUTE(SUBSTITUTE(J435," ",""),"0",""),"-",""))+LEN(SUBSTITUTE(SUBSTITUTE(SUBSTITUTE(K435," ",""),"0",""),"-","")))&gt;(LEN(SUBSTITUTE(SUBSTITUTE(SUBSTITUTE(M435," ",""),"0",""),"-",""))+LEN(SUBSTITUTE(SUBSTITUTE(SUBSTITUTE(N435," ",""),"0",""),"-",""))),1,0))+IF(UPPER(L436)="X",0,IF((LEN(SUBSTITUTE(SUBSTITUTE(SUBSTITUTE(J436," ",""),"0",""),"-",""))+LEN(SUBSTITUTE(SUBSTITUTE(SUBSTITUTE(K436," ",""),"0",""),"-","")))&gt;(LEN(SUBSTITUTE(SUBSTITUTE(SUBSTITUTE(M436," ",""),"0",""),"-",""))+LEN(SUBSTITUTE(SUBSTITUTE(SUBSTITUTE(N436," ",""),"0",""),"-",""))),1,0))+IF(UPPER(L437)="X",0,IF((LEN(SUBSTITUTE(SUBSTITUTE(SUBSTITUTE(J437," ",""),"0",""),"-",""))+LEN(SUBSTITUTE(SUBSTITUTE(SUBSTITUTE(K437," ",""),"0",""),"-","")))&gt;(LEN(SUBSTITUTE(SUBSTITUTE(SUBSTITUTE(M437," ",""),"0",""),"-",""))+LEN(SUBSTITUTE(SUBSTITUTE(SUBSTITUTE(N437," ",""),"0",""),"-",""))),1,0))+IF(UPPER(L438)="X",0,IF((LEN(SUBSTITUTE(SUBSTITUTE(SUBSTITUTE(J438," ",""),"0",""),"-",""))+LEN(SUBSTITUTE(SUBSTITUTE(SUBSTITUTE(K438," ",""),"0",""),"-","")))&gt;(LEN(SUBSTITUTE(SUBSTITUTE(SUBSTITUTE(M438," ",""),"0",""),"-",""))+LEN(SUBSTITUTE(SUBSTITUTE(SUBSTITUTE(N438," ",""),"0",""),"-",""))),1,0))+IF(UPPER(L439)="X",0,IF((LEN(SUBSTITUTE(SUBSTITUTE(SUBSTITUTE(J439," ",""),"0",""),"-",""))+LEN(SUBSTITUTE(SUBSTITUTE(SUBSTITUTE(K439," ",""),"0",""),"-","")))&gt;(LEN(SUBSTITUTE(SUBSTITUTE(SUBSTITUTE(M439," ",""),"0",""),"-",""))+LEN(SUBSTITUTE(SUBSTITUTE(SUBSTITUTE(N439," ",""),"0",""),"-",""))),1,0))</f>
      </c>
      <c r="K434" s="14" t="str">
        <f>LEN(SUBSTITUTE(SUBSTITUTE(SUBSTITUTE(J435," ",""),"0",""),"-",""))+LEN(SUBSTITUTE(SUBSTITUTE(SUBSTITUTE(K435," ",""),"0",""),"-",""))+LEN(SUBSTITUTE(SUBSTITUTE(SUBSTITUTE(J436," ",""),"0",""),"-",""))+LEN(SUBSTITUTE(SUBSTITUTE(SUBSTITUTE(K436," ",""),"0",""),"-",""))+LEN(SUBSTITUTE(SUBSTITUTE(SUBSTITUTE(J437," ",""),"0",""),"-",""))+LEN(SUBSTITUTE(SUBSTITUTE(SUBSTITUTE(K437," ",""),"0",""),"-",""))+LEN(SUBSTITUTE(SUBSTITUTE(SUBSTITUTE(J438," ",""),"0",""),"-",""))+LEN(SUBSTITUTE(SUBSTITUTE(SUBSTITUTE(K438," ",""),"0",""),"-",""))+LEN(SUBSTITUTE(SUBSTITUTE(SUBSTITUTE(J439," ",""),"0",""),"-",""))+LEN(SUBSTITUTE(SUBSTITUTE(SUBSTITUTE(K439," ",""),"0",""),"-",""))</f>
      </c>
      <c r="L434" s="18"/>
      <c r="M434" s="14" t="str">
        <f>LEN(SUBSTITUTE(SUBSTITUTE(SUBSTITUTE(M435," ",""),"0",""),"-",""))+LEN(SUBSTITUTE(SUBSTITUTE(SUBSTITUTE(N435," ",""),"0",""),"-",""))+LEN(SUBSTITUTE(SUBSTITUTE(SUBSTITUTE(M436," ",""),"0",""),"-",""))+LEN(SUBSTITUTE(SUBSTITUTE(SUBSTITUTE(N436," ",""),"0",""),"-",""))+LEN(SUBSTITUTE(SUBSTITUTE(SUBSTITUTE(M437," ",""),"0",""),"-",""))+LEN(SUBSTITUTE(SUBSTITUTE(SUBSTITUTE(N437," ",""),"0",""),"-",""))+LEN(SUBSTITUTE(SUBSTITUTE(SUBSTITUTE(M438," ",""),"0",""),"-",""))+LEN(SUBSTITUTE(SUBSTITUTE(SUBSTITUTE(N438," ",""),"0",""),"-",""))+LEN(SUBSTITUTE(SUBSTITUTE(SUBSTITUTE(M439," ",""),"0",""),"-",""))+LEN(SUBSTITUTE(SUBSTITUTE(SUBSTITUTE(N439," ",""),"0",""),"-",""))</f>
      </c>
      <c r="N434" s="14" t="str">
        <f>IF(UPPER(L435)="X",0,IF((LEN(SUBSTITUTE(SUBSTITUTE(SUBSTITUTE(M435," ",""),"0",""),"-",""))+LEN(SUBSTITUTE(SUBSTITUTE(SUBSTITUTE(N435," ",""),"0",""),"-","")))&gt;(LEN(SUBSTITUTE(SUBSTITUTE(SUBSTITUTE(J435," ",""),"0",""),"-",""))+LEN(SUBSTITUTE(SUBSTITUTE(SUBSTITUTE(K435," ",""),"0",""),"-",""))),1,0))+IF(UPPER(L436)="X",0,IF((LEN(SUBSTITUTE(SUBSTITUTE(SUBSTITUTE(M436," ",""),"0",""),"-",""))+LEN(SUBSTITUTE(SUBSTITUTE(SUBSTITUTE(N436," ",""),"0",""),"-","")))&gt;(LEN(SUBSTITUTE(SUBSTITUTE(SUBSTITUTE(J436," ",""),"0",""),"-",""))+LEN(SUBSTITUTE(SUBSTITUTE(SUBSTITUTE(K436," ",""),"0",""),"-",""))),1,0))+IF(UPPER(L437)="X",0,IF((LEN(SUBSTITUTE(SUBSTITUTE(SUBSTITUTE(M437," ",""),"0",""),"-",""))+LEN(SUBSTITUTE(SUBSTITUTE(SUBSTITUTE(N437," ",""),"0",""),"-","")))&gt;(LEN(SUBSTITUTE(SUBSTITUTE(SUBSTITUTE(J437," ",""),"0",""),"-",""))+LEN(SUBSTITUTE(SUBSTITUTE(SUBSTITUTE(K437," ",""),"0",""),"-",""))),1,0))+IF(UPPER(L438)="X",0,IF((LEN(SUBSTITUTE(SUBSTITUTE(SUBSTITUTE(M438," ",""),"0",""),"-",""))+LEN(SUBSTITUTE(SUBSTITUTE(SUBSTITUTE(N438," ",""),"0",""),"-","")))&gt;(LEN(SUBSTITUTE(SUBSTITUTE(SUBSTITUTE(J438," ",""),"0",""),"-",""))+LEN(SUBSTITUTE(SUBSTITUTE(SUBSTITUTE(K438," ",""),"0",""),"-",""))),1,0))+IF(UPPER(L439)="X",0,IF((LEN(SUBSTITUTE(SUBSTITUTE(SUBSTITUTE(M439," ",""),"0",""),"-",""))+LEN(SUBSTITUTE(SUBSTITUTE(SUBSTITUTE(N439," ",""),"0",""),"-","")))&gt;(LEN(SUBSTITUTE(SUBSTITUTE(SUBSTITUTE(J439," ",""),"0",""),"-",""))+LEN(SUBSTITUTE(SUBSTITUTE(SUBSTITUTE(K439," ",""),"0",""),"-",""))),1,0))</f>
      </c>
      <c r="O434" s="14" t="str">
        <f>data!$E$80&amp;" "&amp;data!$B$80</f>
      </c>
    </row>
    <row r="435">
      <c r="A435" s="14">
        <v>1</v>
      </c>
      <c r="B435" s="18"/>
      <c r="C435" s="18"/>
      <c r="D435" s="18"/>
      <c r="E435" s="18"/>
      <c r="F435" s="18"/>
      <c r="G435" s="14">
        <v>1</v>
      </c>
      <c r="I435" s="14">
        <v>1</v>
      </c>
      <c r="J435" s="18"/>
      <c r="K435" s="18"/>
      <c r="L435" s="18"/>
      <c r="M435" s="18"/>
      <c r="N435" s="18"/>
      <c r="O435" s="14">
        <v>1</v>
      </c>
    </row>
    <row r="436">
      <c r="A436" s="14">
        <v>2</v>
      </c>
      <c r="B436" s="18"/>
      <c r="C436" s="18"/>
      <c r="D436" s="18"/>
      <c r="E436" s="18"/>
      <c r="F436" s="18"/>
      <c r="G436" s="14">
        <v>2</v>
      </c>
      <c r="I436" s="14">
        <v>2</v>
      </c>
      <c r="J436" s="18"/>
      <c r="K436" s="18"/>
      <c r="L436" s="18"/>
      <c r="M436" s="18"/>
      <c r="N436" s="18"/>
      <c r="O436" s="14">
        <v>2</v>
      </c>
    </row>
    <row r="437">
      <c r="A437" s="14">
        <v>3</v>
      </c>
      <c r="B437" s="18"/>
      <c r="C437" s="18"/>
      <c r="D437" s="18"/>
      <c r="E437" s="18"/>
      <c r="F437" s="18"/>
      <c r="G437" s="14">
        <v>3</v>
      </c>
      <c r="I437" s="14">
        <v>3</v>
      </c>
      <c r="J437" s="18"/>
      <c r="K437" s="18"/>
      <c r="L437" s="18"/>
      <c r="M437" s="18"/>
      <c r="N437" s="18"/>
      <c r="O437" s="14">
        <v>3</v>
      </c>
    </row>
    <row r="438">
      <c r="A438" s="14">
        <v>4</v>
      </c>
      <c r="B438" s="18"/>
      <c r="C438" s="18"/>
      <c r="D438" s="18"/>
      <c r="E438" s="18"/>
      <c r="F438" s="18"/>
      <c r="G438" s="14">
        <v>4</v>
      </c>
      <c r="I438" s="14">
        <v>4</v>
      </c>
      <c r="J438" s="18"/>
      <c r="K438" s="18"/>
      <c r="L438" s="18"/>
      <c r="M438" s="18"/>
      <c r="N438" s="18"/>
      <c r="O438" s="14">
        <v>4</v>
      </c>
    </row>
    <row r="439">
      <c r="A439" s="14">
        <v>5</v>
      </c>
      <c r="B439" s="18"/>
      <c r="C439" s="18"/>
      <c r="D439" s="18"/>
      <c r="E439" s="18"/>
      <c r="F439" s="18"/>
      <c r="G439" s="14">
        <v>5</v>
      </c>
      <c r="I439" s="14">
        <v>5</v>
      </c>
      <c r="J439" s="18"/>
      <c r="K439" s="18"/>
      <c r="L439" s="18"/>
      <c r="M439" s="18"/>
      <c r="N439" s="18"/>
      <c r="O439" s="14">
        <v>5</v>
      </c>
    </row>
    <row r="441">
      <c r="A441" s="17" t="s">
        <v>331</v>
      </c>
      <c r="B441" s="14"/>
      <c r="C441" s="14"/>
      <c r="D441" s="14" t="s">
        <v>332</v>
      </c>
      <c r="E441" s="14"/>
      <c r="F441" s="14"/>
      <c r="G441" s="16" t="s">
        <v>333</v>
      </c>
      <c r="I441" s="17" t="s">
        <v>331</v>
      </c>
      <c r="J441" s="14"/>
      <c r="K441" s="14"/>
      <c r="L441" s="14" t="s">
        <v>332</v>
      </c>
      <c r="M441" s="14"/>
      <c r="N441" s="14"/>
      <c r="O441" s="16" t="s">
        <v>333</v>
      </c>
    </row>
    <row r="442">
      <c r="A442" s="14" t="str">
        <f>data!$E$35&amp;" "&amp;data!$B$35</f>
      </c>
      <c r="B442" s="14" t="str">
        <f>IF(UPPER(D443)="X",0,IF((LEN(SUBSTITUTE(SUBSTITUTE(SUBSTITUTE(B443," ",""),"0",""),"-",""))+LEN(SUBSTITUTE(SUBSTITUTE(SUBSTITUTE(C443," ",""),"0",""),"-","")))&gt;(LEN(SUBSTITUTE(SUBSTITUTE(SUBSTITUTE(E443," ",""),"0",""),"-",""))+LEN(SUBSTITUTE(SUBSTITUTE(SUBSTITUTE(F443," ",""),"0",""),"-",""))),1,0))+IF(UPPER(D444)="X",0,IF((LEN(SUBSTITUTE(SUBSTITUTE(SUBSTITUTE(B444," ",""),"0",""),"-",""))+LEN(SUBSTITUTE(SUBSTITUTE(SUBSTITUTE(C444," ",""),"0",""),"-","")))&gt;(LEN(SUBSTITUTE(SUBSTITUTE(SUBSTITUTE(E444," ",""),"0",""),"-",""))+LEN(SUBSTITUTE(SUBSTITUTE(SUBSTITUTE(F444," ",""),"0",""),"-",""))),1,0))+IF(UPPER(D445)="X",0,IF((LEN(SUBSTITUTE(SUBSTITUTE(SUBSTITUTE(B445," ",""),"0",""),"-",""))+LEN(SUBSTITUTE(SUBSTITUTE(SUBSTITUTE(C445," ",""),"0",""),"-","")))&gt;(LEN(SUBSTITUTE(SUBSTITUTE(SUBSTITUTE(E445," ",""),"0",""),"-",""))+LEN(SUBSTITUTE(SUBSTITUTE(SUBSTITUTE(F445," ",""),"0",""),"-",""))),1,0))+IF(UPPER(D446)="X",0,IF((LEN(SUBSTITUTE(SUBSTITUTE(SUBSTITUTE(B446," ",""),"0",""),"-",""))+LEN(SUBSTITUTE(SUBSTITUTE(SUBSTITUTE(C446," ",""),"0",""),"-","")))&gt;(LEN(SUBSTITUTE(SUBSTITUTE(SUBSTITUTE(E446," ",""),"0",""),"-",""))+LEN(SUBSTITUTE(SUBSTITUTE(SUBSTITUTE(F446," ",""),"0",""),"-",""))),1,0))+IF(UPPER(D447)="X",0,IF((LEN(SUBSTITUTE(SUBSTITUTE(SUBSTITUTE(B447," ",""),"0",""),"-",""))+LEN(SUBSTITUTE(SUBSTITUTE(SUBSTITUTE(C447," ",""),"0",""),"-","")))&gt;(LEN(SUBSTITUTE(SUBSTITUTE(SUBSTITUTE(E447," ",""),"0",""),"-",""))+LEN(SUBSTITUTE(SUBSTITUTE(SUBSTITUTE(F447," ",""),"0",""),"-",""))),1,0))</f>
      </c>
      <c r="C442" s="14" t="str">
        <f>LEN(SUBSTITUTE(SUBSTITUTE(SUBSTITUTE(B443," ",""),"0",""),"-",""))+LEN(SUBSTITUTE(SUBSTITUTE(SUBSTITUTE(C443," ",""),"0",""),"-",""))+LEN(SUBSTITUTE(SUBSTITUTE(SUBSTITUTE(B444," ",""),"0",""),"-",""))+LEN(SUBSTITUTE(SUBSTITUTE(SUBSTITUTE(C444," ",""),"0",""),"-",""))+LEN(SUBSTITUTE(SUBSTITUTE(SUBSTITUTE(B445," ",""),"0",""),"-",""))+LEN(SUBSTITUTE(SUBSTITUTE(SUBSTITUTE(C445," ",""),"0",""),"-",""))+LEN(SUBSTITUTE(SUBSTITUTE(SUBSTITUTE(B446," ",""),"0",""),"-",""))+LEN(SUBSTITUTE(SUBSTITUTE(SUBSTITUTE(C446," ",""),"0",""),"-",""))+LEN(SUBSTITUTE(SUBSTITUTE(SUBSTITUTE(B447," ",""),"0",""),"-",""))+LEN(SUBSTITUTE(SUBSTITUTE(SUBSTITUTE(C447," ",""),"0",""),"-",""))</f>
      </c>
      <c r="D442" s="18"/>
      <c r="E442" s="14" t="str">
        <f>LEN(SUBSTITUTE(SUBSTITUTE(SUBSTITUTE(E443," ",""),"0",""),"-",""))+LEN(SUBSTITUTE(SUBSTITUTE(SUBSTITUTE(F443," ",""),"0",""),"-",""))+LEN(SUBSTITUTE(SUBSTITUTE(SUBSTITUTE(E444," ",""),"0",""),"-",""))+LEN(SUBSTITUTE(SUBSTITUTE(SUBSTITUTE(F444," ",""),"0",""),"-",""))+LEN(SUBSTITUTE(SUBSTITUTE(SUBSTITUTE(E445," ",""),"0",""),"-",""))+LEN(SUBSTITUTE(SUBSTITUTE(SUBSTITUTE(F445," ",""),"0",""),"-",""))+LEN(SUBSTITUTE(SUBSTITUTE(SUBSTITUTE(E446," ",""),"0",""),"-",""))+LEN(SUBSTITUTE(SUBSTITUTE(SUBSTITUTE(F446," ",""),"0",""),"-",""))+LEN(SUBSTITUTE(SUBSTITUTE(SUBSTITUTE(E447," ",""),"0",""),"-",""))+LEN(SUBSTITUTE(SUBSTITUTE(SUBSTITUTE(F447," ",""),"0",""),"-",""))</f>
      </c>
      <c r="F442" s="14" t="str">
        <f>IF(UPPER(D443)="X",0,IF((LEN(SUBSTITUTE(SUBSTITUTE(SUBSTITUTE(E443," ",""),"0",""),"-",""))+LEN(SUBSTITUTE(SUBSTITUTE(SUBSTITUTE(F443," ",""),"0",""),"-","")))&gt;(LEN(SUBSTITUTE(SUBSTITUTE(SUBSTITUTE(B443," ",""),"0",""),"-",""))+LEN(SUBSTITUTE(SUBSTITUTE(SUBSTITUTE(C443," ",""),"0",""),"-",""))),1,0))+IF(UPPER(D444)="X",0,IF((LEN(SUBSTITUTE(SUBSTITUTE(SUBSTITUTE(E444," ",""),"0",""),"-",""))+LEN(SUBSTITUTE(SUBSTITUTE(SUBSTITUTE(F444," ",""),"0",""),"-","")))&gt;(LEN(SUBSTITUTE(SUBSTITUTE(SUBSTITUTE(B444," ",""),"0",""),"-",""))+LEN(SUBSTITUTE(SUBSTITUTE(SUBSTITUTE(C444," ",""),"0",""),"-",""))),1,0))+IF(UPPER(D445)="X",0,IF((LEN(SUBSTITUTE(SUBSTITUTE(SUBSTITUTE(E445," ",""),"0",""),"-",""))+LEN(SUBSTITUTE(SUBSTITUTE(SUBSTITUTE(F445," ",""),"0",""),"-","")))&gt;(LEN(SUBSTITUTE(SUBSTITUTE(SUBSTITUTE(B445," ",""),"0",""),"-",""))+LEN(SUBSTITUTE(SUBSTITUTE(SUBSTITUTE(C445," ",""),"0",""),"-",""))),1,0))+IF(UPPER(D446)="X",0,IF((LEN(SUBSTITUTE(SUBSTITUTE(SUBSTITUTE(E446," ",""),"0",""),"-",""))+LEN(SUBSTITUTE(SUBSTITUTE(SUBSTITUTE(F446," ",""),"0",""),"-","")))&gt;(LEN(SUBSTITUTE(SUBSTITUTE(SUBSTITUTE(B446," ",""),"0",""),"-",""))+LEN(SUBSTITUTE(SUBSTITUTE(SUBSTITUTE(C446," ",""),"0",""),"-",""))),1,0))+IF(UPPER(D447)="X",0,IF((LEN(SUBSTITUTE(SUBSTITUTE(SUBSTITUTE(E447," ",""),"0",""),"-",""))+LEN(SUBSTITUTE(SUBSTITUTE(SUBSTITUTE(F447," ",""),"0",""),"-","")))&gt;(LEN(SUBSTITUTE(SUBSTITUTE(SUBSTITUTE(B447," ",""),"0",""),"-",""))+LEN(SUBSTITUTE(SUBSTITUTE(SUBSTITUTE(C447," ",""),"0",""),"-",""))),1,0))</f>
      </c>
      <c r="G442" s="14" t="str">
        <f>data!$E$33&amp;" "&amp;data!$B$33</f>
      </c>
      <c r="I442" s="14" t="str">
        <f>data!$E$82&amp;" "&amp;data!$B$82</f>
      </c>
      <c r="J442" s="14" t="str">
        <f>IF(UPPER(L443)="X",0,IF((LEN(SUBSTITUTE(SUBSTITUTE(SUBSTITUTE(J443," ",""),"0",""),"-",""))+LEN(SUBSTITUTE(SUBSTITUTE(SUBSTITUTE(K443," ",""),"0",""),"-","")))&gt;(LEN(SUBSTITUTE(SUBSTITUTE(SUBSTITUTE(M443," ",""),"0",""),"-",""))+LEN(SUBSTITUTE(SUBSTITUTE(SUBSTITUTE(N443," ",""),"0",""),"-",""))),1,0))+IF(UPPER(L444)="X",0,IF((LEN(SUBSTITUTE(SUBSTITUTE(SUBSTITUTE(J444," ",""),"0",""),"-",""))+LEN(SUBSTITUTE(SUBSTITUTE(SUBSTITUTE(K444," ",""),"0",""),"-","")))&gt;(LEN(SUBSTITUTE(SUBSTITUTE(SUBSTITUTE(M444," ",""),"0",""),"-",""))+LEN(SUBSTITUTE(SUBSTITUTE(SUBSTITUTE(N444," ",""),"0",""),"-",""))),1,0))+IF(UPPER(L445)="X",0,IF((LEN(SUBSTITUTE(SUBSTITUTE(SUBSTITUTE(J445," ",""),"0",""),"-",""))+LEN(SUBSTITUTE(SUBSTITUTE(SUBSTITUTE(K445," ",""),"0",""),"-","")))&gt;(LEN(SUBSTITUTE(SUBSTITUTE(SUBSTITUTE(M445," ",""),"0",""),"-",""))+LEN(SUBSTITUTE(SUBSTITUTE(SUBSTITUTE(N445," ",""),"0",""),"-",""))),1,0))+IF(UPPER(L446)="X",0,IF((LEN(SUBSTITUTE(SUBSTITUTE(SUBSTITUTE(J446," ",""),"0",""),"-",""))+LEN(SUBSTITUTE(SUBSTITUTE(SUBSTITUTE(K446," ",""),"0",""),"-","")))&gt;(LEN(SUBSTITUTE(SUBSTITUTE(SUBSTITUTE(M446," ",""),"0",""),"-",""))+LEN(SUBSTITUTE(SUBSTITUTE(SUBSTITUTE(N446," ",""),"0",""),"-",""))),1,0))+IF(UPPER(L447)="X",0,IF((LEN(SUBSTITUTE(SUBSTITUTE(SUBSTITUTE(J447," ",""),"0",""),"-",""))+LEN(SUBSTITUTE(SUBSTITUTE(SUBSTITUTE(K447," ",""),"0",""),"-","")))&gt;(LEN(SUBSTITUTE(SUBSTITUTE(SUBSTITUTE(M447," ",""),"0",""),"-",""))+LEN(SUBSTITUTE(SUBSTITUTE(SUBSTITUTE(N447," ",""),"0",""),"-",""))),1,0))</f>
      </c>
      <c r="K442" s="14" t="str">
        <f>LEN(SUBSTITUTE(SUBSTITUTE(SUBSTITUTE(J443," ",""),"0",""),"-",""))+LEN(SUBSTITUTE(SUBSTITUTE(SUBSTITUTE(K443," ",""),"0",""),"-",""))+LEN(SUBSTITUTE(SUBSTITUTE(SUBSTITUTE(J444," ",""),"0",""),"-",""))+LEN(SUBSTITUTE(SUBSTITUTE(SUBSTITUTE(K444," ",""),"0",""),"-",""))+LEN(SUBSTITUTE(SUBSTITUTE(SUBSTITUTE(J445," ",""),"0",""),"-",""))+LEN(SUBSTITUTE(SUBSTITUTE(SUBSTITUTE(K445," ",""),"0",""),"-",""))+LEN(SUBSTITUTE(SUBSTITUTE(SUBSTITUTE(J446," ",""),"0",""),"-",""))+LEN(SUBSTITUTE(SUBSTITUTE(SUBSTITUTE(K446," ",""),"0",""),"-",""))+LEN(SUBSTITUTE(SUBSTITUTE(SUBSTITUTE(J447," ",""),"0",""),"-",""))+LEN(SUBSTITUTE(SUBSTITUTE(SUBSTITUTE(K447," ",""),"0",""),"-",""))</f>
      </c>
      <c r="L442" s="18"/>
      <c r="M442" s="14" t="str">
        <f>LEN(SUBSTITUTE(SUBSTITUTE(SUBSTITUTE(M443," ",""),"0",""),"-",""))+LEN(SUBSTITUTE(SUBSTITUTE(SUBSTITUTE(N443," ",""),"0",""),"-",""))+LEN(SUBSTITUTE(SUBSTITUTE(SUBSTITUTE(M444," ",""),"0",""),"-",""))+LEN(SUBSTITUTE(SUBSTITUTE(SUBSTITUTE(N444," ",""),"0",""),"-",""))+LEN(SUBSTITUTE(SUBSTITUTE(SUBSTITUTE(M445," ",""),"0",""),"-",""))+LEN(SUBSTITUTE(SUBSTITUTE(SUBSTITUTE(N445," ",""),"0",""),"-",""))+LEN(SUBSTITUTE(SUBSTITUTE(SUBSTITUTE(M446," ",""),"0",""),"-",""))+LEN(SUBSTITUTE(SUBSTITUTE(SUBSTITUTE(N446," ",""),"0",""),"-",""))+LEN(SUBSTITUTE(SUBSTITUTE(SUBSTITUTE(M447," ",""),"0",""),"-",""))+LEN(SUBSTITUTE(SUBSTITUTE(SUBSTITUTE(N447," ",""),"0",""),"-",""))</f>
      </c>
      <c r="N442" s="14" t="str">
        <f>IF(UPPER(L443)="X",0,IF((LEN(SUBSTITUTE(SUBSTITUTE(SUBSTITUTE(M443," ",""),"0",""),"-",""))+LEN(SUBSTITUTE(SUBSTITUTE(SUBSTITUTE(N443," ",""),"0",""),"-","")))&gt;(LEN(SUBSTITUTE(SUBSTITUTE(SUBSTITUTE(J443," ",""),"0",""),"-",""))+LEN(SUBSTITUTE(SUBSTITUTE(SUBSTITUTE(K443," ",""),"0",""),"-",""))),1,0))+IF(UPPER(L444)="X",0,IF((LEN(SUBSTITUTE(SUBSTITUTE(SUBSTITUTE(M444," ",""),"0",""),"-",""))+LEN(SUBSTITUTE(SUBSTITUTE(SUBSTITUTE(N444," ",""),"0",""),"-","")))&gt;(LEN(SUBSTITUTE(SUBSTITUTE(SUBSTITUTE(J444," ",""),"0",""),"-",""))+LEN(SUBSTITUTE(SUBSTITUTE(SUBSTITUTE(K444," ",""),"0",""),"-",""))),1,0))+IF(UPPER(L445)="X",0,IF((LEN(SUBSTITUTE(SUBSTITUTE(SUBSTITUTE(M445," ",""),"0",""),"-",""))+LEN(SUBSTITUTE(SUBSTITUTE(SUBSTITUTE(N445," ",""),"0",""),"-","")))&gt;(LEN(SUBSTITUTE(SUBSTITUTE(SUBSTITUTE(J445," ",""),"0",""),"-",""))+LEN(SUBSTITUTE(SUBSTITUTE(SUBSTITUTE(K445," ",""),"0",""),"-",""))),1,0))+IF(UPPER(L446)="X",0,IF((LEN(SUBSTITUTE(SUBSTITUTE(SUBSTITUTE(M446," ",""),"0",""),"-",""))+LEN(SUBSTITUTE(SUBSTITUTE(SUBSTITUTE(N446," ",""),"0",""),"-","")))&gt;(LEN(SUBSTITUTE(SUBSTITUTE(SUBSTITUTE(J446," ",""),"0",""),"-",""))+LEN(SUBSTITUTE(SUBSTITUTE(SUBSTITUTE(K446," ",""),"0",""),"-",""))),1,0))+IF(UPPER(L447)="X",0,IF((LEN(SUBSTITUTE(SUBSTITUTE(SUBSTITUTE(M447," ",""),"0",""),"-",""))+LEN(SUBSTITUTE(SUBSTITUTE(SUBSTITUTE(N447," ",""),"0",""),"-","")))&gt;(LEN(SUBSTITUTE(SUBSTITUTE(SUBSTITUTE(J447," ",""),"0",""),"-",""))+LEN(SUBSTITUTE(SUBSTITUTE(SUBSTITUTE(K447," ",""),"0",""),"-",""))),1,0))</f>
      </c>
      <c r="O442" s="14" t="str">
        <f>data!$E$80&amp;" "&amp;data!$B$80</f>
      </c>
    </row>
    <row r="443">
      <c r="A443" s="14">
        <v>1</v>
      </c>
      <c r="B443" s="18"/>
      <c r="C443" s="18"/>
      <c r="D443" s="18"/>
      <c r="E443" s="18"/>
      <c r="F443" s="18"/>
      <c r="G443" s="14">
        <v>1</v>
      </c>
      <c r="I443" s="14">
        <v>1</v>
      </c>
      <c r="J443" s="18"/>
      <c r="K443" s="18"/>
      <c r="L443" s="18"/>
      <c r="M443" s="18"/>
      <c r="N443" s="18"/>
      <c r="O443" s="14">
        <v>1</v>
      </c>
    </row>
    <row r="444">
      <c r="A444" s="14">
        <v>2</v>
      </c>
      <c r="B444" s="18"/>
      <c r="C444" s="18"/>
      <c r="D444" s="18"/>
      <c r="E444" s="18"/>
      <c r="F444" s="18"/>
      <c r="G444" s="14">
        <v>2</v>
      </c>
      <c r="I444" s="14">
        <v>2</v>
      </c>
      <c r="J444" s="18"/>
      <c r="K444" s="18"/>
      <c r="L444" s="18"/>
      <c r="M444" s="18"/>
      <c r="N444" s="18"/>
      <c r="O444" s="14">
        <v>2</v>
      </c>
    </row>
    <row r="445">
      <c r="A445" s="14">
        <v>3</v>
      </c>
      <c r="B445" s="18"/>
      <c r="C445" s="18"/>
      <c r="D445" s="18"/>
      <c r="E445" s="18"/>
      <c r="F445" s="18"/>
      <c r="G445" s="14">
        <v>3</v>
      </c>
      <c r="I445" s="14">
        <v>3</v>
      </c>
      <c r="J445" s="18"/>
      <c r="K445" s="18"/>
      <c r="L445" s="18"/>
      <c r="M445" s="18"/>
      <c r="N445" s="18"/>
      <c r="O445" s="14">
        <v>3</v>
      </c>
    </row>
    <row r="446">
      <c r="A446" s="14">
        <v>4</v>
      </c>
      <c r="B446" s="18"/>
      <c r="C446" s="18"/>
      <c r="D446" s="18"/>
      <c r="E446" s="18"/>
      <c r="F446" s="18"/>
      <c r="G446" s="14">
        <v>4</v>
      </c>
      <c r="I446" s="14">
        <v>4</v>
      </c>
      <c r="J446" s="18"/>
      <c r="K446" s="18"/>
      <c r="L446" s="18"/>
      <c r="M446" s="18"/>
      <c r="N446" s="18"/>
      <c r="O446" s="14">
        <v>4</v>
      </c>
    </row>
    <row r="447">
      <c r="A447" s="14">
        <v>5</v>
      </c>
      <c r="B447" s="18"/>
      <c r="C447" s="18"/>
      <c r="D447" s="18"/>
      <c r="E447" s="18"/>
      <c r="F447" s="18"/>
      <c r="G447" s="14">
        <v>5</v>
      </c>
      <c r="I447" s="14">
        <v>5</v>
      </c>
      <c r="J447" s="18"/>
      <c r="K447" s="18"/>
      <c r="L447" s="18"/>
      <c r="M447" s="18"/>
      <c r="N447" s="18"/>
      <c r="O447" s="14">
        <v>5</v>
      </c>
    </row>
    <row r="449">
      <c r="A449" s="17" t="s">
        <v>331</v>
      </c>
      <c r="B449" s="14"/>
      <c r="C449" s="14"/>
      <c r="D449" s="14" t="s">
        <v>332</v>
      </c>
      <c r="E449" s="14"/>
      <c r="F449" s="14"/>
      <c r="G449" s="16" t="s">
        <v>333</v>
      </c>
      <c r="I449" s="17" t="s">
        <v>331</v>
      </c>
      <c r="J449" s="14"/>
      <c r="K449" s="14"/>
      <c r="L449" s="14" t="s">
        <v>332</v>
      </c>
      <c r="M449" s="14"/>
      <c r="N449" s="14"/>
      <c r="O449" s="16" t="s">
        <v>333</v>
      </c>
    </row>
    <row r="450">
      <c r="A450" s="14" t="str">
        <f>data!$E$35&amp;" "&amp;data!$B$35</f>
      </c>
      <c r="B450" s="14" t="str">
        <f>IF(UPPER(D451)="X",0,IF((LEN(SUBSTITUTE(SUBSTITUTE(SUBSTITUTE(B451," ",""),"0",""),"-",""))+LEN(SUBSTITUTE(SUBSTITUTE(SUBSTITUTE(C451," ",""),"0",""),"-","")))&gt;(LEN(SUBSTITUTE(SUBSTITUTE(SUBSTITUTE(E451," ",""),"0",""),"-",""))+LEN(SUBSTITUTE(SUBSTITUTE(SUBSTITUTE(F451," ",""),"0",""),"-",""))),1,0))+IF(UPPER(D452)="X",0,IF((LEN(SUBSTITUTE(SUBSTITUTE(SUBSTITUTE(B452," ",""),"0",""),"-",""))+LEN(SUBSTITUTE(SUBSTITUTE(SUBSTITUTE(C452," ",""),"0",""),"-","")))&gt;(LEN(SUBSTITUTE(SUBSTITUTE(SUBSTITUTE(E452," ",""),"0",""),"-",""))+LEN(SUBSTITUTE(SUBSTITUTE(SUBSTITUTE(F452," ",""),"0",""),"-",""))),1,0))+IF(UPPER(D453)="X",0,IF((LEN(SUBSTITUTE(SUBSTITUTE(SUBSTITUTE(B453," ",""),"0",""),"-",""))+LEN(SUBSTITUTE(SUBSTITUTE(SUBSTITUTE(C453," ",""),"0",""),"-","")))&gt;(LEN(SUBSTITUTE(SUBSTITUTE(SUBSTITUTE(E453," ",""),"0",""),"-",""))+LEN(SUBSTITUTE(SUBSTITUTE(SUBSTITUTE(F453," ",""),"0",""),"-",""))),1,0))+IF(UPPER(D454)="X",0,IF((LEN(SUBSTITUTE(SUBSTITUTE(SUBSTITUTE(B454," ",""),"0",""),"-",""))+LEN(SUBSTITUTE(SUBSTITUTE(SUBSTITUTE(C454," ",""),"0",""),"-","")))&gt;(LEN(SUBSTITUTE(SUBSTITUTE(SUBSTITUTE(E454," ",""),"0",""),"-",""))+LEN(SUBSTITUTE(SUBSTITUTE(SUBSTITUTE(F454," ",""),"0",""),"-",""))),1,0))+IF(UPPER(D455)="X",0,IF((LEN(SUBSTITUTE(SUBSTITUTE(SUBSTITUTE(B455," ",""),"0",""),"-",""))+LEN(SUBSTITUTE(SUBSTITUTE(SUBSTITUTE(C455," ",""),"0",""),"-","")))&gt;(LEN(SUBSTITUTE(SUBSTITUTE(SUBSTITUTE(E455," ",""),"0",""),"-",""))+LEN(SUBSTITUTE(SUBSTITUTE(SUBSTITUTE(F455," ",""),"0",""),"-",""))),1,0))</f>
      </c>
      <c r="C450" s="14" t="str">
        <f>LEN(SUBSTITUTE(SUBSTITUTE(SUBSTITUTE(B451," ",""),"0",""),"-",""))+LEN(SUBSTITUTE(SUBSTITUTE(SUBSTITUTE(C451," ",""),"0",""),"-",""))+LEN(SUBSTITUTE(SUBSTITUTE(SUBSTITUTE(B452," ",""),"0",""),"-",""))+LEN(SUBSTITUTE(SUBSTITUTE(SUBSTITUTE(C452," ",""),"0",""),"-",""))+LEN(SUBSTITUTE(SUBSTITUTE(SUBSTITUTE(B453," ",""),"0",""),"-",""))+LEN(SUBSTITUTE(SUBSTITUTE(SUBSTITUTE(C453," ",""),"0",""),"-",""))+LEN(SUBSTITUTE(SUBSTITUTE(SUBSTITUTE(B454," ",""),"0",""),"-",""))+LEN(SUBSTITUTE(SUBSTITUTE(SUBSTITUTE(C454," ",""),"0",""),"-",""))+LEN(SUBSTITUTE(SUBSTITUTE(SUBSTITUTE(B455," ",""),"0",""),"-",""))+LEN(SUBSTITUTE(SUBSTITUTE(SUBSTITUTE(C455," ",""),"0",""),"-",""))</f>
      </c>
      <c r="D450" s="18"/>
      <c r="E450" s="14" t="str">
        <f>LEN(SUBSTITUTE(SUBSTITUTE(SUBSTITUTE(E451," ",""),"0",""),"-",""))+LEN(SUBSTITUTE(SUBSTITUTE(SUBSTITUTE(F451," ",""),"0",""),"-",""))+LEN(SUBSTITUTE(SUBSTITUTE(SUBSTITUTE(E452," ",""),"0",""),"-",""))+LEN(SUBSTITUTE(SUBSTITUTE(SUBSTITUTE(F452," ",""),"0",""),"-",""))+LEN(SUBSTITUTE(SUBSTITUTE(SUBSTITUTE(E453," ",""),"0",""),"-",""))+LEN(SUBSTITUTE(SUBSTITUTE(SUBSTITUTE(F453," ",""),"0",""),"-",""))+LEN(SUBSTITUTE(SUBSTITUTE(SUBSTITUTE(E454," ",""),"0",""),"-",""))+LEN(SUBSTITUTE(SUBSTITUTE(SUBSTITUTE(F454," ",""),"0",""),"-",""))+LEN(SUBSTITUTE(SUBSTITUTE(SUBSTITUTE(E455," ",""),"0",""),"-",""))+LEN(SUBSTITUTE(SUBSTITUTE(SUBSTITUTE(F455," ",""),"0",""),"-",""))</f>
      </c>
      <c r="F450" s="14" t="str">
        <f>IF(UPPER(D451)="X",0,IF((LEN(SUBSTITUTE(SUBSTITUTE(SUBSTITUTE(E451," ",""),"0",""),"-",""))+LEN(SUBSTITUTE(SUBSTITUTE(SUBSTITUTE(F451," ",""),"0",""),"-","")))&gt;(LEN(SUBSTITUTE(SUBSTITUTE(SUBSTITUTE(B451," ",""),"0",""),"-",""))+LEN(SUBSTITUTE(SUBSTITUTE(SUBSTITUTE(C451," ",""),"0",""),"-",""))),1,0))+IF(UPPER(D452)="X",0,IF((LEN(SUBSTITUTE(SUBSTITUTE(SUBSTITUTE(E452," ",""),"0",""),"-",""))+LEN(SUBSTITUTE(SUBSTITUTE(SUBSTITUTE(F452," ",""),"0",""),"-","")))&gt;(LEN(SUBSTITUTE(SUBSTITUTE(SUBSTITUTE(B452," ",""),"0",""),"-",""))+LEN(SUBSTITUTE(SUBSTITUTE(SUBSTITUTE(C452," ",""),"0",""),"-",""))),1,0))+IF(UPPER(D453)="X",0,IF((LEN(SUBSTITUTE(SUBSTITUTE(SUBSTITUTE(E453," ",""),"0",""),"-",""))+LEN(SUBSTITUTE(SUBSTITUTE(SUBSTITUTE(F453," ",""),"0",""),"-","")))&gt;(LEN(SUBSTITUTE(SUBSTITUTE(SUBSTITUTE(B453," ",""),"0",""),"-",""))+LEN(SUBSTITUTE(SUBSTITUTE(SUBSTITUTE(C453," ",""),"0",""),"-",""))),1,0))+IF(UPPER(D454)="X",0,IF((LEN(SUBSTITUTE(SUBSTITUTE(SUBSTITUTE(E454," ",""),"0",""),"-",""))+LEN(SUBSTITUTE(SUBSTITUTE(SUBSTITUTE(F454," ",""),"0",""),"-","")))&gt;(LEN(SUBSTITUTE(SUBSTITUTE(SUBSTITUTE(B454," ",""),"0",""),"-",""))+LEN(SUBSTITUTE(SUBSTITUTE(SUBSTITUTE(C454," ",""),"0",""),"-",""))),1,0))+IF(UPPER(D455)="X",0,IF((LEN(SUBSTITUTE(SUBSTITUTE(SUBSTITUTE(E455," ",""),"0",""),"-",""))+LEN(SUBSTITUTE(SUBSTITUTE(SUBSTITUTE(F455," ",""),"0",""),"-","")))&gt;(LEN(SUBSTITUTE(SUBSTITUTE(SUBSTITUTE(B455," ",""),"0",""),"-",""))+LEN(SUBSTITUTE(SUBSTITUTE(SUBSTITUTE(C455," ",""),"0",""),"-",""))),1,0))</f>
      </c>
      <c r="G450" s="14" t="str">
        <f>data!$E$34&amp;" "&amp;data!$B$34</f>
      </c>
      <c r="I450" s="14" t="str">
        <f>data!$E$82&amp;" "&amp;data!$B$82</f>
      </c>
      <c r="J450" s="14" t="str">
        <f>IF(UPPER(L451)="X",0,IF((LEN(SUBSTITUTE(SUBSTITUTE(SUBSTITUTE(J451," ",""),"0",""),"-",""))+LEN(SUBSTITUTE(SUBSTITUTE(SUBSTITUTE(K451," ",""),"0",""),"-","")))&gt;(LEN(SUBSTITUTE(SUBSTITUTE(SUBSTITUTE(M451," ",""),"0",""),"-",""))+LEN(SUBSTITUTE(SUBSTITUTE(SUBSTITUTE(N451," ",""),"0",""),"-",""))),1,0))+IF(UPPER(L452)="X",0,IF((LEN(SUBSTITUTE(SUBSTITUTE(SUBSTITUTE(J452," ",""),"0",""),"-",""))+LEN(SUBSTITUTE(SUBSTITUTE(SUBSTITUTE(K452," ",""),"0",""),"-","")))&gt;(LEN(SUBSTITUTE(SUBSTITUTE(SUBSTITUTE(M452," ",""),"0",""),"-",""))+LEN(SUBSTITUTE(SUBSTITUTE(SUBSTITUTE(N452," ",""),"0",""),"-",""))),1,0))+IF(UPPER(L453)="X",0,IF((LEN(SUBSTITUTE(SUBSTITUTE(SUBSTITUTE(J453," ",""),"0",""),"-",""))+LEN(SUBSTITUTE(SUBSTITUTE(SUBSTITUTE(K453," ",""),"0",""),"-","")))&gt;(LEN(SUBSTITUTE(SUBSTITUTE(SUBSTITUTE(M453," ",""),"0",""),"-",""))+LEN(SUBSTITUTE(SUBSTITUTE(SUBSTITUTE(N453," ",""),"0",""),"-",""))),1,0))+IF(UPPER(L454)="X",0,IF((LEN(SUBSTITUTE(SUBSTITUTE(SUBSTITUTE(J454," ",""),"0",""),"-",""))+LEN(SUBSTITUTE(SUBSTITUTE(SUBSTITUTE(K454," ",""),"0",""),"-","")))&gt;(LEN(SUBSTITUTE(SUBSTITUTE(SUBSTITUTE(M454," ",""),"0",""),"-",""))+LEN(SUBSTITUTE(SUBSTITUTE(SUBSTITUTE(N454," ",""),"0",""),"-",""))),1,0))+IF(UPPER(L455)="X",0,IF((LEN(SUBSTITUTE(SUBSTITUTE(SUBSTITUTE(J455," ",""),"0",""),"-",""))+LEN(SUBSTITUTE(SUBSTITUTE(SUBSTITUTE(K455," ",""),"0",""),"-","")))&gt;(LEN(SUBSTITUTE(SUBSTITUTE(SUBSTITUTE(M455," ",""),"0",""),"-",""))+LEN(SUBSTITUTE(SUBSTITUTE(SUBSTITUTE(N455," ",""),"0",""),"-",""))),1,0))</f>
      </c>
      <c r="K450" s="14" t="str">
        <f>LEN(SUBSTITUTE(SUBSTITUTE(SUBSTITUTE(J451," ",""),"0",""),"-",""))+LEN(SUBSTITUTE(SUBSTITUTE(SUBSTITUTE(K451," ",""),"0",""),"-",""))+LEN(SUBSTITUTE(SUBSTITUTE(SUBSTITUTE(J452," ",""),"0",""),"-",""))+LEN(SUBSTITUTE(SUBSTITUTE(SUBSTITUTE(K452," ",""),"0",""),"-",""))+LEN(SUBSTITUTE(SUBSTITUTE(SUBSTITUTE(J453," ",""),"0",""),"-",""))+LEN(SUBSTITUTE(SUBSTITUTE(SUBSTITUTE(K453," ",""),"0",""),"-",""))+LEN(SUBSTITUTE(SUBSTITUTE(SUBSTITUTE(J454," ",""),"0",""),"-",""))+LEN(SUBSTITUTE(SUBSTITUTE(SUBSTITUTE(K454," ",""),"0",""),"-",""))+LEN(SUBSTITUTE(SUBSTITUTE(SUBSTITUTE(J455," ",""),"0",""),"-",""))+LEN(SUBSTITUTE(SUBSTITUTE(SUBSTITUTE(K455," ",""),"0",""),"-",""))</f>
      </c>
      <c r="L450" s="18"/>
      <c r="M450" s="14" t="str">
        <f>LEN(SUBSTITUTE(SUBSTITUTE(SUBSTITUTE(M451," ",""),"0",""),"-",""))+LEN(SUBSTITUTE(SUBSTITUTE(SUBSTITUTE(N451," ",""),"0",""),"-",""))+LEN(SUBSTITUTE(SUBSTITUTE(SUBSTITUTE(M452," ",""),"0",""),"-",""))+LEN(SUBSTITUTE(SUBSTITUTE(SUBSTITUTE(N452," ",""),"0",""),"-",""))+LEN(SUBSTITUTE(SUBSTITUTE(SUBSTITUTE(M453," ",""),"0",""),"-",""))+LEN(SUBSTITUTE(SUBSTITUTE(SUBSTITUTE(N453," ",""),"0",""),"-",""))+LEN(SUBSTITUTE(SUBSTITUTE(SUBSTITUTE(M454," ",""),"0",""),"-",""))+LEN(SUBSTITUTE(SUBSTITUTE(SUBSTITUTE(N454," ",""),"0",""),"-",""))+LEN(SUBSTITUTE(SUBSTITUTE(SUBSTITUTE(M455," ",""),"0",""),"-",""))+LEN(SUBSTITUTE(SUBSTITUTE(SUBSTITUTE(N455," ",""),"0",""),"-",""))</f>
      </c>
      <c r="N450" s="14" t="str">
        <f>IF(UPPER(L451)="X",0,IF((LEN(SUBSTITUTE(SUBSTITUTE(SUBSTITUTE(M451," ",""),"0",""),"-",""))+LEN(SUBSTITUTE(SUBSTITUTE(SUBSTITUTE(N451," ",""),"0",""),"-","")))&gt;(LEN(SUBSTITUTE(SUBSTITUTE(SUBSTITUTE(J451," ",""),"0",""),"-",""))+LEN(SUBSTITUTE(SUBSTITUTE(SUBSTITUTE(K451," ",""),"0",""),"-",""))),1,0))+IF(UPPER(L452)="X",0,IF((LEN(SUBSTITUTE(SUBSTITUTE(SUBSTITUTE(M452," ",""),"0",""),"-",""))+LEN(SUBSTITUTE(SUBSTITUTE(SUBSTITUTE(N452," ",""),"0",""),"-","")))&gt;(LEN(SUBSTITUTE(SUBSTITUTE(SUBSTITUTE(J452," ",""),"0",""),"-",""))+LEN(SUBSTITUTE(SUBSTITUTE(SUBSTITUTE(K452," ",""),"0",""),"-",""))),1,0))+IF(UPPER(L453)="X",0,IF((LEN(SUBSTITUTE(SUBSTITUTE(SUBSTITUTE(M453," ",""),"0",""),"-",""))+LEN(SUBSTITUTE(SUBSTITUTE(SUBSTITUTE(N453," ",""),"0",""),"-","")))&gt;(LEN(SUBSTITUTE(SUBSTITUTE(SUBSTITUTE(J453," ",""),"0",""),"-",""))+LEN(SUBSTITUTE(SUBSTITUTE(SUBSTITUTE(K453," ",""),"0",""),"-",""))),1,0))+IF(UPPER(L454)="X",0,IF((LEN(SUBSTITUTE(SUBSTITUTE(SUBSTITUTE(M454," ",""),"0",""),"-",""))+LEN(SUBSTITUTE(SUBSTITUTE(SUBSTITUTE(N454," ",""),"0",""),"-","")))&gt;(LEN(SUBSTITUTE(SUBSTITUTE(SUBSTITUTE(J454," ",""),"0",""),"-",""))+LEN(SUBSTITUTE(SUBSTITUTE(SUBSTITUTE(K454," ",""),"0",""),"-",""))),1,0))+IF(UPPER(L455)="X",0,IF((LEN(SUBSTITUTE(SUBSTITUTE(SUBSTITUTE(M455," ",""),"0",""),"-",""))+LEN(SUBSTITUTE(SUBSTITUTE(SUBSTITUTE(N455," ",""),"0",""),"-","")))&gt;(LEN(SUBSTITUTE(SUBSTITUTE(SUBSTITUTE(J455," ",""),"0",""),"-",""))+LEN(SUBSTITUTE(SUBSTITUTE(SUBSTITUTE(K455," ",""),"0",""),"-",""))),1,0))</f>
      </c>
      <c r="O450" s="14" t="str">
        <f>data!$E$81&amp;" "&amp;data!$B$81</f>
      </c>
    </row>
    <row r="451">
      <c r="A451" s="14">
        <v>1</v>
      </c>
      <c r="B451" s="18"/>
      <c r="C451" s="18"/>
      <c r="D451" s="18"/>
      <c r="E451" s="18"/>
      <c r="F451" s="18"/>
      <c r="G451" s="14">
        <v>1</v>
      </c>
      <c r="I451" s="14">
        <v>1</v>
      </c>
      <c r="J451" s="18"/>
      <c r="K451" s="18"/>
      <c r="L451" s="18"/>
      <c r="M451" s="18"/>
      <c r="N451" s="18"/>
      <c r="O451" s="14">
        <v>1</v>
      </c>
    </row>
    <row r="452">
      <c r="A452" s="14">
        <v>2</v>
      </c>
      <c r="B452" s="18"/>
      <c r="C452" s="18"/>
      <c r="D452" s="18"/>
      <c r="E452" s="18"/>
      <c r="F452" s="18"/>
      <c r="G452" s="14">
        <v>2</v>
      </c>
      <c r="I452" s="14">
        <v>2</v>
      </c>
      <c r="J452" s="18"/>
      <c r="K452" s="18"/>
      <c r="L452" s="18"/>
      <c r="M452" s="18"/>
      <c r="N452" s="18"/>
      <c r="O452" s="14">
        <v>2</v>
      </c>
    </row>
    <row r="453">
      <c r="A453" s="14">
        <v>3</v>
      </c>
      <c r="B453" s="18"/>
      <c r="C453" s="18"/>
      <c r="D453" s="18"/>
      <c r="E453" s="18"/>
      <c r="F453" s="18"/>
      <c r="G453" s="14">
        <v>3</v>
      </c>
      <c r="I453" s="14">
        <v>3</v>
      </c>
      <c r="J453" s="18"/>
      <c r="K453" s="18"/>
      <c r="L453" s="18"/>
      <c r="M453" s="18"/>
      <c r="N453" s="18"/>
      <c r="O453" s="14">
        <v>3</v>
      </c>
    </row>
    <row r="454">
      <c r="A454" s="14">
        <v>4</v>
      </c>
      <c r="B454" s="18"/>
      <c r="C454" s="18"/>
      <c r="D454" s="18"/>
      <c r="E454" s="18"/>
      <c r="F454" s="18"/>
      <c r="G454" s="14">
        <v>4</v>
      </c>
      <c r="I454" s="14">
        <v>4</v>
      </c>
      <c r="J454" s="18"/>
      <c r="K454" s="18"/>
      <c r="L454" s="18"/>
      <c r="M454" s="18"/>
      <c r="N454" s="18"/>
      <c r="O454" s="14">
        <v>4</v>
      </c>
    </row>
    <row r="455">
      <c r="A455" s="14">
        <v>5</v>
      </c>
      <c r="B455" s="18"/>
      <c r="C455" s="18"/>
      <c r="D455" s="18"/>
      <c r="E455" s="18"/>
      <c r="F455" s="18"/>
      <c r="G455" s="14">
        <v>5</v>
      </c>
      <c r="I455" s="14">
        <v>5</v>
      </c>
      <c r="J455" s="18"/>
      <c r="K455" s="18"/>
      <c r="L455" s="18"/>
      <c r="M455" s="18"/>
      <c r="N455" s="18"/>
      <c r="O455" s="14">
        <v>5</v>
      </c>
    </row>
    <row r="458">
      <c r="A458" s="13" t="s">
        <v>334</v>
      </c>
      <c r="B458" s="13" t="s">
        <v>335</v>
      </c>
      <c r="C458" s="13" t="s">
        <v>336</v>
      </c>
      <c r="D458" s="13" t="s">
        <v>337</v>
      </c>
      <c r="E458" s="13"/>
      <c r="F458" s="13"/>
      <c r="G458" s="13" t="s">
        <v>338</v>
      </c>
      <c r="I458" s="13" t="s">
        <v>334</v>
      </c>
      <c r="J458" s="13" t="s">
        <v>335</v>
      </c>
      <c r="K458" s="13" t="s">
        <v>336</v>
      </c>
      <c r="L458" s="13" t="s">
        <v>337</v>
      </c>
      <c r="M458" s="13"/>
      <c r="N458" s="13"/>
      <c r="O458" s="13" t="s">
        <v>338</v>
      </c>
    </row>
    <row r="459">
      <c r="A459" s="14" t="str">
        <f>data!$E$33&amp;" "&amp;data!$B$33</f>
      </c>
      <c r="B459" s="14" t="str">
        <f>IF(OR(COUNTA(B435:C439,E435:F439)&gt;0,D435="X",D435="x",D436="X",D436="x",D437="X",D437="x",D438="X",D438="x",D439="X",D439="x",OR(D434="X",D434="x")),IF(OR(OR(D434="X",D434="x"),AND(B434=F434,C434=E434)),0,IF(OR(F434&gt;B434,AND(F434=B434,E434&gt;C434)),1,0)),0)+IF(OR(COUNTA(B443:C447,E443:F447)&gt;0,D443="X",D443="x",D444="X",D444="x",D445="X",D445="x",D446="X",D446="x",D447="X",D447="x",OR(D442="X",D442="x")),IF(OR(OR(D442="X",D442="x"),AND(B442=F442,C442=E442)),0,IF(OR(F442&gt;B442,AND(F442=B442,E442&gt;C442)),1,0)),0)</f>
      </c>
      <c r="C459" s="14" t="str">
        <f>IF(OR(COUNTA(B435:C439,E435:F439)&gt;0,D435="X",D435="x",D436="X",D436="x",D437="X",D437="x",D438="X",D438="x",D439="X",D439="x",OR(D434="X",D434="x")),IF(OR(OR(D434="X",D434="x"),AND(B434=F434,C434=E434)),0,IF(OR(F434&lt;B434,AND(F434=B434,E434&lt;C434)),1,0)),0)+IF(OR(COUNTA(B443:C447,E443:F447)&gt;0,D443="X",D443="x",D444="X",D444="x",D445="X",D445="x",D446="X",D446="x",D447="X",D447="x",OR(D442="X",D442="x")),IF(OR(OR(D442="X",D442="x"),AND(B442=F442,C442=E442)),0,IF(OR(F442&lt;B442,AND(F442=B442,E442&lt;C442)),1,0)),0)</f>
      </c>
      <c r="D459" s="14" t="str">
        <f>IF(OR(COUNTA(B435:C439,E435:F439)&gt;0,D435="X",D435="x",D436="X",D436="x",D437="X",D437="x",D438="X",D438="x",D439="X",D439="x",OR(D434="X",D434="x")),IF(OR(OR(D434="X",D434="x"),AND(B434=F434,C434=E434)),1,0),0)+IF(OR(COUNTA(B443:C447,E443:F447)&gt;0,D443="X",D443="x",D444="X",D444="x",D445="X",D445="x",D446="X",D446="x",D447="X",D447="x",OR(D442="X",D442="x")),IF(OR(OR(D442="X",D442="x"),AND(B442=F442,C442=E442)),1,0),0)</f>
      </c>
      <c r="G459" s="18" t="str">
        <f>RANK(U459,$U$459:$U$461)+COUNTIF($U$458:U458,U459)</f>
      </c>
      <c r="I459" s="14" t="str">
        <f>data!$E$80&amp;" "&amp;data!$B$80</f>
      </c>
      <c r="J459" s="14" t="str">
        <f>IF(OR(COUNTA(J435:K439,M435:N439)&gt;0,L435="X",L435="x",L436="X",L436="x",L437="X",L437="x",L438="X",L438="x",L439="X",L439="x",OR(L434="X",L434="x")),IF(OR(OR(L434="X",L434="x"),AND(J434=N434,K434=M434)),0,IF(OR(N434&gt;J434,AND(N434=J434,M434&gt;K434)),1,0)),0)+IF(OR(COUNTA(J443:K447,M443:N447)&gt;0,L443="X",L443="x",L444="X",L444="x",L445="X",L445="x",L446="X",L446="x",L447="X",L447="x",OR(L442="X",L442="x")),IF(OR(OR(L442="X",L442="x"),AND(J442=N442,K442=M442)),0,IF(OR(N442&gt;J442,AND(N442=J442,M442&gt;K442)),1,0)),0)</f>
      </c>
      <c r="K459" s="14" t="str">
        <f>IF(OR(COUNTA(J435:K439,M435:N439)&gt;0,L435="X",L435="x",L436="X",L436="x",L437="X",L437="x",L438="X",L438="x",L439="X",L439="x",OR(L434="X",L434="x")),IF(OR(OR(L434="X",L434="x"),AND(J434=N434,K434=M434)),0,IF(OR(N434&lt;J434,AND(N434=J434,M434&lt;K434)),1,0)),0)+IF(OR(COUNTA(J443:K447,M443:N447)&gt;0,L443="X",L443="x",L444="X",L444="x",L445="X",L445="x",L446="X",L446="x",L447="X",L447="x",OR(L442="X",L442="x")),IF(OR(OR(L442="X",L442="x"),AND(J442=N442,K442=M442)),0,IF(OR(N442&lt;J442,AND(N442=J442,M442&lt;K442)),1,0)),0)</f>
      </c>
      <c r="L459" s="14" t="str">
        <f>IF(OR(COUNTA(J435:K439,M435:N439)&gt;0,L435="X",L435="x",L436="X",L436="x",L437="X",L437="x",L438="X",L438="x",L439="X",L439="x",OR(L434="X",L434="x")),IF(OR(OR(L434="X",L434="x"),AND(J434=N434,K434=M434)),1,0),0)+IF(OR(COUNTA(J443:K447,M443:N447)&gt;0,L443="X",L443="x",L444="X",L444="x",L445="X",L445="x",L446="X",L446="x",L447="X",L447="x",OR(L442="X",L442="x")),IF(OR(OR(L442="X",L442="x"),AND(J442=N442,K442=M442)),1,0),0)</f>
      </c>
      <c r="O459" s="18" t="str">
        <f>RANK(AC459,$AC$459:$AC$461)+COUNTIF($AC$458:AC458,AC459)</f>
      </c>
      <c r="U459" t="str">
        <f>(B459*1000000000)-(C459*10000000)+(D459*100000)+(B464*1000)-(C464*100)+(D464*10)+(E464*1)-(F464*0.01)</f>
      </c>
      <c r="AC459" t="str">
        <f>(J459*1000000000)-(K459*10000000)+(L459*100000)+(J464*1000)-(K464*100)+(L464*10)+(M464*1)-(N464*0.01)</f>
      </c>
    </row>
    <row r="460">
      <c r="A460" s="14" t="str">
        <f>data!$E$34&amp;" "&amp;data!$B$34</f>
      </c>
      <c r="B460" s="14" t="str">
        <f>IF(OR(COUNTA(B435:C439,E435:F439)&gt;0,D435="X",D435="x",D436="X",D436="x",D437="X",D437="x",D438="X",D438="x",D439="X",D439="x",OR(D434="X",D434="x")),IF(OR(OR(D434="X",D434="x"),AND(B434=F434,C434=E434)),0,IF(OR(B434&gt;F434,AND(B434=F434,C434&gt;E434)),1,0)),0)+IF(OR(COUNTA(B451:C455,E451:F455)&gt;0,D451="X",D451="x",D452="X",D452="x",D453="X",D453="x",D454="X",D454="x",D455="X",D455="x",OR(D450="X",D450="x")),IF(OR(OR(D450="X",D450="x"),AND(B450=F450,C450=E450)),0,IF(OR(F450&gt;B450,AND(F450=B450,E450&gt;C450)),1,0)),0)</f>
      </c>
      <c r="C460" s="14" t="str">
        <f>IF(OR(COUNTA(B435:C439,E435:F439)&gt;0,D435="X",D435="x",D436="X",D436="x",D437="X",D437="x",D438="X",D438="x",D439="X",D439="x",OR(D434="X",D434="x")),IF(OR(OR(D434="X",D434="x"),AND(B434=F434,C434=E434)),0,IF(OR(B434&lt;F434,AND(B434=F434,C434&lt;E434)),1,0)),0)+IF(OR(COUNTA(B451:C455,E451:F455)&gt;0,D451="X",D451="x",D452="X",D452="x",D453="X",D453="x",D454="X",D454="x",D455="X",D455="x",OR(D450="X",D450="x")),IF(OR(OR(D450="X",D450="x"),AND(B450=F450,C450=E450)),0,IF(OR(F450&lt;B450,AND(F450=B450,E450&lt;C450)),1,0)),0)</f>
      </c>
      <c r="D460" s="14" t="str">
        <f>IF(OR(COUNTA(B435:C439,E435:F439)&gt;0,D435="X",D435="x",D436="X",D436="x",D437="X",D437="x",D438="X",D438="x",D439="X",D439="x",OR(D434="X",D434="x")),IF(OR(OR(D434="X",D434="x"),AND(B434=F434,C434=E434)),1,0),0)+IF(OR(COUNTA(B451:C455,E451:F455)&gt;0,D451="X",D451="x",D452="X",D452="x",D453="X",D453="x",D454="X",D454="x",D455="X",D455="x",OR(D450="X",D450="x")),IF(OR(OR(D450="X",D450="x"),AND(B450=F450,C450=E450)),1,0),0)</f>
      </c>
      <c r="G460" s="18" t="str">
        <f>RANK(U460,$U$459:$U$461)+COUNTIF($U$458:U459,U460)</f>
      </c>
      <c r="I460" s="14" t="str">
        <f>data!$E$81&amp;" "&amp;data!$B$81</f>
      </c>
      <c r="J460" s="14" t="str">
        <f>IF(OR(COUNTA(J435:K439,M435:N439)&gt;0,L435="X",L435="x",L436="X",L436="x",L437="X",L437="x",L438="X",L438="x",L439="X",L439="x",OR(L434="X",L434="x")),IF(OR(OR(L434="X",L434="x"),AND(J434=N434,K434=M434)),0,IF(OR(J434&gt;N434,AND(J434=N434,K434&gt;M434)),1,0)),0)+IF(OR(COUNTA(J451:K455,M451:N455)&gt;0,L451="X",L451="x",L452="X",L452="x",L453="X",L453="x",L454="X",L454="x",L455="X",L455="x",OR(L450="X",L450="x")),IF(OR(OR(L450="X",L450="x"),AND(J450=N450,K450=M450)),0,IF(OR(N450&gt;J450,AND(N450=J450,M450&gt;K450)),1,0)),0)</f>
      </c>
      <c r="K460" s="14" t="str">
        <f>IF(OR(COUNTA(J435:K439,M435:N439)&gt;0,L435="X",L435="x",L436="X",L436="x",L437="X",L437="x",L438="X",L438="x",L439="X",L439="x",OR(L434="X",L434="x")),IF(OR(OR(L434="X",L434="x"),AND(J434=N434,K434=M434)),0,IF(OR(J434&lt;N434,AND(J434=N434,K434&lt;M434)),1,0)),0)+IF(OR(COUNTA(J451:K455,M451:N455)&gt;0,L451="X",L451="x",L452="X",L452="x",L453="X",L453="x",L454="X",L454="x",L455="X",L455="x",OR(L450="X",L450="x")),IF(OR(OR(L450="X",L450="x"),AND(J450=N450,K450=M450)),0,IF(OR(N450&lt;J450,AND(N450=J450,M450&lt;K450)),1,0)),0)</f>
      </c>
      <c r="L460" s="14" t="str">
        <f>IF(OR(COUNTA(J435:K439,M435:N439)&gt;0,L435="X",L435="x",L436="X",L436="x",L437="X",L437="x",L438="X",L438="x",L439="X",L439="x",OR(L434="X",L434="x")),IF(OR(OR(L434="X",L434="x"),AND(J434=N434,K434=M434)),1,0),0)+IF(OR(COUNTA(J451:K455,M451:N455)&gt;0,L451="X",L451="x",L452="X",L452="x",L453="X",L453="x",L454="X",L454="x",L455="X",L455="x",OR(L450="X",L450="x")),IF(OR(OR(L450="X",L450="x"),AND(J450=N450,K450=M450)),1,0),0)</f>
      </c>
      <c r="O460" s="18" t="str">
        <f>RANK(AC460,$AC$459:$AC$461)+COUNTIF($AC$458:AC459,AC460)</f>
      </c>
      <c r="U460" t="str">
        <f>(B460*1000000000)-(C460*10000000)+(D460*100000)+(B465*1000)-(C465*100)+(D465*10)+(E465*1)-(F465*0.01)</f>
      </c>
      <c r="AC460" t="str">
        <f>(J460*1000000000)-(K460*10000000)+(L460*100000)+(J465*1000)-(K465*100)+(L465*10)+(M465*1)-(N465*0.01)</f>
      </c>
    </row>
    <row r="461">
      <c r="A461" s="14" t="str">
        <f>data!$E$35&amp;" "&amp;data!$B$35</f>
      </c>
      <c r="B461" s="14" t="str">
        <f>IF(OR(COUNTA(B443:C447,E443:F447)&gt;0,D443="X",D443="x",D444="X",D444="x",D445="X",D445="x",D446="X",D446="x",D447="X",D447="x",OR(D442="X",D442="x")),IF(OR(OR(D442="X",D442="x"),AND(B442=F442,C442=E442)),0,IF(OR(B442&gt;F442,AND(B442=F442,C442&gt;E442)),1,0)),0)+IF(OR(COUNTA(B451:C455,E451:F455)&gt;0,D451="X",D451="x",D452="X",D452="x",D453="X",D453="x",D454="X",D454="x",D455="X",D455="x",OR(D450="X",D450="x")),IF(OR(OR(D450="X",D450="x"),AND(B450=F450,C450=E450)),0,IF(OR(B450&gt;F450,AND(B450=F450,C450&gt;E450)),1,0)),0)</f>
      </c>
      <c r="C461" s="14" t="str">
        <f>IF(OR(COUNTA(B443:C447,E443:F447)&gt;0,D443="X",D443="x",D444="X",D444="x",D445="X",D445="x",D446="X",D446="x",D447="X",D447="x",OR(D442="X",D442="x")),IF(OR(OR(D442="X",D442="x"),AND(B442=F442,C442=E442)),0,IF(OR(B442&lt;F442,AND(B442=F442,C442&lt;E442)),1,0)),0)+IF(OR(COUNTA(B451:C455,E451:F455)&gt;0,D451="X",D451="x",D452="X",D452="x",D453="X",D453="x",D454="X",D454="x",D455="X",D455="x",OR(D450="X",D450="x")),IF(OR(OR(D450="X",D450="x"),AND(B450=F450,C450=E450)),0,IF(OR(B450&lt;F450,AND(B450=F450,C450&lt;E450)),1,0)),0)</f>
      </c>
      <c r="D461" s="14" t="str">
        <f>IF(OR(COUNTA(B443:C447,E443:F447)&gt;0,D443="X",D443="x",D444="X",D444="x",D445="X",D445="x",D446="X",D446="x",D447="X",D447="x",OR(D442="X",D442="x")),IF(OR(OR(D442="X",D442="x"),AND(B442=F442,C442=E442)),1,0),0)+IF(OR(COUNTA(B451:C455,E451:F455)&gt;0,D451="X",D451="x",D452="X",D452="x",D453="X",D453="x",D454="X",D454="x",D455="X",D455="x",OR(D450="X",D450="x")),IF(OR(OR(D450="X",D450="x"),AND(B450=F450,C450=E450)),1,0),0)</f>
      </c>
      <c r="G461" s="18" t="str">
        <f>RANK(U461,$U$459:$U$461)+COUNTIF($U$458:U460,U461)</f>
      </c>
      <c r="I461" s="14" t="str">
        <f>data!$E$82&amp;" "&amp;data!$B$82</f>
      </c>
      <c r="J461" s="14" t="str">
        <f>IF(OR(COUNTA(J443:K447,M443:N447)&gt;0,L443="X",L443="x",L444="X",L444="x",L445="X",L445="x",L446="X",L446="x",L447="X",L447="x",OR(L442="X",L442="x")),IF(OR(OR(L442="X",L442="x"),AND(J442=N442,K442=M442)),0,IF(OR(J442&gt;N442,AND(J442=N442,K442&gt;M442)),1,0)),0)+IF(OR(COUNTA(J451:K455,M451:N455)&gt;0,L451="X",L451="x",L452="X",L452="x",L453="X",L453="x",L454="X",L454="x",L455="X",L455="x",OR(L450="X",L450="x")),IF(OR(OR(L450="X",L450="x"),AND(J450=N450,K450=M450)),0,IF(OR(J450&gt;N450,AND(J450=N450,K450&gt;M450)),1,0)),0)</f>
      </c>
      <c r="K461" s="14" t="str">
        <f>IF(OR(COUNTA(J443:K447,M443:N447)&gt;0,L443="X",L443="x",L444="X",L444="x",L445="X",L445="x",L446="X",L446="x",L447="X",L447="x",OR(L442="X",L442="x")),IF(OR(OR(L442="X",L442="x"),AND(J442=N442,K442=M442)),0,IF(OR(J442&lt;N442,AND(J442=N442,K442&lt;M442)),1,0)),0)+IF(OR(COUNTA(J451:K455,M451:N455)&gt;0,L451="X",L451="x",L452="X",L452="x",L453="X",L453="x",L454="X",L454="x",L455="X",L455="x",OR(L450="X",L450="x")),IF(OR(OR(L450="X",L450="x"),AND(J450=N450,K450=M450)),0,IF(OR(J450&lt;N450,AND(J450=N450,K450&lt;M450)),1,0)),0)</f>
      </c>
      <c r="L461" s="14" t="str">
        <f>IF(OR(COUNTA(J443:K447,M443:N447)&gt;0,L443="X",L443="x",L444="X",L444="x",L445="X",L445="x",L446="X",L446="x",L447="X",L447="x",OR(L442="X",L442="x")),IF(OR(OR(L442="X",L442="x"),AND(J442=N442,K442=M442)),1,0),0)+IF(OR(COUNTA(J451:K455,M451:N455)&gt;0,L451="X",L451="x",L452="X",L452="x",L453="X",L453="x",L454="X",L454="x",L455="X",L455="x",OR(L450="X",L450="x")),IF(OR(OR(L450="X",L450="x"),AND(J450=N450,K450=M450)),1,0),0)</f>
      </c>
      <c r="O461" s="18" t="str">
        <f>RANK(AC461,$AC$459:$AC$461)+COUNTIF($AC$458:AC460,AC461)</f>
      </c>
      <c r="U461" t="str">
        <f>(B461*1000000000)-(C461*10000000)+(D461*100000)+(B466*1000)-(C466*100)+(D466*10)+(E466*1)-(F466*0.01)</f>
      </c>
      <c r="AC461" t="str">
        <f>(J461*1000000000)-(K461*10000000)+(L461*100000)+(J466*1000)-(K466*100)+(L466*10)+(M466*1)-(N466*0.01)</f>
      </c>
    </row>
    <row r="463">
      <c r="A463" s="13"/>
      <c r="B463" s="13" t="s">
        <v>339</v>
      </c>
      <c r="C463" s="13" t="s">
        <v>340</v>
      </c>
      <c r="D463" s="13" t="s">
        <v>341</v>
      </c>
      <c r="E463" s="13" t="s">
        <v>342</v>
      </c>
      <c r="F463" s="13" t="s">
        <v>343</v>
      </c>
      <c r="I463" s="13"/>
      <c r="J463" s="13" t="s">
        <v>339</v>
      </c>
      <c r="K463" s="13" t="s">
        <v>340</v>
      </c>
      <c r="L463" s="13" t="s">
        <v>341</v>
      </c>
      <c r="M463" s="13" t="s">
        <v>342</v>
      </c>
      <c r="N463" s="13" t="s">
        <v>343</v>
      </c>
    </row>
    <row r="464">
      <c r="A464" s="14" t="str">
        <f>data!$E$33&amp;" "&amp;data!$B$33</f>
      </c>
      <c r="B464" s="14" t="str">
        <f>IF(OR(COUNTA(B435:C439,E435:F439)&gt;0,OR(D434="X",D434="x"),UPPER(D435)="X",UPPER(D436)="X",UPPER(D437)="X",UPPER(D438)="X",UPPER(D439)="X"),F434,0)+IF(OR(COUNTA(B443:C447,E443:F447)&gt;0,OR(D442="X",D442="x"),UPPER(D443)="X",UPPER(D444)="X",UPPER(D445)="X",UPPER(D446)="X",UPPER(D447)="X"),F442,0)</f>
      </c>
      <c r="C464" s="14" t="str">
        <f>IF(OR(COUNTA(B435:C439,E435:F439)&gt;0,OR(D434="X",D434="x"),UPPER(D435)="X",UPPER(D436)="X",UPPER(D437)="X",UPPER(D438)="X",UPPER(D439)="X"),B434,0)+IF(OR(COUNTA(B443:C447,E443:F447)&gt;0,OR(D442="X",D442="x"),UPPER(D443)="X",UPPER(D444)="X",UPPER(D445)="X",UPPER(D446)="X",UPPER(D447)="X"),B442,0)</f>
      </c>
      <c r="D464" s="14" t="str">
        <f>IF(OR(COUNTA(B435:C439,E435:F439)&gt;0,OR(D434="X",D434="x"),UPPER(D435)="X",UPPER(D436)="X",UPPER(D437)="X",UPPER(D438)="X",UPPER(D439)="X"),(IF(OR(D435="X",D435="x",AND(COUNTA(B435,C435,E435,F435)&gt;0,(LEN(SUBSTITUTE(SUBSTITUTE(SUBSTITUTE(B435," ",""),"0",""),"-",""))+LEN(SUBSTITUTE(SUBSTITUTE(SUBSTITUTE(C435," ",""),"0",""),"-","")))=(LEN(SUBSTITUTE(SUBSTITUTE(SUBSTITUTE(E435," ",""),"0",""),"-",""))+LEN(SUBSTITUTE(SUBSTITUTE(SUBSTITUTE(F435," ",""),"0",""),"-",""))))),1,0)+IF(OR(D436="X",D436="x",AND(COUNTA(B436,C436,E436,F436)&gt;0,(LEN(SUBSTITUTE(SUBSTITUTE(SUBSTITUTE(B436," ",""),"0",""),"-",""))+LEN(SUBSTITUTE(SUBSTITUTE(SUBSTITUTE(C436," ",""),"0",""),"-","")))=(LEN(SUBSTITUTE(SUBSTITUTE(SUBSTITUTE(E436," ",""),"0",""),"-",""))+LEN(SUBSTITUTE(SUBSTITUTE(SUBSTITUTE(F436," ",""),"0",""),"-",""))))),1,0)+IF(OR(D437="X",D437="x",AND(COUNTA(B437,C437,E437,F437)&gt;0,(LEN(SUBSTITUTE(SUBSTITUTE(SUBSTITUTE(B437," ",""),"0",""),"-",""))+LEN(SUBSTITUTE(SUBSTITUTE(SUBSTITUTE(C437," ",""),"0",""),"-","")))=(LEN(SUBSTITUTE(SUBSTITUTE(SUBSTITUTE(E437," ",""),"0",""),"-",""))+LEN(SUBSTITUTE(SUBSTITUTE(SUBSTITUTE(F437," ",""),"0",""),"-",""))))),1,0)+IF(OR(D438="X",D438="x",AND(COUNTA(B438,C438,E438,F438)&gt;0,(LEN(SUBSTITUTE(SUBSTITUTE(SUBSTITUTE(B438," ",""),"0",""),"-",""))+LEN(SUBSTITUTE(SUBSTITUTE(SUBSTITUTE(C438," ",""),"0",""),"-","")))=(LEN(SUBSTITUTE(SUBSTITUTE(SUBSTITUTE(E438," ",""),"0",""),"-",""))+LEN(SUBSTITUTE(SUBSTITUTE(SUBSTITUTE(F438," ",""),"0",""),"-",""))))),1,0)+IF(OR(D439="X",D439="x",AND(COUNTA(B439,C439,E439,F439)&gt;0,(LEN(SUBSTITUTE(SUBSTITUTE(SUBSTITUTE(B439," ",""),"0",""),"-",""))+LEN(SUBSTITUTE(SUBSTITUTE(SUBSTITUTE(C439," ",""),"0",""),"-","")))=(LEN(SUBSTITUTE(SUBSTITUTE(SUBSTITUTE(E439," ",""),"0",""),"-",""))+LEN(SUBSTITUTE(SUBSTITUTE(SUBSTITUTE(F439," ",""),"0",""),"-",""))))),1,0)),0)+IF(OR(COUNTA(B443:C447,E443:F447)&gt;0,OR(D442="X",D442="x"),UPPER(D443)="X",UPPER(D444)="X",UPPER(D445)="X",UPPER(D446)="X",UPPER(D447)="X"),(IF(OR(D443="X",D443="x",AND(COUNTA(B443,C443,E443,F443)&gt;0,(LEN(SUBSTITUTE(SUBSTITUTE(SUBSTITUTE(B443," ",""),"0",""),"-",""))+LEN(SUBSTITUTE(SUBSTITUTE(SUBSTITUTE(C443," ",""),"0",""),"-","")))=(LEN(SUBSTITUTE(SUBSTITUTE(SUBSTITUTE(E443," ",""),"0",""),"-",""))+LEN(SUBSTITUTE(SUBSTITUTE(SUBSTITUTE(F443," ",""),"0",""),"-",""))))),1,0)+IF(OR(D444="X",D444="x",AND(COUNTA(B444,C444,E444,F444)&gt;0,(LEN(SUBSTITUTE(SUBSTITUTE(SUBSTITUTE(B444," ",""),"0",""),"-",""))+LEN(SUBSTITUTE(SUBSTITUTE(SUBSTITUTE(C444," ",""),"0",""),"-","")))=(LEN(SUBSTITUTE(SUBSTITUTE(SUBSTITUTE(E444," ",""),"0",""),"-",""))+LEN(SUBSTITUTE(SUBSTITUTE(SUBSTITUTE(F444," ",""),"0",""),"-",""))))),1,0)+IF(OR(D445="X",D445="x",AND(COUNTA(B445,C445,E445,F445)&gt;0,(LEN(SUBSTITUTE(SUBSTITUTE(SUBSTITUTE(B445," ",""),"0",""),"-",""))+LEN(SUBSTITUTE(SUBSTITUTE(SUBSTITUTE(C445," ",""),"0",""),"-","")))=(LEN(SUBSTITUTE(SUBSTITUTE(SUBSTITUTE(E445," ",""),"0",""),"-",""))+LEN(SUBSTITUTE(SUBSTITUTE(SUBSTITUTE(F445," ",""),"0",""),"-",""))))),1,0)+IF(OR(D446="X",D446="x",AND(COUNTA(B446,C446,E446,F446)&gt;0,(LEN(SUBSTITUTE(SUBSTITUTE(SUBSTITUTE(B446," ",""),"0",""),"-",""))+LEN(SUBSTITUTE(SUBSTITUTE(SUBSTITUTE(C446," ",""),"0",""),"-","")))=(LEN(SUBSTITUTE(SUBSTITUTE(SUBSTITUTE(E446," ",""),"0",""),"-",""))+LEN(SUBSTITUTE(SUBSTITUTE(SUBSTITUTE(F446," ",""),"0",""),"-",""))))),1,0)+IF(OR(D447="X",D447="x",AND(COUNTA(B447,C447,E447,F447)&gt;0,(LEN(SUBSTITUTE(SUBSTITUTE(SUBSTITUTE(B447," ",""),"0",""),"-",""))+LEN(SUBSTITUTE(SUBSTITUTE(SUBSTITUTE(C447," ",""),"0",""),"-","")))=(LEN(SUBSTITUTE(SUBSTITUTE(SUBSTITUTE(E447," ",""),"0",""),"-",""))+LEN(SUBSTITUTE(SUBSTITUTE(SUBSTITUTE(F447," ",""),"0",""),"-",""))))),1,0)),0)</f>
      </c>
      <c r="E464" s="14" t="str">
        <f>E434+E442</f>
      </c>
      <c r="F464" s="14" t="str">
        <f>C434+C442</f>
      </c>
      <c r="I464" s="14" t="str">
        <f>data!$E$80&amp;" "&amp;data!$B$80</f>
      </c>
      <c r="J464" s="14" t="str">
        <f>IF(OR(COUNTA(J435:K439,M435:N439)&gt;0,OR(L434="X",L434="x"),UPPER(L435)="X",UPPER(L436)="X",UPPER(L437)="X",UPPER(L438)="X",UPPER(L439)="X"),N434,0)+IF(OR(COUNTA(J443:K447,M443:N447)&gt;0,OR(L442="X",L442="x"),UPPER(L443)="X",UPPER(L444)="X",UPPER(L445)="X",UPPER(L446)="X",UPPER(L447)="X"),N442,0)</f>
      </c>
      <c r="K464" s="14" t="str">
        <f>IF(OR(COUNTA(J435:K439,M435:N439)&gt;0,OR(L434="X",L434="x"),UPPER(L435)="X",UPPER(L436)="X",UPPER(L437)="X",UPPER(L438)="X",UPPER(L439)="X"),J434,0)+IF(OR(COUNTA(J443:K447,M443:N447)&gt;0,OR(L442="X",L442="x"),UPPER(L443)="X",UPPER(L444)="X",UPPER(L445)="X",UPPER(L446)="X",UPPER(L447)="X"),J442,0)</f>
      </c>
      <c r="L464" s="14" t="str">
        <f>IF(OR(COUNTA(J435:K439,M435:N439)&gt;0,OR(L434="X",L434="x"),UPPER(L435)="X",UPPER(L436)="X",UPPER(L437)="X",UPPER(L438)="X",UPPER(L439)="X"),(IF(OR(L435="X",L435="x",AND(COUNTA(J435,K435,M435,N435)&gt;0,(LEN(SUBSTITUTE(SUBSTITUTE(SUBSTITUTE(J435," ",""),"0",""),"-",""))+LEN(SUBSTITUTE(SUBSTITUTE(SUBSTITUTE(K435," ",""),"0",""),"-","")))=(LEN(SUBSTITUTE(SUBSTITUTE(SUBSTITUTE(M435," ",""),"0",""),"-",""))+LEN(SUBSTITUTE(SUBSTITUTE(SUBSTITUTE(N435," ",""),"0",""),"-",""))))),1,0)+IF(OR(L436="X",L436="x",AND(COUNTA(J436,K436,M436,N436)&gt;0,(LEN(SUBSTITUTE(SUBSTITUTE(SUBSTITUTE(J436," ",""),"0",""),"-",""))+LEN(SUBSTITUTE(SUBSTITUTE(SUBSTITUTE(K436," ",""),"0",""),"-","")))=(LEN(SUBSTITUTE(SUBSTITUTE(SUBSTITUTE(M436," ",""),"0",""),"-",""))+LEN(SUBSTITUTE(SUBSTITUTE(SUBSTITUTE(N436," ",""),"0",""),"-",""))))),1,0)+IF(OR(L437="X",L437="x",AND(COUNTA(J437,K437,M437,N437)&gt;0,(LEN(SUBSTITUTE(SUBSTITUTE(SUBSTITUTE(J437," ",""),"0",""),"-",""))+LEN(SUBSTITUTE(SUBSTITUTE(SUBSTITUTE(K437," ",""),"0",""),"-","")))=(LEN(SUBSTITUTE(SUBSTITUTE(SUBSTITUTE(M437," ",""),"0",""),"-",""))+LEN(SUBSTITUTE(SUBSTITUTE(SUBSTITUTE(N437," ",""),"0",""),"-",""))))),1,0)+IF(OR(L438="X",L438="x",AND(COUNTA(J438,K438,M438,N438)&gt;0,(LEN(SUBSTITUTE(SUBSTITUTE(SUBSTITUTE(J438," ",""),"0",""),"-",""))+LEN(SUBSTITUTE(SUBSTITUTE(SUBSTITUTE(K438," ",""),"0",""),"-","")))=(LEN(SUBSTITUTE(SUBSTITUTE(SUBSTITUTE(M438," ",""),"0",""),"-",""))+LEN(SUBSTITUTE(SUBSTITUTE(SUBSTITUTE(N438," ",""),"0",""),"-",""))))),1,0)+IF(OR(L439="X",L439="x",AND(COUNTA(J439,K439,M439,N439)&gt;0,(LEN(SUBSTITUTE(SUBSTITUTE(SUBSTITUTE(J439," ",""),"0",""),"-",""))+LEN(SUBSTITUTE(SUBSTITUTE(SUBSTITUTE(K439," ",""),"0",""),"-","")))=(LEN(SUBSTITUTE(SUBSTITUTE(SUBSTITUTE(M439," ",""),"0",""),"-",""))+LEN(SUBSTITUTE(SUBSTITUTE(SUBSTITUTE(N439," ",""),"0",""),"-",""))))),1,0)),0)+IF(OR(COUNTA(J443:K447,M443:N447)&gt;0,OR(L442="X",L442="x"),UPPER(L443)="X",UPPER(L444)="X",UPPER(L445)="X",UPPER(L446)="X",UPPER(L447)="X"),(IF(OR(L443="X",L443="x",AND(COUNTA(J443,K443,M443,N443)&gt;0,(LEN(SUBSTITUTE(SUBSTITUTE(SUBSTITUTE(J443," ",""),"0",""),"-",""))+LEN(SUBSTITUTE(SUBSTITUTE(SUBSTITUTE(K443," ",""),"0",""),"-","")))=(LEN(SUBSTITUTE(SUBSTITUTE(SUBSTITUTE(M443," ",""),"0",""),"-",""))+LEN(SUBSTITUTE(SUBSTITUTE(SUBSTITUTE(N443," ",""),"0",""),"-",""))))),1,0)+IF(OR(L444="X",L444="x",AND(COUNTA(J444,K444,M444,N444)&gt;0,(LEN(SUBSTITUTE(SUBSTITUTE(SUBSTITUTE(J444," ",""),"0",""),"-",""))+LEN(SUBSTITUTE(SUBSTITUTE(SUBSTITUTE(K444," ",""),"0",""),"-","")))=(LEN(SUBSTITUTE(SUBSTITUTE(SUBSTITUTE(M444," ",""),"0",""),"-",""))+LEN(SUBSTITUTE(SUBSTITUTE(SUBSTITUTE(N444," ",""),"0",""),"-",""))))),1,0)+IF(OR(L445="X",L445="x",AND(COUNTA(J445,K445,M445,N445)&gt;0,(LEN(SUBSTITUTE(SUBSTITUTE(SUBSTITUTE(J445," ",""),"0",""),"-",""))+LEN(SUBSTITUTE(SUBSTITUTE(SUBSTITUTE(K445," ",""),"0",""),"-","")))=(LEN(SUBSTITUTE(SUBSTITUTE(SUBSTITUTE(M445," ",""),"0",""),"-",""))+LEN(SUBSTITUTE(SUBSTITUTE(SUBSTITUTE(N445," ",""),"0",""),"-",""))))),1,0)+IF(OR(L446="X",L446="x",AND(COUNTA(J446,K446,M446,N446)&gt;0,(LEN(SUBSTITUTE(SUBSTITUTE(SUBSTITUTE(J446," ",""),"0",""),"-",""))+LEN(SUBSTITUTE(SUBSTITUTE(SUBSTITUTE(K446," ",""),"0",""),"-","")))=(LEN(SUBSTITUTE(SUBSTITUTE(SUBSTITUTE(M446," ",""),"0",""),"-",""))+LEN(SUBSTITUTE(SUBSTITUTE(SUBSTITUTE(N446," ",""),"0",""),"-",""))))),1,0)+IF(OR(L447="X",L447="x",AND(COUNTA(J447,K447,M447,N447)&gt;0,(LEN(SUBSTITUTE(SUBSTITUTE(SUBSTITUTE(J447," ",""),"0",""),"-",""))+LEN(SUBSTITUTE(SUBSTITUTE(SUBSTITUTE(K447," ",""),"0",""),"-","")))=(LEN(SUBSTITUTE(SUBSTITUTE(SUBSTITUTE(M447," ",""),"0",""),"-",""))+LEN(SUBSTITUTE(SUBSTITUTE(SUBSTITUTE(N447," ",""),"0",""),"-",""))))),1,0)),0)</f>
      </c>
      <c r="M464" s="14" t="str">
        <f>M434+M442</f>
      </c>
      <c r="N464" s="14" t="str">
        <f>K434+K442</f>
      </c>
    </row>
    <row r="465">
      <c r="A465" s="14" t="str">
        <f>data!$E$34&amp;" "&amp;data!$B$34</f>
      </c>
      <c r="B465" s="14" t="str">
        <f>IF(OR(COUNTA(B435:C439,E435:F439)&gt;0,OR(D434="X",D434="x"),UPPER(D435)="X",UPPER(D436)="X",UPPER(D437)="X",UPPER(D438)="X",UPPER(D439)="X"),B434,0)+IF(OR(COUNTA(B451:C455,E451:F455)&gt;0,OR(D450="X",D450="x"),UPPER(D451)="X",UPPER(D452)="X",UPPER(D453)="X",UPPER(D454)="X",UPPER(D455)="X"),F450,0)</f>
      </c>
      <c r="C465" s="14" t="str">
        <f>IF(OR(COUNTA(B435:C439,E435:F439)&gt;0,OR(D434="X",D434="x"),UPPER(D435)="X",UPPER(D436)="X",UPPER(D437)="X",UPPER(D438)="X",UPPER(D439)="X"),F434,0)+IF(OR(COUNTA(B451:C455,E451:F455)&gt;0,OR(D450="X",D450="x"),UPPER(D451)="X",UPPER(D452)="X",UPPER(D453)="X",UPPER(D454)="X",UPPER(D455)="X"),B450,0)</f>
      </c>
      <c r="D465" s="14" t="str">
        <f>IF(OR(COUNTA(B435:C439,E435:F439)&gt;0,OR(D434="X",D434="x"),UPPER(D435)="X",UPPER(D436)="X",UPPER(D437)="X",UPPER(D438)="X",UPPER(D439)="X"),(IF(OR(D435="X",D435="x",AND(COUNTA(B435,C435,E435,F435)&gt;0,(LEN(SUBSTITUTE(SUBSTITUTE(SUBSTITUTE(B435," ",""),"0",""),"-",""))+LEN(SUBSTITUTE(SUBSTITUTE(SUBSTITUTE(C435," ",""),"0",""),"-","")))=(LEN(SUBSTITUTE(SUBSTITUTE(SUBSTITUTE(E435," ",""),"0",""),"-",""))+LEN(SUBSTITUTE(SUBSTITUTE(SUBSTITUTE(F435," ",""),"0",""),"-",""))))),1,0)+IF(OR(D436="X",D436="x",AND(COUNTA(B436,C436,E436,F436)&gt;0,(LEN(SUBSTITUTE(SUBSTITUTE(SUBSTITUTE(B436," ",""),"0",""),"-",""))+LEN(SUBSTITUTE(SUBSTITUTE(SUBSTITUTE(C436," ",""),"0",""),"-","")))=(LEN(SUBSTITUTE(SUBSTITUTE(SUBSTITUTE(E436," ",""),"0",""),"-",""))+LEN(SUBSTITUTE(SUBSTITUTE(SUBSTITUTE(F436," ",""),"0",""),"-",""))))),1,0)+IF(OR(D437="X",D437="x",AND(COUNTA(B437,C437,E437,F437)&gt;0,(LEN(SUBSTITUTE(SUBSTITUTE(SUBSTITUTE(B437," ",""),"0",""),"-",""))+LEN(SUBSTITUTE(SUBSTITUTE(SUBSTITUTE(C437," ",""),"0",""),"-","")))=(LEN(SUBSTITUTE(SUBSTITUTE(SUBSTITUTE(E437," ",""),"0",""),"-",""))+LEN(SUBSTITUTE(SUBSTITUTE(SUBSTITUTE(F437," ",""),"0",""),"-",""))))),1,0)+IF(OR(D438="X",D438="x",AND(COUNTA(B438,C438,E438,F438)&gt;0,(LEN(SUBSTITUTE(SUBSTITUTE(SUBSTITUTE(B438," ",""),"0",""),"-",""))+LEN(SUBSTITUTE(SUBSTITUTE(SUBSTITUTE(C438," ",""),"0",""),"-","")))=(LEN(SUBSTITUTE(SUBSTITUTE(SUBSTITUTE(E438," ",""),"0",""),"-",""))+LEN(SUBSTITUTE(SUBSTITUTE(SUBSTITUTE(F438," ",""),"0",""),"-",""))))),1,0)+IF(OR(D439="X",D439="x",AND(COUNTA(B439,C439,E439,F439)&gt;0,(LEN(SUBSTITUTE(SUBSTITUTE(SUBSTITUTE(B439," ",""),"0",""),"-",""))+LEN(SUBSTITUTE(SUBSTITUTE(SUBSTITUTE(C439," ",""),"0",""),"-","")))=(LEN(SUBSTITUTE(SUBSTITUTE(SUBSTITUTE(E439," ",""),"0",""),"-",""))+LEN(SUBSTITUTE(SUBSTITUTE(SUBSTITUTE(F439," ",""),"0",""),"-",""))))),1,0)),0)+IF(OR(COUNTA(B451:C455,E451:F455)&gt;0,OR(D450="X",D450="x"),UPPER(D451)="X",UPPER(D452)="X",UPPER(D453)="X",UPPER(D454)="X",UPPER(D455)="X"),(IF(OR(D451="X",D451="x",AND(COUNTA(B451,C451,E451,F451)&gt;0,(LEN(SUBSTITUTE(SUBSTITUTE(SUBSTITUTE(B451," ",""),"0",""),"-",""))+LEN(SUBSTITUTE(SUBSTITUTE(SUBSTITUTE(C451," ",""),"0",""),"-","")))=(LEN(SUBSTITUTE(SUBSTITUTE(SUBSTITUTE(E451," ",""),"0",""),"-",""))+LEN(SUBSTITUTE(SUBSTITUTE(SUBSTITUTE(F451," ",""),"0",""),"-",""))))),1,0)+IF(OR(D452="X",D452="x",AND(COUNTA(B452,C452,E452,F452)&gt;0,(LEN(SUBSTITUTE(SUBSTITUTE(SUBSTITUTE(B452," ",""),"0",""),"-",""))+LEN(SUBSTITUTE(SUBSTITUTE(SUBSTITUTE(C452," ",""),"0",""),"-","")))=(LEN(SUBSTITUTE(SUBSTITUTE(SUBSTITUTE(E452," ",""),"0",""),"-",""))+LEN(SUBSTITUTE(SUBSTITUTE(SUBSTITUTE(F452," ",""),"0",""),"-",""))))),1,0)+IF(OR(D453="X",D453="x",AND(COUNTA(B453,C453,E453,F453)&gt;0,(LEN(SUBSTITUTE(SUBSTITUTE(SUBSTITUTE(B453," ",""),"0",""),"-",""))+LEN(SUBSTITUTE(SUBSTITUTE(SUBSTITUTE(C453," ",""),"0",""),"-","")))=(LEN(SUBSTITUTE(SUBSTITUTE(SUBSTITUTE(E453," ",""),"0",""),"-",""))+LEN(SUBSTITUTE(SUBSTITUTE(SUBSTITUTE(F453," ",""),"0",""),"-",""))))),1,0)+IF(OR(D454="X",D454="x",AND(COUNTA(B454,C454,E454,F454)&gt;0,(LEN(SUBSTITUTE(SUBSTITUTE(SUBSTITUTE(B454," ",""),"0",""),"-",""))+LEN(SUBSTITUTE(SUBSTITUTE(SUBSTITUTE(C454," ",""),"0",""),"-","")))=(LEN(SUBSTITUTE(SUBSTITUTE(SUBSTITUTE(E454," ",""),"0",""),"-",""))+LEN(SUBSTITUTE(SUBSTITUTE(SUBSTITUTE(F454," ",""),"0",""),"-",""))))),1,0)+IF(OR(D455="X",D455="x",AND(COUNTA(B455,C455,E455,F455)&gt;0,(LEN(SUBSTITUTE(SUBSTITUTE(SUBSTITUTE(B455," ",""),"0",""),"-",""))+LEN(SUBSTITUTE(SUBSTITUTE(SUBSTITUTE(C455," ",""),"0",""),"-","")))=(LEN(SUBSTITUTE(SUBSTITUTE(SUBSTITUTE(E455," ",""),"0",""),"-",""))+LEN(SUBSTITUTE(SUBSTITUTE(SUBSTITUTE(F455," ",""),"0",""),"-",""))))),1,0)),0)</f>
      </c>
      <c r="E465" s="14" t="str">
        <f>C434+E450</f>
      </c>
      <c r="F465" s="14" t="str">
        <f>E434+C450</f>
      </c>
      <c r="I465" s="14" t="str">
        <f>data!$E$81&amp;" "&amp;data!$B$81</f>
      </c>
      <c r="J465" s="14" t="str">
        <f>IF(OR(COUNTA(J435:K439,M435:N439)&gt;0,OR(L434="X",L434="x"),UPPER(L435)="X",UPPER(L436)="X",UPPER(L437)="X",UPPER(L438)="X",UPPER(L439)="X"),J434,0)+IF(OR(COUNTA(J451:K455,M451:N455)&gt;0,OR(L450="X",L450="x"),UPPER(L451)="X",UPPER(L452)="X",UPPER(L453)="X",UPPER(L454)="X",UPPER(L455)="X"),N450,0)</f>
      </c>
      <c r="K465" s="14" t="str">
        <f>IF(OR(COUNTA(J435:K439,M435:N439)&gt;0,OR(L434="X",L434="x"),UPPER(L435)="X",UPPER(L436)="X",UPPER(L437)="X",UPPER(L438)="X",UPPER(L439)="X"),N434,0)+IF(OR(COUNTA(J451:K455,M451:N455)&gt;0,OR(L450="X",L450="x"),UPPER(L451)="X",UPPER(L452)="X",UPPER(L453)="X",UPPER(L454)="X",UPPER(L455)="X"),J450,0)</f>
      </c>
      <c r="L465" s="14" t="str">
        <f>IF(OR(COUNTA(J435:K439,M435:N439)&gt;0,OR(L434="X",L434="x"),UPPER(L435)="X",UPPER(L436)="X",UPPER(L437)="X",UPPER(L438)="X",UPPER(L439)="X"),(IF(OR(L435="X",L435="x",AND(COUNTA(J435,K435,M435,N435)&gt;0,(LEN(SUBSTITUTE(SUBSTITUTE(SUBSTITUTE(J435," ",""),"0",""),"-",""))+LEN(SUBSTITUTE(SUBSTITUTE(SUBSTITUTE(K435," ",""),"0",""),"-","")))=(LEN(SUBSTITUTE(SUBSTITUTE(SUBSTITUTE(M435," ",""),"0",""),"-",""))+LEN(SUBSTITUTE(SUBSTITUTE(SUBSTITUTE(N435," ",""),"0",""),"-",""))))),1,0)+IF(OR(L436="X",L436="x",AND(COUNTA(J436,K436,M436,N436)&gt;0,(LEN(SUBSTITUTE(SUBSTITUTE(SUBSTITUTE(J436," ",""),"0",""),"-",""))+LEN(SUBSTITUTE(SUBSTITUTE(SUBSTITUTE(K436," ",""),"0",""),"-","")))=(LEN(SUBSTITUTE(SUBSTITUTE(SUBSTITUTE(M436," ",""),"0",""),"-",""))+LEN(SUBSTITUTE(SUBSTITUTE(SUBSTITUTE(N436," ",""),"0",""),"-",""))))),1,0)+IF(OR(L437="X",L437="x",AND(COUNTA(J437,K437,M437,N437)&gt;0,(LEN(SUBSTITUTE(SUBSTITUTE(SUBSTITUTE(J437," ",""),"0",""),"-",""))+LEN(SUBSTITUTE(SUBSTITUTE(SUBSTITUTE(K437," ",""),"0",""),"-","")))=(LEN(SUBSTITUTE(SUBSTITUTE(SUBSTITUTE(M437," ",""),"0",""),"-",""))+LEN(SUBSTITUTE(SUBSTITUTE(SUBSTITUTE(N437," ",""),"0",""),"-",""))))),1,0)+IF(OR(L438="X",L438="x",AND(COUNTA(J438,K438,M438,N438)&gt;0,(LEN(SUBSTITUTE(SUBSTITUTE(SUBSTITUTE(J438," ",""),"0",""),"-",""))+LEN(SUBSTITUTE(SUBSTITUTE(SUBSTITUTE(K438," ",""),"0",""),"-","")))=(LEN(SUBSTITUTE(SUBSTITUTE(SUBSTITUTE(M438," ",""),"0",""),"-",""))+LEN(SUBSTITUTE(SUBSTITUTE(SUBSTITUTE(N438," ",""),"0",""),"-",""))))),1,0)+IF(OR(L439="X",L439="x",AND(COUNTA(J439,K439,M439,N439)&gt;0,(LEN(SUBSTITUTE(SUBSTITUTE(SUBSTITUTE(J439," ",""),"0",""),"-",""))+LEN(SUBSTITUTE(SUBSTITUTE(SUBSTITUTE(K439," ",""),"0",""),"-","")))=(LEN(SUBSTITUTE(SUBSTITUTE(SUBSTITUTE(M439," ",""),"0",""),"-",""))+LEN(SUBSTITUTE(SUBSTITUTE(SUBSTITUTE(N439," ",""),"0",""),"-",""))))),1,0)),0)+IF(OR(COUNTA(J451:K455,M451:N455)&gt;0,OR(L450="X",L450="x"),UPPER(L451)="X",UPPER(L452)="X",UPPER(L453)="X",UPPER(L454)="X",UPPER(L455)="X"),(IF(OR(L451="X",L451="x",AND(COUNTA(J451,K451,M451,N451)&gt;0,(LEN(SUBSTITUTE(SUBSTITUTE(SUBSTITUTE(J451," ",""),"0",""),"-",""))+LEN(SUBSTITUTE(SUBSTITUTE(SUBSTITUTE(K451," ",""),"0",""),"-","")))=(LEN(SUBSTITUTE(SUBSTITUTE(SUBSTITUTE(M451," ",""),"0",""),"-",""))+LEN(SUBSTITUTE(SUBSTITUTE(SUBSTITUTE(N451," ",""),"0",""),"-",""))))),1,0)+IF(OR(L452="X",L452="x",AND(COUNTA(J452,K452,M452,N452)&gt;0,(LEN(SUBSTITUTE(SUBSTITUTE(SUBSTITUTE(J452," ",""),"0",""),"-",""))+LEN(SUBSTITUTE(SUBSTITUTE(SUBSTITUTE(K452," ",""),"0",""),"-","")))=(LEN(SUBSTITUTE(SUBSTITUTE(SUBSTITUTE(M452," ",""),"0",""),"-",""))+LEN(SUBSTITUTE(SUBSTITUTE(SUBSTITUTE(N452," ",""),"0",""),"-",""))))),1,0)+IF(OR(L453="X",L453="x",AND(COUNTA(J453,K453,M453,N453)&gt;0,(LEN(SUBSTITUTE(SUBSTITUTE(SUBSTITUTE(J453," ",""),"0",""),"-",""))+LEN(SUBSTITUTE(SUBSTITUTE(SUBSTITUTE(K453," ",""),"0",""),"-","")))=(LEN(SUBSTITUTE(SUBSTITUTE(SUBSTITUTE(M453," ",""),"0",""),"-",""))+LEN(SUBSTITUTE(SUBSTITUTE(SUBSTITUTE(N453," ",""),"0",""),"-",""))))),1,0)+IF(OR(L454="X",L454="x",AND(COUNTA(J454,K454,M454,N454)&gt;0,(LEN(SUBSTITUTE(SUBSTITUTE(SUBSTITUTE(J454," ",""),"0",""),"-",""))+LEN(SUBSTITUTE(SUBSTITUTE(SUBSTITUTE(K454," ",""),"0",""),"-","")))=(LEN(SUBSTITUTE(SUBSTITUTE(SUBSTITUTE(M454," ",""),"0",""),"-",""))+LEN(SUBSTITUTE(SUBSTITUTE(SUBSTITUTE(N454," ",""),"0",""),"-",""))))),1,0)+IF(OR(L455="X",L455="x",AND(COUNTA(J455,K455,M455,N455)&gt;0,(LEN(SUBSTITUTE(SUBSTITUTE(SUBSTITUTE(J455," ",""),"0",""),"-",""))+LEN(SUBSTITUTE(SUBSTITUTE(SUBSTITUTE(K455," ",""),"0",""),"-","")))=(LEN(SUBSTITUTE(SUBSTITUTE(SUBSTITUTE(M455," ",""),"0",""),"-",""))+LEN(SUBSTITUTE(SUBSTITUTE(SUBSTITUTE(N455," ",""),"0",""),"-",""))))),1,0)),0)</f>
      </c>
      <c r="M465" s="14" t="str">
        <f>K434+M450</f>
      </c>
      <c r="N465" s="14" t="str">
        <f>M434+K450</f>
      </c>
    </row>
    <row r="466">
      <c r="A466" s="14" t="str">
        <f>data!$E$35&amp;" "&amp;data!$B$35</f>
      </c>
      <c r="B466" s="14" t="str">
        <f>IF(OR(COUNTA(B443:C447,E443:F447)&gt;0,OR(D442="X",D442="x"),UPPER(D443)="X",UPPER(D444)="X",UPPER(D445)="X",UPPER(D446)="X",UPPER(D447)="X"),B442,0)+IF(OR(COUNTA(B451:C455,E451:F455)&gt;0,OR(D450="X",D450="x"),UPPER(D451)="X",UPPER(D452)="X",UPPER(D453)="X",UPPER(D454)="X",UPPER(D455)="X"),B450,0)</f>
      </c>
      <c r="C466" s="14" t="str">
        <f>IF(OR(COUNTA(B443:C447,E443:F447)&gt;0,OR(D442="X",D442="x"),UPPER(D443)="X",UPPER(D444)="X",UPPER(D445)="X",UPPER(D446)="X",UPPER(D447)="X"),F442,0)+IF(OR(COUNTA(B451:C455,E451:F455)&gt;0,OR(D450="X",D450="x"),UPPER(D451)="X",UPPER(D452)="X",UPPER(D453)="X",UPPER(D454)="X",UPPER(D455)="X"),F450,0)</f>
      </c>
      <c r="D466" s="14" t="str">
        <f>IF(OR(COUNTA(B443:C447,E443:F447)&gt;0,OR(D442="X",D442="x"),UPPER(D443)="X",UPPER(D444)="X",UPPER(D445)="X",UPPER(D446)="X",UPPER(D447)="X"),(IF(OR(D443="X",D443="x",AND(COUNTA(B443,C443,E443,F443)&gt;0,(LEN(SUBSTITUTE(SUBSTITUTE(SUBSTITUTE(B443," ",""),"0",""),"-",""))+LEN(SUBSTITUTE(SUBSTITUTE(SUBSTITUTE(C443," ",""),"0",""),"-","")))=(LEN(SUBSTITUTE(SUBSTITUTE(SUBSTITUTE(E443," ",""),"0",""),"-",""))+LEN(SUBSTITUTE(SUBSTITUTE(SUBSTITUTE(F443," ",""),"0",""),"-",""))))),1,0)+IF(OR(D444="X",D444="x",AND(COUNTA(B444,C444,E444,F444)&gt;0,(LEN(SUBSTITUTE(SUBSTITUTE(SUBSTITUTE(B444," ",""),"0",""),"-",""))+LEN(SUBSTITUTE(SUBSTITUTE(SUBSTITUTE(C444," ",""),"0",""),"-","")))=(LEN(SUBSTITUTE(SUBSTITUTE(SUBSTITUTE(E444," ",""),"0",""),"-",""))+LEN(SUBSTITUTE(SUBSTITUTE(SUBSTITUTE(F444," ",""),"0",""),"-",""))))),1,0)+IF(OR(D445="X",D445="x",AND(COUNTA(B445,C445,E445,F445)&gt;0,(LEN(SUBSTITUTE(SUBSTITUTE(SUBSTITUTE(B445," ",""),"0",""),"-",""))+LEN(SUBSTITUTE(SUBSTITUTE(SUBSTITUTE(C445," ",""),"0",""),"-","")))=(LEN(SUBSTITUTE(SUBSTITUTE(SUBSTITUTE(E445," ",""),"0",""),"-",""))+LEN(SUBSTITUTE(SUBSTITUTE(SUBSTITUTE(F445," ",""),"0",""),"-",""))))),1,0)+IF(OR(D446="X",D446="x",AND(COUNTA(B446,C446,E446,F446)&gt;0,(LEN(SUBSTITUTE(SUBSTITUTE(SUBSTITUTE(B446," ",""),"0",""),"-",""))+LEN(SUBSTITUTE(SUBSTITUTE(SUBSTITUTE(C446," ",""),"0",""),"-","")))=(LEN(SUBSTITUTE(SUBSTITUTE(SUBSTITUTE(E446," ",""),"0",""),"-",""))+LEN(SUBSTITUTE(SUBSTITUTE(SUBSTITUTE(F446," ",""),"0",""),"-",""))))),1,0)+IF(OR(D447="X",D447="x",AND(COUNTA(B447,C447,E447,F447)&gt;0,(LEN(SUBSTITUTE(SUBSTITUTE(SUBSTITUTE(B447," ",""),"0",""),"-",""))+LEN(SUBSTITUTE(SUBSTITUTE(SUBSTITUTE(C447," ",""),"0",""),"-","")))=(LEN(SUBSTITUTE(SUBSTITUTE(SUBSTITUTE(E447," ",""),"0",""),"-",""))+LEN(SUBSTITUTE(SUBSTITUTE(SUBSTITUTE(F447," ",""),"0",""),"-",""))))),1,0)),0)+IF(OR(COUNTA(B451:C455,E451:F455)&gt;0,OR(D450="X",D450="x"),UPPER(D451)="X",UPPER(D452)="X",UPPER(D453)="X",UPPER(D454)="X",UPPER(D455)="X"),(IF(OR(D451="X",D451="x",AND(COUNTA(B451,C451,E451,F451)&gt;0,(LEN(SUBSTITUTE(SUBSTITUTE(SUBSTITUTE(B451," ",""),"0",""),"-",""))+LEN(SUBSTITUTE(SUBSTITUTE(SUBSTITUTE(C451," ",""),"0",""),"-","")))=(LEN(SUBSTITUTE(SUBSTITUTE(SUBSTITUTE(E451," ",""),"0",""),"-",""))+LEN(SUBSTITUTE(SUBSTITUTE(SUBSTITUTE(F451," ",""),"0",""),"-",""))))),1,0)+IF(OR(D452="X",D452="x",AND(COUNTA(B452,C452,E452,F452)&gt;0,(LEN(SUBSTITUTE(SUBSTITUTE(SUBSTITUTE(B452," ",""),"0",""),"-",""))+LEN(SUBSTITUTE(SUBSTITUTE(SUBSTITUTE(C452," ",""),"0",""),"-","")))=(LEN(SUBSTITUTE(SUBSTITUTE(SUBSTITUTE(E452," ",""),"0",""),"-",""))+LEN(SUBSTITUTE(SUBSTITUTE(SUBSTITUTE(F452," ",""),"0",""),"-",""))))),1,0)+IF(OR(D453="X",D453="x",AND(COUNTA(B453,C453,E453,F453)&gt;0,(LEN(SUBSTITUTE(SUBSTITUTE(SUBSTITUTE(B453," ",""),"0",""),"-",""))+LEN(SUBSTITUTE(SUBSTITUTE(SUBSTITUTE(C453," ",""),"0",""),"-","")))=(LEN(SUBSTITUTE(SUBSTITUTE(SUBSTITUTE(E453," ",""),"0",""),"-",""))+LEN(SUBSTITUTE(SUBSTITUTE(SUBSTITUTE(F453," ",""),"0",""),"-",""))))),1,0)+IF(OR(D454="X",D454="x",AND(COUNTA(B454,C454,E454,F454)&gt;0,(LEN(SUBSTITUTE(SUBSTITUTE(SUBSTITUTE(B454," ",""),"0",""),"-",""))+LEN(SUBSTITUTE(SUBSTITUTE(SUBSTITUTE(C454," ",""),"0",""),"-","")))=(LEN(SUBSTITUTE(SUBSTITUTE(SUBSTITUTE(E454," ",""),"0",""),"-",""))+LEN(SUBSTITUTE(SUBSTITUTE(SUBSTITUTE(F454," ",""),"0",""),"-",""))))),1,0)+IF(OR(D455="X",D455="x",AND(COUNTA(B455,C455,E455,F455)&gt;0,(LEN(SUBSTITUTE(SUBSTITUTE(SUBSTITUTE(B455," ",""),"0",""),"-",""))+LEN(SUBSTITUTE(SUBSTITUTE(SUBSTITUTE(C455," ",""),"0",""),"-","")))=(LEN(SUBSTITUTE(SUBSTITUTE(SUBSTITUTE(E455," ",""),"0",""),"-",""))+LEN(SUBSTITUTE(SUBSTITUTE(SUBSTITUTE(F455," ",""),"0",""),"-",""))))),1,0)),0)</f>
      </c>
      <c r="E466" s="14" t="str">
        <f>C442+C450</f>
      </c>
      <c r="F466" s="14" t="str">
        <f>E442+E450</f>
      </c>
      <c r="I466" s="14" t="str">
        <f>data!$E$82&amp;" "&amp;data!$B$82</f>
      </c>
      <c r="J466" s="14" t="str">
        <f>IF(OR(COUNTA(J443:K447,M443:N447)&gt;0,OR(L442="X",L442="x"),UPPER(L443)="X",UPPER(L444)="X",UPPER(L445)="X",UPPER(L446)="X",UPPER(L447)="X"),J442,0)+IF(OR(COUNTA(J451:K455,M451:N455)&gt;0,OR(L450="X",L450="x"),UPPER(L451)="X",UPPER(L452)="X",UPPER(L453)="X",UPPER(L454)="X",UPPER(L455)="X"),J450,0)</f>
      </c>
      <c r="K466" s="14" t="str">
        <f>IF(OR(COUNTA(J443:K447,M443:N447)&gt;0,OR(L442="X",L442="x"),UPPER(L443)="X",UPPER(L444)="X",UPPER(L445)="X",UPPER(L446)="X",UPPER(L447)="X"),N442,0)+IF(OR(COUNTA(J451:K455,M451:N455)&gt;0,OR(L450="X",L450="x"),UPPER(L451)="X",UPPER(L452)="X",UPPER(L453)="X",UPPER(L454)="X",UPPER(L455)="X"),N450,0)</f>
      </c>
      <c r="L466" s="14" t="str">
        <f>IF(OR(COUNTA(J443:K447,M443:N447)&gt;0,OR(L442="X",L442="x"),UPPER(L443)="X",UPPER(L444)="X",UPPER(L445)="X",UPPER(L446)="X",UPPER(L447)="X"),(IF(OR(L443="X",L443="x",AND(COUNTA(J443,K443,M443,N443)&gt;0,(LEN(SUBSTITUTE(SUBSTITUTE(SUBSTITUTE(J443," ",""),"0",""),"-",""))+LEN(SUBSTITUTE(SUBSTITUTE(SUBSTITUTE(K443," ",""),"0",""),"-","")))=(LEN(SUBSTITUTE(SUBSTITUTE(SUBSTITUTE(M443," ",""),"0",""),"-",""))+LEN(SUBSTITUTE(SUBSTITUTE(SUBSTITUTE(N443," ",""),"0",""),"-",""))))),1,0)+IF(OR(L444="X",L444="x",AND(COUNTA(J444,K444,M444,N444)&gt;0,(LEN(SUBSTITUTE(SUBSTITUTE(SUBSTITUTE(J444," ",""),"0",""),"-",""))+LEN(SUBSTITUTE(SUBSTITUTE(SUBSTITUTE(K444," ",""),"0",""),"-","")))=(LEN(SUBSTITUTE(SUBSTITUTE(SUBSTITUTE(M444," ",""),"0",""),"-",""))+LEN(SUBSTITUTE(SUBSTITUTE(SUBSTITUTE(N444," ",""),"0",""),"-",""))))),1,0)+IF(OR(L445="X",L445="x",AND(COUNTA(J445,K445,M445,N445)&gt;0,(LEN(SUBSTITUTE(SUBSTITUTE(SUBSTITUTE(J445," ",""),"0",""),"-",""))+LEN(SUBSTITUTE(SUBSTITUTE(SUBSTITUTE(K445," ",""),"0",""),"-","")))=(LEN(SUBSTITUTE(SUBSTITUTE(SUBSTITUTE(M445," ",""),"0",""),"-",""))+LEN(SUBSTITUTE(SUBSTITUTE(SUBSTITUTE(N445," ",""),"0",""),"-",""))))),1,0)+IF(OR(L446="X",L446="x",AND(COUNTA(J446,K446,M446,N446)&gt;0,(LEN(SUBSTITUTE(SUBSTITUTE(SUBSTITUTE(J446," ",""),"0",""),"-",""))+LEN(SUBSTITUTE(SUBSTITUTE(SUBSTITUTE(K446," ",""),"0",""),"-","")))=(LEN(SUBSTITUTE(SUBSTITUTE(SUBSTITUTE(M446," ",""),"0",""),"-",""))+LEN(SUBSTITUTE(SUBSTITUTE(SUBSTITUTE(N446," ",""),"0",""),"-",""))))),1,0)+IF(OR(L447="X",L447="x",AND(COUNTA(J447,K447,M447,N447)&gt;0,(LEN(SUBSTITUTE(SUBSTITUTE(SUBSTITUTE(J447," ",""),"0",""),"-",""))+LEN(SUBSTITUTE(SUBSTITUTE(SUBSTITUTE(K447," ",""),"0",""),"-","")))=(LEN(SUBSTITUTE(SUBSTITUTE(SUBSTITUTE(M447," ",""),"0",""),"-",""))+LEN(SUBSTITUTE(SUBSTITUTE(SUBSTITUTE(N447," ",""),"0",""),"-",""))))),1,0)),0)+IF(OR(COUNTA(J451:K455,M451:N455)&gt;0,OR(L450="X",L450="x"),UPPER(L451)="X",UPPER(L452)="X",UPPER(L453)="X",UPPER(L454)="X",UPPER(L455)="X"),(IF(OR(L451="X",L451="x",AND(COUNTA(J451,K451,M451,N451)&gt;0,(LEN(SUBSTITUTE(SUBSTITUTE(SUBSTITUTE(J451," ",""),"0",""),"-",""))+LEN(SUBSTITUTE(SUBSTITUTE(SUBSTITUTE(K451," ",""),"0",""),"-","")))=(LEN(SUBSTITUTE(SUBSTITUTE(SUBSTITUTE(M451," ",""),"0",""),"-",""))+LEN(SUBSTITUTE(SUBSTITUTE(SUBSTITUTE(N451," ",""),"0",""),"-",""))))),1,0)+IF(OR(L452="X",L452="x",AND(COUNTA(J452,K452,M452,N452)&gt;0,(LEN(SUBSTITUTE(SUBSTITUTE(SUBSTITUTE(J452," ",""),"0",""),"-",""))+LEN(SUBSTITUTE(SUBSTITUTE(SUBSTITUTE(K452," ",""),"0",""),"-","")))=(LEN(SUBSTITUTE(SUBSTITUTE(SUBSTITUTE(M452," ",""),"0",""),"-",""))+LEN(SUBSTITUTE(SUBSTITUTE(SUBSTITUTE(N452," ",""),"0",""),"-",""))))),1,0)+IF(OR(L453="X",L453="x",AND(COUNTA(J453,K453,M453,N453)&gt;0,(LEN(SUBSTITUTE(SUBSTITUTE(SUBSTITUTE(J453," ",""),"0",""),"-",""))+LEN(SUBSTITUTE(SUBSTITUTE(SUBSTITUTE(K453," ",""),"0",""),"-","")))=(LEN(SUBSTITUTE(SUBSTITUTE(SUBSTITUTE(M453," ",""),"0",""),"-",""))+LEN(SUBSTITUTE(SUBSTITUTE(SUBSTITUTE(N453," ",""),"0",""),"-",""))))),1,0)+IF(OR(L454="X",L454="x",AND(COUNTA(J454,K454,M454,N454)&gt;0,(LEN(SUBSTITUTE(SUBSTITUTE(SUBSTITUTE(J454," ",""),"0",""),"-",""))+LEN(SUBSTITUTE(SUBSTITUTE(SUBSTITUTE(K454," ",""),"0",""),"-","")))=(LEN(SUBSTITUTE(SUBSTITUTE(SUBSTITUTE(M454," ",""),"0",""),"-",""))+LEN(SUBSTITUTE(SUBSTITUTE(SUBSTITUTE(N454," ",""),"0",""),"-",""))))),1,0)+IF(OR(L455="X",L455="x",AND(COUNTA(J455,K455,M455,N455)&gt;0,(LEN(SUBSTITUTE(SUBSTITUTE(SUBSTITUTE(J455," ",""),"0",""),"-",""))+LEN(SUBSTITUTE(SUBSTITUTE(SUBSTITUTE(K455," ",""),"0",""),"-","")))=(LEN(SUBSTITUTE(SUBSTITUTE(SUBSTITUTE(M455," ",""),"0",""),"-",""))+LEN(SUBSTITUTE(SUBSTITUTE(SUBSTITUTE(N455," ",""),"0",""),"-",""))))),1,0)),0)</f>
      </c>
      <c r="M466" s="14" t="str">
        <f>K442+K450</f>
      </c>
      <c r="N466" s="14" t="str">
        <f>M442+M450</f>
      </c>
    </row>
    <row r="469">
      <c r="F469" s="13"/>
      <c r="G469" s="13" t="s">
        <v>344</v>
      </c>
      <c r="N469" s="13"/>
      <c r="O469" s="13" t="s">
        <v>344</v>
      </c>
    </row>
    <row r="470">
      <c r="F470" t="s">
        <v>345</v>
      </c>
      <c r="G470" s="19" t="str">
        <f>IFERROR(INDEX($A$459:$A$466, MATCH(1, $G$459:$G$466, 0)), "-")</f>
      </c>
      <c r="N470" t="s">
        <v>345</v>
      </c>
      <c r="O470" s="19" t="str">
        <f>IFERROR(INDEX($I$459:$I$466, MATCH(1, $O$459:$O$466, 0)), "-")</f>
      </c>
    </row>
    <row r="471">
      <c r="F471" t="s">
        <v>346</v>
      </c>
      <c r="G471" s="19" t="str">
        <f>IFERROR(INDEX($A$459:$A$466, MATCH(2, $G$459:$G$466, 0)), "-")</f>
      </c>
      <c r="N471" t="s">
        <v>346</v>
      </c>
      <c r="O471" s="19" t="str">
        <f>IFERROR(INDEX($I$459:$I$466, MATCH(2, $O$459:$O$466, 0)), "-")</f>
      </c>
    </row>
    <row r="472">
      <c r="F472" t="s">
        <v>347</v>
      </c>
      <c r="G472" s="19" t="str">
        <f>IFERROR(INDEX($A$459:$A$466, MATCH(3, $G$459:$G$466, 0)), "-")</f>
      </c>
      <c r="N472" t="s">
        <v>347</v>
      </c>
      <c r="O472" s="19" t="str">
        <f>IFERROR(INDEX($I$459:$I$466, MATCH(3, $O$459:$O$466, 0)), "-")</f>
      </c>
    </row>
    <row r="475">
      <c r="A475" s="13" t="str">
        <f>'data'!$A$38</f>
      </c>
      <c r="B475" s="13"/>
      <c r="C475" s="13"/>
      <c r="D475" s="13"/>
      <c r="E475" s="13"/>
      <c r="F475" s="13"/>
      <c r="G475" s="13"/>
      <c r="I475" s="13" t="str">
        <f>'data'!$A$85</f>
      </c>
      <c r="J475" s="13"/>
      <c r="K475" s="13"/>
      <c r="L475" s="13"/>
      <c r="M475" s="13"/>
      <c r="N475" s="13"/>
      <c r="O475" s="13"/>
    </row>
    <row r="476">
      <c r="A476" s="17" t="s">
        <v>331</v>
      </c>
      <c r="B476" s="14"/>
      <c r="C476" s="14"/>
      <c r="D476" s="14" t="s">
        <v>332</v>
      </c>
      <c r="E476" s="14"/>
      <c r="F476" s="14"/>
      <c r="G476" s="16" t="s">
        <v>333</v>
      </c>
      <c r="I476" s="17" t="s">
        <v>331</v>
      </c>
      <c r="J476" s="14"/>
      <c r="K476" s="14"/>
      <c r="L476" s="14" t="s">
        <v>332</v>
      </c>
      <c r="M476" s="14"/>
      <c r="N476" s="14"/>
      <c r="O476" s="16" t="s">
        <v>333</v>
      </c>
    </row>
    <row r="477">
      <c r="A477" s="14" t="str">
        <f>data!$E$37&amp;" "&amp;data!$B$37</f>
      </c>
      <c r="B477" s="14" t="str">
        <f>IF(UPPER(D478)="X",0,IF((LEN(SUBSTITUTE(SUBSTITUTE(SUBSTITUTE(B478," ",""),"0",""),"-",""))+LEN(SUBSTITUTE(SUBSTITUTE(SUBSTITUTE(C478," ",""),"0",""),"-","")))&gt;(LEN(SUBSTITUTE(SUBSTITUTE(SUBSTITUTE(E478," ",""),"0",""),"-",""))+LEN(SUBSTITUTE(SUBSTITUTE(SUBSTITUTE(F478," ",""),"0",""),"-",""))),1,0))+IF(UPPER(D479)="X",0,IF((LEN(SUBSTITUTE(SUBSTITUTE(SUBSTITUTE(B479," ",""),"0",""),"-",""))+LEN(SUBSTITUTE(SUBSTITUTE(SUBSTITUTE(C479," ",""),"0",""),"-","")))&gt;(LEN(SUBSTITUTE(SUBSTITUTE(SUBSTITUTE(E479," ",""),"0",""),"-",""))+LEN(SUBSTITUTE(SUBSTITUTE(SUBSTITUTE(F479," ",""),"0",""),"-",""))),1,0))+IF(UPPER(D480)="X",0,IF((LEN(SUBSTITUTE(SUBSTITUTE(SUBSTITUTE(B480," ",""),"0",""),"-",""))+LEN(SUBSTITUTE(SUBSTITUTE(SUBSTITUTE(C480," ",""),"0",""),"-","")))&gt;(LEN(SUBSTITUTE(SUBSTITUTE(SUBSTITUTE(E480," ",""),"0",""),"-",""))+LEN(SUBSTITUTE(SUBSTITUTE(SUBSTITUTE(F480," ",""),"0",""),"-",""))),1,0))+IF(UPPER(D481)="X",0,IF((LEN(SUBSTITUTE(SUBSTITUTE(SUBSTITUTE(B481," ",""),"0",""),"-",""))+LEN(SUBSTITUTE(SUBSTITUTE(SUBSTITUTE(C481," ",""),"0",""),"-","")))&gt;(LEN(SUBSTITUTE(SUBSTITUTE(SUBSTITUTE(E481," ",""),"0",""),"-",""))+LEN(SUBSTITUTE(SUBSTITUTE(SUBSTITUTE(F481," ",""),"0",""),"-",""))),1,0))+IF(UPPER(D482)="X",0,IF((LEN(SUBSTITUTE(SUBSTITUTE(SUBSTITUTE(B482," ",""),"0",""),"-",""))+LEN(SUBSTITUTE(SUBSTITUTE(SUBSTITUTE(C482," ",""),"0",""),"-","")))&gt;(LEN(SUBSTITUTE(SUBSTITUTE(SUBSTITUTE(E482," ",""),"0",""),"-",""))+LEN(SUBSTITUTE(SUBSTITUTE(SUBSTITUTE(F482," ",""),"0",""),"-",""))),1,0))</f>
      </c>
      <c r="C477" s="14" t="str">
        <f>LEN(SUBSTITUTE(SUBSTITUTE(SUBSTITUTE(B478," ",""),"0",""),"-",""))+LEN(SUBSTITUTE(SUBSTITUTE(SUBSTITUTE(C478," ",""),"0",""),"-",""))+LEN(SUBSTITUTE(SUBSTITUTE(SUBSTITUTE(B479," ",""),"0",""),"-",""))+LEN(SUBSTITUTE(SUBSTITUTE(SUBSTITUTE(C479," ",""),"0",""),"-",""))+LEN(SUBSTITUTE(SUBSTITUTE(SUBSTITUTE(B480," ",""),"0",""),"-",""))+LEN(SUBSTITUTE(SUBSTITUTE(SUBSTITUTE(C480," ",""),"0",""),"-",""))+LEN(SUBSTITUTE(SUBSTITUTE(SUBSTITUTE(B481," ",""),"0",""),"-",""))+LEN(SUBSTITUTE(SUBSTITUTE(SUBSTITUTE(C481," ",""),"0",""),"-",""))+LEN(SUBSTITUTE(SUBSTITUTE(SUBSTITUTE(B482," ",""),"0",""),"-",""))+LEN(SUBSTITUTE(SUBSTITUTE(SUBSTITUTE(C482," ",""),"0",""),"-",""))</f>
      </c>
      <c r="D477" s="18"/>
      <c r="E477" s="14" t="str">
        <f>LEN(SUBSTITUTE(SUBSTITUTE(SUBSTITUTE(E478," ",""),"0",""),"-",""))+LEN(SUBSTITUTE(SUBSTITUTE(SUBSTITUTE(F478," ",""),"0",""),"-",""))+LEN(SUBSTITUTE(SUBSTITUTE(SUBSTITUTE(E479," ",""),"0",""),"-",""))+LEN(SUBSTITUTE(SUBSTITUTE(SUBSTITUTE(F479," ",""),"0",""),"-",""))+LEN(SUBSTITUTE(SUBSTITUTE(SUBSTITUTE(E480," ",""),"0",""),"-",""))+LEN(SUBSTITUTE(SUBSTITUTE(SUBSTITUTE(F480," ",""),"0",""),"-",""))+LEN(SUBSTITUTE(SUBSTITUTE(SUBSTITUTE(E481," ",""),"0",""),"-",""))+LEN(SUBSTITUTE(SUBSTITUTE(SUBSTITUTE(F481," ",""),"0",""),"-",""))+LEN(SUBSTITUTE(SUBSTITUTE(SUBSTITUTE(E482," ",""),"0",""),"-",""))+LEN(SUBSTITUTE(SUBSTITUTE(SUBSTITUTE(F482," ",""),"0",""),"-",""))</f>
      </c>
      <c r="F477" s="14" t="str">
        <f>IF(UPPER(D478)="X",0,IF((LEN(SUBSTITUTE(SUBSTITUTE(SUBSTITUTE(E478," ",""),"0",""),"-",""))+LEN(SUBSTITUTE(SUBSTITUTE(SUBSTITUTE(F478," ",""),"0",""),"-","")))&gt;(LEN(SUBSTITUTE(SUBSTITUTE(SUBSTITUTE(B478," ",""),"0",""),"-",""))+LEN(SUBSTITUTE(SUBSTITUTE(SUBSTITUTE(C478," ",""),"0",""),"-",""))),1,0))+IF(UPPER(D479)="X",0,IF((LEN(SUBSTITUTE(SUBSTITUTE(SUBSTITUTE(E479," ",""),"0",""),"-",""))+LEN(SUBSTITUTE(SUBSTITUTE(SUBSTITUTE(F479," ",""),"0",""),"-","")))&gt;(LEN(SUBSTITUTE(SUBSTITUTE(SUBSTITUTE(B479," ",""),"0",""),"-",""))+LEN(SUBSTITUTE(SUBSTITUTE(SUBSTITUTE(C479," ",""),"0",""),"-",""))),1,0))+IF(UPPER(D480)="X",0,IF((LEN(SUBSTITUTE(SUBSTITUTE(SUBSTITUTE(E480," ",""),"0",""),"-",""))+LEN(SUBSTITUTE(SUBSTITUTE(SUBSTITUTE(F480," ",""),"0",""),"-","")))&gt;(LEN(SUBSTITUTE(SUBSTITUTE(SUBSTITUTE(B480," ",""),"0",""),"-",""))+LEN(SUBSTITUTE(SUBSTITUTE(SUBSTITUTE(C480," ",""),"0",""),"-",""))),1,0))+IF(UPPER(D481)="X",0,IF((LEN(SUBSTITUTE(SUBSTITUTE(SUBSTITUTE(E481," ",""),"0",""),"-",""))+LEN(SUBSTITUTE(SUBSTITUTE(SUBSTITUTE(F481," ",""),"0",""),"-","")))&gt;(LEN(SUBSTITUTE(SUBSTITUTE(SUBSTITUTE(B481," ",""),"0",""),"-",""))+LEN(SUBSTITUTE(SUBSTITUTE(SUBSTITUTE(C481," ",""),"0",""),"-",""))),1,0))+IF(UPPER(D482)="X",0,IF((LEN(SUBSTITUTE(SUBSTITUTE(SUBSTITUTE(E482," ",""),"0",""),"-",""))+LEN(SUBSTITUTE(SUBSTITUTE(SUBSTITUTE(F482," ",""),"0",""),"-","")))&gt;(LEN(SUBSTITUTE(SUBSTITUTE(SUBSTITUTE(B482," ",""),"0",""),"-",""))+LEN(SUBSTITUTE(SUBSTITUTE(SUBSTITUTE(C482," ",""),"0",""),"-",""))),1,0))</f>
      </c>
      <c r="G477" s="14" t="str">
        <f>data!$E$36&amp;" "&amp;data!$B$36</f>
      </c>
      <c r="I477" s="14" t="str">
        <f>data!$E$84&amp;" "&amp;data!$B$84</f>
      </c>
      <c r="J477" s="14" t="str">
        <f>IF(UPPER(L478)="X",0,IF((LEN(SUBSTITUTE(SUBSTITUTE(SUBSTITUTE(J478," ",""),"0",""),"-",""))+LEN(SUBSTITUTE(SUBSTITUTE(SUBSTITUTE(K478," ",""),"0",""),"-","")))&gt;(LEN(SUBSTITUTE(SUBSTITUTE(SUBSTITUTE(M478," ",""),"0",""),"-",""))+LEN(SUBSTITUTE(SUBSTITUTE(SUBSTITUTE(N478," ",""),"0",""),"-",""))),1,0))+IF(UPPER(L479)="X",0,IF((LEN(SUBSTITUTE(SUBSTITUTE(SUBSTITUTE(J479," ",""),"0",""),"-",""))+LEN(SUBSTITUTE(SUBSTITUTE(SUBSTITUTE(K479," ",""),"0",""),"-","")))&gt;(LEN(SUBSTITUTE(SUBSTITUTE(SUBSTITUTE(M479," ",""),"0",""),"-",""))+LEN(SUBSTITUTE(SUBSTITUTE(SUBSTITUTE(N479," ",""),"0",""),"-",""))),1,0))+IF(UPPER(L480)="X",0,IF((LEN(SUBSTITUTE(SUBSTITUTE(SUBSTITUTE(J480," ",""),"0",""),"-",""))+LEN(SUBSTITUTE(SUBSTITUTE(SUBSTITUTE(K480," ",""),"0",""),"-","")))&gt;(LEN(SUBSTITUTE(SUBSTITUTE(SUBSTITUTE(M480," ",""),"0",""),"-",""))+LEN(SUBSTITUTE(SUBSTITUTE(SUBSTITUTE(N480," ",""),"0",""),"-",""))),1,0))+IF(UPPER(L481)="X",0,IF((LEN(SUBSTITUTE(SUBSTITUTE(SUBSTITUTE(J481," ",""),"0",""),"-",""))+LEN(SUBSTITUTE(SUBSTITUTE(SUBSTITUTE(K481," ",""),"0",""),"-","")))&gt;(LEN(SUBSTITUTE(SUBSTITUTE(SUBSTITUTE(M481," ",""),"0",""),"-",""))+LEN(SUBSTITUTE(SUBSTITUTE(SUBSTITUTE(N481," ",""),"0",""),"-",""))),1,0))+IF(UPPER(L482)="X",0,IF((LEN(SUBSTITUTE(SUBSTITUTE(SUBSTITUTE(J482," ",""),"0",""),"-",""))+LEN(SUBSTITUTE(SUBSTITUTE(SUBSTITUTE(K482," ",""),"0",""),"-","")))&gt;(LEN(SUBSTITUTE(SUBSTITUTE(SUBSTITUTE(M482," ",""),"0",""),"-",""))+LEN(SUBSTITUTE(SUBSTITUTE(SUBSTITUTE(N482," ",""),"0",""),"-",""))),1,0))</f>
      </c>
      <c r="K477" s="14" t="str">
        <f>LEN(SUBSTITUTE(SUBSTITUTE(SUBSTITUTE(J478," ",""),"0",""),"-",""))+LEN(SUBSTITUTE(SUBSTITUTE(SUBSTITUTE(K478," ",""),"0",""),"-",""))+LEN(SUBSTITUTE(SUBSTITUTE(SUBSTITUTE(J479," ",""),"0",""),"-",""))+LEN(SUBSTITUTE(SUBSTITUTE(SUBSTITUTE(K479," ",""),"0",""),"-",""))+LEN(SUBSTITUTE(SUBSTITUTE(SUBSTITUTE(J480," ",""),"0",""),"-",""))+LEN(SUBSTITUTE(SUBSTITUTE(SUBSTITUTE(K480," ",""),"0",""),"-",""))+LEN(SUBSTITUTE(SUBSTITUTE(SUBSTITUTE(J481," ",""),"0",""),"-",""))+LEN(SUBSTITUTE(SUBSTITUTE(SUBSTITUTE(K481," ",""),"0",""),"-",""))+LEN(SUBSTITUTE(SUBSTITUTE(SUBSTITUTE(J482," ",""),"0",""),"-",""))+LEN(SUBSTITUTE(SUBSTITUTE(SUBSTITUTE(K482," ",""),"0",""),"-",""))</f>
      </c>
      <c r="L477" s="18"/>
      <c r="M477" s="14" t="str">
        <f>LEN(SUBSTITUTE(SUBSTITUTE(SUBSTITUTE(M478," ",""),"0",""),"-",""))+LEN(SUBSTITUTE(SUBSTITUTE(SUBSTITUTE(N478," ",""),"0",""),"-",""))+LEN(SUBSTITUTE(SUBSTITUTE(SUBSTITUTE(M479," ",""),"0",""),"-",""))+LEN(SUBSTITUTE(SUBSTITUTE(SUBSTITUTE(N479," ",""),"0",""),"-",""))+LEN(SUBSTITUTE(SUBSTITUTE(SUBSTITUTE(M480," ",""),"0",""),"-",""))+LEN(SUBSTITUTE(SUBSTITUTE(SUBSTITUTE(N480," ",""),"0",""),"-",""))+LEN(SUBSTITUTE(SUBSTITUTE(SUBSTITUTE(M481," ",""),"0",""),"-",""))+LEN(SUBSTITUTE(SUBSTITUTE(SUBSTITUTE(N481," ",""),"0",""),"-",""))+LEN(SUBSTITUTE(SUBSTITUTE(SUBSTITUTE(M482," ",""),"0",""),"-",""))+LEN(SUBSTITUTE(SUBSTITUTE(SUBSTITUTE(N482," ",""),"0",""),"-",""))</f>
      </c>
      <c r="N477" s="14" t="str">
        <f>IF(UPPER(L478)="X",0,IF((LEN(SUBSTITUTE(SUBSTITUTE(SUBSTITUTE(M478," ",""),"0",""),"-",""))+LEN(SUBSTITUTE(SUBSTITUTE(SUBSTITUTE(N478," ",""),"0",""),"-","")))&gt;(LEN(SUBSTITUTE(SUBSTITUTE(SUBSTITUTE(J478," ",""),"0",""),"-",""))+LEN(SUBSTITUTE(SUBSTITUTE(SUBSTITUTE(K478," ",""),"0",""),"-",""))),1,0))+IF(UPPER(L479)="X",0,IF((LEN(SUBSTITUTE(SUBSTITUTE(SUBSTITUTE(M479," ",""),"0",""),"-",""))+LEN(SUBSTITUTE(SUBSTITUTE(SUBSTITUTE(N479," ",""),"0",""),"-","")))&gt;(LEN(SUBSTITUTE(SUBSTITUTE(SUBSTITUTE(J479," ",""),"0",""),"-",""))+LEN(SUBSTITUTE(SUBSTITUTE(SUBSTITUTE(K479," ",""),"0",""),"-",""))),1,0))+IF(UPPER(L480)="X",0,IF((LEN(SUBSTITUTE(SUBSTITUTE(SUBSTITUTE(M480," ",""),"0",""),"-",""))+LEN(SUBSTITUTE(SUBSTITUTE(SUBSTITUTE(N480," ",""),"0",""),"-","")))&gt;(LEN(SUBSTITUTE(SUBSTITUTE(SUBSTITUTE(J480," ",""),"0",""),"-",""))+LEN(SUBSTITUTE(SUBSTITUTE(SUBSTITUTE(K480," ",""),"0",""),"-",""))),1,0))+IF(UPPER(L481)="X",0,IF((LEN(SUBSTITUTE(SUBSTITUTE(SUBSTITUTE(M481," ",""),"0",""),"-",""))+LEN(SUBSTITUTE(SUBSTITUTE(SUBSTITUTE(N481," ",""),"0",""),"-","")))&gt;(LEN(SUBSTITUTE(SUBSTITUTE(SUBSTITUTE(J481," ",""),"0",""),"-",""))+LEN(SUBSTITUTE(SUBSTITUTE(SUBSTITUTE(K481," ",""),"0",""),"-",""))),1,0))+IF(UPPER(L482)="X",0,IF((LEN(SUBSTITUTE(SUBSTITUTE(SUBSTITUTE(M482," ",""),"0",""),"-",""))+LEN(SUBSTITUTE(SUBSTITUTE(SUBSTITUTE(N482," ",""),"0",""),"-","")))&gt;(LEN(SUBSTITUTE(SUBSTITUTE(SUBSTITUTE(J482," ",""),"0",""),"-",""))+LEN(SUBSTITUTE(SUBSTITUTE(SUBSTITUTE(K482," ",""),"0",""),"-",""))),1,0))</f>
      </c>
      <c r="O477" s="14" t="str">
        <f>data!$E$83&amp;" "&amp;data!$B$83</f>
      </c>
    </row>
    <row r="478">
      <c r="A478" s="14">
        <v>1</v>
      </c>
      <c r="B478" s="18"/>
      <c r="C478" s="18"/>
      <c r="D478" s="18"/>
      <c r="E478" s="18"/>
      <c r="F478" s="18"/>
      <c r="G478" s="14">
        <v>1</v>
      </c>
      <c r="I478" s="14">
        <v>1</v>
      </c>
      <c r="J478" s="18"/>
      <c r="K478" s="18"/>
      <c r="L478" s="18"/>
      <c r="M478" s="18"/>
      <c r="N478" s="18"/>
      <c r="O478" s="14">
        <v>1</v>
      </c>
    </row>
    <row r="479">
      <c r="A479" s="14">
        <v>2</v>
      </c>
      <c r="B479" s="18"/>
      <c r="C479" s="18"/>
      <c r="D479" s="18"/>
      <c r="E479" s="18"/>
      <c r="F479" s="18"/>
      <c r="G479" s="14">
        <v>2</v>
      </c>
      <c r="I479" s="14">
        <v>2</v>
      </c>
      <c r="J479" s="18"/>
      <c r="K479" s="18"/>
      <c r="L479" s="18"/>
      <c r="M479" s="18"/>
      <c r="N479" s="18"/>
      <c r="O479" s="14">
        <v>2</v>
      </c>
    </row>
    <row r="480">
      <c r="A480" s="14">
        <v>3</v>
      </c>
      <c r="B480" s="18"/>
      <c r="C480" s="18"/>
      <c r="D480" s="18"/>
      <c r="E480" s="18"/>
      <c r="F480" s="18"/>
      <c r="G480" s="14">
        <v>3</v>
      </c>
      <c r="I480" s="14">
        <v>3</v>
      </c>
      <c r="J480" s="18"/>
      <c r="K480" s="18"/>
      <c r="L480" s="18"/>
      <c r="M480" s="18"/>
      <c r="N480" s="18"/>
      <c r="O480" s="14">
        <v>3</v>
      </c>
    </row>
    <row r="481">
      <c r="A481" s="14">
        <v>4</v>
      </c>
      <c r="B481" s="18"/>
      <c r="C481" s="18"/>
      <c r="D481" s="18"/>
      <c r="E481" s="18"/>
      <c r="F481" s="18"/>
      <c r="G481" s="14">
        <v>4</v>
      </c>
      <c r="I481" s="14">
        <v>4</v>
      </c>
      <c r="J481" s="18"/>
      <c r="K481" s="18"/>
      <c r="L481" s="18"/>
      <c r="M481" s="18"/>
      <c r="N481" s="18"/>
      <c r="O481" s="14">
        <v>4</v>
      </c>
    </row>
    <row r="482">
      <c r="A482" s="14">
        <v>5</v>
      </c>
      <c r="B482" s="18"/>
      <c r="C482" s="18"/>
      <c r="D482" s="18"/>
      <c r="E482" s="18"/>
      <c r="F482" s="18"/>
      <c r="G482" s="14">
        <v>5</v>
      </c>
      <c r="I482" s="14">
        <v>5</v>
      </c>
      <c r="J482" s="18"/>
      <c r="K482" s="18"/>
      <c r="L482" s="18"/>
      <c r="M482" s="18"/>
      <c r="N482" s="18"/>
      <c r="O482" s="14">
        <v>5</v>
      </c>
    </row>
    <row r="484">
      <c r="A484" s="17" t="s">
        <v>331</v>
      </c>
      <c r="B484" s="14"/>
      <c r="C484" s="14"/>
      <c r="D484" s="14" t="s">
        <v>332</v>
      </c>
      <c r="E484" s="14"/>
      <c r="F484" s="14"/>
      <c r="G484" s="16" t="s">
        <v>333</v>
      </c>
      <c r="I484" s="17" t="s">
        <v>331</v>
      </c>
      <c r="J484" s="14"/>
      <c r="K484" s="14"/>
      <c r="L484" s="14" t="s">
        <v>332</v>
      </c>
      <c r="M484" s="14"/>
      <c r="N484" s="14"/>
      <c r="O484" s="16" t="s">
        <v>333</v>
      </c>
    </row>
    <row r="485">
      <c r="A485" s="14" t="str">
        <f>data!$E$38&amp;" "&amp;data!$B$38</f>
      </c>
      <c r="B485" s="14" t="str">
        <f>IF(UPPER(D486)="X",0,IF((LEN(SUBSTITUTE(SUBSTITUTE(SUBSTITUTE(B486," ",""),"0",""),"-",""))+LEN(SUBSTITUTE(SUBSTITUTE(SUBSTITUTE(C486," ",""),"0",""),"-","")))&gt;(LEN(SUBSTITUTE(SUBSTITUTE(SUBSTITUTE(E486," ",""),"0",""),"-",""))+LEN(SUBSTITUTE(SUBSTITUTE(SUBSTITUTE(F486," ",""),"0",""),"-",""))),1,0))+IF(UPPER(D487)="X",0,IF((LEN(SUBSTITUTE(SUBSTITUTE(SUBSTITUTE(B487," ",""),"0",""),"-",""))+LEN(SUBSTITUTE(SUBSTITUTE(SUBSTITUTE(C487," ",""),"0",""),"-","")))&gt;(LEN(SUBSTITUTE(SUBSTITUTE(SUBSTITUTE(E487," ",""),"0",""),"-",""))+LEN(SUBSTITUTE(SUBSTITUTE(SUBSTITUTE(F487," ",""),"0",""),"-",""))),1,0))+IF(UPPER(D488)="X",0,IF((LEN(SUBSTITUTE(SUBSTITUTE(SUBSTITUTE(B488," ",""),"0",""),"-",""))+LEN(SUBSTITUTE(SUBSTITUTE(SUBSTITUTE(C488," ",""),"0",""),"-","")))&gt;(LEN(SUBSTITUTE(SUBSTITUTE(SUBSTITUTE(E488," ",""),"0",""),"-",""))+LEN(SUBSTITUTE(SUBSTITUTE(SUBSTITUTE(F488," ",""),"0",""),"-",""))),1,0))+IF(UPPER(D489)="X",0,IF((LEN(SUBSTITUTE(SUBSTITUTE(SUBSTITUTE(B489," ",""),"0",""),"-",""))+LEN(SUBSTITUTE(SUBSTITUTE(SUBSTITUTE(C489," ",""),"0",""),"-","")))&gt;(LEN(SUBSTITUTE(SUBSTITUTE(SUBSTITUTE(E489," ",""),"0",""),"-",""))+LEN(SUBSTITUTE(SUBSTITUTE(SUBSTITUTE(F489," ",""),"0",""),"-",""))),1,0))+IF(UPPER(D490)="X",0,IF((LEN(SUBSTITUTE(SUBSTITUTE(SUBSTITUTE(B490," ",""),"0",""),"-",""))+LEN(SUBSTITUTE(SUBSTITUTE(SUBSTITUTE(C490," ",""),"0",""),"-","")))&gt;(LEN(SUBSTITUTE(SUBSTITUTE(SUBSTITUTE(E490," ",""),"0",""),"-",""))+LEN(SUBSTITUTE(SUBSTITUTE(SUBSTITUTE(F490," ",""),"0",""),"-",""))),1,0))</f>
      </c>
      <c r="C485" s="14" t="str">
        <f>LEN(SUBSTITUTE(SUBSTITUTE(SUBSTITUTE(B486," ",""),"0",""),"-",""))+LEN(SUBSTITUTE(SUBSTITUTE(SUBSTITUTE(C486," ",""),"0",""),"-",""))+LEN(SUBSTITUTE(SUBSTITUTE(SUBSTITUTE(B487," ",""),"0",""),"-",""))+LEN(SUBSTITUTE(SUBSTITUTE(SUBSTITUTE(C487," ",""),"0",""),"-",""))+LEN(SUBSTITUTE(SUBSTITUTE(SUBSTITUTE(B488," ",""),"0",""),"-",""))+LEN(SUBSTITUTE(SUBSTITUTE(SUBSTITUTE(C488," ",""),"0",""),"-",""))+LEN(SUBSTITUTE(SUBSTITUTE(SUBSTITUTE(B489," ",""),"0",""),"-",""))+LEN(SUBSTITUTE(SUBSTITUTE(SUBSTITUTE(C489," ",""),"0",""),"-",""))+LEN(SUBSTITUTE(SUBSTITUTE(SUBSTITUTE(B490," ",""),"0",""),"-",""))+LEN(SUBSTITUTE(SUBSTITUTE(SUBSTITUTE(C490," ",""),"0",""),"-",""))</f>
      </c>
      <c r="D485" s="18"/>
      <c r="E485" s="14" t="str">
        <f>LEN(SUBSTITUTE(SUBSTITUTE(SUBSTITUTE(E486," ",""),"0",""),"-",""))+LEN(SUBSTITUTE(SUBSTITUTE(SUBSTITUTE(F486," ",""),"0",""),"-",""))+LEN(SUBSTITUTE(SUBSTITUTE(SUBSTITUTE(E487," ",""),"0",""),"-",""))+LEN(SUBSTITUTE(SUBSTITUTE(SUBSTITUTE(F487," ",""),"0",""),"-",""))+LEN(SUBSTITUTE(SUBSTITUTE(SUBSTITUTE(E488," ",""),"0",""),"-",""))+LEN(SUBSTITUTE(SUBSTITUTE(SUBSTITUTE(F488," ",""),"0",""),"-",""))+LEN(SUBSTITUTE(SUBSTITUTE(SUBSTITUTE(E489," ",""),"0",""),"-",""))+LEN(SUBSTITUTE(SUBSTITUTE(SUBSTITUTE(F489," ",""),"0",""),"-",""))+LEN(SUBSTITUTE(SUBSTITUTE(SUBSTITUTE(E490," ",""),"0",""),"-",""))+LEN(SUBSTITUTE(SUBSTITUTE(SUBSTITUTE(F490," ",""),"0",""),"-",""))</f>
      </c>
      <c r="F485" s="14" t="str">
        <f>IF(UPPER(D486)="X",0,IF((LEN(SUBSTITUTE(SUBSTITUTE(SUBSTITUTE(E486," ",""),"0",""),"-",""))+LEN(SUBSTITUTE(SUBSTITUTE(SUBSTITUTE(F486," ",""),"0",""),"-","")))&gt;(LEN(SUBSTITUTE(SUBSTITUTE(SUBSTITUTE(B486," ",""),"0",""),"-",""))+LEN(SUBSTITUTE(SUBSTITUTE(SUBSTITUTE(C486," ",""),"0",""),"-",""))),1,0))+IF(UPPER(D487)="X",0,IF((LEN(SUBSTITUTE(SUBSTITUTE(SUBSTITUTE(E487," ",""),"0",""),"-",""))+LEN(SUBSTITUTE(SUBSTITUTE(SUBSTITUTE(F487," ",""),"0",""),"-","")))&gt;(LEN(SUBSTITUTE(SUBSTITUTE(SUBSTITUTE(B487," ",""),"0",""),"-",""))+LEN(SUBSTITUTE(SUBSTITUTE(SUBSTITUTE(C487," ",""),"0",""),"-",""))),1,0))+IF(UPPER(D488)="X",0,IF((LEN(SUBSTITUTE(SUBSTITUTE(SUBSTITUTE(E488," ",""),"0",""),"-",""))+LEN(SUBSTITUTE(SUBSTITUTE(SUBSTITUTE(F488," ",""),"0",""),"-","")))&gt;(LEN(SUBSTITUTE(SUBSTITUTE(SUBSTITUTE(B488," ",""),"0",""),"-",""))+LEN(SUBSTITUTE(SUBSTITUTE(SUBSTITUTE(C488," ",""),"0",""),"-",""))),1,0))+IF(UPPER(D489)="X",0,IF((LEN(SUBSTITUTE(SUBSTITUTE(SUBSTITUTE(E489," ",""),"0",""),"-",""))+LEN(SUBSTITUTE(SUBSTITUTE(SUBSTITUTE(F489," ",""),"0",""),"-","")))&gt;(LEN(SUBSTITUTE(SUBSTITUTE(SUBSTITUTE(B489," ",""),"0",""),"-",""))+LEN(SUBSTITUTE(SUBSTITUTE(SUBSTITUTE(C489," ",""),"0",""),"-",""))),1,0))+IF(UPPER(D490)="X",0,IF((LEN(SUBSTITUTE(SUBSTITUTE(SUBSTITUTE(E490," ",""),"0",""),"-",""))+LEN(SUBSTITUTE(SUBSTITUTE(SUBSTITUTE(F490," ",""),"0",""),"-","")))&gt;(LEN(SUBSTITUTE(SUBSTITUTE(SUBSTITUTE(B490," ",""),"0",""),"-",""))+LEN(SUBSTITUTE(SUBSTITUTE(SUBSTITUTE(C490," ",""),"0",""),"-",""))),1,0))</f>
      </c>
      <c r="G485" s="14" t="str">
        <f>data!$E$36&amp;" "&amp;data!$B$36</f>
      </c>
      <c r="I485" s="14" t="str">
        <f>data!$E$85&amp;" "&amp;data!$B$85</f>
      </c>
      <c r="J485" s="14" t="str">
        <f>IF(UPPER(L486)="X",0,IF((LEN(SUBSTITUTE(SUBSTITUTE(SUBSTITUTE(J486," ",""),"0",""),"-",""))+LEN(SUBSTITUTE(SUBSTITUTE(SUBSTITUTE(K486," ",""),"0",""),"-","")))&gt;(LEN(SUBSTITUTE(SUBSTITUTE(SUBSTITUTE(M486," ",""),"0",""),"-",""))+LEN(SUBSTITUTE(SUBSTITUTE(SUBSTITUTE(N486," ",""),"0",""),"-",""))),1,0))+IF(UPPER(L487)="X",0,IF((LEN(SUBSTITUTE(SUBSTITUTE(SUBSTITUTE(J487," ",""),"0",""),"-",""))+LEN(SUBSTITUTE(SUBSTITUTE(SUBSTITUTE(K487," ",""),"0",""),"-","")))&gt;(LEN(SUBSTITUTE(SUBSTITUTE(SUBSTITUTE(M487," ",""),"0",""),"-",""))+LEN(SUBSTITUTE(SUBSTITUTE(SUBSTITUTE(N487," ",""),"0",""),"-",""))),1,0))+IF(UPPER(L488)="X",0,IF((LEN(SUBSTITUTE(SUBSTITUTE(SUBSTITUTE(J488," ",""),"0",""),"-",""))+LEN(SUBSTITUTE(SUBSTITUTE(SUBSTITUTE(K488," ",""),"0",""),"-","")))&gt;(LEN(SUBSTITUTE(SUBSTITUTE(SUBSTITUTE(M488," ",""),"0",""),"-",""))+LEN(SUBSTITUTE(SUBSTITUTE(SUBSTITUTE(N488," ",""),"0",""),"-",""))),1,0))+IF(UPPER(L489)="X",0,IF((LEN(SUBSTITUTE(SUBSTITUTE(SUBSTITUTE(J489," ",""),"0",""),"-",""))+LEN(SUBSTITUTE(SUBSTITUTE(SUBSTITUTE(K489," ",""),"0",""),"-","")))&gt;(LEN(SUBSTITUTE(SUBSTITUTE(SUBSTITUTE(M489," ",""),"0",""),"-",""))+LEN(SUBSTITUTE(SUBSTITUTE(SUBSTITUTE(N489," ",""),"0",""),"-",""))),1,0))+IF(UPPER(L490)="X",0,IF((LEN(SUBSTITUTE(SUBSTITUTE(SUBSTITUTE(J490," ",""),"0",""),"-",""))+LEN(SUBSTITUTE(SUBSTITUTE(SUBSTITUTE(K490," ",""),"0",""),"-","")))&gt;(LEN(SUBSTITUTE(SUBSTITUTE(SUBSTITUTE(M490," ",""),"0",""),"-",""))+LEN(SUBSTITUTE(SUBSTITUTE(SUBSTITUTE(N490," ",""),"0",""),"-",""))),1,0))</f>
      </c>
      <c r="K485" s="14" t="str">
        <f>LEN(SUBSTITUTE(SUBSTITUTE(SUBSTITUTE(J486," ",""),"0",""),"-",""))+LEN(SUBSTITUTE(SUBSTITUTE(SUBSTITUTE(K486," ",""),"0",""),"-",""))+LEN(SUBSTITUTE(SUBSTITUTE(SUBSTITUTE(J487," ",""),"0",""),"-",""))+LEN(SUBSTITUTE(SUBSTITUTE(SUBSTITUTE(K487," ",""),"0",""),"-",""))+LEN(SUBSTITUTE(SUBSTITUTE(SUBSTITUTE(J488," ",""),"0",""),"-",""))+LEN(SUBSTITUTE(SUBSTITUTE(SUBSTITUTE(K488," ",""),"0",""),"-",""))+LEN(SUBSTITUTE(SUBSTITUTE(SUBSTITUTE(J489," ",""),"0",""),"-",""))+LEN(SUBSTITUTE(SUBSTITUTE(SUBSTITUTE(K489," ",""),"0",""),"-",""))+LEN(SUBSTITUTE(SUBSTITUTE(SUBSTITUTE(J490," ",""),"0",""),"-",""))+LEN(SUBSTITUTE(SUBSTITUTE(SUBSTITUTE(K490," ",""),"0",""),"-",""))</f>
      </c>
      <c r="L485" s="18"/>
      <c r="M485" s="14" t="str">
        <f>LEN(SUBSTITUTE(SUBSTITUTE(SUBSTITUTE(M486," ",""),"0",""),"-",""))+LEN(SUBSTITUTE(SUBSTITUTE(SUBSTITUTE(N486," ",""),"0",""),"-",""))+LEN(SUBSTITUTE(SUBSTITUTE(SUBSTITUTE(M487," ",""),"0",""),"-",""))+LEN(SUBSTITUTE(SUBSTITUTE(SUBSTITUTE(N487," ",""),"0",""),"-",""))+LEN(SUBSTITUTE(SUBSTITUTE(SUBSTITUTE(M488," ",""),"0",""),"-",""))+LEN(SUBSTITUTE(SUBSTITUTE(SUBSTITUTE(N488," ",""),"0",""),"-",""))+LEN(SUBSTITUTE(SUBSTITUTE(SUBSTITUTE(M489," ",""),"0",""),"-",""))+LEN(SUBSTITUTE(SUBSTITUTE(SUBSTITUTE(N489," ",""),"0",""),"-",""))+LEN(SUBSTITUTE(SUBSTITUTE(SUBSTITUTE(M490," ",""),"0",""),"-",""))+LEN(SUBSTITUTE(SUBSTITUTE(SUBSTITUTE(N490," ",""),"0",""),"-",""))</f>
      </c>
      <c r="N485" s="14" t="str">
        <f>IF(UPPER(L486)="X",0,IF((LEN(SUBSTITUTE(SUBSTITUTE(SUBSTITUTE(M486," ",""),"0",""),"-",""))+LEN(SUBSTITUTE(SUBSTITUTE(SUBSTITUTE(N486," ",""),"0",""),"-","")))&gt;(LEN(SUBSTITUTE(SUBSTITUTE(SUBSTITUTE(J486," ",""),"0",""),"-",""))+LEN(SUBSTITUTE(SUBSTITUTE(SUBSTITUTE(K486," ",""),"0",""),"-",""))),1,0))+IF(UPPER(L487)="X",0,IF((LEN(SUBSTITUTE(SUBSTITUTE(SUBSTITUTE(M487," ",""),"0",""),"-",""))+LEN(SUBSTITUTE(SUBSTITUTE(SUBSTITUTE(N487," ",""),"0",""),"-","")))&gt;(LEN(SUBSTITUTE(SUBSTITUTE(SUBSTITUTE(J487," ",""),"0",""),"-",""))+LEN(SUBSTITUTE(SUBSTITUTE(SUBSTITUTE(K487," ",""),"0",""),"-",""))),1,0))+IF(UPPER(L488)="X",0,IF((LEN(SUBSTITUTE(SUBSTITUTE(SUBSTITUTE(M488," ",""),"0",""),"-",""))+LEN(SUBSTITUTE(SUBSTITUTE(SUBSTITUTE(N488," ",""),"0",""),"-","")))&gt;(LEN(SUBSTITUTE(SUBSTITUTE(SUBSTITUTE(J488," ",""),"0",""),"-",""))+LEN(SUBSTITUTE(SUBSTITUTE(SUBSTITUTE(K488," ",""),"0",""),"-",""))),1,0))+IF(UPPER(L489)="X",0,IF((LEN(SUBSTITUTE(SUBSTITUTE(SUBSTITUTE(M489," ",""),"0",""),"-",""))+LEN(SUBSTITUTE(SUBSTITUTE(SUBSTITUTE(N489," ",""),"0",""),"-","")))&gt;(LEN(SUBSTITUTE(SUBSTITUTE(SUBSTITUTE(J489," ",""),"0",""),"-",""))+LEN(SUBSTITUTE(SUBSTITUTE(SUBSTITUTE(K489," ",""),"0",""),"-",""))),1,0))+IF(UPPER(L490)="X",0,IF((LEN(SUBSTITUTE(SUBSTITUTE(SUBSTITUTE(M490," ",""),"0",""),"-",""))+LEN(SUBSTITUTE(SUBSTITUTE(SUBSTITUTE(N490," ",""),"0",""),"-","")))&gt;(LEN(SUBSTITUTE(SUBSTITUTE(SUBSTITUTE(J490," ",""),"0",""),"-",""))+LEN(SUBSTITUTE(SUBSTITUTE(SUBSTITUTE(K490," ",""),"0",""),"-",""))),1,0))</f>
      </c>
      <c r="O485" s="14" t="str">
        <f>data!$E$83&amp;" "&amp;data!$B$83</f>
      </c>
    </row>
    <row r="486">
      <c r="A486" s="14">
        <v>1</v>
      </c>
      <c r="B486" s="18"/>
      <c r="C486" s="18"/>
      <c r="D486" s="18"/>
      <c r="E486" s="18"/>
      <c r="F486" s="18"/>
      <c r="G486" s="14">
        <v>1</v>
      </c>
      <c r="I486" s="14">
        <v>1</v>
      </c>
      <c r="J486" s="18"/>
      <c r="K486" s="18"/>
      <c r="L486" s="18"/>
      <c r="M486" s="18"/>
      <c r="N486" s="18"/>
      <c r="O486" s="14">
        <v>1</v>
      </c>
    </row>
    <row r="487">
      <c r="A487" s="14">
        <v>2</v>
      </c>
      <c r="B487" s="18"/>
      <c r="C487" s="18"/>
      <c r="D487" s="18"/>
      <c r="E487" s="18"/>
      <c r="F487" s="18"/>
      <c r="G487" s="14">
        <v>2</v>
      </c>
      <c r="I487" s="14">
        <v>2</v>
      </c>
      <c r="J487" s="18"/>
      <c r="K487" s="18"/>
      <c r="L487" s="18"/>
      <c r="M487" s="18"/>
      <c r="N487" s="18"/>
      <c r="O487" s="14">
        <v>2</v>
      </c>
    </row>
    <row r="488">
      <c r="A488" s="14">
        <v>3</v>
      </c>
      <c r="B488" s="18"/>
      <c r="C488" s="18"/>
      <c r="D488" s="18"/>
      <c r="E488" s="18"/>
      <c r="F488" s="18"/>
      <c r="G488" s="14">
        <v>3</v>
      </c>
      <c r="I488" s="14">
        <v>3</v>
      </c>
      <c r="J488" s="18"/>
      <c r="K488" s="18"/>
      <c r="L488" s="18"/>
      <c r="M488" s="18"/>
      <c r="N488" s="18"/>
      <c r="O488" s="14">
        <v>3</v>
      </c>
    </row>
    <row r="489">
      <c r="A489" s="14">
        <v>4</v>
      </c>
      <c r="B489" s="18"/>
      <c r="C489" s="18"/>
      <c r="D489" s="18"/>
      <c r="E489" s="18"/>
      <c r="F489" s="18"/>
      <c r="G489" s="14">
        <v>4</v>
      </c>
      <c r="I489" s="14">
        <v>4</v>
      </c>
      <c r="J489" s="18"/>
      <c r="K489" s="18"/>
      <c r="L489" s="18"/>
      <c r="M489" s="18"/>
      <c r="N489" s="18"/>
      <c r="O489" s="14">
        <v>4</v>
      </c>
    </row>
    <row r="490">
      <c r="A490" s="14">
        <v>5</v>
      </c>
      <c r="B490" s="18"/>
      <c r="C490" s="18"/>
      <c r="D490" s="18"/>
      <c r="E490" s="18"/>
      <c r="F490" s="18"/>
      <c r="G490" s="14">
        <v>5</v>
      </c>
      <c r="I490" s="14">
        <v>5</v>
      </c>
      <c r="J490" s="18"/>
      <c r="K490" s="18"/>
      <c r="L490" s="18"/>
      <c r="M490" s="18"/>
      <c r="N490" s="18"/>
      <c r="O490" s="14">
        <v>5</v>
      </c>
    </row>
    <row r="492">
      <c r="A492" s="17" t="s">
        <v>331</v>
      </c>
      <c r="B492" s="14"/>
      <c r="C492" s="14"/>
      <c r="D492" s="14" t="s">
        <v>332</v>
      </c>
      <c r="E492" s="14"/>
      <c r="F492" s="14"/>
      <c r="G492" s="16" t="s">
        <v>333</v>
      </c>
      <c r="I492" s="17" t="s">
        <v>331</v>
      </c>
      <c r="J492" s="14"/>
      <c r="K492" s="14"/>
      <c r="L492" s="14" t="s">
        <v>332</v>
      </c>
      <c r="M492" s="14"/>
      <c r="N492" s="14"/>
      <c r="O492" s="16" t="s">
        <v>333</v>
      </c>
    </row>
    <row r="493">
      <c r="A493" s="14" t="str">
        <f>data!$E$38&amp;" "&amp;data!$B$38</f>
      </c>
      <c r="B493" s="14" t="str">
        <f>IF(UPPER(D494)="X",0,IF((LEN(SUBSTITUTE(SUBSTITUTE(SUBSTITUTE(B494," ",""),"0",""),"-",""))+LEN(SUBSTITUTE(SUBSTITUTE(SUBSTITUTE(C494," ",""),"0",""),"-","")))&gt;(LEN(SUBSTITUTE(SUBSTITUTE(SUBSTITUTE(E494," ",""),"0",""),"-",""))+LEN(SUBSTITUTE(SUBSTITUTE(SUBSTITUTE(F494," ",""),"0",""),"-",""))),1,0))+IF(UPPER(D495)="X",0,IF((LEN(SUBSTITUTE(SUBSTITUTE(SUBSTITUTE(B495," ",""),"0",""),"-",""))+LEN(SUBSTITUTE(SUBSTITUTE(SUBSTITUTE(C495," ",""),"0",""),"-","")))&gt;(LEN(SUBSTITUTE(SUBSTITUTE(SUBSTITUTE(E495," ",""),"0",""),"-",""))+LEN(SUBSTITUTE(SUBSTITUTE(SUBSTITUTE(F495," ",""),"0",""),"-",""))),1,0))+IF(UPPER(D496)="X",0,IF((LEN(SUBSTITUTE(SUBSTITUTE(SUBSTITUTE(B496," ",""),"0",""),"-",""))+LEN(SUBSTITUTE(SUBSTITUTE(SUBSTITUTE(C496," ",""),"0",""),"-","")))&gt;(LEN(SUBSTITUTE(SUBSTITUTE(SUBSTITUTE(E496," ",""),"0",""),"-",""))+LEN(SUBSTITUTE(SUBSTITUTE(SUBSTITUTE(F496," ",""),"0",""),"-",""))),1,0))+IF(UPPER(D497)="X",0,IF((LEN(SUBSTITUTE(SUBSTITUTE(SUBSTITUTE(B497," ",""),"0",""),"-",""))+LEN(SUBSTITUTE(SUBSTITUTE(SUBSTITUTE(C497," ",""),"0",""),"-","")))&gt;(LEN(SUBSTITUTE(SUBSTITUTE(SUBSTITUTE(E497," ",""),"0",""),"-",""))+LEN(SUBSTITUTE(SUBSTITUTE(SUBSTITUTE(F497," ",""),"0",""),"-",""))),1,0))+IF(UPPER(D498)="X",0,IF((LEN(SUBSTITUTE(SUBSTITUTE(SUBSTITUTE(B498," ",""),"0",""),"-",""))+LEN(SUBSTITUTE(SUBSTITUTE(SUBSTITUTE(C498," ",""),"0",""),"-","")))&gt;(LEN(SUBSTITUTE(SUBSTITUTE(SUBSTITUTE(E498," ",""),"0",""),"-",""))+LEN(SUBSTITUTE(SUBSTITUTE(SUBSTITUTE(F498," ",""),"0",""),"-",""))),1,0))</f>
      </c>
      <c r="C493" s="14" t="str">
        <f>LEN(SUBSTITUTE(SUBSTITUTE(SUBSTITUTE(B494," ",""),"0",""),"-",""))+LEN(SUBSTITUTE(SUBSTITUTE(SUBSTITUTE(C494," ",""),"0",""),"-",""))+LEN(SUBSTITUTE(SUBSTITUTE(SUBSTITUTE(B495," ",""),"0",""),"-",""))+LEN(SUBSTITUTE(SUBSTITUTE(SUBSTITUTE(C495," ",""),"0",""),"-",""))+LEN(SUBSTITUTE(SUBSTITUTE(SUBSTITUTE(B496," ",""),"0",""),"-",""))+LEN(SUBSTITUTE(SUBSTITUTE(SUBSTITUTE(C496," ",""),"0",""),"-",""))+LEN(SUBSTITUTE(SUBSTITUTE(SUBSTITUTE(B497," ",""),"0",""),"-",""))+LEN(SUBSTITUTE(SUBSTITUTE(SUBSTITUTE(C497," ",""),"0",""),"-",""))+LEN(SUBSTITUTE(SUBSTITUTE(SUBSTITUTE(B498," ",""),"0",""),"-",""))+LEN(SUBSTITUTE(SUBSTITUTE(SUBSTITUTE(C498," ",""),"0",""),"-",""))</f>
      </c>
      <c r="D493" s="18"/>
      <c r="E493" s="14" t="str">
        <f>LEN(SUBSTITUTE(SUBSTITUTE(SUBSTITUTE(E494," ",""),"0",""),"-",""))+LEN(SUBSTITUTE(SUBSTITUTE(SUBSTITUTE(F494," ",""),"0",""),"-",""))+LEN(SUBSTITUTE(SUBSTITUTE(SUBSTITUTE(E495," ",""),"0",""),"-",""))+LEN(SUBSTITUTE(SUBSTITUTE(SUBSTITUTE(F495," ",""),"0",""),"-",""))+LEN(SUBSTITUTE(SUBSTITUTE(SUBSTITUTE(E496," ",""),"0",""),"-",""))+LEN(SUBSTITUTE(SUBSTITUTE(SUBSTITUTE(F496," ",""),"0",""),"-",""))+LEN(SUBSTITUTE(SUBSTITUTE(SUBSTITUTE(E497," ",""),"0",""),"-",""))+LEN(SUBSTITUTE(SUBSTITUTE(SUBSTITUTE(F497," ",""),"0",""),"-",""))+LEN(SUBSTITUTE(SUBSTITUTE(SUBSTITUTE(E498," ",""),"0",""),"-",""))+LEN(SUBSTITUTE(SUBSTITUTE(SUBSTITUTE(F498," ",""),"0",""),"-",""))</f>
      </c>
      <c r="F493" s="14" t="str">
        <f>IF(UPPER(D494)="X",0,IF((LEN(SUBSTITUTE(SUBSTITUTE(SUBSTITUTE(E494," ",""),"0",""),"-",""))+LEN(SUBSTITUTE(SUBSTITUTE(SUBSTITUTE(F494," ",""),"0",""),"-","")))&gt;(LEN(SUBSTITUTE(SUBSTITUTE(SUBSTITUTE(B494," ",""),"0",""),"-",""))+LEN(SUBSTITUTE(SUBSTITUTE(SUBSTITUTE(C494," ",""),"0",""),"-",""))),1,0))+IF(UPPER(D495)="X",0,IF((LEN(SUBSTITUTE(SUBSTITUTE(SUBSTITUTE(E495," ",""),"0",""),"-",""))+LEN(SUBSTITUTE(SUBSTITUTE(SUBSTITUTE(F495," ",""),"0",""),"-","")))&gt;(LEN(SUBSTITUTE(SUBSTITUTE(SUBSTITUTE(B495," ",""),"0",""),"-",""))+LEN(SUBSTITUTE(SUBSTITUTE(SUBSTITUTE(C495," ",""),"0",""),"-",""))),1,0))+IF(UPPER(D496)="X",0,IF((LEN(SUBSTITUTE(SUBSTITUTE(SUBSTITUTE(E496," ",""),"0",""),"-",""))+LEN(SUBSTITUTE(SUBSTITUTE(SUBSTITUTE(F496," ",""),"0",""),"-","")))&gt;(LEN(SUBSTITUTE(SUBSTITUTE(SUBSTITUTE(B496," ",""),"0",""),"-",""))+LEN(SUBSTITUTE(SUBSTITUTE(SUBSTITUTE(C496," ",""),"0",""),"-",""))),1,0))+IF(UPPER(D497)="X",0,IF((LEN(SUBSTITUTE(SUBSTITUTE(SUBSTITUTE(E497," ",""),"0",""),"-",""))+LEN(SUBSTITUTE(SUBSTITUTE(SUBSTITUTE(F497," ",""),"0",""),"-","")))&gt;(LEN(SUBSTITUTE(SUBSTITUTE(SUBSTITUTE(B497," ",""),"0",""),"-",""))+LEN(SUBSTITUTE(SUBSTITUTE(SUBSTITUTE(C497," ",""),"0",""),"-",""))),1,0))+IF(UPPER(D498)="X",0,IF((LEN(SUBSTITUTE(SUBSTITUTE(SUBSTITUTE(E498," ",""),"0",""),"-",""))+LEN(SUBSTITUTE(SUBSTITUTE(SUBSTITUTE(F498," ",""),"0",""),"-","")))&gt;(LEN(SUBSTITUTE(SUBSTITUTE(SUBSTITUTE(B498," ",""),"0",""),"-",""))+LEN(SUBSTITUTE(SUBSTITUTE(SUBSTITUTE(C498," ",""),"0",""),"-",""))),1,0))</f>
      </c>
      <c r="G493" s="14" t="str">
        <f>data!$E$37&amp;" "&amp;data!$B$37</f>
      </c>
      <c r="I493" s="14" t="str">
        <f>data!$E$85&amp;" "&amp;data!$B$85</f>
      </c>
      <c r="J493" s="14" t="str">
        <f>IF(UPPER(L494)="X",0,IF((LEN(SUBSTITUTE(SUBSTITUTE(SUBSTITUTE(J494," ",""),"0",""),"-",""))+LEN(SUBSTITUTE(SUBSTITUTE(SUBSTITUTE(K494," ",""),"0",""),"-","")))&gt;(LEN(SUBSTITUTE(SUBSTITUTE(SUBSTITUTE(M494," ",""),"0",""),"-",""))+LEN(SUBSTITUTE(SUBSTITUTE(SUBSTITUTE(N494," ",""),"0",""),"-",""))),1,0))+IF(UPPER(L495)="X",0,IF((LEN(SUBSTITUTE(SUBSTITUTE(SUBSTITUTE(J495," ",""),"0",""),"-",""))+LEN(SUBSTITUTE(SUBSTITUTE(SUBSTITUTE(K495," ",""),"0",""),"-","")))&gt;(LEN(SUBSTITUTE(SUBSTITUTE(SUBSTITUTE(M495," ",""),"0",""),"-",""))+LEN(SUBSTITUTE(SUBSTITUTE(SUBSTITUTE(N495," ",""),"0",""),"-",""))),1,0))+IF(UPPER(L496)="X",0,IF((LEN(SUBSTITUTE(SUBSTITUTE(SUBSTITUTE(J496," ",""),"0",""),"-",""))+LEN(SUBSTITUTE(SUBSTITUTE(SUBSTITUTE(K496," ",""),"0",""),"-","")))&gt;(LEN(SUBSTITUTE(SUBSTITUTE(SUBSTITUTE(M496," ",""),"0",""),"-",""))+LEN(SUBSTITUTE(SUBSTITUTE(SUBSTITUTE(N496," ",""),"0",""),"-",""))),1,0))+IF(UPPER(L497)="X",0,IF((LEN(SUBSTITUTE(SUBSTITUTE(SUBSTITUTE(J497," ",""),"0",""),"-",""))+LEN(SUBSTITUTE(SUBSTITUTE(SUBSTITUTE(K497," ",""),"0",""),"-","")))&gt;(LEN(SUBSTITUTE(SUBSTITUTE(SUBSTITUTE(M497," ",""),"0",""),"-",""))+LEN(SUBSTITUTE(SUBSTITUTE(SUBSTITUTE(N497," ",""),"0",""),"-",""))),1,0))+IF(UPPER(L498)="X",0,IF((LEN(SUBSTITUTE(SUBSTITUTE(SUBSTITUTE(J498," ",""),"0",""),"-",""))+LEN(SUBSTITUTE(SUBSTITUTE(SUBSTITUTE(K498," ",""),"0",""),"-","")))&gt;(LEN(SUBSTITUTE(SUBSTITUTE(SUBSTITUTE(M498," ",""),"0",""),"-",""))+LEN(SUBSTITUTE(SUBSTITUTE(SUBSTITUTE(N498," ",""),"0",""),"-",""))),1,0))</f>
      </c>
      <c r="K493" s="14" t="str">
        <f>LEN(SUBSTITUTE(SUBSTITUTE(SUBSTITUTE(J494," ",""),"0",""),"-",""))+LEN(SUBSTITUTE(SUBSTITUTE(SUBSTITUTE(K494," ",""),"0",""),"-",""))+LEN(SUBSTITUTE(SUBSTITUTE(SUBSTITUTE(J495," ",""),"0",""),"-",""))+LEN(SUBSTITUTE(SUBSTITUTE(SUBSTITUTE(K495," ",""),"0",""),"-",""))+LEN(SUBSTITUTE(SUBSTITUTE(SUBSTITUTE(J496," ",""),"0",""),"-",""))+LEN(SUBSTITUTE(SUBSTITUTE(SUBSTITUTE(K496," ",""),"0",""),"-",""))+LEN(SUBSTITUTE(SUBSTITUTE(SUBSTITUTE(J497," ",""),"0",""),"-",""))+LEN(SUBSTITUTE(SUBSTITUTE(SUBSTITUTE(K497," ",""),"0",""),"-",""))+LEN(SUBSTITUTE(SUBSTITUTE(SUBSTITUTE(J498," ",""),"0",""),"-",""))+LEN(SUBSTITUTE(SUBSTITUTE(SUBSTITUTE(K498," ",""),"0",""),"-",""))</f>
      </c>
      <c r="L493" s="18"/>
      <c r="M493" s="14" t="str">
        <f>LEN(SUBSTITUTE(SUBSTITUTE(SUBSTITUTE(M494," ",""),"0",""),"-",""))+LEN(SUBSTITUTE(SUBSTITUTE(SUBSTITUTE(N494," ",""),"0",""),"-",""))+LEN(SUBSTITUTE(SUBSTITUTE(SUBSTITUTE(M495," ",""),"0",""),"-",""))+LEN(SUBSTITUTE(SUBSTITUTE(SUBSTITUTE(N495," ",""),"0",""),"-",""))+LEN(SUBSTITUTE(SUBSTITUTE(SUBSTITUTE(M496," ",""),"0",""),"-",""))+LEN(SUBSTITUTE(SUBSTITUTE(SUBSTITUTE(N496," ",""),"0",""),"-",""))+LEN(SUBSTITUTE(SUBSTITUTE(SUBSTITUTE(M497," ",""),"0",""),"-",""))+LEN(SUBSTITUTE(SUBSTITUTE(SUBSTITUTE(N497," ",""),"0",""),"-",""))+LEN(SUBSTITUTE(SUBSTITUTE(SUBSTITUTE(M498," ",""),"0",""),"-",""))+LEN(SUBSTITUTE(SUBSTITUTE(SUBSTITUTE(N498," ",""),"0",""),"-",""))</f>
      </c>
      <c r="N493" s="14" t="str">
        <f>IF(UPPER(L494)="X",0,IF((LEN(SUBSTITUTE(SUBSTITUTE(SUBSTITUTE(M494," ",""),"0",""),"-",""))+LEN(SUBSTITUTE(SUBSTITUTE(SUBSTITUTE(N494," ",""),"0",""),"-","")))&gt;(LEN(SUBSTITUTE(SUBSTITUTE(SUBSTITUTE(J494," ",""),"0",""),"-",""))+LEN(SUBSTITUTE(SUBSTITUTE(SUBSTITUTE(K494," ",""),"0",""),"-",""))),1,0))+IF(UPPER(L495)="X",0,IF((LEN(SUBSTITUTE(SUBSTITUTE(SUBSTITUTE(M495," ",""),"0",""),"-",""))+LEN(SUBSTITUTE(SUBSTITUTE(SUBSTITUTE(N495," ",""),"0",""),"-","")))&gt;(LEN(SUBSTITUTE(SUBSTITUTE(SUBSTITUTE(J495," ",""),"0",""),"-",""))+LEN(SUBSTITUTE(SUBSTITUTE(SUBSTITUTE(K495," ",""),"0",""),"-",""))),1,0))+IF(UPPER(L496)="X",0,IF((LEN(SUBSTITUTE(SUBSTITUTE(SUBSTITUTE(M496," ",""),"0",""),"-",""))+LEN(SUBSTITUTE(SUBSTITUTE(SUBSTITUTE(N496," ",""),"0",""),"-","")))&gt;(LEN(SUBSTITUTE(SUBSTITUTE(SUBSTITUTE(J496," ",""),"0",""),"-",""))+LEN(SUBSTITUTE(SUBSTITUTE(SUBSTITUTE(K496," ",""),"0",""),"-",""))),1,0))+IF(UPPER(L497)="X",0,IF((LEN(SUBSTITUTE(SUBSTITUTE(SUBSTITUTE(M497," ",""),"0",""),"-",""))+LEN(SUBSTITUTE(SUBSTITUTE(SUBSTITUTE(N497," ",""),"0",""),"-","")))&gt;(LEN(SUBSTITUTE(SUBSTITUTE(SUBSTITUTE(J497," ",""),"0",""),"-",""))+LEN(SUBSTITUTE(SUBSTITUTE(SUBSTITUTE(K497," ",""),"0",""),"-",""))),1,0))+IF(UPPER(L498)="X",0,IF((LEN(SUBSTITUTE(SUBSTITUTE(SUBSTITUTE(M498," ",""),"0",""),"-",""))+LEN(SUBSTITUTE(SUBSTITUTE(SUBSTITUTE(N498," ",""),"0",""),"-","")))&gt;(LEN(SUBSTITUTE(SUBSTITUTE(SUBSTITUTE(J498," ",""),"0",""),"-",""))+LEN(SUBSTITUTE(SUBSTITUTE(SUBSTITUTE(K498," ",""),"0",""),"-",""))),1,0))</f>
      </c>
      <c r="O493" s="14" t="str">
        <f>data!$E$84&amp;" "&amp;data!$B$84</f>
      </c>
    </row>
    <row r="494">
      <c r="A494" s="14">
        <v>1</v>
      </c>
      <c r="B494" s="18"/>
      <c r="C494" s="18"/>
      <c r="D494" s="18"/>
      <c r="E494" s="18"/>
      <c r="F494" s="18"/>
      <c r="G494" s="14">
        <v>1</v>
      </c>
      <c r="I494" s="14">
        <v>1</v>
      </c>
      <c r="J494" s="18"/>
      <c r="K494" s="18"/>
      <c r="L494" s="18"/>
      <c r="M494" s="18"/>
      <c r="N494" s="18"/>
      <c r="O494" s="14">
        <v>1</v>
      </c>
    </row>
    <row r="495">
      <c r="A495" s="14">
        <v>2</v>
      </c>
      <c r="B495" s="18"/>
      <c r="C495" s="18"/>
      <c r="D495" s="18"/>
      <c r="E495" s="18"/>
      <c r="F495" s="18"/>
      <c r="G495" s="14">
        <v>2</v>
      </c>
      <c r="I495" s="14">
        <v>2</v>
      </c>
      <c r="J495" s="18"/>
      <c r="K495" s="18"/>
      <c r="L495" s="18"/>
      <c r="M495" s="18"/>
      <c r="N495" s="18"/>
      <c r="O495" s="14">
        <v>2</v>
      </c>
    </row>
    <row r="496">
      <c r="A496" s="14">
        <v>3</v>
      </c>
      <c r="B496" s="18"/>
      <c r="C496" s="18"/>
      <c r="D496" s="18"/>
      <c r="E496" s="18"/>
      <c r="F496" s="18"/>
      <c r="G496" s="14">
        <v>3</v>
      </c>
      <c r="I496" s="14">
        <v>3</v>
      </c>
      <c r="J496" s="18"/>
      <c r="K496" s="18"/>
      <c r="L496" s="18"/>
      <c r="M496" s="18"/>
      <c r="N496" s="18"/>
      <c r="O496" s="14">
        <v>3</v>
      </c>
    </row>
    <row r="497">
      <c r="A497" s="14">
        <v>4</v>
      </c>
      <c r="B497" s="18"/>
      <c r="C497" s="18"/>
      <c r="D497" s="18"/>
      <c r="E497" s="18"/>
      <c r="F497" s="18"/>
      <c r="G497" s="14">
        <v>4</v>
      </c>
      <c r="I497" s="14">
        <v>4</v>
      </c>
      <c r="J497" s="18"/>
      <c r="K497" s="18"/>
      <c r="L497" s="18"/>
      <c r="M497" s="18"/>
      <c r="N497" s="18"/>
      <c r="O497" s="14">
        <v>4</v>
      </c>
    </row>
    <row r="498">
      <c r="A498" s="14">
        <v>5</v>
      </c>
      <c r="B498" s="18"/>
      <c r="C498" s="18"/>
      <c r="D498" s="18"/>
      <c r="E498" s="18"/>
      <c r="F498" s="18"/>
      <c r="G498" s="14">
        <v>5</v>
      </c>
      <c r="I498" s="14">
        <v>5</v>
      </c>
      <c r="J498" s="18"/>
      <c r="K498" s="18"/>
      <c r="L498" s="18"/>
      <c r="M498" s="18"/>
      <c r="N498" s="18"/>
      <c r="O498" s="14">
        <v>5</v>
      </c>
    </row>
    <row r="501">
      <c r="A501" s="13" t="s">
        <v>334</v>
      </c>
      <c r="B501" s="13" t="s">
        <v>335</v>
      </c>
      <c r="C501" s="13" t="s">
        <v>336</v>
      </c>
      <c r="D501" s="13" t="s">
        <v>337</v>
      </c>
      <c r="E501" s="13"/>
      <c r="F501" s="13"/>
      <c r="G501" s="13" t="s">
        <v>338</v>
      </c>
      <c r="I501" s="13" t="s">
        <v>334</v>
      </c>
      <c r="J501" s="13" t="s">
        <v>335</v>
      </c>
      <c r="K501" s="13" t="s">
        <v>336</v>
      </c>
      <c r="L501" s="13" t="s">
        <v>337</v>
      </c>
      <c r="M501" s="13"/>
      <c r="N501" s="13"/>
      <c r="O501" s="13" t="s">
        <v>338</v>
      </c>
    </row>
    <row r="502">
      <c r="A502" s="14" t="str">
        <f>data!$E$36&amp;" "&amp;data!$B$36</f>
      </c>
      <c r="B502" s="14" t="str">
        <f>IF(OR(COUNTA(B478:C482,E478:F482)&gt;0,D478="X",D478="x",D479="X",D479="x",D480="X",D480="x",D481="X",D481="x",D482="X",D482="x",OR(D477="X",D477="x")),IF(OR(OR(D477="X",D477="x"),AND(B477=F477,C477=E477)),0,IF(OR(F477&gt;B477,AND(F477=B477,E477&gt;C477)),1,0)),0)+IF(OR(COUNTA(B486:C490,E486:F490)&gt;0,D486="X",D486="x",D487="X",D487="x",D488="X",D488="x",D489="X",D489="x",D490="X",D490="x",OR(D485="X",D485="x")),IF(OR(OR(D485="X",D485="x"),AND(B485=F485,C485=E485)),0,IF(OR(F485&gt;B485,AND(F485=B485,E485&gt;C485)),1,0)),0)</f>
      </c>
      <c r="C502" s="14" t="str">
        <f>IF(OR(COUNTA(B478:C482,E478:F482)&gt;0,D478="X",D478="x",D479="X",D479="x",D480="X",D480="x",D481="X",D481="x",D482="X",D482="x",OR(D477="X",D477="x")),IF(OR(OR(D477="X",D477="x"),AND(B477=F477,C477=E477)),0,IF(OR(F477&lt;B477,AND(F477=B477,E477&lt;C477)),1,0)),0)+IF(OR(COUNTA(B486:C490,E486:F490)&gt;0,D486="X",D486="x",D487="X",D487="x",D488="X",D488="x",D489="X",D489="x",D490="X",D490="x",OR(D485="X",D485="x")),IF(OR(OR(D485="X",D485="x"),AND(B485=F485,C485=E485)),0,IF(OR(F485&lt;B485,AND(F485=B485,E485&lt;C485)),1,0)),0)</f>
      </c>
      <c r="D502" s="14" t="str">
        <f>IF(OR(COUNTA(B478:C482,E478:F482)&gt;0,D478="X",D478="x",D479="X",D479="x",D480="X",D480="x",D481="X",D481="x",D482="X",D482="x",OR(D477="X",D477="x")),IF(OR(OR(D477="X",D477="x"),AND(B477=F477,C477=E477)),1,0),0)+IF(OR(COUNTA(B486:C490,E486:F490)&gt;0,D486="X",D486="x",D487="X",D487="x",D488="X",D488="x",D489="X",D489="x",D490="X",D490="x",OR(D485="X",D485="x")),IF(OR(OR(D485="X",D485="x"),AND(B485=F485,C485=E485)),1,0),0)</f>
      </c>
      <c r="G502" s="18" t="str">
        <f>RANK(U502,$U$502:$U$504)+COUNTIF($U$501:U501,U502)</f>
      </c>
      <c r="I502" s="14" t="str">
        <f>data!$E$83&amp;" "&amp;data!$B$83</f>
      </c>
      <c r="J502" s="14" t="str">
        <f>IF(OR(COUNTA(J478:K482,M478:N482)&gt;0,L478="X",L478="x",L479="X",L479="x",L480="X",L480="x",L481="X",L481="x",L482="X",L482="x",OR(L477="X",L477="x")),IF(OR(OR(L477="X",L477="x"),AND(J477=N477,K477=M477)),0,IF(OR(N477&gt;J477,AND(N477=J477,M477&gt;K477)),1,0)),0)+IF(OR(COUNTA(J486:K490,M486:N490)&gt;0,L486="X",L486="x",L487="X",L487="x",L488="X",L488="x",L489="X",L489="x",L490="X",L490="x",OR(L485="X",L485="x")),IF(OR(OR(L485="X",L485="x"),AND(J485=N485,K485=M485)),0,IF(OR(N485&gt;J485,AND(N485=J485,M485&gt;K485)),1,0)),0)</f>
      </c>
      <c r="K502" s="14" t="str">
        <f>IF(OR(COUNTA(J478:K482,M478:N482)&gt;0,L478="X",L478="x",L479="X",L479="x",L480="X",L480="x",L481="X",L481="x",L482="X",L482="x",OR(L477="X",L477="x")),IF(OR(OR(L477="X",L477="x"),AND(J477=N477,K477=M477)),0,IF(OR(N477&lt;J477,AND(N477=J477,M477&lt;K477)),1,0)),0)+IF(OR(COUNTA(J486:K490,M486:N490)&gt;0,L486="X",L486="x",L487="X",L487="x",L488="X",L488="x",L489="X",L489="x",L490="X",L490="x",OR(L485="X",L485="x")),IF(OR(OR(L485="X",L485="x"),AND(J485=N485,K485=M485)),0,IF(OR(N485&lt;J485,AND(N485=J485,M485&lt;K485)),1,0)),0)</f>
      </c>
      <c r="L502" s="14" t="str">
        <f>IF(OR(COUNTA(J478:K482,M478:N482)&gt;0,L478="X",L478="x",L479="X",L479="x",L480="X",L480="x",L481="X",L481="x",L482="X",L482="x",OR(L477="X",L477="x")),IF(OR(OR(L477="X",L477="x"),AND(J477=N477,K477=M477)),1,0),0)+IF(OR(COUNTA(J486:K490,M486:N490)&gt;0,L486="X",L486="x",L487="X",L487="x",L488="X",L488="x",L489="X",L489="x",L490="X",L490="x",OR(L485="X",L485="x")),IF(OR(OR(L485="X",L485="x"),AND(J485=N485,K485=M485)),1,0),0)</f>
      </c>
      <c r="O502" s="18" t="str">
        <f>RANK(AC502,$AC$502:$AC$504)+COUNTIF($AC$501:AC501,AC502)</f>
      </c>
      <c r="U502" t="str">
        <f>(B502*1000000000)-(C502*10000000)+(D502*100000)+(B507*1000)-(C507*100)+(D507*10)+(E507*1)-(F507*0.01)</f>
      </c>
      <c r="AC502" t="str">
        <f>(J502*1000000000)-(K502*10000000)+(L502*100000)+(J507*1000)-(K507*100)+(L507*10)+(M507*1)-(N507*0.01)</f>
      </c>
    </row>
    <row r="503">
      <c r="A503" s="14" t="str">
        <f>data!$E$37&amp;" "&amp;data!$B$37</f>
      </c>
      <c r="B503" s="14" t="str">
        <f>IF(OR(COUNTA(B478:C482,E478:F482)&gt;0,D478="X",D478="x",D479="X",D479="x",D480="X",D480="x",D481="X",D481="x",D482="X",D482="x",OR(D477="X",D477="x")),IF(OR(OR(D477="X",D477="x"),AND(B477=F477,C477=E477)),0,IF(OR(B477&gt;F477,AND(B477=F477,C477&gt;E477)),1,0)),0)+IF(OR(COUNTA(B494:C498,E494:F498)&gt;0,D494="X",D494="x",D495="X",D495="x",D496="X",D496="x",D497="X",D497="x",D498="X",D498="x",OR(D493="X",D493="x")),IF(OR(OR(D493="X",D493="x"),AND(B493=F493,C493=E493)),0,IF(OR(F493&gt;B493,AND(F493=B493,E493&gt;C493)),1,0)),0)</f>
      </c>
      <c r="C503" s="14" t="str">
        <f>IF(OR(COUNTA(B478:C482,E478:F482)&gt;0,D478="X",D478="x",D479="X",D479="x",D480="X",D480="x",D481="X",D481="x",D482="X",D482="x",OR(D477="X",D477="x")),IF(OR(OR(D477="X",D477="x"),AND(B477=F477,C477=E477)),0,IF(OR(B477&lt;F477,AND(B477=F477,C477&lt;E477)),1,0)),0)+IF(OR(COUNTA(B494:C498,E494:F498)&gt;0,D494="X",D494="x",D495="X",D495="x",D496="X",D496="x",D497="X",D497="x",D498="X",D498="x",OR(D493="X",D493="x")),IF(OR(OR(D493="X",D493="x"),AND(B493=F493,C493=E493)),0,IF(OR(F493&lt;B493,AND(F493=B493,E493&lt;C493)),1,0)),0)</f>
      </c>
      <c r="D503" s="14" t="str">
        <f>IF(OR(COUNTA(B478:C482,E478:F482)&gt;0,D478="X",D478="x",D479="X",D479="x",D480="X",D480="x",D481="X",D481="x",D482="X",D482="x",OR(D477="X",D477="x")),IF(OR(OR(D477="X",D477="x"),AND(B477=F477,C477=E477)),1,0),0)+IF(OR(COUNTA(B494:C498,E494:F498)&gt;0,D494="X",D494="x",D495="X",D495="x",D496="X",D496="x",D497="X",D497="x",D498="X",D498="x",OR(D493="X",D493="x")),IF(OR(OR(D493="X",D493="x"),AND(B493=F493,C493=E493)),1,0),0)</f>
      </c>
      <c r="G503" s="18" t="str">
        <f>RANK(U503,$U$502:$U$504)+COUNTIF($U$501:U502,U503)</f>
      </c>
      <c r="I503" s="14" t="str">
        <f>data!$E$84&amp;" "&amp;data!$B$84</f>
      </c>
      <c r="J503" s="14" t="str">
        <f>IF(OR(COUNTA(J478:K482,M478:N482)&gt;0,L478="X",L478="x",L479="X",L479="x",L480="X",L480="x",L481="X",L481="x",L482="X",L482="x",OR(L477="X",L477="x")),IF(OR(OR(L477="X",L477="x"),AND(J477=N477,K477=M477)),0,IF(OR(J477&gt;N477,AND(J477=N477,K477&gt;M477)),1,0)),0)+IF(OR(COUNTA(J494:K498,M494:N498)&gt;0,L494="X",L494="x",L495="X",L495="x",L496="X",L496="x",L497="X",L497="x",L498="X",L498="x",OR(L493="X",L493="x")),IF(OR(OR(L493="X",L493="x"),AND(J493=N493,K493=M493)),0,IF(OR(N493&gt;J493,AND(N493=J493,M493&gt;K493)),1,0)),0)</f>
      </c>
      <c r="K503" s="14" t="str">
        <f>IF(OR(COUNTA(J478:K482,M478:N482)&gt;0,L478="X",L478="x",L479="X",L479="x",L480="X",L480="x",L481="X",L481="x",L482="X",L482="x",OR(L477="X",L477="x")),IF(OR(OR(L477="X",L477="x"),AND(J477=N477,K477=M477)),0,IF(OR(J477&lt;N477,AND(J477=N477,K477&lt;M477)),1,0)),0)+IF(OR(COUNTA(J494:K498,M494:N498)&gt;0,L494="X",L494="x",L495="X",L495="x",L496="X",L496="x",L497="X",L497="x",L498="X",L498="x",OR(L493="X",L493="x")),IF(OR(OR(L493="X",L493="x"),AND(J493=N493,K493=M493)),0,IF(OR(N493&lt;J493,AND(N493=J493,M493&lt;K493)),1,0)),0)</f>
      </c>
      <c r="L503" s="14" t="str">
        <f>IF(OR(COUNTA(J478:K482,M478:N482)&gt;0,L478="X",L478="x",L479="X",L479="x",L480="X",L480="x",L481="X",L481="x",L482="X",L482="x",OR(L477="X",L477="x")),IF(OR(OR(L477="X",L477="x"),AND(J477=N477,K477=M477)),1,0),0)+IF(OR(COUNTA(J494:K498,M494:N498)&gt;0,L494="X",L494="x",L495="X",L495="x",L496="X",L496="x",L497="X",L497="x",L498="X",L498="x",OR(L493="X",L493="x")),IF(OR(OR(L493="X",L493="x"),AND(J493=N493,K493=M493)),1,0),0)</f>
      </c>
      <c r="O503" s="18" t="str">
        <f>RANK(AC503,$AC$502:$AC$504)+COUNTIF($AC$501:AC502,AC503)</f>
      </c>
      <c r="U503" t="str">
        <f>(B503*1000000000)-(C503*10000000)+(D503*100000)+(B508*1000)-(C508*100)+(D508*10)+(E508*1)-(F508*0.01)</f>
      </c>
      <c r="AC503" t="str">
        <f>(J503*1000000000)-(K503*10000000)+(L503*100000)+(J508*1000)-(K508*100)+(L508*10)+(M508*1)-(N508*0.01)</f>
      </c>
    </row>
    <row r="504">
      <c r="A504" s="14" t="str">
        <f>data!$E$38&amp;" "&amp;data!$B$38</f>
      </c>
      <c r="B504" s="14" t="str">
        <f>IF(OR(COUNTA(B486:C490,E486:F490)&gt;0,D486="X",D486="x",D487="X",D487="x",D488="X",D488="x",D489="X",D489="x",D490="X",D490="x",OR(D485="X",D485="x")),IF(OR(OR(D485="X",D485="x"),AND(B485=F485,C485=E485)),0,IF(OR(B485&gt;F485,AND(B485=F485,C485&gt;E485)),1,0)),0)+IF(OR(COUNTA(B494:C498,E494:F498)&gt;0,D494="X",D494="x",D495="X",D495="x",D496="X",D496="x",D497="X",D497="x",D498="X",D498="x",OR(D493="X",D493="x")),IF(OR(OR(D493="X",D493="x"),AND(B493=F493,C493=E493)),0,IF(OR(B493&gt;F493,AND(B493=F493,C493&gt;E493)),1,0)),0)</f>
      </c>
      <c r="C504" s="14" t="str">
        <f>IF(OR(COUNTA(B486:C490,E486:F490)&gt;0,D486="X",D486="x",D487="X",D487="x",D488="X",D488="x",D489="X",D489="x",D490="X",D490="x",OR(D485="X",D485="x")),IF(OR(OR(D485="X",D485="x"),AND(B485=F485,C485=E485)),0,IF(OR(B485&lt;F485,AND(B485=F485,C485&lt;E485)),1,0)),0)+IF(OR(COUNTA(B494:C498,E494:F498)&gt;0,D494="X",D494="x",D495="X",D495="x",D496="X",D496="x",D497="X",D497="x",D498="X",D498="x",OR(D493="X",D493="x")),IF(OR(OR(D493="X",D493="x"),AND(B493=F493,C493=E493)),0,IF(OR(B493&lt;F493,AND(B493=F493,C493&lt;E493)),1,0)),0)</f>
      </c>
      <c r="D504" s="14" t="str">
        <f>IF(OR(COUNTA(B486:C490,E486:F490)&gt;0,D486="X",D486="x",D487="X",D487="x",D488="X",D488="x",D489="X",D489="x",D490="X",D490="x",OR(D485="X",D485="x")),IF(OR(OR(D485="X",D485="x"),AND(B485=F485,C485=E485)),1,0),0)+IF(OR(COUNTA(B494:C498,E494:F498)&gt;0,D494="X",D494="x",D495="X",D495="x",D496="X",D496="x",D497="X",D497="x",D498="X",D498="x",OR(D493="X",D493="x")),IF(OR(OR(D493="X",D493="x"),AND(B493=F493,C493=E493)),1,0),0)</f>
      </c>
      <c r="G504" s="18" t="str">
        <f>RANK(U504,$U$502:$U$504)+COUNTIF($U$501:U503,U504)</f>
      </c>
      <c r="I504" s="14" t="str">
        <f>data!$E$85&amp;" "&amp;data!$B$85</f>
      </c>
      <c r="J504" s="14" t="str">
        <f>IF(OR(COUNTA(J486:K490,M486:N490)&gt;0,L486="X",L486="x",L487="X",L487="x",L488="X",L488="x",L489="X",L489="x",L490="X",L490="x",OR(L485="X",L485="x")),IF(OR(OR(L485="X",L485="x"),AND(J485=N485,K485=M485)),0,IF(OR(J485&gt;N485,AND(J485=N485,K485&gt;M485)),1,0)),0)+IF(OR(COUNTA(J494:K498,M494:N498)&gt;0,L494="X",L494="x",L495="X",L495="x",L496="X",L496="x",L497="X",L497="x",L498="X",L498="x",OR(L493="X",L493="x")),IF(OR(OR(L493="X",L493="x"),AND(J493=N493,K493=M493)),0,IF(OR(J493&gt;N493,AND(J493=N493,K493&gt;M493)),1,0)),0)</f>
      </c>
      <c r="K504" s="14" t="str">
        <f>IF(OR(COUNTA(J486:K490,M486:N490)&gt;0,L486="X",L486="x",L487="X",L487="x",L488="X",L488="x",L489="X",L489="x",L490="X",L490="x",OR(L485="X",L485="x")),IF(OR(OR(L485="X",L485="x"),AND(J485=N485,K485=M485)),0,IF(OR(J485&lt;N485,AND(J485=N485,K485&lt;M485)),1,0)),0)+IF(OR(COUNTA(J494:K498,M494:N498)&gt;0,L494="X",L494="x",L495="X",L495="x",L496="X",L496="x",L497="X",L497="x",L498="X",L498="x",OR(L493="X",L493="x")),IF(OR(OR(L493="X",L493="x"),AND(J493=N493,K493=M493)),0,IF(OR(J493&lt;N493,AND(J493=N493,K493&lt;M493)),1,0)),0)</f>
      </c>
      <c r="L504" s="14" t="str">
        <f>IF(OR(COUNTA(J486:K490,M486:N490)&gt;0,L486="X",L486="x",L487="X",L487="x",L488="X",L488="x",L489="X",L489="x",L490="X",L490="x",OR(L485="X",L485="x")),IF(OR(OR(L485="X",L485="x"),AND(J485=N485,K485=M485)),1,0),0)+IF(OR(COUNTA(J494:K498,M494:N498)&gt;0,L494="X",L494="x",L495="X",L495="x",L496="X",L496="x",L497="X",L497="x",L498="X",L498="x",OR(L493="X",L493="x")),IF(OR(OR(L493="X",L493="x"),AND(J493=N493,K493=M493)),1,0),0)</f>
      </c>
      <c r="O504" s="18" t="str">
        <f>RANK(AC504,$AC$502:$AC$504)+COUNTIF($AC$501:AC503,AC504)</f>
      </c>
      <c r="U504" t="str">
        <f>(B504*1000000000)-(C504*10000000)+(D504*100000)+(B509*1000)-(C509*100)+(D509*10)+(E509*1)-(F509*0.01)</f>
      </c>
      <c r="AC504" t="str">
        <f>(J504*1000000000)-(K504*10000000)+(L504*100000)+(J509*1000)-(K509*100)+(L509*10)+(M509*1)-(N509*0.01)</f>
      </c>
    </row>
    <row r="506">
      <c r="A506" s="13"/>
      <c r="B506" s="13" t="s">
        <v>339</v>
      </c>
      <c r="C506" s="13" t="s">
        <v>340</v>
      </c>
      <c r="D506" s="13" t="s">
        <v>341</v>
      </c>
      <c r="E506" s="13" t="s">
        <v>342</v>
      </c>
      <c r="F506" s="13" t="s">
        <v>343</v>
      </c>
      <c r="I506" s="13"/>
      <c r="J506" s="13" t="s">
        <v>339</v>
      </c>
      <c r="K506" s="13" t="s">
        <v>340</v>
      </c>
      <c r="L506" s="13" t="s">
        <v>341</v>
      </c>
      <c r="M506" s="13" t="s">
        <v>342</v>
      </c>
      <c r="N506" s="13" t="s">
        <v>343</v>
      </c>
    </row>
    <row r="507">
      <c r="A507" s="14" t="str">
        <f>data!$E$36&amp;" "&amp;data!$B$36</f>
      </c>
      <c r="B507" s="14" t="str">
        <f>IF(OR(COUNTA(B478:C482,E478:F482)&gt;0,OR(D477="X",D477="x"),UPPER(D478)="X",UPPER(D479)="X",UPPER(D480)="X",UPPER(D481)="X",UPPER(D482)="X"),F477,0)+IF(OR(COUNTA(B486:C490,E486:F490)&gt;0,OR(D485="X",D485="x"),UPPER(D486)="X",UPPER(D487)="X",UPPER(D488)="X",UPPER(D489)="X",UPPER(D490)="X"),F485,0)</f>
      </c>
      <c r="C507" s="14" t="str">
        <f>IF(OR(COUNTA(B478:C482,E478:F482)&gt;0,OR(D477="X",D477="x"),UPPER(D478)="X",UPPER(D479)="X",UPPER(D480)="X",UPPER(D481)="X",UPPER(D482)="X"),B477,0)+IF(OR(COUNTA(B486:C490,E486:F490)&gt;0,OR(D485="X",D485="x"),UPPER(D486)="X",UPPER(D487)="X",UPPER(D488)="X",UPPER(D489)="X",UPPER(D490)="X"),B485,0)</f>
      </c>
      <c r="D507" s="14" t="str">
        <f>IF(OR(COUNTA(B478:C482,E478:F482)&gt;0,OR(D477="X",D477="x"),UPPER(D478)="X",UPPER(D479)="X",UPPER(D480)="X",UPPER(D481)="X",UPPER(D482)="X"),(IF(OR(D478="X",D478="x",AND(COUNTA(B478,C478,E478,F478)&gt;0,(LEN(SUBSTITUTE(SUBSTITUTE(SUBSTITUTE(B478," ",""),"0",""),"-",""))+LEN(SUBSTITUTE(SUBSTITUTE(SUBSTITUTE(C478," ",""),"0",""),"-","")))=(LEN(SUBSTITUTE(SUBSTITUTE(SUBSTITUTE(E478," ",""),"0",""),"-",""))+LEN(SUBSTITUTE(SUBSTITUTE(SUBSTITUTE(F478," ",""),"0",""),"-",""))))),1,0)+IF(OR(D479="X",D479="x",AND(COUNTA(B479,C479,E479,F479)&gt;0,(LEN(SUBSTITUTE(SUBSTITUTE(SUBSTITUTE(B479," ",""),"0",""),"-",""))+LEN(SUBSTITUTE(SUBSTITUTE(SUBSTITUTE(C479," ",""),"0",""),"-","")))=(LEN(SUBSTITUTE(SUBSTITUTE(SUBSTITUTE(E479," ",""),"0",""),"-",""))+LEN(SUBSTITUTE(SUBSTITUTE(SUBSTITUTE(F479," ",""),"0",""),"-",""))))),1,0)+IF(OR(D480="X",D480="x",AND(COUNTA(B480,C480,E480,F480)&gt;0,(LEN(SUBSTITUTE(SUBSTITUTE(SUBSTITUTE(B480," ",""),"0",""),"-",""))+LEN(SUBSTITUTE(SUBSTITUTE(SUBSTITUTE(C480," ",""),"0",""),"-","")))=(LEN(SUBSTITUTE(SUBSTITUTE(SUBSTITUTE(E480," ",""),"0",""),"-",""))+LEN(SUBSTITUTE(SUBSTITUTE(SUBSTITUTE(F480," ",""),"0",""),"-",""))))),1,0)+IF(OR(D481="X",D481="x",AND(COUNTA(B481,C481,E481,F481)&gt;0,(LEN(SUBSTITUTE(SUBSTITUTE(SUBSTITUTE(B481," ",""),"0",""),"-",""))+LEN(SUBSTITUTE(SUBSTITUTE(SUBSTITUTE(C481," ",""),"0",""),"-","")))=(LEN(SUBSTITUTE(SUBSTITUTE(SUBSTITUTE(E481," ",""),"0",""),"-",""))+LEN(SUBSTITUTE(SUBSTITUTE(SUBSTITUTE(F481," ",""),"0",""),"-",""))))),1,0)+IF(OR(D482="X",D482="x",AND(COUNTA(B482,C482,E482,F482)&gt;0,(LEN(SUBSTITUTE(SUBSTITUTE(SUBSTITUTE(B482," ",""),"0",""),"-",""))+LEN(SUBSTITUTE(SUBSTITUTE(SUBSTITUTE(C482," ",""),"0",""),"-","")))=(LEN(SUBSTITUTE(SUBSTITUTE(SUBSTITUTE(E482," ",""),"0",""),"-",""))+LEN(SUBSTITUTE(SUBSTITUTE(SUBSTITUTE(F482," ",""),"0",""),"-",""))))),1,0)),0)+IF(OR(COUNTA(B486:C490,E486:F490)&gt;0,OR(D485="X",D485="x"),UPPER(D486)="X",UPPER(D487)="X",UPPER(D488)="X",UPPER(D489)="X",UPPER(D490)="X"),(IF(OR(D486="X",D486="x",AND(COUNTA(B486,C486,E486,F486)&gt;0,(LEN(SUBSTITUTE(SUBSTITUTE(SUBSTITUTE(B486," ",""),"0",""),"-",""))+LEN(SUBSTITUTE(SUBSTITUTE(SUBSTITUTE(C486," ",""),"0",""),"-","")))=(LEN(SUBSTITUTE(SUBSTITUTE(SUBSTITUTE(E486," ",""),"0",""),"-",""))+LEN(SUBSTITUTE(SUBSTITUTE(SUBSTITUTE(F486," ",""),"0",""),"-",""))))),1,0)+IF(OR(D487="X",D487="x",AND(COUNTA(B487,C487,E487,F487)&gt;0,(LEN(SUBSTITUTE(SUBSTITUTE(SUBSTITUTE(B487," ",""),"0",""),"-",""))+LEN(SUBSTITUTE(SUBSTITUTE(SUBSTITUTE(C487," ",""),"0",""),"-","")))=(LEN(SUBSTITUTE(SUBSTITUTE(SUBSTITUTE(E487," ",""),"0",""),"-",""))+LEN(SUBSTITUTE(SUBSTITUTE(SUBSTITUTE(F487," ",""),"0",""),"-",""))))),1,0)+IF(OR(D488="X",D488="x",AND(COUNTA(B488,C488,E488,F488)&gt;0,(LEN(SUBSTITUTE(SUBSTITUTE(SUBSTITUTE(B488," ",""),"0",""),"-",""))+LEN(SUBSTITUTE(SUBSTITUTE(SUBSTITUTE(C488," ",""),"0",""),"-","")))=(LEN(SUBSTITUTE(SUBSTITUTE(SUBSTITUTE(E488," ",""),"0",""),"-",""))+LEN(SUBSTITUTE(SUBSTITUTE(SUBSTITUTE(F488," ",""),"0",""),"-",""))))),1,0)+IF(OR(D489="X",D489="x",AND(COUNTA(B489,C489,E489,F489)&gt;0,(LEN(SUBSTITUTE(SUBSTITUTE(SUBSTITUTE(B489," ",""),"0",""),"-",""))+LEN(SUBSTITUTE(SUBSTITUTE(SUBSTITUTE(C489," ",""),"0",""),"-","")))=(LEN(SUBSTITUTE(SUBSTITUTE(SUBSTITUTE(E489," ",""),"0",""),"-",""))+LEN(SUBSTITUTE(SUBSTITUTE(SUBSTITUTE(F489," ",""),"0",""),"-",""))))),1,0)+IF(OR(D490="X",D490="x",AND(COUNTA(B490,C490,E490,F490)&gt;0,(LEN(SUBSTITUTE(SUBSTITUTE(SUBSTITUTE(B490," ",""),"0",""),"-",""))+LEN(SUBSTITUTE(SUBSTITUTE(SUBSTITUTE(C490," ",""),"0",""),"-","")))=(LEN(SUBSTITUTE(SUBSTITUTE(SUBSTITUTE(E490," ",""),"0",""),"-",""))+LEN(SUBSTITUTE(SUBSTITUTE(SUBSTITUTE(F490," ",""),"0",""),"-",""))))),1,0)),0)</f>
      </c>
      <c r="E507" s="14" t="str">
        <f>E477+E485</f>
      </c>
      <c r="F507" s="14" t="str">
        <f>C477+C485</f>
      </c>
      <c r="I507" s="14" t="str">
        <f>data!$E$83&amp;" "&amp;data!$B$83</f>
      </c>
      <c r="J507" s="14" t="str">
        <f>IF(OR(COUNTA(J478:K482,M478:N482)&gt;0,OR(L477="X",L477="x"),UPPER(L478)="X",UPPER(L479)="X",UPPER(L480)="X",UPPER(L481)="X",UPPER(L482)="X"),N477,0)+IF(OR(COUNTA(J486:K490,M486:N490)&gt;0,OR(L485="X",L485="x"),UPPER(L486)="X",UPPER(L487)="X",UPPER(L488)="X",UPPER(L489)="X",UPPER(L490)="X"),N485,0)</f>
      </c>
      <c r="K507" s="14" t="str">
        <f>IF(OR(COUNTA(J478:K482,M478:N482)&gt;0,OR(L477="X",L477="x"),UPPER(L478)="X",UPPER(L479)="X",UPPER(L480)="X",UPPER(L481)="X",UPPER(L482)="X"),J477,0)+IF(OR(COUNTA(J486:K490,M486:N490)&gt;0,OR(L485="X",L485="x"),UPPER(L486)="X",UPPER(L487)="X",UPPER(L488)="X",UPPER(L489)="X",UPPER(L490)="X"),J485,0)</f>
      </c>
      <c r="L507" s="14" t="str">
        <f>IF(OR(COUNTA(J478:K482,M478:N482)&gt;0,OR(L477="X",L477="x"),UPPER(L478)="X",UPPER(L479)="X",UPPER(L480)="X",UPPER(L481)="X",UPPER(L482)="X"),(IF(OR(L478="X",L478="x",AND(COUNTA(J478,K478,M478,N478)&gt;0,(LEN(SUBSTITUTE(SUBSTITUTE(SUBSTITUTE(J478," ",""),"0",""),"-",""))+LEN(SUBSTITUTE(SUBSTITUTE(SUBSTITUTE(K478," ",""),"0",""),"-","")))=(LEN(SUBSTITUTE(SUBSTITUTE(SUBSTITUTE(M478," ",""),"0",""),"-",""))+LEN(SUBSTITUTE(SUBSTITUTE(SUBSTITUTE(N478," ",""),"0",""),"-",""))))),1,0)+IF(OR(L479="X",L479="x",AND(COUNTA(J479,K479,M479,N479)&gt;0,(LEN(SUBSTITUTE(SUBSTITUTE(SUBSTITUTE(J479," ",""),"0",""),"-",""))+LEN(SUBSTITUTE(SUBSTITUTE(SUBSTITUTE(K479," ",""),"0",""),"-","")))=(LEN(SUBSTITUTE(SUBSTITUTE(SUBSTITUTE(M479," ",""),"0",""),"-",""))+LEN(SUBSTITUTE(SUBSTITUTE(SUBSTITUTE(N479," ",""),"0",""),"-",""))))),1,0)+IF(OR(L480="X",L480="x",AND(COUNTA(J480,K480,M480,N480)&gt;0,(LEN(SUBSTITUTE(SUBSTITUTE(SUBSTITUTE(J480," ",""),"0",""),"-",""))+LEN(SUBSTITUTE(SUBSTITUTE(SUBSTITUTE(K480," ",""),"0",""),"-","")))=(LEN(SUBSTITUTE(SUBSTITUTE(SUBSTITUTE(M480," ",""),"0",""),"-",""))+LEN(SUBSTITUTE(SUBSTITUTE(SUBSTITUTE(N480," ",""),"0",""),"-",""))))),1,0)+IF(OR(L481="X",L481="x",AND(COUNTA(J481,K481,M481,N481)&gt;0,(LEN(SUBSTITUTE(SUBSTITUTE(SUBSTITUTE(J481," ",""),"0",""),"-",""))+LEN(SUBSTITUTE(SUBSTITUTE(SUBSTITUTE(K481," ",""),"0",""),"-","")))=(LEN(SUBSTITUTE(SUBSTITUTE(SUBSTITUTE(M481," ",""),"0",""),"-",""))+LEN(SUBSTITUTE(SUBSTITUTE(SUBSTITUTE(N481," ",""),"0",""),"-",""))))),1,0)+IF(OR(L482="X",L482="x",AND(COUNTA(J482,K482,M482,N482)&gt;0,(LEN(SUBSTITUTE(SUBSTITUTE(SUBSTITUTE(J482," ",""),"0",""),"-",""))+LEN(SUBSTITUTE(SUBSTITUTE(SUBSTITUTE(K482," ",""),"0",""),"-","")))=(LEN(SUBSTITUTE(SUBSTITUTE(SUBSTITUTE(M482," ",""),"0",""),"-",""))+LEN(SUBSTITUTE(SUBSTITUTE(SUBSTITUTE(N482," ",""),"0",""),"-",""))))),1,0)),0)+IF(OR(COUNTA(J486:K490,M486:N490)&gt;0,OR(L485="X",L485="x"),UPPER(L486)="X",UPPER(L487)="X",UPPER(L488)="X",UPPER(L489)="X",UPPER(L490)="X"),(IF(OR(L486="X",L486="x",AND(COUNTA(J486,K486,M486,N486)&gt;0,(LEN(SUBSTITUTE(SUBSTITUTE(SUBSTITUTE(J486," ",""),"0",""),"-",""))+LEN(SUBSTITUTE(SUBSTITUTE(SUBSTITUTE(K486," ",""),"0",""),"-","")))=(LEN(SUBSTITUTE(SUBSTITUTE(SUBSTITUTE(M486," ",""),"0",""),"-",""))+LEN(SUBSTITUTE(SUBSTITUTE(SUBSTITUTE(N486," ",""),"0",""),"-",""))))),1,0)+IF(OR(L487="X",L487="x",AND(COUNTA(J487,K487,M487,N487)&gt;0,(LEN(SUBSTITUTE(SUBSTITUTE(SUBSTITUTE(J487," ",""),"0",""),"-",""))+LEN(SUBSTITUTE(SUBSTITUTE(SUBSTITUTE(K487," ",""),"0",""),"-","")))=(LEN(SUBSTITUTE(SUBSTITUTE(SUBSTITUTE(M487," ",""),"0",""),"-",""))+LEN(SUBSTITUTE(SUBSTITUTE(SUBSTITUTE(N487," ",""),"0",""),"-",""))))),1,0)+IF(OR(L488="X",L488="x",AND(COUNTA(J488,K488,M488,N488)&gt;0,(LEN(SUBSTITUTE(SUBSTITUTE(SUBSTITUTE(J488," ",""),"0",""),"-",""))+LEN(SUBSTITUTE(SUBSTITUTE(SUBSTITUTE(K488," ",""),"0",""),"-","")))=(LEN(SUBSTITUTE(SUBSTITUTE(SUBSTITUTE(M488," ",""),"0",""),"-",""))+LEN(SUBSTITUTE(SUBSTITUTE(SUBSTITUTE(N488," ",""),"0",""),"-",""))))),1,0)+IF(OR(L489="X",L489="x",AND(COUNTA(J489,K489,M489,N489)&gt;0,(LEN(SUBSTITUTE(SUBSTITUTE(SUBSTITUTE(J489," ",""),"0",""),"-",""))+LEN(SUBSTITUTE(SUBSTITUTE(SUBSTITUTE(K489," ",""),"0",""),"-","")))=(LEN(SUBSTITUTE(SUBSTITUTE(SUBSTITUTE(M489," ",""),"0",""),"-",""))+LEN(SUBSTITUTE(SUBSTITUTE(SUBSTITUTE(N489," ",""),"0",""),"-",""))))),1,0)+IF(OR(L490="X",L490="x",AND(COUNTA(J490,K490,M490,N490)&gt;0,(LEN(SUBSTITUTE(SUBSTITUTE(SUBSTITUTE(J490," ",""),"0",""),"-",""))+LEN(SUBSTITUTE(SUBSTITUTE(SUBSTITUTE(K490," ",""),"0",""),"-","")))=(LEN(SUBSTITUTE(SUBSTITUTE(SUBSTITUTE(M490," ",""),"0",""),"-",""))+LEN(SUBSTITUTE(SUBSTITUTE(SUBSTITUTE(N490," ",""),"0",""),"-",""))))),1,0)),0)</f>
      </c>
      <c r="M507" s="14" t="str">
        <f>M477+M485</f>
      </c>
      <c r="N507" s="14" t="str">
        <f>K477+K485</f>
      </c>
    </row>
    <row r="508">
      <c r="A508" s="14" t="str">
        <f>data!$E$37&amp;" "&amp;data!$B$37</f>
      </c>
      <c r="B508" s="14" t="str">
        <f>IF(OR(COUNTA(B478:C482,E478:F482)&gt;0,OR(D477="X",D477="x"),UPPER(D478)="X",UPPER(D479)="X",UPPER(D480)="X",UPPER(D481)="X",UPPER(D482)="X"),B477,0)+IF(OR(COUNTA(B494:C498,E494:F498)&gt;0,OR(D493="X",D493="x"),UPPER(D494)="X",UPPER(D495)="X",UPPER(D496)="X",UPPER(D497)="X",UPPER(D498)="X"),F493,0)</f>
      </c>
      <c r="C508" s="14" t="str">
        <f>IF(OR(COUNTA(B478:C482,E478:F482)&gt;0,OR(D477="X",D477="x"),UPPER(D478)="X",UPPER(D479)="X",UPPER(D480)="X",UPPER(D481)="X",UPPER(D482)="X"),F477,0)+IF(OR(COUNTA(B494:C498,E494:F498)&gt;0,OR(D493="X",D493="x"),UPPER(D494)="X",UPPER(D495)="X",UPPER(D496)="X",UPPER(D497)="X",UPPER(D498)="X"),B493,0)</f>
      </c>
      <c r="D508" s="14" t="str">
        <f>IF(OR(COUNTA(B478:C482,E478:F482)&gt;0,OR(D477="X",D477="x"),UPPER(D478)="X",UPPER(D479)="X",UPPER(D480)="X",UPPER(D481)="X",UPPER(D482)="X"),(IF(OR(D478="X",D478="x",AND(COUNTA(B478,C478,E478,F478)&gt;0,(LEN(SUBSTITUTE(SUBSTITUTE(SUBSTITUTE(B478," ",""),"0",""),"-",""))+LEN(SUBSTITUTE(SUBSTITUTE(SUBSTITUTE(C478," ",""),"0",""),"-","")))=(LEN(SUBSTITUTE(SUBSTITUTE(SUBSTITUTE(E478," ",""),"0",""),"-",""))+LEN(SUBSTITUTE(SUBSTITUTE(SUBSTITUTE(F478," ",""),"0",""),"-",""))))),1,0)+IF(OR(D479="X",D479="x",AND(COUNTA(B479,C479,E479,F479)&gt;0,(LEN(SUBSTITUTE(SUBSTITUTE(SUBSTITUTE(B479," ",""),"0",""),"-",""))+LEN(SUBSTITUTE(SUBSTITUTE(SUBSTITUTE(C479," ",""),"0",""),"-","")))=(LEN(SUBSTITUTE(SUBSTITUTE(SUBSTITUTE(E479," ",""),"0",""),"-",""))+LEN(SUBSTITUTE(SUBSTITUTE(SUBSTITUTE(F479," ",""),"0",""),"-",""))))),1,0)+IF(OR(D480="X",D480="x",AND(COUNTA(B480,C480,E480,F480)&gt;0,(LEN(SUBSTITUTE(SUBSTITUTE(SUBSTITUTE(B480," ",""),"0",""),"-",""))+LEN(SUBSTITUTE(SUBSTITUTE(SUBSTITUTE(C480," ",""),"0",""),"-","")))=(LEN(SUBSTITUTE(SUBSTITUTE(SUBSTITUTE(E480," ",""),"0",""),"-",""))+LEN(SUBSTITUTE(SUBSTITUTE(SUBSTITUTE(F480," ",""),"0",""),"-",""))))),1,0)+IF(OR(D481="X",D481="x",AND(COUNTA(B481,C481,E481,F481)&gt;0,(LEN(SUBSTITUTE(SUBSTITUTE(SUBSTITUTE(B481," ",""),"0",""),"-",""))+LEN(SUBSTITUTE(SUBSTITUTE(SUBSTITUTE(C481," ",""),"0",""),"-","")))=(LEN(SUBSTITUTE(SUBSTITUTE(SUBSTITUTE(E481," ",""),"0",""),"-",""))+LEN(SUBSTITUTE(SUBSTITUTE(SUBSTITUTE(F481," ",""),"0",""),"-",""))))),1,0)+IF(OR(D482="X",D482="x",AND(COUNTA(B482,C482,E482,F482)&gt;0,(LEN(SUBSTITUTE(SUBSTITUTE(SUBSTITUTE(B482," ",""),"0",""),"-",""))+LEN(SUBSTITUTE(SUBSTITUTE(SUBSTITUTE(C482," ",""),"0",""),"-","")))=(LEN(SUBSTITUTE(SUBSTITUTE(SUBSTITUTE(E482," ",""),"0",""),"-",""))+LEN(SUBSTITUTE(SUBSTITUTE(SUBSTITUTE(F482," ",""),"0",""),"-",""))))),1,0)),0)+IF(OR(COUNTA(B494:C498,E494:F498)&gt;0,OR(D493="X",D493="x"),UPPER(D494)="X",UPPER(D495)="X",UPPER(D496)="X",UPPER(D497)="X",UPPER(D498)="X"),(IF(OR(D494="X",D494="x",AND(COUNTA(B494,C494,E494,F494)&gt;0,(LEN(SUBSTITUTE(SUBSTITUTE(SUBSTITUTE(B494," ",""),"0",""),"-",""))+LEN(SUBSTITUTE(SUBSTITUTE(SUBSTITUTE(C494," ",""),"0",""),"-","")))=(LEN(SUBSTITUTE(SUBSTITUTE(SUBSTITUTE(E494," ",""),"0",""),"-",""))+LEN(SUBSTITUTE(SUBSTITUTE(SUBSTITUTE(F494," ",""),"0",""),"-",""))))),1,0)+IF(OR(D495="X",D495="x",AND(COUNTA(B495,C495,E495,F495)&gt;0,(LEN(SUBSTITUTE(SUBSTITUTE(SUBSTITUTE(B495," ",""),"0",""),"-",""))+LEN(SUBSTITUTE(SUBSTITUTE(SUBSTITUTE(C495," ",""),"0",""),"-","")))=(LEN(SUBSTITUTE(SUBSTITUTE(SUBSTITUTE(E495," ",""),"0",""),"-",""))+LEN(SUBSTITUTE(SUBSTITUTE(SUBSTITUTE(F495," ",""),"0",""),"-",""))))),1,0)+IF(OR(D496="X",D496="x",AND(COUNTA(B496,C496,E496,F496)&gt;0,(LEN(SUBSTITUTE(SUBSTITUTE(SUBSTITUTE(B496," ",""),"0",""),"-",""))+LEN(SUBSTITUTE(SUBSTITUTE(SUBSTITUTE(C496," ",""),"0",""),"-","")))=(LEN(SUBSTITUTE(SUBSTITUTE(SUBSTITUTE(E496," ",""),"0",""),"-",""))+LEN(SUBSTITUTE(SUBSTITUTE(SUBSTITUTE(F496," ",""),"0",""),"-",""))))),1,0)+IF(OR(D497="X",D497="x",AND(COUNTA(B497,C497,E497,F497)&gt;0,(LEN(SUBSTITUTE(SUBSTITUTE(SUBSTITUTE(B497," ",""),"0",""),"-",""))+LEN(SUBSTITUTE(SUBSTITUTE(SUBSTITUTE(C497," ",""),"0",""),"-","")))=(LEN(SUBSTITUTE(SUBSTITUTE(SUBSTITUTE(E497," ",""),"0",""),"-",""))+LEN(SUBSTITUTE(SUBSTITUTE(SUBSTITUTE(F497," ",""),"0",""),"-",""))))),1,0)+IF(OR(D498="X",D498="x",AND(COUNTA(B498,C498,E498,F498)&gt;0,(LEN(SUBSTITUTE(SUBSTITUTE(SUBSTITUTE(B498," ",""),"0",""),"-",""))+LEN(SUBSTITUTE(SUBSTITUTE(SUBSTITUTE(C498," ",""),"0",""),"-","")))=(LEN(SUBSTITUTE(SUBSTITUTE(SUBSTITUTE(E498," ",""),"0",""),"-",""))+LEN(SUBSTITUTE(SUBSTITUTE(SUBSTITUTE(F498," ",""),"0",""),"-",""))))),1,0)),0)</f>
      </c>
      <c r="E508" s="14" t="str">
        <f>C477+E493</f>
      </c>
      <c r="F508" s="14" t="str">
        <f>E477+C493</f>
      </c>
      <c r="I508" s="14" t="str">
        <f>data!$E$84&amp;" "&amp;data!$B$84</f>
      </c>
      <c r="J508" s="14" t="str">
        <f>IF(OR(COUNTA(J478:K482,M478:N482)&gt;0,OR(L477="X",L477="x"),UPPER(L478)="X",UPPER(L479)="X",UPPER(L480)="X",UPPER(L481)="X",UPPER(L482)="X"),J477,0)+IF(OR(COUNTA(J494:K498,M494:N498)&gt;0,OR(L493="X",L493="x"),UPPER(L494)="X",UPPER(L495)="X",UPPER(L496)="X",UPPER(L497)="X",UPPER(L498)="X"),N493,0)</f>
      </c>
      <c r="K508" s="14" t="str">
        <f>IF(OR(COUNTA(J478:K482,M478:N482)&gt;0,OR(L477="X",L477="x"),UPPER(L478)="X",UPPER(L479)="X",UPPER(L480)="X",UPPER(L481)="X",UPPER(L482)="X"),N477,0)+IF(OR(COUNTA(J494:K498,M494:N498)&gt;0,OR(L493="X",L493="x"),UPPER(L494)="X",UPPER(L495)="X",UPPER(L496)="X",UPPER(L497)="X",UPPER(L498)="X"),J493,0)</f>
      </c>
      <c r="L508" s="14" t="str">
        <f>IF(OR(COUNTA(J478:K482,M478:N482)&gt;0,OR(L477="X",L477="x"),UPPER(L478)="X",UPPER(L479)="X",UPPER(L480)="X",UPPER(L481)="X",UPPER(L482)="X"),(IF(OR(L478="X",L478="x",AND(COUNTA(J478,K478,M478,N478)&gt;0,(LEN(SUBSTITUTE(SUBSTITUTE(SUBSTITUTE(J478," ",""),"0",""),"-",""))+LEN(SUBSTITUTE(SUBSTITUTE(SUBSTITUTE(K478," ",""),"0",""),"-","")))=(LEN(SUBSTITUTE(SUBSTITUTE(SUBSTITUTE(M478," ",""),"0",""),"-",""))+LEN(SUBSTITUTE(SUBSTITUTE(SUBSTITUTE(N478," ",""),"0",""),"-",""))))),1,0)+IF(OR(L479="X",L479="x",AND(COUNTA(J479,K479,M479,N479)&gt;0,(LEN(SUBSTITUTE(SUBSTITUTE(SUBSTITUTE(J479," ",""),"0",""),"-",""))+LEN(SUBSTITUTE(SUBSTITUTE(SUBSTITUTE(K479," ",""),"0",""),"-","")))=(LEN(SUBSTITUTE(SUBSTITUTE(SUBSTITUTE(M479," ",""),"0",""),"-",""))+LEN(SUBSTITUTE(SUBSTITUTE(SUBSTITUTE(N479," ",""),"0",""),"-",""))))),1,0)+IF(OR(L480="X",L480="x",AND(COUNTA(J480,K480,M480,N480)&gt;0,(LEN(SUBSTITUTE(SUBSTITUTE(SUBSTITUTE(J480," ",""),"0",""),"-",""))+LEN(SUBSTITUTE(SUBSTITUTE(SUBSTITUTE(K480," ",""),"0",""),"-","")))=(LEN(SUBSTITUTE(SUBSTITUTE(SUBSTITUTE(M480," ",""),"0",""),"-",""))+LEN(SUBSTITUTE(SUBSTITUTE(SUBSTITUTE(N480," ",""),"0",""),"-",""))))),1,0)+IF(OR(L481="X",L481="x",AND(COUNTA(J481,K481,M481,N481)&gt;0,(LEN(SUBSTITUTE(SUBSTITUTE(SUBSTITUTE(J481," ",""),"0",""),"-",""))+LEN(SUBSTITUTE(SUBSTITUTE(SUBSTITUTE(K481," ",""),"0",""),"-","")))=(LEN(SUBSTITUTE(SUBSTITUTE(SUBSTITUTE(M481," ",""),"0",""),"-",""))+LEN(SUBSTITUTE(SUBSTITUTE(SUBSTITUTE(N481," ",""),"0",""),"-",""))))),1,0)+IF(OR(L482="X",L482="x",AND(COUNTA(J482,K482,M482,N482)&gt;0,(LEN(SUBSTITUTE(SUBSTITUTE(SUBSTITUTE(J482," ",""),"0",""),"-",""))+LEN(SUBSTITUTE(SUBSTITUTE(SUBSTITUTE(K482," ",""),"0",""),"-","")))=(LEN(SUBSTITUTE(SUBSTITUTE(SUBSTITUTE(M482," ",""),"0",""),"-",""))+LEN(SUBSTITUTE(SUBSTITUTE(SUBSTITUTE(N482," ",""),"0",""),"-",""))))),1,0)),0)+IF(OR(COUNTA(J494:K498,M494:N498)&gt;0,OR(L493="X",L493="x"),UPPER(L494)="X",UPPER(L495)="X",UPPER(L496)="X",UPPER(L497)="X",UPPER(L498)="X"),(IF(OR(L494="X",L494="x",AND(COUNTA(J494,K494,M494,N494)&gt;0,(LEN(SUBSTITUTE(SUBSTITUTE(SUBSTITUTE(J494," ",""),"0",""),"-",""))+LEN(SUBSTITUTE(SUBSTITUTE(SUBSTITUTE(K494," ",""),"0",""),"-","")))=(LEN(SUBSTITUTE(SUBSTITUTE(SUBSTITUTE(M494," ",""),"0",""),"-",""))+LEN(SUBSTITUTE(SUBSTITUTE(SUBSTITUTE(N494," ",""),"0",""),"-",""))))),1,0)+IF(OR(L495="X",L495="x",AND(COUNTA(J495,K495,M495,N495)&gt;0,(LEN(SUBSTITUTE(SUBSTITUTE(SUBSTITUTE(J495," ",""),"0",""),"-",""))+LEN(SUBSTITUTE(SUBSTITUTE(SUBSTITUTE(K495," ",""),"0",""),"-","")))=(LEN(SUBSTITUTE(SUBSTITUTE(SUBSTITUTE(M495," ",""),"0",""),"-",""))+LEN(SUBSTITUTE(SUBSTITUTE(SUBSTITUTE(N495," ",""),"0",""),"-",""))))),1,0)+IF(OR(L496="X",L496="x",AND(COUNTA(J496,K496,M496,N496)&gt;0,(LEN(SUBSTITUTE(SUBSTITUTE(SUBSTITUTE(J496," ",""),"0",""),"-",""))+LEN(SUBSTITUTE(SUBSTITUTE(SUBSTITUTE(K496," ",""),"0",""),"-","")))=(LEN(SUBSTITUTE(SUBSTITUTE(SUBSTITUTE(M496," ",""),"0",""),"-",""))+LEN(SUBSTITUTE(SUBSTITUTE(SUBSTITUTE(N496," ",""),"0",""),"-",""))))),1,0)+IF(OR(L497="X",L497="x",AND(COUNTA(J497,K497,M497,N497)&gt;0,(LEN(SUBSTITUTE(SUBSTITUTE(SUBSTITUTE(J497," ",""),"0",""),"-",""))+LEN(SUBSTITUTE(SUBSTITUTE(SUBSTITUTE(K497," ",""),"0",""),"-","")))=(LEN(SUBSTITUTE(SUBSTITUTE(SUBSTITUTE(M497," ",""),"0",""),"-",""))+LEN(SUBSTITUTE(SUBSTITUTE(SUBSTITUTE(N497," ",""),"0",""),"-",""))))),1,0)+IF(OR(L498="X",L498="x",AND(COUNTA(J498,K498,M498,N498)&gt;0,(LEN(SUBSTITUTE(SUBSTITUTE(SUBSTITUTE(J498," ",""),"0",""),"-",""))+LEN(SUBSTITUTE(SUBSTITUTE(SUBSTITUTE(K498," ",""),"0",""),"-","")))=(LEN(SUBSTITUTE(SUBSTITUTE(SUBSTITUTE(M498," ",""),"0",""),"-",""))+LEN(SUBSTITUTE(SUBSTITUTE(SUBSTITUTE(N498," ",""),"0",""),"-",""))))),1,0)),0)</f>
      </c>
      <c r="M508" s="14" t="str">
        <f>K477+M493</f>
      </c>
      <c r="N508" s="14" t="str">
        <f>M477+K493</f>
      </c>
    </row>
    <row r="509">
      <c r="A509" s="14" t="str">
        <f>data!$E$38&amp;" "&amp;data!$B$38</f>
      </c>
      <c r="B509" s="14" t="str">
        <f>IF(OR(COUNTA(B486:C490,E486:F490)&gt;0,OR(D485="X",D485="x"),UPPER(D486)="X",UPPER(D487)="X",UPPER(D488)="X",UPPER(D489)="X",UPPER(D490)="X"),B485,0)+IF(OR(COUNTA(B494:C498,E494:F498)&gt;0,OR(D493="X",D493="x"),UPPER(D494)="X",UPPER(D495)="X",UPPER(D496)="X",UPPER(D497)="X",UPPER(D498)="X"),B493,0)</f>
      </c>
      <c r="C509" s="14" t="str">
        <f>IF(OR(COUNTA(B486:C490,E486:F490)&gt;0,OR(D485="X",D485="x"),UPPER(D486)="X",UPPER(D487)="X",UPPER(D488)="X",UPPER(D489)="X",UPPER(D490)="X"),F485,0)+IF(OR(COUNTA(B494:C498,E494:F498)&gt;0,OR(D493="X",D493="x"),UPPER(D494)="X",UPPER(D495)="X",UPPER(D496)="X",UPPER(D497)="X",UPPER(D498)="X"),F493,0)</f>
      </c>
      <c r="D509" s="14" t="str">
        <f>IF(OR(COUNTA(B486:C490,E486:F490)&gt;0,OR(D485="X",D485="x"),UPPER(D486)="X",UPPER(D487)="X",UPPER(D488)="X",UPPER(D489)="X",UPPER(D490)="X"),(IF(OR(D486="X",D486="x",AND(COUNTA(B486,C486,E486,F486)&gt;0,(LEN(SUBSTITUTE(SUBSTITUTE(SUBSTITUTE(B486," ",""),"0",""),"-",""))+LEN(SUBSTITUTE(SUBSTITUTE(SUBSTITUTE(C486," ",""),"0",""),"-","")))=(LEN(SUBSTITUTE(SUBSTITUTE(SUBSTITUTE(E486," ",""),"0",""),"-",""))+LEN(SUBSTITUTE(SUBSTITUTE(SUBSTITUTE(F486," ",""),"0",""),"-",""))))),1,0)+IF(OR(D487="X",D487="x",AND(COUNTA(B487,C487,E487,F487)&gt;0,(LEN(SUBSTITUTE(SUBSTITUTE(SUBSTITUTE(B487," ",""),"0",""),"-",""))+LEN(SUBSTITUTE(SUBSTITUTE(SUBSTITUTE(C487," ",""),"0",""),"-","")))=(LEN(SUBSTITUTE(SUBSTITUTE(SUBSTITUTE(E487," ",""),"0",""),"-",""))+LEN(SUBSTITUTE(SUBSTITUTE(SUBSTITUTE(F487," ",""),"0",""),"-",""))))),1,0)+IF(OR(D488="X",D488="x",AND(COUNTA(B488,C488,E488,F488)&gt;0,(LEN(SUBSTITUTE(SUBSTITUTE(SUBSTITUTE(B488," ",""),"0",""),"-",""))+LEN(SUBSTITUTE(SUBSTITUTE(SUBSTITUTE(C488," ",""),"0",""),"-","")))=(LEN(SUBSTITUTE(SUBSTITUTE(SUBSTITUTE(E488," ",""),"0",""),"-",""))+LEN(SUBSTITUTE(SUBSTITUTE(SUBSTITUTE(F488," ",""),"0",""),"-",""))))),1,0)+IF(OR(D489="X",D489="x",AND(COUNTA(B489,C489,E489,F489)&gt;0,(LEN(SUBSTITUTE(SUBSTITUTE(SUBSTITUTE(B489," ",""),"0",""),"-",""))+LEN(SUBSTITUTE(SUBSTITUTE(SUBSTITUTE(C489," ",""),"0",""),"-","")))=(LEN(SUBSTITUTE(SUBSTITUTE(SUBSTITUTE(E489," ",""),"0",""),"-",""))+LEN(SUBSTITUTE(SUBSTITUTE(SUBSTITUTE(F489," ",""),"0",""),"-",""))))),1,0)+IF(OR(D490="X",D490="x",AND(COUNTA(B490,C490,E490,F490)&gt;0,(LEN(SUBSTITUTE(SUBSTITUTE(SUBSTITUTE(B490," ",""),"0",""),"-",""))+LEN(SUBSTITUTE(SUBSTITUTE(SUBSTITUTE(C490," ",""),"0",""),"-","")))=(LEN(SUBSTITUTE(SUBSTITUTE(SUBSTITUTE(E490," ",""),"0",""),"-",""))+LEN(SUBSTITUTE(SUBSTITUTE(SUBSTITUTE(F490," ",""),"0",""),"-",""))))),1,0)),0)+IF(OR(COUNTA(B494:C498,E494:F498)&gt;0,OR(D493="X",D493="x"),UPPER(D494)="X",UPPER(D495)="X",UPPER(D496)="X",UPPER(D497)="X",UPPER(D498)="X"),(IF(OR(D494="X",D494="x",AND(COUNTA(B494,C494,E494,F494)&gt;0,(LEN(SUBSTITUTE(SUBSTITUTE(SUBSTITUTE(B494," ",""),"0",""),"-",""))+LEN(SUBSTITUTE(SUBSTITUTE(SUBSTITUTE(C494," ",""),"0",""),"-","")))=(LEN(SUBSTITUTE(SUBSTITUTE(SUBSTITUTE(E494," ",""),"0",""),"-",""))+LEN(SUBSTITUTE(SUBSTITUTE(SUBSTITUTE(F494," ",""),"0",""),"-",""))))),1,0)+IF(OR(D495="X",D495="x",AND(COUNTA(B495,C495,E495,F495)&gt;0,(LEN(SUBSTITUTE(SUBSTITUTE(SUBSTITUTE(B495," ",""),"0",""),"-",""))+LEN(SUBSTITUTE(SUBSTITUTE(SUBSTITUTE(C495," ",""),"0",""),"-","")))=(LEN(SUBSTITUTE(SUBSTITUTE(SUBSTITUTE(E495," ",""),"0",""),"-",""))+LEN(SUBSTITUTE(SUBSTITUTE(SUBSTITUTE(F495," ",""),"0",""),"-",""))))),1,0)+IF(OR(D496="X",D496="x",AND(COUNTA(B496,C496,E496,F496)&gt;0,(LEN(SUBSTITUTE(SUBSTITUTE(SUBSTITUTE(B496," ",""),"0",""),"-",""))+LEN(SUBSTITUTE(SUBSTITUTE(SUBSTITUTE(C496," ",""),"0",""),"-","")))=(LEN(SUBSTITUTE(SUBSTITUTE(SUBSTITUTE(E496," ",""),"0",""),"-",""))+LEN(SUBSTITUTE(SUBSTITUTE(SUBSTITUTE(F496," ",""),"0",""),"-",""))))),1,0)+IF(OR(D497="X",D497="x",AND(COUNTA(B497,C497,E497,F497)&gt;0,(LEN(SUBSTITUTE(SUBSTITUTE(SUBSTITUTE(B497," ",""),"0",""),"-",""))+LEN(SUBSTITUTE(SUBSTITUTE(SUBSTITUTE(C497," ",""),"0",""),"-","")))=(LEN(SUBSTITUTE(SUBSTITUTE(SUBSTITUTE(E497," ",""),"0",""),"-",""))+LEN(SUBSTITUTE(SUBSTITUTE(SUBSTITUTE(F497," ",""),"0",""),"-",""))))),1,0)+IF(OR(D498="X",D498="x",AND(COUNTA(B498,C498,E498,F498)&gt;0,(LEN(SUBSTITUTE(SUBSTITUTE(SUBSTITUTE(B498," ",""),"0",""),"-",""))+LEN(SUBSTITUTE(SUBSTITUTE(SUBSTITUTE(C498," ",""),"0",""),"-","")))=(LEN(SUBSTITUTE(SUBSTITUTE(SUBSTITUTE(E498," ",""),"0",""),"-",""))+LEN(SUBSTITUTE(SUBSTITUTE(SUBSTITUTE(F498," ",""),"0",""),"-",""))))),1,0)),0)</f>
      </c>
      <c r="E509" s="14" t="str">
        <f>C485+C493</f>
      </c>
      <c r="F509" s="14" t="str">
        <f>E485+E493</f>
      </c>
      <c r="I509" s="14" t="str">
        <f>data!$E$85&amp;" "&amp;data!$B$85</f>
      </c>
      <c r="J509" s="14" t="str">
        <f>IF(OR(COUNTA(J486:K490,M486:N490)&gt;0,OR(L485="X",L485="x"),UPPER(L486)="X",UPPER(L487)="X",UPPER(L488)="X",UPPER(L489)="X",UPPER(L490)="X"),J485,0)+IF(OR(COUNTA(J494:K498,M494:N498)&gt;0,OR(L493="X",L493="x"),UPPER(L494)="X",UPPER(L495)="X",UPPER(L496)="X",UPPER(L497)="X",UPPER(L498)="X"),J493,0)</f>
      </c>
      <c r="K509" s="14" t="str">
        <f>IF(OR(COUNTA(J486:K490,M486:N490)&gt;0,OR(L485="X",L485="x"),UPPER(L486)="X",UPPER(L487)="X",UPPER(L488)="X",UPPER(L489)="X",UPPER(L490)="X"),N485,0)+IF(OR(COUNTA(J494:K498,M494:N498)&gt;0,OR(L493="X",L493="x"),UPPER(L494)="X",UPPER(L495)="X",UPPER(L496)="X",UPPER(L497)="X",UPPER(L498)="X"),N493,0)</f>
      </c>
      <c r="L509" s="14" t="str">
        <f>IF(OR(COUNTA(J486:K490,M486:N490)&gt;0,OR(L485="X",L485="x"),UPPER(L486)="X",UPPER(L487)="X",UPPER(L488)="X",UPPER(L489)="X",UPPER(L490)="X"),(IF(OR(L486="X",L486="x",AND(COUNTA(J486,K486,M486,N486)&gt;0,(LEN(SUBSTITUTE(SUBSTITUTE(SUBSTITUTE(J486," ",""),"0",""),"-",""))+LEN(SUBSTITUTE(SUBSTITUTE(SUBSTITUTE(K486," ",""),"0",""),"-","")))=(LEN(SUBSTITUTE(SUBSTITUTE(SUBSTITUTE(M486," ",""),"0",""),"-",""))+LEN(SUBSTITUTE(SUBSTITUTE(SUBSTITUTE(N486," ",""),"0",""),"-",""))))),1,0)+IF(OR(L487="X",L487="x",AND(COUNTA(J487,K487,M487,N487)&gt;0,(LEN(SUBSTITUTE(SUBSTITUTE(SUBSTITUTE(J487," ",""),"0",""),"-",""))+LEN(SUBSTITUTE(SUBSTITUTE(SUBSTITUTE(K487," ",""),"0",""),"-","")))=(LEN(SUBSTITUTE(SUBSTITUTE(SUBSTITUTE(M487," ",""),"0",""),"-",""))+LEN(SUBSTITUTE(SUBSTITUTE(SUBSTITUTE(N487," ",""),"0",""),"-",""))))),1,0)+IF(OR(L488="X",L488="x",AND(COUNTA(J488,K488,M488,N488)&gt;0,(LEN(SUBSTITUTE(SUBSTITUTE(SUBSTITUTE(J488," ",""),"0",""),"-",""))+LEN(SUBSTITUTE(SUBSTITUTE(SUBSTITUTE(K488," ",""),"0",""),"-","")))=(LEN(SUBSTITUTE(SUBSTITUTE(SUBSTITUTE(M488," ",""),"0",""),"-",""))+LEN(SUBSTITUTE(SUBSTITUTE(SUBSTITUTE(N488," ",""),"0",""),"-",""))))),1,0)+IF(OR(L489="X",L489="x",AND(COUNTA(J489,K489,M489,N489)&gt;0,(LEN(SUBSTITUTE(SUBSTITUTE(SUBSTITUTE(J489," ",""),"0",""),"-",""))+LEN(SUBSTITUTE(SUBSTITUTE(SUBSTITUTE(K489," ",""),"0",""),"-","")))=(LEN(SUBSTITUTE(SUBSTITUTE(SUBSTITUTE(M489," ",""),"0",""),"-",""))+LEN(SUBSTITUTE(SUBSTITUTE(SUBSTITUTE(N489," ",""),"0",""),"-",""))))),1,0)+IF(OR(L490="X",L490="x",AND(COUNTA(J490,K490,M490,N490)&gt;0,(LEN(SUBSTITUTE(SUBSTITUTE(SUBSTITUTE(J490," ",""),"0",""),"-",""))+LEN(SUBSTITUTE(SUBSTITUTE(SUBSTITUTE(K490," ",""),"0",""),"-","")))=(LEN(SUBSTITUTE(SUBSTITUTE(SUBSTITUTE(M490," ",""),"0",""),"-",""))+LEN(SUBSTITUTE(SUBSTITUTE(SUBSTITUTE(N490," ",""),"0",""),"-",""))))),1,0)),0)+IF(OR(COUNTA(J494:K498,M494:N498)&gt;0,OR(L493="X",L493="x"),UPPER(L494)="X",UPPER(L495)="X",UPPER(L496)="X",UPPER(L497)="X",UPPER(L498)="X"),(IF(OR(L494="X",L494="x",AND(COUNTA(J494,K494,M494,N494)&gt;0,(LEN(SUBSTITUTE(SUBSTITUTE(SUBSTITUTE(J494," ",""),"0",""),"-",""))+LEN(SUBSTITUTE(SUBSTITUTE(SUBSTITUTE(K494," ",""),"0",""),"-","")))=(LEN(SUBSTITUTE(SUBSTITUTE(SUBSTITUTE(M494," ",""),"0",""),"-",""))+LEN(SUBSTITUTE(SUBSTITUTE(SUBSTITUTE(N494," ",""),"0",""),"-",""))))),1,0)+IF(OR(L495="X",L495="x",AND(COUNTA(J495,K495,M495,N495)&gt;0,(LEN(SUBSTITUTE(SUBSTITUTE(SUBSTITUTE(J495," ",""),"0",""),"-",""))+LEN(SUBSTITUTE(SUBSTITUTE(SUBSTITUTE(K495," ",""),"0",""),"-","")))=(LEN(SUBSTITUTE(SUBSTITUTE(SUBSTITUTE(M495," ",""),"0",""),"-",""))+LEN(SUBSTITUTE(SUBSTITUTE(SUBSTITUTE(N495," ",""),"0",""),"-",""))))),1,0)+IF(OR(L496="X",L496="x",AND(COUNTA(J496,K496,M496,N496)&gt;0,(LEN(SUBSTITUTE(SUBSTITUTE(SUBSTITUTE(J496," ",""),"0",""),"-",""))+LEN(SUBSTITUTE(SUBSTITUTE(SUBSTITUTE(K496," ",""),"0",""),"-","")))=(LEN(SUBSTITUTE(SUBSTITUTE(SUBSTITUTE(M496," ",""),"0",""),"-",""))+LEN(SUBSTITUTE(SUBSTITUTE(SUBSTITUTE(N496," ",""),"0",""),"-",""))))),1,0)+IF(OR(L497="X",L497="x",AND(COUNTA(J497,K497,M497,N497)&gt;0,(LEN(SUBSTITUTE(SUBSTITUTE(SUBSTITUTE(J497," ",""),"0",""),"-",""))+LEN(SUBSTITUTE(SUBSTITUTE(SUBSTITUTE(K497," ",""),"0",""),"-","")))=(LEN(SUBSTITUTE(SUBSTITUTE(SUBSTITUTE(M497," ",""),"0",""),"-",""))+LEN(SUBSTITUTE(SUBSTITUTE(SUBSTITUTE(N497," ",""),"0",""),"-",""))))),1,0)+IF(OR(L498="X",L498="x",AND(COUNTA(J498,K498,M498,N498)&gt;0,(LEN(SUBSTITUTE(SUBSTITUTE(SUBSTITUTE(J498," ",""),"0",""),"-",""))+LEN(SUBSTITUTE(SUBSTITUTE(SUBSTITUTE(K498," ",""),"0",""),"-","")))=(LEN(SUBSTITUTE(SUBSTITUTE(SUBSTITUTE(M498," ",""),"0",""),"-",""))+LEN(SUBSTITUTE(SUBSTITUTE(SUBSTITUTE(N498," ",""),"0",""),"-",""))))),1,0)),0)</f>
      </c>
      <c r="M509" s="14" t="str">
        <f>K485+K493</f>
      </c>
      <c r="N509" s="14" t="str">
        <f>M485+M493</f>
      </c>
    </row>
    <row r="512">
      <c r="F512" s="13"/>
      <c r="G512" s="13" t="s">
        <v>344</v>
      </c>
      <c r="N512" s="13"/>
      <c r="O512" s="13" t="s">
        <v>344</v>
      </c>
    </row>
    <row r="513">
      <c r="F513" t="s">
        <v>345</v>
      </c>
      <c r="G513" s="19" t="str">
        <f>IFERROR(INDEX($A$502:$A$509, MATCH(1, $G$502:$G$509, 0)), "-")</f>
      </c>
      <c r="N513" t="s">
        <v>345</v>
      </c>
      <c r="O513" s="19" t="str">
        <f>IFERROR(INDEX($I$502:$I$509, MATCH(1, $O$502:$O$509, 0)), "-")</f>
      </c>
    </row>
    <row r="514">
      <c r="F514" t="s">
        <v>346</v>
      </c>
      <c r="G514" s="19" t="str">
        <f>IFERROR(INDEX($A$502:$A$509, MATCH(2, $G$502:$G$509, 0)), "-")</f>
      </c>
      <c r="N514" t="s">
        <v>346</v>
      </c>
      <c r="O514" s="19" t="str">
        <f>IFERROR(INDEX($I$502:$I$509, MATCH(2, $O$502:$O$509, 0)), "-")</f>
      </c>
    </row>
    <row r="515">
      <c r="F515" t="s">
        <v>347</v>
      </c>
      <c r="G515" s="19" t="str">
        <f>IFERROR(INDEX($A$502:$A$509, MATCH(3, $G$502:$G$509, 0)), "-")</f>
      </c>
      <c r="N515" t="s">
        <v>347</v>
      </c>
      <c r="O515" s="19" t="str">
        <f>IFERROR(INDEX($I$502:$I$509, MATCH(3, $O$502:$O$509, 0)), "-")</f>
      </c>
    </row>
    <row r="518">
      <c r="A518" s="13" t="str">
        <f>'data'!$A$41</f>
      </c>
      <c r="B518" s="13"/>
      <c r="C518" s="13"/>
      <c r="D518" s="13"/>
      <c r="E518" s="13"/>
      <c r="F518" s="13"/>
      <c r="G518" s="13"/>
      <c r="I518" s="13" t="str">
        <f>'data'!$A$88</f>
      </c>
      <c r="J518" s="13"/>
      <c r="K518" s="13"/>
      <c r="L518" s="13"/>
      <c r="M518" s="13"/>
      <c r="N518" s="13"/>
      <c r="O518" s="13"/>
    </row>
    <row r="519">
      <c r="A519" s="17" t="s">
        <v>331</v>
      </c>
      <c r="B519" s="14"/>
      <c r="C519" s="14"/>
      <c r="D519" s="14" t="s">
        <v>332</v>
      </c>
      <c r="E519" s="14"/>
      <c r="F519" s="14"/>
      <c r="G519" s="16" t="s">
        <v>333</v>
      </c>
      <c r="I519" s="17" t="s">
        <v>331</v>
      </c>
      <c r="J519" s="14"/>
      <c r="K519" s="14"/>
      <c r="L519" s="14" t="s">
        <v>332</v>
      </c>
      <c r="M519" s="14"/>
      <c r="N519" s="14"/>
      <c r="O519" s="16" t="s">
        <v>333</v>
      </c>
    </row>
    <row r="520">
      <c r="A520" s="14" t="str">
        <f>data!$E$40&amp;" "&amp;data!$B$40</f>
      </c>
      <c r="B520" s="14" t="str">
        <f>IF(UPPER(D521)="X",0,IF((LEN(SUBSTITUTE(SUBSTITUTE(SUBSTITUTE(B521," ",""),"0",""),"-",""))+LEN(SUBSTITUTE(SUBSTITUTE(SUBSTITUTE(C521," ",""),"0",""),"-","")))&gt;(LEN(SUBSTITUTE(SUBSTITUTE(SUBSTITUTE(E521," ",""),"0",""),"-",""))+LEN(SUBSTITUTE(SUBSTITUTE(SUBSTITUTE(F521," ",""),"0",""),"-",""))),1,0))+IF(UPPER(D522)="X",0,IF((LEN(SUBSTITUTE(SUBSTITUTE(SUBSTITUTE(B522," ",""),"0",""),"-",""))+LEN(SUBSTITUTE(SUBSTITUTE(SUBSTITUTE(C522," ",""),"0",""),"-","")))&gt;(LEN(SUBSTITUTE(SUBSTITUTE(SUBSTITUTE(E522," ",""),"0",""),"-",""))+LEN(SUBSTITUTE(SUBSTITUTE(SUBSTITUTE(F522," ",""),"0",""),"-",""))),1,0))+IF(UPPER(D523)="X",0,IF((LEN(SUBSTITUTE(SUBSTITUTE(SUBSTITUTE(B523," ",""),"0",""),"-",""))+LEN(SUBSTITUTE(SUBSTITUTE(SUBSTITUTE(C523," ",""),"0",""),"-","")))&gt;(LEN(SUBSTITUTE(SUBSTITUTE(SUBSTITUTE(E523," ",""),"0",""),"-",""))+LEN(SUBSTITUTE(SUBSTITUTE(SUBSTITUTE(F523," ",""),"0",""),"-",""))),1,0))+IF(UPPER(D524)="X",0,IF((LEN(SUBSTITUTE(SUBSTITUTE(SUBSTITUTE(B524," ",""),"0",""),"-",""))+LEN(SUBSTITUTE(SUBSTITUTE(SUBSTITUTE(C524," ",""),"0",""),"-","")))&gt;(LEN(SUBSTITUTE(SUBSTITUTE(SUBSTITUTE(E524," ",""),"0",""),"-",""))+LEN(SUBSTITUTE(SUBSTITUTE(SUBSTITUTE(F524," ",""),"0",""),"-",""))),1,0))+IF(UPPER(D525)="X",0,IF((LEN(SUBSTITUTE(SUBSTITUTE(SUBSTITUTE(B525," ",""),"0",""),"-",""))+LEN(SUBSTITUTE(SUBSTITUTE(SUBSTITUTE(C525," ",""),"0",""),"-","")))&gt;(LEN(SUBSTITUTE(SUBSTITUTE(SUBSTITUTE(E525," ",""),"0",""),"-",""))+LEN(SUBSTITUTE(SUBSTITUTE(SUBSTITUTE(F525," ",""),"0",""),"-",""))),1,0))</f>
      </c>
      <c r="C520" s="14" t="str">
        <f>LEN(SUBSTITUTE(SUBSTITUTE(SUBSTITUTE(B521," ",""),"0",""),"-",""))+LEN(SUBSTITUTE(SUBSTITUTE(SUBSTITUTE(C521," ",""),"0",""),"-",""))+LEN(SUBSTITUTE(SUBSTITUTE(SUBSTITUTE(B522," ",""),"0",""),"-",""))+LEN(SUBSTITUTE(SUBSTITUTE(SUBSTITUTE(C522," ",""),"0",""),"-",""))+LEN(SUBSTITUTE(SUBSTITUTE(SUBSTITUTE(B523," ",""),"0",""),"-",""))+LEN(SUBSTITUTE(SUBSTITUTE(SUBSTITUTE(C523," ",""),"0",""),"-",""))+LEN(SUBSTITUTE(SUBSTITUTE(SUBSTITUTE(B524," ",""),"0",""),"-",""))+LEN(SUBSTITUTE(SUBSTITUTE(SUBSTITUTE(C524," ",""),"0",""),"-",""))+LEN(SUBSTITUTE(SUBSTITUTE(SUBSTITUTE(B525," ",""),"0",""),"-",""))+LEN(SUBSTITUTE(SUBSTITUTE(SUBSTITUTE(C525," ",""),"0",""),"-",""))</f>
      </c>
      <c r="D520" s="18"/>
      <c r="E520" s="14" t="str">
        <f>LEN(SUBSTITUTE(SUBSTITUTE(SUBSTITUTE(E521," ",""),"0",""),"-",""))+LEN(SUBSTITUTE(SUBSTITUTE(SUBSTITUTE(F521," ",""),"0",""),"-",""))+LEN(SUBSTITUTE(SUBSTITUTE(SUBSTITUTE(E522," ",""),"0",""),"-",""))+LEN(SUBSTITUTE(SUBSTITUTE(SUBSTITUTE(F522," ",""),"0",""),"-",""))+LEN(SUBSTITUTE(SUBSTITUTE(SUBSTITUTE(E523," ",""),"0",""),"-",""))+LEN(SUBSTITUTE(SUBSTITUTE(SUBSTITUTE(F523," ",""),"0",""),"-",""))+LEN(SUBSTITUTE(SUBSTITUTE(SUBSTITUTE(E524," ",""),"0",""),"-",""))+LEN(SUBSTITUTE(SUBSTITUTE(SUBSTITUTE(F524," ",""),"0",""),"-",""))+LEN(SUBSTITUTE(SUBSTITUTE(SUBSTITUTE(E525," ",""),"0",""),"-",""))+LEN(SUBSTITUTE(SUBSTITUTE(SUBSTITUTE(F525," ",""),"0",""),"-",""))</f>
      </c>
      <c r="F520" s="14" t="str">
        <f>IF(UPPER(D521)="X",0,IF((LEN(SUBSTITUTE(SUBSTITUTE(SUBSTITUTE(E521," ",""),"0",""),"-",""))+LEN(SUBSTITUTE(SUBSTITUTE(SUBSTITUTE(F521," ",""),"0",""),"-","")))&gt;(LEN(SUBSTITUTE(SUBSTITUTE(SUBSTITUTE(B521," ",""),"0",""),"-",""))+LEN(SUBSTITUTE(SUBSTITUTE(SUBSTITUTE(C521," ",""),"0",""),"-",""))),1,0))+IF(UPPER(D522)="X",0,IF((LEN(SUBSTITUTE(SUBSTITUTE(SUBSTITUTE(E522," ",""),"0",""),"-",""))+LEN(SUBSTITUTE(SUBSTITUTE(SUBSTITUTE(F522," ",""),"0",""),"-","")))&gt;(LEN(SUBSTITUTE(SUBSTITUTE(SUBSTITUTE(B522," ",""),"0",""),"-",""))+LEN(SUBSTITUTE(SUBSTITUTE(SUBSTITUTE(C522," ",""),"0",""),"-",""))),1,0))+IF(UPPER(D523)="X",0,IF((LEN(SUBSTITUTE(SUBSTITUTE(SUBSTITUTE(E523," ",""),"0",""),"-",""))+LEN(SUBSTITUTE(SUBSTITUTE(SUBSTITUTE(F523," ",""),"0",""),"-","")))&gt;(LEN(SUBSTITUTE(SUBSTITUTE(SUBSTITUTE(B523," ",""),"0",""),"-",""))+LEN(SUBSTITUTE(SUBSTITUTE(SUBSTITUTE(C523," ",""),"0",""),"-",""))),1,0))+IF(UPPER(D524)="X",0,IF((LEN(SUBSTITUTE(SUBSTITUTE(SUBSTITUTE(E524," ",""),"0",""),"-",""))+LEN(SUBSTITUTE(SUBSTITUTE(SUBSTITUTE(F524," ",""),"0",""),"-","")))&gt;(LEN(SUBSTITUTE(SUBSTITUTE(SUBSTITUTE(B524," ",""),"0",""),"-",""))+LEN(SUBSTITUTE(SUBSTITUTE(SUBSTITUTE(C524," ",""),"0",""),"-",""))),1,0))+IF(UPPER(D525)="X",0,IF((LEN(SUBSTITUTE(SUBSTITUTE(SUBSTITUTE(E525," ",""),"0",""),"-",""))+LEN(SUBSTITUTE(SUBSTITUTE(SUBSTITUTE(F525," ",""),"0",""),"-","")))&gt;(LEN(SUBSTITUTE(SUBSTITUTE(SUBSTITUTE(B525," ",""),"0",""),"-",""))+LEN(SUBSTITUTE(SUBSTITUTE(SUBSTITUTE(C525," ",""),"0",""),"-",""))),1,0))</f>
      </c>
      <c r="G520" s="14" t="str">
        <f>data!$E$39&amp;" "&amp;data!$B$39</f>
      </c>
      <c r="I520" s="14" t="str">
        <f>data!$E$87&amp;" "&amp;data!$B$87</f>
      </c>
      <c r="J520" s="14" t="str">
        <f>IF(UPPER(L521)="X",0,IF((LEN(SUBSTITUTE(SUBSTITUTE(SUBSTITUTE(J521," ",""),"0",""),"-",""))+LEN(SUBSTITUTE(SUBSTITUTE(SUBSTITUTE(K521," ",""),"0",""),"-","")))&gt;(LEN(SUBSTITUTE(SUBSTITUTE(SUBSTITUTE(M521," ",""),"0",""),"-",""))+LEN(SUBSTITUTE(SUBSTITUTE(SUBSTITUTE(N521," ",""),"0",""),"-",""))),1,0))+IF(UPPER(L522)="X",0,IF((LEN(SUBSTITUTE(SUBSTITUTE(SUBSTITUTE(J522," ",""),"0",""),"-",""))+LEN(SUBSTITUTE(SUBSTITUTE(SUBSTITUTE(K522," ",""),"0",""),"-","")))&gt;(LEN(SUBSTITUTE(SUBSTITUTE(SUBSTITUTE(M522," ",""),"0",""),"-",""))+LEN(SUBSTITUTE(SUBSTITUTE(SUBSTITUTE(N522," ",""),"0",""),"-",""))),1,0))+IF(UPPER(L523)="X",0,IF((LEN(SUBSTITUTE(SUBSTITUTE(SUBSTITUTE(J523," ",""),"0",""),"-",""))+LEN(SUBSTITUTE(SUBSTITUTE(SUBSTITUTE(K523," ",""),"0",""),"-","")))&gt;(LEN(SUBSTITUTE(SUBSTITUTE(SUBSTITUTE(M523," ",""),"0",""),"-",""))+LEN(SUBSTITUTE(SUBSTITUTE(SUBSTITUTE(N523," ",""),"0",""),"-",""))),1,0))+IF(UPPER(L524)="X",0,IF((LEN(SUBSTITUTE(SUBSTITUTE(SUBSTITUTE(J524," ",""),"0",""),"-",""))+LEN(SUBSTITUTE(SUBSTITUTE(SUBSTITUTE(K524," ",""),"0",""),"-","")))&gt;(LEN(SUBSTITUTE(SUBSTITUTE(SUBSTITUTE(M524," ",""),"0",""),"-",""))+LEN(SUBSTITUTE(SUBSTITUTE(SUBSTITUTE(N524," ",""),"0",""),"-",""))),1,0))+IF(UPPER(L525)="X",0,IF((LEN(SUBSTITUTE(SUBSTITUTE(SUBSTITUTE(J525," ",""),"0",""),"-",""))+LEN(SUBSTITUTE(SUBSTITUTE(SUBSTITUTE(K525," ",""),"0",""),"-","")))&gt;(LEN(SUBSTITUTE(SUBSTITUTE(SUBSTITUTE(M525," ",""),"0",""),"-",""))+LEN(SUBSTITUTE(SUBSTITUTE(SUBSTITUTE(N525," ",""),"0",""),"-",""))),1,0))</f>
      </c>
      <c r="K520" s="14" t="str">
        <f>LEN(SUBSTITUTE(SUBSTITUTE(SUBSTITUTE(J521," ",""),"0",""),"-",""))+LEN(SUBSTITUTE(SUBSTITUTE(SUBSTITUTE(K521," ",""),"0",""),"-",""))+LEN(SUBSTITUTE(SUBSTITUTE(SUBSTITUTE(J522," ",""),"0",""),"-",""))+LEN(SUBSTITUTE(SUBSTITUTE(SUBSTITUTE(K522," ",""),"0",""),"-",""))+LEN(SUBSTITUTE(SUBSTITUTE(SUBSTITUTE(J523," ",""),"0",""),"-",""))+LEN(SUBSTITUTE(SUBSTITUTE(SUBSTITUTE(K523," ",""),"0",""),"-",""))+LEN(SUBSTITUTE(SUBSTITUTE(SUBSTITUTE(J524," ",""),"0",""),"-",""))+LEN(SUBSTITUTE(SUBSTITUTE(SUBSTITUTE(K524," ",""),"0",""),"-",""))+LEN(SUBSTITUTE(SUBSTITUTE(SUBSTITUTE(J525," ",""),"0",""),"-",""))+LEN(SUBSTITUTE(SUBSTITUTE(SUBSTITUTE(K525," ",""),"0",""),"-",""))</f>
      </c>
      <c r="L520" s="18"/>
      <c r="M520" s="14" t="str">
        <f>LEN(SUBSTITUTE(SUBSTITUTE(SUBSTITUTE(M521," ",""),"0",""),"-",""))+LEN(SUBSTITUTE(SUBSTITUTE(SUBSTITUTE(N521," ",""),"0",""),"-",""))+LEN(SUBSTITUTE(SUBSTITUTE(SUBSTITUTE(M522," ",""),"0",""),"-",""))+LEN(SUBSTITUTE(SUBSTITUTE(SUBSTITUTE(N522," ",""),"0",""),"-",""))+LEN(SUBSTITUTE(SUBSTITUTE(SUBSTITUTE(M523," ",""),"0",""),"-",""))+LEN(SUBSTITUTE(SUBSTITUTE(SUBSTITUTE(N523," ",""),"0",""),"-",""))+LEN(SUBSTITUTE(SUBSTITUTE(SUBSTITUTE(M524," ",""),"0",""),"-",""))+LEN(SUBSTITUTE(SUBSTITUTE(SUBSTITUTE(N524," ",""),"0",""),"-",""))+LEN(SUBSTITUTE(SUBSTITUTE(SUBSTITUTE(M525," ",""),"0",""),"-",""))+LEN(SUBSTITUTE(SUBSTITUTE(SUBSTITUTE(N525," ",""),"0",""),"-",""))</f>
      </c>
      <c r="N520" s="14" t="str">
        <f>IF(UPPER(L521)="X",0,IF((LEN(SUBSTITUTE(SUBSTITUTE(SUBSTITUTE(M521," ",""),"0",""),"-",""))+LEN(SUBSTITUTE(SUBSTITUTE(SUBSTITUTE(N521," ",""),"0",""),"-","")))&gt;(LEN(SUBSTITUTE(SUBSTITUTE(SUBSTITUTE(J521," ",""),"0",""),"-",""))+LEN(SUBSTITUTE(SUBSTITUTE(SUBSTITUTE(K521," ",""),"0",""),"-",""))),1,0))+IF(UPPER(L522)="X",0,IF((LEN(SUBSTITUTE(SUBSTITUTE(SUBSTITUTE(M522," ",""),"0",""),"-",""))+LEN(SUBSTITUTE(SUBSTITUTE(SUBSTITUTE(N522," ",""),"0",""),"-","")))&gt;(LEN(SUBSTITUTE(SUBSTITUTE(SUBSTITUTE(J522," ",""),"0",""),"-",""))+LEN(SUBSTITUTE(SUBSTITUTE(SUBSTITUTE(K522," ",""),"0",""),"-",""))),1,0))+IF(UPPER(L523)="X",0,IF((LEN(SUBSTITUTE(SUBSTITUTE(SUBSTITUTE(M523," ",""),"0",""),"-",""))+LEN(SUBSTITUTE(SUBSTITUTE(SUBSTITUTE(N523," ",""),"0",""),"-","")))&gt;(LEN(SUBSTITUTE(SUBSTITUTE(SUBSTITUTE(J523," ",""),"0",""),"-",""))+LEN(SUBSTITUTE(SUBSTITUTE(SUBSTITUTE(K523," ",""),"0",""),"-",""))),1,0))+IF(UPPER(L524)="X",0,IF((LEN(SUBSTITUTE(SUBSTITUTE(SUBSTITUTE(M524," ",""),"0",""),"-",""))+LEN(SUBSTITUTE(SUBSTITUTE(SUBSTITUTE(N524," ",""),"0",""),"-","")))&gt;(LEN(SUBSTITUTE(SUBSTITUTE(SUBSTITUTE(J524," ",""),"0",""),"-",""))+LEN(SUBSTITUTE(SUBSTITUTE(SUBSTITUTE(K524," ",""),"0",""),"-",""))),1,0))+IF(UPPER(L525)="X",0,IF((LEN(SUBSTITUTE(SUBSTITUTE(SUBSTITUTE(M525," ",""),"0",""),"-",""))+LEN(SUBSTITUTE(SUBSTITUTE(SUBSTITUTE(N525," ",""),"0",""),"-","")))&gt;(LEN(SUBSTITUTE(SUBSTITUTE(SUBSTITUTE(J525," ",""),"0",""),"-",""))+LEN(SUBSTITUTE(SUBSTITUTE(SUBSTITUTE(K525," ",""),"0",""),"-",""))),1,0))</f>
      </c>
      <c r="O520" s="14" t="str">
        <f>data!$E$86&amp;" "&amp;data!$B$86</f>
      </c>
    </row>
    <row r="521">
      <c r="A521" s="14">
        <v>1</v>
      </c>
      <c r="B521" s="18"/>
      <c r="C521" s="18"/>
      <c r="D521" s="18"/>
      <c r="E521" s="18"/>
      <c r="F521" s="18"/>
      <c r="G521" s="14">
        <v>1</v>
      </c>
      <c r="I521" s="14">
        <v>1</v>
      </c>
      <c r="J521" s="18"/>
      <c r="K521" s="18"/>
      <c r="L521" s="18"/>
      <c r="M521" s="18"/>
      <c r="N521" s="18"/>
      <c r="O521" s="14">
        <v>1</v>
      </c>
    </row>
    <row r="522">
      <c r="A522" s="14">
        <v>2</v>
      </c>
      <c r="B522" s="18"/>
      <c r="C522" s="18"/>
      <c r="D522" s="18"/>
      <c r="E522" s="18"/>
      <c r="F522" s="18"/>
      <c r="G522" s="14">
        <v>2</v>
      </c>
      <c r="I522" s="14">
        <v>2</v>
      </c>
      <c r="J522" s="18"/>
      <c r="K522" s="18"/>
      <c r="L522" s="18"/>
      <c r="M522" s="18"/>
      <c r="N522" s="18"/>
      <c r="O522" s="14">
        <v>2</v>
      </c>
    </row>
    <row r="523">
      <c r="A523" s="14">
        <v>3</v>
      </c>
      <c r="B523" s="18"/>
      <c r="C523" s="18"/>
      <c r="D523" s="18"/>
      <c r="E523" s="18"/>
      <c r="F523" s="18"/>
      <c r="G523" s="14">
        <v>3</v>
      </c>
      <c r="I523" s="14">
        <v>3</v>
      </c>
      <c r="J523" s="18"/>
      <c r="K523" s="18"/>
      <c r="L523" s="18"/>
      <c r="M523" s="18"/>
      <c r="N523" s="18"/>
      <c r="O523" s="14">
        <v>3</v>
      </c>
    </row>
    <row r="524">
      <c r="A524" s="14">
        <v>4</v>
      </c>
      <c r="B524" s="18"/>
      <c r="C524" s="18"/>
      <c r="D524" s="18"/>
      <c r="E524" s="18"/>
      <c r="F524" s="18"/>
      <c r="G524" s="14">
        <v>4</v>
      </c>
      <c r="I524" s="14">
        <v>4</v>
      </c>
      <c r="J524" s="18"/>
      <c r="K524" s="18"/>
      <c r="L524" s="18"/>
      <c r="M524" s="18"/>
      <c r="N524" s="18"/>
      <c r="O524" s="14">
        <v>4</v>
      </c>
    </row>
    <row r="525">
      <c r="A525" s="14">
        <v>5</v>
      </c>
      <c r="B525" s="18"/>
      <c r="C525" s="18"/>
      <c r="D525" s="18"/>
      <c r="E525" s="18"/>
      <c r="F525" s="18"/>
      <c r="G525" s="14">
        <v>5</v>
      </c>
      <c r="I525" s="14">
        <v>5</v>
      </c>
      <c r="J525" s="18"/>
      <c r="K525" s="18"/>
      <c r="L525" s="18"/>
      <c r="M525" s="18"/>
      <c r="N525" s="18"/>
      <c r="O525" s="14">
        <v>5</v>
      </c>
    </row>
    <row r="527">
      <c r="A527" s="17" t="s">
        <v>331</v>
      </c>
      <c r="B527" s="14"/>
      <c r="C527" s="14"/>
      <c r="D527" s="14" t="s">
        <v>332</v>
      </c>
      <c r="E527" s="14"/>
      <c r="F527" s="14"/>
      <c r="G527" s="16" t="s">
        <v>333</v>
      </c>
      <c r="I527" s="17" t="s">
        <v>331</v>
      </c>
      <c r="J527" s="14"/>
      <c r="K527" s="14"/>
      <c r="L527" s="14" t="s">
        <v>332</v>
      </c>
      <c r="M527" s="14"/>
      <c r="N527" s="14"/>
      <c r="O527" s="16" t="s">
        <v>333</v>
      </c>
    </row>
    <row r="528">
      <c r="A528" s="14" t="str">
        <f>data!$E$41&amp;" "&amp;data!$B$41</f>
      </c>
      <c r="B528" s="14" t="str">
        <f>IF(UPPER(D529)="X",0,IF((LEN(SUBSTITUTE(SUBSTITUTE(SUBSTITUTE(B529," ",""),"0",""),"-",""))+LEN(SUBSTITUTE(SUBSTITUTE(SUBSTITUTE(C529," ",""),"0",""),"-","")))&gt;(LEN(SUBSTITUTE(SUBSTITUTE(SUBSTITUTE(E529," ",""),"0",""),"-",""))+LEN(SUBSTITUTE(SUBSTITUTE(SUBSTITUTE(F529," ",""),"0",""),"-",""))),1,0))+IF(UPPER(D530)="X",0,IF((LEN(SUBSTITUTE(SUBSTITUTE(SUBSTITUTE(B530," ",""),"0",""),"-",""))+LEN(SUBSTITUTE(SUBSTITUTE(SUBSTITUTE(C530," ",""),"0",""),"-","")))&gt;(LEN(SUBSTITUTE(SUBSTITUTE(SUBSTITUTE(E530," ",""),"0",""),"-",""))+LEN(SUBSTITUTE(SUBSTITUTE(SUBSTITUTE(F530," ",""),"0",""),"-",""))),1,0))+IF(UPPER(D531)="X",0,IF((LEN(SUBSTITUTE(SUBSTITUTE(SUBSTITUTE(B531," ",""),"0",""),"-",""))+LEN(SUBSTITUTE(SUBSTITUTE(SUBSTITUTE(C531," ",""),"0",""),"-","")))&gt;(LEN(SUBSTITUTE(SUBSTITUTE(SUBSTITUTE(E531," ",""),"0",""),"-",""))+LEN(SUBSTITUTE(SUBSTITUTE(SUBSTITUTE(F531," ",""),"0",""),"-",""))),1,0))+IF(UPPER(D532)="X",0,IF((LEN(SUBSTITUTE(SUBSTITUTE(SUBSTITUTE(B532," ",""),"0",""),"-",""))+LEN(SUBSTITUTE(SUBSTITUTE(SUBSTITUTE(C532," ",""),"0",""),"-","")))&gt;(LEN(SUBSTITUTE(SUBSTITUTE(SUBSTITUTE(E532," ",""),"0",""),"-",""))+LEN(SUBSTITUTE(SUBSTITUTE(SUBSTITUTE(F532," ",""),"0",""),"-",""))),1,0))+IF(UPPER(D533)="X",0,IF((LEN(SUBSTITUTE(SUBSTITUTE(SUBSTITUTE(B533," ",""),"0",""),"-",""))+LEN(SUBSTITUTE(SUBSTITUTE(SUBSTITUTE(C533," ",""),"0",""),"-","")))&gt;(LEN(SUBSTITUTE(SUBSTITUTE(SUBSTITUTE(E533," ",""),"0",""),"-",""))+LEN(SUBSTITUTE(SUBSTITUTE(SUBSTITUTE(F533," ",""),"0",""),"-",""))),1,0))</f>
      </c>
      <c r="C528" s="14" t="str">
        <f>LEN(SUBSTITUTE(SUBSTITUTE(SUBSTITUTE(B529," ",""),"0",""),"-",""))+LEN(SUBSTITUTE(SUBSTITUTE(SUBSTITUTE(C529," ",""),"0",""),"-",""))+LEN(SUBSTITUTE(SUBSTITUTE(SUBSTITUTE(B530," ",""),"0",""),"-",""))+LEN(SUBSTITUTE(SUBSTITUTE(SUBSTITUTE(C530," ",""),"0",""),"-",""))+LEN(SUBSTITUTE(SUBSTITUTE(SUBSTITUTE(B531," ",""),"0",""),"-",""))+LEN(SUBSTITUTE(SUBSTITUTE(SUBSTITUTE(C531," ",""),"0",""),"-",""))+LEN(SUBSTITUTE(SUBSTITUTE(SUBSTITUTE(B532," ",""),"0",""),"-",""))+LEN(SUBSTITUTE(SUBSTITUTE(SUBSTITUTE(C532," ",""),"0",""),"-",""))+LEN(SUBSTITUTE(SUBSTITUTE(SUBSTITUTE(B533," ",""),"0",""),"-",""))+LEN(SUBSTITUTE(SUBSTITUTE(SUBSTITUTE(C533," ",""),"0",""),"-",""))</f>
      </c>
      <c r="D528" s="18"/>
      <c r="E528" s="14" t="str">
        <f>LEN(SUBSTITUTE(SUBSTITUTE(SUBSTITUTE(E529," ",""),"0",""),"-",""))+LEN(SUBSTITUTE(SUBSTITUTE(SUBSTITUTE(F529," ",""),"0",""),"-",""))+LEN(SUBSTITUTE(SUBSTITUTE(SUBSTITUTE(E530," ",""),"0",""),"-",""))+LEN(SUBSTITUTE(SUBSTITUTE(SUBSTITUTE(F530," ",""),"0",""),"-",""))+LEN(SUBSTITUTE(SUBSTITUTE(SUBSTITUTE(E531," ",""),"0",""),"-",""))+LEN(SUBSTITUTE(SUBSTITUTE(SUBSTITUTE(F531," ",""),"0",""),"-",""))+LEN(SUBSTITUTE(SUBSTITUTE(SUBSTITUTE(E532," ",""),"0",""),"-",""))+LEN(SUBSTITUTE(SUBSTITUTE(SUBSTITUTE(F532," ",""),"0",""),"-",""))+LEN(SUBSTITUTE(SUBSTITUTE(SUBSTITUTE(E533," ",""),"0",""),"-",""))+LEN(SUBSTITUTE(SUBSTITUTE(SUBSTITUTE(F533," ",""),"0",""),"-",""))</f>
      </c>
      <c r="F528" s="14" t="str">
        <f>IF(UPPER(D529)="X",0,IF((LEN(SUBSTITUTE(SUBSTITUTE(SUBSTITUTE(E529," ",""),"0",""),"-",""))+LEN(SUBSTITUTE(SUBSTITUTE(SUBSTITUTE(F529," ",""),"0",""),"-","")))&gt;(LEN(SUBSTITUTE(SUBSTITUTE(SUBSTITUTE(B529," ",""),"0",""),"-",""))+LEN(SUBSTITUTE(SUBSTITUTE(SUBSTITUTE(C529," ",""),"0",""),"-",""))),1,0))+IF(UPPER(D530)="X",0,IF((LEN(SUBSTITUTE(SUBSTITUTE(SUBSTITUTE(E530," ",""),"0",""),"-",""))+LEN(SUBSTITUTE(SUBSTITUTE(SUBSTITUTE(F530," ",""),"0",""),"-","")))&gt;(LEN(SUBSTITUTE(SUBSTITUTE(SUBSTITUTE(B530," ",""),"0",""),"-",""))+LEN(SUBSTITUTE(SUBSTITUTE(SUBSTITUTE(C530," ",""),"0",""),"-",""))),1,0))+IF(UPPER(D531)="X",0,IF((LEN(SUBSTITUTE(SUBSTITUTE(SUBSTITUTE(E531," ",""),"0",""),"-",""))+LEN(SUBSTITUTE(SUBSTITUTE(SUBSTITUTE(F531," ",""),"0",""),"-","")))&gt;(LEN(SUBSTITUTE(SUBSTITUTE(SUBSTITUTE(B531," ",""),"0",""),"-",""))+LEN(SUBSTITUTE(SUBSTITUTE(SUBSTITUTE(C531," ",""),"0",""),"-",""))),1,0))+IF(UPPER(D532)="X",0,IF((LEN(SUBSTITUTE(SUBSTITUTE(SUBSTITUTE(E532," ",""),"0",""),"-",""))+LEN(SUBSTITUTE(SUBSTITUTE(SUBSTITUTE(F532," ",""),"0",""),"-","")))&gt;(LEN(SUBSTITUTE(SUBSTITUTE(SUBSTITUTE(B532," ",""),"0",""),"-",""))+LEN(SUBSTITUTE(SUBSTITUTE(SUBSTITUTE(C532," ",""),"0",""),"-",""))),1,0))+IF(UPPER(D533)="X",0,IF((LEN(SUBSTITUTE(SUBSTITUTE(SUBSTITUTE(E533," ",""),"0",""),"-",""))+LEN(SUBSTITUTE(SUBSTITUTE(SUBSTITUTE(F533," ",""),"0",""),"-","")))&gt;(LEN(SUBSTITUTE(SUBSTITUTE(SUBSTITUTE(B533," ",""),"0",""),"-",""))+LEN(SUBSTITUTE(SUBSTITUTE(SUBSTITUTE(C533," ",""),"0",""),"-",""))),1,0))</f>
      </c>
      <c r="G528" s="14" t="str">
        <f>data!$E$39&amp;" "&amp;data!$B$39</f>
      </c>
      <c r="I528" s="14" t="str">
        <f>data!$E$88&amp;" "&amp;data!$B$88</f>
      </c>
      <c r="J528" s="14" t="str">
        <f>IF(UPPER(L529)="X",0,IF((LEN(SUBSTITUTE(SUBSTITUTE(SUBSTITUTE(J529," ",""),"0",""),"-",""))+LEN(SUBSTITUTE(SUBSTITUTE(SUBSTITUTE(K529," ",""),"0",""),"-","")))&gt;(LEN(SUBSTITUTE(SUBSTITUTE(SUBSTITUTE(M529," ",""),"0",""),"-",""))+LEN(SUBSTITUTE(SUBSTITUTE(SUBSTITUTE(N529," ",""),"0",""),"-",""))),1,0))+IF(UPPER(L530)="X",0,IF((LEN(SUBSTITUTE(SUBSTITUTE(SUBSTITUTE(J530," ",""),"0",""),"-",""))+LEN(SUBSTITUTE(SUBSTITUTE(SUBSTITUTE(K530," ",""),"0",""),"-","")))&gt;(LEN(SUBSTITUTE(SUBSTITUTE(SUBSTITUTE(M530," ",""),"0",""),"-",""))+LEN(SUBSTITUTE(SUBSTITUTE(SUBSTITUTE(N530," ",""),"0",""),"-",""))),1,0))+IF(UPPER(L531)="X",0,IF((LEN(SUBSTITUTE(SUBSTITUTE(SUBSTITUTE(J531," ",""),"0",""),"-",""))+LEN(SUBSTITUTE(SUBSTITUTE(SUBSTITUTE(K531," ",""),"0",""),"-","")))&gt;(LEN(SUBSTITUTE(SUBSTITUTE(SUBSTITUTE(M531," ",""),"0",""),"-",""))+LEN(SUBSTITUTE(SUBSTITUTE(SUBSTITUTE(N531," ",""),"0",""),"-",""))),1,0))+IF(UPPER(L532)="X",0,IF((LEN(SUBSTITUTE(SUBSTITUTE(SUBSTITUTE(J532," ",""),"0",""),"-",""))+LEN(SUBSTITUTE(SUBSTITUTE(SUBSTITUTE(K532," ",""),"0",""),"-","")))&gt;(LEN(SUBSTITUTE(SUBSTITUTE(SUBSTITUTE(M532," ",""),"0",""),"-",""))+LEN(SUBSTITUTE(SUBSTITUTE(SUBSTITUTE(N532," ",""),"0",""),"-",""))),1,0))+IF(UPPER(L533)="X",0,IF((LEN(SUBSTITUTE(SUBSTITUTE(SUBSTITUTE(J533," ",""),"0",""),"-",""))+LEN(SUBSTITUTE(SUBSTITUTE(SUBSTITUTE(K533," ",""),"0",""),"-","")))&gt;(LEN(SUBSTITUTE(SUBSTITUTE(SUBSTITUTE(M533," ",""),"0",""),"-",""))+LEN(SUBSTITUTE(SUBSTITUTE(SUBSTITUTE(N533," ",""),"0",""),"-",""))),1,0))</f>
      </c>
      <c r="K528" s="14" t="str">
        <f>LEN(SUBSTITUTE(SUBSTITUTE(SUBSTITUTE(J529," ",""),"0",""),"-",""))+LEN(SUBSTITUTE(SUBSTITUTE(SUBSTITUTE(K529," ",""),"0",""),"-",""))+LEN(SUBSTITUTE(SUBSTITUTE(SUBSTITUTE(J530," ",""),"0",""),"-",""))+LEN(SUBSTITUTE(SUBSTITUTE(SUBSTITUTE(K530," ",""),"0",""),"-",""))+LEN(SUBSTITUTE(SUBSTITUTE(SUBSTITUTE(J531," ",""),"0",""),"-",""))+LEN(SUBSTITUTE(SUBSTITUTE(SUBSTITUTE(K531," ",""),"0",""),"-",""))+LEN(SUBSTITUTE(SUBSTITUTE(SUBSTITUTE(J532," ",""),"0",""),"-",""))+LEN(SUBSTITUTE(SUBSTITUTE(SUBSTITUTE(K532," ",""),"0",""),"-",""))+LEN(SUBSTITUTE(SUBSTITUTE(SUBSTITUTE(J533," ",""),"0",""),"-",""))+LEN(SUBSTITUTE(SUBSTITUTE(SUBSTITUTE(K533," ",""),"0",""),"-",""))</f>
      </c>
      <c r="L528" s="18"/>
      <c r="M528" s="14" t="str">
        <f>LEN(SUBSTITUTE(SUBSTITUTE(SUBSTITUTE(M529," ",""),"0",""),"-",""))+LEN(SUBSTITUTE(SUBSTITUTE(SUBSTITUTE(N529," ",""),"0",""),"-",""))+LEN(SUBSTITUTE(SUBSTITUTE(SUBSTITUTE(M530," ",""),"0",""),"-",""))+LEN(SUBSTITUTE(SUBSTITUTE(SUBSTITUTE(N530," ",""),"0",""),"-",""))+LEN(SUBSTITUTE(SUBSTITUTE(SUBSTITUTE(M531," ",""),"0",""),"-",""))+LEN(SUBSTITUTE(SUBSTITUTE(SUBSTITUTE(N531," ",""),"0",""),"-",""))+LEN(SUBSTITUTE(SUBSTITUTE(SUBSTITUTE(M532," ",""),"0",""),"-",""))+LEN(SUBSTITUTE(SUBSTITUTE(SUBSTITUTE(N532," ",""),"0",""),"-",""))+LEN(SUBSTITUTE(SUBSTITUTE(SUBSTITUTE(M533," ",""),"0",""),"-",""))+LEN(SUBSTITUTE(SUBSTITUTE(SUBSTITUTE(N533," ",""),"0",""),"-",""))</f>
      </c>
      <c r="N528" s="14" t="str">
        <f>IF(UPPER(L529)="X",0,IF((LEN(SUBSTITUTE(SUBSTITUTE(SUBSTITUTE(M529," ",""),"0",""),"-",""))+LEN(SUBSTITUTE(SUBSTITUTE(SUBSTITUTE(N529," ",""),"0",""),"-","")))&gt;(LEN(SUBSTITUTE(SUBSTITUTE(SUBSTITUTE(J529," ",""),"0",""),"-",""))+LEN(SUBSTITUTE(SUBSTITUTE(SUBSTITUTE(K529," ",""),"0",""),"-",""))),1,0))+IF(UPPER(L530)="X",0,IF((LEN(SUBSTITUTE(SUBSTITUTE(SUBSTITUTE(M530," ",""),"0",""),"-",""))+LEN(SUBSTITUTE(SUBSTITUTE(SUBSTITUTE(N530," ",""),"0",""),"-","")))&gt;(LEN(SUBSTITUTE(SUBSTITUTE(SUBSTITUTE(J530," ",""),"0",""),"-",""))+LEN(SUBSTITUTE(SUBSTITUTE(SUBSTITUTE(K530," ",""),"0",""),"-",""))),1,0))+IF(UPPER(L531)="X",0,IF((LEN(SUBSTITUTE(SUBSTITUTE(SUBSTITUTE(M531," ",""),"0",""),"-",""))+LEN(SUBSTITUTE(SUBSTITUTE(SUBSTITUTE(N531," ",""),"0",""),"-","")))&gt;(LEN(SUBSTITUTE(SUBSTITUTE(SUBSTITUTE(J531," ",""),"0",""),"-",""))+LEN(SUBSTITUTE(SUBSTITUTE(SUBSTITUTE(K531," ",""),"0",""),"-",""))),1,0))+IF(UPPER(L532)="X",0,IF((LEN(SUBSTITUTE(SUBSTITUTE(SUBSTITUTE(M532," ",""),"0",""),"-",""))+LEN(SUBSTITUTE(SUBSTITUTE(SUBSTITUTE(N532," ",""),"0",""),"-","")))&gt;(LEN(SUBSTITUTE(SUBSTITUTE(SUBSTITUTE(J532," ",""),"0",""),"-",""))+LEN(SUBSTITUTE(SUBSTITUTE(SUBSTITUTE(K532," ",""),"0",""),"-",""))),1,0))+IF(UPPER(L533)="X",0,IF((LEN(SUBSTITUTE(SUBSTITUTE(SUBSTITUTE(M533," ",""),"0",""),"-",""))+LEN(SUBSTITUTE(SUBSTITUTE(SUBSTITUTE(N533," ",""),"0",""),"-","")))&gt;(LEN(SUBSTITUTE(SUBSTITUTE(SUBSTITUTE(J533," ",""),"0",""),"-",""))+LEN(SUBSTITUTE(SUBSTITUTE(SUBSTITUTE(K533," ",""),"0",""),"-",""))),1,0))</f>
      </c>
      <c r="O528" s="14" t="str">
        <f>data!$E$86&amp;" "&amp;data!$B$86</f>
      </c>
    </row>
    <row r="529">
      <c r="A529" s="14">
        <v>1</v>
      </c>
      <c r="B529" s="18"/>
      <c r="C529" s="18"/>
      <c r="D529" s="18"/>
      <c r="E529" s="18"/>
      <c r="F529" s="18"/>
      <c r="G529" s="14">
        <v>1</v>
      </c>
      <c r="I529" s="14">
        <v>1</v>
      </c>
      <c r="J529" s="18"/>
      <c r="K529" s="18"/>
      <c r="L529" s="18"/>
      <c r="M529" s="18"/>
      <c r="N529" s="18"/>
      <c r="O529" s="14">
        <v>1</v>
      </c>
    </row>
    <row r="530">
      <c r="A530" s="14">
        <v>2</v>
      </c>
      <c r="B530" s="18"/>
      <c r="C530" s="18"/>
      <c r="D530" s="18"/>
      <c r="E530" s="18"/>
      <c r="F530" s="18"/>
      <c r="G530" s="14">
        <v>2</v>
      </c>
      <c r="I530" s="14">
        <v>2</v>
      </c>
      <c r="J530" s="18"/>
      <c r="K530" s="18"/>
      <c r="L530" s="18"/>
      <c r="M530" s="18"/>
      <c r="N530" s="18"/>
      <c r="O530" s="14">
        <v>2</v>
      </c>
    </row>
    <row r="531">
      <c r="A531" s="14">
        <v>3</v>
      </c>
      <c r="B531" s="18"/>
      <c r="C531" s="18"/>
      <c r="D531" s="18"/>
      <c r="E531" s="18"/>
      <c r="F531" s="18"/>
      <c r="G531" s="14">
        <v>3</v>
      </c>
      <c r="I531" s="14">
        <v>3</v>
      </c>
      <c r="J531" s="18"/>
      <c r="K531" s="18"/>
      <c r="L531" s="18"/>
      <c r="M531" s="18"/>
      <c r="N531" s="18"/>
      <c r="O531" s="14">
        <v>3</v>
      </c>
    </row>
    <row r="532">
      <c r="A532" s="14">
        <v>4</v>
      </c>
      <c r="B532" s="18"/>
      <c r="C532" s="18"/>
      <c r="D532" s="18"/>
      <c r="E532" s="18"/>
      <c r="F532" s="18"/>
      <c r="G532" s="14">
        <v>4</v>
      </c>
      <c r="I532" s="14">
        <v>4</v>
      </c>
      <c r="J532" s="18"/>
      <c r="K532" s="18"/>
      <c r="L532" s="18"/>
      <c r="M532" s="18"/>
      <c r="N532" s="18"/>
      <c r="O532" s="14">
        <v>4</v>
      </c>
    </row>
    <row r="533">
      <c r="A533" s="14">
        <v>5</v>
      </c>
      <c r="B533" s="18"/>
      <c r="C533" s="18"/>
      <c r="D533" s="18"/>
      <c r="E533" s="18"/>
      <c r="F533" s="18"/>
      <c r="G533" s="14">
        <v>5</v>
      </c>
      <c r="I533" s="14">
        <v>5</v>
      </c>
      <c r="J533" s="18"/>
      <c r="K533" s="18"/>
      <c r="L533" s="18"/>
      <c r="M533" s="18"/>
      <c r="N533" s="18"/>
      <c r="O533" s="14">
        <v>5</v>
      </c>
    </row>
    <row r="535">
      <c r="A535" s="17" t="s">
        <v>331</v>
      </c>
      <c r="B535" s="14"/>
      <c r="C535" s="14"/>
      <c r="D535" s="14" t="s">
        <v>332</v>
      </c>
      <c r="E535" s="14"/>
      <c r="F535" s="14"/>
      <c r="G535" s="16" t="s">
        <v>333</v>
      </c>
      <c r="I535" s="17" t="s">
        <v>331</v>
      </c>
      <c r="J535" s="14"/>
      <c r="K535" s="14"/>
      <c r="L535" s="14" t="s">
        <v>332</v>
      </c>
      <c r="M535" s="14"/>
      <c r="N535" s="14"/>
      <c r="O535" s="16" t="s">
        <v>333</v>
      </c>
    </row>
    <row r="536">
      <c r="A536" s="14" t="str">
        <f>data!$E$41&amp;" "&amp;data!$B$41</f>
      </c>
      <c r="B536" s="14" t="str">
        <f>IF(UPPER(D537)="X",0,IF((LEN(SUBSTITUTE(SUBSTITUTE(SUBSTITUTE(B537," ",""),"0",""),"-",""))+LEN(SUBSTITUTE(SUBSTITUTE(SUBSTITUTE(C537," ",""),"0",""),"-","")))&gt;(LEN(SUBSTITUTE(SUBSTITUTE(SUBSTITUTE(E537," ",""),"0",""),"-",""))+LEN(SUBSTITUTE(SUBSTITUTE(SUBSTITUTE(F537," ",""),"0",""),"-",""))),1,0))+IF(UPPER(D538)="X",0,IF((LEN(SUBSTITUTE(SUBSTITUTE(SUBSTITUTE(B538," ",""),"0",""),"-",""))+LEN(SUBSTITUTE(SUBSTITUTE(SUBSTITUTE(C538," ",""),"0",""),"-","")))&gt;(LEN(SUBSTITUTE(SUBSTITUTE(SUBSTITUTE(E538," ",""),"0",""),"-",""))+LEN(SUBSTITUTE(SUBSTITUTE(SUBSTITUTE(F538," ",""),"0",""),"-",""))),1,0))+IF(UPPER(D539)="X",0,IF((LEN(SUBSTITUTE(SUBSTITUTE(SUBSTITUTE(B539," ",""),"0",""),"-",""))+LEN(SUBSTITUTE(SUBSTITUTE(SUBSTITUTE(C539," ",""),"0",""),"-","")))&gt;(LEN(SUBSTITUTE(SUBSTITUTE(SUBSTITUTE(E539," ",""),"0",""),"-",""))+LEN(SUBSTITUTE(SUBSTITUTE(SUBSTITUTE(F539," ",""),"0",""),"-",""))),1,0))+IF(UPPER(D540)="X",0,IF((LEN(SUBSTITUTE(SUBSTITUTE(SUBSTITUTE(B540," ",""),"0",""),"-",""))+LEN(SUBSTITUTE(SUBSTITUTE(SUBSTITUTE(C540," ",""),"0",""),"-","")))&gt;(LEN(SUBSTITUTE(SUBSTITUTE(SUBSTITUTE(E540," ",""),"0",""),"-",""))+LEN(SUBSTITUTE(SUBSTITUTE(SUBSTITUTE(F540," ",""),"0",""),"-",""))),1,0))+IF(UPPER(D541)="X",0,IF((LEN(SUBSTITUTE(SUBSTITUTE(SUBSTITUTE(B541," ",""),"0",""),"-",""))+LEN(SUBSTITUTE(SUBSTITUTE(SUBSTITUTE(C541," ",""),"0",""),"-","")))&gt;(LEN(SUBSTITUTE(SUBSTITUTE(SUBSTITUTE(E541," ",""),"0",""),"-",""))+LEN(SUBSTITUTE(SUBSTITUTE(SUBSTITUTE(F541," ",""),"0",""),"-",""))),1,0))</f>
      </c>
      <c r="C536" s="14" t="str">
        <f>LEN(SUBSTITUTE(SUBSTITUTE(SUBSTITUTE(B537," ",""),"0",""),"-",""))+LEN(SUBSTITUTE(SUBSTITUTE(SUBSTITUTE(C537," ",""),"0",""),"-",""))+LEN(SUBSTITUTE(SUBSTITUTE(SUBSTITUTE(B538," ",""),"0",""),"-",""))+LEN(SUBSTITUTE(SUBSTITUTE(SUBSTITUTE(C538," ",""),"0",""),"-",""))+LEN(SUBSTITUTE(SUBSTITUTE(SUBSTITUTE(B539," ",""),"0",""),"-",""))+LEN(SUBSTITUTE(SUBSTITUTE(SUBSTITUTE(C539," ",""),"0",""),"-",""))+LEN(SUBSTITUTE(SUBSTITUTE(SUBSTITUTE(B540," ",""),"0",""),"-",""))+LEN(SUBSTITUTE(SUBSTITUTE(SUBSTITUTE(C540," ",""),"0",""),"-",""))+LEN(SUBSTITUTE(SUBSTITUTE(SUBSTITUTE(B541," ",""),"0",""),"-",""))+LEN(SUBSTITUTE(SUBSTITUTE(SUBSTITUTE(C541," ",""),"0",""),"-",""))</f>
      </c>
      <c r="D536" s="18"/>
      <c r="E536" s="14" t="str">
        <f>LEN(SUBSTITUTE(SUBSTITUTE(SUBSTITUTE(E537," ",""),"0",""),"-",""))+LEN(SUBSTITUTE(SUBSTITUTE(SUBSTITUTE(F537," ",""),"0",""),"-",""))+LEN(SUBSTITUTE(SUBSTITUTE(SUBSTITUTE(E538," ",""),"0",""),"-",""))+LEN(SUBSTITUTE(SUBSTITUTE(SUBSTITUTE(F538," ",""),"0",""),"-",""))+LEN(SUBSTITUTE(SUBSTITUTE(SUBSTITUTE(E539," ",""),"0",""),"-",""))+LEN(SUBSTITUTE(SUBSTITUTE(SUBSTITUTE(F539," ",""),"0",""),"-",""))+LEN(SUBSTITUTE(SUBSTITUTE(SUBSTITUTE(E540," ",""),"0",""),"-",""))+LEN(SUBSTITUTE(SUBSTITUTE(SUBSTITUTE(F540," ",""),"0",""),"-",""))+LEN(SUBSTITUTE(SUBSTITUTE(SUBSTITUTE(E541," ",""),"0",""),"-",""))+LEN(SUBSTITUTE(SUBSTITUTE(SUBSTITUTE(F541," ",""),"0",""),"-",""))</f>
      </c>
      <c r="F536" s="14" t="str">
        <f>IF(UPPER(D537)="X",0,IF((LEN(SUBSTITUTE(SUBSTITUTE(SUBSTITUTE(E537," ",""),"0",""),"-",""))+LEN(SUBSTITUTE(SUBSTITUTE(SUBSTITUTE(F537," ",""),"0",""),"-","")))&gt;(LEN(SUBSTITUTE(SUBSTITUTE(SUBSTITUTE(B537," ",""),"0",""),"-",""))+LEN(SUBSTITUTE(SUBSTITUTE(SUBSTITUTE(C537," ",""),"0",""),"-",""))),1,0))+IF(UPPER(D538)="X",0,IF((LEN(SUBSTITUTE(SUBSTITUTE(SUBSTITUTE(E538," ",""),"0",""),"-",""))+LEN(SUBSTITUTE(SUBSTITUTE(SUBSTITUTE(F538," ",""),"0",""),"-","")))&gt;(LEN(SUBSTITUTE(SUBSTITUTE(SUBSTITUTE(B538," ",""),"0",""),"-",""))+LEN(SUBSTITUTE(SUBSTITUTE(SUBSTITUTE(C538," ",""),"0",""),"-",""))),1,0))+IF(UPPER(D539)="X",0,IF((LEN(SUBSTITUTE(SUBSTITUTE(SUBSTITUTE(E539," ",""),"0",""),"-",""))+LEN(SUBSTITUTE(SUBSTITUTE(SUBSTITUTE(F539," ",""),"0",""),"-","")))&gt;(LEN(SUBSTITUTE(SUBSTITUTE(SUBSTITUTE(B539," ",""),"0",""),"-",""))+LEN(SUBSTITUTE(SUBSTITUTE(SUBSTITUTE(C539," ",""),"0",""),"-",""))),1,0))+IF(UPPER(D540)="X",0,IF((LEN(SUBSTITUTE(SUBSTITUTE(SUBSTITUTE(E540," ",""),"0",""),"-",""))+LEN(SUBSTITUTE(SUBSTITUTE(SUBSTITUTE(F540," ",""),"0",""),"-","")))&gt;(LEN(SUBSTITUTE(SUBSTITUTE(SUBSTITUTE(B540," ",""),"0",""),"-",""))+LEN(SUBSTITUTE(SUBSTITUTE(SUBSTITUTE(C540," ",""),"0",""),"-",""))),1,0))+IF(UPPER(D541)="X",0,IF((LEN(SUBSTITUTE(SUBSTITUTE(SUBSTITUTE(E541," ",""),"0",""),"-",""))+LEN(SUBSTITUTE(SUBSTITUTE(SUBSTITUTE(F541," ",""),"0",""),"-","")))&gt;(LEN(SUBSTITUTE(SUBSTITUTE(SUBSTITUTE(B541," ",""),"0",""),"-",""))+LEN(SUBSTITUTE(SUBSTITUTE(SUBSTITUTE(C541," ",""),"0",""),"-",""))),1,0))</f>
      </c>
      <c r="G536" s="14" t="str">
        <f>data!$E$40&amp;" "&amp;data!$B$40</f>
      </c>
      <c r="I536" s="14" t="str">
        <f>data!$E$88&amp;" "&amp;data!$B$88</f>
      </c>
      <c r="J536" s="14" t="str">
        <f>IF(UPPER(L537)="X",0,IF((LEN(SUBSTITUTE(SUBSTITUTE(SUBSTITUTE(J537," ",""),"0",""),"-",""))+LEN(SUBSTITUTE(SUBSTITUTE(SUBSTITUTE(K537," ",""),"0",""),"-","")))&gt;(LEN(SUBSTITUTE(SUBSTITUTE(SUBSTITUTE(M537," ",""),"0",""),"-",""))+LEN(SUBSTITUTE(SUBSTITUTE(SUBSTITUTE(N537," ",""),"0",""),"-",""))),1,0))+IF(UPPER(L538)="X",0,IF((LEN(SUBSTITUTE(SUBSTITUTE(SUBSTITUTE(J538," ",""),"0",""),"-",""))+LEN(SUBSTITUTE(SUBSTITUTE(SUBSTITUTE(K538," ",""),"0",""),"-","")))&gt;(LEN(SUBSTITUTE(SUBSTITUTE(SUBSTITUTE(M538," ",""),"0",""),"-",""))+LEN(SUBSTITUTE(SUBSTITUTE(SUBSTITUTE(N538," ",""),"0",""),"-",""))),1,0))+IF(UPPER(L539)="X",0,IF((LEN(SUBSTITUTE(SUBSTITUTE(SUBSTITUTE(J539," ",""),"0",""),"-",""))+LEN(SUBSTITUTE(SUBSTITUTE(SUBSTITUTE(K539," ",""),"0",""),"-","")))&gt;(LEN(SUBSTITUTE(SUBSTITUTE(SUBSTITUTE(M539," ",""),"0",""),"-",""))+LEN(SUBSTITUTE(SUBSTITUTE(SUBSTITUTE(N539," ",""),"0",""),"-",""))),1,0))+IF(UPPER(L540)="X",0,IF((LEN(SUBSTITUTE(SUBSTITUTE(SUBSTITUTE(J540," ",""),"0",""),"-",""))+LEN(SUBSTITUTE(SUBSTITUTE(SUBSTITUTE(K540," ",""),"0",""),"-","")))&gt;(LEN(SUBSTITUTE(SUBSTITUTE(SUBSTITUTE(M540," ",""),"0",""),"-",""))+LEN(SUBSTITUTE(SUBSTITUTE(SUBSTITUTE(N540," ",""),"0",""),"-",""))),1,0))+IF(UPPER(L541)="X",0,IF((LEN(SUBSTITUTE(SUBSTITUTE(SUBSTITUTE(J541," ",""),"0",""),"-",""))+LEN(SUBSTITUTE(SUBSTITUTE(SUBSTITUTE(K541," ",""),"0",""),"-","")))&gt;(LEN(SUBSTITUTE(SUBSTITUTE(SUBSTITUTE(M541," ",""),"0",""),"-",""))+LEN(SUBSTITUTE(SUBSTITUTE(SUBSTITUTE(N541," ",""),"0",""),"-",""))),1,0))</f>
      </c>
      <c r="K536" s="14" t="str">
        <f>LEN(SUBSTITUTE(SUBSTITUTE(SUBSTITUTE(J537," ",""),"0",""),"-",""))+LEN(SUBSTITUTE(SUBSTITUTE(SUBSTITUTE(K537," ",""),"0",""),"-",""))+LEN(SUBSTITUTE(SUBSTITUTE(SUBSTITUTE(J538," ",""),"0",""),"-",""))+LEN(SUBSTITUTE(SUBSTITUTE(SUBSTITUTE(K538," ",""),"0",""),"-",""))+LEN(SUBSTITUTE(SUBSTITUTE(SUBSTITUTE(J539," ",""),"0",""),"-",""))+LEN(SUBSTITUTE(SUBSTITUTE(SUBSTITUTE(K539," ",""),"0",""),"-",""))+LEN(SUBSTITUTE(SUBSTITUTE(SUBSTITUTE(J540," ",""),"0",""),"-",""))+LEN(SUBSTITUTE(SUBSTITUTE(SUBSTITUTE(K540," ",""),"0",""),"-",""))+LEN(SUBSTITUTE(SUBSTITUTE(SUBSTITUTE(J541," ",""),"0",""),"-",""))+LEN(SUBSTITUTE(SUBSTITUTE(SUBSTITUTE(K541," ",""),"0",""),"-",""))</f>
      </c>
      <c r="L536" s="18"/>
      <c r="M536" s="14" t="str">
        <f>LEN(SUBSTITUTE(SUBSTITUTE(SUBSTITUTE(M537," ",""),"0",""),"-",""))+LEN(SUBSTITUTE(SUBSTITUTE(SUBSTITUTE(N537," ",""),"0",""),"-",""))+LEN(SUBSTITUTE(SUBSTITUTE(SUBSTITUTE(M538," ",""),"0",""),"-",""))+LEN(SUBSTITUTE(SUBSTITUTE(SUBSTITUTE(N538," ",""),"0",""),"-",""))+LEN(SUBSTITUTE(SUBSTITUTE(SUBSTITUTE(M539," ",""),"0",""),"-",""))+LEN(SUBSTITUTE(SUBSTITUTE(SUBSTITUTE(N539," ",""),"0",""),"-",""))+LEN(SUBSTITUTE(SUBSTITUTE(SUBSTITUTE(M540," ",""),"0",""),"-",""))+LEN(SUBSTITUTE(SUBSTITUTE(SUBSTITUTE(N540," ",""),"0",""),"-",""))+LEN(SUBSTITUTE(SUBSTITUTE(SUBSTITUTE(M541," ",""),"0",""),"-",""))+LEN(SUBSTITUTE(SUBSTITUTE(SUBSTITUTE(N541," ",""),"0",""),"-",""))</f>
      </c>
      <c r="N536" s="14" t="str">
        <f>IF(UPPER(L537)="X",0,IF((LEN(SUBSTITUTE(SUBSTITUTE(SUBSTITUTE(M537," ",""),"0",""),"-",""))+LEN(SUBSTITUTE(SUBSTITUTE(SUBSTITUTE(N537," ",""),"0",""),"-","")))&gt;(LEN(SUBSTITUTE(SUBSTITUTE(SUBSTITUTE(J537," ",""),"0",""),"-",""))+LEN(SUBSTITUTE(SUBSTITUTE(SUBSTITUTE(K537," ",""),"0",""),"-",""))),1,0))+IF(UPPER(L538)="X",0,IF((LEN(SUBSTITUTE(SUBSTITUTE(SUBSTITUTE(M538," ",""),"0",""),"-",""))+LEN(SUBSTITUTE(SUBSTITUTE(SUBSTITUTE(N538," ",""),"0",""),"-","")))&gt;(LEN(SUBSTITUTE(SUBSTITUTE(SUBSTITUTE(J538," ",""),"0",""),"-",""))+LEN(SUBSTITUTE(SUBSTITUTE(SUBSTITUTE(K538," ",""),"0",""),"-",""))),1,0))+IF(UPPER(L539)="X",0,IF((LEN(SUBSTITUTE(SUBSTITUTE(SUBSTITUTE(M539," ",""),"0",""),"-",""))+LEN(SUBSTITUTE(SUBSTITUTE(SUBSTITUTE(N539," ",""),"0",""),"-","")))&gt;(LEN(SUBSTITUTE(SUBSTITUTE(SUBSTITUTE(J539," ",""),"0",""),"-",""))+LEN(SUBSTITUTE(SUBSTITUTE(SUBSTITUTE(K539," ",""),"0",""),"-",""))),1,0))+IF(UPPER(L540)="X",0,IF((LEN(SUBSTITUTE(SUBSTITUTE(SUBSTITUTE(M540," ",""),"0",""),"-",""))+LEN(SUBSTITUTE(SUBSTITUTE(SUBSTITUTE(N540," ",""),"0",""),"-","")))&gt;(LEN(SUBSTITUTE(SUBSTITUTE(SUBSTITUTE(J540," ",""),"0",""),"-",""))+LEN(SUBSTITUTE(SUBSTITUTE(SUBSTITUTE(K540," ",""),"0",""),"-",""))),1,0))+IF(UPPER(L541)="X",0,IF((LEN(SUBSTITUTE(SUBSTITUTE(SUBSTITUTE(M541," ",""),"0",""),"-",""))+LEN(SUBSTITUTE(SUBSTITUTE(SUBSTITUTE(N541," ",""),"0",""),"-","")))&gt;(LEN(SUBSTITUTE(SUBSTITUTE(SUBSTITUTE(J541," ",""),"0",""),"-",""))+LEN(SUBSTITUTE(SUBSTITUTE(SUBSTITUTE(K541," ",""),"0",""),"-",""))),1,0))</f>
      </c>
      <c r="O536" s="14" t="str">
        <f>data!$E$87&amp;" "&amp;data!$B$87</f>
      </c>
    </row>
    <row r="537">
      <c r="A537" s="14">
        <v>1</v>
      </c>
      <c r="B537" s="18"/>
      <c r="C537" s="18"/>
      <c r="D537" s="18"/>
      <c r="E537" s="18"/>
      <c r="F537" s="18"/>
      <c r="G537" s="14">
        <v>1</v>
      </c>
      <c r="I537" s="14">
        <v>1</v>
      </c>
      <c r="J537" s="18"/>
      <c r="K537" s="18"/>
      <c r="L537" s="18"/>
      <c r="M537" s="18"/>
      <c r="N537" s="18"/>
      <c r="O537" s="14">
        <v>1</v>
      </c>
    </row>
    <row r="538">
      <c r="A538" s="14">
        <v>2</v>
      </c>
      <c r="B538" s="18"/>
      <c r="C538" s="18"/>
      <c r="D538" s="18"/>
      <c r="E538" s="18"/>
      <c r="F538" s="18"/>
      <c r="G538" s="14">
        <v>2</v>
      </c>
      <c r="I538" s="14">
        <v>2</v>
      </c>
      <c r="J538" s="18"/>
      <c r="K538" s="18"/>
      <c r="L538" s="18"/>
      <c r="M538" s="18"/>
      <c r="N538" s="18"/>
      <c r="O538" s="14">
        <v>2</v>
      </c>
    </row>
    <row r="539">
      <c r="A539" s="14">
        <v>3</v>
      </c>
      <c r="B539" s="18"/>
      <c r="C539" s="18"/>
      <c r="D539" s="18"/>
      <c r="E539" s="18"/>
      <c r="F539" s="18"/>
      <c r="G539" s="14">
        <v>3</v>
      </c>
      <c r="I539" s="14">
        <v>3</v>
      </c>
      <c r="J539" s="18"/>
      <c r="K539" s="18"/>
      <c r="L539" s="18"/>
      <c r="M539" s="18"/>
      <c r="N539" s="18"/>
      <c r="O539" s="14">
        <v>3</v>
      </c>
    </row>
    <row r="540">
      <c r="A540" s="14">
        <v>4</v>
      </c>
      <c r="B540" s="18"/>
      <c r="C540" s="18"/>
      <c r="D540" s="18"/>
      <c r="E540" s="18"/>
      <c r="F540" s="18"/>
      <c r="G540" s="14">
        <v>4</v>
      </c>
      <c r="I540" s="14">
        <v>4</v>
      </c>
      <c r="J540" s="18"/>
      <c r="K540" s="18"/>
      <c r="L540" s="18"/>
      <c r="M540" s="18"/>
      <c r="N540" s="18"/>
      <c r="O540" s="14">
        <v>4</v>
      </c>
    </row>
    <row r="541">
      <c r="A541" s="14">
        <v>5</v>
      </c>
      <c r="B541" s="18"/>
      <c r="C541" s="18"/>
      <c r="D541" s="18"/>
      <c r="E541" s="18"/>
      <c r="F541" s="18"/>
      <c r="G541" s="14">
        <v>5</v>
      </c>
      <c r="I541" s="14">
        <v>5</v>
      </c>
      <c r="J541" s="18"/>
      <c r="K541" s="18"/>
      <c r="L541" s="18"/>
      <c r="M541" s="18"/>
      <c r="N541" s="18"/>
      <c r="O541" s="14">
        <v>5</v>
      </c>
    </row>
    <row r="544">
      <c r="A544" s="13" t="s">
        <v>334</v>
      </c>
      <c r="B544" s="13" t="s">
        <v>335</v>
      </c>
      <c r="C544" s="13" t="s">
        <v>336</v>
      </c>
      <c r="D544" s="13" t="s">
        <v>337</v>
      </c>
      <c r="E544" s="13"/>
      <c r="F544" s="13"/>
      <c r="G544" s="13" t="s">
        <v>338</v>
      </c>
      <c r="I544" s="13" t="s">
        <v>334</v>
      </c>
      <c r="J544" s="13" t="s">
        <v>335</v>
      </c>
      <c r="K544" s="13" t="s">
        <v>336</v>
      </c>
      <c r="L544" s="13" t="s">
        <v>337</v>
      </c>
      <c r="M544" s="13"/>
      <c r="N544" s="13"/>
      <c r="O544" s="13" t="s">
        <v>338</v>
      </c>
    </row>
    <row r="545">
      <c r="A545" s="14" t="str">
        <f>data!$E$39&amp;" "&amp;data!$B$39</f>
      </c>
      <c r="B545" s="14" t="str">
        <f>IF(OR(COUNTA(B521:C525,E521:F525)&gt;0,D521="X",D521="x",D522="X",D522="x",D523="X",D523="x",D524="X",D524="x",D525="X",D525="x",OR(D520="X",D520="x")),IF(OR(OR(D520="X",D520="x"),AND(B520=F520,C520=E520)),0,IF(OR(F520&gt;B520,AND(F520=B520,E520&gt;C520)),1,0)),0)+IF(OR(COUNTA(B529:C533,E529:F533)&gt;0,D529="X",D529="x",D530="X",D530="x",D531="X",D531="x",D532="X",D532="x",D533="X",D533="x",OR(D528="X",D528="x")),IF(OR(OR(D528="X",D528="x"),AND(B528=F528,C528=E528)),0,IF(OR(F528&gt;B528,AND(F528=B528,E528&gt;C528)),1,0)),0)</f>
      </c>
      <c r="C545" s="14" t="str">
        <f>IF(OR(COUNTA(B521:C525,E521:F525)&gt;0,D521="X",D521="x",D522="X",D522="x",D523="X",D523="x",D524="X",D524="x",D525="X",D525="x",OR(D520="X",D520="x")),IF(OR(OR(D520="X",D520="x"),AND(B520=F520,C520=E520)),0,IF(OR(F520&lt;B520,AND(F520=B520,E520&lt;C520)),1,0)),0)+IF(OR(COUNTA(B529:C533,E529:F533)&gt;0,D529="X",D529="x",D530="X",D530="x",D531="X",D531="x",D532="X",D532="x",D533="X",D533="x",OR(D528="X",D528="x")),IF(OR(OR(D528="X",D528="x"),AND(B528=F528,C528=E528)),0,IF(OR(F528&lt;B528,AND(F528=B528,E528&lt;C528)),1,0)),0)</f>
      </c>
      <c r="D545" s="14" t="str">
        <f>IF(OR(COUNTA(B521:C525,E521:F525)&gt;0,D521="X",D521="x",D522="X",D522="x",D523="X",D523="x",D524="X",D524="x",D525="X",D525="x",OR(D520="X",D520="x")),IF(OR(OR(D520="X",D520="x"),AND(B520=F520,C520=E520)),1,0),0)+IF(OR(COUNTA(B529:C533,E529:F533)&gt;0,D529="X",D529="x",D530="X",D530="x",D531="X",D531="x",D532="X",D532="x",D533="X",D533="x",OR(D528="X",D528="x")),IF(OR(OR(D528="X",D528="x"),AND(B528=F528,C528=E528)),1,0),0)</f>
      </c>
      <c r="G545" s="18" t="str">
        <f>RANK(U545,$U$545:$U$547)+COUNTIF($U$544:U544,U545)</f>
      </c>
      <c r="I545" s="14" t="str">
        <f>data!$E$86&amp;" "&amp;data!$B$86</f>
      </c>
      <c r="J545" s="14" t="str">
        <f>IF(OR(COUNTA(J521:K525,M521:N525)&gt;0,L521="X",L521="x",L522="X",L522="x",L523="X",L523="x",L524="X",L524="x",L525="X",L525="x",OR(L520="X",L520="x")),IF(OR(OR(L520="X",L520="x"),AND(J520=N520,K520=M520)),0,IF(OR(N520&gt;J520,AND(N520=J520,M520&gt;K520)),1,0)),0)+IF(OR(COUNTA(J529:K533,M529:N533)&gt;0,L529="X",L529="x",L530="X",L530="x",L531="X",L531="x",L532="X",L532="x",L533="X",L533="x",OR(L528="X",L528="x")),IF(OR(OR(L528="X",L528="x"),AND(J528=N528,K528=M528)),0,IF(OR(N528&gt;J528,AND(N528=J528,M528&gt;K528)),1,0)),0)</f>
      </c>
      <c r="K545" s="14" t="str">
        <f>IF(OR(COUNTA(J521:K525,M521:N525)&gt;0,L521="X",L521="x",L522="X",L522="x",L523="X",L523="x",L524="X",L524="x",L525="X",L525="x",OR(L520="X",L520="x")),IF(OR(OR(L520="X",L520="x"),AND(J520=N520,K520=M520)),0,IF(OR(N520&lt;J520,AND(N520=J520,M520&lt;K520)),1,0)),0)+IF(OR(COUNTA(J529:K533,M529:N533)&gt;0,L529="X",L529="x",L530="X",L530="x",L531="X",L531="x",L532="X",L532="x",L533="X",L533="x",OR(L528="X",L528="x")),IF(OR(OR(L528="X",L528="x"),AND(J528=N528,K528=M528)),0,IF(OR(N528&lt;J528,AND(N528=J528,M528&lt;K528)),1,0)),0)</f>
      </c>
      <c r="L545" s="14" t="str">
        <f>IF(OR(COUNTA(J521:K525,M521:N525)&gt;0,L521="X",L521="x",L522="X",L522="x",L523="X",L523="x",L524="X",L524="x",L525="X",L525="x",OR(L520="X",L520="x")),IF(OR(OR(L520="X",L520="x"),AND(J520=N520,K520=M520)),1,0),0)+IF(OR(COUNTA(J529:K533,M529:N533)&gt;0,L529="X",L529="x",L530="X",L530="x",L531="X",L531="x",L532="X",L532="x",L533="X",L533="x",OR(L528="X",L528="x")),IF(OR(OR(L528="X",L528="x"),AND(J528=N528,K528=M528)),1,0),0)</f>
      </c>
      <c r="O545" s="18" t="str">
        <f>RANK(AC545,$AC$545:$AC$547)+COUNTIF($AC$544:AC544,AC545)</f>
      </c>
      <c r="U545" t="str">
        <f>(B545*1000000000)-(C545*10000000)+(D545*100000)+(B550*1000)-(C550*100)+(D550*10)+(E550*1)-(F550*0.01)</f>
      </c>
      <c r="AC545" t="str">
        <f>(J545*1000000000)-(K545*10000000)+(L545*100000)+(J550*1000)-(K550*100)+(L550*10)+(M550*1)-(N550*0.01)</f>
      </c>
    </row>
    <row r="546">
      <c r="A546" s="14" t="str">
        <f>data!$E$40&amp;" "&amp;data!$B$40</f>
      </c>
      <c r="B546" s="14" t="str">
        <f>IF(OR(COUNTA(B521:C525,E521:F525)&gt;0,D521="X",D521="x",D522="X",D522="x",D523="X",D523="x",D524="X",D524="x",D525="X",D525="x",OR(D520="X",D520="x")),IF(OR(OR(D520="X",D520="x"),AND(B520=F520,C520=E520)),0,IF(OR(B520&gt;F520,AND(B520=F520,C520&gt;E520)),1,0)),0)+IF(OR(COUNTA(B537:C541,E537:F541)&gt;0,D537="X",D537="x",D538="X",D538="x",D539="X",D539="x",D540="X",D540="x",D541="X",D541="x",OR(D536="X",D536="x")),IF(OR(OR(D536="X",D536="x"),AND(B536=F536,C536=E536)),0,IF(OR(F536&gt;B536,AND(F536=B536,E536&gt;C536)),1,0)),0)</f>
      </c>
      <c r="C546" s="14" t="str">
        <f>IF(OR(COUNTA(B521:C525,E521:F525)&gt;0,D521="X",D521="x",D522="X",D522="x",D523="X",D523="x",D524="X",D524="x",D525="X",D525="x",OR(D520="X",D520="x")),IF(OR(OR(D520="X",D520="x"),AND(B520=F520,C520=E520)),0,IF(OR(B520&lt;F520,AND(B520=F520,C520&lt;E520)),1,0)),0)+IF(OR(COUNTA(B537:C541,E537:F541)&gt;0,D537="X",D537="x",D538="X",D538="x",D539="X",D539="x",D540="X",D540="x",D541="X",D541="x",OR(D536="X",D536="x")),IF(OR(OR(D536="X",D536="x"),AND(B536=F536,C536=E536)),0,IF(OR(F536&lt;B536,AND(F536=B536,E536&lt;C536)),1,0)),0)</f>
      </c>
      <c r="D546" s="14" t="str">
        <f>IF(OR(COUNTA(B521:C525,E521:F525)&gt;0,D521="X",D521="x",D522="X",D522="x",D523="X",D523="x",D524="X",D524="x",D525="X",D525="x",OR(D520="X",D520="x")),IF(OR(OR(D520="X",D520="x"),AND(B520=F520,C520=E520)),1,0),0)+IF(OR(COUNTA(B537:C541,E537:F541)&gt;0,D537="X",D537="x",D538="X",D538="x",D539="X",D539="x",D540="X",D540="x",D541="X",D541="x",OR(D536="X",D536="x")),IF(OR(OR(D536="X",D536="x"),AND(B536=F536,C536=E536)),1,0),0)</f>
      </c>
      <c r="G546" s="18" t="str">
        <f>RANK(U546,$U$545:$U$547)+COUNTIF($U$544:U545,U546)</f>
      </c>
      <c r="I546" s="14" t="str">
        <f>data!$E$87&amp;" "&amp;data!$B$87</f>
      </c>
      <c r="J546" s="14" t="str">
        <f>IF(OR(COUNTA(J521:K525,M521:N525)&gt;0,L521="X",L521="x",L522="X",L522="x",L523="X",L523="x",L524="X",L524="x",L525="X",L525="x",OR(L520="X",L520="x")),IF(OR(OR(L520="X",L520="x"),AND(J520=N520,K520=M520)),0,IF(OR(J520&gt;N520,AND(J520=N520,K520&gt;M520)),1,0)),0)+IF(OR(COUNTA(J537:K541,M537:N541)&gt;0,L537="X",L537="x",L538="X",L538="x",L539="X",L539="x",L540="X",L540="x",L541="X",L541="x",OR(L536="X",L536="x")),IF(OR(OR(L536="X",L536="x"),AND(J536=N536,K536=M536)),0,IF(OR(N536&gt;J536,AND(N536=J536,M536&gt;K536)),1,0)),0)</f>
      </c>
      <c r="K546" s="14" t="str">
        <f>IF(OR(COUNTA(J521:K525,M521:N525)&gt;0,L521="X",L521="x",L522="X",L522="x",L523="X",L523="x",L524="X",L524="x",L525="X",L525="x",OR(L520="X",L520="x")),IF(OR(OR(L520="X",L520="x"),AND(J520=N520,K520=M520)),0,IF(OR(J520&lt;N520,AND(J520=N520,K520&lt;M520)),1,0)),0)+IF(OR(COUNTA(J537:K541,M537:N541)&gt;0,L537="X",L537="x",L538="X",L538="x",L539="X",L539="x",L540="X",L540="x",L541="X",L541="x",OR(L536="X",L536="x")),IF(OR(OR(L536="X",L536="x"),AND(J536=N536,K536=M536)),0,IF(OR(N536&lt;J536,AND(N536=J536,M536&lt;K536)),1,0)),0)</f>
      </c>
      <c r="L546" s="14" t="str">
        <f>IF(OR(COUNTA(J521:K525,M521:N525)&gt;0,L521="X",L521="x",L522="X",L522="x",L523="X",L523="x",L524="X",L524="x",L525="X",L525="x",OR(L520="X",L520="x")),IF(OR(OR(L520="X",L520="x"),AND(J520=N520,K520=M520)),1,0),0)+IF(OR(COUNTA(J537:K541,M537:N541)&gt;0,L537="X",L537="x",L538="X",L538="x",L539="X",L539="x",L540="X",L540="x",L541="X",L541="x",OR(L536="X",L536="x")),IF(OR(OR(L536="X",L536="x"),AND(J536=N536,K536=M536)),1,0),0)</f>
      </c>
      <c r="O546" s="18" t="str">
        <f>RANK(AC546,$AC$545:$AC$547)+COUNTIF($AC$544:AC545,AC546)</f>
      </c>
      <c r="U546" t="str">
        <f>(B546*1000000000)-(C546*10000000)+(D546*100000)+(B551*1000)-(C551*100)+(D551*10)+(E551*1)-(F551*0.01)</f>
      </c>
      <c r="AC546" t="str">
        <f>(J546*1000000000)-(K546*10000000)+(L546*100000)+(J551*1000)-(K551*100)+(L551*10)+(M551*1)-(N551*0.01)</f>
      </c>
    </row>
    <row r="547">
      <c r="A547" s="14" t="str">
        <f>data!$E$41&amp;" "&amp;data!$B$41</f>
      </c>
      <c r="B547" s="14" t="str">
        <f>IF(OR(COUNTA(B529:C533,E529:F533)&gt;0,D529="X",D529="x",D530="X",D530="x",D531="X",D531="x",D532="X",D532="x",D533="X",D533="x",OR(D528="X",D528="x")),IF(OR(OR(D528="X",D528="x"),AND(B528=F528,C528=E528)),0,IF(OR(B528&gt;F528,AND(B528=F528,C528&gt;E528)),1,0)),0)+IF(OR(COUNTA(B537:C541,E537:F541)&gt;0,D537="X",D537="x",D538="X",D538="x",D539="X",D539="x",D540="X",D540="x",D541="X",D541="x",OR(D536="X",D536="x")),IF(OR(OR(D536="X",D536="x"),AND(B536=F536,C536=E536)),0,IF(OR(B536&gt;F536,AND(B536=F536,C536&gt;E536)),1,0)),0)</f>
      </c>
      <c r="C547" s="14" t="str">
        <f>IF(OR(COUNTA(B529:C533,E529:F533)&gt;0,D529="X",D529="x",D530="X",D530="x",D531="X",D531="x",D532="X",D532="x",D533="X",D533="x",OR(D528="X",D528="x")),IF(OR(OR(D528="X",D528="x"),AND(B528=F528,C528=E528)),0,IF(OR(B528&lt;F528,AND(B528=F528,C528&lt;E528)),1,0)),0)+IF(OR(COUNTA(B537:C541,E537:F541)&gt;0,D537="X",D537="x",D538="X",D538="x",D539="X",D539="x",D540="X",D540="x",D541="X",D541="x",OR(D536="X",D536="x")),IF(OR(OR(D536="X",D536="x"),AND(B536=F536,C536=E536)),0,IF(OR(B536&lt;F536,AND(B536=F536,C536&lt;E536)),1,0)),0)</f>
      </c>
      <c r="D547" s="14" t="str">
        <f>IF(OR(COUNTA(B529:C533,E529:F533)&gt;0,D529="X",D529="x",D530="X",D530="x",D531="X",D531="x",D532="X",D532="x",D533="X",D533="x",OR(D528="X",D528="x")),IF(OR(OR(D528="X",D528="x"),AND(B528=F528,C528=E528)),1,0),0)+IF(OR(COUNTA(B537:C541,E537:F541)&gt;0,D537="X",D537="x",D538="X",D538="x",D539="X",D539="x",D540="X",D540="x",D541="X",D541="x",OR(D536="X",D536="x")),IF(OR(OR(D536="X",D536="x"),AND(B536=F536,C536=E536)),1,0),0)</f>
      </c>
      <c r="G547" s="18" t="str">
        <f>RANK(U547,$U$545:$U$547)+COUNTIF($U$544:U546,U547)</f>
      </c>
      <c r="I547" s="14" t="str">
        <f>data!$E$88&amp;" "&amp;data!$B$88</f>
      </c>
      <c r="J547" s="14" t="str">
        <f>IF(OR(COUNTA(J529:K533,M529:N533)&gt;0,L529="X",L529="x",L530="X",L530="x",L531="X",L531="x",L532="X",L532="x",L533="X",L533="x",OR(L528="X",L528="x")),IF(OR(OR(L528="X",L528="x"),AND(J528=N528,K528=M528)),0,IF(OR(J528&gt;N528,AND(J528=N528,K528&gt;M528)),1,0)),0)+IF(OR(COUNTA(J537:K541,M537:N541)&gt;0,L537="X",L537="x",L538="X",L538="x",L539="X",L539="x",L540="X",L540="x",L541="X",L541="x",OR(L536="X",L536="x")),IF(OR(OR(L536="X",L536="x"),AND(J536=N536,K536=M536)),0,IF(OR(J536&gt;N536,AND(J536=N536,K536&gt;M536)),1,0)),0)</f>
      </c>
      <c r="K547" s="14" t="str">
        <f>IF(OR(COUNTA(J529:K533,M529:N533)&gt;0,L529="X",L529="x",L530="X",L530="x",L531="X",L531="x",L532="X",L532="x",L533="X",L533="x",OR(L528="X",L528="x")),IF(OR(OR(L528="X",L528="x"),AND(J528=N528,K528=M528)),0,IF(OR(J528&lt;N528,AND(J528=N528,K528&lt;M528)),1,0)),0)+IF(OR(COUNTA(J537:K541,M537:N541)&gt;0,L537="X",L537="x",L538="X",L538="x",L539="X",L539="x",L540="X",L540="x",L541="X",L541="x",OR(L536="X",L536="x")),IF(OR(OR(L536="X",L536="x"),AND(J536=N536,K536=M536)),0,IF(OR(J536&lt;N536,AND(J536=N536,K536&lt;M536)),1,0)),0)</f>
      </c>
      <c r="L547" s="14" t="str">
        <f>IF(OR(COUNTA(J529:K533,M529:N533)&gt;0,L529="X",L529="x",L530="X",L530="x",L531="X",L531="x",L532="X",L532="x",L533="X",L533="x",OR(L528="X",L528="x")),IF(OR(OR(L528="X",L528="x"),AND(J528=N528,K528=M528)),1,0),0)+IF(OR(COUNTA(J537:K541,M537:N541)&gt;0,L537="X",L537="x",L538="X",L538="x",L539="X",L539="x",L540="X",L540="x",L541="X",L541="x",OR(L536="X",L536="x")),IF(OR(OR(L536="X",L536="x"),AND(J536=N536,K536=M536)),1,0),0)</f>
      </c>
      <c r="O547" s="18" t="str">
        <f>RANK(AC547,$AC$545:$AC$547)+COUNTIF($AC$544:AC546,AC547)</f>
      </c>
      <c r="U547" t="str">
        <f>(B547*1000000000)-(C547*10000000)+(D547*100000)+(B552*1000)-(C552*100)+(D552*10)+(E552*1)-(F552*0.01)</f>
      </c>
      <c r="AC547" t="str">
        <f>(J547*1000000000)-(K547*10000000)+(L547*100000)+(J552*1000)-(K552*100)+(L552*10)+(M552*1)-(N552*0.01)</f>
      </c>
    </row>
    <row r="549">
      <c r="A549" s="13"/>
      <c r="B549" s="13" t="s">
        <v>339</v>
      </c>
      <c r="C549" s="13" t="s">
        <v>340</v>
      </c>
      <c r="D549" s="13" t="s">
        <v>341</v>
      </c>
      <c r="E549" s="13" t="s">
        <v>342</v>
      </c>
      <c r="F549" s="13" t="s">
        <v>343</v>
      </c>
      <c r="I549" s="13"/>
      <c r="J549" s="13" t="s">
        <v>339</v>
      </c>
      <c r="K549" s="13" t="s">
        <v>340</v>
      </c>
      <c r="L549" s="13" t="s">
        <v>341</v>
      </c>
      <c r="M549" s="13" t="s">
        <v>342</v>
      </c>
      <c r="N549" s="13" t="s">
        <v>343</v>
      </c>
    </row>
    <row r="550">
      <c r="A550" s="14" t="str">
        <f>data!$E$39&amp;" "&amp;data!$B$39</f>
      </c>
      <c r="B550" s="14" t="str">
        <f>IF(OR(COUNTA(B521:C525,E521:F525)&gt;0,OR(D520="X",D520="x"),UPPER(D521)="X",UPPER(D522)="X",UPPER(D523)="X",UPPER(D524)="X",UPPER(D525)="X"),F520,0)+IF(OR(COUNTA(B529:C533,E529:F533)&gt;0,OR(D528="X",D528="x"),UPPER(D529)="X",UPPER(D530)="X",UPPER(D531)="X",UPPER(D532)="X",UPPER(D533)="X"),F528,0)</f>
      </c>
      <c r="C550" s="14" t="str">
        <f>IF(OR(COUNTA(B521:C525,E521:F525)&gt;0,OR(D520="X",D520="x"),UPPER(D521)="X",UPPER(D522)="X",UPPER(D523)="X",UPPER(D524)="X",UPPER(D525)="X"),B520,0)+IF(OR(COUNTA(B529:C533,E529:F533)&gt;0,OR(D528="X",D528="x"),UPPER(D529)="X",UPPER(D530)="X",UPPER(D531)="X",UPPER(D532)="X",UPPER(D533)="X"),B528,0)</f>
      </c>
      <c r="D550" s="14" t="str">
        <f>IF(OR(COUNTA(B521:C525,E521:F525)&gt;0,OR(D520="X",D520="x"),UPPER(D521)="X",UPPER(D522)="X",UPPER(D523)="X",UPPER(D524)="X",UPPER(D525)="X"),(IF(OR(D521="X",D521="x",AND(COUNTA(B521,C521,E521,F521)&gt;0,(LEN(SUBSTITUTE(SUBSTITUTE(SUBSTITUTE(B521," ",""),"0",""),"-",""))+LEN(SUBSTITUTE(SUBSTITUTE(SUBSTITUTE(C521," ",""),"0",""),"-","")))=(LEN(SUBSTITUTE(SUBSTITUTE(SUBSTITUTE(E521," ",""),"0",""),"-",""))+LEN(SUBSTITUTE(SUBSTITUTE(SUBSTITUTE(F521," ",""),"0",""),"-",""))))),1,0)+IF(OR(D522="X",D522="x",AND(COUNTA(B522,C522,E522,F522)&gt;0,(LEN(SUBSTITUTE(SUBSTITUTE(SUBSTITUTE(B522," ",""),"0",""),"-",""))+LEN(SUBSTITUTE(SUBSTITUTE(SUBSTITUTE(C522," ",""),"0",""),"-","")))=(LEN(SUBSTITUTE(SUBSTITUTE(SUBSTITUTE(E522," ",""),"0",""),"-",""))+LEN(SUBSTITUTE(SUBSTITUTE(SUBSTITUTE(F522," ",""),"0",""),"-",""))))),1,0)+IF(OR(D523="X",D523="x",AND(COUNTA(B523,C523,E523,F523)&gt;0,(LEN(SUBSTITUTE(SUBSTITUTE(SUBSTITUTE(B523," ",""),"0",""),"-",""))+LEN(SUBSTITUTE(SUBSTITUTE(SUBSTITUTE(C523," ",""),"0",""),"-","")))=(LEN(SUBSTITUTE(SUBSTITUTE(SUBSTITUTE(E523," ",""),"0",""),"-",""))+LEN(SUBSTITUTE(SUBSTITUTE(SUBSTITUTE(F523," ",""),"0",""),"-",""))))),1,0)+IF(OR(D524="X",D524="x",AND(COUNTA(B524,C524,E524,F524)&gt;0,(LEN(SUBSTITUTE(SUBSTITUTE(SUBSTITUTE(B524," ",""),"0",""),"-",""))+LEN(SUBSTITUTE(SUBSTITUTE(SUBSTITUTE(C524," ",""),"0",""),"-","")))=(LEN(SUBSTITUTE(SUBSTITUTE(SUBSTITUTE(E524," ",""),"0",""),"-",""))+LEN(SUBSTITUTE(SUBSTITUTE(SUBSTITUTE(F524," ",""),"0",""),"-",""))))),1,0)+IF(OR(D525="X",D525="x",AND(COUNTA(B525,C525,E525,F525)&gt;0,(LEN(SUBSTITUTE(SUBSTITUTE(SUBSTITUTE(B525," ",""),"0",""),"-",""))+LEN(SUBSTITUTE(SUBSTITUTE(SUBSTITUTE(C525," ",""),"0",""),"-","")))=(LEN(SUBSTITUTE(SUBSTITUTE(SUBSTITUTE(E525," ",""),"0",""),"-",""))+LEN(SUBSTITUTE(SUBSTITUTE(SUBSTITUTE(F525," ",""),"0",""),"-",""))))),1,0)),0)+IF(OR(COUNTA(B529:C533,E529:F533)&gt;0,OR(D528="X",D528="x"),UPPER(D529)="X",UPPER(D530)="X",UPPER(D531)="X",UPPER(D532)="X",UPPER(D533)="X"),(IF(OR(D529="X",D529="x",AND(COUNTA(B529,C529,E529,F529)&gt;0,(LEN(SUBSTITUTE(SUBSTITUTE(SUBSTITUTE(B529," ",""),"0",""),"-",""))+LEN(SUBSTITUTE(SUBSTITUTE(SUBSTITUTE(C529," ",""),"0",""),"-","")))=(LEN(SUBSTITUTE(SUBSTITUTE(SUBSTITUTE(E529," ",""),"0",""),"-",""))+LEN(SUBSTITUTE(SUBSTITUTE(SUBSTITUTE(F529," ",""),"0",""),"-",""))))),1,0)+IF(OR(D530="X",D530="x",AND(COUNTA(B530,C530,E530,F530)&gt;0,(LEN(SUBSTITUTE(SUBSTITUTE(SUBSTITUTE(B530," ",""),"0",""),"-",""))+LEN(SUBSTITUTE(SUBSTITUTE(SUBSTITUTE(C530," ",""),"0",""),"-","")))=(LEN(SUBSTITUTE(SUBSTITUTE(SUBSTITUTE(E530," ",""),"0",""),"-",""))+LEN(SUBSTITUTE(SUBSTITUTE(SUBSTITUTE(F530," ",""),"0",""),"-",""))))),1,0)+IF(OR(D531="X",D531="x",AND(COUNTA(B531,C531,E531,F531)&gt;0,(LEN(SUBSTITUTE(SUBSTITUTE(SUBSTITUTE(B531," ",""),"0",""),"-",""))+LEN(SUBSTITUTE(SUBSTITUTE(SUBSTITUTE(C531," ",""),"0",""),"-","")))=(LEN(SUBSTITUTE(SUBSTITUTE(SUBSTITUTE(E531," ",""),"0",""),"-",""))+LEN(SUBSTITUTE(SUBSTITUTE(SUBSTITUTE(F531," ",""),"0",""),"-",""))))),1,0)+IF(OR(D532="X",D532="x",AND(COUNTA(B532,C532,E532,F532)&gt;0,(LEN(SUBSTITUTE(SUBSTITUTE(SUBSTITUTE(B532," ",""),"0",""),"-",""))+LEN(SUBSTITUTE(SUBSTITUTE(SUBSTITUTE(C532," ",""),"0",""),"-","")))=(LEN(SUBSTITUTE(SUBSTITUTE(SUBSTITUTE(E532," ",""),"0",""),"-",""))+LEN(SUBSTITUTE(SUBSTITUTE(SUBSTITUTE(F532," ",""),"0",""),"-",""))))),1,0)+IF(OR(D533="X",D533="x",AND(COUNTA(B533,C533,E533,F533)&gt;0,(LEN(SUBSTITUTE(SUBSTITUTE(SUBSTITUTE(B533," ",""),"0",""),"-",""))+LEN(SUBSTITUTE(SUBSTITUTE(SUBSTITUTE(C533," ",""),"0",""),"-","")))=(LEN(SUBSTITUTE(SUBSTITUTE(SUBSTITUTE(E533," ",""),"0",""),"-",""))+LEN(SUBSTITUTE(SUBSTITUTE(SUBSTITUTE(F533," ",""),"0",""),"-",""))))),1,0)),0)</f>
      </c>
      <c r="E550" s="14" t="str">
        <f>E520+E528</f>
      </c>
      <c r="F550" s="14" t="str">
        <f>C520+C528</f>
      </c>
      <c r="I550" s="14" t="str">
        <f>data!$E$86&amp;" "&amp;data!$B$86</f>
      </c>
      <c r="J550" s="14" t="str">
        <f>IF(OR(COUNTA(J521:K525,M521:N525)&gt;0,OR(L520="X",L520="x"),UPPER(L521)="X",UPPER(L522)="X",UPPER(L523)="X",UPPER(L524)="X",UPPER(L525)="X"),N520,0)+IF(OR(COUNTA(J529:K533,M529:N533)&gt;0,OR(L528="X",L528="x"),UPPER(L529)="X",UPPER(L530)="X",UPPER(L531)="X",UPPER(L532)="X",UPPER(L533)="X"),N528,0)</f>
      </c>
      <c r="K550" s="14" t="str">
        <f>IF(OR(COUNTA(J521:K525,M521:N525)&gt;0,OR(L520="X",L520="x"),UPPER(L521)="X",UPPER(L522)="X",UPPER(L523)="X",UPPER(L524)="X",UPPER(L525)="X"),J520,0)+IF(OR(COUNTA(J529:K533,M529:N533)&gt;0,OR(L528="X",L528="x"),UPPER(L529)="X",UPPER(L530)="X",UPPER(L531)="X",UPPER(L532)="X",UPPER(L533)="X"),J528,0)</f>
      </c>
      <c r="L550" s="14" t="str">
        <f>IF(OR(COUNTA(J521:K525,M521:N525)&gt;0,OR(L520="X",L520="x"),UPPER(L521)="X",UPPER(L522)="X",UPPER(L523)="X",UPPER(L524)="X",UPPER(L525)="X"),(IF(OR(L521="X",L521="x",AND(COUNTA(J521,K521,M521,N521)&gt;0,(LEN(SUBSTITUTE(SUBSTITUTE(SUBSTITUTE(J521," ",""),"0",""),"-",""))+LEN(SUBSTITUTE(SUBSTITUTE(SUBSTITUTE(K521," ",""),"0",""),"-","")))=(LEN(SUBSTITUTE(SUBSTITUTE(SUBSTITUTE(M521," ",""),"0",""),"-",""))+LEN(SUBSTITUTE(SUBSTITUTE(SUBSTITUTE(N521," ",""),"0",""),"-",""))))),1,0)+IF(OR(L522="X",L522="x",AND(COUNTA(J522,K522,M522,N522)&gt;0,(LEN(SUBSTITUTE(SUBSTITUTE(SUBSTITUTE(J522," ",""),"0",""),"-",""))+LEN(SUBSTITUTE(SUBSTITUTE(SUBSTITUTE(K522," ",""),"0",""),"-","")))=(LEN(SUBSTITUTE(SUBSTITUTE(SUBSTITUTE(M522," ",""),"0",""),"-",""))+LEN(SUBSTITUTE(SUBSTITUTE(SUBSTITUTE(N522," ",""),"0",""),"-",""))))),1,0)+IF(OR(L523="X",L523="x",AND(COUNTA(J523,K523,M523,N523)&gt;0,(LEN(SUBSTITUTE(SUBSTITUTE(SUBSTITUTE(J523," ",""),"0",""),"-",""))+LEN(SUBSTITUTE(SUBSTITUTE(SUBSTITUTE(K523," ",""),"0",""),"-","")))=(LEN(SUBSTITUTE(SUBSTITUTE(SUBSTITUTE(M523," ",""),"0",""),"-",""))+LEN(SUBSTITUTE(SUBSTITUTE(SUBSTITUTE(N523," ",""),"0",""),"-",""))))),1,0)+IF(OR(L524="X",L524="x",AND(COUNTA(J524,K524,M524,N524)&gt;0,(LEN(SUBSTITUTE(SUBSTITUTE(SUBSTITUTE(J524," ",""),"0",""),"-",""))+LEN(SUBSTITUTE(SUBSTITUTE(SUBSTITUTE(K524," ",""),"0",""),"-","")))=(LEN(SUBSTITUTE(SUBSTITUTE(SUBSTITUTE(M524," ",""),"0",""),"-",""))+LEN(SUBSTITUTE(SUBSTITUTE(SUBSTITUTE(N524," ",""),"0",""),"-",""))))),1,0)+IF(OR(L525="X",L525="x",AND(COUNTA(J525,K525,M525,N525)&gt;0,(LEN(SUBSTITUTE(SUBSTITUTE(SUBSTITUTE(J525," ",""),"0",""),"-",""))+LEN(SUBSTITUTE(SUBSTITUTE(SUBSTITUTE(K525," ",""),"0",""),"-","")))=(LEN(SUBSTITUTE(SUBSTITUTE(SUBSTITUTE(M525," ",""),"0",""),"-",""))+LEN(SUBSTITUTE(SUBSTITUTE(SUBSTITUTE(N525," ",""),"0",""),"-",""))))),1,0)),0)+IF(OR(COUNTA(J529:K533,M529:N533)&gt;0,OR(L528="X",L528="x"),UPPER(L529)="X",UPPER(L530)="X",UPPER(L531)="X",UPPER(L532)="X",UPPER(L533)="X"),(IF(OR(L529="X",L529="x",AND(COUNTA(J529,K529,M529,N529)&gt;0,(LEN(SUBSTITUTE(SUBSTITUTE(SUBSTITUTE(J529," ",""),"0",""),"-",""))+LEN(SUBSTITUTE(SUBSTITUTE(SUBSTITUTE(K529," ",""),"0",""),"-","")))=(LEN(SUBSTITUTE(SUBSTITUTE(SUBSTITUTE(M529," ",""),"0",""),"-",""))+LEN(SUBSTITUTE(SUBSTITUTE(SUBSTITUTE(N529," ",""),"0",""),"-",""))))),1,0)+IF(OR(L530="X",L530="x",AND(COUNTA(J530,K530,M530,N530)&gt;0,(LEN(SUBSTITUTE(SUBSTITUTE(SUBSTITUTE(J530," ",""),"0",""),"-",""))+LEN(SUBSTITUTE(SUBSTITUTE(SUBSTITUTE(K530," ",""),"0",""),"-","")))=(LEN(SUBSTITUTE(SUBSTITUTE(SUBSTITUTE(M530," ",""),"0",""),"-",""))+LEN(SUBSTITUTE(SUBSTITUTE(SUBSTITUTE(N530," ",""),"0",""),"-",""))))),1,0)+IF(OR(L531="X",L531="x",AND(COUNTA(J531,K531,M531,N531)&gt;0,(LEN(SUBSTITUTE(SUBSTITUTE(SUBSTITUTE(J531," ",""),"0",""),"-",""))+LEN(SUBSTITUTE(SUBSTITUTE(SUBSTITUTE(K531," ",""),"0",""),"-","")))=(LEN(SUBSTITUTE(SUBSTITUTE(SUBSTITUTE(M531," ",""),"0",""),"-",""))+LEN(SUBSTITUTE(SUBSTITUTE(SUBSTITUTE(N531," ",""),"0",""),"-",""))))),1,0)+IF(OR(L532="X",L532="x",AND(COUNTA(J532,K532,M532,N532)&gt;0,(LEN(SUBSTITUTE(SUBSTITUTE(SUBSTITUTE(J532," ",""),"0",""),"-",""))+LEN(SUBSTITUTE(SUBSTITUTE(SUBSTITUTE(K532," ",""),"0",""),"-","")))=(LEN(SUBSTITUTE(SUBSTITUTE(SUBSTITUTE(M532," ",""),"0",""),"-",""))+LEN(SUBSTITUTE(SUBSTITUTE(SUBSTITUTE(N532," ",""),"0",""),"-",""))))),1,0)+IF(OR(L533="X",L533="x",AND(COUNTA(J533,K533,M533,N533)&gt;0,(LEN(SUBSTITUTE(SUBSTITUTE(SUBSTITUTE(J533," ",""),"0",""),"-",""))+LEN(SUBSTITUTE(SUBSTITUTE(SUBSTITUTE(K533," ",""),"0",""),"-","")))=(LEN(SUBSTITUTE(SUBSTITUTE(SUBSTITUTE(M533," ",""),"0",""),"-",""))+LEN(SUBSTITUTE(SUBSTITUTE(SUBSTITUTE(N533," ",""),"0",""),"-",""))))),1,0)),0)</f>
      </c>
      <c r="M550" s="14" t="str">
        <f>M520+M528</f>
      </c>
      <c r="N550" s="14" t="str">
        <f>K520+K528</f>
      </c>
    </row>
    <row r="551">
      <c r="A551" s="14" t="str">
        <f>data!$E$40&amp;" "&amp;data!$B$40</f>
      </c>
      <c r="B551" s="14" t="str">
        <f>IF(OR(COUNTA(B521:C525,E521:F525)&gt;0,OR(D520="X",D520="x"),UPPER(D521)="X",UPPER(D522)="X",UPPER(D523)="X",UPPER(D524)="X",UPPER(D525)="X"),B520,0)+IF(OR(COUNTA(B537:C541,E537:F541)&gt;0,OR(D536="X",D536="x"),UPPER(D537)="X",UPPER(D538)="X",UPPER(D539)="X",UPPER(D540)="X",UPPER(D541)="X"),F536,0)</f>
      </c>
      <c r="C551" s="14" t="str">
        <f>IF(OR(COUNTA(B521:C525,E521:F525)&gt;0,OR(D520="X",D520="x"),UPPER(D521)="X",UPPER(D522)="X",UPPER(D523)="X",UPPER(D524)="X",UPPER(D525)="X"),F520,0)+IF(OR(COUNTA(B537:C541,E537:F541)&gt;0,OR(D536="X",D536="x"),UPPER(D537)="X",UPPER(D538)="X",UPPER(D539)="X",UPPER(D540)="X",UPPER(D541)="X"),B536,0)</f>
      </c>
      <c r="D551" s="14" t="str">
        <f>IF(OR(COUNTA(B521:C525,E521:F525)&gt;0,OR(D520="X",D520="x"),UPPER(D521)="X",UPPER(D522)="X",UPPER(D523)="X",UPPER(D524)="X",UPPER(D525)="X"),(IF(OR(D521="X",D521="x",AND(COUNTA(B521,C521,E521,F521)&gt;0,(LEN(SUBSTITUTE(SUBSTITUTE(SUBSTITUTE(B521," ",""),"0",""),"-",""))+LEN(SUBSTITUTE(SUBSTITUTE(SUBSTITUTE(C521," ",""),"0",""),"-","")))=(LEN(SUBSTITUTE(SUBSTITUTE(SUBSTITUTE(E521," ",""),"0",""),"-",""))+LEN(SUBSTITUTE(SUBSTITUTE(SUBSTITUTE(F521," ",""),"0",""),"-",""))))),1,0)+IF(OR(D522="X",D522="x",AND(COUNTA(B522,C522,E522,F522)&gt;0,(LEN(SUBSTITUTE(SUBSTITUTE(SUBSTITUTE(B522," ",""),"0",""),"-",""))+LEN(SUBSTITUTE(SUBSTITUTE(SUBSTITUTE(C522," ",""),"0",""),"-","")))=(LEN(SUBSTITUTE(SUBSTITUTE(SUBSTITUTE(E522," ",""),"0",""),"-",""))+LEN(SUBSTITUTE(SUBSTITUTE(SUBSTITUTE(F522," ",""),"0",""),"-",""))))),1,0)+IF(OR(D523="X",D523="x",AND(COUNTA(B523,C523,E523,F523)&gt;0,(LEN(SUBSTITUTE(SUBSTITUTE(SUBSTITUTE(B523," ",""),"0",""),"-",""))+LEN(SUBSTITUTE(SUBSTITUTE(SUBSTITUTE(C523," ",""),"0",""),"-","")))=(LEN(SUBSTITUTE(SUBSTITUTE(SUBSTITUTE(E523," ",""),"0",""),"-",""))+LEN(SUBSTITUTE(SUBSTITUTE(SUBSTITUTE(F523," ",""),"0",""),"-",""))))),1,0)+IF(OR(D524="X",D524="x",AND(COUNTA(B524,C524,E524,F524)&gt;0,(LEN(SUBSTITUTE(SUBSTITUTE(SUBSTITUTE(B524," ",""),"0",""),"-",""))+LEN(SUBSTITUTE(SUBSTITUTE(SUBSTITUTE(C524," ",""),"0",""),"-","")))=(LEN(SUBSTITUTE(SUBSTITUTE(SUBSTITUTE(E524," ",""),"0",""),"-",""))+LEN(SUBSTITUTE(SUBSTITUTE(SUBSTITUTE(F524," ",""),"0",""),"-",""))))),1,0)+IF(OR(D525="X",D525="x",AND(COUNTA(B525,C525,E525,F525)&gt;0,(LEN(SUBSTITUTE(SUBSTITUTE(SUBSTITUTE(B525," ",""),"0",""),"-",""))+LEN(SUBSTITUTE(SUBSTITUTE(SUBSTITUTE(C525," ",""),"0",""),"-","")))=(LEN(SUBSTITUTE(SUBSTITUTE(SUBSTITUTE(E525," ",""),"0",""),"-",""))+LEN(SUBSTITUTE(SUBSTITUTE(SUBSTITUTE(F525," ",""),"0",""),"-",""))))),1,0)),0)+IF(OR(COUNTA(B537:C541,E537:F541)&gt;0,OR(D536="X",D536="x"),UPPER(D537)="X",UPPER(D538)="X",UPPER(D539)="X",UPPER(D540)="X",UPPER(D541)="X"),(IF(OR(D537="X",D537="x",AND(COUNTA(B537,C537,E537,F537)&gt;0,(LEN(SUBSTITUTE(SUBSTITUTE(SUBSTITUTE(B537," ",""),"0",""),"-",""))+LEN(SUBSTITUTE(SUBSTITUTE(SUBSTITUTE(C537," ",""),"0",""),"-","")))=(LEN(SUBSTITUTE(SUBSTITUTE(SUBSTITUTE(E537," ",""),"0",""),"-",""))+LEN(SUBSTITUTE(SUBSTITUTE(SUBSTITUTE(F537," ",""),"0",""),"-",""))))),1,0)+IF(OR(D538="X",D538="x",AND(COUNTA(B538,C538,E538,F538)&gt;0,(LEN(SUBSTITUTE(SUBSTITUTE(SUBSTITUTE(B538," ",""),"0",""),"-",""))+LEN(SUBSTITUTE(SUBSTITUTE(SUBSTITUTE(C538," ",""),"0",""),"-","")))=(LEN(SUBSTITUTE(SUBSTITUTE(SUBSTITUTE(E538," ",""),"0",""),"-",""))+LEN(SUBSTITUTE(SUBSTITUTE(SUBSTITUTE(F538," ",""),"0",""),"-",""))))),1,0)+IF(OR(D539="X",D539="x",AND(COUNTA(B539,C539,E539,F539)&gt;0,(LEN(SUBSTITUTE(SUBSTITUTE(SUBSTITUTE(B539," ",""),"0",""),"-",""))+LEN(SUBSTITUTE(SUBSTITUTE(SUBSTITUTE(C539," ",""),"0",""),"-","")))=(LEN(SUBSTITUTE(SUBSTITUTE(SUBSTITUTE(E539," ",""),"0",""),"-",""))+LEN(SUBSTITUTE(SUBSTITUTE(SUBSTITUTE(F539," ",""),"0",""),"-",""))))),1,0)+IF(OR(D540="X",D540="x",AND(COUNTA(B540,C540,E540,F540)&gt;0,(LEN(SUBSTITUTE(SUBSTITUTE(SUBSTITUTE(B540," ",""),"0",""),"-",""))+LEN(SUBSTITUTE(SUBSTITUTE(SUBSTITUTE(C540," ",""),"0",""),"-","")))=(LEN(SUBSTITUTE(SUBSTITUTE(SUBSTITUTE(E540," ",""),"0",""),"-",""))+LEN(SUBSTITUTE(SUBSTITUTE(SUBSTITUTE(F540," ",""),"0",""),"-",""))))),1,0)+IF(OR(D541="X",D541="x",AND(COUNTA(B541,C541,E541,F541)&gt;0,(LEN(SUBSTITUTE(SUBSTITUTE(SUBSTITUTE(B541," ",""),"0",""),"-",""))+LEN(SUBSTITUTE(SUBSTITUTE(SUBSTITUTE(C541," ",""),"0",""),"-","")))=(LEN(SUBSTITUTE(SUBSTITUTE(SUBSTITUTE(E541," ",""),"0",""),"-",""))+LEN(SUBSTITUTE(SUBSTITUTE(SUBSTITUTE(F541," ",""),"0",""),"-",""))))),1,0)),0)</f>
      </c>
      <c r="E551" s="14" t="str">
        <f>C520+E536</f>
      </c>
      <c r="F551" s="14" t="str">
        <f>E520+C536</f>
      </c>
      <c r="I551" s="14" t="str">
        <f>data!$E$87&amp;" "&amp;data!$B$87</f>
      </c>
      <c r="J551" s="14" t="str">
        <f>IF(OR(COUNTA(J521:K525,M521:N525)&gt;0,OR(L520="X",L520="x"),UPPER(L521)="X",UPPER(L522)="X",UPPER(L523)="X",UPPER(L524)="X",UPPER(L525)="X"),J520,0)+IF(OR(COUNTA(J537:K541,M537:N541)&gt;0,OR(L536="X",L536="x"),UPPER(L537)="X",UPPER(L538)="X",UPPER(L539)="X",UPPER(L540)="X",UPPER(L541)="X"),N536,0)</f>
      </c>
      <c r="K551" s="14" t="str">
        <f>IF(OR(COUNTA(J521:K525,M521:N525)&gt;0,OR(L520="X",L520="x"),UPPER(L521)="X",UPPER(L522)="X",UPPER(L523)="X",UPPER(L524)="X",UPPER(L525)="X"),N520,0)+IF(OR(COUNTA(J537:K541,M537:N541)&gt;0,OR(L536="X",L536="x"),UPPER(L537)="X",UPPER(L538)="X",UPPER(L539)="X",UPPER(L540)="X",UPPER(L541)="X"),J536,0)</f>
      </c>
      <c r="L551" s="14" t="str">
        <f>IF(OR(COUNTA(J521:K525,M521:N525)&gt;0,OR(L520="X",L520="x"),UPPER(L521)="X",UPPER(L522)="X",UPPER(L523)="X",UPPER(L524)="X",UPPER(L525)="X"),(IF(OR(L521="X",L521="x",AND(COUNTA(J521,K521,M521,N521)&gt;0,(LEN(SUBSTITUTE(SUBSTITUTE(SUBSTITUTE(J521," ",""),"0",""),"-",""))+LEN(SUBSTITUTE(SUBSTITUTE(SUBSTITUTE(K521," ",""),"0",""),"-","")))=(LEN(SUBSTITUTE(SUBSTITUTE(SUBSTITUTE(M521," ",""),"0",""),"-",""))+LEN(SUBSTITUTE(SUBSTITUTE(SUBSTITUTE(N521," ",""),"0",""),"-",""))))),1,0)+IF(OR(L522="X",L522="x",AND(COUNTA(J522,K522,M522,N522)&gt;0,(LEN(SUBSTITUTE(SUBSTITUTE(SUBSTITUTE(J522," ",""),"0",""),"-",""))+LEN(SUBSTITUTE(SUBSTITUTE(SUBSTITUTE(K522," ",""),"0",""),"-","")))=(LEN(SUBSTITUTE(SUBSTITUTE(SUBSTITUTE(M522," ",""),"0",""),"-",""))+LEN(SUBSTITUTE(SUBSTITUTE(SUBSTITUTE(N522," ",""),"0",""),"-",""))))),1,0)+IF(OR(L523="X",L523="x",AND(COUNTA(J523,K523,M523,N523)&gt;0,(LEN(SUBSTITUTE(SUBSTITUTE(SUBSTITUTE(J523," ",""),"0",""),"-",""))+LEN(SUBSTITUTE(SUBSTITUTE(SUBSTITUTE(K523," ",""),"0",""),"-","")))=(LEN(SUBSTITUTE(SUBSTITUTE(SUBSTITUTE(M523," ",""),"0",""),"-",""))+LEN(SUBSTITUTE(SUBSTITUTE(SUBSTITUTE(N523," ",""),"0",""),"-",""))))),1,0)+IF(OR(L524="X",L524="x",AND(COUNTA(J524,K524,M524,N524)&gt;0,(LEN(SUBSTITUTE(SUBSTITUTE(SUBSTITUTE(J524," ",""),"0",""),"-",""))+LEN(SUBSTITUTE(SUBSTITUTE(SUBSTITUTE(K524," ",""),"0",""),"-","")))=(LEN(SUBSTITUTE(SUBSTITUTE(SUBSTITUTE(M524," ",""),"0",""),"-",""))+LEN(SUBSTITUTE(SUBSTITUTE(SUBSTITUTE(N524," ",""),"0",""),"-",""))))),1,0)+IF(OR(L525="X",L525="x",AND(COUNTA(J525,K525,M525,N525)&gt;0,(LEN(SUBSTITUTE(SUBSTITUTE(SUBSTITUTE(J525," ",""),"0",""),"-",""))+LEN(SUBSTITUTE(SUBSTITUTE(SUBSTITUTE(K525," ",""),"0",""),"-","")))=(LEN(SUBSTITUTE(SUBSTITUTE(SUBSTITUTE(M525," ",""),"0",""),"-",""))+LEN(SUBSTITUTE(SUBSTITUTE(SUBSTITUTE(N525," ",""),"0",""),"-",""))))),1,0)),0)+IF(OR(COUNTA(J537:K541,M537:N541)&gt;0,OR(L536="X",L536="x"),UPPER(L537)="X",UPPER(L538)="X",UPPER(L539)="X",UPPER(L540)="X",UPPER(L541)="X"),(IF(OR(L537="X",L537="x",AND(COUNTA(J537,K537,M537,N537)&gt;0,(LEN(SUBSTITUTE(SUBSTITUTE(SUBSTITUTE(J537," ",""),"0",""),"-",""))+LEN(SUBSTITUTE(SUBSTITUTE(SUBSTITUTE(K537," ",""),"0",""),"-","")))=(LEN(SUBSTITUTE(SUBSTITUTE(SUBSTITUTE(M537," ",""),"0",""),"-",""))+LEN(SUBSTITUTE(SUBSTITUTE(SUBSTITUTE(N537," ",""),"0",""),"-",""))))),1,0)+IF(OR(L538="X",L538="x",AND(COUNTA(J538,K538,M538,N538)&gt;0,(LEN(SUBSTITUTE(SUBSTITUTE(SUBSTITUTE(J538," ",""),"0",""),"-",""))+LEN(SUBSTITUTE(SUBSTITUTE(SUBSTITUTE(K538," ",""),"0",""),"-","")))=(LEN(SUBSTITUTE(SUBSTITUTE(SUBSTITUTE(M538," ",""),"0",""),"-",""))+LEN(SUBSTITUTE(SUBSTITUTE(SUBSTITUTE(N538," ",""),"0",""),"-",""))))),1,0)+IF(OR(L539="X",L539="x",AND(COUNTA(J539,K539,M539,N539)&gt;0,(LEN(SUBSTITUTE(SUBSTITUTE(SUBSTITUTE(J539," ",""),"0",""),"-",""))+LEN(SUBSTITUTE(SUBSTITUTE(SUBSTITUTE(K539," ",""),"0",""),"-","")))=(LEN(SUBSTITUTE(SUBSTITUTE(SUBSTITUTE(M539," ",""),"0",""),"-",""))+LEN(SUBSTITUTE(SUBSTITUTE(SUBSTITUTE(N539," ",""),"0",""),"-",""))))),1,0)+IF(OR(L540="X",L540="x",AND(COUNTA(J540,K540,M540,N540)&gt;0,(LEN(SUBSTITUTE(SUBSTITUTE(SUBSTITUTE(J540," ",""),"0",""),"-",""))+LEN(SUBSTITUTE(SUBSTITUTE(SUBSTITUTE(K540," ",""),"0",""),"-","")))=(LEN(SUBSTITUTE(SUBSTITUTE(SUBSTITUTE(M540," ",""),"0",""),"-",""))+LEN(SUBSTITUTE(SUBSTITUTE(SUBSTITUTE(N540," ",""),"0",""),"-",""))))),1,0)+IF(OR(L541="X",L541="x",AND(COUNTA(J541,K541,M541,N541)&gt;0,(LEN(SUBSTITUTE(SUBSTITUTE(SUBSTITUTE(J541," ",""),"0",""),"-",""))+LEN(SUBSTITUTE(SUBSTITUTE(SUBSTITUTE(K541," ",""),"0",""),"-","")))=(LEN(SUBSTITUTE(SUBSTITUTE(SUBSTITUTE(M541," ",""),"0",""),"-",""))+LEN(SUBSTITUTE(SUBSTITUTE(SUBSTITUTE(N541," ",""),"0",""),"-",""))))),1,0)),0)</f>
      </c>
      <c r="M551" s="14" t="str">
        <f>K520+M536</f>
      </c>
      <c r="N551" s="14" t="str">
        <f>M520+K536</f>
      </c>
    </row>
    <row r="552">
      <c r="A552" s="14" t="str">
        <f>data!$E$41&amp;" "&amp;data!$B$41</f>
      </c>
      <c r="B552" s="14" t="str">
        <f>IF(OR(COUNTA(B529:C533,E529:F533)&gt;0,OR(D528="X",D528="x"),UPPER(D529)="X",UPPER(D530)="X",UPPER(D531)="X",UPPER(D532)="X",UPPER(D533)="X"),B528,0)+IF(OR(COUNTA(B537:C541,E537:F541)&gt;0,OR(D536="X",D536="x"),UPPER(D537)="X",UPPER(D538)="X",UPPER(D539)="X",UPPER(D540)="X",UPPER(D541)="X"),B536,0)</f>
      </c>
      <c r="C552" s="14" t="str">
        <f>IF(OR(COUNTA(B529:C533,E529:F533)&gt;0,OR(D528="X",D528="x"),UPPER(D529)="X",UPPER(D530)="X",UPPER(D531)="X",UPPER(D532)="X",UPPER(D533)="X"),F528,0)+IF(OR(COUNTA(B537:C541,E537:F541)&gt;0,OR(D536="X",D536="x"),UPPER(D537)="X",UPPER(D538)="X",UPPER(D539)="X",UPPER(D540)="X",UPPER(D541)="X"),F536,0)</f>
      </c>
      <c r="D552" s="14" t="str">
        <f>IF(OR(COUNTA(B529:C533,E529:F533)&gt;0,OR(D528="X",D528="x"),UPPER(D529)="X",UPPER(D530)="X",UPPER(D531)="X",UPPER(D532)="X",UPPER(D533)="X"),(IF(OR(D529="X",D529="x",AND(COUNTA(B529,C529,E529,F529)&gt;0,(LEN(SUBSTITUTE(SUBSTITUTE(SUBSTITUTE(B529," ",""),"0",""),"-",""))+LEN(SUBSTITUTE(SUBSTITUTE(SUBSTITUTE(C529," ",""),"0",""),"-","")))=(LEN(SUBSTITUTE(SUBSTITUTE(SUBSTITUTE(E529," ",""),"0",""),"-",""))+LEN(SUBSTITUTE(SUBSTITUTE(SUBSTITUTE(F529," ",""),"0",""),"-",""))))),1,0)+IF(OR(D530="X",D530="x",AND(COUNTA(B530,C530,E530,F530)&gt;0,(LEN(SUBSTITUTE(SUBSTITUTE(SUBSTITUTE(B530," ",""),"0",""),"-",""))+LEN(SUBSTITUTE(SUBSTITUTE(SUBSTITUTE(C530," ",""),"0",""),"-","")))=(LEN(SUBSTITUTE(SUBSTITUTE(SUBSTITUTE(E530," ",""),"0",""),"-",""))+LEN(SUBSTITUTE(SUBSTITUTE(SUBSTITUTE(F530," ",""),"0",""),"-",""))))),1,0)+IF(OR(D531="X",D531="x",AND(COUNTA(B531,C531,E531,F531)&gt;0,(LEN(SUBSTITUTE(SUBSTITUTE(SUBSTITUTE(B531," ",""),"0",""),"-",""))+LEN(SUBSTITUTE(SUBSTITUTE(SUBSTITUTE(C531," ",""),"0",""),"-","")))=(LEN(SUBSTITUTE(SUBSTITUTE(SUBSTITUTE(E531," ",""),"0",""),"-",""))+LEN(SUBSTITUTE(SUBSTITUTE(SUBSTITUTE(F531," ",""),"0",""),"-",""))))),1,0)+IF(OR(D532="X",D532="x",AND(COUNTA(B532,C532,E532,F532)&gt;0,(LEN(SUBSTITUTE(SUBSTITUTE(SUBSTITUTE(B532," ",""),"0",""),"-",""))+LEN(SUBSTITUTE(SUBSTITUTE(SUBSTITUTE(C532," ",""),"0",""),"-","")))=(LEN(SUBSTITUTE(SUBSTITUTE(SUBSTITUTE(E532," ",""),"0",""),"-",""))+LEN(SUBSTITUTE(SUBSTITUTE(SUBSTITUTE(F532," ",""),"0",""),"-",""))))),1,0)+IF(OR(D533="X",D533="x",AND(COUNTA(B533,C533,E533,F533)&gt;0,(LEN(SUBSTITUTE(SUBSTITUTE(SUBSTITUTE(B533," ",""),"0",""),"-",""))+LEN(SUBSTITUTE(SUBSTITUTE(SUBSTITUTE(C533," ",""),"0",""),"-","")))=(LEN(SUBSTITUTE(SUBSTITUTE(SUBSTITUTE(E533," ",""),"0",""),"-",""))+LEN(SUBSTITUTE(SUBSTITUTE(SUBSTITUTE(F533," ",""),"0",""),"-",""))))),1,0)),0)+IF(OR(COUNTA(B537:C541,E537:F541)&gt;0,OR(D536="X",D536="x"),UPPER(D537)="X",UPPER(D538)="X",UPPER(D539)="X",UPPER(D540)="X",UPPER(D541)="X"),(IF(OR(D537="X",D537="x",AND(COUNTA(B537,C537,E537,F537)&gt;0,(LEN(SUBSTITUTE(SUBSTITUTE(SUBSTITUTE(B537," ",""),"0",""),"-",""))+LEN(SUBSTITUTE(SUBSTITUTE(SUBSTITUTE(C537," ",""),"0",""),"-","")))=(LEN(SUBSTITUTE(SUBSTITUTE(SUBSTITUTE(E537," ",""),"0",""),"-",""))+LEN(SUBSTITUTE(SUBSTITUTE(SUBSTITUTE(F537," ",""),"0",""),"-",""))))),1,0)+IF(OR(D538="X",D538="x",AND(COUNTA(B538,C538,E538,F538)&gt;0,(LEN(SUBSTITUTE(SUBSTITUTE(SUBSTITUTE(B538," ",""),"0",""),"-",""))+LEN(SUBSTITUTE(SUBSTITUTE(SUBSTITUTE(C538," ",""),"0",""),"-","")))=(LEN(SUBSTITUTE(SUBSTITUTE(SUBSTITUTE(E538," ",""),"0",""),"-",""))+LEN(SUBSTITUTE(SUBSTITUTE(SUBSTITUTE(F538," ",""),"0",""),"-",""))))),1,0)+IF(OR(D539="X",D539="x",AND(COUNTA(B539,C539,E539,F539)&gt;0,(LEN(SUBSTITUTE(SUBSTITUTE(SUBSTITUTE(B539," ",""),"0",""),"-",""))+LEN(SUBSTITUTE(SUBSTITUTE(SUBSTITUTE(C539," ",""),"0",""),"-","")))=(LEN(SUBSTITUTE(SUBSTITUTE(SUBSTITUTE(E539," ",""),"0",""),"-",""))+LEN(SUBSTITUTE(SUBSTITUTE(SUBSTITUTE(F539," ",""),"0",""),"-",""))))),1,0)+IF(OR(D540="X",D540="x",AND(COUNTA(B540,C540,E540,F540)&gt;0,(LEN(SUBSTITUTE(SUBSTITUTE(SUBSTITUTE(B540," ",""),"0",""),"-",""))+LEN(SUBSTITUTE(SUBSTITUTE(SUBSTITUTE(C540," ",""),"0",""),"-","")))=(LEN(SUBSTITUTE(SUBSTITUTE(SUBSTITUTE(E540," ",""),"0",""),"-",""))+LEN(SUBSTITUTE(SUBSTITUTE(SUBSTITUTE(F540," ",""),"0",""),"-",""))))),1,0)+IF(OR(D541="X",D541="x",AND(COUNTA(B541,C541,E541,F541)&gt;0,(LEN(SUBSTITUTE(SUBSTITUTE(SUBSTITUTE(B541," ",""),"0",""),"-",""))+LEN(SUBSTITUTE(SUBSTITUTE(SUBSTITUTE(C541," ",""),"0",""),"-","")))=(LEN(SUBSTITUTE(SUBSTITUTE(SUBSTITUTE(E541," ",""),"0",""),"-",""))+LEN(SUBSTITUTE(SUBSTITUTE(SUBSTITUTE(F541," ",""),"0",""),"-",""))))),1,0)),0)</f>
      </c>
      <c r="E552" s="14" t="str">
        <f>C528+C536</f>
      </c>
      <c r="F552" s="14" t="str">
        <f>E528+E536</f>
      </c>
      <c r="I552" s="14" t="str">
        <f>data!$E$88&amp;" "&amp;data!$B$88</f>
      </c>
      <c r="J552" s="14" t="str">
        <f>IF(OR(COUNTA(J529:K533,M529:N533)&gt;0,OR(L528="X",L528="x"),UPPER(L529)="X",UPPER(L530)="X",UPPER(L531)="X",UPPER(L532)="X",UPPER(L533)="X"),J528,0)+IF(OR(COUNTA(J537:K541,M537:N541)&gt;0,OR(L536="X",L536="x"),UPPER(L537)="X",UPPER(L538)="X",UPPER(L539)="X",UPPER(L540)="X",UPPER(L541)="X"),J536,0)</f>
      </c>
      <c r="K552" s="14" t="str">
        <f>IF(OR(COUNTA(J529:K533,M529:N533)&gt;0,OR(L528="X",L528="x"),UPPER(L529)="X",UPPER(L530)="X",UPPER(L531)="X",UPPER(L532)="X",UPPER(L533)="X"),N528,0)+IF(OR(COUNTA(J537:K541,M537:N541)&gt;0,OR(L536="X",L536="x"),UPPER(L537)="X",UPPER(L538)="X",UPPER(L539)="X",UPPER(L540)="X",UPPER(L541)="X"),N536,0)</f>
      </c>
      <c r="L552" s="14" t="str">
        <f>IF(OR(COUNTA(J529:K533,M529:N533)&gt;0,OR(L528="X",L528="x"),UPPER(L529)="X",UPPER(L530)="X",UPPER(L531)="X",UPPER(L532)="X",UPPER(L533)="X"),(IF(OR(L529="X",L529="x",AND(COUNTA(J529,K529,M529,N529)&gt;0,(LEN(SUBSTITUTE(SUBSTITUTE(SUBSTITUTE(J529," ",""),"0",""),"-",""))+LEN(SUBSTITUTE(SUBSTITUTE(SUBSTITUTE(K529," ",""),"0",""),"-","")))=(LEN(SUBSTITUTE(SUBSTITUTE(SUBSTITUTE(M529," ",""),"0",""),"-",""))+LEN(SUBSTITUTE(SUBSTITUTE(SUBSTITUTE(N529," ",""),"0",""),"-",""))))),1,0)+IF(OR(L530="X",L530="x",AND(COUNTA(J530,K530,M530,N530)&gt;0,(LEN(SUBSTITUTE(SUBSTITUTE(SUBSTITUTE(J530," ",""),"0",""),"-",""))+LEN(SUBSTITUTE(SUBSTITUTE(SUBSTITUTE(K530," ",""),"0",""),"-","")))=(LEN(SUBSTITUTE(SUBSTITUTE(SUBSTITUTE(M530," ",""),"0",""),"-",""))+LEN(SUBSTITUTE(SUBSTITUTE(SUBSTITUTE(N530," ",""),"0",""),"-",""))))),1,0)+IF(OR(L531="X",L531="x",AND(COUNTA(J531,K531,M531,N531)&gt;0,(LEN(SUBSTITUTE(SUBSTITUTE(SUBSTITUTE(J531," ",""),"0",""),"-",""))+LEN(SUBSTITUTE(SUBSTITUTE(SUBSTITUTE(K531," ",""),"0",""),"-","")))=(LEN(SUBSTITUTE(SUBSTITUTE(SUBSTITUTE(M531," ",""),"0",""),"-",""))+LEN(SUBSTITUTE(SUBSTITUTE(SUBSTITUTE(N531," ",""),"0",""),"-",""))))),1,0)+IF(OR(L532="X",L532="x",AND(COUNTA(J532,K532,M532,N532)&gt;0,(LEN(SUBSTITUTE(SUBSTITUTE(SUBSTITUTE(J532," ",""),"0",""),"-",""))+LEN(SUBSTITUTE(SUBSTITUTE(SUBSTITUTE(K532," ",""),"0",""),"-","")))=(LEN(SUBSTITUTE(SUBSTITUTE(SUBSTITUTE(M532," ",""),"0",""),"-",""))+LEN(SUBSTITUTE(SUBSTITUTE(SUBSTITUTE(N532," ",""),"0",""),"-",""))))),1,0)+IF(OR(L533="X",L533="x",AND(COUNTA(J533,K533,M533,N533)&gt;0,(LEN(SUBSTITUTE(SUBSTITUTE(SUBSTITUTE(J533," ",""),"0",""),"-",""))+LEN(SUBSTITUTE(SUBSTITUTE(SUBSTITUTE(K533," ",""),"0",""),"-","")))=(LEN(SUBSTITUTE(SUBSTITUTE(SUBSTITUTE(M533," ",""),"0",""),"-",""))+LEN(SUBSTITUTE(SUBSTITUTE(SUBSTITUTE(N533," ",""),"0",""),"-",""))))),1,0)),0)+IF(OR(COUNTA(J537:K541,M537:N541)&gt;0,OR(L536="X",L536="x"),UPPER(L537)="X",UPPER(L538)="X",UPPER(L539)="X",UPPER(L540)="X",UPPER(L541)="X"),(IF(OR(L537="X",L537="x",AND(COUNTA(J537,K537,M537,N537)&gt;0,(LEN(SUBSTITUTE(SUBSTITUTE(SUBSTITUTE(J537," ",""),"0",""),"-",""))+LEN(SUBSTITUTE(SUBSTITUTE(SUBSTITUTE(K537," ",""),"0",""),"-","")))=(LEN(SUBSTITUTE(SUBSTITUTE(SUBSTITUTE(M537," ",""),"0",""),"-",""))+LEN(SUBSTITUTE(SUBSTITUTE(SUBSTITUTE(N537," ",""),"0",""),"-",""))))),1,0)+IF(OR(L538="X",L538="x",AND(COUNTA(J538,K538,M538,N538)&gt;0,(LEN(SUBSTITUTE(SUBSTITUTE(SUBSTITUTE(J538," ",""),"0",""),"-",""))+LEN(SUBSTITUTE(SUBSTITUTE(SUBSTITUTE(K538," ",""),"0",""),"-","")))=(LEN(SUBSTITUTE(SUBSTITUTE(SUBSTITUTE(M538," ",""),"0",""),"-",""))+LEN(SUBSTITUTE(SUBSTITUTE(SUBSTITUTE(N538," ",""),"0",""),"-",""))))),1,0)+IF(OR(L539="X",L539="x",AND(COUNTA(J539,K539,M539,N539)&gt;0,(LEN(SUBSTITUTE(SUBSTITUTE(SUBSTITUTE(J539," ",""),"0",""),"-",""))+LEN(SUBSTITUTE(SUBSTITUTE(SUBSTITUTE(K539," ",""),"0",""),"-","")))=(LEN(SUBSTITUTE(SUBSTITUTE(SUBSTITUTE(M539," ",""),"0",""),"-",""))+LEN(SUBSTITUTE(SUBSTITUTE(SUBSTITUTE(N539," ",""),"0",""),"-",""))))),1,0)+IF(OR(L540="X",L540="x",AND(COUNTA(J540,K540,M540,N540)&gt;0,(LEN(SUBSTITUTE(SUBSTITUTE(SUBSTITUTE(J540," ",""),"0",""),"-",""))+LEN(SUBSTITUTE(SUBSTITUTE(SUBSTITUTE(K540," ",""),"0",""),"-","")))=(LEN(SUBSTITUTE(SUBSTITUTE(SUBSTITUTE(M540," ",""),"0",""),"-",""))+LEN(SUBSTITUTE(SUBSTITUTE(SUBSTITUTE(N540," ",""),"0",""),"-",""))))),1,0)+IF(OR(L541="X",L541="x",AND(COUNTA(J541,K541,M541,N541)&gt;0,(LEN(SUBSTITUTE(SUBSTITUTE(SUBSTITUTE(J541," ",""),"0",""),"-",""))+LEN(SUBSTITUTE(SUBSTITUTE(SUBSTITUTE(K541," ",""),"0",""),"-","")))=(LEN(SUBSTITUTE(SUBSTITUTE(SUBSTITUTE(M541," ",""),"0",""),"-",""))+LEN(SUBSTITUTE(SUBSTITUTE(SUBSTITUTE(N541," ",""),"0",""),"-",""))))),1,0)),0)</f>
      </c>
      <c r="M552" s="14" t="str">
        <f>K528+K536</f>
      </c>
      <c r="N552" s="14" t="str">
        <f>M528+M536</f>
      </c>
    </row>
    <row r="555">
      <c r="F555" s="13"/>
      <c r="G555" s="13" t="s">
        <v>344</v>
      </c>
      <c r="N555" s="13"/>
      <c r="O555" s="13" t="s">
        <v>344</v>
      </c>
    </row>
    <row r="556">
      <c r="F556" t="s">
        <v>345</v>
      </c>
      <c r="G556" s="19" t="str">
        <f>IFERROR(INDEX($A$545:$A$552, MATCH(1, $G$545:$G$552, 0)), "-")</f>
      </c>
      <c r="N556" t="s">
        <v>345</v>
      </c>
      <c r="O556" s="19" t="str">
        <f>IFERROR(INDEX($I$545:$I$552, MATCH(1, $O$545:$O$552, 0)), "-")</f>
      </c>
    </row>
    <row r="557">
      <c r="F557" t="s">
        <v>346</v>
      </c>
      <c r="G557" s="19" t="str">
        <f>IFERROR(INDEX($A$545:$A$552, MATCH(2, $G$545:$G$552, 0)), "-")</f>
      </c>
      <c r="N557" t="s">
        <v>346</v>
      </c>
      <c r="O557" s="19" t="str">
        <f>IFERROR(INDEX($I$545:$I$552, MATCH(2, $O$545:$O$552, 0)), "-")</f>
      </c>
    </row>
    <row r="558">
      <c r="F558" t="s">
        <v>347</v>
      </c>
      <c r="G558" s="19" t="str">
        <f>IFERROR(INDEX($A$545:$A$552, MATCH(3, $G$545:$G$552, 0)), "-")</f>
      </c>
      <c r="N558" t="s">
        <v>347</v>
      </c>
      <c r="O558" s="19" t="str">
        <f>IFERROR(INDEX($I$545:$I$552, MATCH(3, $O$545:$O$552, 0)), "-")</f>
      </c>
    </row>
    <row r="561">
      <c r="A561" s="13" t="str">
        <f>'data'!$A$44</f>
      </c>
      <c r="B561" s="13"/>
      <c r="C561" s="13"/>
      <c r="D561" s="13"/>
      <c r="E561" s="13"/>
      <c r="F561" s="13"/>
      <c r="G561" s="13"/>
      <c r="I561" s="13" t="str">
        <f>'data'!$A$91</f>
      </c>
      <c r="J561" s="13"/>
      <c r="K561" s="13"/>
      <c r="L561" s="13"/>
      <c r="M561" s="13"/>
      <c r="N561" s="13"/>
      <c r="O561" s="13"/>
    </row>
    <row r="562">
      <c r="A562" s="17" t="s">
        <v>331</v>
      </c>
      <c r="B562" s="14"/>
      <c r="C562" s="14"/>
      <c r="D562" s="14" t="s">
        <v>332</v>
      </c>
      <c r="E562" s="14"/>
      <c r="F562" s="14"/>
      <c r="G562" s="16" t="s">
        <v>333</v>
      </c>
      <c r="I562" s="17" t="s">
        <v>331</v>
      </c>
      <c r="J562" s="14"/>
      <c r="K562" s="14"/>
      <c r="L562" s="14" t="s">
        <v>332</v>
      </c>
      <c r="M562" s="14"/>
      <c r="N562" s="14"/>
      <c r="O562" s="16" t="s">
        <v>333</v>
      </c>
    </row>
    <row r="563">
      <c r="A563" s="14" t="str">
        <f>data!$E$43&amp;" "&amp;data!$B$43</f>
      </c>
      <c r="B563" s="14" t="str">
        <f>IF(UPPER(D564)="X",0,IF((LEN(SUBSTITUTE(SUBSTITUTE(SUBSTITUTE(B564," ",""),"0",""),"-",""))+LEN(SUBSTITUTE(SUBSTITUTE(SUBSTITUTE(C564," ",""),"0",""),"-","")))&gt;(LEN(SUBSTITUTE(SUBSTITUTE(SUBSTITUTE(E564," ",""),"0",""),"-",""))+LEN(SUBSTITUTE(SUBSTITUTE(SUBSTITUTE(F564," ",""),"0",""),"-",""))),1,0))+IF(UPPER(D565)="X",0,IF((LEN(SUBSTITUTE(SUBSTITUTE(SUBSTITUTE(B565," ",""),"0",""),"-",""))+LEN(SUBSTITUTE(SUBSTITUTE(SUBSTITUTE(C565," ",""),"0",""),"-","")))&gt;(LEN(SUBSTITUTE(SUBSTITUTE(SUBSTITUTE(E565," ",""),"0",""),"-",""))+LEN(SUBSTITUTE(SUBSTITUTE(SUBSTITUTE(F565," ",""),"0",""),"-",""))),1,0))+IF(UPPER(D566)="X",0,IF((LEN(SUBSTITUTE(SUBSTITUTE(SUBSTITUTE(B566," ",""),"0",""),"-",""))+LEN(SUBSTITUTE(SUBSTITUTE(SUBSTITUTE(C566," ",""),"0",""),"-","")))&gt;(LEN(SUBSTITUTE(SUBSTITUTE(SUBSTITUTE(E566," ",""),"0",""),"-",""))+LEN(SUBSTITUTE(SUBSTITUTE(SUBSTITUTE(F566," ",""),"0",""),"-",""))),1,0))+IF(UPPER(D567)="X",0,IF((LEN(SUBSTITUTE(SUBSTITUTE(SUBSTITUTE(B567," ",""),"0",""),"-",""))+LEN(SUBSTITUTE(SUBSTITUTE(SUBSTITUTE(C567," ",""),"0",""),"-","")))&gt;(LEN(SUBSTITUTE(SUBSTITUTE(SUBSTITUTE(E567," ",""),"0",""),"-",""))+LEN(SUBSTITUTE(SUBSTITUTE(SUBSTITUTE(F567," ",""),"0",""),"-",""))),1,0))+IF(UPPER(D568)="X",0,IF((LEN(SUBSTITUTE(SUBSTITUTE(SUBSTITUTE(B568," ",""),"0",""),"-",""))+LEN(SUBSTITUTE(SUBSTITUTE(SUBSTITUTE(C568," ",""),"0",""),"-","")))&gt;(LEN(SUBSTITUTE(SUBSTITUTE(SUBSTITUTE(E568," ",""),"0",""),"-",""))+LEN(SUBSTITUTE(SUBSTITUTE(SUBSTITUTE(F568," ",""),"0",""),"-",""))),1,0))</f>
      </c>
      <c r="C563" s="14" t="str">
        <f>LEN(SUBSTITUTE(SUBSTITUTE(SUBSTITUTE(B564," ",""),"0",""),"-",""))+LEN(SUBSTITUTE(SUBSTITUTE(SUBSTITUTE(C564," ",""),"0",""),"-",""))+LEN(SUBSTITUTE(SUBSTITUTE(SUBSTITUTE(B565," ",""),"0",""),"-",""))+LEN(SUBSTITUTE(SUBSTITUTE(SUBSTITUTE(C565," ",""),"0",""),"-",""))+LEN(SUBSTITUTE(SUBSTITUTE(SUBSTITUTE(B566," ",""),"0",""),"-",""))+LEN(SUBSTITUTE(SUBSTITUTE(SUBSTITUTE(C566," ",""),"0",""),"-",""))+LEN(SUBSTITUTE(SUBSTITUTE(SUBSTITUTE(B567," ",""),"0",""),"-",""))+LEN(SUBSTITUTE(SUBSTITUTE(SUBSTITUTE(C567," ",""),"0",""),"-",""))+LEN(SUBSTITUTE(SUBSTITUTE(SUBSTITUTE(B568," ",""),"0",""),"-",""))+LEN(SUBSTITUTE(SUBSTITUTE(SUBSTITUTE(C568," ",""),"0",""),"-",""))</f>
      </c>
      <c r="D563" s="18"/>
      <c r="E563" s="14" t="str">
        <f>LEN(SUBSTITUTE(SUBSTITUTE(SUBSTITUTE(E564," ",""),"0",""),"-",""))+LEN(SUBSTITUTE(SUBSTITUTE(SUBSTITUTE(F564," ",""),"0",""),"-",""))+LEN(SUBSTITUTE(SUBSTITUTE(SUBSTITUTE(E565," ",""),"0",""),"-",""))+LEN(SUBSTITUTE(SUBSTITUTE(SUBSTITUTE(F565," ",""),"0",""),"-",""))+LEN(SUBSTITUTE(SUBSTITUTE(SUBSTITUTE(E566," ",""),"0",""),"-",""))+LEN(SUBSTITUTE(SUBSTITUTE(SUBSTITUTE(F566," ",""),"0",""),"-",""))+LEN(SUBSTITUTE(SUBSTITUTE(SUBSTITUTE(E567," ",""),"0",""),"-",""))+LEN(SUBSTITUTE(SUBSTITUTE(SUBSTITUTE(F567," ",""),"0",""),"-",""))+LEN(SUBSTITUTE(SUBSTITUTE(SUBSTITUTE(E568," ",""),"0",""),"-",""))+LEN(SUBSTITUTE(SUBSTITUTE(SUBSTITUTE(F568," ",""),"0",""),"-",""))</f>
      </c>
      <c r="F563" s="14" t="str">
        <f>IF(UPPER(D564)="X",0,IF((LEN(SUBSTITUTE(SUBSTITUTE(SUBSTITUTE(E564," ",""),"0",""),"-",""))+LEN(SUBSTITUTE(SUBSTITUTE(SUBSTITUTE(F564," ",""),"0",""),"-","")))&gt;(LEN(SUBSTITUTE(SUBSTITUTE(SUBSTITUTE(B564," ",""),"0",""),"-",""))+LEN(SUBSTITUTE(SUBSTITUTE(SUBSTITUTE(C564," ",""),"0",""),"-",""))),1,0))+IF(UPPER(D565)="X",0,IF((LEN(SUBSTITUTE(SUBSTITUTE(SUBSTITUTE(E565," ",""),"0",""),"-",""))+LEN(SUBSTITUTE(SUBSTITUTE(SUBSTITUTE(F565," ",""),"0",""),"-","")))&gt;(LEN(SUBSTITUTE(SUBSTITUTE(SUBSTITUTE(B565," ",""),"0",""),"-",""))+LEN(SUBSTITUTE(SUBSTITUTE(SUBSTITUTE(C565," ",""),"0",""),"-",""))),1,0))+IF(UPPER(D566)="X",0,IF((LEN(SUBSTITUTE(SUBSTITUTE(SUBSTITUTE(E566," ",""),"0",""),"-",""))+LEN(SUBSTITUTE(SUBSTITUTE(SUBSTITUTE(F566," ",""),"0",""),"-","")))&gt;(LEN(SUBSTITUTE(SUBSTITUTE(SUBSTITUTE(B566," ",""),"0",""),"-",""))+LEN(SUBSTITUTE(SUBSTITUTE(SUBSTITUTE(C566," ",""),"0",""),"-",""))),1,0))+IF(UPPER(D567)="X",0,IF((LEN(SUBSTITUTE(SUBSTITUTE(SUBSTITUTE(E567," ",""),"0",""),"-",""))+LEN(SUBSTITUTE(SUBSTITUTE(SUBSTITUTE(F567," ",""),"0",""),"-","")))&gt;(LEN(SUBSTITUTE(SUBSTITUTE(SUBSTITUTE(B567," ",""),"0",""),"-",""))+LEN(SUBSTITUTE(SUBSTITUTE(SUBSTITUTE(C567," ",""),"0",""),"-",""))),1,0))+IF(UPPER(D568)="X",0,IF((LEN(SUBSTITUTE(SUBSTITUTE(SUBSTITUTE(E568," ",""),"0",""),"-",""))+LEN(SUBSTITUTE(SUBSTITUTE(SUBSTITUTE(F568," ",""),"0",""),"-","")))&gt;(LEN(SUBSTITUTE(SUBSTITUTE(SUBSTITUTE(B568," ",""),"0",""),"-",""))+LEN(SUBSTITUTE(SUBSTITUTE(SUBSTITUTE(C568," ",""),"0",""),"-",""))),1,0))</f>
      </c>
      <c r="G563" s="14" t="str">
        <f>data!$E$42&amp;" "&amp;data!$B$42</f>
      </c>
      <c r="I563" s="14" t="str">
        <f>data!$E$90&amp;" "&amp;data!$B$90</f>
      </c>
      <c r="J563" s="14" t="str">
        <f>IF(UPPER(L564)="X",0,IF((LEN(SUBSTITUTE(SUBSTITUTE(SUBSTITUTE(J564," ",""),"0",""),"-",""))+LEN(SUBSTITUTE(SUBSTITUTE(SUBSTITUTE(K564," ",""),"0",""),"-","")))&gt;(LEN(SUBSTITUTE(SUBSTITUTE(SUBSTITUTE(M564," ",""),"0",""),"-",""))+LEN(SUBSTITUTE(SUBSTITUTE(SUBSTITUTE(N564," ",""),"0",""),"-",""))),1,0))+IF(UPPER(L565)="X",0,IF((LEN(SUBSTITUTE(SUBSTITUTE(SUBSTITUTE(J565," ",""),"0",""),"-",""))+LEN(SUBSTITUTE(SUBSTITUTE(SUBSTITUTE(K565," ",""),"0",""),"-","")))&gt;(LEN(SUBSTITUTE(SUBSTITUTE(SUBSTITUTE(M565," ",""),"0",""),"-",""))+LEN(SUBSTITUTE(SUBSTITUTE(SUBSTITUTE(N565," ",""),"0",""),"-",""))),1,0))+IF(UPPER(L566)="X",0,IF((LEN(SUBSTITUTE(SUBSTITUTE(SUBSTITUTE(J566," ",""),"0",""),"-",""))+LEN(SUBSTITUTE(SUBSTITUTE(SUBSTITUTE(K566," ",""),"0",""),"-","")))&gt;(LEN(SUBSTITUTE(SUBSTITUTE(SUBSTITUTE(M566," ",""),"0",""),"-",""))+LEN(SUBSTITUTE(SUBSTITUTE(SUBSTITUTE(N566," ",""),"0",""),"-",""))),1,0))+IF(UPPER(L567)="X",0,IF((LEN(SUBSTITUTE(SUBSTITUTE(SUBSTITUTE(J567," ",""),"0",""),"-",""))+LEN(SUBSTITUTE(SUBSTITUTE(SUBSTITUTE(K567," ",""),"0",""),"-","")))&gt;(LEN(SUBSTITUTE(SUBSTITUTE(SUBSTITUTE(M567," ",""),"0",""),"-",""))+LEN(SUBSTITUTE(SUBSTITUTE(SUBSTITUTE(N567," ",""),"0",""),"-",""))),1,0))+IF(UPPER(L568)="X",0,IF((LEN(SUBSTITUTE(SUBSTITUTE(SUBSTITUTE(J568," ",""),"0",""),"-",""))+LEN(SUBSTITUTE(SUBSTITUTE(SUBSTITUTE(K568," ",""),"0",""),"-","")))&gt;(LEN(SUBSTITUTE(SUBSTITUTE(SUBSTITUTE(M568," ",""),"0",""),"-",""))+LEN(SUBSTITUTE(SUBSTITUTE(SUBSTITUTE(N568," ",""),"0",""),"-",""))),1,0))</f>
      </c>
      <c r="K563" s="14" t="str">
        <f>LEN(SUBSTITUTE(SUBSTITUTE(SUBSTITUTE(J564," ",""),"0",""),"-",""))+LEN(SUBSTITUTE(SUBSTITUTE(SUBSTITUTE(K564," ",""),"0",""),"-",""))+LEN(SUBSTITUTE(SUBSTITUTE(SUBSTITUTE(J565," ",""),"0",""),"-",""))+LEN(SUBSTITUTE(SUBSTITUTE(SUBSTITUTE(K565," ",""),"0",""),"-",""))+LEN(SUBSTITUTE(SUBSTITUTE(SUBSTITUTE(J566," ",""),"0",""),"-",""))+LEN(SUBSTITUTE(SUBSTITUTE(SUBSTITUTE(K566," ",""),"0",""),"-",""))+LEN(SUBSTITUTE(SUBSTITUTE(SUBSTITUTE(J567," ",""),"0",""),"-",""))+LEN(SUBSTITUTE(SUBSTITUTE(SUBSTITUTE(K567," ",""),"0",""),"-",""))+LEN(SUBSTITUTE(SUBSTITUTE(SUBSTITUTE(J568," ",""),"0",""),"-",""))+LEN(SUBSTITUTE(SUBSTITUTE(SUBSTITUTE(K568," ",""),"0",""),"-",""))</f>
      </c>
      <c r="L563" s="18"/>
      <c r="M563" s="14" t="str">
        <f>LEN(SUBSTITUTE(SUBSTITUTE(SUBSTITUTE(M564," ",""),"0",""),"-",""))+LEN(SUBSTITUTE(SUBSTITUTE(SUBSTITUTE(N564," ",""),"0",""),"-",""))+LEN(SUBSTITUTE(SUBSTITUTE(SUBSTITUTE(M565," ",""),"0",""),"-",""))+LEN(SUBSTITUTE(SUBSTITUTE(SUBSTITUTE(N565," ",""),"0",""),"-",""))+LEN(SUBSTITUTE(SUBSTITUTE(SUBSTITUTE(M566," ",""),"0",""),"-",""))+LEN(SUBSTITUTE(SUBSTITUTE(SUBSTITUTE(N566," ",""),"0",""),"-",""))+LEN(SUBSTITUTE(SUBSTITUTE(SUBSTITUTE(M567," ",""),"0",""),"-",""))+LEN(SUBSTITUTE(SUBSTITUTE(SUBSTITUTE(N567," ",""),"0",""),"-",""))+LEN(SUBSTITUTE(SUBSTITUTE(SUBSTITUTE(M568," ",""),"0",""),"-",""))+LEN(SUBSTITUTE(SUBSTITUTE(SUBSTITUTE(N568," ",""),"0",""),"-",""))</f>
      </c>
      <c r="N563" s="14" t="str">
        <f>IF(UPPER(L564)="X",0,IF((LEN(SUBSTITUTE(SUBSTITUTE(SUBSTITUTE(M564," ",""),"0",""),"-",""))+LEN(SUBSTITUTE(SUBSTITUTE(SUBSTITUTE(N564," ",""),"0",""),"-","")))&gt;(LEN(SUBSTITUTE(SUBSTITUTE(SUBSTITUTE(J564," ",""),"0",""),"-",""))+LEN(SUBSTITUTE(SUBSTITUTE(SUBSTITUTE(K564," ",""),"0",""),"-",""))),1,0))+IF(UPPER(L565)="X",0,IF((LEN(SUBSTITUTE(SUBSTITUTE(SUBSTITUTE(M565," ",""),"0",""),"-",""))+LEN(SUBSTITUTE(SUBSTITUTE(SUBSTITUTE(N565," ",""),"0",""),"-","")))&gt;(LEN(SUBSTITUTE(SUBSTITUTE(SUBSTITUTE(J565," ",""),"0",""),"-",""))+LEN(SUBSTITUTE(SUBSTITUTE(SUBSTITUTE(K565," ",""),"0",""),"-",""))),1,0))+IF(UPPER(L566)="X",0,IF((LEN(SUBSTITUTE(SUBSTITUTE(SUBSTITUTE(M566," ",""),"0",""),"-",""))+LEN(SUBSTITUTE(SUBSTITUTE(SUBSTITUTE(N566," ",""),"0",""),"-","")))&gt;(LEN(SUBSTITUTE(SUBSTITUTE(SUBSTITUTE(J566," ",""),"0",""),"-",""))+LEN(SUBSTITUTE(SUBSTITUTE(SUBSTITUTE(K566," ",""),"0",""),"-",""))),1,0))+IF(UPPER(L567)="X",0,IF((LEN(SUBSTITUTE(SUBSTITUTE(SUBSTITUTE(M567," ",""),"0",""),"-",""))+LEN(SUBSTITUTE(SUBSTITUTE(SUBSTITUTE(N567," ",""),"0",""),"-","")))&gt;(LEN(SUBSTITUTE(SUBSTITUTE(SUBSTITUTE(J567," ",""),"0",""),"-",""))+LEN(SUBSTITUTE(SUBSTITUTE(SUBSTITUTE(K567," ",""),"0",""),"-",""))),1,0))+IF(UPPER(L568)="X",0,IF((LEN(SUBSTITUTE(SUBSTITUTE(SUBSTITUTE(M568," ",""),"0",""),"-",""))+LEN(SUBSTITUTE(SUBSTITUTE(SUBSTITUTE(N568," ",""),"0",""),"-","")))&gt;(LEN(SUBSTITUTE(SUBSTITUTE(SUBSTITUTE(J568," ",""),"0",""),"-",""))+LEN(SUBSTITUTE(SUBSTITUTE(SUBSTITUTE(K568," ",""),"0",""),"-",""))),1,0))</f>
      </c>
      <c r="O563" s="14" t="str">
        <f>data!$E$89&amp;" "&amp;data!$B$89</f>
      </c>
    </row>
    <row r="564">
      <c r="A564" s="14">
        <v>1</v>
      </c>
      <c r="B564" s="18"/>
      <c r="C564" s="18"/>
      <c r="D564" s="18"/>
      <c r="E564" s="18"/>
      <c r="F564" s="18"/>
      <c r="G564" s="14">
        <v>1</v>
      </c>
      <c r="I564" s="14">
        <v>1</v>
      </c>
      <c r="J564" s="18"/>
      <c r="K564" s="18"/>
      <c r="L564" s="18"/>
      <c r="M564" s="18"/>
      <c r="N564" s="18"/>
      <c r="O564" s="14">
        <v>1</v>
      </c>
    </row>
    <row r="565">
      <c r="A565" s="14">
        <v>2</v>
      </c>
      <c r="B565" s="18"/>
      <c r="C565" s="18"/>
      <c r="D565" s="18"/>
      <c r="E565" s="18"/>
      <c r="F565" s="18"/>
      <c r="G565" s="14">
        <v>2</v>
      </c>
      <c r="I565" s="14">
        <v>2</v>
      </c>
      <c r="J565" s="18"/>
      <c r="K565" s="18"/>
      <c r="L565" s="18"/>
      <c r="M565" s="18"/>
      <c r="N565" s="18"/>
      <c r="O565" s="14">
        <v>2</v>
      </c>
    </row>
    <row r="566">
      <c r="A566" s="14">
        <v>3</v>
      </c>
      <c r="B566" s="18"/>
      <c r="C566" s="18"/>
      <c r="D566" s="18"/>
      <c r="E566" s="18"/>
      <c r="F566" s="18"/>
      <c r="G566" s="14">
        <v>3</v>
      </c>
      <c r="I566" s="14">
        <v>3</v>
      </c>
      <c r="J566" s="18"/>
      <c r="K566" s="18"/>
      <c r="L566" s="18"/>
      <c r="M566" s="18"/>
      <c r="N566" s="18"/>
      <c r="O566" s="14">
        <v>3</v>
      </c>
    </row>
    <row r="567">
      <c r="A567" s="14">
        <v>4</v>
      </c>
      <c r="B567" s="18"/>
      <c r="C567" s="18"/>
      <c r="D567" s="18"/>
      <c r="E567" s="18"/>
      <c r="F567" s="18"/>
      <c r="G567" s="14">
        <v>4</v>
      </c>
      <c r="I567" s="14">
        <v>4</v>
      </c>
      <c r="J567" s="18"/>
      <c r="K567" s="18"/>
      <c r="L567" s="18"/>
      <c r="M567" s="18"/>
      <c r="N567" s="18"/>
      <c r="O567" s="14">
        <v>4</v>
      </c>
    </row>
    <row r="568">
      <c r="A568" s="14">
        <v>5</v>
      </c>
      <c r="B568" s="18"/>
      <c r="C568" s="18"/>
      <c r="D568" s="18"/>
      <c r="E568" s="18"/>
      <c r="F568" s="18"/>
      <c r="G568" s="14">
        <v>5</v>
      </c>
      <c r="I568" s="14">
        <v>5</v>
      </c>
      <c r="J568" s="18"/>
      <c r="K568" s="18"/>
      <c r="L568" s="18"/>
      <c r="M568" s="18"/>
      <c r="N568" s="18"/>
      <c r="O568" s="14">
        <v>5</v>
      </c>
    </row>
    <row r="570">
      <c r="A570" s="17" t="s">
        <v>331</v>
      </c>
      <c r="B570" s="14"/>
      <c r="C570" s="14"/>
      <c r="D570" s="14" t="s">
        <v>332</v>
      </c>
      <c r="E570" s="14"/>
      <c r="F570" s="14"/>
      <c r="G570" s="16" t="s">
        <v>333</v>
      </c>
      <c r="I570" s="17" t="s">
        <v>331</v>
      </c>
      <c r="J570" s="14"/>
      <c r="K570" s="14"/>
      <c r="L570" s="14" t="s">
        <v>332</v>
      </c>
      <c r="M570" s="14"/>
      <c r="N570" s="14"/>
      <c r="O570" s="16" t="s">
        <v>333</v>
      </c>
    </row>
    <row r="571">
      <c r="A571" s="14" t="str">
        <f>data!$E$44&amp;" "&amp;data!$B$44</f>
      </c>
      <c r="B571" s="14" t="str">
        <f>IF(UPPER(D572)="X",0,IF((LEN(SUBSTITUTE(SUBSTITUTE(SUBSTITUTE(B572," ",""),"0",""),"-",""))+LEN(SUBSTITUTE(SUBSTITUTE(SUBSTITUTE(C572," ",""),"0",""),"-","")))&gt;(LEN(SUBSTITUTE(SUBSTITUTE(SUBSTITUTE(E572," ",""),"0",""),"-",""))+LEN(SUBSTITUTE(SUBSTITUTE(SUBSTITUTE(F572," ",""),"0",""),"-",""))),1,0))+IF(UPPER(D573)="X",0,IF((LEN(SUBSTITUTE(SUBSTITUTE(SUBSTITUTE(B573," ",""),"0",""),"-",""))+LEN(SUBSTITUTE(SUBSTITUTE(SUBSTITUTE(C573," ",""),"0",""),"-","")))&gt;(LEN(SUBSTITUTE(SUBSTITUTE(SUBSTITUTE(E573," ",""),"0",""),"-",""))+LEN(SUBSTITUTE(SUBSTITUTE(SUBSTITUTE(F573," ",""),"0",""),"-",""))),1,0))+IF(UPPER(D574)="X",0,IF((LEN(SUBSTITUTE(SUBSTITUTE(SUBSTITUTE(B574," ",""),"0",""),"-",""))+LEN(SUBSTITUTE(SUBSTITUTE(SUBSTITUTE(C574," ",""),"0",""),"-","")))&gt;(LEN(SUBSTITUTE(SUBSTITUTE(SUBSTITUTE(E574," ",""),"0",""),"-",""))+LEN(SUBSTITUTE(SUBSTITUTE(SUBSTITUTE(F574," ",""),"0",""),"-",""))),1,0))+IF(UPPER(D575)="X",0,IF((LEN(SUBSTITUTE(SUBSTITUTE(SUBSTITUTE(B575," ",""),"0",""),"-",""))+LEN(SUBSTITUTE(SUBSTITUTE(SUBSTITUTE(C575," ",""),"0",""),"-","")))&gt;(LEN(SUBSTITUTE(SUBSTITUTE(SUBSTITUTE(E575," ",""),"0",""),"-",""))+LEN(SUBSTITUTE(SUBSTITUTE(SUBSTITUTE(F575," ",""),"0",""),"-",""))),1,0))+IF(UPPER(D576)="X",0,IF((LEN(SUBSTITUTE(SUBSTITUTE(SUBSTITUTE(B576," ",""),"0",""),"-",""))+LEN(SUBSTITUTE(SUBSTITUTE(SUBSTITUTE(C576," ",""),"0",""),"-","")))&gt;(LEN(SUBSTITUTE(SUBSTITUTE(SUBSTITUTE(E576," ",""),"0",""),"-",""))+LEN(SUBSTITUTE(SUBSTITUTE(SUBSTITUTE(F576," ",""),"0",""),"-",""))),1,0))</f>
      </c>
      <c r="C571" s="14" t="str">
        <f>LEN(SUBSTITUTE(SUBSTITUTE(SUBSTITUTE(B572," ",""),"0",""),"-",""))+LEN(SUBSTITUTE(SUBSTITUTE(SUBSTITUTE(C572," ",""),"0",""),"-",""))+LEN(SUBSTITUTE(SUBSTITUTE(SUBSTITUTE(B573," ",""),"0",""),"-",""))+LEN(SUBSTITUTE(SUBSTITUTE(SUBSTITUTE(C573," ",""),"0",""),"-",""))+LEN(SUBSTITUTE(SUBSTITUTE(SUBSTITUTE(B574," ",""),"0",""),"-",""))+LEN(SUBSTITUTE(SUBSTITUTE(SUBSTITUTE(C574," ",""),"0",""),"-",""))+LEN(SUBSTITUTE(SUBSTITUTE(SUBSTITUTE(B575," ",""),"0",""),"-",""))+LEN(SUBSTITUTE(SUBSTITUTE(SUBSTITUTE(C575," ",""),"0",""),"-",""))+LEN(SUBSTITUTE(SUBSTITUTE(SUBSTITUTE(B576," ",""),"0",""),"-",""))+LEN(SUBSTITUTE(SUBSTITUTE(SUBSTITUTE(C576," ",""),"0",""),"-",""))</f>
      </c>
      <c r="D571" s="18"/>
      <c r="E571" s="14" t="str">
        <f>LEN(SUBSTITUTE(SUBSTITUTE(SUBSTITUTE(E572," ",""),"0",""),"-",""))+LEN(SUBSTITUTE(SUBSTITUTE(SUBSTITUTE(F572," ",""),"0",""),"-",""))+LEN(SUBSTITUTE(SUBSTITUTE(SUBSTITUTE(E573," ",""),"0",""),"-",""))+LEN(SUBSTITUTE(SUBSTITUTE(SUBSTITUTE(F573," ",""),"0",""),"-",""))+LEN(SUBSTITUTE(SUBSTITUTE(SUBSTITUTE(E574," ",""),"0",""),"-",""))+LEN(SUBSTITUTE(SUBSTITUTE(SUBSTITUTE(F574," ",""),"0",""),"-",""))+LEN(SUBSTITUTE(SUBSTITUTE(SUBSTITUTE(E575," ",""),"0",""),"-",""))+LEN(SUBSTITUTE(SUBSTITUTE(SUBSTITUTE(F575," ",""),"0",""),"-",""))+LEN(SUBSTITUTE(SUBSTITUTE(SUBSTITUTE(E576," ",""),"0",""),"-",""))+LEN(SUBSTITUTE(SUBSTITUTE(SUBSTITUTE(F576," ",""),"0",""),"-",""))</f>
      </c>
      <c r="F571" s="14" t="str">
        <f>IF(UPPER(D572)="X",0,IF((LEN(SUBSTITUTE(SUBSTITUTE(SUBSTITUTE(E572," ",""),"0",""),"-",""))+LEN(SUBSTITUTE(SUBSTITUTE(SUBSTITUTE(F572," ",""),"0",""),"-","")))&gt;(LEN(SUBSTITUTE(SUBSTITUTE(SUBSTITUTE(B572," ",""),"0",""),"-",""))+LEN(SUBSTITUTE(SUBSTITUTE(SUBSTITUTE(C572," ",""),"0",""),"-",""))),1,0))+IF(UPPER(D573)="X",0,IF((LEN(SUBSTITUTE(SUBSTITUTE(SUBSTITUTE(E573," ",""),"0",""),"-",""))+LEN(SUBSTITUTE(SUBSTITUTE(SUBSTITUTE(F573," ",""),"0",""),"-","")))&gt;(LEN(SUBSTITUTE(SUBSTITUTE(SUBSTITUTE(B573," ",""),"0",""),"-",""))+LEN(SUBSTITUTE(SUBSTITUTE(SUBSTITUTE(C573," ",""),"0",""),"-",""))),1,0))+IF(UPPER(D574)="X",0,IF((LEN(SUBSTITUTE(SUBSTITUTE(SUBSTITUTE(E574," ",""),"0",""),"-",""))+LEN(SUBSTITUTE(SUBSTITUTE(SUBSTITUTE(F574," ",""),"0",""),"-","")))&gt;(LEN(SUBSTITUTE(SUBSTITUTE(SUBSTITUTE(B574," ",""),"0",""),"-",""))+LEN(SUBSTITUTE(SUBSTITUTE(SUBSTITUTE(C574," ",""),"0",""),"-",""))),1,0))+IF(UPPER(D575)="X",0,IF((LEN(SUBSTITUTE(SUBSTITUTE(SUBSTITUTE(E575," ",""),"0",""),"-",""))+LEN(SUBSTITUTE(SUBSTITUTE(SUBSTITUTE(F575," ",""),"0",""),"-","")))&gt;(LEN(SUBSTITUTE(SUBSTITUTE(SUBSTITUTE(B575," ",""),"0",""),"-",""))+LEN(SUBSTITUTE(SUBSTITUTE(SUBSTITUTE(C575," ",""),"0",""),"-",""))),1,0))+IF(UPPER(D576)="X",0,IF((LEN(SUBSTITUTE(SUBSTITUTE(SUBSTITUTE(E576," ",""),"0",""),"-",""))+LEN(SUBSTITUTE(SUBSTITUTE(SUBSTITUTE(F576," ",""),"0",""),"-","")))&gt;(LEN(SUBSTITUTE(SUBSTITUTE(SUBSTITUTE(B576," ",""),"0",""),"-",""))+LEN(SUBSTITUTE(SUBSTITUTE(SUBSTITUTE(C576," ",""),"0",""),"-",""))),1,0))</f>
      </c>
      <c r="G571" s="14" t="str">
        <f>data!$E$42&amp;" "&amp;data!$B$42</f>
      </c>
      <c r="I571" s="14" t="str">
        <f>data!$E$91&amp;" "&amp;data!$B$91</f>
      </c>
      <c r="J571" s="14" t="str">
        <f>IF(UPPER(L572)="X",0,IF((LEN(SUBSTITUTE(SUBSTITUTE(SUBSTITUTE(J572," ",""),"0",""),"-",""))+LEN(SUBSTITUTE(SUBSTITUTE(SUBSTITUTE(K572," ",""),"0",""),"-","")))&gt;(LEN(SUBSTITUTE(SUBSTITUTE(SUBSTITUTE(M572," ",""),"0",""),"-",""))+LEN(SUBSTITUTE(SUBSTITUTE(SUBSTITUTE(N572," ",""),"0",""),"-",""))),1,0))+IF(UPPER(L573)="X",0,IF((LEN(SUBSTITUTE(SUBSTITUTE(SUBSTITUTE(J573," ",""),"0",""),"-",""))+LEN(SUBSTITUTE(SUBSTITUTE(SUBSTITUTE(K573," ",""),"0",""),"-","")))&gt;(LEN(SUBSTITUTE(SUBSTITUTE(SUBSTITUTE(M573," ",""),"0",""),"-",""))+LEN(SUBSTITUTE(SUBSTITUTE(SUBSTITUTE(N573," ",""),"0",""),"-",""))),1,0))+IF(UPPER(L574)="X",0,IF((LEN(SUBSTITUTE(SUBSTITUTE(SUBSTITUTE(J574," ",""),"0",""),"-",""))+LEN(SUBSTITUTE(SUBSTITUTE(SUBSTITUTE(K574," ",""),"0",""),"-","")))&gt;(LEN(SUBSTITUTE(SUBSTITUTE(SUBSTITUTE(M574," ",""),"0",""),"-",""))+LEN(SUBSTITUTE(SUBSTITUTE(SUBSTITUTE(N574," ",""),"0",""),"-",""))),1,0))+IF(UPPER(L575)="X",0,IF((LEN(SUBSTITUTE(SUBSTITUTE(SUBSTITUTE(J575," ",""),"0",""),"-",""))+LEN(SUBSTITUTE(SUBSTITUTE(SUBSTITUTE(K575," ",""),"0",""),"-","")))&gt;(LEN(SUBSTITUTE(SUBSTITUTE(SUBSTITUTE(M575," ",""),"0",""),"-",""))+LEN(SUBSTITUTE(SUBSTITUTE(SUBSTITUTE(N575," ",""),"0",""),"-",""))),1,0))+IF(UPPER(L576)="X",0,IF((LEN(SUBSTITUTE(SUBSTITUTE(SUBSTITUTE(J576," ",""),"0",""),"-",""))+LEN(SUBSTITUTE(SUBSTITUTE(SUBSTITUTE(K576," ",""),"0",""),"-","")))&gt;(LEN(SUBSTITUTE(SUBSTITUTE(SUBSTITUTE(M576," ",""),"0",""),"-",""))+LEN(SUBSTITUTE(SUBSTITUTE(SUBSTITUTE(N576," ",""),"0",""),"-",""))),1,0))</f>
      </c>
      <c r="K571" s="14" t="str">
        <f>LEN(SUBSTITUTE(SUBSTITUTE(SUBSTITUTE(J572," ",""),"0",""),"-",""))+LEN(SUBSTITUTE(SUBSTITUTE(SUBSTITUTE(K572," ",""),"0",""),"-",""))+LEN(SUBSTITUTE(SUBSTITUTE(SUBSTITUTE(J573," ",""),"0",""),"-",""))+LEN(SUBSTITUTE(SUBSTITUTE(SUBSTITUTE(K573," ",""),"0",""),"-",""))+LEN(SUBSTITUTE(SUBSTITUTE(SUBSTITUTE(J574," ",""),"0",""),"-",""))+LEN(SUBSTITUTE(SUBSTITUTE(SUBSTITUTE(K574," ",""),"0",""),"-",""))+LEN(SUBSTITUTE(SUBSTITUTE(SUBSTITUTE(J575," ",""),"0",""),"-",""))+LEN(SUBSTITUTE(SUBSTITUTE(SUBSTITUTE(K575," ",""),"0",""),"-",""))+LEN(SUBSTITUTE(SUBSTITUTE(SUBSTITUTE(J576," ",""),"0",""),"-",""))+LEN(SUBSTITUTE(SUBSTITUTE(SUBSTITUTE(K576," ",""),"0",""),"-",""))</f>
      </c>
      <c r="L571" s="18"/>
      <c r="M571" s="14" t="str">
        <f>LEN(SUBSTITUTE(SUBSTITUTE(SUBSTITUTE(M572," ",""),"0",""),"-",""))+LEN(SUBSTITUTE(SUBSTITUTE(SUBSTITUTE(N572," ",""),"0",""),"-",""))+LEN(SUBSTITUTE(SUBSTITUTE(SUBSTITUTE(M573," ",""),"0",""),"-",""))+LEN(SUBSTITUTE(SUBSTITUTE(SUBSTITUTE(N573," ",""),"0",""),"-",""))+LEN(SUBSTITUTE(SUBSTITUTE(SUBSTITUTE(M574," ",""),"0",""),"-",""))+LEN(SUBSTITUTE(SUBSTITUTE(SUBSTITUTE(N574," ",""),"0",""),"-",""))+LEN(SUBSTITUTE(SUBSTITUTE(SUBSTITUTE(M575," ",""),"0",""),"-",""))+LEN(SUBSTITUTE(SUBSTITUTE(SUBSTITUTE(N575," ",""),"0",""),"-",""))+LEN(SUBSTITUTE(SUBSTITUTE(SUBSTITUTE(M576," ",""),"0",""),"-",""))+LEN(SUBSTITUTE(SUBSTITUTE(SUBSTITUTE(N576," ",""),"0",""),"-",""))</f>
      </c>
      <c r="N571" s="14" t="str">
        <f>IF(UPPER(L572)="X",0,IF((LEN(SUBSTITUTE(SUBSTITUTE(SUBSTITUTE(M572," ",""),"0",""),"-",""))+LEN(SUBSTITUTE(SUBSTITUTE(SUBSTITUTE(N572," ",""),"0",""),"-","")))&gt;(LEN(SUBSTITUTE(SUBSTITUTE(SUBSTITUTE(J572," ",""),"0",""),"-",""))+LEN(SUBSTITUTE(SUBSTITUTE(SUBSTITUTE(K572," ",""),"0",""),"-",""))),1,0))+IF(UPPER(L573)="X",0,IF((LEN(SUBSTITUTE(SUBSTITUTE(SUBSTITUTE(M573," ",""),"0",""),"-",""))+LEN(SUBSTITUTE(SUBSTITUTE(SUBSTITUTE(N573," ",""),"0",""),"-","")))&gt;(LEN(SUBSTITUTE(SUBSTITUTE(SUBSTITUTE(J573," ",""),"0",""),"-",""))+LEN(SUBSTITUTE(SUBSTITUTE(SUBSTITUTE(K573," ",""),"0",""),"-",""))),1,0))+IF(UPPER(L574)="X",0,IF((LEN(SUBSTITUTE(SUBSTITUTE(SUBSTITUTE(M574," ",""),"0",""),"-",""))+LEN(SUBSTITUTE(SUBSTITUTE(SUBSTITUTE(N574," ",""),"0",""),"-","")))&gt;(LEN(SUBSTITUTE(SUBSTITUTE(SUBSTITUTE(J574," ",""),"0",""),"-",""))+LEN(SUBSTITUTE(SUBSTITUTE(SUBSTITUTE(K574," ",""),"0",""),"-",""))),1,0))+IF(UPPER(L575)="X",0,IF((LEN(SUBSTITUTE(SUBSTITUTE(SUBSTITUTE(M575," ",""),"0",""),"-",""))+LEN(SUBSTITUTE(SUBSTITUTE(SUBSTITUTE(N575," ",""),"0",""),"-","")))&gt;(LEN(SUBSTITUTE(SUBSTITUTE(SUBSTITUTE(J575," ",""),"0",""),"-",""))+LEN(SUBSTITUTE(SUBSTITUTE(SUBSTITUTE(K575," ",""),"0",""),"-",""))),1,0))+IF(UPPER(L576)="X",0,IF((LEN(SUBSTITUTE(SUBSTITUTE(SUBSTITUTE(M576," ",""),"0",""),"-",""))+LEN(SUBSTITUTE(SUBSTITUTE(SUBSTITUTE(N576," ",""),"0",""),"-","")))&gt;(LEN(SUBSTITUTE(SUBSTITUTE(SUBSTITUTE(J576," ",""),"0",""),"-",""))+LEN(SUBSTITUTE(SUBSTITUTE(SUBSTITUTE(K576," ",""),"0",""),"-",""))),1,0))</f>
      </c>
      <c r="O571" s="14" t="str">
        <f>data!$E$89&amp;" "&amp;data!$B$89</f>
      </c>
    </row>
    <row r="572">
      <c r="A572" s="14">
        <v>1</v>
      </c>
      <c r="B572" s="18"/>
      <c r="C572" s="18"/>
      <c r="D572" s="18"/>
      <c r="E572" s="18"/>
      <c r="F572" s="18"/>
      <c r="G572" s="14">
        <v>1</v>
      </c>
      <c r="I572" s="14">
        <v>1</v>
      </c>
      <c r="J572" s="18"/>
      <c r="K572" s="18"/>
      <c r="L572" s="18"/>
      <c r="M572" s="18"/>
      <c r="N572" s="18"/>
      <c r="O572" s="14">
        <v>1</v>
      </c>
    </row>
    <row r="573">
      <c r="A573" s="14">
        <v>2</v>
      </c>
      <c r="B573" s="18"/>
      <c r="C573" s="18"/>
      <c r="D573" s="18"/>
      <c r="E573" s="18"/>
      <c r="F573" s="18"/>
      <c r="G573" s="14">
        <v>2</v>
      </c>
      <c r="I573" s="14">
        <v>2</v>
      </c>
      <c r="J573" s="18"/>
      <c r="K573" s="18"/>
      <c r="L573" s="18"/>
      <c r="M573" s="18"/>
      <c r="N573" s="18"/>
      <c r="O573" s="14">
        <v>2</v>
      </c>
    </row>
    <row r="574">
      <c r="A574" s="14">
        <v>3</v>
      </c>
      <c r="B574" s="18"/>
      <c r="C574" s="18"/>
      <c r="D574" s="18"/>
      <c r="E574" s="18"/>
      <c r="F574" s="18"/>
      <c r="G574" s="14">
        <v>3</v>
      </c>
      <c r="I574" s="14">
        <v>3</v>
      </c>
      <c r="J574" s="18"/>
      <c r="K574" s="18"/>
      <c r="L574" s="18"/>
      <c r="M574" s="18"/>
      <c r="N574" s="18"/>
      <c r="O574" s="14">
        <v>3</v>
      </c>
    </row>
    <row r="575">
      <c r="A575" s="14">
        <v>4</v>
      </c>
      <c r="B575" s="18"/>
      <c r="C575" s="18"/>
      <c r="D575" s="18"/>
      <c r="E575" s="18"/>
      <c r="F575" s="18"/>
      <c r="G575" s="14">
        <v>4</v>
      </c>
      <c r="I575" s="14">
        <v>4</v>
      </c>
      <c r="J575" s="18"/>
      <c r="K575" s="18"/>
      <c r="L575" s="18"/>
      <c r="M575" s="18"/>
      <c r="N575" s="18"/>
      <c r="O575" s="14">
        <v>4</v>
      </c>
    </row>
    <row r="576">
      <c r="A576" s="14">
        <v>5</v>
      </c>
      <c r="B576" s="18"/>
      <c r="C576" s="18"/>
      <c r="D576" s="18"/>
      <c r="E576" s="18"/>
      <c r="F576" s="18"/>
      <c r="G576" s="14">
        <v>5</v>
      </c>
      <c r="I576" s="14">
        <v>5</v>
      </c>
      <c r="J576" s="18"/>
      <c r="K576" s="18"/>
      <c r="L576" s="18"/>
      <c r="M576" s="18"/>
      <c r="N576" s="18"/>
      <c r="O576" s="14">
        <v>5</v>
      </c>
    </row>
    <row r="578">
      <c r="A578" s="17" t="s">
        <v>331</v>
      </c>
      <c r="B578" s="14"/>
      <c r="C578" s="14"/>
      <c r="D578" s="14" t="s">
        <v>332</v>
      </c>
      <c r="E578" s="14"/>
      <c r="F578" s="14"/>
      <c r="G578" s="16" t="s">
        <v>333</v>
      </c>
      <c r="I578" s="17" t="s">
        <v>331</v>
      </c>
      <c r="J578" s="14"/>
      <c r="K578" s="14"/>
      <c r="L578" s="14" t="s">
        <v>332</v>
      </c>
      <c r="M578" s="14"/>
      <c r="N578" s="14"/>
      <c r="O578" s="16" t="s">
        <v>333</v>
      </c>
    </row>
    <row r="579">
      <c r="A579" s="14" t="str">
        <f>data!$E$44&amp;" "&amp;data!$B$44</f>
      </c>
      <c r="B579" s="14" t="str">
        <f>IF(UPPER(D580)="X",0,IF((LEN(SUBSTITUTE(SUBSTITUTE(SUBSTITUTE(B580," ",""),"0",""),"-",""))+LEN(SUBSTITUTE(SUBSTITUTE(SUBSTITUTE(C580," ",""),"0",""),"-","")))&gt;(LEN(SUBSTITUTE(SUBSTITUTE(SUBSTITUTE(E580," ",""),"0",""),"-",""))+LEN(SUBSTITUTE(SUBSTITUTE(SUBSTITUTE(F580," ",""),"0",""),"-",""))),1,0))+IF(UPPER(D581)="X",0,IF((LEN(SUBSTITUTE(SUBSTITUTE(SUBSTITUTE(B581," ",""),"0",""),"-",""))+LEN(SUBSTITUTE(SUBSTITUTE(SUBSTITUTE(C581," ",""),"0",""),"-","")))&gt;(LEN(SUBSTITUTE(SUBSTITUTE(SUBSTITUTE(E581," ",""),"0",""),"-",""))+LEN(SUBSTITUTE(SUBSTITUTE(SUBSTITUTE(F581," ",""),"0",""),"-",""))),1,0))+IF(UPPER(D582)="X",0,IF((LEN(SUBSTITUTE(SUBSTITUTE(SUBSTITUTE(B582," ",""),"0",""),"-",""))+LEN(SUBSTITUTE(SUBSTITUTE(SUBSTITUTE(C582," ",""),"0",""),"-","")))&gt;(LEN(SUBSTITUTE(SUBSTITUTE(SUBSTITUTE(E582," ",""),"0",""),"-",""))+LEN(SUBSTITUTE(SUBSTITUTE(SUBSTITUTE(F582," ",""),"0",""),"-",""))),1,0))+IF(UPPER(D583)="X",0,IF((LEN(SUBSTITUTE(SUBSTITUTE(SUBSTITUTE(B583," ",""),"0",""),"-",""))+LEN(SUBSTITUTE(SUBSTITUTE(SUBSTITUTE(C583," ",""),"0",""),"-","")))&gt;(LEN(SUBSTITUTE(SUBSTITUTE(SUBSTITUTE(E583," ",""),"0",""),"-",""))+LEN(SUBSTITUTE(SUBSTITUTE(SUBSTITUTE(F583," ",""),"0",""),"-",""))),1,0))+IF(UPPER(D584)="X",0,IF((LEN(SUBSTITUTE(SUBSTITUTE(SUBSTITUTE(B584," ",""),"0",""),"-",""))+LEN(SUBSTITUTE(SUBSTITUTE(SUBSTITUTE(C584," ",""),"0",""),"-","")))&gt;(LEN(SUBSTITUTE(SUBSTITUTE(SUBSTITUTE(E584," ",""),"0",""),"-",""))+LEN(SUBSTITUTE(SUBSTITUTE(SUBSTITUTE(F584," ",""),"0",""),"-",""))),1,0))</f>
      </c>
      <c r="C579" s="14" t="str">
        <f>LEN(SUBSTITUTE(SUBSTITUTE(SUBSTITUTE(B580," ",""),"0",""),"-",""))+LEN(SUBSTITUTE(SUBSTITUTE(SUBSTITUTE(C580," ",""),"0",""),"-",""))+LEN(SUBSTITUTE(SUBSTITUTE(SUBSTITUTE(B581," ",""),"0",""),"-",""))+LEN(SUBSTITUTE(SUBSTITUTE(SUBSTITUTE(C581," ",""),"0",""),"-",""))+LEN(SUBSTITUTE(SUBSTITUTE(SUBSTITUTE(B582," ",""),"0",""),"-",""))+LEN(SUBSTITUTE(SUBSTITUTE(SUBSTITUTE(C582," ",""),"0",""),"-",""))+LEN(SUBSTITUTE(SUBSTITUTE(SUBSTITUTE(B583," ",""),"0",""),"-",""))+LEN(SUBSTITUTE(SUBSTITUTE(SUBSTITUTE(C583," ",""),"0",""),"-",""))+LEN(SUBSTITUTE(SUBSTITUTE(SUBSTITUTE(B584," ",""),"0",""),"-",""))+LEN(SUBSTITUTE(SUBSTITUTE(SUBSTITUTE(C584," ",""),"0",""),"-",""))</f>
      </c>
      <c r="D579" s="18"/>
      <c r="E579" s="14" t="str">
        <f>LEN(SUBSTITUTE(SUBSTITUTE(SUBSTITUTE(E580," ",""),"0",""),"-",""))+LEN(SUBSTITUTE(SUBSTITUTE(SUBSTITUTE(F580," ",""),"0",""),"-",""))+LEN(SUBSTITUTE(SUBSTITUTE(SUBSTITUTE(E581," ",""),"0",""),"-",""))+LEN(SUBSTITUTE(SUBSTITUTE(SUBSTITUTE(F581," ",""),"0",""),"-",""))+LEN(SUBSTITUTE(SUBSTITUTE(SUBSTITUTE(E582," ",""),"0",""),"-",""))+LEN(SUBSTITUTE(SUBSTITUTE(SUBSTITUTE(F582," ",""),"0",""),"-",""))+LEN(SUBSTITUTE(SUBSTITUTE(SUBSTITUTE(E583," ",""),"0",""),"-",""))+LEN(SUBSTITUTE(SUBSTITUTE(SUBSTITUTE(F583," ",""),"0",""),"-",""))+LEN(SUBSTITUTE(SUBSTITUTE(SUBSTITUTE(E584," ",""),"0",""),"-",""))+LEN(SUBSTITUTE(SUBSTITUTE(SUBSTITUTE(F584," ",""),"0",""),"-",""))</f>
      </c>
      <c r="F579" s="14" t="str">
        <f>IF(UPPER(D580)="X",0,IF((LEN(SUBSTITUTE(SUBSTITUTE(SUBSTITUTE(E580," ",""),"0",""),"-",""))+LEN(SUBSTITUTE(SUBSTITUTE(SUBSTITUTE(F580," ",""),"0",""),"-","")))&gt;(LEN(SUBSTITUTE(SUBSTITUTE(SUBSTITUTE(B580," ",""),"0",""),"-",""))+LEN(SUBSTITUTE(SUBSTITUTE(SUBSTITUTE(C580," ",""),"0",""),"-",""))),1,0))+IF(UPPER(D581)="X",0,IF((LEN(SUBSTITUTE(SUBSTITUTE(SUBSTITUTE(E581," ",""),"0",""),"-",""))+LEN(SUBSTITUTE(SUBSTITUTE(SUBSTITUTE(F581," ",""),"0",""),"-","")))&gt;(LEN(SUBSTITUTE(SUBSTITUTE(SUBSTITUTE(B581," ",""),"0",""),"-",""))+LEN(SUBSTITUTE(SUBSTITUTE(SUBSTITUTE(C581," ",""),"0",""),"-",""))),1,0))+IF(UPPER(D582)="X",0,IF((LEN(SUBSTITUTE(SUBSTITUTE(SUBSTITUTE(E582," ",""),"0",""),"-",""))+LEN(SUBSTITUTE(SUBSTITUTE(SUBSTITUTE(F582," ",""),"0",""),"-","")))&gt;(LEN(SUBSTITUTE(SUBSTITUTE(SUBSTITUTE(B582," ",""),"0",""),"-",""))+LEN(SUBSTITUTE(SUBSTITUTE(SUBSTITUTE(C582," ",""),"0",""),"-",""))),1,0))+IF(UPPER(D583)="X",0,IF((LEN(SUBSTITUTE(SUBSTITUTE(SUBSTITUTE(E583," ",""),"0",""),"-",""))+LEN(SUBSTITUTE(SUBSTITUTE(SUBSTITUTE(F583," ",""),"0",""),"-","")))&gt;(LEN(SUBSTITUTE(SUBSTITUTE(SUBSTITUTE(B583," ",""),"0",""),"-",""))+LEN(SUBSTITUTE(SUBSTITUTE(SUBSTITUTE(C583," ",""),"0",""),"-",""))),1,0))+IF(UPPER(D584)="X",0,IF((LEN(SUBSTITUTE(SUBSTITUTE(SUBSTITUTE(E584," ",""),"0",""),"-",""))+LEN(SUBSTITUTE(SUBSTITUTE(SUBSTITUTE(F584," ",""),"0",""),"-","")))&gt;(LEN(SUBSTITUTE(SUBSTITUTE(SUBSTITUTE(B584," ",""),"0",""),"-",""))+LEN(SUBSTITUTE(SUBSTITUTE(SUBSTITUTE(C584," ",""),"0",""),"-",""))),1,0))</f>
      </c>
      <c r="G579" s="14" t="str">
        <f>data!$E$43&amp;" "&amp;data!$B$43</f>
      </c>
      <c r="I579" s="14" t="str">
        <f>data!$E$91&amp;" "&amp;data!$B$91</f>
      </c>
      <c r="J579" s="14" t="str">
        <f>IF(UPPER(L580)="X",0,IF((LEN(SUBSTITUTE(SUBSTITUTE(SUBSTITUTE(J580," ",""),"0",""),"-",""))+LEN(SUBSTITUTE(SUBSTITUTE(SUBSTITUTE(K580," ",""),"0",""),"-","")))&gt;(LEN(SUBSTITUTE(SUBSTITUTE(SUBSTITUTE(M580," ",""),"0",""),"-",""))+LEN(SUBSTITUTE(SUBSTITUTE(SUBSTITUTE(N580," ",""),"0",""),"-",""))),1,0))+IF(UPPER(L581)="X",0,IF((LEN(SUBSTITUTE(SUBSTITUTE(SUBSTITUTE(J581," ",""),"0",""),"-",""))+LEN(SUBSTITUTE(SUBSTITUTE(SUBSTITUTE(K581," ",""),"0",""),"-","")))&gt;(LEN(SUBSTITUTE(SUBSTITUTE(SUBSTITUTE(M581," ",""),"0",""),"-",""))+LEN(SUBSTITUTE(SUBSTITUTE(SUBSTITUTE(N581," ",""),"0",""),"-",""))),1,0))+IF(UPPER(L582)="X",0,IF((LEN(SUBSTITUTE(SUBSTITUTE(SUBSTITUTE(J582," ",""),"0",""),"-",""))+LEN(SUBSTITUTE(SUBSTITUTE(SUBSTITUTE(K582," ",""),"0",""),"-","")))&gt;(LEN(SUBSTITUTE(SUBSTITUTE(SUBSTITUTE(M582," ",""),"0",""),"-",""))+LEN(SUBSTITUTE(SUBSTITUTE(SUBSTITUTE(N582," ",""),"0",""),"-",""))),1,0))+IF(UPPER(L583)="X",0,IF((LEN(SUBSTITUTE(SUBSTITUTE(SUBSTITUTE(J583," ",""),"0",""),"-",""))+LEN(SUBSTITUTE(SUBSTITUTE(SUBSTITUTE(K583," ",""),"0",""),"-","")))&gt;(LEN(SUBSTITUTE(SUBSTITUTE(SUBSTITUTE(M583," ",""),"0",""),"-",""))+LEN(SUBSTITUTE(SUBSTITUTE(SUBSTITUTE(N583," ",""),"0",""),"-",""))),1,0))+IF(UPPER(L584)="X",0,IF((LEN(SUBSTITUTE(SUBSTITUTE(SUBSTITUTE(J584," ",""),"0",""),"-",""))+LEN(SUBSTITUTE(SUBSTITUTE(SUBSTITUTE(K584," ",""),"0",""),"-","")))&gt;(LEN(SUBSTITUTE(SUBSTITUTE(SUBSTITUTE(M584," ",""),"0",""),"-",""))+LEN(SUBSTITUTE(SUBSTITUTE(SUBSTITUTE(N584," ",""),"0",""),"-",""))),1,0))</f>
      </c>
      <c r="K579" s="14" t="str">
        <f>LEN(SUBSTITUTE(SUBSTITUTE(SUBSTITUTE(J580," ",""),"0",""),"-",""))+LEN(SUBSTITUTE(SUBSTITUTE(SUBSTITUTE(K580," ",""),"0",""),"-",""))+LEN(SUBSTITUTE(SUBSTITUTE(SUBSTITUTE(J581," ",""),"0",""),"-",""))+LEN(SUBSTITUTE(SUBSTITUTE(SUBSTITUTE(K581," ",""),"0",""),"-",""))+LEN(SUBSTITUTE(SUBSTITUTE(SUBSTITUTE(J582," ",""),"0",""),"-",""))+LEN(SUBSTITUTE(SUBSTITUTE(SUBSTITUTE(K582," ",""),"0",""),"-",""))+LEN(SUBSTITUTE(SUBSTITUTE(SUBSTITUTE(J583," ",""),"0",""),"-",""))+LEN(SUBSTITUTE(SUBSTITUTE(SUBSTITUTE(K583," ",""),"0",""),"-",""))+LEN(SUBSTITUTE(SUBSTITUTE(SUBSTITUTE(J584," ",""),"0",""),"-",""))+LEN(SUBSTITUTE(SUBSTITUTE(SUBSTITUTE(K584," ",""),"0",""),"-",""))</f>
      </c>
      <c r="L579" s="18"/>
      <c r="M579" s="14" t="str">
        <f>LEN(SUBSTITUTE(SUBSTITUTE(SUBSTITUTE(M580," ",""),"0",""),"-",""))+LEN(SUBSTITUTE(SUBSTITUTE(SUBSTITUTE(N580," ",""),"0",""),"-",""))+LEN(SUBSTITUTE(SUBSTITUTE(SUBSTITUTE(M581," ",""),"0",""),"-",""))+LEN(SUBSTITUTE(SUBSTITUTE(SUBSTITUTE(N581," ",""),"0",""),"-",""))+LEN(SUBSTITUTE(SUBSTITUTE(SUBSTITUTE(M582," ",""),"0",""),"-",""))+LEN(SUBSTITUTE(SUBSTITUTE(SUBSTITUTE(N582," ",""),"0",""),"-",""))+LEN(SUBSTITUTE(SUBSTITUTE(SUBSTITUTE(M583," ",""),"0",""),"-",""))+LEN(SUBSTITUTE(SUBSTITUTE(SUBSTITUTE(N583," ",""),"0",""),"-",""))+LEN(SUBSTITUTE(SUBSTITUTE(SUBSTITUTE(M584," ",""),"0",""),"-",""))+LEN(SUBSTITUTE(SUBSTITUTE(SUBSTITUTE(N584," ",""),"0",""),"-",""))</f>
      </c>
      <c r="N579" s="14" t="str">
        <f>IF(UPPER(L580)="X",0,IF((LEN(SUBSTITUTE(SUBSTITUTE(SUBSTITUTE(M580," ",""),"0",""),"-",""))+LEN(SUBSTITUTE(SUBSTITUTE(SUBSTITUTE(N580," ",""),"0",""),"-","")))&gt;(LEN(SUBSTITUTE(SUBSTITUTE(SUBSTITUTE(J580," ",""),"0",""),"-",""))+LEN(SUBSTITUTE(SUBSTITUTE(SUBSTITUTE(K580," ",""),"0",""),"-",""))),1,0))+IF(UPPER(L581)="X",0,IF((LEN(SUBSTITUTE(SUBSTITUTE(SUBSTITUTE(M581," ",""),"0",""),"-",""))+LEN(SUBSTITUTE(SUBSTITUTE(SUBSTITUTE(N581," ",""),"0",""),"-","")))&gt;(LEN(SUBSTITUTE(SUBSTITUTE(SUBSTITUTE(J581," ",""),"0",""),"-",""))+LEN(SUBSTITUTE(SUBSTITUTE(SUBSTITUTE(K581," ",""),"0",""),"-",""))),1,0))+IF(UPPER(L582)="X",0,IF((LEN(SUBSTITUTE(SUBSTITUTE(SUBSTITUTE(M582," ",""),"0",""),"-",""))+LEN(SUBSTITUTE(SUBSTITUTE(SUBSTITUTE(N582," ",""),"0",""),"-","")))&gt;(LEN(SUBSTITUTE(SUBSTITUTE(SUBSTITUTE(J582," ",""),"0",""),"-",""))+LEN(SUBSTITUTE(SUBSTITUTE(SUBSTITUTE(K582," ",""),"0",""),"-",""))),1,0))+IF(UPPER(L583)="X",0,IF((LEN(SUBSTITUTE(SUBSTITUTE(SUBSTITUTE(M583," ",""),"0",""),"-",""))+LEN(SUBSTITUTE(SUBSTITUTE(SUBSTITUTE(N583," ",""),"0",""),"-","")))&gt;(LEN(SUBSTITUTE(SUBSTITUTE(SUBSTITUTE(J583," ",""),"0",""),"-",""))+LEN(SUBSTITUTE(SUBSTITUTE(SUBSTITUTE(K583," ",""),"0",""),"-",""))),1,0))+IF(UPPER(L584)="X",0,IF((LEN(SUBSTITUTE(SUBSTITUTE(SUBSTITUTE(M584," ",""),"0",""),"-",""))+LEN(SUBSTITUTE(SUBSTITUTE(SUBSTITUTE(N584," ",""),"0",""),"-","")))&gt;(LEN(SUBSTITUTE(SUBSTITUTE(SUBSTITUTE(J584," ",""),"0",""),"-",""))+LEN(SUBSTITUTE(SUBSTITUTE(SUBSTITUTE(K584," ",""),"0",""),"-",""))),1,0))</f>
      </c>
      <c r="O579" s="14" t="str">
        <f>data!$E$90&amp;" "&amp;data!$B$90</f>
      </c>
    </row>
    <row r="580">
      <c r="A580" s="14">
        <v>1</v>
      </c>
      <c r="B580" s="18"/>
      <c r="C580" s="18"/>
      <c r="D580" s="18"/>
      <c r="E580" s="18"/>
      <c r="F580" s="18"/>
      <c r="G580" s="14">
        <v>1</v>
      </c>
      <c r="I580" s="14">
        <v>1</v>
      </c>
      <c r="J580" s="18"/>
      <c r="K580" s="18"/>
      <c r="L580" s="18"/>
      <c r="M580" s="18"/>
      <c r="N580" s="18"/>
      <c r="O580" s="14">
        <v>1</v>
      </c>
    </row>
    <row r="581">
      <c r="A581" s="14">
        <v>2</v>
      </c>
      <c r="B581" s="18"/>
      <c r="C581" s="18"/>
      <c r="D581" s="18"/>
      <c r="E581" s="18"/>
      <c r="F581" s="18"/>
      <c r="G581" s="14">
        <v>2</v>
      </c>
      <c r="I581" s="14">
        <v>2</v>
      </c>
      <c r="J581" s="18"/>
      <c r="K581" s="18"/>
      <c r="L581" s="18"/>
      <c r="M581" s="18"/>
      <c r="N581" s="18"/>
      <c r="O581" s="14">
        <v>2</v>
      </c>
    </row>
    <row r="582">
      <c r="A582" s="14">
        <v>3</v>
      </c>
      <c r="B582" s="18"/>
      <c r="C582" s="18"/>
      <c r="D582" s="18"/>
      <c r="E582" s="18"/>
      <c r="F582" s="18"/>
      <c r="G582" s="14">
        <v>3</v>
      </c>
      <c r="I582" s="14">
        <v>3</v>
      </c>
      <c r="J582" s="18"/>
      <c r="K582" s="18"/>
      <c r="L582" s="18"/>
      <c r="M582" s="18"/>
      <c r="N582" s="18"/>
      <c r="O582" s="14">
        <v>3</v>
      </c>
    </row>
    <row r="583">
      <c r="A583" s="14">
        <v>4</v>
      </c>
      <c r="B583" s="18"/>
      <c r="C583" s="18"/>
      <c r="D583" s="18"/>
      <c r="E583" s="18"/>
      <c r="F583" s="18"/>
      <c r="G583" s="14">
        <v>4</v>
      </c>
      <c r="I583" s="14">
        <v>4</v>
      </c>
      <c r="J583" s="18"/>
      <c r="K583" s="18"/>
      <c r="L583" s="18"/>
      <c r="M583" s="18"/>
      <c r="N583" s="18"/>
      <c r="O583" s="14">
        <v>4</v>
      </c>
    </row>
    <row r="584">
      <c r="A584" s="14">
        <v>5</v>
      </c>
      <c r="B584" s="18"/>
      <c r="C584" s="18"/>
      <c r="D584" s="18"/>
      <c r="E584" s="18"/>
      <c r="F584" s="18"/>
      <c r="G584" s="14">
        <v>5</v>
      </c>
      <c r="I584" s="14">
        <v>5</v>
      </c>
      <c r="J584" s="18"/>
      <c r="K584" s="18"/>
      <c r="L584" s="18"/>
      <c r="M584" s="18"/>
      <c r="N584" s="18"/>
      <c r="O584" s="14">
        <v>5</v>
      </c>
    </row>
    <row r="587">
      <c r="A587" s="13" t="s">
        <v>334</v>
      </c>
      <c r="B587" s="13" t="s">
        <v>335</v>
      </c>
      <c r="C587" s="13" t="s">
        <v>336</v>
      </c>
      <c r="D587" s="13" t="s">
        <v>337</v>
      </c>
      <c r="E587" s="13"/>
      <c r="F587" s="13"/>
      <c r="G587" s="13" t="s">
        <v>338</v>
      </c>
      <c r="I587" s="13" t="s">
        <v>334</v>
      </c>
      <c r="J587" s="13" t="s">
        <v>335</v>
      </c>
      <c r="K587" s="13" t="s">
        <v>336</v>
      </c>
      <c r="L587" s="13" t="s">
        <v>337</v>
      </c>
      <c r="M587" s="13"/>
      <c r="N587" s="13"/>
      <c r="O587" s="13" t="s">
        <v>338</v>
      </c>
    </row>
    <row r="588">
      <c r="A588" s="14" t="str">
        <f>data!$E$42&amp;" "&amp;data!$B$42</f>
      </c>
      <c r="B588" s="14" t="str">
        <f>IF(OR(COUNTA(B564:C568,E564:F568)&gt;0,D564="X",D564="x",D565="X",D565="x",D566="X",D566="x",D567="X",D567="x",D568="X",D568="x",OR(D563="X",D563="x")),IF(OR(OR(D563="X",D563="x"),AND(B563=F563,C563=E563)),0,IF(OR(F563&gt;B563,AND(F563=B563,E563&gt;C563)),1,0)),0)+IF(OR(COUNTA(B572:C576,E572:F576)&gt;0,D572="X",D572="x",D573="X",D573="x",D574="X",D574="x",D575="X",D575="x",D576="X",D576="x",OR(D571="X",D571="x")),IF(OR(OR(D571="X",D571="x"),AND(B571=F571,C571=E571)),0,IF(OR(F571&gt;B571,AND(F571=B571,E571&gt;C571)),1,0)),0)</f>
      </c>
      <c r="C588" s="14" t="str">
        <f>IF(OR(COUNTA(B564:C568,E564:F568)&gt;0,D564="X",D564="x",D565="X",D565="x",D566="X",D566="x",D567="X",D567="x",D568="X",D568="x",OR(D563="X",D563="x")),IF(OR(OR(D563="X",D563="x"),AND(B563=F563,C563=E563)),0,IF(OR(F563&lt;B563,AND(F563=B563,E563&lt;C563)),1,0)),0)+IF(OR(COUNTA(B572:C576,E572:F576)&gt;0,D572="X",D572="x",D573="X",D573="x",D574="X",D574="x",D575="X",D575="x",D576="X",D576="x",OR(D571="X",D571="x")),IF(OR(OR(D571="X",D571="x"),AND(B571=F571,C571=E571)),0,IF(OR(F571&lt;B571,AND(F571=B571,E571&lt;C571)),1,0)),0)</f>
      </c>
      <c r="D588" s="14" t="str">
        <f>IF(OR(COUNTA(B564:C568,E564:F568)&gt;0,D564="X",D564="x",D565="X",D565="x",D566="X",D566="x",D567="X",D567="x",D568="X",D568="x",OR(D563="X",D563="x")),IF(OR(OR(D563="X",D563="x"),AND(B563=F563,C563=E563)),1,0),0)+IF(OR(COUNTA(B572:C576,E572:F576)&gt;0,D572="X",D572="x",D573="X",D573="x",D574="X",D574="x",D575="X",D575="x",D576="X",D576="x",OR(D571="X",D571="x")),IF(OR(OR(D571="X",D571="x"),AND(B571=F571,C571=E571)),1,0),0)</f>
      </c>
      <c r="G588" s="18" t="str">
        <f>RANK(U588,$U$588:$U$590)+COUNTIF($U$587:U587,U588)</f>
      </c>
      <c r="I588" s="14" t="str">
        <f>data!$E$89&amp;" "&amp;data!$B$89</f>
      </c>
      <c r="J588" s="14" t="str">
        <f>IF(OR(COUNTA(J564:K568,M564:N568)&gt;0,L564="X",L564="x",L565="X",L565="x",L566="X",L566="x",L567="X",L567="x",L568="X",L568="x",OR(L563="X",L563="x")),IF(OR(OR(L563="X",L563="x"),AND(J563=N563,K563=M563)),0,IF(OR(N563&gt;J563,AND(N563=J563,M563&gt;K563)),1,0)),0)+IF(OR(COUNTA(J572:K576,M572:N576)&gt;0,L572="X",L572="x",L573="X",L573="x",L574="X",L574="x",L575="X",L575="x",L576="X",L576="x",OR(L571="X",L571="x")),IF(OR(OR(L571="X",L571="x"),AND(J571=N571,K571=M571)),0,IF(OR(N571&gt;J571,AND(N571=J571,M571&gt;K571)),1,0)),0)</f>
      </c>
      <c r="K588" s="14" t="str">
        <f>IF(OR(COUNTA(J564:K568,M564:N568)&gt;0,L564="X",L564="x",L565="X",L565="x",L566="X",L566="x",L567="X",L567="x",L568="X",L568="x",OR(L563="X",L563="x")),IF(OR(OR(L563="X",L563="x"),AND(J563=N563,K563=M563)),0,IF(OR(N563&lt;J563,AND(N563=J563,M563&lt;K563)),1,0)),0)+IF(OR(COUNTA(J572:K576,M572:N576)&gt;0,L572="X",L572="x",L573="X",L573="x",L574="X",L574="x",L575="X",L575="x",L576="X",L576="x",OR(L571="X",L571="x")),IF(OR(OR(L571="X",L571="x"),AND(J571=N571,K571=M571)),0,IF(OR(N571&lt;J571,AND(N571=J571,M571&lt;K571)),1,0)),0)</f>
      </c>
      <c r="L588" s="14" t="str">
        <f>IF(OR(COUNTA(J564:K568,M564:N568)&gt;0,L564="X",L564="x",L565="X",L565="x",L566="X",L566="x",L567="X",L567="x",L568="X",L568="x",OR(L563="X",L563="x")),IF(OR(OR(L563="X",L563="x"),AND(J563=N563,K563=M563)),1,0),0)+IF(OR(COUNTA(J572:K576,M572:N576)&gt;0,L572="X",L572="x",L573="X",L573="x",L574="X",L574="x",L575="X",L575="x",L576="X",L576="x",OR(L571="X",L571="x")),IF(OR(OR(L571="X",L571="x"),AND(J571=N571,K571=M571)),1,0),0)</f>
      </c>
      <c r="O588" s="18" t="str">
        <f>RANK(AC588,$AC$588:$AC$590)+COUNTIF($AC$587:AC587,AC588)</f>
      </c>
      <c r="U588" t="str">
        <f>(B588*1000000000)-(C588*10000000)+(D588*100000)+(B593*1000)-(C593*100)+(D593*10)+(E593*1)-(F593*0.01)</f>
      </c>
      <c r="AC588" t="str">
        <f>(J588*1000000000)-(K588*10000000)+(L588*100000)+(J593*1000)-(K593*100)+(L593*10)+(M593*1)-(N593*0.01)</f>
      </c>
    </row>
    <row r="589">
      <c r="A589" s="14" t="str">
        <f>data!$E$43&amp;" "&amp;data!$B$43</f>
      </c>
      <c r="B589" s="14" t="str">
        <f>IF(OR(COUNTA(B564:C568,E564:F568)&gt;0,D564="X",D564="x",D565="X",D565="x",D566="X",D566="x",D567="X",D567="x",D568="X",D568="x",OR(D563="X",D563="x")),IF(OR(OR(D563="X",D563="x"),AND(B563=F563,C563=E563)),0,IF(OR(B563&gt;F563,AND(B563=F563,C563&gt;E563)),1,0)),0)+IF(OR(COUNTA(B580:C584,E580:F584)&gt;0,D580="X",D580="x",D581="X",D581="x",D582="X",D582="x",D583="X",D583="x",D584="X",D584="x",OR(D579="X",D579="x")),IF(OR(OR(D579="X",D579="x"),AND(B579=F579,C579=E579)),0,IF(OR(F579&gt;B579,AND(F579=B579,E579&gt;C579)),1,0)),0)</f>
      </c>
      <c r="C589" s="14" t="str">
        <f>IF(OR(COUNTA(B564:C568,E564:F568)&gt;0,D564="X",D564="x",D565="X",D565="x",D566="X",D566="x",D567="X",D567="x",D568="X",D568="x",OR(D563="X",D563="x")),IF(OR(OR(D563="X",D563="x"),AND(B563=F563,C563=E563)),0,IF(OR(B563&lt;F563,AND(B563=F563,C563&lt;E563)),1,0)),0)+IF(OR(COUNTA(B580:C584,E580:F584)&gt;0,D580="X",D580="x",D581="X",D581="x",D582="X",D582="x",D583="X",D583="x",D584="X",D584="x",OR(D579="X",D579="x")),IF(OR(OR(D579="X",D579="x"),AND(B579=F579,C579=E579)),0,IF(OR(F579&lt;B579,AND(F579=B579,E579&lt;C579)),1,0)),0)</f>
      </c>
      <c r="D589" s="14" t="str">
        <f>IF(OR(COUNTA(B564:C568,E564:F568)&gt;0,D564="X",D564="x",D565="X",D565="x",D566="X",D566="x",D567="X",D567="x",D568="X",D568="x",OR(D563="X",D563="x")),IF(OR(OR(D563="X",D563="x"),AND(B563=F563,C563=E563)),1,0),0)+IF(OR(COUNTA(B580:C584,E580:F584)&gt;0,D580="X",D580="x",D581="X",D581="x",D582="X",D582="x",D583="X",D583="x",D584="X",D584="x",OR(D579="X",D579="x")),IF(OR(OR(D579="X",D579="x"),AND(B579=F579,C579=E579)),1,0),0)</f>
      </c>
      <c r="G589" s="18" t="str">
        <f>RANK(U589,$U$588:$U$590)+COUNTIF($U$587:U588,U589)</f>
      </c>
      <c r="I589" s="14" t="str">
        <f>data!$E$90&amp;" "&amp;data!$B$90</f>
      </c>
      <c r="J589" s="14" t="str">
        <f>IF(OR(COUNTA(J564:K568,M564:N568)&gt;0,L564="X",L564="x",L565="X",L565="x",L566="X",L566="x",L567="X",L567="x",L568="X",L568="x",OR(L563="X",L563="x")),IF(OR(OR(L563="X",L563="x"),AND(J563=N563,K563=M563)),0,IF(OR(J563&gt;N563,AND(J563=N563,K563&gt;M563)),1,0)),0)+IF(OR(COUNTA(J580:K584,M580:N584)&gt;0,L580="X",L580="x",L581="X",L581="x",L582="X",L582="x",L583="X",L583="x",L584="X",L584="x",OR(L579="X",L579="x")),IF(OR(OR(L579="X",L579="x"),AND(J579=N579,K579=M579)),0,IF(OR(N579&gt;J579,AND(N579=J579,M579&gt;K579)),1,0)),0)</f>
      </c>
      <c r="K589" s="14" t="str">
        <f>IF(OR(COUNTA(J564:K568,M564:N568)&gt;0,L564="X",L564="x",L565="X",L565="x",L566="X",L566="x",L567="X",L567="x",L568="X",L568="x",OR(L563="X",L563="x")),IF(OR(OR(L563="X",L563="x"),AND(J563=N563,K563=M563)),0,IF(OR(J563&lt;N563,AND(J563=N563,K563&lt;M563)),1,0)),0)+IF(OR(COUNTA(J580:K584,M580:N584)&gt;0,L580="X",L580="x",L581="X",L581="x",L582="X",L582="x",L583="X",L583="x",L584="X",L584="x",OR(L579="X",L579="x")),IF(OR(OR(L579="X",L579="x"),AND(J579=N579,K579=M579)),0,IF(OR(N579&lt;J579,AND(N579=J579,M579&lt;K579)),1,0)),0)</f>
      </c>
      <c r="L589" s="14" t="str">
        <f>IF(OR(COUNTA(J564:K568,M564:N568)&gt;0,L564="X",L564="x",L565="X",L565="x",L566="X",L566="x",L567="X",L567="x",L568="X",L568="x",OR(L563="X",L563="x")),IF(OR(OR(L563="X",L563="x"),AND(J563=N563,K563=M563)),1,0),0)+IF(OR(COUNTA(J580:K584,M580:N584)&gt;0,L580="X",L580="x",L581="X",L581="x",L582="X",L582="x",L583="X",L583="x",L584="X",L584="x",OR(L579="X",L579="x")),IF(OR(OR(L579="X",L579="x"),AND(J579=N579,K579=M579)),1,0),0)</f>
      </c>
      <c r="O589" s="18" t="str">
        <f>RANK(AC589,$AC$588:$AC$590)+COUNTIF($AC$587:AC588,AC589)</f>
      </c>
      <c r="U589" t="str">
        <f>(B589*1000000000)-(C589*10000000)+(D589*100000)+(B594*1000)-(C594*100)+(D594*10)+(E594*1)-(F594*0.01)</f>
      </c>
      <c r="AC589" t="str">
        <f>(J589*1000000000)-(K589*10000000)+(L589*100000)+(J594*1000)-(K594*100)+(L594*10)+(M594*1)-(N594*0.01)</f>
      </c>
    </row>
    <row r="590">
      <c r="A590" s="14" t="str">
        <f>data!$E$44&amp;" "&amp;data!$B$44</f>
      </c>
      <c r="B590" s="14" t="str">
        <f>IF(OR(COUNTA(B572:C576,E572:F576)&gt;0,D572="X",D572="x",D573="X",D573="x",D574="X",D574="x",D575="X",D575="x",D576="X",D576="x",OR(D571="X",D571="x")),IF(OR(OR(D571="X",D571="x"),AND(B571=F571,C571=E571)),0,IF(OR(B571&gt;F571,AND(B571=F571,C571&gt;E571)),1,0)),0)+IF(OR(COUNTA(B580:C584,E580:F584)&gt;0,D580="X",D580="x",D581="X",D581="x",D582="X",D582="x",D583="X",D583="x",D584="X",D584="x",OR(D579="X",D579="x")),IF(OR(OR(D579="X",D579="x"),AND(B579=F579,C579=E579)),0,IF(OR(B579&gt;F579,AND(B579=F579,C579&gt;E579)),1,0)),0)</f>
      </c>
      <c r="C590" s="14" t="str">
        <f>IF(OR(COUNTA(B572:C576,E572:F576)&gt;0,D572="X",D572="x",D573="X",D573="x",D574="X",D574="x",D575="X",D575="x",D576="X",D576="x",OR(D571="X",D571="x")),IF(OR(OR(D571="X",D571="x"),AND(B571=F571,C571=E571)),0,IF(OR(B571&lt;F571,AND(B571=F571,C571&lt;E571)),1,0)),0)+IF(OR(COUNTA(B580:C584,E580:F584)&gt;0,D580="X",D580="x",D581="X",D581="x",D582="X",D582="x",D583="X",D583="x",D584="X",D584="x",OR(D579="X",D579="x")),IF(OR(OR(D579="X",D579="x"),AND(B579=F579,C579=E579)),0,IF(OR(B579&lt;F579,AND(B579=F579,C579&lt;E579)),1,0)),0)</f>
      </c>
      <c r="D590" s="14" t="str">
        <f>IF(OR(COUNTA(B572:C576,E572:F576)&gt;0,D572="X",D572="x",D573="X",D573="x",D574="X",D574="x",D575="X",D575="x",D576="X",D576="x",OR(D571="X",D571="x")),IF(OR(OR(D571="X",D571="x"),AND(B571=F571,C571=E571)),1,0),0)+IF(OR(COUNTA(B580:C584,E580:F584)&gt;0,D580="X",D580="x",D581="X",D581="x",D582="X",D582="x",D583="X",D583="x",D584="X",D584="x",OR(D579="X",D579="x")),IF(OR(OR(D579="X",D579="x"),AND(B579=F579,C579=E579)),1,0),0)</f>
      </c>
      <c r="G590" s="18" t="str">
        <f>RANK(U590,$U$588:$U$590)+COUNTIF($U$587:U589,U590)</f>
      </c>
      <c r="I590" s="14" t="str">
        <f>data!$E$91&amp;" "&amp;data!$B$91</f>
      </c>
      <c r="J590" s="14" t="str">
        <f>IF(OR(COUNTA(J572:K576,M572:N576)&gt;0,L572="X",L572="x",L573="X",L573="x",L574="X",L574="x",L575="X",L575="x",L576="X",L576="x",OR(L571="X",L571="x")),IF(OR(OR(L571="X",L571="x"),AND(J571=N571,K571=M571)),0,IF(OR(J571&gt;N571,AND(J571=N571,K571&gt;M571)),1,0)),0)+IF(OR(COUNTA(J580:K584,M580:N584)&gt;0,L580="X",L580="x",L581="X",L581="x",L582="X",L582="x",L583="X",L583="x",L584="X",L584="x",OR(L579="X",L579="x")),IF(OR(OR(L579="X",L579="x"),AND(J579=N579,K579=M579)),0,IF(OR(J579&gt;N579,AND(J579=N579,K579&gt;M579)),1,0)),0)</f>
      </c>
      <c r="K590" s="14" t="str">
        <f>IF(OR(COUNTA(J572:K576,M572:N576)&gt;0,L572="X",L572="x",L573="X",L573="x",L574="X",L574="x",L575="X",L575="x",L576="X",L576="x",OR(L571="X",L571="x")),IF(OR(OR(L571="X",L571="x"),AND(J571=N571,K571=M571)),0,IF(OR(J571&lt;N571,AND(J571=N571,K571&lt;M571)),1,0)),0)+IF(OR(COUNTA(J580:K584,M580:N584)&gt;0,L580="X",L580="x",L581="X",L581="x",L582="X",L582="x",L583="X",L583="x",L584="X",L584="x",OR(L579="X",L579="x")),IF(OR(OR(L579="X",L579="x"),AND(J579=N579,K579=M579)),0,IF(OR(J579&lt;N579,AND(J579=N579,K579&lt;M579)),1,0)),0)</f>
      </c>
      <c r="L590" s="14" t="str">
        <f>IF(OR(COUNTA(J572:K576,M572:N576)&gt;0,L572="X",L572="x",L573="X",L573="x",L574="X",L574="x",L575="X",L575="x",L576="X",L576="x",OR(L571="X",L571="x")),IF(OR(OR(L571="X",L571="x"),AND(J571=N571,K571=M571)),1,0),0)+IF(OR(COUNTA(J580:K584,M580:N584)&gt;0,L580="X",L580="x",L581="X",L581="x",L582="X",L582="x",L583="X",L583="x",L584="X",L584="x",OR(L579="X",L579="x")),IF(OR(OR(L579="X",L579="x"),AND(J579=N579,K579=M579)),1,0),0)</f>
      </c>
      <c r="O590" s="18" t="str">
        <f>RANK(AC590,$AC$588:$AC$590)+COUNTIF($AC$587:AC589,AC590)</f>
      </c>
      <c r="U590" t="str">
        <f>(B590*1000000000)-(C590*10000000)+(D590*100000)+(B595*1000)-(C595*100)+(D595*10)+(E595*1)-(F595*0.01)</f>
      </c>
      <c r="AC590" t="str">
        <f>(J590*1000000000)-(K590*10000000)+(L590*100000)+(J595*1000)-(K595*100)+(L595*10)+(M595*1)-(N595*0.01)</f>
      </c>
    </row>
    <row r="592">
      <c r="A592" s="13"/>
      <c r="B592" s="13" t="s">
        <v>339</v>
      </c>
      <c r="C592" s="13" t="s">
        <v>340</v>
      </c>
      <c r="D592" s="13" t="s">
        <v>341</v>
      </c>
      <c r="E592" s="13" t="s">
        <v>342</v>
      </c>
      <c r="F592" s="13" t="s">
        <v>343</v>
      </c>
      <c r="I592" s="13"/>
      <c r="J592" s="13" t="s">
        <v>339</v>
      </c>
      <c r="K592" s="13" t="s">
        <v>340</v>
      </c>
      <c r="L592" s="13" t="s">
        <v>341</v>
      </c>
      <c r="M592" s="13" t="s">
        <v>342</v>
      </c>
      <c r="N592" s="13" t="s">
        <v>343</v>
      </c>
    </row>
    <row r="593">
      <c r="A593" s="14" t="str">
        <f>data!$E$42&amp;" "&amp;data!$B$42</f>
      </c>
      <c r="B593" s="14" t="str">
        <f>IF(OR(COUNTA(B564:C568,E564:F568)&gt;0,OR(D563="X",D563="x"),UPPER(D564)="X",UPPER(D565)="X",UPPER(D566)="X",UPPER(D567)="X",UPPER(D568)="X"),F563,0)+IF(OR(COUNTA(B572:C576,E572:F576)&gt;0,OR(D571="X",D571="x"),UPPER(D572)="X",UPPER(D573)="X",UPPER(D574)="X",UPPER(D575)="X",UPPER(D576)="X"),F571,0)</f>
      </c>
      <c r="C593" s="14" t="str">
        <f>IF(OR(COUNTA(B564:C568,E564:F568)&gt;0,OR(D563="X",D563="x"),UPPER(D564)="X",UPPER(D565)="X",UPPER(D566)="X",UPPER(D567)="X",UPPER(D568)="X"),B563,0)+IF(OR(COUNTA(B572:C576,E572:F576)&gt;0,OR(D571="X",D571="x"),UPPER(D572)="X",UPPER(D573)="X",UPPER(D574)="X",UPPER(D575)="X",UPPER(D576)="X"),B571,0)</f>
      </c>
      <c r="D593" s="14" t="str">
        <f>IF(OR(COUNTA(B564:C568,E564:F568)&gt;0,OR(D563="X",D563="x"),UPPER(D564)="X",UPPER(D565)="X",UPPER(D566)="X",UPPER(D567)="X",UPPER(D568)="X"),(IF(OR(D564="X",D564="x",AND(COUNTA(B564,C564,E564,F564)&gt;0,(LEN(SUBSTITUTE(SUBSTITUTE(SUBSTITUTE(B564," ",""),"0",""),"-",""))+LEN(SUBSTITUTE(SUBSTITUTE(SUBSTITUTE(C564," ",""),"0",""),"-","")))=(LEN(SUBSTITUTE(SUBSTITUTE(SUBSTITUTE(E564," ",""),"0",""),"-",""))+LEN(SUBSTITUTE(SUBSTITUTE(SUBSTITUTE(F564," ",""),"0",""),"-",""))))),1,0)+IF(OR(D565="X",D565="x",AND(COUNTA(B565,C565,E565,F565)&gt;0,(LEN(SUBSTITUTE(SUBSTITUTE(SUBSTITUTE(B565," ",""),"0",""),"-",""))+LEN(SUBSTITUTE(SUBSTITUTE(SUBSTITUTE(C565," ",""),"0",""),"-","")))=(LEN(SUBSTITUTE(SUBSTITUTE(SUBSTITUTE(E565," ",""),"0",""),"-",""))+LEN(SUBSTITUTE(SUBSTITUTE(SUBSTITUTE(F565," ",""),"0",""),"-",""))))),1,0)+IF(OR(D566="X",D566="x",AND(COUNTA(B566,C566,E566,F566)&gt;0,(LEN(SUBSTITUTE(SUBSTITUTE(SUBSTITUTE(B566," ",""),"0",""),"-",""))+LEN(SUBSTITUTE(SUBSTITUTE(SUBSTITUTE(C566," ",""),"0",""),"-","")))=(LEN(SUBSTITUTE(SUBSTITUTE(SUBSTITUTE(E566," ",""),"0",""),"-",""))+LEN(SUBSTITUTE(SUBSTITUTE(SUBSTITUTE(F566," ",""),"0",""),"-",""))))),1,0)+IF(OR(D567="X",D567="x",AND(COUNTA(B567,C567,E567,F567)&gt;0,(LEN(SUBSTITUTE(SUBSTITUTE(SUBSTITUTE(B567," ",""),"0",""),"-",""))+LEN(SUBSTITUTE(SUBSTITUTE(SUBSTITUTE(C567," ",""),"0",""),"-","")))=(LEN(SUBSTITUTE(SUBSTITUTE(SUBSTITUTE(E567," ",""),"0",""),"-",""))+LEN(SUBSTITUTE(SUBSTITUTE(SUBSTITUTE(F567," ",""),"0",""),"-",""))))),1,0)+IF(OR(D568="X",D568="x",AND(COUNTA(B568,C568,E568,F568)&gt;0,(LEN(SUBSTITUTE(SUBSTITUTE(SUBSTITUTE(B568," ",""),"0",""),"-",""))+LEN(SUBSTITUTE(SUBSTITUTE(SUBSTITUTE(C568," ",""),"0",""),"-","")))=(LEN(SUBSTITUTE(SUBSTITUTE(SUBSTITUTE(E568," ",""),"0",""),"-",""))+LEN(SUBSTITUTE(SUBSTITUTE(SUBSTITUTE(F568," ",""),"0",""),"-",""))))),1,0)),0)+IF(OR(COUNTA(B572:C576,E572:F576)&gt;0,OR(D571="X",D571="x"),UPPER(D572)="X",UPPER(D573)="X",UPPER(D574)="X",UPPER(D575)="X",UPPER(D576)="X"),(IF(OR(D572="X",D572="x",AND(COUNTA(B572,C572,E572,F572)&gt;0,(LEN(SUBSTITUTE(SUBSTITUTE(SUBSTITUTE(B572," ",""),"0",""),"-",""))+LEN(SUBSTITUTE(SUBSTITUTE(SUBSTITUTE(C572," ",""),"0",""),"-","")))=(LEN(SUBSTITUTE(SUBSTITUTE(SUBSTITUTE(E572," ",""),"0",""),"-",""))+LEN(SUBSTITUTE(SUBSTITUTE(SUBSTITUTE(F572," ",""),"0",""),"-",""))))),1,0)+IF(OR(D573="X",D573="x",AND(COUNTA(B573,C573,E573,F573)&gt;0,(LEN(SUBSTITUTE(SUBSTITUTE(SUBSTITUTE(B573," ",""),"0",""),"-",""))+LEN(SUBSTITUTE(SUBSTITUTE(SUBSTITUTE(C573," ",""),"0",""),"-","")))=(LEN(SUBSTITUTE(SUBSTITUTE(SUBSTITUTE(E573," ",""),"0",""),"-",""))+LEN(SUBSTITUTE(SUBSTITUTE(SUBSTITUTE(F573," ",""),"0",""),"-",""))))),1,0)+IF(OR(D574="X",D574="x",AND(COUNTA(B574,C574,E574,F574)&gt;0,(LEN(SUBSTITUTE(SUBSTITUTE(SUBSTITUTE(B574," ",""),"0",""),"-",""))+LEN(SUBSTITUTE(SUBSTITUTE(SUBSTITUTE(C574," ",""),"0",""),"-","")))=(LEN(SUBSTITUTE(SUBSTITUTE(SUBSTITUTE(E574," ",""),"0",""),"-",""))+LEN(SUBSTITUTE(SUBSTITUTE(SUBSTITUTE(F574," ",""),"0",""),"-",""))))),1,0)+IF(OR(D575="X",D575="x",AND(COUNTA(B575,C575,E575,F575)&gt;0,(LEN(SUBSTITUTE(SUBSTITUTE(SUBSTITUTE(B575," ",""),"0",""),"-",""))+LEN(SUBSTITUTE(SUBSTITUTE(SUBSTITUTE(C575," ",""),"0",""),"-","")))=(LEN(SUBSTITUTE(SUBSTITUTE(SUBSTITUTE(E575," ",""),"0",""),"-",""))+LEN(SUBSTITUTE(SUBSTITUTE(SUBSTITUTE(F575," ",""),"0",""),"-",""))))),1,0)+IF(OR(D576="X",D576="x",AND(COUNTA(B576,C576,E576,F576)&gt;0,(LEN(SUBSTITUTE(SUBSTITUTE(SUBSTITUTE(B576," ",""),"0",""),"-",""))+LEN(SUBSTITUTE(SUBSTITUTE(SUBSTITUTE(C576," ",""),"0",""),"-","")))=(LEN(SUBSTITUTE(SUBSTITUTE(SUBSTITUTE(E576," ",""),"0",""),"-",""))+LEN(SUBSTITUTE(SUBSTITUTE(SUBSTITUTE(F576," ",""),"0",""),"-",""))))),1,0)),0)</f>
      </c>
      <c r="E593" s="14" t="str">
        <f>E563+E571</f>
      </c>
      <c r="F593" s="14" t="str">
        <f>C563+C571</f>
      </c>
      <c r="I593" s="14" t="str">
        <f>data!$E$89&amp;" "&amp;data!$B$89</f>
      </c>
      <c r="J593" s="14" t="str">
        <f>IF(OR(COUNTA(J564:K568,M564:N568)&gt;0,OR(L563="X",L563="x"),UPPER(L564)="X",UPPER(L565)="X",UPPER(L566)="X",UPPER(L567)="X",UPPER(L568)="X"),N563,0)+IF(OR(COUNTA(J572:K576,M572:N576)&gt;0,OR(L571="X",L571="x"),UPPER(L572)="X",UPPER(L573)="X",UPPER(L574)="X",UPPER(L575)="X",UPPER(L576)="X"),N571,0)</f>
      </c>
      <c r="K593" s="14" t="str">
        <f>IF(OR(COUNTA(J564:K568,M564:N568)&gt;0,OR(L563="X",L563="x"),UPPER(L564)="X",UPPER(L565)="X",UPPER(L566)="X",UPPER(L567)="X",UPPER(L568)="X"),J563,0)+IF(OR(COUNTA(J572:K576,M572:N576)&gt;0,OR(L571="X",L571="x"),UPPER(L572)="X",UPPER(L573)="X",UPPER(L574)="X",UPPER(L575)="X",UPPER(L576)="X"),J571,0)</f>
      </c>
      <c r="L593" s="14" t="str">
        <f>IF(OR(COUNTA(J564:K568,M564:N568)&gt;0,OR(L563="X",L563="x"),UPPER(L564)="X",UPPER(L565)="X",UPPER(L566)="X",UPPER(L567)="X",UPPER(L568)="X"),(IF(OR(L564="X",L564="x",AND(COUNTA(J564,K564,M564,N564)&gt;0,(LEN(SUBSTITUTE(SUBSTITUTE(SUBSTITUTE(J564," ",""),"0",""),"-",""))+LEN(SUBSTITUTE(SUBSTITUTE(SUBSTITUTE(K564," ",""),"0",""),"-","")))=(LEN(SUBSTITUTE(SUBSTITUTE(SUBSTITUTE(M564," ",""),"0",""),"-",""))+LEN(SUBSTITUTE(SUBSTITUTE(SUBSTITUTE(N564," ",""),"0",""),"-",""))))),1,0)+IF(OR(L565="X",L565="x",AND(COUNTA(J565,K565,M565,N565)&gt;0,(LEN(SUBSTITUTE(SUBSTITUTE(SUBSTITUTE(J565," ",""),"0",""),"-",""))+LEN(SUBSTITUTE(SUBSTITUTE(SUBSTITUTE(K565," ",""),"0",""),"-","")))=(LEN(SUBSTITUTE(SUBSTITUTE(SUBSTITUTE(M565," ",""),"0",""),"-",""))+LEN(SUBSTITUTE(SUBSTITUTE(SUBSTITUTE(N565," ",""),"0",""),"-",""))))),1,0)+IF(OR(L566="X",L566="x",AND(COUNTA(J566,K566,M566,N566)&gt;0,(LEN(SUBSTITUTE(SUBSTITUTE(SUBSTITUTE(J566," ",""),"0",""),"-",""))+LEN(SUBSTITUTE(SUBSTITUTE(SUBSTITUTE(K566," ",""),"0",""),"-","")))=(LEN(SUBSTITUTE(SUBSTITUTE(SUBSTITUTE(M566," ",""),"0",""),"-",""))+LEN(SUBSTITUTE(SUBSTITUTE(SUBSTITUTE(N566," ",""),"0",""),"-",""))))),1,0)+IF(OR(L567="X",L567="x",AND(COUNTA(J567,K567,M567,N567)&gt;0,(LEN(SUBSTITUTE(SUBSTITUTE(SUBSTITUTE(J567," ",""),"0",""),"-",""))+LEN(SUBSTITUTE(SUBSTITUTE(SUBSTITUTE(K567," ",""),"0",""),"-","")))=(LEN(SUBSTITUTE(SUBSTITUTE(SUBSTITUTE(M567," ",""),"0",""),"-",""))+LEN(SUBSTITUTE(SUBSTITUTE(SUBSTITUTE(N567," ",""),"0",""),"-",""))))),1,0)+IF(OR(L568="X",L568="x",AND(COUNTA(J568,K568,M568,N568)&gt;0,(LEN(SUBSTITUTE(SUBSTITUTE(SUBSTITUTE(J568," ",""),"0",""),"-",""))+LEN(SUBSTITUTE(SUBSTITUTE(SUBSTITUTE(K568," ",""),"0",""),"-","")))=(LEN(SUBSTITUTE(SUBSTITUTE(SUBSTITUTE(M568," ",""),"0",""),"-",""))+LEN(SUBSTITUTE(SUBSTITUTE(SUBSTITUTE(N568," ",""),"0",""),"-",""))))),1,0)),0)+IF(OR(COUNTA(J572:K576,M572:N576)&gt;0,OR(L571="X",L571="x"),UPPER(L572)="X",UPPER(L573)="X",UPPER(L574)="X",UPPER(L575)="X",UPPER(L576)="X"),(IF(OR(L572="X",L572="x",AND(COUNTA(J572,K572,M572,N572)&gt;0,(LEN(SUBSTITUTE(SUBSTITUTE(SUBSTITUTE(J572," ",""),"0",""),"-",""))+LEN(SUBSTITUTE(SUBSTITUTE(SUBSTITUTE(K572," ",""),"0",""),"-","")))=(LEN(SUBSTITUTE(SUBSTITUTE(SUBSTITUTE(M572," ",""),"0",""),"-",""))+LEN(SUBSTITUTE(SUBSTITUTE(SUBSTITUTE(N572," ",""),"0",""),"-",""))))),1,0)+IF(OR(L573="X",L573="x",AND(COUNTA(J573,K573,M573,N573)&gt;0,(LEN(SUBSTITUTE(SUBSTITUTE(SUBSTITUTE(J573," ",""),"0",""),"-",""))+LEN(SUBSTITUTE(SUBSTITUTE(SUBSTITUTE(K573," ",""),"0",""),"-","")))=(LEN(SUBSTITUTE(SUBSTITUTE(SUBSTITUTE(M573," ",""),"0",""),"-",""))+LEN(SUBSTITUTE(SUBSTITUTE(SUBSTITUTE(N573," ",""),"0",""),"-",""))))),1,0)+IF(OR(L574="X",L574="x",AND(COUNTA(J574,K574,M574,N574)&gt;0,(LEN(SUBSTITUTE(SUBSTITUTE(SUBSTITUTE(J574," ",""),"0",""),"-",""))+LEN(SUBSTITUTE(SUBSTITUTE(SUBSTITUTE(K574," ",""),"0",""),"-","")))=(LEN(SUBSTITUTE(SUBSTITUTE(SUBSTITUTE(M574," ",""),"0",""),"-",""))+LEN(SUBSTITUTE(SUBSTITUTE(SUBSTITUTE(N574," ",""),"0",""),"-",""))))),1,0)+IF(OR(L575="X",L575="x",AND(COUNTA(J575,K575,M575,N575)&gt;0,(LEN(SUBSTITUTE(SUBSTITUTE(SUBSTITUTE(J575," ",""),"0",""),"-",""))+LEN(SUBSTITUTE(SUBSTITUTE(SUBSTITUTE(K575," ",""),"0",""),"-","")))=(LEN(SUBSTITUTE(SUBSTITUTE(SUBSTITUTE(M575," ",""),"0",""),"-",""))+LEN(SUBSTITUTE(SUBSTITUTE(SUBSTITUTE(N575," ",""),"0",""),"-",""))))),1,0)+IF(OR(L576="X",L576="x",AND(COUNTA(J576,K576,M576,N576)&gt;0,(LEN(SUBSTITUTE(SUBSTITUTE(SUBSTITUTE(J576," ",""),"0",""),"-",""))+LEN(SUBSTITUTE(SUBSTITUTE(SUBSTITUTE(K576," ",""),"0",""),"-","")))=(LEN(SUBSTITUTE(SUBSTITUTE(SUBSTITUTE(M576," ",""),"0",""),"-",""))+LEN(SUBSTITUTE(SUBSTITUTE(SUBSTITUTE(N576," ",""),"0",""),"-",""))))),1,0)),0)</f>
      </c>
      <c r="M593" s="14" t="str">
        <f>M563+M571</f>
      </c>
      <c r="N593" s="14" t="str">
        <f>K563+K571</f>
      </c>
    </row>
    <row r="594">
      <c r="A594" s="14" t="str">
        <f>data!$E$43&amp;" "&amp;data!$B$43</f>
      </c>
      <c r="B594" s="14" t="str">
        <f>IF(OR(COUNTA(B564:C568,E564:F568)&gt;0,OR(D563="X",D563="x"),UPPER(D564)="X",UPPER(D565)="X",UPPER(D566)="X",UPPER(D567)="X",UPPER(D568)="X"),B563,0)+IF(OR(COUNTA(B580:C584,E580:F584)&gt;0,OR(D579="X",D579="x"),UPPER(D580)="X",UPPER(D581)="X",UPPER(D582)="X",UPPER(D583)="X",UPPER(D584)="X"),F579,0)</f>
      </c>
      <c r="C594" s="14" t="str">
        <f>IF(OR(COUNTA(B564:C568,E564:F568)&gt;0,OR(D563="X",D563="x"),UPPER(D564)="X",UPPER(D565)="X",UPPER(D566)="X",UPPER(D567)="X",UPPER(D568)="X"),F563,0)+IF(OR(COUNTA(B580:C584,E580:F584)&gt;0,OR(D579="X",D579="x"),UPPER(D580)="X",UPPER(D581)="X",UPPER(D582)="X",UPPER(D583)="X",UPPER(D584)="X"),B579,0)</f>
      </c>
      <c r="D594" s="14" t="str">
        <f>IF(OR(COUNTA(B564:C568,E564:F568)&gt;0,OR(D563="X",D563="x"),UPPER(D564)="X",UPPER(D565)="X",UPPER(D566)="X",UPPER(D567)="X",UPPER(D568)="X"),(IF(OR(D564="X",D564="x",AND(COUNTA(B564,C564,E564,F564)&gt;0,(LEN(SUBSTITUTE(SUBSTITUTE(SUBSTITUTE(B564," ",""),"0",""),"-",""))+LEN(SUBSTITUTE(SUBSTITUTE(SUBSTITUTE(C564," ",""),"0",""),"-","")))=(LEN(SUBSTITUTE(SUBSTITUTE(SUBSTITUTE(E564," ",""),"0",""),"-",""))+LEN(SUBSTITUTE(SUBSTITUTE(SUBSTITUTE(F564," ",""),"0",""),"-",""))))),1,0)+IF(OR(D565="X",D565="x",AND(COUNTA(B565,C565,E565,F565)&gt;0,(LEN(SUBSTITUTE(SUBSTITUTE(SUBSTITUTE(B565," ",""),"0",""),"-",""))+LEN(SUBSTITUTE(SUBSTITUTE(SUBSTITUTE(C565," ",""),"0",""),"-","")))=(LEN(SUBSTITUTE(SUBSTITUTE(SUBSTITUTE(E565," ",""),"0",""),"-",""))+LEN(SUBSTITUTE(SUBSTITUTE(SUBSTITUTE(F565," ",""),"0",""),"-",""))))),1,0)+IF(OR(D566="X",D566="x",AND(COUNTA(B566,C566,E566,F566)&gt;0,(LEN(SUBSTITUTE(SUBSTITUTE(SUBSTITUTE(B566," ",""),"0",""),"-",""))+LEN(SUBSTITUTE(SUBSTITUTE(SUBSTITUTE(C566," ",""),"0",""),"-","")))=(LEN(SUBSTITUTE(SUBSTITUTE(SUBSTITUTE(E566," ",""),"0",""),"-",""))+LEN(SUBSTITUTE(SUBSTITUTE(SUBSTITUTE(F566," ",""),"0",""),"-",""))))),1,0)+IF(OR(D567="X",D567="x",AND(COUNTA(B567,C567,E567,F567)&gt;0,(LEN(SUBSTITUTE(SUBSTITUTE(SUBSTITUTE(B567," ",""),"0",""),"-",""))+LEN(SUBSTITUTE(SUBSTITUTE(SUBSTITUTE(C567," ",""),"0",""),"-","")))=(LEN(SUBSTITUTE(SUBSTITUTE(SUBSTITUTE(E567," ",""),"0",""),"-",""))+LEN(SUBSTITUTE(SUBSTITUTE(SUBSTITUTE(F567," ",""),"0",""),"-",""))))),1,0)+IF(OR(D568="X",D568="x",AND(COUNTA(B568,C568,E568,F568)&gt;0,(LEN(SUBSTITUTE(SUBSTITUTE(SUBSTITUTE(B568," ",""),"0",""),"-",""))+LEN(SUBSTITUTE(SUBSTITUTE(SUBSTITUTE(C568," ",""),"0",""),"-","")))=(LEN(SUBSTITUTE(SUBSTITUTE(SUBSTITUTE(E568," ",""),"0",""),"-",""))+LEN(SUBSTITUTE(SUBSTITUTE(SUBSTITUTE(F568," ",""),"0",""),"-",""))))),1,0)),0)+IF(OR(COUNTA(B580:C584,E580:F584)&gt;0,OR(D579="X",D579="x"),UPPER(D580)="X",UPPER(D581)="X",UPPER(D582)="X",UPPER(D583)="X",UPPER(D584)="X"),(IF(OR(D580="X",D580="x",AND(COUNTA(B580,C580,E580,F580)&gt;0,(LEN(SUBSTITUTE(SUBSTITUTE(SUBSTITUTE(B580," ",""),"0",""),"-",""))+LEN(SUBSTITUTE(SUBSTITUTE(SUBSTITUTE(C580," ",""),"0",""),"-","")))=(LEN(SUBSTITUTE(SUBSTITUTE(SUBSTITUTE(E580," ",""),"0",""),"-",""))+LEN(SUBSTITUTE(SUBSTITUTE(SUBSTITUTE(F580," ",""),"0",""),"-",""))))),1,0)+IF(OR(D581="X",D581="x",AND(COUNTA(B581,C581,E581,F581)&gt;0,(LEN(SUBSTITUTE(SUBSTITUTE(SUBSTITUTE(B581," ",""),"0",""),"-",""))+LEN(SUBSTITUTE(SUBSTITUTE(SUBSTITUTE(C581," ",""),"0",""),"-","")))=(LEN(SUBSTITUTE(SUBSTITUTE(SUBSTITUTE(E581," ",""),"0",""),"-",""))+LEN(SUBSTITUTE(SUBSTITUTE(SUBSTITUTE(F581," ",""),"0",""),"-",""))))),1,0)+IF(OR(D582="X",D582="x",AND(COUNTA(B582,C582,E582,F582)&gt;0,(LEN(SUBSTITUTE(SUBSTITUTE(SUBSTITUTE(B582," ",""),"0",""),"-",""))+LEN(SUBSTITUTE(SUBSTITUTE(SUBSTITUTE(C582," ",""),"0",""),"-","")))=(LEN(SUBSTITUTE(SUBSTITUTE(SUBSTITUTE(E582," ",""),"0",""),"-",""))+LEN(SUBSTITUTE(SUBSTITUTE(SUBSTITUTE(F582," ",""),"0",""),"-",""))))),1,0)+IF(OR(D583="X",D583="x",AND(COUNTA(B583,C583,E583,F583)&gt;0,(LEN(SUBSTITUTE(SUBSTITUTE(SUBSTITUTE(B583," ",""),"0",""),"-",""))+LEN(SUBSTITUTE(SUBSTITUTE(SUBSTITUTE(C583," ",""),"0",""),"-","")))=(LEN(SUBSTITUTE(SUBSTITUTE(SUBSTITUTE(E583," ",""),"0",""),"-",""))+LEN(SUBSTITUTE(SUBSTITUTE(SUBSTITUTE(F583," ",""),"0",""),"-",""))))),1,0)+IF(OR(D584="X",D584="x",AND(COUNTA(B584,C584,E584,F584)&gt;0,(LEN(SUBSTITUTE(SUBSTITUTE(SUBSTITUTE(B584," ",""),"0",""),"-",""))+LEN(SUBSTITUTE(SUBSTITUTE(SUBSTITUTE(C584," ",""),"0",""),"-","")))=(LEN(SUBSTITUTE(SUBSTITUTE(SUBSTITUTE(E584," ",""),"0",""),"-",""))+LEN(SUBSTITUTE(SUBSTITUTE(SUBSTITUTE(F584," ",""),"0",""),"-",""))))),1,0)),0)</f>
      </c>
      <c r="E594" s="14" t="str">
        <f>C563+E579</f>
      </c>
      <c r="F594" s="14" t="str">
        <f>E563+C579</f>
      </c>
      <c r="I594" s="14" t="str">
        <f>data!$E$90&amp;" "&amp;data!$B$90</f>
      </c>
      <c r="J594" s="14" t="str">
        <f>IF(OR(COUNTA(J564:K568,M564:N568)&gt;0,OR(L563="X",L563="x"),UPPER(L564)="X",UPPER(L565)="X",UPPER(L566)="X",UPPER(L567)="X",UPPER(L568)="X"),J563,0)+IF(OR(COUNTA(J580:K584,M580:N584)&gt;0,OR(L579="X",L579="x"),UPPER(L580)="X",UPPER(L581)="X",UPPER(L582)="X",UPPER(L583)="X",UPPER(L584)="X"),N579,0)</f>
      </c>
      <c r="K594" s="14" t="str">
        <f>IF(OR(COUNTA(J564:K568,M564:N568)&gt;0,OR(L563="X",L563="x"),UPPER(L564)="X",UPPER(L565)="X",UPPER(L566)="X",UPPER(L567)="X",UPPER(L568)="X"),N563,0)+IF(OR(COUNTA(J580:K584,M580:N584)&gt;0,OR(L579="X",L579="x"),UPPER(L580)="X",UPPER(L581)="X",UPPER(L582)="X",UPPER(L583)="X",UPPER(L584)="X"),J579,0)</f>
      </c>
      <c r="L594" s="14" t="str">
        <f>IF(OR(COUNTA(J564:K568,M564:N568)&gt;0,OR(L563="X",L563="x"),UPPER(L564)="X",UPPER(L565)="X",UPPER(L566)="X",UPPER(L567)="X",UPPER(L568)="X"),(IF(OR(L564="X",L564="x",AND(COUNTA(J564,K564,M564,N564)&gt;0,(LEN(SUBSTITUTE(SUBSTITUTE(SUBSTITUTE(J564," ",""),"0",""),"-",""))+LEN(SUBSTITUTE(SUBSTITUTE(SUBSTITUTE(K564," ",""),"0",""),"-","")))=(LEN(SUBSTITUTE(SUBSTITUTE(SUBSTITUTE(M564," ",""),"0",""),"-",""))+LEN(SUBSTITUTE(SUBSTITUTE(SUBSTITUTE(N564," ",""),"0",""),"-",""))))),1,0)+IF(OR(L565="X",L565="x",AND(COUNTA(J565,K565,M565,N565)&gt;0,(LEN(SUBSTITUTE(SUBSTITUTE(SUBSTITUTE(J565," ",""),"0",""),"-",""))+LEN(SUBSTITUTE(SUBSTITUTE(SUBSTITUTE(K565," ",""),"0",""),"-","")))=(LEN(SUBSTITUTE(SUBSTITUTE(SUBSTITUTE(M565," ",""),"0",""),"-",""))+LEN(SUBSTITUTE(SUBSTITUTE(SUBSTITUTE(N565," ",""),"0",""),"-",""))))),1,0)+IF(OR(L566="X",L566="x",AND(COUNTA(J566,K566,M566,N566)&gt;0,(LEN(SUBSTITUTE(SUBSTITUTE(SUBSTITUTE(J566," ",""),"0",""),"-",""))+LEN(SUBSTITUTE(SUBSTITUTE(SUBSTITUTE(K566," ",""),"0",""),"-","")))=(LEN(SUBSTITUTE(SUBSTITUTE(SUBSTITUTE(M566," ",""),"0",""),"-",""))+LEN(SUBSTITUTE(SUBSTITUTE(SUBSTITUTE(N566," ",""),"0",""),"-",""))))),1,0)+IF(OR(L567="X",L567="x",AND(COUNTA(J567,K567,M567,N567)&gt;0,(LEN(SUBSTITUTE(SUBSTITUTE(SUBSTITUTE(J567," ",""),"0",""),"-",""))+LEN(SUBSTITUTE(SUBSTITUTE(SUBSTITUTE(K567," ",""),"0",""),"-","")))=(LEN(SUBSTITUTE(SUBSTITUTE(SUBSTITUTE(M567," ",""),"0",""),"-",""))+LEN(SUBSTITUTE(SUBSTITUTE(SUBSTITUTE(N567," ",""),"0",""),"-",""))))),1,0)+IF(OR(L568="X",L568="x",AND(COUNTA(J568,K568,M568,N568)&gt;0,(LEN(SUBSTITUTE(SUBSTITUTE(SUBSTITUTE(J568," ",""),"0",""),"-",""))+LEN(SUBSTITUTE(SUBSTITUTE(SUBSTITUTE(K568," ",""),"0",""),"-","")))=(LEN(SUBSTITUTE(SUBSTITUTE(SUBSTITUTE(M568," ",""),"0",""),"-",""))+LEN(SUBSTITUTE(SUBSTITUTE(SUBSTITUTE(N568," ",""),"0",""),"-",""))))),1,0)),0)+IF(OR(COUNTA(J580:K584,M580:N584)&gt;0,OR(L579="X",L579="x"),UPPER(L580)="X",UPPER(L581)="X",UPPER(L582)="X",UPPER(L583)="X",UPPER(L584)="X"),(IF(OR(L580="X",L580="x",AND(COUNTA(J580,K580,M580,N580)&gt;0,(LEN(SUBSTITUTE(SUBSTITUTE(SUBSTITUTE(J580," ",""),"0",""),"-",""))+LEN(SUBSTITUTE(SUBSTITUTE(SUBSTITUTE(K580," ",""),"0",""),"-","")))=(LEN(SUBSTITUTE(SUBSTITUTE(SUBSTITUTE(M580," ",""),"0",""),"-",""))+LEN(SUBSTITUTE(SUBSTITUTE(SUBSTITUTE(N580," ",""),"0",""),"-",""))))),1,0)+IF(OR(L581="X",L581="x",AND(COUNTA(J581,K581,M581,N581)&gt;0,(LEN(SUBSTITUTE(SUBSTITUTE(SUBSTITUTE(J581," ",""),"0",""),"-",""))+LEN(SUBSTITUTE(SUBSTITUTE(SUBSTITUTE(K581," ",""),"0",""),"-","")))=(LEN(SUBSTITUTE(SUBSTITUTE(SUBSTITUTE(M581," ",""),"0",""),"-",""))+LEN(SUBSTITUTE(SUBSTITUTE(SUBSTITUTE(N581," ",""),"0",""),"-",""))))),1,0)+IF(OR(L582="X",L582="x",AND(COUNTA(J582,K582,M582,N582)&gt;0,(LEN(SUBSTITUTE(SUBSTITUTE(SUBSTITUTE(J582," ",""),"0",""),"-",""))+LEN(SUBSTITUTE(SUBSTITUTE(SUBSTITUTE(K582," ",""),"0",""),"-","")))=(LEN(SUBSTITUTE(SUBSTITUTE(SUBSTITUTE(M582," ",""),"0",""),"-",""))+LEN(SUBSTITUTE(SUBSTITUTE(SUBSTITUTE(N582," ",""),"0",""),"-",""))))),1,0)+IF(OR(L583="X",L583="x",AND(COUNTA(J583,K583,M583,N583)&gt;0,(LEN(SUBSTITUTE(SUBSTITUTE(SUBSTITUTE(J583," ",""),"0",""),"-",""))+LEN(SUBSTITUTE(SUBSTITUTE(SUBSTITUTE(K583," ",""),"0",""),"-","")))=(LEN(SUBSTITUTE(SUBSTITUTE(SUBSTITUTE(M583," ",""),"0",""),"-",""))+LEN(SUBSTITUTE(SUBSTITUTE(SUBSTITUTE(N583," ",""),"0",""),"-",""))))),1,0)+IF(OR(L584="X",L584="x",AND(COUNTA(J584,K584,M584,N584)&gt;0,(LEN(SUBSTITUTE(SUBSTITUTE(SUBSTITUTE(J584," ",""),"0",""),"-",""))+LEN(SUBSTITUTE(SUBSTITUTE(SUBSTITUTE(K584," ",""),"0",""),"-","")))=(LEN(SUBSTITUTE(SUBSTITUTE(SUBSTITUTE(M584," ",""),"0",""),"-",""))+LEN(SUBSTITUTE(SUBSTITUTE(SUBSTITUTE(N584," ",""),"0",""),"-",""))))),1,0)),0)</f>
      </c>
      <c r="M594" s="14" t="str">
        <f>K563+M579</f>
      </c>
      <c r="N594" s="14" t="str">
        <f>M563+K579</f>
      </c>
    </row>
    <row r="595">
      <c r="A595" s="14" t="str">
        <f>data!$E$44&amp;" "&amp;data!$B$44</f>
      </c>
      <c r="B595" s="14" t="str">
        <f>IF(OR(COUNTA(B572:C576,E572:F576)&gt;0,OR(D571="X",D571="x"),UPPER(D572)="X",UPPER(D573)="X",UPPER(D574)="X",UPPER(D575)="X",UPPER(D576)="X"),B571,0)+IF(OR(COUNTA(B580:C584,E580:F584)&gt;0,OR(D579="X",D579="x"),UPPER(D580)="X",UPPER(D581)="X",UPPER(D582)="X",UPPER(D583)="X",UPPER(D584)="X"),B579,0)</f>
      </c>
      <c r="C595" s="14" t="str">
        <f>IF(OR(COUNTA(B572:C576,E572:F576)&gt;0,OR(D571="X",D571="x"),UPPER(D572)="X",UPPER(D573)="X",UPPER(D574)="X",UPPER(D575)="X",UPPER(D576)="X"),F571,0)+IF(OR(COUNTA(B580:C584,E580:F584)&gt;0,OR(D579="X",D579="x"),UPPER(D580)="X",UPPER(D581)="X",UPPER(D582)="X",UPPER(D583)="X",UPPER(D584)="X"),F579,0)</f>
      </c>
      <c r="D595" s="14" t="str">
        <f>IF(OR(COUNTA(B572:C576,E572:F576)&gt;0,OR(D571="X",D571="x"),UPPER(D572)="X",UPPER(D573)="X",UPPER(D574)="X",UPPER(D575)="X",UPPER(D576)="X"),(IF(OR(D572="X",D572="x",AND(COUNTA(B572,C572,E572,F572)&gt;0,(LEN(SUBSTITUTE(SUBSTITUTE(SUBSTITUTE(B572," ",""),"0",""),"-",""))+LEN(SUBSTITUTE(SUBSTITUTE(SUBSTITUTE(C572," ",""),"0",""),"-","")))=(LEN(SUBSTITUTE(SUBSTITUTE(SUBSTITUTE(E572," ",""),"0",""),"-",""))+LEN(SUBSTITUTE(SUBSTITUTE(SUBSTITUTE(F572," ",""),"0",""),"-",""))))),1,0)+IF(OR(D573="X",D573="x",AND(COUNTA(B573,C573,E573,F573)&gt;0,(LEN(SUBSTITUTE(SUBSTITUTE(SUBSTITUTE(B573," ",""),"0",""),"-",""))+LEN(SUBSTITUTE(SUBSTITUTE(SUBSTITUTE(C573," ",""),"0",""),"-","")))=(LEN(SUBSTITUTE(SUBSTITUTE(SUBSTITUTE(E573," ",""),"0",""),"-",""))+LEN(SUBSTITUTE(SUBSTITUTE(SUBSTITUTE(F573," ",""),"0",""),"-",""))))),1,0)+IF(OR(D574="X",D574="x",AND(COUNTA(B574,C574,E574,F574)&gt;0,(LEN(SUBSTITUTE(SUBSTITUTE(SUBSTITUTE(B574," ",""),"0",""),"-",""))+LEN(SUBSTITUTE(SUBSTITUTE(SUBSTITUTE(C574," ",""),"0",""),"-","")))=(LEN(SUBSTITUTE(SUBSTITUTE(SUBSTITUTE(E574," ",""),"0",""),"-",""))+LEN(SUBSTITUTE(SUBSTITUTE(SUBSTITUTE(F574," ",""),"0",""),"-",""))))),1,0)+IF(OR(D575="X",D575="x",AND(COUNTA(B575,C575,E575,F575)&gt;0,(LEN(SUBSTITUTE(SUBSTITUTE(SUBSTITUTE(B575," ",""),"0",""),"-",""))+LEN(SUBSTITUTE(SUBSTITUTE(SUBSTITUTE(C575," ",""),"0",""),"-","")))=(LEN(SUBSTITUTE(SUBSTITUTE(SUBSTITUTE(E575," ",""),"0",""),"-",""))+LEN(SUBSTITUTE(SUBSTITUTE(SUBSTITUTE(F575," ",""),"0",""),"-",""))))),1,0)+IF(OR(D576="X",D576="x",AND(COUNTA(B576,C576,E576,F576)&gt;0,(LEN(SUBSTITUTE(SUBSTITUTE(SUBSTITUTE(B576," ",""),"0",""),"-",""))+LEN(SUBSTITUTE(SUBSTITUTE(SUBSTITUTE(C576," ",""),"0",""),"-","")))=(LEN(SUBSTITUTE(SUBSTITUTE(SUBSTITUTE(E576," ",""),"0",""),"-",""))+LEN(SUBSTITUTE(SUBSTITUTE(SUBSTITUTE(F576," ",""),"0",""),"-",""))))),1,0)),0)+IF(OR(COUNTA(B580:C584,E580:F584)&gt;0,OR(D579="X",D579="x"),UPPER(D580)="X",UPPER(D581)="X",UPPER(D582)="X",UPPER(D583)="X",UPPER(D584)="X"),(IF(OR(D580="X",D580="x",AND(COUNTA(B580,C580,E580,F580)&gt;0,(LEN(SUBSTITUTE(SUBSTITUTE(SUBSTITUTE(B580," ",""),"0",""),"-",""))+LEN(SUBSTITUTE(SUBSTITUTE(SUBSTITUTE(C580," ",""),"0",""),"-","")))=(LEN(SUBSTITUTE(SUBSTITUTE(SUBSTITUTE(E580," ",""),"0",""),"-",""))+LEN(SUBSTITUTE(SUBSTITUTE(SUBSTITUTE(F580," ",""),"0",""),"-",""))))),1,0)+IF(OR(D581="X",D581="x",AND(COUNTA(B581,C581,E581,F581)&gt;0,(LEN(SUBSTITUTE(SUBSTITUTE(SUBSTITUTE(B581," ",""),"0",""),"-",""))+LEN(SUBSTITUTE(SUBSTITUTE(SUBSTITUTE(C581," ",""),"0",""),"-","")))=(LEN(SUBSTITUTE(SUBSTITUTE(SUBSTITUTE(E581," ",""),"0",""),"-",""))+LEN(SUBSTITUTE(SUBSTITUTE(SUBSTITUTE(F581," ",""),"0",""),"-",""))))),1,0)+IF(OR(D582="X",D582="x",AND(COUNTA(B582,C582,E582,F582)&gt;0,(LEN(SUBSTITUTE(SUBSTITUTE(SUBSTITUTE(B582," ",""),"0",""),"-",""))+LEN(SUBSTITUTE(SUBSTITUTE(SUBSTITUTE(C582," ",""),"0",""),"-","")))=(LEN(SUBSTITUTE(SUBSTITUTE(SUBSTITUTE(E582," ",""),"0",""),"-",""))+LEN(SUBSTITUTE(SUBSTITUTE(SUBSTITUTE(F582," ",""),"0",""),"-",""))))),1,0)+IF(OR(D583="X",D583="x",AND(COUNTA(B583,C583,E583,F583)&gt;0,(LEN(SUBSTITUTE(SUBSTITUTE(SUBSTITUTE(B583," ",""),"0",""),"-",""))+LEN(SUBSTITUTE(SUBSTITUTE(SUBSTITUTE(C583," ",""),"0",""),"-","")))=(LEN(SUBSTITUTE(SUBSTITUTE(SUBSTITUTE(E583," ",""),"0",""),"-",""))+LEN(SUBSTITUTE(SUBSTITUTE(SUBSTITUTE(F583," ",""),"0",""),"-",""))))),1,0)+IF(OR(D584="X",D584="x",AND(COUNTA(B584,C584,E584,F584)&gt;0,(LEN(SUBSTITUTE(SUBSTITUTE(SUBSTITUTE(B584," ",""),"0",""),"-",""))+LEN(SUBSTITUTE(SUBSTITUTE(SUBSTITUTE(C584," ",""),"0",""),"-","")))=(LEN(SUBSTITUTE(SUBSTITUTE(SUBSTITUTE(E584," ",""),"0",""),"-",""))+LEN(SUBSTITUTE(SUBSTITUTE(SUBSTITUTE(F584," ",""),"0",""),"-",""))))),1,0)),0)</f>
      </c>
      <c r="E595" s="14" t="str">
        <f>C571+C579</f>
      </c>
      <c r="F595" s="14" t="str">
        <f>E571+E579</f>
      </c>
      <c r="I595" s="14" t="str">
        <f>data!$E$91&amp;" "&amp;data!$B$91</f>
      </c>
      <c r="J595" s="14" t="str">
        <f>IF(OR(COUNTA(J572:K576,M572:N576)&gt;0,OR(L571="X",L571="x"),UPPER(L572)="X",UPPER(L573)="X",UPPER(L574)="X",UPPER(L575)="X",UPPER(L576)="X"),J571,0)+IF(OR(COUNTA(J580:K584,M580:N584)&gt;0,OR(L579="X",L579="x"),UPPER(L580)="X",UPPER(L581)="X",UPPER(L582)="X",UPPER(L583)="X",UPPER(L584)="X"),J579,0)</f>
      </c>
      <c r="K595" s="14" t="str">
        <f>IF(OR(COUNTA(J572:K576,M572:N576)&gt;0,OR(L571="X",L571="x"),UPPER(L572)="X",UPPER(L573)="X",UPPER(L574)="X",UPPER(L575)="X",UPPER(L576)="X"),N571,0)+IF(OR(COUNTA(J580:K584,M580:N584)&gt;0,OR(L579="X",L579="x"),UPPER(L580)="X",UPPER(L581)="X",UPPER(L582)="X",UPPER(L583)="X",UPPER(L584)="X"),N579,0)</f>
      </c>
      <c r="L595" s="14" t="str">
        <f>IF(OR(COUNTA(J572:K576,M572:N576)&gt;0,OR(L571="X",L571="x"),UPPER(L572)="X",UPPER(L573)="X",UPPER(L574)="X",UPPER(L575)="X",UPPER(L576)="X"),(IF(OR(L572="X",L572="x",AND(COUNTA(J572,K572,M572,N572)&gt;0,(LEN(SUBSTITUTE(SUBSTITUTE(SUBSTITUTE(J572," ",""),"0",""),"-",""))+LEN(SUBSTITUTE(SUBSTITUTE(SUBSTITUTE(K572," ",""),"0",""),"-","")))=(LEN(SUBSTITUTE(SUBSTITUTE(SUBSTITUTE(M572," ",""),"0",""),"-",""))+LEN(SUBSTITUTE(SUBSTITUTE(SUBSTITUTE(N572," ",""),"0",""),"-",""))))),1,0)+IF(OR(L573="X",L573="x",AND(COUNTA(J573,K573,M573,N573)&gt;0,(LEN(SUBSTITUTE(SUBSTITUTE(SUBSTITUTE(J573," ",""),"0",""),"-",""))+LEN(SUBSTITUTE(SUBSTITUTE(SUBSTITUTE(K573," ",""),"0",""),"-","")))=(LEN(SUBSTITUTE(SUBSTITUTE(SUBSTITUTE(M573," ",""),"0",""),"-",""))+LEN(SUBSTITUTE(SUBSTITUTE(SUBSTITUTE(N573," ",""),"0",""),"-",""))))),1,0)+IF(OR(L574="X",L574="x",AND(COUNTA(J574,K574,M574,N574)&gt;0,(LEN(SUBSTITUTE(SUBSTITUTE(SUBSTITUTE(J574," ",""),"0",""),"-",""))+LEN(SUBSTITUTE(SUBSTITUTE(SUBSTITUTE(K574," ",""),"0",""),"-","")))=(LEN(SUBSTITUTE(SUBSTITUTE(SUBSTITUTE(M574," ",""),"0",""),"-",""))+LEN(SUBSTITUTE(SUBSTITUTE(SUBSTITUTE(N574," ",""),"0",""),"-",""))))),1,0)+IF(OR(L575="X",L575="x",AND(COUNTA(J575,K575,M575,N575)&gt;0,(LEN(SUBSTITUTE(SUBSTITUTE(SUBSTITUTE(J575," ",""),"0",""),"-",""))+LEN(SUBSTITUTE(SUBSTITUTE(SUBSTITUTE(K575," ",""),"0",""),"-","")))=(LEN(SUBSTITUTE(SUBSTITUTE(SUBSTITUTE(M575," ",""),"0",""),"-",""))+LEN(SUBSTITUTE(SUBSTITUTE(SUBSTITUTE(N575," ",""),"0",""),"-",""))))),1,0)+IF(OR(L576="X",L576="x",AND(COUNTA(J576,K576,M576,N576)&gt;0,(LEN(SUBSTITUTE(SUBSTITUTE(SUBSTITUTE(J576," ",""),"0",""),"-",""))+LEN(SUBSTITUTE(SUBSTITUTE(SUBSTITUTE(K576," ",""),"0",""),"-","")))=(LEN(SUBSTITUTE(SUBSTITUTE(SUBSTITUTE(M576," ",""),"0",""),"-",""))+LEN(SUBSTITUTE(SUBSTITUTE(SUBSTITUTE(N576," ",""),"0",""),"-",""))))),1,0)),0)+IF(OR(COUNTA(J580:K584,M580:N584)&gt;0,OR(L579="X",L579="x"),UPPER(L580)="X",UPPER(L581)="X",UPPER(L582)="X",UPPER(L583)="X",UPPER(L584)="X"),(IF(OR(L580="X",L580="x",AND(COUNTA(J580,K580,M580,N580)&gt;0,(LEN(SUBSTITUTE(SUBSTITUTE(SUBSTITUTE(J580," ",""),"0",""),"-",""))+LEN(SUBSTITUTE(SUBSTITUTE(SUBSTITUTE(K580," ",""),"0",""),"-","")))=(LEN(SUBSTITUTE(SUBSTITUTE(SUBSTITUTE(M580," ",""),"0",""),"-",""))+LEN(SUBSTITUTE(SUBSTITUTE(SUBSTITUTE(N580," ",""),"0",""),"-",""))))),1,0)+IF(OR(L581="X",L581="x",AND(COUNTA(J581,K581,M581,N581)&gt;0,(LEN(SUBSTITUTE(SUBSTITUTE(SUBSTITUTE(J581," ",""),"0",""),"-",""))+LEN(SUBSTITUTE(SUBSTITUTE(SUBSTITUTE(K581," ",""),"0",""),"-","")))=(LEN(SUBSTITUTE(SUBSTITUTE(SUBSTITUTE(M581," ",""),"0",""),"-",""))+LEN(SUBSTITUTE(SUBSTITUTE(SUBSTITUTE(N581," ",""),"0",""),"-",""))))),1,0)+IF(OR(L582="X",L582="x",AND(COUNTA(J582,K582,M582,N582)&gt;0,(LEN(SUBSTITUTE(SUBSTITUTE(SUBSTITUTE(J582," ",""),"0",""),"-",""))+LEN(SUBSTITUTE(SUBSTITUTE(SUBSTITUTE(K582," ",""),"0",""),"-","")))=(LEN(SUBSTITUTE(SUBSTITUTE(SUBSTITUTE(M582," ",""),"0",""),"-",""))+LEN(SUBSTITUTE(SUBSTITUTE(SUBSTITUTE(N582," ",""),"0",""),"-",""))))),1,0)+IF(OR(L583="X",L583="x",AND(COUNTA(J583,K583,M583,N583)&gt;0,(LEN(SUBSTITUTE(SUBSTITUTE(SUBSTITUTE(J583," ",""),"0",""),"-",""))+LEN(SUBSTITUTE(SUBSTITUTE(SUBSTITUTE(K583," ",""),"0",""),"-","")))=(LEN(SUBSTITUTE(SUBSTITUTE(SUBSTITUTE(M583," ",""),"0",""),"-",""))+LEN(SUBSTITUTE(SUBSTITUTE(SUBSTITUTE(N583," ",""),"0",""),"-",""))))),1,0)+IF(OR(L584="X",L584="x",AND(COUNTA(J584,K584,M584,N584)&gt;0,(LEN(SUBSTITUTE(SUBSTITUTE(SUBSTITUTE(J584," ",""),"0",""),"-",""))+LEN(SUBSTITUTE(SUBSTITUTE(SUBSTITUTE(K584," ",""),"0",""),"-","")))=(LEN(SUBSTITUTE(SUBSTITUTE(SUBSTITUTE(M584," ",""),"0",""),"-",""))+LEN(SUBSTITUTE(SUBSTITUTE(SUBSTITUTE(N584," ",""),"0",""),"-",""))))),1,0)),0)</f>
      </c>
      <c r="M595" s="14" t="str">
        <f>K571+K579</f>
      </c>
      <c r="N595" s="14" t="str">
        <f>M571+M579</f>
      </c>
    </row>
    <row r="598">
      <c r="F598" s="13"/>
      <c r="G598" s="13" t="s">
        <v>344</v>
      </c>
      <c r="N598" s="13"/>
      <c r="O598" s="13" t="s">
        <v>344</v>
      </c>
    </row>
    <row r="599">
      <c r="F599" t="s">
        <v>345</v>
      </c>
      <c r="G599" s="19" t="str">
        <f>IFERROR(INDEX($A$588:$A$595, MATCH(1, $G$588:$G$595, 0)), "-")</f>
      </c>
      <c r="N599" t="s">
        <v>345</v>
      </c>
      <c r="O599" s="19" t="str">
        <f>IFERROR(INDEX($I$588:$I$595, MATCH(1, $O$588:$O$595, 0)), "-")</f>
      </c>
    </row>
    <row r="600">
      <c r="F600" t="s">
        <v>346</v>
      </c>
      <c r="G600" s="19" t="str">
        <f>IFERROR(INDEX($A$588:$A$595, MATCH(2, $G$588:$G$595, 0)), "-")</f>
      </c>
      <c r="N600" t="s">
        <v>346</v>
      </c>
      <c r="O600" s="19" t="str">
        <f>IFERROR(INDEX($I$588:$I$595, MATCH(2, $O$588:$O$595, 0)), "-")</f>
      </c>
    </row>
    <row r="601">
      <c r="F601" t="s">
        <v>347</v>
      </c>
      <c r="G601" s="19" t="str">
        <f>IFERROR(INDEX($A$588:$A$595, MATCH(3, $G$588:$G$595, 0)), "-")</f>
      </c>
      <c r="N601" t="s">
        <v>347</v>
      </c>
      <c r="O601" s="19" t="str">
        <f>IFERROR(INDEX($I$588:$I$595, MATCH(3, $O$588:$O$595, 0)), "-")</f>
      </c>
    </row>
    <row r="604">
      <c r="A604" s="13" t="str">
        <f>'data'!$A$47</f>
      </c>
      <c r="B604" s="13"/>
      <c r="C604" s="13"/>
      <c r="D604" s="13"/>
      <c r="E604" s="13"/>
      <c r="F604" s="13"/>
      <c r="G604" s="13"/>
      <c r="I604" s="13" t="str">
        <f>'data'!$A$93</f>
      </c>
      <c r="J604" s="13"/>
      <c r="K604" s="13"/>
      <c r="L604" s="13"/>
      <c r="M604" s="13"/>
      <c r="N604" s="13"/>
      <c r="O604" s="13"/>
    </row>
    <row r="605">
      <c r="A605" s="17" t="s">
        <v>331</v>
      </c>
      <c r="B605" s="14"/>
      <c r="C605" s="14"/>
      <c r="D605" s="14" t="s">
        <v>332</v>
      </c>
      <c r="E605" s="14"/>
      <c r="F605" s="14"/>
      <c r="G605" s="16" t="s">
        <v>333</v>
      </c>
      <c r="I605" s="17" t="s">
        <v>331</v>
      </c>
      <c r="J605" s="14"/>
      <c r="K605" s="14"/>
      <c r="L605" s="14" t="s">
        <v>332</v>
      </c>
      <c r="M605" s="14"/>
      <c r="N605" s="14"/>
      <c r="O605" s="16" t="s">
        <v>333</v>
      </c>
    </row>
    <row r="606">
      <c r="A606" s="14" t="str">
        <f>data!$E$46&amp;" "&amp;data!$B$46</f>
      </c>
      <c r="B606" s="14" t="str">
        <f>IF(UPPER(D607)="X",0,IF((LEN(SUBSTITUTE(SUBSTITUTE(SUBSTITUTE(B607," ",""),"0",""),"-",""))+LEN(SUBSTITUTE(SUBSTITUTE(SUBSTITUTE(C607," ",""),"0",""),"-","")))&gt;(LEN(SUBSTITUTE(SUBSTITUTE(SUBSTITUTE(E607," ",""),"0",""),"-",""))+LEN(SUBSTITUTE(SUBSTITUTE(SUBSTITUTE(F607," ",""),"0",""),"-",""))),1,0))+IF(UPPER(D608)="X",0,IF((LEN(SUBSTITUTE(SUBSTITUTE(SUBSTITUTE(B608," ",""),"0",""),"-",""))+LEN(SUBSTITUTE(SUBSTITUTE(SUBSTITUTE(C608," ",""),"0",""),"-","")))&gt;(LEN(SUBSTITUTE(SUBSTITUTE(SUBSTITUTE(E608," ",""),"0",""),"-",""))+LEN(SUBSTITUTE(SUBSTITUTE(SUBSTITUTE(F608," ",""),"0",""),"-",""))),1,0))+IF(UPPER(D609)="X",0,IF((LEN(SUBSTITUTE(SUBSTITUTE(SUBSTITUTE(B609," ",""),"0",""),"-",""))+LEN(SUBSTITUTE(SUBSTITUTE(SUBSTITUTE(C609," ",""),"0",""),"-","")))&gt;(LEN(SUBSTITUTE(SUBSTITUTE(SUBSTITUTE(E609," ",""),"0",""),"-",""))+LEN(SUBSTITUTE(SUBSTITUTE(SUBSTITUTE(F609," ",""),"0",""),"-",""))),1,0))+IF(UPPER(D610)="X",0,IF((LEN(SUBSTITUTE(SUBSTITUTE(SUBSTITUTE(B610," ",""),"0",""),"-",""))+LEN(SUBSTITUTE(SUBSTITUTE(SUBSTITUTE(C610," ",""),"0",""),"-","")))&gt;(LEN(SUBSTITUTE(SUBSTITUTE(SUBSTITUTE(E610," ",""),"0",""),"-",""))+LEN(SUBSTITUTE(SUBSTITUTE(SUBSTITUTE(F610," ",""),"0",""),"-",""))),1,0))+IF(UPPER(D611)="X",0,IF((LEN(SUBSTITUTE(SUBSTITUTE(SUBSTITUTE(B611," ",""),"0",""),"-",""))+LEN(SUBSTITUTE(SUBSTITUTE(SUBSTITUTE(C611," ",""),"0",""),"-","")))&gt;(LEN(SUBSTITUTE(SUBSTITUTE(SUBSTITUTE(E611," ",""),"0",""),"-",""))+LEN(SUBSTITUTE(SUBSTITUTE(SUBSTITUTE(F611," ",""),"0",""),"-",""))),1,0))</f>
      </c>
      <c r="C606" s="14" t="str">
        <f>LEN(SUBSTITUTE(SUBSTITUTE(SUBSTITUTE(B607," ",""),"0",""),"-",""))+LEN(SUBSTITUTE(SUBSTITUTE(SUBSTITUTE(C607," ",""),"0",""),"-",""))+LEN(SUBSTITUTE(SUBSTITUTE(SUBSTITUTE(B608," ",""),"0",""),"-",""))+LEN(SUBSTITUTE(SUBSTITUTE(SUBSTITUTE(C608," ",""),"0",""),"-",""))+LEN(SUBSTITUTE(SUBSTITUTE(SUBSTITUTE(B609," ",""),"0",""),"-",""))+LEN(SUBSTITUTE(SUBSTITUTE(SUBSTITUTE(C609," ",""),"0",""),"-",""))+LEN(SUBSTITUTE(SUBSTITUTE(SUBSTITUTE(B610," ",""),"0",""),"-",""))+LEN(SUBSTITUTE(SUBSTITUTE(SUBSTITUTE(C610," ",""),"0",""),"-",""))+LEN(SUBSTITUTE(SUBSTITUTE(SUBSTITUTE(B611," ",""),"0",""),"-",""))+LEN(SUBSTITUTE(SUBSTITUTE(SUBSTITUTE(C611," ",""),"0",""),"-",""))</f>
      </c>
      <c r="D606" s="18"/>
      <c r="E606" s="14" t="str">
        <f>LEN(SUBSTITUTE(SUBSTITUTE(SUBSTITUTE(E607," ",""),"0",""),"-",""))+LEN(SUBSTITUTE(SUBSTITUTE(SUBSTITUTE(F607," ",""),"0",""),"-",""))+LEN(SUBSTITUTE(SUBSTITUTE(SUBSTITUTE(E608," ",""),"0",""),"-",""))+LEN(SUBSTITUTE(SUBSTITUTE(SUBSTITUTE(F608," ",""),"0",""),"-",""))+LEN(SUBSTITUTE(SUBSTITUTE(SUBSTITUTE(E609," ",""),"0",""),"-",""))+LEN(SUBSTITUTE(SUBSTITUTE(SUBSTITUTE(F609," ",""),"0",""),"-",""))+LEN(SUBSTITUTE(SUBSTITUTE(SUBSTITUTE(E610," ",""),"0",""),"-",""))+LEN(SUBSTITUTE(SUBSTITUTE(SUBSTITUTE(F610," ",""),"0",""),"-",""))+LEN(SUBSTITUTE(SUBSTITUTE(SUBSTITUTE(E611," ",""),"0",""),"-",""))+LEN(SUBSTITUTE(SUBSTITUTE(SUBSTITUTE(F611," ",""),"0",""),"-",""))</f>
      </c>
      <c r="F606" s="14" t="str">
        <f>IF(UPPER(D607)="X",0,IF((LEN(SUBSTITUTE(SUBSTITUTE(SUBSTITUTE(E607," ",""),"0",""),"-",""))+LEN(SUBSTITUTE(SUBSTITUTE(SUBSTITUTE(F607," ",""),"0",""),"-","")))&gt;(LEN(SUBSTITUTE(SUBSTITUTE(SUBSTITUTE(B607," ",""),"0",""),"-",""))+LEN(SUBSTITUTE(SUBSTITUTE(SUBSTITUTE(C607," ",""),"0",""),"-",""))),1,0))+IF(UPPER(D608)="X",0,IF((LEN(SUBSTITUTE(SUBSTITUTE(SUBSTITUTE(E608," ",""),"0",""),"-",""))+LEN(SUBSTITUTE(SUBSTITUTE(SUBSTITUTE(F608," ",""),"0",""),"-","")))&gt;(LEN(SUBSTITUTE(SUBSTITUTE(SUBSTITUTE(B608," ",""),"0",""),"-",""))+LEN(SUBSTITUTE(SUBSTITUTE(SUBSTITUTE(C608," ",""),"0",""),"-",""))),1,0))+IF(UPPER(D609)="X",0,IF((LEN(SUBSTITUTE(SUBSTITUTE(SUBSTITUTE(E609," ",""),"0",""),"-",""))+LEN(SUBSTITUTE(SUBSTITUTE(SUBSTITUTE(F609," ",""),"0",""),"-","")))&gt;(LEN(SUBSTITUTE(SUBSTITUTE(SUBSTITUTE(B609," ",""),"0",""),"-",""))+LEN(SUBSTITUTE(SUBSTITUTE(SUBSTITUTE(C609," ",""),"0",""),"-",""))),1,0))+IF(UPPER(D610)="X",0,IF((LEN(SUBSTITUTE(SUBSTITUTE(SUBSTITUTE(E610," ",""),"0",""),"-",""))+LEN(SUBSTITUTE(SUBSTITUTE(SUBSTITUTE(F610," ",""),"0",""),"-","")))&gt;(LEN(SUBSTITUTE(SUBSTITUTE(SUBSTITUTE(B610," ",""),"0",""),"-",""))+LEN(SUBSTITUTE(SUBSTITUTE(SUBSTITUTE(C610," ",""),"0",""),"-",""))),1,0))+IF(UPPER(D611)="X",0,IF((LEN(SUBSTITUTE(SUBSTITUTE(SUBSTITUTE(E611," ",""),"0",""),"-",""))+LEN(SUBSTITUTE(SUBSTITUTE(SUBSTITUTE(F611," ",""),"0",""),"-","")))&gt;(LEN(SUBSTITUTE(SUBSTITUTE(SUBSTITUTE(B611," ",""),"0",""),"-",""))+LEN(SUBSTITUTE(SUBSTITUTE(SUBSTITUTE(C611," ",""),"0",""),"-",""))),1,0))</f>
      </c>
      <c r="G606" s="14" t="str">
        <f>data!$E$45&amp;" "&amp;data!$B$45</f>
      </c>
      <c r="I606" s="14" t="str">
        <f>data!$E$93&amp;" "&amp;data!$B$93</f>
      </c>
      <c r="J606" s="14" t="str">
        <f>IF(UPPER(L607)="X",0,IF((LEN(SUBSTITUTE(SUBSTITUTE(SUBSTITUTE(J607," ",""),"0",""),"-",""))+LEN(SUBSTITUTE(SUBSTITUTE(SUBSTITUTE(K607," ",""),"0",""),"-","")))&gt;(LEN(SUBSTITUTE(SUBSTITUTE(SUBSTITUTE(M607," ",""),"0",""),"-",""))+LEN(SUBSTITUTE(SUBSTITUTE(SUBSTITUTE(N607," ",""),"0",""),"-",""))),1,0))+IF(UPPER(L608)="X",0,IF((LEN(SUBSTITUTE(SUBSTITUTE(SUBSTITUTE(J608," ",""),"0",""),"-",""))+LEN(SUBSTITUTE(SUBSTITUTE(SUBSTITUTE(K608," ",""),"0",""),"-","")))&gt;(LEN(SUBSTITUTE(SUBSTITUTE(SUBSTITUTE(M608," ",""),"0",""),"-",""))+LEN(SUBSTITUTE(SUBSTITUTE(SUBSTITUTE(N608," ",""),"0",""),"-",""))),1,0))+IF(UPPER(L609)="X",0,IF((LEN(SUBSTITUTE(SUBSTITUTE(SUBSTITUTE(J609," ",""),"0",""),"-",""))+LEN(SUBSTITUTE(SUBSTITUTE(SUBSTITUTE(K609," ",""),"0",""),"-","")))&gt;(LEN(SUBSTITUTE(SUBSTITUTE(SUBSTITUTE(M609," ",""),"0",""),"-",""))+LEN(SUBSTITUTE(SUBSTITUTE(SUBSTITUTE(N609," ",""),"0",""),"-",""))),1,0))+IF(UPPER(L610)="X",0,IF((LEN(SUBSTITUTE(SUBSTITUTE(SUBSTITUTE(J610," ",""),"0",""),"-",""))+LEN(SUBSTITUTE(SUBSTITUTE(SUBSTITUTE(K610," ",""),"0",""),"-","")))&gt;(LEN(SUBSTITUTE(SUBSTITUTE(SUBSTITUTE(M610," ",""),"0",""),"-",""))+LEN(SUBSTITUTE(SUBSTITUTE(SUBSTITUTE(N610," ",""),"0",""),"-",""))),1,0))+IF(UPPER(L611)="X",0,IF((LEN(SUBSTITUTE(SUBSTITUTE(SUBSTITUTE(J611," ",""),"0",""),"-",""))+LEN(SUBSTITUTE(SUBSTITUTE(SUBSTITUTE(K611," ",""),"0",""),"-","")))&gt;(LEN(SUBSTITUTE(SUBSTITUTE(SUBSTITUTE(M611," ",""),"0",""),"-",""))+LEN(SUBSTITUTE(SUBSTITUTE(SUBSTITUTE(N611," ",""),"0",""),"-",""))),1,0))</f>
      </c>
      <c r="K606" s="14" t="str">
        <f>LEN(SUBSTITUTE(SUBSTITUTE(SUBSTITUTE(J607," ",""),"0",""),"-",""))+LEN(SUBSTITUTE(SUBSTITUTE(SUBSTITUTE(K607," ",""),"0",""),"-",""))+LEN(SUBSTITUTE(SUBSTITUTE(SUBSTITUTE(J608," ",""),"0",""),"-",""))+LEN(SUBSTITUTE(SUBSTITUTE(SUBSTITUTE(K608," ",""),"0",""),"-",""))+LEN(SUBSTITUTE(SUBSTITUTE(SUBSTITUTE(J609," ",""),"0",""),"-",""))+LEN(SUBSTITUTE(SUBSTITUTE(SUBSTITUTE(K609," ",""),"0",""),"-",""))+LEN(SUBSTITUTE(SUBSTITUTE(SUBSTITUTE(J610," ",""),"0",""),"-",""))+LEN(SUBSTITUTE(SUBSTITUTE(SUBSTITUTE(K610," ",""),"0",""),"-",""))+LEN(SUBSTITUTE(SUBSTITUTE(SUBSTITUTE(J611," ",""),"0",""),"-",""))+LEN(SUBSTITUTE(SUBSTITUTE(SUBSTITUTE(K611," ",""),"0",""),"-",""))</f>
      </c>
      <c r="L606" s="18"/>
      <c r="M606" s="14" t="str">
        <f>LEN(SUBSTITUTE(SUBSTITUTE(SUBSTITUTE(M607," ",""),"0",""),"-",""))+LEN(SUBSTITUTE(SUBSTITUTE(SUBSTITUTE(N607," ",""),"0",""),"-",""))+LEN(SUBSTITUTE(SUBSTITUTE(SUBSTITUTE(M608," ",""),"0",""),"-",""))+LEN(SUBSTITUTE(SUBSTITUTE(SUBSTITUTE(N608," ",""),"0",""),"-",""))+LEN(SUBSTITUTE(SUBSTITUTE(SUBSTITUTE(M609," ",""),"0",""),"-",""))+LEN(SUBSTITUTE(SUBSTITUTE(SUBSTITUTE(N609," ",""),"0",""),"-",""))+LEN(SUBSTITUTE(SUBSTITUTE(SUBSTITUTE(M610," ",""),"0",""),"-",""))+LEN(SUBSTITUTE(SUBSTITUTE(SUBSTITUTE(N610," ",""),"0",""),"-",""))+LEN(SUBSTITUTE(SUBSTITUTE(SUBSTITUTE(M611," ",""),"0",""),"-",""))+LEN(SUBSTITUTE(SUBSTITUTE(SUBSTITUTE(N611," ",""),"0",""),"-",""))</f>
      </c>
      <c r="N606" s="14" t="str">
        <f>IF(UPPER(L607)="X",0,IF((LEN(SUBSTITUTE(SUBSTITUTE(SUBSTITUTE(M607," ",""),"0",""),"-",""))+LEN(SUBSTITUTE(SUBSTITUTE(SUBSTITUTE(N607," ",""),"0",""),"-","")))&gt;(LEN(SUBSTITUTE(SUBSTITUTE(SUBSTITUTE(J607," ",""),"0",""),"-",""))+LEN(SUBSTITUTE(SUBSTITUTE(SUBSTITUTE(K607," ",""),"0",""),"-",""))),1,0))+IF(UPPER(L608)="X",0,IF((LEN(SUBSTITUTE(SUBSTITUTE(SUBSTITUTE(M608," ",""),"0",""),"-",""))+LEN(SUBSTITUTE(SUBSTITUTE(SUBSTITUTE(N608," ",""),"0",""),"-","")))&gt;(LEN(SUBSTITUTE(SUBSTITUTE(SUBSTITUTE(J608," ",""),"0",""),"-",""))+LEN(SUBSTITUTE(SUBSTITUTE(SUBSTITUTE(K608," ",""),"0",""),"-",""))),1,0))+IF(UPPER(L609)="X",0,IF((LEN(SUBSTITUTE(SUBSTITUTE(SUBSTITUTE(M609," ",""),"0",""),"-",""))+LEN(SUBSTITUTE(SUBSTITUTE(SUBSTITUTE(N609," ",""),"0",""),"-","")))&gt;(LEN(SUBSTITUTE(SUBSTITUTE(SUBSTITUTE(J609," ",""),"0",""),"-",""))+LEN(SUBSTITUTE(SUBSTITUTE(SUBSTITUTE(K609," ",""),"0",""),"-",""))),1,0))+IF(UPPER(L610)="X",0,IF((LEN(SUBSTITUTE(SUBSTITUTE(SUBSTITUTE(M610," ",""),"0",""),"-",""))+LEN(SUBSTITUTE(SUBSTITUTE(SUBSTITUTE(N610," ",""),"0",""),"-","")))&gt;(LEN(SUBSTITUTE(SUBSTITUTE(SUBSTITUTE(J610," ",""),"0",""),"-",""))+LEN(SUBSTITUTE(SUBSTITUTE(SUBSTITUTE(K610," ",""),"0",""),"-",""))),1,0))+IF(UPPER(L611)="X",0,IF((LEN(SUBSTITUTE(SUBSTITUTE(SUBSTITUTE(M611," ",""),"0",""),"-",""))+LEN(SUBSTITUTE(SUBSTITUTE(SUBSTITUTE(N611," ",""),"0",""),"-","")))&gt;(LEN(SUBSTITUTE(SUBSTITUTE(SUBSTITUTE(J611," ",""),"0",""),"-",""))+LEN(SUBSTITUTE(SUBSTITUTE(SUBSTITUTE(K611," ",""),"0",""),"-",""))),1,0))</f>
      </c>
      <c r="O606" s="14" t="str">
        <f>data!$E$92&amp;" "&amp;data!$B$92</f>
      </c>
    </row>
    <row r="607">
      <c r="A607" s="14">
        <v>1</v>
      </c>
      <c r="B607" s="18"/>
      <c r="C607" s="18"/>
      <c r="D607" s="18"/>
      <c r="E607" s="18"/>
      <c r="F607" s="18"/>
      <c r="G607" s="14">
        <v>1</v>
      </c>
      <c r="I607" s="14">
        <v>1</v>
      </c>
      <c r="J607" s="18"/>
      <c r="K607" s="18"/>
      <c r="L607" s="18"/>
      <c r="M607" s="18"/>
      <c r="N607" s="18"/>
      <c r="O607" s="14">
        <v>1</v>
      </c>
    </row>
    <row r="608">
      <c r="A608" s="14">
        <v>2</v>
      </c>
      <c r="B608" s="18"/>
      <c r="C608" s="18"/>
      <c r="D608" s="18"/>
      <c r="E608" s="18"/>
      <c r="F608" s="18"/>
      <c r="G608" s="14">
        <v>2</v>
      </c>
      <c r="I608" s="14">
        <v>2</v>
      </c>
      <c r="J608" s="18"/>
      <c r="K608" s="18"/>
      <c r="L608" s="18"/>
      <c r="M608" s="18"/>
      <c r="N608" s="18"/>
      <c r="O608" s="14">
        <v>2</v>
      </c>
    </row>
    <row r="609">
      <c r="A609" s="14">
        <v>3</v>
      </c>
      <c r="B609" s="18"/>
      <c r="C609" s="18"/>
      <c r="D609" s="18"/>
      <c r="E609" s="18"/>
      <c r="F609" s="18"/>
      <c r="G609" s="14">
        <v>3</v>
      </c>
      <c r="I609" s="14">
        <v>3</v>
      </c>
      <c r="J609" s="18"/>
      <c r="K609" s="18"/>
      <c r="L609" s="18"/>
      <c r="M609" s="18"/>
      <c r="N609" s="18"/>
      <c r="O609" s="14">
        <v>3</v>
      </c>
    </row>
    <row r="610">
      <c r="A610" s="14">
        <v>4</v>
      </c>
      <c r="B610" s="18"/>
      <c r="C610" s="18"/>
      <c r="D610" s="18"/>
      <c r="E610" s="18"/>
      <c r="F610" s="18"/>
      <c r="G610" s="14">
        <v>4</v>
      </c>
      <c r="I610" s="14">
        <v>4</v>
      </c>
      <c r="J610" s="18"/>
      <c r="K610" s="18"/>
      <c r="L610" s="18"/>
      <c r="M610" s="18"/>
      <c r="N610" s="18"/>
      <c r="O610" s="14">
        <v>4</v>
      </c>
    </row>
    <row r="611">
      <c r="A611" s="14">
        <v>5</v>
      </c>
      <c r="B611" s="18"/>
      <c r="C611" s="18"/>
      <c r="D611" s="18"/>
      <c r="E611" s="18"/>
      <c r="F611" s="18"/>
      <c r="G611" s="14">
        <v>5</v>
      </c>
      <c r="I611" s="14">
        <v>5</v>
      </c>
      <c r="J611" s="18"/>
      <c r="K611" s="18"/>
      <c r="L611" s="18"/>
      <c r="M611" s="18"/>
      <c r="N611" s="18"/>
      <c r="O611" s="14">
        <v>5</v>
      </c>
    </row>
    <row r="613">
      <c r="A613" s="17" t="s">
        <v>331</v>
      </c>
      <c r="B613" s="14"/>
      <c r="C613" s="14"/>
      <c r="D613" s="14" t="s">
        <v>332</v>
      </c>
      <c r="E613" s="14"/>
      <c r="F613" s="14"/>
      <c r="G613" s="16" t="s">
        <v>333</v>
      </c>
    </row>
    <row r="614">
      <c r="A614" s="14" t="str">
        <f>data!$E$47&amp;" "&amp;data!$B$47</f>
      </c>
      <c r="B614" s="14" t="str">
        <f>IF(UPPER(D615)="X",0,IF((LEN(SUBSTITUTE(SUBSTITUTE(SUBSTITUTE(B615," ",""),"0",""),"-",""))+LEN(SUBSTITUTE(SUBSTITUTE(SUBSTITUTE(C615," ",""),"0",""),"-","")))&gt;(LEN(SUBSTITUTE(SUBSTITUTE(SUBSTITUTE(E615," ",""),"0",""),"-",""))+LEN(SUBSTITUTE(SUBSTITUTE(SUBSTITUTE(F615," ",""),"0",""),"-",""))),1,0))+IF(UPPER(D616)="X",0,IF((LEN(SUBSTITUTE(SUBSTITUTE(SUBSTITUTE(B616," ",""),"0",""),"-",""))+LEN(SUBSTITUTE(SUBSTITUTE(SUBSTITUTE(C616," ",""),"0",""),"-","")))&gt;(LEN(SUBSTITUTE(SUBSTITUTE(SUBSTITUTE(E616," ",""),"0",""),"-",""))+LEN(SUBSTITUTE(SUBSTITUTE(SUBSTITUTE(F616," ",""),"0",""),"-",""))),1,0))+IF(UPPER(D617)="X",0,IF((LEN(SUBSTITUTE(SUBSTITUTE(SUBSTITUTE(B617," ",""),"0",""),"-",""))+LEN(SUBSTITUTE(SUBSTITUTE(SUBSTITUTE(C617," ",""),"0",""),"-","")))&gt;(LEN(SUBSTITUTE(SUBSTITUTE(SUBSTITUTE(E617," ",""),"0",""),"-",""))+LEN(SUBSTITUTE(SUBSTITUTE(SUBSTITUTE(F617," ",""),"0",""),"-",""))),1,0))+IF(UPPER(D618)="X",0,IF((LEN(SUBSTITUTE(SUBSTITUTE(SUBSTITUTE(B618," ",""),"0",""),"-",""))+LEN(SUBSTITUTE(SUBSTITUTE(SUBSTITUTE(C618," ",""),"0",""),"-","")))&gt;(LEN(SUBSTITUTE(SUBSTITUTE(SUBSTITUTE(E618," ",""),"0",""),"-",""))+LEN(SUBSTITUTE(SUBSTITUTE(SUBSTITUTE(F618," ",""),"0",""),"-",""))),1,0))+IF(UPPER(D619)="X",0,IF((LEN(SUBSTITUTE(SUBSTITUTE(SUBSTITUTE(B619," ",""),"0",""),"-",""))+LEN(SUBSTITUTE(SUBSTITUTE(SUBSTITUTE(C619," ",""),"0",""),"-","")))&gt;(LEN(SUBSTITUTE(SUBSTITUTE(SUBSTITUTE(E619," ",""),"0",""),"-",""))+LEN(SUBSTITUTE(SUBSTITUTE(SUBSTITUTE(F619," ",""),"0",""),"-",""))),1,0))</f>
      </c>
      <c r="C614" s="14" t="str">
        <f>LEN(SUBSTITUTE(SUBSTITUTE(SUBSTITUTE(B615," ",""),"0",""),"-",""))+LEN(SUBSTITUTE(SUBSTITUTE(SUBSTITUTE(C615," ",""),"0",""),"-",""))+LEN(SUBSTITUTE(SUBSTITUTE(SUBSTITUTE(B616," ",""),"0",""),"-",""))+LEN(SUBSTITUTE(SUBSTITUTE(SUBSTITUTE(C616," ",""),"0",""),"-",""))+LEN(SUBSTITUTE(SUBSTITUTE(SUBSTITUTE(B617," ",""),"0",""),"-",""))+LEN(SUBSTITUTE(SUBSTITUTE(SUBSTITUTE(C617," ",""),"0",""),"-",""))+LEN(SUBSTITUTE(SUBSTITUTE(SUBSTITUTE(B618," ",""),"0",""),"-",""))+LEN(SUBSTITUTE(SUBSTITUTE(SUBSTITUTE(C618," ",""),"0",""),"-",""))+LEN(SUBSTITUTE(SUBSTITUTE(SUBSTITUTE(B619," ",""),"0",""),"-",""))+LEN(SUBSTITUTE(SUBSTITUTE(SUBSTITUTE(C619," ",""),"0",""),"-",""))</f>
      </c>
      <c r="D614" s="18"/>
      <c r="E614" s="14" t="str">
        <f>LEN(SUBSTITUTE(SUBSTITUTE(SUBSTITUTE(E615," ",""),"0",""),"-",""))+LEN(SUBSTITUTE(SUBSTITUTE(SUBSTITUTE(F615," ",""),"0",""),"-",""))+LEN(SUBSTITUTE(SUBSTITUTE(SUBSTITUTE(E616," ",""),"0",""),"-",""))+LEN(SUBSTITUTE(SUBSTITUTE(SUBSTITUTE(F616," ",""),"0",""),"-",""))+LEN(SUBSTITUTE(SUBSTITUTE(SUBSTITUTE(E617," ",""),"0",""),"-",""))+LEN(SUBSTITUTE(SUBSTITUTE(SUBSTITUTE(F617," ",""),"0",""),"-",""))+LEN(SUBSTITUTE(SUBSTITUTE(SUBSTITUTE(E618," ",""),"0",""),"-",""))+LEN(SUBSTITUTE(SUBSTITUTE(SUBSTITUTE(F618," ",""),"0",""),"-",""))+LEN(SUBSTITUTE(SUBSTITUTE(SUBSTITUTE(E619," ",""),"0",""),"-",""))+LEN(SUBSTITUTE(SUBSTITUTE(SUBSTITUTE(F619," ",""),"0",""),"-",""))</f>
      </c>
      <c r="F614" s="14" t="str">
        <f>IF(UPPER(D615)="X",0,IF((LEN(SUBSTITUTE(SUBSTITUTE(SUBSTITUTE(E615," ",""),"0",""),"-",""))+LEN(SUBSTITUTE(SUBSTITUTE(SUBSTITUTE(F615," ",""),"0",""),"-","")))&gt;(LEN(SUBSTITUTE(SUBSTITUTE(SUBSTITUTE(B615," ",""),"0",""),"-",""))+LEN(SUBSTITUTE(SUBSTITUTE(SUBSTITUTE(C615," ",""),"0",""),"-",""))),1,0))+IF(UPPER(D616)="X",0,IF((LEN(SUBSTITUTE(SUBSTITUTE(SUBSTITUTE(E616," ",""),"0",""),"-",""))+LEN(SUBSTITUTE(SUBSTITUTE(SUBSTITUTE(F616," ",""),"0",""),"-","")))&gt;(LEN(SUBSTITUTE(SUBSTITUTE(SUBSTITUTE(B616," ",""),"0",""),"-",""))+LEN(SUBSTITUTE(SUBSTITUTE(SUBSTITUTE(C616," ",""),"0",""),"-",""))),1,0))+IF(UPPER(D617)="X",0,IF((LEN(SUBSTITUTE(SUBSTITUTE(SUBSTITUTE(E617," ",""),"0",""),"-",""))+LEN(SUBSTITUTE(SUBSTITUTE(SUBSTITUTE(F617," ",""),"0",""),"-","")))&gt;(LEN(SUBSTITUTE(SUBSTITUTE(SUBSTITUTE(B617," ",""),"0",""),"-",""))+LEN(SUBSTITUTE(SUBSTITUTE(SUBSTITUTE(C617," ",""),"0",""),"-",""))),1,0))+IF(UPPER(D618)="X",0,IF((LEN(SUBSTITUTE(SUBSTITUTE(SUBSTITUTE(E618," ",""),"0",""),"-",""))+LEN(SUBSTITUTE(SUBSTITUTE(SUBSTITUTE(F618," ",""),"0",""),"-","")))&gt;(LEN(SUBSTITUTE(SUBSTITUTE(SUBSTITUTE(B618," ",""),"0",""),"-",""))+LEN(SUBSTITUTE(SUBSTITUTE(SUBSTITUTE(C618," ",""),"0",""),"-",""))),1,0))+IF(UPPER(D619)="X",0,IF((LEN(SUBSTITUTE(SUBSTITUTE(SUBSTITUTE(E619," ",""),"0",""),"-",""))+LEN(SUBSTITUTE(SUBSTITUTE(SUBSTITUTE(F619," ",""),"0",""),"-","")))&gt;(LEN(SUBSTITUTE(SUBSTITUTE(SUBSTITUTE(B619," ",""),"0",""),"-",""))+LEN(SUBSTITUTE(SUBSTITUTE(SUBSTITUTE(C619," ",""),"0",""),"-",""))),1,0))</f>
      </c>
      <c r="G614" s="14" t="str">
        <f>data!$E$45&amp;" "&amp;data!$B$45</f>
      </c>
    </row>
    <row r="615">
      <c r="A615" s="14">
        <v>1</v>
      </c>
      <c r="B615" s="18"/>
      <c r="C615" s="18"/>
      <c r="D615" s="18"/>
      <c r="E615" s="18"/>
      <c r="F615" s="18"/>
      <c r="G615" s="14">
        <v>1</v>
      </c>
    </row>
    <row r="616">
      <c r="A616" s="14">
        <v>2</v>
      </c>
      <c r="B616" s="18"/>
      <c r="C616" s="18"/>
      <c r="D616" s="18"/>
      <c r="E616" s="18"/>
      <c r="F616" s="18"/>
      <c r="G616" s="14">
        <v>2</v>
      </c>
    </row>
    <row r="617">
      <c r="A617" s="14">
        <v>3</v>
      </c>
      <c r="B617" s="18"/>
      <c r="C617" s="18"/>
      <c r="D617" s="18"/>
      <c r="E617" s="18"/>
      <c r="F617" s="18"/>
      <c r="G617" s="14">
        <v>3</v>
      </c>
    </row>
    <row r="618">
      <c r="A618" s="14">
        <v>4</v>
      </c>
      <c r="B618" s="18"/>
      <c r="C618" s="18"/>
      <c r="D618" s="18"/>
      <c r="E618" s="18"/>
      <c r="F618" s="18"/>
      <c r="G618" s="14">
        <v>4</v>
      </c>
    </row>
    <row r="619">
      <c r="A619" s="14">
        <v>5</v>
      </c>
      <c r="B619" s="18"/>
      <c r="C619" s="18"/>
      <c r="D619" s="18"/>
      <c r="E619" s="18"/>
      <c r="F619" s="18"/>
      <c r="G619" s="14">
        <v>5</v>
      </c>
    </row>
    <row r="621">
      <c r="A621" s="17" t="s">
        <v>331</v>
      </c>
      <c r="B621" s="14"/>
      <c r="C621" s="14"/>
      <c r="D621" s="14" t="s">
        <v>332</v>
      </c>
      <c r="E621" s="14"/>
      <c r="F621" s="14"/>
      <c r="G621" s="16" t="s">
        <v>333</v>
      </c>
    </row>
    <row r="622">
      <c r="A622" s="14" t="str">
        <f>data!$E$47&amp;" "&amp;data!$B$47</f>
      </c>
      <c r="B622" s="14" t="str">
        <f>IF(UPPER(D623)="X",0,IF((LEN(SUBSTITUTE(SUBSTITUTE(SUBSTITUTE(B623," ",""),"0",""),"-",""))+LEN(SUBSTITUTE(SUBSTITUTE(SUBSTITUTE(C623," ",""),"0",""),"-","")))&gt;(LEN(SUBSTITUTE(SUBSTITUTE(SUBSTITUTE(E623," ",""),"0",""),"-",""))+LEN(SUBSTITUTE(SUBSTITUTE(SUBSTITUTE(F623," ",""),"0",""),"-",""))),1,0))+IF(UPPER(D624)="X",0,IF((LEN(SUBSTITUTE(SUBSTITUTE(SUBSTITUTE(B624," ",""),"0",""),"-",""))+LEN(SUBSTITUTE(SUBSTITUTE(SUBSTITUTE(C624," ",""),"0",""),"-","")))&gt;(LEN(SUBSTITUTE(SUBSTITUTE(SUBSTITUTE(E624," ",""),"0",""),"-",""))+LEN(SUBSTITUTE(SUBSTITUTE(SUBSTITUTE(F624," ",""),"0",""),"-",""))),1,0))+IF(UPPER(D625)="X",0,IF((LEN(SUBSTITUTE(SUBSTITUTE(SUBSTITUTE(B625," ",""),"0",""),"-",""))+LEN(SUBSTITUTE(SUBSTITUTE(SUBSTITUTE(C625," ",""),"0",""),"-","")))&gt;(LEN(SUBSTITUTE(SUBSTITUTE(SUBSTITUTE(E625," ",""),"0",""),"-",""))+LEN(SUBSTITUTE(SUBSTITUTE(SUBSTITUTE(F625," ",""),"0",""),"-",""))),1,0))+IF(UPPER(D626)="X",0,IF((LEN(SUBSTITUTE(SUBSTITUTE(SUBSTITUTE(B626," ",""),"0",""),"-",""))+LEN(SUBSTITUTE(SUBSTITUTE(SUBSTITUTE(C626," ",""),"0",""),"-","")))&gt;(LEN(SUBSTITUTE(SUBSTITUTE(SUBSTITUTE(E626," ",""),"0",""),"-",""))+LEN(SUBSTITUTE(SUBSTITUTE(SUBSTITUTE(F626," ",""),"0",""),"-",""))),1,0))+IF(UPPER(D627)="X",0,IF((LEN(SUBSTITUTE(SUBSTITUTE(SUBSTITUTE(B627," ",""),"0",""),"-",""))+LEN(SUBSTITUTE(SUBSTITUTE(SUBSTITUTE(C627," ",""),"0",""),"-","")))&gt;(LEN(SUBSTITUTE(SUBSTITUTE(SUBSTITUTE(E627," ",""),"0",""),"-",""))+LEN(SUBSTITUTE(SUBSTITUTE(SUBSTITUTE(F627," ",""),"0",""),"-",""))),1,0))</f>
      </c>
      <c r="C622" s="14" t="str">
        <f>LEN(SUBSTITUTE(SUBSTITUTE(SUBSTITUTE(B623," ",""),"0",""),"-",""))+LEN(SUBSTITUTE(SUBSTITUTE(SUBSTITUTE(C623," ",""),"0",""),"-",""))+LEN(SUBSTITUTE(SUBSTITUTE(SUBSTITUTE(B624," ",""),"0",""),"-",""))+LEN(SUBSTITUTE(SUBSTITUTE(SUBSTITUTE(C624," ",""),"0",""),"-",""))+LEN(SUBSTITUTE(SUBSTITUTE(SUBSTITUTE(B625," ",""),"0",""),"-",""))+LEN(SUBSTITUTE(SUBSTITUTE(SUBSTITUTE(C625," ",""),"0",""),"-",""))+LEN(SUBSTITUTE(SUBSTITUTE(SUBSTITUTE(B626," ",""),"0",""),"-",""))+LEN(SUBSTITUTE(SUBSTITUTE(SUBSTITUTE(C626," ",""),"0",""),"-",""))+LEN(SUBSTITUTE(SUBSTITUTE(SUBSTITUTE(B627," ",""),"0",""),"-",""))+LEN(SUBSTITUTE(SUBSTITUTE(SUBSTITUTE(C627," ",""),"0",""),"-",""))</f>
      </c>
      <c r="D622" s="18"/>
      <c r="E622" s="14" t="str">
        <f>LEN(SUBSTITUTE(SUBSTITUTE(SUBSTITUTE(E623," ",""),"0",""),"-",""))+LEN(SUBSTITUTE(SUBSTITUTE(SUBSTITUTE(F623," ",""),"0",""),"-",""))+LEN(SUBSTITUTE(SUBSTITUTE(SUBSTITUTE(E624," ",""),"0",""),"-",""))+LEN(SUBSTITUTE(SUBSTITUTE(SUBSTITUTE(F624," ",""),"0",""),"-",""))+LEN(SUBSTITUTE(SUBSTITUTE(SUBSTITUTE(E625," ",""),"0",""),"-",""))+LEN(SUBSTITUTE(SUBSTITUTE(SUBSTITUTE(F625," ",""),"0",""),"-",""))+LEN(SUBSTITUTE(SUBSTITUTE(SUBSTITUTE(E626," ",""),"0",""),"-",""))+LEN(SUBSTITUTE(SUBSTITUTE(SUBSTITUTE(F626," ",""),"0",""),"-",""))+LEN(SUBSTITUTE(SUBSTITUTE(SUBSTITUTE(E627," ",""),"0",""),"-",""))+LEN(SUBSTITUTE(SUBSTITUTE(SUBSTITUTE(F627," ",""),"0",""),"-",""))</f>
      </c>
      <c r="F622" s="14" t="str">
        <f>IF(UPPER(D623)="X",0,IF((LEN(SUBSTITUTE(SUBSTITUTE(SUBSTITUTE(E623," ",""),"0",""),"-",""))+LEN(SUBSTITUTE(SUBSTITUTE(SUBSTITUTE(F623," ",""),"0",""),"-","")))&gt;(LEN(SUBSTITUTE(SUBSTITUTE(SUBSTITUTE(B623," ",""),"0",""),"-",""))+LEN(SUBSTITUTE(SUBSTITUTE(SUBSTITUTE(C623," ",""),"0",""),"-",""))),1,0))+IF(UPPER(D624)="X",0,IF((LEN(SUBSTITUTE(SUBSTITUTE(SUBSTITUTE(E624," ",""),"0",""),"-",""))+LEN(SUBSTITUTE(SUBSTITUTE(SUBSTITUTE(F624," ",""),"0",""),"-","")))&gt;(LEN(SUBSTITUTE(SUBSTITUTE(SUBSTITUTE(B624," ",""),"0",""),"-",""))+LEN(SUBSTITUTE(SUBSTITUTE(SUBSTITUTE(C624," ",""),"0",""),"-",""))),1,0))+IF(UPPER(D625)="X",0,IF((LEN(SUBSTITUTE(SUBSTITUTE(SUBSTITUTE(E625," ",""),"0",""),"-",""))+LEN(SUBSTITUTE(SUBSTITUTE(SUBSTITUTE(F625," ",""),"0",""),"-","")))&gt;(LEN(SUBSTITUTE(SUBSTITUTE(SUBSTITUTE(B625," ",""),"0",""),"-",""))+LEN(SUBSTITUTE(SUBSTITUTE(SUBSTITUTE(C625," ",""),"0",""),"-",""))),1,0))+IF(UPPER(D626)="X",0,IF((LEN(SUBSTITUTE(SUBSTITUTE(SUBSTITUTE(E626," ",""),"0",""),"-",""))+LEN(SUBSTITUTE(SUBSTITUTE(SUBSTITUTE(F626," ",""),"0",""),"-","")))&gt;(LEN(SUBSTITUTE(SUBSTITUTE(SUBSTITUTE(B626," ",""),"0",""),"-",""))+LEN(SUBSTITUTE(SUBSTITUTE(SUBSTITUTE(C626," ",""),"0",""),"-",""))),1,0))+IF(UPPER(D627)="X",0,IF((LEN(SUBSTITUTE(SUBSTITUTE(SUBSTITUTE(E627," ",""),"0",""),"-",""))+LEN(SUBSTITUTE(SUBSTITUTE(SUBSTITUTE(F627," ",""),"0",""),"-","")))&gt;(LEN(SUBSTITUTE(SUBSTITUTE(SUBSTITUTE(B627," ",""),"0",""),"-",""))+LEN(SUBSTITUTE(SUBSTITUTE(SUBSTITUTE(C627," ",""),"0",""),"-",""))),1,0))</f>
      </c>
      <c r="G622" s="14" t="str">
        <f>data!$E$46&amp;" "&amp;data!$B$46</f>
      </c>
    </row>
    <row r="623">
      <c r="A623" s="14">
        <v>1</v>
      </c>
      <c r="B623" s="18"/>
      <c r="C623" s="18"/>
      <c r="D623" s="18"/>
      <c r="E623" s="18"/>
      <c r="F623" s="18"/>
      <c r="G623" s="14">
        <v>1</v>
      </c>
    </row>
    <row r="624">
      <c r="A624" s="14">
        <v>2</v>
      </c>
      <c r="B624" s="18"/>
      <c r="C624" s="18"/>
      <c r="D624" s="18"/>
      <c r="E624" s="18"/>
      <c r="F624" s="18"/>
      <c r="G624" s="14">
        <v>2</v>
      </c>
    </row>
    <row r="625">
      <c r="A625" s="14">
        <v>3</v>
      </c>
      <c r="B625" s="18"/>
      <c r="C625" s="18"/>
      <c r="D625" s="18"/>
      <c r="E625" s="18"/>
      <c r="F625" s="18"/>
      <c r="G625" s="14">
        <v>3</v>
      </c>
    </row>
    <row r="626">
      <c r="A626" s="14">
        <v>4</v>
      </c>
      <c r="B626" s="18"/>
      <c r="C626" s="18"/>
      <c r="D626" s="18"/>
      <c r="E626" s="18"/>
      <c r="F626" s="18"/>
      <c r="G626" s="14">
        <v>4</v>
      </c>
    </row>
    <row r="627">
      <c r="A627" s="14">
        <v>5</v>
      </c>
      <c r="B627" s="18"/>
      <c r="C627" s="18"/>
      <c r="D627" s="18"/>
      <c r="E627" s="18"/>
      <c r="F627" s="18"/>
      <c r="G627" s="14">
        <v>5</v>
      </c>
    </row>
    <row r="630">
      <c r="A630" s="13" t="s">
        <v>334</v>
      </c>
      <c r="B630" s="13" t="s">
        <v>335</v>
      </c>
      <c r="C630" s="13" t="s">
        <v>336</v>
      </c>
      <c r="D630" s="13" t="s">
        <v>337</v>
      </c>
      <c r="E630" s="13"/>
      <c r="F630" s="13"/>
      <c r="G630" s="13" t="s">
        <v>338</v>
      </c>
      <c r="I630" s="13" t="s">
        <v>334</v>
      </c>
      <c r="J630" s="13" t="s">
        <v>335</v>
      </c>
      <c r="K630" s="13" t="s">
        <v>336</v>
      </c>
      <c r="L630" s="13" t="s">
        <v>337</v>
      </c>
      <c r="M630" s="13"/>
      <c r="N630" s="13"/>
      <c r="O630" s="13" t="s">
        <v>338</v>
      </c>
    </row>
    <row r="631">
      <c r="A631" s="14" t="str">
        <f>data!$E$45&amp;" "&amp;data!$B$45</f>
      </c>
      <c r="B631" s="14" t="str">
        <f>IF(OR(COUNTA(B607:C611,E607:F611)&gt;0,D607="X",D607="x",D608="X",D608="x",D609="X",D609="x",D610="X",D610="x",D611="X",D611="x",OR(D606="X",D606="x")),IF(OR(OR(D606="X",D606="x"),AND(B606=F606,C606=E606)),0,IF(OR(F606&gt;B606,AND(F606=B606,E606&gt;C606)),1,0)),0)+IF(OR(COUNTA(B615:C619,E615:F619)&gt;0,D615="X",D615="x",D616="X",D616="x",D617="X",D617="x",D618="X",D618="x",D619="X",D619="x",OR(D614="X",D614="x")),IF(OR(OR(D614="X",D614="x"),AND(B614=F614,C614=E614)),0,IF(OR(F614&gt;B614,AND(F614=B614,E614&gt;C614)),1,0)),0)</f>
      </c>
      <c r="C631" s="14" t="str">
        <f>IF(OR(COUNTA(B607:C611,E607:F611)&gt;0,D607="X",D607="x",D608="X",D608="x",D609="X",D609="x",D610="X",D610="x",D611="X",D611="x",OR(D606="X",D606="x")),IF(OR(OR(D606="X",D606="x"),AND(B606=F606,C606=E606)),0,IF(OR(F606&lt;B606,AND(F606=B606,E606&lt;C606)),1,0)),0)+IF(OR(COUNTA(B615:C619,E615:F619)&gt;0,D615="X",D615="x",D616="X",D616="x",D617="X",D617="x",D618="X",D618="x",D619="X",D619="x",OR(D614="X",D614="x")),IF(OR(OR(D614="X",D614="x"),AND(B614=F614,C614=E614)),0,IF(OR(F614&lt;B614,AND(F614=B614,E614&lt;C614)),1,0)),0)</f>
      </c>
      <c r="D631" s="14" t="str">
        <f>IF(OR(COUNTA(B607:C611,E607:F611)&gt;0,D607="X",D607="x",D608="X",D608="x",D609="X",D609="x",D610="X",D610="x",D611="X",D611="x",OR(D606="X",D606="x")),IF(OR(OR(D606="X",D606="x"),AND(B606=F606,C606=E606)),1,0),0)+IF(OR(COUNTA(B615:C619,E615:F619)&gt;0,D615="X",D615="x",D616="X",D616="x",D617="X",D617="x",D618="X",D618="x",D619="X",D619="x",OR(D614="X",D614="x")),IF(OR(OR(D614="X",D614="x"),AND(B614=F614,C614=E614)),1,0),0)</f>
      </c>
      <c r="G631" s="18" t="str">
        <f>RANK(U631,$U$631:$U$633)+COUNTIF($U$630:U630,U631)</f>
      </c>
      <c r="I631" s="14" t="str">
        <f>data!$E$92&amp;" "&amp;data!$B$92</f>
      </c>
      <c r="J631" s="14" t="str">
        <f>IF(OR(COUNTA(J607:K611,M607:N611)&gt;0,L607="X",L607="x",L608="X",L608="x",L609="X",L609="x",L610="X",L610="x",L611="X",L611="x",OR(L606="X",L606="x")),IF(OR(OR(L606="X",L606="x"),AND(J606=N606,K606=M606)),0,IF(OR(N606&gt;J606,AND(N606=J606,M606&gt;K606)),1,0)),0)</f>
      </c>
      <c r="K631" s="14" t="str">
        <f>IF(OR(COUNTA(J607:K611,M607:N611)&gt;0,L607="X",L607="x",L608="X",L608="x",L609="X",L609="x",L610="X",L610="x",L611="X",L611="x",OR(L606="X",L606="x")),IF(OR(OR(L606="X",L606="x"),AND(J606=N606,K606=M606)),0,IF(OR(N606&lt;J606,AND(N606=J606,M606&lt;K606)),1,0)),0)</f>
      </c>
      <c r="L631" s="14" t="str">
        <f>IF(OR(COUNTA(J607:K611,M607:N611)&gt;0,L607="X",L607="x",L608="X",L608="x",L609="X",L609="x",L610="X",L610="x",L611="X",L611="x",OR(L606="X",L606="x")),IF(OR(OR(L606="X",L606="x"),AND(J606=N606,K606=M606)),1,0),0)</f>
      </c>
      <c r="O631" s="18" t="str">
        <f>RANK(AC631,$AC$631:$AC$632)+COUNTIF($AC$630:AC630,AC631)</f>
      </c>
      <c r="U631" t="str">
        <f>(B631*1000000000)-(C631*10000000)+(D631*100000)+(B636*1000)-(C636*100)+(D636*10)+(E636*1)-(F636*0.01)</f>
      </c>
      <c r="AC631" t="str">
        <f>(J631*1000000000)-(K631*10000000)+(L631*100000)+(J635*1000)-(K635*100)+(L635*10)+(M635*1)-(N635*0.01)</f>
      </c>
    </row>
    <row r="632">
      <c r="A632" s="14" t="str">
        <f>data!$E$46&amp;" "&amp;data!$B$46</f>
      </c>
      <c r="B632" s="14" t="str">
        <f>IF(OR(COUNTA(B607:C611,E607:F611)&gt;0,D607="X",D607="x",D608="X",D608="x",D609="X",D609="x",D610="X",D610="x",D611="X",D611="x",OR(D606="X",D606="x")),IF(OR(OR(D606="X",D606="x"),AND(B606=F606,C606=E606)),0,IF(OR(B606&gt;F606,AND(B606=F606,C606&gt;E606)),1,0)),0)+IF(OR(COUNTA(B623:C627,E623:F627)&gt;0,D623="X",D623="x",D624="X",D624="x",D625="X",D625="x",D626="X",D626="x",D627="X",D627="x",OR(D622="X",D622="x")),IF(OR(OR(D622="X",D622="x"),AND(B622=F622,C622=E622)),0,IF(OR(F622&gt;B622,AND(F622=B622,E622&gt;C622)),1,0)),0)</f>
      </c>
      <c r="C632" s="14" t="str">
        <f>IF(OR(COUNTA(B607:C611,E607:F611)&gt;0,D607="X",D607="x",D608="X",D608="x",D609="X",D609="x",D610="X",D610="x",D611="X",D611="x",OR(D606="X",D606="x")),IF(OR(OR(D606="X",D606="x"),AND(B606=F606,C606=E606)),0,IF(OR(B606&lt;F606,AND(B606=F606,C606&lt;E606)),1,0)),0)+IF(OR(COUNTA(B623:C627,E623:F627)&gt;0,D623="X",D623="x",D624="X",D624="x",D625="X",D625="x",D626="X",D626="x",D627="X",D627="x",OR(D622="X",D622="x")),IF(OR(OR(D622="X",D622="x"),AND(B622=F622,C622=E622)),0,IF(OR(F622&lt;B622,AND(F622=B622,E622&lt;C622)),1,0)),0)</f>
      </c>
      <c r="D632" s="14" t="str">
        <f>IF(OR(COUNTA(B607:C611,E607:F611)&gt;0,D607="X",D607="x",D608="X",D608="x",D609="X",D609="x",D610="X",D610="x",D611="X",D611="x",OR(D606="X",D606="x")),IF(OR(OR(D606="X",D606="x"),AND(B606=F606,C606=E606)),1,0),0)+IF(OR(COUNTA(B623:C627,E623:F627)&gt;0,D623="X",D623="x",D624="X",D624="x",D625="X",D625="x",D626="X",D626="x",D627="X",D627="x",OR(D622="X",D622="x")),IF(OR(OR(D622="X",D622="x"),AND(B622=F622,C622=E622)),1,0),0)</f>
      </c>
      <c r="G632" s="18" t="str">
        <f>RANK(U632,$U$631:$U$633)+COUNTIF($U$630:U631,U632)</f>
      </c>
      <c r="I632" s="14" t="str">
        <f>data!$E$93&amp;" "&amp;data!$B$93</f>
      </c>
      <c r="J632" s="14" t="str">
        <f>IF(OR(COUNTA(J607:K611,M607:N611)&gt;0,L607="X",L607="x",L608="X",L608="x",L609="X",L609="x",L610="X",L610="x",L611="X",L611="x",OR(L606="X",L606="x")),IF(OR(OR(L606="X",L606="x"),AND(J606=N606,K606=M606)),0,IF(OR(J606&gt;N606,AND(J606=N606,K606&gt;M606)),1,0)),0)</f>
      </c>
      <c r="K632" s="14" t="str">
        <f>IF(OR(COUNTA(J607:K611,M607:N611)&gt;0,L607="X",L607="x",L608="X",L608="x",L609="X",L609="x",L610="X",L610="x",L611="X",L611="x",OR(L606="X",L606="x")),IF(OR(OR(L606="X",L606="x"),AND(J606=N606,K606=M606)),0,IF(OR(J606&lt;N606,AND(J606=N606,K606&lt;M606)),1,0)),0)</f>
      </c>
      <c r="L632" s="14" t="str">
        <f>IF(OR(COUNTA(J607:K611,M607:N611)&gt;0,L607="X",L607="x",L608="X",L608="x",L609="X",L609="x",L610="X",L610="x",L611="X",L611="x",OR(L606="X",L606="x")),IF(OR(OR(L606="X",L606="x"),AND(J606=N606,K606=M606)),1,0),0)</f>
      </c>
      <c r="O632" s="18" t="str">
        <f>RANK(AC632,$AC$631:$AC$632)+COUNTIF($AC$630:AC631,AC632)</f>
      </c>
      <c r="U632" t="str">
        <f>(B632*1000000000)-(C632*10000000)+(D632*100000)+(B637*1000)-(C637*100)+(D637*10)+(E637*1)-(F637*0.01)</f>
      </c>
      <c r="AC632" t="str">
        <f>(J632*1000000000)-(K632*10000000)+(L632*100000)+(J636*1000)-(K636*100)+(L636*10)+(M636*1)-(N636*0.01)</f>
      </c>
    </row>
    <row r="633">
      <c r="A633" s="14" t="str">
        <f>data!$E$47&amp;" "&amp;data!$B$47</f>
      </c>
      <c r="B633" s="14" t="str">
        <f>IF(OR(COUNTA(B615:C619,E615:F619)&gt;0,D615="X",D615="x",D616="X",D616="x",D617="X",D617="x",D618="X",D618="x",D619="X",D619="x",OR(D614="X",D614="x")),IF(OR(OR(D614="X",D614="x"),AND(B614=F614,C614=E614)),0,IF(OR(B614&gt;F614,AND(B614=F614,C614&gt;E614)),1,0)),0)+IF(OR(COUNTA(B623:C627,E623:F627)&gt;0,D623="X",D623="x",D624="X",D624="x",D625="X",D625="x",D626="X",D626="x",D627="X",D627="x",OR(D622="X",D622="x")),IF(OR(OR(D622="X",D622="x"),AND(B622=F622,C622=E622)),0,IF(OR(B622&gt;F622,AND(B622=F622,C622&gt;E622)),1,0)),0)</f>
      </c>
      <c r="C633" s="14" t="str">
        <f>IF(OR(COUNTA(B615:C619,E615:F619)&gt;0,D615="X",D615="x",D616="X",D616="x",D617="X",D617="x",D618="X",D618="x",D619="X",D619="x",OR(D614="X",D614="x")),IF(OR(OR(D614="X",D614="x"),AND(B614=F614,C614=E614)),0,IF(OR(B614&lt;F614,AND(B614=F614,C614&lt;E614)),1,0)),0)+IF(OR(COUNTA(B623:C627,E623:F627)&gt;0,D623="X",D623="x",D624="X",D624="x",D625="X",D625="x",D626="X",D626="x",D627="X",D627="x",OR(D622="X",D622="x")),IF(OR(OR(D622="X",D622="x"),AND(B622=F622,C622=E622)),0,IF(OR(B622&lt;F622,AND(B622=F622,C622&lt;E622)),1,0)),0)</f>
      </c>
      <c r="D633" s="14" t="str">
        <f>IF(OR(COUNTA(B615:C619,E615:F619)&gt;0,D615="X",D615="x",D616="X",D616="x",D617="X",D617="x",D618="X",D618="x",D619="X",D619="x",OR(D614="X",D614="x")),IF(OR(OR(D614="X",D614="x"),AND(B614=F614,C614=E614)),1,0),0)+IF(OR(COUNTA(B623:C627,E623:F627)&gt;0,D623="X",D623="x",D624="X",D624="x",D625="X",D625="x",D626="X",D626="x",D627="X",D627="x",OR(D622="X",D622="x")),IF(OR(OR(D622="X",D622="x"),AND(B622=F622,C622=E622)),1,0),0)</f>
      </c>
      <c r="G633" s="18" t="str">
        <f>RANK(U633,$U$631:$U$633)+COUNTIF($U$630:U632,U633)</f>
      </c>
      <c r="U633" t="str">
        <f>(B633*1000000000)-(C633*10000000)+(D633*100000)+(B638*1000)-(C638*100)+(D638*10)+(E638*1)-(F638*0.01)</f>
      </c>
    </row>
    <row r="634">
      <c r="I634" s="13"/>
      <c r="J634" s="13" t="s">
        <v>339</v>
      </c>
      <c r="K634" s="13" t="s">
        <v>340</v>
      </c>
      <c r="L634" s="13" t="s">
        <v>341</v>
      </c>
      <c r="M634" s="13" t="s">
        <v>342</v>
      </c>
      <c r="N634" s="13" t="s">
        <v>343</v>
      </c>
    </row>
    <row r="635">
      <c r="A635" s="13"/>
      <c r="B635" s="13" t="s">
        <v>339</v>
      </c>
      <c r="C635" s="13" t="s">
        <v>340</v>
      </c>
      <c r="D635" s="13" t="s">
        <v>341</v>
      </c>
      <c r="E635" s="13" t="s">
        <v>342</v>
      </c>
      <c r="F635" s="13" t="s">
        <v>343</v>
      </c>
      <c r="I635" s="14" t="str">
        <f>data!$E$92&amp;" "&amp;data!$B$92</f>
      </c>
      <c r="J635" s="14" t="str">
        <f>IF(OR(COUNTA(J607:K611,M607:N611)&gt;0,OR(L606="X",L606="x"),UPPER(L607)="X",UPPER(L608)="X",UPPER(L609)="X",UPPER(L610)="X",UPPER(L611)="X"),N606,0)</f>
      </c>
      <c r="K635" s="14" t="str">
        <f>IF(OR(COUNTA(J607:K611,M607:N611)&gt;0,OR(L606="X",L606="x"),UPPER(L607)="X",UPPER(L608)="X",UPPER(L609)="X",UPPER(L610)="X",UPPER(L611)="X"),J606,0)</f>
      </c>
      <c r="L635" s="14" t="str">
        <f>IF(OR(COUNTA(J607:K611,M607:N611)&gt;0,OR(L606="X",L606="x"),UPPER(L607)="X",UPPER(L608)="X",UPPER(L609)="X",UPPER(L610)="X",UPPER(L611)="X"),(IF(OR(L607="X",L607="x",AND(COUNTA(J607,K607,M607,N607)&gt;0,(LEN(SUBSTITUTE(SUBSTITUTE(SUBSTITUTE(J607," ",""),"0",""),"-",""))+LEN(SUBSTITUTE(SUBSTITUTE(SUBSTITUTE(K607," ",""),"0",""),"-","")))=(LEN(SUBSTITUTE(SUBSTITUTE(SUBSTITUTE(M607," ",""),"0",""),"-",""))+LEN(SUBSTITUTE(SUBSTITUTE(SUBSTITUTE(N607," ",""),"0",""),"-",""))))),1,0)+IF(OR(L608="X",L608="x",AND(COUNTA(J608,K608,M608,N608)&gt;0,(LEN(SUBSTITUTE(SUBSTITUTE(SUBSTITUTE(J608," ",""),"0",""),"-",""))+LEN(SUBSTITUTE(SUBSTITUTE(SUBSTITUTE(K608," ",""),"0",""),"-","")))=(LEN(SUBSTITUTE(SUBSTITUTE(SUBSTITUTE(M608," ",""),"0",""),"-",""))+LEN(SUBSTITUTE(SUBSTITUTE(SUBSTITUTE(N608," ",""),"0",""),"-",""))))),1,0)+IF(OR(L609="X",L609="x",AND(COUNTA(J609,K609,M609,N609)&gt;0,(LEN(SUBSTITUTE(SUBSTITUTE(SUBSTITUTE(J609," ",""),"0",""),"-",""))+LEN(SUBSTITUTE(SUBSTITUTE(SUBSTITUTE(K609," ",""),"0",""),"-","")))=(LEN(SUBSTITUTE(SUBSTITUTE(SUBSTITUTE(M609," ",""),"0",""),"-",""))+LEN(SUBSTITUTE(SUBSTITUTE(SUBSTITUTE(N609," ",""),"0",""),"-",""))))),1,0)+IF(OR(L610="X",L610="x",AND(COUNTA(J610,K610,M610,N610)&gt;0,(LEN(SUBSTITUTE(SUBSTITUTE(SUBSTITUTE(J610," ",""),"0",""),"-",""))+LEN(SUBSTITUTE(SUBSTITUTE(SUBSTITUTE(K610," ",""),"0",""),"-","")))=(LEN(SUBSTITUTE(SUBSTITUTE(SUBSTITUTE(M610," ",""),"0",""),"-",""))+LEN(SUBSTITUTE(SUBSTITUTE(SUBSTITUTE(N610," ",""),"0",""),"-",""))))),1,0)+IF(OR(L611="X",L611="x",AND(COUNTA(J611,K611,M611,N611)&gt;0,(LEN(SUBSTITUTE(SUBSTITUTE(SUBSTITUTE(J611," ",""),"0",""),"-",""))+LEN(SUBSTITUTE(SUBSTITUTE(SUBSTITUTE(K611," ",""),"0",""),"-","")))=(LEN(SUBSTITUTE(SUBSTITUTE(SUBSTITUTE(M611," ",""),"0",""),"-",""))+LEN(SUBSTITUTE(SUBSTITUTE(SUBSTITUTE(N611," ",""),"0",""),"-",""))))),1,0)),0)</f>
      </c>
      <c r="M635" s="14" t="str">
        <f>M606</f>
      </c>
      <c r="N635" s="14" t="str">
        <f>K606</f>
      </c>
    </row>
    <row r="636">
      <c r="A636" s="14" t="str">
        <f>data!$E$45&amp;" "&amp;data!$B$45</f>
      </c>
      <c r="B636" s="14" t="str">
        <f>IF(OR(COUNTA(B607:C611,E607:F611)&gt;0,OR(D606="X",D606="x"),UPPER(D607)="X",UPPER(D608)="X",UPPER(D609)="X",UPPER(D610)="X",UPPER(D611)="X"),F606,0)+IF(OR(COUNTA(B615:C619,E615:F619)&gt;0,OR(D614="X",D614="x"),UPPER(D615)="X",UPPER(D616)="X",UPPER(D617)="X",UPPER(D618)="X",UPPER(D619)="X"),F614,0)</f>
      </c>
      <c r="C636" s="14" t="str">
        <f>IF(OR(COUNTA(B607:C611,E607:F611)&gt;0,OR(D606="X",D606="x"),UPPER(D607)="X",UPPER(D608)="X",UPPER(D609)="X",UPPER(D610)="X",UPPER(D611)="X"),B606,0)+IF(OR(COUNTA(B615:C619,E615:F619)&gt;0,OR(D614="X",D614="x"),UPPER(D615)="X",UPPER(D616)="X",UPPER(D617)="X",UPPER(D618)="X",UPPER(D619)="X"),B614,0)</f>
      </c>
      <c r="D636" s="14" t="str">
        <f>IF(OR(COUNTA(B607:C611,E607:F611)&gt;0,OR(D606="X",D606="x"),UPPER(D607)="X",UPPER(D608)="X",UPPER(D609)="X",UPPER(D610)="X",UPPER(D611)="X"),(IF(OR(D607="X",D607="x",AND(COUNTA(B607,C607,E607,F607)&gt;0,(LEN(SUBSTITUTE(SUBSTITUTE(SUBSTITUTE(B607," ",""),"0",""),"-",""))+LEN(SUBSTITUTE(SUBSTITUTE(SUBSTITUTE(C607," ",""),"0",""),"-","")))=(LEN(SUBSTITUTE(SUBSTITUTE(SUBSTITUTE(E607," ",""),"0",""),"-",""))+LEN(SUBSTITUTE(SUBSTITUTE(SUBSTITUTE(F607," ",""),"0",""),"-",""))))),1,0)+IF(OR(D608="X",D608="x",AND(COUNTA(B608,C608,E608,F608)&gt;0,(LEN(SUBSTITUTE(SUBSTITUTE(SUBSTITUTE(B608," ",""),"0",""),"-",""))+LEN(SUBSTITUTE(SUBSTITUTE(SUBSTITUTE(C608," ",""),"0",""),"-","")))=(LEN(SUBSTITUTE(SUBSTITUTE(SUBSTITUTE(E608," ",""),"0",""),"-",""))+LEN(SUBSTITUTE(SUBSTITUTE(SUBSTITUTE(F608," ",""),"0",""),"-",""))))),1,0)+IF(OR(D609="X",D609="x",AND(COUNTA(B609,C609,E609,F609)&gt;0,(LEN(SUBSTITUTE(SUBSTITUTE(SUBSTITUTE(B609," ",""),"0",""),"-",""))+LEN(SUBSTITUTE(SUBSTITUTE(SUBSTITUTE(C609," ",""),"0",""),"-","")))=(LEN(SUBSTITUTE(SUBSTITUTE(SUBSTITUTE(E609," ",""),"0",""),"-",""))+LEN(SUBSTITUTE(SUBSTITUTE(SUBSTITUTE(F609," ",""),"0",""),"-",""))))),1,0)+IF(OR(D610="X",D610="x",AND(COUNTA(B610,C610,E610,F610)&gt;0,(LEN(SUBSTITUTE(SUBSTITUTE(SUBSTITUTE(B610," ",""),"0",""),"-",""))+LEN(SUBSTITUTE(SUBSTITUTE(SUBSTITUTE(C610," ",""),"0",""),"-","")))=(LEN(SUBSTITUTE(SUBSTITUTE(SUBSTITUTE(E610," ",""),"0",""),"-",""))+LEN(SUBSTITUTE(SUBSTITUTE(SUBSTITUTE(F610," ",""),"0",""),"-",""))))),1,0)+IF(OR(D611="X",D611="x",AND(COUNTA(B611,C611,E611,F611)&gt;0,(LEN(SUBSTITUTE(SUBSTITUTE(SUBSTITUTE(B611," ",""),"0",""),"-",""))+LEN(SUBSTITUTE(SUBSTITUTE(SUBSTITUTE(C611," ",""),"0",""),"-","")))=(LEN(SUBSTITUTE(SUBSTITUTE(SUBSTITUTE(E611," ",""),"0",""),"-",""))+LEN(SUBSTITUTE(SUBSTITUTE(SUBSTITUTE(F611," ",""),"0",""),"-",""))))),1,0)),0)+IF(OR(COUNTA(B615:C619,E615:F619)&gt;0,OR(D614="X",D614="x"),UPPER(D615)="X",UPPER(D616)="X",UPPER(D617)="X",UPPER(D618)="X",UPPER(D619)="X"),(IF(OR(D615="X",D615="x",AND(COUNTA(B615,C615,E615,F615)&gt;0,(LEN(SUBSTITUTE(SUBSTITUTE(SUBSTITUTE(B615," ",""),"0",""),"-",""))+LEN(SUBSTITUTE(SUBSTITUTE(SUBSTITUTE(C615," ",""),"0",""),"-","")))=(LEN(SUBSTITUTE(SUBSTITUTE(SUBSTITUTE(E615," ",""),"0",""),"-",""))+LEN(SUBSTITUTE(SUBSTITUTE(SUBSTITUTE(F615," ",""),"0",""),"-",""))))),1,0)+IF(OR(D616="X",D616="x",AND(COUNTA(B616,C616,E616,F616)&gt;0,(LEN(SUBSTITUTE(SUBSTITUTE(SUBSTITUTE(B616," ",""),"0",""),"-",""))+LEN(SUBSTITUTE(SUBSTITUTE(SUBSTITUTE(C616," ",""),"0",""),"-","")))=(LEN(SUBSTITUTE(SUBSTITUTE(SUBSTITUTE(E616," ",""),"0",""),"-",""))+LEN(SUBSTITUTE(SUBSTITUTE(SUBSTITUTE(F616," ",""),"0",""),"-",""))))),1,0)+IF(OR(D617="X",D617="x",AND(COUNTA(B617,C617,E617,F617)&gt;0,(LEN(SUBSTITUTE(SUBSTITUTE(SUBSTITUTE(B617," ",""),"0",""),"-",""))+LEN(SUBSTITUTE(SUBSTITUTE(SUBSTITUTE(C617," ",""),"0",""),"-","")))=(LEN(SUBSTITUTE(SUBSTITUTE(SUBSTITUTE(E617," ",""),"0",""),"-",""))+LEN(SUBSTITUTE(SUBSTITUTE(SUBSTITUTE(F617," ",""),"0",""),"-",""))))),1,0)+IF(OR(D618="X",D618="x",AND(COUNTA(B618,C618,E618,F618)&gt;0,(LEN(SUBSTITUTE(SUBSTITUTE(SUBSTITUTE(B618," ",""),"0",""),"-",""))+LEN(SUBSTITUTE(SUBSTITUTE(SUBSTITUTE(C618," ",""),"0",""),"-","")))=(LEN(SUBSTITUTE(SUBSTITUTE(SUBSTITUTE(E618," ",""),"0",""),"-",""))+LEN(SUBSTITUTE(SUBSTITUTE(SUBSTITUTE(F618," ",""),"0",""),"-",""))))),1,0)+IF(OR(D619="X",D619="x",AND(COUNTA(B619,C619,E619,F619)&gt;0,(LEN(SUBSTITUTE(SUBSTITUTE(SUBSTITUTE(B619," ",""),"0",""),"-",""))+LEN(SUBSTITUTE(SUBSTITUTE(SUBSTITUTE(C619," ",""),"0",""),"-","")))=(LEN(SUBSTITUTE(SUBSTITUTE(SUBSTITUTE(E619," ",""),"0",""),"-",""))+LEN(SUBSTITUTE(SUBSTITUTE(SUBSTITUTE(F619," ",""),"0",""),"-",""))))),1,0)),0)</f>
      </c>
      <c r="E636" s="14" t="str">
        <f>E606+E614</f>
      </c>
      <c r="F636" s="14" t="str">
        <f>C606+C614</f>
      </c>
      <c r="I636" s="14" t="str">
        <f>data!$E$93&amp;" "&amp;data!$B$93</f>
      </c>
      <c r="J636" s="14" t="str">
        <f>IF(OR(COUNTA(J607:K611,M607:N611)&gt;0,OR(L606="X",L606="x"),UPPER(L607)="X",UPPER(L608)="X",UPPER(L609)="X",UPPER(L610)="X",UPPER(L611)="X"),J606,0)</f>
      </c>
      <c r="K636" s="14" t="str">
        <f>IF(OR(COUNTA(J607:K611,M607:N611)&gt;0,OR(L606="X",L606="x"),UPPER(L607)="X",UPPER(L608)="X",UPPER(L609)="X",UPPER(L610)="X",UPPER(L611)="X"),N606,0)</f>
      </c>
      <c r="L636" s="14" t="str">
        <f>IF(OR(COUNTA(J607:K611,M607:N611)&gt;0,OR(L606="X",L606="x"),UPPER(L607)="X",UPPER(L608)="X",UPPER(L609)="X",UPPER(L610)="X",UPPER(L611)="X"),(IF(OR(L607="X",L607="x",AND(COUNTA(J607,K607,M607,N607)&gt;0,(LEN(SUBSTITUTE(SUBSTITUTE(SUBSTITUTE(J607," ",""),"0",""),"-",""))+LEN(SUBSTITUTE(SUBSTITUTE(SUBSTITUTE(K607," ",""),"0",""),"-","")))=(LEN(SUBSTITUTE(SUBSTITUTE(SUBSTITUTE(M607," ",""),"0",""),"-",""))+LEN(SUBSTITUTE(SUBSTITUTE(SUBSTITUTE(N607," ",""),"0",""),"-",""))))),1,0)+IF(OR(L608="X",L608="x",AND(COUNTA(J608,K608,M608,N608)&gt;0,(LEN(SUBSTITUTE(SUBSTITUTE(SUBSTITUTE(J608," ",""),"0",""),"-",""))+LEN(SUBSTITUTE(SUBSTITUTE(SUBSTITUTE(K608," ",""),"0",""),"-","")))=(LEN(SUBSTITUTE(SUBSTITUTE(SUBSTITUTE(M608," ",""),"0",""),"-",""))+LEN(SUBSTITUTE(SUBSTITUTE(SUBSTITUTE(N608," ",""),"0",""),"-",""))))),1,0)+IF(OR(L609="X",L609="x",AND(COUNTA(J609,K609,M609,N609)&gt;0,(LEN(SUBSTITUTE(SUBSTITUTE(SUBSTITUTE(J609," ",""),"0",""),"-",""))+LEN(SUBSTITUTE(SUBSTITUTE(SUBSTITUTE(K609," ",""),"0",""),"-","")))=(LEN(SUBSTITUTE(SUBSTITUTE(SUBSTITUTE(M609," ",""),"0",""),"-",""))+LEN(SUBSTITUTE(SUBSTITUTE(SUBSTITUTE(N609," ",""),"0",""),"-",""))))),1,0)+IF(OR(L610="X",L610="x",AND(COUNTA(J610,K610,M610,N610)&gt;0,(LEN(SUBSTITUTE(SUBSTITUTE(SUBSTITUTE(J610," ",""),"0",""),"-",""))+LEN(SUBSTITUTE(SUBSTITUTE(SUBSTITUTE(K610," ",""),"0",""),"-","")))=(LEN(SUBSTITUTE(SUBSTITUTE(SUBSTITUTE(M610," ",""),"0",""),"-",""))+LEN(SUBSTITUTE(SUBSTITUTE(SUBSTITUTE(N610," ",""),"0",""),"-",""))))),1,0)+IF(OR(L611="X",L611="x",AND(COUNTA(J611,K611,M611,N611)&gt;0,(LEN(SUBSTITUTE(SUBSTITUTE(SUBSTITUTE(J611," ",""),"0",""),"-",""))+LEN(SUBSTITUTE(SUBSTITUTE(SUBSTITUTE(K611," ",""),"0",""),"-","")))=(LEN(SUBSTITUTE(SUBSTITUTE(SUBSTITUTE(M611," ",""),"0",""),"-",""))+LEN(SUBSTITUTE(SUBSTITUTE(SUBSTITUTE(N611," ",""),"0",""),"-",""))))),1,0)),0)</f>
      </c>
      <c r="M636" s="14" t="str">
        <f>K606</f>
      </c>
      <c r="N636" s="14" t="str">
        <f>M606</f>
      </c>
    </row>
    <row r="637">
      <c r="A637" s="14" t="str">
        <f>data!$E$46&amp;" "&amp;data!$B$46</f>
      </c>
      <c r="B637" s="14" t="str">
        <f>IF(OR(COUNTA(B607:C611,E607:F611)&gt;0,OR(D606="X",D606="x"),UPPER(D607)="X",UPPER(D608)="X",UPPER(D609)="X",UPPER(D610)="X",UPPER(D611)="X"),B606,0)+IF(OR(COUNTA(B623:C627,E623:F627)&gt;0,OR(D622="X",D622="x"),UPPER(D623)="X",UPPER(D624)="X",UPPER(D625)="X",UPPER(D626)="X",UPPER(D627)="X"),F622,0)</f>
      </c>
      <c r="C637" s="14" t="str">
        <f>IF(OR(COUNTA(B607:C611,E607:F611)&gt;0,OR(D606="X",D606="x"),UPPER(D607)="X",UPPER(D608)="X",UPPER(D609)="X",UPPER(D610)="X",UPPER(D611)="X"),F606,0)+IF(OR(COUNTA(B623:C627,E623:F627)&gt;0,OR(D622="X",D622="x"),UPPER(D623)="X",UPPER(D624)="X",UPPER(D625)="X",UPPER(D626)="X",UPPER(D627)="X"),B622,0)</f>
      </c>
      <c r="D637" s="14" t="str">
        <f>IF(OR(COUNTA(B607:C611,E607:F611)&gt;0,OR(D606="X",D606="x"),UPPER(D607)="X",UPPER(D608)="X",UPPER(D609)="X",UPPER(D610)="X",UPPER(D611)="X"),(IF(OR(D607="X",D607="x",AND(COUNTA(B607,C607,E607,F607)&gt;0,(LEN(SUBSTITUTE(SUBSTITUTE(SUBSTITUTE(B607," ",""),"0",""),"-",""))+LEN(SUBSTITUTE(SUBSTITUTE(SUBSTITUTE(C607," ",""),"0",""),"-","")))=(LEN(SUBSTITUTE(SUBSTITUTE(SUBSTITUTE(E607," ",""),"0",""),"-",""))+LEN(SUBSTITUTE(SUBSTITUTE(SUBSTITUTE(F607," ",""),"0",""),"-",""))))),1,0)+IF(OR(D608="X",D608="x",AND(COUNTA(B608,C608,E608,F608)&gt;0,(LEN(SUBSTITUTE(SUBSTITUTE(SUBSTITUTE(B608," ",""),"0",""),"-",""))+LEN(SUBSTITUTE(SUBSTITUTE(SUBSTITUTE(C608," ",""),"0",""),"-","")))=(LEN(SUBSTITUTE(SUBSTITUTE(SUBSTITUTE(E608," ",""),"0",""),"-",""))+LEN(SUBSTITUTE(SUBSTITUTE(SUBSTITUTE(F608," ",""),"0",""),"-",""))))),1,0)+IF(OR(D609="X",D609="x",AND(COUNTA(B609,C609,E609,F609)&gt;0,(LEN(SUBSTITUTE(SUBSTITUTE(SUBSTITUTE(B609," ",""),"0",""),"-",""))+LEN(SUBSTITUTE(SUBSTITUTE(SUBSTITUTE(C609," ",""),"0",""),"-","")))=(LEN(SUBSTITUTE(SUBSTITUTE(SUBSTITUTE(E609," ",""),"0",""),"-",""))+LEN(SUBSTITUTE(SUBSTITUTE(SUBSTITUTE(F609," ",""),"0",""),"-",""))))),1,0)+IF(OR(D610="X",D610="x",AND(COUNTA(B610,C610,E610,F610)&gt;0,(LEN(SUBSTITUTE(SUBSTITUTE(SUBSTITUTE(B610," ",""),"0",""),"-",""))+LEN(SUBSTITUTE(SUBSTITUTE(SUBSTITUTE(C610," ",""),"0",""),"-","")))=(LEN(SUBSTITUTE(SUBSTITUTE(SUBSTITUTE(E610," ",""),"0",""),"-",""))+LEN(SUBSTITUTE(SUBSTITUTE(SUBSTITUTE(F610," ",""),"0",""),"-",""))))),1,0)+IF(OR(D611="X",D611="x",AND(COUNTA(B611,C611,E611,F611)&gt;0,(LEN(SUBSTITUTE(SUBSTITUTE(SUBSTITUTE(B611," ",""),"0",""),"-",""))+LEN(SUBSTITUTE(SUBSTITUTE(SUBSTITUTE(C611," ",""),"0",""),"-","")))=(LEN(SUBSTITUTE(SUBSTITUTE(SUBSTITUTE(E611," ",""),"0",""),"-",""))+LEN(SUBSTITUTE(SUBSTITUTE(SUBSTITUTE(F611," ",""),"0",""),"-",""))))),1,0)),0)+IF(OR(COUNTA(B623:C627,E623:F627)&gt;0,OR(D622="X",D622="x"),UPPER(D623)="X",UPPER(D624)="X",UPPER(D625)="X",UPPER(D626)="X",UPPER(D627)="X"),(IF(OR(D623="X",D623="x",AND(COUNTA(B623,C623,E623,F623)&gt;0,(LEN(SUBSTITUTE(SUBSTITUTE(SUBSTITUTE(B623," ",""),"0",""),"-",""))+LEN(SUBSTITUTE(SUBSTITUTE(SUBSTITUTE(C623," ",""),"0",""),"-","")))=(LEN(SUBSTITUTE(SUBSTITUTE(SUBSTITUTE(E623," ",""),"0",""),"-",""))+LEN(SUBSTITUTE(SUBSTITUTE(SUBSTITUTE(F623," ",""),"0",""),"-",""))))),1,0)+IF(OR(D624="X",D624="x",AND(COUNTA(B624,C624,E624,F624)&gt;0,(LEN(SUBSTITUTE(SUBSTITUTE(SUBSTITUTE(B624," ",""),"0",""),"-",""))+LEN(SUBSTITUTE(SUBSTITUTE(SUBSTITUTE(C624," ",""),"0",""),"-","")))=(LEN(SUBSTITUTE(SUBSTITUTE(SUBSTITUTE(E624," ",""),"0",""),"-",""))+LEN(SUBSTITUTE(SUBSTITUTE(SUBSTITUTE(F624," ",""),"0",""),"-",""))))),1,0)+IF(OR(D625="X",D625="x",AND(COUNTA(B625,C625,E625,F625)&gt;0,(LEN(SUBSTITUTE(SUBSTITUTE(SUBSTITUTE(B625," ",""),"0",""),"-",""))+LEN(SUBSTITUTE(SUBSTITUTE(SUBSTITUTE(C625," ",""),"0",""),"-","")))=(LEN(SUBSTITUTE(SUBSTITUTE(SUBSTITUTE(E625," ",""),"0",""),"-",""))+LEN(SUBSTITUTE(SUBSTITUTE(SUBSTITUTE(F625," ",""),"0",""),"-",""))))),1,0)+IF(OR(D626="X",D626="x",AND(COUNTA(B626,C626,E626,F626)&gt;0,(LEN(SUBSTITUTE(SUBSTITUTE(SUBSTITUTE(B626," ",""),"0",""),"-",""))+LEN(SUBSTITUTE(SUBSTITUTE(SUBSTITUTE(C626," ",""),"0",""),"-","")))=(LEN(SUBSTITUTE(SUBSTITUTE(SUBSTITUTE(E626," ",""),"0",""),"-",""))+LEN(SUBSTITUTE(SUBSTITUTE(SUBSTITUTE(F626," ",""),"0",""),"-",""))))),1,0)+IF(OR(D627="X",D627="x",AND(COUNTA(B627,C627,E627,F627)&gt;0,(LEN(SUBSTITUTE(SUBSTITUTE(SUBSTITUTE(B627," ",""),"0",""),"-",""))+LEN(SUBSTITUTE(SUBSTITUTE(SUBSTITUTE(C627," ",""),"0",""),"-","")))=(LEN(SUBSTITUTE(SUBSTITUTE(SUBSTITUTE(E627," ",""),"0",""),"-",""))+LEN(SUBSTITUTE(SUBSTITUTE(SUBSTITUTE(F627," ",""),"0",""),"-",""))))),1,0)),0)</f>
      </c>
      <c r="E637" s="14" t="str">
        <f>C606+E622</f>
      </c>
      <c r="F637" s="14" t="str">
        <f>E606+C622</f>
      </c>
    </row>
    <row r="638">
      <c r="A638" s="14" t="str">
        <f>data!$E$47&amp;" "&amp;data!$B$47</f>
      </c>
      <c r="B638" s="14" t="str">
        <f>IF(OR(COUNTA(B615:C619,E615:F619)&gt;0,OR(D614="X",D614="x"),UPPER(D615)="X",UPPER(D616)="X",UPPER(D617)="X",UPPER(D618)="X",UPPER(D619)="X"),B614,0)+IF(OR(COUNTA(B623:C627,E623:F627)&gt;0,OR(D622="X",D622="x"),UPPER(D623)="X",UPPER(D624)="X",UPPER(D625)="X",UPPER(D626)="X",UPPER(D627)="X"),B622,0)</f>
      </c>
      <c r="C638" s="14" t="str">
        <f>IF(OR(COUNTA(B615:C619,E615:F619)&gt;0,OR(D614="X",D614="x"),UPPER(D615)="X",UPPER(D616)="X",UPPER(D617)="X",UPPER(D618)="X",UPPER(D619)="X"),F614,0)+IF(OR(COUNTA(B623:C627,E623:F627)&gt;0,OR(D622="X",D622="x"),UPPER(D623)="X",UPPER(D624)="X",UPPER(D625)="X",UPPER(D626)="X",UPPER(D627)="X"),F622,0)</f>
      </c>
      <c r="D638" s="14" t="str">
        <f>IF(OR(COUNTA(B615:C619,E615:F619)&gt;0,OR(D614="X",D614="x"),UPPER(D615)="X",UPPER(D616)="X",UPPER(D617)="X",UPPER(D618)="X",UPPER(D619)="X"),(IF(OR(D615="X",D615="x",AND(COUNTA(B615,C615,E615,F615)&gt;0,(LEN(SUBSTITUTE(SUBSTITUTE(SUBSTITUTE(B615," ",""),"0",""),"-",""))+LEN(SUBSTITUTE(SUBSTITUTE(SUBSTITUTE(C615," ",""),"0",""),"-","")))=(LEN(SUBSTITUTE(SUBSTITUTE(SUBSTITUTE(E615," ",""),"0",""),"-",""))+LEN(SUBSTITUTE(SUBSTITUTE(SUBSTITUTE(F615," ",""),"0",""),"-",""))))),1,0)+IF(OR(D616="X",D616="x",AND(COUNTA(B616,C616,E616,F616)&gt;0,(LEN(SUBSTITUTE(SUBSTITUTE(SUBSTITUTE(B616," ",""),"0",""),"-",""))+LEN(SUBSTITUTE(SUBSTITUTE(SUBSTITUTE(C616," ",""),"0",""),"-","")))=(LEN(SUBSTITUTE(SUBSTITUTE(SUBSTITUTE(E616," ",""),"0",""),"-",""))+LEN(SUBSTITUTE(SUBSTITUTE(SUBSTITUTE(F616," ",""),"0",""),"-",""))))),1,0)+IF(OR(D617="X",D617="x",AND(COUNTA(B617,C617,E617,F617)&gt;0,(LEN(SUBSTITUTE(SUBSTITUTE(SUBSTITUTE(B617," ",""),"0",""),"-",""))+LEN(SUBSTITUTE(SUBSTITUTE(SUBSTITUTE(C617," ",""),"0",""),"-","")))=(LEN(SUBSTITUTE(SUBSTITUTE(SUBSTITUTE(E617," ",""),"0",""),"-",""))+LEN(SUBSTITUTE(SUBSTITUTE(SUBSTITUTE(F617," ",""),"0",""),"-",""))))),1,0)+IF(OR(D618="X",D618="x",AND(COUNTA(B618,C618,E618,F618)&gt;0,(LEN(SUBSTITUTE(SUBSTITUTE(SUBSTITUTE(B618," ",""),"0",""),"-",""))+LEN(SUBSTITUTE(SUBSTITUTE(SUBSTITUTE(C618," ",""),"0",""),"-","")))=(LEN(SUBSTITUTE(SUBSTITUTE(SUBSTITUTE(E618," ",""),"0",""),"-",""))+LEN(SUBSTITUTE(SUBSTITUTE(SUBSTITUTE(F618," ",""),"0",""),"-",""))))),1,0)+IF(OR(D619="X",D619="x",AND(COUNTA(B619,C619,E619,F619)&gt;0,(LEN(SUBSTITUTE(SUBSTITUTE(SUBSTITUTE(B619," ",""),"0",""),"-",""))+LEN(SUBSTITUTE(SUBSTITUTE(SUBSTITUTE(C619," ",""),"0",""),"-","")))=(LEN(SUBSTITUTE(SUBSTITUTE(SUBSTITUTE(E619," ",""),"0",""),"-",""))+LEN(SUBSTITUTE(SUBSTITUTE(SUBSTITUTE(F619," ",""),"0",""),"-",""))))),1,0)),0)+IF(OR(COUNTA(B623:C627,E623:F627)&gt;0,OR(D622="X",D622="x"),UPPER(D623)="X",UPPER(D624)="X",UPPER(D625)="X",UPPER(D626)="X",UPPER(D627)="X"),(IF(OR(D623="X",D623="x",AND(COUNTA(B623,C623,E623,F623)&gt;0,(LEN(SUBSTITUTE(SUBSTITUTE(SUBSTITUTE(B623," ",""),"0",""),"-",""))+LEN(SUBSTITUTE(SUBSTITUTE(SUBSTITUTE(C623," ",""),"0",""),"-","")))=(LEN(SUBSTITUTE(SUBSTITUTE(SUBSTITUTE(E623," ",""),"0",""),"-",""))+LEN(SUBSTITUTE(SUBSTITUTE(SUBSTITUTE(F623," ",""),"0",""),"-",""))))),1,0)+IF(OR(D624="X",D624="x",AND(COUNTA(B624,C624,E624,F624)&gt;0,(LEN(SUBSTITUTE(SUBSTITUTE(SUBSTITUTE(B624," ",""),"0",""),"-",""))+LEN(SUBSTITUTE(SUBSTITUTE(SUBSTITUTE(C624," ",""),"0",""),"-","")))=(LEN(SUBSTITUTE(SUBSTITUTE(SUBSTITUTE(E624," ",""),"0",""),"-",""))+LEN(SUBSTITUTE(SUBSTITUTE(SUBSTITUTE(F624," ",""),"0",""),"-",""))))),1,0)+IF(OR(D625="X",D625="x",AND(COUNTA(B625,C625,E625,F625)&gt;0,(LEN(SUBSTITUTE(SUBSTITUTE(SUBSTITUTE(B625," ",""),"0",""),"-",""))+LEN(SUBSTITUTE(SUBSTITUTE(SUBSTITUTE(C625," ",""),"0",""),"-","")))=(LEN(SUBSTITUTE(SUBSTITUTE(SUBSTITUTE(E625," ",""),"0",""),"-",""))+LEN(SUBSTITUTE(SUBSTITUTE(SUBSTITUTE(F625," ",""),"0",""),"-",""))))),1,0)+IF(OR(D626="X",D626="x",AND(COUNTA(B626,C626,E626,F626)&gt;0,(LEN(SUBSTITUTE(SUBSTITUTE(SUBSTITUTE(B626," ",""),"0",""),"-",""))+LEN(SUBSTITUTE(SUBSTITUTE(SUBSTITUTE(C626," ",""),"0",""),"-","")))=(LEN(SUBSTITUTE(SUBSTITUTE(SUBSTITUTE(E626," ",""),"0",""),"-",""))+LEN(SUBSTITUTE(SUBSTITUTE(SUBSTITUTE(F626," ",""),"0",""),"-",""))))),1,0)+IF(OR(D627="X",D627="x",AND(COUNTA(B627,C627,E627,F627)&gt;0,(LEN(SUBSTITUTE(SUBSTITUTE(SUBSTITUTE(B627," ",""),"0",""),"-",""))+LEN(SUBSTITUTE(SUBSTITUTE(SUBSTITUTE(C627," ",""),"0",""),"-","")))=(LEN(SUBSTITUTE(SUBSTITUTE(SUBSTITUTE(E627," ",""),"0",""),"-",""))+LEN(SUBSTITUTE(SUBSTITUTE(SUBSTITUTE(F627," ",""),"0",""),"-",""))))),1,0)),0)</f>
      </c>
      <c r="E638" s="14" t="str">
        <f>C614+C622</f>
      </c>
      <c r="F638" s="14" t="str">
        <f>E614+E622</f>
      </c>
    </row>
    <row r="639">
      <c r="N639" s="13"/>
      <c r="O639" s="13" t="s">
        <v>344</v>
      </c>
    </row>
    <row r="640">
      <c r="N640" t="s">
        <v>345</v>
      </c>
      <c r="O640" s="19" t="str">
        <f>IFERROR(INDEX($I$631:$I$636, MATCH(1, $O$631:$O$636, 0)), "-")</f>
      </c>
    </row>
    <row r="641">
      <c r="F641" s="13"/>
      <c r="G641" s="13" t="s">
        <v>344</v>
      </c>
      <c r="N641" t="s">
        <v>346</v>
      </c>
      <c r="O641" s="19" t="str">
        <f>IFERROR(INDEX($I$631:$I$636, MATCH(2, $O$631:$O$636, 0)), "-")</f>
      </c>
    </row>
    <row r="642">
      <c r="F642" t="s">
        <v>345</v>
      </c>
      <c r="G642" s="19" t="str">
        <f>IFERROR(INDEX($A$631:$A$638, MATCH(1, $G$631:$G$638, 0)), "-")</f>
      </c>
    </row>
    <row r="643">
      <c r="F643" t="s">
        <v>346</v>
      </c>
      <c r="G643" s="19" t="str">
        <f>IFERROR(INDEX($A$631:$A$638, MATCH(2, $G$631:$G$638, 0)), "-")</f>
      </c>
    </row>
    <row r="644">
      <c r="F644" t="s">
        <v>347</v>
      </c>
      <c r="G644" s="19" t="str">
        <f>IFERROR(INDEX($A$631:$A$638, MATCH(3, $G$631:$G$638, 0)), "-")</f>
      </c>
    </row>
    <row r="647">
      <c r="A647" s="13" t="str">
        <f>'data'!$A$49</f>
      </c>
      <c r="B647" s="13"/>
      <c r="C647" s="13"/>
      <c r="D647" s="13"/>
      <c r="E647" s="13"/>
      <c r="F647" s="13"/>
      <c r="G647" s="13"/>
    </row>
    <row r="648">
      <c r="A648" s="17" t="s">
        <v>331</v>
      </c>
      <c r="B648" s="14"/>
      <c r="C648" s="14"/>
      <c r="D648" s="14" t="s">
        <v>332</v>
      </c>
      <c r="E648" s="14"/>
      <c r="F648" s="14"/>
      <c r="G648" s="16" t="s">
        <v>333</v>
      </c>
    </row>
    <row r="649">
      <c r="A649" s="14" t="str">
        <f>data!$E$49&amp;" "&amp;data!$B$49</f>
      </c>
      <c r="B649" s="14" t="str">
        <f>IF(UPPER(D650)="X",0,IF((LEN(SUBSTITUTE(SUBSTITUTE(SUBSTITUTE(B650," ",""),"0",""),"-",""))+LEN(SUBSTITUTE(SUBSTITUTE(SUBSTITUTE(C650," ",""),"0",""),"-","")))&gt;(LEN(SUBSTITUTE(SUBSTITUTE(SUBSTITUTE(E650," ",""),"0",""),"-",""))+LEN(SUBSTITUTE(SUBSTITUTE(SUBSTITUTE(F650," ",""),"0",""),"-",""))),1,0))+IF(UPPER(D651)="X",0,IF((LEN(SUBSTITUTE(SUBSTITUTE(SUBSTITUTE(B651," ",""),"0",""),"-",""))+LEN(SUBSTITUTE(SUBSTITUTE(SUBSTITUTE(C651," ",""),"0",""),"-","")))&gt;(LEN(SUBSTITUTE(SUBSTITUTE(SUBSTITUTE(E651," ",""),"0",""),"-",""))+LEN(SUBSTITUTE(SUBSTITUTE(SUBSTITUTE(F651," ",""),"0",""),"-",""))),1,0))+IF(UPPER(D652)="X",0,IF((LEN(SUBSTITUTE(SUBSTITUTE(SUBSTITUTE(B652," ",""),"0",""),"-",""))+LEN(SUBSTITUTE(SUBSTITUTE(SUBSTITUTE(C652," ",""),"0",""),"-","")))&gt;(LEN(SUBSTITUTE(SUBSTITUTE(SUBSTITUTE(E652," ",""),"0",""),"-",""))+LEN(SUBSTITUTE(SUBSTITUTE(SUBSTITUTE(F652," ",""),"0",""),"-",""))),1,0))+IF(UPPER(D653)="X",0,IF((LEN(SUBSTITUTE(SUBSTITUTE(SUBSTITUTE(B653," ",""),"0",""),"-",""))+LEN(SUBSTITUTE(SUBSTITUTE(SUBSTITUTE(C653," ",""),"0",""),"-","")))&gt;(LEN(SUBSTITUTE(SUBSTITUTE(SUBSTITUTE(E653," ",""),"0",""),"-",""))+LEN(SUBSTITUTE(SUBSTITUTE(SUBSTITUTE(F653," ",""),"0",""),"-",""))),1,0))+IF(UPPER(D654)="X",0,IF((LEN(SUBSTITUTE(SUBSTITUTE(SUBSTITUTE(B654," ",""),"0",""),"-",""))+LEN(SUBSTITUTE(SUBSTITUTE(SUBSTITUTE(C654," ",""),"0",""),"-","")))&gt;(LEN(SUBSTITUTE(SUBSTITUTE(SUBSTITUTE(E654," ",""),"0",""),"-",""))+LEN(SUBSTITUTE(SUBSTITUTE(SUBSTITUTE(F654," ",""),"0",""),"-",""))),1,0))</f>
      </c>
      <c r="C649" s="14" t="str">
        <f>LEN(SUBSTITUTE(SUBSTITUTE(SUBSTITUTE(B650," ",""),"0",""),"-",""))+LEN(SUBSTITUTE(SUBSTITUTE(SUBSTITUTE(C650," ",""),"0",""),"-",""))+LEN(SUBSTITUTE(SUBSTITUTE(SUBSTITUTE(B651," ",""),"0",""),"-",""))+LEN(SUBSTITUTE(SUBSTITUTE(SUBSTITUTE(C651," ",""),"0",""),"-",""))+LEN(SUBSTITUTE(SUBSTITUTE(SUBSTITUTE(B652," ",""),"0",""),"-",""))+LEN(SUBSTITUTE(SUBSTITUTE(SUBSTITUTE(C652," ",""),"0",""),"-",""))+LEN(SUBSTITUTE(SUBSTITUTE(SUBSTITUTE(B653," ",""),"0",""),"-",""))+LEN(SUBSTITUTE(SUBSTITUTE(SUBSTITUTE(C653," ",""),"0",""),"-",""))+LEN(SUBSTITUTE(SUBSTITUTE(SUBSTITUTE(B654," ",""),"0",""),"-",""))+LEN(SUBSTITUTE(SUBSTITUTE(SUBSTITUTE(C654," ",""),"0",""),"-",""))</f>
      </c>
      <c r="D649" s="18"/>
      <c r="E649" s="14" t="str">
        <f>LEN(SUBSTITUTE(SUBSTITUTE(SUBSTITUTE(E650," ",""),"0",""),"-",""))+LEN(SUBSTITUTE(SUBSTITUTE(SUBSTITUTE(F650," ",""),"0",""),"-",""))+LEN(SUBSTITUTE(SUBSTITUTE(SUBSTITUTE(E651," ",""),"0",""),"-",""))+LEN(SUBSTITUTE(SUBSTITUTE(SUBSTITUTE(F651," ",""),"0",""),"-",""))+LEN(SUBSTITUTE(SUBSTITUTE(SUBSTITUTE(E652," ",""),"0",""),"-",""))+LEN(SUBSTITUTE(SUBSTITUTE(SUBSTITUTE(F652," ",""),"0",""),"-",""))+LEN(SUBSTITUTE(SUBSTITUTE(SUBSTITUTE(E653," ",""),"0",""),"-",""))+LEN(SUBSTITUTE(SUBSTITUTE(SUBSTITUTE(F653," ",""),"0",""),"-",""))+LEN(SUBSTITUTE(SUBSTITUTE(SUBSTITUTE(E654," ",""),"0",""),"-",""))+LEN(SUBSTITUTE(SUBSTITUTE(SUBSTITUTE(F654," ",""),"0",""),"-",""))</f>
      </c>
      <c r="F649" s="14" t="str">
        <f>IF(UPPER(D650)="X",0,IF((LEN(SUBSTITUTE(SUBSTITUTE(SUBSTITUTE(E650," ",""),"0",""),"-",""))+LEN(SUBSTITUTE(SUBSTITUTE(SUBSTITUTE(F650," ",""),"0",""),"-","")))&gt;(LEN(SUBSTITUTE(SUBSTITUTE(SUBSTITUTE(B650," ",""),"0",""),"-",""))+LEN(SUBSTITUTE(SUBSTITUTE(SUBSTITUTE(C650," ",""),"0",""),"-",""))),1,0))+IF(UPPER(D651)="X",0,IF((LEN(SUBSTITUTE(SUBSTITUTE(SUBSTITUTE(E651," ",""),"0",""),"-",""))+LEN(SUBSTITUTE(SUBSTITUTE(SUBSTITUTE(F651," ",""),"0",""),"-","")))&gt;(LEN(SUBSTITUTE(SUBSTITUTE(SUBSTITUTE(B651," ",""),"0",""),"-",""))+LEN(SUBSTITUTE(SUBSTITUTE(SUBSTITUTE(C651," ",""),"0",""),"-",""))),1,0))+IF(UPPER(D652)="X",0,IF((LEN(SUBSTITUTE(SUBSTITUTE(SUBSTITUTE(E652," ",""),"0",""),"-",""))+LEN(SUBSTITUTE(SUBSTITUTE(SUBSTITUTE(F652," ",""),"0",""),"-","")))&gt;(LEN(SUBSTITUTE(SUBSTITUTE(SUBSTITUTE(B652," ",""),"0",""),"-",""))+LEN(SUBSTITUTE(SUBSTITUTE(SUBSTITUTE(C652," ",""),"0",""),"-",""))),1,0))+IF(UPPER(D653)="X",0,IF((LEN(SUBSTITUTE(SUBSTITUTE(SUBSTITUTE(E653," ",""),"0",""),"-",""))+LEN(SUBSTITUTE(SUBSTITUTE(SUBSTITUTE(F653," ",""),"0",""),"-","")))&gt;(LEN(SUBSTITUTE(SUBSTITUTE(SUBSTITUTE(B653," ",""),"0",""),"-",""))+LEN(SUBSTITUTE(SUBSTITUTE(SUBSTITUTE(C653," ",""),"0",""),"-",""))),1,0))+IF(UPPER(D654)="X",0,IF((LEN(SUBSTITUTE(SUBSTITUTE(SUBSTITUTE(E654," ",""),"0",""),"-",""))+LEN(SUBSTITUTE(SUBSTITUTE(SUBSTITUTE(F654," ",""),"0",""),"-","")))&gt;(LEN(SUBSTITUTE(SUBSTITUTE(SUBSTITUTE(B654," ",""),"0",""),"-",""))+LEN(SUBSTITUTE(SUBSTITUTE(SUBSTITUTE(C654," ",""),"0",""),"-",""))),1,0))</f>
      </c>
      <c r="G649" s="14" t="str">
        <f>data!$E$48&amp;" "&amp;data!$B$48</f>
      </c>
    </row>
    <row r="650">
      <c r="A650" s="14">
        <v>1</v>
      </c>
      <c r="B650" s="18"/>
      <c r="C650" s="18"/>
      <c r="D650" s="18"/>
      <c r="E650" s="18"/>
      <c r="F650" s="18"/>
      <c r="G650" s="14">
        <v>1</v>
      </c>
    </row>
    <row r="651">
      <c r="A651" s="14">
        <v>2</v>
      </c>
      <c r="B651" s="18"/>
      <c r="C651" s="18"/>
      <c r="D651" s="18"/>
      <c r="E651" s="18"/>
      <c r="F651" s="18"/>
      <c r="G651" s="14">
        <v>2</v>
      </c>
    </row>
    <row r="652">
      <c r="A652" s="14">
        <v>3</v>
      </c>
      <c r="B652" s="18"/>
      <c r="C652" s="18"/>
      <c r="D652" s="18"/>
      <c r="E652" s="18"/>
      <c r="F652" s="18"/>
      <c r="G652" s="14">
        <v>3</v>
      </c>
    </row>
    <row r="653">
      <c r="A653" s="14">
        <v>4</v>
      </c>
      <c r="B653" s="18"/>
      <c r="C653" s="18"/>
      <c r="D653" s="18"/>
      <c r="E653" s="18"/>
      <c r="F653" s="18"/>
      <c r="G653" s="14">
        <v>4</v>
      </c>
    </row>
    <row r="654">
      <c r="A654" s="14">
        <v>5</v>
      </c>
      <c r="B654" s="18"/>
      <c r="C654" s="18"/>
      <c r="D654" s="18"/>
      <c r="E654" s="18"/>
      <c r="F654" s="18"/>
      <c r="G654" s="14">
        <v>5</v>
      </c>
    </row>
    <row r="657">
      <c r="A657" s="13" t="s">
        <v>334</v>
      </c>
      <c r="B657" s="13" t="s">
        <v>335</v>
      </c>
      <c r="C657" s="13" t="s">
        <v>336</v>
      </c>
      <c r="D657" s="13" t="s">
        <v>337</v>
      </c>
      <c r="E657" s="13"/>
      <c r="F657" s="13"/>
      <c r="G657" s="13" t="s">
        <v>338</v>
      </c>
    </row>
    <row r="658">
      <c r="A658" s="14" t="str">
        <f>data!$E$48&amp;" "&amp;data!$B$48</f>
      </c>
      <c r="B658" s="14" t="str">
        <f>IF(OR(COUNTA(B650:C654,E650:F654)&gt;0,D650="X",D650="x",D651="X",D651="x",D652="X",D652="x",D653="X",D653="x",D654="X",D654="x",OR(D649="X",D649="x")),IF(OR(OR(D649="X",D649="x"),AND(B649=F649,C649=E649)),0,IF(OR(F649&gt;B649,AND(F649=B649,E649&gt;C649)),1,0)),0)</f>
      </c>
      <c r="C658" s="14" t="str">
        <f>IF(OR(COUNTA(B650:C654,E650:F654)&gt;0,D650="X",D650="x",D651="X",D651="x",D652="X",D652="x",D653="X",D653="x",D654="X",D654="x",OR(D649="X",D649="x")),IF(OR(OR(D649="X",D649="x"),AND(B649=F649,C649=E649)),0,IF(OR(F649&lt;B649,AND(F649=B649,E649&lt;C649)),1,0)),0)</f>
      </c>
      <c r="D658" s="14" t="str">
        <f>IF(OR(COUNTA(B650:C654,E650:F654)&gt;0,D650="X",D650="x",D651="X",D651="x",D652="X",D652="x",D653="X",D653="x",D654="X",D654="x",OR(D649="X",D649="x")),IF(OR(OR(D649="X",D649="x"),AND(B649=F649,C649=E649)),1,0),0)</f>
      </c>
      <c r="G658" s="18" t="str">
        <f>RANK(U658,$U$658:$U$659)+COUNTIF($U$657:U657,U658)</f>
      </c>
      <c r="U658" t="str">
        <f>(B658*1000000000)-(C658*10000000)+(D658*100000)+(B662*1000)-(C662*100)+(D662*10)+(E662*1)-(F662*0.01)</f>
      </c>
    </row>
    <row r="659">
      <c r="A659" s="14" t="str">
        <f>data!$E$49&amp;" "&amp;data!$B$49</f>
      </c>
      <c r="B659" s="14" t="str">
        <f>IF(OR(COUNTA(B650:C654,E650:F654)&gt;0,D650="X",D650="x",D651="X",D651="x",D652="X",D652="x",D653="X",D653="x",D654="X",D654="x",OR(D649="X",D649="x")),IF(OR(OR(D649="X",D649="x"),AND(B649=F649,C649=E649)),0,IF(OR(B649&gt;F649,AND(B649=F649,C649&gt;E649)),1,0)),0)</f>
      </c>
      <c r="C659" s="14" t="str">
        <f>IF(OR(COUNTA(B650:C654,E650:F654)&gt;0,D650="X",D650="x",D651="X",D651="x",D652="X",D652="x",D653="X",D653="x",D654="X",D654="x",OR(D649="X",D649="x")),IF(OR(OR(D649="X",D649="x"),AND(B649=F649,C649=E649)),0,IF(OR(B649&lt;F649,AND(B649=F649,C649&lt;E649)),1,0)),0)</f>
      </c>
      <c r="D659" s="14" t="str">
        <f>IF(OR(COUNTA(B650:C654,E650:F654)&gt;0,D650="X",D650="x",D651="X",D651="x",D652="X",D652="x",D653="X",D653="x",D654="X",D654="x",OR(D649="X",D649="x")),IF(OR(OR(D649="X",D649="x"),AND(B649=F649,C649=E649)),1,0),0)</f>
      </c>
      <c r="G659" s="18" t="str">
        <f>RANK(U659,$U$658:$U$659)+COUNTIF($U$657:U658,U659)</f>
      </c>
      <c r="U659" t="str">
        <f>(B659*1000000000)-(C659*10000000)+(D659*100000)+(B663*1000)-(C663*100)+(D663*10)+(E663*1)-(F663*0.01)</f>
      </c>
    </row>
    <row r="661">
      <c r="A661" s="13"/>
      <c r="B661" s="13" t="s">
        <v>339</v>
      </c>
      <c r="C661" s="13" t="s">
        <v>340</v>
      </c>
      <c r="D661" s="13" t="s">
        <v>341</v>
      </c>
      <c r="E661" s="13" t="s">
        <v>342</v>
      </c>
      <c r="F661" s="13" t="s">
        <v>343</v>
      </c>
    </row>
    <row r="662">
      <c r="A662" s="14" t="str">
        <f>data!$E$48&amp;" "&amp;data!$B$48</f>
      </c>
      <c r="B662" s="14" t="str">
        <f>IF(OR(COUNTA(B650:C654,E650:F654)&gt;0,OR(D649="X",D649="x"),UPPER(D650)="X",UPPER(D651)="X",UPPER(D652)="X",UPPER(D653)="X",UPPER(D654)="X"),F649,0)</f>
      </c>
      <c r="C662" s="14" t="str">
        <f>IF(OR(COUNTA(B650:C654,E650:F654)&gt;0,OR(D649="X",D649="x"),UPPER(D650)="X",UPPER(D651)="X",UPPER(D652)="X",UPPER(D653)="X",UPPER(D654)="X"),B649,0)</f>
      </c>
      <c r="D662" s="14" t="str">
        <f>IF(OR(COUNTA(B650:C654,E650:F654)&gt;0,OR(D649="X",D649="x"),UPPER(D650)="X",UPPER(D651)="X",UPPER(D652)="X",UPPER(D653)="X",UPPER(D654)="X"),(IF(OR(D650="X",D650="x",AND(COUNTA(B650,C650,E650,F650)&gt;0,(LEN(SUBSTITUTE(SUBSTITUTE(SUBSTITUTE(B650," ",""),"0",""),"-",""))+LEN(SUBSTITUTE(SUBSTITUTE(SUBSTITUTE(C650," ",""),"0",""),"-","")))=(LEN(SUBSTITUTE(SUBSTITUTE(SUBSTITUTE(E650," ",""),"0",""),"-",""))+LEN(SUBSTITUTE(SUBSTITUTE(SUBSTITUTE(F650," ",""),"0",""),"-",""))))),1,0)+IF(OR(D651="X",D651="x",AND(COUNTA(B651,C651,E651,F651)&gt;0,(LEN(SUBSTITUTE(SUBSTITUTE(SUBSTITUTE(B651," ",""),"0",""),"-",""))+LEN(SUBSTITUTE(SUBSTITUTE(SUBSTITUTE(C651," ",""),"0",""),"-","")))=(LEN(SUBSTITUTE(SUBSTITUTE(SUBSTITUTE(E651," ",""),"0",""),"-",""))+LEN(SUBSTITUTE(SUBSTITUTE(SUBSTITUTE(F651," ",""),"0",""),"-",""))))),1,0)+IF(OR(D652="X",D652="x",AND(COUNTA(B652,C652,E652,F652)&gt;0,(LEN(SUBSTITUTE(SUBSTITUTE(SUBSTITUTE(B652," ",""),"0",""),"-",""))+LEN(SUBSTITUTE(SUBSTITUTE(SUBSTITUTE(C652," ",""),"0",""),"-","")))=(LEN(SUBSTITUTE(SUBSTITUTE(SUBSTITUTE(E652," ",""),"0",""),"-",""))+LEN(SUBSTITUTE(SUBSTITUTE(SUBSTITUTE(F652," ",""),"0",""),"-",""))))),1,0)+IF(OR(D653="X",D653="x",AND(COUNTA(B653,C653,E653,F653)&gt;0,(LEN(SUBSTITUTE(SUBSTITUTE(SUBSTITUTE(B653," ",""),"0",""),"-",""))+LEN(SUBSTITUTE(SUBSTITUTE(SUBSTITUTE(C653," ",""),"0",""),"-","")))=(LEN(SUBSTITUTE(SUBSTITUTE(SUBSTITUTE(E653," ",""),"0",""),"-",""))+LEN(SUBSTITUTE(SUBSTITUTE(SUBSTITUTE(F653," ",""),"0",""),"-",""))))),1,0)+IF(OR(D654="X",D654="x",AND(COUNTA(B654,C654,E654,F654)&gt;0,(LEN(SUBSTITUTE(SUBSTITUTE(SUBSTITUTE(B654," ",""),"0",""),"-",""))+LEN(SUBSTITUTE(SUBSTITUTE(SUBSTITUTE(C654," ",""),"0",""),"-","")))=(LEN(SUBSTITUTE(SUBSTITUTE(SUBSTITUTE(E654," ",""),"0",""),"-",""))+LEN(SUBSTITUTE(SUBSTITUTE(SUBSTITUTE(F654," ",""),"0",""),"-",""))))),1,0)),0)</f>
      </c>
      <c r="E662" s="14" t="str">
        <f>E649</f>
      </c>
      <c r="F662" s="14" t="str">
        <f>C649</f>
      </c>
    </row>
    <row r="663">
      <c r="A663" s="14" t="str">
        <f>data!$E$49&amp;" "&amp;data!$B$49</f>
      </c>
      <c r="B663" s="14" t="str">
        <f>IF(OR(COUNTA(B650:C654,E650:F654)&gt;0,OR(D649="X",D649="x"),UPPER(D650)="X",UPPER(D651)="X",UPPER(D652)="X",UPPER(D653)="X",UPPER(D654)="X"),B649,0)</f>
      </c>
      <c r="C663" s="14" t="str">
        <f>IF(OR(COUNTA(B650:C654,E650:F654)&gt;0,OR(D649="X",D649="x"),UPPER(D650)="X",UPPER(D651)="X",UPPER(D652)="X",UPPER(D653)="X",UPPER(D654)="X"),F649,0)</f>
      </c>
      <c r="D663" s="14" t="str">
        <f>IF(OR(COUNTA(B650:C654,E650:F654)&gt;0,OR(D649="X",D649="x"),UPPER(D650)="X",UPPER(D651)="X",UPPER(D652)="X",UPPER(D653)="X",UPPER(D654)="X"),(IF(OR(D650="X",D650="x",AND(COUNTA(B650,C650,E650,F650)&gt;0,(LEN(SUBSTITUTE(SUBSTITUTE(SUBSTITUTE(B650," ",""),"0",""),"-",""))+LEN(SUBSTITUTE(SUBSTITUTE(SUBSTITUTE(C650," ",""),"0",""),"-","")))=(LEN(SUBSTITUTE(SUBSTITUTE(SUBSTITUTE(E650," ",""),"0",""),"-",""))+LEN(SUBSTITUTE(SUBSTITUTE(SUBSTITUTE(F650," ",""),"0",""),"-",""))))),1,0)+IF(OR(D651="X",D651="x",AND(COUNTA(B651,C651,E651,F651)&gt;0,(LEN(SUBSTITUTE(SUBSTITUTE(SUBSTITUTE(B651," ",""),"0",""),"-",""))+LEN(SUBSTITUTE(SUBSTITUTE(SUBSTITUTE(C651," ",""),"0",""),"-","")))=(LEN(SUBSTITUTE(SUBSTITUTE(SUBSTITUTE(E651," ",""),"0",""),"-",""))+LEN(SUBSTITUTE(SUBSTITUTE(SUBSTITUTE(F651," ",""),"0",""),"-",""))))),1,0)+IF(OR(D652="X",D652="x",AND(COUNTA(B652,C652,E652,F652)&gt;0,(LEN(SUBSTITUTE(SUBSTITUTE(SUBSTITUTE(B652," ",""),"0",""),"-",""))+LEN(SUBSTITUTE(SUBSTITUTE(SUBSTITUTE(C652," ",""),"0",""),"-","")))=(LEN(SUBSTITUTE(SUBSTITUTE(SUBSTITUTE(E652," ",""),"0",""),"-",""))+LEN(SUBSTITUTE(SUBSTITUTE(SUBSTITUTE(F652," ",""),"0",""),"-",""))))),1,0)+IF(OR(D653="X",D653="x",AND(COUNTA(B653,C653,E653,F653)&gt;0,(LEN(SUBSTITUTE(SUBSTITUTE(SUBSTITUTE(B653," ",""),"0",""),"-",""))+LEN(SUBSTITUTE(SUBSTITUTE(SUBSTITUTE(C653," ",""),"0",""),"-","")))=(LEN(SUBSTITUTE(SUBSTITUTE(SUBSTITUTE(E653," ",""),"0",""),"-",""))+LEN(SUBSTITUTE(SUBSTITUTE(SUBSTITUTE(F653," ",""),"0",""),"-",""))))),1,0)+IF(OR(D654="X",D654="x",AND(COUNTA(B654,C654,E654,F654)&gt;0,(LEN(SUBSTITUTE(SUBSTITUTE(SUBSTITUTE(B654," ",""),"0",""),"-",""))+LEN(SUBSTITUTE(SUBSTITUTE(SUBSTITUTE(C654," ",""),"0",""),"-","")))=(LEN(SUBSTITUTE(SUBSTITUTE(SUBSTITUTE(E654," ",""),"0",""),"-",""))+LEN(SUBSTITUTE(SUBSTITUTE(SUBSTITUTE(F654," ",""),"0",""),"-",""))))),1,0)),0)</f>
      </c>
      <c r="E663" s="14" t="str">
        <f>C649</f>
      </c>
      <c r="F663" s="14" t="str">
        <f>E649</f>
      </c>
    </row>
    <row r="666">
      <c r="F666" s="13"/>
      <c r="G666" s="13" t="s">
        <v>344</v>
      </c>
    </row>
    <row r="667">
      <c r="F667" t="s">
        <v>345</v>
      </c>
      <c r="G667" s="19" t="str">
        <f>IFERROR(INDEX($A$658:$A$663, MATCH(1, $G$658:$G$663, 0)), "-")</f>
      </c>
    </row>
    <row r="668">
      <c r="F668" t="s">
        <v>346</v>
      </c>
      <c r="G668" s="19" t="str">
        <f>IFERROR(INDEX($A$658:$A$663, MATCH(2, $G$658:$G$663,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33">
    <mergeCell ref="A1:G1"/>
    <mergeCell ref="I1:O1"/>
    <mergeCell ref="A2:G2"/>
    <mergeCell ref="I2:O2"/>
    <mergeCell ref="A45:G45"/>
    <mergeCell ref="I45:O45"/>
    <mergeCell ref="A88:G88"/>
    <mergeCell ref="I88:O88"/>
    <mergeCell ref="A131:G131"/>
    <mergeCell ref="I131:O131"/>
    <mergeCell ref="A174:G174"/>
    <mergeCell ref="I174:O174"/>
    <mergeCell ref="A217:G217"/>
    <mergeCell ref="I217:O217"/>
    <mergeCell ref="A260:G260"/>
    <mergeCell ref="I260:O260"/>
    <mergeCell ref="A303:G303"/>
    <mergeCell ref="I303:O303"/>
    <mergeCell ref="A346:G346"/>
    <mergeCell ref="I346:O346"/>
    <mergeCell ref="A389:G389"/>
    <mergeCell ref="I389:O389"/>
    <mergeCell ref="A432:G432"/>
    <mergeCell ref="I432:O432"/>
    <mergeCell ref="A475:G475"/>
    <mergeCell ref="I475:O475"/>
    <mergeCell ref="A518:G518"/>
    <mergeCell ref="I518:O518"/>
    <mergeCell ref="A561:G561"/>
    <mergeCell ref="I561:O561"/>
    <mergeCell ref="A604:G604"/>
    <mergeCell ref="I604:O604"/>
    <mergeCell ref="A647:G647"/>
  </mergeCells>
  <printOptions horizontalCentered="true" verticalCentered="true"/>
  <pageSetup fitToHeight="0" fitToWidth="2" orientation="portrait" pageOrder="downThenOver" paperSize="9"/>
  <rowBreaks count="15" manualBreakCount="15">
    <brk id="44" max="16383" man="true"/>
    <brk id="87" max="16383" man="true"/>
    <brk id="130" max="16383" man="true"/>
    <brk id="173" max="16383" man="true"/>
    <brk id="216" max="16383" man="true"/>
    <brk id="259" max="16383" man="true"/>
    <brk id="302" max="16383" man="true"/>
    <brk id="345" max="16383" man="true"/>
    <brk id="388" max="16383" man="true"/>
    <brk id="431" max="16383" man="true"/>
    <brk id="474" max="16383" man="true"/>
    <brk id="517" max="16383" man="true"/>
    <brk id="560" max="16383" man="true"/>
    <brk id="603" max="16383" man="true"/>
    <brk id="646" max="16383" man="true"/>
  </rowBreaks>
  <colBreaks count="1" manualBreakCount="1">
    <brk id="8" max="1048575" man="true"/>
  </colBreak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3" t="s">
        <v>329</v>
      </c>
      <c r="B1" s="13"/>
      <c r="C1" s="13"/>
      <c r="D1" s="13"/>
      <c r="E1" s="13"/>
      <c r="F1" s="13"/>
      <c r="G1" s="13"/>
      <c r="I1" s="13" t="s">
        <v>330</v>
      </c>
      <c r="J1" s="13"/>
      <c r="K1" s="13"/>
      <c r="L1" s="13"/>
      <c r="M1" s="13"/>
      <c r="N1" s="13"/>
      <c r="O1" s="13"/>
    </row>
    <row r="2">
      <c r="A2" s="13" t="s">
        <v>348</v>
      </c>
      <c r="B2" s="13"/>
      <c r="C2" s="13"/>
      <c r="D2" s="13"/>
      <c r="E2" s="13"/>
      <c r="F2" s="13"/>
      <c r="G2" s="13"/>
      <c r="I2" s="13" t="s">
        <v>350</v>
      </c>
      <c r="J2" s="13"/>
      <c r="K2" s="13"/>
      <c r="L2" s="13"/>
      <c r="M2" s="13"/>
      <c r="N2" s="13"/>
      <c r="O2" s="13"/>
    </row>
    <row r="3">
      <c r="A3" s="17" t="s">
        <v>331</v>
      </c>
      <c r="D3" s="14" t="s">
        <v>332</v>
      </c>
      <c r="G3" s="16" t="s">
        <v>333</v>
      </c>
      <c r="I3" s="17" t="s">
        <v>331</v>
      </c>
      <c r="L3" s="14" t="s">
        <v>332</v>
      </c>
      <c r="O3" s="16" t="s">
        <v>333</v>
      </c>
    </row>
    <row r="4">
      <c r="A4" s="14" t="str">
        <f>CONCATENATE("Pool Q-2nd ",'Pool Matches'!O41)</f>
      </c>
      <c r="B4" s="14"/>
      <c r="C4" s="14"/>
      <c r="D4" s="18"/>
      <c r="E4" s="14"/>
      <c r="F4" s="14"/>
      <c r="G4" s="14" t="str">
        <f>CONCATENATE("Pool A-1st ",'Pool Matches'!G40)</f>
      </c>
      <c r="I4" s="14" t="str">
        <f>CONCATENATE("Pool A-2nd ",'Pool Matches'!G41)</f>
      </c>
      <c r="J4" s="14"/>
      <c r="K4" s="14"/>
      <c r="L4" s="18"/>
      <c r="M4" s="14"/>
      <c r="N4" s="14"/>
      <c r="O4" s="14" t="str">
        <f>CONCATENATE("Pool Q-1st ",'Pool Matches'!O40)</f>
      </c>
    </row>
    <row r="5">
      <c r="A5" s="14">
        <v>1</v>
      </c>
      <c r="B5" s="18"/>
      <c r="C5" s="18"/>
      <c r="D5" s="18"/>
      <c r="E5" s="18"/>
      <c r="F5" s="18"/>
      <c r="G5" s="14">
        <v>1</v>
      </c>
      <c r="I5" s="14">
        <v>1</v>
      </c>
      <c r="J5" s="18"/>
      <c r="K5" s="18"/>
      <c r="L5" s="18"/>
      <c r="M5" s="18"/>
      <c r="N5" s="18"/>
      <c r="O5" s="14">
        <v>1</v>
      </c>
    </row>
    <row r="6">
      <c r="A6" s="14">
        <v>2</v>
      </c>
      <c r="B6" s="18"/>
      <c r="C6" s="18"/>
      <c r="D6" s="18"/>
      <c r="E6" s="18"/>
      <c r="F6" s="18"/>
      <c r="G6" s="14">
        <v>2</v>
      </c>
      <c r="I6" s="14">
        <v>2</v>
      </c>
      <c r="J6" s="18"/>
      <c r="K6" s="18"/>
      <c r="L6" s="18"/>
      <c r="M6" s="18"/>
      <c r="N6" s="18"/>
      <c r="O6" s="14">
        <v>2</v>
      </c>
    </row>
    <row r="7">
      <c r="A7" s="14">
        <v>3</v>
      </c>
      <c r="B7" s="18"/>
      <c r="C7" s="18"/>
      <c r="D7" s="18"/>
      <c r="E7" s="18"/>
      <c r="F7" s="18"/>
      <c r="G7" s="14">
        <v>3</v>
      </c>
      <c r="I7" s="14">
        <v>3</v>
      </c>
      <c r="J7" s="18"/>
      <c r="K7" s="18"/>
      <c r="L7" s="18"/>
      <c r="M7" s="18"/>
      <c r="N7" s="18"/>
      <c r="O7" s="14">
        <v>3</v>
      </c>
    </row>
    <row r="8">
      <c r="A8" s="14">
        <v>4</v>
      </c>
      <c r="B8" s="18"/>
      <c r="C8" s="18"/>
      <c r="D8" s="18"/>
      <c r="E8" s="18"/>
      <c r="F8" s="18"/>
      <c r="G8" s="14">
        <v>4</v>
      </c>
      <c r="I8" s="14">
        <v>4</v>
      </c>
      <c r="J8" s="18"/>
      <c r="K8" s="18"/>
      <c r="L8" s="18"/>
      <c r="M8" s="18"/>
      <c r="N8" s="18"/>
      <c r="O8" s="14">
        <v>4</v>
      </c>
    </row>
    <row r="9">
      <c r="A9" s="14">
        <v>5</v>
      </c>
      <c r="B9" s="18"/>
      <c r="C9" s="18"/>
      <c r="D9" s="18"/>
      <c r="E9" s="18"/>
      <c r="F9" s="18"/>
      <c r="G9" s="14">
        <v>5</v>
      </c>
      <c r="I9" s="14">
        <v>5</v>
      </c>
      <c r="J9" s="18"/>
      <c r="K9" s="18"/>
      <c r="L9" s="18"/>
      <c r="M9" s="18"/>
      <c r="N9" s="18"/>
      <c r="O9" s="14">
        <v>5</v>
      </c>
    </row>
    <row r="11">
      <c r="A11" s="14" t="str">
        <f>CONCATENATE("Pool Q-2nd ",'Pool Matches'!O41)</f>
      </c>
      <c r="B11" s="14" t="s">
        <v>339</v>
      </c>
      <c r="C11" s="14" t="s">
        <v>342</v>
      </c>
      <c r="D11" s="14"/>
      <c r="E11" s="14" t="s">
        <v>342</v>
      </c>
      <c r="F11" s="14" t="s">
        <v>339</v>
      </c>
      <c r="G11" s="14" t="str">
        <f>CONCATENATE("Pool A-1st ",'Pool Matches'!G40)</f>
      </c>
      <c r="I11" s="14" t="str">
        <f>CONCATENATE("Pool A-2nd ",'Pool Matches'!G41)</f>
      </c>
      <c r="J11" s="14" t="s">
        <v>339</v>
      </c>
      <c r="K11" s="14" t="s">
        <v>342</v>
      </c>
      <c r="L11" s="14"/>
      <c r="M11" s="14" t="s">
        <v>342</v>
      </c>
      <c r="N11" s="14" t="s">
        <v>339</v>
      </c>
      <c r="O11" s="14" t="str">
        <f>CONCATENATE("Pool Q-1st ",'Pool Matches'!O40)</f>
      </c>
    </row>
    <row r="12">
      <c r="A12" s="14" t="s">
        <v>349</v>
      </c>
      <c r="B12" s="14"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",""),"0",""),"-",""))),1,0))+IF(UPPER(D8)="X",0,IF((LEN(SUBSTITUTE(SUBSTITUTE(SUBSTITUTE(B8," ",""),"0",""),"-",""))+LEN(SUBSTITUTE(SUBSTITUTE(SUBSTITUTE(C8," ",""),"0",""),"-","")))&gt;(LEN(SUBSTITUTE(SUBSTITUTE(SUBSTITUTE(E8," ",""),"0",""),"-",""))+LEN(SUBSTITUTE(SUBSTITUTE(SUBSTITUTE(F8," ",""),"0",""),"-",""))),1,0))+IF(UPPER(D9)="X",0,IF((LEN(SUBSTITUTE(SUBSTITUTE(SUBSTITUTE(B9," ",""),"0",""),"-",""))+LEN(SUBSTITUTE(SUBSTITUTE(SUBSTITUTE(C9," ",""),"0",""),"-","")))&gt;(LEN(SUBSTITUTE(SUBSTITUTE(SUBSTITUTE(E9," ",""),"0",""),"-",""))+LEN(SUBSTITUTE(SUBSTITUTE(SUBSTITUTE(F9," ",""),"0",""),"-",""))),1,0))</f>
      </c>
      <c r="C12" s="14" t="str">
        <f>LEN(SUBSTITUTE(SUBSTITUTE(SUBSTITUTE(B5," ",""),"0",""),"-",""))+LEN(SUBSTITUTE(SUBSTITUTE(SUBSTITUTE(C5," ",""),"0",""),"-",""))+LEN(SUBSTITUTE(SUBSTITUTE(SUBSTITUTE(B6," ",""),"0",""),"-",""))+LEN(SUBSTITUTE(SUBSTITUTE(SUBSTITUTE(C6," ",""),"0",""),"-",""))+LEN(SUBSTITUTE(SUBSTITUTE(SUBSTITUTE(B7," ",""),"0",""),"-",""))+LEN(SUBSTITUTE(SUBSTITUTE(SUBSTITUTE(C7," ",""),"0",""),"-",""))+LEN(SUBSTITUTE(SUBSTITUTE(SUBSTITUTE(B8," ",""),"0",""),"-",""))+LEN(SUBSTITUTE(SUBSTITUTE(SUBSTITUTE(C8," ",""),"0",""),"-",""))+LEN(SUBSTITUTE(SUBSTITUTE(SUBSTITUTE(B9," ",""),"0",""),"-",""))+LEN(SUBSTITUTE(SUBSTITUTE(SUBSTITUTE(C9," ",""),"0",""),"-",""))</f>
      </c>
      <c r="D12" s="14"/>
      <c r="E12" s="14" t="str">
        <f>LEN(SUBSTITUTE(SUBSTITUTE(SUBSTITUTE(E5," ",""),"0",""),"-",""))+LEN(SUBSTITUTE(SUBSTITUTE(SUBSTITUTE(F5," ",""),"0",""),"-",""))+LEN(SUBSTITUTE(SUBSTITUTE(SUBSTITUTE(E6," ",""),"0",""),"-",""))+LEN(SUBSTITUTE(SUBSTITUTE(SUBSTITUTE(F6," ",""),"0",""),"-",""))+LEN(SUBSTITUTE(SUBSTITUTE(SUBSTITUTE(E7," ",""),"0",""),"-",""))+LEN(SUBSTITUTE(SUBSTITUTE(SUBSTITUTE(F7," ",""),"0",""),"-",""))+LEN(SUBSTITUTE(SUBSTITUTE(SUBSTITUTE(E8," ",""),"0",""),"-",""))+LEN(SUBSTITUTE(SUBSTITUTE(SUBSTITUTE(F8," ",""),"0",""),"-",""))+LEN(SUBSTITUTE(SUBSTITUTE(SUBSTITUTE(E9," ",""),"0",""),"-",""))+LEN(SUBSTITUTE(SUBSTITUTE(SUBSTITUTE(F9," ",""),"0",""),"-",""))</f>
      </c>
      <c r="F12" s="14"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",""),"0",""),"-",""))),1,0))+IF(UPPER(D8)="X",0,IF((LEN(SUBSTITUTE(SUBSTITUTE(SUBSTITUTE(E8," ",""),"0",""),"-",""))+LEN(SUBSTITUTE(SUBSTITUTE(SUBSTITUTE(F8," ",""),"0",""),"-","")))&gt;(LEN(SUBSTITUTE(SUBSTITUTE(SUBSTITUTE(B8," ",""),"0",""),"-",""))+LEN(SUBSTITUTE(SUBSTITUTE(SUBSTITUTE(C8," ",""),"0",""),"-",""))),1,0))+IF(UPPER(D9)="X",0,IF((LEN(SUBSTITUTE(SUBSTITUTE(SUBSTITUTE(E9," ",""),"0",""),"-",""))+LEN(SUBSTITUTE(SUBSTITUTE(SUBSTITUTE(F9," ",""),"0",""),"-","")))&gt;(LEN(SUBSTITUTE(SUBSTITUTE(SUBSTITUTE(B9," ",""),"0",""),"-",""))+LEN(SUBSTITUTE(SUBSTITUTE(SUBSTITUTE(C9," ",""),"0",""),"-",""))),1,0))</f>
      </c>
      <c r="G12" s="14" t="s">
        <v>349</v>
      </c>
      <c r="I12" s="14" t="s">
        <v>349</v>
      </c>
      <c r="J12" s="14" t="str">
        <f>IF(UPPER(L5)="X",0,IF((LEN(SUBSTITUTE(SUBSTITUTE(SUBSTITUTE(J5," ",""),"0",""),"-",""))+LEN(SUBSTITUTE(SUBSTITUTE(SUBSTITUTE(K5," ",""),"0",""),"-","")))&gt;(LEN(SUBSTITUTE(SUBSTITUTE(SUBSTITUTE(M5," ",""),"0",""),"-",""))+LEN(SUBSTITUTE(SUBSTITUTE(SUBSTITUTE(N5," ",""),"0",""),"-",""))),1,0))+IF(UPPER(L6)="X",0,IF((LEN(SUBSTITUTE(SUBSTITUTE(SUBSTITUTE(J6," ",""),"0",""),"-",""))+LEN(SUBSTITUTE(SUBSTITUTE(SUBSTITUTE(K6," ",""),"0",""),"-","")))&gt;(LEN(SUBSTITUTE(SUBSTITUTE(SUBSTITUTE(M6," ",""),"0",""),"-",""))+LEN(SUBSTITUTE(SUBSTITUTE(SUBSTITUTE(N6," ",""),"0",""),"-",""))),1,0))+IF(UPPER(L7)="X",0,IF((LEN(SUBSTITUTE(SUBSTITUTE(SUBSTITUTE(J7," ",""),"0",""),"-",""))+LEN(SUBSTITUTE(SUBSTITUTE(SUBSTITUTE(K7," ",""),"0",""),"-","")))&gt;(LEN(SUBSTITUTE(SUBSTITUTE(SUBSTITUTE(M7," ",""),"0",""),"-",""))+LEN(SUBSTITUTE(SUBSTITUTE(SUBSTITUTE(N7," ",""),"0",""),"-",""))),1,0))+IF(UPPER(L8)="X",0,IF((LEN(SUBSTITUTE(SUBSTITUTE(SUBSTITUTE(J8," ",""),"0",""),"-",""))+LEN(SUBSTITUTE(SUBSTITUTE(SUBSTITUTE(K8," ",""),"0",""),"-","")))&gt;(LEN(SUBSTITUTE(SUBSTITUTE(SUBSTITUTE(M8," ",""),"0",""),"-",""))+LEN(SUBSTITUTE(SUBSTITUTE(SUBSTITUTE(N8," ",""),"0",""),"-",""))),1,0))+IF(UPPER(L9)="X",0,IF((LEN(SUBSTITUTE(SUBSTITUTE(SUBSTITUTE(J9," ",""),"0",""),"-",""))+LEN(SUBSTITUTE(SUBSTITUTE(SUBSTITUTE(K9," ",""),"0",""),"-","")))&gt;(LEN(SUBSTITUTE(SUBSTITUTE(SUBSTITUTE(M9," ",""),"0",""),"-",""))+LEN(SUBSTITUTE(SUBSTITUTE(SUBSTITUTE(N9," ",""),"0",""),"-",""))),1,0))</f>
      </c>
      <c r="K12" s="14" t="str">
        <f>LEN(SUBSTITUTE(SUBSTITUTE(SUBSTITUTE(J5," ",""),"0",""),"-",""))+LEN(SUBSTITUTE(SUBSTITUTE(SUBSTITUTE(K5," ",""),"0",""),"-",""))+LEN(SUBSTITUTE(SUBSTITUTE(SUBSTITUTE(J6," ",""),"0",""),"-",""))+LEN(SUBSTITUTE(SUBSTITUTE(SUBSTITUTE(K6," ",""),"0",""),"-",""))+LEN(SUBSTITUTE(SUBSTITUTE(SUBSTITUTE(J7," ",""),"0",""),"-",""))+LEN(SUBSTITUTE(SUBSTITUTE(SUBSTITUTE(K7," ",""),"0",""),"-",""))+LEN(SUBSTITUTE(SUBSTITUTE(SUBSTITUTE(J8," ",""),"0",""),"-",""))+LEN(SUBSTITUTE(SUBSTITUTE(SUBSTITUTE(K8," ",""),"0",""),"-",""))+LEN(SUBSTITUTE(SUBSTITUTE(SUBSTITUTE(J9," ",""),"0",""),"-",""))+LEN(SUBSTITUTE(SUBSTITUTE(SUBSTITUTE(K9," ",""),"0",""),"-",""))</f>
      </c>
      <c r="L12" s="14"/>
      <c r="M12" s="14" t="str">
        <f>LEN(SUBSTITUTE(SUBSTITUTE(SUBSTITUTE(M5," ",""),"0",""),"-",""))+LEN(SUBSTITUTE(SUBSTITUTE(SUBSTITUTE(N5," ",""),"0",""),"-",""))+LEN(SUBSTITUTE(SUBSTITUTE(SUBSTITUTE(M6," ",""),"0",""),"-",""))+LEN(SUBSTITUTE(SUBSTITUTE(SUBSTITUTE(N6," ",""),"0",""),"-",""))+LEN(SUBSTITUTE(SUBSTITUTE(SUBSTITUTE(M7," ",""),"0",""),"-",""))+LEN(SUBSTITUTE(SUBSTITUTE(SUBSTITUTE(N7," ",""),"0",""),"-",""))+LEN(SUBSTITUTE(SUBSTITUTE(SUBSTITUTE(M8," ",""),"0",""),"-",""))+LEN(SUBSTITUTE(SUBSTITUTE(SUBSTITUTE(N8," ",""),"0",""),"-",""))+LEN(SUBSTITUTE(SUBSTITUTE(SUBSTITUTE(M9," ",""),"0",""),"-",""))+LEN(SUBSTITUTE(SUBSTITUTE(SUBSTITUTE(N9," ",""),"0",""),"-",""))</f>
      </c>
      <c r="N12" s="14" t="str">
        <f>IF(UPPER(L5)="X",0,IF((LEN(SUBSTITUTE(SUBSTITUTE(SUBSTITUTE(M5," ",""),"0",""),"-",""))+LEN(SUBSTITUTE(SUBSTITUTE(SUBSTITUTE(N5," ",""),"0",""),"-","")))&gt;(LEN(SUBSTITUTE(SUBSTITUTE(SUBSTITUTE(J5," ",""),"0",""),"-",""))+LEN(SUBSTITUTE(SUBSTITUTE(SUBSTITUTE(K5," ",""),"0",""),"-",""))),1,0))+IF(UPPER(L6)="X",0,IF((LEN(SUBSTITUTE(SUBSTITUTE(SUBSTITUTE(M6," ",""),"0",""),"-",""))+LEN(SUBSTITUTE(SUBSTITUTE(SUBSTITUTE(N6," ",""),"0",""),"-","")))&gt;(LEN(SUBSTITUTE(SUBSTITUTE(SUBSTITUTE(J6," ",""),"0",""),"-",""))+LEN(SUBSTITUTE(SUBSTITUTE(SUBSTITUTE(K6," ",""),"0",""),"-",""))),1,0))+IF(UPPER(L7)="X",0,IF((LEN(SUBSTITUTE(SUBSTITUTE(SUBSTITUTE(M7," ",""),"0",""),"-",""))+LEN(SUBSTITUTE(SUBSTITUTE(SUBSTITUTE(N7," ",""),"0",""),"-","")))&gt;(LEN(SUBSTITUTE(SUBSTITUTE(SUBSTITUTE(J7," ",""),"0",""),"-",""))+LEN(SUBSTITUTE(SUBSTITUTE(SUBSTITUTE(K7," ",""),"0",""),"-",""))),1,0))+IF(UPPER(L8)="X",0,IF((LEN(SUBSTITUTE(SUBSTITUTE(SUBSTITUTE(M8," ",""),"0",""),"-",""))+LEN(SUBSTITUTE(SUBSTITUTE(SUBSTITUTE(N8," ",""),"0",""),"-","")))&gt;(LEN(SUBSTITUTE(SUBSTITUTE(SUBSTITUTE(J8," ",""),"0",""),"-",""))+LEN(SUBSTITUTE(SUBSTITUTE(SUBSTITUTE(K8," ",""),"0",""),"-",""))),1,0))+IF(UPPER(L9)="X",0,IF((LEN(SUBSTITUTE(SUBSTITUTE(SUBSTITUTE(M9," ",""),"0",""),"-",""))+LEN(SUBSTITUTE(SUBSTITUTE(SUBSTITUTE(N9," ",""),"0",""),"-","")))&gt;(LEN(SUBSTITUTE(SUBSTITUTE(SUBSTITUTE(J9," ",""),"0",""),"-",""))+LEN(SUBSTITUTE(SUBSTITUTE(SUBSTITUTE(K9," ",""),"0",""),"-",""))),1,0))</f>
      </c>
      <c r="O12" s="14" t="s">
        <v>349</v>
      </c>
    </row>
    <row r="15">
      <c r="F15" t="s">
        <v>345</v>
      </c>
      <c r="G15" s="19"/>
      <c r="N15" t="s">
        <v>345</v>
      </c>
      <c r="O15" s="19"/>
    </row>
    <row r="16">
      <c r="F16" t="s">
        <v>346</v>
      </c>
      <c r="G16" s="19"/>
      <c r="N16" t="s">
        <v>346</v>
      </c>
      <c r="O16" s="19"/>
    </row>
    <row r="18">
      <c r="A18" s="13" t="s">
        <v>351</v>
      </c>
      <c r="B18" s="13"/>
      <c r="C18" s="13"/>
      <c r="D18" s="13"/>
      <c r="E18" s="13"/>
      <c r="F18" s="13"/>
      <c r="G18" s="13"/>
      <c r="I18" s="13" t="s">
        <v>352</v>
      </c>
      <c r="J18" s="13"/>
      <c r="K18" s="13"/>
      <c r="L18" s="13"/>
      <c r="M18" s="13"/>
      <c r="N18" s="13"/>
      <c r="O18" s="13"/>
    </row>
    <row r="19">
      <c r="A19" s="17" t="s">
        <v>331</v>
      </c>
      <c r="D19" s="14" t="s">
        <v>332</v>
      </c>
      <c r="G19" s="16" t="s">
        <v>333</v>
      </c>
      <c r="I19" s="17" t="s">
        <v>331</v>
      </c>
      <c r="L19" s="14" t="s">
        <v>332</v>
      </c>
      <c r="O19" s="16" t="s">
        <v>333</v>
      </c>
    </row>
    <row r="20">
      <c r="A20" s="14" t="str">
        <f>CONCATENATE("Pool R-2nd ",'Pool Matches'!O84)</f>
      </c>
      <c r="B20" s="14"/>
      <c r="C20" s="14"/>
      <c r="D20" s="18"/>
      <c r="E20" s="14"/>
      <c r="F20" s="14"/>
      <c r="G20" s="14" t="str">
        <f>CONCATENATE("Pool B-1st ",'Pool Matches'!G83)</f>
      </c>
      <c r="I20" s="14" t="str">
        <f>CONCATENATE("Pool B-2nd ",'Pool Matches'!G84)</f>
      </c>
      <c r="J20" s="14"/>
      <c r="K20" s="14"/>
      <c r="L20" s="18"/>
      <c r="M20" s="14"/>
      <c r="N20" s="14"/>
      <c r="O20" s="14" t="str">
        <f>CONCATENATE("Pool R-1st ",'Pool Matches'!O83)</f>
      </c>
    </row>
    <row r="21">
      <c r="A21" s="14">
        <v>1</v>
      </c>
      <c r="B21" s="18"/>
      <c r="C21" s="18"/>
      <c r="D21" s="18"/>
      <c r="E21" s="18"/>
      <c r="F21" s="18"/>
      <c r="G21" s="14">
        <v>1</v>
      </c>
      <c r="I21" s="14">
        <v>1</v>
      </c>
      <c r="J21" s="18"/>
      <c r="K21" s="18"/>
      <c r="L21" s="18"/>
      <c r="M21" s="18"/>
      <c r="N21" s="18"/>
      <c r="O21" s="14">
        <v>1</v>
      </c>
    </row>
    <row r="22">
      <c r="A22" s="14">
        <v>2</v>
      </c>
      <c r="B22" s="18"/>
      <c r="C22" s="18"/>
      <c r="D22" s="18"/>
      <c r="E22" s="18"/>
      <c r="F22" s="18"/>
      <c r="G22" s="14">
        <v>2</v>
      </c>
      <c r="I22" s="14">
        <v>2</v>
      </c>
      <c r="J22" s="18"/>
      <c r="K22" s="18"/>
      <c r="L22" s="18"/>
      <c r="M22" s="18"/>
      <c r="N22" s="18"/>
      <c r="O22" s="14">
        <v>2</v>
      </c>
    </row>
    <row r="23">
      <c r="A23" s="14">
        <v>3</v>
      </c>
      <c r="B23" s="18"/>
      <c r="C23" s="18"/>
      <c r="D23" s="18"/>
      <c r="E23" s="18"/>
      <c r="F23" s="18"/>
      <c r="G23" s="14">
        <v>3</v>
      </c>
      <c r="I23" s="14">
        <v>3</v>
      </c>
      <c r="J23" s="18"/>
      <c r="K23" s="18"/>
      <c r="L23" s="18"/>
      <c r="M23" s="18"/>
      <c r="N23" s="18"/>
      <c r="O23" s="14">
        <v>3</v>
      </c>
    </row>
    <row r="24">
      <c r="A24" s="14">
        <v>4</v>
      </c>
      <c r="B24" s="18"/>
      <c r="C24" s="18"/>
      <c r="D24" s="18"/>
      <c r="E24" s="18"/>
      <c r="F24" s="18"/>
      <c r="G24" s="14">
        <v>4</v>
      </c>
      <c r="I24" s="14">
        <v>4</v>
      </c>
      <c r="J24" s="18"/>
      <c r="K24" s="18"/>
      <c r="L24" s="18"/>
      <c r="M24" s="18"/>
      <c r="N24" s="18"/>
      <c r="O24" s="14">
        <v>4</v>
      </c>
    </row>
    <row r="25">
      <c r="A25" s="14">
        <v>5</v>
      </c>
      <c r="B25" s="18"/>
      <c r="C25" s="18"/>
      <c r="D25" s="18"/>
      <c r="E25" s="18"/>
      <c r="F25" s="18"/>
      <c r="G25" s="14">
        <v>5</v>
      </c>
      <c r="I25" s="14">
        <v>5</v>
      </c>
      <c r="J25" s="18"/>
      <c r="K25" s="18"/>
      <c r="L25" s="18"/>
      <c r="M25" s="18"/>
      <c r="N25" s="18"/>
      <c r="O25" s="14">
        <v>5</v>
      </c>
    </row>
    <row r="27">
      <c r="A27" s="14" t="str">
        <f>CONCATENATE("Pool R-2nd ",'Pool Matches'!O84)</f>
      </c>
      <c r="B27" s="14" t="s">
        <v>339</v>
      </c>
      <c r="C27" s="14" t="s">
        <v>342</v>
      </c>
      <c r="D27" s="14"/>
      <c r="E27" s="14" t="s">
        <v>342</v>
      </c>
      <c r="F27" s="14" t="s">
        <v>339</v>
      </c>
      <c r="G27" s="14" t="str">
        <f>CONCATENATE("Pool B-1st ",'Pool Matches'!G83)</f>
      </c>
      <c r="I27" s="14" t="str">
        <f>CONCATENATE("Pool B-2nd ",'Pool Matches'!G84)</f>
      </c>
      <c r="J27" s="14" t="s">
        <v>339</v>
      </c>
      <c r="K27" s="14" t="s">
        <v>342</v>
      </c>
      <c r="L27" s="14"/>
      <c r="M27" s="14" t="s">
        <v>342</v>
      </c>
      <c r="N27" s="14" t="s">
        <v>339</v>
      </c>
      <c r="O27" s="14" t="str">
        <f>CONCATENATE("Pool R-1st ",'Pool Matches'!O83)</f>
      </c>
    </row>
    <row r="28">
      <c r="A28" s="14" t="s">
        <v>349</v>
      </c>
      <c r="B28" s="14" t="str">
        <f>IF(UPPER(D21)="X",0,IF((LEN(SUBSTITUTE(SUBSTITUTE(SUBSTITUTE(B21," ",""),"0",""),"-",""))+LEN(SUBSTITUTE(SUBSTITUTE(SUBSTITUTE(C21," ",""),"0",""),"-","")))&gt;(LEN(SUBSTITUTE(SUBSTITUTE(SUBSTITUTE(E21," ",""),"0",""),"-",""))+LEN(SUBSTITUTE(SUBSTITUTE(SUBSTITUTE(F21," ",""),"0",""),"-",""))),1,0))+IF(UPPER(D22)="X",0,IF((LEN(SUBSTITUTE(SUBSTITUTE(SUBSTITUTE(B22," ",""),"0",""),"-",""))+LEN(SUBSTITUTE(SUBSTITUTE(SUBSTITUTE(C22," ",""),"0",""),"-","")))&gt;(LEN(SUBSTITUTE(SUBSTITUTE(SUBSTITUTE(E22," ",""),"0",""),"-",""))+LEN(SUBSTITUTE(SUBSTITUTE(SUBSTITUTE(F22," ",""),"0",""),"-",""))),1,0))+IF(UPPER(D23)="X",0,IF((LEN(SUBSTITUTE(SUBSTITUTE(SUBSTITUTE(B23," ",""),"0",""),"-",""))+LEN(SUBSTITUTE(SUBSTITUTE(SUBSTITUTE(C23," ",""),"0",""),"-","")))&gt;(LEN(SUBSTITUTE(SUBSTITUTE(SUBSTITUTE(E23," ",""),"0",""),"-",""))+LEN(SUBSTITUTE(SUBSTITUTE(SUBSTITUTE(F23," ",""),"0",""),"-",""))),1,0))+IF(UPPER(D24)="X",0,IF((LEN(SUBSTITUTE(SUBSTITUTE(SUBSTITUTE(B24," ",""),"0",""),"-",""))+LEN(SUBSTITUTE(SUBSTITUTE(SUBSTITUTE(C24," ",""),"0",""),"-","")))&gt;(LEN(SUBSTITUTE(SUBSTITUTE(SUBSTITUTE(E24," ",""),"0",""),"-",""))+LEN(SUBSTITUTE(SUBSTITUTE(SUBSTITUTE(F24," ",""),"0",""),"-",""))),1,0))+IF(UPPER(D25)="X",0,IF((LEN(SUBSTITUTE(SUBSTITUTE(SUBSTITUTE(B25," ",""),"0",""),"-",""))+LEN(SUBSTITUTE(SUBSTITUTE(SUBSTITUTE(C25," ",""),"0",""),"-","")))&gt;(LEN(SUBSTITUTE(SUBSTITUTE(SUBSTITUTE(E25," ",""),"0",""),"-",""))+LEN(SUBSTITUTE(SUBSTITUTE(SUBSTITUTE(F25," ",""),"0",""),"-",""))),1,0))</f>
      </c>
      <c r="C28" s="14" t="str">
        <f>LEN(SUBSTITUTE(SUBSTITUTE(SUBSTITUTE(B21," ",""),"0",""),"-",""))+LEN(SUBSTITUTE(SUBSTITUTE(SUBSTITUTE(C21," ",""),"0",""),"-",""))+LEN(SUBSTITUTE(SUBSTITUTE(SUBSTITUTE(B22," ",""),"0",""),"-",""))+LEN(SUBSTITUTE(SUBSTITUTE(SUBSTITUTE(C22," ",""),"0",""),"-",""))+LEN(SUBSTITUTE(SUBSTITUTE(SUBSTITUTE(B23," ",""),"0",""),"-",""))+LEN(SUBSTITUTE(SUBSTITUTE(SUBSTITUTE(C23," ",""),"0",""),"-",""))+LEN(SUBSTITUTE(SUBSTITUTE(SUBSTITUTE(B24," ",""),"0",""),"-",""))+LEN(SUBSTITUTE(SUBSTITUTE(SUBSTITUTE(C24," ",""),"0",""),"-",""))+LEN(SUBSTITUTE(SUBSTITUTE(SUBSTITUTE(B25," ",""),"0",""),"-",""))+LEN(SUBSTITUTE(SUBSTITUTE(SUBSTITUTE(C25," ",""),"0",""),"-",""))</f>
      </c>
      <c r="D28" s="14"/>
      <c r="E28" s="14" t="str">
        <f>LEN(SUBSTITUTE(SUBSTITUTE(SUBSTITUTE(E21," ",""),"0",""),"-",""))+LEN(SUBSTITUTE(SUBSTITUTE(SUBSTITUTE(F21," ",""),"0",""),"-",""))+LEN(SUBSTITUTE(SUBSTITUTE(SUBSTITUTE(E22," ",""),"0",""),"-",""))+LEN(SUBSTITUTE(SUBSTITUTE(SUBSTITUTE(F22," ",""),"0",""),"-",""))+LEN(SUBSTITUTE(SUBSTITUTE(SUBSTITUTE(E23," ",""),"0",""),"-",""))+LEN(SUBSTITUTE(SUBSTITUTE(SUBSTITUTE(F23," ",""),"0",""),"-",""))+LEN(SUBSTITUTE(SUBSTITUTE(SUBSTITUTE(E24," ",""),"0",""),"-",""))+LEN(SUBSTITUTE(SUBSTITUTE(SUBSTITUTE(F24," ",""),"0",""),"-",""))+LEN(SUBSTITUTE(SUBSTITUTE(SUBSTITUTE(E25," ",""),"0",""),"-",""))+LEN(SUBSTITUTE(SUBSTITUTE(SUBSTITUTE(F25," ",""),"0",""),"-",""))</f>
      </c>
      <c r="F28" s="14" t="str">
        <f>IF(UPPER(D21)="X",0,IF((LEN(SUBSTITUTE(SUBSTITUTE(SUBSTITUTE(E21," ",""),"0",""),"-",""))+LEN(SUBSTITUTE(SUBSTITUTE(SUBSTITUTE(F21," ",""),"0",""),"-","")))&gt;(LEN(SUBSTITUTE(SUBSTITUTE(SUBSTITUTE(B21," ",""),"0",""),"-",""))+LEN(SUBSTITUTE(SUBSTITUTE(SUBSTITUTE(C21," ",""),"0",""),"-",""))),1,0))+IF(UPPER(D22)="X",0,IF((LEN(SUBSTITUTE(SUBSTITUTE(SUBSTITUTE(E22," ",""),"0",""),"-",""))+LEN(SUBSTITUTE(SUBSTITUTE(SUBSTITUTE(F22," ",""),"0",""),"-","")))&gt;(LEN(SUBSTITUTE(SUBSTITUTE(SUBSTITUTE(B22," ",""),"0",""),"-",""))+LEN(SUBSTITUTE(SUBSTITUTE(SUBSTITUTE(C22," ",""),"0",""),"-",""))),1,0))+IF(UPPER(D23)="X",0,IF((LEN(SUBSTITUTE(SUBSTITUTE(SUBSTITUTE(E23," ",""),"0",""),"-",""))+LEN(SUBSTITUTE(SUBSTITUTE(SUBSTITUTE(F23," ",""),"0",""),"-","")))&gt;(LEN(SUBSTITUTE(SUBSTITUTE(SUBSTITUTE(B23," ",""),"0",""),"-",""))+LEN(SUBSTITUTE(SUBSTITUTE(SUBSTITUTE(C23," ",""),"0",""),"-",""))),1,0))+IF(UPPER(D24)="X",0,IF((LEN(SUBSTITUTE(SUBSTITUTE(SUBSTITUTE(E24," ",""),"0",""),"-",""))+LEN(SUBSTITUTE(SUBSTITUTE(SUBSTITUTE(F24," ",""),"0",""),"-","")))&gt;(LEN(SUBSTITUTE(SUBSTITUTE(SUBSTITUTE(B24," ",""),"0",""),"-",""))+LEN(SUBSTITUTE(SUBSTITUTE(SUBSTITUTE(C24," ",""),"0",""),"-",""))),1,0))+IF(UPPER(D25)="X",0,IF((LEN(SUBSTITUTE(SUBSTITUTE(SUBSTITUTE(E25," ",""),"0",""),"-",""))+LEN(SUBSTITUTE(SUBSTITUTE(SUBSTITUTE(F25," ",""),"0",""),"-","")))&gt;(LEN(SUBSTITUTE(SUBSTITUTE(SUBSTITUTE(B25," ",""),"0",""),"-",""))+LEN(SUBSTITUTE(SUBSTITUTE(SUBSTITUTE(C25," ",""),"0",""),"-",""))),1,0))</f>
      </c>
      <c r="G28" s="14" t="s">
        <v>349</v>
      </c>
      <c r="I28" s="14" t="s">
        <v>349</v>
      </c>
      <c r="J28" s="14" t="str">
        <f>IF(UPPER(L21)="X",0,IF((LEN(SUBSTITUTE(SUBSTITUTE(SUBSTITUTE(J21," ",""),"0",""),"-",""))+LEN(SUBSTITUTE(SUBSTITUTE(SUBSTITUTE(K21," ",""),"0",""),"-","")))&gt;(LEN(SUBSTITUTE(SUBSTITUTE(SUBSTITUTE(M21," ",""),"0",""),"-",""))+LEN(SUBSTITUTE(SUBSTITUTE(SUBSTITUTE(N21," ",""),"0",""),"-",""))),1,0))+IF(UPPER(L22)="X",0,IF((LEN(SUBSTITUTE(SUBSTITUTE(SUBSTITUTE(J22," ",""),"0",""),"-",""))+LEN(SUBSTITUTE(SUBSTITUTE(SUBSTITUTE(K22," ",""),"0",""),"-","")))&gt;(LEN(SUBSTITUTE(SUBSTITUTE(SUBSTITUTE(M22," ",""),"0",""),"-",""))+LEN(SUBSTITUTE(SUBSTITUTE(SUBSTITUTE(N22," ",""),"0",""),"-",""))),1,0))+IF(UPPER(L23)="X",0,IF((LEN(SUBSTITUTE(SUBSTITUTE(SUBSTITUTE(J23," ",""),"0",""),"-",""))+LEN(SUBSTITUTE(SUBSTITUTE(SUBSTITUTE(K23," ",""),"0",""),"-","")))&gt;(LEN(SUBSTITUTE(SUBSTITUTE(SUBSTITUTE(M23," ",""),"0",""),"-",""))+LEN(SUBSTITUTE(SUBSTITUTE(SUBSTITUTE(N23," ",""),"0",""),"-",""))),1,0))+IF(UPPER(L24)="X",0,IF((LEN(SUBSTITUTE(SUBSTITUTE(SUBSTITUTE(J24," ",""),"0",""),"-",""))+LEN(SUBSTITUTE(SUBSTITUTE(SUBSTITUTE(K24," ",""),"0",""),"-","")))&gt;(LEN(SUBSTITUTE(SUBSTITUTE(SUBSTITUTE(M24," ",""),"0",""),"-",""))+LEN(SUBSTITUTE(SUBSTITUTE(SUBSTITUTE(N24," ",""),"0",""),"-",""))),1,0))+IF(UPPER(L25)="X",0,IF((LEN(SUBSTITUTE(SUBSTITUTE(SUBSTITUTE(J25," ",""),"0",""),"-",""))+LEN(SUBSTITUTE(SUBSTITUTE(SUBSTITUTE(K25," ",""),"0",""),"-","")))&gt;(LEN(SUBSTITUTE(SUBSTITUTE(SUBSTITUTE(M25," ",""),"0",""),"-",""))+LEN(SUBSTITUTE(SUBSTITUTE(SUBSTITUTE(N25," ",""),"0",""),"-",""))),1,0))</f>
      </c>
      <c r="K28" s="14" t="str">
        <f>LEN(SUBSTITUTE(SUBSTITUTE(SUBSTITUTE(J21," ",""),"0",""),"-",""))+LEN(SUBSTITUTE(SUBSTITUTE(SUBSTITUTE(K21," ",""),"0",""),"-",""))+LEN(SUBSTITUTE(SUBSTITUTE(SUBSTITUTE(J22," ",""),"0",""),"-",""))+LEN(SUBSTITUTE(SUBSTITUTE(SUBSTITUTE(K22," ",""),"0",""),"-",""))+LEN(SUBSTITUTE(SUBSTITUTE(SUBSTITUTE(J23," ",""),"0",""),"-",""))+LEN(SUBSTITUTE(SUBSTITUTE(SUBSTITUTE(K23," ",""),"0",""),"-",""))+LEN(SUBSTITUTE(SUBSTITUTE(SUBSTITUTE(J24," ",""),"0",""),"-",""))+LEN(SUBSTITUTE(SUBSTITUTE(SUBSTITUTE(K24," ",""),"0",""),"-",""))+LEN(SUBSTITUTE(SUBSTITUTE(SUBSTITUTE(J25," ",""),"0",""),"-",""))+LEN(SUBSTITUTE(SUBSTITUTE(SUBSTITUTE(K25," ",""),"0",""),"-",""))</f>
      </c>
      <c r="L28" s="14"/>
      <c r="M28" s="14" t="str">
        <f>LEN(SUBSTITUTE(SUBSTITUTE(SUBSTITUTE(M21," ",""),"0",""),"-",""))+LEN(SUBSTITUTE(SUBSTITUTE(SUBSTITUTE(N21," ",""),"0",""),"-",""))+LEN(SUBSTITUTE(SUBSTITUTE(SUBSTITUTE(M22," ",""),"0",""),"-",""))+LEN(SUBSTITUTE(SUBSTITUTE(SUBSTITUTE(N22," ",""),"0",""),"-",""))+LEN(SUBSTITUTE(SUBSTITUTE(SUBSTITUTE(M23," ",""),"0",""),"-",""))+LEN(SUBSTITUTE(SUBSTITUTE(SUBSTITUTE(N23," ",""),"0",""),"-",""))+LEN(SUBSTITUTE(SUBSTITUTE(SUBSTITUTE(M24," ",""),"0",""),"-",""))+LEN(SUBSTITUTE(SUBSTITUTE(SUBSTITUTE(N24," ",""),"0",""),"-",""))+LEN(SUBSTITUTE(SUBSTITUTE(SUBSTITUTE(M25," ",""),"0",""),"-",""))+LEN(SUBSTITUTE(SUBSTITUTE(SUBSTITUTE(N25," ",""),"0",""),"-",""))</f>
      </c>
      <c r="N28" s="14" t="str">
        <f>IF(UPPER(L21)="X",0,IF((LEN(SUBSTITUTE(SUBSTITUTE(SUBSTITUTE(M21," ",""),"0",""),"-",""))+LEN(SUBSTITUTE(SUBSTITUTE(SUBSTITUTE(N21," ",""),"0",""),"-","")))&gt;(LEN(SUBSTITUTE(SUBSTITUTE(SUBSTITUTE(J21," ",""),"0",""),"-",""))+LEN(SUBSTITUTE(SUBSTITUTE(SUBSTITUTE(K21," ",""),"0",""),"-",""))),1,0))+IF(UPPER(L22)="X",0,IF((LEN(SUBSTITUTE(SUBSTITUTE(SUBSTITUTE(M22," ",""),"0",""),"-",""))+LEN(SUBSTITUTE(SUBSTITUTE(SUBSTITUTE(N22," ",""),"0",""),"-","")))&gt;(LEN(SUBSTITUTE(SUBSTITUTE(SUBSTITUTE(J22," ",""),"0",""),"-",""))+LEN(SUBSTITUTE(SUBSTITUTE(SUBSTITUTE(K22," ",""),"0",""),"-",""))),1,0))+IF(UPPER(L23)="X",0,IF((LEN(SUBSTITUTE(SUBSTITUTE(SUBSTITUTE(M23," ",""),"0",""),"-",""))+LEN(SUBSTITUTE(SUBSTITUTE(SUBSTITUTE(N23," ",""),"0",""),"-","")))&gt;(LEN(SUBSTITUTE(SUBSTITUTE(SUBSTITUTE(J23," ",""),"0",""),"-",""))+LEN(SUBSTITUTE(SUBSTITUTE(SUBSTITUTE(K23," ",""),"0",""),"-",""))),1,0))+IF(UPPER(L24)="X",0,IF((LEN(SUBSTITUTE(SUBSTITUTE(SUBSTITUTE(M24," ",""),"0",""),"-",""))+LEN(SUBSTITUTE(SUBSTITUTE(SUBSTITUTE(N24," ",""),"0",""),"-","")))&gt;(LEN(SUBSTITUTE(SUBSTITUTE(SUBSTITUTE(J24," ",""),"0",""),"-",""))+LEN(SUBSTITUTE(SUBSTITUTE(SUBSTITUTE(K24," ",""),"0",""),"-",""))),1,0))+IF(UPPER(L25)="X",0,IF((LEN(SUBSTITUTE(SUBSTITUTE(SUBSTITUTE(M25," ",""),"0",""),"-",""))+LEN(SUBSTITUTE(SUBSTITUTE(SUBSTITUTE(N25," ",""),"0",""),"-","")))&gt;(LEN(SUBSTITUTE(SUBSTITUTE(SUBSTITUTE(J25," ",""),"0",""),"-",""))+LEN(SUBSTITUTE(SUBSTITUTE(SUBSTITUTE(K25," ",""),"0",""),"-",""))),1,0))</f>
      </c>
      <c r="O28" s="14" t="s">
        <v>349</v>
      </c>
    </row>
    <row r="31">
      <c r="F31" t="s">
        <v>345</v>
      </c>
      <c r="G31" s="19"/>
      <c r="N31" t="s">
        <v>345</v>
      </c>
      <c r="O31" s="19"/>
    </row>
    <row r="32">
      <c r="F32" t="s">
        <v>346</v>
      </c>
      <c r="G32" s="19"/>
      <c r="N32" t="s">
        <v>346</v>
      </c>
      <c r="O32" s="19"/>
    </row>
    <row r="34">
      <c r="A34" s="13" t="s">
        <v>353</v>
      </c>
      <c r="B34" s="13"/>
      <c r="C34" s="13"/>
      <c r="D34" s="13"/>
      <c r="E34" s="13"/>
      <c r="F34" s="13"/>
      <c r="G34" s="13"/>
      <c r="I34" s="13" t="s">
        <v>354</v>
      </c>
      <c r="J34" s="13"/>
      <c r="K34" s="13"/>
      <c r="L34" s="13"/>
      <c r="M34" s="13"/>
      <c r="N34" s="13"/>
      <c r="O34" s="13"/>
    </row>
    <row r="35">
      <c r="A35" s="17" t="s">
        <v>331</v>
      </c>
      <c r="D35" s="14" t="s">
        <v>332</v>
      </c>
      <c r="G35" s="16" t="s">
        <v>333</v>
      </c>
      <c r="I35" s="17" t="s">
        <v>331</v>
      </c>
      <c r="L35" s="14" t="s">
        <v>332</v>
      </c>
      <c r="O35" s="16" t="s">
        <v>333</v>
      </c>
    </row>
    <row r="36">
      <c r="A36" s="14" t="str">
        <f>CONCATENATE("Pool S-2nd ",'Pool Matches'!O127)</f>
      </c>
      <c r="B36" s="14"/>
      <c r="C36" s="14"/>
      <c r="D36" s="18"/>
      <c r="E36" s="14"/>
      <c r="F36" s="14"/>
      <c r="G36" s="14" t="str">
        <f>CONCATENATE("Pool C-1st ",'Pool Matches'!G126)</f>
      </c>
      <c r="I36" s="14" t="str">
        <f>CONCATENATE("Pool C-2nd ",'Pool Matches'!G127)</f>
      </c>
      <c r="J36" s="14"/>
      <c r="K36" s="14"/>
      <c r="L36" s="18"/>
      <c r="M36" s="14"/>
      <c r="N36" s="14"/>
      <c r="O36" s="14" t="str">
        <f>CONCATENATE("Pool S-1st ",'Pool Matches'!O126)</f>
      </c>
    </row>
    <row r="37">
      <c r="A37" s="14">
        <v>1</v>
      </c>
      <c r="B37" s="18"/>
      <c r="C37" s="18"/>
      <c r="D37" s="18"/>
      <c r="E37" s="18"/>
      <c r="F37" s="18"/>
      <c r="G37" s="14">
        <v>1</v>
      </c>
      <c r="I37" s="14">
        <v>1</v>
      </c>
      <c r="J37" s="18"/>
      <c r="K37" s="18"/>
      <c r="L37" s="18"/>
      <c r="M37" s="18"/>
      <c r="N37" s="18"/>
      <c r="O37" s="14">
        <v>1</v>
      </c>
    </row>
    <row r="38">
      <c r="A38" s="14">
        <v>2</v>
      </c>
      <c r="B38" s="18"/>
      <c r="C38" s="18"/>
      <c r="D38" s="18"/>
      <c r="E38" s="18"/>
      <c r="F38" s="18"/>
      <c r="G38" s="14">
        <v>2</v>
      </c>
      <c r="I38" s="14">
        <v>2</v>
      </c>
      <c r="J38" s="18"/>
      <c r="K38" s="18"/>
      <c r="L38" s="18"/>
      <c r="M38" s="18"/>
      <c r="N38" s="18"/>
      <c r="O38" s="14">
        <v>2</v>
      </c>
    </row>
    <row r="39">
      <c r="A39" s="14">
        <v>3</v>
      </c>
      <c r="B39" s="18"/>
      <c r="C39" s="18"/>
      <c r="D39" s="18"/>
      <c r="E39" s="18"/>
      <c r="F39" s="18"/>
      <c r="G39" s="14">
        <v>3</v>
      </c>
      <c r="I39" s="14">
        <v>3</v>
      </c>
      <c r="J39" s="18"/>
      <c r="K39" s="18"/>
      <c r="L39" s="18"/>
      <c r="M39" s="18"/>
      <c r="N39" s="18"/>
      <c r="O39" s="14">
        <v>3</v>
      </c>
    </row>
    <row r="40">
      <c r="A40" s="14">
        <v>4</v>
      </c>
      <c r="B40" s="18"/>
      <c r="C40" s="18"/>
      <c r="D40" s="18"/>
      <c r="E40" s="18"/>
      <c r="F40" s="18"/>
      <c r="G40" s="14">
        <v>4</v>
      </c>
      <c r="I40" s="14">
        <v>4</v>
      </c>
      <c r="J40" s="18"/>
      <c r="K40" s="18"/>
      <c r="L40" s="18"/>
      <c r="M40" s="18"/>
      <c r="N40" s="18"/>
      <c r="O40" s="14">
        <v>4</v>
      </c>
    </row>
    <row r="41">
      <c r="A41" s="14">
        <v>5</v>
      </c>
      <c r="B41" s="18"/>
      <c r="C41" s="18"/>
      <c r="D41" s="18"/>
      <c r="E41" s="18"/>
      <c r="F41" s="18"/>
      <c r="G41" s="14">
        <v>5</v>
      </c>
      <c r="I41" s="14">
        <v>5</v>
      </c>
      <c r="J41" s="18"/>
      <c r="K41" s="18"/>
      <c r="L41" s="18"/>
      <c r="M41" s="18"/>
      <c r="N41" s="18"/>
      <c r="O41" s="14">
        <v>5</v>
      </c>
    </row>
    <row r="43">
      <c r="A43" s="14" t="str">
        <f>CONCATENATE("Pool S-2nd ",'Pool Matches'!O127)</f>
      </c>
      <c r="B43" s="14" t="s">
        <v>339</v>
      </c>
      <c r="C43" s="14" t="s">
        <v>342</v>
      </c>
      <c r="D43" s="14"/>
      <c r="E43" s="14" t="s">
        <v>342</v>
      </c>
      <c r="F43" s="14" t="s">
        <v>339</v>
      </c>
      <c r="G43" s="14" t="str">
        <f>CONCATENATE("Pool C-1st ",'Pool Matches'!G126)</f>
      </c>
      <c r="I43" s="14" t="str">
        <f>CONCATENATE("Pool C-2nd ",'Pool Matches'!G127)</f>
      </c>
      <c r="J43" s="14" t="s">
        <v>339</v>
      </c>
      <c r="K43" s="14" t="s">
        <v>342</v>
      </c>
      <c r="L43" s="14"/>
      <c r="M43" s="14" t="s">
        <v>342</v>
      </c>
      <c r="N43" s="14" t="s">
        <v>339</v>
      </c>
      <c r="O43" s="14" t="str">
        <f>CONCATENATE("Pool S-1st ",'Pool Matches'!O126)</f>
      </c>
    </row>
    <row r="44">
      <c r="A44" s="14" t="s">
        <v>349</v>
      </c>
      <c r="B44" s="14" t="str">
        <f>IF(UPPER(D37)="X",0,IF((LEN(SUBSTITUTE(SUBSTITUTE(SUBSTITUTE(B37," ",""),"0",""),"-",""))+LEN(SUBSTITUTE(SUBSTITUTE(SUBSTITUTE(C37," ",""),"0",""),"-","")))&gt;(LEN(SUBSTITUTE(SUBSTITUTE(SUBSTITUTE(E37," ",""),"0",""),"-",""))+LEN(SUBSTITUTE(SUBSTITUTE(SUBSTITUTE(F37," ",""),"0",""),"-",""))),1,0))+IF(UPPER(D38)="X",0,IF((LEN(SUBSTITUTE(SUBSTITUTE(SUBSTITUTE(B38," ",""),"0",""),"-",""))+LEN(SUBSTITUTE(SUBSTITUTE(SUBSTITUTE(C38," ",""),"0",""),"-","")))&gt;(LEN(SUBSTITUTE(SUBSTITUTE(SUBSTITUTE(E38," ",""),"0",""),"-",""))+LEN(SUBSTITUTE(SUBSTITUTE(SUBSTITUTE(F38," ",""),"0",""),"-",""))),1,0))+IF(UPPER(D39)="X",0,IF((LEN(SUBSTITUTE(SUBSTITUTE(SUBSTITUTE(B39," ",""),"0",""),"-",""))+LEN(SUBSTITUTE(SUBSTITUTE(SUBSTITUTE(C39," ",""),"0",""),"-","")))&gt;(LEN(SUBSTITUTE(SUBSTITUTE(SUBSTITUTE(E39," ",""),"0",""),"-",""))+LEN(SUBSTITUTE(SUBSTITUTE(SUBSTITUTE(F39," ",""),"0",""),"-",""))),1,0))+IF(UPPER(D40)="X",0,IF((LEN(SUBSTITUTE(SUBSTITUTE(SUBSTITUTE(B40," ",""),"0",""),"-",""))+LEN(SUBSTITUTE(SUBSTITUTE(SUBSTITUTE(C40," ",""),"0",""),"-","")))&gt;(LEN(SUBSTITUTE(SUBSTITUTE(SUBSTITUTE(E40," ",""),"0",""),"-",""))+LEN(SUBSTITUTE(SUBSTITUTE(SUBSTITUTE(F40," ",""),"0",""),"-",""))),1,0))+IF(UPPER(D41)="X",0,IF((LEN(SUBSTITUTE(SUBSTITUTE(SUBSTITUTE(B41," ",""),"0",""),"-",""))+LEN(SUBSTITUTE(SUBSTITUTE(SUBSTITUTE(C41," ",""),"0",""),"-","")))&gt;(LEN(SUBSTITUTE(SUBSTITUTE(SUBSTITUTE(E41," ",""),"0",""),"-",""))+LEN(SUBSTITUTE(SUBSTITUTE(SUBSTITUTE(F41," ",""),"0",""),"-",""))),1,0))</f>
      </c>
      <c r="C44" s="14" t="str">
        <f>LEN(SUBSTITUTE(SUBSTITUTE(SUBSTITUTE(B37," ",""),"0",""),"-",""))+LEN(SUBSTITUTE(SUBSTITUTE(SUBSTITUTE(C37," ",""),"0",""),"-",""))+LEN(SUBSTITUTE(SUBSTITUTE(SUBSTITUTE(B38," ",""),"0",""),"-",""))+LEN(SUBSTITUTE(SUBSTITUTE(SUBSTITUTE(C38," ",""),"0",""),"-",""))+LEN(SUBSTITUTE(SUBSTITUTE(SUBSTITUTE(B39," ",""),"0",""),"-",""))+LEN(SUBSTITUTE(SUBSTITUTE(SUBSTITUTE(C39," ",""),"0",""),"-",""))+LEN(SUBSTITUTE(SUBSTITUTE(SUBSTITUTE(B40," ",""),"0",""),"-",""))+LEN(SUBSTITUTE(SUBSTITUTE(SUBSTITUTE(C40," ",""),"0",""),"-",""))+LEN(SUBSTITUTE(SUBSTITUTE(SUBSTITUTE(B41," ",""),"0",""),"-",""))+LEN(SUBSTITUTE(SUBSTITUTE(SUBSTITUTE(C41," ",""),"0",""),"-",""))</f>
      </c>
      <c r="D44" s="14"/>
      <c r="E44" s="14" t="str">
        <f>LEN(SUBSTITUTE(SUBSTITUTE(SUBSTITUTE(E37," ",""),"0",""),"-",""))+LEN(SUBSTITUTE(SUBSTITUTE(SUBSTITUTE(F37," ",""),"0",""),"-",""))+LEN(SUBSTITUTE(SUBSTITUTE(SUBSTITUTE(E38," ",""),"0",""),"-",""))+LEN(SUBSTITUTE(SUBSTITUTE(SUBSTITUTE(F38," ",""),"0",""),"-",""))+LEN(SUBSTITUTE(SUBSTITUTE(SUBSTITUTE(E39," ",""),"0",""),"-",""))+LEN(SUBSTITUTE(SUBSTITUTE(SUBSTITUTE(F39," ",""),"0",""),"-",""))+LEN(SUBSTITUTE(SUBSTITUTE(SUBSTITUTE(E40," ",""),"0",""),"-",""))+LEN(SUBSTITUTE(SUBSTITUTE(SUBSTITUTE(F40," ",""),"0",""),"-",""))+LEN(SUBSTITUTE(SUBSTITUTE(SUBSTITUTE(E41," ",""),"0",""),"-",""))+LEN(SUBSTITUTE(SUBSTITUTE(SUBSTITUTE(F41," ",""),"0",""),"-",""))</f>
      </c>
      <c r="F44" s="14" t="str">
        <f>IF(UPPER(D37)="X",0,IF((LEN(SUBSTITUTE(SUBSTITUTE(SUBSTITUTE(E37," ",""),"0",""),"-",""))+LEN(SUBSTITUTE(SUBSTITUTE(SUBSTITUTE(F37," ",""),"0",""),"-","")))&gt;(LEN(SUBSTITUTE(SUBSTITUTE(SUBSTITUTE(B37," ",""),"0",""),"-",""))+LEN(SUBSTITUTE(SUBSTITUTE(SUBSTITUTE(C37," ",""),"0",""),"-",""))),1,0))+IF(UPPER(D38)="X",0,IF((LEN(SUBSTITUTE(SUBSTITUTE(SUBSTITUTE(E38," ",""),"0",""),"-",""))+LEN(SUBSTITUTE(SUBSTITUTE(SUBSTITUTE(F38," ",""),"0",""),"-","")))&gt;(LEN(SUBSTITUTE(SUBSTITUTE(SUBSTITUTE(B38," ",""),"0",""),"-",""))+LEN(SUBSTITUTE(SUBSTITUTE(SUBSTITUTE(C38," ",""),"0",""),"-",""))),1,0))+IF(UPPER(D39)="X",0,IF((LEN(SUBSTITUTE(SUBSTITUTE(SUBSTITUTE(E39," ",""),"0",""),"-",""))+LEN(SUBSTITUTE(SUBSTITUTE(SUBSTITUTE(F39," ",""),"0",""),"-","")))&gt;(LEN(SUBSTITUTE(SUBSTITUTE(SUBSTITUTE(B39," ",""),"0",""),"-",""))+LEN(SUBSTITUTE(SUBSTITUTE(SUBSTITUTE(C39," ",""),"0",""),"-",""))),1,0))+IF(UPPER(D40)="X",0,IF((LEN(SUBSTITUTE(SUBSTITUTE(SUBSTITUTE(E40," ",""),"0",""),"-",""))+LEN(SUBSTITUTE(SUBSTITUTE(SUBSTITUTE(F40," ",""),"0",""),"-","")))&gt;(LEN(SUBSTITUTE(SUBSTITUTE(SUBSTITUTE(B40," ",""),"0",""),"-",""))+LEN(SUBSTITUTE(SUBSTITUTE(SUBSTITUTE(C40," ",""),"0",""),"-",""))),1,0))+IF(UPPER(D41)="X",0,IF((LEN(SUBSTITUTE(SUBSTITUTE(SUBSTITUTE(E41," ",""),"0",""),"-",""))+LEN(SUBSTITUTE(SUBSTITUTE(SUBSTITUTE(F41," ",""),"0",""),"-","")))&gt;(LEN(SUBSTITUTE(SUBSTITUTE(SUBSTITUTE(B41," ",""),"0",""),"-",""))+LEN(SUBSTITUTE(SUBSTITUTE(SUBSTITUTE(C41," ",""),"0",""),"-",""))),1,0))</f>
      </c>
      <c r="G44" s="14" t="s">
        <v>349</v>
      </c>
      <c r="I44" s="14" t="s">
        <v>349</v>
      </c>
      <c r="J44" s="14" t="str">
        <f>IF(UPPER(L37)="X",0,IF((LEN(SUBSTITUTE(SUBSTITUTE(SUBSTITUTE(J37," ",""),"0",""),"-",""))+LEN(SUBSTITUTE(SUBSTITUTE(SUBSTITUTE(K37," ",""),"0",""),"-","")))&gt;(LEN(SUBSTITUTE(SUBSTITUTE(SUBSTITUTE(M37," ",""),"0",""),"-",""))+LEN(SUBSTITUTE(SUBSTITUTE(SUBSTITUTE(N37," ",""),"0",""),"-",""))),1,0))+IF(UPPER(L38)="X",0,IF((LEN(SUBSTITUTE(SUBSTITUTE(SUBSTITUTE(J38," ",""),"0",""),"-",""))+LEN(SUBSTITUTE(SUBSTITUTE(SUBSTITUTE(K38," ",""),"0",""),"-","")))&gt;(LEN(SUBSTITUTE(SUBSTITUTE(SUBSTITUTE(M38," ",""),"0",""),"-",""))+LEN(SUBSTITUTE(SUBSTITUTE(SUBSTITUTE(N38," ",""),"0",""),"-",""))),1,0))+IF(UPPER(L39)="X",0,IF((LEN(SUBSTITUTE(SUBSTITUTE(SUBSTITUTE(J39," ",""),"0",""),"-",""))+LEN(SUBSTITUTE(SUBSTITUTE(SUBSTITUTE(K39," ",""),"0",""),"-","")))&gt;(LEN(SUBSTITUTE(SUBSTITUTE(SUBSTITUTE(M39," ",""),"0",""),"-",""))+LEN(SUBSTITUTE(SUBSTITUTE(SUBSTITUTE(N39," ",""),"0",""),"-",""))),1,0))+IF(UPPER(L40)="X",0,IF((LEN(SUBSTITUTE(SUBSTITUTE(SUBSTITUTE(J40," ",""),"0",""),"-",""))+LEN(SUBSTITUTE(SUBSTITUTE(SUBSTITUTE(K40," ",""),"0",""),"-","")))&gt;(LEN(SUBSTITUTE(SUBSTITUTE(SUBSTITUTE(M40," ",""),"0",""),"-",""))+LEN(SUBSTITUTE(SUBSTITUTE(SUBSTITUTE(N40," ",""),"0",""),"-",""))),1,0))+IF(UPPER(L41)="X",0,IF((LEN(SUBSTITUTE(SUBSTITUTE(SUBSTITUTE(J41," ",""),"0",""),"-",""))+LEN(SUBSTITUTE(SUBSTITUTE(SUBSTITUTE(K41," ",""),"0",""),"-","")))&gt;(LEN(SUBSTITUTE(SUBSTITUTE(SUBSTITUTE(M41," ",""),"0",""),"-",""))+LEN(SUBSTITUTE(SUBSTITUTE(SUBSTITUTE(N41," ",""),"0",""),"-",""))),1,0))</f>
      </c>
      <c r="K44" s="14" t="str">
        <f>LEN(SUBSTITUTE(SUBSTITUTE(SUBSTITUTE(J37," ",""),"0",""),"-",""))+LEN(SUBSTITUTE(SUBSTITUTE(SUBSTITUTE(K37," ",""),"0",""),"-",""))+LEN(SUBSTITUTE(SUBSTITUTE(SUBSTITUTE(J38," ",""),"0",""),"-",""))+LEN(SUBSTITUTE(SUBSTITUTE(SUBSTITUTE(K38," ",""),"0",""),"-",""))+LEN(SUBSTITUTE(SUBSTITUTE(SUBSTITUTE(J39," ",""),"0",""),"-",""))+LEN(SUBSTITUTE(SUBSTITUTE(SUBSTITUTE(K39," ",""),"0",""),"-",""))+LEN(SUBSTITUTE(SUBSTITUTE(SUBSTITUTE(J40," ",""),"0",""),"-",""))+LEN(SUBSTITUTE(SUBSTITUTE(SUBSTITUTE(K40," ",""),"0",""),"-",""))+LEN(SUBSTITUTE(SUBSTITUTE(SUBSTITUTE(J41," ",""),"0",""),"-",""))+LEN(SUBSTITUTE(SUBSTITUTE(SUBSTITUTE(K41," ",""),"0",""),"-",""))</f>
      </c>
      <c r="L44" s="14"/>
      <c r="M44" s="14" t="str">
        <f>LEN(SUBSTITUTE(SUBSTITUTE(SUBSTITUTE(M37," ",""),"0",""),"-",""))+LEN(SUBSTITUTE(SUBSTITUTE(SUBSTITUTE(N37," ",""),"0",""),"-",""))+LEN(SUBSTITUTE(SUBSTITUTE(SUBSTITUTE(M38," ",""),"0",""),"-",""))+LEN(SUBSTITUTE(SUBSTITUTE(SUBSTITUTE(N38," ",""),"0",""),"-",""))+LEN(SUBSTITUTE(SUBSTITUTE(SUBSTITUTE(M39," ",""),"0",""),"-",""))+LEN(SUBSTITUTE(SUBSTITUTE(SUBSTITUTE(N39," ",""),"0",""),"-",""))+LEN(SUBSTITUTE(SUBSTITUTE(SUBSTITUTE(M40," ",""),"0",""),"-",""))+LEN(SUBSTITUTE(SUBSTITUTE(SUBSTITUTE(N40," ",""),"0",""),"-",""))+LEN(SUBSTITUTE(SUBSTITUTE(SUBSTITUTE(M41," ",""),"0",""),"-",""))+LEN(SUBSTITUTE(SUBSTITUTE(SUBSTITUTE(N41," ",""),"0",""),"-",""))</f>
      </c>
      <c r="N44" s="14" t="str">
        <f>IF(UPPER(L37)="X",0,IF((LEN(SUBSTITUTE(SUBSTITUTE(SUBSTITUTE(M37," ",""),"0",""),"-",""))+LEN(SUBSTITUTE(SUBSTITUTE(SUBSTITUTE(N37," ",""),"0",""),"-","")))&gt;(LEN(SUBSTITUTE(SUBSTITUTE(SUBSTITUTE(J37," ",""),"0",""),"-",""))+LEN(SUBSTITUTE(SUBSTITUTE(SUBSTITUTE(K37," ",""),"0",""),"-",""))),1,0))+IF(UPPER(L38)="X",0,IF((LEN(SUBSTITUTE(SUBSTITUTE(SUBSTITUTE(M38," ",""),"0",""),"-",""))+LEN(SUBSTITUTE(SUBSTITUTE(SUBSTITUTE(N38," ",""),"0",""),"-","")))&gt;(LEN(SUBSTITUTE(SUBSTITUTE(SUBSTITUTE(J38," ",""),"0",""),"-",""))+LEN(SUBSTITUTE(SUBSTITUTE(SUBSTITUTE(K38," ",""),"0",""),"-",""))),1,0))+IF(UPPER(L39)="X",0,IF((LEN(SUBSTITUTE(SUBSTITUTE(SUBSTITUTE(M39," ",""),"0",""),"-",""))+LEN(SUBSTITUTE(SUBSTITUTE(SUBSTITUTE(N39," ",""),"0",""),"-","")))&gt;(LEN(SUBSTITUTE(SUBSTITUTE(SUBSTITUTE(J39," ",""),"0",""),"-",""))+LEN(SUBSTITUTE(SUBSTITUTE(SUBSTITUTE(K39," ",""),"0",""),"-",""))),1,0))+IF(UPPER(L40)="X",0,IF((LEN(SUBSTITUTE(SUBSTITUTE(SUBSTITUTE(M40," ",""),"0",""),"-",""))+LEN(SUBSTITUTE(SUBSTITUTE(SUBSTITUTE(N40," ",""),"0",""),"-","")))&gt;(LEN(SUBSTITUTE(SUBSTITUTE(SUBSTITUTE(J40," ",""),"0",""),"-",""))+LEN(SUBSTITUTE(SUBSTITUTE(SUBSTITUTE(K40," ",""),"0",""),"-",""))),1,0))+IF(UPPER(L41)="X",0,IF((LEN(SUBSTITUTE(SUBSTITUTE(SUBSTITUTE(M41," ",""),"0",""),"-",""))+LEN(SUBSTITUTE(SUBSTITUTE(SUBSTITUTE(N41," ",""),"0",""),"-","")))&gt;(LEN(SUBSTITUTE(SUBSTITUTE(SUBSTITUTE(J41," ",""),"0",""),"-",""))+LEN(SUBSTITUTE(SUBSTITUTE(SUBSTITUTE(K41," ",""),"0",""),"-",""))),1,0))</f>
      </c>
      <c r="O44" s="14" t="s">
        <v>349</v>
      </c>
    </row>
    <row r="47">
      <c r="F47" t="s">
        <v>345</v>
      </c>
      <c r="G47" s="19"/>
      <c r="N47" t="s">
        <v>345</v>
      </c>
      <c r="O47" s="19"/>
    </row>
    <row r="48">
      <c r="F48" t="s">
        <v>346</v>
      </c>
      <c r="G48" s="19"/>
      <c r="N48" t="s">
        <v>346</v>
      </c>
      <c r="O48" s="19"/>
    </row>
    <row r="50">
      <c r="A50" s="13" t="s">
        <v>355</v>
      </c>
      <c r="B50" s="13"/>
      <c r="C50" s="13"/>
      <c r="D50" s="13"/>
      <c r="E50" s="13"/>
      <c r="F50" s="13"/>
      <c r="G50" s="13"/>
      <c r="I50" s="13" t="s">
        <v>356</v>
      </c>
      <c r="J50" s="13"/>
      <c r="K50" s="13"/>
      <c r="L50" s="13"/>
      <c r="M50" s="13"/>
      <c r="N50" s="13"/>
      <c r="O50" s="13"/>
    </row>
    <row r="51">
      <c r="A51" s="17" t="s">
        <v>331</v>
      </c>
      <c r="D51" s="14" t="s">
        <v>332</v>
      </c>
      <c r="G51" s="16" t="s">
        <v>333</v>
      </c>
      <c r="I51" s="17" t="s">
        <v>331</v>
      </c>
      <c r="L51" s="14" t="s">
        <v>332</v>
      </c>
      <c r="O51" s="16" t="s">
        <v>333</v>
      </c>
    </row>
    <row r="52">
      <c r="A52" s="14" t="str">
        <f>CONCATENATE("Pool T-2nd ",'Pool Matches'!O170)</f>
      </c>
      <c r="B52" s="14"/>
      <c r="C52" s="14"/>
      <c r="D52" s="18"/>
      <c r="E52" s="14"/>
      <c r="F52" s="14"/>
      <c r="G52" s="14" t="str">
        <f>CONCATENATE("Pool D-1st ",'Pool Matches'!G169)</f>
      </c>
      <c r="I52" s="14" t="str">
        <f>CONCATENATE("Pool D-2nd ",'Pool Matches'!G170)</f>
      </c>
      <c r="J52" s="14"/>
      <c r="K52" s="14"/>
      <c r="L52" s="18"/>
      <c r="M52" s="14"/>
      <c r="N52" s="14"/>
      <c r="O52" s="14" t="str">
        <f>CONCATENATE("Pool T-1st ",'Pool Matches'!O169)</f>
      </c>
    </row>
    <row r="53">
      <c r="A53" s="14">
        <v>1</v>
      </c>
      <c r="B53" s="18"/>
      <c r="C53" s="18"/>
      <c r="D53" s="18"/>
      <c r="E53" s="18"/>
      <c r="F53" s="18"/>
      <c r="G53" s="14">
        <v>1</v>
      </c>
      <c r="I53" s="14">
        <v>1</v>
      </c>
      <c r="J53" s="18"/>
      <c r="K53" s="18"/>
      <c r="L53" s="18"/>
      <c r="M53" s="18"/>
      <c r="N53" s="18"/>
      <c r="O53" s="14">
        <v>1</v>
      </c>
    </row>
    <row r="54">
      <c r="A54" s="14">
        <v>2</v>
      </c>
      <c r="B54" s="18"/>
      <c r="C54" s="18"/>
      <c r="D54" s="18"/>
      <c r="E54" s="18"/>
      <c r="F54" s="18"/>
      <c r="G54" s="14">
        <v>2</v>
      </c>
      <c r="I54" s="14">
        <v>2</v>
      </c>
      <c r="J54" s="18"/>
      <c r="K54" s="18"/>
      <c r="L54" s="18"/>
      <c r="M54" s="18"/>
      <c r="N54" s="18"/>
      <c r="O54" s="14">
        <v>2</v>
      </c>
    </row>
    <row r="55">
      <c r="A55" s="14">
        <v>3</v>
      </c>
      <c r="B55" s="18"/>
      <c r="C55" s="18"/>
      <c r="D55" s="18"/>
      <c r="E55" s="18"/>
      <c r="F55" s="18"/>
      <c r="G55" s="14">
        <v>3</v>
      </c>
      <c r="I55" s="14">
        <v>3</v>
      </c>
      <c r="J55" s="18"/>
      <c r="K55" s="18"/>
      <c r="L55" s="18"/>
      <c r="M55" s="18"/>
      <c r="N55" s="18"/>
      <c r="O55" s="14">
        <v>3</v>
      </c>
    </row>
    <row r="56">
      <c r="A56" s="14">
        <v>4</v>
      </c>
      <c r="B56" s="18"/>
      <c r="C56" s="18"/>
      <c r="D56" s="18"/>
      <c r="E56" s="18"/>
      <c r="F56" s="18"/>
      <c r="G56" s="14">
        <v>4</v>
      </c>
      <c r="I56" s="14">
        <v>4</v>
      </c>
      <c r="J56" s="18"/>
      <c r="K56" s="18"/>
      <c r="L56" s="18"/>
      <c r="M56" s="18"/>
      <c r="N56" s="18"/>
      <c r="O56" s="14">
        <v>4</v>
      </c>
    </row>
    <row r="57">
      <c r="A57" s="14">
        <v>5</v>
      </c>
      <c r="B57" s="18"/>
      <c r="C57" s="18"/>
      <c r="D57" s="18"/>
      <c r="E57" s="18"/>
      <c r="F57" s="18"/>
      <c r="G57" s="14">
        <v>5</v>
      </c>
      <c r="I57" s="14">
        <v>5</v>
      </c>
      <c r="J57" s="18"/>
      <c r="K57" s="18"/>
      <c r="L57" s="18"/>
      <c r="M57" s="18"/>
      <c r="N57" s="18"/>
      <c r="O57" s="14">
        <v>5</v>
      </c>
    </row>
    <row r="59">
      <c r="A59" s="14" t="str">
        <f>CONCATENATE("Pool T-2nd ",'Pool Matches'!O170)</f>
      </c>
      <c r="B59" s="14" t="s">
        <v>339</v>
      </c>
      <c r="C59" s="14" t="s">
        <v>342</v>
      </c>
      <c r="D59" s="14"/>
      <c r="E59" s="14" t="s">
        <v>342</v>
      </c>
      <c r="F59" s="14" t="s">
        <v>339</v>
      </c>
      <c r="G59" s="14" t="str">
        <f>CONCATENATE("Pool D-1st ",'Pool Matches'!G169)</f>
      </c>
      <c r="I59" s="14" t="str">
        <f>CONCATENATE("Pool D-2nd ",'Pool Matches'!G170)</f>
      </c>
      <c r="J59" s="14" t="s">
        <v>339</v>
      </c>
      <c r="K59" s="14" t="s">
        <v>342</v>
      </c>
      <c r="L59" s="14"/>
      <c r="M59" s="14" t="s">
        <v>342</v>
      </c>
      <c r="N59" s="14" t="s">
        <v>339</v>
      </c>
      <c r="O59" s="14" t="str">
        <f>CONCATENATE("Pool T-1st ",'Pool Matches'!O169)</f>
      </c>
    </row>
    <row r="60">
      <c r="A60" s="14" t="s">
        <v>349</v>
      </c>
      <c r="B60" s="14" t="str">
        <f>IF(UPPER(D53)="X",0,IF((LEN(SUBSTITUTE(SUBSTITUTE(SUBSTITUTE(B53," ",""),"0",""),"-",""))+LEN(SUBSTITUTE(SUBSTITUTE(SUBSTITUTE(C53," ",""),"0",""),"-","")))&gt;(LEN(SUBSTITUTE(SUBSTITUTE(SUBSTITUTE(E53," ",""),"0",""),"-",""))+LEN(SUBSTITUTE(SUBSTITUTE(SUBSTITUTE(F53," ",""),"0",""),"-",""))),1,0))+IF(UPPER(D54)="X",0,IF((LEN(SUBSTITUTE(SUBSTITUTE(SUBSTITUTE(B54," ",""),"0",""),"-",""))+LEN(SUBSTITUTE(SUBSTITUTE(SUBSTITUTE(C54," ",""),"0",""),"-","")))&gt;(LEN(SUBSTITUTE(SUBSTITUTE(SUBSTITUTE(E54," ",""),"0",""),"-",""))+LEN(SUBSTITUTE(SUBSTITUTE(SUBSTITUTE(F54," ",""),"0",""),"-",""))),1,0))+IF(UPPER(D55)="X",0,IF((LEN(SUBSTITUTE(SUBSTITUTE(SUBSTITUTE(B55," ",""),"0",""),"-",""))+LEN(SUBSTITUTE(SUBSTITUTE(SUBSTITUTE(C55," ",""),"0",""),"-","")))&gt;(LEN(SUBSTITUTE(SUBSTITUTE(SUBSTITUTE(E55," ",""),"0",""),"-",""))+LEN(SUBSTITUTE(SUBSTITUTE(SUBSTITUTE(F55," ",""),"0",""),"-",""))),1,0))+IF(UPPER(D56)="X",0,IF((LEN(SUBSTITUTE(SUBSTITUTE(SUBSTITUTE(B56," ",""),"0",""),"-",""))+LEN(SUBSTITUTE(SUBSTITUTE(SUBSTITUTE(C56," ",""),"0",""),"-","")))&gt;(LEN(SUBSTITUTE(SUBSTITUTE(SUBSTITUTE(E56," ",""),"0",""),"-",""))+LEN(SUBSTITUTE(SUBSTITUTE(SUBSTITUTE(F56," ",""),"0",""),"-",""))),1,0))+IF(UPPER(D57)="X",0,IF((LEN(SUBSTITUTE(SUBSTITUTE(SUBSTITUTE(B57," ",""),"0",""),"-",""))+LEN(SUBSTITUTE(SUBSTITUTE(SUBSTITUTE(C57," ",""),"0",""),"-","")))&gt;(LEN(SUBSTITUTE(SUBSTITUTE(SUBSTITUTE(E57," ",""),"0",""),"-",""))+LEN(SUBSTITUTE(SUBSTITUTE(SUBSTITUTE(F57," ",""),"0",""),"-",""))),1,0))</f>
      </c>
      <c r="C60" s="14" t="str">
        <f>LEN(SUBSTITUTE(SUBSTITUTE(SUBSTITUTE(B53," ",""),"0",""),"-",""))+LEN(SUBSTITUTE(SUBSTITUTE(SUBSTITUTE(C53," ",""),"0",""),"-",""))+LEN(SUBSTITUTE(SUBSTITUTE(SUBSTITUTE(B54," ",""),"0",""),"-",""))+LEN(SUBSTITUTE(SUBSTITUTE(SUBSTITUTE(C54," ",""),"0",""),"-",""))+LEN(SUBSTITUTE(SUBSTITUTE(SUBSTITUTE(B55," ",""),"0",""),"-",""))+LEN(SUBSTITUTE(SUBSTITUTE(SUBSTITUTE(C55," ",""),"0",""),"-",""))+LEN(SUBSTITUTE(SUBSTITUTE(SUBSTITUTE(B56," ",""),"0",""),"-",""))+LEN(SUBSTITUTE(SUBSTITUTE(SUBSTITUTE(C56," ",""),"0",""),"-",""))+LEN(SUBSTITUTE(SUBSTITUTE(SUBSTITUTE(B57," ",""),"0",""),"-",""))+LEN(SUBSTITUTE(SUBSTITUTE(SUBSTITUTE(C57," ",""),"0",""),"-",""))</f>
      </c>
      <c r="D60" s="14"/>
      <c r="E60" s="14" t="str">
        <f>LEN(SUBSTITUTE(SUBSTITUTE(SUBSTITUTE(E53," ",""),"0",""),"-",""))+LEN(SUBSTITUTE(SUBSTITUTE(SUBSTITUTE(F53," ",""),"0",""),"-",""))+LEN(SUBSTITUTE(SUBSTITUTE(SUBSTITUTE(E54," ",""),"0",""),"-",""))+LEN(SUBSTITUTE(SUBSTITUTE(SUBSTITUTE(F54," ",""),"0",""),"-",""))+LEN(SUBSTITUTE(SUBSTITUTE(SUBSTITUTE(E55," ",""),"0",""),"-",""))+LEN(SUBSTITUTE(SUBSTITUTE(SUBSTITUTE(F55," ",""),"0",""),"-",""))+LEN(SUBSTITUTE(SUBSTITUTE(SUBSTITUTE(E56," ",""),"0",""),"-",""))+LEN(SUBSTITUTE(SUBSTITUTE(SUBSTITUTE(F56," ",""),"0",""),"-",""))+LEN(SUBSTITUTE(SUBSTITUTE(SUBSTITUTE(E57," ",""),"0",""),"-",""))+LEN(SUBSTITUTE(SUBSTITUTE(SUBSTITUTE(F57," ",""),"0",""),"-",""))</f>
      </c>
      <c r="F60" s="14" t="str">
        <f>IF(UPPER(D53)="X",0,IF((LEN(SUBSTITUTE(SUBSTITUTE(SUBSTITUTE(E53," ",""),"0",""),"-",""))+LEN(SUBSTITUTE(SUBSTITUTE(SUBSTITUTE(F53," ",""),"0",""),"-","")))&gt;(LEN(SUBSTITUTE(SUBSTITUTE(SUBSTITUTE(B53," ",""),"0",""),"-",""))+LEN(SUBSTITUTE(SUBSTITUTE(SUBSTITUTE(C53," ",""),"0",""),"-",""))),1,0))+IF(UPPER(D54)="X",0,IF((LEN(SUBSTITUTE(SUBSTITUTE(SUBSTITUTE(E54," ",""),"0",""),"-",""))+LEN(SUBSTITUTE(SUBSTITUTE(SUBSTITUTE(F54," ",""),"0",""),"-","")))&gt;(LEN(SUBSTITUTE(SUBSTITUTE(SUBSTITUTE(B54," ",""),"0",""),"-",""))+LEN(SUBSTITUTE(SUBSTITUTE(SUBSTITUTE(C54," ",""),"0",""),"-",""))),1,0))+IF(UPPER(D55)="X",0,IF((LEN(SUBSTITUTE(SUBSTITUTE(SUBSTITUTE(E55," ",""),"0",""),"-",""))+LEN(SUBSTITUTE(SUBSTITUTE(SUBSTITUTE(F55," ",""),"0",""),"-","")))&gt;(LEN(SUBSTITUTE(SUBSTITUTE(SUBSTITUTE(B55," ",""),"0",""),"-",""))+LEN(SUBSTITUTE(SUBSTITUTE(SUBSTITUTE(C55," ",""),"0",""),"-",""))),1,0))+IF(UPPER(D56)="X",0,IF((LEN(SUBSTITUTE(SUBSTITUTE(SUBSTITUTE(E56," ",""),"0",""),"-",""))+LEN(SUBSTITUTE(SUBSTITUTE(SUBSTITUTE(F56," ",""),"0",""),"-","")))&gt;(LEN(SUBSTITUTE(SUBSTITUTE(SUBSTITUTE(B56," ",""),"0",""),"-",""))+LEN(SUBSTITUTE(SUBSTITUTE(SUBSTITUTE(C56," ",""),"0",""),"-",""))),1,0))+IF(UPPER(D57)="X",0,IF((LEN(SUBSTITUTE(SUBSTITUTE(SUBSTITUTE(E57," ",""),"0",""),"-",""))+LEN(SUBSTITUTE(SUBSTITUTE(SUBSTITUTE(F57," ",""),"0",""),"-","")))&gt;(LEN(SUBSTITUTE(SUBSTITUTE(SUBSTITUTE(B57," ",""),"0",""),"-",""))+LEN(SUBSTITUTE(SUBSTITUTE(SUBSTITUTE(C57," ",""),"0",""),"-",""))),1,0))</f>
      </c>
      <c r="G60" s="14" t="s">
        <v>349</v>
      </c>
      <c r="I60" s="14" t="s">
        <v>349</v>
      </c>
      <c r="J60" s="14" t="str">
        <f>IF(UPPER(L53)="X",0,IF((LEN(SUBSTITUTE(SUBSTITUTE(SUBSTITUTE(J53," ",""),"0",""),"-",""))+LEN(SUBSTITUTE(SUBSTITUTE(SUBSTITUTE(K53," ",""),"0",""),"-","")))&gt;(LEN(SUBSTITUTE(SUBSTITUTE(SUBSTITUTE(M53," ",""),"0",""),"-",""))+LEN(SUBSTITUTE(SUBSTITUTE(SUBSTITUTE(N53," ",""),"0",""),"-",""))),1,0))+IF(UPPER(L54)="X",0,IF((LEN(SUBSTITUTE(SUBSTITUTE(SUBSTITUTE(J54," ",""),"0",""),"-",""))+LEN(SUBSTITUTE(SUBSTITUTE(SUBSTITUTE(K54," ",""),"0",""),"-","")))&gt;(LEN(SUBSTITUTE(SUBSTITUTE(SUBSTITUTE(M54," ",""),"0",""),"-",""))+LEN(SUBSTITUTE(SUBSTITUTE(SUBSTITUTE(N54," ",""),"0",""),"-",""))),1,0))+IF(UPPER(L55)="X",0,IF((LEN(SUBSTITUTE(SUBSTITUTE(SUBSTITUTE(J55," ",""),"0",""),"-",""))+LEN(SUBSTITUTE(SUBSTITUTE(SUBSTITUTE(K55," ",""),"0",""),"-","")))&gt;(LEN(SUBSTITUTE(SUBSTITUTE(SUBSTITUTE(M55," ",""),"0",""),"-",""))+LEN(SUBSTITUTE(SUBSTITUTE(SUBSTITUTE(N55," ",""),"0",""),"-",""))),1,0))+IF(UPPER(L56)="X",0,IF((LEN(SUBSTITUTE(SUBSTITUTE(SUBSTITUTE(J56," ",""),"0",""),"-",""))+LEN(SUBSTITUTE(SUBSTITUTE(SUBSTITUTE(K56," ",""),"0",""),"-","")))&gt;(LEN(SUBSTITUTE(SUBSTITUTE(SUBSTITUTE(M56," ",""),"0",""),"-",""))+LEN(SUBSTITUTE(SUBSTITUTE(SUBSTITUTE(N56," ",""),"0",""),"-",""))),1,0))+IF(UPPER(L57)="X",0,IF((LEN(SUBSTITUTE(SUBSTITUTE(SUBSTITUTE(J57," ",""),"0",""),"-",""))+LEN(SUBSTITUTE(SUBSTITUTE(SUBSTITUTE(K57," ",""),"0",""),"-","")))&gt;(LEN(SUBSTITUTE(SUBSTITUTE(SUBSTITUTE(M57," ",""),"0",""),"-",""))+LEN(SUBSTITUTE(SUBSTITUTE(SUBSTITUTE(N57," ",""),"0",""),"-",""))),1,0))</f>
      </c>
      <c r="K60" s="14" t="str">
        <f>LEN(SUBSTITUTE(SUBSTITUTE(SUBSTITUTE(J53," ",""),"0",""),"-",""))+LEN(SUBSTITUTE(SUBSTITUTE(SUBSTITUTE(K53," ",""),"0",""),"-",""))+LEN(SUBSTITUTE(SUBSTITUTE(SUBSTITUTE(J54," ",""),"0",""),"-",""))+LEN(SUBSTITUTE(SUBSTITUTE(SUBSTITUTE(K54," ",""),"0",""),"-",""))+LEN(SUBSTITUTE(SUBSTITUTE(SUBSTITUTE(J55," ",""),"0",""),"-",""))+LEN(SUBSTITUTE(SUBSTITUTE(SUBSTITUTE(K55," ",""),"0",""),"-",""))+LEN(SUBSTITUTE(SUBSTITUTE(SUBSTITUTE(J56," ",""),"0",""),"-",""))+LEN(SUBSTITUTE(SUBSTITUTE(SUBSTITUTE(K56," ",""),"0",""),"-",""))+LEN(SUBSTITUTE(SUBSTITUTE(SUBSTITUTE(J57," ",""),"0",""),"-",""))+LEN(SUBSTITUTE(SUBSTITUTE(SUBSTITUTE(K57," ",""),"0",""),"-",""))</f>
      </c>
      <c r="L60" s="14"/>
      <c r="M60" s="14" t="str">
        <f>LEN(SUBSTITUTE(SUBSTITUTE(SUBSTITUTE(M53," ",""),"0",""),"-",""))+LEN(SUBSTITUTE(SUBSTITUTE(SUBSTITUTE(N53," ",""),"0",""),"-",""))+LEN(SUBSTITUTE(SUBSTITUTE(SUBSTITUTE(M54," ",""),"0",""),"-",""))+LEN(SUBSTITUTE(SUBSTITUTE(SUBSTITUTE(N54," ",""),"0",""),"-",""))+LEN(SUBSTITUTE(SUBSTITUTE(SUBSTITUTE(M55," ",""),"0",""),"-",""))+LEN(SUBSTITUTE(SUBSTITUTE(SUBSTITUTE(N55," ",""),"0",""),"-",""))+LEN(SUBSTITUTE(SUBSTITUTE(SUBSTITUTE(M56," ",""),"0",""),"-",""))+LEN(SUBSTITUTE(SUBSTITUTE(SUBSTITUTE(N56," ",""),"0",""),"-",""))+LEN(SUBSTITUTE(SUBSTITUTE(SUBSTITUTE(M57," ",""),"0",""),"-",""))+LEN(SUBSTITUTE(SUBSTITUTE(SUBSTITUTE(N57," ",""),"0",""),"-",""))</f>
      </c>
      <c r="N60" s="14" t="str">
        <f>IF(UPPER(L53)="X",0,IF((LEN(SUBSTITUTE(SUBSTITUTE(SUBSTITUTE(M53," ",""),"0",""),"-",""))+LEN(SUBSTITUTE(SUBSTITUTE(SUBSTITUTE(N53," ",""),"0",""),"-","")))&gt;(LEN(SUBSTITUTE(SUBSTITUTE(SUBSTITUTE(J53," ",""),"0",""),"-",""))+LEN(SUBSTITUTE(SUBSTITUTE(SUBSTITUTE(K53," ",""),"0",""),"-",""))),1,0))+IF(UPPER(L54)="X",0,IF((LEN(SUBSTITUTE(SUBSTITUTE(SUBSTITUTE(M54," ",""),"0",""),"-",""))+LEN(SUBSTITUTE(SUBSTITUTE(SUBSTITUTE(N54," ",""),"0",""),"-","")))&gt;(LEN(SUBSTITUTE(SUBSTITUTE(SUBSTITUTE(J54," ",""),"0",""),"-",""))+LEN(SUBSTITUTE(SUBSTITUTE(SUBSTITUTE(K54," ",""),"0",""),"-",""))),1,0))+IF(UPPER(L55)="X",0,IF((LEN(SUBSTITUTE(SUBSTITUTE(SUBSTITUTE(M55," ",""),"0",""),"-",""))+LEN(SUBSTITUTE(SUBSTITUTE(SUBSTITUTE(N55," ",""),"0",""),"-","")))&gt;(LEN(SUBSTITUTE(SUBSTITUTE(SUBSTITUTE(J55," ",""),"0",""),"-",""))+LEN(SUBSTITUTE(SUBSTITUTE(SUBSTITUTE(K55," ",""),"0",""),"-",""))),1,0))+IF(UPPER(L56)="X",0,IF((LEN(SUBSTITUTE(SUBSTITUTE(SUBSTITUTE(M56," ",""),"0",""),"-",""))+LEN(SUBSTITUTE(SUBSTITUTE(SUBSTITUTE(N56," ",""),"0",""),"-","")))&gt;(LEN(SUBSTITUTE(SUBSTITUTE(SUBSTITUTE(J56," ",""),"0",""),"-",""))+LEN(SUBSTITUTE(SUBSTITUTE(SUBSTITUTE(K56," ",""),"0",""),"-",""))),1,0))+IF(UPPER(L57)="X",0,IF((LEN(SUBSTITUTE(SUBSTITUTE(SUBSTITUTE(M57," ",""),"0",""),"-",""))+LEN(SUBSTITUTE(SUBSTITUTE(SUBSTITUTE(N57," ",""),"0",""),"-","")))&gt;(LEN(SUBSTITUTE(SUBSTITUTE(SUBSTITUTE(J57," ",""),"0",""),"-",""))+LEN(SUBSTITUTE(SUBSTITUTE(SUBSTITUTE(K57," ",""),"0",""),"-",""))),1,0))</f>
      </c>
      <c r="O60" s="14" t="s">
        <v>349</v>
      </c>
    </row>
    <row r="63">
      <c r="F63" t="s">
        <v>345</v>
      </c>
      <c r="G63" s="19"/>
      <c r="N63" t="s">
        <v>345</v>
      </c>
      <c r="O63" s="19"/>
    </row>
    <row r="64">
      <c r="F64" t="s">
        <v>346</v>
      </c>
      <c r="G64" s="19"/>
      <c r="N64" t="s">
        <v>346</v>
      </c>
      <c r="O64" s="19"/>
    </row>
    <row r="66">
      <c r="A66" s="13" t="s">
        <v>357</v>
      </c>
      <c r="B66" s="13"/>
      <c r="C66" s="13"/>
      <c r="D66" s="13"/>
      <c r="E66" s="13"/>
      <c r="F66" s="13"/>
      <c r="G66" s="13"/>
      <c r="I66" s="13" t="s">
        <v>358</v>
      </c>
      <c r="J66" s="13"/>
      <c r="K66" s="13"/>
      <c r="L66" s="13"/>
      <c r="M66" s="13"/>
      <c r="N66" s="13"/>
      <c r="O66" s="13"/>
    </row>
    <row r="67">
      <c r="A67" s="17" t="s">
        <v>331</v>
      </c>
      <c r="D67" s="14" t="s">
        <v>332</v>
      </c>
      <c r="G67" s="16" t="s">
        <v>333</v>
      </c>
      <c r="I67" s="17" t="s">
        <v>331</v>
      </c>
      <c r="L67" s="14" t="s">
        <v>332</v>
      </c>
      <c r="O67" s="16" t="s">
        <v>333</v>
      </c>
    </row>
    <row r="68">
      <c r="A68" s="14" t="str">
        <f>CONCATENATE("Pool U-2nd ",'Pool Matches'!O213)</f>
      </c>
      <c r="B68" s="14"/>
      <c r="C68" s="14"/>
      <c r="D68" s="18"/>
      <c r="E68" s="14"/>
      <c r="F68" s="14"/>
      <c r="G68" s="14" t="str">
        <f>CONCATENATE("Pool E-1st ",'Pool Matches'!G212)</f>
      </c>
      <c r="I68" s="14" t="str">
        <f>CONCATENATE("Pool E-2nd ",'Pool Matches'!G213)</f>
      </c>
      <c r="J68" s="14"/>
      <c r="K68" s="14"/>
      <c r="L68" s="18"/>
      <c r="M68" s="14"/>
      <c r="N68" s="14"/>
      <c r="O68" s="14" t="str">
        <f>CONCATENATE("Pool U-1st ",'Pool Matches'!O212)</f>
      </c>
    </row>
    <row r="69">
      <c r="A69" s="14">
        <v>1</v>
      </c>
      <c r="B69" s="18"/>
      <c r="C69" s="18"/>
      <c r="D69" s="18"/>
      <c r="E69" s="18"/>
      <c r="F69" s="18"/>
      <c r="G69" s="14">
        <v>1</v>
      </c>
      <c r="I69" s="14">
        <v>1</v>
      </c>
      <c r="J69" s="18"/>
      <c r="K69" s="18"/>
      <c r="L69" s="18"/>
      <c r="M69" s="18"/>
      <c r="N69" s="18"/>
      <c r="O69" s="14">
        <v>1</v>
      </c>
    </row>
    <row r="70">
      <c r="A70" s="14">
        <v>2</v>
      </c>
      <c r="B70" s="18"/>
      <c r="C70" s="18"/>
      <c r="D70" s="18"/>
      <c r="E70" s="18"/>
      <c r="F70" s="18"/>
      <c r="G70" s="14">
        <v>2</v>
      </c>
      <c r="I70" s="14">
        <v>2</v>
      </c>
      <c r="J70" s="18"/>
      <c r="K70" s="18"/>
      <c r="L70" s="18"/>
      <c r="M70" s="18"/>
      <c r="N70" s="18"/>
      <c r="O70" s="14">
        <v>2</v>
      </c>
    </row>
    <row r="71">
      <c r="A71" s="14">
        <v>3</v>
      </c>
      <c r="B71" s="18"/>
      <c r="C71" s="18"/>
      <c r="D71" s="18"/>
      <c r="E71" s="18"/>
      <c r="F71" s="18"/>
      <c r="G71" s="14">
        <v>3</v>
      </c>
      <c r="I71" s="14">
        <v>3</v>
      </c>
      <c r="J71" s="18"/>
      <c r="K71" s="18"/>
      <c r="L71" s="18"/>
      <c r="M71" s="18"/>
      <c r="N71" s="18"/>
      <c r="O71" s="14">
        <v>3</v>
      </c>
    </row>
    <row r="72">
      <c r="A72" s="14">
        <v>4</v>
      </c>
      <c r="B72" s="18"/>
      <c r="C72" s="18"/>
      <c r="D72" s="18"/>
      <c r="E72" s="18"/>
      <c r="F72" s="18"/>
      <c r="G72" s="14">
        <v>4</v>
      </c>
      <c r="I72" s="14">
        <v>4</v>
      </c>
      <c r="J72" s="18"/>
      <c r="K72" s="18"/>
      <c r="L72" s="18"/>
      <c r="M72" s="18"/>
      <c r="N72" s="18"/>
      <c r="O72" s="14">
        <v>4</v>
      </c>
    </row>
    <row r="73">
      <c r="A73" s="14">
        <v>5</v>
      </c>
      <c r="B73" s="18"/>
      <c r="C73" s="18"/>
      <c r="D73" s="18"/>
      <c r="E73" s="18"/>
      <c r="F73" s="18"/>
      <c r="G73" s="14">
        <v>5</v>
      </c>
      <c r="I73" s="14">
        <v>5</v>
      </c>
      <c r="J73" s="18"/>
      <c r="K73" s="18"/>
      <c r="L73" s="18"/>
      <c r="M73" s="18"/>
      <c r="N73" s="18"/>
      <c r="O73" s="14">
        <v>5</v>
      </c>
    </row>
    <row r="75">
      <c r="A75" s="14" t="str">
        <f>CONCATENATE("Pool U-2nd ",'Pool Matches'!O213)</f>
      </c>
      <c r="B75" s="14" t="s">
        <v>339</v>
      </c>
      <c r="C75" s="14" t="s">
        <v>342</v>
      </c>
      <c r="D75" s="14"/>
      <c r="E75" s="14" t="s">
        <v>342</v>
      </c>
      <c r="F75" s="14" t="s">
        <v>339</v>
      </c>
      <c r="G75" s="14" t="str">
        <f>CONCATENATE("Pool E-1st ",'Pool Matches'!G212)</f>
      </c>
      <c r="I75" s="14" t="str">
        <f>CONCATENATE("Pool E-2nd ",'Pool Matches'!G213)</f>
      </c>
      <c r="J75" s="14" t="s">
        <v>339</v>
      </c>
      <c r="K75" s="14" t="s">
        <v>342</v>
      </c>
      <c r="L75" s="14"/>
      <c r="M75" s="14" t="s">
        <v>342</v>
      </c>
      <c r="N75" s="14" t="s">
        <v>339</v>
      </c>
      <c r="O75" s="14" t="str">
        <f>CONCATENATE("Pool U-1st ",'Pool Matches'!O212)</f>
      </c>
    </row>
    <row r="76">
      <c r="A76" s="14" t="s">
        <v>349</v>
      </c>
      <c r="B76" s="14" t="str">
        <f>IF(UPPER(D69)="X",0,IF((LEN(SUBSTITUTE(SUBSTITUTE(SUBSTITUTE(B69," ",""),"0",""),"-",""))+LEN(SUBSTITUTE(SUBSTITUTE(SUBSTITUTE(C69," ",""),"0",""),"-","")))&gt;(LEN(SUBSTITUTE(SUBSTITUTE(SUBSTITUTE(E69," ",""),"0",""),"-",""))+LEN(SUBSTITUTE(SUBSTITUTE(SUBSTITUTE(F69," ",""),"0",""),"-",""))),1,0))+IF(UPPER(D70)="X",0,IF((LEN(SUBSTITUTE(SUBSTITUTE(SUBSTITUTE(B70," ",""),"0",""),"-",""))+LEN(SUBSTITUTE(SUBSTITUTE(SUBSTITUTE(C70," ",""),"0",""),"-","")))&gt;(LEN(SUBSTITUTE(SUBSTITUTE(SUBSTITUTE(E70," ",""),"0",""),"-",""))+LEN(SUBSTITUTE(SUBSTITUTE(SUBSTITUTE(F70," ",""),"0",""),"-",""))),1,0))+IF(UPPER(D71)="X",0,IF((LEN(SUBSTITUTE(SUBSTITUTE(SUBSTITUTE(B71," ",""),"0",""),"-",""))+LEN(SUBSTITUTE(SUBSTITUTE(SUBSTITUTE(C71," ",""),"0",""),"-","")))&gt;(LEN(SUBSTITUTE(SUBSTITUTE(SUBSTITUTE(E71," ",""),"0",""),"-",""))+LEN(SUBSTITUTE(SUBSTITUTE(SUBSTITUTE(F71," ",""),"0",""),"-",""))),1,0))+IF(UPPER(D72)="X",0,IF((LEN(SUBSTITUTE(SUBSTITUTE(SUBSTITUTE(B72," ",""),"0",""),"-",""))+LEN(SUBSTITUTE(SUBSTITUTE(SUBSTITUTE(C72," ",""),"0",""),"-","")))&gt;(LEN(SUBSTITUTE(SUBSTITUTE(SUBSTITUTE(E72," ",""),"0",""),"-",""))+LEN(SUBSTITUTE(SUBSTITUTE(SUBSTITUTE(F72," ",""),"0",""),"-",""))),1,0))+IF(UPPER(D73)="X",0,IF((LEN(SUBSTITUTE(SUBSTITUTE(SUBSTITUTE(B73," ",""),"0",""),"-",""))+LEN(SUBSTITUTE(SUBSTITUTE(SUBSTITUTE(C73," ",""),"0",""),"-","")))&gt;(LEN(SUBSTITUTE(SUBSTITUTE(SUBSTITUTE(E73," ",""),"0",""),"-",""))+LEN(SUBSTITUTE(SUBSTITUTE(SUBSTITUTE(F73," ",""),"0",""),"-",""))),1,0))</f>
      </c>
      <c r="C76" s="14" t="str">
        <f>LEN(SUBSTITUTE(SUBSTITUTE(SUBSTITUTE(B69," ",""),"0",""),"-",""))+LEN(SUBSTITUTE(SUBSTITUTE(SUBSTITUTE(C69," ",""),"0",""),"-",""))+LEN(SUBSTITUTE(SUBSTITUTE(SUBSTITUTE(B70," ",""),"0",""),"-",""))+LEN(SUBSTITUTE(SUBSTITUTE(SUBSTITUTE(C70," ",""),"0",""),"-",""))+LEN(SUBSTITUTE(SUBSTITUTE(SUBSTITUTE(B71," ",""),"0",""),"-",""))+LEN(SUBSTITUTE(SUBSTITUTE(SUBSTITUTE(C71," ",""),"0",""),"-",""))+LEN(SUBSTITUTE(SUBSTITUTE(SUBSTITUTE(B72," ",""),"0",""),"-",""))+LEN(SUBSTITUTE(SUBSTITUTE(SUBSTITUTE(C72," ",""),"0",""),"-",""))+LEN(SUBSTITUTE(SUBSTITUTE(SUBSTITUTE(B73," ",""),"0",""),"-",""))+LEN(SUBSTITUTE(SUBSTITUTE(SUBSTITUTE(C73," ",""),"0",""),"-",""))</f>
      </c>
      <c r="D76" s="14"/>
      <c r="E76" s="14" t="str">
        <f>LEN(SUBSTITUTE(SUBSTITUTE(SUBSTITUTE(E69," ",""),"0",""),"-",""))+LEN(SUBSTITUTE(SUBSTITUTE(SUBSTITUTE(F69," ",""),"0",""),"-",""))+LEN(SUBSTITUTE(SUBSTITUTE(SUBSTITUTE(E70," ",""),"0",""),"-",""))+LEN(SUBSTITUTE(SUBSTITUTE(SUBSTITUTE(F70," ",""),"0",""),"-",""))+LEN(SUBSTITUTE(SUBSTITUTE(SUBSTITUTE(E71," ",""),"0",""),"-",""))+LEN(SUBSTITUTE(SUBSTITUTE(SUBSTITUTE(F71," ",""),"0",""),"-",""))+LEN(SUBSTITUTE(SUBSTITUTE(SUBSTITUTE(E72," ",""),"0",""),"-",""))+LEN(SUBSTITUTE(SUBSTITUTE(SUBSTITUTE(F72," ",""),"0",""),"-",""))+LEN(SUBSTITUTE(SUBSTITUTE(SUBSTITUTE(E73," ",""),"0",""),"-",""))+LEN(SUBSTITUTE(SUBSTITUTE(SUBSTITUTE(F73," ",""),"0",""),"-",""))</f>
      </c>
      <c r="F76" s="14" t="str">
        <f>IF(UPPER(D69)="X",0,IF((LEN(SUBSTITUTE(SUBSTITUTE(SUBSTITUTE(E69," ",""),"0",""),"-",""))+LEN(SUBSTITUTE(SUBSTITUTE(SUBSTITUTE(F69," ",""),"0",""),"-","")))&gt;(LEN(SUBSTITUTE(SUBSTITUTE(SUBSTITUTE(B69," ",""),"0",""),"-",""))+LEN(SUBSTITUTE(SUBSTITUTE(SUBSTITUTE(C69," ",""),"0",""),"-",""))),1,0))+IF(UPPER(D70)="X",0,IF((LEN(SUBSTITUTE(SUBSTITUTE(SUBSTITUTE(E70," ",""),"0",""),"-",""))+LEN(SUBSTITUTE(SUBSTITUTE(SUBSTITUTE(F70," ",""),"0",""),"-","")))&gt;(LEN(SUBSTITUTE(SUBSTITUTE(SUBSTITUTE(B70," ",""),"0",""),"-",""))+LEN(SUBSTITUTE(SUBSTITUTE(SUBSTITUTE(C70," ",""),"0",""),"-",""))),1,0))+IF(UPPER(D71)="X",0,IF((LEN(SUBSTITUTE(SUBSTITUTE(SUBSTITUTE(E71," ",""),"0",""),"-",""))+LEN(SUBSTITUTE(SUBSTITUTE(SUBSTITUTE(F71," ",""),"0",""),"-","")))&gt;(LEN(SUBSTITUTE(SUBSTITUTE(SUBSTITUTE(B71," ",""),"0",""),"-",""))+LEN(SUBSTITUTE(SUBSTITUTE(SUBSTITUTE(C71," ",""),"0",""),"-",""))),1,0))+IF(UPPER(D72)="X",0,IF((LEN(SUBSTITUTE(SUBSTITUTE(SUBSTITUTE(E72," ",""),"0",""),"-",""))+LEN(SUBSTITUTE(SUBSTITUTE(SUBSTITUTE(F72," ",""),"0",""),"-","")))&gt;(LEN(SUBSTITUTE(SUBSTITUTE(SUBSTITUTE(B72," ",""),"0",""),"-",""))+LEN(SUBSTITUTE(SUBSTITUTE(SUBSTITUTE(C72," ",""),"0",""),"-",""))),1,0))+IF(UPPER(D73)="X",0,IF((LEN(SUBSTITUTE(SUBSTITUTE(SUBSTITUTE(E73," ",""),"0",""),"-",""))+LEN(SUBSTITUTE(SUBSTITUTE(SUBSTITUTE(F73," ",""),"0",""),"-","")))&gt;(LEN(SUBSTITUTE(SUBSTITUTE(SUBSTITUTE(B73," ",""),"0",""),"-",""))+LEN(SUBSTITUTE(SUBSTITUTE(SUBSTITUTE(C73," ",""),"0",""),"-",""))),1,0))</f>
      </c>
      <c r="G76" s="14" t="s">
        <v>349</v>
      </c>
      <c r="I76" s="14" t="s">
        <v>349</v>
      </c>
      <c r="J76" s="14" t="str">
        <f>IF(UPPER(L69)="X",0,IF((LEN(SUBSTITUTE(SUBSTITUTE(SUBSTITUTE(J69," ",""),"0",""),"-",""))+LEN(SUBSTITUTE(SUBSTITUTE(SUBSTITUTE(K69," ",""),"0",""),"-","")))&gt;(LEN(SUBSTITUTE(SUBSTITUTE(SUBSTITUTE(M69," ",""),"0",""),"-",""))+LEN(SUBSTITUTE(SUBSTITUTE(SUBSTITUTE(N69," ",""),"0",""),"-",""))),1,0))+IF(UPPER(L70)="X",0,IF((LEN(SUBSTITUTE(SUBSTITUTE(SUBSTITUTE(J70," ",""),"0",""),"-",""))+LEN(SUBSTITUTE(SUBSTITUTE(SUBSTITUTE(K70," ",""),"0",""),"-","")))&gt;(LEN(SUBSTITUTE(SUBSTITUTE(SUBSTITUTE(M70," ",""),"0",""),"-",""))+LEN(SUBSTITUTE(SUBSTITUTE(SUBSTITUTE(N70," ",""),"0",""),"-",""))),1,0))+IF(UPPER(L71)="X",0,IF((LEN(SUBSTITUTE(SUBSTITUTE(SUBSTITUTE(J71," ",""),"0",""),"-",""))+LEN(SUBSTITUTE(SUBSTITUTE(SUBSTITUTE(K71," ",""),"0",""),"-","")))&gt;(LEN(SUBSTITUTE(SUBSTITUTE(SUBSTITUTE(M71," ",""),"0",""),"-",""))+LEN(SUBSTITUTE(SUBSTITUTE(SUBSTITUTE(N71," ",""),"0",""),"-",""))),1,0))+IF(UPPER(L72)="X",0,IF((LEN(SUBSTITUTE(SUBSTITUTE(SUBSTITUTE(J72," ",""),"0",""),"-",""))+LEN(SUBSTITUTE(SUBSTITUTE(SUBSTITUTE(K72," ",""),"0",""),"-","")))&gt;(LEN(SUBSTITUTE(SUBSTITUTE(SUBSTITUTE(M72," ",""),"0",""),"-",""))+LEN(SUBSTITUTE(SUBSTITUTE(SUBSTITUTE(N72," ",""),"0",""),"-",""))),1,0))+IF(UPPER(L73)="X",0,IF((LEN(SUBSTITUTE(SUBSTITUTE(SUBSTITUTE(J73," ",""),"0",""),"-",""))+LEN(SUBSTITUTE(SUBSTITUTE(SUBSTITUTE(K73," ",""),"0",""),"-","")))&gt;(LEN(SUBSTITUTE(SUBSTITUTE(SUBSTITUTE(M73," ",""),"0",""),"-",""))+LEN(SUBSTITUTE(SUBSTITUTE(SUBSTITUTE(N73," ",""),"0",""),"-",""))),1,0))</f>
      </c>
      <c r="K76" s="14" t="str">
        <f>LEN(SUBSTITUTE(SUBSTITUTE(SUBSTITUTE(J69," ",""),"0",""),"-",""))+LEN(SUBSTITUTE(SUBSTITUTE(SUBSTITUTE(K69," ",""),"0",""),"-",""))+LEN(SUBSTITUTE(SUBSTITUTE(SUBSTITUTE(J70," ",""),"0",""),"-",""))+LEN(SUBSTITUTE(SUBSTITUTE(SUBSTITUTE(K70," ",""),"0",""),"-",""))+LEN(SUBSTITUTE(SUBSTITUTE(SUBSTITUTE(J71," ",""),"0",""),"-",""))+LEN(SUBSTITUTE(SUBSTITUTE(SUBSTITUTE(K71," ",""),"0",""),"-",""))+LEN(SUBSTITUTE(SUBSTITUTE(SUBSTITUTE(J72," ",""),"0",""),"-",""))+LEN(SUBSTITUTE(SUBSTITUTE(SUBSTITUTE(K72," ",""),"0",""),"-",""))+LEN(SUBSTITUTE(SUBSTITUTE(SUBSTITUTE(J73," ",""),"0",""),"-",""))+LEN(SUBSTITUTE(SUBSTITUTE(SUBSTITUTE(K73," ",""),"0",""),"-",""))</f>
      </c>
      <c r="L76" s="14"/>
      <c r="M76" s="14" t="str">
        <f>LEN(SUBSTITUTE(SUBSTITUTE(SUBSTITUTE(M69," ",""),"0",""),"-",""))+LEN(SUBSTITUTE(SUBSTITUTE(SUBSTITUTE(N69," ",""),"0",""),"-",""))+LEN(SUBSTITUTE(SUBSTITUTE(SUBSTITUTE(M70," ",""),"0",""),"-",""))+LEN(SUBSTITUTE(SUBSTITUTE(SUBSTITUTE(N70," ",""),"0",""),"-",""))+LEN(SUBSTITUTE(SUBSTITUTE(SUBSTITUTE(M71," ",""),"0",""),"-",""))+LEN(SUBSTITUTE(SUBSTITUTE(SUBSTITUTE(N71," ",""),"0",""),"-",""))+LEN(SUBSTITUTE(SUBSTITUTE(SUBSTITUTE(M72," ",""),"0",""),"-",""))+LEN(SUBSTITUTE(SUBSTITUTE(SUBSTITUTE(N72," ",""),"0",""),"-",""))+LEN(SUBSTITUTE(SUBSTITUTE(SUBSTITUTE(M73," ",""),"0",""),"-",""))+LEN(SUBSTITUTE(SUBSTITUTE(SUBSTITUTE(N73," ",""),"0",""),"-",""))</f>
      </c>
      <c r="N76" s="14" t="str">
        <f>IF(UPPER(L69)="X",0,IF((LEN(SUBSTITUTE(SUBSTITUTE(SUBSTITUTE(M69," ",""),"0",""),"-",""))+LEN(SUBSTITUTE(SUBSTITUTE(SUBSTITUTE(N69," ",""),"0",""),"-","")))&gt;(LEN(SUBSTITUTE(SUBSTITUTE(SUBSTITUTE(J69," ",""),"0",""),"-",""))+LEN(SUBSTITUTE(SUBSTITUTE(SUBSTITUTE(K69," ",""),"0",""),"-",""))),1,0))+IF(UPPER(L70)="X",0,IF((LEN(SUBSTITUTE(SUBSTITUTE(SUBSTITUTE(M70," ",""),"0",""),"-",""))+LEN(SUBSTITUTE(SUBSTITUTE(SUBSTITUTE(N70," ",""),"0",""),"-","")))&gt;(LEN(SUBSTITUTE(SUBSTITUTE(SUBSTITUTE(J70," ",""),"0",""),"-",""))+LEN(SUBSTITUTE(SUBSTITUTE(SUBSTITUTE(K70," ",""),"0",""),"-",""))),1,0))+IF(UPPER(L71)="X",0,IF((LEN(SUBSTITUTE(SUBSTITUTE(SUBSTITUTE(M71," ",""),"0",""),"-",""))+LEN(SUBSTITUTE(SUBSTITUTE(SUBSTITUTE(N71," ",""),"0",""),"-","")))&gt;(LEN(SUBSTITUTE(SUBSTITUTE(SUBSTITUTE(J71," ",""),"0",""),"-",""))+LEN(SUBSTITUTE(SUBSTITUTE(SUBSTITUTE(K71," ",""),"0",""),"-",""))),1,0))+IF(UPPER(L72)="X",0,IF((LEN(SUBSTITUTE(SUBSTITUTE(SUBSTITUTE(M72," ",""),"0",""),"-",""))+LEN(SUBSTITUTE(SUBSTITUTE(SUBSTITUTE(N72," ",""),"0",""),"-","")))&gt;(LEN(SUBSTITUTE(SUBSTITUTE(SUBSTITUTE(J72," ",""),"0",""),"-",""))+LEN(SUBSTITUTE(SUBSTITUTE(SUBSTITUTE(K72," ",""),"0",""),"-",""))),1,0))+IF(UPPER(L73)="X",0,IF((LEN(SUBSTITUTE(SUBSTITUTE(SUBSTITUTE(M73," ",""),"0",""),"-",""))+LEN(SUBSTITUTE(SUBSTITUTE(SUBSTITUTE(N73," ",""),"0",""),"-","")))&gt;(LEN(SUBSTITUTE(SUBSTITUTE(SUBSTITUTE(J73," ",""),"0",""),"-",""))+LEN(SUBSTITUTE(SUBSTITUTE(SUBSTITUTE(K73," ",""),"0",""),"-",""))),1,0))</f>
      </c>
      <c r="O76" s="14" t="s">
        <v>349</v>
      </c>
    </row>
    <row r="79">
      <c r="F79" t="s">
        <v>345</v>
      </c>
      <c r="G79" s="19"/>
      <c r="N79" t="s">
        <v>345</v>
      </c>
      <c r="O79" s="19"/>
    </row>
    <row r="80">
      <c r="F80" t="s">
        <v>346</v>
      </c>
      <c r="G80" s="19"/>
      <c r="N80" t="s">
        <v>346</v>
      </c>
      <c r="O80" s="19"/>
    </row>
    <row r="82">
      <c r="A82" s="13" t="s">
        <v>359</v>
      </c>
      <c r="B82" s="13"/>
      <c r="C82" s="13"/>
      <c r="D82" s="13"/>
      <c r="E82" s="13"/>
      <c r="F82" s="13"/>
      <c r="G82" s="13"/>
      <c r="I82" s="13" t="s">
        <v>360</v>
      </c>
      <c r="J82" s="13"/>
      <c r="K82" s="13"/>
      <c r="L82" s="13"/>
      <c r="M82" s="13"/>
      <c r="N82" s="13"/>
      <c r="O82" s="13"/>
    </row>
    <row r="83">
      <c r="A83" s="17" t="s">
        <v>331</v>
      </c>
      <c r="D83" s="14" t="s">
        <v>332</v>
      </c>
      <c r="G83" s="16" t="s">
        <v>333</v>
      </c>
      <c r="I83" s="17" t="s">
        <v>331</v>
      </c>
      <c r="L83" s="14" t="s">
        <v>332</v>
      </c>
      <c r="O83" s="16" t="s">
        <v>333</v>
      </c>
    </row>
    <row r="84">
      <c r="A84" s="14" t="str">
        <f>CONCATENATE("Pool V-2nd ",'Pool Matches'!O256)</f>
      </c>
      <c r="B84" s="14"/>
      <c r="C84" s="14"/>
      <c r="D84" s="18"/>
      <c r="E84" s="14"/>
      <c r="F84" s="14"/>
      <c r="G84" s="14" t="str">
        <f>CONCATENATE("Pool F-1st ",'Pool Matches'!G255)</f>
      </c>
      <c r="I84" s="14" t="str">
        <f>CONCATENATE("Pool F-2nd ",'Pool Matches'!G256)</f>
      </c>
      <c r="J84" s="14"/>
      <c r="K84" s="14"/>
      <c r="L84" s="18"/>
      <c r="M84" s="14"/>
      <c r="N84" s="14"/>
      <c r="O84" s="14" t="str">
        <f>CONCATENATE("Pool V-1st ",'Pool Matches'!O255)</f>
      </c>
    </row>
    <row r="85">
      <c r="A85" s="14">
        <v>1</v>
      </c>
      <c r="B85" s="18"/>
      <c r="C85" s="18"/>
      <c r="D85" s="18"/>
      <c r="E85" s="18"/>
      <c r="F85" s="18"/>
      <c r="G85" s="14">
        <v>1</v>
      </c>
      <c r="I85" s="14">
        <v>1</v>
      </c>
      <c r="J85" s="18"/>
      <c r="K85" s="18"/>
      <c r="L85" s="18"/>
      <c r="M85" s="18"/>
      <c r="N85" s="18"/>
      <c r="O85" s="14">
        <v>1</v>
      </c>
    </row>
    <row r="86">
      <c r="A86" s="14">
        <v>2</v>
      </c>
      <c r="B86" s="18"/>
      <c r="C86" s="18"/>
      <c r="D86" s="18"/>
      <c r="E86" s="18"/>
      <c r="F86" s="18"/>
      <c r="G86" s="14">
        <v>2</v>
      </c>
      <c r="I86" s="14">
        <v>2</v>
      </c>
      <c r="J86" s="18"/>
      <c r="K86" s="18"/>
      <c r="L86" s="18"/>
      <c r="M86" s="18"/>
      <c r="N86" s="18"/>
      <c r="O86" s="14">
        <v>2</v>
      </c>
    </row>
    <row r="87">
      <c r="A87" s="14">
        <v>3</v>
      </c>
      <c r="B87" s="18"/>
      <c r="C87" s="18"/>
      <c r="D87" s="18"/>
      <c r="E87" s="18"/>
      <c r="F87" s="18"/>
      <c r="G87" s="14">
        <v>3</v>
      </c>
      <c r="I87" s="14">
        <v>3</v>
      </c>
      <c r="J87" s="18"/>
      <c r="K87" s="18"/>
      <c r="L87" s="18"/>
      <c r="M87" s="18"/>
      <c r="N87" s="18"/>
      <c r="O87" s="14">
        <v>3</v>
      </c>
    </row>
    <row r="88">
      <c r="A88" s="14">
        <v>4</v>
      </c>
      <c r="B88" s="18"/>
      <c r="C88" s="18"/>
      <c r="D88" s="18"/>
      <c r="E88" s="18"/>
      <c r="F88" s="18"/>
      <c r="G88" s="14">
        <v>4</v>
      </c>
      <c r="I88" s="14">
        <v>4</v>
      </c>
      <c r="J88" s="18"/>
      <c r="K88" s="18"/>
      <c r="L88" s="18"/>
      <c r="M88" s="18"/>
      <c r="N88" s="18"/>
      <c r="O88" s="14">
        <v>4</v>
      </c>
    </row>
    <row r="89">
      <c r="A89" s="14">
        <v>5</v>
      </c>
      <c r="B89" s="18"/>
      <c r="C89" s="18"/>
      <c r="D89" s="18"/>
      <c r="E89" s="18"/>
      <c r="F89" s="18"/>
      <c r="G89" s="14">
        <v>5</v>
      </c>
      <c r="I89" s="14">
        <v>5</v>
      </c>
      <c r="J89" s="18"/>
      <c r="K89" s="18"/>
      <c r="L89" s="18"/>
      <c r="M89" s="18"/>
      <c r="N89" s="18"/>
      <c r="O89" s="14">
        <v>5</v>
      </c>
    </row>
    <row r="91">
      <c r="A91" s="14" t="str">
        <f>CONCATENATE("Pool V-2nd ",'Pool Matches'!O256)</f>
      </c>
      <c r="B91" s="14" t="s">
        <v>339</v>
      </c>
      <c r="C91" s="14" t="s">
        <v>342</v>
      </c>
      <c r="D91" s="14"/>
      <c r="E91" s="14" t="s">
        <v>342</v>
      </c>
      <c r="F91" s="14" t="s">
        <v>339</v>
      </c>
      <c r="G91" s="14" t="str">
        <f>CONCATENATE("Pool F-1st ",'Pool Matches'!G255)</f>
      </c>
      <c r="I91" s="14" t="str">
        <f>CONCATENATE("Pool F-2nd ",'Pool Matches'!G256)</f>
      </c>
      <c r="J91" s="14" t="s">
        <v>339</v>
      </c>
      <c r="K91" s="14" t="s">
        <v>342</v>
      </c>
      <c r="L91" s="14"/>
      <c r="M91" s="14" t="s">
        <v>342</v>
      </c>
      <c r="N91" s="14" t="s">
        <v>339</v>
      </c>
      <c r="O91" s="14" t="str">
        <f>CONCATENATE("Pool V-1st ",'Pool Matches'!O255)</f>
      </c>
    </row>
    <row r="92">
      <c r="A92" s="14" t="s">
        <v>349</v>
      </c>
      <c r="B92" s="14" t="str">
        <f>IF(UPPER(D85)="X",0,IF((LEN(SUBSTITUTE(SUBSTITUTE(SUBSTITUTE(B85," ",""),"0",""),"-",""))+LEN(SUBSTITUTE(SUBSTITUTE(SUBSTITUTE(C85," ",""),"0",""),"-","")))&gt;(LEN(SUBSTITUTE(SUBSTITUTE(SUBSTITUTE(E85," ",""),"0",""),"-",""))+LEN(SUBSTITUTE(SUBSTITUTE(SUBSTITUTE(F85," ",""),"0",""),"-",""))),1,0))+IF(UPPER(D86)="X",0,IF((LEN(SUBSTITUTE(SUBSTITUTE(SUBSTITUTE(B86," ",""),"0",""),"-",""))+LEN(SUBSTITUTE(SUBSTITUTE(SUBSTITUTE(C86," ",""),"0",""),"-","")))&gt;(LEN(SUBSTITUTE(SUBSTITUTE(SUBSTITUTE(E86," ",""),"0",""),"-",""))+LEN(SUBSTITUTE(SUBSTITUTE(SUBSTITUTE(F86," ",""),"0",""),"-",""))),1,0))+IF(UPPER(D87)="X",0,IF((LEN(SUBSTITUTE(SUBSTITUTE(SUBSTITUTE(B87," ",""),"0",""),"-",""))+LEN(SUBSTITUTE(SUBSTITUTE(SUBSTITUTE(C87," ",""),"0",""),"-","")))&gt;(LEN(SUBSTITUTE(SUBSTITUTE(SUBSTITUTE(E87," ",""),"0",""),"-",""))+LEN(SUBSTITUTE(SUBSTITUTE(SUBSTITUTE(F87," ",""),"0",""),"-",""))),1,0))+IF(UPPER(D88)="X",0,IF((LEN(SUBSTITUTE(SUBSTITUTE(SUBSTITUTE(B88," ",""),"0",""),"-",""))+LEN(SUBSTITUTE(SUBSTITUTE(SUBSTITUTE(C88," ",""),"0",""),"-","")))&gt;(LEN(SUBSTITUTE(SUBSTITUTE(SUBSTITUTE(E88," ",""),"0",""),"-",""))+LEN(SUBSTITUTE(SUBSTITUTE(SUBSTITUTE(F88," ",""),"0",""),"-",""))),1,0))+IF(UPPER(D89)="X",0,IF((LEN(SUBSTITUTE(SUBSTITUTE(SUBSTITUTE(B89," ",""),"0",""),"-",""))+LEN(SUBSTITUTE(SUBSTITUTE(SUBSTITUTE(C89," ",""),"0",""),"-","")))&gt;(LEN(SUBSTITUTE(SUBSTITUTE(SUBSTITUTE(E89," ",""),"0",""),"-",""))+LEN(SUBSTITUTE(SUBSTITUTE(SUBSTITUTE(F89," ",""),"0",""),"-",""))),1,0))</f>
      </c>
      <c r="C92" s="14" t="str">
        <f>LEN(SUBSTITUTE(SUBSTITUTE(SUBSTITUTE(B85," ",""),"0",""),"-",""))+LEN(SUBSTITUTE(SUBSTITUTE(SUBSTITUTE(C85," ",""),"0",""),"-",""))+LEN(SUBSTITUTE(SUBSTITUTE(SUBSTITUTE(B86," ",""),"0",""),"-",""))+LEN(SUBSTITUTE(SUBSTITUTE(SUBSTITUTE(C86," ",""),"0",""),"-",""))+LEN(SUBSTITUTE(SUBSTITUTE(SUBSTITUTE(B87," ",""),"0",""),"-",""))+LEN(SUBSTITUTE(SUBSTITUTE(SUBSTITUTE(C87," ",""),"0",""),"-",""))+LEN(SUBSTITUTE(SUBSTITUTE(SUBSTITUTE(B88," ",""),"0",""),"-",""))+LEN(SUBSTITUTE(SUBSTITUTE(SUBSTITUTE(C88," ",""),"0",""),"-",""))+LEN(SUBSTITUTE(SUBSTITUTE(SUBSTITUTE(B89," ",""),"0",""),"-",""))+LEN(SUBSTITUTE(SUBSTITUTE(SUBSTITUTE(C89," ",""),"0",""),"-",""))</f>
      </c>
      <c r="D92" s="14"/>
      <c r="E92" s="14" t="str">
        <f>LEN(SUBSTITUTE(SUBSTITUTE(SUBSTITUTE(E85," ",""),"0",""),"-",""))+LEN(SUBSTITUTE(SUBSTITUTE(SUBSTITUTE(F85," ",""),"0",""),"-",""))+LEN(SUBSTITUTE(SUBSTITUTE(SUBSTITUTE(E86," ",""),"0",""),"-",""))+LEN(SUBSTITUTE(SUBSTITUTE(SUBSTITUTE(F86," ",""),"0",""),"-",""))+LEN(SUBSTITUTE(SUBSTITUTE(SUBSTITUTE(E87," ",""),"0",""),"-",""))+LEN(SUBSTITUTE(SUBSTITUTE(SUBSTITUTE(F87," ",""),"0",""),"-",""))+LEN(SUBSTITUTE(SUBSTITUTE(SUBSTITUTE(E88," ",""),"0",""),"-",""))+LEN(SUBSTITUTE(SUBSTITUTE(SUBSTITUTE(F88," ",""),"0",""),"-",""))+LEN(SUBSTITUTE(SUBSTITUTE(SUBSTITUTE(E89," ",""),"0",""),"-",""))+LEN(SUBSTITUTE(SUBSTITUTE(SUBSTITUTE(F89," ",""),"0",""),"-",""))</f>
      </c>
      <c r="F92" s="14" t="str">
        <f>IF(UPPER(D85)="X",0,IF((LEN(SUBSTITUTE(SUBSTITUTE(SUBSTITUTE(E85," ",""),"0",""),"-",""))+LEN(SUBSTITUTE(SUBSTITUTE(SUBSTITUTE(F85," ",""),"0",""),"-","")))&gt;(LEN(SUBSTITUTE(SUBSTITUTE(SUBSTITUTE(B85," ",""),"0",""),"-",""))+LEN(SUBSTITUTE(SUBSTITUTE(SUBSTITUTE(C85," ",""),"0",""),"-",""))),1,0))+IF(UPPER(D86)="X",0,IF((LEN(SUBSTITUTE(SUBSTITUTE(SUBSTITUTE(E86," ",""),"0",""),"-",""))+LEN(SUBSTITUTE(SUBSTITUTE(SUBSTITUTE(F86," ",""),"0",""),"-","")))&gt;(LEN(SUBSTITUTE(SUBSTITUTE(SUBSTITUTE(B86," ",""),"0",""),"-",""))+LEN(SUBSTITUTE(SUBSTITUTE(SUBSTITUTE(C86," ",""),"0",""),"-",""))),1,0))+IF(UPPER(D87)="X",0,IF((LEN(SUBSTITUTE(SUBSTITUTE(SUBSTITUTE(E87," ",""),"0",""),"-",""))+LEN(SUBSTITUTE(SUBSTITUTE(SUBSTITUTE(F87," ",""),"0",""),"-","")))&gt;(LEN(SUBSTITUTE(SUBSTITUTE(SUBSTITUTE(B87," ",""),"0",""),"-",""))+LEN(SUBSTITUTE(SUBSTITUTE(SUBSTITUTE(C87," ",""),"0",""),"-",""))),1,0))+IF(UPPER(D88)="X",0,IF((LEN(SUBSTITUTE(SUBSTITUTE(SUBSTITUTE(E88," ",""),"0",""),"-",""))+LEN(SUBSTITUTE(SUBSTITUTE(SUBSTITUTE(F88," ",""),"0",""),"-","")))&gt;(LEN(SUBSTITUTE(SUBSTITUTE(SUBSTITUTE(B88," ",""),"0",""),"-",""))+LEN(SUBSTITUTE(SUBSTITUTE(SUBSTITUTE(C88," ",""),"0",""),"-",""))),1,0))+IF(UPPER(D89)="X",0,IF((LEN(SUBSTITUTE(SUBSTITUTE(SUBSTITUTE(E89," ",""),"0",""),"-",""))+LEN(SUBSTITUTE(SUBSTITUTE(SUBSTITUTE(F89," ",""),"0",""),"-","")))&gt;(LEN(SUBSTITUTE(SUBSTITUTE(SUBSTITUTE(B89," ",""),"0",""),"-",""))+LEN(SUBSTITUTE(SUBSTITUTE(SUBSTITUTE(C89," ",""),"0",""),"-",""))),1,0))</f>
      </c>
      <c r="G92" s="14" t="s">
        <v>349</v>
      </c>
      <c r="I92" s="14" t="s">
        <v>349</v>
      </c>
      <c r="J92" s="14" t="str">
        <f>IF(UPPER(L85)="X",0,IF((LEN(SUBSTITUTE(SUBSTITUTE(SUBSTITUTE(J85," ",""),"0",""),"-",""))+LEN(SUBSTITUTE(SUBSTITUTE(SUBSTITUTE(K85," ",""),"0",""),"-","")))&gt;(LEN(SUBSTITUTE(SUBSTITUTE(SUBSTITUTE(M85," ",""),"0",""),"-",""))+LEN(SUBSTITUTE(SUBSTITUTE(SUBSTITUTE(N85," ",""),"0",""),"-",""))),1,0))+IF(UPPER(L86)="X",0,IF((LEN(SUBSTITUTE(SUBSTITUTE(SUBSTITUTE(J86," ",""),"0",""),"-",""))+LEN(SUBSTITUTE(SUBSTITUTE(SUBSTITUTE(K86," ",""),"0",""),"-","")))&gt;(LEN(SUBSTITUTE(SUBSTITUTE(SUBSTITUTE(M86," ",""),"0",""),"-",""))+LEN(SUBSTITUTE(SUBSTITUTE(SUBSTITUTE(N86," ",""),"0",""),"-",""))),1,0))+IF(UPPER(L87)="X",0,IF((LEN(SUBSTITUTE(SUBSTITUTE(SUBSTITUTE(J87," ",""),"0",""),"-",""))+LEN(SUBSTITUTE(SUBSTITUTE(SUBSTITUTE(K87," ",""),"0",""),"-","")))&gt;(LEN(SUBSTITUTE(SUBSTITUTE(SUBSTITUTE(M87," ",""),"0",""),"-",""))+LEN(SUBSTITUTE(SUBSTITUTE(SUBSTITUTE(N87," ",""),"0",""),"-",""))),1,0))+IF(UPPER(L88)="X",0,IF((LEN(SUBSTITUTE(SUBSTITUTE(SUBSTITUTE(J88," ",""),"0",""),"-",""))+LEN(SUBSTITUTE(SUBSTITUTE(SUBSTITUTE(K88," ",""),"0",""),"-","")))&gt;(LEN(SUBSTITUTE(SUBSTITUTE(SUBSTITUTE(M88," ",""),"0",""),"-",""))+LEN(SUBSTITUTE(SUBSTITUTE(SUBSTITUTE(N88," ",""),"0",""),"-",""))),1,0))+IF(UPPER(L89)="X",0,IF((LEN(SUBSTITUTE(SUBSTITUTE(SUBSTITUTE(J89," ",""),"0",""),"-",""))+LEN(SUBSTITUTE(SUBSTITUTE(SUBSTITUTE(K89," ",""),"0",""),"-","")))&gt;(LEN(SUBSTITUTE(SUBSTITUTE(SUBSTITUTE(M89," ",""),"0",""),"-",""))+LEN(SUBSTITUTE(SUBSTITUTE(SUBSTITUTE(N89," ",""),"0",""),"-",""))),1,0))</f>
      </c>
      <c r="K92" s="14" t="str">
        <f>LEN(SUBSTITUTE(SUBSTITUTE(SUBSTITUTE(J85," ",""),"0",""),"-",""))+LEN(SUBSTITUTE(SUBSTITUTE(SUBSTITUTE(K85," ",""),"0",""),"-",""))+LEN(SUBSTITUTE(SUBSTITUTE(SUBSTITUTE(J86," ",""),"0",""),"-",""))+LEN(SUBSTITUTE(SUBSTITUTE(SUBSTITUTE(K86," ",""),"0",""),"-",""))+LEN(SUBSTITUTE(SUBSTITUTE(SUBSTITUTE(J87," ",""),"0",""),"-",""))+LEN(SUBSTITUTE(SUBSTITUTE(SUBSTITUTE(K87," ",""),"0",""),"-",""))+LEN(SUBSTITUTE(SUBSTITUTE(SUBSTITUTE(J88," ",""),"0",""),"-",""))+LEN(SUBSTITUTE(SUBSTITUTE(SUBSTITUTE(K88," ",""),"0",""),"-",""))+LEN(SUBSTITUTE(SUBSTITUTE(SUBSTITUTE(J89," ",""),"0",""),"-",""))+LEN(SUBSTITUTE(SUBSTITUTE(SUBSTITUTE(K89," ",""),"0",""),"-",""))</f>
      </c>
      <c r="L92" s="14"/>
      <c r="M92" s="14" t="str">
        <f>LEN(SUBSTITUTE(SUBSTITUTE(SUBSTITUTE(M85," ",""),"0",""),"-",""))+LEN(SUBSTITUTE(SUBSTITUTE(SUBSTITUTE(N85," ",""),"0",""),"-",""))+LEN(SUBSTITUTE(SUBSTITUTE(SUBSTITUTE(M86," ",""),"0",""),"-",""))+LEN(SUBSTITUTE(SUBSTITUTE(SUBSTITUTE(N86," ",""),"0",""),"-",""))+LEN(SUBSTITUTE(SUBSTITUTE(SUBSTITUTE(M87," ",""),"0",""),"-",""))+LEN(SUBSTITUTE(SUBSTITUTE(SUBSTITUTE(N87," ",""),"0",""),"-",""))+LEN(SUBSTITUTE(SUBSTITUTE(SUBSTITUTE(M88," ",""),"0",""),"-",""))+LEN(SUBSTITUTE(SUBSTITUTE(SUBSTITUTE(N88," ",""),"0",""),"-",""))+LEN(SUBSTITUTE(SUBSTITUTE(SUBSTITUTE(M89," ",""),"0",""),"-",""))+LEN(SUBSTITUTE(SUBSTITUTE(SUBSTITUTE(N89," ",""),"0",""),"-",""))</f>
      </c>
      <c r="N92" s="14" t="str">
        <f>IF(UPPER(L85)="X",0,IF((LEN(SUBSTITUTE(SUBSTITUTE(SUBSTITUTE(M85," ",""),"0",""),"-",""))+LEN(SUBSTITUTE(SUBSTITUTE(SUBSTITUTE(N85," ",""),"0",""),"-","")))&gt;(LEN(SUBSTITUTE(SUBSTITUTE(SUBSTITUTE(J85," ",""),"0",""),"-",""))+LEN(SUBSTITUTE(SUBSTITUTE(SUBSTITUTE(K85," ",""),"0",""),"-",""))),1,0))+IF(UPPER(L86)="X",0,IF((LEN(SUBSTITUTE(SUBSTITUTE(SUBSTITUTE(M86," ",""),"0",""),"-",""))+LEN(SUBSTITUTE(SUBSTITUTE(SUBSTITUTE(N86," ",""),"0",""),"-","")))&gt;(LEN(SUBSTITUTE(SUBSTITUTE(SUBSTITUTE(J86," ",""),"0",""),"-",""))+LEN(SUBSTITUTE(SUBSTITUTE(SUBSTITUTE(K86," ",""),"0",""),"-",""))),1,0))+IF(UPPER(L87)="X",0,IF((LEN(SUBSTITUTE(SUBSTITUTE(SUBSTITUTE(M87," ",""),"0",""),"-",""))+LEN(SUBSTITUTE(SUBSTITUTE(SUBSTITUTE(N87," ",""),"0",""),"-","")))&gt;(LEN(SUBSTITUTE(SUBSTITUTE(SUBSTITUTE(J87," ",""),"0",""),"-",""))+LEN(SUBSTITUTE(SUBSTITUTE(SUBSTITUTE(K87," ",""),"0",""),"-",""))),1,0))+IF(UPPER(L88)="X",0,IF((LEN(SUBSTITUTE(SUBSTITUTE(SUBSTITUTE(M88," ",""),"0",""),"-",""))+LEN(SUBSTITUTE(SUBSTITUTE(SUBSTITUTE(N88," ",""),"0",""),"-","")))&gt;(LEN(SUBSTITUTE(SUBSTITUTE(SUBSTITUTE(J88," ",""),"0",""),"-",""))+LEN(SUBSTITUTE(SUBSTITUTE(SUBSTITUTE(K88," ",""),"0",""),"-",""))),1,0))+IF(UPPER(L89)="X",0,IF((LEN(SUBSTITUTE(SUBSTITUTE(SUBSTITUTE(M89," ",""),"0",""),"-",""))+LEN(SUBSTITUTE(SUBSTITUTE(SUBSTITUTE(N89," ",""),"0",""),"-","")))&gt;(LEN(SUBSTITUTE(SUBSTITUTE(SUBSTITUTE(J89," ",""),"0",""),"-",""))+LEN(SUBSTITUTE(SUBSTITUTE(SUBSTITUTE(K89," ",""),"0",""),"-",""))),1,0))</f>
      </c>
      <c r="O92" s="14" t="s">
        <v>349</v>
      </c>
    </row>
    <row r="95">
      <c r="F95" t="s">
        <v>345</v>
      </c>
      <c r="G95" s="19"/>
      <c r="N95" t="s">
        <v>345</v>
      </c>
      <c r="O95" s="19"/>
    </row>
    <row r="96">
      <c r="F96" t="s">
        <v>346</v>
      </c>
      <c r="G96" s="19"/>
      <c r="N96" t="s">
        <v>346</v>
      </c>
      <c r="O96" s="19"/>
    </row>
    <row r="98">
      <c r="A98" s="13" t="s">
        <v>361</v>
      </c>
      <c r="B98" s="13"/>
      <c r="C98" s="13"/>
      <c r="D98" s="13"/>
      <c r="E98" s="13"/>
      <c r="F98" s="13"/>
      <c r="G98" s="13"/>
      <c r="I98" s="13" t="s">
        <v>362</v>
      </c>
      <c r="J98" s="13"/>
      <c r="K98" s="13"/>
      <c r="L98" s="13"/>
      <c r="M98" s="13"/>
      <c r="N98" s="13"/>
      <c r="O98" s="13"/>
    </row>
    <row r="99">
      <c r="A99" s="17" t="s">
        <v>331</v>
      </c>
      <c r="D99" s="14" t="s">
        <v>332</v>
      </c>
      <c r="G99" s="16" t="s">
        <v>333</v>
      </c>
      <c r="I99" s="17" t="s">
        <v>331</v>
      </c>
      <c r="L99" s="14" t="s">
        <v>332</v>
      </c>
      <c r="O99" s="16" t="s">
        <v>333</v>
      </c>
    </row>
    <row r="100">
      <c r="A100" s="14" t="str">
        <f>CONCATENATE("Pool W-2nd ",'Pool Matches'!O299)</f>
      </c>
      <c r="B100" s="14"/>
      <c r="C100" s="14"/>
      <c r="D100" s="18"/>
      <c r="E100" s="14"/>
      <c r="F100" s="14"/>
      <c r="G100" s="14" t="str">
        <f>CONCATENATE("Pool G-1st ",'Pool Matches'!G298)</f>
      </c>
      <c r="I100" s="14" t="str">
        <f>CONCATENATE("Pool G-2nd ",'Pool Matches'!G299)</f>
      </c>
      <c r="J100" s="14"/>
      <c r="K100" s="14"/>
      <c r="L100" s="18"/>
      <c r="M100" s="14"/>
      <c r="N100" s="14"/>
      <c r="O100" s="14" t="str">
        <f>CONCATENATE("Pool W-1st ",'Pool Matches'!O298)</f>
      </c>
    </row>
    <row r="101">
      <c r="A101" s="14">
        <v>1</v>
      </c>
      <c r="B101" s="18"/>
      <c r="C101" s="18"/>
      <c r="D101" s="18"/>
      <c r="E101" s="18"/>
      <c r="F101" s="18"/>
      <c r="G101" s="14">
        <v>1</v>
      </c>
      <c r="I101" s="14">
        <v>1</v>
      </c>
      <c r="J101" s="18"/>
      <c r="K101" s="18"/>
      <c r="L101" s="18"/>
      <c r="M101" s="18"/>
      <c r="N101" s="18"/>
      <c r="O101" s="14">
        <v>1</v>
      </c>
    </row>
    <row r="102">
      <c r="A102" s="14">
        <v>2</v>
      </c>
      <c r="B102" s="18"/>
      <c r="C102" s="18"/>
      <c r="D102" s="18"/>
      <c r="E102" s="18"/>
      <c r="F102" s="18"/>
      <c r="G102" s="14">
        <v>2</v>
      </c>
      <c r="I102" s="14">
        <v>2</v>
      </c>
      <c r="J102" s="18"/>
      <c r="K102" s="18"/>
      <c r="L102" s="18"/>
      <c r="M102" s="18"/>
      <c r="N102" s="18"/>
      <c r="O102" s="14">
        <v>2</v>
      </c>
    </row>
    <row r="103">
      <c r="A103" s="14">
        <v>3</v>
      </c>
      <c r="B103" s="18"/>
      <c r="C103" s="18"/>
      <c r="D103" s="18"/>
      <c r="E103" s="18"/>
      <c r="F103" s="18"/>
      <c r="G103" s="14">
        <v>3</v>
      </c>
      <c r="I103" s="14">
        <v>3</v>
      </c>
      <c r="J103" s="18"/>
      <c r="K103" s="18"/>
      <c r="L103" s="18"/>
      <c r="M103" s="18"/>
      <c r="N103" s="18"/>
      <c r="O103" s="14">
        <v>3</v>
      </c>
    </row>
    <row r="104">
      <c r="A104" s="14">
        <v>4</v>
      </c>
      <c r="B104" s="18"/>
      <c r="C104" s="18"/>
      <c r="D104" s="18"/>
      <c r="E104" s="18"/>
      <c r="F104" s="18"/>
      <c r="G104" s="14">
        <v>4</v>
      </c>
      <c r="I104" s="14">
        <v>4</v>
      </c>
      <c r="J104" s="18"/>
      <c r="K104" s="18"/>
      <c r="L104" s="18"/>
      <c r="M104" s="18"/>
      <c r="N104" s="18"/>
      <c r="O104" s="14">
        <v>4</v>
      </c>
    </row>
    <row r="105">
      <c r="A105" s="14">
        <v>5</v>
      </c>
      <c r="B105" s="18"/>
      <c r="C105" s="18"/>
      <c r="D105" s="18"/>
      <c r="E105" s="18"/>
      <c r="F105" s="18"/>
      <c r="G105" s="14">
        <v>5</v>
      </c>
      <c r="I105" s="14">
        <v>5</v>
      </c>
      <c r="J105" s="18"/>
      <c r="K105" s="18"/>
      <c r="L105" s="18"/>
      <c r="M105" s="18"/>
      <c r="N105" s="18"/>
      <c r="O105" s="14">
        <v>5</v>
      </c>
    </row>
    <row r="107">
      <c r="A107" s="14" t="str">
        <f>CONCATENATE("Pool W-2nd ",'Pool Matches'!O299)</f>
      </c>
      <c r="B107" s="14" t="s">
        <v>339</v>
      </c>
      <c r="C107" s="14" t="s">
        <v>342</v>
      </c>
      <c r="D107" s="14"/>
      <c r="E107" s="14" t="s">
        <v>342</v>
      </c>
      <c r="F107" s="14" t="s">
        <v>339</v>
      </c>
      <c r="G107" s="14" t="str">
        <f>CONCATENATE("Pool G-1st ",'Pool Matches'!G298)</f>
      </c>
      <c r="I107" s="14" t="str">
        <f>CONCATENATE("Pool G-2nd ",'Pool Matches'!G299)</f>
      </c>
      <c r="J107" s="14" t="s">
        <v>339</v>
      </c>
      <c r="K107" s="14" t="s">
        <v>342</v>
      </c>
      <c r="L107" s="14"/>
      <c r="M107" s="14" t="s">
        <v>342</v>
      </c>
      <c r="N107" s="14" t="s">
        <v>339</v>
      </c>
      <c r="O107" s="14" t="str">
        <f>CONCATENATE("Pool W-1st ",'Pool Matches'!O298)</f>
      </c>
    </row>
    <row r="108">
      <c r="A108" s="14" t="s">
        <v>349</v>
      </c>
      <c r="B108" s="14" t="str">
        <f>IF(UPPER(D101)="X",0,IF((LEN(SUBSTITUTE(SUBSTITUTE(SUBSTITUTE(B101," ",""),"0",""),"-",""))+LEN(SUBSTITUTE(SUBSTITUTE(SUBSTITUTE(C101," ",""),"0",""),"-","")))&gt;(LEN(SUBSTITUTE(SUBSTITUTE(SUBSTITUTE(E101," ",""),"0",""),"-",""))+LEN(SUBSTITUTE(SUBSTITUTE(SUBSTITUTE(F101," ",""),"0",""),"-",""))),1,0))+IF(UPPER(D102)="X",0,IF((LEN(SUBSTITUTE(SUBSTITUTE(SUBSTITUTE(B102," ",""),"0",""),"-",""))+LEN(SUBSTITUTE(SUBSTITUTE(SUBSTITUTE(C102," ",""),"0",""),"-","")))&gt;(LEN(SUBSTITUTE(SUBSTITUTE(SUBSTITUTE(E102," ",""),"0",""),"-",""))+LEN(SUBSTITUTE(SUBSTITUTE(SUBSTITUTE(F102," ",""),"0",""),"-",""))),1,0))+IF(UPPER(D103)="X",0,IF((LEN(SUBSTITUTE(SUBSTITUTE(SUBSTITUTE(B103," ",""),"0",""),"-",""))+LEN(SUBSTITUTE(SUBSTITUTE(SUBSTITUTE(C103," ",""),"0",""),"-","")))&gt;(LEN(SUBSTITUTE(SUBSTITUTE(SUBSTITUTE(E103," ",""),"0",""),"-",""))+LEN(SUBSTITUTE(SUBSTITUTE(SUBSTITUTE(F103," ",""),"0",""),"-",""))),1,0))+IF(UPPER(D104)="X",0,IF((LEN(SUBSTITUTE(SUBSTITUTE(SUBSTITUTE(B104," ",""),"0",""),"-",""))+LEN(SUBSTITUTE(SUBSTITUTE(SUBSTITUTE(C104," ",""),"0",""),"-","")))&gt;(LEN(SUBSTITUTE(SUBSTITUTE(SUBSTITUTE(E104," ",""),"0",""),"-",""))+LEN(SUBSTITUTE(SUBSTITUTE(SUBSTITUTE(F104," ",""),"0",""),"-",""))),1,0))+IF(UPPER(D105)="X",0,IF((LEN(SUBSTITUTE(SUBSTITUTE(SUBSTITUTE(B105," ",""),"0",""),"-",""))+LEN(SUBSTITUTE(SUBSTITUTE(SUBSTITUTE(C105," ",""),"0",""),"-","")))&gt;(LEN(SUBSTITUTE(SUBSTITUTE(SUBSTITUTE(E105," ",""),"0",""),"-",""))+LEN(SUBSTITUTE(SUBSTITUTE(SUBSTITUTE(F105," ",""),"0",""),"-",""))),1,0))</f>
      </c>
      <c r="C108" s="14" t="str">
        <f>LEN(SUBSTITUTE(SUBSTITUTE(SUBSTITUTE(B101," ",""),"0",""),"-",""))+LEN(SUBSTITUTE(SUBSTITUTE(SUBSTITUTE(C101," ",""),"0",""),"-",""))+LEN(SUBSTITUTE(SUBSTITUTE(SUBSTITUTE(B102," ",""),"0",""),"-",""))+LEN(SUBSTITUTE(SUBSTITUTE(SUBSTITUTE(C102," ",""),"0",""),"-",""))+LEN(SUBSTITUTE(SUBSTITUTE(SUBSTITUTE(B103," ",""),"0",""),"-",""))+LEN(SUBSTITUTE(SUBSTITUTE(SUBSTITUTE(C103," ",""),"0",""),"-",""))+LEN(SUBSTITUTE(SUBSTITUTE(SUBSTITUTE(B104," ",""),"0",""),"-",""))+LEN(SUBSTITUTE(SUBSTITUTE(SUBSTITUTE(C104," ",""),"0",""),"-",""))+LEN(SUBSTITUTE(SUBSTITUTE(SUBSTITUTE(B105," ",""),"0",""),"-",""))+LEN(SUBSTITUTE(SUBSTITUTE(SUBSTITUTE(C105," ",""),"0",""),"-",""))</f>
      </c>
      <c r="D108" s="14"/>
      <c r="E108" s="14" t="str">
        <f>LEN(SUBSTITUTE(SUBSTITUTE(SUBSTITUTE(E101," ",""),"0",""),"-",""))+LEN(SUBSTITUTE(SUBSTITUTE(SUBSTITUTE(F101," ",""),"0",""),"-",""))+LEN(SUBSTITUTE(SUBSTITUTE(SUBSTITUTE(E102," ",""),"0",""),"-",""))+LEN(SUBSTITUTE(SUBSTITUTE(SUBSTITUTE(F102," ",""),"0",""),"-",""))+LEN(SUBSTITUTE(SUBSTITUTE(SUBSTITUTE(E103," ",""),"0",""),"-",""))+LEN(SUBSTITUTE(SUBSTITUTE(SUBSTITUTE(F103," ",""),"0",""),"-",""))+LEN(SUBSTITUTE(SUBSTITUTE(SUBSTITUTE(E104," ",""),"0",""),"-",""))+LEN(SUBSTITUTE(SUBSTITUTE(SUBSTITUTE(F104," ",""),"0",""),"-",""))+LEN(SUBSTITUTE(SUBSTITUTE(SUBSTITUTE(E105," ",""),"0",""),"-",""))+LEN(SUBSTITUTE(SUBSTITUTE(SUBSTITUTE(F105," ",""),"0",""),"-",""))</f>
      </c>
      <c r="F108" s="14" t="str">
        <f>IF(UPPER(D101)="X",0,IF((LEN(SUBSTITUTE(SUBSTITUTE(SUBSTITUTE(E101," ",""),"0",""),"-",""))+LEN(SUBSTITUTE(SUBSTITUTE(SUBSTITUTE(F101," ",""),"0",""),"-","")))&gt;(LEN(SUBSTITUTE(SUBSTITUTE(SUBSTITUTE(B101," ",""),"0",""),"-",""))+LEN(SUBSTITUTE(SUBSTITUTE(SUBSTITUTE(C101," ",""),"0",""),"-",""))),1,0))+IF(UPPER(D102)="X",0,IF((LEN(SUBSTITUTE(SUBSTITUTE(SUBSTITUTE(E102," ",""),"0",""),"-",""))+LEN(SUBSTITUTE(SUBSTITUTE(SUBSTITUTE(F102," ",""),"0",""),"-","")))&gt;(LEN(SUBSTITUTE(SUBSTITUTE(SUBSTITUTE(B102," ",""),"0",""),"-",""))+LEN(SUBSTITUTE(SUBSTITUTE(SUBSTITUTE(C102," ",""),"0",""),"-",""))),1,0))+IF(UPPER(D103)="X",0,IF((LEN(SUBSTITUTE(SUBSTITUTE(SUBSTITUTE(E103," ",""),"0",""),"-",""))+LEN(SUBSTITUTE(SUBSTITUTE(SUBSTITUTE(F103," ",""),"0",""),"-","")))&gt;(LEN(SUBSTITUTE(SUBSTITUTE(SUBSTITUTE(B103," ",""),"0",""),"-",""))+LEN(SUBSTITUTE(SUBSTITUTE(SUBSTITUTE(C103," ",""),"0",""),"-",""))),1,0))+IF(UPPER(D104)="X",0,IF((LEN(SUBSTITUTE(SUBSTITUTE(SUBSTITUTE(E104," ",""),"0",""),"-",""))+LEN(SUBSTITUTE(SUBSTITUTE(SUBSTITUTE(F104," ",""),"0",""),"-","")))&gt;(LEN(SUBSTITUTE(SUBSTITUTE(SUBSTITUTE(B104," ",""),"0",""),"-",""))+LEN(SUBSTITUTE(SUBSTITUTE(SUBSTITUTE(C104," ",""),"0",""),"-",""))),1,0))+IF(UPPER(D105)="X",0,IF((LEN(SUBSTITUTE(SUBSTITUTE(SUBSTITUTE(E105," ",""),"0",""),"-",""))+LEN(SUBSTITUTE(SUBSTITUTE(SUBSTITUTE(F105," ",""),"0",""),"-","")))&gt;(LEN(SUBSTITUTE(SUBSTITUTE(SUBSTITUTE(B105," ",""),"0",""),"-",""))+LEN(SUBSTITUTE(SUBSTITUTE(SUBSTITUTE(C105," ",""),"0",""),"-",""))),1,0))</f>
      </c>
      <c r="G108" s="14" t="s">
        <v>349</v>
      </c>
      <c r="I108" s="14" t="s">
        <v>349</v>
      </c>
      <c r="J108" s="14" t="str">
        <f>IF(UPPER(L101)="X",0,IF((LEN(SUBSTITUTE(SUBSTITUTE(SUBSTITUTE(J101," ",""),"0",""),"-",""))+LEN(SUBSTITUTE(SUBSTITUTE(SUBSTITUTE(K101," ",""),"0",""),"-","")))&gt;(LEN(SUBSTITUTE(SUBSTITUTE(SUBSTITUTE(M101," ",""),"0",""),"-",""))+LEN(SUBSTITUTE(SUBSTITUTE(SUBSTITUTE(N101," ",""),"0",""),"-",""))),1,0))+IF(UPPER(L102)="X",0,IF((LEN(SUBSTITUTE(SUBSTITUTE(SUBSTITUTE(J102," ",""),"0",""),"-",""))+LEN(SUBSTITUTE(SUBSTITUTE(SUBSTITUTE(K102," ",""),"0",""),"-","")))&gt;(LEN(SUBSTITUTE(SUBSTITUTE(SUBSTITUTE(M102," ",""),"0",""),"-",""))+LEN(SUBSTITUTE(SUBSTITUTE(SUBSTITUTE(N102," ",""),"0",""),"-",""))),1,0))+IF(UPPER(L103)="X",0,IF((LEN(SUBSTITUTE(SUBSTITUTE(SUBSTITUTE(J103," ",""),"0",""),"-",""))+LEN(SUBSTITUTE(SUBSTITUTE(SUBSTITUTE(K103," ",""),"0",""),"-","")))&gt;(LEN(SUBSTITUTE(SUBSTITUTE(SUBSTITUTE(M103," ",""),"0",""),"-",""))+LEN(SUBSTITUTE(SUBSTITUTE(SUBSTITUTE(N103," ",""),"0",""),"-",""))),1,0))+IF(UPPER(L104)="X",0,IF((LEN(SUBSTITUTE(SUBSTITUTE(SUBSTITUTE(J104," ",""),"0",""),"-",""))+LEN(SUBSTITUTE(SUBSTITUTE(SUBSTITUTE(K104," ",""),"0",""),"-","")))&gt;(LEN(SUBSTITUTE(SUBSTITUTE(SUBSTITUTE(M104," ",""),"0",""),"-",""))+LEN(SUBSTITUTE(SUBSTITUTE(SUBSTITUTE(N104," ",""),"0",""),"-",""))),1,0))+IF(UPPER(L105)="X",0,IF((LEN(SUBSTITUTE(SUBSTITUTE(SUBSTITUTE(J105," ",""),"0",""),"-",""))+LEN(SUBSTITUTE(SUBSTITUTE(SUBSTITUTE(K105," ",""),"0",""),"-","")))&gt;(LEN(SUBSTITUTE(SUBSTITUTE(SUBSTITUTE(M105," ",""),"0",""),"-",""))+LEN(SUBSTITUTE(SUBSTITUTE(SUBSTITUTE(N105," ",""),"0",""),"-",""))),1,0))</f>
      </c>
      <c r="K108" s="14" t="str">
        <f>LEN(SUBSTITUTE(SUBSTITUTE(SUBSTITUTE(J101," ",""),"0",""),"-",""))+LEN(SUBSTITUTE(SUBSTITUTE(SUBSTITUTE(K101," ",""),"0",""),"-",""))+LEN(SUBSTITUTE(SUBSTITUTE(SUBSTITUTE(J102," ",""),"0",""),"-",""))+LEN(SUBSTITUTE(SUBSTITUTE(SUBSTITUTE(K102," ",""),"0",""),"-",""))+LEN(SUBSTITUTE(SUBSTITUTE(SUBSTITUTE(J103," ",""),"0",""),"-",""))+LEN(SUBSTITUTE(SUBSTITUTE(SUBSTITUTE(K103," ",""),"0",""),"-",""))+LEN(SUBSTITUTE(SUBSTITUTE(SUBSTITUTE(J104," ",""),"0",""),"-",""))+LEN(SUBSTITUTE(SUBSTITUTE(SUBSTITUTE(K104," ",""),"0",""),"-",""))+LEN(SUBSTITUTE(SUBSTITUTE(SUBSTITUTE(J105," ",""),"0",""),"-",""))+LEN(SUBSTITUTE(SUBSTITUTE(SUBSTITUTE(K105," ",""),"0",""),"-",""))</f>
      </c>
      <c r="L108" s="14"/>
      <c r="M108" s="14" t="str">
        <f>LEN(SUBSTITUTE(SUBSTITUTE(SUBSTITUTE(M101," ",""),"0",""),"-",""))+LEN(SUBSTITUTE(SUBSTITUTE(SUBSTITUTE(N101," ",""),"0",""),"-",""))+LEN(SUBSTITUTE(SUBSTITUTE(SUBSTITUTE(M102," ",""),"0",""),"-",""))+LEN(SUBSTITUTE(SUBSTITUTE(SUBSTITUTE(N102," ",""),"0",""),"-",""))+LEN(SUBSTITUTE(SUBSTITUTE(SUBSTITUTE(M103," ",""),"0",""),"-",""))+LEN(SUBSTITUTE(SUBSTITUTE(SUBSTITUTE(N103," ",""),"0",""),"-",""))+LEN(SUBSTITUTE(SUBSTITUTE(SUBSTITUTE(M104," ",""),"0",""),"-",""))+LEN(SUBSTITUTE(SUBSTITUTE(SUBSTITUTE(N104," ",""),"0",""),"-",""))+LEN(SUBSTITUTE(SUBSTITUTE(SUBSTITUTE(M105," ",""),"0",""),"-",""))+LEN(SUBSTITUTE(SUBSTITUTE(SUBSTITUTE(N105," ",""),"0",""),"-",""))</f>
      </c>
      <c r="N108" s="14" t="str">
        <f>IF(UPPER(L101)="X",0,IF((LEN(SUBSTITUTE(SUBSTITUTE(SUBSTITUTE(M101," ",""),"0",""),"-",""))+LEN(SUBSTITUTE(SUBSTITUTE(SUBSTITUTE(N101," ",""),"0",""),"-","")))&gt;(LEN(SUBSTITUTE(SUBSTITUTE(SUBSTITUTE(J101," ",""),"0",""),"-",""))+LEN(SUBSTITUTE(SUBSTITUTE(SUBSTITUTE(K101," ",""),"0",""),"-",""))),1,0))+IF(UPPER(L102)="X",0,IF((LEN(SUBSTITUTE(SUBSTITUTE(SUBSTITUTE(M102," ",""),"0",""),"-",""))+LEN(SUBSTITUTE(SUBSTITUTE(SUBSTITUTE(N102," ",""),"0",""),"-","")))&gt;(LEN(SUBSTITUTE(SUBSTITUTE(SUBSTITUTE(J102," ",""),"0",""),"-",""))+LEN(SUBSTITUTE(SUBSTITUTE(SUBSTITUTE(K102," ",""),"0",""),"-",""))),1,0))+IF(UPPER(L103)="X",0,IF((LEN(SUBSTITUTE(SUBSTITUTE(SUBSTITUTE(M103," ",""),"0",""),"-",""))+LEN(SUBSTITUTE(SUBSTITUTE(SUBSTITUTE(N103," ",""),"0",""),"-","")))&gt;(LEN(SUBSTITUTE(SUBSTITUTE(SUBSTITUTE(J103," ",""),"0",""),"-",""))+LEN(SUBSTITUTE(SUBSTITUTE(SUBSTITUTE(K103," ",""),"0",""),"-",""))),1,0))+IF(UPPER(L104)="X",0,IF((LEN(SUBSTITUTE(SUBSTITUTE(SUBSTITUTE(M104," ",""),"0",""),"-",""))+LEN(SUBSTITUTE(SUBSTITUTE(SUBSTITUTE(N104," ",""),"0",""),"-","")))&gt;(LEN(SUBSTITUTE(SUBSTITUTE(SUBSTITUTE(J104," ",""),"0",""),"-",""))+LEN(SUBSTITUTE(SUBSTITUTE(SUBSTITUTE(K104," ",""),"0",""),"-",""))),1,0))+IF(UPPER(L105)="X",0,IF((LEN(SUBSTITUTE(SUBSTITUTE(SUBSTITUTE(M105," ",""),"0",""),"-",""))+LEN(SUBSTITUTE(SUBSTITUTE(SUBSTITUTE(N105," ",""),"0",""),"-","")))&gt;(LEN(SUBSTITUTE(SUBSTITUTE(SUBSTITUTE(J105," ",""),"0",""),"-",""))+LEN(SUBSTITUTE(SUBSTITUTE(SUBSTITUTE(K105," ",""),"0",""),"-",""))),1,0))</f>
      </c>
      <c r="O108" s="14" t="s">
        <v>349</v>
      </c>
    </row>
    <row r="111">
      <c r="F111" t="s">
        <v>345</v>
      </c>
      <c r="G111" s="19"/>
      <c r="N111" t="s">
        <v>345</v>
      </c>
      <c r="O111" s="19"/>
    </row>
    <row r="112">
      <c r="F112" t="s">
        <v>346</v>
      </c>
      <c r="G112" s="19"/>
      <c r="N112" t="s">
        <v>346</v>
      </c>
      <c r="O112" s="19"/>
    </row>
    <row r="114">
      <c r="A114" s="13" t="s">
        <v>363</v>
      </c>
      <c r="B114" s="13"/>
      <c r="C114" s="13"/>
      <c r="D114" s="13"/>
      <c r="E114" s="13"/>
      <c r="F114" s="13"/>
      <c r="G114" s="13"/>
      <c r="I114" s="13" t="s">
        <v>364</v>
      </c>
      <c r="J114" s="13"/>
      <c r="K114" s="13"/>
      <c r="L114" s="13"/>
      <c r="M114" s="13"/>
      <c r="N114" s="13"/>
      <c r="O114" s="13"/>
    </row>
    <row r="115">
      <c r="A115" s="17" t="s">
        <v>331</v>
      </c>
      <c r="D115" s="14" t="s">
        <v>332</v>
      </c>
      <c r="G115" s="16" t="s">
        <v>333</v>
      </c>
      <c r="I115" s="17" t="s">
        <v>331</v>
      </c>
      <c r="L115" s="14" t="s">
        <v>332</v>
      </c>
      <c r="O115" s="16" t="s">
        <v>333</v>
      </c>
    </row>
    <row r="116">
      <c r="A116" s="14" t="str">
        <f>CONCATENATE("Pool X-2nd ",'Pool Matches'!O342)</f>
      </c>
      <c r="B116" s="14"/>
      <c r="C116" s="14"/>
      <c r="D116" s="18"/>
      <c r="E116" s="14"/>
      <c r="F116" s="14"/>
      <c r="G116" s="14" t="str">
        <f>CONCATENATE("Pool H-1st ",'Pool Matches'!G341)</f>
      </c>
      <c r="I116" s="14" t="str">
        <f>CONCATENATE("Pool H-2nd ",'Pool Matches'!G342)</f>
      </c>
      <c r="J116" s="14"/>
      <c r="K116" s="14"/>
      <c r="L116" s="18"/>
      <c r="M116" s="14"/>
      <c r="N116" s="14"/>
      <c r="O116" s="14" t="str">
        <f>CONCATENATE("Pool X-1st ",'Pool Matches'!O341)</f>
      </c>
    </row>
    <row r="117">
      <c r="A117" s="14">
        <v>1</v>
      </c>
      <c r="B117" s="18"/>
      <c r="C117" s="18"/>
      <c r="D117" s="18"/>
      <c r="E117" s="18"/>
      <c r="F117" s="18"/>
      <c r="G117" s="14">
        <v>1</v>
      </c>
      <c r="I117" s="14">
        <v>1</v>
      </c>
      <c r="J117" s="18"/>
      <c r="K117" s="18"/>
      <c r="L117" s="18"/>
      <c r="M117" s="18"/>
      <c r="N117" s="18"/>
      <c r="O117" s="14">
        <v>1</v>
      </c>
    </row>
    <row r="118">
      <c r="A118" s="14">
        <v>2</v>
      </c>
      <c r="B118" s="18"/>
      <c r="C118" s="18"/>
      <c r="D118" s="18"/>
      <c r="E118" s="18"/>
      <c r="F118" s="18"/>
      <c r="G118" s="14">
        <v>2</v>
      </c>
      <c r="I118" s="14">
        <v>2</v>
      </c>
      <c r="J118" s="18"/>
      <c r="K118" s="18"/>
      <c r="L118" s="18"/>
      <c r="M118" s="18"/>
      <c r="N118" s="18"/>
      <c r="O118" s="14">
        <v>2</v>
      </c>
    </row>
    <row r="119">
      <c r="A119" s="14">
        <v>3</v>
      </c>
      <c r="B119" s="18"/>
      <c r="C119" s="18"/>
      <c r="D119" s="18"/>
      <c r="E119" s="18"/>
      <c r="F119" s="18"/>
      <c r="G119" s="14">
        <v>3</v>
      </c>
      <c r="I119" s="14">
        <v>3</v>
      </c>
      <c r="J119" s="18"/>
      <c r="K119" s="18"/>
      <c r="L119" s="18"/>
      <c r="M119" s="18"/>
      <c r="N119" s="18"/>
      <c r="O119" s="14">
        <v>3</v>
      </c>
    </row>
    <row r="120">
      <c r="A120" s="14">
        <v>4</v>
      </c>
      <c r="B120" s="18"/>
      <c r="C120" s="18"/>
      <c r="D120" s="18"/>
      <c r="E120" s="18"/>
      <c r="F120" s="18"/>
      <c r="G120" s="14">
        <v>4</v>
      </c>
      <c r="I120" s="14">
        <v>4</v>
      </c>
      <c r="J120" s="18"/>
      <c r="K120" s="18"/>
      <c r="L120" s="18"/>
      <c r="M120" s="18"/>
      <c r="N120" s="18"/>
      <c r="O120" s="14">
        <v>4</v>
      </c>
    </row>
    <row r="121">
      <c r="A121" s="14">
        <v>5</v>
      </c>
      <c r="B121" s="18"/>
      <c r="C121" s="18"/>
      <c r="D121" s="18"/>
      <c r="E121" s="18"/>
      <c r="F121" s="18"/>
      <c r="G121" s="14">
        <v>5</v>
      </c>
      <c r="I121" s="14">
        <v>5</v>
      </c>
      <c r="J121" s="18"/>
      <c r="K121" s="18"/>
      <c r="L121" s="18"/>
      <c r="M121" s="18"/>
      <c r="N121" s="18"/>
      <c r="O121" s="14">
        <v>5</v>
      </c>
    </row>
    <row r="123">
      <c r="A123" s="14" t="str">
        <f>CONCATENATE("Pool X-2nd ",'Pool Matches'!O342)</f>
      </c>
      <c r="B123" s="14" t="s">
        <v>339</v>
      </c>
      <c r="C123" s="14" t="s">
        <v>342</v>
      </c>
      <c r="D123" s="14"/>
      <c r="E123" s="14" t="s">
        <v>342</v>
      </c>
      <c r="F123" s="14" t="s">
        <v>339</v>
      </c>
      <c r="G123" s="14" t="str">
        <f>CONCATENATE("Pool H-1st ",'Pool Matches'!G341)</f>
      </c>
      <c r="I123" s="14" t="str">
        <f>CONCATENATE("Pool H-2nd ",'Pool Matches'!G342)</f>
      </c>
      <c r="J123" s="14" t="s">
        <v>339</v>
      </c>
      <c r="K123" s="14" t="s">
        <v>342</v>
      </c>
      <c r="L123" s="14"/>
      <c r="M123" s="14" t="s">
        <v>342</v>
      </c>
      <c r="N123" s="14" t="s">
        <v>339</v>
      </c>
      <c r="O123" s="14" t="str">
        <f>CONCATENATE("Pool X-1st ",'Pool Matches'!O341)</f>
      </c>
    </row>
    <row r="124">
      <c r="A124" s="14" t="s">
        <v>349</v>
      </c>
      <c r="B124" s="14" t="str">
        <f>IF(UPPER(D117)="X",0,IF((LEN(SUBSTITUTE(SUBSTITUTE(SUBSTITUTE(B117," ",""),"0",""),"-",""))+LEN(SUBSTITUTE(SUBSTITUTE(SUBSTITUTE(C117," ",""),"0",""),"-","")))&gt;(LEN(SUBSTITUTE(SUBSTITUTE(SUBSTITUTE(E117," ",""),"0",""),"-",""))+LEN(SUBSTITUTE(SUBSTITUTE(SUBSTITUTE(F117," ",""),"0",""),"-",""))),1,0))+IF(UPPER(D118)="X",0,IF((LEN(SUBSTITUTE(SUBSTITUTE(SUBSTITUTE(B118," ",""),"0",""),"-",""))+LEN(SUBSTITUTE(SUBSTITUTE(SUBSTITUTE(C118," ",""),"0",""),"-","")))&gt;(LEN(SUBSTITUTE(SUBSTITUTE(SUBSTITUTE(E118," ",""),"0",""),"-",""))+LEN(SUBSTITUTE(SUBSTITUTE(SUBSTITUTE(F118," ",""),"0",""),"-",""))),1,0))+IF(UPPER(D119)="X",0,IF((LEN(SUBSTITUTE(SUBSTITUTE(SUBSTITUTE(B119," ",""),"0",""),"-",""))+LEN(SUBSTITUTE(SUBSTITUTE(SUBSTITUTE(C119," ",""),"0",""),"-","")))&gt;(LEN(SUBSTITUTE(SUBSTITUTE(SUBSTITUTE(E119," ",""),"0",""),"-",""))+LEN(SUBSTITUTE(SUBSTITUTE(SUBSTITUTE(F119," ",""),"0",""),"-",""))),1,0))+IF(UPPER(D120)="X",0,IF((LEN(SUBSTITUTE(SUBSTITUTE(SUBSTITUTE(B120," ",""),"0",""),"-",""))+LEN(SUBSTITUTE(SUBSTITUTE(SUBSTITUTE(C120," ",""),"0",""),"-","")))&gt;(LEN(SUBSTITUTE(SUBSTITUTE(SUBSTITUTE(E120," ",""),"0",""),"-",""))+LEN(SUBSTITUTE(SUBSTITUTE(SUBSTITUTE(F120," ",""),"0",""),"-",""))),1,0))+IF(UPPER(D121)="X",0,IF((LEN(SUBSTITUTE(SUBSTITUTE(SUBSTITUTE(B121," ",""),"0",""),"-",""))+LEN(SUBSTITUTE(SUBSTITUTE(SUBSTITUTE(C121," ",""),"0",""),"-","")))&gt;(LEN(SUBSTITUTE(SUBSTITUTE(SUBSTITUTE(E121," ",""),"0",""),"-",""))+LEN(SUBSTITUTE(SUBSTITUTE(SUBSTITUTE(F121," ",""),"0",""),"-",""))),1,0))</f>
      </c>
      <c r="C124" s="14" t="str">
        <f>LEN(SUBSTITUTE(SUBSTITUTE(SUBSTITUTE(B117," ",""),"0",""),"-",""))+LEN(SUBSTITUTE(SUBSTITUTE(SUBSTITUTE(C117," ",""),"0",""),"-",""))+LEN(SUBSTITUTE(SUBSTITUTE(SUBSTITUTE(B118," ",""),"0",""),"-",""))+LEN(SUBSTITUTE(SUBSTITUTE(SUBSTITUTE(C118," ",""),"0",""),"-",""))+LEN(SUBSTITUTE(SUBSTITUTE(SUBSTITUTE(B119," ",""),"0",""),"-",""))+LEN(SUBSTITUTE(SUBSTITUTE(SUBSTITUTE(C119," ",""),"0",""),"-",""))+LEN(SUBSTITUTE(SUBSTITUTE(SUBSTITUTE(B120," ",""),"0",""),"-",""))+LEN(SUBSTITUTE(SUBSTITUTE(SUBSTITUTE(C120," ",""),"0",""),"-",""))+LEN(SUBSTITUTE(SUBSTITUTE(SUBSTITUTE(B121," ",""),"0",""),"-",""))+LEN(SUBSTITUTE(SUBSTITUTE(SUBSTITUTE(C121," ",""),"0",""),"-",""))</f>
      </c>
      <c r="D124" s="14"/>
      <c r="E124" s="14" t="str">
        <f>LEN(SUBSTITUTE(SUBSTITUTE(SUBSTITUTE(E117," ",""),"0",""),"-",""))+LEN(SUBSTITUTE(SUBSTITUTE(SUBSTITUTE(F117," ",""),"0",""),"-",""))+LEN(SUBSTITUTE(SUBSTITUTE(SUBSTITUTE(E118," ",""),"0",""),"-",""))+LEN(SUBSTITUTE(SUBSTITUTE(SUBSTITUTE(F118," ",""),"0",""),"-",""))+LEN(SUBSTITUTE(SUBSTITUTE(SUBSTITUTE(E119," ",""),"0",""),"-",""))+LEN(SUBSTITUTE(SUBSTITUTE(SUBSTITUTE(F119," ",""),"0",""),"-",""))+LEN(SUBSTITUTE(SUBSTITUTE(SUBSTITUTE(E120," ",""),"0",""),"-",""))+LEN(SUBSTITUTE(SUBSTITUTE(SUBSTITUTE(F120," ",""),"0",""),"-",""))+LEN(SUBSTITUTE(SUBSTITUTE(SUBSTITUTE(E121," ",""),"0",""),"-",""))+LEN(SUBSTITUTE(SUBSTITUTE(SUBSTITUTE(F121," ",""),"0",""),"-",""))</f>
      </c>
      <c r="F124" s="14" t="str">
        <f>IF(UPPER(D117)="X",0,IF((LEN(SUBSTITUTE(SUBSTITUTE(SUBSTITUTE(E117," ",""),"0",""),"-",""))+LEN(SUBSTITUTE(SUBSTITUTE(SUBSTITUTE(F117," ",""),"0",""),"-","")))&gt;(LEN(SUBSTITUTE(SUBSTITUTE(SUBSTITUTE(B117," ",""),"0",""),"-",""))+LEN(SUBSTITUTE(SUBSTITUTE(SUBSTITUTE(C117," ",""),"0",""),"-",""))),1,0))+IF(UPPER(D118)="X",0,IF((LEN(SUBSTITUTE(SUBSTITUTE(SUBSTITUTE(E118," ",""),"0",""),"-",""))+LEN(SUBSTITUTE(SUBSTITUTE(SUBSTITUTE(F118," ",""),"0",""),"-","")))&gt;(LEN(SUBSTITUTE(SUBSTITUTE(SUBSTITUTE(B118," ",""),"0",""),"-",""))+LEN(SUBSTITUTE(SUBSTITUTE(SUBSTITUTE(C118," ",""),"0",""),"-",""))),1,0))+IF(UPPER(D119)="X",0,IF((LEN(SUBSTITUTE(SUBSTITUTE(SUBSTITUTE(E119," ",""),"0",""),"-",""))+LEN(SUBSTITUTE(SUBSTITUTE(SUBSTITUTE(F119," ",""),"0",""),"-","")))&gt;(LEN(SUBSTITUTE(SUBSTITUTE(SUBSTITUTE(B119," ",""),"0",""),"-",""))+LEN(SUBSTITUTE(SUBSTITUTE(SUBSTITUTE(C119," ",""),"0",""),"-",""))),1,0))+IF(UPPER(D120)="X",0,IF((LEN(SUBSTITUTE(SUBSTITUTE(SUBSTITUTE(E120," ",""),"0",""),"-",""))+LEN(SUBSTITUTE(SUBSTITUTE(SUBSTITUTE(F120," ",""),"0",""),"-","")))&gt;(LEN(SUBSTITUTE(SUBSTITUTE(SUBSTITUTE(B120," ",""),"0",""),"-",""))+LEN(SUBSTITUTE(SUBSTITUTE(SUBSTITUTE(C120," ",""),"0",""),"-",""))),1,0))+IF(UPPER(D121)="X",0,IF((LEN(SUBSTITUTE(SUBSTITUTE(SUBSTITUTE(E121," ",""),"0",""),"-",""))+LEN(SUBSTITUTE(SUBSTITUTE(SUBSTITUTE(F121," ",""),"0",""),"-","")))&gt;(LEN(SUBSTITUTE(SUBSTITUTE(SUBSTITUTE(B121," ",""),"0",""),"-",""))+LEN(SUBSTITUTE(SUBSTITUTE(SUBSTITUTE(C121," ",""),"0",""),"-",""))),1,0))</f>
      </c>
      <c r="G124" s="14" t="s">
        <v>349</v>
      </c>
      <c r="I124" s="14" t="s">
        <v>349</v>
      </c>
      <c r="J124" s="14" t="str">
        <f>IF(UPPER(L117)="X",0,IF((LEN(SUBSTITUTE(SUBSTITUTE(SUBSTITUTE(J117," ",""),"0",""),"-",""))+LEN(SUBSTITUTE(SUBSTITUTE(SUBSTITUTE(K117," ",""),"0",""),"-","")))&gt;(LEN(SUBSTITUTE(SUBSTITUTE(SUBSTITUTE(M117," ",""),"0",""),"-",""))+LEN(SUBSTITUTE(SUBSTITUTE(SUBSTITUTE(N117," ",""),"0",""),"-",""))),1,0))+IF(UPPER(L118)="X",0,IF((LEN(SUBSTITUTE(SUBSTITUTE(SUBSTITUTE(J118," ",""),"0",""),"-",""))+LEN(SUBSTITUTE(SUBSTITUTE(SUBSTITUTE(K118," ",""),"0",""),"-","")))&gt;(LEN(SUBSTITUTE(SUBSTITUTE(SUBSTITUTE(M118," ",""),"0",""),"-",""))+LEN(SUBSTITUTE(SUBSTITUTE(SUBSTITUTE(N118," ",""),"0",""),"-",""))),1,0))+IF(UPPER(L119)="X",0,IF((LEN(SUBSTITUTE(SUBSTITUTE(SUBSTITUTE(J119," ",""),"0",""),"-",""))+LEN(SUBSTITUTE(SUBSTITUTE(SUBSTITUTE(K119," ",""),"0",""),"-","")))&gt;(LEN(SUBSTITUTE(SUBSTITUTE(SUBSTITUTE(M119," ",""),"0",""),"-",""))+LEN(SUBSTITUTE(SUBSTITUTE(SUBSTITUTE(N119," ",""),"0",""),"-",""))),1,0))+IF(UPPER(L120)="X",0,IF((LEN(SUBSTITUTE(SUBSTITUTE(SUBSTITUTE(J120," ",""),"0",""),"-",""))+LEN(SUBSTITUTE(SUBSTITUTE(SUBSTITUTE(K120," ",""),"0",""),"-","")))&gt;(LEN(SUBSTITUTE(SUBSTITUTE(SUBSTITUTE(M120," ",""),"0",""),"-",""))+LEN(SUBSTITUTE(SUBSTITUTE(SUBSTITUTE(N120," ",""),"0",""),"-",""))),1,0))+IF(UPPER(L121)="X",0,IF((LEN(SUBSTITUTE(SUBSTITUTE(SUBSTITUTE(J121," ",""),"0",""),"-",""))+LEN(SUBSTITUTE(SUBSTITUTE(SUBSTITUTE(K121," ",""),"0",""),"-","")))&gt;(LEN(SUBSTITUTE(SUBSTITUTE(SUBSTITUTE(M121," ",""),"0",""),"-",""))+LEN(SUBSTITUTE(SUBSTITUTE(SUBSTITUTE(N121," ",""),"0",""),"-",""))),1,0))</f>
      </c>
      <c r="K124" s="14" t="str">
        <f>LEN(SUBSTITUTE(SUBSTITUTE(SUBSTITUTE(J117," ",""),"0",""),"-",""))+LEN(SUBSTITUTE(SUBSTITUTE(SUBSTITUTE(K117," ",""),"0",""),"-",""))+LEN(SUBSTITUTE(SUBSTITUTE(SUBSTITUTE(J118," ",""),"0",""),"-",""))+LEN(SUBSTITUTE(SUBSTITUTE(SUBSTITUTE(K118," ",""),"0",""),"-",""))+LEN(SUBSTITUTE(SUBSTITUTE(SUBSTITUTE(J119," ",""),"0",""),"-",""))+LEN(SUBSTITUTE(SUBSTITUTE(SUBSTITUTE(K119," ",""),"0",""),"-",""))+LEN(SUBSTITUTE(SUBSTITUTE(SUBSTITUTE(J120," ",""),"0",""),"-",""))+LEN(SUBSTITUTE(SUBSTITUTE(SUBSTITUTE(K120," ",""),"0",""),"-",""))+LEN(SUBSTITUTE(SUBSTITUTE(SUBSTITUTE(J121," ",""),"0",""),"-",""))+LEN(SUBSTITUTE(SUBSTITUTE(SUBSTITUTE(K121," ",""),"0",""),"-",""))</f>
      </c>
      <c r="L124" s="14"/>
      <c r="M124" s="14" t="str">
        <f>LEN(SUBSTITUTE(SUBSTITUTE(SUBSTITUTE(M117," ",""),"0",""),"-",""))+LEN(SUBSTITUTE(SUBSTITUTE(SUBSTITUTE(N117," ",""),"0",""),"-",""))+LEN(SUBSTITUTE(SUBSTITUTE(SUBSTITUTE(M118," ",""),"0",""),"-",""))+LEN(SUBSTITUTE(SUBSTITUTE(SUBSTITUTE(N118," ",""),"0",""),"-",""))+LEN(SUBSTITUTE(SUBSTITUTE(SUBSTITUTE(M119," ",""),"0",""),"-",""))+LEN(SUBSTITUTE(SUBSTITUTE(SUBSTITUTE(N119," ",""),"0",""),"-",""))+LEN(SUBSTITUTE(SUBSTITUTE(SUBSTITUTE(M120," ",""),"0",""),"-",""))+LEN(SUBSTITUTE(SUBSTITUTE(SUBSTITUTE(N120," ",""),"0",""),"-",""))+LEN(SUBSTITUTE(SUBSTITUTE(SUBSTITUTE(M121," ",""),"0",""),"-",""))+LEN(SUBSTITUTE(SUBSTITUTE(SUBSTITUTE(N121," ",""),"0",""),"-",""))</f>
      </c>
      <c r="N124" s="14" t="str">
        <f>IF(UPPER(L117)="X",0,IF((LEN(SUBSTITUTE(SUBSTITUTE(SUBSTITUTE(M117," ",""),"0",""),"-",""))+LEN(SUBSTITUTE(SUBSTITUTE(SUBSTITUTE(N117," ",""),"0",""),"-","")))&gt;(LEN(SUBSTITUTE(SUBSTITUTE(SUBSTITUTE(J117," ",""),"0",""),"-",""))+LEN(SUBSTITUTE(SUBSTITUTE(SUBSTITUTE(K117," ",""),"0",""),"-",""))),1,0))+IF(UPPER(L118)="X",0,IF((LEN(SUBSTITUTE(SUBSTITUTE(SUBSTITUTE(M118," ",""),"0",""),"-",""))+LEN(SUBSTITUTE(SUBSTITUTE(SUBSTITUTE(N118," ",""),"0",""),"-","")))&gt;(LEN(SUBSTITUTE(SUBSTITUTE(SUBSTITUTE(J118," ",""),"0",""),"-",""))+LEN(SUBSTITUTE(SUBSTITUTE(SUBSTITUTE(K118," ",""),"0",""),"-",""))),1,0))+IF(UPPER(L119)="X",0,IF((LEN(SUBSTITUTE(SUBSTITUTE(SUBSTITUTE(M119," ",""),"0",""),"-",""))+LEN(SUBSTITUTE(SUBSTITUTE(SUBSTITUTE(N119," ",""),"0",""),"-","")))&gt;(LEN(SUBSTITUTE(SUBSTITUTE(SUBSTITUTE(J119," ",""),"0",""),"-",""))+LEN(SUBSTITUTE(SUBSTITUTE(SUBSTITUTE(K119," ",""),"0",""),"-",""))),1,0))+IF(UPPER(L120)="X",0,IF((LEN(SUBSTITUTE(SUBSTITUTE(SUBSTITUTE(M120," ",""),"0",""),"-",""))+LEN(SUBSTITUTE(SUBSTITUTE(SUBSTITUTE(N120," ",""),"0",""),"-","")))&gt;(LEN(SUBSTITUTE(SUBSTITUTE(SUBSTITUTE(J120," ",""),"0",""),"-",""))+LEN(SUBSTITUTE(SUBSTITUTE(SUBSTITUTE(K120," ",""),"0",""),"-",""))),1,0))+IF(UPPER(L121)="X",0,IF((LEN(SUBSTITUTE(SUBSTITUTE(SUBSTITUTE(M121," ",""),"0",""),"-",""))+LEN(SUBSTITUTE(SUBSTITUTE(SUBSTITUTE(N121," ",""),"0",""),"-","")))&gt;(LEN(SUBSTITUTE(SUBSTITUTE(SUBSTITUTE(J121," ",""),"0",""),"-",""))+LEN(SUBSTITUTE(SUBSTITUTE(SUBSTITUTE(K121," ",""),"0",""),"-",""))),1,0))</f>
      </c>
      <c r="O124" s="14" t="s">
        <v>349</v>
      </c>
    </row>
    <row r="127">
      <c r="F127" t="s">
        <v>345</v>
      </c>
      <c r="G127" s="19"/>
      <c r="N127" t="s">
        <v>345</v>
      </c>
      <c r="O127" s="19"/>
    </row>
    <row r="128">
      <c r="F128" t="s">
        <v>346</v>
      </c>
      <c r="G128" s="19"/>
      <c r="N128" t="s">
        <v>346</v>
      </c>
      <c r="O128" s="19"/>
    </row>
    <row r="130">
      <c r="A130" s="13" t="s">
        <v>365</v>
      </c>
      <c r="B130" s="13"/>
      <c r="C130" s="13"/>
      <c r="D130" s="13"/>
      <c r="E130" s="13"/>
      <c r="F130" s="13"/>
      <c r="G130" s="13"/>
      <c r="I130" s="13" t="s">
        <v>366</v>
      </c>
      <c r="J130" s="13"/>
      <c r="K130" s="13"/>
      <c r="L130" s="13"/>
      <c r="M130" s="13"/>
      <c r="N130" s="13"/>
      <c r="O130" s="13"/>
    </row>
    <row r="131">
      <c r="A131" s="17" t="s">
        <v>331</v>
      </c>
      <c r="D131" s="14" t="s">
        <v>332</v>
      </c>
      <c r="G131" s="16" t="s">
        <v>333</v>
      </c>
      <c r="I131" s="17" t="s">
        <v>331</v>
      </c>
      <c r="L131" s="14" t="s">
        <v>332</v>
      </c>
      <c r="O131" s="16" t="s">
        <v>333</v>
      </c>
    </row>
    <row r="132">
      <c r="A132" s="14" t="str">
        <f>CONCATENATE("Pool Y-2nd ",'Pool Matches'!O385)</f>
      </c>
      <c r="B132" s="14"/>
      <c r="C132" s="14"/>
      <c r="D132" s="18"/>
      <c r="E132" s="14"/>
      <c r="F132" s="14"/>
      <c r="G132" s="14" t="str">
        <f>CONCATENATE("Pool J-1st ",'Pool Matches'!G427)</f>
      </c>
      <c r="I132" s="14" t="str">
        <f>CONCATENATE("Pool I-2nd ",'Pool Matches'!G385)</f>
      </c>
      <c r="J132" s="14"/>
      <c r="K132" s="14"/>
      <c r="L132" s="18"/>
      <c r="M132" s="14"/>
      <c r="N132" s="14"/>
      <c r="O132" s="14" t="str">
        <f>CONCATENATE("Pool Z-1st ",'Pool Matches'!O427)</f>
      </c>
    </row>
    <row r="133">
      <c r="A133" s="14">
        <v>1</v>
      </c>
      <c r="B133" s="18"/>
      <c r="C133" s="18"/>
      <c r="D133" s="18"/>
      <c r="E133" s="18"/>
      <c r="F133" s="18"/>
      <c r="G133" s="14">
        <v>1</v>
      </c>
      <c r="I133" s="14">
        <v>1</v>
      </c>
      <c r="J133" s="18"/>
      <c r="K133" s="18"/>
      <c r="L133" s="18"/>
      <c r="M133" s="18"/>
      <c r="N133" s="18"/>
      <c r="O133" s="14">
        <v>1</v>
      </c>
    </row>
    <row r="134">
      <c r="A134" s="14">
        <v>2</v>
      </c>
      <c r="B134" s="18"/>
      <c r="C134" s="18"/>
      <c r="D134" s="18"/>
      <c r="E134" s="18"/>
      <c r="F134" s="18"/>
      <c r="G134" s="14">
        <v>2</v>
      </c>
      <c r="I134" s="14">
        <v>2</v>
      </c>
      <c r="J134" s="18"/>
      <c r="K134" s="18"/>
      <c r="L134" s="18"/>
      <c r="M134" s="18"/>
      <c r="N134" s="18"/>
      <c r="O134" s="14">
        <v>2</v>
      </c>
    </row>
    <row r="135">
      <c r="A135" s="14">
        <v>3</v>
      </c>
      <c r="B135" s="18"/>
      <c r="C135" s="18"/>
      <c r="D135" s="18"/>
      <c r="E135" s="18"/>
      <c r="F135" s="18"/>
      <c r="G135" s="14">
        <v>3</v>
      </c>
      <c r="I135" s="14">
        <v>3</v>
      </c>
      <c r="J135" s="18"/>
      <c r="K135" s="18"/>
      <c r="L135" s="18"/>
      <c r="M135" s="18"/>
      <c r="N135" s="18"/>
      <c r="O135" s="14">
        <v>3</v>
      </c>
    </row>
    <row r="136">
      <c r="A136" s="14">
        <v>4</v>
      </c>
      <c r="B136" s="18"/>
      <c r="C136" s="18"/>
      <c r="D136" s="18"/>
      <c r="E136" s="18"/>
      <c r="F136" s="18"/>
      <c r="G136" s="14">
        <v>4</v>
      </c>
      <c r="I136" s="14">
        <v>4</v>
      </c>
      <c r="J136" s="18"/>
      <c r="K136" s="18"/>
      <c r="L136" s="18"/>
      <c r="M136" s="18"/>
      <c r="N136" s="18"/>
      <c r="O136" s="14">
        <v>4</v>
      </c>
    </row>
    <row r="137">
      <c r="A137" s="14">
        <v>5</v>
      </c>
      <c r="B137" s="18"/>
      <c r="C137" s="18"/>
      <c r="D137" s="18"/>
      <c r="E137" s="18"/>
      <c r="F137" s="18"/>
      <c r="G137" s="14">
        <v>5</v>
      </c>
      <c r="I137" s="14">
        <v>5</v>
      </c>
      <c r="J137" s="18"/>
      <c r="K137" s="18"/>
      <c r="L137" s="18"/>
      <c r="M137" s="18"/>
      <c r="N137" s="18"/>
      <c r="O137" s="14">
        <v>5</v>
      </c>
    </row>
    <row r="139">
      <c r="A139" s="14" t="str">
        <f>CONCATENATE("Pool Y-2nd ",'Pool Matches'!O385)</f>
      </c>
      <c r="B139" s="14" t="s">
        <v>339</v>
      </c>
      <c r="C139" s="14" t="s">
        <v>342</v>
      </c>
      <c r="D139" s="14"/>
      <c r="E139" s="14" t="s">
        <v>342</v>
      </c>
      <c r="F139" s="14" t="s">
        <v>339</v>
      </c>
      <c r="G139" s="14" t="str">
        <f>CONCATENATE("Pool J-1st ",'Pool Matches'!G427)</f>
      </c>
      <c r="I139" s="14" t="str">
        <f>CONCATENATE("Pool I-2nd ",'Pool Matches'!G385)</f>
      </c>
      <c r="J139" s="14" t="s">
        <v>339</v>
      </c>
      <c r="K139" s="14" t="s">
        <v>342</v>
      </c>
      <c r="L139" s="14"/>
      <c r="M139" s="14" t="s">
        <v>342</v>
      </c>
      <c r="N139" s="14" t="s">
        <v>339</v>
      </c>
      <c r="O139" s="14" t="str">
        <f>CONCATENATE("Pool Z-1st ",'Pool Matches'!O427)</f>
      </c>
    </row>
    <row r="140">
      <c r="A140" s="14" t="s">
        <v>349</v>
      </c>
      <c r="B140" s="14" t="str">
        <f>IF(UPPER(D133)="X",0,IF((LEN(SUBSTITUTE(SUBSTITUTE(SUBSTITUTE(B133," ",""),"0",""),"-",""))+LEN(SUBSTITUTE(SUBSTITUTE(SUBSTITUTE(C133," ",""),"0",""),"-","")))&gt;(LEN(SUBSTITUTE(SUBSTITUTE(SUBSTITUTE(E133," ",""),"0",""),"-",""))+LEN(SUBSTITUTE(SUBSTITUTE(SUBSTITUTE(F133," ",""),"0",""),"-",""))),1,0))+IF(UPPER(D134)="X",0,IF((LEN(SUBSTITUTE(SUBSTITUTE(SUBSTITUTE(B134," ",""),"0",""),"-",""))+LEN(SUBSTITUTE(SUBSTITUTE(SUBSTITUTE(C134," ",""),"0",""),"-","")))&gt;(LEN(SUBSTITUTE(SUBSTITUTE(SUBSTITUTE(E134," ",""),"0",""),"-",""))+LEN(SUBSTITUTE(SUBSTITUTE(SUBSTITUTE(F134," ",""),"0",""),"-",""))),1,0))+IF(UPPER(D135)="X",0,IF((LEN(SUBSTITUTE(SUBSTITUTE(SUBSTITUTE(B135," ",""),"0",""),"-",""))+LEN(SUBSTITUTE(SUBSTITUTE(SUBSTITUTE(C135," ",""),"0",""),"-","")))&gt;(LEN(SUBSTITUTE(SUBSTITUTE(SUBSTITUTE(E135," ",""),"0",""),"-",""))+LEN(SUBSTITUTE(SUBSTITUTE(SUBSTITUTE(F135," ",""),"0",""),"-",""))),1,0))+IF(UPPER(D136)="X",0,IF((LEN(SUBSTITUTE(SUBSTITUTE(SUBSTITUTE(B136," ",""),"0",""),"-",""))+LEN(SUBSTITUTE(SUBSTITUTE(SUBSTITUTE(C136," ",""),"0",""),"-","")))&gt;(LEN(SUBSTITUTE(SUBSTITUTE(SUBSTITUTE(E136," ",""),"0",""),"-",""))+LEN(SUBSTITUTE(SUBSTITUTE(SUBSTITUTE(F136," ",""),"0",""),"-",""))),1,0))+IF(UPPER(D137)="X",0,IF((LEN(SUBSTITUTE(SUBSTITUTE(SUBSTITUTE(B137," ",""),"0",""),"-",""))+LEN(SUBSTITUTE(SUBSTITUTE(SUBSTITUTE(C137," ",""),"0",""),"-","")))&gt;(LEN(SUBSTITUTE(SUBSTITUTE(SUBSTITUTE(E137," ",""),"0",""),"-",""))+LEN(SUBSTITUTE(SUBSTITUTE(SUBSTITUTE(F137," ",""),"0",""),"-",""))),1,0))</f>
      </c>
      <c r="C140" s="14" t="str">
        <f>LEN(SUBSTITUTE(SUBSTITUTE(SUBSTITUTE(B133," ",""),"0",""),"-",""))+LEN(SUBSTITUTE(SUBSTITUTE(SUBSTITUTE(C133," ",""),"0",""),"-",""))+LEN(SUBSTITUTE(SUBSTITUTE(SUBSTITUTE(B134," ",""),"0",""),"-",""))+LEN(SUBSTITUTE(SUBSTITUTE(SUBSTITUTE(C134," ",""),"0",""),"-",""))+LEN(SUBSTITUTE(SUBSTITUTE(SUBSTITUTE(B135," ",""),"0",""),"-",""))+LEN(SUBSTITUTE(SUBSTITUTE(SUBSTITUTE(C135," ",""),"0",""),"-",""))+LEN(SUBSTITUTE(SUBSTITUTE(SUBSTITUTE(B136," ",""),"0",""),"-",""))+LEN(SUBSTITUTE(SUBSTITUTE(SUBSTITUTE(C136," ",""),"0",""),"-",""))+LEN(SUBSTITUTE(SUBSTITUTE(SUBSTITUTE(B137," ",""),"0",""),"-",""))+LEN(SUBSTITUTE(SUBSTITUTE(SUBSTITUTE(C137," ",""),"0",""),"-",""))</f>
      </c>
      <c r="D140" s="14"/>
      <c r="E140" s="14" t="str">
        <f>LEN(SUBSTITUTE(SUBSTITUTE(SUBSTITUTE(E133," ",""),"0",""),"-",""))+LEN(SUBSTITUTE(SUBSTITUTE(SUBSTITUTE(F133," ",""),"0",""),"-",""))+LEN(SUBSTITUTE(SUBSTITUTE(SUBSTITUTE(E134," ",""),"0",""),"-",""))+LEN(SUBSTITUTE(SUBSTITUTE(SUBSTITUTE(F134," ",""),"0",""),"-",""))+LEN(SUBSTITUTE(SUBSTITUTE(SUBSTITUTE(E135," ",""),"0",""),"-",""))+LEN(SUBSTITUTE(SUBSTITUTE(SUBSTITUTE(F135," ",""),"0",""),"-",""))+LEN(SUBSTITUTE(SUBSTITUTE(SUBSTITUTE(E136," ",""),"0",""),"-",""))+LEN(SUBSTITUTE(SUBSTITUTE(SUBSTITUTE(F136," ",""),"0",""),"-",""))+LEN(SUBSTITUTE(SUBSTITUTE(SUBSTITUTE(E137," ",""),"0",""),"-",""))+LEN(SUBSTITUTE(SUBSTITUTE(SUBSTITUTE(F137," ",""),"0",""),"-",""))</f>
      </c>
      <c r="F140" s="14" t="str">
        <f>IF(UPPER(D133)="X",0,IF((LEN(SUBSTITUTE(SUBSTITUTE(SUBSTITUTE(E133," ",""),"0",""),"-",""))+LEN(SUBSTITUTE(SUBSTITUTE(SUBSTITUTE(F133," ",""),"0",""),"-","")))&gt;(LEN(SUBSTITUTE(SUBSTITUTE(SUBSTITUTE(B133," ",""),"0",""),"-",""))+LEN(SUBSTITUTE(SUBSTITUTE(SUBSTITUTE(C133," ",""),"0",""),"-",""))),1,0))+IF(UPPER(D134)="X",0,IF((LEN(SUBSTITUTE(SUBSTITUTE(SUBSTITUTE(E134," ",""),"0",""),"-",""))+LEN(SUBSTITUTE(SUBSTITUTE(SUBSTITUTE(F134," ",""),"0",""),"-","")))&gt;(LEN(SUBSTITUTE(SUBSTITUTE(SUBSTITUTE(B134," ",""),"0",""),"-",""))+LEN(SUBSTITUTE(SUBSTITUTE(SUBSTITUTE(C134," ",""),"0",""),"-",""))),1,0))+IF(UPPER(D135)="X",0,IF((LEN(SUBSTITUTE(SUBSTITUTE(SUBSTITUTE(E135," ",""),"0",""),"-",""))+LEN(SUBSTITUTE(SUBSTITUTE(SUBSTITUTE(F135," ",""),"0",""),"-","")))&gt;(LEN(SUBSTITUTE(SUBSTITUTE(SUBSTITUTE(B135," ",""),"0",""),"-",""))+LEN(SUBSTITUTE(SUBSTITUTE(SUBSTITUTE(C135," ",""),"0",""),"-",""))),1,0))+IF(UPPER(D136)="X",0,IF((LEN(SUBSTITUTE(SUBSTITUTE(SUBSTITUTE(E136," ",""),"0",""),"-",""))+LEN(SUBSTITUTE(SUBSTITUTE(SUBSTITUTE(F136," ",""),"0",""),"-","")))&gt;(LEN(SUBSTITUTE(SUBSTITUTE(SUBSTITUTE(B136," ",""),"0",""),"-",""))+LEN(SUBSTITUTE(SUBSTITUTE(SUBSTITUTE(C136," ",""),"0",""),"-",""))),1,0))+IF(UPPER(D137)="X",0,IF((LEN(SUBSTITUTE(SUBSTITUTE(SUBSTITUTE(E137," ",""),"0",""),"-",""))+LEN(SUBSTITUTE(SUBSTITUTE(SUBSTITUTE(F137," ",""),"0",""),"-","")))&gt;(LEN(SUBSTITUTE(SUBSTITUTE(SUBSTITUTE(B137," ",""),"0",""),"-",""))+LEN(SUBSTITUTE(SUBSTITUTE(SUBSTITUTE(C137," ",""),"0",""),"-",""))),1,0))</f>
      </c>
      <c r="G140" s="14" t="s">
        <v>349</v>
      </c>
      <c r="I140" s="14" t="s">
        <v>349</v>
      </c>
      <c r="J140" s="14" t="str">
        <f>IF(UPPER(L133)="X",0,IF((LEN(SUBSTITUTE(SUBSTITUTE(SUBSTITUTE(J133," ",""),"0",""),"-",""))+LEN(SUBSTITUTE(SUBSTITUTE(SUBSTITUTE(K133," ",""),"0",""),"-","")))&gt;(LEN(SUBSTITUTE(SUBSTITUTE(SUBSTITUTE(M133," ",""),"0",""),"-",""))+LEN(SUBSTITUTE(SUBSTITUTE(SUBSTITUTE(N133," ",""),"0",""),"-",""))),1,0))+IF(UPPER(L134)="X",0,IF((LEN(SUBSTITUTE(SUBSTITUTE(SUBSTITUTE(J134," ",""),"0",""),"-",""))+LEN(SUBSTITUTE(SUBSTITUTE(SUBSTITUTE(K134," ",""),"0",""),"-","")))&gt;(LEN(SUBSTITUTE(SUBSTITUTE(SUBSTITUTE(M134," ",""),"0",""),"-",""))+LEN(SUBSTITUTE(SUBSTITUTE(SUBSTITUTE(N134," ",""),"0",""),"-",""))),1,0))+IF(UPPER(L135)="X",0,IF((LEN(SUBSTITUTE(SUBSTITUTE(SUBSTITUTE(J135," ",""),"0",""),"-",""))+LEN(SUBSTITUTE(SUBSTITUTE(SUBSTITUTE(K135," ",""),"0",""),"-","")))&gt;(LEN(SUBSTITUTE(SUBSTITUTE(SUBSTITUTE(M135," ",""),"0",""),"-",""))+LEN(SUBSTITUTE(SUBSTITUTE(SUBSTITUTE(N135," ",""),"0",""),"-",""))),1,0))+IF(UPPER(L136)="X",0,IF((LEN(SUBSTITUTE(SUBSTITUTE(SUBSTITUTE(J136," ",""),"0",""),"-",""))+LEN(SUBSTITUTE(SUBSTITUTE(SUBSTITUTE(K136," ",""),"0",""),"-","")))&gt;(LEN(SUBSTITUTE(SUBSTITUTE(SUBSTITUTE(M136," ",""),"0",""),"-",""))+LEN(SUBSTITUTE(SUBSTITUTE(SUBSTITUTE(N136," ",""),"0",""),"-",""))),1,0))+IF(UPPER(L137)="X",0,IF((LEN(SUBSTITUTE(SUBSTITUTE(SUBSTITUTE(J137," ",""),"0",""),"-",""))+LEN(SUBSTITUTE(SUBSTITUTE(SUBSTITUTE(K137," ",""),"0",""),"-","")))&gt;(LEN(SUBSTITUTE(SUBSTITUTE(SUBSTITUTE(M137," ",""),"0",""),"-",""))+LEN(SUBSTITUTE(SUBSTITUTE(SUBSTITUTE(N137," ",""),"0",""),"-",""))),1,0))</f>
      </c>
      <c r="K140" s="14" t="str">
        <f>LEN(SUBSTITUTE(SUBSTITUTE(SUBSTITUTE(J133," ",""),"0",""),"-",""))+LEN(SUBSTITUTE(SUBSTITUTE(SUBSTITUTE(K133," ",""),"0",""),"-",""))+LEN(SUBSTITUTE(SUBSTITUTE(SUBSTITUTE(J134," ",""),"0",""),"-",""))+LEN(SUBSTITUTE(SUBSTITUTE(SUBSTITUTE(K134," ",""),"0",""),"-",""))+LEN(SUBSTITUTE(SUBSTITUTE(SUBSTITUTE(J135," ",""),"0",""),"-",""))+LEN(SUBSTITUTE(SUBSTITUTE(SUBSTITUTE(K135," ",""),"0",""),"-",""))+LEN(SUBSTITUTE(SUBSTITUTE(SUBSTITUTE(J136," ",""),"0",""),"-",""))+LEN(SUBSTITUTE(SUBSTITUTE(SUBSTITUTE(K136," ",""),"0",""),"-",""))+LEN(SUBSTITUTE(SUBSTITUTE(SUBSTITUTE(J137," ",""),"0",""),"-",""))+LEN(SUBSTITUTE(SUBSTITUTE(SUBSTITUTE(K137," ",""),"0",""),"-",""))</f>
      </c>
      <c r="L140" s="14"/>
      <c r="M140" s="14" t="str">
        <f>LEN(SUBSTITUTE(SUBSTITUTE(SUBSTITUTE(M133," ",""),"0",""),"-",""))+LEN(SUBSTITUTE(SUBSTITUTE(SUBSTITUTE(N133," ",""),"0",""),"-",""))+LEN(SUBSTITUTE(SUBSTITUTE(SUBSTITUTE(M134," ",""),"0",""),"-",""))+LEN(SUBSTITUTE(SUBSTITUTE(SUBSTITUTE(N134," ",""),"0",""),"-",""))+LEN(SUBSTITUTE(SUBSTITUTE(SUBSTITUTE(M135," ",""),"0",""),"-",""))+LEN(SUBSTITUTE(SUBSTITUTE(SUBSTITUTE(N135," ",""),"0",""),"-",""))+LEN(SUBSTITUTE(SUBSTITUTE(SUBSTITUTE(M136," ",""),"0",""),"-",""))+LEN(SUBSTITUTE(SUBSTITUTE(SUBSTITUTE(N136," ",""),"0",""),"-",""))+LEN(SUBSTITUTE(SUBSTITUTE(SUBSTITUTE(M137," ",""),"0",""),"-",""))+LEN(SUBSTITUTE(SUBSTITUTE(SUBSTITUTE(N137," ",""),"0",""),"-",""))</f>
      </c>
      <c r="N140" s="14" t="str">
        <f>IF(UPPER(L133)="X",0,IF((LEN(SUBSTITUTE(SUBSTITUTE(SUBSTITUTE(M133," ",""),"0",""),"-",""))+LEN(SUBSTITUTE(SUBSTITUTE(SUBSTITUTE(N133," ",""),"0",""),"-","")))&gt;(LEN(SUBSTITUTE(SUBSTITUTE(SUBSTITUTE(J133," ",""),"0",""),"-",""))+LEN(SUBSTITUTE(SUBSTITUTE(SUBSTITUTE(K133," ",""),"0",""),"-",""))),1,0))+IF(UPPER(L134)="X",0,IF((LEN(SUBSTITUTE(SUBSTITUTE(SUBSTITUTE(M134," ",""),"0",""),"-",""))+LEN(SUBSTITUTE(SUBSTITUTE(SUBSTITUTE(N134," ",""),"0",""),"-","")))&gt;(LEN(SUBSTITUTE(SUBSTITUTE(SUBSTITUTE(J134," ",""),"0",""),"-",""))+LEN(SUBSTITUTE(SUBSTITUTE(SUBSTITUTE(K134," ",""),"0",""),"-",""))),1,0))+IF(UPPER(L135)="X",0,IF((LEN(SUBSTITUTE(SUBSTITUTE(SUBSTITUTE(M135," ",""),"0",""),"-",""))+LEN(SUBSTITUTE(SUBSTITUTE(SUBSTITUTE(N135," ",""),"0",""),"-","")))&gt;(LEN(SUBSTITUTE(SUBSTITUTE(SUBSTITUTE(J135," ",""),"0",""),"-",""))+LEN(SUBSTITUTE(SUBSTITUTE(SUBSTITUTE(K135," ",""),"0",""),"-",""))),1,0))+IF(UPPER(L136)="X",0,IF((LEN(SUBSTITUTE(SUBSTITUTE(SUBSTITUTE(M136," ",""),"0",""),"-",""))+LEN(SUBSTITUTE(SUBSTITUTE(SUBSTITUTE(N136," ",""),"0",""),"-","")))&gt;(LEN(SUBSTITUTE(SUBSTITUTE(SUBSTITUTE(J136," ",""),"0",""),"-",""))+LEN(SUBSTITUTE(SUBSTITUTE(SUBSTITUTE(K136," ",""),"0",""),"-",""))),1,0))+IF(UPPER(L137)="X",0,IF((LEN(SUBSTITUTE(SUBSTITUTE(SUBSTITUTE(M137," ",""),"0",""),"-",""))+LEN(SUBSTITUTE(SUBSTITUTE(SUBSTITUTE(N137," ",""),"0",""),"-","")))&gt;(LEN(SUBSTITUTE(SUBSTITUTE(SUBSTITUTE(J137," ",""),"0",""),"-",""))+LEN(SUBSTITUTE(SUBSTITUTE(SUBSTITUTE(K137," ",""),"0",""),"-",""))),1,0))</f>
      </c>
      <c r="O140" s="14" t="s">
        <v>349</v>
      </c>
    </row>
    <row r="143">
      <c r="F143" t="s">
        <v>345</v>
      </c>
      <c r="G143" s="19"/>
      <c r="N143" t="s">
        <v>345</v>
      </c>
      <c r="O143" s="19"/>
    </row>
    <row r="144">
      <c r="F144" t="s">
        <v>346</v>
      </c>
      <c r="G144" s="19"/>
      <c r="N144" t="s">
        <v>346</v>
      </c>
      <c r="O144" s="19"/>
    </row>
    <row r="146">
      <c r="A146" s="13" t="s">
        <v>367</v>
      </c>
      <c r="B146" s="13"/>
      <c r="C146" s="13"/>
      <c r="D146" s="13"/>
      <c r="E146" s="13"/>
      <c r="F146" s="13"/>
      <c r="G146" s="13"/>
      <c r="I146" s="13" t="s">
        <v>368</v>
      </c>
      <c r="J146" s="13"/>
      <c r="K146" s="13"/>
      <c r="L146" s="13"/>
      <c r="M146" s="13"/>
      <c r="N146" s="13"/>
      <c r="O146" s="13"/>
    </row>
    <row r="147">
      <c r="A147" s="17" t="s">
        <v>331</v>
      </c>
      <c r="D147" s="14" t="s">
        <v>332</v>
      </c>
      <c r="G147" s="16" t="s">
        <v>333</v>
      </c>
      <c r="I147" s="17" t="s">
        <v>331</v>
      </c>
      <c r="L147" s="14" t="s">
        <v>332</v>
      </c>
      <c r="O147" s="16" t="s">
        <v>333</v>
      </c>
    </row>
    <row r="148">
      <c r="A148" s="14" t="str">
        <f>CONCATENATE("Pool Z-2nd ",'Pool Matches'!O428)</f>
      </c>
      <c r="B148" s="14"/>
      <c r="C148" s="14"/>
      <c r="D148" s="18"/>
      <c r="E148" s="14"/>
      <c r="F148" s="14"/>
      <c r="G148" s="14" t="str">
        <f>CONCATENATE("Pool K-1st ",'Pool Matches'!G470)</f>
      </c>
      <c r="I148" s="14" t="str">
        <f>CONCATENATE("Pool J-2nd ",'Pool Matches'!G428)</f>
      </c>
      <c r="J148" s="14"/>
      <c r="K148" s="14"/>
      <c r="L148" s="18"/>
      <c r="M148" s="14"/>
      <c r="N148" s="14"/>
      <c r="O148" s="14" t="str">
        <f>CONCATENATE("Pool AA-1st ",'Pool Matches'!O470)</f>
      </c>
    </row>
    <row r="149">
      <c r="A149" s="14">
        <v>1</v>
      </c>
      <c r="B149" s="18"/>
      <c r="C149" s="18"/>
      <c r="D149" s="18"/>
      <c r="E149" s="18"/>
      <c r="F149" s="18"/>
      <c r="G149" s="14">
        <v>1</v>
      </c>
      <c r="I149" s="14">
        <v>1</v>
      </c>
      <c r="J149" s="18"/>
      <c r="K149" s="18"/>
      <c r="L149" s="18"/>
      <c r="M149" s="18"/>
      <c r="N149" s="18"/>
      <c r="O149" s="14">
        <v>1</v>
      </c>
    </row>
    <row r="150">
      <c r="A150" s="14">
        <v>2</v>
      </c>
      <c r="B150" s="18"/>
      <c r="C150" s="18"/>
      <c r="D150" s="18"/>
      <c r="E150" s="18"/>
      <c r="F150" s="18"/>
      <c r="G150" s="14">
        <v>2</v>
      </c>
      <c r="I150" s="14">
        <v>2</v>
      </c>
      <c r="J150" s="18"/>
      <c r="K150" s="18"/>
      <c r="L150" s="18"/>
      <c r="M150" s="18"/>
      <c r="N150" s="18"/>
      <c r="O150" s="14">
        <v>2</v>
      </c>
    </row>
    <row r="151">
      <c r="A151" s="14">
        <v>3</v>
      </c>
      <c r="B151" s="18"/>
      <c r="C151" s="18"/>
      <c r="D151" s="18"/>
      <c r="E151" s="18"/>
      <c r="F151" s="18"/>
      <c r="G151" s="14">
        <v>3</v>
      </c>
      <c r="I151" s="14">
        <v>3</v>
      </c>
      <c r="J151" s="18"/>
      <c r="K151" s="18"/>
      <c r="L151" s="18"/>
      <c r="M151" s="18"/>
      <c r="N151" s="18"/>
      <c r="O151" s="14">
        <v>3</v>
      </c>
    </row>
    <row r="152">
      <c r="A152" s="14">
        <v>4</v>
      </c>
      <c r="B152" s="18"/>
      <c r="C152" s="18"/>
      <c r="D152" s="18"/>
      <c r="E152" s="18"/>
      <c r="F152" s="18"/>
      <c r="G152" s="14">
        <v>4</v>
      </c>
      <c r="I152" s="14">
        <v>4</v>
      </c>
      <c r="J152" s="18"/>
      <c r="K152" s="18"/>
      <c r="L152" s="18"/>
      <c r="M152" s="18"/>
      <c r="N152" s="18"/>
      <c r="O152" s="14">
        <v>4</v>
      </c>
    </row>
    <row r="153">
      <c r="A153" s="14">
        <v>5</v>
      </c>
      <c r="B153" s="18"/>
      <c r="C153" s="18"/>
      <c r="D153" s="18"/>
      <c r="E153" s="18"/>
      <c r="F153" s="18"/>
      <c r="G153" s="14">
        <v>5</v>
      </c>
      <c r="I153" s="14">
        <v>5</v>
      </c>
      <c r="J153" s="18"/>
      <c r="K153" s="18"/>
      <c r="L153" s="18"/>
      <c r="M153" s="18"/>
      <c r="N153" s="18"/>
      <c r="O153" s="14">
        <v>5</v>
      </c>
    </row>
    <row r="155">
      <c r="A155" s="14" t="str">
        <f>CONCATENATE("Pool Z-2nd ",'Pool Matches'!O428)</f>
      </c>
      <c r="B155" s="14" t="s">
        <v>339</v>
      </c>
      <c r="C155" s="14" t="s">
        <v>342</v>
      </c>
      <c r="D155" s="14"/>
      <c r="E155" s="14" t="s">
        <v>342</v>
      </c>
      <c r="F155" s="14" t="s">
        <v>339</v>
      </c>
      <c r="G155" s="14" t="str">
        <f>CONCATENATE("Pool K-1st ",'Pool Matches'!G470)</f>
      </c>
      <c r="I155" s="14" t="str">
        <f>CONCATENATE("Pool J-2nd ",'Pool Matches'!G428)</f>
      </c>
      <c r="J155" s="14" t="s">
        <v>339</v>
      </c>
      <c r="K155" s="14" t="s">
        <v>342</v>
      </c>
      <c r="L155" s="14"/>
      <c r="M155" s="14" t="s">
        <v>342</v>
      </c>
      <c r="N155" s="14" t="s">
        <v>339</v>
      </c>
      <c r="O155" s="14" t="str">
        <f>CONCATENATE("Pool AA-1st ",'Pool Matches'!O470)</f>
      </c>
    </row>
    <row r="156">
      <c r="A156" s="14" t="s">
        <v>349</v>
      </c>
      <c r="B156" s="14" t="str">
        <f>IF(UPPER(D149)="X",0,IF((LEN(SUBSTITUTE(SUBSTITUTE(SUBSTITUTE(B149," ",""),"0",""),"-",""))+LEN(SUBSTITUTE(SUBSTITUTE(SUBSTITUTE(C149," ",""),"0",""),"-","")))&gt;(LEN(SUBSTITUTE(SUBSTITUTE(SUBSTITUTE(E149," ",""),"0",""),"-",""))+LEN(SUBSTITUTE(SUBSTITUTE(SUBSTITUTE(F149," ",""),"0",""),"-",""))),1,0))+IF(UPPER(D150)="X",0,IF((LEN(SUBSTITUTE(SUBSTITUTE(SUBSTITUTE(B150," ",""),"0",""),"-",""))+LEN(SUBSTITUTE(SUBSTITUTE(SUBSTITUTE(C150," ",""),"0",""),"-","")))&gt;(LEN(SUBSTITUTE(SUBSTITUTE(SUBSTITUTE(E150," ",""),"0",""),"-",""))+LEN(SUBSTITUTE(SUBSTITUTE(SUBSTITUTE(F150," ",""),"0",""),"-",""))),1,0))+IF(UPPER(D151)="X",0,IF((LEN(SUBSTITUTE(SUBSTITUTE(SUBSTITUTE(B151," ",""),"0",""),"-",""))+LEN(SUBSTITUTE(SUBSTITUTE(SUBSTITUTE(C151," ",""),"0",""),"-","")))&gt;(LEN(SUBSTITUTE(SUBSTITUTE(SUBSTITUTE(E151," ",""),"0",""),"-",""))+LEN(SUBSTITUTE(SUBSTITUTE(SUBSTITUTE(F151," ",""),"0",""),"-",""))),1,0))+IF(UPPER(D152)="X",0,IF((LEN(SUBSTITUTE(SUBSTITUTE(SUBSTITUTE(B152," ",""),"0",""),"-",""))+LEN(SUBSTITUTE(SUBSTITUTE(SUBSTITUTE(C152," ",""),"0",""),"-","")))&gt;(LEN(SUBSTITUTE(SUBSTITUTE(SUBSTITUTE(E152," ",""),"0",""),"-",""))+LEN(SUBSTITUTE(SUBSTITUTE(SUBSTITUTE(F152," ",""),"0",""),"-",""))),1,0))+IF(UPPER(D153)="X",0,IF((LEN(SUBSTITUTE(SUBSTITUTE(SUBSTITUTE(B153," ",""),"0",""),"-",""))+LEN(SUBSTITUTE(SUBSTITUTE(SUBSTITUTE(C153," ",""),"0",""),"-","")))&gt;(LEN(SUBSTITUTE(SUBSTITUTE(SUBSTITUTE(E153," ",""),"0",""),"-",""))+LEN(SUBSTITUTE(SUBSTITUTE(SUBSTITUTE(F153," ",""),"0",""),"-",""))),1,0))</f>
      </c>
      <c r="C156" s="14" t="str">
        <f>LEN(SUBSTITUTE(SUBSTITUTE(SUBSTITUTE(B149," ",""),"0",""),"-",""))+LEN(SUBSTITUTE(SUBSTITUTE(SUBSTITUTE(C149," ",""),"0",""),"-",""))+LEN(SUBSTITUTE(SUBSTITUTE(SUBSTITUTE(B150," ",""),"0",""),"-",""))+LEN(SUBSTITUTE(SUBSTITUTE(SUBSTITUTE(C150," ",""),"0",""),"-",""))+LEN(SUBSTITUTE(SUBSTITUTE(SUBSTITUTE(B151," ",""),"0",""),"-",""))+LEN(SUBSTITUTE(SUBSTITUTE(SUBSTITUTE(C151," ",""),"0",""),"-",""))+LEN(SUBSTITUTE(SUBSTITUTE(SUBSTITUTE(B152," ",""),"0",""),"-",""))+LEN(SUBSTITUTE(SUBSTITUTE(SUBSTITUTE(C152," ",""),"0",""),"-",""))+LEN(SUBSTITUTE(SUBSTITUTE(SUBSTITUTE(B153," ",""),"0",""),"-",""))+LEN(SUBSTITUTE(SUBSTITUTE(SUBSTITUTE(C153," ",""),"0",""),"-",""))</f>
      </c>
      <c r="D156" s="14"/>
      <c r="E156" s="14" t="str">
        <f>LEN(SUBSTITUTE(SUBSTITUTE(SUBSTITUTE(E149," ",""),"0",""),"-",""))+LEN(SUBSTITUTE(SUBSTITUTE(SUBSTITUTE(F149," ",""),"0",""),"-",""))+LEN(SUBSTITUTE(SUBSTITUTE(SUBSTITUTE(E150," ",""),"0",""),"-",""))+LEN(SUBSTITUTE(SUBSTITUTE(SUBSTITUTE(F150," ",""),"0",""),"-",""))+LEN(SUBSTITUTE(SUBSTITUTE(SUBSTITUTE(E151," ",""),"0",""),"-",""))+LEN(SUBSTITUTE(SUBSTITUTE(SUBSTITUTE(F151," ",""),"0",""),"-",""))+LEN(SUBSTITUTE(SUBSTITUTE(SUBSTITUTE(E152," ",""),"0",""),"-",""))+LEN(SUBSTITUTE(SUBSTITUTE(SUBSTITUTE(F152," ",""),"0",""),"-",""))+LEN(SUBSTITUTE(SUBSTITUTE(SUBSTITUTE(E153," ",""),"0",""),"-",""))+LEN(SUBSTITUTE(SUBSTITUTE(SUBSTITUTE(F153," ",""),"0",""),"-",""))</f>
      </c>
      <c r="F156" s="14" t="str">
        <f>IF(UPPER(D149)="X",0,IF((LEN(SUBSTITUTE(SUBSTITUTE(SUBSTITUTE(E149," ",""),"0",""),"-",""))+LEN(SUBSTITUTE(SUBSTITUTE(SUBSTITUTE(F149," ",""),"0",""),"-","")))&gt;(LEN(SUBSTITUTE(SUBSTITUTE(SUBSTITUTE(B149," ",""),"0",""),"-",""))+LEN(SUBSTITUTE(SUBSTITUTE(SUBSTITUTE(C149," ",""),"0",""),"-",""))),1,0))+IF(UPPER(D150)="X",0,IF((LEN(SUBSTITUTE(SUBSTITUTE(SUBSTITUTE(E150," ",""),"0",""),"-",""))+LEN(SUBSTITUTE(SUBSTITUTE(SUBSTITUTE(F150," ",""),"0",""),"-","")))&gt;(LEN(SUBSTITUTE(SUBSTITUTE(SUBSTITUTE(B150," ",""),"0",""),"-",""))+LEN(SUBSTITUTE(SUBSTITUTE(SUBSTITUTE(C150," ",""),"0",""),"-",""))),1,0))+IF(UPPER(D151)="X",0,IF((LEN(SUBSTITUTE(SUBSTITUTE(SUBSTITUTE(E151," ",""),"0",""),"-",""))+LEN(SUBSTITUTE(SUBSTITUTE(SUBSTITUTE(F151," ",""),"0",""),"-","")))&gt;(LEN(SUBSTITUTE(SUBSTITUTE(SUBSTITUTE(B151," ",""),"0",""),"-",""))+LEN(SUBSTITUTE(SUBSTITUTE(SUBSTITUTE(C151," ",""),"0",""),"-",""))),1,0))+IF(UPPER(D152)="X",0,IF((LEN(SUBSTITUTE(SUBSTITUTE(SUBSTITUTE(E152," ",""),"0",""),"-",""))+LEN(SUBSTITUTE(SUBSTITUTE(SUBSTITUTE(F152," ",""),"0",""),"-","")))&gt;(LEN(SUBSTITUTE(SUBSTITUTE(SUBSTITUTE(B152," ",""),"0",""),"-",""))+LEN(SUBSTITUTE(SUBSTITUTE(SUBSTITUTE(C152," ",""),"0",""),"-",""))),1,0))+IF(UPPER(D153)="X",0,IF((LEN(SUBSTITUTE(SUBSTITUTE(SUBSTITUTE(E153," ",""),"0",""),"-",""))+LEN(SUBSTITUTE(SUBSTITUTE(SUBSTITUTE(F153," ",""),"0",""),"-","")))&gt;(LEN(SUBSTITUTE(SUBSTITUTE(SUBSTITUTE(B153," ",""),"0",""),"-",""))+LEN(SUBSTITUTE(SUBSTITUTE(SUBSTITUTE(C153," ",""),"0",""),"-",""))),1,0))</f>
      </c>
      <c r="G156" s="14" t="s">
        <v>349</v>
      </c>
      <c r="I156" s="14" t="s">
        <v>349</v>
      </c>
      <c r="J156" s="14" t="str">
        <f>IF(UPPER(L149)="X",0,IF((LEN(SUBSTITUTE(SUBSTITUTE(SUBSTITUTE(J149," ",""),"0",""),"-",""))+LEN(SUBSTITUTE(SUBSTITUTE(SUBSTITUTE(K149," ",""),"0",""),"-","")))&gt;(LEN(SUBSTITUTE(SUBSTITUTE(SUBSTITUTE(M149," ",""),"0",""),"-",""))+LEN(SUBSTITUTE(SUBSTITUTE(SUBSTITUTE(N149," ",""),"0",""),"-",""))),1,0))+IF(UPPER(L150)="X",0,IF((LEN(SUBSTITUTE(SUBSTITUTE(SUBSTITUTE(J150," ",""),"0",""),"-",""))+LEN(SUBSTITUTE(SUBSTITUTE(SUBSTITUTE(K150," ",""),"0",""),"-","")))&gt;(LEN(SUBSTITUTE(SUBSTITUTE(SUBSTITUTE(M150," ",""),"0",""),"-",""))+LEN(SUBSTITUTE(SUBSTITUTE(SUBSTITUTE(N150," ",""),"0",""),"-",""))),1,0))+IF(UPPER(L151)="X",0,IF((LEN(SUBSTITUTE(SUBSTITUTE(SUBSTITUTE(J151," ",""),"0",""),"-",""))+LEN(SUBSTITUTE(SUBSTITUTE(SUBSTITUTE(K151," ",""),"0",""),"-","")))&gt;(LEN(SUBSTITUTE(SUBSTITUTE(SUBSTITUTE(M151," ",""),"0",""),"-",""))+LEN(SUBSTITUTE(SUBSTITUTE(SUBSTITUTE(N151," ",""),"0",""),"-",""))),1,0))+IF(UPPER(L152)="X",0,IF((LEN(SUBSTITUTE(SUBSTITUTE(SUBSTITUTE(J152," ",""),"0",""),"-",""))+LEN(SUBSTITUTE(SUBSTITUTE(SUBSTITUTE(K152," ",""),"0",""),"-","")))&gt;(LEN(SUBSTITUTE(SUBSTITUTE(SUBSTITUTE(M152," ",""),"0",""),"-",""))+LEN(SUBSTITUTE(SUBSTITUTE(SUBSTITUTE(N152," ",""),"0",""),"-",""))),1,0))+IF(UPPER(L153)="X",0,IF((LEN(SUBSTITUTE(SUBSTITUTE(SUBSTITUTE(J153," ",""),"0",""),"-",""))+LEN(SUBSTITUTE(SUBSTITUTE(SUBSTITUTE(K153," ",""),"0",""),"-","")))&gt;(LEN(SUBSTITUTE(SUBSTITUTE(SUBSTITUTE(M153," ",""),"0",""),"-",""))+LEN(SUBSTITUTE(SUBSTITUTE(SUBSTITUTE(N153," ",""),"0",""),"-",""))),1,0))</f>
      </c>
      <c r="K156" s="14" t="str">
        <f>LEN(SUBSTITUTE(SUBSTITUTE(SUBSTITUTE(J149," ",""),"0",""),"-",""))+LEN(SUBSTITUTE(SUBSTITUTE(SUBSTITUTE(K149," ",""),"0",""),"-",""))+LEN(SUBSTITUTE(SUBSTITUTE(SUBSTITUTE(J150," ",""),"0",""),"-",""))+LEN(SUBSTITUTE(SUBSTITUTE(SUBSTITUTE(K150," ",""),"0",""),"-",""))+LEN(SUBSTITUTE(SUBSTITUTE(SUBSTITUTE(J151," ",""),"0",""),"-",""))+LEN(SUBSTITUTE(SUBSTITUTE(SUBSTITUTE(K151," ",""),"0",""),"-",""))+LEN(SUBSTITUTE(SUBSTITUTE(SUBSTITUTE(J152," ",""),"0",""),"-",""))+LEN(SUBSTITUTE(SUBSTITUTE(SUBSTITUTE(K152," ",""),"0",""),"-",""))+LEN(SUBSTITUTE(SUBSTITUTE(SUBSTITUTE(J153," ",""),"0",""),"-",""))+LEN(SUBSTITUTE(SUBSTITUTE(SUBSTITUTE(K153," ",""),"0",""),"-",""))</f>
      </c>
      <c r="L156" s="14"/>
      <c r="M156" s="14" t="str">
        <f>LEN(SUBSTITUTE(SUBSTITUTE(SUBSTITUTE(M149," ",""),"0",""),"-",""))+LEN(SUBSTITUTE(SUBSTITUTE(SUBSTITUTE(N149," ",""),"0",""),"-",""))+LEN(SUBSTITUTE(SUBSTITUTE(SUBSTITUTE(M150," ",""),"0",""),"-",""))+LEN(SUBSTITUTE(SUBSTITUTE(SUBSTITUTE(N150," ",""),"0",""),"-",""))+LEN(SUBSTITUTE(SUBSTITUTE(SUBSTITUTE(M151," ",""),"0",""),"-",""))+LEN(SUBSTITUTE(SUBSTITUTE(SUBSTITUTE(N151," ",""),"0",""),"-",""))+LEN(SUBSTITUTE(SUBSTITUTE(SUBSTITUTE(M152," ",""),"0",""),"-",""))+LEN(SUBSTITUTE(SUBSTITUTE(SUBSTITUTE(N152," ",""),"0",""),"-",""))+LEN(SUBSTITUTE(SUBSTITUTE(SUBSTITUTE(M153," ",""),"0",""),"-",""))+LEN(SUBSTITUTE(SUBSTITUTE(SUBSTITUTE(N153," ",""),"0",""),"-",""))</f>
      </c>
      <c r="N156" s="14" t="str">
        <f>IF(UPPER(L149)="X",0,IF((LEN(SUBSTITUTE(SUBSTITUTE(SUBSTITUTE(M149," ",""),"0",""),"-",""))+LEN(SUBSTITUTE(SUBSTITUTE(SUBSTITUTE(N149," ",""),"0",""),"-","")))&gt;(LEN(SUBSTITUTE(SUBSTITUTE(SUBSTITUTE(J149," ",""),"0",""),"-",""))+LEN(SUBSTITUTE(SUBSTITUTE(SUBSTITUTE(K149," ",""),"0",""),"-",""))),1,0))+IF(UPPER(L150)="X",0,IF((LEN(SUBSTITUTE(SUBSTITUTE(SUBSTITUTE(M150," ",""),"0",""),"-",""))+LEN(SUBSTITUTE(SUBSTITUTE(SUBSTITUTE(N150," ",""),"0",""),"-","")))&gt;(LEN(SUBSTITUTE(SUBSTITUTE(SUBSTITUTE(J150," ",""),"0",""),"-",""))+LEN(SUBSTITUTE(SUBSTITUTE(SUBSTITUTE(K150," ",""),"0",""),"-",""))),1,0))+IF(UPPER(L151)="X",0,IF((LEN(SUBSTITUTE(SUBSTITUTE(SUBSTITUTE(M151," ",""),"0",""),"-",""))+LEN(SUBSTITUTE(SUBSTITUTE(SUBSTITUTE(N151," ",""),"0",""),"-","")))&gt;(LEN(SUBSTITUTE(SUBSTITUTE(SUBSTITUTE(J151," ",""),"0",""),"-",""))+LEN(SUBSTITUTE(SUBSTITUTE(SUBSTITUTE(K151," ",""),"0",""),"-",""))),1,0))+IF(UPPER(L152)="X",0,IF((LEN(SUBSTITUTE(SUBSTITUTE(SUBSTITUTE(M152," ",""),"0",""),"-",""))+LEN(SUBSTITUTE(SUBSTITUTE(SUBSTITUTE(N152," ",""),"0",""),"-","")))&gt;(LEN(SUBSTITUTE(SUBSTITUTE(SUBSTITUTE(J152," ",""),"0",""),"-",""))+LEN(SUBSTITUTE(SUBSTITUTE(SUBSTITUTE(K152," ",""),"0",""),"-",""))),1,0))+IF(UPPER(L153)="X",0,IF((LEN(SUBSTITUTE(SUBSTITUTE(SUBSTITUTE(M153," ",""),"0",""),"-",""))+LEN(SUBSTITUTE(SUBSTITUTE(SUBSTITUTE(N153," ",""),"0",""),"-","")))&gt;(LEN(SUBSTITUTE(SUBSTITUTE(SUBSTITUTE(J153," ",""),"0",""),"-",""))+LEN(SUBSTITUTE(SUBSTITUTE(SUBSTITUTE(K153," ",""),"0",""),"-",""))),1,0))</f>
      </c>
      <c r="O156" s="14" t="s">
        <v>349</v>
      </c>
    </row>
    <row r="159">
      <c r="F159" t="s">
        <v>345</v>
      </c>
      <c r="G159" s="19"/>
      <c r="N159" t="s">
        <v>345</v>
      </c>
      <c r="O159" s="19"/>
    </row>
    <row r="160">
      <c r="F160" t="s">
        <v>346</v>
      </c>
      <c r="G160" s="19"/>
      <c r="N160" t="s">
        <v>346</v>
      </c>
      <c r="O160" s="19"/>
    </row>
    <row r="162">
      <c r="A162" s="13" t="s">
        <v>369</v>
      </c>
      <c r="B162" s="13"/>
      <c r="C162" s="13"/>
      <c r="D162" s="13"/>
      <c r="E162" s="13"/>
      <c r="F162" s="13"/>
      <c r="G162" s="13"/>
      <c r="I162" s="13" t="s">
        <v>370</v>
      </c>
      <c r="J162" s="13"/>
      <c r="K162" s="13"/>
      <c r="L162" s="13"/>
      <c r="M162" s="13"/>
      <c r="N162" s="13"/>
      <c r="O162" s="13"/>
    </row>
    <row r="163">
      <c r="A163" s="17" t="s">
        <v>331</v>
      </c>
      <c r="D163" s="14" t="s">
        <v>332</v>
      </c>
      <c r="G163" s="16" t="s">
        <v>333</v>
      </c>
      <c r="I163" s="17" t="s">
        <v>331</v>
      </c>
      <c r="L163" s="14" t="s">
        <v>332</v>
      </c>
      <c r="O163" s="16" t="s">
        <v>333</v>
      </c>
    </row>
    <row r="164">
      <c r="A164" s="14" t="str">
        <f>CONCATENATE("Pool AA-2nd ",'Pool Matches'!O471)</f>
      </c>
      <c r="B164" s="14"/>
      <c r="C164" s="14"/>
      <c r="D164" s="18"/>
      <c r="E164" s="14"/>
      <c r="F164" s="14"/>
      <c r="G164" s="14" t="str">
        <f>CONCATENATE("Pool L-1st ",'Pool Matches'!G513)</f>
      </c>
      <c r="I164" s="14" t="str">
        <f>CONCATENATE("Pool K-2nd ",'Pool Matches'!G471)</f>
      </c>
      <c r="J164" s="14"/>
      <c r="K164" s="14"/>
      <c r="L164" s="18"/>
      <c r="M164" s="14"/>
      <c r="N164" s="14"/>
      <c r="O164" s="14" t="str">
        <f>CONCATENATE("Pool AB-1st ",'Pool Matches'!O513)</f>
      </c>
    </row>
    <row r="165">
      <c r="A165" s="14">
        <v>1</v>
      </c>
      <c r="B165" s="18"/>
      <c r="C165" s="18"/>
      <c r="D165" s="18"/>
      <c r="E165" s="18"/>
      <c r="F165" s="18"/>
      <c r="G165" s="14">
        <v>1</v>
      </c>
      <c r="I165" s="14">
        <v>1</v>
      </c>
      <c r="J165" s="18"/>
      <c r="K165" s="18"/>
      <c r="L165" s="18"/>
      <c r="M165" s="18"/>
      <c r="N165" s="18"/>
      <c r="O165" s="14">
        <v>1</v>
      </c>
    </row>
    <row r="166">
      <c r="A166" s="14">
        <v>2</v>
      </c>
      <c r="B166" s="18"/>
      <c r="C166" s="18"/>
      <c r="D166" s="18"/>
      <c r="E166" s="18"/>
      <c r="F166" s="18"/>
      <c r="G166" s="14">
        <v>2</v>
      </c>
      <c r="I166" s="14">
        <v>2</v>
      </c>
      <c r="J166" s="18"/>
      <c r="K166" s="18"/>
      <c r="L166" s="18"/>
      <c r="M166" s="18"/>
      <c r="N166" s="18"/>
      <c r="O166" s="14">
        <v>2</v>
      </c>
    </row>
    <row r="167">
      <c r="A167" s="14">
        <v>3</v>
      </c>
      <c r="B167" s="18"/>
      <c r="C167" s="18"/>
      <c r="D167" s="18"/>
      <c r="E167" s="18"/>
      <c r="F167" s="18"/>
      <c r="G167" s="14">
        <v>3</v>
      </c>
      <c r="I167" s="14">
        <v>3</v>
      </c>
      <c r="J167" s="18"/>
      <c r="K167" s="18"/>
      <c r="L167" s="18"/>
      <c r="M167" s="18"/>
      <c r="N167" s="18"/>
      <c r="O167" s="14">
        <v>3</v>
      </c>
    </row>
    <row r="168">
      <c r="A168" s="14">
        <v>4</v>
      </c>
      <c r="B168" s="18"/>
      <c r="C168" s="18"/>
      <c r="D168" s="18"/>
      <c r="E168" s="18"/>
      <c r="F168" s="18"/>
      <c r="G168" s="14">
        <v>4</v>
      </c>
      <c r="I168" s="14">
        <v>4</v>
      </c>
      <c r="J168" s="18"/>
      <c r="K168" s="18"/>
      <c r="L168" s="18"/>
      <c r="M168" s="18"/>
      <c r="N168" s="18"/>
      <c r="O168" s="14">
        <v>4</v>
      </c>
    </row>
    <row r="169">
      <c r="A169" s="14">
        <v>5</v>
      </c>
      <c r="B169" s="18"/>
      <c r="C169" s="18"/>
      <c r="D169" s="18"/>
      <c r="E169" s="18"/>
      <c r="F169" s="18"/>
      <c r="G169" s="14">
        <v>5</v>
      </c>
      <c r="I169" s="14">
        <v>5</v>
      </c>
      <c r="J169" s="18"/>
      <c r="K169" s="18"/>
      <c r="L169" s="18"/>
      <c r="M169" s="18"/>
      <c r="N169" s="18"/>
      <c r="O169" s="14">
        <v>5</v>
      </c>
    </row>
    <row r="171">
      <c r="A171" s="14" t="str">
        <f>CONCATENATE("Pool AA-2nd ",'Pool Matches'!O471)</f>
      </c>
      <c r="B171" s="14" t="s">
        <v>339</v>
      </c>
      <c r="C171" s="14" t="s">
        <v>342</v>
      </c>
      <c r="D171" s="14"/>
      <c r="E171" s="14" t="s">
        <v>342</v>
      </c>
      <c r="F171" s="14" t="s">
        <v>339</v>
      </c>
      <c r="G171" s="14" t="str">
        <f>CONCATENATE("Pool L-1st ",'Pool Matches'!G513)</f>
      </c>
      <c r="I171" s="14" t="str">
        <f>CONCATENATE("Pool K-2nd ",'Pool Matches'!G471)</f>
      </c>
      <c r="J171" s="14" t="s">
        <v>339</v>
      </c>
      <c r="K171" s="14" t="s">
        <v>342</v>
      </c>
      <c r="L171" s="14"/>
      <c r="M171" s="14" t="s">
        <v>342</v>
      </c>
      <c r="N171" s="14" t="s">
        <v>339</v>
      </c>
      <c r="O171" s="14" t="str">
        <f>CONCATENATE("Pool AB-1st ",'Pool Matches'!O513)</f>
      </c>
    </row>
    <row r="172">
      <c r="A172" s="14" t="s">
        <v>349</v>
      </c>
      <c r="B172" s="14" t="str">
        <f>IF(UPPER(D165)="X",0,IF((LEN(SUBSTITUTE(SUBSTITUTE(SUBSTITUTE(B165," ",""),"0",""),"-",""))+LEN(SUBSTITUTE(SUBSTITUTE(SUBSTITUTE(C165," ",""),"0",""),"-","")))&gt;(LEN(SUBSTITUTE(SUBSTITUTE(SUBSTITUTE(E165," ",""),"0",""),"-",""))+LEN(SUBSTITUTE(SUBSTITUTE(SUBSTITUTE(F165," ",""),"0",""),"-",""))),1,0))+IF(UPPER(D166)="X",0,IF((LEN(SUBSTITUTE(SUBSTITUTE(SUBSTITUTE(B166," ",""),"0",""),"-",""))+LEN(SUBSTITUTE(SUBSTITUTE(SUBSTITUTE(C166," ",""),"0",""),"-","")))&gt;(LEN(SUBSTITUTE(SUBSTITUTE(SUBSTITUTE(E166," ",""),"0",""),"-",""))+LEN(SUBSTITUTE(SUBSTITUTE(SUBSTITUTE(F166," ",""),"0",""),"-",""))),1,0))+IF(UPPER(D167)="X",0,IF((LEN(SUBSTITUTE(SUBSTITUTE(SUBSTITUTE(B167," ",""),"0",""),"-",""))+LEN(SUBSTITUTE(SUBSTITUTE(SUBSTITUTE(C167," ",""),"0",""),"-","")))&gt;(LEN(SUBSTITUTE(SUBSTITUTE(SUBSTITUTE(E167," ",""),"0",""),"-",""))+LEN(SUBSTITUTE(SUBSTITUTE(SUBSTITUTE(F167," ",""),"0",""),"-",""))),1,0))+IF(UPPER(D168)="X",0,IF((LEN(SUBSTITUTE(SUBSTITUTE(SUBSTITUTE(B168," ",""),"0",""),"-",""))+LEN(SUBSTITUTE(SUBSTITUTE(SUBSTITUTE(C168," ",""),"0",""),"-","")))&gt;(LEN(SUBSTITUTE(SUBSTITUTE(SUBSTITUTE(E168," ",""),"0",""),"-",""))+LEN(SUBSTITUTE(SUBSTITUTE(SUBSTITUTE(F168," ",""),"0",""),"-",""))),1,0))+IF(UPPER(D169)="X",0,IF((LEN(SUBSTITUTE(SUBSTITUTE(SUBSTITUTE(B169," ",""),"0",""),"-",""))+LEN(SUBSTITUTE(SUBSTITUTE(SUBSTITUTE(C169," ",""),"0",""),"-","")))&gt;(LEN(SUBSTITUTE(SUBSTITUTE(SUBSTITUTE(E169," ",""),"0",""),"-",""))+LEN(SUBSTITUTE(SUBSTITUTE(SUBSTITUTE(F169," ",""),"0",""),"-",""))),1,0))</f>
      </c>
      <c r="C172" s="14" t="str">
        <f>LEN(SUBSTITUTE(SUBSTITUTE(SUBSTITUTE(B165," ",""),"0",""),"-",""))+LEN(SUBSTITUTE(SUBSTITUTE(SUBSTITUTE(C165," ",""),"0",""),"-",""))+LEN(SUBSTITUTE(SUBSTITUTE(SUBSTITUTE(B166," ",""),"0",""),"-",""))+LEN(SUBSTITUTE(SUBSTITUTE(SUBSTITUTE(C166," ",""),"0",""),"-",""))+LEN(SUBSTITUTE(SUBSTITUTE(SUBSTITUTE(B167," ",""),"0",""),"-",""))+LEN(SUBSTITUTE(SUBSTITUTE(SUBSTITUTE(C167," ",""),"0",""),"-",""))+LEN(SUBSTITUTE(SUBSTITUTE(SUBSTITUTE(B168," ",""),"0",""),"-",""))+LEN(SUBSTITUTE(SUBSTITUTE(SUBSTITUTE(C168," ",""),"0",""),"-",""))+LEN(SUBSTITUTE(SUBSTITUTE(SUBSTITUTE(B169," ",""),"0",""),"-",""))+LEN(SUBSTITUTE(SUBSTITUTE(SUBSTITUTE(C169," ",""),"0",""),"-",""))</f>
      </c>
      <c r="D172" s="14"/>
      <c r="E172" s="14" t="str">
        <f>LEN(SUBSTITUTE(SUBSTITUTE(SUBSTITUTE(E165," ",""),"0",""),"-",""))+LEN(SUBSTITUTE(SUBSTITUTE(SUBSTITUTE(F165," ",""),"0",""),"-",""))+LEN(SUBSTITUTE(SUBSTITUTE(SUBSTITUTE(E166," ",""),"0",""),"-",""))+LEN(SUBSTITUTE(SUBSTITUTE(SUBSTITUTE(F166," ",""),"0",""),"-",""))+LEN(SUBSTITUTE(SUBSTITUTE(SUBSTITUTE(E167," ",""),"0",""),"-",""))+LEN(SUBSTITUTE(SUBSTITUTE(SUBSTITUTE(F167," ",""),"0",""),"-",""))+LEN(SUBSTITUTE(SUBSTITUTE(SUBSTITUTE(E168," ",""),"0",""),"-",""))+LEN(SUBSTITUTE(SUBSTITUTE(SUBSTITUTE(F168," ",""),"0",""),"-",""))+LEN(SUBSTITUTE(SUBSTITUTE(SUBSTITUTE(E169," ",""),"0",""),"-",""))+LEN(SUBSTITUTE(SUBSTITUTE(SUBSTITUTE(F169," ",""),"0",""),"-",""))</f>
      </c>
      <c r="F172" s="14" t="str">
        <f>IF(UPPER(D165)="X",0,IF((LEN(SUBSTITUTE(SUBSTITUTE(SUBSTITUTE(E165," ",""),"0",""),"-",""))+LEN(SUBSTITUTE(SUBSTITUTE(SUBSTITUTE(F165," ",""),"0",""),"-","")))&gt;(LEN(SUBSTITUTE(SUBSTITUTE(SUBSTITUTE(B165," ",""),"0",""),"-",""))+LEN(SUBSTITUTE(SUBSTITUTE(SUBSTITUTE(C165," ",""),"0",""),"-",""))),1,0))+IF(UPPER(D166)="X",0,IF((LEN(SUBSTITUTE(SUBSTITUTE(SUBSTITUTE(E166," ",""),"0",""),"-",""))+LEN(SUBSTITUTE(SUBSTITUTE(SUBSTITUTE(F166," ",""),"0",""),"-","")))&gt;(LEN(SUBSTITUTE(SUBSTITUTE(SUBSTITUTE(B166," ",""),"0",""),"-",""))+LEN(SUBSTITUTE(SUBSTITUTE(SUBSTITUTE(C166," ",""),"0",""),"-",""))),1,0))+IF(UPPER(D167)="X",0,IF((LEN(SUBSTITUTE(SUBSTITUTE(SUBSTITUTE(E167," ",""),"0",""),"-",""))+LEN(SUBSTITUTE(SUBSTITUTE(SUBSTITUTE(F167," ",""),"0",""),"-","")))&gt;(LEN(SUBSTITUTE(SUBSTITUTE(SUBSTITUTE(B167," ",""),"0",""),"-",""))+LEN(SUBSTITUTE(SUBSTITUTE(SUBSTITUTE(C167," ",""),"0",""),"-",""))),1,0))+IF(UPPER(D168)="X",0,IF((LEN(SUBSTITUTE(SUBSTITUTE(SUBSTITUTE(E168," ",""),"0",""),"-",""))+LEN(SUBSTITUTE(SUBSTITUTE(SUBSTITUTE(F168," ",""),"0",""),"-","")))&gt;(LEN(SUBSTITUTE(SUBSTITUTE(SUBSTITUTE(B168," ",""),"0",""),"-",""))+LEN(SUBSTITUTE(SUBSTITUTE(SUBSTITUTE(C168," ",""),"0",""),"-",""))),1,0))+IF(UPPER(D169)="X",0,IF((LEN(SUBSTITUTE(SUBSTITUTE(SUBSTITUTE(E169," ",""),"0",""),"-",""))+LEN(SUBSTITUTE(SUBSTITUTE(SUBSTITUTE(F169," ",""),"0",""),"-","")))&gt;(LEN(SUBSTITUTE(SUBSTITUTE(SUBSTITUTE(B169," ",""),"0",""),"-",""))+LEN(SUBSTITUTE(SUBSTITUTE(SUBSTITUTE(C169," ",""),"0",""),"-",""))),1,0))</f>
      </c>
      <c r="G172" s="14" t="s">
        <v>349</v>
      </c>
      <c r="I172" s="14" t="s">
        <v>349</v>
      </c>
      <c r="J172" s="14" t="str">
        <f>IF(UPPER(L165)="X",0,IF((LEN(SUBSTITUTE(SUBSTITUTE(SUBSTITUTE(J165," ",""),"0",""),"-",""))+LEN(SUBSTITUTE(SUBSTITUTE(SUBSTITUTE(K165," ",""),"0",""),"-","")))&gt;(LEN(SUBSTITUTE(SUBSTITUTE(SUBSTITUTE(M165," ",""),"0",""),"-",""))+LEN(SUBSTITUTE(SUBSTITUTE(SUBSTITUTE(N165," ",""),"0",""),"-",""))),1,0))+IF(UPPER(L166)="X",0,IF((LEN(SUBSTITUTE(SUBSTITUTE(SUBSTITUTE(J166," ",""),"0",""),"-",""))+LEN(SUBSTITUTE(SUBSTITUTE(SUBSTITUTE(K166," ",""),"0",""),"-","")))&gt;(LEN(SUBSTITUTE(SUBSTITUTE(SUBSTITUTE(M166," ",""),"0",""),"-",""))+LEN(SUBSTITUTE(SUBSTITUTE(SUBSTITUTE(N166," ",""),"0",""),"-",""))),1,0))+IF(UPPER(L167)="X",0,IF((LEN(SUBSTITUTE(SUBSTITUTE(SUBSTITUTE(J167," ",""),"0",""),"-",""))+LEN(SUBSTITUTE(SUBSTITUTE(SUBSTITUTE(K167," ",""),"0",""),"-","")))&gt;(LEN(SUBSTITUTE(SUBSTITUTE(SUBSTITUTE(M167," ",""),"0",""),"-",""))+LEN(SUBSTITUTE(SUBSTITUTE(SUBSTITUTE(N167," ",""),"0",""),"-",""))),1,0))+IF(UPPER(L168)="X",0,IF((LEN(SUBSTITUTE(SUBSTITUTE(SUBSTITUTE(J168," ",""),"0",""),"-",""))+LEN(SUBSTITUTE(SUBSTITUTE(SUBSTITUTE(K168," ",""),"0",""),"-","")))&gt;(LEN(SUBSTITUTE(SUBSTITUTE(SUBSTITUTE(M168," ",""),"0",""),"-",""))+LEN(SUBSTITUTE(SUBSTITUTE(SUBSTITUTE(N168," ",""),"0",""),"-",""))),1,0))+IF(UPPER(L169)="X",0,IF((LEN(SUBSTITUTE(SUBSTITUTE(SUBSTITUTE(J169," ",""),"0",""),"-",""))+LEN(SUBSTITUTE(SUBSTITUTE(SUBSTITUTE(K169," ",""),"0",""),"-","")))&gt;(LEN(SUBSTITUTE(SUBSTITUTE(SUBSTITUTE(M169," ",""),"0",""),"-",""))+LEN(SUBSTITUTE(SUBSTITUTE(SUBSTITUTE(N169," ",""),"0",""),"-",""))),1,0))</f>
      </c>
      <c r="K172" s="14" t="str">
        <f>LEN(SUBSTITUTE(SUBSTITUTE(SUBSTITUTE(J165," ",""),"0",""),"-",""))+LEN(SUBSTITUTE(SUBSTITUTE(SUBSTITUTE(K165," ",""),"0",""),"-",""))+LEN(SUBSTITUTE(SUBSTITUTE(SUBSTITUTE(J166," ",""),"0",""),"-",""))+LEN(SUBSTITUTE(SUBSTITUTE(SUBSTITUTE(K166," ",""),"0",""),"-",""))+LEN(SUBSTITUTE(SUBSTITUTE(SUBSTITUTE(J167," ",""),"0",""),"-",""))+LEN(SUBSTITUTE(SUBSTITUTE(SUBSTITUTE(K167," ",""),"0",""),"-",""))+LEN(SUBSTITUTE(SUBSTITUTE(SUBSTITUTE(J168," ",""),"0",""),"-",""))+LEN(SUBSTITUTE(SUBSTITUTE(SUBSTITUTE(K168," ",""),"0",""),"-",""))+LEN(SUBSTITUTE(SUBSTITUTE(SUBSTITUTE(J169," ",""),"0",""),"-",""))+LEN(SUBSTITUTE(SUBSTITUTE(SUBSTITUTE(K169," ",""),"0",""),"-",""))</f>
      </c>
      <c r="L172" s="14"/>
      <c r="M172" s="14" t="str">
        <f>LEN(SUBSTITUTE(SUBSTITUTE(SUBSTITUTE(M165," ",""),"0",""),"-",""))+LEN(SUBSTITUTE(SUBSTITUTE(SUBSTITUTE(N165," ",""),"0",""),"-",""))+LEN(SUBSTITUTE(SUBSTITUTE(SUBSTITUTE(M166," ",""),"0",""),"-",""))+LEN(SUBSTITUTE(SUBSTITUTE(SUBSTITUTE(N166," ",""),"0",""),"-",""))+LEN(SUBSTITUTE(SUBSTITUTE(SUBSTITUTE(M167," ",""),"0",""),"-",""))+LEN(SUBSTITUTE(SUBSTITUTE(SUBSTITUTE(N167," ",""),"0",""),"-",""))+LEN(SUBSTITUTE(SUBSTITUTE(SUBSTITUTE(M168," ",""),"0",""),"-",""))+LEN(SUBSTITUTE(SUBSTITUTE(SUBSTITUTE(N168," ",""),"0",""),"-",""))+LEN(SUBSTITUTE(SUBSTITUTE(SUBSTITUTE(M169," ",""),"0",""),"-",""))+LEN(SUBSTITUTE(SUBSTITUTE(SUBSTITUTE(N169," ",""),"0",""),"-",""))</f>
      </c>
      <c r="N172" s="14" t="str">
        <f>IF(UPPER(L165)="X",0,IF((LEN(SUBSTITUTE(SUBSTITUTE(SUBSTITUTE(M165," ",""),"0",""),"-",""))+LEN(SUBSTITUTE(SUBSTITUTE(SUBSTITUTE(N165," ",""),"0",""),"-","")))&gt;(LEN(SUBSTITUTE(SUBSTITUTE(SUBSTITUTE(J165," ",""),"0",""),"-",""))+LEN(SUBSTITUTE(SUBSTITUTE(SUBSTITUTE(K165," ",""),"0",""),"-",""))),1,0))+IF(UPPER(L166)="X",0,IF((LEN(SUBSTITUTE(SUBSTITUTE(SUBSTITUTE(M166," ",""),"0",""),"-",""))+LEN(SUBSTITUTE(SUBSTITUTE(SUBSTITUTE(N166," ",""),"0",""),"-","")))&gt;(LEN(SUBSTITUTE(SUBSTITUTE(SUBSTITUTE(J166," ",""),"0",""),"-",""))+LEN(SUBSTITUTE(SUBSTITUTE(SUBSTITUTE(K166," ",""),"0",""),"-",""))),1,0))+IF(UPPER(L167)="X",0,IF((LEN(SUBSTITUTE(SUBSTITUTE(SUBSTITUTE(M167," ",""),"0",""),"-",""))+LEN(SUBSTITUTE(SUBSTITUTE(SUBSTITUTE(N167," ",""),"0",""),"-","")))&gt;(LEN(SUBSTITUTE(SUBSTITUTE(SUBSTITUTE(J167," ",""),"0",""),"-",""))+LEN(SUBSTITUTE(SUBSTITUTE(SUBSTITUTE(K167," ",""),"0",""),"-",""))),1,0))+IF(UPPER(L168)="X",0,IF((LEN(SUBSTITUTE(SUBSTITUTE(SUBSTITUTE(M168," ",""),"0",""),"-",""))+LEN(SUBSTITUTE(SUBSTITUTE(SUBSTITUTE(N168," ",""),"0",""),"-","")))&gt;(LEN(SUBSTITUTE(SUBSTITUTE(SUBSTITUTE(J168," ",""),"0",""),"-",""))+LEN(SUBSTITUTE(SUBSTITUTE(SUBSTITUTE(K168," ",""),"0",""),"-",""))),1,0))+IF(UPPER(L169)="X",0,IF((LEN(SUBSTITUTE(SUBSTITUTE(SUBSTITUTE(M169," ",""),"0",""),"-",""))+LEN(SUBSTITUTE(SUBSTITUTE(SUBSTITUTE(N169," ",""),"0",""),"-","")))&gt;(LEN(SUBSTITUTE(SUBSTITUTE(SUBSTITUTE(J169," ",""),"0",""),"-",""))+LEN(SUBSTITUTE(SUBSTITUTE(SUBSTITUTE(K169," ",""),"0",""),"-",""))),1,0))</f>
      </c>
      <c r="O172" s="14" t="s">
        <v>349</v>
      </c>
    </row>
    <row r="175">
      <c r="F175" t="s">
        <v>345</v>
      </c>
      <c r="G175" s="19"/>
      <c r="N175" t="s">
        <v>345</v>
      </c>
      <c r="O175" s="19"/>
    </row>
    <row r="176">
      <c r="F176" t="s">
        <v>346</v>
      </c>
      <c r="G176" s="19"/>
      <c r="N176" t="s">
        <v>346</v>
      </c>
      <c r="O176" s="19"/>
    </row>
    <row r="178">
      <c r="A178" s="13" t="s">
        <v>371</v>
      </c>
      <c r="B178" s="13"/>
      <c r="C178" s="13"/>
      <c r="D178" s="13"/>
      <c r="E178" s="13"/>
      <c r="F178" s="13"/>
      <c r="G178" s="13"/>
      <c r="I178" s="13" t="s">
        <v>372</v>
      </c>
      <c r="J178" s="13"/>
      <c r="K178" s="13"/>
      <c r="L178" s="13"/>
      <c r="M178" s="13"/>
      <c r="N178" s="13"/>
      <c r="O178" s="13"/>
    </row>
    <row r="179">
      <c r="A179" s="17" t="s">
        <v>331</v>
      </c>
      <c r="D179" s="14" t="s">
        <v>332</v>
      </c>
      <c r="G179" s="16" t="s">
        <v>333</v>
      </c>
      <c r="I179" s="17" t="s">
        <v>331</v>
      </c>
      <c r="L179" s="14" t="s">
        <v>332</v>
      </c>
      <c r="O179" s="16" t="s">
        <v>333</v>
      </c>
    </row>
    <row r="180">
      <c r="A180" s="14" t="str">
        <f>CONCATENATE("Pool AB-2nd ",'Pool Matches'!O514)</f>
      </c>
      <c r="B180" s="14"/>
      <c r="C180" s="14"/>
      <c r="D180" s="18"/>
      <c r="E180" s="14"/>
      <c r="F180" s="14"/>
      <c r="G180" s="14" t="str">
        <f>CONCATENATE("Pool M-1st ",'Pool Matches'!G556)</f>
      </c>
      <c r="I180" s="14" t="str">
        <f>CONCATENATE("Pool L-2nd ",'Pool Matches'!G514)</f>
      </c>
      <c r="J180" s="14"/>
      <c r="K180" s="14"/>
      <c r="L180" s="18"/>
      <c r="M180" s="14"/>
      <c r="N180" s="14"/>
      <c r="O180" s="14" t="str">
        <f>CONCATENATE("Pool AC-1st ",'Pool Matches'!O556)</f>
      </c>
    </row>
    <row r="181">
      <c r="A181" s="14">
        <v>1</v>
      </c>
      <c r="B181" s="18"/>
      <c r="C181" s="18"/>
      <c r="D181" s="18"/>
      <c r="E181" s="18"/>
      <c r="F181" s="18"/>
      <c r="G181" s="14">
        <v>1</v>
      </c>
      <c r="I181" s="14">
        <v>1</v>
      </c>
      <c r="J181" s="18"/>
      <c r="K181" s="18"/>
      <c r="L181" s="18"/>
      <c r="M181" s="18"/>
      <c r="N181" s="18"/>
      <c r="O181" s="14">
        <v>1</v>
      </c>
    </row>
    <row r="182">
      <c r="A182" s="14">
        <v>2</v>
      </c>
      <c r="B182" s="18"/>
      <c r="C182" s="18"/>
      <c r="D182" s="18"/>
      <c r="E182" s="18"/>
      <c r="F182" s="18"/>
      <c r="G182" s="14">
        <v>2</v>
      </c>
      <c r="I182" s="14">
        <v>2</v>
      </c>
      <c r="J182" s="18"/>
      <c r="K182" s="18"/>
      <c r="L182" s="18"/>
      <c r="M182" s="18"/>
      <c r="N182" s="18"/>
      <c r="O182" s="14">
        <v>2</v>
      </c>
    </row>
    <row r="183">
      <c r="A183" s="14">
        <v>3</v>
      </c>
      <c r="B183" s="18"/>
      <c r="C183" s="18"/>
      <c r="D183" s="18"/>
      <c r="E183" s="18"/>
      <c r="F183" s="18"/>
      <c r="G183" s="14">
        <v>3</v>
      </c>
      <c r="I183" s="14">
        <v>3</v>
      </c>
      <c r="J183" s="18"/>
      <c r="K183" s="18"/>
      <c r="L183" s="18"/>
      <c r="M183" s="18"/>
      <c r="N183" s="18"/>
      <c r="O183" s="14">
        <v>3</v>
      </c>
    </row>
    <row r="184">
      <c r="A184" s="14">
        <v>4</v>
      </c>
      <c r="B184" s="18"/>
      <c r="C184" s="18"/>
      <c r="D184" s="18"/>
      <c r="E184" s="18"/>
      <c r="F184" s="18"/>
      <c r="G184" s="14">
        <v>4</v>
      </c>
      <c r="I184" s="14">
        <v>4</v>
      </c>
      <c r="J184" s="18"/>
      <c r="K184" s="18"/>
      <c r="L184" s="18"/>
      <c r="M184" s="18"/>
      <c r="N184" s="18"/>
      <c r="O184" s="14">
        <v>4</v>
      </c>
    </row>
    <row r="185">
      <c r="A185" s="14">
        <v>5</v>
      </c>
      <c r="B185" s="18"/>
      <c r="C185" s="18"/>
      <c r="D185" s="18"/>
      <c r="E185" s="18"/>
      <c r="F185" s="18"/>
      <c r="G185" s="14">
        <v>5</v>
      </c>
      <c r="I185" s="14">
        <v>5</v>
      </c>
      <c r="J185" s="18"/>
      <c r="K185" s="18"/>
      <c r="L185" s="18"/>
      <c r="M185" s="18"/>
      <c r="N185" s="18"/>
      <c r="O185" s="14">
        <v>5</v>
      </c>
    </row>
    <row r="187">
      <c r="A187" s="14" t="str">
        <f>CONCATENATE("Pool AB-2nd ",'Pool Matches'!O514)</f>
      </c>
      <c r="B187" s="14" t="s">
        <v>339</v>
      </c>
      <c r="C187" s="14" t="s">
        <v>342</v>
      </c>
      <c r="D187" s="14"/>
      <c r="E187" s="14" t="s">
        <v>342</v>
      </c>
      <c r="F187" s="14" t="s">
        <v>339</v>
      </c>
      <c r="G187" s="14" t="str">
        <f>CONCATENATE("Pool M-1st ",'Pool Matches'!G556)</f>
      </c>
      <c r="I187" s="14" t="str">
        <f>CONCATENATE("Pool L-2nd ",'Pool Matches'!G514)</f>
      </c>
      <c r="J187" s="14" t="s">
        <v>339</v>
      </c>
      <c r="K187" s="14" t="s">
        <v>342</v>
      </c>
      <c r="L187" s="14"/>
      <c r="M187" s="14" t="s">
        <v>342</v>
      </c>
      <c r="N187" s="14" t="s">
        <v>339</v>
      </c>
      <c r="O187" s="14" t="str">
        <f>CONCATENATE("Pool AC-1st ",'Pool Matches'!O556)</f>
      </c>
    </row>
    <row r="188">
      <c r="A188" s="14" t="s">
        <v>349</v>
      </c>
      <c r="B188" s="14" t="str">
        <f>IF(UPPER(D181)="X",0,IF((LEN(SUBSTITUTE(SUBSTITUTE(SUBSTITUTE(B181," ",""),"0",""),"-",""))+LEN(SUBSTITUTE(SUBSTITUTE(SUBSTITUTE(C181," ",""),"0",""),"-","")))&gt;(LEN(SUBSTITUTE(SUBSTITUTE(SUBSTITUTE(E181," ",""),"0",""),"-",""))+LEN(SUBSTITUTE(SUBSTITUTE(SUBSTITUTE(F181," ",""),"0",""),"-",""))),1,0))+IF(UPPER(D182)="X",0,IF((LEN(SUBSTITUTE(SUBSTITUTE(SUBSTITUTE(B182," ",""),"0",""),"-",""))+LEN(SUBSTITUTE(SUBSTITUTE(SUBSTITUTE(C182," ",""),"0",""),"-","")))&gt;(LEN(SUBSTITUTE(SUBSTITUTE(SUBSTITUTE(E182," ",""),"0",""),"-",""))+LEN(SUBSTITUTE(SUBSTITUTE(SUBSTITUTE(F182," ",""),"0",""),"-",""))),1,0))+IF(UPPER(D183)="X",0,IF((LEN(SUBSTITUTE(SUBSTITUTE(SUBSTITUTE(B183," ",""),"0",""),"-",""))+LEN(SUBSTITUTE(SUBSTITUTE(SUBSTITUTE(C183," ",""),"0",""),"-","")))&gt;(LEN(SUBSTITUTE(SUBSTITUTE(SUBSTITUTE(E183," ",""),"0",""),"-",""))+LEN(SUBSTITUTE(SUBSTITUTE(SUBSTITUTE(F183," ",""),"0",""),"-",""))),1,0))+IF(UPPER(D184)="X",0,IF((LEN(SUBSTITUTE(SUBSTITUTE(SUBSTITUTE(B184," ",""),"0",""),"-",""))+LEN(SUBSTITUTE(SUBSTITUTE(SUBSTITUTE(C184," ",""),"0",""),"-","")))&gt;(LEN(SUBSTITUTE(SUBSTITUTE(SUBSTITUTE(E184," ",""),"0",""),"-",""))+LEN(SUBSTITUTE(SUBSTITUTE(SUBSTITUTE(F184," ",""),"0",""),"-",""))),1,0))+IF(UPPER(D185)="X",0,IF((LEN(SUBSTITUTE(SUBSTITUTE(SUBSTITUTE(B185," ",""),"0",""),"-",""))+LEN(SUBSTITUTE(SUBSTITUTE(SUBSTITUTE(C185," ",""),"0",""),"-","")))&gt;(LEN(SUBSTITUTE(SUBSTITUTE(SUBSTITUTE(E185," ",""),"0",""),"-",""))+LEN(SUBSTITUTE(SUBSTITUTE(SUBSTITUTE(F185," ",""),"0",""),"-",""))),1,0))</f>
      </c>
      <c r="C188" s="14" t="str">
        <f>LEN(SUBSTITUTE(SUBSTITUTE(SUBSTITUTE(B181," ",""),"0",""),"-",""))+LEN(SUBSTITUTE(SUBSTITUTE(SUBSTITUTE(C181," ",""),"0",""),"-",""))+LEN(SUBSTITUTE(SUBSTITUTE(SUBSTITUTE(B182," ",""),"0",""),"-",""))+LEN(SUBSTITUTE(SUBSTITUTE(SUBSTITUTE(C182," ",""),"0",""),"-",""))+LEN(SUBSTITUTE(SUBSTITUTE(SUBSTITUTE(B183," ",""),"0",""),"-",""))+LEN(SUBSTITUTE(SUBSTITUTE(SUBSTITUTE(C183," ",""),"0",""),"-",""))+LEN(SUBSTITUTE(SUBSTITUTE(SUBSTITUTE(B184," ",""),"0",""),"-",""))+LEN(SUBSTITUTE(SUBSTITUTE(SUBSTITUTE(C184," ",""),"0",""),"-",""))+LEN(SUBSTITUTE(SUBSTITUTE(SUBSTITUTE(B185," ",""),"0",""),"-",""))+LEN(SUBSTITUTE(SUBSTITUTE(SUBSTITUTE(C185," ",""),"0",""),"-",""))</f>
      </c>
      <c r="D188" s="14"/>
      <c r="E188" s="14" t="str">
        <f>LEN(SUBSTITUTE(SUBSTITUTE(SUBSTITUTE(E181," ",""),"0",""),"-",""))+LEN(SUBSTITUTE(SUBSTITUTE(SUBSTITUTE(F181," ",""),"0",""),"-",""))+LEN(SUBSTITUTE(SUBSTITUTE(SUBSTITUTE(E182," ",""),"0",""),"-",""))+LEN(SUBSTITUTE(SUBSTITUTE(SUBSTITUTE(F182," ",""),"0",""),"-",""))+LEN(SUBSTITUTE(SUBSTITUTE(SUBSTITUTE(E183," ",""),"0",""),"-",""))+LEN(SUBSTITUTE(SUBSTITUTE(SUBSTITUTE(F183," ",""),"0",""),"-",""))+LEN(SUBSTITUTE(SUBSTITUTE(SUBSTITUTE(E184," ",""),"0",""),"-",""))+LEN(SUBSTITUTE(SUBSTITUTE(SUBSTITUTE(F184," ",""),"0",""),"-",""))+LEN(SUBSTITUTE(SUBSTITUTE(SUBSTITUTE(E185," ",""),"0",""),"-",""))+LEN(SUBSTITUTE(SUBSTITUTE(SUBSTITUTE(F185," ",""),"0",""),"-",""))</f>
      </c>
      <c r="F188" s="14" t="str">
        <f>IF(UPPER(D181)="X",0,IF((LEN(SUBSTITUTE(SUBSTITUTE(SUBSTITUTE(E181," ",""),"0",""),"-",""))+LEN(SUBSTITUTE(SUBSTITUTE(SUBSTITUTE(F181," ",""),"0",""),"-","")))&gt;(LEN(SUBSTITUTE(SUBSTITUTE(SUBSTITUTE(B181," ",""),"0",""),"-",""))+LEN(SUBSTITUTE(SUBSTITUTE(SUBSTITUTE(C181," ",""),"0",""),"-",""))),1,0))+IF(UPPER(D182)="X",0,IF((LEN(SUBSTITUTE(SUBSTITUTE(SUBSTITUTE(E182," ",""),"0",""),"-",""))+LEN(SUBSTITUTE(SUBSTITUTE(SUBSTITUTE(F182," ",""),"0",""),"-","")))&gt;(LEN(SUBSTITUTE(SUBSTITUTE(SUBSTITUTE(B182," ",""),"0",""),"-",""))+LEN(SUBSTITUTE(SUBSTITUTE(SUBSTITUTE(C182," ",""),"0",""),"-",""))),1,0))+IF(UPPER(D183)="X",0,IF((LEN(SUBSTITUTE(SUBSTITUTE(SUBSTITUTE(E183," ",""),"0",""),"-",""))+LEN(SUBSTITUTE(SUBSTITUTE(SUBSTITUTE(F183," ",""),"0",""),"-","")))&gt;(LEN(SUBSTITUTE(SUBSTITUTE(SUBSTITUTE(B183," ",""),"0",""),"-",""))+LEN(SUBSTITUTE(SUBSTITUTE(SUBSTITUTE(C183," ",""),"0",""),"-",""))),1,0))+IF(UPPER(D184)="X",0,IF((LEN(SUBSTITUTE(SUBSTITUTE(SUBSTITUTE(E184," ",""),"0",""),"-",""))+LEN(SUBSTITUTE(SUBSTITUTE(SUBSTITUTE(F184," ",""),"0",""),"-","")))&gt;(LEN(SUBSTITUTE(SUBSTITUTE(SUBSTITUTE(B184," ",""),"0",""),"-",""))+LEN(SUBSTITUTE(SUBSTITUTE(SUBSTITUTE(C184," ",""),"0",""),"-",""))),1,0))+IF(UPPER(D185)="X",0,IF((LEN(SUBSTITUTE(SUBSTITUTE(SUBSTITUTE(E185," ",""),"0",""),"-",""))+LEN(SUBSTITUTE(SUBSTITUTE(SUBSTITUTE(F185," ",""),"0",""),"-","")))&gt;(LEN(SUBSTITUTE(SUBSTITUTE(SUBSTITUTE(B185," ",""),"0",""),"-",""))+LEN(SUBSTITUTE(SUBSTITUTE(SUBSTITUTE(C185," ",""),"0",""),"-",""))),1,0))</f>
      </c>
      <c r="G188" s="14" t="s">
        <v>349</v>
      </c>
      <c r="I188" s="14" t="s">
        <v>349</v>
      </c>
      <c r="J188" s="14" t="str">
        <f>IF(UPPER(L181)="X",0,IF((LEN(SUBSTITUTE(SUBSTITUTE(SUBSTITUTE(J181," ",""),"0",""),"-",""))+LEN(SUBSTITUTE(SUBSTITUTE(SUBSTITUTE(K181," ",""),"0",""),"-","")))&gt;(LEN(SUBSTITUTE(SUBSTITUTE(SUBSTITUTE(M181," ",""),"0",""),"-",""))+LEN(SUBSTITUTE(SUBSTITUTE(SUBSTITUTE(N181," ",""),"0",""),"-",""))),1,0))+IF(UPPER(L182)="X",0,IF((LEN(SUBSTITUTE(SUBSTITUTE(SUBSTITUTE(J182," ",""),"0",""),"-",""))+LEN(SUBSTITUTE(SUBSTITUTE(SUBSTITUTE(K182," ",""),"0",""),"-","")))&gt;(LEN(SUBSTITUTE(SUBSTITUTE(SUBSTITUTE(M182," ",""),"0",""),"-",""))+LEN(SUBSTITUTE(SUBSTITUTE(SUBSTITUTE(N182," ",""),"0",""),"-",""))),1,0))+IF(UPPER(L183)="X",0,IF((LEN(SUBSTITUTE(SUBSTITUTE(SUBSTITUTE(J183," ",""),"0",""),"-",""))+LEN(SUBSTITUTE(SUBSTITUTE(SUBSTITUTE(K183," ",""),"0",""),"-","")))&gt;(LEN(SUBSTITUTE(SUBSTITUTE(SUBSTITUTE(M183," ",""),"0",""),"-",""))+LEN(SUBSTITUTE(SUBSTITUTE(SUBSTITUTE(N183," ",""),"0",""),"-",""))),1,0))+IF(UPPER(L184)="X",0,IF((LEN(SUBSTITUTE(SUBSTITUTE(SUBSTITUTE(J184," ",""),"0",""),"-",""))+LEN(SUBSTITUTE(SUBSTITUTE(SUBSTITUTE(K184," ",""),"0",""),"-","")))&gt;(LEN(SUBSTITUTE(SUBSTITUTE(SUBSTITUTE(M184," ",""),"0",""),"-",""))+LEN(SUBSTITUTE(SUBSTITUTE(SUBSTITUTE(N184," ",""),"0",""),"-",""))),1,0))+IF(UPPER(L185)="X",0,IF((LEN(SUBSTITUTE(SUBSTITUTE(SUBSTITUTE(J185," ",""),"0",""),"-",""))+LEN(SUBSTITUTE(SUBSTITUTE(SUBSTITUTE(K185," ",""),"0",""),"-","")))&gt;(LEN(SUBSTITUTE(SUBSTITUTE(SUBSTITUTE(M185," ",""),"0",""),"-",""))+LEN(SUBSTITUTE(SUBSTITUTE(SUBSTITUTE(N185," ",""),"0",""),"-",""))),1,0))</f>
      </c>
      <c r="K188" s="14" t="str">
        <f>LEN(SUBSTITUTE(SUBSTITUTE(SUBSTITUTE(J181," ",""),"0",""),"-",""))+LEN(SUBSTITUTE(SUBSTITUTE(SUBSTITUTE(K181," ",""),"0",""),"-",""))+LEN(SUBSTITUTE(SUBSTITUTE(SUBSTITUTE(J182," ",""),"0",""),"-",""))+LEN(SUBSTITUTE(SUBSTITUTE(SUBSTITUTE(K182," ",""),"0",""),"-",""))+LEN(SUBSTITUTE(SUBSTITUTE(SUBSTITUTE(J183," ",""),"0",""),"-",""))+LEN(SUBSTITUTE(SUBSTITUTE(SUBSTITUTE(K183," ",""),"0",""),"-",""))+LEN(SUBSTITUTE(SUBSTITUTE(SUBSTITUTE(J184," ",""),"0",""),"-",""))+LEN(SUBSTITUTE(SUBSTITUTE(SUBSTITUTE(K184," ",""),"0",""),"-",""))+LEN(SUBSTITUTE(SUBSTITUTE(SUBSTITUTE(J185," ",""),"0",""),"-",""))+LEN(SUBSTITUTE(SUBSTITUTE(SUBSTITUTE(K185," ",""),"0",""),"-",""))</f>
      </c>
      <c r="L188" s="14"/>
      <c r="M188" s="14" t="str">
        <f>LEN(SUBSTITUTE(SUBSTITUTE(SUBSTITUTE(M181," ",""),"0",""),"-",""))+LEN(SUBSTITUTE(SUBSTITUTE(SUBSTITUTE(N181," ",""),"0",""),"-",""))+LEN(SUBSTITUTE(SUBSTITUTE(SUBSTITUTE(M182," ",""),"0",""),"-",""))+LEN(SUBSTITUTE(SUBSTITUTE(SUBSTITUTE(N182," ",""),"0",""),"-",""))+LEN(SUBSTITUTE(SUBSTITUTE(SUBSTITUTE(M183," ",""),"0",""),"-",""))+LEN(SUBSTITUTE(SUBSTITUTE(SUBSTITUTE(N183," ",""),"0",""),"-",""))+LEN(SUBSTITUTE(SUBSTITUTE(SUBSTITUTE(M184," ",""),"0",""),"-",""))+LEN(SUBSTITUTE(SUBSTITUTE(SUBSTITUTE(N184," ",""),"0",""),"-",""))+LEN(SUBSTITUTE(SUBSTITUTE(SUBSTITUTE(M185," ",""),"0",""),"-",""))+LEN(SUBSTITUTE(SUBSTITUTE(SUBSTITUTE(N185," ",""),"0",""),"-",""))</f>
      </c>
      <c r="N188" s="14" t="str">
        <f>IF(UPPER(L181)="X",0,IF((LEN(SUBSTITUTE(SUBSTITUTE(SUBSTITUTE(M181," ",""),"0",""),"-",""))+LEN(SUBSTITUTE(SUBSTITUTE(SUBSTITUTE(N181," ",""),"0",""),"-","")))&gt;(LEN(SUBSTITUTE(SUBSTITUTE(SUBSTITUTE(J181," ",""),"0",""),"-",""))+LEN(SUBSTITUTE(SUBSTITUTE(SUBSTITUTE(K181," ",""),"0",""),"-",""))),1,0))+IF(UPPER(L182)="X",0,IF((LEN(SUBSTITUTE(SUBSTITUTE(SUBSTITUTE(M182," ",""),"0",""),"-",""))+LEN(SUBSTITUTE(SUBSTITUTE(SUBSTITUTE(N182," ",""),"0",""),"-","")))&gt;(LEN(SUBSTITUTE(SUBSTITUTE(SUBSTITUTE(J182," ",""),"0",""),"-",""))+LEN(SUBSTITUTE(SUBSTITUTE(SUBSTITUTE(K182," ",""),"0",""),"-",""))),1,0))+IF(UPPER(L183)="X",0,IF((LEN(SUBSTITUTE(SUBSTITUTE(SUBSTITUTE(M183," ",""),"0",""),"-",""))+LEN(SUBSTITUTE(SUBSTITUTE(SUBSTITUTE(N183," ",""),"0",""),"-","")))&gt;(LEN(SUBSTITUTE(SUBSTITUTE(SUBSTITUTE(J183," ",""),"0",""),"-",""))+LEN(SUBSTITUTE(SUBSTITUTE(SUBSTITUTE(K183," ",""),"0",""),"-",""))),1,0))+IF(UPPER(L184)="X",0,IF((LEN(SUBSTITUTE(SUBSTITUTE(SUBSTITUTE(M184," ",""),"0",""),"-",""))+LEN(SUBSTITUTE(SUBSTITUTE(SUBSTITUTE(N184," ",""),"0",""),"-","")))&gt;(LEN(SUBSTITUTE(SUBSTITUTE(SUBSTITUTE(J184," ",""),"0",""),"-",""))+LEN(SUBSTITUTE(SUBSTITUTE(SUBSTITUTE(K184," ",""),"0",""),"-",""))),1,0))+IF(UPPER(L185)="X",0,IF((LEN(SUBSTITUTE(SUBSTITUTE(SUBSTITUTE(M185," ",""),"0",""),"-",""))+LEN(SUBSTITUTE(SUBSTITUTE(SUBSTITUTE(N185," ",""),"0",""),"-","")))&gt;(LEN(SUBSTITUTE(SUBSTITUTE(SUBSTITUTE(J185," ",""),"0",""),"-",""))+LEN(SUBSTITUTE(SUBSTITUTE(SUBSTITUTE(K185," ",""),"0",""),"-",""))),1,0))</f>
      </c>
      <c r="O188" s="14" t="s">
        <v>349</v>
      </c>
    </row>
    <row r="191">
      <c r="F191" t="s">
        <v>345</v>
      </c>
      <c r="G191" s="19"/>
      <c r="N191" t="s">
        <v>345</v>
      </c>
      <c r="O191" s="19"/>
    </row>
    <row r="192">
      <c r="F192" t="s">
        <v>346</v>
      </c>
      <c r="G192" s="19"/>
      <c r="N192" t="s">
        <v>346</v>
      </c>
      <c r="O192" s="19"/>
    </row>
    <row r="194">
      <c r="A194" s="13" t="s">
        <v>373</v>
      </c>
      <c r="B194" s="13"/>
      <c r="C194" s="13"/>
      <c r="D194" s="13"/>
      <c r="E194" s="13"/>
      <c r="F194" s="13"/>
      <c r="G194" s="13"/>
      <c r="I194" s="13" t="s">
        <v>374</v>
      </c>
      <c r="J194" s="13"/>
      <c r="K194" s="13"/>
      <c r="L194" s="13"/>
      <c r="M194" s="13"/>
      <c r="N194" s="13"/>
      <c r="O194" s="13"/>
    </row>
    <row r="195">
      <c r="A195" s="17" t="s">
        <v>331</v>
      </c>
      <c r="D195" s="14" t="s">
        <v>332</v>
      </c>
      <c r="G195" s="16" t="s">
        <v>333</v>
      </c>
      <c r="I195" s="17" t="s">
        <v>331</v>
      </c>
      <c r="L195" s="14" t="s">
        <v>332</v>
      </c>
      <c r="O195" s="16" t="s">
        <v>333</v>
      </c>
    </row>
    <row r="196">
      <c r="A196" s="14" t="str">
        <f>CONCATENATE("Pool AC-2nd ",'Pool Matches'!O557)</f>
      </c>
      <c r="B196" s="14"/>
      <c r="C196" s="14"/>
      <c r="D196" s="18"/>
      <c r="E196" s="14"/>
      <c r="F196" s="14"/>
      <c r="G196" s="14" t="str">
        <f>CONCATENATE("Pool N-1st ",'Pool Matches'!G599)</f>
      </c>
      <c r="I196" s="14" t="str">
        <f>CONCATENATE("Pool M-2nd ",'Pool Matches'!G557)</f>
      </c>
      <c r="J196" s="14"/>
      <c r="K196" s="14"/>
      <c r="L196" s="18"/>
      <c r="M196" s="14"/>
      <c r="N196" s="14"/>
      <c r="O196" s="14" t="str">
        <f>CONCATENATE("Pool AD-1st ",'Pool Matches'!O599)</f>
      </c>
    </row>
    <row r="197">
      <c r="A197" s="14">
        <v>1</v>
      </c>
      <c r="B197" s="18"/>
      <c r="C197" s="18"/>
      <c r="D197" s="18"/>
      <c r="E197" s="18"/>
      <c r="F197" s="18"/>
      <c r="G197" s="14">
        <v>1</v>
      </c>
      <c r="I197" s="14">
        <v>1</v>
      </c>
      <c r="J197" s="18"/>
      <c r="K197" s="18"/>
      <c r="L197" s="18"/>
      <c r="M197" s="18"/>
      <c r="N197" s="18"/>
      <c r="O197" s="14">
        <v>1</v>
      </c>
    </row>
    <row r="198">
      <c r="A198" s="14">
        <v>2</v>
      </c>
      <c r="B198" s="18"/>
      <c r="C198" s="18"/>
      <c r="D198" s="18"/>
      <c r="E198" s="18"/>
      <c r="F198" s="18"/>
      <c r="G198" s="14">
        <v>2</v>
      </c>
      <c r="I198" s="14">
        <v>2</v>
      </c>
      <c r="J198" s="18"/>
      <c r="K198" s="18"/>
      <c r="L198" s="18"/>
      <c r="M198" s="18"/>
      <c r="N198" s="18"/>
      <c r="O198" s="14">
        <v>2</v>
      </c>
    </row>
    <row r="199">
      <c r="A199" s="14">
        <v>3</v>
      </c>
      <c r="B199" s="18"/>
      <c r="C199" s="18"/>
      <c r="D199" s="18"/>
      <c r="E199" s="18"/>
      <c r="F199" s="18"/>
      <c r="G199" s="14">
        <v>3</v>
      </c>
      <c r="I199" s="14">
        <v>3</v>
      </c>
      <c r="J199" s="18"/>
      <c r="K199" s="18"/>
      <c r="L199" s="18"/>
      <c r="M199" s="18"/>
      <c r="N199" s="18"/>
      <c r="O199" s="14">
        <v>3</v>
      </c>
    </row>
    <row r="200">
      <c r="A200" s="14">
        <v>4</v>
      </c>
      <c r="B200" s="18"/>
      <c r="C200" s="18"/>
      <c r="D200" s="18"/>
      <c r="E200" s="18"/>
      <c r="F200" s="18"/>
      <c r="G200" s="14">
        <v>4</v>
      </c>
      <c r="I200" s="14">
        <v>4</v>
      </c>
      <c r="J200" s="18"/>
      <c r="K200" s="18"/>
      <c r="L200" s="18"/>
      <c r="M200" s="18"/>
      <c r="N200" s="18"/>
      <c r="O200" s="14">
        <v>4</v>
      </c>
    </row>
    <row r="201">
      <c r="A201" s="14">
        <v>5</v>
      </c>
      <c r="B201" s="18"/>
      <c r="C201" s="18"/>
      <c r="D201" s="18"/>
      <c r="E201" s="18"/>
      <c r="F201" s="18"/>
      <c r="G201" s="14">
        <v>5</v>
      </c>
      <c r="I201" s="14">
        <v>5</v>
      </c>
      <c r="J201" s="18"/>
      <c r="K201" s="18"/>
      <c r="L201" s="18"/>
      <c r="M201" s="18"/>
      <c r="N201" s="18"/>
      <c r="O201" s="14">
        <v>5</v>
      </c>
    </row>
    <row r="203">
      <c r="A203" s="14" t="str">
        <f>CONCATENATE("Pool AC-2nd ",'Pool Matches'!O557)</f>
      </c>
      <c r="B203" s="14" t="s">
        <v>339</v>
      </c>
      <c r="C203" s="14" t="s">
        <v>342</v>
      </c>
      <c r="D203" s="14"/>
      <c r="E203" s="14" t="s">
        <v>342</v>
      </c>
      <c r="F203" s="14" t="s">
        <v>339</v>
      </c>
      <c r="G203" s="14" t="str">
        <f>CONCATENATE("Pool N-1st ",'Pool Matches'!G599)</f>
      </c>
      <c r="I203" s="14" t="str">
        <f>CONCATENATE("Pool M-2nd ",'Pool Matches'!G557)</f>
      </c>
      <c r="J203" s="14" t="s">
        <v>339</v>
      </c>
      <c r="K203" s="14" t="s">
        <v>342</v>
      </c>
      <c r="L203" s="14"/>
      <c r="M203" s="14" t="s">
        <v>342</v>
      </c>
      <c r="N203" s="14" t="s">
        <v>339</v>
      </c>
      <c r="O203" s="14" t="str">
        <f>CONCATENATE("Pool AD-1st ",'Pool Matches'!O599)</f>
      </c>
    </row>
    <row r="204">
      <c r="A204" s="14" t="s">
        <v>349</v>
      </c>
      <c r="B204" s="14" t="str">
        <f>IF(UPPER(D197)="X",0,IF((LEN(SUBSTITUTE(SUBSTITUTE(SUBSTITUTE(B197," ",""),"0",""),"-",""))+LEN(SUBSTITUTE(SUBSTITUTE(SUBSTITUTE(C197," ",""),"0",""),"-","")))&gt;(LEN(SUBSTITUTE(SUBSTITUTE(SUBSTITUTE(E197," ",""),"0",""),"-",""))+LEN(SUBSTITUTE(SUBSTITUTE(SUBSTITUTE(F197," ",""),"0",""),"-",""))),1,0))+IF(UPPER(D198)="X",0,IF((LEN(SUBSTITUTE(SUBSTITUTE(SUBSTITUTE(B198," ",""),"0",""),"-",""))+LEN(SUBSTITUTE(SUBSTITUTE(SUBSTITUTE(C198," ",""),"0",""),"-","")))&gt;(LEN(SUBSTITUTE(SUBSTITUTE(SUBSTITUTE(E198," ",""),"0",""),"-",""))+LEN(SUBSTITUTE(SUBSTITUTE(SUBSTITUTE(F198," ",""),"0",""),"-",""))),1,0))+IF(UPPER(D199)="X",0,IF((LEN(SUBSTITUTE(SUBSTITUTE(SUBSTITUTE(B199," ",""),"0",""),"-",""))+LEN(SUBSTITUTE(SUBSTITUTE(SUBSTITUTE(C199," ",""),"0",""),"-","")))&gt;(LEN(SUBSTITUTE(SUBSTITUTE(SUBSTITUTE(E199," ",""),"0",""),"-",""))+LEN(SUBSTITUTE(SUBSTITUTE(SUBSTITUTE(F199," ",""),"0",""),"-",""))),1,0))+IF(UPPER(D200)="X",0,IF((LEN(SUBSTITUTE(SUBSTITUTE(SUBSTITUTE(B200," ",""),"0",""),"-",""))+LEN(SUBSTITUTE(SUBSTITUTE(SUBSTITUTE(C200," ",""),"0",""),"-","")))&gt;(LEN(SUBSTITUTE(SUBSTITUTE(SUBSTITUTE(E200," ",""),"0",""),"-",""))+LEN(SUBSTITUTE(SUBSTITUTE(SUBSTITUTE(F200," ",""),"0",""),"-",""))),1,0))+IF(UPPER(D201)="X",0,IF((LEN(SUBSTITUTE(SUBSTITUTE(SUBSTITUTE(B201," ",""),"0",""),"-",""))+LEN(SUBSTITUTE(SUBSTITUTE(SUBSTITUTE(C201," ",""),"0",""),"-","")))&gt;(LEN(SUBSTITUTE(SUBSTITUTE(SUBSTITUTE(E201," ",""),"0",""),"-",""))+LEN(SUBSTITUTE(SUBSTITUTE(SUBSTITUTE(F201," ",""),"0",""),"-",""))),1,0))</f>
      </c>
      <c r="C204" s="14" t="str">
        <f>LEN(SUBSTITUTE(SUBSTITUTE(SUBSTITUTE(B197," ",""),"0",""),"-",""))+LEN(SUBSTITUTE(SUBSTITUTE(SUBSTITUTE(C197," ",""),"0",""),"-",""))+LEN(SUBSTITUTE(SUBSTITUTE(SUBSTITUTE(B198," ",""),"0",""),"-",""))+LEN(SUBSTITUTE(SUBSTITUTE(SUBSTITUTE(C198," ",""),"0",""),"-",""))+LEN(SUBSTITUTE(SUBSTITUTE(SUBSTITUTE(B199," ",""),"0",""),"-",""))+LEN(SUBSTITUTE(SUBSTITUTE(SUBSTITUTE(C199," ",""),"0",""),"-",""))+LEN(SUBSTITUTE(SUBSTITUTE(SUBSTITUTE(B200," ",""),"0",""),"-",""))+LEN(SUBSTITUTE(SUBSTITUTE(SUBSTITUTE(C200," ",""),"0",""),"-",""))+LEN(SUBSTITUTE(SUBSTITUTE(SUBSTITUTE(B201," ",""),"0",""),"-",""))+LEN(SUBSTITUTE(SUBSTITUTE(SUBSTITUTE(C201," ",""),"0",""),"-",""))</f>
      </c>
      <c r="D204" s="14"/>
      <c r="E204" s="14" t="str">
        <f>LEN(SUBSTITUTE(SUBSTITUTE(SUBSTITUTE(E197," ",""),"0",""),"-",""))+LEN(SUBSTITUTE(SUBSTITUTE(SUBSTITUTE(F197," ",""),"0",""),"-",""))+LEN(SUBSTITUTE(SUBSTITUTE(SUBSTITUTE(E198," ",""),"0",""),"-",""))+LEN(SUBSTITUTE(SUBSTITUTE(SUBSTITUTE(F198," ",""),"0",""),"-",""))+LEN(SUBSTITUTE(SUBSTITUTE(SUBSTITUTE(E199," ",""),"0",""),"-",""))+LEN(SUBSTITUTE(SUBSTITUTE(SUBSTITUTE(F199," ",""),"0",""),"-",""))+LEN(SUBSTITUTE(SUBSTITUTE(SUBSTITUTE(E200," ",""),"0",""),"-",""))+LEN(SUBSTITUTE(SUBSTITUTE(SUBSTITUTE(F200," ",""),"0",""),"-",""))+LEN(SUBSTITUTE(SUBSTITUTE(SUBSTITUTE(E201," ",""),"0",""),"-",""))+LEN(SUBSTITUTE(SUBSTITUTE(SUBSTITUTE(F201," ",""),"0",""),"-",""))</f>
      </c>
      <c r="F204" s="14" t="str">
        <f>IF(UPPER(D197)="X",0,IF((LEN(SUBSTITUTE(SUBSTITUTE(SUBSTITUTE(E197," ",""),"0",""),"-",""))+LEN(SUBSTITUTE(SUBSTITUTE(SUBSTITUTE(F197," ",""),"0",""),"-","")))&gt;(LEN(SUBSTITUTE(SUBSTITUTE(SUBSTITUTE(B197," ",""),"0",""),"-",""))+LEN(SUBSTITUTE(SUBSTITUTE(SUBSTITUTE(C197," ",""),"0",""),"-",""))),1,0))+IF(UPPER(D198)="X",0,IF((LEN(SUBSTITUTE(SUBSTITUTE(SUBSTITUTE(E198," ",""),"0",""),"-",""))+LEN(SUBSTITUTE(SUBSTITUTE(SUBSTITUTE(F198," ",""),"0",""),"-","")))&gt;(LEN(SUBSTITUTE(SUBSTITUTE(SUBSTITUTE(B198," ",""),"0",""),"-",""))+LEN(SUBSTITUTE(SUBSTITUTE(SUBSTITUTE(C198," ",""),"0",""),"-",""))),1,0))+IF(UPPER(D199)="X",0,IF((LEN(SUBSTITUTE(SUBSTITUTE(SUBSTITUTE(E199," ",""),"0",""),"-",""))+LEN(SUBSTITUTE(SUBSTITUTE(SUBSTITUTE(F199," ",""),"0",""),"-","")))&gt;(LEN(SUBSTITUTE(SUBSTITUTE(SUBSTITUTE(B199," ",""),"0",""),"-",""))+LEN(SUBSTITUTE(SUBSTITUTE(SUBSTITUTE(C199," ",""),"0",""),"-",""))),1,0))+IF(UPPER(D200)="X",0,IF((LEN(SUBSTITUTE(SUBSTITUTE(SUBSTITUTE(E200," ",""),"0",""),"-",""))+LEN(SUBSTITUTE(SUBSTITUTE(SUBSTITUTE(F200," ",""),"0",""),"-","")))&gt;(LEN(SUBSTITUTE(SUBSTITUTE(SUBSTITUTE(B200," ",""),"0",""),"-",""))+LEN(SUBSTITUTE(SUBSTITUTE(SUBSTITUTE(C200," ",""),"0",""),"-",""))),1,0))+IF(UPPER(D201)="X",0,IF((LEN(SUBSTITUTE(SUBSTITUTE(SUBSTITUTE(E201," ",""),"0",""),"-",""))+LEN(SUBSTITUTE(SUBSTITUTE(SUBSTITUTE(F201," ",""),"0",""),"-","")))&gt;(LEN(SUBSTITUTE(SUBSTITUTE(SUBSTITUTE(B201," ",""),"0",""),"-",""))+LEN(SUBSTITUTE(SUBSTITUTE(SUBSTITUTE(C201," ",""),"0",""),"-",""))),1,0))</f>
      </c>
      <c r="G204" s="14" t="s">
        <v>349</v>
      </c>
      <c r="I204" s="14" t="s">
        <v>349</v>
      </c>
      <c r="J204" s="14" t="str">
        <f>IF(UPPER(L197)="X",0,IF((LEN(SUBSTITUTE(SUBSTITUTE(SUBSTITUTE(J197," ",""),"0",""),"-",""))+LEN(SUBSTITUTE(SUBSTITUTE(SUBSTITUTE(K197," ",""),"0",""),"-","")))&gt;(LEN(SUBSTITUTE(SUBSTITUTE(SUBSTITUTE(M197," ",""),"0",""),"-",""))+LEN(SUBSTITUTE(SUBSTITUTE(SUBSTITUTE(N197," ",""),"0",""),"-",""))),1,0))+IF(UPPER(L198)="X",0,IF((LEN(SUBSTITUTE(SUBSTITUTE(SUBSTITUTE(J198," ",""),"0",""),"-",""))+LEN(SUBSTITUTE(SUBSTITUTE(SUBSTITUTE(K198," ",""),"0",""),"-","")))&gt;(LEN(SUBSTITUTE(SUBSTITUTE(SUBSTITUTE(M198," ",""),"0",""),"-",""))+LEN(SUBSTITUTE(SUBSTITUTE(SUBSTITUTE(N198," ",""),"0",""),"-",""))),1,0))+IF(UPPER(L199)="X",0,IF((LEN(SUBSTITUTE(SUBSTITUTE(SUBSTITUTE(J199," ",""),"0",""),"-",""))+LEN(SUBSTITUTE(SUBSTITUTE(SUBSTITUTE(K199," ",""),"0",""),"-","")))&gt;(LEN(SUBSTITUTE(SUBSTITUTE(SUBSTITUTE(M199," ",""),"0",""),"-",""))+LEN(SUBSTITUTE(SUBSTITUTE(SUBSTITUTE(N199," ",""),"0",""),"-",""))),1,0))+IF(UPPER(L200)="X",0,IF((LEN(SUBSTITUTE(SUBSTITUTE(SUBSTITUTE(J200," ",""),"0",""),"-",""))+LEN(SUBSTITUTE(SUBSTITUTE(SUBSTITUTE(K200," ",""),"0",""),"-","")))&gt;(LEN(SUBSTITUTE(SUBSTITUTE(SUBSTITUTE(M200," ",""),"0",""),"-",""))+LEN(SUBSTITUTE(SUBSTITUTE(SUBSTITUTE(N200," ",""),"0",""),"-",""))),1,0))+IF(UPPER(L201)="X",0,IF((LEN(SUBSTITUTE(SUBSTITUTE(SUBSTITUTE(J201," ",""),"0",""),"-",""))+LEN(SUBSTITUTE(SUBSTITUTE(SUBSTITUTE(K201," ",""),"0",""),"-","")))&gt;(LEN(SUBSTITUTE(SUBSTITUTE(SUBSTITUTE(M201," ",""),"0",""),"-",""))+LEN(SUBSTITUTE(SUBSTITUTE(SUBSTITUTE(N201," ",""),"0",""),"-",""))),1,0))</f>
      </c>
      <c r="K204" s="14" t="str">
        <f>LEN(SUBSTITUTE(SUBSTITUTE(SUBSTITUTE(J197," ",""),"0",""),"-",""))+LEN(SUBSTITUTE(SUBSTITUTE(SUBSTITUTE(K197," ",""),"0",""),"-",""))+LEN(SUBSTITUTE(SUBSTITUTE(SUBSTITUTE(J198," ",""),"0",""),"-",""))+LEN(SUBSTITUTE(SUBSTITUTE(SUBSTITUTE(K198," ",""),"0",""),"-",""))+LEN(SUBSTITUTE(SUBSTITUTE(SUBSTITUTE(J199," ",""),"0",""),"-",""))+LEN(SUBSTITUTE(SUBSTITUTE(SUBSTITUTE(K199," ",""),"0",""),"-",""))+LEN(SUBSTITUTE(SUBSTITUTE(SUBSTITUTE(J200," ",""),"0",""),"-",""))+LEN(SUBSTITUTE(SUBSTITUTE(SUBSTITUTE(K200," ",""),"0",""),"-",""))+LEN(SUBSTITUTE(SUBSTITUTE(SUBSTITUTE(J201," ",""),"0",""),"-",""))+LEN(SUBSTITUTE(SUBSTITUTE(SUBSTITUTE(K201," ",""),"0",""),"-",""))</f>
      </c>
      <c r="L204" s="14"/>
      <c r="M204" s="14" t="str">
        <f>LEN(SUBSTITUTE(SUBSTITUTE(SUBSTITUTE(M197," ",""),"0",""),"-",""))+LEN(SUBSTITUTE(SUBSTITUTE(SUBSTITUTE(N197," ",""),"0",""),"-",""))+LEN(SUBSTITUTE(SUBSTITUTE(SUBSTITUTE(M198," ",""),"0",""),"-",""))+LEN(SUBSTITUTE(SUBSTITUTE(SUBSTITUTE(N198," ",""),"0",""),"-",""))+LEN(SUBSTITUTE(SUBSTITUTE(SUBSTITUTE(M199," ",""),"0",""),"-",""))+LEN(SUBSTITUTE(SUBSTITUTE(SUBSTITUTE(N199," ",""),"0",""),"-",""))+LEN(SUBSTITUTE(SUBSTITUTE(SUBSTITUTE(M200," ",""),"0",""),"-",""))+LEN(SUBSTITUTE(SUBSTITUTE(SUBSTITUTE(N200," ",""),"0",""),"-",""))+LEN(SUBSTITUTE(SUBSTITUTE(SUBSTITUTE(M201," ",""),"0",""),"-",""))+LEN(SUBSTITUTE(SUBSTITUTE(SUBSTITUTE(N201," ",""),"0",""),"-",""))</f>
      </c>
      <c r="N204" s="14" t="str">
        <f>IF(UPPER(L197)="X",0,IF((LEN(SUBSTITUTE(SUBSTITUTE(SUBSTITUTE(M197," ",""),"0",""),"-",""))+LEN(SUBSTITUTE(SUBSTITUTE(SUBSTITUTE(N197," ",""),"0",""),"-","")))&gt;(LEN(SUBSTITUTE(SUBSTITUTE(SUBSTITUTE(J197," ",""),"0",""),"-",""))+LEN(SUBSTITUTE(SUBSTITUTE(SUBSTITUTE(K197," ",""),"0",""),"-",""))),1,0))+IF(UPPER(L198)="X",0,IF((LEN(SUBSTITUTE(SUBSTITUTE(SUBSTITUTE(M198," ",""),"0",""),"-",""))+LEN(SUBSTITUTE(SUBSTITUTE(SUBSTITUTE(N198," ",""),"0",""),"-","")))&gt;(LEN(SUBSTITUTE(SUBSTITUTE(SUBSTITUTE(J198," ",""),"0",""),"-",""))+LEN(SUBSTITUTE(SUBSTITUTE(SUBSTITUTE(K198," ",""),"0",""),"-",""))),1,0))+IF(UPPER(L199)="X",0,IF((LEN(SUBSTITUTE(SUBSTITUTE(SUBSTITUTE(M199," ",""),"0",""),"-",""))+LEN(SUBSTITUTE(SUBSTITUTE(SUBSTITUTE(N199," ",""),"0",""),"-","")))&gt;(LEN(SUBSTITUTE(SUBSTITUTE(SUBSTITUTE(J199," ",""),"0",""),"-",""))+LEN(SUBSTITUTE(SUBSTITUTE(SUBSTITUTE(K199," ",""),"0",""),"-",""))),1,0))+IF(UPPER(L200)="X",0,IF((LEN(SUBSTITUTE(SUBSTITUTE(SUBSTITUTE(M200," ",""),"0",""),"-",""))+LEN(SUBSTITUTE(SUBSTITUTE(SUBSTITUTE(N200," ",""),"0",""),"-","")))&gt;(LEN(SUBSTITUTE(SUBSTITUTE(SUBSTITUTE(J200," ",""),"0",""),"-",""))+LEN(SUBSTITUTE(SUBSTITUTE(SUBSTITUTE(K200," ",""),"0",""),"-",""))),1,0))+IF(UPPER(L201)="X",0,IF((LEN(SUBSTITUTE(SUBSTITUTE(SUBSTITUTE(M201," ",""),"0",""),"-",""))+LEN(SUBSTITUTE(SUBSTITUTE(SUBSTITUTE(N201," ",""),"0",""),"-","")))&gt;(LEN(SUBSTITUTE(SUBSTITUTE(SUBSTITUTE(J201," ",""),"0",""),"-",""))+LEN(SUBSTITUTE(SUBSTITUTE(SUBSTITUTE(K201," ",""),"0",""),"-",""))),1,0))</f>
      </c>
      <c r="O204" s="14" t="s">
        <v>349</v>
      </c>
    </row>
    <row r="207">
      <c r="F207" t="s">
        <v>345</v>
      </c>
      <c r="G207" s="19"/>
      <c r="N207" t="s">
        <v>345</v>
      </c>
      <c r="O207" s="19"/>
    </row>
    <row r="208">
      <c r="F208" t="s">
        <v>346</v>
      </c>
      <c r="G208" s="19"/>
      <c r="N208" t="s">
        <v>346</v>
      </c>
      <c r="O208" s="19"/>
    </row>
    <row r="210">
      <c r="A210" s="13" t="s">
        <v>375</v>
      </c>
      <c r="B210" s="13"/>
      <c r="C210" s="13"/>
      <c r="D210" s="13"/>
      <c r="E210" s="13"/>
      <c r="F210" s="13"/>
      <c r="G210" s="13"/>
      <c r="I210" s="13" t="s">
        <v>376</v>
      </c>
      <c r="J210" s="13"/>
      <c r="K210" s="13"/>
      <c r="L210" s="13"/>
      <c r="M210" s="13"/>
      <c r="N210" s="13"/>
      <c r="O210" s="13"/>
    </row>
    <row r="211">
      <c r="A211" s="17" t="s">
        <v>331</v>
      </c>
      <c r="D211" s="14" t="s">
        <v>332</v>
      </c>
      <c r="G211" s="16" t="s">
        <v>333</v>
      </c>
      <c r="I211" s="17" t="s">
        <v>331</v>
      </c>
      <c r="L211" s="14" t="s">
        <v>332</v>
      </c>
      <c r="O211" s="16" t="s">
        <v>333</v>
      </c>
    </row>
    <row r="212">
      <c r="A212" s="14" t="str">
        <f>CONCATENATE("Pool AD-2nd ",'Pool Matches'!O600)</f>
      </c>
      <c r="B212" s="14"/>
      <c r="C212" s="14"/>
      <c r="D212" s="18"/>
      <c r="E212" s="14"/>
      <c r="F212" s="14"/>
      <c r="G212" s="14" t="str">
        <f>CONCATENATE("Pool O-1st ",'Pool Matches'!G642)</f>
      </c>
      <c r="I212" s="14" t="str">
        <f>CONCATENATE("Pool N-2nd ",'Pool Matches'!G600)</f>
      </c>
      <c r="J212" s="14"/>
      <c r="K212" s="14"/>
      <c r="L212" s="18"/>
      <c r="M212" s="14"/>
      <c r="N212" s="14"/>
      <c r="O212" s="14" t="str">
        <f>CONCATENATE("Pool AE-1st ",'Pool Matches'!O640)</f>
      </c>
    </row>
    <row r="213">
      <c r="A213" s="14">
        <v>1</v>
      </c>
      <c r="B213" s="18"/>
      <c r="C213" s="18"/>
      <c r="D213" s="18"/>
      <c r="E213" s="18"/>
      <c r="F213" s="18"/>
      <c r="G213" s="14">
        <v>1</v>
      </c>
      <c r="I213" s="14">
        <v>1</v>
      </c>
      <c r="J213" s="18"/>
      <c r="K213" s="18"/>
      <c r="L213" s="18"/>
      <c r="M213" s="18"/>
      <c r="N213" s="18"/>
      <c r="O213" s="14">
        <v>1</v>
      </c>
    </row>
    <row r="214">
      <c r="A214" s="14">
        <v>2</v>
      </c>
      <c r="B214" s="18"/>
      <c r="C214" s="18"/>
      <c r="D214" s="18"/>
      <c r="E214" s="18"/>
      <c r="F214" s="18"/>
      <c r="G214" s="14">
        <v>2</v>
      </c>
      <c r="I214" s="14">
        <v>2</v>
      </c>
      <c r="J214" s="18"/>
      <c r="K214" s="18"/>
      <c r="L214" s="18"/>
      <c r="M214" s="18"/>
      <c r="N214" s="18"/>
      <c r="O214" s="14">
        <v>2</v>
      </c>
    </row>
    <row r="215">
      <c r="A215" s="14">
        <v>3</v>
      </c>
      <c r="B215" s="18"/>
      <c r="C215" s="18"/>
      <c r="D215" s="18"/>
      <c r="E215" s="18"/>
      <c r="F215" s="18"/>
      <c r="G215" s="14">
        <v>3</v>
      </c>
      <c r="I215" s="14">
        <v>3</v>
      </c>
      <c r="J215" s="18"/>
      <c r="K215" s="18"/>
      <c r="L215" s="18"/>
      <c r="M215" s="18"/>
      <c r="N215" s="18"/>
      <c r="O215" s="14">
        <v>3</v>
      </c>
    </row>
    <row r="216">
      <c r="A216" s="14">
        <v>4</v>
      </c>
      <c r="B216" s="18"/>
      <c r="C216" s="18"/>
      <c r="D216" s="18"/>
      <c r="E216" s="18"/>
      <c r="F216" s="18"/>
      <c r="G216" s="14">
        <v>4</v>
      </c>
      <c r="I216" s="14">
        <v>4</v>
      </c>
      <c r="J216" s="18"/>
      <c r="K216" s="18"/>
      <c r="L216" s="18"/>
      <c r="M216" s="18"/>
      <c r="N216" s="18"/>
      <c r="O216" s="14">
        <v>4</v>
      </c>
    </row>
    <row r="217">
      <c r="A217" s="14">
        <v>5</v>
      </c>
      <c r="B217" s="18"/>
      <c r="C217" s="18"/>
      <c r="D217" s="18"/>
      <c r="E217" s="18"/>
      <c r="F217" s="18"/>
      <c r="G217" s="14">
        <v>5</v>
      </c>
      <c r="I217" s="14">
        <v>5</v>
      </c>
      <c r="J217" s="18"/>
      <c r="K217" s="18"/>
      <c r="L217" s="18"/>
      <c r="M217" s="18"/>
      <c r="N217" s="18"/>
      <c r="O217" s="14">
        <v>5</v>
      </c>
    </row>
    <row r="219">
      <c r="A219" s="14" t="str">
        <f>CONCATENATE("Pool AD-2nd ",'Pool Matches'!O600)</f>
      </c>
      <c r="B219" s="14" t="s">
        <v>339</v>
      </c>
      <c r="C219" s="14" t="s">
        <v>342</v>
      </c>
      <c r="D219" s="14"/>
      <c r="E219" s="14" t="s">
        <v>342</v>
      </c>
      <c r="F219" s="14" t="s">
        <v>339</v>
      </c>
      <c r="G219" s="14" t="str">
        <f>CONCATENATE("Pool O-1st ",'Pool Matches'!G642)</f>
      </c>
      <c r="I219" s="14" t="str">
        <f>CONCATENATE("Pool N-2nd ",'Pool Matches'!G600)</f>
      </c>
      <c r="J219" s="14" t="s">
        <v>339</v>
      </c>
      <c r="K219" s="14" t="s">
        <v>342</v>
      </c>
      <c r="L219" s="14"/>
      <c r="M219" s="14" t="s">
        <v>342</v>
      </c>
      <c r="N219" s="14" t="s">
        <v>339</v>
      </c>
      <c r="O219" s="14" t="str">
        <f>CONCATENATE("Pool AE-1st ",'Pool Matches'!O640)</f>
      </c>
    </row>
    <row r="220">
      <c r="A220" s="14" t="s">
        <v>349</v>
      </c>
      <c r="B220" s="14" t="str">
        <f>IF(UPPER(D213)="X",0,IF((LEN(SUBSTITUTE(SUBSTITUTE(SUBSTITUTE(B213," ",""),"0",""),"-",""))+LEN(SUBSTITUTE(SUBSTITUTE(SUBSTITUTE(C213," ",""),"0",""),"-","")))&gt;(LEN(SUBSTITUTE(SUBSTITUTE(SUBSTITUTE(E213," ",""),"0",""),"-",""))+LEN(SUBSTITUTE(SUBSTITUTE(SUBSTITUTE(F213," ",""),"0",""),"-",""))),1,0))+IF(UPPER(D214)="X",0,IF((LEN(SUBSTITUTE(SUBSTITUTE(SUBSTITUTE(B214," ",""),"0",""),"-",""))+LEN(SUBSTITUTE(SUBSTITUTE(SUBSTITUTE(C214," ",""),"0",""),"-","")))&gt;(LEN(SUBSTITUTE(SUBSTITUTE(SUBSTITUTE(E214," ",""),"0",""),"-",""))+LEN(SUBSTITUTE(SUBSTITUTE(SUBSTITUTE(F214," ",""),"0",""),"-",""))),1,0))+IF(UPPER(D215)="X",0,IF((LEN(SUBSTITUTE(SUBSTITUTE(SUBSTITUTE(B215," ",""),"0",""),"-",""))+LEN(SUBSTITUTE(SUBSTITUTE(SUBSTITUTE(C215," ",""),"0",""),"-","")))&gt;(LEN(SUBSTITUTE(SUBSTITUTE(SUBSTITUTE(E215," ",""),"0",""),"-",""))+LEN(SUBSTITUTE(SUBSTITUTE(SUBSTITUTE(F215," ",""),"0",""),"-",""))),1,0))+IF(UPPER(D216)="X",0,IF((LEN(SUBSTITUTE(SUBSTITUTE(SUBSTITUTE(B216," ",""),"0",""),"-",""))+LEN(SUBSTITUTE(SUBSTITUTE(SUBSTITUTE(C216," ",""),"0",""),"-","")))&gt;(LEN(SUBSTITUTE(SUBSTITUTE(SUBSTITUTE(E216," ",""),"0",""),"-",""))+LEN(SUBSTITUTE(SUBSTITUTE(SUBSTITUTE(F216," ",""),"0",""),"-",""))),1,0))+IF(UPPER(D217)="X",0,IF((LEN(SUBSTITUTE(SUBSTITUTE(SUBSTITUTE(B217," ",""),"0",""),"-",""))+LEN(SUBSTITUTE(SUBSTITUTE(SUBSTITUTE(C217," ",""),"0",""),"-","")))&gt;(LEN(SUBSTITUTE(SUBSTITUTE(SUBSTITUTE(E217," ",""),"0",""),"-",""))+LEN(SUBSTITUTE(SUBSTITUTE(SUBSTITUTE(F217," ",""),"0",""),"-",""))),1,0))</f>
      </c>
      <c r="C220" s="14" t="str">
        <f>LEN(SUBSTITUTE(SUBSTITUTE(SUBSTITUTE(B213," ",""),"0",""),"-",""))+LEN(SUBSTITUTE(SUBSTITUTE(SUBSTITUTE(C213," ",""),"0",""),"-",""))+LEN(SUBSTITUTE(SUBSTITUTE(SUBSTITUTE(B214," ",""),"0",""),"-",""))+LEN(SUBSTITUTE(SUBSTITUTE(SUBSTITUTE(C214," ",""),"0",""),"-",""))+LEN(SUBSTITUTE(SUBSTITUTE(SUBSTITUTE(B215," ",""),"0",""),"-",""))+LEN(SUBSTITUTE(SUBSTITUTE(SUBSTITUTE(C215," ",""),"0",""),"-",""))+LEN(SUBSTITUTE(SUBSTITUTE(SUBSTITUTE(B216," ",""),"0",""),"-",""))+LEN(SUBSTITUTE(SUBSTITUTE(SUBSTITUTE(C216," ",""),"0",""),"-",""))+LEN(SUBSTITUTE(SUBSTITUTE(SUBSTITUTE(B217," ",""),"0",""),"-",""))+LEN(SUBSTITUTE(SUBSTITUTE(SUBSTITUTE(C217," ",""),"0",""),"-",""))</f>
      </c>
      <c r="D220" s="14"/>
      <c r="E220" s="14" t="str">
        <f>LEN(SUBSTITUTE(SUBSTITUTE(SUBSTITUTE(E213," ",""),"0",""),"-",""))+LEN(SUBSTITUTE(SUBSTITUTE(SUBSTITUTE(F213," ",""),"0",""),"-",""))+LEN(SUBSTITUTE(SUBSTITUTE(SUBSTITUTE(E214," ",""),"0",""),"-",""))+LEN(SUBSTITUTE(SUBSTITUTE(SUBSTITUTE(F214," ",""),"0",""),"-",""))+LEN(SUBSTITUTE(SUBSTITUTE(SUBSTITUTE(E215," ",""),"0",""),"-",""))+LEN(SUBSTITUTE(SUBSTITUTE(SUBSTITUTE(F215," ",""),"0",""),"-",""))+LEN(SUBSTITUTE(SUBSTITUTE(SUBSTITUTE(E216," ",""),"0",""),"-",""))+LEN(SUBSTITUTE(SUBSTITUTE(SUBSTITUTE(F216," ",""),"0",""),"-",""))+LEN(SUBSTITUTE(SUBSTITUTE(SUBSTITUTE(E217," ",""),"0",""),"-",""))+LEN(SUBSTITUTE(SUBSTITUTE(SUBSTITUTE(F217," ",""),"0",""),"-",""))</f>
      </c>
      <c r="F220" s="14" t="str">
        <f>IF(UPPER(D213)="X",0,IF((LEN(SUBSTITUTE(SUBSTITUTE(SUBSTITUTE(E213," ",""),"0",""),"-",""))+LEN(SUBSTITUTE(SUBSTITUTE(SUBSTITUTE(F213," ",""),"0",""),"-","")))&gt;(LEN(SUBSTITUTE(SUBSTITUTE(SUBSTITUTE(B213," ",""),"0",""),"-",""))+LEN(SUBSTITUTE(SUBSTITUTE(SUBSTITUTE(C213," ",""),"0",""),"-",""))),1,0))+IF(UPPER(D214)="X",0,IF((LEN(SUBSTITUTE(SUBSTITUTE(SUBSTITUTE(E214," ",""),"0",""),"-",""))+LEN(SUBSTITUTE(SUBSTITUTE(SUBSTITUTE(F214," ",""),"0",""),"-","")))&gt;(LEN(SUBSTITUTE(SUBSTITUTE(SUBSTITUTE(B214," ",""),"0",""),"-",""))+LEN(SUBSTITUTE(SUBSTITUTE(SUBSTITUTE(C214," ",""),"0",""),"-",""))),1,0))+IF(UPPER(D215)="X",0,IF((LEN(SUBSTITUTE(SUBSTITUTE(SUBSTITUTE(E215," ",""),"0",""),"-",""))+LEN(SUBSTITUTE(SUBSTITUTE(SUBSTITUTE(F215," ",""),"0",""),"-","")))&gt;(LEN(SUBSTITUTE(SUBSTITUTE(SUBSTITUTE(B215," ",""),"0",""),"-",""))+LEN(SUBSTITUTE(SUBSTITUTE(SUBSTITUTE(C215," ",""),"0",""),"-",""))),1,0))+IF(UPPER(D216)="X",0,IF((LEN(SUBSTITUTE(SUBSTITUTE(SUBSTITUTE(E216," ",""),"0",""),"-",""))+LEN(SUBSTITUTE(SUBSTITUTE(SUBSTITUTE(F216," ",""),"0",""),"-","")))&gt;(LEN(SUBSTITUTE(SUBSTITUTE(SUBSTITUTE(B216," ",""),"0",""),"-",""))+LEN(SUBSTITUTE(SUBSTITUTE(SUBSTITUTE(C216," ",""),"0",""),"-",""))),1,0))+IF(UPPER(D217)="X",0,IF((LEN(SUBSTITUTE(SUBSTITUTE(SUBSTITUTE(E217," ",""),"0",""),"-",""))+LEN(SUBSTITUTE(SUBSTITUTE(SUBSTITUTE(F217," ",""),"0",""),"-","")))&gt;(LEN(SUBSTITUTE(SUBSTITUTE(SUBSTITUTE(B217," ",""),"0",""),"-",""))+LEN(SUBSTITUTE(SUBSTITUTE(SUBSTITUTE(C217," ",""),"0",""),"-",""))),1,0))</f>
      </c>
      <c r="G220" s="14" t="s">
        <v>349</v>
      </c>
      <c r="I220" s="14" t="s">
        <v>349</v>
      </c>
      <c r="J220" s="14" t="str">
        <f>IF(UPPER(L213)="X",0,IF((LEN(SUBSTITUTE(SUBSTITUTE(SUBSTITUTE(J213," ",""),"0",""),"-",""))+LEN(SUBSTITUTE(SUBSTITUTE(SUBSTITUTE(K213," ",""),"0",""),"-","")))&gt;(LEN(SUBSTITUTE(SUBSTITUTE(SUBSTITUTE(M213," ",""),"0",""),"-",""))+LEN(SUBSTITUTE(SUBSTITUTE(SUBSTITUTE(N213," ",""),"0",""),"-",""))),1,0))+IF(UPPER(L214)="X",0,IF((LEN(SUBSTITUTE(SUBSTITUTE(SUBSTITUTE(J214," ",""),"0",""),"-",""))+LEN(SUBSTITUTE(SUBSTITUTE(SUBSTITUTE(K214," ",""),"0",""),"-","")))&gt;(LEN(SUBSTITUTE(SUBSTITUTE(SUBSTITUTE(M214," ",""),"0",""),"-",""))+LEN(SUBSTITUTE(SUBSTITUTE(SUBSTITUTE(N214," ",""),"0",""),"-",""))),1,0))+IF(UPPER(L215)="X",0,IF((LEN(SUBSTITUTE(SUBSTITUTE(SUBSTITUTE(J215," ",""),"0",""),"-",""))+LEN(SUBSTITUTE(SUBSTITUTE(SUBSTITUTE(K215," ",""),"0",""),"-","")))&gt;(LEN(SUBSTITUTE(SUBSTITUTE(SUBSTITUTE(M215," ",""),"0",""),"-",""))+LEN(SUBSTITUTE(SUBSTITUTE(SUBSTITUTE(N215," ",""),"0",""),"-",""))),1,0))+IF(UPPER(L216)="X",0,IF((LEN(SUBSTITUTE(SUBSTITUTE(SUBSTITUTE(J216," ",""),"0",""),"-",""))+LEN(SUBSTITUTE(SUBSTITUTE(SUBSTITUTE(K216," ",""),"0",""),"-","")))&gt;(LEN(SUBSTITUTE(SUBSTITUTE(SUBSTITUTE(M216," ",""),"0",""),"-",""))+LEN(SUBSTITUTE(SUBSTITUTE(SUBSTITUTE(N216," ",""),"0",""),"-",""))),1,0))+IF(UPPER(L217)="X",0,IF((LEN(SUBSTITUTE(SUBSTITUTE(SUBSTITUTE(J217," ",""),"0",""),"-",""))+LEN(SUBSTITUTE(SUBSTITUTE(SUBSTITUTE(K217," ",""),"0",""),"-","")))&gt;(LEN(SUBSTITUTE(SUBSTITUTE(SUBSTITUTE(M217," ",""),"0",""),"-",""))+LEN(SUBSTITUTE(SUBSTITUTE(SUBSTITUTE(N217," ",""),"0",""),"-",""))),1,0))</f>
      </c>
      <c r="K220" s="14" t="str">
        <f>LEN(SUBSTITUTE(SUBSTITUTE(SUBSTITUTE(J213," ",""),"0",""),"-",""))+LEN(SUBSTITUTE(SUBSTITUTE(SUBSTITUTE(K213," ",""),"0",""),"-",""))+LEN(SUBSTITUTE(SUBSTITUTE(SUBSTITUTE(J214," ",""),"0",""),"-",""))+LEN(SUBSTITUTE(SUBSTITUTE(SUBSTITUTE(K214," ",""),"0",""),"-",""))+LEN(SUBSTITUTE(SUBSTITUTE(SUBSTITUTE(J215," ",""),"0",""),"-",""))+LEN(SUBSTITUTE(SUBSTITUTE(SUBSTITUTE(K215," ",""),"0",""),"-",""))+LEN(SUBSTITUTE(SUBSTITUTE(SUBSTITUTE(J216," ",""),"0",""),"-",""))+LEN(SUBSTITUTE(SUBSTITUTE(SUBSTITUTE(K216," ",""),"0",""),"-",""))+LEN(SUBSTITUTE(SUBSTITUTE(SUBSTITUTE(J217," ",""),"0",""),"-",""))+LEN(SUBSTITUTE(SUBSTITUTE(SUBSTITUTE(K217," ",""),"0",""),"-",""))</f>
      </c>
      <c r="L220" s="14"/>
      <c r="M220" s="14" t="str">
        <f>LEN(SUBSTITUTE(SUBSTITUTE(SUBSTITUTE(M213," ",""),"0",""),"-",""))+LEN(SUBSTITUTE(SUBSTITUTE(SUBSTITUTE(N213," ",""),"0",""),"-",""))+LEN(SUBSTITUTE(SUBSTITUTE(SUBSTITUTE(M214," ",""),"0",""),"-",""))+LEN(SUBSTITUTE(SUBSTITUTE(SUBSTITUTE(N214," ",""),"0",""),"-",""))+LEN(SUBSTITUTE(SUBSTITUTE(SUBSTITUTE(M215," ",""),"0",""),"-",""))+LEN(SUBSTITUTE(SUBSTITUTE(SUBSTITUTE(N215," ",""),"0",""),"-",""))+LEN(SUBSTITUTE(SUBSTITUTE(SUBSTITUTE(M216," ",""),"0",""),"-",""))+LEN(SUBSTITUTE(SUBSTITUTE(SUBSTITUTE(N216," ",""),"0",""),"-",""))+LEN(SUBSTITUTE(SUBSTITUTE(SUBSTITUTE(M217," ",""),"0",""),"-",""))+LEN(SUBSTITUTE(SUBSTITUTE(SUBSTITUTE(N217," ",""),"0",""),"-",""))</f>
      </c>
      <c r="N220" s="14" t="str">
        <f>IF(UPPER(L213)="X",0,IF((LEN(SUBSTITUTE(SUBSTITUTE(SUBSTITUTE(M213," ",""),"0",""),"-",""))+LEN(SUBSTITUTE(SUBSTITUTE(SUBSTITUTE(N213," ",""),"0",""),"-","")))&gt;(LEN(SUBSTITUTE(SUBSTITUTE(SUBSTITUTE(J213," ",""),"0",""),"-",""))+LEN(SUBSTITUTE(SUBSTITUTE(SUBSTITUTE(K213," ",""),"0",""),"-",""))),1,0))+IF(UPPER(L214)="X",0,IF((LEN(SUBSTITUTE(SUBSTITUTE(SUBSTITUTE(M214," ",""),"0",""),"-",""))+LEN(SUBSTITUTE(SUBSTITUTE(SUBSTITUTE(N214," ",""),"0",""),"-","")))&gt;(LEN(SUBSTITUTE(SUBSTITUTE(SUBSTITUTE(J214," ",""),"0",""),"-",""))+LEN(SUBSTITUTE(SUBSTITUTE(SUBSTITUTE(K214," ",""),"0",""),"-",""))),1,0))+IF(UPPER(L215)="X",0,IF((LEN(SUBSTITUTE(SUBSTITUTE(SUBSTITUTE(M215," ",""),"0",""),"-",""))+LEN(SUBSTITUTE(SUBSTITUTE(SUBSTITUTE(N215," ",""),"0",""),"-","")))&gt;(LEN(SUBSTITUTE(SUBSTITUTE(SUBSTITUTE(J215," ",""),"0",""),"-",""))+LEN(SUBSTITUTE(SUBSTITUTE(SUBSTITUTE(K215," ",""),"0",""),"-",""))),1,0))+IF(UPPER(L216)="X",0,IF((LEN(SUBSTITUTE(SUBSTITUTE(SUBSTITUTE(M216," ",""),"0",""),"-",""))+LEN(SUBSTITUTE(SUBSTITUTE(SUBSTITUTE(N216," ",""),"0",""),"-","")))&gt;(LEN(SUBSTITUTE(SUBSTITUTE(SUBSTITUTE(J216," ",""),"0",""),"-",""))+LEN(SUBSTITUTE(SUBSTITUTE(SUBSTITUTE(K216," ",""),"0",""),"-",""))),1,0))+IF(UPPER(L217)="X",0,IF((LEN(SUBSTITUTE(SUBSTITUTE(SUBSTITUTE(M217," ",""),"0",""),"-",""))+LEN(SUBSTITUTE(SUBSTITUTE(SUBSTITUTE(N217," ",""),"0",""),"-","")))&gt;(LEN(SUBSTITUTE(SUBSTITUTE(SUBSTITUTE(J217," ",""),"0",""),"-",""))+LEN(SUBSTITUTE(SUBSTITUTE(SUBSTITUTE(K217," ",""),"0",""),"-",""))),1,0))</f>
      </c>
      <c r="O220" s="14" t="s">
        <v>349</v>
      </c>
    </row>
    <row r="223">
      <c r="F223" t="s">
        <v>345</v>
      </c>
      <c r="G223" s="19"/>
      <c r="N223" t="s">
        <v>345</v>
      </c>
      <c r="O223" s="19"/>
    </row>
    <row r="224">
      <c r="F224" t="s">
        <v>346</v>
      </c>
      <c r="G224" s="19"/>
      <c r="N224" t="s">
        <v>346</v>
      </c>
      <c r="O224" s="19"/>
    </row>
    <row r="226">
      <c r="A226" s="13" t="s">
        <v>377</v>
      </c>
      <c r="B226" s="13"/>
      <c r="C226" s="13"/>
      <c r="D226" s="13"/>
      <c r="E226" s="13"/>
      <c r="F226" s="13"/>
      <c r="G226" s="13"/>
      <c r="I226" s="13" t="s">
        <v>378</v>
      </c>
      <c r="J226" s="13"/>
      <c r="K226" s="13"/>
      <c r="L226" s="13"/>
      <c r="M226" s="13"/>
      <c r="N226" s="13"/>
      <c r="O226" s="13"/>
    </row>
    <row r="227">
      <c r="A227" s="17" t="s">
        <v>331</v>
      </c>
      <c r="D227" s="14" t="s">
        <v>332</v>
      </c>
      <c r="G227" s="16" t="s">
        <v>333</v>
      </c>
      <c r="I227" s="17" t="s">
        <v>331</v>
      </c>
      <c r="L227" s="14" t="s">
        <v>332</v>
      </c>
      <c r="O227" s="16" t="s">
        <v>333</v>
      </c>
    </row>
    <row r="228">
      <c r="A228" s="14" t="str">
        <f>CONCATENATE("Pool AE-2nd ",'Pool Matches'!O641)</f>
      </c>
      <c r="B228" s="14"/>
      <c r="C228" s="14"/>
      <c r="D228" s="18"/>
      <c r="E228" s="14"/>
      <c r="F228" s="14"/>
      <c r="G228" s="14" t="str">
        <f>CONCATENATE("Pool P-1st ",'Pool Matches'!G667)</f>
      </c>
      <c r="I228" s="14" t="str">
        <f>CONCATENATE("Pool P-2nd ",'Pool Matches'!G668)</f>
      </c>
      <c r="J228" s="14"/>
      <c r="K228" s="14"/>
      <c r="L228" s="18"/>
      <c r="M228" s="14"/>
      <c r="N228" s="14"/>
      <c r="O228" s="14" t="str">
        <f>CONCATENATE("Pool O-2nd ",'Pool Matches'!G643)</f>
      </c>
    </row>
    <row r="229">
      <c r="A229" s="14">
        <v>1</v>
      </c>
      <c r="B229" s="18"/>
      <c r="C229" s="18"/>
      <c r="D229" s="18"/>
      <c r="E229" s="18"/>
      <c r="F229" s="18"/>
      <c r="G229" s="14">
        <v>1</v>
      </c>
      <c r="I229" s="14">
        <v>1</v>
      </c>
      <c r="J229" s="18"/>
      <c r="K229" s="18"/>
      <c r="L229" s="18"/>
      <c r="M229" s="18"/>
      <c r="N229" s="18"/>
      <c r="O229" s="14">
        <v>1</v>
      </c>
    </row>
    <row r="230">
      <c r="A230" s="14">
        <v>2</v>
      </c>
      <c r="B230" s="18"/>
      <c r="C230" s="18"/>
      <c r="D230" s="18"/>
      <c r="E230" s="18"/>
      <c r="F230" s="18"/>
      <c r="G230" s="14">
        <v>2</v>
      </c>
      <c r="I230" s="14">
        <v>2</v>
      </c>
      <c r="J230" s="18"/>
      <c r="K230" s="18"/>
      <c r="L230" s="18"/>
      <c r="M230" s="18"/>
      <c r="N230" s="18"/>
      <c r="O230" s="14">
        <v>2</v>
      </c>
    </row>
    <row r="231">
      <c r="A231" s="14">
        <v>3</v>
      </c>
      <c r="B231" s="18"/>
      <c r="C231" s="18"/>
      <c r="D231" s="18"/>
      <c r="E231" s="18"/>
      <c r="F231" s="18"/>
      <c r="G231" s="14">
        <v>3</v>
      </c>
      <c r="I231" s="14">
        <v>3</v>
      </c>
      <c r="J231" s="18"/>
      <c r="K231" s="18"/>
      <c r="L231" s="18"/>
      <c r="M231" s="18"/>
      <c r="N231" s="18"/>
      <c r="O231" s="14">
        <v>3</v>
      </c>
    </row>
    <row r="232">
      <c r="A232" s="14">
        <v>4</v>
      </c>
      <c r="B232" s="18"/>
      <c r="C232" s="18"/>
      <c r="D232" s="18"/>
      <c r="E232" s="18"/>
      <c r="F232" s="18"/>
      <c r="G232" s="14">
        <v>4</v>
      </c>
      <c r="I232" s="14">
        <v>4</v>
      </c>
      <c r="J232" s="18"/>
      <c r="K232" s="18"/>
      <c r="L232" s="18"/>
      <c r="M232" s="18"/>
      <c r="N232" s="18"/>
      <c r="O232" s="14">
        <v>4</v>
      </c>
    </row>
    <row r="233">
      <c r="A233" s="14">
        <v>5</v>
      </c>
      <c r="B233" s="18"/>
      <c r="C233" s="18"/>
      <c r="D233" s="18"/>
      <c r="E233" s="18"/>
      <c r="F233" s="18"/>
      <c r="G233" s="14">
        <v>5</v>
      </c>
      <c r="I233" s="14">
        <v>5</v>
      </c>
      <c r="J233" s="18"/>
      <c r="K233" s="18"/>
      <c r="L233" s="18"/>
      <c r="M233" s="18"/>
      <c r="N233" s="18"/>
      <c r="O233" s="14">
        <v>5</v>
      </c>
    </row>
    <row r="235">
      <c r="A235" s="14" t="str">
        <f>CONCATENATE("Pool AE-2nd ",'Pool Matches'!O641)</f>
      </c>
      <c r="B235" s="14" t="s">
        <v>339</v>
      </c>
      <c r="C235" s="14" t="s">
        <v>342</v>
      </c>
      <c r="D235" s="14"/>
      <c r="E235" s="14" t="s">
        <v>342</v>
      </c>
      <c r="F235" s="14" t="s">
        <v>339</v>
      </c>
      <c r="G235" s="14" t="str">
        <f>CONCATENATE("Pool P-1st ",'Pool Matches'!G667)</f>
      </c>
      <c r="I235" s="14" t="str">
        <f>CONCATENATE("Pool P-2nd ",'Pool Matches'!G668)</f>
      </c>
      <c r="J235" s="14" t="s">
        <v>339</v>
      </c>
      <c r="K235" s="14" t="s">
        <v>342</v>
      </c>
      <c r="L235" s="14"/>
      <c r="M235" s="14" t="s">
        <v>342</v>
      </c>
      <c r="N235" s="14" t="s">
        <v>339</v>
      </c>
      <c r="O235" s="14" t="str">
        <f>CONCATENATE("Pool O-2nd ",'Pool Matches'!G643)</f>
      </c>
    </row>
    <row r="236">
      <c r="A236" s="14" t="s">
        <v>349</v>
      </c>
      <c r="B236" s="14" t="str">
        <f>IF(UPPER(D229)="X",0,IF((LEN(SUBSTITUTE(SUBSTITUTE(SUBSTITUTE(B229," ",""),"0",""),"-",""))+LEN(SUBSTITUTE(SUBSTITUTE(SUBSTITUTE(C229," ",""),"0",""),"-","")))&gt;(LEN(SUBSTITUTE(SUBSTITUTE(SUBSTITUTE(E229," ",""),"0",""),"-",""))+LEN(SUBSTITUTE(SUBSTITUTE(SUBSTITUTE(F229," ",""),"0",""),"-",""))),1,0))+IF(UPPER(D230)="X",0,IF((LEN(SUBSTITUTE(SUBSTITUTE(SUBSTITUTE(B230," ",""),"0",""),"-",""))+LEN(SUBSTITUTE(SUBSTITUTE(SUBSTITUTE(C230," ",""),"0",""),"-","")))&gt;(LEN(SUBSTITUTE(SUBSTITUTE(SUBSTITUTE(E230," ",""),"0",""),"-",""))+LEN(SUBSTITUTE(SUBSTITUTE(SUBSTITUTE(F230," ",""),"0",""),"-",""))),1,0))+IF(UPPER(D231)="X",0,IF((LEN(SUBSTITUTE(SUBSTITUTE(SUBSTITUTE(B231," ",""),"0",""),"-",""))+LEN(SUBSTITUTE(SUBSTITUTE(SUBSTITUTE(C231," ",""),"0",""),"-","")))&gt;(LEN(SUBSTITUTE(SUBSTITUTE(SUBSTITUTE(E231," ",""),"0",""),"-",""))+LEN(SUBSTITUTE(SUBSTITUTE(SUBSTITUTE(F231," ",""),"0",""),"-",""))),1,0))+IF(UPPER(D232)="X",0,IF((LEN(SUBSTITUTE(SUBSTITUTE(SUBSTITUTE(B232," ",""),"0",""),"-",""))+LEN(SUBSTITUTE(SUBSTITUTE(SUBSTITUTE(C232," ",""),"0",""),"-","")))&gt;(LEN(SUBSTITUTE(SUBSTITUTE(SUBSTITUTE(E232," ",""),"0",""),"-",""))+LEN(SUBSTITUTE(SUBSTITUTE(SUBSTITUTE(F232," ",""),"0",""),"-",""))),1,0))+IF(UPPER(D233)="X",0,IF((LEN(SUBSTITUTE(SUBSTITUTE(SUBSTITUTE(B233," ",""),"0",""),"-",""))+LEN(SUBSTITUTE(SUBSTITUTE(SUBSTITUTE(C233," ",""),"0",""),"-","")))&gt;(LEN(SUBSTITUTE(SUBSTITUTE(SUBSTITUTE(E233," ",""),"0",""),"-",""))+LEN(SUBSTITUTE(SUBSTITUTE(SUBSTITUTE(F233," ",""),"0",""),"-",""))),1,0))</f>
      </c>
      <c r="C236" s="14" t="str">
        <f>LEN(SUBSTITUTE(SUBSTITUTE(SUBSTITUTE(B229," ",""),"0",""),"-",""))+LEN(SUBSTITUTE(SUBSTITUTE(SUBSTITUTE(C229," ",""),"0",""),"-",""))+LEN(SUBSTITUTE(SUBSTITUTE(SUBSTITUTE(B230," ",""),"0",""),"-",""))+LEN(SUBSTITUTE(SUBSTITUTE(SUBSTITUTE(C230," ",""),"0",""),"-",""))+LEN(SUBSTITUTE(SUBSTITUTE(SUBSTITUTE(B231," ",""),"0",""),"-",""))+LEN(SUBSTITUTE(SUBSTITUTE(SUBSTITUTE(C231," ",""),"0",""),"-",""))+LEN(SUBSTITUTE(SUBSTITUTE(SUBSTITUTE(B232," ",""),"0",""),"-",""))+LEN(SUBSTITUTE(SUBSTITUTE(SUBSTITUTE(C232," ",""),"0",""),"-",""))+LEN(SUBSTITUTE(SUBSTITUTE(SUBSTITUTE(B233," ",""),"0",""),"-",""))+LEN(SUBSTITUTE(SUBSTITUTE(SUBSTITUTE(C233," ",""),"0",""),"-",""))</f>
      </c>
      <c r="D236" s="14"/>
      <c r="E236" s="14" t="str">
        <f>LEN(SUBSTITUTE(SUBSTITUTE(SUBSTITUTE(E229," ",""),"0",""),"-",""))+LEN(SUBSTITUTE(SUBSTITUTE(SUBSTITUTE(F229," ",""),"0",""),"-",""))+LEN(SUBSTITUTE(SUBSTITUTE(SUBSTITUTE(E230," ",""),"0",""),"-",""))+LEN(SUBSTITUTE(SUBSTITUTE(SUBSTITUTE(F230," ",""),"0",""),"-",""))+LEN(SUBSTITUTE(SUBSTITUTE(SUBSTITUTE(E231," ",""),"0",""),"-",""))+LEN(SUBSTITUTE(SUBSTITUTE(SUBSTITUTE(F231," ",""),"0",""),"-",""))+LEN(SUBSTITUTE(SUBSTITUTE(SUBSTITUTE(E232," ",""),"0",""),"-",""))+LEN(SUBSTITUTE(SUBSTITUTE(SUBSTITUTE(F232," ",""),"0",""),"-",""))+LEN(SUBSTITUTE(SUBSTITUTE(SUBSTITUTE(E233," ",""),"0",""),"-",""))+LEN(SUBSTITUTE(SUBSTITUTE(SUBSTITUTE(F233," ",""),"0",""),"-",""))</f>
      </c>
      <c r="F236" s="14" t="str">
        <f>IF(UPPER(D229)="X",0,IF((LEN(SUBSTITUTE(SUBSTITUTE(SUBSTITUTE(E229," ",""),"0",""),"-",""))+LEN(SUBSTITUTE(SUBSTITUTE(SUBSTITUTE(F229," ",""),"0",""),"-","")))&gt;(LEN(SUBSTITUTE(SUBSTITUTE(SUBSTITUTE(B229," ",""),"0",""),"-",""))+LEN(SUBSTITUTE(SUBSTITUTE(SUBSTITUTE(C229," ",""),"0",""),"-",""))),1,0))+IF(UPPER(D230)="X",0,IF((LEN(SUBSTITUTE(SUBSTITUTE(SUBSTITUTE(E230," ",""),"0",""),"-",""))+LEN(SUBSTITUTE(SUBSTITUTE(SUBSTITUTE(F230," ",""),"0",""),"-","")))&gt;(LEN(SUBSTITUTE(SUBSTITUTE(SUBSTITUTE(B230," ",""),"0",""),"-",""))+LEN(SUBSTITUTE(SUBSTITUTE(SUBSTITUTE(C230," ",""),"0",""),"-",""))),1,0))+IF(UPPER(D231)="X",0,IF((LEN(SUBSTITUTE(SUBSTITUTE(SUBSTITUTE(E231," ",""),"0",""),"-",""))+LEN(SUBSTITUTE(SUBSTITUTE(SUBSTITUTE(F231," ",""),"0",""),"-","")))&gt;(LEN(SUBSTITUTE(SUBSTITUTE(SUBSTITUTE(B231," ",""),"0",""),"-",""))+LEN(SUBSTITUTE(SUBSTITUTE(SUBSTITUTE(C231," ",""),"0",""),"-",""))),1,0))+IF(UPPER(D232)="X",0,IF((LEN(SUBSTITUTE(SUBSTITUTE(SUBSTITUTE(E232," ",""),"0",""),"-",""))+LEN(SUBSTITUTE(SUBSTITUTE(SUBSTITUTE(F232," ",""),"0",""),"-","")))&gt;(LEN(SUBSTITUTE(SUBSTITUTE(SUBSTITUTE(B232," ",""),"0",""),"-",""))+LEN(SUBSTITUTE(SUBSTITUTE(SUBSTITUTE(C232," ",""),"0",""),"-",""))),1,0))+IF(UPPER(D233)="X",0,IF((LEN(SUBSTITUTE(SUBSTITUTE(SUBSTITUTE(E233," ",""),"0",""),"-",""))+LEN(SUBSTITUTE(SUBSTITUTE(SUBSTITUTE(F233," ",""),"0",""),"-","")))&gt;(LEN(SUBSTITUTE(SUBSTITUTE(SUBSTITUTE(B233," ",""),"0",""),"-",""))+LEN(SUBSTITUTE(SUBSTITUTE(SUBSTITUTE(C233," ",""),"0",""),"-",""))),1,0))</f>
      </c>
      <c r="G236" s="14" t="s">
        <v>349</v>
      </c>
      <c r="I236" s="14" t="s">
        <v>349</v>
      </c>
      <c r="J236" s="14" t="str">
        <f>IF(UPPER(L229)="X",0,IF((LEN(SUBSTITUTE(SUBSTITUTE(SUBSTITUTE(J229," ",""),"0",""),"-",""))+LEN(SUBSTITUTE(SUBSTITUTE(SUBSTITUTE(K229," ",""),"0",""),"-","")))&gt;(LEN(SUBSTITUTE(SUBSTITUTE(SUBSTITUTE(M229," ",""),"0",""),"-",""))+LEN(SUBSTITUTE(SUBSTITUTE(SUBSTITUTE(N229," ",""),"0",""),"-",""))),1,0))+IF(UPPER(L230)="X",0,IF((LEN(SUBSTITUTE(SUBSTITUTE(SUBSTITUTE(J230," ",""),"0",""),"-",""))+LEN(SUBSTITUTE(SUBSTITUTE(SUBSTITUTE(K230," ",""),"0",""),"-","")))&gt;(LEN(SUBSTITUTE(SUBSTITUTE(SUBSTITUTE(M230," ",""),"0",""),"-",""))+LEN(SUBSTITUTE(SUBSTITUTE(SUBSTITUTE(N230," ",""),"0",""),"-",""))),1,0))+IF(UPPER(L231)="X",0,IF((LEN(SUBSTITUTE(SUBSTITUTE(SUBSTITUTE(J231," ",""),"0",""),"-",""))+LEN(SUBSTITUTE(SUBSTITUTE(SUBSTITUTE(K231," ",""),"0",""),"-","")))&gt;(LEN(SUBSTITUTE(SUBSTITUTE(SUBSTITUTE(M231," ",""),"0",""),"-",""))+LEN(SUBSTITUTE(SUBSTITUTE(SUBSTITUTE(N231," ",""),"0",""),"-",""))),1,0))+IF(UPPER(L232)="X",0,IF((LEN(SUBSTITUTE(SUBSTITUTE(SUBSTITUTE(J232," ",""),"0",""),"-",""))+LEN(SUBSTITUTE(SUBSTITUTE(SUBSTITUTE(K232," ",""),"0",""),"-","")))&gt;(LEN(SUBSTITUTE(SUBSTITUTE(SUBSTITUTE(M232," ",""),"0",""),"-",""))+LEN(SUBSTITUTE(SUBSTITUTE(SUBSTITUTE(N232," ",""),"0",""),"-",""))),1,0))+IF(UPPER(L233)="X",0,IF((LEN(SUBSTITUTE(SUBSTITUTE(SUBSTITUTE(J233," ",""),"0",""),"-",""))+LEN(SUBSTITUTE(SUBSTITUTE(SUBSTITUTE(K233," ",""),"0",""),"-","")))&gt;(LEN(SUBSTITUTE(SUBSTITUTE(SUBSTITUTE(M233," ",""),"0",""),"-",""))+LEN(SUBSTITUTE(SUBSTITUTE(SUBSTITUTE(N233," ",""),"0",""),"-",""))),1,0))</f>
      </c>
      <c r="K236" s="14" t="str">
        <f>LEN(SUBSTITUTE(SUBSTITUTE(SUBSTITUTE(J229," ",""),"0",""),"-",""))+LEN(SUBSTITUTE(SUBSTITUTE(SUBSTITUTE(K229," ",""),"0",""),"-",""))+LEN(SUBSTITUTE(SUBSTITUTE(SUBSTITUTE(J230," ",""),"0",""),"-",""))+LEN(SUBSTITUTE(SUBSTITUTE(SUBSTITUTE(K230," ",""),"0",""),"-",""))+LEN(SUBSTITUTE(SUBSTITUTE(SUBSTITUTE(J231," ",""),"0",""),"-",""))+LEN(SUBSTITUTE(SUBSTITUTE(SUBSTITUTE(K231," ",""),"0",""),"-",""))+LEN(SUBSTITUTE(SUBSTITUTE(SUBSTITUTE(J232," ",""),"0",""),"-",""))+LEN(SUBSTITUTE(SUBSTITUTE(SUBSTITUTE(K232," ",""),"0",""),"-",""))+LEN(SUBSTITUTE(SUBSTITUTE(SUBSTITUTE(J233," ",""),"0",""),"-",""))+LEN(SUBSTITUTE(SUBSTITUTE(SUBSTITUTE(K233," ",""),"0",""),"-",""))</f>
      </c>
      <c r="L236" s="14"/>
      <c r="M236" s="14" t="str">
        <f>LEN(SUBSTITUTE(SUBSTITUTE(SUBSTITUTE(M229," ",""),"0",""),"-",""))+LEN(SUBSTITUTE(SUBSTITUTE(SUBSTITUTE(N229," ",""),"0",""),"-",""))+LEN(SUBSTITUTE(SUBSTITUTE(SUBSTITUTE(M230," ",""),"0",""),"-",""))+LEN(SUBSTITUTE(SUBSTITUTE(SUBSTITUTE(N230," ",""),"0",""),"-",""))+LEN(SUBSTITUTE(SUBSTITUTE(SUBSTITUTE(M231," ",""),"0",""),"-",""))+LEN(SUBSTITUTE(SUBSTITUTE(SUBSTITUTE(N231," ",""),"0",""),"-",""))+LEN(SUBSTITUTE(SUBSTITUTE(SUBSTITUTE(M232," ",""),"0",""),"-",""))+LEN(SUBSTITUTE(SUBSTITUTE(SUBSTITUTE(N232," ",""),"0",""),"-",""))+LEN(SUBSTITUTE(SUBSTITUTE(SUBSTITUTE(M233," ",""),"0",""),"-",""))+LEN(SUBSTITUTE(SUBSTITUTE(SUBSTITUTE(N233," ",""),"0",""),"-",""))</f>
      </c>
      <c r="N236" s="14" t="str">
        <f>IF(UPPER(L229)="X",0,IF((LEN(SUBSTITUTE(SUBSTITUTE(SUBSTITUTE(M229," ",""),"0",""),"-",""))+LEN(SUBSTITUTE(SUBSTITUTE(SUBSTITUTE(N229," ",""),"0",""),"-","")))&gt;(LEN(SUBSTITUTE(SUBSTITUTE(SUBSTITUTE(J229," ",""),"0",""),"-",""))+LEN(SUBSTITUTE(SUBSTITUTE(SUBSTITUTE(K229," ",""),"0",""),"-",""))),1,0))+IF(UPPER(L230)="X",0,IF((LEN(SUBSTITUTE(SUBSTITUTE(SUBSTITUTE(M230," ",""),"0",""),"-",""))+LEN(SUBSTITUTE(SUBSTITUTE(SUBSTITUTE(N230," ",""),"0",""),"-","")))&gt;(LEN(SUBSTITUTE(SUBSTITUTE(SUBSTITUTE(J230," ",""),"0",""),"-",""))+LEN(SUBSTITUTE(SUBSTITUTE(SUBSTITUTE(K230," ",""),"0",""),"-",""))),1,0))+IF(UPPER(L231)="X",0,IF((LEN(SUBSTITUTE(SUBSTITUTE(SUBSTITUTE(M231," ",""),"0",""),"-",""))+LEN(SUBSTITUTE(SUBSTITUTE(SUBSTITUTE(N231," ",""),"0",""),"-","")))&gt;(LEN(SUBSTITUTE(SUBSTITUTE(SUBSTITUTE(J231," ",""),"0",""),"-",""))+LEN(SUBSTITUTE(SUBSTITUTE(SUBSTITUTE(K231," ",""),"0",""),"-",""))),1,0))+IF(UPPER(L232)="X",0,IF((LEN(SUBSTITUTE(SUBSTITUTE(SUBSTITUTE(M232," ",""),"0",""),"-",""))+LEN(SUBSTITUTE(SUBSTITUTE(SUBSTITUTE(N232," ",""),"0",""),"-","")))&gt;(LEN(SUBSTITUTE(SUBSTITUTE(SUBSTITUTE(J232," ",""),"0",""),"-",""))+LEN(SUBSTITUTE(SUBSTITUTE(SUBSTITUTE(K232," ",""),"0",""),"-",""))),1,0))+IF(UPPER(L233)="X",0,IF((LEN(SUBSTITUTE(SUBSTITUTE(SUBSTITUTE(M233," ",""),"0",""),"-",""))+LEN(SUBSTITUTE(SUBSTITUTE(SUBSTITUTE(N233," ",""),"0",""),"-","")))&gt;(LEN(SUBSTITUTE(SUBSTITUTE(SUBSTITUTE(J233," ",""),"0",""),"-",""))+LEN(SUBSTITUTE(SUBSTITUTE(SUBSTITUTE(K233," ",""),"0",""),"-",""))),1,0))</f>
      </c>
      <c r="O236" s="14" t="s">
        <v>349</v>
      </c>
    </row>
    <row r="239">
      <c r="F239" t="s">
        <v>345</v>
      </c>
      <c r="G239" s="19"/>
      <c r="N239" t="s">
        <v>345</v>
      </c>
      <c r="O239" s="19"/>
    </row>
    <row r="240">
      <c r="F240" t="s">
        <v>346</v>
      </c>
      <c r="G240" s="19"/>
      <c r="N240" t="s">
        <v>346</v>
      </c>
      <c r="O240" s="19"/>
    </row>
    <row r="247">
      <c r="A247" s="13" t="s">
        <v>379</v>
      </c>
      <c r="B247" s="13"/>
      <c r="C247" s="13"/>
      <c r="D247" s="13"/>
      <c r="E247" s="13"/>
      <c r="F247" s="13"/>
      <c r="G247" s="13"/>
      <c r="I247" s="13" t="s">
        <v>380</v>
      </c>
      <c r="J247" s="13"/>
      <c r="K247" s="13"/>
      <c r="L247" s="13"/>
      <c r="M247" s="13"/>
      <c r="N247" s="13"/>
      <c r="O247" s="13"/>
    </row>
    <row r="248">
      <c r="A248" s="17" t="s">
        <v>331</v>
      </c>
      <c r="D248" s="14" t="s">
        <v>332</v>
      </c>
      <c r="G248" s="16" t="s">
        <v>333</v>
      </c>
      <c r="I248" s="17" t="s">
        <v>331</v>
      </c>
      <c r="L248" s="14" t="s">
        <v>332</v>
      </c>
      <c r="O248" s="16" t="s">
        <v>333</v>
      </c>
    </row>
    <row r="249">
      <c r="A249" s="14" t="str">
        <f>CONCATENATE("M 2 ",G31)</f>
      </c>
      <c r="B249" s="14"/>
      <c r="C249" s="14"/>
      <c r="D249" s="18"/>
      <c r="E249" s="14"/>
      <c r="F249" s="14"/>
      <c r="G249" s="14" t="str">
        <f>CONCATENATE("M 1 ",G15)</f>
      </c>
      <c r="I249" s="14" t="str">
        <f>CONCATENATE("M 17 ",O31)</f>
      </c>
      <c r="J249" s="14"/>
      <c r="K249" s="14"/>
      <c r="L249" s="18"/>
      <c r="M249" s="14"/>
      <c r="N249" s="14"/>
      <c r="O249" s="14" t="str">
        <f>CONCATENATE("M 16 ",O15)</f>
      </c>
    </row>
    <row r="250">
      <c r="A250" s="14">
        <v>1</v>
      </c>
      <c r="B250" s="18"/>
      <c r="C250" s="18"/>
      <c r="D250" s="18"/>
      <c r="E250" s="18"/>
      <c r="F250" s="18"/>
      <c r="G250" s="14">
        <v>1</v>
      </c>
      <c r="I250" s="14">
        <v>1</v>
      </c>
      <c r="J250" s="18"/>
      <c r="K250" s="18"/>
      <c r="L250" s="18"/>
      <c r="M250" s="18"/>
      <c r="N250" s="18"/>
      <c r="O250" s="14">
        <v>1</v>
      </c>
    </row>
    <row r="251">
      <c r="A251" s="14">
        <v>2</v>
      </c>
      <c r="B251" s="18"/>
      <c r="C251" s="18"/>
      <c r="D251" s="18"/>
      <c r="E251" s="18"/>
      <c r="F251" s="18"/>
      <c r="G251" s="14">
        <v>2</v>
      </c>
      <c r="I251" s="14">
        <v>2</v>
      </c>
      <c r="J251" s="18"/>
      <c r="K251" s="18"/>
      <c r="L251" s="18"/>
      <c r="M251" s="18"/>
      <c r="N251" s="18"/>
      <c r="O251" s="14">
        <v>2</v>
      </c>
    </row>
    <row r="252">
      <c r="A252" s="14">
        <v>3</v>
      </c>
      <c r="B252" s="18"/>
      <c r="C252" s="18"/>
      <c r="D252" s="18"/>
      <c r="E252" s="18"/>
      <c r="F252" s="18"/>
      <c r="G252" s="14">
        <v>3</v>
      </c>
      <c r="I252" s="14">
        <v>3</v>
      </c>
      <c r="J252" s="18"/>
      <c r="K252" s="18"/>
      <c r="L252" s="18"/>
      <c r="M252" s="18"/>
      <c r="N252" s="18"/>
      <c r="O252" s="14">
        <v>3</v>
      </c>
    </row>
    <row r="253">
      <c r="A253" s="14">
        <v>4</v>
      </c>
      <c r="B253" s="18"/>
      <c r="C253" s="18"/>
      <c r="D253" s="18"/>
      <c r="E253" s="18"/>
      <c r="F253" s="18"/>
      <c r="G253" s="14">
        <v>4</v>
      </c>
      <c r="I253" s="14">
        <v>4</v>
      </c>
      <c r="J253" s="18"/>
      <c r="K253" s="18"/>
      <c r="L253" s="18"/>
      <c r="M253" s="18"/>
      <c r="N253" s="18"/>
      <c r="O253" s="14">
        <v>4</v>
      </c>
    </row>
    <row r="254">
      <c r="A254" s="14">
        <v>5</v>
      </c>
      <c r="B254" s="18"/>
      <c r="C254" s="18"/>
      <c r="D254" s="18"/>
      <c r="E254" s="18"/>
      <c r="F254" s="18"/>
      <c r="G254" s="14">
        <v>5</v>
      </c>
      <c r="I254" s="14">
        <v>5</v>
      </c>
      <c r="J254" s="18"/>
      <c r="K254" s="18"/>
      <c r="L254" s="18"/>
      <c r="M254" s="18"/>
      <c r="N254" s="18"/>
      <c r="O254" s="14">
        <v>5</v>
      </c>
    </row>
    <row r="256">
      <c r="A256" s="14" t="str">
        <f>CONCATENATE("M 2 ",G31)</f>
      </c>
      <c r="B256" s="14" t="s">
        <v>339</v>
      </c>
      <c r="C256" s="14" t="s">
        <v>342</v>
      </c>
      <c r="D256" s="14"/>
      <c r="E256" s="14" t="s">
        <v>342</v>
      </c>
      <c r="F256" s="14" t="s">
        <v>339</v>
      </c>
      <c r="G256" s="14" t="str">
        <f>CONCATENATE("M 1 ",G15)</f>
      </c>
      <c r="I256" s="14" t="str">
        <f>CONCATENATE("M 17 ",O31)</f>
      </c>
      <c r="J256" s="14" t="s">
        <v>339</v>
      </c>
      <c r="K256" s="14" t="s">
        <v>342</v>
      </c>
      <c r="L256" s="14"/>
      <c r="M256" s="14" t="s">
        <v>342</v>
      </c>
      <c r="N256" s="14" t="s">
        <v>339</v>
      </c>
      <c r="O256" s="14" t="str">
        <f>CONCATENATE("M 16 ",O15)</f>
      </c>
    </row>
    <row r="257">
      <c r="A257" s="14" t="s">
        <v>349</v>
      </c>
      <c r="B257" s="14" t="str">
        <f>IF(UPPER(D250)="X",0,IF((LEN(SUBSTITUTE(SUBSTITUTE(SUBSTITUTE(B250," ",""),"0",""),"-",""))+LEN(SUBSTITUTE(SUBSTITUTE(SUBSTITUTE(C250," ",""),"0",""),"-","")))&gt;(LEN(SUBSTITUTE(SUBSTITUTE(SUBSTITUTE(E250," ",""),"0",""),"-",""))+LEN(SUBSTITUTE(SUBSTITUTE(SUBSTITUTE(F250," ",""),"0",""),"-",""))),1,0))+IF(UPPER(D251)="X",0,IF((LEN(SUBSTITUTE(SUBSTITUTE(SUBSTITUTE(B251," ",""),"0",""),"-",""))+LEN(SUBSTITUTE(SUBSTITUTE(SUBSTITUTE(C251," ",""),"0",""),"-","")))&gt;(LEN(SUBSTITUTE(SUBSTITUTE(SUBSTITUTE(E251," ",""),"0",""),"-",""))+LEN(SUBSTITUTE(SUBSTITUTE(SUBSTITUTE(F251," ",""),"0",""),"-",""))),1,0))+IF(UPPER(D252)="X",0,IF((LEN(SUBSTITUTE(SUBSTITUTE(SUBSTITUTE(B252," ",""),"0",""),"-",""))+LEN(SUBSTITUTE(SUBSTITUTE(SUBSTITUTE(C252," ",""),"0",""),"-","")))&gt;(LEN(SUBSTITUTE(SUBSTITUTE(SUBSTITUTE(E252," ",""),"0",""),"-",""))+LEN(SUBSTITUTE(SUBSTITUTE(SUBSTITUTE(F252," ",""),"0",""),"-",""))),1,0))+IF(UPPER(D253)="X",0,IF((LEN(SUBSTITUTE(SUBSTITUTE(SUBSTITUTE(B253," ",""),"0",""),"-",""))+LEN(SUBSTITUTE(SUBSTITUTE(SUBSTITUTE(C253," ",""),"0",""),"-","")))&gt;(LEN(SUBSTITUTE(SUBSTITUTE(SUBSTITUTE(E253," ",""),"0",""),"-",""))+LEN(SUBSTITUTE(SUBSTITUTE(SUBSTITUTE(F253," ",""),"0",""),"-",""))),1,0))+IF(UPPER(D254)="X",0,IF((LEN(SUBSTITUTE(SUBSTITUTE(SUBSTITUTE(B254," ",""),"0",""),"-",""))+LEN(SUBSTITUTE(SUBSTITUTE(SUBSTITUTE(C254," ",""),"0",""),"-","")))&gt;(LEN(SUBSTITUTE(SUBSTITUTE(SUBSTITUTE(E254," ",""),"0",""),"-",""))+LEN(SUBSTITUTE(SUBSTITUTE(SUBSTITUTE(F254," ",""),"0",""),"-",""))),1,0))</f>
      </c>
      <c r="C257" s="14" t="str">
        <f>LEN(SUBSTITUTE(SUBSTITUTE(SUBSTITUTE(B250," ",""),"0",""),"-",""))+LEN(SUBSTITUTE(SUBSTITUTE(SUBSTITUTE(C250," ",""),"0",""),"-",""))+LEN(SUBSTITUTE(SUBSTITUTE(SUBSTITUTE(B251," ",""),"0",""),"-",""))+LEN(SUBSTITUTE(SUBSTITUTE(SUBSTITUTE(C251," ",""),"0",""),"-",""))+LEN(SUBSTITUTE(SUBSTITUTE(SUBSTITUTE(B252," ",""),"0",""),"-",""))+LEN(SUBSTITUTE(SUBSTITUTE(SUBSTITUTE(C252," ",""),"0",""),"-",""))+LEN(SUBSTITUTE(SUBSTITUTE(SUBSTITUTE(B253," ",""),"0",""),"-",""))+LEN(SUBSTITUTE(SUBSTITUTE(SUBSTITUTE(C253," ",""),"0",""),"-",""))+LEN(SUBSTITUTE(SUBSTITUTE(SUBSTITUTE(B254," ",""),"0",""),"-",""))+LEN(SUBSTITUTE(SUBSTITUTE(SUBSTITUTE(C254," ",""),"0",""),"-",""))</f>
      </c>
      <c r="D257" s="14"/>
      <c r="E257" s="14" t="str">
        <f>LEN(SUBSTITUTE(SUBSTITUTE(SUBSTITUTE(E250," ",""),"0",""),"-",""))+LEN(SUBSTITUTE(SUBSTITUTE(SUBSTITUTE(F250," ",""),"0",""),"-",""))+LEN(SUBSTITUTE(SUBSTITUTE(SUBSTITUTE(E251," ",""),"0",""),"-",""))+LEN(SUBSTITUTE(SUBSTITUTE(SUBSTITUTE(F251," ",""),"0",""),"-",""))+LEN(SUBSTITUTE(SUBSTITUTE(SUBSTITUTE(E252," ",""),"0",""),"-",""))+LEN(SUBSTITUTE(SUBSTITUTE(SUBSTITUTE(F252," ",""),"0",""),"-",""))+LEN(SUBSTITUTE(SUBSTITUTE(SUBSTITUTE(E253," ",""),"0",""),"-",""))+LEN(SUBSTITUTE(SUBSTITUTE(SUBSTITUTE(F253," ",""),"0",""),"-",""))+LEN(SUBSTITUTE(SUBSTITUTE(SUBSTITUTE(E254," ",""),"0",""),"-",""))+LEN(SUBSTITUTE(SUBSTITUTE(SUBSTITUTE(F254," ",""),"0",""),"-",""))</f>
      </c>
      <c r="F257" s="14" t="str">
        <f>IF(UPPER(D250)="X",0,IF((LEN(SUBSTITUTE(SUBSTITUTE(SUBSTITUTE(E250," ",""),"0",""),"-",""))+LEN(SUBSTITUTE(SUBSTITUTE(SUBSTITUTE(F250," ",""),"0",""),"-","")))&gt;(LEN(SUBSTITUTE(SUBSTITUTE(SUBSTITUTE(B250," ",""),"0",""),"-",""))+LEN(SUBSTITUTE(SUBSTITUTE(SUBSTITUTE(C250," ",""),"0",""),"-",""))),1,0))+IF(UPPER(D251)="X",0,IF((LEN(SUBSTITUTE(SUBSTITUTE(SUBSTITUTE(E251," ",""),"0",""),"-",""))+LEN(SUBSTITUTE(SUBSTITUTE(SUBSTITUTE(F251," ",""),"0",""),"-","")))&gt;(LEN(SUBSTITUTE(SUBSTITUTE(SUBSTITUTE(B251," ",""),"0",""),"-",""))+LEN(SUBSTITUTE(SUBSTITUTE(SUBSTITUTE(C251," ",""),"0",""),"-",""))),1,0))+IF(UPPER(D252)="X",0,IF((LEN(SUBSTITUTE(SUBSTITUTE(SUBSTITUTE(E252," ",""),"0",""),"-",""))+LEN(SUBSTITUTE(SUBSTITUTE(SUBSTITUTE(F252," ",""),"0",""),"-","")))&gt;(LEN(SUBSTITUTE(SUBSTITUTE(SUBSTITUTE(B252," ",""),"0",""),"-",""))+LEN(SUBSTITUTE(SUBSTITUTE(SUBSTITUTE(C252," ",""),"0",""),"-",""))),1,0))+IF(UPPER(D253)="X",0,IF((LEN(SUBSTITUTE(SUBSTITUTE(SUBSTITUTE(E253," ",""),"0",""),"-",""))+LEN(SUBSTITUTE(SUBSTITUTE(SUBSTITUTE(F253," ",""),"0",""),"-","")))&gt;(LEN(SUBSTITUTE(SUBSTITUTE(SUBSTITUTE(B253," ",""),"0",""),"-",""))+LEN(SUBSTITUTE(SUBSTITUTE(SUBSTITUTE(C253," ",""),"0",""),"-",""))),1,0))+IF(UPPER(D254)="X",0,IF((LEN(SUBSTITUTE(SUBSTITUTE(SUBSTITUTE(E254," ",""),"0",""),"-",""))+LEN(SUBSTITUTE(SUBSTITUTE(SUBSTITUTE(F254," ",""),"0",""),"-","")))&gt;(LEN(SUBSTITUTE(SUBSTITUTE(SUBSTITUTE(B254," ",""),"0",""),"-",""))+LEN(SUBSTITUTE(SUBSTITUTE(SUBSTITUTE(C254," ",""),"0",""),"-",""))),1,0))</f>
      </c>
      <c r="G257" s="14" t="s">
        <v>349</v>
      </c>
      <c r="I257" s="14" t="s">
        <v>349</v>
      </c>
      <c r="J257" s="14" t="str">
        <f>IF(UPPER(L250)="X",0,IF((LEN(SUBSTITUTE(SUBSTITUTE(SUBSTITUTE(J250," ",""),"0",""),"-",""))+LEN(SUBSTITUTE(SUBSTITUTE(SUBSTITUTE(K250," ",""),"0",""),"-","")))&gt;(LEN(SUBSTITUTE(SUBSTITUTE(SUBSTITUTE(M250," ",""),"0",""),"-",""))+LEN(SUBSTITUTE(SUBSTITUTE(SUBSTITUTE(N250," ",""),"0",""),"-",""))),1,0))+IF(UPPER(L251)="X",0,IF((LEN(SUBSTITUTE(SUBSTITUTE(SUBSTITUTE(J251," ",""),"0",""),"-",""))+LEN(SUBSTITUTE(SUBSTITUTE(SUBSTITUTE(K251," ",""),"0",""),"-","")))&gt;(LEN(SUBSTITUTE(SUBSTITUTE(SUBSTITUTE(M251," ",""),"0",""),"-",""))+LEN(SUBSTITUTE(SUBSTITUTE(SUBSTITUTE(N251," ",""),"0",""),"-",""))),1,0))+IF(UPPER(L252)="X",0,IF((LEN(SUBSTITUTE(SUBSTITUTE(SUBSTITUTE(J252," ",""),"0",""),"-",""))+LEN(SUBSTITUTE(SUBSTITUTE(SUBSTITUTE(K252," ",""),"0",""),"-","")))&gt;(LEN(SUBSTITUTE(SUBSTITUTE(SUBSTITUTE(M252," ",""),"0",""),"-",""))+LEN(SUBSTITUTE(SUBSTITUTE(SUBSTITUTE(N252," ",""),"0",""),"-",""))),1,0))+IF(UPPER(L253)="X",0,IF((LEN(SUBSTITUTE(SUBSTITUTE(SUBSTITUTE(J253," ",""),"0",""),"-",""))+LEN(SUBSTITUTE(SUBSTITUTE(SUBSTITUTE(K253," ",""),"0",""),"-","")))&gt;(LEN(SUBSTITUTE(SUBSTITUTE(SUBSTITUTE(M253," ",""),"0",""),"-",""))+LEN(SUBSTITUTE(SUBSTITUTE(SUBSTITUTE(N253," ",""),"0",""),"-",""))),1,0))+IF(UPPER(L254)="X",0,IF((LEN(SUBSTITUTE(SUBSTITUTE(SUBSTITUTE(J254," ",""),"0",""),"-",""))+LEN(SUBSTITUTE(SUBSTITUTE(SUBSTITUTE(K254," ",""),"0",""),"-","")))&gt;(LEN(SUBSTITUTE(SUBSTITUTE(SUBSTITUTE(M254," ",""),"0",""),"-",""))+LEN(SUBSTITUTE(SUBSTITUTE(SUBSTITUTE(N254," ",""),"0",""),"-",""))),1,0))</f>
      </c>
      <c r="K257" s="14" t="str">
        <f>LEN(SUBSTITUTE(SUBSTITUTE(SUBSTITUTE(J250," ",""),"0",""),"-",""))+LEN(SUBSTITUTE(SUBSTITUTE(SUBSTITUTE(K250," ",""),"0",""),"-",""))+LEN(SUBSTITUTE(SUBSTITUTE(SUBSTITUTE(J251," ",""),"0",""),"-",""))+LEN(SUBSTITUTE(SUBSTITUTE(SUBSTITUTE(K251," ",""),"0",""),"-",""))+LEN(SUBSTITUTE(SUBSTITUTE(SUBSTITUTE(J252," ",""),"0",""),"-",""))+LEN(SUBSTITUTE(SUBSTITUTE(SUBSTITUTE(K252," ",""),"0",""),"-",""))+LEN(SUBSTITUTE(SUBSTITUTE(SUBSTITUTE(J253," ",""),"0",""),"-",""))+LEN(SUBSTITUTE(SUBSTITUTE(SUBSTITUTE(K253," ",""),"0",""),"-",""))+LEN(SUBSTITUTE(SUBSTITUTE(SUBSTITUTE(J254," ",""),"0",""),"-",""))+LEN(SUBSTITUTE(SUBSTITUTE(SUBSTITUTE(K254," ",""),"0",""),"-",""))</f>
      </c>
      <c r="L257" s="14"/>
      <c r="M257" s="14" t="str">
        <f>LEN(SUBSTITUTE(SUBSTITUTE(SUBSTITUTE(M250," ",""),"0",""),"-",""))+LEN(SUBSTITUTE(SUBSTITUTE(SUBSTITUTE(N250," ",""),"0",""),"-",""))+LEN(SUBSTITUTE(SUBSTITUTE(SUBSTITUTE(M251," ",""),"0",""),"-",""))+LEN(SUBSTITUTE(SUBSTITUTE(SUBSTITUTE(N251," ",""),"0",""),"-",""))+LEN(SUBSTITUTE(SUBSTITUTE(SUBSTITUTE(M252," ",""),"0",""),"-",""))+LEN(SUBSTITUTE(SUBSTITUTE(SUBSTITUTE(N252," ",""),"0",""),"-",""))+LEN(SUBSTITUTE(SUBSTITUTE(SUBSTITUTE(M253," ",""),"0",""),"-",""))+LEN(SUBSTITUTE(SUBSTITUTE(SUBSTITUTE(N253," ",""),"0",""),"-",""))+LEN(SUBSTITUTE(SUBSTITUTE(SUBSTITUTE(M254," ",""),"0",""),"-",""))+LEN(SUBSTITUTE(SUBSTITUTE(SUBSTITUTE(N254," ",""),"0",""),"-",""))</f>
      </c>
      <c r="N257" s="14" t="str">
        <f>IF(UPPER(L250)="X",0,IF((LEN(SUBSTITUTE(SUBSTITUTE(SUBSTITUTE(M250," ",""),"0",""),"-",""))+LEN(SUBSTITUTE(SUBSTITUTE(SUBSTITUTE(N250," ",""),"0",""),"-","")))&gt;(LEN(SUBSTITUTE(SUBSTITUTE(SUBSTITUTE(J250," ",""),"0",""),"-",""))+LEN(SUBSTITUTE(SUBSTITUTE(SUBSTITUTE(K250," ",""),"0",""),"-",""))),1,0))+IF(UPPER(L251)="X",0,IF((LEN(SUBSTITUTE(SUBSTITUTE(SUBSTITUTE(M251," ",""),"0",""),"-",""))+LEN(SUBSTITUTE(SUBSTITUTE(SUBSTITUTE(N251," ",""),"0",""),"-","")))&gt;(LEN(SUBSTITUTE(SUBSTITUTE(SUBSTITUTE(J251," ",""),"0",""),"-",""))+LEN(SUBSTITUTE(SUBSTITUTE(SUBSTITUTE(K251," ",""),"0",""),"-",""))),1,0))+IF(UPPER(L252)="X",0,IF((LEN(SUBSTITUTE(SUBSTITUTE(SUBSTITUTE(M252," ",""),"0",""),"-",""))+LEN(SUBSTITUTE(SUBSTITUTE(SUBSTITUTE(N252," ",""),"0",""),"-","")))&gt;(LEN(SUBSTITUTE(SUBSTITUTE(SUBSTITUTE(J252," ",""),"0",""),"-",""))+LEN(SUBSTITUTE(SUBSTITUTE(SUBSTITUTE(K252," ",""),"0",""),"-",""))),1,0))+IF(UPPER(L253)="X",0,IF((LEN(SUBSTITUTE(SUBSTITUTE(SUBSTITUTE(M253," ",""),"0",""),"-",""))+LEN(SUBSTITUTE(SUBSTITUTE(SUBSTITUTE(N253," ",""),"0",""),"-","")))&gt;(LEN(SUBSTITUTE(SUBSTITUTE(SUBSTITUTE(J253," ",""),"0",""),"-",""))+LEN(SUBSTITUTE(SUBSTITUTE(SUBSTITUTE(K253," ",""),"0",""),"-",""))),1,0))+IF(UPPER(L254)="X",0,IF((LEN(SUBSTITUTE(SUBSTITUTE(SUBSTITUTE(M254," ",""),"0",""),"-",""))+LEN(SUBSTITUTE(SUBSTITUTE(SUBSTITUTE(N254," ",""),"0",""),"-","")))&gt;(LEN(SUBSTITUTE(SUBSTITUTE(SUBSTITUTE(J254," ",""),"0",""),"-",""))+LEN(SUBSTITUTE(SUBSTITUTE(SUBSTITUTE(K254," ",""),"0",""),"-",""))),1,0))</f>
      </c>
      <c r="O257" s="14" t="s">
        <v>349</v>
      </c>
    </row>
    <row r="260">
      <c r="F260" t="s">
        <v>345</v>
      </c>
      <c r="G260" s="19"/>
      <c r="N260" t="s">
        <v>345</v>
      </c>
      <c r="O260" s="19"/>
    </row>
    <row r="261">
      <c r="F261" t="s">
        <v>346</v>
      </c>
      <c r="G261" s="19"/>
      <c r="N261" t="s">
        <v>346</v>
      </c>
      <c r="O261" s="19"/>
    </row>
    <row r="263">
      <c r="A263" s="13" t="s">
        <v>381</v>
      </c>
      <c r="B263" s="13"/>
      <c r="C263" s="13"/>
      <c r="D263" s="13"/>
      <c r="E263" s="13"/>
      <c r="F263" s="13"/>
      <c r="G263" s="13"/>
      <c r="I263" s="13" t="s">
        <v>382</v>
      </c>
      <c r="J263" s="13"/>
      <c r="K263" s="13"/>
      <c r="L263" s="13"/>
      <c r="M263" s="13"/>
      <c r="N263" s="13"/>
      <c r="O263" s="13"/>
    </row>
    <row r="264">
      <c r="A264" s="17" t="s">
        <v>331</v>
      </c>
      <c r="D264" s="14" t="s">
        <v>332</v>
      </c>
      <c r="G264" s="16" t="s">
        <v>333</v>
      </c>
      <c r="I264" s="17" t="s">
        <v>331</v>
      </c>
      <c r="L264" s="14" t="s">
        <v>332</v>
      </c>
      <c r="O264" s="16" t="s">
        <v>333</v>
      </c>
    </row>
    <row r="265">
      <c r="A265" s="14" t="str">
        <f>CONCATENATE("M 4 ",G63)</f>
      </c>
      <c r="B265" s="14"/>
      <c r="C265" s="14"/>
      <c r="D265" s="18"/>
      <c r="E265" s="14"/>
      <c r="F265" s="14"/>
      <c r="G265" s="14" t="str">
        <f>CONCATENATE("M 3 ",G47)</f>
      </c>
      <c r="I265" s="14" t="str">
        <f>CONCATENATE("M 19 ",O63)</f>
      </c>
      <c r="J265" s="14"/>
      <c r="K265" s="14"/>
      <c r="L265" s="18"/>
      <c r="M265" s="14"/>
      <c r="N265" s="14"/>
      <c r="O265" s="14" t="str">
        <f>CONCATENATE("M 18 ",O47)</f>
      </c>
    </row>
    <row r="266">
      <c r="A266" s="14">
        <v>1</v>
      </c>
      <c r="B266" s="18"/>
      <c r="C266" s="18"/>
      <c r="D266" s="18"/>
      <c r="E266" s="18"/>
      <c r="F266" s="18"/>
      <c r="G266" s="14">
        <v>1</v>
      </c>
      <c r="I266" s="14">
        <v>1</v>
      </c>
      <c r="J266" s="18"/>
      <c r="K266" s="18"/>
      <c r="L266" s="18"/>
      <c r="M266" s="18"/>
      <c r="N266" s="18"/>
      <c r="O266" s="14">
        <v>1</v>
      </c>
    </row>
    <row r="267">
      <c r="A267" s="14">
        <v>2</v>
      </c>
      <c r="B267" s="18"/>
      <c r="C267" s="18"/>
      <c r="D267" s="18"/>
      <c r="E267" s="18"/>
      <c r="F267" s="18"/>
      <c r="G267" s="14">
        <v>2</v>
      </c>
      <c r="I267" s="14">
        <v>2</v>
      </c>
      <c r="J267" s="18"/>
      <c r="K267" s="18"/>
      <c r="L267" s="18"/>
      <c r="M267" s="18"/>
      <c r="N267" s="18"/>
      <c r="O267" s="14">
        <v>2</v>
      </c>
    </row>
    <row r="268">
      <c r="A268" s="14">
        <v>3</v>
      </c>
      <c r="B268" s="18"/>
      <c r="C268" s="18"/>
      <c r="D268" s="18"/>
      <c r="E268" s="18"/>
      <c r="F268" s="18"/>
      <c r="G268" s="14">
        <v>3</v>
      </c>
      <c r="I268" s="14">
        <v>3</v>
      </c>
      <c r="J268" s="18"/>
      <c r="K268" s="18"/>
      <c r="L268" s="18"/>
      <c r="M268" s="18"/>
      <c r="N268" s="18"/>
      <c r="O268" s="14">
        <v>3</v>
      </c>
    </row>
    <row r="269">
      <c r="A269" s="14">
        <v>4</v>
      </c>
      <c r="B269" s="18"/>
      <c r="C269" s="18"/>
      <c r="D269" s="18"/>
      <c r="E269" s="18"/>
      <c r="F269" s="18"/>
      <c r="G269" s="14">
        <v>4</v>
      </c>
      <c r="I269" s="14">
        <v>4</v>
      </c>
      <c r="J269" s="18"/>
      <c r="K269" s="18"/>
      <c r="L269" s="18"/>
      <c r="M269" s="18"/>
      <c r="N269" s="18"/>
      <c r="O269" s="14">
        <v>4</v>
      </c>
    </row>
    <row r="270">
      <c r="A270" s="14">
        <v>5</v>
      </c>
      <c r="B270" s="18"/>
      <c r="C270" s="18"/>
      <c r="D270" s="18"/>
      <c r="E270" s="18"/>
      <c r="F270" s="18"/>
      <c r="G270" s="14">
        <v>5</v>
      </c>
      <c r="I270" s="14">
        <v>5</v>
      </c>
      <c r="J270" s="18"/>
      <c r="K270" s="18"/>
      <c r="L270" s="18"/>
      <c r="M270" s="18"/>
      <c r="N270" s="18"/>
      <c r="O270" s="14">
        <v>5</v>
      </c>
    </row>
    <row r="272">
      <c r="A272" s="14" t="str">
        <f>CONCATENATE("M 4 ",G63)</f>
      </c>
      <c r="B272" s="14" t="s">
        <v>339</v>
      </c>
      <c r="C272" s="14" t="s">
        <v>342</v>
      </c>
      <c r="D272" s="14"/>
      <c r="E272" s="14" t="s">
        <v>342</v>
      </c>
      <c r="F272" s="14" t="s">
        <v>339</v>
      </c>
      <c r="G272" s="14" t="str">
        <f>CONCATENATE("M 3 ",G47)</f>
      </c>
      <c r="I272" s="14" t="str">
        <f>CONCATENATE("M 19 ",O63)</f>
      </c>
      <c r="J272" s="14" t="s">
        <v>339</v>
      </c>
      <c r="K272" s="14" t="s">
        <v>342</v>
      </c>
      <c r="L272" s="14"/>
      <c r="M272" s="14" t="s">
        <v>342</v>
      </c>
      <c r="N272" s="14" t="s">
        <v>339</v>
      </c>
      <c r="O272" s="14" t="str">
        <f>CONCATENATE("M 18 ",O47)</f>
      </c>
    </row>
    <row r="273">
      <c r="A273" s="14" t="s">
        <v>349</v>
      </c>
      <c r="B273" s="14" t="str">
        <f>IF(UPPER(D266)="X",0,IF((LEN(SUBSTITUTE(SUBSTITUTE(SUBSTITUTE(B266," ",""),"0",""),"-",""))+LEN(SUBSTITUTE(SUBSTITUTE(SUBSTITUTE(C266," ",""),"0",""),"-","")))&gt;(LEN(SUBSTITUTE(SUBSTITUTE(SUBSTITUTE(E266," ",""),"0",""),"-",""))+LEN(SUBSTITUTE(SUBSTITUTE(SUBSTITUTE(F266," ",""),"0",""),"-",""))),1,0))+IF(UPPER(D267)="X",0,IF((LEN(SUBSTITUTE(SUBSTITUTE(SUBSTITUTE(B267," ",""),"0",""),"-",""))+LEN(SUBSTITUTE(SUBSTITUTE(SUBSTITUTE(C267," ",""),"0",""),"-","")))&gt;(LEN(SUBSTITUTE(SUBSTITUTE(SUBSTITUTE(E267," ",""),"0",""),"-",""))+LEN(SUBSTITUTE(SUBSTITUTE(SUBSTITUTE(F267," ",""),"0",""),"-",""))),1,0))+IF(UPPER(D268)="X",0,IF((LEN(SUBSTITUTE(SUBSTITUTE(SUBSTITUTE(B268," ",""),"0",""),"-",""))+LEN(SUBSTITUTE(SUBSTITUTE(SUBSTITUTE(C268," ",""),"0",""),"-","")))&gt;(LEN(SUBSTITUTE(SUBSTITUTE(SUBSTITUTE(E268," ",""),"0",""),"-",""))+LEN(SUBSTITUTE(SUBSTITUTE(SUBSTITUTE(F268," ",""),"0",""),"-",""))),1,0))+IF(UPPER(D269)="X",0,IF((LEN(SUBSTITUTE(SUBSTITUTE(SUBSTITUTE(B269," ",""),"0",""),"-",""))+LEN(SUBSTITUTE(SUBSTITUTE(SUBSTITUTE(C269," ",""),"0",""),"-","")))&gt;(LEN(SUBSTITUTE(SUBSTITUTE(SUBSTITUTE(E269," ",""),"0",""),"-",""))+LEN(SUBSTITUTE(SUBSTITUTE(SUBSTITUTE(F269," ",""),"0",""),"-",""))),1,0))+IF(UPPER(D270)="X",0,IF((LEN(SUBSTITUTE(SUBSTITUTE(SUBSTITUTE(B270," ",""),"0",""),"-",""))+LEN(SUBSTITUTE(SUBSTITUTE(SUBSTITUTE(C270," ",""),"0",""),"-","")))&gt;(LEN(SUBSTITUTE(SUBSTITUTE(SUBSTITUTE(E270," ",""),"0",""),"-",""))+LEN(SUBSTITUTE(SUBSTITUTE(SUBSTITUTE(F270," ",""),"0",""),"-",""))),1,0))</f>
      </c>
      <c r="C273" s="14" t="str">
        <f>LEN(SUBSTITUTE(SUBSTITUTE(SUBSTITUTE(B266," ",""),"0",""),"-",""))+LEN(SUBSTITUTE(SUBSTITUTE(SUBSTITUTE(C266," ",""),"0",""),"-",""))+LEN(SUBSTITUTE(SUBSTITUTE(SUBSTITUTE(B267," ",""),"0",""),"-",""))+LEN(SUBSTITUTE(SUBSTITUTE(SUBSTITUTE(C267," ",""),"0",""),"-",""))+LEN(SUBSTITUTE(SUBSTITUTE(SUBSTITUTE(B268," ",""),"0",""),"-",""))+LEN(SUBSTITUTE(SUBSTITUTE(SUBSTITUTE(C268," ",""),"0",""),"-",""))+LEN(SUBSTITUTE(SUBSTITUTE(SUBSTITUTE(B269," ",""),"0",""),"-",""))+LEN(SUBSTITUTE(SUBSTITUTE(SUBSTITUTE(C269," ",""),"0",""),"-",""))+LEN(SUBSTITUTE(SUBSTITUTE(SUBSTITUTE(B270," ",""),"0",""),"-",""))+LEN(SUBSTITUTE(SUBSTITUTE(SUBSTITUTE(C270," ",""),"0",""),"-",""))</f>
      </c>
      <c r="D273" s="14"/>
      <c r="E273" s="14" t="str">
        <f>LEN(SUBSTITUTE(SUBSTITUTE(SUBSTITUTE(E266," ",""),"0",""),"-",""))+LEN(SUBSTITUTE(SUBSTITUTE(SUBSTITUTE(F266," ",""),"0",""),"-",""))+LEN(SUBSTITUTE(SUBSTITUTE(SUBSTITUTE(E267," ",""),"0",""),"-",""))+LEN(SUBSTITUTE(SUBSTITUTE(SUBSTITUTE(F267," ",""),"0",""),"-",""))+LEN(SUBSTITUTE(SUBSTITUTE(SUBSTITUTE(E268," ",""),"0",""),"-",""))+LEN(SUBSTITUTE(SUBSTITUTE(SUBSTITUTE(F268," ",""),"0",""),"-",""))+LEN(SUBSTITUTE(SUBSTITUTE(SUBSTITUTE(E269," ",""),"0",""),"-",""))+LEN(SUBSTITUTE(SUBSTITUTE(SUBSTITUTE(F269," ",""),"0",""),"-",""))+LEN(SUBSTITUTE(SUBSTITUTE(SUBSTITUTE(E270," ",""),"0",""),"-",""))+LEN(SUBSTITUTE(SUBSTITUTE(SUBSTITUTE(F270," ",""),"0",""),"-",""))</f>
      </c>
      <c r="F273" s="14" t="str">
        <f>IF(UPPER(D266)="X",0,IF((LEN(SUBSTITUTE(SUBSTITUTE(SUBSTITUTE(E266," ",""),"0",""),"-",""))+LEN(SUBSTITUTE(SUBSTITUTE(SUBSTITUTE(F266," ",""),"0",""),"-","")))&gt;(LEN(SUBSTITUTE(SUBSTITUTE(SUBSTITUTE(B266," ",""),"0",""),"-",""))+LEN(SUBSTITUTE(SUBSTITUTE(SUBSTITUTE(C266," ",""),"0",""),"-",""))),1,0))+IF(UPPER(D267)="X",0,IF((LEN(SUBSTITUTE(SUBSTITUTE(SUBSTITUTE(E267," ",""),"0",""),"-",""))+LEN(SUBSTITUTE(SUBSTITUTE(SUBSTITUTE(F267," ",""),"0",""),"-","")))&gt;(LEN(SUBSTITUTE(SUBSTITUTE(SUBSTITUTE(B267," ",""),"0",""),"-",""))+LEN(SUBSTITUTE(SUBSTITUTE(SUBSTITUTE(C267," ",""),"0",""),"-",""))),1,0))+IF(UPPER(D268)="X",0,IF((LEN(SUBSTITUTE(SUBSTITUTE(SUBSTITUTE(E268," ",""),"0",""),"-",""))+LEN(SUBSTITUTE(SUBSTITUTE(SUBSTITUTE(F268," ",""),"0",""),"-","")))&gt;(LEN(SUBSTITUTE(SUBSTITUTE(SUBSTITUTE(B268," ",""),"0",""),"-",""))+LEN(SUBSTITUTE(SUBSTITUTE(SUBSTITUTE(C268," ",""),"0",""),"-",""))),1,0))+IF(UPPER(D269)="X",0,IF((LEN(SUBSTITUTE(SUBSTITUTE(SUBSTITUTE(E269," ",""),"0",""),"-",""))+LEN(SUBSTITUTE(SUBSTITUTE(SUBSTITUTE(F269," ",""),"0",""),"-","")))&gt;(LEN(SUBSTITUTE(SUBSTITUTE(SUBSTITUTE(B269," ",""),"0",""),"-",""))+LEN(SUBSTITUTE(SUBSTITUTE(SUBSTITUTE(C269," ",""),"0",""),"-",""))),1,0))+IF(UPPER(D270)="X",0,IF((LEN(SUBSTITUTE(SUBSTITUTE(SUBSTITUTE(E270," ",""),"0",""),"-",""))+LEN(SUBSTITUTE(SUBSTITUTE(SUBSTITUTE(F270," ",""),"0",""),"-","")))&gt;(LEN(SUBSTITUTE(SUBSTITUTE(SUBSTITUTE(B270," ",""),"0",""),"-",""))+LEN(SUBSTITUTE(SUBSTITUTE(SUBSTITUTE(C270," ",""),"0",""),"-",""))),1,0))</f>
      </c>
      <c r="G273" s="14" t="s">
        <v>349</v>
      </c>
      <c r="I273" s="14" t="s">
        <v>349</v>
      </c>
      <c r="J273" s="14" t="str">
        <f>IF(UPPER(L266)="X",0,IF((LEN(SUBSTITUTE(SUBSTITUTE(SUBSTITUTE(J266," ",""),"0",""),"-",""))+LEN(SUBSTITUTE(SUBSTITUTE(SUBSTITUTE(K266," ",""),"0",""),"-","")))&gt;(LEN(SUBSTITUTE(SUBSTITUTE(SUBSTITUTE(M266," ",""),"0",""),"-",""))+LEN(SUBSTITUTE(SUBSTITUTE(SUBSTITUTE(N266," ",""),"0",""),"-",""))),1,0))+IF(UPPER(L267)="X",0,IF((LEN(SUBSTITUTE(SUBSTITUTE(SUBSTITUTE(J267," ",""),"0",""),"-",""))+LEN(SUBSTITUTE(SUBSTITUTE(SUBSTITUTE(K267," ",""),"0",""),"-","")))&gt;(LEN(SUBSTITUTE(SUBSTITUTE(SUBSTITUTE(M267," ",""),"0",""),"-",""))+LEN(SUBSTITUTE(SUBSTITUTE(SUBSTITUTE(N267," ",""),"0",""),"-",""))),1,0))+IF(UPPER(L268)="X",0,IF((LEN(SUBSTITUTE(SUBSTITUTE(SUBSTITUTE(J268," ",""),"0",""),"-",""))+LEN(SUBSTITUTE(SUBSTITUTE(SUBSTITUTE(K268," ",""),"0",""),"-","")))&gt;(LEN(SUBSTITUTE(SUBSTITUTE(SUBSTITUTE(M268," ",""),"0",""),"-",""))+LEN(SUBSTITUTE(SUBSTITUTE(SUBSTITUTE(N268," ",""),"0",""),"-",""))),1,0))+IF(UPPER(L269)="X",0,IF((LEN(SUBSTITUTE(SUBSTITUTE(SUBSTITUTE(J269," ",""),"0",""),"-",""))+LEN(SUBSTITUTE(SUBSTITUTE(SUBSTITUTE(K269," ",""),"0",""),"-","")))&gt;(LEN(SUBSTITUTE(SUBSTITUTE(SUBSTITUTE(M269," ",""),"0",""),"-",""))+LEN(SUBSTITUTE(SUBSTITUTE(SUBSTITUTE(N269," ",""),"0",""),"-",""))),1,0))+IF(UPPER(L270)="X",0,IF((LEN(SUBSTITUTE(SUBSTITUTE(SUBSTITUTE(J270," ",""),"0",""),"-",""))+LEN(SUBSTITUTE(SUBSTITUTE(SUBSTITUTE(K270," ",""),"0",""),"-","")))&gt;(LEN(SUBSTITUTE(SUBSTITUTE(SUBSTITUTE(M270," ",""),"0",""),"-",""))+LEN(SUBSTITUTE(SUBSTITUTE(SUBSTITUTE(N270," ",""),"0",""),"-",""))),1,0))</f>
      </c>
      <c r="K273" s="14" t="str">
        <f>LEN(SUBSTITUTE(SUBSTITUTE(SUBSTITUTE(J266," ",""),"0",""),"-",""))+LEN(SUBSTITUTE(SUBSTITUTE(SUBSTITUTE(K266," ",""),"0",""),"-",""))+LEN(SUBSTITUTE(SUBSTITUTE(SUBSTITUTE(J267," ",""),"0",""),"-",""))+LEN(SUBSTITUTE(SUBSTITUTE(SUBSTITUTE(K267," ",""),"0",""),"-",""))+LEN(SUBSTITUTE(SUBSTITUTE(SUBSTITUTE(J268," ",""),"0",""),"-",""))+LEN(SUBSTITUTE(SUBSTITUTE(SUBSTITUTE(K268," ",""),"0",""),"-",""))+LEN(SUBSTITUTE(SUBSTITUTE(SUBSTITUTE(J269," ",""),"0",""),"-",""))+LEN(SUBSTITUTE(SUBSTITUTE(SUBSTITUTE(K269," ",""),"0",""),"-",""))+LEN(SUBSTITUTE(SUBSTITUTE(SUBSTITUTE(J270," ",""),"0",""),"-",""))+LEN(SUBSTITUTE(SUBSTITUTE(SUBSTITUTE(K270," ",""),"0",""),"-",""))</f>
      </c>
      <c r="L273" s="14"/>
      <c r="M273" s="14" t="str">
        <f>LEN(SUBSTITUTE(SUBSTITUTE(SUBSTITUTE(M266," ",""),"0",""),"-",""))+LEN(SUBSTITUTE(SUBSTITUTE(SUBSTITUTE(N266," ",""),"0",""),"-",""))+LEN(SUBSTITUTE(SUBSTITUTE(SUBSTITUTE(M267," ",""),"0",""),"-",""))+LEN(SUBSTITUTE(SUBSTITUTE(SUBSTITUTE(N267," ",""),"0",""),"-",""))+LEN(SUBSTITUTE(SUBSTITUTE(SUBSTITUTE(M268," ",""),"0",""),"-",""))+LEN(SUBSTITUTE(SUBSTITUTE(SUBSTITUTE(N268," ",""),"0",""),"-",""))+LEN(SUBSTITUTE(SUBSTITUTE(SUBSTITUTE(M269," ",""),"0",""),"-",""))+LEN(SUBSTITUTE(SUBSTITUTE(SUBSTITUTE(N269," ",""),"0",""),"-",""))+LEN(SUBSTITUTE(SUBSTITUTE(SUBSTITUTE(M270," ",""),"0",""),"-",""))+LEN(SUBSTITUTE(SUBSTITUTE(SUBSTITUTE(N270," ",""),"0",""),"-",""))</f>
      </c>
      <c r="N273" s="14" t="str">
        <f>IF(UPPER(L266)="X",0,IF((LEN(SUBSTITUTE(SUBSTITUTE(SUBSTITUTE(M266," ",""),"0",""),"-",""))+LEN(SUBSTITUTE(SUBSTITUTE(SUBSTITUTE(N266," ",""),"0",""),"-","")))&gt;(LEN(SUBSTITUTE(SUBSTITUTE(SUBSTITUTE(J266," ",""),"0",""),"-",""))+LEN(SUBSTITUTE(SUBSTITUTE(SUBSTITUTE(K266," ",""),"0",""),"-",""))),1,0))+IF(UPPER(L267)="X",0,IF((LEN(SUBSTITUTE(SUBSTITUTE(SUBSTITUTE(M267," ",""),"0",""),"-",""))+LEN(SUBSTITUTE(SUBSTITUTE(SUBSTITUTE(N267," ",""),"0",""),"-","")))&gt;(LEN(SUBSTITUTE(SUBSTITUTE(SUBSTITUTE(J267," ",""),"0",""),"-",""))+LEN(SUBSTITUTE(SUBSTITUTE(SUBSTITUTE(K267," ",""),"0",""),"-",""))),1,0))+IF(UPPER(L268)="X",0,IF((LEN(SUBSTITUTE(SUBSTITUTE(SUBSTITUTE(M268," ",""),"0",""),"-",""))+LEN(SUBSTITUTE(SUBSTITUTE(SUBSTITUTE(N268," ",""),"0",""),"-","")))&gt;(LEN(SUBSTITUTE(SUBSTITUTE(SUBSTITUTE(J268," ",""),"0",""),"-",""))+LEN(SUBSTITUTE(SUBSTITUTE(SUBSTITUTE(K268," ",""),"0",""),"-",""))),1,0))+IF(UPPER(L269)="X",0,IF((LEN(SUBSTITUTE(SUBSTITUTE(SUBSTITUTE(M269," ",""),"0",""),"-",""))+LEN(SUBSTITUTE(SUBSTITUTE(SUBSTITUTE(N269," ",""),"0",""),"-","")))&gt;(LEN(SUBSTITUTE(SUBSTITUTE(SUBSTITUTE(J269," ",""),"0",""),"-",""))+LEN(SUBSTITUTE(SUBSTITUTE(SUBSTITUTE(K269," ",""),"0",""),"-",""))),1,0))+IF(UPPER(L270)="X",0,IF((LEN(SUBSTITUTE(SUBSTITUTE(SUBSTITUTE(M270," ",""),"0",""),"-",""))+LEN(SUBSTITUTE(SUBSTITUTE(SUBSTITUTE(N270," ",""),"0",""),"-","")))&gt;(LEN(SUBSTITUTE(SUBSTITUTE(SUBSTITUTE(J270," ",""),"0",""),"-",""))+LEN(SUBSTITUTE(SUBSTITUTE(SUBSTITUTE(K270," ",""),"0",""),"-",""))),1,0))</f>
      </c>
      <c r="O273" s="14" t="s">
        <v>349</v>
      </c>
    </row>
    <row r="276">
      <c r="F276" t="s">
        <v>345</v>
      </c>
      <c r="G276" s="19"/>
      <c r="N276" t="s">
        <v>345</v>
      </c>
      <c r="O276" s="19"/>
    </row>
    <row r="277">
      <c r="F277" t="s">
        <v>346</v>
      </c>
      <c r="G277" s="19"/>
      <c r="N277" t="s">
        <v>346</v>
      </c>
      <c r="O277" s="19"/>
    </row>
    <row r="279">
      <c r="A279" s="13" t="s">
        <v>383</v>
      </c>
      <c r="B279" s="13"/>
      <c r="C279" s="13"/>
      <c r="D279" s="13"/>
      <c r="E279" s="13"/>
      <c r="F279" s="13"/>
      <c r="G279" s="13"/>
      <c r="I279" s="13" t="s">
        <v>384</v>
      </c>
      <c r="J279" s="13"/>
      <c r="K279" s="13"/>
      <c r="L279" s="13"/>
      <c r="M279" s="13"/>
      <c r="N279" s="13"/>
      <c r="O279" s="13"/>
    </row>
    <row r="280">
      <c r="A280" s="17" t="s">
        <v>331</v>
      </c>
      <c r="D280" s="14" t="s">
        <v>332</v>
      </c>
      <c r="G280" s="16" t="s">
        <v>333</v>
      </c>
      <c r="I280" s="17" t="s">
        <v>331</v>
      </c>
      <c r="L280" s="14" t="s">
        <v>332</v>
      </c>
      <c r="O280" s="16" t="s">
        <v>333</v>
      </c>
    </row>
    <row r="281">
      <c r="A281" s="14" t="str">
        <f>CONCATENATE("M 6 ",G95)</f>
      </c>
      <c r="B281" s="14"/>
      <c r="C281" s="14"/>
      <c r="D281" s="18"/>
      <c r="E281" s="14"/>
      <c r="F281" s="14"/>
      <c r="G281" s="14" t="str">
        <f>CONCATENATE("M 5 ",G79)</f>
      </c>
      <c r="I281" s="14" t="str">
        <f>CONCATENATE("M 21 ",O95)</f>
      </c>
      <c r="J281" s="14"/>
      <c r="K281" s="14"/>
      <c r="L281" s="18"/>
      <c r="M281" s="14"/>
      <c r="N281" s="14"/>
      <c r="O281" s="14" t="str">
        <f>CONCATENATE("M 20 ",O79)</f>
      </c>
    </row>
    <row r="282">
      <c r="A282" s="14">
        <v>1</v>
      </c>
      <c r="B282" s="18"/>
      <c r="C282" s="18"/>
      <c r="D282" s="18"/>
      <c r="E282" s="18"/>
      <c r="F282" s="18"/>
      <c r="G282" s="14">
        <v>1</v>
      </c>
      <c r="I282" s="14">
        <v>1</v>
      </c>
      <c r="J282" s="18"/>
      <c r="K282" s="18"/>
      <c r="L282" s="18"/>
      <c r="M282" s="18"/>
      <c r="N282" s="18"/>
      <c r="O282" s="14">
        <v>1</v>
      </c>
    </row>
    <row r="283">
      <c r="A283" s="14">
        <v>2</v>
      </c>
      <c r="B283" s="18"/>
      <c r="C283" s="18"/>
      <c r="D283" s="18"/>
      <c r="E283" s="18"/>
      <c r="F283" s="18"/>
      <c r="G283" s="14">
        <v>2</v>
      </c>
      <c r="I283" s="14">
        <v>2</v>
      </c>
      <c r="J283" s="18"/>
      <c r="K283" s="18"/>
      <c r="L283" s="18"/>
      <c r="M283" s="18"/>
      <c r="N283" s="18"/>
      <c r="O283" s="14">
        <v>2</v>
      </c>
    </row>
    <row r="284">
      <c r="A284" s="14">
        <v>3</v>
      </c>
      <c r="B284" s="18"/>
      <c r="C284" s="18"/>
      <c r="D284" s="18"/>
      <c r="E284" s="18"/>
      <c r="F284" s="18"/>
      <c r="G284" s="14">
        <v>3</v>
      </c>
      <c r="I284" s="14">
        <v>3</v>
      </c>
      <c r="J284" s="18"/>
      <c r="K284" s="18"/>
      <c r="L284" s="18"/>
      <c r="M284" s="18"/>
      <c r="N284" s="18"/>
      <c r="O284" s="14">
        <v>3</v>
      </c>
    </row>
    <row r="285">
      <c r="A285" s="14">
        <v>4</v>
      </c>
      <c r="B285" s="18"/>
      <c r="C285" s="18"/>
      <c r="D285" s="18"/>
      <c r="E285" s="18"/>
      <c r="F285" s="18"/>
      <c r="G285" s="14">
        <v>4</v>
      </c>
      <c r="I285" s="14">
        <v>4</v>
      </c>
      <c r="J285" s="18"/>
      <c r="K285" s="18"/>
      <c r="L285" s="18"/>
      <c r="M285" s="18"/>
      <c r="N285" s="18"/>
      <c r="O285" s="14">
        <v>4</v>
      </c>
    </row>
    <row r="286">
      <c r="A286" s="14">
        <v>5</v>
      </c>
      <c r="B286" s="18"/>
      <c r="C286" s="18"/>
      <c r="D286" s="18"/>
      <c r="E286" s="18"/>
      <c r="F286" s="18"/>
      <c r="G286" s="14">
        <v>5</v>
      </c>
      <c r="I286" s="14">
        <v>5</v>
      </c>
      <c r="J286" s="18"/>
      <c r="K286" s="18"/>
      <c r="L286" s="18"/>
      <c r="M286" s="18"/>
      <c r="N286" s="18"/>
      <c r="O286" s="14">
        <v>5</v>
      </c>
    </row>
    <row r="288">
      <c r="A288" s="14" t="str">
        <f>CONCATENATE("M 6 ",G95)</f>
      </c>
      <c r="B288" s="14" t="s">
        <v>339</v>
      </c>
      <c r="C288" s="14" t="s">
        <v>342</v>
      </c>
      <c r="D288" s="14"/>
      <c r="E288" s="14" t="s">
        <v>342</v>
      </c>
      <c r="F288" s="14" t="s">
        <v>339</v>
      </c>
      <c r="G288" s="14" t="str">
        <f>CONCATENATE("M 5 ",G79)</f>
      </c>
      <c r="I288" s="14" t="str">
        <f>CONCATENATE("M 21 ",O95)</f>
      </c>
      <c r="J288" s="14" t="s">
        <v>339</v>
      </c>
      <c r="K288" s="14" t="s">
        <v>342</v>
      </c>
      <c r="L288" s="14"/>
      <c r="M288" s="14" t="s">
        <v>342</v>
      </c>
      <c r="N288" s="14" t="s">
        <v>339</v>
      </c>
      <c r="O288" s="14" t="str">
        <f>CONCATENATE("M 20 ",O79)</f>
      </c>
    </row>
    <row r="289">
      <c r="A289" s="14" t="s">
        <v>349</v>
      </c>
      <c r="B289" s="14" t="str">
        <f>IF(UPPER(D282)="X",0,IF((LEN(SUBSTITUTE(SUBSTITUTE(SUBSTITUTE(B282," ",""),"0",""),"-",""))+LEN(SUBSTITUTE(SUBSTITUTE(SUBSTITUTE(C282," ",""),"0",""),"-","")))&gt;(LEN(SUBSTITUTE(SUBSTITUTE(SUBSTITUTE(E282," ",""),"0",""),"-",""))+LEN(SUBSTITUTE(SUBSTITUTE(SUBSTITUTE(F282," ",""),"0",""),"-",""))),1,0))+IF(UPPER(D283)="X",0,IF((LEN(SUBSTITUTE(SUBSTITUTE(SUBSTITUTE(B283," ",""),"0",""),"-",""))+LEN(SUBSTITUTE(SUBSTITUTE(SUBSTITUTE(C283," ",""),"0",""),"-","")))&gt;(LEN(SUBSTITUTE(SUBSTITUTE(SUBSTITUTE(E283," ",""),"0",""),"-",""))+LEN(SUBSTITUTE(SUBSTITUTE(SUBSTITUTE(F283," ",""),"0",""),"-",""))),1,0))+IF(UPPER(D284)="X",0,IF((LEN(SUBSTITUTE(SUBSTITUTE(SUBSTITUTE(B284," ",""),"0",""),"-",""))+LEN(SUBSTITUTE(SUBSTITUTE(SUBSTITUTE(C284," ",""),"0",""),"-","")))&gt;(LEN(SUBSTITUTE(SUBSTITUTE(SUBSTITUTE(E284," ",""),"0",""),"-",""))+LEN(SUBSTITUTE(SUBSTITUTE(SUBSTITUTE(F284," ",""),"0",""),"-",""))),1,0))+IF(UPPER(D285)="X",0,IF((LEN(SUBSTITUTE(SUBSTITUTE(SUBSTITUTE(B285," ",""),"0",""),"-",""))+LEN(SUBSTITUTE(SUBSTITUTE(SUBSTITUTE(C285," ",""),"0",""),"-","")))&gt;(LEN(SUBSTITUTE(SUBSTITUTE(SUBSTITUTE(E285," ",""),"0",""),"-",""))+LEN(SUBSTITUTE(SUBSTITUTE(SUBSTITUTE(F285," ",""),"0",""),"-",""))),1,0))+IF(UPPER(D286)="X",0,IF((LEN(SUBSTITUTE(SUBSTITUTE(SUBSTITUTE(B286," ",""),"0",""),"-",""))+LEN(SUBSTITUTE(SUBSTITUTE(SUBSTITUTE(C286," ",""),"0",""),"-","")))&gt;(LEN(SUBSTITUTE(SUBSTITUTE(SUBSTITUTE(E286," ",""),"0",""),"-",""))+LEN(SUBSTITUTE(SUBSTITUTE(SUBSTITUTE(F286," ",""),"0",""),"-",""))),1,0))</f>
      </c>
      <c r="C289" s="14" t="str">
        <f>LEN(SUBSTITUTE(SUBSTITUTE(SUBSTITUTE(B282," ",""),"0",""),"-",""))+LEN(SUBSTITUTE(SUBSTITUTE(SUBSTITUTE(C282," ",""),"0",""),"-",""))+LEN(SUBSTITUTE(SUBSTITUTE(SUBSTITUTE(B283," ",""),"0",""),"-",""))+LEN(SUBSTITUTE(SUBSTITUTE(SUBSTITUTE(C283," ",""),"0",""),"-",""))+LEN(SUBSTITUTE(SUBSTITUTE(SUBSTITUTE(B284," ",""),"0",""),"-",""))+LEN(SUBSTITUTE(SUBSTITUTE(SUBSTITUTE(C284," ",""),"0",""),"-",""))+LEN(SUBSTITUTE(SUBSTITUTE(SUBSTITUTE(B285," ",""),"0",""),"-",""))+LEN(SUBSTITUTE(SUBSTITUTE(SUBSTITUTE(C285," ",""),"0",""),"-",""))+LEN(SUBSTITUTE(SUBSTITUTE(SUBSTITUTE(B286," ",""),"0",""),"-",""))+LEN(SUBSTITUTE(SUBSTITUTE(SUBSTITUTE(C286," ",""),"0",""),"-",""))</f>
      </c>
      <c r="D289" s="14"/>
      <c r="E289" s="14" t="str">
        <f>LEN(SUBSTITUTE(SUBSTITUTE(SUBSTITUTE(E282," ",""),"0",""),"-",""))+LEN(SUBSTITUTE(SUBSTITUTE(SUBSTITUTE(F282," ",""),"0",""),"-",""))+LEN(SUBSTITUTE(SUBSTITUTE(SUBSTITUTE(E283," ",""),"0",""),"-",""))+LEN(SUBSTITUTE(SUBSTITUTE(SUBSTITUTE(F283," ",""),"0",""),"-",""))+LEN(SUBSTITUTE(SUBSTITUTE(SUBSTITUTE(E284," ",""),"0",""),"-",""))+LEN(SUBSTITUTE(SUBSTITUTE(SUBSTITUTE(F284," ",""),"0",""),"-",""))+LEN(SUBSTITUTE(SUBSTITUTE(SUBSTITUTE(E285," ",""),"0",""),"-",""))+LEN(SUBSTITUTE(SUBSTITUTE(SUBSTITUTE(F285," ",""),"0",""),"-",""))+LEN(SUBSTITUTE(SUBSTITUTE(SUBSTITUTE(E286," ",""),"0",""),"-",""))+LEN(SUBSTITUTE(SUBSTITUTE(SUBSTITUTE(F286," ",""),"0",""),"-",""))</f>
      </c>
      <c r="F289" s="14" t="str">
        <f>IF(UPPER(D282)="X",0,IF((LEN(SUBSTITUTE(SUBSTITUTE(SUBSTITUTE(E282," ",""),"0",""),"-",""))+LEN(SUBSTITUTE(SUBSTITUTE(SUBSTITUTE(F282," ",""),"0",""),"-","")))&gt;(LEN(SUBSTITUTE(SUBSTITUTE(SUBSTITUTE(B282," ",""),"0",""),"-",""))+LEN(SUBSTITUTE(SUBSTITUTE(SUBSTITUTE(C282," ",""),"0",""),"-",""))),1,0))+IF(UPPER(D283)="X",0,IF((LEN(SUBSTITUTE(SUBSTITUTE(SUBSTITUTE(E283," ",""),"0",""),"-",""))+LEN(SUBSTITUTE(SUBSTITUTE(SUBSTITUTE(F283," ",""),"0",""),"-","")))&gt;(LEN(SUBSTITUTE(SUBSTITUTE(SUBSTITUTE(B283," ",""),"0",""),"-",""))+LEN(SUBSTITUTE(SUBSTITUTE(SUBSTITUTE(C283," ",""),"0",""),"-",""))),1,0))+IF(UPPER(D284)="X",0,IF((LEN(SUBSTITUTE(SUBSTITUTE(SUBSTITUTE(E284," ",""),"0",""),"-",""))+LEN(SUBSTITUTE(SUBSTITUTE(SUBSTITUTE(F284," ",""),"0",""),"-","")))&gt;(LEN(SUBSTITUTE(SUBSTITUTE(SUBSTITUTE(B284," ",""),"0",""),"-",""))+LEN(SUBSTITUTE(SUBSTITUTE(SUBSTITUTE(C284," ",""),"0",""),"-",""))),1,0))+IF(UPPER(D285)="X",0,IF((LEN(SUBSTITUTE(SUBSTITUTE(SUBSTITUTE(E285," ",""),"0",""),"-",""))+LEN(SUBSTITUTE(SUBSTITUTE(SUBSTITUTE(F285," ",""),"0",""),"-","")))&gt;(LEN(SUBSTITUTE(SUBSTITUTE(SUBSTITUTE(B285," ",""),"0",""),"-",""))+LEN(SUBSTITUTE(SUBSTITUTE(SUBSTITUTE(C285," ",""),"0",""),"-",""))),1,0))+IF(UPPER(D286)="X",0,IF((LEN(SUBSTITUTE(SUBSTITUTE(SUBSTITUTE(E286," ",""),"0",""),"-",""))+LEN(SUBSTITUTE(SUBSTITUTE(SUBSTITUTE(F286," ",""),"0",""),"-","")))&gt;(LEN(SUBSTITUTE(SUBSTITUTE(SUBSTITUTE(B286," ",""),"0",""),"-",""))+LEN(SUBSTITUTE(SUBSTITUTE(SUBSTITUTE(C286," ",""),"0",""),"-",""))),1,0))</f>
      </c>
      <c r="G289" s="14" t="s">
        <v>349</v>
      </c>
      <c r="I289" s="14" t="s">
        <v>349</v>
      </c>
      <c r="J289" s="14" t="str">
        <f>IF(UPPER(L282)="X",0,IF((LEN(SUBSTITUTE(SUBSTITUTE(SUBSTITUTE(J282," ",""),"0",""),"-",""))+LEN(SUBSTITUTE(SUBSTITUTE(SUBSTITUTE(K282," ",""),"0",""),"-","")))&gt;(LEN(SUBSTITUTE(SUBSTITUTE(SUBSTITUTE(M282," ",""),"0",""),"-",""))+LEN(SUBSTITUTE(SUBSTITUTE(SUBSTITUTE(N282," ",""),"0",""),"-",""))),1,0))+IF(UPPER(L283)="X",0,IF((LEN(SUBSTITUTE(SUBSTITUTE(SUBSTITUTE(J283," ",""),"0",""),"-",""))+LEN(SUBSTITUTE(SUBSTITUTE(SUBSTITUTE(K283," ",""),"0",""),"-","")))&gt;(LEN(SUBSTITUTE(SUBSTITUTE(SUBSTITUTE(M283," ",""),"0",""),"-",""))+LEN(SUBSTITUTE(SUBSTITUTE(SUBSTITUTE(N283," ",""),"0",""),"-",""))),1,0))+IF(UPPER(L284)="X",0,IF((LEN(SUBSTITUTE(SUBSTITUTE(SUBSTITUTE(J284," ",""),"0",""),"-",""))+LEN(SUBSTITUTE(SUBSTITUTE(SUBSTITUTE(K284," ",""),"0",""),"-","")))&gt;(LEN(SUBSTITUTE(SUBSTITUTE(SUBSTITUTE(M284," ",""),"0",""),"-",""))+LEN(SUBSTITUTE(SUBSTITUTE(SUBSTITUTE(N284," ",""),"0",""),"-",""))),1,0))+IF(UPPER(L285)="X",0,IF((LEN(SUBSTITUTE(SUBSTITUTE(SUBSTITUTE(J285," ",""),"0",""),"-",""))+LEN(SUBSTITUTE(SUBSTITUTE(SUBSTITUTE(K285," ",""),"0",""),"-","")))&gt;(LEN(SUBSTITUTE(SUBSTITUTE(SUBSTITUTE(M285," ",""),"0",""),"-",""))+LEN(SUBSTITUTE(SUBSTITUTE(SUBSTITUTE(N285," ",""),"0",""),"-",""))),1,0))+IF(UPPER(L286)="X",0,IF((LEN(SUBSTITUTE(SUBSTITUTE(SUBSTITUTE(J286," ",""),"0",""),"-",""))+LEN(SUBSTITUTE(SUBSTITUTE(SUBSTITUTE(K286," ",""),"0",""),"-","")))&gt;(LEN(SUBSTITUTE(SUBSTITUTE(SUBSTITUTE(M286," ",""),"0",""),"-",""))+LEN(SUBSTITUTE(SUBSTITUTE(SUBSTITUTE(N286," ",""),"0",""),"-",""))),1,0))</f>
      </c>
      <c r="K289" s="14" t="str">
        <f>LEN(SUBSTITUTE(SUBSTITUTE(SUBSTITUTE(J282," ",""),"0",""),"-",""))+LEN(SUBSTITUTE(SUBSTITUTE(SUBSTITUTE(K282," ",""),"0",""),"-",""))+LEN(SUBSTITUTE(SUBSTITUTE(SUBSTITUTE(J283," ",""),"0",""),"-",""))+LEN(SUBSTITUTE(SUBSTITUTE(SUBSTITUTE(K283," ",""),"0",""),"-",""))+LEN(SUBSTITUTE(SUBSTITUTE(SUBSTITUTE(J284," ",""),"0",""),"-",""))+LEN(SUBSTITUTE(SUBSTITUTE(SUBSTITUTE(K284," ",""),"0",""),"-",""))+LEN(SUBSTITUTE(SUBSTITUTE(SUBSTITUTE(J285," ",""),"0",""),"-",""))+LEN(SUBSTITUTE(SUBSTITUTE(SUBSTITUTE(K285," ",""),"0",""),"-",""))+LEN(SUBSTITUTE(SUBSTITUTE(SUBSTITUTE(J286," ",""),"0",""),"-",""))+LEN(SUBSTITUTE(SUBSTITUTE(SUBSTITUTE(K286," ",""),"0",""),"-",""))</f>
      </c>
      <c r="L289" s="14"/>
      <c r="M289" s="14" t="str">
        <f>LEN(SUBSTITUTE(SUBSTITUTE(SUBSTITUTE(M282," ",""),"0",""),"-",""))+LEN(SUBSTITUTE(SUBSTITUTE(SUBSTITUTE(N282," ",""),"0",""),"-",""))+LEN(SUBSTITUTE(SUBSTITUTE(SUBSTITUTE(M283," ",""),"0",""),"-",""))+LEN(SUBSTITUTE(SUBSTITUTE(SUBSTITUTE(N283," ",""),"0",""),"-",""))+LEN(SUBSTITUTE(SUBSTITUTE(SUBSTITUTE(M284," ",""),"0",""),"-",""))+LEN(SUBSTITUTE(SUBSTITUTE(SUBSTITUTE(N284," ",""),"0",""),"-",""))+LEN(SUBSTITUTE(SUBSTITUTE(SUBSTITUTE(M285," ",""),"0",""),"-",""))+LEN(SUBSTITUTE(SUBSTITUTE(SUBSTITUTE(N285," ",""),"0",""),"-",""))+LEN(SUBSTITUTE(SUBSTITUTE(SUBSTITUTE(M286," ",""),"0",""),"-",""))+LEN(SUBSTITUTE(SUBSTITUTE(SUBSTITUTE(N286," ",""),"0",""),"-",""))</f>
      </c>
      <c r="N289" s="14" t="str">
        <f>IF(UPPER(L282)="X",0,IF((LEN(SUBSTITUTE(SUBSTITUTE(SUBSTITUTE(M282," ",""),"0",""),"-",""))+LEN(SUBSTITUTE(SUBSTITUTE(SUBSTITUTE(N282," ",""),"0",""),"-","")))&gt;(LEN(SUBSTITUTE(SUBSTITUTE(SUBSTITUTE(J282," ",""),"0",""),"-",""))+LEN(SUBSTITUTE(SUBSTITUTE(SUBSTITUTE(K282," ",""),"0",""),"-",""))),1,0))+IF(UPPER(L283)="X",0,IF((LEN(SUBSTITUTE(SUBSTITUTE(SUBSTITUTE(M283," ",""),"0",""),"-",""))+LEN(SUBSTITUTE(SUBSTITUTE(SUBSTITUTE(N283," ",""),"0",""),"-","")))&gt;(LEN(SUBSTITUTE(SUBSTITUTE(SUBSTITUTE(J283," ",""),"0",""),"-",""))+LEN(SUBSTITUTE(SUBSTITUTE(SUBSTITUTE(K283," ",""),"0",""),"-",""))),1,0))+IF(UPPER(L284)="X",0,IF((LEN(SUBSTITUTE(SUBSTITUTE(SUBSTITUTE(M284," ",""),"0",""),"-",""))+LEN(SUBSTITUTE(SUBSTITUTE(SUBSTITUTE(N284," ",""),"0",""),"-","")))&gt;(LEN(SUBSTITUTE(SUBSTITUTE(SUBSTITUTE(J284," ",""),"0",""),"-",""))+LEN(SUBSTITUTE(SUBSTITUTE(SUBSTITUTE(K284," ",""),"0",""),"-",""))),1,0))+IF(UPPER(L285)="X",0,IF((LEN(SUBSTITUTE(SUBSTITUTE(SUBSTITUTE(M285," ",""),"0",""),"-",""))+LEN(SUBSTITUTE(SUBSTITUTE(SUBSTITUTE(N285," ",""),"0",""),"-","")))&gt;(LEN(SUBSTITUTE(SUBSTITUTE(SUBSTITUTE(J285," ",""),"0",""),"-",""))+LEN(SUBSTITUTE(SUBSTITUTE(SUBSTITUTE(K285," ",""),"0",""),"-",""))),1,0))+IF(UPPER(L286)="X",0,IF((LEN(SUBSTITUTE(SUBSTITUTE(SUBSTITUTE(M286," ",""),"0",""),"-",""))+LEN(SUBSTITUTE(SUBSTITUTE(SUBSTITUTE(N286," ",""),"0",""),"-","")))&gt;(LEN(SUBSTITUTE(SUBSTITUTE(SUBSTITUTE(J286," ",""),"0",""),"-",""))+LEN(SUBSTITUTE(SUBSTITUTE(SUBSTITUTE(K286," ",""),"0",""),"-",""))),1,0))</f>
      </c>
      <c r="O289" s="14" t="s">
        <v>349</v>
      </c>
    </row>
    <row r="292">
      <c r="F292" t="s">
        <v>345</v>
      </c>
      <c r="G292" s="19"/>
      <c r="N292" t="s">
        <v>345</v>
      </c>
      <c r="O292" s="19"/>
    </row>
    <row r="293">
      <c r="F293" t="s">
        <v>346</v>
      </c>
      <c r="G293" s="19"/>
      <c r="N293" t="s">
        <v>346</v>
      </c>
      <c r="O293" s="19"/>
    </row>
    <row r="295">
      <c r="A295" s="13" t="s">
        <v>385</v>
      </c>
      <c r="B295" s="13"/>
      <c r="C295" s="13"/>
      <c r="D295" s="13"/>
      <c r="E295" s="13"/>
      <c r="F295" s="13"/>
      <c r="G295" s="13"/>
      <c r="I295" s="13" t="s">
        <v>386</v>
      </c>
      <c r="J295" s="13"/>
      <c r="K295" s="13"/>
      <c r="L295" s="13"/>
      <c r="M295" s="13"/>
      <c r="N295" s="13"/>
      <c r="O295" s="13"/>
    </row>
    <row r="296">
      <c r="A296" s="17" t="s">
        <v>331</v>
      </c>
      <c r="D296" s="14" t="s">
        <v>332</v>
      </c>
      <c r="G296" s="16" t="s">
        <v>333</v>
      </c>
      <c r="I296" s="17" t="s">
        <v>331</v>
      </c>
      <c r="L296" s="14" t="s">
        <v>332</v>
      </c>
      <c r="O296" s="16" t="s">
        <v>333</v>
      </c>
    </row>
    <row r="297">
      <c r="A297" s="14" t="str">
        <f>CONCATENATE("M 8 ",G127)</f>
      </c>
      <c r="B297" s="14"/>
      <c r="C297" s="14"/>
      <c r="D297" s="18"/>
      <c r="E297" s="14"/>
      <c r="F297" s="14"/>
      <c r="G297" s="14" t="str">
        <f>CONCATENATE("M 7 ",G111)</f>
      </c>
      <c r="I297" s="14" t="str">
        <f>CONCATENATE("M 23 ",O127)</f>
      </c>
      <c r="J297" s="14"/>
      <c r="K297" s="14"/>
      <c r="L297" s="18"/>
      <c r="M297" s="14"/>
      <c r="N297" s="14"/>
      <c r="O297" s="14" t="str">
        <f>CONCATENATE("M 22 ",O111)</f>
      </c>
    </row>
    <row r="298">
      <c r="A298" s="14">
        <v>1</v>
      </c>
      <c r="B298" s="18"/>
      <c r="C298" s="18"/>
      <c r="D298" s="18"/>
      <c r="E298" s="18"/>
      <c r="F298" s="18"/>
      <c r="G298" s="14">
        <v>1</v>
      </c>
      <c r="I298" s="14">
        <v>1</v>
      </c>
      <c r="J298" s="18"/>
      <c r="K298" s="18"/>
      <c r="L298" s="18"/>
      <c r="M298" s="18"/>
      <c r="N298" s="18"/>
      <c r="O298" s="14">
        <v>1</v>
      </c>
    </row>
    <row r="299">
      <c r="A299" s="14">
        <v>2</v>
      </c>
      <c r="B299" s="18"/>
      <c r="C299" s="18"/>
      <c r="D299" s="18"/>
      <c r="E299" s="18"/>
      <c r="F299" s="18"/>
      <c r="G299" s="14">
        <v>2</v>
      </c>
      <c r="I299" s="14">
        <v>2</v>
      </c>
      <c r="J299" s="18"/>
      <c r="K299" s="18"/>
      <c r="L299" s="18"/>
      <c r="M299" s="18"/>
      <c r="N299" s="18"/>
      <c r="O299" s="14">
        <v>2</v>
      </c>
    </row>
    <row r="300">
      <c r="A300" s="14">
        <v>3</v>
      </c>
      <c r="B300" s="18"/>
      <c r="C300" s="18"/>
      <c r="D300" s="18"/>
      <c r="E300" s="18"/>
      <c r="F300" s="18"/>
      <c r="G300" s="14">
        <v>3</v>
      </c>
      <c r="I300" s="14">
        <v>3</v>
      </c>
      <c r="J300" s="18"/>
      <c r="K300" s="18"/>
      <c r="L300" s="18"/>
      <c r="M300" s="18"/>
      <c r="N300" s="18"/>
      <c r="O300" s="14">
        <v>3</v>
      </c>
    </row>
    <row r="301">
      <c r="A301" s="14">
        <v>4</v>
      </c>
      <c r="B301" s="18"/>
      <c r="C301" s="18"/>
      <c r="D301" s="18"/>
      <c r="E301" s="18"/>
      <c r="F301" s="18"/>
      <c r="G301" s="14">
        <v>4</v>
      </c>
      <c r="I301" s="14">
        <v>4</v>
      </c>
      <c r="J301" s="18"/>
      <c r="K301" s="18"/>
      <c r="L301" s="18"/>
      <c r="M301" s="18"/>
      <c r="N301" s="18"/>
      <c r="O301" s="14">
        <v>4</v>
      </c>
    </row>
    <row r="302">
      <c r="A302" s="14">
        <v>5</v>
      </c>
      <c r="B302" s="18"/>
      <c r="C302" s="18"/>
      <c r="D302" s="18"/>
      <c r="E302" s="18"/>
      <c r="F302" s="18"/>
      <c r="G302" s="14">
        <v>5</v>
      </c>
      <c r="I302" s="14">
        <v>5</v>
      </c>
      <c r="J302" s="18"/>
      <c r="K302" s="18"/>
      <c r="L302" s="18"/>
      <c r="M302" s="18"/>
      <c r="N302" s="18"/>
      <c r="O302" s="14">
        <v>5</v>
      </c>
    </row>
    <row r="304">
      <c r="A304" s="14" t="str">
        <f>CONCATENATE("M 8 ",G127)</f>
      </c>
      <c r="B304" s="14" t="s">
        <v>339</v>
      </c>
      <c r="C304" s="14" t="s">
        <v>342</v>
      </c>
      <c r="D304" s="14"/>
      <c r="E304" s="14" t="s">
        <v>342</v>
      </c>
      <c r="F304" s="14" t="s">
        <v>339</v>
      </c>
      <c r="G304" s="14" t="str">
        <f>CONCATENATE("M 7 ",G111)</f>
      </c>
      <c r="I304" s="14" t="str">
        <f>CONCATENATE("M 23 ",O127)</f>
      </c>
      <c r="J304" s="14" t="s">
        <v>339</v>
      </c>
      <c r="K304" s="14" t="s">
        <v>342</v>
      </c>
      <c r="L304" s="14"/>
      <c r="M304" s="14" t="s">
        <v>342</v>
      </c>
      <c r="N304" s="14" t="s">
        <v>339</v>
      </c>
      <c r="O304" s="14" t="str">
        <f>CONCATENATE("M 22 ",O111)</f>
      </c>
    </row>
    <row r="305">
      <c r="A305" s="14" t="s">
        <v>349</v>
      </c>
      <c r="B305" s="14" t="str">
        <f>IF(UPPER(D298)="X",0,IF((LEN(SUBSTITUTE(SUBSTITUTE(SUBSTITUTE(B298," ",""),"0",""),"-",""))+LEN(SUBSTITUTE(SUBSTITUTE(SUBSTITUTE(C298," ",""),"0",""),"-","")))&gt;(LEN(SUBSTITUTE(SUBSTITUTE(SUBSTITUTE(E298," ",""),"0",""),"-",""))+LEN(SUBSTITUTE(SUBSTITUTE(SUBSTITUTE(F298," ",""),"0",""),"-",""))),1,0))+IF(UPPER(D299)="X",0,IF((LEN(SUBSTITUTE(SUBSTITUTE(SUBSTITUTE(B299," ",""),"0",""),"-",""))+LEN(SUBSTITUTE(SUBSTITUTE(SUBSTITUTE(C299," ",""),"0",""),"-","")))&gt;(LEN(SUBSTITUTE(SUBSTITUTE(SUBSTITUTE(E299," ",""),"0",""),"-",""))+LEN(SUBSTITUTE(SUBSTITUTE(SUBSTITUTE(F299," ",""),"0",""),"-",""))),1,0))+IF(UPPER(D300)="X",0,IF((LEN(SUBSTITUTE(SUBSTITUTE(SUBSTITUTE(B300," ",""),"0",""),"-",""))+LEN(SUBSTITUTE(SUBSTITUTE(SUBSTITUTE(C300," ",""),"0",""),"-","")))&gt;(LEN(SUBSTITUTE(SUBSTITUTE(SUBSTITUTE(E300," ",""),"0",""),"-",""))+LEN(SUBSTITUTE(SUBSTITUTE(SUBSTITUTE(F300," ",""),"0",""),"-",""))),1,0))+IF(UPPER(D301)="X",0,IF((LEN(SUBSTITUTE(SUBSTITUTE(SUBSTITUTE(B301," ",""),"0",""),"-",""))+LEN(SUBSTITUTE(SUBSTITUTE(SUBSTITUTE(C301," ",""),"0",""),"-","")))&gt;(LEN(SUBSTITUTE(SUBSTITUTE(SUBSTITUTE(E301," ",""),"0",""),"-",""))+LEN(SUBSTITUTE(SUBSTITUTE(SUBSTITUTE(F301," ",""),"0",""),"-",""))),1,0))+IF(UPPER(D302)="X",0,IF((LEN(SUBSTITUTE(SUBSTITUTE(SUBSTITUTE(B302," ",""),"0",""),"-",""))+LEN(SUBSTITUTE(SUBSTITUTE(SUBSTITUTE(C302," ",""),"0",""),"-","")))&gt;(LEN(SUBSTITUTE(SUBSTITUTE(SUBSTITUTE(E302," ",""),"0",""),"-",""))+LEN(SUBSTITUTE(SUBSTITUTE(SUBSTITUTE(F302," ",""),"0",""),"-",""))),1,0))</f>
      </c>
      <c r="C305" s="14" t="str">
        <f>LEN(SUBSTITUTE(SUBSTITUTE(SUBSTITUTE(B298," ",""),"0",""),"-",""))+LEN(SUBSTITUTE(SUBSTITUTE(SUBSTITUTE(C298," ",""),"0",""),"-",""))+LEN(SUBSTITUTE(SUBSTITUTE(SUBSTITUTE(B299," ",""),"0",""),"-",""))+LEN(SUBSTITUTE(SUBSTITUTE(SUBSTITUTE(C299," ",""),"0",""),"-",""))+LEN(SUBSTITUTE(SUBSTITUTE(SUBSTITUTE(B300," ",""),"0",""),"-",""))+LEN(SUBSTITUTE(SUBSTITUTE(SUBSTITUTE(C300," ",""),"0",""),"-",""))+LEN(SUBSTITUTE(SUBSTITUTE(SUBSTITUTE(B301," ",""),"0",""),"-",""))+LEN(SUBSTITUTE(SUBSTITUTE(SUBSTITUTE(C301," ",""),"0",""),"-",""))+LEN(SUBSTITUTE(SUBSTITUTE(SUBSTITUTE(B302," ",""),"0",""),"-",""))+LEN(SUBSTITUTE(SUBSTITUTE(SUBSTITUTE(C302," ",""),"0",""),"-",""))</f>
      </c>
      <c r="D305" s="14"/>
      <c r="E305" s="14" t="str">
        <f>LEN(SUBSTITUTE(SUBSTITUTE(SUBSTITUTE(E298," ",""),"0",""),"-",""))+LEN(SUBSTITUTE(SUBSTITUTE(SUBSTITUTE(F298," ",""),"0",""),"-",""))+LEN(SUBSTITUTE(SUBSTITUTE(SUBSTITUTE(E299," ",""),"0",""),"-",""))+LEN(SUBSTITUTE(SUBSTITUTE(SUBSTITUTE(F299," ",""),"0",""),"-",""))+LEN(SUBSTITUTE(SUBSTITUTE(SUBSTITUTE(E300," ",""),"0",""),"-",""))+LEN(SUBSTITUTE(SUBSTITUTE(SUBSTITUTE(F300," ",""),"0",""),"-",""))+LEN(SUBSTITUTE(SUBSTITUTE(SUBSTITUTE(E301," ",""),"0",""),"-",""))+LEN(SUBSTITUTE(SUBSTITUTE(SUBSTITUTE(F301," ",""),"0",""),"-",""))+LEN(SUBSTITUTE(SUBSTITUTE(SUBSTITUTE(E302," ",""),"0",""),"-",""))+LEN(SUBSTITUTE(SUBSTITUTE(SUBSTITUTE(F302," ",""),"0",""),"-",""))</f>
      </c>
      <c r="F305" s="14" t="str">
        <f>IF(UPPER(D298)="X",0,IF((LEN(SUBSTITUTE(SUBSTITUTE(SUBSTITUTE(E298," ",""),"0",""),"-",""))+LEN(SUBSTITUTE(SUBSTITUTE(SUBSTITUTE(F298," ",""),"0",""),"-","")))&gt;(LEN(SUBSTITUTE(SUBSTITUTE(SUBSTITUTE(B298," ",""),"0",""),"-",""))+LEN(SUBSTITUTE(SUBSTITUTE(SUBSTITUTE(C298," ",""),"0",""),"-",""))),1,0))+IF(UPPER(D299)="X",0,IF((LEN(SUBSTITUTE(SUBSTITUTE(SUBSTITUTE(E299," ",""),"0",""),"-",""))+LEN(SUBSTITUTE(SUBSTITUTE(SUBSTITUTE(F299," ",""),"0",""),"-","")))&gt;(LEN(SUBSTITUTE(SUBSTITUTE(SUBSTITUTE(B299," ",""),"0",""),"-",""))+LEN(SUBSTITUTE(SUBSTITUTE(SUBSTITUTE(C299," ",""),"0",""),"-",""))),1,0))+IF(UPPER(D300)="X",0,IF((LEN(SUBSTITUTE(SUBSTITUTE(SUBSTITUTE(E300," ",""),"0",""),"-",""))+LEN(SUBSTITUTE(SUBSTITUTE(SUBSTITUTE(F300," ",""),"0",""),"-","")))&gt;(LEN(SUBSTITUTE(SUBSTITUTE(SUBSTITUTE(B300," ",""),"0",""),"-",""))+LEN(SUBSTITUTE(SUBSTITUTE(SUBSTITUTE(C300," ",""),"0",""),"-",""))),1,0))+IF(UPPER(D301)="X",0,IF((LEN(SUBSTITUTE(SUBSTITUTE(SUBSTITUTE(E301," ",""),"0",""),"-",""))+LEN(SUBSTITUTE(SUBSTITUTE(SUBSTITUTE(F301," ",""),"0",""),"-","")))&gt;(LEN(SUBSTITUTE(SUBSTITUTE(SUBSTITUTE(B301," ",""),"0",""),"-",""))+LEN(SUBSTITUTE(SUBSTITUTE(SUBSTITUTE(C301," ",""),"0",""),"-",""))),1,0))+IF(UPPER(D302)="X",0,IF((LEN(SUBSTITUTE(SUBSTITUTE(SUBSTITUTE(E302," ",""),"0",""),"-",""))+LEN(SUBSTITUTE(SUBSTITUTE(SUBSTITUTE(F302," ",""),"0",""),"-","")))&gt;(LEN(SUBSTITUTE(SUBSTITUTE(SUBSTITUTE(B302," ",""),"0",""),"-",""))+LEN(SUBSTITUTE(SUBSTITUTE(SUBSTITUTE(C302," ",""),"0",""),"-",""))),1,0))</f>
      </c>
      <c r="G305" s="14" t="s">
        <v>349</v>
      </c>
      <c r="I305" s="14" t="s">
        <v>349</v>
      </c>
      <c r="J305" s="14" t="str">
        <f>IF(UPPER(L298)="X",0,IF((LEN(SUBSTITUTE(SUBSTITUTE(SUBSTITUTE(J298," ",""),"0",""),"-",""))+LEN(SUBSTITUTE(SUBSTITUTE(SUBSTITUTE(K298," ",""),"0",""),"-","")))&gt;(LEN(SUBSTITUTE(SUBSTITUTE(SUBSTITUTE(M298," ",""),"0",""),"-",""))+LEN(SUBSTITUTE(SUBSTITUTE(SUBSTITUTE(N298," ",""),"0",""),"-",""))),1,0))+IF(UPPER(L299)="X",0,IF((LEN(SUBSTITUTE(SUBSTITUTE(SUBSTITUTE(J299," ",""),"0",""),"-",""))+LEN(SUBSTITUTE(SUBSTITUTE(SUBSTITUTE(K299," ",""),"0",""),"-","")))&gt;(LEN(SUBSTITUTE(SUBSTITUTE(SUBSTITUTE(M299," ",""),"0",""),"-",""))+LEN(SUBSTITUTE(SUBSTITUTE(SUBSTITUTE(N299," ",""),"0",""),"-",""))),1,0))+IF(UPPER(L300)="X",0,IF((LEN(SUBSTITUTE(SUBSTITUTE(SUBSTITUTE(J300," ",""),"0",""),"-",""))+LEN(SUBSTITUTE(SUBSTITUTE(SUBSTITUTE(K300," ",""),"0",""),"-","")))&gt;(LEN(SUBSTITUTE(SUBSTITUTE(SUBSTITUTE(M300," ",""),"0",""),"-",""))+LEN(SUBSTITUTE(SUBSTITUTE(SUBSTITUTE(N300," ",""),"0",""),"-",""))),1,0))+IF(UPPER(L301)="X",0,IF((LEN(SUBSTITUTE(SUBSTITUTE(SUBSTITUTE(J301," ",""),"0",""),"-",""))+LEN(SUBSTITUTE(SUBSTITUTE(SUBSTITUTE(K301," ",""),"0",""),"-","")))&gt;(LEN(SUBSTITUTE(SUBSTITUTE(SUBSTITUTE(M301," ",""),"0",""),"-",""))+LEN(SUBSTITUTE(SUBSTITUTE(SUBSTITUTE(N301," ",""),"0",""),"-",""))),1,0))+IF(UPPER(L302)="X",0,IF((LEN(SUBSTITUTE(SUBSTITUTE(SUBSTITUTE(J302," ",""),"0",""),"-",""))+LEN(SUBSTITUTE(SUBSTITUTE(SUBSTITUTE(K302," ",""),"0",""),"-","")))&gt;(LEN(SUBSTITUTE(SUBSTITUTE(SUBSTITUTE(M302," ",""),"0",""),"-",""))+LEN(SUBSTITUTE(SUBSTITUTE(SUBSTITUTE(N302," ",""),"0",""),"-",""))),1,0))</f>
      </c>
      <c r="K305" s="14" t="str">
        <f>LEN(SUBSTITUTE(SUBSTITUTE(SUBSTITUTE(J298," ",""),"0",""),"-",""))+LEN(SUBSTITUTE(SUBSTITUTE(SUBSTITUTE(K298," ",""),"0",""),"-",""))+LEN(SUBSTITUTE(SUBSTITUTE(SUBSTITUTE(J299," ",""),"0",""),"-",""))+LEN(SUBSTITUTE(SUBSTITUTE(SUBSTITUTE(K299," ",""),"0",""),"-",""))+LEN(SUBSTITUTE(SUBSTITUTE(SUBSTITUTE(J300," ",""),"0",""),"-",""))+LEN(SUBSTITUTE(SUBSTITUTE(SUBSTITUTE(K300," ",""),"0",""),"-",""))+LEN(SUBSTITUTE(SUBSTITUTE(SUBSTITUTE(J301," ",""),"0",""),"-",""))+LEN(SUBSTITUTE(SUBSTITUTE(SUBSTITUTE(K301," ",""),"0",""),"-",""))+LEN(SUBSTITUTE(SUBSTITUTE(SUBSTITUTE(J302," ",""),"0",""),"-",""))+LEN(SUBSTITUTE(SUBSTITUTE(SUBSTITUTE(K302," ",""),"0",""),"-",""))</f>
      </c>
      <c r="L305" s="14"/>
      <c r="M305" s="14" t="str">
        <f>LEN(SUBSTITUTE(SUBSTITUTE(SUBSTITUTE(M298," ",""),"0",""),"-",""))+LEN(SUBSTITUTE(SUBSTITUTE(SUBSTITUTE(N298," ",""),"0",""),"-",""))+LEN(SUBSTITUTE(SUBSTITUTE(SUBSTITUTE(M299," ",""),"0",""),"-",""))+LEN(SUBSTITUTE(SUBSTITUTE(SUBSTITUTE(N299," ",""),"0",""),"-",""))+LEN(SUBSTITUTE(SUBSTITUTE(SUBSTITUTE(M300," ",""),"0",""),"-",""))+LEN(SUBSTITUTE(SUBSTITUTE(SUBSTITUTE(N300," ",""),"0",""),"-",""))+LEN(SUBSTITUTE(SUBSTITUTE(SUBSTITUTE(M301," ",""),"0",""),"-",""))+LEN(SUBSTITUTE(SUBSTITUTE(SUBSTITUTE(N301," ",""),"0",""),"-",""))+LEN(SUBSTITUTE(SUBSTITUTE(SUBSTITUTE(M302," ",""),"0",""),"-",""))+LEN(SUBSTITUTE(SUBSTITUTE(SUBSTITUTE(N302," ",""),"0",""),"-",""))</f>
      </c>
      <c r="N305" s="14" t="str">
        <f>IF(UPPER(L298)="X",0,IF((LEN(SUBSTITUTE(SUBSTITUTE(SUBSTITUTE(M298," ",""),"0",""),"-",""))+LEN(SUBSTITUTE(SUBSTITUTE(SUBSTITUTE(N298," ",""),"0",""),"-","")))&gt;(LEN(SUBSTITUTE(SUBSTITUTE(SUBSTITUTE(J298," ",""),"0",""),"-",""))+LEN(SUBSTITUTE(SUBSTITUTE(SUBSTITUTE(K298," ",""),"0",""),"-",""))),1,0))+IF(UPPER(L299)="X",0,IF((LEN(SUBSTITUTE(SUBSTITUTE(SUBSTITUTE(M299," ",""),"0",""),"-",""))+LEN(SUBSTITUTE(SUBSTITUTE(SUBSTITUTE(N299," ",""),"0",""),"-","")))&gt;(LEN(SUBSTITUTE(SUBSTITUTE(SUBSTITUTE(J299," ",""),"0",""),"-",""))+LEN(SUBSTITUTE(SUBSTITUTE(SUBSTITUTE(K299," ",""),"0",""),"-",""))),1,0))+IF(UPPER(L300)="X",0,IF((LEN(SUBSTITUTE(SUBSTITUTE(SUBSTITUTE(M300," ",""),"0",""),"-",""))+LEN(SUBSTITUTE(SUBSTITUTE(SUBSTITUTE(N300," ",""),"0",""),"-","")))&gt;(LEN(SUBSTITUTE(SUBSTITUTE(SUBSTITUTE(J300," ",""),"0",""),"-",""))+LEN(SUBSTITUTE(SUBSTITUTE(SUBSTITUTE(K300," ",""),"0",""),"-",""))),1,0))+IF(UPPER(L301)="X",0,IF((LEN(SUBSTITUTE(SUBSTITUTE(SUBSTITUTE(M301," ",""),"0",""),"-",""))+LEN(SUBSTITUTE(SUBSTITUTE(SUBSTITUTE(N301," ",""),"0",""),"-","")))&gt;(LEN(SUBSTITUTE(SUBSTITUTE(SUBSTITUTE(J301," ",""),"0",""),"-",""))+LEN(SUBSTITUTE(SUBSTITUTE(SUBSTITUTE(K301," ",""),"0",""),"-",""))),1,0))+IF(UPPER(L302)="X",0,IF((LEN(SUBSTITUTE(SUBSTITUTE(SUBSTITUTE(M302," ",""),"0",""),"-",""))+LEN(SUBSTITUTE(SUBSTITUTE(SUBSTITUTE(N302," ",""),"0",""),"-","")))&gt;(LEN(SUBSTITUTE(SUBSTITUTE(SUBSTITUTE(J302," ",""),"0",""),"-",""))+LEN(SUBSTITUTE(SUBSTITUTE(SUBSTITUTE(K302," ",""),"0",""),"-",""))),1,0))</f>
      </c>
      <c r="O305" s="14" t="s">
        <v>349</v>
      </c>
    </row>
    <row r="308">
      <c r="F308" t="s">
        <v>345</v>
      </c>
      <c r="G308" s="19"/>
      <c r="N308" t="s">
        <v>345</v>
      </c>
      <c r="O308" s="19"/>
    </row>
    <row r="309">
      <c r="F309" t="s">
        <v>346</v>
      </c>
      <c r="G309" s="19"/>
      <c r="N309" t="s">
        <v>346</v>
      </c>
      <c r="O309" s="19"/>
    </row>
    <row r="311">
      <c r="A311" s="13" t="s">
        <v>387</v>
      </c>
      <c r="B311" s="13"/>
      <c r="C311" s="13"/>
      <c r="D311" s="13"/>
      <c r="E311" s="13"/>
      <c r="F311" s="13"/>
      <c r="G311" s="13"/>
      <c r="I311" s="13" t="s">
        <v>388</v>
      </c>
      <c r="J311" s="13"/>
      <c r="K311" s="13"/>
      <c r="L311" s="13"/>
      <c r="M311" s="13"/>
      <c r="N311" s="13"/>
      <c r="O311" s="13"/>
    </row>
    <row r="312">
      <c r="A312" s="17" t="s">
        <v>331</v>
      </c>
      <c r="D312" s="14" t="s">
        <v>332</v>
      </c>
      <c r="G312" s="16" t="s">
        <v>333</v>
      </c>
      <c r="I312" s="17" t="s">
        <v>331</v>
      </c>
      <c r="L312" s="14" t="s">
        <v>332</v>
      </c>
      <c r="O312" s="16" t="s">
        <v>333</v>
      </c>
    </row>
    <row r="313">
      <c r="A313" s="14" t="str">
        <f>CONCATENATE("M 9 ",G143)</f>
      </c>
      <c r="B313" s="14"/>
      <c r="C313" s="14"/>
      <c r="D313" s="18"/>
      <c r="E313" s="14"/>
      <c r="F313" s="14"/>
      <c r="G313" s="14" t="str">
        <f>CONCATENATE("Pool I-1st ",'Pool Matches'!G384)</f>
      </c>
      <c r="I313" s="14" t="str">
        <f>CONCATENATE("M 24 ",O143)</f>
      </c>
      <c r="J313" s="14"/>
      <c r="K313" s="14"/>
      <c r="L313" s="18"/>
      <c r="M313" s="14"/>
      <c r="N313" s="14"/>
      <c r="O313" s="14" t="str">
        <f>CONCATENATE("Pool Y-1st ",'Pool Matches'!O384)</f>
      </c>
    </row>
    <row r="314">
      <c r="A314" s="14">
        <v>1</v>
      </c>
      <c r="B314" s="18"/>
      <c r="C314" s="18"/>
      <c r="D314" s="18"/>
      <c r="E314" s="18"/>
      <c r="F314" s="18"/>
      <c r="G314" s="14">
        <v>1</v>
      </c>
      <c r="I314" s="14">
        <v>1</v>
      </c>
      <c r="J314" s="18"/>
      <c r="K314" s="18"/>
      <c r="L314" s="18"/>
      <c r="M314" s="18"/>
      <c r="N314" s="18"/>
      <c r="O314" s="14">
        <v>1</v>
      </c>
    </row>
    <row r="315">
      <c r="A315" s="14">
        <v>2</v>
      </c>
      <c r="B315" s="18"/>
      <c r="C315" s="18"/>
      <c r="D315" s="18"/>
      <c r="E315" s="18"/>
      <c r="F315" s="18"/>
      <c r="G315" s="14">
        <v>2</v>
      </c>
      <c r="I315" s="14">
        <v>2</v>
      </c>
      <c r="J315" s="18"/>
      <c r="K315" s="18"/>
      <c r="L315" s="18"/>
      <c r="M315" s="18"/>
      <c r="N315" s="18"/>
      <c r="O315" s="14">
        <v>2</v>
      </c>
    </row>
    <row r="316">
      <c r="A316" s="14">
        <v>3</v>
      </c>
      <c r="B316" s="18"/>
      <c r="C316" s="18"/>
      <c r="D316" s="18"/>
      <c r="E316" s="18"/>
      <c r="F316" s="18"/>
      <c r="G316" s="14">
        <v>3</v>
      </c>
      <c r="I316" s="14">
        <v>3</v>
      </c>
      <c r="J316" s="18"/>
      <c r="K316" s="18"/>
      <c r="L316" s="18"/>
      <c r="M316" s="18"/>
      <c r="N316" s="18"/>
      <c r="O316" s="14">
        <v>3</v>
      </c>
    </row>
    <row r="317">
      <c r="A317" s="14">
        <v>4</v>
      </c>
      <c r="B317" s="18"/>
      <c r="C317" s="18"/>
      <c r="D317" s="18"/>
      <c r="E317" s="18"/>
      <c r="F317" s="18"/>
      <c r="G317" s="14">
        <v>4</v>
      </c>
      <c r="I317" s="14">
        <v>4</v>
      </c>
      <c r="J317" s="18"/>
      <c r="K317" s="18"/>
      <c r="L317" s="18"/>
      <c r="M317" s="18"/>
      <c r="N317" s="18"/>
      <c r="O317" s="14">
        <v>4</v>
      </c>
    </row>
    <row r="318">
      <c r="A318" s="14">
        <v>5</v>
      </c>
      <c r="B318" s="18"/>
      <c r="C318" s="18"/>
      <c r="D318" s="18"/>
      <c r="E318" s="18"/>
      <c r="F318" s="18"/>
      <c r="G318" s="14">
        <v>5</v>
      </c>
      <c r="I318" s="14">
        <v>5</v>
      </c>
      <c r="J318" s="18"/>
      <c r="K318" s="18"/>
      <c r="L318" s="18"/>
      <c r="M318" s="18"/>
      <c r="N318" s="18"/>
      <c r="O318" s="14">
        <v>5</v>
      </c>
    </row>
    <row r="320">
      <c r="A320" s="14" t="str">
        <f>CONCATENATE("M 9 ",G143)</f>
      </c>
      <c r="B320" s="14" t="s">
        <v>339</v>
      </c>
      <c r="C320" s="14" t="s">
        <v>342</v>
      </c>
      <c r="D320" s="14"/>
      <c r="E320" s="14" t="s">
        <v>342</v>
      </c>
      <c r="F320" s="14" t="s">
        <v>339</v>
      </c>
      <c r="G320" s="14" t="str">
        <f>CONCATENATE("Pool I-1st ",'Pool Matches'!G384)</f>
      </c>
      <c r="I320" s="14" t="str">
        <f>CONCATENATE("M 24 ",O143)</f>
      </c>
      <c r="J320" s="14" t="s">
        <v>339</v>
      </c>
      <c r="K320" s="14" t="s">
        <v>342</v>
      </c>
      <c r="L320" s="14"/>
      <c r="M320" s="14" t="s">
        <v>342</v>
      </c>
      <c r="N320" s="14" t="s">
        <v>339</v>
      </c>
      <c r="O320" s="14" t="str">
        <f>CONCATENATE("Pool Y-1st ",'Pool Matches'!O384)</f>
      </c>
    </row>
    <row r="321">
      <c r="A321" s="14" t="s">
        <v>349</v>
      </c>
      <c r="B321" s="14" t="str">
        <f>IF(UPPER(D314)="X",0,IF((LEN(SUBSTITUTE(SUBSTITUTE(SUBSTITUTE(B314," ",""),"0",""),"-",""))+LEN(SUBSTITUTE(SUBSTITUTE(SUBSTITUTE(C314," ",""),"0",""),"-","")))&gt;(LEN(SUBSTITUTE(SUBSTITUTE(SUBSTITUTE(E314," ",""),"0",""),"-",""))+LEN(SUBSTITUTE(SUBSTITUTE(SUBSTITUTE(F314," ",""),"0",""),"-",""))),1,0))+IF(UPPER(D315)="X",0,IF((LEN(SUBSTITUTE(SUBSTITUTE(SUBSTITUTE(B315," ",""),"0",""),"-",""))+LEN(SUBSTITUTE(SUBSTITUTE(SUBSTITUTE(C315," ",""),"0",""),"-","")))&gt;(LEN(SUBSTITUTE(SUBSTITUTE(SUBSTITUTE(E315," ",""),"0",""),"-",""))+LEN(SUBSTITUTE(SUBSTITUTE(SUBSTITUTE(F315," ",""),"0",""),"-",""))),1,0))+IF(UPPER(D316)="X",0,IF((LEN(SUBSTITUTE(SUBSTITUTE(SUBSTITUTE(B316," ",""),"0",""),"-",""))+LEN(SUBSTITUTE(SUBSTITUTE(SUBSTITUTE(C316," ",""),"0",""),"-","")))&gt;(LEN(SUBSTITUTE(SUBSTITUTE(SUBSTITUTE(E316," ",""),"0",""),"-",""))+LEN(SUBSTITUTE(SUBSTITUTE(SUBSTITUTE(F316," ",""),"0",""),"-",""))),1,0))+IF(UPPER(D317)="X",0,IF((LEN(SUBSTITUTE(SUBSTITUTE(SUBSTITUTE(B317," ",""),"0",""),"-",""))+LEN(SUBSTITUTE(SUBSTITUTE(SUBSTITUTE(C317," ",""),"0",""),"-","")))&gt;(LEN(SUBSTITUTE(SUBSTITUTE(SUBSTITUTE(E317," ",""),"0",""),"-",""))+LEN(SUBSTITUTE(SUBSTITUTE(SUBSTITUTE(F317," ",""),"0",""),"-",""))),1,0))+IF(UPPER(D318)="X",0,IF((LEN(SUBSTITUTE(SUBSTITUTE(SUBSTITUTE(B318," ",""),"0",""),"-",""))+LEN(SUBSTITUTE(SUBSTITUTE(SUBSTITUTE(C318," ",""),"0",""),"-","")))&gt;(LEN(SUBSTITUTE(SUBSTITUTE(SUBSTITUTE(E318," ",""),"0",""),"-",""))+LEN(SUBSTITUTE(SUBSTITUTE(SUBSTITUTE(F318," ",""),"0",""),"-",""))),1,0))</f>
      </c>
      <c r="C321" s="14" t="str">
        <f>LEN(SUBSTITUTE(SUBSTITUTE(SUBSTITUTE(B314," ",""),"0",""),"-",""))+LEN(SUBSTITUTE(SUBSTITUTE(SUBSTITUTE(C314," ",""),"0",""),"-",""))+LEN(SUBSTITUTE(SUBSTITUTE(SUBSTITUTE(B315," ",""),"0",""),"-",""))+LEN(SUBSTITUTE(SUBSTITUTE(SUBSTITUTE(C315," ",""),"0",""),"-",""))+LEN(SUBSTITUTE(SUBSTITUTE(SUBSTITUTE(B316," ",""),"0",""),"-",""))+LEN(SUBSTITUTE(SUBSTITUTE(SUBSTITUTE(C316," ",""),"0",""),"-",""))+LEN(SUBSTITUTE(SUBSTITUTE(SUBSTITUTE(B317," ",""),"0",""),"-",""))+LEN(SUBSTITUTE(SUBSTITUTE(SUBSTITUTE(C317," ",""),"0",""),"-",""))+LEN(SUBSTITUTE(SUBSTITUTE(SUBSTITUTE(B318," ",""),"0",""),"-",""))+LEN(SUBSTITUTE(SUBSTITUTE(SUBSTITUTE(C318," ",""),"0",""),"-",""))</f>
      </c>
      <c r="D321" s="14"/>
      <c r="E321" s="14" t="str">
        <f>LEN(SUBSTITUTE(SUBSTITUTE(SUBSTITUTE(E314," ",""),"0",""),"-",""))+LEN(SUBSTITUTE(SUBSTITUTE(SUBSTITUTE(F314," ",""),"0",""),"-",""))+LEN(SUBSTITUTE(SUBSTITUTE(SUBSTITUTE(E315," ",""),"0",""),"-",""))+LEN(SUBSTITUTE(SUBSTITUTE(SUBSTITUTE(F315," ",""),"0",""),"-",""))+LEN(SUBSTITUTE(SUBSTITUTE(SUBSTITUTE(E316," ",""),"0",""),"-",""))+LEN(SUBSTITUTE(SUBSTITUTE(SUBSTITUTE(F316," ",""),"0",""),"-",""))+LEN(SUBSTITUTE(SUBSTITUTE(SUBSTITUTE(E317," ",""),"0",""),"-",""))+LEN(SUBSTITUTE(SUBSTITUTE(SUBSTITUTE(F317," ",""),"0",""),"-",""))+LEN(SUBSTITUTE(SUBSTITUTE(SUBSTITUTE(E318," ",""),"0",""),"-",""))+LEN(SUBSTITUTE(SUBSTITUTE(SUBSTITUTE(F318," ",""),"0",""),"-",""))</f>
      </c>
      <c r="F321" s="14" t="str">
        <f>IF(UPPER(D314)="X",0,IF((LEN(SUBSTITUTE(SUBSTITUTE(SUBSTITUTE(E314," ",""),"0",""),"-",""))+LEN(SUBSTITUTE(SUBSTITUTE(SUBSTITUTE(F314," ",""),"0",""),"-","")))&gt;(LEN(SUBSTITUTE(SUBSTITUTE(SUBSTITUTE(B314," ",""),"0",""),"-",""))+LEN(SUBSTITUTE(SUBSTITUTE(SUBSTITUTE(C314," ",""),"0",""),"-",""))),1,0))+IF(UPPER(D315)="X",0,IF((LEN(SUBSTITUTE(SUBSTITUTE(SUBSTITUTE(E315," ",""),"0",""),"-",""))+LEN(SUBSTITUTE(SUBSTITUTE(SUBSTITUTE(F315," ",""),"0",""),"-","")))&gt;(LEN(SUBSTITUTE(SUBSTITUTE(SUBSTITUTE(B315," ",""),"0",""),"-",""))+LEN(SUBSTITUTE(SUBSTITUTE(SUBSTITUTE(C315," ",""),"0",""),"-",""))),1,0))+IF(UPPER(D316)="X",0,IF((LEN(SUBSTITUTE(SUBSTITUTE(SUBSTITUTE(E316," ",""),"0",""),"-",""))+LEN(SUBSTITUTE(SUBSTITUTE(SUBSTITUTE(F316," ",""),"0",""),"-","")))&gt;(LEN(SUBSTITUTE(SUBSTITUTE(SUBSTITUTE(B316," ",""),"0",""),"-",""))+LEN(SUBSTITUTE(SUBSTITUTE(SUBSTITUTE(C316," ",""),"0",""),"-",""))),1,0))+IF(UPPER(D317)="X",0,IF((LEN(SUBSTITUTE(SUBSTITUTE(SUBSTITUTE(E317," ",""),"0",""),"-",""))+LEN(SUBSTITUTE(SUBSTITUTE(SUBSTITUTE(F317," ",""),"0",""),"-","")))&gt;(LEN(SUBSTITUTE(SUBSTITUTE(SUBSTITUTE(B317," ",""),"0",""),"-",""))+LEN(SUBSTITUTE(SUBSTITUTE(SUBSTITUTE(C317," ",""),"0",""),"-",""))),1,0))+IF(UPPER(D318)="X",0,IF((LEN(SUBSTITUTE(SUBSTITUTE(SUBSTITUTE(E318," ",""),"0",""),"-",""))+LEN(SUBSTITUTE(SUBSTITUTE(SUBSTITUTE(F318," ",""),"0",""),"-","")))&gt;(LEN(SUBSTITUTE(SUBSTITUTE(SUBSTITUTE(B318," ",""),"0",""),"-",""))+LEN(SUBSTITUTE(SUBSTITUTE(SUBSTITUTE(C318," ",""),"0",""),"-",""))),1,0))</f>
      </c>
      <c r="G321" s="14" t="s">
        <v>349</v>
      </c>
      <c r="I321" s="14" t="s">
        <v>349</v>
      </c>
      <c r="J321" s="14" t="str">
        <f>IF(UPPER(L314)="X",0,IF((LEN(SUBSTITUTE(SUBSTITUTE(SUBSTITUTE(J314," ",""),"0",""),"-",""))+LEN(SUBSTITUTE(SUBSTITUTE(SUBSTITUTE(K314," ",""),"0",""),"-","")))&gt;(LEN(SUBSTITUTE(SUBSTITUTE(SUBSTITUTE(M314," ",""),"0",""),"-",""))+LEN(SUBSTITUTE(SUBSTITUTE(SUBSTITUTE(N314," ",""),"0",""),"-",""))),1,0))+IF(UPPER(L315)="X",0,IF((LEN(SUBSTITUTE(SUBSTITUTE(SUBSTITUTE(J315," ",""),"0",""),"-",""))+LEN(SUBSTITUTE(SUBSTITUTE(SUBSTITUTE(K315," ",""),"0",""),"-","")))&gt;(LEN(SUBSTITUTE(SUBSTITUTE(SUBSTITUTE(M315," ",""),"0",""),"-",""))+LEN(SUBSTITUTE(SUBSTITUTE(SUBSTITUTE(N315," ",""),"0",""),"-",""))),1,0))+IF(UPPER(L316)="X",0,IF((LEN(SUBSTITUTE(SUBSTITUTE(SUBSTITUTE(J316," ",""),"0",""),"-",""))+LEN(SUBSTITUTE(SUBSTITUTE(SUBSTITUTE(K316," ",""),"0",""),"-","")))&gt;(LEN(SUBSTITUTE(SUBSTITUTE(SUBSTITUTE(M316," ",""),"0",""),"-",""))+LEN(SUBSTITUTE(SUBSTITUTE(SUBSTITUTE(N316," ",""),"0",""),"-",""))),1,0))+IF(UPPER(L317)="X",0,IF((LEN(SUBSTITUTE(SUBSTITUTE(SUBSTITUTE(J317," ",""),"0",""),"-",""))+LEN(SUBSTITUTE(SUBSTITUTE(SUBSTITUTE(K317," ",""),"0",""),"-","")))&gt;(LEN(SUBSTITUTE(SUBSTITUTE(SUBSTITUTE(M317," ",""),"0",""),"-",""))+LEN(SUBSTITUTE(SUBSTITUTE(SUBSTITUTE(N317," ",""),"0",""),"-",""))),1,0))+IF(UPPER(L318)="X",0,IF((LEN(SUBSTITUTE(SUBSTITUTE(SUBSTITUTE(J318," ",""),"0",""),"-",""))+LEN(SUBSTITUTE(SUBSTITUTE(SUBSTITUTE(K318," ",""),"0",""),"-","")))&gt;(LEN(SUBSTITUTE(SUBSTITUTE(SUBSTITUTE(M318," ",""),"0",""),"-",""))+LEN(SUBSTITUTE(SUBSTITUTE(SUBSTITUTE(N318," ",""),"0",""),"-",""))),1,0))</f>
      </c>
      <c r="K321" s="14" t="str">
        <f>LEN(SUBSTITUTE(SUBSTITUTE(SUBSTITUTE(J314," ",""),"0",""),"-",""))+LEN(SUBSTITUTE(SUBSTITUTE(SUBSTITUTE(K314," ",""),"0",""),"-",""))+LEN(SUBSTITUTE(SUBSTITUTE(SUBSTITUTE(J315," ",""),"0",""),"-",""))+LEN(SUBSTITUTE(SUBSTITUTE(SUBSTITUTE(K315," ",""),"0",""),"-",""))+LEN(SUBSTITUTE(SUBSTITUTE(SUBSTITUTE(J316," ",""),"0",""),"-",""))+LEN(SUBSTITUTE(SUBSTITUTE(SUBSTITUTE(K316," ",""),"0",""),"-",""))+LEN(SUBSTITUTE(SUBSTITUTE(SUBSTITUTE(J317," ",""),"0",""),"-",""))+LEN(SUBSTITUTE(SUBSTITUTE(SUBSTITUTE(K317," ",""),"0",""),"-",""))+LEN(SUBSTITUTE(SUBSTITUTE(SUBSTITUTE(J318," ",""),"0",""),"-",""))+LEN(SUBSTITUTE(SUBSTITUTE(SUBSTITUTE(K318," ",""),"0",""),"-",""))</f>
      </c>
      <c r="L321" s="14"/>
      <c r="M321" s="14" t="str">
        <f>LEN(SUBSTITUTE(SUBSTITUTE(SUBSTITUTE(M314," ",""),"0",""),"-",""))+LEN(SUBSTITUTE(SUBSTITUTE(SUBSTITUTE(N314," ",""),"0",""),"-",""))+LEN(SUBSTITUTE(SUBSTITUTE(SUBSTITUTE(M315," ",""),"0",""),"-",""))+LEN(SUBSTITUTE(SUBSTITUTE(SUBSTITUTE(N315," ",""),"0",""),"-",""))+LEN(SUBSTITUTE(SUBSTITUTE(SUBSTITUTE(M316," ",""),"0",""),"-",""))+LEN(SUBSTITUTE(SUBSTITUTE(SUBSTITUTE(N316," ",""),"0",""),"-",""))+LEN(SUBSTITUTE(SUBSTITUTE(SUBSTITUTE(M317," ",""),"0",""),"-",""))+LEN(SUBSTITUTE(SUBSTITUTE(SUBSTITUTE(N317," ",""),"0",""),"-",""))+LEN(SUBSTITUTE(SUBSTITUTE(SUBSTITUTE(M318," ",""),"0",""),"-",""))+LEN(SUBSTITUTE(SUBSTITUTE(SUBSTITUTE(N318," ",""),"0",""),"-",""))</f>
      </c>
      <c r="N321" s="14" t="str">
        <f>IF(UPPER(L314)="X",0,IF((LEN(SUBSTITUTE(SUBSTITUTE(SUBSTITUTE(M314," ",""),"0",""),"-",""))+LEN(SUBSTITUTE(SUBSTITUTE(SUBSTITUTE(N314," ",""),"0",""),"-","")))&gt;(LEN(SUBSTITUTE(SUBSTITUTE(SUBSTITUTE(J314," ",""),"0",""),"-",""))+LEN(SUBSTITUTE(SUBSTITUTE(SUBSTITUTE(K314," ",""),"0",""),"-",""))),1,0))+IF(UPPER(L315)="X",0,IF((LEN(SUBSTITUTE(SUBSTITUTE(SUBSTITUTE(M315," ",""),"0",""),"-",""))+LEN(SUBSTITUTE(SUBSTITUTE(SUBSTITUTE(N315," ",""),"0",""),"-","")))&gt;(LEN(SUBSTITUTE(SUBSTITUTE(SUBSTITUTE(J315," ",""),"0",""),"-",""))+LEN(SUBSTITUTE(SUBSTITUTE(SUBSTITUTE(K315," ",""),"0",""),"-",""))),1,0))+IF(UPPER(L316)="X",0,IF((LEN(SUBSTITUTE(SUBSTITUTE(SUBSTITUTE(M316," ",""),"0",""),"-",""))+LEN(SUBSTITUTE(SUBSTITUTE(SUBSTITUTE(N316," ",""),"0",""),"-","")))&gt;(LEN(SUBSTITUTE(SUBSTITUTE(SUBSTITUTE(J316," ",""),"0",""),"-",""))+LEN(SUBSTITUTE(SUBSTITUTE(SUBSTITUTE(K316," ",""),"0",""),"-",""))),1,0))+IF(UPPER(L317)="X",0,IF((LEN(SUBSTITUTE(SUBSTITUTE(SUBSTITUTE(M317," ",""),"0",""),"-",""))+LEN(SUBSTITUTE(SUBSTITUTE(SUBSTITUTE(N317," ",""),"0",""),"-","")))&gt;(LEN(SUBSTITUTE(SUBSTITUTE(SUBSTITUTE(J317," ",""),"0",""),"-",""))+LEN(SUBSTITUTE(SUBSTITUTE(SUBSTITUTE(K317," ",""),"0",""),"-",""))),1,0))+IF(UPPER(L318)="X",0,IF((LEN(SUBSTITUTE(SUBSTITUTE(SUBSTITUTE(M318," ",""),"0",""),"-",""))+LEN(SUBSTITUTE(SUBSTITUTE(SUBSTITUTE(N318," ",""),"0",""),"-","")))&gt;(LEN(SUBSTITUTE(SUBSTITUTE(SUBSTITUTE(J318," ",""),"0",""),"-",""))+LEN(SUBSTITUTE(SUBSTITUTE(SUBSTITUTE(K318," ",""),"0",""),"-",""))),1,0))</f>
      </c>
      <c r="O321" s="14" t="s">
        <v>349</v>
      </c>
    </row>
    <row r="324">
      <c r="F324" t="s">
        <v>345</v>
      </c>
      <c r="G324" s="19"/>
      <c r="N324" t="s">
        <v>345</v>
      </c>
      <c r="O324" s="19"/>
    </row>
    <row r="325">
      <c r="F325" t="s">
        <v>346</v>
      </c>
      <c r="G325" s="19"/>
      <c r="N325" t="s">
        <v>346</v>
      </c>
      <c r="O325" s="19"/>
    </row>
    <row r="327">
      <c r="A327" s="13" t="s">
        <v>389</v>
      </c>
      <c r="B327" s="13"/>
      <c r="C327" s="13"/>
      <c r="D327" s="13"/>
      <c r="E327" s="13"/>
      <c r="F327" s="13"/>
      <c r="G327" s="13"/>
      <c r="I327" s="13" t="s">
        <v>390</v>
      </c>
      <c r="J327" s="13"/>
      <c r="K327" s="13"/>
      <c r="L327" s="13"/>
      <c r="M327" s="13"/>
      <c r="N327" s="13"/>
      <c r="O327" s="13"/>
    </row>
    <row r="328">
      <c r="A328" s="17" t="s">
        <v>331</v>
      </c>
      <c r="D328" s="14" t="s">
        <v>332</v>
      </c>
      <c r="G328" s="16" t="s">
        <v>333</v>
      </c>
      <c r="I328" s="17" t="s">
        <v>331</v>
      </c>
      <c r="L328" s="14" t="s">
        <v>332</v>
      </c>
      <c r="O328" s="16" t="s">
        <v>333</v>
      </c>
    </row>
    <row r="329">
      <c r="A329" s="14" t="str">
        <f>CONCATENATE("M 11 ",G175)</f>
      </c>
      <c r="B329" s="14"/>
      <c r="C329" s="14"/>
      <c r="D329" s="18"/>
      <c r="E329" s="14"/>
      <c r="F329" s="14"/>
      <c r="G329" s="14" t="str">
        <f>CONCATENATE("M 10 ",G159)</f>
      </c>
      <c r="I329" s="14" t="str">
        <f>CONCATENATE("M 26 ",O175)</f>
      </c>
      <c r="J329" s="14"/>
      <c r="K329" s="14"/>
      <c r="L329" s="18"/>
      <c r="M329" s="14"/>
      <c r="N329" s="14"/>
      <c r="O329" s="14" t="str">
        <f>CONCATENATE("M 25 ",O159)</f>
      </c>
    </row>
    <row r="330">
      <c r="A330" s="14">
        <v>1</v>
      </c>
      <c r="B330" s="18"/>
      <c r="C330" s="18"/>
      <c r="D330" s="18"/>
      <c r="E330" s="18"/>
      <c r="F330" s="18"/>
      <c r="G330" s="14">
        <v>1</v>
      </c>
      <c r="I330" s="14">
        <v>1</v>
      </c>
      <c r="J330" s="18"/>
      <c r="K330" s="18"/>
      <c r="L330" s="18"/>
      <c r="M330" s="18"/>
      <c r="N330" s="18"/>
      <c r="O330" s="14">
        <v>1</v>
      </c>
    </row>
    <row r="331">
      <c r="A331" s="14">
        <v>2</v>
      </c>
      <c r="B331" s="18"/>
      <c r="C331" s="18"/>
      <c r="D331" s="18"/>
      <c r="E331" s="18"/>
      <c r="F331" s="18"/>
      <c r="G331" s="14">
        <v>2</v>
      </c>
      <c r="I331" s="14">
        <v>2</v>
      </c>
      <c r="J331" s="18"/>
      <c r="K331" s="18"/>
      <c r="L331" s="18"/>
      <c r="M331" s="18"/>
      <c r="N331" s="18"/>
      <c r="O331" s="14">
        <v>2</v>
      </c>
    </row>
    <row r="332">
      <c r="A332" s="14">
        <v>3</v>
      </c>
      <c r="B332" s="18"/>
      <c r="C332" s="18"/>
      <c r="D332" s="18"/>
      <c r="E332" s="18"/>
      <c r="F332" s="18"/>
      <c r="G332" s="14">
        <v>3</v>
      </c>
      <c r="I332" s="14">
        <v>3</v>
      </c>
      <c r="J332" s="18"/>
      <c r="K332" s="18"/>
      <c r="L332" s="18"/>
      <c r="M332" s="18"/>
      <c r="N332" s="18"/>
      <c r="O332" s="14">
        <v>3</v>
      </c>
    </row>
    <row r="333">
      <c r="A333" s="14">
        <v>4</v>
      </c>
      <c r="B333" s="18"/>
      <c r="C333" s="18"/>
      <c r="D333" s="18"/>
      <c r="E333" s="18"/>
      <c r="F333" s="18"/>
      <c r="G333" s="14">
        <v>4</v>
      </c>
      <c r="I333" s="14">
        <v>4</v>
      </c>
      <c r="J333" s="18"/>
      <c r="K333" s="18"/>
      <c r="L333" s="18"/>
      <c r="M333" s="18"/>
      <c r="N333" s="18"/>
      <c r="O333" s="14">
        <v>4</v>
      </c>
    </row>
    <row r="334">
      <c r="A334" s="14">
        <v>5</v>
      </c>
      <c r="B334" s="18"/>
      <c r="C334" s="18"/>
      <c r="D334" s="18"/>
      <c r="E334" s="18"/>
      <c r="F334" s="18"/>
      <c r="G334" s="14">
        <v>5</v>
      </c>
      <c r="I334" s="14">
        <v>5</v>
      </c>
      <c r="J334" s="18"/>
      <c r="K334" s="18"/>
      <c r="L334" s="18"/>
      <c r="M334" s="18"/>
      <c r="N334" s="18"/>
      <c r="O334" s="14">
        <v>5</v>
      </c>
    </row>
    <row r="336">
      <c r="A336" s="14" t="str">
        <f>CONCATENATE("M 11 ",G175)</f>
      </c>
      <c r="B336" s="14" t="s">
        <v>339</v>
      </c>
      <c r="C336" s="14" t="s">
        <v>342</v>
      </c>
      <c r="D336" s="14"/>
      <c r="E336" s="14" t="s">
        <v>342</v>
      </c>
      <c r="F336" s="14" t="s">
        <v>339</v>
      </c>
      <c r="G336" s="14" t="str">
        <f>CONCATENATE("M 10 ",G159)</f>
      </c>
      <c r="I336" s="14" t="str">
        <f>CONCATENATE("M 26 ",O175)</f>
      </c>
      <c r="J336" s="14" t="s">
        <v>339</v>
      </c>
      <c r="K336" s="14" t="s">
        <v>342</v>
      </c>
      <c r="L336" s="14"/>
      <c r="M336" s="14" t="s">
        <v>342</v>
      </c>
      <c r="N336" s="14" t="s">
        <v>339</v>
      </c>
      <c r="O336" s="14" t="str">
        <f>CONCATENATE("M 25 ",O159)</f>
      </c>
    </row>
    <row r="337">
      <c r="A337" s="14" t="s">
        <v>349</v>
      </c>
      <c r="B337" s="14" t="str">
        <f>IF(UPPER(D330)="X",0,IF((LEN(SUBSTITUTE(SUBSTITUTE(SUBSTITUTE(B330," ",""),"0",""),"-",""))+LEN(SUBSTITUTE(SUBSTITUTE(SUBSTITUTE(C330," ",""),"0",""),"-","")))&gt;(LEN(SUBSTITUTE(SUBSTITUTE(SUBSTITUTE(E330," ",""),"0",""),"-",""))+LEN(SUBSTITUTE(SUBSTITUTE(SUBSTITUTE(F330," ",""),"0",""),"-",""))),1,0))+IF(UPPER(D331)="X",0,IF((LEN(SUBSTITUTE(SUBSTITUTE(SUBSTITUTE(B331," ",""),"0",""),"-",""))+LEN(SUBSTITUTE(SUBSTITUTE(SUBSTITUTE(C331," ",""),"0",""),"-","")))&gt;(LEN(SUBSTITUTE(SUBSTITUTE(SUBSTITUTE(E331," ",""),"0",""),"-",""))+LEN(SUBSTITUTE(SUBSTITUTE(SUBSTITUTE(F331," ",""),"0",""),"-",""))),1,0))+IF(UPPER(D332)="X",0,IF((LEN(SUBSTITUTE(SUBSTITUTE(SUBSTITUTE(B332," ",""),"0",""),"-",""))+LEN(SUBSTITUTE(SUBSTITUTE(SUBSTITUTE(C332," ",""),"0",""),"-","")))&gt;(LEN(SUBSTITUTE(SUBSTITUTE(SUBSTITUTE(E332," ",""),"0",""),"-",""))+LEN(SUBSTITUTE(SUBSTITUTE(SUBSTITUTE(F332," ",""),"0",""),"-",""))),1,0))+IF(UPPER(D333)="X",0,IF((LEN(SUBSTITUTE(SUBSTITUTE(SUBSTITUTE(B333," ",""),"0",""),"-",""))+LEN(SUBSTITUTE(SUBSTITUTE(SUBSTITUTE(C333," ",""),"0",""),"-","")))&gt;(LEN(SUBSTITUTE(SUBSTITUTE(SUBSTITUTE(E333," ",""),"0",""),"-",""))+LEN(SUBSTITUTE(SUBSTITUTE(SUBSTITUTE(F333," ",""),"0",""),"-",""))),1,0))+IF(UPPER(D334)="X",0,IF((LEN(SUBSTITUTE(SUBSTITUTE(SUBSTITUTE(B334," ",""),"0",""),"-",""))+LEN(SUBSTITUTE(SUBSTITUTE(SUBSTITUTE(C334," ",""),"0",""),"-","")))&gt;(LEN(SUBSTITUTE(SUBSTITUTE(SUBSTITUTE(E334," ",""),"0",""),"-",""))+LEN(SUBSTITUTE(SUBSTITUTE(SUBSTITUTE(F334," ",""),"0",""),"-",""))),1,0))</f>
      </c>
      <c r="C337" s="14" t="str">
        <f>LEN(SUBSTITUTE(SUBSTITUTE(SUBSTITUTE(B330," ",""),"0",""),"-",""))+LEN(SUBSTITUTE(SUBSTITUTE(SUBSTITUTE(C330," ",""),"0",""),"-",""))+LEN(SUBSTITUTE(SUBSTITUTE(SUBSTITUTE(B331," ",""),"0",""),"-",""))+LEN(SUBSTITUTE(SUBSTITUTE(SUBSTITUTE(C331," ",""),"0",""),"-",""))+LEN(SUBSTITUTE(SUBSTITUTE(SUBSTITUTE(B332," ",""),"0",""),"-",""))+LEN(SUBSTITUTE(SUBSTITUTE(SUBSTITUTE(C332," ",""),"0",""),"-",""))+LEN(SUBSTITUTE(SUBSTITUTE(SUBSTITUTE(B333," ",""),"0",""),"-",""))+LEN(SUBSTITUTE(SUBSTITUTE(SUBSTITUTE(C333," ",""),"0",""),"-",""))+LEN(SUBSTITUTE(SUBSTITUTE(SUBSTITUTE(B334," ",""),"0",""),"-",""))+LEN(SUBSTITUTE(SUBSTITUTE(SUBSTITUTE(C334," ",""),"0",""),"-",""))</f>
      </c>
      <c r="D337" s="14"/>
      <c r="E337" s="14" t="str">
        <f>LEN(SUBSTITUTE(SUBSTITUTE(SUBSTITUTE(E330," ",""),"0",""),"-",""))+LEN(SUBSTITUTE(SUBSTITUTE(SUBSTITUTE(F330," ",""),"0",""),"-",""))+LEN(SUBSTITUTE(SUBSTITUTE(SUBSTITUTE(E331," ",""),"0",""),"-",""))+LEN(SUBSTITUTE(SUBSTITUTE(SUBSTITUTE(F331," ",""),"0",""),"-",""))+LEN(SUBSTITUTE(SUBSTITUTE(SUBSTITUTE(E332," ",""),"0",""),"-",""))+LEN(SUBSTITUTE(SUBSTITUTE(SUBSTITUTE(F332," ",""),"0",""),"-",""))+LEN(SUBSTITUTE(SUBSTITUTE(SUBSTITUTE(E333," ",""),"0",""),"-",""))+LEN(SUBSTITUTE(SUBSTITUTE(SUBSTITUTE(F333," ",""),"0",""),"-",""))+LEN(SUBSTITUTE(SUBSTITUTE(SUBSTITUTE(E334," ",""),"0",""),"-",""))+LEN(SUBSTITUTE(SUBSTITUTE(SUBSTITUTE(F334," ",""),"0",""),"-",""))</f>
      </c>
      <c r="F337" s="14" t="str">
        <f>IF(UPPER(D330)="X",0,IF((LEN(SUBSTITUTE(SUBSTITUTE(SUBSTITUTE(E330," ",""),"0",""),"-",""))+LEN(SUBSTITUTE(SUBSTITUTE(SUBSTITUTE(F330," ",""),"0",""),"-","")))&gt;(LEN(SUBSTITUTE(SUBSTITUTE(SUBSTITUTE(B330," ",""),"0",""),"-",""))+LEN(SUBSTITUTE(SUBSTITUTE(SUBSTITUTE(C330," ",""),"0",""),"-",""))),1,0))+IF(UPPER(D331)="X",0,IF((LEN(SUBSTITUTE(SUBSTITUTE(SUBSTITUTE(E331," ",""),"0",""),"-",""))+LEN(SUBSTITUTE(SUBSTITUTE(SUBSTITUTE(F331," ",""),"0",""),"-","")))&gt;(LEN(SUBSTITUTE(SUBSTITUTE(SUBSTITUTE(B331," ",""),"0",""),"-",""))+LEN(SUBSTITUTE(SUBSTITUTE(SUBSTITUTE(C331," ",""),"0",""),"-",""))),1,0))+IF(UPPER(D332)="X",0,IF((LEN(SUBSTITUTE(SUBSTITUTE(SUBSTITUTE(E332," ",""),"0",""),"-",""))+LEN(SUBSTITUTE(SUBSTITUTE(SUBSTITUTE(F332," ",""),"0",""),"-","")))&gt;(LEN(SUBSTITUTE(SUBSTITUTE(SUBSTITUTE(B332," ",""),"0",""),"-",""))+LEN(SUBSTITUTE(SUBSTITUTE(SUBSTITUTE(C332," ",""),"0",""),"-",""))),1,0))+IF(UPPER(D333)="X",0,IF((LEN(SUBSTITUTE(SUBSTITUTE(SUBSTITUTE(E333," ",""),"0",""),"-",""))+LEN(SUBSTITUTE(SUBSTITUTE(SUBSTITUTE(F333," ",""),"0",""),"-","")))&gt;(LEN(SUBSTITUTE(SUBSTITUTE(SUBSTITUTE(B333," ",""),"0",""),"-",""))+LEN(SUBSTITUTE(SUBSTITUTE(SUBSTITUTE(C333," ",""),"0",""),"-",""))),1,0))+IF(UPPER(D334)="X",0,IF((LEN(SUBSTITUTE(SUBSTITUTE(SUBSTITUTE(E334," ",""),"0",""),"-",""))+LEN(SUBSTITUTE(SUBSTITUTE(SUBSTITUTE(F334," ",""),"0",""),"-","")))&gt;(LEN(SUBSTITUTE(SUBSTITUTE(SUBSTITUTE(B334," ",""),"0",""),"-",""))+LEN(SUBSTITUTE(SUBSTITUTE(SUBSTITUTE(C334," ",""),"0",""),"-",""))),1,0))</f>
      </c>
      <c r="G337" s="14" t="s">
        <v>349</v>
      </c>
      <c r="I337" s="14" t="s">
        <v>349</v>
      </c>
      <c r="J337" s="14" t="str">
        <f>IF(UPPER(L330)="X",0,IF((LEN(SUBSTITUTE(SUBSTITUTE(SUBSTITUTE(J330," ",""),"0",""),"-",""))+LEN(SUBSTITUTE(SUBSTITUTE(SUBSTITUTE(K330," ",""),"0",""),"-","")))&gt;(LEN(SUBSTITUTE(SUBSTITUTE(SUBSTITUTE(M330," ",""),"0",""),"-",""))+LEN(SUBSTITUTE(SUBSTITUTE(SUBSTITUTE(N330," ",""),"0",""),"-",""))),1,0))+IF(UPPER(L331)="X",0,IF((LEN(SUBSTITUTE(SUBSTITUTE(SUBSTITUTE(J331," ",""),"0",""),"-",""))+LEN(SUBSTITUTE(SUBSTITUTE(SUBSTITUTE(K331," ",""),"0",""),"-","")))&gt;(LEN(SUBSTITUTE(SUBSTITUTE(SUBSTITUTE(M331," ",""),"0",""),"-",""))+LEN(SUBSTITUTE(SUBSTITUTE(SUBSTITUTE(N331," ",""),"0",""),"-",""))),1,0))+IF(UPPER(L332)="X",0,IF((LEN(SUBSTITUTE(SUBSTITUTE(SUBSTITUTE(J332," ",""),"0",""),"-",""))+LEN(SUBSTITUTE(SUBSTITUTE(SUBSTITUTE(K332," ",""),"0",""),"-","")))&gt;(LEN(SUBSTITUTE(SUBSTITUTE(SUBSTITUTE(M332," ",""),"0",""),"-",""))+LEN(SUBSTITUTE(SUBSTITUTE(SUBSTITUTE(N332," ",""),"0",""),"-",""))),1,0))+IF(UPPER(L333)="X",0,IF((LEN(SUBSTITUTE(SUBSTITUTE(SUBSTITUTE(J333," ",""),"0",""),"-",""))+LEN(SUBSTITUTE(SUBSTITUTE(SUBSTITUTE(K333," ",""),"0",""),"-","")))&gt;(LEN(SUBSTITUTE(SUBSTITUTE(SUBSTITUTE(M333," ",""),"0",""),"-",""))+LEN(SUBSTITUTE(SUBSTITUTE(SUBSTITUTE(N333," ",""),"0",""),"-",""))),1,0))+IF(UPPER(L334)="X",0,IF((LEN(SUBSTITUTE(SUBSTITUTE(SUBSTITUTE(J334," ",""),"0",""),"-",""))+LEN(SUBSTITUTE(SUBSTITUTE(SUBSTITUTE(K334," ",""),"0",""),"-","")))&gt;(LEN(SUBSTITUTE(SUBSTITUTE(SUBSTITUTE(M334," ",""),"0",""),"-",""))+LEN(SUBSTITUTE(SUBSTITUTE(SUBSTITUTE(N334," ",""),"0",""),"-",""))),1,0))</f>
      </c>
      <c r="K337" s="14" t="str">
        <f>LEN(SUBSTITUTE(SUBSTITUTE(SUBSTITUTE(J330," ",""),"0",""),"-",""))+LEN(SUBSTITUTE(SUBSTITUTE(SUBSTITUTE(K330," ",""),"0",""),"-",""))+LEN(SUBSTITUTE(SUBSTITUTE(SUBSTITUTE(J331," ",""),"0",""),"-",""))+LEN(SUBSTITUTE(SUBSTITUTE(SUBSTITUTE(K331," ",""),"0",""),"-",""))+LEN(SUBSTITUTE(SUBSTITUTE(SUBSTITUTE(J332," ",""),"0",""),"-",""))+LEN(SUBSTITUTE(SUBSTITUTE(SUBSTITUTE(K332," ",""),"0",""),"-",""))+LEN(SUBSTITUTE(SUBSTITUTE(SUBSTITUTE(J333," ",""),"0",""),"-",""))+LEN(SUBSTITUTE(SUBSTITUTE(SUBSTITUTE(K333," ",""),"0",""),"-",""))+LEN(SUBSTITUTE(SUBSTITUTE(SUBSTITUTE(J334," ",""),"0",""),"-",""))+LEN(SUBSTITUTE(SUBSTITUTE(SUBSTITUTE(K334," ",""),"0",""),"-",""))</f>
      </c>
      <c r="L337" s="14"/>
      <c r="M337" s="14" t="str">
        <f>LEN(SUBSTITUTE(SUBSTITUTE(SUBSTITUTE(M330," ",""),"0",""),"-",""))+LEN(SUBSTITUTE(SUBSTITUTE(SUBSTITUTE(N330," ",""),"0",""),"-",""))+LEN(SUBSTITUTE(SUBSTITUTE(SUBSTITUTE(M331," ",""),"0",""),"-",""))+LEN(SUBSTITUTE(SUBSTITUTE(SUBSTITUTE(N331," ",""),"0",""),"-",""))+LEN(SUBSTITUTE(SUBSTITUTE(SUBSTITUTE(M332," ",""),"0",""),"-",""))+LEN(SUBSTITUTE(SUBSTITUTE(SUBSTITUTE(N332," ",""),"0",""),"-",""))+LEN(SUBSTITUTE(SUBSTITUTE(SUBSTITUTE(M333," ",""),"0",""),"-",""))+LEN(SUBSTITUTE(SUBSTITUTE(SUBSTITUTE(N333," ",""),"0",""),"-",""))+LEN(SUBSTITUTE(SUBSTITUTE(SUBSTITUTE(M334," ",""),"0",""),"-",""))+LEN(SUBSTITUTE(SUBSTITUTE(SUBSTITUTE(N334," ",""),"0",""),"-",""))</f>
      </c>
      <c r="N337" s="14" t="str">
        <f>IF(UPPER(L330)="X",0,IF((LEN(SUBSTITUTE(SUBSTITUTE(SUBSTITUTE(M330," ",""),"0",""),"-",""))+LEN(SUBSTITUTE(SUBSTITUTE(SUBSTITUTE(N330," ",""),"0",""),"-","")))&gt;(LEN(SUBSTITUTE(SUBSTITUTE(SUBSTITUTE(J330," ",""),"0",""),"-",""))+LEN(SUBSTITUTE(SUBSTITUTE(SUBSTITUTE(K330," ",""),"0",""),"-",""))),1,0))+IF(UPPER(L331)="X",0,IF((LEN(SUBSTITUTE(SUBSTITUTE(SUBSTITUTE(M331," ",""),"0",""),"-",""))+LEN(SUBSTITUTE(SUBSTITUTE(SUBSTITUTE(N331," ",""),"0",""),"-","")))&gt;(LEN(SUBSTITUTE(SUBSTITUTE(SUBSTITUTE(J331," ",""),"0",""),"-",""))+LEN(SUBSTITUTE(SUBSTITUTE(SUBSTITUTE(K331," ",""),"0",""),"-",""))),1,0))+IF(UPPER(L332)="X",0,IF((LEN(SUBSTITUTE(SUBSTITUTE(SUBSTITUTE(M332," ",""),"0",""),"-",""))+LEN(SUBSTITUTE(SUBSTITUTE(SUBSTITUTE(N332," ",""),"0",""),"-","")))&gt;(LEN(SUBSTITUTE(SUBSTITUTE(SUBSTITUTE(J332," ",""),"0",""),"-",""))+LEN(SUBSTITUTE(SUBSTITUTE(SUBSTITUTE(K332," ",""),"0",""),"-",""))),1,0))+IF(UPPER(L333)="X",0,IF((LEN(SUBSTITUTE(SUBSTITUTE(SUBSTITUTE(M333," ",""),"0",""),"-",""))+LEN(SUBSTITUTE(SUBSTITUTE(SUBSTITUTE(N333," ",""),"0",""),"-","")))&gt;(LEN(SUBSTITUTE(SUBSTITUTE(SUBSTITUTE(J333," ",""),"0",""),"-",""))+LEN(SUBSTITUTE(SUBSTITUTE(SUBSTITUTE(K333," ",""),"0",""),"-",""))),1,0))+IF(UPPER(L334)="X",0,IF((LEN(SUBSTITUTE(SUBSTITUTE(SUBSTITUTE(M334," ",""),"0",""),"-",""))+LEN(SUBSTITUTE(SUBSTITUTE(SUBSTITUTE(N334," ",""),"0",""),"-","")))&gt;(LEN(SUBSTITUTE(SUBSTITUTE(SUBSTITUTE(J334," ",""),"0",""),"-",""))+LEN(SUBSTITUTE(SUBSTITUTE(SUBSTITUTE(K334," ",""),"0",""),"-",""))),1,0))</f>
      </c>
      <c r="O337" s="14" t="s">
        <v>349</v>
      </c>
    </row>
    <row r="340">
      <c r="F340" t="s">
        <v>345</v>
      </c>
      <c r="G340" s="19"/>
      <c r="N340" t="s">
        <v>345</v>
      </c>
      <c r="O340" s="19"/>
    </row>
    <row r="341">
      <c r="F341" t="s">
        <v>346</v>
      </c>
      <c r="G341" s="19"/>
      <c r="N341" t="s">
        <v>346</v>
      </c>
      <c r="O341" s="19"/>
    </row>
    <row r="343">
      <c r="A343" s="13" t="s">
        <v>391</v>
      </c>
      <c r="B343" s="13"/>
      <c r="C343" s="13"/>
      <c r="D343" s="13"/>
      <c r="E343" s="13"/>
      <c r="F343" s="13"/>
      <c r="G343" s="13"/>
      <c r="I343" s="13" t="s">
        <v>392</v>
      </c>
      <c r="J343" s="13"/>
      <c r="K343" s="13"/>
      <c r="L343" s="13"/>
      <c r="M343" s="13"/>
      <c r="N343" s="13"/>
      <c r="O343" s="13"/>
    </row>
    <row r="344">
      <c r="A344" s="17" t="s">
        <v>331</v>
      </c>
      <c r="D344" s="14" t="s">
        <v>332</v>
      </c>
      <c r="G344" s="16" t="s">
        <v>333</v>
      </c>
      <c r="I344" s="17" t="s">
        <v>331</v>
      </c>
      <c r="L344" s="14" t="s">
        <v>332</v>
      </c>
      <c r="O344" s="16" t="s">
        <v>333</v>
      </c>
    </row>
    <row r="345">
      <c r="A345" s="14" t="str">
        <f>CONCATENATE("M 13 ",G207)</f>
      </c>
      <c r="B345" s="14"/>
      <c r="C345" s="14"/>
      <c r="D345" s="18"/>
      <c r="E345" s="14"/>
      <c r="F345" s="14"/>
      <c r="G345" s="14" t="str">
        <f>CONCATENATE("M 12 ",G191)</f>
      </c>
      <c r="I345" s="14" t="str">
        <f>CONCATENATE("M 28 ",O207)</f>
      </c>
      <c r="J345" s="14"/>
      <c r="K345" s="14"/>
      <c r="L345" s="18"/>
      <c r="M345" s="14"/>
      <c r="N345" s="14"/>
      <c r="O345" s="14" t="str">
        <f>CONCATENATE("M 27 ",O191)</f>
      </c>
    </row>
    <row r="346">
      <c r="A346" s="14">
        <v>1</v>
      </c>
      <c r="B346" s="18"/>
      <c r="C346" s="18"/>
      <c r="D346" s="18"/>
      <c r="E346" s="18"/>
      <c r="F346" s="18"/>
      <c r="G346" s="14">
        <v>1</v>
      </c>
      <c r="I346" s="14">
        <v>1</v>
      </c>
      <c r="J346" s="18"/>
      <c r="K346" s="18"/>
      <c r="L346" s="18"/>
      <c r="M346" s="18"/>
      <c r="N346" s="18"/>
      <c r="O346" s="14">
        <v>1</v>
      </c>
    </row>
    <row r="347">
      <c r="A347" s="14">
        <v>2</v>
      </c>
      <c r="B347" s="18"/>
      <c r="C347" s="18"/>
      <c r="D347" s="18"/>
      <c r="E347" s="18"/>
      <c r="F347" s="18"/>
      <c r="G347" s="14">
        <v>2</v>
      </c>
      <c r="I347" s="14">
        <v>2</v>
      </c>
      <c r="J347" s="18"/>
      <c r="K347" s="18"/>
      <c r="L347" s="18"/>
      <c r="M347" s="18"/>
      <c r="N347" s="18"/>
      <c r="O347" s="14">
        <v>2</v>
      </c>
    </row>
    <row r="348">
      <c r="A348" s="14">
        <v>3</v>
      </c>
      <c r="B348" s="18"/>
      <c r="C348" s="18"/>
      <c r="D348" s="18"/>
      <c r="E348" s="18"/>
      <c r="F348" s="18"/>
      <c r="G348" s="14">
        <v>3</v>
      </c>
      <c r="I348" s="14">
        <v>3</v>
      </c>
      <c r="J348" s="18"/>
      <c r="K348" s="18"/>
      <c r="L348" s="18"/>
      <c r="M348" s="18"/>
      <c r="N348" s="18"/>
      <c r="O348" s="14">
        <v>3</v>
      </c>
    </row>
    <row r="349">
      <c r="A349" s="14">
        <v>4</v>
      </c>
      <c r="B349" s="18"/>
      <c r="C349" s="18"/>
      <c r="D349" s="18"/>
      <c r="E349" s="18"/>
      <c r="F349" s="18"/>
      <c r="G349" s="14">
        <v>4</v>
      </c>
      <c r="I349" s="14">
        <v>4</v>
      </c>
      <c r="J349" s="18"/>
      <c r="K349" s="18"/>
      <c r="L349" s="18"/>
      <c r="M349" s="18"/>
      <c r="N349" s="18"/>
      <c r="O349" s="14">
        <v>4</v>
      </c>
    </row>
    <row r="350">
      <c r="A350" s="14">
        <v>5</v>
      </c>
      <c r="B350" s="18"/>
      <c r="C350" s="18"/>
      <c r="D350" s="18"/>
      <c r="E350" s="18"/>
      <c r="F350" s="18"/>
      <c r="G350" s="14">
        <v>5</v>
      </c>
      <c r="I350" s="14">
        <v>5</v>
      </c>
      <c r="J350" s="18"/>
      <c r="K350" s="18"/>
      <c r="L350" s="18"/>
      <c r="M350" s="18"/>
      <c r="N350" s="18"/>
      <c r="O350" s="14">
        <v>5</v>
      </c>
    </row>
    <row r="352">
      <c r="A352" s="14" t="str">
        <f>CONCATENATE("M 13 ",G207)</f>
      </c>
      <c r="B352" s="14" t="s">
        <v>339</v>
      </c>
      <c r="C352" s="14" t="s">
        <v>342</v>
      </c>
      <c r="D352" s="14"/>
      <c r="E352" s="14" t="s">
        <v>342</v>
      </c>
      <c r="F352" s="14" t="s">
        <v>339</v>
      </c>
      <c r="G352" s="14" t="str">
        <f>CONCATENATE("M 12 ",G191)</f>
      </c>
      <c r="I352" s="14" t="str">
        <f>CONCATENATE("M 28 ",O207)</f>
      </c>
      <c r="J352" s="14" t="s">
        <v>339</v>
      </c>
      <c r="K352" s="14" t="s">
        <v>342</v>
      </c>
      <c r="L352" s="14"/>
      <c r="M352" s="14" t="s">
        <v>342</v>
      </c>
      <c r="N352" s="14" t="s">
        <v>339</v>
      </c>
      <c r="O352" s="14" t="str">
        <f>CONCATENATE("M 27 ",O191)</f>
      </c>
    </row>
    <row r="353">
      <c r="A353" s="14" t="s">
        <v>349</v>
      </c>
      <c r="B353" s="14" t="str">
        <f>IF(UPPER(D346)="X",0,IF((LEN(SUBSTITUTE(SUBSTITUTE(SUBSTITUTE(B346," ",""),"0",""),"-",""))+LEN(SUBSTITUTE(SUBSTITUTE(SUBSTITUTE(C346," ",""),"0",""),"-","")))&gt;(LEN(SUBSTITUTE(SUBSTITUTE(SUBSTITUTE(E346," ",""),"0",""),"-",""))+LEN(SUBSTITUTE(SUBSTITUTE(SUBSTITUTE(F346," ",""),"0",""),"-",""))),1,0))+IF(UPPER(D347)="X",0,IF((LEN(SUBSTITUTE(SUBSTITUTE(SUBSTITUTE(B347," ",""),"0",""),"-",""))+LEN(SUBSTITUTE(SUBSTITUTE(SUBSTITUTE(C347," ",""),"0",""),"-","")))&gt;(LEN(SUBSTITUTE(SUBSTITUTE(SUBSTITUTE(E347," ",""),"0",""),"-",""))+LEN(SUBSTITUTE(SUBSTITUTE(SUBSTITUTE(F347," ",""),"0",""),"-",""))),1,0))+IF(UPPER(D348)="X",0,IF((LEN(SUBSTITUTE(SUBSTITUTE(SUBSTITUTE(B348," ",""),"0",""),"-",""))+LEN(SUBSTITUTE(SUBSTITUTE(SUBSTITUTE(C348," ",""),"0",""),"-","")))&gt;(LEN(SUBSTITUTE(SUBSTITUTE(SUBSTITUTE(E348," ",""),"0",""),"-",""))+LEN(SUBSTITUTE(SUBSTITUTE(SUBSTITUTE(F348," ",""),"0",""),"-",""))),1,0))+IF(UPPER(D349)="X",0,IF((LEN(SUBSTITUTE(SUBSTITUTE(SUBSTITUTE(B349," ",""),"0",""),"-",""))+LEN(SUBSTITUTE(SUBSTITUTE(SUBSTITUTE(C349," ",""),"0",""),"-","")))&gt;(LEN(SUBSTITUTE(SUBSTITUTE(SUBSTITUTE(E349," ",""),"0",""),"-",""))+LEN(SUBSTITUTE(SUBSTITUTE(SUBSTITUTE(F349," ",""),"0",""),"-",""))),1,0))+IF(UPPER(D350)="X",0,IF((LEN(SUBSTITUTE(SUBSTITUTE(SUBSTITUTE(B350," ",""),"0",""),"-",""))+LEN(SUBSTITUTE(SUBSTITUTE(SUBSTITUTE(C350," ",""),"0",""),"-","")))&gt;(LEN(SUBSTITUTE(SUBSTITUTE(SUBSTITUTE(E350," ",""),"0",""),"-",""))+LEN(SUBSTITUTE(SUBSTITUTE(SUBSTITUTE(F350," ",""),"0",""),"-",""))),1,0))</f>
      </c>
      <c r="C353" s="14" t="str">
        <f>LEN(SUBSTITUTE(SUBSTITUTE(SUBSTITUTE(B346," ",""),"0",""),"-",""))+LEN(SUBSTITUTE(SUBSTITUTE(SUBSTITUTE(C346," ",""),"0",""),"-",""))+LEN(SUBSTITUTE(SUBSTITUTE(SUBSTITUTE(B347," ",""),"0",""),"-",""))+LEN(SUBSTITUTE(SUBSTITUTE(SUBSTITUTE(C347," ",""),"0",""),"-",""))+LEN(SUBSTITUTE(SUBSTITUTE(SUBSTITUTE(B348," ",""),"0",""),"-",""))+LEN(SUBSTITUTE(SUBSTITUTE(SUBSTITUTE(C348," ",""),"0",""),"-",""))+LEN(SUBSTITUTE(SUBSTITUTE(SUBSTITUTE(B349," ",""),"0",""),"-",""))+LEN(SUBSTITUTE(SUBSTITUTE(SUBSTITUTE(C349," ",""),"0",""),"-",""))+LEN(SUBSTITUTE(SUBSTITUTE(SUBSTITUTE(B350," ",""),"0",""),"-",""))+LEN(SUBSTITUTE(SUBSTITUTE(SUBSTITUTE(C350," ",""),"0",""),"-",""))</f>
      </c>
      <c r="D353" s="14"/>
      <c r="E353" s="14" t="str">
        <f>LEN(SUBSTITUTE(SUBSTITUTE(SUBSTITUTE(E346," ",""),"0",""),"-",""))+LEN(SUBSTITUTE(SUBSTITUTE(SUBSTITUTE(F346," ",""),"0",""),"-",""))+LEN(SUBSTITUTE(SUBSTITUTE(SUBSTITUTE(E347," ",""),"0",""),"-",""))+LEN(SUBSTITUTE(SUBSTITUTE(SUBSTITUTE(F347," ",""),"0",""),"-",""))+LEN(SUBSTITUTE(SUBSTITUTE(SUBSTITUTE(E348," ",""),"0",""),"-",""))+LEN(SUBSTITUTE(SUBSTITUTE(SUBSTITUTE(F348," ",""),"0",""),"-",""))+LEN(SUBSTITUTE(SUBSTITUTE(SUBSTITUTE(E349," ",""),"0",""),"-",""))+LEN(SUBSTITUTE(SUBSTITUTE(SUBSTITUTE(F349," ",""),"0",""),"-",""))+LEN(SUBSTITUTE(SUBSTITUTE(SUBSTITUTE(E350," ",""),"0",""),"-",""))+LEN(SUBSTITUTE(SUBSTITUTE(SUBSTITUTE(F350," ",""),"0",""),"-",""))</f>
      </c>
      <c r="F353" s="14" t="str">
        <f>IF(UPPER(D346)="X",0,IF((LEN(SUBSTITUTE(SUBSTITUTE(SUBSTITUTE(E346," ",""),"0",""),"-",""))+LEN(SUBSTITUTE(SUBSTITUTE(SUBSTITUTE(F346," ",""),"0",""),"-","")))&gt;(LEN(SUBSTITUTE(SUBSTITUTE(SUBSTITUTE(B346," ",""),"0",""),"-",""))+LEN(SUBSTITUTE(SUBSTITUTE(SUBSTITUTE(C346," ",""),"0",""),"-",""))),1,0))+IF(UPPER(D347)="X",0,IF((LEN(SUBSTITUTE(SUBSTITUTE(SUBSTITUTE(E347," ",""),"0",""),"-",""))+LEN(SUBSTITUTE(SUBSTITUTE(SUBSTITUTE(F347," ",""),"0",""),"-","")))&gt;(LEN(SUBSTITUTE(SUBSTITUTE(SUBSTITUTE(B347," ",""),"0",""),"-",""))+LEN(SUBSTITUTE(SUBSTITUTE(SUBSTITUTE(C347," ",""),"0",""),"-",""))),1,0))+IF(UPPER(D348)="X",0,IF((LEN(SUBSTITUTE(SUBSTITUTE(SUBSTITUTE(E348," ",""),"0",""),"-",""))+LEN(SUBSTITUTE(SUBSTITUTE(SUBSTITUTE(F348," ",""),"0",""),"-","")))&gt;(LEN(SUBSTITUTE(SUBSTITUTE(SUBSTITUTE(B348," ",""),"0",""),"-",""))+LEN(SUBSTITUTE(SUBSTITUTE(SUBSTITUTE(C348," ",""),"0",""),"-",""))),1,0))+IF(UPPER(D349)="X",0,IF((LEN(SUBSTITUTE(SUBSTITUTE(SUBSTITUTE(E349," ",""),"0",""),"-",""))+LEN(SUBSTITUTE(SUBSTITUTE(SUBSTITUTE(F349," ",""),"0",""),"-","")))&gt;(LEN(SUBSTITUTE(SUBSTITUTE(SUBSTITUTE(B349," ",""),"0",""),"-",""))+LEN(SUBSTITUTE(SUBSTITUTE(SUBSTITUTE(C349," ",""),"0",""),"-",""))),1,0))+IF(UPPER(D350)="X",0,IF((LEN(SUBSTITUTE(SUBSTITUTE(SUBSTITUTE(E350," ",""),"0",""),"-",""))+LEN(SUBSTITUTE(SUBSTITUTE(SUBSTITUTE(F350," ",""),"0",""),"-","")))&gt;(LEN(SUBSTITUTE(SUBSTITUTE(SUBSTITUTE(B350," ",""),"0",""),"-",""))+LEN(SUBSTITUTE(SUBSTITUTE(SUBSTITUTE(C350," ",""),"0",""),"-",""))),1,0))</f>
      </c>
      <c r="G353" s="14" t="s">
        <v>349</v>
      </c>
      <c r="I353" s="14" t="s">
        <v>349</v>
      </c>
      <c r="J353" s="14" t="str">
        <f>IF(UPPER(L346)="X",0,IF((LEN(SUBSTITUTE(SUBSTITUTE(SUBSTITUTE(J346," ",""),"0",""),"-",""))+LEN(SUBSTITUTE(SUBSTITUTE(SUBSTITUTE(K346," ",""),"0",""),"-","")))&gt;(LEN(SUBSTITUTE(SUBSTITUTE(SUBSTITUTE(M346," ",""),"0",""),"-",""))+LEN(SUBSTITUTE(SUBSTITUTE(SUBSTITUTE(N346," ",""),"0",""),"-",""))),1,0))+IF(UPPER(L347)="X",0,IF((LEN(SUBSTITUTE(SUBSTITUTE(SUBSTITUTE(J347," ",""),"0",""),"-",""))+LEN(SUBSTITUTE(SUBSTITUTE(SUBSTITUTE(K347," ",""),"0",""),"-","")))&gt;(LEN(SUBSTITUTE(SUBSTITUTE(SUBSTITUTE(M347," ",""),"0",""),"-",""))+LEN(SUBSTITUTE(SUBSTITUTE(SUBSTITUTE(N347," ",""),"0",""),"-",""))),1,0))+IF(UPPER(L348)="X",0,IF((LEN(SUBSTITUTE(SUBSTITUTE(SUBSTITUTE(J348," ",""),"0",""),"-",""))+LEN(SUBSTITUTE(SUBSTITUTE(SUBSTITUTE(K348," ",""),"0",""),"-","")))&gt;(LEN(SUBSTITUTE(SUBSTITUTE(SUBSTITUTE(M348," ",""),"0",""),"-",""))+LEN(SUBSTITUTE(SUBSTITUTE(SUBSTITUTE(N348," ",""),"0",""),"-",""))),1,0))+IF(UPPER(L349)="X",0,IF((LEN(SUBSTITUTE(SUBSTITUTE(SUBSTITUTE(J349," ",""),"0",""),"-",""))+LEN(SUBSTITUTE(SUBSTITUTE(SUBSTITUTE(K349," ",""),"0",""),"-","")))&gt;(LEN(SUBSTITUTE(SUBSTITUTE(SUBSTITUTE(M349," ",""),"0",""),"-",""))+LEN(SUBSTITUTE(SUBSTITUTE(SUBSTITUTE(N349," ",""),"0",""),"-",""))),1,0))+IF(UPPER(L350)="X",0,IF((LEN(SUBSTITUTE(SUBSTITUTE(SUBSTITUTE(J350," ",""),"0",""),"-",""))+LEN(SUBSTITUTE(SUBSTITUTE(SUBSTITUTE(K350," ",""),"0",""),"-","")))&gt;(LEN(SUBSTITUTE(SUBSTITUTE(SUBSTITUTE(M350," ",""),"0",""),"-",""))+LEN(SUBSTITUTE(SUBSTITUTE(SUBSTITUTE(N350," ",""),"0",""),"-",""))),1,0))</f>
      </c>
      <c r="K353" s="14" t="str">
        <f>LEN(SUBSTITUTE(SUBSTITUTE(SUBSTITUTE(J346," ",""),"0",""),"-",""))+LEN(SUBSTITUTE(SUBSTITUTE(SUBSTITUTE(K346," ",""),"0",""),"-",""))+LEN(SUBSTITUTE(SUBSTITUTE(SUBSTITUTE(J347," ",""),"0",""),"-",""))+LEN(SUBSTITUTE(SUBSTITUTE(SUBSTITUTE(K347," ",""),"0",""),"-",""))+LEN(SUBSTITUTE(SUBSTITUTE(SUBSTITUTE(J348," ",""),"0",""),"-",""))+LEN(SUBSTITUTE(SUBSTITUTE(SUBSTITUTE(K348," ",""),"0",""),"-",""))+LEN(SUBSTITUTE(SUBSTITUTE(SUBSTITUTE(J349," ",""),"0",""),"-",""))+LEN(SUBSTITUTE(SUBSTITUTE(SUBSTITUTE(K349," ",""),"0",""),"-",""))+LEN(SUBSTITUTE(SUBSTITUTE(SUBSTITUTE(J350," ",""),"0",""),"-",""))+LEN(SUBSTITUTE(SUBSTITUTE(SUBSTITUTE(K350," ",""),"0",""),"-",""))</f>
      </c>
      <c r="L353" s="14"/>
      <c r="M353" s="14" t="str">
        <f>LEN(SUBSTITUTE(SUBSTITUTE(SUBSTITUTE(M346," ",""),"0",""),"-",""))+LEN(SUBSTITUTE(SUBSTITUTE(SUBSTITUTE(N346," ",""),"0",""),"-",""))+LEN(SUBSTITUTE(SUBSTITUTE(SUBSTITUTE(M347," ",""),"0",""),"-",""))+LEN(SUBSTITUTE(SUBSTITUTE(SUBSTITUTE(N347," ",""),"0",""),"-",""))+LEN(SUBSTITUTE(SUBSTITUTE(SUBSTITUTE(M348," ",""),"0",""),"-",""))+LEN(SUBSTITUTE(SUBSTITUTE(SUBSTITUTE(N348," ",""),"0",""),"-",""))+LEN(SUBSTITUTE(SUBSTITUTE(SUBSTITUTE(M349," ",""),"0",""),"-",""))+LEN(SUBSTITUTE(SUBSTITUTE(SUBSTITUTE(N349," ",""),"0",""),"-",""))+LEN(SUBSTITUTE(SUBSTITUTE(SUBSTITUTE(M350," ",""),"0",""),"-",""))+LEN(SUBSTITUTE(SUBSTITUTE(SUBSTITUTE(N350," ",""),"0",""),"-",""))</f>
      </c>
      <c r="N353" s="14" t="str">
        <f>IF(UPPER(L346)="X",0,IF((LEN(SUBSTITUTE(SUBSTITUTE(SUBSTITUTE(M346," ",""),"0",""),"-",""))+LEN(SUBSTITUTE(SUBSTITUTE(SUBSTITUTE(N346," ",""),"0",""),"-","")))&gt;(LEN(SUBSTITUTE(SUBSTITUTE(SUBSTITUTE(J346," ",""),"0",""),"-",""))+LEN(SUBSTITUTE(SUBSTITUTE(SUBSTITUTE(K346," ",""),"0",""),"-",""))),1,0))+IF(UPPER(L347)="X",0,IF((LEN(SUBSTITUTE(SUBSTITUTE(SUBSTITUTE(M347," ",""),"0",""),"-",""))+LEN(SUBSTITUTE(SUBSTITUTE(SUBSTITUTE(N347," ",""),"0",""),"-","")))&gt;(LEN(SUBSTITUTE(SUBSTITUTE(SUBSTITUTE(J347," ",""),"0",""),"-",""))+LEN(SUBSTITUTE(SUBSTITUTE(SUBSTITUTE(K347," ",""),"0",""),"-",""))),1,0))+IF(UPPER(L348)="X",0,IF((LEN(SUBSTITUTE(SUBSTITUTE(SUBSTITUTE(M348," ",""),"0",""),"-",""))+LEN(SUBSTITUTE(SUBSTITUTE(SUBSTITUTE(N348," ",""),"0",""),"-","")))&gt;(LEN(SUBSTITUTE(SUBSTITUTE(SUBSTITUTE(J348," ",""),"0",""),"-",""))+LEN(SUBSTITUTE(SUBSTITUTE(SUBSTITUTE(K348," ",""),"0",""),"-",""))),1,0))+IF(UPPER(L349)="X",0,IF((LEN(SUBSTITUTE(SUBSTITUTE(SUBSTITUTE(M349," ",""),"0",""),"-",""))+LEN(SUBSTITUTE(SUBSTITUTE(SUBSTITUTE(N349," ",""),"0",""),"-","")))&gt;(LEN(SUBSTITUTE(SUBSTITUTE(SUBSTITUTE(J349," ",""),"0",""),"-",""))+LEN(SUBSTITUTE(SUBSTITUTE(SUBSTITUTE(K349," ",""),"0",""),"-",""))),1,0))+IF(UPPER(L350)="X",0,IF((LEN(SUBSTITUTE(SUBSTITUTE(SUBSTITUTE(M350," ",""),"0",""),"-",""))+LEN(SUBSTITUTE(SUBSTITUTE(SUBSTITUTE(N350," ",""),"0",""),"-","")))&gt;(LEN(SUBSTITUTE(SUBSTITUTE(SUBSTITUTE(J350," ",""),"0",""),"-",""))+LEN(SUBSTITUTE(SUBSTITUTE(SUBSTITUTE(K350," ",""),"0",""),"-",""))),1,0))</f>
      </c>
      <c r="O353" s="14" t="s">
        <v>349</v>
      </c>
    </row>
    <row r="356">
      <c r="F356" t="s">
        <v>345</v>
      </c>
      <c r="G356" s="19"/>
      <c r="N356" t="s">
        <v>345</v>
      </c>
      <c r="O356" s="19"/>
    </row>
    <row r="357">
      <c r="F357" t="s">
        <v>346</v>
      </c>
      <c r="G357" s="19"/>
      <c r="N357" t="s">
        <v>346</v>
      </c>
      <c r="O357" s="19"/>
    </row>
    <row r="359">
      <c r="A359" s="13" t="s">
        <v>393</v>
      </c>
      <c r="B359" s="13"/>
      <c r="C359" s="13"/>
      <c r="D359" s="13"/>
      <c r="E359" s="13"/>
      <c r="F359" s="13"/>
      <c r="G359" s="13"/>
      <c r="I359" s="13" t="s">
        <v>394</v>
      </c>
      <c r="J359" s="13"/>
      <c r="K359" s="13"/>
      <c r="L359" s="13"/>
      <c r="M359" s="13"/>
      <c r="N359" s="13"/>
      <c r="O359" s="13"/>
    </row>
    <row r="360">
      <c r="A360" s="17" t="s">
        <v>331</v>
      </c>
      <c r="D360" s="14" t="s">
        <v>332</v>
      </c>
      <c r="G360" s="16" t="s">
        <v>333</v>
      </c>
      <c r="I360" s="17" t="s">
        <v>331</v>
      </c>
      <c r="L360" s="14" t="s">
        <v>332</v>
      </c>
      <c r="O360" s="16" t="s">
        <v>333</v>
      </c>
    </row>
    <row r="361">
      <c r="A361" s="14" t="str">
        <f>CONCATENATE("M 15 ",G239)</f>
      </c>
      <c r="B361" s="14"/>
      <c r="C361" s="14"/>
      <c r="D361" s="18"/>
      <c r="E361" s="14"/>
      <c r="F361" s="14"/>
      <c r="G361" s="14" t="str">
        <f>CONCATENATE("M 14 ",G223)</f>
      </c>
      <c r="I361" s="14" t="str">
        <f>CONCATENATE("M 30 ",O239)</f>
      </c>
      <c r="J361" s="14"/>
      <c r="K361" s="14"/>
      <c r="L361" s="18"/>
      <c r="M361" s="14"/>
      <c r="N361" s="14"/>
      <c r="O361" s="14" t="str">
        <f>CONCATENATE("M 29 ",O223)</f>
      </c>
    </row>
    <row r="362">
      <c r="A362" s="14">
        <v>1</v>
      </c>
      <c r="B362" s="18"/>
      <c r="C362" s="18"/>
      <c r="D362" s="18"/>
      <c r="E362" s="18"/>
      <c r="F362" s="18"/>
      <c r="G362" s="14">
        <v>1</v>
      </c>
      <c r="I362" s="14">
        <v>1</v>
      </c>
      <c r="J362" s="18"/>
      <c r="K362" s="18"/>
      <c r="L362" s="18"/>
      <c r="M362" s="18"/>
      <c r="N362" s="18"/>
      <c r="O362" s="14">
        <v>1</v>
      </c>
    </row>
    <row r="363">
      <c r="A363" s="14">
        <v>2</v>
      </c>
      <c r="B363" s="18"/>
      <c r="C363" s="18"/>
      <c r="D363" s="18"/>
      <c r="E363" s="18"/>
      <c r="F363" s="18"/>
      <c r="G363" s="14">
        <v>2</v>
      </c>
      <c r="I363" s="14">
        <v>2</v>
      </c>
      <c r="J363" s="18"/>
      <c r="K363" s="18"/>
      <c r="L363" s="18"/>
      <c r="M363" s="18"/>
      <c r="N363" s="18"/>
      <c r="O363" s="14">
        <v>2</v>
      </c>
    </row>
    <row r="364">
      <c r="A364" s="14">
        <v>3</v>
      </c>
      <c r="B364" s="18"/>
      <c r="C364" s="18"/>
      <c r="D364" s="18"/>
      <c r="E364" s="18"/>
      <c r="F364" s="18"/>
      <c r="G364" s="14">
        <v>3</v>
      </c>
      <c r="I364" s="14">
        <v>3</v>
      </c>
      <c r="J364" s="18"/>
      <c r="K364" s="18"/>
      <c r="L364" s="18"/>
      <c r="M364" s="18"/>
      <c r="N364" s="18"/>
      <c r="O364" s="14">
        <v>3</v>
      </c>
    </row>
    <row r="365">
      <c r="A365" s="14">
        <v>4</v>
      </c>
      <c r="B365" s="18"/>
      <c r="C365" s="18"/>
      <c r="D365" s="18"/>
      <c r="E365" s="18"/>
      <c r="F365" s="18"/>
      <c r="G365" s="14">
        <v>4</v>
      </c>
      <c r="I365" s="14">
        <v>4</v>
      </c>
      <c r="J365" s="18"/>
      <c r="K365" s="18"/>
      <c r="L365" s="18"/>
      <c r="M365" s="18"/>
      <c r="N365" s="18"/>
      <c r="O365" s="14">
        <v>4</v>
      </c>
    </row>
    <row r="366">
      <c r="A366" s="14">
        <v>5</v>
      </c>
      <c r="B366" s="18"/>
      <c r="C366" s="18"/>
      <c r="D366" s="18"/>
      <c r="E366" s="18"/>
      <c r="F366" s="18"/>
      <c r="G366" s="14">
        <v>5</v>
      </c>
      <c r="I366" s="14">
        <v>5</v>
      </c>
      <c r="J366" s="18"/>
      <c r="K366" s="18"/>
      <c r="L366" s="18"/>
      <c r="M366" s="18"/>
      <c r="N366" s="18"/>
      <c r="O366" s="14">
        <v>5</v>
      </c>
    </row>
    <row r="368">
      <c r="A368" s="14" t="str">
        <f>CONCATENATE("M 15 ",G239)</f>
      </c>
      <c r="B368" s="14" t="s">
        <v>339</v>
      </c>
      <c r="C368" s="14" t="s">
        <v>342</v>
      </c>
      <c r="D368" s="14"/>
      <c r="E368" s="14" t="s">
        <v>342</v>
      </c>
      <c r="F368" s="14" t="s">
        <v>339</v>
      </c>
      <c r="G368" s="14" t="str">
        <f>CONCATENATE("M 14 ",G223)</f>
      </c>
      <c r="I368" s="14" t="str">
        <f>CONCATENATE("M 30 ",O239)</f>
      </c>
      <c r="J368" s="14" t="s">
        <v>339</v>
      </c>
      <c r="K368" s="14" t="s">
        <v>342</v>
      </c>
      <c r="L368" s="14"/>
      <c r="M368" s="14" t="s">
        <v>342</v>
      </c>
      <c r="N368" s="14" t="s">
        <v>339</v>
      </c>
      <c r="O368" s="14" t="str">
        <f>CONCATENATE("M 29 ",O223)</f>
      </c>
    </row>
    <row r="369">
      <c r="A369" s="14" t="s">
        <v>349</v>
      </c>
      <c r="B369" s="14" t="str">
        <f>IF(UPPER(D362)="X",0,IF((LEN(SUBSTITUTE(SUBSTITUTE(SUBSTITUTE(B362," ",""),"0",""),"-",""))+LEN(SUBSTITUTE(SUBSTITUTE(SUBSTITUTE(C362," ",""),"0",""),"-","")))&gt;(LEN(SUBSTITUTE(SUBSTITUTE(SUBSTITUTE(E362," ",""),"0",""),"-",""))+LEN(SUBSTITUTE(SUBSTITUTE(SUBSTITUTE(F362," ",""),"0",""),"-",""))),1,0))+IF(UPPER(D363)="X",0,IF((LEN(SUBSTITUTE(SUBSTITUTE(SUBSTITUTE(B363," ",""),"0",""),"-",""))+LEN(SUBSTITUTE(SUBSTITUTE(SUBSTITUTE(C363," ",""),"0",""),"-","")))&gt;(LEN(SUBSTITUTE(SUBSTITUTE(SUBSTITUTE(E363," ",""),"0",""),"-",""))+LEN(SUBSTITUTE(SUBSTITUTE(SUBSTITUTE(F363," ",""),"0",""),"-",""))),1,0))+IF(UPPER(D364)="X",0,IF((LEN(SUBSTITUTE(SUBSTITUTE(SUBSTITUTE(B364," ",""),"0",""),"-",""))+LEN(SUBSTITUTE(SUBSTITUTE(SUBSTITUTE(C364," ",""),"0",""),"-","")))&gt;(LEN(SUBSTITUTE(SUBSTITUTE(SUBSTITUTE(E364," ",""),"0",""),"-",""))+LEN(SUBSTITUTE(SUBSTITUTE(SUBSTITUTE(F364," ",""),"0",""),"-",""))),1,0))+IF(UPPER(D365)="X",0,IF((LEN(SUBSTITUTE(SUBSTITUTE(SUBSTITUTE(B365," ",""),"0",""),"-",""))+LEN(SUBSTITUTE(SUBSTITUTE(SUBSTITUTE(C365," ",""),"0",""),"-","")))&gt;(LEN(SUBSTITUTE(SUBSTITUTE(SUBSTITUTE(E365," ",""),"0",""),"-",""))+LEN(SUBSTITUTE(SUBSTITUTE(SUBSTITUTE(F365," ",""),"0",""),"-",""))),1,0))+IF(UPPER(D366)="X",0,IF((LEN(SUBSTITUTE(SUBSTITUTE(SUBSTITUTE(B366," ",""),"0",""),"-",""))+LEN(SUBSTITUTE(SUBSTITUTE(SUBSTITUTE(C366," ",""),"0",""),"-","")))&gt;(LEN(SUBSTITUTE(SUBSTITUTE(SUBSTITUTE(E366," ",""),"0",""),"-",""))+LEN(SUBSTITUTE(SUBSTITUTE(SUBSTITUTE(F366," ",""),"0",""),"-",""))),1,0))</f>
      </c>
      <c r="C369" s="14" t="str">
        <f>LEN(SUBSTITUTE(SUBSTITUTE(SUBSTITUTE(B362," ",""),"0",""),"-",""))+LEN(SUBSTITUTE(SUBSTITUTE(SUBSTITUTE(C362," ",""),"0",""),"-",""))+LEN(SUBSTITUTE(SUBSTITUTE(SUBSTITUTE(B363," ",""),"0",""),"-",""))+LEN(SUBSTITUTE(SUBSTITUTE(SUBSTITUTE(C363," ",""),"0",""),"-",""))+LEN(SUBSTITUTE(SUBSTITUTE(SUBSTITUTE(B364," ",""),"0",""),"-",""))+LEN(SUBSTITUTE(SUBSTITUTE(SUBSTITUTE(C364," ",""),"0",""),"-",""))+LEN(SUBSTITUTE(SUBSTITUTE(SUBSTITUTE(B365," ",""),"0",""),"-",""))+LEN(SUBSTITUTE(SUBSTITUTE(SUBSTITUTE(C365," ",""),"0",""),"-",""))+LEN(SUBSTITUTE(SUBSTITUTE(SUBSTITUTE(B366," ",""),"0",""),"-",""))+LEN(SUBSTITUTE(SUBSTITUTE(SUBSTITUTE(C366," ",""),"0",""),"-",""))</f>
      </c>
      <c r="D369" s="14"/>
      <c r="E369" s="14" t="str">
        <f>LEN(SUBSTITUTE(SUBSTITUTE(SUBSTITUTE(E362," ",""),"0",""),"-",""))+LEN(SUBSTITUTE(SUBSTITUTE(SUBSTITUTE(F362," ",""),"0",""),"-",""))+LEN(SUBSTITUTE(SUBSTITUTE(SUBSTITUTE(E363," ",""),"0",""),"-",""))+LEN(SUBSTITUTE(SUBSTITUTE(SUBSTITUTE(F363," ",""),"0",""),"-",""))+LEN(SUBSTITUTE(SUBSTITUTE(SUBSTITUTE(E364," ",""),"0",""),"-",""))+LEN(SUBSTITUTE(SUBSTITUTE(SUBSTITUTE(F364," ",""),"0",""),"-",""))+LEN(SUBSTITUTE(SUBSTITUTE(SUBSTITUTE(E365," ",""),"0",""),"-",""))+LEN(SUBSTITUTE(SUBSTITUTE(SUBSTITUTE(F365," ",""),"0",""),"-",""))+LEN(SUBSTITUTE(SUBSTITUTE(SUBSTITUTE(E366," ",""),"0",""),"-",""))+LEN(SUBSTITUTE(SUBSTITUTE(SUBSTITUTE(F366," ",""),"0",""),"-",""))</f>
      </c>
      <c r="F369" s="14" t="str">
        <f>IF(UPPER(D362)="X",0,IF((LEN(SUBSTITUTE(SUBSTITUTE(SUBSTITUTE(E362," ",""),"0",""),"-",""))+LEN(SUBSTITUTE(SUBSTITUTE(SUBSTITUTE(F362," ",""),"0",""),"-","")))&gt;(LEN(SUBSTITUTE(SUBSTITUTE(SUBSTITUTE(B362," ",""),"0",""),"-",""))+LEN(SUBSTITUTE(SUBSTITUTE(SUBSTITUTE(C362," ",""),"0",""),"-",""))),1,0))+IF(UPPER(D363)="X",0,IF((LEN(SUBSTITUTE(SUBSTITUTE(SUBSTITUTE(E363," ",""),"0",""),"-",""))+LEN(SUBSTITUTE(SUBSTITUTE(SUBSTITUTE(F363," ",""),"0",""),"-","")))&gt;(LEN(SUBSTITUTE(SUBSTITUTE(SUBSTITUTE(B363," ",""),"0",""),"-",""))+LEN(SUBSTITUTE(SUBSTITUTE(SUBSTITUTE(C363," ",""),"0",""),"-",""))),1,0))+IF(UPPER(D364)="X",0,IF((LEN(SUBSTITUTE(SUBSTITUTE(SUBSTITUTE(E364," ",""),"0",""),"-",""))+LEN(SUBSTITUTE(SUBSTITUTE(SUBSTITUTE(F364," ",""),"0",""),"-","")))&gt;(LEN(SUBSTITUTE(SUBSTITUTE(SUBSTITUTE(B364," ",""),"0",""),"-",""))+LEN(SUBSTITUTE(SUBSTITUTE(SUBSTITUTE(C364," ",""),"0",""),"-",""))),1,0))+IF(UPPER(D365)="X",0,IF((LEN(SUBSTITUTE(SUBSTITUTE(SUBSTITUTE(E365," ",""),"0",""),"-",""))+LEN(SUBSTITUTE(SUBSTITUTE(SUBSTITUTE(F365," ",""),"0",""),"-","")))&gt;(LEN(SUBSTITUTE(SUBSTITUTE(SUBSTITUTE(B365," ",""),"0",""),"-",""))+LEN(SUBSTITUTE(SUBSTITUTE(SUBSTITUTE(C365," ",""),"0",""),"-",""))),1,0))+IF(UPPER(D366)="X",0,IF((LEN(SUBSTITUTE(SUBSTITUTE(SUBSTITUTE(E366," ",""),"0",""),"-",""))+LEN(SUBSTITUTE(SUBSTITUTE(SUBSTITUTE(F366," ",""),"0",""),"-","")))&gt;(LEN(SUBSTITUTE(SUBSTITUTE(SUBSTITUTE(B366," ",""),"0",""),"-",""))+LEN(SUBSTITUTE(SUBSTITUTE(SUBSTITUTE(C366," ",""),"0",""),"-",""))),1,0))</f>
      </c>
      <c r="G369" s="14" t="s">
        <v>349</v>
      </c>
      <c r="I369" s="14" t="s">
        <v>349</v>
      </c>
      <c r="J369" s="14" t="str">
        <f>IF(UPPER(L362)="X",0,IF((LEN(SUBSTITUTE(SUBSTITUTE(SUBSTITUTE(J362," ",""),"0",""),"-",""))+LEN(SUBSTITUTE(SUBSTITUTE(SUBSTITUTE(K362," ",""),"0",""),"-","")))&gt;(LEN(SUBSTITUTE(SUBSTITUTE(SUBSTITUTE(M362," ",""),"0",""),"-",""))+LEN(SUBSTITUTE(SUBSTITUTE(SUBSTITUTE(N362," ",""),"0",""),"-",""))),1,0))+IF(UPPER(L363)="X",0,IF((LEN(SUBSTITUTE(SUBSTITUTE(SUBSTITUTE(J363," ",""),"0",""),"-",""))+LEN(SUBSTITUTE(SUBSTITUTE(SUBSTITUTE(K363," ",""),"0",""),"-","")))&gt;(LEN(SUBSTITUTE(SUBSTITUTE(SUBSTITUTE(M363," ",""),"0",""),"-",""))+LEN(SUBSTITUTE(SUBSTITUTE(SUBSTITUTE(N363," ",""),"0",""),"-",""))),1,0))+IF(UPPER(L364)="X",0,IF((LEN(SUBSTITUTE(SUBSTITUTE(SUBSTITUTE(J364," ",""),"0",""),"-",""))+LEN(SUBSTITUTE(SUBSTITUTE(SUBSTITUTE(K364," ",""),"0",""),"-","")))&gt;(LEN(SUBSTITUTE(SUBSTITUTE(SUBSTITUTE(M364," ",""),"0",""),"-",""))+LEN(SUBSTITUTE(SUBSTITUTE(SUBSTITUTE(N364," ",""),"0",""),"-",""))),1,0))+IF(UPPER(L365)="X",0,IF((LEN(SUBSTITUTE(SUBSTITUTE(SUBSTITUTE(J365," ",""),"0",""),"-",""))+LEN(SUBSTITUTE(SUBSTITUTE(SUBSTITUTE(K365," ",""),"0",""),"-","")))&gt;(LEN(SUBSTITUTE(SUBSTITUTE(SUBSTITUTE(M365," ",""),"0",""),"-",""))+LEN(SUBSTITUTE(SUBSTITUTE(SUBSTITUTE(N365," ",""),"0",""),"-",""))),1,0))+IF(UPPER(L366)="X",0,IF((LEN(SUBSTITUTE(SUBSTITUTE(SUBSTITUTE(J366," ",""),"0",""),"-",""))+LEN(SUBSTITUTE(SUBSTITUTE(SUBSTITUTE(K366," ",""),"0",""),"-","")))&gt;(LEN(SUBSTITUTE(SUBSTITUTE(SUBSTITUTE(M366," ",""),"0",""),"-",""))+LEN(SUBSTITUTE(SUBSTITUTE(SUBSTITUTE(N366," ",""),"0",""),"-",""))),1,0))</f>
      </c>
      <c r="K369" s="14" t="str">
        <f>LEN(SUBSTITUTE(SUBSTITUTE(SUBSTITUTE(J362," ",""),"0",""),"-",""))+LEN(SUBSTITUTE(SUBSTITUTE(SUBSTITUTE(K362," ",""),"0",""),"-",""))+LEN(SUBSTITUTE(SUBSTITUTE(SUBSTITUTE(J363," ",""),"0",""),"-",""))+LEN(SUBSTITUTE(SUBSTITUTE(SUBSTITUTE(K363," ",""),"0",""),"-",""))+LEN(SUBSTITUTE(SUBSTITUTE(SUBSTITUTE(J364," ",""),"0",""),"-",""))+LEN(SUBSTITUTE(SUBSTITUTE(SUBSTITUTE(K364," ",""),"0",""),"-",""))+LEN(SUBSTITUTE(SUBSTITUTE(SUBSTITUTE(J365," ",""),"0",""),"-",""))+LEN(SUBSTITUTE(SUBSTITUTE(SUBSTITUTE(K365," ",""),"0",""),"-",""))+LEN(SUBSTITUTE(SUBSTITUTE(SUBSTITUTE(J366," ",""),"0",""),"-",""))+LEN(SUBSTITUTE(SUBSTITUTE(SUBSTITUTE(K366," ",""),"0",""),"-",""))</f>
      </c>
      <c r="L369" s="14"/>
      <c r="M369" s="14" t="str">
        <f>LEN(SUBSTITUTE(SUBSTITUTE(SUBSTITUTE(M362," ",""),"0",""),"-",""))+LEN(SUBSTITUTE(SUBSTITUTE(SUBSTITUTE(N362," ",""),"0",""),"-",""))+LEN(SUBSTITUTE(SUBSTITUTE(SUBSTITUTE(M363," ",""),"0",""),"-",""))+LEN(SUBSTITUTE(SUBSTITUTE(SUBSTITUTE(N363," ",""),"0",""),"-",""))+LEN(SUBSTITUTE(SUBSTITUTE(SUBSTITUTE(M364," ",""),"0",""),"-",""))+LEN(SUBSTITUTE(SUBSTITUTE(SUBSTITUTE(N364," ",""),"0",""),"-",""))+LEN(SUBSTITUTE(SUBSTITUTE(SUBSTITUTE(M365," ",""),"0",""),"-",""))+LEN(SUBSTITUTE(SUBSTITUTE(SUBSTITUTE(N365," ",""),"0",""),"-",""))+LEN(SUBSTITUTE(SUBSTITUTE(SUBSTITUTE(M366," ",""),"0",""),"-",""))+LEN(SUBSTITUTE(SUBSTITUTE(SUBSTITUTE(N366," ",""),"0",""),"-",""))</f>
      </c>
      <c r="N369" s="14" t="str">
        <f>IF(UPPER(L362)="X",0,IF((LEN(SUBSTITUTE(SUBSTITUTE(SUBSTITUTE(M362," ",""),"0",""),"-",""))+LEN(SUBSTITUTE(SUBSTITUTE(SUBSTITUTE(N362," ",""),"0",""),"-","")))&gt;(LEN(SUBSTITUTE(SUBSTITUTE(SUBSTITUTE(J362," ",""),"0",""),"-",""))+LEN(SUBSTITUTE(SUBSTITUTE(SUBSTITUTE(K362," ",""),"0",""),"-",""))),1,0))+IF(UPPER(L363)="X",0,IF((LEN(SUBSTITUTE(SUBSTITUTE(SUBSTITUTE(M363," ",""),"0",""),"-",""))+LEN(SUBSTITUTE(SUBSTITUTE(SUBSTITUTE(N363," ",""),"0",""),"-","")))&gt;(LEN(SUBSTITUTE(SUBSTITUTE(SUBSTITUTE(J363," ",""),"0",""),"-",""))+LEN(SUBSTITUTE(SUBSTITUTE(SUBSTITUTE(K363," ",""),"0",""),"-",""))),1,0))+IF(UPPER(L364)="X",0,IF((LEN(SUBSTITUTE(SUBSTITUTE(SUBSTITUTE(M364," ",""),"0",""),"-",""))+LEN(SUBSTITUTE(SUBSTITUTE(SUBSTITUTE(N364," ",""),"0",""),"-","")))&gt;(LEN(SUBSTITUTE(SUBSTITUTE(SUBSTITUTE(J364," ",""),"0",""),"-",""))+LEN(SUBSTITUTE(SUBSTITUTE(SUBSTITUTE(K364," ",""),"0",""),"-",""))),1,0))+IF(UPPER(L365)="X",0,IF((LEN(SUBSTITUTE(SUBSTITUTE(SUBSTITUTE(M365," ",""),"0",""),"-",""))+LEN(SUBSTITUTE(SUBSTITUTE(SUBSTITUTE(N365," ",""),"0",""),"-","")))&gt;(LEN(SUBSTITUTE(SUBSTITUTE(SUBSTITUTE(J365," ",""),"0",""),"-",""))+LEN(SUBSTITUTE(SUBSTITUTE(SUBSTITUTE(K365," ",""),"0",""),"-",""))),1,0))+IF(UPPER(L366)="X",0,IF((LEN(SUBSTITUTE(SUBSTITUTE(SUBSTITUTE(M366," ",""),"0",""),"-",""))+LEN(SUBSTITUTE(SUBSTITUTE(SUBSTITUTE(N366," ",""),"0",""),"-","")))&gt;(LEN(SUBSTITUTE(SUBSTITUTE(SUBSTITUTE(J366," ",""),"0",""),"-",""))+LEN(SUBSTITUTE(SUBSTITUTE(SUBSTITUTE(K366," ",""),"0",""),"-",""))),1,0))</f>
      </c>
      <c r="O369" s="14" t="s">
        <v>349</v>
      </c>
    </row>
    <row r="372">
      <c r="F372" t="s">
        <v>345</v>
      </c>
      <c r="G372" s="19"/>
      <c r="N372" t="s">
        <v>345</v>
      </c>
      <c r="O372" s="19"/>
    </row>
    <row r="373">
      <c r="F373" t="s">
        <v>346</v>
      </c>
      <c r="G373" s="19"/>
      <c r="N373" t="s">
        <v>346</v>
      </c>
      <c r="O373" s="19"/>
    </row>
    <row r="380">
      <c r="A380" s="13" t="s">
        <v>395</v>
      </c>
      <c r="B380" s="13"/>
      <c r="C380" s="13"/>
      <c r="D380" s="13"/>
      <c r="E380" s="13"/>
      <c r="F380" s="13"/>
      <c r="G380" s="13"/>
      <c r="I380" s="13" t="s">
        <v>396</v>
      </c>
      <c r="J380" s="13"/>
      <c r="K380" s="13"/>
      <c r="L380" s="13"/>
      <c r="M380" s="13"/>
      <c r="N380" s="13"/>
      <c r="O380" s="13"/>
    </row>
    <row r="381">
      <c r="A381" s="17" t="s">
        <v>331</v>
      </c>
      <c r="D381" s="14" t="s">
        <v>332</v>
      </c>
      <c r="G381" s="16" t="s">
        <v>333</v>
      </c>
      <c r="I381" s="17" t="s">
        <v>331</v>
      </c>
      <c r="L381" s="14" t="s">
        <v>332</v>
      </c>
      <c r="O381" s="16" t="s">
        <v>333</v>
      </c>
    </row>
    <row r="382">
      <c r="A382" s="14" t="str">
        <f>CONCATENATE("M 32 ",G276)</f>
      </c>
      <c r="B382" s="14"/>
      <c r="C382" s="14"/>
      <c r="D382" s="18"/>
      <c r="E382" s="14"/>
      <c r="F382" s="14"/>
      <c r="G382" s="14" t="str">
        <f>CONCATENATE("M 31 ",G260)</f>
      </c>
      <c r="I382" s="14" t="str">
        <f>CONCATENATE("M 40 ",O276)</f>
      </c>
      <c r="J382" s="14"/>
      <c r="K382" s="14"/>
      <c r="L382" s="18"/>
      <c r="M382" s="14"/>
      <c r="N382" s="14"/>
      <c r="O382" s="14" t="str">
        <f>CONCATENATE("M 39 ",O260)</f>
      </c>
    </row>
    <row r="383">
      <c r="A383" s="14">
        <v>1</v>
      </c>
      <c r="B383" s="18"/>
      <c r="C383" s="18"/>
      <c r="D383" s="18"/>
      <c r="E383" s="18"/>
      <c r="F383" s="18"/>
      <c r="G383" s="14">
        <v>1</v>
      </c>
      <c r="I383" s="14">
        <v>1</v>
      </c>
      <c r="J383" s="18"/>
      <c r="K383" s="18"/>
      <c r="L383" s="18"/>
      <c r="M383" s="18"/>
      <c r="N383" s="18"/>
      <c r="O383" s="14">
        <v>1</v>
      </c>
    </row>
    <row r="384">
      <c r="A384" s="14">
        <v>2</v>
      </c>
      <c r="B384" s="18"/>
      <c r="C384" s="18"/>
      <c r="D384" s="18"/>
      <c r="E384" s="18"/>
      <c r="F384" s="18"/>
      <c r="G384" s="14">
        <v>2</v>
      </c>
      <c r="I384" s="14">
        <v>2</v>
      </c>
      <c r="J384" s="18"/>
      <c r="K384" s="18"/>
      <c r="L384" s="18"/>
      <c r="M384" s="18"/>
      <c r="N384" s="18"/>
      <c r="O384" s="14">
        <v>2</v>
      </c>
    </row>
    <row r="385">
      <c r="A385" s="14">
        <v>3</v>
      </c>
      <c r="B385" s="18"/>
      <c r="C385" s="18"/>
      <c r="D385" s="18"/>
      <c r="E385" s="18"/>
      <c r="F385" s="18"/>
      <c r="G385" s="14">
        <v>3</v>
      </c>
      <c r="I385" s="14">
        <v>3</v>
      </c>
      <c r="J385" s="18"/>
      <c r="K385" s="18"/>
      <c r="L385" s="18"/>
      <c r="M385" s="18"/>
      <c r="N385" s="18"/>
      <c r="O385" s="14">
        <v>3</v>
      </c>
    </row>
    <row r="386">
      <c r="A386" s="14">
        <v>4</v>
      </c>
      <c r="B386" s="18"/>
      <c r="C386" s="18"/>
      <c r="D386" s="18"/>
      <c r="E386" s="18"/>
      <c r="F386" s="18"/>
      <c r="G386" s="14">
        <v>4</v>
      </c>
      <c r="I386" s="14">
        <v>4</v>
      </c>
      <c r="J386" s="18"/>
      <c r="K386" s="18"/>
      <c r="L386" s="18"/>
      <c r="M386" s="18"/>
      <c r="N386" s="18"/>
      <c r="O386" s="14">
        <v>4</v>
      </c>
    </row>
    <row r="387">
      <c r="A387" s="14">
        <v>5</v>
      </c>
      <c r="B387" s="18"/>
      <c r="C387" s="18"/>
      <c r="D387" s="18"/>
      <c r="E387" s="18"/>
      <c r="F387" s="18"/>
      <c r="G387" s="14">
        <v>5</v>
      </c>
      <c r="I387" s="14">
        <v>5</v>
      </c>
      <c r="J387" s="18"/>
      <c r="K387" s="18"/>
      <c r="L387" s="18"/>
      <c r="M387" s="18"/>
      <c r="N387" s="18"/>
      <c r="O387" s="14">
        <v>5</v>
      </c>
    </row>
    <row r="389">
      <c r="A389" s="14" t="str">
        <f>CONCATENATE("M 32 ",G276)</f>
      </c>
      <c r="B389" s="14" t="s">
        <v>339</v>
      </c>
      <c r="C389" s="14" t="s">
        <v>342</v>
      </c>
      <c r="D389" s="14"/>
      <c r="E389" s="14" t="s">
        <v>342</v>
      </c>
      <c r="F389" s="14" t="s">
        <v>339</v>
      </c>
      <c r="G389" s="14" t="str">
        <f>CONCATENATE("M 31 ",G260)</f>
      </c>
      <c r="I389" s="14" t="str">
        <f>CONCATENATE("M 40 ",O276)</f>
      </c>
      <c r="J389" s="14" t="s">
        <v>339</v>
      </c>
      <c r="K389" s="14" t="s">
        <v>342</v>
      </c>
      <c r="L389" s="14"/>
      <c r="M389" s="14" t="s">
        <v>342</v>
      </c>
      <c r="N389" s="14" t="s">
        <v>339</v>
      </c>
      <c r="O389" s="14" t="str">
        <f>CONCATENATE("M 39 ",O260)</f>
      </c>
    </row>
    <row r="390">
      <c r="A390" s="14" t="s">
        <v>349</v>
      </c>
      <c r="B390" s="14" t="str">
        <f>IF(UPPER(D383)="X",0,IF((LEN(SUBSTITUTE(SUBSTITUTE(SUBSTITUTE(B383," ",""),"0",""),"-",""))+LEN(SUBSTITUTE(SUBSTITUTE(SUBSTITUTE(C383," ",""),"0",""),"-","")))&gt;(LEN(SUBSTITUTE(SUBSTITUTE(SUBSTITUTE(E383," ",""),"0",""),"-",""))+LEN(SUBSTITUTE(SUBSTITUTE(SUBSTITUTE(F383," ",""),"0",""),"-",""))),1,0))+IF(UPPER(D384)="X",0,IF((LEN(SUBSTITUTE(SUBSTITUTE(SUBSTITUTE(B384," ",""),"0",""),"-",""))+LEN(SUBSTITUTE(SUBSTITUTE(SUBSTITUTE(C384," ",""),"0",""),"-","")))&gt;(LEN(SUBSTITUTE(SUBSTITUTE(SUBSTITUTE(E384," ",""),"0",""),"-",""))+LEN(SUBSTITUTE(SUBSTITUTE(SUBSTITUTE(F384," ",""),"0",""),"-",""))),1,0))+IF(UPPER(D385)="X",0,IF((LEN(SUBSTITUTE(SUBSTITUTE(SUBSTITUTE(B385," ",""),"0",""),"-",""))+LEN(SUBSTITUTE(SUBSTITUTE(SUBSTITUTE(C385," ",""),"0",""),"-","")))&gt;(LEN(SUBSTITUTE(SUBSTITUTE(SUBSTITUTE(E385," ",""),"0",""),"-",""))+LEN(SUBSTITUTE(SUBSTITUTE(SUBSTITUTE(F385," ",""),"0",""),"-",""))),1,0))+IF(UPPER(D386)="X",0,IF((LEN(SUBSTITUTE(SUBSTITUTE(SUBSTITUTE(B386," ",""),"0",""),"-",""))+LEN(SUBSTITUTE(SUBSTITUTE(SUBSTITUTE(C386," ",""),"0",""),"-","")))&gt;(LEN(SUBSTITUTE(SUBSTITUTE(SUBSTITUTE(E386," ",""),"0",""),"-",""))+LEN(SUBSTITUTE(SUBSTITUTE(SUBSTITUTE(F386," ",""),"0",""),"-",""))),1,0))+IF(UPPER(D387)="X",0,IF((LEN(SUBSTITUTE(SUBSTITUTE(SUBSTITUTE(B387," ",""),"0",""),"-",""))+LEN(SUBSTITUTE(SUBSTITUTE(SUBSTITUTE(C387," ",""),"0",""),"-","")))&gt;(LEN(SUBSTITUTE(SUBSTITUTE(SUBSTITUTE(E387," ",""),"0",""),"-",""))+LEN(SUBSTITUTE(SUBSTITUTE(SUBSTITUTE(F387," ",""),"0",""),"-",""))),1,0))</f>
      </c>
      <c r="C390" s="14" t="str">
        <f>LEN(SUBSTITUTE(SUBSTITUTE(SUBSTITUTE(B383," ",""),"0",""),"-",""))+LEN(SUBSTITUTE(SUBSTITUTE(SUBSTITUTE(C383," ",""),"0",""),"-",""))+LEN(SUBSTITUTE(SUBSTITUTE(SUBSTITUTE(B384," ",""),"0",""),"-",""))+LEN(SUBSTITUTE(SUBSTITUTE(SUBSTITUTE(C384," ",""),"0",""),"-",""))+LEN(SUBSTITUTE(SUBSTITUTE(SUBSTITUTE(B385," ",""),"0",""),"-",""))+LEN(SUBSTITUTE(SUBSTITUTE(SUBSTITUTE(C385," ",""),"0",""),"-",""))+LEN(SUBSTITUTE(SUBSTITUTE(SUBSTITUTE(B386," ",""),"0",""),"-",""))+LEN(SUBSTITUTE(SUBSTITUTE(SUBSTITUTE(C386," ",""),"0",""),"-",""))+LEN(SUBSTITUTE(SUBSTITUTE(SUBSTITUTE(B387," ",""),"0",""),"-",""))+LEN(SUBSTITUTE(SUBSTITUTE(SUBSTITUTE(C387," ",""),"0",""),"-",""))</f>
      </c>
      <c r="D390" s="14"/>
      <c r="E390" s="14" t="str">
        <f>LEN(SUBSTITUTE(SUBSTITUTE(SUBSTITUTE(E383," ",""),"0",""),"-",""))+LEN(SUBSTITUTE(SUBSTITUTE(SUBSTITUTE(F383," ",""),"0",""),"-",""))+LEN(SUBSTITUTE(SUBSTITUTE(SUBSTITUTE(E384," ",""),"0",""),"-",""))+LEN(SUBSTITUTE(SUBSTITUTE(SUBSTITUTE(F384," ",""),"0",""),"-",""))+LEN(SUBSTITUTE(SUBSTITUTE(SUBSTITUTE(E385," ",""),"0",""),"-",""))+LEN(SUBSTITUTE(SUBSTITUTE(SUBSTITUTE(F385," ",""),"0",""),"-",""))+LEN(SUBSTITUTE(SUBSTITUTE(SUBSTITUTE(E386," ",""),"0",""),"-",""))+LEN(SUBSTITUTE(SUBSTITUTE(SUBSTITUTE(F386," ",""),"0",""),"-",""))+LEN(SUBSTITUTE(SUBSTITUTE(SUBSTITUTE(E387," ",""),"0",""),"-",""))+LEN(SUBSTITUTE(SUBSTITUTE(SUBSTITUTE(F387," ",""),"0",""),"-",""))</f>
      </c>
      <c r="F390" s="14" t="str">
        <f>IF(UPPER(D383)="X",0,IF((LEN(SUBSTITUTE(SUBSTITUTE(SUBSTITUTE(E383," ",""),"0",""),"-",""))+LEN(SUBSTITUTE(SUBSTITUTE(SUBSTITUTE(F383," ",""),"0",""),"-","")))&gt;(LEN(SUBSTITUTE(SUBSTITUTE(SUBSTITUTE(B383," ",""),"0",""),"-",""))+LEN(SUBSTITUTE(SUBSTITUTE(SUBSTITUTE(C383," ",""),"0",""),"-",""))),1,0))+IF(UPPER(D384)="X",0,IF((LEN(SUBSTITUTE(SUBSTITUTE(SUBSTITUTE(E384," ",""),"0",""),"-",""))+LEN(SUBSTITUTE(SUBSTITUTE(SUBSTITUTE(F384," ",""),"0",""),"-","")))&gt;(LEN(SUBSTITUTE(SUBSTITUTE(SUBSTITUTE(B384," ",""),"0",""),"-",""))+LEN(SUBSTITUTE(SUBSTITUTE(SUBSTITUTE(C384," ",""),"0",""),"-",""))),1,0))+IF(UPPER(D385)="X",0,IF((LEN(SUBSTITUTE(SUBSTITUTE(SUBSTITUTE(E385," ",""),"0",""),"-",""))+LEN(SUBSTITUTE(SUBSTITUTE(SUBSTITUTE(F385," ",""),"0",""),"-","")))&gt;(LEN(SUBSTITUTE(SUBSTITUTE(SUBSTITUTE(B385," ",""),"0",""),"-",""))+LEN(SUBSTITUTE(SUBSTITUTE(SUBSTITUTE(C385," ",""),"0",""),"-",""))),1,0))+IF(UPPER(D386)="X",0,IF((LEN(SUBSTITUTE(SUBSTITUTE(SUBSTITUTE(E386," ",""),"0",""),"-",""))+LEN(SUBSTITUTE(SUBSTITUTE(SUBSTITUTE(F386," ",""),"0",""),"-","")))&gt;(LEN(SUBSTITUTE(SUBSTITUTE(SUBSTITUTE(B386," ",""),"0",""),"-",""))+LEN(SUBSTITUTE(SUBSTITUTE(SUBSTITUTE(C386," ",""),"0",""),"-",""))),1,0))+IF(UPPER(D387)="X",0,IF((LEN(SUBSTITUTE(SUBSTITUTE(SUBSTITUTE(E387," ",""),"0",""),"-",""))+LEN(SUBSTITUTE(SUBSTITUTE(SUBSTITUTE(F387," ",""),"0",""),"-","")))&gt;(LEN(SUBSTITUTE(SUBSTITUTE(SUBSTITUTE(B387," ",""),"0",""),"-",""))+LEN(SUBSTITUTE(SUBSTITUTE(SUBSTITUTE(C387," ",""),"0",""),"-",""))),1,0))</f>
      </c>
      <c r="G390" s="14" t="s">
        <v>349</v>
      </c>
      <c r="I390" s="14" t="s">
        <v>349</v>
      </c>
      <c r="J390" s="14" t="str">
        <f>IF(UPPER(L383)="X",0,IF((LEN(SUBSTITUTE(SUBSTITUTE(SUBSTITUTE(J383," ",""),"0",""),"-",""))+LEN(SUBSTITUTE(SUBSTITUTE(SUBSTITUTE(K383," ",""),"0",""),"-","")))&gt;(LEN(SUBSTITUTE(SUBSTITUTE(SUBSTITUTE(M383," ",""),"0",""),"-",""))+LEN(SUBSTITUTE(SUBSTITUTE(SUBSTITUTE(N383," ",""),"0",""),"-",""))),1,0))+IF(UPPER(L384)="X",0,IF((LEN(SUBSTITUTE(SUBSTITUTE(SUBSTITUTE(J384," ",""),"0",""),"-",""))+LEN(SUBSTITUTE(SUBSTITUTE(SUBSTITUTE(K384," ",""),"0",""),"-","")))&gt;(LEN(SUBSTITUTE(SUBSTITUTE(SUBSTITUTE(M384," ",""),"0",""),"-",""))+LEN(SUBSTITUTE(SUBSTITUTE(SUBSTITUTE(N384," ",""),"0",""),"-",""))),1,0))+IF(UPPER(L385)="X",0,IF((LEN(SUBSTITUTE(SUBSTITUTE(SUBSTITUTE(J385," ",""),"0",""),"-",""))+LEN(SUBSTITUTE(SUBSTITUTE(SUBSTITUTE(K385," ",""),"0",""),"-","")))&gt;(LEN(SUBSTITUTE(SUBSTITUTE(SUBSTITUTE(M385," ",""),"0",""),"-",""))+LEN(SUBSTITUTE(SUBSTITUTE(SUBSTITUTE(N385," ",""),"0",""),"-",""))),1,0))+IF(UPPER(L386)="X",0,IF((LEN(SUBSTITUTE(SUBSTITUTE(SUBSTITUTE(J386," ",""),"0",""),"-",""))+LEN(SUBSTITUTE(SUBSTITUTE(SUBSTITUTE(K386," ",""),"0",""),"-","")))&gt;(LEN(SUBSTITUTE(SUBSTITUTE(SUBSTITUTE(M386," ",""),"0",""),"-",""))+LEN(SUBSTITUTE(SUBSTITUTE(SUBSTITUTE(N386," ",""),"0",""),"-",""))),1,0))+IF(UPPER(L387)="X",0,IF((LEN(SUBSTITUTE(SUBSTITUTE(SUBSTITUTE(J387," ",""),"0",""),"-",""))+LEN(SUBSTITUTE(SUBSTITUTE(SUBSTITUTE(K387," ",""),"0",""),"-","")))&gt;(LEN(SUBSTITUTE(SUBSTITUTE(SUBSTITUTE(M387," ",""),"0",""),"-",""))+LEN(SUBSTITUTE(SUBSTITUTE(SUBSTITUTE(N387," ",""),"0",""),"-",""))),1,0))</f>
      </c>
      <c r="K390" s="14" t="str">
        <f>LEN(SUBSTITUTE(SUBSTITUTE(SUBSTITUTE(J383," ",""),"0",""),"-",""))+LEN(SUBSTITUTE(SUBSTITUTE(SUBSTITUTE(K383," ",""),"0",""),"-",""))+LEN(SUBSTITUTE(SUBSTITUTE(SUBSTITUTE(J384," ",""),"0",""),"-",""))+LEN(SUBSTITUTE(SUBSTITUTE(SUBSTITUTE(K384," ",""),"0",""),"-",""))+LEN(SUBSTITUTE(SUBSTITUTE(SUBSTITUTE(J385," ",""),"0",""),"-",""))+LEN(SUBSTITUTE(SUBSTITUTE(SUBSTITUTE(K385," ",""),"0",""),"-",""))+LEN(SUBSTITUTE(SUBSTITUTE(SUBSTITUTE(J386," ",""),"0",""),"-",""))+LEN(SUBSTITUTE(SUBSTITUTE(SUBSTITUTE(K386," ",""),"0",""),"-",""))+LEN(SUBSTITUTE(SUBSTITUTE(SUBSTITUTE(J387," ",""),"0",""),"-",""))+LEN(SUBSTITUTE(SUBSTITUTE(SUBSTITUTE(K387," ",""),"0",""),"-",""))</f>
      </c>
      <c r="L390" s="14"/>
      <c r="M390" s="14" t="str">
        <f>LEN(SUBSTITUTE(SUBSTITUTE(SUBSTITUTE(M383," ",""),"0",""),"-",""))+LEN(SUBSTITUTE(SUBSTITUTE(SUBSTITUTE(N383," ",""),"0",""),"-",""))+LEN(SUBSTITUTE(SUBSTITUTE(SUBSTITUTE(M384," ",""),"0",""),"-",""))+LEN(SUBSTITUTE(SUBSTITUTE(SUBSTITUTE(N384," ",""),"0",""),"-",""))+LEN(SUBSTITUTE(SUBSTITUTE(SUBSTITUTE(M385," ",""),"0",""),"-",""))+LEN(SUBSTITUTE(SUBSTITUTE(SUBSTITUTE(N385," ",""),"0",""),"-",""))+LEN(SUBSTITUTE(SUBSTITUTE(SUBSTITUTE(M386," ",""),"0",""),"-",""))+LEN(SUBSTITUTE(SUBSTITUTE(SUBSTITUTE(N386," ",""),"0",""),"-",""))+LEN(SUBSTITUTE(SUBSTITUTE(SUBSTITUTE(M387," ",""),"0",""),"-",""))+LEN(SUBSTITUTE(SUBSTITUTE(SUBSTITUTE(N387," ",""),"0",""),"-",""))</f>
      </c>
      <c r="N390" s="14" t="str">
        <f>IF(UPPER(L383)="X",0,IF((LEN(SUBSTITUTE(SUBSTITUTE(SUBSTITUTE(M383," ",""),"0",""),"-",""))+LEN(SUBSTITUTE(SUBSTITUTE(SUBSTITUTE(N383," ",""),"0",""),"-","")))&gt;(LEN(SUBSTITUTE(SUBSTITUTE(SUBSTITUTE(J383," ",""),"0",""),"-",""))+LEN(SUBSTITUTE(SUBSTITUTE(SUBSTITUTE(K383," ",""),"0",""),"-",""))),1,0))+IF(UPPER(L384)="X",0,IF((LEN(SUBSTITUTE(SUBSTITUTE(SUBSTITUTE(M384," ",""),"0",""),"-",""))+LEN(SUBSTITUTE(SUBSTITUTE(SUBSTITUTE(N384," ",""),"0",""),"-","")))&gt;(LEN(SUBSTITUTE(SUBSTITUTE(SUBSTITUTE(J384," ",""),"0",""),"-",""))+LEN(SUBSTITUTE(SUBSTITUTE(SUBSTITUTE(K384," ",""),"0",""),"-",""))),1,0))+IF(UPPER(L385)="X",0,IF((LEN(SUBSTITUTE(SUBSTITUTE(SUBSTITUTE(M385," ",""),"0",""),"-",""))+LEN(SUBSTITUTE(SUBSTITUTE(SUBSTITUTE(N385," ",""),"0",""),"-","")))&gt;(LEN(SUBSTITUTE(SUBSTITUTE(SUBSTITUTE(J385," ",""),"0",""),"-",""))+LEN(SUBSTITUTE(SUBSTITUTE(SUBSTITUTE(K385," ",""),"0",""),"-",""))),1,0))+IF(UPPER(L386)="X",0,IF((LEN(SUBSTITUTE(SUBSTITUTE(SUBSTITUTE(M386," ",""),"0",""),"-",""))+LEN(SUBSTITUTE(SUBSTITUTE(SUBSTITUTE(N386," ",""),"0",""),"-","")))&gt;(LEN(SUBSTITUTE(SUBSTITUTE(SUBSTITUTE(J386," ",""),"0",""),"-",""))+LEN(SUBSTITUTE(SUBSTITUTE(SUBSTITUTE(K386," ",""),"0",""),"-",""))),1,0))+IF(UPPER(L387)="X",0,IF((LEN(SUBSTITUTE(SUBSTITUTE(SUBSTITUTE(M387," ",""),"0",""),"-",""))+LEN(SUBSTITUTE(SUBSTITUTE(SUBSTITUTE(N387," ",""),"0",""),"-","")))&gt;(LEN(SUBSTITUTE(SUBSTITUTE(SUBSTITUTE(J387," ",""),"0",""),"-",""))+LEN(SUBSTITUTE(SUBSTITUTE(SUBSTITUTE(K387," ",""),"0",""),"-",""))),1,0))</f>
      </c>
      <c r="O390" s="14" t="s">
        <v>349</v>
      </c>
    </row>
    <row r="393">
      <c r="F393" t="s">
        <v>345</v>
      </c>
      <c r="G393" s="19"/>
      <c r="N393" t="s">
        <v>345</v>
      </c>
      <c r="O393" s="19"/>
    </row>
    <row r="394">
      <c r="F394" t="s">
        <v>346</v>
      </c>
      <c r="G394" s="19"/>
      <c r="N394" t="s">
        <v>346</v>
      </c>
      <c r="O394" s="19"/>
    </row>
    <row r="396">
      <c r="A396" s="13" t="s">
        <v>397</v>
      </c>
      <c r="B396" s="13"/>
      <c r="C396" s="13"/>
      <c r="D396" s="13"/>
      <c r="E396" s="13"/>
      <c r="F396" s="13"/>
      <c r="G396" s="13"/>
      <c r="I396" s="13" t="s">
        <v>398</v>
      </c>
      <c r="J396" s="13"/>
      <c r="K396" s="13"/>
      <c r="L396" s="13"/>
      <c r="M396" s="13"/>
      <c r="N396" s="13"/>
      <c r="O396" s="13"/>
    </row>
    <row r="397">
      <c r="A397" s="17" t="s">
        <v>331</v>
      </c>
      <c r="D397" s="14" t="s">
        <v>332</v>
      </c>
      <c r="G397" s="16" t="s">
        <v>333</v>
      </c>
      <c r="I397" s="17" t="s">
        <v>331</v>
      </c>
      <c r="L397" s="14" t="s">
        <v>332</v>
      </c>
      <c r="O397" s="16" t="s">
        <v>333</v>
      </c>
    </row>
    <row r="398">
      <c r="A398" s="14" t="str">
        <f>CONCATENATE("M 34 ",G308)</f>
      </c>
      <c r="B398" s="14"/>
      <c r="C398" s="14"/>
      <c r="D398" s="18"/>
      <c r="E398" s="14"/>
      <c r="F398" s="14"/>
      <c r="G398" s="14" t="str">
        <f>CONCATENATE("M 33 ",G292)</f>
      </c>
      <c r="I398" s="14" t="str">
        <f>CONCATENATE("M 42 ",O308)</f>
      </c>
      <c r="J398" s="14"/>
      <c r="K398" s="14"/>
      <c r="L398" s="18"/>
      <c r="M398" s="14"/>
      <c r="N398" s="14"/>
      <c r="O398" s="14" t="str">
        <f>CONCATENATE("M 41 ",O292)</f>
      </c>
    </row>
    <row r="399">
      <c r="A399" s="14">
        <v>1</v>
      </c>
      <c r="B399" s="18"/>
      <c r="C399" s="18"/>
      <c r="D399" s="18"/>
      <c r="E399" s="18"/>
      <c r="F399" s="18"/>
      <c r="G399" s="14">
        <v>1</v>
      </c>
      <c r="I399" s="14">
        <v>1</v>
      </c>
      <c r="J399" s="18"/>
      <c r="K399" s="18"/>
      <c r="L399" s="18"/>
      <c r="M399" s="18"/>
      <c r="N399" s="18"/>
      <c r="O399" s="14">
        <v>1</v>
      </c>
    </row>
    <row r="400">
      <c r="A400" s="14">
        <v>2</v>
      </c>
      <c r="B400" s="18"/>
      <c r="C400" s="18"/>
      <c r="D400" s="18"/>
      <c r="E400" s="18"/>
      <c r="F400" s="18"/>
      <c r="G400" s="14">
        <v>2</v>
      </c>
      <c r="I400" s="14">
        <v>2</v>
      </c>
      <c r="J400" s="18"/>
      <c r="K400" s="18"/>
      <c r="L400" s="18"/>
      <c r="M400" s="18"/>
      <c r="N400" s="18"/>
      <c r="O400" s="14">
        <v>2</v>
      </c>
    </row>
    <row r="401">
      <c r="A401" s="14">
        <v>3</v>
      </c>
      <c r="B401" s="18"/>
      <c r="C401" s="18"/>
      <c r="D401" s="18"/>
      <c r="E401" s="18"/>
      <c r="F401" s="18"/>
      <c r="G401" s="14">
        <v>3</v>
      </c>
      <c r="I401" s="14">
        <v>3</v>
      </c>
      <c r="J401" s="18"/>
      <c r="K401" s="18"/>
      <c r="L401" s="18"/>
      <c r="M401" s="18"/>
      <c r="N401" s="18"/>
      <c r="O401" s="14">
        <v>3</v>
      </c>
    </row>
    <row r="402">
      <c r="A402" s="14">
        <v>4</v>
      </c>
      <c r="B402" s="18"/>
      <c r="C402" s="18"/>
      <c r="D402" s="18"/>
      <c r="E402" s="18"/>
      <c r="F402" s="18"/>
      <c r="G402" s="14">
        <v>4</v>
      </c>
      <c r="I402" s="14">
        <v>4</v>
      </c>
      <c r="J402" s="18"/>
      <c r="K402" s="18"/>
      <c r="L402" s="18"/>
      <c r="M402" s="18"/>
      <c r="N402" s="18"/>
      <c r="O402" s="14">
        <v>4</v>
      </c>
    </row>
    <row r="403">
      <c r="A403" s="14">
        <v>5</v>
      </c>
      <c r="B403" s="18"/>
      <c r="C403" s="18"/>
      <c r="D403" s="18"/>
      <c r="E403" s="18"/>
      <c r="F403" s="18"/>
      <c r="G403" s="14">
        <v>5</v>
      </c>
      <c r="I403" s="14">
        <v>5</v>
      </c>
      <c r="J403" s="18"/>
      <c r="K403" s="18"/>
      <c r="L403" s="18"/>
      <c r="M403" s="18"/>
      <c r="N403" s="18"/>
      <c r="O403" s="14">
        <v>5</v>
      </c>
    </row>
    <row r="405">
      <c r="A405" s="14" t="str">
        <f>CONCATENATE("M 34 ",G308)</f>
      </c>
      <c r="B405" s="14" t="s">
        <v>339</v>
      </c>
      <c r="C405" s="14" t="s">
        <v>342</v>
      </c>
      <c r="D405" s="14"/>
      <c r="E405" s="14" t="s">
        <v>342</v>
      </c>
      <c r="F405" s="14" t="s">
        <v>339</v>
      </c>
      <c r="G405" s="14" t="str">
        <f>CONCATENATE("M 33 ",G292)</f>
      </c>
      <c r="I405" s="14" t="str">
        <f>CONCATENATE("M 42 ",O308)</f>
      </c>
      <c r="J405" s="14" t="s">
        <v>339</v>
      </c>
      <c r="K405" s="14" t="s">
        <v>342</v>
      </c>
      <c r="L405" s="14"/>
      <c r="M405" s="14" t="s">
        <v>342</v>
      </c>
      <c r="N405" s="14" t="s">
        <v>339</v>
      </c>
      <c r="O405" s="14" t="str">
        <f>CONCATENATE("M 41 ",O292)</f>
      </c>
    </row>
    <row r="406">
      <c r="A406" s="14" t="s">
        <v>349</v>
      </c>
      <c r="B406" s="14" t="str">
        <f>IF(UPPER(D399)="X",0,IF((LEN(SUBSTITUTE(SUBSTITUTE(SUBSTITUTE(B399," ",""),"0",""),"-",""))+LEN(SUBSTITUTE(SUBSTITUTE(SUBSTITUTE(C399," ",""),"0",""),"-","")))&gt;(LEN(SUBSTITUTE(SUBSTITUTE(SUBSTITUTE(E399," ",""),"0",""),"-",""))+LEN(SUBSTITUTE(SUBSTITUTE(SUBSTITUTE(F399," ",""),"0",""),"-",""))),1,0))+IF(UPPER(D400)="X",0,IF((LEN(SUBSTITUTE(SUBSTITUTE(SUBSTITUTE(B400," ",""),"0",""),"-",""))+LEN(SUBSTITUTE(SUBSTITUTE(SUBSTITUTE(C400," ",""),"0",""),"-","")))&gt;(LEN(SUBSTITUTE(SUBSTITUTE(SUBSTITUTE(E400," ",""),"0",""),"-",""))+LEN(SUBSTITUTE(SUBSTITUTE(SUBSTITUTE(F400," ",""),"0",""),"-",""))),1,0))+IF(UPPER(D401)="X",0,IF((LEN(SUBSTITUTE(SUBSTITUTE(SUBSTITUTE(B401," ",""),"0",""),"-",""))+LEN(SUBSTITUTE(SUBSTITUTE(SUBSTITUTE(C401," ",""),"0",""),"-","")))&gt;(LEN(SUBSTITUTE(SUBSTITUTE(SUBSTITUTE(E401," ",""),"0",""),"-",""))+LEN(SUBSTITUTE(SUBSTITUTE(SUBSTITUTE(F401," ",""),"0",""),"-",""))),1,0))+IF(UPPER(D402)="X",0,IF((LEN(SUBSTITUTE(SUBSTITUTE(SUBSTITUTE(B402," ",""),"0",""),"-",""))+LEN(SUBSTITUTE(SUBSTITUTE(SUBSTITUTE(C402," ",""),"0",""),"-","")))&gt;(LEN(SUBSTITUTE(SUBSTITUTE(SUBSTITUTE(E402," ",""),"0",""),"-",""))+LEN(SUBSTITUTE(SUBSTITUTE(SUBSTITUTE(F402," ",""),"0",""),"-",""))),1,0))+IF(UPPER(D403)="X",0,IF((LEN(SUBSTITUTE(SUBSTITUTE(SUBSTITUTE(B403," ",""),"0",""),"-",""))+LEN(SUBSTITUTE(SUBSTITUTE(SUBSTITUTE(C403," ",""),"0",""),"-","")))&gt;(LEN(SUBSTITUTE(SUBSTITUTE(SUBSTITUTE(E403," ",""),"0",""),"-",""))+LEN(SUBSTITUTE(SUBSTITUTE(SUBSTITUTE(F403," ",""),"0",""),"-",""))),1,0))</f>
      </c>
      <c r="C406" s="14" t="str">
        <f>LEN(SUBSTITUTE(SUBSTITUTE(SUBSTITUTE(B399," ",""),"0",""),"-",""))+LEN(SUBSTITUTE(SUBSTITUTE(SUBSTITUTE(C399," ",""),"0",""),"-",""))+LEN(SUBSTITUTE(SUBSTITUTE(SUBSTITUTE(B400," ",""),"0",""),"-",""))+LEN(SUBSTITUTE(SUBSTITUTE(SUBSTITUTE(C400," ",""),"0",""),"-",""))+LEN(SUBSTITUTE(SUBSTITUTE(SUBSTITUTE(B401," ",""),"0",""),"-",""))+LEN(SUBSTITUTE(SUBSTITUTE(SUBSTITUTE(C401," ",""),"0",""),"-",""))+LEN(SUBSTITUTE(SUBSTITUTE(SUBSTITUTE(B402," ",""),"0",""),"-",""))+LEN(SUBSTITUTE(SUBSTITUTE(SUBSTITUTE(C402," ",""),"0",""),"-",""))+LEN(SUBSTITUTE(SUBSTITUTE(SUBSTITUTE(B403," ",""),"0",""),"-",""))+LEN(SUBSTITUTE(SUBSTITUTE(SUBSTITUTE(C403," ",""),"0",""),"-",""))</f>
      </c>
      <c r="D406" s="14"/>
      <c r="E406" s="14" t="str">
        <f>LEN(SUBSTITUTE(SUBSTITUTE(SUBSTITUTE(E399," ",""),"0",""),"-",""))+LEN(SUBSTITUTE(SUBSTITUTE(SUBSTITUTE(F399," ",""),"0",""),"-",""))+LEN(SUBSTITUTE(SUBSTITUTE(SUBSTITUTE(E400," ",""),"0",""),"-",""))+LEN(SUBSTITUTE(SUBSTITUTE(SUBSTITUTE(F400," ",""),"0",""),"-",""))+LEN(SUBSTITUTE(SUBSTITUTE(SUBSTITUTE(E401," ",""),"0",""),"-",""))+LEN(SUBSTITUTE(SUBSTITUTE(SUBSTITUTE(F401," ",""),"0",""),"-",""))+LEN(SUBSTITUTE(SUBSTITUTE(SUBSTITUTE(E402," ",""),"0",""),"-",""))+LEN(SUBSTITUTE(SUBSTITUTE(SUBSTITUTE(F402," ",""),"0",""),"-",""))+LEN(SUBSTITUTE(SUBSTITUTE(SUBSTITUTE(E403," ",""),"0",""),"-",""))+LEN(SUBSTITUTE(SUBSTITUTE(SUBSTITUTE(F403," ",""),"0",""),"-",""))</f>
      </c>
      <c r="F406" s="14" t="str">
        <f>IF(UPPER(D399)="X",0,IF((LEN(SUBSTITUTE(SUBSTITUTE(SUBSTITUTE(E399," ",""),"0",""),"-",""))+LEN(SUBSTITUTE(SUBSTITUTE(SUBSTITUTE(F399," ",""),"0",""),"-","")))&gt;(LEN(SUBSTITUTE(SUBSTITUTE(SUBSTITUTE(B399," ",""),"0",""),"-",""))+LEN(SUBSTITUTE(SUBSTITUTE(SUBSTITUTE(C399," ",""),"0",""),"-",""))),1,0))+IF(UPPER(D400)="X",0,IF((LEN(SUBSTITUTE(SUBSTITUTE(SUBSTITUTE(E400," ",""),"0",""),"-",""))+LEN(SUBSTITUTE(SUBSTITUTE(SUBSTITUTE(F400," ",""),"0",""),"-","")))&gt;(LEN(SUBSTITUTE(SUBSTITUTE(SUBSTITUTE(B400," ",""),"0",""),"-",""))+LEN(SUBSTITUTE(SUBSTITUTE(SUBSTITUTE(C400," ",""),"0",""),"-",""))),1,0))+IF(UPPER(D401)="X",0,IF((LEN(SUBSTITUTE(SUBSTITUTE(SUBSTITUTE(E401," ",""),"0",""),"-",""))+LEN(SUBSTITUTE(SUBSTITUTE(SUBSTITUTE(F401," ",""),"0",""),"-","")))&gt;(LEN(SUBSTITUTE(SUBSTITUTE(SUBSTITUTE(B401," ",""),"0",""),"-",""))+LEN(SUBSTITUTE(SUBSTITUTE(SUBSTITUTE(C401," ",""),"0",""),"-",""))),1,0))+IF(UPPER(D402)="X",0,IF((LEN(SUBSTITUTE(SUBSTITUTE(SUBSTITUTE(E402," ",""),"0",""),"-",""))+LEN(SUBSTITUTE(SUBSTITUTE(SUBSTITUTE(F402," ",""),"0",""),"-","")))&gt;(LEN(SUBSTITUTE(SUBSTITUTE(SUBSTITUTE(B402," ",""),"0",""),"-",""))+LEN(SUBSTITUTE(SUBSTITUTE(SUBSTITUTE(C402," ",""),"0",""),"-",""))),1,0))+IF(UPPER(D403)="X",0,IF((LEN(SUBSTITUTE(SUBSTITUTE(SUBSTITUTE(E403," ",""),"0",""),"-",""))+LEN(SUBSTITUTE(SUBSTITUTE(SUBSTITUTE(F403," ",""),"0",""),"-","")))&gt;(LEN(SUBSTITUTE(SUBSTITUTE(SUBSTITUTE(B403," ",""),"0",""),"-",""))+LEN(SUBSTITUTE(SUBSTITUTE(SUBSTITUTE(C403," ",""),"0",""),"-",""))),1,0))</f>
      </c>
      <c r="G406" s="14" t="s">
        <v>349</v>
      </c>
      <c r="I406" s="14" t="s">
        <v>349</v>
      </c>
      <c r="J406" s="14" t="str">
        <f>IF(UPPER(L399)="X",0,IF((LEN(SUBSTITUTE(SUBSTITUTE(SUBSTITUTE(J399," ",""),"0",""),"-",""))+LEN(SUBSTITUTE(SUBSTITUTE(SUBSTITUTE(K399," ",""),"0",""),"-","")))&gt;(LEN(SUBSTITUTE(SUBSTITUTE(SUBSTITUTE(M399," ",""),"0",""),"-",""))+LEN(SUBSTITUTE(SUBSTITUTE(SUBSTITUTE(N399," ",""),"0",""),"-",""))),1,0))+IF(UPPER(L400)="X",0,IF((LEN(SUBSTITUTE(SUBSTITUTE(SUBSTITUTE(J400," ",""),"0",""),"-",""))+LEN(SUBSTITUTE(SUBSTITUTE(SUBSTITUTE(K400," ",""),"0",""),"-","")))&gt;(LEN(SUBSTITUTE(SUBSTITUTE(SUBSTITUTE(M400," ",""),"0",""),"-",""))+LEN(SUBSTITUTE(SUBSTITUTE(SUBSTITUTE(N400," ",""),"0",""),"-",""))),1,0))+IF(UPPER(L401)="X",0,IF((LEN(SUBSTITUTE(SUBSTITUTE(SUBSTITUTE(J401," ",""),"0",""),"-",""))+LEN(SUBSTITUTE(SUBSTITUTE(SUBSTITUTE(K401," ",""),"0",""),"-","")))&gt;(LEN(SUBSTITUTE(SUBSTITUTE(SUBSTITUTE(M401," ",""),"0",""),"-",""))+LEN(SUBSTITUTE(SUBSTITUTE(SUBSTITUTE(N401," ",""),"0",""),"-",""))),1,0))+IF(UPPER(L402)="X",0,IF((LEN(SUBSTITUTE(SUBSTITUTE(SUBSTITUTE(J402," ",""),"0",""),"-",""))+LEN(SUBSTITUTE(SUBSTITUTE(SUBSTITUTE(K402," ",""),"0",""),"-","")))&gt;(LEN(SUBSTITUTE(SUBSTITUTE(SUBSTITUTE(M402," ",""),"0",""),"-",""))+LEN(SUBSTITUTE(SUBSTITUTE(SUBSTITUTE(N402," ",""),"0",""),"-",""))),1,0))+IF(UPPER(L403)="X",0,IF((LEN(SUBSTITUTE(SUBSTITUTE(SUBSTITUTE(J403," ",""),"0",""),"-",""))+LEN(SUBSTITUTE(SUBSTITUTE(SUBSTITUTE(K403," ",""),"0",""),"-","")))&gt;(LEN(SUBSTITUTE(SUBSTITUTE(SUBSTITUTE(M403," ",""),"0",""),"-",""))+LEN(SUBSTITUTE(SUBSTITUTE(SUBSTITUTE(N403," ",""),"0",""),"-",""))),1,0))</f>
      </c>
      <c r="K406" s="14" t="str">
        <f>LEN(SUBSTITUTE(SUBSTITUTE(SUBSTITUTE(J399," ",""),"0",""),"-",""))+LEN(SUBSTITUTE(SUBSTITUTE(SUBSTITUTE(K399," ",""),"0",""),"-",""))+LEN(SUBSTITUTE(SUBSTITUTE(SUBSTITUTE(J400," ",""),"0",""),"-",""))+LEN(SUBSTITUTE(SUBSTITUTE(SUBSTITUTE(K400," ",""),"0",""),"-",""))+LEN(SUBSTITUTE(SUBSTITUTE(SUBSTITUTE(J401," ",""),"0",""),"-",""))+LEN(SUBSTITUTE(SUBSTITUTE(SUBSTITUTE(K401," ",""),"0",""),"-",""))+LEN(SUBSTITUTE(SUBSTITUTE(SUBSTITUTE(J402," ",""),"0",""),"-",""))+LEN(SUBSTITUTE(SUBSTITUTE(SUBSTITUTE(K402," ",""),"0",""),"-",""))+LEN(SUBSTITUTE(SUBSTITUTE(SUBSTITUTE(J403," ",""),"0",""),"-",""))+LEN(SUBSTITUTE(SUBSTITUTE(SUBSTITUTE(K403," ",""),"0",""),"-",""))</f>
      </c>
      <c r="L406" s="14"/>
      <c r="M406" s="14" t="str">
        <f>LEN(SUBSTITUTE(SUBSTITUTE(SUBSTITUTE(M399," ",""),"0",""),"-",""))+LEN(SUBSTITUTE(SUBSTITUTE(SUBSTITUTE(N399," ",""),"0",""),"-",""))+LEN(SUBSTITUTE(SUBSTITUTE(SUBSTITUTE(M400," ",""),"0",""),"-",""))+LEN(SUBSTITUTE(SUBSTITUTE(SUBSTITUTE(N400," ",""),"0",""),"-",""))+LEN(SUBSTITUTE(SUBSTITUTE(SUBSTITUTE(M401," ",""),"0",""),"-",""))+LEN(SUBSTITUTE(SUBSTITUTE(SUBSTITUTE(N401," ",""),"0",""),"-",""))+LEN(SUBSTITUTE(SUBSTITUTE(SUBSTITUTE(M402," ",""),"0",""),"-",""))+LEN(SUBSTITUTE(SUBSTITUTE(SUBSTITUTE(N402," ",""),"0",""),"-",""))+LEN(SUBSTITUTE(SUBSTITUTE(SUBSTITUTE(M403," ",""),"0",""),"-",""))+LEN(SUBSTITUTE(SUBSTITUTE(SUBSTITUTE(N403," ",""),"0",""),"-",""))</f>
      </c>
      <c r="N406" s="14" t="str">
        <f>IF(UPPER(L399)="X",0,IF((LEN(SUBSTITUTE(SUBSTITUTE(SUBSTITUTE(M399," ",""),"0",""),"-",""))+LEN(SUBSTITUTE(SUBSTITUTE(SUBSTITUTE(N399," ",""),"0",""),"-","")))&gt;(LEN(SUBSTITUTE(SUBSTITUTE(SUBSTITUTE(J399," ",""),"0",""),"-",""))+LEN(SUBSTITUTE(SUBSTITUTE(SUBSTITUTE(K399," ",""),"0",""),"-",""))),1,0))+IF(UPPER(L400)="X",0,IF((LEN(SUBSTITUTE(SUBSTITUTE(SUBSTITUTE(M400," ",""),"0",""),"-",""))+LEN(SUBSTITUTE(SUBSTITUTE(SUBSTITUTE(N400," ",""),"0",""),"-","")))&gt;(LEN(SUBSTITUTE(SUBSTITUTE(SUBSTITUTE(J400," ",""),"0",""),"-",""))+LEN(SUBSTITUTE(SUBSTITUTE(SUBSTITUTE(K400," ",""),"0",""),"-",""))),1,0))+IF(UPPER(L401)="X",0,IF((LEN(SUBSTITUTE(SUBSTITUTE(SUBSTITUTE(M401," ",""),"0",""),"-",""))+LEN(SUBSTITUTE(SUBSTITUTE(SUBSTITUTE(N401," ",""),"0",""),"-","")))&gt;(LEN(SUBSTITUTE(SUBSTITUTE(SUBSTITUTE(J401," ",""),"0",""),"-",""))+LEN(SUBSTITUTE(SUBSTITUTE(SUBSTITUTE(K401," ",""),"0",""),"-",""))),1,0))+IF(UPPER(L402)="X",0,IF((LEN(SUBSTITUTE(SUBSTITUTE(SUBSTITUTE(M402," ",""),"0",""),"-",""))+LEN(SUBSTITUTE(SUBSTITUTE(SUBSTITUTE(N402," ",""),"0",""),"-","")))&gt;(LEN(SUBSTITUTE(SUBSTITUTE(SUBSTITUTE(J402," ",""),"0",""),"-",""))+LEN(SUBSTITUTE(SUBSTITUTE(SUBSTITUTE(K402," ",""),"0",""),"-",""))),1,0))+IF(UPPER(L403)="X",0,IF((LEN(SUBSTITUTE(SUBSTITUTE(SUBSTITUTE(M403," ",""),"0",""),"-",""))+LEN(SUBSTITUTE(SUBSTITUTE(SUBSTITUTE(N403," ",""),"0",""),"-","")))&gt;(LEN(SUBSTITUTE(SUBSTITUTE(SUBSTITUTE(J403," ",""),"0",""),"-",""))+LEN(SUBSTITUTE(SUBSTITUTE(SUBSTITUTE(K403," ",""),"0",""),"-",""))),1,0))</f>
      </c>
      <c r="O406" s="14" t="s">
        <v>349</v>
      </c>
    </row>
    <row r="409">
      <c r="F409" t="s">
        <v>345</v>
      </c>
      <c r="G409" s="19"/>
      <c r="N409" t="s">
        <v>345</v>
      </c>
      <c r="O409" s="19"/>
    </row>
    <row r="410">
      <c r="F410" t="s">
        <v>346</v>
      </c>
      <c r="G410" s="19"/>
      <c r="N410" t="s">
        <v>346</v>
      </c>
      <c r="O410" s="19"/>
    </row>
    <row r="412">
      <c r="A412" s="13" t="s">
        <v>399</v>
      </c>
      <c r="B412" s="13"/>
      <c r="C412" s="13"/>
      <c r="D412" s="13"/>
      <c r="E412" s="13"/>
      <c r="F412" s="13"/>
      <c r="G412" s="13"/>
      <c r="I412" s="13" t="s">
        <v>400</v>
      </c>
      <c r="J412" s="13"/>
      <c r="K412" s="13"/>
      <c r="L412" s="13"/>
      <c r="M412" s="13"/>
      <c r="N412" s="13"/>
      <c r="O412" s="13"/>
    </row>
    <row r="413">
      <c r="A413" s="17" t="s">
        <v>331</v>
      </c>
      <c r="D413" s="14" t="s">
        <v>332</v>
      </c>
      <c r="G413" s="16" t="s">
        <v>333</v>
      </c>
      <c r="I413" s="17" t="s">
        <v>331</v>
      </c>
      <c r="L413" s="14" t="s">
        <v>332</v>
      </c>
      <c r="O413" s="16" t="s">
        <v>333</v>
      </c>
    </row>
    <row r="414">
      <c r="A414" s="14" t="str">
        <f>CONCATENATE("M 36 ",G340)</f>
      </c>
      <c r="B414" s="14"/>
      <c r="C414" s="14"/>
      <c r="D414" s="18"/>
      <c r="E414" s="14"/>
      <c r="F414" s="14"/>
      <c r="G414" s="14" t="str">
        <f>CONCATENATE("M 35 ",G324)</f>
      </c>
      <c r="I414" s="14" t="str">
        <f>CONCATENATE("M 44 ",O340)</f>
      </c>
      <c r="J414" s="14"/>
      <c r="K414" s="14"/>
      <c r="L414" s="18"/>
      <c r="M414" s="14"/>
      <c r="N414" s="14"/>
      <c r="O414" s="14" t="str">
        <f>CONCATENATE("M 43 ",O324)</f>
      </c>
    </row>
    <row r="415">
      <c r="A415" s="14">
        <v>1</v>
      </c>
      <c r="B415" s="18"/>
      <c r="C415" s="18"/>
      <c r="D415" s="18"/>
      <c r="E415" s="18"/>
      <c r="F415" s="18"/>
      <c r="G415" s="14">
        <v>1</v>
      </c>
      <c r="I415" s="14">
        <v>1</v>
      </c>
      <c r="J415" s="18"/>
      <c r="K415" s="18"/>
      <c r="L415" s="18"/>
      <c r="M415" s="18"/>
      <c r="N415" s="18"/>
      <c r="O415" s="14">
        <v>1</v>
      </c>
    </row>
    <row r="416">
      <c r="A416" s="14">
        <v>2</v>
      </c>
      <c r="B416" s="18"/>
      <c r="C416" s="18"/>
      <c r="D416" s="18"/>
      <c r="E416" s="18"/>
      <c r="F416" s="18"/>
      <c r="G416" s="14">
        <v>2</v>
      </c>
      <c r="I416" s="14">
        <v>2</v>
      </c>
      <c r="J416" s="18"/>
      <c r="K416" s="18"/>
      <c r="L416" s="18"/>
      <c r="M416" s="18"/>
      <c r="N416" s="18"/>
      <c r="O416" s="14">
        <v>2</v>
      </c>
    </row>
    <row r="417">
      <c r="A417" s="14">
        <v>3</v>
      </c>
      <c r="B417" s="18"/>
      <c r="C417" s="18"/>
      <c r="D417" s="18"/>
      <c r="E417" s="18"/>
      <c r="F417" s="18"/>
      <c r="G417" s="14">
        <v>3</v>
      </c>
      <c r="I417" s="14">
        <v>3</v>
      </c>
      <c r="J417" s="18"/>
      <c r="K417" s="18"/>
      <c r="L417" s="18"/>
      <c r="M417" s="18"/>
      <c r="N417" s="18"/>
      <c r="O417" s="14">
        <v>3</v>
      </c>
    </row>
    <row r="418">
      <c r="A418" s="14">
        <v>4</v>
      </c>
      <c r="B418" s="18"/>
      <c r="C418" s="18"/>
      <c r="D418" s="18"/>
      <c r="E418" s="18"/>
      <c r="F418" s="18"/>
      <c r="G418" s="14">
        <v>4</v>
      </c>
      <c r="I418" s="14">
        <v>4</v>
      </c>
      <c r="J418" s="18"/>
      <c r="K418" s="18"/>
      <c r="L418" s="18"/>
      <c r="M418" s="18"/>
      <c r="N418" s="18"/>
      <c r="O418" s="14">
        <v>4</v>
      </c>
    </row>
    <row r="419">
      <c r="A419" s="14">
        <v>5</v>
      </c>
      <c r="B419" s="18"/>
      <c r="C419" s="18"/>
      <c r="D419" s="18"/>
      <c r="E419" s="18"/>
      <c r="F419" s="18"/>
      <c r="G419" s="14">
        <v>5</v>
      </c>
      <c r="I419" s="14">
        <v>5</v>
      </c>
      <c r="J419" s="18"/>
      <c r="K419" s="18"/>
      <c r="L419" s="18"/>
      <c r="M419" s="18"/>
      <c r="N419" s="18"/>
      <c r="O419" s="14">
        <v>5</v>
      </c>
    </row>
    <row r="421">
      <c r="A421" s="14" t="str">
        <f>CONCATENATE("M 36 ",G340)</f>
      </c>
      <c r="B421" s="14" t="s">
        <v>339</v>
      </c>
      <c r="C421" s="14" t="s">
        <v>342</v>
      </c>
      <c r="D421" s="14"/>
      <c r="E421" s="14" t="s">
        <v>342</v>
      </c>
      <c r="F421" s="14" t="s">
        <v>339</v>
      </c>
      <c r="G421" s="14" t="str">
        <f>CONCATENATE("M 35 ",G324)</f>
      </c>
      <c r="I421" s="14" t="str">
        <f>CONCATENATE("M 44 ",O340)</f>
      </c>
      <c r="J421" s="14" t="s">
        <v>339</v>
      </c>
      <c r="K421" s="14" t="s">
        <v>342</v>
      </c>
      <c r="L421" s="14"/>
      <c r="M421" s="14" t="s">
        <v>342</v>
      </c>
      <c r="N421" s="14" t="s">
        <v>339</v>
      </c>
      <c r="O421" s="14" t="str">
        <f>CONCATENATE("M 43 ",O324)</f>
      </c>
    </row>
    <row r="422">
      <c r="A422" s="14" t="s">
        <v>349</v>
      </c>
      <c r="B422" s="14" t="str">
        <f>IF(UPPER(D415)="X",0,IF((LEN(SUBSTITUTE(SUBSTITUTE(SUBSTITUTE(B415," ",""),"0",""),"-",""))+LEN(SUBSTITUTE(SUBSTITUTE(SUBSTITUTE(C415," ",""),"0",""),"-","")))&gt;(LEN(SUBSTITUTE(SUBSTITUTE(SUBSTITUTE(E415," ",""),"0",""),"-",""))+LEN(SUBSTITUTE(SUBSTITUTE(SUBSTITUTE(F415," ",""),"0",""),"-",""))),1,0))+IF(UPPER(D416)="X",0,IF((LEN(SUBSTITUTE(SUBSTITUTE(SUBSTITUTE(B416," ",""),"0",""),"-",""))+LEN(SUBSTITUTE(SUBSTITUTE(SUBSTITUTE(C416," ",""),"0",""),"-","")))&gt;(LEN(SUBSTITUTE(SUBSTITUTE(SUBSTITUTE(E416," ",""),"0",""),"-",""))+LEN(SUBSTITUTE(SUBSTITUTE(SUBSTITUTE(F416," ",""),"0",""),"-",""))),1,0))+IF(UPPER(D417)="X",0,IF((LEN(SUBSTITUTE(SUBSTITUTE(SUBSTITUTE(B417," ",""),"0",""),"-",""))+LEN(SUBSTITUTE(SUBSTITUTE(SUBSTITUTE(C417," ",""),"0",""),"-","")))&gt;(LEN(SUBSTITUTE(SUBSTITUTE(SUBSTITUTE(E417," ",""),"0",""),"-",""))+LEN(SUBSTITUTE(SUBSTITUTE(SUBSTITUTE(F417," ",""),"0",""),"-",""))),1,0))+IF(UPPER(D418)="X",0,IF((LEN(SUBSTITUTE(SUBSTITUTE(SUBSTITUTE(B418," ",""),"0",""),"-",""))+LEN(SUBSTITUTE(SUBSTITUTE(SUBSTITUTE(C418," ",""),"0",""),"-","")))&gt;(LEN(SUBSTITUTE(SUBSTITUTE(SUBSTITUTE(E418," ",""),"0",""),"-",""))+LEN(SUBSTITUTE(SUBSTITUTE(SUBSTITUTE(F418," ",""),"0",""),"-",""))),1,0))+IF(UPPER(D419)="X",0,IF((LEN(SUBSTITUTE(SUBSTITUTE(SUBSTITUTE(B419," ",""),"0",""),"-",""))+LEN(SUBSTITUTE(SUBSTITUTE(SUBSTITUTE(C419," ",""),"0",""),"-","")))&gt;(LEN(SUBSTITUTE(SUBSTITUTE(SUBSTITUTE(E419," ",""),"0",""),"-",""))+LEN(SUBSTITUTE(SUBSTITUTE(SUBSTITUTE(F419," ",""),"0",""),"-",""))),1,0))</f>
      </c>
      <c r="C422" s="14" t="str">
        <f>LEN(SUBSTITUTE(SUBSTITUTE(SUBSTITUTE(B415," ",""),"0",""),"-",""))+LEN(SUBSTITUTE(SUBSTITUTE(SUBSTITUTE(C415," ",""),"0",""),"-",""))+LEN(SUBSTITUTE(SUBSTITUTE(SUBSTITUTE(B416," ",""),"0",""),"-",""))+LEN(SUBSTITUTE(SUBSTITUTE(SUBSTITUTE(C416," ",""),"0",""),"-",""))+LEN(SUBSTITUTE(SUBSTITUTE(SUBSTITUTE(B417," ",""),"0",""),"-",""))+LEN(SUBSTITUTE(SUBSTITUTE(SUBSTITUTE(C417," ",""),"0",""),"-",""))+LEN(SUBSTITUTE(SUBSTITUTE(SUBSTITUTE(B418," ",""),"0",""),"-",""))+LEN(SUBSTITUTE(SUBSTITUTE(SUBSTITUTE(C418," ",""),"0",""),"-",""))+LEN(SUBSTITUTE(SUBSTITUTE(SUBSTITUTE(B419," ",""),"0",""),"-",""))+LEN(SUBSTITUTE(SUBSTITUTE(SUBSTITUTE(C419," ",""),"0",""),"-",""))</f>
      </c>
      <c r="D422" s="14"/>
      <c r="E422" s="14" t="str">
        <f>LEN(SUBSTITUTE(SUBSTITUTE(SUBSTITUTE(E415," ",""),"0",""),"-",""))+LEN(SUBSTITUTE(SUBSTITUTE(SUBSTITUTE(F415," ",""),"0",""),"-",""))+LEN(SUBSTITUTE(SUBSTITUTE(SUBSTITUTE(E416," ",""),"0",""),"-",""))+LEN(SUBSTITUTE(SUBSTITUTE(SUBSTITUTE(F416," ",""),"0",""),"-",""))+LEN(SUBSTITUTE(SUBSTITUTE(SUBSTITUTE(E417," ",""),"0",""),"-",""))+LEN(SUBSTITUTE(SUBSTITUTE(SUBSTITUTE(F417," ",""),"0",""),"-",""))+LEN(SUBSTITUTE(SUBSTITUTE(SUBSTITUTE(E418," ",""),"0",""),"-",""))+LEN(SUBSTITUTE(SUBSTITUTE(SUBSTITUTE(F418," ",""),"0",""),"-",""))+LEN(SUBSTITUTE(SUBSTITUTE(SUBSTITUTE(E419," ",""),"0",""),"-",""))+LEN(SUBSTITUTE(SUBSTITUTE(SUBSTITUTE(F419," ",""),"0",""),"-",""))</f>
      </c>
      <c r="F422" s="14" t="str">
        <f>IF(UPPER(D415)="X",0,IF((LEN(SUBSTITUTE(SUBSTITUTE(SUBSTITUTE(E415," ",""),"0",""),"-",""))+LEN(SUBSTITUTE(SUBSTITUTE(SUBSTITUTE(F415," ",""),"0",""),"-","")))&gt;(LEN(SUBSTITUTE(SUBSTITUTE(SUBSTITUTE(B415," ",""),"0",""),"-",""))+LEN(SUBSTITUTE(SUBSTITUTE(SUBSTITUTE(C415," ",""),"0",""),"-",""))),1,0))+IF(UPPER(D416)="X",0,IF((LEN(SUBSTITUTE(SUBSTITUTE(SUBSTITUTE(E416," ",""),"0",""),"-",""))+LEN(SUBSTITUTE(SUBSTITUTE(SUBSTITUTE(F416," ",""),"0",""),"-","")))&gt;(LEN(SUBSTITUTE(SUBSTITUTE(SUBSTITUTE(B416," ",""),"0",""),"-",""))+LEN(SUBSTITUTE(SUBSTITUTE(SUBSTITUTE(C416," ",""),"0",""),"-",""))),1,0))+IF(UPPER(D417)="X",0,IF((LEN(SUBSTITUTE(SUBSTITUTE(SUBSTITUTE(E417," ",""),"0",""),"-",""))+LEN(SUBSTITUTE(SUBSTITUTE(SUBSTITUTE(F417," ",""),"0",""),"-","")))&gt;(LEN(SUBSTITUTE(SUBSTITUTE(SUBSTITUTE(B417," ",""),"0",""),"-",""))+LEN(SUBSTITUTE(SUBSTITUTE(SUBSTITUTE(C417," ",""),"0",""),"-",""))),1,0))+IF(UPPER(D418)="X",0,IF((LEN(SUBSTITUTE(SUBSTITUTE(SUBSTITUTE(E418," ",""),"0",""),"-",""))+LEN(SUBSTITUTE(SUBSTITUTE(SUBSTITUTE(F418," ",""),"0",""),"-","")))&gt;(LEN(SUBSTITUTE(SUBSTITUTE(SUBSTITUTE(B418," ",""),"0",""),"-",""))+LEN(SUBSTITUTE(SUBSTITUTE(SUBSTITUTE(C418," ",""),"0",""),"-",""))),1,0))+IF(UPPER(D419)="X",0,IF((LEN(SUBSTITUTE(SUBSTITUTE(SUBSTITUTE(E419," ",""),"0",""),"-",""))+LEN(SUBSTITUTE(SUBSTITUTE(SUBSTITUTE(F419," ",""),"0",""),"-","")))&gt;(LEN(SUBSTITUTE(SUBSTITUTE(SUBSTITUTE(B419," ",""),"0",""),"-",""))+LEN(SUBSTITUTE(SUBSTITUTE(SUBSTITUTE(C419," ",""),"0",""),"-",""))),1,0))</f>
      </c>
      <c r="G422" s="14" t="s">
        <v>349</v>
      </c>
      <c r="I422" s="14" t="s">
        <v>349</v>
      </c>
      <c r="J422" s="14" t="str">
        <f>IF(UPPER(L415)="X",0,IF((LEN(SUBSTITUTE(SUBSTITUTE(SUBSTITUTE(J415," ",""),"0",""),"-",""))+LEN(SUBSTITUTE(SUBSTITUTE(SUBSTITUTE(K415," ",""),"0",""),"-","")))&gt;(LEN(SUBSTITUTE(SUBSTITUTE(SUBSTITUTE(M415," ",""),"0",""),"-",""))+LEN(SUBSTITUTE(SUBSTITUTE(SUBSTITUTE(N415," ",""),"0",""),"-",""))),1,0))+IF(UPPER(L416)="X",0,IF((LEN(SUBSTITUTE(SUBSTITUTE(SUBSTITUTE(J416," ",""),"0",""),"-",""))+LEN(SUBSTITUTE(SUBSTITUTE(SUBSTITUTE(K416," ",""),"0",""),"-","")))&gt;(LEN(SUBSTITUTE(SUBSTITUTE(SUBSTITUTE(M416," ",""),"0",""),"-",""))+LEN(SUBSTITUTE(SUBSTITUTE(SUBSTITUTE(N416," ",""),"0",""),"-",""))),1,0))+IF(UPPER(L417)="X",0,IF((LEN(SUBSTITUTE(SUBSTITUTE(SUBSTITUTE(J417," ",""),"0",""),"-",""))+LEN(SUBSTITUTE(SUBSTITUTE(SUBSTITUTE(K417," ",""),"0",""),"-","")))&gt;(LEN(SUBSTITUTE(SUBSTITUTE(SUBSTITUTE(M417," ",""),"0",""),"-",""))+LEN(SUBSTITUTE(SUBSTITUTE(SUBSTITUTE(N417," ",""),"0",""),"-",""))),1,0))+IF(UPPER(L418)="X",0,IF((LEN(SUBSTITUTE(SUBSTITUTE(SUBSTITUTE(J418," ",""),"0",""),"-",""))+LEN(SUBSTITUTE(SUBSTITUTE(SUBSTITUTE(K418," ",""),"0",""),"-","")))&gt;(LEN(SUBSTITUTE(SUBSTITUTE(SUBSTITUTE(M418," ",""),"0",""),"-",""))+LEN(SUBSTITUTE(SUBSTITUTE(SUBSTITUTE(N418," ",""),"0",""),"-",""))),1,0))+IF(UPPER(L419)="X",0,IF((LEN(SUBSTITUTE(SUBSTITUTE(SUBSTITUTE(J419," ",""),"0",""),"-",""))+LEN(SUBSTITUTE(SUBSTITUTE(SUBSTITUTE(K419," ",""),"0",""),"-","")))&gt;(LEN(SUBSTITUTE(SUBSTITUTE(SUBSTITUTE(M419," ",""),"0",""),"-",""))+LEN(SUBSTITUTE(SUBSTITUTE(SUBSTITUTE(N419," ",""),"0",""),"-",""))),1,0))</f>
      </c>
      <c r="K422" s="14" t="str">
        <f>LEN(SUBSTITUTE(SUBSTITUTE(SUBSTITUTE(J415," ",""),"0",""),"-",""))+LEN(SUBSTITUTE(SUBSTITUTE(SUBSTITUTE(K415," ",""),"0",""),"-",""))+LEN(SUBSTITUTE(SUBSTITUTE(SUBSTITUTE(J416," ",""),"0",""),"-",""))+LEN(SUBSTITUTE(SUBSTITUTE(SUBSTITUTE(K416," ",""),"0",""),"-",""))+LEN(SUBSTITUTE(SUBSTITUTE(SUBSTITUTE(J417," ",""),"0",""),"-",""))+LEN(SUBSTITUTE(SUBSTITUTE(SUBSTITUTE(K417," ",""),"0",""),"-",""))+LEN(SUBSTITUTE(SUBSTITUTE(SUBSTITUTE(J418," ",""),"0",""),"-",""))+LEN(SUBSTITUTE(SUBSTITUTE(SUBSTITUTE(K418," ",""),"0",""),"-",""))+LEN(SUBSTITUTE(SUBSTITUTE(SUBSTITUTE(J419," ",""),"0",""),"-",""))+LEN(SUBSTITUTE(SUBSTITUTE(SUBSTITUTE(K419," ",""),"0",""),"-",""))</f>
      </c>
      <c r="L422" s="14"/>
      <c r="M422" s="14" t="str">
        <f>LEN(SUBSTITUTE(SUBSTITUTE(SUBSTITUTE(M415," ",""),"0",""),"-",""))+LEN(SUBSTITUTE(SUBSTITUTE(SUBSTITUTE(N415," ",""),"0",""),"-",""))+LEN(SUBSTITUTE(SUBSTITUTE(SUBSTITUTE(M416," ",""),"0",""),"-",""))+LEN(SUBSTITUTE(SUBSTITUTE(SUBSTITUTE(N416," ",""),"0",""),"-",""))+LEN(SUBSTITUTE(SUBSTITUTE(SUBSTITUTE(M417," ",""),"0",""),"-",""))+LEN(SUBSTITUTE(SUBSTITUTE(SUBSTITUTE(N417," ",""),"0",""),"-",""))+LEN(SUBSTITUTE(SUBSTITUTE(SUBSTITUTE(M418," ",""),"0",""),"-",""))+LEN(SUBSTITUTE(SUBSTITUTE(SUBSTITUTE(N418," ",""),"0",""),"-",""))+LEN(SUBSTITUTE(SUBSTITUTE(SUBSTITUTE(M419," ",""),"0",""),"-",""))+LEN(SUBSTITUTE(SUBSTITUTE(SUBSTITUTE(N419," ",""),"0",""),"-",""))</f>
      </c>
      <c r="N422" s="14" t="str">
        <f>IF(UPPER(L415)="X",0,IF((LEN(SUBSTITUTE(SUBSTITUTE(SUBSTITUTE(M415," ",""),"0",""),"-",""))+LEN(SUBSTITUTE(SUBSTITUTE(SUBSTITUTE(N415," ",""),"0",""),"-","")))&gt;(LEN(SUBSTITUTE(SUBSTITUTE(SUBSTITUTE(J415," ",""),"0",""),"-",""))+LEN(SUBSTITUTE(SUBSTITUTE(SUBSTITUTE(K415," ",""),"0",""),"-",""))),1,0))+IF(UPPER(L416)="X",0,IF((LEN(SUBSTITUTE(SUBSTITUTE(SUBSTITUTE(M416," ",""),"0",""),"-",""))+LEN(SUBSTITUTE(SUBSTITUTE(SUBSTITUTE(N416," ",""),"0",""),"-","")))&gt;(LEN(SUBSTITUTE(SUBSTITUTE(SUBSTITUTE(J416," ",""),"0",""),"-",""))+LEN(SUBSTITUTE(SUBSTITUTE(SUBSTITUTE(K416," ",""),"0",""),"-",""))),1,0))+IF(UPPER(L417)="X",0,IF((LEN(SUBSTITUTE(SUBSTITUTE(SUBSTITUTE(M417," ",""),"0",""),"-",""))+LEN(SUBSTITUTE(SUBSTITUTE(SUBSTITUTE(N417," ",""),"0",""),"-","")))&gt;(LEN(SUBSTITUTE(SUBSTITUTE(SUBSTITUTE(J417," ",""),"0",""),"-",""))+LEN(SUBSTITUTE(SUBSTITUTE(SUBSTITUTE(K417," ",""),"0",""),"-",""))),1,0))+IF(UPPER(L418)="X",0,IF((LEN(SUBSTITUTE(SUBSTITUTE(SUBSTITUTE(M418," ",""),"0",""),"-",""))+LEN(SUBSTITUTE(SUBSTITUTE(SUBSTITUTE(N418," ",""),"0",""),"-","")))&gt;(LEN(SUBSTITUTE(SUBSTITUTE(SUBSTITUTE(J418," ",""),"0",""),"-",""))+LEN(SUBSTITUTE(SUBSTITUTE(SUBSTITUTE(K418," ",""),"0",""),"-",""))),1,0))+IF(UPPER(L419)="X",0,IF((LEN(SUBSTITUTE(SUBSTITUTE(SUBSTITUTE(M419," ",""),"0",""),"-",""))+LEN(SUBSTITUTE(SUBSTITUTE(SUBSTITUTE(N419," ",""),"0",""),"-","")))&gt;(LEN(SUBSTITUTE(SUBSTITUTE(SUBSTITUTE(J419," ",""),"0",""),"-",""))+LEN(SUBSTITUTE(SUBSTITUTE(SUBSTITUTE(K419," ",""),"0",""),"-",""))),1,0))</f>
      </c>
      <c r="O422" s="14" t="s">
        <v>349</v>
      </c>
    </row>
    <row r="425">
      <c r="F425" t="s">
        <v>345</v>
      </c>
      <c r="G425" s="19"/>
      <c r="N425" t="s">
        <v>345</v>
      </c>
      <c r="O425" s="19"/>
    </row>
    <row r="426">
      <c r="F426" t="s">
        <v>346</v>
      </c>
      <c r="G426" s="19"/>
      <c r="N426" t="s">
        <v>346</v>
      </c>
      <c r="O426" s="19"/>
    </row>
    <row r="428">
      <c r="A428" s="13" t="s">
        <v>401</v>
      </c>
      <c r="B428" s="13"/>
      <c r="C428" s="13"/>
      <c r="D428" s="13"/>
      <c r="E428" s="13"/>
      <c r="F428" s="13"/>
      <c r="G428" s="13"/>
      <c r="I428" s="13" t="s">
        <v>402</v>
      </c>
      <c r="J428" s="13"/>
      <c r="K428" s="13"/>
      <c r="L428" s="13"/>
      <c r="M428" s="13"/>
      <c r="N428" s="13"/>
      <c r="O428" s="13"/>
    </row>
    <row r="429">
      <c r="A429" s="17" t="s">
        <v>331</v>
      </c>
      <c r="D429" s="14" t="s">
        <v>332</v>
      </c>
      <c r="G429" s="16" t="s">
        <v>333</v>
      </c>
      <c r="I429" s="17" t="s">
        <v>331</v>
      </c>
      <c r="L429" s="14" t="s">
        <v>332</v>
      </c>
      <c r="O429" s="16" t="s">
        <v>333</v>
      </c>
    </row>
    <row r="430">
      <c r="A430" s="14" t="str">
        <f>CONCATENATE("M 38 ",G372)</f>
      </c>
      <c r="B430" s="14"/>
      <c r="C430" s="14"/>
      <c r="D430" s="18"/>
      <c r="E430" s="14"/>
      <c r="F430" s="14"/>
      <c r="G430" s="14" t="str">
        <f>CONCATENATE("M 37 ",G356)</f>
      </c>
      <c r="I430" s="14" t="str">
        <f>CONCATENATE("M 46 ",O372)</f>
      </c>
      <c r="J430" s="14"/>
      <c r="K430" s="14"/>
      <c r="L430" s="18"/>
      <c r="M430" s="14"/>
      <c r="N430" s="14"/>
      <c r="O430" s="14" t="str">
        <f>CONCATENATE("M 45 ",O356)</f>
      </c>
    </row>
    <row r="431">
      <c r="A431" s="14">
        <v>1</v>
      </c>
      <c r="B431" s="18"/>
      <c r="C431" s="18"/>
      <c r="D431" s="18"/>
      <c r="E431" s="18"/>
      <c r="F431" s="18"/>
      <c r="G431" s="14">
        <v>1</v>
      </c>
      <c r="I431" s="14">
        <v>1</v>
      </c>
      <c r="J431" s="18"/>
      <c r="K431" s="18"/>
      <c r="L431" s="18"/>
      <c r="M431" s="18"/>
      <c r="N431" s="18"/>
      <c r="O431" s="14">
        <v>1</v>
      </c>
    </row>
    <row r="432">
      <c r="A432" s="14">
        <v>2</v>
      </c>
      <c r="B432" s="18"/>
      <c r="C432" s="18"/>
      <c r="D432" s="18"/>
      <c r="E432" s="18"/>
      <c r="F432" s="18"/>
      <c r="G432" s="14">
        <v>2</v>
      </c>
      <c r="I432" s="14">
        <v>2</v>
      </c>
      <c r="J432" s="18"/>
      <c r="K432" s="18"/>
      <c r="L432" s="18"/>
      <c r="M432" s="18"/>
      <c r="N432" s="18"/>
      <c r="O432" s="14">
        <v>2</v>
      </c>
    </row>
    <row r="433">
      <c r="A433" s="14">
        <v>3</v>
      </c>
      <c r="B433" s="18"/>
      <c r="C433" s="18"/>
      <c r="D433" s="18"/>
      <c r="E433" s="18"/>
      <c r="F433" s="18"/>
      <c r="G433" s="14">
        <v>3</v>
      </c>
      <c r="I433" s="14">
        <v>3</v>
      </c>
      <c r="J433" s="18"/>
      <c r="K433" s="18"/>
      <c r="L433" s="18"/>
      <c r="M433" s="18"/>
      <c r="N433" s="18"/>
      <c r="O433" s="14">
        <v>3</v>
      </c>
    </row>
    <row r="434">
      <c r="A434" s="14">
        <v>4</v>
      </c>
      <c r="B434" s="18"/>
      <c r="C434" s="18"/>
      <c r="D434" s="18"/>
      <c r="E434" s="18"/>
      <c r="F434" s="18"/>
      <c r="G434" s="14">
        <v>4</v>
      </c>
      <c r="I434" s="14">
        <v>4</v>
      </c>
      <c r="J434" s="18"/>
      <c r="K434" s="18"/>
      <c r="L434" s="18"/>
      <c r="M434" s="18"/>
      <c r="N434" s="18"/>
      <c r="O434" s="14">
        <v>4</v>
      </c>
    </row>
    <row r="435">
      <c r="A435" s="14">
        <v>5</v>
      </c>
      <c r="B435" s="18"/>
      <c r="C435" s="18"/>
      <c r="D435" s="18"/>
      <c r="E435" s="18"/>
      <c r="F435" s="18"/>
      <c r="G435" s="14">
        <v>5</v>
      </c>
      <c r="I435" s="14">
        <v>5</v>
      </c>
      <c r="J435" s="18"/>
      <c r="K435" s="18"/>
      <c r="L435" s="18"/>
      <c r="M435" s="18"/>
      <c r="N435" s="18"/>
      <c r="O435" s="14">
        <v>5</v>
      </c>
    </row>
    <row r="437">
      <c r="A437" s="14" t="str">
        <f>CONCATENATE("M 38 ",G372)</f>
      </c>
      <c r="B437" s="14" t="s">
        <v>339</v>
      </c>
      <c r="C437" s="14" t="s">
        <v>342</v>
      </c>
      <c r="D437" s="14"/>
      <c r="E437" s="14" t="s">
        <v>342</v>
      </c>
      <c r="F437" s="14" t="s">
        <v>339</v>
      </c>
      <c r="G437" s="14" t="str">
        <f>CONCATENATE("M 37 ",G356)</f>
      </c>
      <c r="I437" s="14" t="str">
        <f>CONCATENATE("M 46 ",O372)</f>
      </c>
      <c r="J437" s="14" t="s">
        <v>339</v>
      </c>
      <c r="K437" s="14" t="s">
        <v>342</v>
      </c>
      <c r="L437" s="14"/>
      <c r="M437" s="14" t="s">
        <v>342</v>
      </c>
      <c r="N437" s="14" t="s">
        <v>339</v>
      </c>
      <c r="O437" s="14" t="str">
        <f>CONCATENATE("M 45 ",O356)</f>
      </c>
    </row>
    <row r="438">
      <c r="A438" s="14" t="s">
        <v>349</v>
      </c>
      <c r="B438" s="14" t="str">
        <f>IF(UPPER(D431)="X",0,IF((LEN(SUBSTITUTE(SUBSTITUTE(SUBSTITUTE(B431," ",""),"0",""),"-",""))+LEN(SUBSTITUTE(SUBSTITUTE(SUBSTITUTE(C431," ",""),"0",""),"-","")))&gt;(LEN(SUBSTITUTE(SUBSTITUTE(SUBSTITUTE(E431," ",""),"0",""),"-",""))+LEN(SUBSTITUTE(SUBSTITUTE(SUBSTITUTE(F431," ",""),"0",""),"-",""))),1,0))+IF(UPPER(D432)="X",0,IF((LEN(SUBSTITUTE(SUBSTITUTE(SUBSTITUTE(B432," ",""),"0",""),"-",""))+LEN(SUBSTITUTE(SUBSTITUTE(SUBSTITUTE(C432," ",""),"0",""),"-","")))&gt;(LEN(SUBSTITUTE(SUBSTITUTE(SUBSTITUTE(E432," ",""),"0",""),"-",""))+LEN(SUBSTITUTE(SUBSTITUTE(SUBSTITUTE(F432," ",""),"0",""),"-",""))),1,0))+IF(UPPER(D433)="X",0,IF((LEN(SUBSTITUTE(SUBSTITUTE(SUBSTITUTE(B433," ",""),"0",""),"-",""))+LEN(SUBSTITUTE(SUBSTITUTE(SUBSTITUTE(C433," ",""),"0",""),"-","")))&gt;(LEN(SUBSTITUTE(SUBSTITUTE(SUBSTITUTE(E433," ",""),"0",""),"-",""))+LEN(SUBSTITUTE(SUBSTITUTE(SUBSTITUTE(F433," ",""),"0",""),"-",""))),1,0))+IF(UPPER(D434)="X",0,IF((LEN(SUBSTITUTE(SUBSTITUTE(SUBSTITUTE(B434," ",""),"0",""),"-",""))+LEN(SUBSTITUTE(SUBSTITUTE(SUBSTITUTE(C434," ",""),"0",""),"-","")))&gt;(LEN(SUBSTITUTE(SUBSTITUTE(SUBSTITUTE(E434," ",""),"0",""),"-",""))+LEN(SUBSTITUTE(SUBSTITUTE(SUBSTITUTE(F434," ",""),"0",""),"-",""))),1,0))+IF(UPPER(D435)="X",0,IF((LEN(SUBSTITUTE(SUBSTITUTE(SUBSTITUTE(B435," ",""),"0",""),"-",""))+LEN(SUBSTITUTE(SUBSTITUTE(SUBSTITUTE(C435," ",""),"0",""),"-","")))&gt;(LEN(SUBSTITUTE(SUBSTITUTE(SUBSTITUTE(E435," ",""),"0",""),"-",""))+LEN(SUBSTITUTE(SUBSTITUTE(SUBSTITUTE(F435," ",""),"0",""),"-",""))),1,0))</f>
      </c>
      <c r="C438" s="14" t="str">
        <f>LEN(SUBSTITUTE(SUBSTITUTE(SUBSTITUTE(B431," ",""),"0",""),"-",""))+LEN(SUBSTITUTE(SUBSTITUTE(SUBSTITUTE(C431," ",""),"0",""),"-",""))+LEN(SUBSTITUTE(SUBSTITUTE(SUBSTITUTE(B432," ",""),"0",""),"-",""))+LEN(SUBSTITUTE(SUBSTITUTE(SUBSTITUTE(C432," ",""),"0",""),"-",""))+LEN(SUBSTITUTE(SUBSTITUTE(SUBSTITUTE(B433," ",""),"0",""),"-",""))+LEN(SUBSTITUTE(SUBSTITUTE(SUBSTITUTE(C433," ",""),"0",""),"-",""))+LEN(SUBSTITUTE(SUBSTITUTE(SUBSTITUTE(B434," ",""),"0",""),"-",""))+LEN(SUBSTITUTE(SUBSTITUTE(SUBSTITUTE(C434," ",""),"0",""),"-",""))+LEN(SUBSTITUTE(SUBSTITUTE(SUBSTITUTE(B435," ",""),"0",""),"-",""))+LEN(SUBSTITUTE(SUBSTITUTE(SUBSTITUTE(C435," ",""),"0",""),"-",""))</f>
      </c>
      <c r="D438" s="14"/>
      <c r="E438" s="14" t="str">
        <f>LEN(SUBSTITUTE(SUBSTITUTE(SUBSTITUTE(E431," ",""),"0",""),"-",""))+LEN(SUBSTITUTE(SUBSTITUTE(SUBSTITUTE(F431," ",""),"0",""),"-",""))+LEN(SUBSTITUTE(SUBSTITUTE(SUBSTITUTE(E432," ",""),"0",""),"-",""))+LEN(SUBSTITUTE(SUBSTITUTE(SUBSTITUTE(F432," ",""),"0",""),"-",""))+LEN(SUBSTITUTE(SUBSTITUTE(SUBSTITUTE(E433," ",""),"0",""),"-",""))+LEN(SUBSTITUTE(SUBSTITUTE(SUBSTITUTE(F433," ",""),"0",""),"-",""))+LEN(SUBSTITUTE(SUBSTITUTE(SUBSTITUTE(E434," ",""),"0",""),"-",""))+LEN(SUBSTITUTE(SUBSTITUTE(SUBSTITUTE(F434," ",""),"0",""),"-",""))+LEN(SUBSTITUTE(SUBSTITUTE(SUBSTITUTE(E435," ",""),"0",""),"-",""))+LEN(SUBSTITUTE(SUBSTITUTE(SUBSTITUTE(F435," ",""),"0",""),"-",""))</f>
      </c>
      <c r="F438" s="14" t="str">
        <f>IF(UPPER(D431)="X",0,IF((LEN(SUBSTITUTE(SUBSTITUTE(SUBSTITUTE(E431," ",""),"0",""),"-",""))+LEN(SUBSTITUTE(SUBSTITUTE(SUBSTITUTE(F431," ",""),"0",""),"-","")))&gt;(LEN(SUBSTITUTE(SUBSTITUTE(SUBSTITUTE(B431," ",""),"0",""),"-",""))+LEN(SUBSTITUTE(SUBSTITUTE(SUBSTITUTE(C431," ",""),"0",""),"-",""))),1,0))+IF(UPPER(D432)="X",0,IF((LEN(SUBSTITUTE(SUBSTITUTE(SUBSTITUTE(E432," ",""),"0",""),"-",""))+LEN(SUBSTITUTE(SUBSTITUTE(SUBSTITUTE(F432," ",""),"0",""),"-","")))&gt;(LEN(SUBSTITUTE(SUBSTITUTE(SUBSTITUTE(B432," ",""),"0",""),"-",""))+LEN(SUBSTITUTE(SUBSTITUTE(SUBSTITUTE(C432," ",""),"0",""),"-",""))),1,0))+IF(UPPER(D433)="X",0,IF((LEN(SUBSTITUTE(SUBSTITUTE(SUBSTITUTE(E433," ",""),"0",""),"-",""))+LEN(SUBSTITUTE(SUBSTITUTE(SUBSTITUTE(F433," ",""),"0",""),"-","")))&gt;(LEN(SUBSTITUTE(SUBSTITUTE(SUBSTITUTE(B433," ",""),"0",""),"-",""))+LEN(SUBSTITUTE(SUBSTITUTE(SUBSTITUTE(C433," ",""),"0",""),"-",""))),1,0))+IF(UPPER(D434)="X",0,IF((LEN(SUBSTITUTE(SUBSTITUTE(SUBSTITUTE(E434," ",""),"0",""),"-",""))+LEN(SUBSTITUTE(SUBSTITUTE(SUBSTITUTE(F434," ",""),"0",""),"-","")))&gt;(LEN(SUBSTITUTE(SUBSTITUTE(SUBSTITUTE(B434," ",""),"0",""),"-",""))+LEN(SUBSTITUTE(SUBSTITUTE(SUBSTITUTE(C434," ",""),"0",""),"-",""))),1,0))+IF(UPPER(D435)="X",0,IF((LEN(SUBSTITUTE(SUBSTITUTE(SUBSTITUTE(E435," ",""),"0",""),"-",""))+LEN(SUBSTITUTE(SUBSTITUTE(SUBSTITUTE(F435," ",""),"0",""),"-","")))&gt;(LEN(SUBSTITUTE(SUBSTITUTE(SUBSTITUTE(B435," ",""),"0",""),"-",""))+LEN(SUBSTITUTE(SUBSTITUTE(SUBSTITUTE(C435," ",""),"0",""),"-",""))),1,0))</f>
      </c>
      <c r="G438" s="14" t="s">
        <v>349</v>
      </c>
      <c r="I438" s="14" t="s">
        <v>349</v>
      </c>
      <c r="J438" s="14" t="str">
        <f>IF(UPPER(L431)="X",0,IF((LEN(SUBSTITUTE(SUBSTITUTE(SUBSTITUTE(J431," ",""),"0",""),"-",""))+LEN(SUBSTITUTE(SUBSTITUTE(SUBSTITUTE(K431," ",""),"0",""),"-","")))&gt;(LEN(SUBSTITUTE(SUBSTITUTE(SUBSTITUTE(M431," ",""),"0",""),"-",""))+LEN(SUBSTITUTE(SUBSTITUTE(SUBSTITUTE(N431," ",""),"0",""),"-",""))),1,0))+IF(UPPER(L432)="X",0,IF((LEN(SUBSTITUTE(SUBSTITUTE(SUBSTITUTE(J432," ",""),"0",""),"-",""))+LEN(SUBSTITUTE(SUBSTITUTE(SUBSTITUTE(K432," ",""),"0",""),"-","")))&gt;(LEN(SUBSTITUTE(SUBSTITUTE(SUBSTITUTE(M432," ",""),"0",""),"-",""))+LEN(SUBSTITUTE(SUBSTITUTE(SUBSTITUTE(N432," ",""),"0",""),"-",""))),1,0))+IF(UPPER(L433)="X",0,IF((LEN(SUBSTITUTE(SUBSTITUTE(SUBSTITUTE(J433," ",""),"0",""),"-",""))+LEN(SUBSTITUTE(SUBSTITUTE(SUBSTITUTE(K433," ",""),"0",""),"-","")))&gt;(LEN(SUBSTITUTE(SUBSTITUTE(SUBSTITUTE(M433," ",""),"0",""),"-",""))+LEN(SUBSTITUTE(SUBSTITUTE(SUBSTITUTE(N433," ",""),"0",""),"-",""))),1,0))+IF(UPPER(L434)="X",0,IF((LEN(SUBSTITUTE(SUBSTITUTE(SUBSTITUTE(J434," ",""),"0",""),"-",""))+LEN(SUBSTITUTE(SUBSTITUTE(SUBSTITUTE(K434," ",""),"0",""),"-","")))&gt;(LEN(SUBSTITUTE(SUBSTITUTE(SUBSTITUTE(M434," ",""),"0",""),"-",""))+LEN(SUBSTITUTE(SUBSTITUTE(SUBSTITUTE(N434," ",""),"0",""),"-",""))),1,0))+IF(UPPER(L435)="X",0,IF((LEN(SUBSTITUTE(SUBSTITUTE(SUBSTITUTE(J435," ",""),"0",""),"-",""))+LEN(SUBSTITUTE(SUBSTITUTE(SUBSTITUTE(K435," ",""),"0",""),"-","")))&gt;(LEN(SUBSTITUTE(SUBSTITUTE(SUBSTITUTE(M435," ",""),"0",""),"-",""))+LEN(SUBSTITUTE(SUBSTITUTE(SUBSTITUTE(N435," ",""),"0",""),"-",""))),1,0))</f>
      </c>
      <c r="K438" s="14" t="str">
        <f>LEN(SUBSTITUTE(SUBSTITUTE(SUBSTITUTE(J431," ",""),"0",""),"-",""))+LEN(SUBSTITUTE(SUBSTITUTE(SUBSTITUTE(K431," ",""),"0",""),"-",""))+LEN(SUBSTITUTE(SUBSTITUTE(SUBSTITUTE(J432," ",""),"0",""),"-",""))+LEN(SUBSTITUTE(SUBSTITUTE(SUBSTITUTE(K432," ",""),"0",""),"-",""))+LEN(SUBSTITUTE(SUBSTITUTE(SUBSTITUTE(J433," ",""),"0",""),"-",""))+LEN(SUBSTITUTE(SUBSTITUTE(SUBSTITUTE(K433," ",""),"0",""),"-",""))+LEN(SUBSTITUTE(SUBSTITUTE(SUBSTITUTE(J434," ",""),"0",""),"-",""))+LEN(SUBSTITUTE(SUBSTITUTE(SUBSTITUTE(K434," ",""),"0",""),"-",""))+LEN(SUBSTITUTE(SUBSTITUTE(SUBSTITUTE(J435," ",""),"0",""),"-",""))+LEN(SUBSTITUTE(SUBSTITUTE(SUBSTITUTE(K435," ",""),"0",""),"-",""))</f>
      </c>
      <c r="L438" s="14"/>
      <c r="M438" s="14" t="str">
        <f>LEN(SUBSTITUTE(SUBSTITUTE(SUBSTITUTE(M431," ",""),"0",""),"-",""))+LEN(SUBSTITUTE(SUBSTITUTE(SUBSTITUTE(N431," ",""),"0",""),"-",""))+LEN(SUBSTITUTE(SUBSTITUTE(SUBSTITUTE(M432," ",""),"0",""),"-",""))+LEN(SUBSTITUTE(SUBSTITUTE(SUBSTITUTE(N432," ",""),"0",""),"-",""))+LEN(SUBSTITUTE(SUBSTITUTE(SUBSTITUTE(M433," ",""),"0",""),"-",""))+LEN(SUBSTITUTE(SUBSTITUTE(SUBSTITUTE(N433," ",""),"0",""),"-",""))+LEN(SUBSTITUTE(SUBSTITUTE(SUBSTITUTE(M434," ",""),"0",""),"-",""))+LEN(SUBSTITUTE(SUBSTITUTE(SUBSTITUTE(N434," ",""),"0",""),"-",""))+LEN(SUBSTITUTE(SUBSTITUTE(SUBSTITUTE(M435," ",""),"0",""),"-",""))+LEN(SUBSTITUTE(SUBSTITUTE(SUBSTITUTE(N435," ",""),"0",""),"-",""))</f>
      </c>
      <c r="N438" s="14" t="str">
        <f>IF(UPPER(L431)="X",0,IF((LEN(SUBSTITUTE(SUBSTITUTE(SUBSTITUTE(M431," ",""),"0",""),"-",""))+LEN(SUBSTITUTE(SUBSTITUTE(SUBSTITUTE(N431," ",""),"0",""),"-","")))&gt;(LEN(SUBSTITUTE(SUBSTITUTE(SUBSTITUTE(J431," ",""),"0",""),"-",""))+LEN(SUBSTITUTE(SUBSTITUTE(SUBSTITUTE(K431," ",""),"0",""),"-",""))),1,0))+IF(UPPER(L432)="X",0,IF((LEN(SUBSTITUTE(SUBSTITUTE(SUBSTITUTE(M432," ",""),"0",""),"-",""))+LEN(SUBSTITUTE(SUBSTITUTE(SUBSTITUTE(N432," ",""),"0",""),"-","")))&gt;(LEN(SUBSTITUTE(SUBSTITUTE(SUBSTITUTE(J432," ",""),"0",""),"-",""))+LEN(SUBSTITUTE(SUBSTITUTE(SUBSTITUTE(K432," ",""),"0",""),"-",""))),1,0))+IF(UPPER(L433)="X",0,IF((LEN(SUBSTITUTE(SUBSTITUTE(SUBSTITUTE(M433," ",""),"0",""),"-",""))+LEN(SUBSTITUTE(SUBSTITUTE(SUBSTITUTE(N433," ",""),"0",""),"-","")))&gt;(LEN(SUBSTITUTE(SUBSTITUTE(SUBSTITUTE(J433," ",""),"0",""),"-",""))+LEN(SUBSTITUTE(SUBSTITUTE(SUBSTITUTE(K433," ",""),"0",""),"-",""))),1,0))+IF(UPPER(L434)="X",0,IF((LEN(SUBSTITUTE(SUBSTITUTE(SUBSTITUTE(M434," ",""),"0",""),"-",""))+LEN(SUBSTITUTE(SUBSTITUTE(SUBSTITUTE(N434," ",""),"0",""),"-","")))&gt;(LEN(SUBSTITUTE(SUBSTITUTE(SUBSTITUTE(J434," ",""),"0",""),"-",""))+LEN(SUBSTITUTE(SUBSTITUTE(SUBSTITUTE(K434," ",""),"0",""),"-",""))),1,0))+IF(UPPER(L435)="X",0,IF((LEN(SUBSTITUTE(SUBSTITUTE(SUBSTITUTE(M435," ",""),"0",""),"-",""))+LEN(SUBSTITUTE(SUBSTITUTE(SUBSTITUTE(N435," ",""),"0",""),"-","")))&gt;(LEN(SUBSTITUTE(SUBSTITUTE(SUBSTITUTE(J435," ",""),"0",""),"-",""))+LEN(SUBSTITUTE(SUBSTITUTE(SUBSTITUTE(K435," ",""),"0",""),"-",""))),1,0))</f>
      </c>
      <c r="O438" s="14" t="s">
        <v>349</v>
      </c>
    </row>
    <row r="441">
      <c r="F441" t="s">
        <v>345</v>
      </c>
      <c r="G441" s="19"/>
      <c r="N441" t="s">
        <v>345</v>
      </c>
      <c r="O441" s="19"/>
    </row>
    <row r="442">
      <c r="F442" t="s">
        <v>346</v>
      </c>
      <c r="G442" s="19"/>
      <c r="N442" t="s">
        <v>346</v>
      </c>
      <c r="O442" s="19"/>
    </row>
    <row r="449">
      <c r="A449" s="13" t="s">
        <v>403</v>
      </c>
      <c r="B449" s="13"/>
      <c r="C449" s="13"/>
      <c r="D449" s="13"/>
      <c r="E449" s="13"/>
      <c r="F449" s="13"/>
      <c r="G449" s="13"/>
      <c r="I449" s="13" t="s">
        <v>404</v>
      </c>
      <c r="J449" s="13"/>
      <c r="K449" s="13"/>
      <c r="L449" s="13"/>
      <c r="M449" s="13"/>
      <c r="N449" s="13"/>
      <c r="O449" s="13"/>
    </row>
    <row r="450">
      <c r="A450" s="17" t="s">
        <v>331</v>
      </c>
      <c r="D450" s="14" t="s">
        <v>332</v>
      </c>
      <c r="G450" s="16" t="s">
        <v>333</v>
      </c>
      <c r="I450" s="17" t="s">
        <v>331</v>
      </c>
      <c r="L450" s="14" t="s">
        <v>332</v>
      </c>
      <c r="O450" s="16" t="s">
        <v>333</v>
      </c>
    </row>
    <row r="451">
      <c r="A451" s="14" t="str">
        <f>CONCATENATE("M 48 ",G409)</f>
      </c>
      <c r="B451" s="14"/>
      <c r="C451" s="14"/>
      <c r="D451" s="18"/>
      <c r="E451" s="14"/>
      <c r="F451" s="14"/>
      <c r="G451" s="14" t="str">
        <f>CONCATENATE("M 47 ",G393)</f>
      </c>
      <c r="I451" s="14" t="str">
        <f>CONCATENATE("M 52 ",O409)</f>
      </c>
      <c r="J451" s="14"/>
      <c r="K451" s="14"/>
      <c r="L451" s="18"/>
      <c r="M451" s="14"/>
      <c r="N451" s="14"/>
      <c r="O451" s="14" t="str">
        <f>CONCATENATE("M 51 ",O393)</f>
      </c>
    </row>
    <row r="452">
      <c r="A452" s="14">
        <v>1</v>
      </c>
      <c r="B452" s="18"/>
      <c r="C452" s="18"/>
      <c r="D452" s="18"/>
      <c r="E452" s="18"/>
      <c r="F452" s="18"/>
      <c r="G452" s="14">
        <v>1</v>
      </c>
      <c r="I452" s="14">
        <v>1</v>
      </c>
      <c r="J452" s="18"/>
      <c r="K452" s="18"/>
      <c r="L452" s="18"/>
      <c r="M452" s="18"/>
      <c r="N452" s="18"/>
      <c r="O452" s="14">
        <v>1</v>
      </c>
    </row>
    <row r="453">
      <c r="A453" s="14">
        <v>2</v>
      </c>
      <c r="B453" s="18"/>
      <c r="C453" s="18"/>
      <c r="D453" s="18"/>
      <c r="E453" s="18"/>
      <c r="F453" s="18"/>
      <c r="G453" s="14">
        <v>2</v>
      </c>
      <c r="I453" s="14">
        <v>2</v>
      </c>
      <c r="J453" s="18"/>
      <c r="K453" s="18"/>
      <c r="L453" s="18"/>
      <c r="M453" s="18"/>
      <c r="N453" s="18"/>
      <c r="O453" s="14">
        <v>2</v>
      </c>
    </row>
    <row r="454">
      <c r="A454" s="14">
        <v>3</v>
      </c>
      <c r="B454" s="18"/>
      <c r="C454" s="18"/>
      <c r="D454" s="18"/>
      <c r="E454" s="18"/>
      <c r="F454" s="18"/>
      <c r="G454" s="14">
        <v>3</v>
      </c>
      <c r="I454" s="14">
        <v>3</v>
      </c>
      <c r="J454" s="18"/>
      <c r="K454" s="18"/>
      <c r="L454" s="18"/>
      <c r="M454" s="18"/>
      <c r="N454" s="18"/>
      <c r="O454" s="14">
        <v>3</v>
      </c>
    </row>
    <row r="455">
      <c r="A455" s="14">
        <v>4</v>
      </c>
      <c r="B455" s="18"/>
      <c r="C455" s="18"/>
      <c r="D455" s="18"/>
      <c r="E455" s="18"/>
      <c r="F455" s="18"/>
      <c r="G455" s="14">
        <v>4</v>
      </c>
      <c r="I455" s="14">
        <v>4</v>
      </c>
      <c r="J455" s="18"/>
      <c r="K455" s="18"/>
      <c r="L455" s="18"/>
      <c r="M455" s="18"/>
      <c r="N455" s="18"/>
      <c r="O455" s="14">
        <v>4</v>
      </c>
    </row>
    <row r="456">
      <c r="A456" s="14">
        <v>5</v>
      </c>
      <c r="B456" s="18"/>
      <c r="C456" s="18"/>
      <c r="D456" s="18"/>
      <c r="E456" s="18"/>
      <c r="F456" s="18"/>
      <c r="G456" s="14">
        <v>5</v>
      </c>
      <c r="I456" s="14">
        <v>5</v>
      </c>
      <c r="J456" s="18"/>
      <c r="K456" s="18"/>
      <c r="L456" s="18"/>
      <c r="M456" s="18"/>
      <c r="N456" s="18"/>
      <c r="O456" s="14">
        <v>5</v>
      </c>
    </row>
    <row r="458">
      <c r="A458" s="14" t="str">
        <f>CONCATENATE("M 48 ",G409)</f>
      </c>
      <c r="B458" s="14" t="s">
        <v>339</v>
      </c>
      <c r="C458" s="14" t="s">
        <v>342</v>
      </c>
      <c r="D458" s="14"/>
      <c r="E458" s="14" t="s">
        <v>342</v>
      </c>
      <c r="F458" s="14" t="s">
        <v>339</v>
      </c>
      <c r="G458" s="14" t="str">
        <f>CONCATENATE("M 47 ",G393)</f>
      </c>
      <c r="I458" s="14" t="str">
        <f>CONCATENATE("M 52 ",O409)</f>
      </c>
      <c r="J458" s="14" t="s">
        <v>339</v>
      </c>
      <c r="K458" s="14" t="s">
        <v>342</v>
      </c>
      <c r="L458" s="14"/>
      <c r="M458" s="14" t="s">
        <v>342</v>
      </c>
      <c r="N458" s="14" t="s">
        <v>339</v>
      </c>
      <c r="O458" s="14" t="str">
        <f>CONCATENATE("M 51 ",O393)</f>
      </c>
    </row>
    <row r="459">
      <c r="A459" s="14" t="s">
        <v>349</v>
      </c>
      <c r="B459" s="14" t="str">
        <f>IF(UPPER(D452)="X",0,IF((LEN(SUBSTITUTE(SUBSTITUTE(SUBSTITUTE(B452," ",""),"0",""),"-",""))+LEN(SUBSTITUTE(SUBSTITUTE(SUBSTITUTE(C452," ",""),"0",""),"-","")))&gt;(LEN(SUBSTITUTE(SUBSTITUTE(SUBSTITUTE(E452," ",""),"0",""),"-",""))+LEN(SUBSTITUTE(SUBSTITUTE(SUBSTITUTE(F452," ",""),"0",""),"-",""))),1,0))+IF(UPPER(D453)="X",0,IF((LEN(SUBSTITUTE(SUBSTITUTE(SUBSTITUTE(B453," ",""),"0",""),"-",""))+LEN(SUBSTITUTE(SUBSTITUTE(SUBSTITUTE(C453," ",""),"0",""),"-","")))&gt;(LEN(SUBSTITUTE(SUBSTITUTE(SUBSTITUTE(E453," ",""),"0",""),"-",""))+LEN(SUBSTITUTE(SUBSTITUTE(SUBSTITUTE(F453," ",""),"0",""),"-",""))),1,0))+IF(UPPER(D454)="X",0,IF((LEN(SUBSTITUTE(SUBSTITUTE(SUBSTITUTE(B454," ",""),"0",""),"-",""))+LEN(SUBSTITUTE(SUBSTITUTE(SUBSTITUTE(C454," ",""),"0",""),"-","")))&gt;(LEN(SUBSTITUTE(SUBSTITUTE(SUBSTITUTE(E454," ",""),"0",""),"-",""))+LEN(SUBSTITUTE(SUBSTITUTE(SUBSTITUTE(F454," ",""),"0",""),"-",""))),1,0))+IF(UPPER(D455)="X",0,IF((LEN(SUBSTITUTE(SUBSTITUTE(SUBSTITUTE(B455," ",""),"0",""),"-",""))+LEN(SUBSTITUTE(SUBSTITUTE(SUBSTITUTE(C455," ",""),"0",""),"-","")))&gt;(LEN(SUBSTITUTE(SUBSTITUTE(SUBSTITUTE(E455," ",""),"0",""),"-",""))+LEN(SUBSTITUTE(SUBSTITUTE(SUBSTITUTE(F455," ",""),"0",""),"-",""))),1,0))+IF(UPPER(D456)="X",0,IF((LEN(SUBSTITUTE(SUBSTITUTE(SUBSTITUTE(B456," ",""),"0",""),"-",""))+LEN(SUBSTITUTE(SUBSTITUTE(SUBSTITUTE(C456," ",""),"0",""),"-","")))&gt;(LEN(SUBSTITUTE(SUBSTITUTE(SUBSTITUTE(E456," ",""),"0",""),"-",""))+LEN(SUBSTITUTE(SUBSTITUTE(SUBSTITUTE(F456," ",""),"0",""),"-",""))),1,0))</f>
      </c>
      <c r="C459" s="14" t="str">
        <f>LEN(SUBSTITUTE(SUBSTITUTE(SUBSTITUTE(B452," ",""),"0",""),"-",""))+LEN(SUBSTITUTE(SUBSTITUTE(SUBSTITUTE(C452," ",""),"0",""),"-",""))+LEN(SUBSTITUTE(SUBSTITUTE(SUBSTITUTE(B453," ",""),"0",""),"-",""))+LEN(SUBSTITUTE(SUBSTITUTE(SUBSTITUTE(C453," ",""),"0",""),"-",""))+LEN(SUBSTITUTE(SUBSTITUTE(SUBSTITUTE(B454," ",""),"0",""),"-",""))+LEN(SUBSTITUTE(SUBSTITUTE(SUBSTITUTE(C454," ",""),"0",""),"-",""))+LEN(SUBSTITUTE(SUBSTITUTE(SUBSTITUTE(B455," ",""),"0",""),"-",""))+LEN(SUBSTITUTE(SUBSTITUTE(SUBSTITUTE(C455," ",""),"0",""),"-",""))+LEN(SUBSTITUTE(SUBSTITUTE(SUBSTITUTE(B456," ",""),"0",""),"-",""))+LEN(SUBSTITUTE(SUBSTITUTE(SUBSTITUTE(C456," ",""),"0",""),"-",""))</f>
      </c>
      <c r="D459" s="14"/>
      <c r="E459" s="14" t="str">
        <f>LEN(SUBSTITUTE(SUBSTITUTE(SUBSTITUTE(E452," ",""),"0",""),"-",""))+LEN(SUBSTITUTE(SUBSTITUTE(SUBSTITUTE(F452," ",""),"0",""),"-",""))+LEN(SUBSTITUTE(SUBSTITUTE(SUBSTITUTE(E453," ",""),"0",""),"-",""))+LEN(SUBSTITUTE(SUBSTITUTE(SUBSTITUTE(F453," ",""),"0",""),"-",""))+LEN(SUBSTITUTE(SUBSTITUTE(SUBSTITUTE(E454," ",""),"0",""),"-",""))+LEN(SUBSTITUTE(SUBSTITUTE(SUBSTITUTE(F454," ",""),"0",""),"-",""))+LEN(SUBSTITUTE(SUBSTITUTE(SUBSTITUTE(E455," ",""),"0",""),"-",""))+LEN(SUBSTITUTE(SUBSTITUTE(SUBSTITUTE(F455," ",""),"0",""),"-",""))+LEN(SUBSTITUTE(SUBSTITUTE(SUBSTITUTE(E456," ",""),"0",""),"-",""))+LEN(SUBSTITUTE(SUBSTITUTE(SUBSTITUTE(F456," ",""),"0",""),"-",""))</f>
      </c>
      <c r="F459" s="14" t="str">
        <f>IF(UPPER(D452)="X",0,IF((LEN(SUBSTITUTE(SUBSTITUTE(SUBSTITUTE(E452," ",""),"0",""),"-",""))+LEN(SUBSTITUTE(SUBSTITUTE(SUBSTITUTE(F452," ",""),"0",""),"-","")))&gt;(LEN(SUBSTITUTE(SUBSTITUTE(SUBSTITUTE(B452," ",""),"0",""),"-",""))+LEN(SUBSTITUTE(SUBSTITUTE(SUBSTITUTE(C452," ",""),"0",""),"-",""))),1,0))+IF(UPPER(D453)="X",0,IF((LEN(SUBSTITUTE(SUBSTITUTE(SUBSTITUTE(E453," ",""),"0",""),"-",""))+LEN(SUBSTITUTE(SUBSTITUTE(SUBSTITUTE(F453," ",""),"0",""),"-","")))&gt;(LEN(SUBSTITUTE(SUBSTITUTE(SUBSTITUTE(B453," ",""),"0",""),"-",""))+LEN(SUBSTITUTE(SUBSTITUTE(SUBSTITUTE(C453," ",""),"0",""),"-",""))),1,0))+IF(UPPER(D454)="X",0,IF((LEN(SUBSTITUTE(SUBSTITUTE(SUBSTITUTE(E454," ",""),"0",""),"-",""))+LEN(SUBSTITUTE(SUBSTITUTE(SUBSTITUTE(F454," ",""),"0",""),"-","")))&gt;(LEN(SUBSTITUTE(SUBSTITUTE(SUBSTITUTE(B454," ",""),"0",""),"-",""))+LEN(SUBSTITUTE(SUBSTITUTE(SUBSTITUTE(C454," ",""),"0",""),"-",""))),1,0))+IF(UPPER(D455)="X",0,IF((LEN(SUBSTITUTE(SUBSTITUTE(SUBSTITUTE(E455," ",""),"0",""),"-",""))+LEN(SUBSTITUTE(SUBSTITUTE(SUBSTITUTE(F455," ",""),"0",""),"-","")))&gt;(LEN(SUBSTITUTE(SUBSTITUTE(SUBSTITUTE(B455," ",""),"0",""),"-",""))+LEN(SUBSTITUTE(SUBSTITUTE(SUBSTITUTE(C455," ",""),"0",""),"-",""))),1,0))+IF(UPPER(D456)="X",0,IF((LEN(SUBSTITUTE(SUBSTITUTE(SUBSTITUTE(E456," ",""),"0",""),"-",""))+LEN(SUBSTITUTE(SUBSTITUTE(SUBSTITUTE(F456," ",""),"0",""),"-","")))&gt;(LEN(SUBSTITUTE(SUBSTITUTE(SUBSTITUTE(B456," ",""),"0",""),"-",""))+LEN(SUBSTITUTE(SUBSTITUTE(SUBSTITUTE(C456," ",""),"0",""),"-",""))),1,0))</f>
      </c>
      <c r="G459" s="14" t="s">
        <v>349</v>
      </c>
      <c r="I459" s="14" t="s">
        <v>349</v>
      </c>
      <c r="J459" s="14" t="str">
        <f>IF(UPPER(L452)="X",0,IF((LEN(SUBSTITUTE(SUBSTITUTE(SUBSTITUTE(J452," ",""),"0",""),"-",""))+LEN(SUBSTITUTE(SUBSTITUTE(SUBSTITUTE(K452," ",""),"0",""),"-","")))&gt;(LEN(SUBSTITUTE(SUBSTITUTE(SUBSTITUTE(M452," ",""),"0",""),"-",""))+LEN(SUBSTITUTE(SUBSTITUTE(SUBSTITUTE(N452," ",""),"0",""),"-",""))),1,0))+IF(UPPER(L453)="X",0,IF((LEN(SUBSTITUTE(SUBSTITUTE(SUBSTITUTE(J453," ",""),"0",""),"-",""))+LEN(SUBSTITUTE(SUBSTITUTE(SUBSTITUTE(K453," ",""),"0",""),"-","")))&gt;(LEN(SUBSTITUTE(SUBSTITUTE(SUBSTITUTE(M453," ",""),"0",""),"-",""))+LEN(SUBSTITUTE(SUBSTITUTE(SUBSTITUTE(N453," ",""),"0",""),"-",""))),1,0))+IF(UPPER(L454)="X",0,IF((LEN(SUBSTITUTE(SUBSTITUTE(SUBSTITUTE(J454," ",""),"0",""),"-",""))+LEN(SUBSTITUTE(SUBSTITUTE(SUBSTITUTE(K454," ",""),"0",""),"-","")))&gt;(LEN(SUBSTITUTE(SUBSTITUTE(SUBSTITUTE(M454," ",""),"0",""),"-",""))+LEN(SUBSTITUTE(SUBSTITUTE(SUBSTITUTE(N454," ",""),"0",""),"-",""))),1,0))+IF(UPPER(L455)="X",0,IF((LEN(SUBSTITUTE(SUBSTITUTE(SUBSTITUTE(J455," ",""),"0",""),"-",""))+LEN(SUBSTITUTE(SUBSTITUTE(SUBSTITUTE(K455," ",""),"0",""),"-","")))&gt;(LEN(SUBSTITUTE(SUBSTITUTE(SUBSTITUTE(M455," ",""),"0",""),"-",""))+LEN(SUBSTITUTE(SUBSTITUTE(SUBSTITUTE(N455," ",""),"0",""),"-",""))),1,0))+IF(UPPER(L456)="X",0,IF((LEN(SUBSTITUTE(SUBSTITUTE(SUBSTITUTE(J456," ",""),"0",""),"-",""))+LEN(SUBSTITUTE(SUBSTITUTE(SUBSTITUTE(K456," ",""),"0",""),"-","")))&gt;(LEN(SUBSTITUTE(SUBSTITUTE(SUBSTITUTE(M456," ",""),"0",""),"-",""))+LEN(SUBSTITUTE(SUBSTITUTE(SUBSTITUTE(N456," ",""),"0",""),"-",""))),1,0))</f>
      </c>
      <c r="K459" s="14" t="str">
        <f>LEN(SUBSTITUTE(SUBSTITUTE(SUBSTITUTE(J452," ",""),"0",""),"-",""))+LEN(SUBSTITUTE(SUBSTITUTE(SUBSTITUTE(K452," ",""),"0",""),"-",""))+LEN(SUBSTITUTE(SUBSTITUTE(SUBSTITUTE(J453," ",""),"0",""),"-",""))+LEN(SUBSTITUTE(SUBSTITUTE(SUBSTITUTE(K453," ",""),"0",""),"-",""))+LEN(SUBSTITUTE(SUBSTITUTE(SUBSTITUTE(J454," ",""),"0",""),"-",""))+LEN(SUBSTITUTE(SUBSTITUTE(SUBSTITUTE(K454," ",""),"0",""),"-",""))+LEN(SUBSTITUTE(SUBSTITUTE(SUBSTITUTE(J455," ",""),"0",""),"-",""))+LEN(SUBSTITUTE(SUBSTITUTE(SUBSTITUTE(K455," ",""),"0",""),"-",""))+LEN(SUBSTITUTE(SUBSTITUTE(SUBSTITUTE(J456," ",""),"0",""),"-",""))+LEN(SUBSTITUTE(SUBSTITUTE(SUBSTITUTE(K456," ",""),"0",""),"-",""))</f>
      </c>
      <c r="L459" s="14"/>
      <c r="M459" s="14" t="str">
        <f>LEN(SUBSTITUTE(SUBSTITUTE(SUBSTITUTE(M452," ",""),"0",""),"-",""))+LEN(SUBSTITUTE(SUBSTITUTE(SUBSTITUTE(N452," ",""),"0",""),"-",""))+LEN(SUBSTITUTE(SUBSTITUTE(SUBSTITUTE(M453," ",""),"0",""),"-",""))+LEN(SUBSTITUTE(SUBSTITUTE(SUBSTITUTE(N453," ",""),"0",""),"-",""))+LEN(SUBSTITUTE(SUBSTITUTE(SUBSTITUTE(M454," ",""),"0",""),"-",""))+LEN(SUBSTITUTE(SUBSTITUTE(SUBSTITUTE(N454," ",""),"0",""),"-",""))+LEN(SUBSTITUTE(SUBSTITUTE(SUBSTITUTE(M455," ",""),"0",""),"-",""))+LEN(SUBSTITUTE(SUBSTITUTE(SUBSTITUTE(N455," ",""),"0",""),"-",""))+LEN(SUBSTITUTE(SUBSTITUTE(SUBSTITUTE(M456," ",""),"0",""),"-",""))+LEN(SUBSTITUTE(SUBSTITUTE(SUBSTITUTE(N456," ",""),"0",""),"-",""))</f>
      </c>
      <c r="N459" s="14" t="str">
        <f>IF(UPPER(L452)="X",0,IF((LEN(SUBSTITUTE(SUBSTITUTE(SUBSTITUTE(M452," ",""),"0",""),"-",""))+LEN(SUBSTITUTE(SUBSTITUTE(SUBSTITUTE(N452," ",""),"0",""),"-","")))&gt;(LEN(SUBSTITUTE(SUBSTITUTE(SUBSTITUTE(J452," ",""),"0",""),"-",""))+LEN(SUBSTITUTE(SUBSTITUTE(SUBSTITUTE(K452," ",""),"0",""),"-",""))),1,0))+IF(UPPER(L453)="X",0,IF((LEN(SUBSTITUTE(SUBSTITUTE(SUBSTITUTE(M453," ",""),"0",""),"-",""))+LEN(SUBSTITUTE(SUBSTITUTE(SUBSTITUTE(N453," ",""),"0",""),"-","")))&gt;(LEN(SUBSTITUTE(SUBSTITUTE(SUBSTITUTE(J453," ",""),"0",""),"-",""))+LEN(SUBSTITUTE(SUBSTITUTE(SUBSTITUTE(K453," ",""),"0",""),"-",""))),1,0))+IF(UPPER(L454)="X",0,IF((LEN(SUBSTITUTE(SUBSTITUTE(SUBSTITUTE(M454," ",""),"0",""),"-",""))+LEN(SUBSTITUTE(SUBSTITUTE(SUBSTITUTE(N454," ",""),"0",""),"-","")))&gt;(LEN(SUBSTITUTE(SUBSTITUTE(SUBSTITUTE(J454," ",""),"0",""),"-",""))+LEN(SUBSTITUTE(SUBSTITUTE(SUBSTITUTE(K454," ",""),"0",""),"-",""))),1,0))+IF(UPPER(L455)="X",0,IF((LEN(SUBSTITUTE(SUBSTITUTE(SUBSTITUTE(M455," ",""),"0",""),"-",""))+LEN(SUBSTITUTE(SUBSTITUTE(SUBSTITUTE(N455," ",""),"0",""),"-","")))&gt;(LEN(SUBSTITUTE(SUBSTITUTE(SUBSTITUTE(J455," ",""),"0",""),"-",""))+LEN(SUBSTITUTE(SUBSTITUTE(SUBSTITUTE(K455," ",""),"0",""),"-",""))),1,0))+IF(UPPER(L456)="X",0,IF((LEN(SUBSTITUTE(SUBSTITUTE(SUBSTITUTE(M456," ",""),"0",""),"-",""))+LEN(SUBSTITUTE(SUBSTITUTE(SUBSTITUTE(N456," ",""),"0",""),"-","")))&gt;(LEN(SUBSTITUTE(SUBSTITUTE(SUBSTITUTE(J456," ",""),"0",""),"-",""))+LEN(SUBSTITUTE(SUBSTITUTE(SUBSTITUTE(K456," ",""),"0",""),"-",""))),1,0))</f>
      </c>
      <c r="O459" s="14" t="s">
        <v>349</v>
      </c>
    </row>
    <row r="462">
      <c r="F462" t="s">
        <v>345</v>
      </c>
      <c r="G462" s="19"/>
      <c r="N462" t="s">
        <v>345</v>
      </c>
      <c r="O462" s="19"/>
    </row>
    <row r="463">
      <c r="F463" t="s">
        <v>346</v>
      </c>
      <c r="G463" s="19"/>
      <c r="N463" t="s">
        <v>346</v>
      </c>
      <c r="O463" s="19"/>
    </row>
    <row r="465">
      <c r="A465" s="13" t="s">
        <v>405</v>
      </c>
      <c r="B465" s="13"/>
      <c r="C465" s="13"/>
      <c r="D465" s="13"/>
      <c r="E465" s="13"/>
      <c r="F465" s="13"/>
      <c r="G465" s="13"/>
      <c r="I465" s="13" t="s">
        <v>406</v>
      </c>
      <c r="J465" s="13"/>
      <c r="K465" s="13"/>
      <c r="L465" s="13"/>
      <c r="M465" s="13"/>
      <c r="N465" s="13"/>
      <c r="O465" s="13"/>
    </row>
    <row r="466">
      <c r="A466" s="17" t="s">
        <v>331</v>
      </c>
      <c r="D466" s="14" t="s">
        <v>332</v>
      </c>
      <c r="G466" s="16" t="s">
        <v>333</v>
      </c>
      <c r="I466" s="17" t="s">
        <v>331</v>
      </c>
      <c r="L466" s="14" t="s">
        <v>332</v>
      </c>
      <c r="O466" s="16" t="s">
        <v>333</v>
      </c>
    </row>
    <row r="467">
      <c r="A467" s="14" t="str">
        <f>CONCATENATE("M 50 ",G441)</f>
      </c>
      <c r="B467" s="14"/>
      <c r="C467" s="14"/>
      <c r="D467" s="18"/>
      <c r="E467" s="14"/>
      <c r="F467" s="14"/>
      <c r="G467" s="14" t="str">
        <f>CONCATENATE("M 49 ",G425)</f>
      </c>
      <c r="I467" s="14" t="str">
        <f>CONCATENATE("M 54 ",O441)</f>
      </c>
      <c r="J467" s="14"/>
      <c r="K467" s="14"/>
      <c r="L467" s="18"/>
      <c r="M467" s="14"/>
      <c r="N467" s="14"/>
      <c r="O467" s="14" t="str">
        <f>CONCATENATE("M 53 ",O425)</f>
      </c>
    </row>
    <row r="468">
      <c r="A468" s="14">
        <v>1</v>
      </c>
      <c r="B468" s="18"/>
      <c r="C468" s="18"/>
      <c r="D468" s="18"/>
      <c r="E468" s="18"/>
      <c r="F468" s="18"/>
      <c r="G468" s="14">
        <v>1</v>
      </c>
      <c r="I468" s="14">
        <v>1</v>
      </c>
      <c r="J468" s="18"/>
      <c r="K468" s="18"/>
      <c r="L468" s="18"/>
      <c r="M468" s="18"/>
      <c r="N468" s="18"/>
      <c r="O468" s="14">
        <v>1</v>
      </c>
    </row>
    <row r="469">
      <c r="A469" s="14">
        <v>2</v>
      </c>
      <c r="B469" s="18"/>
      <c r="C469" s="18"/>
      <c r="D469" s="18"/>
      <c r="E469" s="18"/>
      <c r="F469" s="18"/>
      <c r="G469" s="14">
        <v>2</v>
      </c>
      <c r="I469" s="14">
        <v>2</v>
      </c>
      <c r="J469" s="18"/>
      <c r="K469" s="18"/>
      <c r="L469" s="18"/>
      <c r="M469" s="18"/>
      <c r="N469" s="18"/>
      <c r="O469" s="14">
        <v>2</v>
      </c>
    </row>
    <row r="470">
      <c r="A470" s="14">
        <v>3</v>
      </c>
      <c r="B470" s="18"/>
      <c r="C470" s="18"/>
      <c r="D470" s="18"/>
      <c r="E470" s="18"/>
      <c r="F470" s="18"/>
      <c r="G470" s="14">
        <v>3</v>
      </c>
      <c r="I470" s="14">
        <v>3</v>
      </c>
      <c r="J470" s="18"/>
      <c r="K470" s="18"/>
      <c r="L470" s="18"/>
      <c r="M470" s="18"/>
      <c r="N470" s="18"/>
      <c r="O470" s="14">
        <v>3</v>
      </c>
    </row>
    <row r="471">
      <c r="A471" s="14">
        <v>4</v>
      </c>
      <c r="B471" s="18"/>
      <c r="C471" s="18"/>
      <c r="D471" s="18"/>
      <c r="E471" s="18"/>
      <c r="F471" s="18"/>
      <c r="G471" s="14">
        <v>4</v>
      </c>
      <c r="I471" s="14">
        <v>4</v>
      </c>
      <c r="J471" s="18"/>
      <c r="K471" s="18"/>
      <c r="L471" s="18"/>
      <c r="M471" s="18"/>
      <c r="N471" s="18"/>
      <c r="O471" s="14">
        <v>4</v>
      </c>
    </row>
    <row r="472">
      <c r="A472" s="14">
        <v>5</v>
      </c>
      <c r="B472" s="18"/>
      <c r="C472" s="18"/>
      <c r="D472" s="18"/>
      <c r="E472" s="18"/>
      <c r="F472" s="18"/>
      <c r="G472" s="14">
        <v>5</v>
      </c>
      <c r="I472" s="14">
        <v>5</v>
      </c>
      <c r="J472" s="18"/>
      <c r="K472" s="18"/>
      <c r="L472" s="18"/>
      <c r="M472" s="18"/>
      <c r="N472" s="18"/>
      <c r="O472" s="14">
        <v>5</v>
      </c>
    </row>
    <row r="474">
      <c r="A474" s="14" t="str">
        <f>CONCATENATE("M 50 ",G441)</f>
      </c>
      <c r="B474" s="14" t="s">
        <v>339</v>
      </c>
      <c r="C474" s="14" t="s">
        <v>342</v>
      </c>
      <c r="D474" s="14"/>
      <c r="E474" s="14" t="s">
        <v>342</v>
      </c>
      <c r="F474" s="14" t="s">
        <v>339</v>
      </c>
      <c r="G474" s="14" t="str">
        <f>CONCATENATE("M 49 ",G425)</f>
      </c>
      <c r="I474" s="14" t="str">
        <f>CONCATENATE("M 54 ",O441)</f>
      </c>
      <c r="J474" s="14" t="s">
        <v>339</v>
      </c>
      <c r="K474" s="14" t="s">
        <v>342</v>
      </c>
      <c r="L474" s="14"/>
      <c r="M474" s="14" t="s">
        <v>342</v>
      </c>
      <c r="N474" s="14" t="s">
        <v>339</v>
      </c>
      <c r="O474" s="14" t="str">
        <f>CONCATENATE("M 53 ",O425)</f>
      </c>
    </row>
    <row r="475">
      <c r="A475" s="14" t="s">
        <v>349</v>
      </c>
      <c r="B475" s="14" t="str">
        <f>IF(UPPER(D468)="X",0,IF((LEN(SUBSTITUTE(SUBSTITUTE(SUBSTITUTE(B468," ",""),"0",""),"-",""))+LEN(SUBSTITUTE(SUBSTITUTE(SUBSTITUTE(C468," ",""),"0",""),"-","")))&gt;(LEN(SUBSTITUTE(SUBSTITUTE(SUBSTITUTE(E468," ",""),"0",""),"-",""))+LEN(SUBSTITUTE(SUBSTITUTE(SUBSTITUTE(F468," ",""),"0",""),"-",""))),1,0))+IF(UPPER(D469)="X",0,IF((LEN(SUBSTITUTE(SUBSTITUTE(SUBSTITUTE(B469," ",""),"0",""),"-",""))+LEN(SUBSTITUTE(SUBSTITUTE(SUBSTITUTE(C469," ",""),"0",""),"-","")))&gt;(LEN(SUBSTITUTE(SUBSTITUTE(SUBSTITUTE(E469," ",""),"0",""),"-",""))+LEN(SUBSTITUTE(SUBSTITUTE(SUBSTITUTE(F469," ",""),"0",""),"-",""))),1,0))+IF(UPPER(D470)="X",0,IF((LEN(SUBSTITUTE(SUBSTITUTE(SUBSTITUTE(B470," ",""),"0",""),"-",""))+LEN(SUBSTITUTE(SUBSTITUTE(SUBSTITUTE(C470," ",""),"0",""),"-","")))&gt;(LEN(SUBSTITUTE(SUBSTITUTE(SUBSTITUTE(E470," ",""),"0",""),"-",""))+LEN(SUBSTITUTE(SUBSTITUTE(SUBSTITUTE(F470," ",""),"0",""),"-",""))),1,0))+IF(UPPER(D471)="X",0,IF((LEN(SUBSTITUTE(SUBSTITUTE(SUBSTITUTE(B471," ",""),"0",""),"-",""))+LEN(SUBSTITUTE(SUBSTITUTE(SUBSTITUTE(C471," ",""),"0",""),"-","")))&gt;(LEN(SUBSTITUTE(SUBSTITUTE(SUBSTITUTE(E471," ",""),"0",""),"-",""))+LEN(SUBSTITUTE(SUBSTITUTE(SUBSTITUTE(F471," ",""),"0",""),"-",""))),1,0))+IF(UPPER(D472)="X",0,IF((LEN(SUBSTITUTE(SUBSTITUTE(SUBSTITUTE(B472," ",""),"0",""),"-",""))+LEN(SUBSTITUTE(SUBSTITUTE(SUBSTITUTE(C472," ",""),"0",""),"-","")))&gt;(LEN(SUBSTITUTE(SUBSTITUTE(SUBSTITUTE(E472," ",""),"0",""),"-",""))+LEN(SUBSTITUTE(SUBSTITUTE(SUBSTITUTE(F472," ",""),"0",""),"-",""))),1,0))</f>
      </c>
      <c r="C475" s="14" t="str">
        <f>LEN(SUBSTITUTE(SUBSTITUTE(SUBSTITUTE(B468," ",""),"0",""),"-",""))+LEN(SUBSTITUTE(SUBSTITUTE(SUBSTITUTE(C468," ",""),"0",""),"-",""))+LEN(SUBSTITUTE(SUBSTITUTE(SUBSTITUTE(B469," ",""),"0",""),"-",""))+LEN(SUBSTITUTE(SUBSTITUTE(SUBSTITUTE(C469," ",""),"0",""),"-",""))+LEN(SUBSTITUTE(SUBSTITUTE(SUBSTITUTE(B470," ",""),"0",""),"-",""))+LEN(SUBSTITUTE(SUBSTITUTE(SUBSTITUTE(C470," ",""),"0",""),"-",""))+LEN(SUBSTITUTE(SUBSTITUTE(SUBSTITUTE(B471," ",""),"0",""),"-",""))+LEN(SUBSTITUTE(SUBSTITUTE(SUBSTITUTE(C471," ",""),"0",""),"-",""))+LEN(SUBSTITUTE(SUBSTITUTE(SUBSTITUTE(B472," ",""),"0",""),"-",""))+LEN(SUBSTITUTE(SUBSTITUTE(SUBSTITUTE(C472," ",""),"0",""),"-",""))</f>
      </c>
      <c r="D475" s="14"/>
      <c r="E475" s="14" t="str">
        <f>LEN(SUBSTITUTE(SUBSTITUTE(SUBSTITUTE(E468," ",""),"0",""),"-",""))+LEN(SUBSTITUTE(SUBSTITUTE(SUBSTITUTE(F468," ",""),"0",""),"-",""))+LEN(SUBSTITUTE(SUBSTITUTE(SUBSTITUTE(E469," ",""),"0",""),"-",""))+LEN(SUBSTITUTE(SUBSTITUTE(SUBSTITUTE(F469," ",""),"0",""),"-",""))+LEN(SUBSTITUTE(SUBSTITUTE(SUBSTITUTE(E470," ",""),"0",""),"-",""))+LEN(SUBSTITUTE(SUBSTITUTE(SUBSTITUTE(F470," ",""),"0",""),"-",""))+LEN(SUBSTITUTE(SUBSTITUTE(SUBSTITUTE(E471," ",""),"0",""),"-",""))+LEN(SUBSTITUTE(SUBSTITUTE(SUBSTITUTE(F471," ",""),"0",""),"-",""))+LEN(SUBSTITUTE(SUBSTITUTE(SUBSTITUTE(E472," ",""),"0",""),"-",""))+LEN(SUBSTITUTE(SUBSTITUTE(SUBSTITUTE(F472," ",""),"0",""),"-",""))</f>
      </c>
      <c r="F475" s="14" t="str">
        <f>IF(UPPER(D468)="X",0,IF((LEN(SUBSTITUTE(SUBSTITUTE(SUBSTITUTE(E468," ",""),"0",""),"-",""))+LEN(SUBSTITUTE(SUBSTITUTE(SUBSTITUTE(F468," ",""),"0",""),"-","")))&gt;(LEN(SUBSTITUTE(SUBSTITUTE(SUBSTITUTE(B468," ",""),"0",""),"-",""))+LEN(SUBSTITUTE(SUBSTITUTE(SUBSTITUTE(C468," ",""),"0",""),"-",""))),1,0))+IF(UPPER(D469)="X",0,IF((LEN(SUBSTITUTE(SUBSTITUTE(SUBSTITUTE(E469," ",""),"0",""),"-",""))+LEN(SUBSTITUTE(SUBSTITUTE(SUBSTITUTE(F469," ",""),"0",""),"-","")))&gt;(LEN(SUBSTITUTE(SUBSTITUTE(SUBSTITUTE(B469," ",""),"0",""),"-",""))+LEN(SUBSTITUTE(SUBSTITUTE(SUBSTITUTE(C469," ",""),"0",""),"-",""))),1,0))+IF(UPPER(D470)="X",0,IF((LEN(SUBSTITUTE(SUBSTITUTE(SUBSTITUTE(E470," ",""),"0",""),"-",""))+LEN(SUBSTITUTE(SUBSTITUTE(SUBSTITUTE(F470," ",""),"0",""),"-","")))&gt;(LEN(SUBSTITUTE(SUBSTITUTE(SUBSTITUTE(B470," ",""),"0",""),"-",""))+LEN(SUBSTITUTE(SUBSTITUTE(SUBSTITUTE(C470," ",""),"0",""),"-",""))),1,0))+IF(UPPER(D471)="X",0,IF((LEN(SUBSTITUTE(SUBSTITUTE(SUBSTITUTE(E471," ",""),"0",""),"-",""))+LEN(SUBSTITUTE(SUBSTITUTE(SUBSTITUTE(F471," ",""),"0",""),"-","")))&gt;(LEN(SUBSTITUTE(SUBSTITUTE(SUBSTITUTE(B471," ",""),"0",""),"-",""))+LEN(SUBSTITUTE(SUBSTITUTE(SUBSTITUTE(C471," ",""),"0",""),"-",""))),1,0))+IF(UPPER(D472)="X",0,IF((LEN(SUBSTITUTE(SUBSTITUTE(SUBSTITUTE(E472," ",""),"0",""),"-",""))+LEN(SUBSTITUTE(SUBSTITUTE(SUBSTITUTE(F472," ",""),"0",""),"-","")))&gt;(LEN(SUBSTITUTE(SUBSTITUTE(SUBSTITUTE(B472," ",""),"0",""),"-",""))+LEN(SUBSTITUTE(SUBSTITUTE(SUBSTITUTE(C472," ",""),"0",""),"-",""))),1,0))</f>
      </c>
      <c r="G475" s="14" t="s">
        <v>349</v>
      </c>
      <c r="I475" s="14" t="s">
        <v>349</v>
      </c>
      <c r="J475" s="14" t="str">
        <f>IF(UPPER(L468)="X",0,IF((LEN(SUBSTITUTE(SUBSTITUTE(SUBSTITUTE(J468," ",""),"0",""),"-",""))+LEN(SUBSTITUTE(SUBSTITUTE(SUBSTITUTE(K468," ",""),"0",""),"-","")))&gt;(LEN(SUBSTITUTE(SUBSTITUTE(SUBSTITUTE(M468," ",""),"0",""),"-",""))+LEN(SUBSTITUTE(SUBSTITUTE(SUBSTITUTE(N468," ",""),"0",""),"-",""))),1,0))+IF(UPPER(L469)="X",0,IF((LEN(SUBSTITUTE(SUBSTITUTE(SUBSTITUTE(J469," ",""),"0",""),"-",""))+LEN(SUBSTITUTE(SUBSTITUTE(SUBSTITUTE(K469," ",""),"0",""),"-","")))&gt;(LEN(SUBSTITUTE(SUBSTITUTE(SUBSTITUTE(M469," ",""),"0",""),"-",""))+LEN(SUBSTITUTE(SUBSTITUTE(SUBSTITUTE(N469," ",""),"0",""),"-",""))),1,0))+IF(UPPER(L470)="X",0,IF((LEN(SUBSTITUTE(SUBSTITUTE(SUBSTITUTE(J470," ",""),"0",""),"-",""))+LEN(SUBSTITUTE(SUBSTITUTE(SUBSTITUTE(K470," ",""),"0",""),"-","")))&gt;(LEN(SUBSTITUTE(SUBSTITUTE(SUBSTITUTE(M470," ",""),"0",""),"-",""))+LEN(SUBSTITUTE(SUBSTITUTE(SUBSTITUTE(N470," ",""),"0",""),"-",""))),1,0))+IF(UPPER(L471)="X",0,IF((LEN(SUBSTITUTE(SUBSTITUTE(SUBSTITUTE(J471," ",""),"0",""),"-",""))+LEN(SUBSTITUTE(SUBSTITUTE(SUBSTITUTE(K471," ",""),"0",""),"-","")))&gt;(LEN(SUBSTITUTE(SUBSTITUTE(SUBSTITUTE(M471," ",""),"0",""),"-",""))+LEN(SUBSTITUTE(SUBSTITUTE(SUBSTITUTE(N471," ",""),"0",""),"-",""))),1,0))+IF(UPPER(L472)="X",0,IF((LEN(SUBSTITUTE(SUBSTITUTE(SUBSTITUTE(J472," ",""),"0",""),"-",""))+LEN(SUBSTITUTE(SUBSTITUTE(SUBSTITUTE(K472," ",""),"0",""),"-","")))&gt;(LEN(SUBSTITUTE(SUBSTITUTE(SUBSTITUTE(M472," ",""),"0",""),"-",""))+LEN(SUBSTITUTE(SUBSTITUTE(SUBSTITUTE(N472," ",""),"0",""),"-",""))),1,0))</f>
      </c>
      <c r="K475" s="14" t="str">
        <f>LEN(SUBSTITUTE(SUBSTITUTE(SUBSTITUTE(J468," ",""),"0",""),"-",""))+LEN(SUBSTITUTE(SUBSTITUTE(SUBSTITUTE(K468," ",""),"0",""),"-",""))+LEN(SUBSTITUTE(SUBSTITUTE(SUBSTITUTE(J469," ",""),"0",""),"-",""))+LEN(SUBSTITUTE(SUBSTITUTE(SUBSTITUTE(K469," ",""),"0",""),"-",""))+LEN(SUBSTITUTE(SUBSTITUTE(SUBSTITUTE(J470," ",""),"0",""),"-",""))+LEN(SUBSTITUTE(SUBSTITUTE(SUBSTITUTE(K470," ",""),"0",""),"-",""))+LEN(SUBSTITUTE(SUBSTITUTE(SUBSTITUTE(J471," ",""),"0",""),"-",""))+LEN(SUBSTITUTE(SUBSTITUTE(SUBSTITUTE(K471," ",""),"0",""),"-",""))+LEN(SUBSTITUTE(SUBSTITUTE(SUBSTITUTE(J472," ",""),"0",""),"-",""))+LEN(SUBSTITUTE(SUBSTITUTE(SUBSTITUTE(K472," ",""),"0",""),"-",""))</f>
      </c>
      <c r="L475" s="14"/>
      <c r="M475" s="14" t="str">
        <f>LEN(SUBSTITUTE(SUBSTITUTE(SUBSTITUTE(M468," ",""),"0",""),"-",""))+LEN(SUBSTITUTE(SUBSTITUTE(SUBSTITUTE(N468," ",""),"0",""),"-",""))+LEN(SUBSTITUTE(SUBSTITUTE(SUBSTITUTE(M469," ",""),"0",""),"-",""))+LEN(SUBSTITUTE(SUBSTITUTE(SUBSTITUTE(N469," ",""),"0",""),"-",""))+LEN(SUBSTITUTE(SUBSTITUTE(SUBSTITUTE(M470," ",""),"0",""),"-",""))+LEN(SUBSTITUTE(SUBSTITUTE(SUBSTITUTE(N470," ",""),"0",""),"-",""))+LEN(SUBSTITUTE(SUBSTITUTE(SUBSTITUTE(M471," ",""),"0",""),"-",""))+LEN(SUBSTITUTE(SUBSTITUTE(SUBSTITUTE(N471," ",""),"0",""),"-",""))+LEN(SUBSTITUTE(SUBSTITUTE(SUBSTITUTE(M472," ",""),"0",""),"-",""))+LEN(SUBSTITUTE(SUBSTITUTE(SUBSTITUTE(N472," ",""),"0",""),"-",""))</f>
      </c>
      <c r="N475" s="14" t="str">
        <f>IF(UPPER(L468)="X",0,IF((LEN(SUBSTITUTE(SUBSTITUTE(SUBSTITUTE(M468," ",""),"0",""),"-",""))+LEN(SUBSTITUTE(SUBSTITUTE(SUBSTITUTE(N468," ",""),"0",""),"-","")))&gt;(LEN(SUBSTITUTE(SUBSTITUTE(SUBSTITUTE(J468," ",""),"0",""),"-",""))+LEN(SUBSTITUTE(SUBSTITUTE(SUBSTITUTE(K468," ",""),"0",""),"-",""))),1,0))+IF(UPPER(L469)="X",0,IF((LEN(SUBSTITUTE(SUBSTITUTE(SUBSTITUTE(M469," ",""),"0",""),"-",""))+LEN(SUBSTITUTE(SUBSTITUTE(SUBSTITUTE(N469," ",""),"0",""),"-","")))&gt;(LEN(SUBSTITUTE(SUBSTITUTE(SUBSTITUTE(J469," ",""),"0",""),"-",""))+LEN(SUBSTITUTE(SUBSTITUTE(SUBSTITUTE(K469," ",""),"0",""),"-",""))),1,0))+IF(UPPER(L470)="X",0,IF((LEN(SUBSTITUTE(SUBSTITUTE(SUBSTITUTE(M470," ",""),"0",""),"-",""))+LEN(SUBSTITUTE(SUBSTITUTE(SUBSTITUTE(N470," ",""),"0",""),"-","")))&gt;(LEN(SUBSTITUTE(SUBSTITUTE(SUBSTITUTE(J470," ",""),"0",""),"-",""))+LEN(SUBSTITUTE(SUBSTITUTE(SUBSTITUTE(K470," ",""),"0",""),"-",""))),1,0))+IF(UPPER(L471)="X",0,IF((LEN(SUBSTITUTE(SUBSTITUTE(SUBSTITUTE(M471," ",""),"0",""),"-",""))+LEN(SUBSTITUTE(SUBSTITUTE(SUBSTITUTE(N471," ",""),"0",""),"-","")))&gt;(LEN(SUBSTITUTE(SUBSTITUTE(SUBSTITUTE(J471," ",""),"0",""),"-",""))+LEN(SUBSTITUTE(SUBSTITUTE(SUBSTITUTE(K471," ",""),"0",""),"-",""))),1,0))+IF(UPPER(L472)="X",0,IF((LEN(SUBSTITUTE(SUBSTITUTE(SUBSTITUTE(M472," ",""),"0",""),"-",""))+LEN(SUBSTITUTE(SUBSTITUTE(SUBSTITUTE(N472," ",""),"0",""),"-","")))&gt;(LEN(SUBSTITUTE(SUBSTITUTE(SUBSTITUTE(J472," ",""),"0",""),"-",""))+LEN(SUBSTITUTE(SUBSTITUTE(SUBSTITUTE(K472," ",""),"0",""),"-",""))),1,0))</f>
      </c>
      <c r="O475" s="14" t="s">
        <v>349</v>
      </c>
    </row>
    <row r="478">
      <c r="F478" t="s">
        <v>345</v>
      </c>
      <c r="G478" s="19"/>
      <c r="N478" t="s">
        <v>345</v>
      </c>
      <c r="O478" s="19"/>
    </row>
    <row r="479">
      <c r="F479" t="s">
        <v>346</v>
      </c>
      <c r="G479" s="19"/>
      <c r="N479" t="s">
        <v>346</v>
      </c>
      <c r="O479" s="19"/>
    </row>
    <row r="486">
      <c r="A486" s="13" t="s">
        <v>407</v>
      </c>
      <c r="B486" s="13"/>
      <c r="C486" s="13"/>
      <c r="D486" s="13"/>
      <c r="E486" s="13"/>
      <c r="F486" s="13"/>
      <c r="G486" s="13"/>
      <c r="I486" s="13" t="s">
        <v>408</v>
      </c>
      <c r="J486" s="13"/>
      <c r="K486" s="13"/>
      <c r="L486" s="13"/>
      <c r="M486" s="13"/>
      <c r="N486" s="13"/>
      <c r="O486" s="13"/>
    </row>
    <row r="487">
      <c r="A487" s="17" t="s">
        <v>331</v>
      </c>
      <c r="D487" s="14" t="s">
        <v>332</v>
      </c>
      <c r="G487" s="16" t="s">
        <v>333</v>
      </c>
      <c r="I487" s="17" t="s">
        <v>331</v>
      </c>
      <c r="L487" s="14" t="s">
        <v>332</v>
      </c>
      <c r="O487" s="16" t="s">
        <v>333</v>
      </c>
    </row>
    <row r="488">
      <c r="A488" s="14" t="str">
        <f>CONCATENATE("M 56 ",G478)</f>
      </c>
      <c r="B488" s="14"/>
      <c r="C488" s="14"/>
      <c r="D488" s="18"/>
      <c r="E488" s="14"/>
      <c r="F488" s="14"/>
      <c r="G488" s="14" t="str">
        <f>CONCATENATE("M 55 ",G462)</f>
      </c>
      <c r="I488" s="14" t="str">
        <f>CONCATENATE("M 58 ",O478)</f>
      </c>
      <c r="J488" s="14"/>
      <c r="K488" s="14"/>
      <c r="L488" s="18"/>
      <c r="M488" s="14"/>
      <c r="N488" s="14"/>
      <c r="O488" s="14" t="str">
        <f>CONCATENATE("M 57 ",O462)</f>
      </c>
    </row>
    <row r="489">
      <c r="A489" s="14">
        <v>1</v>
      </c>
      <c r="B489" s="18"/>
      <c r="C489" s="18"/>
      <c r="D489" s="18"/>
      <c r="E489" s="18"/>
      <c r="F489" s="18"/>
      <c r="G489" s="14">
        <v>1</v>
      </c>
      <c r="I489" s="14">
        <v>1</v>
      </c>
      <c r="J489" s="18"/>
      <c r="K489" s="18"/>
      <c r="L489" s="18"/>
      <c r="M489" s="18"/>
      <c r="N489" s="18"/>
      <c r="O489" s="14">
        <v>1</v>
      </c>
    </row>
    <row r="490">
      <c r="A490" s="14">
        <v>2</v>
      </c>
      <c r="B490" s="18"/>
      <c r="C490" s="18"/>
      <c r="D490" s="18"/>
      <c r="E490" s="18"/>
      <c r="F490" s="18"/>
      <c r="G490" s="14">
        <v>2</v>
      </c>
      <c r="I490" s="14">
        <v>2</v>
      </c>
      <c r="J490" s="18"/>
      <c r="K490" s="18"/>
      <c r="L490" s="18"/>
      <c r="M490" s="18"/>
      <c r="N490" s="18"/>
      <c r="O490" s="14">
        <v>2</v>
      </c>
    </row>
    <row r="491">
      <c r="A491" s="14">
        <v>3</v>
      </c>
      <c r="B491" s="18"/>
      <c r="C491" s="18"/>
      <c r="D491" s="18"/>
      <c r="E491" s="18"/>
      <c r="F491" s="18"/>
      <c r="G491" s="14">
        <v>3</v>
      </c>
      <c r="I491" s="14">
        <v>3</v>
      </c>
      <c r="J491" s="18"/>
      <c r="K491" s="18"/>
      <c r="L491" s="18"/>
      <c r="M491" s="18"/>
      <c r="N491" s="18"/>
      <c r="O491" s="14">
        <v>3</v>
      </c>
    </row>
    <row r="492">
      <c r="A492" s="14">
        <v>4</v>
      </c>
      <c r="B492" s="18"/>
      <c r="C492" s="18"/>
      <c r="D492" s="18"/>
      <c r="E492" s="18"/>
      <c r="F492" s="18"/>
      <c r="G492" s="14">
        <v>4</v>
      </c>
      <c r="I492" s="14">
        <v>4</v>
      </c>
      <c r="J492" s="18"/>
      <c r="K492" s="18"/>
      <c r="L492" s="18"/>
      <c r="M492" s="18"/>
      <c r="N492" s="18"/>
      <c r="O492" s="14">
        <v>4</v>
      </c>
    </row>
    <row r="493">
      <c r="A493" s="14">
        <v>5</v>
      </c>
      <c r="B493" s="18"/>
      <c r="C493" s="18"/>
      <c r="D493" s="18"/>
      <c r="E493" s="18"/>
      <c r="F493" s="18"/>
      <c r="G493" s="14">
        <v>5</v>
      </c>
      <c r="I493" s="14">
        <v>5</v>
      </c>
      <c r="J493" s="18"/>
      <c r="K493" s="18"/>
      <c r="L493" s="18"/>
      <c r="M493" s="18"/>
      <c r="N493" s="18"/>
      <c r="O493" s="14">
        <v>5</v>
      </c>
    </row>
    <row r="495">
      <c r="A495" s="14" t="str">
        <f>CONCATENATE("M 56 ",G478)</f>
      </c>
      <c r="B495" s="14" t="s">
        <v>339</v>
      </c>
      <c r="C495" s="14" t="s">
        <v>342</v>
      </c>
      <c r="D495" s="14"/>
      <c r="E495" s="14" t="s">
        <v>342</v>
      </c>
      <c r="F495" s="14" t="s">
        <v>339</v>
      </c>
      <c r="G495" s="14" t="str">
        <f>CONCATENATE("M 55 ",G462)</f>
      </c>
      <c r="I495" s="14" t="str">
        <f>CONCATENATE("M 58 ",O478)</f>
      </c>
      <c r="J495" s="14" t="s">
        <v>339</v>
      </c>
      <c r="K495" s="14" t="s">
        <v>342</v>
      </c>
      <c r="L495" s="14"/>
      <c r="M495" s="14" t="s">
        <v>342</v>
      </c>
      <c r="N495" s="14" t="s">
        <v>339</v>
      </c>
      <c r="O495" s="14" t="str">
        <f>CONCATENATE("M 57 ",O462)</f>
      </c>
    </row>
    <row r="496">
      <c r="A496" s="14" t="s">
        <v>349</v>
      </c>
      <c r="B496" s="14" t="str">
        <f>IF(UPPER(D489)="X",0,IF((LEN(SUBSTITUTE(SUBSTITUTE(SUBSTITUTE(B489," ",""),"0",""),"-",""))+LEN(SUBSTITUTE(SUBSTITUTE(SUBSTITUTE(C489," ",""),"0",""),"-","")))&gt;(LEN(SUBSTITUTE(SUBSTITUTE(SUBSTITUTE(E489," ",""),"0",""),"-",""))+LEN(SUBSTITUTE(SUBSTITUTE(SUBSTITUTE(F489," ",""),"0",""),"-",""))),1,0))+IF(UPPER(D490)="X",0,IF((LEN(SUBSTITUTE(SUBSTITUTE(SUBSTITUTE(B490," ",""),"0",""),"-",""))+LEN(SUBSTITUTE(SUBSTITUTE(SUBSTITUTE(C490," ",""),"0",""),"-","")))&gt;(LEN(SUBSTITUTE(SUBSTITUTE(SUBSTITUTE(E490," ",""),"0",""),"-",""))+LEN(SUBSTITUTE(SUBSTITUTE(SUBSTITUTE(F490," ",""),"0",""),"-",""))),1,0))+IF(UPPER(D491)="X",0,IF((LEN(SUBSTITUTE(SUBSTITUTE(SUBSTITUTE(B491," ",""),"0",""),"-",""))+LEN(SUBSTITUTE(SUBSTITUTE(SUBSTITUTE(C491," ",""),"0",""),"-","")))&gt;(LEN(SUBSTITUTE(SUBSTITUTE(SUBSTITUTE(E491," ",""),"0",""),"-",""))+LEN(SUBSTITUTE(SUBSTITUTE(SUBSTITUTE(F491," ",""),"0",""),"-",""))),1,0))+IF(UPPER(D492)="X",0,IF((LEN(SUBSTITUTE(SUBSTITUTE(SUBSTITUTE(B492," ",""),"0",""),"-",""))+LEN(SUBSTITUTE(SUBSTITUTE(SUBSTITUTE(C492," ",""),"0",""),"-","")))&gt;(LEN(SUBSTITUTE(SUBSTITUTE(SUBSTITUTE(E492," ",""),"0",""),"-",""))+LEN(SUBSTITUTE(SUBSTITUTE(SUBSTITUTE(F492," ",""),"0",""),"-",""))),1,0))+IF(UPPER(D493)="X",0,IF((LEN(SUBSTITUTE(SUBSTITUTE(SUBSTITUTE(B493," ",""),"0",""),"-",""))+LEN(SUBSTITUTE(SUBSTITUTE(SUBSTITUTE(C493," ",""),"0",""),"-","")))&gt;(LEN(SUBSTITUTE(SUBSTITUTE(SUBSTITUTE(E493," ",""),"0",""),"-",""))+LEN(SUBSTITUTE(SUBSTITUTE(SUBSTITUTE(F493," ",""),"0",""),"-",""))),1,0))</f>
      </c>
      <c r="C496" s="14" t="str">
        <f>LEN(SUBSTITUTE(SUBSTITUTE(SUBSTITUTE(B489," ",""),"0",""),"-",""))+LEN(SUBSTITUTE(SUBSTITUTE(SUBSTITUTE(C489," ",""),"0",""),"-",""))+LEN(SUBSTITUTE(SUBSTITUTE(SUBSTITUTE(B490," ",""),"0",""),"-",""))+LEN(SUBSTITUTE(SUBSTITUTE(SUBSTITUTE(C490," ",""),"0",""),"-",""))+LEN(SUBSTITUTE(SUBSTITUTE(SUBSTITUTE(B491," ",""),"0",""),"-",""))+LEN(SUBSTITUTE(SUBSTITUTE(SUBSTITUTE(C491," ",""),"0",""),"-",""))+LEN(SUBSTITUTE(SUBSTITUTE(SUBSTITUTE(B492," ",""),"0",""),"-",""))+LEN(SUBSTITUTE(SUBSTITUTE(SUBSTITUTE(C492," ",""),"0",""),"-",""))+LEN(SUBSTITUTE(SUBSTITUTE(SUBSTITUTE(B493," ",""),"0",""),"-",""))+LEN(SUBSTITUTE(SUBSTITUTE(SUBSTITUTE(C493," ",""),"0",""),"-",""))</f>
      </c>
      <c r="D496" s="14"/>
      <c r="E496" s="14" t="str">
        <f>LEN(SUBSTITUTE(SUBSTITUTE(SUBSTITUTE(E489," ",""),"0",""),"-",""))+LEN(SUBSTITUTE(SUBSTITUTE(SUBSTITUTE(F489," ",""),"0",""),"-",""))+LEN(SUBSTITUTE(SUBSTITUTE(SUBSTITUTE(E490," ",""),"0",""),"-",""))+LEN(SUBSTITUTE(SUBSTITUTE(SUBSTITUTE(F490," ",""),"0",""),"-",""))+LEN(SUBSTITUTE(SUBSTITUTE(SUBSTITUTE(E491," ",""),"0",""),"-",""))+LEN(SUBSTITUTE(SUBSTITUTE(SUBSTITUTE(F491," ",""),"0",""),"-",""))+LEN(SUBSTITUTE(SUBSTITUTE(SUBSTITUTE(E492," ",""),"0",""),"-",""))+LEN(SUBSTITUTE(SUBSTITUTE(SUBSTITUTE(F492," ",""),"0",""),"-",""))+LEN(SUBSTITUTE(SUBSTITUTE(SUBSTITUTE(E493," ",""),"0",""),"-",""))+LEN(SUBSTITUTE(SUBSTITUTE(SUBSTITUTE(F493," ",""),"0",""),"-",""))</f>
      </c>
      <c r="F496" s="14" t="str">
        <f>IF(UPPER(D489)="X",0,IF((LEN(SUBSTITUTE(SUBSTITUTE(SUBSTITUTE(E489," ",""),"0",""),"-",""))+LEN(SUBSTITUTE(SUBSTITUTE(SUBSTITUTE(F489," ",""),"0",""),"-","")))&gt;(LEN(SUBSTITUTE(SUBSTITUTE(SUBSTITUTE(B489," ",""),"0",""),"-",""))+LEN(SUBSTITUTE(SUBSTITUTE(SUBSTITUTE(C489," ",""),"0",""),"-",""))),1,0))+IF(UPPER(D490)="X",0,IF((LEN(SUBSTITUTE(SUBSTITUTE(SUBSTITUTE(E490," ",""),"0",""),"-",""))+LEN(SUBSTITUTE(SUBSTITUTE(SUBSTITUTE(F490," ",""),"0",""),"-","")))&gt;(LEN(SUBSTITUTE(SUBSTITUTE(SUBSTITUTE(B490," ",""),"0",""),"-",""))+LEN(SUBSTITUTE(SUBSTITUTE(SUBSTITUTE(C490," ",""),"0",""),"-",""))),1,0))+IF(UPPER(D491)="X",0,IF((LEN(SUBSTITUTE(SUBSTITUTE(SUBSTITUTE(E491," ",""),"0",""),"-",""))+LEN(SUBSTITUTE(SUBSTITUTE(SUBSTITUTE(F491," ",""),"0",""),"-","")))&gt;(LEN(SUBSTITUTE(SUBSTITUTE(SUBSTITUTE(B491," ",""),"0",""),"-",""))+LEN(SUBSTITUTE(SUBSTITUTE(SUBSTITUTE(C491," ",""),"0",""),"-",""))),1,0))+IF(UPPER(D492)="X",0,IF((LEN(SUBSTITUTE(SUBSTITUTE(SUBSTITUTE(E492," ",""),"0",""),"-",""))+LEN(SUBSTITUTE(SUBSTITUTE(SUBSTITUTE(F492," ",""),"0",""),"-","")))&gt;(LEN(SUBSTITUTE(SUBSTITUTE(SUBSTITUTE(B492," ",""),"0",""),"-",""))+LEN(SUBSTITUTE(SUBSTITUTE(SUBSTITUTE(C492," ",""),"0",""),"-",""))),1,0))+IF(UPPER(D493)="X",0,IF((LEN(SUBSTITUTE(SUBSTITUTE(SUBSTITUTE(E493," ",""),"0",""),"-",""))+LEN(SUBSTITUTE(SUBSTITUTE(SUBSTITUTE(F493," ",""),"0",""),"-","")))&gt;(LEN(SUBSTITUTE(SUBSTITUTE(SUBSTITUTE(B493," ",""),"0",""),"-",""))+LEN(SUBSTITUTE(SUBSTITUTE(SUBSTITUTE(C493," ",""),"0",""),"-",""))),1,0))</f>
      </c>
      <c r="G496" s="14" t="s">
        <v>349</v>
      </c>
      <c r="I496" s="14" t="s">
        <v>349</v>
      </c>
      <c r="J496" s="14" t="str">
        <f>IF(UPPER(L489)="X",0,IF((LEN(SUBSTITUTE(SUBSTITUTE(SUBSTITUTE(J489," ",""),"0",""),"-",""))+LEN(SUBSTITUTE(SUBSTITUTE(SUBSTITUTE(K489," ",""),"0",""),"-","")))&gt;(LEN(SUBSTITUTE(SUBSTITUTE(SUBSTITUTE(M489," ",""),"0",""),"-",""))+LEN(SUBSTITUTE(SUBSTITUTE(SUBSTITUTE(N489," ",""),"0",""),"-",""))),1,0))+IF(UPPER(L490)="X",0,IF((LEN(SUBSTITUTE(SUBSTITUTE(SUBSTITUTE(J490," ",""),"0",""),"-",""))+LEN(SUBSTITUTE(SUBSTITUTE(SUBSTITUTE(K490," ",""),"0",""),"-","")))&gt;(LEN(SUBSTITUTE(SUBSTITUTE(SUBSTITUTE(M490," ",""),"0",""),"-",""))+LEN(SUBSTITUTE(SUBSTITUTE(SUBSTITUTE(N490," ",""),"0",""),"-",""))),1,0))+IF(UPPER(L491)="X",0,IF((LEN(SUBSTITUTE(SUBSTITUTE(SUBSTITUTE(J491," ",""),"0",""),"-",""))+LEN(SUBSTITUTE(SUBSTITUTE(SUBSTITUTE(K491," ",""),"0",""),"-","")))&gt;(LEN(SUBSTITUTE(SUBSTITUTE(SUBSTITUTE(M491," ",""),"0",""),"-",""))+LEN(SUBSTITUTE(SUBSTITUTE(SUBSTITUTE(N491," ",""),"0",""),"-",""))),1,0))+IF(UPPER(L492)="X",0,IF((LEN(SUBSTITUTE(SUBSTITUTE(SUBSTITUTE(J492," ",""),"0",""),"-",""))+LEN(SUBSTITUTE(SUBSTITUTE(SUBSTITUTE(K492," ",""),"0",""),"-","")))&gt;(LEN(SUBSTITUTE(SUBSTITUTE(SUBSTITUTE(M492," ",""),"0",""),"-",""))+LEN(SUBSTITUTE(SUBSTITUTE(SUBSTITUTE(N492," ",""),"0",""),"-",""))),1,0))+IF(UPPER(L493)="X",0,IF((LEN(SUBSTITUTE(SUBSTITUTE(SUBSTITUTE(J493," ",""),"0",""),"-",""))+LEN(SUBSTITUTE(SUBSTITUTE(SUBSTITUTE(K493," ",""),"0",""),"-","")))&gt;(LEN(SUBSTITUTE(SUBSTITUTE(SUBSTITUTE(M493," ",""),"0",""),"-",""))+LEN(SUBSTITUTE(SUBSTITUTE(SUBSTITUTE(N493," ",""),"0",""),"-",""))),1,0))</f>
      </c>
      <c r="K496" s="14" t="str">
        <f>LEN(SUBSTITUTE(SUBSTITUTE(SUBSTITUTE(J489," ",""),"0",""),"-",""))+LEN(SUBSTITUTE(SUBSTITUTE(SUBSTITUTE(K489," ",""),"0",""),"-",""))+LEN(SUBSTITUTE(SUBSTITUTE(SUBSTITUTE(J490," ",""),"0",""),"-",""))+LEN(SUBSTITUTE(SUBSTITUTE(SUBSTITUTE(K490," ",""),"0",""),"-",""))+LEN(SUBSTITUTE(SUBSTITUTE(SUBSTITUTE(J491," ",""),"0",""),"-",""))+LEN(SUBSTITUTE(SUBSTITUTE(SUBSTITUTE(K491," ",""),"0",""),"-",""))+LEN(SUBSTITUTE(SUBSTITUTE(SUBSTITUTE(J492," ",""),"0",""),"-",""))+LEN(SUBSTITUTE(SUBSTITUTE(SUBSTITUTE(K492," ",""),"0",""),"-",""))+LEN(SUBSTITUTE(SUBSTITUTE(SUBSTITUTE(J493," ",""),"0",""),"-",""))+LEN(SUBSTITUTE(SUBSTITUTE(SUBSTITUTE(K493," ",""),"0",""),"-",""))</f>
      </c>
      <c r="L496" s="14"/>
      <c r="M496" s="14" t="str">
        <f>LEN(SUBSTITUTE(SUBSTITUTE(SUBSTITUTE(M489," ",""),"0",""),"-",""))+LEN(SUBSTITUTE(SUBSTITUTE(SUBSTITUTE(N489," ",""),"0",""),"-",""))+LEN(SUBSTITUTE(SUBSTITUTE(SUBSTITUTE(M490," ",""),"0",""),"-",""))+LEN(SUBSTITUTE(SUBSTITUTE(SUBSTITUTE(N490," ",""),"0",""),"-",""))+LEN(SUBSTITUTE(SUBSTITUTE(SUBSTITUTE(M491," ",""),"0",""),"-",""))+LEN(SUBSTITUTE(SUBSTITUTE(SUBSTITUTE(N491," ",""),"0",""),"-",""))+LEN(SUBSTITUTE(SUBSTITUTE(SUBSTITUTE(M492," ",""),"0",""),"-",""))+LEN(SUBSTITUTE(SUBSTITUTE(SUBSTITUTE(N492," ",""),"0",""),"-",""))+LEN(SUBSTITUTE(SUBSTITUTE(SUBSTITUTE(M493," ",""),"0",""),"-",""))+LEN(SUBSTITUTE(SUBSTITUTE(SUBSTITUTE(N493," ",""),"0",""),"-",""))</f>
      </c>
      <c r="N496" s="14" t="str">
        <f>IF(UPPER(L489)="X",0,IF((LEN(SUBSTITUTE(SUBSTITUTE(SUBSTITUTE(M489," ",""),"0",""),"-",""))+LEN(SUBSTITUTE(SUBSTITUTE(SUBSTITUTE(N489," ",""),"0",""),"-","")))&gt;(LEN(SUBSTITUTE(SUBSTITUTE(SUBSTITUTE(J489," ",""),"0",""),"-",""))+LEN(SUBSTITUTE(SUBSTITUTE(SUBSTITUTE(K489," ",""),"0",""),"-",""))),1,0))+IF(UPPER(L490)="X",0,IF((LEN(SUBSTITUTE(SUBSTITUTE(SUBSTITUTE(M490," ",""),"0",""),"-",""))+LEN(SUBSTITUTE(SUBSTITUTE(SUBSTITUTE(N490," ",""),"0",""),"-","")))&gt;(LEN(SUBSTITUTE(SUBSTITUTE(SUBSTITUTE(J490," ",""),"0",""),"-",""))+LEN(SUBSTITUTE(SUBSTITUTE(SUBSTITUTE(K490," ",""),"0",""),"-",""))),1,0))+IF(UPPER(L491)="X",0,IF((LEN(SUBSTITUTE(SUBSTITUTE(SUBSTITUTE(M491," ",""),"0",""),"-",""))+LEN(SUBSTITUTE(SUBSTITUTE(SUBSTITUTE(N491," ",""),"0",""),"-","")))&gt;(LEN(SUBSTITUTE(SUBSTITUTE(SUBSTITUTE(J491," ",""),"0",""),"-",""))+LEN(SUBSTITUTE(SUBSTITUTE(SUBSTITUTE(K491," ",""),"0",""),"-",""))),1,0))+IF(UPPER(L492)="X",0,IF((LEN(SUBSTITUTE(SUBSTITUTE(SUBSTITUTE(M492," ",""),"0",""),"-",""))+LEN(SUBSTITUTE(SUBSTITUTE(SUBSTITUTE(N492," ",""),"0",""),"-","")))&gt;(LEN(SUBSTITUTE(SUBSTITUTE(SUBSTITUTE(J492," ",""),"0",""),"-",""))+LEN(SUBSTITUTE(SUBSTITUTE(SUBSTITUTE(K492," ",""),"0",""),"-",""))),1,0))+IF(UPPER(L493)="X",0,IF((LEN(SUBSTITUTE(SUBSTITUTE(SUBSTITUTE(M493," ",""),"0",""),"-",""))+LEN(SUBSTITUTE(SUBSTITUTE(SUBSTITUTE(N493," ",""),"0",""),"-","")))&gt;(LEN(SUBSTITUTE(SUBSTITUTE(SUBSTITUTE(J493," ",""),"0",""),"-",""))+LEN(SUBSTITUTE(SUBSTITUTE(SUBSTITUTE(K493," ",""),"0",""),"-",""))),1,0))</f>
      </c>
      <c r="O496" s="14" t="s">
        <v>349</v>
      </c>
    </row>
    <row r="499">
      <c r="F499" t="s">
        <v>345</v>
      </c>
      <c r="G499" s="19"/>
      <c r="N499" t="s">
        <v>345</v>
      </c>
      <c r="O499" s="19"/>
    </row>
    <row r="500">
      <c r="F500" t="s">
        <v>346</v>
      </c>
      <c r="G500" s="19"/>
      <c r="N500" t="s">
        <v>346</v>
      </c>
      <c r="O500" s="19"/>
    </row>
    <row r="507">
      <c r="A507" s="13" t="s">
        <v>409</v>
      </c>
      <c r="B507" s="13"/>
      <c r="C507" s="13"/>
      <c r="D507" s="13"/>
      <c r="E507" s="13"/>
      <c r="F507" s="13"/>
      <c r="G507" s="13"/>
    </row>
    <row r="508">
      <c r="A508" s="17" t="s">
        <v>331</v>
      </c>
      <c r="D508" s="14" t="s">
        <v>332</v>
      </c>
      <c r="G508" s="16" t="s">
        <v>333</v>
      </c>
    </row>
    <row r="509">
      <c r="A509" s="14" t="str">
        <f>CONCATENATE("M 60 ",O499)</f>
      </c>
      <c r="B509" s="14"/>
      <c r="C509" s="14"/>
      <c r="D509" s="18"/>
      <c r="E509" s="14"/>
      <c r="F509" s="14"/>
      <c r="G509" s="14" t="str">
        <f>CONCATENATE("M 59 ",G499)</f>
      </c>
    </row>
    <row r="510">
      <c r="A510" s="14">
        <v>1</v>
      </c>
      <c r="B510" s="18"/>
      <c r="C510" s="18"/>
      <c r="D510" s="18"/>
      <c r="E510" s="18"/>
      <c r="F510" s="18"/>
      <c r="G510" s="14">
        <v>1</v>
      </c>
    </row>
    <row r="511">
      <c r="A511" s="14">
        <v>2</v>
      </c>
      <c r="B511" s="18"/>
      <c r="C511" s="18"/>
      <c r="D511" s="18"/>
      <c r="E511" s="18"/>
      <c r="F511" s="18"/>
      <c r="G511" s="14">
        <v>2</v>
      </c>
    </row>
    <row r="512">
      <c r="A512" s="14">
        <v>3</v>
      </c>
      <c r="B512" s="18"/>
      <c r="C512" s="18"/>
      <c r="D512" s="18"/>
      <c r="E512" s="18"/>
      <c r="F512" s="18"/>
      <c r="G512" s="14">
        <v>3</v>
      </c>
    </row>
    <row r="513">
      <c r="A513" s="14">
        <v>4</v>
      </c>
      <c r="B513" s="18"/>
      <c r="C513" s="18"/>
      <c r="D513" s="18"/>
      <c r="E513" s="18"/>
      <c r="F513" s="18"/>
      <c r="G513" s="14">
        <v>4</v>
      </c>
    </row>
    <row r="514">
      <c r="A514" s="14">
        <v>5</v>
      </c>
      <c r="B514" s="18"/>
      <c r="C514" s="18"/>
      <c r="D514" s="18"/>
      <c r="E514" s="18"/>
      <c r="F514" s="18"/>
      <c r="G514" s="14">
        <v>5</v>
      </c>
    </row>
    <row r="516">
      <c r="A516" s="14" t="str">
        <f>CONCATENATE("M 60 ",O499)</f>
      </c>
      <c r="B516" s="14" t="s">
        <v>339</v>
      </c>
      <c r="C516" s="14" t="s">
        <v>342</v>
      </c>
      <c r="D516" s="14"/>
      <c r="E516" s="14" t="s">
        <v>342</v>
      </c>
      <c r="F516" s="14" t="s">
        <v>339</v>
      </c>
      <c r="G516" s="14" t="str">
        <f>CONCATENATE("M 59 ",G499)</f>
      </c>
    </row>
    <row r="517">
      <c r="A517" s="14" t="s">
        <v>349</v>
      </c>
      <c r="B517" s="14" t="str">
        <f>IF(UPPER(D510)="X",0,IF((LEN(SUBSTITUTE(SUBSTITUTE(SUBSTITUTE(B510," ",""),"0",""),"-",""))+LEN(SUBSTITUTE(SUBSTITUTE(SUBSTITUTE(C510," ",""),"0",""),"-","")))&gt;(LEN(SUBSTITUTE(SUBSTITUTE(SUBSTITUTE(E510," ",""),"0",""),"-",""))+LEN(SUBSTITUTE(SUBSTITUTE(SUBSTITUTE(F510," ",""),"0",""),"-",""))),1,0))+IF(UPPER(D511)="X",0,IF((LEN(SUBSTITUTE(SUBSTITUTE(SUBSTITUTE(B511," ",""),"0",""),"-",""))+LEN(SUBSTITUTE(SUBSTITUTE(SUBSTITUTE(C511," ",""),"0",""),"-","")))&gt;(LEN(SUBSTITUTE(SUBSTITUTE(SUBSTITUTE(E511," ",""),"0",""),"-",""))+LEN(SUBSTITUTE(SUBSTITUTE(SUBSTITUTE(F511," ",""),"0",""),"-",""))),1,0))+IF(UPPER(D512)="X",0,IF((LEN(SUBSTITUTE(SUBSTITUTE(SUBSTITUTE(B512," ",""),"0",""),"-",""))+LEN(SUBSTITUTE(SUBSTITUTE(SUBSTITUTE(C512," ",""),"0",""),"-","")))&gt;(LEN(SUBSTITUTE(SUBSTITUTE(SUBSTITUTE(E512," ",""),"0",""),"-",""))+LEN(SUBSTITUTE(SUBSTITUTE(SUBSTITUTE(F512," ",""),"0",""),"-",""))),1,0))+IF(UPPER(D513)="X",0,IF((LEN(SUBSTITUTE(SUBSTITUTE(SUBSTITUTE(B513," ",""),"0",""),"-",""))+LEN(SUBSTITUTE(SUBSTITUTE(SUBSTITUTE(C513," ",""),"0",""),"-","")))&gt;(LEN(SUBSTITUTE(SUBSTITUTE(SUBSTITUTE(E513," ",""),"0",""),"-",""))+LEN(SUBSTITUTE(SUBSTITUTE(SUBSTITUTE(F513," ",""),"0",""),"-",""))),1,0))+IF(UPPER(D514)="X",0,IF((LEN(SUBSTITUTE(SUBSTITUTE(SUBSTITUTE(B514," ",""),"0",""),"-",""))+LEN(SUBSTITUTE(SUBSTITUTE(SUBSTITUTE(C514," ",""),"0",""),"-","")))&gt;(LEN(SUBSTITUTE(SUBSTITUTE(SUBSTITUTE(E514," ",""),"0",""),"-",""))+LEN(SUBSTITUTE(SUBSTITUTE(SUBSTITUTE(F514," ",""),"0",""),"-",""))),1,0))</f>
      </c>
      <c r="C517" s="14" t="str">
        <f>LEN(SUBSTITUTE(SUBSTITUTE(SUBSTITUTE(B510," ",""),"0",""),"-",""))+LEN(SUBSTITUTE(SUBSTITUTE(SUBSTITUTE(C510," ",""),"0",""),"-",""))+LEN(SUBSTITUTE(SUBSTITUTE(SUBSTITUTE(B511," ",""),"0",""),"-",""))+LEN(SUBSTITUTE(SUBSTITUTE(SUBSTITUTE(C511," ",""),"0",""),"-",""))+LEN(SUBSTITUTE(SUBSTITUTE(SUBSTITUTE(B512," ",""),"0",""),"-",""))+LEN(SUBSTITUTE(SUBSTITUTE(SUBSTITUTE(C512," ",""),"0",""),"-",""))+LEN(SUBSTITUTE(SUBSTITUTE(SUBSTITUTE(B513," ",""),"0",""),"-",""))+LEN(SUBSTITUTE(SUBSTITUTE(SUBSTITUTE(C513," ",""),"0",""),"-",""))+LEN(SUBSTITUTE(SUBSTITUTE(SUBSTITUTE(B514," ",""),"0",""),"-",""))+LEN(SUBSTITUTE(SUBSTITUTE(SUBSTITUTE(C514," ",""),"0",""),"-",""))</f>
      </c>
      <c r="D517" s="14"/>
      <c r="E517" s="14" t="str">
        <f>LEN(SUBSTITUTE(SUBSTITUTE(SUBSTITUTE(E510," ",""),"0",""),"-",""))+LEN(SUBSTITUTE(SUBSTITUTE(SUBSTITUTE(F510," ",""),"0",""),"-",""))+LEN(SUBSTITUTE(SUBSTITUTE(SUBSTITUTE(E511," ",""),"0",""),"-",""))+LEN(SUBSTITUTE(SUBSTITUTE(SUBSTITUTE(F511," ",""),"0",""),"-",""))+LEN(SUBSTITUTE(SUBSTITUTE(SUBSTITUTE(E512," ",""),"0",""),"-",""))+LEN(SUBSTITUTE(SUBSTITUTE(SUBSTITUTE(F512," ",""),"0",""),"-",""))+LEN(SUBSTITUTE(SUBSTITUTE(SUBSTITUTE(E513," ",""),"0",""),"-",""))+LEN(SUBSTITUTE(SUBSTITUTE(SUBSTITUTE(F513," ",""),"0",""),"-",""))+LEN(SUBSTITUTE(SUBSTITUTE(SUBSTITUTE(E514," ",""),"0",""),"-",""))+LEN(SUBSTITUTE(SUBSTITUTE(SUBSTITUTE(F514," ",""),"0",""),"-",""))</f>
      </c>
      <c r="F517" s="14" t="str">
        <f>IF(UPPER(D510)="X",0,IF((LEN(SUBSTITUTE(SUBSTITUTE(SUBSTITUTE(E510," ",""),"0",""),"-",""))+LEN(SUBSTITUTE(SUBSTITUTE(SUBSTITUTE(F510," ",""),"0",""),"-","")))&gt;(LEN(SUBSTITUTE(SUBSTITUTE(SUBSTITUTE(B510," ",""),"0",""),"-",""))+LEN(SUBSTITUTE(SUBSTITUTE(SUBSTITUTE(C510," ",""),"0",""),"-",""))),1,0))+IF(UPPER(D511)="X",0,IF((LEN(SUBSTITUTE(SUBSTITUTE(SUBSTITUTE(E511," ",""),"0",""),"-",""))+LEN(SUBSTITUTE(SUBSTITUTE(SUBSTITUTE(F511," ",""),"0",""),"-","")))&gt;(LEN(SUBSTITUTE(SUBSTITUTE(SUBSTITUTE(B511," ",""),"0",""),"-",""))+LEN(SUBSTITUTE(SUBSTITUTE(SUBSTITUTE(C511," ",""),"0",""),"-",""))),1,0))+IF(UPPER(D512)="X",0,IF((LEN(SUBSTITUTE(SUBSTITUTE(SUBSTITUTE(E512," ",""),"0",""),"-",""))+LEN(SUBSTITUTE(SUBSTITUTE(SUBSTITUTE(F512," ",""),"0",""),"-","")))&gt;(LEN(SUBSTITUTE(SUBSTITUTE(SUBSTITUTE(B512," ",""),"0",""),"-",""))+LEN(SUBSTITUTE(SUBSTITUTE(SUBSTITUTE(C512," ",""),"0",""),"-",""))),1,0))+IF(UPPER(D513)="X",0,IF((LEN(SUBSTITUTE(SUBSTITUTE(SUBSTITUTE(E513," ",""),"0",""),"-",""))+LEN(SUBSTITUTE(SUBSTITUTE(SUBSTITUTE(F513," ",""),"0",""),"-","")))&gt;(LEN(SUBSTITUTE(SUBSTITUTE(SUBSTITUTE(B513," ",""),"0",""),"-",""))+LEN(SUBSTITUTE(SUBSTITUTE(SUBSTITUTE(C513," ",""),"0",""),"-",""))),1,0))+IF(UPPER(D514)="X",0,IF((LEN(SUBSTITUTE(SUBSTITUTE(SUBSTITUTE(E514," ",""),"0",""),"-",""))+LEN(SUBSTITUTE(SUBSTITUTE(SUBSTITUTE(F514," ",""),"0",""),"-","")))&gt;(LEN(SUBSTITUTE(SUBSTITUTE(SUBSTITUTE(B514," ",""),"0",""),"-",""))+LEN(SUBSTITUTE(SUBSTITUTE(SUBSTITUTE(C514," ",""),"0",""),"-",""))),1,0))</f>
      </c>
      <c r="G517" s="14" t="s">
        <v>349</v>
      </c>
    </row>
    <row r="520">
      <c r="F520" t="s">
        <v>345</v>
      </c>
      <c r="G520" s="19"/>
    </row>
    <row r="521">
      <c r="F521" t="s">
        <v>346</v>
      </c>
      <c r="G521"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63">
    <mergeCell ref="A1:G1"/>
    <mergeCell ref="I1:O1"/>
    <mergeCell ref="A2:G2"/>
    <mergeCell ref="I2:O2"/>
    <mergeCell ref="A18:G18"/>
    <mergeCell ref="I18:O18"/>
    <mergeCell ref="A34:G34"/>
    <mergeCell ref="I34:O34"/>
    <mergeCell ref="A50:G50"/>
    <mergeCell ref="I50:O50"/>
    <mergeCell ref="A66:G66"/>
    <mergeCell ref="I66:O66"/>
    <mergeCell ref="A82:G82"/>
    <mergeCell ref="I82:O82"/>
    <mergeCell ref="A98:G98"/>
    <mergeCell ref="I98:O98"/>
    <mergeCell ref="A114:G114"/>
    <mergeCell ref="I114:O114"/>
    <mergeCell ref="A130:G130"/>
    <mergeCell ref="I130:O130"/>
    <mergeCell ref="A146:G146"/>
    <mergeCell ref="I146:O146"/>
    <mergeCell ref="A162:G162"/>
    <mergeCell ref="I162:O162"/>
    <mergeCell ref="A178:G178"/>
    <mergeCell ref="I178:O178"/>
    <mergeCell ref="A194:G194"/>
    <mergeCell ref="I194:O194"/>
    <mergeCell ref="A210:G210"/>
    <mergeCell ref="I210:O210"/>
    <mergeCell ref="A226:G226"/>
    <mergeCell ref="I226:O226"/>
    <mergeCell ref="A247:G247"/>
    <mergeCell ref="I247:O247"/>
    <mergeCell ref="A263:G263"/>
    <mergeCell ref="I263:O263"/>
    <mergeCell ref="A279:G279"/>
    <mergeCell ref="I279:O279"/>
    <mergeCell ref="A295:G295"/>
    <mergeCell ref="I295:O295"/>
    <mergeCell ref="A311:G311"/>
    <mergeCell ref="I311:O311"/>
    <mergeCell ref="A327:G327"/>
    <mergeCell ref="I327:O327"/>
    <mergeCell ref="A343:G343"/>
    <mergeCell ref="I343:O343"/>
    <mergeCell ref="A359:G359"/>
    <mergeCell ref="I359:O359"/>
    <mergeCell ref="A380:G380"/>
    <mergeCell ref="I380:O380"/>
    <mergeCell ref="A396:G396"/>
    <mergeCell ref="I396:O396"/>
    <mergeCell ref="A412:G412"/>
    <mergeCell ref="I412:O412"/>
    <mergeCell ref="A428:G428"/>
    <mergeCell ref="I428:O428"/>
    <mergeCell ref="A449:G449"/>
    <mergeCell ref="I449:O449"/>
    <mergeCell ref="A465:G465"/>
    <mergeCell ref="I465:O465"/>
    <mergeCell ref="A486:G486"/>
    <mergeCell ref="I486:O486"/>
    <mergeCell ref="A507:G507"/>
  </mergeCells>
  <printOptions horizontalCentered="true" verticalCentered="true"/>
  <pageSetup fitToHeight="0" fitToWidth="2" orientation="portrait" pageOrder="downThenOver" paperSize="9"/>
  <rowBreaks count="15" manualBreakCount="15">
    <brk id="33" max="16383" man="true"/>
    <brk id="65" max="16383" man="true"/>
    <brk id="97" max="16383" man="true"/>
    <brk id="129" max="16383" man="true"/>
    <brk id="161" max="16383" man="true"/>
    <brk id="193" max="16383" man="true"/>
    <brk id="225" max="16383" man="true"/>
    <brk id="262" max="16383" man="true"/>
    <brk id="294" max="16383" man="true"/>
    <brk id="326" max="16383" man="true"/>
    <brk id="358" max="16383" man="true"/>
    <brk id="395" max="16383" man="true"/>
    <brk id="427" max="16383" man="true"/>
    <brk id="464" max="16383" man="true"/>
    <brk id="506"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c r="H1" s="13"/>
      <c r="I1" s="13"/>
      <c r="J1" s="13"/>
      <c r="K1" s="13"/>
    </row>
    <row r="4">
      <c r="A4" s="24" t="str">
        <f>'data'!$A$5</f>
      </c>
    </row>
    <row r="5">
      <c r="A5" s="25" t="str">
        <f>data!$E$3&amp;" "&amp;data!$B$3</f>
      </c>
      <c r="C5" s="23" t="str">
        <f>CONCATENATE("Pool A-1st ",'Pool Matches'!G40)</f>
      </c>
    </row>
    <row r="6">
      <c r="A6" s="26" t="str">
        <f>data!$E$4&amp;" "&amp;data!$B$4</f>
      </c>
      <c r="D6" s="22"/>
      <c r="E6" s="21">
        <v>1</v>
      </c>
    </row>
    <row r="7">
      <c r="A7" s="27" t="str">
        <f>data!$E$5&amp;" "&amp;data!$B$5</f>
      </c>
      <c r="C7" s="23" t="str">
        <f>CONCATENATE("Pool Q-2nd ",'Pool Matches'!O41)</f>
      </c>
      <c r="D7" s="15"/>
      <c r="E7" s="20"/>
      <c r="F7" s="22"/>
      <c r="G7" s="20"/>
    </row>
    <row r="8">
      <c r="A8" s="22"/>
      <c r="G8" s="21">
        <v>31</v>
      </c>
    </row>
    <row r="9">
      <c r="A9" s="24" t="str">
        <f>'data'!$A$8</f>
      </c>
      <c r="C9" s="23" t="str">
        <f>CONCATENATE("Pool B-1st ",'Pool Matches'!G83)</f>
      </c>
      <c r="G9" s="20"/>
      <c r="H9" s="22"/>
      <c r="I9" s="20"/>
    </row>
    <row r="10">
      <c r="A10" s="25" t="str">
        <f>data!$E$6&amp;" "&amp;data!$B$6</f>
      </c>
      <c r="D10" s="22"/>
      <c r="E10" s="21">
        <v>2</v>
      </c>
      <c r="F10" s="15"/>
      <c r="G10" s="20"/>
      <c r="I10" s="20"/>
    </row>
    <row r="11">
      <c r="A11" s="26" t="str">
        <f>data!$E$7&amp;" "&amp;data!$B$7</f>
      </c>
      <c r="C11" s="23" t="str">
        <f>CONCATENATE("Pool R-2nd ",'Pool Matches'!O84)</f>
      </c>
      <c r="D11" s="15"/>
      <c r="E11" s="20"/>
      <c r="I11" s="20"/>
    </row>
    <row r="12">
      <c r="A12" s="27" t="str">
        <f>data!$E$8&amp;" "&amp;data!$B$8</f>
      </c>
      <c r="I12" s="21">
        <v>47</v>
      </c>
    </row>
    <row r="13">
      <c r="A13" s="22"/>
      <c r="C13" s="23" t="str">
        <f>CONCATENATE("Pool C-1st ",'Pool Matches'!G126)</f>
      </c>
      <c r="I13" s="20"/>
      <c r="J13" s="22"/>
      <c r="K13" s="20"/>
    </row>
    <row r="14">
      <c r="A14" s="24" t="str">
        <f>'data'!$A$11</f>
      </c>
      <c r="D14" s="22"/>
      <c r="E14" s="21">
        <v>3</v>
      </c>
      <c r="I14" s="20"/>
      <c r="K14" s="20"/>
    </row>
    <row r="15">
      <c r="A15" s="25" t="str">
        <f>data!$E$9&amp;" "&amp;data!$B$9</f>
      </c>
      <c r="C15" s="23" t="str">
        <f>CONCATENATE("Pool S-2nd ",'Pool Matches'!O127)</f>
      </c>
      <c r="D15" s="15"/>
      <c r="E15" s="20"/>
      <c r="F15" s="22"/>
      <c r="G15" s="20"/>
      <c r="I15" s="20"/>
      <c r="K15" s="20"/>
    </row>
    <row r="16">
      <c r="A16" s="26" t="str">
        <f>data!$E$10&amp;" "&amp;data!$B$10</f>
      </c>
      <c r="G16" s="21">
        <v>32</v>
      </c>
      <c r="H16" s="15"/>
      <c r="I16" s="20"/>
      <c r="K16" s="20"/>
    </row>
    <row r="17">
      <c r="A17" s="27" t="str">
        <f>data!$E$11&amp;" "&amp;data!$B$11</f>
      </c>
      <c r="C17" s="23" t="str">
        <f>CONCATENATE("Pool D-1st ",'Pool Matches'!G169)</f>
      </c>
      <c r="G17" s="20"/>
      <c r="K17" s="20"/>
    </row>
    <row r="18">
      <c r="A18" s="22"/>
      <c r="D18" s="22"/>
      <c r="E18" s="21">
        <v>4</v>
      </c>
      <c r="F18" s="15"/>
      <c r="G18" s="20"/>
      <c r="K18" s="20"/>
    </row>
    <row r="19">
      <c r="A19" s="24" t="str">
        <f>'data'!$A$14</f>
      </c>
      <c r="C19" s="23" t="str">
        <f>CONCATENATE("Pool T-2nd ",'Pool Matches'!O170)</f>
      </c>
      <c r="D19" s="15"/>
      <c r="E19" s="20"/>
      <c r="K19" s="20"/>
    </row>
    <row r="20">
      <c r="A20" s="25" t="str">
        <f>data!$E$12&amp;" "&amp;data!$B$12</f>
      </c>
      <c r="K20" s="21">
        <v>55</v>
      </c>
    </row>
    <row r="21">
      <c r="A21" s="26" t="str">
        <f>data!$E$13&amp;" "&amp;data!$B$13</f>
      </c>
      <c r="C21" s="23" t="str">
        <f>CONCATENATE("Pool E-1st ",'Pool Matches'!G212)</f>
      </c>
      <c r="K21" s="20"/>
    </row>
    <row r="22">
      <c r="A22" s="27" t="str">
        <f>data!$E$14&amp;" "&amp;data!$B$14</f>
      </c>
      <c r="D22" s="22"/>
      <c r="E22" s="21">
        <v>5</v>
      </c>
      <c r="K22" s="20"/>
    </row>
    <row r="23">
      <c r="A23" s="22"/>
      <c r="C23" s="23" t="str">
        <f>CONCATENATE("Pool U-2nd ",'Pool Matches'!O213)</f>
      </c>
      <c r="D23" s="15"/>
      <c r="E23" s="20"/>
      <c r="F23" s="22"/>
      <c r="G23" s="20"/>
      <c r="K23" s="20"/>
    </row>
    <row r="24">
      <c r="A24" s="24" t="str">
        <f>'data'!$A$17</f>
      </c>
      <c r="G24" s="21">
        <v>33</v>
      </c>
      <c r="K24" s="20"/>
    </row>
    <row r="25">
      <c r="A25" s="25" t="str">
        <f>data!$E$15&amp;" "&amp;data!$B$15</f>
      </c>
      <c r="C25" s="23" t="str">
        <f>CONCATENATE("Pool F-1st ",'Pool Matches'!G255)</f>
      </c>
      <c r="G25" s="20"/>
      <c r="H25" s="22"/>
      <c r="I25" s="20"/>
      <c r="K25" s="20"/>
    </row>
    <row r="26">
      <c r="A26" s="26" t="str">
        <f>data!$E$16&amp;" "&amp;data!$B$16</f>
      </c>
      <c r="D26" s="22"/>
      <c r="E26" s="21">
        <v>6</v>
      </c>
      <c r="F26" s="15"/>
      <c r="G26" s="20"/>
      <c r="I26" s="20"/>
      <c r="K26" s="20"/>
    </row>
    <row r="27">
      <c r="A27" s="27" t="str">
        <f>data!$E$17&amp;" "&amp;data!$B$17</f>
      </c>
      <c r="C27" s="23" t="str">
        <f>CONCATENATE("Pool V-2nd ",'Pool Matches'!O256)</f>
      </c>
      <c r="D27" s="15"/>
      <c r="E27" s="20"/>
      <c r="I27" s="20"/>
      <c r="K27" s="20"/>
    </row>
    <row r="28">
      <c r="A28" s="22"/>
      <c r="I28" s="21">
        <v>48</v>
      </c>
      <c r="J28" s="15"/>
      <c r="K28" s="20"/>
    </row>
    <row r="29">
      <c r="A29" s="24" t="str">
        <f>'data'!$A$20</f>
      </c>
      <c r="C29" s="23" t="str">
        <f>CONCATENATE("Pool G-1st ",'Pool Matches'!G298)</f>
      </c>
      <c r="I29" s="20"/>
    </row>
    <row r="30">
      <c r="A30" s="25" t="str">
        <f>data!$E$18&amp;" "&amp;data!$B$18</f>
      </c>
      <c r="D30" s="22"/>
      <c r="E30" s="21">
        <v>7</v>
      </c>
      <c r="I30" s="20"/>
    </row>
    <row r="31">
      <c r="A31" s="26" t="str">
        <f>data!$E$19&amp;" "&amp;data!$B$19</f>
      </c>
      <c r="C31" s="23" t="str">
        <f>CONCATENATE("Pool W-2nd ",'Pool Matches'!O299)</f>
      </c>
      <c r="D31" s="15"/>
      <c r="E31" s="20"/>
      <c r="F31" s="22"/>
      <c r="G31" s="20"/>
      <c r="I31" s="20"/>
    </row>
    <row r="32">
      <c r="A32" s="27" t="str">
        <f>data!$E$20&amp;" "&amp;data!$B$20</f>
      </c>
      <c r="G32" s="21">
        <v>34</v>
      </c>
      <c r="H32" s="15"/>
      <c r="I32" s="20"/>
    </row>
    <row r="33">
      <c r="A33" s="22"/>
      <c r="C33" s="23" t="str">
        <f>CONCATENATE("Pool H-1st ",'Pool Matches'!G341)</f>
      </c>
      <c r="G33" s="20"/>
    </row>
    <row r="34">
      <c r="A34" s="24" t="str">
        <f>'data'!$A$23</f>
      </c>
      <c r="D34" s="22"/>
      <c r="E34" s="21">
        <v>8</v>
      </c>
      <c r="F34" s="15"/>
      <c r="G34" s="20"/>
    </row>
    <row r="35">
      <c r="A35" s="25" t="str">
        <f>data!$E$21&amp;" "&amp;data!$B$21</f>
      </c>
      <c r="C35" s="23" t="str">
        <f>CONCATENATE("Pool X-2nd ",'Pool Matches'!O342)</f>
      </c>
      <c r="D35" s="15"/>
      <c r="E35" s="20"/>
    </row>
    <row r="36">
      <c r="A36" s="26" t="str">
        <f>data!$E$22&amp;" "&amp;data!$B$22</f>
      </c>
    </row>
    <row r="37">
      <c r="A37" s="27" t="str">
        <f>data!$E$23&amp;" "&amp;data!$B$23</f>
      </c>
    </row>
    <row r="38">
      <c r="A38" s="22"/>
    </row>
    <row r="39">
      <c r="A39" s="24" t="str">
        <f>'data'!$A$26</f>
      </c>
    </row>
    <row r="40">
      <c r="A40" s="25" t="str">
        <f>data!$E$24&amp;" "&amp;data!$B$24</f>
      </c>
    </row>
    <row r="41">
      <c r="A41" s="26" t="str">
        <f>data!$E$25&amp;" "&amp;data!$B$25</f>
      </c>
    </row>
    <row r="42">
      <c r="A42" s="27" t="str">
        <f>data!$E$26&amp;" "&amp;data!$B$26</f>
      </c>
    </row>
    <row r="43">
      <c r="A4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c r="H1" s="13"/>
      <c r="I1" s="13"/>
      <c r="J1" s="13"/>
      <c r="K1" s="13"/>
    </row>
    <row r="4">
      <c r="A4" s="24" t="str">
        <f>'data'!$A$29</f>
      </c>
    </row>
    <row r="5">
      <c r="A5" s="25" t="str">
        <f>data!$E$27&amp;" "&amp;data!$B$27</f>
      </c>
    </row>
    <row r="6">
      <c r="A6" s="26" t="str">
        <f>data!$E$28&amp;" "&amp;data!$B$28</f>
      </c>
      <c r="C6" s="23"/>
      <c r="D6" s="23"/>
      <c r="E6" s="23" t="str">
        <f>CONCATENATE("Pool I-1st ",'Pool Matches'!G384)</f>
      </c>
    </row>
    <row r="7">
      <c r="A7" s="27" t="str">
        <f>data!$E$29&amp;" "&amp;data!$B$29</f>
      </c>
      <c r="F7" s="22"/>
      <c r="G7" s="20"/>
    </row>
    <row r="8">
      <c r="A8" s="22"/>
      <c r="G8" s="21">
        <v>35</v>
      </c>
    </row>
    <row r="9">
      <c r="A9" s="24" t="str">
        <f>'data'!$A$32</f>
      </c>
      <c r="C9" s="23" t="str">
        <f>CONCATENATE("Pool J-1st ",'Pool Matches'!G427)</f>
      </c>
      <c r="G9" s="20"/>
      <c r="H9" s="22"/>
      <c r="I9" s="20"/>
    </row>
    <row r="10">
      <c r="A10" s="25" t="str">
        <f>data!$E$30&amp;" "&amp;data!$B$30</f>
      </c>
      <c r="D10" s="22"/>
      <c r="E10" s="21">
        <v>9</v>
      </c>
      <c r="F10" s="15"/>
      <c r="G10" s="20"/>
      <c r="I10" s="20"/>
    </row>
    <row r="11">
      <c r="A11" s="26" t="str">
        <f>data!$E$31&amp;" "&amp;data!$B$31</f>
      </c>
      <c r="C11" s="23" t="str">
        <f>CONCATENATE("Pool Y-2nd ",'Pool Matches'!O385)</f>
      </c>
      <c r="D11" s="15"/>
      <c r="E11" s="20"/>
      <c r="I11" s="20"/>
    </row>
    <row r="12">
      <c r="A12" s="27" t="str">
        <f>data!$E$32&amp;" "&amp;data!$B$32</f>
      </c>
      <c r="I12" s="21">
        <v>49</v>
      </c>
    </row>
    <row r="13">
      <c r="A13" s="22"/>
      <c r="C13" s="23" t="str">
        <f>CONCATENATE("Pool K-1st ",'Pool Matches'!G470)</f>
      </c>
      <c r="I13" s="20"/>
      <c r="J13" s="22"/>
      <c r="K13" s="20"/>
    </row>
    <row r="14">
      <c r="A14" s="24" t="str">
        <f>'data'!$A$35</f>
      </c>
      <c r="D14" s="22"/>
      <c r="E14" s="21">
        <v>10</v>
      </c>
      <c r="I14" s="20"/>
      <c r="K14" s="20"/>
    </row>
    <row r="15">
      <c r="A15" s="25" t="str">
        <f>data!$E$33&amp;" "&amp;data!$B$33</f>
      </c>
      <c r="C15" s="23" t="str">
        <f>CONCATENATE("Pool Z-2nd ",'Pool Matches'!O428)</f>
      </c>
      <c r="D15" s="15"/>
      <c r="E15" s="20"/>
      <c r="F15" s="22"/>
      <c r="G15" s="20"/>
      <c r="I15" s="20"/>
      <c r="K15" s="20"/>
    </row>
    <row r="16">
      <c r="A16" s="26" t="str">
        <f>data!$E$34&amp;" "&amp;data!$B$34</f>
      </c>
      <c r="G16" s="21">
        <v>36</v>
      </c>
      <c r="H16" s="15"/>
      <c r="I16" s="20"/>
      <c r="K16" s="20"/>
    </row>
    <row r="17">
      <c r="A17" s="27" t="str">
        <f>data!$E$35&amp;" "&amp;data!$B$35</f>
      </c>
      <c r="C17" s="23" t="str">
        <f>CONCATENATE("Pool L-1st ",'Pool Matches'!G513)</f>
      </c>
      <c r="G17" s="20"/>
      <c r="K17" s="20"/>
    </row>
    <row r="18">
      <c r="A18" s="22"/>
      <c r="D18" s="22"/>
      <c r="E18" s="21">
        <v>11</v>
      </c>
      <c r="F18" s="15"/>
      <c r="G18" s="20"/>
      <c r="K18" s="20"/>
    </row>
    <row r="19">
      <c r="A19" s="24" t="str">
        <f>'data'!$A$38</f>
      </c>
      <c r="C19" s="23" t="str">
        <f>CONCATENATE("Pool AA-2nd ",'Pool Matches'!O471)</f>
      </c>
      <c r="D19" s="15"/>
      <c r="E19" s="20"/>
      <c r="K19" s="20"/>
    </row>
    <row r="20">
      <c r="A20" s="25" t="str">
        <f>data!$E$36&amp;" "&amp;data!$B$36</f>
      </c>
      <c r="K20" s="21">
        <v>56</v>
      </c>
    </row>
    <row r="21">
      <c r="A21" s="26" t="str">
        <f>data!$E$37&amp;" "&amp;data!$B$37</f>
      </c>
      <c r="C21" s="23" t="str">
        <f>CONCATENATE("Pool M-1st ",'Pool Matches'!G556)</f>
      </c>
      <c r="K21" s="20"/>
    </row>
    <row r="22">
      <c r="A22" s="27" t="str">
        <f>data!$E$38&amp;" "&amp;data!$B$38</f>
      </c>
      <c r="D22" s="22"/>
      <c r="E22" s="21">
        <v>12</v>
      </c>
      <c r="K22" s="20"/>
    </row>
    <row r="23">
      <c r="A23" s="22"/>
      <c r="C23" s="23" t="str">
        <f>CONCATENATE("Pool AB-2nd ",'Pool Matches'!O514)</f>
      </c>
      <c r="D23" s="15"/>
      <c r="E23" s="20"/>
      <c r="F23" s="22"/>
      <c r="G23" s="20"/>
      <c r="K23" s="20"/>
    </row>
    <row r="24">
      <c r="A24" s="24" t="str">
        <f>'data'!$A$41</f>
      </c>
      <c r="G24" s="21">
        <v>37</v>
      </c>
      <c r="K24" s="20"/>
    </row>
    <row r="25">
      <c r="A25" s="25" t="str">
        <f>data!$E$39&amp;" "&amp;data!$B$39</f>
      </c>
      <c r="C25" s="23" t="str">
        <f>CONCATENATE("Pool N-1st ",'Pool Matches'!G599)</f>
      </c>
      <c r="G25" s="20"/>
      <c r="H25" s="22"/>
      <c r="I25" s="20"/>
      <c r="K25" s="20"/>
    </row>
    <row r="26">
      <c r="A26" s="26" t="str">
        <f>data!$E$40&amp;" "&amp;data!$B$40</f>
      </c>
      <c r="D26" s="22"/>
      <c r="E26" s="21">
        <v>13</v>
      </c>
      <c r="F26" s="15"/>
      <c r="G26" s="20"/>
      <c r="I26" s="20"/>
      <c r="K26" s="20"/>
    </row>
    <row r="27">
      <c r="A27" s="27" t="str">
        <f>data!$E$41&amp;" "&amp;data!$B$41</f>
      </c>
      <c r="C27" s="23" t="str">
        <f>CONCATENATE("Pool AC-2nd ",'Pool Matches'!O557)</f>
      </c>
      <c r="D27" s="15"/>
      <c r="E27" s="20"/>
      <c r="I27" s="20"/>
      <c r="K27" s="20"/>
    </row>
    <row r="28">
      <c r="A28" s="22"/>
      <c r="I28" s="21">
        <v>50</v>
      </c>
      <c r="J28" s="15"/>
      <c r="K28" s="20"/>
    </row>
    <row r="29">
      <c r="A29" s="24" t="str">
        <f>'data'!$A$44</f>
      </c>
      <c r="C29" s="23" t="str">
        <f>CONCATENATE("Pool O-1st ",'Pool Matches'!G642)</f>
      </c>
      <c r="I29" s="20"/>
    </row>
    <row r="30">
      <c r="A30" s="25" t="str">
        <f>data!$E$42&amp;" "&amp;data!$B$42</f>
      </c>
      <c r="D30" s="22"/>
      <c r="E30" s="21">
        <v>14</v>
      </c>
      <c r="I30" s="20"/>
    </row>
    <row r="31">
      <c r="A31" s="26" t="str">
        <f>data!$E$43&amp;" "&amp;data!$B$43</f>
      </c>
      <c r="C31" s="23" t="str">
        <f>CONCATENATE("Pool AD-2nd ",'Pool Matches'!O600)</f>
      </c>
      <c r="D31" s="15"/>
      <c r="E31" s="20"/>
      <c r="F31" s="22"/>
      <c r="G31" s="20"/>
      <c r="I31" s="20"/>
    </row>
    <row r="32">
      <c r="A32" s="27" t="str">
        <f>data!$E$44&amp;" "&amp;data!$B$44</f>
      </c>
      <c r="G32" s="21">
        <v>38</v>
      </c>
      <c r="H32" s="15"/>
      <c r="I32" s="20"/>
    </row>
    <row r="33">
      <c r="A33" s="22"/>
      <c r="C33" s="23" t="str">
        <f>CONCATENATE("Pool P-1st ",'Pool Matches'!G667)</f>
      </c>
      <c r="G33" s="20"/>
    </row>
    <row r="34">
      <c r="A34" s="24" t="str">
        <f>'data'!$A$47</f>
      </c>
      <c r="D34" s="22"/>
      <c r="E34" s="21">
        <v>15</v>
      </c>
      <c r="F34" s="15"/>
      <c r="G34" s="20"/>
    </row>
    <row r="35">
      <c r="A35" s="25" t="str">
        <f>data!$E$45&amp;" "&amp;data!$B$45</f>
      </c>
      <c r="C35" s="23" t="str">
        <f>CONCATENATE("Pool AE-2nd ",'Pool Matches'!O641)</f>
      </c>
      <c r="D35" s="15"/>
      <c r="E35" s="20"/>
    </row>
    <row r="36">
      <c r="A36" s="26" t="str">
        <f>data!$E$46&amp;" "&amp;data!$B$46</f>
      </c>
    </row>
    <row r="37">
      <c r="A37" s="27" t="str">
        <f>data!$E$47&amp;" "&amp;data!$B$47</f>
      </c>
    </row>
    <row r="38">
      <c r="A38" s="22"/>
    </row>
    <row r="39">
      <c r="A39" s="24" t="str">
        <f>'data'!$A$49</f>
      </c>
    </row>
    <row r="40">
      <c r="A40" s="25" t="str">
        <f>data!$E$48&amp;" "&amp;data!$B$48</f>
      </c>
    </row>
    <row r="41">
      <c r="A41" s="27" t="str">
        <f>data!$E$49&amp;" "&amp;data!$B$49</f>
      </c>
    </row>
    <row r="42">
      <c r="A42"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c r="H1" s="13"/>
      <c r="I1" s="13"/>
      <c r="J1" s="13"/>
      <c r="K1" s="13"/>
    </row>
    <row r="4">
      <c r="A4" s="24" t="str">
        <f>'data'!$A$52</f>
      </c>
    </row>
    <row r="5">
      <c r="A5" s="25" t="str">
        <f>data!$E$50&amp;" "&amp;data!$B$50</f>
      </c>
      <c r="C5" s="23" t="str">
        <f>CONCATENATE("Pool Q-1st ",'Pool Matches'!O40)</f>
      </c>
    </row>
    <row r="6">
      <c r="A6" s="26" t="str">
        <f>data!$E$51&amp;" "&amp;data!$B$51</f>
      </c>
      <c r="D6" s="22"/>
      <c r="E6" s="21">
        <v>16</v>
      </c>
    </row>
    <row r="7">
      <c r="A7" s="27" t="str">
        <f>data!$E$52&amp;" "&amp;data!$B$52</f>
      </c>
      <c r="C7" s="23" t="str">
        <f>CONCATENATE("Pool A-2nd ",'Pool Matches'!G41)</f>
      </c>
      <c r="D7" s="15"/>
      <c r="E7" s="20"/>
      <c r="F7" s="22"/>
      <c r="G7" s="20"/>
    </row>
    <row r="8">
      <c r="A8" s="22"/>
      <c r="G8" s="21">
        <v>39</v>
      </c>
    </row>
    <row r="9">
      <c r="A9" s="24" t="str">
        <f>'data'!$A$55</f>
      </c>
      <c r="C9" s="23" t="str">
        <f>CONCATENATE("Pool R-1st ",'Pool Matches'!O83)</f>
      </c>
      <c r="G9" s="20"/>
      <c r="H9" s="22"/>
      <c r="I9" s="20"/>
    </row>
    <row r="10">
      <c r="A10" s="25" t="str">
        <f>data!$E$53&amp;" "&amp;data!$B$53</f>
      </c>
      <c r="D10" s="22"/>
      <c r="E10" s="21">
        <v>17</v>
      </c>
      <c r="F10" s="15"/>
      <c r="G10" s="20"/>
      <c r="I10" s="20"/>
    </row>
    <row r="11">
      <c r="A11" s="26" t="str">
        <f>data!$E$54&amp;" "&amp;data!$B$54</f>
      </c>
      <c r="C11" s="23" t="str">
        <f>CONCATENATE("Pool B-2nd ",'Pool Matches'!G84)</f>
      </c>
      <c r="D11" s="15"/>
      <c r="E11" s="20"/>
      <c r="I11" s="20"/>
    </row>
    <row r="12">
      <c r="A12" s="27" t="str">
        <f>data!$E$55&amp;" "&amp;data!$B$55</f>
      </c>
      <c r="I12" s="21">
        <v>51</v>
      </c>
    </row>
    <row r="13">
      <c r="A13" s="22"/>
      <c r="C13" s="23" t="str">
        <f>CONCATENATE("Pool S-1st ",'Pool Matches'!O126)</f>
      </c>
      <c r="I13" s="20"/>
      <c r="J13" s="22"/>
      <c r="K13" s="20"/>
    </row>
    <row r="14">
      <c r="A14" s="24" t="str">
        <f>'data'!$A$58</f>
      </c>
      <c r="D14" s="22"/>
      <c r="E14" s="21">
        <v>18</v>
      </c>
      <c r="I14" s="20"/>
      <c r="K14" s="20"/>
    </row>
    <row r="15">
      <c r="A15" s="25" t="str">
        <f>data!$E$56&amp;" "&amp;data!$B$56</f>
      </c>
      <c r="C15" s="23" t="str">
        <f>CONCATENATE("Pool C-2nd ",'Pool Matches'!G127)</f>
      </c>
      <c r="D15" s="15"/>
      <c r="E15" s="20"/>
      <c r="F15" s="22"/>
      <c r="G15" s="20"/>
      <c r="I15" s="20"/>
      <c r="K15" s="20"/>
    </row>
    <row r="16">
      <c r="A16" s="26" t="str">
        <f>data!$E$57&amp;" "&amp;data!$B$57</f>
      </c>
      <c r="G16" s="21">
        <v>40</v>
      </c>
      <c r="H16" s="15"/>
      <c r="I16" s="20"/>
      <c r="K16" s="20"/>
    </row>
    <row r="17">
      <c r="A17" s="27" t="str">
        <f>data!$E$58&amp;" "&amp;data!$B$58</f>
      </c>
      <c r="C17" s="23" t="str">
        <f>CONCATENATE("Pool T-1st ",'Pool Matches'!O169)</f>
      </c>
      <c r="G17" s="20"/>
      <c r="K17" s="20"/>
    </row>
    <row r="18">
      <c r="A18" s="22"/>
      <c r="D18" s="22"/>
      <c r="E18" s="21">
        <v>19</v>
      </c>
      <c r="F18" s="15"/>
      <c r="G18" s="20"/>
      <c r="K18" s="20"/>
    </row>
    <row r="19">
      <c r="A19" s="24" t="str">
        <f>'data'!$A$61</f>
      </c>
      <c r="C19" s="23" t="str">
        <f>CONCATENATE("Pool D-2nd ",'Pool Matches'!G170)</f>
      </c>
      <c r="D19" s="15"/>
      <c r="E19" s="20"/>
      <c r="K19" s="20"/>
    </row>
    <row r="20">
      <c r="A20" s="25" t="str">
        <f>data!$E$59&amp;" "&amp;data!$B$59</f>
      </c>
      <c r="K20" s="21">
        <v>57</v>
      </c>
    </row>
    <row r="21">
      <c r="A21" s="26" t="str">
        <f>data!$E$60&amp;" "&amp;data!$B$60</f>
      </c>
      <c r="C21" s="23" t="str">
        <f>CONCATENATE("Pool U-1st ",'Pool Matches'!O212)</f>
      </c>
      <c r="K21" s="20"/>
    </row>
    <row r="22">
      <c r="A22" s="27" t="str">
        <f>data!$E$61&amp;" "&amp;data!$B$61</f>
      </c>
      <c r="D22" s="22"/>
      <c r="E22" s="21">
        <v>20</v>
      </c>
      <c r="K22" s="20"/>
    </row>
    <row r="23">
      <c r="A23" s="22"/>
      <c r="C23" s="23" t="str">
        <f>CONCATENATE("Pool E-2nd ",'Pool Matches'!G213)</f>
      </c>
      <c r="D23" s="15"/>
      <c r="E23" s="20"/>
      <c r="F23" s="22"/>
      <c r="G23" s="20"/>
      <c r="K23" s="20"/>
    </row>
    <row r="24">
      <c r="A24" s="24" t="str">
        <f>'data'!$A$64</f>
      </c>
      <c r="G24" s="21">
        <v>41</v>
      </c>
      <c r="K24" s="20"/>
    </row>
    <row r="25">
      <c r="A25" s="25" t="str">
        <f>data!$E$62&amp;" "&amp;data!$B$62</f>
      </c>
      <c r="C25" s="23" t="str">
        <f>CONCATENATE("Pool V-1st ",'Pool Matches'!O255)</f>
      </c>
      <c r="G25" s="20"/>
      <c r="H25" s="22"/>
      <c r="I25" s="20"/>
      <c r="K25" s="20"/>
    </row>
    <row r="26">
      <c r="A26" s="26" t="str">
        <f>data!$E$63&amp;" "&amp;data!$B$63</f>
      </c>
      <c r="D26" s="22"/>
      <c r="E26" s="21">
        <v>21</v>
      </c>
      <c r="F26" s="15"/>
      <c r="G26" s="20"/>
      <c r="I26" s="20"/>
      <c r="K26" s="20"/>
    </row>
    <row r="27">
      <c r="A27" s="27" t="str">
        <f>data!$E$64&amp;" "&amp;data!$B$64</f>
      </c>
      <c r="C27" s="23" t="str">
        <f>CONCATENATE("Pool F-2nd ",'Pool Matches'!G256)</f>
      </c>
      <c r="D27" s="15"/>
      <c r="E27" s="20"/>
      <c r="I27" s="20"/>
      <c r="K27" s="20"/>
    </row>
    <row r="28">
      <c r="A28" s="22"/>
      <c r="I28" s="21">
        <v>52</v>
      </c>
      <c r="J28" s="15"/>
      <c r="K28" s="20"/>
    </row>
    <row r="29">
      <c r="A29" s="24" t="str">
        <f>'data'!$A$67</f>
      </c>
      <c r="C29" s="23" t="str">
        <f>CONCATENATE("Pool W-1st ",'Pool Matches'!O298)</f>
      </c>
      <c r="I29" s="20"/>
    </row>
    <row r="30">
      <c r="A30" s="25" t="str">
        <f>data!$E$65&amp;" "&amp;data!$B$65</f>
      </c>
      <c r="D30" s="22"/>
      <c r="E30" s="21">
        <v>22</v>
      </c>
      <c r="I30" s="20"/>
    </row>
    <row r="31">
      <c r="A31" s="26" t="str">
        <f>data!$E$66&amp;" "&amp;data!$B$66</f>
      </c>
      <c r="C31" s="23" t="str">
        <f>CONCATENATE("Pool G-2nd ",'Pool Matches'!G299)</f>
      </c>
      <c r="D31" s="15"/>
      <c r="E31" s="20"/>
      <c r="F31" s="22"/>
      <c r="G31" s="20"/>
      <c r="I31" s="20"/>
    </row>
    <row r="32">
      <c r="A32" s="27" t="str">
        <f>data!$E$67&amp;" "&amp;data!$B$67</f>
      </c>
      <c r="G32" s="21">
        <v>42</v>
      </c>
      <c r="H32" s="15"/>
      <c r="I32" s="20"/>
    </row>
    <row r="33">
      <c r="A33" s="22"/>
      <c r="C33" s="23" t="str">
        <f>CONCATENATE("Pool X-1st ",'Pool Matches'!O341)</f>
      </c>
      <c r="G33" s="20"/>
    </row>
    <row r="34">
      <c r="A34" s="24" t="str">
        <f>'data'!$A$70</f>
      </c>
      <c r="D34" s="22"/>
      <c r="E34" s="21">
        <v>23</v>
      </c>
      <c r="F34" s="15"/>
      <c r="G34" s="20"/>
    </row>
    <row r="35">
      <c r="A35" s="25" t="str">
        <f>data!$E$68&amp;" "&amp;data!$B$68</f>
      </c>
      <c r="C35" s="23" t="str">
        <f>CONCATENATE("Pool H-2nd ",'Pool Matches'!G342)</f>
      </c>
      <c r="D35" s="15"/>
      <c r="E35" s="20"/>
    </row>
    <row r="36">
      <c r="A36" s="26" t="str">
        <f>data!$E$69&amp;" "&amp;data!$B$69</f>
      </c>
    </row>
    <row r="37">
      <c r="A37" s="27" t="str">
        <f>data!$E$70&amp;" "&amp;data!$B$70</f>
      </c>
    </row>
    <row r="38">
      <c r="A38" s="22"/>
    </row>
    <row r="39">
      <c r="A39" s="24" t="str">
        <f>'data'!$A$73</f>
      </c>
    </row>
    <row r="40">
      <c r="A40" s="25" t="str">
        <f>data!$E$71&amp;" "&amp;data!$B$71</f>
      </c>
    </row>
    <row r="41">
      <c r="A41" s="26" t="str">
        <f>data!$E$72&amp;" "&amp;data!$B$72</f>
      </c>
    </row>
    <row r="42">
      <c r="A42" s="27" t="str">
        <f>data!$E$73&amp;" "&amp;data!$B$73</f>
      </c>
    </row>
    <row r="43">
      <c r="A4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1.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c r="H1" s="13"/>
      <c r="I1" s="13"/>
      <c r="J1" s="13"/>
      <c r="K1" s="13"/>
    </row>
    <row r="4">
      <c r="A4" s="24" t="str">
        <f>'data'!$A$76</f>
      </c>
    </row>
    <row r="5">
      <c r="A5" s="25" t="str">
        <f>data!$E$74&amp;" "&amp;data!$B$74</f>
      </c>
    </row>
    <row r="6">
      <c r="A6" s="26" t="str">
        <f>data!$E$75&amp;" "&amp;data!$B$75</f>
      </c>
      <c r="C6" s="23"/>
      <c r="D6" s="23"/>
      <c r="E6" s="23" t="str">
        <f>CONCATENATE("Pool Y-1st ",'Pool Matches'!O384)</f>
      </c>
    </row>
    <row r="7">
      <c r="A7" s="27" t="str">
        <f>data!$E$76&amp;" "&amp;data!$B$76</f>
      </c>
      <c r="F7" s="22"/>
      <c r="G7" s="20"/>
    </row>
    <row r="8">
      <c r="A8" s="22"/>
      <c r="G8" s="21">
        <v>43</v>
      </c>
    </row>
    <row r="9">
      <c r="A9" s="24" t="str">
        <f>'data'!$A$79</f>
      </c>
      <c r="C9" s="23" t="str">
        <f>CONCATENATE("Pool Z-1st ",'Pool Matches'!O427)</f>
      </c>
      <c r="G9" s="20"/>
      <c r="H9" s="22"/>
      <c r="I9" s="20"/>
    </row>
    <row r="10">
      <c r="A10" s="25" t="str">
        <f>data!$E$77&amp;" "&amp;data!$B$77</f>
      </c>
      <c r="D10" s="22"/>
      <c r="E10" s="21">
        <v>24</v>
      </c>
      <c r="F10" s="15"/>
      <c r="G10" s="20"/>
      <c r="I10" s="20"/>
    </row>
    <row r="11">
      <c r="A11" s="26" t="str">
        <f>data!$E$78&amp;" "&amp;data!$B$78</f>
      </c>
      <c r="C11" s="23" t="str">
        <f>CONCATENATE("Pool I-2nd ",'Pool Matches'!G385)</f>
      </c>
      <c r="D11" s="15"/>
      <c r="E11" s="20"/>
      <c r="I11" s="20"/>
    </row>
    <row r="12">
      <c r="A12" s="27" t="str">
        <f>data!$E$79&amp;" "&amp;data!$B$79</f>
      </c>
      <c r="I12" s="21">
        <v>53</v>
      </c>
    </row>
    <row r="13">
      <c r="A13" s="22"/>
      <c r="C13" s="23" t="str">
        <f>CONCATENATE("Pool AA-1st ",'Pool Matches'!O470)</f>
      </c>
      <c r="I13" s="20"/>
      <c r="J13" s="22"/>
      <c r="K13" s="20"/>
    </row>
    <row r="14">
      <c r="A14" s="24" t="str">
        <f>'data'!$A$82</f>
      </c>
      <c r="D14" s="22"/>
      <c r="E14" s="21">
        <v>25</v>
      </c>
      <c r="I14" s="20"/>
      <c r="K14" s="20"/>
    </row>
    <row r="15">
      <c r="A15" s="25" t="str">
        <f>data!$E$80&amp;" "&amp;data!$B$80</f>
      </c>
      <c r="C15" s="23" t="str">
        <f>CONCATENATE("Pool J-2nd ",'Pool Matches'!G428)</f>
      </c>
      <c r="D15" s="15"/>
      <c r="E15" s="20"/>
      <c r="F15" s="22"/>
      <c r="G15" s="20"/>
      <c r="I15" s="20"/>
      <c r="K15" s="20"/>
    </row>
    <row r="16">
      <c r="A16" s="26" t="str">
        <f>data!$E$81&amp;" "&amp;data!$B$81</f>
      </c>
      <c r="G16" s="21">
        <v>44</v>
      </c>
      <c r="H16" s="15"/>
      <c r="I16" s="20"/>
      <c r="K16" s="20"/>
    </row>
    <row r="17">
      <c r="A17" s="27" t="str">
        <f>data!$E$82&amp;" "&amp;data!$B$82</f>
      </c>
      <c r="C17" s="23" t="str">
        <f>CONCATENATE("Pool AB-1st ",'Pool Matches'!O513)</f>
      </c>
      <c r="G17" s="20"/>
      <c r="K17" s="20"/>
    </row>
    <row r="18">
      <c r="A18" s="22"/>
      <c r="D18" s="22"/>
      <c r="E18" s="21">
        <v>26</v>
      </c>
      <c r="F18" s="15"/>
      <c r="G18" s="20"/>
      <c r="K18" s="20"/>
    </row>
    <row r="19">
      <c r="A19" s="24" t="str">
        <f>'data'!$A$85</f>
      </c>
      <c r="C19" s="23" t="str">
        <f>CONCATENATE("Pool K-2nd ",'Pool Matches'!G471)</f>
      </c>
      <c r="D19" s="15"/>
      <c r="E19" s="20"/>
      <c r="K19" s="20"/>
    </row>
    <row r="20">
      <c r="A20" s="25" t="str">
        <f>data!$E$83&amp;" "&amp;data!$B$83</f>
      </c>
      <c r="K20" s="21">
        <v>58</v>
      </c>
    </row>
    <row r="21">
      <c r="A21" s="26" t="str">
        <f>data!$E$84&amp;" "&amp;data!$B$84</f>
      </c>
      <c r="C21" s="23" t="str">
        <f>CONCATENATE("Pool AC-1st ",'Pool Matches'!O556)</f>
      </c>
      <c r="K21" s="20"/>
    </row>
    <row r="22">
      <c r="A22" s="27" t="str">
        <f>data!$E$85&amp;" "&amp;data!$B$85</f>
      </c>
      <c r="D22" s="22"/>
      <c r="E22" s="21">
        <v>27</v>
      </c>
      <c r="K22" s="20"/>
    </row>
    <row r="23">
      <c r="A23" s="22"/>
      <c r="C23" s="23" t="str">
        <f>CONCATENATE("Pool L-2nd ",'Pool Matches'!G514)</f>
      </c>
      <c r="D23" s="15"/>
      <c r="E23" s="20"/>
      <c r="F23" s="22"/>
      <c r="G23" s="20"/>
      <c r="K23" s="20"/>
    </row>
    <row r="24">
      <c r="A24" s="24" t="str">
        <f>'data'!$A$88</f>
      </c>
      <c r="G24" s="21">
        <v>45</v>
      </c>
      <c r="K24" s="20"/>
    </row>
    <row r="25">
      <c r="A25" s="25" t="str">
        <f>data!$E$86&amp;" "&amp;data!$B$86</f>
      </c>
      <c r="C25" s="23" t="str">
        <f>CONCATENATE("Pool AD-1st ",'Pool Matches'!O599)</f>
      </c>
      <c r="G25" s="20"/>
      <c r="H25" s="22"/>
      <c r="I25" s="20"/>
      <c r="K25" s="20"/>
    </row>
    <row r="26">
      <c r="A26" s="26" t="str">
        <f>data!$E$87&amp;" "&amp;data!$B$87</f>
      </c>
      <c r="D26" s="22"/>
      <c r="E26" s="21">
        <v>28</v>
      </c>
      <c r="F26" s="15"/>
      <c r="G26" s="20"/>
      <c r="I26" s="20"/>
      <c r="K26" s="20"/>
    </row>
    <row r="27">
      <c r="A27" s="27" t="str">
        <f>data!$E$88&amp;" "&amp;data!$B$88</f>
      </c>
      <c r="C27" s="23" t="str">
        <f>CONCATENATE("Pool M-2nd ",'Pool Matches'!G557)</f>
      </c>
      <c r="D27" s="15"/>
      <c r="E27" s="20"/>
      <c r="I27" s="20"/>
      <c r="K27" s="20"/>
    </row>
    <row r="28">
      <c r="A28" s="22"/>
      <c r="I28" s="21">
        <v>54</v>
      </c>
      <c r="J28" s="15"/>
      <c r="K28" s="20"/>
    </row>
    <row r="29">
      <c r="A29" s="24" t="str">
        <f>'data'!$A$91</f>
      </c>
      <c r="C29" s="23" t="str">
        <f>CONCATENATE("Pool AE-1st ",'Pool Matches'!O640)</f>
      </c>
      <c r="I29" s="20"/>
    </row>
    <row r="30">
      <c r="A30" s="25" t="str">
        <f>data!$E$89&amp;" "&amp;data!$B$89</f>
      </c>
      <c r="D30" s="22"/>
      <c r="E30" s="21">
        <v>29</v>
      </c>
      <c r="I30" s="20"/>
    </row>
    <row r="31">
      <c r="A31" s="26" t="str">
        <f>data!$E$90&amp;" "&amp;data!$B$90</f>
      </c>
      <c r="C31" s="23" t="str">
        <f>CONCATENATE("Pool N-2nd ",'Pool Matches'!G600)</f>
      </c>
      <c r="D31" s="15"/>
      <c r="E31" s="20"/>
      <c r="F31" s="22"/>
      <c r="G31" s="20"/>
      <c r="I31" s="20"/>
    </row>
    <row r="32">
      <c r="A32" s="27" t="str">
        <f>data!$E$91&amp;" "&amp;data!$B$91</f>
      </c>
      <c r="G32" s="21">
        <v>46</v>
      </c>
      <c r="H32" s="15"/>
      <c r="I32" s="20"/>
    </row>
    <row r="33">
      <c r="A33" s="22"/>
      <c r="C33" s="23" t="str">
        <f>CONCATENATE("Pool O-2nd ",'Pool Matches'!G643)</f>
      </c>
      <c r="G33" s="20"/>
    </row>
    <row r="34">
      <c r="A34" s="24" t="str">
        <f>'data'!$A$93</f>
      </c>
      <c r="D34" s="22"/>
      <c r="E34" s="21">
        <v>30</v>
      </c>
      <c r="F34" s="15"/>
      <c r="G34" s="20"/>
    </row>
    <row r="35">
      <c r="A35" s="25" t="str">
        <f>data!$E$92&amp;" "&amp;data!$B$92</f>
      </c>
      <c r="C35" s="23" t="str">
        <f>CONCATENATE("Pool P-2nd ",'Pool Matches'!G668)</f>
      </c>
      <c r="D35" s="15"/>
      <c r="E35" s="20"/>
    </row>
    <row r="36">
      <c r="A36" s="27" t="str">
        <f>data!$E$93&amp;" "&amp;data!$B$93</f>
      </c>
    </row>
    <row r="37">
      <c r="A37"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2.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'data'!$E$3</f>
      </c>
      <c r="B1" s="29" t="str">
        <f>'data'!D3</f>
      </c>
    </row>
    <row r="2" ht="270" customHeight="true">
      <c r="A2" s="28" t="str">
        <f>'data'!$E$4</f>
      </c>
      <c r="B2" s="29" t="str">
        <f>'data'!D4</f>
      </c>
    </row>
    <row r="3" ht="270" customHeight="true">
      <c r="A3" s="28" t="str">
        <f>'data'!$E$5</f>
      </c>
      <c r="B3" s="29" t="str">
        <f>'data'!D5</f>
      </c>
    </row>
    <row r="4" ht="270" customHeight="true">
      <c r="A4" s="28" t="str">
        <f>'data'!$E$6</f>
      </c>
      <c r="B4" s="29" t="str">
        <f>'data'!D6</f>
      </c>
    </row>
    <row r="5" ht="270" customHeight="true">
      <c r="A5" s="28" t="str">
        <f>'data'!$E$7</f>
      </c>
      <c r="B5" s="29" t="str">
        <f>'data'!D7</f>
      </c>
    </row>
    <row r="6" ht="270" customHeight="true">
      <c r="A6" s="28" t="str">
        <f>'data'!$E$8</f>
      </c>
      <c r="B6" s="29" t="str">
        <f>'data'!D8</f>
      </c>
    </row>
    <row r="7" ht="270" customHeight="true">
      <c r="A7" s="28" t="str">
        <f>'data'!$E$9</f>
      </c>
      <c r="B7" s="29" t="str">
        <f>'data'!D9</f>
      </c>
    </row>
    <row r="8" ht="270" customHeight="true">
      <c r="A8" s="28" t="str">
        <f>'data'!$E$10</f>
      </c>
      <c r="B8" s="29" t="str">
        <f>'data'!D10</f>
      </c>
    </row>
    <row r="9" ht="270" customHeight="true">
      <c r="A9" s="28" t="str">
        <f>'data'!$E$11</f>
      </c>
      <c r="B9" s="29" t="str">
        <f>'data'!D11</f>
      </c>
    </row>
    <row r="10" ht="270" customHeight="true">
      <c r="A10" s="28" t="str">
        <f>'data'!$E$12</f>
      </c>
      <c r="B10" s="29" t="str">
        <f>'data'!D12</f>
      </c>
    </row>
    <row r="11" ht="270" customHeight="true">
      <c r="A11" s="28" t="str">
        <f>'data'!$E$13</f>
      </c>
      <c r="B11" s="29" t="str">
        <f>'data'!D13</f>
      </c>
    </row>
    <row r="12" ht="270" customHeight="true">
      <c r="A12" s="28" t="str">
        <f>'data'!$E$14</f>
      </c>
      <c r="B12" s="29" t="str">
        <f>'data'!D14</f>
      </c>
    </row>
    <row r="13" ht="270" customHeight="true">
      <c r="A13" s="28" t="str">
        <f>'data'!$E$15</f>
      </c>
      <c r="B13" s="29" t="str">
        <f>'data'!D15</f>
      </c>
    </row>
    <row r="14" ht="270" customHeight="true">
      <c r="A14" s="28" t="str">
        <f>'data'!$E$16</f>
      </c>
      <c r="B14" s="29" t="str">
        <f>'data'!D16</f>
      </c>
    </row>
    <row r="15" ht="270" customHeight="true">
      <c r="A15" s="28" t="str">
        <f>'data'!$E$17</f>
      </c>
      <c r="B15" s="29" t="str">
        <f>'data'!D17</f>
      </c>
    </row>
    <row r="16" ht="270" customHeight="true">
      <c r="A16" s="28" t="str">
        <f>'data'!$E$18</f>
      </c>
      <c r="B16" s="29" t="str">
        <f>'data'!D18</f>
      </c>
    </row>
    <row r="17" ht="270" customHeight="true">
      <c r="A17" s="28" t="str">
        <f>'data'!$E$19</f>
      </c>
      <c r="B17" s="29" t="str">
        <f>'data'!D19</f>
      </c>
    </row>
    <row r="18" ht="270" customHeight="true">
      <c r="A18" s="28" t="str">
        <f>'data'!$E$20</f>
      </c>
      <c r="B18" s="29" t="str">
        <f>'data'!D20</f>
      </c>
    </row>
    <row r="19" ht="270" customHeight="true">
      <c r="A19" s="28" t="str">
        <f>'data'!$E$21</f>
      </c>
      <c r="B19" s="29" t="str">
        <f>'data'!D21</f>
      </c>
    </row>
    <row r="20" ht="270" customHeight="true">
      <c r="A20" s="28" t="str">
        <f>'data'!$E$22</f>
      </c>
      <c r="B20" s="29" t="str">
        <f>'data'!D22</f>
      </c>
    </row>
    <row r="21" ht="270" customHeight="true">
      <c r="A21" s="28" t="str">
        <f>'data'!$E$23</f>
      </c>
      <c r="B21" s="29" t="str">
        <f>'data'!D23</f>
      </c>
    </row>
    <row r="22" ht="270" customHeight="true">
      <c r="A22" s="28" t="str">
        <f>'data'!$E$24</f>
      </c>
      <c r="B22" s="29" t="str">
        <f>'data'!D24</f>
      </c>
    </row>
    <row r="23" ht="270" customHeight="true">
      <c r="A23" s="28" t="str">
        <f>'data'!$E$25</f>
      </c>
      <c r="B23" s="29" t="str">
        <f>'data'!D25</f>
      </c>
    </row>
    <row r="24" ht="270" customHeight="true">
      <c r="A24" s="28" t="str">
        <f>'data'!$E$26</f>
      </c>
      <c r="B24" s="29" t="str">
        <f>'data'!D26</f>
      </c>
    </row>
    <row r="25" ht="270" customHeight="true">
      <c r="A25" s="28" t="str">
        <f>'data'!$E$27</f>
      </c>
      <c r="B25" s="29" t="str">
        <f>'data'!D27</f>
      </c>
    </row>
    <row r="26" ht="270" customHeight="true">
      <c r="A26" s="28" t="str">
        <f>'data'!$E$28</f>
      </c>
      <c r="B26" s="29" t="str">
        <f>'data'!D28</f>
      </c>
    </row>
    <row r="27" ht="270" customHeight="true">
      <c r="A27" s="28" t="str">
        <f>'data'!$E$29</f>
      </c>
      <c r="B27" s="29" t="str">
        <f>'data'!D29</f>
      </c>
    </row>
    <row r="28" ht="270" customHeight="true">
      <c r="A28" s="28" t="str">
        <f>'data'!$E$30</f>
      </c>
      <c r="B28" s="29" t="str">
        <f>'data'!D30</f>
      </c>
    </row>
    <row r="29" ht="270" customHeight="true">
      <c r="A29" s="28" t="str">
        <f>'data'!$E$31</f>
      </c>
      <c r="B29" s="29" t="str">
        <f>'data'!D31</f>
      </c>
    </row>
    <row r="30" ht="270" customHeight="true">
      <c r="A30" s="28" t="str">
        <f>'data'!$E$32</f>
      </c>
      <c r="B30" s="29" t="str">
        <f>'data'!D32</f>
      </c>
    </row>
    <row r="31" ht="270" customHeight="true">
      <c r="A31" s="28" t="str">
        <f>'data'!$E$33</f>
      </c>
      <c r="B31" s="29" t="str">
        <f>'data'!D33</f>
      </c>
    </row>
    <row r="32" ht="270" customHeight="true">
      <c r="A32" s="28" t="str">
        <f>'data'!$E$34</f>
      </c>
      <c r="B32" s="29" t="str">
        <f>'data'!D34</f>
      </c>
    </row>
    <row r="33" ht="270" customHeight="true">
      <c r="A33" s="28" t="str">
        <f>'data'!$E$35</f>
      </c>
      <c r="B33" s="29" t="str">
        <f>'data'!D35</f>
      </c>
    </row>
    <row r="34" ht="270" customHeight="true">
      <c r="A34" s="28" t="str">
        <f>'data'!$E$36</f>
      </c>
      <c r="B34" s="29" t="str">
        <f>'data'!D36</f>
      </c>
    </row>
    <row r="35" ht="270" customHeight="true">
      <c r="A35" s="28" t="str">
        <f>'data'!$E$37</f>
      </c>
      <c r="B35" s="29" t="str">
        <f>'data'!D37</f>
      </c>
    </row>
    <row r="36" ht="270" customHeight="true">
      <c r="A36" s="28" t="str">
        <f>'data'!$E$38</f>
      </c>
      <c r="B36" s="29" t="str">
        <f>'data'!D38</f>
      </c>
    </row>
    <row r="37" ht="270" customHeight="true">
      <c r="A37" s="28" t="str">
        <f>'data'!$E$39</f>
      </c>
      <c r="B37" s="29" t="str">
        <f>'data'!D39</f>
      </c>
    </row>
    <row r="38" ht="270" customHeight="true">
      <c r="A38" s="28" t="str">
        <f>'data'!$E$40</f>
      </c>
      <c r="B38" s="29" t="str">
        <f>'data'!D40</f>
      </c>
    </row>
    <row r="39" ht="270" customHeight="true">
      <c r="A39" s="28" t="str">
        <f>'data'!$E$41</f>
      </c>
      <c r="B39" s="29" t="str">
        <f>'data'!D41</f>
      </c>
    </row>
    <row r="40" ht="270" customHeight="true">
      <c r="A40" s="28" t="str">
        <f>'data'!$E$42</f>
      </c>
      <c r="B40" s="29" t="str">
        <f>'data'!D42</f>
      </c>
    </row>
    <row r="41" ht="270" customHeight="true">
      <c r="A41" s="28" t="str">
        <f>'data'!$E$43</f>
      </c>
      <c r="B41" s="29" t="str">
        <f>'data'!D43</f>
      </c>
    </row>
    <row r="42" ht="270" customHeight="true">
      <c r="A42" s="28" t="str">
        <f>'data'!$E$44</f>
      </c>
      <c r="B42" s="29" t="str">
        <f>'data'!D44</f>
      </c>
    </row>
    <row r="43" ht="270" customHeight="true">
      <c r="A43" s="28" t="str">
        <f>'data'!$E$45</f>
      </c>
      <c r="B43" s="29" t="str">
        <f>'data'!D45</f>
      </c>
    </row>
    <row r="44" ht="270" customHeight="true">
      <c r="A44" s="28" t="str">
        <f>'data'!$E$46</f>
      </c>
      <c r="B44" s="29" t="str">
        <f>'data'!D46</f>
      </c>
    </row>
    <row r="45" ht="270" customHeight="true">
      <c r="A45" s="28" t="str">
        <f>'data'!$E$47</f>
      </c>
      <c r="B45" s="29" t="str">
        <f>'data'!D47</f>
      </c>
    </row>
    <row r="46" ht="270" customHeight="true">
      <c r="A46" s="28" t="str">
        <f>'data'!$E$48</f>
      </c>
      <c r="B46" s="29" t="str">
        <f>'data'!D48</f>
      </c>
    </row>
    <row r="47" ht="270" customHeight="true">
      <c r="A47" s="28" t="str">
        <f>'data'!$E$49</f>
      </c>
      <c r="B47" s="29" t="str">
        <f>'data'!D49</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xl/worksheets/sheet13.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'data'!$E$50</f>
      </c>
      <c r="B1" s="29" t="str">
        <f>'data'!D50</f>
      </c>
    </row>
    <row r="2" ht="270" customHeight="true">
      <c r="A2" s="28" t="str">
        <f>'data'!$E$51</f>
      </c>
      <c r="B2" s="29" t="str">
        <f>'data'!D51</f>
      </c>
    </row>
    <row r="3" ht="270" customHeight="true">
      <c r="A3" s="28" t="str">
        <f>'data'!$E$52</f>
      </c>
      <c r="B3" s="29" t="str">
        <f>'data'!D52</f>
      </c>
    </row>
    <row r="4" ht="270" customHeight="true">
      <c r="A4" s="28" t="str">
        <f>'data'!$E$53</f>
      </c>
      <c r="B4" s="29" t="str">
        <f>'data'!D53</f>
      </c>
    </row>
    <row r="5" ht="270" customHeight="true">
      <c r="A5" s="28" t="str">
        <f>'data'!$E$54</f>
      </c>
      <c r="B5" s="29" t="str">
        <f>'data'!D54</f>
      </c>
    </row>
    <row r="6" ht="270" customHeight="true">
      <c r="A6" s="28" t="str">
        <f>'data'!$E$55</f>
      </c>
      <c r="B6" s="29" t="str">
        <f>'data'!D55</f>
      </c>
    </row>
    <row r="7" ht="270" customHeight="true">
      <c r="A7" s="28" t="str">
        <f>'data'!$E$56</f>
      </c>
      <c r="B7" s="29" t="str">
        <f>'data'!D56</f>
      </c>
    </row>
    <row r="8" ht="270" customHeight="true">
      <c r="A8" s="28" t="str">
        <f>'data'!$E$57</f>
      </c>
      <c r="B8" s="29" t="str">
        <f>'data'!D57</f>
      </c>
    </row>
    <row r="9" ht="270" customHeight="true">
      <c r="A9" s="28" t="str">
        <f>'data'!$E$58</f>
      </c>
      <c r="B9" s="29" t="str">
        <f>'data'!D58</f>
      </c>
    </row>
    <row r="10" ht="270" customHeight="true">
      <c r="A10" s="28" t="str">
        <f>'data'!$E$59</f>
      </c>
      <c r="B10" s="29" t="str">
        <f>'data'!D59</f>
      </c>
    </row>
    <row r="11" ht="270" customHeight="true">
      <c r="A11" s="28" t="str">
        <f>'data'!$E$60</f>
      </c>
      <c r="B11" s="29" t="str">
        <f>'data'!D60</f>
      </c>
    </row>
    <row r="12" ht="270" customHeight="true">
      <c r="A12" s="28" t="str">
        <f>'data'!$E$61</f>
      </c>
      <c r="B12" s="29" t="str">
        <f>'data'!D61</f>
      </c>
    </row>
    <row r="13" ht="270" customHeight="true">
      <c r="A13" s="28" t="str">
        <f>'data'!$E$62</f>
      </c>
      <c r="B13" s="29" t="str">
        <f>'data'!D62</f>
      </c>
    </row>
    <row r="14" ht="270" customHeight="true">
      <c r="A14" s="28" t="str">
        <f>'data'!$E$63</f>
      </c>
      <c r="B14" s="29" t="str">
        <f>'data'!D63</f>
      </c>
    </row>
    <row r="15" ht="270" customHeight="true">
      <c r="A15" s="28" t="str">
        <f>'data'!$E$64</f>
      </c>
      <c r="B15" s="29" t="str">
        <f>'data'!D64</f>
      </c>
    </row>
    <row r="16" ht="270" customHeight="true">
      <c r="A16" s="28" t="str">
        <f>'data'!$E$65</f>
      </c>
      <c r="B16" s="29" t="str">
        <f>'data'!D65</f>
      </c>
    </row>
    <row r="17" ht="270" customHeight="true">
      <c r="A17" s="28" t="str">
        <f>'data'!$E$66</f>
      </c>
      <c r="B17" s="29" t="str">
        <f>'data'!D66</f>
      </c>
    </row>
    <row r="18" ht="270" customHeight="true">
      <c r="A18" s="28" t="str">
        <f>'data'!$E$67</f>
      </c>
      <c r="B18" s="29" t="str">
        <f>'data'!D67</f>
      </c>
    </row>
    <row r="19" ht="270" customHeight="true">
      <c r="A19" s="28" t="str">
        <f>'data'!$E$68</f>
      </c>
      <c r="B19" s="29" t="str">
        <f>'data'!D68</f>
      </c>
    </row>
    <row r="20" ht="270" customHeight="true">
      <c r="A20" s="28" t="str">
        <f>'data'!$E$69</f>
      </c>
      <c r="B20" s="29" t="str">
        <f>'data'!D69</f>
      </c>
    </row>
    <row r="21" ht="270" customHeight="true">
      <c r="A21" s="28" t="str">
        <f>'data'!$E$70</f>
      </c>
      <c r="B21" s="29" t="str">
        <f>'data'!D70</f>
      </c>
    </row>
    <row r="22" ht="270" customHeight="true">
      <c r="A22" s="28" t="str">
        <f>'data'!$E$71</f>
      </c>
      <c r="B22" s="29" t="str">
        <f>'data'!D71</f>
      </c>
    </row>
    <row r="23" ht="270" customHeight="true">
      <c r="A23" s="28" t="str">
        <f>'data'!$E$72</f>
      </c>
      <c r="B23" s="29" t="str">
        <f>'data'!D72</f>
      </c>
    </row>
    <row r="24" ht="270" customHeight="true">
      <c r="A24" s="28" t="str">
        <f>'data'!$E$73</f>
      </c>
      <c r="B24" s="29" t="str">
        <f>'data'!D73</f>
      </c>
    </row>
    <row r="25" ht="270" customHeight="true">
      <c r="A25" s="28" t="str">
        <f>'data'!$E$74</f>
      </c>
      <c r="B25" s="29" t="str">
        <f>'data'!D74</f>
      </c>
    </row>
    <row r="26" ht="270" customHeight="true">
      <c r="A26" s="28" t="str">
        <f>'data'!$E$75</f>
      </c>
      <c r="B26" s="29" t="str">
        <f>'data'!D75</f>
      </c>
    </row>
    <row r="27" ht="270" customHeight="true">
      <c r="A27" s="28" t="str">
        <f>'data'!$E$76</f>
      </c>
      <c r="B27" s="29" t="str">
        <f>'data'!D76</f>
      </c>
    </row>
    <row r="28" ht="270" customHeight="true">
      <c r="A28" s="28" t="str">
        <f>'data'!$E$77</f>
      </c>
      <c r="B28" s="29" t="str">
        <f>'data'!D77</f>
      </c>
    </row>
    <row r="29" ht="270" customHeight="true">
      <c r="A29" s="28" t="str">
        <f>'data'!$E$78</f>
      </c>
      <c r="B29" s="29" t="str">
        <f>'data'!D78</f>
      </c>
    </row>
    <row r="30" ht="270" customHeight="true">
      <c r="A30" s="28" t="str">
        <f>'data'!$E$79</f>
      </c>
      <c r="B30" s="29" t="str">
        <f>'data'!D79</f>
      </c>
    </row>
    <row r="31" ht="270" customHeight="true">
      <c r="A31" s="28" t="str">
        <f>'data'!$E$80</f>
      </c>
      <c r="B31" s="29" t="str">
        <f>'data'!D80</f>
      </c>
    </row>
    <row r="32" ht="270" customHeight="true">
      <c r="A32" s="28" t="str">
        <f>'data'!$E$81</f>
      </c>
      <c r="B32" s="29" t="str">
        <f>'data'!D81</f>
      </c>
    </row>
    <row r="33" ht="270" customHeight="true">
      <c r="A33" s="28" t="str">
        <f>'data'!$E$82</f>
      </c>
      <c r="B33" s="29" t="str">
        <f>'data'!D82</f>
      </c>
    </row>
    <row r="34" ht="270" customHeight="true">
      <c r="A34" s="28" t="str">
        <f>'data'!$E$83</f>
      </c>
      <c r="B34" s="29" t="str">
        <f>'data'!D83</f>
      </c>
    </row>
    <row r="35" ht="270" customHeight="true">
      <c r="A35" s="28" t="str">
        <f>'data'!$E$84</f>
      </c>
      <c r="B35" s="29" t="str">
        <f>'data'!D84</f>
      </c>
    </row>
    <row r="36" ht="270" customHeight="true">
      <c r="A36" s="28" t="str">
        <f>'data'!$E$85</f>
      </c>
      <c r="B36" s="29" t="str">
        <f>'data'!D85</f>
      </c>
    </row>
    <row r="37" ht="270" customHeight="true">
      <c r="A37" s="28" t="str">
        <f>'data'!$E$86</f>
      </c>
      <c r="B37" s="29" t="str">
        <f>'data'!D86</f>
      </c>
    </row>
    <row r="38" ht="270" customHeight="true">
      <c r="A38" s="28" t="str">
        <f>'data'!$E$87</f>
      </c>
      <c r="B38" s="29" t="str">
        <f>'data'!D87</f>
      </c>
    </row>
    <row r="39" ht="270" customHeight="true">
      <c r="A39" s="28" t="str">
        <f>'data'!$E$88</f>
      </c>
      <c r="B39" s="29" t="str">
        <f>'data'!D88</f>
      </c>
    </row>
    <row r="40" ht="270" customHeight="true">
      <c r="A40" s="28" t="str">
        <f>'data'!$E$89</f>
      </c>
      <c r="B40" s="29" t="str">
        <f>'data'!D89</f>
      </c>
    </row>
    <row r="41" ht="270" customHeight="true">
      <c r="A41" s="28" t="str">
        <f>'data'!$E$90</f>
      </c>
      <c r="B41" s="29" t="str">
        <f>'data'!D90</f>
      </c>
    </row>
    <row r="42" ht="270" customHeight="true">
      <c r="A42" s="28" t="str">
        <f>'data'!$E$91</f>
      </c>
      <c r="B42" s="29" t="str">
        <f>'data'!D91</f>
      </c>
    </row>
    <row r="43" ht="270" customHeight="true">
      <c r="A43" s="28" t="str">
        <f>'data'!$E$92</f>
      </c>
      <c r="B43" s="29" t="str">
        <f>'data'!D92</f>
      </c>
    </row>
    <row r="44" ht="270" customHeight="true">
      <c r="A44" s="28" t="str">
        <f>'data'!$E$93</f>
      </c>
      <c r="B44" s="29" t="str">
        <f>'data'!D93</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4" manualBreakCount="14">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rowBreaks>
  <colBreaks/>
</worksheet>
</file>

<file path=xl/worksheets/sheet14.xml><?xml version="1.0" encoding="utf-8"?>
<worksheet xmlns="http://schemas.openxmlformats.org/spreadsheetml/2006/main">
  <dimension ref="A1"/>
  <sheetViews>
    <sheetView tabSelected="true" workbookViewId="0"/>
  </sheetViews>
  <cols>
    <col customWidth="true" max="1" min="1" width="88"/>
  </cols>
  <sheetData>
    <row r="1" ht="409" customHeight="true">
      <c r="A1" s="30" t="s">
        <v>21</v>
      </c>
    </row>
    <row r="2" ht="409" customHeight="true">
      <c r="A2" s="30" t="s">
        <v>21</v>
      </c>
    </row>
    <row r="3" ht="409" customHeight="true">
      <c r="A3" s="30" t="s">
        <v>25</v>
      </c>
    </row>
    <row r="4" ht="409" customHeight="true">
      <c r="A4" s="30" t="s">
        <v>25</v>
      </c>
    </row>
    <row r="5" ht="409" customHeight="true">
      <c r="A5" s="30" t="s">
        <v>29</v>
      </c>
    </row>
    <row r="6" ht="409" customHeight="true">
      <c r="A6" s="30" t="s">
        <v>29</v>
      </c>
    </row>
    <row r="7" ht="409" customHeight="true">
      <c r="A7" s="30" t="s">
        <v>34</v>
      </c>
    </row>
    <row r="8" ht="409" customHeight="true">
      <c r="A8" s="30" t="s">
        <v>34</v>
      </c>
    </row>
    <row r="9" ht="409" customHeight="true">
      <c r="A9" s="30" t="s">
        <v>38</v>
      </c>
    </row>
    <row r="10" ht="409" customHeight="true">
      <c r="A10" s="30" t="s">
        <v>38</v>
      </c>
    </row>
    <row r="11" ht="409" customHeight="true">
      <c r="A11" s="30" t="s">
        <v>42</v>
      </c>
    </row>
    <row r="12" ht="409" customHeight="true">
      <c r="A12" s="30" t="s">
        <v>42</v>
      </c>
    </row>
    <row r="13" ht="409" customHeight="true">
      <c r="A13" s="30" t="s">
        <v>47</v>
      </c>
    </row>
    <row r="14" ht="409" customHeight="true">
      <c r="A14" s="30" t="s">
        <v>47</v>
      </c>
    </row>
    <row r="15" ht="409" customHeight="true">
      <c r="A15" s="30" t="s">
        <v>51</v>
      </c>
    </row>
    <row r="16" ht="409" customHeight="true">
      <c r="A16" s="30" t="s">
        <v>51</v>
      </c>
    </row>
    <row r="17" ht="409" customHeight="true">
      <c r="A17" s="30" t="s">
        <v>55</v>
      </c>
    </row>
    <row r="18" ht="409" customHeight="true">
      <c r="A18" s="30" t="s">
        <v>55</v>
      </c>
    </row>
    <row r="19" ht="409" customHeight="true">
      <c r="A19" s="30" t="s">
        <v>60</v>
      </c>
    </row>
    <row r="20" ht="409" customHeight="true">
      <c r="A20" s="30" t="s">
        <v>60</v>
      </c>
    </row>
    <row r="21" ht="409" customHeight="true">
      <c r="A21" s="30" t="s">
        <v>62</v>
      </c>
    </row>
    <row r="22" ht="409" customHeight="true">
      <c r="A22" s="30" t="s">
        <v>62</v>
      </c>
    </row>
    <row r="23" ht="409" customHeight="true">
      <c r="A23" s="30" t="s">
        <v>66</v>
      </c>
    </row>
    <row r="24" ht="409" customHeight="true">
      <c r="A24" s="30" t="s">
        <v>66</v>
      </c>
    </row>
    <row r="25" ht="409" customHeight="true">
      <c r="A25" s="30" t="s">
        <v>70</v>
      </c>
    </row>
    <row r="26" ht="409" customHeight="true">
      <c r="A26" s="30" t="s">
        <v>70</v>
      </c>
    </row>
    <row r="27" ht="409" customHeight="true">
      <c r="A27" s="30" t="s">
        <v>74</v>
      </c>
    </row>
    <row r="28" ht="409" customHeight="true">
      <c r="A28" s="30" t="s">
        <v>74</v>
      </c>
    </row>
    <row r="29" ht="409" customHeight="true">
      <c r="A29" s="30" t="s">
        <v>77</v>
      </c>
    </row>
    <row r="30" ht="409" customHeight="true">
      <c r="A30" s="30" t="s">
        <v>77</v>
      </c>
    </row>
    <row r="31" ht="409" customHeight="true">
      <c r="A31" s="30" t="s">
        <v>82</v>
      </c>
    </row>
    <row r="32" ht="409" customHeight="true">
      <c r="A32" s="30" t="s">
        <v>82</v>
      </c>
    </row>
    <row r="33" ht="409" customHeight="true">
      <c r="A33" s="30" t="s">
        <v>86</v>
      </c>
    </row>
    <row r="34" ht="409" customHeight="true">
      <c r="A34" s="30" t="s">
        <v>86</v>
      </c>
    </row>
    <row r="35" ht="409" customHeight="true">
      <c r="A35" s="30" t="s">
        <v>89</v>
      </c>
    </row>
    <row r="36" ht="409" customHeight="true">
      <c r="A36" s="30" t="s">
        <v>89</v>
      </c>
    </row>
    <row r="37" ht="409" customHeight="true">
      <c r="A37" s="30" t="s">
        <v>93</v>
      </c>
    </row>
    <row r="38" ht="409" customHeight="true">
      <c r="A38" s="30" t="s">
        <v>93</v>
      </c>
    </row>
    <row r="39" ht="409" customHeight="true">
      <c r="A39" s="30" t="s">
        <v>96</v>
      </c>
    </row>
    <row r="40" ht="409" customHeight="true">
      <c r="A40" s="30" t="s">
        <v>96</v>
      </c>
    </row>
    <row r="41" ht="409" customHeight="true">
      <c r="A41" s="30" t="s">
        <v>100</v>
      </c>
    </row>
    <row r="42" ht="409" customHeight="true">
      <c r="A42" s="30" t="s">
        <v>100</v>
      </c>
    </row>
    <row r="43" ht="409" customHeight="true">
      <c r="A43" s="30" t="s">
        <v>105</v>
      </c>
    </row>
    <row r="44" ht="409" customHeight="true">
      <c r="A44" s="30" t="s">
        <v>105</v>
      </c>
    </row>
    <row r="45" ht="409" customHeight="true">
      <c r="A45" s="30" t="s">
        <v>109</v>
      </c>
    </row>
    <row r="46" ht="409" customHeight="true">
      <c r="A46" s="30" t="s">
        <v>109</v>
      </c>
    </row>
    <row r="47" ht="409" customHeight="true">
      <c r="A47" s="30" t="s">
        <v>112</v>
      </c>
    </row>
    <row r="48" ht="409" customHeight="true">
      <c r="A48" s="30" t="s">
        <v>112</v>
      </c>
    </row>
    <row r="49" ht="409" customHeight="true">
      <c r="A49" s="30" t="s">
        <v>116</v>
      </c>
    </row>
    <row r="50" ht="409" customHeight="true">
      <c r="A50" s="30" t="s">
        <v>116</v>
      </c>
    </row>
    <row r="51" ht="409" customHeight="true">
      <c r="A51" s="30" t="s">
        <v>118</v>
      </c>
    </row>
    <row r="52" ht="409" customHeight="true">
      <c r="A52" s="30" t="s">
        <v>118</v>
      </c>
    </row>
    <row r="53" ht="409" customHeight="true">
      <c r="A53" s="30" t="s">
        <v>121</v>
      </c>
    </row>
    <row r="54" ht="409" customHeight="true">
      <c r="A54" s="30" t="s">
        <v>121</v>
      </c>
    </row>
    <row r="55" ht="409" customHeight="true">
      <c r="A55" s="30" t="s">
        <v>125</v>
      </c>
    </row>
    <row r="56" ht="409" customHeight="true">
      <c r="A56" s="30" t="s">
        <v>125</v>
      </c>
    </row>
    <row r="57" ht="409" customHeight="true">
      <c r="A57" s="30" t="s">
        <v>129</v>
      </c>
    </row>
    <row r="58" ht="409" customHeight="true">
      <c r="A58" s="30" t="s">
        <v>129</v>
      </c>
    </row>
    <row r="59" ht="409" customHeight="true">
      <c r="A59" s="30" t="s">
        <v>133</v>
      </c>
    </row>
    <row r="60" ht="409" customHeight="true">
      <c r="A60" s="30" t="s">
        <v>133</v>
      </c>
    </row>
    <row r="61" ht="409" customHeight="true">
      <c r="A61" s="30" t="s">
        <v>137</v>
      </c>
    </row>
    <row r="62" ht="409" customHeight="true">
      <c r="A62" s="30" t="s">
        <v>137</v>
      </c>
    </row>
    <row r="63" ht="409" customHeight="true">
      <c r="A63" s="30" t="s">
        <v>140</v>
      </c>
    </row>
    <row r="64" ht="409" customHeight="true">
      <c r="A64" s="30" t="s">
        <v>140</v>
      </c>
    </row>
    <row r="65" ht="409" customHeight="true">
      <c r="A65" s="30" t="s">
        <v>144</v>
      </c>
    </row>
    <row r="66" ht="409" customHeight="true">
      <c r="A66" s="30" t="s">
        <v>144</v>
      </c>
    </row>
    <row r="67" ht="409" customHeight="true">
      <c r="A67" s="30" t="s">
        <v>148</v>
      </c>
    </row>
    <row r="68" ht="409" customHeight="true">
      <c r="A68" s="30" t="s">
        <v>148</v>
      </c>
    </row>
    <row r="69" ht="409" customHeight="true">
      <c r="A69" s="30" t="s">
        <v>150</v>
      </c>
    </row>
    <row r="70" ht="409" customHeight="true">
      <c r="A70" s="30" t="s">
        <v>150</v>
      </c>
    </row>
    <row r="71" ht="409" customHeight="true">
      <c r="A71" s="30" t="s">
        <v>154</v>
      </c>
    </row>
    <row r="72" ht="409" customHeight="true">
      <c r="A72" s="30" t="s">
        <v>154</v>
      </c>
    </row>
    <row r="73" ht="409" customHeight="true">
      <c r="A73" s="30" t="s">
        <v>158</v>
      </c>
    </row>
    <row r="74" ht="409" customHeight="true">
      <c r="A74" s="30" t="s">
        <v>158</v>
      </c>
    </row>
    <row r="75" ht="409" customHeight="true">
      <c r="A75" s="30" t="s">
        <v>161</v>
      </c>
    </row>
    <row r="76" ht="409" customHeight="true">
      <c r="A76" s="30" t="s">
        <v>161</v>
      </c>
    </row>
    <row r="77" ht="409" customHeight="true">
      <c r="A77" s="30" t="s">
        <v>165</v>
      </c>
    </row>
    <row r="78" ht="409" customHeight="true">
      <c r="A78" s="30" t="s">
        <v>165</v>
      </c>
    </row>
    <row r="79" ht="409" customHeight="true">
      <c r="A79" s="30" t="s">
        <v>169</v>
      </c>
    </row>
    <row r="80" ht="409" customHeight="true">
      <c r="A80" s="30" t="s">
        <v>169</v>
      </c>
    </row>
    <row r="81" ht="409" customHeight="true">
      <c r="A81" s="30" t="s">
        <v>172</v>
      </c>
    </row>
    <row r="82" ht="409" customHeight="true">
      <c r="A82" s="30" t="s">
        <v>172</v>
      </c>
    </row>
    <row r="83" ht="409" customHeight="true">
      <c r="A83" s="30" t="s">
        <v>175</v>
      </c>
    </row>
    <row r="84" ht="409" customHeight="true">
      <c r="A84" s="30" t="s">
        <v>175</v>
      </c>
    </row>
    <row r="85" ht="409" customHeight="true">
      <c r="A85" s="30" t="s">
        <v>179</v>
      </c>
    </row>
    <row r="86" ht="409" customHeight="true">
      <c r="A86" s="30" t="s">
        <v>179</v>
      </c>
    </row>
    <row r="87" ht="409" customHeight="true">
      <c r="A87" s="30" t="s">
        <v>182</v>
      </c>
    </row>
    <row r="88" ht="409" customHeight="true">
      <c r="A88" s="30" t="s">
        <v>182</v>
      </c>
    </row>
    <row r="89" ht="409" customHeight="true">
      <c r="A89" s="30" t="s">
        <v>186</v>
      </c>
    </row>
    <row r="90" ht="409" customHeight="true">
      <c r="A90" s="30" t="s">
        <v>186</v>
      </c>
    </row>
    <row r="91" ht="409" customHeight="true">
      <c r="A91" s="30" t="s">
        <v>190</v>
      </c>
    </row>
    <row r="92" ht="409" customHeight="true">
      <c r="A92" s="30" t="s">
        <v>190</v>
      </c>
    </row>
    <row r="93" ht="409" customHeight="true">
      <c r="A93" s="30" t="s">
        <v>194</v>
      </c>
    </row>
    <row r="94" ht="409" customHeight="true">
      <c r="A94" s="30" t="s">
        <v>194</v>
      </c>
    </row>
    <row r="95" ht="409" customHeight="true">
      <c r="A95" s="30" t="s">
        <v>198</v>
      </c>
    </row>
    <row r="96" ht="409" customHeight="true">
      <c r="A96" s="30" t="s">
        <v>198</v>
      </c>
    </row>
    <row r="97" ht="409" customHeight="true">
      <c r="A97" s="30" t="s">
        <v>201</v>
      </c>
    </row>
    <row r="98" ht="409" customHeight="true">
      <c r="A98" s="30" t="s">
        <v>201</v>
      </c>
    </row>
    <row r="99" ht="409" customHeight="true">
      <c r="A99" s="30" t="s">
        <v>204</v>
      </c>
    </row>
    <row r="100" ht="409" customHeight="true">
      <c r="A100" s="30" t="s">
        <v>204</v>
      </c>
    </row>
    <row r="101" ht="409" customHeight="true">
      <c r="A101" s="30" t="s">
        <v>208</v>
      </c>
    </row>
    <row r="102" ht="409" customHeight="true">
      <c r="A102" s="30" t="s">
        <v>208</v>
      </c>
    </row>
    <row r="103" ht="409" customHeight="true">
      <c r="A103" s="30" t="s">
        <v>211</v>
      </c>
    </row>
    <row r="104" ht="409" customHeight="true">
      <c r="A104" s="30" t="s">
        <v>211</v>
      </c>
    </row>
    <row r="105" ht="409" customHeight="true">
      <c r="A105" s="30" t="s">
        <v>213</v>
      </c>
    </row>
    <row r="106" ht="409" customHeight="true">
      <c r="A106" s="30" t="s">
        <v>213</v>
      </c>
    </row>
    <row r="107" ht="409" customHeight="true">
      <c r="A107" s="30" t="s">
        <v>217</v>
      </c>
    </row>
    <row r="108" ht="409" customHeight="true">
      <c r="A108" s="30" t="s">
        <v>217</v>
      </c>
    </row>
    <row r="109" ht="409" customHeight="true">
      <c r="A109" s="30" t="s">
        <v>219</v>
      </c>
    </row>
    <row r="110" ht="409" customHeight="true">
      <c r="A110" s="30" t="s">
        <v>219</v>
      </c>
    </row>
    <row r="111" ht="409" customHeight="true">
      <c r="A111" s="30" t="s">
        <v>222</v>
      </c>
    </row>
    <row r="112" ht="409" customHeight="true">
      <c r="A112" s="30" t="s">
        <v>222</v>
      </c>
    </row>
    <row r="113" ht="409" customHeight="true">
      <c r="A113" s="30" t="s">
        <v>226</v>
      </c>
    </row>
    <row r="114" ht="409" customHeight="true">
      <c r="A114" s="30" t="s">
        <v>226</v>
      </c>
    </row>
    <row r="115" ht="409" customHeight="true">
      <c r="A115" s="30" t="s">
        <v>228</v>
      </c>
    </row>
    <row r="116" ht="409" customHeight="true">
      <c r="A116" s="30" t="s">
        <v>228</v>
      </c>
    </row>
    <row r="117" ht="409" customHeight="true">
      <c r="A117" s="30" t="s">
        <v>231</v>
      </c>
    </row>
    <row r="118" ht="409" customHeight="true">
      <c r="A118" s="30" t="s">
        <v>231</v>
      </c>
    </row>
    <row r="119" ht="409" customHeight="true">
      <c r="A119" s="30" t="s">
        <v>234</v>
      </c>
    </row>
    <row r="120" ht="409" customHeight="true">
      <c r="A120" s="30" t="s">
        <v>234</v>
      </c>
    </row>
    <row r="121" ht="409" customHeight="true">
      <c r="A121" s="30" t="s">
        <v>236</v>
      </c>
    </row>
    <row r="122" ht="409" customHeight="true">
      <c r="A122" s="30" t="s">
        <v>236</v>
      </c>
    </row>
    <row r="123" ht="409" customHeight="true">
      <c r="A123" s="30" t="s">
        <v>239</v>
      </c>
    </row>
    <row r="124" ht="409" customHeight="true">
      <c r="A124" s="30" t="s">
        <v>239</v>
      </c>
    </row>
    <row r="125" ht="409" customHeight="true">
      <c r="A125" s="30" t="s">
        <v>243</v>
      </c>
    </row>
    <row r="126" ht="409" customHeight="true">
      <c r="A126" s="30" t="s">
        <v>243</v>
      </c>
    </row>
    <row r="127" ht="409" customHeight="true">
      <c r="A127" s="30" t="s">
        <v>245</v>
      </c>
    </row>
    <row r="128" ht="409" customHeight="true">
      <c r="A128" s="30" t="s">
        <v>245</v>
      </c>
    </row>
    <row r="129" ht="409" customHeight="true">
      <c r="A129" s="30" t="s">
        <v>248</v>
      </c>
    </row>
    <row r="130" ht="409" customHeight="true">
      <c r="A130" s="30" t="s">
        <v>248</v>
      </c>
    </row>
    <row r="131" ht="409" customHeight="true">
      <c r="A131" s="30" t="s">
        <v>251</v>
      </c>
    </row>
    <row r="132" ht="409" customHeight="true">
      <c r="A132" s="30" t="s">
        <v>251</v>
      </c>
    </row>
    <row r="133" ht="409" customHeight="true">
      <c r="A133" s="30" t="s">
        <v>253</v>
      </c>
    </row>
    <row r="134" ht="409" customHeight="true">
      <c r="A134" s="30" t="s">
        <v>253</v>
      </c>
    </row>
    <row r="135" ht="409" customHeight="true">
      <c r="A135" s="30" t="s">
        <v>256</v>
      </c>
    </row>
    <row r="136" ht="409" customHeight="true">
      <c r="A136" s="30" t="s">
        <v>256</v>
      </c>
    </row>
    <row r="137" ht="409" customHeight="true">
      <c r="A137" s="30" t="s">
        <v>260</v>
      </c>
    </row>
    <row r="138" ht="409" customHeight="true">
      <c r="A138" s="30" t="s">
        <v>260</v>
      </c>
    </row>
    <row r="139" ht="409" customHeight="true">
      <c r="A139" s="30" t="s">
        <v>263</v>
      </c>
    </row>
    <row r="140" ht="409" customHeight="true">
      <c r="A140" s="30" t="s">
        <v>263</v>
      </c>
    </row>
    <row r="141" ht="409" customHeight="true">
      <c r="A141" s="30" t="s">
        <v>266</v>
      </c>
    </row>
    <row r="142" ht="409" customHeight="true">
      <c r="A142" s="30" t="s">
        <v>266</v>
      </c>
    </row>
    <row r="143" ht="409" customHeight="true">
      <c r="A143" s="30" t="s">
        <v>269</v>
      </c>
    </row>
    <row r="144" ht="409" customHeight="true">
      <c r="A144" s="30" t="s">
        <v>269</v>
      </c>
    </row>
    <row r="145" ht="409" customHeight="true">
      <c r="A145" s="30" t="s">
        <v>272</v>
      </c>
    </row>
    <row r="146" ht="409" customHeight="true">
      <c r="A146" s="30" t="s">
        <v>272</v>
      </c>
    </row>
    <row r="147" ht="409" customHeight="true">
      <c r="A147" s="30" t="s">
        <v>275</v>
      </c>
    </row>
    <row r="148" ht="409" customHeight="true">
      <c r="A148" s="30" t="s">
        <v>275</v>
      </c>
    </row>
    <row r="149" ht="409" customHeight="true">
      <c r="A149" s="30" t="s">
        <v>279</v>
      </c>
    </row>
    <row r="150" ht="409" customHeight="true">
      <c r="A150" s="30" t="s">
        <v>279</v>
      </c>
    </row>
    <row r="151" ht="409" customHeight="true">
      <c r="A151" s="30" t="s">
        <v>282</v>
      </c>
    </row>
    <row r="152" ht="409" customHeight="true">
      <c r="A152" s="30" t="s">
        <v>282</v>
      </c>
    </row>
    <row r="153" ht="409" customHeight="true">
      <c r="A153" s="30" t="s">
        <v>285</v>
      </c>
    </row>
    <row r="154" ht="409" customHeight="true">
      <c r="A154" s="30" t="s">
        <v>285</v>
      </c>
    </row>
    <row r="155" ht="409" customHeight="true">
      <c r="A155" s="30" t="s">
        <v>289</v>
      </c>
    </row>
    <row r="156" ht="409" customHeight="true">
      <c r="A156" s="30" t="s">
        <v>289</v>
      </c>
    </row>
    <row r="157" ht="409" customHeight="true">
      <c r="A157" s="30" t="s">
        <v>292</v>
      </c>
    </row>
    <row r="158" ht="409" customHeight="true">
      <c r="A158" s="30" t="s">
        <v>292</v>
      </c>
    </row>
    <row r="159" ht="409" customHeight="true">
      <c r="A159" s="30" t="s">
        <v>295</v>
      </c>
    </row>
    <row r="160" ht="409" customHeight="true">
      <c r="A160" s="30" t="s">
        <v>295</v>
      </c>
    </row>
    <row r="161" ht="409" customHeight="true">
      <c r="A161" s="30" t="s">
        <v>298</v>
      </c>
    </row>
    <row r="162" ht="409" customHeight="true">
      <c r="A162" s="30" t="s">
        <v>298</v>
      </c>
    </row>
    <row r="163" ht="409" customHeight="true">
      <c r="A163" s="30" t="s">
        <v>301</v>
      </c>
    </row>
    <row r="164" ht="409" customHeight="true">
      <c r="A164" s="30" t="s">
        <v>301</v>
      </c>
    </row>
    <row r="165" ht="409" customHeight="true">
      <c r="A165" s="30" t="s">
        <v>304</v>
      </c>
    </row>
    <row r="166" ht="409" customHeight="true">
      <c r="A166" s="30" t="s">
        <v>304</v>
      </c>
    </row>
    <row r="167" ht="409" customHeight="true">
      <c r="A167" s="30" t="s">
        <v>308</v>
      </c>
    </row>
    <row r="168" ht="409" customHeight="true">
      <c r="A168" s="30" t="s">
        <v>308</v>
      </c>
    </row>
    <row r="169" ht="409" customHeight="true">
      <c r="A169" s="30" t="s">
        <v>310</v>
      </c>
    </row>
    <row r="170" ht="409" customHeight="true">
      <c r="A170" s="30" t="s">
        <v>310</v>
      </c>
    </row>
    <row r="171" ht="409" customHeight="true">
      <c r="A171" s="30" t="s">
        <v>312</v>
      </c>
    </row>
    <row r="172" ht="409" customHeight="true">
      <c r="A172" s="30" t="s">
        <v>312</v>
      </c>
    </row>
    <row r="173" ht="409" customHeight="true">
      <c r="A173" s="30" t="s">
        <v>316</v>
      </c>
    </row>
    <row r="174" ht="409" customHeight="true">
      <c r="A174" s="30" t="s">
        <v>316</v>
      </c>
    </row>
    <row r="175" ht="409" customHeight="true">
      <c r="A175" s="30" t="s">
        <v>319</v>
      </c>
    </row>
    <row r="176" ht="409" customHeight="true">
      <c r="A176" s="30" t="s">
        <v>319</v>
      </c>
    </row>
    <row r="177" ht="409" customHeight="true">
      <c r="A177" s="30" t="s">
        <v>321</v>
      </c>
    </row>
    <row r="178" ht="409" customHeight="true">
      <c r="A178" s="30" t="s">
        <v>321</v>
      </c>
    </row>
    <row r="179" ht="409" customHeight="true">
      <c r="A179" s="30" t="s">
        <v>325</v>
      </c>
    </row>
    <row r="180" ht="409" customHeight="true">
      <c r="A180" s="30" t="s">
        <v>325</v>
      </c>
    </row>
    <row r="181" ht="409" customHeight="true">
      <c r="A181" s="30" t="s">
        <v>328</v>
      </c>
    </row>
    <row r="182" ht="409" customHeight="true">
      <c r="A182" s="30" t="s">
        <v>328</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91" manualBreakCount="91">
    <brk id="2" max="16383" man="true"/>
    <brk id="4" max="16383" man="true"/>
    <brk id="6" max="16383" man="true"/>
    <brk id="8" max="16383" man="true"/>
    <brk id="10" max="16383" man="true"/>
    <brk id="12" max="16383" man="true"/>
    <brk id="14" max="16383" man="true"/>
    <brk id="16" max="16383" man="true"/>
    <brk id="18" max="16383" man="true"/>
    <brk id="20" max="16383" man="true"/>
    <brk id="22" max="16383" man="true"/>
    <brk id="24" max="16383" man="true"/>
    <brk id="26" max="16383" man="true"/>
    <brk id="28" max="16383" man="true"/>
    <brk id="30" max="16383" man="true"/>
    <brk id="32" max="16383" man="true"/>
    <brk id="34" max="16383" man="true"/>
    <brk id="36" max="16383" man="true"/>
    <brk id="38" max="16383" man="true"/>
    <brk id="40" max="16383" man="true"/>
    <brk id="42" max="16383" man="true"/>
    <brk id="44" max="16383" man="true"/>
    <brk id="46" max="16383" man="true"/>
    <brk id="48" max="16383" man="true"/>
    <brk id="50" max="16383" man="true"/>
    <brk id="52" max="16383" man="true"/>
    <brk id="54" max="16383" man="true"/>
    <brk id="56" max="16383" man="true"/>
    <brk id="58" max="16383" man="true"/>
    <brk id="60" max="16383" man="true"/>
    <brk id="62" max="16383" man="true"/>
    <brk id="64" max="16383" man="true"/>
    <brk id="66" max="16383" man="true"/>
    <brk id="68" max="16383" man="true"/>
    <brk id="70" max="16383" man="true"/>
    <brk id="72" max="16383" man="true"/>
    <brk id="74" max="16383" man="true"/>
    <brk id="76" max="16383" man="true"/>
    <brk id="78" max="16383" man="true"/>
    <brk id="80" max="16383" man="true"/>
    <brk id="82" max="16383" man="true"/>
    <brk id="84" max="16383" man="true"/>
    <brk id="86" max="16383" man="true"/>
    <brk id="88" max="16383" man="true"/>
    <brk id="90" max="16383" man="true"/>
    <brk id="92" max="16383" man="true"/>
    <brk id="94" max="16383" man="true"/>
    <brk id="96" max="16383" man="true"/>
    <brk id="98" max="16383" man="true"/>
    <brk id="100" max="16383" man="true"/>
    <brk id="102" max="16383" man="true"/>
    <brk id="104" max="16383" man="true"/>
    <brk id="106" max="16383" man="true"/>
    <brk id="108" max="16383" man="true"/>
    <brk id="110" max="16383" man="true"/>
    <brk id="112" max="16383" man="true"/>
    <brk id="114" max="16383" man="true"/>
    <brk id="116" max="16383" man="true"/>
    <brk id="118" max="16383" man="true"/>
    <brk id="120" max="16383" man="true"/>
    <brk id="122" max="16383" man="true"/>
    <brk id="124" max="16383" man="true"/>
    <brk id="126" max="16383" man="true"/>
    <brk id="128" max="16383" man="true"/>
    <brk id="130" max="16383" man="true"/>
    <brk id="132" max="16383" man="true"/>
    <brk id="134" max="16383" man="true"/>
    <brk id="136" max="16383" man="true"/>
    <brk id="138" max="16383" man="true"/>
    <brk id="140" max="16383" man="true"/>
    <brk id="142" max="16383" man="true"/>
    <brk id="144" max="16383" man="true"/>
    <brk id="146" max="16383" man="true"/>
    <brk id="148" max="16383" man="true"/>
    <brk id="150" max="16383" man="true"/>
    <brk id="152" max="16383" man="true"/>
    <brk id="154" max="16383" man="true"/>
    <brk id="156" max="16383" man="true"/>
    <brk id="158" max="16383" man="true"/>
    <brk id="160" max="16383" man="true"/>
    <brk id="162" max="16383" man="true"/>
    <brk id="164" max="16383" man="true"/>
    <brk id="166" max="16383" man="true"/>
    <brk id="168" max="16383" man="true"/>
    <brk id="170" max="16383" man="true"/>
    <brk id="172" max="16383" man="true"/>
    <brk id="174" max="16383" man="true"/>
    <brk id="176" max="16383" man="true"/>
    <brk id="178" max="16383" man="true"/>
    <brk id="180" max="16383" man="true"/>
    <brk id="182"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