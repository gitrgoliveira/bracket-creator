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<sst xmlns="http://schemas.openxmlformats.org/spreadsheetml/2006/main" count="410" uniqueCount="410">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</sst>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Matches'!G18)</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Matches'!O53)</f>
      </c>
      <c r="B60" s="18"/>
      <c r="C60" s="18"/>
      <c r="D60" s="18"/>
      <c r="E60" s="18"/>
      <c r="F60" s="18"/>
      <c r="G60" s="14" t="str">
        <f>CONCATENATE("Pool P-2nd ",'Pool Matches'!O17)</f>
      </c>
      <c r="I60" s="14" t="str">
        <f>CONCATENATE("Pool Q-2nd ",'Pool Matches'!O36)</f>
      </c>
      <c r="J60" s="18"/>
      <c r="K60" s="18"/>
      <c r="L60" s="18"/>
      <c r="M60" s="18"/>
      <c r="N60" s="18"/>
      <c r="O60" s="14" t="str">
        <f>CONCATENATE("Pool R-1st ",'Pool Matches'!O52)</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Matches'!O87)</f>
      </c>
      <c r="B68" s="18"/>
      <c r="C68" s="18"/>
      <c r="D68" s="18"/>
      <c r="E68" s="18"/>
      <c r="F68" s="18"/>
      <c r="G68" s="14" t="str">
        <f>CONCATENATE("Pool S-1st ",'Pool Matches'!O69)</f>
      </c>
      <c r="I68" s="14" t="str">
        <f>CONCATENATE("Pool S-2nd ",'Pool Matches'!O70)</f>
      </c>
      <c r="J68" s="18"/>
      <c r="K68" s="18"/>
      <c r="L68" s="18"/>
      <c r="M68" s="18"/>
      <c r="N68" s="18"/>
      <c r="O68" s="14" t="str">
        <f>CONCATENATE("Pool T-1st ",'Pool Matches'!O86)</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Matches'!O121)</f>
      </c>
      <c r="B76" s="18"/>
      <c r="C76" s="18"/>
      <c r="D76" s="18"/>
      <c r="E76" s="18"/>
      <c r="F76" s="18"/>
      <c r="G76" s="14" t="str">
        <f>CONCATENATE("Pool U-1st ",'Pool Matches'!O103)</f>
      </c>
      <c r="I76" s="14" t="str">
        <f>CONCATENATE("Pool U-2nd ",'Pool Matches'!O104)</f>
      </c>
      <c r="J76" s="18"/>
      <c r="K76" s="18"/>
      <c r="L76" s="18"/>
      <c r="M76" s="18"/>
      <c r="N76" s="18"/>
      <c r="O76" s="14" t="str">
        <f>CONCATENATE("Pool V-1st ",'Pool Matches'!O120)</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Matches'!O155)</f>
      </c>
      <c r="B84" s="18"/>
      <c r="C84" s="18"/>
      <c r="D84" s="18"/>
      <c r="E84" s="18"/>
      <c r="F84" s="18"/>
      <c r="G84" s="14" t="str">
        <f>CONCATENATE("Pool W-1st ",'Pool Matches'!O137)</f>
      </c>
      <c r="I84" s="14" t="str">
        <f>CONCATENATE("Pool W-2nd ",'Pool Matches'!O138)</f>
      </c>
      <c r="J84" s="18"/>
      <c r="K84" s="18"/>
      <c r="L84" s="18"/>
      <c r="M84" s="18"/>
      <c r="N84" s="18"/>
      <c r="O84" s="14" t="str">
        <f>CONCATENATE("Pool X-1st ",'Pool Matches'!O154)</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Matches'!O189)</f>
      </c>
      <c r="B92" s="18"/>
      <c r="C92" s="18"/>
      <c r="D92" s="18"/>
      <c r="E92" s="18"/>
      <c r="F92" s="18"/>
      <c r="G92" s="14" t="str">
        <f>CONCATENATE("Pool Y-1st ",'Pool Matches'!O171)</f>
      </c>
      <c r="I92" s="14" t="str">
        <f>CONCATENATE("Pool Y-2nd ",'Pool Matches'!O172)</f>
      </c>
      <c r="J92" s="18"/>
      <c r="K92" s="18"/>
      <c r="L92" s="18"/>
      <c r="M92" s="18"/>
      <c r="N92" s="18"/>
      <c r="O92" s="14" t="str">
        <f>CONCATENATE("Pool Z-1st ",'Pool Matches'!O188)</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AA-1st ",'Pool Matches'!O205)</f>
      </c>
      <c r="I100" s="14" t="str">
        <f>CONCATENATE("Pool AA-2nd ",'Pool Matches'!O206)</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Matches'!O257)</f>
      </c>
      <c r="B108" s="18"/>
      <c r="C108" s="18"/>
      <c r="D108" s="18"/>
      <c r="E108" s="18"/>
      <c r="F108" s="18"/>
      <c r="G108" s="14" t="str">
        <f>CONCATENATE("Pool CC-1st ",'Pool Matches'!O239)</f>
      </c>
      <c r="I108" s="14" t="str">
        <f>CONCATENATE("Pool CC-2nd ",'Pool Matches'!O240)</f>
      </c>
      <c r="J108" s="18"/>
      <c r="K108" s="18"/>
      <c r="L108" s="18"/>
      <c r="M108" s="18"/>
      <c r="N108" s="18"/>
      <c r="O108" s="14" t="str">
        <f>CONCATENATE("Pool DD-1st ",'Pool Matches'!O256)</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Matches'!G17)</f>
      </c>
      <c r="I121" s="14" t="str">
        <f>CONCATENATE("M 15 ",O6)</f>
      </c>
      <c r="J121" s="18"/>
      <c r="K121" s="18"/>
      <c r="L121" s="18"/>
      <c r="M121" s="18"/>
      <c r="N121" s="18"/>
      <c r="O121" s="14" t="str">
        <f>CONCATENATE("Pool B-1st ",'Pool Matches'!G35)</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Matches'!O35)</f>
      </c>
      <c r="I153" s="14" t="str">
        <f>CONCATENATE("M 22 ",O62)</f>
      </c>
      <c r="J153" s="18"/>
      <c r="K153" s="18"/>
      <c r="L153" s="18"/>
      <c r="M153" s="18"/>
      <c r="N153" s="18"/>
      <c r="O153" s="14" t="str">
        <f>CONCATENATE("Pool P-1st ",'Pool Matches'!O16)</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Matches'!G17)</f>
      </c>
    </row>
    <row r="7">
      <c r="A7" s="26" t="str">
        <f>"3. " &amp; data!$B$5</f>
      </c>
      <c r="F7" s="22"/>
      <c r="G7" s="20"/>
    </row>
    <row r="8">
      <c r="A8" s="27" t="str">
        <f>"4. " &amp; data!$B$6</f>
      </c>
      <c r="G8" s="21">
        <v>29</v>
      </c>
    </row>
    <row r="9">
      <c r="A9" s="22"/>
      <c r="C9" s="23" t="str">
        <f>CONCATENATE("Pool C-1st ",'Pool Matches'!G52)</f>
      </c>
      <c r="G9" s="20"/>
      <c r="H9" s="22"/>
      <c r="I9" s="20"/>
    </row>
    <row r="10">
      <c r="A10" s="24" t="str">
        <f>'data'!$A$9</f>
      </c>
      <c r="D10" s="22"/>
      <c r="E10" s="21">
        <v>1</v>
      </c>
      <c r="F10" s="15"/>
      <c r="G10" s="20"/>
      <c r="I10" s="20"/>
    </row>
    <row r="11">
      <c r="A11" s="25" t="str">
        <f>"1. " &amp; data!$B$7</f>
      </c>
      <c r="C11" s="23" t="str">
        <f>CONCATENATE("Pool B-2nd ",'Pool Matches'!G36)</f>
      </c>
      <c r="D11" s="15"/>
      <c r="E11" s="20"/>
      <c r="I11" s="20"/>
    </row>
    <row r="12">
      <c r="A12" s="26" t="str">
        <f>"2. " &amp; data!$B$8</f>
      </c>
      <c r="I12" s="21">
        <v>45</v>
      </c>
    </row>
    <row r="13">
      <c r="A13" s="27" t="str">
        <f>"3. " &amp; data!$B$9</f>
      </c>
      <c r="C13" s="23" t="str">
        <f>CONCATENATE("Pool E-1st ",'Pool Matches'!G86)</f>
      </c>
      <c r="I13" s="20"/>
      <c r="J13" s="22"/>
      <c r="K13" s="20"/>
    </row>
    <row r="14">
      <c r="A14" s="22"/>
      <c r="D14" s="22"/>
      <c r="E14" s="21">
        <v>2</v>
      </c>
      <c r="I14" s="20"/>
      <c r="K14" s="20"/>
    </row>
    <row r="15">
      <c r="A15" s="24" t="str">
        <f>'data'!$A$12</f>
      </c>
      <c r="C15" s="23" t="str">
        <f>CONCATENATE("Pool D-2nd ",'Pool Matches'!G70)</f>
      </c>
      <c r="D15" s="15"/>
      <c r="E15" s="20"/>
      <c r="F15" s="22"/>
      <c r="G15" s="20"/>
      <c r="I15" s="20"/>
      <c r="K15" s="20"/>
    </row>
    <row r="16">
      <c r="A16" s="25" t="str">
        <f>"1. " &amp; data!$B$10</f>
      </c>
      <c r="G16" s="21">
        <v>30</v>
      </c>
      <c r="H16" s="15"/>
      <c r="I16" s="20"/>
      <c r="K16" s="20"/>
    </row>
    <row r="17">
      <c r="A17" s="26" t="str">
        <f>"2. " &amp; data!$B$11</f>
      </c>
      <c r="C17" s="23" t="str">
        <f>CONCATENATE("Pool G-1st ",'Pool Matches'!G120)</f>
      </c>
      <c r="G17" s="20"/>
      <c r="K17" s="20"/>
    </row>
    <row r="18">
      <c r="A18" s="27" t="str">
        <f>"3. " &amp; data!$B$12</f>
      </c>
      <c r="D18" s="22"/>
      <c r="E18" s="21">
        <v>3</v>
      </c>
      <c r="F18" s="15"/>
      <c r="G18" s="20"/>
      <c r="K18" s="20"/>
    </row>
    <row r="19">
      <c r="A19" s="22"/>
      <c r="C19" s="23" t="str">
        <f>CONCATENATE("Pool F-2nd ",'Pool Matches'!G104)</f>
      </c>
      <c r="D19" s="15"/>
      <c r="E19" s="20"/>
      <c r="K19" s="20"/>
    </row>
    <row r="20">
      <c r="A20" s="24" t="str">
        <f>'data'!$A$15</f>
      </c>
      <c r="K20" s="21">
        <v>53</v>
      </c>
    </row>
    <row r="21">
      <c r="A21" s="25" t="str">
        <f>"1. " &amp; data!$B$13</f>
      </c>
      <c r="C21" s="23" t="str">
        <f>CONCATENATE("Pool I-1st ",'Pool Matches'!G154)</f>
      </c>
      <c r="K21" s="20"/>
    </row>
    <row r="22">
      <c r="A22" s="26" t="str">
        <f>"2. " &amp; data!$B$14</f>
      </c>
      <c r="D22" s="22"/>
      <c r="E22" s="21">
        <v>4</v>
      </c>
      <c r="K22" s="20"/>
    </row>
    <row r="23">
      <c r="A23" s="27" t="str">
        <f>"3. " &amp; data!$B$15</f>
      </c>
      <c r="C23" s="23" t="str">
        <f>CONCATENATE("Pool H-2nd ",'Pool Matches'!G138)</f>
      </c>
      <c r="D23" s="15"/>
      <c r="E23" s="20"/>
      <c r="F23" s="22"/>
      <c r="G23" s="20"/>
      <c r="K23" s="20"/>
    </row>
    <row r="24">
      <c r="A24" s="22"/>
      <c r="G24" s="21">
        <v>31</v>
      </c>
      <c r="K24" s="20"/>
    </row>
    <row r="25">
      <c r="A25" s="24" t="str">
        <f>'data'!$A$18</f>
      </c>
      <c r="C25" s="23" t="str">
        <f>CONCATENATE("Pool K-1st ",'Pool Matches'!G188)</f>
      </c>
      <c r="G25" s="20"/>
      <c r="H25" s="22"/>
      <c r="I25" s="20"/>
      <c r="K25" s="20"/>
    </row>
    <row r="26">
      <c r="A26" s="25" t="str">
        <f>"1. " &amp; data!$B$16</f>
      </c>
      <c r="D26" s="22"/>
      <c r="E26" s="21">
        <v>5</v>
      </c>
      <c r="F26" s="15"/>
      <c r="G26" s="20"/>
      <c r="I26" s="20"/>
      <c r="K26" s="20"/>
    </row>
    <row r="27">
      <c r="A27" s="26" t="str">
        <f>"2. " &amp; data!$B$17</f>
      </c>
      <c r="C27" s="23" t="str">
        <f>CONCATENATE("Pool J-2nd ",'Pool Matches'!G172)</f>
      </c>
      <c r="D27" s="15"/>
      <c r="E27" s="20"/>
      <c r="I27" s="20"/>
      <c r="K27" s="20"/>
    </row>
    <row r="28">
      <c r="A28" s="27" t="str">
        <f>"3. " &amp; data!$B$18</f>
      </c>
      <c r="I28" s="21">
        <v>46</v>
      </c>
      <c r="J28" s="15"/>
      <c r="K28" s="20"/>
    </row>
    <row r="29">
      <c r="A29" s="22"/>
      <c r="C29" s="23" t="str">
        <f>CONCATENATE("Pool M-1st ",'Pool Matches'!G222)</f>
      </c>
      <c r="I29" s="20"/>
    </row>
    <row r="30">
      <c r="A30" s="24" t="str">
        <f>'data'!$A$21</f>
      </c>
      <c r="D30" s="22"/>
      <c r="E30" s="21">
        <v>6</v>
      </c>
      <c r="I30" s="20"/>
    </row>
    <row r="31">
      <c r="A31" s="25" t="str">
        <f>"1. " &amp; data!$B$19</f>
      </c>
      <c r="C31" s="23" t="str">
        <f>CONCATENATE("Pool L-2nd ",'Pool Matches'!G206)</f>
      </c>
      <c r="D31" s="15"/>
      <c r="E31" s="20"/>
      <c r="F31" s="22"/>
      <c r="G31" s="20"/>
      <c r="I31" s="20"/>
    </row>
    <row r="32">
      <c r="A32" s="26" t="str">
        <f>"2. " &amp; data!$B$20</f>
      </c>
      <c r="G32" s="21">
        <v>32</v>
      </c>
      <c r="H32" s="15"/>
      <c r="I32" s="20"/>
    </row>
    <row r="33">
      <c r="A33" s="27" t="str">
        <f>"3. " &amp; data!$B$21</f>
      </c>
      <c r="C33" s="23" t="str">
        <f>CONCATENATE("Pool O-1st ",'Pool Matches'!G256)</f>
      </c>
      <c r="G33" s="20"/>
    </row>
    <row r="34">
      <c r="A34" s="22"/>
      <c r="D34" s="22"/>
      <c r="E34" s="21">
        <v>7</v>
      </c>
      <c r="F34" s="15"/>
      <c r="G34" s="20"/>
    </row>
    <row r="35">
      <c r="A35" s="24" t="str">
        <f>'data'!$A$24</f>
      </c>
      <c r="C35" s="23" t="str">
        <f>CONCATENATE("Pool N-2nd ",'Pool Matches'!G240)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Matches'!O35)</f>
      </c>
    </row>
    <row r="7">
      <c r="A7" s="27" t="str">
        <f>"3. " &amp; data!$B$30</f>
      </c>
      <c r="F7" s="22"/>
      <c r="G7" s="20"/>
    </row>
    <row r="8">
      <c r="A8" s="22"/>
      <c r="G8" s="21">
        <v>33</v>
      </c>
    </row>
    <row r="9">
      <c r="A9" s="24" t="str">
        <f>'data'!$A$33</f>
      </c>
      <c r="C9" s="23" t="str">
        <f>CONCATENATE("Pool P-2nd ",'Pool Matches'!O17)</f>
      </c>
      <c r="G9" s="20"/>
      <c r="H9" s="22"/>
      <c r="I9" s="20"/>
    </row>
    <row r="10">
      <c r="A10" s="25" t="str">
        <f>"1. " &amp; data!$B$31</f>
      </c>
      <c r="D10" s="22"/>
      <c r="E10" s="21">
        <v>8</v>
      </c>
      <c r="F10" s="15"/>
      <c r="G10" s="20"/>
      <c r="I10" s="20"/>
    </row>
    <row r="11">
      <c r="A11" s="26" t="str">
        <f>"2. " &amp; data!$B$32</f>
      </c>
      <c r="C11" s="23" t="str">
        <f>CONCATENATE("Pool R-2nd ",'Pool Matches'!O53)</f>
      </c>
      <c r="D11" s="15"/>
      <c r="E11" s="20"/>
      <c r="I11" s="20"/>
    </row>
    <row r="12">
      <c r="A12" s="27" t="str">
        <f>"3. " &amp; data!$B$33</f>
      </c>
      <c r="I12" s="21">
        <v>47</v>
      </c>
    </row>
    <row r="13">
      <c r="A13" s="22"/>
      <c r="C13" s="23" t="str">
        <f>CONCATENATE("Pool S-1st ",'Pool Matches'!O69)</f>
      </c>
      <c r="I13" s="20"/>
      <c r="J13" s="22"/>
      <c r="K13" s="20"/>
    </row>
    <row r="14">
      <c r="A14" s="24" t="str">
        <f>'data'!$A$36</f>
      </c>
      <c r="D14" s="22"/>
      <c r="E14" s="21">
        <v>9</v>
      </c>
      <c r="I14" s="20"/>
      <c r="K14" s="20"/>
    </row>
    <row r="15">
      <c r="A15" s="25" t="str">
        <f>"1. " &amp; data!$B$34</f>
      </c>
      <c r="C15" s="23" t="str">
        <f>CONCATENATE("Pool T-2nd ",'Pool Matches'!O87)</f>
      </c>
      <c r="D15" s="15"/>
      <c r="E15" s="20"/>
      <c r="F15" s="22"/>
      <c r="G15" s="20"/>
      <c r="I15" s="20"/>
      <c r="K15" s="20"/>
    </row>
    <row r="16">
      <c r="A16" s="26" t="str">
        <f>"2. " &amp; data!$B$35</f>
      </c>
      <c r="G16" s="21">
        <v>34</v>
      </c>
      <c r="H16" s="15"/>
      <c r="I16" s="20"/>
      <c r="K16" s="20"/>
    </row>
    <row r="17">
      <c r="A17" s="27" t="str">
        <f>"3. " &amp; data!$B$36</f>
      </c>
      <c r="C17" s="23" t="str">
        <f>CONCATENATE("Pool U-1st ",'Pool Matches'!O103)</f>
      </c>
      <c r="G17" s="20"/>
      <c r="K17" s="20"/>
    </row>
    <row r="18">
      <c r="A18" s="22"/>
      <c r="D18" s="22"/>
      <c r="E18" s="21">
        <v>10</v>
      </c>
      <c r="F18" s="15"/>
      <c r="G18" s="20"/>
      <c r="K18" s="20"/>
    </row>
    <row r="19">
      <c r="A19" s="24" t="str">
        <f>'data'!$A$39</f>
      </c>
      <c r="C19" s="23" t="str">
        <f>CONCATENATE("Pool V-2nd ",'Pool Matches'!O121)</f>
      </c>
      <c r="D19" s="15"/>
      <c r="E19" s="20"/>
      <c r="K19" s="20"/>
    </row>
    <row r="20">
      <c r="A20" s="25" t="str">
        <f>"1. " &amp; data!$B$37</f>
      </c>
      <c r="K20" s="21">
        <v>54</v>
      </c>
    </row>
    <row r="21">
      <c r="A21" s="26" t="str">
        <f>"2. " &amp; data!$B$38</f>
      </c>
      <c r="C21" s="23" t="str">
        <f>CONCATENATE("Pool W-1st ",'Pool Matches'!O137)</f>
      </c>
      <c r="K21" s="20"/>
    </row>
    <row r="22">
      <c r="A22" s="27" t="str">
        <f>"3. " &amp; data!$B$39</f>
      </c>
      <c r="D22" s="22"/>
      <c r="E22" s="21">
        <v>11</v>
      </c>
      <c r="K22" s="20"/>
    </row>
    <row r="23">
      <c r="A23" s="22"/>
      <c r="C23" s="23" t="str">
        <f>CONCATENATE("Pool X-2nd ",'Pool Matches'!O155)</f>
      </c>
      <c r="D23" s="15"/>
      <c r="E23" s="20"/>
      <c r="F23" s="22"/>
      <c r="G23" s="20"/>
      <c r="K23" s="20"/>
    </row>
    <row r="24">
      <c r="A24" s="24" t="str">
        <f>'data'!$A$42</f>
      </c>
      <c r="G24" s="21">
        <v>35</v>
      </c>
      <c r="K24" s="20"/>
    </row>
    <row r="25">
      <c r="A25" s="25" t="str">
        <f>"1. " &amp; data!$B$40</f>
      </c>
      <c r="C25" s="23" t="str">
        <f>CONCATENATE("Pool Y-1st ",'Pool Matches'!O171)</f>
      </c>
      <c r="G25" s="20"/>
      <c r="H25" s="22"/>
      <c r="I25" s="20"/>
      <c r="K25" s="20"/>
    </row>
    <row r="26">
      <c r="A26" s="26" t="str">
        <f>"2. " &amp; data!$B$41</f>
      </c>
      <c r="D26" s="22"/>
      <c r="E26" s="21">
        <v>12</v>
      </c>
      <c r="F26" s="15"/>
      <c r="G26" s="20"/>
      <c r="I26" s="20"/>
      <c r="K26" s="20"/>
    </row>
    <row r="27">
      <c r="A27" s="27" t="str">
        <f>"3. " &amp; data!$B$42</f>
      </c>
      <c r="C27" s="23" t="str">
        <f>CONCATENATE("Pool Z-2nd ",'Pool Matches'!O189)</f>
      </c>
      <c r="D27" s="15"/>
      <c r="E27" s="20"/>
      <c r="I27" s="20"/>
      <c r="K27" s="20"/>
    </row>
    <row r="28">
      <c r="A28" s="22"/>
      <c r="I28" s="21">
        <v>48</v>
      </c>
      <c r="J28" s="15"/>
      <c r="K28" s="20"/>
    </row>
    <row r="29">
      <c r="A29" s="24" t="str">
        <f>'data'!$A$45</f>
      </c>
      <c r="C29" s="23" t="str">
        <f>CONCATENATE("Pool AA-1st ",'Pool Matches'!O205)</f>
      </c>
      <c r="I29" s="20"/>
    </row>
    <row r="30">
      <c r="A30" s="25" t="str">
        <f>"1. " &amp; data!$B$43</f>
      </c>
      <c r="D30" s="22"/>
      <c r="E30" s="21">
        <v>13</v>
      </c>
      <c r="I30" s="20"/>
    </row>
    <row r="31">
      <c r="A31" s="26" t="str">
        <f>"2. " &amp; data!$B$44</f>
      </c>
      <c r="C31" s="23" t="str">
        <f>CONCATENATE("Pool BB-2nd ",'Pool Matches'!O223)</f>
      </c>
      <c r="D31" s="15"/>
      <c r="E31" s="20"/>
      <c r="F31" s="22"/>
      <c r="G31" s="20"/>
      <c r="I31" s="20"/>
    </row>
    <row r="32">
      <c r="A32" s="27" t="str">
        <f>"3. " &amp; data!$B$45</f>
      </c>
      <c r="G32" s="21">
        <v>36</v>
      </c>
      <c r="H32" s="15"/>
      <c r="I32" s="20"/>
    </row>
    <row r="33">
      <c r="A33" s="22"/>
      <c r="C33" s="23" t="str">
        <f>CONCATENATE("Pool CC-1st ",'Pool Matches'!O239)</f>
      </c>
      <c r="G33" s="20"/>
    </row>
    <row r="34">
      <c r="A34" s="24" t="str">
        <f>'data'!$A$48</f>
      </c>
      <c r="D34" s="22"/>
      <c r="E34" s="21">
        <v>14</v>
      </c>
      <c r="F34" s="15"/>
      <c r="G34" s="20"/>
    </row>
    <row r="35">
      <c r="A35" s="25" t="str">
        <f>"1. " &amp; data!$B$46</f>
      </c>
      <c r="C35" s="23" t="str">
        <f>CONCATENATE("Pool DD-2nd ",'Pool Matches'!O257)</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Matches'!G35)</f>
      </c>
    </row>
    <row r="7">
      <c r="A7" s="27" t="str">
        <f>"3. " &amp; data!$B$51</f>
      </c>
      <c r="F7" s="22"/>
      <c r="G7" s="20"/>
    </row>
    <row r="8">
      <c r="A8" s="22"/>
      <c r="G8" s="21">
        <v>37</v>
      </c>
    </row>
    <row r="9">
      <c r="A9" s="24" t="str">
        <f>'data'!$A$54</f>
      </c>
      <c r="C9" s="23" t="str">
        <f>CONCATENATE("Pool A-2nd ",'Pool Matches'!G18)</f>
      </c>
      <c r="G9" s="20"/>
      <c r="H9" s="22"/>
      <c r="I9" s="20"/>
    </row>
    <row r="10">
      <c r="A10" s="25" t="str">
        <f>"1. " &amp; data!$B$52</f>
      </c>
      <c r="D10" s="22"/>
      <c r="E10" s="21">
        <v>15</v>
      </c>
      <c r="F10" s="15"/>
      <c r="G10" s="20"/>
      <c r="I10" s="20"/>
    </row>
    <row r="11">
      <c r="A11" s="26" t="str">
        <f>"2. " &amp; data!$B$53</f>
      </c>
      <c r="C11" s="23" t="str">
        <f>CONCATENATE("Pool C-2nd ",'Pool Matches'!G53)</f>
      </c>
      <c r="D11" s="15"/>
      <c r="E11" s="20"/>
      <c r="I11" s="20"/>
    </row>
    <row r="12">
      <c r="A12" s="27" t="str">
        <f>"3. " &amp; data!$B$54</f>
      </c>
      <c r="I12" s="21">
        <v>49</v>
      </c>
    </row>
    <row r="13">
      <c r="A13" s="22"/>
      <c r="C13" s="23" t="str">
        <f>CONCATENATE("Pool D-1st ",'Pool Matches'!G69)</f>
      </c>
      <c r="I13" s="20"/>
      <c r="J13" s="22"/>
      <c r="K13" s="20"/>
    </row>
    <row r="14">
      <c r="A14" s="24" t="str">
        <f>'data'!$A$57</f>
      </c>
      <c r="D14" s="22"/>
      <c r="E14" s="21">
        <v>16</v>
      </c>
      <c r="I14" s="20"/>
      <c r="K14" s="20"/>
    </row>
    <row r="15">
      <c r="A15" s="25" t="str">
        <f>"1. " &amp; data!$B$55</f>
      </c>
      <c r="C15" s="23" t="str">
        <f>CONCATENATE("Pool E-2nd ",'Pool Matches'!G87)</f>
      </c>
      <c r="D15" s="15"/>
      <c r="E15" s="20"/>
      <c r="F15" s="22"/>
      <c r="G15" s="20"/>
      <c r="I15" s="20"/>
      <c r="K15" s="20"/>
    </row>
    <row r="16">
      <c r="A16" s="26" t="str">
        <f>"2. " &amp; data!$B$56</f>
      </c>
      <c r="G16" s="21">
        <v>38</v>
      </c>
      <c r="H16" s="15"/>
      <c r="I16" s="20"/>
      <c r="K16" s="20"/>
    </row>
    <row r="17">
      <c r="A17" s="27" t="str">
        <f>"3. " &amp; data!$B$57</f>
      </c>
      <c r="C17" s="23" t="str">
        <f>CONCATENATE("Pool F-1st ",'Pool Matches'!G103)</f>
      </c>
      <c r="G17" s="20"/>
      <c r="K17" s="20"/>
    </row>
    <row r="18">
      <c r="A18" s="22"/>
      <c r="D18" s="22"/>
      <c r="E18" s="21">
        <v>17</v>
      </c>
      <c r="F18" s="15"/>
      <c r="G18" s="20"/>
      <c r="K18" s="20"/>
    </row>
    <row r="19">
      <c r="A19" s="24" t="str">
        <f>'data'!$A$60</f>
      </c>
      <c r="C19" s="23" t="str">
        <f>CONCATENATE("Pool G-2nd ",'Pool Matches'!G121)</f>
      </c>
      <c r="D19" s="15"/>
      <c r="E19" s="20"/>
      <c r="K19" s="20"/>
    </row>
    <row r="20">
      <c r="A20" s="25" t="str">
        <f>"1. " &amp; data!$B$58</f>
      </c>
      <c r="K20" s="21">
        <v>55</v>
      </c>
    </row>
    <row r="21">
      <c r="A21" s="26" t="str">
        <f>"2. " &amp; data!$B$59</f>
      </c>
      <c r="C21" s="23" t="str">
        <f>CONCATENATE("Pool H-1st ",'Pool Matches'!G137)</f>
      </c>
      <c r="K21" s="20"/>
    </row>
    <row r="22">
      <c r="A22" s="27" t="str">
        <f>"3. " &amp; data!$B$60</f>
      </c>
      <c r="D22" s="22"/>
      <c r="E22" s="21">
        <v>18</v>
      </c>
      <c r="K22" s="20"/>
    </row>
    <row r="23">
      <c r="A23" s="22"/>
      <c r="C23" s="23" t="str">
        <f>CONCATENATE("Pool I-2nd ",'Pool Matches'!G155)</f>
      </c>
      <c r="D23" s="15"/>
      <c r="E23" s="20"/>
      <c r="F23" s="22"/>
      <c r="G23" s="20"/>
      <c r="K23" s="20"/>
    </row>
    <row r="24">
      <c r="A24" s="24" t="str">
        <f>'data'!$A$63</f>
      </c>
      <c r="G24" s="21">
        <v>39</v>
      </c>
      <c r="K24" s="20"/>
    </row>
    <row r="25">
      <c r="A25" s="25" t="str">
        <f>"1. " &amp; data!$B$61</f>
      </c>
      <c r="C25" s="23" t="str">
        <f>CONCATENATE("Pool J-1st ",'Pool Matches'!G171)</f>
      </c>
      <c r="G25" s="20"/>
      <c r="H25" s="22"/>
      <c r="I25" s="20"/>
      <c r="K25" s="20"/>
    </row>
    <row r="26">
      <c r="A26" s="26" t="str">
        <f>"2. " &amp; data!$B$62</f>
      </c>
      <c r="D26" s="22"/>
      <c r="E26" s="21">
        <v>19</v>
      </c>
      <c r="F26" s="15"/>
      <c r="G26" s="20"/>
      <c r="I26" s="20"/>
      <c r="K26" s="20"/>
    </row>
    <row r="27">
      <c r="A27" s="27" t="str">
        <f>"3. " &amp; data!$B$63</f>
      </c>
      <c r="C27" s="23" t="str">
        <f>CONCATENATE("Pool K-2nd ",'Pool Matches'!G189)</f>
      </c>
      <c r="D27" s="15"/>
      <c r="E27" s="20"/>
      <c r="I27" s="20"/>
      <c r="K27" s="20"/>
    </row>
    <row r="28">
      <c r="A28" s="22"/>
      <c r="I28" s="21">
        <v>50</v>
      </c>
      <c r="J28" s="15"/>
      <c r="K28" s="20"/>
    </row>
    <row r="29">
      <c r="A29" s="24" t="str">
        <f>'data'!$A$66</f>
      </c>
      <c r="C29" s="23" t="str">
        <f>CONCATENATE("Pool L-1st ",'Pool Matches'!G205)</f>
      </c>
      <c r="I29" s="20"/>
    </row>
    <row r="30">
      <c r="A30" s="25" t="str">
        <f>"1. " &amp; data!$B$64</f>
      </c>
      <c r="D30" s="22"/>
      <c r="E30" s="21">
        <v>20</v>
      </c>
      <c r="I30" s="20"/>
    </row>
    <row r="31">
      <c r="A31" s="26" t="str">
        <f>"2. " &amp; data!$B$65</f>
      </c>
      <c r="C31" s="23" t="str">
        <f>CONCATENATE("Pool M-2nd ",'Pool Matches'!G223)</f>
      </c>
      <c r="D31" s="15"/>
      <c r="E31" s="20"/>
      <c r="F31" s="22"/>
      <c r="G31" s="20"/>
      <c r="I31" s="20"/>
    </row>
    <row r="32">
      <c r="A32" s="27" t="str">
        <f>"3. " &amp; data!$B$66</f>
      </c>
      <c r="G32" s="21">
        <v>40</v>
      </c>
      <c r="H32" s="15"/>
      <c r="I32" s="20"/>
    </row>
    <row r="33">
      <c r="A33" s="22"/>
      <c r="C33" s="23" t="str">
        <f>CONCATENATE("Pool N-1st ",'Pool Matches'!G239)</f>
      </c>
      <c r="G33" s="20"/>
    </row>
    <row r="34">
      <c r="A34" s="24" t="str">
        <f>'data'!$A$69</f>
      </c>
      <c r="D34" s="22"/>
      <c r="E34" s="21">
        <v>21</v>
      </c>
      <c r="F34" s="15"/>
      <c r="G34" s="20"/>
    </row>
    <row r="35">
      <c r="A35" s="25" t="str">
        <f>"1. " &amp; data!$B$67</f>
      </c>
      <c r="C35" s="23" t="str">
        <f>CONCATENATE("Pool O-2nd ",'Pool Matches'!G257)</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Matches'!O16)</f>
      </c>
    </row>
    <row r="7">
      <c r="A7" s="27" t="str">
        <f>"3. " &amp; data!$B$75</f>
      </c>
      <c r="F7" s="22"/>
      <c r="G7" s="20"/>
    </row>
    <row r="8">
      <c r="A8" s="22"/>
      <c r="G8" s="21">
        <v>41</v>
      </c>
    </row>
    <row r="9">
      <c r="A9" s="24" t="str">
        <f>'data'!$A$78</f>
      </c>
      <c r="C9" s="23" t="str">
        <f>CONCATENATE("Pool R-1st ",'Pool Matches'!O52)</f>
      </c>
      <c r="G9" s="20"/>
      <c r="H9" s="22"/>
      <c r="I9" s="20"/>
    </row>
    <row r="10">
      <c r="A10" s="25" t="str">
        <f>"1. " &amp; data!$B$76</f>
      </c>
      <c r="D10" s="22"/>
      <c r="E10" s="21">
        <v>22</v>
      </c>
      <c r="F10" s="15"/>
      <c r="G10" s="20"/>
      <c r="I10" s="20"/>
    </row>
    <row r="11">
      <c r="A11" s="26" t="str">
        <f>"2. " &amp; data!$B$77</f>
      </c>
      <c r="C11" s="23" t="str">
        <f>CONCATENATE("Pool Q-2nd ",'Pool Matches'!O36)</f>
      </c>
      <c r="D11" s="15"/>
      <c r="E11" s="20"/>
      <c r="I11" s="20"/>
    </row>
    <row r="12">
      <c r="A12" s="27" t="str">
        <f>"3. " &amp; data!$B$78</f>
      </c>
      <c r="I12" s="21">
        <v>51</v>
      </c>
    </row>
    <row r="13">
      <c r="A13" s="22"/>
      <c r="C13" s="23" t="str">
        <f>CONCATENATE("Pool T-1st ",'Pool Matches'!O86)</f>
      </c>
      <c r="I13" s="20"/>
      <c r="J13" s="22"/>
      <c r="K13" s="20"/>
    </row>
    <row r="14">
      <c r="A14" s="24" t="str">
        <f>'data'!$A$81</f>
      </c>
      <c r="D14" s="22"/>
      <c r="E14" s="21">
        <v>23</v>
      </c>
      <c r="I14" s="20"/>
      <c r="K14" s="20"/>
    </row>
    <row r="15">
      <c r="A15" s="25" t="str">
        <f>"1. " &amp; data!$B$79</f>
      </c>
      <c r="C15" s="23" t="str">
        <f>CONCATENATE("Pool S-2nd ",'Pool Matches'!O70)</f>
      </c>
      <c r="D15" s="15"/>
      <c r="E15" s="20"/>
      <c r="F15" s="22"/>
      <c r="G15" s="20"/>
      <c r="I15" s="20"/>
      <c r="K15" s="20"/>
    </row>
    <row r="16">
      <c r="A16" s="26" t="str">
        <f>"2. " &amp; data!$B$80</f>
      </c>
      <c r="G16" s="21">
        <v>42</v>
      </c>
      <c r="H16" s="15"/>
      <c r="I16" s="20"/>
      <c r="K16" s="20"/>
    </row>
    <row r="17">
      <c r="A17" s="27" t="str">
        <f>"3. " &amp; data!$B$81</f>
      </c>
      <c r="C17" s="23" t="str">
        <f>CONCATENATE("Pool V-1st ",'Pool Matches'!O120)</f>
      </c>
      <c r="G17" s="20"/>
      <c r="K17" s="20"/>
    </row>
    <row r="18">
      <c r="A18" s="22"/>
      <c r="D18" s="22"/>
      <c r="E18" s="21">
        <v>24</v>
      </c>
      <c r="F18" s="15"/>
      <c r="G18" s="20"/>
      <c r="K18" s="20"/>
    </row>
    <row r="19">
      <c r="A19" s="24" t="str">
        <f>'data'!$A$84</f>
      </c>
      <c r="C19" s="23" t="str">
        <f>CONCATENATE("Pool U-2nd ",'Pool Matches'!O104)</f>
      </c>
      <c r="D19" s="15"/>
      <c r="E19" s="20"/>
      <c r="K19" s="20"/>
    </row>
    <row r="20">
      <c r="A20" s="25" t="str">
        <f>"1. " &amp; data!$B$82</f>
      </c>
      <c r="K20" s="21">
        <v>56</v>
      </c>
    </row>
    <row r="21">
      <c r="A21" s="26" t="str">
        <f>"2. " &amp; data!$B$83</f>
      </c>
      <c r="C21" s="23" t="str">
        <f>CONCATENATE("Pool X-1st ",'Pool Matches'!O154)</f>
      </c>
      <c r="K21" s="20"/>
    </row>
    <row r="22">
      <c r="A22" s="27" t="str">
        <f>"3. " &amp; data!$B$84</f>
      </c>
      <c r="D22" s="22"/>
      <c r="E22" s="21">
        <v>25</v>
      </c>
      <c r="K22" s="20"/>
    </row>
    <row r="23">
      <c r="A23" s="22"/>
      <c r="C23" s="23" t="str">
        <f>CONCATENATE("Pool W-2nd ",'Pool Matches'!O138)</f>
      </c>
      <c r="D23" s="15"/>
      <c r="E23" s="20"/>
      <c r="F23" s="22"/>
      <c r="G23" s="20"/>
      <c r="K23" s="20"/>
    </row>
    <row r="24">
      <c r="A24" s="24" t="str">
        <f>'data'!$A$87</f>
      </c>
      <c r="G24" s="21">
        <v>43</v>
      </c>
      <c r="K24" s="20"/>
    </row>
    <row r="25">
      <c r="A25" s="25" t="str">
        <f>"1. " &amp; data!$B$85</f>
      </c>
      <c r="C25" s="23" t="str">
        <f>CONCATENATE("Pool Z-1st ",'Pool Matches'!O188)</f>
      </c>
      <c r="G25" s="20"/>
      <c r="H25" s="22"/>
      <c r="I25" s="20"/>
      <c r="K25" s="20"/>
    </row>
    <row r="26">
      <c r="A26" s="26" t="str">
        <f>"2. " &amp; data!$B$86</f>
      </c>
      <c r="D26" s="22"/>
      <c r="E26" s="21">
        <v>26</v>
      </c>
      <c r="F26" s="15"/>
      <c r="G26" s="20"/>
      <c r="I26" s="20"/>
      <c r="K26" s="20"/>
    </row>
    <row r="27">
      <c r="A27" s="27" t="str">
        <f>"3. " &amp; data!$B$87</f>
      </c>
      <c r="C27" s="23" t="str">
        <f>CONCATENATE("Pool Y-2nd ",'Pool Matches'!O172)</f>
      </c>
      <c r="D27" s="15"/>
      <c r="E27" s="20"/>
      <c r="I27" s="20"/>
      <c r="K27" s="20"/>
    </row>
    <row r="28">
      <c r="A28" s="22"/>
      <c r="I28" s="21">
        <v>52</v>
      </c>
      <c r="J28" s="15"/>
      <c r="K28" s="20"/>
    </row>
    <row r="29">
      <c r="A29" s="24" t="str">
        <f>'data'!$A$90</f>
      </c>
      <c r="C29" s="23" t="str">
        <f>CONCATENATE("Pool BB-1st ",'Pool Matches'!O222)</f>
      </c>
      <c r="I29" s="20"/>
    </row>
    <row r="30">
      <c r="A30" s="25" t="str">
        <f>"1. " &amp; data!$B$88</f>
      </c>
      <c r="D30" s="22"/>
      <c r="E30" s="21">
        <v>27</v>
      </c>
      <c r="I30" s="20"/>
    </row>
    <row r="31">
      <c r="A31" s="26" t="str">
        <f>"2. " &amp; data!$B$89</f>
      </c>
      <c r="C31" s="23" t="str">
        <f>CONCATENATE("Pool AA-2nd ",'Pool Matches'!O206)</f>
      </c>
      <c r="D31" s="15"/>
      <c r="E31" s="20"/>
      <c r="F31" s="22"/>
      <c r="G31" s="20"/>
      <c r="I31" s="20"/>
    </row>
    <row r="32">
      <c r="A32" s="27" t="str">
        <f>"3. " &amp; data!$B$90</f>
      </c>
      <c r="G32" s="21">
        <v>44</v>
      </c>
      <c r="H32" s="15"/>
      <c r="I32" s="20"/>
    </row>
    <row r="33">
      <c r="A33" s="22"/>
      <c r="C33" s="23" t="str">
        <f>CONCATENATE("Pool DD-1st ",'Pool Matches'!O256)</f>
      </c>
      <c r="G33" s="20"/>
    </row>
    <row r="34">
      <c r="A34" s="24" t="str">
        <f>'data'!$A$93</f>
      </c>
      <c r="D34" s="22"/>
      <c r="E34" s="21">
        <v>28</v>
      </c>
      <c r="F34" s="15"/>
      <c r="G34" s="20"/>
    </row>
    <row r="35">
      <c r="A35" s="25" t="str">
        <f>"1. " &amp; data!$B$91</f>
      </c>
      <c r="C35" s="23" t="str">
        <f>CONCATENATE("Pool CC-2nd ",'Pool Matches'!O240)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