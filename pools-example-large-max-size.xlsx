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0"/>
  </bookViews>
  <sheets>
    <sheet name="data" sheetId="1" r:id="rId1"/>
    <sheet name="Time Estimator" sheetId="2" r:id="rId4"/>
    <sheet name="Pool Draw" sheetId="3" r:id="rId5"/>
    <sheet name="Pool Matches" sheetId="4" r:id="rId6"/>
    <sheet name="Elimination Matches" sheetId="5" r:id="rId7"/>
    <sheet name="Names to Print" sheetId="6" r:id="rId8"/>
    <sheet name="Tree 1" sheetId="8" r:id="rId11"/>
    <sheet name="Tree 2" sheetId="9" r:id="rId12"/>
    <sheet name="Tree 3" sheetId="10" r:id="rId13"/>
    <sheet name="Tree 4" sheetId="11" r:id="rId14"/>
    <sheet name="Tags" sheetId="12" r:id="rId15"/>
  </sheets>
  <definedNames>
    <definedName localSheetId="2" name="_xlnm.Print_Area">'Pool Draw'!$B$2:$F$71</definedName>
    <definedName localSheetId="3" name="_xlnm.Print_Area">'Pool Matches'!$A$1:$O$158</definedName>
    <definedName localSheetId="5" name="_xlnm.Print_Area">'Names to Print'!$A$1:$B$91</definedName>
    <definedName localSheetId="4" name="_xlnm.Print_Area">'Elimination Matches'!$A$1:$O$279</definedName>
  </definedNames>
  <calcPr calcId="122211"/>
</workbook>
</file>

<file path=xl/sharedStrings.xml><?xml version="1.0" encoding="utf-8"?>
<sst xmlns="http://schemas.openxmlformats.org/spreadsheetml/2006/main" count="405" uniqueCount="405">
  <si>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</si>
  <si>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</si>
  <si>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</si>
  <si>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</si>
  <si>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</si>
  <si>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</si>
  <si>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</si>
  <si>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</si>
  <si>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</si>
  <si>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</si>
  <si>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</si>
  <si>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</si>
  <si>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</si>
  <si>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</si>
  <si>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</si>
  <si>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</si>
  <si>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</si>
  <si>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</si>
  <si>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</si>
  <si>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</si>
  <si>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</si>
  <si>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</si>
  <si>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</si>
  <si>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</si>
  <si>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</si>
  <si>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</si>
  <si>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</si>
  <si>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</si>
  <si>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</si>
  <si>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</si>
  <si>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</si>
  <si>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</si>
  <si>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</si>
  <si>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</si>
  <si>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</si>
  <si>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</si>
  <si>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</si>
  <si>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</si>
  <si>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</si>
  <si>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</si>
  <si>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</si>
  <si>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</si>
  <si>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</si>
  <si>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</si>
  <si>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</si>
  <si>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</si>
  <si>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</si>
  <si>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</si>
  <si>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</si>
  <si>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</si>
  <si>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</si>
  <si>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</si>
  <si>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</si>
  <si>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</si>
  <si>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</si>
  <si>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</si>
  <si>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</si>
  <si>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</si>
  <si>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</si>
  <si>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</si>
  <si>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</si>
  <si>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</si>
  <si>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</si>
  <si>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</si>
  <si>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</si>
  <si>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</si>
  <si>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</si>
  <si>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</si>
  <si>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</si>
  <si>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</si>
  <si>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</si>
  <si>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</si>
  <si>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</si>
  <si>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</si>
  <si>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</si>
  <si>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</si>
  <si>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</si>
  <si>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</si>
  <si>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</si>
  <si>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</si>
  <si>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</si>
  <si>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</si>
  <si>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</si>
  <si>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</si>
  <si>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</si>
  <si>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</si>
  <si>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</si>
  <si>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</si>
  <si>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</si>
  <si>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</si>
  <si>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</si>
  <si>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</si>
  <si>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</si>
  <si>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</si>
  <si>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</si>
  <si>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</si>
  <si>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</si>
  <si>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</si>
  <si>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</si>
  <si>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</si>
  <si>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</si>
  <si>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</si>
  <si>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</si>
  <si>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</si>
  <si>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</si>
  <si>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</si>
  <si>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</si>
  <si>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</si>
  <si>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</si>
  <si>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</si>
  <si>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</si>
  <si>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</si>
  <si>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</si>
  <si>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</si>
  <si>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</si>
  <si>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</si>
  <si>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</si>
  <si>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</si>
  <si>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</si>
  <si>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</si>
  <si>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</si>
  <si>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</si>
  <si>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</si>
  <si>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</si>
  <si>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</si>
  <si>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</si>
  <si>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</si>
  <si>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</si>
  <si>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</si>
  <si>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</si>
  <si>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</si>
  <si>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</si>
  <si>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</si>
  <si>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</si>
  <si>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</si>
  <si>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</si>
  <si>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</si>
  <si>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</si>
  <si>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</si>
  <si>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</si>
  <si>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</si>
  <si>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</si>
  <si>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</si>
  <si>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</si>
  <si>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</si>
  <si>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</si>
  <si>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</si>
  <si>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</si>
  <si>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</si>
  <si>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</si>
  <si>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</si>
  <si>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</si>
  <si>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</si>
  <si>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</si>
  <si>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</si>
  <si>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</si>
  <si>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</si>
  <si>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</si>
  <si>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</si>
  <si>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</si>
  <si>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</si>
  <si>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</si>
  <si>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</si>
  <si>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</si>
  <si>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</si>
  <si>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</si>
  <si>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</si>
  <si>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</si>
  <si>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</si>
  <si>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</si>
  <si>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</si>
  <si>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</si>
  <si>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</si>
  <si>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</si>
  <si>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</si>
  <si>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</si>
  <si>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</si>
  <si>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</si>
  <si>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</si>
  <si>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</si>
  <si>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</si>
  <si>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</si>
  <si>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</si>
  <si>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</si>
  <si>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</si>
  <si>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</si>
  <si>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</si>
  <si>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</si>
  <si>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</si>
  <si>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</si>
  <si>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</si>
  <si>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</si>
  <si>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</si>
  <si>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</si>
  <si>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</si>
  <si>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</si>
  <si>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</si>
  <si>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</si>
  <si>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</si>
  <si>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</si>
  <si>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</si>
  <si>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</si>
  <si>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</si>
  <si>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</si>
  <si>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</si>
  <si>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</si>
  <si>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</si>
  <si>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</si>
  <si>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</si>
  <si>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</si>
  <si>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</si>
  <si>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</si>
  <si>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</si>
  <si>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</si>
  <si>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</si>
  <si>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</si>
  <si>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</si>
  <si>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</si>
  <si>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</si>
  <si>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</si>
  <si>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</si>
  <si>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</si>
  <si>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</si>
  <si>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</si>
  <si>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</si>
  <si>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</si>
  <si>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</si>
  <si>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</si>
  <si>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</si>
  <si>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</si>
  <si>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</si>
  <si>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</si>
  <si>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</si>
  <si>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</si>
  <si>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</si>
  <si>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</si>
  <si>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</si>
  <si>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</si>
  <si>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</si>
  <si>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</si>
  <si>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</si>
  <si>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</si>
  <si>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</si>
  <si>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</si>
  <si>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</si>
  <si>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</si>
  <si>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</si>
  <si>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</si>
  <si>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</si>
  <si>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</si>
  <si>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</si>
  <si>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</si>
  <si>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</si>
  <si>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</si>
  <si>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</si>
  <si>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</si>
  <si>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</si>
  <si>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</si>
  <si>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</si>
  <si>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</si>
  <si>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</si>
  <si>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</si>
  <si>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</si>
  <si>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</si>
  <si>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</si>
  <si>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</si>
  <si>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</si>
  <si>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</si>
  <si>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</si>
  <si>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</si>
  <si>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</si>
  <si>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</si>
  <si>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</si>
  <si>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</si>
  <si>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</si>
  <si>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</si>
  <si>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</si>
  <si>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</si>
  <si>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</si>
  <si>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</si>
  <si>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</si>
  <si>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</si>
  <si>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</si>
  <si>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</si>
  <si>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</si>
  <si>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</si>
  <si>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</si>
  <si>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</si>
  <si>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</si>
  <si>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</si>
  <si>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</si>
  <si>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</si>
  <si>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</si>
  <si>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</si>
  <si>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</si>
  <si>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</si>
  <si>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</si>
  <si>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</si>
  <si>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</si>
  <si>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</si>
  <si>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</si>
  <si>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</si>
  <si>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</si>
  <si>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</si>
  <si>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</si>
  <si>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</si>
  <si>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</si>
  <si>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</si>
  <si>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</si>
  <si>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</si>
  <si>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</si>
  <si>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</si>
  <si>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</si>
  <si>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</si>
  <si>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</si>
  <si>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</si>
  <si>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</si>
  <si>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</si>
  <si>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</si>
  <si>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</si>
  <si>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</si>
  <si>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</si>
  <si>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</si>
  <si>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</si>
  <si>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</si>
  <si>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</si>
  <si>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</si>
  <si>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</si>
  <si>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</si>
  <si>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</si>
  <si>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</si>
  <si>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</si>
  <si>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</si>
  <si>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</si>
  <si>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</si>
  <si>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</si>
  <si>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</si>
  <si>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1.</t>
  </si>
  <si>
    <t>2.</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</si>
  <si>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</si>
  <si>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</si>
  <si>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</si>
  <si>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</si>
  <si>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</si>
  <si>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</si>
  <si>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</si>
  <si>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</si>
  <si>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</si>
  <si>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</si>
  <si>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</si>
  <si>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</si>
  <si>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</si>
  <si>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</si>
  <si>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</si>
  <si>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</si>
  <si>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</si>
  <si>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</si>
  <si>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</si>
  <si>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</si>
  <si>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</si>
  <si>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</si>
  <si>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</si>
  <si>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</si>
  <si>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</si>
  <si>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</si>
  <si>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</si>
  <si>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</si>
  <si>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</si>
  <si>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</si>
  <si>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</si>
  <si>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</si>
  <si>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</si>
  <si>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</si>
  <si>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</si>
  <si>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</si>
  <si>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</si>
  <si>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</si>
  <si>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</si>
  <si>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</si>
  <si>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</si>
  <si>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</si>
  <si>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</si>
  <si>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</si>
  <si>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</si>
  <si>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</si>
  <si>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</si>
  <si>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</si>
  <si>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</si>
  <si>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</si>
  <si>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</si>
  <si>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</si>
  <si>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</si>
  <si>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</si>
  <si>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</si>
  <si>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</si>
  <si>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</si>
  <si>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0</t>
  </si>
  <si>
    <t>Round 6 -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</si>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</sst>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workbookViewId="0"/>
  </sheetViews>
  <sheetFormatPr defaultRowHeight="15"/>
  <cols>
    <col customWidth="true" max="1" min="1" width="15"/>
    <col customWidth="true" max="26" min="2" width="30"/>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ageSetup orientation="landscape"/>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398</v>
      </c>
      <c r="F13" s="13"/>
      <c r="G13" s="13"/>
      <c r="H13" s="13"/>
    </row>
    <row r="14">
      <c r="A14">
        <v>2</v>
      </c>
      <c r="E14" s="14" t="s">
        <v>399</v>
      </c>
      <c r="F14" s="14"/>
      <c r="G14" s="14"/>
      <c r="H14" s="29" t="str">
        <f>H2</f>
      </c>
    </row>
    <row r="15">
      <c r="E15" s="14" t="s">
        <v>400</v>
      </c>
      <c r="F15" s="14"/>
      <c r="G15" s="14"/>
      <c r="H15" s="29" t="str">
        <f>H8</f>
      </c>
    </row>
    <row r="16">
      <c r="E16" s="14" t="s">
        <v>401</v>
      </c>
      <c r="F16" s="14"/>
      <c r="G16" s="14"/>
      <c r="H16" s="29" t="str">
        <f>H14+H15</f>
      </c>
    </row>
    <row r="17">
      <c r="E17" s="14" t="s">
        <v>402</v>
      </c>
      <c r="F17" s="14"/>
      <c r="G17" s="14"/>
      <c r="H17" s="29" t="str">
        <f>H16/A14</f>
      </c>
    </row>
    <row r="18">
      <c r="E18" s="13" t="s">
        <v>403</v>
      </c>
      <c r="F18" s="13"/>
      <c r="G18" s="13"/>
      <c r="H18" s="30">
        <v>0.375</v>
      </c>
    </row>
    <row r="19">
      <c r="E19" s="13" t="s">
        <v>404</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D3" s="14" t="s">
        <v>240</v>
      </c>
      <c r="G3" s="16" t="s">
        <v>241</v>
      </c>
      <c r="I3" s="17" t="s">
        <v>239</v>
      </c>
      <c r="L3" s="14" t="s">
        <v>240</v>
      </c>
      <c r="O3" s="16" t="s">
        <v>241</v>
      </c>
    </row>
    <row r="4">
      <c r="A4" s="14" t="str">
        <f>data!$B$4</f>
      </c>
      <c r="B4" s="14"/>
      <c r="C4" s="14"/>
      <c r="D4" s="14"/>
      <c r="E4" s="14"/>
      <c r="F4" s="14"/>
      <c r="G4" s="14" t="str">
        <f>data!$B$3</f>
      </c>
      <c r="I4" s="14" t="str">
        <f>data!$B$51</f>
      </c>
      <c r="J4" s="14"/>
      <c r="K4" s="14"/>
      <c r="L4" s="14"/>
      <c r="M4" s="14"/>
      <c r="N4" s="14"/>
      <c r="O4" s="14" t="str">
        <f>data!$B$50</f>
      </c>
    </row>
    <row r="5">
      <c r="A5" s="14" t="str">
        <f>data!$B$5</f>
      </c>
      <c r="B5" s="14"/>
      <c r="C5" s="14"/>
      <c r="D5" s="14"/>
      <c r="E5" s="14"/>
      <c r="F5" s="14"/>
      <c r="G5" s="14" t="str">
        <f>data!$B$3</f>
      </c>
      <c r="I5" s="14" t="str">
        <f>data!$B$52</f>
      </c>
      <c r="J5" s="14"/>
      <c r="K5" s="14"/>
      <c r="L5" s="14"/>
      <c r="M5" s="14"/>
      <c r="N5" s="14"/>
      <c r="O5" s="14" t="str">
        <f>data!$B$50</f>
      </c>
    </row>
    <row r="6">
      <c r="A6" s="14" t="str">
        <f>data!$B$5</f>
      </c>
      <c r="B6" s="14"/>
      <c r="C6" s="14"/>
      <c r="D6" s="14"/>
      <c r="E6" s="14"/>
      <c r="F6" s="14"/>
      <c r="G6" s="14" t="str">
        <f>data!$B$4</f>
      </c>
      <c r="I6" s="14" t="str">
        <f>data!$B$52</f>
      </c>
      <c r="J6" s="14"/>
      <c r="K6" s="14"/>
      <c r="L6" s="14"/>
      <c r="M6" s="14"/>
      <c r="N6" s="14"/>
      <c r="O6" s="14" t="str">
        <f>data!$B$51</f>
      </c>
    </row>
    <row r="8">
      <c r="F8" t="s">
        <v>242</v>
      </c>
      <c r="G8" s="15"/>
      <c r="N8" t="s">
        <v>242</v>
      </c>
      <c r="O8" s="15"/>
    </row>
    <row r="9">
      <c r="F9" t="s">
        <v>243</v>
      </c>
      <c r="G9" s="15"/>
      <c r="N9" t="s">
        <v>243</v>
      </c>
      <c r="O9" s="15"/>
    </row>
    <row r="10">
      <c r="F10" t="s">
        <v>244</v>
      </c>
      <c r="G10" s="15"/>
      <c r="N10" t="s">
        <v>244</v>
      </c>
      <c r="O10" s="15"/>
    </row>
    <row r="12">
      <c r="A12" s="13" t="str">
        <f>data!$A$8</f>
      </c>
      <c r="B12" s="13"/>
      <c r="C12" s="13"/>
      <c r="D12" s="13"/>
      <c r="E12" s="13"/>
      <c r="F12" s="13"/>
      <c r="G12" s="13"/>
      <c r="I12" s="13" t="str">
        <f>data!$A$55</f>
      </c>
      <c r="J12" s="13"/>
      <c r="K12" s="13"/>
      <c r="L12" s="13"/>
      <c r="M12" s="13"/>
      <c r="N12" s="13"/>
      <c r="O12" s="13"/>
    </row>
    <row r="13">
      <c r="A13" s="17" t="s">
        <v>239</v>
      </c>
      <c r="D13" s="14" t="s">
        <v>240</v>
      </c>
      <c r="G13" s="16" t="s">
        <v>241</v>
      </c>
      <c r="I13" s="17" t="s">
        <v>239</v>
      </c>
      <c r="L13" s="14" t="s">
        <v>240</v>
      </c>
      <c r="O13" s="16" t="s">
        <v>241</v>
      </c>
    </row>
    <row r="14">
      <c r="A14" s="14" t="str">
        <f>data!$B$7</f>
      </c>
      <c r="B14" s="14"/>
      <c r="C14" s="14"/>
      <c r="D14" s="14"/>
      <c r="E14" s="14"/>
      <c r="F14" s="14"/>
      <c r="G14" s="14" t="str">
        <f>data!$B$6</f>
      </c>
      <c r="I14" s="14" t="str">
        <f>data!$B$54</f>
      </c>
      <c r="J14" s="14"/>
      <c r="K14" s="14"/>
      <c r="L14" s="14"/>
      <c r="M14" s="14"/>
      <c r="N14" s="14"/>
      <c r="O14" s="14" t="str">
        <f>data!$B$53</f>
      </c>
    </row>
    <row r="15">
      <c r="A15" s="14" t="str">
        <f>data!$B$8</f>
      </c>
      <c r="B15" s="14"/>
      <c r="C15" s="14"/>
      <c r="D15" s="14"/>
      <c r="E15" s="14"/>
      <c r="F15" s="14"/>
      <c r="G15" s="14" t="str">
        <f>data!$B$6</f>
      </c>
      <c r="I15" s="14" t="str">
        <f>data!$B$55</f>
      </c>
      <c r="J15" s="14"/>
      <c r="K15" s="14"/>
      <c r="L15" s="14"/>
      <c r="M15" s="14"/>
      <c r="N15" s="14"/>
      <c r="O15" s="14" t="str">
        <f>data!$B$53</f>
      </c>
    </row>
    <row r="16">
      <c r="A16" s="14" t="str">
        <f>data!$B$8</f>
      </c>
      <c r="B16" s="14"/>
      <c r="C16" s="14"/>
      <c r="D16" s="14"/>
      <c r="E16" s="14"/>
      <c r="F16" s="14"/>
      <c r="G16" s="14" t="str">
        <f>data!$B$7</f>
      </c>
      <c r="I16" s="14" t="str">
        <f>data!$B$55</f>
      </c>
      <c r="J16" s="14"/>
      <c r="K16" s="14"/>
      <c r="L16" s="14"/>
      <c r="M16" s="14"/>
      <c r="N16" s="14"/>
      <c r="O16" s="14" t="str">
        <f>data!$B$54</f>
      </c>
    </row>
    <row r="18">
      <c r="F18" t="s">
        <v>242</v>
      </c>
      <c r="G18" s="15"/>
      <c r="N18" t="s">
        <v>242</v>
      </c>
      <c r="O18" s="15"/>
    </row>
    <row r="19">
      <c r="F19" t="s">
        <v>243</v>
      </c>
      <c r="G19" s="15"/>
      <c r="N19" t="s">
        <v>243</v>
      </c>
      <c r="O19" s="15"/>
    </row>
    <row r="20">
      <c r="F20" t="s">
        <v>244</v>
      </c>
      <c r="G20" s="15"/>
      <c r="N20" t="s">
        <v>244</v>
      </c>
      <c r="O20" s="15"/>
    </row>
    <row r="22">
      <c r="A22" s="13" t="str">
        <f>data!$A$11</f>
      </c>
      <c r="B22" s="13"/>
      <c r="C22" s="13"/>
      <c r="D22" s="13"/>
      <c r="E22" s="13"/>
      <c r="F22" s="13"/>
      <c r="G22" s="13"/>
      <c r="I22" s="13" t="str">
        <f>data!$A$58</f>
      </c>
      <c r="J22" s="13"/>
      <c r="K22" s="13"/>
      <c r="L22" s="13"/>
      <c r="M22" s="13"/>
      <c r="N22" s="13"/>
      <c r="O22" s="13"/>
    </row>
    <row r="23">
      <c r="A23" s="17" t="s">
        <v>239</v>
      </c>
      <c r="D23" s="14" t="s">
        <v>240</v>
      </c>
      <c r="G23" s="16" t="s">
        <v>241</v>
      </c>
      <c r="I23" s="17" t="s">
        <v>239</v>
      </c>
      <c r="L23" s="14" t="s">
        <v>240</v>
      </c>
      <c r="O23" s="16" t="s">
        <v>241</v>
      </c>
    </row>
    <row r="24">
      <c r="A24" s="14" t="str">
        <f>data!$B$10</f>
      </c>
      <c r="B24" s="14"/>
      <c r="C24" s="14"/>
      <c r="D24" s="14"/>
      <c r="E24" s="14"/>
      <c r="F24" s="14"/>
      <c r="G24" s="14" t="str">
        <f>data!$B$9</f>
      </c>
      <c r="I24" s="14" t="str">
        <f>data!$B$57</f>
      </c>
      <c r="J24" s="14"/>
      <c r="K24" s="14"/>
      <c r="L24" s="14"/>
      <c r="M24" s="14"/>
      <c r="N24" s="14"/>
      <c r="O24" s="14" t="str">
        <f>data!$B$56</f>
      </c>
    </row>
    <row r="25">
      <c r="A25" s="14" t="str">
        <f>data!$B$11</f>
      </c>
      <c r="B25" s="14"/>
      <c r="C25" s="14"/>
      <c r="D25" s="14"/>
      <c r="E25" s="14"/>
      <c r="F25" s="14"/>
      <c r="G25" s="14" t="str">
        <f>data!$B$9</f>
      </c>
      <c r="I25" s="14" t="str">
        <f>data!$B$58</f>
      </c>
      <c r="J25" s="14"/>
      <c r="K25" s="14"/>
      <c r="L25" s="14"/>
      <c r="M25" s="14"/>
      <c r="N25" s="14"/>
      <c r="O25" s="14" t="str">
        <f>data!$B$56</f>
      </c>
    </row>
    <row r="26">
      <c r="A26" s="14" t="str">
        <f>data!$B$11</f>
      </c>
      <c r="B26" s="14"/>
      <c r="C26" s="14"/>
      <c r="D26" s="14"/>
      <c r="E26" s="14"/>
      <c r="F26" s="14"/>
      <c r="G26" s="14" t="str">
        <f>data!$B$10</f>
      </c>
      <c r="I26" s="14" t="str">
        <f>data!$B$58</f>
      </c>
      <c r="J26" s="14"/>
      <c r="K26" s="14"/>
      <c r="L26" s="14"/>
      <c r="M26" s="14"/>
      <c r="N26" s="14"/>
      <c r="O26" s="14" t="str">
        <f>data!$B$57</f>
      </c>
    </row>
    <row r="28">
      <c r="F28" t="s">
        <v>242</v>
      </c>
      <c r="G28" s="15"/>
      <c r="N28" t="s">
        <v>242</v>
      </c>
      <c r="O28" s="15"/>
    </row>
    <row r="29">
      <c r="F29" t="s">
        <v>243</v>
      </c>
      <c r="G29" s="15"/>
      <c r="N29" t="s">
        <v>243</v>
      </c>
      <c r="O29" s="15"/>
    </row>
    <row r="30">
      <c r="F30" t="s">
        <v>244</v>
      </c>
      <c r="G30" s="15"/>
      <c r="N30" t="s">
        <v>244</v>
      </c>
      <c r="O30" s="15"/>
    </row>
    <row r="32">
      <c r="A32" s="13" t="str">
        <f>data!$A$14</f>
      </c>
      <c r="B32" s="13"/>
      <c r="C32" s="13"/>
      <c r="D32" s="13"/>
      <c r="E32" s="13"/>
      <c r="F32" s="13"/>
      <c r="G32" s="13"/>
      <c r="I32" s="13" t="str">
        <f>data!$A$61</f>
      </c>
      <c r="J32" s="13"/>
      <c r="K32" s="13"/>
      <c r="L32" s="13"/>
      <c r="M32" s="13"/>
      <c r="N32" s="13"/>
      <c r="O32" s="13"/>
    </row>
    <row r="33">
      <c r="A33" s="17" t="s">
        <v>239</v>
      </c>
      <c r="D33" s="14" t="s">
        <v>240</v>
      </c>
      <c r="G33" s="16" t="s">
        <v>241</v>
      </c>
      <c r="I33" s="17" t="s">
        <v>239</v>
      </c>
      <c r="L33" s="14" t="s">
        <v>240</v>
      </c>
      <c r="O33" s="16" t="s">
        <v>241</v>
      </c>
    </row>
    <row r="34">
      <c r="A34" s="14" t="str">
        <f>data!$B$13</f>
      </c>
      <c r="B34" s="14"/>
      <c r="C34" s="14"/>
      <c r="D34" s="14"/>
      <c r="E34" s="14"/>
      <c r="F34" s="14"/>
      <c r="G34" s="14" t="str">
        <f>data!$B$12</f>
      </c>
      <c r="I34" s="14" t="str">
        <f>data!$B$60</f>
      </c>
      <c r="J34" s="14"/>
      <c r="K34" s="14"/>
      <c r="L34" s="14"/>
      <c r="M34" s="14"/>
      <c r="N34" s="14"/>
      <c r="O34" s="14" t="str">
        <f>data!$B$59</f>
      </c>
    </row>
    <row r="35">
      <c r="A35" s="14" t="str">
        <f>data!$B$14</f>
      </c>
      <c r="B35" s="14"/>
      <c r="C35" s="14"/>
      <c r="D35" s="14"/>
      <c r="E35" s="14"/>
      <c r="F35" s="14"/>
      <c r="G35" s="14" t="str">
        <f>data!$B$12</f>
      </c>
      <c r="I35" s="14" t="str">
        <f>data!$B$61</f>
      </c>
      <c r="J35" s="14"/>
      <c r="K35" s="14"/>
      <c r="L35" s="14"/>
      <c r="M35" s="14"/>
      <c r="N35" s="14"/>
      <c r="O35" s="14" t="str">
        <f>data!$B$59</f>
      </c>
    </row>
    <row r="36">
      <c r="A36" s="14" t="str">
        <f>data!$B$14</f>
      </c>
      <c r="B36" s="14"/>
      <c r="C36" s="14"/>
      <c r="D36" s="14"/>
      <c r="E36" s="14"/>
      <c r="F36" s="14"/>
      <c r="G36" s="14" t="str">
        <f>data!$B$13</f>
      </c>
      <c r="I36" s="14" t="str">
        <f>data!$B$61</f>
      </c>
      <c r="J36" s="14"/>
      <c r="K36" s="14"/>
      <c r="L36" s="14"/>
      <c r="M36" s="14"/>
      <c r="N36" s="14"/>
      <c r="O36" s="14" t="str">
        <f>data!$B$60</f>
      </c>
    </row>
    <row r="38">
      <c r="F38" t="s">
        <v>242</v>
      </c>
      <c r="G38" s="15"/>
      <c r="N38" t="s">
        <v>242</v>
      </c>
      <c r="O38" s="15"/>
    </row>
    <row r="39">
      <c r="F39" t="s">
        <v>243</v>
      </c>
      <c r="G39" s="15"/>
      <c r="N39" t="s">
        <v>243</v>
      </c>
      <c r="O39" s="15"/>
    </row>
    <row r="40">
      <c r="F40" t="s">
        <v>244</v>
      </c>
      <c r="G40" s="15"/>
      <c r="N40" t="s">
        <v>244</v>
      </c>
      <c r="O40" s="15"/>
    </row>
    <row r="42">
      <c r="A42" s="13" t="str">
        <f>data!$A$17</f>
      </c>
      <c r="B42" s="13"/>
      <c r="C42" s="13"/>
      <c r="D42" s="13"/>
      <c r="E42" s="13"/>
      <c r="F42" s="13"/>
      <c r="G42" s="13"/>
      <c r="I42" s="13" t="str">
        <f>data!$A$64</f>
      </c>
      <c r="J42" s="13"/>
      <c r="K42" s="13"/>
      <c r="L42" s="13"/>
      <c r="M42" s="13"/>
      <c r="N42" s="13"/>
      <c r="O42" s="13"/>
    </row>
    <row r="43">
      <c r="A43" s="17" t="s">
        <v>239</v>
      </c>
      <c r="D43" s="14" t="s">
        <v>240</v>
      </c>
      <c r="G43" s="16" t="s">
        <v>241</v>
      </c>
      <c r="I43" s="17" t="s">
        <v>239</v>
      </c>
      <c r="L43" s="14" t="s">
        <v>240</v>
      </c>
      <c r="O43" s="16" t="s">
        <v>241</v>
      </c>
    </row>
    <row r="44">
      <c r="A44" s="14" t="str">
        <f>data!$B$16</f>
      </c>
      <c r="B44" s="14"/>
      <c r="C44" s="14"/>
      <c r="D44" s="14"/>
      <c r="E44" s="14"/>
      <c r="F44" s="14"/>
      <c r="G44" s="14" t="str">
        <f>data!$B$15</f>
      </c>
      <c r="I44" s="14" t="str">
        <f>data!$B$63</f>
      </c>
      <c r="J44" s="14"/>
      <c r="K44" s="14"/>
      <c r="L44" s="14"/>
      <c r="M44" s="14"/>
      <c r="N44" s="14"/>
      <c r="O44" s="14" t="str">
        <f>data!$B$62</f>
      </c>
    </row>
    <row r="45">
      <c r="A45" s="14" t="str">
        <f>data!$B$17</f>
      </c>
      <c r="B45" s="14"/>
      <c r="C45" s="14"/>
      <c r="D45" s="14"/>
      <c r="E45" s="14"/>
      <c r="F45" s="14"/>
      <c r="G45" s="14" t="str">
        <f>data!$B$15</f>
      </c>
      <c r="I45" s="14" t="str">
        <f>data!$B$64</f>
      </c>
      <c r="J45" s="14"/>
      <c r="K45" s="14"/>
      <c r="L45" s="14"/>
      <c r="M45" s="14"/>
      <c r="N45" s="14"/>
      <c r="O45" s="14" t="str">
        <f>data!$B$62</f>
      </c>
    </row>
    <row r="46">
      <c r="A46" s="14" t="str">
        <f>data!$B$17</f>
      </c>
      <c r="B46" s="14"/>
      <c r="C46" s="14"/>
      <c r="D46" s="14"/>
      <c r="E46" s="14"/>
      <c r="F46" s="14"/>
      <c r="G46" s="14" t="str">
        <f>data!$B$16</f>
      </c>
      <c r="I46" s="14" t="str">
        <f>data!$B$64</f>
      </c>
      <c r="J46" s="14"/>
      <c r="K46" s="14"/>
      <c r="L46" s="14"/>
      <c r="M46" s="14"/>
      <c r="N46" s="14"/>
      <c r="O46" s="14" t="str">
        <f>data!$B$63</f>
      </c>
    </row>
    <row r="48">
      <c r="F48" t="s">
        <v>242</v>
      </c>
      <c r="G48" s="15"/>
      <c r="N48" t="s">
        <v>242</v>
      </c>
      <c r="O48" s="15"/>
    </row>
    <row r="49">
      <c r="F49" t="s">
        <v>243</v>
      </c>
      <c r="G49" s="15"/>
      <c r="N49" t="s">
        <v>243</v>
      </c>
      <c r="O49" s="15"/>
    </row>
    <row r="50">
      <c r="F50" t="s">
        <v>244</v>
      </c>
      <c r="G50" s="15"/>
      <c r="N50" t="s">
        <v>244</v>
      </c>
      <c r="O50" s="15"/>
    </row>
    <row r="52">
      <c r="A52" s="13" t="str">
        <f>data!$A$20</f>
      </c>
      <c r="B52" s="13"/>
      <c r="C52" s="13"/>
      <c r="D52" s="13"/>
      <c r="E52" s="13"/>
      <c r="F52" s="13"/>
      <c r="G52" s="13"/>
      <c r="I52" s="13" t="str">
        <f>data!$A$67</f>
      </c>
      <c r="J52" s="13"/>
      <c r="K52" s="13"/>
      <c r="L52" s="13"/>
      <c r="M52" s="13"/>
      <c r="N52" s="13"/>
      <c r="O52" s="13"/>
    </row>
    <row r="53">
      <c r="A53" s="17" t="s">
        <v>239</v>
      </c>
      <c r="D53" s="14" t="s">
        <v>240</v>
      </c>
      <c r="G53" s="16" t="s">
        <v>241</v>
      </c>
      <c r="I53" s="17" t="s">
        <v>239</v>
      </c>
      <c r="L53" s="14" t="s">
        <v>240</v>
      </c>
      <c r="O53" s="16" t="s">
        <v>241</v>
      </c>
    </row>
    <row r="54">
      <c r="A54" s="14" t="str">
        <f>data!$B$19</f>
      </c>
      <c r="B54" s="14"/>
      <c r="C54" s="14"/>
      <c r="D54" s="14"/>
      <c r="E54" s="14"/>
      <c r="F54" s="14"/>
      <c r="G54" s="14" t="str">
        <f>data!$B$18</f>
      </c>
      <c r="I54" s="14" t="str">
        <f>data!$B$66</f>
      </c>
      <c r="J54" s="14"/>
      <c r="K54" s="14"/>
      <c r="L54" s="14"/>
      <c r="M54" s="14"/>
      <c r="N54" s="14"/>
      <c r="O54" s="14" t="str">
        <f>data!$B$65</f>
      </c>
    </row>
    <row r="55">
      <c r="A55" s="14" t="str">
        <f>data!$B$20</f>
      </c>
      <c r="B55" s="14"/>
      <c r="C55" s="14"/>
      <c r="D55" s="14"/>
      <c r="E55" s="14"/>
      <c r="F55" s="14"/>
      <c r="G55" s="14" t="str">
        <f>data!$B$18</f>
      </c>
      <c r="I55" s="14" t="str">
        <f>data!$B$67</f>
      </c>
      <c r="J55" s="14"/>
      <c r="K55" s="14"/>
      <c r="L55" s="14"/>
      <c r="M55" s="14"/>
      <c r="N55" s="14"/>
      <c r="O55" s="14" t="str">
        <f>data!$B$65</f>
      </c>
    </row>
    <row r="56">
      <c r="A56" s="14" t="str">
        <f>data!$B$20</f>
      </c>
      <c r="B56" s="14"/>
      <c r="C56" s="14"/>
      <c r="D56" s="14"/>
      <c r="E56" s="14"/>
      <c r="F56" s="14"/>
      <c r="G56" s="14" t="str">
        <f>data!$B$19</f>
      </c>
      <c r="I56" s="14" t="str">
        <f>data!$B$67</f>
      </c>
      <c r="J56" s="14"/>
      <c r="K56" s="14"/>
      <c r="L56" s="14"/>
      <c r="M56" s="14"/>
      <c r="N56" s="14"/>
      <c r="O56" s="14" t="str">
        <f>data!$B$66</f>
      </c>
    </row>
    <row r="58">
      <c r="F58" t="s">
        <v>242</v>
      </c>
      <c r="G58" s="15"/>
      <c r="N58" t="s">
        <v>242</v>
      </c>
      <c r="O58" s="15"/>
    </row>
    <row r="59">
      <c r="F59" t="s">
        <v>243</v>
      </c>
      <c r="G59" s="15"/>
      <c r="N59" t="s">
        <v>243</v>
      </c>
      <c r="O59" s="15"/>
    </row>
    <row r="60">
      <c r="F60" t="s">
        <v>244</v>
      </c>
      <c r="G60" s="15"/>
      <c r="N60" t="s">
        <v>244</v>
      </c>
      <c r="O60" s="15"/>
    </row>
    <row r="62">
      <c r="A62" s="13" t="str">
        <f>data!$A$23</f>
      </c>
      <c r="B62" s="13"/>
      <c r="C62" s="13"/>
      <c r="D62" s="13"/>
      <c r="E62" s="13"/>
      <c r="F62" s="13"/>
      <c r="G62" s="13"/>
      <c r="I62" s="13" t="str">
        <f>data!$A$70</f>
      </c>
      <c r="J62" s="13"/>
      <c r="K62" s="13"/>
      <c r="L62" s="13"/>
      <c r="M62" s="13"/>
      <c r="N62" s="13"/>
      <c r="O62" s="13"/>
    </row>
    <row r="63">
      <c r="A63" s="17" t="s">
        <v>239</v>
      </c>
      <c r="D63" s="14" t="s">
        <v>240</v>
      </c>
      <c r="G63" s="16" t="s">
        <v>241</v>
      </c>
      <c r="I63" s="17" t="s">
        <v>239</v>
      </c>
      <c r="L63" s="14" t="s">
        <v>240</v>
      </c>
      <c r="O63" s="16" t="s">
        <v>241</v>
      </c>
    </row>
    <row r="64">
      <c r="A64" s="14" t="str">
        <f>data!$B$22</f>
      </c>
      <c r="B64" s="14"/>
      <c r="C64" s="14"/>
      <c r="D64" s="14"/>
      <c r="E64" s="14"/>
      <c r="F64" s="14"/>
      <c r="G64" s="14" t="str">
        <f>data!$B$21</f>
      </c>
      <c r="I64" s="14" t="str">
        <f>data!$B$69</f>
      </c>
      <c r="J64" s="14"/>
      <c r="K64" s="14"/>
      <c r="L64" s="14"/>
      <c r="M64" s="14"/>
      <c r="N64" s="14"/>
      <c r="O64" s="14" t="str">
        <f>data!$B$68</f>
      </c>
    </row>
    <row r="65">
      <c r="A65" s="14" t="str">
        <f>data!$B$23</f>
      </c>
      <c r="B65" s="14"/>
      <c r="C65" s="14"/>
      <c r="D65" s="14"/>
      <c r="E65" s="14"/>
      <c r="F65" s="14"/>
      <c r="G65" s="14" t="str">
        <f>data!$B$21</f>
      </c>
      <c r="I65" s="14" t="str">
        <f>data!$B$70</f>
      </c>
      <c r="J65" s="14"/>
      <c r="K65" s="14"/>
      <c r="L65" s="14"/>
      <c r="M65" s="14"/>
      <c r="N65" s="14"/>
      <c r="O65" s="14" t="str">
        <f>data!$B$68</f>
      </c>
    </row>
    <row r="66">
      <c r="A66" s="14" t="str">
        <f>data!$B$23</f>
      </c>
      <c r="B66" s="14"/>
      <c r="C66" s="14"/>
      <c r="D66" s="14"/>
      <c r="E66" s="14"/>
      <c r="F66" s="14"/>
      <c r="G66" s="14" t="str">
        <f>data!$B$22</f>
      </c>
      <c r="I66" s="14" t="str">
        <f>data!$B$70</f>
      </c>
      <c r="J66" s="14"/>
      <c r="K66" s="14"/>
      <c r="L66" s="14"/>
      <c r="M66" s="14"/>
      <c r="N66" s="14"/>
      <c r="O66" s="14" t="str">
        <f>data!$B$69</f>
      </c>
    </row>
    <row r="68">
      <c r="F68" t="s">
        <v>242</v>
      </c>
      <c r="G68" s="15"/>
      <c r="N68" t="s">
        <v>242</v>
      </c>
      <c r="O68" s="15"/>
    </row>
    <row r="69">
      <c r="F69" t="s">
        <v>243</v>
      </c>
      <c r="G69" s="15"/>
      <c r="N69" t="s">
        <v>243</v>
      </c>
      <c r="O69" s="15"/>
    </row>
    <row r="70">
      <c r="F70" t="s">
        <v>244</v>
      </c>
      <c r="G70" s="15"/>
      <c r="N70" t="s">
        <v>244</v>
      </c>
      <c r="O70" s="15"/>
    </row>
    <row r="72">
      <c r="A72" s="13" t="str">
        <f>data!$A$26</f>
      </c>
      <c r="B72" s="13"/>
      <c r="C72" s="13"/>
      <c r="D72" s="13"/>
      <c r="E72" s="13"/>
      <c r="F72" s="13"/>
      <c r="G72" s="13"/>
      <c r="I72" s="13" t="str">
        <f>data!$A$73</f>
      </c>
      <c r="J72" s="13"/>
      <c r="K72" s="13"/>
      <c r="L72" s="13"/>
      <c r="M72" s="13"/>
      <c r="N72" s="13"/>
      <c r="O72" s="13"/>
    </row>
    <row r="73">
      <c r="A73" s="17" t="s">
        <v>239</v>
      </c>
      <c r="D73" s="14" t="s">
        <v>240</v>
      </c>
      <c r="G73" s="16" t="s">
        <v>241</v>
      </c>
      <c r="I73" s="17" t="s">
        <v>239</v>
      </c>
      <c r="L73" s="14" t="s">
        <v>240</v>
      </c>
      <c r="O73" s="16" t="s">
        <v>241</v>
      </c>
    </row>
    <row r="74">
      <c r="A74" s="14" t="str">
        <f>data!$B$25</f>
      </c>
      <c r="B74" s="14"/>
      <c r="C74" s="14"/>
      <c r="D74" s="14"/>
      <c r="E74" s="14"/>
      <c r="F74" s="14"/>
      <c r="G74" s="14" t="str">
        <f>data!$B$24</f>
      </c>
      <c r="I74" s="14" t="str">
        <f>data!$B$72</f>
      </c>
      <c r="J74" s="14"/>
      <c r="K74" s="14"/>
      <c r="L74" s="14"/>
      <c r="M74" s="14"/>
      <c r="N74" s="14"/>
      <c r="O74" s="14" t="str">
        <f>data!$B$71</f>
      </c>
    </row>
    <row r="75">
      <c r="A75" s="14" t="str">
        <f>data!$B$26</f>
      </c>
      <c r="B75" s="14"/>
      <c r="C75" s="14"/>
      <c r="D75" s="14"/>
      <c r="E75" s="14"/>
      <c r="F75" s="14"/>
      <c r="G75" s="14" t="str">
        <f>data!$B$24</f>
      </c>
      <c r="I75" s="14" t="str">
        <f>data!$B$73</f>
      </c>
      <c r="J75" s="14"/>
      <c r="K75" s="14"/>
      <c r="L75" s="14"/>
      <c r="M75" s="14"/>
      <c r="N75" s="14"/>
      <c r="O75" s="14" t="str">
        <f>data!$B$71</f>
      </c>
    </row>
    <row r="76">
      <c r="A76" s="14" t="str">
        <f>data!$B$26</f>
      </c>
      <c r="B76" s="14"/>
      <c r="C76" s="14"/>
      <c r="D76" s="14"/>
      <c r="E76" s="14"/>
      <c r="F76" s="14"/>
      <c r="G76" s="14" t="str">
        <f>data!$B$25</f>
      </c>
      <c r="I76" s="14" t="str">
        <f>data!$B$73</f>
      </c>
      <c r="J76" s="14"/>
      <c r="K76" s="14"/>
      <c r="L76" s="14"/>
      <c r="M76" s="14"/>
      <c r="N76" s="14"/>
      <c r="O76" s="14" t="str">
        <f>data!$B$72</f>
      </c>
    </row>
    <row r="78">
      <c r="F78" t="s">
        <v>242</v>
      </c>
      <c r="G78" s="15"/>
      <c r="N78" t="s">
        <v>242</v>
      </c>
      <c r="O78" s="15"/>
    </row>
    <row r="79">
      <c r="F79" t="s">
        <v>243</v>
      </c>
      <c r="G79" s="15"/>
      <c r="N79" t="s">
        <v>243</v>
      </c>
      <c r="O79" s="15"/>
    </row>
    <row r="80">
      <c r="F80" t="s">
        <v>244</v>
      </c>
      <c r="G80" s="15"/>
      <c r="N80" t="s">
        <v>244</v>
      </c>
      <c r="O80" s="15"/>
    </row>
    <row r="82">
      <c r="A82" s="13" t="str">
        <f>data!$A$29</f>
      </c>
      <c r="B82" s="13"/>
      <c r="C82" s="13"/>
      <c r="D82" s="13"/>
      <c r="E82" s="13"/>
      <c r="F82" s="13"/>
      <c r="G82" s="13"/>
      <c r="I82" s="13" t="str">
        <f>data!$A$76</f>
      </c>
      <c r="J82" s="13"/>
      <c r="K82" s="13"/>
      <c r="L82" s="13"/>
      <c r="M82" s="13"/>
      <c r="N82" s="13"/>
      <c r="O82" s="13"/>
    </row>
    <row r="83">
      <c r="A83" s="17" t="s">
        <v>239</v>
      </c>
      <c r="D83" s="14" t="s">
        <v>240</v>
      </c>
      <c r="G83" s="16" t="s">
        <v>241</v>
      </c>
      <c r="I83" s="17" t="s">
        <v>239</v>
      </c>
      <c r="L83" s="14" t="s">
        <v>240</v>
      </c>
      <c r="O83" s="16" t="s">
        <v>241</v>
      </c>
    </row>
    <row r="84">
      <c r="A84" s="14" t="str">
        <f>data!$B$28</f>
      </c>
      <c r="B84" s="14"/>
      <c r="C84" s="14"/>
      <c r="D84" s="14"/>
      <c r="E84" s="14"/>
      <c r="F84" s="14"/>
      <c r="G84" s="14" t="str">
        <f>data!$B$27</f>
      </c>
      <c r="I84" s="14" t="str">
        <f>data!$B$75</f>
      </c>
      <c r="J84" s="14"/>
      <c r="K84" s="14"/>
      <c r="L84" s="14"/>
      <c r="M84" s="14"/>
      <c r="N84" s="14"/>
      <c r="O84" s="14" t="str">
        <f>data!$B$74</f>
      </c>
    </row>
    <row r="85">
      <c r="A85" s="14" t="str">
        <f>data!$B$29</f>
      </c>
      <c r="B85" s="14"/>
      <c r="C85" s="14"/>
      <c r="D85" s="14"/>
      <c r="E85" s="14"/>
      <c r="F85" s="14"/>
      <c r="G85" s="14" t="str">
        <f>data!$B$27</f>
      </c>
      <c r="I85" s="14" t="str">
        <f>data!$B$76</f>
      </c>
      <c r="J85" s="14"/>
      <c r="K85" s="14"/>
      <c r="L85" s="14"/>
      <c r="M85" s="14"/>
      <c r="N85" s="14"/>
      <c r="O85" s="14" t="str">
        <f>data!$B$74</f>
      </c>
    </row>
    <row r="86">
      <c r="A86" s="14" t="str">
        <f>data!$B$29</f>
      </c>
      <c r="B86" s="14"/>
      <c r="C86" s="14"/>
      <c r="D86" s="14"/>
      <c r="E86" s="14"/>
      <c r="F86" s="14"/>
      <c r="G86" s="14" t="str">
        <f>data!$B$28</f>
      </c>
      <c r="I86" s="14" t="str">
        <f>data!$B$76</f>
      </c>
      <c r="J86" s="14"/>
      <c r="K86" s="14"/>
      <c r="L86" s="14"/>
      <c r="M86" s="14"/>
      <c r="N86" s="14"/>
      <c r="O86" s="14" t="str">
        <f>data!$B$75</f>
      </c>
    </row>
    <row r="88">
      <c r="F88" t="s">
        <v>242</v>
      </c>
      <c r="G88" s="15"/>
      <c r="N88" t="s">
        <v>242</v>
      </c>
      <c r="O88" s="15"/>
    </row>
    <row r="89">
      <c r="F89" t="s">
        <v>243</v>
      </c>
      <c r="G89" s="15"/>
      <c r="N89" t="s">
        <v>243</v>
      </c>
      <c r="O89" s="15"/>
    </row>
    <row r="90">
      <c r="F90" t="s">
        <v>244</v>
      </c>
      <c r="G90" s="15"/>
      <c r="N90" t="s">
        <v>244</v>
      </c>
      <c r="O90" s="15"/>
    </row>
    <row r="92">
      <c r="A92" s="13" t="str">
        <f>data!$A$32</f>
      </c>
      <c r="B92" s="13"/>
      <c r="C92" s="13"/>
      <c r="D92" s="13"/>
      <c r="E92" s="13"/>
      <c r="F92" s="13"/>
      <c r="G92" s="13"/>
      <c r="I92" s="13" t="str">
        <f>data!$A$79</f>
      </c>
      <c r="J92" s="13"/>
      <c r="K92" s="13"/>
      <c r="L92" s="13"/>
      <c r="M92" s="13"/>
      <c r="N92" s="13"/>
      <c r="O92" s="13"/>
    </row>
    <row r="93">
      <c r="A93" s="17" t="s">
        <v>239</v>
      </c>
      <c r="D93" s="14" t="s">
        <v>240</v>
      </c>
      <c r="G93" s="16" t="s">
        <v>241</v>
      </c>
      <c r="I93" s="17" t="s">
        <v>239</v>
      </c>
      <c r="L93" s="14" t="s">
        <v>240</v>
      </c>
      <c r="O93" s="16" t="s">
        <v>241</v>
      </c>
    </row>
    <row r="94">
      <c r="A94" s="14" t="str">
        <f>data!$B$31</f>
      </c>
      <c r="B94" s="14"/>
      <c r="C94" s="14"/>
      <c r="D94" s="14"/>
      <c r="E94" s="14"/>
      <c r="F94" s="14"/>
      <c r="G94" s="14" t="str">
        <f>data!$B$30</f>
      </c>
      <c r="I94" s="14" t="str">
        <f>data!$B$78</f>
      </c>
      <c r="J94" s="14"/>
      <c r="K94" s="14"/>
      <c r="L94" s="14"/>
      <c r="M94" s="14"/>
      <c r="N94" s="14"/>
      <c r="O94" s="14" t="str">
        <f>data!$B$77</f>
      </c>
    </row>
    <row r="95">
      <c r="A95" s="14" t="str">
        <f>data!$B$32</f>
      </c>
      <c r="B95" s="14"/>
      <c r="C95" s="14"/>
      <c r="D95" s="14"/>
      <c r="E95" s="14"/>
      <c r="F95" s="14"/>
      <c r="G95" s="14" t="str">
        <f>data!$B$30</f>
      </c>
      <c r="I95" s="14" t="str">
        <f>data!$B$79</f>
      </c>
      <c r="J95" s="14"/>
      <c r="K95" s="14"/>
      <c r="L95" s="14"/>
      <c r="M95" s="14"/>
      <c r="N95" s="14"/>
      <c r="O95" s="14" t="str">
        <f>data!$B$77</f>
      </c>
    </row>
    <row r="96">
      <c r="A96" s="14" t="str">
        <f>data!$B$32</f>
      </c>
      <c r="B96" s="14"/>
      <c r="C96" s="14"/>
      <c r="D96" s="14"/>
      <c r="E96" s="14"/>
      <c r="F96" s="14"/>
      <c r="G96" s="14" t="str">
        <f>data!$B$31</f>
      </c>
      <c r="I96" s="14" t="str">
        <f>data!$B$79</f>
      </c>
      <c r="J96" s="14"/>
      <c r="K96" s="14"/>
      <c r="L96" s="14"/>
      <c r="M96" s="14"/>
      <c r="N96" s="14"/>
      <c r="O96" s="14" t="str">
        <f>data!$B$78</f>
      </c>
    </row>
    <row r="98">
      <c r="F98" t="s">
        <v>242</v>
      </c>
      <c r="G98" s="15"/>
      <c r="N98" t="s">
        <v>242</v>
      </c>
      <c r="O98" s="15"/>
    </row>
    <row r="99">
      <c r="F99" t="s">
        <v>243</v>
      </c>
      <c r="G99" s="15"/>
      <c r="N99" t="s">
        <v>243</v>
      </c>
      <c r="O99" s="15"/>
    </row>
    <row r="100">
      <c r="F100" t="s">
        <v>244</v>
      </c>
      <c r="G100" s="15"/>
      <c r="N100" t="s">
        <v>244</v>
      </c>
      <c r="O100" s="15"/>
    </row>
    <row r="102">
      <c r="A102" s="13" t="str">
        <f>data!$A$35</f>
      </c>
      <c r="B102" s="13"/>
      <c r="C102" s="13"/>
      <c r="D102" s="13"/>
      <c r="E102" s="13"/>
      <c r="F102" s="13"/>
      <c r="G102" s="13"/>
      <c r="I102" s="13" t="str">
        <f>data!$A$82</f>
      </c>
      <c r="J102" s="13"/>
      <c r="K102" s="13"/>
      <c r="L102" s="13"/>
      <c r="M102" s="13"/>
      <c r="N102" s="13"/>
      <c r="O102" s="13"/>
    </row>
    <row r="103">
      <c r="A103" s="17" t="s">
        <v>239</v>
      </c>
      <c r="D103" s="14" t="s">
        <v>240</v>
      </c>
      <c r="G103" s="16" t="s">
        <v>241</v>
      </c>
      <c r="I103" s="17" t="s">
        <v>239</v>
      </c>
      <c r="L103" s="14" t="s">
        <v>240</v>
      </c>
      <c r="O103" s="16" t="s">
        <v>241</v>
      </c>
    </row>
    <row r="104">
      <c r="A104" s="14" t="str">
        <f>data!$B$34</f>
      </c>
      <c r="B104" s="14"/>
      <c r="C104" s="14"/>
      <c r="D104" s="14"/>
      <c r="E104" s="14"/>
      <c r="F104" s="14"/>
      <c r="G104" s="14" t="str">
        <f>data!$B$33</f>
      </c>
      <c r="I104" s="14" t="str">
        <f>data!$B$81</f>
      </c>
      <c r="J104" s="14"/>
      <c r="K104" s="14"/>
      <c r="L104" s="14"/>
      <c r="M104" s="14"/>
      <c r="N104" s="14"/>
      <c r="O104" s="14" t="str">
        <f>data!$B$80</f>
      </c>
    </row>
    <row r="105">
      <c r="A105" s="14" t="str">
        <f>data!$B$35</f>
      </c>
      <c r="B105" s="14"/>
      <c r="C105" s="14"/>
      <c r="D105" s="14"/>
      <c r="E105" s="14"/>
      <c r="F105" s="14"/>
      <c r="G105" s="14" t="str">
        <f>data!$B$33</f>
      </c>
      <c r="I105" s="14" t="str">
        <f>data!$B$82</f>
      </c>
      <c r="J105" s="14"/>
      <c r="K105" s="14"/>
      <c r="L105" s="14"/>
      <c r="M105" s="14"/>
      <c r="N105" s="14"/>
      <c r="O105" s="14" t="str">
        <f>data!$B$80</f>
      </c>
    </row>
    <row r="106">
      <c r="A106" s="14" t="str">
        <f>data!$B$35</f>
      </c>
      <c r="B106" s="14"/>
      <c r="C106" s="14"/>
      <c r="D106" s="14"/>
      <c r="E106" s="14"/>
      <c r="F106" s="14"/>
      <c r="G106" s="14" t="str">
        <f>data!$B$34</f>
      </c>
      <c r="I106" s="14" t="str">
        <f>data!$B$82</f>
      </c>
      <c r="J106" s="14"/>
      <c r="K106" s="14"/>
      <c r="L106" s="14"/>
      <c r="M106" s="14"/>
      <c r="N106" s="14"/>
      <c r="O106" s="14" t="str">
        <f>data!$B$81</f>
      </c>
    </row>
    <row r="108">
      <c r="F108" t="s">
        <v>242</v>
      </c>
      <c r="G108" s="15"/>
      <c r="N108" t="s">
        <v>242</v>
      </c>
      <c r="O108" s="15"/>
    </row>
    <row r="109">
      <c r="F109" t="s">
        <v>243</v>
      </c>
      <c r="G109" s="15"/>
      <c r="N109" t="s">
        <v>243</v>
      </c>
      <c r="O109" s="15"/>
    </row>
    <row r="110">
      <c r="F110" t="s">
        <v>244</v>
      </c>
      <c r="G110" s="15"/>
      <c r="N110" t="s">
        <v>244</v>
      </c>
      <c r="O110" s="15"/>
    </row>
    <row r="112">
      <c r="A112" s="13" t="str">
        <f>data!$A$38</f>
      </c>
      <c r="B112" s="13"/>
      <c r="C112" s="13"/>
      <c r="D112" s="13"/>
      <c r="E112" s="13"/>
      <c r="F112" s="13"/>
      <c r="G112" s="13"/>
      <c r="I112" s="13" t="str">
        <f>data!$A$85</f>
      </c>
      <c r="J112" s="13"/>
      <c r="K112" s="13"/>
      <c r="L112" s="13"/>
      <c r="M112" s="13"/>
      <c r="N112" s="13"/>
      <c r="O112" s="13"/>
    </row>
    <row r="113">
      <c r="A113" s="17" t="s">
        <v>239</v>
      </c>
      <c r="D113" s="14" t="s">
        <v>240</v>
      </c>
      <c r="G113" s="16" t="s">
        <v>241</v>
      </c>
      <c r="I113" s="17" t="s">
        <v>239</v>
      </c>
      <c r="L113" s="14" t="s">
        <v>240</v>
      </c>
      <c r="O113" s="16" t="s">
        <v>241</v>
      </c>
    </row>
    <row r="114">
      <c r="A114" s="14" t="str">
        <f>data!$B$37</f>
      </c>
      <c r="B114" s="14"/>
      <c r="C114" s="14"/>
      <c r="D114" s="14"/>
      <c r="E114" s="14"/>
      <c r="F114" s="14"/>
      <c r="G114" s="14" t="str">
        <f>data!$B$36</f>
      </c>
      <c r="I114" s="14" t="str">
        <f>data!$B$84</f>
      </c>
      <c r="J114" s="14"/>
      <c r="K114" s="14"/>
      <c r="L114" s="14"/>
      <c r="M114" s="14"/>
      <c r="N114" s="14"/>
      <c r="O114" s="14" t="str">
        <f>data!$B$83</f>
      </c>
    </row>
    <row r="115">
      <c r="A115" s="14" t="str">
        <f>data!$B$38</f>
      </c>
      <c r="B115" s="14"/>
      <c r="C115" s="14"/>
      <c r="D115" s="14"/>
      <c r="E115" s="14"/>
      <c r="F115" s="14"/>
      <c r="G115" s="14" t="str">
        <f>data!$B$36</f>
      </c>
      <c r="I115" s="14" t="str">
        <f>data!$B$85</f>
      </c>
      <c r="J115" s="14"/>
      <c r="K115" s="14"/>
      <c r="L115" s="14"/>
      <c r="M115" s="14"/>
      <c r="N115" s="14"/>
      <c r="O115" s="14" t="str">
        <f>data!$B$83</f>
      </c>
    </row>
    <row r="116">
      <c r="A116" s="14" t="str">
        <f>data!$B$38</f>
      </c>
      <c r="B116" s="14"/>
      <c r="C116" s="14"/>
      <c r="D116" s="14"/>
      <c r="E116" s="14"/>
      <c r="F116" s="14"/>
      <c r="G116" s="14" t="str">
        <f>data!$B$37</f>
      </c>
      <c r="I116" s="14" t="str">
        <f>data!$B$85</f>
      </c>
      <c r="J116" s="14"/>
      <c r="K116" s="14"/>
      <c r="L116" s="14"/>
      <c r="M116" s="14"/>
      <c r="N116" s="14"/>
      <c r="O116" s="14" t="str">
        <f>data!$B$84</f>
      </c>
    </row>
    <row r="118">
      <c r="F118" t="s">
        <v>242</v>
      </c>
      <c r="G118" s="15"/>
      <c r="N118" t="s">
        <v>242</v>
      </c>
      <c r="O118" s="15"/>
    </row>
    <row r="119">
      <c r="F119" t="s">
        <v>243</v>
      </c>
      <c r="G119" s="15"/>
      <c r="N119" t="s">
        <v>243</v>
      </c>
      <c r="O119" s="15"/>
    </row>
    <row r="120">
      <c r="F120" t="s">
        <v>244</v>
      </c>
      <c r="G120" s="15"/>
      <c r="N120" t="s">
        <v>244</v>
      </c>
      <c r="O120" s="15"/>
    </row>
    <row r="122">
      <c r="A122" s="13" t="str">
        <f>data!$A$41</f>
      </c>
      <c r="B122" s="13"/>
      <c r="C122" s="13"/>
      <c r="D122" s="13"/>
      <c r="E122" s="13"/>
      <c r="F122" s="13"/>
      <c r="G122" s="13"/>
      <c r="I122" s="13" t="str">
        <f>data!$A$88</f>
      </c>
      <c r="J122" s="13"/>
      <c r="K122" s="13"/>
      <c r="L122" s="13"/>
      <c r="M122" s="13"/>
      <c r="N122" s="13"/>
      <c r="O122" s="13"/>
    </row>
    <row r="123">
      <c r="A123" s="17" t="s">
        <v>239</v>
      </c>
      <c r="D123" s="14" t="s">
        <v>240</v>
      </c>
      <c r="G123" s="16" t="s">
        <v>241</v>
      </c>
      <c r="I123" s="17" t="s">
        <v>239</v>
      </c>
      <c r="L123" s="14" t="s">
        <v>240</v>
      </c>
      <c r="O123" s="16" t="s">
        <v>241</v>
      </c>
    </row>
    <row r="124">
      <c r="A124" s="14" t="str">
        <f>data!$B$40</f>
      </c>
      <c r="B124" s="14"/>
      <c r="C124" s="14"/>
      <c r="D124" s="14"/>
      <c r="E124" s="14"/>
      <c r="F124" s="14"/>
      <c r="G124" s="14" t="str">
        <f>data!$B$39</f>
      </c>
      <c r="I124" s="14" t="str">
        <f>data!$B$87</f>
      </c>
      <c r="J124" s="14"/>
      <c r="K124" s="14"/>
      <c r="L124" s="14"/>
      <c r="M124" s="14"/>
      <c r="N124" s="14"/>
      <c r="O124" s="14" t="str">
        <f>data!$B$86</f>
      </c>
    </row>
    <row r="125">
      <c r="A125" s="14" t="str">
        <f>data!$B$41</f>
      </c>
      <c r="B125" s="14"/>
      <c r="C125" s="14"/>
      <c r="D125" s="14"/>
      <c r="E125" s="14"/>
      <c r="F125" s="14"/>
      <c r="G125" s="14" t="str">
        <f>data!$B$39</f>
      </c>
      <c r="I125" s="14" t="str">
        <f>data!$B$88</f>
      </c>
      <c r="J125" s="14"/>
      <c r="K125" s="14"/>
      <c r="L125" s="14"/>
      <c r="M125" s="14"/>
      <c r="N125" s="14"/>
      <c r="O125" s="14" t="str">
        <f>data!$B$86</f>
      </c>
    </row>
    <row r="126">
      <c r="A126" s="14" t="str">
        <f>data!$B$41</f>
      </c>
      <c r="B126" s="14"/>
      <c r="C126" s="14"/>
      <c r="D126" s="14"/>
      <c r="E126" s="14"/>
      <c r="F126" s="14"/>
      <c r="G126" s="14" t="str">
        <f>data!$B$40</f>
      </c>
      <c r="I126" s="14" t="str">
        <f>data!$B$88</f>
      </c>
      <c r="J126" s="14"/>
      <c r="K126" s="14"/>
      <c r="L126" s="14"/>
      <c r="M126" s="14"/>
      <c r="N126" s="14"/>
      <c r="O126" s="14" t="str">
        <f>data!$B$87</f>
      </c>
    </row>
    <row r="128">
      <c r="F128" t="s">
        <v>242</v>
      </c>
      <c r="G128" s="15"/>
      <c r="N128" t="s">
        <v>242</v>
      </c>
      <c r="O128" s="15"/>
    </row>
    <row r="129">
      <c r="F129" t="s">
        <v>243</v>
      </c>
      <c r="G129" s="15"/>
      <c r="N129" t="s">
        <v>243</v>
      </c>
      <c r="O129" s="15"/>
    </row>
    <row r="130">
      <c r="F130" t="s">
        <v>244</v>
      </c>
      <c r="G130" s="15"/>
      <c r="N130" t="s">
        <v>244</v>
      </c>
      <c r="O130" s="15"/>
    </row>
    <row r="132">
      <c r="A132" s="13" t="str">
        <f>data!$A$44</f>
      </c>
      <c r="B132" s="13"/>
      <c r="C132" s="13"/>
      <c r="D132" s="13"/>
      <c r="E132" s="13"/>
      <c r="F132" s="13"/>
      <c r="G132" s="13"/>
      <c r="I132" s="13" t="str">
        <f>data!$A$91</f>
      </c>
      <c r="J132" s="13"/>
      <c r="K132" s="13"/>
      <c r="L132" s="13"/>
      <c r="M132" s="13"/>
      <c r="N132" s="13"/>
      <c r="O132" s="13"/>
    </row>
    <row r="133">
      <c r="A133" s="17" t="s">
        <v>239</v>
      </c>
      <c r="D133" s="14" t="s">
        <v>240</v>
      </c>
      <c r="G133" s="16" t="s">
        <v>241</v>
      </c>
      <c r="I133" s="17" t="s">
        <v>239</v>
      </c>
      <c r="L133" s="14" t="s">
        <v>240</v>
      </c>
      <c r="O133" s="16" t="s">
        <v>241</v>
      </c>
    </row>
    <row r="134">
      <c r="A134" s="14" t="str">
        <f>data!$B$43</f>
      </c>
      <c r="B134" s="14"/>
      <c r="C134" s="14"/>
      <c r="D134" s="14"/>
      <c r="E134" s="14"/>
      <c r="F134" s="14"/>
      <c r="G134" s="14" t="str">
        <f>data!$B$42</f>
      </c>
      <c r="I134" s="14" t="str">
        <f>data!$B$90</f>
      </c>
      <c r="J134" s="14"/>
      <c r="K134" s="14"/>
      <c r="L134" s="14"/>
      <c r="M134" s="14"/>
      <c r="N134" s="14"/>
      <c r="O134" s="14" t="str">
        <f>data!$B$89</f>
      </c>
    </row>
    <row r="135">
      <c r="A135" s="14" t="str">
        <f>data!$B$44</f>
      </c>
      <c r="B135" s="14"/>
      <c r="C135" s="14"/>
      <c r="D135" s="14"/>
      <c r="E135" s="14"/>
      <c r="F135" s="14"/>
      <c r="G135" s="14" t="str">
        <f>data!$B$42</f>
      </c>
      <c r="I135" s="14" t="str">
        <f>data!$B$91</f>
      </c>
      <c r="J135" s="14"/>
      <c r="K135" s="14"/>
      <c r="L135" s="14"/>
      <c r="M135" s="14"/>
      <c r="N135" s="14"/>
      <c r="O135" s="14" t="str">
        <f>data!$B$89</f>
      </c>
    </row>
    <row r="136">
      <c r="A136" s="14" t="str">
        <f>data!$B$44</f>
      </c>
      <c r="B136" s="14"/>
      <c r="C136" s="14"/>
      <c r="D136" s="14"/>
      <c r="E136" s="14"/>
      <c r="F136" s="14"/>
      <c r="G136" s="14" t="str">
        <f>data!$B$43</f>
      </c>
      <c r="I136" s="14" t="str">
        <f>data!$B$91</f>
      </c>
      <c r="J136" s="14"/>
      <c r="K136" s="14"/>
      <c r="L136" s="14"/>
      <c r="M136" s="14"/>
      <c r="N136" s="14"/>
      <c r="O136" s="14" t="str">
        <f>data!$B$90</f>
      </c>
    </row>
    <row r="138">
      <c r="F138" t="s">
        <v>242</v>
      </c>
      <c r="G138" s="15"/>
      <c r="N138" t="s">
        <v>242</v>
      </c>
      <c r="O138" s="15"/>
    </row>
    <row r="139">
      <c r="F139" t="s">
        <v>243</v>
      </c>
      <c r="G139" s="15"/>
      <c r="N139" t="s">
        <v>243</v>
      </c>
      <c r="O139" s="15"/>
    </row>
    <row r="140">
      <c r="F140" t="s">
        <v>244</v>
      </c>
      <c r="G140" s="15"/>
      <c r="N140" t="s">
        <v>244</v>
      </c>
      <c r="O140" s="15"/>
    </row>
    <row r="142">
      <c r="A142" s="13" t="str">
        <f>data!$A$47</f>
      </c>
      <c r="B142" s="13"/>
      <c r="C142" s="13"/>
      <c r="D142" s="13"/>
      <c r="E142" s="13"/>
      <c r="F142" s="13"/>
      <c r="G142" s="13"/>
      <c r="I142" s="13" t="str">
        <f>data!$A$93</f>
      </c>
      <c r="J142" s="13"/>
      <c r="K142" s="13"/>
      <c r="L142" s="13"/>
      <c r="M142" s="13"/>
      <c r="N142" s="13"/>
      <c r="O142" s="13"/>
    </row>
    <row r="143">
      <c r="A143" s="17" t="s">
        <v>239</v>
      </c>
      <c r="D143" s="14" t="s">
        <v>240</v>
      </c>
      <c r="G143" s="16" t="s">
        <v>241</v>
      </c>
      <c r="I143" s="17" t="s">
        <v>239</v>
      </c>
      <c r="L143" s="14" t="s">
        <v>240</v>
      </c>
      <c r="O143" s="16" t="s">
        <v>241</v>
      </c>
    </row>
    <row r="144">
      <c r="A144" s="14" t="str">
        <f>data!$B$46</f>
      </c>
      <c r="B144" s="14"/>
      <c r="C144" s="14"/>
      <c r="D144" s="14"/>
      <c r="E144" s="14"/>
      <c r="F144" s="14"/>
      <c r="G144" s="14" t="str">
        <f>data!$B$45</f>
      </c>
      <c r="I144" s="14" t="str">
        <f>data!$B$93</f>
      </c>
      <c r="J144" s="14"/>
      <c r="K144" s="14"/>
      <c r="L144" s="14"/>
      <c r="M144" s="14"/>
      <c r="N144" s="14"/>
      <c r="O144" s="14" t="str">
        <f>data!$B$92</f>
      </c>
    </row>
    <row r="145">
      <c r="A145" s="14" t="str">
        <f>data!$B$47</f>
      </c>
      <c r="B145" s="14"/>
      <c r="C145" s="14"/>
      <c r="D145" s="14"/>
      <c r="E145" s="14"/>
      <c r="F145" s="14"/>
      <c r="G145" s="14" t="str">
        <f>data!$B$45</f>
      </c>
    </row>
    <row r="146">
      <c r="A146" s="14" t="str">
        <f>data!$B$47</f>
      </c>
      <c r="B146" s="14"/>
      <c r="C146" s="14"/>
      <c r="D146" s="14"/>
      <c r="E146" s="14"/>
      <c r="F146" s="14"/>
      <c r="G146" s="14" t="str">
        <f>data!$B$46</f>
      </c>
    </row>
    <row r="148">
      <c r="F148" t="s">
        <v>242</v>
      </c>
      <c r="G148" s="15"/>
      <c r="N148" t="s">
        <v>242</v>
      </c>
      <c r="O148" s="15"/>
    </row>
    <row r="149">
      <c r="F149" t="s">
        <v>243</v>
      </c>
      <c r="G149" s="15"/>
      <c r="N149" t="s">
        <v>243</v>
      </c>
      <c r="O149" s="15"/>
    </row>
    <row r="150">
      <c r="F150" t="s">
        <v>244</v>
      </c>
      <c r="G150" s="15"/>
    </row>
    <row r="152">
      <c r="A152" s="13" t="str">
        <f>data!$A$49</f>
      </c>
      <c r="B152" s="13"/>
      <c r="C152" s="13"/>
      <c r="D152" s="13"/>
      <c r="E152" s="13"/>
      <c r="F152" s="13"/>
      <c r="G152" s="13"/>
    </row>
    <row r="153">
      <c r="A153" s="17" t="s">
        <v>239</v>
      </c>
      <c r="D153" s="14" t="s">
        <v>240</v>
      </c>
      <c r="G153" s="16" t="s">
        <v>241</v>
      </c>
    </row>
    <row r="154">
      <c r="A154" s="14" t="str">
        <f>data!$B$49</f>
      </c>
      <c r="B154" s="14"/>
      <c r="C154" s="14"/>
      <c r="D154" s="14"/>
      <c r="E154" s="14"/>
      <c r="F154" s="14"/>
      <c r="G154" s="14" t="str">
        <f>data!$B$48</f>
      </c>
    </row>
    <row r="156">
      <c r="F156" t="s">
        <v>242</v>
      </c>
      <c r="G156" s="15"/>
    </row>
    <row r="157">
      <c r="F157" t="s">
        <v>243</v>
      </c>
      <c r="G157" s="15"/>
    </row>
  </sheetData>
  <mergeCells count="33">
    <mergeCell ref="A1:G1"/>
    <mergeCell ref="I1:O1"/>
    <mergeCell ref="A2:G2"/>
    <mergeCell ref="I2:O2"/>
    <mergeCell ref="A12:G12"/>
    <mergeCell ref="I12:O12"/>
    <mergeCell ref="A22:G22"/>
    <mergeCell ref="I22:O22"/>
    <mergeCell ref="A32:G32"/>
    <mergeCell ref="I32:O32"/>
    <mergeCell ref="A42:G42"/>
    <mergeCell ref="I42:O42"/>
    <mergeCell ref="A52:G52"/>
    <mergeCell ref="I52:O52"/>
    <mergeCell ref="A62:G62"/>
    <mergeCell ref="I62:O62"/>
    <mergeCell ref="A72:G72"/>
    <mergeCell ref="I72:O72"/>
    <mergeCell ref="A82:G82"/>
    <mergeCell ref="I82:O82"/>
    <mergeCell ref="A92:G92"/>
    <mergeCell ref="I92:O92"/>
    <mergeCell ref="A102:G102"/>
    <mergeCell ref="I102:O102"/>
    <mergeCell ref="A112:G112"/>
    <mergeCell ref="I112:O112"/>
    <mergeCell ref="A122:G122"/>
    <mergeCell ref="I122:O122"/>
    <mergeCell ref="A132:G132"/>
    <mergeCell ref="I132:O132"/>
    <mergeCell ref="A142:G142"/>
    <mergeCell ref="I142:O142"/>
    <mergeCell ref="A152:G152"/>
  </mergeCells>
  <printOptions horizontalCentered="true" verticalCentered="true"/>
  <pageSetup fitToHeight="0" fitToWidth="2" orientation="portrait" pageOrder="downThenOver" paperSize="9"/>
  <rowBreaks count="3" manualBreakCount="3">
    <brk id="41" max="16383" man="true"/>
    <brk id="81" max="16383" man="true"/>
    <brk id="121"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237</v>
      </c>
      <c r="B1" s="13"/>
      <c r="C1" s="13"/>
      <c r="D1" s="13"/>
      <c r="E1" s="13"/>
      <c r="F1" s="13"/>
      <c r="G1" s="13"/>
      <c r="I1" s="13" t="s">
        <v>238</v>
      </c>
      <c r="J1" s="13"/>
      <c r="K1" s="13"/>
      <c r="L1" s="13"/>
      <c r="M1" s="13"/>
      <c r="N1" s="13"/>
      <c r="O1" s="13"/>
    </row>
    <row r="2">
      <c r="A2" s="13" t="s">
        <v>336</v>
      </c>
      <c r="B2" s="13"/>
      <c r="C2" s="13"/>
      <c r="D2" s="13"/>
      <c r="E2" s="13"/>
      <c r="F2" s="13"/>
      <c r="G2" s="13"/>
      <c r="I2" s="13" t="s">
        <v>339</v>
      </c>
      <c r="J2" s="13"/>
      <c r="K2" s="13"/>
      <c r="L2" s="13"/>
      <c r="M2" s="13"/>
      <c r="N2" s="13"/>
      <c r="O2" s="13"/>
    </row>
    <row r="3">
      <c r="A3" s="17" t="s">
        <v>239</v>
      </c>
      <c r="D3" s="14" t="s">
        <v>240</v>
      </c>
      <c r="G3" s="16" t="s">
        <v>241</v>
      </c>
      <c r="I3" s="17" t="s">
        <v>239</v>
      </c>
      <c r="L3" s="14" t="s">
        <v>240</v>
      </c>
      <c r="O3" s="16" t="s">
        <v>241</v>
      </c>
    </row>
    <row r="4">
      <c r="A4" s="14" t="str">
        <f>CONCATENATE("Pool B-2nd ",'Pool Matches'!G19)</f>
      </c>
      <c r="B4" s="14"/>
      <c r="C4" s="14"/>
      <c r="D4" s="14"/>
      <c r="E4" s="14"/>
      <c r="F4" s="14"/>
      <c r="G4" s="14" t="str">
        <f>CONCATENATE("Pool C-1st ",'Pool Matches'!G28)</f>
      </c>
      <c r="I4" s="14" t="str">
        <f>CONCATENATE("Pool C-2nd ",'Pool Matches'!G29)</f>
      </c>
      <c r="J4" s="14"/>
      <c r="K4" s="14"/>
      <c r="L4" s="14"/>
      <c r="M4" s="14"/>
      <c r="N4" s="14"/>
      <c r="O4" s="14" t="str">
        <f>CONCATENATE("Pool A-2nd ",'Pool Matches'!G9)</f>
      </c>
    </row>
    <row r="6">
      <c r="F6" t="s">
        <v>337</v>
      </c>
      <c r="G6" s="15"/>
      <c r="N6" t="s">
        <v>337</v>
      </c>
      <c r="O6" s="15"/>
    </row>
    <row r="7">
      <c r="F7" t="s">
        <v>338</v>
      </c>
      <c r="G7" s="15"/>
      <c r="N7" t="s">
        <v>338</v>
      </c>
      <c r="O7" s="15"/>
    </row>
    <row r="10">
      <c r="A10" s="13" t="s">
        <v>340</v>
      </c>
      <c r="B10" s="13"/>
      <c r="C10" s="13"/>
      <c r="D10" s="13"/>
      <c r="E10" s="13"/>
      <c r="F10" s="13"/>
      <c r="G10" s="13"/>
      <c r="I10" s="13" t="s">
        <v>341</v>
      </c>
      <c r="J10" s="13"/>
      <c r="K10" s="13"/>
      <c r="L10" s="13"/>
      <c r="M10" s="13"/>
      <c r="N10" s="13"/>
      <c r="O10" s="13"/>
    </row>
    <row r="11">
      <c r="A11" s="17" t="s">
        <v>239</v>
      </c>
      <c r="D11" s="14" t="s">
        <v>240</v>
      </c>
      <c r="G11" s="16" t="s">
        <v>241</v>
      </c>
      <c r="I11" s="17" t="s">
        <v>239</v>
      </c>
      <c r="L11" s="14" t="s">
        <v>240</v>
      </c>
      <c r="O11" s="16" t="s">
        <v>241</v>
      </c>
    </row>
    <row r="12">
      <c r="A12" s="14" t="str">
        <f>CONCATENATE("Pool D-2nd ",'Pool Matches'!G39)</f>
      </c>
      <c r="B12" s="14"/>
      <c r="C12" s="14"/>
      <c r="D12" s="14"/>
      <c r="E12" s="14"/>
      <c r="F12" s="14"/>
      <c r="G12" s="14" t="str">
        <f>CONCATENATE("Pool E-1st ",'Pool Matches'!G48)</f>
      </c>
      <c r="I12" s="14" t="str">
        <f>CONCATENATE("Pool E-2nd ",'Pool Matches'!G49)</f>
      </c>
      <c r="J12" s="14"/>
      <c r="K12" s="14"/>
      <c r="L12" s="14"/>
      <c r="M12" s="14"/>
      <c r="N12" s="14"/>
      <c r="O12" s="14" t="str">
        <f>CONCATENATE("Pool D-1st ",'Pool Matches'!G38)</f>
      </c>
    </row>
    <row r="14">
      <c r="F14" t="s">
        <v>337</v>
      </c>
      <c r="G14" s="15"/>
      <c r="N14" t="s">
        <v>337</v>
      </c>
      <c r="O14" s="15"/>
    </row>
    <row r="15">
      <c r="F15" t="s">
        <v>338</v>
      </c>
      <c r="G15" s="15"/>
      <c r="N15" t="s">
        <v>338</v>
      </c>
      <c r="O15" s="15"/>
    </row>
    <row r="18">
      <c r="A18" s="13" t="s">
        <v>342</v>
      </c>
      <c r="B18" s="13"/>
      <c r="C18" s="13"/>
      <c r="D18" s="13"/>
      <c r="E18" s="13"/>
      <c r="F18" s="13"/>
      <c r="G18" s="13"/>
      <c r="I18" s="13" t="s">
        <v>343</v>
      </c>
      <c r="J18" s="13"/>
      <c r="K18" s="13"/>
      <c r="L18" s="13"/>
      <c r="M18" s="13"/>
      <c r="N18" s="13"/>
      <c r="O18" s="13"/>
    </row>
    <row r="19">
      <c r="A19" s="17" t="s">
        <v>239</v>
      </c>
      <c r="D19" s="14" t="s">
        <v>240</v>
      </c>
      <c r="G19" s="16" t="s">
        <v>241</v>
      </c>
      <c r="I19" s="17" t="s">
        <v>239</v>
      </c>
      <c r="L19" s="14" t="s">
        <v>240</v>
      </c>
      <c r="O19" s="16" t="s">
        <v>241</v>
      </c>
    </row>
    <row r="20">
      <c r="A20" s="14" t="str">
        <f>CONCATENATE("Pool F-2nd ",'Pool Matches'!G59)</f>
      </c>
      <c r="B20" s="14"/>
      <c r="C20" s="14"/>
      <c r="D20" s="14"/>
      <c r="E20" s="14"/>
      <c r="F20" s="14"/>
      <c r="G20" s="14" t="str">
        <f>CONCATENATE("Pool G-1st ",'Pool Matches'!G68)</f>
      </c>
      <c r="I20" s="14" t="str">
        <f>CONCATENATE("Pool G-2nd ",'Pool Matches'!G69)</f>
      </c>
      <c r="J20" s="14"/>
      <c r="K20" s="14"/>
      <c r="L20" s="14"/>
      <c r="M20" s="14"/>
      <c r="N20" s="14"/>
      <c r="O20" s="14" t="str">
        <f>CONCATENATE("Pool F-1st ",'Pool Matches'!G58)</f>
      </c>
    </row>
    <row r="22">
      <c r="F22" t="s">
        <v>337</v>
      </c>
      <c r="G22" s="15"/>
      <c r="N22" t="s">
        <v>337</v>
      </c>
      <c r="O22" s="15"/>
    </row>
    <row r="23">
      <c r="F23" t="s">
        <v>338</v>
      </c>
      <c r="G23" s="15"/>
      <c r="N23" t="s">
        <v>338</v>
      </c>
      <c r="O23" s="15"/>
    </row>
    <row r="26">
      <c r="A26" s="13" t="s">
        <v>344</v>
      </c>
      <c r="B26" s="13"/>
      <c r="C26" s="13"/>
      <c r="D26" s="13"/>
      <c r="E26" s="13"/>
      <c r="F26" s="13"/>
      <c r="G26" s="13"/>
      <c r="I26" s="13" t="s">
        <v>345</v>
      </c>
      <c r="J26" s="13"/>
      <c r="K26" s="13"/>
      <c r="L26" s="13"/>
      <c r="M26" s="13"/>
      <c r="N26" s="13"/>
      <c r="O26" s="13"/>
    </row>
    <row r="27">
      <c r="A27" s="17" t="s">
        <v>239</v>
      </c>
      <c r="D27" s="14" t="s">
        <v>240</v>
      </c>
      <c r="G27" s="16" t="s">
        <v>241</v>
      </c>
      <c r="I27" s="17" t="s">
        <v>239</v>
      </c>
      <c r="L27" s="14" t="s">
        <v>240</v>
      </c>
      <c r="O27" s="16" t="s">
        <v>241</v>
      </c>
    </row>
    <row r="28">
      <c r="A28" s="14" t="str">
        <f>CONCATENATE("Pool H-2nd ",'Pool Matches'!G79)</f>
      </c>
      <c r="B28" s="14"/>
      <c r="C28" s="14"/>
      <c r="D28" s="14"/>
      <c r="E28" s="14"/>
      <c r="F28" s="14"/>
      <c r="G28" s="14" t="str">
        <f>CONCATENATE("Pool I-1st ",'Pool Matches'!G88)</f>
      </c>
      <c r="I28" s="14" t="str">
        <f>CONCATENATE("Pool I-2nd ",'Pool Matches'!G89)</f>
      </c>
      <c r="J28" s="14"/>
      <c r="K28" s="14"/>
      <c r="L28" s="14"/>
      <c r="M28" s="14"/>
      <c r="N28" s="14"/>
      <c r="O28" s="14" t="str">
        <f>CONCATENATE("Pool H-1st ",'Pool Matches'!G78)</f>
      </c>
    </row>
    <row r="30">
      <c r="F30" t="s">
        <v>337</v>
      </c>
      <c r="G30" s="15"/>
      <c r="N30" t="s">
        <v>337</v>
      </c>
      <c r="O30" s="15"/>
    </row>
    <row r="31">
      <c r="F31" t="s">
        <v>338</v>
      </c>
      <c r="G31" s="15"/>
      <c r="N31" t="s">
        <v>338</v>
      </c>
      <c r="O31" s="15"/>
    </row>
    <row r="34">
      <c r="A34" s="13" t="s">
        <v>346</v>
      </c>
      <c r="B34" s="13"/>
      <c r="C34" s="13"/>
      <c r="D34" s="13"/>
      <c r="E34" s="13"/>
      <c r="F34" s="13"/>
      <c r="G34" s="13"/>
      <c r="I34" s="13" t="s">
        <v>347</v>
      </c>
      <c r="J34" s="13"/>
      <c r="K34" s="13"/>
      <c r="L34" s="13"/>
      <c r="M34" s="13"/>
      <c r="N34" s="13"/>
      <c r="O34" s="13"/>
    </row>
    <row r="35">
      <c r="A35" s="17" t="s">
        <v>239</v>
      </c>
      <c r="D35" s="14" t="s">
        <v>240</v>
      </c>
      <c r="G35" s="16" t="s">
        <v>241</v>
      </c>
      <c r="I35" s="17" t="s">
        <v>239</v>
      </c>
      <c r="L35" s="14" t="s">
        <v>240</v>
      </c>
      <c r="O35" s="16" t="s">
        <v>241</v>
      </c>
    </row>
    <row r="36">
      <c r="A36" s="14" t="str">
        <f>CONCATENATE("Pool J-2nd ",'Pool Matches'!G99)</f>
      </c>
      <c r="B36" s="14"/>
      <c r="C36" s="14"/>
      <c r="D36" s="14"/>
      <c r="E36" s="14"/>
      <c r="F36" s="14"/>
      <c r="G36" s="14" t="str">
        <f>CONCATENATE("Pool K-1st ",'Pool Matches'!G108)</f>
      </c>
      <c r="I36" s="14" t="str">
        <f>CONCATENATE("Pool K-2nd ",'Pool Matches'!G109)</f>
      </c>
      <c r="J36" s="14"/>
      <c r="K36" s="14"/>
      <c r="L36" s="14"/>
      <c r="M36" s="14"/>
      <c r="N36" s="14"/>
      <c r="O36" s="14" t="str">
        <f>CONCATENATE("Pool J-1st ",'Pool Matches'!G98)</f>
      </c>
    </row>
    <row r="38">
      <c r="F38" t="s">
        <v>337</v>
      </c>
      <c r="G38" s="15"/>
      <c r="N38" t="s">
        <v>337</v>
      </c>
      <c r="O38" s="15"/>
    </row>
    <row r="39">
      <c r="F39" t="s">
        <v>338</v>
      </c>
      <c r="G39" s="15"/>
      <c r="N39" t="s">
        <v>338</v>
      </c>
      <c r="O39" s="15"/>
    </row>
    <row r="42">
      <c r="A42" s="13" t="s">
        <v>348</v>
      </c>
      <c r="B42" s="13"/>
      <c r="C42" s="13"/>
      <c r="D42" s="13"/>
      <c r="E42" s="13"/>
      <c r="F42" s="13"/>
      <c r="G42" s="13"/>
      <c r="I42" s="13" t="s">
        <v>349</v>
      </c>
      <c r="J42" s="13"/>
      <c r="K42" s="13"/>
      <c r="L42" s="13"/>
      <c r="M42" s="13"/>
      <c r="N42" s="13"/>
      <c r="O42" s="13"/>
    </row>
    <row r="43">
      <c r="A43" s="17" t="s">
        <v>239</v>
      </c>
      <c r="D43" s="14" t="s">
        <v>240</v>
      </c>
      <c r="G43" s="16" t="s">
        <v>241</v>
      </c>
      <c r="I43" s="17" t="s">
        <v>239</v>
      </c>
      <c r="L43" s="14" t="s">
        <v>240</v>
      </c>
      <c r="O43" s="16" t="s">
        <v>241</v>
      </c>
    </row>
    <row r="44">
      <c r="A44" s="14" t="str">
        <f>CONCATENATE("Pool L-2nd ",'Pool Matches'!G119)</f>
      </c>
      <c r="B44" s="14"/>
      <c r="C44" s="14"/>
      <c r="D44" s="14"/>
      <c r="E44" s="14"/>
      <c r="F44" s="14"/>
      <c r="G44" s="14" t="str">
        <f>CONCATENATE("Pool M-1st ",'Pool Matches'!G128)</f>
      </c>
      <c r="I44" s="14" t="str">
        <f>CONCATENATE("Pool M-2nd ",'Pool Matches'!G129)</f>
      </c>
      <c r="J44" s="14"/>
      <c r="K44" s="14"/>
      <c r="L44" s="14"/>
      <c r="M44" s="14"/>
      <c r="N44" s="14"/>
      <c r="O44" s="14" t="str">
        <f>CONCATENATE("Pool L-1st ",'Pool Matches'!G118)</f>
      </c>
    </row>
    <row r="46">
      <c r="F46" t="s">
        <v>337</v>
      </c>
      <c r="G46" s="15"/>
      <c r="N46" t="s">
        <v>337</v>
      </c>
      <c r="O46" s="15"/>
    </row>
    <row r="47">
      <c r="F47" t="s">
        <v>338</v>
      </c>
      <c r="G47" s="15"/>
      <c r="N47" t="s">
        <v>338</v>
      </c>
      <c r="O47" s="15"/>
    </row>
    <row r="50">
      <c r="A50" s="13" t="s">
        <v>350</v>
      </c>
      <c r="B50" s="13"/>
      <c r="C50" s="13"/>
      <c r="D50" s="13"/>
      <c r="E50" s="13"/>
      <c r="F50" s="13"/>
      <c r="G50" s="13"/>
      <c r="I50" s="13" t="s">
        <v>351</v>
      </c>
      <c r="J50" s="13"/>
      <c r="K50" s="13"/>
      <c r="L50" s="13"/>
      <c r="M50" s="13"/>
      <c r="N50" s="13"/>
      <c r="O50" s="13"/>
    </row>
    <row r="51">
      <c r="A51" s="17" t="s">
        <v>239</v>
      </c>
      <c r="D51" s="14" t="s">
        <v>240</v>
      </c>
      <c r="G51" s="16" t="s">
        <v>241</v>
      </c>
      <c r="I51" s="17" t="s">
        <v>239</v>
      </c>
      <c r="L51" s="14" t="s">
        <v>240</v>
      </c>
      <c r="O51" s="16" t="s">
        <v>241</v>
      </c>
    </row>
    <row r="52">
      <c r="A52" s="14" t="str">
        <f>CONCATENATE("Pool N-2nd ",'Pool Matches'!G139)</f>
      </c>
      <c r="B52" s="14"/>
      <c r="C52" s="14"/>
      <c r="D52" s="14"/>
      <c r="E52" s="14"/>
      <c r="F52" s="14"/>
      <c r="G52" s="14" t="str">
        <f>CONCATENATE("Pool O-1st ",'Pool Matches'!G148)</f>
      </c>
      <c r="I52" s="14" t="str">
        <f>CONCATENATE("Pool O-2nd ",'Pool Matches'!G149)</f>
      </c>
      <c r="J52" s="14"/>
      <c r="K52" s="14"/>
      <c r="L52" s="14"/>
      <c r="M52" s="14"/>
      <c r="N52" s="14"/>
      <c r="O52" s="14" t="str">
        <f>CONCATENATE("Pool N-1st ",'Pool Matches'!G138)</f>
      </c>
    </row>
    <row r="54">
      <c r="F54" t="s">
        <v>337</v>
      </c>
      <c r="G54" s="15"/>
      <c r="N54" t="s">
        <v>337</v>
      </c>
      <c r="O54" s="15"/>
    </row>
    <row r="55">
      <c r="F55" t="s">
        <v>338</v>
      </c>
      <c r="G55" s="15"/>
      <c r="N55" t="s">
        <v>338</v>
      </c>
      <c r="O55" s="15"/>
    </row>
    <row r="58">
      <c r="A58" s="13" t="s">
        <v>352</v>
      </c>
      <c r="B58" s="13"/>
      <c r="C58" s="13"/>
      <c r="D58" s="13"/>
      <c r="E58" s="13"/>
      <c r="F58" s="13"/>
      <c r="G58" s="13"/>
      <c r="I58" s="13" t="s">
        <v>353</v>
      </c>
      <c r="J58" s="13"/>
      <c r="K58" s="13"/>
      <c r="L58" s="13"/>
      <c r="M58" s="13"/>
      <c r="N58" s="13"/>
      <c r="O58" s="13"/>
    </row>
    <row r="59">
      <c r="A59" s="17" t="s">
        <v>239</v>
      </c>
      <c r="D59" s="14" t="s">
        <v>240</v>
      </c>
      <c r="G59" s="16" t="s">
        <v>241</v>
      </c>
      <c r="I59" s="17" t="s">
        <v>239</v>
      </c>
      <c r="L59" s="14" t="s">
        <v>240</v>
      </c>
      <c r="O59" s="16" t="s">
        <v>241</v>
      </c>
    </row>
    <row r="60">
      <c r="A60" s="14" t="str">
        <f>CONCATENATE("Pool P-2nd ",'Pool Matches'!G157)</f>
      </c>
      <c r="B60" s="14"/>
      <c r="C60" s="14"/>
      <c r="D60" s="14"/>
      <c r="E60" s="14"/>
      <c r="F60" s="14"/>
      <c r="G60" s="14" t="str">
        <f>CONCATENATE("Pool Q-1st ",'Pool Matches'!O8)</f>
      </c>
      <c r="I60" s="14" t="str">
        <f>CONCATENATE("Pool Q-2nd ",'Pool Matches'!O9)</f>
      </c>
      <c r="J60" s="14"/>
      <c r="K60" s="14"/>
      <c r="L60" s="14"/>
      <c r="M60" s="14"/>
      <c r="N60" s="14"/>
      <c r="O60" s="14" t="str">
        <f>CONCATENATE("Pool P-1st ",'Pool Matches'!G156)</f>
      </c>
    </row>
    <row r="62">
      <c r="F62" t="s">
        <v>337</v>
      </c>
      <c r="G62" s="15"/>
      <c r="N62" t="s">
        <v>337</v>
      </c>
      <c r="O62" s="15"/>
    </row>
    <row r="63">
      <c r="F63" t="s">
        <v>338</v>
      </c>
      <c r="G63" s="15"/>
      <c r="N63" t="s">
        <v>338</v>
      </c>
      <c r="O63" s="15"/>
    </row>
    <row r="66">
      <c r="A66" s="13" t="s">
        <v>354</v>
      </c>
      <c r="B66" s="13"/>
      <c r="C66" s="13"/>
      <c r="D66" s="13"/>
      <c r="E66" s="13"/>
      <c r="F66" s="13"/>
      <c r="G66" s="13"/>
      <c r="I66" s="13" t="s">
        <v>355</v>
      </c>
      <c r="J66" s="13"/>
      <c r="K66" s="13"/>
      <c r="L66" s="13"/>
      <c r="M66" s="13"/>
      <c r="N66" s="13"/>
      <c r="O66" s="13"/>
    </row>
    <row r="67">
      <c r="A67" s="17" t="s">
        <v>239</v>
      </c>
      <c r="D67" s="14" t="s">
        <v>240</v>
      </c>
      <c r="G67" s="16" t="s">
        <v>241</v>
      </c>
      <c r="I67" s="17" t="s">
        <v>239</v>
      </c>
      <c r="L67" s="14" t="s">
        <v>240</v>
      </c>
      <c r="O67" s="16" t="s">
        <v>241</v>
      </c>
    </row>
    <row r="68">
      <c r="A68" s="14" t="str">
        <f>CONCATENATE("Pool R-2nd ",'Pool Matches'!O19)</f>
      </c>
      <c r="B68" s="14"/>
      <c r="C68" s="14"/>
      <c r="D68" s="14"/>
      <c r="E68" s="14"/>
      <c r="F68" s="14"/>
      <c r="G68" s="14" t="str">
        <f>CONCATENATE("Pool S-1st ",'Pool Matches'!O28)</f>
      </c>
      <c r="I68" s="14" t="str">
        <f>CONCATENATE("Pool S-2nd ",'Pool Matches'!O29)</f>
      </c>
      <c r="J68" s="14"/>
      <c r="K68" s="14"/>
      <c r="L68" s="14"/>
      <c r="M68" s="14"/>
      <c r="N68" s="14"/>
      <c r="O68" s="14" t="str">
        <f>CONCATENATE("Pool R-1st ",'Pool Matches'!O18)</f>
      </c>
    </row>
    <row r="70">
      <c r="F70" t="s">
        <v>337</v>
      </c>
      <c r="G70" s="15"/>
      <c r="N70" t="s">
        <v>337</v>
      </c>
      <c r="O70" s="15"/>
    </row>
    <row r="71">
      <c r="F71" t="s">
        <v>338</v>
      </c>
      <c r="G71" s="15"/>
      <c r="N71" t="s">
        <v>338</v>
      </c>
      <c r="O71" s="15"/>
    </row>
    <row r="74">
      <c r="A74" s="13" t="s">
        <v>356</v>
      </c>
      <c r="B74" s="13"/>
      <c r="C74" s="13"/>
      <c r="D74" s="13"/>
      <c r="E74" s="13"/>
      <c r="F74" s="13"/>
      <c r="G74" s="13"/>
      <c r="I74" s="13" t="s">
        <v>357</v>
      </c>
      <c r="J74" s="13"/>
      <c r="K74" s="13"/>
      <c r="L74" s="13"/>
      <c r="M74" s="13"/>
      <c r="N74" s="13"/>
      <c r="O74" s="13"/>
    </row>
    <row r="75">
      <c r="A75" s="17" t="s">
        <v>239</v>
      </c>
      <c r="D75" s="14" t="s">
        <v>240</v>
      </c>
      <c r="G75" s="16" t="s">
        <v>241</v>
      </c>
      <c r="I75" s="17" t="s">
        <v>239</v>
      </c>
      <c r="L75" s="14" t="s">
        <v>240</v>
      </c>
      <c r="O75" s="16" t="s">
        <v>241</v>
      </c>
    </row>
    <row r="76">
      <c r="A76" s="14" t="str">
        <f>CONCATENATE("Pool T-2nd ",'Pool Matches'!O39)</f>
      </c>
      <c r="B76" s="14"/>
      <c r="C76" s="14"/>
      <c r="D76" s="14"/>
      <c r="E76" s="14"/>
      <c r="F76" s="14"/>
      <c r="G76" s="14" t="str">
        <f>CONCATENATE("Pool U-1st ",'Pool Matches'!O48)</f>
      </c>
      <c r="I76" s="14" t="str">
        <f>CONCATENATE("Pool U-2nd ",'Pool Matches'!O49)</f>
      </c>
      <c r="J76" s="14"/>
      <c r="K76" s="14"/>
      <c r="L76" s="14"/>
      <c r="M76" s="14"/>
      <c r="N76" s="14"/>
      <c r="O76" s="14" t="str">
        <f>CONCATENATE("Pool T-1st ",'Pool Matches'!O38)</f>
      </c>
    </row>
    <row r="78">
      <c r="F78" t="s">
        <v>337</v>
      </c>
      <c r="G78" s="15"/>
      <c r="N78" t="s">
        <v>337</v>
      </c>
      <c r="O78" s="15"/>
    </row>
    <row r="79">
      <c r="F79" t="s">
        <v>338</v>
      </c>
      <c r="G79" s="15"/>
      <c r="N79" t="s">
        <v>338</v>
      </c>
      <c r="O79" s="15"/>
    </row>
    <row r="82">
      <c r="A82" s="13" t="s">
        <v>358</v>
      </c>
      <c r="B82" s="13"/>
      <c r="C82" s="13"/>
      <c r="D82" s="13"/>
      <c r="E82" s="13"/>
      <c r="F82" s="13"/>
      <c r="G82" s="13"/>
      <c r="I82" s="13" t="s">
        <v>359</v>
      </c>
      <c r="J82" s="13"/>
      <c r="K82" s="13"/>
      <c r="L82" s="13"/>
      <c r="M82" s="13"/>
      <c r="N82" s="13"/>
      <c r="O82" s="13"/>
    </row>
    <row r="83">
      <c r="A83" s="17" t="s">
        <v>239</v>
      </c>
      <c r="D83" s="14" t="s">
        <v>240</v>
      </c>
      <c r="G83" s="16" t="s">
        <v>241</v>
      </c>
      <c r="I83" s="17" t="s">
        <v>239</v>
      </c>
      <c r="L83" s="14" t="s">
        <v>240</v>
      </c>
      <c r="O83" s="16" t="s">
        <v>241</v>
      </c>
    </row>
    <row r="84">
      <c r="A84" s="14" t="str">
        <f>CONCATENATE("Pool V-2nd ",'Pool Matches'!O59)</f>
      </c>
      <c r="B84" s="14"/>
      <c r="C84" s="14"/>
      <c r="D84" s="14"/>
      <c r="E84" s="14"/>
      <c r="F84" s="14"/>
      <c r="G84" s="14" t="str">
        <f>CONCATENATE("Pool W-1st ",'Pool Matches'!O68)</f>
      </c>
      <c r="I84" s="14" t="str">
        <f>CONCATENATE("Pool W-2nd ",'Pool Matches'!O69)</f>
      </c>
      <c r="J84" s="14"/>
      <c r="K84" s="14"/>
      <c r="L84" s="14"/>
      <c r="M84" s="14"/>
      <c r="N84" s="14"/>
      <c r="O84" s="14" t="str">
        <f>CONCATENATE("Pool V-1st ",'Pool Matches'!O58)</f>
      </c>
    </row>
    <row r="86">
      <c r="F86" t="s">
        <v>337</v>
      </c>
      <c r="G86" s="15"/>
      <c r="N86" t="s">
        <v>337</v>
      </c>
      <c r="O86" s="15"/>
    </row>
    <row r="87">
      <c r="F87" t="s">
        <v>338</v>
      </c>
      <c r="G87" s="15"/>
      <c r="N87" t="s">
        <v>338</v>
      </c>
      <c r="O87" s="15"/>
    </row>
    <row r="90">
      <c r="A90" s="13" t="s">
        <v>360</v>
      </c>
      <c r="B90" s="13"/>
      <c r="C90" s="13"/>
      <c r="D90" s="13"/>
      <c r="E90" s="13"/>
      <c r="F90" s="13"/>
      <c r="G90" s="13"/>
      <c r="I90" s="13" t="s">
        <v>361</v>
      </c>
      <c r="J90" s="13"/>
      <c r="K90" s="13"/>
      <c r="L90" s="13"/>
      <c r="M90" s="13"/>
      <c r="N90" s="13"/>
      <c r="O90" s="13"/>
    </row>
    <row r="91">
      <c r="A91" s="17" t="s">
        <v>239</v>
      </c>
      <c r="D91" s="14" t="s">
        <v>240</v>
      </c>
      <c r="G91" s="16" t="s">
        <v>241</v>
      </c>
      <c r="I91" s="17" t="s">
        <v>239</v>
      </c>
      <c r="L91" s="14" t="s">
        <v>240</v>
      </c>
      <c r="O91" s="16" t="s">
        <v>241</v>
      </c>
    </row>
    <row r="92">
      <c r="A92" s="14" t="str">
        <f>CONCATENATE("Pool X-2nd ",'Pool Matches'!O79)</f>
      </c>
      <c r="B92" s="14"/>
      <c r="C92" s="14"/>
      <c r="D92" s="14"/>
      <c r="E92" s="14"/>
      <c r="F92" s="14"/>
      <c r="G92" s="14" t="str">
        <f>CONCATENATE("Pool Y-1st ",'Pool Matches'!O88)</f>
      </c>
      <c r="I92" s="14" t="str">
        <f>CONCATENATE("Pool Y-2nd ",'Pool Matches'!O89)</f>
      </c>
      <c r="J92" s="14"/>
      <c r="K92" s="14"/>
      <c r="L92" s="14"/>
      <c r="M92" s="14"/>
      <c r="N92" s="14"/>
      <c r="O92" s="14" t="str">
        <f>CONCATENATE("Pool X-1st ",'Pool Matches'!O78)</f>
      </c>
    </row>
    <row r="94">
      <c r="F94" t="s">
        <v>337</v>
      </c>
      <c r="G94" s="15"/>
      <c r="N94" t="s">
        <v>337</v>
      </c>
      <c r="O94" s="15"/>
    </row>
    <row r="95">
      <c r="F95" t="s">
        <v>338</v>
      </c>
      <c r="G95" s="15"/>
      <c r="N95" t="s">
        <v>338</v>
      </c>
      <c r="O95" s="15"/>
    </row>
    <row r="98">
      <c r="A98" s="13" t="s">
        <v>362</v>
      </c>
      <c r="B98" s="13"/>
      <c r="C98" s="13"/>
      <c r="D98" s="13"/>
      <c r="E98" s="13"/>
      <c r="F98" s="13"/>
      <c r="G98" s="13"/>
      <c r="I98" s="13" t="s">
        <v>363</v>
      </c>
      <c r="J98" s="13"/>
      <c r="K98" s="13"/>
      <c r="L98" s="13"/>
      <c r="M98" s="13"/>
      <c r="N98" s="13"/>
      <c r="O98" s="13"/>
    </row>
    <row r="99">
      <c r="A99" s="17" t="s">
        <v>239</v>
      </c>
      <c r="D99" s="14" t="s">
        <v>240</v>
      </c>
      <c r="G99" s="16" t="s">
        <v>241</v>
      </c>
      <c r="I99" s="17" t="s">
        <v>239</v>
      </c>
      <c r="L99" s="14" t="s">
        <v>240</v>
      </c>
      <c r="O99" s="16" t="s">
        <v>241</v>
      </c>
    </row>
    <row r="100">
      <c r="A100" s="14" t="str">
        <f>CONCATENATE("Pool Z-2nd ",'Pool Matches'!O99)</f>
      </c>
      <c r="B100" s="14"/>
      <c r="C100" s="14"/>
      <c r="D100" s="14"/>
      <c r="E100" s="14"/>
      <c r="F100" s="14"/>
      <c r="G100" s="14" t="str">
        <f>CONCATENATE("Pool AA-1st ",'Pool Matches'!O108)</f>
      </c>
      <c r="I100" s="14" t="str">
        <f>CONCATENATE("Pool AA-2nd ",'Pool Matches'!O109)</f>
      </c>
      <c r="J100" s="14"/>
      <c r="K100" s="14"/>
      <c r="L100" s="14"/>
      <c r="M100" s="14"/>
      <c r="N100" s="14"/>
      <c r="O100" s="14" t="str">
        <f>CONCATENATE("Pool Z-1st ",'Pool Matches'!O98)</f>
      </c>
    </row>
    <row r="102">
      <c r="F102" t="s">
        <v>337</v>
      </c>
      <c r="G102" s="15"/>
      <c r="N102" t="s">
        <v>337</v>
      </c>
      <c r="O102" s="15"/>
    </row>
    <row r="103">
      <c r="F103" t="s">
        <v>338</v>
      </c>
      <c r="G103" s="15"/>
      <c r="N103" t="s">
        <v>338</v>
      </c>
      <c r="O103" s="15"/>
    </row>
    <row r="106">
      <c r="A106" s="13" t="s">
        <v>364</v>
      </c>
      <c r="B106" s="13"/>
      <c r="C106" s="13"/>
      <c r="D106" s="13"/>
      <c r="E106" s="13"/>
      <c r="F106" s="13"/>
      <c r="G106" s="13"/>
      <c r="I106" s="13" t="s">
        <v>365</v>
      </c>
      <c r="J106" s="13"/>
      <c r="K106" s="13"/>
      <c r="L106" s="13"/>
      <c r="M106" s="13"/>
      <c r="N106" s="13"/>
      <c r="O106" s="13"/>
    </row>
    <row r="107">
      <c r="A107" s="17" t="s">
        <v>239</v>
      </c>
      <c r="D107" s="14" t="s">
        <v>240</v>
      </c>
      <c r="G107" s="16" t="s">
        <v>241</v>
      </c>
      <c r="I107" s="17" t="s">
        <v>239</v>
      </c>
      <c r="L107" s="14" t="s">
        <v>240</v>
      </c>
      <c r="O107" s="16" t="s">
        <v>241</v>
      </c>
    </row>
    <row r="108">
      <c r="A108" s="14" t="str">
        <f>CONCATENATE("Pool BB-2nd ",'Pool Matches'!O119)</f>
      </c>
      <c r="B108" s="14"/>
      <c r="C108" s="14"/>
      <c r="D108" s="14"/>
      <c r="E108" s="14"/>
      <c r="F108" s="14"/>
      <c r="G108" s="14" t="str">
        <f>CONCATENATE("Pool CC-1st ",'Pool Matches'!O128)</f>
      </c>
      <c r="I108" s="14" t="str">
        <f>CONCATENATE("Pool CC-2nd ",'Pool Matches'!O129)</f>
      </c>
      <c r="J108" s="14"/>
      <c r="K108" s="14"/>
      <c r="L108" s="14"/>
      <c r="M108" s="14"/>
      <c r="N108" s="14"/>
      <c r="O108" s="14" t="str">
        <f>CONCATENATE("Pool BB-1st ",'Pool Matches'!O118)</f>
      </c>
    </row>
    <row r="110">
      <c r="F110" t="s">
        <v>337</v>
      </c>
      <c r="G110" s="15"/>
      <c r="N110" t="s">
        <v>337</v>
      </c>
      <c r="O110" s="15"/>
    </row>
    <row r="111">
      <c r="F111" t="s">
        <v>338</v>
      </c>
      <c r="G111" s="15"/>
      <c r="N111" t="s">
        <v>338</v>
      </c>
      <c r="O111" s="15"/>
    </row>
    <row r="114">
      <c r="A114" s="13" t="s">
        <v>366</v>
      </c>
      <c r="B114" s="13"/>
      <c r="C114" s="13"/>
      <c r="D114" s="13"/>
      <c r="E114" s="13"/>
      <c r="F114" s="13"/>
      <c r="G114" s="13"/>
      <c r="I114" s="13" t="s">
        <v>367</v>
      </c>
      <c r="J114" s="13"/>
      <c r="K114" s="13"/>
      <c r="L114" s="13"/>
      <c r="M114" s="13"/>
      <c r="N114" s="13"/>
      <c r="O114" s="13"/>
    </row>
    <row r="115">
      <c r="A115" s="17" t="s">
        <v>239</v>
      </c>
      <c r="D115" s="14" t="s">
        <v>240</v>
      </c>
      <c r="G115" s="16" t="s">
        <v>241</v>
      </c>
      <c r="I115" s="17" t="s">
        <v>239</v>
      </c>
      <c r="L115" s="14" t="s">
        <v>240</v>
      </c>
      <c r="O115" s="16" t="s">
        <v>241</v>
      </c>
    </row>
    <row r="116">
      <c r="A116" s="14" t="str">
        <f>CONCATENATE("Pool DD-2nd ",'Pool Matches'!O139)</f>
      </c>
      <c r="B116" s="14"/>
      <c r="C116" s="14"/>
      <c r="D116" s="14"/>
      <c r="E116" s="14"/>
      <c r="F116" s="14"/>
      <c r="G116" s="14" t="str">
        <f>CONCATENATE("Pool EE-1st ",'Pool Matches'!O148)</f>
      </c>
      <c r="I116" s="14" t="str">
        <f>CONCATENATE("Pool EE-2nd ",'Pool Matches'!O149)</f>
      </c>
      <c r="J116" s="14"/>
      <c r="K116" s="14"/>
      <c r="L116" s="14"/>
      <c r="M116" s="14"/>
      <c r="N116" s="14"/>
      <c r="O116" s="14" t="str">
        <f>CONCATENATE("Pool DD-1st ",'Pool Matches'!O138)</f>
      </c>
    </row>
    <row r="118">
      <c r="F118" t="s">
        <v>337</v>
      </c>
      <c r="G118" s="15"/>
      <c r="N118" t="s">
        <v>337</v>
      </c>
      <c r="O118" s="15"/>
    </row>
    <row r="119">
      <c r="F119" t="s">
        <v>338</v>
      </c>
      <c r="G119" s="15"/>
      <c r="N119" t="s">
        <v>338</v>
      </c>
      <c r="O119" s="15"/>
    </row>
    <row r="127">
      <c r="A127" s="13" t="s">
        <v>368</v>
      </c>
      <c r="B127" s="13"/>
      <c r="C127" s="13"/>
      <c r="D127" s="13"/>
      <c r="E127" s="13"/>
      <c r="F127" s="13"/>
      <c r="G127" s="13"/>
      <c r="I127" s="13" t="s">
        <v>369</v>
      </c>
      <c r="J127" s="13"/>
      <c r="K127" s="13"/>
      <c r="L127" s="13"/>
      <c r="M127" s="13"/>
      <c r="N127" s="13"/>
      <c r="O127" s="13"/>
    </row>
    <row r="128">
      <c r="A128" s="17" t="s">
        <v>239</v>
      </c>
      <c r="D128" s="14" t="s">
        <v>240</v>
      </c>
      <c r="G128" s="16" t="s">
        <v>241</v>
      </c>
      <c r="I128" s="17" t="s">
        <v>239</v>
      </c>
      <c r="L128" s="14" t="s">
        <v>240</v>
      </c>
      <c r="O128" s="16" t="s">
        <v>241</v>
      </c>
    </row>
    <row r="129">
      <c r="A129" s="14" t="str">
        <f>CONCATENATE("M 1 ",G6)</f>
      </c>
      <c r="B129" s="14"/>
      <c r="C129" s="14"/>
      <c r="D129" s="14"/>
      <c r="E129" s="14"/>
      <c r="F129" s="14"/>
      <c r="G129" s="14" t="str">
        <f>CONCATENATE("Pool A-1st ",'Pool Matches'!G8)</f>
      </c>
      <c r="I129" s="14" t="str">
        <f>CONCATENATE("M 16 ",O6)</f>
      </c>
      <c r="J129" s="14"/>
      <c r="K129" s="14"/>
      <c r="L129" s="14"/>
      <c r="M129" s="14"/>
      <c r="N129" s="14"/>
      <c r="O129" s="14" t="str">
        <f>CONCATENATE("Pool B-1st ",'Pool Matches'!G18)</f>
      </c>
    </row>
    <row r="131">
      <c r="F131" t="s">
        <v>337</v>
      </c>
      <c r="G131" s="15"/>
      <c r="N131" t="s">
        <v>337</v>
      </c>
      <c r="O131" s="15"/>
    </row>
    <row r="132">
      <c r="F132" t="s">
        <v>338</v>
      </c>
      <c r="G132" s="15"/>
      <c r="N132" t="s">
        <v>338</v>
      </c>
      <c r="O132" s="15"/>
    </row>
    <row r="135">
      <c r="A135" s="13" t="s">
        <v>370</v>
      </c>
      <c r="B135" s="13"/>
      <c r="C135" s="13"/>
      <c r="D135" s="13"/>
      <c r="E135" s="13"/>
      <c r="F135" s="13"/>
      <c r="G135" s="13"/>
      <c r="I135" s="13" t="s">
        <v>371</v>
      </c>
      <c r="J135" s="13"/>
      <c r="K135" s="13"/>
      <c r="L135" s="13"/>
      <c r="M135" s="13"/>
      <c r="N135" s="13"/>
      <c r="O135" s="13"/>
    </row>
    <row r="136">
      <c r="A136" s="17" t="s">
        <v>239</v>
      </c>
      <c r="D136" s="14" t="s">
        <v>240</v>
      </c>
      <c r="G136" s="16" t="s">
        <v>241</v>
      </c>
      <c r="I136" s="17" t="s">
        <v>239</v>
      </c>
      <c r="L136" s="14" t="s">
        <v>240</v>
      </c>
      <c r="O136" s="16" t="s">
        <v>241</v>
      </c>
    </row>
    <row r="137">
      <c r="A137" s="14" t="str">
        <f>CONCATENATE("M 3 ",G22)</f>
      </c>
      <c r="B137" s="14"/>
      <c r="C137" s="14"/>
      <c r="D137" s="14"/>
      <c r="E137" s="14"/>
      <c r="F137" s="14"/>
      <c r="G137" s="14" t="str">
        <f>CONCATENATE("M 2 ",G14)</f>
      </c>
      <c r="I137" s="14" t="str">
        <f>CONCATENATE("M 18 ",O22)</f>
      </c>
      <c r="J137" s="14"/>
      <c r="K137" s="14"/>
      <c r="L137" s="14"/>
      <c r="M137" s="14"/>
      <c r="N137" s="14"/>
      <c r="O137" s="14" t="str">
        <f>CONCATENATE("M 17 ",O14)</f>
      </c>
    </row>
    <row r="139">
      <c r="F139" t="s">
        <v>337</v>
      </c>
      <c r="G139" s="15"/>
      <c r="N139" t="s">
        <v>337</v>
      </c>
      <c r="O139" s="15"/>
    </row>
    <row r="140">
      <c r="F140" t="s">
        <v>338</v>
      </c>
      <c r="G140" s="15"/>
      <c r="N140" t="s">
        <v>338</v>
      </c>
      <c r="O140" s="15"/>
    </row>
    <row r="143">
      <c r="A143" s="13" t="s">
        <v>372</v>
      </c>
      <c r="B143" s="13"/>
      <c r="C143" s="13"/>
      <c r="D143" s="13"/>
      <c r="E143" s="13"/>
      <c r="F143" s="13"/>
      <c r="G143" s="13"/>
      <c r="I143" s="13" t="s">
        <v>373</v>
      </c>
      <c r="J143" s="13"/>
      <c r="K143" s="13"/>
      <c r="L143" s="13"/>
      <c r="M143" s="13"/>
      <c r="N143" s="13"/>
      <c r="O143" s="13"/>
    </row>
    <row r="144">
      <c r="A144" s="17" t="s">
        <v>239</v>
      </c>
      <c r="D144" s="14" t="s">
        <v>240</v>
      </c>
      <c r="G144" s="16" t="s">
        <v>241</v>
      </c>
      <c r="I144" s="17" t="s">
        <v>239</v>
      </c>
      <c r="L144" s="14" t="s">
        <v>240</v>
      </c>
      <c r="O144" s="16" t="s">
        <v>241</v>
      </c>
    </row>
    <row r="145">
      <c r="A145" s="14" t="str">
        <f>CONCATENATE("M 5 ",G38)</f>
      </c>
      <c r="B145" s="14"/>
      <c r="C145" s="14"/>
      <c r="D145" s="14"/>
      <c r="E145" s="14"/>
      <c r="F145" s="14"/>
      <c r="G145" s="14" t="str">
        <f>CONCATENATE("M 4 ",G30)</f>
      </c>
      <c r="I145" s="14" t="str">
        <f>CONCATENATE("M 20 ",O38)</f>
      </c>
      <c r="J145" s="14"/>
      <c r="K145" s="14"/>
      <c r="L145" s="14"/>
      <c r="M145" s="14"/>
      <c r="N145" s="14"/>
      <c r="O145" s="14" t="str">
        <f>CONCATENATE("M 19 ",O30)</f>
      </c>
    </row>
    <row r="147">
      <c r="F147" t="s">
        <v>337</v>
      </c>
      <c r="G147" s="15"/>
      <c r="N147" t="s">
        <v>337</v>
      </c>
      <c r="O147" s="15"/>
    </row>
    <row r="148">
      <c r="F148" t="s">
        <v>338</v>
      </c>
      <c r="G148" s="15"/>
      <c r="N148" t="s">
        <v>338</v>
      </c>
      <c r="O148" s="15"/>
    </row>
    <row r="151">
      <c r="A151" s="13" t="s">
        <v>374</v>
      </c>
      <c r="B151" s="13"/>
      <c r="C151" s="13"/>
      <c r="D151" s="13"/>
      <c r="E151" s="13"/>
      <c r="F151" s="13"/>
      <c r="G151" s="13"/>
      <c r="I151" s="13" t="s">
        <v>375</v>
      </c>
      <c r="J151" s="13"/>
      <c r="K151" s="13"/>
      <c r="L151" s="13"/>
      <c r="M151" s="13"/>
      <c r="N151" s="13"/>
      <c r="O151" s="13"/>
    </row>
    <row r="152">
      <c r="A152" s="17" t="s">
        <v>239</v>
      </c>
      <c r="D152" s="14" t="s">
        <v>240</v>
      </c>
      <c r="G152" s="16" t="s">
        <v>241</v>
      </c>
      <c r="I152" s="17" t="s">
        <v>239</v>
      </c>
      <c r="L152" s="14" t="s">
        <v>240</v>
      </c>
      <c r="O152" s="16" t="s">
        <v>241</v>
      </c>
    </row>
    <row r="153">
      <c r="A153" s="14" t="str">
        <f>CONCATENATE("M 7 ",G54)</f>
      </c>
      <c r="B153" s="14"/>
      <c r="C153" s="14"/>
      <c r="D153" s="14"/>
      <c r="E153" s="14"/>
      <c r="F153" s="14"/>
      <c r="G153" s="14" t="str">
        <f>CONCATENATE("M 6 ",G46)</f>
      </c>
      <c r="I153" s="14" t="str">
        <f>CONCATENATE("M 22 ",O54)</f>
      </c>
      <c r="J153" s="14"/>
      <c r="K153" s="14"/>
      <c r="L153" s="14"/>
      <c r="M153" s="14"/>
      <c r="N153" s="14"/>
      <c r="O153" s="14" t="str">
        <f>CONCATENATE("M 21 ",O46)</f>
      </c>
    </row>
    <row r="155">
      <c r="F155" t="s">
        <v>337</v>
      </c>
      <c r="G155" s="15"/>
      <c r="N155" t="s">
        <v>337</v>
      </c>
      <c r="O155" s="15"/>
    </row>
    <row r="156">
      <c r="F156" t="s">
        <v>338</v>
      </c>
      <c r="G156" s="15"/>
      <c r="N156" t="s">
        <v>338</v>
      </c>
      <c r="O156" s="15"/>
    </row>
    <row r="159">
      <c r="A159" s="13" t="s">
        <v>376</v>
      </c>
      <c r="B159" s="13"/>
      <c r="C159" s="13"/>
      <c r="D159" s="13"/>
      <c r="E159" s="13"/>
      <c r="F159" s="13"/>
      <c r="G159" s="13"/>
      <c r="I159" s="13" t="s">
        <v>377</v>
      </c>
      <c r="J159" s="13"/>
      <c r="K159" s="13"/>
      <c r="L159" s="13"/>
      <c r="M159" s="13"/>
      <c r="N159" s="13"/>
      <c r="O159" s="13"/>
    </row>
    <row r="160">
      <c r="A160" s="17" t="s">
        <v>239</v>
      </c>
      <c r="D160" s="14" t="s">
        <v>240</v>
      </c>
      <c r="G160" s="16" t="s">
        <v>241</v>
      </c>
      <c r="I160" s="17" t="s">
        <v>239</v>
      </c>
      <c r="L160" s="14" t="s">
        <v>240</v>
      </c>
      <c r="O160" s="16" t="s">
        <v>241</v>
      </c>
    </row>
    <row r="161">
      <c r="A161" s="14" t="str">
        <f>CONCATENATE("M 9 ",G70)</f>
      </c>
      <c r="B161" s="14"/>
      <c r="C161" s="14"/>
      <c r="D161" s="14"/>
      <c r="E161" s="14"/>
      <c r="F161" s="14"/>
      <c r="G161" s="14" t="str">
        <f>CONCATENATE("M 8 ",G62)</f>
      </c>
      <c r="I161" s="14" t="str">
        <f>CONCATENATE("M 24 ",O70)</f>
      </c>
      <c r="J161" s="14"/>
      <c r="K161" s="14"/>
      <c r="L161" s="14"/>
      <c r="M161" s="14"/>
      <c r="N161" s="14"/>
      <c r="O161" s="14" t="str">
        <f>CONCATENATE("M 23 ",O62)</f>
      </c>
    </row>
    <row r="163">
      <c r="F163" t="s">
        <v>337</v>
      </c>
      <c r="G163" s="15"/>
      <c r="N163" t="s">
        <v>337</v>
      </c>
      <c r="O163" s="15"/>
    </row>
    <row r="164">
      <c r="F164" t="s">
        <v>338</v>
      </c>
      <c r="G164" s="15"/>
      <c r="N164" t="s">
        <v>338</v>
      </c>
      <c r="O164" s="15"/>
    </row>
    <row r="167">
      <c r="A167" s="13" t="s">
        <v>378</v>
      </c>
      <c r="B167" s="13"/>
      <c r="C167" s="13"/>
      <c r="D167" s="13"/>
      <c r="E167" s="13"/>
      <c r="F167" s="13"/>
      <c r="G167" s="13"/>
      <c r="I167" s="13" t="s">
        <v>379</v>
      </c>
      <c r="J167" s="13"/>
      <c r="K167" s="13"/>
      <c r="L167" s="13"/>
      <c r="M167" s="13"/>
      <c r="N167" s="13"/>
      <c r="O167" s="13"/>
    </row>
    <row r="168">
      <c r="A168" s="17" t="s">
        <v>239</v>
      </c>
      <c r="D168" s="14" t="s">
        <v>240</v>
      </c>
      <c r="G168" s="16" t="s">
        <v>241</v>
      </c>
      <c r="I168" s="17" t="s">
        <v>239</v>
      </c>
      <c r="L168" s="14" t="s">
        <v>240</v>
      </c>
      <c r="O168" s="16" t="s">
        <v>241</v>
      </c>
    </row>
    <row r="169">
      <c r="A169" s="14" t="str">
        <f>CONCATENATE("M 11 ",G86)</f>
      </c>
      <c r="B169" s="14"/>
      <c r="C169" s="14"/>
      <c r="D169" s="14"/>
      <c r="E169" s="14"/>
      <c r="F169" s="14"/>
      <c r="G169" s="14" t="str">
        <f>CONCATENATE("M 10 ",G78)</f>
      </c>
      <c r="I169" s="14" t="str">
        <f>CONCATENATE("M 26 ",O86)</f>
      </c>
      <c r="J169" s="14"/>
      <c r="K169" s="14"/>
      <c r="L169" s="14"/>
      <c r="M169" s="14"/>
      <c r="N169" s="14"/>
      <c r="O169" s="14" t="str">
        <f>CONCATENATE("M 25 ",O78)</f>
      </c>
    </row>
    <row r="171">
      <c r="F171" t="s">
        <v>337</v>
      </c>
      <c r="G171" s="15"/>
      <c r="N171" t="s">
        <v>337</v>
      </c>
      <c r="O171" s="15"/>
    </row>
    <row r="172">
      <c r="F172" t="s">
        <v>338</v>
      </c>
      <c r="G172" s="15"/>
      <c r="N172" t="s">
        <v>338</v>
      </c>
      <c r="O172" s="15"/>
    </row>
    <row r="175">
      <c r="A175" s="13" t="s">
        <v>380</v>
      </c>
      <c r="B175" s="13"/>
      <c r="C175" s="13"/>
      <c r="D175" s="13"/>
      <c r="E175" s="13"/>
      <c r="F175" s="13"/>
      <c r="G175" s="13"/>
      <c r="I175" s="13" t="s">
        <v>381</v>
      </c>
      <c r="J175" s="13"/>
      <c r="K175" s="13"/>
      <c r="L175" s="13"/>
      <c r="M175" s="13"/>
      <c r="N175" s="13"/>
      <c r="O175" s="13"/>
    </row>
    <row r="176">
      <c r="A176" s="17" t="s">
        <v>239</v>
      </c>
      <c r="D176" s="14" t="s">
        <v>240</v>
      </c>
      <c r="G176" s="16" t="s">
        <v>241</v>
      </c>
      <c r="I176" s="17" t="s">
        <v>239</v>
      </c>
      <c r="L176" s="14" t="s">
        <v>240</v>
      </c>
      <c r="O176" s="16" t="s">
        <v>241</v>
      </c>
    </row>
    <row r="177">
      <c r="A177" s="14" t="str">
        <f>CONCATENATE("M 13 ",G102)</f>
      </c>
      <c r="B177" s="14"/>
      <c r="C177" s="14"/>
      <c r="D177" s="14"/>
      <c r="E177" s="14"/>
      <c r="F177" s="14"/>
      <c r="G177" s="14" t="str">
        <f>CONCATENATE("M 12 ",G94)</f>
      </c>
      <c r="I177" s="14" t="str">
        <f>CONCATENATE("M 28 ",O102)</f>
      </c>
      <c r="J177" s="14"/>
      <c r="K177" s="14"/>
      <c r="L177" s="14"/>
      <c r="M177" s="14"/>
      <c r="N177" s="14"/>
      <c r="O177" s="14" t="str">
        <f>CONCATENATE("M 27 ",O94)</f>
      </c>
    </row>
    <row r="179">
      <c r="F179" t="s">
        <v>337</v>
      </c>
      <c r="G179" s="15"/>
      <c r="N179" t="s">
        <v>337</v>
      </c>
      <c r="O179" s="15"/>
    </row>
    <row r="180">
      <c r="F180" t="s">
        <v>338</v>
      </c>
      <c r="G180" s="15"/>
      <c r="N180" t="s">
        <v>338</v>
      </c>
      <c r="O180" s="15"/>
    </row>
    <row r="183">
      <c r="A183" s="13" t="s">
        <v>382</v>
      </c>
      <c r="B183" s="13"/>
      <c r="C183" s="13"/>
      <c r="D183" s="13"/>
      <c r="E183" s="13"/>
      <c r="F183" s="13"/>
      <c r="G183" s="13"/>
      <c r="I183" s="13" t="s">
        <v>383</v>
      </c>
      <c r="J183" s="13"/>
      <c r="K183" s="13"/>
      <c r="L183" s="13"/>
      <c r="M183" s="13"/>
      <c r="N183" s="13"/>
      <c r="O183" s="13"/>
    </row>
    <row r="184">
      <c r="A184" s="17" t="s">
        <v>239</v>
      </c>
      <c r="D184" s="14" t="s">
        <v>240</v>
      </c>
      <c r="G184" s="16" t="s">
        <v>241</v>
      </c>
      <c r="I184" s="17" t="s">
        <v>239</v>
      </c>
      <c r="L184" s="14" t="s">
        <v>240</v>
      </c>
      <c r="O184" s="16" t="s">
        <v>241</v>
      </c>
    </row>
    <row r="185">
      <c r="A185" s="14" t="str">
        <f>CONCATENATE("M 15 ",G118)</f>
      </c>
      <c r="B185" s="14"/>
      <c r="C185" s="14"/>
      <c r="D185" s="14"/>
      <c r="E185" s="14"/>
      <c r="F185" s="14"/>
      <c r="G185" s="14" t="str">
        <f>CONCATENATE("M 14 ",G110)</f>
      </c>
      <c r="I185" s="14" t="str">
        <f>CONCATENATE("M 30 ",O118)</f>
      </c>
      <c r="J185" s="14"/>
      <c r="K185" s="14"/>
      <c r="L185" s="14"/>
      <c r="M185" s="14"/>
      <c r="N185" s="14"/>
      <c r="O185" s="14" t="str">
        <f>CONCATENATE("M 29 ",O110)</f>
      </c>
    </row>
    <row r="187">
      <c r="F187" t="s">
        <v>337</v>
      </c>
      <c r="G187" s="15"/>
      <c r="N187" t="s">
        <v>337</v>
      </c>
      <c r="O187" s="15"/>
    </row>
    <row r="188">
      <c r="F188" t="s">
        <v>338</v>
      </c>
      <c r="G188" s="15"/>
      <c r="N188" t="s">
        <v>338</v>
      </c>
      <c r="O188" s="15"/>
    </row>
    <row r="196">
      <c r="A196" s="13" t="s">
        <v>384</v>
      </c>
      <c r="B196" s="13"/>
      <c r="C196" s="13"/>
      <c r="D196" s="13"/>
      <c r="E196" s="13"/>
      <c r="F196" s="13"/>
      <c r="G196" s="13"/>
      <c r="I196" s="13" t="s">
        <v>385</v>
      </c>
      <c r="J196" s="13"/>
      <c r="K196" s="13"/>
      <c r="L196" s="13"/>
      <c r="M196" s="13"/>
      <c r="N196" s="13"/>
      <c r="O196" s="13"/>
    </row>
    <row r="197">
      <c r="A197" s="17" t="s">
        <v>239</v>
      </c>
      <c r="D197" s="14" t="s">
        <v>240</v>
      </c>
      <c r="G197" s="16" t="s">
        <v>241</v>
      </c>
      <c r="I197" s="17" t="s">
        <v>239</v>
      </c>
      <c r="L197" s="14" t="s">
        <v>240</v>
      </c>
      <c r="O197" s="16" t="s">
        <v>241</v>
      </c>
    </row>
    <row r="198">
      <c r="A198" s="14" t="str">
        <f>CONCATENATE("M 32 ",G139)</f>
      </c>
      <c r="B198" s="14"/>
      <c r="C198" s="14"/>
      <c r="D198" s="14"/>
      <c r="E198" s="14"/>
      <c r="F198" s="14"/>
      <c r="G198" s="14" t="str">
        <f>CONCATENATE("M 31 ",G131)</f>
      </c>
      <c r="I198" s="14" t="str">
        <f>CONCATENATE("M 40 ",O139)</f>
      </c>
      <c r="J198" s="14"/>
      <c r="K198" s="14"/>
      <c r="L198" s="14"/>
      <c r="M198" s="14"/>
      <c r="N198" s="14"/>
      <c r="O198" s="14" t="str">
        <f>CONCATENATE("M 39 ",O131)</f>
      </c>
    </row>
    <row r="200">
      <c r="F200" t="s">
        <v>337</v>
      </c>
      <c r="G200" s="15"/>
      <c r="N200" t="s">
        <v>337</v>
      </c>
      <c r="O200" s="15"/>
    </row>
    <row r="201">
      <c r="F201" t="s">
        <v>338</v>
      </c>
      <c r="G201" s="15"/>
      <c r="N201" t="s">
        <v>338</v>
      </c>
      <c r="O201" s="15"/>
    </row>
    <row r="204">
      <c r="A204" s="13" t="s">
        <v>386</v>
      </c>
      <c r="B204" s="13"/>
      <c r="C204" s="13"/>
      <c r="D204" s="13"/>
      <c r="E204" s="13"/>
      <c r="F204" s="13"/>
      <c r="G204" s="13"/>
      <c r="I204" s="13" t="s">
        <v>387</v>
      </c>
      <c r="J204" s="13"/>
      <c r="K204" s="13"/>
      <c r="L204" s="13"/>
      <c r="M204" s="13"/>
      <c r="N204" s="13"/>
      <c r="O204" s="13"/>
    </row>
    <row r="205">
      <c r="A205" s="17" t="s">
        <v>239</v>
      </c>
      <c r="D205" s="14" t="s">
        <v>240</v>
      </c>
      <c r="G205" s="16" t="s">
        <v>241</v>
      </c>
      <c r="I205" s="17" t="s">
        <v>239</v>
      </c>
      <c r="L205" s="14" t="s">
        <v>240</v>
      </c>
      <c r="O205" s="16" t="s">
        <v>241</v>
      </c>
    </row>
    <row r="206">
      <c r="A206" s="14" t="str">
        <f>CONCATENATE("M 34 ",G155)</f>
      </c>
      <c r="B206" s="14"/>
      <c r="C206" s="14"/>
      <c r="D206" s="14"/>
      <c r="E206" s="14"/>
      <c r="F206" s="14"/>
      <c r="G206" s="14" t="str">
        <f>CONCATENATE("M 33 ",G147)</f>
      </c>
      <c r="I206" s="14" t="str">
        <f>CONCATENATE("M 42 ",O155)</f>
      </c>
      <c r="J206" s="14"/>
      <c r="K206" s="14"/>
      <c r="L206" s="14"/>
      <c r="M206" s="14"/>
      <c r="N206" s="14"/>
      <c r="O206" s="14" t="str">
        <f>CONCATENATE("M 41 ",O147)</f>
      </c>
    </row>
    <row r="208">
      <c r="F208" t="s">
        <v>337</v>
      </c>
      <c r="G208" s="15"/>
      <c r="N208" t="s">
        <v>337</v>
      </c>
      <c r="O208" s="15"/>
    </row>
    <row r="209">
      <c r="F209" t="s">
        <v>338</v>
      </c>
      <c r="G209" s="15"/>
      <c r="N209" t="s">
        <v>338</v>
      </c>
      <c r="O209" s="15"/>
    </row>
    <row r="212">
      <c r="A212" s="13" t="s">
        <v>388</v>
      </c>
      <c r="B212" s="13"/>
      <c r="C212" s="13"/>
      <c r="D212" s="13"/>
      <c r="E212" s="13"/>
      <c r="F212" s="13"/>
      <c r="G212" s="13"/>
      <c r="I212" s="13" t="s">
        <v>389</v>
      </c>
      <c r="J212" s="13"/>
      <c r="K212" s="13"/>
      <c r="L212" s="13"/>
      <c r="M212" s="13"/>
      <c r="N212" s="13"/>
      <c r="O212" s="13"/>
    </row>
    <row r="213">
      <c r="A213" s="17" t="s">
        <v>239</v>
      </c>
      <c r="D213" s="14" t="s">
        <v>240</v>
      </c>
      <c r="G213" s="16" t="s">
        <v>241</v>
      </c>
      <c r="I213" s="17" t="s">
        <v>239</v>
      </c>
      <c r="L213" s="14" t="s">
        <v>240</v>
      </c>
      <c r="O213" s="16" t="s">
        <v>241</v>
      </c>
    </row>
    <row r="214">
      <c r="A214" s="14" t="str">
        <f>CONCATENATE("M 36 ",G171)</f>
      </c>
      <c r="B214" s="14"/>
      <c r="C214" s="14"/>
      <c r="D214" s="14"/>
      <c r="E214" s="14"/>
      <c r="F214" s="14"/>
      <c r="G214" s="14" t="str">
        <f>CONCATENATE("M 35 ",G163)</f>
      </c>
      <c r="I214" s="14" t="str">
        <f>CONCATENATE("M 44 ",O171)</f>
      </c>
      <c r="J214" s="14"/>
      <c r="K214" s="14"/>
      <c r="L214" s="14"/>
      <c r="M214" s="14"/>
      <c r="N214" s="14"/>
      <c r="O214" s="14" t="str">
        <f>CONCATENATE("M 43 ",O163)</f>
      </c>
    </row>
    <row r="216">
      <c r="F216" t="s">
        <v>337</v>
      </c>
      <c r="G216" s="15"/>
      <c r="N216" t="s">
        <v>337</v>
      </c>
      <c r="O216" s="15"/>
    </row>
    <row r="217">
      <c r="F217" t="s">
        <v>338</v>
      </c>
      <c r="G217" s="15"/>
      <c r="N217" t="s">
        <v>338</v>
      </c>
      <c r="O217" s="15"/>
    </row>
    <row r="220">
      <c r="A220" s="13" t="s">
        <v>390</v>
      </c>
      <c r="B220" s="13"/>
      <c r="C220" s="13"/>
      <c r="D220" s="13"/>
      <c r="E220" s="13"/>
      <c r="F220" s="13"/>
      <c r="G220" s="13"/>
      <c r="I220" s="13" t="s">
        <v>391</v>
      </c>
      <c r="J220" s="13"/>
      <c r="K220" s="13"/>
      <c r="L220" s="13"/>
      <c r="M220" s="13"/>
      <c r="N220" s="13"/>
      <c r="O220" s="13"/>
    </row>
    <row r="221">
      <c r="A221" s="17" t="s">
        <v>239</v>
      </c>
      <c r="D221" s="14" t="s">
        <v>240</v>
      </c>
      <c r="G221" s="16" t="s">
        <v>241</v>
      </c>
      <c r="I221" s="17" t="s">
        <v>239</v>
      </c>
      <c r="L221" s="14" t="s">
        <v>240</v>
      </c>
      <c r="O221" s="16" t="s">
        <v>241</v>
      </c>
    </row>
    <row r="222">
      <c r="A222" s="14" t="str">
        <f>CONCATENATE("M 38 ",G187)</f>
      </c>
      <c r="B222" s="14"/>
      <c r="C222" s="14"/>
      <c r="D222" s="14"/>
      <c r="E222" s="14"/>
      <c r="F222" s="14"/>
      <c r="G222" s="14" t="str">
        <f>CONCATENATE("M 37 ",G179)</f>
      </c>
      <c r="I222" s="14" t="str">
        <f>CONCATENATE("M 46 ",O187)</f>
      </c>
      <c r="J222" s="14"/>
      <c r="K222" s="14"/>
      <c r="L222" s="14"/>
      <c r="M222" s="14"/>
      <c r="N222" s="14"/>
      <c r="O222" s="14" t="str">
        <f>CONCATENATE("M 45 ",O179)</f>
      </c>
    </row>
    <row r="224">
      <c r="F224" t="s">
        <v>337</v>
      </c>
      <c r="G224" s="15"/>
      <c r="N224" t="s">
        <v>337</v>
      </c>
      <c r="O224" s="15"/>
    </row>
    <row r="225">
      <c r="F225" t="s">
        <v>338</v>
      </c>
      <c r="G225" s="15"/>
      <c r="N225" t="s">
        <v>338</v>
      </c>
      <c r="O225" s="15"/>
    </row>
    <row r="233">
      <c r="A233" s="13" t="s">
        <v>392</v>
      </c>
      <c r="B233" s="13"/>
      <c r="C233" s="13"/>
      <c r="D233" s="13"/>
      <c r="E233" s="13"/>
      <c r="F233" s="13"/>
      <c r="G233" s="13"/>
      <c r="I233" s="13" t="s">
        <v>393</v>
      </c>
      <c r="J233" s="13"/>
      <c r="K233" s="13"/>
      <c r="L233" s="13"/>
      <c r="M233" s="13"/>
      <c r="N233" s="13"/>
      <c r="O233" s="13"/>
    </row>
    <row r="234">
      <c r="A234" s="17" t="s">
        <v>239</v>
      </c>
      <c r="D234" s="14" t="s">
        <v>240</v>
      </c>
      <c r="G234" s="16" t="s">
        <v>241</v>
      </c>
      <c r="I234" s="17" t="s">
        <v>239</v>
      </c>
      <c r="L234" s="14" t="s">
        <v>240</v>
      </c>
      <c r="O234" s="16" t="s">
        <v>241</v>
      </c>
    </row>
    <row r="235">
      <c r="A235" s="14" t="str">
        <f>CONCATENATE("M 48 ",G208)</f>
      </c>
      <c r="B235" s="14"/>
      <c r="C235" s="14"/>
      <c r="D235" s="14"/>
      <c r="E235" s="14"/>
      <c r="F235" s="14"/>
      <c r="G235" s="14" t="str">
        <f>CONCATENATE("M 47 ",G200)</f>
      </c>
      <c r="I235" s="14" t="str">
        <f>CONCATENATE("M 52 ",O208)</f>
      </c>
      <c r="J235" s="14"/>
      <c r="K235" s="14"/>
      <c r="L235" s="14"/>
      <c r="M235" s="14"/>
      <c r="N235" s="14"/>
      <c r="O235" s="14" t="str">
        <f>CONCATENATE("M 51 ",O200)</f>
      </c>
    </row>
    <row r="237">
      <c r="F237" t="s">
        <v>337</v>
      </c>
      <c r="G237" s="15"/>
      <c r="N237" t="s">
        <v>337</v>
      </c>
      <c r="O237" s="15"/>
    </row>
    <row r="238">
      <c r="F238" t="s">
        <v>338</v>
      </c>
      <c r="G238" s="15"/>
      <c r="N238" t="s">
        <v>338</v>
      </c>
      <c r="O238" s="15"/>
    </row>
    <row r="241">
      <c r="A241" s="13" t="s">
        <v>394</v>
      </c>
      <c r="B241" s="13"/>
      <c r="C241" s="13"/>
      <c r="D241" s="13"/>
      <c r="E241" s="13"/>
      <c r="F241" s="13"/>
      <c r="G241" s="13"/>
      <c r="I241" s="13" t="s">
        <v>395</v>
      </c>
      <c r="J241" s="13"/>
      <c r="K241" s="13"/>
      <c r="L241" s="13"/>
      <c r="M241" s="13"/>
      <c r="N241" s="13"/>
      <c r="O241" s="13"/>
    </row>
    <row r="242">
      <c r="A242" s="17" t="s">
        <v>239</v>
      </c>
      <c r="D242" s="14" t="s">
        <v>240</v>
      </c>
      <c r="G242" s="16" t="s">
        <v>241</v>
      </c>
      <c r="I242" s="17" t="s">
        <v>239</v>
      </c>
      <c r="L242" s="14" t="s">
        <v>240</v>
      </c>
      <c r="O242" s="16" t="s">
        <v>241</v>
      </c>
    </row>
    <row r="243">
      <c r="A243" s="14" t="str">
        <f>CONCATENATE("M 50 ",G224)</f>
      </c>
      <c r="B243" s="14"/>
      <c r="C243" s="14"/>
      <c r="D243" s="14"/>
      <c r="E243" s="14"/>
      <c r="F243" s="14"/>
      <c r="G243" s="14" t="str">
        <f>CONCATENATE("M 49 ",G216)</f>
      </c>
      <c r="I243" s="14" t="str">
        <f>CONCATENATE("M 54 ",O224)</f>
      </c>
      <c r="J243" s="14"/>
      <c r="K243" s="14"/>
      <c r="L243" s="14"/>
      <c r="M243" s="14"/>
      <c r="N243" s="14"/>
      <c r="O243" s="14" t="str">
        <f>CONCATENATE("M 53 ",O216)</f>
      </c>
    </row>
    <row r="245">
      <c r="F245" t="s">
        <v>337</v>
      </c>
      <c r="G245" s="15"/>
      <c r="N245" t="s">
        <v>337</v>
      </c>
      <c r="O245" s="15"/>
    </row>
    <row r="246">
      <c r="F246" t="s">
        <v>338</v>
      </c>
      <c r="G246" s="15"/>
      <c r="N246" t="s">
        <v>338</v>
      </c>
      <c r="O246" s="15"/>
    </row>
    <row r="254">
      <c r="A254" s="13" t="s">
        <v>396</v>
      </c>
      <c r="B254" s="13"/>
      <c r="C254" s="13"/>
      <c r="D254" s="13"/>
      <c r="E254" s="13"/>
      <c r="F254" s="13"/>
      <c r="G254" s="13"/>
      <c r="I254" s="13" t="s">
        <v>396</v>
      </c>
      <c r="J254" s="13"/>
      <c r="K254" s="13"/>
      <c r="L254" s="13"/>
      <c r="M254" s="13"/>
      <c r="N254" s="13"/>
      <c r="O254" s="13"/>
    </row>
    <row r="255">
      <c r="A255" s="17" t="s">
        <v>239</v>
      </c>
      <c r="D255" s="14" t="s">
        <v>240</v>
      </c>
      <c r="G255" s="16" t="s">
        <v>241</v>
      </c>
      <c r="I255" s="17" t="s">
        <v>239</v>
      </c>
      <c r="L255" s="14" t="s">
        <v>240</v>
      </c>
      <c r="O255" s="16" t="s">
        <v>241</v>
      </c>
    </row>
    <row r="256">
      <c r="A256" s="14" t="str">
        <f>CONCATENATE("M 56 ",G245)</f>
      </c>
      <c r="B256" s="14"/>
      <c r="C256" s="14"/>
      <c r="D256" s="14"/>
      <c r="E256" s="14"/>
      <c r="F256" s="14"/>
      <c r="G256" s="14" t="str">
        <f>CONCATENATE("M 55 ",G237)</f>
      </c>
      <c r="I256" s="14" t="str">
        <f>CONCATENATE("M 58 ",O245)</f>
      </c>
      <c r="J256" s="14"/>
      <c r="K256" s="14"/>
      <c r="L256" s="14"/>
      <c r="M256" s="14"/>
      <c r="N256" s="14"/>
      <c r="O256" s="14" t="str">
        <f>CONCATENATE("M 57 ",O237)</f>
      </c>
    </row>
    <row r="258">
      <c r="F258" t="s">
        <v>337</v>
      </c>
      <c r="G258" s="15"/>
      <c r="N258" t="s">
        <v>337</v>
      </c>
      <c r="O258" s="15"/>
    </row>
    <row r="259">
      <c r="F259" t="s">
        <v>338</v>
      </c>
      <c r="G259" s="15"/>
      <c r="N259" t="s">
        <v>338</v>
      </c>
      <c r="O259" s="15"/>
    </row>
    <row r="267">
      <c r="A267" s="13" t="s">
        <v>397</v>
      </c>
      <c r="B267" s="13"/>
      <c r="C267" s="13"/>
      <c r="D267" s="13"/>
      <c r="E267" s="13"/>
      <c r="F267" s="13"/>
      <c r="G267" s="13"/>
    </row>
    <row r="268">
      <c r="A268" s="17" t="s">
        <v>239</v>
      </c>
      <c r="D268" s="14" t="s">
        <v>240</v>
      </c>
      <c r="G268" s="16" t="s">
        <v>241</v>
      </c>
    </row>
    <row r="269">
      <c r="A269" s="14" t="str">
        <f>CONCATENATE("M 0 ",O258)</f>
      </c>
      <c r="B269" s="14"/>
      <c r="C269" s="14"/>
      <c r="D269" s="14"/>
      <c r="E269" s="14"/>
      <c r="F269" s="14"/>
      <c r="G269" s="14" t="str">
        <f>CONCATENATE("M 0 ",O258)</f>
      </c>
    </row>
    <row r="271">
      <c r="F271" t="s">
        <v>337</v>
      </c>
      <c r="G271" s="15"/>
    </row>
    <row r="272">
      <c r="F272" t="s">
        <v>338</v>
      </c>
      <c r="G272" s="15"/>
    </row>
  </sheetData>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26" t="s">
        <v>245</v>
      </c>
      <c r="B1" s="27" t="str">
        <f>data!D3</f>
      </c>
    </row>
    <row r="2" ht="270" customHeight="true">
      <c r="A2" s="26" t="s">
        <v>246</v>
      </c>
      <c r="B2" s="27" t="str">
        <f>data!D4</f>
      </c>
    </row>
    <row r="3" ht="270" customHeight="true">
      <c r="A3" s="26" t="s">
        <v>247</v>
      </c>
      <c r="B3" s="27" t="str">
        <f>data!D5</f>
      </c>
    </row>
    <row r="4" ht="270" customHeight="true">
      <c r="A4" s="26" t="s">
        <v>248</v>
      </c>
      <c r="B4" s="27" t="str">
        <f>data!D6</f>
      </c>
    </row>
    <row r="5" ht="270" customHeight="true">
      <c r="A5" s="26" t="s">
        <v>249</v>
      </c>
      <c r="B5" s="27" t="str">
        <f>data!D7</f>
      </c>
    </row>
    <row r="6" ht="270" customHeight="true">
      <c r="A6" s="26" t="s">
        <v>250</v>
      </c>
      <c r="B6" s="27" t="str">
        <f>data!D8</f>
      </c>
    </row>
    <row r="7" ht="270" customHeight="true">
      <c r="A7" s="26" t="s">
        <v>251</v>
      </c>
      <c r="B7" s="27" t="str">
        <f>data!D9</f>
      </c>
    </row>
    <row r="8" ht="270" customHeight="true">
      <c r="A8" s="26" t="s">
        <v>252</v>
      </c>
      <c r="B8" s="27" t="str">
        <f>data!D10</f>
      </c>
    </row>
    <row r="9" ht="270" customHeight="true">
      <c r="A9" s="26" t="s">
        <v>253</v>
      </c>
      <c r="B9" s="27" t="str">
        <f>data!D11</f>
      </c>
    </row>
    <row r="10" ht="270" customHeight="true">
      <c r="A10" s="26" t="s">
        <v>254</v>
      </c>
      <c r="B10" s="27" t="str">
        <f>data!D12</f>
      </c>
    </row>
    <row r="11" ht="270" customHeight="true">
      <c r="A11" s="26" t="s">
        <v>255</v>
      </c>
      <c r="B11" s="27" t="str">
        <f>data!D13</f>
      </c>
    </row>
    <row r="12" ht="270" customHeight="true">
      <c r="A12" s="26" t="s">
        <v>256</v>
      </c>
      <c r="B12" s="27" t="str">
        <f>data!D14</f>
      </c>
    </row>
    <row r="13" ht="270" customHeight="true">
      <c r="A13" s="26" t="s">
        <v>257</v>
      </c>
      <c r="B13" s="27" t="str">
        <f>data!D15</f>
      </c>
    </row>
    <row r="14" ht="270" customHeight="true">
      <c r="A14" s="26" t="s">
        <v>258</v>
      </c>
      <c r="B14" s="27" t="str">
        <f>data!D16</f>
      </c>
    </row>
    <row r="15" ht="270" customHeight="true">
      <c r="A15" s="26" t="s">
        <v>259</v>
      </c>
      <c r="B15" s="27" t="str">
        <f>data!D17</f>
      </c>
    </row>
    <row r="16" ht="270" customHeight="true">
      <c r="A16" s="26" t="s">
        <v>260</v>
      </c>
      <c r="B16" s="27" t="str">
        <f>data!D18</f>
      </c>
    </row>
    <row r="17" ht="270" customHeight="true">
      <c r="A17" s="26" t="s">
        <v>261</v>
      </c>
      <c r="B17" s="27" t="str">
        <f>data!D19</f>
      </c>
    </row>
    <row r="18" ht="270" customHeight="true">
      <c r="A18" s="26" t="s">
        <v>262</v>
      </c>
      <c r="B18" s="27" t="str">
        <f>data!D20</f>
      </c>
    </row>
    <row r="19" ht="270" customHeight="true">
      <c r="A19" s="26" t="s">
        <v>263</v>
      </c>
      <c r="B19" s="27" t="str">
        <f>data!D21</f>
      </c>
    </row>
    <row r="20" ht="270" customHeight="true">
      <c r="A20" s="26" t="s">
        <v>264</v>
      </c>
      <c r="B20" s="27" t="str">
        <f>data!D22</f>
      </c>
    </row>
    <row r="21" ht="270" customHeight="true">
      <c r="A21" s="26" t="s">
        <v>265</v>
      </c>
      <c r="B21" s="27" t="str">
        <f>data!D23</f>
      </c>
    </row>
    <row r="22" ht="270" customHeight="true">
      <c r="A22" s="26" t="s">
        <v>266</v>
      </c>
      <c r="B22" s="27" t="str">
        <f>data!D24</f>
      </c>
    </row>
    <row r="23" ht="270" customHeight="true">
      <c r="A23" s="26" t="s">
        <v>267</v>
      </c>
      <c r="B23" s="27" t="str">
        <f>data!D25</f>
      </c>
    </row>
    <row r="24" ht="270" customHeight="true">
      <c r="A24" s="26" t="s">
        <v>268</v>
      </c>
      <c r="B24" s="27" t="str">
        <f>data!D26</f>
      </c>
    </row>
    <row r="25" ht="270" customHeight="true">
      <c r="A25" s="26" t="s">
        <v>269</v>
      </c>
      <c r="B25" s="27" t="str">
        <f>data!D27</f>
      </c>
    </row>
    <row r="26" ht="270" customHeight="true">
      <c r="A26" s="26" t="s">
        <v>270</v>
      </c>
      <c r="B26" s="27" t="str">
        <f>data!D28</f>
      </c>
    </row>
    <row r="27" ht="270" customHeight="true">
      <c r="A27" s="26" t="s">
        <v>271</v>
      </c>
      <c r="B27" s="27" t="str">
        <f>data!D29</f>
      </c>
    </row>
    <row r="28" ht="270" customHeight="true">
      <c r="A28" s="26" t="s">
        <v>272</v>
      </c>
      <c r="B28" s="27" t="str">
        <f>data!D30</f>
      </c>
    </row>
    <row r="29" ht="270" customHeight="true">
      <c r="A29" s="26" t="s">
        <v>273</v>
      </c>
      <c r="B29" s="27" t="str">
        <f>data!D31</f>
      </c>
    </row>
    <row r="30" ht="270" customHeight="true">
      <c r="A30" s="26" t="s">
        <v>274</v>
      </c>
      <c r="B30" s="27" t="str">
        <f>data!D32</f>
      </c>
    </row>
    <row r="31" ht="270" customHeight="true">
      <c r="A31" s="26" t="s">
        <v>275</v>
      </c>
      <c r="B31" s="27" t="str">
        <f>data!D33</f>
      </c>
    </row>
    <row r="32" ht="270" customHeight="true">
      <c r="A32" s="26" t="s">
        <v>276</v>
      </c>
      <c r="B32" s="27" t="str">
        <f>data!D34</f>
      </c>
    </row>
    <row r="33" ht="270" customHeight="true">
      <c r="A33" s="26" t="s">
        <v>277</v>
      </c>
      <c r="B33" s="27" t="str">
        <f>data!D35</f>
      </c>
    </row>
    <row r="34" ht="270" customHeight="true">
      <c r="A34" s="26" t="s">
        <v>278</v>
      </c>
      <c r="B34" s="27" t="str">
        <f>data!D36</f>
      </c>
    </row>
    <row r="35" ht="270" customHeight="true">
      <c r="A35" s="26" t="s">
        <v>279</v>
      </c>
      <c r="B35" s="27" t="str">
        <f>data!D37</f>
      </c>
    </row>
    <row r="36" ht="270" customHeight="true">
      <c r="A36" s="26" t="s">
        <v>280</v>
      </c>
      <c r="B36" s="27" t="str">
        <f>data!D38</f>
      </c>
    </row>
    <row r="37" ht="270" customHeight="true">
      <c r="A37" s="26" t="s">
        <v>281</v>
      </c>
      <c r="B37" s="27" t="str">
        <f>data!D39</f>
      </c>
    </row>
    <row r="38" ht="270" customHeight="true">
      <c r="A38" s="26" t="s">
        <v>282</v>
      </c>
      <c r="B38" s="27" t="str">
        <f>data!D40</f>
      </c>
    </row>
    <row r="39" ht="270" customHeight="true">
      <c r="A39" s="26" t="s">
        <v>283</v>
      </c>
      <c r="B39" s="27" t="str">
        <f>data!D41</f>
      </c>
    </row>
    <row r="40" ht="270" customHeight="true">
      <c r="A40" s="26" t="s">
        <v>284</v>
      </c>
      <c r="B40" s="27" t="str">
        <f>data!D42</f>
      </c>
    </row>
    <row r="41" ht="270" customHeight="true">
      <c r="A41" s="26" t="s">
        <v>285</v>
      </c>
      <c r="B41" s="27" t="str">
        <f>data!D43</f>
      </c>
    </row>
    <row r="42" ht="270" customHeight="true">
      <c r="A42" s="26" t="s">
        <v>286</v>
      </c>
      <c r="B42" s="27" t="str">
        <f>data!D44</f>
      </c>
    </row>
    <row r="43" ht="270" customHeight="true">
      <c r="A43" s="26" t="s">
        <v>287</v>
      </c>
      <c r="B43" s="27" t="str">
        <f>data!D45</f>
      </c>
    </row>
    <row r="44" ht="270" customHeight="true">
      <c r="A44" s="26" t="s">
        <v>288</v>
      </c>
      <c r="B44" s="27" t="str">
        <f>data!D46</f>
      </c>
    </row>
    <row r="45" ht="270" customHeight="true">
      <c r="A45" s="26" t="s">
        <v>289</v>
      </c>
      <c r="B45" s="27" t="str">
        <f>data!D47</f>
      </c>
    </row>
    <row r="46" ht="270" customHeight="true">
      <c r="A46" s="26" t="s">
        <v>290</v>
      </c>
      <c r="B46" s="27" t="str">
        <f>data!D48</f>
      </c>
    </row>
    <row r="47" ht="270" customHeight="true">
      <c r="A47" s="26" t="s">
        <v>291</v>
      </c>
      <c r="B47" s="27" t="str">
        <f>data!D49</f>
      </c>
    </row>
    <row r="48" ht="270" customHeight="true">
      <c r="A48" s="26" t="s">
        <v>292</v>
      </c>
      <c r="B48" s="27" t="str">
        <f>data!D50</f>
      </c>
    </row>
    <row r="49" ht="270" customHeight="true">
      <c r="A49" s="26" t="s">
        <v>293</v>
      </c>
      <c r="B49" s="27" t="str">
        <f>data!D51</f>
      </c>
    </row>
    <row r="50" ht="270" customHeight="true">
      <c r="A50" s="26" t="s">
        <v>294</v>
      </c>
      <c r="B50" s="27" t="str">
        <f>data!D52</f>
      </c>
    </row>
    <row r="51" ht="270" customHeight="true">
      <c r="A51" s="26" t="s">
        <v>295</v>
      </c>
      <c r="B51" s="27" t="str">
        <f>data!D53</f>
      </c>
    </row>
    <row r="52" ht="270" customHeight="true">
      <c r="A52" s="26" t="s">
        <v>296</v>
      </c>
      <c r="B52" s="27" t="str">
        <f>data!D54</f>
      </c>
    </row>
    <row r="53" ht="270" customHeight="true">
      <c r="A53" s="26" t="s">
        <v>297</v>
      </c>
      <c r="B53" s="27" t="str">
        <f>data!D55</f>
      </c>
    </row>
    <row r="54" ht="270" customHeight="true">
      <c r="A54" s="26" t="s">
        <v>298</v>
      </c>
      <c r="B54" s="27" t="str">
        <f>data!D56</f>
      </c>
    </row>
    <row r="55" ht="270" customHeight="true">
      <c r="A55" s="26" t="s">
        <v>299</v>
      </c>
      <c r="B55" s="27" t="str">
        <f>data!D57</f>
      </c>
    </row>
    <row r="56" ht="270" customHeight="true">
      <c r="A56" s="26" t="s">
        <v>300</v>
      </c>
      <c r="B56" s="27" t="str">
        <f>data!D58</f>
      </c>
    </row>
    <row r="57" ht="270" customHeight="true">
      <c r="A57" s="26" t="s">
        <v>301</v>
      </c>
      <c r="B57" s="27" t="str">
        <f>data!D59</f>
      </c>
    </row>
    <row r="58" ht="270" customHeight="true">
      <c r="A58" s="26" t="s">
        <v>302</v>
      </c>
      <c r="B58" s="27" t="str">
        <f>data!D60</f>
      </c>
    </row>
    <row r="59" ht="270" customHeight="true">
      <c r="A59" s="26" t="s">
        <v>303</v>
      </c>
      <c r="B59" s="27" t="str">
        <f>data!D61</f>
      </c>
    </row>
    <row r="60" ht="270" customHeight="true">
      <c r="A60" s="26" t="s">
        <v>304</v>
      </c>
      <c r="B60" s="27" t="str">
        <f>data!D62</f>
      </c>
    </row>
    <row r="61" ht="270" customHeight="true">
      <c r="A61" s="26" t="s">
        <v>305</v>
      </c>
      <c r="B61" s="27" t="str">
        <f>data!D63</f>
      </c>
    </row>
    <row r="62" ht="270" customHeight="true">
      <c r="A62" s="26" t="s">
        <v>306</v>
      </c>
      <c r="B62" s="27" t="str">
        <f>data!D64</f>
      </c>
    </row>
    <row r="63" ht="270" customHeight="true">
      <c r="A63" s="26" t="s">
        <v>307</v>
      </c>
      <c r="B63" s="27" t="str">
        <f>data!D65</f>
      </c>
    </row>
    <row r="64" ht="270" customHeight="true">
      <c r="A64" s="26" t="s">
        <v>308</v>
      </c>
      <c r="B64" s="27" t="str">
        <f>data!D66</f>
      </c>
    </row>
    <row r="65" ht="270" customHeight="true">
      <c r="A65" s="26" t="s">
        <v>309</v>
      </c>
      <c r="B65" s="27" t="str">
        <f>data!D67</f>
      </c>
    </row>
    <row r="66" ht="270" customHeight="true">
      <c r="A66" s="26" t="s">
        <v>310</v>
      </c>
      <c r="B66" s="27" t="str">
        <f>data!D68</f>
      </c>
    </row>
    <row r="67" ht="270" customHeight="true">
      <c r="A67" s="26" t="s">
        <v>311</v>
      </c>
      <c r="B67" s="27" t="str">
        <f>data!D69</f>
      </c>
    </row>
    <row r="68" ht="270" customHeight="true">
      <c r="A68" s="26" t="s">
        <v>312</v>
      </c>
      <c r="B68" s="27" t="str">
        <f>data!D70</f>
      </c>
    </row>
    <row r="69" ht="270" customHeight="true">
      <c r="A69" s="26" t="s">
        <v>313</v>
      </c>
      <c r="B69" s="27" t="str">
        <f>data!D71</f>
      </c>
    </row>
    <row r="70" ht="270" customHeight="true">
      <c r="A70" s="26" t="s">
        <v>314</v>
      </c>
      <c r="B70" s="27" t="str">
        <f>data!D72</f>
      </c>
    </row>
    <row r="71" ht="270" customHeight="true">
      <c r="A71" s="26" t="s">
        <v>315</v>
      </c>
      <c r="B71" s="27" t="str">
        <f>data!D73</f>
      </c>
    </row>
    <row r="72" ht="270" customHeight="true">
      <c r="A72" s="26" t="s">
        <v>316</v>
      </c>
      <c r="B72" s="27" t="str">
        <f>data!D74</f>
      </c>
    </row>
    <row r="73" ht="270" customHeight="true">
      <c r="A73" s="26" t="s">
        <v>317</v>
      </c>
      <c r="B73" s="27" t="str">
        <f>data!D75</f>
      </c>
    </row>
    <row r="74" ht="270" customHeight="true">
      <c r="A74" s="26" t="s">
        <v>318</v>
      </c>
      <c r="B74" s="27" t="str">
        <f>data!D76</f>
      </c>
    </row>
    <row r="75" ht="270" customHeight="true">
      <c r="A75" s="26" t="s">
        <v>319</v>
      </c>
      <c r="B75" s="27" t="str">
        <f>data!D77</f>
      </c>
    </row>
    <row r="76" ht="270" customHeight="true">
      <c r="A76" s="26" t="s">
        <v>320</v>
      </c>
      <c r="B76" s="27" t="str">
        <f>data!D78</f>
      </c>
    </row>
    <row r="77" ht="270" customHeight="true">
      <c r="A77" s="26" t="s">
        <v>321</v>
      </c>
      <c r="B77" s="27" t="str">
        <f>data!D79</f>
      </c>
    </row>
    <row r="78" ht="270" customHeight="true">
      <c r="A78" s="26" t="s">
        <v>322</v>
      </c>
      <c r="B78" s="27" t="str">
        <f>data!D80</f>
      </c>
    </row>
    <row r="79" ht="270" customHeight="true">
      <c r="A79" s="26" t="s">
        <v>323</v>
      </c>
      <c r="B79" s="27" t="str">
        <f>data!D81</f>
      </c>
    </row>
    <row r="80" ht="270" customHeight="true">
      <c r="A80" s="26" t="s">
        <v>324</v>
      </c>
      <c r="B80" s="27" t="str">
        <f>data!D82</f>
      </c>
    </row>
    <row r="81" ht="270" customHeight="true">
      <c r="A81" s="26" t="s">
        <v>325</v>
      </c>
      <c r="B81" s="27" t="str">
        <f>data!D83</f>
      </c>
    </row>
    <row r="82" ht="270" customHeight="true">
      <c r="A82" s="26" t="s">
        <v>326</v>
      </c>
      <c r="B82" s="27" t="str">
        <f>data!D84</f>
      </c>
    </row>
    <row r="83" ht="270" customHeight="true">
      <c r="A83" s="26" t="s">
        <v>327</v>
      </c>
      <c r="B83" s="27" t="str">
        <f>data!D85</f>
      </c>
    </row>
    <row r="84" ht="270" customHeight="true">
      <c r="A84" s="26" t="s">
        <v>328</v>
      </c>
      <c r="B84" s="27" t="str">
        <f>data!D86</f>
      </c>
    </row>
    <row r="85" ht="270" customHeight="true">
      <c r="A85" s="26" t="s">
        <v>329</v>
      </c>
      <c r="B85" s="27" t="str">
        <f>data!D87</f>
      </c>
    </row>
    <row r="86" ht="270" customHeight="true">
      <c r="A86" s="26" t="s">
        <v>330</v>
      </c>
      <c r="B86" s="27" t="str">
        <f>data!D88</f>
      </c>
    </row>
    <row r="87" ht="270" customHeight="true">
      <c r="A87" s="26" t="s">
        <v>331</v>
      </c>
      <c r="B87" s="27" t="str">
        <f>data!D89</f>
      </c>
    </row>
    <row r="88" ht="270" customHeight="true">
      <c r="A88" s="26" t="s">
        <v>332</v>
      </c>
      <c r="B88" s="27" t="str">
        <f>data!D90</f>
      </c>
    </row>
    <row r="89" ht="270" customHeight="true">
      <c r="A89" s="26" t="s">
        <v>333</v>
      </c>
      <c r="B89" s="27" t="str">
        <f>data!D91</f>
      </c>
    </row>
    <row r="90" ht="270" customHeight="true">
      <c r="A90" s="26" t="s">
        <v>334</v>
      </c>
      <c r="B90" s="27" t="str">
        <f>data!D92</f>
      </c>
    </row>
    <row r="91" ht="270" customHeight="true">
      <c r="A91" s="26" t="s">
        <v>335</v>
      </c>
      <c r="B91" s="27" t="str">
        <f>data!D93</f>
      </c>
    </row>
  </sheetData>
  <pageMargins left="0.1" right="0.1" top="0.1" bottom="0.1" header="0.1" footer="0.1"/>
  <pageSetup orientation="landscape" paperSize="8"/>
  <rowBreaks count="30" manualBreakCount="30">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brk id="48" max="16383" man="true"/>
    <brk id="51" max="16383" man="true"/>
    <brk id="54" max="16383" man="true"/>
    <brk id="57" max="16383" man="true"/>
    <brk id="60" max="16383" man="true"/>
    <brk id="63" max="16383" man="true"/>
    <brk id="66" max="16383" man="true"/>
    <brk id="69" max="16383" man="true"/>
    <brk id="72" max="16383" man="true"/>
    <brk id="75" max="16383" man="true"/>
    <brk id="78" max="16383" man="true"/>
    <brk id="81" max="16383" man="true"/>
    <brk id="84" max="16383" man="true"/>
    <brk id="87" max="16383" man="true"/>
    <brk id="90"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data!$A$5</f>
      </c>
    </row>
    <row r="5">
      <c r="A5" s="23" t="str">
        <f>"1. " &amp; data!$B$3</f>
      </c>
    </row>
    <row r="6">
      <c r="A6" s="24" t="str">
        <f>"2. " &amp; data!$B$4</f>
      </c>
      <c r="E6" s="21" t="str">
        <f>CONCATENATE("Pool A-1st ",'Pool Matches'!G8)</f>
      </c>
    </row>
    <row r="7">
      <c r="A7" s="25" t="str">
        <f>"3. " &amp; data!$B$5</f>
      </c>
      <c r="F7" s="20"/>
      <c r="G7" s="18"/>
    </row>
    <row r="8">
      <c r="A8" s="20"/>
      <c r="G8" s="19">
        <v>31</v>
      </c>
    </row>
    <row r="9">
      <c r="A9" s="22" t="str">
        <f>data!$A$8</f>
      </c>
      <c r="C9" s="21" t="str">
        <f>CONCATENATE("Pool C-1st ",'Pool Matches'!G28)</f>
      </c>
      <c r="G9" s="18"/>
      <c r="H9" s="20"/>
      <c r="I9" s="18"/>
    </row>
    <row r="10">
      <c r="A10" s="23" t="str">
        <f>"1. " &amp; data!$B$6</f>
      </c>
      <c r="D10" s="20"/>
      <c r="E10" s="19">
        <v>1</v>
      </c>
      <c r="F10" s="15"/>
      <c r="G10" s="18"/>
      <c r="I10" s="18"/>
    </row>
    <row r="11">
      <c r="A11" s="24" t="str">
        <f>"2. " &amp; data!$B$7</f>
      </c>
      <c r="C11" s="21" t="str">
        <f>CONCATENATE("Pool B-2nd ",'Pool Matches'!G19)</f>
      </c>
      <c r="D11" s="15"/>
      <c r="E11" s="18"/>
      <c r="I11" s="18"/>
    </row>
    <row r="12">
      <c r="A12" s="25" t="str">
        <f>"3. " &amp; data!$B$8</f>
      </c>
      <c r="I12" s="19">
        <v>47</v>
      </c>
    </row>
    <row r="13">
      <c r="A13" s="20"/>
      <c r="C13" s="21" t="str">
        <f>CONCATENATE("Pool E-1st ",'Pool Matches'!G48)</f>
      </c>
      <c r="I13" s="18"/>
      <c r="J13" s="20"/>
      <c r="K13" s="18"/>
    </row>
    <row r="14">
      <c r="A14" s="22" t="str">
        <f>data!$A$11</f>
      </c>
      <c r="D14" s="20"/>
      <c r="E14" s="19">
        <v>2</v>
      </c>
      <c r="I14" s="18"/>
      <c r="K14" s="18"/>
    </row>
    <row r="15">
      <c r="A15" s="23" t="str">
        <f>"1. " &amp; data!$B$9</f>
      </c>
      <c r="C15" s="21" t="str">
        <f>CONCATENATE("Pool D-2nd ",'Pool Matches'!G39)</f>
      </c>
      <c r="D15" s="15"/>
      <c r="E15" s="18"/>
      <c r="F15" s="20"/>
      <c r="G15" s="18"/>
      <c r="I15" s="18"/>
      <c r="K15" s="18"/>
    </row>
    <row r="16">
      <c r="A16" s="24" t="str">
        <f>"2. " &amp; data!$B$10</f>
      </c>
      <c r="G16" s="19">
        <v>32</v>
      </c>
      <c r="H16" s="15"/>
      <c r="I16" s="18"/>
      <c r="K16" s="18"/>
    </row>
    <row r="17">
      <c r="A17" s="25" t="str">
        <f>"3. " &amp; data!$B$11</f>
      </c>
      <c r="C17" s="21" t="str">
        <f>CONCATENATE("Pool G-1st ",'Pool Matches'!G68)</f>
      </c>
      <c r="G17" s="18"/>
      <c r="K17" s="18"/>
    </row>
    <row r="18">
      <c r="A18" s="20"/>
      <c r="D18" s="20"/>
      <c r="E18" s="19">
        <v>3</v>
      </c>
      <c r="F18" s="15"/>
      <c r="G18" s="18"/>
      <c r="K18" s="18"/>
    </row>
    <row r="19">
      <c r="A19" s="22" t="str">
        <f>data!$A$14</f>
      </c>
      <c r="C19" s="21" t="str">
        <f>CONCATENATE("Pool F-2nd ",'Pool Matches'!G59)</f>
      </c>
      <c r="D19" s="15"/>
      <c r="E19" s="18"/>
      <c r="K19" s="18"/>
    </row>
    <row r="20">
      <c r="A20" s="23" t="str">
        <f>"1. " &amp; data!$B$12</f>
      </c>
      <c r="K20" s="19">
        <v>55</v>
      </c>
    </row>
    <row r="21">
      <c r="A21" s="24" t="str">
        <f>"2. " &amp; data!$B$13</f>
      </c>
      <c r="C21" s="21" t="str">
        <f>CONCATENATE("Pool I-1st ",'Pool Matches'!G88)</f>
      </c>
      <c r="K21" s="18"/>
    </row>
    <row r="22">
      <c r="A22" s="25" t="str">
        <f>"3. " &amp; data!$B$14</f>
      </c>
      <c r="D22" s="20"/>
      <c r="E22" s="19">
        <v>4</v>
      </c>
      <c r="K22" s="18"/>
    </row>
    <row r="23">
      <c r="A23" s="20"/>
      <c r="C23" s="21" t="str">
        <f>CONCATENATE("Pool H-2nd ",'Pool Matches'!G79)</f>
      </c>
      <c r="D23" s="15"/>
      <c r="E23" s="18"/>
      <c r="F23" s="20"/>
      <c r="G23" s="18"/>
      <c r="K23" s="18"/>
    </row>
    <row r="24">
      <c r="A24" s="22" t="str">
        <f>data!$A$17</f>
      </c>
      <c r="G24" s="19">
        <v>33</v>
      </c>
      <c r="K24" s="18"/>
    </row>
    <row r="25">
      <c r="A25" s="23" t="str">
        <f>"1. " &amp; data!$B$15</f>
      </c>
      <c r="C25" s="21" t="str">
        <f>CONCATENATE("Pool K-1st ",'Pool Matches'!G108)</f>
      </c>
      <c r="G25" s="18"/>
      <c r="H25" s="20"/>
      <c r="I25" s="18"/>
      <c r="K25" s="18"/>
    </row>
    <row r="26">
      <c r="A26" s="24" t="str">
        <f>"2. " &amp; data!$B$16</f>
      </c>
      <c r="D26" s="20"/>
      <c r="E26" s="19">
        <v>5</v>
      </c>
      <c r="F26" s="15"/>
      <c r="G26" s="18"/>
      <c r="I26" s="18"/>
      <c r="K26" s="18"/>
    </row>
    <row r="27">
      <c r="A27" s="25" t="str">
        <f>"3. " &amp; data!$B$17</f>
      </c>
      <c r="C27" s="21" t="str">
        <f>CONCATENATE("Pool J-2nd ",'Pool Matches'!G99)</f>
      </c>
      <c r="D27" s="15"/>
      <c r="E27" s="18"/>
      <c r="I27" s="18"/>
      <c r="K27" s="18"/>
    </row>
    <row r="28">
      <c r="A28" s="20"/>
      <c r="I28" s="19">
        <v>48</v>
      </c>
      <c r="J28" s="15"/>
      <c r="K28" s="18"/>
    </row>
    <row r="29">
      <c r="A29" s="22" t="str">
        <f>data!$A$20</f>
      </c>
      <c r="C29" s="21" t="str">
        <f>CONCATENATE("Pool M-1st ",'Pool Matches'!G128)</f>
      </c>
      <c r="I29" s="18"/>
    </row>
    <row r="30">
      <c r="A30" s="23" t="str">
        <f>"1. " &amp; data!$B$18</f>
      </c>
      <c r="D30" s="20"/>
      <c r="E30" s="19">
        <v>6</v>
      </c>
      <c r="I30" s="18"/>
    </row>
    <row r="31">
      <c r="A31" s="24" t="str">
        <f>"2. " &amp; data!$B$19</f>
      </c>
      <c r="C31" s="21" t="str">
        <f>CONCATENATE("Pool L-2nd ",'Pool Matches'!G119)</f>
      </c>
      <c r="D31" s="15"/>
      <c r="E31" s="18"/>
      <c r="F31" s="20"/>
      <c r="G31" s="18"/>
      <c r="I31" s="18"/>
    </row>
    <row r="32">
      <c r="A32" s="25" t="str">
        <f>"3. " &amp; data!$B$20</f>
      </c>
      <c r="G32" s="19">
        <v>34</v>
      </c>
      <c r="H32" s="15"/>
      <c r="I32" s="18"/>
    </row>
    <row r="33">
      <c r="A33" s="20"/>
      <c r="C33" s="21" t="str">
        <f>CONCATENATE("Pool O-1st ",'Pool Matches'!G148)</f>
      </c>
      <c r="G33" s="18"/>
    </row>
    <row r="34">
      <c r="A34" s="22" t="str">
        <f>data!$A$23</f>
      </c>
      <c r="D34" s="20"/>
      <c r="E34" s="19">
        <v>7</v>
      </c>
      <c r="F34" s="15"/>
      <c r="G34" s="18"/>
    </row>
    <row r="35">
      <c r="A35" s="23" t="str">
        <f>"1. " &amp; data!$B$21</f>
      </c>
      <c r="C35" s="21" t="str">
        <f>CONCATENATE("Pool N-2nd ",'Pool Matches'!G139)</f>
      </c>
      <c r="D35" s="15"/>
      <c r="E35" s="18"/>
    </row>
    <row r="36">
      <c r="A36" s="24" t="str">
        <f>"2. " &amp; data!$B$22</f>
      </c>
    </row>
    <row r="37">
      <c r="A37" s="25" t="str">
        <f>"3. " &amp; data!$B$23</f>
      </c>
    </row>
    <row r="38">
      <c r="A38" s="20"/>
    </row>
    <row r="39">
      <c r="A39" s="22" t="str">
        <f>data!$A$26</f>
      </c>
    </row>
    <row r="40">
      <c r="A40" s="23" t="str">
        <f>"1. " &amp; data!$B$24</f>
      </c>
    </row>
    <row r="41">
      <c r="A41" s="24" t="str">
        <f>"2. " &amp; data!$B$25</f>
      </c>
    </row>
    <row r="42">
      <c r="A42" s="25" t="str">
        <f>"3. " &amp; data!$B$26</f>
      </c>
    </row>
    <row r="43">
      <c r="A43"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data!$A$29</f>
      </c>
    </row>
    <row r="5">
      <c r="A5" s="23" t="str">
        <f>"1. " &amp; data!$B$27</f>
      </c>
      <c r="C5" s="21" t="str">
        <f>CONCATENATE("Pool Q-1st ",'Pool Matches'!O8)</f>
      </c>
    </row>
    <row r="6">
      <c r="A6" s="24" t="str">
        <f>"2. " &amp; data!$B$28</f>
      </c>
      <c r="D6" s="20"/>
      <c r="E6" s="19">
        <v>8</v>
      </c>
    </row>
    <row r="7">
      <c r="A7" s="25" t="str">
        <f>"3. " &amp; data!$B$29</f>
      </c>
      <c r="C7" s="21" t="str">
        <f>CONCATENATE("Pool P-2nd ",'Pool Matches'!G157)</f>
      </c>
      <c r="D7" s="15"/>
      <c r="E7" s="18"/>
      <c r="F7" s="20"/>
      <c r="G7" s="18"/>
    </row>
    <row r="8">
      <c r="A8" s="20"/>
      <c r="G8" s="19">
        <v>35</v>
      </c>
    </row>
    <row r="9">
      <c r="A9" s="22" t="str">
        <f>data!$A$32</f>
      </c>
      <c r="C9" s="21" t="str">
        <f>CONCATENATE("Pool S-1st ",'Pool Matches'!O28)</f>
      </c>
      <c r="G9" s="18"/>
      <c r="H9" s="20"/>
      <c r="I9" s="18"/>
    </row>
    <row r="10">
      <c r="A10" s="23" t="str">
        <f>"1. " &amp; data!$B$30</f>
      </c>
      <c r="D10" s="20"/>
      <c r="E10" s="19">
        <v>9</v>
      </c>
      <c r="F10" s="15"/>
      <c r="G10" s="18"/>
      <c r="I10" s="18"/>
    </row>
    <row r="11">
      <c r="A11" s="24" t="str">
        <f>"2. " &amp; data!$B$31</f>
      </c>
      <c r="C11" s="21" t="str">
        <f>CONCATENATE("Pool R-2nd ",'Pool Matches'!O19)</f>
      </c>
      <c r="D11" s="15"/>
      <c r="E11" s="18"/>
      <c r="I11" s="18"/>
    </row>
    <row r="12">
      <c r="A12" s="25" t="str">
        <f>"3. " &amp; data!$B$32</f>
      </c>
      <c r="I12" s="19">
        <v>49</v>
      </c>
    </row>
    <row r="13">
      <c r="A13" s="20"/>
      <c r="C13" s="21" t="str">
        <f>CONCATENATE("Pool U-1st ",'Pool Matches'!O48)</f>
      </c>
      <c r="I13" s="18"/>
      <c r="J13" s="20"/>
      <c r="K13" s="18"/>
    </row>
    <row r="14">
      <c r="A14" s="22" t="str">
        <f>data!$A$35</f>
      </c>
      <c r="D14" s="20"/>
      <c r="E14" s="19">
        <v>10</v>
      </c>
      <c r="I14" s="18"/>
      <c r="K14" s="18"/>
    </row>
    <row r="15">
      <c r="A15" s="23" t="str">
        <f>"1. " &amp; data!$B$33</f>
      </c>
      <c r="C15" s="21" t="str">
        <f>CONCATENATE("Pool T-2nd ",'Pool Matches'!O39)</f>
      </c>
      <c r="D15" s="15"/>
      <c r="E15" s="18"/>
      <c r="F15" s="20"/>
      <c r="G15" s="18"/>
      <c r="I15" s="18"/>
      <c r="K15" s="18"/>
    </row>
    <row r="16">
      <c r="A16" s="24" t="str">
        <f>"2. " &amp; data!$B$34</f>
      </c>
      <c r="G16" s="19">
        <v>36</v>
      </c>
      <c r="H16" s="15"/>
      <c r="I16" s="18"/>
      <c r="K16" s="18"/>
    </row>
    <row r="17">
      <c r="A17" s="25" t="str">
        <f>"3. " &amp; data!$B$35</f>
      </c>
      <c r="C17" s="21" t="str">
        <f>CONCATENATE("Pool W-1st ",'Pool Matches'!O68)</f>
      </c>
      <c r="G17" s="18"/>
      <c r="K17" s="18"/>
    </row>
    <row r="18">
      <c r="A18" s="20"/>
      <c r="D18" s="20"/>
      <c r="E18" s="19">
        <v>11</v>
      </c>
      <c r="F18" s="15"/>
      <c r="G18" s="18"/>
      <c r="K18" s="18"/>
    </row>
    <row r="19">
      <c r="A19" s="22" t="str">
        <f>data!$A$38</f>
      </c>
      <c r="C19" s="21" t="str">
        <f>CONCATENATE("Pool V-2nd ",'Pool Matches'!O59)</f>
      </c>
      <c r="D19" s="15"/>
      <c r="E19" s="18"/>
      <c r="K19" s="18"/>
    </row>
    <row r="20">
      <c r="A20" s="23" t="str">
        <f>"1. " &amp; data!$B$36</f>
      </c>
      <c r="K20" s="19">
        <v>56</v>
      </c>
    </row>
    <row r="21">
      <c r="A21" s="24" t="str">
        <f>"2. " &amp; data!$B$37</f>
      </c>
      <c r="C21" s="21" t="str">
        <f>CONCATENATE("Pool Y-1st ",'Pool Matches'!O88)</f>
      </c>
      <c r="K21" s="18"/>
    </row>
    <row r="22">
      <c r="A22" s="25" t="str">
        <f>"3. " &amp; data!$B$38</f>
      </c>
      <c r="D22" s="20"/>
      <c r="E22" s="19">
        <v>12</v>
      </c>
      <c r="K22" s="18"/>
    </row>
    <row r="23">
      <c r="A23" s="20"/>
      <c r="C23" s="21" t="str">
        <f>CONCATENATE("Pool X-2nd ",'Pool Matches'!O79)</f>
      </c>
      <c r="D23" s="15"/>
      <c r="E23" s="18"/>
      <c r="F23" s="20"/>
      <c r="G23" s="18"/>
      <c r="K23" s="18"/>
    </row>
    <row r="24">
      <c r="A24" s="22" t="str">
        <f>data!$A$41</f>
      </c>
      <c r="G24" s="19">
        <v>37</v>
      </c>
      <c r="K24" s="18"/>
    </row>
    <row r="25">
      <c r="A25" s="23" t="str">
        <f>"1. " &amp; data!$B$39</f>
      </c>
      <c r="C25" s="21" t="str">
        <f>CONCATENATE("Pool AA-1st ",'Pool Matches'!O108)</f>
      </c>
      <c r="G25" s="18"/>
      <c r="H25" s="20"/>
      <c r="I25" s="18"/>
      <c r="K25" s="18"/>
    </row>
    <row r="26">
      <c r="A26" s="24" t="str">
        <f>"2. " &amp; data!$B$40</f>
      </c>
      <c r="D26" s="20"/>
      <c r="E26" s="19">
        <v>13</v>
      </c>
      <c r="F26" s="15"/>
      <c r="G26" s="18"/>
      <c r="I26" s="18"/>
      <c r="K26" s="18"/>
    </row>
    <row r="27">
      <c r="A27" s="25" t="str">
        <f>"3. " &amp; data!$B$41</f>
      </c>
      <c r="C27" s="21" t="str">
        <f>CONCATENATE("Pool Z-2nd ",'Pool Matches'!O99)</f>
      </c>
      <c r="D27" s="15"/>
      <c r="E27" s="18"/>
      <c r="I27" s="18"/>
      <c r="K27" s="18"/>
    </row>
    <row r="28">
      <c r="A28" s="20"/>
      <c r="I28" s="19">
        <v>50</v>
      </c>
      <c r="J28" s="15"/>
      <c r="K28" s="18"/>
    </row>
    <row r="29">
      <c r="A29" s="22" t="str">
        <f>data!$A$44</f>
      </c>
      <c r="C29" s="21" t="str">
        <f>CONCATENATE("Pool CC-1st ",'Pool Matches'!O128)</f>
      </c>
      <c r="I29" s="18"/>
    </row>
    <row r="30">
      <c r="A30" s="23" t="str">
        <f>"1. " &amp; data!$B$42</f>
      </c>
      <c r="D30" s="20"/>
      <c r="E30" s="19">
        <v>14</v>
      </c>
      <c r="I30" s="18"/>
    </row>
    <row r="31">
      <c r="A31" s="24" t="str">
        <f>"2. " &amp; data!$B$43</f>
      </c>
      <c r="C31" s="21" t="str">
        <f>CONCATENATE("Pool BB-2nd ",'Pool Matches'!O119)</f>
      </c>
      <c r="D31" s="15"/>
      <c r="E31" s="18"/>
      <c r="F31" s="20"/>
      <c r="G31" s="18"/>
      <c r="I31" s="18"/>
    </row>
    <row r="32">
      <c r="A32" s="25" t="str">
        <f>"3. " &amp; data!$B$44</f>
      </c>
      <c r="G32" s="19">
        <v>38</v>
      </c>
      <c r="H32" s="15"/>
      <c r="I32" s="18"/>
    </row>
    <row r="33">
      <c r="A33" s="20"/>
      <c r="C33" s="21" t="str">
        <f>CONCATENATE("Pool EE-1st ",'Pool Matches'!O148)</f>
      </c>
      <c r="G33" s="18"/>
    </row>
    <row r="34">
      <c r="A34" s="22" t="str">
        <f>data!$A$47</f>
      </c>
      <c r="D34" s="20"/>
      <c r="E34" s="19">
        <v>15</v>
      </c>
      <c r="F34" s="15"/>
      <c r="G34" s="18"/>
    </row>
    <row r="35">
      <c r="A35" s="23" t="str">
        <f>"1. " &amp; data!$B$45</f>
      </c>
      <c r="C35" s="21" t="str">
        <f>CONCATENATE("Pool DD-2nd ",'Pool Matches'!O139)</f>
      </c>
      <c r="D35" s="15"/>
      <c r="E35" s="18"/>
    </row>
    <row r="36">
      <c r="A36" s="24" t="str">
        <f>"2. " &amp; data!$B$46</f>
      </c>
    </row>
    <row r="37">
      <c r="A37" s="25" t="str">
        <f>"3. " &amp; data!$B$47</f>
      </c>
    </row>
    <row r="38">
      <c r="A38" s="20"/>
    </row>
    <row r="39">
      <c r="A39" s="22" t="str">
        <f>data!$A$49</f>
      </c>
    </row>
    <row r="40">
      <c r="A40" s="23" t="str">
        <f>"1. " &amp; data!$B$48</f>
      </c>
    </row>
    <row r="41">
      <c r="A41" s="25" t="str">
        <f>"2. " &amp; data!$B$49</f>
      </c>
    </row>
    <row r="42">
      <c r="A42" s="20"/>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data!$A$52</f>
      </c>
    </row>
    <row r="5">
      <c r="A5" s="23" t="str">
        <f>"1. " &amp; data!$B$50</f>
      </c>
    </row>
    <row r="6">
      <c r="A6" s="24" t="str">
        <f>"2. " &amp; data!$B$51</f>
      </c>
      <c r="E6" s="21" t="str">
        <f>CONCATENATE("Pool B-1st ",'Pool Matches'!G18)</f>
      </c>
    </row>
    <row r="7">
      <c r="A7" s="25" t="str">
        <f>"3. " &amp; data!$B$52</f>
      </c>
      <c r="F7" s="20"/>
      <c r="G7" s="18"/>
    </row>
    <row r="8">
      <c r="A8" s="20"/>
      <c r="G8" s="19">
        <v>39</v>
      </c>
    </row>
    <row r="9">
      <c r="A9" s="22" t="str">
        <f>data!$A$55</f>
      </c>
      <c r="C9" s="21" t="str">
        <f>CONCATENATE("Pool A-2nd ",'Pool Matches'!G9)</f>
      </c>
      <c r="G9" s="18"/>
      <c r="H9" s="20"/>
      <c r="I9" s="18"/>
    </row>
    <row r="10">
      <c r="A10" s="23" t="str">
        <f>"1. " &amp; data!$B$53</f>
      </c>
      <c r="D10" s="20"/>
      <c r="E10" s="19">
        <v>16</v>
      </c>
      <c r="F10" s="15"/>
      <c r="G10" s="18"/>
      <c r="I10" s="18"/>
    </row>
    <row r="11">
      <c r="A11" s="24" t="str">
        <f>"2. " &amp; data!$B$54</f>
      </c>
      <c r="C11" s="21" t="str">
        <f>CONCATENATE("Pool C-2nd ",'Pool Matches'!G29)</f>
      </c>
      <c r="D11" s="15"/>
      <c r="E11" s="18"/>
      <c r="I11" s="18"/>
    </row>
    <row r="12">
      <c r="A12" s="25" t="str">
        <f>"3. " &amp; data!$B$55</f>
      </c>
      <c r="I12" s="19">
        <v>51</v>
      </c>
    </row>
    <row r="13">
      <c r="A13" s="20"/>
      <c r="C13" s="21" t="str">
        <f>CONCATENATE("Pool D-1st ",'Pool Matches'!G38)</f>
      </c>
      <c r="I13" s="18"/>
      <c r="J13" s="20"/>
      <c r="K13" s="18"/>
    </row>
    <row r="14">
      <c r="A14" s="22" t="str">
        <f>data!$A$58</f>
      </c>
      <c r="D14" s="20"/>
      <c r="E14" s="19">
        <v>17</v>
      </c>
      <c r="I14" s="18"/>
      <c r="K14" s="18"/>
    </row>
    <row r="15">
      <c r="A15" s="23" t="str">
        <f>"1. " &amp; data!$B$56</f>
      </c>
      <c r="C15" s="21" t="str">
        <f>CONCATENATE("Pool E-2nd ",'Pool Matches'!G49)</f>
      </c>
      <c r="D15" s="15"/>
      <c r="E15" s="18"/>
      <c r="F15" s="20"/>
      <c r="G15" s="18"/>
      <c r="I15" s="18"/>
      <c r="K15" s="18"/>
    </row>
    <row r="16">
      <c r="A16" s="24" t="str">
        <f>"2. " &amp; data!$B$57</f>
      </c>
      <c r="G16" s="19">
        <v>40</v>
      </c>
      <c r="H16" s="15"/>
      <c r="I16" s="18"/>
      <c r="K16" s="18"/>
    </row>
    <row r="17">
      <c r="A17" s="25" t="str">
        <f>"3. " &amp; data!$B$58</f>
      </c>
      <c r="C17" s="21" t="str">
        <f>CONCATENATE("Pool F-1st ",'Pool Matches'!G58)</f>
      </c>
      <c r="G17" s="18"/>
      <c r="K17" s="18"/>
    </row>
    <row r="18">
      <c r="A18" s="20"/>
      <c r="D18" s="20"/>
      <c r="E18" s="19">
        <v>18</v>
      </c>
      <c r="F18" s="15"/>
      <c r="G18" s="18"/>
      <c r="K18" s="18"/>
    </row>
    <row r="19">
      <c r="A19" s="22" t="str">
        <f>data!$A$61</f>
      </c>
      <c r="C19" s="21" t="str">
        <f>CONCATENATE("Pool G-2nd ",'Pool Matches'!G69)</f>
      </c>
      <c r="D19" s="15"/>
      <c r="E19" s="18"/>
      <c r="K19" s="18"/>
    </row>
    <row r="20">
      <c r="A20" s="23" t="str">
        <f>"1. " &amp; data!$B$59</f>
      </c>
      <c r="K20" s="19">
        <v>57</v>
      </c>
    </row>
    <row r="21">
      <c r="A21" s="24" t="str">
        <f>"2. " &amp; data!$B$60</f>
      </c>
      <c r="C21" s="21" t="str">
        <f>CONCATENATE("Pool H-1st ",'Pool Matches'!G78)</f>
      </c>
      <c r="K21" s="18"/>
    </row>
    <row r="22">
      <c r="A22" s="25" t="str">
        <f>"3. " &amp; data!$B$61</f>
      </c>
      <c r="D22" s="20"/>
      <c r="E22" s="19">
        <v>19</v>
      </c>
      <c r="K22" s="18"/>
    </row>
    <row r="23">
      <c r="A23" s="20"/>
      <c r="C23" s="21" t="str">
        <f>CONCATENATE("Pool I-2nd ",'Pool Matches'!G89)</f>
      </c>
      <c r="D23" s="15"/>
      <c r="E23" s="18"/>
      <c r="F23" s="20"/>
      <c r="G23" s="18"/>
      <c r="K23" s="18"/>
    </row>
    <row r="24">
      <c r="A24" s="22" t="str">
        <f>data!$A$64</f>
      </c>
      <c r="G24" s="19">
        <v>41</v>
      </c>
      <c r="K24" s="18"/>
    </row>
    <row r="25">
      <c r="A25" s="23" t="str">
        <f>"1. " &amp; data!$B$62</f>
      </c>
      <c r="C25" s="21" t="str">
        <f>CONCATENATE("Pool J-1st ",'Pool Matches'!G98)</f>
      </c>
      <c r="G25" s="18"/>
      <c r="H25" s="20"/>
      <c r="I25" s="18"/>
      <c r="K25" s="18"/>
    </row>
    <row r="26">
      <c r="A26" s="24" t="str">
        <f>"2. " &amp; data!$B$63</f>
      </c>
      <c r="D26" s="20"/>
      <c r="E26" s="19">
        <v>20</v>
      </c>
      <c r="F26" s="15"/>
      <c r="G26" s="18"/>
      <c r="I26" s="18"/>
      <c r="K26" s="18"/>
    </row>
    <row r="27">
      <c r="A27" s="25" t="str">
        <f>"3. " &amp; data!$B$64</f>
      </c>
      <c r="C27" s="21" t="str">
        <f>CONCATENATE("Pool K-2nd ",'Pool Matches'!G109)</f>
      </c>
      <c r="D27" s="15"/>
      <c r="E27" s="18"/>
      <c r="I27" s="18"/>
      <c r="K27" s="18"/>
    </row>
    <row r="28">
      <c r="A28" s="20"/>
      <c r="I28" s="19">
        <v>52</v>
      </c>
      <c r="J28" s="15"/>
      <c r="K28" s="18"/>
    </row>
    <row r="29">
      <c r="A29" s="22" t="str">
        <f>data!$A$67</f>
      </c>
      <c r="C29" s="21" t="str">
        <f>CONCATENATE("Pool L-1st ",'Pool Matches'!G118)</f>
      </c>
      <c r="I29" s="18"/>
    </row>
    <row r="30">
      <c r="A30" s="23" t="str">
        <f>"1. " &amp; data!$B$65</f>
      </c>
      <c r="D30" s="20"/>
      <c r="E30" s="19">
        <v>21</v>
      </c>
      <c r="I30" s="18"/>
    </row>
    <row r="31">
      <c r="A31" s="24" t="str">
        <f>"2. " &amp; data!$B$66</f>
      </c>
      <c r="C31" s="21" t="str">
        <f>CONCATENATE("Pool M-2nd ",'Pool Matches'!G129)</f>
      </c>
      <c r="D31" s="15"/>
      <c r="E31" s="18"/>
      <c r="F31" s="20"/>
      <c r="G31" s="18"/>
      <c r="I31" s="18"/>
    </row>
    <row r="32">
      <c r="A32" s="25" t="str">
        <f>"3. " &amp; data!$B$67</f>
      </c>
      <c r="G32" s="19">
        <v>42</v>
      </c>
      <c r="H32" s="15"/>
      <c r="I32" s="18"/>
    </row>
    <row r="33">
      <c r="A33" s="20"/>
      <c r="C33" s="21" t="str">
        <f>CONCATENATE("Pool N-1st ",'Pool Matches'!G138)</f>
      </c>
      <c r="G33" s="18"/>
    </row>
    <row r="34">
      <c r="A34" s="22" t="str">
        <f>data!$A$70</f>
      </c>
      <c r="D34" s="20"/>
      <c r="E34" s="19">
        <v>22</v>
      </c>
      <c r="F34" s="15"/>
      <c r="G34" s="18"/>
    </row>
    <row r="35">
      <c r="A35" s="23" t="str">
        <f>"1. " &amp; data!$B$68</f>
      </c>
      <c r="C35" s="21" t="str">
        <f>CONCATENATE("Pool O-2nd ",'Pool Matches'!G149)</f>
      </c>
      <c r="D35" s="15"/>
      <c r="E35" s="18"/>
    </row>
    <row r="36">
      <c r="A36" s="24" t="str">
        <f>"2. " &amp; data!$B$69</f>
      </c>
    </row>
    <row r="37">
      <c r="A37" s="25" t="str">
        <f>"3. " &amp; data!$B$70</f>
      </c>
    </row>
    <row r="38">
      <c r="A38" s="20"/>
    </row>
    <row r="39">
      <c r="A39" s="22" t="str">
        <f>data!$A$73</f>
      </c>
    </row>
    <row r="40">
      <c r="A40" s="23" t="str">
        <f>"1. " &amp; data!$B$71</f>
      </c>
    </row>
    <row r="41">
      <c r="A41" s="24" t="str">
        <f>"2. " &amp; data!$B$72</f>
      </c>
    </row>
    <row r="42">
      <c r="A42" s="25" t="str">
        <f>"3. " &amp; data!$B$73</f>
      </c>
    </row>
    <row r="43">
      <c r="A43" s="20"/>
    </row>
  </sheetData>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data!$A$76</f>
      </c>
    </row>
    <row r="5">
      <c r="A5" s="23" t="str">
        <f>"1. " &amp; data!$B$74</f>
      </c>
      <c r="C5" s="21" t="str">
        <f>CONCATENATE("Pool P-1st ",'Pool Matches'!G156)</f>
      </c>
    </row>
    <row r="6">
      <c r="A6" s="24" t="str">
        <f>"2. " &amp; data!$B$75</f>
      </c>
      <c r="D6" s="20"/>
      <c r="E6" s="19">
        <v>23</v>
      </c>
    </row>
    <row r="7">
      <c r="A7" s="25" t="str">
        <f>"3. " &amp; data!$B$76</f>
      </c>
      <c r="C7" s="21" t="str">
        <f>CONCATENATE("Pool Q-2nd ",'Pool Matches'!O9)</f>
      </c>
      <c r="D7" s="15"/>
      <c r="E7" s="18"/>
      <c r="F7" s="20"/>
      <c r="G7" s="18"/>
    </row>
    <row r="8">
      <c r="A8" s="20"/>
      <c r="G8" s="19">
        <v>43</v>
      </c>
    </row>
    <row r="9">
      <c r="A9" s="22" t="str">
        <f>data!$A$79</f>
      </c>
      <c r="C9" s="21" t="str">
        <f>CONCATENATE("Pool R-1st ",'Pool Matches'!O18)</f>
      </c>
      <c r="G9" s="18"/>
      <c r="H9" s="20"/>
      <c r="I9" s="18"/>
    </row>
    <row r="10">
      <c r="A10" s="23" t="str">
        <f>"1. " &amp; data!$B$77</f>
      </c>
      <c r="D10" s="20"/>
      <c r="E10" s="19">
        <v>24</v>
      </c>
      <c r="F10" s="15"/>
      <c r="G10" s="18"/>
      <c r="I10" s="18"/>
    </row>
    <row r="11">
      <c r="A11" s="24" t="str">
        <f>"2. " &amp; data!$B$78</f>
      </c>
      <c r="C11" s="21" t="str">
        <f>CONCATENATE("Pool S-2nd ",'Pool Matches'!O29)</f>
      </c>
      <c r="D11" s="15"/>
      <c r="E11" s="18"/>
      <c r="I11" s="18"/>
    </row>
    <row r="12">
      <c r="A12" s="25" t="str">
        <f>"3. " &amp; data!$B$79</f>
      </c>
      <c r="I12" s="19">
        <v>53</v>
      </c>
    </row>
    <row r="13">
      <c r="A13" s="20"/>
      <c r="C13" s="21" t="str">
        <f>CONCATENATE("Pool T-1st ",'Pool Matches'!O38)</f>
      </c>
      <c r="I13" s="18"/>
      <c r="J13" s="20"/>
      <c r="K13" s="18"/>
    </row>
    <row r="14">
      <c r="A14" s="22" t="str">
        <f>data!$A$82</f>
      </c>
      <c r="D14" s="20"/>
      <c r="E14" s="19">
        <v>25</v>
      </c>
      <c r="I14" s="18"/>
      <c r="K14" s="18"/>
    </row>
    <row r="15">
      <c r="A15" s="23" t="str">
        <f>"1. " &amp; data!$B$80</f>
      </c>
      <c r="C15" s="21" t="str">
        <f>CONCATENATE("Pool U-2nd ",'Pool Matches'!O49)</f>
      </c>
      <c r="D15" s="15"/>
      <c r="E15" s="18"/>
      <c r="F15" s="20"/>
      <c r="G15" s="18"/>
      <c r="I15" s="18"/>
      <c r="K15" s="18"/>
    </row>
    <row r="16">
      <c r="A16" s="24" t="str">
        <f>"2. " &amp; data!$B$81</f>
      </c>
      <c r="G16" s="19">
        <v>44</v>
      </c>
      <c r="H16" s="15"/>
      <c r="I16" s="18"/>
      <c r="K16" s="18"/>
    </row>
    <row r="17">
      <c r="A17" s="25" t="str">
        <f>"3. " &amp; data!$B$82</f>
      </c>
      <c r="C17" s="21" t="str">
        <f>CONCATENATE("Pool V-1st ",'Pool Matches'!O58)</f>
      </c>
      <c r="G17" s="18"/>
      <c r="K17" s="18"/>
    </row>
    <row r="18">
      <c r="A18" s="20"/>
      <c r="D18" s="20"/>
      <c r="E18" s="19">
        <v>26</v>
      </c>
      <c r="F18" s="15"/>
      <c r="G18" s="18"/>
      <c r="K18" s="18"/>
    </row>
    <row r="19">
      <c r="A19" s="22" t="str">
        <f>data!$A$85</f>
      </c>
      <c r="C19" s="21" t="str">
        <f>CONCATENATE("Pool W-2nd ",'Pool Matches'!O69)</f>
      </c>
      <c r="D19" s="15"/>
      <c r="E19" s="18"/>
      <c r="K19" s="18"/>
    </row>
    <row r="20">
      <c r="A20" s="23" t="str">
        <f>"1. " &amp; data!$B$83</f>
      </c>
      <c r="K20" s="19">
        <v>58</v>
      </c>
    </row>
    <row r="21">
      <c r="A21" s="24" t="str">
        <f>"2. " &amp; data!$B$84</f>
      </c>
      <c r="C21" s="21" t="str">
        <f>CONCATENATE("Pool X-1st ",'Pool Matches'!O78)</f>
      </c>
      <c r="K21" s="18"/>
    </row>
    <row r="22">
      <c r="A22" s="25" t="str">
        <f>"3. " &amp; data!$B$85</f>
      </c>
      <c r="D22" s="20"/>
      <c r="E22" s="19">
        <v>27</v>
      </c>
      <c r="K22" s="18"/>
    </row>
    <row r="23">
      <c r="A23" s="20"/>
      <c r="C23" s="21" t="str">
        <f>CONCATENATE("Pool Y-2nd ",'Pool Matches'!O89)</f>
      </c>
      <c r="D23" s="15"/>
      <c r="E23" s="18"/>
      <c r="F23" s="20"/>
      <c r="G23" s="18"/>
      <c r="K23" s="18"/>
    </row>
    <row r="24">
      <c r="A24" s="22" t="str">
        <f>data!$A$88</f>
      </c>
      <c r="G24" s="19">
        <v>45</v>
      </c>
      <c r="K24" s="18"/>
    </row>
    <row r="25">
      <c r="A25" s="23" t="str">
        <f>"1. " &amp; data!$B$86</f>
      </c>
      <c r="C25" s="21" t="str">
        <f>CONCATENATE("Pool Z-1st ",'Pool Matches'!O98)</f>
      </c>
      <c r="G25" s="18"/>
      <c r="H25" s="20"/>
      <c r="I25" s="18"/>
      <c r="K25" s="18"/>
    </row>
    <row r="26">
      <c r="A26" s="24" t="str">
        <f>"2. " &amp; data!$B$87</f>
      </c>
      <c r="D26" s="20"/>
      <c r="E26" s="19">
        <v>28</v>
      </c>
      <c r="F26" s="15"/>
      <c r="G26" s="18"/>
      <c r="I26" s="18"/>
      <c r="K26" s="18"/>
    </row>
    <row r="27">
      <c r="A27" s="25" t="str">
        <f>"3. " &amp; data!$B$88</f>
      </c>
      <c r="C27" s="21" t="str">
        <f>CONCATENATE("Pool AA-2nd ",'Pool Matches'!O109)</f>
      </c>
      <c r="D27" s="15"/>
      <c r="E27" s="18"/>
      <c r="I27" s="18"/>
      <c r="K27" s="18"/>
    </row>
    <row r="28">
      <c r="A28" s="20"/>
      <c r="I28" s="19">
        <v>54</v>
      </c>
      <c r="J28" s="15"/>
      <c r="K28" s="18"/>
    </row>
    <row r="29">
      <c r="A29" s="22" t="str">
        <f>data!$A$91</f>
      </c>
      <c r="C29" s="21" t="str">
        <f>CONCATENATE("Pool BB-1st ",'Pool Matches'!O118)</f>
      </c>
      <c r="I29" s="18"/>
    </row>
    <row r="30">
      <c r="A30" s="23" t="str">
        <f>"1. " &amp; data!$B$89</f>
      </c>
      <c r="D30" s="20"/>
      <c r="E30" s="19">
        <v>29</v>
      </c>
      <c r="I30" s="18"/>
    </row>
    <row r="31">
      <c r="A31" s="24" t="str">
        <f>"2. " &amp; data!$B$90</f>
      </c>
      <c r="C31" s="21" t="str">
        <f>CONCATENATE("Pool CC-2nd ",'Pool Matches'!O129)</f>
      </c>
      <c r="D31" s="15"/>
      <c r="E31" s="18"/>
      <c r="F31" s="20"/>
      <c r="G31" s="18"/>
      <c r="I31" s="18"/>
    </row>
    <row r="32">
      <c r="A32" s="25" t="str">
        <f>"3. " &amp; data!$B$91</f>
      </c>
      <c r="G32" s="19">
        <v>46</v>
      </c>
      <c r="H32" s="15"/>
      <c r="I32" s="18"/>
    </row>
    <row r="33">
      <c r="A33" s="20"/>
      <c r="C33" s="21" t="str">
        <f>CONCATENATE("Pool DD-1st ",'Pool Matches'!O138)</f>
      </c>
      <c r="G33" s="18"/>
    </row>
    <row r="34">
      <c r="A34" s="22" t="str">
        <f>data!$A$93</f>
      </c>
      <c r="D34" s="20"/>
      <c r="E34" s="19">
        <v>30</v>
      </c>
      <c r="F34" s="15"/>
      <c r="G34" s="18"/>
    </row>
    <row r="35">
      <c r="A35" s="23" t="str">
        <f>"1. " &amp; data!$B$92</f>
      </c>
      <c r="C35" s="21" t="str">
        <f>CONCATENATE("Pool EE-2nd ",'Pool Matches'!O149)</f>
      </c>
      <c r="D35" s="15"/>
      <c r="E35" s="18"/>
    </row>
    <row r="36">
      <c r="A36" s="25" t="str">
        <f>"2. " &amp; data!$B$93</f>
      </c>
    </row>
    <row r="37">
      <c r="A37" s="20"/>
    </row>
  </sheetData>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28" t="s">
        <v>245</v>
      </c>
    </row>
    <row r="2" ht="390" customHeight="true">
      <c r="A2" s="28" t="s">
        <v>245</v>
      </c>
    </row>
    <row r="3" ht="390" customHeight="true">
      <c r="A3" s="28" t="s">
        <v>246</v>
      </c>
    </row>
    <row r="4" ht="390" customHeight="true">
      <c r="A4" s="28" t="s">
        <v>246</v>
      </c>
    </row>
    <row r="5" ht="390" customHeight="true">
      <c r="A5" s="28" t="s">
        <v>247</v>
      </c>
    </row>
    <row r="6" ht="390" customHeight="true">
      <c r="A6" s="28" t="s">
        <v>247</v>
      </c>
    </row>
    <row r="7" ht="390" customHeight="true">
      <c r="A7" s="28" t="s">
        <v>248</v>
      </c>
    </row>
    <row r="8" ht="390" customHeight="true">
      <c r="A8" s="28" t="s">
        <v>248</v>
      </c>
    </row>
    <row r="9" ht="390" customHeight="true">
      <c r="A9" s="28" t="s">
        <v>249</v>
      </c>
    </row>
    <row r="10" ht="390" customHeight="true">
      <c r="A10" s="28" t="s">
        <v>249</v>
      </c>
    </row>
    <row r="11" ht="390" customHeight="true">
      <c r="A11" s="28" t="s">
        <v>250</v>
      </c>
    </row>
    <row r="12" ht="390" customHeight="true">
      <c r="A12" s="28" t="s">
        <v>250</v>
      </c>
    </row>
    <row r="13" ht="390" customHeight="true">
      <c r="A13" s="28" t="s">
        <v>251</v>
      </c>
    </row>
    <row r="14" ht="390" customHeight="true">
      <c r="A14" s="28" t="s">
        <v>251</v>
      </c>
    </row>
    <row r="15" ht="390" customHeight="true">
      <c r="A15" s="28" t="s">
        <v>252</v>
      </c>
    </row>
    <row r="16" ht="390" customHeight="true">
      <c r="A16" s="28" t="s">
        <v>252</v>
      </c>
    </row>
    <row r="17" ht="390" customHeight="true">
      <c r="A17" s="28" t="s">
        <v>253</v>
      </c>
    </row>
    <row r="18" ht="390" customHeight="true">
      <c r="A18" s="28" t="s">
        <v>253</v>
      </c>
    </row>
    <row r="19" ht="390" customHeight="true">
      <c r="A19" s="28" t="s">
        <v>254</v>
      </c>
    </row>
    <row r="20" ht="390" customHeight="true">
      <c r="A20" s="28" t="s">
        <v>254</v>
      </c>
    </row>
    <row r="21" ht="390" customHeight="true">
      <c r="A21" s="28" t="s">
        <v>255</v>
      </c>
    </row>
    <row r="22" ht="390" customHeight="true">
      <c r="A22" s="28" t="s">
        <v>255</v>
      </c>
    </row>
    <row r="23" ht="390" customHeight="true">
      <c r="A23" s="28" t="s">
        <v>256</v>
      </c>
    </row>
    <row r="24" ht="390" customHeight="true">
      <c r="A24" s="28" t="s">
        <v>256</v>
      </c>
    </row>
    <row r="25" ht="390" customHeight="true">
      <c r="A25" s="28" t="s">
        <v>257</v>
      </c>
    </row>
    <row r="26" ht="390" customHeight="true">
      <c r="A26" s="28" t="s">
        <v>257</v>
      </c>
    </row>
    <row r="27" ht="390" customHeight="true">
      <c r="A27" s="28" t="s">
        <v>258</v>
      </c>
    </row>
    <row r="28" ht="390" customHeight="true">
      <c r="A28" s="28" t="s">
        <v>258</v>
      </c>
    </row>
    <row r="29" ht="390" customHeight="true">
      <c r="A29" s="28" t="s">
        <v>259</v>
      </c>
    </row>
    <row r="30" ht="390" customHeight="true">
      <c r="A30" s="28" t="s">
        <v>259</v>
      </c>
    </row>
    <row r="31" ht="390" customHeight="true">
      <c r="A31" s="28" t="s">
        <v>260</v>
      </c>
    </row>
    <row r="32" ht="390" customHeight="true">
      <c r="A32" s="28" t="s">
        <v>260</v>
      </c>
    </row>
    <row r="33" ht="390" customHeight="true">
      <c r="A33" s="28" t="s">
        <v>261</v>
      </c>
    </row>
    <row r="34" ht="390" customHeight="true">
      <c r="A34" s="28" t="s">
        <v>261</v>
      </c>
    </row>
    <row r="35" ht="390" customHeight="true">
      <c r="A35" s="28" t="s">
        <v>262</v>
      </c>
    </row>
    <row r="36" ht="390" customHeight="true">
      <c r="A36" s="28" t="s">
        <v>262</v>
      </c>
    </row>
    <row r="37" ht="390" customHeight="true">
      <c r="A37" s="28" t="s">
        <v>263</v>
      </c>
    </row>
    <row r="38" ht="390" customHeight="true">
      <c r="A38" s="28" t="s">
        <v>263</v>
      </c>
    </row>
    <row r="39" ht="390" customHeight="true">
      <c r="A39" s="28" t="s">
        <v>264</v>
      </c>
    </row>
    <row r="40" ht="390" customHeight="true">
      <c r="A40" s="28" t="s">
        <v>264</v>
      </c>
    </row>
    <row r="41" ht="390" customHeight="true">
      <c r="A41" s="28" t="s">
        <v>265</v>
      </c>
    </row>
    <row r="42" ht="390" customHeight="true">
      <c r="A42" s="28" t="s">
        <v>265</v>
      </c>
    </row>
    <row r="43" ht="390" customHeight="true">
      <c r="A43" s="28" t="s">
        <v>266</v>
      </c>
    </row>
    <row r="44" ht="390" customHeight="true">
      <c r="A44" s="28" t="s">
        <v>266</v>
      </c>
    </row>
    <row r="45" ht="390" customHeight="true">
      <c r="A45" s="28" t="s">
        <v>267</v>
      </c>
    </row>
    <row r="46" ht="390" customHeight="true">
      <c r="A46" s="28" t="s">
        <v>267</v>
      </c>
    </row>
    <row r="47" ht="390" customHeight="true">
      <c r="A47" s="28" t="s">
        <v>268</v>
      </c>
    </row>
    <row r="48" ht="390" customHeight="true">
      <c r="A48" s="28" t="s">
        <v>268</v>
      </c>
    </row>
    <row r="49" ht="390" customHeight="true">
      <c r="A49" s="28" t="s">
        <v>269</v>
      </c>
    </row>
    <row r="50" ht="390" customHeight="true">
      <c r="A50" s="28" t="s">
        <v>269</v>
      </c>
    </row>
    <row r="51" ht="390" customHeight="true">
      <c r="A51" s="28" t="s">
        <v>270</v>
      </c>
    </row>
    <row r="52" ht="390" customHeight="true">
      <c r="A52" s="28" t="s">
        <v>270</v>
      </c>
    </row>
    <row r="53" ht="390" customHeight="true">
      <c r="A53" s="28" t="s">
        <v>271</v>
      </c>
    </row>
    <row r="54" ht="390" customHeight="true">
      <c r="A54" s="28" t="s">
        <v>271</v>
      </c>
    </row>
    <row r="55" ht="390" customHeight="true">
      <c r="A55" s="28" t="s">
        <v>272</v>
      </c>
    </row>
    <row r="56" ht="390" customHeight="true">
      <c r="A56" s="28" t="s">
        <v>272</v>
      </c>
    </row>
    <row r="57" ht="390" customHeight="true">
      <c r="A57" s="28" t="s">
        <v>273</v>
      </c>
    </row>
    <row r="58" ht="390" customHeight="true">
      <c r="A58" s="28" t="s">
        <v>273</v>
      </c>
    </row>
    <row r="59" ht="390" customHeight="true">
      <c r="A59" s="28" t="s">
        <v>274</v>
      </c>
    </row>
    <row r="60" ht="390" customHeight="true">
      <c r="A60" s="28" t="s">
        <v>274</v>
      </c>
    </row>
    <row r="61" ht="390" customHeight="true">
      <c r="A61" s="28" t="s">
        <v>275</v>
      </c>
    </row>
    <row r="62" ht="390" customHeight="true">
      <c r="A62" s="28" t="s">
        <v>275</v>
      </c>
    </row>
    <row r="63" ht="390" customHeight="true">
      <c r="A63" s="28" t="s">
        <v>276</v>
      </c>
    </row>
    <row r="64" ht="390" customHeight="true">
      <c r="A64" s="28" t="s">
        <v>276</v>
      </c>
    </row>
    <row r="65" ht="390" customHeight="true">
      <c r="A65" s="28" t="s">
        <v>277</v>
      </c>
    </row>
    <row r="66" ht="390" customHeight="true">
      <c r="A66" s="28" t="s">
        <v>277</v>
      </c>
    </row>
    <row r="67" ht="390" customHeight="true">
      <c r="A67" s="28" t="s">
        <v>278</v>
      </c>
    </row>
    <row r="68" ht="390" customHeight="true">
      <c r="A68" s="28" t="s">
        <v>278</v>
      </c>
    </row>
    <row r="69" ht="390" customHeight="true">
      <c r="A69" s="28" t="s">
        <v>279</v>
      </c>
    </row>
    <row r="70" ht="390" customHeight="true">
      <c r="A70" s="28" t="s">
        <v>279</v>
      </c>
    </row>
    <row r="71" ht="390" customHeight="true">
      <c r="A71" s="28" t="s">
        <v>280</v>
      </c>
    </row>
    <row r="72" ht="390" customHeight="true">
      <c r="A72" s="28" t="s">
        <v>280</v>
      </c>
    </row>
    <row r="73" ht="390" customHeight="true">
      <c r="A73" s="28" t="s">
        <v>281</v>
      </c>
    </row>
    <row r="74" ht="390" customHeight="true">
      <c r="A74" s="28" t="s">
        <v>281</v>
      </c>
    </row>
    <row r="75" ht="390" customHeight="true">
      <c r="A75" s="28" t="s">
        <v>282</v>
      </c>
    </row>
    <row r="76" ht="390" customHeight="true">
      <c r="A76" s="28" t="s">
        <v>282</v>
      </c>
    </row>
    <row r="77" ht="390" customHeight="true">
      <c r="A77" s="28" t="s">
        <v>283</v>
      </c>
    </row>
    <row r="78" ht="390" customHeight="true">
      <c r="A78" s="28" t="s">
        <v>283</v>
      </c>
    </row>
    <row r="79" ht="390" customHeight="true">
      <c r="A79" s="28" t="s">
        <v>284</v>
      </c>
    </row>
    <row r="80" ht="390" customHeight="true">
      <c r="A80" s="28" t="s">
        <v>284</v>
      </c>
    </row>
    <row r="81" ht="390" customHeight="true">
      <c r="A81" s="28" t="s">
        <v>285</v>
      </c>
    </row>
    <row r="82" ht="390" customHeight="true">
      <c r="A82" s="28" t="s">
        <v>285</v>
      </c>
    </row>
    <row r="83" ht="390" customHeight="true">
      <c r="A83" s="28" t="s">
        <v>286</v>
      </c>
    </row>
    <row r="84" ht="390" customHeight="true">
      <c r="A84" s="28" t="s">
        <v>286</v>
      </c>
    </row>
    <row r="85" ht="390" customHeight="true">
      <c r="A85" s="28" t="s">
        <v>287</v>
      </c>
    </row>
    <row r="86" ht="390" customHeight="true">
      <c r="A86" s="28" t="s">
        <v>287</v>
      </c>
    </row>
    <row r="87" ht="390" customHeight="true">
      <c r="A87" s="28" t="s">
        <v>288</v>
      </c>
    </row>
    <row r="88" ht="390" customHeight="true">
      <c r="A88" s="28" t="s">
        <v>288</v>
      </c>
    </row>
    <row r="89" ht="390" customHeight="true">
      <c r="A89" s="28" t="s">
        <v>289</v>
      </c>
    </row>
    <row r="90" ht="390" customHeight="true">
      <c r="A90" s="28" t="s">
        <v>289</v>
      </c>
    </row>
    <row r="91" ht="390" customHeight="true">
      <c r="A91" s="28" t="s">
        <v>290</v>
      </c>
    </row>
    <row r="92" ht="390" customHeight="true">
      <c r="A92" s="28" t="s">
        <v>290</v>
      </c>
    </row>
    <row r="93" ht="390" customHeight="true">
      <c r="A93" s="28" t="s">
        <v>291</v>
      </c>
    </row>
    <row r="94" ht="390" customHeight="true">
      <c r="A94" s="28" t="s">
        <v>291</v>
      </c>
    </row>
    <row r="95" ht="390" customHeight="true">
      <c r="A95" s="28" t="s">
        <v>292</v>
      </c>
    </row>
    <row r="96" ht="390" customHeight="true">
      <c r="A96" s="28" t="s">
        <v>292</v>
      </c>
    </row>
    <row r="97" ht="390" customHeight="true">
      <c r="A97" s="28" t="s">
        <v>293</v>
      </c>
    </row>
    <row r="98" ht="390" customHeight="true">
      <c r="A98" s="28" t="s">
        <v>293</v>
      </c>
    </row>
    <row r="99" ht="390" customHeight="true">
      <c r="A99" s="28" t="s">
        <v>294</v>
      </c>
    </row>
    <row r="100" ht="390" customHeight="true">
      <c r="A100" s="28" t="s">
        <v>294</v>
      </c>
    </row>
    <row r="101" ht="390" customHeight="true">
      <c r="A101" s="28" t="s">
        <v>295</v>
      </c>
    </row>
    <row r="102" ht="390" customHeight="true">
      <c r="A102" s="28" t="s">
        <v>295</v>
      </c>
    </row>
    <row r="103" ht="390" customHeight="true">
      <c r="A103" s="28" t="s">
        <v>296</v>
      </c>
    </row>
    <row r="104" ht="390" customHeight="true">
      <c r="A104" s="28" t="s">
        <v>296</v>
      </c>
    </row>
    <row r="105" ht="390" customHeight="true">
      <c r="A105" s="28" t="s">
        <v>297</v>
      </c>
    </row>
    <row r="106" ht="390" customHeight="true">
      <c r="A106" s="28" t="s">
        <v>297</v>
      </c>
    </row>
    <row r="107" ht="390" customHeight="true">
      <c r="A107" s="28" t="s">
        <v>298</v>
      </c>
    </row>
    <row r="108" ht="390" customHeight="true">
      <c r="A108" s="28" t="s">
        <v>298</v>
      </c>
    </row>
    <row r="109" ht="390" customHeight="true">
      <c r="A109" s="28" t="s">
        <v>299</v>
      </c>
    </row>
    <row r="110" ht="390" customHeight="true">
      <c r="A110" s="28" t="s">
        <v>299</v>
      </c>
    </row>
    <row r="111" ht="390" customHeight="true">
      <c r="A111" s="28" t="s">
        <v>300</v>
      </c>
    </row>
    <row r="112" ht="390" customHeight="true">
      <c r="A112" s="28" t="s">
        <v>300</v>
      </c>
    </row>
    <row r="113" ht="390" customHeight="true">
      <c r="A113" s="28" t="s">
        <v>301</v>
      </c>
    </row>
    <row r="114" ht="390" customHeight="true">
      <c r="A114" s="28" t="s">
        <v>301</v>
      </c>
    </row>
    <row r="115" ht="390" customHeight="true">
      <c r="A115" s="28" t="s">
        <v>302</v>
      </c>
    </row>
    <row r="116" ht="390" customHeight="true">
      <c r="A116" s="28" t="s">
        <v>302</v>
      </c>
    </row>
    <row r="117" ht="390" customHeight="true">
      <c r="A117" s="28" t="s">
        <v>303</v>
      </c>
    </row>
    <row r="118" ht="390" customHeight="true">
      <c r="A118" s="28" t="s">
        <v>303</v>
      </c>
    </row>
    <row r="119" ht="390" customHeight="true">
      <c r="A119" s="28" t="s">
        <v>304</v>
      </c>
    </row>
    <row r="120" ht="390" customHeight="true">
      <c r="A120" s="28" t="s">
        <v>304</v>
      </c>
    </row>
    <row r="121" ht="390" customHeight="true">
      <c r="A121" s="28" t="s">
        <v>305</v>
      </c>
    </row>
    <row r="122" ht="390" customHeight="true">
      <c r="A122" s="28" t="s">
        <v>305</v>
      </c>
    </row>
    <row r="123" ht="390" customHeight="true">
      <c r="A123" s="28" t="s">
        <v>306</v>
      </c>
    </row>
    <row r="124" ht="390" customHeight="true">
      <c r="A124" s="28" t="s">
        <v>306</v>
      </c>
    </row>
    <row r="125" ht="390" customHeight="true">
      <c r="A125" s="28" t="s">
        <v>307</v>
      </c>
    </row>
    <row r="126" ht="390" customHeight="true">
      <c r="A126" s="28" t="s">
        <v>307</v>
      </c>
    </row>
    <row r="127" ht="390" customHeight="true">
      <c r="A127" s="28" t="s">
        <v>308</v>
      </c>
    </row>
    <row r="128" ht="390" customHeight="true">
      <c r="A128" s="28" t="s">
        <v>308</v>
      </c>
    </row>
    <row r="129" ht="390" customHeight="true">
      <c r="A129" s="28" t="s">
        <v>309</v>
      </c>
    </row>
    <row r="130" ht="390" customHeight="true">
      <c r="A130" s="28" t="s">
        <v>309</v>
      </c>
    </row>
    <row r="131" ht="390" customHeight="true">
      <c r="A131" s="28" t="s">
        <v>310</v>
      </c>
    </row>
    <row r="132" ht="390" customHeight="true">
      <c r="A132" s="28" t="s">
        <v>310</v>
      </c>
    </row>
    <row r="133" ht="390" customHeight="true">
      <c r="A133" s="28" t="s">
        <v>311</v>
      </c>
    </row>
    <row r="134" ht="390" customHeight="true">
      <c r="A134" s="28" t="s">
        <v>311</v>
      </c>
    </row>
    <row r="135" ht="390" customHeight="true">
      <c r="A135" s="28" t="s">
        <v>312</v>
      </c>
    </row>
    <row r="136" ht="390" customHeight="true">
      <c r="A136" s="28" t="s">
        <v>312</v>
      </c>
    </row>
    <row r="137" ht="390" customHeight="true">
      <c r="A137" s="28" t="s">
        <v>313</v>
      </c>
    </row>
    <row r="138" ht="390" customHeight="true">
      <c r="A138" s="28" t="s">
        <v>313</v>
      </c>
    </row>
    <row r="139" ht="390" customHeight="true">
      <c r="A139" s="28" t="s">
        <v>314</v>
      </c>
    </row>
    <row r="140" ht="390" customHeight="true">
      <c r="A140" s="28" t="s">
        <v>314</v>
      </c>
    </row>
    <row r="141" ht="390" customHeight="true">
      <c r="A141" s="28" t="s">
        <v>315</v>
      </c>
    </row>
    <row r="142" ht="390" customHeight="true">
      <c r="A142" s="28" t="s">
        <v>315</v>
      </c>
    </row>
    <row r="143" ht="390" customHeight="true">
      <c r="A143" s="28" t="s">
        <v>316</v>
      </c>
    </row>
    <row r="144" ht="390" customHeight="true">
      <c r="A144" s="28" t="s">
        <v>316</v>
      </c>
    </row>
    <row r="145" ht="390" customHeight="true">
      <c r="A145" s="28" t="s">
        <v>317</v>
      </c>
    </row>
    <row r="146" ht="390" customHeight="true">
      <c r="A146" s="28" t="s">
        <v>317</v>
      </c>
    </row>
    <row r="147" ht="390" customHeight="true">
      <c r="A147" s="28" t="s">
        <v>318</v>
      </c>
    </row>
    <row r="148" ht="390" customHeight="true">
      <c r="A148" s="28" t="s">
        <v>318</v>
      </c>
    </row>
    <row r="149" ht="390" customHeight="true">
      <c r="A149" s="28" t="s">
        <v>319</v>
      </c>
    </row>
    <row r="150" ht="390" customHeight="true">
      <c r="A150" s="28" t="s">
        <v>319</v>
      </c>
    </row>
    <row r="151" ht="390" customHeight="true">
      <c r="A151" s="28" t="s">
        <v>320</v>
      </c>
    </row>
    <row r="152" ht="390" customHeight="true">
      <c r="A152" s="28" t="s">
        <v>320</v>
      </c>
    </row>
    <row r="153" ht="390" customHeight="true">
      <c r="A153" s="28" t="s">
        <v>321</v>
      </c>
    </row>
    <row r="154" ht="390" customHeight="true">
      <c r="A154" s="28" t="s">
        <v>321</v>
      </c>
    </row>
    <row r="155" ht="390" customHeight="true">
      <c r="A155" s="28" t="s">
        <v>322</v>
      </c>
    </row>
    <row r="156" ht="390" customHeight="true">
      <c r="A156" s="28" t="s">
        <v>322</v>
      </c>
    </row>
    <row r="157" ht="390" customHeight="true">
      <c r="A157" s="28" t="s">
        <v>323</v>
      </c>
    </row>
    <row r="158" ht="390" customHeight="true">
      <c r="A158" s="28" t="s">
        <v>323</v>
      </c>
    </row>
    <row r="159" ht="390" customHeight="true">
      <c r="A159" s="28" t="s">
        <v>324</v>
      </c>
    </row>
    <row r="160" ht="390" customHeight="true">
      <c r="A160" s="28" t="s">
        <v>324</v>
      </c>
    </row>
    <row r="161" ht="390" customHeight="true">
      <c r="A161" s="28" t="s">
        <v>325</v>
      </c>
    </row>
    <row r="162" ht="390" customHeight="true">
      <c r="A162" s="28" t="s">
        <v>325</v>
      </c>
    </row>
    <row r="163" ht="390" customHeight="true">
      <c r="A163" s="28" t="s">
        <v>326</v>
      </c>
    </row>
    <row r="164" ht="390" customHeight="true">
      <c r="A164" s="28" t="s">
        <v>326</v>
      </c>
    </row>
    <row r="165" ht="390" customHeight="true">
      <c r="A165" s="28" t="s">
        <v>327</v>
      </c>
    </row>
    <row r="166" ht="390" customHeight="true">
      <c r="A166" s="28" t="s">
        <v>327</v>
      </c>
    </row>
    <row r="167" ht="390" customHeight="true">
      <c r="A167" s="28" t="s">
        <v>328</v>
      </c>
    </row>
    <row r="168" ht="390" customHeight="true">
      <c r="A168" s="28" t="s">
        <v>328</v>
      </c>
    </row>
    <row r="169" ht="390" customHeight="true">
      <c r="A169" s="28" t="s">
        <v>329</v>
      </c>
    </row>
    <row r="170" ht="390" customHeight="true">
      <c r="A170" s="28" t="s">
        <v>329</v>
      </c>
    </row>
    <row r="171" ht="390" customHeight="true">
      <c r="A171" s="28" t="s">
        <v>330</v>
      </c>
    </row>
    <row r="172" ht="390" customHeight="true">
      <c r="A172" s="28" t="s">
        <v>330</v>
      </c>
    </row>
    <row r="173" ht="390" customHeight="true">
      <c r="A173" s="28" t="s">
        <v>331</v>
      </c>
    </row>
    <row r="174" ht="390" customHeight="true">
      <c r="A174" s="28" t="s">
        <v>331</v>
      </c>
    </row>
    <row r="175" ht="390" customHeight="true">
      <c r="A175" s="28" t="s">
        <v>332</v>
      </c>
    </row>
    <row r="176" ht="390" customHeight="true">
      <c r="A176" s="28" t="s">
        <v>332</v>
      </c>
    </row>
    <row r="177" ht="390" customHeight="true">
      <c r="A177" s="28" t="s">
        <v>333</v>
      </c>
    </row>
    <row r="178" ht="390" customHeight="true">
      <c r="A178" s="28" t="s">
        <v>333</v>
      </c>
    </row>
    <row r="179" ht="390" customHeight="true">
      <c r="A179" s="28" t="s">
        <v>334</v>
      </c>
    </row>
    <row r="180" ht="390" customHeight="true">
      <c r="A180" s="28" t="s">
        <v>334</v>
      </c>
    </row>
    <row r="181" ht="390" customHeight="true">
      <c r="A181" s="28" t="s">
        <v>335</v>
      </c>
    </row>
    <row r="182" ht="390" customHeight="true">
      <c r="A182" s="28" t="s">
        <v>335</v>
      </c>
    </row>
  </sheetData>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