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Matches'!$A$1:$H$33</definedName>
    <definedName localSheetId="5" name="_xlnm.Print_Area">'Tree 1'!$A$1:$E$13</definedName>
    <definedName localSheetId="6" name="_xlnm.Print_Area">'Names to Print A'!$A$1:$B$8</definedName>
    <definedName localSheetId="7" name="_xlnm.Print_Area">'Tags'!$A$1:$A$16</definedName>
    <definedName localSheetId="4" name="_xlnm.Print_Area">'Elimination Matches'!$A$1:$H$14</definedName>
  </definedNames>
  <calcPr calcId="122211"/>
</workbook>
</file>

<file path=xl/sharedStrings.xml><?xml version="1.0" encoding="utf-8"?>
<sst xmlns="http://schemas.openxmlformats.org/spreadsheetml/2006/main" count="69" uniqueCount="69">
  <si>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</si>
  <si>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</si>
  <si>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</si>
  <si>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</si>
  <si>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</si>
  <si>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</si>
  <si>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</si>
  <si>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</si>
  <si>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</si>
  <si>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</si>
  <si>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</si>
  <si>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</si>
  <si>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</si>
  <si>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</si>
  <si>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</si>
  <si>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</si>
  <si>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</si>
  <si>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</si>
  <si>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</si>
  <si>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</si>
  <si>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</si>
  <si>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</si>
  <si>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</si>
  <si>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</si>
  <si>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</si>
  <si>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</si>
  <si>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</si>
  <si>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</si>
  <si>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</si>
  <si>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</si>
  <si>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</si>
  <si>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</si>
  <si>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</si>
  <si>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Team Zeta</t>
  </si>
  <si>
    <t>K6</t>
  </si>
  <si>
    <t>Quentin Allen</t>
  </si>
  <si>
    <t>Team Eta</t>
  </si>
  <si>
    <t>K7</t>
  </si>
  <si>
    <t>Robert Young</t>
  </si>
  <si>
    <t>Team Theta</t>
  </si>
  <si>
    <t>K8</t>
  </si>
  <si>
    <t>Shiaijo A</t>
  </si>
  <si>
    <t>White</t>
  </si>
  <si>
    <t>vs</t>
  </si>
  <si>
    <t>Red</t>
  </si>
  <si>
    <t>Results</t>
  </si>
  <si>
    <t>W</t>
  </si>
  <si>
    <t>L</t>
  </si>
  <si>
    <t>T</t>
  </si>
  <si>
    <t>PW</t>
  </si>
  <si>
    <t>PL</t>
  </si>
  <si>
    <t>Rank</t>
  </si>
  <si>
    <t>Ranking</t>
  </si>
  <si>
    <t>1.</t>
  </si>
  <si>
    <t>2.</t>
  </si>
  <si>
    <t>3.</t>
  </si>
  <si>
    <t>4.</t>
  </si>
  <si>
    <t>5.</t>
  </si>
  <si>
    <t>6.</t>
  </si>
  <si>
    <t>7.</t>
  </si>
  <si>
    <t>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</si>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</sst>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16</v>
      </c>
      <c r="B8" t="s">
        <v>32</v>
      </c>
      <c r="C8" t="s">
        <v>33</v>
      </c>
      <c r="D8" t="s">
        <v>34</v>
      </c>
    </row>
    <row r="9">
      <c r="A9" t="s">
        <v>16</v>
      </c>
      <c r="B9" t="s">
        <v>35</v>
      </c>
      <c r="C9" t="s">
        <v>36</v>
      </c>
      <c r="D9" t="s">
        <v>37</v>
      </c>
    </row>
    <row r="10">
      <c r="A10" t="s">
        <v>16</v>
      </c>
      <c r="B10" t="s">
        <v>38</v>
      </c>
      <c r="C10" t="s">
        <v>39</v>
      </c>
      <c r="D10"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62</v>
      </c>
      <c r="F13" s="13"/>
      <c r="G13" s="13"/>
      <c r="H13" s="13"/>
    </row>
    <row r="14">
      <c r="A14">
        <v>1</v>
      </c>
      <c r="E14" s="32" t="s">
        <v>63</v>
      </c>
      <c r="F14" s="32"/>
      <c r="G14" s="32"/>
      <c r="H14" s="31" t="str">
        <f>H2</f>
      </c>
    </row>
    <row r="15">
      <c r="E15" s="32" t="s">
        <v>64</v>
      </c>
      <c r="F15" s="32"/>
      <c r="G15" s="32"/>
      <c r="H15" s="31" t="str">
        <f>H8</f>
      </c>
    </row>
    <row r="16">
      <c r="E16" s="32" t="s">
        <v>65</v>
      </c>
      <c r="F16" s="32"/>
      <c r="G16" s="32"/>
      <c r="H16" s="31" t="str">
        <f>H14+H15</f>
      </c>
    </row>
    <row r="17">
      <c r="E17" s="32" t="s">
        <v>66</v>
      </c>
      <c r="F17" s="32"/>
      <c r="G17" s="32"/>
      <c r="H17" s="31" t="str">
        <f>H16/A14</f>
      </c>
    </row>
    <row r="18">
      <c r="E18" s="13" t="s">
        <v>67</v>
      </c>
      <c r="F18" s="13"/>
      <c r="G18" s="13"/>
      <c r="H18" s="33">
        <v>0.375</v>
      </c>
    </row>
    <row r="19">
      <c r="E19" s="13" t="s">
        <v>68</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data!$D$3&amp;" "&amp;data!$B$3</f>
      </c>
    </row>
    <row r="7" ht="17" customHeight="true">
      <c r="B7" s="12" t="str">
        <f>data!$D$4&amp;" "&amp;data!$B$4</f>
      </c>
    </row>
    <row r="8">
      <c r="B8" s="12" t="str">
        <f>data!$D$5&amp;" "&amp;data!$B$5</f>
      </c>
    </row>
    <row r="9">
      <c r="B9" s="12" t="str">
        <f>data!$D$6&amp;" "&amp;data!$B$6</f>
      </c>
    </row>
    <row r="10">
      <c r="B10" s="12" t="str">
        <f>data!$D$7&amp;" "&amp;data!$B$7</f>
      </c>
    </row>
    <row r="11">
      <c r="B11" s="12" t="str">
        <f>data!$D$8&amp;" "&amp;data!$B$8</f>
      </c>
    </row>
    <row r="12">
      <c r="B12" s="12" t="str">
        <f>data!$D$9&amp;" "&amp;data!$B$9</f>
      </c>
    </row>
    <row r="13">
      <c r="B13" s="12" t="str">
        <f>data!$D$10&amp;"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41</v>
      </c>
      <c r="B1" s="13"/>
      <c r="C1" s="13"/>
      <c r="D1" s="13"/>
      <c r="E1" s="13"/>
      <c r="F1" s="13"/>
      <c r="G1" s="13"/>
    </row>
    <row r="2">
      <c r="A2" s="13" t="str">
        <f>'data'!$A$10</f>
      </c>
      <c r="B2" s="13"/>
      <c r="C2" s="13"/>
      <c r="D2" s="13"/>
      <c r="E2" s="13"/>
      <c r="F2" s="13"/>
      <c r="G2" s="13"/>
    </row>
    <row r="3">
      <c r="A3" s="17" t="s">
        <v>42</v>
      </c>
      <c r="D3" s="14" t="s">
        <v>43</v>
      </c>
      <c r="G3" s="16" t="s">
        <v>44</v>
      </c>
    </row>
    <row r="4">
      <c r="A4" s="14" t="str">
        <f>data!$D$4&amp;" "&amp;data!$B$4</f>
      </c>
      <c r="B4" s="18"/>
      <c r="C4" s="18"/>
      <c r="D4" s="18"/>
      <c r="E4" s="18"/>
      <c r="F4" s="18"/>
      <c r="G4" s="14" t="str">
        <f>data!$D$3&amp;" "&amp;data!$B$3</f>
      </c>
    </row>
    <row r="5">
      <c r="A5" s="14" t="str">
        <f>data!$D$4&amp;" "&amp;data!$B$4</f>
      </c>
      <c r="B5" s="18"/>
      <c r="C5" s="18"/>
      <c r="D5" s="18"/>
      <c r="E5" s="18"/>
      <c r="F5" s="18"/>
      <c r="G5" s="14" t="str">
        <f>data!$D$5&amp;" "&amp;data!$B$5</f>
      </c>
    </row>
    <row r="6">
      <c r="A6" s="14" t="str">
        <f>data!$D$6&amp;" "&amp;data!$B$6</f>
      </c>
      <c r="B6" s="18"/>
      <c r="C6" s="18"/>
      <c r="D6" s="18"/>
      <c r="E6" s="18"/>
      <c r="F6" s="18"/>
      <c r="G6" s="14" t="str">
        <f>data!$D$5&amp;" "&amp;data!$B$5</f>
      </c>
    </row>
    <row r="7">
      <c r="A7" s="14" t="str">
        <f>data!$D$6&amp;" "&amp;data!$B$6</f>
      </c>
      <c r="B7" s="18"/>
      <c r="C7" s="18"/>
      <c r="D7" s="18"/>
      <c r="E7" s="18"/>
      <c r="F7" s="18"/>
      <c r="G7" s="14" t="str">
        <f>data!$D$7&amp;" "&amp;data!$B$7</f>
      </c>
    </row>
    <row r="8">
      <c r="A8" s="14" t="str">
        <f>data!$D$8&amp;" "&amp;data!$B$8</f>
      </c>
      <c r="B8" s="18"/>
      <c r="C8" s="18"/>
      <c r="D8" s="18"/>
      <c r="E8" s="18"/>
      <c r="F8" s="18"/>
      <c r="G8" s="14" t="str">
        <f>data!$D$7&amp;" "&amp;data!$B$7</f>
      </c>
    </row>
    <row r="9">
      <c r="A9" s="14" t="str">
        <f>data!$D$8&amp;" "&amp;data!$B$8</f>
      </c>
      <c r="B9" s="18"/>
      <c r="C9" s="18"/>
      <c r="D9" s="18"/>
      <c r="E9" s="18"/>
      <c r="F9" s="18"/>
      <c r="G9" s="14" t="str">
        <f>data!$D$9&amp;" "&amp;data!$B$9</f>
      </c>
    </row>
    <row r="10">
      <c r="A10" s="14" t="str">
        <f>data!$D$10&amp;" "&amp;data!$B$10</f>
      </c>
      <c r="B10" s="18"/>
      <c r="C10" s="18"/>
      <c r="D10" s="18"/>
      <c r="E10" s="18"/>
      <c r="F10" s="18"/>
      <c r="G10" s="14" t="str">
        <f>data!$D$9&amp;" "&amp;data!$B$9</f>
      </c>
    </row>
    <row r="11">
      <c r="A11" s="14" t="str">
        <f>data!$D$10&amp;" "&amp;data!$B$10</f>
      </c>
      <c r="B11" s="18"/>
      <c r="C11" s="18"/>
      <c r="D11" s="18"/>
      <c r="E11" s="18"/>
      <c r="F11" s="18"/>
      <c r="G11" s="14" t="str">
        <f>data!$D$3&amp;" "&amp;data!$B$3</f>
      </c>
    </row>
    <row r="13">
      <c r="A13" s="13" t="s">
        <v>45</v>
      </c>
      <c r="B13" s="13" t="s">
        <v>46</v>
      </c>
      <c r="C13" s="13" t="s">
        <v>47</v>
      </c>
      <c r="D13" s="13" t="s">
        <v>48</v>
      </c>
      <c r="E13" s="13" t="s">
        <v>49</v>
      </c>
      <c r="F13" s="13" t="s">
        <v>50</v>
      </c>
      <c r="G13" s="13" t="s">
        <v>51</v>
      </c>
    </row>
    <row r="14">
      <c r="A14" s="14" t="str">
        <f>data!$D$3&amp;" "&amp;data!$B$3</f>
      </c>
      <c r="B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f>
      </c>
      <c r="C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f>
      </c>
      <c r="D1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f>
      </c>
      <c r="E14" s="14" t="str">
        <f>LEN(SUBSTITUTE(SUBSTITUTE(SUBSTITUTE(E4," ",""),"0",""),"-",""))+LEN(SUBSTITUTE(SUBSTITUTE(SUBSTITUTE(F4," ",""),"0",""),"-",""))+LEN(SUBSTITUTE(SUBSTITUTE(SUBSTITUTE(E11," ",""),"0",""),"-",""))+LEN(SUBSTITUTE(SUBSTITUTE(SUBSTITUTE(F11," ",""),"0",""),"-",""))</f>
      </c>
      <c r="F14" s="14" t="str">
        <f>LEN(SUBSTITUTE(SUBSTITUTE(SUBSTITUTE(B4," ",""),"0",""),"-",""))+LEN(SUBSTITUTE(SUBSTITUTE(SUBSTITUTE(C4," ",""),"0",""),"-",""))+LEN(SUBSTITUTE(SUBSTITUTE(SUBSTITUTE(B11," ",""),"0",""),"-",""))+LEN(SUBSTITUTE(SUBSTITUTE(SUBSTITUTE(C11," ",""),"0",""),"-",""))</f>
      </c>
      <c r="G14" s="18" t="str">
        <f>RANK(U14,$U$14:$U$21)+COUNTIF($U$13:U13,U14)</f>
      </c>
      <c r="U14" t="str">
        <f>(B14*1000000)-(C14*10000)+(D14*100)+(E14*1)-(F14*0.01)</f>
      </c>
    </row>
    <row r="15">
      <c r="A15" s="14" t="str">
        <f>data!$D$4&amp;" "&amp;data!$B$4</f>
      </c>
      <c r="B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5" s="14" t="str">
        <f>LEN(SUBSTITUTE(SUBSTITUTE(SUBSTITUTE(B4," ",""),"0",""),"-",""))+LEN(SUBSTITUTE(SUBSTITUTE(SUBSTITUTE(C4," ",""),"0",""),"-",""))+LEN(SUBSTITUTE(SUBSTITUTE(SUBSTITUTE(B5," ",""),"0",""),"-",""))+LEN(SUBSTITUTE(SUBSTITUTE(SUBSTITUTE(C5," ",""),"0",""),"-",""))</f>
      </c>
      <c r="F15" s="14" t="str">
        <f>LEN(SUBSTITUTE(SUBSTITUTE(SUBSTITUTE(E4," ",""),"0",""),"-",""))+LEN(SUBSTITUTE(SUBSTITUTE(SUBSTITUTE(F4," ",""),"0",""),"-",""))+LEN(SUBSTITUTE(SUBSTITUTE(SUBSTITUTE(E5," ",""),"0",""),"-",""))+LEN(SUBSTITUTE(SUBSTITUTE(SUBSTITUTE(F5," ",""),"0",""),"-",""))</f>
      </c>
      <c r="G15" s="18" t="str">
        <f>RANK(U15,$U$14:$U$21)+COUNTIF($U$13:U14,U15)</f>
      </c>
      <c r="U15" t="str">
        <f>(B15*1000000)-(C15*10000)+(D15*100)+(E15*1)-(F15*0.01)</f>
      </c>
    </row>
    <row r="16">
      <c r="A16" s="14" t="str">
        <f>data!$D$5&amp;" "&amp;data!$B$5</f>
      </c>
      <c r="B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6" s="14" t="str">
        <f>LEN(SUBSTITUTE(SUBSTITUTE(SUBSTITUTE(E5," ",""),"0",""),"-",""))+LEN(SUBSTITUTE(SUBSTITUTE(SUBSTITUTE(F5," ",""),"0",""),"-",""))+LEN(SUBSTITUTE(SUBSTITUTE(SUBSTITUTE(E6," ",""),"0",""),"-",""))+LEN(SUBSTITUTE(SUBSTITUTE(SUBSTITUTE(F6," ",""),"0",""),"-",""))</f>
      </c>
      <c r="F16" s="14" t="str">
        <f>LEN(SUBSTITUTE(SUBSTITUTE(SUBSTITUTE(B5," ",""),"0",""),"-",""))+LEN(SUBSTITUTE(SUBSTITUTE(SUBSTITUTE(C5," ",""),"0",""),"-",""))+LEN(SUBSTITUTE(SUBSTITUTE(SUBSTITUTE(B6," ",""),"0",""),"-",""))+LEN(SUBSTITUTE(SUBSTITUTE(SUBSTITUTE(C6," ",""),"0",""),"-",""))</f>
      </c>
      <c r="G16" s="18" t="str">
        <f>RANK(U16,$U$14:$U$21)+COUNTIF($U$13:U15,U16)</f>
      </c>
      <c r="U16" t="str">
        <f>(B16*1000000)-(C16*10000)+(D16*100)+(E16*1)-(F16*0.01)</f>
      </c>
    </row>
    <row r="17">
      <c r="A17" s="14" t="str">
        <f>data!$D$6&amp;" "&amp;data!$B$6</f>
      </c>
      <c r="B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7" s="14" t="str">
        <f>LEN(SUBSTITUTE(SUBSTITUTE(SUBSTITUTE(B6," ",""),"0",""),"-",""))+LEN(SUBSTITUTE(SUBSTITUTE(SUBSTITUTE(C6," ",""),"0",""),"-",""))+LEN(SUBSTITUTE(SUBSTITUTE(SUBSTITUTE(B7," ",""),"0",""),"-",""))+LEN(SUBSTITUTE(SUBSTITUTE(SUBSTITUTE(C7," ",""),"0",""),"-",""))</f>
      </c>
      <c r="F17" s="14" t="str">
        <f>LEN(SUBSTITUTE(SUBSTITUTE(SUBSTITUTE(E6," ",""),"0",""),"-",""))+LEN(SUBSTITUTE(SUBSTITUTE(SUBSTITUTE(F6," ",""),"0",""),"-",""))+LEN(SUBSTITUTE(SUBSTITUTE(SUBSTITUTE(E7," ",""),"0",""),"-",""))+LEN(SUBSTITUTE(SUBSTITUTE(SUBSTITUTE(F7," ",""),"0",""),"-",""))</f>
      </c>
      <c r="G17" s="18" t="str">
        <f>RANK(U17,$U$14:$U$21)+COUNTIF($U$13:U16,U17)</f>
      </c>
      <c r="U17" t="str">
        <f>(B17*1000000)-(C17*10000)+(D17*100)+(E17*1)-(F17*0.01)</f>
      </c>
    </row>
    <row r="18">
      <c r="A18" s="14" t="str">
        <f>data!$D$7&amp;" "&amp;data!$B$7</f>
      </c>
      <c r="B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8" s="14" t="str">
        <f>LEN(SUBSTITUTE(SUBSTITUTE(SUBSTITUTE(E7," ",""),"0",""),"-",""))+LEN(SUBSTITUTE(SUBSTITUTE(SUBSTITUTE(F7," ",""),"0",""),"-",""))+LEN(SUBSTITUTE(SUBSTITUTE(SUBSTITUTE(E8," ",""),"0",""),"-",""))+LEN(SUBSTITUTE(SUBSTITUTE(SUBSTITUTE(F8," ",""),"0",""),"-",""))</f>
      </c>
      <c r="F18" s="14" t="str">
        <f>LEN(SUBSTITUTE(SUBSTITUTE(SUBSTITUTE(B7," ",""),"0",""),"-",""))+LEN(SUBSTITUTE(SUBSTITUTE(SUBSTITUTE(C7," ",""),"0",""),"-",""))+LEN(SUBSTITUTE(SUBSTITUTE(SUBSTITUTE(B8," ",""),"0",""),"-",""))+LEN(SUBSTITUTE(SUBSTITUTE(SUBSTITUTE(C8," ",""),"0",""),"-",""))</f>
      </c>
      <c r="G18" s="18" t="str">
        <f>RANK(U18,$U$14:$U$21)+COUNTIF($U$13:U17,U18)</f>
      </c>
      <c r="U18" t="str">
        <f>(B18*1000000)-(C18*10000)+(D18*100)+(E18*1)-(F18*0.01)</f>
      </c>
    </row>
    <row r="19">
      <c r="A19" s="14" t="str">
        <f>data!$D$8&amp;" "&amp;data!$B$8</f>
      </c>
      <c r="B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f>
      </c>
      <c r="C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f>
      </c>
      <c r="D1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f>
      </c>
      <c r="E19" s="14" t="str">
        <f>LEN(SUBSTITUTE(SUBSTITUTE(SUBSTITUTE(B8," ",""),"0",""),"-",""))+LEN(SUBSTITUTE(SUBSTITUTE(SUBSTITUTE(C8," ",""),"0",""),"-",""))+LEN(SUBSTITUTE(SUBSTITUTE(SUBSTITUTE(B9," ",""),"0",""),"-",""))+LEN(SUBSTITUTE(SUBSTITUTE(SUBSTITUTE(C9," ",""),"0",""),"-",""))</f>
      </c>
      <c r="F19" s="14" t="str">
        <f>LEN(SUBSTITUTE(SUBSTITUTE(SUBSTITUTE(E8," ",""),"0",""),"-",""))+LEN(SUBSTITUTE(SUBSTITUTE(SUBSTITUTE(F8," ",""),"0",""),"-",""))+LEN(SUBSTITUTE(SUBSTITUTE(SUBSTITUTE(E9," ",""),"0",""),"-",""))+LEN(SUBSTITUTE(SUBSTITUTE(SUBSTITUTE(F9," ",""),"0",""),"-",""))</f>
      </c>
      <c r="G19" s="18" t="str">
        <f>RANK(U19,$U$14:$U$21)+COUNTIF($U$13:U18,U19)</f>
      </c>
      <c r="U19" t="str">
        <f>(B19*1000000)-(C19*10000)+(D19*100)+(E19*1)-(F19*0.01)</f>
      </c>
    </row>
    <row r="20">
      <c r="A20" s="14" t="str">
        <f>data!$D$9&amp;" "&amp;data!$B$9</f>
      </c>
      <c r="B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f>
      </c>
      <c r="C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f>
      </c>
      <c r="D2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f>
      </c>
      <c r="E20" s="14" t="str">
        <f>LEN(SUBSTITUTE(SUBSTITUTE(SUBSTITUTE(E9," ",""),"0",""),"-",""))+LEN(SUBSTITUTE(SUBSTITUTE(SUBSTITUTE(F9," ",""),"0",""),"-",""))+LEN(SUBSTITUTE(SUBSTITUTE(SUBSTITUTE(E10," ",""),"0",""),"-",""))+LEN(SUBSTITUTE(SUBSTITUTE(SUBSTITUTE(F10," ",""),"0",""),"-",""))</f>
      </c>
      <c r="F20" s="14" t="str">
        <f>LEN(SUBSTITUTE(SUBSTITUTE(SUBSTITUTE(B9," ",""),"0",""),"-",""))+LEN(SUBSTITUTE(SUBSTITUTE(SUBSTITUTE(C9," ",""),"0",""),"-",""))+LEN(SUBSTITUTE(SUBSTITUTE(SUBSTITUTE(B10," ",""),"0",""),"-",""))+LEN(SUBSTITUTE(SUBSTITUTE(SUBSTITUTE(C10," ",""),"0",""),"-",""))</f>
      </c>
      <c r="G20" s="18" t="str">
        <f>RANK(U20,$U$14:$U$21)+COUNTIF($U$13:U19,U20)</f>
      </c>
      <c r="U20" t="str">
        <f>(B20*1000000)-(C20*10000)+(D20*100)+(E20*1)-(F20*0.01)</f>
      </c>
    </row>
    <row r="21">
      <c r="A21" s="14" t="str">
        <f>data!$D$10&amp;" "&amp;data!$B$10</f>
      </c>
      <c r="B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f>
      </c>
      <c r="C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f>
      </c>
      <c r="D21" s="14" t="str">
        <f>IF(OR(COUNTA(B10,C10,E10,F10)&gt;0,OR(D10="X",D10="x")),IF(OR(D10="X",D10="x",AND(OR(COUNTA(B10,C10,E10,F10)&gt;0,OR(D10="X",D10="x")),(LEN(SUBSTITUTE(SUBSTITUTE(SUBSTITUTE(B10," ",""),"0",""),"-",""))+LEN(SUBSTITUTE(SUBSTITUTE(SUBSTITUTE(C10," ",""),"0",""),"-","")))=(LEN(SUBSTITUTE(SUBSTITUTE(SUBSTITUTE(E10," ",""),"0",""),"-",""))+LEN(SUBSTITUTE(SUBSTITUTE(SUBSTITUTE(F10," ",""),"0",""),"-",""))))),1,0),0)+IF(OR(COUNTA(B11,C11,E11,F11)&gt;0,OR(D11="X",D11="x")),IF(OR(D11="X",D11="x",AND(OR(COUNTA(B11,C11,E11,F11)&gt;0,OR(D11="X",D11="x")),(LEN(SUBSTITUTE(SUBSTITUTE(SUBSTITUTE(B11," ",""),"0",""),"-",""))+LEN(SUBSTITUTE(SUBSTITUTE(SUBSTITUTE(C11," ",""),"0",""),"-","")))=(LEN(SUBSTITUTE(SUBSTITUTE(SUBSTITUTE(E11," ",""),"0",""),"-",""))+LEN(SUBSTITUTE(SUBSTITUTE(SUBSTITUTE(F11," ",""),"0",""),"-",""))))),1,0),0)</f>
      </c>
      <c r="E21" s="14" t="str">
        <f>LEN(SUBSTITUTE(SUBSTITUTE(SUBSTITUTE(B10," ",""),"0",""),"-",""))+LEN(SUBSTITUTE(SUBSTITUTE(SUBSTITUTE(C10," ",""),"0",""),"-",""))+LEN(SUBSTITUTE(SUBSTITUTE(SUBSTITUTE(B11," ",""),"0",""),"-",""))+LEN(SUBSTITUTE(SUBSTITUTE(SUBSTITUTE(C11," ",""),"0",""),"-",""))</f>
      </c>
      <c r="F21" s="14" t="str">
        <f>LEN(SUBSTITUTE(SUBSTITUTE(SUBSTITUTE(E10," ",""),"0",""),"-",""))+LEN(SUBSTITUTE(SUBSTITUTE(SUBSTITUTE(F10," ",""),"0",""),"-",""))+LEN(SUBSTITUTE(SUBSTITUTE(SUBSTITUTE(E11," ",""),"0",""),"-",""))+LEN(SUBSTITUTE(SUBSTITUTE(SUBSTITUTE(F11," ",""),"0",""),"-",""))</f>
      </c>
      <c r="G21" s="18" t="str">
        <f>RANK(U21,$U$14:$U$21)+COUNTIF($U$13:U20,U21)</f>
      </c>
      <c r="U21" t="str">
        <f>(B21*1000000)-(C21*10000)+(D21*100)+(E21*1)-(F21*0.01)</f>
      </c>
    </row>
    <row r="24">
      <c r="F24" s="13"/>
      <c r="G24" s="13" t="s">
        <v>52</v>
      </c>
    </row>
    <row r="25">
      <c r="F25" t="s">
        <v>53</v>
      </c>
      <c r="G25" s="19" t="str">
        <f>IFERROR(INDEX($A$14:$A$21, MATCH(1, $G$14:$G$21, 0)), "-")</f>
      </c>
    </row>
    <row r="26">
      <c r="F26" t="s">
        <v>54</v>
      </c>
      <c r="G26" s="19" t="str">
        <f>IFERROR(INDEX($A$14:$A$21, MATCH(2, $G$14:$G$21, 0)), "-")</f>
      </c>
    </row>
    <row r="27">
      <c r="F27" t="s">
        <v>55</v>
      </c>
      <c r="G27" s="19" t="str">
        <f>IFERROR(INDEX($A$14:$A$21, MATCH(3, $G$14:$G$21, 0)), "-")</f>
      </c>
    </row>
    <row r="28">
      <c r="F28" t="s">
        <v>56</v>
      </c>
      <c r="G28" s="19" t="str">
        <f>IFERROR(INDEX($A$14:$A$21, MATCH(4, $G$14:$G$21, 0)), "-")</f>
      </c>
    </row>
    <row r="29">
      <c r="F29" t="s">
        <v>57</v>
      </c>
      <c r="G29" s="19" t="str">
        <f>IFERROR(INDEX($A$14:$A$21, MATCH(5, $G$14:$G$21, 0)), "-")</f>
      </c>
    </row>
    <row r="30">
      <c r="F30" t="s">
        <v>58</v>
      </c>
      <c r="G30" s="19" t="str">
        <f>IFERROR(INDEX($A$14:$A$21, MATCH(6, $G$14:$G$21, 0)), "-")</f>
      </c>
    </row>
    <row r="31">
      <c r="F31" t="s">
        <v>59</v>
      </c>
      <c r="G31" s="19" t="str">
        <f>IFERROR(INDEX($A$14:$A$21, MATCH(7, $G$14:$G$21, 0)), "-")</f>
      </c>
    </row>
    <row r="32">
      <c r="F32" t="s">
        <v>60</v>
      </c>
      <c r="G32" s="19" t="str">
        <f>IFERROR(INDEX($A$14:$A$21, MATCH(8, $G$14:$G$21,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41</v>
      </c>
      <c r="B1" s="13"/>
      <c r="C1" s="13"/>
      <c r="D1" s="13"/>
      <c r="E1" s="13"/>
      <c r="F1" s="13"/>
      <c r="G1" s="13"/>
    </row>
    <row r="2">
      <c r="A2" s="13" t="s">
        <v>61</v>
      </c>
      <c r="B2" s="13"/>
      <c r="C2" s="13"/>
      <c r="D2" s="13"/>
      <c r="E2" s="13"/>
      <c r="F2" s="13"/>
      <c r="G2" s="13"/>
    </row>
    <row r="3">
      <c r="A3" s="17" t="s">
        <v>42</v>
      </c>
      <c r="D3" s="14" t="s">
        <v>43</v>
      </c>
      <c r="G3" s="16" t="s">
        <v>44</v>
      </c>
    </row>
    <row r="4">
      <c r="A4" s="14" t="str">
        <f>CONCATENATE("Pool A-2nd ",'Pool Matches'!G26)</f>
      </c>
      <c r="B4" s="18"/>
      <c r="C4" s="18"/>
      <c r="D4" s="18"/>
      <c r="E4" s="18"/>
      <c r="F4" s="18"/>
      <c r="G4" s="14" t="str">
        <f>CONCATENATE("Pool A-1st ",'Pool Matches'!G25)</f>
      </c>
    </row>
    <row r="6">
      <c r="F6" t="s">
        <v>53</v>
      </c>
      <c r="G6" s="19"/>
    </row>
    <row r="7">
      <c r="F7" t="s">
        <v>54</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data!$D$3&amp;" "&amp;data!$B$3</f>
      </c>
      <c r="C5" s="23" t="str">
        <f>CONCATENATE("Pool A-1st ",'Pool Matches'!G25)</f>
      </c>
    </row>
    <row r="6">
      <c r="A6" s="26" t="str">
        <f>data!$D$4&amp;" "&amp;data!$B$4</f>
      </c>
      <c r="D6" s="22"/>
      <c r="E6" s="21">
        <v>1</v>
      </c>
    </row>
    <row r="7">
      <c r="A7" s="26" t="str">
        <f>data!$D$5&amp;" "&amp;data!$B$5</f>
      </c>
      <c r="C7" s="23" t="str">
        <f>CONCATENATE("Pool A-2nd ",'Pool Matches'!G26)</f>
      </c>
      <c r="D7" s="15"/>
      <c r="E7" s="20"/>
    </row>
    <row r="8">
      <c r="A8" s="26" t="str">
        <f>data!$D$6&amp;" "&amp;data!$B$6</f>
      </c>
    </row>
    <row r="9">
      <c r="A9" s="26" t="str">
        <f>data!$D$7&amp;" "&amp;data!$B$7</f>
      </c>
    </row>
    <row r="10">
      <c r="A10" s="26" t="str">
        <f>data!$D$8&amp;" "&amp;data!$B$8</f>
      </c>
    </row>
    <row r="11">
      <c r="A11" s="26" t="str">
        <f>data!$D$9&amp;" "&amp;data!$B$9</f>
      </c>
    </row>
    <row r="12">
      <c r="A12" s="27" t="str">
        <f>data!$D$10&amp;" "&amp;data!$B$10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34</v>
      </c>
    </row>
    <row r="12" ht="409" customHeight="true">
      <c r="A12" s="30" t="s">
        <v>34</v>
      </c>
    </row>
    <row r="13" ht="409" customHeight="true">
      <c r="A13" s="30" t="s">
        <v>37</v>
      </c>
    </row>
    <row r="14" ht="409" customHeight="true">
      <c r="A14" s="30" t="s">
        <v>37</v>
      </c>
    </row>
    <row r="15" ht="409" customHeight="true">
      <c r="A15" s="30" t="s">
        <v>40</v>
      </c>
    </row>
    <row r="16" ht="409" customHeight="true">
      <c r="A1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