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<sst xmlns="http://schemas.openxmlformats.org/spreadsheetml/2006/main" count="154" uniqueCount="154">
  <si>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</si>
  <si>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</si>
  <si>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</si>
  <si>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</si>
  <si>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</si>
  <si>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</si>
  <si>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</si>
  <si>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</si>
  <si>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</si>
  <si>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</si>
  <si>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</si>
  <si>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</si>
  <si>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</si>
  <si>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</si>
  <si>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</si>
  <si>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</si>
  <si>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</si>
  <si>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</si>
  <si>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</si>
  <si>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</si>
  <si>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</si>
  <si>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</si>
  <si>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</si>
  <si>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</si>
  <si>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</si>
  <si>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</si>
  <si>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</si>
  <si>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</si>
  <si>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</si>
  <si>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</si>
  <si>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</si>
  <si>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</si>
  <si>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</si>
  <si>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</si>
  <si>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</si>
  <si>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</si>
  <si>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</si>
  <si>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Legolas Greenleaf</t>
  </si>
  <si>
    <t>GREENLEAF</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</si>
  <si>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</si>
  <si>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</si>
  <si>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</si>
  <si>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</si>
  <si>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</si>
  <si>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</si>
  <si>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</si>
  <si>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</si>
  <si>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</si>
  <si>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</si>
  <si>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</si>
  <si>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</si>
  <si>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</si>
  <si>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</si>
  <si>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</si>
  <si>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</si>
  <si>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</si>
  <si>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</si>
  <si>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</si>
  <si>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</si>
  <si>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</si>
  <si>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</si>
  <si>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</si>
  <si>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</si>
  <si>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</si>
  <si>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</si>
  <si>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Ygritte</t>
  </si>
  <si>
    <t>Team Alpha</t>
  </si>
  <si>
    <t>YGRITTE</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</si>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</sst>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28</v>
      </c>
      <c r="D9" t="s">
        <v>38</v>
      </c>
    </row>
    <row r="10">
      <c r="A10" t="s">
        <v>36</v>
      </c>
      <c r="B10" t="s">
        <v>39</v>
      </c>
      <c r="C10" t="s">
        <v>40</v>
      </c>
      <c r="D10" t="s">
        <v>41</v>
      </c>
    </row>
    <row r="11">
      <c r="A11" t="s">
        <v>36</v>
      </c>
      <c r="B11" t="s">
        <v>42</v>
      </c>
      <c r="C11" t="s">
        <v>43</v>
      </c>
      <c r="D11" t="s">
        <v>44</v>
      </c>
    </row>
    <row r="12">
      <c r="A12" t="s">
        <v>45</v>
      </c>
      <c r="B12" t="s">
        <v>46</v>
      </c>
      <c r="C12" t="s">
        <v>47</v>
      </c>
      <c r="D12" t="s">
        <v>48</v>
      </c>
    </row>
    <row r="13">
      <c r="A13" t="s">
        <v>45</v>
      </c>
      <c r="B13" t="s">
        <v>49</v>
      </c>
      <c r="C13" t="s">
        <v>50</v>
      </c>
      <c r="D13" t="s">
        <v>51</v>
      </c>
    </row>
    <row r="14">
      <c r="A14" t="s">
        <v>45</v>
      </c>
      <c r="B14" t="s">
        <v>52</v>
      </c>
      <c r="C14" t="s">
        <v>53</v>
      </c>
      <c r="D14" t="s">
        <v>19</v>
      </c>
    </row>
    <row r="15">
      <c r="A15" t="s">
        <v>54</v>
      </c>
      <c r="B15" t="s">
        <v>55</v>
      </c>
      <c r="C15" t="s">
        <v>56</v>
      </c>
      <c r="D15" t="s">
        <v>57</v>
      </c>
    </row>
    <row r="16">
      <c r="A16" t="s">
        <v>54</v>
      </c>
      <c r="B16" t="s">
        <v>58</v>
      </c>
      <c r="C16" t="s">
        <v>59</v>
      </c>
      <c r="D16" t="s">
        <v>60</v>
      </c>
    </row>
    <row r="17">
      <c r="A17" t="s">
        <v>54</v>
      </c>
      <c r="B17" t="s">
        <v>61</v>
      </c>
      <c r="C17" t="s">
        <v>62</v>
      </c>
      <c r="D17" t="s">
        <v>63</v>
      </c>
    </row>
    <row r="18">
      <c r="A18" t="s">
        <v>64</v>
      </c>
      <c r="B18" t="s">
        <v>65</v>
      </c>
      <c r="C18" t="s">
        <v>66</v>
      </c>
      <c r="D18" t="s">
        <v>67</v>
      </c>
    </row>
    <row r="19">
      <c r="A19" t="s">
        <v>64</v>
      </c>
      <c r="B19" t="s">
        <v>27</v>
      </c>
      <c r="C19" t="s">
        <v>68</v>
      </c>
      <c r="D19" t="s">
        <v>29</v>
      </c>
    </row>
    <row r="20">
      <c r="A20" t="s">
        <v>64</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F-2nd ",'Pool Matches'!O33)</f>
      </c>
      <c r="D11" s="15"/>
      <c r="E11" s="20"/>
      <c r="I11" s="20"/>
    </row>
    <row r="12">
      <c r="A12" s="27" t="str">
        <f>"3. " &amp; data!$B$8</f>
      </c>
      <c r="I12" s="21">
        <v>13</v>
      </c>
    </row>
    <row r="13">
      <c r="A13" s="22"/>
      <c r="C13" s="23" t="str">
        <f>CONCATENATE("Pool C-1st ",'Pool Matches'!G49)</f>
      </c>
      <c r="I13" s="20"/>
    </row>
    <row r="14">
      <c r="A14" s="24" t="str">
        <f>'data'!$A$11</f>
      </c>
      <c r="D14" s="22"/>
      <c r="E14" s="21">
        <v>3</v>
      </c>
      <c r="I14" s="20"/>
    </row>
    <row r="15">
      <c r="A15" s="25" t="str">
        <f>"1. " &amp; data!$B$9</f>
      </c>
      <c r="C15" s="23" t="str">
        <f>CONCATENATE("Pool G-2nd ",'Pool Matches'!O50)</f>
      </c>
      <c r="D15" s="15"/>
      <c r="E15" s="20"/>
      <c r="F15" s="22"/>
      <c r="G15" s="20"/>
      <c r="I15" s="20"/>
    </row>
    <row r="16">
      <c r="A16" s="26" t="str">
        <f>"2. " &amp; data!$B$10</f>
      </c>
      <c r="G16" s="21">
        <v>10</v>
      </c>
      <c r="H16" s="15"/>
      <c r="I16" s="20"/>
    </row>
    <row r="17">
      <c r="A17" s="27" t="str">
        <f>"3. " &amp; 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E-1st ",'Pool Matches'!O15)</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"1. " &amp; data!$B$18</f>
      </c>
      <c r="D10" s="22"/>
      <c r="E10" s="21">
        <v>6</v>
      </c>
      <c r="F10" s="15"/>
      <c r="G10" s="20"/>
      <c r="I10" s="20"/>
    </row>
    <row r="11">
      <c r="A11" s="26" t="str">
        <f>"2. " &amp; data!$B$19</f>
      </c>
      <c r="C11" s="23" t="str">
        <f>CONCATENATE("Pool B-2nd ",'Pool Matches'!G33)</f>
      </c>
      <c r="D11" s="15"/>
      <c r="E11" s="20"/>
      <c r="I11" s="20"/>
    </row>
    <row r="12">
      <c r="A12" s="27" t="str">
        <f>"3. " &amp; data!$B$20</f>
      </c>
      <c r="I12" s="21">
        <v>14</v>
      </c>
    </row>
    <row r="13">
      <c r="A13" s="22"/>
      <c r="C13" s="23" t="str">
        <f>CONCATENATE("Pool G-1st ",'Pool Matches'!O49)</f>
      </c>
      <c r="I13" s="20"/>
    </row>
    <row r="14">
      <c r="A14" s="24" t="str">
        <f>'data'!$A$23</f>
      </c>
      <c r="D14" s="22"/>
      <c r="E14" s="21">
        <v>7</v>
      </c>
      <c r="I14" s="20"/>
    </row>
    <row r="15">
      <c r="A15" s="25" t="str">
        <f>"1. " &amp; data!$B$21</f>
      </c>
      <c r="C15" s="23" t="str">
        <f>CONCATENATE("Pool C-2nd ",'Pool Matches'!G50)</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