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9"/>
  </bookViews>
  <sheets>
    <sheet name="data" sheetId="1" r:id="rId1"/>
    <sheet name="Time Estimator" sheetId="2" r:id="rId4"/>
    <sheet name="Pool Draw" sheetId="3" r:id="rId5"/>
    <sheet name="Pool Matches" sheetId="4" r:id="rId6"/>
    <sheet name="Elimination Matches" sheetId="5" r:id="rId7"/>
    <sheet name="Tree 1" sheetId="8" r:id="rId11"/>
    <sheet name="Tree 2" sheetId="9" r:id="rId12"/>
    <sheet name="Names to Print A" sheetId="10" r:id="rId13"/>
    <sheet name="Names to Print B" sheetId="11" r:id="rId14"/>
    <sheet name="Tags" sheetId="12" r:id="rId15"/>
  </sheets>
  <definedNames>
    <definedName localSheetId="2" name="_xlnm.Print_Area">'Pool Draw'!$B$2:$F$12</definedName>
    <definedName localSheetId="3" name="_xlnm.Print_Area">'Pool Matches'!$A$1:$P$113</definedName>
    <definedName localSheetId="5" name="_xlnm.Print_Area">'Tree 1'!$A$1:$G$14</definedName>
    <definedName localSheetId="6" name="_xlnm.Print_Area">'Tree 2'!$A$1:$G$11</definedName>
    <definedName localSheetId="7" name="_xlnm.Print_Area">'Names to Print A'!$A$1:$B$7</definedName>
    <definedName localSheetId="8" name="_xlnm.Print_Area">'Names to Print B'!$A$1:$B$3</definedName>
    <definedName localSheetId="9" name="_xlnm.Print_Area">'Tags'!$A$1:$A$20</definedName>
    <definedName localSheetId="4" name="_xlnm.Print_Area">'Elimination Matches'!$A$1:$P$64</definedName>
  </definedNames>
  <calcPr calcId="122211"/>
</workbook>
</file>

<file path=xl/sharedStrings.xml><?xml version="1.0" encoding="utf-8"?>
<sst xmlns="http://schemas.openxmlformats.org/spreadsheetml/2006/main" count="77" uniqueCount="77">
  <si>
    <t>Number of pools</t>
  </si>
  <si>
    <t>Team size</t>
  </si>
  <si>
    <t>Matches per pool</t>
  </si>
  <si>
    <t>Time per match</t>
  </si>
  <si>
    <t>Total time for matches</t>
  </si>
  <si>
    <t>Padding time for rotation</t>
  </si>
  <si>
    <t>Time for breaks</t>
  </si>
  <si>
    <t>Total Time</t>
  </si>
  <si>
    <t>Number of Elimination Matches</t>
  </si>
  <si>
    <t>Title prefix:</t>
  </si>
  <si>
    <t/>
  </si>
  <si>
    <t>Pool</t>
  </si>
  <si>
    <t>Player Name</t>
  </si>
  <si>
    <t>Player Dojo</t>
  </si>
  <si>
    <t>Player Number</t>
  </si>
  <si>
    <t>Metadata</t>
  </si>
  <si>
    <t>Pool A</t>
  </si>
  <si>
    <t>Kevin Clark</t>
  </si>
  <si>
    <t>Team Alpha</t>
  </si>
  <si>
    <t>K1</t>
  </si>
  <si>
    <t>Nathan Lee</t>
  </si>
  <si>
    <t>Team Delta</t>
  </si>
  <si>
    <t>K2</t>
  </si>
  <si>
    <t>Quentin Allen</t>
  </si>
  <si>
    <t>Team Beta</t>
  </si>
  <si>
    <t>K3</t>
  </si>
  <si>
    <t>Robert Young</t>
  </si>
  <si>
    <t>Team Gamma</t>
  </si>
  <si>
    <t>K4</t>
  </si>
  <si>
    <t>Pool B</t>
  </si>
  <si>
    <t>Michael Lewis</t>
  </si>
  <si>
    <t>K5</t>
  </si>
  <si>
    <t>Steven Hernandez</t>
  </si>
  <si>
    <t>K6</t>
  </si>
  <si>
    <t>Thomas King</t>
  </si>
  <si>
    <t>Team Epsilon</t>
  </si>
  <si>
    <t>K7</t>
  </si>
  <si>
    <t>Pool C</t>
  </si>
  <si>
    <t>Luke Rodriguez</t>
  </si>
  <si>
    <t>K8</t>
  </si>
  <si>
    <t>Oliver Walker</t>
  </si>
  <si>
    <t>K9</t>
  </si>
  <si>
    <t>Paul Hall</t>
  </si>
  <si>
    <t>K10</t>
  </si>
  <si>
    <t>Shiaijo A</t>
  </si>
  <si>
    <t>Shiaijo B</t>
  </si>
  <si>
    <t>White</t>
  </si>
  <si>
    <t>vs</t>
  </si>
  <si>
    <t>Red</t>
  </si>
  <si>
    <t>Team Results</t>
  </si>
  <si>
    <t>W</t>
  </si>
  <si>
    <t>L</t>
  </si>
  <si>
    <t>T</t>
  </si>
  <si>
    <t>Rank</t>
  </si>
  <si>
    <t>IV</t>
  </si>
  <si>
    <t>IL</t>
  </si>
  <si>
    <t>IT</t>
  </si>
  <si>
    <t>PW</t>
  </si>
  <si>
    <t>PL</t>
  </si>
  <si>
    <t>Ranking</t>
  </si>
  <si>
    <t>1.</t>
  </si>
  <si>
    <t>2.</t>
  </si>
  <si>
    <t>3.</t>
  </si>
  <si>
    <t>4.</t>
  </si>
  <si>
    <t>Round 1 - Match 1</t>
  </si>
  <si>
    <t>Victories / Points</t>
  </si>
  <si>
    <t>Round 1 - Match 2</t>
  </si>
  <si>
    <t>Round 2 - Match 3</t>
  </si>
  <si>
    <t>Round 2 - Match 4</t>
  </si>
  <si>
    <t>Round 3 - Match 5</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</si>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</sst>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3">
    <font>
      <name val="Calibri"/>
      <family val="2"/>
      <color theme="1"/>
      <sz val="11"/>
    </font>
    <font>
      <name val="Calibri"/>
      <family val="2"/>
      <b val="1"/>
      <color rgb="FF000000"/>
      <sz val="12"/>
    </font>
    <font>
      <name val="Calibri"/>
      <family val="2"/>
      <color rgb="FF000000"/>
      <sz val="12"/>
    </font>
    <font>
      <name val="Calibri"/>
      <family val="2"/>
      <b val="1"/>
      <color/>
      <sz val="16"/>
      <u val="single"/>
    </font>
    <font>
      <name val="Calibri"/>
      <family val="2"/>
      <b val="1"/>
      <color/>
      <sz val="12"/>
      <u val="single"/>
    </font>
    <font>
      <name val="Calibri"/>
      <family val="2"/>
      <color/>
      <sz val="12"/>
    </font>
    <font>
      <name val="Calibri"/>
      <family val="2"/>
      <b val="1"/>
      <color rgb="FF000000"/>
      <sz val="28"/>
    </font>
    <font>
      <name val="Calibri"/>
      <family val="2"/>
      <b val="1"/>
      <color rgb="FF000000"/>
      <sz val="72"/>
    </font>
    <font>
      <name val="Calibri"/>
      <family val="2"/>
      <b val="1"/>
      <i val="1"/>
      <color/>
      <sz val="12"/>
    </font>
    <font>
      <name val="Calibri"/>
      <family val="2"/>
      <b val="1"/>
      <color rgb="FFFFFFFF"/>
      <sz val="12"/>
    </font>
    <font>
      <name val="Calibri"/>
      <family val="2"/>
      <b val="1"/>
      <color rgb="FF000000"/>
      <sz val="100"/>
    </font>
    <font>
      <name val="Calibri"/>
      <family val="2"/>
      <color rgb="FF000000"/>
      <sz val="110"/>
    </font>
    <font>
      <name val="Calibri"/>
      <family val="2"/>
      <b val="1"/>
      <color/>
      <sz val="250"/>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10">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numFmtId="0" fontId="0" fillId="0" borderId="0"/>
  </cellStyleXfs>
  <cellXfs count="34">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0" fillId="0" borderId="4" xfId="0" applyBorder="true" applyAlignment="false">
      <alignment/>
    </xf>
    <xf numFmtId="0" fontId="2" fillId="0" borderId="5" xfId="0" applyFont="true" applyBorder="true" applyAlignment="true">
      <alignment horizontal="left"/>
    </xf>
    <xf numFmtId="0" fontId="0" fillId="0" borderId="6" xfId="0" applyBorder="true" applyAlignment="false">
      <alignment/>
    </xf>
    <xf numFmtId="0" fontId="1" fillId="0" borderId="3" xfId="0" applyFont="true" applyBorder="true" applyAlignment="true">
      <alignment horizontal="right" vertical="center"/>
    </xf>
    <xf numFmtId="0" fontId="1" fillId="3" borderId="0" xfId="0" applyFont="true" applyFill="true" applyAlignment="false">
      <alignment/>
    </xf>
    <xf numFmtId="0" fontId="2" fillId="0" borderId="7" xfId="0" applyFont="true" applyBorder="true" applyAlignment="false">
      <alignment/>
    </xf>
    <xf numFmtId="0" fontId="2" fillId="0" borderId="8" xfId="0" applyFont="true" applyBorder="true" applyAlignment="false">
      <alignment/>
    </xf>
    <xf numFmtId="0" fontId="2" fillId="0" borderId="9" xfId="0" applyFont="true" applyBorder="true" applyAlignment="false">
      <alignment/>
    </xf>
    <xf numFmtId="0" fontId="10" fillId="0" borderId="1" xfId="0" applyFont="true" applyBorder="true" applyAlignment="true">
      <alignment horizontal="center" shrinkToFit="true" vertical="center"/>
    </xf>
    <xf numFmtId="0" fontId="11" fillId="0" borderId="1" xfId="0" applyFont="true" applyBorder="true" applyAlignment="true">
      <alignment horizontal="center" shrinkToFit="true" vertical="center"/>
    </xf>
    <xf numFmtId="0" fontId="12" fillId="0" borderId="0" xfId="0" applyFont="true" applyAlignment="true">
      <alignment horizontal="center" shrinkToFit="true" vertical="top"/>
    </xf>
    <xf numFmtId="165" fontId="2" fillId="0" borderId="2" xfId="0" applyNumberFormat="true" applyFont="true" applyBorder="true" applyAlignment="true">
      <alignment horizontal="center"/>
    </xf>
    <xf numFmtId="0" fontId="2" fillId="0" borderId="2" xfId="0" applyFont="true" applyBorder="true" applyAlignment="true">
      <alignment horizontal="center"/>
    </xf>
    <xf numFmtId="20" fontId="2" fillId="0" borderId="2"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row>
    <row r="3">
      <c r="A3" t="s">
        <v>16</v>
      </c>
      <c r="B3" t="s">
        <v>17</v>
      </c>
      <c r="C3" t="s">
        <v>18</v>
      </c>
      <c r="D3" t="s">
        <v>19</v>
      </c>
    </row>
    <row r="4">
      <c r="A4" t="s">
        <v>16</v>
      </c>
      <c r="B4" t="s">
        <v>20</v>
      </c>
      <c r="C4" t="s">
        <v>21</v>
      </c>
      <c r="D4" t="s">
        <v>22</v>
      </c>
    </row>
    <row r="5">
      <c r="A5" t="s">
        <v>16</v>
      </c>
      <c r="B5" t="s">
        <v>23</v>
      </c>
      <c r="C5" t="s">
        <v>24</v>
      </c>
      <c r="D5" t="s">
        <v>25</v>
      </c>
    </row>
    <row r="6">
      <c r="A6" t="s">
        <v>16</v>
      </c>
      <c r="B6" t="s">
        <v>26</v>
      </c>
      <c r="C6" t="s">
        <v>27</v>
      </c>
      <c r="D6" t="s">
        <v>28</v>
      </c>
    </row>
    <row r="7">
      <c r="A7" t="s">
        <v>29</v>
      </c>
      <c r="B7" t="s">
        <v>30</v>
      </c>
      <c r="C7" t="s">
        <v>27</v>
      </c>
      <c r="D7" t="s">
        <v>31</v>
      </c>
    </row>
    <row r="8">
      <c r="A8" t="s">
        <v>29</v>
      </c>
      <c r="B8" t="s">
        <v>32</v>
      </c>
      <c r="C8" t="s">
        <v>21</v>
      </c>
      <c r="D8" t="s">
        <v>33</v>
      </c>
    </row>
    <row r="9">
      <c r="A9" t="s">
        <v>29</v>
      </c>
      <c r="B9" t="s">
        <v>34</v>
      </c>
      <c r="C9" t="s">
        <v>35</v>
      </c>
      <c r="D9" t="s">
        <v>36</v>
      </c>
    </row>
    <row r="10">
      <c r="A10" t="s">
        <v>37</v>
      </c>
      <c r="B10" t="s">
        <v>38</v>
      </c>
      <c r="C10" t="s">
        <v>24</v>
      </c>
      <c r="D10" t="s">
        <v>39</v>
      </c>
    </row>
    <row r="11">
      <c r="A11" t="s">
        <v>37</v>
      </c>
      <c r="B11" t="s">
        <v>40</v>
      </c>
      <c r="C11" t="s">
        <v>35</v>
      </c>
      <c r="D11" t="s">
        <v>41</v>
      </c>
    </row>
    <row r="12">
      <c r="A12" t="s">
        <v>37</v>
      </c>
      <c r="B12" t="s">
        <v>42</v>
      </c>
      <c r="C12" t="s">
        <v>18</v>
      </c>
      <c r="D12" t="s">
        <v>43</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3</v>
      </c>
      <c r="B2" s="2">
        <v>5</v>
      </c>
      <c r="C2" s="2">
        <v>12</v>
      </c>
      <c r="D2" s="3">
        <v>0.0020833333333333333</v>
      </c>
      <c r="E2" s="3" t="str">
        <f>(A2*B2*C2*D2)</f>
      </c>
      <c r="F2" s="3">
        <v>0.00034722222222222224</v>
      </c>
      <c r="G2" s="3">
        <v>0.020833333333333332</v>
      </c>
      <c r="H2" s="31" t="str">
        <f>C2*I2+J2</f>
      </c>
    </row>
    <row r="3" ht="16" customHeight="true">
      <c r="A3" s="2">
        <v>0</v>
      </c>
      <c r="B3" s="2">
        <v>0</v>
      </c>
      <c r="C3" s="2">
        <v>0</v>
      </c>
      <c r="D3" s="3">
        <v>0.0020833333333333333</v>
      </c>
      <c r="E3" s="3" t="str">
        <f>(A3*B3*C3*D3)</f>
      </c>
      <c r="F3" s="3">
        <v>0.00034722222222222224</v>
      </c>
      <c r="G3" s="3">
        <v>0.020833333333333332</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5</v>
      </c>
      <c r="B8" s="2">
        <v>5</v>
      </c>
      <c r="C8" s="2"/>
      <c r="D8" s="3">
        <v>0.002777777777777778</v>
      </c>
      <c r="E8" s="3" t="str">
        <f>(A8*B8*D8)</f>
      </c>
      <c r="F8" s="3">
        <v>0.00034722222222222224</v>
      </c>
      <c r="G8" s="3">
        <v>0.020833333333333332</v>
      </c>
      <c r="H8" s="31"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3" t="s">
        <v>70</v>
      </c>
      <c r="F13" s="13"/>
      <c r="G13" s="13"/>
      <c r="H13" s="13"/>
    </row>
    <row r="14">
      <c r="A14">
        <v>2</v>
      </c>
      <c r="E14" s="32" t="s">
        <v>71</v>
      </c>
      <c r="F14" s="32"/>
      <c r="G14" s="32"/>
      <c r="H14" s="31" t="str">
        <f>H2</f>
      </c>
    </row>
    <row r="15">
      <c r="E15" s="32" t="s">
        <v>72</v>
      </c>
      <c r="F15" s="32"/>
      <c r="G15" s="32"/>
      <c r="H15" s="31" t="str">
        <f>H8</f>
      </c>
    </row>
    <row r="16">
      <c r="E16" s="32" t="s">
        <v>73</v>
      </c>
      <c r="F16" s="32"/>
      <c r="G16" s="32"/>
      <c r="H16" s="31" t="str">
        <f>H14+H15</f>
      </c>
    </row>
    <row r="17">
      <c r="E17" s="32" t="s">
        <v>74</v>
      </c>
      <c r="F17" s="32"/>
      <c r="G17" s="32"/>
      <c r="H17" s="31" t="str">
        <f>H16/A14</f>
      </c>
    </row>
    <row r="18">
      <c r="E18" s="13" t="s">
        <v>75</v>
      </c>
      <c r="F18" s="13"/>
      <c r="G18" s="13"/>
      <c r="H18" s="33">
        <v>0.375</v>
      </c>
    </row>
    <row r="19">
      <c r="E19" s="13" t="s">
        <v>76</v>
      </c>
      <c r="F19" s="13"/>
      <c r="G19" s="13"/>
      <c r="H19" s="33" t="str">
        <f>H18+H17</f>
      </c>
    </row>
  </sheetData>
  <mergeCells count="1">
    <mergeCell ref="E13:H13"/>
  </mergeCells>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4" min="4" width="30"/>
    <col customWidth="true" max="5" min="5" width="8.83"/>
    <col customWidth="true" max="6" min="6" width="30"/>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'data'!$A$6</f>
      </c>
      <c r="D5" s="11" t="str">
        <f>'data'!$A$9</f>
      </c>
      <c r="F5" s="11" t="str">
        <f>'data'!$A$12</f>
      </c>
    </row>
    <row r="6" ht="17" customHeight="true">
      <c r="B6" s="12" t="str">
        <f>data!$D$3&amp;" "&amp;data!$B$3</f>
      </c>
      <c r="D6" s="12" t="str">
        <f>data!$D$7&amp;" "&amp;data!$B$7</f>
      </c>
      <c r="F6" s="12" t="str">
        <f>data!$D$10&amp;" "&amp;data!$B$10</f>
      </c>
    </row>
    <row r="7" ht="17" customHeight="true">
      <c r="B7" s="12" t="str">
        <f>data!$D$4&amp;" "&amp;data!$B$4</f>
      </c>
      <c r="D7" s="12" t="str">
        <f>data!$D$8&amp;" "&amp;data!$B$8</f>
      </c>
      <c r="F7" s="12" t="str">
        <f>data!$D$11&amp;" "&amp;data!$B$11</f>
      </c>
    </row>
    <row r="8">
      <c r="B8" s="12" t="str">
        <f>data!$D$5&amp;" "&amp;data!$B$5</f>
      </c>
      <c r="D8" s="12" t="str">
        <f>data!$D$9&amp;" "&amp;data!$B$9</f>
      </c>
      <c r="F8" s="12" t="str">
        <f>data!$D$12&amp;" "&amp;data!$B$12</f>
      </c>
    </row>
    <row r="9">
      <c r="B9" s="12" t="str">
        <f>data!$D$6&amp;" "&amp;data!$B$6</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 customWidth="true" hidden="true" max="21" min="21" width="9.140625"/>
    <col customWidth="true" hidden="true" max="29" min="29" width="9.140625"/>
  </cols>
  <sheetData>
    <row r="1">
      <c r="A1" s="13" t="s">
        <v>44</v>
      </c>
      <c r="B1" s="13"/>
      <c r="C1" s="13"/>
      <c r="D1" s="13"/>
      <c r="E1" s="13"/>
      <c r="F1" s="13"/>
      <c r="G1" s="13"/>
      <c r="I1" s="13" t="s">
        <v>45</v>
      </c>
      <c r="J1" s="13"/>
      <c r="K1" s="13"/>
      <c r="L1" s="13"/>
      <c r="M1" s="13"/>
      <c r="N1" s="13"/>
      <c r="O1" s="13"/>
    </row>
    <row r="2">
      <c r="A2" s="13" t="str">
        <f>'data'!$A$6</f>
      </c>
      <c r="B2" s="13"/>
      <c r="C2" s="13"/>
      <c r="D2" s="13"/>
      <c r="E2" s="13"/>
      <c r="F2" s="13"/>
      <c r="G2" s="13"/>
      <c r="I2" s="13" t="str">
        <f>'data'!$A$12</f>
      </c>
      <c r="J2" s="13"/>
      <c r="K2" s="13"/>
      <c r="L2" s="13"/>
      <c r="M2" s="13"/>
      <c r="N2" s="13"/>
      <c r="O2" s="13"/>
    </row>
    <row r="3">
      <c r="A3" s="17" t="s">
        <v>46</v>
      </c>
      <c r="B3" s="14"/>
      <c r="C3" s="14"/>
      <c r="D3" s="14" t="s">
        <v>47</v>
      </c>
      <c r="E3" s="14"/>
      <c r="F3" s="14"/>
      <c r="G3" s="16" t="s">
        <v>48</v>
      </c>
      <c r="I3" s="17" t="s">
        <v>46</v>
      </c>
      <c r="J3" s="14"/>
      <c r="K3" s="14"/>
      <c r="L3" s="14" t="s">
        <v>47</v>
      </c>
      <c r="M3" s="14"/>
      <c r="N3" s="14"/>
      <c r="O3" s="16" t="s">
        <v>48</v>
      </c>
    </row>
    <row r="4">
      <c r="A4" s="14" t="str">
        <f>data!$D$4&amp;" "&amp;data!$B$4</f>
      </c>
      <c r="B4" s="14" t="str">
        <f>IF(UPPER(D5)="X",0,IF((LEN(SUBSTITUTE(SUBSTITUTE(SUBSTITUTE(B5," ",""),"0",""),"-",""))+LEN(SUBSTITUTE(SUBSTITUTE(SUBSTITUTE(C5," ",""),"0",""),"-","")))&gt;(LEN(SUBSTITUTE(SUBSTITUTE(SUBSTITUTE(E5," ",""),"0",""),"-",""))+LEN(SUBSTITUTE(SUBSTITUTE(SUBSTITUTE(F5," ",""),"0",""),"-",""))),1,0))+IF(UPPER(D6)="X",0,IF((LEN(SUBSTITUTE(SUBSTITUTE(SUBSTITUTE(B6," ",""),"0",""),"-",""))+LEN(SUBSTITUTE(SUBSTITUTE(SUBSTITUTE(C6," ",""),"0",""),"-","")))&gt;(LEN(SUBSTITUTE(SUBSTITUTE(SUBSTITUTE(E6," ",""),"0",""),"-",""))+LEN(SUBSTITUTE(SUBSTITUTE(SUBSTITUTE(F6," ",""),"0",""),"-",""))),1,0))+IF(UPPER(D7)="X",0,IF((LEN(SUBSTITUTE(SUBSTITUTE(SUBSTITUTE(B7," ",""),"0",""),"-",""))+LEN(SUBSTITUTE(SUBSTITUTE(SUBSTITUTE(C7," ",""),"0",""),"-","")))&gt;(LEN(SUBSTITUTE(SUBSTITUTE(SUBSTITUTE(E7," ",""),"0",""),"-",""))+LEN(SUBSTITUTE(SUBSTITUTE(SUBSTITUTE(F7," ",""),"0",""),"-",""))),1,0))+IF(UPPER(D8)="X",0,IF((LEN(SUBSTITUTE(SUBSTITUTE(SUBSTITUTE(B8," ",""),"0",""),"-",""))+LEN(SUBSTITUTE(SUBSTITUTE(SUBSTITUTE(C8," ",""),"0",""),"-","")))&gt;(LEN(SUBSTITUTE(SUBSTITUTE(SUBSTITUTE(E8," ",""),"0",""),"-",""))+LEN(SUBSTITUTE(SUBSTITUTE(SUBSTITUTE(F8," ",""),"0",""),"-",""))),1,0))+IF(UPPER(D9)="X",0,IF((LEN(SUBSTITUTE(SUBSTITUTE(SUBSTITUTE(B9," ",""),"0",""),"-",""))+LEN(SUBSTITUTE(SUBSTITUTE(SUBSTITUTE(C9," ",""),"0",""),"-","")))&gt;(LEN(SUBSTITUTE(SUBSTITUTE(SUBSTITUTE(E9," ",""),"0",""),"-",""))+LEN(SUBSTITUTE(SUBSTITUTE(SUBSTITUTE(F9," ",""),"0",""),"-",""))),1,0))</f>
      </c>
      <c r="C4" s="14" t="str">
        <f>LEN(SUBSTITUTE(SUBSTITUTE(SUBSTITUTE(B5," ",""),"0",""),"-",""))+LEN(SUBSTITUTE(SUBSTITUTE(SUBSTITUTE(C5," ",""),"0",""),"-",""))+LEN(SUBSTITUTE(SUBSTITUTE(SUBSTITUTE(B6," ",""),"0",""),"-",""))+LEN(SUBSTITUTE(SUBSTITUTE(SUBSTITUTE(C6," ",""),"0",""),"-",""))+LEN(SUBSTITUTE(SUBSTITUTE(SUBSTITUTE(B7," ",""),"0",""),"-",""))+LEN(SUBSTITUTE(SUBSTITUTE(SUBSTITUTE(C7," ",""),"0",""),"-",""))+LEN(SUBSTITUTE(SUBSTITUTE(SUBSTITUTE(B8," ",""),"0",""),"-",""))+LEN(SUBSTITUTE(SUBSTITUTE(SUBSTITUTE(C8," ",""),"0",""),"-",""))+LEN(SUBSTITUTE(SUBSTITUTE(SUBSTITUTE(B9," ",""),"0",""),"-",""))+LEN(SUBSTITUTE(SUBSTITUTE(SUBSTITUTE(C9," ",""),"0",""),"-",""))</f>
      </c>
      <c r="D4" s="18"/>
      <c r="E4" s="14" t="str">
        <f>LEN(SUBSTITUTE(SUBSTITUTE(SUBSTITUTE(E5," ",""),"0",""),"-",""))+LEN(SUBSTITUTE(SUBSTITUTE(SUBSTITUTE(F5," ",""),"0",""),"-",""))+LEN(SUBSTITUTE(SUBSTITUTE(SUBSTITUTE(E6," ",""),"0",""),"-",""))+LEN(SUBSTITUTE(SUBSTITUTE(SUBSTITUTE(F6," ",""),"0",""),"-",""))+LEN(SUBSTITUTE(SUBSTITUTE(SUBSTITUTE(E7," ",""),"0",""),"-",""))+LEN(SUBSTITUTE(SUBSTITUTE(SUBSTITUTE(F7," ",""),"0",""),"-",""))+LEN(SUBSTITUTE(SUBSTITUTE(SUBSTITUTE(E8," ",""),"0",""),"-",""))+LEN(SUBSTITUTE(SUBSTITUTE(SUBSTITUTE(F8," ",""),"0",""),"-",""))+LEN(SUBSTITUTE(SUBSTITUTE(SUBSTITUTE(E9," ",""),"0",""),"-",""))+LEN(SUBSTITUTE(SUBSTITUTE(SUBSTITUTE(F9," ",""),"0",""),"-",""))</f>
      </c>
      <c r="F4" s="14" t="str">
        <f>IF(UPPER(D5)="X",0,IF((LEN(SUBSTITUTE(SUBSTITUTE(SUBSTITUTE(E5," ",""),"0",""),"-",""))+LEN(SUBSTITUTE(SUBSTITUTE(SUBSTITUTE(F5," ",""),"0",""),"-","")))&gt;(LEN(SUBSTITUTE(SUBSTITUTE(SUBSTITUTE(B5," ",""),"0",""),"-",""))+LEN(SUBSTITUTE(SUBSTITUTE(SUBSTITUTE(C5," ",""),"0",""),"-",""))),1,0))+IF(UPPER(D6)="X",0,IF((LEN(SUBSTITUTE(SUBSTITUTE(SUBSTITUTE(E6," ",""),"0",""),"-",""))+LEN(SUBSTITUTE(SUBSTITUTE(SUBSTITUTE(F6," ",""),"0",""),"-","")))&gt;(LEN(SUBSTITUTE(SUBSTITUTE(SUBSTITUTE(B6," ",""),"0",""),"-",""))+LEN(SUBSTITUTE(SUBSTITUTE(SUBSTITUTE(C6," ",""),"0",""),"-",""))),1,0))+IF(UPPER(D7)="X",0,IF((LEN(SUBSTITUTE(SUBSTITUTE(SUBSTITUTE(E7," ",""),"0",""),"-",""))+LEN(SUBSTITUTE(SUBSTITUTE(SUBSTITUTE(F7," ",""),"0",""),"-","")))&gt;(LEN(SUBSTITUTE(SUBSTITUTE(SUBSTITUTE(B7," ",""),"0",""),"-",""))+LEN(SUBSTITUTE(SUBSTITUTE(SUBSTITUTE(C7," ",""),"0",""),"-",""))),1,0))+IF(UPPER(D8)="X",0,IF((LEN(SUBSTITUTE(SUBSTITUTE(SUBSTITUTE(E8," ",""),"0",""),"-",""))+LEN(SUBSTITUTE(SUBSTITUTE(SUBSTITUTE(F8," ",""),"0",""),"-","")))&gt;(LEN(SUBSTITUTE(SUBSTITUTE(SUBSTITUTE(B8," ",""),"0",""),"-",""))+LEN(SUBSTITUTE(SUBSTITUTE(SUBSTITUTE(C8," ",""),"0",""),"-",""))),1,0))+IF(UPPER(D9)="X",0,IF((LEN(SUBSTITUTE(SUBSTITUTE(SUBSTITUTE(E9," ",""),"0",""),"-",""))+LEN(SUBSTITUTE(SUBSTITUTE(SUBSTITUTE(F9," ",""),"0",""),"-","")))&gt;(LEN(SUBSTITUTE(SUBSTITUTE(SUBSTITUTE(B9," ",""),"0",""),"-",""))+LEN(SUBSTITUTE(SUBSTITUTE(SUBSTITUTE(C9," ",""),"0",""),"-",""))),1,0))</f>
      </c>
      <c r="G4" s="14" t="str">
        <f>data!$D$3&amp;" "&amp;data!$B$3</f>
      </c>
      <c r="I4" s="14" t="str">
        <f>data!$D$11&amp;" "&amp;data!$B$11</f>
      </c>
      <c r="J4" s="14" t="str">
        <f>IF(UPPER(L5)="X",0,IF((LEN(SUBSTITUTE(SUBSTITUTE(SUBSTITUTE(J5," ",""),"0",""),"-",""))+LEN(SUBSTITUTE(SUBSTITUTE(SUBSTITUTE(K5," ",""),"0",""),"-","")))&gt;(LEN(SUBSTITUTE(SUBSTITUTE(SUBSTITUTE(M5," ",""),"0",""),"-",""))+LEN(SUBSTITUTE(SUBSTITUTE(SUBSTITUTE(N5," ",""),"0",""),"-",""))),1,0))+IF(UPPER(L6)="X",0,IF((LEN(SUBSTITUTE(SUBSTITUTE(SUBSTITUTE(J6," ",""),"0",""),"-",""))+LEN(SUBSTITUTE(SUBSTITUTE(SUBSTITUTE(K6," ",""),"0",""),"-","")))&gt;(LEN(SUBSTITUTE(SUBSTITUTE(SUBSTITUTE(M6," ",""),"0",""),"-",""))+LEN(SUBSTITUTE(SUBSTITUTE(SUBSTITUTE(N6," ",""),"0",""),"-",""))),1,0))+IF(UPPER(L7)="X",0,IF((LEN(SUBSTITUTE(SUBSTITUTE(SUBSTITUTE(J7," ",""),"0",""),"-",""))+LEN(SUBSTITUTE(SUBSTITUTE(SUBSTITUTE(K7," ",""),"0",""),"-","")))&gt;(LEN(SUBSTITUTE(SUBSTITUTE(SUBSTITUTE(M7," ",""),"0",""),"-",""))+LEN(SUBSTITUTE(SUBSTITUTE(SUBSTITUTE(N7," ",""),"0",""),"-",""))),1,0))+IF(UPPER(L8)="X",0,IF((LEN(SUBSTITUTE(SUBSTITUTE(SUBSTITUTE(J8," ",""),"0",""),"-",""))+LEN(SUBSTITUTE(SUBSTITUTE(SUBSTITUTE(K8," ",""),"0",""),"-","")))&gt;(LEN(SUBSTITUTE(SUBSTITUTE(SUBSTITUTE(M8," ",""),"0",""),"-",""))+LEN(SUBSTITUTE(SUBSTITUTE(SUBSTITUTE(N8," ",""),"0",""),"-",""))),1,0))+IF(UPPER(L9)="X",0,IF((LEN(SUBSTITUTE(SUBSTITUTE(SUBSTITUTE(J9," ",""),"0",""),"-",""))+LEN(SUBSTITUTE(SUBSTITUTE(SUBSTITUTE(K9," ",""),"0",""),"-","")))&gt;(LEN(SUBSTITUTE(SUBSTITUTE(SUBSTITUTE(M9," ",""),"0",""),"-",""))+LEN(SUBSTITUTE(SUBSTITUTE(SUBSTITUTE(N9," ",""),"0",""),"-",""))),1,0))</f>
      </c>
      <c r="K4" s="14" t="str">
        <f>LEN(SUBSTITUTE(SUBSTITUTE(SUBSTITUTE(J5," ",""),"0",""),"-",""))+LEN(SUBSTITUTE(SUBSTITUTE(SUBSTITUTE(K5," ",""),"0",""),"-",""))+LEN(SUBSTITUTE(SUBSTITUTE(SUBSTITUTE(J6," ",""),"0",""),"-",""))+LEN(SUBSTITUTE(SUBSTITUTE(SUBSTITUTE(K6," ",""),"0",""),"-",""))+LEN(SUBSTITUTE(SUBSTITUTE(SUBSTITUTE(J7," ",""),"0",""),"-",""))+LEN(SUBSTITUTE(SUBSTITUTE(SUBSTITUTE(K7," ",""),"0",""),"-",""))+LEN(SUBSTITUTE(SUBSTITUTE(SUBSTITUTE(J8," ",""),"0",""),"-",""))+LEN(SUBSTITUTE(SUBSTITUTE(SUBSTITUTE(K8," ",""),"0",""),"-",""))+LEN(SUBSTITUTE(SUBSTITUTE(SUBSTITUTE(J9," ",""),"0",""),"-",""))+LEN(SUBSTITUTE(SUBSTITUTE(SUBSTITUTE(K9," ",""),"0",""),"-",""))</f>
      </c>
      <c r="L4" s="18"/>
      <c r="M4" s="14" t="str">
        <f>LEN(SUBSTITUTE(SUBSTITUTE(SUBSTITUTE(M5," ",""),"0",""),"-",""))+LEN(SUBSTITUTE(SUBSTITUTE(SUBSTITUTE(N5," ",""),"0",""),"-",""))+LEN(SUBSTITUTE(SUBSTITUTE(SUBSTITUTE(M6," ",""),"0",""),"-",""))+LEN(SUBSTITUTE(SUBSTITUTE(SUBSTITUTE(N6," ",""),"0",""),"-",""))+LEN(SUBSTITUTE(SUBSTITUTE(SUBSTITUTE(M7," ",""),"0",""),"-",""))+LEN(SUBSTITUTE(SUBSTITUTE(SUBSTITUTE(N7," ",""),"0",""),"-",""))+LEN(SUBSTITUTE(SUBSTITUTE(SUBSTITUTE(M8," ",""),"0",""),"-",""))+LEN(SUBSTITUTE(SUBSTITUTE(SUBSTITUTE(N8," ",""),"0",""),"-",""))+LEN(SUBSTITUTE(SUBSTITUTE(SUBSTITUTE(M9," ",""),"0",""),"-",""))+LEN(SUBSTITUTE(SUBSTITUTE(SUBSTITUTE(N9," ",""),"0",""),"-",""))</f>
      </c>
      <c r="N4" s="14" t="str">
        <f>IF(UPPER(L5)="X",0,IF((LEN(SUBSTITUTE(SUBSTITUTE(SUBSTITUTE(M5," ",""),"0",""),"-",""))+LEN(SUBSTITUTE(SUBSTITUTE(SUBSTITUTE(N5," ",""),"0",""),"-","")))&gt;(LEN(SUBSTITUTE(SUBSTITUTE(SUBSTITUTE(J5," ",""),"0",""),"-",""))+LEN(SUBSTITUTE(SUBSTITUTE(SUBSTITUTE(K5," ",""),"0",""),"-",""))),1,0))+IF(UPPER(L6)="X",0,IF((LEN(SUBSTITUTE(SUBSTITUTE(SUBSTITUTE(M6," ",""),"0",""),"-",""))+LEN(SUBSTITUTE(SUBSTITUTE(SUBSTITUTE(N6," ",""),"0",""),"-","")))&gt;(LEN(SUBSTITUTE(SUBSTITUTE(SUBSTITUTE(J6," ",""),"0",""),"-",""))+LEN(SUBSTITUTE(SUBSTITUTE(SUBSTITUTE(K6," ",""),"0",""),"-",""))),1,0))+IF(UPPER(L7)="X",0,IF((LEN(SUBSTITUTE(SUBSTITUTE(SUBSTITUTE(M7," ",""),"0",""),"-",""))+LEN(SUBSTITUTE(SUBSTITUTE(SUBSTITUTE(N7," ",""),"0",""),"-","")))&gt;(LEN(SUBSTITUTE(SUBSTITUTE(SUBSTITUTE(J7," ",""),"0",""),"-",""))+LEN(SUBSTITUTE(SUBSTITUTE(SUBSTITUTE(K7," ",""),"0",""),"-",""))),1,0))+IF(UPPER(L8)="X",0,IF((LEN(SUBSTITUTE(SUBSTITUTE(SUBSTITUTE(M8," ",""),"0",""),"-",""))+LEN(SUBSTITUTE(SUBSTITUTE(SUBSTITUTE(N8," ",""),"0",""),"-","")))&gt;(LEN(SUBSTITUTE(SUBSTITUTE(SUBSTITUTE(J8," ",""),"0",""),"-",""))+LEN(SUBSTITUTE(SUBSTITUTE(SUBSTITUTE(K8," ",""),"0",""),"-",""))),1,0))+IF(UPPER(L9)="X",0,IF((LEN(SUBSTITUTE(SUBSTITUTE(SUBSTITUTE(M9," ",""),"0",""),"-",""))+LEN(SUBSTITUTE(SUBSTITUTE(SUBSTITUTE(N9," ",""),"0",""),"-","")))&gt;(LEN(SUBSTITUTE(SUBSTITUTE(SUBSTITUTE(J9," ",""),"0",""),"-",""))+LEN(SUBSTITUTE(SUBSTITUTE(SUBSTITUTE(K9," ",""),"0",""),"-",""))),1,0))</f>
      </c>
      <c r="O4" s="14" t="str">
        <f>data!$D$10&amp;" "&amp;data!$B$10</f>
      </c>
    </row>
    <row r="5">
      <c r="A5" s="14">
        <v>1</v>
      </c>
      <c r="B5" s="18"/>
      <c r="C5" s="18"/>
      <c r="D5" s="18"/>
      <c r="E5" s="18"/>
      <c r="F5" s="18"/>
      <c r="G5" s="14">
        <v>1</v>
      </c>
      <c r="I5" s="14">
        <v>1</v>
      </c>
      <c r="J5" s="18"/>
      <c r="K5" s="18"/>
      <c r="L5" s="18"/>
      <c r="M5" s="18"/>
      <c r="N5" s="18"/>
      <c r="O5" s="14">
        <v>1</v>
      </c>
    </row>
    <row r="6">
      <c r="A6" s="14">
        <v>2</v>
      </c>
      <c r="B6" s="18"/>
      <c r="C6" s="18"/>
      <c r="D6" s="18"/>
      <c r="E6" s="18"/>
      <c r="F6" s="18"/>
      <c r="G6" s="14">
        <v>2</v>
      </c>
      <c r="I6" s="14">
        <v>2</v>
      </c>
      <c r="J6" s="18"/>
      <c r="K6" s="18"/>
      <c r="L6" s="18"/>
      <c r="M6" s="18"/>
      <c r="N6" s="18"/>
      <c r="O6" s="14">
        <v>2</v>
      </c>
    </row>
    <row r="7">
      <c r="A7" s="14">
        <v>3</v>
      </c>
      <c r="B7" s="18"/>
      <c r="C7" s="18"/>
      <c r="D7" s="18"/>
      <c r="E7" s="18"/>
      <c r="F7" s="18"/>
      <c r="G7" s="14">
        <v>3</v>
      </c>
      <c r="I7" s="14">
        <v>3</v>
      </c>
      <c r="J7" s="18"/>
      <c r="K7" s="18"/>
      <c r="L7" s="18"/>
      <c r="M7" s="18"/>
      <c r="N7" s="18"/>
      <c r="O7" s="14">
        <v>3</v>
      </c>
    </row>
    <row r="8">
      <c r="A8" s="14">
        <v>4</v>
      </c>
      <c r="B8" s="18"/>
      <c r="C8" s="18"/>
      <c r="D8" s="18"/>
      <c r="E8" s="18"/>
      <c r="F8" s="18"/>
      <c r="G8" s="14">
        <v>4</v>
      </c>
      <c r="I8" s="14">
        <v>4</v>
      </c>
      <c r="J8" s="18"/>
      <c r="K8" s="18"/>
      <c r="L8" s="18"/>
      <c r="M8" s="18"/>
      <c r="N8" s="18"/>
      <c r="O8" s="14">
        <v>4</v>
      </c>
    </row>
    <row r="9">
      <c r="A9" s="14">
        <v>5</v>
      </c>
      <c r="B9" s="18"/>
      <c r="C9" s="18"/>
      <c r="D9" s="18"/>
      <c r="E9" s="18"/>
      <c r="F9" s="18"/>
      <c r="G9" s="14">
        <v>5</v>
      </c>
      <c r="I9" s="14">
        <v>5</v>
      </c>
      <c r="J9" s="18"/>
      <c r="K9" s="18"/>
      <c r="L9" s="18"/>
      <c r="M9" s="18"/>
      <c r="N9" s="18"/>
      <c r="O9" s="14">
        <v>5</v>
      </c>
    </row>
    <row r="11">
      <c r="A11" s="17" t="s">
        <v>46</v>
      </c>
      <c r="B11" s="14"/>
      <c r="C11" s="14"/>
      <c r="D11" s="14" t="s">
        <v>47</v>
      </c>
      <c r="E11" s="14"/>
      <c r="F11" s="14"/>
      <c r="G11" s="16" t="s">
        <v>48</v>
      </c>
      <c r="I11" s="17" t="s">
        <v>46</v>
      </c>
      <c r="J11" s="14"/>
      <c r="K11" s="14"/>
      <c r="L11" s="14" t="s">
        <v>47</v>
      </c>
      <c r="M11" s="14"/>
      <c r="N11" s="14"/>
      <c r="O11" s="16" t="s">
        <v>48</v>
      </c>
    </row>
    <row r="12">
      <c r="A12" s="14" t="str">
        <f>data!$D$4&amp;" "&amp;data!$B$4</f>
      </c>
      <c r="B12" s="14" t="str">
        <f>IF(UPPER(D13)="X",0,IF((LEN(SUBSTITUTE(SUBSTITUTE(SUBSTITUTE(B13," ",""),"0",""),"-",""))+LEN(SUBSTITUTE(SUBSTITUTE(SUBSTITUTE(C13," ",""),"0",""),"-","")))&gt;(LEN(SUBSTITUTE(SUBSTITUTE(SUBSTITUTE(E13," ",""),"0",""),"-",""))+LEN(SUBSTITUTE(SUBSTITUTE(SUBSTITUTE(F13," ",""),"0",""),"-",""))),1,0))+IF(UPPER(D14)="X",0,IF((LEN(SUBSTITUTE(SUBSTITUTE(SUBSTITUTE(B14," ",""),"0",""),"-",""))+LEN(SUBSTITUTE(SUBSTITUTE(SUBSTITUTE(C14," ",""),"0",""),"-","")))&gt;(LEN(SUBSTITUTE(SUBSTITUTE(SUBSTITUTE(E14," ",""),"0",""),"-",""))+LEN(SUBSTITUTE(SUBSTITUTE(SUBSTITUTE(F14," ",""),"0",""),"-",""))),1,0))+IF(UPPER(D15)="X",0,IF((LEN(SUBSTITUTE(SUBSTITUTE(SUBSTITUTE(B15," ",""),"0",""),"-",""))+LEN(SUBSTITUTE(SUBSTITUTE(SUBSTITUTE(C15," ",""),"0",""),"-","")))&gt;(LEN(SUBSTITUTE(SUBSTITUTE(SUBSTITUTE(E15," ",""),"0",""),"-",""))+LEN(SUBSTITUTE(SUBSTITUTE(SUBSTITUTE(F15," ",""),"0",""),"-",""))),1,0))+IF(UPPER(D16)="X",0,IF((LEN(SUBSTITUTE(SUBSTITUTE(SUBSTITUTE(B16," ",""),"0",""),"-",""))+LEN(SUBSTITUTE(SUBSTITUTE(SUBSTITUTE(C16," ",""),"0",""),"-","")))&gt;(LEN(SUBSTITUTE(SUBSTITUTE(SUBSTITUTE(E16," ",""),"0",""),"-",""))+LEN(SUBSTITUTE(SUBSTITUTE(SUBSTITUTE(F16," ",""),"0",""),"-",""))),1,0))+IF(UPPER(D17)="X",0,IF((LEN(SUBSTITUTE(SUBSTITUTE(SUBSTITUTE(B17," ",""),"0",""),"-",""))+LEN(SUBSTITUTE(SUBSTITUTE(SUBSTITUTE(C17," ",""),"0",""),"-","")))&gt;(LEN(SUBSTITUTE(SUBSTITUTE(SUBSTITUTE(E17," ",""),"0",""),"-",""))+LEN(SUBSTITUTE(SUBSTITUTE(SUBSTITUTE(F17," ",""),"0",""),"-",""))),1,0))</f>
      </c>
      <c r="C12" s="14" t="str">
        <f>LEN(SUBSTITUTE(SUBSTITUTE(SUBSTITUTE(B13," ",""),"0",""),"-",""))+LEN(SUBSTITUTE(SUBSTITUTE(SUBSTITUTE(C13," ",""),"0",""),"-",""))+LEN(SUBSTITUTE(SUBSTITUTE(SUBSTITUTE(B14," ",""),"0",""),"-",""))+LEN(SUBSTITUTE(SUBSTITUTE(SUBSTITUTE(C14," ",""),"0",""),"-",""))+LEN(SUBSTITUTE(SUBSTITUTE(SUBSTITUTE(B15," ",""),"0",""),"-",""))+LEN(SUBSTITUTE(SUBSTITUTE(SUBSTITUTE(C15," ",""),"0",""),"-",""))+LEN(SUBSTITUTE(SUBSTITUTE(SUBSTITUTE(B16," ",""),"0",""),"-",""))+LEN(SUBSTITUTE(SUBSTITUTE(SUBSTITUTE(C16," ",""),"0",""),"-",""))+LEN(SUBSTITUTE(SUBSTITUTE(SUBSTITUTE(B17," ",""),"0",""),"-",""))+LEN(SUBSTITUTE(SUBSTITUTE(SUBSTITUTE(C17," ",""),"0",""),"-",""))</f>
      </c>
      <c r="D12" s="18"/>
      <c r="E12" s="14" t="str">
        <f>LEN(SUBSTITUTE(SUBSTITUTE(SUBSTITUTE(E13," ",""),"0",""),"-",""))+LEN(SUBSTITUTE(SUBSTITUTE(SUBSTITUTE(F13," ",""),"0",""),"-",""))+LEN(SUBSTITUTE(SUBSTITUTE(SUBSTITUTE(E14," ",""),"0",""),"-",""))+LEN(SUBSTITUTE(SUBSTITUTE(SUBSTITUTE(F14," ",""),"0",""),"-",""))+LEN(SUBSTITUTE(SUBSTITUTE(SUBSTITUTE(E15," ",""),"0",""),"-",""))+LEN(SUBSTITUTE(SUBSTITUTE(SUBSTITUTE(F15," ",""),"0",""),"-",""))+LEN(SUBSTITUTE(SUBSTITUTE(SUBSTITUTE(E16," ",""),"0",""),"-",""))+LEN(SUBSTITUTE(SUBSTITUTE(SUBSTITUTE(F16," ",""),"0",""),"-",""))+LEN(SUBSTITUTE(SUBSTITUTE(SUBSTITUTE(E17," ",""),"0",""),"-",""))+LEN(SUBSTITUTE(SUBSTITUTE(SUBSTITUTE(F17," ",""),"0",""),"-",""))</f>
      </c>
      <c r="F12" s="14" t="str">
        <f>IF(UPPER(D13)="X",0,IF((LEN(SUBSTITUTE(SUBSTITUTE(SUBSTITUTE(E13," ",""),"0",""),"-",""))+LEN(SUBSTITUTE(SUBSTITUTE(SUBSTITUTE(F13," ",""),"0",""),"-","")))&gt;(LEN(SUBSTITUTE(SUBSTITUTE(SUBSTITUTE(B13," ",""),"0",""),"-",""))+LEN(SUBSTITUTE(SUBSTITUTE(SUBSTITUTE(C13," ",""),"0",""),"-",""))),1,0))+IF(UPPER(D14)="X",0,IF((LEN(SUBSTITUTE(SUBSTITUTE(SUBSTITUTE(E14," ",""),"0",""),"-",""))+LEN(SUBSTITUTE(SUBSTITUTE(SUBSTITUTE(F14," ",""),"0",""),"-","")))&gt;(LEN(SUBSTITUTE(SUBSTITUTE(SUBSTITUTE(B14," ",""),"0",""),"-",""))+LEN(SUBSTITUTE(SUBSTITUTE(SUBSTITUTE(C14," ",""),"0",""),"-",""))),1,0))+IF(UPPER(D15)="X",0,IF((LEN(SUBSTITUTE(SUBSTITUTE(SUBSTITUTE(E15," ",""),"0",""),"-",""))+LEN(SUBSTITUTE(SUBSTITUTE(SUBSTITUTE(F15," ",""),"0",""),"-","")))&gt;(LEN(SUBSTITUTE(SUBSTITUTE(SUBSTITUTE(B15," ",""),"0",""),"-",""))+LEN(SUBSTITUTE(SUBSTITUTE(SUBSTITUTE(C15," ",""),"0",""),"-",""))),1,0))+IF(UPPER(D16)="X",0,IF((LEN(SUBSTITUTE(SUBSTITUTE(SUBSTITUTE(E16," ",""),"0",""),"-",""))+LEN(SUBSTITUTE(SUBSTITUTE(SUBSTITUTE(F16," ",""),"0",""),"-","")))&gt;(LEN(SUBSTITUTE(SUBSTITUTE(SUBSTITUTE(B16," ",""),"0",""),"-",""))+LEN(SUBSTITUTE(SUBSTITUTE(SUBSTITUTE(C16," ",""),"0",""),"-",""))),1,0))+IF(UPPER(D17)="X",0,IF((LEN(SUBSTITUTE(SUBSTITUTE(SUBSTITUTE(E17," ",""),"0",""),"-",""))+LEN(SUBSTITUTE(SUBSTITUTE(SUBSTITUTE(F17," ",""),"0",""),"-","")))&gt;(LEN(SUBSTITUTE(SUBSTITUTE(SUBSTITUTE(B17," ",""),"0",""),"-",""))+LEN(SUBSTITUTE(SUBSTITUTE(SUBSTITUTE(C17," ",""),"0",""),"-",""))),1,0))</f>
      </c>
      <c r="G12" s="14" t="str">
        <f>data!$D$5&amp;" "&amp;data!$B$5</f>
      </c>
      <c r="I12" s="14" t="str">
        <f>data!$D$12&amp;" "&amp;data!$B$12</f>
      </c>
      <c r="J12" s="14" t="str">
        <f>IF(UPPER(L13)="X",0,IF((LEN(SUBSTITUTE(SUBSTITUTE(SUBSTITUTE(J13," ",""),"0",""),"-",""))+LEN(SUBSTITUTE(SUBSTITUTE(SUBSTITUTE(K13," ",""),"0",""),"-","")))&gt;(LEN(SUBSTITUTE(SUBSTITUTE(SUBSTITUTE(M13," ",""),"0",""),"-",""))+LEN(SUBSTITUTE(SUBSTITUTE(SUBSTITUTE(N13," ",""),"0",""),"-",""))),1,0))+IF(UPPER(L14)="X",0,IF((LEN(SUBSTITUTE(SUBSTITUTE(SUBSTITUTE(J14," ",""),"0",""),"-",""))+LEN(SUBSTITUTE(SUBSTITUTE(SUBSTITUTE(K14," ",""),"0",""),"-","")))&gt;(LEN(SUBSTITUTE(SUBSTITUTE(SUBSTITUTE(M14," ",""),"0",""),"-",""))+LEN(SUBSTITUTE(SUBSTITUTE(SUBSTITUTE(N14," ",""),"0",""),"-",""))),1,0))+IF(UPPER(L15)="X",0,IF((LEN(SUBSTITUTE(SUBSTITUTE(SUBSTITUTE(J15," ",""),"0",""),"-",""))+LEN(SUBSTITUTE(SUBSTITUTE(SUBSTITUTE(K15," ",""),"0",""),"-","")))&gt;(LEN(SUBSTITUTE(SUBSTITUTE(SUBSTITUTE(M15," ",""),"0",""),"-",""))+LEN(SUBSTITUTE(SUBSTITUTE(SUBSTITUTE(N15," ",""),"0",""),"-",""))),1,0))+IF(UPPER(L16)="X",0,IF((LEN(SUBSTITUTE(SUBSTITUTE(SUBSTITUTE(J16," ",""),"0",""),"-",""))+LEN(SUBSTITUTE(SUBSTITUTE(SUBSTITUTE(K16," ",""),"0",""),"-","")))&gt;(LEN(SUBSTITUTE(SUBSTITUTE(SUBSTITUTE(M16," ",""),"0",""),"-",""))+LEN(SUBSTITUTE(SUBSTITUTE(SUBSTITUTE(N16," ",""),"0",""),"-",""))),1,0))+IF(UPPER(L17)="X",0,IF((LEN(SUBSTITUTE(SUBSTITUTE(SUBSTITUTE(J17," ",""),"0",""),"-",""))+LEN(SUBSTITUTE(SUBSTITUTE(SUBSTITUTE(K17," ",""),"0",""),"-","")))&gt;(LEN(SUBSTITUTE(SUBSTITUTE(SUBSTITUTE(M17," ",""),"0",""),"-",""))+LEN(SUBSTITUTE(SUBSTITUTE(SUBSTITUTE(N17," ",""),"0",""),"-",""))),1,0))</f>
      </c>
      <c r="K12" s="14" t="str">
        <f>LEN(SUBSTITUTE(SUBSTITUTE(SUBSTITUTE(J13," ",""),"0",""),"-",""))+LEN(SUBSTITUTE(SUBSTITUTE(SUBSTITUTE(K13," ",""),"0",""),"-",""))+LEN(SUBSTITUTE(SUBSTITUTE(SUBSTITUTE(J14," ",""),"0",""),"-",""))+LEN(SUBSTITUTE(SUBSTITUTE(SUBSTITUTE(K14," ",""),"0",""),"-",""))+LEN(SUBSTITUTE(SUBSTITUTE(SUBSTITUTE(J15," ",""),"0",""),"-",""))+LEN(SUBSTITUTE(SUBSTITUTE(SUBSTITUTE(K15," ",""),"0",""),"-",""))+LEN(SUBSTITUTE(SUBSTITUTE(SUBSTITUTE(J16," ",""),"0",""),"-",""))+LEN(SUBSTITUTE(SUBSTITUTE(SUBSTITUTE(K16," ",""),"0",""),"-",""))+LEN(SUBSTITUTE(SUBSTITUTE(SUBSTITUTE(J17," ",""),"0",""),"-",""))+LEN(SUBSTITUTE(SUBSTITUTE(SUBSTITUTE(K17," ",""),"0",""),"-",""))</f>
      </c>
      <c r="L12" s="18"/>
      <c r="M12" s="14" t="str">
        <f>LEN(SUBSTITUTE(SUBSTITUTE(SUBSTITUTE(M13," ",""),"0",""),"-",""))+LEN(SUBSTITUTE(SUBSTITUTE(SUBSTITUTE(N13," ",""),"0",""),"-",""))+LEN(SUBSTITUTE(SUBSTITUTE(SUBSTITUTE(M14," ",""),"0",""),"-",""))+LEN(SUBSTITUTE(SUBSTITUTE(SUBSTITUTE(N14," ",""),"0",""),"-",""))+LEN(SUBSTITUTE(SUBSTITUTE(SUBSTITUTE(M15," ",""),"0",""),"-",""))+LEN(SUBSTITUTE(SUBSTITUTE(SUBSTITUTE(N15," ",""),"0",""),"-",""))+LEN(SUBSTITUTE(SUBSTITUTE(SUBSTITUTE(M16," ",""),"0",""),"-",""))+LEN(SUBSTITUTE(SUBSTITUTE(SUBSTITUTE(N16," ",""),"0",""),"-",""))+LEN(SUBSTITUTE(SUBSTITUTE(SUBSTITUTE(M17," ",""),"0",""),"-",""))+LEN(SUBSTITUTE(SUBSTITUTE(SUBSTITUTE(N17," ",""),"0",""),"-",""))</f>
      </c>
      <c r="N12" s="14" t="str">
        <f>IF(UPPER(L13)="X",0,IF((LEN(SUBSTITUTE(SUBSTITUTE(SUBSTITUTE(M13," ",""),"0",""),"-",""))+LEN(SUBSTITUTE(SUBSTITUTE(SUBSTITUTE(N13," ",""),"0",""),"-","")))&gt;(LEN(SUBSTITUTE(SUBSTITUTE(SUBSTITUTE(J13," ",""),"0",""),"-",""))+LEN(SUBSTITUTE(SUBSTITUTE(SUBSTITUTE(K13," ",""),"0",""),"-",""))),1,0))+IF(UPPER(L14)="X",0,IF((LEN(SUBSTITUTE(SUBSTITUTE(SUBSTITUTE(M14," ",""),"0",""),"-",""))+LEN(SUBSTITUTE(SUBSTITUTE(SUBSTITUTE(N14," ",""),"0",""),"-","")))&gt;(LEN(SUBSTITUTE(SUBSTITUTE(SUBSTITUTE(J14," ",""),"0",""),"-",""))+LEN(SUBSTITUTE(SUBSTITUTE(SUBSTITUTE(K14," ",""),"0",""),"-",""))),1,0))+IF(UPPER(L15)="X",0,IF((LEN(SUBSTITUTE(SUBSTITUTE(SUBSTITUTE(M15," ",""),"0",""),"-",""))+LEN(SUBSTITUTE(SUBSTITUTE(SUBSTITUTE(N15," ",""),"0",""),"-","")))&gt;(LEN(SUBSTITUTE(SUBSTITUTE(SUBSTITUTE(J15," ",""),"0",""),"-",""))+LEN(SUBSTITUTE(SUBSTITUTE(SUBSTITUTE(K15," ",""),"0",""),"-",""))),1,0))+IF(UPPER(L16)="X",0,IF((LEN(SUBSTITUTE(SUBSTITUTE(SUBSTITUTE(M16," ",""),"0",""),"-",""))+LEN(SUBSTITUTE(SUBSTITUTE(SUBSTITUTE(N16," ",""),"0",""),"-","")))&gt;(LEN(SUBSTITUTE(SUBSTITUTE(SUBSTITUTE(J16," ",""),"0",""),"-",""))+LEN(SUBSTITUTE(SUBSTITUTE(SUBSTITUTE(K16," ",""),"0",""),"-",""))),1,0))+IF(UPPER(L17)="X",0,IF((LEN(SUBSTITUTE(SUBSTITUTE(SUBSTITUTE(M17," ",""),"0",""),"-",""))+LEN(SUBSTITUTE(SUBSTITUTE(SUBSTITUTE(N17," ",""),"0",""),"-","")))&gt;(LEN(SUBSTITUTE(SUBSTITUTE(SUBSTITUTE(J17," ",""),"0",""),"-",""))+LEN(SUBSTITUTE(SUBSTITUTE(SUBSTITUTE(K17," ",""),"0",""),"-",""))),1,0))</f>
      </c>
      <c r="O12" s="14" t="str">
        <f>data!$D$10&amp;" "&amp;data!$B$10</f>
      </c>
    </row>
    <row r="13">
      <c r="A13" s="14">
        <v>1</v>
      </c>
      <c r="B13" s="18"/>
      <c r="C13" s="18"/>
      <c r="D13" s="18"/>
      <c r="E13" s="18"/>
      <c r="F13" s="18"/>
      <c r="G13" s="14">
        <v>1</v>
      </c>
      <c r="I13" s="14">
        <v>1</v>
      </c>
      <c r="J13" s="18"/>
      <c r="K13" s="18"/>
      <c r="L13" s="18"/>
      <c r="M13" s="18"/>
      <c r="N13" s="18"/>
      <c r="O13" s="14">
        <v>1</v>
      </c>
    </row>
    <row r="14">
      <c r="A14" s="14">
        <v>2</v>
      </c>
      <c r="B14" s="18"/>
      <c r="C14" s="18"/>
      <c r="D14" s="18"/>
      <c r="E14" s="18"/>
      <c r="F14" s="18"/>
      <c r="G14" s="14">
        <v>2</v>
      </c>
      <c r="I14" s="14">
        <v>2</v>
      </c>
      <c r="J14" s="18"/>
      <c r="K14" s="18"/>
      <c r="L14" s="18"/>
      <c r="M14" s="18"/>
      <c r="N14" s="18"/>
      <c r="O14" s="14">
        <v>2</v>
      </c>
    </row>
    <row r="15">
      <c r="A15" s="14">
        <v>3</v>
      </c>
      <c r="B15" s="18"/>
      <c r="C15" s="18"/>
      <c r="D15" s="18"/>
      <c r="E15" s="18"/>
      <c r="F15" s="18"/>
      <c r="G15" s="14">
        <v>3</v>
      </c>
      <c r="I15" s="14">
        <v>3</v>
      </c>
      <c r="J15" s="18"/>
      <c r="K15" s="18"/>
      <c r="L15" s="18"/>
      <c r="M15" s="18"/>
      <c r="N15" s="18"/>
      <c r="O15" s="14">
        <v>3</v>
      </c>
    </row>
    <row r="16">
      <c r="A16" s="14">
        <v>4</v>
      </c>
      <c r="B16" s="18"/>
      <c r="C16" s="18"/>
      <c r="D16" s="18"/>
      <c r="E16" s="18"/>
      <c r="F16" s="18"/>
      <c r="G16" s="14">
        <v>4</v>
      </c>
      <c r="I16" s="14">
        <v>4</v>
      </c>
      <c r="J16" s="18"/>
      <c r="K16" s="18"/>
      <c r="L16" s="18"/>
      <c r="M16" s="18"/>
      <c r="N16" s="18"/>
      <c r="O16" s="14">
        <v>4</v>
      </c>
    </row>
    <row r="17">
      <c r="A17" s="14">
        <v>5</v>
      </c>
      <c r="B17" s="18"/>
      <c r="C17" s="18"/>
      <c r="D17" s="18"/>
      <c r="E17" s="18"/>
      <c r="F17" s="18"/>
      <c r="G17" s="14">
        <v>5</v>
      </c>
      <c r="I17" s="14">
        <v>5</v>
      </c>
      <c r="J17" s="18"/>
      <c r="K17" s="18"/>
      <c r="L17" s="18"/>
      <c r="M17" s="18"/>
      <c r="N17" s="18"/>
      <c r="O17" s="14">
        <v>5</v>
      </c>
    </row>
    <row r="19">
      <c r="A19" s="17" t="s">
        <v>46</v>
      </c>
      <c r="B19" s="14"/>
      <c r="C19" s="14"/>
      <c r="D19" s="14" t="s">
        <v>47</v>
      </c>
      <c r="E19" s="14"/>
      <c r="F19" s="14"/>
      <c r="G19" s="16" t="s">
        <v>48</v>
      </c>
      <c r="I19" s="17" t="s">
        <v>46</v>
      </c>
      <c r="J19" s="14"/>
      <c r="K19" s="14"/>
      <c r="L19" s="14" t="s">
        <v>47</v>
      </c>
      <c r="M19" s="14"/>
      <c r="N19" s="14"/>
      <c r="O19" s="16" t="s">
        <v>48</v>
      </c>
    </row>
    <row r="20">
      <c r="A20" s="14" t="str">
        <f>data!$D$6&amp;" "&amp;data!$B$6</f>
      </c>
      <c r="B20" s="14" t="str">
        <f>IF(UPPER(D21)="X",0,IF((LEN(SUBSTITUTE(SUBSTITUTE(SUBSTITUTE(B21," ",""),"0",""),"-",""))+LEN(SUBSTITUTE(SUBSTITUTE(SUBSTITUTE(C21," ",""),"0",""),"-","")))&gt;(LEN(SUBSTITUTE(SUBSTITUTE(SUBSTITUTE(E21," ",""),"0",""),"-",""))+LEN(SUBSTITUTE(SUBSTITUTE(SUBSTITUTE(F21," ",""),"0",""),"-",""))),1,0))+IF(UPPER(D22)="X",0,IF((LEN(SUBSTITUTE(SUBSTITUTE(SUBSTITUTE(B22," ",""),"0",""),"-",""))+LEN(SUBSTITUTE(SUBSTITUTE(SUBSTITUTE(C22," ",""),"0",""),"-","")))&gt;(LEN(SUBSTITUTE(SUBSTITUTE(SUBSTITUTE(E22," ",""),"0",""),"-",""))+LEN(SUBSTITUTE(SUBSTITUTE(SUBSTITUTE(F22," ",""),"0",""),"-",""))),1,0))+IF(UPPER(D23)="X",0,IF((LEN(SUBSTITUTE(SUBSTITUTE(SUBSTITUTE(B23," ",""),"0",""),"-",""))+LEN(SUBSTITUTE(SUBSTITUTE(SUBSTITUTE(C23," ",""),"0",""),"-","")))&gt;(LEN(SUBSTITUTE(SUBSTITUTE(SUBSTITUTE(E23," ",""),"0",""),"-",""))+LEN(SUBSTITUTE(SUBSTITUTE(SUBSTITUTE(F23," ",""),"0",""),"-",""))),1,0))+IF(UPPER(D24)="X",0,IF((LEN(SUBSTITUTE(SUBSTITUTE(SUBSTITUTE(B24," ",""),"0",""),"-",""))+LEN(SUBSTITUTE(SUBSTITUTE(SUBSTITUTE(C24," ",""),"0",""),"-","")))&gt;(LEN(SUBSTITUTE(SUBSTITUTE(SUBSTITUTE(E24," ",""),"0",""),"-",""))+LEN(SUBSTITUTE(SUBSTITUTE(SUBSTITUTE(F24," ",""),"0",""),"-",""))),1,0))+IF(UPPER(D25)="X",0,IF((LEN(SUBSTITUTE(SUBSTITUTE(SUBSTITUTE(B25," ",""),"0",""),"-",""))+LEN(SUBSTITUTE(SUBSTITUTE(SUBSTITUTE(C25," ",""),"0",""),"-","")))&gt;(LEN(SUBSTITUTE(SUBSTITUTE(SUBSTITUTE(E25," ",""),"0",""),"-",""))+LEN(SUBSTITUTE(SUBSTITUTE(SUBSTITUTE(F25," ",""),"0",""),"-",""))),1,0))</f>
      </c>
      <c r="C20" s="14" t="str">
        <f>LEN(SUBSTITUTE(SUBSTITUTE(SUBSTITUTE(B21," ",""),"0",""),"-",""))+LEN(SUBSTITUTE(SUBSTITUTE(SUBSTITUTE(C21," ",""),"0",""),"-",""))+LEN(SUBSTITUTE(SUBSTITUTE(SUBSTITUTE(B22," ",""),"0",""),"-",""))+LEN(SUBSTITUTE(SUBSTITUTE(SUBSTITUTE(C22," ",""),"0",""),"-",""))+LEN(SUBSTITUTE(SUBSTITUTE(SUBSTITUTE(B23," ",""),"0",""),"-",""))+LEN(SUBSTITUTE(SUBSTITUTE(SUBSTITUTE(C23," ",""),"0",""),"-",""))+LEN(SUBSTITUTE(SUBSTITUTE(SUBSTITUTE(B24," ",""),"0",""),"-",""))+LEN(SUBSTITUTE(SUBSTITUTE(SUBSTITUTE(C24," ",""),"0",""),"-",""))+LEN(SUBSTITUTE(SUBSTITUTE(SUBSTITUTE(B25," ",""),"0",""),"-",""))+LEN(SUBSTITUTE(SUBSTITUTE(SUBSTITUTE(C25," ",""),"0",""),"-",""))</f>
      </c>
      <c r="D20" s="18"/>
      <c r="E20" s="14" t="str">
        <f>LEN(SUBSTITUTE(SUBSTITUTE(SUBSTITUTE(E21," ",""),"0",""),"-",""))+LEN(SUBSTITUTE(SUBSTITUTE(SUBSTITUTE(F21," ",""),"0",""),"-",""))+LEN(SUBSTITUTE(SUBSTITUTE(SUBSTITUTE(E22," ",""),"0",""),"-",""))+LEN(SUBSTITUTE(SUBSTITUTE(SUBSTITUTE(F22," ",""),"0",""),"-",""))+LEN(SUBSTITUTE(SUBSTITUTE(SUBSTITUTE(E23," ",""),"0",""),"-",""))+LEN(SUBSTITUTE(SUBSTITUTE(SUBSTITUTE(F23," ",""),"0",""),"-",""))+LEN(SUBSTITUTE(SUBSTITUTE(SUBSTITUTE(E24," ",""),"0",""),"-",""))+LEN(SUBSTITUTE(SUBSTITUTE(SUBSTITUTE(F24," ",""),"0",""),"-",""))+LEN(SUBSTITUTE(SUBSTITUTE(SUBSTITUTE(E25," ",""),"0",""),"-",""))+LEN(SUBSTITUTE(SUBSTITUTE(SUBSTITUTE(F25," ",""),"0",""),"-",""))</f>
      </c>
      <c r="F20" s="14" t="str">
        <f>IF(UPPER(D21)="X",0,IF((LEN(SUBSTITUTE(SUBSTITUTE(SUBSTITUTE(E21," ",""),"0",""),"-",""))+LEN(SUBSTITUTE(SUBSTITUTE(SUBSTITUTE(F21," ",""),"0",""),"-","")))&gt;(LEN(SUBSTITUTE(SUBSTITUTE(SUBSTITUTE(B21," ",""),"0",""),"-",""))+LEN(SUBSTITUTE(SUBSTITUTE(SUBSTITUTE(C21," ",""),"0",""),"-",""))),1,0))+IF(UPPER(D22)="X",0,IF((LEN(SUBSTITUTE(SUBSTITUTE(SUBSTITUTE(E22," ",""),"0",""),"-",""))+LEN(SUBSTITUTE(SUBSTITUTE(SUBSTITUTE(F22," ",""),"0",""),"-","")))&gt;(LEN(SUBSTITUTE(SUBSTITUTE(SUBSTITUTE(B22," ",""),"0",""),"-",""))+LEN(SUBSTITUTE(SUBSTITUTE(SUBSTITUTE(C22," ",""),"0",""),"-",""))),1,0))+IF(UPPER(D23)="X",0,IF((LEN(SUBSTITUTE(SUBSTITUTE(SUBSTITUTE(E23," ",""),"0",""),"-",""))+LEN(SUBSTITUTE(SUBSTITUTE(SUBSTITUTE(F23," ",""),"0",""),"-","")))&gt;(LEN(SUBSTITUTE(SUBSTITUTE(SUBSTITUTE(B23," ",""),"0",""),"-",""))+LEN(SUBSTITUTE(SUBSTITUTE(SUBSTITUTE(C23," ",""),"0",""),"-",""))),1,0))+IF(UPPER(D24)="X",0,IF((LEN(SUBSTITUTE(SUBSTITUTE(SUBSTITUTE(E24," ",""),"0",""),"-",""))+LEN(SUBSTITUTE(SUBSTITUTE(SUBSTITUTE(F24," ",""),"0",""),"-","")))&gt;(LEN(SUBSTITUTE(SUBSTITUTE(SUBSTITUTE(B24," ",""),"0",""),"-",""))+LEN(SUBSTITUTE(SUBSTITUTE(SUBSTITUTE(C24," ",""),"0",""),"-",""))),1,0))+IF(UPPER(D25)="X",0,IF((LEN(SUBSTITUTE(SUBSTITUTE(SUBSTITUTE(E25," ",""),"0",""),"-",""))+LEN(SUBSTITUTE(SUBSTITUTE(SUBSTITUTE(F25," ",""),"0",""),"-","")))&gt;(LEN(SUBSTITUTE(SUBSTITUTE(SUBSTITUTE(B25," ",""),"0",""),"-",""))+LEN(SUBSTITUTE(SUBSTITUTE(SUBSTITUTE(C25," ",""),"0",""),"-",""))),1,0))</f>
      </c>
      <c r="G20" s="14" t="str">
        <f>data!$D$5&amp;" "&amp;data!$B$5</f>
      </c>
      <c r="I20" s="14" t="str">
        <f>data!$D$12&amp;" "&amp;data!$B$12</f>
      </c>
      <c r="J20" s="14" t="str">
        <f>IF(UPPER(L21)="X",0,IF((LEN(SUBSTITUTE(SUBSTITUTE(SUBSTITUTE(J21," ",""),"0",""),"-",""))+LEN(SUBSTITUTE(SUBSTITUTE(SUBSTITUTE(K21," ",""),"0",""),"-","")))&gt;(LEN(SUBSTITUTE(SUBSTITUTE(SUBSTITUTE(M21," ",""),"0",""),"-",""))+LEN(SUBSTITUTE(SUBSTITUTE(SUBSTITUTE(N21," ",""),"0",""),"-",""))),1,0))+IF(UPPER(L22)="X",0,IF((LEN(SUBSTITUTE(SUBSTITUTE(SUBSTITUTE(J22," ",""),"0",""),"-",""))+LEN(SUBSTITUTE(SUBSTITUTE(SUBSTITUTE(K22," ",""),"0",""),"-","")))&gt;(LEN(SUBSTITUTE(SUBSTITUTE(SUBSTITUTE(M22," ",""),"0",""),"-",""))+LEN(SUBSTITUTE(SUBSTITUTE(SUBSTITUTE(N22," ",""),"0",""),"-",""))),1,0))+IF(UPPER(L23)="X",0,IF((LEN(SUBSTITUTE(SUBSTITUTE(SUBSTITUTE(J23," ",""),"0",""),"-",""))+LEN(SUBSTITUTE(SUBSTITUTE(SUBSTITUTE(K23," ",""),"0",""),"-","")))&gt;(LEN(SUBSTITUTE(SUBSTITUTE(SUBSTITUTE(M23," ",""),"0",""),"-",""))+LEN(SUBSTITUTE(SUBSTITUTE(SUBSTITUTE(N23," ",""),"0",""),"-",""))),1,0))+IF(UPPER(L24)="X",0,IF((LEN(SUBSTITUTE(SUBSTITUTE(SUBSTITUTE(J24," ",""),"0",""),"-",""))+LEN(SUBSTITUTE(SUBSTITUTE(SUBSTITUTE(K24," ",""),"0",""),"-","")))&gt;(LEN(SUBSTITUTE(SUBSTITUTE(SUBSTITUTE(M24," ",""),"0",""),"-",""))+LEN(SUBSTITUTE(SUBSTITUTE(SUBSTITUTE(N24," ",""),"0",""),"-",""))),1,0))+IF(UPPER(L25)="X",0,IF((LEN(SUBSTITUTE(SUBSTITUTE(SUBSTITUTE(J25," ",""),"0",""),"-",""))+LEN(SUBSTITUTE(SUBSTITUTE(SUBSTITUTE(K25," ",""),"0",""),"-","")))&gt;(LEN(SUBSTITUTE(SUBSTITUTE(SUBSTITUTE(M25," ",""),"0",""),"-",""))+LEN(SUBSTITUTE(SUBSTITUTE(SUBSTITUTE(N25," ",""),"0",""),"-",""))),1,0))</f>
      </c>
      <c r="K20" s="14" t="str">
        <f>LEN(SUBSTITUTE(SUBSTITUTE(SUBSTITUTE(J21," ",""),"0",""),"-",""))+LEN(SUBSTITUTE(SUBSTITUTE(SUBSTITUTE(K21," ",""),"0",""),"-",""))+LEN(SUBSTITUTE(SUBSTITUTE(SUBSTITUTE(J22," ",""),"0",""),"-",""))+LEN(SUBSTITUTE(SUBSTITUTE(SUBSTITUTE(K22," ",""),"0",""),"-",""))+LEN(SUBSTITUTE(SUBSTITUTE(SUBSTITUTE(J23," ",""),"0",""),"-",""))+LEN(SUBSTITUTE(SUBSTITUTE(SUBSTITUTE(K23," ",""),"0",""),"-",""))+LEN(SUBSTITUTE(SUBSTITUTE(SUBSTITUTE(J24," ",""),"0",""),"-",""))+LEN(SUBSTITUTE(SUBSTITUTE(SUBSTITUTE(K24," ",""),"0",""),"-",""))+LEN(SUBSTITUTE(SUBSTITUTE(SUBSTITUTE(J25," ",""),"0",""),"-",""))+LEN(SUBSTITUTE(SUBSTITUTE(SUBSTITUTE(K25," ",""),"0",""),"-",""))</f>
      </c>
      <c r="L20" s="18"/>
      <c r="M20" s="14" t="str">
        <f>LEN(SUBSTITUTE(SUBSTITUTE(SUBSTITUTE(M21," ",""),"0",""),"-",""))+LEN(SUBSTITUTE(SUBSTITUTE(SUBSTITUTE(N21," ",""),"0",""),"-",""))+LEN(SUBSTITUTE(SUBSTITUTE(SUBSTITUTE(M22," ",""),"0",""),"-",""))+LEN(SUBSTITUTE(SUBSTITUTE(SUBSTITUTE(N22," ",""),"0",""),"-",""))+LEN(SUBSTITUTE(SUBSTITUTE(SUBSTITUTE(M23," ",""),"0",""),"-",""))+LEN(SUBSTITUTE(SUBSTITUTE(SUBSTITUTE(N23," ",""),"0",""),"-",""))+LEN(SUBSTITUTE(SUBSTITUTE(SUBSTITUTE(M24," ",""),"0",""),"-",""))+LEN(SUBSTITUTE(SUBSTITUTE(SUBSTITUTE(N24," ",""),"0",""),"-",""))+LEN(SUBSTITUTE(SUBSTITUTE(SUBSTITUTE(M25," ",""),"0",""),"-",""))+LEN(SUBSTITUTE(SUBSTITUTE(SUBSTITUTE(N25," ",""),"0",""),"-",""))</f>
      </c>
      <c r="N20" s="14" t="str">
        <f>IF(UPPER(L21)="X",0,IF((LEN(SUBSTITUTE(SUBSTITUTE(SUBSTITUTE(M21," ",""),"0",""),"-",""))+LEN(SUBSTITUTE(SUBSTITUTE(SUBSTITUTE(N21," ",""),"0",""),"-","")))&gt;(LEN(SUBSTITUTE(SUBSTITUTE(SUBSTITUTE(J21," ",""),"0",""),"-",""))+LEN(SUBSTITUTE(SUBSTITUTE(SUBSTITUTE(K21," ",""),"0",""),"-",""))),1,0))+IF(UPPER(L22)="X",0,IF((LEN(SUBSTITUTE(SUBSTITUTE(SUBSTITUTE(M22," ",""),"0",""),"-",""))+LEN(SUBSTITUTE(SUBSTITUTE(SUBSTITUTE(N22," ",""),"0",""),"-","")))&gt;(LEN(SUBSTITUTE(SUBSTITUTE(SUBSTITUTE(J22," ",""),"0",""),"-",""))+LEN(SUBSTITUTE(SUBSTITUTE(SUBSTITUTE(K22," ",""),"0",""),"-",""))),1,0))+IF(UPPER(L23)="X",0,IF((LEN(SUBSTITUTE(SUBSTITUTE(SUBSTITUTE(M23," ",""),"0",""),"-",""))+LEN(SUBSTITUTE(SUBSTITUTE(SUBSTITUTE(N23," ",""),"0",""),"-","")))&gt;(LEN(SUBSTITUTE(SUBSTITUTE(SUBSTITUTE(J23," ",""),"0",""),"-",""))+LEN(SUBSTITUTE(SUBSTITUTE(SUBSTITUTE(K23," ",""),"0",""),"-",""))),1,0))+IF(UPPER(L24)="X",0,IF((LEN(SUBSTITUTE(SUBSTITUTE(SUBSTITUTE(M24," ",""),"0",""),"-",""))+LEN(SUBSTITUTE(SUBSTITUTE(SUBSTITUTE(N24," ",""),"0",""),"-","")))&gt;(LEN(SUBSTITUTE(SUBSTITUTE(SUBSTITUTE(J24," ",""),"0",""),"-",""))+LEN(SUBSTITUTE(SUBSTITUTE(SUBSTITUTE(K24," ",""),"0",""),"-",""))),1,0))+IF(UPPER(L25)="X",0,IF((LEN(SUBSTITUTE(SUBSTITUTE(SUBSTITUTE(M25," ",""),"0",""),"-",""))+LEN(SUBSTITUTE(SUBSTITUTE(SUBSTITUTE(N25," ",""),"0",""),"-","")))&gt;(LEN(SUBSTITUTE(SUBSTITUTE(SUBSTITUTE(J25," ",""),"0",""),"-",""))+LEN(SUBSTITUTE(SUBSTITUTE(SUBSTITUTE(K25," ",""),"0",""),"-",""))),1,0))</f>
      </c>
      <c r="O20" s="14" t="str">
        <f>data!$D$11&amp;" "&amp;data!$B$11</f>
      </c>
    </row>
    <row r="21">
      <c r="A21" s="14">
        <v>1</v>
      </c>
      <c r="B21" s="18"/>
      <c r="C21" s="18"/>
      <c r="D21" s="18"/>
      <c r="E21" s="18"/>
      <c r="F21" s="18"/>
      <c r="G21" s="14">
        <v>1</v>
      </c>
      <c r="I21" s="14">
        <v>1</v>
      </c>
      <c r="J21" s="18"/>
      <c r="K21" s="18"/>
      <c r="L21" s="18"/>
      <c r="M21" s="18"/>
      <c r="N21" s="18"/>
      <c r="O21" s="14">
        <v>1</v>
      </c>
    </row>
    <row r="22">
      <c r="A22" s="14">
        <v>2</v>
      </c>
      <c r="B22" s="18"/>
      <c r="C22" s="18"/>
      <c r="D22" s="18"/>
      <c r="E22" s="18"/>
      <c r="F22" s="18"/>
      <c r="G22" s="14">
        <v>2</v>
      </c>
      <c r="I22" s="14">
        <v>2</v>
      </c>
      <c r="J22" s="18"/>
      <c r="K22" s="18"/>
      <c r="L22" s="18"/>
      <c r="M22" s="18"/>
      <c r="N22" s="18"/>
      <c r="O22" s="14">
        <v>2</v>
      </c>
    </row>
    <row r="23">
      <c r="A23" s="14">
        <v>3</v>
      </c>
      <c r="B23" s="18"/>
      <c r="C23" s="18"/>
      <c r="D23" s="18"/>
      <c r="E23" s="18"/>
      <c r="F23" s="18"/>
      <c r="G23" s="14">
        <v>3</v>
      </c>
      <c r="I23" s="14">
        <v>3</v>
      </c>
      <c r="J23" s="18"/>
      <c r="K23" s="18"/>
      <c r="L23" s="18"/>
      <c r="M23" s="18"/>
      <c r="N23" s="18"/>
      <c r="O23" s="14">
        <v>3</v>
      </c>
    </row>
    <row r="24">
      <c r="A24" s="14">
        <v>4</v>
      </c>
      <c r="B24" s="18"/>
      <c r="C24" s="18"/>
      <c r="D24" s="18"/>
      <c r="E24" s="18"/>
      <c r="F24" s="18"/>
      <c r="G24" s="14">
        <v>4</v>
      </c>
      <c r="I24" s="14">
        <v>4</v>
      </c>
      <c r="J24" s="18"/>
      <c r="K24" s="18"/>
      <c r="L24" s="18"/>
      <c r="M24" s="18"/>
      <c r="N24" s="18"/>
      <c r="O24" s="14">
        <v>4</v>
      </c>
    </row>
    <row r="25">
      <c r="A25" s="14">
        <v>5</v>
      </c>
      <c r="B25" s="18"/>
      <c r="C25" s="18"/>
      <c r="D25" s="18"/>
      <c r="E25" s="18"/>
      <c r="F25" s="18"/>
      <c r="G25" s="14">
        <v>5</v>
      </c>
      <c r="I25" s="14">
        <v>5</v>
      </c>
      <c r="J25" s="18"/>
      <c r="K25" s="18"/>
      <c r="L25" s="18"/>
      <c r="M25" s="18"/>
      <c r="N25" s="18"/>
      <c r="O25" s="14">
        <v>5</v>
      </c>
    </row>
    <row r="27">
      <c r="A27" s="17" t="s">
        <v>46</v>
      </c>
      <c r="B27" s="14"/>
      <c r="C27" s="14"/>
      <c r="D27" s="14" t="s">
        <v>47</v>
      </c>
      <c r="E27" s="14"/>
      <c r="F27" s="14"/>
      <c r="G27" s="16" t="s">
        <v>48</v>
      </c>
    </row>
    <row r="28">
      <c r="A28" s="14" t="str">
        <f>data!$D$6&amp;" "&amp;data!$B$6</f>
      </c>
      <c r="B28" s="14" t="str">
        <f>IF(UPPER(D29)="X",0,IF((LEN(SUBSTITUTE(SUBSTITUTE(SUBSTITUTE(B29," ",""),"0",""),"-",""))+LEN(SUBSTITUTE(SUBSTITUTE(SUBSTITUTE(C29," ",""),"0",""),"-","")))&gt;(LEN(SUBSTITUTE(SUBSTITUTE(SUBSTITUTE(E29," ",""),"0",""),"-",""))+LEN(SUBSTITUTE(SUBSTITUTE(SUBSTITUTE(F29," ",""),"0",""),"-",""))),1,0))+IF(UPPER(D30)="X",0,IF((LEN(SUBSTITUTE(SUBSTITUTE(SUBSTITUTE(B30," ",""),"0",""),"-",""))+LEN(SUBSTITUTE(SUBSTITUTE(SUBSTITUTE(C30," ",""),"0",""),"-","")))&gt;(LEN(SUBSTITUTE(SUBSTITUTE(SUBSTITUTE(E30," ",""),"0",""),"-",""))+LEN(SUBSTITUTE(SUBSTITUTE(SUBSTITUTE(F30," ",""),"0",""),"-",""))),1,0))+IF(UPPER(D31)="X",0,IF((LEN(SUBSTITUTE(SUBSTITUTE(SUBSTITUTE(B31," ",""),"0",""),"-",""))+LEN(SUBSTITUTE(SUBSTITUTE(SUBSTITUTE(C31," ",""),"0",""),"-","")))&gt;(LEN(SUBSTITUTE(SUBSTITUTE(SUBSTITUTE(E31," ",""),"0",""),"-",""))+LEN(SUBSTITUTE(SUBSTITUTE(SUBSTITUTE(F31," ",""),"0",""),"-",""))),1,0))+IF(UPPER(D32)="X",0,IF((LEN(SUBSTITUTE(SUBSTITUTE(SUBSTITUTE(B32," ",""),"0",""),"-",""))+LEN(SUBSTITUTE(SUBSTITUTE(SUBSTITUTE(C32," ",""),"0",""),"-","")))&gt;(LEN(SUBSTITUTE(SUBSTITUTE(SUBSTITUTE(E32," ",""),"0",""),"-",""))+LEN(SUBSTITUTE(SUBSTITUTE(SUBSTITUTE(F32," ",""),"0",""),"-",""))),1,0))+IF(UPPER(D33)="X",0,IF((LEN(SUBSTITUTE(SUBSTITUTE(SUBSTITUTE(B33," ",""),"0",""),"-",""))+LEN(SUBSTITUTE(SUBSTITUTE(SUBSTITUTE(C33," ",""),"0",""),"-","")))&gt;(LEN(SUBSTITUTE(SUBSTITUTE(SUBSTITUTE(E33," ",""),"0",""),"-",""))+LEN(SUBSTITUTE(SUBSTITUTE(SUBSTITUTE(F33," ",""),"0",""),"-",""))),1,0))</f>
      </c>
      <c r="C28" s="14" t="str">
        <f>LEN(SUBSTITUTE(SUBSTITUTE(SUBSTITUTE(B29," ",""),"0",""),"-",""))+LEN(SUBSTITUTE(SUBSTITUTE(SUBSTITUTE(C29," ",""),"0",""),"-",""))+LEN(SUBSTITUTE(SUBSTITUTE(SUBSTITUTE(B30," ",""),"0",""),"-",""))+LEN(SUBSTITUTE(SUBSTITUTE(SUBSTITUTE(C30," ",""),"0",""),"-",""))+LEN(SUBSTITUTE(SUBSTITUTE(SUBSTITUTE(B31," ",""),"0",""),"-",""))+LEN(SUBSTITUTE(SUBSTITUTE(SUBSTITUTE(C31," ",""),"0",""),"-",""))+LEN(SUBSTITUTE(SUBSTITUTE(SUBSTITUTE(B32," ",""),"0",""),"-",""))+LEN(SUBSTITUTE(SUBSTITUTE(SUBSTITUTE(C32," ",""),"0",""),"-",""))+LEN(SUBSTITUTE(SUBSTITUTE(SUBSTITUTE(B33," ",""),"0",""),"-",""))+LEN(SUBSTITUTE(SUBSTITUTE(SUBSTITUTE(C33," ",""),"0",""),"-",""))</f>
      </c>
      <c r="D28" s="18"/>
      <c r="E28" s="14" t="str">
        <f>LEN(SUBSTITUTE(SUBSTITUTE(SUBSTITUTE(E29," ",""),"0",""),"-",""))+LEN(SUBSTITUTE(SUBSTITUTE(SUBSTITUTE(F29," ",""),"0",""),"-",""))+LEN(SUBSTITUTE(SUBSTITUTE(SUBSTITUTE(E30," ",""),"0",""),"-",""))+LEN(SUBSTITUTE(SUBSTITUTE(SUBSTITUTE(F30," ",""),"0",""),"-",""))+LEN(SUBSTITUTE(SUBSTITUTE(SUBSTITUTE(E31," ",""),"0",""),"-",""))+LEN(SUBSTITUTE(SUBSTITUTE(SUBSTITUTE(F31," ",""),"0",""),"-",""))+LEN(SUBSTITUTE(SUBSTITUTE(SUBSTITUTE(E32," ",""),"0",""),"-",""))+LEN(SUBSTITUTE(SUBSTITUTE(SUBSTITUTE(F32," ",""),"0",""),"-",""))+LEN(SUBSTITUTE(SUBSTITUTE(SUBSTITUTE(E33," ",""),"0",""),"-",""))+LEN(SUBSTITUTE(SUBSTITUTE(SUBSTITUTE(F33," ",""),"0",""),"-",""))</f>
      </c>
      <c r="F28" s="14" t="str">
        <f>IF(UPPER(D29)="X",0,IF((LEN(SUBSTITUTE(SUBSTITUTE(SUBSTITUTE(E29," ",""),"0",""),"-",""))+LEN(SUBSTITUTE(SUBSTITUTE(SUBSTITUTE(F29," ",""),"0",""),"-","")))&gt;(LEN(SUBSTITUTE(SUBSTITUTE(SUBSTITUTE(B29," ",""),"0",""),"-",""))+LEN(SUBSTITUTE(SUBSTITUTE(SUBSTITUTE(C29," ",""),"0",""),"-",""))),1,0))+IF(UPPER(D30)="X",0,IF((LEN(SUBSTITUTE(SUBSTITUTE(SUBSTITUTE(E30," ",""),"0",""),"-",""))+LEN(SUBSTITUTE(SUBSTITUTE(SUBSTITUTE(F30," ",""),"0",""),"-","")))&gt;(LEN(SUBSTITUTE(SUBSTITUTE(SUBSTITUTE(B30," ",""),"0",""),"-",""))+LEN(SUBSTITUTE(SUBSTITUTE(SUBSTITUTE(C30," ",""),"0",""),"-",""))),1,0))+IF(UPPER(D31)="X",0,IF((LEN(SUBSTITUTE(SUBSTITUTE(SUBSTITUTE(E31," ",""),"0",""),"-",""))+LEN(SUBSTITUTE(SUBSTITUTE(SUBSTITUTE(F31," ",""),"0",""),"-","")))&gt;(LEN(SUBSTITUTE(SUBSTITUTE(SUBSTITUTE(B31," ",""),"0",""),"-",""))+LEN(SUBSTITUTE(SUBSTITUTE(SUBSTITUTE(C31," ",""),"0",""),"-",""))),1,0))+IF(UPPER(D32)="X",0,IF((LEN(SUBSTITUTE(SUBSTITUTE(SUBSTITUTE(E32," ",""),"0",""),"-",""))+LEN(SUBSTITUTE(SUBSTITUTE(SUBSTITUTE(F32," ",""),"0",""),"-","")))&gt;(LEN(SUBSTITUTE(SUBSTITUTE(SUBSTITUTE(B32," ",""),"0",""),"-",""))+LEN(SUBSTITUTE(SUBSTITUTE(SUBSTITUTE(C32," ",""),"0",""),"-",""))),1,0))+IF(UPPER(D33)="X",0,IF((LEN(SUBSTITUTE(SUBSTITUTE(SUBSTITUTE(E33," ",""),"0",""),"-",""))+LEN(SUBSTITUTE(SUBSTITUTE(SUBSTITUTE(F33," ",""),"0",""),"-","")))&gt;(LEN(SUBSTITUTE(SUBSTITUTE(SUBSTITUTE(B33," ",""),"0",""),"-",""))+LEN(SUBSTITUTE(SUBSTITUTE(SUBSTITUTE(C33," ",""),"0",""),"-",""))),1,0))</f>
      </c>
      <c r="G28" s="14" t="str">
        <f>data!$D$3&amp;" "&amp;data!$B$3</f>
      </c>
    </row>
    <row r="29">
      <c r="A29" s="14">
        <v>1</v>
      </c>
      <c r="B29" s="18"/>
      <c r="C29" s="18"/>
      <c r="D29" s="18"/>
      <c r="E29" s="18"/>
      <c r="F29" s="18"/>
      <c r="G29" s="14">
        <v>1</v>
      </c>
    </row>
    <row r="30">
      <c r="A30" s="14">
        <v>2</v>
      </c>
      <c r="B30" s="18"/>
      <c r="C30" s="18"/>
      <c r="D30" s="18"/>
      <c r="E30" s="18"/>
      <c r="F30" s="18"/>
      <c r="G30" s="14">
        <v>2</v>
      </c>
    </row>
    <row r="31">
      <c r="A31" s="14">
        <v>3</v>
      </c>
      <c r="B31" s="18"/>
      <c r="C31" s="18"/>
      <c r="D31" s="18"/>
      <c r="E31" s="18"/>
      <c r="F31" s="18"/>
      <c r="G31" s="14">
        <v>3</v>
      </c>
    </row>
    <row r="32">
      <c r="A32" s="14">
        <v>4</v>
      </c>
      <c r="B32" s="18"/>
      <c r="C32" s="18"/>
      <c r="D32" s="18"/>
      <c r="E32" s="18"/>
      <c r="F32" s="18"/>
      <c r="G32" s="14">
        <v>4</v>
      </c>
    </row>
    <row r="33">
      <c r="A33" s="14">
        <v>5</v>
      </c>
      <c r="B33" s="18"/>
      <c r="C33" s="18"/>
      <c r="D33" s="18"/>
      <c r="E33" s="18"/>
      <c r="F33" s="18"/>
      <c r="G33" s="14">
        <v>5</v>
      </c>
    </row>
    <row r="35">
      <c r="A35" s="17" t="s">
        <v>46</v>
      </c>
      <c r="B35" s="14"/>
      <c r="C35" s="14"/>
      <c r="D35" s="14" t="s">
        <v>47</v>
      </c>
      <c r="E35" s="14"/>
      <c r="F35" s="14"/>
      <c r="G35" s="16" t="s">
        <v>48</v>
      </c>
    </row>
    <row r="36">
      <c r="A36" s="14" t="str">
        <f>data!$D$5&amp;" "&amp;data!$B$5</f>
      </c>
      <c r="B36" s="14" t="str">
        <f>IF(UPPER(D37)="X",0,IF((LEN(SUBSTITUTE(SUBSTITUTE(SUBSTITUTE(B37," ",""),"0",""),"-",""))+LEN(SUBSTITUTE(SUBSTITUTE(SUBSTITUTE(C37," ",""),"0",""),"-","")))&gt;(LEN(SUBSTITUTE(SUBSTITUTE(SUBSTITUTE(E37," ",""),"0",""),"-",""))+LEN(SUBSTITUTE(SUBSTITUTE(SUBSTITUTE(F37," ",""),"0",""),"-",""))),1,0))+IF(UPPER(D38)="X",0,IF((LEN(SUBSTITUTE(SUBSTITUTE(SUBSTITUTE(B38," ",""),"0",""),"-",""))+LEN(SUBSTITUTE(SUBSTITUTE(SUBSTITUTE(C38," ",""),"0",""),"-","")))&gt;(LEN(SUBSTITUTE(SUBSTITUTE(SUBSTITUTE(E38," ",""),"0",""),"-",""))+LEN(SUBSTITUTE(SUBSTITUTE(SUBSTITUTE(F38," ",""),"0",""),"-",""))),1,0))+IF(UPPER(D39)="X",0,IF((LEN(SUBSTITUTE(SUBSTITUTE(SUBSTITUTE(B39," ",""),"0",""),"-",""))+LEN(SUBSTITUTE(SUBSTITUTE(SUBSTITUTE(C39," ",""),"0",""),"-","")))&gt;(LEN(SUBSTITUTE(SUBSTITUTE(SUBSTITUTE(E39," ",""),"0",""),"-",""))+LEN(SUBSTITUTE(SUBSTITUTE(SUBSTITUTE(F39," ",""),"0",""),"-",""))),1,0))+IF(UPPER(D40)="X",0,IF((LEN(SUBSTITUTE(SUBSTITUTE(SUBSTITUTE(B40," ",""),"0",""),"-",""))+LEN(SUBSTITUTE(SUBSTITUTE(SUBSTITUTE(C40," ",""),"0",""),"-","")))&gt;(LEN(SUBSTITUTE(SUBSTITUTE(SUBSTITUTE(E40," ",""),"0",""),"-",""))+LEN(SUBSTITUTE(SUBSTITUTE(SUBSTITUTE(F40," ",""),"0",""),"-",""))),1,0))+IF(UPPER(D41)="X",0,IF((LEN(SUBSTITUTE(SUBSTITUTE(SUBSTITUTE(B41," ",""),"0",""),"-",""))+LEN(SUBSTITUTE(SUBSTITUTE(SUBSTITUTE(C41," ",""),"0",""),"-","")))&gt;(LEN(SUBSTITUTE(SUBSTITUTE(SUBSTITUTE(E41," ",""),"0",""),"-",""))+LEN(SUBSTITUTE(SUBSTITUTE(SUBSTITUTE(F41," ",""),"0",""),"-",""))),1,0))</f>
      </c>
      <c r="C36" s="14" t="str">
        <f>LEN(SUBSTITUTE(SUBSTITUTE(SUBSTITUTE(B37," ",""),"0",""),"-",""))+LEN(SUBSTITUTE(SUBSTITUTE(SUBSTITUTE(C37," ",""),"0",""),"-",""))+LEN(SUBSTITUTE(SUBSTITUTE(SUBSTITUTE(B38," ",""),"0",""),"-",""))+LEN(SUBSTITUTE(SUBSTITUTE(SUBSTITUTE(C38," ",""),"0",""),"-",""))+LEN(SUBSTITUTE(SUBSTITUTE(SUBSTITUTE(B39," ",""),"0",""),"-",""))+LEN(SUBSTITUTE(SUBSTITUTE(SUBSTITUTE(C39," ",""),"0",""),"-",""))+LEN(SUBSTITUTE(SUBSTITUTE(SUBSTITUTE(B40," ",""),"0",""),"-",""))+LEN(SUBSTITUTE(SUBSTITUTE(SUBSTITUTE(C40," ",""),"0",""),"-",""))+LEN(SUBSTITUTE(SUBSTITUTE(SUBSTITUTE(B41," ",""),"0",""),"-",""))+LEN(SUBSTITUTE(SUBSTITUTE(SUBSTITUTE(C41," ",""),"0",""),"-",""))</f>
      </c>
      <c r="D36" s="18"/>
      <c r="E36" s="14" t="str">
        <f>LEN(SUBSTITUTE(SUBSTITUTE(SUBSTITUTE(E37," ",""),"0",""),"-",""))+LEN(SUBSTITUTE(SUBSTITUTE(SUBSTITUTE(F37," ",""),"0",""),"-",""))+LEN(SUBSTITUTE(SUBSTITUTE(SUBSTITUTE(E38," ",""),"0",""),"-",""))+LEN(SUBSTITUTE(SUBSTITUTE(SUBSTITUTE(F38," ",""),"0",""),"-",""))+LEN(SUBSTITUTE(SUBSTITUTE(SUBSTITUTE(E39," ",""),"0",""),"-",""))+LEN(SUBSTITUTE(SUBSTITUTE(SUBSTITUTE(F39," ",""),"0",""),"-",""))+LEN(SUBSTITUTE(SUBSTITUTE(SUBSTITUTE(E40," ",""),"0",""),"-",""))+LEN(SUBSTITUTE(SUBSTITUTE(SUBSTITUTE(F40," ",""),"0",""),"-",""))+LEN(SUBSTITUTE(SUBSTITUTE(SUBSTITUTE(E41," ",""),"0",""),"-",""))+LEN(SUBSTITUTE(SUBSTITUTE(SUBSTITUTE(F41," ",""),"0",""),"-",""))</f>
      </c>
      <c r="F36" s="14" t="str">
        <f>IF(UPPER(D37)="X",0,IF((LEN(SUBSTITUTE(SUBSTITUTE(SUBSTITUTE(E37," ",""),"0",""),"-",""))+LEN(SUBSTITUTE(SUBSTITUTE(SUBSTITUTE(F37," ",""),"0",""),"-","")))&gt;(LEN(SUBSTITUTE(SUBSTITUTE(SUBSTITUTE(B37," ",""),"0",""),"-",""))+LEN(SUBSTITUTE(SUBSTITUTE(SUBSTITUTE(C37," ",""),"0",""),"-",""))),1,0))+IF(UPPER(D38)="X",0,IF((LEN(SUBSTITUTE(SUBSTITUTE(SUBSTITUTE(E38," ",""),"0",""),"-",""))+LEN(SUBSTITUTE(SUBSTITUTE(SUBSTITUTE(F38," ",""),"0",""),"-","")))&gt;(LEN(SUBSTITUTE(SUBSTITUTE(SUBSTITUTE(B38," ",""),"0",""),"-",""))+LEN(SUBSTITUTE(SUBSTITUTE(SUBSTITUTE(C38," ",""),"0",""),"-",""))),1,0))+IF(UPPER(D39)="X",0,IF((LEN(SUBSTITUTE(SUBSTITUTE(SUBSTITUTE(E39," ",""),"0",""),"-",""))+LEN(SUBSTITUTE(SUBSTITUTE(SUBSTITUTE(F39," ",""),"0",""),"-","")))&gt;(LEN(SUBSTITUTE(SUBSTITUTE(SUBSTITUTE(B39," ",""),"0",""),"-",""))+LEN(SUBSTITUTE(SUBSTITUTE(SUBSTITUTE(C39," ",""),"0",""),"-",""))),1,0))+IF(UPPER(D40)="X",0,IF((LEN(SUBSTITUTE(SUBSTITUTE(SUBSTITUTE(E40," ",""),"0",""),"-",""))+LEN(SUBSTITUTE(SUBSTITUTE(SUBSTITUTE(F40," ",""),"0",""),"-","")))&gt;(LEN(SUBSTITUTE(SUBSTITUTE(SUBSTITUTE(B40," ",""),"0",""),"-",""))+LEN(SUBSTITUTE(SUBSTITUTE(SUBSTITUTE(C40," ",""),"0",""),"-",""))),1,0))+IF(UPPER(D41)="X",0,IF((LEN(SUBSTITUTE(SUBSTITUTE(SUBSTITUTE(E41," ",""),"0",""),"-",""))+LEN(SUBSTITUTE(SUBSTITUTE(SUBSTITUTE(F41," ",""),"0",""),"-","")))&gt;(LEN(SUBSTITUTE(SUBSTITUTE(SUBSTITUTE(B41," ",""),"0",""),"-",""))+LEN(SUBSTITUTE(SUBSTITUTE(SUBSTITUTE(C41," ",""),"0",""),"-",""))),1,0))</f>
      </c>
      <c r="G36" s="14" t="str">
        <f>data!$D$3&amp;" "&amp;data!$B$3</f>
      </c>
    </row>
    <row r="37">
      <c r="A37" s="14">
        <v>1</v>
      </c>
      <c r="B37" s="18"/>
      <c r="C37" s="18"/>
      <c r="D37" s="18"/>
      <c r="E37" s="18"/>
      <c r="F37" s="18"/>
      <c r="G37" s="14">
        <v>1</v>
      </c>
    </row>
    <row r="38">
      <c r="A38" s="14">
        <v>2</v>
      </c>
      <c r="B38" s="18"/>
      <c r="C38" s="18"/>
      <c r="D38" s="18"/>
      <c r="E38" s="18"/>
      <c r="F38" s="18"/>
      <c r="G38" s="14">
        <v>2</v>
      </c>
    </row>
    <row r="39">
      <c r="A39" s="14">
        <v>3</v>
      </c>
      <c r="B39" s="18"/>
      <c r="C39" s="18"/>
      <c r="D39" s="18"/>
      <c r="E39" s="18"/>
      <c r="F39" s="18"/>
      <c r="G39" s="14">
        <v>3</v>
      </c>
    </row>
    <row r="40">
      <c r="A40" s="14">
        <v>4</v>
      </c>
      <c r="B40" s="18"/>
      <c r="C40" s="18"/>
      <c r="D40" s="18"/>
      <c r="E40" s="18"/>
      <c r="F40" s="18"/>
      <c r="G40" s="14">
        <v>4</v>
      </c>
    </row>
    <row r="41">
      <c r="A41" s="14">
        <v>5</v>
      </c>
      <c r="B41" s="18"/>
      <c r="C41" s="18"/>
      <c r="D41" s="18"/>
      <c r="E41" s="18"/>
      <c r="F41" s="18"/>
      <c r="G41" s="14">
        <v>5</v>
      </c>
    </row>
    <row r="43">
      <c r="A43" s="17" t="s">
        <v>46</v>
      </c>
      <c r="B43" s="14"/>
      <c r="C43" s="14"/>
      <c r="D43" s="14" t="s">
        <v>47</v>
      </c>
      <c r="E43" s="14"/>
      <c r="F43" s="14"/>
      <c r="G43" s="16" t="s">
        <v>48</v>
      </c>
    </row>
    <row r="44">
      <c r="A44" s="14" t="str">
        <f>data!$D$6&amp;" "&amp;data!$B$6</f>
      </c>
      <c r="B44" s="14" t="str">
        <f>IF(UPPER(D45)="X",0,IF((LEN(SUBSTITUTE(SUBSTITUTE(SUBSTITUTE(B45," ",""),"0",""),"-",""))+LEN(SUBSTITUTE(SUBSTITUTE(SUBSTITUTE(C45," ",""),"0",""),"-","")))&gt;(LEN(SUBSTITUTE(SUBSTITUTE(SUBSTITUTE(E45," ",""),"0",""),"-",""))+LEN(SUBSTITUTE(SUBSTITUTE(SUBSTITUTE(F45," ",""),"0",""),"-",""))),1,0))+IF(UPPER(D46)="X",0,IF((LEN(SUBSTITUTE(SUBSTITUTE(SUBSTITUTE(B46," ",""),"0",""),"-",""))+LEN(SUBSTITUTE(SUBSTITUTE(SUBSTITUTE(C46," ",""),"0",""),"-","")))&gt;(LEN(SUBSTITUTE(SUBSTITUTE(SUBSTITUTE(E46," ",""),"0",""),"-",""))+LEN(SUBSTITUTE(SUBSTITUTE(SUBSTITUTE(F46," ",""),"0",""),"-",""))),1,0))+IF(UPPER(D47)="X",0,IF((LEN(SUBSTITUTE(SUBSTITUTE(SUBSTITUTE(B47," ",""),"0",""),"-",""))+LEN(SUBSTITUTE(SUBSTITUTE(SUBSTITUTE(C47," ",""),"0",""),"-","")))&gt;(LEN(SUBSTITUTE(SUBSTITUTE(SUBSTITUTE(E47," ",""),"0",""),"-",""))+LEN(SUBSTITUTE(SUBSTITUTE(SUBSTITUTE(F47," ",""),"0",""),"-",""))),1,0))+IF(UPPER(D48)="X",0,IF((LEN(SUBSTITUTE(SUBSTITUTE(SUBSTITUTE(B48," ",""),"0",""),"-",""))+LEN(SUBSTITUTE(SUBSTITUTE(SUBSTITUTE(C48," ",""),"0",""),"-","")))&gt;(LEN(SUBSTITUTE(SUBSTITUTE(SUBSTITUTE(E48," ",""),"0",""),"-",""))+LEN(SUBSTITUTE(SUBSTITUTE(SUBSTITUTE(F48," ",""),"0",""),"-",""))),1,0))+IF(UPPER(D49)="X",0,IF((LEN(SUBSTITUTE(SUBSTITUTE(SUBSTITUTE(B49," ",""),"0",""),"-",""))+LEN(SUBSTITUTE(SUBSTITUTE(SUBSTITUTE(C49," ",""),"0",""),"-","")))&gt;(LEN(SUBSTITUTE(SUBSTITUTE(SUBSTITUTE(E49," ",""),"0",""),"-",""))+LEN(SUBSTITUTE(SUBSTITUTE(SUBSTITUTE(F49," ",""),"0",""),"-",""))),1,0))</f>
      </c>
      <c r="C44" s="14" t="str">
        <f>LEN(SUBSTITUTE(SUBSTITUTE(SUBSTITUTE(B45," ",""),"0",""),"-",""))+LEN(SUBSTITUTE(SUBSTITUTE(SUBSTITUTE(C45," ",""),"0",""),"-",""))+LEN(SUBSTITUTE(SUBSTITUTE(SUBSTITUTE(B46," ",""),"0",""),"-",""))+LEN(SUBSTITUTE(SUBSTITUTE(SUBSTITUTE(C46," ",""),"0",""),"-",""))+LEN(SUBSTITUTE(SUBSTITUTE(SUBSTITUTE(B47," ",""),"0",""),"-",""))+LEN(SUBSTITUTE(SUBSTITUTE(SUBSTITUTE(C47," ",""),"0",""),"-",""))+LEN(SUBSTITUTE(SUBSTITUTE(SUBSTITUTE(B48," ",""),"0",""),"-",""))+LEN(SUBSTITUTE(SUBSTITUTE(SUBSTITUTE(C48," ",""),"0",""),"-",""))+LEN(SUBSTITUTE(SUBSTITUTE(SUBSTITUTE(B49," ",""),"0",""),"-",""))+LEN(SUBSTITUTE(SUBSTITUTE(SUBSTITUTE(C49," ",""),"0",""),"-",""))</f>
      </c>
      <c r="D44" s="18"/>
      <c r="E44" s="14" t="str">
        <f>LEN(SUBSTITUTE(SUBSTITUTE(SUBSTITUTE(E45," ",""),"0",""),"-",""))+LEN(SUBSTITUTE(SUBSTITUTE(SUBSTITUTE(F45," ",""),"0",""),"-",""))+LEN(SUBSTITUTE(SUBSTITUTE(SUBSTITUTE(E46," ",""),"0",""),"-",""))+LEN(SUBSTITUTE(SUBSTITUTE(SUBSTITUTE(F46," ",""),"0",""),"-",""))+LEN(SUBSTITUTE(SUBSTITUTE(SUBSTITUTE(E47," ",""),"0",""),"-",""))+LEN(SUBSTITUTE(SUBSTITUTE(SUBSTITUTE(F47," ",""),"0",""),"-",""))+LEN(SUBSTITUTE(SUBSTITUTE(SUBSTITUTE(E48," ",""),"0",""),"-",""))+LEN(SUBSTITUTE(SUBSTITUTE(SUBSTITUTE(F48," ",""),"0",""),"-",""))+LEN(SUBSTITUTE(SUBSTITUTE(SUBSTITUTE(E49," ",""),"0",""),"-",""))+LEN(SUBSTITUTE(SUBSTITUTE(SUBSTITUTE(F49," ",""),"0",""),"-",""))</f>
      </c>
      <c r="F44" s="14" t="str">
        <f>IF(UPPER(D45)="X",0,IF((LEN(SUBSTITUTE(SUBSTITUTE(SUBSTITUTE(E45," ",""),"0",""),"-",""))+LEN(SUBSTITUTE(SUBSTITUTE(SUBSTITUTE(F45," ",""),"0",""),"-","")))&gt;(LEN(SUBSTITUTE(SUBSTITUTE(SUBSTITUTE(B45," ",""),"0",""),"-",""))+LEN(SUBSTITUTE(SUBSTITUTE(SUBSTITUTE(C45," ",""),"0",""),"-",""))),1,0))+IF(UPPER(D46)="X",0,IF((LEN(SUBSTITUTE(SUBSTITUTE(SUBSTITUTE(E46," ",""),"0",""),"-",""))+LEN(SUBSTITUTE(SUBSTITUTE(SUBSTITUTE(F46," ",""),"0",""),"-","")))&gt;(LEN(SUBSTITUTE(SUBSTITUTE(SUBSTITUTE(B46," ",""),"0",""),"-",""))+LEN(SUBSTITUTE(SUBSTITUTE(SUBSTITUTE(C46," ",""),"0",""),"-",""))),1,0))+IF(UPPER(D47)="X",0,IF((LEN(SUBSTITUTE(SUBSTITUTE(SUBSTITUTE(E47," ",""),"0",""),"-",""))+LEN(SUBSTITUTE(SUBSTITUTE(SUBSTITUTE(F47," ",""),"0",""),"-","")))&gt;(LEN(SUBSTITUTE(SUBSTITUTE(SUBSTITUTE(B47," ",""),"0",""),"-",""))+LEN(SUBSTITUTE(SUBSTITUTE(SUBSTITUTE(C47," ",""),"0",""),"-",""))),1,0))+IF(UPPER(D48)="X",0,IF((LEN(SUBSTITUTE(SUBSTITUTE(SUBSTITUTE(E48," ",""),"0",""),"-",""))+LEN(SUBSTITUTE(SUBSTITUTE(SUBSTITUTE(F48," ",""),"0",""),"-","")))&gt;(LEN(SUBSTITUTE(SUBSTITUTE(SUBSTITUTE(B48," ",""),"0",""),"-",""))+LEN(SUBSTITUTE(SUBSTITUTE(SUBSTITUTE(C48," ",""),"0",""),"-",""))),1,0))+IF(UPPER(D49)="X",0,IF((LEN(SUBSTITUTE(SUBSTITUTE(SUBSTITUTE(E49," ",""),"0",""),"-",""))+LEN(SUBSTITUTE(SUBSTITUTE(SUBSTITUTE(F49," ",""),"0",""),"-","")))&gt;(LEN(SUBSTITUTE(SUBSTITUTE(SUBSTITUTE(B49," ",""),"0",""),"-",""))+LEN(SUBSTITUTE(SUBSTITUTE(SUBSTITUTE(C49," ",""),"0",""),"-",""))),1,0))</f>
      </c>
      <c r="G44" s="14" t="str">
        <f>data!$D$4&amp;" "&amp;data!$B$4</f>
      </c>
    </row>
    <row r="45">
      <c r="A45" s="14">
        <v>1</v>
      </c>
      <c r="B45" s="18"/>
      <c r="C45" s="18"/>
      <c r="D45" s="18"/>
      <c r="E45" s="18"/>
      <c r="F45" s="18"/>
      <c r="G45" s="14">
        <v>1</v>
      </c>
    </row>
    <row r="46">
      <c r="A46" s="14">
        <v>2</v>
      </c>
      <c r="B46" s="18"/>
      <c r="C46" s="18"/>
      <c r="D46" s="18"/>
      <c r="E46" s="18"/>
      <c r="F46" s="18"/>
      <c r="G46" s="14">
        <v>2</v>
      </c>
    </row>
    <row r="47">
      <c r="A47" s="14">
        <v>3</v>
      </c>
      <c r="B47" s="18"/>
      <c r="C47" s="18"/>
      <c r="D47" s="18"/>
      <c r="E47" s="18"/>
      <c r="F47" s="18"/>
      <c r="G47" s="14">
        <v>3</v>
      </c>
    </row>
    <row r="48">
      <c r="A48" s="14">
        <v>4</v>
      </c>
      <c r="B48" s="18"/>
      <c r="C48" s="18"/>
      <c r="D48" s="18"/>
      <c r="E48" s="18"/>
      <c r="F48" s="18"/>
      <c r="G48" s="14">
        <v>4</v>
      </c>
    </row>
    <row r="49">
      <c r="A49" s="14">
        <v>5</v>
      </c>
      <c r="B49" s="18"/>
      <c r="C49" s="18"/>
      <c r="D49" s="18"/>
      <c r="E49" s="18"/>
      <c r="F49" s="18"/>
      <c r="G49" s="14">
        <v>5</v>
      </c>
    </row>
    <row r="52">
      <c r="A52" s="13" t="s">
        <v>49</v>
      </c>
      <c r="B52" s="13" t="s">
        <v>50</v>
      </c>
      <c r="C52" s="13" t="s">
        <v>51</v>
      </c>
      <c r="D52" s="13" t="s">
        <v>52</v>
      </c>
      <c r="E52" s="13"/>
      <c r="F52" s="13"/>
      <c r="G52" s="13" t="s">
        <v>53</v>
      </c>
      <c r="I52" s="13" t="s">
        <v>49</v>
      </c>
      <c r="J52" s="13" t="s">
        <v>50</v>
      </c>
      <c r="K52" s="13" t="s">
        <v>51</v>
      </c>
      <c r="L52" s="13" t="s">
        <v>52</v>
      </c>
      <c r="M52" s="13"/>
      <c r="N52" s="13"/>
      <c r="O52" s="13" t="s">
        <v>53</v>
      </c>
    </row>
    <row r="53">
      <c r="A53" s="14" t="str">
        <f>data!$D$3&amp;" "&amp;data!$B$3</f>
      </c>
      <c r="B53" s="14" t="str">
        <f>IF(OR(COUNTA(B5:C9,E5:F9)&gt;0,D5="X",D5="x",D6="X",D6="x",D7="X",D7="x",D8="X",D8="x",D9="X",D9="x",OR(D4="X",D4="x")),IF(OR(OR(D4="X",D4="x"),AND(B4=F4,C4=E4)),0,IF(OR(F4&gt;B4,AND(F4=B4,E4&gt;C4)),1,0)),0)+IF(OR(COUNTA(B29:C33,E29:F33)&gt;0,D29="X",D29="x",D30="X",D30="x",D31="X",D31="x",D32="X",D32="x",D33="X",D33="x",OR(D28="X",D28="x")),IF(OR(OR(D28="X",D28="x"),AND(B28=F28,C28=E28)),0,IF(OR(F28&gt;B28,AND(F28=B28,E28&gt;C28)),1,0)),0)+IF(OR(COUNTA(B37:C41,E37:F41)&gt;0,D37="X",D37="x",D38="X",D38="x",D39="X",D39="x",D40="X",D40="x",D41="X",D41="x",OR(D36="X",D36="x")),IF(OR(OR(D36="X",D36="x"),AND(B36=F36,C36=E36)),0,IF(OR(F36&gt;B36,AND(F36=B36,E36&gt;C36)),1,0)),0)</f>
      </c>
      <c r="C53" s="14" t="str">
        <f>IF(OR(COUNTA(B5:C9,E5:F9)&gt;0,D5="X",D5="x",D6="X",D6="x",D7="X",D7="x",D8="X",D8="x",D9="X",D9="x",OR(D4="X",D4="x")),IF(OR(OR(D4="X",D4="x"),AND(B4=F4,C4=E4)),0,IF(OR(F4&lt;B4,AND(F4=B4,E4&lt;C4)),1,0)),0)+IF(OR(COUNTA(B29:C33,E29:F33)&gt;0,D29="X",D29="x",D30="X",D30="x",D31="X",D31="x",D32="X",D32="x",D33="X",D33="x",OR(D28="X",D28="x")),IF(OR(OR(D28="X",D28="x"),AND(B28=F28,C28=E28)),0,IF(OR(F28&lt;B28,AND(F28=B28,E28&lt;C28)),1,0)),0)+IF(OR(COUNTA(B37:C41,E37:F41)&gt;0,D37="X",D37="x",D38="X",D38="x",D39="X",D39="x",D40="X",D40="x",D41="X",D41="x",OR(D36="X",D36="x")),IF(OR(OR(D36="X",D36="x"),AND(B36=F36,C36=E36)),0,IF(OR(F36&lt;B36,AND(F36=B36,E36&lt;C36)),1,0)),0)</f>
      </c>
      <c r="D53" s="14" t="str">
        <f>IF(OR(COUNTA(B5:C9,E5:F9)&gt;0,D5="X",D5="x",D6="X",D6="x",D7="X",D7="x",D8="X",D8="x",D9="X",D9="x",OR(D4="X",D4="x")),IF(OR(OR(D4="X",D4="x"),AND(B4=F4,C4=E4)),1,0),0)+IF(OR(COUNTA(B29:C33,E29:F33)&gt;0,D29="X",D29="x",D30="X",D30="x",D31="X",D31="x",D32="X",D32="x",D33="X",D33="x",OR(D28="X",D28="x")),IF(OR(OR(D28="X",D28="x"),AND(B28=F28,C28=E28)),1,0),0)+IF(OR(COUNTA(B37:C41,E37:F41)&gt;0,D37="X",D37="x",D38="X",D38="x",D39="X",D39="x",D40="X",D40="x",D41="X",D41="x",OR(D36="X",D36="x")),IF(OR(OR(D36="X",D36="x"),AND(B36=F36,C36=E36)),1,0),0)</f>
      </c>
      <c r="G53" s="18" t="str">
        <f>RANK(U53,$U$53:$U$56)+COUNTIF($U$52:U52,U53)</f>
      </c>
      <c r="I53" s="14" t="str">
        <f>data!$D$10&amp;" "&amp;data!$B$10</f>
      </c>
      <c r="J53" s="14" t="str">
        <f>IF(OR(COUNTA(J5:K9,M5:N9)&gt;0,L5="X",L5="x",L6="X",L6="x",L7="X",L7="x",L8="X",L8="x",L9="X",L9="x",OR(L4="X",L4="x")),IF(OR(OR(L4="X",L4="x"),AND(J4=N4,K4=M4)),0,IF(OR(N4&gt;J4,AND(N4=J4,M4&gt;K4)),1,0)),0)+IF(OR(COUNTA(J13:K17,M13:N17)&gt;0,L13="X",L13="x",L14="X",L14="x",L15="X",L15="x",L16="X",L16="x",L17="X",L17="x",OR(L12="X",L12="x")),IF(OR(OR(L12="X",L12="x"),AND(J12=N12,K12=M12)),0,IF(OR(N12&gt;J12,AND(N12=J12,M12&gt;K12)),1,0)),0)</f>
      </c>
      <c r="K53" s="14" t="str">
        <f>IF(OR(COUNTA(J5:K9,M5:N9)&gt;0,L5="X",L5="x",L6="X",L6="x",L7="X",L7="x",L8="X",L8="x",L9="X",L9="x",OR(L4="X",L4="x")),IF(OR(OR(L4="X",L4="x"),AND(J4=N4,K4=M4)),0,IF(OR(N4&lt;J4,AND(N4=J4,M4&lt;K4)),1,0)),0)+IF(OR(COUNTA(J13:K17,M13:N17)&gt;0,L13="X",L13="x",L14="X",L14="x",L15="X",L15="x",L16="X",L16="x",L17="X",L17="x",OR(L12="X",L12="x")),IF(OR(OR(L12="X",L12="x"),AND(J12=N12,K12=M12)),0,IF(OR(N12&lt;J12,AND(N12=J12,M12&lt;K12)),1,0)),0)</f>
      </c>
      <c r="L53" s="14" t="str">
        <f>IF(OR(COUNTA(J5:K9,M5:N9)&gt;0,L5="X",L5="x",L6="X",L6="x",L7="X",L7="x",L8="X",L8="x",L9="X",L9="x",OR(L4="X",L4="x")),IF(OR(OR(L4="X",L4="x"),AND(J4=N4,K4=M4)),1,0),0)+IF(OR(COUNTA(J13:K17,M13:N17)&gt;0,L13="X",L13="x",L14="X",L14="x",L15="X",L15="x",L16="X",L16="x",L17="X",L17="x",OR(L12="X",L12="x")),IF(OR(OR(L12="X",L12="x"),AND(J12=N12,K12=M12)),1,0),0)</f>
      </c>
      <c r="O53" s="18" t="str">
        <f>RANK(AC53,$AC$53:$AC$55)+COUNTIF($AC$52:AC52,AC53)</f>
      </c>
      <c r="U53" t="str">
        <f>(B53*1000000000)-(C53*10000000)+(D53*100000)+(B59*1000)-(C59*100)+(D59*10)+(E59*1)-(F59*0.01)</f>
      </c>
      <c r="AC53" t="str">
        <f>(J53*1000000000)-(K53*10000000)+(L53*100000)+(J58*1000)-(K58*100)+(L58*10)+(M58*1)-(N58*0.01)</f>
      </c>
    </row>
    <row r="54">
      <c r="A54" s="14" t="str">
        <f>data!$D$4&amp;" "&amp;data!$B$4</f>
      </c>
      <c r="B54" s="14" t="str">
        <f>IF(OR(COUNTA(B5:C9,E5:F9)&gt;0,D5="X",D5="x",D6="X",D6="x",D7="X",D7="x",D8="X",D8="x",D9="X",D9="x",OR(D4="X",D4="x")),IF(OR(OR(D4="X",D4="x"),AND(B4=F4,C4=E4)),0,IF(OR(B4&gt;F4,AND(B4=F4,C4&gt;E4)),1,0)),0)+IF(OR(COUNTA(B13:C17,E13:F17)&gt;0,D13="X",D13="x",D14="X",D14="x",D15="X",D15="x",D16="X",D16="x",D17="X",D17="x",OR(D12="X",D12="x")),IF(OR(OR(D12="X",D12="x"),AND(B12=F12,C12=E12)),0,IF(OR(B12&gt;F12,AND(B12=F12,C12&gt;E12)),1,0)),0)+IF(OR(COUNTA(B45:C49,E45:F49)&gt;0,D45="X",D45="x",D46="X",D46="x",D47="X",D47="x",D48="X",D48="x",D49="X",D49="x",OR(D44="X",D44="x")),IF(OR(OR(D44="X",D44="x"),AND(B44=F44,C44=E44)),0,IF(OR(F44&gt;B44,AND(F44=B44,E44&gt;C44)),1,0)),0)</f>
      </c>
      <c r="C54" s="14" t="str">
        <f>IF(OR(COUNTA(B5:C9,E5:F9)&gt;0,D5="X",D5="x",D6="X",D6="x",D7="X",D7="x",D8="X",D8="x",D9="X",D9="x",OR(D4="X",D4="x")),IF(OR(OR(D4="X",D4="x"),AND(B4=F4,C4=E4)),0,IF(OR(B4&lt;F4,AND(B4=F4,C4&lt;E4)),1,0)),0)+IF(OR(COUNTA(B13:C17,E13:F17)&gt;0,D13="X",D13="x",D14="X",D14="x",D15="X",D15="x",D16="X",D16="x",D17="X",D17="x",OR(D12="X",D12="x")),IF(OR(OR(D12="X",D12="x"),AND(B12=F12,C12=E12)),0,IF(OR(B12&lt;F12,AND(B12=F12,C12&lt;E12)),1,0)),0)+IF(OR(COUNTA(B45:C49,E45:F49)&gt;0,D45="X",D45="x",D46="X",D46="x",D47="X",D47="x",D48="X",D48="x",D49="X",D49="x",OR(D44="X",D44="x")),IF(OR(OR(D44="X",D44="x"),AND(B44=F44,C44=E44)),0,IF(OR(F44&lt;B44,AND(F44=B44,E44&lt;C44)),1,0)),0)</f>
      </c>
      <c r="D54" s="14" t="str">
        <f>IF(OR(COUNTA(B5:C9,E5:F9)&gt;0,D5="X",D5="x",D6="X",D6="x",D7="X",D7="x",D8="X",D8="x",D9="X",D9="x",OR(D4="X",D4="x")),IF(OR(OR(D4="X",D4="x"),AND(B4=F4,C4=E4)),1,0),0)+IF(OR(COUNTA(B13:C17,E13:F17)&gt;0,D13="X",D13="x",D14="X",D14="x",D15="X",D15="x",D16="X",D16="x",D17="X",D17="x",OR(D12="X",D12="x")),IF(OR(OR(D12="X",D12="x"),AND(B12=F12,C12=E12)),1,0),0)+IF(OR(COUNTA(B45:C49,E45:F49)&gt;0,D45="X",D45="x",D46="X",D46="x",D47="X",D47="x",D48="X",D48="x",D49="X",D49="x",OR(D44="X",D44="x")),IF(OR(OR(D44="X",D44="x"),AND(B44=F44,C44=E44)),1,0),0)</f>
      </c>
      <c r="G54" s="18" t="str">
        <f>RANK(U54,$U$53:$U$56)+COUNTIF($U$52:U53,U54)</f>
      </c>
      <c r="I54" s="14" t="str">
        <f>data!$D$11&amp;" "&amp;data!$B$11</f>
      </c>
      <c r="J54" s="14" t="str">
        <f>IF(OR(COUNTA(J5:K9,M5:N9)&gt;0,L5="X",L5="x",L6="X",L6="x",L7="X",L7="x",L8="X",L8="x",L9="X",L9="x",OR(L4="X",L4="x")),IF(OR(OR(L4="X",L4="x"),AND(J4=N4,K4=M4)),0,IF(OR(J4&gt;N4,AND(J4=N4,K4&gt;M4)),1,0)),0)+IF(OR(COUNTA(J21:K25,M21:N25)&gt;0,L21="X",L21="x",L22="X",L22="x",L23="X",L23="x",L24="X",L24="x",L25="X",L25="x",OR(L20="X",L20="x")),IF(OR(OR(L20="X",L20="x"),AND(J20=N20,K20=M20)),0,IF(OR(N20&gt;J20,AND(N20=J20,M20&gt;K20)),1,0)),0)</f>
      </c>
      <c r="K54" s="14" t="str">
        <f>IF(OR(COUNTA(J5:K9,M5:N9)&gt;0,L5="X",L5="x",L6="X",L6="x",L7="X",L7="x",L8="X",L8="x",L9="X",L9="x",OR(L4="X",L4="x")),IF(OR(OR(L4="X",L4="x"),AND(J4=N4,K4=M4)),0,IF(OR(J4&lt;N4,AND(J4=N4,K4&lt;M4)),1,0)),0)+IF(OR(COUNTA(J21:K25,M21:N25)&gt;0,L21="X",L21="x",L22="X",L22="x",L23="X",L23="x",L24="X",L24="x",L25="X",L25="x",OR(L20="X",L20="x")),IF(OR(OR(L20="X",L20="x"),AND(J20=N20,K20=M20)),0,IF(OR(N20&lt;J20,AND(N20=J20,M20&lt;K20)),1,0)),0)</f>
      </c>
      <c r="L54" s="14" t="str">
        <f>IF(OR(COUNTA(J5:K9,M5:N9)&gt;0,L5="X",L5="x",L6="X",L6="x",L7="X",L7="x",L8="X",L8="x",L9="X",L9="x",OR(L4="X",L4="x")),IF(OR(OR(L4="X",L4="x"),AND(J4=N4,K4=M4)),1,0),0)+IF(OR(COUNTA(J21:K25,M21:N25)&gt;0,L21="X",L21="x",L22="X",L22="x",L23="X",L23="x",L24="X",L24="x",L25="X",L25="x",OR(L20="X",L20="x")),IF(OR(OR(L20="X",L20="x"),AND(J20=N20,K20=M20)),1,0),0)</f>
      </c>
      <c r="O54" s="18" t="str">
        <f>RANK(AC54,$AC$53:$AC$55)+COUNTIF($AC$52:AC53,AC54)</f>
      </c>
      <c r="U54" t="str">
        <f>(B54*1000000000)-(C54*10000000)+(D54*100000)+(B60*1000)-(C60*100)+(D60*10)+(E60*1)-(F60*0.01)</f>
      </c>
      <c r="AC54" t="str">
        <f>(J54*1000000000)-(K54*10000000)+(L54*100000)+(J59*1000)-(K59*100)+(L59*10)+(M59*1)-(N59*0.01)</f>
      </c>
    </row>
    <row r="55">
      <c r="A55" s="14" t="str">
        <f>data!$D$5&amp;" "&amp;data!$B$5</f>
      </c>
      <c r="B55" s="14" t="str">
        <f>IF(OR(COUNTA(B13:C17,E13:F17)&gt;0,D13="X",D13="x",D14="X",D14="x",D15="X",D15="x",D16="X",D16="x",D17="X",D17="x",OR(D12="X",D12="x")),IF(OR(OR(D12="X",D12="x"),AND(B12=F12,C12=E12)),0,IF(OR(F12&gt;B12,AND(F12=B12,E12&gt;C12)),1,0)),0)+IF(OR(COUNTA(B21:C25,E21:F25)&gt;0,D21="X",D21="x",D22="X",D22="x",D23="X",D23="x",D24="X",D24="x",D25="X",D25="x",OR(D20="X",D20="x")),IF(OR(OR(D20="X",D20="x"),AND(B20=F20,C20=E20)),0,IF(OR(F20&gt;B20,AND(F20=B20,E20&gt;C20)),1,0)),0)+IF(OR(COUNTA(B37:C41,E37:F41)&gt;0,D37="X",D37="x",D38="X",D38="x",D39="X",D39="x",D40="X",D40="x",D41="X",D41="x",OR(D36="X",D36="x")),IF(OR(OR(D36="X",D36="x"),AND(B36=F36,C36=E36)),0,IF(OR(B36&gt;F36,AND(B36=F36,C36&gt;E36)),1,0)),0)</f>
      </c>
      <c r="C55" s="14" t="str">
        <f>IF(OR(COUNTA(B13:C17,E13:F17)&gt;0,D13="X",D13="x",D14="X",D14="x",D15="X",D15="x",D16="X",D16="x",D17="X",D17="x",OR(D12="X",D12="x")),IF(OR(OR(D12="X",D12="x"),AND(B12=F12,C12=E12)),0,IF(OR(F12&lt;B12,AND(F12=B12,E12&lt;C12)),1,0)),0)+IF(OR(COUNTA(B21:C25,E21:F25)&gt;0,D21="X",D21="x",D22="X",D22="x",D23="X",D23="x",D24="X",D24="x",D25="X",D25="x",OR(D20="X",D20="x")),IF(OR(OR(D20="X",D20="x"),AND(B20=F20,C20=E20)),0,IF(OR(F20&lt;B20,AND(F20=B20,E20&lt;C20)),1,0)),0)+IF(OR(COUNTA(B37:C41,E37:F41)&gt;0,D37="X",D37="x",D38="X",D38="x",D39="X",D39="x",D40="X",D40="x",D41="X",D41="x",OR(D36="X",D36="x")),IF(OR(OR(D36="X",D36="x"),AND(B36=F36,C36=E36)),0,IF(OR(B36&lt;F36,AND(B36=F36,C36&lt;E36)),1,0)),0)</f>
      </c>
      <c r="D55" s="14" t="str">
        <f>IF(OR(COUNTA(B13:C17,E13:F17)&gt;0,D13="X",D13="x",D14="X",D14="x",D15="X",D15="x",D16="X",D16="x",D17="X",D17="x",OR(D12="X",D12="x")),IF(OR(OR(D12="X",D12="x"),AND(B12=F12,C12=E12)),1,0),0)+IF(OR(COUNTA(B21:C25,E21:F25)&gt;0,D21="X",D21="x",D22="X",D22="x",D23="X",D23="x",D24="X",D24="x",D25="X",D25="x",OR(D20="X",D20="x")),IF(OR(OR(D20="X",D20="x"),AND(B20=F20,C20=E20)),1,0),0)+IF(OR(COUNTA(B37:C41,E37:F41)&gt;0,D37="X",D37="x",D38="X",D38="x",D39="X",D39="x",D40="X",D40="x",D41="X",D41="x",OR(D36="X",D36="x")),IF(OR(OR(D36="X",D36="x"),AND(B36=F36,C36=E36)),1,0),0)</f>
      </c>
      <c r="G55" s="18" t="str">
        <f>RANK(U55,$U$53:$U$56)+COUNTIF($U$52:U54,U55)</f>
      </c>
      <c r="I55" s="14" t="str">
        <f>data!$D$12&amp;" "&amp;data!$B$12</f>
      </c>
      <c r="J55" s="14" t="str">
        <f>IF(OR(COUNTA(J13:K17,M13:N17)&gt;0,L13="X",L13="x",L14="X",L14="x",L15="X",L15="x",L16="X",L16="x",L17="X",L17="x",OR(L12="X",L12="x")),IF(OR(OR(L12="X",L12="x"),AND(J12=N12,K12=M12)),0,IF(OR(J12&gt;N12,AND(J12=N12,K12&gt;M12)),1,0)),0)+IF(OR(COUNTA(J21:K25,M21:N25)&gt;0,L21="X",L21="x",L22="X",L22="x",L23="X",L23="x",L24="X",L24="x",L25="X",L25="x",OR(L20="X",L20="x")),IF(OR(OR(L20="X",L20="x"),AND(J20=N20,K20=M20)),0,IF(OR(J20&gt;N20,AND(J20=N20,K20&gt;M20)),1,0)),0)</f>
      </c>
      <c r="K55" s="14" t="str">
        <f>IF(OR(COUNTA(J13:K17,M13:N17)&gt;0,L13="X",L13="x",L14="X",L14="x",L15="X",L15="x",L16="X",L16="x",L17="X",L17="x",OR(L12="X",L12="x")),IF(OR(OR(L12="X",L12="x"),AND(J12=N12,K12=M12)),0,IF(OR(J12&lt;N12,AND(J12=N12,K12&lt;M12)),1,0)),0)+IF(OR(COUNTA(J21:K25,M21:N25)&gt;0,L21="X",L21="x",L22="X",L22="x",L23="X",L23="x",L24="X",L24="x",L25="X",L25="x",OR(L20="X",L20="x")),IF(OR(OR(L20="X",L20="x"),AND(J20=N20,K20=M20)),0,IF(OR(J20&lt;N20,AND(J20=N20,K20&lt;M20)),1,0)),0)</f>
      </c>
      <c r="L55" s="14" t="str">
        <f>IF(OR(COUNTA(J13:K17,M13:N17)&gt;0,L13="X",L13="x",L14="X",L14="x",L15="X",L15="x",L16="X",L16="x",L17="X",L17="x",OR(L12="X",L12="x")),IF(OR(OR(L12="X",L12="x"),AND(J12=N12,K12=M12)),1,0),0)+IF(OR(COUNTA(J21:K25,M21:N25)&gt;0,L21="X",L21="x",L22="X",L22="x",L23="X",L23="x",L24="X",L24="x",L25="X",L25="x",OR(L20="X",L20="x")),IF(OR(OR(L20="X",L20="x"),AND(J20=N20,K20=M20)),1,0),0)</f>
      </c>
      <c r="O55" s="18" t="str">
        <f>RANK(AC55,$AC$53:$AC$55)+COUNTIF($AC$52:AC54,AC55)</f>
      </c>
      <c r="U55" t="str">
        <f>(B55*1000000000)-(C55*10000000)+(D55*100000)+(B61*1000)-(C61*100)+(D61*10)+(E61*1)-(F61*0.01)</f>
      </c>
      <c r="AC55" t="str">
        <f>(J55*1000000000)-(K55*10000000)+(L55*100000)+(J60*1000)-(K60*100)+(L60*10)+(M60*1)-(N60*0.01)</f>
      </c>
    </row>
    <row r="56">
      <c r="A56" s="14" t="str">
        <f>data!$D$6&amp;" "&amp;data!$B$6</f>
      </c>
      <c r="B56" s="14" t="str">
        <f>IF(OR(COUNTA(B21:C25,E21:F25)&gt;0,D21="X",D21="x",D22="X",D22="x",D23="X",D23="x",D24="X",D24="x",D25="X",D25="x",OR(D20="X",D20="x")),IF(OR(OR(D20="X",D20="x"),AND(B20=F20,C20=E20)),0,IF(OR(B20&gt;F20,AND(B20=F20,C20&gt;E20)),1,0)),0)+IF(OR(COUNTA(B29:C33,E29:F33)&gt;0,D29="X",D29="x",D30="X",D30="x",D31="X",D31="x",D32="X",D32="x",D33="X",D33="x",OR(D28="X",D28="x")),IF(OR(OR(D28="X",D28="x"),AND(B28=F28,C28=E28)),0,IF(OR(B28&gt;F28,AND(B28=F28,C28&gt;E28)),1,0)),0)+IF(OR(COUNTA(B45:C49,E45:F49)&gt;0,D45="X",D45="x",D46="X",D46="x",D47="X",D47="x",D48="X",D48="x",D49="X",D49="x",OR(D44="X",D44="x")),IF(OR(OR(D44="X",D44="x"),AND(B44=F44,C44=E44)),0,IF(OR(B44&gt;F44,AND(B44=F44,C44&gt;E44)),1,0)),0)</f>
      </c>
      <c r="C56" s="14" t="str">
        <f>IF(OR(COUNTA(B21:C25,E21:F25)&gt;0,D21="X",D21="x",D22="X",D22="x",D23="X",D23="x",D24="X",D24="x",D25="X",D25="x",OR(D20="X",D20="x")),IF(OR(OR(D20="X",D20="x"),AND(B20=F20,C20=E20)),0,IF(OR(B20&lt;F20,AND(B20=F20,C20&lt;E20)),1,0)),0)+IF(OR(COUNTA(B29:C33,E29:F33)&gt;0,D29="X",D29="x",D30="X",D30="x",D31="X",D31="x",D32="X",D32="x",D33="X",D33="x",OR(D28="X",D28="x")),IF(OR(OR(D28="X",D28="x"),AND(B28=F28,C28=E28)),0,IF(OR(B28&lt;F28,AND(B28=F28,C28&lt;E28)),1,0)),0)+IF(OR(COUNTA(B45:C49,E45:F49)&gt;0,D45="X",D45="x",D46="X",D46="x",D47="X",D47="x",D48="X",D48="x",D49="X",D49="x",OR(D44="X",D44="x")),IF(OR(OR(D44="X",D44="x"),AND(B44=F44,C44=E44)),0,IF(OR(B44&lt;F44,AND(B44=F44,C44&lt;E44)),1,0)),0)</f>
      </c>
      <c r="D56" s="14" t="str">
        <f>IF(OR(COUNTA(B21:C25,E21:F25)&gt;0,D21="X",D21="x",D22="X",D22="x",D23="X",D23="x",D24="X",D24="x",D25="X",D25="x",OR(D20="X",D20="x")),IF(OR(OR(D20="X",D20="x"),AND(B20=F20,C20=E20)),1,0),0)+IF(OR(COUNTA(B29:C33,E29:F33)&gt;0,D29="X",D29="x",D30="X",D30="x",D31="X",D31="x",D32="X",D32="x",D33="X",D33="x",OR(D28="X",D28="x")),IF(OR(OR(D28="X",D28="x"),AND(B28=F28,C28=E28)),1,0),0)+IF(OR(COUNTA(B45:C49,E45:F49)&gt;0,D45="X",D45="x",D46="X",D46="x",D47="X",D47="x",D48="X",D48="x",D49="X",D49="x",OR(D44="X",D44="x")),IF(OR(OR(D44="X",D44="x"),AND(B44=F44,C44=E44)),1,0),0)</f>
      </c>
      <c r="G56" s="18" t="str">
        <f>RANK(U56,$U$53:$U$56)+COUNTIF($U$52:U55,U56)</f>
      </c>
      <c r="U56" t="str">
        <f>(B56*1000000000)-(C56*10000000)+(D56*100000)+(B62*1000)-(C62*100)+(D62*10)+(E62*1)-(F62*0.01)</f>
      </c>
    </row>
    <row r="57">
      <c r="I57" s="13"/>
      <c r="J57" s="13" t="s">
        <v>54</v>
      </c>
      <c r="K57" s="13" t="s">
        <v>55</v>
      </c>
      <c r="L57" s="13" t="s">
        <v>56</v>
      </c>
      <c r="M57" s="13" t="s">
        <v>57</v>
      </c>
      <c r="N57" s="13" t="s">
        <v>58</v>
      </c>
    </row>
    <row r="58">
      <c r="A58" s="13"/>
      <c r="B58" s="13" t="s">
        <v>54</v>
      </c>
      <c r="C58" s="13" t="s">
        <v>55</v>
      </c>
      <c r="D58" s="13" t="s">
        <v>56</v>
      </c>
      <c r="E58" s="13" t="s">
        <v>57</v>
      </c>
      <c r="F58" s="13" t="s">
        <v>58</v>
      </c>
      <c r="I58" s="14" t="str">
        <f>data!$D$10&amp;" "&amp;data!$B$10</f>
      </c>
      <c r="J58" s="14" t="str">
        <f>IF(OR(COUNTA(J5:K9,M5:N9)&gt;0,OR(L4="X",L4="x"),UPPER(L5)="X",UPPER(L6)="X",UPPER(L7)="X",UPPER(L8)="X",UPPER(L9)="X"),N4,0)+IF(OR(COUNTA(J13:K17,M13:N17)&gt;0,OR(L12="X",L12="x"),UPPER(L13)="X",UPPER(L14)="X",UPPER(L15)="X",UPPER(L16)="X",UPPER(L17)="X"),N12,0)</f>
      </c>
      <c r="K58" s="14" t="str">
        <f>IF(OR(COUNTA(J5:K9,M5:N9)&gt;0,OR(L4="X",L4="x"),UPPER(L5)="X",UPPER(L6)="X",UPPER(L7)="X",UPPER(L8)="X",UPPER(L9)="X"),J4,0)+IF(OR(COUNTA(J13:K17,M13:N17)&gt;0,OR(L12="X",L12="x"),UPPER(L13)="X",UPPER(L14)="X",UPPER(L15)="X",UPPER(L16)="X",UPPER(L17)="X"),J12,0)</f>
      </c>
      <c r="L58" s="14" t="str">
        <f>IF(OR(COUNTA(J5:K9,M5:N9)&gt;0,OR(L4="X",L4="x"),UPPER(L5)="X",UPPER(L6)="X",UPPER(L7)="X",UPPER(L8)="X",UPPER(L9)="X"),(IF(OR(L5="X",L5="x",AND(COUNTA(J5,K5,M5,N5)&gt;0,(LEN(SUBSTITUTE(SUBSTITUTE(SUBSTITUTE(J5," ",""),"0",""),"-",""))+LEN(SUBSTITUTE(SUBSTITUTE(SUBSTITUTE(K5," ",""),"0",""),"-","")))=(LEN(SUBSTITUTE(SUBSTITUTE(SUBSTITUTE(M5," ",""),"0",""),"-",""))+LEN(SUBSTITUTE(SUBSTITUTE(SUBSTITUTE(N5," ",""),"0",""),"-",""))))),1,0)+IF(OR(L6="X",L6="x",AND(COUNTA(J6,K6,M6,N6)&gt;0,(LEN(SUBSTITUTE(SUBSTITUTE(SUBSTITUTE(J6," ",""),"0",""),"-",""))+LEN(SUBSTITUTE(SUBSTITUTE(SUBSTITUTE(K6," ",""),"0",""),"-","")))=(LEN(SUBSTITUTE(SUBSTITUTE(SUBSTITUTE(M6," ",""),"0",""),"-",""))+LEN(SUBSTITUTE(SUBSTITUTE(SUBSTITUTE(N6," ",""),"0",""),"-",""))))),1,0)+IF(OR(L7="X",L7="x",AND(COUNTA(J7,K7,M7,N7)&gt;0,(LEN(SUBSTITUTE(SUBSTITUTE(SUBSTITUTE(J7," ",""),"0",""),"-",""))+LEN(SUBSTITUTE(SUBSTITUTE(SUBSTITUTE(K7," ",""),"0",""),"-","")))=(LEN(SUBSTITUTE(SUBSTITUTE(SUBSTITUTE(M7," ",""),"0",""),"-",""))+LEN(SUBSTITUTE(SUBSTITUTE(SUBSTITUTE(N7," ",""),"0",""),"-",""))))),1,0)+IF(OR(L8="X",L8="x",AND(COUNTA(J8,K8,M8,N8)&gt;0,(LEN(SUBSTITUTE(SUBSTITUTE(SUBSTITUTE(J8," ",""),"0",""),"-",""))+LEN(SUBSTITUTE(SUBSTITUTE(SUBSTITUTE(K8," ",""),"0",""),"-","")))=(LEN(SUBSTITUTE(SUBSTITUTE(SUBSTITUTE(M8," ",""),"0",""),"-",""))+LEN(SUBSTITUTE(SUBSTITUTE(SUBSTITUTE(N8," ",""),"0",""),"-",""))))),1,0)+IF(OR(L9="X",L9="x",AND(COUNTA(J9,K9,M9,N9)&gt;0,(LEN(SUBSTITUTE(SUBSTITUTE(SUBSTITUTE(J9," ",""),"0",""),"-",""))+LEN(SUBSTITUTE(SUBSTITUTE(SUBSTITUTE(K9," ",""),"0",""),"-","")))=(LEN(SUBSTITUTE(SUBSTITUTE(SUBSTITUTE(M9," ",""),"0",""),"-",""))+LEN(SUBSTITUTE(SUBSTITUTE(SUBSTITUTE(N9," ",""),"0",""),"-",""))))),1,0)),0)+IF(OR(COUNTA(J13:K17,M13:N17)&gt;0,OR(L12="X",L12="x"),UPPER(L13)="X",UPPER(L14)="X",UPPER(L15)="X",UPPER(L16)="X",UPPER(L17)="X"),(IF(OR(L13="X",L13="x",AND(COUNTA(J13,K13,M13,N13)&gt;0,(LEN(SUBSTITUTE(SUBSTITUTE(SUBSTITUTE(J13," ",""),"0",""),"-",""))+LEN(SUBSTITUTE(SUBSTITUTE(SUBSTITUTE(K13," ",""),"0",""),"-","")))=(LEN(SUBSTITUTE(SUBSTITUTE(SUBSTITUTE(M13," ",""),"0",""),"-",""))+LEN(SUBSTITUTE(SUBSTITUTE(SUBSTITUTE(N13," ",""),"0",""),"-",""))))),1,0)+IF(OR(L14="X",L14="x",AND(COUNTA(J14,K14,M14,N14)&gt;0,(LEN(SUBSTITUTE(SUBSTITUTE(SUBSTITUTE(J14," ",""),"0",""),"-",""))+LEN(SUBSTITUTE(SUBSTITUTE(SUBSTITUTE(K14," ",""),"0",""),"-","")))=(LEN(SUBSTITUTE(SUBSTITUTE(SUBSTITUTE(M14," ",""),"0",""),"-",""))+LEN(SUBSTITUTE(SUBSTITUTE(SUBSTITUTE(N14," ",""),"0",""),"-",""))))),1,0)+IF(OR(L15="X",L15="x",AND(COUNTA(J15,K15,M15,N15)&gt;0,(LEN(SUBSTITUTE(SUBSTITUTE(SUBSTITUTE(J15," ",""),"0",""),"-",""))+LEN(SUBSTITUTE(SUBSTITUTE(SUBSTITUTE(K15," ",""),"0",""),"-","")))=(LEN(SUBSTITUTE(SUBSTITUTE(SUBSTITUTE(M15," ",""),"0",""),"-",""))+LEN(SUBSTITUTE(SUBSTITUTE(SUBSTITUTE(N15," ",""),"0",""),"-",""))))),1,0)+IF(OR(L16="X",L16="x",AND(COUNTA(J16,K16,M16,N16)&gt;0,(LEN(SUBSTITUTE(SUBSTITUTE(SUBSTITUTE(J16," ",""),"0",""),"-",""))+LEN(SUBSTITUTE(SUBSTITUTE(SUBSTITUTE(K16," ",""),"0",""),"-","")))=(LEN(SUBSTITUTE(SUBSTITUTE(SUBSTITUTE(M16," ",""),"0",""),"-",""))+LEN(SUBSTITUTE(SUBSTITUTE(SUBSTITUTE(N16," ",""),"0",""),"-",""))))),1,0)+IF(OR(L17="X",L17="x",AND(COUNTA(J17,K17,M17,N17)&gt;0,(LEN(SUBSTITUTE(SUBSTITUTE(SUBSTITUTE(J17," ",""),"0",""),"-",""))+LEN(SUBSTITUTE(SUBSTITUTE(SUBSTITUTE(K17," ",""),"0",""),"-","")))=(LEN(SUBSTITUTE(SUBSTITUTE(SUBSTITUTE(M17," ",""),"0",""),"-",""))+LEN(SUBSTITUTE(SUBSTITUTE(SUBSTITUTE(N17," ",""),"0",""),"-",""))))),1,0)),0)</f>
      </c>
      <c r="M58" s="14" t="str">
        <f>M4+M12</f>
      </c>
      <c r="N58" s="14" t="str">
        <f>K4+K12</f>
      </c>
    </row>
    <row r="59">
      <c r="A59" s="14" t="str">
        <f>data!$D$3&amp;" "&amp;data!$B$3</f>
      </c>
      <c r="B59" s="14" t="str">
        <f>IF(OR(COUNTA(B5:C9,E5:F9)&gt;0,OR(D4="X",D4="x"),UPPER(D5)="X",UPPER(D6)="X",UPPER(D7)="X",UPPER(D8)="X",UPPER(D9)="X"),F4,0)+IF(OR(COUNTA(B29:C33,E29:F33)&gt;0,OR(D28="X",D28="x"),UPPER(D29)="X",UPPER(D30)="X",UPPER(D31)="X",UPPER(D32)="X",UPPER(D33)="X"),F28,0)+IF(OR(COUNTA(B37:C41,E37:F41)&gt;0,OR(D36="X",D36="x"),UPPER(D37)="X",UPPER(D38)="X",UPPER(D39)="X",UPPER(D40)="X",UPPER(D41)="X"),F36,0)</f>
      </c>
      <c r="C59" s="14" t="str">
        <f>IF(OR(COUNTA(B5:C9,E5:F9)&gt;0,OR(D4="X",D4="x"),UPPER(D5)="X",UPPER(D6)="X",UPPER(D7)="X",UPPER(D8)="X",UPPER(D9)="X"),B4,0)+IF(OR(COUNTA(B29:C33,E29:F33)&gt;0,OR(D28="X",D28="x"),UPPER(D29)="X",UPPER(D30)="X",UPPER(D31)="X",UPPER(D32)="X",UPPER(D33)="X"),B28,0)+IF(OR(COUNTA(B37:C41,E37:F41)&gt;0,OR(D36="X",D36="x"),UPPER(D37)="X",UPPER(D38)="X",UPPER(D39)="X",UPPER(D40)="X",UPPER(D41)="X"),B36,0)</f>
      </c>
      <c r="D59" s="14" t="str">
        <f>IF(OR(COUNTA(B5:C9,E5:F9)&gt;0,OR(D4="X",D4="x"),UPPER(D5)="X",UPPER(D6)="X",UPPER(D7)="X",UPPER(D8)="X",UPPER(D9)="X"),(IF(OR(D5="X",D5="x",AND(COUNTA(B5,C5,E5,F5)&gt;0,(LEN(SUBSTITUTE(SUBSTITUTE(SUBSTITUTE(B5," ",""),"0",""),"-",""))+LEN(SUBSTITUTE(SUBSTITUTE(SUBSTITUTE(C5," ",""),"0",""),"-","")))=(LEN(SUBSTITUTE(SUBSTITUTE(SUBSTITUTE(E5," ",""),"0",""),"-",""))+LEN(SUBSTITUTE(SUBSTITUTE(SUBSTITUTE(F5," ",""),"0",""),"-",""))))),1,0)+IF(OR(D6="X",D6="x",AND(COUNTA(B6,C6,E6,F6)&gt;0,(LEN(SUBSTITUTE(SUBSTITUTE(SUBSTITUTE(B6," ",""),"0",""),"-",""))+LEN(SUBSTITUTE(SUBSTITUTE(SUBSTITUTE(C6," ",""),"0",""),"-","")))=(LEN(SUBSTITUTE(SUBSTITUTE(SUBSTITUTE(E6," ",""),"0",""),"-",""))+LEN(SUBSTITUTE(SUBSTITUTE(SUBSTITUTE(F6," ",""),"0",""),"-",""))))),1,0)+IF(OR(D7="X",D7="x",AND(COUNTA(B7,C7,E7,F7)&gt;0,(LEN(SUBSTITUTE(SUBSTITUTE(SUBSTITUTE(B7," ",""),"0",""),"-",""))+LEN(SUBSTITUTE(SUBSTITUTE(SUBSTITUTE(C7," ",""),"0",""),"-","")))=(LEN(SUBSTITUTE(SUBSTITUTE(SUBSTITUTE(E7," ",""),"0",""),"-",""))+LEN(SUBSTITUTE(SUBSTITUTE(SUBSTITUTE(F7," ",""),"0",""),"-",""))))),1,0)+IF(OR(D8="X",D8="x",AND(COUNTA(B8,C8,E8,F8)&gt;0,(LEN(SUBSTITUTE(SUBSTITUTE(SUBSTITUTE(B8," ",""),"0",""),"-",""))+LEN(SUBSTITUTE(SUBSTITUTE(SUBSTITUTE(C8," ",""),"0",""),"-","")))=(LEN(SUBSTITUTE(SUBSTITUTE(SUBSTITUTE(E8," ",""),"0",""),"-",""))+LEN(SUBSTITUTE(SUBSTITUTE(SUBSTITUTE(F8," ",""),"0",""),"-",""))))),1,0)+IF(OR(D9="X",D9="x",AND(COUNTA(B9,C9,E9,F9)&gt;0,(LEN(SUBSTITUTE(SUBSTITUTE(SUBSTITUTE(B9," ",""),"0",""),"-",""))+LEN(SUBSTITUTE(SUBSTITUTE(SUBSTITUTE(C9," ",""),"0",""),"-","")))=(LEN(SUBSTITUTE(SUBSTITUTE(SUBSTITUTE(E9," ",""),"0",""),"-",""))+LEN(SUBSTITUTE(SUBSTITUTE(SUBSTITUTE(F9," ",""),"0",""),"-",""))))),1,0)),0)+IF(OR(COUNTA(B29:C33,E29:F33)&gt;0,OR(D28="X",D28="x"),UPPER(D29)="X",UPPER(D30)="X",UPPER(D31)="X",UPPER(D32)="X",UPPER(D33)="X"),(IF(OR(D29="X",D29="x",AND(COUNTA(B29,C29,E29,F29)&gt;0,(LEN(SUBSTITUTE(SUBSTITUTE(SUBSTITUTE(B29," ",""),"0",""),"-",""))+LEN(SUBSTITUTE(SUBSTITUTE(SUBSTITUTE(C29," ",""),"0",""),"-","")))=(LEN(SUBSTITUTE(SUBSTITUTE(SUBSTITUTE(E29," ",""),"0",""),"-",""))+LEN(SUBSTITUTE(SUBSTITUTE(SUBSTITUTE(F29," ",""),"0",""),"-",""))))),1,0)+IF(OR(D30="X",D30="x",AND(COUNTA(B30,C30,E30,F30)&gt;0,(LEN(SUBSTITUTE(SUBSTITUTE(SUBSTITUTE(B30," ",""),"0",""),"-",""))+LEN(SUBSTITUTE(SUBSTITUTE(SUBSTITUTE(C30," ",""),"0",""),"-","")))=(LEN(SUBSTITUTE(SUBSTITUTE(SUBSTITUTE(E30," ",""),"0",""),"-",""))+LEN(SUBSTITUTE(SUBSTITUTE(SUBSTITUTE(F30," ",""),"0",""),"-",""))))),1,0)+IF(OR(D31="X",D31="x",AND(COUNTA(B31,C31,E31,F31)&gt;0,(LEN(SUBSTITUTE(SUBSTITUTE(SUBSTITUTE(B31," ",""),"0",""),"-",""))+LEN(SUBSTITUTE(SUBSTITUTE(SUBSTITUTE(C31," ",""),"0",""),"-","")))=(LEN(SUBSTITUTE(SUBSTITUTE(SUBSTITUTE(E31," ",""),"0",""),"-",""))+LEN(SUBSTITUTE(SUBSTITUTE(SUBSTITUTE(F31," ",""),"0",""),"-",""))))),1,0)+IF(OR(D32="X",D32="x",AND(COUNTA(B32,C32,E32,F32)&gt;0,(LEN(SUBSTITUTE(SUBSTITUTE(SUBSTITUTE(B32," ",""),"0",""),"-",""))+LEN(SUBSTITUTE(SUBSTITUTE(SUBSTITUTE(C32," ",""),"0",""),"-","")))=(LEN(SUBSTITUTE(SUBSTITUTE(SUBSTITUTE(E32," ",""),"0",""),"-",""))+LEN(SUBSTITUTE(SUBSTITUTE(SUBSTITUTE(F32," ",""),"0",""),"-",""))))),1,0)+IF(OR(D33="X",D33="x",AND(COUNTA(B33,C33,E33,F33)&gt;0,(LEN(SUBSTITUTE(SUBSTITUTE(SUBSTITUTE(B33," ",""),"0",""),"-",""))+LEN(SUBSTITUTE(SUBSTITUTE(SUBSTITUTE(C33," ",""),"0",""),"-","")))=(LEN(SUBSTITUTE(SUBSTITUTE(SUBSTITUTE(E33," ",""),"0",""),"-",""))+LEN(SUBSTITUTE(SUBSTITUTE(SUBSTITUTE(F33," ",""),"0",""),"-",""))))),1,0)),0)+IF(OR(COUNTA(B37:C41,E37:F41)&gt;0,OR(D36="X",D36="x"),UPPER(D37)="X",UPPER(D38)="X",UPPER(D39)="X",UPPER(D40)="X",UPPER(D41)="X"),(IF(OR(D37="X",D37="x",AND(COUNTA(B37,C37,E37,F37)&gt;0,(LEN(SUBSTITUTE(SUBSTITUTE(SUBSTITUTE(B37," ",""),"0",""),"-",""))+LEN(SUBSTITUTE(SUBSTITUTE(SUBSTITUTE(C37," ",""),"0",""),"-","")))=(LEN(SUBSTITUTE(SUBSTITUTE(SUBSTITUTE(E37," ",""),"0",""),"-",""))+LEN(SUBSTITUTE(SUBSTITUTE(SUBSTITUTE(F37," ",""),"0",""),"-",""))))),1,0)+IF(OR(D38="X",D38="x",AND(COUNTA(B38,C38,E38,F38)&gt;0,(LEN(SUBSTITUTE(SUBSTITUTE(SUBSTITUTE(B38," ",""),"0",""),"-",""))+LEN(SUBSTITUTE(SUBSTITUTE(SUBSTITUTE(C38," ",""),"0",""),"-","")))=(LEN(SUBSTITUTE(SUBSTITUTE(SUBSTITUTE(E38," ",""),"0",""),"-",""))+LEN(SUBSTITUTE(SUBSTITUTE(SUBSTITUTE(F38," ",""),"0",""),"-",""))))),1,0)+IF(OR(D39="X",D39="x",AND(COUNTA(B39,C39,E39,F39)&gt;0,(LEN(SUBSTITUTE(SUBSTITUTE(SUBSTITUTE(B39," ",""),"0",""),"-",""))+LEN(SUBSTITUTE(SUBSTITUTE(SUBSTITUTE(C39," ",""),"0",""),"-","")))=(LEN(SUBSTITUTE(SUBSTITUTE(SUBSTITUTE(E39," ",""),"0",""),"-",""))+LEN(SUBSTITUTE(SUBSTITUTE(SUBSTITUTE(F39," ",""),"0",""),"-",""))))),1,0)+IF(OR(D40="X",D40="x",AND(COUNTA(B40,C40,E40,F40)&gt;0,(LEN(SUBSTITUTE(SUBSTITUTE(SUBSTITUTE(B40," ",""),"0",""),"-",""))+LEN(SUBSTITUTE(SUBSTITUTE(SUBSTITUTE(C40," ",""),"0",""),"-","")))=(LEN(SUBSTITUTE(SUBSTITUTE(SUBSTITUTE(E40," ",""),"0",""),"-",""))+LEN(SUBSTITUTE(SUBSTITUTE(SUBSTITUTE(F40," ",""),"0",""),"-",""))))),1,0)+IF(OR(D41="X",D41="x",AND(COUNTA(B41,C41,E41,F41)&gt;0,(LEN(SUBSTITUTE(SUBSTITUTE(SUBSTITUTE(B41," ",""),"0",""),"-",""))+LEN(SUBSTITUTE(SUBSTITUTE(SUBSTITUTE(C41," ",""),"0",""),"-","")))=(LEN(SUBSTITUTE(SUBSTITUTE(SUBSTITUTE(E41," ",""),"0",""),"-",""))+LEN(SUBSTITUTE(SUBSTITUTE(SUBSTITUTE(F41," ",""),"0",""),"-",""))))),1,0)),0)</f>
      </c>
      <c r="E59" s="14" t="str">
        <f>E4+E28+E36</f>
      </c>
      <c r="F59" s="14" t="str">
        <f>C4+C28+C36</f>
      </c>
      <c r="I59" s="14" t="str">
        <f>data!$D$11&amp;" "&amp;data!$B$11</f>
      </c>
      <c r="J59" s="14" t="str">
        <f>IF(OR(COUNTA(J5:K9,M5:N9)&gt;0,OR(L4="X",L4="x"),UPPER(L5)="X",UPPER(L6)="X",UPPER(L7)="X",UPPER(L8)="X",UPPER(L9)="X"),J4,0)+IF(OR(COUNTA(J21:K25,M21:N25)&gt;0,OR(L20="X",L20="x"),UPPER(L21)="X",UPPER(L22)="X",UPPER(L23)="X",UPPER(L24)="X",UPPER(L25)="X"),N20,0)</f>
      </c>
      <c r="K59" s="14" t="str">
        <f>IF(OR(COUNTA(J5:K9,M5:N9)&gt;0,OR(L4="X",L4="x"),UPPER(L5)="X",UPPER(L6)="X",UPPER(L7)="X",UPPER(L8)="X",UPPER(L9)="X"),N4,0)+IF(OR(COUNTA(J21:K25,M21:N25)&gt;0,OR(L20="X",L20="x"),UPPER(L21)="X",UPPER(L22)="X",UPPER(L23)="X",UPPER(L24)="X",UPPER(L25)="X"),J20,0)</f>
      </c>
      <c r="L59" s="14" t="str">
        <f>IF(OR(COUNTA(J5:K9,M5:N9)&gt;0,OR(L4="X",L4="x"),UPPER(L5)="X",UPPER(L6)="X",UPPER(L7)="X",UPPER(L8)="X",UPPER(L9)="X"),(IF(OR(L5="X",L5="x",AND(COUNTA(J5,K5,M5,N5)&gt;0,(LEN(SUBSTITUTE(SUBSTITUTE(SUBSTITUTE(J5," ",""),"0",""),"-",""))+LEN(SUBSTITUTE(SUBSTITUTE(SUBSTITUTE(K5," ",""),"0",""),"-","")))=(LEN(SUBSTITUTE(SUBSTITUTE(SUBSTITUTE(M5," ",""),"0",""),"-",""))+LEN(SUBSTITUTE(SUBSTITUTE(SUBSTITUTE(N5," ",""),"0",""),"-",""))))),1,0)+IF(OR(L6="X",L6="x",AND(COUNTA(J6,K6,M6,N6)&gt;0,(LEN(SUBSTITUTE(SUBSTITUTE(SUBSTITUTE(J6," ",""),"0",""),"-",""))+LEN(SUBSTITUTE(SUBSTITUTE(SUBSTITUTE(K6," ",""),"0",""),"-","")))=(LEN(SUBSTITUTE(SUBSTITUTE(SUBSTITUTE(M6," ",""),"0",""),"-",""))+LEN(SUBSTITUTE(SUBSTITUTE(SUBSTITUTE(N6," ",""),"0",""),"-",""))))),1,0)+IF(OR(L7="X",L7="x",AND(COUNTA(J7,K7,M7,N7)&gt;0,(LEN(SUBSTITUTE(SUBSTITUTE(SUBSTITUTE(J7," ",""),"0",""),"-",""))+LEN(SUBSTITUTE(SUBSTITUTE(SUBSTITUTE(K7," ",""),"0",""),"-","")))=(LEN(SUBSTITUTE(SUBSTITUTE(SUBSTITUTE(M7," ",""),"0",""),"-",""))+LEN(SUBSTITUTE(SUBSTITUTE(SUBSTITUTE(N7," ",""),"0",""),"-",""))))),1,0)+IF(OR(L8="X",L8="x",AND(COUNTA(J8,K8,M8,N8)&gt;0,(LEN(SUBSTITUTE(SUBSTITUTE(SUBSTITUTE(J8," ",""),"0",""),"-",""))+LEN(SUBSTITUTE(SUBSTITUTE(SUBSTITUTE(K8," ",""),"0",""),"-","")))=(LEN(SUBSTITUTE(SUBSTITUTE(SUBSTITUTE(M8," ",""),"0",""),"-",""))+LEN(SUBSTITUTE(SUBSTITUTE(SUBSTITUTE(N8," ",""),"0",""),"-",""))))),1,0)+IF(OR(L9="X",L9="x",AND(COUNTA(J9,K9,M9,N9)&gt;0,(LEN(SUBSTITUTE(SUBSTITUTE(SUBSTITUTE(J9," ",""),"0",""),"-",""))+LEN(SUBSTITUTE(SUBSTITUTE(SUBSTITUTE(K9," ",""),"0",""),"-","")))=(LEN(SUBSTITUTE(SUBSTITUTE(SUBSTITUTE(M9," ",""),"0",""),"-",""))+LEN(SUBSTITUTE(SUBSTITUTE(SUBSTITUTE(N9," ",""),"0",""),"-",""))))),1,0)),0)+IF(OR(COUNTA(J21:K25,M21:N25)&gt;0,OR(L20="X",L20="x"),UPPER(L21)="X",UPPER(L22)="X",UPPER(L23)="X",UPPER(L24)="X",UPPER(L25)="X"),(IF(OR(L21="X",L21="x",AND(COUNTA(J21,K21,M21,N21)&gt;0,(LEN(SUBSTITUTE(SUBSTITUTE(SUBSTITUTE(J21," ",""),"0",""),"-",""))+LEN(SUBSTITUTE(SUBSTITUTE(SUBSTITUTE(K21," ",""),"0",""),"-","")))=(LEN(SUBSTITUTE(SUBSTITUTE(SUBSTITUTE(M21," ",""),"0",""),"-",""))+LEN(SUBSTITUTE(SUBSTITUTE(SUBSTITUTE(N21," ",""),"0",""),"-",""))))),1,0)+IF(OR(L22="X",L22="x",AND(COUNTA(J22,K22,M22,N22)&gt;0,(LEN(SUBSTITUTE(SUBSTITUTE(SUBSTITUTE(J22," ",""),"0",""),"-",""))+LEN(SUBSTITUTE(SUBSTITUTE(SUBSTITUTE(K22," ",""),"0",""),"-","")))=(LEN(SUBSTITUTE(SUBSTITUTE(SUBSTITUTE(M22," ",""),"0",""),"-",""))+LEN(SUBSTITUTE(SUBSTITUTE(SUBSTITUTE(N22," ",""),"0",""),"-",""))))),1,0)+IF(OR(L23="X",L23="x",AND(COUNTA(J23,K23,M23,N23)&gt;0,(LEN(SUBSTITUTE(SUBSTITUTE(SUBSTITUTE(J23," ",""),"0",""),"-",""))+LEN(SUBSTITUTE(SUBSTITUTE(SUBSTITUTE(K23," ",""),"0",""),"-","")))=(LEN(SUBSTITUTE(SUBSTITUTE(SUBSTITUTE(M23," ",""),"0",""),"-",""))+LEN(SUBSTITUTE(SUBSTITUTE(SUBSTITUTE(N23," ",""),"0",""),"-",""))))),1,0)+IF(OR(L24="X",L24="x",AND(COUNTA(J24,K24,M24,N24)&gt;0,(LEN(SUBSTITUTE(SUBSTITUTE(SUBSTITUTE(J24," ",""),"0",""),"-",""))+LEN(SUBSTITUTE(SUBSTITUTE(SUBSTITUTE(K24," ",""),"0",""),"-","")))=(LEN(SUBSTITUTE(SUBSTITUTE(SUBSTITUTE(M24," ",""),"0",""),"-",""))+LEN(SUBSTITUTE(SUBSTITUTE(SUBSTITUTE(N24," ",""),"0",""),"-",""))))),1,0)+IF(OR(L25="X",L25="x",AND(COUNTA(J25,K25,M25,N25)&gt;0,(LEN(SUBSTITUTE(SUBSTITUTE(SUBSTITUTE(J25," ",""),"0",""),"-",""))+LEN(SUBSTITUTE(SUBSTITUTE(SUBSTITUTE(K25," ",""),"0",""),"-","")))=(LEN(SUBSTITUTE(SUBSTITUTE(SUBSTITUTE(M25," ",""),"0",""),"-",""))+LEN(SUBSTITUTE(SUBSTITUTE(SUBSTITUTE(N25," ",""),"0",""),"-",""))))),1,0)),0)</f>
      </c>
      <c r="M59" s="14" t="str">
        <f>K4+M20</f>
      </c>
      <c r="N59" s="14" t="str">
        <f>M4+K20</f>
      </c>
    </row>
    <row r="60">
      <c r="A60" s="14" t="str">
        <f>data!$D$4&amp;" "&amp;data!$B$4</f>
      </c>
      <c r="B60" s="14" t="str">
        <f>IF(OR(COUNTA(B5:C9,E5:F9)&gt;0,OR(D4="X",D4="x"),UPPER(D5)="X",UPPER(D6)="X",UPPER(D7)="X",UPPER(D8)="X",UPPER(D9)="X"),B4,0)+IF(OR(COUNTA(B13:C17,E13:F17)&gt;0,OR(D12="X",D12="x"),UPPER(D13)="X",UPPER(D14)="X",UPPER(D15)="X",UPPER(D16)="X",UPPER(D17)="X"),B12,0)+IF(OR(COUNTA(B45:C49,E45:F49)&gt;0,OR(D44="X",D44="x"),UPPER(D45)="X",UPPER(D46)="X",UPPER(D47)="X",UPPER(D48)="X",UPPER(D49)="X"),F44,0)</f>
      </c>
      <c r="C60" s="14" t="str">
        <f>IF(OR(COUNTA(B5:C9,E5:F9)&gt;0,OR(D4="X",D4="x"),UPPER(D5)="X",UPPER(D6)="X",UPPER(D7)="X",UPPER(D8)="X",UPPER(D9)="X"),F4,0)+IF(OR(COUNTA(B13:C17,E13:F17)&gt;0,OR(D12="X",D12="x"),UPPER(D13)="X",UPPER(D14)="X",UPPER(D15)="X",UPPER(D16)="X",UPPER(D17)="X"),F12,0)+IF(OR(COUNTA(B45:C49,E45:F49)&gt;0,OR(D44="X",D44="x"),UPPER(D45)="X",UPPER(D46)="X",UPPER(D47)="X",UPPER(D48)="X",UPPER(D49)="X"),B44,0)</f>
      </c>
      <c r="D60" s="14" t="str">
        <f>IF(OR(COUNTA(B5:C9,E5:F9)&gt;0,OR(D4="X",D4="x"),UPPER(D5)="X",UPPER(D6)="X",UPPER(D7)="X",UPPER(D8)="X",UPPER(D9)="X"),(IF(OR(D5="X",D5="x",AND(COUNTA(B5,C5,E5,F5)&gt;0,(LEN(SUBSTITUTE(SUBSTITUTE(SUBSTITUTE(B5," ",""),"0",""),"-",""))+LEN(SUBSTITUTE(SUBSTITUTE(SUBSTITUTE(C5," ",""),"0",""),"-","")))=(LEN(SUBSTITUTE(SUBSTITUTE(SUBSTITUTE(E5," ",""),"0",""),"-",""))+LEN(SUBSTITUTE(SUBSTITUTE(SUBSTITUTE(F5," ",""),"0",""),"-",""))))),1,0)+IF(OR(D6="X",D6="x",AND(COUNTA(B6,C6,E6,F6)&gt;0,(LEN(SUBSTITUTE(SUBSTITUTE(SUBSTITUTE(B6," ",""),"0",""),"-",""))+LEN(SUBSTITUTE(SUBSTITUTE(SUBSTITUTE(C6," ",""),"0",""),"-","")))=(LEN(SUBSTITUTE(SUBSTITUTE(SUBSTITUTE(E6," ",""),"0",""),"-",""))+LEN(SUBSTITUTE(SUBSTITUTE(SUBSTITUTE(F6," ",""),"0",""),"-",""))))),1,0)+IF(OR(D7="X",D7="x",AND(COUNTA(B7,C7,E7,F7)&gt;0,(LEN(SUBSTITUTE(SUBSTITUTE(SUBSTITUTE(B7," ",""),"0",""),"-",""))+LEN(SUBSTITUTE(SUBSTITUTE(SUBSTITUTE(C7," ",""),"0",""),"-","")))=(LEN(SUBSTITUTE(SUBSTITUTE(SUBSTITUTE(E7," ",""),"0",""),"-",""))+LEN(SUBSTITUTE(SUBSTITUTE(SUBSTITUTE(F7," ",""),"0",""),"-",""))))),1,0)+IF(OR(D8="X",D8="x",AND(COUNTA(B8,C8,E8,F8)&gt;0,(LEN(SUBSTITUTE(SUBSTITUTE(SUBSTITUTE(B8," ",""),"0",""),"-",""))+LEN(SUBSTITUTE(SUBSTITUTE(SUBSTITUTE(C8," ",""),"0",""),"-","")))=(LEN(SUBSTITUTE(SUBSTITUTE(SUBSTITUTE(E8," ",""),"0",""),"-",""))+LEN(SUBSTITUTE(SUBSTITUTE(SUBSTITUTE(F8," ",""),"0",""),"-",""))))),1,0)+IF(OR(D9="X",D9="x",AND(COUNTA(B9,C9,E9,F9)&gt;0,(LEN(SUBSTITUTE(SUBSTITUTE(SUBSTITUTE(B9," ",""),"0",""),"-",""))+LEN(SUBSTITUTE(SUBSTITUTE(SUBSTITUTE(C9," ",""),"0",""),"-","")))=(LEN(SUBSTITUTE(SUBSTITUTE(SUBSTITUTE(E9," ",""),"0",""),"-",""))+LEN(SUBSTITUTE(SUBSTITUTE(SUBSTITUTE(F9," ",""),"0",""),"-",""))))),1,0)),0)+IF(OR(COUNTA(B13:C17,E13:F17)&gt;0,OR(D12="X",D12="x"),UPPER(D13)="X",UPPER(D14)="X",UPPER(D15)="X",UPPER(D16)="X",UPPER(D17)="X"),(IF(OR(D13="X",D13="x",AND(COUNTA(B13,C13,E13,F13)&gt;0,(LEN(SUBSTITUTE(SUBSTITUTE(SUBSTITUTE(B13," ",""),"0",""),"-",""))+LEN(SUBSTITUTE(SUBSTITUTE(SUBSTITUTE(C13," ",""),"0",""),"-","")))=(LEN(SUBSTITUTE(SUBSTITUTE(SUBSTITUTE(E13," ",""),"0",""),"-",""))+LEN(SUBSTITUTE(SUBSTITUTE(SUBSTITUTE(F13," ",""),"0",""),"-",""))))),1,0)+IF(OR(D14="X",D14="x",AND(COUNTA(B14,C14,E14,F14)&gt;0,(LEN(SUBSTITUTE(SUBSTITUTE(SUBSTITUTE(B14," ",""),"0",""),"-",""))+LEN(SUBSTITUTE(SUBSTITUTE(SUBSTITUTE(C14," ",""),"0",""),"-","")))=(LEN(SUBSTITUTE(SUBSTITUTE(SUBSTITUTE(E14," ",""),"0",""),"-",""))+LEN(SUBSTITUTE(SUBSTITUTE(SUBSTITUTE(F14," ",""),"0",""),"-",""))))),1,0)+IF(OR(D15="X",D15="x",AND(COUNTA(B15,C15,E15,F15)&gt;0,(LEN(SUBSTITUTE(SUBSTITUTE(SUBSTITUTE(B15," ",""),"0",""),"-",""))+LEN(SUBSTITUTE(SUBSTITUTE(SUBSTITUTE(C15," ",""),"0",""),"-","")))=(LEN(SUBSTITUTE(SUBSTITUTE(SUBSTITUTE(E15," ",""),"0",""),"-",""))+LEN(SUBSTITUTE(SUBSTITUTE(SUBSTITUTE(F15," ",""),"0",""),"-",""))))),1,0)+IF(OR(D16="X",D16="x",AND(COUNTA(B16,C16,E16,F16)&gt;0,(LEN(SUBSTITUTE(SUBSTITUTE(SUBSTITUTE(B16," ",""),"0",""),"-",""))+LEN(SUBSTITUTE(SUBSTITUTE(SUBSTITUTE(C16," ",""),"0",""),"-","")))=(LEN(SUBSTITUTE(SUBSTITUTE(SUBSTITUTE(E16," ",""),"0",""),"-",""))+LEN(SUBSTITUTE(SUBSTITUTE(SUBSTITUTE(F16," ",""),"0",""),"-",""))))),1,0)+IF(OR(D17="X",D17="x",AND(COUNTA(B17,C17,E17,F17)&gt;0,(LEN(SUBSTITUTE(SUBSTITUTE(SUBSTITUTE(B17," ",""),"0",""),"-",""))+LEN(SUBSTITUTE(SUBSTITUTE(SUBSTITUTE(C17," ",""),"0",""),"-","")))=(LEN(SUBSTITUTE(SUBSTITUTE(SUBSTITUTE(E17," ",""),"0",""),"-",""))+LEN(SUBSTITUTE(SUBSTITUTE(SUBSTITUTE(F17," ",""),"0",""),"-",""))))),1,0)),0)+IF(OR(COUNTA(B45:C49,E45:F49)&gt;0,OR(D44="X",D44="x"),UPPER(D45)="X",UPPER(D46)="X",UPPER(D47)="X",UPPER(D48)="X",UPPER(D49)="X"),(IF(OR(D45="X",D45="x",AND(COUNTA(B45,C45,E45,F45)&gt;0,(LEN(SUBSTITUTE(SUBSTITUTE(SUBSTITUTE(B45," ",""),"0",""),"-",""))+LEN(SUBSTITUTE(SUBSTITUTE(SUBSTITUTE(C45," ",""),"0",""),"-","")))=(LEN(SUBSTITUTE(SUBSTITUTE(SUBSTITUTE(E45," ",""),"0",""),"-",""))+LEN(SUBSTITUTE(SUBSTITUTE(SUBSTITUTE(F45," ",""),"0",""),"-",""))))),1,0)+IF(OR(D46="X",D46="x",AND(COUNTA(B46,C46,E46,F46)&gt;0,(LEN(SUBSTITUTE(SUBSTITUTE(SUBSTITUTE(B46," ",""),"0",""),"-",""))+LEN(SUBSTITUTE(SUBSTITUTE(SUBSTITUTE(C46," ",""),"0",""),"-","")))=(LEN(SUBSTITUTE(SUBSTITUTE(SUBSTITUTE(E46," ",""),"0",""),"-",""))+LEN(SUBSTITUTE(SUBSTITUTE(SUBSTITUTE(F46," ",""),"0",""),"-",""))))),1,0)+IF(OR(D47="X",D47="x",AND(COUNTA(B47,C47,E47,F47)&gt;0,(LEN(SUBSTITUTE(SUBSTITUTE(SUBSTITUTE(B47," ",""),"0",""),"-",""))+LEN(SUBSTITUTE(SUBSTITUTE(SUBSTITUTE(C47," ",""),"0",""),"-","")))=(LEN(SUBSTITUTE(SUBSTITUTE(SUBSTITUTE(E47," ",""),"0",""),"-",""))+LEN(SUBSTITUTE(SUBSTITUTE(SUBSTITUTE(F47," ",""),"0",""),"-",""))))),1,0)+IF(OR(D48="X",D48="x",AND(COUNTA(B48,C48,E48,F48)&gt;0,(LEN(SUBSTITUTE(SUBSTITUTE(SUBSTITUTE(B48," ",""),"0",""),"-",""))+LEN(SUBSTITUTE(SUBSTITUTE(SUBSTITUTE(C48," ",""),"0",""),"-","")))=(LEN(SUBSTITUTE(SUBSTITUTE(SUBSTITUTE(E48," ",""),"0",""),"-",""))+LEN(SUBSTITUTE(SUBSTITUTE(SUBSTITUTE(F48," ",""),"0",""),"-",""))))),1,0)+IF(OR(D49="X",D49="x",AND(COUNTA(B49,C49,E49,F49)&gt;0,(LEN(SUBSTITUTE(SUBSTITUTE(SUBSTITUTE(B49," ",""),"0",""),"-",""))+LEN(SUBSTITUTE(SUBSTITUTE(SUBSTITUTE(C49," ",""),"0",""),"-","")))=(LEN(SUBSTITUTE(SUBSTITUTE(SUBSTITUTE(E49," ",""),"0",""),"-",""))+LEN(SUBSTITUTE(SUBSTITUTE(SUBSTITUTE(F49," ",""),"0",""),"-",""))))),1,0)),0)</f>
      </c>
      <c r="E60" s="14" t="str">
        <f>C4+C12+E44</f>
      </c>
      <c r="F60" s="14" t="str">
        <f>E4+E12+C44</f>
      </c>
      <c r="I60" s="14" t="str">
        <f>data!$D$12&amp;" "&amp;data!$B$12</f>
      </c>
      <c r="J60" s="14" t="str">
        <f>IF(OR(COUNTA(J13:K17,M13:N17)&gt;0,OR(L12="X",L12="x"),UPPER(L13)="X",UPPER(L14)="X",UPPER(L15)="X",UPPER(L16)="X",UPPER(L17)="X"),J12,0)+IF(OR(COUNTA(J21:K25,M21:N25)&gt;0,OR(L20="X",L20="x"),UPPER(L21)="X",UPPER(L22)="X",UPPER(L23)="X",UPPER(L24)="X",UPPER(L25)="X"),J20,0)</f>
      </c>
      <c r="K60" s="14" t="str">
        <f>IF(OR(COUNTA(J13:K17,M13:N17)&gt;0,OR(L12="X",L12="x"),UPPER(L13)="X",UPPER(L14)="X",UPPER(L15)="X",UPPER(L16)="X",UPPER(L17)="X"),N12,0)+IF(OR(COUNTA(J21:K25,M21:N25)&gt;0,OR(L20="X",L20="x"),UPPER(L21)="X",UPPER(L22)="X",UPPER(L23)="X",UPPER(L24)="X",UPPER(L25)="X"),N20,0)</f>
      </c>
      <c r="L60" s="14" t="str">
        <f>IF(OR(COUNTA(J13:K17,M13:N17)&gt;0,OR(L12="X",L12="x"),UPPER(L13)="X",UPPER(L14)="X",UPPER(L15)="X",UPPER(L16)="X",UPPER(L17)="X"),(IF(OR(L13="X",L13="x",AND(COUNTA(J13,K13,M13,N13)&gt;0,(LEN(SUBSTITUTE(SUBSTITUTE(SUBSTITUTE(J13," ",""),"0",""),"-",""))+LEN(SUBSTITUTE(SUBSTITUTE(SUBSTITUTE(K13," ",""),"0",""),"-","")))=(LEN(SUBSTITUTE(SUBSTITUTE(SUBSTITUTE(M13," ",""),"0",""),"-",""))+LEN(SUBSTITUTE(SUBSTITUTE(SUBSTITUTE(N13," ",""),"0",""),"-",""))))),1,0)+IF(OR(L14="X",L14="x",AND(COUNTA(J14,K14,M14,N14)&gt;0,(LEN(SUBSTITUTE(SUBSTITUTE(SUBSTITUTE(J14," ",""),"0",""),"-",""))+LEN(SUBSTITUTE(SUBSTITUTE(SUBSTITUTE(K14," ",""),"0",""),"-","")))=(LEN(SUBSTITUTE(SUBSTITUTE(SUBSTITUTE(M14," ",""),"0",""),"-",""))+LEN(SUBSTITUTE(SUBSTITUTE(SUBSTITUTE(N14," ",""),"0",""),"-",""))))),1,0)+IF(OR(L15="X",L15="x",AND(COUNTA(J15,K15,M15,N15)&gt;0,(LEN(SUBSTITUTE(SUBSTITUTE(SUBSTITUTE(J15," ",""),"0",""),"-",""))+LEN(SUBSTITUTE(SUBSTITUTE(SUBSTITUTE(K15," ",""),"0",""),"-","")))=(LEN(SUBSTITUTE(SUBSTITUTE(SUBSTITUTE(M15," ",""),"0",""),"-",""))+LEN(SUBSTITUTE(SUBSTITUTE(SUBSTITUTE(N15," ",""),"0",""),"-",""))))),1,0)+IF(OR(L16="X",L16="x",AND(COUNTA(J16,K16,M16,N16)&gt;0,(LEN(SUBSTITUTE(SUBSTITUTE(SUBSTITUTE(J16," ",""),"0",""),"-",""))+LEN(SUBSTITUTE(SUBSTITUTE(SUBSTITUTE(K16," ",""),"0",""),"-","")))=(LEN(SUBSTITUTE(SUBSTITUTE(SUBSTITUTE(M16," ",""),"0",""),"-",""))+LEN(SUBSTITUTE(SUBSTITUTE(SUBSTITUTE(N16," ",""),"0",""),"-",""))))),1,0)+IF(OR(L17="X",L17="x",AND(COUNTA(J17,K17,M17,N17)&gt;0,(LEN(SUBSTITUTE(SUBSTITUTE(SUBSTITUTE(J17," ",""),"0",""),"-",""))+LEN(SUBSTITUTE(SUBSTITUTE(SUBSTITUTE(K17," ",""),"0",""),"-","")))=(LEN(SUBSTITUTE(SUBSTITUTE(SUBSTITUTE(M17," ",""),"0",""),"-",""))+LEN(SUBSTITUTE(SUBSTITUTE(SUBSTITUTE(N17," ",""),"0",""),"-",""))))),1,0)),0)+IF(OR(COUNTA(J21:K25,M21:N25)&gt;0,OR(L20="X",L20="x"),UPPER(L21)="X",UPPER(L22)="X",UPPER(L23)="X",UPPER(L24)="X",UPPER(L25)="X"),(IF(OR(L21="X",L21="x",AND(COUNTA(J21,K21,M21,N21)&gt;0,(LEN(SUBSTITUTE(SUBSTITUTE(SUBSTITUTE(J21," ",""),"0",""),"-",""))+LEN(SUBSTITUTE(SUBSTITUTE(SUBSTITUTE(K21," ",""),"0",""),"-","")))=(LEN(SUBSTITUTE(SUBSTITUTE(SUBSTITUTE(M21," ",""),"0",""),"-",""))+LEN(SUBSTITUTE(SUBSTITUTE(SUBSTITUTE(N21," ",""),"0",""),"-",""))))),1,0)+IF(OR(L22="X",L22="x",AND(COUNTA(J22,K22,M22,N22)&gt;0,(LEN(SUBSTITUTE(SUBSTITUTE(SUBSTITUTE(J22," ",""),"0",""),"-",""))+LEN(SUBSTITUTE(SUBSTITUTE(SUBSTITUTE(K22," ",""),"0",""),"-","")))=(LEN(SUBSTITUTE(SUBSTITUTE(SUBSTITUTE(M22," ",""),"0",""),"-",""))+LEN(SUBSTITUTE(SUBSTITUTE(SUBSTITUTE(N22," ",""),"0",""),"-",""))))),1,0)+IF(OR(L23="X",L23="x",AND(COUNTA(J23,K23,M23,N23)&gt;0,(LEN(SUBSTITUTE(SUBSTITUTE(SUBSTITUTE(J23," ",""),"0",""),"-",""))+LEN(SUBSTITUTE(SUBSTITUTE(SUBSTITUTE(K23," ",""),"0",""),"-","")))=(LEN(SUBSTITUTE(SUBSTITUTE(SUBSTITUTE(M23," ",""),"0",""),"-",""))+LEN(SUBSTITUTE(SUBSTITUTE(SUBSTITUTE(N23," ",""),"0",""),"-",""))))),1,0)+IF(OR(L24="X",L24="x",AND(COUNTA(J24,K24,M24,N24)&gt;0,(LEN(SUBSTITUTE(SUBSTITUTE(SUBSTITUTE(J24," ",""),"0",""),"-",""))+LEN(SUBSTITUTE(SUBSTITUTE(SUBSTITUTE(K24," ",""),"0",""),"-","")))=(LEN(SUBSTITUTE(SUBSTITUTE(SUBSTITUTE(M24," ",""),"0",""),"-",""))+LEN(SUBSTITUTE(SUBSTITUTE(SUBSTITUTE(N24," ",""),"0",""),"-",""))))),1,0)+IF(OR(L25="X",L25="x",AND(COUNTA(J25,K25,M25,N25)&gt;0,(LEN(SUBSTITUTE(SUBSTITUTE(SUBSTITUTE(J25," ",""),"0",""),"-",""))+LEN(SUBSTITUTE(SUBSTITUTE(SUBSTITUTE(K25," ",""),"0",""),"-","")))=(LEN(SUBSTITUTE(SUBSTITUTE(SUBSTITUTE(M25," ",""),"0",""),"-",""))+LEN(SUBSTITUTE(SUBSTITUTE(SUBSTITUTE(N25," ",""),"0",""),"-",""))))),1,0)),0)</f>
      </c>
      <c r="M60" s="14" t="str">
        <f>K12+K20</f>
      </c>
      <c r="N60" s="14" t="str">
        <f>M12+M20</f>
      </c>
    </row>
    <row r="61">
      <c r="A61" s="14" t="str">
        <f>data!$D$5&amp;" "&amp;data!$B$5</f>
      </c>
      <c r="B61" s="14" t="str">
        <f>IF(OR(COUNTA(B13:C17,E13:F17)&gt;0,OR(D12="X",D12="x"),UPPER(D13)="X",UPPER(D14)="X",UPPER(D15)="X",UPPER(D16)="X",UPPER(D17)="X"),F12,0)+IF(OR(COUNTA(B21:C25,E21:F25)&gt;0,OR(D20="X",D20="x"),UPPER(D21)="X",UPPER(D22)="X",UPPER(D23)="X",UPPER(D24)="X",UPPER(D25)="X"),F20,0)+IF(OR(COUNTA(B37:C41,E37:F41)&gt;0,OR(D36="X",D36="x"),UPPER(D37)="X",UPPER(D38)="X",UPPER(D39)="X",UPPER(D40)="X",UPPER(D41)="X"),B36,0)</f>
      </c>
      <c r="C61" s="14" t="str">
        <f>IF(OR(COUNTA(B13:C17,E13:F17)&gt;0,OR(D12="X",D12="x"),UPPER(D13)="X",UPPER(D14)="X",UPPER(D15)="X",UPPER(D16)="X",UPPER(D17)="X"),B12,0)+IF(OR(COUNTA(B21:C25,E21:F25)&gt;0,OR(D20="X",D20="x"),UPPER(D21)="X",UPPER(D22)="X",UPPER(D23)="X",UPPER(D24)="X",UPPER(D25)="X"),B20,0)+IF(OR(COUNTA(B37:C41,E37:F41)&gt;0,OR(D36="X",D36="x"),UPPER(D37)="X",UPPER(D38)="X",UPPER(D39)="X",UPPER(D40)="X",UPPER(D41)="X"),F36,0)</f>
      </c>
      <c r="D61" s="14" t="str">
        <f>IF(OR(COUNTA(B13:C17,E13:F17)&gt;0,OR(D12="X",D12="x"),UPPER(D13)="X",UPPER(D14)="X",UPPER(D15)="X",UPPER(D16)="X",UPPER(D17)="X"),(IF(OR(D13="X",D13="x",AND(COUNTA(B13,C13,E13,F13)&gt;0,(LEN(SUBSTITUTE(SUBSTITUTE(SUBSTITUTE(B13," ",""),"0",""),"-",""))+LEN(SUBSTITUTE(SUBSTITUTE(SUBSTITUTE(C13," ",""),"0",""),"-","")))=(LEN(SUBSTITUTE(SUBSTITUTE(SUBSTITUTE(E13," ",""),"0",""),"-",""))+LEN(SUBSTITUTE(SUBSTITUTE(SUBSTITUTE(F13," ",""),"0",""),"-",""))))),1,0)+IF(OR(D14="X",D14="x",AND(COUNTA(B14,C14,E14,F14)&gt;0,(LEN(SUBSTITUTE(SUBSTITUTE(SUBSTITUTE(B14," ",""),"0",""),"-",""))+LEN(SUBSTITUTE(SUBSTITUTE(SUBSTITUTE(C14," ",""),"0",""),"-","")))=(LEN(SUBSTITUTE(SUBSTITUTE(SUBSTITUTE(E14," ",""),"0",""),"-",""))+LEN(SUBSTITUTE(SUBSTITUTE(SUBSTITUTE(F14," ",""),"0",""),"-",""))))),1,0)+IF(OR(D15="X",D15="x",AND(COUNTA(B15,C15,E15,F15)&gt;0,(LEN(SUBSTITUTE(SUBSTITUTE(SUBSTITUTE(B15," ",""),"0",""),"-",""))+LEN(SUBSTITUTE(SUBSTITUTE(SUBSTITUTE(C15," ",""),"0",""),"-","")))=(LEN(SUBSTITUTE(SUBSTITUTE(SUBSTITUTE(E15," ",""),"0",""),"-",""))+LEN(SUBSTITUTE(SUBSTITUTE(SUBSTITUTE(F15," ",""),"0",""),"-",""))))),1,0)+IF(OR(D16="X",D16="x",AND(COUNTA(B16,C16,E16,F16)&gt;0,(LEN(SUBSTITUTE(SUBSTITUTE(SUBSTITUTE(B16," ",""),"0",""),"-",""))+LEN(SUBSTITUTE(SUBSTITUTE(SUBSTITUTE(C16," ",""),"0",""),"-","")))=(LEN(SUBSTITUTE(SUBSTITUTE(SUBSTITUTE(E16," ",""),"0",""),"-",""))+LEN(SUBSTITUTE(SUBSTITUTE(SUBSTITUTE(F16," ",""),"0",""),"-",""))))),1,0)+IF(OR(D17="X",D17="x",AND(COUNTA(B17,C17,E17,F17)&gt;0,(LEN(SUBSTITUTE(SUBSTITUTE(SUBSTITUTE(B17," ",""),"0",""),"-",""))+LEN(SUBSTITUTE(SUBSTITUTE(SUBSTITUTE(C17," ",""),"0",""),"-","")))=(LEN(SUBSTITUTE(SUBSTITUTE(SUBSTITUTE(E17," ",""),"0",""),"-",""))+LEN(SUBSTITUTE(SUBSTITUTE(SUBSTITUTE(F17," ",""),"0",""),"-",""))))),1,0)),0)+IF(OR(COUNTA(B21:C25,E21:F25)&gt;0,OR(D20="X",D20="x"),UPPER(D21)="X",UPPER(D22)="X",UPPER(D23)="X",UPPER(D24)="X",UPPER(D25)="X"),(IF(OR(D21="X",D21="x",AND(COUNTA(B21,C21,E21,F21)&gt;0,(LEN(SUBSTITUTE(SUBSTITUTE(SUBSTITUTE(B21," ",""),"0",""),"-",""))+LEN(SUBSTITUTE(SUBSTITUTE(SUBSTITUTE(C21," ",""),"0",""),"-","")))=(LEN(SUBSTITUTE(SUBSTITUTE(SUBSTITUTE(E21," ",""),"0",""),"-",""))+LEN(SUBSTITUTE(SUBSTITUTE(SUBSTITUTE(F21," ",""),"0",""),"-",""))))),1,0)+IF(OR(D22="X",D22="x",AND(COUNTA(B22,C22,E22,F22)&gt;0,(LEN(SUBSTITUTE(SUBSTITUTE(SUBSTITUTE(B22," ",""),"0",""),"-",""))+LEN(SUBSTITUTE(SUBSTITUTE(SUBSTITUTE(C22," ",""),"0",""),"-","")))=(LEN(SUBSTITUTE(SUBSTITUTE(SUBSTITUTE(E22," ",""),"0",""),"-",""))+LEN(SUBSTITUTE(SUBSTITUTE(SUBSTITUTE(F22," ",""),"0",""),"-",""))))),1,0)+IF(OR(D23="X",D23="x",AND(COUNTA(B23,C23,E23,F23)&gt;0,(LEN(SUBSTITUTE(SUBSTITUTE(SUBSTITUTE(B23," ",""),"0",""),"-",""))+LEN(SUBSTITUTE(SUBSTITUTE(SUBSTITUTE(C23," ",""),"0",""),"-","")))=(LEN(SUBSTITUTE(SUBSTITUTE(SUBSTITUTE(E23," ",""),"0",""),"-",""))+LEN(SUBSTITUTE(SUBSTITUTE(SUBSTITUTE(F23," ",""),"0",""),"-",""))))),1,0)+IF(OR(D24="X",D24="x",AND(COUNTA(B24,C24,E24,F24)&gt;0,(LEN(SUBSTITUTE(SUBSTITUTE(SUBSTITUTE(B24," ",""),"0",""),"-",""))+LEN(SUBSTITUTE(SUBSTITUTE(SUBSTITUTE(C24," ",""),"0",""),"-","")))=(LEN(SUBSTITUTE(SUBSTITUTE(SUBSTITUTE(E24," ",""),"0",""),"-",""))+LEN(SUBSTITUTE(SUBSTITUTE(SUBSTITUTE(F24," ",""),"0",""),"-",""))))),1,0)+IF(OR(D25="X",D25="x",AND(COUNTA(B25,C25,E25,F25)&gt;0,(LEN(SUBSTITUTE(SUBSTITUTE(SUBSTITUTE(B25," ",""),"0",""),"-",""))+LEN(SUBSTITUTE(SUBSTITUTE(SUBSTITUTE(C25," ",""),"0",""),"-","")))=(LEN(SUBSTITUTE(SUBSTITUTE(SUBSTITUTE(E25," ",""),"0",""),"-",""))+LEN(SUBSTITUTE(SUBSTITUTE(SUBSTITUTE(F25," ",""),"0",""),"-",""))))),1,0)),0)+IF(OR(COUNTA(B37:C41,E37:F41)&gt;0,OR(D36="X",D36="x"),UPPER(D37)="X",UPPER(D38)="X",UPPER(D39)="X",UPPER(D40)="X",UPPER(D41)="X"),(IF(OR(D37="X",D37="x",AND(COUNTA(B37,C37,E37,F37)&gt;0,(LEN(SUBSTITUTE(SUBSTITUTE(SUBSTITUTE(B37," ",""),"0",""),"-",""))+LEN(SUBSTITUTE(SUBSTITUTE(SUBSTITUTE(C37," ",""),"0",""),"-","")))=(LEN(SUBSTITUTE(SUBSTITUTE(SUBSTITUTE(E37," ",""),"0",""),"-",""))+LEN(SUBSTITUTE(SUBSTITUTE(SUBSTITUTE(F37," ",""),"0",""),"-",""))))),1,0)+IF(OR(D38="X",D38="x",AND(COUNTA(B38,C38,E38,F38)&gt;0,(LEN(SUBSTITUTE(SUBSTITUTE(SUBSTITUTE(B38," ",""),"0",""),"-",""))+LEN(SUBSTITUTE(SUBSTITUTE(SUBSTITUTE(C38," ",""),"0",""),"-","")))=(LEN(SUBSTITUTE(SUBSTITUTE(SUBSTITUTE(E38," ",""),"0",""),"-",""))+LEN(SUBSTITUTE(SUBSTITUTE(SUBSTITUTE(F38," ",""),"0",""),"-",""))))),1,0)+IF(OR(D39="X",D39="x",AND(COUNTA(B39,C39,E39,F39)&gt;0,(LEN(SUBSTITUTE(SUBSTITUTE(SUBSTITUTE(B39," ",""),"0",""),"-",""))+LEN(SUBSTITUTE(SUBSTITUTE(SUBSTITUTE(C39," ",""),"0",""),"-","")))=(LEN(SUBSTITUTE(SUBSTITUTE(SUBSTITUTE(E39," ",""),"0",""),"-",""))+LEN(SUBSTITUTE(SUBSTITUTE(SUBSTITUTE(F39," ",""),"0",""),"-",""))))),1,0)+IF(OR(D40="X",D40="x",AND(COUNTA(B40,C40,E40,F40)&gt;0,(LEN(SUBSTITUTE(SUBSTITUTE(SUBSTITUTE(B40," ",""),"0",""),"-",""))+LEN(SUBSTITUTE(SUBSTITUTE(SUBSTITUTE(C40," ",""),"0",""),"-","")))=(LEN(SUBSTITUTE(SUBSTITUTE(SUBSTITUTE(E40," ",""),"0",""),"-",""))+LEN(SUBSTITUTE(SUBSTITUTE(SUBSTITUTE(F40," ",""),"0",""),"-",""))))),1,0)+IF(OR(D41="X",D41="x",AND(COUNTA(B41,C41,E41,F41)&gt;0,(LEN(SUBSTITUTE(SUBSTITUTE(SUBSTITUTE(B41," ",""),"0",""),"-",""))+LEN(SUBSTITUTE(SUBSTITUTE(SUBSTITUTE(C41," ",""),"0",""),"-","")))=(LEN(SUBSTITUTE(SUBSTITUTE(SUBSTITUTE(E41," ",""),"0",""),"-",""))+LEN(SUBSTITUTE(SUBSTITUTE(SUBSTITUTE(F41," ",""),"0",""),"-",""))))),1,0)),0)</f>
      </c>
      <c r="E61" s="14" t="str">
        <f>E12+E20+C36</f>
      </c>
      <c r="F61" s="14" t="str">
        <f>C12+C20+E36</f>
      </c>
    </row>
    <row r="62">
      <c r="A62" s="14" t="str">
        <f>data!$D$6&amp;" "&amp;data!$B$6</f>
      </c>
      <c r="B62" s="14" t="str">
        <f>IF(OR(COUNTA(B21:C25,E21:F25)&gt;0,OR(D20="X",D20="x"),UPPER(D21)="X",UPPER(D22)="X",UPPER(D23)="X",UPPER(D24)="X",UPPER(D25)="X"),B20,0)+IF(OR(COUNTA(B29:C33,E29:F33)&gt;0,OR(D28="X",D28="x"),UPPER(D29)="X",UPPER(D30)="X",UPPER(D31)="X",UPPER(D32)="X",UPPER(D33)="X"),B28,0)+IF(OR(COUNTA(B45:C49,E45:F49)&gt;0,OR(D44="X",D44="x"),UPPER(D45)="X",UPPER(D46)="X",UPPER(D47)="X",UPPER(D48)="X",UPPER(D49)="X"),B44,0)</f>
      </c>
      <c r="C62" s="14" t="str">
        <f>IF(OR(COUNTA(B21:C25,E21:F25)&gt;0,OR(D20="X",D20="x"),UPPER(D21)="X",UPPER(D22)="X",UPPER(D23)="X",UPPER(D24)="X",UPPER(D25)="X"),F20,0)+IF(OR(COUNTA(B29:C33,E29:F33)&gt;0,OR(D28="X",D28="x"),UPPER(D29)="X",UPPER(D30)="X",UPPER(D31)="X",UPPER(D32)="X",UPPER(D33)="X"),F28,0)+IF(OR(COUNTA(B45:C49,E45:F49)&gt;0,OR(D44="X",D44="x"),UPPER(D45)="X",UPPER(D46)="X",UPPER(D47)="X",UPPER(D48)="X",UPPER(D49)="X"),F44,0)</f>
      </c>
      <c r="D62" s="14" t="str">
        <f>IF(OR(COUNTA(B21:C25,E21:F25)&gt;0,OR(D20="X",D20="x"),UPPER(D21)="X",UPPER(D22)="X",UPPER(D23)="X",UPPER(D24)="X",UPPER(D25)="X"),(IF(OR(D21="X",D21="x",AND(COUNTA(B21,C21,E21,F21)&gt;0,(LEN(SUBSTITUTE(SUBSTITUTE(SUBSTITUTE(B21," ",""),"0",""),"-",""))+LEN(SUBSTITUTE(SUBSTITUTE(SUBSTITUTE(C21," ",""),"0",""),"-","")))=(LEN(SUBSTITUTE(SUBSTITUTE(SUBSTITUTE(E21," ",""),"0",""),"-",""))+LEN(SUBSTITUTE(SUBSTITUTE(SUBSTITUTE(F21," ",""),"0",""),"-",""))))),1,0)+IF(OR(D22="X",D22="x",AND(COUNTA(B22,C22,E22,F22)&gt;0,(LEN(SUBSTITUTE(SUBSTITUTE(SUBSTITUTE(B22," ",""),"0",""),"-",""))+LEN(SUBSTITUTE(SUBSTITUTE(SUBSTITUTE(C22," ",""),"0",""),"-","")))=(LEN(SUBSTITUTE(SUBSTITUTE(SUBSTITUTE(E22," ",""),"0",""),"-",""))+LEN(SUBSTITUTE(SUBSTITUTE(SUBSTITUTE(F22," ",""),"0",""),"-",""))))),1,0)+IF(OR(D23="X",D23="x",AND(COUNTA(B23,C23,E23,F23)&gt;0,(LEN(SUBSTITUTE(SUBSTITUTE(SUBSTITUTE(B23," ",""),"0",""),"-",""))+LEN(SUBSTITUTE(SUBSTITUTE(SUBSTITUTE(C23," ",""),"0",""),"-","")))=(LEN(SUBSTITUTE(SUBSTITUTE(SUBSTITUTE(E23," ",""),"0",""),"-",""))+LEN(SUBSTITUTE(SUBSTITUTE(SUBSTITUTE(F23," ",""),"0",""),"-",""))))),1,0)+IF(OR(D24="X",D24="x",AND(COUNTA(B24,C24,E24,F24)&gt;0,(LEN(SUBSTITUTE(SUBSTITUTE(SUBSTITUTE(B24," ",""),"0",""),"-",""))+LEN(SUBSTITUTE(SUBSTITUTE(SUBSTITUTE(C24," ",""),"0",""),"-","")))=(LEN(SUBSTITUTE(SUBSTITUTE(SUBSTITUTE(E24," ",""),"0",""),"-",""))+LEN(SUBSTITUTE(SUBSTITUTE(SUBSTITUTE(F24," ",""),"0",""),"-",""))))),1,0)+IF(OR(D25="X",D25="x",AND(COUNTA(B25,C25,E25,F25)&gt;0,(LEN(SUBSTITUTE(SUBSTITUTE(SUBSTITUTE(B25," ",""),"0",""),"-",""))+LEN(SUBSTITUTE(SUBSTITUTE(SUBSTITUTE(C25," ",""),"0",""),"-","")))=(LEN(SUBSTITUTE(SUBSTITUTE(SUBSTITUTE(E25," ",""),"0",""),"-",""))+LEN(SUBSTITUTE(SUBSTITUTE(SUBSTITUTE(F25," ",""),"0",""),"-",""))))),1,0)),0)+IF(OR(COUNTA(B29:C33,E29:F33)&gt;0,OR(D28="X",D28="x"),UPPER(D29)="X",UPPER(D30)="X",UPPER(D31)="X",UPPER(D32)="X",UPPER(D33)="X"),(IF(OR(D29="X",D29="x",AND(COUNTA(B29,C29,E29,F29)&gt;0,(LEN(SUBSTITUTE(SUBSTITUTE(SUBSTITUTE(B29," ",""),"0",""),"-",""))+LEN(SUBSTITUTE(SUBSTITUTE(SUBSTITUTE(C29," ",""),"0",""),"-","")))=(LEN(SUBSTITUTE(SUBSTITUTE(SUBSTITUTE(E29," ",""),"0",""),"-",""))+LEN(SUBSTITUTE(SUBSTITUTE(SUBSTITUTE(F29," ",""),"0",""),"-",""))))),1,0)+IF(OR(D30="X",D30="x",AND(COUNTA(B30,C30,E30,F30)&gt;0,(LEN(SUBSTITUTE(SUBSTITUTE(SUBSTITUTE(B30," ",""),"0",""),"-",""))+LEN(SUBSTITUTE(SUBSTITUTE(SUBSTITUTE(C30," ",""),"0",""),"-","")))=(LEN(SUBSTITUTE(SUBSTITUTE(SUBSTITUTE(E30," ",""),"0",""),"-",""))+LEN(SUBSTITUTE(SUBSTITUTE(SUBSTITUTE(F30," ",""),"0",""),"-",""))))),1,0)+IF(OR(D31="X",D31="x",AND(COUNTA(B31,C31,E31,F31)&gt;0,(LEN(SUBSTITUTE(SUBSTITUTE(SUBSTITUTE(B31," ",""),"0",""),"-",""))+LEN(SUBSTITUTE(SUBSTITUTE(SUBSTITUTE(C31," ",""),"0",""),"-","")))=(LEN(SUBSTITUTE(SUBSTITUTE(SUBSTITUTE(E31," ",""),"0",""),"-",""))+LEN(SUBSTITUTE(SUBSTITUTE(SUBSTITUTE(F31," ",""),"0",""),"-",""))))),1,0)+IF(OR(D32="X",D32="x",AND(COUNTA(B32,C32,E32,F32)&gt;0,(LEN(SUBSTITUTE(SUBSTITUTE(SUBSTITUTE(B32," ",""),"0",""),"-",""))+LEN(SUBSTITUTE(SUBSTITUTE(SUBSTITUTE(C32," ",""),"0",""),"-","")))=(LEN(SUBSTITUTE(SUBSTITUTE(SUBSTITUTE(E32," ",""),"0",""),"-",""))+LEN(SUBSTITUTE(SUBSTITUTE(SUBSTITUTE(F32," ",""),"0",""),"-",""))))),1,0)+IF(OR(D33="X",D33="x",AND(COUNTA(B33,C33,E33,F33)&gt;0,(LEN(SUBSTITUTE(SUBSTITUTE(SUBSTITUTE(B33," ",""),"0",""),"-",""))+LEN(SUBSTITUTE(SUBSTITUTE(SUBSTITUTE(C33," ",""),"0",""),"-","")))=(LEN(SUBSTITUTE(SUBSTITUTE(SUBSTITUTE(E33," ",""),"0",""),"-",""))+LEN(SUBSTITUTE(SUBSTITUTE(SUBSTITUTE(F33," ",""),"0",""),"-",""))))),1,0)),0)+IF(OR(COUNTA(B45:C49,E45:F49)&gt;0,OR(D44="X",D44="x"),UPPER(D45)="X",UPPER(D46)="X",UPPER(D47)="X",UPPER(D48)="X",UPPER(D49)="X"),(IF(OR(D45="X",D45="x",AND(COUNTA(B45,C45,E45,F45)&gt;0,(LEN(SUBSTITUTE(SUBSTITUTE(SUBSTITUTE(B45," ",""),"0",""),"-",""))+LEN(SUBSTITUTE(SUBSTITUTE(SUBSTITUTE(C45," ",""),"0",""),"-","")))=(LEN(SUBSTITUTE(SUBSTITUTE(SUBSTITUTE(E45," ",""),"0",""),"-",""))+LEN(SUBSTITUTE(SUBSTITUTE(SUBSTITUTE(F45," ",""),"0",""),"-",""))))),1,0)+IF(OR(D46="X",D46="x",AND(COUNTA(B46,C46,E46,F46)&gt;0,(LEN(SUBSTITUTE(SUBSTITUTE(SUBSTITUTE(B46," ",""),"0",""),"-",""))+LEN(SUBSTITUTE(SUBSTITUTE(SUBSTITUTE(C46," ",""),"0",""),"-","")))=(LEN(SUBSTITUTE(SUBSTITUTE(SUBSTITUTE(E46," ",""),"0",""),"-",""))+LEN(SUBSTITUTE(SUBSTITUTE(SUBSTITUTE(F46," ",""),"0",""),"-",""))))),1,0)+IF(OR(D47="X",D47="x",AND(COUNTA(B47,C47,E47,F47)&gt;0,(LEN(SUBSTITUTE(SUBSTITUTE(SUBSTITUTE(B47," ",""),"0",""),"-",""))+LEN(SUBSTITUTE(SUBSTITUTE(SUBSTITUTE(C47," ",""),"0",""),"-","")))=(LEN(SUBSTITUTE(SUBSTITUTE(SUBSTITUTE(E47," ",""),"0",""),"-",""))+LEN(SUBSTITUTE(SUBSTITUTE(SUBSTITUTE(F47," ",""),"0",""),"-",""))))),1,0)+IF(OR(D48="X",D48="x",AND(COUNTA(B48,C48,E48,F48)&gt;0,(LEN(SUBSTITUTE(SUBSTITUTE(SUBSTITUTE(B48," ",""),"0",""),"-",""))+LEN(SUBSTITUTE(SUBSTITUTE(SUBSTITUTE(C48," ",""),"0",""),"-","")))=(LEN(SUBSTITUTE(SUBSTITUTE(SUBSTITUTE(E48," ",""),"0",""),"-",""))+LEN(SUBSTITUTE(SUBSTITUTE(SUBSTITUTE(F48," ",""),"0",""),"-",""))))),1,0)+IF(OR(D49="X",D49="x",AND(COUNTA(B49,C49,E49,F49)&gt;0,(LEN(SUBSTITUTE(SUBSTITUTE(SUBSTITUTE(B49," ",""),"0",""),"-",""))+LEN(SUBSTITUTE(SUBSTITUTE(SUBSTITUTE(C49," ",""),"0",""),"-","")))=(LEN(SUBSTITUTE(SUBSTITUTE(SUBSTITUTE(E49," ",""),"0",""),"-",""))+LEN(SUBSTITUTE(SUBSTITUTE(SUBSTITUTE(F49," ",""),"0",""),"-",""))))),1,0)),0)</f>
      </c>
      <c r="E62" s="14" t="str">
        <f>C20+C28+C44</f>
      </c>
      <c r="F62" s="14" t="str">
        <f>E20+E28+E44</f>
      </c>
    </row>
    <row r="63">
      <c r="N63" s="13"/>
      <c r="O63" s="13" t="s">
        <v>59</v>
      </c>
    </row>
    <row r="64">
      <c r="N64" t="s">
        <v>60</v>
      </c>
      <c r="O64" s="19" t="str">
        <f>IFERROR(INDEX($I$53:$I$60, MATCH(1, $O$53:$O$60, 0)), "-")</f>
      </c>
    </row>
    <row r="65">
      <c r="F65" s="13"/>
      <c r="G65" s="13" t="s">
        <v>59</v>
      </c>
      <c r="N65" t="s">
        <v>61</v>
      </c>
      <c r="O65" s="19" t="str">
        <f>IFERROR(INDEX($I$53:$I$60, MATCH(2, $O$53:$O$60, 0)), "-")</f>
      </c>
    </row>
    <row r="66">
      <c r="F66" t="s">
        <v>60</v>
      </c>
      <c r="G66" s="19" t="str">
        <f>IFERROR(INDEX($A$53:$A$62, MATCH(1, $G$53:$G$62, 0)), "-")</f>
      </c>
      <c r="N66" t="s">
        <v>62</v>
      </c>
      <c r="O66" s="19" t="str">
        <f>IFERROR(INDEX($I$53:$I$60, MATCH(3, $O$53:$O$60, 0)), "-")</f>
      </c>
    </row>
    <row r="67">
      <c r="F67" t="s">
        <v>61</v>
      </c>
      <c r="G67" s="19" t="str">
        <f>IFERROR(INDEX($A$53:$A$62, MATCH(2, $G$53:$G$62, 0)), "-")</f>
      </c>
    </row>
    <row r="68">
      <c r="F68" t="s">
        <v>62</v>
      </c>
      <c r="G68" s="19" t="str">
        <f>IFERROR(INDEX($A$53:$A$62, MATCH(3, $G$53:$G$62, 0)), "-")</f>
      </c>
    </row>
    <row r="69">
      <c r="F69" t="s">
        <v>63</v>
      </c>
      <c r="G69" s="19" t="str">
        <f>IFERROR(INDEX($A$53:$A$62, MATCH(4, $G$53:$G$62, 0)), "-")</f>
      </c>
    </row>
    <row r="71">
      <c r="A71" s="13" t="str">
        <f>'data'!$A$9</f>
      </c>
      <c r="B71" s="13"/>
      <c r="C71" s="13"/>
      <c r="D71" s="13"/>
      <c r="E71" s="13"/>
      <c r="F71" s="13"/>
      <c r="G71" s="13"/>
    </row>
    <row r="72">
      <c r="A72" s="17" t="s">
        <v>46</v>
      </c>
      <c r="B72" s="14"/>
      <c r="C72" s="14"/>
      <c r="D72" s="14" t="s">
        <v>47</v>
      </c>
      <c r="E72" s="14"/>
      <c r="F72" s="14"/>
      <c r="G72" s="16" t="s">
        <v>48</v>
      </c>
    </row>
    <row r="73">
      <c r="A73" s="14" t="str">
        <f>data!$D$8&amp;" "&amp;data!$B$8</f>
      </c>
      <c r="B73" s="14" t="str">
        <f>IF(UPPER(D74)="X",0,IF((LEN(SUBSTITUTE(SUBSTITUTE(SUBSTITUTE(B74," ",""),"0",""),"-",""))+LEN(SUBSTITUTE(SUBSTITUTE(SUBSTITUTE(C74," ",""),"0",""),"-","")))&gt;(LEN(SUBSTITUTE(SUBSTITUTE(SUBSTITUTE(E74," ",""),"0",""),"-",""))+LEN(SUBSTITUTE(SUBSTITUTE(SUBSTITUTE(F74," ",""),"0",""),"-",""))),1,0))+IF(UPPER(D75)="X",0,IF((LEN(SUBSTITUTE(SUBSTITUTE(SUBSTITUTE(B75," ",""),"0",""),"-",""))+LEN(SUBSTITUTE(SUBSTITUTE(SUBSTITUTE(C75," ",""),"0",""),"-","")))&gt;(LEN(SUBSTITUTE(SUBSTITUTE(SUBSTITUTE(E75," ",""),"0",""),"-",""))+LEN(SUBSTITUTE(SUBSTITUTE(SUBSTITUTE(F75," ",""),"0",""),"-",""))),1,0))+IF(UPPER(D76)="X",0,IF((LEN(SUBSTITUTE(SUBSTITUTE(SUBSTITUTE(B76," ",""),"0",""),"-",""))+LEN(SUBSTITUTE(SUBSTITUTE(SUBSTITUTE(C76," ",""),"0",""),"-","")))&gt;(LEN(SUBSTITUTE(SUBSTITUTE(SUBSTITUTE(E76," ",""),"0",""),"-",""))+LEN(SUBSTITUTE(SUBSTITUTE(SUBSTITUTE(F76," ",""),"0",""),"-",""))),1,0))+IF(UPPER(D77)="X",0,IF((LEN(SUBSTITUTE(SUBSTITUTE(SUBSTITUTE(B77," ",""),"0",""),"-",""))+LEN(SUBSTITUTE(SUBSTITUTE(SUBSTITUTE(C77," ",""),"0",""),"-","")))&gt;(LEN(SUBSTITUTE(SUBSTITUTE(SUBSTITUTE(E77," ",""),"0",""),"-",""))+LEN(SUBSTITUTE(SUBSTITUTE(SUBSTITUTE(F77," ",""),"0",""),"-",""))),1,0))+IF(UPPER(D78)="X",0,IF((LEN(SUBSTITUTE(SUBSTITUTE(SUBSTITUTE(B78," ",""),"0",""),"-",""))+LEN(SUBSTITUTE(SUBSTITUTE(SUBSTITUTE(C78," ",""),"0",""),"-","")))&gt;(LEN(SUBSTITUTE(SUBSTITUTE(SUBSTITUTE(E78," ",""),"0",""),"-",""))+LEN(SUBSTITUTE(SUBSTITUTE(SUBSTITUTE(F78," ",""),"0",""),"-",""))),1,0))</f>
      </c>
      <c r="C73" s="14" t="str">
        <f>LEN(SUBSTITUTE(SUBSTITUTE(SUBSTITUTE(B74," ",""),"0",""),"-",""))+LEN(SUBSTITUTE(SUBSTITUTE(SUBSTITUTE(C74," ",""),"0",""),"-",""))+LEN(SUBSTITUTE(SUBSTITUTE(SUBSTITUTE(B75," ",""),"0",""),"-",""))+LEN(SUBSTITUTE(SUBSTITUTE(SUBSTITUTE(C75," ",""),"0",""),"-",""))+LEN(SUBSTITUTE(SUBSTITUTE(SUBSTITUTE(B76," ",""),"0",""),"-",""))+LEN(SUBSTITUTE(SUBSTITUTE(SUBSTITUTE(C76," ",""),"0",""),"-",""))+LEN(SUBSTITUTE(SUBSTITUTE(SUBSTITUTE(B77," ",""),"0",""),"-",""))+LEN(SUBSTITUTE(SUBSTITUTE(SUBSTITUTE(C77," ",""),"0",""),"-",""))+LEN(SUBSTITUTE(SUBSTITUTE(SUBSTITUTE(B78," ",""),"0",""),"-",""))+LEN(SUBSTITUTE(SUBSTITUTE(SUBSTITUTE(C78," ",""),"0",""),"-",""))</f>
      </c>
      <c r="D73" s="18"/>
      <c r="E73" s="14" t="str">
        <f>LEN(SUBSTITUTE(SUBSTITUTE(SUBSTITUTE(E74," ",""),"0",""),"-",""))+LEN(SUBSTITUTE(SUBSTITUTE(SUBSTITUTE(F74," ",""),"0",""),"-",""))+LEN(SUBSTITUTE(SUBSTITUTE(SUBSTITUTE(E75," ",""),"0",""),"-",""))+LEN(SUBSTITUTE(SUBSTITUTE(SUBSTITUTE(F75," ",""),"0",""),"-",""))+LEN(SUBSTITUTE(SUBSTITUTE(SUBSTITUTE(E76," ",""),"0",""),"-",""))+LEN(SUBSTITUTE(SUBSTITUTE(SUBSTITUTE(F76," ",""),"0",""),"-",""))+LEN(SUBSTITUTE(SUBSTITUTE(SUBSTITUTE(E77," ",""),"0",""),"-",""))+LEN(SUBSTITUTE(SUBSTITUTE(SUBSTITUTE(F77," ",""),"0",""),"-",""))+LEN(SUBSTITUTE(SUBSTITUTE(SUBSTITUTE(E78," ",""),"0",""),"-",""))+LEN(SUBSTITUTE(SUBSTITUTE(SUBSTITUTE(F78," ",""),"0",""),"-",""))</f>
      </c>
      <c r="F73" s="14" t="str">
        <f>IF(UPPER(D74)="X",0,IF((LEN(SUBSTITUTE(SUBSTITUTE(SUBSTITUTE(E74," ",""),"0",""),"-",""))+LEN(SUBSTITUTE(SUBSTITUTE(SUBSTITUTE(F74," ",""),"0",""),"-","")))&gt;(LEN(SUBSTITUTE(SUBSTITUTE(SUBSTITUTE(B74," ",""),"0",""),"-",""))+LEN(SUBSTITUTE(SUBSTITUTE(SUBSTITUTE(C74," ",""),"0",""),"-",""))),1,0))+IF(UPPER(D75)="X",0,IF((LEN(SUBSTITUTE(SUBSTITUTE(SUBSTITUTE(E75," ",""),"0",""),"-",""))+LEN(SUBSTITUTE(SUBSTITUTE(SUBSTITUTE(F75," ",""),"0",""),"-","")))&gt;(LEN(SUBSTITUTE(SUBSTITUTE(SUBSTITUTE(B75," ",""),"0",""),"-",""))+LEN(SUBSTITUTE(SUBSTITUTE(SUBSTITUTE(C75," ",""),"0",""),"-",""))),1,0))+IF(UPPER(D76)="X",0,IF((LEN(SUBSTITUTE(SUBSTITUTE(SUBSTITUTE(E76," ",""),"0",""),"-",""))+LEN(SUBSTITUTE(SUBSTITUTE(SUBSTITUTE(F76," ",""),"0",""),"-","")))&gt;(LEN(SUBSTITUTE(SUBSTITUTE(SUBSTITUTE(B76," ",""),"0",""),"-",""))+LEN(SUBSTITUTE(SUBSTITUTE(SUBSTITUTE(C76," ",""),"0",""),"-",""))),1,0))+IF(UPPER(D77)="X",0,IF((LEN(SUBSTITUTE(SUBSTITUTE(SUBSTITUTE(E77," ",""),"0",""),"-",""))+LEN(SUBSTITUTE(SUBSTITUTE(SUBSTITUTE(F77," ",""),"0",""),"-","")))&gt;(LEN(SUBSTITUTE(SUBSTITUTE(SUBSTITUTE(B77," ",""),"0",""),"-",""))+LEN(SUBSTITUTE(SUBSTITUTE(SUBSTITUTE(C77," ",""),"0",""),"-",""))),1,0))+IF(UPPER(D78)="X",0,IF((LEN(SUBSTITUTE(SUBSTITUTE(SUBSTITUTE(E78," ",""),"0",""),"-",""))+LEN(SUBSTITUTE(SUBSTITUTE(SUBSTITUTE(F78," ",""),"0",""),"-","")))&gt;(LEN(SUBSTITUTE(SUBSTITUTE(SUBSTITUTE(B78," ",""),"0",""),"-",""))+LEN(SUBSTITUTE(SUBSTITUTE(SUBSTITUTE(C78," ",""),"0",""),"-",""))),1,0))</f>
      </c>
      <c r="G73" s="14" t="str">
        <f>data!$D$7&amp;" "&amp;data!$B$7</f>
      </c>
    </row>
    <row r="74">
      <c r="A74" s="14">
        <v>1</v>
      </c>
      <c r="B74" s="18"/>
      <c r="C74" s="18"/>
      <c r="D74" s="18"/>
      <c r="E74" s="18"/>
      <c r="F74" s="18"/>
      <c r="G74" s="14">
        <v>1</v>
      </c>
    </row>
    <row r="75">
      <c r="A75" s="14">
        <v>2</v>
      </c>
      <c r="B75" s="18"/>
      <c r="C75" s="18"/>
      <c r="D75" s="18"/>
      <c r="E75" s="18"/>
      <c r="F75" s="18"/>
      <c r="G75" s="14">
        <v>2</v>
      </c>
    </row>
    <row r="76">
      <c r="A76" s="14">
        <v>3</v>
      </c>
      <c r="B76" s="18"/>
      <c r="C76" s="18"/>
      <c r="D76" s="18"/>
      <c r="E76" s="18"/>
      <c r="F76" s="18"/>
      <c r="G76" s="14">
        <v>3</v>
      </c>
    </row>
    <row r="77">
      <c r="A77" s="14">
        <v>4</v>
      </c>
      <c r="B77" s="18"/>
      <c r="C77" s="18"/>
      <c r="D77" s="18"/>
      <c r="E77" s="18"/>
      <c r="F77" s="18"/>
      <c r="G77" s="14">
        <v>4</v>
      </c>
    </row>
    <row r="78">
      <c r="A78" s="14">
        <v>5</v>
      </c>
      <c r="B78" s="18"/>
      <c r="C78" s="18"/>
      <c r="D78" s="18"/>
      <c r="E78" s="18"/>
      <c r="F78" s="18"/>
      <c r="G78" s="14">
        <v>5</v>
      </c>
    </row>
    <row r="80">
      <c r="A80" s="17" t="s">
        <v>46</v>
      </c>
      <c r="B80" s="14"/>
      <c r="C80" s="14"/>
      <c r="D80" s="14" t="s">
        <v>47</v>
      </c>
      <c r="E80" s="14"/>
      <c r="F80" s="14"/>
      <c r="G80" s="16" t="s">
        <v>48</v>
      </c>
    </row>
    <row r="81">
      <c r="A81" s="14" t="str">
        <f>data!$D$9&amp;" "&amp;data!$B$9</f>
      </c>
      <c r="B81" s="14" t="str">
        <f>IF(UPPER(D82)="X",0,IF((LEN(SUBSTITUTE(SUBSTITUTE(SUBSTITUTE(B82," ",""),"0",""),"-",""))+LEN(SUBSTITUTE(SUBSTITUTE(SUBSTITUTE(C82," ",""),"0",""),"-","")))&gt;(LEN(SUBSTITUTE(SUBSTITUTE(SUBSTITUTE(E82," ",""),"0",""),"-",""))+LEN(SUBSTITUTE(SUBSTITUTE(SUBSTITUTE(F82," ",""),"0",""),"-",""))),1,0))+IF(UPPER(D83)="X",0,IF((LEN(SUBSTITUTE(SUBSTITUTE(SUBSTITUTE(B83," ",""),"0",""),"-",""))+LEN(SUBSTITUTE(SUBSTITUTE(SUBSTITUTE(C83," ",""),"0",""),"-","")))&gt;(LEN(SUBSTITUTE(SUBSTITUTE(SUBSTITUTE(E83," ",""),"0",""),"-",""))+LEN(SUBSTITUTE(SUBSTITUTE(SUBSTITUTE(F83," ",""),"0",""),"-",""))),1,0))+IF(UPPER(D84)="X",0,IF((LEN(SUBSTITUTE(SUBSTITUTE(SUBSTITUTE(B84," ",""),"0",""),"-",""))+LEN(SUBSTITUTE(SUBSTITUTE(SUBSTITUTE(C84," ",""),"0",""),"-","")))&gt;(LEN(SUBSTITUTE(SUBSTITUTE(SUBSTITUTE(E84," ",""),"0",""),"-",""))+LEN(SUBSTITUTE(SUBSTITUTE(SUBSTITUTE(F84," ",""),"0",""),"-",""))),1,0))+IF(UPPER(D85)="X",0,IF((LEN(SUBSTITUTE(SUBSTITUTE(SUBSTITUTE(B85," ",""),"0",""),"-",""))+LEN(SUBSTITUTE(SUBSTITUTE(SUBSTITUTE(C85," ",""),"0",""),"-","")))&gt;(LEN(SUBSTITUTE(SUBSTITUTE(SUBSTITUTE(E85," ",""),"0",""),"-",""))+LEN(SUBSTITUTE(SUBSTITUTE(SUBSTITUTE(F85," ",""),"0",""),"-",""))),1,0))+IF(UPPER(D86)="X",0,IF((LEN(SUBSTITUTE(SUBSTITUTE(SUBSTITUTE(B86," ",""),"0",""),"-",""))+LEN(SUBSTITUTE(SUBSTITUTE(SUBSTITUTE(C86," ",""),"0",""),"-","")))&gt;(LEN(SUBSTITUTE(SUBSTITUTE(SUBSTITUTE(E86," ",""),"0",""),"-",""))+LEN(SUBSTITUTE(SUBSTITUTE(SUBSTITUTE(F86," ",""),"0",""),"-",""))),1,0))</f>
      </c>
      <c r="C81" s="14" t="str">
        <f>LEN(SUBSTITUTE(SUBSTITUTE(SUBSTITUTE(B82," ",""),"0",""),"-",""))+LEN(SUBSTITUTE(SUBSTITUTE(SUBSTITUTE(C82," ",""),"0",""),"-",""))+LEN(SUBSTITUTE(SUBSTITUTE(SUBSTITUTE(B83," ",""),"0",""),"-",""))+LEN(SUBSTITUTE(SUBSTITUTE(SUBSTITUTE(C83," ",""),"0",""),"-",""))+LEN(SUBSTITUTE(SUBSTITUTE(SUBSTITUTE(B84," ",""),"0",""),"-",""))+LEN(SUBSTITUTE(SUBSTITUTE(SUBSTITUTE(C84," ",""),"0",""),"-",""))+LEN(SUBSTITUTE(SUBSTITUTE(SUBSTITUTE(B85," ",""),"0",""),"-",""))+LEN(SUBSTITUTE(SUBSTITUTE(SUBSTITUTE(C85," ",""),"0",""),"-",""))+LEN(SUBSTITUTE(SUBSTITUTE(SUBSTITUTE(B86," ",""),"0",""),"-",""))+LEN(SUBSTITUTE(SUBSTITUTE(SUBSTITUTE(C86," ",""),"0",""),"-",""))</f>
      </c>
      <c r="D81" s="18"/>
      <c r="E81" s="14" t="str">
        <f>LEN(SUBSTITUTE(SUBSTITUTE(SUBSTITUTE(E82," ",""),"0",""),"-",""))+LEN(SUBSTITUTE(SUBSTITUTE(SUBSTITUTE(F82," ",""),"0",""),"-",""))+LEN(SUBSTITUTE(SUBSTITUTE(SUBSTITUTE(E83," ",""),"0",""),"-",""))+LEN(SUBSTITUTE(SUBSTITUTE(SUBSTITUTE(F83," ",""),"0",""),"-",""))+LEN(SUBSTITUTE(SUBSTITUTE(SUBSTITUTE(E84," ",""),"0",""),"-",""))+LEN(SUBSTITUTE(SUBSTITUTE(SUBSTITUTE(F84," ",""),"0",""),"-",""))+LEN(SUBSTITUTE(SUBSTITUTE(SUBSTITUTE(E85," ",""),"0",""),"-",""))+LEN(SUBSTITUTE(SUBSTITUTE(SUBSTITUTE(F85," ",""),"0",""),"-",""))+LEN(SUBSTITUTE(SUBSTITUTE(SUBSTITUTE(E86," ",""),"0",""),"-",""))+LEN(SUBSTITUTE(SUBSTITUTE(SUBSTITUTE(F86," ",""),"0",""),"-",""))</f>
      </c>
      <c r="F81" s="14" t="str">
        <f>IF(UPPER(D82)="X",0,IF((LEN(SUBSTITUTE(SUBSTITUTE(SUBSTITUTE(E82," ",""),"0",""),"-",""))+LEN(SUBSTITUTE(SUBSTITUTE(SUBSTITUTE(F82," ",""),"0",""),"-","")))&gt;(LEN(SUBSTITUTE(SUBSTITUTE(SUBSTITUTE(B82," ",""),"0",""),"-",""))+LEN(SUBSTITUTE(SUBSTITUTE(SUBSTITUTE(C82," ",""),"0",""),"-",""))),1,0))+IF(UPPER(D83)="X",0,IF((LEN(SUBSTITUTE(SUBSTITUTE(SUBSTITUTE(E83," ",""),"0",""),"-",""))+LEN(SUBSTITUTE(SUBSTITUTE(SUBSTITUTE(F83," ",""),"0",""),"-","")))&gt;(LEN(SUBSTITUTE(SUBSTITUTE(SUBSTITUTE(B83," ",""),"0",""),"-",""))+LEN(SUBSTITUTE(SUBSTITUTE(SUBSTITUTE(C83," ",""),"0",""),"-",""))),1,0))+IF(UPPER(D84)="X",0,IF((LEN(SUBSTITUTE(SUBSTITUTE(SUBSTITUTE(E84," ",""),"0",""),"-",""))+LEN(SUBSTITUTE(SUBSTITUTE(SUBSTITUTE(F84," ",""),"0",""),"-","")))&gt;(LEN(SUBSTITUTE(SUBSTITUTE(SUBSTITUTE(B84," ",""),"0",""),"-",""))+LEN(SUBSTITUTE(SUBSTITUTE(SUBSTITUTE(C84," ",""),"0",""),"-",""))),1,0))+IF(UPPER(D85)="X",0,IF((LEN(SUBSTITUTE(SUBSTITUTE(SUBSTITUTE(E85," ",""),"0",""),"-",""))+LEN(SUBSTITUTE(SUBSTITUTE(SUBSTITUTE(F85," ",""),"0",""),"-","")))&gt;(LEN(SUBSTITUTE(SUBSTITUTE(SUBSTITUTE(B85," ",""),"0",""),"-",""))+LEN(SUBSTITUTE(SUBSTITUTE(SUBSTITUTE(C85," ",""),"0",""),"-",""))),1,0))+IF(UPPER(D86)="X",0,IF((LEN(SUBSTITUTE(SUBSTITUTE(SUBSTITUTE(E86," ",""),"0",""),"-",""))+LEN(SUBSTITUTE(SUBSTITUTE(SUBSTITUTE(F86," ",""),"0",""),"-","")))&gt;(LEN(SUBSTITUTE(SUBSTITUTE(SUBSTITUTE(B86," ",""),"0",""),"-",""))+LEN(SUBSTITUTE(SUBSTITUTE(SUBSTITUTE(C86," ",""),"0",""),"-",""))),1,0))</f>
      </c>
      <c r="G81" s="14" t="str">
        <f>data!$D$7&amp;" "&amp;data!$B$7</f>
      </c>
    </row>
    <row r="82">
      <c r="A82" s="14">
        <v>1</v>
      </c>
      <c r="B82" s="18"/>
      <c r="C82" s="18"/>
      <c r="D82" s="18"/>
      <c r="E82" s="18"/>
      <c r="F82" s="18"/>
      <c r="G82" s="14">
        <v>1</v>
      </c>
    </row>
    <row r="83">
      <c r="A83" s="14">
        <v>2</v>
      </c>
      <c r="B83" s="18"/>
      <c r="C83" s="18"/>
      <c r="D83" s="18"/>
      <c r="E83" s="18"/>
      <c r="F83" s="18"/>
      <c r="G83" s="14">
        <v>2</v>
      </c>
    </row>
    <row r="84">
      <c r="A84" s="14">
        <v>3</v>
      </c>
      <c r="B84" s="18"/>
      <c r="C84" s="18"/>
      <c r="D84" s="18"/>
      <c r="E84" s="18"/>
      <c r="F84" s="18"/>
      <c r="G84" s="14">
        <v>3</v>
      </c>
    </row>
    <row r="85">
      <c r="A85" s="14">
        <v>4</v>
      </c>
      <c r="B85" s="18"/>
      <c r="C85" s="18"/>
      <c r="D85" s="18"/>
      <c r="E85" s="18"/>
      <c r="F85" s="18"/>
      <c r="G85" s="14">
        <v>4</v>
      </c>
    </row>
    <row r="86">
      <c r="A86" s="14">
        <v>5</v>
      </c>
      <c r="B86" s="18"/>
      <c r="C86" s="18"/>
      <c r="D86" s="18"/>
      <c r="E86" s="18"/>
      <c r="F86" s="18"/>
      <c r="G86" s="14">
        <v>5</v>
      </c>
    </row>
    <row r="88">
      <c r="A88" s="17" t="s">
        <v>46</v>
      </c>
      <c r="B88" s="14"/>
      <c r="C88" s="14"/>
      <c r="D88" s="14" t="s">
        <v>47</v>
      </c>
      <c r="E88" s="14"/>
      <c r="F88" s="14"/>
      <c r="G88" s="16" t="s">
        <v>48</v>
      </c>
    </row>
    <row r="89">
      <c r="A89" s="14" t="str">
        <f>data!$D$9&amp;" "&amp;data!$B$9</f>
      </c>
      <c r="B89" s="14" t="str">
        <f>IF(UPPER(D90)="X",0,IF((LEN(SUBSTITUTE(SUBSTITUTE(SUBSTITUTE(B90," ",""),"0",""),"-",""))+LEN(SUBSTITUTE(SUBSTITUTE(SUBSTITUTE(C90," ",""),"0",""),"-","")))&gt;(LEN(SUBSTITUTE(SUBSTITUTE(SUBSTITUTE(E90," ",""),"0",""),"-",""))+LEN(SUBSTITUTE(SUBSTITUTE(SUBSTITUTE(F90," ",""),"0",""),"-",""))),1,0))+IF(UPPER(D91)="X",0,IF((LEN(SUBSTITUTE(SUBSTITUTE(SUBSTITUTE(B91," ",""),"0",""),"-",""))+LEN(SUBSTITUTE(SUBSTITUTE(SUBSTITUTE(C91," ",""),"0",""),"-","")))&gt;(LEN(SUBSTITUTE(SUBSTITUTE(SUBSTITUTE(E91," ",""),"0",""),"-",""))+LEN(SUBSTITUTE(SUBSTITUTE(SUBSTITUTE(F91," ",""),"0",""),"-",""))),1,0))+IF(UPPER(D92)="X",0,IF((LEN(SUBSTITUTE(SUBSTITUTE(SUBSTITUTE(B92," ",""),"0",""),"-",""))+LEN(SUBSTITUTE(SUBSTITUTE(SUBSTITUTE(C92," ",""),"0",""),"-","")))&gt;(LEN(SUBSTITUTE(SUBSTITUTE(SUBSTITUTE(E92," ",""),"0",""),"-",""))+LEN(SUBSTITUTE(SUBSTITUTE(SUBSTITUTE(F92," ",""),"0",""),"-",""))),1,0))+IF(UPPER(D93)="X",0,IF((LEN(SUBSTITUTE(SUBSTITUTE(SUBSTITUTE(B93," ",""),"0",""),"-",""))+LEN(SUBSTITUTE(SUBSTITUTE(SUBSTITUTE(C93," ",""),"0",""),"-","")))&gt;(LEN(SUBSTITUTE(SUBSTITUTE(SUBSTITUTE(E93," ",""),"0",""),"-",""))+LEN(SUBSTITUTE(SUBSTITUTE(SUBSTITUTE(F93," ",""),"0",""),"-",""))),1,0))+IF(UPPER(D94)="X",0,IF((LEN(SUBSTITUTE(SUBSTITUTE(SUBSTITUTE(B94," ",""),"0",""),"-",""))+LEN(SUBSTITUTE(SUBSTITUTE(SUBSTITUTE(C94," ",""),"0",""),"-","")))&gt;(LEN(SUBSTITUTE(SUBSTITUTE(SUBSTITUTE(E94," ",""),"0",""),"-",""))+LEN(SUBSTITUTE(SUBSTITUTE(SUBSTITUTE(F94," ",""),"0",""),"-",""))),1,0))</f>
      </c>
      <c r="C89" s="14" t="str">
        <f>LEN(SUBSTITUTE(SUBSTITUTE(SUBSTITUTE(B90," ",""),"0",""),"-",""))+LEN(SUBSTITUTE(SUBSTITUTE(SUBSTITUTE(C90," ",""),"0",""),"-",""))+LEN(SUBSTITUTE(SUBSTITUTE(SUBSTITUTE(B91," ",""),"0",""),"-",""))+LEN(SUBSTITUTE(SUBSTITUTE(SUBSTITUTE(C91," ",""),"0",""),"-",""))+LEN(SUBSTITUTE(SUBSTITUTE(SUBSTITUTE(B92," ",""),"0",""),"-",""))+LEN(SUBSTITUTE(SUBSTITUTE(SUBSTITUTE(C92," ",""),"0",""),"-",""))+LEN(SUBSTITUTE(SUBSTITUTE(SUBSTITUTE(B93," ",""),"0",""),"-",""))+LEN(SUBSTITUTE(SUBSTITUTE(SUBSTITUTE(C93," ",""),"0",""),"-",""))+LEN(SUBSTITUTE(SUBSTITUTE(SUBSTITUTE(B94," ",""),"0",""),"-",""))+LEN(SUBSTITUTE(SUBSTITUTE(SUBSTITUTE(C94," ",""),"0",""),"-",""))</f>
      </c>
      <c r="D89" s="18"/>
      <c r="E89" s="14" t="str">
        <f>LEN(SUBSTITUTE(SUBSTITUTE(SUBSTITUTE(E90," ",""),"0",""),"-",""))+LEN(SUBSTITUTE(SUBSTITUTE(SUBSTITUTE(F90," ",""),"0",""),"-",""))+LEN(SUBSTITUTE(SUBSTITUTE(SUBSTITUTE(E91," ",""),"0",""),"-",""))+LEN(SUBSTITUTE(SUBSTITUTE(SUBSTITUTE(F91," ",""),"0",""),"-",""))+LEN(SUBSTITUTE(SUBSTITUTE(SUBSTITUTE(E92," ",""),"0",""),"-",""))+LEN(SUBSTITUTE(SUBSTITUTE(SUBSTITUTE(F92," ",""),"0",""),"-",""))+LEN(SUBSTITUTE(SUBSTITUTE(SUBSTITUTE(E93," ",""),"0",""),"-",""))+LEN(SUBSTITUTE(SUBSTITUTE(SUBSTITUTE(F93," ",""),"0",""),"-",""))+LEN(SUBSTITUTE(SUBSTITUTE(SUBSTITUTE(E94," ",""),"0",""),"-",""))+LEN(SUBSTITUTE(SUBSTITUTE(SUBSTITUTE(F94," ",""),"0",""),"-",""))</f>
      </c>
      <c r="F89" s="14" t="str">
        <f>IF(UPPER(D90)="X",0,IF((LEN(SUBSTITUTE(SUBSTITUTE(SUBSTITUTE(E90," ",""),"0",""),"-",""))+LEN(SUBSTITUTE(SUBSTITUTE(SUBSTITUTE(F90," ",""),"0",""),"-","")))&gt;(LEN(SUBSTITUTE(SUBSTITUTE(SUBSTITUTE(B90," ",""),"0",""),"-",""))+LEN(SUBSTITUTE(SUBSTITUTE(SUBSTITUTE(C90," ",""),"0",""),"-",""))),1,0))+IF(UPPER(D91)="X",0,IF((LEN(SUBSTITUTE(SUBSTITUTE(SUBSTITUTE(E91," ",""),"0",""),"-",""))+LEN(SUBSTITUTE(SUBSTITUTE(SUBSTITUTE(F91," ",""),"0",""),"-","")))&gt;(LEN(SUBSTITUTE(SUBSTITUTE(SUBSTITUTE(B91," ",""),"0",""),"-",""))+LEN(SUBSTITUTE(SUBSTITUTE(SUBSTITUTE(C91," ",""),"0",""),"-",""))),1,0))+IF(UPPER(D92)="X",0,IF((LEN(SUBSTITUTE(SUBSTITUTE(SUBSTITUTE(E92," ",""),"0",""),"-",""))+LEN(SUBSTITUTE(SUBSTITUTE(SUBSTITUTE(F92," ",""),"0",""),"-","")))&gt;(LEN(SUBSTITUTE(SUBSTITUTE(SUBSTITUTE(B92," ",""),"0",""),"-",""))+LEN(SUBSTITUTE(SUBSTITUTE(SUBSTITUTE(C92," ",""),"0",""),"-",""))),1,0))+IF(UPPER(D93)="X",0,IF((LEN(SUBSTITUTE(SUBSTITUTE(SUBSTITUTE(E93," ",""),"0",""),"-",""))+LEN(SUBSTITUTE(SUBSTITUTE(SUBSTITUTE(F93," ",""),"0",""),"-","")))&gt;(LEN(SUBSTITUTE(SUBSTITUTE(SUBSTITUTE(B93," ",""),"0",""),"-",""))+LEN(SUBSTITUTE(SUBSTITUTE(SUBSTITUTE(C93," ",""),"0",""),"-",""))),1,0))+IF(UPPER(D94)="X",0,IF((LEN(SUBSTITUTE(SUBSTITUTE(SUBSTITUTE(E94," ",""),"0",""),"-",""))+LEN(SUBSTITUTE(SUBSTITUTE(SUBSTITUTE(F94," ",""),"0",""),"-","")))&gt;(LEN(SUBSTITUTE(SUBSTITUTE(SUBSTITUTE(B94," ",""),"0",""),"-",""))+LEN(SUBSTITUTE(SUBSTITUTE(SUBSTITUTE(C94," ",""),"0",""),"-",""))),1,0))</f>
      </c>
      <c r="G89" s="14" t="str">
        <f>data!$D$8&amp;" "&amp;data!$B$8</f>
      </c>
    </row>
    <row r="90">
      <c r="A90" s="14">
        <v>1</v>
      </c>
      <c r="B90" s="18"/>
      <c r="C90" s="18"/>
      <c r="D90" s="18"/>
      <c r="E90" s="18"/>
      <c r="F90" s="18"/>
      <c r="G90" s="14">
        <v>1</v>
      </c>
    </row>
    <row r="91">
      <c r="A91" s="14">
        <v>2</v>
      </c>
      <c r="B91" s="18"/>
      <c r="C91" s="18"/>
      <c r="D91" s="18"/>
      <c r="E91" s="18"/>
      <c r="F91" s="18"/>
      <c r="G91" s="14">
        <v>2</v>
      </c>
    </row>
    <row r="92">
      <c r="A92" s="14">
        <v>3</v>
      </c>
      <c r="B92" s="18"/>
      <c r="C92" s="18"/>
      <c r="D92" s="18"/>
      <c r="E92" s="18"/>
      <c r="F92" s="18"/>
      <c r="G92" s="14">
        <v>3</v>
      </c>
    </row>
    <row r="93">
      <c r="A93" s="14">
        <v>4</v>
      </c>
      <c r="B93" s="18"/>
      <c r="C93" s="18"/>
      <c r="D93" s="18"/>
      <c r="E93" s="18"/>
      <c r="F93" s="18"/>
      <c r="G93" s="14">
        <v>4</v>
      </c>
    </row>
    <row r="94">
      <c r="A94" s="14">
        <v>5</v>
      </c>
      <c r="B94" s="18"/>
      <c r="C94" s="18"/>
      <c r="D94" s="18"/>
      <c r="E94" s="18"/>
      <c r="F94" s="18"/>
      <c r="G94" s="14">
        <v>5</v>
      </c>
    </row>
    <row r="97">
      <c r="A97" s="13" t="s">
        <v>49</v>
      </c>
      <c r="B97" s="13" t="s">
        <v>50</v>
      </c>
      <c r="C97" s="13" t="s">
        <v>51</v>
      </c>
      <c r="D97" s="13" t="s">
        <v>52</v>
      </c>
      <c r="E97" s="13"/>
      <c r="F97" s="13"/>
      <c r="G97" s="13" t="s">
        <v>53</v>
      </c>
    </row>
    <row r="98">
      <c r="A98" s="14" t="str">
        <f>data!$D$7&amp;" "&amp;data!$B$7</f>
      </c>
      <c r="B98" s="14" t="str">
        <f>IF(OR(COUNTA(B74:C78,E74:F78)&gt;0,D74="X",D74="x",D75="X",D75="x",D76="X",D76="x",D77="X",D77="x",D78="X",D78="x",OR(D73="X",D73="x")),IF(OR(OR(D73="X",D73="x"),AND(B73=F73,C73=E73)),0,IF(OR(F73&gt;B73,AND(F73=B73,E73&gt;C73)),1,0)),0)+IF(OR(COUNTA(B82:C86,E82:F86)&gt;0,D82="X",D82="x",D83="X",D83="x",D84="X",D84="x",D85="X",D85="x",D86="X",D86="x",OR(D81="X",D81="x")),IF(OR(OR(D81="X",D81="x"),AND(B81=F81,C81=E81)),0,IF(OR(F81&gt;B81,AND(F81=B81,E81&gt;C81)),1,0)),0)</f>
      </c>
      <c r="C98" s="14" t="str">
        <f>IF(OR(COUNTA(B74:C78,E74:F78)&gt;0,D74="X",D74="x",D75="X",D75="x",D76="X",D76="x",D77="X",D77="x",D78="X",D78="x",OR(D73="X",D73="x")),IF(OR(OR(D73="X",D73="x"),AND(B73=F73,C73=E73)),0,IF(OR(F73&lt;B73,AND(F73=B73,E73&lt;C73)),1,0)),0)+IF(OR(COUNTA(B82:C86,E82:F86)&gt;0,D82="X",D82="x",D83="X",D83="x",D84="X",D84="x",D85="X",D85="x",D86="X",D86="x",OR(D81="X",D81="x")),IF(OR(OR(D81="X",D81="x"),AND(B81=F81,C81=E81)),0,IF(OR(F81&lt;B81,AND(F81=B81,E81&lt;C81)),1,0)),0)</f>
      </c>
      <c r="D98" s="14" t="str">
        <f>IF(OR(COUNTA(B74:C78,E74:F78)&gt;0,D74="X",D74="x",D75="X",D75="x",D76="X",D76="x",D77="X",D77="x",D78="X",D78="x",OR(D73="X",D73="x")),IF(OR(OR(D73="X",D73="x"),AND(B73=F73,C73=E73)),1,0),0)+IF(OR(COUNTA(B82:C86,E82:F86)&gt;0,D82="X",D82="x",D83="X",D83="x",D84="X",D84="x",D85="X",D85="x",D86="X",D86="x",OR(D81="X",D81="x")),IF(OR(OR(D81="X",D81="x"),AND(B81=F81,C81=E81)),1,0),0)</f>
      </c>
      <c r="G98" s="18" t="str">
        <f>RANK(U98,$U$98:$U$100)+COUNTIF($U$97:U97,U98)</f>
      </c>
      <c r="U98" t="str">
        <f>(B98*1000000000)-(C98*10000000)+(D98*100000)+(B103*1000)-(C103*100)+(D103*10)+(E103*1)-(F103*0.01)</f>
      </c>
    </row>
    <row r="99">
      <c r="A99" s="14" t="str">
        <f>data!$D$8&amp;" "&amp;data!$B$8</f>
      </c>
      <c r="B99" s="14" t="str">
        <f>IF(OR(COUNTA(B74:C78,E74:F78)&gt;0,D74="X",D74="x",D75="X",D75="x",D76="X",D76="x",D77="X",D77="x",D78="X",D78="x",OR(D73="X",D73="x")),IF(OR(OR(D73="X",D73="x"),AND(B73=F73,C73=E73)),0,IF(OR(B73&gt;F73,AND(B73=F73,C73&gt;E73)),1,0)),0)+IF(OR(COUNTA(B90:C94,E90:F94)&gt;0,D90="X",D90="x",D91="X",D91="x",D92="X",D92="x",D93="X",D93="x",D94="X",D94="x",OR(D89="X",D89="x")),IF(OR(OR(D89="X",D89="x"),AND(B89=F89,C89=E89)),0,IF(OR(F89&gt;B89,AND(F89=B89,E89&gt;C89)),1,0)),0)</f>
      </c>
      <c r="C99" s="14" t="str">
        <f>IF(OR(COUNTA(B74:C78,E74:F78)&gt;0,D74="X",D74="x",D75="X",D75="x",D76="X",D76="x",D77="X",D77="x",D78="X",D78="x",OR(D73="X",D73="x")),IF(OR(OR(D73="X",D73="x"),AND(B73=F73,C73=E73)),0,IF(OR(B73&lt;F73,AND(B73=F73,C73&lt;E73)),1,0)),0)+IF(OR(COUNTA(B90:C94,E90:F94)&gt;0,D90="X",D90="x",D91="X",D91="x",D92="X",D92="x",D93="X",D93="x",D94="X",D94="x",OR(D89="X",D89="x")),IF(OR(OR(D89="X",D89="x"),AND(B89=F89,C89=E89)),0,IF(OR(F89&lt;B89,AND(F89=B89,E89&lt;C89)),1,0)),0)</f>
      </c>
      <c r="D99" s="14" t="str">
        <f>IF(OR(COUNTA(B74:C78,E74:F78)&gt;0,D74="X",D74="x",D75="X",D75="x",D76="X",D76="x",D77="X",D77="x",D78="X",D78="x",OR(D73="X",D73="x")),IF(OR(OR(D73="X",D73="x"),AND(B73=F73,C73=E73)),1,0),0)+IF(OR(COUNTA(B90:C94,E90:F94)&gt;0,D90="X",D90="x",D91="X",D91="x",D92="X",D92="x",D93="X",D93="x",D94="X",D94="x",OR(D89="X",D89="x")),IF(OR(OR(D89="X",D89="x"),AND(B89=F89,C89=E89)),1,0),0)</f>
      </c>
      <c r="G99" s="18" t="str">
        <f>RANK(U99,$U$98:$U$100)+COUNTIF($U$97:U98,U99)</f>
      </c>
      <c r="U99" t="str">
        <f>(B99*1000000000)-(C99*10000000)+(D99*100000)+(B104*1000)-(C104*100)+(D104*10)+(E104*1)-(F104*0.01)</f>
      </c>
    </row>
    <row r="100">
      <c r="A100" s="14" t="str">
        <f>data!$D$9&amp;" "&amp;data!$B$9</f>
      </c>
      <c r="B100" s="14" t="str">
        <f>IF(OR(COUNTA(B82:C86,E82:F86)&gt;0,D82="X",D82="x",D83="X",D83="x",D84="X",D84="x",D85="X",D85="x",D86="X",D86="x",OR(D81="X",D81="x")),IF(OR(OR(D81="X",D81="x"),AND(B81=F81,C81=E81)),0,IF(OR(B81&gt;F81,AND(B81=F81,C81&gt;E81)),1,0)),0)+IF(OR(COUNTA(B90:C94,E90:F94)&gt;0,D90="X",D90="x",D91="X",D91="x",D92="X",D92="x",D93="X",D93="x",D94="X",D94="x",OR(D89="X",D89="x")),IF(OR(OR(D89="X",D89="x"),AND(B89=F89,C89=E89)),0,IF(OR(B89&gt;F89,AND(B89=F89,C89&gt;E89)),1,0)),0)</f>
      </c>
      <c r="C100" s="14" t="str">
        <f>IF(OR(COUNTA(B82:C86,E82:F86)&gt;0,D82="X",D82="x",D83="X",D83="x",D84="X",D84="x",D85="X",D85="x",D86="X",D86="x",OR(D81="X",D81="x")),IF(OR(OR(D81="X",D81="x"),AND(B81=F81,C81=E81)),0,IF(OR(B81&lt;F81,AND(B81=F81,C81&lt;E81)),1,0)),0)+IF(OR(COUNTA(B90:C94,E90:F94)&gt;0,D90="X",D90="x",D91="X",D91="x",D92="X",D92="x",D93="X",D93="x",D94="X",D94="x",OR(D89="X",D89="x")),IF(OR(OR(D89="X",D89="x"),AND(B89=F89,C89=E89)),0,IF(OR(B89&lt;F89,AND(B89=F89,C89&lt;E89)),1,0)),0)</f>
      </c>
      <c r="D100" s="14" t="str">
        <f>IF(OR(COUNTA(B82:C86,E82:F86)&gt;0,D82="X",D82="x",D83="X",D83="x",D84="X",D84="x",D85="X",D85="x",D86="X",D86="x",OR(D81="X",D81="x")),IF(OR(OR(D81="X",D81="x"),AND(B81=F81,C81=E81)),1,0),0)+IF(OR(COUNTA(B90:C94,E90:F94)&gt;0,D90="X",D90="x",D91="X",D91="x",D92="X",D92="x",D93="X",D93="x",D94="X",D94="x",OR(D89="X",D89="x")),IF(OR(OR(D89="X",D89="x"),AND(B89=F89,C89=E89)),1,0),0)</f>
      </c>
      <c r="G100" s="18" t="str">
        <f>RANK(U100,$U$98:$U$100)+COUNTIF($U$97:U99,U100)</f>
      </c>
      <c r="U100" t="str">
        <f>(B100*1000000000)-(C100*10000000)+(D100*100000)+(B105*1000)-(C105*100)+(D105*10)+(E105*1)-(F105*0.01)</f>
      </c>
    </row>
    <row r="102">
      <c r="A102" s="13"/>
      <c r="B102" s="13" t="s">
        <v>54</v>
      </c>
      <c r="C102" s="13" t="s">
        <v>55</v>
      </c>
      <c r="D102" s="13" t="s">
        <v>56</v>
      </c>
      <c r="E102" s="13" t="s">
        <v>57</v>
      </c>
      <c r="F102" s="13" t="s">
        <v>58</v>
      </c>
    </row>
    <row r="103">
      <c r="A103" s="14" t="str">
        <f>data!$D$7&amp;" "&amp;data!$B$7</f>
      </c>
      <c r="B103" s="14" t="str">
        <f>IF(OR(COUNTA(B74:C78,E74:F78)&gt;0,OR(D73="X",D73="x"),UPPER(D74)="X",UPPER(D75)="X",UPPER(D76)="X",UPPER(D77)="X",UPPER(D78)="X"),F73,0)+IF(OR(COUNTA(B82:C86,E82:F86)&gt;0,OR(D81="X",D81="x"),UPPER(D82)="X",UPPER(D83)="X",UPPER(D84)="X",UPPER(D85)="X",UPPER(D86)="X"),F81,0)</f>
      </c>
      <c r="C103" s="14" t="str">
        <f>IF(OR(COUNTA(B74:C78,E74:F78)&gt;0,OR(D73="X",D73="x"),UPPER(D74)="X",UPPER(D75)="X",UPPER(D76)="X",UPPER(D77)="X",UPPER(D78)="X"),B73,0)+IF(OR(COUNTA(B82:C86,E82:F86)&gt;0,OR(D81="X",D81="x"),UPPER(D82)="X",UPPER(D83)="X",UPPER(D84)="X",UPPER(D85)="X",UPPER(D86)="X"),B81,0)</f>
      </c>
      <c r="D103" s="14" t="str">
        <f>IF(OR(COUNTA(B74:C78,E74:F78)&gt;0,OR(D73="X",D73="x"),UPPER(D74)="X",UPPER(D75)="X",UPPER(D76)="X",UPPER(D77)="X",UPPER(D78)="X"),(IF(OR(D74="X",D74="x",AND(COUNTA(B74,C74,E74,F74)&gt;0,(LEN(SUBSTITUTE(SUBSTITUTE(SUBSTITUTE(B74," ",""),"0",""),"-",""))+LEN(SUBSTITUTE(SUBSTITUTE(SUBSTITUTE(C74," ",""),"0",""),"-","")))=(LEN(SUBSTITUTE(SUBSTITUTE(SUBSTITUTE(E74," ",""),"0",""),"-",""))+LEN(SUBSTITUTE(SUBSTITUTE(SUBSTITUTE(F74," ",""),"0",""),"-",""))))),1,0)+IF(OR(D75="X",D75="x",AND(COUNTA(B75,C75,E75,F75)&gt;0,(LEN(SUBSTITUTE(SUBSTITUTE(SUBSTITUTE(B75," ",""),"0",""),"-",""))+LEN(SUBSTITUTE(SUBSTITUTE(SUBSTITUTE(C75," ",""),"0",""),"-","")))=(LEN(SUBSTITUTE(SUBSTITUTE(SUBSTITUTE(E75," ",""),"0",""),"-",""))+LEN(SUBSTITUTE(SUBSTITUTE(SUBSTITUTE(F75," ",""),"0",""),"-",""))))),1,0)+IF(OR(D76="X",D76="x",AND(COUNTA(B76,C76,E76,F76)&gt;0,(LEN(SUBSTITUTE(SUBSTITUTE(SUBSTITUTE(B76," ",""),"0",""),"-",""))+LEN(SUBSTITUTE(SUBSTITUTE(SUBSTITUTE(C76," ",""),"0",""),"-","")))=(LEN(SUBSTITUTE(SUBSTITUTE(SUBSTITUTE(E76," ",""),"0",""),"-",""))+LEN(SUBSTITUTE(SUBSTITUTE(SUBSTITUTE(F76," ",""),"0",""),"-",""))))),1,0)+IF(OR(D77="X",D77="x",AND(COUNTA(B77,C77,E77,F77)&gt;0,(LEN(SUBSTITUTE(SUBSTITUTE(SUBSTITUTE(B77," ",""),"0",""),"-",""))+LEN(SUBSTITUTE(SUBSTITUTE(SUBSTITUTE(C77," ",""),"0",""),"-","")))=(LEN(SUBSTITUTE(SUBSTITUTE(SUBSTITUTE(E77," ",""),"0",""),"-",""))+LEN(SUBSTITUTE(SUBSTITUTE(SUBSTITUTE(F77," ",""),"0",""),"-",""))))),1,0)+IF(OR(D78="X",D78="x",AND(COUNTA(B78,C78,E78,F78)&gt;0,(LEN(SUBSTITUTE(SUBSTITUTE(SUBSTITUTE(B78," ",""),"0",""),"-",""))+LEN(SUBSTITUTE(SUBSTITUTE(SUBSTITUTE(C78," ",""),"0",""),"-","")))=(LEN(SUBSTITUTE(SUBSTITUTE(SUBSTITUTE(E78," ",""),"0",""),"-",""))+LEN(SUBSTITUTE(SUBSTITUTE(SUBSTITUTE(F78," ",""),"0",""),"-",""))))),1,0)),0)+IF(OR(COUNTA(B82:C86,E82:F86)&gt;0,OR(D81="X",D81="x"),UPPER(D82)="X",UPPER(D83)="X",UPPER(D84)="X",UPPER(D85)="X",UPPER(D86)="X"),(IF(OR(D82="X",D82="x",AND(COUNTA(B82,C82,E82,F82)&gt;0,(LEN(SUBSTITUTE(SUBSTITUTE(SUBSTITUTE(B82," ",""),"0",""),"-",""))+LEN(SUBSTITUTE(SUBSTITUTE(SUBSTITUTE(C82," ",""),"0",""),"-","")))=(LEN(SUBSTITUTE(SUBSTITUTE(SUBSTITUTE(E82," ",""),"0",""),"-",""))+LEN(SUBSTITUTE(SUBSTITUTE(SUBSTITUTE(F82," ",""),"0",""),"-",""))))),1,0)+IF(OR(D83="X",D83="x",AND(COUNTA(B83,C83,E83,F83)&gt;0,(LEN(SUBSTITUTE(SUBSTITUTE(SUBSTITUTE(B83," ",""),"0",""),"-",""))+LEN(SUBSTITUTE(SUBSTITUTE(SUBSTITUTE(C83," ",""),"0",""),"-","")))=(LEN(SUBSTITUTE(SUBSTITUTE(SUBSTITUTE(E83," ",""),"0",""),"-",""))+LEN(SUBSTITUTE(SUBSTITUTE(SUBSTITUTE(F83," ",""),"0",""),"-",""))))),1,0)+IF(OR(D84="X",D84="x",AND(COUNTA(B84,C84,E84,F84)&gt;0,(LEN(SUBSTITUTE(SUBSTITUTE(SUBSTITUTE(B84," ",""),"0",""),"-",""))+LEN(SUBSTITUTE(SUBSTITUTE(SUBSTITUTE(C84," ",""),"0",""),"-","")))=(LEN(SUBSTITUTE(SUBSTITUTE(SUBSTITUTE(E84," ",""),"0",""),"-",""))+LEN(SUBSTITUTE(SUBSTITUTE(SUBSTITUTE(F84," ",""),"0",""),"-",""))))),1,0)+IF(OR(D85="X",D85="x",AND(COUNTA(B85,C85,E85,F85)&gt;0,(LEN(SUBSTITUTE(SUBSTITUTE(SUBSTITUTE(B85," ",""),"0",""),"-",""))+LEN(SUBSTITUTE(SUBSTITUTE(SUBSTITUTE(C85," ",""),"0",""),"-","")))=(LEN(SUBSTITUTE(SUBSTITUTE(SUBSTITUTE(E85," ",""),"0",""),"-",""))+LEN(SUBSTITUTE(SUBSTITUTE(SUBSTITUTE(F85," ",""),"0",""),"-",""))))),1,0)+IF(OR(D86="X",D86="x",AND(COUNTA(B86,C86,E86,F86)&gt;0,(LEN(SUBSTITUTE(SUBSTITUTE(SUBSTITUTE(B86," ",""),"0",""),"-",""))+LEN(SUBSTITUTE(SUBSTITUTE(SUBSTITUTE(C86," ",""),"0",""),"-","")))=(LEN(SUBSTITUTE(SUBSTITUTE(SUBSTITUTE(E86," ",""),"0",""),"-",""))+LEN(SUBSTITUTE(SUBSTITUTE(SUBSTITUTE(F86," ",""),"0",""),"-",""))))),1,0)),0)</f>
      </c>
      <c r="E103" s="14" t="str">
        <f>E73+E81</f>
      </c>
      <c r="F103" s="14" t="str">
        <f>C73+C81</f>
      </c>
    </row>
    <row r="104">
      <c r="A104" s="14" t="str">
        <f>data!$D$8&amp;" "&amp;data!$B$8</f>
      </c>
      <c r="B104" s="14" t="str">
        <f>IF(OR(COUNTA(B74:C78,E74:F78)&gt;0,OR(D73="X",D73="x"),UPPER(D74)="X",UPPER(D75)="X",UPPER(D76)="X",UPPER(D77)="X",UPPER(D78)="X"),B73,0)+IF(OR(COUNTA(B90:C94,E90:F94)&gt;0,OR(D89="X",D89="x"),UPPER(D90)="X",UPPER(D91)="X",UPPER(D92)="X",UPPER(D93)="X",UPPER(D94)="X"),F89,0)</f>
      </c>
      <c r="C104" s="14" t="str">
        <f>IF(OR(COUNTA(B74:C78,E74:F78)&gt;0,OR(D73="X",D73="x"),UPPER(D74)="X",UPPER(D75)="X",UPPER(D76)="X",UPPER(D77)="X",UPPER(D78)="X"),F73,0)+IF(OR(COUNTA(B90:C94,E90:F94)&gt;0,OR(D89="X",D89="x"),UPPER(D90)="X",UPPER(D91)="X",UPPER(D92)="X",UPPER(D93)="X",UPPER(D94)="X"),B89,0)</f>
      </c>
      <c r="D104" s="14" t="str">
        <f>IF(OR(COUNTA(B74:C78,E74:F78)&gt;0,OR(D73="X",D73="x"),UPPER(D74)="X",UPPER(D75)="X",UPPER(D76)="X",UPPER(D77)="X",UPPER(D78)="X"),(IF(OR(D74="X",D74="x",AND(COUNTA(B74,C74,E74,F74)&gt;0,(LEN(SUBSTITUTE(SUBSTITUTE(SUBSTITUTE(B74," ",""),"0",""),"-",""))+LEN(SUBSTITUTE(SUBSTITUTE(SUBSTITUTE(C74," ",""),"0",""),"-","")))=(LEN(SUBSTITUTE(SUBSTITUTE(SUBSTITUTE(E74," ",""),"0",""),"-",""))+LEN(SUBSTITUTE(SUBSTITUTE(SUBSTITUTE(F74," ",""),"0",""),"-",""))))),1,0)+IF(OR(D75="X",D75="x",AND(COUNTA(B75,C75,E75,F75)&gt;0,(LEN(SUBSTITUTE(SUBSTITUTE(SUBSTITUTE(B75," ",""),"0",""),"-",""))+LEN(SUBSTITUTE(SUBSTITUTE(SUBSTITUTE(C75," ",""),"0",""),"-","")))=(LEN(SUBSTITUTE(SUBSTITUTE(SUBSTITUTE(E75," ",""),"0",""),"-",""))+LEN(SUBSTITUTE(SUBSTITUTE(SUBSTITUTE(F75," ",""),"0",""),"-",""))))),1,0)+IF(OR(D76="X",D76="x",AND(COUNTA(B76,C76,E76,F76)&gt;0,(LEN(SUBSTITUTE(SUBSTITUTE(SUBSTITUTE(B76," ",""),"0",""),"-",""))+LEN(SUBSTITUTE(SUBSTITUTE(SUBSTITUTE(C76," ",""),"0",""),"-","")))=(LEN(SUBSTITUTE(SUBSTITUTE(SUBSTITUTE(E76," ",""),"0",""),"-",""))+LEN(SUBSTITUTE(SUBSTITUTE(SUBSTITUTE(F76," ",""),"0",""),"-",""))))),1,0)+IF(OR(D77="X",D77="x",AND(COUNTA(B77,C77,E77,F77)&gt;0,(LEN(SUBSTITUTE(SUBSTITUTE(SUBSTITUTE(B77," ",""),"0",""),"-",""))+LEN(SUBSTITUTE(SUBSTITUTE(SUBSTITUTE(C77," ",""),"0",""),"-","")))=(LEN(SUBSTITUTE(SUBSTITUTE(SUBSTITUTE(E77," ",""),"0",""),"-",""))+LEN(SUBSTITUTE(SUBSTITUTE(SUBSTITUTE(F77," ",""),"0",""),"-",""))))),1,0)+IF(OR(D78="X",D78="x",AND(COUNTA(B78,C78,E78,F78)&gt;0,(LEN(SUBSTITUTE(SUBSTITUTE(SUBSTITUTE(B78," ",""),"0",""),"-",""))+LEN(SUBSTITUTE(SUBSTITUTE(SUBSTITUTE(C78," ",""),"0",""),"-","")))=(LEN(SUBSTITUTE(SUBSTITUTE(SUBSTITUTE(E78," ",""),"0",""),"-",""))+LEN(SUBSTITUTE(SUBSTITUTE(SUBSTITUTE(F78," ",""),"0",""),"-",""))))),1,0)),0)+IF(OR(COUNTA(B90:C94,E90:F94)&gt;0,OR(D89="X",D89="x"),UPPER(D90)="X",UPPER(D91)="X",UPPER(D92)="X",UPPER(D93)="X",UPPER(D94)="X"),(IF(OR(D90="X",D90="x",AND(COUNTA(B90,C90,E90,F90)&gt;0,(LEN(SUBSTITUTE(SUBSTITUTE(SUBSTITUTE(B90," ",""),"0",""),"-",""))+LEN(SUBSTITUTE(SUBSTITUTE(SUBSTITUTE(C90," ",""),"0",""),"-","")))=(LEN(SUBSTITUTE(SUBSTITUTE(SUBSTITUTE(E90," ",""),"0",""),"-",""))+LEN(SUBSTITUTE(SUBSTITUTE(SUBSTITUTE(F90," ",""),"0",""),"-",""))))),1,0)+IF(OR(D91="X",D91="x",AND(COUNTA(B91,C91,E91,F91)&gt;0,(LEN(SUBSTITUTE(SUBSTITUTE(SUBSTITUTE(B91," ",""),"0",""),"-",""))+LEN(SUBSTITUTE(SUBSTITUTE(SUBSTITUTE(C91," ",""),"0",""),"-","")))=(LEN(SUBSTITUTE(SUBSTITUTE(SUBSTITUTE(E91," ",""),"0",""),"-",""))+LEN(SUBSTITUTE(SUBSTITUTE(SUBSTITUTE(F91," ",""),"0",""),"-",""))))),1,0)+IF(OR(D92="X",D92="x",AND(COUNTA(B92,C92,E92,F92)&gt;0,(LEN(SUBSTITUTE(SUBSTITUTE(SUBSTITUTE(B92," ",""),"0",""),"-",""))+LEN(SUBSTITUTE(SUBSTITUTE(SUBSTITUTE(C92," ",""),"0",""),"-","")))=(LEN(SUBSTITUTE(SUBSTITUTE(SUBSTITUTE(E92," ",""),"0",""),"-",""))+LEN(SUBSTITUTE(SUBSTITUTE(SUBSTITUTE(F92," ",""),"0",""),"-",""))))),1,0)+IF(OR(D93="X",D93="x",AND(COUNTA(B93,C93,E93,F93)&gt;0,(LEN(SUBSTITUTE(SUBSTITUTE(SUBSTITUTE(B93," ",""),"0",""),"-",""))+LEN(SUBSTITUTE(SUBSTITUTE(SUBSTITUTE(C93," ",""),"0",""),"-","")))=(LEN(SUBSTITUTE(SUBSTITUTE(SUBSTITUTE(E93," ",""),"0",""),"-",""))+LEN(SUBSTITUTE(SUBSTITUTE(SUBSTITUTE(F93," ",""),"0",""),"-",""))))),1,0)+IF(OR(D94="X",D94="x",AND(COUNTA(B94,C94,E94,F94)&gt;0,(LEN(SUBSTITUTE(SUBSTITUTE(SUBSTITUTE(B94," ",""),"0",""),"-",""))+LEN(SUBSTITUTE(SUBSTITUTE(SUBSTITUTE(C94," ",""),"0",""),"-","")))=(LEN(SUBSTITUTE(SUBSTITUTE(SUBSTITUTE(E94," ",""),"0",""),"-",""))+LEN(SUBSTITUTE(SUBSTITUTE(SUBSTITUTE(F94," ",""),"0",""),"-",""))))),1,0)),0)</f>
      </c>
      <c r="E104" s="14" t="str">
        <f>C73+E89</f>
      </c>
      <c r="F104" s="14" t="str">
        <f>E73+C89</f>
      </c>
    </row>
    <row r="105">
      <c r="A105" s="14" t="str">
        <f>data!$D$9&amp;" "&amp;data!$B$9</f>
      </c>
      <c r="B105" s="14" t="str">
        <f>IF(OR(COUNTA(B82:C86,E82:F86)&gt;0,OR(D81="X",D81="x"),UPPER(D82)="X",UPPER(D83)="X",UPPER(D84)="X",UPPER(D85)="X",UPPER(D86)="X"),B81,0)+IF(OR(COUNTA(B90:C94,E90:F94)&gt;0,OR(D89="X",D89="x"),UPPER(D90)="X",UPPER(D91)="X",UPPER(D92)="X",UPPER(D93)="X",UPPER(D94)="X"),B89,0)</f>
      </c>
      <c r="C105" s="14" t="str">
        <f>IF(OR(COUNTA(B82:C86,E82:F86)&gt;0,OR(D81="X",D81="x"),UPPER(D82)="X",UPPER(D83)="X",UPPER(D84)="X",UPPER(D85)="X",UPPER(D86)="X"),F81,0)+IF(OR(COUNTA(B90:C94,E90:F94)&gt;0,OR(D89="X",D89="x"),UPPER(D90)="X",UPPER(D91)="X",UPPER(D92)="X",UPPER(D93)="X",UPPER(D94)="X"),F89,0)</f>
      </c>
      <c r="D105" s="14" t="str">
        <f>IF(OR(COUNTA(B82:C86,E82:F86)&gt;0,OR(D81="X",D81="x"),UPPER(D82)="X",UPPER(D83)="X",UPPER(D84)="X",UPPER(D85)="X",UPPER(D86)="X"),(IF(OR(D82="X",D82="x",AND(COUNTA(B82,C82,E82,F82)&gt;0,(LEN(SUBSTITUTE(SUBSTITUTE(SUBSTITUTE(B82," ",""),"0",""),"-",""))+LEN(SUBSTITUTE(SUBSTITUTE(SUBSTITUTE(C82," ",""),"0",""),"-","")))=(LEN(SUBSTITUTE(SUBSTITUTE(SUBSTITUTE(E82," ",""),"0",""),"-",""))+LEN(SUBSTITUTE(SUBSTITUTE(SUBSTITUTE(F82," ",""),"0",""),"-",""))))),1,0)+IF(OR(D83="X",D83="x",AND(COUNTA(B83,C83,E83,F83)&gt;0,(LEN(SUBSTITUTE(SUBSTITUTE(SUBSTITUTE(B83," ",""),"0",""),"-",""))+LEN(SUBSTITUTE(SUBSTITUTE(SUBSTITUTE(C83," ",""),"0",""),"-","")))=(LEN(SUBSTITUTE(SUBSTITUTE(SUBSTITUTE(E83," ",""),"0",""),"-",""))+LEN(SUBSTITUTE(SUBSTITUTE(SUBSTITUTE(F83," ",""),"0",""),"-",""))))),1,0)+IF(OR(D84="X",D84="x",AND(COUNTA(B84,C84,E84,F84)&gt;0,(LEN(SUBSTITUTE(SUBSTITUTE(SUBSTITUTE(B84," ",""),"0",""),"-",""))+LEN(SUBSTITUTE(SUBSTITUTE(SUBSTITUTE(C84," ",""),"0",""),"-","")))=(LEN(SUBSTITUTE(SUBSTITUTE(SUBSTITUTE(E84," ",""),"0",""),"-",""))+LEN(SUBSTITUTE(SUBSTITUTE(SUBSTITUTE(F84," ",""),"0",""),"-",""))))),1,0)+IF(OR(D85="X",D85="x",AND(COUNTA(B85,C85,E85,F85)&gt;0,(LEN(SUBSTITUTE(SUBSTITUTE(SUBSTITUTE(B85," ",""),"0",""),"-",""))+LEN(SUBSTITUTE(SUBSTITUTE(SUBSTITUTE(C85," ",""),"0",""),"-","")))=(LEN(SUBSTITUTE(SUBSTITUTE(SUBSTITUTE(E85," ",""),"0",""),"-",""))+LEN(SUBSTITUTE(SUBSTITUTE(SUBSTITUTE(F85," ",""),"0",""),"-",""))))),1,0)+IF(OR(D86="X",D86="x",AND(COUNTA(B86,C86,E86,F86)&gt;0,(LEN(SUBSTITUTE(SUBSTITUTE(SUBSTITUTE(B86," ",""),"0",""),"-",""))+LEN(SUBSTITUTE(SUBSTITUTE(SUBSTITUTE(C86," ",""),"0",""),"-","")))=(LEN(SUBSTITUTE(SUBSTITUTE(SUBSTITUTE(E86," ",""),"0",""),"-",""))+LEN(SUBSTITUTE(SUBSTITUTE(SUBSTITUTE(F86," ",""),"0",""),"-",""))))),1,0)),0)+IF(OR(COUNTA(B90:C94,E90:F94)&gt;0,OR(D89="X",D89="x"),UPPER(D90)="X",UPPER(D91)="X",UPPER(D92)="X",UPPER(D93)="X",UPPER(D94)="X"),(IF(OR(D90="X",D90="x",AND(COUNTA(B90,C90,E90,F90)&gt;0,(LEN(SUBSTITUTE(SUBSTITUTE(SUBSTITUTE(B90," ",""),"0",""),"-",""))+LEN(SUBSTITUTE(SUBSTITUTE(SUBSTITUTE(C90," ",""),"0",""),"-","")))=(LEN(SUBSTITUTE(SUBSTITUTE(SUBSTITUTE(E90," ",""),"0",""),"-",""))+LEN(SUBSTITUTE(SUBSTITUTE(SUBSTITUTE(F90," ",""),"0",""),"-",""))))),1,0)+IF(OR(D91="X",D91="x",AND(COUNTA(B91,C91,E91,F91)&gt;0,(LEN(SUBSTITUTE(SUBSTITUTE(SUBSTITUTE(B91," ",""),"0",""),"-",""))+LEN(SUBSTITUTE(SUBSTITUTE(SUBSTITUTE(C91," ",""),"0",""),"-","")))=(LEN(SUBSTITUTE(SUBSTITUTE(SUBSTITUTE(E91," ",""),"0",""),"-",""))+LEN(SUBSTITUTE(SUBSTITUTE(SUBSTITUTE(F91," ",""),"0",""),"-",""))))),1,0)+IF(OR(D92="X",D92="x",AND(COUNTA(B92,C92,E92,F92)&gt;0,(LEN(SUBSTITUTE(SUBSTITUTE(SUBSTITUTE(B92," ",""),"0",""),"-",""))+LEN(SUBSTITUTE(SUBSTITUTE(SUBSTITUTE(C92," ",""),"0",""),"-","")))=(LEN(SUBSTITUTE(SUBSTITUTE(SUBSTITUTE(E92," ",""),"0",""),"-",""))+LEN(SUBSTITUTE(SUBSTITUTE(SUBSTITUTE(F92," ",""),"0",""),"-",""))))),1,0)+IF(OR(D93="X",D93="x",AND(COUNTA(B93,C93,E93,F93)&gt;0,(LEN(SUBSTITUTE(SUBSTITUTE(SUBSTITUTE(B93," ",""),"0",""),"-",""))+LEN(SUBSTITUTE(SUBSTITUTE(SUBSTITUTE(C93," ",""),"0",""),"-","")))=(LEN(SUBSTITUTE(SUBSTITUTE(SUBSTITUTE(E93," ",""),"0",""),"-",""))+LEN(SUBSTITUTE(SUBSTITUTE(SUBSTITUTE(F93," ",""),"0",""),"-",""))))),1,0)+IF(OR(D94="X",D94="x",AND(COUNTA(B94,C94,E94,F94)&gt;0,(LEN(SUBSTITUTE(SUBSTITUTE(SUBSTITUTE(B94," ",""),"0",""),"-",""))+LEN(SUBSTITUTE(SUBSTITUTE(SUBSTITUTE(C94," ",""),"0",""),"-","")))=(LEN(SUBSTITUTE(SUBSTITUTE(SUBSTITUTE(E94," ",""),"0",""),"-",""))+LEN(SUBSTITUTE(SUBSTITUTE(SUBSTITUTE(F94," ",""),"0",""),"-",""))))),1,0)),0)</f>
      </c>
      <c r="E105" s="14" t="str">
        <f>C81+C89</f>
      </c>
      <c r="F105" s="14" t="str">
        <f>E81+E89</f>
      </c>
    </row>
    <row r="108">
      <c r="F108" s="13"/>
      <c r="G108" s="13" t="s">
        <v>59</v>
      </c>
    </row>
    <row r="109">
      <c r="F109" t="s">
        <v>60</v>
      </c>
      <c r="G109" s="19" t="str">
        <f>IFERROR(INDEX($A$98:$A$105, MATCH(1, $G$98:$G$105, 0)), "-")</f>
      </c>
    </row>
    <row r="110">
      <c r="F110" t="s">
        <v>61</v>
      </c>
      <c r="G110" s="19" t="str">
        <f>IFERROR(INDEX($A$98:$A$105, MATCH(2, $G$98:$G$105, 0)), "-")</f>
      </c>
    </row>
    <row r="111">
      <c r="F111" t="s">
        <v>62</v>
      </c>
      <c r="G111" s="19" t="str">
        <f>IFERROR(INDEX($A$98:$A$105, MATCH(3, $G$98:$G$105, 0)), "-")</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5">
    <mergeCell ref="A1:G1"/>
    <mergeCell ref="I1:O1"/>
    <mergeCell ref="A2:G2"/>
    <mergeCell ref="I2:O2"/>
    <mergeCell ref="A71:G71"/>
  </mergeCells>
  <printOptions horizontalCentered="true" verticalCentered="true"/>
  <pageSetup fitToHeight="0" fitToWidth="2" orientation="portrait" pageOrder="downThenOver" paperSize="9"/>
  <rowBreaks count="2" manualBreakCount="2">
    <brk id="42" max="16383" man="true"/>
    <brk id="70" max="16383" man="true"/>
  </rowBreaks>
  <colBreaks count="1" manualBreakCount="1">
    <brk id="8" max="1048575" man="true"/>
  </colBreak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s>
  <sheetData>
    <row r="1">
      <c r="A1" s="13" t="s">
        <v>44</v>
      </c>
      <c r="B1" s="13"/>
      <c r="C1" s="13"/>
      <c r="D1" s="13"/>
      <c r="E1" s="13"/>
      <c r="F1" s="13"/>
      <c r="G1" s="13"/>
      <c r="I1" s="13" t="s">
        <v>45</v>
      </c>
      <c r="J1" s="13"/>
      <c r="K1" s="13"/>
      <c r="L1" s="13"/>
      <c r="M1" s="13"/>
      <c r="N1" s="13"/>
      <c r="O1" s="13"/>
    </row>
    <row r="2">
      <c r="A2" s="13" t="s">
        <v>64</v>
      </c>
      <c r="B2" s="13"/>
      <c r="C2" s="13"/>
      <c r="D2" s="13"/>
      <c r="E2" s="13"/>
      <c r="F2" s="13"/>
      <c r="G2" s="13"/>
      <c r="I2" s="13" t="s">
        <v>66</v>
      </c>
      <c r="J2" s="13"/>
      <c r="K2" s="13"/>
      <c r="L2" s="13"/>
      <c r="M2" s="13"/>
      <c r="N2" s="13"/>
      <c r="O2" s="13"/>
    </row>
    <row r="3">
      <c r="A3" s="17" t="s">
        <v>46</v>
      </c>
      <c r="D3" s="14" t="s">
        <v>47</v>
      </c>
      <c r="G3" s="16" t="s">
        <v>48</v>
      </c>
      <c r="I3" s="17" t="s">
        <v>46</v>
      </c>
      <c r="L3" s="14" t="s">
        <v>47</v>
      </c>
      <c r="O3" s="16" t="s">
        <v>48</v>
      </c>
    </row>
    <row r="4">
      <c r="A4" s="14" t="str">
        <f>CONCATENATE("Pool C-2nd ",'Pool Matches'!O65)</f>
      </c>
      <c r="B4" s="14"/>
      <c r="C4" s="14"/>
      <c r="D4" s="18"/>
      <c r="E4" s="14"/>
      <c r="F4" s="14"/>
      <c r="G4" s="14" t="str">
        <f>CONCATENATE("Pool B-1st ",'Pool Matches'!G109)</f>
      </c>
      <c r="I4" s="14" t="str">
        <f>CONCATENATE("Pool B-2nd ",'Pool Matches'!G110)</f>
      </c>
      <c r="J4" s="14"/>
      <c r="K4" s="14"/>
      <c r="L4" s="18"/>
      <c r="M4" s="14"/>
      <c r="N4" s="14"/>
      <c r="O4" s="14" t="str">
        <f>CONCATENATE("Pool A-2nd ",'Pool Matches'!G67)</f>
      </c>
    </row>
    <row r="5">
      <c r="A5" s="14">
        <v>1</v>
      </c>
      <c r="B5" s="18"/>
      <c r="C5" s="18"/>
      <c r="D5" s="18"/>
      <c r="E5" s="18"/>
      <c r="F5" s="18"/>
      <c r="G5" s="14">
        <v>1</v>
      </c>
      <c r="I5" s="14">
        <v>1</v>
      </c>
      <c r="J5" s="18"/>
      <c r="K5" s="18"/>
      <c r="L5" s="18"/>
      <c r="M5" s="18"/>
      <c r="N5" s="18"/>
      <c r="O5" s="14">
        <v>1</v>
      </c>
    </row>
    <row r="6">
      <c r="A6" s="14">
        <v>2</v>
      </c>
      <c r="B6" s="18"/>
      <c r="C6" s="18"/>
      <c r="D6" s="18"/>
      <c r="E6" s="18"/>
      <c r="F6" s="18"/>
      <c r="G6" s="14">
        <v>2</v>
      </c>
      <c r="I6" s="14">
        <v>2</v>
      </c>
      <c r="J6" s="18"/>
      <c r="K6" s="18"/>
      <c r="L6" s="18"/>
      <c r="M6" s="18"/>
      <c r="N6" s="18"/>
      <c r="O6" s="14">
        <v>2</v>
      </c>
    </row>
    <row r="7">
      <c r="A7" s="14">
        <v>3</v>
      </c>
      <c r="B7" s="18"/>
      <c r="C7" s="18"/>
      <c r="D7" s="18"/>
      <c r="E7" s="18"/>
      <c r="F7" s="18"/>
      <c r="G7" s="14">
        <v>3</v>
      </c>
      <c r="I7" s="14">
        <v>3</v>
      </c>
      <c r="J7" s="18"/>
      <c r="K7" s="18"/>
      <c r="L7" s="18"/>
      <c r="M7" s="18"/>
      <c r="N7" s="18"/>
      <c r="O7" s="14">
        <v>3</v>
      </c>
    </row>
    <row r="8">
      <c r="A8" s="14">
        <v>4</v>
      </c>
      <c r="B8" s="18"/>
      <c r="C8" s="18"/>
      <c r="D8" s="18"/>
      <c r="E8" s="18"/>
      <c r="F8" s="18"/>
      <c r="G8" s="14">
        <v>4</v>
      </c>
      <c r="I8" s="14">
        <v>4</v>
      </c>
      <c r="J8" s="18"/>
      <c r="K8" s="18"/>
      <c r="L8" s="18"/>
      <c r="M8" s="18"/>
      <c r="N8" s="18"/>
      <c r="O8" s="14">
        <v>4</v>
      </c>
    </row>
    <row r="9">
      <c r="A9" s="14">
        <v>5</v>
      </c>
      <c r="B9" s="18"/>
      <c r="C9" s="18"/>
      <c r="D9" s="18"/>
      <c r="E9" s="18"/>
      <c r="F9" s="18"/>
      <c r="G9" s="14">
        <v>5</v>
      </c>
      <c r="I9" s="14">
        <v>5</v>
      </c>
      <c r="J9" s="18"/>
      <c r="K9" s="18"/>
      <c r="L9" s="18"/>
      <c r="M9" s="18"/>
      <c r="N9" s="18"/>
      <c r="O9" s="14">
        <v>5</v>
      </c>
    </row>
    <row r="11">
      <c r="A11" s="14" t="str">
        <f>CONCATENATE("Pool C-2nd ",'Pool Matches'!O65)</f>
      </c>
      <c r="B11" s="14" t="s">
        <v>54</v>
      </c>
      <c r="C11" s="14" t="s">
        <v>57</v>
      </c>
      <c r="D11" s="14"/>
      <c r="E11" s="14" t="s">
        <v>57</v>
      </c>
      <c r="F11" s="14" t="s">
        <v>54</v>
      </c>
      <c r="G11" s="14" t="str">
        <f>CONCATENATE("Pool B-1st ",'Pool Matches'!G109)</f>
      </c>
      <c r="I11" s="14" t="str">
        <f>CONCATENATE("Pool B-2nd ",'Pool Matches'!G110)</f>
      </c>
      <c r="J11" s="14" t="s">
        <v>54</v>
      </c>
      <c r="K11" s="14" t="s">
        <v>57</v>
      </c>
      <c r="L11" s="14"/>
      <c r="M11" s="14" t="s">
        <v>57</v>
      </c>
      <c r="N11" s="14" t="s">
        <v>54</v>
      </c>
      <c r="O11" s="14" t="str">
        <f>CONCATENATE("Pool A-2nd ",'Pool Matches'!G67)</f>
      </c>
    </row>
    <row r="12">
      <c r="A12" s="14" t="s">
        <v>65</v>
      </c>
      <c r="B12" s="14" t="str">
        <f>IF(UPPER(D5)="X",0,IF((LEN(SUBSTITUTE(SUBSTITUTE(SUBSTITUTE(B5," ",""),"0",""),"-",""))+LEN(SUBSTITUTE(SUBSTITUTE(SUBSTITUTE(C5," ",""),"0",""),"-","")))&gt;(LEN(SUBSTITUTE(SUBSTITUTE(SUBSTITUTE(E5," ",""),"0",""),"-",""))+LEN(SUBSTITUTE(SUBSTITUTE(SUBSTITUTE(F5," ",""),"0",""),"-",""))),1,0))+IF(UPPER(D6)="X",0,IF((LEN(SUBSTITUTE(SUBSTITUTE(SUBSTITUTE(B6," ",""),"0",""),"-",""))+LEN(SUBSTITUTE(SUBSTITUTE(SUBSTITUTE(C6," ",""),"0",""),"-","")))&gt;(LEN(SUBSTITUTE(SUBSTITUTE(SUBSTITUTE(E6," ",""),"0",""),"-",""))+LEN(SUBSTITUTE(SUBSTITUTE(SUBSTITUTE(F6," ",""),"0",""),"-",""))),1,0))+IF(UPPER(D7)="X",0,IF((LEN(SUBSTITUTE(SUBSTITUTE(SUBSTITUTE(B7," ",""),"0",""),"-",""))+LEN(SUBSTITUTE(SUBSTITUTE(SUBSTITUTE(C7," ",""),"0",""),"-","")))&gt;(LEN(SUBSTITUTE(SUBSTITUTE(SUBSTITUTE(E7," ",""),"0",""),"-",""))+LEN(SUBSTITUTE(SUBSTITUTE(SUBSTITUTE(F7," ",""),"0",""),"-",""))),1,0))+IF(UPPER(D8)="X",0,IF((LEN(SUBSTITUTE(SUBSTITUTE(SUBSTITUTE(B8," ",""),"0",""),"-",""))+LEN(SUBSTITUTE(SUBSTITUTE(SUBSTITUTE(C8," ",""),"0",""),"-","")))&gt;(LEN(SUBSTITUTE(SUBSTITUTE(SUBSTITUTE(E8," ",""),"0",""),"-",""))+LEN(SUBSTITUTE(SUBSTITUTE(SUBSTITUTE(F8," ",""),"0",""),"-",""))),1,0))+IF(UPPER(D9)="X",0,IF((LEN(SUBSTITUTE(SUBSTITUTE(SUBSTITUTE(B9," ",""),"0",""),"-",""))+LEN(SUBSTITUTE(SUBSTITUTE(SUBSTITUTE(C9," ",""),"0",""),"-","")))&gt;(LEN(SUBSTITUTE(SUBSTITUTE(SUBSTITUTE(E9," ",""),"0",""),"-",""))+LEN(SUBSTITUTE(SUBSTITUTE(SUBSTITUTE(F9," ",""),"0",""),"-",""))),1,0))</f>
      </c>
      <c r="C12" s="14" t="str">
        <f>LEN(SUBSTITUTE(SUBSTITUTE(SUBSTITUTE(B5," ",""),"0",""),"-",""))+LEN(SUBSTITUTE(SUBSTITUTE(SUBSTITUTE(C5," ",""),"0",""),"-",""))+LEN(SUBSTITUTE(SUBSTITUTE(SUBSTITUTE(B6," ",""),"0",""),"-",""))+LEN(SUBSTITUTE(SUBSTITUTE(SUBSTITUTE(C6," ",""),"0",""),"-",""))+LEN(SUBSTITUTE(SUBSTITUTE(SUBSTITUTE(B7," ",""),"0",""),"-",""))+LEN(SUBSTITUTE(SUBSTITUTE(SUBSTITUTE(C7," ",""),"0",""),"-",""))+LEN(SUBSTITUTE(SUBSTITUTE(SUBSTITUTE(B8," ",""),"0",""),"-",""))+LEN(SUBSTITUTE(SUBSTITUTE(SUBSTITUTE(C8," ",""),"0",""),"-",""))+LEN(SUBSTITUTE(SUBSTITUTE(SUBSTITUTE(B9," ",""),"0",""),"-",""))+LEN(SUBSTITUTE(SUBSTITUTE(SUBSTITUTE(C9," ",""),"0",""),"-",""))</f>
      </c>
      <c r="D12" s="14"/>
      <c r="E12" s="14" t="str">
        <f>LEN(SUBSTITUTE(SUBSTITUTE(SUBSTITUTE(E5," ",""),"0",""),"-",""))+LEN(SUBSTITUTE(SUBSTITUTE(SUBSTITUTE(F5," ",""),"0",""),"-",""))+LEN(SUBSTITUTE(SUBSTITUTE(SUBSTITUTE(E6," ",""),"0",""),"-",""))+LEN(SUBSTITUTE(SUBSTITUTE(SUBSTITUTE(F6," ",""),"0",""),"-",""))+LEN(SUBSTITUTE(SUBSTITUTE(SUBSTITUTE(E7," ",""),"0",""),"-",""))+LEN(SUBSTITUTE(SUBSTITUTE(SUBSTITUTE(F7," ",""),"0",""),"-",""))+LEN(SUBSTITUTE(SUBSTITUTE(SUBSTITUTE(E8," ",""),"0",""),"-",""))+LEN(SUBSTITUTE(SUBSTITUTE(SUBSTITUTE(F8," ",""),"0",""),"-",""))+LEN(SUBSTITUTE(SUBSTITUTE(SUBSTITUTE(E9," ",""),"0",""),"-",""))+LEN(SUBSTITUTE(SUBSTITUTE(SUBSTITUTE(F9," ",""),"0",""),"-",""))</f>
      </c>
      <c r="F12" s="14" t="str">
        <f>IF(UPPER(D5)="X",0,IF((LEN(SUBSTITUTE(SUBSTITUTE(SUBSTITUTE(E5," ",""),"0",""),"-",""))+LEN(SUBSTITUTE(SUBSTITUTE(SUBSTITUTE(F5," ",""),"0",""),"-","")))&gt;(LEN(SUBSTITUTE(SUBSTITUTE(SUBSTITUTE(B5," ",""),"0",""),"-",""))+LEN(SUBSTITUTE(SUBSTITUTE(SUBSTITUTE(C5," ",""),"0",""),"-",""))),1,0))+IF(UPPER(D6)="X",0,IF((LEN(SUBSTITUTE(SUBSTITUTE(SUBSTITUTE(E6," ",""),"0",""),"-",""))+LEN(SUBSTITUTE(SUBSTITUTE(SUBSTITUTE(F6," ",""),"0",""),"-","")))&gt;(LEN(SUBSTITUTE(SUBSTITUTE(SUBSTITUTE(B6," ",""),"0",""),"-",""))+LEN(SUBSTITUTE(SUBSTITUTE(SUBSTITUTE(C6," ",""),"0",""),"-",""))),1,0))+IF(UPPER(D7)="X",0,IF((LEN(SUBSTITUTE(SUBSTITUTE(SUBSTITUTE(E7," ",""),"0",""),"-",""))+LEN(SUBSTITUTE(SUBSTITUTE(SUBSTITUTE(F7," ",""),"0",""),"-","")))&gt;(LEN(SUBSTITUTE(SUBSTITUTE(SUBSTITUTE(B7," ",""),"0",""),"-",""))+LEN(SUBSTITUTE(SUBSTITUTE(SUBSTITUTE(C7," ",""),"0",""),"-",""))),1,0))+IF(UPPER(D8)="X",0,IF((LEN(SUBSTITUTE(SUBSTITUTE(SUBSTITUTE(E8," ",""),"0",""),"-",""))+LEN(SUBSTITUTE(SUBSTITUTE(SUBSTITUTE(F8," ",""),"0",""),"-","")))&gt;(LEN(SUBSTITUTE(SUBSTITUTE(SUBSTITUTE(B8," ",""),"0",""),"-",""))+LEN(SUBSTITUTE(SUBSTITUTE(SUBSTITUTE(C8," ",""),"0",""),"-",""))),1,0))+IF(UPPER(D9)="X",0,IF((LEN(SUBSTITUTE(SUBSTITUTE(SUBSTITUTE(E9," ",""),"0",""),"-",""))+LEN(SUBSTITUTE(SUBSTITUTE(SUBSTITUTE(F9," ",""),"0",""),"-","")))&gt;(LEN(SUBSTITUTE(SUBSTITUTE(SUBSTITUTE(B9," ",""),"0",""),"-",""))+LEN(SUBSTITUTE(SUBSTITUTE(SUBSTITUTE(C9," ",""),"0",""),"-",""))),1,0))</f>
      </c>
      <c r="G12" s="14" t="s">
        <v>65</v>
      </c>
      <c r="I12" s="14" t="s">
        <v>65</v>
      </c>
      <c r="J12" s="14" t="str">
        <f>IF(UPPER(L5)="X",0,IF((LEN(SUBSTITUTE(SUBSTITUTE(SUBSTITUTE(J5," ",""),"0",""),"-",""))+LEN(SUBSTITUTE(SUBSTITUTE(SUBSTITUTE(K5," ",""),"0",""),"-","")))&gt;(LEN(SUBSTITUTE(SUBSTITUTE(SUBSTITUTE(M5," ",""),"0",""),"-",""))+LEN(SUBSTITUTE(SUBSTITUTE(SUBSTITUTE(N5," ",""),"0",""),"-",""))),1,0))+IF(UPPER(L6)="X",0,IF((LEN(SUBSTITUTE(SUBSTITUTE(SUBSTITUTE(J6," ",""),"0",""),"-",""))+LEN(SUBSTITUTE(SUBSTITUTE(SUBSTITUTE(K6," ",""),"0",""),"-","")))&gt;(LEN(SUBSTITUTE(SUBSTITUTE(SUBSTITUTE(M6," ",""),"0",""),"-",""))+LEN(SUBSTITUTE(SUBSTITUTE(SUBSTITUTE(N6," ",""),"0",""),"-",""))),1,0))+IF(UPPER(L7)="X",0,IF((LEN(SUBSTITUTE(SUBSTITUTE(SUBSTITUTE(J7," ",""),"0",""),"-",""))+LEN(SUBSTITUTE(SUBSTITUTE(SUBSTITUTE(K7," ",""),"0",""),"-","")))&gt;(LEN(SUBSTITUTE(SUBSTITUTE(SUBSTITUTE(M7," ",""),"0",""),"-",""))+LEN(SUBSTITUTE(SUBSTITUTE(SUBSTITUTE(N7," ",""),"0",""),"-",""))),1,0))+IF(UPPER(L8)="X",0,IF((LEN(SUBSTITUTE(SUBSTITUTE(SUBSTITUTE(J8," ",""),"0",""),"-",""))+LEN(SUBSTITUTE(SUBSTITUTE(SUBSTITUTE(K8," ",""),"0",""),"-","")))&gt;(LEN(SUBSTITUTE(SUBSTITUTE(SUBSTITUTE(M8," ",""),"0",""),"-",""))+LEN(SUBSTITUTE(SUBSTITUTE(SUBSTITUTE(N8," ",""),"0",""),"-",""))),1,0))+IF(UPPER(L9)="X",0,IF((LEN(SUBSTITUTE(SUBSTITUTE(SUBSTITUTE(J9," ",""),"0",""),"-",""))+LEN(SUBSTITUTE(SUBSTITUTE(SUBSTITUTE(K9," ",""),"0",""),"-","")))&gt;(LEN(SUBSTITUTE(SUBSTITUTE(SUBSTITUTE(M9," ",""),"0",""),"-",""))+LEN(SUBSTITUTE(SUBSTITUTE(SUBSTITUTE(N9," ",""),"0",""),"-",""))),1,0))</f>
      </c>
      <c r="K12" s="14" t="str">
        <f>LEN(SUBSTITUTE(SUBSTITUTE(SUBSTITUTE(J5," ",""),"0",""),"-",""))+LEN(SUBSTITUTE(SUBSTITUTE(SUBSTITUTE(K5," ",""),"0",""),"-",""))+LEN(SUBSTITUTE(SUBSTITUTE(SUBSTITUTE(J6," ",""),"0",""),"-",""))+LEN(SUBSTITUTE(SUBSTITUTE(SUBSTITUTE(K6," ",""),"0",""),"-",""))+LEN(SUBSTITUTE(SUBSTITUTE(SUBSTITUTE(J7," ",""),"0",""),"-",""))+LEN(SUBSTITUTE(SUBSTITUTE(SUBSTITUTE(K7," ",""),"0",""),"-",""))+LEN(SUBSTITUTE(SUBSTITUTE(SUBSTITUTE(J8," ",""),"0",""),"-",""))+LEN(SUBSTITUTE(SUBSTITUTE(SUBSTITUTE(K8," ",""),"0",""),"-",""))+LEN(SUBSTITUTE(SUBSTITUTE(SUBSTITUTE(J9," ",""),"0",""),"-",""))+LEN(SUBSTITUTE(SUBSTITUTE(SUBSTITUTE(K9," ",""),"0",""),"-",""))</f>
      </c>
      <c r="L12" s="14"/>
      <c r="M12" s="14" t="str">
        <f>LEN(SUBSTITUTE(SUBSTITUTE(SUBSTITUTE(M5," ",""),"0",""),"-",""))+LEN(SUBSTITUTE(SUBSTITUTE(SUBSTITUTE(N5," ",""),"0",""),"-",""))+LEN(SUBSTITUTE(SUBSTITUTE(SUBSTITUTE(M6," ",""),"0",""),"-",""))+LEN(SUBSTITUTE(SUBSTITUTE(SUBSTITUTE(N6," ",""),"0",""),"-",""))+LEN(SUBSTITUTE(SUBSTITUTE(SUBSTITUTE(M7," ",""),"0",""),"-",""))+LEN(SUBSTITUTE(SUBSTITUTE(SUBSTITUTE(N7," ",""),"0",""),"-",""))+LEN(SUBSTITUTE(SUBSTITUTE(SUBSTITUTE(M8," ",""),"0",""),"-",""))+LEN(SUBSTITUTE(SUBSTITUTE(SUBSTITUTE(N8," ",""),"0",""),"-",""))+LEN(SUBSTITUTE(SUBSTITUTE(SUBSTITUTE(M9," ",""),"0",""),"-",""))+LEN(SUBSTITUTE(SUBSTITUTE(SUBSTITUTE(N9," ",""),"0",""),"-",""))</f>
      </c>
      <c r="N12" s="14" t="str">
        <f>IF(UPPER(L5)="X",0,IF((LEN(SUBSTITUTE(SUBSTITUTE(SUBSTITUTE(M5," ",""),"0",""),"-",""))+LEN(SUBSTITUTE(SUBSTITUTE(SUBSTITUTE(N5," ",""),"0",""),"-","")))&gt;(LEN(SUBSTITUTE(SUBSTITUTE(SUBSTITUTE(J5," ",""),"0",""),"-",""))+LEN(SUBSTITUTE(SUBSTITUTE(SUBSTITUTE(K5," ",""),"0",""),"-",""))),1,0))+IF(UPPER(L6)="X",0,IF((LEN(SUBSTITUTE(SUBSTITUTE(SUBSTITUTE(M6," ",""),"0",""),"-",""))+LEN(SUBSTITUTE(SUBSTITUTE(SUBSTITUTE(N6," ",""),"0",""),"-","")))&gt;(LEN(SUBSTITUTE(SUBSTITUTE(SUBSTITUTE(J6," ",""),"0",""),"-",""))+LEN(SUBSTITUTE(SUBSTITUTE(SUBSTITUTE(K6," ",""),"0",""),"-",""))),1,0))+IF(UPPER(L7)="X",0,IF((LEN(SUBSTITUTE(SUBSTITUTE(SUBSTITUTE(M7," ",""),"0",""),"-",""))+LEN(SUBSTITUTE(SUBSTITUTE(SUBSTITUTE(N7," ",""),"0",""),"-","")))&gt;(LEN(SUBSTITUTE(SUBSTITUTE(SUBSTITUTE(J7," ",""),"0",""),"-",""))+LEN(SUBSTITUTE(SUBSTITUTE(SUBSTITUTE(K7," ",""),"0",""),"-",""))),1,0))+IF(UPPER(L8)="X",0,IF((LEN(SUBSTITUTE(SUBSTITUTE(SUBSTITUTE(M8," ",""),"0",""),"-",""))+LEN(SUBSTITUTE(SUBSTITUTE(SUBSTITUTE(N8," ",""),"0",""),"-","")))&gt;(LEN(SUBSTITUTE(SUBSTITUTE(SUBSTITUTE(J8," ",""),"0",""),"-",""))+LEN(SUBSTITUTE(SUBSTITUTE(SUBSTITUTE(K8," ",""),"0",""),"-",""))),1,0))+IF(UPPER(L9)="X",0,IF((LEN(SUBSTITUTE(SUBSTITUTE(SUBSTITUTE(M9," ",""),"0",""),"-",""))+LEN(SUBSTITUTE(SUBSTITUTE(SUBSTITUTE(N9," ",""),"0",""),"-","")))&gt;(LEN(SUBSTITUTE(SUBSTITUTE(SUBSTITUTE(J9," ",""),"0",""),"-",""))+LEN(SUBSTITUTE(SUBSTITUTE(SUBSTITUTE(K9," ",""),"0",""),"-",""))),1,0))</f>
      </c>
      <c r="O12" s="14" t="s">
        <v>65</v>
      </c>
    </row>
    <row r="15">
      <c r="F15" t="s">
        <v>60</v>
      </c>
      <c r="G15" s="19"/>
      <c r="N15" t="s">
        <v>60</v>
      </c>
      <c r="O15" s="19"/>
    </row>
    <row r="16">
      <c r="F16" t="s">
        <v>61</v>
      </c>
      <c r="G16" s="19"/>
      <c r="N16" t="s">
        <v>61</v>
      </c>
      <c r="O16" s="19"/>
    </row>
    <row r="23">
      <c r="A23" s="13" t="s">
        <v>67</v>
      </c>
      <c r="B23" s="13"/>
      <c r="C23" s="13"/>
      <c r="D23" s="13"/>
      <c r="E23" s="13"/>
      <c r="F23" s="13"/>
      <c r="G23" s="13"/>
      <c r="I23" s="13" t="s">
        <v>68</v>
      </c>
      <c r="J23" s="13"/>
      <c r="K23" s="13"/>
      <c r="L23" s="13"/>
      <c r="M23" s="13"/>
      <c r="N23" s="13"/>
      <c r="O23" s="13"/>
    </row>
    <row r="24">
      <c r="A24" s="17" t="s">
        <v>46</v>
      </c>
      <c r="D24" s="14" t="s">
        <v>47</v>
      </c>
      <c r="G24" s="16" t="s">
        <v>48</v>
      </c>
      <c r="I24" s="17" t="s">
        <v>46</v>
      </c>
      <c r="L24" s="14" t="s">
        <v>47</v>
      </c>
      <c r="O24" s="16" t="s">
        <v>48</v>
      </c>
    </row>
    <row r="25">
      <c r="A25" s="14" t="str">
        <f>CONCATENATE("M 1 ",G15)</f>
      </c>
      <c r="B25" s="14"/>
      <c r="C25" s="14"/>
      <c r="D25" s="18"/>
      <c r="E25" s="14"/>
      <c r="F25" s="14"/>
      <c r="G25" s="14" t="str">
        <f>CONCATENATE("Pool A-1st ",'Pool Matches'!G66)</f>
      </c>
      <c r="I25" s="14" t="str">
        <f>CONCATENATE("M 2 ",O15)</f>
      </c>
      <c r="J25" s="14"/>
      <c r="K25" s="14"/>
      <c r="L25" s="18"/>
      <c r="M25" s="14"/>
      <c r="N25" s="14"/>
      <c r="O25" s="14" t="str">
        <f>CONCATENATE("Pool C-1st ",'Pool Matches'!O64)</f>
      </c>
    </row>
    <row r="26">
      <c r="A26" s="14">
        <v>1</v>
      </c>
      <c r="B26" s="18"/>
      <c r="C26" s="18"/>
      <c r="D26" s="18"/>
      <c r="E26" s="18"/>
      <c r="F26" s="18"/>
      <c r="G26" s="14">
        <v>1</v>
      </c>
      <c r="I26" s="14">
        <v>1</v>
      </c>
      <c r="J26" s="18"/>
      <c r="K26" s="18"/>
      <c r="L26" s="18"/>
      <c r="M26" s="18"/>
      <c r="N26" s="18"/>
      <c r="O26" s="14">
        <v>1</v>
      </c>
    </row>
    <row r="27">
      <c r="A27" s="14">
        <v>2</v>
      </c>
      <c r="B27" s="18"/>
      <c r="C27" s="18"/>
      <c r="D27" s="18"/>
      <c r="E27" s="18"/>
      <c r="F27" s="18"/>
      <c r="G27" s="14">
        <v>2</v>
      </c>
      <c r="I27" s="14">
        <v>2</v>
      </c>
      <c r="J27" s="18"/>
      <c r="K27" s="18"/>
      <c r="L27" s="18"/>
      <c r="M27" s="18"/>
      <c r="N27" s="18"/>
      <c r="O27" s="14">
        <v>2</v>
      </c>
    </row>
    <row r="28">
      <c r="A28" s="14">
        <v>3</v>
      </c>
      <c r="B28" s="18"/>
      <c r="C28" s="18"/>
      <c r="D28" s="18"/>
      <c r="E28" s="18"/>
      <c r="F28" s="18"/>
      <c r="G28" s="14">
        <v>3</v>
      </c>
      <c r="I28" s="14">
        <v>3</v>
      </c>
      <c r="J28" s="18"/>
      <c r="K28" s="18"/>
      <c r="L28" s="18"/>
      <c r="M28" s="18"/>
      <c r="N28" s="18"/>
      <c r="O28" s="14">
        <v>3</v>
      </c>
    </row>
    <row r="29">
      <c r="A29" s="14">
        <v>4</v>
      </c>
      <c r="B29" s="18"/>
      <c r="C29" s="18"/>
      <c r="D29" s="18"/>
      <c r="E29" s="18"/>
      <c r="F29" s="18"/>
      <c r="G29" s="14">
        <v>4</v>
      </c>
      <c r="I29" s="14">
        <v>4</v>
      </c>
      <c r="J29" s="18"/>
      <c r="K29" s="18"/>
      <c r="L29" s="18"/>
      <c r="M29" s="18"/>
      <c r="N29" s="18"/>
      <c r="O29" s="14">
        <v>4</v>
      </c>
    </row>
    <row r="30">
      <c r="A30" s="14">
        <v>5</v>
      </c>
      <c r="B30" s="18"/>
      <c r="C30" s="18"/>
      <c r="D30" s="18"/>
      <c r="E30" s="18"/>
      <c r="F30" s="18"/>
      <c r="G30" s="14">
        <v>5</v>
      </c>
      <c r="I30" s="14">
        <v>5</v>
      </c>
      <c r="J30" s="18"/>
      <c r="K30" s="18"/>
      <c r="L30" s="18"/>
      <c r="M30" s="18"/>
      <c r="N30" s="18"/>
      <c r="O30" s="14">
        <v>5</v>
      </c>
    </row>
    <row r="32">
      <c r="A32" s="14" t="str">
        <f>CONCATENATE("M 1 ",G15)</f>
      </c>
      <c r="B32" s="14" t="s">
        <v>54</v>
      </c>
      <c r="C32" s="14" t="s">
        <v>57</v>
      </c>
      <c r="D32" s="14"/>
      <c r="E32" s="14" t="s">
        <v>57</v>
      </c>
      <c r="F32" s="14" t="s">
        <v>54</v>
      </c>
      <c r="G32" s="14" t="str">
        <f>CONCATENATE("Pool A-1st ",'Pool Matches'!G66)</f>
      </c>
      <c r="I32" s="14" t="str">
        <f>CONCATENATE("M 2 ",O15)</f>
      </c>
      <c r="J32" s="14" t="s">
        <v>54</v>
      </c>
      <c r="K32" s="14" t="s">
        <v>57</v>
      </c>
      <c r="L32" s="14"/>
      <c r="M32" s="14" t="s">
        <v>57</v>
      </c>
      <c r="N32" s="14" t="s">
        <v>54</v>
      </c>
      <c r="O32" s="14" t="str">
        <f>CONCATENATE("Pool C-1st ",'Pool Matches'!O64)</f>
      </c>
    </row>
    <row r="33">
      <c r="A33" s="14" t="s">
        <v>65</v>
      </c>
      <c r="B33" s="14" t="str">
        <f>IF(UPPER(D26)="X",0,IF((LEN(SUBSTITUTE(SUBSTITUTE(SUBSTITUTE(B26," ",""),"0",""),"-",""))+LEN(SUBSTITUTE(SUBSTITUTE(SUBSTITUTE(C26," ",""),"0",""),"-","")))&gt;(LEN(SUBSTITUTE(SUBSTITUTE(SUBSTITUTE(E26," ",""),"0",""),"-",""))+LEN(SUBSTITUTE(SUBSTITUTE(SUBSTITUTE(F26," ",""),"0",""),"-",""))),1,0))+IF(UPPER(D27)="X",0,IF((LEN(SUBSTITUTE(SUBSTITUTE(SUBSTITUTE(B27," ",""),"0",""),"-",""))+LEN(SUBSTITUTE(SUBSTITUTE(SUBSTITUTE(C27," ",""),"0",""),"-","")))&gt;(LEN(SUBSTITUTE(SUBSTITUTE(SUBSTITUTE(E27," ",""),"0",""),"-",""))+LEN(SUBSTITUTE(SUBSTITUTE(SUBSTITUTE(F27," ",""),"0",""),"-",""))),1,0))+IF(UPPER(D28)="X",0,IF((LEN(SUBSTITUTE(SUBSTITUTE(SUBSTITUTE(B28," ",""),"0",""),"-",""))+LEN(SUBSTITUTE(SUBSTITUTE(SUBSTITUTE(C28," ",""),"0",""),"-","")))&gt;(LEN(SUBSTITUTE(SUBSTITUTE(SUBSTITUTE(E28," ",""),"0",""),"-",""))+LEN(SUBSTITUTE(SUBSTITUTE(SUBSTITUTE(F28," ",""),"0",""),"-",""))),1,0))+IF(UPPER(D29)="X",0,IF((LEN(SUBSTITUTE(SUBSTITUTE(SUBSTITUTE(B29," ",""),"0",""),"-",""))+LEN(SUBSTITUTE(SUBSTITUTE(SUBSTITUTE(C29," ",""),"0",""),"-","")))&gt;(LEN(SUBSTITUTE(SUBSTITUTE(SUBSTITUTE(E29," ",""),"0",""),"-",""))+LEN(SUBSTITUTE(SUBSTITUTE(SUBSTITUTE(F29," ",""),"0",""),"-",""))),1,0))+IF(UPPER(D30)="X",0,IF((LEN(SUBSTITUTE(SUBSTITUTE(SUBSTITUTE(B30," ",""),"0",""),"-",""))+LEN(SUBSTITUTE(SUBSTITUTE(SUBSTITUTE(C30," ",""),"0",""),"-","")))&gt;(LEN(SUBSTITUTE(SUBSTITUTE(SUBSTITUTE(E30," ",""),"0",""),"-",""))+LEN(SUBSTITUTE(SUBSTITUTE(SUBSTITUTE(F30," ",""),"0",""),"-",""))),1,0))</f>
      </c>
      <c r="C33" s="14" t="str">
        <f>LEN(SUBSTITUTE(SUBSTITUTE(SUBSTITUTE(B26," ",""),"0",""),"-",""))+LEN(SUBSTITUTE(SUBSTITUTE(SUBSTITUTE(C26," ",""),"0",""),"-",""))+LEN(SUBSTITUTE(SUBSTITUTE(SUBSTITUTE(B27," ",""),"0",""),"-",""))+LEN(SUBSTITUTE(SUBSTITUTE(SUBSTITUTE(C27," ",""),"0",""),"-",""))+LEN(SUBSTITUTE(SUBSTITUTE(SUBSTITUTE(B28," ",""),"0",""),"-",""))+LEN(SUBSTITUTE(SUBSTITUTE(SUBSTITUTE(C28," ",""),"0",""),"-",""))+LEN(SUBSTITUTE(SUBSTITUTE(SUBSTITUTE(B29," ",""),"0",""),"-",""))+LEN(SUBSTITUTE(SUBSTITUTE(SUBSTITUTE(C29," ",""),"0",""),"-",""))+LEN(SUBSTITUTE(SUBSTITUTE(SUBSTITUTE(B30," ",""),"0",""),"-",""))+LEN(SUBSTITUTE(SUBSTITUTE(SUBSTITUTE(C30," ",""),"0",""),"-",""))</f>
      </c>
      <c r="D33" s="14"/>
      <c r="E33" s="14" t="str">
        <f>LEN(SUBSTITUTE(SUBSTITUTE(SUBSTITUTE(E26," ",""),"0",""),"-",""))+LEN(SUBSTITUTE(SUBSTITUTE(SUBSTITUTE(F26," ",""),"0",""),"-",""))+LEN(SUBSTITUTE(SUBSTITUTE(SUBSTITUTE(E27," ",""),"0",""),"-",""))+LEN(SUBSTITUTE(SUBSTITUTE(SUBSTITUTE(F27," ",""),"0",""),"-",""))+LEN(SUBSTITUTE(SUBSTITUTE(SUBSTITUTE(E28," ",""),"0",""),"-",""))+LEN(SUBSTITUTE(SUBSTITUTE(SUBSTITUTE(F28," ",""),"0",""),"-",""))+LEN(SUBSTITUTE(SUBSTITUTE(SUBSTITUTE(E29," ",""),"0",""),"-",""))+LEN(SUBSTITUTE(SUBSTITUTE(SUBSTITUTE(F29," ",""),"0",""),"-",""))+LEN(SUBSTITUTE(SUBSTITUTE(SUBSTITUTE(E30," ",""),"0",""),"-",""))+LEN(SUBSTITUTE(SUBSTITUTE(SUBSTITUTE(F30," ",""),"0",""),"-",""))</f>
      </c>
      <c r="F33" s="14" t="str">
        <f>IF(UPPER(D26)="X",0,IF((LEN(SUBSTITUTE(SUBSTITUTE(SUBSTITUTE(E26," ",""),"0",""),"-",""))+LEN(SUBSTITUTE(SUBSTITUTE(SUBSTITUTE(F26," ",""),"0",""),"-","")))&gt;(LEN(SUBSTITUTE(SUBSTITUTE(SUBSTITUTE(B26," ",""),"0",""),"-",""))+LEN(SUBSTITUTE(SUBSTITUTE(SUBSTITUTE(C26," ",""),"0",""),"-",""))),1,0))+IF(UPPER(D27)="X",0,IF((LEN(SUBSTITUTE(SUBSTITUTE(SUBSTITUTE(E27," ",""),"0",""),"-",""))+LEN(SUBSTITUTE(SUBSTITUTE(SUBSTITUTE(F27," ",""),"0",""),"-","")))&gt;(LEN(SUBSTITUTE(SUBSTITUTE(SUBSTITUTE(B27," ",""),"0",""),"-",""))+LEN(SUBSTITUTE(SUBSTITUTE(SUBSTITUTE(C27," ",""),"0",""),"-",""))),1,0))+IF(UPPER(D28)="X",0,IF((LEN(SUBSTITUTE(SUBSTITUTE(SUBSTITUTE(E28," ",""),"0",""),"-",""))+LEN(SUBSTITUTE(SUBSTITUTE(SUBSTITUTE(F28," ",""),"0",""),"-","")))&gt;(LEN(SUBSTITUTE(SUBSTITUTE(SUBSTITUTE(B28," ",""),"0",""),"-",""))+LEN(SUBSTITUTE(SUBSTITUTE(SUBSTITUTE(C28," ",""),"0",""),"-",""))),1,0))+IF(UPPER(D29)="X",0,IF((LEN(SUBSTITUTE(SUBSTITUTE(SUBSTITUTE(E29," ",""),"0",""),"-",""))+LEN(SUBSTITUTE(SUBSTITUTE(SUBSTITUTE(F29," ",""),"0",""),"-","")))&gt;(LEN(SUBSTITUTE(SUBSTITUTE(SUBSTITUTE(B29," ",""),"0",""),"-",""))+LEN(SUBSTITUTE(SUBSTITUTE(SUBSTITUTE(C29," ",""),"0",""),"-",""))),1,0))+IF(UPPER(D30)="X",0,IF((LEN(SUBSTITUTE(SUBSTITUTE(SUBSTITUTE(E30," ",""),"0",""),"-",""))+LEN(SUBSTITUTE(SUBSTITUTE(SUBSTITUTE(F30," ",""),"0",""),"-","")))&gt;(LEN(SUBSTITUTE(SUBSTITUTE(SUBSTITUTE(B30," ",""),"0",""),"-",""))+LEN(SUBSTITUTE(SUBSTITUTE(SUBSTITUTE(C30," ",""),"0",""),"-",""))),1,0))</f>
      </c>
      <c r="G33" s="14" t="s">
        <v>65</v>
      </c>
      <c r="I33" s="14" t="s">
        <v>65</v>
      </c>
      <c r="J33" s="14" t="str">
        <f>IF(UPPER(L26)="X",0,IF((LEN(SUBSTITUTE(SUBSTITUTE(SUBSTITUTE(J26," ",""),"0",""),"-",""))+LEN(SUBSTITUTE(SUBSTITUTE(SUBSTITUTE(K26," ",""),"0",""),"-","")))&gt;(LEN(SUBSTITUTE(SUBSTITUTE(SUBSTITUTE(M26," ",""),"0",""),"-",""))+LEN(SUBSTITUTE(SUBSTITUTE(SUBSTITUTE(N26," ",""),"0",""),"-",""))),1,0))+IF(UPPER(L27)="X",0,IF((LEN(SUBSTITUTE(SUBSTITUTE(SUBSTITUTE(J27," ",""),"0",""),"-",""))+LEN(SUBSTITUTE(SUBSTITUTE(SUBSTITUTE(K27," ",""),"0",""),"-","")))&gt;(LEN(SUBSTITUTE(SUBSTITUTE(SUBSTITUTE(M27," ",""),"0",""),"-",""))+LEN(SUBSTITUTE(SUBSTITUTE(SUBSTITUTE(N27," ",""),"0",""),"-",""))),1,0))+IF(UPPER(L28)="X",0,IF((LEN(SUBSTITUTE(SUBSTITUTE(SUBSTITUTE(J28," ",""),"0",""),"-",""))+LEN(SUBSTITUTE(SUBSTITUTE(SUBSTITUTE(K28," ",""),"0",""),"-","")))&gt;(LEN(SUBSTITUTE(SUBSTITUTE(SUBSTITUTE(M28," ",""),"0",""),"-",""))+LEN(SUBSTITUTE(SUBSTITUTE(SUBSTITUTE(N28," ",""),"0",""),"-",""))),1,0))+IF(UPPER(L29)="X",0,IF((LEN(SUBSTITUTE(SUBSTITUTE(SUBSTITUTE(J29," ",""),"0",""),"-",""))+LEN(SUBSTITUTE(SUBSTITUTE(SUBSTITUTE(K29," ",""),"0",""),"-","")))&gt;(LEN(SUBSTITUTE(SUBSTITUTE(SUBSTITUTE(M29," ",""),"0",""),"-",""))+LEN(SUBSTITUTE(SUBSTITUTE(SUBSTITUTE(N29," ",""),"0",""),"-",""))),1,0))+IF(UPPER(L30)="X",0,IF((LEN(SUBSTITUTE(SUBSTITUTE(SUBSTITUTE(J30," ",""),"0",""),"-",""))+LEN(SUBSTITUTE(SUBSTITUTE(SUBSTITUTE(K30," ",""),"0",""),"-","")))&gt;(LEN(SUBSTITUTE(SUBSTITUTE(SUBSTITUTE(M30," ",""),"0",""),"-",""))+LEN(SUBSTITUTE(SUBSTITUTE(SUBSTITUTE(N30," ",""),"0",""),"-",""))),1,0))</f>
      </c>
      <c r="K33" s="14" t="str">
        <f>LEN(SUBSTITUTE(SUBSTITUTE(SUBSTITUTE(J26," ",""),"0",""),"-",""))+LEN(SUBSTITUTE(SUBSTITUTE(SUBSTITUTE(K26," ",""),"0",""),"-",""))+LEN(SUBSTITUTE(SUBSTITUTE(SUBSTITUTE(J27," ",""),"0",""),"-",""))+LEN(SUBSTITUTE(SUBSTITUTE(SUBSTITUTE(K27," ",""),"0",""),"-",""))+LEN(SUBSTITUTE(SUBSTITUTE(SUBSTITUTE(J28," ",""),"0",""),"-",""))+LEN(SUBSTITUTE(SUBSTITUTE(SUBSTITUTE(K28," ",""),"0",""),"-",""))+LEN(SUBSTITUTE(SUBSTITUTE(SUBSTITUTE(J29," ",""),"0",""),"-",""))+LEN(SUBSTITUTE(SUBSTITUTE(SUBSTITUTE(K29," ",""),"0",""),"-",""))+LEN(SUBSTITUTE(SUBSTITUTE(SUBSTITUTE(J30," ",""),"0",""),"-",""))+LEN(SUBSTITUTE(SUBSTITUTE(SUBSTITUTE(K30," ",""),"0",""),"-",""))</f>
      </c>
      <c r="L33" s="14"/>
      <c r="M33" s="14" t="str">
        <f>LEN(SUBSTITUTE(SUBSTITUTE(SUBSTITUTE(M26," ",""),"0",""),"-",""))+LEN(SUBSTITUTE(SUBSTITUTE(SUBSTITUTE(N26," ",""),"0",""),"-",""))+LEN(SUBSTITUTE(SUBSTITUTE(SUBSTITUTE(M27," ",""),"0",""),"-",""))+LEN(SUBSTITUTE(SUBSTITUTE(SUBSTITUTE(N27," ",""),"0",""),"-",""))+LEN(SUBSTITUTE(SUBSTITUTE(SUBSTITUTE(M28," ",""),"0",""),"-",""))+LEN(SUBSTITUTE(SUBSTITUTE(SUBSTITUTE(N28," ",""),"0",""),"-",""))+LEN(SUBSTITUTE(SUBSTITUTE(SUBSTITUTE(M29," ",""),"0",""),"-",""))+LEN(SUBSTITUTE(SUBSTITUTE(SUBSTITUTE(N29," ",""),"0",""),"-",""))+LEN(SUBSTITUTE(SUBSTITUTE(SUBSTITUTE(M30," ",""),"0",""),"-",""))+LEN(SUBSTITUTE(SUBSTITUTE(SUBSTITUTE(N30," ",""),"0",""),"-",""))</f>
      </c>
      <c r="N33" s="14" t="str">
        <f>IF(UPPER(L26)="X",0,IF((LEN(SUBSTITUTE(SUBSTITUTE(SUBSTITUTE(M26," ",""),"0",""),"-",""))+LEN(SUBSTITUTE(SUBSTITUTE(SUBSTITUTE(N26," ",""),"0",""),"-","")))&gt;(LEN(SUBSTITUTE(SUBSTITUTE(SUBSTITUTE(J26," ",""),"0",""),"-",""))+LEN(SUBSTITUTE(SUBSTITUTE(SUBSTITUTE(K26," ",""),"0",""),"-",""))),1,0))+IF(UPPER(L27)="X",0,IF((LEN(SUBSTITUTE(SUBSTITUTE(SUBSTITUTE(M27," ",""),"0",""),"-",""))+LEN(SUBSTITUTE(SUBSTITUTE(SUBSTITUTE(N27," ",""),"0",""),"-","")))&gt;(LEN(SUBSTITUTE(SUBSTITUTE(SUBSTITUTE(J27," ",""),"0",""),"-",""))+LEN(SUBSTITUTE(SUBSTITUTE(SUBSTITUTE(K27," ",""),"0",""),"-",""))),1,0))+IF(UPPER(L28)="X",0,IF((LEN(SUBSTITUTE(SUBSTITUTE(SUBSTITUTE(M28," ",""),"0",""),"-",""))+LEN(SUBSTITUTE(SUBSTITUTE(SUBSTITUTE(N28," ",""),"0",""),"-","")))&gt;(LEN(SUBSTITUTE(SUBSTITUTE(SUBSTITUTE(J28," ",""),"0",""),"-",""))+LEN(SUBSTITUTE(SUBSTITUTE(SUBSTITUTE(K28," ",""),"0",""),"-",""))),1,0))+IF(UPPER(L29)="X",0,IF((LEN(SUBSTITUTE(SUBSTITUTE(SUBSTITUTE(M29," ",""),"0",""),"-",""))+LEN(SUBSTITUTE(SUBSTITUTE(SUBSTITUTE(N29," ",""),"0",""),"-","")))&gt;(LEN(SUBSTITUTE(SUBSTITUTE(SUBSTITUTE(J29," ",""),"0",""),"-",""))+LEN(SUBSTITUTE(SUBSTITUTE(SUBSTITUTE(K29," ",""),"0",""),"-",""))),1,0))+IF(UPPER(L30)="X",0,IF((LEN(SUBSTITUTE(SUBSTITUTE(SUBSTITUTE(M30," ",""),"0",""),"-",""))+LEN(SUBSTITUTE(SUBSTITUTE(SUBSTITUTE(N30," ",""),"0",""),"-","")))&gt;(LEN(SUBSTITUTE(SUBSTITUTE(SUBSTITUTE(J30," ",""),"0",""),"-",""))+LEN(SUBSTITUTE(SUBSTITUTE(SUBSTITUTE(K30," ",""),"0",""),"-",""))),1,0))</f>
      </c>
      <c r="O33" s="14" t="s">
        <v>65</v>
      </c>
    </row>
    <row r="36">
      <c r="F36" t="s">
        <v>60</v>
      </c>
      <c r="G36" s="19"/>
      <c r="N36" t="s">
        <v>60</v>
      </c>
      <c r="O36" s="19"/>
    </row>
    <row r="37">
      <c r="F37" t="s">
        <v>61</v>
      </c>
      <c r="G37" s="19"/>
      <c r="N37" t="s">
        <v>61</v>
      </c>
      <c r="O37" s="19"/>
    </row>
    <row r="44">
      <c r="A44" s="13" t="s">
        <v>69</v>
      </c>
      <c r="B44" s="13"/>
      <c r="C44" s="13"/>
      <c r="D44" s="13"/>
      <c r="E44" s="13"/>
      <c r="F44" s="13"/>
      <c r="G44" s="13"/>
    </row>
    <row r="45">
      <c r="A45" s="17" t="s">
        <v>46</v>
      </c>
      <c r="D45" s="14" t="s">
        <v>47</v>
      </c>
      <c r="G45" s="16" t="s">
        <v>48</v>
      </c>
    </row>
    <row r="46">
      <c r="A46" s="14" t="str">
        <f>CONCATENATE("M 4 ",O36)</f>
      </c>
      <c r="B46" s="14"/>
      <c r="C46" s="14"/>
      <c r="D46" s="18"/>
      <c r="E46" s="14"/>
      <c r="F46" s="14"/>
      <c r="G46" s="14" t="str">
        <f>CONCATENATE("M 3 ",G36)</f>
      </c>
    </row>
    <row r="47">
      <c r="A47" s="14">
        <v>1</v>
      </c>
      <c r="B47" s="18"/>
      <c r="C47" s="18"/>
      <c r="D47" s="18"/>
      <c r="E47" s="18"/>
      <c r="F47" s="18"/>
      <c r="G47" s="14">
        <v>1</v>
      </c>
    </row>
    <row r="48">
      <c r="A48" s="14">
        <v>2</v>
      </c>
      <c r="B48" s="18"/>
      <c r="C48" s="18"/>
      <c r="D48" s="18"/>
      <c r="E48" s="18"/>
      <c r="F48" s="18"/>
      <c r="G48" s="14">
        <v>2</v>
      </c>
    </row>
    <row r="49">
      <c r="A49" s="14">
        <v>3</v>
      </c>
      <c r="B49" s="18"/>
      <c r="C49" s="18"/>
      <c r="D49" s="18"/>
      <c r="E49" s="18"/>
      <c r="F49" s="18"/>
      <c r="G49" s="14">
        <v>3</v>
      </c>
    </row>
    <row r="50">
      <c r="A50" s="14">
        <v>4</v>
      </c>
      <c r="B50" s="18"/>
      <c r="C50" s="18"/>
      <c r="D50" s="18"/>
      <c r="E50" s="18"/>
      <c r="F50" s="18"/>
      <c r="G50" s="14">
        <v>4</v>
      </c>
    </row>
    <row r="51">
      <c r="A51" s="14">
        <v>5</v>
      </c>
      <c r="B51" s="18"/>
      <c r="C51" s="18"/>
      <c r="D51" s="18"/>
      <c r="E51" s="18"/>
      <c r="F51" s="18"/>
      <c r="G51" s="14">
        <v>5</v>
      </c>
    </row>
    <row r="53">
      <c r="A53" s="14" t="str">
        <f>CONCATENATE("M 4 ",O36)</f>
      </c>
      <c r="B53" s="14" t="s">
        <v>54</v>
      </c>
      <c r="C53" s="14" t="s">
        <v>57</v>
      </c>
      <c r="D53" s="14"/>
      <c r="E53" s="14" t="s">
        <v>57</v>
      </c>
      <c r="F53" s="14" t="s">
        <v>54</v>
      </c>
      <c r="G53" s="14" t="str">
        <f>CONCATENATE("M 3 ",G36)</f>
      </c>
    </row>
    <row r="54">
      <c r="A54" s="14" t="s">
        <v>65</v>
      </c>
      <c r="B54" s="14" t="str">
        <f>IF(UPPER(D47)="X",0,IF((LEN(SUBSTITUTE(SUBSTITUTE(SUBSTITUTE(B47," ",""),"0",""),"-",""))+LEN(SUBSTITUTE(SUBSTITUTE(SUBSTITUTE(C47," ",""),"0",""),"-","")))&gt;(LEN(SUBSTITUTE(SUBSTITUTE(SUBSTITUTE(E47," ",""),"0",""),"-",""))+LEN(SUBSTITUTE(SUBSTITUTE(SUBSTITUTE(F47," ",""),"0",""),"-",""))),1,0))+IF(UPPER(D48)="X",0,IF((LEN(SUBSTITUTE(SUBSTITUTE(SUBSTITUTE(B48," ",""),"0",""),"-",""))+LEN(SUBSTITUTE(SUBSTITUTE(SUBSTITUTE(C48," ",""),"0",""),"-","")))&gt;(LEN(SUBSTITUTE(SUBSTITUTE(SUBSTITUTE(E48," ",""),"0",""),"-",""))+LEN(SUBSTITUTE(SUBSTITUTE(SUBSTITUTE(F48," ",""),"0",""),"-",""))),1,0))+IF(UPPER(D49)="X",0,IF((LEN(SUBSTITUTE(SUBSTITUTE(SUBSTITUTE(B49," ",""),"0",""),"-",""))+LEN(SUBSTITUTE(SUBSTITUTE(SUBSTITUTE(C49," ",""),"0",""),"-","")))&gt;(LEN(SUBSTITUTE(SUBSTITUTE(SUBSTITUTE(E49," ",""),"0",""),"-",""))+LEN(SUBSTITUTE(SUBSTITUTE(SUBSTITUTE(F49," ",""),"0",""),"-",""))),1,0))+IF(UPPER(D50)="X",0,IF((LEN(SUBSTITUTE(SUBSTITUTE(SUBSTITUTE(B50," ",""),"0",""),"-",""))+LEN(SUBSTITUTE(SUBSTITUTE(SUBSTITUTE(C50," ",""),"0",""),"-","")))&gt;(LEN(SUBSTITUTE(SUBSTITUTE(SUBSTITUTE(E50," ",""),"0",""),"-",""))+LEN(SUBSTITUTE(SUBSTITUTE(SUBSTITUTE(F50," ",""),"0",""),"-",""))),1,0))+IF(UPPER(D51)="X",0,IF((LEN(SUBSTITUTE(SUBSTITUTE(SUBSTITUTE(B51," ",""),"0",""),"-",""))+LEN(SUBSTITUTE(SUBSTITUTE(SUBSTITUTE(C51," ",""),"0",""),"-","")))&gt;(LEN(SUBSTITUTE(SUBSTITUTE(SUBSTITUTE(E51," ",""),"0",""),"-",""))+LEN(SUBSTITUTE(SUBSTITUTE(SUBSTITUTE(F51," ",""),"0",""),"-",""))),1,0))</f>
      </c>
      <c r="C54" s="14" t="str">
        <f>LEN(SUBSTITUTE(SUBSTITUTE(SUBSTITUTE(B47," ",""),"0",""),"-",""))+LEN(SUBSTITUTE(SUBSTITUTE(SUBSTITUTE(C47," ",""),"0",""),"-",""))+LEN(SUBSTITUTE(SUBSTITUTE(SUBSTITUTE(B48," ",""),"0",""),"-",""))+LEN(SUBSTITUTE(SUBSTITUTE(SUBSTITUTE(C48," ",""),"0",""),"-",""))+LEN(SUBSTITUTE(SUBSTITUTE(SUBSTITUTE(B49," ",""),"0",""),"-",""))+LEN(SUBSTITUTE(SUBSTITUTE(SUBSTITUTE(C49," ",""),"0",""),"-",""))+LEN(SUBSTITUTE(SUBSTITUTE(SUBSTITUTE(B50," ",""),"0",""),"-",""))+LEN(SUBSTITUTE(SUBSTITUTE(SUBSTITUTE(C50," ",""),"0",""),"-",""))+LEN(SUBSTITUTE(SUBSTITUTE(SUBSTITUTE(B51," ",""),"0",""),"-",""))+LEN(SUBSTITUTE(SUBSTITUTE(SUBSTITUTE(C51," ",""),"0",""),"-",""))</f>
      </c>
      <c r="D54" s="14"/>
      <c r="E54" s="14" t="str">
        <f>LEN(SUBSTITUTE(SUBSTITUTE(SUBSTITUTE(E47," ",""),"0",""),"-",""))+LEN(SUBSTITUTE(SUBSTITUTE(SUBSTITUTE(F47," ",""),"0",""),"-",""))+LEN(SUBSTITUTE(SUBSTITUTE(SUBSTITUTE(E48," ",""),"0",""),"-",""))+LEN(SUBSTITUTE(SUBSTITUTE(SUBSTITUTE(F48," ",""),"0",""),"-",""))+LEN(SUBSTITUTE(SUBSTITUTE(SUBSTITUTE(E49," ",""),"0",""),"-",""))+LEN(SUBSTITUTE(SUBSTITUTE(SUBSTITUTE(F49," ",""),"0",""),"-",""))+LEN(SUBSTITUTE(SUBSTITUTE(SUBSTITUTE(E50," ",""),"0",""),"-",""))+LEN(SUBSTITUTE(SUBSTITUTE(SUBSTITUTE(F50," ",""),"0",""),"-",""))+LEN(SUBSTITUTE(SUBSTITUTE(SUBSTITUTE(E51," ",""),"0",""),"-",""))+LEN(SUBSTITUTE(SUBSTITUTE(SUBSTITUTE(F51," ",""),"0",""),"-",""))</f>
      </c>
      <c r="F54" s="14" t="str">
        <f>IF(UPPER(D47)="X",0,IF((LEN(SUBSTITUTE(SUBSTITUTE(SUBSTITUTE(E47," ",""),"0",""),"-",""))+LEN(SUBSTITUTE(SUBSTITUTE(SUBSTITUTE(F47," ",""),"0",""),"-","")))&gt;(LEN(SUBSTITUTE(SUBSTITUTE(SUBSTITUTE(B47," ",""),"0",""),"-",""))+LEN(SUBSTITUTE(SUBSTITUTE(SUBSTITUTE(C47," ",""),"0",""),"-",""))),1,0))+IF(UPPER(D48)="X",0,IF((LEN(SUBSTITUTE(SUBSTITUTE(SUBSTITUTE(E48," ",""),"0",""),"-",""))+LEN(SUBSTITUTE(SUBSTITUTE(SUBSTITUTE(F48," ",""),"0",""),"-","")))&gt;(LEN(SUBSTITUTE(SUBSTITUTE(SUBSTITUTE(B48," ",""),"0",""),"-",""))+LEN(SUBSTITUTE(SUBSTITUTE(SUBSTITUTE(C48," ",""),"0",""),"-",""))),1,0))+IF(UPPER(D49)="X",0,IF((LEN(SUBSTITUTE(SUBSTITUTE(SUBSTITUTE(E49," ",""),"0",""),"-",""))+LEN(SUBSTITUTE(SUBSTITUTE(SUBSTITUTE(F49," ",""),"0",""),"-","")))&gt;(LEN(SUBSTITUTE(SUBSTITUTE(SUBSTITUTE(B49," ",""),"0",""),"-",""))+LEN(SUBSTITUTE(SUBSTITUTE(SUBSTITUTE(C49," ",""),"0",""),"-",""))),1,0))+IF(UPPER(D50)="X",0,IF((LEN(SUBSTITUTE(SUBSTITUTE(SUBSTITUTE(E50," ",""),"0",""),"-",""))+LEN(SUBSTITUTE(SUBSTITUTE(SUBSTITUTE(F50," ",""),"0",""),"-","")))&gt;(LEN(SUBSTITUTE(SUBSTITUTE(SUBSTITUTE(B50," ",""),"0",""),"-",""))+LEN(SUBSTITUTE(SUBSTITUTE(SUBSTITUTE(C50," ",""),"0",""),"-",""))),1,0))+IF(UPPER(D51)="X",0,IF((LEN(SUBSTITUTE(SUBSTITUTE(SUBSTITUTE(E51," ",""),"0",""),"-",""))+LEN(SUBSTITUTE(SUBSTITUTE(SUBSTITUTE(F51," ",""),"0",""),"-","")))&gt;(LEN(SUBSTITUTE(SUBSTITUTE(SUBSTITUTE(B51," ",""),"0",""),"-",""))+LEN(SUBSTITUTE(SUBSTITUTE(SUBSTITUTE(C51," ",""),"0",""),"-",""))),1,0))</f>
      </c>
      <c r="G54" s="14" t="s">
        <v>65</v>
      </c>
    </row>
    <row r="57">
      <c r="F57" t="s">
        <v>60</v>
      </c>
      <c r="G57" s="19"/>
    </row>
    <row r="58">
      <c r="F58" t="s">
        <v>61</v>
      </c>
      <c r="G58" s="19"/>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7">
    <mergeCell ref="A1:G1"/>
    <mergeCell ref="I1:O1"/>
    <mergeCell ref="A2:G2"/>
    <mergeCell ref="I2:O2"/>
    <mergeCell ref="A23:G23"/>
    <mergeCell ref="I23:O23"/>
    <mergeCell ref="A44:G44"/>
  </mergeCells>
  <printOptions horizontalCentered="true" verticalCentered="true"/>
  <pageSetup fitToHeight="0" fitToWidth="2" orientation="portrait" pageOrder="downThenOver" paperSize="9"/>
  <rowBreaks count="1" manualBreakCount="1">
    <brk id="43" max="16383" man="true"/>
  </rowBreaks>
  <colBreaks count="1" manualBreakCount="1">
    <brk id="8" max="1048575" man="true"/>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A",data!$B$1&amp;" - Shiaijo A")</f>
      </c>
      <c r="B1" s="13"/>
      <c r="C1" s="13"/>
      <c r="D1" s="13"/>
      <c r="E1" s="13"/>
      <c r="F1" s="13"/>
      <c r="G1" s="13"/>
    </row>
    <row r="4">
      <c r="A4" s="24" t="str">
        <f>'data'!$A$6</f>
      </c>
    </row>
    <row r="5">
      <c r="A5" s="25" t="str">
        <f>data!$D$3&amp;" "&amp;data!$B$3</f>
      </c>
    </row>
    <row r="6">
      <c r="A6" s="26" t="str">
        <f>data!$D$4&amp;" "&amp;data!$B$4</f>
      </c>
      <c r="C6" s="23"/>
      <c r="D6" s="23"/>
      <c r="E6" s="23" t="str">
        <f>CONCATENATE("Pool A-1st ",'Pool Matches'!G66)</f>
      </c>
    </row>
    <row r="7">
      <c r="A7" s="26" t="str">
        <f>data!$D$5&amp;" "&amp;data!$B$5</f>
      </c>
      <c r="F7" s="22"/>
      <c r="G7" s="20"/>
    </row>
    <row r="8">
      <c r="A8" s="27" t="str">
        <f>data!$D$6&amp;" "&amp;data!$B$6</f>
      </c>
      <c r="G8" s="21">
        <v>3</v>
      </c>
    </row>
    <row r="9">
      <c r="A9" s="22"/>
      <c r="C9" s="23" t="str">
        <f>CONCATENATE("Pool B-1st ",'Pool Matches'!G109)</f>
      </c>
      <c r="G9" s="20"/>
    </row>
    <row r="10">
      <c r="A10" s="24" t="str">
        <f>'data'!$A$9</f>
      </c>
      <c r="D10" s="22"/>
      <c r="E10" s="21">
        <v>1</v>
      </c>
      <c r="F10" s="15"/>
      <c r="G10" s="20"/>
    </row>
    <row r="11">
      <c r="A11" s="25" t="str">
        <f>data!$D$7&amp;" "&amp;data!$B$7</f>
      </c>
      <c r="C11" s="23" t="str">
        <f>CONCATENATE("Pool C-2nd ",'Pool Matches'!O65)</f>
      </c>
      <c r="D11" s="15"/>
      <c r="E11" s="20"/>
    </row>
    <row r="12">
      <c r="A12" s="26" t="str">
        <f>data!$D$8&amp;" "&amp;data!$B$8</f>
      </c>
    </row>
    <row r="13">
      <c r="A13" s="27" t="str">
        <f>data!$D$9&amp;" "&amp;data!$B$9</f>
      </c>
    </row>
    <row r="14">
      <c r="A14"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G1"/>
  </mergeCells>
  <printOptions horizontalCentered="true" verticalCentered="true"/>
  <pageSetup fitToHeight="0" fitToWidth="1" orientation="portrait" paperSize="9"/>
</worksheet>
</file>

<file path=xl/worksheets/sheet9.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B",data!$B$1&amp;" - Shiaijo B")</f>
      </c>
      <c r="B1" s="13"/>
      <c r="C1" s="13"/>
      <c r="D1" s="13"/>
      <c r="E1" s="13"/>
      <c r="F1" s="13"/>
      <c r="G1" s="13"/>
    </row>
    <row r="4">
      <c r="A4" s="24" t="str">
        <f>'data'!$A$12</f>
      </c>
    </row>
    <row r="5">
      <c r="A5" s="25" t="str">
        <f>data!$D$10&amp;" "&amp;data!$B$10</f>
      </c>
    </row>
    <row r="6">
      <c r="A6" s="26" t="str">
        <f>data!$D$11&amp;" "&amp;data!$B$11</f>
      </c>
      <c r="C6" s="23"/>
      <c r="D6" s="23"/>
      <c r="E6" s="23" t="str">
        <f>CONCATENATE("Pool C-1st ",'Pool Matches'!O64)</f>
      </c>
    </row>
    <row r="7">
      <c r="A7" s="27" t="str">
        <f>data!$D$12&amp;" "&amp;data!$B$12</f>
      </c>
      <c r="F7" s="22"/>
      <c r="G7" s="20"/>
    </row>
    <row r="8">
      <c r="A8" s="22"/>
      <c r="G8" s="21">
        <v>4</v>
      </c>
    </row>
    <row r="9">
      <c r="C9" s="23" t="str">
        <f>CONCATENATE("Pool A-2nd ",'Pool Matches'!G67)</f>
      </c>
      <c r="G9" s="20"/>
    </row>
    <row r="10">
      <c r="D10" s="22"/>
      <c r="E10" s="21">
        <v>2</v>
      </c>
      <c r="F10" s="15"/>
      <c r="G10" s="20"/>
    </row>
    <row r="11">
      <c r="C11" s="23" t="str">
        <f>CONCATENATE("Pool B-2nd ",'Pool Matches'!G110)</f>
      </c>
      <c r="D11" s="15"/>
      <c r="E11" s="20"/>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G1"/>
  </mergeCells>
  <printOptions horizontalCentered="true" verticalCentered="true"/>
  <pageSetup fitToHeight="0" fitToWidth="1" orientation="portrait" paperSize="9"/>
</worksheet>
</file>

<file path=xl/worksheets/sheet10.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'data'!$D$3</f>
      </c>
      <c r="B1" s="29" t="str">
        <f>'data'!$B$3</f>
      </c>
    </row>
    <row r="2" ht="270" customHeight="true">
      <c r="A2" s="28" t="str">
        <f>'data'!$D$4</f>
      </c>
      <c r="B2" s="29" t="str">
        <f>'data'!$B$4</f>
      </c>
    </row>
    <row r="3" ht="270" customHeight="true">
      <c r="A3" s="28" t="str">
        <f>'data'!$D$5</f>
      </c>
      <c r="B3" s="29" t="str">
        <f>'data'!$B$5</f>
      </c>
    </row>
    <row r="4" ht="270" customHeight="true">
      <c r="A4" s="28" t="str">
        <f>'data'!$D$6</f>
      </c>
      <c r="B4" s="29" t="str">
        <f>'data'!$B$6</f>
      </c>
    </row>
    <row r="5" ht="270" customHeight="true">
      <c r="A5" s="28" t="str">
        <f>'data'!$D$7</f>
      </c>
      <c r="B5" s="29" t="str">
        <f>'data'!$B$7</f>
      </c>
    </row>
    <row r="6" ht="270" customHeight="true">
      <c r="A6" s="28" t="str">
        <f>'data'!$D$8</f>
      </c>
      <c r="B6" s="29" t="str">
        <f>'data'!$B$8</f>
      </c>
    </row>
    <row r="7" ht="270" customHeight="true">
      <c r="A7" s="28" t="str">
        <f>'data'!$D$9</f>
      </c>
      <c r="B7" s="29" t="str">
        <f>'data'!$B$9</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2" manualBreakCount="2">
    <brk id="3" max="16383" man="true"/>
    <brk id="6" max="16383" man="true"/>
  </rowBreaks>
  <colBreaks/>
</worksheet>
</file>

<file path=xl/worksheets/sheet11.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'data'!$D$10</f>
      </c>
      <c r="B1" s="29" t="str">
        <f>'data'!$B$10</f>
      </c>
    </row>
    <row r="2" ht="270" customHeight="true">
      <c r="A2" s="28" t="str">
        <f>'data'!$D$11</f>
      </c>
      <c r="B2" s="29" t="str">
        <f>'data'!$B$11</f>
      </c>
    </row>
    <row r="3" ht="270" customHeight="true">
      <c r="A3" s="28" t="str">
        <f>'data'!$D$12</f>
      </c>
      <c r="B3" s="29" t="str">
        <f>'data'!$B$12</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1" manualBreakCount="1">
    <brk id="3" max="16383" man="true"/>
  </rowBreaks>
  <colBreaks/>
</worksheet>
</file>

<file path=xl/worksheets/sheet12.xml><?xml version="1.0" encoding="utf-8"?>
<worksheet xmlns="http://schemas.openxmlformats.org/spreadsheetml/2006/main">
  <dimension ref="A1"/>
  <sheetViews>
    <sheetView tabSelected="true" workbookViewId="0"/>
  </sheetViews>
  <cols>
    <col customWidth="true" max="1" min="1" width="88"/>
  </cols>
  <sheetData>
    <row r="1" ht="409" customHeight="true">
      <c r="A1" s="30" t="s">
        <v>19</v>
      </c>
    </row>
    <row r="2" ht="409" customHeight="true">
      <c r="A2" s="30" t="s">
        <v>19</v>
      </c>
    </row>
    <row r="3" ht="409" customHeight="true">
      <c r="A3" s="30" t="s">
        <v>22</v>
      </c>
    </row>
    <row r="4" ht="409" customHeight="true">
      <c r="A4" s="30" t="s">
        <v>22</v>
      </c>
    </row>
    <row r="5" ht="409" customHeight="true">
      <c r="A5" s="30" t="s">
        <v>25</v>
      </c>
    </row>
    <row r="6" ht="409" customHeight="true">
      <c r="A6" s="30" t="s">
        <v>25</v>
      </c>
    </row>
    <row r="7" ht="409" customHeight="true">
      <c r="A7" s="30" t="s">
        <v>28</v>
      </c>
    </row>
    <row r="8" ht="409" customHeight="true">
      <c r="A8" s="30" t="s">
        <v>28</v>
      </c>
    </row>
    <row r="9" ht="409" customHeight="true">
      <c r="A9" s="30" t="s">
        <v>31</v>
      </c>
    </row>
    <row r="10" ht="409" customHeight="true">
      <c r="A10" s="30" t="s">
        <v>31</v>
      </c>
    </row>
    <row r="11" ht="409" customHeight="true">
      <c r="A11" s="30" t="s">
        <v>33</v>
      </c>
    </row>
    <row r="12" ht="409" customHeight="true">
      <c r="A12" s="30" t="s">
        <v>33</v>
      </c>
    </row>
    <row r="13" ht="409" customHeight="true">
      <c r="A13" s="30" t="s">
        <v>36</v>
      </c>
    </row>
    <row r="14" ht="409" customHeight="true">
      <c r="A14" s="30" t="s">
        <v>36</v>
      </c>
    </row>
    <row r="15" ht="409" customHeight="true">
      <c r="A15" s="30" t="s">
        <v>39</v>
      </c>
    </row>
    <row r="16" ht="409" customHeight="true">
      <c r="A16" s="30" t="s">
        <v>39</v>
      </c>
    </row>
    <row r="17" ht="409" customHeight="true">
      <c r="A17" s="30" t="s">
        <v>41</v>
      </c>
    </row>
    <row r="18" ht="409" customHeight="true">
      <c r="A18" s="30" t="s">
        <v>41</v>
      </c>
    </row>
    <row r="19" ht="409" customHeight="true">
      <c r="A19" s="30" t="s">
        <v>43</v>
      </c>
    </row>
    <row r="20" ht="409" customHeight="true">
      <c r="A20" s="30" t="s">
        <v>43</v>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portrait" paperSize="9"/>
  <rowBreaks count="10" manualBreakCount="10">
    <brk id="2" max="16383" man="true"/>
    <brk id="4" max="16383" man="true"/>
    <brk id="6" max="16383" man="true"/>
    <brk id="8" max="16383" man="true"/>
    <brk id="10" max="16383" man="true"/>
    <brk id="12" max="16383" man="true"/>
    <brk id="14" max="16383" man="true"/>
    <brk id="16" max="16383" man="true"/>
    <brk id="18" max="16383" man="true"/>
    <brk id="20"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