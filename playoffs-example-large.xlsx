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ime Estimator" sheetId="2" r:id="rId4"/>
    <sheet name="Elimination Matches" sheetId="5" r:id="rId7"/>
    <sheet name="Tree 1" sheetId="8" r:id="rId11"/>
    <sheet name="Tree 2" sheetId="9" r:id="rId12"/>
    <sheet name="Tree 3" sheetId="10" r:id="rId13"/>
    <sheet name="Tree 4" sheetId="11" r:id="rId14"/>
    <sheet name="Tree 5" sheetId="12" r:id="rId15"/>
    <sheet name="Tree 6" sheetId="13" r:id="rId16"/>
    <sheet name="Tree 7" sheetId="14" r:id="rId17"/>
    <sheet name="Tree 8" sheetId="15" r:id="rId18"/>
    <sheet name="Names to Print A" sheetId="16" r:id="rId19"/>
    <sheet name="Names to Print B" sheetId="17" r:id="rId20"/>
  </sheets>
  <definedNames>
    <definedName localSheetId="3" name="_xlnm.Print_Area">'Tree 1'!$A$1:$K$35</definedName>
    <definedName localSheetId="4" name="_xlnm.Print_Area">'Tree 2'!$A$1:$K$35</definedName>
    <definedName localSheetId="5" name="_xlnm.Print_Area">'Tree 3'!$A$1:$K$35</definedName>
    <definedName localSheetId="6" name="_xlnm.Print_Area">'Tree 4'!$A$1:$K$35</definedName>
    <definedName localSheetId="7" name="_xlnm.Print_Area">'Tree 5'!$A$1:$K$35</definedName>
    <definedName localSheetId="8" name="_xlnm.Print_Area">'Tree 6'!$A$1:$K$35</definedName>
    <definedName localSheetId="9" name="_xlnm.Print_Area">'Tree 7'!$A$1:$K$35</definedName>
    <definedName localSheetId="10" name="_xlnm.Print_Area">'Tree 8'!$A$1:$K$35</definedName>
    <definedName localSheetId="11" name="_xlnm.Print_Area">'Names to Print A'!$A$1:$B$46</definedName>
    <definedName localSheetId="12" name="_xlnm.Print_Area">'Names to Print B'!$A$1:$B$45</definedName>
    <definedName localSheetId="2" name="_xlnm.Print_Area">'Elimination Matches'!$A$1:$P$404</definedName>
  </definedNames>
  <calcPr calcId="122211"/>
</workbook>
</file>

<file path=xl/sharedStrings.xml><?xml version="1.0" encoding="utf-8"?>
<sst xmlns="http://schemas.openxmlformats.org/spreadsheetml/2006/main" count="402" uniqueCount="402">
  <si>
    <t>Number of pools</t>
  </si>
  <si>
    <t>Team size</t>
  </si>
  <si>
    <t>Matches per pool</t>
  </si>
  <si>
    <t>Time per match</t>
  </si>
  <si>
    <t>Total time for matches</t>
  </si>
  <si>
    <t>Padding time for rotation</t>
  </si>
  <si>
    <t>Time for breaks</t>
  </si>
  <si>
    <t>Total Time</t>
  </si>
  <si>
    <t>Number of Elimination Matches</t>
  </si>
  <si>
    <t>Title prefix:</t>
  </si>
  <si>
    <t/>
  </si>
  <si>
    <t>Entry order</t>
  </si>
  <si>
    <t>Player Name</t>
  </si>
  <si>
    <t>Player Dojo</t>
  </si>
  <si>
    <t>Display Name</t>
  </si>
  <si>
    <t>Player Number</t>
  </si>
  <si>
    <t>Metadata</t>
  </si>
  <si>
    <t>Kaden Martin</t>
  </si>
  <si>
    <t>Team Alpha</t>
  </si>
  <si>
    <t>MARTIN</t>
  </si>
  <si>
    <t>K1</t>
  </si>
  <si>
    <t>Hudson Jackson</t>
  </si>
  <si>
    <t>Team Theta</t>
  </si>
  <si>
    <t>JACKSON</t>
  </si>
  <si>
    <t>K2</t>
  </si>
  <si>
    <t>Isaac White</t>
  </si>
  <si>
    <t>Team Iota</t>
  </si>
  <si>
    <t>WHITE</t>
  </si>
  <si>
    <t>K3</t>
  </si>
  <si>
    <t>Jackson Harris</t>
  </si>
  <si>
    <t>Team Kappa</t>
  </si>
  <si>
    <t>HARRIS</t>
  </si>
  <si>
    <t>K4</t>
  </si>
  <si>
    <t>Quirinus Quirrell</t>
  </si>
  <si>
    <t>Team Rho</t>
  </si>
  <si>
    <t>QUIRRELL</t>
  </si>
  <si>
    <t>K5</t>
  </si>
  <si>
    <t>Katniss Everdeen</t>
  </si>
  <si>
    <t>Team Lambda</t>
  </si>
  <si>
    <t>EVERDEEN</t>
  </si>
  <si>
    <t>K6</t>
  </si>
  <si>
    <t>Quentin Allen</t>
  </si>
  <si>
    <t>Team Beta</t>
  </si>
  <si>
    <t>ALLEN</t>
  </si>
  <si>
    <t>K7</t>
  </si>
  <si>
    <t>Robert Young</t>
  </si>
  <si>
    <t>Team Gamma</t>
  </si>
  <si>
    <t>YOUNG</t>
  </si>
  <si>
    <t>K8</t>
  </si>
  <si>
    <t>Steven Hernandez</t>
  </si>
  <si>
    <t>Team Delta</t>
  </si>
  <si>
    <t>HERNANDEZ</t>
  </si>
  <si>
    <t>K9</t>
  </si>
  <si>
    <t>Thomas King</t>
  </si>
  <si>
    <t>Team Epsilon</t>
  </si>
  <si>
    <t>KING</t>
  </si>
  <si>
    <t>K10</t>
  </si>
  <si>
    <t>Uriel Wright</t>
  </si>
  <si>
    <t>WRIGHT</t>
  </si>
  <si>
    <t>K11</t>
  </si>
  <si>
    <t>Ray Bradbury</t>
  </si>
  <si>
    <t>Team Sigma</t>
  </si>
  <si>
    <t>BRADBURY</t>
  </si>
  <si>
    <t>K12</t>
  </si>
  <si>
    <t>Sylvia Plath</t>
  </si>
  <si>
    <t>Team Tau</t>
  </si>
  <si>
    <t>PLATH</t>
  </si>
  <si>
    <t>K13</t>
  </si>
  <si>
    <t>Tyrion Lannister</t>
  </si>
  <si>
    <t>Team Upsilon</t>
  </si>
  <si>
    <t>LANNISTER</t>
  </si>
  <si>
    <t>K14</t>
  </si>
  <si>
    <t>Ursula K Le Guin</t>
  </si>
  <si>
    <t>Team Phi</t>
  </si>
  <si>
    <t>LE GUIN</t>
  </si>
  <si>
    <t>K15</t>
  </si>
  <si>
    <t>Quinn Walker</t>
  </si>
  <si>
    <t>Team Eta</t>
  </si>
  <si>
    <t>WALKER</t>
  </si>
  <si>
    <t>K16</t>
  </si>
  <si>
    <t>Aaron Thompson</t>
  </si>
  <si>
    <t>THOMPSON</t>
  </si>
  <si>
    <t>K17</t>
  </si>
  <si>
    <t>Benjamin Evans</t>
  </si>
  <si>
    <t>EVANS</t>
  </si>
  <si>
    <t>K18</t>
  </si>
  <si>
    <t>Caleb Wilson</t>
  </si>
  <si>
    <t>WILSON</t>
  </si>
  <si>
    <t>K19</t>
  </si>
  <si>
    <t>Dylan Moore</t>
  </si>
  <si>
    <t>MOORE</t>
  </si>
  <si>
    <t>K20</t>
  </si>
  <si>
    <t>Elijah Taylor</t>
  </si>
  <si>
    <t>TAYLOR</t>
  </si>
  <si>
    <t>K21</t>
  </si>
  <si>
    <t>Finn Anderson</t>
  </si>
  <si>
    <t>Team Zeta</t>
  </si>
  <si>
    <t>ANDERSON</t>
  </si>
  <si>
    <t>K22</t>
  </si>
  <si>
    <t>Gabriel Thomas</t>
  </si>
  <si>
    <t>THOMAS</t>
  </si>
  <si>
    <t>K23</t>
  </si>
  <si>
    <t>Neville Longbottom</t>
  </si>
  <si>
    <t>Team Xi</t>
  </si>
  <si>
    <t>LONGBOTTOM</t>
  </si>
  <si>
    <t>K24</t>
  </si>
  <si>
    <t>Oscar Wilde</t>
  </si>
  <si>
    <t>Team Omicron</t>
  </si>
  <si>
    <t>WILDE</t>
  </si>
  <si>
    <t>K25</t>
  </si>
  <si>
    <t>Philip K Dick</t>
  </si>
  <si>
    <t>Team Pi</t>
  </si>
  <si>
    <t>DICK</t>
  </si>
  <si>
    <t>K26</t>
  </si>
  <si>
    <t>Mary Shelley</t>
  </si>
  <si>
    <t>Team Nu</t>
  </si>
  <si>
    <t>SHELLEY</t>
  </si>
  <si>
    <t>K27</t>
  </si>
  <si>
    <t>Liam Thompson</t>
  </si>
  <si>
    <t>K28</t>
  </si>
  <si>
    <t>Mason Martinez</t>
  </si>
  <si>
    <t>MARTINEZ</t>
  </si>
  <si>
    <t>K29</t>
  </si>
  <si>
    <t>Nolan Clark</t>
  </si>
  <si>
    <t>CLARK</t>
  </si>
  <si>
    <t>K30</t>
  </si>
  <si>
    <t>Owen Rodriguez</t>
  </si>
  <si>
    <t>RODRIGUEZ</t>
  </si>
  <si>
    <t>K31</t>
  </si>
  <si>
    <t>Parker Lewis</t>
  </si>
  <si>
    <t>LEWIS</t>
  </si>
  <si>
    <t>K32</t>
  </si>
  <si>
    <t>Zachary Adams</t>
  </si>
  <si>
    <t>ADAMS</t>
  </si>
  <si>
    <t>K33</t>
  </si>
  <si>
    <t>Ryan Hall</t>
  </si>
  <si>
    <t>HALL</t>
  </si>
  <si>
    <t>K34</t>
  </si>
  <si>
    <t>Sebastian Allen</t>
  </si>
  <si>
    <t>K35</t>
  </si>
  <si>
    <t>Tristan Young</t>
  </si>
  <si>
    <t>K36</t>
  </si>
  <si>
    <t>Ulysses Hernandez</t>
  </si>
  <si>
    <t>K37</t>
  </si>
  <si>
    <t>Voldemort</t>
  </si>
  <si>
    <t>Team Chi</t>
  </si>
  <si>
    <t>VOLDEMORT</t>
  </si>
  <si>
    <t>K38</t>
  </si>
  <si>
    <t>Willy Wonka</t>
  </si>
  <si>
    <t>Team Psi</t>
  </si>
  <si>
    <t>WONKA</t>
  </si>
  <si>
    <t>K39</t>
  </si>
  <si>
    <t>Lewis Carroll</t>
  </si>
  <si>
    <t>Team Mu</t>
  </si>
  <si>
    <t>CARROLL</t>
  </si>
  <si>
    <t>K40</t>
  </si>
  <si>
    <t>Yosef Hill</t>
  </si>
  <si>
    <t>HILL</t>
  </si>
  <si>
    <t>K41</t>
  </si>
  <si>
    <t>Arthur Conan</t>
  </si>
  <si>
    <t>CONAN</t>
  </si>
  <si>
    <t>K42</t>
  </si>
  <si>
    <t>Bram Stoker</t>
  </si>
  <si>
    <t>STOKER</t>
  </si>
  <si>
    <t>K43</t>
  </si>
  <si>
    <t>Charles Dickens</t>
  </si>
  <si>
    <t>DICKENS</t>
  </si>
  <si>
    <t>K44</t>
  </si>
  <si>
    <t>Daniel Defoe</t>
  </si>
  <si>
    <t>DEFOE</t>
  </si>
  <si>
    <t>K45</t>
  </si>
  <si>
    <t>Victor Lopez</t>
  </si>
  <si>
    <t>LOPEZ</t>
  </si>
  <si>
    <t>K46</t>
  </si>
  <si>
    <t>Yosef Green</t>
  </si>
  <si>
    <t>GREEN</t>
  </si>
  <si>
    <t>K47</t>
  </si>
  <si>
    <t>George Orwell</t>
  </si>
  <si>
    <t>ORWELL</t>
  </si>
  <si>
    <t>K48</t>
  </si>
  <si>
    <t>Herman Melville</t>
  </si>
  <si>
    <t>MELVILLE</t>
  </si>
  <si>
    <t>K49</t>
  </si>
  <si>
    <t>Isaac Asimov</t>
  </si>
  <si>
    <t>ASIMOV</t>
  </si>
  <si>
    <t>K50</t>
  </si>
  <si>
    <t>Jane Austen</t>
  </si>
  <si>
    <t>AUSTEN</t>
  </si>
  <si>
    <t>K51</t>
  </si>
  <si>
    <t>Kurt Vonnegut</t>
  </si>
  <si>
    <t>VONNEGUT</t>
  </si>
  <si>
    <t>K52</t>
  </si>
  <si>
    <t>Xavier Lopez</t>
  </si>
  <si>
    <t>K53</t>
  </si>
  <si>
    <t>Kevin Clark</t>
  </si>
  <si>
    <t>K54</t>
  </si>
  <si>
    <t>Nathaniel Hawthorne</t>
  </si>
  <si>
    <t>HAWTHORNE</t>
  </si>
  <si>
    <t>K55</t>
  </si>
  <si>
    <t>Michael Lewis</t>
  </si>
  <si>
    <t>K56</t>
  </si>
  <si>
    <t>Nathan Lee</t>
  </si>
  <si>
    <t>LEE</t>
  </si>
  <si>
    <t>K57</t>
  </si>
  <si>
    <t>Quentin Blake</t>
  </si>
  <si>
    <t>BLAKE</t>
  </si>
  <si>
    <t>K58</t>
  </si>
  <si>
    <t>Yann Martel</t>
  </si>
  <si>
    <t>MARTEL</t>
  </si>
  <si>
    <t>K59</t>
  </si>
  <si>
    <t>William Hill</t>
  </si>
  <si>
    <t>K60</t>
  </si>
  <si>
    <t>Thomas Hardy</t>
  </si>
  <si>
    <t>HARDY</t>
  </si>
  <si>
    <t>K61</t>
  </si>
  <si>
    <t>Fyodor Dostoevsky</t>
  </si>
  <si>
    <t>DOSTOEVSKY</t>
  </si>
  <si>
    <t>K62</t>
  </si>
  <si>
    <t>Virginia Woolf</t>
  </si>
  <si>
    <t>WOOLF</t>
  </si>
  <si>
    <t>K63</t>
  </si>
  <si>
    <t>William Shakespeare</t>
  </si>
  <si>
    <t>SHAKESPEARE</t>
  </si>
  <si>
    <t>K64</t>
  </si>
  <si>
    <t>Xavier Herbert</t>
  </si>
  <si>
    <t>Team Omega</t>
  </si>
  <si>
    <t>HERBERT</t>
  </si>
  <si>
    <t>K65</t>
  </si>
  <si>
    <t>Emily Bronte</t>
  </si>
  <si>
    <t>BRONTE</t>
  </si>
  <si>
    <t>K66</t>
  </si>
  <si>
    <t>Albus Dumbledore</t>
  </si>
  <si>
    <t>DUMBLEDORE</t>
  </si>
  <si>
    <t>K67</t>
  </si>
  <si>
    <t>Bilbo Baggins</t>
  </si>
  <si>
    <t>BAGGINS</t>
  </si>
  <si>
    <t>K68</t>
  </si>
  <si>
    <t>Cersei Lannister</t>
  </si>
  <si>
    <t>K69</t>
  </si>
  <si>
    <t>Daenerys Targaryen</t>
  </si>
  <si>
    <t>TARGARYEN</t>
  </si>
  <si>
    <t>K70</t>
  </si>
  <si>
    <t>Eddard Stark</t>
  </si>
  <si>
    <t>STARK</t>
  </si>
  <si>
    <t>K71</t>
  </si>
  <si>
    <t>Luke Rodriguez</t>
  </si>
  <si>
    <t>K72</t>
  </si>
  <si>
    <t>Gandalf The Grey</t>
  </si>
  <si>
    <t>GANDALF</t>
  </si>
  <si>
    <t>K73</t>
  </si>
  <si>
    <t>Hermione Granger</t>
  </si>
  <si>
    <t>GRANGER</t>
  </si>
  <si>
    <t>K74</t>
  </si>
  <si>
    <t>Inigo Montoya</t>
  </si>
  <si>
    <t>MONTOYA</t>
  </si>
  <si>
    <t>K75</t>
  </si>
  <si>
    <t>Jon Snow</t>
  </si>
  <si>
    <t>SNOW</t>
  </si>
  <si>
    <t>K76</t>
  </si>
  <si>
    <t>Paul Hall</t>
  </si>
  <si>
    <t>K77</t>
  </si>
  <si>
    <t>Legolas Greenleaf</t>
  </si>
  <si>
    <t>GREENLEAF</t>
  </si>
  <si>
    <t>K78</t>
  </si>
  <si>
    <t>Moby Dick</t>
  </si>
  <si>
    <t>K79</t>
  </si>
  <si>
    <t>Frodo Baggins</t>
  </si>
  <si>
    <t>K80</t>
  </si>
  <si>
    <t>Othello</t>
  </si>
  <si>
    <t>OTHELLO</t>
  </si>
  <si>
    <t>K81</t>
  </si>
  <si>
    <t>Petyr Baelish</t>
  </si>
  <si>
    <t>BAELISH</t>
  </si>
  <si>
    <t>K82</t>
  </si>
  <si>
    <t>Oliver Walker</t>
  </si>
  <si>
    <t>K83</t>
  </si>
  <si>
    <t>Ron Weasley</t>
  </si>
  <si>
    <t>WEASLEY</t>
  </si>
  <si>
    <t>K84</t>
  </si>
  <si>
    <t>Samwise Gamgee</t>
  </si>
  <si>
    <t>GAMGEE</t>
  </si>
  <si>
    <t>K85</t>
  </si>
  <si>
    <t>Xavier Scott</t>
  </si>
  <si>
    <t>SCOTT</t>
  </si>
  <si>
    <t>K86</t>
  </si>
  <si>
    <t>Ulysses</t>
  </si>
  <si>
    <t>ULYSSES</t>
  </si>
  <si>
    <t>K87</t>
  </si>
  <si>
    <t>Vincent King</t>
  </si>
  <si>
    <t>K88</t>
  </si>
  <si>
    <t>William Wright</t>
  </si>
  <si>
    <t>K89</t>
  </si>
  <si>
    <t>Xaro Xhoan Daxos</t>
  </si>
  <si>
    <t>DAXOS</t>
  </si>
  <si>
    <t>K90</t>
  </si>
  <si>
    <t>Ygritte</t>
  </si>
  <si>
    <t>YGRITTE</t>
  </si>
  <si>
    <t>K91</t>
  </si>
  <si>
    <t>Shiaijo A</t>
  </si>
  <si>
    <t>Shiaijo B</t>
  </si>
  <si>
    <t>Round 1 - Match 1</t>
  </si>
  <si>
    <t>White</t>
  </si>
  <si>
    <t>vs</t>
  </si>
  <si>
    <t>Red</t>
  </si>
  <si>
    <t>1.</t>
  </si>
  <si>
    <t>2.</t>
  </si>
  <si>
    <t>Round 1 - Match 17</t>
  </si>
  <si>
    <t>Round 1 - Match 2</t>
  </si>
  <si>
    <t>Round 1 - Match 18</t>
  </si>
  <si>
    <t>Round 1 - Match 3</t>
  </si>
  <si>
    <t>Round 1 - Match 19</t>
  </si>
  <si>
    <t>Round 1 - Match 4</t>
  </si>
  <si>
    <t>Round 1 - Match 20</t>
  </si>
  <si>
    <t>Round 1 - Match 5</t>
  </si>
  <si>
    <t>Round 1 - Match 21</t>
  </si>
  <si>
    <t>Round 1 - Match 6</t>
  </si>
  <si>
    <t>Round 1 - Match 22</t>
  </si>
  <si>
    <t>Round 1 - Match 7</t>
  </si>
  <si>
    <t>Round 1 - Match 23</t>
  </si>
  <si>
    <t>Round 1 - Match 8</t>
  </si>
  <si>
    <t>Round 1 - Match 24</t>
  </si>
  <si>
    <t>Round 1 - Match 9</t>
  </si>
  <si>
    <t>Round 1 - Match 25</t>
  </si>
  <si>
    <t>Round 1 - Match 10</t>
  </si>
  <si>
    <t>Round 1 - Match 26</t>
  </si>
  <si>
    <t>Round 1 - Match 11</t>
  </si>
  <si>
    <t>Round 1 - Match 27</t>
  </si>
  <si>
    <t>Round 1 - Match 12</t>
  </si>
  <si>
    <t>Round 1 - Match 28</t>
  </si>
  <si>
    <t>Round 1 - Match 13</t>
  </si>
  <si>
    <t>Round 1 - Match 29</t>
  </si>
  <si>
    <t>Round 1 - Match 14</t>
  </si>
  <si>
    <t>Round 1 - Match 30</t>
  </si>
  <si>
    <t>Round 1 - Match 15</t>
  </si>
  <si>
    <t>Round 1 - Match 31</t>
  </si>
  <si>
    <t>Round 1 - Match 16</t>
  </si>
  <si>
    <t>Round 1 - Match 32</t>
  </si>
  <si>
    <t>Round 2 - Match 33</t>
  </si>
  <si>
    <t>Round 2 - Match 46</t>
  </si>
  <si>
    <t>Round 2 - Match 34</t>
  </si>
  <si>
    <t>Round 2 - Match 47</t>
  </si>
  <si>
    <t>Round 2 - Match 35</t>
  </si>
  <si>
    <t>Round 2 - Match 48</t>
  </si>
  <si>
    <t>Round 2 - Match 36</t>
  </si>
  <si>
    <t>Round 2 - Match 49</t>
  </si>
  <si>
    <t>Round 2 - Match 37</t>
  </si>
  <si>
    <t>Round 2 - Match 50</t>
  </si>
  <si>
    <t>Round 2 - Match 38</t>
  </si>
  <si>
    <t>Round 2 - Match 51</t>
  </si>
  <si>
    <t>Round 2 - Match 39</t>
  </si>
  <si>
    <t>Round 2 - Match 52</t>
  </si>
  <si>
    <t>Round 2 - Match 40</t>
  </si>
  <si>
    <t>Round 2 - Match 53</t>
  </si>
  <si>
    <t>Round 2 - Match 41</t>
  </si>
  <si>
    <t>Round 2 - Match 54</t>
  </si>
  <si>
    <t>Round 2 - Match 42</t>
  </si>
  <si>
    <t>Round 2 - Match 55</t>
  </si>
  <si>
    <t>Round 2 - Match 43</t>
  </si>
  <si>
    <t>Round 2 - Match 56</t>
  </si>
  <si>
    <t>Round 2 - Match 44</t>
  </si>
  <si>
    <t>Round 2 - Match 57</t>
  </si>
  <si>
    <t>Round 2 - Match 45</t>
  </si>
  <si>
    <t>Round 2 - Match 58</t>
  </si>
  <si>
    <t>Round 2 - Match 59</t>
  </si>
  <si>
    <t>Round 3 - Match 60</t>
  </si>
  <si>
    <t>Round 3 - Match 68</t>
  </si>
  <si>
    <t>Round 3 - Match 61</t>
  </si>
  <si>
    <t>Round 3 - Match 69</t>
  </si>
  <si>
    <t>Round 3 - Match 62</t>
  </si>
  <si>
    <t>Round 3 - Match 70</t>
  </si>
  <si>
    <t>Round 3 - Match 63</t>
  </si>
  <si>
    <t>Round 3 - Match 71</t>
  </si>
  <si>
    <t>Round 3 - Match 64</t>
  </si>
  <si>
    <t>Round 3 - Match 72</t>
  </si>
  <si>
    <t>Round 3 - Match 65</t>
  </si>
  <si>
    <t>Round 3 - Match 73</t>
  </si>
  <si>
    <t>Round 3 - Match 66</t>
  </si>
  <si>
    <t>Round 3 - Match 74</t>
  </si>
  <si>
    <t>Round 3 - Match 67</t>
  </si>
  <si>
    <t>Round 3 - Match 75</t>
  </si>
  <si>
    <t>Round 4 - Match 76</t>
  </si>
  <si>
    <t>Round 4 - Match 80</t>
  </si>
  <si>
    <t>Round 4 - Match 77</t>
  </si>
  <si>
    <t>Round 4 - Match 81</t>
  </si>
  <si>
    <t>Round 4 - Match 78</t>
  </si>
  <si>
    <t>Round 4 - Match 82</t>
  </si>
  <si>
    <t>Round 4 - Match 79</t>
  </si>
  <si>
    <t>Round 4 - Match 83</t>
  </si>
  <si>
    <t>Round 5 - Match 84</t>
  </si>
  <si>
    <t>Round 5 - Match 86</t>
  </si>
  <si>
    <t>Round 5 - Match 85</t>
  </si>
  <si>
    <t>Round 5 - Match 87</t>
  </si>
  <si>
    <t>Round 6 - Match 88</t>
  </si>
  <si>
    <t>Round 6 - Match 89</t>
  </si>
  <si>
    <t>Round 7 - Match 90</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</si>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</sst>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1">
    <font>
      <name val="Calibri"/>
      <family val="2"/>
      <color theme="1"/>
      <sz val="11"/>
    </font>
    <font>
      <name val="Calibri"/>
      <family val="2"/>
      <b val="1"/>
      <color rgb="FF000000"/>
      <sz val="12"/>
    </font>
    <font>
      <name val="Calibri"/>
      <family val="2"/>
      <color rgb="FF000000"/>
      <sz val="12"/>
    </font>
    <font>
      <name val="Calibri"/>
      <family val="2"/>
      <b val="1"/>
      <color/>
      <sz val="16"/>
      <u val="single"/>
    </font>
    <font>
      <name val="Calibri"/>
      <family val="2"/>
      <b val="1"/>
      <color/>
      <sz val="12"/>
      <u val="single"/>
    </font>
    <font>
      <name val="Calibri"/>
      <family val="2"/>
      <color/>
      <sz val="12"/>
    </font>
    <font>
      <name val="Calibri"/>
      <family val="2"/>
      <b val="1"/>
      <color rgb="FF000000"/>
      <sz val="28"/>
    </font>
    <font>
      <name val="Calibri"/>
      <family val="2"/>
      <b val="1"/>
      <color rgb="FF000000"/>
      <sz val="72"/>
    </font>
    <font>
      <name val="Calibri"/>
      <family val="2"/>
      <b val="1"/>
      <color rgb="FF000000"/>
      <sz val="100"/>
    </font>
    <font>
      <name val="Calibri"/>
      <family val="2"/>
      <color rgb="FF000000"/>
      <sz val="110"/>
    </font>
    <font>
      <name val="Calibri"/>
      <family val="2"/>
      <b val="1"/>
      <color rgb="FFFFFFFF"/>
      <sz val="12"/>
    </font>
  </fonts>
  <fills count="5">
    <fill>
      <patternFill patternType="none"/>
    </fill>
    <fill>
      <patternFill patternType="gray125"/>
    </fill>
    <fill>
      <patternFill patternType="solid">
        <fgColor rgb="FFEFEFEF"/>
      </patternFill>
    </fill>
    <fill>
      <patternFill patternType="solid">
        <fgColor rgb="FFFF0000"/>
      </patternFill>
    </fill>
    <fill>
      <patternFill patternType="solid">
        <fgColor rgb="FFFFFFFF"/>
      </patternFill>
    </fill>
  </fills>
  <borders count="7">
    <border>
      <left/>
      <right/>
      <top/>
      <bottom/>
      <diagonal/>
    </border>
    <border>
      <left style="medium">
        <color rgb="FF000000"/>
      </left>
      <right style="medium">
        <color rgb="FF000000"/>
      </right>
      <top style="medium">
        <color rgb="FF000000"/>
      </top>
      <bottom style="medium">
        <color rgb="FF000000"/>
      </bottom>
    </border>
    <border>
      <left style="medium">
        <color rgb="FF000000"/>
      </left>
    </border>
    <border>
      <left style="medium">
        <color rgb="FF000000"/>
      </left>
      <bottom style="medium">
        <color rgb="FF000000"/>
      </bottom>
    </border>
    <border>
      <top style="medium">
        <color rgb="FF000000"/>
      </top>
    </border>
    <border>
      <bottom style="medium">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27">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1" fillId="0" borderId="1" xfId="0" applyFont="true" applyBorder="true" applyAlignment="true">
      <alignment horizontal="center" vertical="center"/>
    </xf>
    <xf numFmtId="0" fontId="0" fillId="0" borderId="2" xfId="0" applyBorder="true" applyAlignment="false">
      <alignment/>
    </xf>
    <xf numFmtId="0" fontId="2" fillId="0" borderId="3" xfId="0" applyFont="true" applyBorder="true" applyAlignment="true">
      <alignment horizontal="left"/>
    </xf>
    <xf numFmtId="0" fontId="0" fillId="0" borderId="4" xfId="0" applyBorder="true" applyAlignment="false">
      <alignment/>
    </xf>
    <xf numFmtId="0" fontId="0" fillId="0" borderId="5" xfId="0" applyBorder="true" applyAlignment="false">
      <alignment/>
    </xf>
    <xf numFmtId="0" fontId="1" fillId="0" borderId="5" xfId="0" applyFont="true" applyBorder="true" applyAlignment="true">
      <alignment horizontal="right" vertical="center"/>
    </xf>
    <xf numFmtId="0" fontId="8" fillId="0" borderId="1" xfId="0" applyFont="true" applyBorder="true" applyAlignment="true">
      <alignment horizontal="center" shrinkToFit="true" vertical="center"/>
    </xf>
    <xf numFmtId="0" fontId="9" fillId="0" borderId="1" xfId="0" applyFont="true" applyBorder="true" applyAlignment="true">
      <alignment horizontal="center" shrinkToFit="true" vertical="center"/>
    </xf>
    <xf numFmtId="0" fontId="2" fillId="2" borderId="6" xfId="0" applyFont="true" applyFill="true" applyBorder="true" applyAlignment="true">
      <alignment horizontal="center"/>
    </xf>
    <xf numFmtId="0" fontId="10" fillId="3" borderId="6" xfId="0" applyFont="true" applyFill="true" applyBorder="true" applyAlignment="true">
      <alignment horizontal="center"/>
    </xf>
    <xf numFmtId="0" fontId="1" fillId="4" borderId="6" xfId="0" applyFont="true" applyFill="true" applyBorder="true" applyAlignment="true">
      <alignment horizontal="center"/>
    </xf>
    <xf numFmtId="0" fontId="2" fillId="0" borderId="6" xfId="0" applyFont="true" applyBorder="true" applyAlignment="true" applyProtection="true">
      <alignment horizontal="center"/>
      <protection hidden="false" locked="false"/>
    </xf>
    <xf numFmtId="0" fontId="0" fillId="0" borderId="5" xfId="0" applyBorder="true" applyAlignment="false" applyProtection="true">
      <alignment/>
      <protection hidden="false" locked="false"/>
    </xf>
    <xf numFmtId="165" fontId="2" fillId="0" borderId="6" xfId="0" applyNumberFormat="true" applyFont="true" applyBorder="true" applyAlignment="true">
      <alignment horizontal="center"/>
    </xf>
    <xf numFmtId="0" fontId="2" fillId="0" borderId="6" xfId="0" applyFont="true" applyBorder="true" applyAlignment="true">
      <alignment horizontal="center"/>
    </xf>
    <xf numFmtId="20" fontId="2" fillId="0" borderId="6"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v>27</v>
      </c>
      <c r="B3" t="s">
        <v>17</v>
      </c>
      <c r="C3" t="s">
        <v>18</v>
      </c>
      <c r="D3" t="s">
        <v>19</v>
      </c>
      <c r="E3" t="s">
        <v>20</v>
      </c>
    </row>
    <row r="4">
      <c r="A4">
        <v>24</v>
      </c>
      <c r="B4" t="s">
        <v>21</v>
      </c>
      <c r="C4" t="s">
        <v>22</v>
      </c>
      <c r="D4" t="s">
        <v>23</v>
      </c>
      <c r="E4" t="s">
        <v>24</v>
      </c>
    </row>
    <row r="5">
      <c r="A5">
        <v>25</v>
      </c>
      <c r="B5" t="s">
        <v>25</v>
      </c>
      <c r="C5" t="s">
        <v>26</v>
      </c>
      <c r="D5" t="s">
        <v>27</v>
      </c>
      <c r="E5" t="s">
        <v>28</v>
      </c>
    </row>
    <row r="6">
      <c r="A6">
        <v>26</v>
      </c>
      <c r="B6" t="s">
        <v>29</v>
      </c>
      <c r="C6" t="s">
        <v>30</v>
      </c>
      <c r="D6" t="s">
        <v>31</v>
      </c>
      <c r="E6" t="s">
        <v>32</v>
      </c>
    </row>
    <row r="7">
      <c r="A7">
        <v>83</v>
      </c>
      <c r="B7" t="s">
        <v>33</v>
      </c>
      <c r="C7" t="s">
        <v>34</v>
      </c>
      <c r="D7" t="s">
        <v>35</v>
      </c>
      <c r="E7" t="s">
        <v>36</v>
      </c>
    </row>
    <row r="8">
      <c r="A8">
        <v>77</v>
      </c>
      <c r="B8" t="s">
        <v>37</v>
      </c>
      <c r="C8" t="s">
        <v>38</v>
      </c>
      <c r="D8" t="s">
        <v>39</v>
      </c>
      <c r="E8" t="s">
        <v>40</v>
      </c>
    </row>
    <row r="9">
      <c r="A9">
        <v>7</v>
      </c>
      <c r="B9" t="s">
        <v>41</v>
      </c>
      <c r="C9" t="s">
        <v>42</v>
      </c>
      <c r="D9" t="s">
        <v>43</v>
      </c>
      <c r="E9" t="s">
        <v>44</v>
      </c>
    </row>
    <row r="10">
      <c r="A10">
        <v>8</v>
      </c>
      <c r="B10" t="s">
        <v>45</v>
      </c>
      <c r="C10" t="s">
        <v>46</v>
      </c>
      <c r="D10" t="s">
        <v>47</v>
      </c>
      <c r="E10" t="s">
        <v>48</v>
      </c>
    </row>
    <row r="11">
      <c r="A11">
        <v>9</v>
      </c>
      <c r="B11" t="s">
        <v>49</v>
      </c>
      <c r="C11" t="s">
        <v>50</v>
      </c>
      <c r="D11" t="s">
        <v>51</v>
      </c>
      <c r="E11" t="s">
        <v>52</v>
      </c>
    </row>
    <row r="12">
      <c r="A12">
        <v>10</v>
      </c>
      <c r="B12" t="s">
        <v>53</v>
      </c>
      <c r="C12" t="s">
        <v>54</v>
      </c>
      <c r="D12" t="s">
        <v>55</v>
      </c>
      <c r="E12" t="s">
        <v>56</v>
      </c>
    </row>
    <row r="13">
      <c r="A13">
        <v>11</v>
      </c>
      <c r="B13" t="s">
        <v>57</v>
      </c>
      <c r="C13" t="s">
        <v>18</v>
      </c>
      <c r="D13" t="s">
        <v>58</v>
      </c>
      <c r="E13" t="s">
        <v>59</v>
      </c>
    </row>
    <row r="14">
      <c r="A14">
        <v>59</v>
      </c>
      <c r="B14" t="s">
        <v>60</v>
      </c>
      <c r="C14" t="s">
        <v>61</v>
      </c>
      <c r="D14" t="s">
        <v>62</v>
      </c>
      <c r="E14" t="s">
        <v>63</v>
      </c>
    </row>
    <row r="15">
      <c r="A15">
        <v>60</v>
      </c>
      <c r="B15" t="s">
        <v>64</v>
      </c>
      <c r="C15" t="s">
        <v>65</v>
      </c>
      <c r="D15" t="s">
        <v>66</v>
      </c>
      <c r="E15" t="s">
        <v>67</v>
      </c>
    </row>
    <row r="16">
      <c r="A16">
        <v>86</v>
      </c>
      <c r="B16" t="s">
        <v>68</v>
      </c>
      <c r="C16" t="s">
        <v>69</v>
      </c>
      <c r="D16" t="s">
        <v>70</v>
      </c>
      <c r="E16" t="s">
        <v>71</v>
      </c>
    </row>
    <row r="17">
      <c r="A17">
        <v>62</v>
      </c>
      <c r="B17" t="s">
        <v>72</v>
      </c>
      <c r="C17" t="s">
        <v>73</v>
      </c>
      <c r="D17" t="s">
        <v>74</v>
      </c>
      <c r="E17" t="s">
        <v>75</v>
      </c>
    </row>
    <row r="18">
      <c r="A18">
        <v>33</v>
      </c>
      <c r="B18" t="s">
        <v>76</v>
      </c>
      <c r="C18" t="s">
        <v>77</v>
      </c>
      <c r="D18" t="s">
        <v>78</v>
      </c>
      <c r="E18" t="s">
        <v>79</v>
      </c>
    </row>
    <row r="19">
      <c r="A19">
        <v>17</v>
      </c>
      <c r="B19" t="s">
        <v>80</v>
      </c>
      <c r="C19" t="s">
        <v>18</v>
      </c>
      <c r="D19" t="s">
        <v>81</v>
      </c>
      <c r="E19" t="s">
        <v>82</v>
      </c>
    </row>
    <row r="20">
      <c r="A20">
        <v>18</v>
      </c>
      <c r="B20" t="s">
        <v>83</v>
      </c>
      <c r="C20" t="s">
        <v>42</v>
      </c>
      <c r="D20" t="s">
        <v>84</v>
      </c>
      <c r="E20" t="s">
        <v>85</v>
      </c>
    </row>
    <row r="21">
      <c r="A21">
        <v>19</v>
      </c>
      <c r="B21" t="s">
        <v>86</v>
      </c>
      <c r="C21" t="s">
        <v>46</v>
      </c>
      <c r="D21" t="s">
        <v>87</v>
      </c>
      <c r="E21" t="s">
        <v>88</v>
      </c>
    </row>
    <row r="22">
      <c r="A22">
        <v>20</v>
      </c>
      <c r="B22" t="s">
        <v>89</v>
      </c>
      <c r="C22" t="s">
        <v>50</v>
      </c>
      <c r="D22" t="s">
        <v>90</v>
      </c>
      <c r="E22" t="s">
        <v>91</v>
      </c>
    </row>
    <row r="23">
      <c r="A23">
        <v>21</v>
      </c>
      <c r="B23" t="s">
        <v>92</v>
      </c>
      <c r="C23" t="s">
        <v>54</v>
      </c>
      <c r="D23" t="s">
        <v>93</v>
      </c>
      <c r="E23" t="s">
        <v>94</v>
      </c>
    </row>
    <row r="24">
      <c r="A24">
        <v>22</v>
      </c>
      <c r="B24" t="s">
        <v>95</v>
      </c>
      <c r="C24" t="s">
        <v>96</v>
      </c>
      <c r="D24" t="s">
        <v>97</v>
      </c>
      <c r="E24" t="s">
        <v>98</v>
      </c>
    </row>
    <row r="25">
      <c r="A25">
        <v>23</v>
      </c>
      <c r="B25" t="s">
        <v>99</v>
      </c>
      <c r="C25" t="s">
        <v>77</v>
      </c>
      <c r="D25" t="s">
        <v>100</v>
      </c>
      <c r="E25" t="s">
        <v>101</v>
      </c>
    </row>
    <row r="26">
      <c r="A26">
        <v>80</v>
      </c>
      <c r="B26" t="s">
        <v>102</v>
      </c>
      <c r="C26" t="s">
        <v>103</v>
      </c>
      <c r="D26" t="s">
        <v>104</v>
      </c>
      <c r="E26" t="s">
        <v>105</v>
      </c>
    </row>
    <row r="27">
      <c r="A27">
        <v>56</v>
      </c>
      <c r="B27" t="s">
        <v>106</v>
      </c>
      <c r="C27" t="s">
        <v>107</v>
      </c>
      <c r="D27" t="s">
        <v>108</v>
      </c>
      <c r="E27" t="s">
        <v>109</v>
      </c>
    </row>
    <row r="28">
      <c r="A28">
        <v>57</v>
      </c>
      <c r="B28" t="s">
        <v>110</v>
      </c>
      <c r="C28" t="s">
        <v>111</v>
      </c>
      <c r="D28" t="s">
        <v>112</v>
      </c>
      <c r="E28" t="s">
        <v>113</v>
      </c>
    </row>
    <row r="29">
      <c r="A29">
        <v>54</v>
      </c>
      <c r="B29" t="s">
        <v>114</v>
      </c>
      <c r="C29" t="s">
        <v>115</v>
      </c>
      <c r="D29" t="s">
        <v>116</v>
      </c>
      <c r="E29" t="s">
        <v>117</v>
      </c>
    </row>
    <row r="30">
      <c r="A30">
        <v>28</v>
      </c>
      <c r="B30" t="s">
        <v>118</v>
      </c>
      <c r="C30" t="s">
        <v>42</v>
      </c>
      <c r="D30" t="s">
        <v>81</v>
      </c>
      <c r="E30" t="s">
        <v>119</v>
      </c>
    </row>
    <row r="31">
      <c r="A31">
        <v>29</v>
      </c>
      <c r="B31" t="s">
        <v>120</v>
      </c>
      <c r="C31" t="s">
        <v>46</v>
      </c>
      <c r="D31" t="s">
        <v>121</v>
      </c>
      <c r="E31" t="s">
        <v>122</v>
      </c>
    </row>
    <row r="32">
      <c r="A32">
        <v>30</v>
      </c>
      <c r="B32" t="s">
        <v>123</v>
      </c>
      <c r="C32" t="s">
        <v>50</v>
      </c>
      <c r="D32" t="s">
        <v>124</v>
      </c>
      <c r="E32" t="s">
        <v>125</v>
      </c>
    </row>
    <row r="33">
      <c r="A33">
        <v>31</v>
      </c>
      <c r="B33" t="s">
        <v>126</v>
      </c>
      <c r="C33" t="s">
        <v>54</v>
      </c>
      <c r="D33" t="s">
        <v>127</v>
      </c>
      <c r="E33" t="s">
        <v>128</v>
      </c>
    </row>
    <row r="34">
      <c r="A34">
        <v>32</v>
      </c>
      <c r="B34" t="s">
        <v>129</v>
      </c>
      <c r="C34" t="s">
        <v>96</v>
      </c>
      <c r="D34" t="s">
        <v>130</v>
      </c>
      <c r="E34" t="s">
        <v>131</v>
      </c>
    </row>
    <row r="35">
      <c r="A35">
        <v>16</v>
      </c>
      <c r="B35" t="s">
        <v>132</v>
      </c>
      <c r="C35" t="s">
        <v>18</v>
      </c>
      <c r="D35" t="s">
        <v>133</v>
      </c>
      <c r="E35" t="s">
        <v>134</v>
      </c>
    </row>
    <row r="36">
      <c r="A36">
        <v>34</v>
      </c>
      <c r="B36" t="s">
        <v>135</v>
      </c>
      <c r="C36" t="s">
        <v>22</v>
      </c>
      <c r="D36" t="s">
        <v>136</v>
      </c>
      <c r="E36" t="s">
        <v>137</v>
      </c>
    </row>
    <row r="37">
      <c r="A37">
        <v>35</v>
      </c>
      <c r="B37" t="s">
        <v>138</v>
      </c>
      <c r="C37" t="s">
        <v>26</v>
      </c>
      <c r="D37" t="s">
        <v>43</v>
      </c>
      <c r="E37" t="s">
        <v>139</v>
      </c>
    </row>
    <row r="38">
      <c r="A38">
        <v>36</v>
      </c>
      <c r="B38" t="s">
        <v>140</v>
      </c>
      <c r="C38" t="s">
        <v>30</v>
      </c>
      <c r="D38" t="s">
        <v>47</v>
      </c>
      <c r="E38" t="s">
        <v>141</v>
      </c>
    </row>
    <row r="39">
      <c r="A39">
        <v>37</v>
      </c>
      <c r="B39" t="s">
        <v>142</v>
      </c>
      <c r="C39" t="s">
        <v>18</v>
      </c>
      <c r="D39" t="s">
        <v>51</v>
      </c>
      <c r="E39" t="s">
        <v>143</v>
      </c>
    </row>
    <row r="40">
      <c r="A40">
        <v>88</v>
      </c>
      <c r="B40" t="s">
        <v>144</v>
      </c>
      <c r="C40" t="s">
        <v>145</v>
      </c>
      <c r="D40" t="s">
        <v>146</v>
      </c>
      <c r="E40" t="s">
        <v>147</v>
      </c>
    </row>
    <row r="41">
      <c r="A41">
        <v>89</v>
      </c>
      <c r="B41" t="s">
        <v>148</v>
      </c>
      <c r="C41" t="s">
        <v>149</v>
      </c>
      <c r="D41" t="s">
        <v>150</v>
      </c>
      <c r="E41" t="s">
        <v>151</v>
      </c>
    </row>
    <row r="42">
      <c r="A42">
        <v>53</v>
      </c>
      <c r="B42" t="s">
        <v>152</v>
      </c>
      <c r="C42" t="s">
        <v>153</v>
      </c>
      <c r="D42" t="s">
        <v>154</v>
      </c>
      <c r="E42" t="s">
        <v>155</v>
      </c>
    </row>
    <row r="43">
      <c r="A43">
        <v>41</v>
      </c>
      <c r="B43" t="s">
        <v>156</v>
      </c>
      <c r="C43" t="s">
        <v>54</v>
      </c>
      <c r="D43" t="s">
        <v>157</v>
      </c>
      <c r="E43" t="s">
        <v>158</v>
      </c>
    </row>
    <row r="44">
      <c r="A44">
        <v>42</v>
      </c>
      <c r="B44" t="s">
        <v>159</v>
      </c>
      <c r="C44" t="s">
        <v>18</v>
      </c>
      <c r="D44" t="s">
        <v>160</v>
      </c>
      <c r="E44" t="s">
        <v>161</v>
      </c>
    </row>
    <row r="45">
      <c r="A45">
        <v>43</v>
      </c>
      <c r="B45" t="s">
        <v>162</v>
      </c>
      <c r="C45" t="s">
        <v>42</v>
      </c>
      <c r="D45" t="s">
        <v>163</v>
      </c>
      <c r="E45" t="s">
        <v>164</v>
      </c>
    </row>
    <row r="46">
      <c r="A46">
        <v>44</v>
      </c>
      <c r="B46" t="s">
        <v>165</v>
      </c>
      <c r="C46" t="s">
        <v>46</v>
      </c>
      <c r="D46" t="s">
        <v>166</v>
      </c>
      <c r="E46" t="s">
        <v>167</v>
      </c>
    </row>
    <row r="47">
      <c r="A47">
        <v>45</v>
      </c>
      <c r="B47" t="s">
        <v>168</v>
      </c>
      <c r="C47" t="s">
        <v>50</v>
      </c>
      <c r="D47" t="s">
        <v>169</v>
      </c>
      <c r="E47" t="s">
        <v>170</v>
      </c>
    </row>
    <row r="48">
      <c r="A48">
        <v>12</v>
      </c>
      <c r="B48" t="s">
        <v>171</v>
      </c>
      <c r="C48" t="s">
        <v>42</v>
      </c>
      <c r="D48" t="s">
        <v>172</v>
      </c>
      <c r="E48" t="s">
        <v>173</v>
      </c>
    </row>
    <row r="49">
      <c r="A49">
        <v>15</v>
      </c>
      <c r="B49" t="s">
        <v>174</v>
      </c>
      <c r="C49" t="s">
        <v>54</v>
      </c>
      <c r="D49" t="s">
        <v>175</v>
      </c>
      <c r="E49" t="s">
        <v>176</v>
      </c>
    </row>
    <row r="50">
      <c r="A50">
        <v>48</v>
      </c>
      <c r="B50" t="s">
        <v>177</v>
      </c>
      <c r="C50" t="s">
        <v>77</v>
      </c>
      <c r="D50" t="s">
        <v>178</v>
      </c>
      <c r="E50" t="s">
        <v>179</v>
      </c>
    </row>
    <row r="51">
      <c r="A51">
        <v>49</v>
      </c>
      <c r="B51" t="s">
        <v>180</v>
      </c>
      <c r="C51" t="s">
        <v>22</v>
      </c>
      <c r="D51" t="s">
        <v>181</v>
      </c>
      <c r="E51" t="s">
        <v>182</v>
      </c>
    </row>
    <row r="52">
      <c r="A52">
        <v>50</v>
      </c>
      <c r="B52" t="s">
        <v>183</v>
      </c>
      <c r="C52" t="s">
        <v>26</v>
      </c>
      <c r="D52" t="s">
        <v>184</v>
      </c>
      <c r="E52" t="s">
        <v>185</v>
      </c>
    </row>
    <row r="53">
      <c r="A53">
        <v>51</v>
      </c>
      <c r="B53" t="s">
        <v>186</v>
      </c>
      <c r="C53" t="s">
        <v>30</v>
      </c>
      <c r="D53" t="s">
        <v>187</v>
      </c>
      <c r="E53" t="s">
        <v>188</v>
      </c>
    </row>
    <row r="54">
      <c r="A54">
        <v>52</v>
      </c>
      <c r="B54" t="s">
        <v>189</v>
      </c>
      <c r="C54" t="s">
        <v>38</v>
      </c>
      <c r="D54" t="s">
        <v>190</v>
      </c>
      <c r="E54" t="s">
        <v>191</v>
      </c>
    </row>
    <row r="55">
      <c r="A55">
        <v>40</v>
      </c>
      <c r="B55" t="s">
        <v>192</v>
      </c>
      <c r="C55" t="s">
        <v>50</v>
      </c>
      <c r="D55" t="s">
        <v>172</v>
      </c>
      <c r="E55" t="s">
        <v>193</v>
      </c>
    </row>
    <row r="56">
      <c r="A56">
        <v>1</v>
      </c>
      <c r="B56" t="s">
        <v>194</v>
      </c>
      <c r="C56" t="s">
        <v>18</v>
      </c>
      <c r="D56" t="s">
        <v>124</v>
      </c>
      <c r="E56" t="s">
        <v>195</v>
      </c>
    </row>
    <row r="57">
      <c r="A57">
        <v>55</v>
      </c>
      <c r="B57" t="s">
        <v>196</v>
      </c>
      <c r="C57" t="s">
        <v>103</v>
      </c>
      <c r="D57" t="s">
        <v>197</v>
      </c>
      <c r="E57" t="s">
        <v>198</v>
      </c>
    </row>
    <row r="58">
      <c r="A58">
        <v>3</v>
      </c>
      <c r="B58" t="s">
        <v>199</v>
      </c>
      <c r="C58" t="s">
        <v>46</v>
      </c>
      <c r="D58" t="s">
        <v>130</v>
      </c>
      <c r="E58" t="s">
        <v>200</v>
      </c>
    </row>
    <row r="59">
      <c r="A59">
        <v>4</v>
      </c>
      <c r="B59" t="s">
        <v>201</v>
      </c>
      <c r="C59" t="s">
        <v>50</v>
      </c>
      <c r="D59" t="s">
        <v>202</v>
      </c>
      <c r="E59" t="s">
        <v>203</v>
      </c>
    </row>
    <row r="60">
      <c r="A60">
        <v>58</v>
      </c>
      <c r="B60" t="s">
        <v>204</v>
      </c>
      <c r="C60" t="s">
        <v>34</v>
      </c>
      <c r="D60" t="s">
        <v>205</v>
      </c>
      <c r="E60" t="s">
        <v>206</v>
      </c>
    </row>
    <row r="61">
      <c r="A61">
        <v>66</v>
      </c>
      <c r="B61" t="s">
        <v>207</v>
      </c>
      <c r="C61" t="s">
        <v>18</v>
      </c>
      <c r="D61" t="s">
        <v>208</v>
      </c>
      <c r="E61" t="s">
        <v>209</v>
      </c>
    </row>
    <row r="62">
      <c r="A62">
        <v>13</v>
      </c>
      <c r="B62" t="s">
        <v>210</v>
      </c>
      <c r="C62" t="s">
        <v>46</v>
      </c>
      <c r="D62" t="s">
        <v>157</v>
      </c>
      <c r="E62" t="s">
        <v>211</v>
      </c>
    </row>
    <row r="63">
      <c r="A63">
        <v>61</v>
      </c>
      <c r="B63" t="s">
        <v>212</v>
      </c>
      <c r="C63" t="s">
        <v>69</v>
      </c>
      <c r="D63" t="s">
        <v>213</v>
      </c>
      <c r="E63" t="s">
        <v>214</v>
      </c>
    </row>
    <row r="64">
      <c r="A64">
        <v>47</v>
      </c>
      <c r="B64" t="s">
        <v>215</v>
      </c>
      <c r="C64" t="s">
        <v>96</v>
      </c>
      <c r="D64" t="s">
        <v>216</v>
      </c>
      <c r="E64" t="s">
        <v>217</v>
      </c>
    </row>
    <row r="65">
      <c r="A65">
        <v>63</v>
      </c>
      <c r="B65" t="s">
        <v>218</v>
      </c>
      <c r="C65" t="s">
        <v>145</v>
      </c>
      <c r="D65" t="s">
        <v>219</v>
      </c>
      <c r="E65" t="s">
        <v>220</v>
      </c>
    </row>
    <row r="66">
      <c r="A66">
        <v>64</v>
      </c>
      <c r="B66" t="s">
        <v>221</v>
      </c>
      <c r="C66" t="s">
        <v>149</v>
      </c>
      <c r="D66" t="s">
        <v>222</v>
      </c>
      <c r="E66" t="s">
        <v>223</v>
      </c>
    </row>
    <row r="67">
      <c r="A67">
        <v>65</v>
      </c>
      <c r="B67" t="s">
        <v>224</v>
      </c>
      <c r="C67" t="s">
        <v>225</v>
      </c>
      <c r="D67" t="s">
        <v>226</v>
      </c>
      <c r="E67" t="s">
        <v>227</v>
      </c>
    </row>
    <row r="68">
      <c r="A68">
        <v>46</v>
      </c>
      <c r="B68" t="s">
        <v>228</v>
      </c>
      <c r="C68" t="s">
        <v>54</v>
      </c>
      <c r="D68" t="s">
        <v>229</v>
      </c>
      <c r="E68" t="s">
        <v>230</v>
      </c>
    </row>
    <row r="69">
      <c r="A69">
        <v>67</v>
      </c>
      <c r="B69" t="s">
        <v>231</v>
      </c>
      <c r="C69" t="s">
        <v>18</v>
      </c>
      <c r="D69" t="s">
        <v>232</v>
      </c>
      <c r="E69" t="s">
        <v>233</v>
      </c>
    </row>
    <row r="70">
      <c r="A70">
        <v>68</v>
      </c>
      <c r="B70" t="s">
        <v>234</v>
      </c>
      <c r="C70" t="s">
        <v>42</v>
      </c>
      <c r="D70" t="s">
        <v>235</v>
      </c>
      <c r="E70" t="s">
        <v>236</v>
      </c>
    </row>
    <row r="71">
      <c r="A71">
        <v>69</v>
      </c>
      <c r="B71" t="s">
        <v>237</v>
      </c>
      <c r="C71" t="s">
        <v>46</v>
      </c>
      <c r="D71" t="s">
        <v>70</v>
      </c>
      <c r="E71" t="s">
        <v>238</v>
      </c>
    </row>
    <row r="72">
      <c r="A72">
        <v>70</v>
      </c>
      <c r="B72" t="s">
        <v>239</v>
      </c>
      <c r="C72" t="s">
        <v>50</v>
      </c>
      <c r="D72" t="s">
        <v>240</v>
      </c>
      <c r="E72" t="s">
        <v>241</v>
      </c>
    </row>
    <row r="73">
      <c r="A73">
        <v>71</v>
      </c>
      <c r="B73" t="s">
        <v>242</v>
      </c>
      <c r="C73" t="s">
        <v>54</v>
      </c>
      <c r="D73" t="s">
        <v>243</v>
      </c>
      <c r="E73" t="s">
        <v>244</v>
      </c>
    </row>
    <row r="74">
      <c r="A74">
        <v>2</v>
      </c>
      <c r="B74" t="s">
        <v>245</v>
      </c>
      <c r="C74" t="s">
        <v>42</v>
      </c>
      <c r="D74" t="s">
        <v>127</v>
      </c>
      <c r="E74" t="s">
        <v>246</v>
      </c>
    </row>
    <row r="75">
      <c r="A75">
        <v>73</v>
      </c>
      <c r="B75" t="s">
        <v>247</v>
      </c>
      <c r="C75" t="s">
        <v>77</v>
      </c>
      <c r="D75" t="s">
        <v>248</v>
      </c>
      <c r="E75" t="s">
        <v>249</v>
      </c>
    </row>
    <row r="76">
      <c r="A76">
        <v>74</v>
      </c>
      <c r="B76" t="s">
        <v>250</v>
      </c>
      <c r="C76" t="s">
        <v>22</v>
      </c>
      <c r="D76" t="s">
        <v>251</v>
      </c>
      <c r="E76" t="s">
        <v>252</v>
      </c>
    </row>
    <row r="77">
      <c r="A77">
        <v>75</v>
      </c>
      <c r="B77" t="s">
        <v>253</v>
      </c>
      <c r="C77" t="s">
        <v>26</v>
      </c>
      <c r="D77" t="s">
        <v>254</v>
      </c>
      <c r="E77" t="s">
        <v>255</v>
      </c>
    </row>
    <row r="78">
      <c r="A78">
        <v>76</v>
      </c>
      <c r="B78" t="s">
        <v>256</v>
      </c>
      <c r="C78" t="s">
        <v>30</v>
      </c>
      <c r="D78" t="s">
        <v>257</v>
      </c>
      <c r="E78" t="s">
        <v>258</v>
      </c>
    </row>
    <row r="79">
      <c r="A79">
        <v>6</v>
      </c>
      <c r="B79" t="s">
        <v>259</v>
      </c>
      <c r="C79" t="s">
        <v>18</v>
      </c>
      <c r="D79" t="s">
        <v>136</v>
      </c>
      <c r="E79" t="s">
        <v>260</v>
      </c>
    </row>
    <row r="80">
      <c r="A80">
        <v>78</v>
      </c>
      <c r="B80" t="s">
        <v>261</v>
      </c>
      <c r="C80" t="s">
        <v>153</v>
      </c>
      <c r="D80" t="s">
        <v>262</v>
      </c>
      <c r="E80" t="s">
        <v>263</v>
      </c>
    </row>
    <row r="81">
      <c r="A81">
        <v>79</v>
      </c>
      <c r="B81" t="s">
        <v>264</v>
      </c>
      <c r="C81" t="s">
        <v>115</v>
      </c>
      <c r="D81" t="s">
        <v>112</v>
      </c>
      <c r="E81" t="s">
        <v>265</v>
      </c>
    </row>
    <row r="82">
      <c r="A82">
        <v>72</v>
      </c>
      <c r="B82" t="s">
        <v>266</v>
      </c>
      <c r="C82" t="s">
        <v>96</v>
      </c>
      <c r="D82" t="s">
        <v>235</v>
      </c>
      <c r="E82" t="s">
        <v>267</v>
      </c>
    </row>
    <row r="83">
      <c r="A83">
        <v>81</v>
      </c>
      <c r="B83" t="s">
        <v>268</v>
      </c>
      <c r="C83" t="s">
        <v>107</v>
      </c>
      <c r="D83" t="s">
        <v>269</v>
      </c>
      <c r="E83" t="s">
        <v>270</v>
      </c>
    </row>
    <row r="84">
      <c r="A84">
        <v>82</v>
      </c>
      <c r="B84" t="s">
        <v>271</v>
      </c>
      <c r="C84" t="s">
        <v>111</v>
      </c>
      <c r="D84" t="s">
        <v>272</v>
      </c>
      <c r="E84" t="s">
        <v>273</v>
      </c>
    </row>
    <row r="85">
      <c r="A85">
        <v>5</v>
      </c>
      <c r="B85" t="s">
        <v>274</v>
      </c>
      <c r="C85" t="s">
        <v>54</v>
      </c>
      <c r="D85" t="s">
        <v>78</v>
      </c>
      <c r="E85" t="s">
        <v>275</v>
      </c>
    </row>
    <row r="86">
      <c r="A86">
        <v>84</v>
      </c>
      <c r="B86" t="s">
        <v>276</v>
      </c>
      <c r="C86" t="s">
        <v>61</v>
      </c>
      <c r="D86" t="s">
        <v>277</v>
      </c>
      <c r="E86" t="s">
        <v>278</v>
      </c>
    </row>
    <row r="87">
      <c r="A87">
        <v>85</v>
      </c>
      <c r="B87" t="s">
        <v>279</v>
      </c>
      <c r="C87" t="s">
        <v>65</v>
      </c>
      <c r="D87" t="s">
        <v>280</v>
      </c>
      <c r="E87" t="s">
        <v>281</v>
      </c>
    </row>
    <row r="88">
      <c r="A88">
        <v>14</v>
      </c>
      <c r="B88" t="s">
        <v>282</v>
      </c>
      <c r="C88" t="s">
        <v>50</v>
      </c>
      <c r="D88" t="s">
        <v>283</v>
      </c>
      <c r="E88" t="s">
        <v>284</v>
      </c>
    </row>
    <row r="89">
      <c r="A89">
        <v>87</v>
      </c>
      <c r="B89" t="s">
        <v>285</v>
      </c>
      <c r="C89" t="s">
        <v>73</v>
      </c>
      <c r="D89" t="s">
        <v>286</v>
      </c>
      <c r="E89" t="s">
        <v>287</v>
      </c>
    </row>
    <row r="90">
      <c r="A90">
        <v>38</v>
      </c>
      <c r="B90" t="s">
        <v>288</v>
      </c>
      <c r="C90" t="s">
        <v>42</v>
      </c>
      <c r="D90" t="s">
        <v>55</v>
      </c>
      <c r="E90" t="s">
        <v>289</v>
      </c>
    </row>
    <row r="91">
      <c r="A91">
        <v>39</v>
      </c>
      <c r="B91" t="s">
        <v>290</v>
      </c>
      <c r="C91" t="s">
        <v>46</v>
      </c>
      <c r="D91" t="s">
        <v>58</v>
      </c>
      <c r="E91" t="s">
        <v>291</v>
      </c>
    </row>
    <row r="92">
      <c r="A92">
        <v>90</v>
      </c>
      <c r="B92" t="s">
        <v>292</v>
      </c>
      <c r="C92" t="s">
        <v>225</v>
      </c>
      <c r="D92" t="s">
        <v>293</v>
      </c>
      <c r="E92" t="s">
        <v>294</v>
      </c>
    </row>
    <row r="93">
      <c r="A93">
        <v>91</v>
      </c>
      <c r="B93" t="s">
        <v>295</v>
      </c>
      <c r="C93" t="s">
        <v>18</v>
      </c>
      <c r="D93" t="s">
        <v>296</v>
      </c>
      <c r="E93" t="s">
        <v>297</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0</v>
      </c>
      <c r="B2" s="2">
        <v>1</v>
      </c>
      <c r="C2" s="2">
        <v>0</v>
      </c>
      <c r="D2" s="3">
        <v>0.0020833333333333333</v>
      </c>
      <c r="E2" s="3" t="str">
        <f>(A2*B2*C2*D2)</f>
      </c>
      <c r="F2" s="3">
        <v>0.00034722222222222224</v>
      </c>
      <c r="G2" s="3">
        <v>0.020833333333333332</v>
      </c>
      <c r="H2" s="24" t="str">
        <f>C2*I2+J2</f>
      </c>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90</v>
      </c>
      <c r="B8" s="2">
        <v>1</v>
      </c>
      <c r="C8" s="2"/>
      <c r="D8" s="3">
        <v>0.002777777777777778</v>
      </c>
      <c r="E8" s="3" t="str">
        <f>(A8*B8*D8)</f>
      </c>
      <c r="F8" s="3">
        <v>0.00034722222222222224</v>
      </c>
      <c r="G8" s="3">
        <v>0.020833333333333332</v>
      </c>
      <c r="H8" s="24"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1" t="s">
        <v>395</v>
      </c>
      <c r="F13" s="11"/>
      <c r="G13" s="11"/>
      <c r="H13" s="11"/>
    </row>
    <row r="14">
      <c r="A14">
        <v>2</v>
      </c>
      <c r="E14" s="25" t="s">
        <v>396</v>
      </c>
      <c r="F14" s="25"/>
      <c r="G14" s="25"/>
      <c r="H14" s="24" t="str">
        <f>H2</f>
      </c>
    </row>
    <row r="15">
      <c r="E15" s="25" t="s">
        <v>397</v>
      </c>
      <c r="F15" s="25"/>
      <c r="G15" s="25"/>
      <c r="H15" s="24" t="str">
        <f>H8</f>
      </c>
    </row>
    <row r="16">
      <c r="E16" s="25" t="s">
        <v>398</v>
      </c>
      <c r="F16" s="25"/>
      <c r="G16" s="25"/>
      <c r="H16" s="24" t="str">
        <f>H14+H15</f>
      </c>
    </row>
    <row r="17">
      <c r="E17" s="25" t="s">
        <v>399</v>
      </c>
      <c r="F17" s="25"/>
      <c r="G17" s="25"/>
      <c r="H17" s="24" t="str">
        <f>H16/A14</f>
      </c>
    </row>
    <row r="18">
      <c r="E18" s="11" t="s">
        <v>400</v>
      </c>
      <c r="F18" s="11"/>
      <c r="G18" s="11"/>
      <c r="H18" s="26">
        <v>0.375</v>
      </c>
    </row>
    <row r="19">
      <c r="E19" s="11" t="s">
        <v>401</v>
      </c>
      <c r="F19" s="11"/>
      <c r="G19" s="11"/>
      <c r="H19" s="26" t="str">
        <f>H18+H17</f>
      </c>
    </row>
  </sheetData>
  <mergeCells count="1">
    <mergeCell ref="E13:H13"/>
  </mergeCell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s>
  <sheetData>
    <row r="1">
      <c r="A1" s="11" t="s">
        <v>298</v>
      </c>
      <c r="B1" s="11"/>
      <c r="C1" s="11"/>
      <c r="D1" s="11"/>
      <c r="E1" s="11"/>
      <c r="F1" s="11"/>
      <c r="G1" s="11"/>
      <c r="I1" s="11" t="s">
        <v>299</v>
      </c>
      <c r="J1" s="11"/>
      <c r="K1" s="11"/>
      <c r="L1" s="11"/>
      <c r="M1" s="11"/>
      <c r="N1" s="11"/>
      <c r="O1" s="11"/>
    </row>
    <row r="2">
      <c r="A2" s="11" t="s">
        <v>300</v>
      </c>
      <c r="B2" s="11"/>
      <c r="C2" s="11"/>
      <c r="D2" s="11"/>
      <c r="E2" s="11"/>
      <c r="F2" s="11"/>
      <c r="G2" s="11"/>
      <c r="I2" s="11" t="s">
        <v>306</v>
      </c>
      <c r="J2" s="11"/>
      <c r="K2" s="11"/>
      <c r="L2" s="11"/>
      <c r="M2" s="11"/>
      <c r="N2" s="11"/>
      <c r="O2" s="11"/>
    </row>
    <row r="3">
      <c r="A3" s="21" t="s">
        <v>301</v>
      </c>
      <c r="D3" s="19" t="s">
        <v>302</v>
      </c>
      <c r="G3" s="20" t="s">
        <v>303</v>
      </c>
      <c r="I3" s="21" t="s">
        <v>301</v>
      </c>
      <c r="L3" s="19" t="s">
        <v>302</v>
      </c>
      <c r="O3" s="20" t="s">
        <v>303</v>
      </c>
    </row>
    <row r="4">
      <c r="A4" s="19" t="str">
        <f>'data'!$B$4</f>
      </c>
      <c r="B4" s="22"/>
      <c r="C4" s="22"/>
      <c r="D4" s="22"/>
      <c r="E4" s="22"/>
      <c r="F4" s="22"/>
      <c r="G4" s="19" t="str">
        <f>'data'!$B$3</f>
      </c>
      <c r="I4" s="19" t="str">
        <f>'data'!$B$49</f>
      </c>
      <c r="J4" s="22"/>
      <c r="K4" s="22"/>
      <c r="L4" s="22"/>
      <c r="M4" s="22"/>
      <c r="N4" s="22"/>
      <c r="O4" s="19" t="str">
        <f>'data'!$B$55</f>
      </c>
    </row>
    <row r="6">
      <c r="F6" t="s">
        <v>304</v>
      </c>
      <c r="G6" s="23"/>
      <c r="N6" t="s">
        <v>304</v>
      </c>
      <c r="O6" s="23"/>
    </row>
    <row r="7">
      <c r="F7" t="s">
        <v>305</v>
      </c>
      <c r="G7" s="23"/>
      <c r="N7" t="s">
        <v>305</v>
      </c>
      <c r="O7" s="23"/>
    </row>
    <row r="10">
      <c r="A10" s="11" t="s">
        <v>307</v>
      </c>
      <c r="B10" s="11"/>
      <c r="C10" s="11"/>
      <c r="D10" s="11"/>
      <c r="E10" s="11"/>
      <c r="F10" s="11"/>
      <c r="G10" s="11"/>
      <c r="I10" s="11" t="s">
        <v>308</v>
      </c>
      <c r="J10" s="11"/>
      <c r="K10" s="11"/>
      <c r="L10" s="11"/>
      <c r="M10" s="11"/>
      <c r="N10" s="11"/>
      <c r="O10" s="11"/>
    </row>
    <row r="11">
      <c r="A11" s="21" t="s">
        <v>301</v>
      </c>
      <c r="D11" s="19" t="s">
        <v>302</v>
      </c>
      <c r="G11" s="20" t="s">
        <v>303</v>
      </c>
      <c r="I11" s="21" t="s">
        <v>301</v>
      </c>
      <c r="L11" s="19" t="s">
        <v>302</v>
      </c>
      <c r="O11" s="20" t="s">
        <v>303</v>
      </c>
    </row>
    <row r="12">
      <c r="A12" s="19" t="str">
        <f>'data'!$B$7</f>
      </c>
      <c r="B12" s="22"/>
      <c r="C12" s="22"/>
      <c r="D12" s="22"/>
      <c r="E12" s="22"/>
      <c r="F12" s="22"/>
      <c r="G12" s="19" t="str">
        <f>'data'!$B$6</f>
      </c>
      <c r="I12" s="19" t="str">
        <f>'data'!$B$52</f>
      </c>
      <c r="J12" s="22"/>
      <c r="K12" s="22"/>
      <c r="L12" s="22"/>
      <c r="M12" s="22"/>
      <c r="N12" s="22"/>
      <c r="O12" s="19" t="str">
        <f>'data'!$B$51</f>
      </c>
    </row>
    <row r="14">
      <c r="F14" t="s">
        <v>304</v>
      </c>
      <c r="G14" s="23"/>
      <c r="N14" t="s">
        <v>304</v>
      </c>
      <c r="O14" s="23"/>
    </row>
    <row r="15">
      <c r="F15" t="s">
        <v>305</v>
      </c>
      <c r="G15" s="23"/>
      <c r="N15" t="s">
        <v>305</v>
      </c>
      <c r="O15" s="23"/>
    </row>
    <row r="18">
      <c r="A18" s="11" t="s">
        <v>309</v>
      </c>
      <c r="B18" s="11"/>
      <c r="C18" s="11"/>
      <c r="D18" s="11"/>
      <c r="E18" s="11"/>
      <c r="F18" s="11"/>
      <c r="G18" s="11"/>
      <c r="I18" s="11" t="s">
        <v>310</v>
      </c>
      <c r="J18" s="11"/>
      <c r="K18" s="11"/>
      <c r="L18" s="11"/>
      <c r="M18" s="11"/>
      <c r="N18" s="11"/>
      <c r="O18" s="11"/>
    </row>
    <row r="19">
      <c r="A19" s="21" t="s">
        <v>301</v>
      </c>
      <c r="D19" s="19" t="s">
        <v>302</v>
      </c>
      <c r="G19" s="20" t="s">
        <v>303</v>
      </c>
      <c r="I19" s="21" t="s">
        <v>301</v>
      </c>
      <c r="L19" s="19" t="s">
        <v>302</v>
      </c>
      <c r="O19" s="20" t="s">
        <v>303</v>
      </c>
    </row>
    <row r="20">
      <c r="A20" s="19" t="str">
        <f>'data'!$B$38</f>
      </c>
      <c r="B20" s="22"/>
      <c r="C20" s="22"/>
      <c r="D20" s="22"/>
      <c r="E20" s="22"/>
      <c r="F20" s="22"/>
      <c r="G20" s="19" t="str">
        <f>'data'!$B$37</f>
      </c>
      <c r="I20" s="19" t="str">
        <f>'data'!$B$55</f>
      </c>
      <c r="J20" s="22"/>
      <c r="K20" s="22"/>
      <c r="L20" s="22"/>
      <c r="M20" s="22"/>
      <c r="N20" s="22"/>
      <c r="O20" s="19" t="str">
        <f>'data'!$B$54</f>
      </c>
    </row>
    <row r="22">
      <c r="F22" t="s">
        <v>304</v>
      </c>
      <c r="G22" s="23"/>
      <c r="N22" t="s">
        <v>304</v>
      </c>
      <c r="O22" s="23"/>
    </row>
    <row r="23">
      <c r="F23" t="s">
        <v>305</v>
      </c>
      <c r="G23" s="23"/>
      <c r="N23" t="s">
        <v>305</v>
      </c>
      <c r="O23" s="23"/>
    </row>
    <row r="26">
      <c r="A26" s="11" t="s">
        <v>311</v>
      </c>
      <c r="B26" s="11"/>
      <c r="C26" s="11"/>
      <c r="D26" s="11"/>
      <c r="E26" s="11"/>
      <c r="F26" s="11"/>
      <c r="G26" s="11"/>
      <c r="I26" s="11" t="s">
        <v>312</v>
      </c>
      <c r="J26" s="11"/>
      <c r="K26" s="11"/>
      <c r="L26" s="11"/>
      <c r="M26" s="11"/>
      <c r="N26" s="11"/>
      <c r="O26" s="11"/>
    </row>
    <row r="27">
      <c r="A27" s="21" t="s">
        <v>301</v>
      </c>
      <c r="D27" s="19" t="s">
        <v>302</v>
      </c>
      <c r="G27" s="20" t="s">
        <v>303</v>
      </c>
      <c r="I27" s="21" t="s">
        <v>301</v>
      </c>
      <c r="L27" s="19" t="s">
        <v>302</v>
      </c>
      <c r="O27" s="20" t="s">
        <v>303</v>
      </c>
    </row>
    <row r="28">
      <c r="A28" s="19" t="str">
        <f>'data'!$B$91</f>
      </c>
      <c r="B28" s="22"/>
      <c r="C28" s="22"/>
      <c r="D28" s="22"/>
      <c r="E28" s="22"/>
      <c r="F28" s="22"/>
      <c r="G28" s="19" t="str">
        <f>'data'!$B$90</f>
      </c>
      <c r="I28" s="19" t="str">
        <f>'data'!$B$58</f>
      </c>
      <c r="J28" s="22"/>
      <c r="K28" s="22"/>
      <c r="L28" s="22"/>
      <c r="M28" s="22"/>
      <c r="N28" s="22"/>
      <c r="O28" s="19" t="str">
        <f>'data'!$B$57</f>
      </c>
    </row>
    <row r="30">
      <c r="F30" t="s">
        <v>304</v>
      </c>
      <c r="G30" s="23"/>
      <c r="N30" t="s">
        <v>304</v>
      </c>
      <c r="O30" s="23"/>
    </row>
    <row r="31">
      <c r="F31" t="s">
        <v>305</v>
      </c>
      <c r="G31" s="23"/>
      <c r="N31" t="s">
        <v>305</v>
      </c>
      <c r="O31" s="23"/>
    </row>
    <row r="34">
      <c r="A34" s="11" t="s">
        <v>313</v>
      </c>
      <c r="B34" s="11"/>
      <c r="C34" s="11"/>
      <c r="D34" s="11"/>
      <c r="E34" s="11"/>
      <c r="F34" s="11"/>
      <c r="G34" s="11"/>
      <c r="I34" s="11" t="s">
        <v>314</v>
      </c>
      <c r="J34" s="11"/>
      <c r="K34" s="11"/>
      <c r="L34" s="11"/>
      <c r="M34" s="11"/>
      <c r="N34" s="11"/>
      <c r="O34" s="11"/>
    </row>
    <row r="35">
      <c r="A35" s="21" t="s">
        <v>301</v>
      </c>
      <c r="D35" s="19" t="s">
        <v>302</v>
      </c>
      <c r="G35" s="20" t="s">
        <v>303</v>
      </c>
      <c r="I35" s="21" t="s">
        <v>301</v>
      </c>
      <c r="L35" s="19" t="s">
        <v>302</v>
      </c>
      <c r="O35" s="20" t="s">
        <v>303</v>
      </c>
    </row>
    <row r="36">
      <c r="A36" s="19" t="str">
        <f>'data'!$B$15</f>
      </c>
      <c r="B36" s="22"/>
      <c r="C36" s="22"/>
      <c r="D36" s="22"/>
      <c r="E36" s="22"/>
      <c r="F36" s="22"/>
      <c r="G36" s="19" t="str">
        <f>'data'!$B$14</f>
      </c>
      <c r="I36" s="19" t="str">
        <f>'data'!$B$61</f>
      </c>
      <c r="J36" s="22"/>
      <c r="K36" s="22"/>
      <c r="L36" s="22"/>
      <c r="M36" s="22"/>
      <c r="N36" s="22"/>
      <c r="O36" s="19" t="str">
        <f>'data'!$B$60</f>
      </c>
    </row>
    <row r="38">
      <c r="F38" t="s">
        <v>304</v>
      </c>
      <c r="G38" s="23"/>
      <c r="N38" t="s">
        <v>304</v>
      </c>
      <c r="O38" s="23"/>
    </row>
    <row r="39">
      <c r="F39" t="s">
        <v>305</v>
      </c>
      <c r="G39" s="23"/>
      <c r="N39" t="s">
        <v>305</v>
      </c>
      <c r="O39" s="23"/>
    </row>
    <row r="42">
      <c r="A42" s="11" t="s">
        <v>315</v>
      </c>
      <c r="B42" s="11"/>
      <c r="C42" s="11"/>
      <c r="D42" s="11"/>
      <c r="E42" s="11"/>
      <c r="F42" s="11"/>
      <c r="G42" s="11"/>
      <c r="I42" s="11" t="s">
        <v>316</v>
      </c>
      <c r="J42" s="11"/>
      <c r="K42" s="11"/>
      <c r="L42" s="11"/>
      <c r="M42" s="11"/>
      <c r="N42" s="11"/>
      <c r="O42" s="11"/>
    </row>
    <row r="43">
      <c r="A43" s="21" t="s">
        <v>301</v>
      </c>
      <c r="D43" s="19" t="s">
        <v>302</v>
      </c>
      <c r="G43" s="20" t="s">
        <v>303</v>
      </c>
      <c r="I43" s="21" t="s">
        <v>301</v>
      </c>
      <c r="L43" s="19" t="s">
        <v>302</v>
      </c>
      <c r="O43" s="20" t="s">
        <v>303</v>
      </c>
    </row>
    <row r="44">
      <c r="A44" s="19" t="str">
        <f>'data'!$B$85</f>
      </c>
      <c r="B44" s="22"/>
      <c r="C44" s="22"/>
      <c r="D44" s="22"/>
      <c r="E44" s="22"/>
      <c r="F44" s="22"/>
      <c r="G44" s="19" t="str">
        <f>'data'!$B$17</f>
      </c>
      <c r="I44" s="19" t="str">
        <f>'data'!$B$64</f>
      </c>
      <c r="J44" s="22"/>
      <c r="K44" s="22"/>
      <c r="L44" s="22"/>
      <c r="M44" s="22"/>
      <c r="N44" s="22"/>
      <c r="O44" s="19" t="str">
        <f>'data'!$B$63</f>
      </c>
    </row>
    <row r="46">
      <c r="F46" t="s">
        <v>304</v>
      </c>
      <c r="G46" s="23"/>
      <c r="N46" t="s">
        <v>304</v>
      </c>
      <c r="O46" s="23"/>
    </row>
    <row r="47">
      <c r="F47" t="s">
        <v>305</v>
      </c>
      <c r="G47" s="23"/>
      <c r="N47" t="s">
        <v>305</v>
      </c>
      <c r="O47" s="23"/>
    </row>
    <row r="50">
      <c r="A50" s="11" t="s">
        <v>317</v>
      </c>
      <c r="B50" s="11"/>
      <c r="C50" s="11"/>
      <c r="D50" s="11"/>
      <c r="E50" s="11"/>
      <c r="F50" s="11"/>
      <c r="G50" s="11"/>
      <c r="I50" s="11" t="s">
        <v>318</v>
      </c>
      <c r="J50" s="11"/>
      <c r="K50" s="11"/>
      <c r="L50" s="11"/>
      <c r="M50" s="11"/>
      <c r="N50" s="11"/>
      <c r="O50" s="11"/>
    </row>
    <row r="51">
      <c r="A51" s="21" t="s">
        <v>301</v>
      </c>
      <c r="D51" s="19" t="s">
        <v>302</v>
      </c>
      <c r="G51" s="20" t="s">
        <v>303</v>
      </c>
      <c r="I51" s="21" t="s">
        <v>301</v>
      </c>
      <c r="L51" s="19" t="s">
        <v>302</v>
      </c>
      <c r="O51" s="20" t="s">
        <v>303</v>
      </c>
    </row>
    <row r="52">
      <c r="A52" s="19" t="str">
        <f>'data'!$B$21</f>
      </c>
      <c r="B52" s="22"/>
      <c r="C52" s="22"/>
      <c r="D52" s="22"/>
      <c r="E52" s="22"/>
      <c r="F52" s="22"/>
      <c r="G52" s="19" t="str">
        <f>'data'!$B$20</f>
      </c>
      <c r="I52" s="19" t="str">
        <f>'data'!$B$67</f>
      </c>
      <c r="J52" s="22"/>
      <c r="K52" s="22"/>
      <c r="L52" s="22"/>
      <c r="M52" s="22"/>
      <c r="N52" s="22"/>
      <c r="O52" s="19" t="str">
        <f>'data'!$B$66</f>
      </c>
    </row>
    <row r="54">
      <c r="F54" t="s">
        <v>304</v>
      </c>
      <c r="G54" s="23"/>
      <c r="N54" t="s">
        <v>304</v>
      </c>
      <c r="O54" s="23"/>
    </row>
    <row r="55">
      <c r="F55" t="s">
        <v>305</v>
      </c>
      <c r="G55" s="23"/>
      <c r="N55" t="s">
        <v>305</v>
      </c>
      <c r="O55" s="23"/>
    </row>
    <row r="58">
      <c r="A58" s="11" t="s">
        <v>319</v>
      </c>
      <c r="B58" s="11"/>
      <c r="C58" s="11"/>
      <c r="D58" s="11"/>
      <c r="E58" s="11"/>
      <c r="F58" s="11"/>
      <c r="G58" s="11"/>
      <c r="I58" s="11" t="s">
        <v>320</v>
      </c>
      <c r="J58" s="11"/>
      <c r="K58" s="11"/>
      <c r="L58" s="11"/>
      <c r="M58" s="11"/>
      <c r="N58" s="11"/>
      <c r="O58" s="11"/>
    </row>
    <row r="59">
      <c r="A59" s="21" t="s">
        <v>301</v>
      </c>
      <c r="D59" s="19" t="s">
        <v>302</v>
      </c>
      <c r="G59" s="20" t="s">
        <v>303</v>
      </c>
      <c r="I59" s="21" t="s">
        <v>301</v>
      </c>
      <c r="L59" s="19" t="s">
        <v>302</v>
      </c>
      <c r="O59" s="20" t="s">
        <v>303</v>
      </c>
    </row>
    <row r="60">
      <c r="A60" s="19" t="str">
        <f>'data'!$B$24</f>
      </c>
      <c r="B60" s="22"/>
      <c r="C60" s="22"/>
      <c r="D60" s="22"/>
      <c r="E60" s="22"/>
      <c r="F60" s="22"/>
      <c r="G60" s="19" t="str">
        <f>'data'!$B$23</f>
      </c>
      <c r="I60" s="19" t="str">
        <f>'data'!$B$82</f>
      </c>
      <c r="J60" s="22"/>
      <c r="K60" s="22"/>
      <c r="L60" s="22"/>
      <c r="M60" s="22"/>
      <c r="N60" s="22"/>
      <c r="O60" s="19" t="str">
        <f>'data'!$B$69</f>
      </c>
    </row>
    <row r="62">
      <c r="F62" t="s">
        <v>304</v>
      </c>
      <c r="G62" s="23"/>
      <c r="N62" t="s">
        <v>304</v>
      </c>
      <c r="O62" s="23"/>
    </row>
    <row r="63">
      <c r="F63" t="s">
        <v>305</v>
      </c>
      <c r="G63" s="23"/>
      <c r="N63" t="s">
        <v>305</v>
      </c>
      <c r="O63" s="23"/>
    </row>
    <row r="66">
      <c r="A66" s="11" t="s">
        <v>321</v>
      </c>
      <c r="B66" s="11"/>
      <c r="C66" s="11"/>
      <c r="D66" s="11"/>
      <c r="E66" s="11"/>
      <c r="F66" s="11"/>
      <c r="G66" s="11"/>
      <c r="I66" s="11" t="s">
        <v>322</v>
      </c>
      <c r="J66" s="11"/>
      <c r="K66" s="11"/>
      <c r="L66" s="11"/>
      <c r="M66" s="11"/>
      <c r="N66" s="11"/>
      <c r="O66" s="11"/>
    </row>
    <row r="67">
      <c r="A67" s="21" t="s">
        <v>301</v>
      </c>
      <c r="D67" s="19" t="s">
        <v>302</v>
      </c>
      <c r="G67" s="20" t="s">
        <v>303</v>
      </c>
      <c r="I67" s="21" t="s">
        <v>301</v>
      </c>
      <c r="L67" s="19" t="s">
        <v>302</v>
      </c>
      <c r="O67" s="20" t="s">
        <v>303</v>
      </c>
    </row>
    <row r="68">
      <c r="A68" s="19" t="str">
        <f>'data'!$B$26</f>
      </c>
      <c r="B68" s="22"/>
      <c r="C68" s="22"/>
      <c r="D68" s="22"/>
      <c r="E68" s="22"/>
      <c r="F68" s="22"/>
      <c r="G68" s="19" t="str">
        <f>'data'!$B$25</f>
      </c>
      <c r="I68" s="19" t="str">
        <f>'data'!$B$72</f>
      </c>
      <c r="J68" s="22"/>
      <c r="K68" s="22"/>
      <c r="L68" s="22"/>
      <c r="M68" s="22"/>
      <c r="N68" s="22"/>
      <c r="O68" s="19" t="str">
        <f>'data'!$B$71</f>
      </c>
    </row>
    <row r="70">
      <c r="F70" t="s">
        <v>304</v>
      </c>
      <c r="G70" s="23"/>
      <c r="N70" t="s">
        <v>304</v>
      </c>
      <c r="O70" s="23"/>
    </row>
    <row r="71">
      <c r="F71" t="s">
        <v>305</v>
      </c>
      <c r="G71" s="23"/>
      <c r="N71" t="s">
        <v>305</v>
      </c>
      <c r="O71" s="23"/>
    </row>
    <row r="74">
      <c r="A74" s="11" t="s">
        <v>323</v>
      </c>
      <c r="B74" s="11"/>
      <c r="C74" s="11"/>
      <c r="D74" s="11"/>
      <c r="E74" s="11"/>
      <c r="F74" s="11"/>
      <c r="G74" s="11"/>
      <c r="I74" s="11" t="s">
        <v>324</v>
      </c>
      <c r="J74" s="11"/>
      <c r="K74" s="11"/>
      <c r="L74" s="11"/>
      <c r="M74" s="11"/>
      <c r="N74" s="11"/>
      <c r="O74" s="11"/>
    </row>
    <row r="75">
      <c r="A75" s="21" t="s">
        <v>301</v>
      </c>
      <c r="D75" s="19" t="s">
        <v>302</v>
      </c>
      <c r="G75" s="20" t="s">
        <v>303</v>
      </c>
      <c r="I75" s="21" t="s">
        <v>301</v>
      </c>
      <c r="L75" s="19" t="s">
        <v>302</v>
      </c>
      <c r="O75" s="20" t="s">
        <v>303</v>
      </c>
    </row>
    <row r="76">
      <c r="A76" s="19" t="str">
        <f>'data'!$B$29</f>
      </c>
      <c r="B76" s="22"/>
      <c r="C76" s="22"/>
      <c r="D76" s="22"/>
      <c r="E76" s="22"/>
      <c r="F76" s="22"/>
      <c r="G76" s="19" t="str">
        <f>'data'!$B$81</f>
      </c>
      <c r="I76" s="19" t="str">
        <f>'data'!$B$75</f>
      </c>
      <c r="J76" s="22"/>
      <c r="K76" s="22"/>
      <c r="L76" s="22"/>
      <c r="M76" s="22"/>
      <c r="N76" s="22"/>
      <c r="O76" s="19" t="str">
        <f>'data'!$B$74</f>
      </c>
    </row>
    <row r="78">
      <c r="F78" t="s">
        <v>304</v>
      </c>
      <c r="G78" s="23"/>
      <c r="N78" t="s">
        <v>304</v>
      </c>
      <c r="O78" s="23"/>
    </row>
    <row r="79">
      <c r="F79" t="s">
        <v>305</v>
      </c>
      <c r="G79" s="23"/>
      <c r="N79" t="s">
        <v>305</v>
      </c>
      <c r="O79" s="23"/>
    </row>
    <row r="82">
      <c r="A82" s="11" t="s">
        <v>325</v>
      </c>
      <c r="B82" s="11"/>
      <c r="C82" s="11"/>
      <c r="D82" s="11"/>
      <c r="E82" s="11"/>
      <c r="F82" s="11"/>
      <c r="G82" s="11"/>
      <c r="I82" s="11" t="s">
        <v>326</v>
      </c>
      <c r="J82" s="11"/>
      <c r="K82" s="11"/>
      <c r="L82" s="11"/>
      <c r="M82" s="11"/>
      <c r="N82" s="11"/>
      <c r="O82" s="11"/>
    </row>
    <row r="83">
      <c r="A83" s="21" t="s">
        <v>301</v>
      </c>
      <c r="D83" s="19" t="s">
        <v>302</v>
      </c>
      <c r="G83" s="20" t="s">
        <v>303</v>
      </c>
      <c r="I83" s="21" t="s">
        <v>301</v>
      </c>
      <c r="L83" s="19" t="s">
        <v>302</v>
      </c>
      <c r="O83" s="20" t="s">
        <v>303</v>
      </c>
    </row>
    <row r="84">
      <c r="A84" s="19" t="str">
        <f>'data'!$B$56</f>
      </c>
      <c r="B84" s="22"/>
      <c r="C84" s="22"/>
      <c r="D84" s="22"/>
      <c r="E84" s="22"/>
      <c r="F84" s="22"/>
      <c r="G84" s="19" t="str">
        <f>'data'!$B$31</f>
      </c>
      <c r="I84" s="19" t="str">
        <f>'data'!$B$78</f>
      </c>
      <c r="J84" s="22"/>
      <c r="K84" s="22"/>
      <c r="L84" s="22"/>
      <c r="M84" s="22"/>
      <c r="N84" s="22"/>
      <c r="O84" s="19" t="str">
        <f>'data'!$B$77</f>
      </c>
    </row>
    <row r="86">
      <c r="F86" t="s">
        <v>304</v>
      </c>
      <c r="G86" s="23"/>
      <c r="N86" t="s">
        <v>304</v>
      </c>
      <c r="O86" s="23"/>
    </row>
    <row r="87">
      <c r="F87" t="s">
        <v>305</v>
      </c>
      <c r="G87" s="23"/>
      <c r="N87" t="s">
        <v>305</v>
      </c>
      <c r="O87" s="23"/>
    </row>
    <row r="90">
      <c r="A90" s="11" t="s">
        <v>327</v>
      </c>
      <c r="B90" s="11"/>
      <c r="C90" s="11"/>
      <c r="D90" s="11"/>
      <c r="E90" s="11"/>
      <c r="F90" s="11"/>
      <c r="G90" s="11"/>
      <c r="I90" s="11" t="s">
        <v>328</v>
      </c>
      <c r="J90" s="11"/>
      <c r="K90" s="11"/>
      <c r="L90" s="11"/>
      <c r="M90" s="11"/>
      <c r="N90" s="11"/>
      <c r="O90" s="11"/>
    </row>
    <row r="91">
      <c r="A91" s="21" t="s">
        <v>301</v>
      </c>
      <c r="D91" s="19" t="s">
        <v>302</v>
      </c>
      <c r="G91" s="20" t="s">
        <v>303</v>
      </c>
      <c r="I91" s="21" t="s">
        <v>301</v>
      </c>
      <c r="L91" s="19" t="s">
        <v>302</v>
      </c>
      <c r="O91" s="20" t="s">
        <v>303</v>
      </c>
    </row>
    <row r="92">
      <c r="A92" s="19" t="str">
        <f>'data'!$B$35</f>
      </c>
      <c r="B92" s="22"/>
      <c r="C92" s="22"/>
      <c r="D92" s="22"/>
      <c r="E92" s="22"/>
      <c r="F92" s="22"/>
      <c r="G92" s="19" t="str">
        <f>'data'!$B$58</f>
      </c>
      <c r="I92" s="19" t="str">
        <f>'data'!$B$81</f>
      </c>
      <c r="J92" s="22"/>
      <c r="K92" s="22"/>
      <c r="L92" s="22"/>
      <c r="M92" s="22"/>
      <c r="N92" s="22"/>
      <c r="O92" s="19" t="str">
        <f>'data'!$B$80</f>
      </c>
    </row>
    <row r="94">
      <c r="F94" t="s">
        <v>304</v>
      </c>
      <c r="G94" s="23"/>
      <c r="N94" t="s">
        <v>304</v>
      </c>
      <c r="O94" s="23"/>
    </row>
    <row r="95">
      <c r="F95" t="s">
        <v>305</v>
      </c>
      <c r="G95" s="23"/>
      <c r="N95" t="s">
        <v>305</v>
      </c>
      <c r="O95" s="23"/>
    </row>
    <row r="98">
      <c r="A98" s="11" t="s">
        <v>329</v>
      </c>
      <c r="B98" s="11"/>
      <c r="C98" s="11"/>
      <c r="D98" s="11"/>
      <c r="E98" s="11"/>
      <c r="F98" s="11"/>
      <c r="G98" s="11"/>
      <c r="I98" s="11" t="s">
        <v>330</v>
      </c>
      <c r="J98" s="11"/>
      <c r="K98" s="11"/>
      <c r="L98" s="11"/>
      <c r="M98" s="11"/>
      <c r="N98" s="11"/>
      <c r="O98" s="11"/>
    </row>
    <row r="99">
      <c r="A99" s="21" t="s">
        <v>301</v>
      </c>
      <c r="D99" s="19" t="s">
        <v>302</v>
      </c>
      <c r="G99" s="20" t="s">
        <v>303</v>
      </c>
      <c r="I99" s="21" t="s">
        <v>301</v>
      </c>
      <c r="L99" s="19" t="s">
        <v>302</v>
      </c>
      <c r="O99" s="20" t="s">
        <v>303</v>
      </c>
    </row>
    <row r="100">
      <c r="A100" s="19" t="str">
        <f>'data'!$B$38</f>
      </c>
      <c r="B100" s="22"/>
      <c r="C100" s="22"/>
      <c r="D100" s="22"/>
      <c r="E100" s="22"/>
      <c r="F100" s="22"/>
      <c r="G100" s="19" t="str">
        <f>'data'!$B$37</f>
      </c>
      <c r="I100" s="19" t="str">
        <f>'data'!$B$84</f>
      </c>
      <c r="J100" s="22"/>
      <c r="K100" s="22"/>
      <c r="L100" s="22"/>
      <c r="M100" s="22"/>
      <c r="N100" s="22"/>
      <c r="O100" s="19" t="str">
        <f>'data'!$B$83</f>
      </c>
    </row>
    <row r="102">
      <c r="F102" t="s">
        <v>304</v>
      </c>
      <c r="G102" s="23"/>
      <c r="N102" t="s">
        <v>304</v>
      </c>
      <c r="O102" s="23"/>
    </row>
    <row r="103">
      <c r="F103" t="s">
        <v>305</v>
      </c>
      <c r="G103" s="23"/>
      <c r="N103" t="s">
        <v>305</v>
      </c>
      <c r="O103" s="23"/>
    </row>
    <row r="106">
      <c r="A106" s="11" t="s">
        <v>331</v>
      </c>
      <c r="B106" s="11"/>
      <c r="C106" s="11"/>
      <c r="D106" s="11"/>
      <c r="E106" s="11"/>
      <c r="F106" s="11"/>
      <c r="G106" s="11"/>
      <c r="I106" s="11" t="s">
        <v>332</v>
      </c>
      <c r="J106" s="11"/>
      <c r="K106" s="11"/>
      <c r="L106" s="11"/>
      <c r="M106" s="11"/>
      <c r="N106" s="11"/>
      <c r="O106" s="11"/>
    </row>
    <row r="107">
      <c r="A107" s="21" t="s">
        <v>301</v>
      </c>
      <c r="D107" s="19" t="s">
        <v>302</v>
      </c>
      <c r="G107" s="20" t="s">
        <v>303</v>
      </c>
      <c r="I107" s="21" t="s">
        <v>301</v>
      </c>
      <c r="L107" s="19" t="s">
        <v>302</v>
      </c>
      <c r="O107" s="20" t="s">
        <v>303</v>
      </c>
    </row>
    <row r="108">
      <c r="A108" s="19" t="str">
        <f>'data'!$B$41</f>
      </c>
      <c r="B108" s="22"/>
      <c r="C108" s="22"/>
      <c r="D108" s="22"/>
      <c r="E108" s="22"/>
      <c r="F108" s="22"/>
      <c r="G108" s="19" t="str">
        <f>'data'!$B$40</f>
      </c>
      <c r="I108" s="19" t="str">
        <f>'data'!$B$87</f>
      </c>
      <c r="J108" s="22"/>
      <c r="K108" s="22"/>
      <c r="L108" s="22"/>
      <c r="M108" s="22"/>
      <c r="N108" s="22"/>
      <c r="O108" s="19" t="str">
        <f>'data'!$B$86</f>
      </c>
    </row>
    <row r="110">
      <c r="F110" t="s">
        <v>304</v>
      </c>
      <c r="G110" s="23"/>
      <c r="N110" t="s">
        <v>304</v>
      </c>
      <c r="O110" s="23"/>
    </row>
    <row r="111">
      <c r="F111" t="s">
        <v>305</v>
      </c>
      <c r="G111" s="23"/>
      <c r="N111" t="s">
        <v>305</v>
      </c>
      <c r="O111" s="23"/>
    </row>
    <row r="114">
      <c r="A114" s="11" t="s">
        <v>333</v>
      </c>
      <c r="B114" s="11"/>
      <c r="C114" s="11"/>
      <c r="D114" s="11"/>
      <c r="E114" s="11"/>
      <c r="F114" s="11"/>
      <c r="G114" s="11"/>
      <c r="I114" s="11" t="s">
        <v>334</v>
      </c>
      <c r="J114" s="11"/>
      <c r="K114" s="11"/>
      <c r="L114" s="11"/>
      <c r="M114" s="11"/>
      <c r="N114" s="11"/>
      <c r="O114" s="11"/>
    </row>
    <row r="115">
      <c r="A115" s="21" t="s">
        <v>301</v>
      </c>
      <c r="D115" s="19" t="s">
        <v>302</v>
      </c>
      <c r="G115" s="20" t="s">
        <v>303</v>
      </c>
      <c r="I115" s="21" t="s">
        <v>301</v>
      </c>
      <c r="L115" s="19" t="s">
        <v>302</v>
      </c>
      <c r="O115" s="20" t="s">
        <v>303</v>
      </c>
    </row>
    <row r="116">
      <c r="A116" s="19" t="str">
        <f>'data'!$B$44</f>
      </c>
      <c r="B116" s="22"/>
      <c r="C116" s="22"/>
      <c r="D116" s="22"/>
      <c r="E116" s="22"/>
      <c r="F116" s="22"/>
      <c r="G116" s="19" t="str">
        <f>'data'!$B$62</f>
      </c>
      <c r="I116" s="19" t="str">
        <f>'data'!$B$90</f>
      </c>
      <c r="J116" s="22"/>
      <c r="K116" s="22"/>
      <c r="L116" s="22"/>
      <c r="M116" s="22"/>
      <c r="N116" s="22"/>
      <c r="O116" s="19" t="str">
        <f>'data'!$B$89</f>
      </c>
    </row>
    <row r="118">
      <c r="F118" t="s">
        <v>304</v>
      </c>
      <c r="G118" s="23"/>
      <c r="N118" t="s">
        <v>304</v>
      </c>
      <c r="O118" s="23"/>
    </row>
    <row r="119">
      <c r="F119" t="s">
        <v>305</v>
      </c>
      <c r="G119" s="23"/>
      <c r="N119" t="s">
        <v>305</v>
      </c>
      <c r="O119" s="23"/>
    </row>
    <row r="122">
      <c r="A122" s="11" t="s">
        <v>335</v>
      </c>
      <c r="B122" s="11"/>
      <c r="C122" s="11"/>
      <c r="D122" s="11"/>
      <c r="E122" s="11"/>
      <c r="F122" s="11"/>
      <c r="G122" s="11"/>
      <c r="I122" s="11" t="s">
        <v>336</v>
      </c>
      <c r="J122" s="11"/>
      <c r="K122" s="11"/>
      <c r="L122" s="11"/>
      <c r="M122" s="11"/>
      <c r="N122" s="11"/>
      <c r="O122" s="11"/>
    </row>
    <row r="123">
      <c r="A123" s="21" t="s">
        <v>301</v>
      </c>
      <c r="D123" s="19" t="s">
        <v>302</v>
      </c>
      <c r="G123" s="20" t="s">
        <v>303</v>
      </c>
      <c r="I123" s="21" t="s">
        <v>301</v>
      </c>
      <c r="L123" s="19" t="s">
        <v>302</v>
      </c>
      <c r="O123" s="20" t="s">
        <v>303</v>
      </c>
    </row>
    <row r="124">
      <c r="A124" s="19" t="str">
        <f>'data'!$B$47</f>
      </c>
      <c r="B124" s="22"/>
      <c r="C124" s="22"/>
      <c r="D124" s="22"/>
      <c r="E124" s="22"/>
      <c r="F124" s="22"/>
      <c r="G124" s="19" t="str">
        <f>'data'!$B$46</f>
      </c>
      <c r="I124" s="19" t="str">
        <f>'data'!$B$93</f>
      </c>
      <c r="J124" s="22"/>
      <c r="K124" s="22"/>
      <c r="L124" s="22"/>
      <c r="M124" s="22"/>
      <c r="N124" s="22"/>
      <c r="O124" s="19" t="str">
        <f>'data'!$B$92</f>
      </c>
    </row>
    <row r="126">
      <c r="F126" t="s">
        <v>304</v>
      </c>
      <c r="G126" s="23"/>
      <c r="N126" t="s">
        <v>304</v>
      </c>
      <c r="O126" s="23"/>
    </row>
    <row r="127">
      <c r="F127" t="s">
        <v>305</v>
      </c>
      <c r="G127" s="23"/>
      <c r="N127" t="s">
        <v>305</v>
      </c>
      <c r="O127" s="23"/>
    </row>
    <row r="135">
      <c r="A135" s="11" t="s">
        <v>337</v>
      </c>
      <c r="B135" s="11"/>
      <c r="C135" s="11"/>
      <c r="D135" s="11"/>
      <c r="E135" s="11"/>
      <c r="F135" s="11"/>
      <c r="G135" s="11"/>
      <c r="I135" s="11" t="s">
        <v>338</v>
      </c>
      <c r="J135" s="11"/>
      <c r="K135" s="11"/>
      <c r="L135" s="11"/>
      <c r="M135" s="11"/>
      <c r="N135" s="11"/>
      <c r="O135" s="11"/>
    </row>
    <row r="136">
      <c r="A136" s="21" t="s">
        <v>301</v>
      </c>
      <c r="D136" s="19" t="s">
        <v>302</v>
      </c>
      <c r="G136" s="20" t="s">
        <v>303</v>
      </c>
      <c r="I136" s="21" t="s">
        <v>301</v>
      </c>
      <c r="L136" s="19" t="s">
        <v>302</v>
      </c>
      <c r="O136" s="20" t="s">
        <v>303</v>
      </c>
    </row>
    <row r="137">
      <c r="A137" s="19" t="str">
        <f>CONCATENATE("M 2 ",G14)</f>
      </c>
      <c r="B137" s="22"/>
      <c r="C137" s="22"/>
      <c r="D137" s="22"/>
      <c r="E137" s="22"/>
      <c r="F137" s="22"/>
      <c r="G137" s="19" t="str">
        <f>'data'!$B$5</f>
      </c>
      <c r="I137" s="19" t="str">
        <f>CONCATENATE("M 18 ",O14)</f>
      </c>
      <c r="J137" s="22"/>
      <c r="K137" s="22"/>
      <c r="L137" s="22"/>
      <c r="M137" s="22"/>
      <c r="N137" s="22"/>
      <c r="O137" s="19" t="str">
        <f>'data'!$B$50</f>
      </c>
    </row>
    <row r="139">
      <c r="F139" t="s">
        <v>304</v>
      </c>
      <c r="G139" s="23"/>
      <c r="N139" t="s">
        <v>304</v>
      </c>
      <c r="O139" s="23"/>
    </row>
    <row r="140">
      <c r="F140" t="s">
        <v>305</v>
      </c>
      <c r="G140" s="23"/>
      <c r="N140" t="s">
        <v>305</v>
      </c>
      <c r="O140" s="23"/>
    </row>
    <row r="143">
      <c r="A143" s="11" t="s">
        <v>339</v>
      </c>
      <c r="B143" s="11"/>
      <c r="C143" s="11"/>
      <c r="D143" s="11"/>
      <c r="E143" s="11"/>
      <c r="F143" s="11"/>
      <c r="G143" s="11"/>
      <c r="I143" s="11" t="s">
        <v>340</v>
      </c>
      <c r="J143" s="11"/>
      <c r="K143" s="11"/>
      <c r="L143" s="11"/>
      <c r="M143" s="11"/>
      <c r="N143" s="11"/>
      <c r="O143" s="11"/>
    </row>
    <row r="144">
      <c r="A144" s="21" t="s">
        <v>301</v>
      </c>
      <c r="D144" s="19" t="s">
        <v>302</v>
      </c>
      <c r="G144" s="20" t="s">
        <v>303</v>
      </c>
      <c r="I144" s="21" t="s">
        <v>301</v>
      </c>
      <c r="L144" s="19" t="s">
        <v>302</v>
      </c>
      <c r="O144" s="20" t="s">
        <v>303</v>
      </c>
    </row>
    <row r="145">
      <c r="A145" s="19" t="str">
        <f>CONCATENATE("M 3 ",G22)</f>
      </c>
      <c r="B145" s="22"/>
      <c r="C145" s="22"/>
      <c r="D145" s="22"/>
      <c r="E145" s="22"/>
      <c r="F145" s="22"/>
      <c r="G145" s="19" t="str">
        <f>'data'!$B$8</f>
      </c>
      <c r="I145" s="19" t="str">
        <f>CONCATENATE("M 19 ",O22)</f>
      </c>
      <c r="J145" s="22"/>
      <c r="K145" s="22"/>
      <c r="L145" s="22"/>
      <c r="M145" s="22"/>
      <c r="N145" s="22"/>
      <c r="O145" s="19" t="str">
        <f>'data'!$B$53</f>
      </c>
    </row>
    <row r="147">
      <c r="F147" t="s">
        <v>304</v>
      </c>
      <c r="G147" s="23"/>
      <c r="N147" t="s">
        <v>304</v>
      </c>
      <c r="O147" s="23"/>
    </row>
    <row r="148">
      <c r="F148" t="s">
        <v>305</v>
      </c>
      <c r="G148" s="23"/>
      <c r="N148" t="s">
        <v>305</v>
      </c>
      <c r="O148" s="23"/>
    </row>
    <row r="151">
      <c r="A151" s="11" t="s">
        <v>341</v>
      </c>
      <c r="B151" s="11"/>
      <c r="C151" s="11"/>
      <c r="D151" s="11"/>
      <c r="E151" s="11"/>
      <c r="F151" s="11"/>
      <c r="G151" s="11"/>
      <c r="I151" s="11" t="s">
        <v>342</v>
      </c>
      <c r="J151" s="11"/>
      <c r="K151" s="11"/>
      <c r="L151" s="11"/>
      <c r="M151" s="11"/>
      <c r="N151" s="11"/>
      <c r="O151" s="11"/>
    </row>
    <row r="152">
      <c r="A152" s="21" t="s">
        <v>301</v>
      </c>
      <c r="D152" s="19" t="s">
        <v>302</v>
      </c>
      <c r="G152" s="20" t="s">
        <v>303</v>
      </c>
      <c r="I152" s="21" t="s">
        <v>301</v>
      </c>
      <c r="L152" s="19" t="s">
        <v>302</v>
      </c>
      <c r="O152" s="20" t="s">
        <v>303</v>
      </c>
    </row>
    <row r="153">
      <c r="A153" s="19" t="str">
        <f>CONCATENATE("M 4 ",G30)</f>
      </c>
      <c r="B153" s="22"/>
      <c r="C153" s="22"/>
      <c r="D153" s="22"/>
      <c r="E153" s="22"/>
      <c r="F153" s="22"/>
      <c r="G153" s="19" t="str">
        <f>'data'!$B$39</f>
      </c>
      <c r="I153" s="19" t="str">
        <f>CONCATENATE("M 20 ",O30)</f>
      </c>
      <c r="J153" s="22"/>
      <c r="K153" s="22"/>
      <c r="L153" s="22"/>
      <c r="M153" s="22"/>
      <c r="N153" s="22"/>
      <c r="O153" s="19" t="str">
        <f>'data'!$B$56</f>
      </c>
    </row>
    <row r="155">
      <c r="F155" t="s">
        <v>304</v>
      </c>
      <c r="G155" s="23"/>
      <c r="N155" t="s">
        <v>304</v>
      </c>
      <c r="O155" s="23"/>
    </row>
    <row r="156">
      <c r="F156" t="s">
        <v>305</v>
      </c>
      <c r="G156" s="23"/>
      <c r="N156" t="s">
        <v>305</v>
      </c>
      <c r="O156" s="23"/>
    </row>
    <row r="159">
      <c r="A159" s="11" t="s">
        <v>343</v>
      </c>
      <c r="B159" s="11"/>
      <c r="C159" s="11"/>
      <c r="D159" s="11"/>
      <c r="E159" s="11"/>
      <c r="F159" s="11"/>
      <c r="G159" s="11"/>
      <c r="I159" s="11" t="s">
        <v>344</v>
      </c>
      <c r="J159" s="11"/>
      <c r="K159" s="11"/>
      <c r="L159" s="11"/>
      <c r="M159" s="11"/>
      <c r="N159" s="11"/>
      <c r="O159" s="11"/>
    </row>
    <row r="160">
      <c r="A160" s="21" t="s">
        <v>301</v>
      </c>
      <c r="D160" s="19" t="s">
        <v>302</v>
      </c>
      <c r="G160" s="20" t="s">
        <v>303</v>
      </c>
      <c r="I160" s="21" t="s">
        <v>301</v>
      </c>
      <c r="L160" s="19" t="s">
        <v>302</v>
      </c>
      <c r="O160" s="20" t="s">
        <v>303</v>
      </c>
    </row>
    <row r="161">
      <c r="A161" s="19" t="str">
        <f>CONCATENATE("M 6 ",G46)</f>
      </c>
      <c r="B161" s="22"/>
      <c r="C161" s="22"/>
      <c r="D161" s="22"/>
      <c r="E161" s="22"/>
      <c r="F161" s="22"/>
      <c r="G161" s="19" t="str">
        <f>'data'!$B$71</f>
      </c>
      <c r="I161" s="19" t="str">
        <f>CONCATENATE("M 21 ",O38)</f>
      </c>
      <c r="J161" s="22"/>
      <c r="K161" s="22"/>
      <c r="L161" s="22"/>
      <c r="M161" s="22"/>
      <c r="N161" s="22"/>
      <c r="O161" s="19" t="str">
        <f>'data'!$B$59</f>
      </c>
    </row>
    <row r="163">
      <c r="F163" t="s">
        <v>304</v>
      </c>
      <c r="G163" s="23"/>
      <c r="N163" t="s">
        <v>304</v>
      </c>
      <c r="O163" s="23"/>
    </row>
    <row r="164">
      <c r="F164" t="s">
        <v>305</v>
      </c>
      <c r="G164" s="23"/>
      <c r="N164" t="s">
        <v>305</v>
      </c>
      <c r="O164" s="23"/>
    </row>
    <row r="167">
      <c r="A167" s="11" t="s">
        <v>345</v>
      </c>
      <c r="B167" s="11"/>
      <c r="C167" s="11"/>
      <c r="D167" s="11"/>
      <c r="E167" s="11"/>
      <c r="F167" s="11"/>
      <c r="G167" s="11"/>
      <c r="I167" s="11" t="s">
        <v>346</v>
      </c>
      <c r="J167" s="11"/>
      <c r="K167" s="11"/>
      <c r="L167" s="11"/>
      <c r="M167" s="11"/>
      <c r="N167" s="11"/>
      <c r="O167" s="11"/>
    </row>
    <row r="168">
      <c r="A168" s="21" t="s">
        <v>301</v>
      </c>
      <c r="D168" s="19" t="s">
        <v>302</v>
      </c>
      <c r="G168" s="20" t="s">
        <v>303</v>
      </c>
      <c r="I168" s="21" t="s">
        <v>301</v>
      </c>
      <c r="L168" s="19" t="s">
        <v>302</v>
      </c>
      <c r="O168" s="20" t="s">
        <v>303</v>
      </c>
    </row>
    <row r="169">
      <c r="A169" s="19" t="str">
        <f>CONCATENATE("M 7 ",G54)</f>
      </c>
      <c r="B169" s="22"/>
      <c r="C169" s="22"/>
      <c r="D169" s="22"/>
      <c r="E169" s="22"/>
      <c r="F169" s="22"/>
      <c r="G169" s="19" t="str">
        <f>'data'!$B$30</f>
      </c>
      <c r="I169" s="19" t="str">
        <f>CONCATENATE("M 22 ",O46)</f>
      </c>
      <c r="J169" s="22"/>
      <c r="K169" s="22"/>
      <c r="L169" s="22"/>
      <c r="M169" s="22"/>
      <c r="N169" s="22"/>
      <c r="O169" s="19" t="str">
        <f>'data'!$B$62</f>
      </c>
    </row>
    <row r="171">
      <c r="F171" t="s">
        <v>304</v>
      </c>
      <c r="G171" s="23"/>
      <c r="N171" t="s">
        <v>304</v>
      </c>
      <c r="O171" s="23"/>
    </row>
    <row r="172">
      <c r="F172" t="s">
        <v>305</v>
      </c>
      <c r="G172" s="23"/>
      <c r="N172" t="s">
        <v>305</v>
      </c>
      <c r="O172" s="23"/>
    </row>
    <row r="175">
      <c r="A175" s="11" t="s">
        <v>347</v>
      </c>
      <c r="B175" s="11"/>
      <c r="C175" s="11"/>
      <c r="D175" s="11"/>
      <c r="E175" s="11"/>
      <c r="F175" s="11"/>
      <c r="G175" s="11"/>
      <c r="I175" s="11" t="s">
        <v>348</v>
      </c>
      <c r="J175" s="11"/>
      <c r="K175" s="11"/>
      <c r="L175" s="11"/>
      <c r="M175" s="11"/>
      <c r="N175" s="11"/>
      <c r="O175" s="11"/>
    </row>
    <row r="176">
      <c r="A176" s="21" t="s">
        <v>301</v>
      </c>
      <c r="D176" s="19" t="s">
        <v>302</v>
      </c>
      <c r="G176" s="20" t="s">
        <v>303</v>
      </c>
      <c r="I176" s="21" t="s">
        <v>301</v>
      </c>
      <c r="L176" s="19" t="s">
        <v>302</v>
      </c>
      <c r="O176" s="20" t="s">
        <v>303</v>
      </c>
    </row>
    <row r="177">
      <c r="A177" s="19" t="str">
        <f>CONCATENATE("M 8 ",G62)</f>
      </c>
      <c r="B177" s="22"/>
      <c r="C177" s="22"/>
      <c r="D177" s="22"/>
      <c r="E177" s="22"/>
      <c r="F177" s="22"/>
      <c r="G177" s="19" t="str">
        <f>'data'!$B$22</f>
      </c>
      <c r="I177" s="19" t="str">
        <f>CONCATENATE("M 23 ",O54)</f>
      </c>
      <c r="J177" s="22"/>
      <c r="K177" s="22"/>
      <c r="L177" s="22"/>
      <c r="M177" s="22"/>
      <c r="N177" s="22"/>
      <c r="O177" s="19" t="str">
        <f>'data'!$B$65</f>
      </c>
    </row>
    <row r="179">
      <c r="F179" t="s">
        <v>304</v>
      </c>
      <c r="G179" s="23"/>
      <c r="N179" t="s">
        <v>304</v>
      </c>
      <c r="O179" s="23"/>
    </row>
    <row r="180">
      <c r="F180" t="s">
        <v>305</v>
      </c>
      <c r="G180" s="23"/>
      <c r="N180" t="s">
        <v>305</v>
      </c>
      <c r="O180" s="23"/>
    </row>
    <row r="183">
      <c r="A183" s="11" t="s">
        <v>349</v>
      </c>
      <c r="B183" s="11"/>
      <c r="C183" s="11"/>
      <c r="D183" s="11"/>
      <c r="E183" s="11"/>
      <c r="F183" s="11"/>
      <c r="G183" s="11"/>
      <c r="I183" s="11" t="s">
        <v>350</v>
      </c>
      <c r="J183" s="11"/>
      <c r="K183" s="11"/>
      <c r="L183" s="11"/>
      <c r="M183" s="11"/>
      <c r="N183" s="11"/>
      <c r="O183" s="11"/>
    </row>
    <row r="184">
      <c r="A184" s="21" t="s">
        <v>301</v>
      </c>
      <c r="D184" s="19" t="s">
        <v>302</v>
      </c>
      <c r="G184" s="20" t="s">
        <v>303</v>
      </c>
      <c r="I184" s="21" t="s">
        <v>301</v>
      </c>
      <c r="L184" s="19" t="s">
        <v>302</v>
      </c>
      <c r="O184" s="20" t="s">
        <v>303</v>
      </c>
    </row>
    <row r="185">
      <c r="A185" s="19" t="str">
        <f>CONCATENATE("M 10 ",G78)</f>
      </c>
      <c r="B185" s="22"/>
      <c r="C185" s="22"/>
      <c r="D185" s="22"/>
      <c r="E185" s="22"/>
      <c r="F185" s="22"/>
      <c r="G185" s="19" t="str">
        <f>'data'!$B$27</f>
      </c>
      <c r="I185" s="19" t="str">
        <f>CONCATENATE("M 24 ",O62)</f>
      </c>
      <c r="J185" s="22"/>
      <c r="K185" s="22"/>
      <c r="L185" s="22"/>
      <c r="M185" s="22"/>
      <c r="N185" s="22"/>
      <c r="O185" s="19" t="str">
        <f>'data'!$B$68</f>
      </c>
    </row>
    <row r="187">
      <c r="F187" t="s">
        <v>304</v>
      </c>
      <c r="G187" s="23"/>
      <c r="N187" t="s">
        <v>304</v>
      </c>
      <c r="O187" s="23"/>
    </row>
    <row r="188">
      <c r="F188" t="s">
        <v>305</v>
      </c>
      <c r="G188" s="23"/>
      <c r="N188" t="s">
        <v>305</v>
      </c>
      <c r="O188" s="23"/>
    </row>
    <row r="191">
      <c r="A191" s="11" t="s">
        <v>351</v>
      </c>
      <c r="B191" s="11"/>
      <c r="C191" s="11"/>
      <c r="D191" s="11"/>
      <c r="E191" s="11"/>
      <c r="F191" s="11"/>
      <c r="G191" s="11"/>
      <c r="I191" s="11" t="s">
        <v>352</v>
      </c>
      <c r="J191" s="11"/>
      <c r="K191" s="11"/>
      <c r="L191" s="11"/>
      <c r="M191" s="11"/>
      <c r="N191" s="11"/>
      <c r="O191" s="11"/>
    </row>
    <row r="192">
      <c r="A192" s="21" t="s">
        <v>301</v>
      </c>
      <c r="D192" s="19" t="s">
        <v>302</v>
      </c>
      <c r="G192" s="20" t="s">
        <v>303</v>
      </c>
      <c r="I192" s="21" t="s">
        <v>301</v>
      </c>
      <c r="L192" s="19" t="s">
        <v>302</v>
      </c>
      <c r="O192" s="20" t="s">
        <v>303</v>
      </c>
    </row>
    <row r="193">
      <c r="A193" s="19" t="str">
        <f>CONCATENATE("M 11 ",G86)</f>
      </c>
      <c r="B193" s="22"/>
      <c r="C193" s="22"/>
      <c r="D193" s="22"/>
      <c r="E193" s="22"/>
      <c r="F193" s="22"/>
      <c r="G193" s="19" t="str">
        <f>'data'!$B$30</f>
      </c>
      <c r="I193" s="19" t="str">
        <f>CONCATENATE("M 26 ",O78)</f>
      </c>
      <c r="J193" s="22"/>
      <c r="K193" s="22"/>
      <c r="L193" s="22"/>
      <c r="M193" s="22"/>
      <c r="N193" s="22"/>
      <c r="O193" s="19" t="str">
        <f>'data'!$B$73</f>
      </c>
    </row>
    <row r="195">
      <c r="F195" t="s">
        <v>304</v>
      </c>
      <c r="G195" s="23"/>
      <c r="N195" t="s">
        <v>304</v>
      </c>
      <c r="O195" s="23"/>
    </row>
    <row r="196">
      <c r="F196" t="s">
        <v>305</v>
      </c>
      <c r="G196" s="23"/>
      <c r="N196" t="s">
        <v>305</v>
      </c>
      <c r="O196" s="23"/>
    </row>
    <row r="199">
      <c r="A199" s="11" t="s">
        <v>353</v>
      </c>
      <c r="B199" s="11"/>
      <c r="C199" s="11"/>
      <c r="D199" s="11"/>
      <c r="E199" s="11"/>
      <c r="F199" s="11"/>
      <c r="G199" s="11"/>
      <c r="I199" s="11" t="s">
        <v>354</v>
      </c>
      <c r="J199" s="11"/>
      <c r="K199" s="11"/>
      <c r="L199" s="11"/>
      <c r="M199" s="11"/>
      <c r="N199" s="11"/>
      <c r="O199" s="11"/>
    </row>
    <row r="200">
      <c r="A200" s="21" t="s">
        <v>301</v>
      </c>
      <c r="D200" s="19" t="s">
        <v>302</v>
      </c>
      <c r="G200" s="20" t="s">
        <v>303</v>
      </c>
      <c r="I200" s="21" t="s">
        <v>301</v>
      </c>
      <c r="L200" s="19" t="s">
        <v>302</v>
      </c>
      <c r="O200" s="20" t="s">
        <v>303</v>
      </c>
    </row>
    <row r="201">
      <c r="A201" s="19" t="str">
        <f>CONCATENATE("M 12 ",G94)</f>
      </c>
      <c r="B201" s="22"/>
      <c r="C201" s="22"/>
      <c r="D201" s="22"/>
      <c r="E201" s="22"/>
      <c r="F201" s="22"/>
      <c r="G201" s="19" t="str">
        <f>'data'!$B$74</f>
      </c>
      <c r="I201" s="19" t="str">
        <f>CONCATENATE("M 27 ",O86)</f>
      </c>
      <c r="J201" s="22"/>
      <c r="K201" s="22"/>
      <c r="L201" s="22"/>
      <c r="M201" s="22"/>
      <c r="N201" s="22"/>
      <c r="O201" s="19" t="str">
        <f>'data'!$B$76</f>
      </c>
    </row>
    <row r="203">
      <c r="F203" t="s">
        <v>304</v>
      </c>
      <c r="G203" s="23"/>
      <c r="N203" t="s">
        <v>304</v>
      </c>
      <c r="O203" s="23"/>
    </row>
    <row r="204">
      <c r="F204" t="s">
        <v>305</v>
      </c>
      <c r="G204" s="23"/>
      <c r="N204" t="s">
        <v>305</v>
      </c>
      <c r="O204" s="23"/>
    </row>
    <row r="207">
      <c r="A207" s="11" t="s">
        <v>355</v>
      </c>
      <c r="B207" s="11"/>
      <c r="C207" s="11"/>
      <c r="D207" s="11"/>
      <c r="E207" s="11"/>
      <c r="F207" s="11"/>
      <c r="G207" s="11"/>
      <c r="I207" s="11" t="s">
        <v>356</v>
      </c>
      <c r="J207" s="11"/>
      <c r="K207" s="11"/>
      <c r="L207" s="11"/>
      <c r="M207" s="11"/>
      <c r="N207" s="11"/>
      <c r="O207" s="11"/>
    </row>
    <row r="208">
      <c r="A208" s="21" t="s">
        <v>301</v>
      </c>
      <c r="D208" s="19" t="s">
        <v>302</v>
      </c>
      <c r="G208" s="20" t="s">
        <v>303</v>
      </c>
      <c r="I208" s="21" t="s">
        <v>301</v>
      </c>
      <c r="L208" s="19" t="s">
        <v>302</v>
      </c>
      <c r="O208" s="20" t="s">
        <v>303</v>
      </c>
    </row>
    <row r="209">
      <c r="A209" s="19" t="str">
        <f>CONCATENATE("M 13 ",G102)</f>
      </c>
      <c r="B209" s="22"/>
      <c r="C209" s="22"/>
      <c r="D209" s="22"/>
      <c r="E209" s="22"/>
      <c r="F209" s="22"/>
      <c r="G209" s="19" t="str">
        <f>'data'!$B$79</f>
      </c>
      <c r="I209" s="19" t="str">
        <f>CONCATENATE("M 28 ",O94)</f>
      </c>
      <c r="J209" s="22"/>
      <c r="K209" s="22"/>
      <c r="L209" s="22"/>
      <c r="M209" s="22"/>
      <c r="N209" s="22"/>
      <c r="O209" s="19" t="str">
        <f>'data'!$B$79</f>
      </c>
    </row>
    <row r="211">
      <c r="F211" t="s">
        <v>304</v>
      </c>
      <c r="G211" s="23"/>
      <c r="N211" t="s">
        <v>304</v>
      </c>
      <c r="O211" s="23"/>
    </row>
    <row r="212">
      <c r="F212" t="s">
        <v>305</v>
      </c>
      <c r="G212" s="23"/>
      <c r="N212" t="s">
        <v>305</v>
      </c>
      <c r="O212" s="23"/>
    </row>
    <row r="215">
      <c r="A215" s="11" t="s">
        <v>357</v>
      </c>
      <c r="B215" s="11"/>
      <c r="C215" s="11"/>
      <c r="D215" s="11"/>
      <c r="E215" s="11"/>
      <c r="F215" s="11"/>
      <c r="G215" s="11"/>
      <c r="I215" s="11" t="s">
        <v>358</v>
      </c>
      <c r="J215" s="11"/>
      <c r="K215" s="11"/>
      <c r="L215" s="11"/>
      <c r="M215" s="11"/>
      <c r="N215" s="11"/>
      <c r="O215" s="11"/>
    </row>
    <row r="216">
      <c r="A216" s="21" t="s">
        <v>301</v>
      </c>
      <c r="D216" s="19" t="s">
        <v>302</v>
      </c>
      <c r="G216" s="20" t="s">
        <v>303</v>
      </c>
      <c r="I216" s="21" t="s">
        <v>301</v>
      </c>
      <c r="L216" s="19" t="s">
        <v>302</v>
      </c>
      <c r="O216" s="20" t="s">
        <v>303</v>
      </c>
    </row>
    <row r="217">
      <c r="A217" s="19" t="str">
        <f>CONCATENATE("M 14 ",G110)</f>
      </c>
      <c r="B217" s="22"/>
      <c r="C217" s="22"/>
      <c r="D217" s="22"/>
      <c r="E217" s="22"/>
      <c r="F217" s="22"/>
      <c r="G217" s="19" t="str">
        <f>'data'!$B$39</f>
      </c>
      <c r="I217" s="19" t="str">
        <f>CONCATENATE("M 29 ",O102)</f>
      </c>
      <c r="J217" s="22"/>
      <c r="K217" s="22"/>
      <c r="L217" s="22"/>
      <c r="M217" s="22"/>
      <c r="N217" s="22"/>
      <c r="O217" s="19" t="str">
        <f>'data'!$B$82</f>
      </c>
    </row>
    <row r="219">
      <c r="F219" t="s">
        <v>304</v>
      </c>
      <c r="G219" s="23"/>
      <c r="N219" t="s">
        <v>304</v>
      </c>
      <c r="O219" s="23"/>
    </row>
    <row r="220">
      <c r="F220" t="s">
        <v>305</v>
      </c>
      <c r="G220" s="23"/>
      <c r="N220" t="s">
        <v>305</v>
      </c>
      <c r="O220" s="23"/>
    </row>
    <row r="223">
      <c r="A223" s="11" t="s">
        <v>359</v>
      </c>
      <c r="B223" s="11"/>
      <c r="C223" s="11"/>
      <c r="D223" s="11"/>
      <c r="E223" s="11"/>
      <c r="F223" s="11"/>
      <c r="G223" s="11"/>
      <c r="I223" s="11" t="s">
        <v>360</v>
      </c>
      <c r="J223" s="11"/>
      <c r="K223" s="11"/>
      <c r="L223" s="11"/>
      <c r="M223" s="11"/>
      <c r="N223" s="11"/>
      <c r="O223" s="11"/>
    </row>
    <row r="224">
      <c r="A224" s="21" t="s">
        <v>301</v>
      </c>
      <c r="D224" s="19" t="s">
        <v>302</v>
      </c>
      <c r="G224" s="20" t="s">
        <v>303</v>
      </c>
      <c r="I224" s="21" t="s">
        <v>301</v>
      </c>
      <c r="L224" s="19" t="s">
        <v>302</v>
      </c>
      <c r="O224" s="20" t="s">
        <v>303</v>
      </c>
    </row>
    <row r="225">
      <c r="A225" s="19" t="str">
        <f>CONCATENATE("M 15 ",G118)</f>
      </c>
      <c r="B225" s="22"/>
      <c r="C225" s="22"/>
      <c r="D225" s="22"/>
      <c r="E225" s="22"/>
      <c r="F225" s="22"/>
      <c r="G225" s="19" t="str">
        <f>'data'!$B$42</f>
      </c>
      <c r="I225" s="19" t="str">
        <f>CONCATENATE("M 30 ",O110)</f>
      </c>
      <c r="J225" s="22"/>
      <c r="K225" s="22"/>
      <c r="L225" s="22"/>
      <c r="M225" s="22"/>
      <c r="N225" s="22"/>
      <c r="O225" s="19" t="str">
        <f>'data'!$B$85</f>
      </c>
    </row>
    <row r="227">
      <c r="F227" t="s">
        <v>304</v>
      </c>
      <c r="G227" s="23"/>
      <c r="N227" t="s">
        <v>304</v>
      </c>
      <c r="O227" s="23"/>
    </row>
    <row r="228">
      <c r="F228" t="s">
        <v>305</v>
      </c>
      <c r="G228" s="23"/>
      <c r="N228" t="s">
        <v>305</v>
      </c>
      <c r="O228" s="23"/>
    </row>
    <row r="231">
      <c r="A231" s="11" t="s">
        <v>361</v>
      </c>
      <c r="B231" s="11"/>
      <c r="C231" s="11"/>
      <c r="D231" s="11"/>
      <c r="E231" s="11"/>
      <c r="F231" s="11"/>
      <c r="G231" s="11"/>
      <c r="I231" s="11" t="s">
        <v>362</v>
      </c>
      <c r="J231" s="11"/>
      <c r="K231" s="11"/>
      <c r="L231" s="11"/>
      <c r="M231" s="11"/>
      <c r="N231" s="11"/>
      <c r="O231" s="11"/>
    </row>
    <row r="232">
      <c r="A232" s="21" t="s">
        <v>301</v>
      </c>
      <c r="D232" s="19" t="s">
        <v>302</v>
      </c>
      <c r="G232" s="20" t="s">
        <v>303</v>
      </c>
      <c r="I232" s="21" t="s">
        <v>301</v>
      </c>
      <c r="L232" s="19" t="s">
        <v>302</v>
      </c>
      <c r="O232" s="20" t="s">
        <v>303</v>
      </c>
    </row>
    <row r="233">
      <c r="A233" s="19" t="str">
        <f>CONCATENATE("M 16 ",G126)</f>
      </c>
      <c r="B233" s="22"/>
      <c r="C233" s="22"/>
      <c r="D233" s="22"/>
      <c r="E233" s="22"/>
      <c r="F233" s="22"/>
      <c r="G233" s="19" t="str">
        <f>'data'!$B$45</f>
      </c>
      <c r="I233" s="19" t="str">
        <f>CONCATENATE("M 31 ",O118)</f>
      </c>
      <c r="J233" s="22"/>
      <c r="K233" s="22"/>
      <c r="L233" s="22"/>
      <c r="M233" s="22"/>
      <c r="N233" s="22"/>
      <c r="O233" s="19" t="str">
        <f>'data'!$B$88</f>
      </c>
    </row>
    <row r="235">
      <c r="F235" t="s">
        <v>304</v>
      </c>
      <c r="G235" s="23"/>
      <c r="N235" t="s">
        <v>304</v>
      </c>
      <c r="O235" s="23"/>
    </row>
    <row r="236">
      <c r="F236" t="s">
        <v>305</v>
      </c>
      <c r="G236" s="23"/>
      <c r="N236" t="s">
        <v>305</v>
      </c>
      <c r="O236" s="23"/>
    </row>
    <row r="239">
      <c r="I239" s="11" t="s">
        <v>363</v>
      </c>
      <c r="J239" s="11"/>
      <c r="K239" s="11"/>
      <c r="L239" s="11"/>
      <c r="M239" s="11"/>
      <c r="N239" s="11"/>
      <c r="O239" s="11"/>
    </row>
    <row r="240">
      <c r="I240" s="21" t="s">
        <v>301</v>
      </c>
      <c r="L240" s="19" t="s">
        <v>302</v>
      </c>
      <c r="O240" s="20" t="s">
        <v>303</v>
      </c>
    </row>
    <row r="241">
      <c r="I241" s="19" t="str">
        <f>CONCATENATE("M 32 ",O126)</f>
      </c>
      <c r="J241" s="22"/>
      <c r="K241" s="22"/>
      <c r="L241" s="22"/>
      <c r="M241" s="22"/>
      <c r="N241" s="22"/>
      <c r="O241" s="19" t="str">
        <f>'data'!$B$91</f>
      </c>
    </row>
    <row r="243">
      <c r="N243" t="s">
        <v>304</v>
      </c>
      <c r="O243" s="23"/>
    </row>
    <row r="244">
      <c r="N244" t="s">
        <v>305</v>
      </c>
      <c r="O244" s="23"/>
    </row>
    <row r="252">
      <c r="A252" s="11" t="s">
        <v>364</v>
      </c>
      <c r="B252" s="11"/>
      <c r="C252" s="11"/>
      <c r="D252" s="11"/>
      <c r="E252" s="11"/>
      <c r="F252" s="11"/>
      <c r="G252" s="11"/>
      <c r="I252" s="11" t="s">
        <v>365</v>
      </c>
      <c r="J252" s="11"/>
      <c r="K252" s="11"/>
      <c r="L252" s="11"/>
      <c r="M252" s="11"/>
      <c r="N252" s="11"/>
      <c r="O252" s="11"/>
    </row>
    <row r="253">
      <c r="A253" s="21" t="s">
        <v>301</v>
      </c>
      <c r="D253" s="19" t="s">
        <v>302</v>
      </c>
      <c r="G253" s="20" t="s">
        <v>303</v>
      </c>
      <c r="I253" s="21" t="s">
        <v>301</v>
      </c>
      <c r="L253" s="19" t="s">
        <v>302</v>
      </c>
      <c r="O253" s="20" t="s">
        <v>303</v>
      </c>
    </row>
    <row r="254">
      <c r="A254" s="19" t="str">
        <f>CONCATENATE("M 33 ",G139)</f>
      </c>
      <c r="B254" s="22"/>
      <c r="C254" s="22"/>
      <c r="D254" s="22"/>
      <c r="E254" s="22"/>
      <c r="F254" s="22"/>
      <c r="G254" s="19" t="str">
        <f>CONCATENATE("M 1 ",G6)</f>
      </c>
      <c r="I254" s="19" t="str">
        <f>CONCATENATE("M 46 ",O139)</f>
      </c>
      <c r="J254" s="22"/>
      <c r="K254" s="22"/>
      <c r="L254" s="22"/>
      <c r="M254" s="22"/>
      <c r="N254" s="22"/>
      <c r="O254" s="19" t="str">
        <f>CONCATENATE("M 17 ",O6)</f>
      </c>
    </row>
    <row r="256">
      <c r="F256" t="s">
        <v>304</v>
      </c>
      <c r="G256" s="23"/>
      <c r="N256" t="s">
        <v>304</v>
      </c>
      <c r="O256" s="23"/>
    </row>
    <row r="257">
      <c r="F257" t="s">
        <v>305</v>
      </c>
      <c r="G257" s="23"/>
      <c r="N257" t="s">
        <v>305</v>
      </c>
      <c r="O257" s="23"/>
    </row>
    <row r="260">
      <c r="A260" s="11" t="s">
        <v>366</v>
      </c>
      <c r="B260" s="11"/>
      <c r="C260" s="11"/>
      <c r="D260" s="11"/>
      <c r="E260" s="11"/>
      <c r="F260" s="11"/>
      <c r="G260" s="11"/>
      <c r="I260" s="11" t="s">
        <v>367</v>
      </c>
      <c r="J260" s="11"/>
      <c r="K260" s="11"/>
      <c r="L260" s="11"/>
      <c r="M260" s="11"/>
      <c r="N260" s="11"/>
      <c r="O260" s="11"/>
    </row>
    <row r="261">
      <c r="A261" s="21" t="s">
        <v>301</v>
      </c>
      <c r="D261" s="19" t="s">
        <v>302</v>
      </c>
      <c r="G261" s="20" t="s">
        <v>303</v>
      </c>
      <c r="I261" s="21" t="s">
        <v>301</v>
      </c>
      <c r="L261" s="19" t="s">
        <v>302</v>
      </c>
      <c r="O261" s="20" t="s">
        <v>303</v>
      </c>
    </row>
    <row r="262">
      <c r="A262" s="19" t="str">
        <f>CONCATENATE("M 35 ",G155)</f>
      </c>
      <c r="B262" s="22"/>
      <c r="C262" s="22"/>
      <c r="D262" s="22"/>
      <c r="E262" s="22"/>
      <c r="F262" s="22"/>
      <c r="G262" s="19" t="str">
        <f>CONCATENATE("M 34 ",G147)</f>
      </c>
      <c r="I262" s="19" t="str">
        <f>CONCATENATE("M 48 ",O155)</f>
      </c>
      <c r="J262" s="22"/>
      <c r="K262" s="22"/>
      <c r="L262" s="22"/>
      <c r="M262" s="22"/>
      <c r="N262" s="22"/>
      <c r="O262" s="19" t="str">
        <f>CONCATENATE("M 47 ",O147)</f>
      </c>
    </row>
    <row r="264">
      <c r="F264" t="s">
        <v>304</v>
      </c>
      <c r="G264" s="23"/>
      <c r="N264" t="s">
        <v>304</v>
      </c>
      <c r="O264" s="23"/>
    </row>
    <row r="265">
      <c r="F265" t="s">
        <v>305</v>
      </c>
      <c r="G265" s="23"/>
      <c r="N265" t="s">
        <v>305</v>
      </c>
      <c r="O265" s="23"/>
    </row>
    <row r="268">
      <c r="A268" s="11" t="s">
        <v>368</v>
      </c>
      <c r="B268" s="11"/>
      <c r="C268" s="11"/>
      <c r="D268" s="11"/>
      <c r="E268" s="11"/>
      <c r="F268" s="11"/>
      <c r="G268" s="11"/>
      <c r="I268" s="11" t="s">
        <v>369</v>
      </c>
      <c r="J268" s="11"/>
      <c r="K268" s="11"/>
      <c r="L268" s="11"/>
      <c r="M268" s="11"/>
      <c r="N268" s="11"/>
      <c r="O268" s="11"/>
    </row>
    <row r="269">
      <c r="A269" s="21" t="s">
        <v>301</v>
      </c>
      <c r="D269" s="19" t="s">
        <v>302</v>
      </c>
      <c r="G269" s="20" t="s">
        <v>303</v>
      </c>
      <c r="I269" s="21" t="s">
        <v>301</v>
      </c>
      <c r="L269" s="19" t="s">
        <v>302</v>
      </c>
      <c r="O269" s="20" t="s">
        <v>303</v>
      </c>
    </row>
    <row r="270">
      <c r="A270" s="19" t="str">
        <f>CONCATENATE("M 36 ",G163)</f>
      </c>
      <c r="B270" s="22"/>
      <c r="C270" s="22"/>
      <c r="D270" s="22"/>
      <c r="E270" s="22"/>
      <c r="F270" s="22"/>
      <c r="G270" s="19" t="str">
        <f>CONCATENATE("M 5 ",G38)</f>
      </c>
      <c r="I270" s="19" t="str">
        <f>CONCATENATE("M 50 ",O171)</f>
      </c>
      <c r="J270" s="22"/>
      <c r="K270" s="22"/>
      <c r="L270" s="22"/>
      <c r="M270" s="22"/>
      <c r="N270" s="22"/>
      <c r="O270" s="19" t="str">
        <f>CONCATENATE("M 49 ",O163)</f>
      </c>
    </row>
    <row r="272">
      <c r="F272" t="s">
        <v>304</v>
      </c>
      <c r="G272" s="23"/>
      <c r="N272" t="s">
        <v>304</v>
      </c>
      <c r="O272" s="23"/>
    </row>
    <row r="273">
      <c r="F273" t="s">
        <v>305</v>
      </c>
      <c r="G273" s="23"/>
      <c r="N273" t="s">
        <v>305</v>
      </c>
      <c r="O273" s="23"/>
    </row>
    <row r="276">
      <c r="A276" s="11" t="s">
        <v>370</v>
      </c>
      <c r="B276" s="11"/>
      <c r="C276" s="11"/>
      <c r="D276" s="11"/>
      <c r="E276" s="11"/>
      <c r="F276" s="11"/>
      <c r="G276" s="11"/>
      <c r="I276" s="11" t="s">
        <v>371</v>
      </c>
      <c r="J276" s="11"/>
      <c r="K276" s="11"/>
      <c r="L276" s="11"/>
      <c r="M276" s="11"/>
      <c r="N276" s="11"/>
      <c r="O276" s="11"/>
    </row>
    <row r="277">
      <c r="A277" s="21" t="s">
        <v>301</v>
      </c>
      <c r="D277" s="19" t="s">
        <v>302</v>
      </c>
      <c r="G277" s="20" t="s">
        <v>303</v>
      </c>
      <c r="I277" s="21" t="s">
        <v>301</v>
      </c>
      <c r="L277" s="19" t="s">
        <v>302</v>
      </c>
      <c r="O277" s="20" t="s">
        <v>303</v>
      </c>
    </row>
    <row r="278">
      <c r="A278" s="19" t="str">
        <f>CONCATENATE("M 38 ",G179)</f>
      </c>
      <c r="B278" s="22"/>
      <c r="C278" s="22"/>
      <c r="D278" s="22"/>
      <c r="E278" s="22"/>
      <c r="F278" s="22"/>
      <c r="G278" s="19" t="str">
        <f>CONCATENATE("M 37 ",G171)</f>
      </c>
      <c r="I278" s="19" t="str">
        <f>CONCATENATE("M 52 ",O187)</f>
      </c>
      <c r="J278" s="22"/>
      <c r="K278" s="22"/>
      <c r="L278" s="22"/>
      <c r="M278" s="22"/>
      <c r="N278" s="22"/>
      <c r="O278" s="19" t="str">
        <f>CONCATENATE("M 51 ",O179)</f>
      </c>
    </row>
    <row r="280">
      <c r="F280" t="s">
        <v>304</v>
      </c>
      <c r="G280" s="23"/>
      <c r="N280" t="s">
        <v>304</v>
      </c>
      <c r="O280" s="23"/>
    </row>
    <row r="281">
      <c r="F281" t="s">
        <v>305</v>
      </c>
      <c r="G281" s="23"/>
      <c r="N281" t="s">
        <v>305</v>
      </c>
      <c r="O281" s="23"/>
    </row>
    <row r="284">
      <c r="A284" s="11" t="s">
        <v>372</v>
      </c>
      <c r="B284" s="11"/>
      <c r="C284" s="11"/>
      <c r="D284" s="11"/>
      <c r="E284" s="11"/>
      <c r="F284" s="11"/>
      <c r="G284" s="11"/>
      <c r="I284" s="11" t="s">
        <v>373</v>
      </c>
      <c r="J284" s="11"/>
      <c r="K284" s="11"/>
      <c r="L284" s="11"/>
      <c r="M284" s="11"/>
      <c r="N284" s="11"/>
      <c r="O284" s="11"/>
    </row>
    <row r="285">
      <c r="A285" s="21" t="s">
        <v>301</v>
      </c>
      <c r="D285" s="19" t="s">
        <v>302</v>
      </c>
      <c r="G285" s="20" t="s">
        <v>303</v>
      </c>
      <c r="I285" s="21" t="s">
        <v>301</v>
      </c>
      <c r="L285" s="19" t="s">
        <v>302</v>
      </c>
      <c r="O285" s="20" t="s">
        <v>303</v>
      </c>
    </row>
    <row r="286">
      <c r="A286" s="19" t="str">
        <f>CONCATENATE("M 39 ",G187)</f>
      </c>
      <c r="B286" s="22"/>
      <c r="C286" s="22"/>
      <c r="D286" s="22"/>
      <c r="E286" s="22"/>
      <c r="F286" s="22"/>
      <c r="G286" s="19" t="str">
        <f>CONCATENATE("M 9 ",G70)</f>
      </c>
      <c r="I286" s="19" t="str">
        <f>CONCATENATE("M 53 ",O195)</f>
      </c>
      <c r="J286" s="22"/>
      <c r="K286" s="22"/>
      <c r="L286" s="22"/>
      <c r="M286" s="22"/>
      <c r="N286" s="22"/>
      <c r="O286" s="19" t="str">
        <f>CONCATENATE("M 25 ",O70)</f>
      </c>
    </row>
    <row r="288">
      <c r="F288" t="s">
        <v>304</v>
      </c>
      <c r="G288" s="23"/>
      <c r="N288" t="s">
        <v>304</v>
      </c>
      <c r="O288" s="23"/>
    </row>
    <row r="289">
      <c r="F289" t="s">
        <v>305</v>
      </c>
      <c r="G289" s="23"/>
      <c r="N289" t="s">
        <v>305</v>
      </c>
      <c r="O289" s="23"/>
    </row>
    <row r="292">
      <c r="A292" s="11" t="s">
        <v>374</v>
      </c>
      <c r="B292" s="11"/>
      <c r="C292" s="11"/>
      <c r="D292" s="11"/>
      <c r="E292" s="11"/>
      <c r="F292" s="11"/>
      <c r="G292" s="11"/>
      <c r="I292" s="11" t="s">
        <v>375</v>
      </c>
      <c r="J292" s="11"/>
      <c r="K292" s="11"/>
      <c r="L292" s="11"/>
      <c r="M292" s="11"/>
      <c r="N292" s="11"/>
      <c r="O292" s="11"/>
    </row>
    <row r="293">
      <c r="A293" s="21" t="s">
        <v>301</v>
      </c>
      <c r="D293" s="19" t="s">
        <v>302</v>
      </c>
      <c r="G293" s="20" t="s">
        <v>303</v>
      </c>
      <c r="I293" s="21" t="s">
        <v>301</v>
      </c>
      <c r="L293" s="19" t="s">
        <v>302</v>
      </c>
      <c r="O293" s="20" t="s">
        <v>303</v>
      </c>
    </row>
    <row r="294">
      <c r="A294" s="19" t="str">
        <f>CONCATENATE("M 41 ",G203)</f>
      </c>
      <c r="B294" s="22"/>
      <c r="C294" s="22"/>
      <c r="D294" s="22"/>
      <c r="E294" s="22"/>
      <c r="F294" s="22"/>
      <c r="G294" s="19" t="str">
        <f>CONCATENATE("M 40 ",G195)</f>
      </c>
      <c r="I294" s="19" t="str">
        <f>CONCATENATE("M 55 ",O211)</f>
      </c>
      <c r="J294" s="22"/>
      <c r="K294" s="22"/>
      <c r="L294" s="22"/>
      <c r="M294" s="22"/>
      <c r="N294" s="22"/>
      <c r="O294" s="19" t="str">
        <f>CONCATENATE("M 54 ",O203)</f>
      </c>
    </row>
    <row r="296">
      <c r="F296" t="s">
        <v>304</v>
      </c>
      <c r="G296" s="23"/>
      <c r="N296" t="s">
        <v>304</v>
      </c>
      <c r="O296" s="23"/>
    </row>
    <row r="297">
      <c r="F297" t="s">
        <v>305</v>
      </c>
      <c r="G297" s="23"/>
      <c r="N297" t="s">
        <v>305</v>
      </c>
      <c r="O297" s="23"/>
    </row>
    <row r="300">
      <c r="A300" s="11" t="s">
        <v>376</v>
      </c>
      <c r="B300" s="11"/>
      <c r="C300" s="11"/>
      <c r="D300" s="11"/>
      <c r="E300" s="11"/>
      <c r="F300" s="11"/>
      <c r="G300" s="11"/>
      <c r="I300" s="11" t="s">
        <v>377</v>
      </c>
      <c r="J300" s="11"/>
      <c r="K300" s="11"/>
      <c r="L300" s="11"/>
      <c r="M300" s="11"/>
      <c r="N300" s="11"/>
      <c r="O300" s="11"/>
    </row>
    <row r="301">
      <c r="A301" s="21" t="s">
        <v>301</v>
      </c>
      <c r="D301" s="19" t="s">
        <v>302</v>
      </c>
      <c r="G301" s="20" t="s">
        <v>303</v>
      </c>
      <c r="I301" s="21" t="s">
        <v>301</v>
      </c>
      <c r="L301" s="19" t="s">
        <v>302</v>
      </c>
      <c r="O301" s="20" t="s">
        <v>303</v>
      </c>
    </row>
    <row r="302">
      <c r="A302" s="19" t="str">
        <f>CONCATENATE("M 43 ",G219)</f>
      </c>
      <c r="B302" s="22"/>
      <c r="C302" s="22"/>
      <c r="D302" s="22"/>
      <c r="E302" s="22"/>
      <c r="F302" s="22"/>
      <c r="G302" s="19" t="str">
        <f>CONCATENATE("M 42 ",G211)</f>
      </c>
      <c r="I302" s="19" t="str">
        <f>CONCATENATE("M 57 ",O227)</f>
      </c>
      <c r="J302" s="22"/>
      <c r="K302" s="22"/>
      <c r="L302" s="22"/>
      <c r="M302" s="22"/>
      <c r="N302" s="22"/>
      <c r="O302" s="19" t="str">
        <f>CONCATENATE("M 56 ",O219)</f>
      </c>
    </row>
    <row r="304">
      <c r="F304" t="s">
        <v>304</v>
      </c>
      <c r="G304" s="23"/>
      <c r="N304" t="s">
        <v>304</v>
      </c>
      <c r="O304" s="23"/>
    </row>
    <row r="305">
      <c r="F305" t="s">
        <v>305</v>
      </c>
      <c r="G305" s="23"/>
      <c r="N305" t="s">
        <v>305</v>
      </c>
      <c r="O305" s="23"/>
    </row>
    <row r="308">
      <c r="A308" s="11" t="s">
        <v>378</v>
      </c>
      <c r="B308" s="11"/>
      <c r="C308" s="11"/>
      <c r="D308" s="11"/>
      <c r="E308" s="11"/>
      <c r="F308" s="11"/>
      <c r="G308" s="11"/>
      <c r="I308" s="11" t="s">
        <v>379</v>
      </c>
      <c r="J308" s="11"/>
      <c r="K308" s="11"/>
      <c r="L308" s="11"/>
      <c r="M308" s="11"/>
      <c r="N308" s="11"/>
      <c r="O308" s="11"/>
    </row>
    <row r="309">
      <c r="A309" s="21" t="s">
        <v>301</v>
      </c>
      <c r="D309" s="19" t="s">
        <v>302</v>
      </c>
      <c r="G309" s="20" t="s">
        <v>303</v>
      </c>
      <c r="I309" s="21" t="s">
        <v>301</v>
      </c>
      <c r="L309" s="19" t="s">
        <v>302</v>
      </c>
      <c r="O309" s="20" t="s">
        <v>303</v>
      </c>
    </row>
    <row r="310">
      <c r="A310" s="19" t="str">
        <f>CONCATENATE("M 45 ",G235)</f>
      </c>
      <c r="B310" s="22"/>
      <c r="C310" s="22"/>
      <c r="D310" s="22"/>
      <c r="E310" s="22"/>
      <c r="F310" s="22"/>
      <c r="G310" s="19" t="str">
        <f>CONCATENATE("M 44 ",G227)</f>
      </c>
      <c r="I310" s="19" t="str">
        <f>CONCATENATE("M 59 ",O243)</f>
      </c>
      <c r="J310" s="22"/>
      <c r="K310" s="22"/>
      <c r="L310" s="22"/>
      <c r="M310" s="22"/>
      <c r="N310" s="22"/>
      <c r="O310" s="19" t="str">
        <f>CONCATENATE("M 58 ",O235)</f>
      </c>
    </row>
    <row r="312">
      <c r="F312" t="s">
        <v>304</v>
      </c>
      <c r="G312" s="23"/>
      <c r="N312" t="s">
        <v>304</v>
      </c>
      <c r="O312" s="23"/>
    </row>
    <row r="313">
      <c r="F313" t="s">
        <v>305</v>
      </c>
      <c r="G313" s="23"/>
      <c r="N313" t="s">
        <v>305</v>
      </c>
      <c r="O313" s="23"/>
    </row>
    <row r="321">
      <c r="A321" s="11" t="s">
        <v>380</v>
      </c>
      <c r="B321" s="11"/>
      <c r="C321" s="11"/>
      <c r="D321" s="11"/>
      <c r="E321" s="11"/>
      <c r="F321" s="11"/>
      <c r="G321" s="11"/>
      <c r="I321" s="11" t="s">
        <v>381</v>
      </c>
      <c r="J321" s="11"/>
      <c r="K321" s="11"/>
      <c r="L321" s="11"/>
      <c r="M321" s="11"/>
      <c r="N321" s="11"/>
      <c r="O321" s="11"/>
    </row>
    <row r="322">
      <c r="A322" s="21" t="s">
        <v>301</v>
      </c>
      <c r="D322" s="19" t="s">
        <v>302</v>
      </c>
      <c r="G322" s="20" t="s">
        <v>303</v>
      </c>
      <c r="I322" s="21" t="s">
        <v>301</v>
      </c>
      <c r="L322" s="19" t="s">
        <v>302</v>
      </c>
      <c r="O322" s="20" t="s">
        <v>303</v>
      </c>
    </row>
    <row r="323">
      <c r="A323" s="19" t="str">
        <f>CONCATENATE("M 61 ",G264)</f>
      </c>
      <c r="B323" s="22"/>
      <c r="C323" s="22"/>
      <c r="D323" s="22"/>
      <c r="E323" s="22"/>
      <c r="F323" s="22"/>
      <c r="G323" s="19" t="str">
        <f>CONCATENATE("M 60 ",G256)</f>
      </c>
      <c r="I323" s="19" t="str">
        <f>CONCATENATE("M 69 ",O264)</f>
      </c>
      <c r="J323" s="22"/>
      <c r="K323" s="22"/>
      <c r="L323" s="22"/>
      <c r="M323" s="22"/>
      <c r="N323" s="22"/>
      <c r="O323" s="19" t="str">
        <f>CONCATENATE("M 68 ",O256)</f>
      </c>
    </row>
    <row r="325">
      <c r="F325" t="s">
        <v>304</v>
      </c>
      <c r="G325" s="23"/>
      <c r="N325" t="s">
        <v>304</v>
      </c>
      <c r="O325" s="23"/>
    </row>
    <row r="326">
      <c r="F326" t="s">
        <v>305</v>
      </c>
      <c r="G326" s="23"/>
      <c r="N326" t="s">
        <v>305</v>
      </c>
      <c r="O326" s="23"/>
    </row>
    <row r="329">
      <c r="A329" s="11" t="s">
        <v>382</v>
      </c>
      <c r="B329" s="11"/>
      <c r="C329" s="11"/>
      <c r="D329" s="11"/>
      <c r="E329" s="11"/>
      <c r="F329" s="11"/>
      <c r="G329" s="11"/>
      <c r="I329" s="11" t="s">
        <v>383</v>
      </c>
      <c r="J329" s="11"/>
      <c r="K329" s="11"/>
      <c r="L329" s="11"/>
      <c r="M329" s="11"/>
      <c r="N329" s="11"/>
      <c r="O329" s="11"/>
    </row>
    <row r="330">
      <c r="A330" s="21" t="s">
        <v>301</v>
      </c>
      <c r="D330" s="19" t="s">
        <v>302</v>
      </c>
      <c r="G330" s="20" t="s">
        <v>303</v>
      </c>
      <c r="I330" s="21" t="s">
        <v>301</v>
      </c>
      <c r="L330" s="19" t="s">
        <v>302</v>
      </c>
      <c r="O330" s="20" t="s">
        <v>303</v>
      </c>
    </row>
    <row r="331">
      <c r="A331" s="19" t="str">
        <f>CONCATENATE("M 63 ",G280)</f>
      </c>
      <c r="B331" s="22"/>
      <c r="C331" s="22"/>
      <c r="D331" s="22"/>
      <c r="E331" s="22"/>
      <c r="F331" s="22"/>
      <c r="G331" s="19" t="str">
        <f>CONCATENATE("M 62 ",G272)</f>
      </c>
      <c r="I331" s="19" t="str">
        <f>CONCATENATE("M 71 ",O280)</f>
      </c>
      <c r="J331" s="22"/>
      <c r="K331" s="22"/>
      <c r="L331" s="22"/>
      <c r="M331" s="22"/>
      <c r="N331" s="22"/>
      <c r="O331" s="19" t="str">
        <f>CONCATENATE("M 70 ",O272)</f>
      </c>
    </row>
    <row r="333">
      <c r="F333" t="s">
        <v>304</v>
      </c>
      <c r="G333" s="23"/>
      <c r="N333" t="s">
        <v>304</v>
      </c>
      <c r="O333" s="23"/>
    </row>
    <row r="334">
      <c r="F334" t="s">
        <v>305</v>
      </c>
      <c r="G334" s="23"/>
      <c r="N334" t="s">
        <v>305</v>
      </c>
      <c r="O334" s="23"/>
    </row>
    <row r="337">
      <c r="A337" s="11" t="s">
        <v>384</v>
      </c>
      <c r="B337" s="11"/>
      <c r="C337" s="11"/>
      <c r="D337" s="11"/>
      <c r="E337" s="11"/>
      <c r="F337" s="11"/>
      <c r="G337" s="11"/>
      <c r="I337" s="11" t="s">
        <v>385</v>
      </c>
      <c r="J337" s="11"/>
      <c r="K337" s="11"/>
      <c r="L337" s="11"/>
      <c r="M337" s="11"/>
      <c r="N337" s="11"/>
      <c r="O337" s="11"/>
    </row>
    <row r="338">
      <c r="A338" s="21" t="s">
        <v>301</v>
      </c>
      <c r="D338" s="19" t="s">
        <v>302</v>
      </c>
      <c r="G338" s="20" t="s">
        <v>303</v>
      </c>
      <c r="I338" s="21" t="s">
        <v>301</v>
      </c>
      <c r="L338" s="19" t="s">
        <v>302</v>
      </c>
      <c r="O338" s="20" t="s">
        <v>303</v>
      </c>
    </row>
    <row r="339">
      <c r="A339" s="19" t="str">
        <f>CONCATENATE("M 65 ",G296)</f>
      </c>
      <c r="B339" s="22"/>
      <c r="C339" s="22"/>
      <c r="D339" s="22"/>
      <c r="E339" s="22"/>
      <c r="F339" s="22"/>
      <c r="G339" s="19" t="str">
        <f>CONCATENATE("M 64 ",G288)</f>
      </c>
      <c r="I339" s="19" t="str">
        <f>CONCATENATE("M 73 ",O296)</f>
      </c>
      <c r="J339" s="22"/>
      <c r="K339" s="22"/>
      <c r="L339" s="22"/>
      <c r="M339" s="22"/>
      <c r="N339" s="22"/>
      <c r="O339" s="19" t="str">
        <f>CONCATENATE("M 72 ",O288)</f>
      </c>
    </row>
    <row r="341">
      <c r="F341" t="s">
        <v>304</v>
      </c>
      <c r="G341" s="23"/>
      <c r="N341" t="s">
        <v>304</v>
      </c>
      <c r="O341" s="23"/>
    </row>
    <row r="342">
      <c r="F342" t="s">
        <v>305</v>
      </c>
      <c r="G342" s="23"/>
      <c r="N342" t="s">
        <v>305</v>
      </c>
      <c r="O342" s="23"/>
    </row>
    <row r="345">
      <c r="A345" s="11" t="s">
        <v>386</v>
      </c>
      <c r="B345" s="11"/>
      <c r="C345" s="11"/>
      <c r="D345" s="11"/>
      <c r="E345" s="11"/>
      <c r="F345" s="11"/>
      <c r="G345" s="11"/>
      <c r="I345" s="11" t="s">
        <v>387</v>
      </c>
      <c r="J345" s="11"/>
      <c r="K345" s="11"/>
      <c r="L345" s="11"/>
      <c r="M345" s="11"/>
      <c r="N345" s="11"/>
      <c r="O345" s="11"/>
    </row>
    <row r="346">
      <c r="A346" s="21" t="s">
        <v>301</v>
      </c>
      <c r="D346" s="19" t="s">
        <v>302</v>
      </c>
      <c r="G346" s="20" t="s">
        <v>303</v>
      </c>
      <c r="I346" s="21" t="s">
        <v>301</v>
      </c>
      <c r="L346" s="19" t="s">
        <v>302</v>
      </c>
      <c r="O346" s="20" t="s">
        <v>303</v>
      </c>
    </row>
    <row r="347">
      <c r="A347" s="19" t="str">
        <f>CONCATENATE("M 67 ",G312)</f>
      </c>
      <c r="B347" s="22"/>
      <c r="C347" s="22"/>
      <c r="D347" s="22"/>
      <c r="E347" s="22"/>
      <c r="F347" s="22"/>
      <c r="G347" s="19" t="str">
        <f>CONCATENATE("M 66 ",G304)</f>
      </c>
      <c r="I347" s="19" t="str">
        <f>CONCATENATE("M 75 ",O312)</f>
      </c>
      <c r="J347" s="22"/>
      <c r="K347" s="22"/>
      <c r="L347" s="22"/>
      <c r="M347" s="22"/>
      <c r="N347" s="22"/>
      <c r="O347" s="19" t="str">
        <f>CONCATENATE("M 74 ",O304)</f>
      </c>
    </row>
    <row r="349">
      <c r="F349" t="s">
        <v>304</v>
      </c>
      <c r="G349" s="23"/>
      <c r="N349" t="s">
        <v>304</v>
      </c>
      <c r="O349" s="23"/>
    </row>
    <row r="350">
      <c r="F350" t="s">
        <v>305</v>
      </c>
      <c r="G350" s="23"/>
      <c r="N350" t="s">
        <v>305</v>
      </c>
      <c r="O350" s="23"/>
    </row>
    <row r="358">
      <c r="A358" s="11" t="s">
        <v>388</v>
      </c>
      <c r="B358" s="11"/>
      <c r="C358" s="11"/>
      <c r="D358" s="11"/>
      <c r="E358" s="11"/>
      <c r="F358" s="11"/>
      <c r="G358" s="11"/>
      <c r="I358" s="11" t="s">
        <v>389</v>
      </c>
      <c r="J358" s="11"/>
      <c r="K358" s="11"/>
      <c r="L358" s="11"/>
      <c r="M358" s="11"/>
      <c r="N358" s="11"/>
      <c r="O358" s="11"/>
    </row>
    <row r="359">
      <c r="A359" s="21" t="s">
        <v>301</v>
      </c>
      <c r="D359" s="19" t="s">
        <v>302</v>
      </c>
      <c r="G359" s="20" t="s">
        <v>303</v>
      </c>
      <c r="I359" s="21" t="s">
        <v>301</v>
      </c>
      <c r="L359" s="19" t="s">
        <v>302</v>
      </c>
      <c r="O359" s="20" t="s">
        <v>303</v>
      </c>
    </row>
    <row r="360">
      <c r="A360" s="19" t="str">
        <f>CONCATENATE("M 77 ",G333)</f>
      </c>
      <c r="B360" s="22"/>
      <c r="C360" s="22"/>
      <c r="D360" s="22"/>
      <c r="E360" s="22"/>
      <c r="F360" s="22"/>
      <c r="G360" s="19" t="str">
        <f>CONCATENATE("M 76 ",G325)</f>
      </c>
      <c r="I360" s="19" t="str">
        <f>CONCATENATE("M 81 ",O333)</f>
      </c>
      <c r="J360" s="22"/>
      <c r="K360" s="22"/>
      <c r="L360" s="22"/>
      <c r="M360" s="22"/>
      <c r="N360" s="22"/>
      <c r="O360" s="19" t="str">
        <f>CONCATENATE("M 80 ",O325)</f>
      </c>
    </row>
    <row r="362">
      <c r="F362" t="s">
        <v>304</v>
      </c>
      <c r="G362" s="23"/>
      <c r="N362" t="s">
        <v>304</v>
      </c>
      <c r="O362" s="23"/>
    </row>
    <row r="363">
      <c r="F363" t="s">
        <v>305</v>
      </c>
      <c r="G363" s="23"/>
      <c r="N363" t="s">
        <v>305</v>
      </c>
      <c r="O363" s="23"/>
    </row>
    <row r="366">
      <c r="A366" s="11" t="s">
        <v>390</v>
      </c>
      <c r="B366" s="11"/>
      <c r="C366" s="11"/>
      <c r="D366" s="11"/>
      <c r="E366" s="11"/>
      <c r="F366" s="11"/>
      <c r="G366" s="11"/>
      <c r="I366" s="11" t="s">
        <v>391</v>
      </c>
      <c r="J366" s="11"/>
      <c r="K366" s="11"/>
      <c r="L366" s="11"/>
      <c r="M366" s="11"/>
      <c r="N366" s="11"/>
      <c r="O366" s="11"/>
    </row>
    <row r="367">
      <c r="A367" s="21" t="s">
        <v>301</v>
      </c>
      <c r="D367" s="19" t="s">
        <v>302</v>
      </c>
      <c r="G367" s="20" t="s">
        <v>303</v>
      </c>
      <c r="I367" s="21" t="s">
        <v>301</v>
      </c>
      <c r="L367" s="19" t="s">
        <v>302</v>
      </c>
      <c r="O367" s="20" t="s">
        <v>303</v>
      </c>
    </row>
    <row r="368">
      <c r="A368" s="19" t="str">
        <f>CONCATENATE("M 79 ",G349)</f>
      </c>
      <c r="B368" s="22"/>
      <c r="C368" s="22"/>
      <c r="D368" s="22"/>
      <c r="E368" s="22"/>
      <c r="F368" s="22"/>
      <c r="G368" s="19" t="str">
        <f>CONCATENATE("M 78 ",G341)</f>
      </c>
      <c r="I368" s="19" t="str">
        <f>CONCATENATE("M 83 ",O349)</f>
      </c>
      <c r="J368" s="22"/>
      <c r="K368" s="22"/>
      <c r="L368" s="22"/>
      <c r="M368" s="22"/>
      <c r="N368" s="22"/>
      <c r="O368" s="19" t="str">
        <f>CONCATENATE("M 82 ",O341)</f>
      </c>
    </row>
    <row r="370">
      <c r="F370" t="s">
        <v>304</v>
      </c>
      <c r="G370" s="23"/>
      <c r="N370" t="s">
        <v>304</v>
      </c>
      <c r="O370" s="23"/>
    </row>
    <row r="371">
      <c r="F371" t="s">
        <v>305</v>
      </c>
      <c r="G371" s="23"/>
      <c r="N371" t="s">
        <v>305</v>
      </c>
      <c r="O371" s="23"/>
    </row>
    <row r="379">
      <c r="A379" s="11" t="s">
        <v>392</v>
      </c>
      <c r="B379" s="11"/>
      <c r="C379" s="11"/>
      <c r="D379" s="11"/>
      <c r="E379" s="11"/>
      <c r="F379" s="11"/>
      <c r="G379" s="11"/>
      <c r="I379" s="11" t="s">
        <v>393</v>
      </c>
      <c r="J379" s="11"/>
      <c r="K379" s="11"/>
      <c r="L379" s="11"/>
      <c r="M379" s="11"/>
      <c r="N379" s="11"/>
      <c r="O379" s="11"/>
    </row>
    <row r="380">
      <c r="A380" s="21" t="s">
        <v>301</v>
      </c>
      <c r="D380" s="19" t="s">
        <v>302</v>
      </c>
      <c r="G380" s="20" t="s">
        <v>303</v>
      </c>
      <c r="I380" s="21" t="s">
        <v>301</v>
      </c>
      <c r="L380" s="19" t="s">
        <v>302</v>
      </c>
      <c r="O380" s="20" t="s">
        <v>303</v>
      </c>
    </row>
    <row r="381">
      <c r="A381" s="19" t="str">
        <f>CONCATENATE("M 85 ",G370)</f>
      </c>
      <c r="B381" s="22"/>
      <c r="C381" s="22"/>
      <c r="D381" s="22"/>
      <c r="E381" s="22"/>
      <c r="F381" s="22"/>
      <c r="G381" s="19" t="str">
        <f>CONCATENATE("M 84 ",G362)</f>
      </c>
      <c r="I381" s="19" t="str">
        <f>CONCATENATE("M 87 ",O370)</f>
      </c>
      <c r="J381" s="22"/>
      <c r="K381" s="22"/>
      <c r="L381" s="22"/>
      <c r="M381" s="22"/>
      <c r="N381" s="22"/>
      <c r="O381" s="19" t="str">
        <f>CONCATENATE("M 86 ",O362)</f>
      </c>
    </row>
    <row r="383">
      <c r="F383" t="s">
        <v>304</v>
      </c>
      <c r="G383" s="23"/>
      <c r="N383" t="s">
        <v>304</v>
      </c>
      <c r="O383" s="23"/>
    </row>
    <row r="384">
      <c r="F384" t="s">
        <v>305</v>
      </c>
      <c r="G384" s="23"/>
      <c r="N384" t="s">
        <v>305</v>
      </c>
      <c r="O384" s="23"/>
    </row>
    <row r="392">
      <c r="A392" s="11" t="s">
        <v>394</v>
      </c>
      <c r="B392" s="11"/>
      <c r="C392" s="11"/>
      <c r="D392" s="11"/>
      <c r="E392" s="11"/>
      <c r="F392" s="11"/>
      <c r="G392" s="11"/>
    </row>
    <row r="393">
      <c r="A393" s="21" t="s">
        <v>301</v>
      </c>
      <c r="D393" s="19" t="s">
        <v>302</v>
      </c>
      <c r="G393" s="20" t="s">
        <v>303</v>
      </c>
    </row>
    <row r="394">
      <c r="A394" s="19" t="str">
        <f>CONCATENATE("M 89 ",O383)</f>
      </c>
      <c r="B394" s="22"/>
      <c r="C394" s="22"/>
      <c r="D394" s="22"/>
      <c r="E394" s="22"/>
      <c r="F394" s="22"/>
      <c r="G394" s="19" t="str">
        <f>CONCATENATE("M 88 ",G383)</f>
      </c>
    </row>
    <row r="396">
      <c r="F396" t="s">
        <v>304</v>
      </c>
      <c r="G396" s="23"/>
    </row>
    <row r="397">
      <c r="F397" t="s">
        <v>305</v>
      </c>
      <c r="G397" s="23"/>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92">
    <mergeCell ref="A1:G1"/>
    <mergeCell ref="I1:O1"/>
    <mergeCell ref="A2:G2"/>
    <mergeCell ref="I2:O2"/>
    <mergeCell ref="A10:G10"/>
    <mergeCell ref="I10:O10"/>
    <mergeCell ref="A18:G18"/>
    <mergeCell ref="I18:O18"/>
    <mergeCell ref="A26:G26"/>
    <mergeCell ref="I26:O26"/>
    <mergeCell ref="A34:G34"/>
    <mergeCell ref="I34:O34"/>
    <mergeCell ref="A42:G42"/>
    <mergeCell ref="I42:O42"/>
    <mergeCell ref="A50:G50"/>
    <mergeCell ref="I50:O50"/>
    <mergeCell ref="A58:G58"/>
    <mergeCell ref="I58:O58"/>
    <mergeCell ref="A66:G66"/>
    <mergeCell ref="I66:O66"/>
    <mergeCell ref="A74:G74"/>
    <mergeCell ref="I74:O74"/>
    <mergeCell ref="A82:G82"/>
    <mergeCell ref="I82:O82"/>
    <mergeCell ref="A90:G90"/>
    <mergeCell ref="I90:O90"/>
    <mergeCell ref="A98:G98"/>
    <mergeCell ref="I98:O98"/>
    <mergeCell ref="A106:G106"/>
    <mergeCell ref="I106:O106"/>
    <mergeCell ref="A114:G114"/>
    <mergeCell ref="I114:O114"/>
    <mergeCell ref="A122:G122"/>
    <mergeCell ref="I122:O122"/>
    <mergeCell ref="A135:G135"/>
    <mergeCell ref="I135:O135"/>
    <mergeCell ref="A143:G143"/>
    <mergeCell ref="I143:O143"/>
    <mergeCell ref="A151:G151"/>
    <mergeCell ref="I151:O151"/>
    <mergeCell ref="A159:G159"/>
    <mergeCell ref="I159:O159"/>
    <mergeCell ref="A167:G167"/>
    <mergeCell ref="I167:O167"/>
    <mergeCell ref="A175:G175"/>
    <mergeCell ref="I175:O175"/>
    <mergeCell ref="A183:G183"/>
    <mergeCell ref="I183:O183"/>
    <mergeCell ref="A191:G191"/>
    <mergeCell ref="I191:O191"/>
    <mergeCell ref="A199:G199"/>
    <mergeCell ref="I199:O199"/>
    <mergeCell ref="A207:G207"/>
    <mergeCell ref="I207:O207"/>
    <mergeCell ref="A215:G215"/>
    <mergeCell ref="I215:O215"/>
    <mergeCell ref="A223:G223"/>
    <mergeCell ref="I223:O223"/>
    <mergeCell ref="A231:G231"/>
    <mergeCell ref="I231:O231"/>
    <mergeCell ref="I239:O239"/>
    <mergeCell ref="A252:G252"/>
    <mergeCell ref="I252:O252"/>
    <mergeCell ref="A260:G260"/>
    <mergeCell ref="I260:O260"/>
    <mergeCell ref="A268:G268"/>
    <mergeCell ref="I268:O268"/>
    <mergeCell ref="A276:G276"/>
    <mergeCell ref="I276:O276"/>
    <mergeCell ref="A284:G284"/>
    <mergeCell ref="I284:O284"/>
    <mergeCell ref="A292:G292"/>
    <mergeCell ref="I292:O292"/>
    <mergeCell ref="A300:G300"/>
    <mergeCell ref="I300:O300"/>
    <mergeCell ref="A308:G308"/>
    <mergeCell ref="I308:O308"/>
    <mergeCell ref="A321:G321"/>
    <mergeCell ref="I321:O321"/>
    <mergeCell ref="A329:G329"/>
    <mergeCell ref="I329:O329"/>
    <mergeCell ref="A337:G337"/>
    <mergeCell ref="I337:O337"/>
    <mergeCell ref="A345:G345"/>
    <mergeCell ref="I345:O345"/>
    <mergeCell ref="A358:G358"/>
    <mergeCell ref="I358:O358"/>
    <mergeCell ref="A366:G366"/>
    <mergeCell ref="I366:O366"/>
    <mergeCell ref="A379:G379"/>
    <mergeCell ref="I379:O379"/>
    <mergeCell ref="A392:G392"/>
  </mergeCells>
  <printOptions horizontalCentered="true" verticalCentered="true"/>
  <pageSetup fitToHeight="0" fitToWidth="2" orientation="portrait" pageOrder="downThenOver" paperSize="9"/>
  <rowBreaks count="9" manualBreakCount="9">
    <brk id="41" max="16383" man="true"/>
    <brk id="81" max="16383" man="true"/>
    <brk id="121" max="16383" man="true"/>
    <brk id="158" max="16383" man="true"/>
    <brk id="198" max="16383" man="true"/>
    <brk id="238" max="16383" man="true"/>
    <brk id="275" max="16383" man="true"/>
    <brk id="320" max="16383" man="true"/>
    <brk id="357" max="16383" man="true"/>
  </rowBreaks>
  <colBreaks count="1" manualBreakCount="1">
    <brk id="8" max="1048575" man="true"/>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5">
      <c r="C5" s="16" t="s">
        <v>19</v>
      </c>
    </row>
    <row r="6">
      <c r="D6" s="14"/>
      <c r="E6" s="13">
        <v>1</v>
      </c>
    </row>
    <row r="7">
      <c r="C7" s="16" t="s">
        <v>23</v>
      </c>
      <c r="D7" s="15"/>
      <c r="E7" s="12"/>
    </row>
    <row r="9">
      <c r="H9" s="14"/>
      <c r="I9" s="12"/>
    </row>
    <row r="10">
      <c r="I10" s="12"/>
    </row>
    <row r="11">
      <c r="I11" s="12"/>
    </row>
    <row r="12">
      <c r="I12" s="13">
        <v>60</v>
      </c>
    </row>
    <row r="13">
      <c r="I13" s="12"/>
      <c r="J13" s="14"/>
      <c r="K13" s="12"/>
    </row>
    <row r="14">
      <c r="C14" s="16"/>
      <c r="D14" s="16"/>
      <c r="E14" s="16" t="s">
        <v>27</v>
      </c>
      <c r="I14" s="12"/>
      <c r="K14" s="12"/>
    </row>
    <row r="15">
      <c r="F15" s="14"/>
      <c r="G15" s="12"/>
      <c r="I15" s="12"/>
      <c r="K15" s="12"/>
    </row>
    <row r="16">
      <c r="G16" s="13">
        <v>33</v>
      </c>
      <c r="H16" s="15"/>
      <c r="I16" s="12"/>
      <c r="K16" s="12"/>
    </row>
    <row r="17">
      <c r="C17" s="16" t="s">
        <v>31</v>
      </c>
      <c r="G17" s="12"/>
      <c r="K17" s="12"/>
    </row>
    <row r="18">
      <c r="D18" s="14"/>
      <c r="E18" s="13">
        <v>2</v>
      </c>
      <c r="F18" s="15"/>
      <c r="G18" s="12"/>
      <c r="K18" s="12"/>
    </row>
    <row r="19">
      <c r="C19" s="16" t="s">
        <v>35</v>
      </c>
      <c r="D19" s="15"/>
      <c r="E19" s="12"/>
      <c r="K19" s="12"/>
    </row>
    <row r="20">
      <c r="K20" s="13">
        <v>76</v>
      </c>
    </row>
    <row r="21">
      <c r="K21" s="12"/>
    </row>
    <row r="22">
      <c r="C22" s="16"/>
      <c r="D22" s="16"/>
      <c r="E22" s="16" t="s">
        <v>39</v>
      </c>
      <c r="K22" s="12"/>
    </row>
    <row r="23">
      <c r="F23" s="14"/>
      <c r="G23" s="12"/>
      <c r="K23" s="12"/>
    </row>
    <row r="24">
      <c r="G24" s="13">
        <v>34</v>
      </c>
      <c r="K24" s="12"/>
    </row>
    <row r="25">
      <c r="C25" s="16" t="s">
        <v>43</v>
      </c>
      <c r="G25" s="12"/>
      <c r="H25" s="14"/>
      <c r="I25" s="12"/>
      <c r="K25" s="12"/>
    </row>
    <row r="26">
      <c r="D26" s="14"/>
      <c r="E26" s="13">
        <v>3</v>
      </c>
      <c r="F26" s="15"/>
      <c r="G26" s="12"/>
      <c r="I26" s="12"/>
      <c r="K26" s="12"/>
    </row>
    <row r="27">
      <c r="C27" s="16" t="s">
        <v>47</v>
      </c>
      <c r="D27" s="15"/>
      <c r="E27" s="12"/>
      <c r="I27" s="12"/>
      <c r="K27" s="12"/>
    </row>
    <row r="28">
      <c r="I28" s="13">
        <v>61</v>
      </c>
      <c r="J28" s="15"/>
      <c r="K28" s="12"/>
    </row>
    <row r="29">
      <c r="I29" s="12"/>
    </row>
    <row r="30">
      <c r="C30" s="16"/>
      <c r="D30" s="16"/>
      <c r="E30" s="16" t="s">
        <v>51</v>
      </c>
      <c r="I30" s="12"/>
    </row>
    <row r="31">
      <c r="F31" s="14"/>
      <c r="G31" s="12"/>
      <c r="I31" s="12"/>
    </row>
    <row r="32">
      <c r="G32" s="13">
        <v>35</v>
      </c>
      <c r="H32" s="15"/>
      <c r="I32" s="12"/>
    </row>
    <row r="33">
      <c r="C33" s="16" t="s">
        <v>55</v>
      </c>
      <c r="G33" s="12"/>
    </row>
    <row r="34">
      <c r="D34" s="14"/>
      <c r="E34" s="13">
        <v>4</v>
      </c>
      <c r="F34" s="15"/>
      <c r="G34" s="12"/>
    </row>
    <row r="35">
      <c r="C35" s="16" t="s">
        <v>58</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5">
      <c r="C5" s="16" t="s">
        <v>62</v>
      </c>
    </row>
    <row r="6">
      <c r="D6" s="14"/>
      <c r="E6" s="13">
        <v>5</v>
      </c>
    </row>
    <row r="7">
      <c r="C7" s="16" t="s">
        <v>66</v>
      </c>
      <c r="D7" s="15"/>
      <c r="E7" s="12"/>
    </row>
    <row r="9">
      <c r="H9" s="14"/>
      <c r="I9" s="12"/>
    </row>
    <row r="10">
      <c r="I10" s="12"/>
    </row>
    <row r="11">
      <c r="I11" s="12"/>
    </row>
    <row r="12">
      <c r="I12" s="13">
        <v>62</v>
      </c>
    </row>
    <row r="13">
      <c r="I13" s="12"/>
      <c r="J13" s="14"/>
      <c r="K13" s="12"/>
    </row>
    <row r="14">
      <c r="C14" s="16"/>
      <c r="D14" s="16"/>
      <c r="E14" s="16" t="s">
        <v>70</v>
      </c>
      <c r="I14" s="12"/>
      <c r="K14" s="12"/>
    </row>
    <row r="15">
      <c r="F15" s="14"/>
      <c r="G15" s="12"/>
      <c r="I15" s="12"/>
      <c r="K15" s="12"/>
    </row>
    <row r="16">
      <c r="G16" s="13">
        <v>36</v>
      </c>
      <c r="H16" s="15"/>
      <c r="I16" s="12"/>
      <c r="K16" s="12"/>
    </row>
    <row r="17">
      <c r="C17" s="16" t="s">
        <v>74</v>
      </c>
      <c r="G17" s="12"/>
      <c r="K17" s="12"/>
    </row>
    <row r="18">
      <c r="D18" s="14"/>
      <c r="E18" s="13">
        <v>6</v>
      </c>
      <c r="F18" s="15"/>
      <c r="G18" s="12"/>
      <c r="K18" s="12"/>
    </row>
    <row r="19">
      <c r="C19" s="16" t="s">
        <v>78</v>
      </c>
      <c r="D19" s="15"/>
      <c r="E19" s="12"/>
      <c r="K19" s="12"/>
    </row>
    <row r="20">
      <c r="K20" s="13">
        <v>77</v>
      </c>
    </row>
    <row r="21">
      <c r="K21" s="12"/>
    </row>
    <row r="22">
      <c r="C22" s="16"/>
      <c r="D22" s="16"/>
      <c r="E22" s="16" t="s">
        <v>81</v>
      </c>
      <c r="K22" s="12"/>
    </row>
    <row r="23">
      <c r="F23" s="14"/>
      <c r="G23" s="12"/>
      <c r="K23" s="12"/>
    </row>
    <row r="24">
      <c r="G24" s="13">
        <v>37</v>
      </c>
      <c r="K24" s="12"/>
    </row>
    <row r="25">
      <c r="C25" s="16" t="s">
        <v>84</v>
      </c>
      <c r="G25" s="12"/>
      <c r="H25" s="14"/>
      <c r="I25" s="12"/>
      <c r="K25" s="12"/>
    </row>
    <row r="26">
      <c r="D26" s="14"/>
      <c r="E26" s="13">
        <v>7</v>
      </c>
      <c r="F26" s="15"/>
      <c r="G26" s="12"/>
      <c r="I26" s="12"/>
      <c r="K26" s="12"/>
    </row>
    <row r="27">
      <c r="C27" s="16" t="s">
        <v>87</v>
      </c>
      <c r="D27" s="15"/>
      <c r="E27" s="12"/>
      <c r="I27" s="12"/>
      <c r="K27" s="12"/>
    </row>
    <row r="28">
      <c r="I28" s="13">
        <v>63</v>
      </c>
      <c r="J28" s="15"/>
      <c r="K28" s="12"/>
    </row>
    <row r="29">
      <c r="I29" s="12"/>
    </row>
    <row r="30">
      <c r="C30" s="16"/>
      <c r="D30" s="16"/>
      <c r="E30" s="16" t="s">
        <v>90</v>
      </c>
      <c r="I30" s="12"/>
    </row>
    <row r="31">
      <c r="F31" s="14"/>
      <c r="G31" s="12"/>
      <c r="I31" s="12"/>
    </row>
    <row r="32">
      <c r="G32" s="13">
        <v>38</v>
      </c>
      <c r="H32" s="15"/>
      <c r="I32" s="12"/>
    </row>
    <row r="33">
      <c r="C33" s="16" t="s">
        <v>93</v>
      </c>
      <c r="G33" s="12"/>
    </row>
    <row r="34">
      <c r="D34" s="14"/>
      <c r="E34" s="13">
        <v>8</v>
      </c>
      <c r="F34" s="15"/>
      <c r="G34" s="12"/>
    </row>
    <row r="35">
      <c r="C35" s="16" t="s">
        <v>97</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0.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5">
      <c r="C5" s="16" t="s">
        <v>100</v>
      </c>
    </row>
    <row r="6">
      <c r="D6" s="14"/>
      <c r="E6" s="13">
        <v>9</v>
      </c>
    </row>
    <row r="7">
      <c r="C7" s="16" t="s">
        <v>104</v>
      </c>
      <c r="D7" s="15"/>
      <c r="E7" s="12"/>
    </row>
    <row r="9">
      <c r="H9" s="14"/>
      <c r="I9" s="12"/>
    </row>
    <row r="10">
      <c r="I10" s="12"/>
    </row>
    <row r="11">
      <c r="I11" s="12"/>
    </row>
    <row r="12">
      <c r="I12" s="13">
        <v>64</v>
      </c>
    </row>
    <row r="13">
      <c r="I13" s="12"/>
      <c r="J13" s="14"/>
      <c r="K13" s="12"/>
    </row>
    <row r="14">
      <c r="C14" s="16"/>
      <c r="D14" s="16"/>
      <c r="E14" s="16" t="s">
        <v>108</v>
      </c>
      <c r="I14" s="12"/>
      <c r="K14" s="12"/>
    </row>
    <row r="15">
      <c r="F15" s="14"/>
      <c r="G15" s="12"/>
      <c r="I15" s="12"/>
      <c r="K15" s="12"/>
    </row>
    <row r="16">
      <c r="G16" s="13">
        <v>39</v>
      </c>
      <c r="H16" s="15"/>
      <c r="I16" s="12"/>
      <c r="K16" s="12"/>
    </row>
    <row r="17">
      <c r="C17" s="16" t="s">
        <v>112</v>
      </c>
      <c r="G17" s="12"/>
      <c r="K17" s="12"/>
    </row>
    <row r="18">
      <c r="D18" s="14"/>
      <c r="E18" s="13">
        <v>10</v>
      </c>
      <c r="F18" s="15"/>
      <c r="G18" s="12"/>
      <c r="K18" s="12"/>
    </row>
    <row r="19">
      <c r="C19" s="16" t="s">
        <v>116</v>
      </c>
      <c r="D19" s="15"/>
      <c r="E19" s="12"/>
      <c r="K19" s="12"/>
    </row>
    <row r="20">
      <c r="K20" s="13">
        <v>78</v>
      </c>
    </row>
    <row r="21">
      <c r="K21" s="12"/>
    </row>
    <row r="22">
      <c r="C22" s="16"/>
      <c r="D22" s="16"/>
      <c r="E22" s="16" t="s">
        <v>81</v>
      </c>
      <c r="K22" s="12"/>
    </row>
    <row r="23">
      <c r="F23" s="14"/>
      <c r="G23" s="12"/>
      <c r="K23" s="12"/>
    </row>
    <row r="24">
      <c r="G24" s="13">
        <v>40</v>
      </c>
      <c r="K24" s="12"/>
    </row>
    <row r="25">
      <c r="C25" s="16" t="s">
        <v>121</v>
      </c>
      <c r="G25" s="12"/>
      <c r="H25" s="14"/>
      <c r="I25" s="12"/>
      <c r="K25" s="12"/>
    </row>
    <row r="26">
      <c r="D26" s="14"/>
      <c r="E26" s="13">
        <v>11</v>
      </c>
      <c r="F26" s="15"/>
      <c r="G26" s="12"/>
      <c r="I26" s="12"/>
      <c r="K26" s="12"/>
    </row>
    <row r="27">
      <c r="C27" s="16" t="s">
        <v>124</v>
      </c>
      <c r="D27" s="15"/>
      <c r="E27" s="12"/>
      <c r="I27" s="12"/>
      <c r="K27" s="12"/>
    </row>
    <row r="28">
      <c r="I28" s="13">
        <v>65</v>
      </c>
      <c r="J28" s="15"/>
      <c r="K28" s="12"/>
    </row>
    <row r="29">
      <c r="I29" s="12"/>
    </row>
    <row r="30">
      <c r="C30" s="16"/>
      <c r="D30" s="16"/>
      <c r="E30" s="16" t="s">
        <v>127</v>
      </c>
      <c r="I30" s="12"/>
    </row>
    <row r="31">
      <c r="F31" s="14"/>
      <c r="G31" s="12"/>
      <c r="I31" s="12"/>
    </row>
    <row r="32">
      <c r="G32" s="13">
        <v>41</v>
      </c>
      <c r="H32" s="15"/>
      <c r="I32" s="12"/>
    </row>
    <row r="33">
      <c r="C33" s="16" t="s">
        <v>130</v>
      </c>
      <c r="G33" s="12"/>
    </row>
    <row r="34">
      <c r="D34" s="14"/>
      <c r="E34" s="13">
        <v>12</v>
      </c>
      <c r="F34" s="15"/>
      <c r="G34" s="12"/>
    </row>
    <row r="35">
      <c r="C35" s="16" t="s">
        <v>133</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1.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6">
      <c r="C6" s="16"/>
      <c r="D6" s="16"/>
      <c r="E6" s="16" t="s">
        <v>136</v>
      </c>
    </row>
    <row r="7">
      <c r="F7" s="14"/>
      <c r="G7" s="12"/>
    </row>
    <row r="8">
      <c r="G8" s="13">
        <v>42</v>
      </c>
    </row>
    <row r="9">
      <c r="C9" s="16" t="s">
        <v>43</v>
      </c>
      <c r="G9" s="12"/>
      <c r="H9" s="14"/>
      <c r="I9" s="12"/>
    </row>
    <row r="10">
      <c r="D10" s="14"/>
      <c r="E10" s="13">
        <v>13</v>
      </c>
      <c r="F10" s="15"/>
      <c r="G10" s="12"/>
      <c r="I10" s="12"/>
    </row>
    <row r="11">
      <c r="C11" s="16" t="s">
        <v>47</v>
      </c>
      <c r="D11" s="15"/>
      <c r="E11" s="12"/>
      <c r="I11" s="12"/>
    </row>
    <row r="12">
      <c r="I12" s="13">
        <v>66</v>
      </c>
    </row>
    <row r="13">
      <c r="I13" s="12"/>
      <c r="J13" s="14"/>
      <c r="K13" s="12"/>
    </row>
    <row r="14">
      <c r="C14" s="16"/>
      <c r="D14" s="16"/>
      <c r="E14" s="16" t="s">
        <v>51</v>
      </c>
      <c r="I14" s="12"/>
      <c r="K14" s="12"/>
    </row>
    <row r="15">
      <c r="F15" s="14"/>
      <c r="G15" s="12"/>
      <c r="I15" s="12"/>
      <c r="K15" s="12"/>
    </row>
    <row r="16">
      <c r="G16" s="13">
        <v>43</v>
      </c>
      <c r="H16" s="15"/>
      <c r="I16" s="12"/>
      <c r="K16" s="12"/>
    </row>
    <row r="17">
      <c r="C17" s="16" t="s">
        <v>146</v>
      </c>
      <c r="G17" s="12"/>
      <c r="K17" s="12"/>
    </row>
    <row r="18">
      <c r="D18" s="14"/>
      <c r="E18" s="13">
        <v>14</v>
      </c>
      <c r="F18" s="15"/>
      <c r="G18" s="12"/>
      <c r="K18" s="12"/>
    </row>
    <row r="19">
      <c r="C19" s="16" t="s">
        <v>150</v>
      </c>
      <c r="D19" s="15"/>
      <c r="E19" s="12"/>
      <c r="K19" s="12"/>
    </row>
    <row r="20">
      <c r="K20" s="13">
        <v>79</v>
      </c>
    </row>
    <row r="21">
      <c r="K21" s="12"/>
    </row>
    <row r="22">
      <c r="C22" s="16"/>
      <c r="D22" s="16"/>
      <c r="E22" s="16" t="s">
        <v>154</v>
      </c>
      <c r="K22" s="12"/>
    </row>
    <row r="23">
      <c r="F23" s="14"/>
      <c r="G23" s="12"/>
      <c r="K23" s="12"/>
    </row>
    <row r="24">
      <c r="G24" s="13">
        <v>44</v>
      </c>
      <c r="K24" s="12"/>
    </row>
    <row r="25">
      <c r="C25" s="16" t="s">
        <v>157</v>
      </c>
      <c r="G25" s="12"/>
      <c r="H25" s="14"/>
      <c r="I25" s="12"/>
      <c r="K25" s="12"/>
    </row>
    <row r="26">
      <c r="D26" s="14"/>
      <c r="E26" s="13">
        <v>15</v>
      </c>
      <c r="F26" s="15"/>
      <c r="G26" s="12"/>
      <c r="I26" s="12"/>
      <c r="K26" s="12"/>
    </row>
    <row r="27">
      <c r="C27" s="16" t="s">
        <v>160</v>
      </c>
      <c r="D27" s="15"/>
      <c r="E27" s="12"/>
      <c r="I27" s="12"/>
      <c r="K27" s="12"/>
    </row>
    <row r="28">
      <c r="I28" s="13">
        <v>67</v>
      </c>
      <c r="J28" s="15"/>
      <c r="K28" s="12"/>
    </row>
    <row r="29">
      <c r="I29" s="12"/>
    </row>
    <row r="30">
      <c r="C30" s="16"/>
      <c r="D30" s="16"/>
      <c r="E30" s="16" t="s">
        <v>163</v>
      </c>
      <c r="I30" s="12"/>
    </row>
    <row r="31">
      <c r="F31" s="14"/>
      <c r="G31" s="12"/>
      <c r="I31" s="12"/>
    </row>
    <row r="32">
      <c r="G32" s="13">
        <v>45</v>
      </c>
      <c r="H32" s="15"/>
      <c r="I32" s="12"/>
    </row>
    <row r="33">
      <c r="C33" s="16" t="s">
        <v>166</v>
      </c>
      <c r="G33" s="12"/>
    </row>
    <row r="34">
      <c r="D34" s="14"/>
      <c r="E34" s="13">
        <v>16</v>
      </c>
      <c r="F34" s="15"/>
      <c r="G34" s="12"/>
    </row>
    <row r="35">
      <c r="C35" s="16" t="s">
        <v>169</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2.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5">
      <c r="C5" s="16" t="s">
        <v>172</v>
      </c>
    </row>
    <row r="6">
      <c r="D6" s="14"/>
      <c r="E6" s="13">
        <v>17</v>
      </c>
    </row>
    <row r="7">
      <c r="C7" s="16" t="s">
        <v>175</v>
      </c>
      <c r="D7" s="15"/>
      <c r="E7" s="12"/>
    </row>
    <row r="9">
      <c r="H9" s="14"/>
      <c r="I9" s="12"/>
    </row>
    <row r="10">
      <c r="I10" s="12"/>
    </row>
    <row r="11">
      <c r="I11" s="12"/>
    </row>
    <row r="12">
      <c r="I12" s="13">
        <v>68</v>
      </c>
    </row>
    <row r="13">
      <c r="I13" s="12"/>
      <c r="J13" s="14"/>
      <c r="K13" s="12"/>
    </row>
    <row r="14">
      <c r="C14" s="16"/>
      <c r="D14" s="16"/>
      <c r="E14" s="16" t="s">
        <v>178</v>
      </c>
      <c r="I14" s="12"/>
      <c r="K14" s="12"/>
    </row>
    <row r="15">
      <c r="F15" s="14"/>
      <c r="G15" s="12"/>
      <c r="I15" s="12"/>
      <c r="K15" s="12"/>
    </row>
    <row r="16">
      <c r="G16" s="13">
        <v>46</v>
      </c>
      <c r="H16" s="15"/>
      <c r="I16" s="12"/>
      <c r="K16" s="12"/>
    </row>
    <row r="17">
      <c r="C17" s="16" t="s">
        <v>181</v>
      </c>
      <c r="G17" s="12"/>
      <c r="K17" s="12"/>
    </row>
    <row r="18">
      <c r="D18" s="14"/>
      <c r="E18" s="13">
        <v>18</v>
      </c>
      <c r="F18" s="15"/>
      <c r="G18" s="12"/>
      <c r="K18" s="12"/>
    </row>
    <row r="19">
      <c r="C19" s="16" t="s">
        <v>184</v>
      </c>
      <c r="D19" s="15"/>
      <c r="E19" s="12"/>
      <c r="K19" s="12"/>
    </row>
    <row r="20">
      <c r="K20" s="13">
        <v>80</v>
      </c>
    </row>
    <row r="21">
      <c r="K21" s="12"/>
    </row>
    <row r="22">
      <c r="C22" s="16"/>
      <c r="D22" s="16"/>
      <c r="E22" s="16" t="s">
        <v>187</v>
      </c>
      <c r="K22" s="12"/>
    </row>
    <row r="23">
      <c r="F23" s="14"/>
      <c r="G23" s="12"/>
      <c r="K23" s="12"/>
    </row>
    <row r="24">
      <c r="G24" s="13">
        <v>47</v>
      </c>
      <c r="K24" s="12"/>
    </row>
    <row r="25">
      <c r="C25" s="16" t="s">
        <v>190</v>
      </c>
      <c r="G25" s="12"/>
      <c r="H25" s="14"/>
      <c r="I25" s="12"/>
      <c r="K25" s="12"/>
    </row>
    <row r="26">
      <c r="D26" s="14"/>
      <c r="E26" s="13">
        <v>19</v>
      </c>
      <c r="F26" s="15"/>
      <c r="G26" s="12"/>
      <c r="I26" s="12"/>
      <c r="K26" s="12"/>
    </row>
    <row r="27">
      <c r="C27" s="16" t="s">
        <v>172</v>
      </c>
      <c r="D27" s="15"/>
      <c r="E27" s="12"/>
      <c r="I27" s="12"/>
      <c r="K27" s="12"/>
    </row>
    <row r="28">
      <c r="I28" s="13">
        <v>69</v>
      </c>
      <c r="J28" s="15"/>
      <c r="K28" s="12"/>
    </row>
    <row r="29">
      <c r="I29" s="12"/>
    </row>
    <row r="30">
      <c r="C30" s="16"/>
      <c r="D30" s="16"/>
      <c r="E30" s="16" t="s">
        <v>124</v>
      </c>
      <c r="I30" s="12"/>
    </row>
    <row r="31">
      <c r="F31" s="14"/>
      <c r="G31" s="12"/>
      <c r="I31" s="12"/>
    </row>
    <row r="32">
      <c r="G32" s="13">
        <v>48</v>
      </c>
      <c r="H32" s="15"/>
      <c r="I32" s="12"/>
    </row>
    <row r="33">
      <c r="C33" s="16" t="s">
        <v>197</v>
      </c>
      <c r="G33" s="12"/>
    </row>
    <row r="34">
      <c r="D34" s="14"/>
      <c r="E34" s="13">
        <v>20</v>
      </c>
      <c r="F34" s="15"/>
      <c r="G34" s="12"/>
    </row>
    <row r="35">
      <c r="C35" s="16" t="s">
        <v>130</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6">
      <c r="C6" s="16"/>
      <c r="D6" s="16"/>
      <c r="E6" s="16" t="s">
        <v>202</v>
      </c>
    </row>
    <row r="7">
      <c r="F7" s="14"/>
      <c r="G7" s="12"/>
    </row>
    <row r="8">
      <c r="G8" s="13">
        <v>49</v>
      </c>
    </row>
    <row r="9">
      <c r="C9" s="16" t="s">
        <v>205</v>
      </c>
      <c r="G9" s="12"/>
      <c r="H9" s="14"/>
      <c r="I9" s="12"/>
    </row>
    <row r="10">
      <c r="D10" s="14"/>
      <c r="E10" s="13">
        <v>21</v>
      </c>
      <c r="F10" s="15"/>
      <c r="G10" s="12"/>
      <c r="I10" s="12"/>
    </row>
    <row r="11">
      <c r="C11" s="16" t="s">
        <v>208</v>
      </c>
      <c r="D11" s="15"/>
      <c r="E11" s="12"/>
      <c r="I11" s="12"/>
    </row>
    <row r="12">
      <c r="I12" s="13">
        <v>70</v>
      </c>
    </row>
    <row r="13">
      <c r="I13" s="12"/>
      <c r="J13" s="14"/>
      <c r="K13" s="12"/>
    </row>
    <row r="14">
      <c r="C14" s="16"/>
      <c r="D14" s="16"/>
      <c r="E14" s="16" t="s">
        <v>157</v>
      </c>
      <c r="I14" s="12"/>
      <c r="K14" s="12"/>
    </row>
    <row r="15">
      <c r="F15" s="14"/>
      <c r="G15" s="12"/>
      <c r="I15" s="12"/>
      <c r="K15" s="12"/>
    </row>
    <row r="16">
      <c r="G16" s="13">
        <v>50</v>
      </c>
      <c r="H16" s="15"/>
      <c r="I16" s="12"/>
      <c r="K16" s="12"/>
    </row>
    <row r="17">
      <c r="C17" s="16" t="s">
        <v>213</v>
      </c>
      <c r="G17" s="12"/>
      <c r="K17" s="12"/>
    </row>
    <row r="18">
      <c r="D18" s="14"/>
      <c r="E18" s="13">
        <v>22</v>
      </c>
      <c r="F18" s="15"/>
      <c r="G18" s="12"/>
      <c r="K18" s="12"/>
    </row>
    <row r="19">
      <c r="C19" s="16" t="s">
        <v>216</v>
      </c>
      <c r="D19" s="15"/>
      <c r="E19" s="12"/>
      <c r="K19" s="12"/>
    </row>
    <row r="20">
      <c r="K20" s="13">
        <v>81</v>
      </c>
    </row>
    <row r="21">
      <c r="K21" s="12"/>
    </row>
    <row r="22">
      <c r="C22" s="16"/>
      <c r="D22" s="16"/>
      <c r="E22" s="16" t="s">
        <v>219</v>
      </c>
      <c r="K22" s="12"/>
    </row>
    <row r="23">
      <c r="F23" s="14"/>
      <c r="G23" s="12"/>
      <c r="K23" s="12"/>
    </row>
    <row r="24">
      <c r="G24" s="13">
        <v>51</v>
      </c>
      <c r="K24" s="12"/>
    </row>
    <row r="25">
      <c r="C25" s="16" t="s">
        <v>222</v>
      </c>
      <c r="G25" s="12"/>
      <c r="H25" s="14"/>
      <c r="I25" s="12"/>
      <c r="K25" s="12"/>
    </row>
    <row r="26">
      <c r="D26" s="14"/>
      <c r="E26" s="13">
        <v>23</v>
      </c>
      <c r="F26" s="15"/>
      <c r="G26" s="12"/>
      <c r="I26" s="12"/>
      <c r="K26" s="12"/>
    </row>
    <row r="27">
      <c r="C27" s="16" t="s">
        <v>226</v>
      </c>
      <c r="D27" s="15"/>
      <c r="E27" s="12"/>
      <c r="I27" s="12"/>
      <c r="K27" s="12"/>
    </row>
    <row r="28">
      <c r="I28" s="13">
        <v>71</v>
      </c>
      <c r="J28" s="15"/>
      <c r="K28" s="12"/>
    </row>
    <row r="29">
      <c r="I29" s="12"/>
    </row>
    <row r="30">
      <c r="C30" s="16"/>
      <c r="D30" s="16"/>
      <c r="E30" s="16" t="s">
        <v>229</v>
      </c>
      <c r="I30" s="12"/>
    </row>
    <row r="31">
      <c r="F31" s="14"/>
      <c r="G31" s="12"/>
      <c r="I31" s="12"/>
    </row>
    <row r="32">
      <c r="G32" s="13">
        <v>52</v>
      </c>
      <c r="H32" s="15"/>
      <c r="I32" s="12"/>
    </row>
    <row r="33">
      <c r="C33" s="16" t="s">
        <v>232</v>
      </c>
      <c r="G33" s="12"/>
    </row>
    <row r="34">
      <c r="D34" s="14"/>
      <c r="E34" s="13">
        <v>24</v>
      </c>
      <c r="F34" s="15"/>
      <c r="G34" s="12"/>
    </row>
    <row r="35">
      <c r="C35" s="16" t="s">
        <v>235</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5">
      <c r="C5" s="16" t="s">
        <v>70</v>
      </c>
    </row>
    <row r="6">
      <c r="D6" s="14"/>
      <c r="E6" s="13">
        <v>25</v>
      </c>
    </row>
    <row r="7">
      <c r="C7" s="16" t="s">
        <v>240</v>
      </c>
      <c r="D7" s="15"/>
      <c r="E7" s="12"/>
    </row>
    <row r="9">
      <c r="H9" s="14"/>
      <c r="I9" s="12"/>
    </row>
    <row r="10">
      <c r="I10" s="12"/>
    </row>
    <row r="11">
      <c r="I11" s="12"/>
    </row>
    <row r="12">
      <c r="I12" s="13">
        <v>72</v>
      </c>
    </row>
    <row r="13">
      <c r="I13" s="12"/>
      <c r="J13" s="14"/>
      <c r="K13" s="12"/>
    </row>
    <row r="14">
      <c r="C14" s="16"/>
      <c r="D14" s="16"/>
      <c r="E14" s="16" t="s">
        <v>243</v>
      </c>
      <c r="I14" s="12"/>
      <c r="K14" s="12"/>
    </row>
    <row r="15">
      <c r="F15" s="14"/>
      <c r="G15" s="12"/>
      <c r="I15" s="12"/>
      <c r="K15" s="12"/>
    </row>
    <row r="16">
      <c r="G16" s="13">
        <v>53</v>
      </c>
      <c r="H16" s="15"/>
      <c r="I16" s="12"/>
      <c r="K16" s="12"/>
    </row>
    <row r="17">
      <c r="C17" s="16" t="s">
        <v>127</v>
      </c>
      <c r="G17" s="12"/>
      <c r="K17" s="12"/>
    </row>
    <row r="18">
      <c r="D18" s="14"/>
      <c r="E18" s="13">
        <v>26</v>
      </c>
      <c r="F18" s="15"/>
      <c r="G18" s="12"/>
      <c r="K18" s="12"/>
    </row>
    <row r="19">
      <c r="C19" s="16" t="s">
        <v>248</v>
      </c>
      <c r="D19" s="15"/>
      <c r="E19" s="12"/>
      <c r="K19" s="12"/>
    </row>
    <row r="20">
      <c r="K20" s="13">
        <v>82</v>
      </c>
    </row>
    <row r="21">
      <c r="K21" s="12"/>
    </row>
    <row r="22">
      <c r="C22" s="16"/>
      <c r="D22" s="16"/>
      <c r="E22" s="16" t="s">
        <v>251</v>
      </c>
      <c r="K22" s="12"/>
    </row>
    <row r="23">
      <c r="F23" s="14"/>
      <c r="G23" s="12"/>
      <c r="K23" s="12"/>
    </row>
    <row r="24">
      <c r="G24" s="13">
        <v>54</v>
      </c>
      <c r="K24" s="12"/>
    </row>
    <row r="25">
      <c r="C25" s="16" t="s">
        <v>254</v>
      </c>
      <c r="G25" s="12"/>
      <c r="H25" s="14"/>
      <c r="I25" s="12"/>
      <c r="K25" s="12"/>
    </row>
    <row r="26">
      <c r="D26" s="14"/>
      <c r="E26" s="13">
        <v>27</v>
      </c>
      <c r="F26" s="15"/>
      <c r="G26" s="12"/>
      <c r="I26" s="12"/>
      <c r="K26" s="12"/>
    </row>
    <row r="27">
      <c r="C27" s="16" t="s">
        <v>257</v>
      </c>
      <c r="D27" s="15"/>
      <c r="E27" s="12"/>
      <c r="I27" s="12"/>
      <c r="K27" s="12"/>
    </row>
    <row r="28">
      <c r="I28" s="13">
        <v>73</v>
      </c>
      <c r="J28" s="15"/>
      <c r="K28" s="12"/>
    </row>
    <row r="29">
      <c r="I29" s="12"/>
    </row>
    <row r="30">
      <c r="C30" s="16"/>
      <c r="D30" s="16"/>
      <c r="E30" s="16" t="s">
        <v>136</v>
      </c>
      <c r="I30" s="12"/>
    </row>
    <row r="31">
      <c r="F31" s="14"/>
      <c r="G31" s="12"/>
      <c r="I31" s="12"/>
    </row>
    <row r="32">
      <c r="G32" s="13">
        <v>55</v>
      </c>
      <c r="H32" s="15"/>
      <c r="I32" s="12"/>
    </row>
    <row r="33">
      <c r="C33" s="16" t="s">
        <v>262</v>
      </c>
      <c r="G33" s="12"/>
    </row>
    <row r="34">
      <c r="D34" s="14"/>
      <c r="E34" s="13">
        <v>28</v>
      </c>
      <c r="F34" s="15"/>
      <c r="G34" s="12"/>
    </row>
    <row r="35">
      <c r="C35" s="16" t="s">
        <v>112</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6">
      <c r="C6" s="16"/>
      <c r="D6" s="16"/>
      <c r="E6" s="16" t="s">
        <v>235</v>
      </c>
    </row>
    <row r="7">
      <c r="F7" s="14"/>
      <c r="G7" s="12"/>
    </row>
    <row r="8">
      <c r="G8" s="13">
        <v>56</v>
      </c>
    </row>
    <row r="9">
      <c r="C9" s="16" t="s">
        <v>269</v>
      </c>
      <c r="G9" s="12"/>
      <c r="H9" s="14"/>
      <c r="I9" s="12"/>
    </row>
    <row r="10">
      <c r="D10" s="14"/>
      <c r="E10" s="13">
        <v>29</v>
      </c>
      <c r="F10" s="15"/>
      <c r="G10" s="12"/>
      <c r="I10" s="12"/>
    </row>
    <row r="11">
      <c r="C11" s="16" t="s">
        <v>272</v>
      </c>
      <c r="D11" s="15"/>
      <c r="E11" s="12"/>
      <c r="I11" s="12"/>
    </row>
    <row r="12">
      <c r="I12" s="13">
        <v>74</v>
      </c>
    </row>
    <row r="13">
      <c r="I13" s="12"/>
      <c r="J13" s="14"/>
      <c r="K13" s="12"/>
    </row>
    <row r="14">
      <c r="C14" s="16"/>
      <c r="D14" s="16"/>
      <c r="E14" s="16" t="s">
        <v>78</v>
      </c>
      <c r="I14" s="12"/>
      <c r="K14" s="12"/>
    </row>
    <row r="15">
      <c r="F15" s="14"/>
      <c r="G15" s="12"/>
      <c r="I15" s="12"/>
      <c r="K15" s="12"/>
    </row>
    <row r="16">
      <c r="G16" s="13">
        <v>57</v>
      </c>
      <c r="H16" s="15"/>
      <c r="I16" s="12"/>
      <c r="K16" s="12"/>
    </row>
    <row r="17">
      <c r="C17" s="16" t="s">
        <v>277</v>
      </c>
      <c r="G17" s="12"/>
      <c r="K17" s="12"/>
    </row>
    <row r="18">
      <c r="D18" s="14"/>
      <c r="E18" s="13">
        <v>30</v>
      </c>
      <c r="F18" s="15"/>
      <c r="G18" s="12"/>
      <c r="K18" s="12"/>
    </row>
    <row r="19">
      <c r="C19" s="16" t="s">
        <v>280</v>
      </c>
      <c r="D19" s="15"/>
      <c r="E19" s="12"/>
      <c r="K19" s="12"/>
    </row>
    <row r="20">
      <c r="K20" s="13">
        <v>83</v>
      </c>
    </row>
    <row r="21">
      <c r="K21" s="12"/>
    </row>
    <row r="22">
      <c r="C22" s="16"/>
      <c r="D22" s="16"/>
      <c r="E22" s="16" t="s">
        <v>283</v>
      </c>
      <c r="K22" s="12"/>
    </row>
    <row r="23">
      <c r="F23" s="14"/>
      <c r="G23" s="12"/>
      <c r="K23" s="12"/>
    </row>
    <row r="24">
      <c r="G24" s="13">
        <v>58</v>
      </c>
      <c r="K24" s="12"/>
    </row>
    <row r="25">
      <c r="C25" s="16" t="s">
        <v>286</v>
      </c>
      <c r="G25" s="12"/>
      <c r="H25" s="14"/>
      <c r="I25" s="12"/>
      <c r="K25" s="12"/>
    </row>
    <row r="26">
      <c r="D26" s="14"/>
      <c r="E26" s="13">
        <v>31</v>
      </c>
      <c r="F26" s="15"/>
      <c r="G26" s="12"/>
      <c r="I26" s="12"/>
      <c r="K26" s="12"/>
    </row>
    <row r="27">
      <c r="C27" s="16" t="s">
        <v>55</v>
      </c>
      <c r="D27" s="15"/>
      <c r="E27" s="12"/>
      <c r="I27" s="12"/>
      <c r="K27" s="12"/>
    </row>
    <row r="28">
      <c r="I28" s="13">
        <v>75</v>
      </c>
      <c r="J28" s="15"/>
      <c r="K28" s="12"/>
    </row>
    <row r="29">
      <c r="I29" s="12"/>
    </row>
    <row r="30">
      <c r="C30" s="16"/>
      <c r="D30" s="16"/>
      <c r="E30" s="16" t="s">
        <v>58</v>
      </c>
      <c r="I30" s="12"/>
    </row>
    <row r="31">
      <c r="F31" s="14"/>
      <c r="G31" s="12"/>
      <c r="I31" s="12"/>
    </row>
    <row r="32">
      <c r="G32" s="13">
        <v>59</v>
      </c>
      <c r="H32" s="15"/>
      <c r="I32" s="12"/>
    </row>
    <row r="33">
      <c r="C33" s="16" t="s">
        <v>293</v>
      </c>
      <c r="G33" s="12"/>
    </row>
    <row r="34">
      <c r="D34" s="14"/>
      <c r="E34" s="13">
        <v>32</v>
      </c>
      <c r="F34" s="15"/>
      <c r="G34" s="12"/>
    </row>
    <row r="35">
      <c r="C35" s="16" t="s">
        <v>296</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6.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17" t="str">
        <f>'data'!$E$3</f>
      </c>
      <c r="B1" s="18" t="str">
        <f>'data'!D3</f>
      </c>
    </row>
    <row r="2" ht="270" customHeight="true">
      <c r="A2" s="17" t="str">
        <f>'data'!$E$4</f>
      </c>
      <c r="B2" s="18" t="str">
        <f>'data'!D4</f>
      </c>
    </row>
    <row r="3" ht="270" customHeight="true">
      <c r="A3" s="17" t="str">
        <f>'data'!$E$5</f>
      </c>
      <c r="B3" s="18" t="str">
        <f>'data'!D5</f>
      </c>
    </row>
    <row r="4" ht="270" customHeight="true">
      <c r="A4" s="17" t="str">
        <f>'data'!$E$6</f>
      </c>
      <c r="B4" s="18" t="str">
        <f>'data'!D6</f>
      </c>
    </row>
    <row r="5" ht="270" customHeight="true">
      <c r="A5" s="17" t="str">
        <f>'data'!$E$7</f>
      </c>
      <c r="B5" s="18" t="str">
        <f>'data'!D7</f>
      </c>
    </row>
    <row r="6" ht="270" customHeight="true">
      <c r="A6" s="17" t="str">
        <f>'data'!$E$8</f>
      </c>
      <c r="B6" s="18" t="str">
        <f>'data'!D8</f>
      </c>
    </row>
    <row r="7" ht="270" customHeight="true">
      <c r="A7" s="17" t="str">
        <f>'data'!$E$9</f>
      </c>
      <c r="B7" s="18" t="str">
        <f>'data'!D9</f>
      </c>
    </row>
    <row r="8" ht="270" customHeight="true">
      <c r="A8" s="17" t="str">
        <f>'data'!$E$10</f>
      </c>
      <c r="B8" s="18" t="str">
        <f>'data'!D10</f>
      </c>
    </row>
    <row r="9" ht="270" customHeight="true">
      <c r="A9" s="17" t="str">
        <f>'data'!$E$11</f>
      </c>
      <c r="B9" s="18" t="str">
        <f>'data'!D11</f>
      </c>
    </row>
    <row r="10" ht="270" customHeight="true">
      <c r="A10" s="17" t="str">
        <f>'data'!$E$12</f>
      </c>
      <c r="B10" s="18" t="str">
        <f>'data'!D12</f>
      </c>
    </row>
    <row r="11" ht="270" customHeight="true">
      <c r="A11" s="17" t="str">
        <f>'data'!$E$13</f>
      </c>
      <c r="B11" s="18" t="str">
        <f>'data'!D13</f>
      </c>
    </row>
    <row r="12" ht="270" customHeight="true">
      <c r="A12" s="17" t="str">
        <f>'data'!$E$14</f>
      </c>
      <c r="B12" s="18" t="str">
        <f>'data'!D14</f>
      </c>
    </row>
    <row r="13" ht="270" customHeight="true">
      <c r="A13" s="17" t="str">
        <f>'data'!$E$15</f>
      </c>
      <c r="B13" s="18" t="str">
        <f>'data'!D15</f>
      </c>
    </row>
    <row r="14" ht="270" customHeight="true">
      <c r="A14" s="17" t="str">
        <f>'data'!$E$16</f>
      </c>
      <c r="B14" s="18" t="str">
        <f>'data'!D16</f>
      </c>
    </row>
    <row r="15" ht="270" customHeight="true">
      <c r="A15" s="17" t="str">
        <f>'data'!$E$17</f>
      </c>
      <c r="B15" s="18" t="str">
        <f>'data'!D17</f>
      </c>
    </row>
    <row r="16" ht="270" customHeight="true">
      <c r="A16" s="17" t="str">
        <f>'data'!$E$18</f>
      </c>
      <c r="B16" s="18" t="str">
        <f>'data'!D18</f>
      </c>
    </row>
    <row r="17" ht="270" customHeight="true">
      <c r="A17" s="17" t="str">
        <f>'data'!$E$19</f>
      </c>
      <c r="B17" s="18" t="str">
        <f>'data'!D19</f>
      </c>
    </row>
    <row r="18" ht="270" customHeight="true">
      <c r="A18" s="17" t="str">
        <f>'data'!$E$20</f>
      </c>
      <c r="B18" s="18" t="str">
        <f>'data'!D20</f>
      </c>
    </row>
    <row r="19" ht="270" customHeight="true">
      <c r="A19" s="17" t="str">
        <f>'data'!$E$21</f>
      </c>
      <c r="B19" s="18" t="str">
        <f>'data'!D21</f>
      </c>
    </row>
    <row r="20" ht="270" customHeight="true">
      <c r="A20" s="17" t="str">
        <f>'data'!$E$22</f>
      </c>
      <c r="B20" s="18" t="str">
        <f>'data'!D22</f>
      </c>
    </row>
    <row r="21" ht="270" customHeight="true">
      <c r="A21" s="17" t="str">
        <f>'data'!$E$23</f>
      </c>
      <c r="B21" s="18" t="str">
        <f>'data'!D23</f>
      </c>
    </row>
    <row r="22" ht="270" customHeight="true">
      <c r="A22" s="17" t="str">
        <f>'data'!$E$24</f>
      </c>
      <c r="B22" s="18" t="str">
        <f>'data'!D24</f>
      </c>
    </row>
    <row r="23" ht="270" customHeight="true">
      <c r="A23" s="17" t="str">
        <f>'data'!$E$25</f>
      </c>
      <c r="B23" s="18" t="str">
        <f>'data'!D25</f>
      </c>
    </row>
    <row r="24" ht="270" customHeight="true">
      <c r="A24" s="17" t="str">
        <f>'data'!$E$26</f>
      </c>
      <c r="B24" s="18" t="str">
        <f>'data'!D26</f>
      </c>
    </row>
    <row r="25" ht="270" customHeight="true">
      <c r="A25" s="17" t="str">
        <f>'data'!$E$27</f>
      </c>
      <c r="B25" s="18" t="str">
        <f>'data'!D27</f>
      </c>
    </row>
    <row r="26" ht="270" customHeight="true">
      <c r="A26" s="17" t="str">
        <f>'data'!$E$28</f>
      </c>
      <c r="B26" s="18" t="str">
        <f>'data'!D28</f>
      </c>
    </row>
    <row r="27" ht="270" customHeight="true">
      <c r="A27" s="17" t="str">
        <f>'data'!$E$29</f>
      </c>
      <c r="B27" s="18" t="str">
        <f>'data'!D29</f>
      </c>
    </row>
    <row r="28" ht="270" customHeight="true">
      <c r="A28" s="17" t="str">
        <f>'data'!$E$30</f>
      </c>
      <c r="B28" s="18" t="str">
        <f>'data'!D30</f>
      </c>
    </row>
    <row r="29" ht="270" customHeight="true">
      <c r="A29" s="17" t="str">
        <f>'data'!$E$31</f>
      </c>
      <c r="B29" s="18" t="str">
        <f>'data'!D31</f>
      </c>
    </row>
    <row r="30" ht="270" customHeight="true">
      <c r="A30" s="17" t="str">
        <f>'data'!$E$32</f>
      </c>
      <c r="B30" s="18" t="str">
        <f>'data'!D32</f>
      </c>
    </row>
    <row r="31" ht="270" customHeight="true">
      <c r="A31" s="17" t="str">
        <f>'data'!$E$33</f>
      </c>
      <c r="B31" s="18" t="str">
        <f>'data'!D33</f>
      </c>
    </row>
    <row r="32" ht="270" customHeight="true">
      <c r="A32" s="17" t="str">
        <f>'data'!$E$34</f>
      </c>
      <c r="B32" s="18" t="str">
        <f>'data'!D34</f>
      </c>
    </row>
    <row r="33" ht="270" customHeight="true">
      <c r="A33" s="17" t="str">
        <f>'data'!$E$35</f>
      </c>
      <c r="B33" s="18" t="str">
        <f>'data'!D35</f>
      </c>
    </row>
    <row r="34" ht="270" customHeight="true">
      <c r="A34" s="17" t="str">
        <f>'data'!$E$36</f>
      </c>
      <c r="B34" s="18" t="str">
        <f>'data'!D36</f>
      </c>
    </row>
    <row r="35" ht="270" customHeight="true">
      <c r="A35" s="17" t="str">
        <f>'data'!$E$37</f>
      </c>
      <c r="B35" s="18" t="str">
        <f>'data'!D37</f>
      </c>
    </row>
    <row r="36" ht="270" customHeight="true">
      <c r="A36" s="17" t="str">
        <f>'data'!$E$38</f>
      </c>
      <c r="B36" s="18" t="str">
        <f>'data'!D38</f>
      </c>
    </row>
    <row r="37" ht="270" customHeight="true">
      <c r="A37" s="17" t="str">
        <f>'data'!$E$39</f>
      </c>
      <c r="B37" s="18" t="str">
        <f>'data'!D39</f>
      </c>
    </row>
    <row r="38" ht="270" customHeight="true">
      <c r="A38" s="17" t="str">
        <f>'data'!$E$40</f>
      </c>
      <c r="B38" s="18" t="str">
        <f>'data'!D40</f>
      </c>
    </row>
    <row r="39" ht="270" customHeight="true">
      <c r="A39" s="17" t="str">
        <f>'data'!$E$41</f>
      </c>
      <c r="B39" s="18" t="str">
        <f>'data'!D41</f>
      </c>
    </row>
    <row r="40" ht="270" customHeight="true">
      <c r="A40" s="17" t="str">
        <f>'data'!$E$42</f>
      </c>
      <c r="B40" s="18" t="str">
        <f>'data'!D42</f>
      </c>
    </row>
    <row r="41" ht="270" customHeight="true">
      <c r="A41" s="17" t="str">
        <f>'data'!$E$43</f>
      </c>
      <c r="B41" s="18" t="str">
        <f>'data'!D43</f>
      </c>
    </row>
    <row r="42" ht="270" customHeight="true">
      <c r="A42" s="17" t="str">
        <f>'data'!$E$44</f>
      </c>
      <c r="B42" s="18" t="str">
        <f>'data'!D44</f>
      </c>
    </row>
    <row r="43" ht="270" customHeight="true">
      <c r="A43" s="17" t="str">
        <f>'data'!$E$45</f>
      </c>
      <c r="B43" s="18" t="str">
        <f>'data'!D45</f>
      </c>
    </row>
    <row r="44" ht="270" customHeight="true">
      <c r="A44" s="17" t="str">
        <f>'data'!$E$46</f>
      </c>
      <c r="B44" s="18" t="str">
        <f>'data'!D46</f>
      </c>
    </row>
    <row r="45" ht="270" customHeight="true">
      <c r="A45" s="17" t="str">
        <f>'data'!$E$47</f>
      </c>
      <c r="B45" s="18" t="str">
        <f>'data'!D47</f>
      </c>
    </row>
    <row r="46" ht="270" customHeight="true">
      <c r="A46" s="17" t="str">
        <f>'data'!$E$48</f>
      </c>
      <c r="B46" s="18" t="str">
        <f>'data'!D48</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5" manualBreakCount="15">
    <brk id="3" max="16383" man="true"/>
    <brk id="6" max="16383" man="true"/>
    <brk id="9" max="16383" man="true"/>
    <brk id="12" max="16383" man="true"/>
    <brk id="15" max="16383" man="true"/>
    <brk id="18" max="16383" man="true"/>
    <brk id="21" max="16383" man="true"/>
    <brk id="24" max="16383" man="true"/>
    <brk id="27" max="16383" man="true"/>
    <brk id="30" max="16383" man="true"/>
    <brk id="33" max="16383" man="true"/>
    <brk id="36" max="16383" man="true"/>
    <brk id="39" max="16383" man="true"/>
    <brk id="42" max="16383" man="true"/>
    <brk id="45" max="16383" man="true"/>
  </rowBreaks>
  <colBreaks/>
</worksheet>
</file>

<file path=xl/worksheets/sheet17.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17" t="str">
        <f>'data'!$E$49</f>
      </c>
      <c r="B1" s="18" t="str">
        <f>'data'!D49</f>
      </c>
    </row>
    <row r="2" ht="270" customHeight="true">
      <c r="A2" s="17" t="str">
        <f>'data'!$E$50</f>
      </c>
      <c r="B2" s="18" t="str">
        <f>'data'!D50</f>
      </c>
    </row>
    <row r="3" ht="270" customHeight="true">
      <c r="A3" s="17" t="str">
        <f>'data'!$E$51</f>
      </c>
      <c r="B3" s="18" t="str">
        <f>'data'!D51</f>
      </c>
    </row>
    <row r="4" ht="270" customHeight="true">
      <c r="A4" s="17" t="str">
        <f>'data'!$E$52</f>
      </c>
      <c r="B4" s="18" t="str">
        <f>'data'!D52</f>
      </c>
    </row>
    <row r="5" ht="270" customHeight="true">
      <c r="A5" s="17" t="str">
        <f>'data'!$E$53</f>
      </c>
      <c r="B5" s="18" t="str">
        <f>'data'!D53</f>
      </c>
    </row>
    <row r="6" ht="270" customHeight="true">
      <c r="A6" s="17" t="str">
        <f>'data'!$E$54</f>
      </c>
      <c r="B6" s="18" t="str">
        <f>'data'!D54</f>
      </c>
    </row>
    <row r="7" ht="270" customHeight="true">
      <c r="A7" s="17" t="str">
        <f>'data'!$E$55</f>
      </c>
      <c r="B7" s="18" t="str">
        <f>'data'!D55</f>
      </c>
    </row>
    <row r="8" ht="270" customHeight="true">
      <c r="A8" s="17" t="str">
        <f>'data'!$E$56</f>
      </c>
      <c r="B8" s="18" t="str">
        <f>'data'!D56</f>
      </c>
    </row>
    <row r="9" ht="270" customHeight="true">
      <c r="A9" s="17" t="str">
        <f>'data'!$E$57</f>
      </c>
      <c r="B9" s="18" t="str">
        <f>'data'!D57</f>
      </c>
    </row>
    <row r="10" ht="270" customHeight="true">
      <c r="A10" s="17" t="str">
        <f>'data'!$E$58</f>
      </c>
      <c r="B10" s="18" t="str">
        <f>'data'!D58</f>
      </c>
    </row>
    <row r="11" ht="270" customHeight="true">
      <c r="A11" s="17" t="str">
        <f>'data'!$E$59</f>
      </c>
      <c r="B11" s="18" t="str">
        <f>'data'!D59</f>
      </c>
    </row>
    <row r="12" ht="270" customHeight="true">
      <c r="A12" s="17" t="str">
        <f>'data'!$E$60</f>
      </c>
      <c r="B12" s="18" t="str">
        <f>'data'!D60</f>
      </c>
    </row>
    <row r="13" ht="270" customHeight="true">
      <c r="A13" s="17" t="str">
        <f>'data'!$E$61</f>
      </c>
      <c r="B13" s="18" t="str">
        <f>'data'!D61</f>
      </c>
    </row>
    <row r="14" ht="270" customHeight="true">
      <c r="A14" s="17" t="str">
        <f>'data'!$E$62</f>
      </c>
      <c r="B14" s="18" t="str">
        <f>'data'!D62</f>
      </c>
    </row>
    <row r="15" ht="270" customHeight="true">
      <c r="A15" s="17" t="str">
        <f>'data'!$E$63</f>
      </c>
      <c r="B15" s="18" t="str">
        <f>'data'!D63</f>
      </c>
    </row>
    <row r="16" ht="270" customHeight="true">
      <c r="A16" s="17" t="str">
        <f>'data'!$E$64</f>
      </c>
      <c r="B16" s="18" t="str">
        <f>'data'!D64</f>
      </c>
    </row>
    <row r="17" ht="270" customHeight="true">
      <c r="A17" s="17" t="str">
        <f>'data'!$E$65</f>
      </c>
      <c r="B17" s="18" t="str">
        <f>'data'!D65</f>
      </c>
    </row>
    <row r="18" ht="270" customHeight="true">
      <c r="A18" s="17" t="str">
        <f>'data'!$E$66</f>
      </c>
      <c r="B18" s="18" t="str">
        <f>'data'!D66</f>
      </c>
    </row>
    <row r="19" ht="270" customHeight="true">
      <c r="A19" s="17" t="str">
        <f>'data'!$E$67</f>
      </c>
      <c r="B19" s="18" t="str">
        <f>'data'!D67</f>
      </c>
    </row>
    <row r="20" ht="270" customHeight="true">
      <c r="A20" s="17" t="str">
        <f>'data'!$E$68</f>
      </c>
      <c r="B20" s="18" t="str">
        <f>'data'!D68</f>
      </c>
    </row>
    <row r="21" ht="270" customHeight="true">
      <c r="A21" s="17" t="str">
        <f>'data'!$E$69</f>
      </c>
      <c r="B21" s="18" t="str">
        <f>'data'!D69</f>
      </c>
    </row>
    <row r="22" ht="270" customHeight="true">
      <c r="A22" s="17" t="str">
        <f>'data'!$E$70</f>
      </c>
      <c r="B22" s="18" t="str">
        <f>'data'!D70</f>
      </c>
    </row>
    <row r="23" ht="270" customHeight="true">
      <c r="A23" s="17" t="str">
        <f>'data'!$E$71</f>
      </c>
      <c r="B23" s="18" t="str">
        <f>'data'!D71</f>
      </c>
    </row>
    <row r="24" ht="270" customHeight="true">
      <c r="A24" s="17" t="str">
        <f>'data'!$E$72</f>
      </c>
      <c r="B24" s="18" t="str">
        <f>'data'!D72</f>
      </c>
    </row>
    <row r="25" ht="270" customHeight="true">
      <c r="A25" s="17" t="str">
        <f>'data'!$E$73</f>
      </c>
      <c r="B25" s="18" t="str">
        <f>'data'!D73</f>
      </c>
    </row>
    <row r="26" ht="270" customHeight="true">
      <c r="A26" s="17" t="str">
        <f>'data'!$E$74</f>
      </c>
      <c r="B26" s="18" t="str">
        <f>'data'!D74</f>
      </c>
    </row>
    <row r="27" ht="270" customHeight="true">
      <c r="A27" s="17" t="str">
        <f>'data'!$E$75</f>
      </c>
      <c r="B27" s="18" t="str">
        <f>'data'!D75</f>
      </c>
    </row>
    <row r="28" ht="270" customHeight="true">
      <c r="A28" s="17" t="str">
        <f>'data'!$E$76</f>
      </c>
      <c r="B28" s="18" t="str">
        <f>'data'!D76</f>
      </c>
    </row>
    <row r="29" ht="270" customHeight="true">
      <c r="A29" s="17" t="str">
        <f>'data'!$E$77</f>
      </c>
      <c r="B29" s="18" t="str">
        <f>'data'!D77</f>
      </c>
    </row>
    <row r="30" ht="270" customHeight="true">
      <c r="A30" s="17" t="str">
        <f>'data'!$E$78</f>
      </c>
      <c r="B30" s="18" t="str">
        <f>'data'!D78</f>
      </c>
    </row>
    <row r="31" ht="270" customHeight="true">
      <c r="A31" s="17" t="str">
        <f>'data'!$E$79</f>
      </c>
      <c r="B31" s="18" t="str">
        <f>'data'!D79</f>
      </c>
    </row>
    <row r="32" ht="270" customHeight="true">
      <c r="A32" s="17" t="str">
        <f>'data'!$E$80</f>
      </c>
      <c r="B32" s="18" t="str">
        <f>'data'!D80</f>
      </c>
    </row>
    <row r="33" ht="270" customHeight="true">
      <c r="A33" s="17" t="str">
        <f>'data'!$E$81</f>
      </c>
      <c r="B33" s="18" t="str">
        <f>'data'!D81</f>
      </c>
    </row>
    <row r="34" ht="270" customHeight="true">
      <c r="A34" s="17" t="str">
        <f>'data'!$E$82</f>
      </c>
      <c r="B34" s="18" t="str">
        <f>'data'!D82</f>
      </c>
    </row>
    <row r="35" ht="270" customHeight="true">
      <c r="A35" s="17" t="str">
        <f>'data'!$E$83</f>
      </c>
      <c r="B35" s="18" t="str">
        <f>'data'!D83</f>
      </c>
    </row>
    <row r="36" ht="270" customHeight="true">
      <c r="A36" s="17" t="str">
        <f>'data'!$E$84</f>
      </c>
      <c r="B36" s="18" t="str">
        <f>'data'!D84</f>
      </c>
    </row>
    <row r="37" ht="270" customHeight="true">
      <c r="A37" s="17" t="str">
        <f>'data'!$E$85</f>
      </c>
      <c r="B37" s="18" t="str">
        <f>'data'!D85</f>
      </c>
    </row>
    <row r="38" ht="270" customHeight="true">
      <c r="A38" s="17" t="str">
        <f>'data'!$E$86</f>
      </c>
      <c r="B38" s="18" t="str">
        <f>'data'!D86</f>
      </c>
    </row>
    <row r="39" ht="270" customHeight="true">
      <c r="A39" s="17" t="str">
        <f>'data'!$E$87</f>
      </c>
      <c r="B39" s="18" t="str">
        <f>'data'!D87</f>
      </c>
    </row>
    <row r="40" ht="270" customHeight="true">
      <c r="A40" s="17" t="str">
        <f>'data'!$E$88</f>
      </c>
      <c r="B40" s="18" t="str">
        <f>'data'!D88</f>
      </c>
    </row>
    <row r="41" ht="270" customHeight="true">
      <c r="A41" s="17" t="str">
        <f>'data'!$E$89</f>
      </c>
      <c r="B41" s="18" t="str">
        <f>'data'!D89</f>
      </c>
    </row>
    <row r="42" ht="270" customHeight="true">
      <c r="A42" s="17" t="str">
        <f>'data'!$E$90</f>
      </c>
      <c r="B42" s="18" t="str">
        <f>'data'!D90</f>
      </c>
    </row>
    <row r="43" ht="270" customHeight="true">
      <c r="A43" s="17" t="str">
        <f>'data'!$E$91</f>
      </c>
      <c r="B43" s="18" t="str">
        <f>'data'!D91</f>
      </c>
    </row>
    <row r="44" ht="270" customHeight="true">
      <c r="A44" s="17" t="str">
        <f>'data'!$E$92</f>
      </c>
      <c r="B44" s="18" t="str">
        <f>'data'!D92</f>
      </c>
    </row>
    <row r="45" ht="270" customHeight="true">
      <c r="A45" s="17" t="str">
        <f>'data'!$E$93</f>
      </c>
      <c r="B45" s="18" t="str">
        <f>'data'!D93</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5" manualBreakCount="15">
    <brk id="3" max="16383" man="true"/>
    <brk id="6" max="16383" man="true"/>
    <brk id="9" max="16383" man="true"/>
    <brk id="12" max="16383" man="true"/>
    <brk id="15" max="16383" man="true"/>
    <brk id="18" max="16383" man="true"/>
    <brk id="21" max="16383" man="true"/>
    <brk id="24" max="16383" man="true"/>
    <brk id="27" max="16383" man="true"/>
    <brk id="30" max="16383" man="true"/>
    <brk id="33" max="16383" man="true"/>
    <brk id="36" max="16383" man="true"/>
    <brk id="39" max="16383" man="true"/>
    <brk id="42" max="16383" man="true"/>
    <brk id="45"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