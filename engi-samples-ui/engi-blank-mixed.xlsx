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7"/>
  </bookViews>
  <sheets>
    <sheet name="data" sheetId="1" r:id="rId1"/>
    <sheet name="Time Estimator" sheetId="2" r:id="rId4"/>
    <sheet name="Pool Draw" sheetId="3" r:id="rId5"/>
    <sheet name="Pool Matches" sheetId="4" r:id="rId6"/>
    <sheet name="Elimination Matches" sheetId="5" r:id="rId7"/>
    <sheet name="Tree 1" sheetId="8" r:id="rId11"/>
    <sheet name="Names to Print A" sheetId="9" r:id="rId12"/>
    <sheet name="Tags" sheetId="10" r:id="rId13"/>
  </sheets>
  <definedNames>
    <definedName localSheetId="2" name="_xlnm.Print_Area">'Pool Draw'!$B$2:$F$12</definedName>
    <definedName localSheetId="3" name="_xlnm.Print_Area">'Pool Matches'!$A$1:$H$45</definedName>
    <definedName localSheetId="6" name="_xlnm.Print_Area">'Names to Print A'!$A$1:$B$8</definedName>
    <definedName localSheetId="4" name="_xlnm.Print_Area">'Elimination Matches'!$A$1:$H$35</definedName>
  </definedNames>
  <calcPr calcId="122211"/>
</workbook>
</file>

<file path=xl/sharedStrings.xml><?xml version="1.0" encoding="utf-8"?>
<sst xmlns="http://schemas.openxmlformats.org/spreadsheetml/2006/main" count="76" uniqueCount="76">
  <si>
    <t>Number of pools</t>
  </si>
  <si>
    <t>Team size</t>
  </si>
  <si>
    <t>Matches per pool</t>
  </si>
  <si>
    <t>Time per match</t>
  </si>
  <si>
    <t>Total time for matches</t>
  </si>
  <si>
    <t>Padding time for rotation</t>
  </si>
  <si>
    <t>Time for breaks</t>
  </si>
  <si>
    <t>Total Time</t>
  </si>
  <si>
    <t>Number of Elimination Matches</t>
  </si>
  <si>
    <t>Title prefix:</t>
  </si>
  <si>
    <t>Engi Mixed</t>
  </si>
  <si>
    <t>Pool</t>
  </si>
  <si>
    <t>Player Name</t>
  </si>
  <si>
    <t>Player Dojo</t>
  </si>
  <si>
    <t>Display Name</t>
  </si>
  <si>
    <t>Player Number</t>
  </si>
  <si>
    <t>Metadata</t>
  </si>
  <si>
    <t>Pool A</t>
  </si>
  <si>
    <t>Sora Yamamoto</t>
  </si>
  <si>
    <t>Chuo Dojo</t>
  </si>
  <si>
    <t>Hana Kato</t>
  </si>
  <si>
    <t>A1</t>
  </si>
  <si>
    <t>Yuki Tanaka</t>
  </si>
  <si>
    <t>Kita Dojo</t>
  </si>
  <si>
    <t>Jun Ito</t>
  </si>
  <si>
    <t>A2</t>
  </si>
  <si>
    <t>Aoi Ito</t>
  </si>
  <si>
    <t>Nishi Dojo</t>
  </si>
  <si>
    <t>Taro Kobayashi</t>
  </si>
  <si>
    <t>A3</t>
  </si>
  <si>
    <t>Mei Kato</t>
  </si>
  <si>
    <t>Take Dojo</t>
  </si>
  <si>
    <t>Dai Suzuki</t>
  </si>
  <si>
    <t>A4</t>
  </si>
  <si>
    <t>Pool B</t>
  </si>
  <si>
    <t>Ren Suzuki</t>
  </si>
  <si>
    <t>Higashi Dojo</t>
  </si>
  <si>
    <t>Emi Nakamura</t>
  </si>
  <si>
    <t>A5</t>
  </si>
  <si>
    <t>Haru Sato</t>
  </si>
  <si>
    <t>Minami Dojo</t>
  </si>
  <si>
    <t>Nao Yamamoto</t>
  </si>
  <si>
    <t>A6</t>
  </si>
  <si>
    <t>Kai Nakamura</t>
  </si>
  <si>
    <t>Sakura Dojo</t>
  </si>
  <si>
    <t>Ken Tanaka</t>
  </si>
  <si>
    <t>A7</t>
  </si>
  <si>
    <t>Rin Kobayashi</t>
  </si>
  <si>
    <t>Ume Dojo</t>
  </si>
  <si>
    <t>Yui Sato</t>
  </si>
  <si>
    <t>A8</t>
  </si>
  <si>
    <t>Shiaijo A</t>
  </si>
  <si>
    <t>White</t>
  </si>
  <si>
    <t>vs</t>
  </si>
  <si>
    <t>Red</t>
  </si>
  <si>
    <t>Results</t>
  </si>
  <si>
    <t>W</t>
  </si>
  <si>
    <t>L</t>
  </si>
  <si>
    <t>Flags</t>
  </si>
  <si>
    <t>Rank</t>
  </si>
  <si>
    <t>Ranking</t>
  </si>
  <si>
    <t>1.</t>
  </si>
  <si>
    <t>2.</t>
  </si>
  <si>
    <t>3.</t>
  </si>
  <si>
    <t>4.</t>
  </si>
  <si>
    <t>Round 1 - Match 1</t>
  </si>
  <si>
    <t>Round 1 - Match 2</t>
  </si>
  <si>
    <t>Round 2 - Match 3</t>
  </si>
  <si>
    <t>3rd Place</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</si>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</sst>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3">
    <font>
      <name val="Calibri"/>
      <family val="2"/>
      <color theme="1"/>
      <sz val="11"/>
    </font>
    <font>
      <name val="Calibri"/>
      <family val="2"/>
      <b val="1"/>
      <color rgb="FF000000"/>
      <sz val="12"/>
    </font>
    <font>
      <name val="Calibri"/>
      <family val="2"/>
      <color rgb="FF000000"/>
      <sz val="12"/>
    </font>
    <font>
      <name val="Calibri"/>
      <family val="2"/>
      <b val="1"/>
      <color/>
      <sz val="16"/>
      <u val="single"/>
    </font>
    <font>
      <name val="Calibri"/>
      <family val="2"/>
      <b val="1"/>
      <color/>
      <sz val="12"/>
      <u val="single"/>
    </font>
    <font>
      <name val="Calibri"/>
      <family val="2"/>
      <color/>
      <sz val="12"/>
    </font>
    <font>
      <name val="Calibri"/>
      <family val="2"/>
      <b val="1"/>
      <color rgb="FF000000"/>
      <sz val="28"/>
    </font>
    <font>
      <name val="Calibri"/>
      <family val="2"/>
      <b val="1"/>
      <color rgb="FF000000"/>
      <sz val="72"/>
    </font>
    <font>
      <name val="Calibri"/>
      <family val="2"/>
      <b val="1"/>
      <i val="1"/>
      <color/>
      <sz val="12"/>
    </font>
    <font>
      <name val="Calibri"/>
      <family val="2"/>
      <b val="1"/>
      <color rgb="FFFFFFFF"/>
      <sz val="12"/>
    </font>
    <font>
      <name val="Calibri"/>
      <family val="2"/>
      <b val="1"/>
      <color rgb="FF000000"/>
      <sz val="100"/>
    </font>
    <font>
      <name val="Calibri"/>
      <family val="2"/>
      <color rgb="FF000000"/>
      <sz val="110"/>
    </font>
    <font>
      <name val="Calibri"/>
      <family val="2"/>
      <b val="1"/>
      <color/>
      <sz val="250"/>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10">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numFmtId="0" fontId="0" fillId="0" borderId="0"/>
  </cellStyleXfs>
  <cellXfs count="34">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3" borderId="3" xfId="0" applyFont="true" applyFill="true" applyBorder="true" applyAlignment="true">
      <alignment horizontal="right" vertical="center"/>
    </xf>
    <xf numFmtId="0" fontId="1" fillId="3" borderId="0" xfId="0" applyFont="true" applyFill="true" applyAlignment="false">
      <alignment/>
    </xf>
    <xf numFmtId="0" fontId="2" fillId="0" borderId="7" xfId="0" applyFont="true" applyBorder="true" applyAlignment="false">
      <alignment/>
    </xf>
    <xf numFmtId="0" fontId="2" fillId="0" borderId="8" xfId="0" applyFont="true" applyBorder="true" applyAlignment="false">
      <alignment/>
    </xf>
    <xf numFmtId="0" fontId="2" fillId="0" borderId="9" xfId="0" applyFont="true" applyBorder="true" applyAlignment="false">
      <alignment/>
    </xf>
    <xf numFmtId="0" fontId="10" fillId="0" borderId="1" xfId="0" applyFont="true" applyBorder="true" applyAlignment="true">
      <alignment horizontal="center" vertical="center"/>
    </xf>
    <xf numFmtId="0" fontId="11" fillId="0" borderId="1" xfId="0" applyFont="true" applyBorder="true" applyAlignment="true">
      <alignment horizontal="center" vertical="center"/>
    </xf>
    <xf numFmtId="0" fontId="12" fillId="0" borderId="0" xfId="0" applyFont="true" applyAlignment="true">
      <alignment horizontal="center" vertical="center"/>
    </xf>
    <xf numFmtId="165" fontId="2" fillId="0" borderId="2" xfId="0" applyNumberFormat="true" applyFont="true" applyBorder="true" applyAlignment="true">
      <alignment horizontal="center"/>
    </xf>
    <xf numFmtId="0" fontId="2" fillId="0" borderId="2" xfId="0" applyFont="true" applyBorder="true" applyAlignment="true">
      <alignment horizontal="center"/>
    </xf>
    <xf numFmtId="20" fontId="2" fillId="0" borderId="2"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t="s">
        <v>17</v>
      </c>
      <c r="B3" t="s">
        <v>18</v>
      </c>
      <c r="C3" t="s">
        <v>19</v>
      </c>
      <c r="D3" t="s">
        <v>20</v>
      </c>
      <c r="E3" t="s">
        <v>21</v>
      </c>
    </row>
    <row r="4">
      <c r="A4" t="s">
        <v>17</v>
      </c>
      <c r="B4" t="s">
        <v>22</v>
      </c>
      <c r="C4" t="s">
        <v>23</v>
      </c>
      <c r="D4" t="s">
        <v>24</v>
      </c>
      <c r="E4" t="s">
        <v>25</v>
      </c>
    </row>
    <row r="5">
      <c r="A5" t="s">
        <v>17</v>
      </c>
      <c r="B5" t="s">
        <v>26</v>
      </c>
      <c r="C5" t="s">
        <v>27</v>
      </c>
      <c r="D5" t="s">
        <v>28</v>
      </c>
      <c r="E5" t="s">
        <v>29</v>
      </c>
    </row>
    <row r="6">
      <c r="A6" t="s">
        <v>17</v>
      </c>
      <c r="B6" t="s">
        <v>30</v>
      </c>
      <c r="C6" t="s">
        <v>31</v>
      </c>
      <c r="D6" t="s">
        <v>32</v>
      </c>
      <c r="E6" t="s">
        <v>33</v>
      </c>
    </row>
    <row r="7">
      <c r="A7" t="s">
        <v>34</v>
      </c>
      <c r="B7" t="s">
        <v>35</v>
      </c>
      <c r="C7" t="s">
        <v>36</v>
      </c>
      <c r="D7" t="s">
        <v>37</v>
      </c>
      <c r="E7" t="s">
        <v>38</v>
      </c>
    </row>
    <row r="8">
      <c r="A8" t="s">
        <v>34</v>
      </c>
      <c r="B8" t="s">
        <v>39</v>
      </c>
      <c r="C8" t="s">
        <v>40</v>
      </c>
      <c r="D8" t="s">
        <v>41</v>
      </c>
      <c r="E8" t="s">
        <v>42</v>
      </c>
    </row>
    <row r="9">
      <c r="A9" t="s">
        <v>34</v>
      </c>
      <c r="B9" t="s">
        <v>43</v>
      </c>
      <c r="C9" t="s">
        <v>44</v>
      </c>
      <c r="D9" t="s">
        <v>45</v>
      </c>
      <c r="E9" t="s">
        <v>46</v>
      </c>
    </row>
    <row r="10">
      <c r="A10" t="s">
        <v>34</v>
      </c>
      <c r="B10" t="s">
        <v>47</v>
      </c>
      <c r="C10" t="s">
        <v>48</v>
      </c>
      <c r="D10" t="s">
        <v>49</v>
      </c>
      <c r="E10" t="s">
        <v>50</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2</v>
      </c>
      <c r="B2" s="2">
        <v>1</v>
      </c>
      <c r="C2" s="2">
        <v>12</v>
      </c>
      <c r="D2" s="3">
        <v>0.0020833333333333333</v>
      </c>
      <c r="E2" s="3" t="str">
        <f>(A2*B2*C2*D2)</f>
      </c>
      <c r="F2" s="3">
        <v>0.00034722222222222224</v>
      </c>
      <c r="G2" s="3">
        <v>0.020833333333333332</v>
      </c>
      <c r="H2" s="31" t="str">
        <f>C2*I2+J2</f>
      </c>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3</v>
      </c>
      <c r="B8" s="2">
        <v>1</v>
      </c>
      <c r="C8" s="2"/>
      <c r="D8" s="3">
        <v>0.002777777777777778</v>
      </c>
      <c r="E8" s="3" t="str">
        <f>(A8*B8*D8)</f>
      </c>
      <c r="F8" s="3">
        <v>0.00034722222222222224</v>
      </c>
      <c r="G8" s="3">
        <v>0.020833333333333332</v>
      </c>
      <c r="H8" s="31"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3" t="s">
        <v>69</v>
      </c>
      <c r="F13" s="13"/>
      <c r="G13" s="13"/>
      <c r="H13" s="13"/>
    </row>
    <row r="14">
      <c r="A14">
        <v>1</v>
      </c>
      <c r="E14" s="32" t="s">
        <v>70</v>
      </c>
      <c r="F14" s="32"/>
      <c r="G14" s="32"/>
      <c r="H14" s="31" t="str">
        <f>H2</f>
      </c>
    </row>
    <row r="15">
      <c r="E15" s="32" t="s">
        <v>71</v>
      </c>
      <c r="F15" s="32"/>
      <c r="G15" s="32"/>
      <c r="H15" s="31" t="str">
        <f>H8</f>
      </c>
    </row>
    <row r="16">
      <c r="E16" s="32" t="s">
        <v>72</v>
      </c>
      <c r="F16" s="32"/>
      <c r="G16" s="32"/>
      <c r="H16" s="31" t="str">
        <f>H14+H15</f>
      </c>
    </row>
    <row r="17">
      <c r="E17" s="32" t="s">
        <v>73</v>
      </c>
      <c r="F17" s="32"/>
      <c r="G17" s="32"/>
      <c r="H17" s="31" t="str">
        <f>H16/A14</f>
      </c>
    </row>
    <row r="18">
      <c r="E18" s="13" t="s">
        <v>74</v>
      </c>
      <c r="F18" s="13"/>
      <c r="G18" s="13"/>
      <c r="H18" s="33">
        <v>0.375</v>
      </c>
    </row>
    <row r="19">
      <c r="E19" s="13" t="s">
        <v>75</v>
      </c>
      <c r="F19" s="13"/>
      <c r="G19" s="13"/>
      <c r="H19" s="33" t="str">
        <f>H18+H17</f>
      </c>
    </row>
  </sheetData>
  <mergeCells count="1">
    <mergeCell ref="E13:H13"/>
  </mergeCells>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4" min="4" width="30"/>
    <col customWidth="true" max="5" min="5" width="8.83"/>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'data'!$A$6</f>
      </c>
      <c r="D5" s="11" t="str">
        <f>'data'!$A$10</f>
      </c>
    </row>
    <row r="6" ht="17" customHeight="true">
      <c r="B6" s="12" t="str">
        <f>data!$E$3&amp;" "&amp;data!$B$3</f>
      </c>
      <c r="D6" s="12" t="str">
        <f>data!$E$7&amp;" "&amp;data!$B$7</f>
      </c>
    </row>
    <row r="7" ht="17" customHeight="true">
      <c r="B7" s="12" t="str">
        <f>data!$E$4&amp;" "&amp;data!$B$4</f>
      </c>
      <c r="D7" s="12" t="str">
        <f>data!$E$8&amp;" "&amp;data!$B$8</f>
      </c>
    </row>
    <row r="8">
      <c r="B8" s="12" t="str">
        <f>data!$E$5&amp;" "&amp;data!$B$5</f>
      </c>
      <c r="D8" s="12" t="str">
        <f>data!$E$9&amp;" "&amp;data!$B$9</f>
      </c>
    </row>
    <row r="9">
      <c r="B9" s="12" t="str">
        <f>data!$E$6&amp;" "&amp;data!$B$6</f>
      </c>
      <c r="D9" s="12" t="str">
        <f>data!$E$10&amp;" "&amp;data!$B$10</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 customWidth="true" hidden="true" max="21" min="21" width="9.140625"/>
  </cols>
  <sheetData>
    <row r="1">
      <c r="A1" s="13" t="s">
        <v>51</v>
      </c>
      <c r="B1" s="13"/>
      <c r="C1" s="13"/>
      <c r="D1" s="13"/>
      <c r="E1" s="13"/>
      <c r="F1" s="13"/>
      <c r="G1" s="13"/>
    </row>
    <row r="2">
      <c r="A2" s="13" t="str">
        <f>'data'!$A$6</f>
      </c>
      <c r="B2" s="13"/>
      <c r="C2" s="13"/>
      <c r="D2" s="13"/>
      <c r="E2" s="13"/>
      <c r="F2" s="13"/>
      <c r="G2" s="13"/>
    </row>
    <row r="3">
      <c r="A3" s="17" t="s">
        <v>52</v>
      </c>
      <c r="D3" s="14" t="s">
        <v>53</v>
      </c>
      <c r="G3" s="16" t="s">
        <v>54</v>
      </c>
    </row>
    <row r="4">
      <c r="A4" s="14" t="str">
        <f>data!$E$4&amp;" "&amp;data!$B$4</f>
      </c>
      <c r="B4" s="18"/>
      <c r="C4" s="18"/>
      <c r="D4" s="18"/>
      <c r="E4" s="18"/>
      <c r="F4" s="18"/>
      <c r="G4" s="14" t="str">
        <f>data!$E$3&amp;" "&amp;data!$B$3</f>
      </c>
    </row>
    <row r="5">
      <c r="A5" s="14" t="str">
        <f>data!$E$4&amp;" "&amp;data!$B$4</f>
      </c>
      <c r="B5" s="18"/>
      <c r="C5" s="18"/>
      <c r="D5" s="18"/>
      <c r="E5" s="18"/>
      <c r="F5" s="18"/>
      <c r="G5" s="14" t="str">
        <f>data!$E$5&amp;" "&amp;data!$B$5</f>
      </c>
    </row>
    <row r="6">
      <c r="A6" s="14" t="str">
        <f>data!$E$6&amp;" "&amp;data!$B$6</f>
      </c>
      <c r="B6" s="18"/>
      <c r="C6" s="18"/>
      <c r="D6" s="18"/>
      <c r="E6" s="18"/>
      <c r="F6" s="18"/>
      <c r="G6" s="14" t="str">
        <f>data!$E$5&amp;" "&amp;data!$B$5</f>
      </c>
    </row>
    <row r="7">
      <c r="A7" s="14" t="str">
        <f>data!$E$6&amp;" "&amp;data!$B$6</f>
      </c>
      <c r="B7" s="18"/>
      <c r="C7" s="18"/>
      <c r="D7" s="18"/>
      <c r="E7" s="18"/>
      <c r="F7" s="18"/>
      <c r="G7" s="14" t="str">
        <f>data!$E$3&amp;" "&amp;data!$B$3</f>
      </c>
    </row>
    <row r="8">
      <c r="A8" s="14" t="str">
        <f>data!$E$5&amp;" "&amp;data!$B$5</f>
      </c>
      <c r="B8" s="18"/>
      <c r="C8" s="18"/>
      <c r="D8" s="18"/>
      <c r="E8" s="18"/>
      <c r="F8" s="18"/>
      <c r="G8" s="14" t="str">
        <f>data!$E$3&amp;" "&amp;data!$B$3</f>
      </c>
    </row>
    <row r="9">
      <c r="A9" s="14" t="str">
        <f>data!$E$6&amp;" "&amp;data!$B$6</f>
      </c>
      <c r="B9" s="18"/>
      <c r="C9" s="18"/>
      <c r="D9" s="18"/>
      <c r="E9" s="18"/>
      <c r="F9" s="18"/>
      <c r="G9" s="14" t="str">
        <f>data!$E$4&amp;" "&amp;data!$B$4</f>
      </c>
    </row>
    <row r="11">
      <c r="A11" s="13" t="s">
        <v>55</v>
      </c>
      <c r="B11" s="13" t="s">
        <v>56</v>
      </c>
      <c r="C11" s="13" t="s">
        <v>57</v>
      </c>
      <c r="D11" s="13" t="s">
        <v>58</v>
      </c>
      <c r="E11" s="13"/>
      <c r="F11" s="13"/>
      <c r="G11" s="13" t="s">
        <v>59</v>
      </c>
    </row>
    <row r="12">
      <c r="A12" s="14" t="str">
        <f>data!$E$3&amp;" "&amp;data!$B$3</f>
      </c>
      <c r="B12" s="14" t="str">
        <f>IF(OR(ISNUMBER(B4),ISNUMBER(F4)),(N(F4)&gt;N(B4))*1,0)+IF(OR(ISNUMBER(B7),ISNUMBER(F7)),(N(F7)&gt;N(B7))*1,0)+IF(OR(ISNUMBER(B8),ISNUMBER(F8)),(N(F8)&gt;N(B8))*1,0)</f>
      </c>
      <c r="C12" s="14" t="str">
        <f>IF(OR(ISNUMBER(B4),ISNUMBER(F4)),(N(F4)&lt;N(B4))*1,0)+IF(OR(ISNUMBER(B7),ISNUMBER(F7)),(N(F7)&lt;N(B7))*1,0)+IF(OR(ISNUMBER(B8),ISNUMBER(F8)),(N(F8)&lt;N(B8))*1,0)</f>
      </c>
      <c r="D12" s="14" t="str">
        <f>N(F4)+N(F7)+N(F8)</f>
      </c>
      <c r="E12" s="14"/>
      <c r="F12" s="14"/>
      <c r="G12" s="18" t="str">
        <f>RANK(U12,$U$12:$U$15)+COUNTIF($U$11:U11,U12)</f>
      </c>
      <c r="U12" t="str">
        <f>(B12*1000000)+(D12)</f>
      </c>
    </row>
    <row r="13">
      <c r="A13" s="14" t="str">
        <f>data!$E$4&amp;" "&amp;data!$B$4</f>
      </c>
      <c r="B13" s="14" t="str">
        <f>IF(OR(ISNUMBER(B4),ISNUMBER(F4)),(N(B4)&gt;N(F4))*1,0)+IF(OR(ISNUMBER(B5),ISNUMBER(F5)),(N(B5)&gt;N(F5))*1,0)+IF(OR(ISNUMBER(B9),ISNUMBER(F9)),(N(F9)&gt;N(B9))*1,0)</f>
      </c>
      <c r="C13" s="14" t="str">
        <f>IF(OR(ISNUMBER(B4),ISNUMBER(F4)),(N(B4)&lt;N(F4))*1,0)+IF(OR(ISNUMBER(B5),ISNUMBER(F5)),(N(B5)&lt;N(F5))*1,0)+IF(OR(ISNUMBER(B9),ISNUMBER(F9)),(N(F9)&lt;N(B9))*1,0)</f>
      </c>
      <c r="D13" s="14" t="str">
        <f>N(B4)+N(B5)+N(F9)</f>
      </c>
      <c r="E13" s="14"/>
      <c r="F13" s="14"/>
      <c r="G13" s="18" t="str">
        <f>RANK(U13,$U$12:$U$15)+COUNTIF($U$11:U12,U13)</f>
      </c>
      <c r="U13" t="str">
        <f>(B13*1000000)+(D13)</f>
      </c>
    </row>
    <row r="14">
      <c r="A14" s="14" t="str">
        <f>data!$E$5&amp;" "&amp;data!$B$5</f>
      </c>
      <c r="B14" s="14" t="str">
        <f>IF(OR(ISNUMBER(B5),ISNUMBER(F5)),(N(F5)&gt;N(B5))*1,0)+IF(OR(ISNUMBER(B6),ISNUMBER(F6)),(N(F6)&gt;N(B6))*1,0)+IF(OR(ISNUMBER(B8),ISNUMBER(F8)),(N(B8)&gt;N(F8))*1,0)</f>
      </c>
      <c r="C14" s="14" t="str">
        <f>IF(OR(ISNUMBER(B5),ISNUMBER(F5)),(N(F5)&lt;N(B5))*1,0)+IF(OR(ISNUMBER(B6),ISNUMBER(F6)),(N(F6)&lt;N(B6))*1,0)+IF(OR(ISNUMBER(B8),ISNUMBER(F8)),(N(B8)&lt;N(F8))*1,0)</f>
      </c>
      <c r="D14" s="14" t="str">
        <f>N(F5)+N(F6)+N(B8)</f>
      </c>
      <c r="E14" s="14"/>
      <c r="F14" s="14"/>
      <c r="G14" s="18" t="str">
        <f>RANK(U14,$U$12:$U$15)+COUNTIF($U$11:U13,U14)</f>
      </c>
      <c r="U14" t="str">
        <f>(B14*1000000)+(D14)</f>
      </c>
    </row>
    <row r="15">
      <c r="A15" s="14" t="str">
        <f>data!$E$6&amp;" "&amp;data!$B$6</f>
      </c>
      <c r="B15" s="14" t="str">
        <f>IF(OR(ISNUMBER(B6),ISNUMBER(F6)),(N(B6)&gt;N(F6))*1,0)+IF(OR(ISNUMBER(B7),ISNUMBER(F7)),(N(B7)&gt;N(F7))*1,0)+IF(OR(ISNUMBER(B9),ISNUMBER(F9)),(N(B9)&gt;N(F9))*1,0)</f>
      </c>
      <c r="C15" s="14" t="str">
        <f>IF(OR(ISNUMBER(B6),ISNUMBER(F6)),(N(B6)&lt;N(F6))*1,0)+IF(OR(ISNUMBER(B7),ISNUMBER(F7)),(N(B7)&lt;N(F7))*1,0)+IF(OR(ISNUMBER(B9),ISNUMBER(F9)),(N(B9)&lt;N(F9))*1,0)</f>
      </c>
      <c r="D15" s="14" t="str">
        <f>N(B6)+N(B7)+N(B9)</f>
      </c>
      <c r="E15" s="14"/>
      <c r="F15" s="14"/>
      <c r="G15" s="18" t="str">
        <f>RANK(U15,$U$12:$U$15)+COUNTIF($U$11:U14,U15)</f>
      </c>
      <c r="U15" t="str">
        <f>(B15*1000000)+(D15)</f>
      </c>
    </row>
    <row r="18">
      <c r="F18" s="13"/>
      <c r="G18" s="13" t="s">
        <v>60</v>
      </c>
    </row>
    <row r="19">
      <c r="F19" t="s">
        <v>61</v>
      </c>
      <c r="G19" s="19" t="str">
        <f>IFERROR(INDEX($A$12:$A$15, MATCH(1, $G$12:$G$15, 0)), "-")</f>
      </c>
    </row>
    <row r="20">
      <c r="F20" t="s">
        <v>62</v>
      </c>
      <c r="G20" s="19" t="str">
        <f>IFERROR(INDEX($A$12:$A$15, MATCH(2, $G$12:$G$15, 0)), "-")</f>
      </c>
    </row>
    <row r="21">
      <c r="F21" t="s">
        <v>63</v>
      </c>
      <c r="G21" s="19" t="str">
        <f>IFERROR(INDEX($A$12:$A$15, MATCH(3, $G$12:$G$15, 0)), "-")</f>
      </c>
    </row>
    <row r="22">
      <c r="F22" t="s">
        <v>64</v>
      </c>
      <c r="G22" s="19" t="str">
        <f>IFERROR(INDEX($A$12:$A$15, MATCH(4, $G$12:$G$15, 0)), "-")</f>
      </c>
    </row>
    <row r="24">
      <c r="A24" s="13" t="str">
        <f>'data'!$A$10</f>
      </c>
      <c r="B24" s="13"/>
      <c r="C24" s="13"/>
      <c r="D24" s="13"/>
      <c r="E24" s="13"/>
      <c r="F24" s="13"/>
      <c r="G24" s="13"/>
    </row>
    <row r="25">
      <c r="A25" s="17" t="s">
        <v>52</v>
      </c>
      <c r="D25" s="14" t="s">
        <v>53</v>
      </c>
      <c r="G25" s="16" t="s">
        <v>54</v>
      </c>
    </row>
    <row r="26">
      <c r="A26" s="14" t="str">
        <f>data!$E$8&amp;" "&amp;data!$B$8</f>
      </c>
      <c r="B26" s="18"/>
      <c r="C26" s="18"/>
      <c r="D26" s="18"/>
      <c r="E26" s="18"/>
      <c r="F26" s="18"/>
      <c r="G26" s="14" t="str">
        <f>data!$E$7&amp;" "&amp;data!$B$7</f>
      </c>
    </row>
    <row r="27">
      <c r="A27" s="14" t="str">
        <f>data!$E$8&amp;" "&amp;data!$B$8</f>
      </c>
      <c r="B27" s="18"/>
      <c r="C27" s="18"/>
      <c r="D27" s="18"/>
      <c r="E27" s="18"/>
      <c r="F27" s="18"/>
      <c r="G27" s="14" t="str">
        <f>data!$E$9&amp;" "&amp;data!$B$9</f>
      </c>
    </row>
    <row r="28">
      <c r="A28" s="14" t="str">
        <f>data!$E$10&amp;" "&amp;data!$B$10</f>
      </c>
      <c r="B28" s="18"/>
      <c r="C28" s="18"/>
      <c r="D28" s="18"/>
      <c r="E28" s="18"/>
      <c r="F28" s="18"/>
      <c r="G28" s="14" t="str">
        <f>data!$E$9&amp;" "&amp;data!$B$9</f>
      </c>
    </row>
    <row r="29">
      <c r="A29" s="14" t="str">
        <f>data!$E$10&amp;" "&amp;data!$B$10</f>
      </c>
      <c r="B29" s="18"/>
      <c r="C29" s="18"/>
      <c r="D29" s="18"/>
      <c r="E29" s="18"/>
      <c r="F29" s="18"/>
      <c r="G29" s="14" t="str">
        <f>data!$E$7&amp;" "&amp;data!$B$7</f>
      </c>
    </row>
    <row r="30">
      <c r="A30" s="14" t="str">
        <f>data!$E$9&amp;" "&amp;data!$B$9</f>
      </c>
      <c r="B30" s="18"/>
      <c r="C30" s="18"/>
      <c r="D30" s="18"/>
      <c r="E30" s="18"/>
      <c r="F30" s="18"/>
      <c r="G30" s="14" t="str">
        <f>data!$E$7&amp;" "&amp;data!$B$7</f>
      </c>
    </row>
    <row r="31">
      <c r="A31" s="14" t="str">
        <f>data!$E$10&amp;" "&amp;data!$B$10</f>
      </c>
      <c r="B31" s="18"/>
      <c r="C31" s="18"/>
      <c r="D31" s="18"/>
      <c r="E31" s="18"/>
      <c r="F31" s="18"/>
      <c r="G31" s="14" t="str">
        <f>data!$E$8&amp;" "&amp;data!$B$8</f>
      </c>
    </row>
    <row r="33">
      <c r="A33" s="13" t="s">
        <v>55</v>
      </c>
      <c r="B33" s="13" t="s">
        <v>56</v>
      </c>
      <c r="C33" s="13" t="s">
        <v>57</v>
      </c>
      <c r="D33" s="13" t="s">
        <v>58</v>
      </c>
      <c r="E33" s="13"/>
      <c r="F33" s="13"/>
      <c r="G33" s="13" t="s">
        <v>59</v>
      </c>
    </row>
    <row r="34">
      <c r="A34" s="14" t="str">
        <f>data!$E$7&amp;" "&amp;data!$B$7</f>
      </c>
      <c r="B34" s="14" t="str">
        <f>IF(OR(ISNUMBER(B26),ISNUMBER(F26)),(N(F26)&gt;N(B26))*1,0)+IF(OR(ISNUMBER(B29),ISNUMBER(F29)),(N(F29)&gt;N(B29))*1,0)+IF(OR(ISNUMBER(B30),ISNUMBER(F30)),(N(F30)&gt;N(B30))*1,0)</f>
      </c>
      <c r="C34" s="14" t="str">
        <f>IF(OR(ISNUMBER(B26),ISNUMBER(F26)),(N(F26)&lt;N(B26))*1,0)+IF(OR(ISNUMBER(B29),ISNUMBER(F29)),(N(F29)&lt;N(B29))*1,0)+IF(OR(ISNUMBER(B30),ISNUMBER(F30)),(N(F30)&lt;N(B30))*1,0)</f>
      </c>
      <c r="D34" s="14" t="str">
        <f>N(F26)+N(F29)+N(F30)</f>
      </c>
      <c r="E34" s="14"/>
      <c r="F34" s="14"/>
      <c r="G34" s="18" t="str">
        <f>RANK(U34,$U$34:$U$37)+COUNTIF($U$33:U33,U34)</f>
      </c>
      <c r="U34" t="str">
        <f>(B34*1000000)+(D34)</f>
      </c>
    </row>
    <row r="35">
      <c r="A35" s="14" t="str">
        <f>data!$E$8&amp;" "&amp;data!$B$8</f>
      </c>
      <c r="B35" s="14" t="str">
        <f>IF(OR(ISNUMBER(B26),ISNUMBER(F26)),(N(B26)&gt;N(F26))*1,0)+IF(OR(ISNUMBER(B27),ISNUMBER(F27)),(N(B27)&gt;N(F27))*1,0)+IF(OR(ISNUMBER(B31),ISNUMBER(F31)),(N(F31)&gt;N(B31))*1,0)</f>
      </c>
      <c r="C35" s="14" t="str">
        <f>IF(OR(ISNUMBER(B26),ISNUMBER(F26)),(N(B26)&lt;N(F26))*1,0)+IF(OR(ISNUMBER(B27),ISNUMBER(F27)),(N(B27)&lt;N(F27))*1,0)+IF(OR(ISNUMBER(B31),ISNUMBER(F31)),(N(F31)&lt;N(B31))*1,0)</f>
      </c>
      <c r="D35" s="14" t="str">
        <f>N(B26)+N(B27)+N(F31)</f>
      </c>
      <c r="E35" s="14"/>
      <c r="F35" s="14"/>
      <c r="G35" s="18" t="str">
        <f>RANK(U35,$U$34:$U$37)+COUNTIF($U$33:U34,U35)</f>
      </c>
      <c r="U35" t="str">
        <f>(B35*1000000)+(D35)</f>
      </c>
    </row>
    <row r="36">
      <c r="A36" s="14" t="str">
        <f>data!$E$9&amp;" "&amp;data!$B$9</f>
      </c>
      <c r="B36" s="14" t="str">
        <f>IF(OR(ISNUMBER(B27),ISNUMBER(F27)),(N(F27)&gt;N(B27))*1,0)+IF(OR(ISNUMBER(B28),ISNUMBER(F28)),(N(F28)&gt;N(B28))*1,0)+IF(OR(ISNUMBER(B30),ISNUMBER(F30)),(N(B30)&gt;N(F30))*1,0)</f>
      </c>
      <c r="C36" s="14" t="str">
        <f>IF(OR(ISNUMBER(B27),ISNUMBER(F27)),(N(F27)&lt;N(B27))*1,0)+IF(OR(ISNUMBER(B28),ISNUMBER(F28)),(N(F28)&lt;N(B28))*1,0)+IF(OR(ISNUMBER(B30),ISNUMBER(F30)),(N(B30)&lt;N(F30))*1,0)</f>
      </c>
      <c r="D36" s="14" t="str">
        <f>N(F27)+N(F28)+N(B30)</f>
      </c>
      <c r="E36" s="14"/>
      <c r="F36" s="14"/>
      <c r="G36" s="18" t="str">
        <f>RANK(U36,$U$34:$U$37)+COUNTIF($U$33:U35,U36)</f>
      </c>
      <c r="U36" t="str">
        <f>(B36*1000000)+(D36)</f>
      </c>
    </row>
    <row r="37">
      <c r="A37" s="14" t="str">
        <f>data!$E$10&amp;" "&amp;data!$B$10</f>
      </c>
      <c r="B37" s="14" t="str">
        <f>IF(OR(ISNUMBER(B28),ISNUMBER(F28)),(N(B28)&gt;N(F28))*1,0)+IF(OR(ISNUMBER(B29),ISNUMBER(F29)),(N(B29)&gt;N(F29))*1,0)+IF(OR(ISNUMBER(B31),ISNUMBER(F31)),(N(B31)&gt;N(F31))*1,0)</f>
      </c>
      <c r="C37" s="14" t="str">
        <f>IF(OR(ISNUMBER(B28),ISNUMBER(F28)),(N(B28)&lt;N(F28))*1,0)+IF(OR(ISNUMBER(B29),ISNUMBER(F29)),(N(B29)&lt;N(F29))*1,0)+IF(OR(ISNUMBER(B31),ISNUMBER(F31)),(N(B31)&lt;N(F31))*1,0)</f>
      </c>
      <c r="D37" s="14" t="str">
        <f>N(B28)+N(B29)+N(B31)</f>
      </c>
      <c r="E37" s="14"/>
      <c r="F37" s="14"/>
      <c r="G37" s="18" t="str">
        <f>RANK(U37,$U$34:$U$37)+COUNTIF($U$33:U36,U37)</f>
      </c>
      <c r="U37" t="str">
        <f>(B37*1000000)+(D37)</f>
      </c>
    </row>
    <row r="40">
      <c r="F40" s="13"/>
      <c r="G40" s="13" t="s">
        <v>60</v>
      </c>
    </row>
    <row r="41">
      <c r="F41" t="s">
        <v>61</v>
      </c>
      <c r="G41" s="19" t="str">
        <f>IFERROR(INDEX($A$34:$A$37, MATCH(1, $G$34:$G$37, 0)), "-")</f>
      </c>
    </row>
    <row r="42">
      <c r="F42" t="s">
        <v>62</v>
      </c>
      <c r="G42" s="19" t="str">
        <f>IFERROR(INDEX($A$34:$A$37, MATCH(2, $G$34:$G$37, 0)), "-")</f>
      </c>
    </row>
    <row r="43">
      <c r="F43" t="s">
        <v>63</v>
      </c>
      <c r="G43" s="19" t="str">
        <f>IFERROR(INDEX($A$34:$A$37, MATCH(3, $G$34:$G$37, 0)), "-")</f>
      </c>
    </row>
    <row r="44">
      <c r="F44" t="s">
        <v>64</v>
      </c>
      <c r="G44" s="19" t="str">
        <f>IFERROR(INDEX($A$34:$A$37, MATCH(4, $G$34:$G$37, 0)), "-")</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3">
    <mergeCell ref="A1:G1"/>
    <mergeCell ref="A2:G2"/>
    <mergeCell ref="A24:G24"/>
  </mergeCells>
  <printOptions horizontalCentered="true" verticalCentered="true"/>
  <pageSetup fitToHeight="0" fitToWidth="1" orientation="portrait" pageOrder="downThenOver" paperSize="9"/>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s>
  <sheetData>
    <row r="1">
      <c r="A1" s="13" t="s">
        <v>51</v>
      </c>
      <c r="B1" s="13"/>
      <c r="C1" s="13"/>
      <c r="D1" s="13"/>
      <c r="E1" s="13"/>
      <c r="F1" s="13"/>
      <c r="G1" s="13"/>
    </row>
    <row r="2">
      <c r="A2" s="13" t="s">
        <v>65</v>
      </c>
      <c r="B2" s="13"/>
      <c r="C2" s="13"/>
      <c r="D2" s="13"/>
      <c r="E2" s="13"/>
      <c r="F2" s="13"/>
      <c r="G2" s="13"/>
    </row>
    <row r="3">
      <c r="A3" s="17" t="s">
        <v>52</v>
      </c>
      <c r="D3" s="14" t="s">
        <v>53</v>
      </c>
      <c r="G3" s="16" t="s">
        <v>54</v>
      </c>
    </row>
    <row r="4">
      <c r="A4" s="14" t="str">
        <f>CONCATENATE("Pool B-2nd ",'Pool Matches'!G42)</f>
      </c>
      <c r="B4" s="18"/>
      <c r="C4" s="18"/>
      <c r="D4" s="18"/>
      <c r="E4" s="18"/>
      <c r="F4" s="18"/>
      <c r="G4" s="14" t="str">
        <f>CONCATENATE("Pool A-1st ",'Pool Matches'!G19)</f>
      </c>
    </row>
    <row r="6">
      <c r="F6" t="s">
        <v>61</v>
      </c>
      <c r="G6" s="19"/>
    </row>
    <row r="7">
      <c r="F7" t="s">
        <v>62</v>
      </c>
      <c r="G7" s="19"/>
    </row>
    <row r="10">
      <c r="A10" s="13" t="s">
        <v>66</v>
      </c>
      <c r="B10" s="13"/>
      <c r="C10" s="13"/>
      <c r="D10" s="13"/>
      <c r="E10" s="13"/>
      <c r="F10" s="13"/>
      <c r="G10" s="13"/>
    </row>
    <row r="11">
      <c r="A11" s="17" t="s">
        <v>52</v>
      </c>
      <c r="D11" s="14" t="s">
        <v>53</v>
      </c>
      <c r="G11" s="16" t="s">
        <v>54</v>
      </c>
    </row>
    <row r="12">
      <c r="A12" s="14" t="str">
        <f>CONCATENATE("Pool A-2nd ",'Pool Matches'!G20)</f>
      </c>
      <c r="B12" s="18"/>
      <c r="C12" s="18"/>
      <c r="D12" s="18"/>
      <c r="E12" s="18"/>
      <c r="F12" s="18"/>
      <c r="G12" s="14" t="str">
        <f>CONCATENATE("Pool B-1st ",'Pool Matches'!G41)</f>
      </c>
    </row>
    <row r="14">
      <c r="F14" t="s">
        <v>61</v>
      </c>
      <c r="G14" s="19"/>
    </row>
    <row r="15">
      <c r="F15" t="s">
        <v>62</v>
      </c>
      <c r="G15" s="19"/>
    </row>
    <row r="23">
      <c r="A23" s="13" t="s">
        <v>67</v>
      </c>
      <c r="B23" s="13"/>
      <c r="C23" s="13"/>
      <c r="D23" s="13"/>
      <c r="E23" s="13"/>
      <c r="F23" s="13"/>
      <c r="G23" s="13"/>
    </row>
    <row r="24">
      <c r="A24" s="17" t="s">
        <v>52</v>
      </c>
      <c r="D24" s="14" t="s">
        <v>53</v>
      </c>
      <c r="G24" s="16" t="s">
        <v>54</v>
      </c>
    </row>
    <row r="25">
      <c r="A25" s="14" t="str">
        <f>CONCATENATE("M 2 ",G14)</f>
      </c>
      <c r="B25" s="18"/>
      <c r="C25" s="18"/>
      <c r="D25" s="18"/>
      <c r="E25" s="18"/>
      <c r="F25" s="18"/>
      <c r="G25" s="14" t="str">
        <f>CONCATENATE("M 1 ",G6)</f>
      </c>
    </row>
    <row r="27">
      <c r="F27" t="s">
        <v>61</v>
      </c>
      <c r="G27" s="19"/>
    </row>
    <row r="28">
      <c r="F28" t="s">
        <v>62</v>
      </c>
      <c r="G28" s="19"/>
    </row>
    <row r="36">
      <c r="A36" s="13" t="s">
        <v>68</v>
      </c>
      <c r="B36" s="13"/>
      <c r="C36" s="13"/>
      <c r="D36" s="13"/>
      <c r="E36" s="13"/>
      <c r="F36" s="13"/>
      <c r="G36" s="13"/>
    </row>
    <row r="37">
      <c r="A37" s="17" t="s">
        <v>52</v>
      </c>
      <c r="D37" s="14" t="s">
        <v>53</v>
      </c>
      <c r="G37" s="16" t="s">
        <v>54</v>
      </c>
    </row>
    <row r="38">
      <c r="A38" s="14"/>
      <c r="B38" s="18"/>
      <c r="C38" s="18"/>
      <c r="D38" s="18"/>
      <c r="E38" s="18"/>
      <c r="F38" s="18"/>
      <c r="G38" s="14"/>
    </row>
    <row r="40">
      <c r="F40" t="s">
        <v>61</v>
      </c>
      <c r="G40" s="19"/>
    </row>
    <row r="41">
      <c r="F41" t="s">
        <v>62</v>
      </c>
      <c r="G41" s="19"/>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5">
    <mergeCell ref="A1:G1"/>
    <mergeCell ref="A2:G2"/>
    <mergeCell ref="A10:G10"/>
    <mergeCell ref="A23:G23"/>
    <mergeCell ref="A36:G36"/>
  </mergeCells>
  <printOptions horizontalCentered="true" verticalCentered="true"/>
  <pageSetup fitToHeight="0" fitToWidth="1" orientation="portrait" pageOrder="downThenOver" paperSize="9"/>
</worksheet>
</file>

<file path=xl/worksheets/sheet8.xml><?xml version="1.0" encoding="utf-8"?>
<worksheet xmlns="http://schemas.openxmlformats.org/spreadsheetml/2006/main">
  <dimension ref="A1"/>
  <sheetViews>
    <sheetView workbookViewId="0"/>
  </sheetViews>
  <cols>
    <col customWidth="true" max="1" min="1" width="25"/>
    <col customWidth="true" max="2" min="2" width="10"/>
    <col customWidth="true" max="26" min="3" width="3.5"/>
  </cols>
  <sheetData>
    <row r="1">
      <c r="A1" s="13" t="str">
        <f>IF(data!$B$1="","Shiaijo A",data!$B$1&amp;" - Shiaijo A")</f>
      </c>
      <c r="B1" s="13"/>
      <c r="C1" s="13"/>
      <c r="D1" s="13"/>
      <c r="E1" s="13"/>
      <c r="F1" s="13"/>
      <c r="G1" s="13"/>
      <c r="H1" s="13"/>
      <c r="I1" s="13"/>
      <c r="J1" s="13"/>
      <c r="K1" s="13"/>
      <c r="L1" s="13"/>
      <c r="M1" s="13"/>
      <c r="N1" s="13"/>
      <c r="O1" s="13"/>
      <c r="P1" s="13"/>
    </row>
    <row r="4">
      <c r="A4" s="24" t="str">
        <f>'data'!$A$6</f>
      </c>
    </row>
    <row r="5">
      <c r="A5" s="25" t="str">
        <f>data!$E$3&amp;" "&amp;data!$B$3</f>
      </c>
      <c r="C5" s="23" t="str">
        <f>CONCATENATE("Pool A-1st ",'Pool Matches'!G19)</f>
      </c>
    </row>
    <row r="6">
      <c r="A6" s="26" t="str">
        <f>data!$E$4&amp;" "&amp;data!$B$4</f>
      </c>
      <c r="D6" s="22"/>
      <c r="E6" s="21">
        <v>1</v>
      </c>
    </row>
    <row r="7">
      <c r="A7" s="26" t="str">
        <f>data!$E$5&amp;" "&amp;data!$B$5</f>
      </c>
      <c r="C7" s="23" t="str">
        <f>CONCATENATE("Pool B-2nd ",'Pool Matches'!G42)</f>
      </c>
      <c r="D7" s="15"/>
      <c r="E7" s="20"/>
      <c r="F7" s="22"/>
      <c r="G7" s="20"/>
    </row>
    <row r="8">
      <c r="A8" s="27" t="str">
        <f>data!$E$6&amp;" "&amp;data!$B$6</f>
      </c>
      <c r="G8" s="21">
        <v>3</v>
      </c>
    </row>
    <row r="9">
      <c r="A9" s="22"/>
      <c r="C9" s="23" t="str">
        <f>CONCATENATE("Pool B-1st ",'Pool Matches'!G41)</f>
      </c>
      <c r="G9" s="20"/>
    </row>
    <row r="10">
      <c r="A10" s="24" t="str">
        <f>'data'!$A$10</f>
      </c>
      <c r="D10" s="22"/>
      <c r="E10" s="21">
        <v>2</v>
      </c>
      <c r="F10" s="15"/>
      <c r="G10" s="20"/>
    </row>
    <row r="11">
      <c r="A11" s="25" t="str">
        <f>data!$E$7&amp;" "&amp;data!$B$7</f>
      </c>
      <c r="C11" s="23" t="str">
        <f>CONCATENATE("Pool A-2nd ",'Pool Matches'!G20)</f>
      </c>
      <c r="D11" s="15"/>
      <c r="E11" s="20"/>
    </row>
    <row r="12">
      <c r="A12" s="26" t="str">
        <f>data!$E$8&amp;" "&amp;data!$B$8</f>
      </c>
    </row>
    <row r="13">
      <c r="A13" s="26" t="str">
        <f>data!$E$9&amp;" "&amp;data!$B$9</f>
      </c>
    </row>
    <row r="14">
      <c r="A14" s="27" t="str">
        <f>data!$E$10&amp;" "&amp;data!$B$10</f>
      </c>
    </row>
    <row r="15">
      <c r="A15"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P1"/>
  </mergeCells>
  <printOptions horizontalCentered="true" verticalCentered="true"/>
  <pageSetup orientation="portrait" paperSize="9"/>
</worksheet>
</file>

<file path=xl/worksheets/sheet9.xml><?xml version="1.0" encoding="utf-8"?>
<worksheet xmlns="http://schemas.openxmlformats.org/spreadsheetml/2006/main">
  <dimension ref="A1"/>
  <sheetViews>
    <sheetView workbookViewId="0"/>
  </sheetViews>
  <cols>
    <col customWidth="true" max="1" min="1" width="30"/>
    <col customWidth="true" max="2" min="2" width="160"/>
  </cols>
  <sheetData>
    <row r="1" ht="270" customHeight="true">
      <c r="A1" s="28" t="str">
        <f>'data'!$E$3</f>
      </c>
      <c r="B1" s="29" t="str">
        <f>'data'!D3</f>
      </c>
    </row>
    <row r="2" ht="270" customHeight="true">
      <c r="A2" s="28" t="str">
        <f>'data'!$E$4</f>
      </c>
      <c r="B2" s="29" t="str">
        <f>'data'!D4</f>
      </c>
    </row>
    <row r="3" ht="270" customHeight="true">
      <c r="A3" s="28" t="str">
        <f>'data'!$E$5</f>
      </c>
      <c r="B3" s="29" t="str">
        <f>'data'!D5</f>
      </c>
    </row>
    <row r="4" ht="270" customHeight="true">
      <c r="A4" s="28" t="str">
        <f>'data'!$E$6</f>
      </c>
      <c r="B4" s="29" t="str">
        <f>'data'!D6</f>
      </c>
    </row>
    <row r="5" ht="270" customHeight="true">
      <c r="A5" s="28" t="str">
        <f>'data'!$E$7</f>
      </c>
      <c r="B5" s="29" t="str">
        <f>'data'!D7</f>
      </c>
    </row>
    <row r="6" ht="270" customHeight="true">
      <c r="A6" s="28" t="str">
        <f>'data'!$E$8</f>
      </c>
      <c r="B6" s="29" t="str">
        <f>'data'!D8</f>
      </c>
    </row>
    <row r="7" ht="270" customHeight="true">
      <c r="A7" s="28" t="str">
        <f>'data'!$E$9</f>
      </c>
      <c r="B7" s="29" t="str">
        <f>'data'!D9</f>
      </c>
    </row>
    <row r="8" ht="270" customHeight="true">
      <c r="A8" s="28" t="str">
        <f>'data'!$E$10</f>
      </c>
      <c r="B8" s="29" t="str">
        <f>'data'!D10</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2" manualBreakCount="2">
    <brk id="3" max="16383" man="true"/>
    <brk id="6" max="16383" man="true"/>
  </rowBreaks>
  <colBreaks/>
</worksheet>
</file>

<file path=xl/worksheets/sheet10.xml><?xml version="1.0" encoding="utf-8"?>
<worksheet xmlns="http://schemas.openxmlformats.org/spreadsheetml/2006/main">
  <dimension ref="A1"/>
  <sheetViews>
    <sheetView tabSelected="true" workbookViewId="0"/>
  </sheetViews>
  <cols>
    <col customWidth="true" max="1" min="1" width="110"/>
  </cols>
  <sheetData>
    <row r="1" ht="409" customHeight="true">
      <c r="A1" s="30" t="s">
        <v>21</v>
      </c>
    </row>
    <row r="2" ht="409" customHeight="true">
      <c r="A2" s="30" t="s">
        <v>21</v>
      </c>
    </row>
    <row r="3" ht="409" customHeight="true">
      <c r="A3" s="30" t="s">
        <v>25</v>
      </c>
    </row>
    <row r="4" ht="409" customHeight="true">
      <c r="A4" s="30" t="s">
        <v>25</v>
      </c>
    </row>
    <row r="5" ht="409" customHeight="true">
      <c r="A5" s="30" t="s">
        <v>29</v>
      </c>
    </row>
    <row r="6" ht="409" customHeight="true">
      <c r="A6" s="30" t="s">
        <v>29</v>
      </c>
    </row>
    <row r="7" ht="409" customHeight="true">
      <c r="A7" s="30" t="s">
        <v>33</v>
      </c>
    </row>
    <row r="8" ht="409" customHeight="true">
      <c r="A8" s="30" t="s">
        <v>33</v>
      </c>
    </row>
    <row r="9" ht="409" customHeight="true">
      <c r="A9" s="30" t="s">
        <v>38</v>
      </c>
    </row>
    <row r="10" ht="409" customHeight="true">
      <c r="A10" s="30" t="s">
        <v>38</v>
      </c>
    </row>
    <row r="11" ht="409" customHeight="true">
      <c r="A11" s="30" t="s">
        <v>42</v>
      </c>
    </row>
    <row r="12" ht="409" customHeight="true">
      <c r="A12" s="30" t="s">
        <v>42</v>
      </c>
    </row>
    <row r="13" ht="409" customHeight="true">
      <c r="A13" s="30" t="s">
        <v>46</v>
      </c>
    </row>
    <row r="14" ht="409" customHeight="true">
      <c r="A14" s="30" t="s">
        <v>46</v>
      </c>
    </row>
    <row r="15" ht="409" customHeight="true">
      <c r="A15" s="30" t="s">
        <v>50</v>
      </c>
    </row>
    <row r="16" ht="409" customHeight="true">
      <c r="A16" s="30" t="s">
        <v>50</v>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portrait" paperSize="9"/>
  <rowBreaks count="8" manualBreakCount="8">
    <brk id="2" max="16383" man="true"/>
    <brk id="4" max="16383" man="true"/>
    <brk id="6" max="16383" man="true"/>
    <brk id="8" max="16383" man="true"/>
    <brk id="10" max="16383" man="true"/>
    <brk id="12" max="16383" man="true"/>
    <brk id="14" max="16383" man="true"/>
    <brk id="16"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