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Matches'!$A$1:$O$404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<sst xmlns="http://schemas.openxmlformats.org/spreadsheetml/2006/main" count="310" uniqueCount="310">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</sst>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'data'!$B$6</f>
      </c>
      <c r="I4" s="19" t="str">
        <f>'data'!$B$52</f>
      </c>
      <c r="J4" s="22"/>
      <c r="K4" s="22"/>
      <c r="L4" s="22"/>
      <c r="M4" s="22"/>
      <c r="N4" s="22"/>
      <c r="O4" s="19" t="str">
        <f>'data'!$B$51</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'data'!$B$55</f>
      </c>
      <c r="J12" s="22"/>
      <c r="K12" s="22"/>
      <c r="L12" s="22"/>
      <c r="M12" s="22"/>
      <c r="N12" s="22"/>
      <c r="O12" s="19" t="str">
        <f>'data'!$B$54</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'data'!$B$58</f>
      </c>
      <c r="J20" s="22"/>
      <c r="K20" s="22"/>
      <c r="L20" s="22"/>
      <c r="M20" s="22"/>
      <c r="N20" s="22"/>
      <c r="O20" s="19" t="str">
        <f>'data'!$B$57</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22"/>
      <c r="C28" s="22"/>
      <c r="D28" s="22"/>
      <c r="E28" s="22"/>
      <c r="F28" s="22"/>
      <c r="G28" s="19" t="str">
        <f>'data'!$B$17</f>
      </c>
      <c r="I28" s="19" t="str">
        <f>'data'!$B$61</f>
      </c>
      <c r="J28" s="22"/>
      <c r="K28" s="22"/>
      <c r="L28" s="22"/>
      <c r="M28" s="22"/>
      <c r="N28" s="22"/>
      <c r="O28" s="19" t="str">
        <f>'data'!$B$60</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22"/>
      <c r="C36" s="22"/>
      <c r="D36" s="22"/>
      <c r="E36" s="22"/>
      <c r="F36" s="22"/>
      <c r="G36" s="19" t="str">
        <f>'data'!$B$20</f>
      </c>
      <c r="I36" s="19" t="str">
        <f>'data'!$B$64</f>
      </c>
      <c r="J36" s="22"/>
      <c r="K36" s="22"/>
      <c r="L36" s="22"/>
      <c r="M36" s="22"/>
      <c r="N36" s="22"/>
      <c r="O36" s="19" t="str">
        <f>'data'!$B$63</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22"/>
      <c r="C44" s="22"/>
      <c r="D44" s="22"/>
      <c r="E44" s="22"/>
      <c r="F44" s="22"/>
      <c r="G44" s="19" t="str">
        <f>'data'!$B$23</f>
      </c>
      <c r="I44" s="19" t="str">
        <f>'data'!$B$67</f>
      </c>
      <c r="J44" s="22"/>
      <c r="K44" s="22"/>
      <c r="L44" s="22"/>
      <c r="M44" s="22"/>
      <c r="N44" s="22"/>
      <c r="O44" s="19" t="str">
        <f>'data'!$B$66</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22"/>
      <c r="C52" s="22"/>
      <c r="D52" s="22"/>
      <c r="E52" s="22"/>
      <c r="F52" s="22"/>
      <c r="G52" s="19" t="str">
        <f>'data'!$B$28</f>
      </c>
      <c r="I52" s="19" t="str">
        <f>'data'!$B$74</f>
      </c>
      <c r="J52" s="22"/>
      <c r="K52" s="22"/>
      <c r="L52" s="22"/>
      <c r="M52" s="22"/>
      <c r="N52" s="22"/>
      <c r="O52" s="19" t="str">
        <f>'data'!$B$69</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22"/>
      <c r="C60" s="22"/>
      <c r="D60" s="22"/>
      <c r="E60" s="22"/>
      <c r="F60" s="22"/>
      <c r="G60" s="19" t="str">
        <f>'data'!$B$31</f>
      </c>
      <c r="I60" s="19" t="str">
        <f>'data'!$B$75</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22"/>
      <c r="C68" s="22"/>
      <c r="D68" s="22"/>
      <c r="E68" s="22"/>
      <c r="F68" s="22"/>
      <c r="G68" s="19" t="str">
        <f>'data'!$B$34</f>
      </c>
      <c r="I68" s="19" t="str">
        <f>'data'!$B$78</f>
      </c>
      <c r="J68" s="22"/>
      <c r="K68" s="22"/>
      <c r="L68" s="22"/>
      <c r="M68" s="22"/>
      <c r="N68" s="22"/>
      <c r="O68" s="19" t="str">
        <f>'data'!$B$77</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22"/>
      <c r="C76" s="22"/>
      <c r="D76" s="22"/>
      <c r="E76" s="22"/>
      <c r="F76" s="22"/>
      <c r="G76" s="19" t="str">
        <f>'data'!$B$37</f>
      </c>
      <c r="I76" s="19" t="str">
        <f>'data'!$B$81</f>
      </c>
      <c r="J76" s="22"/>
      <c r="K76" s="22"/>
      <c r="L76" s="22"/>
      <c r="M76" s="22"/>
      <c r="N76" s="22"/>
      <c r="O76" s="19" t="str">
        <f>'data'!$B$80</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22"/>
      <c r="C84" s="22"/>
      <c r="D84" s="22"/>
      <c r="E84" s="22"/>
      <c r="F84" s="22"/>
      <c r="G84" s="19" t="str">
        <f>'data'!$B$40</f>
      </c>
      <c r="I84" s="19" t="str">
        <f>'data'!$B$84</f>
      </c>
      <c r="J84" s="22"/>
      <c r="K84" s="22"/>
      <c r="L84" s="22"/>
      <c r="M84" s="22"/>
      <c r="N84" s="22"/>
      <c r="O84" s="19" t="str">
        <f>'data'!$B$83</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22"/>
      <c r="C92" s="22"/>
      <c r="D92" s="22"/>
      <c r="E92" s="22"/>
      <c r="F92" s="22"/>
      <c r="G92" s="19" t="str">
        <f>'data'!$B$43</f>
      </c>
      <c r="I92" s="19" t="str">
        <f>'data'!$B$87</f>
      </c>
      <c r="J92" s="22"/>
      <c r="K92" s="22"/>
      <c r="L92" s="22"/>
      <c r="M92" s="22"/>
      <c r="N92" s="22"/>
      <c r="O92" s="19" t="str">
        <f>'data'!$B$86</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22"/>
      <c r="C100" s="22"/>
      <c r="D100" s="22"/>
      <c r="E100" s="22"/>
      <c r="F100" s="22"/>
      <c r="G100" s="19" t="str">
        <f>'data'!$B$46</f>
      </c>
      <c r="I100" s="19" t="str">
        <f>'data'!$B$90</f>
      </c>
      <c r="J100" s="22"/>
      <c r="K100" s="22"/>
      <c r="L100" s="22"/>
      <c r="M100" s="22"/>
      <c r="N100" s="22"/>
      <c r="O100" s="19" t="str">
        <f>'data'!$B$89</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'data'!$B$93</f>
      </c>
      <c r="J108" s="22"/>
      <c r="K108" s="22"/>
      <c r="L108" s="22"/>
      <c r="M108" s="22"/>
      <c r="N108" s="22"/>
      <c r="O108" s="19" t="str">
        <f>'data'!$B$92</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22"/>
      <c r="C121" s="22"/>
      <c r="D121" s="22"/>
      <c r="E121" s="22"/>
      <c r="F121" s="22"/>
      <c r="G121" s="19" t="str">
        <f>'data'!$B$32</f>
      </c>
      <c r="I121" s="19" t="str">
        <f>'data'!$B$49</f>
      </c>
      <c r="J121" s="22"/>
      <c r="K121" s="22"/>
      <c r="L121" s="22"/>
      <c r="M121" s="22"/>
      <c r="N121" s="22"/>
      <c r="O121" s="19" t="str">
        <f>'data'!$B$48</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'data'!$B$34</f>
      </c>
      <c r="I129" s="19" t="str">
        <f>CONCATENATE("M 14 ",O6)</f>
      </c>
      <c r="J129" s="22"/>
      <c r="K129" s="22"/>
      <c r="L129" s="22"/>
      <c r="M129" s="22"/>
      <c r="N129" s="22"/>
      <c r="O129" s="19" t="str">
        <f>'data'!$B$50</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15 ",O14)</f>
      </c>
      <c r="J137" s="22"/>
      <c r="K137" s="22"/>
      <c r="L137" s="22"/>
      <c r="M137" s="22"/>
      <c r="N137" s="22"/>
      <c r="O137" s="19" t="str">
        <f>'data'!$B$53</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16 ",O22)</f>
      </c>
      <c r="J145" s="22"/>
      <c r="K145" s="22"/>
      <c r="L145" s="22"/>
      <c r="M145" s="22"/>
      <c r="N145" s="22"/>
      <c r="O145" s="19" t="str">
        <f>'data'!$B$56</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22"/>
      <c r="C153" s="22"/>
      <c r="D153" s="22"/>
      <c r="E153" s="22"/>
      <c r="F153" s="22"/>
      <c r="G153" s="19" t="str">
        <f>'data'!$B$42</f>
      </c>
      <c r="I153" s="19" t="str">
        <f>CONCATENATE("M 17 ",O30)</f>
      </c>
      <c r="J153" s="22"/>
      <c r="K153" s="22"/>
      <c r="L153" s="22"/>
      <c r="M153" s="22"/>
      <c r="N153" s="22"/>
      <c r="O153" s="19" t="str">
        <f>'data'!$B$81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'data'!$B$30</f>
      </c>
      <c r="I169" s="19" t="str">
        <f>CONCATENATE("M 19 ",O46)</f>
      </c>
      <c r="J169" s="22"/>
      <c r="K169" s="22"/>
      <c r="L169" s="22"/>
      <c r="M169" s="22"/>
      <c r="N169" s="22"/>
      <c r="O169" s="19" t="str">
        <f>'data'!$B$65</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22"/>
      <c r="C185" s="22"/>
      <c r="D185" s="22"/>
      <c r="E185" s="22"/>
      <c r="F185" s="22"/>
      <c r="G185" s="19" t="str">
        <f>'data'!$B$25</f>
      </c>
      <c r="I185" s="19" t="str">
        <f>'data'!$B$72</f>
      </c>
      <c r="J185" s="22"/>
      <c r="K185" s="22"/>
      <c r="L185" s="22"/>
      <c r="M185" s="22"/>
      <c r="N185" s="22"/>
      <c r="O185" s="19" t="str">
        <f>'data'!$B$88</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